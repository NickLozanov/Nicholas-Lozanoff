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Inputs" sheetId="3" state="visible" r:id="rId5"/>
    <sheet name="Cost Structure" sheetId="4" state="visible" r:id="rId6"/>
    <sheet name="Marginal Cost" sheetId="5" state="visible" r:id="rId7"/>
    <sheet name="Optimization" sheetId="6" state="visible" r:id="rId8"/>
    <sheet name="Enumeration" sheetId="7" state="visible" r:id="rId9"/>
    <sheet name="Checks" sheetId="8" state="visible" r:id="rId10"/>
  </sheets>
  <definedNames>
    <definedName function="false" hidden="false" name="BEDS_LIMIT_STATEMENT" vbProcedure="false">Optimization!$E$36</definedName>
    <definedName function="false" hidden="false" name="BED_TOLERANCE" vbProcedure="false">Checks!$B$8</definedName>
    <definedName function="false" hidden="false" name="BLENDED_LABOR_RATE" vbProcedure="false">'Cost Structure'!$C$19</definedName>
    <definedName function="false" hidden="false" name="CARROT_BEDS" vbProcedure="false">Optimization!$C$7</definedName>
    <definedName function="false" hidden="false" name="CARROT_BED_CAP" vbProcedure="false">Inputs!$B$6</definedName>
    <definedName function="false" hidden="false" name="CARROT_CONTRIBUTION" vbProcedure="false">'Cost Structure'!$H$38</definedName>
    <definedName function="false" hidden="false" name="CARROT_DIM_RTRN_PCT" vbProcedure="false">Inputs!$B$18</definedName>
    <definedName function="false" hidden="false" name="CARROT_DPROFIT_MINUS1" vbProcedure="false">Optimization!$J$31</definedName>
    <definedName function="false" hidden="false" name="CARROT_DPROFIT_PLUS1" vbProcedure="false">Optimization!$G$31</definedName>
    <definedName function="false" hidden="false" name="CARROT_FERTILIZER" vbProcedure="false">'Cost Structure'!$F$6</definedName>
    <definedName function="false" hidden="false" name="CARROT_FERTILIZER_PER_BED" vbProcedure="false">Inputs!$B$15</definedName>
    <definedName function="false" hidden="false" name="CARROT_HRS_PER_WEEK_PER_BED" vbProcedure="false">Inputs!$B$12</definedName>
    <definedName function="false" hidden="false" name="CARROT_LABOR_COST" vbProcedure="false">'Cost Structure'!$D$38</definedName>
    <definedName function="false" hidden="false" name="CARROT_LABOR_HRS" vbProcedure="false">'Cost Structure'!$I$6</definedName>
    <definedName function="false" hidden="false" name="CARROT_LIMIT_STATEMENT" vbProcedure="false">Optimization!$K$31</definedName>
    <definedName function="false" hidden="false" name="CARROT_MC_FALLS_OWNER" vbProcedure="false">'Marginal Cost'!$J$7</definedName>
    <definedName function="false" hidden="false" name="CARROT_MC_RATE" vbProcedure="false">'Marginal Cost'!$F$7</definedName>
    <definedName function="false" hidden="false" name="CARROT_PLUS1_FEASIBLE" vbProcedure="false">Optimization!$H$31</definedName>
    <definedName function="false" hidden="false" name="CARROT_PMC_Q" vbProcedure="false">'Marginal Cost'!$H$7</definedName>
    <definedName function="false" hidden="false" name="CARROT_PMC_Q_OWNER" vbProcedure="false">'Marginal Cost'!$I$7</definedName>
    <definedName function="false" hidden="false" name="CARROT_PMC_Q_PERM" vbProcedure="false">'Marginal Cost'!$C$7</definedName>
    <definedName function="false" hidden="false" name="CARROT_PMC_Q_TEMP" vbProcedure="false">'Marginal Cost'!$D$7</definedName>
    <definedName function="false" hidden="false" name="CARROT_REVENUE" vbProcedure="false">'Cost Structure'!$D$6</definedName>
    <definedName function="false" hidden="false" name="CARROT_REVENUE_PER_BED" vbProcedure="false">Inputs!$B$9</definedName>
    <definedName function="false" hidden="false" name="CARROT_SCHED_LABOR_HRS" vbProcedure="false">'Marginal Cost'!$B$38:$B$58</definedName>
    <definedName function="false" hidden="false" name="CARROT_SCHED_MC" vbProcedure="false">'Marginal Cost'!$Q$39:$Q$58</definedName>
    <definedName function="false" hidden="false" name="CARROT_SCHED_MC_OWNER" vbProcedure="false">'Marginal Cost'!$U$39:$U$58</definedName>
    <definedName function="false" hidden="false" name="CARROT_SCHED_MC_PERM" vbProcedure="false">'Marginal Cost'!$J$39:$J$58</definedName>
    <definedName function="false" hidden="false" name="CARROT_SCHED_MC_TEMP" vbProcedure="false">'Marginal Cost'!$K$39:$K$58</definedName>
    <definedName function="false" hidden="false" name="CARROT_SCHED_Q" vbProcedure="false">'Marginal Cost'!$A$38:$A$58</definedName>
    <definedName function="false" hidden="false" name="CHECKS_OVERALL" vbProcedure="false">Checks!$B$4</definedName>
    <definedName function="false" hidden="false" name="CONSTRAINT_STATUS" vbProcedure="false">Optimization!$F$15:$F$26</definedName>
    <definedName function="false" hidden="false" name="ENUM_BEST_CARROT" vbProcedure="false">Enumeration!$AM$11</definedName>
    <definedName function="false" hidden="false" name="ENUM_BEST_MESCLUN" vbProcedure="false">Enumeration!$AM$12</definedName>
    <definedName function="false" hidden="false" name="ENUM_BEST_PROFIT" vbProcedure="false">Enumeration!$AM$8</definedName>
    <definedName function="false" hidden="false" name="ENUM_BEST_ROW" vbProcedure="false">Enumeration!$AM$9</definedName>
    <definedName function="false" hidden="false" name="ENUM_BEST_TOMATO" vbProcedure="false">Enumeration!$AM$10</definedName>
    <definedName function="false" hidden="false" name="ENUM_C" vbProcedure="false">Enumeration!$B$8:$B$448</definedName>
    <definedName function="false" hidden="false" name="ENUM_FEASIBLE_COUNT" vbProcedure="false">Enumeration!$AM$14</definedName>
    <definedName function="false" hidden="false" name="ENUM_GRID" vbProcedure="false">Enumeration!$F$8:$AJ$448</definedName>
    <definedName function="false" hidden="false" name="ENUM_ROW_BEST" vbProcedure="false">Enumeration!$E$8:$E$448</definedName>
    <definedName function="false" hidden="false" name="ENUM_T" vbProcedure="false">Enumeration!$A$8:$A$448</definedName>
    <definedName function="false" hidden="false" name="ENUM_TIES" vbProcedure="false">Enumeration!$AM$13</definedName>
    <definedName function="false" hidden="false" name="ENUM_TOTAL_COUNT" vbProcedure="false">Enumeration!$AM$15</definedName>
    <definedName function="false" hidden="false" name="FIXED_SEASON_COST" vbProcedure="false">Inputs!$B$27</definedName>
    <definedName function="false" hidden="false" name="LABOR_LIMIT_STATEMENT" vbProcedure="false">Optimization!$E$37</definedName>
    <definedName function="false" hidden="false" name="MESCLUN_BEDS" vbProcedure="false">Optimization!$C$8</definedName>
    <definedName function="false" hidden="false" name="MESCLUN_BED_CAP" vbProcedure="false">Inputs!$B$7</definedName>
    <definedName function="false" hidden="false" name="MESCLUN_CONTRIBUTION" vbProcedure="false">'Cost Structure'!$H$39</definedName>
    <definedName function="false" hidden="false" name="MESCLUN_DIM_RTRN_PCT" vbProcedure="false">Inputs!$B$19</definedName>
    <definedName function="false" hidden="false" name="MESCLUN_DPROFIT_MINUS1" vbProcedure="false">Optimization!$J$32</definedName>
    <definedName function="false" hidden="false" name="MESCLUN_DPROFIT_PLUS1" vbProcedure="false">Optimization!$G$32</definedName>
    <definedName function="false" hidden="false" name="MESCLUN_FERTILIZER" vbProcedure="false">'Cost Structure'!$F$7</definedName>
    <definedName function="false" hidden="false" name="MESCLUN_FERTILIZER_PER_BED" vbProcedure="false">Inputs!$B$16</definedName>
    <definedName function="false" hidden="false" name="MESCLUN_HRS_PER_WEEK_PER_BED" vbProcedure="false">Inputs!$B$13</definedName>
    <definedName function="false" hidden="false" name="MESCLUN_LABOR_COST" vbProcedure="false">'Cost Structure'!$D$39</definedName>
    <definedName function="false" hidden="false" name="MESCLUN_LABOR_HRS" vbProcedure="false">'Cost Structure'!$I$7</definedName>
    <definedName function="false" hidden="false" name="MESCLUN_LIMIT_STATEMENT" vbProcedure="false">Optimization!$K$32</definedName>
    <definedName function="false" hidden="false" name="MESCLUN_MC_FALLS_OWNER" vbProcedure="false">'Marginal Cost'!$J$8</definedName>
    <definedName function="false" hidden="false" name="MESCLUN_MC_RATE" vbProcedure="false">'Marginal Cost'!$F$8</definedName>
    <definedName function="false" hidden="false" name="MESCLUN_PLUS1_FEASIBLE" vbProcedure="false">Optimization!$H$32</definedName>
    <definedName function="false" hidden="false" name="MESCLUN_PMC_Q" vbProcedure="false">'Marginal Cost'!$H$8</definedName>
    <definedName function="false" hidden="false" name="MESCLUN_PMC_Q_OWNER" vbProcedure="false">'Marginal Cost'!$I$8</definedName>
    <definedName function="false" hidden="false" name="MESCLUN_PMC_Q_PERM" vbProcedure="false">'Marginal Cost'!$C$8</definedName>
    <definedName function="false" hidden="false" name="MESCLUN_PMC_Q_TEMP" vbProcedure="false">'Marginal Cost'!$D$8</definedName>
    <definedName function="false" hidden="false" name="MESCLUN_REVENUE" vbProcedure="false">'Cost Structure'!$D$7</definedName>
    <definedName function="false" hidden="false" name="MESCLUN_REVENUE_PER_BED" vbProcedure="false">Inputs!$B$10</definedName>
    <definedName function="false" hidden="false" name="MESCLUN_SCHED_LABOR_HRS" vbProcedure="false">'Marginal Cost'!$B$63:$B$93</definedName>
    <definedName function="false" hidden="false" name="MESCLUN_SCHED_MC" vbProcedure="false">'Marginal Cost'!$Q$64:$Q$93</definedName>
    <definedName function="false" hidden="false" name="MESCLUN_SCHED_MC_OWNER" vbProcedure="false">'Marginal Cost'!$U$64:$U$93</definedName>
    <definedName function="false" hidden="false" name="MESCLUN_SCHED_MC_PERM" vbProcedure="false">'Marginal Cost'!$J$64:$J$93</definedName>
    <definedName function="false" hidden="false" name="MESCLUN_SCHED_MC_TEMP" vbProcedure="false">'Marginal Cost'!$K$64:$K$93</definedName>
    <definedName function="false" hidden="false" name="MESCLUN_SCHED_Q" vbProcedure="false">'Marginal Cost'!$A$63:$A$93</definedName>
    <definedName function="false" hidden="false" name="OBJECTIVE_SEASONAL_PROFIT" vbProcedure="false">Optimization!$C$11</definedName>
    <definedName function="false" hidden="false" name="PERMANENT_FIELD_LABOR_HOURS" vbProcedure="false">Inputs!$B$22</definedName>
    <definedName function="false" hidden="false" name="PERMANENT_HOURLY_RATE" vbProcedure="false">Inputs!$B$23</definedName>
    <definedName function="false" hidden="false" name="PERMANENT_HOURS_USED" vbProcedure="false">'Cost Structure'!$C$14</definedName>
    <definedName function="false" hidden="false" name="PERMANENT_LABOR_COST" vbProcedure="false">'Cost Structure'!$C$16</definedName>
    <definedName function="false" hidden="false" name="PERM_LIMIT_STATEMENT" vbProcedure="false">Optimization!$E$39</definedName>
    <definedName function="false" hidden="false" name="PROFIT_TOLERANCE" vbProcedure="false">Checks!$B$7</definedName>
    <definedName function="false" hidden="false" name="RECOMMENDATION_TEXT" vbProcedure="false">Optimization!$B$48</definedName>
    <definedName function="false" hidden="false" name="SEASONAL_PROFIT" vbProcedure="false">'Cost Structure'!$C$32</definedName>
    <definedName function="false" hidden="false" name="SEASON_WEEKS" vbProcedure="false">Inputs!$B$20</definedName>
    <definedName function="false" hidden="false" name="TEMP_HOURLY_RATE" vbProcedure="false">Inputs!$B$26</definedName>
    <definedName function="false" hidden="false" name="TEMP_HOURS_CAP" vbProcedure="false">Inputs!$B$31</definedName>
    <definedName function="false" hidden="false" name="TEMP_HOURS_LABOR_PER_WORKER" vbProcedure="false">Inputs!$B$25</definedName>
    <definedName function="false" hidden="false" name="TEMP_HOURS_USED" vbProcedure="false">'Cost Structure'!$C$15</definedName>
    <definedName function="false" hidden="false" name="TEMP_LABOR_COST" vbProcedure="false">'Cost Structure'!$C$17</definedName>
    <definedName function="false" hidden="false" name="TEMP_LIMIT_STATEMENT" vbProcedure="false">Optimization!$E$38</definedName>
    <definedName function="false" hidden="false" name="TEMP_WORKERS_FTE" vbProcedure="false">'Cost Structure'!$C$21</definedName>
    <definedName function="false" hidden="false" name="TEMP_WORKERS_REQUIRED" vbProcedure="false">'Cost Structure'!$C$20</definedName>
    <definedName function="false" hidden="false" name="TEMP_WORKER_CAP" vbProcedure="false">Inputs!$B$24</definedName>
    <definedName function="false" hidden="false" name="TOMATO_BEDS" vbProcedure="false">Optimization!$C$6</definedName>
    <definedName function="false" hidden="false" name="TOMATO_BED_CAP" vbProcedure="false">Inputs!$B$5</definedName>
    <definedName function="false" hidden="false" name="TOMATO_CONTRIBUTION" vbProcedure="false">'Cost Structure'!$H$37</definedName>
    <definedName function="false" hidden="false" name="TOMATO_DIM_RTRN_PCT" vbProcedure="false">Inputs!$B$17</definedName>
    <definedName function="false" hidden="false" name="TOMATO_DPROFIT_MINUS1" vbProcedure="false">Optimization!$J$30</definedName>
    <definedName function="false" hidden="false" name="TOMATO_DPROFIT_PLUS1" vbProcedure="false">Optimization!$G$30</definedName>
    <definedName function="false" hidden="false" name="TOMATO_FERTILIZER" vbProcedure="false">'Cost Structure'!$F$5</definedName>
    <definedName function="false" hidden="false" name="TOMATO_FERTILIZER_PER_BED" vbProcedure="false">Inputs!$B$14</definedName>
    <definedName function="false" hidden="false" name="TOMATO_HRS_PER_WEEK_PER_BED" vbProcedure="false">Inputs!$B$11</definedName>
    <definedName function="false" hidden="false" name="TOMATO_LABOR_COST" vbProcedure="false">'Cost Structure'!$D$37</definedName>
    <definedName function="false" hidden="false" name="TOMATO_LABOR_HRS" vbProcedure="false">'Cost Structure'!$I$5</definedName>
    <definedName function="false" hidden="false" name="TOMATO_LIMIT_STATEMENT" vbProcedure="false">Optimization!$K$30</definedName>
    <definedName function="false" hidden="false" name="TOMATO_MC_FALLS_OWNER" vbProcedure="false">'Marginal Cost'!$J$6</definedName>
    <definedName function="false" hidden="false" name="TOMATO_MC_RATE" vbProcedure="false">'Marginal Cost'!$F$6</definedName>
    <definedName function="false" hidden="false" name="TOMATO_PLUS1_FEASIBLE" vbProcedure="false">Optimization!$H$30</definedName>
    <definedName function="false" hidden="false" name="TOMATO_PMC_Q" vbProcedure="false">'Marginal Cost'!$H$6</definedName>
    <definedName function="false" hidden="false" name="TOMATO_PMC_Q_OWNER" vbProcedure="false">'Marginal Cost'!$I$6</definedName>
    <definedName function="false" hidden="false" name="TOMATO_PMC_Q_PERM" vbProcedure="false">'Marginal Cost'!$C$6</definedName>
    <definedName function="false" hidden="false" name="TOMATO_PMC_Q_TEMP" vbProcedure="false">'Marginal Cost'!$D$6</definedName>
    <definedName function="false" hidden="false" name="TOMATO_REVENUE" vbProcedure="false">'Cost Structure'!$D$5</definedName>
    <definedName function="false" hidden="false" name="TOMATO_REVENUE_PER_BED" vbProcedure="false">Inputs!$B$8</definedName>
    <definedName function="false" hidden="false" name="TOMATO_SCHED_LABOR_HRS" vbProcedure="false">'Marginal Cost'!$B$13:$B$33</definedName>
    <definedName function="false" hidden="false" name="TOMATO_SCHED_MC" vbProcedure="false">'Marginal Cost'!$Q$14:$Q$33</definedName>
    <definedName function="false" hidden="false" name="TOMATO_SCHED_MC_OWNER" vbProcedure="false">'Marginal Cost'!$U$14:$U$33</definedName>
    <definedName function="false" hidden="false" name="TOMATO_SCHED_MC_PERM" vbProcedure="false">'Marginal Cost'!$J$14:$J$33</definedName>
    <definedName function="false" hidden="false" name="TOMATO_SCHED_MC_TEMP" vbProcedure="false">'Marginal Cost'!$K$14:$K$33</definedName>
    <definedName function="false" hidden="false" name="TOMATO_SCHED_Q" vbProcedure="false">'Marginal Cost'!$A$13:$A$33</definedName>
    <definedName function="false" hidden="false" name="TOTAL_BEDS_AVAILABLE" vbProcedure="false">Inputs!$B$21</definedName>
    <definedName function="false" hidden="false" name="TOTAL_BEDS_USED" vbProcedure="false">'Cost Structure'!$B$8</definedName>
    <definedName function="false" hidden="false" name="TOTAL_COSTS" vbProcedure="false">'Cost Structure'!$C$31</definedName>
    <definedName function="false" hidden="false" name="TOTAL_FERTILIZER" vbProcedure="false">'Cost Structure'!$F$8</definedName>
    <definedName function="false" hidden="false" name="TOTAL_LABOR_COST" vbProcedure="false">'Cost Structure'!$C$18</definedName>
    <definedName function="false" hidden="false" name="TOTAL_LABOR_HOURS" vbProcedure="false">'Cost Structure'!$I$8</definedName>
    <definedName function="false" hidden="false" name="TOTAL_LABOR_HOURS_CAP" vbProcedure="false">Inputs!$B$32</definedName>
    <definedName function="false" hidden="false" name="TOTAL_REVENUE" vbProcedure="false">'Cost Structure'!$D$8</definedName>
    <definedName function="false" hidden="false" name="UNUSED_BEDS" vbProcedure="false">'Cost Structure'!$C$23</definedName>
    <definedName function="false" hidden="false" name="UNUSED_LABOR_HOURS" vbProcedure="false">'Cost Structure'!$C$22</definedName>
    <definedName function="false" hidden="true" localSheetId="5" name="solver_adj" vbProcedure="false">Optimization!$C$6:$C$8</definedName>
    <definedName function="false" hidden="true" localSheetId="5" name="solver_eng" vbProcedure="false">1</definedName>
    <definedName function="false" hidden="true" localSheetId="5" name="solver_lhs1" vbProcedure="false">Optimization!$B$15</definedName>
    <definedName function="false" hidden="true" localSheetId="5" name="solver_lhs2" vbProcedure="false">Optimization!$B$16</definedName>
    <definedName function="false" hidden="true" localSheetId="5" name="solver_lhs3" vbProcedure="false">Optimization!$B$17</definedName>
    <definedName function="false" hidden="true" localSheetId="5" name="solver_lhs4" vbProcedure="false">Optimization!$B$18</definedName>
    <definedName function="false" hidden="true" localSheetId="5" name="solver_lhs5" vbProcedure="false">Optimization!$B$19</definedName>
    <definedName function="false" hidden="true" localSheetId="5" name="solver_lhs6" vbProcedure="false">Optimization!$B$20</definedName>
    <definedName function="false" hidden="true" localSheetId="5" name="solver_lhs7" vbProcedure="false">Optimization!$C$6:$C$8</definedName>
    <definedName function="false" hidden="true" localSheetId="5" name="solver_msl" vbProcedure="false">1</definedName>
    <definedName function="false" hidden="true" localSheetId="5" name="solver_neg" vbProcedure="false">1</definedName>
    <definedName function="false" hidden="true" localSheetId="5" name="solver_num" vbProcedure="false">7</definedName>
    <definedName function="false" hidden="true" localSheetId="5" name="solver_opt" vbProcedure="false">Optimization!$C$11</definedName>
    <definedName function="false" hidden="true" localSheetId="5" name="solver_rel1" vbProcedure="false">1</definedName>
    <definedName function="false" hidden="true" localSheetId="5" name="solver_rel2" vbProcedure="false">1</definedName>
    <definedName function="false" hidden="true" localSheetId="5" name="solver_rel3" vbProcedure="false">1</definedName>
    <definedName function="false" hidden="true" localSheetId="5" name="solver_rel4" vbProcedure="false">1</definedName>
    <definedName function="false" hidden="true" localSheetId="5" name="solver_rel5" vbProcedure="false">1</definedName>
    <definedName function="false" hidden="true" localSheetId="5" name="solver_rel6" vbProcedure="false">1</definedName>
    <definedName function="false" hidden="true" localSheetId="5" name="solver_rel7" vbProcedure="false">4</definedName>
    <definedName function="false" hidden="true" localSheetId="5" name="solver_rhs1" vbProcedure="false">Optimization!$D$15</definedName>
    <definedName function="false" hidden="true" localSheetId="5" name="solver_rhs2" vbProcedure="false">Optimization!$D$16</definedName>
    <definedName function="false" hidden="true" localSheetId="5" name="solver_rhs3" vbProcedure="false">Optimization!$D$17</definedName>
    <definedName function="false" hidden="true" localSheetId="5" name="solver_rhs4" vbProcedure="false">Optimization!$D$18</definedName>
    <definedName function="false" hidden="true" localSheetId="5" name="solver_rhs5" vbProcedure="false">Optimization!$D$19</definedName>
    <definedName function="false" hidden="true" localSheetId="5" name="solver_rhs6" vbProcedure="false">Optimization!$D$20</definedName>
    <definedName function="false" hidden="true" localSheetId="5" name="solver_rhs7" vbProcedure="false">"integer"</definedName>
    <definedName function="false" hidden="true" localSheetId="5" name="solver_rlx" vbProcedure="false">2</definedName>
    <definedName function="false" hidden="true" localSheetId="5" name="solver_tol" vbProcedure="false">0</definedName>
    <definedName function="false" hidden="true" localSheetId="5" name="solver_typ" vbProcedure="false">1</definedName>
    <definedName function="false" hidden="true" localSheetId="5" name="solver_val" vbProcedure="false">0</definedName>
    <definedName function="false" hidden="true" localSheetId="5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<sst xmlns="http://schemas.openxmlformats.org/spreadsheetml/2006/main" count="1175" uniqueCount="767">
  <si>
    <t xml:space="preserve">Marginal Analysis - farm bed-mix optimization model</t>
  </si>
  <si>
    <t xml:space="preserve">Read me / spec for reviewers. Built from capabilities/marginal-analysis/spec.md.</t>
  </si>
  <si>
    <t xml:space="preserve">Purpose</t>
  </si>
  <si>
    <t xml:space="preserve">Choose non-negative integer numbers of tomato, carrot and mesclun grow beds that maximize seasonal (36-week) farm profit, subject to crop bed caps, the 64-bed farm, and permanent + temporary labor limits. Labor per bed compounds with each crop's own bed count, so the highest-revenue crop (tomato) is not automatically the best to expand.</t>
  </si>
  <si>
    <t xml:space="preserve">SHEETS</t>
  </si>
  <si>
    <t xml:space="preserve">Summary</t>
  </si>
  <si>
    <t xml:space="preserve">One-page optimization summary: recommendation, all required outputs, formula-generated statements of which constraints limit the solution, and the standalone P = MC points.</t>
  </si>
  <si>
    <t xml:space="preserve">Inputs</t>
  </si>
  <si>
    <t xml:space="preserve">Every case assumption as a named range with unit and source. The only editable cells (yellow, blue text). Two derived inputs (TEMP_HOURS_CAP, TOTAL_LABOR_HOURS_CAP).</t>
  </si>
  <si>
    <t xml:space="preserve">Cost Structure</t>
  </si>
  <si>
    <t xml:space="preserve">Revenue, fertilizer, crop labor hours, permanent-then-temporary labor allocation, labor dollars, total costs and profit for the current bed mix.</t>
  </si>
  <si>
    <t xml:space="preserve">Marginal Cost</t>
  </si>
  <si>
    <t xml:space="preserve">Integer q = 0 to each crop's cap: labor hours, fertilizer, and marginal labor hours; marginal labor cost and marginal total cost priced at each crop's MC_RATE (the spec schedule), at the permanent and temporary rates (reference), and permanent hours first (information, spec.md Audit finding A1). Standalone P = MC points and charts of price vs marginal cost.</t>
  </si>
  <si>
    <t xml:space="preserve">Optimization</t>
  </si>
  <si>
    <t xml:space="preserve">Decision cells (Solver changing cells), objective, constraint checks (green), +1/−1 bed marginal analysis at the current mix, farm-level constraint statements, optimized solution vs enumeration (gold), Solver settings.</t>
  </si>
  <si>
    <t xml:space="preserve">Enumeration</t>
  </si>
  <si>
    <t xml:space="preserve">Solver-independent proof of the global optimum: profit for every integer mix (21 × 21 × 31 = 13,671), blank where a constraint is broken.</t>
  </si>
  <si>
    <t xml:space="preserve">Checks</t>
  </si>
  <si>
    <t xml:space="preserve">spec.md Validation Rules V1–V6 (with cells to record Solver and Farm Profit Lab results by hand), then supporting optimum, constraint, error, logic, information and hand-calculation checks.</t>
  </si>
  <si>
    <t xml:space="preserve">CONVENTIONS</t>
  </si>
  <si>
    <t xml:space="preserve">Yellow fill, blue text</t>
  </si>
  <si>
    <t xml:space="preserve">Editable input (Inputs sheet), check tolerance, or result recorded by hand (Checks sheet).</t>
  </si>
  <si>
    <t xml:space="preserve">Orange fill, thick red border</t>
  </si>
  <si>
    <t xml:space="preserve">Decision cell (Solver changing cell): integer, non-negative.</t>
  </si>
  <si>
    <t xml:space="preserve">Green fill</t>
  </si>
  <si>
    <t xml:space="preserve">Constraint-check cell.</t>
  </si>
  <si>
    <t xml:space="preserve">Gold fill</t>
  </si>
  <si>
    <t xml:space="preserve">Recommendation / optimized solution.</t>
  </si>
  <si>
    <t xml:space="preserve">Red fill</t>
  </si>
  <si>
    <t xml:space="preserve">Excel error, negative or non-integer quantity, or failed check (conditional formatting).</t>
  </si>
  <si>
    <t xml:space="preserve">Formulas</t>
  </si>
  <si>
    <t xml:space="preserve">Every calculated cell is a formula that refers to named ranges, not hard-coded values. The exceptions are the published check figures and the typed base-case hand calculations on the Checks sheet.</t>
  </si>
  <si>
    <t xml:space="preserve">FORMULA DEFINITIONS</t>
  </si>
  <si>
    <t xml:space="preserve">LABOR_HOURS(q)</t>
  </si>
  <si>
    <t xml:space="preserve">q × HRS_PER_WEEK_PER_BED × SEASON_WEEKS × (1 + DIM_RTRN)^q, per crop with its own parameters. Not linearized. LABOR_HOURS(0) = 0.</t>
  </si>
  <si>
    <t xml:space="preserve">Revenue(q)</t>
  </si>
  <si>
    <t xml:space="preserve">q × REVENUE_PER_BED; TOTAL_REVENUE = sum over crops.</t>
  </si>
  <si>
    <t xml:space="preserve">Fertilizer(q)</t>
  </si>
  <si>
    <t xml:space="preserve">q × FERTILIZER_PER_BED; TOTAL_FERTILIZER = sum over crops.</t>
  </si>
  <si>
    <t xml:space="preserve">Labor allocation</t>
  </si>
  <si>
    <t xml:space="preserve">PERMANENT_HOURS_USED = MIN(TOTAL_LABOR_HOURS, PERMANENT_FIELD_LABOR_HOURS); TEMP_HOURS_USED = MAX(0, TOTAL_LABOR_HOURS − PERMANENT_FIELD_LABOR_HOURS).</t>
  </si>
  <si>
    <t xml:space="preserve">Labor cost</t>
  </si>
  <si>
    <t xml:space="preserve">PERMANENT_HOURS_USED × PERMANENT_HOURLY_RATE + TEMP_HOURS_USED × TEMP_HOURLY_RATE; BLENDED_LABOR_RATE = TOTAL_LABOR_COST / TOTAL_LABOR_HOURS when hours &gt; 0.</t>
  </si>
  <si>
    <t xml:space="preserve">Labor cost by crop</t>
  </si>
  <si>
    <t xml:space="preserve">CROP_LABOR_COST = CROP_LABOR_HRS × BLENDED_LABOR_RATE (0 when TOTAL_LABOR_HOURS = 0); the three sum to TOTAL_LABOR_COST. CROP_CONTRIBUTION = CROP_REVENUE − CROP_FERTILIZER − CROP_LABOR_COST. Reporting only.</t>
  </si>
  <si>
    <t xml:space="preserve">SEASONAL_PROFIT</t>
  </si>
  <si>
    <t xml:space="preserve">TOTAL_REVENUE − TOTAL_FERTILIZER − TOTAL_LABOR_COST − FIXED_SEASON_COST.</t>
  </si>
  <si>
    <t xml:space="preserve">Marginal cost</t>
  </si>
  <si>
    <t xml:space="preserve">LABOR_COST(q) = LABOR_HOURS(q) × MC_RATE; MARGINAL_LABOR_COST(q) = LABOR_COST(q) − LABOR_COST(q − 1); MARGINAL_COST(q) = MARGINAL_LABOR_COST(q) + FERTILIZER_PER_BED. MC_RATE = TEMP_HOURLY_RATE for tomatoes, PERMANENT_HOURLY_RATE for carrots and mesclun.</t>
  </si>
  <si>
    <t xml:space="preserve">Standalone P = MC point</t>
  </si>
  <si>
    <t xml:space="preserve">Largest q with REVENUE_PER_BED ≥ MARGINAL_COST(q). A diagnostic only: it ignores the shared labor pool and the 64-bed limit.</t>
  </si>
  <si>
    <t xml:space="preserve">Temporary workers required</t>
  </si>
  <si>
    <t xml:space="preserve">ROUNDUP(TEMP_HOURS_USED / TEMP_HOURS_LABOR_PER_WORKER, 0); FTE shown alongside. Cost is charged on hours used, per the spec.</t>
  </si>
  <si>
    <t xml:space="preserve">SOLVER SETTINGS</t>
  </si>
  <si>
    <t xml:space="preserve">Objective</t>
  </si>
  <si>
    <t xml:space="preserve">Max OBJECTIVE_SEASONAL_PROFIT (Optimization!C11).</t>
  </si>
  <si>
    <t xml:space="preserve">Changing cells</t>
  </si>
  <si>
    <t xml:space="preserve">TOMATO_BEDS, CARROT_BEDS, MESCLUN_BEDS (Optimization!C6:C8): integer, non-negative.</t>
  </si>
  <si>
    <t xml:space="preserve">Constraints</t>
  </si>
  <si>
    <t xml:space="preserve">Each crop's beds ≤ its bed cap; TOTAL_BEDS_USED ≤ TOTAL_BEDS_AVAILABLE; TEMP_HOURS_USED ≤ TEMP_HOURS_CAP; TOTAL_LABOR_HOURS ≤ TOTAL_LABOR_HOURS_CAP. All 64 beds are NOT required to be used.</t>
  </si>
  <si>
    <t xml:space="preserve">Method</t>
  </si>
  <si>
    <t xml:space="preserve">GRG Nonlinear, Integer Optimality 0%, Make Unconstrained Variables Non-Negative checked. The hidden Solver names on the Optimization sheet pre-load these settings. Run in desktop Excel on 2026-10-13; see Decision cell values below.</t>
  </si>
  <si>
    <t xml:space="preserve">Decision cell values</t>
  </si>
  <si>
    <t xml:space="preserve">The decision cells hold 10 / 20 / 30. Solver (GRG Nonlinear, integer, Integer Optimality 0%) was run in desktop Excel on 2026-10-13 from 0 / 0 / 0, returning 10 / 20 / 30 and $42,775.16, and from 20 / 0 / 0, returning 10 / 20 / 30 and $42,775.16 ("Solver found a solution" both times). Both runs are recorded on the Checks sheet (V5) and agree with the Enumeration sheet. Checks fails if the decision cells differ from the enumerated optimum.</t>
  </si>
  <si>
    <t xml:space="preserve">SPEC DEFECTS FOUND IN THE BUILD (now corrected in spec.md; see its Audit findings)</t>
  </si>
  <si>
    <t xml:space="preserve">Labor exponent</t>
  </si>
  <si>
    <t xml:space="preserve">spec.md wrote (1 − DIM_RTRN)^q but described labor that increases per added bed. spec.md now writes (1 + DIM_RTRN)^q, which reproduces the 10/20/30 check mix. (1 − DIM_RTRN)^q would give 20/20/24.</t>
  </si>
  <si>
    <t xml:space="preserve">Bed-cap constraints</t>
  </si>
  <si>
    <t xml:space="preserve">spec.md wrote TOMATO_BEDS ≥ TOMATO_BED_CAP; it now writes ≤ for each crop, as built.</t>
  </si>
  <si>
    <t xml:space="preserve">Acceptance mix</t>
  </si>
  <si>
    <t xml:space="preserve">spec.md Expected Outputs now names 10/20/30. The brief's 12/20/30 hypothesis is shown on Checks (R1) for reconciliation only.</t>
  </si>
  <si>
    <t xml:space="preserve">Profit check</t>
  </si>
  <si>
    <t xml:space="preserve">Spec formulas give $42,775.16 vs published $42,762 (+$13.16). Passes V2 within PROFIT_TOLERANCE ($25). The gap is rounding of $34.72, $17.36 and 0.833 (spec.md Audit finding A2).</t>
  </si>
  <si>
    <t xml:space="preserve">Standalone P = MC</t>
  </si>
  <si>
    <t xml:space="preserve">spec.md now prices each schedule at MC_RATE (tomatoes temporary, carrots and mesclun permanent), which reproduces ~10 / ~10 / ~6; V3 tests at MC_RATE only. Both single rates and the permanent-hours-first schedule are shown for reference.</t>
  </si>
  <si>
    <t xml:space="preserve">Renamed inputs</t>
  </si>
  <si>
    <t xml:space="preserve">Excel names cannot contain % or spaces: *_DIM_RTRN_% → *_DIM_RTRN_PCT; TEMP_HOURS_LABOR_PER WORKER → TEMP_HOURS_LABOR_PER_WORKER. PERMANENT_FIELD_HOURS in the spec formulas = PERMANENT_FIELD_LABOR_HOURS. SEASON_PROFIT = SEASONAL_PROFIT. TOTAL_RETILIZER = TOTAL_FERTILIZER.</t>
  </si>
  <si>
    <t xml:space="preserve">Added inputs</t>
  </si>
  <si>
    <t xml:space="preserve">None. PROFIT_TOLERANCE and BED_TOLERANCE are check settings defined in spec.md Validation Rules; MC_RATE per crop is defined in spec.md Calculation Logic.</t>
  </si>
  <si>
    <t xml:space="preserve">Schedule size</t>
  </si>
  <si>
    <t xml:space="preserve">Marginal Cost and Enumeration rows are built for the base-case caps (20/20/30). Lowering a cap is handled automatically. Raising one needs more rows, and a Coverage check on Checks will fail until they are added.</t>
  </si>
  <si>
    <t xml:space="preserve">NAMED RANGES</t>
  </si>
  <si>
    <t xml:space="preserve">Full list below: name, location, definition.</t>
  </si>
  <si>
    <t xml:space="preserve">Name</t>
  </si>
  <si>
    <t xml:space="preserve">Location / definition</t>
  </si>
  <si>
    <t xml:space="preserve">TOMATO_BED_CAP</t>
  </si>
  <si>
    <t xml:space="preserve">Inputs!$B$5   —   Input: 20 beds</t>
  </si>
  <si>
    <t xml:space="preserve">CARROT_BED_CAP</t>
  </si>
  <si>
    <t xml:space="preserve">Inputs!$B$6   —   Input: 20 beds</t>
  </si>
  <si>
    <t xml:space="preserve">MESCLUN_BED_CAP</t>
  </si>
  <si>
    <t xml:space="preserve">Inputs!$B$7   —   Input: 30 beds</t>
  </si>
  <si>
    <t xml:space="preserve">TOMATO_REVENUE_PER_BED</t>
  </si>
  <si>
    <t xml:space="preserve">Inputs!$B$8   —   Input: 8800 $/bed/season</t>
  </si>
  <si>
    <t xml:space="preserve">CARROT_REVENUE_PER_BED</t>
  </si>
  <si>
    <t xml:space="preserve">Inputs!$B$9   —   Input: 2094 $/bed/season</t>
  </si>
  <si>
    <t xml:space="preserve">MESCLUN_REVENUE_PER_BED</t>
  </si>
  <si>
    <t xml:space="preserve">Inputs!$B$10   —   Input: 2700 $/bed/season</t>
  </si>
  <si>
    <t xml:space="preserve">TOMATO_HRS_PER_WEEK_PER_BED</t>
  </si>
  <si>
    <t xml:space="preserve">Inputs!$B$11   —   Input: 2.5 hour/week/bed</t>
  </si>
  <si>
    <t xml:space="preserve">CARROT_HRS_PER_WEEK_PER_BED</t>
  </si>
  <si>
    <t xml:space="preserve">Inputs!$B$12   —   Input: 0.833 hour/week/bed</t>
  </si>
  <si>
    <t xml:space="preserve">MESCLUN_HRS_PER_WEEK_PER_BED</t>
  </si>
  <si>
    <t xml:space="preserve">Inputs!$B$13   —   Input: 1.25 hour/week/bed</t>
  </si>
  <si>
    <t xml:space="preserve">TOMATO_FERTILIZER_PER_BED</t>
  </si>
  <si>
    <t xml:space="preserve">Inputs!$B$14   —   Input: 880 $/bed/season</t>
  </si>
  <si>
    <t xml:space="preserve">CARROT_FERTILIZER_PER_BED</t>
  </si>
  <si>
    <t xml:space="preserve">Inputs!$B$15   —   Input: 440 $/bed/season</t>
  </si>
  <si>
    <t xml:space="preserve">MESCLUN_FERTILIZER_PER_BED</t>
  </si>
  <si>
    <t xml:space="preserve">Inputs!$B$16   —   Input: 880 $/bed/season</t>
  </si>
  <si>
    <t xml:space="preserve">TOMATO_DIM_RTRN_PCT</t>
  </si>
  <si>
    <t xml:space="preserve">Inputs!$B$17   —   Input: 0.1 %</t>
  </si>
  <si>
    <t xml:space="preserve">CARROT_DIM_RTRN_PCT</t>
  </si>
  <si>
    <t xml:space="preserve">Inputs!$B$18   —   Input: 0.025 %</t>
  </si>
  <si>
    <t xml:space="preserve">MESCLUN_DIM_RTRN_PCT</t>
  </si>
  <si>
    <t xml:space="preserve">Inputs!$B$19   —   Input: 0.0125 %</t>
  </si>
  <si>
    <t xml:space="preserve">SEASON_WEEKS</t>
  </si>
  <si>
    <t xml:space="preserve">Inputs!$B$20   —   Input: 36 weeks</t>
  </si>
  <si>
    <t xml:space="preserve">TOTAL_BEDS_AVAILABLE</t>
  </si>
  <si>
    <t xml:space="preserve">Inputs!$B$21   —   Input: 64 beds</t>
  </si>
  <si>
    <t xml:space="preserve">PERMANENT_FIELD_LABOR_HOURS</t>
  </si>
  <si>
    <t xml:space="preserve">Inputs!$B$22   —   Input: 720 hours/season</t>
  </si>
  <si>
    <t xml:space="preserve">PERMANENT_HOURLY_RATE</t>
  </si>
  <si>
    <t xml:space="preserve">Inputs!$B$23   —   Input: 34.72 $/hour</t>
  </si>
  <si>
    <t xml:space="preserve">TEMP_WORKER_CAP</t>
  </si>
  <si>
    <t xml:space="preserve">Inputs!$B$24   —   Input: 4 workers</t>
  </si>
  <si>
    <t xml:space="preserve">TEMP_HOURS_LABOR_PER_WORKER</t>
  </si>
  <si>
    <t xml:space="preserve">Inputs!$B$25   —   Input: 1440 hours/worker/season</t>
  </si>
  <si>
    <t xml:space="preserve">TEMP_HOURLY_RATE</t>
  </si>
  <si>
    <t xml:space="preserve">Inputs!$B$26   —   Input: 17.36 $/hour</t>
  </si>
  <si>
    <t xml:space="preserve">FIXED_SEASON_COST</t>
  </si>
  <si>
    <t xml:space="preserve">Inputs!$B$27   —   Input: 20000 $/season</t>
  </si>
  <si>
    <t xml:space="preserve">TEMP_HOURS_CAP</t>
  </si>
  <si>
    <t xml:space="preserve">Inputs!$B$31   —   TEMP_HOURS_LABOR_PER_WORKER × TEMP_WORKER_CAP</t>
  </si>
  <si>
    <t xml:space="preserve">TOTAL_LABOR_HOURS_CAP</t>
  </si>
  <si>
    <t xml:space="preserve">Inputs!$B$32   —   TEMP_HOURS_CAP + PERMANENT_FIELD_LABOR_HOURS</t>
  </si>
  <si>
    <t xml:space="preserve">TOMATO_BEDS</t>
  </si>
  <si>
    <t xml:space="preserve">Optimization!$C$6   —   Decision variable (integer, ≥ 0)</t>
  </si>
  <si>
    <t xml:space="preserve">CARROT_BEDS</t>
  </si>
  <si>
    <t xml:space="preserve">Optimization!$C$7   —   Decision variable (integer, ≥ 0)</t>
  </si>
  <si>
    <t xml:space="preserve">MESCLUN_BEDS</t>
  </si>
  <si>
    <t xml:space="preserve">Optimization!$C$8   —   Decision variable (integer, ≥ 0)</t>
  </si>
  <si>
    <t xml:space="preserve">TOMATO_REVENUE</t>
  </si>
  <si>
    <t xml:space="preserve">'Cost Structure'!$D$5   —   TOMATO_BEDS × TOMATO_REVENUE_PER_BED</t>
  </si>
  <si>
    <t xml:space="preserve">TOMATO_FERTILIZER</t>
  </si>
  <si>
    <t xml:space="preserve">'Cost Structure'!$F$5   —   TOMATO_BEDS × TOMATO_FERTILIZER_PER_BED</t>
  </si>
  <si>
    <t xml:space="preserve">TOMATO_LABOR_HRS</t>
  </si>
  <si>
    <t xml:space="preserve">'Cost Structure'!$I$5   —   TOMATO_BEDS × TOMATO_HRS_PER_WEEK_PER_BED × SEASON_WEEKS × (1+TOMATO_DIM_RTRN_PCT)^TOMATO_BEDS</t>
  </si>
  <si>
    <t xml:space="preserve">CARROT_REVENUE</t>
  </si>
  <si>
    <t xml:space="preserve">'Cost Structure'!$D$6   —   CARROT_BEDS × CARROT_REVENUE_PER_BED</t>
  </si>
  <si>
    <t xml:space="preserve">CARROT_FERTILIZER</t>
  </si>
  <si>
    <t xml:space="preserve">'Cost Structure'!$F$6   —   CARROT_BEDS × CARROT_FERTILIZER_PER_BED</t>
  </si>
  <si>
    <t xml:space="preserve">CARROT_LABOR_HRS</t>
  </si>
  <si>
    <t xml:space="preserve">'Cost Structure'!$I$6   —   CARROT_BEDS × CARROT_HRS_PER_WEEK_PER_BED × SEASON_WEEKS × (1+CARROT_DIM_RTRN_PCT)^CARROT_BEDS</t>
  </si>
  <si>
    <t xml:space="preserve">MESCLUN_REVENUE</t>
  </si>
  <si>
    <t xml:space="preserve">'Cost Structure'!$D$7   —   MESCLUN_BEDS × MESCLUN_REVENUE_PER_BED</t>
  </si>
  <si>
    <t xml:space="preserve">MESCLUN_FERTILIZER</t>
  </si>
  <si>
    <t xml:space="preserve">'Cost Structure'!$F$7   —   MESCLUN_BEDS × MESCLUN_FERTILIZER_PER_BED</t>
  </si>
  <si>
    <t xml:space="preserve">MESCLUN_LABOR_HRS</t>
  </si>
  <si>
    <t xml:space="preserve">'Cost Structure'!$I$7   —   MESCLUN_BEDS × MESCLUN_HRS_PER_WEEK_PER_BED × SEASON_WEEKS × (1+MESCLUN_DIM_RTRN_PCT)^MESCLUN_BEDS</t>
  </si>
  <si>
    <t xml:space="preserve">TOTAL_BEDS_USED</t>
  </si>
  <si>
    <t xml:space="preserve">'Cost Structure'!$B$8   —   TOMATO_BEDS + CARROT_BEDS + MESCLUN_BEDS</t>
  </si>
  <si>
    <t xml:space="preserve">TOTAL_REVENUE</t>
  </si>
  <si>
    <t xml:space="preserve">'Cost Structure'!$D$8   —   TOMATO_REVENUE + CARROT_REVENUE + MESCLUN_REVENUE</t>
  </si>
  <si>
    <t xml:space="preserve">TOTAL_FERTILIZER</t>
  </si>
  <si>
    <t xml:space="preserve">'Cost Structure'!$F$8   —   TOMATO_FERTILIZER + CARROT_FERTILIZER + MESCLUN_FERTILIZER</t>
  </si>
  <si>
    <t xml:space="preserve">TOTAL_LABOR_HOURS</t>
  </si>
  <si>
    <t xml:space="preserve">'Cost Structure'!$I$8   —   TOMATO_LABOR_HRS + CARROT_LABOR_HRS + MESCLUN_LABOR_HRS</t>
  </si>
  <si>
    <t xml:space="preserve">PERMANENT_HOURS_USED</t>
  </si>
  <si>
    <t xml:space="preserve">'Cost Structure'!$C$14   —   MIN(TOTAL_LABOR_HOURS, PERMANENT_FIELD_LABOR_HOURS)</t>
  </si>
  <si>
    <t xml:space="preserve">TEMP_HOURS_USED</t>
  </si>
  <si>
    <t xml:space="preserve">'Cost Structure'!$C$15   —   MAX(0, TOTAL_LABOR_HOURS − PERMANENT_FIELD_LABOR_HOURS)</t>
  </si>
  <si>
    <t xml:space="preserve">PERMANENT_LABOR_COST</t>
  </si>
  <si>
    <t xml:space="preserve">'Cost Structure'!$C$16   —   PERMANENT_HOURS_USED × PERMANENT_HOURLY_RATE</t>
  </si>
  <si>
    <t xml:space="preserve">TEMP_LABOR_COST</t>
  </si>
  <si>
    <t xml:space="preserve">'Cost Structure'!$C$17   —   TEMP_HOURS_USED × TEMP_HOURLY_RATE</t>
  </si>
  <si>
    <t xml:space="preserve">TOTAL_LABOR_COST</t>
  </si>
  <si>
    <t xml:space="preserve">'Cost Structure'!$C$18   —   PERMANENT_LABOR_COST + TEMP_LABOR_COST</t>
  </si>
  <si>
    <t xml:space="preserve">BLENDED_LABOR_RATE</t>
  </si>
  <si>
    <t xml:space="preserve">'Cost Structure'!$C$19   —   TOTAL_LABOR_COST / TOTAL_LABOR_HOURS, only when TOTAL_LABOR_HOURS &gt; 0 (division-by-zero guard)</t>
  </si>
  <si>
    <t xml:space="preserve">TEMP_WORKERS_REQUIRED</t>
  </si>
  <si>
    <t xml:space="preserve">'Cost Structure'!$C$20   —   ROUNDUP(TEMP_HOURS_USED / TEMP_HOURS_LABOR_PER_WORKER, 0)</t>
  </si>
  <si>
    <t xml:space="preserve">TEMP_WORKERS_FTE</t>
  </si>
  <si>
    <t xml:space="preserve">'Cost Structure'!$C$21   —   TEMP_HOURS_USED / TEMP_HOURS_LABOR_PER_WORKER</t>
  </si>
  <si>
    <t xml:space="preserve">UNUSED_LABOR_HOURS</t>
  </si>
  <si>
    <t xml:space="preserve">'Cost Structure'!$C$22   —   TOTAL_LABOR_HOURS_CAP − TOTAL_LABOR_HOURS</t>
  </si>
  <si>
    <t xml:space="preserve">UNUSED_BEDS</t>
  </si>
  <si>
    <t xml:space="preserve">'Cost Structure'!$C$23   —   TOTAL_BEDS_AVAILABLE − TOTAL_BEDS_USED</t>
  </si>
  <si>
    <t xml:space="preserve">TOTAL_COSTS</t>
  </si>
  <si>
    <t xml:space="preserve">'Cost Structure'!$C$31   —   TOTAL_FERTILIZER + TOTAL_LABOR_COST + FIXED_SEASON_COST</t>
  </si>
  <si>
    <t xml:space="preserve">'Cost Structure'!$C$32   —   TOTAL_REVENUE − TOTAL_FERTILIZER − TOTAL_LABOR_COST − FIXED_SEASON_COST</t>
  </si>
  <si>
    <t xml:space="preserve">TOMATO_SCHED_Q</t>
  </si>
  <si>
    <t xml:space="preserve">'Marginal Cost'!$A$13:$A$33   —   q = 0 … cap</t>
  </si>
  <si>
    <t xml:space="preserve">TOMATO_SCHED_LABOR_HRS</t>
  </si>
  <si>
    <t xml:space="preserve">'Marginal Cost'!$B$13:$B$33   —   LABOR_HOURS(q) for q = 0 … cap</t>
  </si>
  <si>
    <t xml:space="preserve">TOMATO_SCHED_MC_PERM</t>
  </si>
  <si>
    <t xml:space="preserve">'Marginal Cost'!$J$14:$J$33   —   Marginal total cost at permanent rate, q = 1 … cap</t>
  </si>
  <si>
    <t xml:space="preserve">TOMATO_SCHED_MC_TEMP</t>
  </si>
  <si>
    <t xml:space="preserve">'Marginal Cost'!$K$14:$K$33   —   Marginal total cost at temporary rate, q = 1 … cap</t>
  </si>
  <si>
    <t xml:space="preserve">TOMATO_PMC_Q_PERM</t>
  </si>
  <si>
    <t xml:space="preserve">'Marginal Cost'!$C$6   —   Largest q with P ≥ MC (permanent rate, reference)</t>
  </si>
  <si>
    <t xml:space="preserve">TOMATO_PMC_Q_TEMP</t>
  </si>
  <si>
    <t xml:space="preserve">'Marginal Cost'!$D$6   —   Largest q with P ≥ MC (temporary rate, reference)</t>
  </si>
  <si>
    <t xml:space="preserve">CARROT_SCHED_Q</t>
  </si>
  <si>
    <t xml:space="preserve">'Marginal Cost'!$A$38:$A$58   —   q = 0 … cap</t>
  </si>
  <si>
    <t xml:space="preserve">CARROT_SCHED_LABOR_HRS</t>
  </si>
  <si>
    <t xml:space="preserve">'Marginal Cost'!$B$38:$B$58   —   LABOR_HOURS(q) for q = 0 … cap</t>
  </si>
  <si>
    <t xml:space="preserve">CARROT_SCHED_MC_PERM</t>
  </si>
  <si>
    <t xml:space="preserve">'Marginal Cost'!$J$39:$J$58   —   Marginal total cost at permanent rate, q = 1 … cap</t>
  </si>
  <si>
    <t xml:space="preserve">CARROT_SCHED_MC_TEMP</t>
  </si>
  <si>
    <t xml:space="preserve">'Marginal Cost'!$K$39:$K$58   —   Marginal total cost at temporary rate, q = 1 … cap</t>
  </si>
  <si>
    <t xml:space="preserve">CARROT_PMC_Q_PERM</t>
  </si>
  <si>
    <t xml:space="preserve">'Marginal Cost'!$C$7   —   Largest q with P ≥ MC (permanent rate, reference)</t>
  </si>
  <si>
    <t xml:space="preserve">CARROT_PMC_Q_TEMP</t>
  </si>
  <si>
    <t xml:space="preserve">'Marginal Cost'!$D$7   —   Largest q with P ≥ MC (temporary rate, reference)</t>
  </si>
  <si>
    <t xml:space="preserve">MESCLUN_SCHED_Q</t>
  </si>
  <si>
    <t xml:space="preserve">'Marginal Cost'!$A$63:$A$93   —   q = 0 … cap</t>
  </si>
  <si>
    <t xml:space="preserve">MESCLUN_SCHED_LABOR_HRS</t>
  </si>
  <si>
    <t xml:space="preserve">'Marginal Cost'!$B$63:$B$93   —   LABOR_HOURS(q) for q = 0 … cap</t>
  </si>
  <si>
    <t xml:space="preserve">MESCLUN_SCHED_MC_PERM</t>
  </si>
  <si>
    <t xml:space="preserve">'Marginal Cost'!$J$64:$J$93   —   Marginal total cost at permanent rate, q = 1 … cap</t>
  </si>
  <si>
    <t xml:space="preserve">MESCLUN_SCHED_MC_TEMP</t>
  </si>
  <si>
    <t xml:space="preserve">'Marginal Cost'!$K$64:$K$93   —   Marginal total cost at temporary rate, q = 1 … cap</t>
  </si>
  <si>
    <t xml:space="preserve">MESCLUN_PMC_Q_PERM</t>
  </si>
  <si>
    <t xml:space="preserve">'Marginal Cost'!$C$8   —   Largest q with P ≥ MC (permanent rate, reference)</t>
  </si>
  <si>
    <t xml:space="preserve">MESCLUN_PMC_Q_TEMP</t>
  </si>
  <si>
    <t xml:space="preserve">'Marginal Cost'!$D$8   —   Largest q with P ≥ MC (temporary rate, reference)</t>
  </si>
  <si>
    <t xml:space="preserve">ENUM_T</t>
  </si>
  <si>
    <t xml:space="preserve">Enumeration!$A$8:$A$448   —   Tomato beds index</t>
  </si>
  <si>
    <t xml:space="preserve">ENUM_C</t>
  </si>
  <si>
    <t xml:space="preserve">Enumeration!$B$8:$B$448   —   Carrot beds index</t>
  </si>
  <si>
    <t xml:space="preserve">ENUM_ROW_BEST</t>
  </si>
  <si>
    <t xml:space="preserve">Enumeration!$E$8:$E$448   —   Row maximum of profit grid</t>
  </si>
  <si>
    <t xml:space="preserve">ENUM_GRID</t>
  </si>
  <si>
    <t xml:space="preserve">Enumeration!$F$8:$AJ$448   —   SEASONAL_PROFIT for every feasible integer mix</t>
  </si>
  <si>
    <t xml:space="preserve">ENUM_BEST_PROFIT</t>
  </si>
  <si>
    <t xml:space="preserve">Enumeration!$AM$8   —   MAX(ENUM_ROW_BEST)</t>
  </si>
  <si>
    <t xml:space="preserve">ENUM_BEST_ROW</t>
  </si>
  <si>
    <t xml:space="preserve">Enumeration!$AM$9   —   MATCH(ENUM_BEST_PROFIT,ENUM_ROW_BEST,0)</t>
  </si>
  <si>
    <t xml:space="preserve">ENUM_BEST_TOMATO</t>
  </si>
  <si>
    <t xml:space="preserve">Enumeration!$AM$10   —   INDEX(ENUM_T,ENUM_BEST_ROW)</t>
  </si>
  <si>
    <t xml:space="preserve">ENUM_BEST_CARROT</t>
  </si>
  <si>
    <t xml:space="preserve">Enumeration!$AM$11   —   INDEX(ENUM_C,ENUM_BEST_ROW)</t>
  </si>
  <si>
    <t xml:space="preserve">ENUM_BEST_MESCLUN</t>
  </si>
  <si>
    <t xml:space="preserve">Enumeration!$AM$12   —   MATCH(ENUM_BEST_PROFIT,INDEX(ENUM_GRID,ENUM_BEST_ROW,0),0)-1</t>
  </si>
  <si>
    <t xml:space="preserve">ENUM_TIES</t>
  </si>
  <si>
    <t xml:space="preserve">Enumeration!$AM$13   —   COUNTIF(ENUM_GRID,ENUM_BEST_PROFIT)</t>
  </si>
  <si>
    <t xml:space="preserve">ENUM_FEASIBLE_COUNT</t>
  </si>
  <si>
    <t xml:space="preserve">Enumeration!$AM$14   —   COUNT(ENUM_GRID)</t>
  </si>
  <si>
    <t xml:space="preserve">ENUM_TOTAL_COUNT</t>
  </si>
  <si>
    <t xml:space="preserve">Enumeration!$AM$15   —   ROWS(ENUM_GRID)*COLUMNS(ENUM_GRID)</t>
  </si>
  <si>
    <t xml:space="preserve">OBJECTIVE_SEASONAL_PROFIT</t>
  </si>
  <si>
    <t xml:space="preserve">Optimization!$C$11   —   = SEASONAL_PROFIT</t>
  </si>
  <si>
    <t xml:space="preserve">CONSTRAINT_STATUS</t>
  </si>
  <si>
    <t xml:space="preserve">Optimization!$F$15:$F$26   —   OK / VIOLATED for every constraint</t>
  </si>
  <si>
    <t xml:space="preserve">TOMATO_LIMIT_STATEMENT</t>
  </si>
  <si>
    <t xml:space="preserve">Optimization!$K$30   —   Formula-generated statement of what limits this crop</t>
  </si>
  <si>
    <t xml:space="preserve">TOMATO_DPROFIT_PLUS1</t>
  </si>
  <si>
    <t xml:space="preserve">Optimization!$G$30   —   Profit change from one more bed</t>
  </si>
  <si>
    <t xml:space="preserve">TOMATO_DPROFIT_MINUS1</t>
  </si>
  <si>
    <t xml:space="preserve">Optimization!$J$30   —   Profit change from one less bed</t>
  </si>
  <si>
    <t xml:space="preserve">TOMATO_PLUS1_FEASIBLE</t>
  </si>
  <si>
    <t xml:space="preserve">Optimization!$H$30   —   Is one more bed feasible?</t>
  </si>
  <si>
    <t xml:space="preserve">CARROT_LIMIT_STATEMENT</t>
  </si>
  <si>
    <t xml:space="preserve">Optimization!$K$31   —   Formula-generated statement of what limits this crop</t>
  </si>
  <si>
    <t xml:space="preserve">CARROT_DPROFIT_PLUS1</t>
  </si>
  <si>
    <t xml:space="preserve">Optimization!$G$31   —   Profit change from one more bed</t>
  </si>
  <si>
    <t xml:space="preserve">CARROT_DPROFIT_MINUS1</t>
  </si>
  <si>
    <t xml:space="preserve">Optimization!$J$31   —   Profit change from one less bed</t>
  </si>
  <si>
    <t xml:space="preserve">CARROT_PLUS1_FEASIBLE</t>
  </si>
  <si>
    <t xml:space="preserve">Optimization!$H$31   —   Is one more bed feasible?</t>
  </si>
  <si>
    <t xml:space="preserve">MESCLUN_LIMIT_STATEMENT</t>
  </si>
  <si>
    <t xml:space="preserve">Optimization!$K$32   —   Formula-generated statement of what limits this crop</t>
  </si>
  <si>
    <t xml:space="preserve">MESCLUN_DPROFIT_PLUS1</t>
  </si>
  <si>
    <t xml:space="preserve">Optimization!$G$32   —   Profit change from one more bed</t>
  </si>
  <si>
    <t xml:space="preserve">MESCLUN_DPROFIT_MINUS1</t>
  </si>
  <si>
    <t xml:space="preserve">Optimization!$J$32   —   Profit change from one less bed</t>
  </si>
  <si>
    <t xml:space="preserve">MESCLUN_PLUS1_FEASIBLE</t>
  </si>
  <si>
    <t xml:space="preserve">Optimization!$H$32   —   Is one more bed feasible?</t>
  </si>
  <si>
    <t xml:space="preserve">BEDS_LIMIT_STATEMENT</t>
  </si>
  <si>
    <t xml:space="preserve">Optimization!$E$36   —   Formula-generated constraint statement</t>
  </si>
  <si>
    <t xml:space="preserve">LABOR_LIMIT_STATEMENT</t>
  </si>
  <si>
    <t xml:space="preserve">Optimization!$E$37   —   Formula-generated constraint statement</t>
  </si>
  <si>
    <t xml:space="preserve">TEMP_LIMIT_STATEMENT</t>
  </si>
  <si>
    <t xml:space="preserve">Optimization!$E$38   —   Formula-generated constraint statement</t>
  </si>
  <si>
    <t xml:space="preserve">PERM_LIMIT_STATEMENT</t>
  </si>
  <si>
    <t xml:space="preserve">Optimization!$E$39   —   Formula-generated constraint statement</t>
  </si>
  <si>
    <t xml:space="preserve">RECOMMENDATION_TEXT</t>
  </si>
  <si>
    <t xml:space="preserve">Optimization!$B$48   —   Formula-generated recommendation sentence</t>
  </si>
  <si>
    <t xml:space="preserve">TOMATO_MC_RATE</t>
  </si>
  <si>
    <t xml:space="preserve">'Marginal Cost'!$F$6   —   MC_RATE for this crop's marginal-cost schedule (spec.md Calculation Logic)</t>
  </si>
  <si>
    <t xml:space="preserve">TOMATO_PMC_Q</t>
  </si>
  <si>
    <t xml:space="preserve">'Marginal Cost'!$H$6   —   Standalone P = MC point at MC_RATE (spec V3)</t>
  </si>
  <si>
    <t xml:space="preserve">TOMATO_PMC_Q_OWNER</t>
  </si>
  <si>
    <t xml:space="preserve">'Marginal Cost'!$I$6   —   Standalone P = MC point, permanent hours first (information)</t>
  </si>
  <si>
    <t xml:space="preserve">TOMATO_MC_FALLS_OWNER</t>
  </si>
  <si>
    <t xml:space="preserve">'Marginal Cost'!$J$6   —   Times marginal cost falls, permanent hours first (information)</t>
  </si>
  <si>
    <t xml:space="preserve">TOMATO_SCHED_MC</t>
  </si>
  <si>
    <t xml:space="preserve">'Marginal Cost'!$Q$14:$Q$33   —   Marginal total cost at MC_RATE, q = 1 … cap</t>
  </si>
  <si>
    <t xml:space="preserve">TOMATO_SCHED_MC_OWNER</t>
  </si>
  <si>
    <t xml:space="preserve">'Marginal Cost'!$U$14:$U$33   —   Marginal total cost, permanent hours first, q = 1 … cap</t>
  </si>
  <si>
    <t xml:space="preserve">CARROT_MC_RATE</t>
  </si>
  <si>
    <t xml:space="preserve">'Marginal Cost'!$F$7   —   MC_RATE for this crop's marginal-cost schedule (spec.md Calculation Logic)</t>
  </si>
  <si>
    <t xml:space="preserve">CARROT_PMC_Q</t>
  </si>
  <si>
    <t xml:space="preserve">'Marginal Cost'!$H$7   —   Standalone P = MC point at MC_RATE (spec V3)</t>
  </si>
  <si>
    <t xml:space="preserve">CARROT_PMC_Q_OWNER</t>
  </si>
  <si>
    <t xml:space="preserve">'Marginal Cost'!$I$7   —   Standalone P = MC point, permanent hours first (information)</t>
  </si>
  <si>
    <t xml:space="preserve">CARROT_MC_FALLS_OWNER</t>
  </si>
  <si>
    <t xml:space="preserve">'Marginal Cost'!$J$7   —   Times marginal cost falls, permanent hours first (information)</t>
  </si>
  <si>
    <t xml:space="preserve">CARROT_SCHED_MC</t>
  </si>
  <si>
    <t xml:space="preserve">'Marginal Cost'!$Q$39:$Q$58   —   Marginal total cost at MC_RATE, q = 1 … cap</t>
  </si>
  <si>
    <t xml:space="preserve">CARROT_SCHED_MC_OWNER</t>
  </si>
  <si>
    <t xml:space="preserve">'Marginal Cost'!$U$39:$U$58   —   Marginal total cost, permanent hours first, q = 1 … cap</t>
  </si>
  <si>
    <t xml:space="preserve">MESCLUN_MC_RATE</t>
  </si>
  <si>
    <t xml:space="preserve">'Marginal Cost'!$F$8   —   MC_RATE for this crop's marginal-cost schedule (spec.md Calculation Logic)</t>
  </si>
  <si>
    <t xml:space="preserve">MESCLUN_PMC_Q</t>
  </si>
  <si>
    <t xml:space="preserve">'Marginal Cost'!$H$8   —   Standalone P = MC point at MC_RATE (spec V3)</t>
  </si>
  <si>
    <t xml:space="preserve">MESCLUN_PMC_Q_OWNER</t>
  </si>
  <si>
    <t xml:space="preserve">'Marginal Cost'!$I$8   —   Standalone P = MC point, permanent hours first (information)</t>
  </si>
  <si>
    <t xml:space="preserve">MESCLUN_MC_FALLS_OWNER</t>
  </si>
  <si>
    <t xml:space="preserve">'Marginal Cost'!$J$8   —   Times marginal cost falls, permanent hours first (information)</t>
  </si>
  <si>
    <t xml:space="preserve">MESCLUN_SCHED_MC</t>
  </si>
  <si>
    <t xml:space="preserve">'Marginal Cost'!$Q$64:$Q$93   —   Marginal total cost at MC_RATE, q = 1 … cap</t>
  </si>
  <si>
    <t xml:space="preserve">MESCLUN_SCHED_MC_OWNER</t>
  </si>
  <si>
    <t xml:space="preserve">'Marginal Cost'!$U$64:$U$93   —   Marginal total cost, permanent hours first, q = 1 … cap</t>
  </si>
  <si>
    <t xml:space="preserve">TOMATO_LABOR_COST</t>
  </si>
  <si>
    <t xml:space="preserve">'Cost Structure'!$D$37   —   TOMATO_LABOR_HRS × BLENDED_LABOR_RATE (reporting only)</t>
  </si>
  <si>
    <t xml:space="preserve">TOMATO_CONTRIBUTION</t>
  </si>
  <si>
    <t xml:space="preserve">'Cost Structure'!$H$37   —   TOMATO_REVENUE − TOMATO_FERTILIZER − TOMATO_LABOR_COST (reporting only)</t>
  </si>
  <si>
    <t xml:space="preserve">CARROT_LABOR_COST</t>
  </si>
  <si>
    <t xml:space="preserve">'Cost Structure'!$D$38   —   CARROT_LABOR_HRS × BLENDED_LABOR_RATE (reporting only)</t>
  </si>
  <si>
    <t xml:space="preserve">CARROT_CONTRIBUTION</t>
  </si>
  <si>
    <t xml:space="preserve">'Cost Structure'!$H$38   —   CARROT_REVENUE − CARROT_FERTILIZER − CARROT_LABOR_COST (reporting only)</t>
  </si>
  <si>
    <t xml:space="preserve">MESCLUN_LABOR_COST</t>
  </si>
  <si>
    <t xml:space="preserve">'Cost Structure'!$D$39   —   MESCLUN_LABOR_HRS × BLENDED_LABOR_RATE (reporting only)</t>
  </si>
  <si>
    <t xml:space="preserve">MESCLUN_CONTRIBUTION</t>
  </si>
  <si>
    <t xml:space="preserve">'Cost Structure'!$H$39   —   MESCLUN_REVENUE − MESCLUN_FERTILIZER − MESCLUN_LABOR_COST (reporting only)</t>
  </si>
  <si>
    <t xml:space="preserve">PROFIT_TOLERANCE</t>
  </si>
  <si>
    <t xml:space="preserve">Checks!$B$7   —   Check setting (spec.md V2): $25</t>
  </si>
  <si>
    <t xml:space="preserve">BED_TOLERANCE</t>
  </si>
  <si>
    <t xml:space="preserve">Checks!$B$8   —   Check setting (spec.md V3): 1 bed</t>
  </si>
  <si>
    <t xml:space="preserve">CHECKS_OVERALL</t>
  </si>
  <si>
    <t xml:space="preserve">Checks!$B$4   —   ALL CHECKS PASS, PENDING count, or count of failures</t>
  </si>
  <si>
    <t xml:space="preserve">Optimization summary - seasonal bed mix</t>
  </si>
  <si>
    <t xml:space="preserve">Every value below is a live formula. Re-run Solver after changing an input; the Checks sheet confirms the result.</t>
  </si>
  <si>
    <t xml:space="preserve">Recommendation</t>
  </si>
  <si>
    <t xml:space="preserve">Workbook checks</t>
  </si>
  <si>
    <t xml:space="preserve">Output</t>
  </si>
  <si>
    <t xml:space="preserve">Value</t>
  </si>
  <si>
    <t xml:space="preserve">Unit</t>
  </si>
  <si>
    <t xml:space="preserve">Named range</t>
  </si>
  <si>
    <t xml:space="preserve">Optimized tomato beds</t>
  </si>
  <si>
    <t xml:space="preserve">beds</t>
  </si>
  <si>
    <t xml:space="preserve">Optimized carrot beds</t>
  </si>
  <si>
    <t xml:space="preserve">Optimized mesclun beds</t>
  </si>
  <si>
    <t xml:space="preserve">Total beds used</t>
  </si>
  <si>
    <t xml:space="preserve">Unused beds</t>
  </si>
  <si>
    <t xml:space="preserve">Total revenue</t>
  </si>
  <si>
    <t xml:space="preserve">$/season</t>
  </si>
  <si>
    <t xml:space="preserve">Total fertilizer cost</t>
  </si>
  <si>
    <t xml:space="preserve">Total labor hours</t>
  </si>
  <si>
    <t xml:space="preserve">hours/season</t>
  </si>
  <si>
    <t xml:space="preserve">Remaining unused labor hours</t>
  </si>
  <si>
    <t xml:space="preserve">Permanent hours used</t>
  </si>
  <si>
    <t xml:space="preserve">Temporary hours used</t>
  </si>
  <si>
    <t xml:space="preserve">Temporary workers required (whole workers)</t>
  </si>
  <si>
    <t xml:space="preserve">workers</t>
  </si>
  <si>
    <t xml:space="preserve">Temporary workers required (full-time equivalent)</t>
  </si>
  <si>
    <t xml:space="preserve">Total labor cost</t>
  </si>
  <si>
    <t xml:space="preserve">Blended labor rate</t>
  </si>
  <si>
    <t xml:space="preserve">$/hour</t>
  </si>
  <si>
    <t xml:space="preserve">Fixed seasonal cost</t>
  </si>
  <si>
    <t xml:space="preserve">Seasonal profit</t>
  </si>
  <si>
    <t xml:space="preserve">What limits the optimization</t>
  </si>
  <si>
    <t xml:space="preserve">Limit</t>
  </si>
  <si>
    <t xml:space="preserve">Statement (formula-generated)</t>
  </si>
  <si>
    <t xml:space="preserve">Tomato beds</t>
  </si>
  <si>
    <t xml:space="preserve">Carrot beds</t>
  </si>
  <si>
    <t xml:space="preserve">Mesclun beds</t>
  </si>
  <si>
    <t xml:space="preserve">Farm beds</t>
  </si>
  <si>
    <t xml:space="preserve">Temporary labor hours</t>
  </si>
  <si>
    <t xml:space="preserve">Permanent labor hours</t>
  </si>
  <si>
    <t xml:space="preserve">Standalone P = MC points (Marginal Cost sheet)</t>
  </si>
  <si>
    <t xml:space="preserve">Crop</t>
  </si>
  <si>
    <t xml:space="preserve">@ MC_RATE (spec, V3)</t>
  </si>
  <si>
    <t xml:space="preserve">Permanent hours first (info)</t>
  </si>
  <si>
    <t xml:space="preserve">Bed cap</t>
  </si>
  <si>
    <t xml:space="preserve">Tomato</t>
  </si>
  <si>
    <t xml:space="preserve">Carrot</t>
  </si>
  <si>
    <t xml:space="preserve">Mesclun</t>
  </si>
  <si>
    <t xml:space="preserve">MC_RATE: tomatoes at TEMP_HOURLY_RATE, carrots and mesclun at PERMANENT_HOURLY_RATE (spec.md, Calculation Logic). The permanent-hours-first schedule prices labor as SEASONAL_PROFIT does; see spec.md Audit finding A1.</t>
  </si>
  <si>
    <t xml:space="preserve">Contribution by crop (labor at the blended rate; reporting only)</t>
  </si>
  <si>
    <t xml:space="preserve">Crop labor cost</t>
  </si>
  <si>
    <t xml:space="preserve">Crop contribution</t>
  </si>
  <si>
    <t xml:space="preserve">Named ranges</t>
  </si>
  <si>
    <t xml:space="preserve">TOMATO_LABOR_COST, TOMATO_CONTRIBUTION</t>
  </si>
  <si>
    <t xml:space="preserve">CARROT_LABOR_COST, CARROT_CONTRIBUTION</t>
  </si>
  <si>
    <t xml:space="preserve">MESCLUN_LABOR_COST, MESCLUN_CONTRIBUTION</t>
  </si>
  <si>
    <t xml:space="preserve">Inputs - case assumptions</t>
  </si>
  <si>
    <t xml:space="preserve">Yellow cells with blue text are the only editable assumptions. Every value is a workbook-level named range. Grey cells are derived formulas.</t>
  </si>
  <si>
    <t xml:space="preserve">Name (named range)</t>
  </si>
  <si>
    <t xml:space="preserve">Source</t>
  </si>
  <si>
    <t xml:space="preserve">Note</t>
  </si>
  <si>
    <t xml:space="preserve">Case data, spec.md §Inputs</t>
  </si>
  <si>
    <t xml:space="preserve">$/bed/season</t>
  </si>
  <si>
    <t xml:space="preserve">hour/week/bed</t>
  </si>
  <si>
    <t xml:space="preserve">5/6 hour (0.8333…) rounded to three decimals; used as published. Effect on profit: spec.md Audit finding A2.</t>
  </si>
  <si>
    <t xml:space="preserve">%</t>
  </si>
  <si>
    <t xml:space="preserve">Spec name TOMATO_DIM_RTRN_% (Excel names cannot contain %). Stored as a decimal: 10% = 0.10.</t>
  </si>
  <si>
    <t xml:space="preserve">Spec name CARROT_DIM_RTRN_%.</t>
  </si>
  <si>
    <t xml:space="preserve">Spec name MESCLUN_DIM_RTRN_%.</t>
  </si>
  <si>
    <t xml:space="preserve">weeks</t>
  </si>
  <si>
    <t xml:space="preserve">Spec formulas also call this PERMANENT_FIELD_HOURS.</t>
  </si>
  <si>
    <t xml:space="preserve">$34.7222… ($25,000 ÷ 720 hours) rounded to the cent; used as published. Effect on profit: spec.md Audit finding A2.</t>
  </si>
  <si>
    <t xml:space="preserve">hours/worker/season</t>
  </si>
  <si>
    <t xml:space="preserve">Spec name TEMP_HOURS_LABOR_PER WORKER (Excel names cannot contain spaces).</t>
  </si>
  <si>
    <t xml:space="preserve">Half the unrounded permanent rate ($17.3611…) rounded to the cent; used as published. Effect on profit: spec.md Audit finding A2.</t>
  </si>
  <si>
    <t xml:space="preserve">Derived inputs (formulas - do not edit)</t>
  </si>
  <si>
    <t xml:space="preserve">Formula</t>
  </si>
  <si>
    <t xml:space="preserve">TEMP_HOURS_LABOR_PER_WORKER × TEMP_WORKER_CAP</t>
  </si>
  <si>
    <t xml:space="preserve">Spec check value: 5,760 hours</t>
  </si>
  <si>
    <t xml:space="preserve">TEMP_HOURS_CAP + PERMANENT_FIELD_LABOR_HOURS</t>
  </si>
  <si>
    <t xml:space="preserve">Spec check value: 6,480 hours</t>
  </si>
  <si>
    <t xml:space="preserve">Cost Structure - economics of the current bed mix</t>
  </si>
  <si>
    <t xml:space="preserve">Driven by the decision cells on the Optimization sheet. All cells are formulas; named ranges are shown in column A/B.</t>
  </si>
  <si>
    <t xml:space="preserve">Beds</t>
  </si>
  <si>
    <t xml:space="preserve">Revenue per bed</t>
  </si>
  <si>
    <t xml:space="preserve">Revenue</t>
  </si>
  <si>
    <t xml:space="preserve">Fertilizer per bed</t>
  </si>
  <si>
    <t xml:space="preserve">Fertilizer</t>
  </si>
  <si>
    <t xml:space="preserve">Hours/week/bed</t>
  </si>
  <si>
    <t xml:space="preserve">Dim. return</t>
  </si>
  <si>
    <t xml:space="preserve">Labor hours</t>
  </si>
  <si>
    <t xml:space="preserve">Labor-hours formula</t>
  </si>
  <si>
    <t xml:space="preserve">TOMATO_BEDS × TOMATO_HRS_PER_WEEK_PER_BED × SEASON_WEEKS × (1 + TOMATO_DIM_RTRN_PCT)^TOMATO_BEDS</t>
  </si>
  <si>
    <t xml:space="preserve">CARROT_BEDS × CARROT_HRS_PER_WEEK_PER_BED × SEASON_WEEKS × (1 + CARROT_DIM_RTRN_PCT)^CARROT_BEDS</t>
  </si>
  <si>
    <t xml:space="preserve">MESCLUN_BEDS × MESCLUN_HRS_PER_WEEK_PER_BED × SEASON_WEEKS × (1 + MESCLUN_DIM_RTRN_PCT)^MESCLUN_BEDS</t>
  </si>
  <si>
    <t xml:space="preserve">Total</t>
  </si>
  <si>
    <t xml:space="preserve">Labor allocation (permanent hours first, then temporary hours)</t>
  </si>
  <si>
    <t xml:space="preserve">Quantity</t>
  </si>
  <si>
    <t xml:space="preserve">Total labor hours required</t>
  </si>
  <si>
    <t xml:space="preserve">hours</t>
  </si>
  <si>
    <t xml:space="preserve">(sum of crop labor hours, above)</t>
  </si>
  <si>
    <t xml:space="preserve">MIN(TOTAL_LABOR_HOURS, PERMANENT_FIELD_LABOR_HOURS)</t>
  </si>
  <si>
    <t xml:space="preserve">MAX(0, TOTAL_LABOR_HOURS − PERMANENT_FIELD_LABOR_HOURS)</t>
  </si>
  <si>
    <t xml:space="preserve">Permanent labor cost</t>
  </si>
  <si>
    <t xml:space="preserve">$</t>
  </si>
  <si>
    <t xml:space="preserve">PERMANENT_HOURS_USED × PERMANENT_HOURLY_RATE</t>
  </si>
  <si>
    <t xml:space="preserve">Temporary labor cost</t>
  </si>
  <si>
    <t xml:space="preserve">TEMP_HOURS_USED × TEMP_HOURLY_RATE</t>
  </si>
  <si>
    <t xml:space="preserve">PERMANENT_LABOR_COST + TEMP_LABOR_COST</t>
  </si>
  <si>
    <t xml:space="preserve">TOTAL_LABOR_COST / TOTAL_LABOR_HOURS, only when TOTAL_LABOR_HOURS &gt; 0 (division-by-zero guard)</t>
  </si>
  <si>
    <t xml:space="preserve">ROUNDUP(TEMP_HOURS_USED / TEMP_HOURS_LABOR_PER_WORKER, 0)</t>
  </si>
  <si>
    <t xml:space="preserve">TEMP_HOURS_USED / TEMP_HOURS_LABOR_PER_WORKER</t>
  </si>
  <si>
    <t xml:space="preserve">TOTAL_LABOR_HOURS_CAP − TOTAL_LABOR_HOURS</t>
  </si>
  <si>
    <t xml:space="preserve">TOTAL_BEDS_AVAILABLE − TOTAL_BEDS_USED</t>
  </si>
  <si>
    <t xml:space="preserve">Seasonal profit and loss</t>
  </si>
  <si>
    <t xml:space="preserve">Line</t>
  </si>
  <si>
    <t xml:space="preserve">(from crop table)</t>
  </si>
  <si>
    <t xml:space="preserve">Less: total fertilizer</t>
  </si>
  <si>
    <t xml:space="preserve">Less: total labor cost</t>
  </si>
  <si>
    <t xml:space="preserve">(from labor allocation)</t>
  </si>
  <si>
    <t xml:space="preserve">Less: fixed season cost</t>
  </si>
  <si>
    <t xml:space="preserve">(input)</t>
  </si>
  <si>
    <t xml:space="preserve">Total costs</t>
  </si>
  <si>
    <t xml:space="preserve">TOTAL_FERTILIZER + TOTAL_LABOR_COST + FIXED_SEASON_COST</t>
  </si>
  <si>
    <t xml:space="preserve">TOTAL_REVENUE − TOTAL_FERTILIZER − TOTAL_LABOR_COST − FIXED_SEASON_COST</t>
  </si>
  <si>
    <t xml:space="preserve">Labor cost and contribution by crop (blended labor rate; for reporting only, the optimization uses SEASONAL_PROFIT)</t>
  </si>
  <si>
    <t xml:space="preserve">TOMATO_LABOR_COST = TOMATO_LABOR_HRS × BLENDED_LABOR_RATE (0 when TOTAL_LABOR_HOURS = 0)</t>
  </si>
  <si>
    <t xml:space="preserve">TOMATO_LABOR_COST, TOMATO_CONTRIBUTION = TOMATO_REVENUE − TOMATO_FERTILIZER − TOMATO_LABOR_COST</t>
  </si>
  <si>
    <t xml:space="preserve">CARROT_LABOR_COST = CARROT_LABOR_HRS × BLENDED_LABOR_RATE (0 when TOTAL_LABOR_HOURS = 0)</t>
  </si>
  <si>
    <t xml:space="preserve">CARROT_LABOR_COST, CARROT_CONTRIBUTION = CARROT_REVENUE − CARROT_FERTILIZER − CARROT_LABOR_COST</t>
  </si>
  <si>
    <t xml:space="preserve">MESCLUN_LABOR_COST = MESCLUN_LABOR_HRS × BLENDED_LABOR_RATE (0 when TOTAL_LABOR_HOURS = 0)</t>
  </si>
  <si>
    <t xml:space="preserve">MESCLUN_LABOR_COST, MESCLUN_CONTRIBUTION = MESCLUN_REVENUE − MESCLUN_FERTILIZER − MESCLUN_LABOR_COST</t>
  </si>
  <si>
    <t xml:space="preserve">Crop labor costs sum to TOTAL_LABOR_COST (tested on Checks, L1)</t>
  </si>
  <si>
    <t xml:space="preserve">Contribution = revenue − fertilizer − labor at the blended rate. It does not include FIXED_SEASON_COST, and it shows each crop's average share of labor cost, not its cost at the margin.</t>
  </si>
  <si>
    <t xml:space="preserve">Marginal cost schedules and standalone P = MC diagnostics</t>
  </si>
  <si>
    <t xml:space="preserve">Integer q = 0 to each crop's bed cap. The spec schedule (columns O–R) prices each crop at its MC_RATE (spec.md, Calculation Logic): tomatoes at TEMP_HOURLY_RATE, carrots and mesclun at PERMANENT_HOURLY_RATE. Columns C–D and G–N show both single rates for reference. Columns S–V price labor permanent hours first, as SEASONAL_PROFIT does (information only).</t>
  </si>
  <si>
    <t xml:space="preserve">Standalone P = MC points (largest q where price ≥ marginal total cost). Each single-rate schedule is priced at one labor rate, so its marginal cost rises with q; the farm's actual labor cost uses permanent hours first (see spec.md Audit finding A1), and that schedule falls where the 720 permanent hours run out: in one step for tomatoes, over two beds for carrots and mesclun.</t>
  </si>
  <si>
    <t xml:space="preserve">Price (revenue per bed)</t>
  </si>
  <si>
    <t xml:space="preserve">P = MC point @ permanent rate (beds)</t>
  </si>
  <si>
    <t xml:space="preserve">P = MC point @ temporary rate (beds)</t>
  </si>
  <si>
    <t xml:space="preserve">MC_RATE ($/hr)</t>
  </si>
  <si>
    <t xml:space="preserve">MC_RATE is</t>
  </si>
  <si>
    <t xml:space="preserve">P = MC point @ MC_RATE (spec, V3)</t>
  </si>
  <si>
    <t xml:space="preserve">P = MC point, permanent hours first (info)</t>
  </si>
  <si>
    <t xml:space="preserve">Times MC falls, permanent hours first (info)</t>
  </si>
  <si>
    <t xml:space="preserve">Tomato schedule</t>
  </si>
  <si>
    <t xml:space="preserve">LABOR_HOURS(q) = q × TOMATO_HRS_PER_WEEK_PER_BED × SEASON_WEEKS × (1 + TOMATO_DIM_RTRN_PCT)^q</t>
  </si>
  <si>
    <t xml:space="preserve">q (beds)</t>
  </si>
  <si>
    <t xml:space="preserve">Labor $ @ permanent rate</t>
  </si>
  <si>
    <t xml:space="preserve">Labor $ @ temp rate</t>
  </si>
  <si>
    <t xml:space="preserve">Fertilizer $</t>
  </si>
  <si>
    <t xml:space="preserve">Marginal labor hours</t>
  </si>
  <si>
    <t xml:space="preserve">Marginal labor $ @ permanent</t>
  </si>
  <si>
    <t xml:space="preserve">Marginal labor $ @ temp</t>
  </si>
  <si>
    <t xml:space="preserve">Marginal fertilizer $</t>
  </si>
  <si>
    <t xml:space="preserve">Marginal total cost @ permanent</t>
  </si>
  <si>
    <t xml:space="preserve">Marginal total cost @ temp</t>
  </si>
  <si>
    <t xml:space="preserve">Price P (revenue/bed)</t>
  </si>
  <si>
    <t xml:space="preserve">P ≥ MC @ permanent (1/0)</t>
  </si>
  <si>
    <t xml:space="preserve">P ≥ MC @ temp (1/0)</t>
  </si>
  <si>
    <t xml:space="preserve">Labor $ @ MC_RATE</t>
  </si>
  <si>
    <t xml:space="preserve">Marginal labor $ @ MC_RATE</t>
  </si>
  <si>
    <t xml:space="preserve">Marginal total cost @ MC_RATE (spec)</t>
  </si>
  <si>
    <t xml:space="preserve">P ≥ MC @ MC_RATE (1/0)</t>
  </si>
  <si>
    <t xml:space="preserve">Labor $, permanent hours first (info)</t>
  </si>
  <si>
    <t xml:space="preserve">Marginal labor $, permanent hours first</t>
  </si>
  <si>
    <t xml:space="preserve">Marginal total cost, permanent hours first</t>
  </si>
  <si>
    <t xml:space="preserve">P ≥ MC, permanent hours first (1/0)</t>
  </si>
  <si>
    <t xml:space="preserve">—</t>
  </si>
  <si>
    <t xml:space="preserve">Carrot schedule</t>
  </si>
  <si>
    <t xml:space="preserve">LABOR_HOURS(q) = q × CARROT_HRS_PER_WEEK_PER_BED × SEASON_WEEKS × (1 + CARROT_DIM_RTRN_PCT)^q</t>
  </si>
  <si>
    <t xml:space="preserve">Mesclun schedule</t>
  </si>
  <si>
    <t xml:space="preserve">LABOR_HOURS(q) = q × MESCLUN_HRS_PER_WEEK_PER_BED × SEASON_WEEKS × (1 + MESCLUN_DIM_RTRN_PCT)^q</t>
  </si>
  <si>
    <t xml:space="preserve">Optimization - decision cells, objective, constraints, Solver setup</t>
  </si>
  <si>
    <t xml:space="preserve">Orange cells are the Solver changing cells. Green cells are constraint checks. Gold cells are the recommendation.</t>
  </si>
  <si>
    <t xml:space="preserve">Decision cells (Solver changing cells: integer, non-negative)</t>
  </si>
  <si>
    <t xml:space="preserve">Solver writes this value. Checks (V1 and O5) confirm it equals the exhaustive-enumeration optimum.</t>
  </si>
  <si>
    <t xml:space="preserve">Objective (Solver: Set Objective, Max)</t>
  </si>
  <si>
    <t xml:space="preserve">SEASONAL_PROFIT = TOTAL_REVENUE − TOTAL_FERTILIZER − TOTAL_LABOR_COST − FIXED_SEASON_COST (Cost Structure sheet)</t>
  </si>
  <si>
    <t xml:space="preserve">Constraints (green = constraint-check cells)</t>
  </si>
  <si>
    <t xml:space="preserve">Constraint</t>
  </si>
  <si>
    <t xml:space="preserve">Left-hand side</t>
  </si>
  <si>
    <t xml:space="preserve">Relation</t>
  </si>
  <si>
    <t xml:space="preserve">Right-hand side</t>
  </si>
  <si>
    <t xml:space="preserve">Slack</t>
  </si>
  <si>
    <t xml:space="preserve">Check</t>
  </si>
  <si>
    <t xml:space="preserve">Binding?</t>
  </si>
  <si>
    <t xml:space="preserve">TOMATO_BEDS ≤ TOMATO_BED_CAP</t>
  </si>
  <si>
    <t xml:space="preserve">≤</t>
  </si>
  <si>
    <t xml:space="preserve">CARROT_BEDS ≤ CARROT_BED_CAP</t>
  </si>
  <si>
    <t xml:space="preserve">MESCLUN_BEDS ≤ MESCLUN_BED_CAP</t>
  </si>
  <si>
    <t xml:space="preserve">TOTAL_BEDS_USED ≤ TOTAL_BEDS_AVAILABLE</t>
  </si>
  <si>
    <t xml:space="preserve">TEMP_HOURS_USED ≤ TEMP_HOURS_CAP</t>
  </si>
  <si>
    <t xml:space="preserve">TOTAL_LABOR_HOURS ≤ TOTAL_LABOR_HOURS_CAP</t>
  </si>
  <si>
    <t xml:space="preserve">TOMATO_BEDS integer</t>
  </si>
  <si>
    <t xml:space="preserve">int</t>
  </si>
  <si>
    <t xml:space="preserve">integer</t>
  </si>
  <si>
    <t xml:space="preserve">CARROT_BEDS integer</t>
  </si>
  <si>
    <t xml:space="preserve">MESCLUN_BEDS integer</t>
  </si>
  <si>
    <t xml:space="preserve">TOMATO_BEDS ≥ 0</t>
  </si>
  <si>
    <t xml:space="preserve">≥</t>
  </si>
  <si>
    <t xml:space="preserve">CARROT_BEDS ≥ 0</t>
  </si>
  <si>
    <t xml:space="preserve">MESCLUN_BEDS ≥ 0</t>
  </si>
  <si>
    <t xml:space="preserve">Marginal analysis at the current mix: what happens if one bed is added or removed (labor priced at the farm-level permanent-first allocation)</t>
  </si>
  <si>
    <t xml:space="preserve">Current beds</t>
  </si>
  <si>
    <t xml:space="preserve">Labor hours of next bed</t>
  </si>
  <si>
    <t xml:space="preserve">Labor cost of next bed</t>
  </si>
  <si>
    <t xml:space="preserve">Fertilizer of next bed</t>
  </si>
  <si>
    <t xml:space="preserve">Revenue of next bed (P)</t>
  </si>
  <si>
    <t xml:space="preserve">Profit change: +1 bed</t>
  </si>
  <si>
    <t xml:space="preserve">+1 bed feasible?</t>
  </si>
  <si>
    <t xml:space="preserve">Labor hours of last bed</t>
  </si>
  <si>
    <t xml:space="preserve">Profit change: −1 bed</t>
  </si>
  <si>
    <t xml:space="preserve">What limits this crop</t>
  </si>
  <si>
    <t xml:space="preserve">Farm-level constraints at the current mix</t>
  </si>
  <si>
    <t xml:space="preserve">Used</t>
  </si>
  <si>
    <t xml:space="preserve">Available</t>
  </si>
  <si>
    <t xml:space="preserve">Unused</t>
  </si>
  <si>
    <t xml:space="preserve">Statement</t>
  </si>
  <si>
    <t xml:space="preserve">Beds (64-bed farm)</t>
  </si>
  <si>
    <t xml:space="preserve">Optimized solution (RECOMMENDATION)</t>
  </si>
  <si>
    <t xml:space="preserve">Item</t>
  </si>
  <si>
    <t xml:space="preserve">Decision cells (Solver)</t>
  </si>
  <si>
    <t xml:space="preserve">Exhaustive enumeration</t>
  </si>
  <si>
    <t xml:space="preserve">Match?</t>
  </si>
  <si>
    <t xml:space="preserve">Solver settings (Data › Solver). Pre-loaded in this sheet's hidden Solver names; enter manually if the dialog is blank.</t>
  </si>
  <si>
    <t xml:space="preserve">Set Objective</t>
  </si>
  <si>
    <t xml:space="preserve">OBJECTIVE_SEASONAL_PROFIT  (Optimization!$C$11)</t>
  </si>
  <si>
    <t xml:space="preserve">To</t>
  </si>
  <si>
    <t xml:space="preserve">Max</t>
  </si>
  <si>
    <t xml:space="preserve">By Changing Variable Cells</t>
  </si>
  <si>
    <t xml:space="preserve">TOMATO_BEDS, CARROT_BEDS, MESCLUN_BEDS  (Optimization!$C$6:$C$8)</t>
  </si>
  <si>
    <t xml:space="preserve">Subject to</t>
  </si>
  <si>
    <t xml:space="preserve">TOMATO_BEDS ≤ TOMATO_BED_CAP;  CARROT_BEDS ≤ CARROT_BED_CAP;  MESCLUN_BEDS ≤ MESCLUN_BED_CAP</t>
  </si>
  <si>
    <t xml:space="preserve">TOTAL_BEDS_USED ≤ TOTAL_BEDS_AVAILABLE;  TEMP_HOURS_USED ≤ TEMP_HOURS_CAP;  TOTAL_LABOR_HOURS ≤ TOTAL_LABOR_HOURS_CAP</t>
  </si>
  <si>
    <t xml:space="preserve">Optimization!$C$6:$C$8 = integer</t>
  </si>
  <si>
    <t xml:space="preserve">Make Unconstrained Variables Non-Negative</t>
  </si>
  <si>
    <t xml:space="preserve">Checked</t>
  </si>
  <si>
    <t xml:space="preserve">Solving Method</t>
  </si>
  <si>
    <t xml:space="preserve">GRG Nonlinear</t>
  </si>
  <si>
    <t xml:space="preserve">Options › All Methods</t>
  </si>
  <si>
    <t xml:space="preserve">Integer Optimality (%) = 0;  Ignore Integer Constraints = unchecked</t>
  </si>
  <si>
    <t xml:space="preserve">Options › GRG Nonlinear</t>
  </si>
  <si>
    <t xml:space="preserve">Use Multistart = checked (recommended: labor cost is concave in hours, so a single GRG start can stop at a local optimum)</t>
  </si>
  <si>
    <t xml:space="preserve">Cross-check</t>
  </si>
  <si>
    <t xml:space="preserve">The Enumeration sheet evaluates every integer mix; the Checks sheet fails if the Solver result differs from it.</t>
  </si>
  <si>
    <t xml:space="preserve">Exhaustive integer enumeration - every (tomato, carrot, mesclun) mix</t>
  </si>
  <si>
    <t xml:space="preserve">Rows = tomato × carrot pairs; columns = mesclun beds. Each cell is SEASONAL_PROFIT for that mix, or blank if it breaks a constraint. Solver-independent proof of the global optimum.</t>
  </si>
  <si>
    <t xml:space="preserve">Mesclun beds m →</t>
  </si>
  <si>
    <t xml:space="preserve">Mesclun labor hours LABOR_HOURS(m)</t>
  </si>
  <si>
    <t xml:space="preserve">Mesclun net revenue m × (revenue − fertilizer)</t>
  </si>
  <si>
    <t xml:space="preserve">Tomato beds t</t>
  </si>
  <si>
    <t xml:space="preserve">Carrot beds c</t>
  </si>
  <si>
    <t xml:space="preserve">Net revenue of t, c</t>
  </si>
  <si>
    <t xml:space="preserve">Labor hours of t, c</t>
  </si>
  <si>
    <t xml:space="preserve">Best profit in row</t>
  </si>
  <si>
    <t xml:space="preserve">Enumeration result</t>
  </si>
  <si>
    <t xml:space="preserve">Best feasible profit</t>
  </si>
  <si>
    <t xml:space="preserve">Row of best mix</t>
  </si>
  <si>
    <t xml:space="preserve">Best tomato beds</t>
  </si>
  <si>
    <t xml:space="preserve">Best carrot beds</t>
  </si>
  <si>
    <t xml:space="preserve">Best mesclun beds</t>
  </si>
  <si>
    <t xml:space="preserve">Mixes tied at best profit</t>
  </si>
  <si>
    <t xml:space="preserve">Feasible mixes evaluated</t>
  </si>
  <si>
    <t xml:space="preserve">Total mixes in grid</t>
  </si>
  <si>
    <t xml:space="preserve">Checks - spec.md Validation Rules (V1–V6), then supporting constraint, error, logic and hand-calculation checks</t>
  </si>
  <si>
    <t xml:space="preserve">Every status is a formula. FAIL shows red; PENDING (amber) means a result recorded by hand has not been entered yet. Rule numbers V1–V6 match spec.md, Validation Rules.</t>
  </si>
  <si>
    <t xml:space="preserve">Overall status</t>
  </si>
  <si>
    <t xml:space="preserve">Check tolerances (spec.md, Validation Rules; check settings, not model inputs)</t>
  </si>
  <si>
    <t xml:space="preserve">PROFIT_TOLERANCE (vs published $42,762)</t>
  </si>
  <si>
    <t xml:space="preserve">BED_TOLERANCE (standalone P = MC points)</t>
  </si>
  <si>
    <t xml:space="preserve">Results recorded by hand (V5, V6). Fill in the yellow cells after running Solver and the Farm Profit Lab; leave blank until then.</t>
  </si>
  <si>
    <t xml:space="preserve">ID</t>
  </si>
  <si>
    <t xml:space="preserve">Run</t>
  </si>
  <si>
    <t xml:space="preserve">Starting mix (T / C / M)</t>
  </si>
  <si>
    <t xml:space="preserve">Tomato beds returned</t>
  </si>
  <si>
    <t xml:space="preserve">Carrot beds returned</t>
  </si>
  <si>
    <t xml:space="preserve">Mesclun beds returned</t>
  </si>
  <si>
    <t xml:space="preserve">Profit returned ($)</t>
  </si>
  <si>
    <t xml:space="preserve">Date run</t>
  </si>
  <si>
    <t xml:space="preserve">V5-1</t>
  </si>
  <si>
    <t xml:space="preserve">Excel Solver, run 1</t>
  </si>
  <si>
    <t xml:space="preserve">0 / 0 / 0</t>
  </si>
  <si>
    <t xml:space="preserve">Solver found a solution.</t>
  </si>
  <si>
    <t xml:space="preserve">V5-2</t>
  </si>
  <si>
    <t xml:space="preserve">Excel Solver, run 2</t>
  </si>
  <si>
    <t xml:space="preserve">20 / 0 / 0</t>
  </si>
  <si>
    <t xml:space="preserve">Started at 20 / 0 / 0 (profit about -$84,300; about 12,110 labor hours, over the 6,480-hour limit). Solver found a solution.</t>
  </si>
  <si>
    <t xml:space="preserve">V6</t>
  </si>
  <si>
    <t xml:space="preserve">Farm Profit Lab</t>
  </si>
  <si>
    <t xml:space="preserve">10 / 20 / 30 entered in the Lab</t>
  </si>
  <si>
    <t xml:space="preserve">Farm Profit Lab (farmlab.html), mix 10 / 20 / 30.</t>
  </si>
  <si>
    <t xml:space="preserve">Category</t>
  </si>
  <si>
    <t xml:space="preserve">Expected</t>
  </si>
  <si>
    <t xml:space="preserve">Workbook value</t>
  </si>
  <si>
    <t xml:space="preserve">Difference</t>
  </si>
  <si>
    <t xml:space="preserve">Tolerance</t>
  </si>
  <si>
    <t xml:space="preserve">Status</t>
  </si>
  <si>
    <t xml:space="preserve">Note / reconciliation</t>
  </si>
  <si>
    <t xml:space="preserve">V1</t>
  </si>
  <si>
    <t xml:space="preserve">Spec rule</t>
  </si>
  <si>
    <t xml:space="preserve">Optimal mix: tomato beds (decision cell)</t>
  </si>
  <si>
    <t xml:space="preserve">Exact, no tolerance.</t>
  </si>
  <si>
    <t xml:space="preserve">Optimal mix: carrot beds (decision cell)</t>
  </si>
  <si>
    <t xml:space="preserve">Optimal mix: mesclun beds (decision cell)</t>
  </si>
  <si>
    <t xml:space="preserve">V2</t>
  </si>
  <si>
    <t xml:space="preserve">Seasonal profit within PROFIT_TOLERANCE of published $42,762</t>
  </si>
  <si>
    <t xml:space="preserve">Spec formulas with the published inputs give $42,775.16. The gap is rounding of $34.72, $17.36 and 0.833; with all three exact, profit is $42,761.66 (spec.md Audit finding A2).</t>
  </si>
  <si>
    <t xml:space="preserve">V3</t>
  </si>
  <si>
    <t xml:space="preserve">Standalone P = MC point, tomatoes, at MC_RATE = TEMP_HOURLY_RATE</t>
  </si>
  <si>
    <t xml:space="preserve">Largest q with REVENUE_PER_BED ≥ MARGINAL_COST(q), Marginal Cost sheet column R.</t>
  </si>
  <si>
    <t xml:space="preserve">Standalone P = MC point, carrots, at MC_RATE = PERMANENT_HOURLY_RATE</t>
  </si>
  <si>
    <t xml:space="preserve">Standalone P = MC point, mesclun, at MC_RATE = PERMANENT_HOURLY_RATE</t>
  </si>
  <si>
    <t xml:space="preserve">V4</t>
  </si>
  <si>
    <t xml:space="preserve">Hand check: tomato LABOR_HOURS(1) = 2.5 × 36 × 1.10</t>
  </si>
  <si>
    <t xml:space="preserve">Expected value worked by hand (typed constant).</t>
  </si>
  <si>
    <t xml:space="preserve">Hand check: carrot LABOR_HOURS(1) = 0.833 × 36 × 1.025</t>
  </si>
  <si>
    <t xml:space="preserve">Hand check: mesclun LABOR_HOURS(1) = 1.25 × 36 × 1.0125</t>
  </si>
  <si>
    <t xml:space="preserve">Hand check: SEASONAL_PROFIT at mix 1 / 0 / 0 = 8,800 − 880 − 99 × 34.72 − 20,000</t>
  </si>
  <si>
    <t xml:space="preserve">Workbook value read from the Enumeration sheet (tomato 1, carrot 0, mesclun 0). All 99 hours are permanent hours.</t>
  </si>
  <si>
    <t xml:space="preserve">V5</t>
  </si>
  <si>
    <t xml:space="preserve">Solver from 0 / 0 / 0 returns 10 / 20 / 30 and passes V2</t>
  </si>
  <si>
    <t xml:space="preserve">10 / 20 / 30; profit within PROFIT_TOLERANCE</t>
  </si>
  <si>
    <t xml:space="preserve">Enter the result in row 12 above.</t>
  </si>
  <si>
    <t xml:space="preserve">Solver from 20 / 0 / 0 returns 10 / 20 / 30 and passes V2</t>
  </si>
  <si>
    <t xml:space="preserve">Enter the result in row 13 above.</t>
  </si>
  <si>
    <t xml:space="preserve">Farm Profit Lab profit at 10 / 20 / 30 agrees with SEASONAL_PROFIT</t>
  </si>
  <si>
    <t xml:space="preserve">Enter the Lab's profit in row 14 above.</t>
  </si>
  <si>
    <t xml:space="preserve">O1</t>
  </si>
  <si>
    <t xml:space="preserve">Optimum</t>
  </si>
  <si>
    <t xml:space="preserve">Enumerated global optimum, tomato beds</t>
  </si>
  <si>
    <t xml:space="preserve">Solver-independent.</t>
  </si>
  <si>
    <t xml:space="preserve">O2</t>
  </si>
  <si>
    <t xml:space="preserve">Enumerated global optimum, carrot beds</t>
  </si>
  <si>
    <t xml:space="preserve">O3</t>
  </si>
  <si>
    <t xml:space="preserve">Enumerated global optimum, mesclun beds</t>
  </si>
  <si>
    <t xml:space="preserve">O4</t>
  </si>
  <si>
    <t xml:space="preserve">Optimum is unique (no tied mix)</t>
  </si>
  <si>
    <t xml:space="preserve">O5</t>
  </si>
  <si>
    <t xml:space="preserve">Decision cells equal the enumerated global optimum</t>
  </si>
  <si>
    <t xml:space="preserve">Fails if Solver stops at a local optimum or the decision cells are edited.</t>
  </si>
  <si>
    <t xml:space="preserve">O6</t>
  </si>
  <si>
    <t xml:space="preserve">Local optimality: no feasible ±1 bed move raises profit</t>
  </si>
  <si>
    <t xml:space="preserve">0 improving moves</t>
  </si>
  <si>
    <t xml:space="preserve">R1</t>
  </si>
  <si>
    <t xml:space="preserve">Reconciliation</t>
  </si>
  <si>
    <t xml:space="preserve">Brief hypothesis 12 T / 20 C / 30 M: profit vs optimum</t>
  </si>
  <si>
    <t xml:space="preserve">INFO: 12/20/30 is feasible but earns less than 10/20/30. It is the brief's hypothesis, not an acceptance figure (spec.md, Expected Outputs).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</si>
  <si>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</si>
  <si>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</si>
  <si>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</si>
  <si>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</si>
  <si>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</si>
  <si>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</si>
  <si>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</si>
  <si>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Decision cells integer</t>
  </si>
  <si>
    <t xml:space="preserve">C8</t>
  </si>
  <si>
    <t xml:space="preserve">Decision cells non-negative</t>
  </si>
  <si>
    <t xml:space="preserve">C9</t>
  </si>
  <si>
    <t xml:space="preserve">All Optimization constraint rows OK</t>
  </si>
  <si>
    <t xml:space="preserve">E1</t>
  </si>
  <si>
    <t xml:space="preserve">Errors</t>
  </si>
  <si>
    <t xml:space="preserve">Excel error states on Inputs</t>
  </si>
  <si>
    <t xml:space="preserve">E2</t>
  </si>
  <si>
    <t xml:space="preserve">Excel error states on Cost Structure</t>
  </si>
  <si>
    <t xml:space="preserve">E3</t>
  </si>
  <si>
    <t xml:space="preserve">Excel error states on Marginal Cost</t>
  </si>
  <si>
    <t xml:space="preserve">E4</t>
  </si>
  <si>
    <t xml:space="preserve">Excel error states on Optimization</t>
  </si>
  <si>
    <t xml:space="preserve">E5</t>
  </si>
  <si>
    <t xml:space="preserve">Excel error states on Enumeration</t>
  </si>
  <si>
    <t xml:space="preserve">E6</t>
  </si>
  <si>
    <t xml:space="preserve">Negative or non-numeric inputs</t>
  </si>
  <si>
    <t xml:space="preserve">E7</t>
  </si>
  <si>
    <t xml:space="preserve">Non-integer bed caps / bed availability inputs</t>
  </si>
  <si>
    <t xml:space="preserve">E8</t>
  </si>
  <si>
    <t xml:space="preserve">Division by zero guard: TOTAL_LABOR_HOURS &gt; 0 for blended rate</t>
  </si>
  <si>
    <t xml:space="preserve">&gt; 0</t>
  </si>
  <si>
    <t xml:space="preserve">BLENDED_LABOR_RATE returns a text note, and crop labor costs return 0, when labor is zero.</t>
  </si>
  <si>
    <t xml:space="preserve">E9</t>
  </si>
  <si>
    <t xml:space="preserve">Divisors non-zero: TEMP_HOURS_LABOR_PER_WORKER</t>
  </si>
  <si>
    <t xml:space="preserve">E10</t>
  </si>
  <si>
    <t xml:space="preserve">LABOR_HOURS(0) = 0 for every crop</t>
  </si>
  <si>
    <t xml:space="preserve">E11</t>
  </si>
  <si>
    <t xml:space="preserve">Tomato single-rate marginal cost never falls (MC_RATE, permanent and temporary schedules)</t>
  </si>
  <si>
    <t xml:space="preserve">The permanent-hours-first schedule is expected to fall where the 720 permanent hours run out and is not tested here; see I1–I3 and spec.md Audit finding A1.</t>
  </si>
  <si>
    <t xml:space="preserve">E12</t>
  </si>
  <si>
    <t xml:space="preserve">Carrot single-rate marginal cost never falls (MC_RATE, permanent and temporary schedules)</t>
  </si>
  <si>
    <t xml:space="preserve">E13</t>
  </si>
  <si>
    <t xml:space="preserve">Mesclun single-rate marginal cost never falls (MC_RATE, permanent and temporary schedules)</t>
  </si>
  <si>
    <t xml:space="preserve">E14</t>
  </si>
  <si>
    <t xml:space="preserve">Coverage</t>
  </si>
  <si>
    <t xml:space="preserve">Tomato schedule and enumeration cover q = 0 … TOMATO_BED_CAP</t>
  </si>
  <si>
    <t xml:space="preserve">If a cap is raised above the schedule length, extend the Marginal Cost and Enumeration sheets.</t>
  </si>
  <si>
    <t xml:space="preserve">E15</t>
  </si>
  <si>
    <t xml:space="preserve">Carrot schedule and enumeration cover q = 0 … CARROT_BED_CAP</t>
  </si>
  <si>
    <t xml:space="preserve">E16</t>
  </si>
  <si>
    <t xml:space="preserve">Mesclun schedule and enumeration cover q = 0 … MESCLUN_BED_CAP</t>
  </si>
  <si>
    <t xml:space="preserve">L1</t>
  </si>
  <si>
    <t xml:space="preserve">Logic</t>
  </si>
  <si>
    <t xml:space="preserve">Crop labor costs (blended rate) sum to TOTAL_LABOR_COST</t>
  </si>
  <si>
    <t xml:space="preserve">spec.md, Calculation Logic: labor cost by crop.</t>
  </si>
  <si>
    <t xml:space="preserve">L2</t>
  </si>
  <si>
    <t xml:space="preserve">Labor allocation reconciles: permanent + temporary = total hours</t>
  </si>
  <si>
    <t xml:space="preserve">L3</t>
  </si>
  <si>
    <t xml:space="preserve">Profit identity: revenue − total costs = seasonal profit</t>
  </si>
  <si>
    <t xml:space="preserve">I1</t>
  </si>
  <si>
    <t xml:space="preserve">Information</t>
  </si>
  <si>
    <t xml:space="preserve">Tomato: permanent-hours-first schedule — P = MC point and times marginal cost falls</t>
  </si>
  <si>
    <t xml:space="preserve">info</t>
  </si>
  <si>
    <t xml:space="preserve">Expected to fall where the 720 permanent hours run out: once for tomatoes (bed 6), twice for carrots (beds 17–18) and mesclun (beds 14–15), because the crossing bed is split between the two rates (spec.md Audit finding A1). Information only.</t>
  </si>
  <si>
    <t xml:space="preserve">I2</t>
  </si>
  <si>
    <t xml:space="preserve">Carrot: permanent-hours-first schedule — P = MC point and times marginal cost falls</t>
  </si>
  <si>
    <t xml:space="preserve">I3</t>
  </si>
  <si>
    <t xml:space="preserve">Mesclun: permanent-hours-first schedule — P = MC point and times marginal cost falls</t>
  </si>
  <si>
    <t xml:space="preserve">H1</t>
  </si>
  <si>
    <t xml:space="preserve">Hand calc</t>
  </si>
  <si>
    <t xml:space="preserve">Tomato labor hours at 10 beds: 10 × 2.5 × 36 × 1.10^10</t>
  </si>
  <si>
    <t xml:space="preserve">Base case only (typed numbers). Fails by design if inputs or decision cells change.</t>
  </si>
  <si>
    <t xml:space="preserve">H2</t>
  </si>
  <si>
    <t xml:space="preserve">Carrot labor hours at 20 beds: 20 × 0.833 × 36 × 1.025^20</t>
  </si>
  <si>
    <t xml:space="preserve">Base case only.</t>
  </si>
  <si>
    <t xml:space="preserve">H3</t>
  </si>
  <si>
    <t xml:space="preserve">Mesclun labor hours at 30 beds: 30 × 1.25 × 36 × 1.0125^30</t>
  </si>
  <si>
    <t xml:space="preserve">H4</t>
  </si>
  <si>
    <t xml:space="preserve">Profit: revenue − fertilizer − (720 × $34.72 + rest × $17.36) − $20,000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</si>
</sst>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\$#,##0;&quot;-$&quot;#,##0"/>
    <numFmt numFmtId="167" formatCode="#,##0.0"/>
    <numFmt numFmtId="168" formatCode="0.00"/>
    <numFmt numFmtId="169" formatCode="\$#,##0.00;&quot;-$&quot;#,##0.00"/>
    <numFmt numFmtId="170" formatCode="#,##0.000"/>
    <numFmt numFmtId="171" formatCode="0.00%"/>
    <numFmt numFmtId="172" formatCode="#,##0"/>
    <numFmt numFmtId="173" formatCode="\$#,##0.00"/>
    <numFmt numFmtId="174" formatCode="General"/>
    <numFmt numFmtId="175" formatCode="yyyy\-mm\-dd"/>
    <numFmt numFmtId="176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595959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D966"/>
        <bgColor rgb="FFFFE6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8CBAD"/>
        <bgColor rgb="FFFFC7CE"/>
      </patternFill>
    </fill>
    <fill>
      <patternFill patternType="solid">
        <fgColor rgb="FFC6EFCE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</font>
      <fill>
        <patternFill>
          <bgColor rgb="FFFFD966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FFE699"/>
        </patternFill>
      </fill>
    </dxf>
    <dxf>
      <fill>
        <patternFill>
          <bgColor rgb="FFDDEBF7"/>
        </patternFill>
      </fill>
    </dxf>
    <dxf>
      <fill>
        <patternFill>
          <bgColor rgb="FFFF99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99CCFF"/>
      <rgbColor rgb="FFFF9999"/>
      <rgbColor rgb="FFCC99FF"/>
      <rgbColor rgb="FFF8CBAD"/>
      <rgbColor rgb="FF2E75B6"/>
      <rgbColor rgb="FF33CCCC"/>
      <rgbColor rgb="FF99CC00"/>
      <rgbColor rgb="FFFFD966"/>
      <rgbColor rgb="FFFF9900"/>
      <rgbColor rgb="FFED7D31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Tomato: price vs marginal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"Price P (revenue per bed)"</c:f>
              <c:strCache>
                <c:ptCount val="1"/>
                <c:pt idx="0">
                  <c:v>Price P (revenue per bed)</c:v>
                </c:pt>
              </c:strCache>
            </c:strRef>
          </c:tx>
          <c:spPr>
            <a:solidFill>
              <a:srgbClr val="000000"/>
            </a:solidFill>
            <a:ln w="2196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'Marginal Cost'!$A$14:$A$33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'Marginal Cost'!$L$14:$L$33</c:f>
              <c:numCache>
                <c:formatCode>\$#,##0;"-$"#,##0</c:formatCode>
                <c:ptCount val="20"/>
                <c:pt idx="0">
                  <c:v>8800</c:v>
                </c:pt>
                <c:pt idx="1">
                  <c:v>8800</c:v>
                </c:pt>
                <c:pt idx="2">
                  <c:v>8800</c:v>
                </c:pt>
                <c:pt idx="3">
                  <c:v>8800</c:v>
                </c:pt>
                <c:pt idx="4">
                  <c:v>8800</c:v>
                </c:pt>
                <c:pt idx="5">
                  <c:v>8800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"MC @ MC_RATE (temporary $17.36/hr)"</c:f>
              <c:strCache>
                <c:ptCount val="1"/>
                <c:pt idx="0">
                  <c:v>MC @ MC_RATE (temporary $17.36/hr)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'Marginal Cost'!$A$14:$A$33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'Marginal Cost'!$Q$14:$Q$33</c:f>
              <c:numCache>
                <c:formatCode>\$#,##0;"-$"#,##0</c:formatCode>
                <c:ptCount val="20"/>
                <c:pt idx="0">
                  <c:v>2598.64</c:v>
                </c:pt>
                <c:pt idx="1">
                  <c:v>2942.368</c:v>
                </c:pt>
                <c:pt idx="2">
                  <c:v>3337.6552</c:v>
                </c:pt>
                <c:pt idx="3">
                  <c:v>3791.37616</c:v>
                </c:pt>
                <c:pt idx="4">
                  <c:v>4311.26476</c:v>
                </c:pt>
                <c:pt idx="5">
                  <c:v>4906.0173184</c:v>
                </c:pt>
                <c:pt idx="6">
                  <c:v>5585.40774088</c:v>
                </c:pt>
                <c:pt idx="7">
                  <c:v>6360.41607467201</c:v>
                </c:pt>
                <c:pt idx="8">
                  <c:v>7243.37199781361</c:v>
                </c:pt>
                <c:pt idx="9">
                  <c:v>8248.11494483681</c:v>
                </c:pt>
                <c:pt idx="10">
                  <c:v>9390.17276128651</c:v>
                </c:pt>
                <c:pt idx="11">
                  <c:v>10686.9609915778</c:v>
                </c:pt>
                <c:pt idx="12">
                  <c:v>12158.0051403145</c:v>
                </c:pt>
                <c:pt idx="13">
                  <c:v>13825.1885088827</c:v>
                </c:pt>
                <c:pt idx="14">
                  <c:v>15713.0284997614</c:v>
                </c:pt>
                <c:pt idx="15">
                  <c:v>17848.9846037271</c:v>
                </c:pt>
                <c:pt idx="16">
                  <c:v>20263.8016434882</c:v>
                </c:pt>
                <c:pt idx="17">
                  <c:v>22991.8922451643</c:v>
                </c:pt>
                <c:pt idx="18">
                  <c:v>26071.7629507408</c:v>
                </c:pt>
                <c:pt idx="19">
                  <c:v>29546.4888749809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"MC, permanent hours first (info)"</c:f>
              <c:strCache>
                <c:ptCount val="1"/>
                <c:pt idx="0">
                  <c:v>MC, permanent hours first (info)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triangle"/>
            <c:size val="5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'Marginal Cost'!$A$14:$A$33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'Marginal Cost'!$U$14:$U$33</c:f>
              <c:numCache>
                <c:formatCode>\$#,##0;"-$"#,##0</c:formatCode>
                <c:ptCount val="20"/>
                <c:pt idx="0">
                  <c:v>4317.28</c:v>
                </c:pt>
                <c:pt idx="1">
                  <c:v>5004.736</c:v>
                </c:pt>
                <c:pt idx="2">
                  <c:v>5795.3104</c:v>
                </c:pt>
                <c:pt idx="3">
                  <c:v>6702.75232</c:v>
                </c:pt>
                <c:pt idx="4">
                  <c:v>7660.4254</c:v>
                </c:pt>
                <c:pt idx="5">
                  <c:v>4906.01731840001</c:v>
                </c:pt>
                <c:pt idx="6">
                  <c:v>5585.40774088</c:v>
                </c:pt>
                <c:pt idx="7">
                  <c:v>6360.41607467201</c:v>
                </c:pt>
                <c:pt idx="8">
                  <c:v>7243.37199781361</c:v>
                </c:pt>
                <c:pt idx="9">
                  <c:v>8248.1149448368</c:v>
                </c:pt>
                <c:pt idx="10">
                  <c:v>9390.17276128651</c:v>
                </c:pt>
                <c:pt idx="11">
                  <c:v>10686.9609915778</c:v>
                </c:pt>
                <c:pt idx="12">
                  <c:v>12158.0051403145</c:v>
                </c:pt>
                <c:pt idx="13">
                  <c:v>13825.1885088827</c:v>
                </c:pt>
                <c:pt idx="14">
                  <c:v>15713.0284997614</c:v>
                </c:pt>
                <c:pt idx="15">
                  <c:v>17848.9846037271</c:v>
                </c:pt>
                <c:pt idx="16">
                  <c:v>20263.8016434882</c:v>
                </c:pt>
                <c:pt idx="17">
                  <c:v>22991.8922451643</c:v>
                </c:pt>
                <c:pt idx="18">
                  <c:v>26071.7629507408</c:v>
                </c:pt>
                <c:pt idx="19">
                  <c:v>29546.4888749809</c:v>
                </c:pt>
              </c:numCache>
            </c:numRef>
          </c:yVal>
          <c:smooth val="0"/>
        </c:ser>
        <c:axId val="92301064"/>
        <c:axId val="5162428"/>
      </c:scatterChart>
      <c:valAx>
        <c:axId val="923010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 (beds)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2428"/>
        <c:crosses val="autoZero"/>
        <c:crossBetween val="midCat"/>
      </c:valAx>
      <c:valAx>
        <c:axId val="51624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additional bed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-$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0106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Carrot: price vs marginal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"Price P (revenue per bed)"</c:f>
              <c:strCache>
                <c:ptCount val="1"/>
                <c:pt idx="0">
                  <c:v>Price P (revenue per bed)</c:v>
                </c:pt>
              </c:strCache>
            </c:strRef>
          </c:tx>
          <c:spPr>
            <a:solidFill>
              <a:srgbClr val="000000"/>
            </a:solidFill>
            <a:ln w="2196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'Marginal Cost'!$A$39:$A$58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'Marginal Cost'!$L$39:$L$58</c:f>
              <c:numCache>
                <c:formatCode>\$#,##0;"-$"#,##0</c:formatCode>
                <c:ptCount val="20"/>
                <c:pt idx="0">
                  <c:v>2094</c:v>
                </c:pt>
                <c:pt idx="1">
                  <c:v>2094</c:v>
                </c:pt>
                <c:pt idx="2">
                  <c:v>2094</c:v>
                </c:pt>
                <c:pt idx="3">
                  <c:v>2094</c:v>
                </c:pt>
                <c:pt idx="4">
                  <c:v>2094</c:v>
                </c:pt>
                <c:pt idx="5">
                  <c:v>2094</c:v>
                </c:pt>
                <c:pt idx="6">
                  <c:v>2094</c:v>
                </c:pt>
                <c:pt idx="7">
                  <c:v>2094</c:v>
                </c:pt>
                <c:pt idx="8">
                  <c:v>2094</c:v>
                </c:pt>
                <c:pt idx="9">
                  <c:v>2094</c:v>
                </c:pt>
                <c:pt idx="10">
                  <c:v>2094</c:v>
                </c:pt>
                <c:pt idx="11">
                  <c:v>2094</c:v>
                </c:pt>
                <c:pt idx="12">
                  <c:v>2094</c:v>
                </c:pt>
                <c:pt idx="13">
                  <c:v>2094</c:v>
                </c:pt>
                <c:pt idx="14">
                  <c:v>2094</c:v>
                </c:pt>
                <c:pt idx="15">
                  <c:v>2094</c:v>
                </c:pt>
                <c:pt idx="16">
                  <c:v>2094</c:v>
                </c:pt>
                <c:pt idx="17">
                  <c:v>2094</c:v>
                </c:pt>
                <c:pt idx="18">
                  <c:v>2094</c:v>
                </c:pt>
                <c:pt idx="19">
                  <c:v>2094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"MC @ MC_RATE (permanent $34.72/hr)"</c:f>
              <c:strCache>
                <c:ptCount val="1"/>
                <c:pt idx="0">
                  <c:v>MC @ MC_RATE (permanent $34.72/hr)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'Marginal Cost'!$A$39:$A$58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'Marginal Cost'!$Q$39:$Q$58</c:f>
              <c:numCache>
                <c:formatCode>\$#,##0;"-$"#,##0</c:formatCode>
                <c:ptCount val="20"/>
                <c:pt idx="0">
                  <c:v>1507.212944</c:v>
                </c:pt>
                <c:pt idx="1">
                  <c:v>1560.5735912</c:v>
                </c:pt>
                <c:pt idx="2">
                  <c:v>1615.93526267</c:v>
                </c:pt>
                <c:pt idx="3">
                  <c:v>1673.364659219</c:v>
                </c:pt>
                <c:pt idx="4">
                  <c:v>1732.93056605628</c:v>
                </c:pt>
                <c:pt idx="5">
                  <c:v>1794.70391532341</c:v>
                </c:pt>
                <c:pt idx="6">
                  <c:v>1858.75785045012</c:v>
                </c:pt>
                <c:pt idx="7">
                  <c:v>1925.16779238608</c:v>
                </c:pt>
                <c:pt idx="8">
                  <c:v>1994.01150776231</c:v>
                </c:pt>
                <c:pt idx="9">
                  <c:v>2065.36917903711</c:v>
                </c:pt>
                <c:pt idx="10">
                  <c:v>2139.3234766833</c:v>
                </c:pt>
                <c:pt idx="11">
                  <c:v>2215.95963347489</c:v>
                </c:pt>
                <c:pt idx="12">
                  <c:v>2295.36552093315</c:v>
                </c:pt>
                <c:pt idx="13">
                  <c:v>2377.6317279934</c:v>
                </c:pt>
                <c:pt idx="14">
                  <c:v>2462.85164195607</c:v>
                </c:pt>
                <c:pt idx="15">
                  <c:v>2551.12153178687</c:v>
                </c:pt>
                <c:pt idx="16">
                  <c:v>2642.540633833</c:v>
                </c:pt>
                <c:pt idx="17">
                  <c:v>2737.21124002407</c:v>
                </c:pt>
                <c:pt idx="18">
                  <c:v>2835.23878862855</c:v>
                </c:pt>
                <c:pt idx="19">
                  <c:v>2936.73195763822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"MC, permanent hours first (info)"</c:f>
              <c:strCache>
                <c:ptCount val="1"/>
                <c:pt idx="0">
                  <c:v>MC, permanent hours first (info)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triangle"/>
            <c:size val="5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'Marginal Cost'!$A$39:$A$58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'Marginal Cost'!$U$39:$U$58</c:f>
              <c:numCache>
                <c:formatCode>\$#,##0;"-$"#,##0</c:formatCode>
                <c:ptCount val="20"/>
                <c:pt idx="0">
                  <c:v>1507.212944</c:v>
                </c:pt>
                <c:pt idx="1">
                  <c:v>1560.5735912</c:v>
                </c:pt>
                <c:pt idx="2">
                  <c:v>1615.93526267</c:v>
                </c:pt>
                <c:pt idx="3">
                  <c:v>1673.364659219</c:v>
                </c:pt>
                <c:pt idx="4">
                  <c:v>1732.93056605628</c:v>
                </c:pt>
                <c:pt idx="5">
                  <c:v>1794.70391532341</c:v>
                </c:pt>
                <c:pt idx="6">
                  <c:v>1858.75785045012</c:v>
                </c:pt>
                <c:pt idx="7">
                  <c:v>1925.16779238608</c:v>
                </c:pt>
                <c:pt idx="8">
                  <c:v>1994.01150776231</c:v>
                </c:pt>
                <c:pt idx="9">
                  <c:v>2065.36917903711</c:v>
                </c:pt>
                <c:pt idx="10">
                  <c:v>2139.3234766833</c:v>
                </c:pt>
                <c:pt idx="11">
                  <c:v>2215.95963347489</c:v>
                </c:pt>
                <c:pt idx="12">
                  <c:v>2295.36552093315</c:v>
                </c:pt>
                <c:pt idx="13">
                  <c:v>2377.6317279934</c:v>
                </c:pt>
                <c:pt idx="14">
                  <c:v>2462.85164195607</c:v>
                </c:pt>
                <c:pt idx="15">
                  <c:v>2551.12153178687</c:v>
                </c:pt>
                <c:pt idx="16">
                  <c:v>1675.3299164505</c:v>
                </c:pt>
                <c:pt idx="17">
                  <c:v>1588.60562001203</c:v>
                </c:pt>
                <c:pt idx="18">
                  <c:v>1637.61939431428</c:v>
                </c:pt>
                <c:pt idx="19">
                  <c:v>1688.36597881911</c:v>
                </c:pt>
              </c:numCache>
            </c:numRef>
          </c:yVal>
          <c:smooth val="0"/>
        </c:ser>
        <c:axId val="80322539"/>
        <c:axId val="20855241"/>
      </c:scatterChart>
      <c:valAx>
        <c:axId val="8032253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 (beds)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55241"/>
        <c:crosses val="autoZero"/>
        <c:crossBetween val="midCat"/>
      </c:valAx>
      <c:valAx>
        <c:axId val="20855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additional bed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-$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2253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Mesclun: price vs marginal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"Price P (revenue per bed)"</c:f>
              <c:strCache>
                <c:ptCount val="1"/>
                <c:pt idx="0">
                  <c:v>Price P (revenue per bed)</c:v>
                </c:pt>
              </c:strCache>
            </c:strRef>
          </c:tx>
          <c:spPr>
            <a:solidFill>
              <a:srgbClr val="000000"/>
            </a:solidFill>
            <a:ln w="2196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'Marginal Cost'!$A$64:$A$93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'Marginal Cost'!$L$64:$L$93</c:f>
              <c:numCache>
                <c:formatCode>\$#,##0;"-$"#,##0</c:formatCode>
                <c:ptCount val="30"/>
                <c:pt idx="0">
                  <c:v>2700</c:v>
                </c:pt>
                <c:pt idx="1">
                  <c:v>2700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  <c:pt idx="7">
                  <c:v>2700</c:v>
                </c:pt>
                <c:pt idx="8">
                  <c:v>2700</c:v>
                </c:pt>
                <c:pt idx="9">
                  <c:v>2700</c:v>
                </c:pt>
                <c:pt idx="10">
                  <c:v>2700</c:v>
                </c:pt>
                <c:pt idx="11">
                  <c:v>2700</c:v>
                </c:pt>
                <c:pt idx="12">
                  <c:v>2700</c:v>
                </c:pt>
                <c:pt idx="13">
                  <c:v>2700</c:v>
                </c:pt>
                <c:pt idx="14">
                  <c:v>2700</c:v>
                </c:pt>
                <c:pt idx="15">
                  <c:v>2700</c:v>
                </c:pt>
                <c:pt idx="16">
                  <c:v>2700</c:v>
                </c:pt>
                <c:pt idx="17">
                  <c:v>2700</c:v>
                </c:pt>
                <c:pt idx="18">
                  <c:v>2700</c:v>
                </c:pt>
                <c:pt idx="19">
                  <c:v>2700</c:v>
                </c:pt>
                <c:pt idx="20">
                  <c:v>2700</c:v>
                </c:pt>
                <c:pt idx="21">
                  <c:v>2700</c:v>
                </c:pt>
                <c:pt idx="22">
                  <c:v>2700</c:v>
                </c:pt>
                <c:pt idx="23">
                  <c:v>2700</c:v>
                </c:pt>
                <c:pt idx="24">
                  <c:v>2700</c:v>
                </c:pt>
                <c:pt idx="25">
                  <c:v>2700</c:v>
                </c:pt>
                <c:pt idx="26">
                  <c:v>2700</c:v>
                </c:pt>
                <c:pt idx="27">
                  <c:v>2700</c:v>
                </c:pt>
                <c:pt idx="28">
                  <c:v>2700</c:v>
                </c:pt>
                <c:pt idx="29">
                  <c:v>2700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"MC @ MC_RATE (permanent $34.72/hr)"</c:f>
              <c:strCache>
                <c:ptCount val="1"/>
                <c:pt idx="0">
                  <c:v>MC @ MC_RATE (permanent $34.72/hr)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'Marginal Cost'!$A$64:$A$93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'Marginal Cost'!$Q$64:$Q$93</c:f>
              <c:numCache>
                <c:formatCode>\$#,##0;"-$"#,##0</c:formatCode>
                <c:ptCount val="30"/>
                <c:pt idx="0">
                  <c:v>2461.93</c:v>
                </c:pt>
                <c:pt idx="1">
                  <c:v>2501.47825</c:v>
                </c:pt>
                <c:pt idx="2">
                  <c:v>2541.7680296875</c:v>
                </c:pt>
                <c:pt idx="3">
                  <c:v>2582.81169789062</c:v>
                </c:pt>
                <c:pt idx="4">
                  <c:v>2624.62180654419</c:v>
                </c:pt>
                <c:pt idx="5">
                  <c:v>2667.21110358629</c:v>
                </c:pt>
                <c:pt idx="6">
                  <c:v>2710.59253589719</c:v>
                </c:pt>
                <c:pt idx="7">
                  <c:v>2754.77925228091</c:v>
                </c:pt>
                <c:pt idx="8">
                  <c:v>2799.78460649049</c:v>
                </c:pt>
                <c:pt idx="9">
                  <c:v>2845.62216029715</c:v>
                </c:pt>
                <c:pt idx="10">
                  <c:v>2892.30568660421</c:v>
                </c:pt>
                <c:pt idx="11">
                  <c:v>2939.8491726064</c:v>
                </c:pt>
                <c:pt idx="12">
                  <c:v>2988.26682299511</c:v>
                </c:pt>
                <c:pt idx="13">
                  <c:v>3037.57306321031</c:v>
                </c:pt>
                <c:pt idx="14">
                  <c:v>3087.7825427398</c:v>
                </c:pt>
                <c:pt idx="15">
                  <c:v>3138.91013846641</c:v>
                </c:pt>
                <c:pt idx="16">
                  <c:v>3190.97095806388</c:v>
                </c:pt>
                <c:pt idx="17">
                  <c:v>3243.98034344215</c:v>
                </c:pt>
                <c:pt idx="18">
                  <c:v>3297.95387424268</c:v>
                </c:pt>
                <c:pt idx="19">
                  <c:v>3352.90737138456</c:v>
                </c:pt>
                <c:pt idx="20">
                  <c:v>3408.85690066213</c:v>
                </c:pt>
                <c:pt idx="21">
                  <c:v>3465.81877639487</c:v>
                </c:pt>
                <c:pt idx="22">
                  <c:v>3523.80956513019</c:v>
                </c:pt>
                <c:pt idx="23">
                  <c:v>3582.84608940009</c:v>
                </c:pt>
                <c:pt idx="24">
                  <c:v>3642.94543153219</c:v>
                </c:pt>
                <c:pt idx="25">
                  <c:v>3704.12493751611</c:v>
                </c:pt>
                <c:pt idx="26">
                  <c:v>3766.40222092597</c:v>
                </c:pt>
                <c:pt idx="27">
                  <c:v>3829.79516689956</c:v>
                </c:pt>
                <c:pt idx="28">
                  <c:v>3894.32193617548</c:v>
                </c:pt>
                <c:pt idx="29">
                  <c:v>3960.00096918849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"MC, permanent hours first (info)"</c:f>
              <c:strCache>
                <c:ptCount val="1"/>
                <c:pt idx="0">
                  <c:v>MC, permanent hours first (info)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triangle"/>
            <c:size val="5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'Marginal Cost'!$A$64:$A$93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'Marginal Cost'!$U$64:$U$93</c:f>
              <c:numCache>
                <c:formatCode>\$#,##0;"-$"#,##0</c:formatCode>
                <c:ptCount val="30"/>
                <c:pt idx="0">
                  <c:v>2461.93</c:v>
                </c:pt>
                <c:pt idx="1">
                  <c:v>2501.47825</c:v>
                </c:pt>
                <c:pt idx="2">
                  <c:v>2541.7680296875</c:v>
                </c:pt>
                <c:pt idx="3">
                  <c:v>2582.81169789062</c:v>
                </c:pt>
                <c:pt idx="4">
                  <c:v>2624.62180654419</c:v>
                </c:pt>
                <c:pt idx="5">
                  <c:v>2667.21110358629</c:v>
                </c:pt>
                <c:pt idx="6">
                  <c:v>2710.59253589719</c:v>
                </c:pt>
                <c:pt idx="7">
                  <c:v>2754.77925228091</c:v>
                </c:pt>
                <c:pt idx="8">
                  <c:v>2799.78460649049</c:v>
                </c:pt>
                <c:pt idx="9">
                  <c:v>2845.62216029715</c:v>
                </c:pt>
                <c:pt idx="10">
                  <c:v>2892.30568660421</c:v>
                </c:pt>
                <c:pt idx="11">
                  <c:v>2939.8491726064</c:v>
                </c:pt>
                <c:pt idx="12">
                  <c:v>2988.26682299511</c:v>
                </c:pt>
                <c:pt idx="13">
                  <c:v>2522.47596916513</c:v>
                </c:pt>
                <c:pt idx="14">
                  <c:v>1983.8912713699</c:v>
                </c:pt>
                <c:pt idx="15">
                  <c:v>2009.45506923321</c:v>
                </c:pt>
                <c:pt idx="16">
                  <c:v>2035.48547903194</c:v>
                </c:pt>
                <c:pt idx="17">
                  <c:v>2061.99017172107</c:v>
                </c:pt>
                <c:pt idx="18">
                  <c:v>2088.97693712134</c:v>
                </c:pt>
                <c:pt idx="19">
                  <c:v>2116.45368569228</c:v>
                </c:pt>
                <c:pt idx="20">
                  <c:v>2144.42845033106</c:v>
                </c:pt>
                <c:pt idx="21">
                  <c:v>2172.90938819744</c:v>
                </c:pt>
                <c:pt idx="22">
                  <c:v>2201.90478256509</c:v>
                </c:pt>
                <c:pt idx="23">
                  <c:v>2231.42304470004</c:v>
                </c:pt>
                <c:pt idx="24">
                  <c:v>2261.4727157661</c:v>
                </c:pt>
                <c:pt idx="25">
                  <c:v>2292.06246875805</c:v>
                </c:pt>
                <c:pt idx="26">
                  <c:v>2323.20111046299</c:v>
                </c:pt>
                <c:pt idx="27">
                  <c:v>2354.89758344978</c:v>
                </c:pt>
                <c:pt idx="28">
                  <c:v>2387.16096808774</c:v>
                </c:pt>
                <c:pt idx="29">
                  <c:v>2420.00048459425</c:v>
                </c:pt>
              </c:numCache>
            </c:numRef>
          </c:yVal>
          <c:smooth val="0"/>
        </c:ser>
        <c:axId val="6708164"/>
        <c:axId val="12266062"/>
      </c:scatterChart>
      <c:valAx>
        <c:axId val="67081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 (beds)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66062"/>
        <c:crosses val="autoZero"/>
        <c:crossBetween val="midCat"/>
      </c:valAx>
      <c:valAx>
        <c:axId val="122660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additional bed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-$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816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0</xdr:colOff>
      <xdr:row>9</xdr:row>
      <xdr:rowOff>160560</xdr:rowOff>
    </xdr:from>
    <xdr:to>
      <xdr:col>31</xdr:col>
      <xdr:colOff>507600</xdr:colOff>
      <xdr:row>21</xdr:row>
      <xdr:rowOff>63720</xdr:rowOff>
    </xdr:to>
    <xdr:graphicFrame>
      <xdr:nvGraphicFramePr>
        <xdr:cNvPr id="0" name="Chart 1"/>
        <xdr:cNvGraphicFramePr/>
      </xdr:nvGraphicFramePr>
      <xdr:xfrm>
        <a:off x="22814280" y="2286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0</xdr:colOff>
      <xdr:row>32</xdr:row>
      <xdr:rowOff>30960</xdr:rowOff>
    </xdr:from>
    <xdr:to>
      <xdr:col>31</xdr:col>
      <xdr:colOff>507600</xdr:colOff>
      <xdr:row>43</xdr:row>
      <xdr:rowOff>124560</xdr:rowOff>
    </xdr:to>
    <xdr:graphicFrame>
      <xdr:nvGraphicFramePr>
        <xdr:cNvPr id="1" name="Chart 2"/>
        <xdr:cNvGraphicFramePr/>
      </xdr:nvGraphicFramePr>
      <xdr:xfrm>
        <a:off x="22814280" y="7048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0</xdr:colOff>
      <xdr:row>54</xdr:row>
      <xdr:rowOff>91800</xdr:rowOff>
    </xdr:from>
    <xdr:to>
      <xdr:col>31</xdr:col>
      <xdr:colOff>507600</xdr:colOff>
      <xdr:row>65</xdr:row>
      <xdr:rowOff>185400</xdr:rowOff>
    </xdr:to>
    <xdr:graphicFrame>
      <xdr:nvGraphicFramePr>
        <xdr:cNvPr id="2" name="Chart 3"/>
        <xdr:cNvGraphicFramePr/>
      </xdr:nvGraphicFramePr>
      <xdr:xfrm>
        <a:off x="22814280" y="1181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60" hidden="false" customHeight="tru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B5" s="4"/>
    </row>
    <row r="6" customFormat="false" ht="15" hidden="false" customHeight="false" outlineLevel="0" collapsed="false">
      <c r="A6" s="5" t="s">
        <v>4</v>
      </c>
      <c r="B6" s="4"/>
    </row>
    <row r="7" customFormat="false" ht="30" hidden="false" customHeight="true" outlineLevel="0" collapsed="false">
      <c r="A7" s="3" t="s">
        <v>5</v>
      </c>
      <c r="B7" s="4" t="s">
        <v>6</v>
      </c>
    </row>
    <row r="8" customFormat="false" ht="30" hidden="false" customHeight="true" outlineLevel="0" collapsed="false">
      <c r="A8" s="3" t="s">
        <v>7</v>
      </c>
      <c r="B8" s="4" t="s">
        <v>8</v>
      </c>
    </row>
    <row r="9" customFormat="false" ht="30" hidden="false" customHeight="true" outlineLevel="0" collapsed="false">
      <c r="A9" s="3" t="s">
        <v>9</v>
      </c>
      <c r="B9" s="4" t="s">
        <v>10</v>
      </c>
    </row>
    <row r="10" customFormat="false" ht="45" hidden="false" customHeight="true" outlineLevel="0" collapsed="false">
      <c r="A10" s="3" t="s">
        <v>11</v>
      </c>
      <c r="B10" s="4" t="s">
        <v>12</v>
      </c>
    </row>
    <row r="11" customFormat="false" ht="30" hidden="false" customHeight="true" outlineLevel="0" collapsed="false">
      <c r="A11" s="3" t="s">
        <v>13</v>
      </c>
      <c r="B11" s="4" t="s">
        <v>14</v>
      </c>
    </row>
    <row r="12" customFormat="false" ht="30" hidden="false" customHeight="true" outlineLevel="0" collapsed="false">
      <c r="A12" s="3" t="s">
        <v>15</v>
      </c>
      <c r="B12" s="4" t="s">
        <v>16</v>
      </c>
    </row>
    <row r="13" customFormat="false" ht="30" hidden="false" customHeight="tru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B14" s="4"/>
    </row>
    <row r="15" customFormat="false" ht="15" hidden="false" customHeight="false" outlineLevel="0" collapsed="false">
      <c r="A15" s="5" t="s">
        <v>19</v>
      </c>
      <c r="B15" s="4"/>
    </row>
    <row r="16" customFormat="false" ht="15" hidden="false" customHeight="false" outlineLevel="0" collapsed="false">
      <c r="A16" s="3" t="s">
        <v>20</v>
      </c>
      <c r="B16" s="4" t="s">
        <v>21</v>
      </c>
    </row>
    <row r="17" customFormat="false" ht="15" hidden="false" customHeight="false" outlineLevel="0" collapsed="false">
      <c r="A17" s="3" t="s">
        <v>22</v>
      </c>
      <c r="B17" s="4" t="s">
        <v>23</v>
      </c>
    </row>
    <row r="18" customFormat="false" ht="15" hidden="false" customHeight="false" outlineLevel="0" collapsed="false">
      <c r="A18" s="3" t="s">
        <v>24</v>
      </c>
      <c r="B18" s="4" t="s">
        <v>25</v>
      </c>
    </row>
    <row r="19" customFormat="false" ht="15" hidden="false" customHeight="false" outlineLevel="0" collapsed="false">
      <c r="A19" s="3" t="s">
        <v>26</v>
      </c>
      <c r="B19" s="4" t="s">
        <v>27</v>
      </c>
    </row>
    <row r="20" customFormat="false" ht="15" hidden="false" customHeight="false" outlineLevel="0" collapsed="false">
      <c r="A20" s="3" t="s">
        <v>28</v>
      </c>
      <c r="B20" s="4" t="s">
        <v>29</v>
      </c>
    </row>
    <row r="21" customFormat="false" ht="30" hidden="false" customHeight="true" outlineLevel="0" collapsed="false">
      <c r="A21" s="3" t="s">
        <v>30</v>
      </c>
      <c r="B21" s="4" t="s">
        <v>31</v>
      </c>
    </row>
    <row r="22" customFormat="false" ht="15" hidden="false" customHeight="false" outlineLevel="0" collapsed="false">
      <c r="B22" s="4"/>
    </row>
    <row r="23" customFormat="false" ht="15" hidden="false" customHeight="false" outlineLevel="0" collapsed="false">
      <c r="A23" s="5" t="s">
        <v>32</v>
      </c>
    </row>
    <row r="24" customFormat="false" ht="30" hidden="false" customHeight="true" outlineLevel="0" collapsed="false">
      <c r="A24" s="3" t="s">
        <v>33</v>
      </c>
      <c r="B24" s="4" t="s">
        <v>34</v>
      </c>
    </row>
    <row r="25" customFormat="false" ht="15" hidden="false" customHeight="false" outlineLevel="0" collapsed="false">
      <c r="A25" s="3" t="s">
        <v>35</v>
      </c>
      <c r="B25" s="4" t="s">
        <v>36</v>
      </c>
    </row>
    <row r="26" customFormat="false" ht="15" hidden="false" customHeight="false" outlineLevel="0" collapsed="false">
      <c r="A26" s="3" t="s">
        <v>37</v>
      </c>
      <c r="B26" s="4" t="s">
        <v>38</v>
      </c>
    </row>
    <row r="27" customFormat="false" ht="30" hidden="false" customHeight="true" outlineLevel="0" collapsed="false">
      <c r="A27" s="3" t="s">
        <v>39</v>
      </c>
      <c r="B27" s="4" t="s">
        <v>40</v>
      </c>
    </row>
    <row r="28" customFormat="false" ht="30" hidden="false" customHeight="true" outlineLevel="0" collapsed="false">
      <c r="A28" s="3" t="s">
        <v>41</v>
      </c>
      <c r="B28" s="4" t="s">
        <v>42</v>
      </c>
    </row>
    <row r="29" customFormat="false" ht="28.35" hidden="false" customHeight="false" outlineLevel="0" collapsed="false">
      <c r="A29" s="3" t="s">
        <v>43</v>
      </c>
      <c r="B29" s="4" t="s">
        <v>44</v>
      </c>
    </row>
    <row r="30" customFormat="false" ht="30" hidden="false" customHeight="true" outlineLevel="0" collapsed="false">
      <c r="A30" s="3" t="s">
        <v>45</v>
      </c>
      <c r="B30" s="4" t="s">
        <v>46</v>
      </c>
    </row>
    <row r="31" customFormat="false" ht="30" hidden="false" customHeight="true" outlineLevel="0" collapsed="false">
      <c r="A31" s="3" t="s">
        <v>47</v>
      </c>
      <c r="B31" s="4" t="s">
        <v>48</v>
      </c>
    </row>
    <row r="32" customFormat="false" ht="15" hidden="false" customHeight="false" outlineLevel="0" collapsed="false">
      <c r="A32" s="3" t="s">
        <v>49</v>
      </c>
      <c r="B32" s="4" t="s">
        <v>50</v>
      </c>
    </row>
    <row r="33" customFormat="false" ht="15" hidden="false" customHeight="false" outlineLevel="0" collapsed="false">
      <c r="A33" s="3" t="s">
        <v>51</v>
      </c>
      <c r="B33" s="4" t="s">
        <v>52</v>
      </c>
    </row>
    <row r="35" customFormat="false" ht="15" hidden="false" customHeight="false" outlineLevel="0" collapsed="false">
      <c r="A35" s="5" t="s">
        <v>53</v>
      </c>
    </row>
    <row r="36" customFormat="false" ht="30" hidden="false" customHeight="true" outlineLevel="0" collapsed="false">
      <c r="A36" s="3" t="s">
        <v>54</v>
      </c>
      <c r="B36" s="4" t="s">
        <v>55</v>
      </c>
    </row>
    <row r="37" customFormat="false" ht="30" hidden="false" customHeight="true" outlineLevel="0" collapsed="false">
      <c r="A37" s="3" t="s">
        <v>56</v>
      </c>
      <c r="B37" s="4" t="s">
        <v>57</v>
      </c>
    </row>
    <row r="38" customFormat="false" ht="45" hidden="false" customHeight="true" outlineLevel="0" collapsed="false">
      <c r="A38" s="3" t="s">
        <v>58</v>
      </c>
      <c r="B38" s="4" t="s">
        <v>59</v>
      </c>
    </row>
    <row r="39" customFormat="false" ht="28.35" hidden="false" customHeight="false" outlineLevel="0" collapsed="false">
      <c r="A39" s="3" t="s">
        <v>60</v>
      </c>
      <c r="B39" s="4" t="s">
        <v>61</v>
      </c>
    </row>
    <row r="40" customFormat="false" ht="41.75" hidden="false" customHeight="false" outlineLevel="0" collapsed="false">
      <c r="A40" s="3" t="s">
        <v>62</v>
      </c>
      <c r="B40" s="4" t="s">
        <v>63</v>
      </c>
    </row>
    <row r="41" customFormat="false" ht="30" hidden="false" customHeight="true" outlineLevel="0" collapsed="false"/>
    <row r="42" customFormat="false" ht="15" hidden="false" customHeight="false" outlineLevel="0" collapsed="false">
      <c r="A42" s="5" t="s">
        <v>64</v>
      </c>
    </row>
    <row r="43" customFormat="false" ht="30" hidden="false" customHeight="true" outlineLevel="0" collapsed="false">
      <c r="A43" s="3" t="s">
        <v>65</v>
      </c>
      <c r="B43" s="4" t="s">
        <v>66</v>
      </c>
    </row>
    <row r="44" customFormat="false" ht="30" hidden="false" customHeight="true" outlineLevel="0" collapsed="false">
      <c r="A44" s="3" t="s">
        <v>67</v>
      </c>
      <c r="B44" s="4" t="s">
        <v>68</v>
      </c>
    </row>
    <row r="45" customFormat="false" ht="30" hidden="false" customHeight="true" outlineLevel="0" collapsed="false">
      <c r="A45" s="3" t="s">
        <v>69</v>
      </c>
      <c r="B45" s="4" t="s">
        <v>70</v>
      </c>
    </row>
    <row r="46" customFormat="false" ht="45" hidden="false" customHeight="true" outlineLevel="0" collapsed="false">
      <c r="A46" s="3" t="s">
        <v>71</v>
      </c>
      <c r="B46" s="4" t="s">
        <v>72</v>
      </c>
    </row>
    <row r="47" customFormat="false" ht="28.35" hidden="false" customHeight="false" outlineLevel="0" collapsed="false">
      <c r="A47" s="3" t="s">
        <v>73</v>
      </c>
      <c r="B47" s="4" t="s">
        <v>74</v>
      </c>
    </row>
    <row r="48" customFormat="false" ht="30" hidden="false" customHeight="true" outlineLevel="0" collapsed="false">
      <c r="A48" s="3" t="s">
        <v>75</v>
      </c>
      <c r="B48" s="4" t="s">
        <v>76</v>
      </c>
    </row>
    <row r="49" customFormat="false" ht="15" hidden="false" customHeight="false" outlineLevel="0" collapsed="false">
      <c r="A49" s="3" t="s">
        <v>77</v>
      </c>
      <c r="B49" s="4" t="s">
        <v>78</v>
      </c>
    </row>
    <row r="50" customFormat="false" ht="28.35" hidden="false" customHeight="false" outlineLevel="0" collapsed="false">
      <c r="A50" s="3" t="s">
        <v>79</v>
      </c>
      <c r="B50" s="4" t="s">
        <v>80</v>
      </c>
    </row>
    <row r="52" customFormat="false" ht="15" hidden="false" customHeight="false" outlineLevel="0" collapsed="false">
      <c r="A52" s="5" t="s">
        <v>81</v>
      </c>
      <c r="B52" s="4" t="s">
        <v>82</v>
      </c>
    </row>
    <row r="54" customFormat="false" ht="15" hidden="false" customHeight="false" outlineLevel="0" collapsed="false">
      <c r="A54" s="6" t="s">
        <v>83</v>
      </c>
      <c r="B54" s="6" t="s">
        <v>84</v>
      </c>
    </row>
    <row r="55" customFormat="false" ht="15" hidden="false" customHeight="false" outlineLevel="0" collapsed="false">
      <c r="A55" s="7" t="s">
        <v>85</v>
      </c>
      <c r="B55" s="4" t="s">
        <v>86</v>
      </c>
    </row>
    <row r="56" customFormat="false" ht="15" hidden="false" customHeight="false" outlineLevel="0" collapsed="false">
      <c r="A56" s="7" t="s">
        <v>87</v>
      </c>
      <c r="B56" s="4" t="s">
        <v>88</v>
      </c>
    </row>
    <row r="57" customFormat="false" ht="15" hidden="false" customHeight="false" outlineLevel="0" collapsed="false">
      <c r="A57" s="7" t="s">
        <v>89</v>
      </c>
      <c r="B57" s="4" t="s">
        <v>90</v>
      </c>
    </row>
    <row r="58" customFormat="false" ht="15" hidden="false" customHeight="false" outlineLevel="0" collapsed="false">
      <c r="A58" s="7" t="s">
        <v>91</v>
      </c>
      <c r="B58" s="4" t="s">
        <v>92</v>
      </c>
    </row>
    <row r="59" customFormat="false" ht="15" hidden="false" customHeight="false" outlineLevel="0" collapsed="false">
      <c r="A59" s="7" t="s">
        <v>93</v>
      </c>
      <c r="B59" s="4" t="s">
        <v>94</v>
      </c>
    </row>
    <row r="60" customFormat="false" ht="15" hidden="false" customHeight="false" outlineLevel="0" collapsed="false">
      <c r="A60" s="7" t="s">
        <v>95</v>
      </c>
      <c r="B60" s="4" t="s">
        <v>96</v>
      </c>
    </row>
    <row r="61" customFormat="false" ht="15" hidden="false" customHeight="false" outlineLevel="0" collapsed="false">
      <c r="A61" s="7" t="s">
        <v>97</v>
      </c>
      <c r="B61" s="4" t="s">
        <v>98</v>
      </c>
    </row>
    <row r="62" customFormat="false" ht="15" hidden="false" customHeight="false" outlineLevel="0" collapsed="false">
      <c r="A62" s="7" t="s">
        <v>99</v>
      </c>
      <c r="B62" s="4" t="s">
        <v>100</v>
      </c>
    </row>
    <row r="63" customFormat="false" ht="15" hidden="false" customHeight="false" outlineLevel="0" collapsed="false">
      <c r="A63" s="7" t="s">
        <v>101</v>
      </c>
      <c r="B63" s="4" t="s">
        <v>102</v>
      </c>
    </row>
    <row r="64" customFormat="false" ht="15" hidden="false" customHeight="false" outlineLevel="0" collapsed="false">
      <c r="A64" s="7" t="s">
        <v>103</v>
      </c>
      <c r="B64" s="4" t="s">
        <v>104</v>
      </c>
    </row>
    <row r="65" customFormat="false" ht="15" hidden="false" customHeight="false" outlineLevel="0" collapsed="false">
      <c r="A65" s="7" t="s">
        <v>105</v>
      </c>
      <c r="B65" s="4" t="s">
        <v>106</v>
      </c>
    </row>
    <row r="66" customFormat="false" ht="15" hidden="false" customHeight="false" outlineLevel="0" collapsed="false">
      <c r="A66" s="7" t="s">
        <v>107</v>
      </c>
      <c r="B66" s="4" t="s">
        <v>108</v>
      </c>
    </row>
    <row r="67" customFormat="false" ht="15" hidden="false" customHeight="false" outlineLevel="0" collapsed="false">
      <c r="A67" s="7" t="s">
        <v>109</v>
      </c>
      <c r="B67" s="4" t="s">
        <v>110</v>
      </c>
    </row>
    <row r="68" customFormat="false" ht="15" hidden="false" customHeight="false" outlineLevel="0" collapsed="false">
      <c r="A68" s="7" t="s">
        <v>111</v>
      </c>
      <c r="B68" s="4" t="s">
        <v>112</v>
      </c>
    </row>
    <row r="69" customFormat="false" ht="15" hidden="false" customHeight="false" outlineLevel="0" collapsed="false">
      <c r="A69" s="7" t="s">
        <v>113</v>
      </c>
      <c r="B69" s="4" t="s">
        <v>114</v>
      </c>
    </row>
    <row r="70" customFormat="false" ht="15" hidden="false" customHeight="false" outlineLevel="0" collapsed="false">
      <c r="A70" s="7" t="s">
        <v>115</v>
      </c>
      <c r="B70" s="4" t="s">
        <v>116</v>
      </c>
    </row>
    <row r="71" customFormat="false" ht="15" hidden="false" customHeight="false" outlineLevel="0" collapsed="false">
      <c r="A71" s="7" t="s">
        <v>117</v>
      </c>
      <c r="B71" s="4" t="s">
        <v>118</v>
      </c>
    </row>
    <row r="72" customFormat="false" ht="15" hidden="false" customHeight="false" outlineLevel="0" collapsed="false">
      <c r="A72" s="7" t="s">
        <v>119</v>
      </c>
      <c r="B72" s="4" t="s">
        <v>120</v>
      </c>
    </row>
    <row r="73" customFormat="false" ht="15" hidden="false" customHeight="false" outlineLevel="0" collapsed="false">
      <c r="A73" s="7" t="s">
        <v>121</v>
      </c>
      <c r="B73" s="4" t="s">
        <v>122</v>
      </c>
    </row>
    <row r="74" customFormat="false" ht="15" hidden="false" customHeight="false" outlineLevel="0" collapsed="false">
      <c r="A74" s="7" t="s">
        <v>123</v>
      </c>
      <c r="B74" s="4" t="s">
        <v>124</v>
      </c>
    </row>
    <row r="75" customFormat="false" ht="15" hidden="false" customHeight="false" outlineLevel="0" collapsed="false">
      <c r="A75" s="7" t="s">
        <v>125</v>
      </c>
      <c r="B75" s="4" t="s">
        <v>126</v>
      </c>
    </row>
    <row r="76" customFormat="false" ht="15" hidden="false" customHeight="false" outlineLevel="0" collapsed="false">
      <c r="A76" s="7" t="s">
        <v>127</v>
      </c>
      <c r="B76" s="4" t="s">
        <v>128</v>
      </c>
    </row>
    <row r="77" customFormat="false" ht="15" hidden="false" customHeight="false" outlineLevel="0" collapsed="false">
      <c r="A77" s="7" t="s">
        <v>129</v>
      </c>
      <c r="B77" s="4" t="s">
        <v>130</v>
      </c>
    </row>
    <row r="78" customFormat="false" ht="15" hidden="false" customHeight="false" outlineLevel="0" collapsed="false">
      <c r="A78" s="7" t="s">
        <v>131</v>
      </c>
      <c r="B78" s="4" t="s">
        <v>132</v>
      </c>
    </row>
    <row r="79" customFormat="false" ht="15" hidden="false" customHeight="false" outlineLevel="0" collapsed="false">
      <c r="A79" s="7" t="s">
        <v>133</v>
      </c>
      <c r="B79" s="4" t="s">
        <v>134</v>
      </c>
    </row>
    <row r="80" customFormat="false" ht="15" hidden="false" customHeight="false" outlineLevel="0" collapsed="false">
      <c r="A80" s="7" t="s">
        <v>135</v>
      </c>
      <c r="B80" s="4" t="s">
        <v>136</v>
      </c>
    </row>
    <row r="81" customFormat="false" ht="15" hidden="false" customHeight="false" outlineLevel="0" collapsed="false">
      <c r="A81" s="7" t="s">
        <v>137</v>
      </c>
      <c r="B81" s="4" t="s">
        <v>138</v>
      </c>
    </row>
    <row r="82" customFormat="false" ht="15" hidden="false" customHeight="false" outlineLevel="0" collapsed="false">
      <c r="A82" s="7" t="s">
        <v>139</v>
      </c>
      <c r="B82" s="4" t="s">
        <v>140</v>
      </c>
    </row>
    <row r="83" customFormat="false" ht="15" hidden="false" customHeight="false" outlineLevel="0" collapsed="false">
      <c r="A83" s="7" t="s">
        <v>141</v>
      </c>
      <c r="B83" s="4" t="s">
        <v>142</v>
      </c>
    </row>
    <row r="84" customFormat="false" ht="15" hidden="false" customHeight="false" outlineLevel="0" collapsed="false">
      <c r="A84" s="7" t="s">
        <v>143</v>
      </c>
      <c r="B84" s="4" t="s">
        <v>144</v>
      </c>
    </row>
    <row r="85" customFormat="false" ht="15" hidden="false" customHeight="false" outlineLevel="0" collapsed="false">
      <c r="A85" s="7" t="s">
        <v>145</v>
      </c>
      <c r="B85" s="4" t="s">
        <v>146</v>
      </c>
    </row>
    <row r="86" customFormat="false" ht="15" hidden="false" customHeight="false" outlineLevel="0" collapsed="false">
      <c r="A86" s="7" t="s">
        <v>147</v>
      </c>
      <c r="B86" s="4" t="s">
        <v>148</v>
      </c>
    </row>
    <row r="87" customFormat="false" ht="15" hidden="false" customHeight="false" outlineLevel="0" collapsed="false">
      <c r="A87" s="7" t="s">
        <v>149</v>
      </c>
      <c r="B87" s="4" t="s">
        <v>150</v>
      </c>
    </row>
    <row r="88" customFormat="false" ht="15" hidden="false" customHeight="false" outlineLevel="0" collapsed="false">
      <c r="A88" s="7" t="s">
        <v>151</v>
      </c>
      <c r="B88" s="4" t="s">
        <v>152</v>
      </c>
    </row>
    <row r="89" customFormat="false" ht="15" hidden="false" customHeight="false" outlineLevel="0" collapsed="false">
      <c r="A89" s="7" t="s">
        <v>153</v>
      </c>
      <c r="B89" s="4" t="s">
        <v>154</v>
      </c>
    </row>
    <row r="90" customFormat="false" ht="15" hidden="false" customHeight="false" outlineLevel="0" collapsed="false">
      <c r="A90" s="7" t="s">
        <v>155</v>
      </c>
      <c r="B90" s="4" t="s">
        <v>156</v>
      </c>
    </row>
    <row r="91" customFormat="false" ht="15" hidden="false" customHeight="false" outlineLevel="0" collapsed="false">
      <c r="A91" s="7" t="s">
        <v>157</v>
      </c>
      <c r="B91" s="4" t="s">
        <v>158</v>
      </c>
    </row>
    <row r="92" customFormat="false" ht="15" hidden="false" customHeight="false" outlineLevel="0" collapsed="false">
      <c r="A92" s="7" t="s">
        <v>159</v>
      </c>
      <c r="B92" s="4" t="s">
        <v>160</v>
      </c>
    </row>
    <row r="93" customFormat="false" ht="15" hidden="false" customHeight="false" outlineLevel="0" collapsed="false">
      <c r="A93" s="7" t="s">
        <v>161</v>
      </c>
      <c r="B93" s="4" t="s">
        <v>162</v>
      </c>
    </row>
    <row r="94" customFormat="false" ht="15" hidden="false" customHeight="false" outlineLevel="0" collapsed="false">
      <c r="A94" s="7" t="s">
        <v>163</v>
      </c>
      <c r="B94" s="4" t="s">
        <v>164</v>
      </c>
    </row>
    <row r="95" customFormat="false" ht="15" hidden="false" customHeight="false" outlineLevel="0" collapsed="false">
      <c r="A95" s="7" t="s">
        <v>165</v>
      </c>
      <c r="B95" s="4" t="s">
        <v>166</v>
      </c>
    </row>
    <row r="96" customFormat="false" ht="15" hidden="false" customHeight="false" outlineLevel="0" collapsed="false">
      <c r="A96" s="7" t="s">
        <v>167</v>
      </c>
      <c r="B96" s="4" t="s">
        <v>168</v>
      </c>
    </row>
    <row r="97" customFormat="false" ht="15" hidden="false" customHeight="false" outlineLevel="0" collapsed="false">
      <c r="A97" s="7" t="s">
        <v>169</v>
      </c>
      <c r="B97" s="4" t="s">
        <v>170</v>
      </c>
    </row>
    <row r="98" customFormat="false" ht="15" hidden="false" customHeight="false" outlineLevel="0" collapsed="false">
      <c r="A98" s="7" t="s">
        <v>171</v>
      </c>
      <c r="B98" s="4" t="s">
        <v>172</v>
      </c>
    </row>
    <row r="99" customFormat="false" ht="15" hidden="false" customHeight="false" outlineLevel="0" collapsed="false">
      <c r="A99" s="7" t="s">
        <v>173</v>
      </c>
      <c r="B99" s="4" t="s">
        <v>174</v>
      </c>
    </row>
    <row r="100" customFormat="false" ht="15" hidden="false" customHeight="false" outlineLevel="0" collapsed="false">
      <c r="A100" s="7" t="s">
        <v>175</v>
      </c>
      <c r="B100" s="4" t="s">
        <v>176</v>
      </c>
    </row>
    <row r="101" customFormat="false" ht="15" hidden="false" customHeight="false" outlineLevel="0" collapsed="false">
      <c r="A101" s="7" t="s">
        <v>177</v>
      </c>
      <c r="B101" s="4" t="s">
        <v>178</v>
      </c>
    </row>
    <row r="102" customFormat="false" ht="15" hidden="false" customHeight="false" outlineLevel="0" collapsed="false">
      <c r="A102" s="7" t="s">
        <v>179</v>
      </c>
      <c r="B102" s="4" t="s">
        <v>180</v>
      </c>
    </row>
    <row r="103" customFormat="false" ht="15" hidden="false" customHeight="false" outlineLevel="0" collapsed="false">
      <c r="A103" s="7" t="s">
        <v>181</v>
      </c>
      <c r="B103" s="4" t="s">
        <v>182</v>
      </c>
    </row>
    <row r="104" customFormat="false" ht="15" hidden="false" customHeight="false" outlineLevel="0" collapsed="false">
      <c r="A104" s="7" t="s">
        <v>183</v>
      </c>
      <c r="B104" s="4" t="s">
        <v>184</v>
      </c>
    </row>
    <row r="105" customFormat="false" ht="15" hidden="false" customHeight="false" outlineLevel="0" collapsed="false">
      <c r="A105" s="7" t="s">
        <v>185</v>
      </c>
      <c r="B105" s="4" t="s">
        <v>186</v>
      </c>
    </row>
    <row r="106" customFormat="false" ht="15" hidden="false" customHeight="false" outlineLevel="0" collapsed="false">
      <c r="A106" s="7" t="s">
        <v>187</v>
      </c>
      <c r="B106" s="4" t="s">
        <v>188</v>
      </c>
    </row>
    <row r="107" customFormat="false" ht="15" hidden="false" customHeight="false" outlineLevel="0" collapsed="false">
      <c r="A107" s="7" t="s">
        <v>45</v>
      </c>
      <c r="B107" s="4" t="s">
        <v>189</v>
      </c>
    </row>
    <row r="108" customFormat="false" ht="15" hidden="false" customHeight="false" outlineLevel="0" collapsed="false">
      <c r="A108" s="7" t="s">
        <v>190</v>
      </c>
      <c r="B108" s="4" t="s">
        <v>191</v>
      </c>
    </row>
    <row r="109" customFormat="false" ht="15" hidden="false" customHeight="false" outlineLevel="0" collapsed="false">
      <c r="A109" s="7" t="s">
        <v>192</v>
      </c>
      <c r="B109" s="4" t="s">
        <v>193</v>
      </c>
    </row>
    <row r="110" customFormat="false" ht="15" hidden="false" customHeight="false" outlineLevel="0" collapsed="false">
      <c r="A110" s="7" t="s">
        <v>194</v>
      </c>
      <c r="B110" s="4" t="s">
        <v>195</v>
      </c>
    </row>
    <row r="111" customFormat="false" ht="15" hidden="false" customHeight="false" outlineLevel="0" collapsed="false">
      <c r="A111" s="7" t="s">
        <v>196</v>
      </c>
      <c r="B111" s="4" t="s">
        <v>197</v>
      </c>
    </row>
    <row r="112" customFormat="false" ht="15" hidden="false" customHeight="false" outlineLevel="0" collapsed="false">
      <c r="A112" s="7" t="s">
        <v>198</v>
      </c>
      <c r="B112" s="4" t="s">
        <v>199</v>
      </c>
    </row>
    <row r="113" customFormat="false" ht="15" hidden="false" customHeight="false" outlineLevel="0" collapsed="false">
      <c r="A113" s="7" t="s">
        <v>200</v>
      </c>
      <c r="B113" s="4" t="s">
        <v>201</v>
      </c>
    </row>
    <row r="114" customFormat="false" ht="15" hidden="false" customHeight="false" outlineLevel="0" collapsed="false">
      <c r="A114" s="7" t="s">
        <v>202</v>
      </c>
      <c r="B114" s="4" t="s">
        <v>203</v>
      </c>
    </row>
    <row r="115" customFormat="false" ht="15" hidden="false" customHeight="false" outlineLevel="0" collapsed="false">
      <c r="A115" s="7" t="s">
        <v>204</v>
      </c>
      <c r="B115" s="4" t="s">
        <v>205</v>
      </c>
    </row>
    <row r="116" customFormat="false" ht="15" hidden="false" customHeight="false" outlineLevel="0" collapsed="false">
      <c r="A116" s="7" t="s">
        <v>206</v>
      </c>
      <c r="B116" s="4" t="s">
        <v>207</v>
      </c>
    </row>
    <row r="117" customFormat="false" ht="15" hidden="false" customHeight="false" outlineLevel="0" collapsed="false">
      <c r="A117" s="7" t="s">
        <v>208</v>
      </c>
      <c r="B117" s="4" t="s">
        <v>209</v>
      </c>
    </row>
    <row r="118" customFormat="false" ht="15" hidden="false" customHeight="false" outlineLevel="0" collapsed="false">
      <c r="A118" s="7" t="s">
        <v>210</v>
      </c>
      <c r="B118" s="4" t="s">
        <v>211</v>
      </c>
    </row>
    <row r="119" customFormat="false" ht="15" hidden="false" customHeight="false" outlineLevel="0" collapsed="false">
      <c r="A119" s="7" t="s">
        <v>212</v>
      </c>
      <c r="B119" s="4" t="s">
        <v>213</v>
      </c>
    </row>
    <row r="120" customFormat="false" ht="15" hidden="false" customHeight="false" outlineLevel="0" collapsed="false">
      <c r="A120" s="7" t="s">
        <v>214</v>
      </c>
      <c r="B120" s="4" t="s">
        <v>215</v>
      </c>
    </row>
    <row r="121" customFormat="false" ht="15" hidden="false" customHeight="false" outlineLevel="0" collapsed="false">
      <c r="A121" s="7" t="s">
        <v>216</v>
      </c>
      <c r="B121" s="4" t="s">
        <v>217</v>
      </c>
    </row>
    <row r="122" customFormat="false" ht="15" hidden="false" customHeight="false" outlineLevel="0" collapsed="false">
      <c r="A122" s="7" t="s">
        <v>218</v>
      </c>
      <c r="B122" s="4" t="s">
        <v>219</v>
      </c>
    </row>
    <row r="123" customFormat="false" ht="15" hidden="false" customHeight="false" outlineLevel="0" collapsed="false">
      <c r="A123" s="7" t="s">
        <v>220</v>
      </c>
      <c r="B123" s="4" t="s">
        <v>221</v>
      </c>
    </row>
    <row r="124" customFormat="false" ht="15" hidden="false" customHeight="false" outlineLevel="0" collapsed="false">
      <c r="A124" s="7" t="s">
        <v>222</v>
      </c>
      <c r="B124" s="4" t="s">
        <v>223</v>
      </c>
    </row>
    <row r="125" customFormat="false" ht="15" hidden="false" customHeight="false" outlineLevel="0" collapsed="false">
      <c r="A125" s="7" t="s">
        <v>224</v>
      </c>
      <c r="B125" s="4" t="s">
        <v>225</v>
      </c>
    </row>
    <row r="126" customFormat="false" ht="15" hidden="false" customHeight="false" outlineLevel="0" collapsed="false">
      <c r="A126" s="7" t="s">
        <v>226</v>
      </c>
      <c r="B126" s="4" t="s">
        <v>227</v>
      </c>
    </row>
    <row r="127" customFormat="false" ht="15" hidden="false" customHeight="false" outlineLevel="0" collapsed="false">
      <c r="A127" s="7" t="s">
        <v>228</v>
      </c>
      <c r="B127" s="4" t="s">
        <v>229</v>
      </c>
    </row>
    <row r="128" customFormat="false" ht="15" hidden="false" customHeight="false" outlineLevel="0" collapsed="false">
      <c r="A128" s="7" t="s">
        <v>230</v>
      </c>
      <c r="B128" s="4" t="s">
        <v>231</v>
      </c>
    </row>
    <row r="129" customFormat="false" ht="15" hidden="false" customHeight="false" outlineLevel="0" collapsed="false">
      <c r="A129" s="7" t="s">
        <v>232</v>
      </c>
      <c r="B129" s="4" t="s">
        <v>233</v>
      </c>
    </row>
    <row r="130" customFormat="false" ht="15" hidden="false" customHeight="false" outlineLevel="0" collapsed="false">
      <c r="A130" s="7" t="s">
        <v>234</v>
      </c>
      <c r="B130" s="4" t="s">
        <v>235</v>
      </c>
    </row>
    <row r="131" customFormat="false" ht="15" hidden="false" customHeight="false" outlineLevel="0" collapsed="false">
      <c r="A131" s="7" t="s">
        <v>236</v>
      </c>
      <c r="B131" s="4" t="s">
        <v>237</v>
      </c>
    </row>
    <row r="132" customFormat="false" ht="15" hidden="false" customHeight="false" outlineLevel="0" collapsed="false">
      <c r="A132" s="7" t="s">
        <v>238</v>
      </c>
      <c r="B132" s="4" t="s">
        <v>239</v>
      </c>
    </row>
    <row r="133" customFormat="false" ht="15" hidden="false" customHeight="false" outlineLevel="0" collapsed="false">
      <c r="A133" s="7" t="s">
        <v>240</v>
      </c>
      <c r="B133" s="4" t="s">
        <v>241</v>
      </c>
    </row>
    <row r="134" customFormat="false" ht="15" hidden="false" customHeight="false" outlineLevel="0" collapsed="false">
      <c r="A134" s="7" t="s">
        <v>242</v>
      </c>
      <c r="B134" s="4" t="s">
        <v>243</v>
      </c>
    </row>
    <row r="135" customFormat="false" ht="15" hidden="false" customHeight="false" outlineLevel="0" collapsed="false">
      <c r="A135" s="7" t="s">
        <v>244</v>
      </c>
      <c r="B135" s="4" t="s">
        <v>245</v>
      </c>
    </row>
    <row r="136" customFormat="false" ht="15" hidden="false" customHeight="false" outlineLevel="0" collapsed="false">
      <c r="A136" s="7" t="s">
        <v>246</v>
      </c>
      <c r="B136" s="4" t="s">
        <v>247</v>
      </c>
    </row>
    <row r="137" customFormat="false" ht="15" hidden="false" customHeight="false" outlineLevel="0" collapsed="false">
      <c r="A137" s="7" t="s">
        <v>248</v>
      </c>
      <c r="B137" s="4" t="s">
        <v>249</v>
      </c>
    </row>
    <row r="138" customFormat="false" ht="15" hidden="false" customHeight="false" outlineLevel="0" collapsed="false">
      <c r="A138" s="7" t="s">
        <v>250</v>
      </c>
      <c r="B138" s="4" t="s">
        <v>251</v>
      </c>
    </row>
    <row r="139" customFormat="false" ht="15" hidden="false" customHeight="false" outlineLevel="0" collapsed="false">
      <c r="A139" s="7" t="s">
        <v>252</v>
      </c>
      <c r="B139" s="4" t="s">
        <v>253</v>
      </c>
    </row>
    <row r="140" customFormat="false" ht="15" hidden="false" customHeight="false" outlineLevel="0" collapsed="false">
      <c r="A140" s="7" t="s">
        <v>254</v>
      </c>
      <c r="B140" s="4" t="s">
        <v>255</v>
      </c>
    </row>
    <row r="141" customFormat="false" ht="15" hidden="false" customHeight="false" outlineLevel="0" collapsed="false">
      <c r="A141" s="7" t="s">
        <v>256</v>
      </c>
      <c r="B141" s="4" t="s">
        <v>257</v>
      </c>
    </row>
    <row r="142" customFormat="false" ht="15" hidden="false" customHeight="false" outlineLevel="0" collapsed="false">
      <c r="A142" s="7" t="s">
        <v>258</v>
      </c>
      <c r="B142" s="4" t="s">
        <v>259</v>
      </c>
    </row>
    <row r="143" customFormat="false" ht="15" hidden="false" customHeight="false" outlineLevel="0" collapsed="false">
      <c r="A143" s="7" t="s">
        <v>260</v>
      </c>
      <c r="B143" s="4" t="s">
        <v>261</v>
      </c>
    </row>
    <row r="144" customFormat="false" ht="15" hidden="false" customHeight="false" outlineLevel="0" collapsed="false">
      <c r="A144" s="7" t="s">
        <v>262</v>
      </c>
      <c r="B144" s="4" t="s">
        <v>263</v>
      </c>
    </row>
    <row r="145" customFormat="false" ht="15" hidden="false" customHeight="false" outlineLevel="0" collapsed="false">
      <c r="A145" s="7" t="s">
        <v>264</v>
      </c>
      <c r="B145" s="4" t="s">
        <v>265</v>
      </c>
    </row>
    <row r="146" customFormat="false" ht="15" hidden="false" customHeight="false" outlineLevel="0" collapsed="false">
      <c r="A146" s="7" t="s">
        <v>266</v>
      </c>
      <c r="B146" s="4" t="s">
        <v>267</v>
      </c>
    </row>
    <row r="147" customFormat="false" ht="15" hidden="false" customHeight="false" outlineLevel="0" collapsed="false">
      <c r="A147" s="7" t="s">
        <v>268</v>
      </c>
      <c r="B147" s="4" t="s">
        <v>269</v>
      </c>
    </row>
    <row r="148" customFormat="false" ht="15" hidden="false" customHeight="false" outlineLevel="0" collapsed="false">
      <c r="A148" s="7" t="s">
        <v>270</v>
      </c>
      <c r="B148" s="4" t="s">
        <v>271</v>
      </c>
    </row>
    <row r="149" customFormat="false" ht="15" hidden="false" customHeight="false" outlineLevel="0" collapsed="false">
      <c r="A149" s="7" t="s">
        <v>272</v>
      </c>
      <c r="B149" s="4" t="s">
        <v>273</v>
      </c>
    </row>
    <row r="150" customFormat="false" ht="15" hidden="false" customHeight="false" outlineLevel="0" collapsed="false">
      <c r="A150" s="7" t="s">
        <v>274</v>
      </c>
      <c r="B150" s="4" t="s">
        <v>275</v>
      </c>
    </row>
    <row r="151" customFormat="false" ht="15" hidden="false" customHeight="false" outlineLevel="0" collapsed="false">
      <c r="A151" s="7" t="s">
        <v>276</v>
      </c>
      <c r="B151" s="4" t="s">
        <v>277</v>
      </c>
    </row>
    <row r="152" customFormat="false" ht="15" hidden="false" customHeight="false" outlineLevel="0" collapsed="false">
      <c r="A152" s="7" t="s">
        <v>278</v>
      </c>
      <c r="B152" s="4" t="s">
        <v>279</v>
      </c>
    </row>
    <row r="153" customFormat="false" ht="15" hidden="false" customHeight="false" outlineLevel="0" collapsed="false">
      <c r="A153" s="7" t="s">
        <v>280</v>
      </c>
      <c r="B153" s="4" t="s">
        <v>281</v>
      </c>
    </row>
    <row r="154" customFormat="false" ht="15" hidden="false" customHeight="false" outlineLevel="0" collapsed="false">
      <c r="A154" s="7" t="s">
        <v>282</v>
      </c>
      <c r="B154" s="4" t="s">
        <v>283</v>
      </c>
    </row>
    <row r="155" customFormat="false" ht="15" hidden="false" customHeight="false" outlineLevel="0" collapsed="false">
      <c r="A155" s="7" t="s">
        <v>284</v>
      </c>
      <c r="B155" s="4" t="s">
        <v>285</v>
      </c>
    </row>
    <row r="156" customFormat="false" ht="15" hidden="false" customHeight="false" outlineLevel="0" collapsed="false">
      <c r="A156" s="7" t="s">
        <v>286</v>
      </c>
      <c r="B156" s="4" t="s">
        <v>287</v>
      </c>
    </row>
    <row r="157" customFormat="false" ht="15" hidden="false" customHeight="false" outlineLevel="0" collapsed="false">
      <c r="A157" s="7" t="s">
        <v>288</v>
      </c>
      <c r="B157" s="4" t="s">
        <v>289</v>
      </c>
    </row>
    <row r="158" customFormat="false" ht="15" hidden="false" customHeight="false" outlineLevel="0" collapsed="false">
      <c r="A158" s="7" t="s">
        <v>290</v>
      </c>
      <c r="B158" s="4" t="s">
        <v>291</v>
      </c>
    </row>
    <row r="159" customFormat="false" ht="15" hidden="false" customHeight="false" outlineLevel="0" collapsed="false">
      <c r="A159" s="7" t="s">
        <v>292</v>
      </c>
      <c r="B159" s="4" t="s">
        <v>293</v>
      </c>
    </row>
    <row r="160" customFormat="false" ht="15" hidden="false" customHeight="false" outlineLevel="0" collapsed="false">
      <c r="A160" s="7" t="s">
        <v>294</v>
      </c>
      <c r="B160" s="4" t="s">
        <v>295</v>
      </c>
    </row>
    <row r="161" customFormat="false" ht="15" hidden="false" customHeight="false" outlineLevel="0" collapsed="false">
      <c r="A161" s="7" t="s">
        <v>296</v>
      </c>
      <c r="B161" s="4" t="s">
        <v>297</v>
      </c>
    </row>
    <row r="162" customFormat="false" ht="15" hidden="false" customHeight="false" outlineLevel="0" collapsed="false">
      <c r="A162" s="7" t="s">
        <v>298</v>
      </c>
      <c r="B162" s="4" t="s">
        <v>299</v>
      </c>
    </row>
    <row r="163" customFormat="false" ht="15" hidden="false" customHeight="false" outlineLevel="0" collapsed="false">
      <c r="A163" s="7" t="s">
        <v>300</v>
      </c>
      <c r="B163" s="4" t="s">
        <v>301</v>
      </c>
    </row>
    <row r="164" customFormat="false" ht="15" hidden="false" customHeight="false" outlineLevel="0" collapsed="false">
      <c r="A164" s="7" t="s">
        <v>302</v>
      </c>
      <c r="B164" s="4" t="s">
        <v>303</v>
      </c>
    </row>
    <row r="165" customFormat="false" ht="15" hidden="false" customHeight="false" outlineLevel="0" collapsed="false">
      <c r="A165" s="7" t="s">
        <v>304</v>
      </c>
      <c r="B165" s="4" t="s">
        <v>305</v>
      </c>
    </row>
    <row r="166" customFormat="false" ht="15" hidden="false" customHeight="false" outlineLevel="0" collapsed="false">
      <c r="A166" s="7" t="s">
        <v>306</v>
      </c>
      <c r="B166" s="4" t="s">
        <v>307</v>
      </c>
    </row>
    <row r="167" customFormat="false" ht="15" hidden="false" customHeight="false" outlineLevel="0" collapsed="false">
      <c r="A167" s="7" t="s">
        <v>308</v>
      </c>
      <c r="B167" s="4" t="s">
        <v>309</v>
      </c>
    </row>
    <row r="168" customFormat="false" ht="15" hidden="false" customHeight="false" outlineLevel="0" collapsed="false">
      <c r="A168" s="7" t="s">
        <v>310</v>
      </c>
      <c r="B168" s="4" t="s">
        <v>311</v>
      </c>
    </row>
    <row r="169" customFormat="false" ht="15" hidden="false" customHeight="false" outlineLevel="0" collapsed="false">
      <c r="A169" s="7" t="s">
        <v>312</v>
      </c>
      <c r="B169" s="4" t="s">
        <v>313</v>
      </c>
    </row>
    <row r="170" customFormat="false" ht="15" hidden="false" customHeight="false" outlineLevel="0" collapsed="false">
      <c r="A170" s="7" t="s">
        <v>314</v>
      </c>
      <c r="B170" s="4" t="s">
        <v>315</v>
      </c>
    </row>
    <row r="171" customFormat="false" ht="15" hidden="false" customHeight="false" outlineLevel="0" collapsed="false">
      <c r="A171" s="7" t="s">
        <v>316</v>
      </c>
      <c r="B171" s="4" t="s">
        <v>317</v>
      </c>
    </row>
    <row r="172" customFormat="false" ht="15" hidden="false" customHeight="false" outlineLevel="0" collapsed="false">
      <c r="A172" s="7" t="s">
        <v>318</v>
      </c>
      <c r="B172" s="4" t="s">
        <v>319</v>
      </c>
    </row>
    <row r="173" customFormat="false" ht="15" hidden="false" customHeight="false" outlineLevel="0" collapsed="false">
      <c r="A173" s="7" t="s">
        <v>320</v>
      </c>
      <c r="B173" s="4" t="s">
        <v>321</v>
      </c>
    </row>
    <row r="174" customFormat="false" ht="15" hidden="false" customHeight="false" outlineLevel="0" collapsed="false">
      <c r="A174" s="7" t="s">
        <v>322</v>
      </c>
      <c r="B174" s="4" t="s">
        <v>323</v>
      </c>
    </row>
    <row r="175" customFormat="false" ht="15" hidden="false" customHeight="false" outlineLevel="0" collapsed="false">
      <c r="A175" s="7" t="s">
        <v>324</v>
      </c>
      <c r="B175" s="4" t="s">
        <v>325</v>
      </c>
    </row>
    <row r="176" customFormat="false" ht="15" hidden="false" customHeight="false" outlineLevel="0" collapsed="false">
      <c r="A176" s="7" t="s">
        <v>326</v>
      </c>
      <c r="B176" s="4" t="s">
        <v>327</v>
      </c>
    </row>
    <row r="177" customFormat="false" ht="15" hidden="false" customHeight="false" outlineLevel="0" collapsed="false">
      <c r="A177" s="7" t="s">
        <v>328</v>
      </c>
      <c r="B177" s="4" t="s">
        <v>329</v>
      </c>
    </row>
    <row r="178" customFormat="false" ht="15" hidden="false" customHeight="false" outlineLevel="0" collapsed="false">
      <c r="A178" s="7" t="s">
        <v>330</v>
      </c>
      <c r="B178" s="4" t="s">
        <v>331</v>
      </c>
    </row>
    <row r="179" customFormat="false" ht="15" hidden="false" customHeight="false" outlineLevel="0" collapsed="false">
      <c r="A179" s="7" t="s">
        <v>332</v>
      </c>
      <c r="B179" s="4" t="s">
        <v>333</v>
      </c>
    </row>
    <row r="180" customFormat="false" ht="15" hidden="false" customHeight="false" outlineLevel="0" collapsed="false">
      <c r="A180" s="7" t="s">
        <v>334</v>
      </c>
      <c r="B180" s="4" t="s">
        <v>335</v>
      </c>
    </row>
    <row r="181" customFormat="false" ht="15" hidden="false" customHeight="false" outlineLevel="0" collapsed="false">
      <c r="A181" s="7" t="s">
        <v>336</v>
      </c>
      <c r="B181" s="4" t="s">
        <v>337</v>
      </c>
    </row>
    <row r="182" customFormat="false" ht="15" hidden="false" customHeight="false" outlineLevel="0" collapsed="false">
      <c r="A182" s="7" t="s">
        <v>338</v>
      </c>
      <c r="B182" s="4" t="s">
        <v>339</v>
      </c>
    </row>
    <row r="183" customFormat="false" ht="15" hidden="false" customHeight="false" outlineLevel="0" collapsed="false">
      <c r="A183" s="7" t="s">
        <v>340</v>
      </c>
      <c r="B183" s="4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342</v>
      </c>
    </row>
    <row r="2" customFormat="false" ht="15" hidden="false" customHeight="false" outlineLevel="0" collapsed="false">
      <c r="A2" s="2" t="s">
        <v>343</v>
      </c>
    </row>
    <row r="4" customFormat="false" ht="15" hidden="false" customHeight="false" outlineLevel="0" collapsed="false">
      <c r="A4" s="3" t="s">
        <v>344</v>
      </c>
      <c r="B4" s="8" t="str">
        <f aca="false">RECOMMENDATION_TEXT</f>
        <v>Plant 10 tomato, 20 carrot and 30 mesclun beds (60 of 64 beds) for a seasonal profit of $42,775.</v>
      </c>
      <c r="C4" s="8"/>
      <c r="D4" s="8"/>
    </row>
    <row r="5" customFormat="false" ht="15" hidden="false" customHeight="false" outlineLevel="0" collapsed="false">
      <c r="A5" s="3" t="s">
        <v>345</v>
      </c>
      <c r="B5" s="3" t="str">
        <f aca="false">CHECKS_OVERALL</f>
        <v>ALL CHECKS PASS</v>
      </c>
    </row>
    <row r="7" customFormat="false" ht="15" hidden="false" customHeight="false" outlineLevel="0" collapsed="false">
      <c r="A7" s="6" t="s">
        <v>346</v>
      </c>
      <c r="B7" s="6" t="s">
        <v>347</v>
      </c>
      <c r="C7" s="6" t="s">
        <v>348</v>
      </c>
      <c r="D7" s="6" t="s">
        <v>349</v>
      </c>
    </row>
    <row r="8" customFormat="false" ht="15" hidden="false" customHeight="false" outlineLevel="0" collapsed="false">
      <c r="A8" s="9" t="s">
        <v>350</v>
      </c>
      <c r="B8" s="10" t="n">
        <f aca="false">TOMATO_BEDS</f>
        <v>10</v>
      </c>
      <c r="C8" s="0" t="s">
        <v>351</v>
      </c>
      <c r="D8" s="11" t="s">
        <v>135</v>
      </c>
    </row>
    <row r="9" customFormat="false" ht="15" hidden="false" customHeight="false" outlineLevel="0" collapsed="false">
      <c r="A9" s="9" t="s">
        <v>352</v>
      </c>
      <c r="B9" s="10" t="n">
        <f aca="false">CARROT_BEDS</f>
        <v>20</v>
      </c>
      <c r="C9" s="0" t="s">
        <v>351</v>
      </c>
      <c r="D9" s="11" t="s">
        <v>137</v>
      </c>
    </row>
    <row r="10" customFormat="false" ht="15" hidden="false" customHeight="false" outlineLevel="0" collapsed="false">
      <c r="A10" s="9" t="s">
        <v>353</v>
      </c>
      <c r="B10" s="10" t="n">
        <f aca="false">MESCLUN_BEDS</f>
        <v>30</v>
      </c>
      <c r="C10" s="0" t="s">
        <v>351</v>
      </c>
      <c r="D10" s="11" t="s">
        <v>139</v>
      </c>
    </row>
    <row r="11" customFormat="false" ht="15" hidden="false" customHeight="false" outlineLevel="0" collapsed="false">
      <c r="A11" s="0" t="s">
        <v>354</v>
      </c>
      <c r="B11" s="12" t="n">
        <f aca="false">TOTAL_BEDS_USED</f>
        <v>60</v>
      </c>
      <c r="C11" s="0" t="s">
        <v>351</v>
      </c>
      <c r="D11" s="11" t="s">
        <v>159</v>
      </c>
    </row>
    <row r="12" customFormat="false" ht="15" hidden="false" customHeight="false" outlineLevel="0" collapsed="false">
      <c r="A12" s="0" t="s">
        <v>355</v>
      </c>
      <c r="B12" s="12" t="n">
        <f aca="false">UNUSED_BEDS</f>
        <v>4</v>
      </c>
      <c r="C12" s="0" t="s">
        <v>351</v>
      </c>
      <c r="D12" s="11" t="s">
        <v>185</v>
      </c>
    </row>
    <row r="13" customFormat="false" ht="15" hidden="false" customHeight="false" outlineLevel="0" collapsed="false">
      <c r="A13" s="0" t="s">
        <v>356</v>
      </c>
      <c r="B13" s="13" t="n">
        <f aca="false">TOTAL_REVENUE</f>
        <v>210880</v>
      </c>
      <c r="C13" s="0" t="s">
        <v>357</v>
      </c>
      <c r="D13" s="11" t="s">
        <v>161</v>
      </c>
    </row>
    <row r="14" customFormat="false" ht="15" hidden="false" customHeight="false" outlineLevel="0" collapsed="false">
      <c r="A14" s="0" t="s">
        <v>358</v>
      </c>
      <c r="B14" s="13" t="n">
        <f aca="false">TOTAL_FERTILIZER</f>
        <v>44000</v>
      </c>
      <c r="C14" s="0" t="s">
        <v>357</v>
      </c>
      <c r="D14" s="11" t="s">
        <v>163</v>
      </c>
    </row>
    <row r="15" customFormat="false" ht="15" hidden="false" customHeight="false" outlineLevel="0" collapsed="false">
      <c r="A15" s="0" t="s">
        <v>359</v>
      </c>
      <c r="B15" s="14" t="n">
        <f aca="false">TOTAL_LABOR_HOURS</f>
        <v>5276.82284632822</v>
      </c>
      <c r="C15" s="0" t="s">
        <v>360</v>
      </c>
      <c r="D15" s="11" t="s">
        <v>165</v>
      </c>
    </row>
    <row r="16" customFormat="false" ht="15" hidden="false" customHeight="false" outlineLevel="0" collapsed="false">
      <c r="A16" s="0" t="s">
        <v>361</v>
      </c>
      <c r="B16" s="14" t="n">
        <f aca="false">UNUSED_LABOR_HOURS</f>
        <v>1203.17715367179</v>
      </c>
      <c r="C16" s="0" t="s">
        <v>360</v>
      </c>
      <c r="D16" s="11" t="s">
        <v>183</v>
      </c>
    </row>
    <row r="17" customFormat="false" ht="15" hidden="false" customHeight="false" outlineLevel="0" collapsed="false">
      <c r="A17" s="0" t="s">
        <v>362</v>
      </c>
      <c r="B17" s="14" t="n">
        <f aca="false">PERMANENT_HOURS_USED</f>
        <v>720</v>
      </c>
      <c r="C17" s="0" t="s">
        <v>360</v>
      </c>
      <c r="D17" s="11" t="s">
        <v>167</v>
      </c>
    </row>
    <row r="18" customFormat="false" ht="15" hidden="false" customHeight="false" outlineLevel="0" collapsed="false">
      <c r="A18" s="0" t="s">
        <v>363</v>
      </c>
      <c r="B18" s="14" t="n">
        <f aca="false">TEMP_HOURS_USED</f>
        <v>4556.82284632822</v>
      </c>
      <c r="C18" s="0" t="s">
        <v>360</v>
      </c>
      <c r="D18" s="11" t="s">
        <v>169</v>
      </c>
    </row>
    <row r="19" customFormat="false" ht="15" hidden="false" customHeight="false" outlineLevel="0" collapsed="false">
      <c r="A19" s="0" t="s">
        <v>364</v>
      </c>
      <c r="B19" s="12" t="n">
        <f aca="false">TEMP_WORKERS_REQUIRED</f>
        <v>4</v>
      </c>
      <c r="C19" s="0" t="s">
        <v>365</v>
      </c>
      <c r="D19" s="11" t="s">
        <v>179</v>
      </c>
    </row>
    <row r="20" customFormat="false" ht="15" hidden="false" customHeight="false" outlineLevel="0" collapsed="false">
      <c r="A20" s="0" t="s">
        <v>366</v>
      </c>
      <c r="B20" s="15" t="n">
        <f aca="false">TEMP_WORKERS_FTE</f>
        <v>3.16446030995015</v>
      </c>
      <c r="C20" s="0" t="s">
        <v>365</v>
      </c>
      <c r="D20" s="11" t="s">
        <v>181</v>
      </c>
    </row>
    <row r="21" customFormat="false" ht="15" hidden="false" customHeight="false" outlineLevel="0" collapsed="false">
      <c r="A21" s="0" t="s">
        <v>367</v>
      </c>
      <c r="B21" s="13" t="n">
        <f aca="false">TOTAL_LABOR_COST</f>
        <v>104104.844612258</v>
      </c>
      <c r="C21" s="0" t="s">
        <v>357</v>
      </c>
      <c r="D21" s="11" t="s">
        <v>175</v>
      </c>
    </row>
    <row r="22" customFormat="false" ht="15" hidden="false" customHeight="false" outlineLevel="0" collapsed="false">
      <c r="A22" s="0" t="s">
        <v>368</v>
      </c>
      <c r="B22" s="16" t="n">
        <f aca="false">BLENDED_LABOR_RATE</f>
        <v>19.7286980525976</v>
      </c>
      <c r="C22" s="0" t="s">
        <v>369</v>
      </c>
      <c r="D22" s="11" t="s">
        <v>177</v>
      </c>
    </row>
    <row r="23" customFormat="false" ht="15" hidden="false" customHeight="false" outlineLevel="0" collapsed="false">
      <c r="A23" s="0" t="s">
        <v>370</v>
      </c>
      <c r="B23" s="13" t="n">
        <f aca="false">FIXED_SEASON_COST</f>
        <v>20000</v>
      </c>
      <c r="C23" s="0" t="s">
        <v>357</v>
      </c>
      <c r="D23" s="11" t="s">
        <v>129</v>
      </c>
    </row>
    <row r="24" customFormat="false" ht="15" hidden="false" customHeight="false" outlineLevel="0" collapsed="false">
      <c r="A24" s="9" t="s">
        <v>371</v>
      </c>
      <c r="B24" s="17" t="n">
        <f aca="false">SEASONAL_PROFIT</f>
        <v>42775.1553877422</v>
      </c>
      <c r="C24" s="0" t="s">
        <v>357</v>
      </c>
      <c r="D24" s="11" t="s">
        <v>45</v>
      </c>
    </row>
    <row r="26" customFormat="false" ht="15" hidden="false" customHeight="false" outlineLevel="0" collapsed="false">
      <c r="A26" s="18" t="s">
        <v>372</v>
      </c>
    </row>
    <row r="27" customFormat="false" ht="28.35" hidden="false" customHeight="false" outlineLevel="0" collapsed="false">
      <c r="A27" s="6" t="s">
        <v>373</v>
      </c>
      <c r="B27" s="6" t="s">
        <v>374</v>
      </c>
    </row>
    <row r="28" customFormat="false" ht="31.5" hidden="false" customHeight="true" outlineLevel="0" collapsed="false">
      <c r="A28" s="3" t="s">
        <v>375</v>
      </c>
      <c r="B28" s="19" t="str">
        <f aca="false">TOMATO_LIMIT_STATEMENT</f>
        <v>Not constraint-limited: stops on marginal cost. Bed 11 would add 490 labor hours and change profit by -$590.</v>
      </c>
      <c r="C28" s="19"/>
      <c r="D28" s="19"/>
    </row>
    <row r="29" customFormat="false" ht="31.5" hidden="false" customHeight="true" outlineLevel="0" collapsed="false">
      <c r="A29" s="3" t="s">
        <v>376</v>
      </c>
      <c r="B29" s="19" t="str">
        <f aca="false">CARROT_LIMIT_STATEMENT</f>
        <v>BINDING: carrot bed cap (20 beds). One more bed would change profit by $353, so the cap limits profit.</v>
      </c>
      <c r="C29" s="19"/>
      <c r="D29" s="19"/>
    </row>
    <row r="30" customFormat="false" ht="31.5" hidden="false" customHeight="true" outlineLevel="0" collapsed="false">
      <c r="A30" s="3" t="s">
        <v>377</v>
      </c>
      <c r="B30" s="19" t="str">
        <f aca="false">MESCLUN_LIMIT_STATEMENT</f>
        <v>BINDING: mesclun bed cap (30 beds). One more bed would change profit by $247, so the cap limits profit.</v>
      </c>
      <c r="C30" s="19"/>
      <c r="D30" s="19"/>
    </row>
    <row r="31" customFormat="false" ht="31.5" hidden="false" customHeight="true" outlineLevel="0" collapsed="false">
      <c r="A31" s="3" t="s">
        <v>378</v>
      </c>
      <c r="B31" s="19" t="str">
        <f aca="false">BEDS_LIMIT_STATEMENT</f>
        <v>Not binding: 4 beds unused, so this limit has no opportunity cost at the current mix.</v>
      </c>
      <c r="C31" s="19"/>
      <c r="D31" s="19"/>
    </row>
    <row r="32" customFormat="false" ht="31.5" hidden="false" customHeight="true" outlineLevel="0" collapsed="false">
      <c r="A32" s="3" t="s">
        <v>359</v>
      </c>
      <c r="B32" s="19" t="str">
        <f aca="false">LABOR_LIMIT_STATEMENT</f>
        <v>Not binding: 1,203.2 labor hours unused, so this limit has no opportunity cost at the current mix.</v>
      </c>
      <c r="C32" s="19"/>
      <c r="D32" s="19"/>
    </row>
    <row r="33" customFormat="false" ht="31.5" hidden="false" customHeight="true" outlineLevel="0" collapsed="false">
      <c r="A33" s="3" t="s">
        <v>379</v>
      </c>
      <c r="B33" s="19" t="str">
        <f aca="false">TEMP_LIMIT_STATEMENT</f>
        <v>Not binding: 1,203.2 temporary hours unused, so this limit has no opportunity cost at the current mix.</v>
      </c>
      <c r="C33" s="19"/>
      <c r="D33" s="19"/>
    </row>
    <row r="34" customFormat="false" ht="31.5" hidden="false" customHeight="true" outlineLevel="0" collapsed="false">
      <c r="A34" s="3" t="s">
        <v>380</v>
      </c>
      <c r="B34" s="19" t="str">
        <f aca="false">PERM_LIMIT_STATEMENT</f>
        <v>Fully used (permanent hours are allocated first). Further hours are bought at the temporary rate of $17.36/hr, which is the marginal labor rate.</v>
      </c>
      <c r="C34" s="19"/>
      <c r="D34" s="19"/>
    </row>
    <row r="36" customFormat="false" ht="15" hidden="false" customHeight="false" outlineLevel="0" collapsed="false">
      <c r="A36" s="18" t="s">
        <v>381</v>
      </c>
    </row>
    <row r="37" customFormat="false" ht="28.35" hidden="false" customHeight="false" outlineLevel="0" collapsed="false">
      <c r="A37" s="6" t="s">
        <v>382</v>
      </c>
      <c r="B37" s="6" t="s">
        <v>383</v>
      </c>
      <c r="C37" s="6" t="s">
        <v>384</v>
      </c>
      <c r="D37" s="6" t="s">
        <v>385</v>
      </c>
    </row>
    <row r="38" customFormat="false" ht="15" hidden="false" customHeight="false" outlineLevel="0" collapsed="false">
      <c r="A38" s="0" t="s">
        <v>386</v>
      </c>
      <c r="B38" s="12" t="n">
        <f aca="false">TOMATO_PMC_Q</f>
        <v>10</v>
      </c>
      <c r="C38" s="12" t="n">
        <f aca="false">TOMATO_PMC_Q_OWNER</f>
        <v>10</v>
      </c>
      <c r="D38" s="12" t="n">
        <f aca="false">TOMATO_BED_CAP</f>
        <v>20</v>
      </c>
    </row>
    <row r="39" customFormat="false" ht="15" hidden="false" customHeight="false" outlineLevel="0" collapsed="false">
      <c r="A39" s="0" t="s">
        <v>387</v>
      </c>
      <c r="B39" s="12" t="n">
        <f aca="false">CARROT_PMC_Q</f>
        <v>10</v>
      </c>
      <c r="C39" s="12" t="n">
        <f aca="false">CARROT_PMC_Q_OWNER</f>
        <v>20</v>
      </c>
      <c r="D39" s="12" t="n">
        <f aca="false">CARROT_BED_CAP</f>
        <v>20</v>
      </c>
    </row>
    <row r="40" customFormat="false" ht="15" hidden="false" customHeight="false" outlineLevel="0" collapsed="false">
      <c r="A40" s="0" t="s">
        <v>388</v>
      </c>
      <c r="B40" s="12" t="n">
        <f aca="false">MESCLUN_PMC_Q</f>
        <v>6</v>
      </c>
      <c r="C40" s="12" t="n">
        <f aca="false">MESCLUN_PMC_Q_OWNER</f>
        <v>30</v>
      </c>
      <c r="D40" s="12" t="n">
        <f aca="false">MESCLUN_BED_CAP</f>
        <v>30</v>
      </c>
    </row>
    <row r="41" customFormat="false" ht="15" hidden="false" customHeight="false" outlineLevel="0" collapsed="false">
      <c r="A41" s="2" t="s">
        <v>389</v>
      </c>
    </row>
    <row r="43" customFormat="false" ht="15" hidden="false" customHeight="false" outlineLevel="0" collapsed="false">
      <c r="A43" s="18" t="s">
        <v>390</v>
      </c>
    </row>
    <row r="44" customFormat="false" ht="15" hidden="false" customHeight="false" outlineLevel="0" collapsed="false">
      <c r="A44" s="6" t="s">
        <v>382</v>
      </c>
      <c r="B44" s="6" t="s">
        <v>391</v>
      </c>
      <c r="C44" s="6" t="s">
        <v>392</v>
      </c>
      <c r="D44" s="6" t="s">
        <v>393</v>
      </c>
    </row>
    <row r="45" customFormat="false" ht="15" hidden="false" customHeight="false" outlineLevel="0" collapsed="false">
      <c r="A45" s="0" t="s">
        <v>386</v>
      </c>
      <c r="B45" s="13" t="n">
        <f aca="false">TOMATO_LABOR_COST</f>
        <v>46054.0456393631</v>
      </c>
      <c r="C45" s="13" t="n">
        <f aca="false">TOMATO_CONTRIBUTION</f>
        <v>33145.9543606369</v>
      </c>
      <c r="D45" s="11" t="s">
        <v>394</v>
      </c>
    </row>
    <row r="46" customFormat="false" ht="15" hidden="false" customHeight="false" outlineLevel="0" collapsed="false">
      <c r="A46" s="0" t="s">
        <v>387</v>
      </c>
      <c r="B46" s="13" t="n">
        <f aca="false">CARROT_LABOR_COST</f>
        <v>19388.902720153</v>
      </c>
      <c r="C46" s="13" t="n">
        <f aca="false">CARROT_CONTRIBUTION</f>
        <v>13691.097279847</v>
      </c>
      <c r="D46" s="11" t="s">
        <v>395</v>
      </c>
    </row>
    <row r="47" customFormat="false" ht="15" hidden="false" customHeight="false" outlineLevel="0" collapsed="false">
      <c r="A47" s="0" t="s">
        <v>388</v>
      </c>
      <c r="B47" s="13" t="n">
        <f aca="false">MESCLUN_LABOR_COST</f>
        <v>38661.8962527417</v>
      </c>
      <c r="C47" s="13" t="n">
        <f aca="false">MESCLUN_CONTRIBUTION</f>
        <v>15938.1037472583</v>
      </c>
      <c r="D47" s="11" t="s">
        <v>396</v>
      </c>
    </row>
  </sheetData>
  <mergeCells count="8">
    <mergeCell ref="B4:D4"/>
    <mergeCell ref="B28:D28"/>
    <mergeCell ref="B29:D29"/>
    <mergeCell ref="B30:D30"/>
    <mergeCell ref="B31:D31"/>
    <mergeCell ref="B32:D32"/>
    <mergeCell ref="B33:D33"/>
    <mergeCell ref="B34:D34"/>
  </mergeCells>
  <conditionalFormatting sqref="B28">
    <cfRule type="expression" priority="2" aboveAverage="0" equalAverage="0" bottom="0" percent="0" rank="0" text="" dxfId="0">
      <formula>LEFT(B28,7)="BINDING"</formula>
    </cfRule>
  </conditionalFormatting>
  <conditionalFormatting sqref="B29">
    <cfRule type="expression" priority="3" aboveAverage="0" equalAverage="0" bottom="0" percent="0" rank="0" text="" dxfId="0">
      <formula>LEFT(B29,7)="BINDING"</formula>
    </cfRule>
  </conditionalFormatting>
  <conditionalFormatting sqref="B30">
    <cfRule type="expression" priority="4" aboveAverage="0" equalAverage="0" bottom="0" percent="0" rank="0" text="" dxfId="0">
      <formula>LEFT(B30,7)="BINDING"</formula>
    </cfRule>
  </conditionalFormatting>
  <conditionalFormatting sqref="B31">
    <cfRule type="expression" priority="5" aboveAverage="0" equalAverage="0" bottom="0" percent="0" rank="0" text="" dxfId="0">
      <formula>LEFT(B31,7)="BINDING"</formula>
    </cfRule>
  </conditionalFormatting>
  <conditionalFormatting sqref="B32">
    <cfRule type="expression" priority="6" aboveAverage="0" equalAverage="0" bottom="0" percent="0" rank="0" text="" dxfId="0">
      <formula>LEFT(B32,7)="BINDING"</formula>
    </cfRule>
  </conditionalFormatting>
  <conditionalFormatting sqref="B33">
    <cfRule type="expression" priority="7" aboveAverage="0" equalAverage="0" bottom="0" percent="0" rank="0" text="" dxfId="0">
      <formula>LEFT(B33,7)="BINDING"</formula>
    </cfRule>
  </conditionalFormatting>
  <conditionalFormatting sqref="B34">
    <cfRule type="expression" priority="8" aboveAverage="0" equalAverage="0" bottom="0" percent="0" rank="0" text="" dxfId="0">
      <formula>LEFT(B34,7)="BINDING"</formula>
    </cfRule>
  </conditionalFormatting>
  <conditionalFormatting sqref="B5">
    <cfRule type="expression" priority="9" aboveAverage="0" equalAverage="0" bottom="0" percent="0" rank="0" text="" dxfId="1">
      <formula>B5="ALL CHECKS PASS"</formula>
    </cfRule>
    <cfRule type="expression" priority="10" aboveAverage="0" equalAverage="0" bottom="0" percent="0" rank="0" text="" dxfId="2">
      <formula>LEFT(B5,8)="FAILURES"</formula>
    </cfRule>
    <cfRule type="expression" priority="11" aboveAverage="0" equalAverage="0" bottom="0" percent="0" rank="0" text="" dxfId="3">
      <formula>LEFT(B5,11)="NO FAILURES"</formula>
    </cfRule>
  </conditionalFormatting>
  <conditionalFormatting sqref="B4:D40">
    <cfRule type="expression" priority="12" aboveAverage="0" equalAverage="0" bottom="0" percent="0" rank="0" text="" dxfId="2">
      <formula>ISERROR(B4)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44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397</v>
      </c>
    </row>
    <row r="2" customFormat="false" ht="15" hidden="false" customHeight="false" outlineLevel="0" collapsed="false">
      <c r="A2" s="2" t="s">
        <v>398</v>
      </c>
    </row>
    <row r="4" customFormat="false" ht="15" hidden="false" customHeight="false" outlineLevel="0" collapsed="false">
      <c r="A4" s="6" t="s">
        <v>399</v>
      </c>
      <c r="B4" s="6" t="s">
        <v>347</v>
      </c>
      <c r="C4" s="6" t="s">
        <v>348</v>
      </c>
      <c r="D4" s="6" t="s">
        <v>400</v>
      </c>
      <c r="E4" s="6" t="s">
        <v>401</v>
      </c>
    </row>
    <row r="5" customFormat="false" ht="15" hidden="false" customHeight="false" outlineLevel="0" collapsed="false">
      <c r="A5" s="3" t="s">
        <v>85</v>
      </c>
      <c r="B5" s="20" t="n">
        <v>20</v>
      </c>
      <c r="C5" s="21" t="s">
        <v>351</v>
      </c>
      <c r="D5" s="21" t="s">
        <v>402</v>
      </c>
      <c r="E5" s="4"/>
    </row>
    <row r="6" customFormat="false" ht="15" hidden="false" customHeight="false" outlineLevel="0" collapsed="false">
      <c r="A6" s="3" t="s">
        <v>87</v>
      </c>
      <c r="B6" s="20" t="n">
        <v>20</v>
      </c>
      <c r="C6" s="21" t="s">
        <v>351</v>
      </c>
      <c r="D6" s="21" t="s">
        <v>402</v>
      </c>
      <c r="E6" s="4"/>
    </row>
    <row r="7" customFormat="false" ht="15" hidden="false" customHeight="false" outlineLevel="0" collapsed="false">
      <c r="A7" s="3" t="s">
        <v>89</v>
      </c>
      <c r="B7" s="20" t="n">
        <v>30</v>
      </c>
      <c r="C7" s="21" t="s">
        <v>351</v>
      </c>
      <c r="D7" s="21" t="s">
        <v>402</v>
      </c>
      <c r="E7" s="4"/>
    </row>
    <row r="8" customFormat="false" ht="15" hidden="false" customHeight="false" outlineLevel="0" collapsed="false">
      <c r="A8" s="3" t="s">
        <v>91</v>
      </c>
      <c r="B8" s="22" t="n">
        <v>8800</v>
      </c>
      <c r="C8" s="21" t="s">
        <v>403</v>
      </c>
      <c r="D8" s="21" t="s">
        <v>402</v>
      </c>
      <c r="E8" s="4"/>
    </row>
    <row r="9" customFormat="false" ht="15" hidden="false" customHeight="false" outlineLevel="0" collapsed="false">
      <c r="A9" s="3" t="s">
        <v>93</v>
      </c>
      <c r="B9" s="22" t="n">
        <v>2094</v>
      </c>
      <c r="C9" s="21" t="s">
        <v>403</v>
      </c>
      <c r="D9" s="21" t="s">
        <v>402</v>
      </c>
      <c r="E9" s="4"/>
    </row>
    <row r="10" customFormat="false" ht="15" hidden="false" customHeight="false" outlineLevel="0" collapsed="false">
      <c r="A10" s="3" t="s">
        <v>95</v>
      </c>
      <c r="B10" s="22" t="n">
        <v>2700</v>
      </c>
      <c r="C10" s="21" t="s">
        <v>403</v>
      </c>
      <c r="D10" s="21" t="s">
        <v>402</v>
      </c>
      <c r="E10" s="4"/>
    </row>
    <row r="11" customFormat="false" ht="15" hidden="false" customHeight="false" outlineLevel="0" collapsed="false">
      <c r="A11" s="3" t="s">
        <v>97</v>
      </c>
      <c r="B11" s="23" t="n">
        <v>2.5</v>
      </c>
      <c r="C11" s="21" t="s">
        <v>404</v>
      </c>
      <c r="D11" s="21" t="s">
        <v>402</v>
      </c>
      <c r="E11" s="4"/>
    </row>
    <row r="12" customFormat="false" ht="28.35" hidden="false" customHeight="false" outlineLevel="0" collapsed="false">
      <c r="A12" s="3" t="s">
        <v>99</v>
      </c>
      <c r="B12" s="23" t="n">
        <v>0.833</v>
      </c>
      <c r="C12" s="21" t="s">
        <v>404</v>
      </c>
      <c r="D12" s="21" t="s">
        <v>402</v>
      </c>
      <c r="E12" s="4" t="s">
        <v>405</v>
      </c>
    </row>
    <row r="13" customFormat="false" ht="15" hidden="false" customHeight="false" outlineLevel="0" collapsed="false">
      <c r="A13" s="3" t="s">
        <v>101</v>
      </c>
      <c r="B13" s="23" t="n">
        <v>1.25</v>
      </c>
      <c r="C13" s="21" t="s">
        <v>404</v>
      </c>
      <c r="D13" s="21" t="s">
        <v>402</v>
      </c>
      <c r="E13" s="4"/>
    </row>
    <row r="14" customFormat="false" ht="15" hidden="false" customHeight="false" outlineLevel="0" collapsed="false">
      <c r="A14" s="3" t="s">
        <v>103</v>
      </c>
      <c r="B14" s="22" t="n">
        <v>880</v>
      </c>
      <c r="C14" s="21" t="s">
        <v>403</v>
      </c>
      <c r="D14" s="21" t="s">
        <v>402</v>
      </c>
      <c r="E14" s="4"/>
    </row>
    <row r="15" customFormat="false" ht="15" hidden="false" customHeight="false" outlineLevel="0" collapsed="false">
      <c r="A15" s="3" t="s">
        <v>105</v>
      </c>
      <c r="B15" s="22" t="n">
        <v>440</v>
      </c>
      <c r="C15" s="21" t="s">
        <v>403</v>
      </c>
      <c r="D15" s="21" t="s">
        <v>402</v>
      </c>
      <c r="E15" s="4"/>
    </row>
    <row r="16" customFormat="false" ht="15" hidden="false" customHeight="false" outlineLevel="0" collapsed="false">
      <c r="A16" s="3" t="s">
        <v>107</v>
      </c>
      <c r="B16" s="22" t="n">
        <v>880</v>
      </c>
      <c r="C16" s="21" t="s">
        <v>403</v>
      </c>
      <c r="D16" s="21" t="s">
        <v>402</v>
      </c>
      <c r="E16" s="4"/>
    </row>
    <row r="17" customFormat="false" ht="28.35" hidden="false" customHeight="false" outlineLevel="0" collapsed="false">
      <c r="A17" s="3" t="s">
        <v>109</v>
      </c>
      <c r="B17" s="24" t="n">
        <v>0.1</v>
      </c>
      <c r="C17" s="21" t="s">
        <v>406</v>
      </c>
      <c r="D17" s="21" t="s">
        <v>402</v>
      </c>
      <c r="E17" s="4" t="s">
        <v>407</v>
      </c>
    </row>
    <row r="18" customFormat="false" ht="15" hidden="false" customHeight="false" outlineLevel="0" collapsed="false">
      <c r="A18" s="3" t="s">
        <v>111</v>
      </c>
      <c r="B18" s="24" t="n">
        <v>0.025</v>
      </c>
      <c r="C18" s="21" t="s">
        <v>406</v>
      </c>
      <c r="D18" s="21" t="s">
        <v>402</v>
      </c>
      <c r="E18" s="4" t="s">
        <v>408</v>
      </c>
    </row>
    <row r="19" customFormat="false" ht="15" hidden="false" customHeight="false" outlineLevel="0" collapsed="false">
      <c r="A19" s="3" t="s">
        <v>113</v>
      </c>
      <c r="B19" s="24" t="n">
        <v>0.0125</v>
      </c>
      <c r="C19" s="21" t="s">
        <v>406</v>
      </c>
      <c r="D19" s="21" t="s">
        <v>402</v>
      </c>
      <c r="E19" s="4" t="s">
        <v>409</v>
      </c>
    </row>
    <row r="20" customFormat="false" ht="15" hidden="false" customHeight="false" outlineLevel="0" collapsed="false">
      <c r="A20" s="3" t="s">
        <v>115</v>
      </c>
      <c r="B20" s="20" t="n">
        <v>36</v>
      </c>
      <c r="C20" s="21" t="s">
        <v>410</v>
      </c>
      <c r="D20" s="21" t="s">
        <v>402</v>
      </c>
      <c r="E20" s="4"/>
    </row>
    <row r="21" customFormat="false" ht="15" hidden="false" customHeight="false" outlineLevel="0" collapsed="false">
      <c r="A21" s="3" t="s">
        <v>117</v>
      </c>
      <c r="B21" s="20" t="n">
        <v>64</v>
      </c>
      <c r="C21" s="21" t="s">
        <v>351</v>
      </c>
      <c r="D21" s="21" t="s">
        <v>402</v>
      </c>
      <c r="E21" s="4"/>
    </row>
    <row r="22" customFormat="false" ht="15" hidden="false" customHeight="false" outlineLevel="0" collapsed="false">
      <c r="A22" s="3" t="s">
        <v>119</v>
      </c>
      <c r="B22" s="25" t="n">
        <v>720</v>
      </c>
      <c r="C22" s="21" t="s">
        <v>360</v>
      </c>
      <c r="D22" s="21" t="s">
        <v>402</v>
      </c>
      <c r="E22" s="4" t="s">
        <v>411</v>
      </c>
    </row>
    <row r="23" customFormat="false" ht="28.35" hidden="false" customHeight="false" outlineLevel="0" collapsed="false">
      <c r="A23" s="3" t="s">
        <v>121</v>
      </c>
      <c r="B23" s="26" t="n">
        <v>34.72</v>
      </c>
      <c r="C23" s="21" t="s">
        <v>369</v>
      </c>
      <c r="D23" s="21" t="s">
        <v>402</v>
      </c>
      <c r="E23" s="4" t="s">
        <v>412</v>
      </c>
    </row>
    <row r="24" customFormat="false" ht="15" hidden="false" customHeight="false" outlineLevel="0" collapsed="false">
      <c r="A24" s="3" t="s">
        <v>123</v>
      </c>
      <c r="B24" s="20" t="n">
        <v>4</v>
      </c>
      <c r="C24" s="21" t="s">
        <v>365</v>
      </c>
      <c r="D24" s="21" t="s">
        <v>402</v>
      </c>
      <c r="E24" s="4"/>
    </row>
    <row r="25" customFormat="false" ht="28.35" hidden="false" customHeight="false" outlineLevel="0" collapsed="false">
      <c r="A25" s="3" t="s">
        <v>125</v>
      </c>
      <c r="B25" s="25" t="n">
        <v>1440</v>
      </c>
      <c r="C25" s="21" t="s">
        <v>413</v>
      </c>
      <c r="D25" s="21" t="s">
        <v>402</v>
      </c>
      <c r="E25" s="4" t="s">
        <v>414</v>
      </c>
    </row>
    <row r="26" customFormat="false" ht="28.35" hidden="false" customHeight="false" outlineLevel="0" collapsed="false">
      <c r="A26" s="3" t="s">
        <v>127</v>
      </c>
      <c r="B26" s="26" t="n">
        <v>17.36</v>
      </c>
      <c r="C26" s="21" t="s">
        <v>369</v>
      </c>
      <c r="D26" s="21" t="s">
        <v>402</v>
      </c>
      <c r="E26" s="4" t="s">
        <v>415</v>
      </c>
    </row>
    <row r="27" customFormat="false" ht="15" hidden="false" customHeight="false" outlineLevel="0" collapsed="false">
      <c r="A27" s="3" t="s">
        <v>129</v>
      </c>
      <c r="B27" s="22" t="n">
        <v>20000</v>
      </c>
      <c r="C27" s="21" t="s">
        <v>357</v>
      </c>
      <c r="D27" s="21" t="s">
        <v>402</v>
      </c>
      <c r="E27" s="4"/>
    </row>
    <row r="29" customFormat="false" ht="15" hidden="false" customHeight="false" outlineLevel="0" collapsed="false">
      <c r="A29" s="3" t="s">
        <v>416</v>
      </c>
    </row>
    <row r="30" customFormat="false" ht="15" hidden="false" customHeight="false" outlineLevel="0" collapsed="false">
      <c r="A30" s="6" t="s">
        <v>399</v>
      </c>
      <c r="B30" s="6" t="s">
        <v>347</v>
      </c>
      <c r="C30" s="6" t="s">
        <v>348</v>
      </c>
      <c r="D30" s="6" t="s">
        <v>417</v>
      </c>
      <c r="E30" s="6" t="s">
        <v>401</v>
      </c>
    </row>
    <row r="31" customFormat="false" ht="15" hidden="false" customHeight="false" outlineLevel="0" collapsed="false">
      <c r="A31" s="3" t="s">
        <v>131</v>
      </c>
      <c r="B31" s="27" t="n">
        <f aca="false">TEMP_HOURS_LABOR_PER_WORKER*TEMP_WORKER_CAP</f>
        <v>5760</v>
      </c>
      <c r="C31" s="21" t="s">
        <v>360</v>
      </c>
      <c r="D31" s="21" t="s">
        <v>418</v>
      </c>
      <c r="E31" s="21" t="s">
        <v>419</v>
      </c>
    </row>
    <row r="32" customFormat="false" ht="15" hidden="false" customHeight="false" outlineLevel="0" collapsed="false">
      <c r="A32" s="3" t="s">
        <v>133</v>
      </c>
      <c r="B32" s="27" t="n">
        <f aca="false">TEMP_HOURS_CAP+PERMANENT_FIELD_LABOR_HOURS</f>
        <v>6480</v>
      </c>
      <c r="C32" s="21" t="s">
        <v>360</v>
      </c>
      <c r="D32" s="21" t="s">
        <v>420</v>
      </c>
      <c r="E32" s="21" t="s">
        <v>421</v>
      </c>
    </row>
  </sheetData>
  <conditionalFormatting sqref="B5:B27">
    <cfRule type="expression" priority="2" aboveAverage="0" equalAverage="0" bottom="0" percent="0" rank="0" text="" dxfId="2">
      <formula>OR(NOT(ISNUMBER(B5)),B5&lt;0)</formula>
    </cfRule>
  </conditionalFormatting>
  <conditionalFormatting sqref="B31:B32">
    <cfRule type="expression" priority="3" aboveAverage="0" equalAverage="0" bottom="0" percent="0" rank="0" text="" dxfId="2">
      <formula>ISERROR(B31)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6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80"/>
  </cols>
  <sheetData>
    <row r="1" customFormat="false" ht="17.35" hidden="false" customHeight="false" outlineLevel="0" collapsed="false">
      <c r="A1" s="1" t="s">
        <v>422</v>
      </c>
    </row>
    <row r="2" customFormat="false" ht="15" hidden="false" customHeight="false" outlineLevel="0" collapsed="false">
      <c r="A2" s="2" t="s">
        <v>423</v>
      </c>
    </row>
    <row r="4" customFormat="false" ht="28.35" hidden="false" customHeight="false" outlineLevel="0" collapsed="false">
      <c r="A4" s="6" t="s">
        <v>382</v>
      </c>
      <c r="B4" s="6" t="s">
        <v>424</v>
      </c>
      <c r="C4" s="6" t="s">
        <v>425</v>
      </c>
      <c r="D4" s="6" t="s">
        <v>426</v>
      </c>
      <c r="E4" s="6" t="s">
        <v>427</v>
      </c>
      <c r="F4" s="6" t="s">
        <v>428</v>
      </c>
      <c r="G4" s="6" t="s">
        <v>429</v>
      </c>
      <c r="H4" s="6" t="s">
        <v>430</v>
      </c>
      <c r="I4" s="6" t="s">
        <v>431</v>
      </c>
      <c r="J4" s="6" t="s">
        <v>432</v>
      </c>
    </row>
    <row r="5" customFormat="false" ht="15" hidden="false" customHeight="false" outlineLevel="0" collapsed="false">
      <c r="A5" s="3" t="s">
        <v>386</v>
      </c>
      <c r="B5" s="12" t="n">
        <f aca="false">TOMATO_BEDS</f>
        <v>10</v>
      </c>
      <c r="C5" s="13" t="n">
        <f aca="false">TOMATO_REVENUE_PER_BED</f>
        <v>8800</v>
      </c>
      <c r="D5" s="13" t="n">
        <f aca="false">TOMATO_BEDS*TOMATO_REVENUE_PER_BED</f>
        <v>88000</v>
      </c>
      <c r="E5" s="13" t="n">
        <f aca="false">TOMATO_FERTILIZER_PER_BED</f>
        <v>880</v>
      </c>
      <c r="F5" s="13" t="n">
        <f aca="false">TOMATO_BEDS*TOMATO_FERTILIZER_PER_BED</f>
        <v>8800</v>
      </c>
      <c r="G5" s="28" t="n">
        <f aca="false">TOMATO_HRS_PER_WEEK_PER_BED</f>
        <v>2.5</v>
      </c>
      <c r="H5" s="29" t="n">
        <f aca="false">TOMATO_DIM_RTRN_PCT</f>
        <v>0.1</v>
      </c>
      <c r="I5" s="14" t="n">
        <f aca="false">TOMATO_BEDS*TOMATO_HRS_PER_WEEK_PER_BED*SEASON_WEEKS*(1+TOMATO_DIM_RTRN_PCT)^TOMATO_BEDS</f>
        <v>2334.36821409</v>
      </c>
      <c r="J5" s="21" t="s">
        <v>433</v>
      </c>
    </row>
    <row r="6" customFormat="false" ht="15" hidden="false" customHeight="false" outlineLevel="0" collapsed="false">
      <c r="A6" s="3" t="s">
        <v>387</v>
      </c>
      <c r="B6" s="12" t="n">
        <f aca="false">CARROT_BEDS</f>
        <v>20</v>
      </c>
      <c r="C6" s="13" t="n">
        <f aca="false">CARROT_REVENUE_PER_BED</f>
        <v>2094</v>
      </c>
      <c r="D6" s="13" t="n">
        <f aca="false">CARROT_BEDS*CARROT_REVENUE_PER_BED</f>
        <v>41880</v>
      </c>
      <c r="E6" s="13" t="n">
        <f aca="false">CARROT_FERTILIZER_PER_BED</f>
        <v>440</v>
      </c>
      <c r="F6" s="13" t="n">
        <f aca="false">CARROT_BEDS*CARROT_FERTILIZER_PER_BED</f>
        <v>8800</v>
      </c>
      <c r="G6" s="28" t="n">
        <f aca="false">CARROT_HRS_PER_WEEK_PER_BED</f>
        <v>0.833</v>
      </c>
      <c r="H6" s="29" t="n">
        <f aca="false">CARROT_DIM_RTRN_PCT</f>
        <v>0.025</v>
      </c>
      <c r="I6" s="14" t="n">
        <f aca="false">CARROT_BEDS*CARROT_HRS_PER_WEEK_PER_BED*SEASON_WEEKS*(1+CARROT_DIM_RTRN_PCT)^CARROT_BEDS</f>
        <v>982.776596228567</v>
      </c>
      <c r="J6" s="21" t="s">
        <v>434</v>
      </c>
    </row>
    <row r="7" customFormat="false" ht="15" hidden="false" customHeight="false" outlineLevel="0" collapsed="false">
      <c r="A7" s="3" t="s">
        <v>388</v>
      </c>
      <c r="B7" s="12" t="n">
        <f aca="false">MESCLUN_BEDS</f>
        <v>30</v>
      </c>
      <c r="C7" s="13" t="n">
        <f aca="false">MESCLUN_REVENUE_PER_BED</f>
        <v>2700</v>
      </c>
      <c r="D7" s="13" t="n">
        <f aca="false">MESCLUN_BEDS*MESCLUN_REVENUE_PER_BED</f>
        <v>81000</v>
      </c>
      <c r="E7" s="13" t="n">
        <f aca="false">MESCLUN_FERTILIZER_PER_BED</f>
        <v>880</v>
      </c>
      <c r="F7" s="13" t="n">
        <f aca="false">MESCLUN_BEDS*MESCLUN_FERTILIZER_PER_BED</f>
        <v>26400</v>
      </c>
      <c r="G7" s="28" t="n">
        <f aca="false">MESCLUN_HRS_PER_WEEK_PER_BED</f>
        <v>1.25</v>
      </c>
      <c r="H7" s="29" t="n">
        <f aca="false">MESCLUN_DIM_RTRN_PCT</f>
        <v>0.0125</v>
      </c>
      <c r="I7" s="14" t="n">
        <f aca="false">MESCLUN_BEDS*MESCLUN_HRS_PER_WEEK_PER_BED*SEASON_WEEKS*(1+MESCLUN_DIM_RTRN_PCT)^MESCLUN_BEDS</f>
        <v>1959.67803600965</v>
      </c>
      <c r="J7" s="21" t="s">
        <v>435</v>
      </c>
    </row>
    <row r="8" customFormat="false" ht="15" hidden="false" customHeight="false" outlineLevel="0" collapsed="false">
      <c r="A8" s="30" t="s">
        <v>436</v>
      </c>
      <c r="B8" s="31" t="n">
        <f aca="false">SUM(B5:B7)</f>
        <v>60</v>
      </c>
      <c r="C8" s="32"/>
      <c r="D8" s="33" t="n">
        <f aca="false">TOMATO_REVENUE+CARROT_REVENUE+MESCLUN_REVENUE</f>
        <v>210880</v>
      </c>
      <c r="E8" s="32"/>
      <c r="F8" s="33" t="n">
        <f aca="false">TOMATO_FERTILIZER+CARROT_FERTILIZER+MESCLUN_FERTILIZER</f>
        <v>44000</v>
      </c>
      <c r="G8" s="32"/>
      <c r="H8" s="32"/>
      <c r="I8" s="34" t="n">
        <f aca="false">TOMATO_LABOR_HRS+CARROT_LABOR_HRS+MESCLUN_LABOR_HRS</f>
        <v>5276.82284632822</v>
      </c>
      <c r="J8" s="32"/>
    </row>
    <row r="9" customFormat="false" ht="15" hidden="false" customHeight="fals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21"/>
    </row>
    <row r="10" customFormat="false" ht="15" hidden="false" customHeight="false" outlineLevel="0" collapsed="false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customFormat="false" ht="15" hidden="false" customHeight="false" outlineLevel="0" collapsed="false">
      <c r="A11" s="3" t="s">
        <v>437</v>
      </c>
      <c r="B11" s="21"/>
      <c r="C11" s="21"/>
      <c r="D11" s="21"/>
      <c r="E11" s="21"/>
      <c r="F11" s="21"/>
      <c r="G11" s="21"/>
      <c r="H11" s="21"/>
      <c r="I11" s="21"/>
      <c r="J11" s="21"/>
    </row>
    <row r="12" customFormat="false" ht="15" hidden="false" customHeight="false" outlineLevel="0" collapsed="false">
      <c r="A12" s="6" t="s">
        <v>438</v>
      </c>
      <c r="B12" s="6" t="s">
        <v>349</v>
      </c>
      <c r="C12" s="6" t="s">
        <v>347</v>
      </c>
      <c r="D12" s="6" t="s">
        <v>348</v>
      </c>
      <c r="E12" s="6" t="s">
        <v>417</v>
      </c>
      <c r="F12" s="21"/>
      <c r="G12" s="21"/>
      <c r="H12" s="21"/>
      <c r="I12" s="21"/>
      <c r="J12" s="21"/>
    </row>
    <row r="13" customFormat="false" ht="15" hidden="false" customHeight="false" outlineLevel="0" collapsed="false">
      <c r="A13" s="21" t="s">
        <v>439</v>
      </c>
      <c r="B13" s="21" t="s">
        <v>165</v>
      </c>
      <c r="C13" s="14" t="n">
        <f aca="false">TOTAL_LABOR_HOURS</f>
        <v>5276.82284632822</v>
      </c>
      <c r="D13" s="21" t="s">
        <v>440</v>
      </c>
      <c r="E13" s="21" t="s">
        <v>441</v>
      </c>
      <c r="F13" s="21"/>
      <c r="G13" s="21"/>
      <c r="H13" s="21"/>
      <c r="I13" s="21"/>
      <c r="J13" s="21"/>
    </row>
    <row r="14" customFormat="false" ht="15" hidden="false" customHeight="false" outlineLevel="0" collapsed="false">
      <c r="A14" s="21" t="s">
        <v>362</v>
      </c>
      <c r="B14" s="21" t="s">
        <v>167</v>
      </c>
      <c r="C14" s="14" t="n">
        <f aca="false">MIN(TOTAL_LABOR_HOURS,PERMANENT_FIELD_LABOR_HOURS)</f>
        <v>720</v>
      </c>
      <c r="D14" s="21" t="s">
        <v>440</v>
      </c>
      <c r="E14" s="21" t="s">
        <v>442</v>
      </c>
      <c r="F14" s="21"/>
      <c r="G14" s="21"/>
      <c r="H14" s="21"/>
      <c r="I14" s="21"/>
      <c r="J14" s="21"/>
    </row>
    <row r="15" customFormat="false" ht="15" hidden="false" customHeight="false" outlineLevel="0" collapsed="false">
      <c r="A15" s="21" t="s">
        <v>363</v>
      </c>
      <c r="B15" s="21" t="s">
        <v>169</v>
      </c>
      <c r="C15" s="14" t="n">
        <f aca="false">MAX(0,TOTAL_LABOR_HOURS-PERMANENT_FIELD_LABOR_HOURS)</f>
        <v>4556.82284632822</v>
      </c>
      <c r="D15" s="21" t="s">
        <v>440</v>
      </c>
      <c r="E15" s="21" t="s">
        <v>443</v>
      </c>
      <c r="F15" s="21"/>
      <c r="G15" s="21"/>
      <c r="H15" s="21"/>
      <c r="I15" s="21"/>
      <c r="J15" s="21"/>
    </row>
    <row r="16" customFormat="false" ht="15" hidden="false" customHeight="false" outlineLevel="0" collapsed="false">
      <c r="A16" s="21" t="s">
        <v>444</v>
      </c>
      <c r="B16" s="21" t="s">
        <v>171</v>
      </c>
      <c r="C16" s="16" t="n">
        <f aca="false">PERMANENT_HOURS_USED*PERMANENT_HOURLY_RATE</f>
        <v>24998.4</v>
      </c>
      <c r="D16" s="21" t="s">
        <v>445</v>
      </c>
      <c r="E16" s="21" t="s">
        <v>446</v>
      </c>
      <c r="F16" s="21"/>
      <c r="G16" s="21"/>
      <c r="H16" s="21"/>
      <c r="I16" s="21"/>
      <c r="J16" s="21"/>
    </row>
    <row r="17" customFormat="false" ht="15" hidden="false" customHeight="false" outlineLevel="0" collapsed="false">
      <c r="A17" s="21" t="s">
        <v>447</v>
      </c>
      <c r="B17" s="21" t="s">
        <v>173</v>
      </c>
      <c r="C17" s="16" t="n">
        <f aca="false">TEMP_HOURS_USED*TEMP_HOURLY_RATE</f>
        <v>79106.4446122578</v>
      </c>
      <c r="D17" s="21" t="s">
        <v>445</v>
      </c>
      <c r="E17" s="21" t="s">
        <v>448</v>
      </c>
      <c r="F17" s="21"/>
      <c r="G17" s="21"/>
      <c r="H17" s="21"/>
      <c r="I17" s="21"/>
      <c r="J17" s="21"/>
    </row>
    <row r="18" customFormat="false" ht="15" hidden="false" customHeight="false" outlineLevel="0" collapsed="false">
      <c r="A18" s="21" t="s">
        <v>367</v>
      </c>
      <c r="B18" s="21" t="s">
        <v>175</v>
      </c>
      <c r="C18" s="16" t="n">
        <f aca="false">PERMANENT_LABOR_COST+TEMP_LABOR_COST</f>
        <v>104104.844612258</v>
      </c>
      <c r="D18" s="21" t="s">
        <v>445</v>
      </c>
      <c r="E18" s="21" t="s">
        <v>449</v>
      </c>
      <c r="F18" s="21"/>
      <c r="G18" s="21"/>
      <c r="H18" s="21"/>
      <c r="I18" s="21"/>
      <c r="J18" s="21"/>
    </row>
    <row r="19" customFormat="false" ht="15" hidden="false" customHeight="false" outlineLevel="0" collapsed="false">
      <c r="A19" s="21" t="s">
        <v>368</v>
      </c>
      <c r="B19" s="21" t="s">
        <v>177</v>
      </c>
      <c r="C19" s="16" t="n">
        <f aca="false">IF(TOTAL_LABOR_HOURS&gt;0,TOTAL_LABOR_COST/TOTAL_LABOR_HOURS,"n/a - zero labor hours")</f>
        <v>19.7286980525976</v>
      </c>
      <c r="D19" s="21" t="s">
        <v>369</v>
      </c>
      <c r="E19" s="21" t="s">
        <v>450</v>
      </c>
      <c r="F19" s="21"/>
      <c r="G19" s="21"/>
      <c r="H19" s="21"/>
      <c r="I19" s="21"/>
      <c r="J19" s="21"/>
    </row>
    <row r="20" customFormat="false" ht="15" hidden="false" customHeight="false" outlineLevel="0" collapsed="false">
      <c r="A20" s="21" t="s">
        <v>364</v>
      </c>
      <c r="B20" s="21" t="s">
        <v>179</v>
      </c>
      <c r="C20" s="12" t="n">
        <f aca="false">ROUNDUP(TEMP_HOURS_USED/TEMP_HOURS_LABOR_PER_WORKER,0)</f>
        <v>4</v>
      </c>
      <c r="D20" s="21" t="s">
        <v>365</v>
      </c>
      <c r="E20" s="21" t="s">
        <v>451</v>
      </c>
      <c r="F20" s="21"/>
      <c r="G20" s="21"/>
      <c r="H20" s="21"/>
      <c r="I20" s="21"/>
      <c r="J20" s="21"/>
    </row>
    <row r="21" customFormat="false" ht="15" hidden="false" customHeight="false" outlineLevel="0" collapsed="false">
      <c r="A21" s="21" t="s">
        <v>366</v>
      </c>
      <c r="B21" s="21" t="s">
        <v>181</v>
      </c>
      <c r="C21" s="15" t="n">
        <f aca="false">TEMP_HOURS_USED/TEMP_HOURS_LABOR_PER_WORKER</f>
        <v>3.16446030995015</v>
      </c>
      <c r="D21" s="21" t="s">
        <v>365</v>
      </c>
      <c r="E21" s="21" t="s">
        <v>452</v>
      </c>
      <c r="F21" s="21"/>
      <c r="G21" s="21"/>
      <c r="H21" s="21"/>
      <c r="I21" s="21"/>
      <c r="J21" s="21"/>
    </row>
    <row r="22" customFormat="false" ht="15" hidden="false" customHeight="false" outlineLevel="0" collapsed="false">
      <c r="A22" s="21" t="s">
        <v>361</v>
      </c>
      <c r="B22" s="21" t="s">
        <v>183</v>
      </c>
      <c r="C22" s="14" t="n">
        <f aca="false">TOTAL_LABOR_HOURS_CAP-TOTAL_LABOR_HOURS</f>
        <v>1203.17715367179</v>
      </c>
      <c r="D22" s="21" t="s">
        <v>440</v>
      </c>
      <c r="E22" s="21" t="s">
        <v>453</v>
      </c>
      <c r="F22" s="21"/>
      <c r="G22" s="21"/>
      <c r="H22" s="21"/>
      <c r="I22" s="21"/>
      <c r="J22" s="21"/>
    </row>
    <row r="23" customFormat="false" ht="15" hidden="false" customHeight="false" outlineLevel="0" collapsed="false">
      <c r="A23" s="21" t="s">
        <v>355</v>
      </c>
      <c r="B23" s="21" t="s">
        <v>185</v>
      </c>
      <c r="C23" s="12" t="n">
        <f aca="false">TOTAL_BEDS_AVAILABLE-TOTAL_BEDS_USED</f>
        <v>4</v>
      </c>
      <c r="D23" s="21" t="s">
        <v>351</v>
      </c>
      <c r="E23" s="21" t="s">
        <v>454</v>
      </c>
      <c r="F23" s="21"/>
      <c r="G23" s="21"/>
      <c r="H23" s="21"/>
      <c r="I23" s="21"/>
      <c r="J23" s="21"/>
    </row>
    <row r="24" customFormat="false" ht="15" hidden="false" customHeight="false" outlineLevel="0" collapsed="false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customFormat="false" ht="15" hidden="false" customHeight="false" outlineLevel="0" collapsed="false">
      <c r="A25" s="3" t="s">
        <v>455</v>
      </c>
      <c r="B25" s="21"/>
      <c r="C25" s="21"/>
      <c r="D25" s="21"/>
      <c r="E25" s="21"/>
      <c r="F25" s="21"/>
      <c r="G25" s="21"/>
      <c r="H25" s="21"/>
      <c r="I25" s="21"/>
      <c r="J25" s="21"/>
    </row>
    <row r="26" customFormat="false" ht="15" hidden="false" customHeight="false" outlineLevel="0" collapsed="false">
      <c r="A26" s="6" t="s">
        <v>456</v>
      </c>
      <c r="B26" s="6" t="s">
        <v>349</v>
      </c>
      <c r="C26" s="6" t="s">
        <v>347</v>
      </c>
      <c r="D26" s="6" t="s">
        <v>348</v>
      </c>
      <c r="E26" s="6" t="s">
        <v>417</v>
      </c>
      <c r="F26" s="21"/>
      <c r="G26" s="21"/>
      <c r="H26" s="21"/>
      <c r="I26" s="21"/>
      <c r="J26" s="21"/>
    </row>
    <row r="27" customFormat="false" ht="15" hidden="false" customHeight="false" outlineLevel="0" collapsed="false">
      <c r="A27" s="21" t="s">
        <v>356</v>
      </c>
      <c r="B27" s="21" t="s">
        <v>161</v>
      </c>
      <c r="C27" s="13" t="n">
        <f aca="false">TOTAL_REVENUE</f>
        <v>210880</v>
      </c>
      <c r="D27" s="21" t="s">
        <v>445</v>
      </c>
      <c r="E27" s="21" t="s">
        <v>457</v>
      </c>
      <c r="F27" s="21"/>
      <c r="G27" s="21"/>
      <c r="H27" s="21"/>
      <c r="I27" s="21"/>
      <c r="J27" s="21"/>
    </row>
    <row r="28" customFormat="false" ht="15" hidden="false" customHeight="false" outlineLevel="0" collapsed="false">
      <c r="A28" s="21" t="s">
        <v>458</v>
      </c>
      <c r="B28" s="21" t="s">
        <v>163</v>
      </c>
      <c r="C28" s="13" t="n">
        <f aca="false">-TOTAL_FERTILIZER</f>
        <v>-44000</v>
      </c>
      <c r="D28" s="21" t="s">
        <v>445</v>
      </c>
      <c r="E28" s="21" t="s">
        <v>457</v>
      </c>
      <c r="F28" s="21"/>
      <c r="G28" s="21"/>
      <c r="H28" s="21"/>
      <c r="I28" s="21"/>
      <c r="J28" s="21"/>
    </row>
    <row r="29" customFormat="false" ht="15" hidden="false" customHeight="false" outlineLevel="0" collapsed="false">
      <c r="A29" s="21" t="s">
        <v>459</v>
      </c>
      <c r="B29" s="21" t="s">
        <v>175</v>
      </c>
      <c r="C29" s="13" t="n">
        <f aca="false">-TOTAL_LABOR_COST</f>
        <v>-104104.844612258</v>
      </c>
      <c r="D29" s="21" t="s">
        <v>445</v>
      </c>
      <c r="E29" s="21" t="s">
        <v>460</v>
      </c>
      <c r="F29" s="21"/>
      <c r="G29" s="21"/>
      <c r="H29" s="21"/>
      <c r="I29" s="21"/>
      <c r="J29" s="21"/>
    </row>
    <row r="30" customFormat="false" ht="15" hidden="false" customHeight="false" outlineLevel="0" collapsed="false">
      <c r="A30" s="21" t="s">
        <v>461</v>
      </c>
      <c r="B30" s="21" t="s">
        <v>129</v>
      </c>
      <c r="C30" s="13" t="n">
        <f aca="false">-FIXED_SEASON_COST</f>
        <v>-20000</v>
      </c>
      <c r="D30" s="21" t="s">
        <v>445</v>
      </c>
      <c r="E30" s="21" t="s">
        <v>462</v>
      </c>
      <c r="F30" s="21"/>
      <c r="G30" s="21"/>
      <c r="H30" s="21"/>
      <c r="I30" s="21"/>
      <c r="J30" s="21"/>
    </row>
    <row r="31" customFormat="false" ht="15" hidden="false" customHeight="false" outlineLevel="0" collapsed="false">
      <c r="A31" s="21" t="s">
        <v>463</v>
      </c>
      <c r="B31" s="21" t="s">
        <v>187</v>
      </c>
      <c r="C31" s="13" t="n">
        <f aca="false">TOTAL_FERTILIZER+TOTAL_LABOR_COST+FIXED_SEASON_COST</f>
        <v>168104.844612258</v>
      </c>
      <c r="D31" s="21" t="s">
        <v>445</v>
      </c>
      <c r="E31" s="21" t="s">
        <v>464</v>
      </c>
      <c r="F31" s="21"/>
      <c r="G31" s="21"/>
      <c r="H31" s="21"/>
      <c r="I31" s="21"/>
      <c r="J31" s="21"/>
    </row>
    <row r="32" customFormat="false" ht="15" hidden="false" customHeight="false" outlineLevel="0" collapsed="false">
      <c r="A32" s="30" t="s">
        <v>371</v>
      </c>
      <c r="B32" s="30" t="s">
        <v>45</v>
      </c>
      <c r="C32" s="35" t="n">
        <f aca="false">TOTAL_REVENUE-TOTAL_FERTILIZER-TOTAL_LABOR_COST-FIXED_SEASON_COST</f>
        <v>42775.1553877422</v>
      </c>
      <c r="D32" s="30" t="s">
        <v>445</v>
      </c>
      <c r="E32" s="30" t="s">
        <v>465</v>
      </c>
      <c r="F32" s="21"/>
      <c r="G32" s="21"/>
      <c r="H32" s="21"/>
      <c r="I32" s="21"/>
      <c r="J32" s="21"/>
    </row>
    <row r="33" customFormat="false" ht="15" hidden="false" customHeight="fals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customFormat="false" ht="15" hidden="false" customHeight="false" outlineLevel="0" collapsed="false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customFormat="false" ht="15" hidden="false" customHeight="false" outlineLevel="0" collapsed="false">
      <c r="A35" s="3" t="s">
        <v>466</v>
      </c>
      <c r="B35" s="21"/>
      <c r="C35" s="21"/>
      <c r="D35" s="21"/>
      <c r="E35" s="21"/>
      <c r="F35" s="21"/>
      <c r="G35" s="21"/>
      <c r="H35" s="21"/>
      <c r="I35" s="21"/>
      <c r="J35" s="21"/>
    </row>
    <row r="36" customFormat="false" ht="41.75" hidden="false" customHeight="false" outlineLevel="0" collapsed="false">
      <c r="A36" s="6" t="s">
        <v>382</v>
      </c>
      <c r="B36" s="6" t="s">
        <v>431</v>
      </c>
      <c r="C36" s="6" t="s">
        <v>368</v>
      </c>
      <c r="D36" s="6" t="s">
        <v>391</v>
      </c>
      <c r="E36" s="6" t="s">
        <v>417</v>
      </c>
      <c r="F36" s="6" t="s">
        <v>426</v>
      </c>
      <c r="G36" s="6" t="s">
        <v>428</v>
      </c>
      <c r="H36" s="6" t="s">
        <v>392</v>
      </c>
      <c r="I36" s="6"/>
      <c r="J36" s="6" t="s">
        <v>393</v>
      </c>
    </row>
    <row r="37" customFormat="false" ht="15" hidden="false" customHeight="false" outlineLevel="0" collapsed="false">
      <c r="A37" s="3" t="s">
        <v>386</v>
      </c>
      <c r="B37" s="14" t="n">
        <f aca="false">TOMATO_LABOR_HRS</f>
        <v>2334.36821409</v>
      </c>
      <c r="C37" s="16" t="n">
        <f aca="false">IF(TOTAL_LABOR_HOURS&gt;0,BLENDED_LABOR_RATE,0)</f>
        <v>19.7286980525976</v>
      </c>
      <c r="D37" s="16" t="n">
        <f aca="false">IF(TOTAL_LABOR_HOURS&gt;0,TOMATO_LABOR_HRS*BLENDED_LABOR_RATE,0)</f>
        <v>46054.0456393631</v>
      </c>
      <c r="E37" s="21" t="s">
        <v>467</v>
      </c>
      <c r="F37" s="16" t="n">
        <f aca="false">TOMATO_REVENUE</f>
        <v>88000</v>
      </c>
      <c r="G37" s="16" t="n">
        <f aca="false">TOMATO_FERTILIZER</f>
        <v>8800</v>
      </c>
      <c r="H37" s="16" t="n">
        <f aca="false">TOMATO_REVENUE-TOMATO_FERTILIZER-TOMATO_LABOR_COST</f>
        <v>33145.9543606369</v>
      </c>
      <c r="I37" s="21"/>
      <c r="J37" s="21" t="s">
        <v>468</v>
      </c>
    </row>
    <row r="38" customFormat="false" ht="15" hidden="false" customHeight="false" outlineLevel="0" collapsed="false">
      <c r="A38" s="3" t="s">
        <v>387</v>
      </c>
      <c r="B38" s="14" t="n">
        <f aca="false">CARROT_LABOR_HRS</f>
        <v>982.776596228567</v>
      </c>
      <c r="C38" s="16" t="n">
        <f aca="false">IF(TOTAL_LABOR_HOURS&gt;0,BLENDED_LABOR_RATE,0)</f>
        <v>19.7286980525976</v>
      </c>
      <c r="D38" s="16" t="n">
        <f aca="false">IF(TOTAL_LABOR_HOURS&gt;0,CARROT_LABOR_HRS*BLENDED_LABOR_RATE,0)</f>
        <v>19388.902720153</v>
      </c>
      <c r="E38" s="21" t="s">
        <v>469</v>
      </c>
      <c r="F38" s="16" t="n">
        <f aca="false">CARROT_REVENUE</f>
        <v>41880</v>
      </c>
      <c r="G38" s="16" t="n">
        <f aca="false">CARROT_FERTILIZER</f>
        <v>8800</v>
      </c>
      <c r="H38" s="16" t="n">
        <f aca="false">CARROT_REVENUE-CARROT_FERTILIZER-CARROT_LABOR_COST</f>
        <v>13691.097279847</v>
      </c>
      <c r="I38" s="21"/>
      <c r="J38" s="21" t="s">
        <v>470</v>
      </c>
    </row>
    <row r="39" customFormat="false" ht="15" hidden="false" customHeight="false" outlineLevel="0" collapsed="false">
      <c r="A39" s="3" t="s">
        <v>388</v>
      </c>
      <c r="B39" s="14" t="n">
        <f aca="false">MESCLUN_LABOR_HRS</f>
        <v>1959.67803600965</v>
      </c>
      <c r="C39" s="16" t="n">
        <f aca="false">IF(TOTAL_LABOR_HOURS&gt;0,BLENDED_LABOR_RATE,0)</f>
        <v>19.7286980525976</v>
      </c>
      <c r="D39" s="16" t="n">
        <f aca="false">IF(TOTAL_LABOR_HOURS&gt;0,MESCLUN_LABOR_HRS*BLENDED_LABOR_RATE,0)</f>
        <v>38661.8962527417</v>
      </c>
      <c r="E39" s="21" t="s">
        <v>471</v>
      </c>
      <c r="F39" s="16" t="n">
        <f aca="false">MESCLUN_REVENUE</f>
        <v>81000</v>
      </c>
      <c r="G39" s="16" t="n">
        <f aca="false">MESCLUN_FERTILIZER</f>
        <v>26400</v>
      </c>
      <c r="H39" s="16" t="n">
        <f aca="false">MESCLUN_REVENUE-MESCLUN_FERTILIZER-MESCLUN_LABOR_COST</f>
        <v>15938.1037472583</v>
      </c>
      <c r="I39" s="21"/>
      <c r="J39" s="21" t="s">
        <v>472</v>
      </c>
    </row>
    <row r="40" customFormat="false" ht="15" hidden="false" customHeight="false" outlineLevel="0" collapsed="false">
      <c r="A40" s="30" t="s">
        <v>436</v>
      </c>
      <c r="B40" s="34" t="n">
        <f aca="false">SUM(B37:B39)</f>
        <v>5276.82284632822</v>
      </c>
      <c r="C40" s="33"/>
      <c r="D40" s="35" t="n">
        <f aca="false">SUM(D37:D39)</f>
        <v>104104.844612258</v>
      </c>
      <c r="E40" s="32" t="s">
        <v>473</v>
      </c>
      <c r="F40" s="35" t="n">
        <f aca="false">SUM(F37:F39)</f>
        <v>210880</v>
      </c>
      <c r="G40" s="35" t="n">
        <f aca="false">SUM(G37:G39)</f>
        <v>44000</v>
      </c>
      <c r="H40" s="35" t="n">
        <f aca="false">SUM(H37:H39)</f>
        <v>62775.1553877422</v>
      </c>
      <c r="I40" s="33"/>
      <c r="J40" s="33"/>
    </row>
    <row r="41" customFormat="false" ht="15" hidden="false" customHeight="false" outlineLevel="0" collapsed="false">
      <c r="A41" s="2" t="s">
        <v>474</v>
      </c>
      <c r="B41" s="21"/>
      <c r="C41" s="21"/>
      <c r="D41" s="21"/>
      <c r="E41" s="21"/>
      <c r="F41" s="21"/>
      <c r="G41" s="21"/>
      <c r="H41" s="21"/>
      <c r="I41" s="21"/>
      <c r="J41" s="21"/>
    </row>
  </sheetData>
  <conditionalFormatting sqref="A4:J41">
    <cfRule type="expression" priority="2" aboveAverage="0" equalAverage="0" bottom="0" percent="0" rank="0" text="" dxfId="2">
      <formula>ISERROR(A4)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22" min="15" style="0" width="15"/>
  </cols>
  <sheetData>
    <row r="1" customFormat="false" ht="17.35" hidden="false" customHeight="false" outlineLevel="0" collapsed="false">
      <c r="A1" s="1" t="s">
        <v>475</v>
      </c>
    </row>
    <row r="2" customFormat="false" ht="15" hidden="false" customHeight="false" outlineLevel="0" collapsed="false">
      <c r="A2" s="2" t="s">
        <v>476</v>
      </c>
    </row>
    <row r="4" customFormat="false" ht="15" hidden="false" customHeight="false" outlineLevel="0" collapsed="false">
      <c r="A4" s="3" t="s">
        <v>477</v>
      </c>
    </row>
    <row r="5" customFormat="false" ht="45" hidden="false" customHeight="true" outlineLevel="0" collapsed="false">
      <c r="A5" s="36" t="s">
        <v>382</v>
      </c>
      <c r="B5" s="36" t="s">
        <v>478</v>
      </c>
      <c r="C5" s="36" t="s">
        <v>479</v>
      </c>
      <c r="D5" s="36" t="s">
        <v>480</v>
      </c>
      <c r="E5" s="36" t="s">
        <v>385</v>
      </c>
      <c r="F5" s="36" t="s">
        <v>481</v>
      </c>
      <c r="G5" s="36" t="s">
        <v>482</v>
      </c>
      <c r="H5" s="36" t="s">
        <v>483</v>
      </c>
      <c r="I5" s="36" t="s">
        <v>484</v>
      </c>
      <c r="J5" s="36" t="s">
        <v>485</v>
      </c>
      <c r="K5" s="37"/>
      <c r="L5" s="37"/>
      <c r="M5" s="37"/>
      <c r="N5" s="37"/>
    </row>
    <row r="6" customFormat="false" ht="15" hidden="false" customHeight="false" outlineLevel="0" collapsed="false">
      <c r="A6" s="3" t="s">
        <v>386</v>
      </c>
      <c r="B6" s="13" t="n">
        <f aca="false">TOMATO_REVENUE_PER_BED</f>
        <v>8800</v>
      </c>
      <c r="C6" s="31" t="n">
        <f aca="false">SUMPRODUCT(MAX((M14:M33=1)*A14:A33))</f>
        <v>5</v>
      </c>
      <c r="D6" s="31" t="n">
        <f aca="false">SUMPRODUCT(MAX((N14:N33=1)*A14:A33))</f>
        <v>10</v>
      </c>
      <c r="E6" s="12" t="n">
        <f aca="false">TOMATO_BED_CAP</f>
        <v>20</v>
      </c>
      <c r="F6" s="38" t="n">
        <f aca="false">TEMP_HOURLY_RATE</f>
        <v>17.36</v>
      </c>
      <c r="G6" s="7" t="s">
        <v>127</v>
      </c>
      <c r="H6" s="31" t="n">
        <f aca="false">SUMPRODUCT(MAX((R14:R33=1)*A14:A33))</f>
        <v>10</v>
      </c>
      <c r="I6" s="31" t="n">
        <f aca="false">SUMPRODUCT(MAX((V14:V33=1)*A14:A33))</f>
        <v>10</v>
      </c>
      <c r="J6" s="31" t="n">
        <f aca="false">SUMPRODUCT(--(U15:U33&lt;U14:U32))</f>
        <v>1</v>
      </c>
    </row>
    <row r="7" customFormat="false" ht="15" hidden="false" customHeight="false" outlineLevel="0" collapsed="false">
      <c r="A7" s="3" t="s">
        <v>387</v>
      </c>
      <c r="B7" s="13" t="n">
        <f aca="false">CARROT_REVENUE_PER_BED</f>
        <v>2094</v>
      </c>
      <c r="C7" s="31" t="n">
        <f aca="false">SUMPRODUCT(MAX((M39:M58=1)*A39:A58))</f>
        <v>10</v>
      </c>
      <c r="D7" s="31" t="n">
        <f aca="false">SUMPRODUCT(MAX((N39:N58=1)*A39:A58))</f>
        <v>20</v>
      </c>
      <c r="E7" s="12" t="n">
        <f aca="false">CARROT_BED_CAP</f>
        <v>20</v>
      </c>
      <c r="F7" s="38" t="n">
        <f aca="false">PERMANENT_HOURLY_RATE</f>
        <v>34.72</v>
      </c>
      <c r="G7" s="7" t="s">
        <v>121</v>
      </c>
      <c r="H7" s="31" t="n">
        <f aca="false">SUMPRODUCT(MAX((R39:R58=1)*A39:A58))</f>
        <v>10</v>
      </c>
      <c r="I7" s="31" t="n">
        <f aca="false">SUMPRODUCT(MAX((V39:V58=1)*A39:A58))</f>
        <v>20</v>
      </c>
      <c r="J7" s="31" t="n">
        <f aca="false">SUMPRODUCT(--(U40:U58&lt;U39:U57))</f>
        <v>2</v>
      </c>
    </row>
    <row r="8" customFormat="false" ht="15" hidden="false" customHeight="false" outlineLevel="0" collapsed="false">
      <c r="A8" s="3" t="s">
        <v>388</v>
      </c>
      <c r="B8" s="13" t="n">
        <f aca="false">MESCLUN_REVENUE_PER_BED</f>
        <v>2700</v>
      </c>
      <c r="C8" s="31" t="n">
        <f aca="false">SUMPRODUCT(MAX((M64:M93=1)*A64:A93))</f>
        <v>6</v>
      </c>
      <c r="D8" s="31" t="n">
        <f aca="false">SUMPRODUCT(MAX((N64:N93=1)*A64:A93))</f>
        <v>30</v>
      </c>
      <c r="E8" s="12" t="n">
        <f aca="false">MESCLUN_BED_CAP</f>
        <v>30</v>
      </c>
      <c r="F8" s="38" t="n">
        <f aca="false">PERMANENT_HOURLY_RATE</f>
        <v>34.72</v>
      </c>
      <c r="G8" s="7" t="s">
        <v>121</v>
      </c>
      <c r="H8" s="31" t="n">
        <f aca="false">SUMPRODUCT(MAX((R64:R93=1)*A64:A93))</f>
        <v>6</v>
      </c>
      <c r="I8" s="31" t="n">
        <f aca="false">SUMPRODUCT(MAX((V64:V93=1)*A64:A93))</f>
        <v>30</v>
      </c>
      <c r="J8" s="31" t="n">
        <f aca="false">SUMPRODUCT(--(U65:U93&lt;U64:U92))</f>
        <v>2</v>
      </c>
    </row>
    <row r="11" customFormat="false" ht="15" hidden="false" customHeight="false" outlineLevel="0" collapsed="false">
      <c r="A11" s="18" t="s">
        <v>486</v>
      </c>
      <c r="C11" s="39" t="s">
        <v>487</v>
      </c>
    </row>
    <row r="12" customFormat="false" ht="55.2" hidden="false" customHeight="false" outlineLevel="0" collapsed="false">
      <c r="A12" s="6" t="s">
        <v>488</v>
      </c>
      <c r="B12" s="6" t="s">
        <v>431</v>
      </c>
      <c r="C12" s="6" t="s">
        <v>489</v>
      </c>
      <c r="D12" s="6" t="s">
        <v>490</v>
      </c>
      <c r="E12" s="6" t="s">
        <v>491</v>
      </c>
      <c r="F12" s="6" t="s">
        <v>492</v>
      </c>
      <c r="G12" s="6" t="s">
        <v>493</v>
      </c>
      <c r="H12" s="6" t="s">
        <v>494</v>
      </c>
      <c r="I12" s="6" t="s">
        <v>495</v>
      </c>
      <c r="J12" s="6" t="s">
        <v>496</v>
      </c>
      <c r="K12" s="6" t="s">
        <v>497</v>
      </c>
      <c r="L12" s="6" t="s">
        <v>498</v>
      </c>
      <c r="M12" s="6" t="s">
        <v>499</v>
      </c>
      <c r="N12" s="6" t="s">
        <v>500</v>
      </c>
      <c r="O12" s="6" t="s">
        <v>501</v>
      </c>
      <c r="P12" s="6" t="s">
        <v>502</v>
      </c>
      <c r="Q12" s="6" t="s">
        <v>503</v>
      </c>
      <c r="R12" s="6" t="s">
        <v>504</v>
      </c>
      <c r="S12" s="6" t="s">
        <v>505</v>
      </c>
      <c r="T12" s="6" t="s">
        <v>506</v>
      </c>
      <c r="U12" s="6" t="s">
        <v>507</v>
      </c>
      <c r="V12" s="6" t="s">
        <v>508</v>
      </c>
    </row>
    <row r="13" customFormat="false" ht="15" hidden="false" customHeight="false" outlineLevel="0" collapsed="false">
      <c r="A13" s="12" t="n">
        <f aca="false">ROW()-ROW($A$13)</f>
        <v>0</v>
      </c>
      <c r="B13" s="14" t="n">
        <f aca="false">A13*TOMATO_HRS_PER_WEEK_PER_BED*SEASON_WEEKS*(1+TOMATO_DIM_RTRN_PCT)^A13</f>
        <v>0</v>
      </c>
      <c r="C13" s="13" t="n">
        <f aca="false">B13*PERMANENT_HOURLY_RATE</f>
        <v>0</v>
      </c>
      <c r="D13" s="13" t="n">
        <f aca="false">B13*TEMP_HOURLY_RATE</f>
        <v>0</v>
      </c>
      <c r="E13" s="13" t="n">
        <f aca="false">A13*TOMATO_FERTILIZER_PER_BED</f>
        <v>0</v>
      </c>
      <c r="F13" s="40" t="s">
        <v>509</v>
      </c>
      <c r="G13" s="40" t="s">
        <v>509</v>
      </c>
      <c r="H13" s="40" t="s">
        <v>509</v>
      </c>
      <c r="I13" s="40" t="s">
        <v>509</v>
      </c>
      <c r="J13" s="40" t="s">
        <v>509</v>
      </c>
      <c r="K13" s="40" t="s">
        <v>509</v>
      </c>
      <c r="L13" s="13" t="n">
        <f aca="false">TOMATO_REVENUE_PER_BED</f>
        <v>8800</v>
      </c>
      <c r="M13" s="40" t="s">
        <v>509</v>
      </c>
      <c r="N13" s="40" t="s">
        <v>509</v>
      </c>
      <c r="O13" s="13" t="n">
        <f aca="false">B13*TOMATO_MC_RATE</f>
        <v>0</v>
      </c>
      <c r="P13" s="40" t="s">
        <v>509</v>
      </c>
      <c r="Q13" s="40" t="s">
        <v>509</v>
      </c>
      <c r="R13" s="40" t="s">
        <v>509</v>
      </c>
      <c r="S13" s="13" t="n">
        <f aca="false">MIN(B13,PERMANENT_FIELD_LABOR_HOURS)*PERMANENT_HOURLY_RATE+MAX(0,B13-PERMANENT_FIELD_LABOR_HOURS)*TEMP_HOURLY_RATE</f>
        <v>0</v>
      </c>
      <c r="T13" s="40" t="s">
        <v>509</v>
      </c>
      <c r="U13" s="40" t="s">
        <v>509</v>
      </c>
      <c r="V13" s="40" t="s">
        <v>509</v>
      </c>
    </row>
    <row r="14" customFormat="false" ht="15" hidden="false" customHeight="false" outlineLevel="0" collapsed="false">
      <c r="A14" s="12" t="n">
        <f aca="false">ROW()-ROW($A$13)</f>
        <v>1</v>
      </c>
      <c r="B14" s="14" t="n">
        <f aca="false">A14*TOMATO_HRS_PER_WEEK_PER_BED*SEASON_WEEKS*(1+TOMATO_DIM_RTRN_PCT)^A14</f>
        <v>99</v>
      </c>
      <c r="C14" s="13" t="n">
        <f aca="false">B14*PERMANENT_HOURLY_RATE</f>
        <v>3437.28</v>
      </c>
      <c r="D14" s="13" t="n">
        <f aca="false">B14*TEMP_HOURLY_RATE</f>
        <v>1718.64</v>
      </c>
      <c r="E14" s="13" t="n">
        <f aca="false">A14*TOMATO_FERTILIZER_PER_BED</f>
        <v>880</v>
      </c>
      <c r="F14" s="14" t="n">
        <f aca="false">B14-B13</f>
        <v>99</v>
      </c>
      <c r="G14" s="13" t="n">
        <f aca="false">C14-C13</f>
        <v>3437.28</v>
      </c>
      <c r="H14" s="13" t="n">
        <f aca="false">D14-D13</f>
        <v>1718.64</v>
      </c>
      <c r="I14" s="13" t="n">
        <f aca="false">E14-E13</f>
        <v>880</v>
      </c>
      <c r="J14" s="13" t="n">
        <f aca="false">G14+I14</f>
        <v>4317.28</v>
      </c>
      <c r="K14" s="13" t="n">
        <f aca="false">H14+I14</f>
        <v>2598.64</v>
      </c>
      <c r="L14" s="13" t="n">
        <f aca="false">TOMATO_REVENUE_PER_BED</f>
        <v>8800</v>
      </c>
      <c r="M14" s="12" t="n">
        <f aca="false">IF(L14&gt;=J14,1,0)</f>
        <v>1</v>
      </c>
      <c r="N14" s="12" t="n">
        <f aca="false">IF(L14&gt;=K14,1,0)</f>
        <v>1</v>
      </c>
      <c r="O14" s="13" t="n">
        <f aca="false">B14*TOMATO_MC_RATE</f>
        <v>1718.64</v>
      </c>
      <c r="P14" s="13" t="n">
        <f aca="false">O14-O13</f>
        <v>1718.64</v>
      </c>
      <c r="Q14" s="13" t="n">
        <f aca="false">P14+I14</f>
        <v>2598.64</v>
      </c>
      <c r="R14" s="12" t="n">
        <f aca="false">IF(L14&gt;=Q14,1,0)</f>
        <v>1</v>
      </c>
      <c r="S14" s="13" t="n">
        <f aca="false">MIN(B14,PERMANENT_FIELD_LABOR_HOURS)*PERMANENT_HOURLY_RATE+MAX(0,B14-PERMANENT_FIELD_LABOR_HOURS)*TEMP_HOURLY_RATE</f>
        <v>3437.28</v>
      </c>
      <c r="T14" s="13" t="n">
        <f aca="false">S14-S13</f>
        <v>3437.28</v>
      </c>
      <c r="U14" s="13" t="n">
        <f aca="false">T14+I14</f>
        <v>4317.28</v>
      </c>
      <c r="V14" s="12" t="n">
        <f aca="false">IF(L14&gt;=U14,1,0)</f>
        <v>1</v>
      </c>
    </row>
    <row r="15" customFormat="false" ht="15" hidden="false" customHeight="false" outlineLevel="0" collapsed="false">
      <c r="A15" s="12" t="n">
        <f aca="false">ROW()-ROW($A$13)</f>
        <v>2</v>
      </c>
      <c r="B15" s="14" t="n">
        <f aca="false">A15*TOMATO_HRS_PER_WEEK_PER_BED*SEASON_WEEKS*(1+TOMATO_DIM_RTRN_PCT)^A15</f>
        <v>217.8</v>
      </c>
      <c r="C15" s="13" t="n">
        <f aca="false">B15*PERMANENT_HOURLY_RATE</f>
        <v>7562.016</v>
      </c>
      <c r="D15" s="13" t="n">
        <f aca="false">B15*TEMP_HOURLY_RATE</f>
        <v>3781.008</v>
      </c>
      <c r="E15" s="13" t="n">
        <f aca="false">A15*TOMATO_FERTILIZER_PER_BED</f>
        <v>1760</v>
      </c>
      <c r="F15" s="14" t="n">
        <f aca="false">B15-B14</f>
        <v>118.8</v>
      </c>
      <c r="G15" s="13" t="n">
        <f aca="false">C15-C14</f>
        <v>4124.736</v>
      </c>
      <c r="H15" s="13" t="n">
        <f aca="false">D15-D14</f>
        <v>2062.368</v>
      </c>
      <c r="I15" s="13" t="n">
        <f aca="false">E15-E14</f>
        <v>880</v>
      </c>
      <c r="J15" s="13" t="n">
        <f aca="false">G15+I15</f>
        <v>5004.736</v>
      </c>
      <c r="K15" s="13" t="n">
        <f aca="false">H15+I15</f>
        <v>2942.368</v>
      </c>
      <c r="L15" s="13" t="n">
        <f aca="false">TOMATO_REVENUE_PER_BED</f>
        <v>8800</v>
      </c>
      <c r="M15" s="12" t="n">
        <f aca="false">IF(L15&gt;=J15,1,0)</f>
        <v>1</v>
      </c>
      <c r="N15" s="12" t="n">
        <f aca="false">IF(L15&gt;=K15,1,0)</f>
        <v>1</v>
      </c>
      <c r="O15" s="13" t="n">
        <f aca="false">B15*TOMATO_MC_RATE</f>
        <v>3781.008</v>
      </c>
      <c r="P15" s="13" t="n">
        <f aca="false">O15-O14</f>
        <v>2062.368</v>
      </c>
      <c r="Q15" s="13" t="n">
        <f aca="false">P15+I15</f>
        <v>2942.368</v>
      </c>
      <c r="R15" s="12" t="n">
        <f aca="false">IF(L15&gt;=Q15,1,0)</f>
        <v>1</v>
      </c>
      <c r="S15" s="13" t="n">
        <f aca="false">MIN(B15,PERMANENT_FIELD_LABOR_HOURS)*PERMANENT_HOURLY_RATE+MAX(0,B15-PERMANENT_FIELD_LABOR_HOURS)*TEMP_HOURLY_RATE</f>
        <v>7562.016</v>
      </c>
      <c r="T15" s="13" t="n">
        <f aca="false">S15-S14</f>
        <v>4124.736</v>
      </c>
      <c r="U15" s="13" t="n">
        <f aca="false">T15+I15</f>
        <v>5004.736</v>
      </c>
      <c r="V15" s="12" t="n">
        <f aca="false">IF(L15&gt;=U15,1,0)</f>
        <v>1</v>
      </c>
    </row>
    <row r="16" customFormat="false" ht="15" hidden="false" customHeight="false" outlineLevel="0" collapsed="false">
      <c r="A16" s="12" t="n">
        <f aca="false">ROW()-ROW($A$13)</f>
        <v>3</v>
      </c>
      <c r="B16" s="14" t="n">
        <f aca="false">A16*TOMATO_HRS_PER_WEEK_PER_BED*SEASON_WEEKS*(1+TOMATO_DIM_RTRN_PCT)^A16</f>
        <v>359.37</v>
      </c>
      <c r="C16" s="13" t="n">
        <f aca="false">B16*PERMANENT_HOURLY_RATE</f>
        <v>12477.3264</v>
      </c>
      <c r="D16" s="13" t="n">
        <f aca="false">B16*TEMP_HOURLY_RATE</f>
        <v>6238.6632</v>
      </c>
      <c r="E16" s="13" t="n">
        <f aca="false">A16*TOMATO_FERTILIZER_PER_BED</f>
        <v>2640</v>
      </c>
      <c r="F16" s="14" t="n">
        <f aca="false">B16-B15</f>
        <v>141.57</v>
      </c>
      <c r="G16" s="13" t="n">
        <f aca="false">C16-C15</f>
        <v>4915.3104</v>
      </c>
      <c r="H16" s="13" t="n">
        <f aca="false">D16-D15</f>
        <v>2457.6552</v>
      </c>
      <c r="I16" s="13" t="n">
        <f aca="false">E16-E15</f>
        <v>880</v>
      </c>
      <c r="J16" s="13" t="n">
        <f aca="false">G16+I16</f>
        <v>5795.3104</v>
      </c>
      <c r="K16" s="13" t="n">
        <f aca="false">H16+I16</f>
        <v>3337.6552</v>
      </c>
      <c r="L16" s="13" t="n">
        <f aca="false">TOMATO_REVENUE_PER_BED</f>
        <v>8800</v>
      </c>
      <c r="M16" s="12" t="n">
        <f aca="false">IF(L16&gt;=J16,1,0)</f>
        <v>1</v>
      </c>
      <c r="N16" s="12" t="n">
        <f aca="false">IF(L16&gt;=K16,1,0)</f>
        <v>1</v>
      </c>
      <c r="O16" s="13" t="n">
        <f aca="false">B16*TOMATO_MC_RATE</f>
        <v>6238.6632</v>
      </c>
      <c r="P16" s="13" t="n">
        <f aca="false">O16-O15</f>
        <v>2457.6552</v>
      </c>
      <c r="Q16" s="13" t="n">
        <f aca="false">P16+I16</f>
        <v>3337.6552</v>
      </c>
      <c r="R16" s="12" t="n">
        <f aca="false">IF(L16&gt;=Q16,1,0)</f>
        <v>1</v>
      </c>
      <c r="S16" s="13" t="n">
        <f aca="false">MIN(B16,PERMANENT_FIELD_LABOR_HOURS)*PERMANENT_HOURLY_RATE+MAX(0,B16-PERMANENT_FIELD_LABOR_HOURS)*TEMP_HOURLY_RATE</f>
        <v>12477.3264</v>
      </c>
      <c r="T16" s="13" t="n">
        <f aca="false">S16-S15</f>
        <v>4915.3104</v>
      </c>
      <c r="U16" s="13" t="n">
        <f aca="false">T16+I16</f>
        <v>5795.3104</v>
      </c>
      <c r="V16" s="12" t="n">
        <f aca="false">IF(L16&gt;=U16,1,0)</f>
        <v>1</v>
      </c>
    </row>
    <row r="17" customFormat="false" ht="15" hidden="false" customHeight="false" outlineLevel="0" collapsed="false">
      <c r="A17" s="12" t="n">
        <f aca="false">ROW()-ROW($A$13)</f>
        <v>4</v>
      </c>
      <c r="B17" s="14" t="n">
        <f aca="false">A17*TOMATO_HRS_PER_WEEK_PER_BED*SEASON_WEEKS*(1+TOMATO_DIM_RTRN_PCT)^A17</f>
        <v>527.076</v>
      </c>
      <c r="C17" s="13" t="n">
        <f aca="false">B17*PERMANENT_HOURLY_RATE</f>
        <v>18300.07872</v>
      </c>
      <c r="D17" s="13" t="n">
        <f aca="false">B17*TEMP_HOURLY_RATE</f>
        <v>9150.03936</v>
      </c>
      <c r="E17" s="13" t="n">
        <f aca="false">A17*TOMATO_FERTILIZER_PER_BED</f>
        <v>3520</v>
      </c>
      <c r="F17" s="14" t="n">
        <f aca="false">B17-B16</f>
        <v>167.706</v>
      </c>
      <c r="G17" s="13" t="n">
        <f aca="false">C17-C16</f>
        <v>5822.75232</v>
      </c>
      <c r="H17" s="13" t="n">
        <f aca="false">D17-D16</f>
        <v>2911.37616</v>
      </c>
      <c r="I17" s="13" t="n">
        <f aca="false">E17-E16</f>
        <v>880</v>
      </c>
      <c r="J17" s="13" t="n">
        <f aca="false">G17+I17</f>
        <v>6702.75232</v>
      </c>
      <c r="K17" s="13" t="n">
        <f aca="false">H17+I17</f>
        <v>3791.37616</v>
      </c>
      <c r="L17" s="13" t="n">
        <f aca="false">TOMATO_REVENUE_PER_BED</f>
        <v>8800</v>
      </c>
      <c r="M17" s="12" t="n">
        <f aca="false">IF(L17&gt;=J17,1,0)</f>
        <v>1</v>
      </c>
      <c r="N17" s="12" t="n">
        <f aca="false">IF(L17&gt;=K17,1,0)</f>
        <v>1</v>
      </c>
      <c r="O17" s="13" t="n">
        <f aca="false">B17*TOMATO_MC_RATE</f>
        <v>9150.03936</v>
      </c>
      <c r="P17" s="13" t="n">
        <f aca="false">O17-O16</f>
        <v>2911.37616</v>
      </c>
      <c r="Q17" s="13" t="n">
        <f aca="false">P17+I17</f>
        <v>3791.37616</v>
      </c>
      <c r="R17" s="12" t="n">
        <f aca="false">IF(L17&gt;=Q17,1,0)</f>
        <v>1</v>
      </c>
      <c r="S17" s="13" t="n">
        <f aca="false">MIN(B17,PERMANENT_FIELD_LABOR_HOURS)*PERMANENT_HOURLY_RATE+MAX(0,B17-PERMANENT_FIELD_LABOR_HOURS)*TEMP_HOURLY_RATE</f>
        <v>18300.07872</v>
      </c>
      <c r="T17" s="13" t="n">
        <f aca="false">S17-S16</f>
        <v>5822.75232</v>
      </c>
      <c r="U17" s="13" t="n">
        <f aca="false">T17+I17</f>
        <v>6702.75232</v>
      </c>
      <c r="V17" s="12" t="n">
        <f aca="false">IF(L17&gt;=U17,1,0)</f>
        <v>1</v>
      </c>
    </row>
    <row r="18" customFormat="false" ht="15" hidden="false" customHeight="false" outlineLevel="0" collapsed="false">
      <c r="A18" s="12" t="n">
        <f aca="false">ROW()-ROW($A$13)</f>
        <v>5</v>
      </c>
      <c r="B18" s="14" t="n">
        <f aca="false">A18*TOMATO_HRS_PER_WEEK_PER_BED*SEASON_WEEKS*(1+TOMATO_DIM_RTRN_PCT)^A18</f>
        <v>724.7295</v>
      </c>
      <c r="C18" s="13" t="n">
        <f aca="false">B18*PERMANENT_HOURLY_RATE</f>
        <v>25162.60824</v>
      </c>
      <c r="D18" s="13" t="n">
        <f aca="false">B18*TEMP_HOURLY_RATE</f>
        <v>12581.30412</v>
      </c>
      <c r="E18" s="13" t="n">
        <f aca="false">A18*TOMATO_FERTILIZER_PER_BED</f>
        <v>4400</v>
      </c>
      <c r="F18" s="14" t="n">
        <f aca="false">B18-B17</f>
        <v>197.6535</v>
      </c>
      <c r="G18" s="13" t="n">
        <f aca="false">C18-C17</f>
        <v>6862.52952</v>
      </c>
      <c r="H18" s="13" t="n">
        <f aca="false">D18-D17</f>
        <v>3431.26476</v>
      </c>
      <c r="I18" s="13" t="n">
        <f aca="false">E18-E17</f>
        <v>880</v>
      </c>
      <c r="J18" s="13" t="n">
        <f aca="false">G18+I18</f>
        <v>7742.52952</v>
      </c>
      <c r="K18" s="13" t="n">
        <f aca="false">H18+I18</f>
        <v>4311.26476</v>
      </c>
      <c r="L18" s="13" t="n">
        <f aca="false">TOMATO_REVENUE_PER_BED</f>
        <v>8800</v>
      </c>
      <c r="M18" s="12" t="n">
        <f aca="false">IF(L18&gt;=J18,1,0)</f>
        <v>1</v>
      </c>
      <c r="N18" s="12" t="n">
        <f aca="false">IF(L18&gt;=K18,1,0)</f>
        <v>1</v>
      </c>
      <c r="O18" s="13" t="n">
        <f aca="false">B18*TOMATO_MC_RATE</f>
        <v>12581.30412</v>
      </c>
      <c r="P18" s="13" t="n">
        <f aca="false">O18-O17</f>
        <v>3431.26476</v>
      </c>
      <c r="Q18" s="13" t="n">
        <f aca="false">P18+I18</f>
        <v>4311.26476</v>
      </c>
      <c r="R18" s="12" t="n">
        <f aca="false">IF(L18&gt;=Q18,1,0)</f>
        <v>1</v>
      </c>
      <c r="S18" s="13" t="n">
        <f aca="false">MIN(B18,PERMANENT_FIELD_LABOR_HOURS)*PERMANENT_HOURLY_RATE+MAX(0,B18-PERMANENT_FIELD_LABOR_HOURS)*TEMP_HOURLY_RATE</f>
        <v>25080.50412</v>
      </c>
      <c r="T18" s="13" t="n">
        <f aca="false">S18-S17</f>
        <v>6780.4254</v>
      </c>
      <c r="U18" s="13" t="n">
        <f aca="false">T18+I18</f>
        <v>7660.4254</v>
      </c>
      <c r="V18" s="12" t="n">
        <f aca="false">IF(L18&gt;=U18,1,0)</f>
        <v>1</v>
      </c>
    </row>
    <row r="19" customFormat="false" ht="15" hidden="false" customHeight="false" outlineLevel="0" collapsed="false">
      <c r="A19" s="12" t="n">
        <f aca="false">ROW()-ROW($A$13)</f>
        <v>6</v>
      </c>
      <c r="B19" s="14" t="n">
        <f aca="false">A19*TOMATO_HRS_PER_WEEK_PER_BED*SEASON_WEEKS*(1+TOMATO_DIM_RTRN_PCT)^A19</f>
        <v>956.64294</v>
      </c>
      <c r="C19" s="13" t="n">
        <f aca="false">B19*PERMANENT_HOURLY_RATE</f>
        <v>33214.6428768</v>
      </c>
      <c r="D19" s="13" t="n">
        <f aca="false">B19*TEMP_HOURLY_RATE</f>
        <v>16607.3214384</v>
      </c>
      <c r="E19" s="13" t="n">
        <f aca="false">A19*TOMATO_FERTILIZER_PER_BED</f>
        <v>5280</v>
      </c>
      <c r="F19" s="14" t="n">
        <f aca="false">B19-B18</f>
        <v>231.91344</v>
      </c>
      <c r="G19" s="13" t="n">
        <f aca="false">C19-C18</f>
        <v>8052.0346368</v>
      </c>
      <c r="H19" s="13" t="n">
        <f aca="false">D19-D18</f>
        <v>4026.0173184</v>
      </c>
      <c r="I19" s="13" t="n">
        <f aca="false">E19-E18</f>
        <v>880</v>
      </c>
      <c r="J19" s="13" t="n">
        <f aca="false">G19+I19</f>
        <v>8932.0346368</v>
      </c>
      <c r="K19" s="13" t="n">
        <f aca="false">H19+I19</f>
        <v>4906.0173184</v>
      </c>
      <c r="L19" s="13" t="n">
        <f aca="false">TOMATO_REVENUE_PER_BED</f>
        <v>8800</v>
      </c>
      <c r="M19" s="12" t="n">
        <f aca="false">IF(L19&gt;=J19,1,0)</f>
        <v>0</v>
      </c>
      <c r="N19" s="12" t="n">
        <f aca="false">IF(L19&gt;=K19,1,0)</f>
        <v>1</v>
      </c>
      <c r="O19" s="13" t="n">
        <f aca="false">B19*TOMATO_MC_RATE</f>
        <v>16607.3214384</v>
      </c>
      <c r="P19" s="13" t="n">
        <f aca="false">O19-O18</f>
        <v>4026.0173184</v>
      </c>
      <c r="Q19" s="13" t="n">
        <f aca="false">P19+I19</f>
        <v>4906.0173184</v>
      </c>
      <c r="R19" s="12" t="n">
        <f aca="false">IF(L19&gt;=Q19,1,0)</f>
        <v>1</v>
      </c>
      <c r="S19" s="13" t="n">
        <f aca="false">MIN(B19,PERMANENT_FIELD_LABOR_HOURS)*PERMANENT_HOURLY_RATE+MAX(0,B19-PERMANENT_FIELD_LABOR_HOURS)*TEMP_HOURLY_RATE</f>
        <v>29106.5214384</v>
      </c>
      <c r="T19" s="13" t="n">
        <f aca="false">S19-S18</f>
        <v>4026.01731840001</v>
      </c>
      <c r="U19" s="13" t="n">
        <f aca="false">T19+I19</f>
        <v>4906.01731840001</v>
      </c>
      <c r="V19" s="12" t="n">
        <f aca="false">IF(L19&gt;=U19,1,0)</f>
        <v>1</v>
      </c>
    </row>
    <row r="20" customFormat="false" ht="15" hidden="false" customHeight="false" outlineLevel="0" collapsed="false">
      <c r="A20" s="12" t="n">
        <f aca="false">ROW()-ROW($A$13)</f>
        <v>7</v>
      </c>
      <c r="B20" s="14" t="n">
        <f aca="false">A20*TOMATO_HRS_PER_WEEK_PER_BED*SEASON_WEEKS*(1+TOMATO_DIM_RTRN_PCT)^A20</f>
        <v>1227.691773</v>
      </c>
      <c r="C20" s="13" t="n">
        <f aca="false">B20*PERMANENT_HOURLY_RATE</f>
        <v>42625.45835856</v>
      </c>
      <c r="D20" s="13" t="n">
        <f aca="false">B20*TEMP_HOURLY_RATE</f>
        <v>21312.72917928</v>
      </c>
      <c r="E20" s="13" t="n">
        <f aca="false">A20*TOMATO_FERTILIZER_PER_BED</f>
        <v>6160</v>
      </c>
      <c r="F20" s="14" t="n">
        <f aca="false">B20-B19</f>
        <v>271.048833</v>
      </c>
      <c r="G20" s="13" t="n">
        <f aca="false">C20-C19</f>
        <v>9410.81548176001</v>
      </c>
      <c r="H20" s="13" t="n">
        <f aca="false">D20-D19</f>
        <v>4705.40774088</v>
      </c>
      <c r="I20" s="13" t="n">
        <f aca="false">E20-E19</f>
        <v>880</v>
      </c>
      <c r="J20" s="13" t="n">
        <f aca="false">G20+I20</f>
        <v>10290.81548176</v>
      </c>
      <c r="K20" s="13" t="n">
        <f aca="false">H20+I20</f>
        <v>5585.40774088</v>
      </c>
      <c r="L20" s="13" t="n">
        <f aca="false">TOMATO_REVENUE_PER_BED</f>
        <v>8800</v>
      </c>
      <c r="M20" s="12" t="n">
        <f aca="false">IF(L20&gt;=J20,1,0)</f>
        <v>0</v>
      </c>
      <c r="N20" s="12" t="n">
        <f aca="false">IF(L20&gt;=K20,1,0)</f>
        <v>1</v>
      </c>
      <c r="O20" s="13" t="n">
        <f aca="false">B20*TOMATO_MC_RATE</f>
        <v>21312.72917928</v>
      </c>
      <c r="P20" s="13" t="n">
        <f aca="false">O20-O19</f>
        <v>4705.40774088</v>
      </c>
      <c r="Q20" s="13" t="n">
        <f aca="false">P20+I20</f>
        <v>5585.40774088</v>
      </c>
      <c r="R20" s="12" t="n">
        <f aca="false">IF(L20&gt;=Q20,1,0)</f>
        <v>1</v>
      </c>
      <c r="S20" s="13" t="n">
        <f aca="false">MIN(B20,PERMANENT_FIELD_LABOR_HOURS)*PERMANENT_HOURLY_RATE+MAX(0,B20-PERMANENT_FIELD_LABOR_HOURS)*TEMP_HOURLY_RATE</f>
        <v>33811.92917928</v>
      </c>
      <c r="T20" s="13" t="n">
        <f aca="false">S20-S19</f>
        <v>4705.40774088</v>
      </c>
      <c r="U20" s="13" t="n">
        <f aca="false">T20+I20</f>
        <v>5585.40774088</v>
      </c>
      <c r="V20" s="12" t="n">
        <f aca="false">IF(L20&gt;=U20,1,0)</f>
        <v>1</v>
      </c>
    </row>
    <row r="21" customFormat="false" ht="15" hidden="false" customHeight="false" outlineLevel="0" collapsed="false">
      <c r="A21" s="12" t="n">
        <f aca="false">ROW()-ROW($A$13)</f>
        <v>8</v>
      </c>
      <c r="B21" s="14" t="n">
        <f aca="false">A21*TOMATO_HRS_PER_WEEK_PER_BED*SEASON_WEEKS*(1+TOMATO_DIM_RTRN_PCT)^A21</f>
        <v>1543.3839432</v>
      </c>
      <c r="C21" s="13" t="n">
        <f aca="false">B21*PERMANENT_HOURLY_RATE</f>
        <v>53586.290507904</v>
      </c>
      <c r="D21" s="13" t="n">
        <f aca="false">B21*TEMP_HOURLY_RATE</f>
        <v>26793.145253952</v>
      </c>
      <c r="E21" s="13" t="n">
        <f aca="false">A21*TOMATO_FERTILIZER_PER_BED</f>
        <v>7040</v>
      </c>
      <c r="F21" s="14" t="n">
        <f aca="false">B21-B20</f>
        <v>315.6921702</v>
      </c>
      <c r="G21" s="13" t="n">
        <f aca="false">C21-C20</f>
        <v>10960.832149344</v>
      </c>
      <c r="H21" s="13" t="n">
        <f aca="false">D21-D20</f>
        <v>5480.41607467201</v>
      </c>
      <c r="I21" s="13" t="n">
        <f aca="false">E21-E20</f>
        <v>880</v>
      </c>
      <c r="J21" s="13" t="n">
        <f aca="false">G21+I21</f>
        <v>11840.832149344</v>
      </c>
      <c r="K21" s="13" t="n">
        <f aca="false">H21+I21</f>
        <v>6360.41607467201</v>
      </c>
      <c r="L21" s="13" t="n">
        <f aca="false">TOMATO_REVENUE_PER_BED</f>
        <v>8800</v>
      </c>
      <c r="M21" s="12" t="n">
        <f aca="false">IF(L21&gt;=J21,1,0)</f>
        <v>0</v>
      </c>
      <c r="N21" s="12" t="n">
        <f aca="false">IF(L21&gt;=K21,1,0)</f>
        <v>1</v>
      </c>
      <c r="O21" s="13" t="n">
        <f aca="false">B21*TOMATO_MC_RATE</f>
        <v>26793.145253952</v>
      </c>
      <c r="P21" s="13" t="n">
        <f aca="false">O21-O20</f>
        <v>5480.41607467201</v>
      </c>
      <c r="Q21" s="13" t="n">
        <f aca="false">P21+I21</f>
        <v>6360.41607467201</v>
      </c>
      <c r="R21" s="12" t="n">
        <f aca="false">IF(L21&gt;=Q21,1,0)</f>
        <v>1</v>
      </c>
      <c r="S21" s="13" t="n">
        <f aca="false">MIN(B21,PERMANENT_FIELD_LABOR_HOURS)*PERMANENT_HOURLY_RATE+MAX(0,B21-PERMANENT_FIELD_LABOR_HOURS)*TEMP_HOURLY_RATE</f>
        <v>39292.345253952</v>
      </c>
      <c r="T21" s="13" t="n">
        <f aca="false">S21-S20</f>
        <v>5480.41607467201</v>
      </c>
      <c r="U21" s="13" t="n">
        <f aca="false">T21+I21</f>
        <v>6360.41607467201</v>
      </c>
      <c r="V21" s="12" t="n">
        <f aca="false">IF(L21&gt;=U21,1,0)</f>
        <v>1</v>
      </c>
    </row>
    <row r="22" customFormat="false" ht="15" hidden="false" customHeight="false" outlineLevel="0" collapsed="false">
      <c r="A22" s="12" t="n">
        <f aca="false">ROW()-ROW($A$13)</f>
        <v>9</v>
      </c>
      <c r="B22" s="14" t="n">
        <f aca="false">A22*TOMATO_HRS_PER_WEEK_PER_BED*SEASON_WEEKS*(1+TOMATO_DIM_RTRN_PCT)^A22</f>
        <v>1909.93762971</v>
      </c>
      <c r="C22" s="13" t="n">
        <f aca="false">B22*PERMANENT_HOURLY_RATE</f>
        <v>66313.0345035313</v>
      </c>
      <c r="D22" s="13" t="n">
        <f aca="false">B22*TEMP_HOURLY_RATE</f>
        <v>33156.5172517656</v>
      </c>
      <c r="E22" s="13" t="n">
        <f aca="false">A22*TOMATO_FERTILIZER_PER_BED</f>
        <v>7920</v>
      </c>
      <c r="F22" s="14" t="n">
        <f aca="false">B22-B21</f>
        <v>366.553686510001</v>
      </c>
      <c r="G22" s="13" t="n">
        <f aca="false">C22-C21</f>
        <v>12726.7439956272</v>
      </c>
      <c r="H22" s="13" t="n">
        <f aca="false">D22-D21</f>
        <v>6363.37199781361</v>
      </c>
      <c r="I22" s="13" t="n">
        <f aca="false">E22-E21</f>
        <v>880</v>
      </c>
      <c r="J22" s="13" t="n">
        <f aca="false">G22+I22</f>
        <v>13606.7439956272</v>
      </c>
      <c r="K22" s="13" t="n">
        <f aca="false">H22+I22</f>
        <v>7243.37199781361</v>
      </c>
      <c r="L22" s="13" t="n">
        <f aca="false">TOMATO_REVENUE_PER_BED</f>
        <v>8800</v>
      </c>
      <c r="M22" s="12" t="n">
        <f aca="false">IF(L22&gt;=J22,1,0)</f>
        <v>0</v>
      </c>
      <c r="N22" s="12" t="n">
        <f aca="false">IF(L22&gt;=K22,1,0)</f>
        <v>1</v>
      </c>
      <c r="O22" s="13" t="n">
        <f aca="false">B22*TOMATO_MC_RATE</f>
        <v>33156.5172517656</v>
      </c>
      <c r="P22" s="13" t="n">
        <f aca="false">O22-O21</f>
        <v>6363.37199781361</v>
      </c>
      <c r="Q22" s="13" t="n">
        <f aca="false">P22+I22</f>
        <v>7243.37199781361</v>
      </c>
      <c r="R22" s="12" t="n">
        <f aca="false">IF(L22&gt;=Q22,1,0)</f>
        <v>1</v>
      </c>
      <c r="S22" s="13" t="n">
        <f aca="false">MIN(B22,PERMANENT_FIELD_LABOR_HOURS)*PERMANENT_HOURLY_RATE+MAX(0,B22-PERMANENT_FIELD_LABOR_HOURS)*TEMP_HOURLY_RATE</f>
        <v>45655.7172517656</v>
      </c>
      <c r="T22" s="13" t="n">
        <f aca="false">S22-S21</f>
        <v>6363.37199781361</v>
      </c>
      <c r="U22" s="13" t="n">
        <f aca="false">T22+I22</f>
        <v>7243.37199781361</v>
      </c>
      <c r="V22" s="12" t="n">
        <f aca="false">IF(L22&gt;=U22,1,0)</f>
        <v>1</v>
      </c>
    </row>
    <row r="23" customFormat="false" ht="15" hidden="false" customHeight="false" outlineLevel="0" collapsed="false">
      <c r="A23" s="12" t="n">
        <f aca="false">ROW()-ROW($A$13)</f>
        <v>10</v>
      </c>
      <c r="B23" s="14" t="n">
        <f aca="false">A23*TOMATO_HRS_PER_WEEK_PER_BED*SEASON_WEEKS*(1+TOMATO_DIM_RTRN_PCT)^A23</f>
        <v>2334.36821409</v>
      </c>
      <c r="C23" s="13" t="n">
        <f aca="false">B23*PERMANENT_HOURLY_RATE</f>
        <v>81049.2643932049</v>
      </c>
      <c r="D23" s="13" t="n">
        <f aca="false">B23*TEMP_HOURLY_RATE</f>
        <v>40524.6321966024</v>
      </c>
      <c r="E23" s="13" t="n">
        <f aca="false">A23*TOMATO_FERTILIZER_PER_BED</f>
        <v>8800</v>
      </c>
      <c r="F23" s="14" t="n">
        <f aca="false">B23-B22</f>
        <v>424.43058438</v>
      </c>
      <c r="G23" s="13" t="n">
        <f aca="false">C23-C22</f>
        <v>14736.2298896736</v>
      </c>
      <c r="H23" s="13" t="n">
        <f aca="false">D23-D22</f>
        <v>7368.11494483681</v>
      </c>
      <c r="I23" s="13" t="n">
        <f aca="false">E23-E22</f>
        <v>880</v>
      </c>
      <c r="J23" s="13" t="n">
        <f aca="false">G23+I23</f>
        <v>15616.2298896736</v>
      </c>
      <c r="K23" s="13" t="n">
        <f aca="false">H23+I23</f>
        <v>8248.11494483681</v>
      </c>
      <c r="L23" s="13" t="n">
        <f aca="false">TOMATO_REVENUE_PER_BED</f>
        <v>8800</v>
      </c>
      <c r="M23" s="12" t="n">
        <f aca="false">IF(L23&gt;=J23,1,0)</f>
        <v>0</v>
      </c>
      <c r="N23" s="12" t="n">
        <f aca="false">IF(L23&gt;=K23,1,0)</f>
        <v>1</v>
      </c>
      <c r="O23" s="13" t="n">
        <f aca="false">B23*TOMATO_MC_RATE</f>
        <v>40524.6321966024</v>
      </c>
      <c r="P23" s="13" t="n">
        <f aca="false">O23-O22</f>
        <v>7368.11494483681</v>
      </c>
      <c r="Q23" s="13" t="n">
        <f aca="false">P23+I23</f>
        <v>8248.11494483681</v>
      </c>
      <c r="R23" s="12" t="n">
        <f aca="false">IF(L23&gt;=Q23,1,0)</f>
        <v>1</v>
      </c>
      <c r="S23" s="13" t="n">
        <f aca="false">MIN(B23,PERMANENT_FIELD_LABOR_HOURS)*PERMANENT_HOURLY_RATE+MAX(0,B23-PERMANENT_FIELD_LABOR_HOURS)*TEMP_HOURLY_RATE</f>
        <v>53023.8321966024</v>
      </c>
      <c r="T23" s="13" t="n">
        <f aca="false">S23-S22</f>
        <v>7368.1149448368</v>
      </c>
      <c r="U23" s="13" t="n">
        <f aca="false">T23+I23</f>
        <v>8248.1149448368</v>
      </c>
      <c r="V23" s="12" t="n">
        <f aca="false">IF(L23&gt;=U23,1,0)</f>
        <v>1</v>
      </c>
    </row>
    <row r="24" customFormat="false" ht="15" hidden="false" customHeight="false" outlineLevel="0" collapsed="false">
      <c r="A24" s="12" t="n">
        <f aca="false">ROW()-ROW($A$13)</f>
        <v>11</v>
      </c>
      <c r="B24" s="14" t="n">
        <f aca="false">A24*TOMATO_HRS_PER_WEEK_PER_BED*SEASON_WEEKS*(1+TOMATO_DIM_RTRN_PCT)^A24</f>
        <v>2824.5855390489</v>
      </c>
      <c r="C24" s="13" t="n">
        <f aca="false">B24*PERMANENT_HOURLY_RATE</f>
        <v>98069.6099157779</v>
      </c>
      <c r="D24" s="13" t="n">
        <f aca="false">B24*TEMP_HOURLY_RATE</f>
        <v>49034.8049578889</v>
      </c>
      <c r="E24" s="13" t="n">
        <f aca="false">A24*TOMATO_FERTILIZER_PER_BED</f>
        <v>9680</v>
      </c>
      <c r="F24" s="14" t="n">
        <f aca="false">B24-B23</f>
        <v>490.2173249589</v>
      </c>
      <c r="G24" s="13" t="n">
        <f aca="false">C24-C23</f>
        <v>17020.345522573</v>
      </c>
      <c r="H24" s="13" t="n">
        <f aca="false">D24-D23</f>
        <v>8510.17276128651</v>
      </c>
      <c r="I24" s="13" t="n">
        <f aca="false">E24-E23</f>
        <v>880</v>
      </c>
      <c r="J24" s="13" t="n">
        <f aca="false">G24+I24</f>
        <v>17900.345522573</v>
      </c>
      <c r="K24" s="13" t="n">
        <f aca="false">H24+I24</f>
        <v>9390.17276128651</v>
      </c>
      <c r="L24" s="13" t="n">
        <f aca="false">TOMATO_REVENUE_PER_BED</f>
        <v>8800</v>
      </c>
      <c r="M24" s="12" t="n">
        <f aca="false">IF(L24&gt;=J24,1,0)</f>
        <v>0</v>
      </c>
      <c r="N24" s="12" t="n">
        <f aca="false">IF(L24&gt;=K24,1,0)</f>
        <v>0</v>
      </c>
      <c r="O24" s="13" t="n">
        <f aca="false">B24*TOMATO_MC_RATE</f>
        <v>49034.8049578889</v>
      </c>
      <c r="P24" s="13" t="n">
        <f aca="false">O24-O23</f>
        <v>8510.17276128651</v>
      </c>
      <c r="Q24" s="13" t="n">
        <f aca="false">P24+I24</f>
        <v>9390.17276128651</v>
      </c>
      <c r="R24" s="12" t="n">
        <f aca="false">IF(L24&gt;=Q24,1,0)</f>
        <v>0</v>
      </c>
      <c r="S24" s="13" t="n">
        <f aca="false">MIN(B24,PERMANENT_FIELD_LABOR_HOURS)*PERMANENT_HOURLY_RATE+MAX(0,B24-PERMANENT_FIELD_LABOR_HOURS)*TEMP_HOURLY_RATE</f>
        <v>61534.0049578889</v>
      </c>
      <c r="T24" s="13" t="n">
        <f aca="false">S24-S23</f>
        <v>8510.17276128651</v>
      </c>
      <c r="U24" s="13" t="n">
        <f aca="false">T24+I24</f>
        <v>9390.17276128651</v>
      </c>
      <c r="V24" s="12" t="n">
        <f aca="false">IF(L24&gt;=U24,1,0)</f>
        <v>0</v>
      </c>
    </row>
    <row r="25" customFormat="false" ht="15" hidden="false" customHeight="false" outlineLevel="0" collapsed="false">
      <c r="A25" s="12" t="n">
        <f aca="false">ROW()-ROW($A$13)</f>
        <v>12</v>
      </c>
      <c r="B25" s="14" t="n">
        <f aca="false">A25*TOMATO_HRS_PER_WEEK_PER_BED*SEASON_WEEKS*(1+TOMATO_DIM_RTRN_PCT)^A25</f>
        <v>3389.50264685868</v>
      </c>
      <c r="C25" s="13" t="n">
        <f aca="false">B25*PERMANENT_HOURLY_RATE</f>
        <v>117683.531898933</v>
      </c>
      <c r="D25" s="13" t="n">
        <f aca="false">B25*TEMP_HOURLY_RATE</f>
        <v>58841.7659494667</v>
      </c>
      <c r="E25" s="13" t="n">
        <f aca="false">A25*TOMATO_FERTILIZER_PER_BED</f>
        <v>10560</v>
      </c>
      <c r="F25" s="14" t="n">
        <f aca="false">B25-B24</f>
        <v>564.917107809781</v>
      </c>
      <c r="G25" s="13" t="n">
        <f aca="false">C25-C24</f>
        <v>19613.9219831556</v>
      </c>
      <c r="H25" s="13" t="n">
        <f aca="false">D25-D24</f>
        <v>9806.9609915778</v>
      </c>
      <c r="I25" s="13" t="n">
        <f aca="false">E25-E24</f>
        <v>880</v>
      </c>
      <c r="J25" s="13" t="n">
        <f aca="false">G25+I25</f>
        <v>20493.9219831556</v>
      </c>
      <c r="K25" s="13" t="n">
        <f aca="false">H25+I25</f>
        <v>10686.9609915778</v>
      </c>
      <c r="L25" s="13" t="n">
        <f aca="false">TOMATO_REVENUE_PER_BED</f>
        <v>8800</v>
      </c>
      <c r="M25" s="12" t="n">
        <f aca="false">IF(L25&gt;=J25,1,0)</f>
        <v>0</v>
      </c>
      <c r="N25" s="12" t="n">
        <f aca="false">IF(L25&gt;=K25,1,0)</f>
        <v>0</v>
      </c>
      <c r="O25" s="13" t="n">
        <f aca="false">B25*TOMATO_MC_RATE</f>
        <v>58841.7659494667</v>
      </c>
      <c r="P25" s="13" t="n">
        <f aca="false">O25-O24</f>
        <v>9806.9609915778</v>
      </c>
      <c r="Q25" s="13" t="n">
        <f aca="false">P25+I25</f>
        <v>10686.9609915778</v>
      </c>
      <c r="R25" s="12" t="n">
        <f aca="false">IF(L25&gt;=Q25,1,0)</f>
        <v>0</v>
      </c>
      <c r="S25" s="13" t="n">
        <f aca="false">MIN(B25,PERMANENT_FIELD_LABOR_HOURS)*PERMANENT_HOURLY_RATE+MAX(0,B25-PERMANENT_FIELD_LABOR_HOURS)*TEMP_HOURLY_RATE</f>
        <v>71340.9659494667</v>
      </c>
      <c r="T25" s="13" t="n">
        <f aca="false">S25-S24</f>
        <v>9806.9609915778</v>
      </c>
      <c r="U25" s="13" t="n">
        <f aca="false">T25+I25</f>
        <v>10686.9609915778</v>
      </c>
      <c r="V25" s="12" t="n">
        <f aca="false">IF(L25&gt;=U25,1,0)</f>
        <v>0</v>
      </c>
    </row>
    <row r="26" customFormat="false" ht="15" hidden="false" customHeight="false" outlineLevel="0" collapsed="false">
      <c r="A26" s="12" t="n">
        <f aca="false">ROW()-ROW($A$13)</f>
        <v>13</v>
      </c>
      <c r="B26" s="14" t="n">
        <f aca="false">A26*TOMATO_HRS_PER_WEEK_PER_BED*SEASON_WEEKS*(1+TOMATO_DIM_RTRN_PCT)^A26</f>
        <v>4039.15732083993</v>
      </c>
      <c r="C26" s="13" t="n">
        <f aca="false">B26*PERMANENT_HOURLY_RATE</f>
        <v>140239.542179562</v>
      </c>
      <c r="D26" s="13" t="n">
        <f aca="false">B26*TEMP_HOURLY_RATE</f>
        <v>70119.7710897812</v>
      </c>
      <c r="E26" s="13" t="n">
        <f aca="false">A26*TOMATO_FERTILIZER_PER_BED</f>
        <v>11440</v>
      </c>
      <c r="F26" s="14" t="n">
        <f aca="false">B26-B25</f>
        <v>649.654673981248</v>
      </c>
      <c r="G26" s="13" t="n">
        <f aca="false">C26-C25</f>
        <v>22556.0102806289</v>
      </c>
      <c r="H26" s="13" t="n">
        <f aca="false">D26-D25</f>
        <v>11278.0051403145</v>
      </c>
      <c r="I26" s="13" t="n">
        <f aca="false">E26-E25</f>
        <v>880</v>
      </c>
      <c r="J26" s="13" t="n">
        <f aca="false">G26+I26</f>
        <v>23436.0102806289</v>
      </c>
      <c r="K26" s="13" t="n">
        <f aca="false">H26+I26</f>
        <v>12158.0051403145</v>
      </c>
      <c r="L26" s="13" t="n">
        <f aca="false">TOMATO_REVENUE_PER_BED</f>
        <v>8800</v>
      </c>
      <c r="M26" s="12" t="n">
        <f aca="false">IF(L26&gt;=J26,1,0)</f>
        <v>0</v>
      </c>
      <c r="N26" s="12" t="n">
        <f aca="false">IF(L26&gt;=K26,1,0)</f>
        <v>0</v>
      </c>
      <c r="O26" s="13" t="n">
        <f aca="false">B26*TOMATO_MC_RATE</f>
        <v>70119.7710897812</v>
      </c>
      <c r="P26" s="13" t="n">
        <f aca="false">O26-O25</f>
        <v>11278.0051403145</v>
      </c>
      <c r="Q26" s="13" t="n">
        <f aca="false">P26+I26</f>
        <v>12158.0051403145</v>
      </c>
      <c r="R26" s="12" t="n">
        <f aca="false">IF(L26&gt;=Q26,1,0)</f>
        <v>0</v>
      </c>
      <c r="S26" s="13" t="n">
        <f aca="false">MIN(B26,PERMANENT_FIELD_LABOR_HOURS)*PERMANENT_HOURLY_RATE+MAX(0,B26-PERMANENT_FIELD_LABOR_HOURS)*TEMP_HOURLY_RATE</f>
        <v>82618.9710897812</v>
      </c>
      <c r="T26" s="13" t="n">
        <f aca="false">S26-S25</f>
        <v>11278.0051403145</v>
      </c>
      <c r="U26" s="13" t="n">
        <f aca="false">T26+I26</f>
        <v>12158.0051403145</v>
      </c>
      <c r="V26" s="12" t="n">
        <f aca="false">IF(L26&gt;=U26,1,0)</f>
        <v>0</v>
      </c>
    </row>
    <row r="27" customFormat="false" ht="15" hidden="false" customHeight="false" outlineLevel="0" collapsed="false">
      <c r="A27" s="12" t="n">
        <f aca="false">ROW()-ROW($A$13)</f>
        <v>14</v>
      </c>
      <c r="B27" s="14" t="n">
        <f aca="false">A27*TOMATO_HRS_PER_WEEK_PER_BED*SEASON_WEEKS*(1+TOMATO_DIM_RTRN_PCT)^A27</f>
        <v>4784.84790314884</v>
      </c>
      <c r="C27" s="13" t="n">
        <f aca="false">B27*PERMANENT_HOURLY_RATE</f>
        <v>166129.919197328</v>
      </c>
      <c r="D27" s="13" t="n">
        <f aca="false">B27*TEMP_HOURLY_RATE</f>
        <v>83064.9595986639</v>
      </c>
      <c r="E27" s="13" t="n">
        <f aca="false">A27*TOMATO_FERTILIZER_PER_BED</f>
        <v>12320</v>
      </c>
      <c r="F27" s="14" t="n">
        <f aca="false">B27-B26</f>
        <v>745.690582308911</v>
      </c>
      <c r="G27" s="13" t="n">
        <f aca="false">C27-C26</f>
        <v>25890.3770177654</v>
      </c>
      <c r="H27" s="13" t="n">
        <f aca="false">D27-D26</f>
        <v>12945.1885088827</v>
      </c>
      <c r="I27" s="13" t="n">
        <f aca="false">E27-E26</f>
        <v>880</v>
      </c>
      <c r="J27" s="13" t="n">
        <f aca="false">G27+I27</f>
        <v>26770.3770177654</v>
      </c>
      <c r="K27" s="13" t="n">
        <f aca="false">H27+I27</f>
        <v>13825.1885088827</v>
      </c>
      <c r="L27" s="13" t="n">
        <f aca="false">TOMATO_REVENUE_PER_BED</f>
        <v>8800</v>
      </c>
      <c r="M27" s="12" t="n">
        <f aca="false">IF(L27&gt;=J27,1,0)</f>
        <v>0</v>
      </c>
      <c r="N27" s="12" t="n">
        <f aca="false">IF(L27&gt;=K27,1,0)</f>
        <v>0</v>
      </c>
      <c r="O27" s="13" t="n">
        <f aca="false">B27*TOMATO_MC_RATE</f>
        <v>83064.9595986639</v>
      </c>
      <c r="P27" s="13" t="n">
        <f aca="false">O27-O26</f>
        <v>12945.1885088827</v>
      </c>
      <c r="Q27" s="13" t="n">
        <f aca="false">P27+I27</f>
        <v>13825.1885088827</v>
      </c>
      <c r="R27" s="12" t="n">
        <f aca="false">IF(L27&gt;=Q27,1,0)</f>
        <v>0</v>
      </c>
      <c r="S27" s="13" t="n">
        <f aca="false">MIN(B27,PERMANENT_FIELD_LABOR_HOURS)*PERMANENT_HOURLY_RATE+MAX(0,B27-PERMANENT_FIELD_LABOR_HOURS)*TEMP_HOURLY_RATE</f>
        <v>95564.1595986639</v>
      </c>
      <c r="T27" s="13" t="n">
        <f aca="false">S27-S26</f>
        <v>12945.1885088827</v>
      </c>
      <c r="U27" s="13" t="n">
        <f aca="false">T27+I27</f>
        <v>13825.1885088827</v>
      </c>
      <c r="V27" s="12" t="n">
        <f aca="false">IF(L27&gt;=U27,1,0)</f>
        <v>0</v>
      </c>
    </row>
    <row r="28" customFormat="false" ht="15" hidden="false" customHeight="false" outlineLevel="0" collapsed="false">
      <c r="A28" s="12" t="n">
        <f aca="false">ROW()-ROW($A$13)</f>
        <v>15</v>
      </c>
      <c r="B28" s="14" t="n">
        <f aca="false">A28*TOMATO_HRS_PER_WEEK_PER_BED*SEASON_WEEKS*(1+TOMATO_DIM_RTRN_PCT)^A28</f>
        <v>5639.28502871114</v>
      </c>
      <c r="C28" s="13" t="n">
        <f aca="false">B28*PERMANENT_HOURLY_RATE</f>
        <v>195795.976196851</v>
      </c>
      <c r="D28" s="13" t="n">
        <f aca="false">B28*TEMP_HOURLY_RATE</f>
        <v>97897.9880984253</v>
      </c>
      <c r="E28" s="13" t="n">
        <f aca="false">A28*TOMATO_FERTILIZER_PER_BED</f>
        <v>13200</v>
      </c>
      <c r="F28" s="14" t="n">
        <f aca="false">B28-B27</f>
        <v>854.437125562294</v>
      </c>
      <c r="G28" s="13" t="n">
        <f aca="false">C28-C27</f>
        <v>29666.0569995228</v>
      </c>
      <c r="H28" s="13" t="n">
        <f aca="false">D28-D27</f>
        <v>14833.0284997614</v>
      </c>
      <c r="I28" s="13" t="n">
        <f aca="false">E28-E27</f>
        <v>880</v>
      </c>
      <c r="J28" s="13" t="n">
        <f aca="false">G28+I28</f>
        <v>30546.0569995228</v>
      </c>
      <c r="K28" s="13" t="n">
        <f aca="false">H28+I28</f>
        <v>15713.0284997614</v>
      </c>
      <c r="L28" s="13" t="n">
        <f aca="false">TOMATO_REVENUE_PER_BED</f>
        <v>8800</v>
      </c>
      <c r="M28" s="12" t="n">
        <f aca="false">IF(L28&gt;=J28,1,0)</f>
        <v>0</v>
      </c>
      <c r="N28" s="12" t="n">
        <f aca="false">IF(L28&gt;=K28,1,0)</f>
        <v>0</v>
      </c>
      <c r="O28" s="13" t="n">
        <f aca="false">B28*TOMATO_MC_RATE</f>
        <v>97897.9880984253</v>
      </c>
      <c r="P28" s="13" t="n">
        <f aca="false">O28-O27</f>
        <v>14833.0284997614</v>
      </c>
      <c r="Q28" s="13" t="n">
        <f aca="false">P28+I28</f>
        <v>15713.0284997614</v>
      </c>
      <c r="R28" s="12" t="n">
        <f aca="false">IF(L28&gt;=Q28,1,0)</f>
        <v>0</v>
      </c>
      <c r="S28" s="13" t="n">
        <f aca="false">MIN(B28,PERMANENT_FIELD_LABOR_HOURS)*PERMANENT_HOURLY_RATE+MAX(0,B28-PERMANENT_FIELD_LABOR_HOURS)*TEMP_HOURLY_RATE</f>
        <v>110397.188098425</v>
      </c>
      <c r="T28" s="13" t="n">
        <f aca="false">S28-S27</f>
        <v>14833.0284997614</v>
      </c>
      <c r="U28" s="13" t="n">
        <f aca="false">T28+I28</f>
        <v>15713.0284997614</v>
      </c>
      <c r="V28" s="12" t="n">
        <f aca="false">IF(L28&gt;=U28,1,0)</f>
        <v>0</v>
      </c>
    </row>
    <row r="29" customFormat="false" ht="15" hidden="false" customHeight="false" outlineLevel="0" collapsed="false">
      <c r="A29" s="12" t="n">
        <f aca="false">ROW()-ROW($A$13)</f>
        <v>16</v>
      </c>
      <c r="B29" s="14" t="n">
        <f aca="false">A29*TOMATO_HRS_PER_WEEK_PER_BED*SEASON_WEEKS*(1+TOMATO_DIM_RTRN_PCT)^A29</f>
        <v>6616.7611003544</v>
      </c>
      <c r="C29" s="13" t="n">
        <f aca="false">B29*PERMANENT_HOURLY_RATE</f>
        <v>229733.945404305</v>
      </c>
      <c r="D29" s="13" t="n">
        <f aca="false">B29*TEMP_HOURLY_RATE</f>
        <v>114866.972702152</v>
      </c>
      <c r="E29" s="13" t="n">
        <f aca="false">A29*TOMATO_FERTILIZER_PER_BED</f>
        <v>14080</v>
      </c>
      <c r="F29" s="14" t="n">
        <f aca="false">B29-B28</f>
        <v>977.476071643264</v>
      </c>
      <c r="G29" s="13" t="n">
        <f aca="false">C29-C28</f>
        <v>33937.9692074541</v>
      </c>
      <c r="H29" s="13" t="n">
        <f aca="false">D29-D28</f>
        <v>16968.9846037271</v>
      </c>
      <c r="I29" s="13" t="n">
        <f aca="false">E29-E28</f>
        <v>880</v>
      </c>
      <c r="J29" s="13" t="n">
        <f aca="false">G29+I29</f>
        <v>34817.9692074541</v>
      </c>
      <c r="K29" s="13" t="n">
        <f aca="false">H29+I29</f>
        <v>17848.9846037271</v>
      </c>
      <c r="L29" s="13" t="n">
        <f aca="false">TOMATO_REVENUE_PER_BED</f>
        <v>8800</v>
      </c>
      <c r="M29" s="12" t="n">
        <f aca="false">IF(L29&gt;=J29,1,0)</f>
        <v>0</v>
      </c>
      <c r="N29" s="12" t="n">
        <f aca="false">IF(L29&gt;=K29,1,0)</f>
        <v>0</v>
      </c>
      <c r="O29" s="13" t="n">
        <f aca="false">B29*TOMATO_MC_RATE</f>
        <v>114866.972702152</v>
      </c>
      <c r="P29" s="13" t="n">
        <f aca="false">O29-O28</f>
        <v>16968.9846037271</v>
      </c>
      <c r="Q29" s="13" t="n">
        <f aca="false">P29+I29</f>
        <v>17848.9846037271</v>
      </c>
      <c r="R29" s="12" t="n">
        <f aca="false">IF(L29&gt;=Q29,1,0)</f>
        <v>0</v>
      </c>
      <c r="S29" s="13" t="n">
        <f aca="false">MIN(B29,PERMANENT_FIELD_LABOR_HOURS)*PERMANENT_HOURLY_RATE+MAX(0,B29-PERMANENT_FIELD_LABOR_HOURS)*TEMP_HOURLY_RATE</f>
        <v>127366.172702152</v>
      </c>
      <c r="T29" s="13" t="n">
        <f aca="false">S29-S28</f>
        <v>16968.9846037271</v>
      </c>
      <c r="U29" s="13" t="n">
        <f aca="false">T29+I29</f>
        <v>17848.9846037271</v>
      </c>
      <c r="V29" s="12" t="n">
        <f aca="false">IF(L29&gt;=U29,1,0)</f>
        <v>0</v>
      </c>
    </row>
    <row r="30" customFormat="false" ht="15" hidden="false" customHeight="false" outlineLevel="0" collapsed="false">
      <c r="A30" s="12" t="n">
        <f aca="false">ROW()-ROW($A$13)</f>
        <v>17</v>
      </c>
      <c r="B30" s="14" t="n">
        <f aca="false">A30*TOMATO_HRS_PER_WEEK_PER_BED*SEASON_WEEKS*(1+TOMATO_DIM_RTRN_PCT)^A30</f>
        <v>7733.33953603921</v>
      </c>
      <c r="C30" s="13" t="n">
        <f aca="false">B30*PERMANENT_HOURLY_RATE</f>
        <v>268501.548691281</v>
      </c>
      <c r="D30" s="13" t="n">
        <f aca="false">B30*TEMP_HOURLY_RATE</f>
        <v>134250.774345641</v>
      </c>
      <c r="E30" s="13" t="n">
        <f aca="false">A30*TOMATO_FERTILIZER_PER_BED</f>
        <v>14960</v>
      </c>
      <c r="F30" s="14" t="n">
        <f aca="false">B30-B29</f>
        <v>1116.57843568481</v>
      </c>
      <c r="G30" s="13" t="n">
        <f aca="false">C30-C29</f>
        <v>38767.6032869765</v>
      </c>
      <c r="H30" s="13" t="n">
        <f aca="false">D30-D29</f>
        <v>19383.8016434882</v>
      </c>
      <c r="I30" s="13" t="n">
        <f aca="false">E30-E29</f>
        <v>880</v>
      </c>
      <c r="J30" s="13" t="n">
        <f aca="false">G30+I30</f>
        <v>39647.6032869765</v>
      </c>
      <c r="K30" s="13" t="n">
        <f aca="false">H30+I30</f>
        <v>20263.8016434882</v>
      </c>
      <c r="L30" s="13" t="n">
        <f aca="false">TOMATO_REVENUE_PER_BED</f>
        <v>8800</v>
      </c>
      <c r="M30" s="12" t="n">
        <f aca="false">IF(L30&gt;=J30,1,0)</f>
        <v>0</v>
      </c>
      <c r="N30" s="12" t="n">
        <f aca="false">IF(L30&gt;=K30,1,0)</f>
        <v>0</v>
      </c>
      <c r="O30" s="13" t="n">
        <f aca="false">B30*TOMATO_MC_RATE</f>
        <v>134250.774345641</v>
      </c>
      <c r="P30" s="13" t="n">
        <f aca="false">O30-O29</f>
        <v>19383.8016434882</v>
      </c>
      <c r="Q30" s="13" t="n">
        <f aca="false">P30+I30</f>
        <v>20263.8016434882</v>
      </c>
      <c r="R30" s="12" t="n">
        <f aca="false">IF(L30&gt;=Q30,1,0)</f>
        <v>0</v>
      </c>
      <c r="S30" s="13" t="n">
        <f aca="false">MIN(B30,PERMANENT_FIELD_LABOR_HOURS)*PERMANENT_HOURLY_RATE+MAX(0,B30-PERMANENT_FIELD_LABOR_HOURS)*TEMP_HOURLY_RATE</f>
        <v>146749.974345641</v>
      </c>
      <c r="T30" s="13" t="n">
        <f aca="false">S30-S29</f>
        <v>19383.8016434882</v>
      </c>
      <c r="U30" s="13" t="n">
        <f aca="false">T30+I30</f>
        <v>20263.8016434882</v>
      </c>
      <c r="V30" s="12" t="n">
        <f aca="false">IF(L30&gt;=U30,1,0)</f>
        <v>0</v>
      </c>
    </row>
    <row r="31" customFormat="false" ht="15" hidden="false" customHeight="false" outlineLevel="0" collapsed="false">
      <c r="A31" s="12" t="n">
        <f aca="false">ROW()-ROW($A$13)</f>
        <v>18</v>
      </c>
      <c r="B31" s="14" t="n">
        <f aca="false">A31*TOMATO_HRS_PER_WEEK_PER_BED*SEASON_WEEKS*(1+TOMATO_DIM_RTRN_PCT)^A31</f>
        <v>9007.06604785743</v>
      </c>
      <c r="C31" s="13" t="n">
        <f aca="false">B31*PERMANENT_HOURLY_RATE</f>
        <v>312725.33318161</v>
      </c>
      <c r="D31" s="13" t="n">
        <f aca="false">B31*TEMP_HOURLY_RATE</f>
        <v>156362.666590805</v>
      </c>
      <c r="E31" s="13" t="n">
        <f aca="false">A31*TOMATO_FERTILIZER_PER_BED</f>
        <v>15840</v>
      </c>
      <c r="F31" s="14" t="n">
        <f aca="false">B31-B30</f>
        <v>1273.72651181822</v>
      </c>
      <c r="G31" s="13" t="n">
        <f aca="false">C31-C30</f>
        <v>44223.7844903287</v>
      </c>
      <c r="H31" s="13" t="n">
        <f aca="false">D31-D30</f>
        <v>22111.8922451643</v>
      </c>
      <c r="I31" s="13" t="n">
        <f aca="false">E31-E30</f>
        <v>880</v>
      </c>
      <c r="J31" s="13" t="n">
        <f aca="false">G31+I31</f>
        <v>45103.7844903287</v>
      </c>
      <c r="K31" s="13" t="n">
        <f aca="false">H31+I31</f>
        <v>22991.8922451643</v>
      </c>
      <c r="L31" s="13" t="n">
        <f aca="false">TOMATO_REVENUE_PER_BED</f>
        <v>8800</v>
      </c>
      <c r="M31" s="12" t="n">
        <f aca="false">IF(L31&gt;=J31,1,0)</f>
        <v>0</v>
      </c>
      <c r="N31" s="12" t="n">
        <f aca="false">IF(L31&gt;=K31,1,0)</f>
        <v>0</v>
      </c>
      <c r="O31" s="13" t="n">
        <f aca="false">B31*TOMATO_MC_RATE</f>
        <v>156362.666590805</v>
      </c>
      <c r="P31" s="13" t="n">
        <f aca="false">O31-O30</f>
        <v>22111.8922451643</v>
      </c>
      <c r="Q31" s="13" t="n">
        <f aca="false">P31+I31</f>
        <v>22991.8922451643</v>
      </c>
      <c r="R31" s="12" t="n">
        <f aca="false">IF(L31&gt;=Q31,1,0)</f>
        <v>0</v>
      </c>
      <c r="S31" s="13" t="n">
        <f aca="false">MIN(B31,PERMANENT_FIELD_LABOR_HOURS)*PERMANENT_HOURLY_RATE+MAX(0,B31-PERMANENT_FIELD_LABOR_HOURS)*TEMP_HOURLY_RATE</f>
        <v>168861.866590805</v>
      </c>
      <c r="T31" s="13" t="n">
        <f aca="false">S31-S30</f>
        <v>22111.8922451643</v>
      </c>
      <c r="U31" s="13" t="n">
        <f aca="false">T31+I31</f>
        <v>22991.8922451643</v>
      </c>
      <c r="V31" s="12" t="n">
        <f aca="false">IF(L31&gt;=U31,1,0)</f>
        <v>0</v>
      </c>
    </row>
    <row r="32" customFormat="false" ht="15" hidden="false" customHeight="false" outlineLevel="0" collapsed="false">
      <c r="A32" s="12" t="n">
        <f aca="false">ROW()-ROW($A$13)</f>
        <v>19</v>
      </c>
      <c r="B32" s="14" t="n">
        <f aca="false">A32*TOMATO_HRS_PER_WEEK_PER_BED*SEASON_WEEKS*(1+TOMATO_DIM_RTRN_PCT)^A32</f>
        <v>10458.2044666789</v>
      </c>
      <c r="C32" s="13" t="n">
        <f aca="false">B32*PERMANENT_HOURLY_RATE</f>
        <v>363108.859083092</v>
      </c>
      <c r="D32" s="13" t="n">
        <f aca="false">B32*TEMP_HOURLY_RATE</f>
        <v>181554.429541546</v>
      </c>
      <c r="E32" s="13" t="n">
        <f aca="false">A32*TOMATO_FERTILIZER_PER_BED</f>
        <v>16720</v>
      </c>
      <c r="F32" s="14" t="n">
        <f aca="false">B32-B31</f>
        <v>1451.13841882148</v>
      </c>
      <c r="G32" s="13" t="n">
        <f aca="false">C32-C31</f>
        <v>50383.5259014816</v>
      </c>
      <c r="H32" s="13" t="n">
        <f aca="false">D32-D31</f>
        <v>25191.7629507408</v>
      </c>
      <c r="I32" s="13" t="n">
        <f aca="false">E32-E31</f>
        <v>880</v>
      </c>
      <c r="J32" s="13" t="n">
        <f aca="false">G32+I32</f>
        <v>51263.5259014816</v>
      </c>
      <c r="K32" s="13" t="n">
        <f aca="false">H32+I32</f>
        <v>26071.7629507408</v>
      </c>
      <c r="L32" s="13" t="n">
        <f aca="false">TOMATO_REVENUE_PER_BED</f>
        <v>8800</v>
      </c>
      <c r="M32" s="12" t="n">
        <f aca="false">IF(L32&gt;=J32,1,0)</f>
        <v>0</v>
      </c>
      <c r="N32" s="12" t="n">
        <f aca="false">IF(L32&gt;=K32,1,0)</f>
        <v>0</v>
      </c>
      <c r="O32" s="13" t="n">
        <f aca="false">B32*TOMATO_MC_RATE</f>
        <v>181554.429541546</v>
      </c>
      <c r="P32" s="13" t="n">
        <f aca="false">O32-O31</f>
        <v>25191.7629507408</v>
      </c>
      <c r="Q32" s="13" t="n">
        <f aca="false">P32+I32</f>
        <v>26071.7629507408</v>
      </c>
      <c r="R32" s="12" t="n">
        <f aca="false">IF(L32&gt;=Q32,1,0)</f>
        <v>0</v>
      </c>
      <c r="S32" s="13" t="n">
        <f aca="false">MIN(B32,PERMANENT_FIELD_LABOR_HOURS)*PERMANENT_HOURLY_RATE+MAX(0,B32-PERMANENT_FIELD_LABOR_HOURS)*TEMP_HOURLY_RATE</f>
        <v>194053.629541546</v>
      </c>
      <c r="T32" s="13" t="n">
        <f aca="false">S32-S31</f>
        <v>25191.7629507408</v>
      </c>
      <c r="U32" s="13" t="n">
        <f aca="false">T32+I32</f>
        <v>26071.7629507408</v>
      </c>
      <c r="V32" s="12" t="n">
        <f aca="false">IF(L32&gt;=U32,1,0)</f>
        <v>0</v>
      </c>
    </row>
    <row r="33" customFormat="false" ht="15" hidden="false" customHeight="false" outlineLevel="0" collapsed="false">
      <c r="A33" s="12" t="n">
        <f aca="false">ROW()-ROW($A$13)</f>
        <v>20</v>
      </c>
      <c r="B33" s="14" t="n">
        <f aca="false">A33*TOMATO_HRS_PER_WEEK_PER_BED*SEASON_WEEKS*(1+TOMATO_DIM_RTRN_PCT)^A33</f>
        <v>12109.4999087861</v>
      </c>
      <c r="C33" s="13" t="n">
        <f aca="false">B33*PERMANENT_HOURLY_RATE</f>
        <v>420441.836833053</v>
      </c>
      <c r="D33" s="13" t="n">
        <f aca="false">B33*TEMP_HOURLY_RATE</f>
        <v>210220.918416527</v>
      </c>
      <c r="E33" s="13" t="n">
        <f aca="false">A33*TOMATO_FERTILIZER_PER_BED</f>
        <v>17600</v>
      </c>
      <c r="F33" s="14" t="n">
        <f aca="false">B33-B32</f>
        <v>1651.2954421072</v>
      </c>
      <c r="G33" s="13" t="n">
        <f aca="false">C33-C32</f>
        <v>57332.9777499618</v>
      </c>
      <c r="H33" s="13" t="n">
        <f aca="false">D33-D32</f>
        <v>28666.4888749809</v>
      </c>
      <c r="I33" s="13" t="n">
        <f aca="false">E33-E32</f>
        <v>880</v>
      </c>
      <c r="J33" s="13" t="n">
        <f aca="false">G33+I33</f>
        <v>58212.9777499618</v>
      </c>
      <c r="K33" s="13" t="n">
        <f aca="false">H33+I33</f>
        <v>29546.4888749809</v>
      </c>
      <c r="L33" s="13" t="n">
        <f aca="false">TOMATO_REVENUE_PER_BED</f>
        <v>8800</v>
      </c>
      <c r="M33" s="12" t="n">
        <f aca="false">IF(L33&gt;=J33,1,0)</f>
        <v>0</v>
      </c>
      <c r="N33" s="12" t="n">
        <f aca="false">IF(L33&gt;=K33,1,0)</f>
        <v>0</v>
      </c>
      <c r="O33" s="13" t="n">
        <f aca="false">B33*TOMATO_MC_RATE</f>
        <v>210220.918416527</v>
      </c>
      <c r="P33" s="13" t="n">
        <f aca="false">O33-O32</f>
        <v>28666.4888749809</v>
      </c>
      <c r="Q33" s="13" t="n">
        <f aca="false">P33+I33</f>
        <v>29546.4888749809</v>
      </c>
      <c r="R33" s="12" t="n">
        <f aca="false">IF(L33&gt;=Q33,1,0)</f>
        <v>0</v>
      </c>
      <c r="S33" s="13" t="n">
        <f aca="false">MIN(B33,PERMANENT_FIELD_LABOR_HOURS)*PERMANENT_HOURLY_RATE+MAX(0,B33-PERMANENT_FIELD_LABOR_HOURS)*TEMP_HOURLY_RATE</f>
        <v>222720.118416527</v>
      </c>
      <c r="T33" s="13" t="n">
        <f aca="false">S33-S32</f>
        <v>28666.4888749809</v>
      </c>
      <c r="U33" s="13" t="n">
        <f aca="false">T33+I33</f>
        <v>29546.4888749809</v>
      </c>
      <c r="V33" s="12" t="n">
        <f aca="false">IF(L33&gt;=U33,1,0)</f>
        <v>0</v>
      </c>
    </row>
    <row r="36" customFormat="false" ht="15" hidden="false" customHeight="false" outlineLevel="0" collapsed="false">
      <c r="A36" s="18" t="s">
        <v>510</v>
      </c>
      <c r="C36" s="39" t="s">
        <v>511</v>
      </c>
    </row>
    <row r="37" customFormat="false" ht="55.2" hidden="false" customHeight="false" outlineLevel="0" collapsed="false">
      <c r="A37" s="6" t="s">
        <v>488</v>
      </c>
      <c r="B37" s="6" t="s">
        <v>431</v>
      </c>
      <c r="C37" s="6" t="s">
        <v>489</v>
      </c>
      <c r="D37" s="6" t="s">
        <v>490</v>
      </c>
      <c r="E37" s="6" t="s">
        <v>491</v>
      </c>
      <c r="F37" s="6" t="s">
        <v>492</v>
      </c>
      <c r="G37" s="6" t="s">
        <v>493</v>
      </c>
      <c r="H37" s="6" t="s">
        <v>494</v>
      </c>
      <c r="I37" s="6" t="s">
        <v>495</v>
      </c>
      <c r="J37" s="6" t="s">
        <v>496</v>
      </c>
      <c r="K37" s="6" t="s">
        <v>497</v>
      </c>
      <c r="L37" s="6" t="s">
        <v>498</v>
      </c>
      <c r="M37" s="6" t="s">
        <v>499</v>
      </c>
      <c r="N37" s="6" t="s">
        <v>500</v>
      </c>
      <c r="O37" s="6" t="s">
        <v>501</v>
      </c>
      <c r="P37" s="6" t="s">
        <v>502</v>
      </c>
      <c r="Q37" s="6" t="s">
        <v>503</v>
      </c>
      <c r="R37" s="6" t="s">
        <v>504</v>
      </c>
      <c r="S37" s="6" t="s">
        <v>505</v>
      </c>
      <c r="T37" s="6" t="s">
        <v>506</v>
      </c>
      <c r="U37" s="6" t="s">
        <v>507</v>
      </c>
      <c r="V37" s="6" t="s">
        <v>508</v>
      </c>
    </row>
    <row r="38" customFormat="false" ht="15" hidden="false" customHeight="false" outlineLevel="0" collapsed="false">
      <c r="A38" s="12" t="n">
        <f aca="false">ROW()-ROW($A$38)</f>
        <v>0</v>
      </c>
      <c r="B38" s="14" t="n">
        <f aca="false">A38*CARROT_HRS_PER_WEEK_PER_BED*SEASON_WEEKS*(1+CARROT_DIM_RTRN_PCT)^A38</f>
        <v>0</v>
      </c>
      <c r="C38" s="13" t="n">
        <f aca="false">B38*PERMANENT_HOURLY_RATE</f>
        <v>0</v>
      </c>
      <c r="D38" s="13" t="n">
        <f aca="false">B38*TEMP_HOURLY_RATE</f>
        <v>0</v>
      </c>
      <c r="E38" s="13" t="n">
        <f aca="false">A38*CARROT_FERTILIZER_PER_BED</f>
        <v>0</v>
      </c>
      <c r="F38" s="40" t="s">
        <v>509</v>
      </c>
      <c r="G38" s="40" t="s">
        <v>509</v>
      </c>
      <c r="H38" s="40" t="s">
        <v>509</v>
      </c>
      <c r="I38" s="40" t="s">
        <v>509</v>
      </c>
      <c r="J38" s="40" t="s">
        <v>509</v>
      </c>
      <c r="K38" s="40" t="s">
        <v>509</v>
      </c>
      <c r="L38" s="13" t="n">
        <f aca="false">CARROT_REVENUE_PER_BED</f>
        <v>2094</v>
      </c>
      <c r="M38" s="40" t="s">
        <v>509</v>
      </c>
      <c r="N38" s="40" t="s">
        <v>509</v>
      </c>
      <c r="O38" s="13" t="n">
        <f aca="false">B38*CARROT_MC_RATE</f>
        <v>0</v>
      </c>
      <c r="P38" s="40" t="s">
        <v>509</v>
      </c>
      <c r="Q38" s="40" t="s">
        <v>509</v>
      </c>
      <c r="R38" s="40" t="s">
        <v>509</v>
      </c>
      <c r="S38" s="13" t="n">
        <f aca="false">MIN(B38,PERMANENT_FIELD_LABOR_HOURS)*PERMANENT_HOURLY_RATE+MAX(0,B38-PERMANENT_FIELD_LABOR_HOURS)*TEMP_HOURLY_RATE</f>
        <v>0</v>
      </c>
      <c r="T38" s="40" t="s">
        <v>509</v>
      </c>
      <c r="U38" s="40" t="s">
        <v>509</v>
      </c>
      <c r="V38" s="40" t="s">
        <v>509</v>
      </c>
    </row>
    <row r="39" customFormat="false" ht="15" hidden="false" customHeight="false" outlineLevel="0" collapsed="false">
      <c r="A39" s="12" t="n">
        <f aca="false">ROW()-ROW($A$38)</f>
        <v>1</v>
      </c>
      <c r="B39" s="14" t="n">
        <f aca="false">A39*CARROT_HRS_PER_WEEK_PER_BED*SEASON_WEEKS*(1+CARROT_DIM_RTRN_PCT)^A39</f>
        <v>30.7377</v>
      </c>
      <c r="C39" s="13" t="n">
        <f aca="false">B39*PERMANENT_HOURLY_RATE</f>
        <v>1067.212944</v>
      </c>
      <c r="D39" s="13" t="n">
        <f aca="false">B39*TEMP_HOURLY_RATE</f>
        <v>533.606472</v>
      </c>
      <c r="E39" s="13" t="n">
        <f aca="false">A39*CARROT_FERTILIZER_PER_BED</f>
        <v>440</v>
      </c>
      <c r="F39" s="14" t="n">
        <f aca="false">B39-B38</f>
        <v>30.7377</v>
      </c>
      <c r="G39" s="13" t="n">
        <f aca="false">C39-C38</f>
        <v>1067.212944</v>
      </c>
      <c r="H39" s="13" t="n">
        <f aca="false">D39-D38</f>
        <v>533.606472</v>
      </c>
      <c r="I39" s="13" t="n">
        <f aca="false">E39-E38</f>
        <v>440</v>
      </c>
      <c r="J39" s="13" t="n">
        <f aca="false">G39+I39</f>
        <v>1507.212944</v>
      </c>
      <c r="K39" s="13" t="n">
        <f aca="false">H39+I39</f>
        <v>973.606472</v>
      </c>
      <c r="L39" s="13" t="n">
        <f aca="false">CARROT_REVENUE_PER_BED</f>
        <v>2094</v>
      </c>
      <c r="M39" s="12" t="n">
        <f aca="false">IF(L39&gt;=J39,1,0)</f>
        <v>1</v>
      </c>
      <c r="N39" s="12" t="n">
        <f aca="false">IF(L39&gt;=K39,1,0)</f>
        <v>1</v>
      </c>
      <c r="O39" s="13" t="n">
        <f aca="false">B39*CARROT_MC_RATE</f>
        <v>1067.212944</v>
      </c>
      <c r="P39" s="13" t="n">
        <f aca="false">O39-O38</f>
        <v>1067.212944</v>
      </c>
      <c r="Q39" s="13" t="n">
        <f aca="false">P39+I39</f>
        <v>1507.212944</v>
      </c>
      <c r="R39" s="12" t="n">
        <f aca="false">IF(L39&gt;=Q39,1,0)</f>
        <v>1</v>
      </c>
      <c r="S39" s="13" t="n">
        <f aca="false">MIN(B39,PERMANENT_FIELD_LABOR_HOURS)*PERMANENT_HOURLY_RATE+MAX(0,B39-PERMANENT_FIELD_LABOR_HOURS)*TEMP_HOURLY_RATE</f>
        <v>1067.212944</v>
      </c>
      <c r="T39" s="13" t="n">
        <f aca="false">S39-S38</f>
        <v>1067.212944</v>
      </c>
      <c r="U39" s="13" t="n">
        <f aca="false">T39+I39</f>
        <v>1507.212944</v>
      </c>
      <c r="V39" s="12" t="n">
        <f aca="false">IF(L39&gt;=U39,1,0)</f>
        <v>1</v>
      </c>
    </row>
    <row r="40" customFormat="false" ht="15" hidden="false" customHeight="false" outlineLevel="0" collapsed="false">
      <c r="A40" s="12" t="n">
        <f aca="false">ROW()-ROW($A$38)</f>
        <v>2</v>
      </c>
      <c r="B40" s="14" t="n">
        <f aca="false">A40*CARROT_HRS_PER_WEEK_PER_BED*SEASON_WEEKS*(1+CARROT_DIM_RTRN_PCT)^A40</f>
        <v>63.012285</v>
      </c>
      <c r="C40" s="13" t="n">
        <f aca="false">B40*PERMANENT_HOURLY_RATE</f>
        <v>2187.7865352</v>
      </c>
      <c r="D40" s="13" t="n">
        <f aca="false">B40*TEMP_HOURLY_RATE</f>
        <v>1093.8932676</v>
      </c>
      <c r="E40" s="13" t="n">
        <f aca="false">A40*CARROT_FERTILIZER_PER_BED</f>
        <v>880</v>
      </c>
      <c r="F40" s="14" t="n">
        <f aca="false">B40-B39</f>
        <v>32.274585</v>
      </c>
      <c r="G40" s="13" t="n">
        <f aca="false">C40-C39</f>
        <v>1120.5735912</v>
      </c>
      <c r="H40" s="13" t="n">
        <f aca="false">D40-D39</f>
        <v>560.2867956</v>
      </c>
      <c r="I40" s="13" t="n">
        <f aca="false">E40-E39</f>
        <v>440</v>
      </c>
      <c r="J40" s="13" t="n">
        <f aca="false">G40+I40</f>
        <v>1560.5735912</v>
      </c>
      <c r="K40" s="13" t="n">
        <f aca="false">H40+I40</f>
        <v>1000.2867956</v>
      </c>
      <c r="L40" s="13" t="n">
        <f aca="false">CARROT_REVENUE_PER_BED</f>
        <v>2094</v>
      </c>
      <c r="M40" s="12" t="n">
        <f aca="false">IF(L40&gt;=J40,1,0)</f>
        <v>1</v>
      </c>
      <c r="N40" s="12" t="n">
        <f aca="false">IF(L40&gt;=K40,1,0)</f>
        <v>1</v>
      </c>
      <c r="O40" s="13" t="n">
        <f aca="false">B40*CARROT_MC_RATE</f>
        <v>2187.7865352</v>
      </c>
      <c r="P40" s="13" t="n">
        <f aca="false">O40-O39</f>
        <v>1120.5735912</v>
      </c>
      <c r="Q40" s="13" t="n">
        <f aca="false">P40+I40</f>
        <v>1560.5735912</v>
      </c>
      <c r="R40" s="12" t="n">
        <f aca="false">IF(L40&gt;=Q40,1,0)</f>
        <v>1</v>
      </c>
      <c r="S40" s="13" t="n">
        <f aca="false">MIN(B40,PERMANENT_FIELD_LABOR_HOURS)*PERMANENT_HOURLY_RATE+MAX(0,B40-PERMANENT_FIELD_LABOR_HOURS)*TEMP_HOURLY_RATE</f>
        <v>2187.7865352</v>
      </c>
      <c r="T40" s="13" t="n">
        <f aca="false">S40-S39</f>
        <v>1120.5735912</v>
      </c>
      <c r="U40" s="13" t="n">
        <f aca="false">T40+I40</f>
        <v>1560.5735912</v>
      </c>
      <c r="V40" s="12" t="n">
        <f aca="false">IF(L40&gt;=U40,1,0)</f>
        <v>1</v>
      </c>
    </row>
    <row r="41" customFormat="false" ht="15" hidden="false" customHeight="false" outlineLevel="0" collapsed="false">
      <c r="A41" s="12" t="n">
        <f aca="false">ROW()-ROW($A$38)</f>
        <v>3</v>
      </c>
      <c r="B41" s="14" t="n">
        <f aca="false">A41*CARROT_HRS_PER_WEEK_PER_BED*SEASON_WEEKS*(1+CARROT_DIM_RTRN_PCT)^A41</f>
        <v>96.8813881875</v>
      </c>
      <c r="C41" s="13" t="n">
        <f aca="false">B41*PERMANENT_HOURLY_RATE</f>
        <v>3363.72179787</v>
      </c>
      <c r="D41" s="13" t="n">
        <f aca="false">B41*TEMP_HOURLY_RATE</f>
        <v>1681.860898935</v>
      </c>
      <c r="E41" s="13" t="n">
        <f aca="false">A41*CARROT_FERTILIZER_PER_BED</f>
        <v>1320</v>
      </c>
      <c r="F41" s="14" t="n">
        <f aca="false">B41-B40</f>
        <v>33.8691031875</v>
      </c>
      <c r="G41" s="13" t="n">
        <f aca="false">C41-C40</f>
        <v>1175.93526267</v>
      </c>
      <c r="H41" s="13" t="n">
        <f aca="false">D41-D40</f>
        <v>587.967631334999</v>
      </c>
      <c r="I41" s="13" t="n">
        <f aca="false">E41-E40</f>
        <v>440</v>
      </c>
      <c r="J41" s="13" t="n">
        <f aca="false">G41+I41</f>
        <v>1615.93526267</v>
      </c>
      <c r="K41" s="13" t="n">
        <f aca="false">H41+I41</f>
        <v>1027.967631335</v>
      </c>
      <c r="L41" s="13" t="n">
        <f aca="false">CARROT_REVENUE_PER_BED</f>
        <v>2094</v>
      </c>
      <c r="M41" s="12" t="n">
        <f aca="false">IF(L41&gt;=J41,1,0)</f>
        <v>1</v>
      </c>
      <c r="N41" s="12" t="n">
        <f aca="false">IF(L41&gt;=K41,1,0)</f>
        <v>1</v>
      </c>
      <c r="O41" s="13" t="n">
        <f aca="false">B41*CARROT_MC_RATE</f>
        <v>3363.72179787</v>
      </c>
      <c r="P41" s="13" t="n">
        <f aca="false">O41-O40</f>
        <v>1175.93526267</v>
      </c>
      <c r="Q41" s="13" t="n">
        <f aca="false">P41+I41</f>
        <v>1615.93526267</v>
      </c>
      <c r="R41" s="12" t="n">
        <f aca="false">IF(L41&gt;=Q41,1,0)</f>
        <v>1</v>
      </c>
      <c r="S41" s="13" t="n">
        <f aca="false">MIN(B41,PERMANENT_FIELD_LABOR_HOURS)*PERMANENT_HOURLY_RATE+MAX(0,B41-PERMANENT_FIELD_LABOR_HOURS)*TEMP_HOURLY_RATE</f>
        <v>3363.72179787</v>
      </c>
      <c r="T41" s="13" t="n">
        <f aca="false">S41-S40</f>
        <v>1175.93526267</v>
      </c>
      <c r="U41" s="13" t="n">
        <f aca="false">T41+I41</f>
        <v>1615.93526267</v>
      </c>
      <c r="V41" s="12" t="n">
        <f aca="false">IF(L41&gt;=U41,1,0)</f>
        <v>1</v>
      </c>
    </row>
    <row r="42" customFormat="false" ht="15" hidden="false" customHeight="false" outlineLevel="0" collapsed="false">
      <c r="A42" s="12" t="n">
        <f aca="false">ROW()-ROW($A$38)</f>
        <v>4</v>
      </c>
      <c r="B42" s="14" t="n">
        <f aca="false">A42*CARROT_HRS_PER_WEEK_PER_BED*SEASON_WEEKS*(1+CARROT_DIM_RTRN_PCT)^A42</f>
        <v>132.40456385625</v>
      </c>
      <c r="C42" s="13" t="n">
        <f aca="false">B42*PERMANENT_HOURLY_RATE</f>
        <v>4597.086457089</v>
      </c>
      <c r="D42" s="13" t="n">
        <f aca="false">B42*TEMP_HOURLY_RATE</f>
        <v>2298.5432285445</v>
      </c>
      <c r="E42" s="13" t="n">
        <f aca="false">A42*CARROT_FERTILIZER_PER_BED</f>
        <v>1760</v>
      </c>
      <c r="F42" s="14" t="n">
        <f aca="false">B42-B41</f>
        <v>35.52317566875</v>
      </c>
      <c r="G42" s="13" t="n">
        <f aca="false">C42-C41</f>
        <v>1233.364659219</v>
      </c>
      <c r="H42" s="13" t="n">
        <f aca="false">D42-D41</f>
        <v>616.6823296095</v>
      </c>
      <c r="I42" s="13" t="n">
        <f aca="false">E42-E41</f>
        <v>440</v>
      </c>
      <c r="J42" s="13" t="n">
        <f aca="false">G42+I42</f>
        <v>1673.364659219</v>
      </c>
      <c r="K42" s="13" t="n">
        <f aca="false">H42+I42</f>
        <v>1056.6823296095</v>
      </c>
      <c r="L42" s="13" t="n">
        <f aca="false">CARROT_REVENUE_PER_BED</f>
        <v>2094</v>
      </c>
      <c r="M42" s="12" t="n">
        <f aca="false">IF(L42&gt;=J42,1,0)</f>
        <v>1</v>
      </c>
      <c r="N42" s="12" t="n">
        <f aca="false">IF(L42&gt;=K42,1,0)</f>
        <v>1</v>
      </c>
      <c r="O42" s="13" t="n">
        <f aca="false">B42*CARROT_MC_RATE</f>
        <v>4597.086457089</v>
      </c>
      <c r="P42" s="13" t="n">
        <f aca="false">O42-O41</f>
        <v>1233.364659219</v>
      </c>
      <c r="Q42" s="13" t="n">
        <f aca="false">P42+I42</f>
        <v>1673.364659219</v>
      </c>
      <c r="R42" s="12" t="n">
        <f aca="false">IF(L42&gt;=Q42,1,0)</f>
        <v>1</v>
      </c>
      <c r="S42" s="13" t="n">
        <f aca="false">MIN(B42,PERMANENT_FIELD_LABOR_HOURS)*PERMANENT_HOURLY_RATE+MAX(0,B42-PERMANENT_FIELD_LABOR_HOURS)*TEMP_HOURLY_RATE</f>
        <v>4597.086457089</v>
      </c>
      <c r="T42" s="13" t="n">
        <f aca="false">S42-S41</f>
        <v>1233.364659219</v>
      </c>
      <c r="U42" s="13" t="n">
        <f aca="false">T42+I42</f>
        <v>1673.364659219</v>
      </c>
      <c r="V42" s="12" t="n">
        <f aca="false">IF(L42&gt;=U42,1,0)</f>
        <v>1</v>
      </c>
    </row>
    <row r="43" customFormat="false" ht="15" hidden="false" customHeight="false" outlineLevel="0" collapsed="false">
      <c r="A43" s="12" t="n">
        <f aca="false">ROW()-ROW($A$38)</f>
        <v>5</v>
      </c>
      <c r="B43" s="14" t="n">
        <f aca="false">A43*CARROT_HRS_PER_WEEK_PER_BED*SEASON_WEEKS*(1+CARROT_DIM_RTRN_PCT)^A43</f>
        <v>169.64334744082</v>
      </c>
      <c r="C43" s="13" t="n">
        <f aca="false">B43*PERMANENT_HOURLY_RATE</f>
        <v>5890.01702314528</v>
      </c>
      <c r="D43" s="13" t="n">
        <f aca="false">B43*TEMP_HOURLY_RATE</f>
        <v>2945.00851157264</v>
      </c>
      <c r="E43" s="13" t="n">
        <f aca="false">A43*CARROT_FERTILIZER_PER_BED</f>
        <v>2200</v>
      </c>
      <c r="F43" s="14" t="n">
        <f aca="false">B43-B42</f>
        <v>37.2387835845703</v>
      </c>
      <c r="G43" s="13" t="n">
        <f aca="false">C43-C42</f>
        <v>1292.93056605628</v>
      </c>
      <c r="H43" s="13" t="n">
        <f aca="false">D43-D42</f>
        <v>646.46528302814</v>
      </c>
      <c r="I43" s="13" t="n">
        <f aca="false">E43-E42</f>
        <v>440</v>
      </c>
      <c r="J43" s="13" t="n">
        <f aca="false">G43+I43</f>
        <v>1732.93056605628</v>
      </c>
      <c r="K43" s="13" t="n">
        <f aca="false">H43+I43</f>
        <v>1086.46528302814</v>
      </c>
      <c r="L43" s="13" t="n">
        <f aca="false">CARROT_REVENUE_PER_BED</f>
        <v>2094</v>
      </c>
      <c r="M43" s="12" t="n">
        <f aca="false">IF(L43&gt;=J43,1,0)</f>
        <v>1</v>
      </c>
      <c r="N43" s="12" t="n">
        <f aca="false">IF(L43&gt;=K43,1,0)</f>
        <v>1</v>
      </c>
      <c r="O43" s="13" t="n">
        <f aca="false">B43*CARROT_MC_RATE</f>
        <v>5890.01702314528</v>
      </c>
      <c r="P43" s="13" t="n">
        <f aca="false">O43-O42</f>
        <v>1292.93056605628</v>
      </c>
      <c r="Q43" s="13" t="n">
        <f aca="false">P43+I43</f>
        <v>1732.93056605628</v>
      </c>
      <c r="R43" s="12" t="n">
        <f aca="false">IF(L43&gt;=Q43,1,0)</f>
        <v>1</v>
      </c>
      <c r="S43" s="13" t="n">
        <f aca="false">MIN(B43,PERMANENT_FIELD_LABOR_HOURS)*PERMANENT_HOURLY_RATE+MAX(0,B43-PERMANENT_FIELD_LABOR_HOURS)*TEMP_HOURLY_RATE</f>
        <v>5890.01702314528</v>
      </c>
      <c r="T43" s="13" t="n">
        <f aca="false">S43-S42</f>
        <v>1292.93056605628</v>
      </c>
      <c r="U43" s="13" t="n">
        <f aca="false">T43+I43</f>
        <v>1732.93056605628</v>
      </c>
      <c r="V43" s="12" t="n">
        <f aca="false">IF(L43&gt;=U43,1,0)</f>
        <v>1</v>
      </c>
    </row>
    <row r="44" customFormat="false" ht="15" hidden="false" customHeight="false" outlineLevel="0" collapsed="false">
      <c r="A44" s="12" t="n">
        <f aca="false">ROW()-ROW($A$38)</f>
        <v>6</v>
      </c>
      <c r="B44" s="14" t="n">
        <f aca="false">A44*CARROT_HRS_PER_WEEK_PER_BED*SEASON_WEEKS*(1+CARROT_DIM_RTRN_PCT)^A44</f>
        <v>208.661317352209</v>
      </c>
      <c r="C44" s="13" t="n">
        <f aca="false">B44*PERMANENT_HOURLY_RATE</f>
        <v>7244.72093846869</v>
      </c>
      <c r="D44" s="13" t="n">
        <f aca="false">B44*TEMP_HOURLY_RATE</f>
        <v>3622.36046923435</v>
      </c>
      <c r="E44" s="13" t="n">
        <f aca="false">A44*CARROT_FERTILIZER_PER_BED</f>
        <v>2640</v>
      </c>
      <c r="F44" s="14" t="n">
        <f aca="false">B44-B43</f>
        <v>39.0179699113886</v>
      </c>
      <c r="G44" s="13" t="n">
        <f aca="false">C44-C43</f>
        <v>1354.70391532341</v>
      </c>
      <c r="H44" s="13" t="n">
        <f aca="false">D44-D43</f>
        <v>677.351957661706</v>
      </c>
      <c r="I44" s="13" t="n">
        <f aca="false">E44-E43</f>
        <v>440</v>
      </c>
      <c r="J44" s="13" t="n">
        <f aca="false">G44+I44</f>
        <v>1794.70391532341</v>
      </c>
      <c r="K44" s="13" t="n">
        <f aca="false">H44+I44</f>
        <v>1117.35195766171</v>
      </c>
      <c r="L44" s="13" t="n">
        <f aca="false">CARROT_REVENUE_PER_BED</f>
        <v>2094</v>
      </c>
      <c r="M44" s="12" t="n">
        <f aca="false">IF(L44&gt;=J44,1,0)</f>
        <v>1</v>
      </c>
      <c r="N44" s="12" t="n">
        <f aca="false">IF(L44&gt;=K44,1,0)</f>
        <v>1</v>
      </c>
      <c r="O44" s="13" t="n">
        <f aca="false">B44*CARROT_MC_RATE</f>
        <v>7244.72093846869</v>
      </c>
      <c r="P44" s="13" t="n">
        <f aca="false">O44-O43</f>
        <v>1354.70391532341</v>
      </c>
      <c r="Q44" s="13" t="n">
        <f aca="false">P44+I44</f>
        <v>1794.70391532341</v>
      </c>
      <c r="R44" s="12" t="n">
        <f aca="false">IF(L44&gt;=Q44,1,0)</f>
        <v>1</v>
      </c>
      <c r="S44" s="13" t="n">
        <f aca="false">MIN(B44,PERMANENT_FIELD_LABOR_HOURS)*PERMANENT_HOURLY_RATE+MAX(0,B44-PERMANENT_FIELD_LABOR_HOURS)*TEMP_HOURLY_RATE</f>
        <v>7244.72093846869</v>
      </c>
      <c r="T44" s="13" t="n">
        <f aca="false">S44-S43</f>
        <v>1354.70391532341</v>
      </c>
      <c r="U44" s="13" t="n">
        <f aca="false">T44+I44</f>
        <v>1794.70391532341</v>
      </c>
      <c r="V44" s="12" t="n">
        <f aca="false">IF(L44&gt;=U44,1,0)</f>
        <v>1</v>
      </c>
    </row>
    <row r="45" customFormat="false" ht="15" hidden="false" customHeight="false" outlineLevel="0" collapsed="false">
      <c r="A45" s="12" t="n">
        <f aca="false">ROW()-ROW($A$38)</f>
        <v>7</v>
      </c>
      <c r="B45" s="14" t="n">
        <f aca="false">A45*CARROT_HRS_PER_WEEK_PER_BED*SEASON_WEEKS*(1+CARROT_DIM_RTRN_PCT)^A45</f>
        <v>249.524158667016</v>
      </c>
      <c r="C45" s="13" t="n">
        <f aca="false">B45*PERMANENT_HOURLY_RATE</f>
        <v>8663.47878891881</v>
      </c>
      <c r="D45" s="13" t="n">
        <f aca="false">B45*TEMP_HOURLY_RATE</f>
        <v>4331.73939445941</v>
      </c>
      <c r="E45" s="13" t="n">
        <f aca="false">A45*CARROT_FERTILIZER_PER_BED</f>
        <v>3080</v>
      </c>
      <c r="F45" s="14" t="n">
        <f aca="false">B45-B44</f>
        <v>40.8628413148076</v>
      </c>
      <c r="G45" s="13" t="n">
        <f aca="false">C45-C44</f>
        <v>1418.75785045012</v>
      </c>
      <c r="H45" s="13" t="n">
        <f aca="false">D45-D44</f>
        <v>709.37892522506</v>
      </c>
      <c r="I45" s="13" t="n">
        <f aca="false">E45-E44</f>
        <v>440</v>
      </c>
      <c r="J45" s="13" t="n">
        <f aca="false">G45+I45</f>
        <v>1858.75785045012</v>
      </c>
      <c r="K45" s="13" t="n">
        <f aca="false">H45+I45</f>
        <v>1149.37892522506</v>
      </c>
      <c r="L45" s="13" t="n">
        <f aca="false">CARROT_REVENUE_PER_BED</f>
        <v>2094</v>
      </c>
      <c r="M45" s="12" t="n">
        <f aca="false">IF(L45&gt;=J45,1,0)</f>
        <v>1</v>
      </c>
      <c r="N45" s="12" t="n">
        <f aca="false">IF(L45&gt;=K45,1,0)</f>
        <v>1</v>
      </c>
      <c r="O45" s="13" t="n">
        <f aca="false">B45*CARROT_MC_RATE</f>
        <v>8663.47878891881</v>
      </c>
      <c r="P45" s="13" t="n">
        <f aca="false">O45-O44</f>
        <v>1418.75785045012</v>
      </c>
      <c r="Q45" s="13" t="n">
        <f aca="false">P45+I45</f>
        <v>1858.75785045012</v>
      </c>
      <c r="R45" s="12" t="n">
        <f aca="false">IF(L45&gt;=Q45,1,0)</f>
        <v>1</v>
      </c>
      <c r="S45" s="13" t="n">
        <f aca="false">MIN(B45,PERMANENT_FIELD_LABOR_HOURS)*PERMANENT_HOURLY_RATE+MAX(0,B45-PERMANENT_FIELD_LABOR_HOURS)*TEMP_HOURLY_RATE</f>
        <v>8663.47878891881</v>
      </c>
      <c r="T45" s="13" t="n">
        <f aca="false">S45-S44</f>
        <v>1418.75785045012</v>
      </c>
      <c r="U45" s="13" t="n">
        <f aca="false">T45+I45</f>
        <v>1858.75785045012</v>
      </c>
      <c r="V45" s="12" t="n">
        <f aca="false">IF(L45&gt;=U45,1,0)</f>
        <v>1</v>
      </c>
    </row>
    <row r="46" customFormat="false" ht="15" hidden="false" customHeight="false" outlineLevel="0" collapsed="false">
      <c r="A46" s="12" t="n">
        <f aca="false">ROW()-ROW($A$38)</f>
        <v>8</v>
      </c>
      <c r="B46" s="14" t="n">
        <f aca="false">A46*CARROT_HRS_PER_WEEK_PER_BED*SEASON_WEEKS*(1+CARROT_DIM_RTRN_PCT)^A46</f>
        <v>292.299728724219</v>
      </c>
      <c r="C46" s="13" t="n">
        <f aca="false">B46*PERMANENT_HOURLY_RATE</f>
        <v>10148.6465813049</v>
      </c>
      <c r="D46" s="13" t="n">
        <f aca="false">B46*TEMP_HOURLY_RATE</f>
        <v>5074.32329065244</v>
      </c>
      <c r="E46" s="13" t="n">
        <f aca="false">A46*CARROT_FERTILIZER_PER_BED</f>
        <v>3520</v>
      </c>
      <c r="F46" s="14" t="n">
        <f aca="false">B46-B45</f>
        <v>42.7755700572027</v>
      </c>
      <c r="G46" s="13" t="n">
        <f aca="false">C46-C45</f>
        <v>1485.16779238608</v>
      </c>
      <c r="H46" s="13" t="n">
        <f aca="false">D46-D45</f>
        <v>742.583896193039</v>
      </c>
      <c r="I46" s="13" t="n">
        <f aca="false">E46-E45</f>
        <v>440</v>
      </c>
      <c r="J46" s="13" t="n">
        <f aca="false">G46+I46</f>
        <v>1925.16779238608</v>
      </c>
      <c r="K46" s="13" t="n">
        <f aca="false">H46+I46</f>
        <v>1182.58389619304</v>
      </c>
      <c r="L46" s="13" t="n">
        <f aca="false">CARROT_REVENUE_PER_BED</f>
        <v>2094</v>
      </c>
      <c r="M46" s="12" t="n">
        <f aca="false">IF(L46&gt;=J46,1,0)</f>
        <v>1</v>
      </c>
      <c r="N46" s="12" t="n">
        <f aca="false">IF(L46&gt;=K46,1,0)</f>
        <v>1</v>
      </c>
      <c r="O46" s="13" t="n">
        <f aca="false">B46*CARROT_MC_RATE</f>
        <v>10148.6465813049</v>
      </c>
      <c r="P46" s="13" t="n">
        <f aca="false">O46-O45</f>
        <v>1485.16779238608</v>
      </c>
      <c r="Q46" s="13" t="n">
        <f aca="false">P46+I46</f>
        <v>1925.16779238608</v>
      </c>
      <c r="R46" s="12" t="n">
        <f aca="false">IF(L46&gt;=Q46,1,0)</f>
        <v>1</v>
      </c>
      <c r="S46" s="13" t="n">
        <f aca="false">MIN(B46,PERMANENT_FIELD_LABOR_HOURS)*PERMANENT_HOURLY_RATE+MAX(0,B46-PERMANENT_FIELD_LABOR_HOURS)*TEMP_HOURLY_RATE</f>
        <v>10148.6465813049</v>
      </c>
      <c r="T46" s="13" t="n">
        <f aca="false">S46-S45</f>
        <v>1485.16779238608</v>
      </c>
      <c r="U46" s="13" t="n">
        <f aca="false">T46+I46</f>
        <v>1925.16779238608</v>
      </c>
      <c r="V46" s="12" t="n">
        <f aca="false">IF(L46&gt;=U46,1,0)</f>
        <v>1</v>
      </c>
    </row>
    <row r="47" customFormat="false" ht="15" hidden="false" customHeight="false" outlineLevel="0" collapsed="false">
      <c r="A47" s="12" t="n">
        <f aca="false">ROW()-ROW($A$38)</f>
        <v>9</v>
      </c>
      <c r="B47" s="14" t="n">
        <f aca="false">A47*CARROT_HRS_PER_WEEK_PER_BED*SEASON_WEEKS*(1+CARROT_DIM_RTRN_PCT)^A47</f>
        <v>337.058124685115</v>
      </c>
      <c r="C47" s="13" t="n">
        <f aca="false">B47*PERMANENT_HOURLY_RATE</f>
        <v>11702.6580890672</v>
      </c>
      <c r="D47" s="13" t="n">
        <f aca="false">B47*TEMP_HOURLY_RATE</f>
        <v>5851.3290445336</v>
      </c>
      <c r="E47" s="13" t="n">
        <f aca="false">A47*CARROT_FERTILIZER_PER_BED</f>
        <v>3960</v>
      </c>
      <c r="F47" s="14" t="n">
        <f aca="false">B47-B46</f>
        <v>44.7583959608961</v>
      </c>
      <c r="G47" s="13" t="n">
        <f aca="false">C47-C46</f>
        <v>1554.01150776231</v>
      </c>
      <c r="H47" s="13" t="n">
        <f aca="false">D47-D46</f>
        <v>777.005753881156</v>
      </c>
      <c r="I47" s="13" t="n">
        <f aca="false">E47-E46</f>
        <v>440</v>
      </c>
      <c r="J47" s="13" t="n">
        <f aca="false">G47+I47</f>
        <v>1994.01150776231</v>
      </c>
      <c r="K47" s="13" t="n">
        <f aca="false">H47+I47</f>
        <v>1217.00575388116</v>
      </c>
      <c r="L47" s="13" t="n">
        <f aca="false">CARROT_REVENUE_PER_BED</f>
        <v>2094</v>
      </c>
      <c r="M47" s="12" t="n">
        <f aca="false">IF(L47&gt;=J47,1,0)</f>
        <v>1</v>
      </c>
      <c r="N47" s="12" t="n">
        <f aca="false">IF(L47&gt;=K47,1,0)</f>
        <v>1</v>
      </c>
      <c r="O47" s="13" t="n">
        <f aca="false">B47*CARROT_MC_RATE</f>
        <v>11702.6580890672</v>
      </c>
      <c r="P47" s="13" t="n">
        <f aca="false">O47-O46</f>
        <v>1554.01150776231</v>
      </c>
      <c r="Q47" s="13" t="n">
        <f aca="false">P47+I47</f>
        <v>1994.01150776231</v>
      </c>
      <c r="R47" s="12" t="n">
        <f aca="false">IF(L47&gt;=Q47,1,0)</f>
        <v>1</v>
      </c>
      <c r="S47" s="13" t="n">
        <f aca="false">MIN(B47,PERMANENT_FIELD_LABOR_HOURS)*PERMANENT_HOURLY_RATE+MAX(0,B47-PERMANENT_FIELD_LABOR_HOURS)*TEMP_HOURLY_RATE</f>
        <v>11702.6580890672</v>
      </c>
      <c r="T47" s="13" t="n">
        <f aca="false">S47-S46</f>
        <v>1554.01150776231</v>
      </c>
      <c r="U47" s="13" t="n">
        <f aca="false">T47+I47</f>
        <v>1994.01150776231</v>
      </c>
      <c r="V47" s="12" t="n">
        <f aca="false">IF(L47&gt;=U47,1,0)</f>
        <v>1</v>
      </c>
    </row>
    <row r="48" customFormat="false" ht="15" hidden="false" customHeight="false" outlineLevel="0" collapsed="false">
      <c r="A48" s="12" t="n">
        <f aca="false">ROW()-ROW($A$38)</f>
        <v>10</v>
      </c>
      <c r="B48" s="14" t="n">
        <f aca="false">A48*CARROT_HRS_PER_WEEK_PER_BED*SEASON_WEEKS*(1+CARROT_DIM_RTRN_PCT)^A48</f>
        <v>383.871753113603</v>
      </c>
      <c r="C48" s="13" t="n">
        <f aca="false">B48*PERMANENT_HOURLY_RATE</f>
        <v>13328.0272681043</v>
      </c>
      <c r="D48" s="13" t="n">
        <f aca="false">B48*TEMP_HOURLY_RATE</f>
        <v>6664.01363405216</v>
      </c>
      <c r="E48" s="13" t="n">
        <f aca="false">A48*CARROT_FERTILIZER_PER_BED</f>
        <v>4400</v>
      </c>
      <c r="F48" s="14" t="n">
        <f aca="false">B48-B47</f>
        <v>46.8136284284881</v>
      </c>
      <c r="G48" s="13" t="n">
        <f aca="false">C48-C47</f>
        <v>1625.36917903711</v>
      </c>
      <c r="H48" s="13" t="n">
        <f aca="false">D48-D47</f>
        <v>812.684589518554</v>
      </c>
      <c r="I48" s="13" t="n">
        <f aca="false">E48-E47</f>
        <v>440</v>
      </c>
      <c r="J48" s="13" t="n">
        <f aca="false">G48+I48</f>
        <v>2065.36917903711</v>
      </c>
      <c r="K48" s="13" t="n">
        <f aca="false">H48+I48</f>
        <v>1252.68458951855</v>
      </c>
      <c r="L48" s="13" t="n">
        <f aca="false">CARROT_REVENUE_PER_BED</f>
        <v>2094</v>
      </c>
      <c r="M48" s="12" t="n">
        <f aca="false">IF(L48&gt;=J48,1,0)</f>
        <v>1</v>
      </c>
      <c r="N48" s="12" t="n">
        <f aca="false">IF(L48&gt;=K48,1,0)</f>
        <v>1</v>
      </c>
      <c r="O48" s="13" t="n">
        <f aca="false">B48*CARROT_MC_RATE</f>
        <v>13328.0272681043</v>
      </c>
      <c r="P48" s="13" t="n">
        <f aca="false">O48-O47</f>
        <v>1625.36917903711</v>
      </c>
      <c r="Q48" s="13" t="n">
        <f aca="false">P48+I48</f>
        <v>2065.36917903711</v>
      </c>
      <c r="R48" s="12" t="n">
        <f aca="false">IF(L48&gt;=Q48,1,0)</f>
        <v>1</v>
      </c>
      <c r="S48" s="13" t="n">
        <f aca="false">MIN(B48,PERMANENT_FIELD_LABOR_HOURS)*PERMANENT_HOURLY_RATE+MAX(0,B48-PERMANENT_FIELD_LABOR_HOURS)*TEMP_HOURLY_RATE</f>
        <v>13328.0272681043</v>
      </c>
      <c r="T48" s="13" t="n">
        <f aca="false">S48-S47</f>
        <v>1625.36917903711</v>
      </c>
      <c r="U48" s="13" t="n">
        <f aca="false">T48+I48</f>
        <v>2065.36917903711</v>
      </c>
      <c r="V48" s="12" t="n">
        <f aca="false">IF(L48&gt;=U48,1,0)</f>
        <v>1</v>
      </c>
    </row>
    <row r="49" customFormat="false" ht="15" hidden="false" customHeight="false" outlineLevel="0" collapsed="false">
      <c r="A49" s="12" t="n">
        <f aca="false">ROW()-ROW($A$38)</f>
        <v>11</v>
      </c>
      <c r="B49" s="14" t="n">
        <f aca="false">A49*CARROT_HRS_PER_WEEK_PER_BED*SEASON_WEEKS*(1+CARROT_DIM_RTRN_PCT)^A49</f>
        <v>432.815401635588</v>
      </c>
      <c r="C49" s="13" t="n">
        <f aca="false">B49*PERMANENT_HOURLY_RATE</f>
        <v>15027.3507447876</v>
      </c>
      <c r="D49" s="13" t="n">
        <f aca="false">B49*TEMP_HOURLY_RATE</f>
        <v>7513.67537239381</v>
      </c>
      <c r="E49" s="13" t="n">
        <f aca="false">A49*CARROT_FERTILIZER_PER_BED</f>
        <v>4840</v>
      </c>
      <c r="F49" s="14" t="n">
        <f aca="false">B49-B48</f>
        <v>48.9436485219845</v>
      </c>
      <c r="G49" s="13" t="n">
        <f aca="false">C49-C48</f>
        <v>1699.3234766833</v>
      </c>
      <c r="H49" s="13" t="n">
        <f aca="false">D49-D48</f>
        <v>849.661738341651</v>
      </c>
      <c r="I49" s="13" t="n">
        <f aca="false">E49-E48</f>
        <v>440</v>
      </c>
      <c r="J49" s="13" t="n">
        <f aca="false">G49+I49</f>
        <v>2139.3234766833</v>
      </c>
      <c r="K49" s="13" t="n">
        <f aca="false">H49+I49</f>
        <v>1289.66173834165</v>
      </c>
      <c r="L49" s="13" t="n">
        <f aca="false">CARROT_REVENUE_PER_BED</f>
        <v>2094</v>
      </c>
      <c r="M49" s="12" t="n">
        <f aca="false">IF(L49&gt;=J49,1,0)</f>
        <v>0</v>
      </c>
      <c r="N49" s="12" t="n">
        <f aca="false">IF(L49&gt;=K49,1,0)</f>
        <v>1</v>
      </c>
      <c r="O49" s="13" t="n">
        <f aca="false">B49*CARROT_MC_RATE</f>
        <v>15027.3507447876</v>
      </c>
      <c r="P49" s="13" t="n">
        <f aca="false">O49-O48</f>
        <v>1699.3234766833</v>
      </c>
      <c r="Q49" s="13" t="n">
        <f aca="false">P49+I49</f>
        <v>2139.3234766833</v>
      </c>
      <c r="R49" s="12" t="n">
        <f aca="false">IF(L49&gt;=Q49,1,0)</f>
        <v>0</v>
      </c>
      <c r="S49" s="13" t="n">
        <f aca="false">MIN(B49,PERMANENT_FIELD_LABOR_HOURS)*PERMANENT_HOURLY_RATE+MAX(0,B49-PERMANENT_FIELD_LABOR_HOURS)*TEMP_HOURLY_RATE</f>
        <v>15027.3507447876</v>
      </c>
      <c r="T49" s="13" t="n">
        <f aca="false">S49-S48</f>
        <v>1699.3234766833</v>
      </c>
      <c r="U49" s="13" t="n">
        <f aca="false">T49+I49</f>
        <v>2139.3234766833</v>
      </c>
      <c r="V49" s="12" t="n">
        <f aca="false">IF(L49&gt;=U49,1,0)</f>
        <v>0</v>
      </c>
    </row>
    <row r="50" customFormat="false" ht="15" hidden="false" customHeight="false" outlineLevel="0" collapsed="false">
      <c r="A50" s="12" t="n">
        <f aca="false">ROW()-ROW($A$38)</f>
        <v>12</v>
      </c>
      <c r="B50" s="14" t="n">
        <f aca="false">A50*CARROT_HRS_PER_WEEK_PER_BED*SEASON_WEEKS*(1+CARROT_DIM_RTRN_PCT)^A50</f>
        <v>483.966312737975</v>
      </c>
      <c r="C50" s="13" t="n">
        <f aca="false">B50*PERMANENT_HOURLY_RATE</f>
        <v>16803.3103782625</v>
      </c>
      <c r="D50" s="13" t="n">
        <f aca="false">B50*TEMP_HOURLY_RATE</f>
        <v>8401.65518913125</v>
      </c>
      <c r="E50" s="13" t="n">
        <f aca="false">A50*CARROT_FERTILIZER_PER_BED</f>
        <v>5280</v>
      </c>
      <c r="F50" s="14" t="n">
        <f aca="false">B50-B49</f>
        <v>51.1509111023875</v>
      </c>
      <c r="G50" s="13" t="n">
        <f aca="false">C50-C49</f>
        <v>1775.95963347489</v>
      </c>
      <c r="H50" s="13" t="n">
        <f aca="false">D50-D49</f>
        <v>887.979816737447</v>
      </c>
      <c r="I50" s="13" t="n">
        <f aca="false">E50-E49</f>
        <v>440</v>
      </c>
      <c r="J50" s="13" t="n">
        <f aca="false">G50+I50</f>
        <v>2215.95963347489</v>
      </c>
      <c r="K50" s="13" t="n">
        <f aca="false">H50+I50</f>
        <v>1327.97981673745</v>
      </c>
      <c r="L50" s="13" t="n">
        <f aca="false">CARROT_REVENUE_PER_BED</f>
        <v>2094</v>
      </c>
      <c r="M50" s="12" t="n">
        <f aca="false">IF(L50&gt;=J50,1,0)</f>
        <v>0</v>
      </c>
      <c r="N50" s="12" t="n">
        <f aca="false">IF(L50&gt;=K50,1,0)</f>
        <v>1</v>
      </c>
      <c r="O50" s="13" t="n">
        <f aca="false">B50*CARROT_MC_RATE</f>
        <v>16803.3103782625</v>
      </c>
      <c r="P50" s="13" t="n">
        <f aca="false">O50-O49</f>
        <v>1775.95963347489</v>
      </c>
      <c r="Q50" s="13" t="n">
        <f aca="false">P50+I50</f>
        <v>2215.95963347489</v>
      </c>
      <c r="R50" s="12" t="n">
        <f aca="false">IF(L50&gt;=Q50,1,0)</f>
        <v>0</v>
      </c>
      <c r="S50" s="13" t="n">
        <f aca="false">MIN(B50,PERMANENT_FIELD_LABOR_HOURS)*PERMANENT_HOURLY_RATE+MAX(0,B50-PERMANENT_FIELD_LABOR_HOURS)*TEMP_HOURLY_RATE</f>
        <v>16803.3103782625</v>
      </c>
      <c r="T50" s="13" t="n">
        <f aca="false">S50-S49</f>
        <v>1775.95963347489</v>
      </c>
      <c r="U50" s="13" t="n">
        <f aca="false">T50+I50</f>
        <v>2215.95963347489</v>
      </c>
      <c r="V50" s="12" t="n">
        <f aca="false">IF(L50&gt;=U50,1,0)</f>
        <v>0</v>
      </c>
    </row>
    <row r="51" customFormat="false" ht="15" hidden="false" customHeight="false" outlineLevel="0" collapsed="false">
      <c r="A51" s="12" t="n">
        <f aca="false">ROW()-ROW($A$38)</f>
        <v>13</v>
      </c>
      <c r="B51" s="14" t="n">
        <f aca="false">A51*CARROT_HRS_PER_WEEK_PER_BED*SEASON_WEEKS*(1+CARROT_DIM_RTRN_PCT)^A51</f>
        <v>537.40425976946</v>
      </c>
      <c r="C51" s="13" t="n">
        <f aca="false">B51*PERMANENT_HOURLY_RATE</f>
        <v>18658.6758991957</v>
      </c>
      <c r="D51" s="13" t="n">
        <f aca="false">B51*TEMP_HOURLY_RATE</f>
        <v>9329.33794959783</v>
      </c>
      <c r="E51" s="13" t="n">
        <f aca="false">A51*CARROT_FERTILIZER_PER_BED</f>
        <v>5720</v>
      </c>
      <c r="F51" s="14" t="n">
        <f aca="false">B51-B50</f>
        <v>53.4379470314847</v>
      </c>
      <c r="G51" s="13" t="n">
        <f aca="false">C51-C50</f>
        <v>1855.36552093315</v>
      </c>
      <c r="H51" s="13" t="n">
        <f aca="false">D51-D50</f>
        <v>927.682760466574</v>
      </c>
      <c r="I51" s="13" t="n">
        <f aca="false">E51-E50</f>
        <v>440</v>
      </c>
      <c r="J51" s="13" t="n">
        <f aca="false">G51+I51</f>
        <v>2295.36552093315</v>
      </c>
      <c r="K51" s="13" t="n">
        <f aca="false">H51+I51</f>
        <v>1367.68276046657</v>
      </c>
      <c r="L51" s="13" t="n">
        <f aca="false">CARROT_REVENUE_PER_BED</f>
        <v>2094</v>
      </c>
      <c r="M51" s="12" t="n">
        <f aca="false">IF(L51&gt;=J51,1,0)</f>
        <v>0</v>
      </c>
      <c r="N51" s="12" t="n">
        <f aca="false">IF(L51&gt;=K51,1,0)</f>
        <v>1</v>
      </c>
      <c r="O51" s="13" t="n">
        <f aca="false">B51*CARROT_MC_RATE</f>
        <v>18658.6758991957</v>
      </c>
      <c r="P51" s="13" t="n">
        <f aca="false">O51-O50</f>
        <v>1855.36552093315</v>
      </c>
      <c r="Q51" s="13" t="n">
        <f aca="false">P51+I51</f>
        <v>2295.36552093315</v>
      </c>
      <c r="R51" s="12" t="n">
        <f aca="false">IF(L51&gt;=Q51,1,0)</f>
        <v>0</v>
      </c>
      <c r="S51" s="13" t="n">
        <f aca="false">MIN(B51,PERMANENT_FIELD_LABOR_HOURS)*PERMANENT_HOURLY_RATE+MAX(0,B51-PERMANENT_FIELD_LABOR_HOURS)*TEMP_HOURLY_RATE</f>
        <v>18658.6758991957</v>
      </c>
      <c r="T51" s="13" t="n">
        <f aca="false">S51-S50</f>
        <v>1855.36552093315</v>
      </c>
      <c r="U51" s="13" t="n">
        <f aca="false">T51+I51</f>
        <v>2295.36552093315</v>
      </c>
      <c r="V51" s="12" t="n">
        <f aca="false">IF(L51&gt;=U51,1,0)</f>
        <v>0</v>
      </c>
    </row>
    <row r="52" customFormat="false" ht="15" hidden="false" customHeight="false" outlineLevel="0" collapsed="false">
      <c r="A52" s="12" t="n">
        <f aca="false">ROW()-ROW($A$38)</f>
        <v>14</v>
      </c>
      <c r="B52" s="14" t="n">
        <f aca="false">A52*CARROT_HRS_PER_WEEK_PER_BED*SEASON_WEEKS*(1+CARROT_DIM_RTRN_PCT)^A52</f>
        <v>593.211625207058</v>
      </c>
      <c r="C52" s="13" t="n">
        <f aca="false">B52*PERMANENT_HOURLY_RATE</f>
        <v>20596.3076271891</v>
      </c>
      <c r="D52" s="13" t="n">
        <f aca="false">B52*TEMP_HOURLY_RATE</f>
        <v>10298.1538135945</v>
      </c>
      <c r="E52" s="13" t="n">
        <f aca="false">A52*CARROT_FERTILIZER_PER_BED</f>
        <v>6160</v>
      </c>
      <c r="F52" s="14" t="n">
        <f aca="false">B52-B51</f>
        <v>55.8073654375979</v>
      </c>
      <c r="G52" s="13" t="n">
        <f aca="false">C52-C51</f>
        <v>1937.6317279934</v>
      </c>
      <c r="H52" s="13" t="n">
        <f aca="false">D52-D51</f>
        <v>968.815863996701</v>
      </c>
      <c r="I52" s="13" t="n">
        <f aca="false">E52-E51</f>
        <v>440</v>
      </c>
      <c r="J52" s="13" t="n">
        <f aca="false">G52+I52</f>
        <v>2377.6317279934</v>
      </c>
      <c r="K52" s="13" t="n">
        <f aca="false">H52+I52</f>
        <v>1408.8158639967</v>
      </c>
      <c r="L52" s="13" t="n">
        <f aca="false">CARROT_REVENUE_PER_BED</f>
        <v>2094</v>
      </c>
      <c r="M52" s="12" t="n">
        <f aca="false">IF(L52&gt;=J52,1,0)</f>
        <v>0</v>
      </c>
      <c r="N52" s="12" t="n">
        <f aca="false">IF(L52&gt;=K52,1,0)</f>
        <v>1</v>
      </c>
      <c r="O52" s="13" t="n">
        <f aca="false">B52*CARROT_MC_RATE</f>
        <v>20596.3076271891</v>
      </c>
      <c r="P52" s="13" t="n">
        <f aca="false">O52-O51</f>
        <v>1937.6317279934</v>
      </c>
      <c r="Q52" s="13" t="n">
        <f aca="false">P52+I52</f>
        <v>2377.6317279934</v>
      </c>
      <c r="R52" s="12" t="n">
        <f aca="false">IF(L52&gt;=Q52,1,0)</f>
        <v>0</v>
      </c>
      <c r="S52" s="13" t="n">
        <f aca="false">MIN(B52,PERMANENT_FIELD_LABOR_HOURS)*PERMANENT_HOURLY_RATE+MAX(0,B52-PERMANENT_FIELD_LABOR_HOURS)*TEMP_HOURLY_RATE</f>
        <v>20596.3076271891</v>
      </c>
      <c r="T52" s="13" t="n">
        <f aca="false">S52-S51</f>
        <v>1937.6317279934</v>
      </c>
      <c r="U52" s="13" t="n">
        <f aca="false">T52+I52</f>
        <v>2377.6317279934</v>
      </c>
      <c r="V52" s="12" t="n">
        <f aca="false">IF(L52&gt;=U52,1,0)</f>
        <v>0</v>
      </c>
    </row>
    <row r="53" customFormat="false" ht="15" hidden="false" customHeight="false" outlineLevel="0" collapsed="false">
      <c r="A53" s="12" t="n">
        <f aca="false">ROW()-ROW($A$38)</f>
        <v>15</v>
      </c>
      <c r="B53" s="14" t="n">
        <f aca="false">A53*CARROT_HRS_PER_WEEK_PER_BED*SEASON_WEEKS*(1+CARROT_DIM_RTRN_PCT)^A53</f>
        <v>651.47348125418</v>
      </c>
      <c r="C53" s="13" t="n">
        <f aca="false">B53*PERMANENT_HOURLY_RATE</f>
        <v>22619.1592691451</v>
      </c>
      <c r="D53" s="13" t="n">
        <f aca="false">B53*TEMP_HOURLY_RATE</f>
        <v>11309.5796345726</v>
      </c>
      <c r="E53" s="13" t="n">
        <f aca="false">A53*CARROT_FERTILIZER_PER_BED</f>
        <v>6600</v>
      </c>
      <c r="F53" s="14" t="n">
        <f aca="false">B53-B52</f>
        <v>58.2618560471217</v>
      </c>
      <c r="G53" s="13" t="n">
        <f aca="false">C53-C52</f>
        <v>2022.85164195607</v>
      </c>
      <c r="H53" s="13" t="n">
        <f aca="false">D53-D52</f>
        <v>1011.42582097803</v>
      </c>
      <c r="I53" s="13" t="n">
        <f aca="false">E53-E52</f>
        <v>440</v>
      </c>
      <c r="J53" s="13" t="n">
        <f aca="false">G53+I53</f>
        <v>2462.85164195607</v>
      </c>
      <c r="K53" s="13" t="n">
        <f aca="false">H53+I53</f>
        <v>1451.42582097803</v>
      </c>
      <c r="L53" s="13" t="n">
        <f aca="false">CARROT_REVENUE_PER_BED</f>
        <v>2094</v>
      </c>
      <c r="M53" s="12" t="n">
        <f aca="false">IF(L53&gt;=J53,1,0)</f>
        <v>0</v>
      </c>
      <c r="N53" s="12" t="n">
        <f aca="false">IF(L53&gt;=K53,1,0)</f>
        <v>1</v>
      </c>
      <c r="O53" s="13" t="n">
        <f aca="false">B53*CARROT_MC_RATE</f>
        <v>22619.1592691451</v>
      </c>
      <c r="P53" s="13" t="n">
        <f aca="false">O53-O52</f>
        <v>2022.85164195607</v>
      </c>
      <c r="Q53" s="13" t="n">
        <f aca="false">P53+I53</f>
        <v>2462.85164195607</v>
      </c>
      <c r="R53" s="12" t="n">
        <f aca="false">IF(L53&gt;=Q53,1,0)</f>
        <v>0</v>
      </c>
      <c r="S53" s="13" t="n">
        <f aca="false">MIN(B53,PERMANENT_FIELD_LABOR_HOURS)*PERMANENT_HOURLY_RATE+MAX(0,B53-PERMANENT_FIELD_LABOR_HOURS)*TEMP_HOURLY_RATE</f>
        <v>22619.1592691451</v>
      </c>
      <c r="T53" s="13" t="n">
        <f aca="false">S53-S52</f>
        <v>2022.85164195607</v>
      </c>
      <c r="U53" s="13" t="n">
        <f aca="false">T53+I53</f>
        <v>2462.85164195607</v>
      </c>
      <c r="V53" s="12" t="n">
        <f aca="false">IF(L53&gt;=U53,1,0)</f>
        <v>0</v>
      </c>
    </row>
    <row r="54" customFormat="false" ht="15" hidden="false" customHeight="false" outlineLevel="0" collapsed="false">
      <c r="A54" s="12" t="n">
        <f aca="false">ROW()-ROW($A$38)</f>
        <v>16</v>
      </c>
      <c r="B54" s="14" t="n">
        <f aca="false">A54*CARROT_HRS_PER_WEEK_PER_BED*SEASON_WEEKS*(1+CARROT_DIM_RTRN_PCT)^A54</f>
        <v>712.277672837903</v>
      </c>
      <c r="C54" s="13" t="n">
        <f aca="false">B54*PERMANENT_HOURLY_RATE</f>
        <v>24730.280800932</v>
      </c>
      <c r="D54" s="13" t="n">
        <f aca="false">B54*TEMP_HOURLY_RATE</f>
        <v>12365.140400466</v>
      </c>
      <c r="E54" s="13" t="n">
        <f aca="false">A54*CARROT_FERTILIZER_PER_BED</f>
        <v>7040</v>
      </c>
      <c r="F54" s="14" t="n">
        <f aca="false">B54-B53</f>
        <v>60.8041915837234</v>
      </c>
      <c r="G54" s="13" t="n">
        <f aca="false">C54-C53</f>
        <v>2111.12153178687</v>
      </c>
      <c r="H54" s="13" t="n">
        <f aca="false">D54-D53</f>
        <v>1055.56076589344</v>
      </c>
      <c r="I54" s="13" t="n">
        <f aca="false">E54-E53</f>
        <v>440</v>
      </c>
      <c r="J54" s="13" t="n">
        <f aca="false">G54+I54</f>
        <v>2551.12153178687</v>
      </c>
      <c r="K54" s="13" t="n">
        <f aca="false">H54+I54</f>
        <v>1495.56076589344</v>
      </c>
      <c r="L54" s="13" t="n">
        <f aca="false">CARROT_REVENUE_PER_BED</f>
        <v>2094</v>
      </c>
      <c r="M54" s="12" t="n">
        <f aca="false">IF(L54&gt;=J54,1,0)</f>
        <v>0</v>
      </c>
      <c r="N54" s="12" t="n">
        <f aca="false">IF(L54&gt;=K54,1,0)</f>
        <v>1</v>
      </c>
      <c r="O54" s="13" t="n">
        <f aca="false">B54*CARROT_MC_RATE</f>
        <v>24730.280800932</v>
      </c>
      <c r="P54" s="13" t="n">
        <f aca="false">O54-O53</f>
        <v>2111.12153178687</v>
      </c>
      <c r="Q54" s="13" t="n">
        <f aca="false">P54+I54</f>
        <v>2551.12153178687</v>
      </c>
      <c r="R54" s="12" t="n">
        <f aca="false">IF(L54&gt;=Q54,1,0)</f>
        <v>0</v>
      </c>
      <c r="S54" s="13" t="n">
        <f aca="false">MIN(B54,PERMANENT_FIELD_LABOR_HOURS)*PERMANENT_HOURLY_RATE+MAX(0,B54-PERMANENT_FIELD_LABOR_HOURS)*TEMP_HOURLY_RATE</f>
        <v>24730.280800932</v>
      </c>
      <c r="T54" s="13" t="n">
        <f aca="false">S54-S53</f>
        <v>2111.12153178687</v>
      </c>
      <c r="U54" s="13" t="n">
        <f aca="false">T54+I54</f>
        <v>2551.12153178687</v>
      </c>
      <c r="V54" s="12" t="n">
        <f aca="false">IF(L54&gt;=U54,1,0)</f>
        <v>0</v>
      </c>
    </row>
    <row r="55" customFormat="false" ht="15" hidden="false" customHeight="false" outlineLevel="0" collapsed="false">
      <c r="A55" s="12" t="n">
        <f aca="false">ROW()-ROW($A$38)</f>
        <v>17</v>
      </c>
      <c r="B55" s="14" t="n">
        <f aca="false">A55*CARROT_HRS_PER_WEEK_PER_BED*SEASON_WEEKS*(1+CARROT_DIM_RTRN_PCT)^A55</f>
        <v>775.714903075029</v>
      </c>
      <c r="C55" s="13" t="n">
        <f aca="false">B55*PERMANENT_HOURLY_RATE</f>
        <v>26932.821434765</v>
      </c>
      <c r="D55" s="13" t="n">
        <f aca="false">B55*TEMP_HOURLY_RATE</f>
        <v>13466.4107173825</v>
      </c>
      <c r="E55" s="13" t="n">
        <f aca="false">A55*CARROT_FERTILIZER_PER_BED</f>
        <v>7480</v>
      </c>
      <c r="F55" s="14" t="n">
        <f aca="false">B55-B54</f>
        <v>63.4372302371256</v>
      </c>
      <c r="G55" s="13" t="n">
        <f aca="false">C55-C54</f>
        <v>2202.540633833</v>
      </c>
      <c r="H55" s="13" t="n">
        <f aca="false">D55-D54</f>
        <v>1101.2703169165</v>
      </c>
      <c r="I55" s="13" t="n">
        <f aca="false">E55-E54</f>
        <v>440</v>
      </c>
      <c r="J55" s="13" t="n">
        <f aca="false">G55+I55</f>
        <v>2642.540633833</v>
      </c>
      <c r="K55" s="13" t="n">
        <f aca="false">H55+I55</f>
        <v>1541.2703169165</v>
      </c>
      <c r="L55" s="13" t="n">
        <f aca="false">CARROT_REVENUE_PER_BED</f>
        <v>2094</v>
      </c>
      <c r="M55" s="12" t="n">
        <f aca="false">IF(L55&gt;=J55,1,0)</f>
        <v>0</v>
      </c>
      <c r="N55" s="12" t="n">
        <f aca="false">IF(L55&gt;=K55,1,0)</f>
        <v>1</v>
      </c>
      <c r="O55" s="13" t="n">
        <f aca="false">B55*CARROT_MC_RATE</f>
        <v>26932.821434765</v>
      </c>
      <c r="P55" s="13" t="n">
        <f aca="false">O55-O54</f>
        <v>2202.540633833</v>
      </c>
      <c r="Q55" s="13" t="n">
        <f aca="false">P55+I55</f>
        <v>2642.540633833</v>
      </c>
      <c r="R55" s="12" t="n">
        <f aca="false">IF(L55&gt;=Q55,1,0)</f>
        <v>0</v>
      </c>
      <c r="S55" s="13" t="n">
        <f aca="false">MIN(B55,PERMANENT_FIELD_LABOR_HOURS)*PERMANENT_HOURLY_RATE+MAX(0,B55-PERMANENT_FIELD_LABOR_HOURS)*TEMP_HOURLY_RATE</f>
        <v>25965.6107173825</v>
      </c>
      <c r="T55" s="13" t="n">
        <f aca="false">S55-S54</f>
        <v>1235.3299164505</v>
      </c>
      <c r="U55" s="13" t="n">
        <f aca="false">T55+I55</f>
        <v>1675.3299164505</v>
      </c>
      <c r="V55" s="12" t="n">
        <f aca="false">IF(L55&gt;=U55,1,0)</f>
        <v>1</v>
      </c>
    </row>
    <row r="56" customFormat="false" ht="15" hidden="false" customHeight="false" outlineLevel="0" collapsed="false">
      <c r="A56" s="12" t="n">
        <f aca="false">ROW()-ROW($A$38)</f>
        <v>18</v>
      </c>
      <c r="B56" s="14" t="n">
        <f aca="false">A56*CARROT_HRS_PER_WEEK_PER_BED*SEASON_WEEKS*(1+CARROT_DIM_RTRN_PCT)^A56</f>
        <v>841.878821278487</v>
      </c>
      <c r="C56" s="13" t="n">
        <f aca="false">B56*PERMANENT_HOURLY_RATE</f>
        <v>29230.0326747891</v>
      </c>
      <c r="D56" s="13" t="n">
        <f aca="false">B56*TEMP_HOURLY_RATE</f>
        <v>14615.0163373945</v>
      </c>
      <c r="E56" s="13" t="n">
        <f aca="false">A56*CARROT_FERTILIZER_PER_BED</f>
        <v>7920</v>
      </c>
      <c r="F56" s="14" t="n">
        <f aca="false">B56-B55</f>
        <v>66.1639182034583</v>
      </c>
      <c r="G56" s="13" t="n">
        <f aca="false">C56-C55</f>
        <v>2297.21124002407</v>
      </c>
      <c r="H56" s="13" t="n">
        <f aca="false">D56-D55</f>
        <v>1148.60562001203</v>
      </c>
      <c r="I56" s="13" t="n">
        <f aca="false">E56-E55</f>
        <v>440</v>
      </c>
      <c r="J56" s="13" t="n">
        <f aca="false">G56+I56</f>
        <v>2737.21124002407</v>
      </c>
      <c r="K56" s="13" t="n">
        <f aca="false">H56+I56</f>
        <v>1588.60562001203</v>
      </c>
      <c r="L56" s="13" t="n">
        <f aca="false">CARROT_REVENUE_PER_BED</f>
        <v>2094</v>
      </c>
      <c r="M56" s="12" t="n">
        <f aca="false">IF(L56&gt;=J56,1,0)</f>
        <v>0</v>
      </c>
      <c r="N56" s="12" t="n">
        <f aca="false">IF(L56&gt;=K56,1,0)</f>
        <v>1</v>
      </c>
      <c r="O56" s="13" t="n">
        <f aca="false">B56*CARROT_MC_RATE</f>
        <v>29230.0326747891</v>
      </c>
      <c r="P56" s="13" t="n">
        <f aca="false">O56-O55</f>
        <v>2297.21124002407</v>
      </c>
      <c r="Q56" s="13" t="n">
        <f aca="false">P56+I56</f>
        <v>2737.21124002407</v>
      </c>
      <c r="R56" s="12" t="n">
        <f aca="false">IF(L56&gt;=Q56,1,0)</f>
        <v>0</v>
      </c>
      <c r="S56" s="13" t="n">
        <f aca="false">MIN(B56,PERMANENT_FIELD_LABOR_HOURS)*PERMANENT_HOURLY_RATE+MAX(0,B56-PERMANENT_FIELD_LABOR_HOURS)*TEMP_HOURLY_RATE</f>
        <v>27114.2163373945</v>
      </c>
      <c r="T56" s="13" t="n">
        <f aca="false">S56-S55</f>
        <v>1148.60562001203</v>
      </c>
      <c r="U56" s="13" t="n">
        <f aca="false">T56+I56</f>
        <v>1588.60562001203</v>
      </c>
      <c r="V56" s="12" t="n">
        <f aca="false">IF(L56&gt;=U56,1,0)</f>
        <v>1</v>
      </c>
    </row>
    <row r="57" customFormat="false" ht="15" hidden="false" customHeight="false" outlineLevel="0" collapsed="false">
      <c r="A57" s="12" t="n">
        <f aca="false">ROW()-ROW($A$38)</f>
        <v>19</v>
      </c>
      <c r="B57" s="14" t="n">
        <f aca="false">A57*CARROT_HRS_PER_WEEK_PER_BED*SEASON_WEEKS*(1+CARROT_DIM_RTRN_PCT)^A57</f>
        <v>910.866113577696</v>
      </c>
      <c r="C57" s="13" t="n">
        <f aca="false">B57*PERMANENT_HOURLY_RATE</f>
        <v>31625.2714634176</v>
      </c>
      <c r="D57" s="13" t="n">
        <f aca="false">B57*TEMP_HOURLY_RATE</f>
        <v>15812.6357317088</v>
      </c>
      <c r="E57" s="13" t="n">
        <f aca="false">A57*CARROT_FERTILIZER_PER_BED</f>
        <v>8360</v>
      </c>
      <c r="F57" s="14" t="n">
        <f aca="false">B57-B56</f>
        <v>68.9872922992093</v>
      </c>
      <c r="G57" s="13" t="n">
        <f aca="false">C57-C56</f>
        <v>2395.23878862855</v>
      </c>
      <c r="H57" s="13" t="n">
        <f aca="false">D57-D56</f>
        <v>1197.61939431428</v>
      </c>
      <c r="I57" s="13" t="n">
        <f aca="false">E57-E56</f>
        <v>440</v>
      </c>
      <c r="J57" s="13" t="n">
        <f aca="false">G57+I57</f>
        <v>2835.23878862855</v>
      </c>
      <c r="K57" s="13" t="n">
        <f aca="false">H57+I57</f>
        <v>1637.61939431428</v>
      </c>
      <c r="L57" s="13" t="n">
        <f aca="false">CARROT_REVENUE_PER_BED</f>
        <v>2094</v>
      </c>
      <c r="M57" s="12" t="n">
        <f aca="false">IF(L57&gt;=J57,1,0)</f>
        <v>0</v>
      </c>
      <c r="N57" s="12" t="n">
        <f aca="false">IF(L57&gt;=K57,1,0)</f>
        <v>1</v>
      </c>
      <c r="O57" s="13" t="n">
        <f aca="false">B57*CARROT_MC_RATE</f>
        <v>31625.2714634176</v>
      </c>
      <c r="P57" s="13" t="n">
        <f aca="false">O57-O56</f>
        <v>2395.23878862855</v>
      </c>
      <c r="Q57" s="13" t="n">
        <f aca="false">P57+I57</f>
        <v>2835.23878862855</v>
      </c>
      <c r="R57" s="12" t="n">
        <f aca="false">IF(L57&gt;=Q57,1,0)</f>
        <v>0</v>
      </c>
      <c r="S57" s="13" t="n">
        <f aca="false">MIN(B57,PERMANENT_FIELD_LABOR_HOURS)*PERMANENT_HOURLY_RATE+MAX(0,B57-PERMANENT_FIELD_LABOR_HOURS)*TEMP_HOURLY_RATE</f>
        <v>28311.8357317088</v>
      </c>
      <c r="T57" s="13" t="n">
        <f aca="false">S57-S56</f>
        <v>1197.61939431428</v>
      </c>
      <c r="U57" s="13" t="n">
        <f aca="false">T57+I57</f>
        <v>1637.61939431428</v>
      </c>
      <c r="V57" s="12" t="n">
        <f aca="false">IF(L57&gt;=U57,1,0)</f>
        <v>1</v>
      </c>
    </row>
    <row r="58" customFormat="false" ht="15" hidden="false" customHeight="false" outlineLevel="0" collapsed="false">
      <c r="A58" s="12" t="n">
        <f aca="false">ROW()-ROW($A$38)</f>
        <v>20</v>
      </c>
      <c r="B58" s="14" t="n">
        <f aca="false">A58*CARROT_HRS_PER_WEEK_PER_BED*SEASON_WEEKS*(1+CARROT_DIM_RTRN_PCT)^A58</f>
        <v>982.776596228567</v>
      </c>
      <c r="C58" s="13" t="n">
        <f aca="false">B58*PERMANENT_HOURLY_RATE</f>
        <v>34122.0034210558</v>
      </c>
      <c r="D58" s="13" t="n">
        <f aca="false">B58*TEMP_HOURLY_RATE</f>
        <v>17061.0017105279</v>
      </c>
      <c r="E58" s="13" t="n">
        <f aca="false">A58*CARROT_FERTILIZER_PER_BED</f>
        <v>8800</v>
      </c>
      <c r="F58" s="14" t="n">
        <f aca="false">B58-B57</f>
        <v>71.9104826508706</v>
      </c>
      <c r="G58" s="13" t="n">
        <f aca="false">C58-C57</f>
        <v>2496.73195763822</v>
      </c>
      <c r="H58" s="13" t="n">
        <f aca="false">D58-D57</f>
        <v>1248.36597881911</v>
      </c>
      <c r="I58" s="13" t="n">
        <f aca="false">E58-E57</f>
        <v>440</v>
      </c>
      <c r="J58" s="13" t="n">
        <f aca="false">G58+I58</f>
        <v>2936.73195763822</v>
      </c>
      <c r="K58" s="13" t="n">
        <f aca="false">H58+I58</f>
        <v>1688.36597881911</v>
      </c>
      <c r="L58" s="13" t="n">
        <f aca="false">CARROT_REVENUE_PER_BED</f>
        <v>2094</v>
      </c>
      <c r="M58" s="12" t="n">
        <f aca="false">IF(L58&gt;=J58,1,0)</f>
        <v>0</v>
      </c>
      <c r="N58" s="12" t="n">
        <f aca="false">IF(L58&gt;=K58,1,0)</f>
        <v>1</v>
      </c>
      <c r="O58" s="13" t="n">
        <f aca="false">B58*CARROT_MC_RATE</f>
        <v>34122.0034210558</v>
      </c>
      <c r="P58" s="13" t="n">
        <f aca="false">O58-O57</f>
        <v>2496.73195763822</v>
      </c>
      <c r="Q58" s="13" t="n">
        <f aca="false">P58+I58</f>
        <v>2936.73195763822</v>
      </c>
      <c r="R58" s="12" t="n">
        <f aca="false">IF(L58&gt;=Q58,1,0)</f>
        <v>0</v>
      </c>
      <c r="S58" s="13" t="n">
        <f aca="false">MIN(B58,PERMANENT_FIELD_LABOR_HOURS)*PERMANENT_HOURLY_RATE+MAX(0,B58-PERMANENT_FIELD_LABOR_HOURS)*TEMP_HOURLY_RATE</f>
        <v>29560.2017105279</v>
      </c>
      <c r="T58" s="13" t="n">
        <f aca="false">S58-S57</f>
        <v>1248.36597881911</v>
      </c>
      <c r="U58" s="13" t="n">
        <f aca="false">T58+I58</f>
        <v>1688.36597881911</v>
      </c>
      <c r="V58" s="12" t="n">
        <f aca="false">IF(L58&gt;=U58,1,0)</f>
        <v>1</v>
      </c>
    </row>
    <row r="61" customFormat="false" ht="15" hidden="false" customHeight="false" outlineLevel="0" collapsed="false">
      <c r="A61" s="18" t="s">
        <v>512</v>
      </c>
      <c r="C61" s="39" t="s">
        <v>513</v>
      </c>
    </row>
    <row r="62" customFormat="false" ht="55.2" hidden="false" customHeight="false" outlineLevel="0" collapsed="false">
      <c r="A62" s="6" t="s">
        <v>488</v>
      </c>
      <c r="B62" s="6" t="s">
        <v>431</v>
      </c>
      <c r="C62" s="6" t="s">
        <v>489</v>
      </c>
      <c r="D62" s="6" t="s">
        <v>490</v>
      </c>
      <c r="E62" s="6" t="s">
        <v>491</v>
      </c>
      <c r="F62" s="6" t="s">
        <v>492</v>
      </c>
      <c r="G62" s="6" t="s">
        <v>493</v>
      </c>
      <c r="H62" s="6" t="s">
        <v>494</v>
      </c>
      <c r="I62" s="6" t="s">
        <v>495</v>
      </c>
      <c r="J62" s="6" t="s">
        <v>496</v>
      </c>
      <c r="K62" s="6" t="s">
        <v>497</v>
      </c>
      <c r="L62" s="6" t="s">
        <v>498</v>
      </c>
      <c r="M62" s="6" t="s">
        <v>499</v>
      </c>
      <c r="N62" s="6" t="s">
        <v>500</v>
      </c>
      <c r="O62" s="6" t="s">
        <v>501</v>
      </c>
      <c r="P62" s="6" t="s">
        <v>502</v>
      </c>
      <c r="Q62" s="6" t="s">
        <v>503</v>
      </c>
      <c r="R62" s="6" t="s">
        <v>504</v>
      </c>
      <c r="S62" s="6" t="s">
        <v>505</v>
      </c>
      <c r="T62" s="6" t="s">
        <v>506</v>
      </c>
      <c r="U62" s="6" t="s">
        <v>507</v>
      </c>
      <c r="V62" s="6" t="s">
        <v>508</v>
      </c>
    </row>
    <row r="63" customFormat="false" ht="15" hidden="false" customHeight="false" outlineLevel="0" collapsed="false">
      <c r="A63" s="12" t="n">
        <f aca="false">ROW()-ROW($A$63)</f>
        <v>0</v>
      </c>
      <c r="B63" s="14" t="n">
        <f aca="false">A63*MESCLUN_HRS_PER_WEEK_PER_BED*SEASON_WEEKS*(1+MESCLUN_DIM_RTRN_PCT)^A63</f>
        <v>0</v>
      </c>
      <c r="C63" s="13" t="n">
        <f aca="false">B63*PERMANENT_HOURLY_RATE</f>
        <v>0</v>
      </c>
      <c r="D63" s="13" t="n">
        <f aca="false">B63*TEMP_HOURLY_RATE</f>
        <v>0</v>
      </c>
      <c r="E63" s="13" t="n">
        <f aca="false">A63*MESCLUN_FERTILIZER_PER_BED</f>
        <v>0</v>
      </c>
      <c r="F63" s="40" t="s">
        <v>509</v>
      </c>
      <c r="G63" s="40" t="s">
        <v>509</v>
      </c>
      <c r="H63" s="40" t="s">
        <v>509</v>
      </c>
      <c r="I63" s="40" t="s">
        <v>509</v>
      </c>
      <c r="J63" s="40" t="s">
        <v>509</v>
      </c>
      <c r="K63" s="40" t="s">
        <v>509</v>
      </c>
      <c r="L63" s="13" t="n">
        <f aca="false">MESCLUN_REVENUE_PER_BED</f>
        <v>2700</v>
      </c>
      <c r="M63" s="40" t="s">
        <v>509</v>
      </c>
      <c r="N63" s="40" t="s">
        <v>509</v>
      </c>
      <c r="O63" s="13" t="n">
        <f aca="false">B63*MESCLUN_MC_RATE</f>
        <v>0</v>
      </c>
      <c r="P63" s="40" t="s">
        <v>509</v>
      </c>
      <c r="Q63" s="40" t="s">
        <v>509</v>
      </c>
      <c r="R63" s="40" t="s">
        <v>509</v>
      </c>
      <c r="S63" s="13" t="n">
        <f aca="false">MIN(B63,PERMANENT_FIELD_LABOR_HOURS)*PERMANENT_HOURLY_RATE+MAX(0,B63-PERMANENT_FIELD_LABOR_HOURS)*TEMP_HOURLY_RATE</f>
        <v>0</v>
      </c>
      <c r="T63" s="40" t="s">
        <v>509</v>
      </c>
      <c r="U63" s="40" t="s">
        <v>509</v>
      </c>
      <c r="V63" s="40" t="s">
        <v>509</v>
      </c>
    </row>
    <row r="64" customFormat="false" ht="15" hidden="false" customHeight="false" outlineLevel="0" collapsed="false">
      <c r="A64" s="12" t="n">
        <f aca="false">ROW()-ROW($A$63)</f>
        <v>1</v>
      </c>
      <c r="B64" s="14" t="n">
        <f aca="false">A64*MESCLUN_HRS_PER_WEEK_PER_BED*SEASON_WEEKS*(1+MESCLUN_DIM_RTRN_PCT)^A64</f>
        <v>45.5625</v>
      </c>
      <c r="C64" s="13" t="n">
        <f aca="false">B64*PERMANENT_HOURLY_RATE</f>
        <v>1581.93</v>
      </c>
      <c r="D64" s="13" t="n">
        <f aca="false">B64*TEMP_HOURLY_RATE</f>
        <v>790.965</v>
      </c>
      <c r="E64" s="13" t="n">
        <f aca="false">A64*MESCLUN_FERTILIZER_PER_BED</f>
        <v>880</v>
      </c>
      <c r="F64" s="14" t="n">
        <f aca="false">B64-B63</f>
        <v>45.5625</v>
      </c>
      <c r="G64" s="13" t="n">
        <f aca="false">C64-C63</f>
        <v>1581.93</v>
      </c>
      <c r="H64" s="13" t="n">
        <f aca="false">D64-D63</f>
        <v>790.965</v>
      </c>
      <c r="I64" s="13" t="n">
        <f aca="false">E64-E63</f>
        <v>880</v>
      </c>
      <c r="J64" s="13" t="n">
        <f aca="false">G64+I64</f>
        <v>2461.93</v>
      </c>
      <c r="K64" s="13" t="n">
        <f aca="false">H64+I64</f>
        <v>1670.965</v>
      </c>
      <c r="L64" s="13" t="n">
        <f aca="false">MESCLUN_REVENUE_PER_BED</f>
        <v>2700</v>
      </c>
      <c r="M64" s="12" t="n">
        <f aca="false">IF(L64&gt;=J64,1,0)</f>
        <v>1</v>
      </c>
      <c r="N64" s="12" t="n">
        <f aca="false">IF(L64&gt;=K64,1,0)</f>
        <v>1</v>
      </c>
      <c r="O64" s="13" t="n">
        <f aca="false">B64*MESCLUN_MC_RATE</f>
        <v>1581.93</v>
      </c>
      <c r="P64" s="13" t="n">
        <f aca="false">O64-O63</f>
        <v>1581.93</v>
      </c>
      <c r="Q64" s="13" t="n">
        <f aca="false">P64+I64</f>
        <v>2461.93</v>
      </c>
      <c r="R64" s="12" t="n">
        <f aca="false">IF(L64&gt;=Q64,1,0)</f>
        <v>1</v>
      </c>
      <c r="S64" s="13" t="n">
        <f aca="false">MIN(B64,PERMANENT_FIELD_LABOR_HOURS)*PERMANENT_HOURLY_RATE+MAX(0,B64-PERMANENT_FIELD_LABOR_HOURS)*TEMP_HOURLY_RATE</f>
        <v>1581.93</v>
      </c>
      <c r="T64" s="13" t="n">
        <f aca="false">S64-S63</f>
        <v>1581.93</v>
      </c>
      <c r="U64" s="13" t="n">
        <f aca="false">T64+I64</f>
        <v>2461.93</v>
      </c>
      <c r="V64" s="12" t="n">
        <f aca="false">IF(L64&gt;=U64,1,0)</f>
        <v>1</v>
      </c>
    </row>
    <row r="65" customFormat="false" ht="15" hidden="false" customHeight="false" outlineLevel="0" collapsed="false">
      <c r="A65" s="12" t="n">
        <f aca="false">ROW()-ROW($A$63)</f>
        <v>2</v>
      </c>
      <c r="B65" s="14" t="n">
        <f aca="false">A65*MESCLUN_HRS_PER_WEEK_PER_BED*SEASON_WEEKS*(1+MESCLUN_DIM_RTRN_PCT)^A65</f>
        <v>92.2640625</v>
      </c>
      <c r="C65" s="13" t="n">
        <f aca="false">B65*PERMANENT_HOURLY_RATE</f>
        <v>3203.40825</v>
      </c>
      <c r="D65" s="13" t="n">
        <f aca="false">B65*TEMP_HOURLY_RATE</f>
        <v>1601.704125</v>
      </c>
      <c r="E65" s="13" t="n">
        <f aca="false">A65*MESCLUN_FERTILIZER_PER_BED</f>
        <v>1760</v>
      </c>
      <c r="F65" s="14" t="n">
        <f aca="false">B65-B64</f>
        <v>46.7015625</v>
      </c>
      <c r="G65" s="13" t="n">
        <f aca="false">C65-C64</f>
        <v>1621.47825</v>
      </c>
      <c r="H65" s="13" t="n">
        <f aca="false">D65-D64</f>
        <v>810.739125</v>
      </c>
      <c r="I65" s="13" t="n">
        <f aca="false">E65-E64</f>
        <v>880</v>
      </c>
      <c r="J65" s="13" t="n">
        <f aca="false">G65+I65</f>
        <v>2501.47825</v>
      </c>
      <c r="K65" s="13" t="n">
        <f aca="false">H65+I65</f>
        <v>1690.739125</v>
      </c>
      <c r="L65" s="13" t="n">
        <f aca="false">MESCLUN_REVENUE_PER_BED</f>
        <v>2700</v>
      </c>
      <c r="M65" s="12" t="n">
        <f aca="false">IF(L65&gt;=J65,1,0)</f>
        <v>1</v>
      </c>
      <c r="N65" s="12" t="n">
        <f aca="false">IF(L65&gt;=K65,1,0)</f>
        <v>1</v>
      </c>
      <c r="O65" s="13" t="n">
        <f aca="false">B65*MESCLUN_MC_RATE</f>
        <v>3203.40825</v>
      </c>
      <c r="P65" s="13" t="n">
        <f aca="false">O65-O64</f>
        <v>1621.47825</v>
      </c>
      <c r="Q65" s="13" t="n">
        <f aca="false">P65+I65</f>
        <v>2501.47825</v>
      </c>
      <c r="R65" s="12" t="n">
        <f aca="false">IF(L65&gt;=Q65,1,0)</f>
        <v>1</v>
      </c>
      <c r="S65" s="13" t="n">
        <f aca="false">MIN(B65,PERMANENT_FIELD_LABOR_HOURS)*PERMANENT_HOURLY_RATE+MAX(0,B65-PERMANENT_FIELD_LABOR_HOURS)*TEMP_HOURLY_RATE</f>
        <v>3203.40825</v>
      </c>
      <c r="T65" s="13" t="n">
        <f aca="false">S65-S64</f>
        <v>1621.47825</v>
      </c>
      <c r="U65" s="13" t="n">
        <f aca="false">T65+I65</f>
        <v>2501.47825</v>
      </c>
      <c r="V65" s="12" t="n">
        <f aca="false">IF(L65&gt;=U65,1,0)</f>
        <v>1</v>
      </c>
    </row>
    <row r="66" customFormat="false" ht="15" hidden="false" customHeight="false" outlineLevel="0" collapsed="false">
      <c r="A66" s="12" t="n">
        <f aca="false">ROW()-ROW($A$63)</f>
        <v>3</v>
      </c>
      <c r="B66" s="14" t="n">
        <f aca="false">A66*MESCLUN_HRS_PER_WEEK_PER_BED*SEASON_WEEKS*(1+MESCLUN_DIM_RTRN_PCT)^A66</f>
        <v>140.126044921875</v>
      </c>
      <c r="C66" s="13" t="n">
        <f aca="false">B66*PERMANENT_HOURLY_RATE</f>
        <v>4865.1762796875</v>
      </c>
      <c r="D66" s="13" t="n">
        <f aca="false">B66*TEMP_HOURLY_RATE</f>
        <v>2432.58813984375</v>
      </c>
      <c r="E66" s="13" t="n">
        <f aca="false">A66*MESCLUN_FERTILIZER_PER_BED</f>
        <v>2640</v>
      </c>
      <c r="F66" s="14" t="n">
        <f aca="false">B66-B65</f>
        <v>47.861982421875</v>
      </c>
      <c r="G66" s="13" t="n">
        <f aca="false">C66-C65</f>
        <v>1661.7680296875</v>
      </c>
      <c r="H66" s="13" t="n">
        <f aca="false">D66-D65</f>
        <v>830.88401484375</v>
      </c>
      <c r="I66" s="13" t="n">
        <f aca="false">E66-E65</f>
        <v>880</v>
      </c>
      <c r="J66" s="13" t="n">
        <f aca="false">G66+I66</f>
        <v>2541.7680296875</v>
      </c>
      <c r="K66" s="13" t="n">
        <f aca="false">H66+I66</f>
        <v>1710.88401484375</v>
      </c>
      <c r="L66" s="13" t="n">
        <f aca="false">MESCLUN_REVENUE_PER_BED</f>
        <v>2700</v>
      </c>
      <c r="M66" s="12" t="n">
        <f aca="false">IF(L66&gt;=J66,1,0)</f>
        <v>1</v>
      </c>
      <c r="N66" s="12" t="n">
        <f aca="false">IF(L66&gt;=K66,1,0)</f>
        <v>1</v>
      </c>
      <c r="O66" s="13" t="n">
        <f aca="false">B66*MESCLUN_MC_RATE</f>
        <v>4865.1762796875</v>
      </c>
      <c r="P66" s="13" t="n">
        <f aca="false">O66-O65</f>
        <v>1661.7680296875</v>
      </c>
      <c r="Q66" s="13" t="n">
        <f aca="false">P66+I66</f>
        <v>2541.7680296875</v>
      </c>
      <c r="R66" s="12" t="n">
        <f aca="false">IF(L66&gt;=Q66,1,0)</f>
        <v>1</v>
      </c>
      <c r="S66" s="13" t="n">
        <f aca="false">MIN(B66,PERMANENT_FIELD_LABOR_HOURS)*PERMANENT_HOURLY_RATE+MAX(0,B66-PERMANENT_FIELD_LABOR_HOURS)*TEMP_HOURLY_RATE</f>
        <v>4865.1762796875</v>
      </c>
      <c r="T66" s="13" t="n">
        <f aca="false">S66-S65</f>
        <v>1661.7680296875</v>
      </c>
      <c r="U66" s="13" t="n">
        <f aca="false">T66+I66</f>
        <v>2541.7680296875</v>
      </c>
      <c r="V66" s="12" t="n">
        <f aca="false">IF(L66&gt;=U66,1,0)</f>
        <v>1</v>
      </c>
    </row>
    <row r="67" customFormat="false" ht="15" hidden="false" customHeight="false" outlineLevel="0" collapsed="false">
      <c r="A67" s="12" t="n">
        <f aca="false">ROW()-ROW($A$63)</f>
        <v>4</v>
      </c>
      <c r="B67" s="14" t="n">
        <f aca="false">A67*MESCLUN_HRS_PER_WEEK_PER_BED*SEASON_WEEKS*(1+MESCLUN_DIM_RTRN_PCT)^A67</f>
        <v>189.170160644531</v>
      </c>
      <c r="C67" s="13" t="n">
        <f aca="false">B67*PERMANENT_HOURLY_RATE</f>
        <v>6567.98797757812</v>
      </c>
      <c r="D67" s="13" t="n">
        <f aca="false">B67*TEMP_HOURLY_RATE</f>
        <v>3283.99398878906</v>
      </c>
      <c r="E67" s="13" t="n">
        <f aca="false">A67*MESCLUN_FERTILIZER_PER_BED</f>
        <v>3520</v>
      </c>
      <c r="F67" s="14" t="n">
        <f aca="false">B67-B66</f>
        <v>49.0441157226562</v>
      </c>
      <c r="G67" s="13" t="n">
        <f aca="false">C67-C66</f>
        <v>1702.81169789062</v>
      </c>
      <c r="H67" s="13" t="n">
        <f aca="false">D67-D66</f>
        <v>851.405848945312</v>
      </c>
      <c r="I67" s="13" t="n">
        <f aca="false">E67-E66</f>
        <v>880</v>
      </c>
      <c r="J67" s="13" t="n">
        <f aca="false">G67+I67</f>
        <v>2582.81169789062</v>
      </c>
      <c r="K67" s="13" t="n">
        <f aca="false">H67+I67</f>
        <v>1731.40584894531</v>
      </c>
      <c r="L67" s="13" t="n">
        <f aca="false">MESCLUN_REVENUE_PER_BED</f>
        <v>2700</v>
      </c>
      <c r="M67" s="12" t="n">
        <f aca="false">IF(L67&gt;=J67,1,0)</f>
        <v>1</v>
      </c>
      <c r="N67" s="12" t="n">
        <f aca="false">IF(L67&gt;=K67,1,0)</f>
        <v>1</v>
      </c>
      <c r="O67" s="13" t="n">
        <f aca="false">B67*MESCLUN_MC_RATE</f>
        <v>6567.98797757812</v>
      </c>
      <c r="P67" s="13" t="n">
        <f aca="false">O67-O66</f>
        <v>1702.81169789062</v>
      </c>
      <c r="Q67" s="13" t="n">
        <f aca="false">P67+I67</f>
        <v>2582.81169789062</v>
      </c>
      <c r="R67" s="12" t="n">
        <f aca="false">IF(L67&gt;=Q67,1,0)</f>
        <v>1</v>
      </c>
      <c r="S67" s="13" t="n">
        <f aca="false">MIN(B67,PERMANENT_FIELD_LABOR_HOURS)*PERMANENT_HOURLY_RATE+MAX(0,B67-PERMANENT_FIELD_LABOR_HOURS)*TEMP_HOURLY_RATE</f>
        <v>6567.98797757812</v>
      </c>
      <c r="T67" s="13" t="n">
        <f aca="false">S67-S66</f>
        <v>1702.81169789062</v>
      </c>
      <c r="U67" s="13" t="n">
        <f aca="false">T67+I67</f>
        <v>2582.81169789062</v>
      </c>
      <c r="V67" s="12" t="n">
        <f aca="false">IF(L67&gt;=U67,1,0)</f>
        <v>1</v>
      </c>
    </row>
    <row r="68" customFormat="false" ht="15" hidden="false" customHeight="false" outlineLevel="0" collapsed="false">
      <c r="A68" s="12" t="n">
        <f aca="false">ROW()-ROW($A$63)</f>
        <v>5</v>
      </c>
      <c r="B68" s="14" t="n">
        <f aca="false">A68*MESCLUN_HRS_PER_WEEK_PER_BED*SEASON_WEEKS*(1+MESCLUN_DIM_RTRN_PCT)^A68</f>
        <v>239.418484565735</v>
      </c>
      <c r="C68" s="13" t="n">
        <f aca="false">B68*PERMANENT_HOURLY_RATE</f>
        <v>8312.60978412231</v>
      </c>
      <c r="D68" s="13" t="n">
        <f aca="false">B68*TEMP_HOURLY_RATE</f>
        <v>4156.30489206116</v>
      </c>
      <c r="E68" s="13" t="n">
        <f aca="false">A68*MESCLUN_FERTILIZER_PER_BED</f>
        <v>4400</v>
      </c>
      <c r="F68" s="14" t="n">
        <f aca="false">B68-B67</f>
        <v>50.2483239212036</v>
      </c>
      <c r="G68" s="13" t="n">
        <f aca="false">C68-C67</f>
        <v>1744.62180654419</v>
      </c>
      <c r="H68" s="13" t="n">
        <f aca="false">D68-D67</f>
        <v>872.310903272095</v>
      </c>
      <c r="I68" s="13" t="n">
        <f aca="false">E68-E67</f>
        <v>880</v>
      </c>
      <c r="J68" s="13" t="n">
        <f aca="false">G68+I68</f>
        <v>2624.62180654419</v>
      </c>
      <c r="K68" s="13" t="n">
        <f aca="false">H68+I68</f>
        <v>1752.3109032721</v>
      </c>
      <c r="L68" s="13" t="n">
        <f aca="false">MESCLUN_REVENUE_PER_BED</f>
        <v>2700</v>
      </c>
      <c r="M68" s="12" t="n">
        <f aca="false">IF(L68&gt;=J68,1,0)</f>
        <v>1</v>
      </c>
      <c r="N68" s="12" t="n">
        <f aca="false">IF(L68&gt;=K68,1,0)</f>
        <v>1</v>
      </c>
      <c r="O68" s="13" t="n">
        <f aca="false">B68*MESCLUN_MC_RATE</f>
        <v>8312.60978412231</v>
      </c>
      <c r="P68" s="13" t="n">
        <f aca="false">O68-O67</f>
        <v>1744.62180654419</v>
      </c>
      <c r="Q68" s="13" t="n">
        <f aca="false">P68+I68</f>
        <v>2624.62180654419</v>
      </c>
      <c r="R68" s="12" t="n">
        <f aca="false">IF(L68&gt;=Q68,1,0)</f>
        <v>1</v>
      </c>
      <c r="S68" s="13" t="n">
        <f aca="false">MIN(B68,PERMANENT_FIELD_LABOR_HOURS)*PERMANENT_HOURLY_RATE+MAX(0,B68-PERMANENT_FIELD_LABOR_HOURS)*TEMP_HOURLY_RATE</f>
        <v>8312.60978412231</v>
      </c>
      <c r="T68" s="13" t="n">
        <f aca="false">S68-S67</f>
        <v>1744.62180654419</v>
      </c>
      <c r="U68" s="13" t="n">
        <f aca="false">T68+I68</f>
        <v>2624.62180654419</v>
      </c>
      <c r="V68" s="12" t="n">
        <f aca="false">IF(L68&gt;=U68,1,0)</f>
        <v>1</v>
      </c>
    </row>
    <row r="69" customFormat="false" ht="15" hidden="false" customHeight="false" outlineLevel="0" collapsed="false">
      <c r="A69" s="12" t="n">
        <f aca="false">ROW()-ROW($A$63)</f>
        <v>6</v>
      </c>
      <c r="B69" s="14" t="n">
        <f aca="false">A69*MESCLUN_HRS_PER_WEEK_PER_BED*SEASON_WEEKS*(1+MESCLUN_DIM_RTRN_PCT)^A69</f>
        <v>290.893458747368</v>
      </c>
      <c r="C69" s="13" t="n">
        <f aca="false">B69*PERMANENT_HOURLY_RATE</f>
        <v>10099.8208877086</v>
      </c>
      <c r="D69" s="13" t="n">
        <f aca="false">B69*TEMP_HOURLY_RATE</f>
        <v>5049.9104438543</v>
      </c>
      <c r="E69" s="13" t="n">
        <f aca="false">A69*MESCLUN_FERTILIZER_PER_BED</f>
        <v>5280</v>
      </c>
      <c r="F69" s="14" t="n">
        <f aca="false">B69-B68</f>
        <v>51.4749741816329</v>
      </c>
      <c r="G69" s="13" t="n">
        <f aca="false">C69-C68</f>
        <v>1787.21110358629</v>
      </c>
      <c r="H69" s="13" t="n">
        <f aca="false">D69-D68</f>
        <v>893.605551793147</v>
      </c>
      <c r="I69" s="13" t="n">
        <f aca="false">E69-E68</f>
        <v>880</v>
      </c>
      <c r="J69" s="13" t="n">
        <f aca="false">G69+I69</f>
        <v>2667.21110358629</v>
      </c>
      <c r="K69" s="13" t="n">
        <f aca="false">H69+I69</f>
        <v>1773.60555179315</v>
      </c>
      <c r="L69" s="13" t="n">
        <f aca="false">MESCLUN_REVENUE_PER_BED</f>
        <v>2700</v>
      </c>
      <c r="M69" s="12" t="n">
        <f aca="false">IF(L69&gt;=J69,1,0)</f>
        <v>1</v>
      </c>
      <c r="N69" s="12" t="n">
        <f aca="false">IF(L69&gt;=K69,1,0)</f>
        <v>1</v>
      </c>
      <c r="O69" s="13" t="n">
        <f aca="false">B69*MESCLUN_MC_RATE</f>
        <v>10099.8208877086</v>
      </c>
      <c r="P69" s="13" t="n">
        <f aca="false">O69-O68</f>
        <v>1787.21110358629</v>
      </c>
      <c r="Q69" s="13" t="n">
        <f aca="false">P69+I69</f>
        <v>2667.21110358629</v>
      </c>
      <c r="R69" s="12" t="n">
        <f aca="false">IF(L69&gt;=Q69,1,0)</f>
        <v>1</v>
      </c>
      <c r="S69" s="13" t="n">
        <f aca="false">MIN(B69,PERMANENT_FIELD_LABOR_HOURS)*PERMANENT_HOURLY_RATE+MAX(0,B69-PERMANENT_FIELD_LABOR_HOURS)*TEMP_HOURLY_RATE</f>
        <v>10099.8208877086</v>
      </c>
      <c r="T69" s="13" t="n">
        <f aca="false">S69-S68</f>
        <v>1787.21110358629</v>
      </c>
      <c r="U69" s="13" t="n">
        <f aca="false">T69+I69</f>
        <v>2667.21110358629</v>
      </c>
      <c r="V69" s="12" t="n">
        <f aca="false">IF(L69&gt;=U69,1,0)</f>
        <v>1</v>
      </c>
    </row>
    <row r="70" customFormat="false" ht="15" hidden="false" customHeight="false" outlineLevel="0" collapsed="false">
      <c r="A70" s="12" t="n">
        <f aca="false">ROW()-ROW($A$63)</f>
        <v>7</v>
      </c>
      <c r="B70" s="14" t="n">
        <f aca="false">A70*MESCLUN_HRS_PER_WEEK_PER_BED*SEASON_WEEKS*(1+MESCLUN_DIM_RTRN_PCT)^A70</f>
        <v>343.617898145328</v>
      </c>
      <c r="C70" s="13" t="n">
        <f aca="false">B70*PERMANENT_HOURLY_RATE</f>
        <v>11930.4134236058</v>
      </c>
      <c r="D70" s="13" t="n">
        <f aca="false">B70*TEMP_HOURLY_RATE</f>
        <v>5965.2067118029</v>
      </c>
      <c r="E70" s="13" t="n">
        <f aca="false">A70*MESCLUN_FERTILIZER_PER_BED</f>
        <v>6160</v>
      </c>
      <c r="F70" s="14" t="n">
        <f aca="false">B70-B69</f>
        <v>52.7244393979605</v>
      </c>
      <c r="G70" s="13" t="n">
        <f aca="false">C70-C69</f>
        <v>1830.59253589719</v>
      </c>
      <c r="H70" s="13" t="n">
        <f aca="false">D70-D69</f>
        <v>915.296267948594</v>
      </c>
      <c r="I70" s="13" t="n">
        <f aca="false">E70-E69</f>
        <v>880</v>
      </c>
      <c r="J70" s="13" t="n">
        <f aca="false">G70+I70</f>
        <v>2710.59253589719</v>
      </c>
      <c r="K70" s="13" t="n">
        <f aca="false">H70+I70</f>
        <v>1795.29626794859</v>
      </c>
      <c r="L70" s="13" t="n">
        <f aca="false">MESCLUN_REVENUE_PER_BED</f>
        <v>2700</v>
      </c>
      <c r="M70" s="12" t="n">
        <f aca="false">IF(L70&gt;=J70,1,0)</f>
        <v>0</v>
      </c>
      <c r="N70" s="12" t="n">
        <f aca="false">IF(L70&gt;=K70,1,0)</f>
        <v>1</v>
      </c>
      <c r="O70" s="13" t="n">
        <f aca="false">B70*MESCLUN_MC_RATE</f>
        <v>11930.4134236058</v>
      </c>
      <c r="P70" s="13" t="n">
        <f aca="false">O70-O69</f>
        <v>1830.59253589719</v>
      </c>
      <c r="Q70" s="13" t="n">
        <f aca="false">P70+I70</f>
        <v>2710.59253589719</v>
      </c>
      <c r="R70" s="12" t="n">
        <f aca="false">IF(L70&gt;=Q70,1,0)</f>
        <v>0</v>
      </c>
      <c r="S70" s="13" t="n">
        <f aca="false">MIN(B70,PERMANENT_FIELD_LABOR_HOURS)*PERMANENT_HOURLY_RATE+MAX(0,B70-PERMANENT_FIELD_LABOR_HOURS)*TEMP_HOURLY_RATE</f>
        <v>11930.4134236058</v>
      </c>
      <c r="T70" s="13" t="n">
        <f aca="false">S70-S69</f>
        <v>1830.59253589719</v>
      </c>
      <c r="U70" s="13" t="n">
        <f aca="false">T70+I70</f>
        <v>2710.59253589719</v>
      </c>
      <c r="V70" s="12" t="n">
        <f aca="false">IF(L70&gt;=U70,1,0)</f>
        <v>0</v>
      </c>
    </row>
    <row r="71" customFormat="false" ht="15" hidden="false" customHeight="false" outlineLevel="0" collapsed="false">
      <c r="A71" s="12" t="n">
        <f aca="false">ROW()-ROW($A$63)</f>
        <v>8</v>
      </c>
      <c r="B71" s="14" t="n">
        <f aca="false">A71*MESCLUN_HRS_PER_WEEK_PER_BED*SEASON_WEEKS*(1+MESCLUN_DIM_RTRN_PCT)^A71</f>
        <v>397.614996425308</v>
      </c>
      <c r="C71" s="13" t="n">
        <f aca="false">B71*PERMANENT_HOURLY_RATE</f>
        <v>13805.1926758867</v>
      </c>
      <c r="D71" s="13" t="n">
        <f aca="false">B71*TEMP_HOURLY_RATE</f>
        <v>6902.59633794335</v>
      </c>
      <c r="E71" s="13" t="n">
        <f aca="false">A71*MESCLUN_FERTILIZER_PER_BED</f>
        <v>7040</v>
      </c>
      <c r="F71" s="14" t="n">
        <f aca="false">B71-B70</f>
        <v>53.9970982799802</v>
      </c>
      <c r="G71" s="13" t="n">
        <f aca="false">C71-C70</f>
        <v>1874.77925228091</v>
      </c>
      <c r="H71" s="13" t="n">
        <f aca="false">D71-D70</f>
        <v>937.389626140455</v>
      </c>
      <c r="I71" s="13" t="n">
        <f aca="false">E71-E70</f>
        <v>880</v>
      </c>
      <c r="J71" s="13" t="n">
        <f aca="false">G71+I71</f>
        <v>2754.77925228091</v>
      </c>
      <c r="K71" s="13" t="n">
        <f aca="false">H71+I71</f>
        <v>1817.38962614046</v>
      </c>
      <c r="L71" s="13" t="n">
        <f aca="false">MESCLUN_REVENUE_PER_BED</f>
        <v>2700</v>
      </c>
      <c r="M71" s="12" t="n">
        <f aca="false">IF(L71&gt;=J71,1,0)</f>
        <v>0</v>
      </c>
      <c r="N71" s="12" t="n">
        <f aca="false">IF(L71&gt;=K71,1,0)</f>
        <v>1</v>
      </c>
      <c r="O71" s="13" t="n">
        <f aca="false">B71*MESCLUN_MC_RATE</f>
        <v>13805.1926758867</v>
      </c>
      <c r="P71" s="13" t="n">
        <f aca="false">O71-O70</f>
        <v>1874.77925228091</v>
      </c>
      <c r="Q71" s="13" t="n">
        <f aca="false">P71+I71</f>
        <v>2754.77925228091</v>
      </c>
      <c r="R71" s="12" t="n">
        <f aca="false">IF(L71&gt;=Q71,1,0)</f>
        <v>0</v>
      </c>
      <c r="S71" s="13" t="n">
        <f aca="false">MIN(B71,PERMANENT_FIELD_LABOR_HOURS)*PERMANENT_HOURLY_RATE+MAX(0,B71-PERMANENT_FIELD_LABOR_HOURS)*TEMP_HOURLY_RATE</f>
        <v>13805.1926758867</v>
      </c>
      <c r="T71" s="13" t="n">
        <f aca="false">S71-S70</f>
        <v>1874.77925228091</v>
      </c>
      <c r="U71" s="13" t="n">
        <f aca="false">T71+I71</f>
        <v>2754.77925228091</v>
      </c>
      <c r="V71" s="12" t="n">
        <f aca="false">IF(L71&gt;=U71,1,0)</f>
        <v>0</v>
      </c>
    </row>
    <row r="72" customFormat="false" ht="15" hidden="false" customHeight="false" outlineLevel="0" collapsed="false">
      <c r="A72" s="12" t="n">
        <f aca="false">ROW()-ROW($A$63)</f>
        <v>9</v>
      </c>
      <c r="B72" s="14" t="n">
        <f aca="false">A72*MESCLUN_HRS_PER_WEEK_PER_BED*SEASON_WEEKS*(1+MESCLUN_DIM_RTRN_PCT)^A72</f>
        <v>452.908331865703</v>
      </c>
      <c r="C72" s="13" t="n">
        <f aca="false">B72*PERMANENT_HOURLY_RATE</f>
        <v>15724.9772823772</v>
      </c>
      <c r="D72" s="13" t="n">
        <f aca="false">B72*TEMP_HOURLY_RATE</f>
        <v>7862.4886411886</v>
      </c>
      <c r="E72" s="13" t="n">
        <f aca="false">A72*MESCLUN_FERTILIZER_PER_BED</f>
        <v>7920</v>
      </c>
      <c r="F72" s="14" t="n">
        <f aca="false">B72-B71</f>
        <v>55.2933354403944</v>
      </c>
      <c r="G72" s="13" t="n">
        <f aca="false">C72-C71</f>
        <v>1919.78460649049</v>
      </c>
      <c r="H72" s="13" t="n">
        <f aca="false">D72-D71</f>
        <v>959.892303245247</v>
      </c>
      <c r="I72" s="13" t="n">
        <f aca="false">E72-E71</f>
        <v>880</v>
      </c>
      <c r="J72" s="13" t="n">
        <f aca="false">G72+I72</f>
        <v>2799.78460649049</v>
      </c>
      <c r="K72" s="13" t="n">
        <f aca="false">H72+I72</f>
        <v>1839.89230324525</v>
      </c>
      <c r="L72" s="13" t="n">
        <f aca="false">MESCLUN_REVENUE_PER_BED</f>
        <v>2700</v>
      </c>
      <c r="M72" s="12" t="n">
        <f aca="false">IF(L72&gt;=J72,1,0)</f>
        <v>0</v>
      </c>
      <c r="N72" s="12" t="n">
        <f aca="false">IF(L72&gt;=K72,1,0)</f>
        <v>1</v>
      </c>
      <c r="O72" s="13" t="n">
        <f aca="false">B72*MESCLUN_MC_RATE</f>
        <v>15724.9772823772</v>
      </c>
      <c r="P72" s="13" t="n">
        <f aca="false">O72-O71</f>
        <v>1919.78460649049</v>
      </c>
      <c r="Q72" s="13" t="n">
        <f aca="false">P72+I72</f>
        <v>2799.78460649049</v>
      </c>
      <c r="R72" s="12" t="n">
        <f aca="false">IF(L72&gt;=Q72,1,0)</f>
        <v>0</v>
      </c>
      <c r="S72" s="13" t="n">
        <f aca="false">MIN(B72,PERMANENT_FIELD_LABOR_HOURS)*PERMANENT_HOURLY_RATE+MAX(0,B72-PERMANENT_FIELD_LABOR_HOURS)*TEMP_HOURLY_RATE</f>
        <v>15724.9772823772</v>
      </c>
      <c r="T72" s="13" t="n">
        <f aca="false">S72-S71</f>
        <v>1919.78460649049</v>
      </c>
      <c r="U72" s="13" t="n">
        <f aca="false">T72+I72</f>
        <v>2799.78460649049</v>
      </c>
      <c r="V72" s="12" t="n">
        <f aca="false">IF(L72&gt;=U72,1,0)</f>
        <v>0</v>
      </c>
    </row>
    <row r="73" customFormat="false" ht="15" hidden="false" customHeight="false" outlineLevel="0" collapsed="false">
      <c r="A73" s="12" t="n">
        <f aca="false">ROW()-ROW($A$63)</f>
        <v>10</v>
      </c>
      <c r="B73" s="14" t="n">
        <f aca="false">A73*MESCLUN_HRS_PER_WEEK_PER_BED*SEASON_WEEKS*(1+MESCLUN_DIM_RTRN_PCT)^A73</f>
        <v>509.521873348916</v>
      </c>
      <c r="C73" s="13" t="n">
        <f aca="false">B73*PERMANENT_HOURLY_RATE</f>
        <v>17690.5994426743</v>
      </c>
      <c r="D73" s="13" t="n">
        <f aca="false">B73*TEMP_HOURLY_RATE</f>
        <v>8845.29972133717</v>
      </c>
      <c r="E73" s="13" t="n">
        <f aca="false">A73*MESCLUN_FERTILIZER_PER_BED</f>
        <v>8800</v>
      </c>
      <c r="F73" s="14" t="n">
        <f aca="false">B73-B72</f>
        <v>56.6135414832128</v>
      </c>
      <c r="G73" s="13" t="n">
        <f aca="false">C73-C72</f>
        <v>1965.62216029715</v>
      </c>
      <c r="H73" s="13" t="n">
        <f aca="false">D73-D72</f>
        <v>982.811080148574</v>
      </c>
      <c r="I73" s="13" t="n">
        <f aca="false">E73-E72</f>
        <v>880</v>
      </c>
      <c r="J73" s="13" t="n">
        <f aca="false">G73+I73</f>
        <v>2845.62216029715</v>
      </c>
      <c r="K73" s="13" t="n">
        <f aca="false">H73+I73</f>
        <v>1862.81108014857</v>
      </c>
      <c r="L73" s="13" t="n">
        <f aca="false">MESCLUN_REVENUE_PER_BED</f>
        <v>2700</v>
      </c>
      <c r="M73" s="12" t="n">
        <f aca="false">IF(L73&gt;=J73,1,0)</f>
        <v>0</v>
      </c>
      <c r="N73" s="12" t="n">
        <f aca="false">IF(L73&gt;=K73,1,0)</f>
        <v>1</v>
      </c>
      <c r="O73" s="13" t="n">
        <f aca="false">B73*MESCLUN_MC_RATE</f>
        <v>17690.5994426743</v>
      </c>
      <c r="P73" s="13" t="n">
        <f aca="false">O73-O72</f>
        <v>1965.62216029715</v>
      </c>
      <c r="Q73" s="13" t="n">
        <f aca="false">P73+I73</f>
        <v>2845.62216029715</v>
      </c>
      <c r="R73" s="12" t="n">
        <f aca="false">IF(L73&gt;=Q73,1,0)</f>
        <v>0</v>
      </c>
      <c r="S73" s="13" t="n">
        <f aca="false">MIN(B73,PERMANENT_FIELD_LABOR_HOURS)*PERMANENT_HOURLY_RATE+MAX(0,B73-PERMANENT_FIELD_LABOR_HOURS)*TEMP_HOURLY_RATE</f>
        <v>17690.5994426743</v>
      </c>
      <c r="T73" s="13" t="n">
        <f aca="false">S73-S72</f>
        <v>1965.62216029715</v>
      </c>
      <c r="U73" s="13" t="n">
        <f aca="false">T73+I73</f>
        <v>2845.62216029715</v>
      </c>
      <c r="V73" s="12" t="n">
        <f aca="false">IF(L73&gt;=U73,1,0)</f>
        <v>0</v>
      </c>
    </row>
    <row r="74" customFormat="false" ht="15" hidden="false" customHeight="false" outlineLevel="0" collapsed="false">
      <c r="A74" s="12" t="n">
        <f aca="false">ROW()-ROW($A$63)</f>
        <v>11</v>
      </c>
      <c r="B74" s="14" t="n">
        <f aca="false">A74*MESCLUN_HRS_PER_WEEK_PER_BED*SEASON_WEEKS*(1+MESCLUN_DIM_RTRN_PCT)^A74</f>
        <v>567.479986442355</v>
      </c>
      <c r="C74" s="13" t="n">
        <f aca="false">B74*PERMANENT_HOURLY_RATE</f>
        <v>19702.9051292786</v>
      </c>
      <c r="D74" s="13" t="n">
        <f aca="false">B74*TEMP_HOURLY_RATE</f>
        <v>9851.45256463928</v>
      </c>
      <c r="E74" s="13" t="n">
        <f aca="false">A74*MESCLUN_FERTILIZER_PER_BED</f>
        <v>9680</v>
      </c>
      <c r="F74" s="14" t="n">
        <f aca="false">B74-B73</f>
        <v>57.9581130934391</v>
      </c>
      <c r="G74" s="13" t="n">
        <f aca="false">C74-C73</f>
        <v>2012.30568660421</v>
      </c>
      <c r="H74" s="13" t="n">
        <f aca="false">D74-D73</f>
        <v>1006.1528433021</v>
      </c>
      <c r="I74" s="13" t="n">
        <f aca="false">E74-E73</f>
        <v>880</v>
      </c>
      <c r="J74" s="13" t="n">
        <f aca="false">G74+I74</f>
        <v>2892.30568660421</v>
      </c>
      <c r="K74" s="13" t="n">
        <f aca="false">H74+I74</f>
        <v>1886.1528433021</v>
      </c>
      <c r="L74" s="13" t="n">
        <f aca="false">MESCLUN_REVENUE_PER_BED</f>
        <v>2700</v>
      </c>
      <c r="M74" s="12" t="n">
        <f aca="false">IF(L74&gt;=J74,1,0)</f>
        <v>0</v>
      </c>
      <c r="N74" s="12" t="n">
        <f aca="false">IF(L74&gt;=K74,1,0)</f>
        <v>1</v>
      </c>
      <c r="O74" s="13" t="n">
        <f aca="false">B74*MESCLUN_MC_RATE</f>
        <v>19702.9051292786</v>
      </c>
      <c r="P74" s="13" t="n">
        <f aca="false">O74-O73</f>
        <v>2012.30568660421</v>
      </c>
      <c r="Q74" s="13" t="n">
        <f aca="false">P74+I74</f>
        <v>2892.30568660421</v>
      </c>
      <c r="R74" s="12" t="n">
        <f aca="false">IF(L74&gt;=Q74,1,0)</f>
        <v>0</v>
      </c>
      <c r="S74" s="13" t="n">
        <f aca="false">MIN(B74,PERMANENT_FIELD_LABOR_HOURS)*PERMANENT_HOURLY_RATE+MAX(0,B74-PERMANENT_FIELD_LABOR_HOURS)*TEMP_HOURLY_RATE</f>
        <v>19702.9051292786</v>
      </c>
      <c r="T74" s="13" t="n">
        <f aca="false">S74-S73</f>
        <v>2012.30568660421</v>
      </c>
      <c r="U74" s="13" t="n">
        <f aca="false">T74+I74</f>
        <v>2892.30568660421</v>
      </c>
      <c r="V74" s="12" t="n">
        <f aca="false">IF(L74&gt;=U74,1,0)</f>
        <v>0</v>
      </c>
    </row>
    <row r="75" customFormat="false" ht="15" hidden="false" customHeight="false" outlineLevel="0" collapsed="false">
      <c r="A75" s="12" t="n">
        <f aca="false">ROW()-ROW($A$63)</f>
        <v>12</v>
      </c>
      <c r="B75" s="14" t="n">
        <f aca="false">A75*MESCLUN_HRS_PER_WEEK_PER_BED*SEASON_WEEKS*(1+MESCLUN_DIM_RTRN_PCT)^A75</f>
        <v>626.807439570419</v>
      </c>
      <c r="C75" s="13" t="n">
        <f aca="false">B75*PERMANENT_HOURLY_RATE</f>
        <v>21762.7543018849</v>
      </c>
      <c r="D75" s="13" t="n">
        <f aca="false">B75*TEMP_HOURLY_RATE</f>
        <v>10881.3771509425</v>
      </c>
      <c r="E75" s="13" t="n">
        <f aca="false">A75*MESCLUN_FERTILIZER_PER_BED</f>
        <v>10560</v>
      </c>
      <c r="F75" s="14" t="n">
        <f aca="false">B75-B74</f>
        <v>59.3274531280644</v>
      </c>
      <c r="G75" s="13" t="n">
        <f aca="false">C75-C74</f>
        <v>2059.8491726064</v>
      </c>
      <c r="H75" s="13" t="n">
        <f aca="false">D75-D74</f>
        <v>1029.9245863032</v>
      </c>
      <c r="I75" s="13" t="n">
        <f aca="false">E75-E74</f>
        <v>880</v>
      </c>
      <c r="J75" s="13" t="n">
        <f aca="false">G75+I75</f>
        <v>2939.8491726064</v>
      </c>
      <c r="K75" s="13" t="n">
        <f aca="false">H75+I75</f>
        <v>1909.9245863032</v>
      </c>
      <c r="L75" s="13" t="n">
        <f aca="false">MESCLUN_REVENUE_PER_BED</f>
        <v>2700</v>
      </c>
      <c r="M75" s="12" t="n">
        <f aca="false">IF(L75&gt;=J75,1,0)</f>
        <v>0</v>
      </c>
      <c r="N75" s="12" t="n">
        <f aca="false">IF(L75&gt;=K75,1,0)</f>
        <v>1</v>
      </c>
      <c r="O75" s="13" t="n">
        <f aca="false">B75*MESCLUN_MC_RATE</f>
        <v>21762.7543018849</v>
      </c>
      <c r="P75" s="13" t="n">
        <f aca="false">O75-O74</f>
        <v>2059.8491726064</v>
      </c>
      <c r="Q75" s="13" t="n">
        <f aca="false">P75+I75</f>
        <v>2939.8491726064</v>
      </c>
      <c r="R75" s="12" t="n">
        <f aca="false">IF(L75&gt;=Q75,1,0)</f>
        <v>0</v>
      </c>
      <c r="S75" s="13" t="n">
        <f aca="false">MIN(B75,PERMANENT_FIELD_LABOR_HOURS)*PERMANENT_HOURLY_RATE+MAX(0,B75-PERMANENT_FIELD_LABOR_HOURS)*TEMP_HOURLY_RATE</f>
        <v>21762.7543018849</v>
      </c>
      <c r="T75" s="13" t="n">
        <f aca="false">S75-S74</f>
        <v>2059.8491726064</v>
      </c>
      <c r="U75" s="13" t="n">
        <f aca="false">T75+I75</f>
        <v>2939.8491726064</v>
      </c>
      <c r="V75" s="12" t="n">
        <f aca="false">IF(L75&gt;=U75,1,0)</f>
        <v>0</v>
      </c>
    </row>
    <row r="76" customFormat="false" ht="15" hidden="false" customHeight="false" outlineLevel="0" collapsed="false">
      <c r="A76" s="12" t="n">
        <f aca="false">ROW()-ROW($A$63)</f>
        <v>13</v>
      </c>
      <c r="B76" s="14" t="n">
        <f aca="false">A76*MESCLUN_HRS_PER_WEEK_PER_BED*SEASON_WEEKS*(1+MESCLUN_DIM_RTRN_PCT)^A76</f>
        <v>687.529410278803</v>
      </c>
      <c r="C76" s="13" t="n">
        <f aca="false">B76*PERMANENT_HOURLY_RATE</f>
        <v>23871.0211248801</v>
      </c>
      <c r="D76" s="13" t="n">
        <f aca="false">B76*TEMP_HOURLY_RATE</f>
        <v>11935.51056244</v>
      </c>
      <c r="E76" s="13" t="n">
        <f aca="false">A76*MESCLUN_FERTILIZER_PER_BED</f>
        <v>11440</v>
      </c>
      <c r="F76" s="14" t="n">
        <f aca="false">B76-B75</f>
        <v>60.7219707083843</v>
      </c>
      <c r="G76" s="13" t="n">
        <f aca="false">C76-C75</f>
        <v>2108.26682299511</v>
      </c>
      <c r="H76" s="13" t="n">
        <f aca="false">D76-D75</f>
        <v>1054.13341149755</v>
      </c>
      <c r="I76" s="13" t="n">
        <f aca="false">E76-E75</f>
        <v>880</v>
      </c>
      <c r="J76" s="13" t="n">
        <f aca="false">G76+I76</f>
        <v>2988.26682299511</v>
      </c>
      <c r="K76" s="13" t="n">
        <f aca="false">H76+I76</f>
        <v>1934.13341149755</v>
      </c>
      <c r="L76" s="13" t="n">
        <f aca="false">MESCLUN_REVENUE_PER_BED</f>
        <v>2700</v>
      </c>
      <c r="M76" s="12" t="n">
        <f aca="false">IF(L76&gt;=J76,1,0)</f>
        <v>0</v>
      </c>
      <c r="N76" s="12" t="n">
        <f aca="false">IF(L76&gt;=K76,1,0)</f>
        <v>1</v>
      </c>
      <c r="O76" s="13" t="n">
        <f aca="false">B76*MESCLUN_MC_RATE</f>
        <v>23871.0211248801</v>
      </c>
      <c r="P76" s="13" t="n">
        <f aca="false">O76-O75</f>
        <v>2108.26682299511</v>
      </c>
      <c r="Q76" s="13" t="n">
        <f aca="false">P76+I76</f>
        <v>2988.26682299511</v>
      </c>
      <c r="R76" s="12" t="n">
        <f aca="false">IF(L76&gt;=Q76,1,0)</f>
        <v>0</v>
      </c>
      <c r="S76" s="13" t="n">
        <f aca="false">MIN(B76,PERMANENT_FIELD_LABOR_HOURS)*PERMANENT_HOURLY_RATE+MAX(0,B76-PERMANENT_FIELD_LABOR_HOURS)*TEMP_HOURLY_RATE</f>
        <v>23871.0211248801</v>
      </c>
      <c r="T76" s="13" t="n">
        <f aca="false">S76-S75</f>
        <v>2108.26682299511</v>
      </c>
      <c r="U76" s="13" t="n">
        <f aca="false">T76+I76</f>
        <v>2988.26682299511</v>
      </c>
      <c r="V76" s="12" t="n">
        <f aca="false">IF(L76&gt;=U76,1,0)</f>
        <v>0</v>
      </c>
    </row>
    <row r="77" customFormat="false" ht="15" hidden="false" customHeight="false" outlineLevel="0" collapsed="false">
      <c r="A77" s="12" t="n">
        <f aca="false">ROW()-ROW($A$63)</f>
        <v>14</v>
      </c>
      <c r="B77" s="14" t="n">
        <f aca="false">A77*MESCLUN_HRS_PER_WEEK_PER_BED*SEASON_WEEKS*(1+MESCLUN_DIM_RTRN_PCT)^A77</f>
        <v>749.671491592464</v>
      </c>
      <c r="C77" s="13" t="n">
        <f aca="false">B77*PERMANENT_HOURLY_RATE</f>
        <v>26028.5941880904</v>
      </c>
      <c r="D77" s="13" t="n">
        <f aca="false">B77*TEMP_HOURLY_RATE</f>
        <v>13014.2970940452</v>
      </c>
      <c r="E77" s="13" t="n">
        <f aca="false">A77*MESCLUN_FERTILIZER_PER_BED</f>
        <v>12320</v>
      </c>
      <c r="F77" s="14" t="n">
        <f aca="false">B77-B76</f>
        <v>62.142081313661</v>
      </c>
      <c r="G77" s="13" t="n">
        <f aca="false">C77-C76</f>
        <v>2157.57306321031</v>
      </c>
      <c r="H77" s="13" t="n">
        <f aca="false">D77-D76</f>
        <v>1078.78653160516</v>
      </c>
      <c r="I77" s="13" t="n">
        <f aca="false">E77-E76</f>
        <v>880</v>
      </c>
      <c r="J77" s="13" t="n">
        <f aca="false">G77+I77</f>
        <v>3037.57306321031</v>
      </c>
      <c r="K77" s="13" t="n">
        <f aca="false">H77+I77</f>
        <v>1958.78653160516</v>
      </c>
      <c r="L77" s="13" t="n">
        <f aca="false">MESCLUN_REVENUE_PER_BED</f>
        <v>2700</v>
      </c>
      <c r="M77" s="12" t="n">
        <f aca="false">IF(L77&gt;=J77,1,0)</f>
        <v>0</v>
      </c>
      <c r="N77" s="12" t="n">
        <f aca="false">IF(L77&gt;=K77,1,0)</f>
        <v>1</v>
      </c>
      <c r="O77" s="13" t="n">
        <f aca="false">B77*MESCLUN_MC_RATE</f>
        <v>26028.5941880904</v>
      </c>
      <c r="P77" s="13" t="n">
        <f aca="false">O77-O76</f>
        <v>2157.57306321031</v>
      </c>
      <c r="Q77" s="13" t="n">
        <f aca="false">P77+I77</f>
        <v>3037.57306321031</v>
      </c>
      <c r="R77" s="12" t="n">
        <f aca="false">IF(L77&gt;=Q77,1,0)</f>
        <v>0</v>
      </c>
      <c r="S77" s="13" t="n">
        <f aca="false">MIN(B77,PERMANENT_FIELD_LABOR_HOURS)*PERMANENT_HOURLY_RATE+MAX(0,B77-PERMANENT_FIELD_LABOR_HOURS)*TEMP_HOURLY_RATE</f>
        <v>25513.4970940452</v>
      </c>
      <c r="T77" s="13" t="n">
        <f aca="false">S77-S76</f>
        <v>1642.47596916513</v>
      </c>
      <c r="U77" s="13" t="n">
        <f aca="false">T77+I77</f>
        <v>2522.47596916513</v>
      </c>
      <c r="V77" s="12" t="n">
        <f aca="false">IF(L77&gt;=U77,1,0)</f>
        <v>1</v>
      </c>
    </row>
    <row r="78" customFormat="false" ht="15" hidden="false" customHeight="false" outlineLevel="0" collapsed="false">
      <c r="A78" s="12" t="n">
        <f aca="false">ROW()-ROW($A$63)</f>
        <v>15</v>
      </c>
      <c r="B78" s="14" t="n">
        <f aca="false">A78*MESCLUN_HRS_PER_WEEK_PER_BED*SEASON_WEEKS*(1+MESCLUN_DIM_RTRN_PCT)^A78</f>
        <v>813.259698468611</v>
      </c>
      <c r="C78" s="13" t="n">
        <f aca="false">B78*PERMANENT_HOURLY_RATE</f>
        <v>28236.3767308302</v>
      </c>
      <c r="D78" s="13" t="n">
        <f aca="false">B78*TEMP_HOURLY_RATE</f>
        <v>14118.1883654151</v>
      </c>
      <c r="E78" s="13" t="n">
        <f aca="false">A78*MESCLUN_FERTILIZER_PER_BED</f>
        <v>13200</v>
      </c>
      <c r="F78" s="14" t="n">
        <f aca="false">B78-B77</f>
        <v>63.5882068761464</v>
      </c>
      <c r="G78" s="13" t="n">
        <f aca="false">C78-C77</f>
        <v>2207.7825427398</v>
      </c>
      <c r="H78" s="13" t="n">
        <f aca="false">D78-D77</f>
        <v>1103.8912713699</v>
      </c>
      <c r="I78" s="13" t="n">
        <f aca="false">E78-E77</f>
        <v>880</v>
      </c>
      <c r="J78" s="13" t="n">
        <f aca="false">G78+I78</f>
        <v>3087.7825427398</v>
      </c>
      <c r="K78" s="13" t="n">
        <f aca="false">H78+I78</f>
        <v>1983.8912713699</v>
      </c>
      <c r="L78" s="13" t="n">
        <f aca="false">MESCLUN_REVENUE_PER_BED</f>
        <v>2700</v>
      </c>
      <c r="M78" s="12" t="n">
        <f aca="false">IF(L78&gt;=J78,1,0)</f>
        <v>0</v>
      </c>
      <c r="N78" s="12" t="n">
        <f aca="false">IF(L78&gt;=K78,1,0)</f>
        <v>1</v>
      </c>
      <c r="O78" s="13" t="n">
        <f aca="false">B78*MESCLUN_MC_RATE</f>
        <v>28236.3767308302</v>
      </c>
      <c r="P78" s="13" t="n">
        <f aca="false">O78-O77</f>
        <v>2207.7825427398</v>
      </c>
      <c r="Q78" s="13" t="n">
        <f aca="false">P78+I78</f>
        <v>3087.7825427398</v>
      </c>
      <c r="R78" s="12" t="n">
        <f aca="false">IF(L78&gt;=Q78,1,0)</f>
        <v>0</v>
      </c>
      <c r="S78" s="13" t="n">
        <f aca="false">MIN(B78,PERMANENT_FIELD_LABOR_HOURS)*PERMANENT_HOURLY_RATE+MAX(0,B78-PERMANENT_FIELD_LABOR_HOURS)*TEMP_HOURLY_RATE</f>
        <v>26617.3883654151</v>
      </c>
      <c r="T78" s="13" t="n">
        <f aca="false">S78-S77</f>
        <v>1103.8912713699</v>
      </c>
      <c r="U78" s="13" t="n">
        <f aca="false">T78+I78</f>
        <v>1983.8912713699</v>
      </c>
      <c r="V78" s="12" t="n">
        <f aca="false">IF(L78&gt;=U78,1,0)</f>
        <v>1</v>
      </c>
    </row>
    <row r="79" customFormat="false" ht="15" hidden="false" customHeight="false" outlineLevel="0" collapsed="false">
      <c r="A79" s="12" t="n">
        <f aca="false">ROW()-ROW($A$63)</f>
        <v>16</v>
      </c>
      <c r="B79" s="14" t="n">
        <f aca="false">A79*MESCLUN_HRS_PER_WEEK_PER_BED*SEASON_WEEKS*(1+MESCLUN_DIM_RTRN_PCT)^A79</f>
        <v>878.3204743461</v>
      </c>
      <c r="C79" s="13" t="n">
        <f aca="false">B79*PERMANENT_HOURLY_RATE</f>
        <v>30495.2868692966</v>
      </c>
      <c r="D79" s="13" t="n">
        <f aca="false">B79*TEMP_HOURLY_RATE</f>
        <v>15247.6434346483</v>
      </c>
      <c r="E79" s="13" t="n">
        <f aca="false">A79*MESCLUN_FERTILIZER_PER_BED</f>
        <v>14080</v>
      </c>
      <c r="F79" s="14" t="n">
        <f aca="false">B79-B78</f>
        <v>65.0607758774889</v>
      </c>
      <c r="G79" s="13" t="n">
        <f aca="false">C79-C78</f>
        <v>2258.91013846641</v>
      </c>
      <c r="H79" s="13" t="n">
        <f aca="false">D79-D78</f>
        <v>1129.45506923321</v>
      </c>
      <c r="I79" s="13" t="n">
        <f aca="false">E79-E78</f>
        <v>880</v>
      </c>
      <c r="J79" s="13" t="n">
        <f aca="false">G79+I79</f>
        <v>3138.91013846641</v>
      </c>
      <c r="K79" s="13" t="n">
        <f aca="false">H79+I79</f>
        <v>2009.45506923321</v>
      </c>
      <c r="L79" s="13" t="n">
        <f aca="false">MESCLUN_REVENUE_PER_BED</f>
        <v>2700</v>
      </c>
      <c r="M79" s="12" t="n">
        <f aca="false">IF(L79&gt;=J79,1,0)</f>
        <v>0</v>
      </c>
      <c r="N79" s="12" t="n">
        <f aca="false">IF(L79&gt;=K79,1,0)</f>
        <v>1</v>
      </c>
      <c r="O79" s="13" t="n">
        <f aca="false">B79*MESCLUN_MC_RATE</f>
        <v>30495.2868692966</v>
      </c>
      <c r="P79" s="13" t="n">
        <f aca="false">O79-O78</f>
        <v>2258.91013846641</v>
      </c>
      <c r="Q79" s="13" t="n">
        <f aca="false">P79+I79</f>
        <v>3138.91013846641</v>
      </c>
      <c r="R79" s="12" t="n">
        <f aca="false">IF(L79&gt;=Q79,1,0)</f>
        <v>0</v>
      </c>
      <c r="S79" s="13" t="n">
        <f aca="false">MIN(B79,PERMANENT_FIELD_LABOR_HOURS)*PERMANENT_HOURLY_RATE+MAX(0,B79-PERMANENT_FIELD_LABOR_HOURS)*TEMP_HOURLY_RATE</f>
        <v>27746.8434346483</v>
      </c>
      <c r="T79" s="13" t="n">
        <f aca="false">S79-S78</f>
        <v>1129.45506923321</v>
      </c>
      <c r="U79" s="13" t="n">
        <f aca="false">T79+I79</f>
        <v>2009.45506923321</v>
      </c>
      <c r="V79" s="12" t="n">
        <f aca="false">IF(L79&gt;=U79,1,0)</f>
        <v>1</v>
      </c>
    </row>
    <row r="80" customFormat="false" ht="15" hidden="false" customHeight="false" outlineLevel="0" collapsed="false">
      <c r="A80" s="12" t="n">
        <f aca="false">ROW()-ROW($A$63)</f>
        <v>17</v>
      </c>
      <c r="B80" s="14" t="n">
        <f aca="false">A80*MESCLUN_HRS_PER_WEEK_PER_BED*SEASON_WEEKS*(1+MESCLUN_DIM_RTRN_PCT)^A80</f>
        <v>944.88069779264</v>
      </c>
      <c r="C80" s="13" t="n">
        <f aca="false">B80*PERMANENT_HOURLY_RATE</f>
        <v>32806.2578273605</v>
      </c>
      <c r="D80" s="13" t="n">
        <f aca="false">B80*TEMP_HOURLY_RATE</f>
        <v>16403.1289136802</v>
      </c>
      <c r="E80" s="13" t="n">
        <f aca="false">A80*MESCLUN_FERTILIZER_PER_BED</f>
        <v>14960</v>
      </c>
      <c r="F80" s="14" t="n">
        <f aca="false">B80-B79</f>
        <v>66.5602234465403</v>
      </c>
      <c r="G80" s="13" t="n">
        <f aca="false">C80-C79</f>
        <v>2310.97095806388</v>
      </c>
      <c r="H80" s="13" t="n">
        <f aca="false">D80-D79</f>
        <v>1155.48547903194</v>
      </c>
      <c r="I80" s="13" t="n">
        <f aca="false">E80-E79</f>
        <v>880</v>
      </c>
      <c r="J80" s="13" t="n">
        <f aca="false">G80+I80</f>
        <v>3190.97095806388</v>
      </c>
      <c r="K80" s="13" t="n">
        <f aca="false">H80+I80</f>
        <v>2035.48547903194</v>
      </c>
      <c r="L80" s="13" t="n">
        <f aca="false">MESCLUN_REVENUE_PER_BED</f>
        <v>2700</v>
      </c>
      <c r="M80" s="12" t="n">
        <f aca="false">IF(L80&gt;=J80,1,0)</f>
        <v>0</v>
      </c>
      <c r="N80" s="12" t="n">
        <f aca="false">IF(L80&gt;=K80,1,0)</f>
        <v>1</v>
      </c>
      <c r="O80" s="13" t="n">
        <f aca="false">B80*MESCLUN_MC_RATE</f>
        <v>32806.2578273605</v>
      </c>
      <c r="P80" s="13" t="n">
        <f aca="false">O80-O79</f>
        <v>2310.97095806388</v>
      </c>
      <c r="Q80" s="13" t="n">
        <f aca="false">P80+I80</f>
        <v>3190.97095806388</v>
      </c>
      <c r="R80" s="12" t="n">
        <f aca="false">IF(L80&gt;=Q80,1,0)</f>
        <v>0</v>
      </c>
      <c r="S80" s="13" t="n">
        <f aca="false">MIN(B80,PERMANENT_FIELD_LABOR_HOURS)*PERMANENT_HOURLY_RATE+MAX(0,B80-PERMANENT_FIELD_LABOR_HOURS)*TEMP_HOURLY_RATE</f>
        <v>28902.3289136802</v>
      </c>
      <c r="T80" s="13" t="n">
        <f aca="false">S80-S79</f>
        <v>1155.48547903194</v>
      </c>
      <c r="U80" s="13" t="n">
        <f aca="false">T80+I80</f>
        <v>2035.48547903194</v>
      </c>
      <c r="V80" s="12" t="n">
        <f aca="false">IF(L80&gt;=U80,1,0)</f>
        <v>1</v>
      </c>
    </row>
    <row r="81" customFormat="false" ht="15" hidden="false" customHeight="false" outlineLevel="0" collapsed="false">
      <c r="A81" s="12" t="n">
        <f aca="false">ROW()-ROW($A$63)</f>
        <v>18</v>
      </c>
      <c r="B81" s="14" t="n">
        <f aca="false">A81*MESCLUN_HRS_PER_WEEK_PER_BED*SEASON_WEEKS*(1+MESCLUN_DIM_RTRN_PCT)^A81</f>
        <v>1012.96768925123</v>
      </c>
      <c r="C81" s="13" t="n">
        <f aca="false">B81*PERMANENT_HOURLY_RATE</f>
        <v>35170.2381708026</v>
      </c>
      <c r="D81" s="13" t="n">
        <f aca="false">B81*TEMP_HOURLY_RATE</f>
        <v>17585.1190854013</v>
      </c>
      <c r="E81" s="13" t="n">
        <f aca="false">A81*MESCLUN_FERTILIZER_PER_BED</f>
        <v>15840</v>
      </c>
      <c r="F81" s="14" t="n">
        <f aca="false">B81-B80</f>
        <v>68.0869914585873</v>
      </c>
      <c r="G81" s="13" t="n">
        <f aca="false">C81-C80</f>
        <v>2363.98034344215</v>
      </c>
      <c r="H81" s="13" t="n">
        <f aca="false">D81-D80</f>
        <v>1181.99017172107</v>
      </c>
      <c r="I81" s="13" t="n">
        <f aca="false">E81-E80</f>
        <v>880</v>
      </c>
      <c r="J81" s="13" t="n">
        <f aca="false">G81+I81</f>
        <v>3243.98034344215</v>
      </c>
      <c r="K81" s="13" t="n">
        <f aca="false">H81+I81</f>
        <v>2061.99017172107</v>
      </c>
      <c r="L81" s="13" t="n">
        <f aca="false">MESCLUN_REVENUE_PER_BED</f>
        <v>2700</v>
      </c>
      <c r="M81" s="12" t="n">
        <f aca="false">IF(L81&gt;=J81,1,0)</f>
        <v>0</v>
      </c>
      <c r="N81" s="12" t="n">
        <f aca="false">IF(L81&gt;=K81,1,0)</f>
        <v>1</v>
      </c>
      <c r="O81" s="13" t="n">
        <f aca="false">B81*MESCLUN_MC_RATE</f>
        <v>35170.2381708026</v>
      </c>
      <c r="P81" s="13" t="n">
        <f aca="false">O81-O80</f>
        <v>2363.98034344215</v>
      </c>
      <c r="Q81" s="13" t="n">
        <f aca="false">P81+I81</f>
        <v>3243.98034344215</v>
      </c>
      <c r="R81" s="12" t="n">
        <f aca="false">IF(L81&gt;=Q81,1,0)</f>
        <v>0</v>
      </c>
      <c r="S81" s="13" t="n">
        <f aca="false">MIN(B81,PERMANENT_FIELD_LABOR_HOURS)*PERMANENT_HOURLY_RATE+MAX(0,B81-PERMANENT_FIELD_LABOR_HOURS)*TEMP_HOURLY_RATE</f>
        <v>30084.3190854013</v>
      </c>
      <c r="T81" s="13" t="n">
        <f aca="false">S81-S80</f>
        <v>1181.99017172107</v>
      </c>
      <c r="U81" s="13" t="n">
        <f aca="false">T81+I81</f>
        <v>2061.99017172107</v>
      </c>
      <c r="V81" s="12" t="n">
        <f aca="false">IF(L81&gt;=U81,1,0)</f>
        <v>1</v>
      </c>
    </row>
    <row r="82" customFormat="false" ht="15" hidden="false" customHeight="false" outlineLevel="0" collapsed="false">
      <c r="A82" s="12" t="n">
        <f aca="false">ROW()-ROW($A$63)</f>
        <v>19</v>
      </c>
      <c r="B82" s="14" t="n">
        <f aca="false">A82*MESCLUN_HRS_PER_WEEK_PER_BED*SEASON_WEEKS*(1+MESCLUN_DIM_RTRN_PCT)^A82</f>
        <v>1082.60921788725</v>
      </c>
      <c r="C82" s="13" t="n">
        <f aca="false">B82*PERMANENT_HOURLY_RATE</f>
        <v>37588.1920450453</v>
      </c>
      <c r="D82" s="13" t="n">
        <f aca="false">B82*TEMP_HOURLY_RATE</f>
        <v>18794.0960225226</v>
      </c>
      <c r="E82" s="13" t="n">
        <f aca="false">A82*MESCLUN_FERTILIZER_PER_BED</f>
        <v>16720</v>
      </c>
      <c r="F82" s="14" t="n">
        <f aca="false">B82-B81</f>
        <v>69.6415286360219</v>
      </c>
      <c r="G82" s="13" t="n">
        <f aca="false">C82-C81</f>
        <v>2417.95387424268</v>
      </c>
      <c r="H82" s="13" t="n">
        <f aca="false">D82-D81</f>
        <v>1208.97693712134</v>
      </c>
      <c r="I82" s="13" t="n">
        <f aca="false">E82-E81</f>
        <v>880</v>
      </c>
      <c r="J82" s="13" t="n">
        <f aca="false">G82+I82</f>
        <v>3297.95387424268</v>
      </c>
      <c r="K82" s="13" t="n">
        <f aca="false">H82+I82</f>
        <v>2088.97693712134</v>
      </c>
      <c r="L82" s="13" t="n">
        <f aca="false">MESCLUN_REVENUE_PER_BED</f>
        <v>2700</v>
      </c>
      <c r="M82" s="12" t="n">
        <f aca="false">IF(L82&gt;=J82,1,0)</f>
        <v>0</v>
      </c>
      <c r="N82" s="12" t="n">
        <f aca="false">IF(L82&gt;=K82,1,0)</f>
        <v>1</v>
      </c>
      <c r="O82" s="13" t="n">
        <f aca="false">B82*MESCLUN_MC_RATE</f>
        <v>37588.1920450453</v>
      </c>
      <c r="P82" s="13" t="n">
        <f aca="false">O82-O81</f>
        <v>2417.95387424268</v>
      </c>
      <c r="Q82" s="13" t="n">
        <f aca="false">P82+I82</f>
        <v>3297.95387424268</v>
      </c>
      <c r="R82" s="12" t="n">
        <f aca="false">IF(L82&gt;=Q82,1,0)</f>
        <v>0</v>
      </c>
      <c r="S82" s="13" t="n">
        <f aca="false">MIN(B82,PERMANENT_FIELD_LABOR_HOURS)*PERMANENT_HOURLY_RATE+MAX(0,B82-PERMANENT_FIELD_LABOR_HOURS)*TEMP_HOURLY_RATE</f>
        <v>31293.2960225226</v>
      </c>
      <c r="T82" s="13" t="n">
        <f aca="false">S82-S81</f>
        <v>1208.97693712134</v>
      </c>
      <c r="U82" s="13" t="n">
        <f aca="false">T82+I82</f>
        <v>2088.97693712134</v>
      </c>
      <c r="V82" s="12" t="n">
        <f aca="false">IF(L82&gt;=U82,1,0)</f>
        <v>1</v>
      </c>
    </row>
    <row r="83" customFormat="false" ht="15" hidden="false" customHeight="false" outlineLevel="0" collapsed="false">
      <c r="A83" s="12" t="n">
        <f aca="false">ROW()-ROW($A$63)</f>
        <v>20</v>
      </c>
      <c r="B83" s="14" t="n">
        <f aca="false">A83*MESCLUN_HRS_PER_WEEK_PER_BED*SEASON_WEEKS*(1+MESCLUN_DIM_RTRN_PCT)^A83</f>
        <v>1153.83350853773</v>
      </c>
      <c r="C83" s="13" t="n">
        <f aca="false">B83*PERMANENT_HOURLY_RATE</f>
        <v>40061.0994164298</v>
      </c>
      <c r="D83" s="13" t="n">
        <f aca="false">B83*TEMP_HOURLY_RATE</f>
        <v>20030.5497082149</v>
      </c>
      <c r="E83" s="13" t="n">
        <f aca="false">A83*MESCLUN_FERTILIZER_PER_BED</f>
        <v>17600</v>
      </c>
      <c r="F83" s="14" t="n">
        <f aca="false">B83-B82</f>
        <v>71.2242906504769</v>
      </c>
      <c r="G83" s="13" t="n">
        <f aca="false">C83-C82</f>
        <v>2472.90737138456</v>
      </c>
      <c r="H83" s="13" t="n">
        <f aca="false">D83-D82</f>
        <v>1236.45368569228</v>
      </c>
      <c r="I83" s="13" t="n">
        <f aca="false">E83-E82</f>
        <v>880</v>
      </c>
      <c r="J83" s="13" t="n">
        <f aca="false">G83+I83</f>
        <v>3352.90737138456</v>
      </c>
      <c r="K83" s="13" t="n">
        <f aca="false">H83+I83</f>
        <v>2116.45368569228</v>
      </c>
      <c r="L83" s="13" t="n">
        <f aca="false">MESCLUN_REVENUE_PER_BED</f>
        <v>2700</v>
      </c>
      <c r="M83" s="12" t="n">
        <f aca="false">IF(L83&gt;=J83,1,0)</f>
        <v>0</v>
      </c>
      <c r="N83" s="12" t="n">
        <f aca="false">IF(L83&gt;=K83,1,0)</f>
        <v>1</v>
      </c>
      <c r="O83" s="13" t="n">
        <f aca="false">B83*MESCLUN_MC_RATE</f>
        <v>40061.0994164298</v>
      </c>
      <c r="P83" s="13" t="n">
        <f aca="false">O83-O82</f>
        <v>2472.90737138456</v>
      </c>
      <c r="Q83" s="13" t="n">
        <f aca="false">P83+I83</f>
        <v>3352.90737138456</v>
      </c>
      <c r="R83" s="12" t="n">
        <f aca="false">IF(L83&gt;=Q83,1,0)</f>
        <v>0</v>
      </c>
      <c r="S83" s="13" t="n">
        <f aca="false">MIN(B83,PERMANENT_FIELD_LABOR_HOURS)*PERMANENT_HOURLY_RATE+MAX(0,B83-PERMANENT_FIELD_LABOR_HOURS)*TEMP_HOURLY_RATE</f>
        <v>32529.7497082149</v>
      </c>
      <c r="T83" s="13" t="n">
        <f aca="false">S83-S82</f>
        <v>1236.45368569228</v>
      </c>
      <c r="U83" s="13" t="n">
        <f aca="false">T83+I83</f>
        <v>2116.45368569228</v>
      </c>
      <c r="V83" s="12" t="n">
        <f aca="false">IF(L83&gt;=U83,1,0)</f>
        <v>1</v>
      </c>
    </row>
    <row r="84" customFormat="false" ht="15" hidden="false" customHeight="false" outlineLevel="0" collapsed="false">
      <c r="A84" s="12" t="n">
        <f aca="false">ROW()-ROW($A$63)</f>
        <v>21</v>
      </c>
      <c r="B84" s="14" t="n">
        <f aca="false">A84*MESCLUN_HRS_PER_WEEK_PER_BED*SEASON_WEEKS*(1+MESCLUN_DIM_RTRN_PCT)^A84</f>
        <v>1226.66924876417</v>
      </c>
      <c r="C84" s="13" t="n">
        <f aca="false">B84*PERMANENT_HOURLY_RATE</f>
        <v>42589.956317092</v>
      </c>
      <c r="D84" s="13" t="n">
        <f aca="false">B84*TEMP_HOURLY_RATE</f>
        <v>21294.978158546</v>
      </c>
      <c r="E84" s="13" t="n">
        <f aca="false">A84*MESCLUN_FERTILIZER_PER_BED</f>
        <v>18480</v>
      </c>
      <c r="F84" s="14" t="n">
        <f aca="false">B84-B83</f>
        <v>72.8357402264439</v>
      </c>
      <c r="G84" s="13" t="n">
        <f aca="false">C84-C83</f>
        <v>2528.85690066213</v>
      </c>
      <c r="H84" s="13" t="n">
        <f aca="false">D84-D83</f>
        <v>1264.42845033107</v>
      </c>
      <c r="I84" s="13" t="n">
        <f aca="false">E84-E83</f>
        <v>880</v>
      </c>
      <c r="J84" s="13" t="n">
        <f aca="false">G84+I84</f>
        <v>3408.85690066213</v>
      </c>
      <c r="K84" s="13" t="n">
        <f aca="false">H84+I84</f>
        <v>2144.42845033107</v>
      </c>
      <c r="L84" s="13" t="n">
        <f aca="false">MESCLUN_REVENUE_PER_BED</f>
        <v>2700</v>
      </c>
      <c r="M84" s="12" t="n">
        <f aca="false">IF(L84&gt;=J84,1,0)</f>
        <v>0</v>
      </c>
      <c r="N84" s="12" t="n">
        <f aca="false">IF(L84&gt;=K84,1,0)</f>
        <v>1</v>
      </c>
      <c r="O84" s="13" t="n">
        <f aca="false">B84*MESCLUN_MC_RATE</f>
        <v>42589.956317092</v>
      </c>
      <c r="P84" s="13" t="n">
        <f aca="false">O84-O83</f>
        <v>2528.85690066213</v>
      </c>
      <c r="Q84" s="13" t="n">
        <f aca="false">P84+I84</f>
        <v>3408.85690066213</v>
      </c>
      <c r="R84" s="12" t="n">
        <f aca="false">IF(L84&gt;=Q84,1,0)</f>
        <v>0</v>
      </c>
      <c r="S84" s="13" t="n">
        <f aca="false">MIN(B84,PERMANENT_FIELD_LABOR_HOURS)*PERMANENT_HOURLY_RATE+MAX(0,B84-PERMANENT_FIELD_LABOR_HOURS)*TEMP_HOURLY_RATE</f>
        <v>33794.178158546</v>
      </c>
      <c r="T84" s="13" t="n">
        <f aca="false">S84-S83</f>
        <v>1264.42845033106</v>
      </c>
      <c r="U84" s="13" t="n">
        <f aca="false">T84+I84</f>
        <v>2144.42845033106</v>
      </c>
      <c r="V84" s="12" t="n">
        <f aca="false">IF(L84&gt;=U84,1,0)</f>
        <v>1</v>
      </c>
    </row>
    <row r="85" customFormat="false" ht="15" hidden="false" customHeight="false" outlineLevel="0" collapsed="false">
      <c r="A85" s="12" t="n">
        <f aca="false">ROW()-ROW($A$63)</f>
        <v>22</v>
      </c>
      <c r="B85" s="14" t="n">
        <f aca="false">A85*MESCLUN_HRS_PER_WEEK_PER_BED*SEASON_WEEKS*(1+MESCLUN_DIM_RTRN_PCT)^A85</f>
        <v>1301.14559601057</v>
      </c>
      <c r="C85" s="13" t="n">
        <f aca="false">B85*PERMANENT_HOURLY_RATE</f>
        <v>45175.7750934868</v>
      </c>
      <c r="D85" s="13" t="n">
        <f aca="false">B85*TEMP_HOURLY_RATE</f>
        <v>22587.8875467434</v>
      </c>
      <c r="E85" s="13" t="n">
        <f aca="false">A85*MESCLUN_FERTILIZER_PER_BED</f>
        <v>19360</v>
      </c>
      <c r="F85" s="14" t="n">
        <f aca="false">B85-B84</f>
        <v>74.476347246396</v>
      </c>
      <c r="G85" s="13" t="n">
        <f aca="false">C85-C84</f>
        <v>2585.81877639487</v>
      </c>
      <c r="H85" s="13" t="n">
        <f aca="false">D85-D84</f>
        <v>1292.90938819743</v>
      </c>
      <c r="I85" s="13" t="n">
        <f aca="false">E85-E84</f>
        <v>880</v>
      </c>
      <c r="J85" s="13" t="n">
        <f aca="false">G85+I85</f>
        <v>3465.81877639487</v>
      </c>
      <c r="K85" s="13" t="n">
        <f aca="false">H85+I85</f>
        <v>2172.90938819743</v>
      </c>
      <c r="L85" s="13" t="n">
        <f aca="false">MESCLUN_REVENUE_PER_BED</f>
        <v>2700</v>
      </c>
      <c r="M85" s="12" t="n">
        <f aca="false">IF(L85&gt;=J85,1,0)</f>
        <v>0</v>
      </c>
      <c r="N85" s="12" t="n">
        <f aca="false">IF(L85&gt;=K85,1,0)</f>
        <v>1</v>
      </c>
      <c r="O85" s="13" t="n">
        <f aca="false">B85*MESCLUN_MC_RATE</f>
        <v>45175.7750934868</v>
      </c>
      <c r="P85" s="13" t="n">
        <f aca="false">O85-O84</f>
        <v>2585.81877639487</v>
      </c>
      <c r="Q85" s="13" t="n">
        <f aca="false">P85+I85</f>
        <v>3465.81877639487</v>
      </c>
      <c r="R85" s="12" t="n">
        <f aca="false">IF(L85&gt;=Q85,1,0)</f>
        <v>0</v>
      </c>
      <c r="S85" s="13" t="n">
        <f aca="false">MIN(B85,PERMANENT_FIELD_LABOR_HOURS)*PERMANENT_HOURLY_RATE+MAX(0,B85-PERMANENT_FIELD_LABOR_HOURS)*TEMP_HOURLY_RATE</f>
        <v>35087.0875467434</v>
      </c>
      <c r="T85" s="13" t="n">
        <f aca="false">S85-S84</f>
        <v>1292.90938819744</v>
      </c>
      <c r="U85" s="13" t="n">
        <f aca="false">T85+I85</f>
        <v>2172.90938819744</v>
      </c>
      <c r="V85" s="12" t="n">
        <f aca="false">IF(L85&gt;=U85,1,0)</f>
        <v>1</v>
      </c>
    </row>
    <row r="86" customFormat="false" ht="15" hidden="false" customHeight="false" outlineLevel="0" collapsed="false">
      <c r="A86" s="12" t="n">
        <f aca="false">ROW()-ROW($A$63)</f>
        <v>23</v>
      </c>
      <c r="B86" s="14" t="n">
        <f aca="false">A86*MESCLUN_HRS_PER_WEEK_PER_BED*SEASON_WEEKS*(1+MESCLUN_DIM_RTRN_PCT)^A86</f>
        <v>1377.292184868</v>
      </c>
      <c r="C86" s="13" t="n">
        <f aca="false">B86*PERMANENT_HOURLY_RATE</f>
        <v>47819.584658617</v>
      </c>
      <c r="D86" s="13" t="n">
        <f aca="false">B86*TEMP_HOURLY_RATE</f>
        <v>23909.7923293085</v>
      </c>
      <c r="E86" s="13" t="n">
        <f aca="false">A86*MESCLUN_FERTILIZER_PER_BED</f>
        <v>20240</v>
      </c>
      <c r="F86" s="14" t="n">
        <f aca="false">B86-B85</f>
        <v>76.1465888574364</v>
      </c>
      <c r="G86" s="13" t="n">
        <f aca="false">C86-C85</f>
        <v>2643.80956513019</v>
      </c>
      <c r="H86" s="13" t="n">
        <f aca="false">D86-D85</f>
        <v>1321.9047825651</v>
      </c>
      <c r="I86" s="13" t="n">
        <f aca="false">E86-E85</f>
        <v>880</v>
      </c>
      <c r="J86" s="13" t="n">
        <f aca="false">G86+I86</f>
        <v>3523.80956513019</v>
      </c>
      <c r="K86" s="13" t="n">
        <f aca="false">H86+I86</f>
        <v>2201.9047825651</v>
      </c>
      <c r="L86" s="13" t="n">
        <f aca="false">MESCLUN_REVENUE_PER_BED</f>
        <v>2700</v>
      </c>
      <c r="M86" s="12" t="n">
        <f aca="false">IF(L86&gt;=J86,1,0)</f>
        <v>0</v>
      </c>
      <c r="N86" s="12" t="n">
        <f aca="false">IF(L86&gt;=K86,1,0)</f>
        <v>1</v>
      </c>
      <c r="O86" s="13" t="n">
        <f aca="false">B86*MESCLUN_MC_RATE</f>
        <v>47819.584658617</v>
      </c>
      <c r="P86" s="13" t="n">
        <f aca="false">O86-O85</f>
        <v>2643.80956513019</v>
      </c>
      <c r="Q86" s="13" t="n">
        <f aca="false">P86+I86</f>
        <v>3523.80956513019</v>
      </c>
      <c r="R86" s="12" t="n">
        <f aca="false">IF(L86&gt;=Q86,1,0)</f>
        <v>0</v>
      </c>
      <c r="S86" s="13" t="n">
        <f aca="false">MIN(B86,PERMANENT_FIELD_LABOR_HOURS)*PERMANENT_HOURLY_RATE+MAX(0,B86-PERMANENT_FIELD_LABOR_HOURS)*TEMP_HOURLY_RATE</f>
        <v>36408.9923293085</v>
      </c>
      <c r="T86" s="13" t="n">
        <f aca="false">S86-S85</f>
        <v>1321.90478256509</v>
      </c>
      <c r="U86" s="13" t="n">
        <f aca="false">T86+I86</f>
        <v>2201.90478256509</v>
      </c>
      <c r="V86" s="12" t="n">
        <f aca="false">IF(L86&gt;=U86,1,0)</f>
        <v>1</v>
      </c>
    </row>
    <row r="87" customFormat="false" ht="15" hidden="false" customHeight="false" outlineLevel="0" collapsed="false">
      <c r="A87" s="12" t="n">
        <f aca="false">ROW()-ROW($A$63)</f>
        <v>24</v>
      </c>
      <c r="B87" s="14" t="n">
        <f aca="false">A87*MESCLUN_HRS_PER_WEEK_PER_BED*SEASON_WEEKS*(1+MESCLUN_DIM_RTRN_PCT)^A87</f>
        <v>1455.1391344475</v>
      </c>
      <c r="C87" s="13" t="n">
        <f aca="false">B87*PERMANENT_HOURLY_RATE</f>
        <v>50522.4307480171</v>
      </c>
      <c r="D87" s="13" t="n">
        <f aca="false">B87*TEMP_HOURLY_RATE</f>
        <v>25261.2153740086</v>
      </c>
      <c r="E87" s="13" t="n">
        <f aca="false">A87*MESCLUN_FERTILIZER_PER_BED</f>
        <v>21120</v>
      </c>
      <c r="F87" s="14" t="n">
        <f aca="false">B87-B86</f>
        <v>77.8469495794957</v>
      </c>
      <c r="G87" s="13" t="n">
        <f aca="false">C87-C86</f>
        <v>2702.84608940009</v>
      </c>
      <c r="H87" s="13" t="n">
        <f aca="false">D87-D86</f>
        <v>1351.42304470004</v>
      </c>
      <c r="I87" s="13" t="n">
        <f aca="false">E87-E86</f>
        <v>880</v>
      </c>
      <c r="J87" s="13" t="n">
        <f aca="false">G87+I87</f>
        <v>3582.84608940009</v>
      </c>
      <c r="K87" s="13" t="n">
        <f aca="false">H87+I87</f>
        <v>2231.42304470004</v>
      </c>
      <c r="L87" s="13" t="n">
        <f aca="false">MESCLUN_REVENUE_PER_BED</f>
        <v>2700</v>
      </c>
      <c r="M87" s="12" t="n">
        <f aca="false">IF(L87&gt;=J87,1,0)</f>
        <v>0</v>
      </c>
      <c r="N87" s="12" t="n">
        <f aca="false">IF(L87&gt;=K87,1,0)</f>
        <v>1</v>
      </c>
      <c r="O87" s="13" t="n">
        <f aca="false">B87*MESCLUN_MC_RATE</f>
        <v>50522.4307480171</v>
      </c>
      <c r="P87" s="13" t="n">
        <f aca="false">O87-O86</f>
        <v>2702.84608940009</v>
      </c>
      <c r="Q87" s="13" t="n">
        <f aca="false">P87+I87</f>
        <v>3582.84608940009</v>
      </c>
      <c r="R87" s="12" t="n">
        <f aca="false">IF(L87&gt;=Q87,1,0)</f>
        <v>0</v>
      </c>
      <c r="S87" s="13" t="n">
        <f aca="false">MIN(B87,PERMANENT_FIELD_LABOR_HOURS)*PERMANENT_HOURLY_RATE+MAX(0,B87-PERMANENT_FIELD_LABOR_HOURS)*TEMP_HOURLY_RATE</f>
        <v>37760.4153740086</v>
      </c>
      <c r="T87" s="13" t="n">
        <f aca="false">S87-S86</f>
        <v>1351.42304470004</v>
      </c>
      <c r="U87" s="13" t="n">
        <f aca="false">T87+I87</f>
        <v>2231.42304470004</v>
      </c>
      <c r="V87" s="12" t="n">
        <f aca="false">IF(L87&gt;=U87,1,0)</f>
        <v>1</v>
      </c>
    </row>
    <row r="88" customFormat="false" ht="15" hidden="false" customHeight="false" outlineLevel="0" collapsed="false">
      <c r="A88" s="12" t="n">
        <f aca="false">ROW()-ROW($A$63)</f>
        <v>25</v>
      </c>
      <c r="B88" s="14" t="n">
        <f aca="false">A88*MESCLUN_HRS_PER_WEEK_PER_BED*SEASON_WEEKS*(1+MESCLUN_DIM_RTRN_PCT)^A88</f>
        <v>1534.7170558626</v>
      </c>
      <c r="C88" s="13" t="n">
        <f aca="false">B88*PERMANENT_HOURLY_RATE</f>
        <v>53285.3761795493</v>
      </c>
      <c r="D88" s="13" t="n">
        <f aca="false">B88*TEMP_HOURLY_RATE</f>
        <v>26642.6880897747</v>
      </c>
      <c r="E88" s="13" t="n">
        <f aca="false">A88*MESCLUN_FERTILIZER_PER_BED</f>
        <v>22000</v>
      </c>
      <c r="F88" s="14" t="n">
        <f aca="false">B88-B87</f>
        <v>79.5779214150975</v>
      </c>
      <c r="G88" s="13" t="n">
        <f aca="false">C88-C87</f>
        <v>2762.94543153219</v>
      </c>
      <c r="H88" s="13" t="n">
        <f aca="false">D88-D87</f>
        <v>1381.47271576609</v>
      </c>
      <c r="I88" s="13" t="n">
        <f aca="false">E88-E87</f>
        <v>880</v>
      </c>
      <c r="J88" s="13" t="n">
        <f aca="false">G88+I88</f>
        <v>3642.94543153219</v>
      </c>
      <c r="K88" s="13" t="n">
        <f aca="false">H88+I88</f>
        <v>2261.47271576609</v>
      </c>
      <c r="L88" s="13" t="n">
        <f aca="false">MESCLUN_REVENUE_PER_BED</f>
        <v>2700</v>
      </c>
      <c r="M88" s="12" t="n">
        <f aca="false">IF(L88&gt;=J88,1,0)</f>
        <v>0</v>
      </c>
      <c r="N88" s="12" t="n">
        <f aca="false">IF(L88&gt;=K88,1,0)</f>
        <v>1</v>
      </c>
      <c r="O88" s="13" t="n">
        <f aca="false">B88*MESCLUN_MC_RATE</f>
        <v>53285.3761795493</v>
      </c>
      <c r="P88" s="13" t="n">
        <f aca="false">O88-O87</f>
        <v>2762.94543153219</v>
      </c>
      <c r="Q88" s="13" t="n">
        <f aca="false">P88+I88</f>
        <v>3642.94543153219</v>
      </c>
      <c r="R88" s="12" t="n">
        <f aca="false">IF(L88&gt;=Q88,1,0)</f>
        <v>0</v>
      </c>
      <c r="S88" s="13" t="n">
        <f aca="false">MIN(B88,PERMANENT_FIELD_LABOR_HOURS)*PERMANENT_HOURLY_RATE+MAX(0,B88-PERMANENT_FIELD_LABOR_HOURS)*TEMP_HOURLY_RATE</f>
        <v>39141.8880897747</v>
      </c>
      <c r="T88" s="13" t="n">
        <f aca="false">S88-S87</f>
        <v>1381.4727157661</v>
      </c>
      <c r="U88" s="13" t="n">
        <f aca="false">T88+I88</f>
        <v>2261.4727157661</v>
      </c>
      <c r="V88" s="12" t="n">
        <f aca="false">IF(L88&gt;=U88,1,0)</f>
        <v>1</v>
      </c>
    </row>
    <row r="89" customFormat="false" ht="15" hidden="false" customHeight="false" outlineLevel="0" collapsed="false">
      <c r="A89" s="12" t="n">
        <f aca="false">ROW()-ROW($A$63)</f>
        <v>26</v>
      </c>
      <c r="B89" s="14" t="n">
        <f aca="false">A89*MESCLUN_HRS_PER_WEEK_PER_BED*SEASON_WEEKS*(1+MESCLUN_DIM_RTRN_PCT)^A89</f>
        <v>1616.05705982331</v>
      </c>
      <c r="C89" s="13" t="n">
        <f aca="false">B89*PERMANENT_HOURLY_RATE</f>
        <v>56109.5011170654</v>
      </c>
      <c r="D89" s="13" t="n">
        <f aca="false">B89*TEMP_HOURLY_RATE</f>
        <v>28054.7505585327</v>
      </c>
      <c r="E89" s="13" t="n">
        <f aca="false">A89*MESCLUN_FERTILIZER_PER_BED</f>
        <v>22880</v>
      </c>
      <c r="F89" s="14" t="n">
        <f aca="false">B89-B88</f>
        <v>81.3400039607172</v>
      </c>
      <c r="G89" s="13" t="n">
        <f aca="false">C89-C88</f>
        <v>2824.12493751611</v>
      </c>
      <c r="H89" s="13" t="n">
        <f aca="false">D89-D88</f>
        <v>1412.06246875805</v>
      </c>
      <c r="I89" s="13" t="n">
        <f aca="false">E89-E88</f>
        <v>880</v>
      </c>
      <c r="J89" s="13" t="n">
        <f aca="false">G89+I89</f>
        <v>3704.12493751611</v>
      </c>
      <c r="K89" s="13" t="n">
        <f aca="false">H89+I89</f>
        <v>2292.06246875805</v>
      </c>
      <c r="L89" s="13" t="n">
        <f aca="false">MESCLUN_REVENUE_PER_BED</f>
        <v>2700</v>
      </c>
      <c r="M89" s="12" t="n">
        <f aca="false">IF(L89&gt;=J89,1,0)</f>
        <v>0</v>
      </c>
      <c r="N89" s="12" t="n">
        <f aca="false">IF(L89&gt;=K89,1,0)</f>
        <v>1</v>
      </c>
      <c r="O89" s="13" t="n">
        <f aca="false">B89*MESCLUN_MC_RATE</f>
        <v>56109.5011170654</v>
      </c>
      <c r="P89" s="13" t="n">
        <f aca="false">O89-O88</f>
        <v>2824.12493751611</v>
      </c>
      <c r="Q89" s="13" t="n">
        <f aca="false">P89+I89</f>
        <v>3704.12493751611</v>
      </c>
      <c r="R89" s="12" t="n">
        <f aca="false">IF(L89&gt;=Q89,1,0)</f>
        <v>0</v>
      </c>
      <c r="S89" s="13" t="n">
        <f aca="false">MIN(B89,PERMANENT_FIELD_LABOR_HOURS)*PERMANENT_HOURLY_RATE+MAX(0,B89-PERMANENT_FIELD_LABOR_HOURS)*TEMP_HOURLY_RATE</f>
        <v>40553.9505585327</v>
      </c>
      <c r="T89" s="13" t="n">
        <f aca="false">S89-S88</f>
        <v>1412.06246875805</v>
      </c>
      <c r="U89" s="13" t="n">
        <f aca="false">T89+I89</f>
        <v>2292.06246875805</v>
      </c>
      <c r="V89" s="12" t="n">
        <f aca="false">IF(L89&gt;=U89,1,0)</f>
        <v>1</v>
      </c>
    </row>
    <row r="90" customFormat="false" ht="15" hidden="false" customHeight="false" outlineLevel="0" collapsed="false">
      <c r="A90" s="12" t="n">
        <f aca="false">ROW()-ROW($A$63)</f>
        <v>27</v>
      </c>
      <c r="B90" s="14" t="n">
        <f aca="false">A90*MESCLUN_HRS_PER_WEEK_PER_BED*SEASON_WEEKS*(1+MESCLUN_DIM_RTRN_PCT)^A90</f>
        <v>1699.19076434307</v>
      </c>
      <c r="C90" s="13" t="n">
        <f aca="false">B90*PERMANENT_HOURLY_RATE</f>
        <v>58995.9033379914</v>
      </c>
      <c r="D90" s="13" t="n">
        <f aca="false">B90*TEMP_HOURLY_RATE</f>
        <v>29497.9516689957</v>
      </c>
      <c r="E90" s="13" t="n">
        <f aca="false">A90*MESCLUN_FERTILIZER_PER_BED</f>
        <v>23760</v>
      </c>
      <c r="F90" s="14" t="n">
        <f aca="false">B90-B89</f>
        <v>83.1337045197572</v>
      </c>
      <c r="G90" s="13" t="n">
        <f aca="false">C90-C89</f>
        <v>2886.40222092597</v>
      </c>
      <c r="H90" s="13" t="n">
        <f aca="false">D90-D89</f>
        <v>1443.20111046299</v>
      </c>
      <c r="I90" s="13" t="n">
        <f aca="false">E90-E89</f>
        <v>880</v>
      </c>
      <c r="J90" s="13" t="n">
        <f aca="false">G90+I90</f>
        <v>3766.40222092597</v>
      </c>
      <c r="K90" s="13" t="n">
        <f aca="false">H90+I90</f>
        <v>2323.20111046299</v>
      </c>
      <c r="L90" s="13" t="n">
        <f aca="false">MESCLUN_REVENUE_PER_BED</f>
        <v>2700</v>
      </c>
      <c r="M90" s="12" t="n">
        <f aca="false">IF(L90&gt;=J90,1,0)</f>
        <v>0</v>
      </c>
      <c r="N90" s="12" t="n">
        <f aca="false">IF(L90&gt;=K90,1,0)</f>
        <v>1</v>
      </c>
      <c r="O90" s="13" t="n">
        <f aca="false">B90*MESCLUN_MC_RATE</f>
        <v>58995.9033379914</v>
      </c>
      <c r="P90" s="13" t="n">
        <f aca="false">O90-O89</f>
        <v>2886.40222092597</v>
      </c>
      <c r="Q90" s="13" t="n">
        <f aca="false">P90+I90</f>
        <v>3766.40222092597</v>
      </c>
      <c r="R90" s="12" t="n">
        <f aca="false">IF(L90&gt;=Q90,1,0)</f>
        <v>0</v>
      </c>
      <c r="S90" s="13" t="n">
        <f aca="false">MIN(B90,PERMANENT_FIELD_LABOR_HOURS)*PERMANENT_HOURLY_RATE+MAX(0,B90-PERMANENT_FIELD_LABOR_HOURS)*TEMP_HOURLY_RATE</f>
        <v>41997.1516689957</v>
      </c>
      <c r="T90" s="13" t="n">
        <f aca="false">S90-S89</f>
        <v>1443.20111046299</v>
      </c>
      <c r="U90" s="13" t="n">
        <f aca="false">T90+I90</f>
        <v>2323.20111046299</v>
      </c>
      <c r="V90" s="12" t="n">
        <f aca="false">IF(L90&gt;=U90,1,0)</f>
        <v>1</v>
      </c>
    </row>
    <row r="91" customFormat="false" ht="15" hidden="false" customHeight="false" outlineLevel="0" collapsed="false">
      <c r="A91" s="12" t="n">
        <f aca="false">ROW()-ROW($A$63)</f>
        <v>28</v>
      </c>
      <c r="B91" s="14" t="n">
        <f aca="false">A91*MESCLUN_HRS_PER_WEEK_PER_BED*SEASON_WEEKS*(1+MESCLUN_DIM_RTRN_PCT)^A91</f>
        <v>1784.15030256022</v>
      </c>
      <c r="C91" s="13" t="n">
        <f aca="false">B91*PERMANENT_HOURLY_RATE</f>
        <v>61945.698504891</v>
      </c>
      <c r="D91" s="13" t="n">
        <f aca="false">B91*TEMP_HOURLY_RATE</f>
        <v>30972.8492524455</v>
      </c>
      <c r="E91" s="13" t="n">
        <f aca="false">A91*MESCLUN_FERTILIZER_PER_BED</f>
        <v>24640</v>
      </c>
      <c r="F91" s="14" t="n">
        <f aca="false">B91-B90</f>
        <v>84.9595382171533</v>
      </c>
      <c r="G91" s="13" t="n">
        <f aca="false">C91-C90</f>
        <v>2949.79516689956</v>
      </c>
      <c r="H91" s="13" t="n">
        <f aca="false">D91-D90</f>
        <v>1474.89758344978</v>
      </c>
      <c r="I91" s="13" t="n">
        <f aca="false">E91-E90</f>
        <v>880</v>
      </c>
      <c r="J91" s="13" t="n">
        <f aca="false">G91+I91</f>
        <v>3829.79516689956</v>
      </c>
      <c r="K91" s="13" t="n">
        <f aca="false">H91+I91</f>
        <v>2354.89758344978</v>
      </c>
      <c r="L91" s="13" t="n">
        <f aca="false">MESCLUN_REVENUE_PER_BED</f>
        <v>2700</v>
      </c>
      <c r="M91" s="12" t="n">
        <f aca="false">IF(L91&gt;=J91,1,0)</f>
        <v>0</v>
      </c>
      <c r="N91" s="12" t="n">
        <f aca="false">IF(L91&gt;=K91,1,0)</f>
        <v>1</v>
      </c>
      <c r="O91" s="13" t="n">
        <f aca="false">B91*MESCLUN_MC_RATE</f>
        <v>61945.698504891</v>
      </c>
      <c r="P91" s="13" t="n">
        <f aca="false">O91-O90</f>
        <v>2949.79516689956</v>
      </c>
      <c r="Q91" s="13" t="n">
        <f aca="false">P91+I91</f>
        <v>3829.79516689956</v>
      </c>
      <c r="R91" s="12" t="n">
        <f aca="false">IF(L91&gt;=Q91,1,0)</f>
        <v>0</v>
      </c>
      <c r="S91" s="13" t="n">
        <f aca="false">MIN(B91,PERMANENT_FIELD_LABOR_HOURS)*PERMANENT_HOURLY_RATE+MAX(0,B91-PERMANENT_FIELD_LABOR_HOURS)*TEMP_HOURLY_RATE</f>
        <v>43472.0492524455</v>
      </c>
      <c r="T91" s="13" t="n">
        <f aca="false">S91-S90</f>
        <v>1474.89758344978</v>
      </c>
      <c r="U91" s="13" t="n">
        <f aca="false">T91+I91</f>
        <v>2354.89758344978</v>
      </c>
      <c r="V91" s="12" t="n">
        <f aca="false">IF(L91&gt;=U91,1,0)</f>
        <v>1</v>
      </c>
    </row>
    <row r="92" customFormat="false" ht="15" hidden="false" customHeight="false" outlineLevel="0" collapsed="false">
      <c r="A92" s="12" t="n">
        <f aca="false">ROW()-ROW($A$63)</f>
        <v>29</v>
      </c>
      <c r="B92" s="14" t="n">
        <f aca="false">A92*MESCLUN_HRS_PER_WEEK_PER_BED*SEASON_WEEKS*(1+MESCLUN_DIM_RTRN_PCT)^A92</f>
        <v>1870.96833067588</v>
      </c>
      <c r="C92" s="13" t="n">
        <f aca="false">B92*PERMANENT_HOURLY_RATE</f>
        <v>64960.0204410664</v>
      </c>
      <c r="D92" s="13" t="n">
        <f aca="false">B92*TEMP_HOURLY_RATE</f>
        <v>32480.0102205332</v>
      </c>
      <c r="E92" s="13" t="n">
        <f aca="false">A92*MESCLUN_FERTILIZER_PER_BED</f>
        <v>25520</v>
      </c>
      <c r="F92" s="14" t="n">
        <f aca="false">B92-B91</f>
        <v>86.8180281156533</v>
      </c>
      <c r="G92" s="13" t="n">
        <f aca="false">C92-C91</f>
        <v>3014.32193617548</v>
      </c>
      <c r="H92" s="13" t="n">
        <f aca="false">D92-D91</f>
        <v>1507.16096808774</v>
      </c>
      <c r="I92" s="13" t="n">
        <f aca="false">E92-E91</f>
        <v>880</v>
      </c>
      <c r="J92" s="13" t="n">
        <f aca="false">G92+I92</f>
        <v>3894.32193617548</v>
      </c>
      <c r="K92" s="13" t="n">
        <f aca="false">H92+I92</f>
        <v>2387.16096808774</v>
      </c>
      <c r="L92" s="13" t="n">
        <f aca="false">MESCLUN_REVENUE_PER_BED</f>
        <v>2700</v>
      </c>
      <c r="M92" s="12" t="n">
        <f aca="false">IF(L92&gt;=J92,1,0)</f>
        <v>0</v>
      </c>
      <c r="N92" s="12" t="n">
        <f aca="false">IF(L92&gt;=K92,1,0)</f>
        <v>1</v>
      </c>
      <c r="O92" s="13" t="n">
        <f aca="false">B92*MESCLUN_MC_RATE</f>
        <v>64960.0204410664</v>
      </c>
      <c r="P92" s="13" t="n">
        <f aca="false">O92-O91</f>
        <v>3014.32193617548</v>
      </c>
      <c r="Q92" s="13" t="n">
        <f aca="false">P92+I92</f>
        <v>3894.32193617548</v>
      </c>
      <c r="R92" s="12" t="n">
        <f aca="false">IF(L92&gt;=Q92,1,0)</f>
        <v>0</v>
      </c>
      <c r="S92" s="13" t="n">
        <f aca="false">MIN(B92,PERMANENT_FIELD_LABOR_HOURS)*PERMANENT_HOURLY_RATE+MAX(0,B92-PERMANENT_FIELD_LABOR_HOURS)*TEMP_HOURLY_RATE</f>
        <v>44979.2102205332</v>
      </c>
      <c r="T92" s="13" t="n">
        <f aca="false">S92-S91</f>
        <v>1507.16096808774</v>
      </c>
      <c r="U92" s="13" t="n">
        <f aca="false">T92+I92</f>
        <v>2387.16096808774</v>
      </c>
      <c r="V92" s="12" t="n">
        <f aca="false">IF(L92&gt;=U92,1,0)</f>
        <v>1</v>
      </c>
    </row>
    <row r="93" customFormat="false" ht="15" hidden="false" customHeight="false" outlineLevel="0" collapsed="false">
      <c r="A93" s="12" t="n">
        <f aca="false">ROW()-ROW($A$63)</f>
        <v>30</v>
      </c>
      <c r="B93" s="14" t="n">
        <f aca="false">A93*MESCLUN_HRS_PER_WEEK_PER_BED*SEASON_WEEKS*(1+MESCLUN_DIM_RTRN_PCT)^A93</f>
        <v>1959.67803600965</v>
      </c>
      <c r="C93" s="13" t="n">
        <f aca="false">B93*PERMANENT_HOURLY_RATE</f>
        <v>68040.0214102549</v>
      </c>
      <c r="D93" s="13" t="n">
        <f aca="false">B93*TEMP_HOURLY_RATE</f>
        <v>34020.0107051275</v>
      </c>
      <c r="E93" s="13" t="n">
        <f aca="false">A93*MESCLUN_FERTILIZER_PER_BED</f>
        <v>26400</v>
      </c>
      <c r="F93" s="14" t="n">
        <f aca="false">B93-B92</f>
        <v>88.70970533377</v>
      </c>
      <c r="G93" s="13" t="n">
        <f aca="false">C93-C92</f>
        <v>3080.00096918849</v>
      </c>
      <c r="H93" s="13" t="n">
        <f aca="false">D93-D92</f>
        <v>1540.00048459425</v>
      </c>
      <c r="I93" s="13" t="n">
        <f aca="false">E93-E92</f>
        <v>880</v>
      </c>
      <c r="J93" s="13" t="n">
        <f aca="false">G93+I93</f>
        <v>3960.00096918849</v>
      </c>
      <c r="K93" s="13" t="n">
        <f aca="false">H93+I93</f>
        <v>2420.00048459425</v>
      </c>
      <c r="L93" s="13" t="n">
        <f aca="false">MESCLUN_REVENUE_PER_BED</f>
        <v>2700</v>
      </c>
      <c r="M93" s="12" t="n">
        <f aca="false">IF(L93&gt;=J93,1,0)</f>
        <v>0</v>
      </c>
      <c r="N93" s="12" t="n">
        <f aca="false">IF(L93&gt;=K93,1,0)</f>
        <v>1</v>
      </c>
      <c r="O93" s="13" t="n">
        <f aca="false">B93*MESCLUN_MC_RATE</f>
        <v>68040.0214102549</v>
      </c>
      <c r="P93" s="13" t="n">
        <f aca="false">O93-O92</f>
        <v>3080.00096918849</v>
      </c>
      <c r="Q93" s="13" t="n">
        <f aca="false">P93+I93</f>
        <v>3960.00096918849</v>
      </c>
      <c r="R93" s="12" t="n">
        <f aca="false">IF(L93&gt;=Q93,1,0)</f>
        <v>0</v>
      </c>
      <c r="S93" s="13" t="n">
        <f aca="false">MIN(B93,PERMANENT_FIELD_LABOR_HOURS)*PERMANENT_HOURLY_RATE+MAX(0,B93-PERMANENT_FIELD_LABOR_HOURS)*TEMP_HOURLY_RATE</f>
        <v>46519.2107051275</v>
      </c>
      <c r="T93" s="13" t="n">
        <f aca="false">S93-S92</f>
        <v>1540.00048459425</v>
      </c>
      <c r="U93" s="13" t="n">
        <f aca="false">T93+I93</f>
        <v>2420.00048459425</v>
      </c>
      <c r="V93" s="12" t="n">
        <f aca="false">IF(L93&gt;=U93,1,0)</f>
        <v>1</v>
      </c>
    </row>
  </sheetData>
  <conditionalFormatting sqref="A13:V33">
    <cfRule type="expression" priority="2" aboveAverage="0" equalAverage="0" bottom="0" percent="0" rank="0" text="" dxfId="2">
      <formula>ISERROR(A13)</formula>
    </cfRule>
  </conditionalFormatting>
  <conditionalFormatting sqref="A38:V58">
    <cfRule type="expression" priority="3" aboveAverage="0" equalAverage="0" bottom="0" percent="0" rank="0" text="" dxfId="2">
      <formula>ISERROR(A38)</formula>
    </cfRule>
  </conditionalFormatting>
  <conditionalFormatting sqref="A63:V93">
    <cfRule type="expression" priority="4" aboveAverage="0" equalAverage="0" bottom="0" percent="0" rank="0" text="" dxfId="2">
      <formula>ISERROR(A63)</formula>
    </cfRule>
  </conditionalFormatting>
  <conditionalFormatting sqref="A6:J8">
    <cfRule type="expression" priority="5" aboveAverage="0" equalAverage="0" bottom="0" percent="0" rank="0" text="" dxfId="2">
      <formula>ISERROR(A6)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6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70"/>
  </cols>
  <sheetData>
    <row r="1" customFormat="false" ht="17.35" hidden="false" customHeight="false" outlineLevel="0" collapsed="false">
      <c r="A1" s="1" t="s">
        <v>514</v>
      </c>
    </row>
    <row r="2" customFormat="false" ht="15" hidden="false" customHeight="false" outlineLevel="0" collapsed="false">
      <c r="A2" s="2" t="s">
        <v>515</v>
      </c>
    </row>
    <row r="4" customFormat="false" ht="15" hidden="false" customHeight="false" outlineLevel="0" collapsed="false">
      <c r="A4" s="3" t="s">
        <v>516</v>
      </c>
    </row>
    <row r="5" customFormat="false" ht="15" hidden="false" customHeight="false" outlineLevel="0" collapsed="false">
      <c r="A5" s="6" t="s">
        <v>382</v>
      </c>
      <c r="B5" s="6" t="s">
        <v>349</v>
      </c>
      <c r="C5" s="6" t="s">
        <v>424</v>
      </c>
      <c r="D5" s="6" t="s">
        <v>348</v>
      </c>
      <c r="E5" s="6" t="s">
        <v>401</v>
      </c>
    </row>
    <row r="6" customFormat="false" ht="15" hidden="false" customHeight="false" outlineLevel="0" collapsed="false">
      <c r="A6" s="0" t="s">
        <v>386</v>
      </c>
      <c r="B6" s="0" t="s">
        <v>135</v>
      </c>
      <c r="C6" s="41" t="n">
        <v>10</v>
      </c>
      <c r="D6" s="21" t="s">
        <v>351</v>
      </c>
      <c r="E6" s="21" t="s">
        <v>517</v>
      </c>
    </row>
    <row r="7" customFormat="false" ht="15" hidden="false" customHeight="false" outlineLevel="0" collapsed="false">
      <c r="A7" s="0" t="s">
        <v>387</v>
      </c>
      <c r="B7" s="0" t="s">
        <v>137</v>
      </c>
      <c r="C7" s="41" t="n">
        <v>20</v>
      </c>
      <c r="D7" s="21" t="s">
        <v>351</v>
      </c>
      <c r="E7" s="21" t="s">
        <v>517</v>
      </c>
    </row>
    <row r="8" customFormat="false" ht="15" hidden="false" customHeight="false" outlineLevel="0" collapsed="false">
      <c r="A8" s="0" t="s">
        <v>388</v>
      </c>
      <c r="B8" s="0" t="s">
        <v>139</v>
      </c>
      <c r="C8" s="41" t="n">
        <v>30</v>
      </c>
      <c r="D8" s="21" t="s">
        <v>351</v>
      </c>
      <c r="E8" s="21" t="s">
        <v>517</v>
      </c>
    </row>
    <row r="10" customFormat="false" ht="15" hidden="false" customHeight="false" outlineLevel="0" collapsed="false">
      <c r="A10" s="3" t="s">
        <v>518</v>
      </c>
    </row>
    <row r="11" customFormat="false" ht="15" hidden="false" customHeight="false" outlineLevel="0" collapsed="false">
      <c r="A11" s="0" t="s">
        <v>371</v>
      </c>
      <c r="B11" s="0" t="s">
        <v>250</v>
      </c>
      <c r="C11" s="42" t="n">
        <f aca="false">SEASONAL_PROFIT</f>
        <v>42775.1553877422</v>
      </c>
      <c r="D11" s="21" t="s">
        <v>445</v>
      </c>
      <c r="E11" s="21" t="s">
        <v>519</v>
      </c>
    </row>
    <row r="13" customFormat="false" ht="15" hidden="false" customHeight="false" outlineLevel="0" collapsed="false">
      <c r="A13" s="3" t="s">
        <v>520</v>
      </c>
    </row>
    <row r="14" customFormat="false" ht="15" hidden="false" customHeight="false" outlineLevel="0" collapsed="false">
      <c r="A14" s="6" t="s">
        <v>521</v>
      </c>
      <c r="B14" s="6" t="s">
        <v>522</v>
      </c>
      <c r="C14" s="6" t="s">
        <v>523</v>
      </c>
      <c r="D14" s="6" t="s">
        <v>524</v>
      </c>
      <c r="E14" s="6" t="s">
        <v>525</v>
      </c>
      <c r="F14" s="6" t="s">
        <v>526</v>
      </c>
      <c r="G14" s="6" t="s">
        <v>527</v>
      </c>
    </row>
    <row r="15" customFormat="false" ht="15" hidden="false" customHeight="false" outlineLevel="0" collapsed="false">
      <c r="A15" s="43" t="s">
        <v>528</v>
      </c>
      <c r="B15" s="44" t="n">
        <f aca="false">TOMATO_BEDS</f>
        <v>10</v>
      </c>
      <c r="C15" s="45" t="s">
        <v>529</v>
      </c>
      <c r="D15" s="44" t="n">
        <f aca="false">TOMATO_BED_CAP</f>
        <v>20</v>
      </c>
      <c r="E15" s="44" t="n">
        <f aca="false">D15-B15</f>
        <v>10</v>
      </c>
      <c r="F15" s="46" t="str">
        <f aca="false">IF(B15&lt;=D15+0.000000001,"OK","VIOLATED")</f>
        <v>OK</v>
      </c>
      <c r="G15" s="46" t="str">
        <f aca="false">IF(ABS(E15)&lt;0.000000001,"Binding","Not binding")</f>
        <v>Not binding</v>
      </c>
    </row>
    <row r="16" customFormat="false" ht="15" hidden="false" customHeight="false" outlineLevel="0" collapsed="false">
      <c r="A16" s="43" t="s">
        <v>530</v>
      </c>
      <c r="B16" s="44" t="n">
        <f aca="false">CARROT_BEDS</f>
        <v>20</v>
      </c>
      <c r="C16" s="45" t="s">
        <v>529</v>
      </c>
      <c r="D16" s="44" t="n">
        <f aca="false">CARROT_BED_CAP</f>
        <v>20</v>
      </c>
      <c r="E16" s="44" t="n">
        <f aca="false">D16-B16</f>
        <v>0</v>
      </c>
      <c r="F16" s="46" t="str">
        <f aca="false">IF(B16&lt;=D16+0.000000001,"OK","VIOLATED")</f>
        <v>OK</v>
      </c>
      <c r="G16" s="46" t="str">
        <f aca="false">IF(ABS(E16)&lt;0.000000001,"Binding","Not binding")</f>
        <v>Binding</v>
      </c>
    </row>
    <row r="17" customFormat="false" ht="15" hidden="false" customHeight="false" outlineLevel="0" collapsed="false">
      <c r="A17" s="43" t="s">
        <v>531</v>
      </c>
      <c r="B17" s="44" t="n">
        <f aca="false">MESCLUN_BEDS</f>
        <v>30</v>
      </c>
      <c r="C17" s="45" t="s">
        <v>529</v>
      </c>
      <c r="D17" s="44" t="n">
        <f aca="false">MESCLUN_BED_CAP</f>
        <v>30</v>
      </c>
      <c r="E17" s="44" t="n">
        <f aca="false">D17-B17</f>
        <v>0</v>
      </c>
      <c r="F17" s="46" t="str">
        <f aca="false">IF(B17&lt;=D17+0.000000001,"OK","VIOLATED")</f>
        <v>OK</v>
      </c>
      <c r="G17" s="46" t="str">
        <f aca="false">IF(ABS(E17)&lt;0.000000001,"Binding","Not binding")</f>
        <v>Binding</v>
      </c>
    </row>
    <row r="18" customFormat="false" ht="15" hidden="false" customHeight="false" outlineLevel="0" collapsed="false">
      <c r="A18" s="43" t="s">
        <v>532</v>
      </c>
      <c r="B18" s="44" t="n">
        <f aca="false">TOTAL_BEDS_USED</f>
        <v>60</v>
      </c>
      <c r="C18" s="45" t="s">
        <v>529</v>
      </c>
      <c r="D18" s="44" t="n">
        <f aca="false">TOTAL_BEDS_AVAILABLE</f>
        <v>64</v>
      </c>
      <c r="E18" s="44" t="n">
        <f aca="false">D18-B18</f>
        <v>4</v>
      </c>
      <c r="F18" s="46" t="str">
        <f aca="false">IF(B18&lt;=D18+0.000000001,"OK","VIOLATED")</f>
        <v>OK</v>
      </c>
      <c r="G18" s="46" t="str">
        <f aca="false">IF(ABS(E18)&lt;0.000000001,"Binding","Not binding")</f>
        <v>Not binding</v>
      </c>
    </row>
    <row r="19" customFormat="false" ht="15" hidden="false" customHeight="false" outlineLevel="0" collapsed="false">
      <c r="A19" s="43" t="s">
        <v>533</v>
      </c>
      <c r="B19" s="47" t="n">
        <f aca="false">TEMP_HOURS_USED</f>
        <v>4556.82284632822</v>
      </c>
      <c r="C19" s="45" t="s">
        <v>529</v>
      </c>
      <c r="D19" s="47" t="n">
        <f aca="false">TEMP_HOURS_CAP</f>
        <v>5760</v>
      </c>
      <c r="E19" s="47" t="n">
        <f aca="false">D19-B19</f>
        <v>1203.17715367179</v>
      </c>
      <c r="F19" s="46" t="str">
        <f aca="false">IF(B19&lt;=D19+0.000000001,"OK","VIOLATED")</f>
        <v>OK</v>
      </c>
      <c r="G19" s="46" t="str">
        <f aca="false">IF(ABS(E19)&lt;0.000000001,"Binding","Not binding")</f>
        <v>Not binding</v>
      </c>
    </row>
    <row r="20" customFormat="false" ht="15" hidden="false" customHeight="false" outlineLevel="0" collapsed="false">
      <c r="A20" s="43" t="s">
        <v>534</v>
      </c>
      <c r="B20" s="47" t="n">
        <f aca="false">TOTAL_LABOR_HOURS</f>
        <v>5276.82284632822</v>
      </c>
      <c r="C20" s="45" t="s">
        <v>529</v>
      </c>
      <c r="D20" s="47" t="n">
        <f aca="false">TOTAL_LABOR_HOURS_CAP</f>
        <v>6480</v>
      </c>
      <c r="E20" s="47" t="n">
        <f aca="false">D20-B20</f>
        <v>1203.17715367179</v>
      </c>
      <c r="F20" s="46" t="str">
        <f aca="false">IF(B20&lt;=D20+0.000000001,"OK","VIOLATED")</f>
        <v>OK</v>
      </c>
      <c r="G20" s="46" t="str">
        <f aca="false">IF(ABS(E20)&lt;0.000000001,"Binding","Not binding")</f>
        <v>Not binding</v>
      </c>
    </row>
    <row r="21" customFormat="false" ht="15" hidden="false" customHeight="false" outlineLevel="0" collapsed="false">
      <c r="A21" s="43" t="s">
        <v>535</v>
      </c>
      <c r="B21" s="44" t="n">
        <f aca="false">TOMATO_BEDS</f>
        <v>10</v>
      </c>
      <c r="C21" s="45" t="s">
        <v>536</v>
      </c>
      <c r="D21" s="44" t="s">
        <v>537</v>
      </c>
      <c r="E21" s="46" t="s">
        <v>509</v>
      </c>
      <c r="F21" s="46" t="str">
        <f aca="false">IF(B21=INT(B21),"OK","VIOLATED")</f>
        <v>OK</v>
      </c>
      <c r="G21" s="46" t="s">
        <v>509</v>
      </c>
    </row>
    <row r="22" customFormat="false" ht="15" hidden="false" customHeight="false" outlineLevel="0" collapsed="false">
      <c r="A22" s="43" t="s">
        <v>538</v>
      </c>
      <c r="B22" s="44" t="n">
        <f aca="false">CARROT_BEDS</f>
        <v>20</v>
      </c>
      <c r="C22" s="45" t="s">
        <v>536</v>
      </c>
      <c r="D22" s="44" t="s">
        <v>537</v>
      </c>
      <c r="E22" s="46" t="s">
        <v>509</v>
      </c>
      <c r="F22" s="46" t="str">
        <f aca="false">IF(B22=INT(B22),"OK","VIOLATED")</f>
        <v>OK</v>
      </c>
      <c r="G22" s="46" t="s">
        <v>509</v>
      </c>
    </row>
    <row r="23" customFormat="false" ht="15" hidden="false" customHeight="false" outlineLevel="0" collapsed="false">
      <c r="A23" s="43" t="s">
        <v>539</v>
      </c>
      <c r="B23" s="44" t="n">
        <f aca="false">MESCLUN_BEDS</f>
        <v>30</v>
      </c>
      <c r="C23" s="45" t="s">
        <v>536</v>
      </c>
      <c r="D23" s="44" t="s">
        <v>537</v>
      </c>
      <c r="E23" s="46" t="s">
        <v>509</v>
      </c>
      <c r="F23" s="46" t="str">
        <f aca="false">IF(B23=INT(B23),"OK","VIOLATED")</f>
        <v>OK</v>
      </c>
      <c r="G23" s="46" t="s">
        <v>509</v>
      </c>
    </row>
    <row r="24" customFormat="false" ht="15" hidden="false" customHeight="false" outlineLevel="0" collapsed="false">
      <c r="A24" s="43" t="s">
        <v>540</v>
      </c>
      <c r="B24" s="44" t="n">
        <f aca="false">TOMATO_BEDS</f>
        <v>10</v>
      </c>
      <c r="C24" s="45" t="s">
        <v>541</v>
      </c>
      <c r="D24" s="44" t="n">
        <v>0</v>
      </c>
      <c r="E24" s="44" t="n">
        <f aca="false">B24-D24</f>
        <v>10</v>
      </c>
      <c r="F24" s="46" t="str">
        <f aca="false">IF(B24&gt;=D24,"OK","VIOLATED")</f>
        <v>OK</v>
      </c>
      <c r="G24" s="46" t="str">
        <f aca="false">IF(ABS(E24)&lt;0.000000001,"Binding","Not binding")</f>
        <v>Not binding</v>
      </c>
    </row>
    <row r="25" customFormat="false" ht="15" hidden="false" customHeight="false" outlineLevel="0" collapsed="false">
      <c r="A25" s="43" t="s">
        <v>542</v>
      </c>
      <c r="B25" s="44" t="n">
        <f aca="false">CARROT_BEDS</f>
        <v>20</v>
      </c>
      <c r="C25" s="45" t="s">
        <v>541</v>
      </c>
      <c r="D25" s="44" t="n">
        <v>0</v>
      </c>
      <c r="E25" s="44" t="n">
        <f aca="false">B25-D25</f>
        <v>20</v>
      </c>
      <c r="F25" s="46" t="str">
        <f aca="false">IF(B25&gt;=D25,"OK","VIOLATED")</f>
        <v>OK</v>
      </c>
      <c r="G25" s="46" t="str">
        <f aca="false">IF(ABS(E25)&lt;0.000000001,"Binding","Not binding")</f>
        <v>Not binding</v>
      </c>
    </row>
    <row r="26" customFormat="false" ht="15" hidden="false" customHeight="false" outlineLevel="0" collapsed="false">
      <c r="A26" s="43" t="s">
        <v>543</v>
      </c>
      <c r="B26" s="44" t="n">
        <f aca="false">MESCLUN_BEDS</f>
        <v>30</v>
      </c>
      <c r="C26" s="45" t="s">
        <v>541</v>
      </c>
      <c r="D26" s="44" t="n">
        <v>0</v>
      </c>
      <c r="E26" s="44" t="n">
        <f aca="false">B26-D26</f>
        <v>30</v>
      </c>
      <c r="F26" s="46" t="str">
        <f aca="false">IF(B26&gt;=D26,"OK","VIOLATED")</f>
        <v>OK</v>
      </c>
      <c r="G26" s="46" t="str">
        <f aca="false">IF(ABS(E26)&lt;0.000000001,"Binding","Not binding")</f>
        <v>Not binding</v>
      </c>
    </row>
    <row r="28" customFormat="false" ht="15" hidden="false" customHeight="false" outlineLevel="0" collapsed="false">
      <c r="A28" s="3" t="s">
        <v>544</v>
      </c>
    </row>
    <row r="29" customFormat="false" ht="45" hidden="false" customHeight="true" outlineLevel="0" collapsed="false">
      <c r="A29" s="6" t="s">
        <v>382</v>
      </c>
      <c r="B29" s="6" t="s">
        <v>545</v>
      </c>
      <c r="C29" s="6" t="s">
        <v>546</v>
      </c>
      <c r="D29" s="6" t="s">
        <v>547</v>
      </c>
      <c r="E29" s="6" t="s">
        <v>548</v>
      </c>
      <c r="F29" s="6" t="s">
        <v>549</v>
      </c>
      <c r="G29" s="6" t="s">
        <v>550</v>
      </c>
      <c r="H29" s="6" t="s">
        <v>551</v>
      </c>
      <c r="I29" s="6" t="s">
        <v>552</v>
      </c>
      <c r="J29" s="6" t="s">
        <v>553</v>
      </c>
      <c r="K29" s="6" t="s">
        <v>554</v>
      </c>
    </row>
    <row r="30" customFormat="false" ht="45" hidden="false" customHeight="true" outlineLevel="0" collapsed="false">
      <c r="A30" s="3" t="s">
        <v>386</v>
      </c>
      <c r="B30" s="12" t="n">
        <f aca="false">TOMATO_BEDS</f>
        <v>10</v>
      </c>
      <c r="C30" s="14" t="n">
        <f aca="false">((TOMATO_BEDS+1)*TOMATO_HRS_PER_WEEK_PER_BED*SEASON_WEEKS*(1+TOMATO_DIM_RTRN_PCT)^(TOMATO_BEDS+1))-TOMATO_LABOR_HRS</f>
        <v>490.2173249589</v>
      </c>
      <c r="D30" s="13" t="n">
        <f aca="false">(MIN(TOTAL_LABOR_HOURS+C30,PERMANENT_FIELD_LABOR_HOURS)*PERMANENT_HOURLY_RATE+MAX(0,TOTAL_LABOR_HOURS+C30-PERMANENT_FIELD_LABOR_HOURS)*TEMP_HOURLY_RATE)-TOTAL_LABOR_COST</f>
        <v>8510.17276128651</v>
      </c>
      <c r="E30" s="13" t="n">
        <f aca="false">TOMATO_FERTILIZER_PER_BED</f>
        <v>880</v>
      </c>
      <c r="F30" s="13" t="n">
        <f aca="false">TOMATO_REVENUE_PER_BED</f>
        <v>8800</v>
      </c>
      <c r="G30" s="13" t="n">
        <f aca="false">F30-E30-D30</f>
        <v>-590.172761286507</v>
      </c>
      <c r="H30" s="48" t="b">
        <f aca="false">AND(TOMATO_BEDS+1&lt;=TOMATO_BED_CAP,TOTAL_BEDS_USED+1&lt;=TOTAL_BEDS_AVAILABLE,TOTAL_LABOR_HOURS+C30&lt;=TOTAL_LABOR_HOURS_CAP,MAX(0,TOTAL_LABOR_HOURS+C30-PERMANENT_FIELD_LABOR_HOURS)&lt;=TEMP_HOURS_CAP)</f>
        <v>1</v>
      </c>
      <c r="I30" s="14" t="n">
        <f aca="false">IF(TOMATO_BEDS=0,0,TOMATO_LABOR_HRS-((TOMATO_BEDS-1)*TOMATO_HRS_PER_WEEK_PER_BED*SEASON_WEEKS*(1+TOMATO_DIM_RTRN_PCT)^(TOMATO_BEDS-1)))</f>
        <v>424.43058438</v>
      </c>
      <c r="J30" s="13" t="n">
        <f aca="false">IF(TOMATO_BEDS=0,"n/a",-(F30-E30)+(TOTAL_LABOR_COST-(MIN(TOTAL_LABOR_HOURS-I30,PERMANENT_FIELD_LABOR_HOURS)*PERMANENT_HOURLY_RATE+MAX(0,TOTAL_LABOR_HOURS-I30-PERMANENT_FIELD_LABOR_HOURS)*TEMP_HOURLY_RATE)))</f>
        <v>-551.885055163191</v>
      </c>
      <c r="K30" s="49" t="str">
        <f aca="false">IF(TOMATO_BEDS&gt;=TOMATO_BED_CAP,"BINDING: tomato bed cap ("&amp;TOMATO_BED_CAP&amp;" beds). One more bed would change profit by "&amp;TEXT(G30,"$#,##0;-$#,##0")&amp;", so the cap limits profit.",IF(NOT(H30),"BINDING: a farm-level bed or labor limit blocks the next tomato bed.",IF(G30&lt;=0,"Not constraint-limited: stops on marginal cost. Bed "&amp;(TOMATO_BEDS+1)&amp;" would add "&amp;TEXT(C30,"#,##0")&amp;" labor hours and change profit by "&amp;TEXT(G30,"$#,##0;-$#,##0")&amp;".","NOT OPTIMAL: one more tomato bed would raise profit by "&amp;TEXT(G30,"$#,##0")&amp;".")))</f>
        <v>Not constraint-limited: stops on marginal cost. Bed 11 would add 490 labor hours and change profit by -$590.</v>
      </c>
    </row>
    <row r="31" customFormat="false" ht="45" hidden="false" customHeight="true" outlineLevel="0" collapsed="false">
      <c r="A31" s="3" t="s">
        <v>387</v>
      </c>
      <c r="B31" s="12" t="n">
        <f aca="false">CARROT_BEDS</f>
        <v>20</v>
      </c>
      <c r="C31" s="14" t="n">
        <f aca="false">((CARROT_BEDS+1)*CARROT_HRS_PER_WEEK_PER_BED*SEASON_WEEKS*(1+CARROT_DIM_RTRN_PCT)^(CARROT_BEDS+1))-CARROT_LABOR_HRS</f>
        <v>74.9367154624281</v>
      </c>
      <c r="D31" s="13" t="n">
        <f aca="false">(MIN(TOTAL_LABOR_HOURS+C31,PERMANENT_FIELD_LABOR_HOURS)*PERMANENT_HOURLY_RATE+MAX(0,TOTAL_LABOR_HOURS+C31-PERMANENT_FIELD_LABOR_HOURS)*TEMP_HOURLY_RATE)-TOTAL_LABOR_COST</f>
        <v>1300.90138042775</v>
      </c>
      <c r="E31" s="13" t="n">
        <f aca="false">CARROT_FERTILIZER_PER_BED</f>
        <v>440</v>
      </c>
      <c r="F31" s="13" t="n">
        <f aca="false">CARROT_REVENUE_PER_BED</f>
        <v>2094</v>
      </c>
      <c r="G31" s="13" t="n">
        <f aca="false">F31-E31-D31</f>
        <v>353.098619572251</v>
      </c>
      <c r="H31" s="48" t="b">
        <f aca="false">AND(CARROT_BEDS+1&lt;=CARROT_BED_CAP,TOTAL_BEDS_USED+1&lt;=TOTAL_BEDS_AVAILABLE,TOTAL_LABOR_HOURS+C31&lt;=TOTAL_LABOR_HOURS_CAP,MAX(0,TOTAL_LABOR_HOURS+C31-PERMANENT_FIELD_LABOR_HOURS)&lt;=TEMP_HOURS_CAP)</f>
        <v>0</v>
      </c>
      <c r="I31" s="14" t="n">
        <f aca="false">IF(CARROT_BEDS=0,0,CARROT_LABOR_HRS-((CARROT_BEDS-1)*CARROT_HRS_PER_WEEK_PER_BED*SEASON_WEEKS*(1+CARROT_DIM_RTRN_PCT)^(CARROT_BEDS-1)))</f>
        <v>71.9104826508706</v>
      </c>
      <c r="J31" s="13" t="n">
        <f aca="false">IF(CARROT_BEDS=0,"n/a",-(F31-E31)+(TOTAL_LABOR_COST-(MIN(TOTAL_LABOR_HOURS-I31,PERMANENT_FIELD_LABOR_HOURS)*PERMANENT_HOURLY_RATE+MAX(0,TOTAL_LABOR_HOURS-I31-PERMANENT_FIELD_LABOR_HOURS)*TEMP_HOURLY_RATE)))</f>
        <v>-405.634021180871</v>
      </c>
      <c r="K31" s="49" t="str">
        <f aca="false">IF(CARROT_BEDS&gt;=CARROT_BED_CAP,"BINDING: carrot bed cap ("&amp;CARROT_BED_CAP&amp;" beds). One more bed would change profit by "&amp;TEXT(G31,"$#,##0;-$#,##0")&amp;", so the cap limits profit.",IF(NOT(H31),"BINDING: a farm-level bed or labor limit blocks the next carrot bed.",IF(G31&lt;=0,"Not constraint-limited: stops on marginal cost. Bed "&amp;(CARROT_BEDS+1)&amp;" would add "&amp;TEXT(C31,"#,##0")&amp;" labor hours and change profit by "&amp;TEXT(G31,"$#,##0;-$#,##0")&amp;".","NOT OPTIMAL: one more carrot bed would raise profit by "&amp;TEXT(G31,"$#,##0")&amp;".")))</f>
        <v>BINDING: carrot bed cap (20 beds). One more bed would change profit by $353, so the cap limits profit.</v>
      </c>
    </row>
    <row r="32" customFormat="false" ht="45" hidden="false" customHeight="true" outlineLevel="0" collapsed="false">
      <c r="A32" s="3" t="s">
        <v>388</v>
      </c>
      <c r="B32" s="12" t="n">
        <f aca="false">MESCLUN_BEDS</f>
        <v>30</v>
      </c>
      <c r="C32" s="14" t="n">
        <f aca="false">((MESCLUN_BEDS+1)*MESCLUN_HRS_PER_WEEK_PER_BED*SEASON_WEEKS*(1+MESCLUN_DIM_RTRN_PCT)^(MESCLUN_BEDS+1))-MESCLUN_LABOR_HRS</f>
        <v>90.6351091654462</v>
      </c>
      <c r="D32" s="13" t="n">
        <f aca="false">(MIN(TOTAL_LABOR_HOURS+C32,PERMANENT_FIELD_LABOR_HOURS)*PERMANENT_HOURLY_RATE+MAX(0,TOTAL_LABOR_HOURS+C32-PERMANENT_FIELD_LABOR_HOURS)*TEMP_HOURLY_RATE)-TOTAL_LABOR_COST</f>
        <v>1573.42549511214</v>
      </c>
      <c r="E32" s="13" t="n">
        <f aca="false">MESCLUN_FERTILIZER_PER_BED</f>
        <v>880</v>
      </c>
      <c r="F32" s="13" t="n">
        <f aca="false">MESCLUN_REVENUE_PER_BED</f>
        <v>2700</v>
      </c>
      <c r="G32" s="13" t="n">
        <f aca="false">F32-E32-D32</f>
        <v>246.57450488786</v>
      </c>
      <c r="H32" s="48" t="b">
        <f aca="false">AND(MESCLUN_BEDS+1&lt;=MESCLUN_BED_CAP,TOTAL_BEDS_USED+1&lt;=TOTAL_BEDS_AVAILABLE,TOTAL_LABOR_HOURS+C32&lt;=TOTAL_LABOR_HOURS_CAP,MAX(0,TOTAL_LABOR_HOURS+C32-PERMANENT_FIELD_LABOR_HOURS)&lt;=TEMP_HOURS_CAP)</f>
        <v>0</v>
      </c>
      <c r="I32" s="14" t="n">
        <f aca="false">IF(MESCLUN_BEDS=0,0,MESCLUN_LABOR_HRS-((MESCLUN_BEDS-1)*MESCLUN_HRS_PER_WEEK_PER_BED*SEASON_WEEKS*(1+MESCLUN_DIM_RTRN_PCT)^(MESCLUN_BEDS-1)))</f>
        <v>88.70970533377</v>
      </c>
      <c r="J32" s="13" t="n">
        <f aca="false">IF(MESCLUN_BEDS=0,"n/a",-(F32-E32)+(TOTAL_LABOR_COST-(MIN(TOTAL_LABOR_HOURS-I32,PERMANENT_FIELD_LABOR_HOURS)*PERMANENT_HOURLY_RATE+MAX(0,TOTAL_LABOR_HOURS-I32-PERMANENT_FIELD_LABOR_HOURS)*TEMP_HOURLY_RATE)))</f>
        <v>-279.999515405754</v>
      </c>
      <c r="K32" s="49" t="str">
        <f aca="false">IF(MESCLUN_BEDS&gt;=MESCLUN_BED_CAP,"BINDING: mesclun bed cap ("&amp;MESCLUN_BED_CAP&amp;" beds). One more bed would change profit by "&amp;TEXT(G32,"$#,##0;-$#,##0")&amp;", so the cap limits profit.",IF(NOT(H32),"BINDING: a farm-level bed or labor limit blocks the next mesclun bed.",IF(G32&lt;=0,"Not constraint-limited: stops on marginal cost. Bed "&amp;(MESCLUN_BEDS+1)&amp;" would add "&amp;TEXT(C32,"#,##0")&amp;" labor hours and change profit by "&amp;TEXT(G32,"$#,##0;-$#,##0")&amp;".","NOT OPTIMAL: one more mesclun bed would raise profit by "&amp;TEXT(G32,"$#,##0")&amp;".")))</f>
        <v>BINDING: mesclun bed cap (30 beds). One more bed would change profit by $247, so the cap limits profit.</v>
      </c>
    </row>
    <row r="34" customFormat="false" ht="15" hidden="false" customHeight="false" outlineLevel="0" collapsed="false">
      <c r="A34" s="3" t="s">
        <v>555</v>
      </c>
    </row>
    <row r="35" customFormat="false" ht="15" hidden="false" customHeight="false" outlineLevel="0" collapsed="false">
      <c r="A35" s="6" t="s">
        <v>521</v>
      </c>
      <c r="B35" s="6" t="s">
        <v>556</v>
      </c>
      <c r="C35" s="6" t="s">
        <v>557</v>
      </c>
      <c r="D35" s="6" t="s">
        <v>558</v>
      </c>
      <c r="E35" s="6" t="s">
        <v>559</v>
      </c>
    </row>
    <row r="36" customFormat="false" ht="30" hidden="false" customHeight="true" outlineLevel="0" collapsed="false">
      <c r="A36" s="0" t="s">
        <v>560</v>
      </c>
      <c r="B36" s="12" t="n">
        <f aca="false">TOTAL_BEDS_USED</f>
        <v>60</v>
      </c>
      <c r="C36" s="12" t="n">
        <f aca="false">TOTAL_BEDS_AVAILABLE</f>
        <v>64</v>
      </c>
      <c r="D36" s="12" t="n">
        <f aca="false">UNUSED_BEDS</f>
        <v>4</v>
      </c>
      <c r="E36" s="49" t="str">
        <f aca="false">IF(D36&lt;=0.000000001,"BINDING: all beds are used; extra beds must displace existing ones (opportunity cost).","Not binding: "&amp;TEXT(D36,"#,##0")&amp;" beds unused, so this limit has no opportunity cost at the current mix.")</f>
        <v>Not binding: 4 beds unused, so this limit has no opportunity cost at the current mix.</v>
      </c>
    </row>
    <row r="37" customFormat="false" ht="30" hidden="false" customHeight="true" outlineLevel="0" collapsed="false">
      <c r="A37" s="0" t="s">
        <v>359</v>
      </c>
      <c r="B37" s="14" t="n">
        <f aca="false">TOTAL_LABOR_HOURS</f>
        <v>5276.82284632822</v>
      </c>
      <c r="C37" s="14" t="n">
        <f aca="false">TOTAL_LABOR_HOURS_CAP</f>
        <v>6480</v>
      </c>
      <c r="D37" s="14" t="n">
        <f aca="false">UNUSED_LABOR_HOURS</f>
        <v>1203.17715367179</v>
      </c>
      <c r="E37" s="49" t="str">
        <f aca="false">IF(D37&lt;=0.000000001,"BINDING: all labor hours are used; extra beds must displace existing ones (opportunity cost).","Not binding: "&amp;TEXT(D37,"#,##0.0")&amp;" labor hours unused, so this limit has no opportunity cost at the current mix.")</f>
        <v>Not binding: 1,203.2 labor hours unused, so this limit has no opportunity cost at the current mix.</v>
      </c>
    </row>
    <row r="38" customFormat="false" ht="30" hidden="false" customHeight="true" outlineLevel="0" collapsed="false">
      <c r="A38" s="0" t="s">
        <v>379</v>
      </c>
      <c r="B38" s="14" t="n">
        <f aca="false">TEMP_HOURS_USED</f>
        <v>4556.82284632822</v>
      </c>
      <c r="C38" s="14" t="n">
        <f aca="false">TEMP_HOURS_CAP</f>
        <v>5760</v>
      </c>
      <c r="D38" s="14" t="n">
        <f aca="false">TEMP_HOURS_CAP-TEMP_HOURS_USED</f>
        <v>1203.17715367179</v>
      </c>
      <c r="E38" s="49" t="str">
        <f aca="false">IF(D38&lt;=0.000000001,"BINDING: all temporary hours are used; extra beds must displace existing ones (opportunity cost).","Not binding: "&amp;TEXT(D38,"#,##0.0")&amp;" temporary hours unused, so this limit has no opportunity cost at the current mix.")</f>
        <v>Not binding: 1,203.2 temporary hours unused, so this limit has no opportunity cost at the current mix.</v>
      </c>
    </row>
    <row r="39" customFormat="false" ht="30" hidden="false" customHeight="true" outlineLevel="0" collapsed="false">
      <c r="A39" s="0" t="s">
        <v>380</v>
      </c>
      <c r="B39" s="14" t="n">
        <f aca="false">PERMANENT_HOURS_USED</f>
        <v>720</v>
      </c>
      <c r="C39" s="14" t="n">
        <f aca="false">PERMANENT_FIELD_LABOR_HOURS</f>
        <v>720</v>
      </c>
      <c r="D39" s="14" t="n">
        <f aca="false">PERMANENT_FIELD_LABOR_HOURS-PERMANENT_HOURS_USED</f>
        <v>0</v>
      </c>
      <c r="E39" s="49" t="str">
        <f aca="false">IF(D39&lt;=0.000000001,"Fully used (permanent hours are allocated first). Further hours are bought at the temporary rate of "&amp;TEXT(TEMP_HOURLY_RATE,"$0.00")&amp;"/hr, which is the marginal labor rate.","Not fully used: "&amp;TEXT(D39,"#,##0.0")&amp;" permanent hours spare.")</f>
        <v>Fully used (permanent hours are allocated first). Further hours are bought at the temporary rate of $17.36/hr, which is the marginal labor rate.</v>
      </c>
    </row>
    <row r="42" customFormat="false" ht="15" hidden="false" customHeight="false" outlineLevel="0" collapsed="false">
      <c r="A42" s="18" t="s">
        <v>561</v>
      </c>
    </row>
    <row r="43" customFormat="false" ht="28.35" hidden="false" customHeight="false" outlineLevel="0" collapsed="false">
      <c r="A43" s="6" t="s">
        <v>562</v>
      </c>
      <c r="B43" s="6" t="s">
        <v>563</v>
      </c>
      <c r="C43" s="6" t="s">
        <v>564</v>
      </c>
      <c r="D43" s="6" t="s">
        <v>565</v>
      </c>
    </row>
    <row r="44" customFormat="false" ht="15" hidden="false" customHeight="false" outlineLevel="0" collapsed="false">
      <c r="A44" s="3" t="s">
        <v>375</v>
      </c>
      <c r="B44" s="50" t="n">
        <f aca="false">TOMATO_BEDS</f>
        <v>10</v>
      </c>
      <c r="C44" s="50" t="n">
        <f aca="false">ENUM_BEST_TOMATO</f>
        <v>10</v>
      </c>
      <c r="D44" s="0" t="str">
        <f aca="false">IF(ABS(B44-C44)&lt;0.005,"PASS","FAIL")</f>
        <v>PASS</v>
      </c>
    </row>
    <row r="45" customFormat="false" ht="15" hidden="false" customHeight="false" outlineLevel="0" collapsed="false">
      <c r="A45" s="3" t="s">
        <v>376</v>
      </c>
      <c r="B45" s="50" t="n">
        <f aca="false">CARROT_BEDS</f>
        <v>20</v>
      </c>
      <c r="C45" s="50" t="n">
        <f aca="false">ENUM_BEST_CARROT</f>
        <v>20</v>
      </c>
      <c r="D45" s="0" t="str">
        <f aca="false">IF(ABS(B45-C45)&lt;0.005,"PASS","FAIL")</f>
        <v>PASS</v>
      </c>
    </row>
    <row r="46" customFormat="false" ht="15" hidden="false" customHeight="false" outlineLevel="0" collapsed="false">
      <c r="A46" s="3" t="s">
        <v>377</v>
      </c>
      <c r="B46" s="50" t="n">
        <f aca="false">MESCLUN_BEDS</f>
        <v>30</v>
      </c>
      <c r="C46" s="50" t="n">
        <f aca="false">ENUM_BEST_MESCLUN</f>
        <v>30</v>
      </c>
      <c r="D46" s="0" t="str">
        <f aca="false">IF(ABS(B46-C46)&lt;0.005,"PASS","FAIL")</f>
        <v>PASS</v>
      </c>
    </row>
    <row r="47" customFormat="false" ht="15" hidden="false" customHeight="false" outlineLevel="0" collapsed="false">
      <c r="A47" s="3" t="s">
        <v>371</v>
      </c>
      <c r="B47" s="51" t="n">
        <f aca="false">SEASONAL_PROFIT</f>
        <v>42775.1553877422</v>
      </c>
      <c r="C47" s="51" t="n">
        <f aca="false">ENUM_BEST_PROFIT</f>
        <v>42775.1553877422</v>
      </c>
      <c r="D47" s="0" t="str">
        <f aca="false">IF(ABS(B47-C47)&lt;0.005,"PASS","FAIL")</f>
        <v>PASS</v>
      </c>
    </row>
    <row r="48" customFormat="false" ht="15" hidden="false" customHeight="false" outlineLevel="0" collapsed="false">
      <c r="A48" s="3" t="s">
        <v>344</v>
      </c>
      <c r="B48" s="8" t="str">
        <f aca="false">"Plant "&amp;TOMATO_BEDS&amp;" tomato, "&amp;CARROT_BEDS&amp;" carrot and "&amp;MESCLUN_BEDS&amp;" mesclun beds ("&amp;TOTAL_BEDS_USED&amp;" of "&amp;TOTAL_BEDS_AVAILABLE&amp;" beds) for a seasonal profit of "&amp;TEXT(SEASONAL_PROFIT,"$#,##0")&amp;"."</f>
        <v>Plant 10 tomato, 20 carrot and 30 mesclun beds (60 of 64 beds) for a seasonal profit of $42,775.</v>
      </c>
      <c r="C48" s="8"/>
      <c r="D48" s="8"/>
      <c r="E48" s="8"/>
      <c r="F48" s="8"/>
      <c r="G48" s="8"/>
    </row>
    <row r="51" customFormat="false" ht="15" hidden="false" customHeight="false" outlineLevel="0" collapsed="false">
      <c r="A51" s="3" t="s">
        <v>566</v>
      </c>
    </row>
    <row r="52" customFormat="false" ht="15" hidden="false" customHeight="false" outlineLevel="0" collapsed="false">
      <c r="A52" s="3" t="s">
        <v>567</v>
      </c>
      <c r="B52" s="21" t="s">
        <v>568</v>
      </c>
    </row>
    <row r="53" customFormat="false" ht="15" hidden="false" customHeight="false" outlineLevel="0" collapsed="false">
      <c r="A53" s="3" t="s">
        <v>569</v>
      </c>
      <c r="B53" s="21" t="s">
        <v>570</v>
      </c>
    </row>
    <row r="54" customFormat="false" ht="15" hidden="false" customHeight="false" outlineLevel="0" collapsed="false">
      <c r="A54" s="3" t="s">
        <v>571</v>
      </c>
      <c r="B54" s="21" t="s">
        <v>572</v>
      </c>
    </row>
    <row r="55" customFormat="false" ht="15" hidden="false" customHeight="false" outlineLevel="0" collapsed="false">
      <c r="A55" s="3" t="s">
        <v>573</v>
      </c>
      <c r="B55" s="21" t="s">
        <v>574</v>
      </c>
    </row>
    <row r="56" customFormat="false" ht="15" hidden="false" customHeight="false" outlineLevel="0" collapsed="false">
      <c r="A56" s="3"/>
      <c r="B56" s="21" t="s">
        <v>575</v>
      </c>
    </row>
    <row r="57" customFormat="false" ht="15" hidden="false" customHeight="false" outlineLevel="0" collapsed="false">
      <c r="A57" s="3"/>
      <c r="B57" s="21" t="s">
        <v>576</v>
      </c>
    </row>
    <row r="58" customFormat="false" ht="15" hidden="false" customHeight="false" outlineLevel="0" collapsed="false">
      <c r="A58" s="3" t="s">
        <v>577</v>
      </c>
      <c r="B58" s="21" t="s">
        <v>578</v>
      </c>
    </row>
    <row r="59" customFormat="false" ht="15" hidden="false" customHeight="false" outlineLevel="0" collapsed="false">
      <c r="A59" s="3" t="s">
        <v>579</v>
      </c>
      <c r="B59" s="21" t="s">
        <v>580</v>
      </c>
    </row>
    <row r="60" customFormat="false" ht="15" hidden="false" customHeight="false" outlineLevel="0" collapsed="false">
      <c r="A60" s="3" t="s">
        <v>581</v>
      </c>
      <c r="B60" s="21" t="s">
        <v>582</v>
      </c>
    </row>
    <row r="61" customFormat="false" ht="15" hidden="false" customHeight="false" outlineLevel="0" collapsed="false">
      <c r="A61" s="3" t="s">
        <v>583</v>
      </c>
      <c r="B61" s="21" t="s">
        <v>584</v>
      </c>
    </row>
    <row r="62" customFormat="false" ht="15" hidden="false" customHeight="false" outlineLevel="0" collapsed="false">
      <c r="A62" s="3" t="s">
        <v>585</v>
      </c>
      <c r="B62" s="21" t="s">
        <v>586</v>
      </c>
    </row>
  </sheetData>
  <mergeCells count="1">
    <mergeCell ref="B48:G48"/>
  </mergeCells>
  <conditionalFormatting sqref="C6:C8">
    <cfRule type="expression" priority="2" aboveAverage="0" equalAverage="0" bottom="0" percent="0" rank="0" text="" dxfId="2">
      <formula>OR(ISERROR(C6),NOT(ISNUMBER(C6)),C6&lt;0,C6&lt;&gt;INT(C6))</formula>
    </cfRule>
  </conditionalFormatting>
  <conditionalFormatting sqref="F15:F26">
    <cfRule type="cellIs" priority="3" operator="equal" aboveAverage="0" equalAverage="0" bottom="0" percent="0" rank="0" text="" dxfId="2">
      <formula>"FAIL"</formula>
    </cfRule>
    <cfRule type="cellIs" priority="4" operator="equal" aboveAverage="0" equalAverage="0" bottom="0" percent="0" rank="0" text="" dxfId="2">
      <formula>"VIOLATED"</formula>
    </cfRule>
    <cfRule type="cellIs" priority="5" operator="equal" aboveAverage="0" equalAverage="0" bottom="0" percent="0" rank="0" text="" dxfId="1">
      <formula>"PASS"</formula>
    </cfRule>
    <cfRule type="cellIs" priority="6" operator="equal" aboveAverage="0" equalAverage="0" bottom="0" percent="0" rank="0" text="" dxfId="1">
      <formula>"OK"</formula>
    </cfRule>
  </conditionalFormatting>
  <conditionalFormatting sqref="B15:G26">
    <cfRule type="expression" priority="7" aboveAverage="0" equalAverage="0" bottom="0" percent="0" rank="0" text="" dxfId="2">
      <formula>ISERROR(B15)</formula>
    </cfRule>
  </conditionalFormatting>
  <conditionalFormatting sqref="B30:K32">
    <cfRule type="expression" priority="8" aboveAverage="0" equalAverage="0" bottom="0" percent="0" rank="0" text="" dxfId="2">
      <formula>ISERROR(B30)</formula>
    </cfRule>
  </conditionalFormatting>
  <conditionalFormatting sqref="B36:E39">
    <cfRule type="expression" priority="9" aboveAverage="0" equalAverage="0" bottom="0" percent="0" rank="0" text="" dxfId="2">
      <formula>ISERROR(B36)</formula>
    </cfRule>
  </conditionalFormatting>
  <conditionalFormatting sqref="D44:D47">
    <cfRule type="cellIs" priority="10" operator="equal" aboveAverage="0" equalAverage="0" bottom="0" percent="0" rank="0" text="" dxfId="2">
      <formula>"FAIL"</formula>
    </cfRule>
    <cfRule type="cellIs" priority="11" operator="equal" aboveAverage="0" equalAverage="0" bottom="0" percent="0" rank="0" text="" dxfId="2">
      <formula>"VIOLATED"</formula>
    </cfRule>
    <cfRule type="cellIs" priority="12" operator="equal" aboveAverage="0" equalAverage="0" bottom="0" percent="0" rank="0" text="" dxfId="1">
      <formula>"PASS"</formula>
    </cfRule>
    <cfRule type="cellIs" priority="13" operator="equal" aboveAverage="0" equalAverage="0" bottom="0" percent="0" rank="0" text="" dxfId="1">
      <formula>"OK"</formula>
    </cfRule>
  </conditionalFormatting>
  <conditionalFormatting sqref="B44:D47">
    <cfRule type="expression" priority="14" aboveAverage="0" equalAverage="0" bottom="0" percent="0" rank="0" text="" dxfId="2">
      <formula>ISERROR(B44)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38" min="38" style="0" width="26"/>
    <col collapsed="false" customWidth="true" hidden="false" outlineLevel="0" max="39" min="39" style="0" width="14"/>
  </cols>
  <sheetData>
    <row r="1" customFormat="false" ht="17.35" hidden="false" customHeight="false" outlineLevel="0" collapsed="false">
      <c r="A1" s="1" t="s">
        <v>587</v>
      </c>
    </row>
    <row r="2" customFormat="false" ht="15" hidden="false" customHeight="false" outlineLevel="0" collapsed="false">
      <c r="A2" s="2" t="s">
        <v>588</v>
      </c>
    </row>
    <row r="4" customFormat="false" ht="15" hidden="false" customHeight="false" outlineLevel="0" collapsed="false">
      <c r="A4" s="3" t="s">
        <v>589</v>
      </c>
      <c r="B4" s="21"/>
      <c r="C4" s="21"/>
      <c r="D4" s="21"/>
      <c r="E4" s="21"/>
      <c r="F4" s="52" t="n">
        <f aca="false">COLUMN()-COLUMN($F$4)</f>
        <v>0</v>
      </c>
      <c r="G4" s="52" t="n">
        <f aca="false">COLUMN()-COLUMN($F$4)</f>
        <v>1</v>
      </c>
      <c r="H4" s="52" t="n">
        <f aca="false">COLUMN()-COLUMN($F$4)</f>
        <v>2</v>
      </c>
      <c r="I4" s="52" t="n">
        <f aca="false">COLUMN()-COLUMN($F$4)</f>
        <v>3</v>
      </c>
      <c r="J4" s="52" t="n">
        <f aca="false">COLUMN()-COLUMN($F$4)</f>
        <v>4</v>
      </c>
      <c r="K4" s="52" t="n">
        <f aca="false">COLUMN()-COLUMN($F$4)</f>
        <v>5</v>
      </c>
      <c r="L4" s="52" t="n">
        <f aca="false">COLUMN()-COLUMN($F$4)</f>
        <v>6</v>
      </c>
      <c r="M4" s="52" t="n">
        <f aca="false">COLUMN()-COLUMN($F$4)</f>
        <v>7</v>
      </c>
      <c r="N4" s="52" t="n">
        <f aca="false">COLUMN()-COLUMN($F$4)</f>
        <v>8</v>
      </c>
      <c r="O4" s="52" t="n">
        <f aca="false">COLUMN()-COLUMN($F$4)</f>
        <v>9</v>
      </c>
      <c r="P4" s="52" t="n">
        <f aca="false">COLUMN()-COLUMN($F$4)</f>
        <v>10</v>
      </c>
      <c r="Q4" s="52" t="n">
        <f aca="false">COLUMN()-COLUMN($F$4)</f>
        <v>11</v>
      </c>
      <c r="R4" s="52" t="n">
        <f aca="false">COLUMN()-COLUMN($F$4)</f>
        <v>12</v>
      </c>
      <c r="S4" s="52" t="n">
        <f aca="false">COLUMN()-COLUMN($F$4)</f>
        <v>13</v>
      </c>
      <c r="T4" s="52" t="n">
        <f aca="false">COLUMN()-COLUMN($F$4)</f>
        <v>14</v>
      </c>
      <c r="U4" s="52" t="n">
        <f aca="false">COLUMN()-COLUMN($F$4)</f>
        <v>15</v>
      </c>
      <c r="V4" s="52" t="n">
        <f aca="false">COLUMN()-COLUMN($F$4)</f>
        <v>16</v>
      </c>
      <c r="W4" s="52" t="n">
        <f aca="false">COLUMN()-COLUMN($F$4)</f>
        <v>17</v>
      </c>
      <c r="X4" s="52" t="n">
        <f aca="false">COLUMN()-COLUMN($F$4)</f>
        <v>18</v>
      </c>
      <c r="Y4" s="52" t="n">
        <f aca="false">COLUMN()-COLUMN($F$4)</f>
        <v>19</v>
      </c>
      <c r="Z4" s="52" t="n">
        <f aca="false">COLUMN()-COLUMN($F$4)</f>
        <v>20</v>
      </c>
      <c r="AA4" s="52" t="n">
        <f aca="false">COLUMN()-COLUMN($F$4)</f>
        <v>21</v>
      </c>
      <c r="AB4" s="52" t="n">
        <f aca="false">COLUMN()-COLUMN($F$4)</f>
        <v>22</v>
      </c>
      <c r="AC4" s="52" t="n">
        <f aca="false">COLUMN()-COLUMN($F$4)</f>
        <v>23</v>
      </c>
      <c r="AD4" s="52" t="n">
        <f aca="false">COLUMN()-COLUMN($F$4)</f>
        <v>24</v>
      </c>
      <c r="AE4" s="52" t="n">
        <f aca="false">COLUMN()-COLUMN($F$4)</f>
        <v>25</v>
      </c>
      <c r="AF4" s="52" t="n">
        <f aca="false">COLUMN()-COLUMN($F$4)</f>
        <v>26</v>
      </c>
      <c r="AG4" s="52" t="n">
        <f aca="false">COLUMN()-COLUMN($F$4)</f>
        <v>27</v>
      </c>
      <c r="AH4" s="52" t="n">
        <f aca="false">COLUMN()-COLUMN($F$4)</f>
        <v>28</v>
      </c>
      <c r="AI4" s="52" t="n">
        <f aca="false">COLUMN()-COLUMN($F$4)</f>
        <v>29</v>
      </c>
      <c r="AJ4" s="52" t="n">
        <f aca="false">COLUMN()-COLUMN($F$4)</f>
        <v>30</v>
      </c>
    </row>
    <row r="5" customFormat="false" ht="15" hidden="false" customHeight="false" outlineLevel="0" collapsed="false">
      <c r="A5" s="3" t="s">
        <v>590</v>
      </c>
      <c r="B5" s="21"/>
      <c r="C5" s="21"/>
      <c r="D5" s="21"/>
      <c r="E5" s="21"/>
      <c r="F5" s="14" t="n">
        <f aca="false">INDEX(MESCLUN_SCHED_LABOR_HRS,F$4+1)</f>
        <v>0</v>
      </c>
      <c r="G5" s="14" t="n">
        <f aca="false">INDEX(MESCLUN_SCHED_LABOR_HRS,G$4+1)</f>
        <v>45.5625</v>
      </c>
      <c r="H5" s="14" t="n">
        <f aca="false">INDEX(MESCLUN_SCHED_LABOR_HRS,H$4+1)</f>
        <v>92.2640625</v>
      </c>
      <c r="I5" s="14" t="n">
        <f aca="false">INDEX(MESCLUN_SCHED_LABOR_HRS,I$4+1)</f>
        <v>140.126044921875</v>
      </c>
      <c r="J5" s="14" t="n">
        <f aca="false">INDEX(MESCLUN_SCHED_LABOR_HRS,J$4+1)</f>
        <v>189.170160644531</v>
      </c>
      <c r="K5" s="14" t="n">
        <f aca="false">INDEX(MESCLUN_SCHED_LABOR_HRS,K$4+1)</f>
        <v>239.418484565735</v>
      </c>
      <c r="L5" s="14" t="n">
        <f aca="false">INDEX(MESCLUN_SCHED_LABOR_HRS,L$4+1)</f>
        <v>290.893458747368</v>
      </c>
      <c r="M5" s="14" t="n">
        <f aca="false">INDEX(MESCLUN_SCHED_LABOR_HRS,M$4+1)</f>
        <v>343.617898145328</v>
      </c>
      <c r="N5" s="14" t="n">
        <f aca="false">INDEX(MESCLUN_SCHED_LABOR_HRS,N$4+1)</f>
        <v>397.614996425308</v>
      </c>
      <c r="O5" s="14" t="n">
        <f aca="false">INDEX(MESCLUN_SCHED_LABOR_HRS,O$4+1)</f>
        <v>452.908331865703</v>
      </c>
      <c r="P5" s="14" t="n">
        <f aca="false">INDEX(MESCLUN_SCHED_LABOR_HRS,P$4+1)</f>
        <v>509.521873348916</v>
      </c>
      <c r="Q5" s="14" t="n">
        <f aca="false">INDEX(MESCLUN_SCHED_LABOR_HRS,Q$4+1)</f>
        <v>567.479986442355</v>
      </c>
      <c r="R5" s="14" t="n">
        <f aca="false">INDEX(MESCLUN_SCHED_LABOR_HRS,R$4+1)</f>
        <v>626.807439570419</v>
      </c>
      <c r="S5" s="14" t="n">
        <f aca="false">INDEX(MESCLUN_SCHED_LABOR_HRS,S$4+1)</f>
        <v>687.529410278803</v>
      </c>
      <c r="T5" s="14" t="n">
        <f aca="false">INDEX(MESCLUN_SCHED_LABOR_HRS,T$4+1)</f>
        <v>749.671491592464</v>
      </c>
      <c r="U5" s="14" t="n">
        <f aca="false">INDEX(MESCLUN_SCHED_LABOR_HRS,U$4+1)</f>
        <v>813.259698468611</v>
      </c>
      <c r="V5" s="14" t="n">
        <f aca="false">INDEX(MESCLUN_SCHED_LABOR_HRS,V$4+1)</f>
        <v>878.3204743461</v>
      </c>
      <c r="W5" s="14" t="n">
        <f aca="false">INDEX(MESCLUN_SCHED_LABOR_HRS,W$4+1)</f>
        <v>944.88069779264</v>
      </c>
      <c r="X5" s="14" t="n">
        <f aca="false">INDEX(MESCLUN_SCHED_LABOR_HRS,X$4+1)</f>
        <v>1012.96768925123</v>
      </c>
      <c r="Y5" s="14" t="n">
        <f aca="false">INDEX(MESCLUN_SCHED_LABOR_HRS,Y$4+1)</f>
        <v>1082.60921788725</v>
      </c>
      <c r="Z5" s="14" t="n">
        <f aca="false">INDEX(MESCLUN_SCHED_LABOR_HRS,Z$4+1)</f>
        <v>1153.83350853773</v>
      </c>
      <c r="AA5" s="14" t="n">
        <f aca="false">INDEX(MESCLUN_SCHED_LABOR_HRS,AA$4+1)</f>
        <v>1226.66924876417</v>
      </c>
      <c r="AB5" s="14" t="n">
        <f aca="false">INDEX(MESCLUN_SCHED_LABOR_HRS,AB$4+1)</f>
        <v>1301.14559601057</v>
      </c>
      <c r="AC5" s="14" t="n">
        <f aca="false">INDEX(MESCLUN_SCHED_LABOR_HRS,AC$4+1)</f>
        <v>1377.292184868</v>
      </c>
      <c r="AD5" s="14" t="n">
        <f aca="false">INDEX(MESCLUN_SCHED_LABOR_HRS,AD$4+1)</f>
        <v>1455.1391344475</v>
      </c>
      <c r="AE5" s="14" t="n">
        <f aca="false">INDEX(MESCLUN_SCHED_LABOR_HRS,AE$4+1)</f>
        <v>1534.7170558626</v>
      </c>
      <c r="AF5" s="14" t="n">
        <f aca="false">INDEX(MESCLUN_SCHED_LABOR_HRS,AF$4+1)</f>
        <v>1616.05705982331</v>
      </c>
      <c r="AG5" s="14" t="n">
        <f aca="false">INDEX(MESCLUN_SCHED_LABOR_HRS,AG$4+1)</f>
        <v>1699.19076434307</v>
      </c>
      <c r="AH5" s="14" t="n">
        <f aca="false">INDEX(MESCLUN_SCHED_LABOR_HRS,AH$4+1)</f>
        <v>1784.15030256022</v>
      </c>
      <c r="AI5" s="14" t="n">
        <f aca="false">INDEX(MESCLUN_SCHED_LABOR_HRS,AI$4+1)</f>
        <v>1870.96833067588</v>
      </c>
      <c r="AJ5" s="14" t="n">
        <f aca="false">INDEX(MESCLUN_SCHED_LABOR_HRS,AJ$4+1)</f>
        <v>1959.67803600965</v>
      </c>
    </row>
    <row r="6" customFormat="false" ht="15" hidden="false" customHeight="false" outlineLevel="0" collapsed="false">
      <c r="A6" s="3" t="s">
        <v>591</v>
      </c>
      <c r="B6" s="21"/>
      <c r="C6" s="21"/>
      <c r="D6" s="21"/>
      <c r="E6" s="21"/>
      <c r="F6" s="13" t="n">
        <f aca="false">F$4*(MESCLUN_REVENUE_PER_BED-MESCLUN_FERTILIZER_PER_BED)</f>
        <v>0</v>
      </c>
      <c r="G6" s="13" t="n">
        <f aca="false">G$4*(MESCLUN_REVENUE_PER_BED-MESCLUN_FERTILIZER_PER_BED)</f>
        <v>1820</v>
      </c>
      <c r="H6" s="13" t="n">
        <f aca="false">H$4*(MESCLUN_REVENUE_PER_BED-MESCLUN_FERTILIZER_PER_BED)</f>
        <v>3640</v>
      </c>
      <c r="I6" s="13" t="n">
        <f aca="false">I$4*(MESCLUN_REVENUE_PER_BED-MESCLUN_FERTILIZER_PER_BED)</f>
        <v>5460</v>
      </c>
      <c r="J6" s="13" t="n">
        <f aca="false">J$4*(MESCLUN_REVENUE_PER_BED-MESCLUN_FERTILIZER_PER_BED)</f>
        <v>7280</v>
      </c>
      <c r="K6" s="13" t="n">
        <f aca="false">K$4*(MESCLUN_REVENUE_PER_BED-MESCLUN_FERTILIZER_PER_BED)</f>
        <v>9100</v>
      </c>
      <c r="L6" s="13" t="n">
        <f aca="false">L$4*(MESCLUN_REVENUE_PER_BED-MESCLUN_FERTILIZER_PER_BED)</f>
        <v>10920</v>
      </c>
      <c r="M6" s="13" t="n">
        <f aca="false">M$4*(MESCLUN_REVENUE_PER_BED-MESCLUN_FERTILIZER_PER_BED)</f>
        <v>12740</v>
      </c>
      <c r="N6" s="13" t="n">
        <f aca="false">N$4*(MESCLUN_REVENUE_PER_BED-MESCLUN_FERTILIZER_PER_BED)</f>
        <v>14560</v>
      </c>
      <c r="O6" s="13" t="n">
        <f aca="false">O$4*(MESCLUN_REVENUE_PER_BED-MESCLUN_FERTILIZER_PER_BED)</f>
        <v>16380</v>
      </c>
      <c r="P6" s="13" t="n">
        <f aca="false">P$4*(MESCLUN_REVENUE_PER_BED-MESCLUN_FERTILIZER_PER_BED)</f>
        <v>18200</v>
      </c>
      <c r="Q6" s="13" t="n">
        <f aca="false">Q$4*(MESCLUN_REVENUE_PER_BED-MESCLUN_FERTILIZER_PER_BED)</f>
        <v>20020</v>
      </c>
      <c r="R6" s="13" t="n">
        <f aca="false">R$4*(MESCLUN_REVENUE_PER_BED-MESCLUN_FERTILIZER_PER_BED)</f>
        <v>21840</v>
      </c>
      <c r="S6" s="13" t="n">
        <f aca="false">S$4*(MESCLUN_REVENUE_PER_BED-MESCLUN_FERTILIZER_PER_BED)</f>
        <v>23660</v>
      </c>
      <c r="T6" s="13" t="n">
        <f aca="false">T$4*(MESCLUN_REVENUE_PER_BED-MESCLUN_FERTILIZER_PER_BED)</f>
        <v>25480</v>
      </c>
      <c r="U6" s="13" t="n">
        <f aca="false">U$4*(MESCLUN_REVENUE_PER_BED-MESCLUN_FERTILIZER_PER_BED)</f>
        <v>27300</v>
      </c>
      <c r="V6" s="13" t="n">
        <f aca="false">V$4*(MESCLUN_REVENUE_PER_BED-MESCLUN_FERTILIZER_PER_BED)</f>
        <v>29120</v>
      </c>
      <c r="W6" s="13" t="n">
        <f aca="false">W$4*(MESCLUN_REVENUE_PER_BED-MESCLUN_FERTILIZER_PER_BED)</f>
        <v>30940</v>
      </c>
      <c r="X6" s="13" t="n">
        <f aca="false">X$4*(MESCLUN_REVENUE_PER_BED-MESCLUN_FERTILIZER_PER_BED)</f>
        <v>32760</v>
      </c>
      <c r="Y6" s="13" t="n">
        <f aca="false">Y$4*(MESCLUN_REVENUE_PER_BED-MESCLUN_FERTILIZER_PER_BED)</f>
        <v>34580</v>
      </c>
      <c r="Z6" s="13" t="n">
        <f aca="false">Z$4*(MESCLUN_REVENUE_PER_BED-MESCLUN_FERTILIZER_PER_BED)</f>
        <v>36400</v>
      </c>
      <c r="AA6" s="13" t="n">
        <f aca="false">AA$4*(MESCLUN_REVENUE_PER_BED-MESCLUN_FERTILIZER_PER_BED)</f>
        <v>38220</v>
      </c>
      <c r="AB6" s="13" t="n">
        <f aca="false">AB$4*(MESCLUN_REVENUE_PER_BED-MESCLUN_FERTILIZER_PER_BED)</f>
        <v>40040</v>
      </c>
      <c r="AC6" s="13" t="n">
        <f aca="false">AC$4*(MESCLUN_REVENUE_PER_BED-MESCLUN_FERTILIZER_PER_BED)</f>
        <v>41860</v>
      </c>
      <c r="AD6" s="13" t="n">
        <f aca="false">AD$4*(MESCLUN_REVENUE_PER_BED-MESCLUN_FERTILIZER_PER_BED)</f>
        <v>43680</v>
      </c>
      <c r="AE6" s="13" t="n">
        <f aca="false">AE$4*(MESCLUN_REVENUE_PER_BED-MESCLUN_FERTILIZER_PER_BED)</f>
        <v>45500</v>
      </c>
      <c r="AF6" s="13" t="n">
        <f aca="false">AF$4*(MESCLUN_REVENUE_PER_BED-MESCLUN_FERTILIZER_PER_BED)</f>
        <v>47320</v>
      </c>
      <c r="AG6" s="13" t="n">
        <f aca="false">AG$4*(MESCLUN_REVENUE_PER_BED-MESCLUN_FERTILIZER_PER_BED)</f>
        <v>49140</v>
      </c>
      <c r="AH6" s="13" t="n">
        <f aca="false">AH$4*(MESCLUN_REVENUE_PER_BED-MESCLUN_FERTILIZER_PER_BED)</f>
        <v>50960</v>
      </c>
      <c r="AI6" s="13" t="n">
        <f aca="false">AI$4*(MESCLUN_REVENUE_PER_BED-MESCLUN_FERTILIZER_PER_BED)</f>
        <v>52780</v>
      </c>
      <c r="AJ6" s="13" t="n">
        <f aca="false">AJ$4*(MESCLUN_REVENUE_PER_BED-MESCLUN_FERTILIZER_PER_BED)</f>
        <v>54600</v>
      </c>
    </row>
    <row r="7" customFormat="false" ht="28.35" hidden="false" customHeight="false" outlineLevel="0" collapsed="false">
      <c r="A7" s="6" t="s">
        <v>592</v>
      </c>
      <c r="B7" s="6" t="s">
        <v>593</v>
      </c>
      <c r="C7" s="6" t="s">
        <v>594</v>
      </c>
      <c r="D7" s="6" t="s">
        <v>595</v>
      </c>
      <c r="E7" s="6" t="s">
        <v>596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L7" s="3" t="s">
        <v>597</v>
      </c>
    </row>
    <row r="8" customFormat="false" ht="15" hidden="false" customHeight="false" outlineLevel="0" collapsed="false">
      <c r="A8" s="21" t="n">
        <f aca="false">INT((ROW()-ROW($A$8))/(20+1))</f>
        <v>0</v>
      </c>
      <c r="B8" s="21" t="n">
        <f aca="false">MOD(ROW()-ROW($A$8),20+1)</f>
        <v>0</v>
      </c>
      <c r="C8" s="13" t="n">
        <f aca="false">A8*(TOMATO_REVENUE_PER_BED-TOMATO_FERTILIZER_PER_BED)+B8*(CARROT_REVENUE_PER_BED-CARROT_FERTILIZER_PER_BED)</f>
        <v>0</v>
      </c>
      <c r="D8" s="14" t="n">
        <f aca="false">INDEX(TOMATO_SCHED_LABOR_HRS,A8+1)+INDEX(CARROT_SCHED_LABOR_HRS,B8+1)</f>
        <v>0</v>
      </c>
      <c r="E8" s="13" t="n">
        <f aca="false">IF(COUNT(F8:AJ8)=0,"",MAX(F8:AJ8))</f>
        <v>-11919.2107051275</v>
      </c>
      <c r="F8" s="53" t="n">
        <f aca="false">IF(OR($A8&gt;TOMATO_BED_CAP,$B8&gt;CARROT_BED_CAP,F$4&gt;MESCLUN_BED_CAP,$A8+$B8+F$4&gt;TOTAL_BEDS_AVAILABLE,($D8+F$5)&gt;TOTAL_LABOR_HOURS_CAP,MAX(0,($D8+F$5)-PERMANENT_FIELD_LABOR_HOURS)&gt;TEMP_HOURS_CAP),"",$C8+F$6-MIN(($D8+F$5),PERMANENT_FIELD_LABOR_HOURS)*PERMANENT_HOURLY_RATE-MAX(0,($D8+F$5)-PERMANENT_FIELD_LABOR_HOURS)*TEMP_HOURLY_RATE-FIXED_SEASON_COST)</f>
        <v>-20000</v>
      </c>
      <c r="G8" s="53" t="n">
        <f aca="false">IF(OR($A8&gt;TOMATO_BED_CAP,$B8&gt;CARROT_BED_CAP,G$4&gt;MESCLUN_BED_CAP,$A8+$B8+G$4&gt;TOTAL_BEDS_AVAILABLE,($D8+G$5)&gt;TOTAL_LABOR_HOURS_CAP,MAX(0,($D8+G$5)-PERMANENT_FIELD_LABOR_HOURS)&gt;TEMP_HOURS_CAP),"",$C8+G$6-MIN(($D8+G$5),PERMANENT_FIELD_LABOR_HOURS)*PERMANENT_HOURLY_RATE-MAX(0,($D8+G$5)-PERMANENT_FIELD_LABOR_HOURS)*TEMP_HOURLY_RATE-FIXED_SEASON_COST)</f>
        <v>-19761.93</v>
      </c>
      <c r="H8" s="53" t="n">
        <f aca="false">IF(OR($A8&gt;TOMATO_BED_CAP,$B8&gt;CARROT_BED_CAP,H$4&gt;MESCLUN_BED_CAP,$A8+$B8+H$4&gt;TOTAL_BEDS_AVAILABLE,($D8+H$5)&gt;TOTAL_LABOR_HOURS_CAP,MAX(0,($D8+H$5)-PERMANENT_FIELD_LABOR_HOURS)&gt;TEMP_HOURS_CAP),"",$C8+H$6-MIN(($D8+H$5),PERMANENT_FIELD_LABOR_HOURS)*PERMANENT_HOURLY_RATE-MAX(0,($D8+H$5)-PERMANENT_FIELD_LABOR_HOURS)*TEMP_HOURLY_RATE-FIXED_SEASON_COST)</f>
        <v>-19563.40825</v>
      </c>
      <c r="I8" s="53" t="n">
        <f aca="false">IF(OR($A8&gt;TOMATO_BED_CAP,$B8&gt;CARROT_BED_CAP,I$4&gt;MESCLUN_BED_CAP,$A8+$B8+I$4&gt;TOTAL_BEDS_AVAILABLE,($D8+I$5)&gt;TOTAL_LABOR_HOURS_CAP,MAX(0,($D8+I$5)-PERMANENT_FIELD_LABOR_HOURS)&gt;TEMP_HOURS_CAP),"",$C8+I$6-MIN(($D8+I$5),PERMANENT_FIELD_LABOR_HOURS)*PERMANENT_HOURLY_RATE-MAX(0,($D8+I$5)-PERMANENT_FIELD_LABOR_HOURS)*TEMP_HOURLY_RATE-FIXED_SEASON_COST)</f>
        <v>-19405.1762796875</v>
      </c>
      <c r="J8" s="53" t="n">
        <f aca="false">IF(OR($A8&gt;TOMATO_BED_CAP,$B8&gt;CARROT_BED_CAP,J$4&gt;MESCLUN_BED_CAP,$A8+$B8+J$4&gt;TOTAL_BEDS_AVAILABLE,($D8+J$5)&gt;TOTAL_LABOR_HOURS_CAP,MAX(0,($D8+J$5)-PERMANENT_FIELD_LABOR_HOURS)&gt;TEMP_HOURS_CAP),"",$C8+J$6-MIN(($D8+J$5),PERMANENT_FIELD_LABOR_HOURS)*PERMANENT_HOURLY_RATE-MAX(0,($D8+J$5)-PERMANENT_FIELD_LABOR_HOURS)*TEMP_HOURLY_RATE-FIXED_SEASON_COST)</f>
        <v>-19287.9879775781</v>
      </c>
      <c r="K8" s="53" t="n">
        <f aca="false">IF(OR($A8&gt;TOMATO_BED_CAP,$B8&gt;CARROT_BED_CAP,K$4&gt;MESCLUN_BED_CAP,$A8+$B8+K$4&gt;TOTAL_BEDS_AVAILABLE,($D8+K$5)&gt;TOTAL_LABOR_HOURS_CAP,MAX(0,($D8+K$5)-PERMANENT_FIELD_LABOR_HOURS)&gt;TEMP_HOURS_CAP),"",$C8+K$6-MIN(($D8+K$5),PERMANENT_FIELD_LABOR_HOURS)*PERMANENT_HOURLY_RATE-MAX(0,($D8+K$5)-PERMANENT_FIELD_LABOR_HOURS)*TEMP_HOURLY_RATE-FIXED_SEASON_COST)</f>
        <v>-19212.6097841223</v>
      </c>
      <c r="L8" s="53" t="n">
        <f aca="false">IF(OR($A8&gt;TOMATO_BED_CAP,$B8&gt;CARROT_BED_CAP,L$4&gt;MESCLUN_BED_CAP,$A8+$B8+L$4&gt;TOTAL_BEDS_AVAILABLE,($D8+L$5)&gt;TOTAL_LABOR_HOURS_CAP,MAX(0,($D8+L$5)-PERMANENT_FIELD_LABOR_HOURS)&gt;TEMP_HOURS_CAP),"",$C8+L$6-MIN(($D8+L$5),PERMANENT_FIELD_LABOR_HOURS)*PERMANENT_HOURLY_RATE-MAX(0,($D8+L$5)-PERMANENT_FIELD_LABOR_HOURS)*TEMP_HOURLY_RATE-FIXED_SEASON_COST)</f>
        <v>-19179.8208877086</v>
      </c>
      <c r="M8" s="53" t="n">
        <f aca="false">IF(OR($A8&gt;TOMATO_BED_CAP,$B8&gt;CARROT_BED_CAP,M$4&gt;MESCLUN_BED_CAP,$A8+$B8+M$4&gt;TOTAL_BEDS_AVAILABLE,($D8+M$5)&gt;TOTAL_LABOR_HOURS_CAP,MAX(0,($D8+M$5)-PERMANENT_FIELD_LABOR_HOURS)&gt;TEMP_HOURS_CAP),"",$C8+M$6-MIN(($D8+M$5),PERMANENT_FIELD_LABOR_HOURS)*PERMANENT_HOURLY_RATE-MAX(0,($D8+M$5)-PERMANENT_FIELD_LABOR_HOURS)*TEMP_HOURLY_RATE-FIXED_SEASON_COST)</f>
        <v>-19190.4134236058</v>
      </c>
      <c r="N8" s="53" t="n">
        <f aca="false">IF(OR($A8&gt;TOMATO_BED_CAP,$B8&gt;CARROT_BED_CAP,N$4&gt;MESCLUN_BED_CAP,$A8+$B8+N$4&gt;TOTAL_BEDS_AVAILABLE,($D8+N$5)&gt;TOTAL_LABOR_HOURS_CAP,MAX(0,($D8+N$5)-PERMANENT_FIELD_LABOR_HOURS)&gt;TEMP_HOURS_CAP),"",$C8+N$6-MIN(($D8+N$5),PERMANENT_FIELD_LABOR_HOURS)*PERMANENT_HOURLY_RATE-MAX(0,($D8+N$5)-PERMANENT_FIELD_LABOR_HOURS)*TEMP_HOURLY_RATE-FIXED_SEASON_COST)</f>
        <v>-19245.1926758867</v>
      </c>
      <c r="O8" s="53" t="n">
        <f aca="false">IF(OR($A8&gt;TOMATO_BED_CAP,$B8&gt;CARROT_BED_CAP,O$4&gt;MESCLUN_BED_CAP,$A8+$B8+O$4&gt;TOTAL_BEDS_AVAILABLE,($D8+O$5)&gt;TOTAL_LABOR_HOURS_CAP,MAX(0,($D8+O$5)-PERMANENT_FIELD_LABOR_HOURS)&gt;TEMP_HOURS_CAP),"",$C8+O$6-MIN(($D8+O$5),PERMANENT_FIELD_LABOR_HOURS)*PERMANENT_HOURLY_RATE-MAX(0,($D8+O$5)-PERMANENT_FIELD_LABOR_HOURS)*TEMP_HOURLY_RATE-FIXED_SEASON_COST)</f>
        <v>-19344.9772823772</v>
      </c>
      <c r="P8" s="53" t="n">
        <f aca="false">IF(OR($A8&gt;TOMATO_BED_CAP,$B8&gt;CARROT_BED_CAP,P$4&gt;MESCLUN_BED_CAP,$A8+$B8+P$4&gt;TOTAL_BEDS_AVAILABLE,($D8+P$5)&gt;TOTAL_LABOR_HOURS_CAP,MAX(0,($D8+P$5)-PERMANENT_FIELD_LABOR_HOURS)&gt;TEMP_HOURS_CAP),"",$C8+P$6-MIN(($D8+P$5),PERMANENT_FIELD_LABOR_HOURS)*PERMANENT_HOURLY_RATE-MAX(0,($D8+P$5)-PERMANENT_FIELD_LABOR_HOURS)*TEMP_HOURLY_RATE-FIXED_SEASON_COST)</f>
        <v>-19490.5994426743</v>
      </c>
      <c r="Q8" s="53" t="n">
        <f aca="false">IF(OR($A8&gt;TOMATO_BED_CAP,$B8&gt;CARROT_BED_CAP,Q$4&gt;MESCLUN_BED_CAP,$A8+$B8+Q$4&gt;TOTAL_BEDS_AVAILABLE,($D8+Q$5)&gt;TOTAL_LABOR_HOURS_CAP,MAX(0,($D8+Q$5)-PERMANENT_FIELD_LABOR_HOURS)&gt;TEMP_HOURS_CAP),"",$C8+Q$6-MIN(($D8+Q$5),PERMANENT_FIELD_LABOR_HOURS)*PERMANENT_HOURLY_RATE-MAX(0,($D8+Q$5)-PERMANENT_FIELD_LABOR_HOURS)*TEMP_HOURLY_RATE-FIXED_SEASON_COST)</f>
        <v>-19682.9051292786</v>
      </c>
      <c r="R8" s="53" t="n">
        <f aca="false">IF(OR($A8&gt;TOMATO_BED_CAP,$B8&gt;CARROT_BED_CAP,R$4&gt;MESCLUN_BED_CAP,$A8+$B8+R$4&gt;TOTAL_BEDS_AVAILABLE,($D8+R$5)&gt;TOTAL_LABOR_HOURS_CAP,MAX(0,($D8+R$5)-PERMANENT_FIELD_LABOR_HOURS)&gt;TEMP_HOURS_CAP),"",$C8+R$6-MIN(($D8+R$5),PERMANENT_FIELD_LABOR_HOURS)*PERMANENT_HOURLY_RATE-MAX(0,($D8+R$5)-PERMANENT_FIELD_LABOR_HOURS)*TEMP_HOURLY_RATE-FIXED_SEASON_COST)</f>
        <v>-19922.7543018849</v>
      </c>
      <c r="S8" s="53" t="n">
        <f aca="false">IF(OR($A8&gt;TOMATO_BED_CAP,$B8&gt;CARROT_BED_CAP,S$4&gt;MESCLUN_BED_CAP,$A8+$B8+S$4&gt;TOTAL_BEDS_AVAILABLE,($D8+S$5)&gt;TOTAL_LABOR_HOURS_CAP,MAX(0,($D8+S$5)-PERMANENT_FIELD_LABOR_HOURS)&gt;TEMP_HOURS_CAP),"",$C8+S$6-MIN(($D8+S$5),PERMANENT_FIELD_LABOR_HOURS)*PERMANENT_HOURLY_RATE-MAX(0,($D8+S$5)-PERMANENT_FIELD_LABOR_HOURS)*TEMP_HOURLY_RATE-FIXED_SEASON_COST)</f>
        <v>-20211.0211248801</v>
      </c>
      <c r="T8" s="53" t="n">
        <f aca="false">IF(OR($A8&gt;TOMATO_BED_CAP,$B8&gt;CARROT_BED_CAP,T$4&gt;MESCLUN_BED_CAP,$A8+$B8+T$4&gt;TOTAL_BEDS_AVAILABLE,($D8+T$5)&gt;TOTAL_LABOR_HOURS_CAP,MAX(0,($D8+T$5)-PERMANENT_FIELD_LABOR_HOURS)&gt;TEMP_HOURS_CAP),"",$C8+T$6-MIN(($D8+T$5),PERMANENT_FIELD_LABOR_HOURS)*PERMANENT_HOURLY_RATE-MAX(0,($D8+T$5)-PERMANENT_FIELD_LABOR_HOURS)*TEMP_HOURLY_RATE-FIXED_SEASON_COST)</f>
        <v>-20033.4970940452</v>
      </c>
      <c r="U8" s="53" t="n">
        <f aca="false">IF(OR($A8&gt;TOMATO_BED_CAP,$B8&gt;CARROT_BED_CAP,U$4&gt;MESCLUN_BED_CAP,$A8+$B8+U$4&gt;TOTAL_BEDS_AVAILABLE,($D8+U$5)&gt;TOTAL_LABOR_HOURS_CAP,MAX(0,($D8+U$5)-PERMANENT_FIELD_LABOR_HOURS)&gt;TEMP_HOURS_CAP),"",$C8+U$6-MIN(($D8+U$5),PERMANENT_FIELD_LABOR_HOURS)*PERMANENT_HOURLY_RATE-MAX(0,($D8+U$5)-PERMANENT_FIELD_LABOR_HOURS)*TEMP_HOURLY_RATE-FIXED_SEASON_COST)</f>
        <v>-19317.3883654151</v>
      </c>
      <c r="V8" s="53" t="n">
        <f aca="false">IF(OR($A8&gt;TOMATO_BED_CAP,$B8&gt;CARROT_BED_CAP,V$4&gt;MESCLUN_BED_CAP,$A8+$B8+V$4&gt;TOTAL_BEDS_AVAILABLE,($D8+V$5)&gt;TOTAL_LABOR_HOURS_CAP,MAX(0,($D8+V$5)-PERMANENT_FIELD_LABOR_HOURS)&gt;TEMP_HOURS_CAP),"",$C8+V$6-MIN(($D8+V$5),PERMANENT_FIELD_LABOR_HOURS)*PERMANENT_HOURLY_RATE-MAX(0,($D8+V$5)-PERMANENT_FIELD_LABOR_HOURS)*TEMP_HOURLY_RATE-FIXED_SEASON_COST)</f>
        <v>-18626.8434346483</v>
      </c>
      <c r="W8" s="53" t="n">
        <f aca="false">IF(OR($A8&gt;TOMATO_BED_CAP,$B8&gt;CARROT_BED_CAP,W$4&gt;MESCLUN_BED_CAP,$A8+$B8+W$4&gt;TOTAL_BEDS_AVAILABLE,($D8+W$5)&gt;TOTAL_LABOR_HOURS_CAP,MAX(0,($D8+W$5)-PERMANENT_FIELD_LABOR_HOURS)&gt;TEMP_HOURS_CAP),"",$C8+W$6-MIN(($D8+W$5),PERMANENT_FIELD_LABOR_HOURS)*PERMANENT_HOURLY_RATE-MAX(0,($D8+W$5)-PERMANENT_FIELD_LABOR_HOURS)*TEMP_HOURLY_RATE-FIXED_SEASON_COST)</f>
        <v>-17962.3289136802</v>
      </c>
      <c r="X8" s="53" t="n">
        <f aca="false">IF(OR($A8&gt;TOMATO_BED_CAP,$B8&gt;CARROT_BED_CAP,X$4&gt;MESCLUN_BED_CAP,$A8+$B8+X$4&gt;TOTAL_BEDS_AVAILABLE,($D8+X$5)&gt;TOTAL_LABOR_HOURS_CAP,MAX(0,($D8+X$5)-PERMANENT_FIELD_LABOR_HOURS)&gt;TEMP_HOURS_CAP),"",$C8+X$6-MIN(($D8+X$5),PERMANENT_FIELD_LABOR_HOURS)*PERMANENT_HOURLY_RATE-MAX(0,($D8+X$5)-PERMANENT_FIELD_LABOR_HOURS)*TEMP_HOURLY_RATE-FIXED_SEASON_COST)</f>
        <v>-17324.3190854013</v>
      </c>
      <c r="Y8" s="53" t="n">
        <f aca="false">IF(OR($A8&gt;TOMATO_BED_CAP,$B8&gt;CARROT_BED_CAP,Y$4&gt;MESCLUN_BED_CAP,$A8+$B8+Y$4&gt;TOTAL_BEDS_AVAILABLE,($D8+Y$5)&gt;TOTAL_LABOR_HOURS_CAP,MAX(0,($D8+Y$5)-PERMANENT_FIELD_LABOR_HOURS)&gt;TEMP_HOURS_CAP),"",$C8+Y$6-MIN(($D8+Y$5),PERMANENT_FIELD_LABOR_HOURS)*PERMANENT_HOURLY_RATE-MAX(0,($D8+Y$5)-PERMANENT_FIELD_LABOR_HOURS)*TEMP_HOURLY_RATE-FIXED_SEASON_COST)</f>
        <v>-16713.2960225226</v>
      </c>
      <c r="Z8" s="53" t="n">
        <f aca="false">IF(OR($A8&gt;TOMATO_BED_CAP,$B8&gt;CARROT_BED_CAP,Z$4&gt;MESCLUN_BED_CAP,$A8+$B8+Z$4&gt;TOTAL_BEDS_AVAILABLE,($D8+Z$5)&gt;TOTAL_LABOR_HOURS_CAP,MAX(0,($D8+Z$5)-PERMANENT_FIELD_LABOR_HOURS)&gt;TEMP_HOURS_CAP),"",$C8+Z$6-MIN(($D8+Z$5),PERMANENT_FIELD_LABOR_HOURS)*PERMANENT_HOURLY_RATE-MAX(0,($D8+Z$5)-PERMANENT_FIELD_LABOR_HOURS)*TEMP_HOURLY_RATE-FIXED_SEASON_COST)</f>
        <v>-16129.7497082149</v>
      </c>
      <c r="AA8" s="53" t="n">
        <f aca="false">IF(OR($A8&gt;TOMATO_BED_CAP,$B8&gt;CARROT_BED_CAP,AA$4&gt;MESCLUN_BED_CAP,$A8+$B8+AA$4&gt;TOTAL_BEDS_AVAILABLE,($D8+AA$5)&gt;TOTAL_LABOR_HOURS_CAP,MAX(0,($D8+AA$5)-PERMANENT_FIELD_LABOR_HOURS)&gt;TEMP_HOURS_CAP),"",$C8+AA$6-MIN(($D8+AA$5),PERMANENT_FIELD_LABOR_HOURS)*PERMANENT_HOURLY_RATE-MAX(0,($D8+AA$5)-PERMANENT_FIELD_LABOR_HOURS)*TEMP_HOURLY_RATE-FIXED_SEASON_COST)</f>
        <v>-15574.178158546</v>
      </c>
      <c r="AB8" s="53" t="n">
        <f aca="false">IF(OR($A8&gt;TOMATO_BED_CAP,$B8&gt;CARROT_BED_CAP,AB$4&gt;MESCLUN_BED_CAP,$A8+$B8+AB$4&gt;TOTAL_BEDS_AVAILABLE,($D8+AB$5)&gt;TOTAL_LABOR_HOURS_CAP,MAX(0,($D8+AB$5)-PERMANENT_FIELD_LABOR_HOURS)&gt;TEMP_HOURS_CAP),"",$C8+AB$6-MIN(($D8+AB$5),PERMANENT_FIELD_LABOR_HOURS)*PERMANENT_HOURLY_RATE-MAX(0,($D8+AB$5)-PERMANENT_FIELD_LABOR_HOURS)*TEMP_HOURLY_RATE-FIXED_SEASON_COST)</f>
        <v>-15047.0875467434</v>
      </c>
      <c r="AC8" s="53" t="n">
        <f aca="false">IF(OR($A8&gt;TOMATO_BED_CAP,$B8&gt;CARROT_BED_CAP,AC$4&gt;MESCLUN_BED_CAP,$A8+$B8+AC$4&gt;TOTAL_BEDS_AVAILABLE,($D8+AC$5)&gt;TOTAL_LABOR_HOURS_CAP,MAX(0,($D8+AC$5)-PERMANENT_FIELD_LABOR_HOURS)&gt;TEMP_HOURS_CAP),"",$C8+AC$6-MIN(($D8+AC$5),PERMANENT_FIELD_LABOR_HOURS)*PERMANENT_HOURLY_RATE-MAX(0,($D8+AC$5)-PERMANENT_FIELD_LABOR_HOURS)*TEMP_HOURLY_RATE-FIXED_SEASON_COST)</f>
        <v>-14548.9923293085</v>
      </c>
      <c r="AD8" s="53" t="n">
        <f aca="false">IF(OR($A8&gt;TOMATO_BED_CAP,$B8&gt;CARROT_BED_CAP,AD$4&gt;MESCLUN_BED_CAP,$A8+$B8+AD$4&gt;TOTAL_BEDS_AVAILABLE,($D8+AD$5)&gt;TOTAL_LABOR_HOURS_CAP,MAX(0,($D8+AD$5)-PERMANENT_FIELD_LABOR_HOURS)&gt;TEMP_HOURS_CAP),"",$C8+AD$6-MIN(($D8+AD$5),PERMANENT_FIELD_LABOR_HOURS)*PERMANENT_HOURLY_RATE-MAX(0,($D8+AD$5)-PERMANENT_FIELD_LABOR_HOURS)*TEMP_HOURLY_RATE-FIXED_SEASON_COST)</f>
        <v>-14080.4153740086</v>
      </c>
      <c r="AE8" s="53" t="n">
        <f aca="false">IF(OR($A8&gt;TOMATO_BED_CAP,$B8&gt;CARROT_BED_CAP,AE$4&gt;MESCLUN_BED_CAP,$A8+$B8+AE$4&gt;TOTAL_BEDS_AVAILABLE,($D8+AE$5)&gt;TOTAL_LABOR_HOURS_CAP,MAX(0,($D8+AE$5)-PERMANENT_FIELD_LABOR_HOURS)&gt;TEMP_HOURS_CAP),"",$C8+AE$6-MIN(($D8+AE$5),PERMANENT_FIELD_LABOR_HOURS)*PERMANENT_HOURLY_RATE-MAX(0,($D8+AE$5)-PERMANENT_FIELD_LABOR_HOURS)*TEMP_HOURLY_RATE-FIXED_SEASON_COST)</f>
        <v>-13641.8880897747</v>
      </c>
      <c r="AF8" s="53" t="n">
        <f aca="false">IF(OR($A8&gt;TOMATO_BED_CAP,$B8&gt;CARROT_BED_CAP,AF$4&gt;MESCLUN_BED_CAP,$A8+$B8+AF$4&gt;TOTAL_BEDS_AVAILABLE,($D8+AF$5)&gt;TOTAL_LABOR_HOURS_CAP,MAX(0,($D8+AF$5)-PERMANENT_FIELD_LABOR_HOURS)&gt;TEMP_HOURS_CAP),"",$C8+AF$6-MIN(($D8+AF$5),PERMANENT_FIELD_LABOR_HOURS)*PERMANENT_HOURLY_RATE-MAX(0,($D8+AF$5)-PERMANENT_FIELD_LABOR_HOURS)*TEMP_HOURLY_RATE-FIXED_SEASON_COST)</f>
        <v>-13233.9505585327</v>
      </c>
      <c r="AG8" s="53" t="n">
        <f aca="false">IF(OR($A8&gt;TOMATO_BED_CAP,$B8&gt;CARROT_BED_CAP,AG$4&gt;MESCLUN_BED_CAP,$A8+$B8+AG$4&gt;TOTAL_BEDS_AVAILABLE,($D8+AG$5)&gt;TOTAL_LABOR_HOURS_CAP,MAX(0,($D8+AG$5)-PERMANENT_FIELD_LABOR_HOURS)&gt;TEMP_HOURS_CAP),"",$C8+AG$6-MIN(($D8+AG$5),PERMANENT_FIELD_LABOR_HOURS)*PERMANENT_HOURLY_RATE-MAX(0,($D8+AG$5)-PERMANENT_FIELD_LABOR_HOURS)*TEMP_HOURLY_RATE-FIXED_SEASON_COST)</f>
        <v>-12857.1516689957</v>
      </c>
      <c r="AH8" s="53" t="n">
        <f aca="false">IF(OR($A8&gt;TOMATO_BED_CAP,$B8&gt;CARROT_BED_CAP,AH$4&gt;MESCLUN_BED_CAP,$A8+$B8+AH$4&gt;TOTAL_BEDS_AVAILABLE,($D8+AH$5)&gt;TOTAL_LABOR_HOURS_CAP,MAX(0,($D8+AH$5)-PERMANENT_FIELD_LABOR_HOURS)&gt;TEMP_HOURS_CAP),"",$C8+AH$6-MIN(($D8+AH$5),PERMANENT_FIELD_LABOR_HOURS)*PERMANENT_HOURLY_RATE-MAX(0,($D8+AH$5)-PERMANENT_FIELD_LABOR_HOURS)*TEMP_HOURLY_RATE-FIXED_SEASON_COST)</f>
        <v>-12512.0492524455</v>
      </c>
      <c r="AI8" s="53" t="n">
        <f aca="false">IF(OR($A8&gt;TOMATO_BED_CAP,$B8&gt;CARROT_BED_CAP,AI$4&gt;MESCLUN_BED_CAP,$A8+$B8+AI$4&gt;TOTAL_BEDS_AVAILABLE,($D8+AI$5)&gt;TOTAL_LABOR_HOURS_CAP,MAX(0,($D8+AI$5)-PERMANENT_FIELD_LABOR_HOURS)&gt;TEMP_HOURS_CAP),"",$C8+AI$6-MIN(($D8+AI$5),PERMANENT_FIELD_LABOR_HOURS)*PERMANENT_HOURLY_RATE-MAX(0,($D8+AI$5)-PERMANENT_FIELD_LABOR_HOURS)*TEMP_HOURLY_RATE-FIXED_SEASON_COST)</f>
        <v>-12199.2102205332</v>
      </c>
      <c r="AJ8" s="53" t="n">
        <f aca="false">IF(OR($A8&gt;TOMATO_BED_CAP,$B8&gt;CARROT_BED_CAP,AJ$4&gt;MESCLUN_BED_CAP,$A8+$B8+AJ$4&gt;TOTAL_BEDS_AVAILABLE,($D8+AJ$5)&gt;TOTAL_LABOR_HOURS_CAP,MAX(0,($D8+AJ$5)-PERMANENT_FIELD_LABOR_HOURS)&gt;TEMP_HOURS_CAP),"",$C8+AJ$6-MIN(($D8+AJ$5),PERMANENT_FIELD_LABOR_HOURS)*PERMANENT_HOURLY_RATE-MAX(0,($D8+AJ$5)-PERMANENT_FIELD_LABOR_HOURS)*TEMP_HOURLY_RATE-FIXED_SEASON_COST)</f>
        <v>-11919.2107051275</v>
      </c>
      <c r="AL8" s="21" t="s">
        <v>598</v>
      </c>
      <c r="AM8" s="54" t="n">
        <f aca="false">MAX(ENUM_ROW_BEST)</f>
        <v>42775.1553877422</v>
      </c>
    </row>
    <row r="9" customFormat="false" ht="15" hidden="false" customHeight="false" outlineLevel="0" collapsed="false">
      <c r="A9" s="21" t="n">
        <f aca="false">INT((ROW()-ROW($A$8))/(20+1))</f>
        <v>0</v>
      </c>
      <c r="B9" s="21" t="n">
        <f aca="false">MOD(ROW()-ROW($A$8),20+1)</f>
        <v>1</v>
      </c>
      <c r="C9" s="13" t="n">
        <f aca="false">A9*(TOMATO_REVENUE_PER_BED-TOMATO_FERTILIZER_PER_BED)+B9*(CARROT_REVENUE_PER_BED-CARROT_FERTILIZER_PER_BED)</f>
        <v>1654</v>
      </c>
      <c r="D9" s="14" t="n">
        <f aca="false">INDEX(TOMATO_SCHED_LABOR_HRS,A9+1)+INDEX(CARROT_SCHED_LABOR_HRS,B9+1)</f>
        <v>30.7377</v>
      </c>
      <c r="E9" s="13" t="n">
        <f aca="false">IF(COUNT(F9:AJ9)=0,"",MAX(F9:AJ9))</f>
        <v>-10798.8171771275</v>
      </c>
      <c r="F9" s="53" t="n">
        <f aca="false">IF(OR($A9&gt;TOMATO_BED_CAP,$B9&gt;CARROT_BED_CAP,F$4&gt;MESCLUN_BED_CAP,$A9+$B9+F$4&gt;TOTAL_BEDS_AVAILABLE,($D9+F$5)&gt;TOTAL_LABOR_HOURS_CAP,MAX(0,($D9+F$5)-PERMANENT_FIELD_LABOR_HOURS)&gt;TEMP_HOURS_CAP),"",$C9+F$6-MIN(($D9+F$5),PERMANENT_FIELD_LABOR_HOURS)*PERMANENT_HOURLY_RATE-MAX(0,($D9+F$5)-PERMANENT_FIELD_LABOR_HOURS)*TEMP_HOURLY_RATE-FIXED_SEASON_COST)</f>
        <v>-19413.212944</v>
      </c>
      <c r="G9" s="53" t="n">
        <f aca="false">IF(OR($A9&gt;TOMATO_BED_CAP,$B9&gt;CARROT_BED_CAP,G$4&gt;MESCLUN_BED_CAP,$A9+$B9+G$4&gt;TOTAL_BEDS_AVAILABLE,($D9+G$5)&gt;TOTAL_LABOR_HOURS_CAP,MAX(0,($D9+G$5)-PERMANENT_FIELD_LABOR_HOURS)&gt;TEMP_HOURS_CAP),"",$C9+G$6-MIN(($D9+G$5),PERMANENT_FIELD_LABOR_HOURS)*PERMANENT_HOURLY_RATE-MAX(0,($D9+G$5)-PERMANENT_FIELD_LABOR_HOURS)*TEMP_HOURLY_RATE-FIXED_SEASON_COST)</f>
        <v>-19175.142944</v>
      </c>
      <c r="H9" s="53" t="n">
        <f aca="false">IF(OR($A9&gt;TOMATO_BED_CAP,$B9&gt;CARROT_BED_CAP,H$4&gt;MESCLUN_BED_CAP,$A9+$B9+H$4&gt;TOTAL_BEDS_AVAILABLE,($D9+H$5)&gt;TOTAL_LABOR_HOURS_CAP,MAX(0,($D9+H$5)-PERMANENT_FIELD_LABOR_HOURS)&gt;TEMP_HOURS_CAP),"",$C9+H$6-MIN(($D9+H$5),PERMANENT_FIELD_LABOR_HOURS)*PERMANENT_HOURLY_RATE-MAX(0,($D9+H$5)-PERMANENT_FIELD_LABOR_HOURS)*TEMP_HOURLY_RATE-FIXED_SEASON_COST)</f>
        <v>-18976.621194</v>
      </c>
      <c r="I9" s="53" t="n">
        <f aca="false">IF(OR($A9&gt;TOMATO_BED_CAP,$B9&gt;CARROT_BED_CAP,I$4&gt;MESCLUN_BED_CAP,$A9+$B9+I$4&gt;TOTAL_BEDS_AVAILABLE,($D9+I$5)&gt;TOTAL_LABOR_HOURS_CAP,MAX(0,($D9+I$5)-PERMANENT_FIELD_LABOR_HOURS)&gt;TEMP_HOURS_CAP),"",$C9+I$6-MIN(($D9+I$5),PERMANENT_FIELD_LABOR_HOURS)*PERMANENT_HOURLY_RATE-MAX(0,($D9+I$5)-PERMANENT_FIELD_LABOR_HOURS)*TEMP_HOURLY_RATE-FIXED_SEASON_COST)</f>
        <v>-18818.3892236875</v>
      </c>
      <c r="J9" s="53" t="n">
        <f aca="false">IF(OR($A9&gt;TOMATO_BED_CAP,$B9&gt;CARROT_BED_CAP,J$4&gt;MESCLUN_BED_CAP,$A9+$B9+J$4&gt;TOTAL_BEDS_AVAILABLE,($D9+J$5)&gt;TOTAL_LABOR_HOURS_CAP,MAX(0,($D9+J$5)-PERMANENT_FIELD_LABOR_HOURS)&gt;TEMP_HOURS_CAP),"",$C9+J$6-MIN(($D9+J$5),PERMANENT_FIELD_LABOR_HOURS)*PERMANENT_HOURLY_RATE-MAX(0,($D9+J$5)-PERMANENT_FIELD_LABOR_HOURS)*TEMP_HOURLY_RATE-FIXED_SEASON_COST)</f>
        <v>-18701.2009215781</v>
      </c>
      <c r="K9" s="53" t="n">
        <f aca="false">IF(OR($A9&gt;TOMATO_BED_CAP,$B9&gt;CARROT_BED_CAP,K$4&gt;MESCLUN_BED_CAP,$A9+$B9+K$4&gt;TOTAL_BEDS_AVAILABLE,($D9+K$5)&gt;TOTAL_LABOR_HOURS_CAP,MAX(0,($D9+K$5)-PERMANENT_FIELD_LABOR_HOURS)&gt;TEMP_HOURS_CAP),"",$C9+K$6-MIN(($D9+K$5),PERMANENT_FIELD_LABOR_HOURS)*PERMANENT_HOURLY_RATE-MAX(0,($D9+K$5)-PERMANENT_FIELD_LABOR_HOURS)*TEMP_HOURLY_RATE-FIXED_SEASON_COST)</f>
        <v>-18625.8227281223</v>
      </c>
      <c r="L9" s="53" t="n">
        <f aca="false">IF(OR($A9&gt;TOMATO_BED_CAP,$B9&gt;CARROT_BED_CAP,L$4&gt;MESCLUN_BED_CAP,$A9+$B9+L$4&gt;TOTAL_BEDS_AVAILABLE,($D9+L$5)&gt;TOTAL_LABOR_HOURS_CAP,MAX(0,($D9+L$5)-PERMANENT_FIELD_LABOR_HOURS)&gt;TEMP_HOURS_CAP),"",$C9+L$6-MIN(($D9+L$5),PERMANENT_FIELD_LABOR_HOURS)*PERMANENT_HOURLY_RATE-MAX(0,($D9+L$5)-PERMANENT_FIELD_LABOR_HOURS)*TEMP_HOURLY_RATE-FIXED_SEASON_COST)</f>
        <v>-18593.0338317086</v>
      </c>
      <c r="M9" s="53" t="n">
        <f aca="false">IF(OR($A9&gt;TOMATO_BED_CAP,$B9&gt;CARROT_BED_CAP,M$4&gt;MESCLUN_BED_CAP,$A9+$B9+M$4&gt;TOTAL_BEDS_AVAILABLE,($D9+M$5)&gt;TOTAL_LABOR_HOURS_CAP,MAX(0,($D9+M$5)-PERMANENT_FIELD_LABOR_HOURS)&gt;TEMP_HOURS_CAP),"",$C9+M$6-MIN(($D9+M$5),PERMANENT_FIELD_LABOR_HOURS)*PERMANENT_HOURLY_RATE-MAX(0,($D9+M$5)-PERMANENT_FIELD_LABOR_HOURS)*TEMP_HOURLY_RATE-FIXED_SEASON_COST)</f>
        <v>-18603.6263676058</v>
      </c>
      <c r="N9" s="53" t="n">
        <f aca="false">IF(OR($A9&gt;TOMATO_BED_CAP,$B9&gt;CARROT_BED_CAP,N$4&gt;MESCLUN_BED_CAP,$A9+$B9+N$4&gt;TOTAL_BEDS_AVAILABLE,($D9+N$5)&gt;TOTAL_LABOR_HOURS_CAP,MAX(0,($D9+N$5)-PERMANENT_FIELD_LABOR_HOURS)&gt;TEMP_HOURS_CAP),"",$C9+N$6-MIN(($D9+N$5),PERMANENT_FIELD_LABOR_HOURS)*PERMANENT_HOURLY_RATE-MAX(0,($D9+N$5)-PERMANENT_FIELD_LABOR_HOURS)*TEMP_HOURLY_RATE-FIXED_SEASON_COST)</f>
        <v>-18658.4056198867</v>
      </c>
      <c r="O9" s="53" t="n">
        <f aca="false">IF(OR($A9&gt;TOMATO_BED_CAP,$B9&gt;CARROT_BED_CAP,O$4&gt;MESCLUN_BED_CAP,$A9+$B9+O$4&gt;TOTAL_BEDS_AVAILABLE,($D9+O$5)&gt;TOTAL_LABOR_HOURS_CAP,MAX(0,($D9+O$5)-PERMANENT_FIELD_LABOR_HOURS)&gt;TEMP_HOURS_CAP),"",$C9+O$6-MIN(($D9+O$5),PERMANENT_FIELD_LABOR_HOURS)*PERMANENT_HOURLY_RATE-MAX(0,($D9+O$5)-PERMANENT_FIELD_LABOR_HOURS)*TEMP_HOURLY_RATE-FIXED_SEASON_COST)</f>
        <v>-18758.1902263772</v>
      </c>
      <c r="P9" s="53" t="n">
        <f aca="false">IF(OR($A9&gt;TOMATO_BED_CAP,$B9&gt;CARROT_BED_CAP,P$4&gt;MESCLUN_BED_CAP,$A9+$B9+P$4&gt;TOTAL_BEDS_AVAILABLE,($D9+P$5)&gt;TOTAL_LABOR_HOURS_CAP,MAX(0,($D9+P$5)-PERMANENT_FIELD_LABOR_HOURS)&gt;TEMP_HOURS_CAP),"",$C9+P$6-MIN(($D9+P$5),PERMANENT_FIELD_LABOR_HOURS)*PERMANENT_HOURLY_RATE-MAX(0,($D9+P$5)-PERMANENT_FIELD_LABOR_HOURS)*TEMP_HOURLY_RATE-FIXED_SEASON_COST)</f>
        <v>-18903.8123866743</v>
      </c>
      <c r="Q9" s="53" t="n">
        <f aca="false">IF(OR($A9&gt;TOMATO_BED_CAP,$B9&gt;CARROT_BED_CAP,Q$4&gt;MESCLUN_BED_CAP,$A9+$B9+Q$4&gt;TOTAL_BEDS_AVAILABLE,($D9+Q$5)&gt;TOTAL_LABOR_HOURS_CAP,MAX(0,($D9+Q$5)-PERMANENT_FIELD_LABOR_HOURS)&gt;TEMP_HOURS_CAP),"",$C9+Q$6-MIN(($D9+Q$5),PERMANENT_FIELD_LABOR_HOURS)*PERMANENT_HOURLY_RATE-MAX(0,($D9+Q$5)-PERMANENT_FIELD_LABOR_HOURS)*TEMP_HOURLY_RATE-FIXED_SEASON_COST)</f>
        <v>-19096.1180732786</v>
      </c>
      <c r="R9" s="53" t="n">
        <f aca="false">IF(OR($A9&gt;TOMATO_BED_CAP,$B9&gt;CARROT_BED_CAP,R$4&gt;MESCLUN_BED_CAP,$A9+$B9+R$4&gt;TOTAL_BEDS_AVAILABLE,($D9+R$5)&gt;TOTAL_LABOR_HOURS_CAP,MAX(0,($D9+R$5)-PERMANENT_FIELD_LABOR_HOURS)&gt;TEMP_HOURS_CAP),"",$C9+R$6-MIN(($D9+R$5),PERMANENT_FIELD_LABOR_HOURS)*PERMANENT_HOURLY_RATE-MAX(0,($D9+R$5)-PERMANENT_FIELD_LABOR_HOURS)*TEMP_HOURLY_RATE-FIXED_SEASON_COST)</f>
        <v>-19335.9672458849</v>
      </c>
      <c r="S9" s="53" t="n">
        <f aca="false">IF(OR($A9&gt;TOMATO_BED_CAP,$B9&gt;CARROT_BED_CAP,S$4&gt;MESCLUN_BED_CAP,$A9+$B9+S$4&gt;TOTAL_BEDS_AVAILABLE,($D9+S$5)&gt;TOTAL_LABOR_HOURS_CAP,MAX(0,($D9+S$5)-PERMANENT_FIELD_LABOR_HOURS)&gt;TEMP_HOURS_CAP),"",$C9+S$6-MIN(($D9+S$5),PERMANENT_FIELD_LABOR_HOURS)*PERMANENT_HOURLY_RATE-MAX(0,($D9+S$5)-PERMANENT_FIELD_LABOR_HOURS)*TEMP_HOURLY_RATE-FIXED_SEASON_COST)</f>
        <v>-19624.2340688801</v>
      </c>
      <c r="T9" s="53" t="n">
        <f aca="false">IF(OR($A9&gt;TOMATO_BED_CAP,$B9&gt;CARROT_BED_CAP,T$4&gt;MESCLUN_BED_CAP,$A9+$B9+T$4&gt;TOTAL_BEDS_AVAILABLE,($D9+T$5)&gt;TOTAL_LABOR_HOURS_CAP,MAX(0,($D9+T$5)-PERMANENT_FIELD_LABOR_HOURS)&gt;TEMP_HOURS_CAP),"",$C9+T$6-MIN(($D9+T$5),PERMANENT_FIELD_LABOR_HOURS)*PERMANENT_HOURLY_RATE-MAX(0,($D9+T$5)-PERMANENT_FIELD_LABOR_HOURS)*TEMP_HOURLY_RATE-FIXED_SEASON_COST)</f>
        <v>-18913.1035660452</v>
      </c>
      <c r="U9" s="53" t="n">
        <f aca="false">IF(OR($A9&gt;TOMATO_BED_CAP,$B9&gt;CARROT_BED_CAP,U$4&gt;MESCLUN_BED_CAP,$A9+$B9+U$4&gt;TOTAL_BEDS_AVAILABLE,($D9+U$5)&gt;TOTAL_LABOR_HOURS_CAP,MAX(0,($D9+U$5)-PERMANENT_FIELD_LABOR_HOURS)&gt;TEMP_HOURS_CAP),"",$C9+U$6-MIN(($D9+U$5),PERMANENT_FIELD_LABOR_HOURS)*PERMANENT_HOURLY_RATE-MAX(0,($D9+U$5)-PERMANENT_FIELD_LABOR_HOURS)*TEMP_HOURLY_RATE-FIXED_SEASON_COST)</f>
        <v>-18196.9948374151</v>
      </c>
      <c r="V9" s="53" t="n">
        <f aca="false">IF(OR($A9&gt;TOMATO_BED_CAP,$B9&gt;CARROT_BED_CAP,V$4&gt;MESCLUN_BED_CAP,$A9+$B9+V$4&gt;TOTAL_BEDS_AVAILABLE,($D9+V$5)&gt;TOTAL_LABOR_HOURS_CAP,MAX(0,($D9+V$5)-PERMANENT_FIELD_LABOR_HOURS)&gt;TEMP_HOURS_CAP),"",$C9+V$6-MIN(($D9+V$5),PERMANENT_FIELD_LABOR_HOURS)*PERMANENT_HOURLY_RATE-MAX(0,($D9+V$5)-PERMANENT_FIELD_LABOR_HOURS)*TEMP_HOURLY_RATE-FIXED_SEASON_COST)</f>
        <v>-17506.4499066483</v>
      </c>
      <c r="W9" s="53" t="n">
        <f aca="false">IF(OR($A9&gt;TOMATO_BED_CAP,$B9&gt;CARROT_BED_CAP,W$4&gt;MESCLUN_BED_CAP,$A9+$B9+W$4&gt;TOTAL_BEDS_AVAILABLE,($D9+W$5)&gt;TOTAL_LABOR_HOURS_CAP,MAX(0,($D9+W$5)-PERMANENT_FIELD_LABOR_HOURS)&gt;TEMP_HOURS_CAP),"",$C9+W$6-MIN(($D9+W$5),PERMANENT_FIELD_LABOR_HOURS)*PERMANENT_HOURLY_RATE-MAX(0,($D9+W$5)-PERMANENT_FIELD_LABOR_HOURS)*TEMP_HOURLY_RATE-FIXED_SEASON_COST)</f>
        <v>-16841.9353856802</v>
      </c>
      <c r="X9" s="53" t="n">
        <f aca="false">IF(OR($A9&gt;TOMATO_BED_CAP,$B9&gt;CARROT_BED_CAP,X$4&gt;MESCLUN_BED_CAP,$A9+$B9+X$4&gt;TOTAL_BEDS_AVAILABLE,($D9+X$5)&gt;TOTAL_LABOR_HOURS_CAP,MAX(0,($D9+X$5)-PERMANENT_FIELD_LABOR_HOURS)&gt;TEMP_HOURS_CAP),"",$C9+X$6-MIN(($D9+X$5),PERMANENT_FIELD_LABOR_HOURS)*PERMANENT_HOURLY_RATE-MAX(0,($D9+X$5)-PERMANENT_FIELD_LABOR_HOURS)*TEMP_HOURLY_RATE-FIXED_SEASON_COST)</f>
        <v>-16203.9255574013</v>
      </c>
      <c r="Y9" s="53" t="n">
        <f aca="false">IF(OR($A9&gt;TOMATO_BED_CAP,$B9&gt;CARROT_BED_CAP,Y$4&gt;MESCLUN_BED_CAP,$A9+$B9+Y$4&gt;TOTAL_BEDS_AVAILABLE,($D9+Y$5)&gt;TOTAL_LABOR_HOURS_CAP,MAX(0,($D9+Y$5)-PERMANENT_FIELD_LABOR_HOURS)&gt;TEMP_HOURS_CAP),"",$C9+Y$6-MIN(($D9+Y$5),PERMANENT_FIELD_LABOR_HOURS)*PERMANENT_HOURLY_RATE-MAX(0,($D9+Y$5)-PERMANENT_FIELD_LABOR_HOURS)*TEMP_HOURLY_RATE-FIXED_SEASON_COST)</f>
        <v>-15592.9024945226</v>
      </c>
      <c r="Z9" s="53" t="n">
        <f aca="false">IF(OR($A9&gt;TOMATO_BED_CAP,$B9&gt;CARROT_BED_CAP,Z$4&gt;MESCLUN_BED_CAP,$A9+$B9+Z$4&gt;TOTAL_BEDS_AVAILABLE,($D9+Z$5)&gt;TOTAL_LABOR_HOURS_CAP,MAX(0,($D9+Z$5)-PERMANENT_FIELD_LABOR_HOURS)&gt;TEMP_HOURS_CAP),"",$C9+Z$6-MIN(($D9+Z$5),PERMANENT_FIELD_LABOR_HOURS)*PERMANENT_HOURLY_RATE-MAX(0,($D9+Z$5)-PERMANENT_FIELD_LABOR_HOURS)*TEMP_HOURLY_RATE-FIXED_SEASON_COST)</f>
        <v>-15009.3561802149</v>
      </c>
      <c r="AA9" s="53" t="n">
        <f aca="false">IF(OR($A9&gt;TOMATO_BED_CAP,$B9&gt;CARROT_BED_CAP,AA$4&gt;MESCLUN_BED_CAP,$A9+$B9+AA$4&gt;TOTAL_BEDS_AVAILABLE,($D9+AA$5)&gt;TOTAL_LABOR_HOURS_CAP,MAX(0,($D9+AA$5)-PERMANENT_FIELD_LABOR_HOURS)&gt;TEMP_HOURS_CAP),"",$C9+AA$6-MIN(($D9+AA$5),PERMANENT_FIELD_LABOR_HOURS)*PERMANENT_HOURLY_RATE-MAX(0,($D9+AA$5)-PERMANENT_FIELD_LABOR_HOURS)*TEMP_HOURLY_RATE-FIXED_SEASON_COST)</f>
        <v>-14453.784630546</v>
      </c>
      <c r="AB9" s="53" t="n">
        <f aca="false">IF(OR($A9&gt;TOMATO_BED_CAP,$B9&gt;CARROT_BED_CAP,AB$4&gt;MESCLUN_BED_CAP,$A9+$B9+AB$4&gt;TOTAL_BEDS_AVAILABLE,($D9+AB$5)&gt;TOTAL_LABOR_HOURS_CAP,MAX(0,($D9+AB$5)-PERMANENT_FIELD_LABOR_HOURS)&gt;TEMP_HOURS_CAP),"",$C9+AB$6-MIN(($D9+AB$5),PERMANENT_FIELD_LABOR_HOURS)*PERMANENT_HOURLY_RATE-MAX(0,($D9+AB$5)-PERMANENT_FIELD_LABOR_HOURS)*TEMP_HOURLY_RATE-FIXED_SEASON_COST)</f>
        <v>-13926.6940187434</v>
      </c>
      <c r="AC9" s="53" t="n">
        <f aca="false">IF(OR($A9&gt;TOMATO_BED_CAP,$B9&gt;CARROT_BED_CAP,AC$4&gt;MESCLUN_BED_CAP,$A9+$B9+AC$4&gt;TOTAL_BEDS_AVAILABLE,($D9+AC$5)&gt;TOTAL_LABOR_HOURS_CAP,MAX(0,($D9+AC$5)-PERMANENT_FIELD_LABOR_HOURS)&gt;TEMP_HOURS_CAP),"",$C9+AC$6-MIN(($D9+AC$5),PERMANENT_FIELD_LABOR_HOURS)*PERMANENT_HOURLY_RATE-MAX(0,($D9+AC$5)-PERMANENT_FIELD_LABOR_HOURS)*TEMP_HOURLY_RATE-FIXED_SEASON_COST)</f>
        <v>-13428.5988013085</v>
      </c>
      <c r="AD9" s="53" t="n">
        <f aca="false">IF(OR($A9&gt;TOMATO_BED_CAP,$B9&gt;CARROT_BED_CAP,AD$4&gt;MESCLUN_BED_CAP,$A9+$B9+AD$4&gt;TOTAL_BEDS_AVAILABLE,($D9+AD$5)&gt;TOTAL_LABOR_HOURS_CAP,MAX(0,($D9+AD$5)-PERMANENT_FIELD_LABOR_HOURS)&gt;TEMP_HOURS_CAP),"",$C9+AD$6-MIN(($D9+AD$5),PERMANENT_FIELD_LABOR_HOURS)*PERMANENT_HOURLY_RATE-MAX(0,($D9+AD$5)-PERMANENT_FIELD_LABOR_HOURS)*TEMP_HOURLY_RATE-FIXED_SEASON_COST)</f>
        <v>-12960.0218460086</v>
      </c>
      <c r="AE9" s="53" t="n">
        <f aca="false">IF(OR($A9&gt;TOMATO_BED_CAP,$B9&gt;CARROT_BED_CAP,AE$4&gt;MESCLUN_BED_CAP,$A9+$B9+AE$4&gt;TOTAL_BEDS_AVAILABLE,($D9+AE$5)&gt;TOTAL_LABOR_HOURS_CAP,MAX(0,($D9+AE$5)-PERMANENT_FIELD_LABOR_HOURS)&gt;TEMP_HOURS_CAP),"",$C9+AE$6-MIN(($D9+AE$5),PERMANENT_FIELD_LABOR_HOURS)*PERMANENT_HOURLY_RATE-MAX(0,($D9+AE$5)-PERMANENT_FIELD_LABOR_HOURS)*TEMP_HOURLY_RATE-FIXED_SEASON_COST)</f>
        <v>-12521.4945617747</v>
      </c>
      <c r="AF9" s="53" t="n">
        <f aca="false">IF(OR($A9&gt;TOMATO_BED_CAP,$B9&gt;CARROT_BED_CAP,AF$4&gt;MESCLUN_BED_CAP,$A9+$B9+AF$4&gt;TOTAL_BEDS_AVAILABLE,($D9+AF$5)&gt;TOTAL_LABOR_HOURS_CAP,MAX(0,($D9+AF$5)-PERMANENT_FIELD_LABOR_HOURS)&gt;TEMP_HOURS_CAP),"",$C9+AF$6-MIN(($D9+AF$5),PERMANENT_FIELD_LABOR_HOURS)*PERMANENT_HOURLY_RATE-MAX(0,($D9+AF$5)-PERMANENT_FIELD_LABOR_HOURS)*TEMP_HOURLY_RATE-FIXED_SEASON_COST)</f>
        <v>-12113.5570305327</v>
      </c>
      <c r="AG9" s="53" t="n">
        <f aca="false">IF(OR($A9&gt;TOMATO_BED_CAP,$B9&gt;CARROT_BED_CAP,AG$4&gt;MESCLUN_BED_CAP,$A9+$B9+AG$4&gt;TOTAL_BEDS_AVAILABLE,($D9+AG$5)&gt;TOTAL_LABOR_HOURS_CAP,MAX(0,($D9+AG$5)-PERMANENT_FIELD_LABOR_HOURS)&gt;TEMP_HOURS_CAP),"",$C9+AG$6-MIN(($D9+AG$5),PERMANENT_FIELD_LABOR_HOURS)*PERMANENT_HOURLY_RATE-MAX(0,($D9+AG$5)-PERMANENT_FIELD_LABOR_HOURS)*TEMP_HOURLY_RATE-FIXED_SEASON_COST)</f>
        <v>-11736.7581409957</v>
      </c>
      <c r="AH9" s="53" t="n">
        <f aca="false">IF(OR($A9&gt;TOMATO_BED_CAP,$B9&gt;CARROT_BED_CAP,AH$4&gt;MESCLUN_BED_CAP,$A9+$B9+AH$4&gt;TOTAL_BEDS_AVAILABLE,($D9+AH$5)&gt;TOTAL_LABOR_HOURS_CAP,MAX(0,($D9+AH$5)-PERMANENT_FIELD_LABOR_HOURS)&gt;TEMP_HOURS_CAP),"",$C9+AH$6-MIN(($D9+AH$5),PERMANENT_FIELD_LABOR_HOURS)*PERMANENT_HOURLY_RATE-MAX(0,($D9+AH$5)-PERMANENT_FIELD_LABOR_HOURS)*TEMP_HOURLY_RATE-FIXED_SEASON_COST)</f>
        <v>-11391.6557244455</v>
      </c>
      <c r="AI9" s="53" t="n">
        <f aca="false">IF(OR($A9&gt;TOMATO_BED_CAP,$B9&gt;CARROT_BED_CAP,AI$4&gt;MESCLUN_BED_CAP,$A9+$B9+AI$4&gt;TOTAL_BEDS_AVAILABLE,($D9+AI$5)&gt;TOTAL_LABOR_HOURS_CAP,MAX(0,($D9+AI$5)-PERMANENT_FIELD_LABOR_HOURS)&gt;TEMP_HOURS_CAP),"",$C9+AI$6-MIN(($D9+AI$5),PERMANENT_FIELD_LABOR_HOURS)*PERMANENT_HOURLY_RATE-MAX(0,($D9+AI$5)-PERMANENT_FIELD_LABOR_HOURS)*TEMP_HOURLY_RATE-FIXED_SEASON_COST)</f>
        <v>-11078.8166925332</v>
      </c>
      <c r="AJ9" s="53" t="n">
        <f aca="false">IF(OR($A9&gt;TOMATO_BED_CAP,$B9&gt;CARROT_BED_CAP,AJ$4&gt;MESCLUN_BED_CAP,$A9+$B9+AJ$4&gt;TOTAL_BEDS_AVAILABLE,($D9+AJ$5)&gt;TOTAL_LABOR_HOURS_CAP,MAX(0,($D9+AJ$5)-PERMANENT_FIELD_LABOR_HOURS)&gt;TEMP_HOURS_CAP),"",$C9+AJ$6-MIN(($D9+AJ$5),PERMANENT_FIELD_LABOR_HOURS)*PERMANENT_HOURLY_RATE-MAX(0,($D9+AJ$5)-PERMANENT_FIELD_LABOR_HOURS)*TEMP_HOURLY_RATE-FIXED_SEASON_COST)</f>
        <v>-10798.8171771275</v>
      </c>
      <c r="AL9" s="21" t="s">
        <v>599</v>
      </c>
      <c r="AM9" s="10" t="n">
        <f aca="false">MATCH(ENUM_BEST_PROFIT,ENUM_ROW_BEST,0)</f>
        <v>231</v>
      </c>
    </row>
    <row r="10" customFormat="false" ht="15" hidden="false" customHeight="false" outlineLevel="0" collapsed="false">
      <c r="A10" s="21" t="n">
        <f aca="false">INT((ROW()-ROW($A$8))/(20+1))</f>
        <v>0</v>
      </c>
      <c r="B10" s="21" t="n">
        <f aca="false">MOD(ROW()-ROW($A$8),20+1)</f>
        <v>2</v>
      </c>
      <c r="C10" s="13" t="n">
        <f aca="false">A10*(TOMATO_REVENUE_PER_BED-TOMATO_FERTILIZER_PER_BED)+B10*(CARROT_REVENUE_PER_BED-CARROT_FERTILIZER_PER_BED)</f>
        <v>3308</v>
      </c>
      <c r="D10" s="14" t="n">
        <f aca="false">INDEX(TOMATO_SCHED_LABOR_HRS,A10+1)+INDEX(CARROT_SCHED_LABOR_HRS,B10+1)</f>
        <v>63.012285</v>
      </c>
      <c r="E10" s="13" t="n">
        <f aca="false">IF(COUNT(F10:AJ10)=0,"",MAX(F10:AJ10))</f>
        <v>-9705.10397272746</v>
      </c>
      <c r="F10" s="53" t="n">
        <f aca="false">IF(OR($A10&gt;TOMATO_BED_CAP,$B10&gt;CARROT_BED_CAP,F$4&gt;MESCLUN_BED_CAP,$A10+$B10+F$4&gt;TOTAL_BEDS_AVAILABLE,($D10+F$5)&gt;TOTAL_LABOR_HOURS_CAP,MAX(0,($D10+F$5)-PERMANENT_FIELD_LABOR_HOURS)&gt;TEMP_HOURS_CAP),"",$C10+F$6-MIN(($D10+F$5),PERMANENT_FIELD_LABOR_HOURS)*PERMANENT_HOURLY_RATE-MAX(0,($D10+F$5)-PERMANENT_FIELD_LABOR_HOURS)*TEMP_HOURLY_RATE-FIXED_SEASON_COST)</f>
        <v>-18879.7865352</v>
      </c>
      <c r="G10" s="53" t="n">
        <f aca="false">IF(OR($A10&gt;TOMATO_BED_CAP,$B10&gt;CARROT_BED_CAP,G$4&gt;MESCLUN_BED_CAP,$A10+$B10+G$4&gt;TOTAL_BEDS_AVAILABLE,($D10+G$5)&gt;TOTAL_LABOR_HOURS_CAP,MAX(0,($D10+G$5)-PERMANENT_FIELD_LABOR_HOURS)&gt;TEMP_HOURS_CAP),"",$C10+G$6-MIN(($D10+G$5),PERMANENT_FIELD_LABOR_HOURS)*PERMANENT_HOURLY_RATE-MAX(0,($D10+G$5)-PERMANENT_FIELD_LABOR_HOURS)*TEMP_HOURLY_RATE-FIXED_SEASON_COST)</f>
        <v>-18641.7165352</v>
      </c>
      <c r="H10" s="53" t="n">
        <f aca="false">IF(OR($A10&gt;TOMATO_BED_CAP,$B10&gt;CARROT_BED_CAP,H$4&gt;MESCLUN_BED_CAP,$A10+$B10+H$4&gt;TOTAL_BEDS_AVAILABLE,($D10+H$5)&gt;TOTAL_LABOR_HOURS_CAP,MAX(0,($D10+H$5)-PERMANENT_FIELD_LABOR_HOURS)&gt;TEMP_HOURS_CAP),"",$C10+H$6-MIN(($D10+H$5),PERMANENT_FIELD_LABOR_HOURS)*PERMANENT_HOURLY_RATE-MAX(0,($D10+H$5)-PERMANENT_FIELD_LABOR_HOURS)*TEMP_HOURLY_RATE-FIXED_SEASON_COST)</f>
        <v>-18443.1947852</v>
      </c>
      <c r="I10" s="53" t="n">
        <f aca="false">IF(OR($A10&gt;TOMATO_BED_CAP,$B10&gt;CARROT_BED_CAP,I$4&gt;MESCLUN_BED_CAP,$A10+$B10+I$4&gt;TOTAL_BEDS_AVAILABLE,($D10+I$5)&gt;TOTAL_LABOR_HOURS_CAP,MAX(0,($D10+I$5)-PERMANENT_FIELD_LABOR_HOURS)&gt;TEMP_HOURS_CAP),"",$C10+I$6-MIN(($D10+I$5),PERMANENT_FIELD_LABOR_HOURS)*PERMANENT_HOURLY_RATE-MAX(0,($D10+I$5)-PERMANENT_FIELD_LABOR_HOURS)*TEMP_HOURLY_RATE-FIXED_SEASON_COST)</f>
        <v>-18284.9628148875</v>
      </c>
      <c r="J10" s="53" t="n">
        <f aca="false">IF(OR($A10&gt;TOMATO_BED_CAP,$B10&gt;CARROT_BED_CAP,J$4&gt;MESCLUN_BED_CAP,$A10+$B10+J$4&gt;TOTAL_BEDS_AVAILABLE,($D10+J$5)&gt;TOTAL_LABOR_HOURS_CAP,MAX(0,($D10+J$5)-PERMANENT_FIELD_LABOR_HOURS)&gt;TEMP_HOURS_CAP),"",$C10+J$6-MIN(($D10+J$5),PERMANENT_FIELD_LABOR_HOURS)*PERMANENT_HOURLY_RATE-MAX(0,($D10+J$5)-PERMANENT_FIELD_LABOR_HOURS)*TEMP_HOURLY_RATE-FIXED_SEASON_COST)</f>
        <v>-18167.7745127781</v>
      </c>
      <c r="K10" s="53" t="n">
        <f aca="false">IF(OR($A10&gt;TOMATO_BED_CAP,$B10&gt;CARROT_BED_CAP,K$4&gt;MESCLUN_BED_CAP,$A10+$B10+K$4&gt;TOTAL_BEDS_AVAILABLE,($D10+K$5)&gt;TOTAL_LABOR_HOURS_CAP,MAX(0,($D10+K$5)-PERMANENT_FIELD_LABOR_HOURS)&gt;TEMP_HOURS_CAP),"",$C10+K$6-MIN(($D10+K$5),PERMANENT_FIELD_LABOR_HOURS)*PERMANENT_HOURLY_RATE-MAX(0,($D10+K$5)-PERMANENT_FIELD_LABOR_HOURS)*TEMP_HOURLY_RATE-FIXED_SEASON_COST)</f>
        <v>-18092.3963193223</v>
      </c>
      <c r="L10" s="53" t="n">
        <f aca="false">IF(OR($A10&gt;TOMATO_BED_CAP,$B10&gt;CARROT_BED_CAP,L$4&gt;MESCLUN_BED_CAP,$A10+$B10+L$4&gt;TOTAL_BEDS_AVAILABLE,($D10+L$5)&gt;TOTAL_LABOR_HOURS_CAP,MAX(0,($D10+L$5)-PERMANENT_FIELD_LABOR_HOURS)&gt;TEMP_HOURS_CAP),"",$C10+L$6-MIN(($D10+L$5),PERMANENT_FIELD_LABOR_HOURS)*PERMANENT_HOURLY_RATE-MAX(0,($D10+L$5)-PERMANENT_FIELD_LABOR_HOURS)*TEMP_HOURLY_RATE-FIXED_SEASON_COST)</f>
        <v>-18059.6074229086</v>
      </c>
      <c r="M10" s="53" t="n">
        <f aca="false">IF(OR($A10&gt;TOMATO_BED_CAP,$B10&gt;CARROT_BED_CAP,M$4&gt;MESCLUN_BED_CAP,$A10+$B10+M$4&gt;TOTAL_BEDS_AVAILABLE,($D10+M$5)&gt;TOTAL_LABOR_HOURS_CAP,MAX(0,($D10+M$5)-PERMANENT_FIELD_LABOR_HOURS)&gt;TEMP_HOURS_CAP),"",$C10+M$6-MIN(($D10+M$5),PERMANENT_FIELD_LABOR_HOURS)*PERMANENT_HOURLY_RATE-MAX(0,($D10+M$5)-PERMANENT_FIELD_LABOR_HOURS)*TEMP_HOURLY_RATE-FIXED_SEASON_COST)</f>
        <v>-18070.1999588058</v>
      </c>
      <c r="N10" s="53" t="n">
        <f aca="false">IF(OR($A10&gt;TOMATO_BED_CAP,$B10&gt;CARROT_BED_CAP,N$4&gt;MESCLUN_BED_CAP,$A10+$B10+N$4&gt;TOTAL_BEDS_AVAILABLE,($D10+N$5)&gt;TOTAL_LABOR_HOURS_CAP,MAX(0,($D10+N$5)-PERMANENT_FIELD_LABOR_HOURS)&gt;TEMP_HOURS_CAP),"",$C10+N$6-MIN(($D10+N$5),PERMANENT_FIELD_LABOR_HOURS)*PERMANENT_HOURLY_RATE-MAX(0,($D10+N$5)-PERMANENT_FIELD_LABOR_HOURS)*TEMP_HOURLY_RATE-FIXED_SEASON_COST)</f>
        <v>-18124.9792110867</v>
      </c>
      <c r="O10" s="53" t="n">
        <f aca="false">IF(OR($A10&gt;TOMATO_BED_CAP,$B10&gt;CARROT_BED_CAP,O$4&gt;MESCLUN_BED_CAP,$A10+$B10+O$4&gt;TOTAL_BEDS_AVAILABLE,($D10+O$5)&gt;TOTAL_LABOR_HOURS_CAP,MAX(0,($D10+O$5)-PERMANENT_FIELD_LABOR_HOURS)&gt;TEMP_HOURS_CAP),"",$C10+O$6-MIN(($D10+O$5),PERMANENT_FIELD_LABOR_HOURS)*PERMANENT_HOURLY_RATE-MAX(0,($D10+O$5)-PERMANENT_FIELD_LABOR_HOURS)*TEMP_HOURLY_RATE-FIXED_SEASON_COST)</f>
        <v>-18224.7638175772</v>
      </c>
      <c r="P10" s="53" t="n">
        <f aca="false">IF(OR($A10&gt;TOMATO_BED_CAP,$B10&gt;CARROT_BED_CAP,P$4&gt;MESCLUN_BED_CAP,$A10+$B10+P$4&gt;TOTAL_BEDS_AVAILABLE,($D10+P$5)&gt;TOTAL_LABOR_HOURS_CAP,MAX(0,($D10+P$5)-PERMANENT_FIELD_LABOR_HOURS)&gt;TEMP_HOURS_CAP),"",$C10+P$6-MIN(($D10+P$5),PERMANENT_FIELD_LABOR_HOURS)*PERMANENT_HOURLY_RATE-MAX(0,($D10+P$5)-PERMANENT_FIELD_LABOR_HOURS)*TEMP_HOURLY_RATE-FIXED_SEASON_COST)</f>
        <v>-18370.3859778743</v>
      </c>
      <c r="Q10" s="53" t="n">
        <f aca="false">IF(OR($A10&gt;TOMATO_BED_CAP,$B10&gt;CARROT_BED_CAP,Q$4&gt;MESCLUN_BED_CAP,$A10+$B10+Q$4&gt;TOTAL_BEDS_AVAILABLE,($D10+Q$5)&gt;TOTAL_LABOR_HOURS_CAP,MAX(0,($D10+Q$5)-PERMANENT_FIELD_LABOR_HOURS)&gt;TEMP_HOURS_CAP),"",$C10+Q$6-MIN(($D10+Q$5),PERMANENT_FIELD_LABOR_HOURS)*PERMANENT_HOURLY_RATE-MAX(0,($D10+Q$5)-PERMANENT_FIELD_LABOR_HOURS)*TEMP_HOURLY_RATE-FIXED_SEASON_COST)</f>
        <v>-18562.6916644786</v>
      </c>
      <c r="R10" s="53" t="n">
        <f aca="false">IF(OR($A10&gt;TOMATO_BED_CAP,$B10&gt;CARROT_BED_CAP,R$4&gt;MESCLUN_BED_CAP,$A10+$B10+R$4&gt;TOTAL_BEDS_AVAILABLE,($D10+R$5)&gt;TOTAL_LABOR_HOURS_CAP,MAX(0,($D10+R$5)-PERMANENT_FIELD_LABOR_HOURS)&gt;TEMP_HOURS_CAP),"",$C10+R$6-MIN(($D10+R$5),PERMANENT_FIELD_LABOR_HOURS)*PERMANENT_HOURLY_RATE-MAX(0,($D10+R$5)-PERMANENT_FIELD_LABOR_HOURS)*TEMP_HOURLY_RATE-FIXED_SEASON_COST)</f>
        <v>-18802.5408370849</v>
      </c>
      <c r="S10" s="53" t="n">
        <f aca="false">IF(OR($A10&gt;TOMATO_BED_CAP,$B10&gt;CARROT_BED_CAP,S$4&gt;MESCLUN_BED_CAP,$A10+$B10+S$4&gt;TOTAL_BEDS_AVAILABLE,($D10+S$5)&gt;TOTAL_LABOR_HOURS_CAP,MAX(0,($D10+S$5)-PERMANENT_FIELD_LABOR_HOURS)&gt;TEMP_HOURS_CAP),"",$C10+S$6-MIN(($D10+S$5),PERMANENT_FIELD_LABOR_HOURS)*PERMANENT_HOURLY_RATE-MAX(0,($D10+S$5)-PERMANENT_FIELD_LABOR_HOURS)*TEMP_HOURLY_RATE-FIXED_SEASON_COST)</f>
        <v>-18560.60383004</v>
      </c>
      <c r="T10" s="53" t="n">
        <f aca="false">IF(OR($A10&gt;TOMATO_BED_CAP,$B10&gt;CARROT_BED_CAP,T$4&gt;MESCLUN_BED_CAP,$A10+$B10+T$4&gt;TOTAL_BEDS_AVAILABLE,($D10+T$5)&gt;TOTAL_LABOR_HOURS_CAP,MAX(0,($D10+T$5)-PERMANENT_FIELD_LABOR_HOURS)&gt;TEMP_HOURS_CAP),"",$C10+T$6-MIN(($D10+T$5),PERMANENT_FIELD_LABOR_HOURS)*PERMANENT_HOURLY_RATE-MAX(0,($D10+T$5)-PERMANENT_FIELD_LABOR_HOURS)*TEMP_HOURLY_RATE-FIXED_SEASON_COST)</f>
        <v>-17819.3903616452</v>
      </c>
      <c r="U10" s="53" t="n">
        <f aca="false">IF(OR($A10&gt;TOMATO_BED_CAP,$B10&gt;CARROT_BED_CAP,U$4&gt;MESCLUN_BED_CAP,$A10+$B10+U$4&gt;TOTAL_BEDS_AVAILABLE,($D10+U$5)&gt;TOTAL_LABOR_HOURS_CAP,MAX(0,($D10+U$5)-PERMANENT_FIELD_LABOR_HOURS)&gt;TEMP_HOURS_CAP),"",$C10+U$6-MIN(($D10+U$5),PERMANENT_FIELD_LABOR_HOURS)*PERMANENT_HOURLY_RATE-MAX(0,($D10+U$5)-PERMANENT_FIELD_LABOR_HOURS)*TEMP_HOURLY_RATE-FIXED_SEASON_COST)</f>
        <v>-17103.2816330151</v>
      </c>
      <c r="V10" s="53" t="n">
        <f aca="false">IF(OR($A10&gt;TOMATO_BED_CAP,$B10&gt;CARROT_BED_CAP,V$4&gt;MESCLUN_BED_CAP,$A10+$B10+V$4&gt;TOTAL_BEDS_AVAILABLE,($D10+V$5)&gt;TOTAL_LABOR_HOURS_CAP,MAX(0,($D10+V$5)-PERMANENT_FIELD_LABOR_HOURS)&gt;TEMP_HOURS_CAP),"",$C10+V$6-MIN(($D10+V$5),PERMANENT_FIELD_LABOR_HOURS)*PERMANENT_HOURLY_RATE-MAX(0,($D10+V$5)-PERMANENT_FIELD_LABOR_HOURS)*TEMP_HOURLY_RATE-FIXED_SEASON_COST)</f>
        <v>-16412.7367022483</v>
      </c>
      <c r="W10" s="53" t="n">
        <f aca="false">IF(OR($A10&gt;TOMATO_BED_CAP,$B10&gt;CARROT_BED_CAP,W$4&gt;MESCLUN_BED_CAP,$A10+$B10+W$4&gt;TOTAL_BEDS_AVAILABLE,($D10+W$5)&gt;TOTAL_LABOR_HOURS_CAP,MAX(0,($D10+W$5)-PERMANENT_FIELD_LABOR_HOURS)&gt;TEMP_HOURS_CAP),"",$C10+W$6-MIN(($D10+W$5),PERMANENT_FIELD_LABOR_HOURS)*PERMANENT_HOURLY_RATE-MAX(0,($D10+W$5)-PERMANENT_FIELD_LABOR_HOURS)*TEMP_HOURLY_RATE-FIXED_SEASON_COST)</f>
        <v>-15748.2221812802</v>
      </c>
      <c r="X10" s="53" t="n">
        <f aca="false">IF(OR($A10&gt;TOMATO_BED_CAP,$B10&gt;CARROT_BED_CAP,X$4&gt;MESCLUN_BED_CAP,$A10+$B10+X$4&gt;TOTAL_BEDS_AVAILABLE,($D10+X$5)&gt;TOTAL_LABOR_HOURS_CAP,MAX(0,($D10+X$5)-PERMANENT_FIELD_LABOR_HOURS)&gt;TEMP_HOURS_CAP),"",$C10+X$6-MIN(($D10+X$5),PERMANENT_FIELD_LABOR_HOURS)*PERMANENT_HOURLY_RATE-MAX(0,($D10+X$5)-PERMANENT_FIELD_LABOR_HOURS)*TEMP_HOURLY_RATE-FIXED_SEASON_COST)</f>
        <v>-15110.2123530013</v>
      </c>
      <c r="Y10" s="53" t="n">
        <f aca="false">IF(OR($A10&gt;TOMATO_BED_CAP,$B10&gt;CARROT_BED_CAP,Y$4&gt;MESCLUN_BED_CAP,$A10+$B10+Y$4&gt;TOTAL_BEDS_AVAILABLE,($D10+Y$5)&gt;TOTAL_LABOR_HOURS_CAP,MAX(0,($D10+Y$5)-PERMANENT_FIELD_LABOR_HOURS)&gt;TEMP_HOURS_CAP),"",$C10+Y$6-MIN(($D10+Y$5),PERMANENT_FIELD_LABOR_HOURS)*PERMANENT_HOURLY_RATE-MAX(0,($D10+Y$5)-PERMANENT_FIELD_LABOR_HOURS)*TEMP_HOURLY_RATE-FIXED_SEASON_COST)</f>
        <v>-14499.1892901226</v>
      </c>
      <c r="Z10" s="53" t="n">
        <f aca="false">IF(OR($A10&gt;TOMATO_BED_CAP,$B10&gt;CARROT_BED_CAP,Z$4&gt;MESCLUN_BED_CAP,$A10+$B10+Z$4&gt;TOTAL_BEDS_AVAILABLE,($D10+Z$5)&gt;TOTAL_LABOR_HOURS_CAP,MAX(0,($D10+Z$5)-PERMANENT_FIELD_LABOR_HOURS)&gt;TEMP_HOURS_CAP),"",$C10+Z$6-MIN(($D10+Z$5),PERMANENT_FIELD_LABOR_HOURS)*PERMANENT_HOURLY_RATE-MAX(0,($D10+Z$5)-PERMANENT_FIELD_LABOR_HOURS)*TEMP_HOURLY_RATE-FIXED_SEASON_COST)</f>
        <v>-13915.6429758149</v>
      </c>
      <c r="AA10" s="53" t="n">
        <f aca="false">IF(OR($A10&gt;TOMATO_BED_CAP,$B10&gt;CARROT_BED_CAP,AA$4&gt;MESCLUN_BED_CAP,$A10+$B10+AA$4&gt;TOTAL_BEDS_AVAILABLE,($D10+AA$5)&gt;TOTAL_LABOR_HOURS_CAP,MAX(0,($D10+AA$5)-PERMANENT_FIELD_LABOR_HOURS)&gt;TEMP_HOURS_CAP),"",$C10+AA$6-MIN(($D10+AA$5),PERMANENT_FIELD_LABOR_HOURS)*PERMANENT_HOURLY_RATE-MAX(0,($D10+AA$5)-PERMANENT_FIELD_LABOR_HOURS)*TEMP_HOURLY_RATE-FIXED_SEASON_COST)</f>
        <v>-13360.071426146</v>
      </c>
      <c r="AB10" s="53" t="n">
        <f aca="false">IF(OR($A10&gt;TOMATO_BED_CAP,$B10&gt;CARROT_BED_CAP,AB$4&gt;MESCLUN_BED_CAP,$A10+$B10+AB$4&gt;TOTAL_BEDS_AVAILABLE,($D10+AB$5)&gt;TOTAL_LABOR_HOURS_CAP,MAX(0,($D10+AB$5)-PERMANENT_FIELD_LABOR_HOURS)&gt;TEMP_HOURS_CAP),"",$C10+AB$6-MIN(($D10+AB$5),PERMANENT_FIELD_LABOR_HOURS)*PERMANENT_HOURLY_RATE-MAX(0,($D10+AB$5)-PERMANENT_FIELD_LABOR_HOURS)*TEMP_HOURLY_RATE-FIXED_SEASON_COST)</f>
        <v>-12832.9808143434</v>
      </c>
      <c r="AC10" s="53" t="n">
        <f aca="false">IF(OR($A10&gt;TOMATO_BED_CAP,$B10&gt;CARROT_BED_CAP,AC$4&gt;MESCLUN_BED_CAP,$A10+$B10+AC$4&gt;TOTAL_BEDS_AVAILABLE,($D10+AC$5)&gt;TOTAL_LABOR_HOURS_CAP,MAX(0,($D10+AC$5)-PERMANENT_FIELD_LABOR_HOURS)&gt;TEMP_HOURS_CAP),"",$C10+AC$6-MIN(($D10+AC$5),PERMANENT_FIELD_LABOR_HOURS)*PERMANENT_HOURLY_RATE-MAX(0,($D10+AC$5)-PERMANENT_FIELD_LABOR_HOURS)*TEMP_HOURLY_RATE-FIXED_SEASON_COST)</f>
        <v>-12334.8855969085</v>
      </c>
      <c r="AD10" s="53" t="n">
        <f aca="false">IF(OR($A10&gt;TOMATO_BED_CAP,$B10&gt;CARROT_BED_CAP,AD$4&gt;MESCLUN_BED_CAP,$A10+$B10+AD$4&gt;TOTAL_BEDS_AVAILABLE,($D10+AD$5)&gt;TOTAL_LABOR_HOURS_CAP,MAX(0,($D10+AD$5)-PERMANENT_FIELD_LABOR_HOURS)&gt;TEMP_HOURS_CAP),"",$C10+AD$6-MIN(($D10+AD$5),PERMANENT_FIELD_LABOR_HOURS)*PERMANENT_HOURLY_RATE-MAX(0,($D10+AD$5)-PERMANENT_FIELD_LABOR_HOURS)*TEMP_HOURLY_RATE-FIXED_SEASON_COST)</f>
        <v>-11866.3086416086</v>
      </c>
      <c r="AE10" s="53" t="n">
        <f aca="false">IF(OR($A10&gt;TOMATO_BED_CAP,$B10&gt;CARROT_BED_CAP,AE$4&gt;MESCLUN_BED_CAP,$A10+$B10+AE$4&gt;TOTAL_BEDS_AVAILABLE,($D10+AE$5)&gt;TOTAL_LABOR_HOURS_CAP,MAX(0,($D10+AE$5)-PERMANENT_FIELD_LABOR_HOURS)&gt;TEMP_HOURS_CAP),"",$C10+AE$6-MIN(($D10+AE$5),PERMANENT_FIELD_LABOR_HOURS)*PERMANENT_HOURLY_RATE-MAX(0,($D10+AE$5)-PERMANENT_FIELD_LABOR_HOURS)*TEMP_HOURLY_RATE-FIXED_SEASON_COST)</f>
        <v>-11427.7813573747</v>
      </c>
      <c r="AF10" s="53" t="n">
        <f aca="false">IF(OR($A10&gt;TOMATO_BED_CAP,$B10&gt;CARROT_BED_CAP,AF$4&gt;MESCLUN_BED_CAP,$A10+$B10+AF$4&gt;TOTAL_BEDS_AVAILABLE,($D10+AF$5)&gt;TOTAL_LABOR_HOURS_CAP,MAX(0,($D10+AF$5)-PERMANENT_FIELD_LABOR_HOURS)&gt;TEMP_HOURS_CAP),"",$C10+AF$6-MIN(($D10+AF$5),PERMANENT_FIELD_LABOR_HOURS)*PERMANENT_HOURLY_RATE-MAX(0,($D10+AF$5)-PERMANENT_FIELD_LABOR_HOURS)*TEMP_HOURLY_RATE-FIXED_SEASON_COST)</f>
        <v>-11019.8438261327</v>
      </c>
      <c r="AG10" s="53" t="n">
        <f aca="false">IF(OR($A10&gt;TOMATO_BED_CAP,$B10&gt;CARROT_BED_CAP,AG$4&gt;MESCLUN_BED_CAP,$A10+$B10+AG$4&gt;TOTAL_BEDS_AVAILABLE,($D10+AG$5)&gt;TOTAL_LABOR_HOURS_CAP,MAX(0,($D10+AG$5)-PERMANENT_FIELD_LABOR_HOURS)&gt;TEMP_HOURS_CAP),"",$C10+AG$6-MIN(($D10+AG$5),PERMANENT_FIELD_LABOR_HOURS)*PERMANENT_HOURLY_RATE-MAX(0,($D10+AG$5)-PERMANENT_FIELD_LABOR_HOURS)*TEMP_HOURLY_RATE-FIXED_SEASON_COST)</f>
        <v>-10643.0449365957</v>
      </c>
      <c r="AH10" s="53" t="n">
        <f aca="false">IF(OR($A10&gt;TOMATO_BED_CAP,$B10&gt;CARROT_BED_CAP,AH$4&gt;MESCLUN_BED_CAP,$A10+$B10+AH$4&gt;TOTAL_BEDS_AVAILABLE,($D10+AH$5)&gt;TOTAL_LABOR_HOURS_CAP,MAX(0,($D10+AH$5)-PERMANENT_FIELD_LABOR_HOURS)&gt;TEMP_HOURS_CAP),"",$C10+AH$6-MIN(($D10+AH$5),PERMANENT_FIELD_LABOR_HOURS)*PERMANENT_HOURLY_RATE-MAX(0,($D10+AH$5)-PERMANENT_FIELD_LABOR_HOURS)*TEMP_HOURLY_RATE-FIXED_SEASON_COST)</f>
        <v>-10297.9425200455</v>
      </c>
      <c r="AI10" s="53" t="n">
        <f aca="false">IF(OR($A10&gt;TOMATO_BED_CAP,$B10&gt;CARROT_BED_CAP,AI$4&gt;MESCLUN_BED_CAP,$A10+$B10+AI$4&gt;TOTAL_BEDS_AVAILABLE,($D10+AI$5)&gt;TOTAL_LABOR_HOURS_CAP,MAX(0,($D10+AI$5)-PERMANENT_FIELD_LABOR_HOURS)&gt;TEMP_HOURS_CAP),"",$C10+AI$6-MIN(($D10+AI$5),PERMANENT_FIELD_LABOR_HOURS)*PERMANENT_HOURLY_RATE-MAX(0,($D10+AI$5)-PERMANENT_FIELD_LABOR_HOURS)*TEMP_HOURLY_RATE-FIXED_SEASON_COST)</f>
        <v>-9985.10348813322</v>
      </c>
      <c r="AJ10" s="53" t="n">
        <f aca="false">IF(OR($A10&gt;TOMATO_BED_CAP,$B10&gt;CARROT_BED_CAP,AJ$4&gt;MESCLUN_BED_CAP,$A10+$B10+AJ$4&gt;TOTAL_BEDS_AVAILABLE,($D10+AJ$5)&gt;TOTAL_LABOR_HOURS_CAP,MAX(0,($D10+AJ$5)-PERMANENT_FIELD_LABOR_HOURS)&gt;TEMP_HOURS_CAP),"",$C10+AJ$6-MIN(($D10+AJ$5),PERMANENT_FIELD_LABOR_HOURS)*PERMANENT_HOURLY_RATE-MAX(0,($D10+AJ$5)-PERMANENT_FIELD_LABOR_HOURS)*TEMP_HOURLY_RATE-FIXED_SEASON_COST)</f>
        <v>-9705.10397272746</v>
      </c>
      <c r="AL10" s="21" t="s">
        <v>600</v>
      </c>
      <c r="AM10" s="10" t="n">
        <f aca="false">INDEX(ENUM_T,ENUM_BEST_ROW)</f>
        <v>10</v>
      </c>
    </row>
    <row r="11" customFormat="false" ht="15" hidden="false" customHeight="false" outlineLevel="0" collapsed="false">
      <c r="A11" s="21" t="n">
        <f aca="false">INT((ROW()-ROW($A$8))/(20+1))</f>
        <v>0</v>
      </c>
      <c r="B11" s="21" t="n">
        <f aca="false">MOD(ROW()-ROW($A$8),20+1)</f>
        <v>3</v>
      </c>
      <c r="C11" s="13" t="n">
        <f aca="false">A11*(TOMATO_REVENUE_PER_BED-TOMATO_FERTILIZER_PER_BED)+B11*(CARROT_REVENUE_PER_BED-CARROT_FERTILIZER_PER_BED)</f>
        <v>4962</v>
      </c>
      <c r="D11" s="14" t="n">
        <f aca="false">INDEX(TOMATO_SCHED_LABOR_HRS,A11+1)+INDEX(CARROT_SCHED_LABOR_HRS,B11+1)</f>
        <v>96.8813881875</v>
      </c>
      <c r="E11" s="13" t="n">
        <f aca="false">IF(COUNT(F11:AJ11)=0,"",MAX(F11:AJ11))</f>
        <v>-8639.07160406246</v>
      </c>
      <c r="F11" s="53" t="n">
        <f aca="false">IF(OR($A11&gt;TOMATO_BED_CAP,$B11&gt;CARROT_BED_CAP,F$4&gt;MESCLUN_BED_CAP,$A11+$B11+F$4&gt;TOTAL_BEDS_AVAILABLE,($D11+F$5)&gt;TOTAL_LABOR_HOURS_CAP,MAX(0,($D11+F$5)-PERMANENT_FIELD_LABOR_HOURS)&gt;TEMP_HOURS_CAP),"",$C11+F$6-MIN(($D11+F$5),PERMANENT_FIELD_LABOR_HOURS)*PERMANENT_HOURLY_RATE-MAX(0,($D11+F$5)-PERMANENT_FIELD_LABOR_HOURS)*TEMP_HOURLY_RATE-FIXED_SEASON_COST)</f>
        <v>-18401.72179787</v>
      </c>
      <c r="G11" s="53" t="n">
        <f aca="false">IF(OR($A11&gt;TOMATO_BED_CAP,$B11&gt;CARROT_BED_CAP,G$4&gt;MESCLUN_BED_CAP,$A11+$B11+G$4&gt;TOTAL_BEDS_AVAILABLE,($D11+G$5)&gt;TOTAL_LABOR_HOURS_CAP,MAX(0,($D11+G$5)-PERMANENT_FIELD_LABOR_HOURS)&gt;TEMP_HOURS_CAP),"",$C11+G$6-MIN(($D11+G$5),PERMANENT_FIELD_LABOR_HOURS)*PERMANENT_HOURLY_RATE-MAX(0,($D11+G$5)-PERMANENT_FIELD_LABOR_HOURS)*TEMP_HOURLY_RATE-FIXED_SEASON_COST)</f>
        <v>-18163.65179787</v>
      </c>
      <c r="H11" s="53" t="n">
        <f aca="false">IF(OR($A11&gt;TOMATO_BED_CAP,$B11&gt;CARROT_BED_CAP,H$4&gt;MESCLUN_BED_CAP,$A11+$B11+H$4&gt;TOTAL_BEDS_AVAILABLE,($D11+H$5)&gt;TOTAL_LABOR_HOURS_CAP,MAX(0,($D11+H$5)-PERMANENT_FIELD_LABOR_HOURS)&gt;TEMP_HOURS_CAP),"",$C11+H$6-MIN(($D11+H$5),PERMANENT_FIELD_LABOR_HOURS)*PERMANENT_HOURLY_RATE-MAX(0,($D11+H$5)-PERMANENT_FIELD_LABOR_HOURS)*TEMP_HOURLY_RATE-FIXED_SEASON_COST)</f>
        <v>-17965.13004787</v>
      </c>
      <c r="I11" s="53" t="n">
        <f aca="false">IF(OR($A11&gt;TOMATO_BED_CAP,$B11&gt;CARROT_BED_CAP,I$4&gt;MESCLUN_BED_CAP,$A11+$B11+I$4&gt;TOTAL_BEDS_AVAILABLE,($D11+I$5)&gt;TOTAL_LABOR_HOURS_CAP,MAX(0,($D11+I$5)-PERMANENT_FIELD_LABOR_HOURS)&gt;TEMP_HOURS_CAP),"",$C11+I$6-MIN(($D11+I$5),PERMANENT_FIELD_LABOR_HOURS)*PERMANENT_HOURLY_RATE-MAX(0,($D11+I$5)-PERMANENT_FIELD_LABOR_HOURS)*TEMP_HOURLY_RATE-FIXED_SEASON_COST)</f>
        <v>-17806.8980775575</v>
      </c>
      <c r="J11" s="53" t="n">
        <f aca="false">IF(OR($A11&gt;TOMATO_BED_CAP,$B11&gt;CARROT_BED_CAP,J$4&gt;MESCLUN_BED_CAP,$A11+$B11+J$4&gt;TOTAL_BEDS_AVAILABLE,($D11+J$5)&gt;TOTAL_LABOR_HOURS_CAP,MAX(0,($D11+J$5)-PERMANENT_FIELD_LABOR_HOURS)&gt;TEMP_HOURS_CAP),"",$C11+J$6-MIN(($D11+J$5),PERMANENT_FIELD_LABOR_HOURS)*PERMANENT_HOURLY_RATE-MAX(0,($D11+J$5)-PERMANENT_FIELD_LABOR_HOURS)*TEMP_HOURLY_RATE-FIXED_SEASON_COST)</f>
        <v>-17689.7097754481</v>
      </c>
      <c r="K11" s="53" t="n">
        <f aca="false">IF(OR($A11&gt;TOMATO_BED_CAP,$B11&gt;CARROT_BED_CAP,K$4&gt;MESCLUN_BED_CAP,$A11+$B11+K$4&gt;TOTAL_BEDS_AVAILABLE,($D11+K$5)&gt;TOTAL_LABOR_HOURS_CAP,MAX(0,($D11+K$5)-PERMANENT_FIELD_LABOR_HOURS)&gt;TEMP_HOURS_CAP),"",$C11+K$6-MIN(($D11+K$5),PERMANENT_FIELD_LABOR_HOURS)*PERMANENT_HOURLY_RATE-MAX(0,($D11+K$5)-PERMANENT_FIELD_LABOR_HOURS)*TEMP_HOURLY_RATE-FIXED_SEASON_COST)</f>
        <v>-17614.3315819923</v>
      </c>
      <c r="L11" s="53" t="n">
        <f aca="false">IF(OR($A11&gt;TOMATO_BED_CAP,$B11&gt;CARROT_BED_CAP,L$4&gt;MESCLUN_BED_CAP,$A11+$B11+L$4&gt;TOTAL_BEDS_AVAILABLE,($D11+L$5)&gt;TOTAL_LABOR_HOURS_CAP,MAX(0,($D11+L$5)-PERMANENT_FIELD_LABOR_HOURS)&gt;TEMP_HOURS_CAP),"",$C11+L$6-MIN(($D11+L$5),PERMANENT_FIELD_LABOR_HOURS)*PERMANENT_HOURLY_RATE-MAX(0,($D11+L$5)-PERMANENT_FIELD_LABOR_HOURS)*TEMP_HOURLY_RATE-FIXED_SEASON_COST)</f>
        <v>-17581.5426855786</v>
      </c>
      <c r="M11" s="53" t="n">
        <f aca="false">IF(OR($A11&gt;TOMATO_BED_CAP,$B11&gt;CARROT_BED_CAP,M$4&gt;MESCLUN_BED_CAP,$A11+$B11+M$4&gt;TOTAL_BEDS_AVAILABLE,($D11+M$5)&gt;TOTAL_LABOR_HOURS_CAP,MAX(0,($D11+M$5)-PERMANENT_FIELD_LABOR_HOURS)&gt;TEMP_HOURS_CAP),"",$C11+M$6-MIN(($D11+M$5),PERMANENT_FIELD_LABOR_HOURS)*PERMANENT_HOURLY_RATE-MAX(0,($D11+M$5)-PERMANENT_FIELD_LABOR_HOURS)*TEMP_HOURLY_RATE-FIXED_SEASON_COST)</f>
        <v>-17592.1352214758</v>
      </c>
      <c r="N11" s="53" t="n">
        <f aca="false">IF(OR($A11&gt;TOMATO_BED_CAP,$B11&gt;CARROT_BED_CAP,N$4&gt;MESCLUN_BED_CAP,$A11+$B11+N$4&gt;TOTAL_BEDS_AVAILABLE,($D11+N$5)&gt;TOTAL_LABOR_HOURS_CAP,MAX(0,($D11+N$5)-PERMANENT_FIELD_LABOR_HOURS)&gt;TEMP_HOURS_CAP),"",$C11+N$6-MIN(($D11+N$5),PERMANENT_FIELD_LABOR_HOURS)*PERMANENT_HOURLY_RATE-MAX(0,($D11+N$5)-PERMANENT_FIELD_LABOR_HOURS)*TEMP_HOURLY_RATE-FIXED_SEASON_COST)</f>
        <v>-17646.9144737567</v>
      </c>
      <c r="O11" s="53" t="n">
        <f aca="false">IF(OR($A11&gt;TOMATO_BED_CAP,$B11&gt;CARROT_BED_CAP,O$4&gt;MESCLUN_BED_CAP,$A11+$B11+O$4&gt;TOTAL_BEDS_AVAILABLE,($D11+O$5)&gt;TOTAL_LABOR_HOURS_CAP,MAX(0,($D11+O$5)-PERMANENT_FIELD_LABOR_HOURS)&gt;TEMP_HOURS_CAP),"",$C11+O$6-MIN(($D11+O$5),PERMANENT_FIELD_LABOR_HOURS)*PERMANENT_HOURLY_RATE-MAX(0,($D11+O$5)-PERMANENT_FIELD_LABOR_HOURS)*TEMP_HOURLY_RATE-FIXED_SEASON_COST)</f>
        <v>-17746.6990802472</v>
      </c>
      <c r="P11" s="53" t="n">
        <f aca="false">IF(OR($A11&gt;TOMATO_BED_CAP,$B11&gt;CARROT_BED_CAP,P$4&gt;MESCLUN_BED_CAP,$A11+$B11+P$4&gt;TOTAL_BEDS_AVAILABLE,($D11+P$5)&gt;TOTAL_LABOR_HOURS_CAP,MAX(0,($D11+P$5)-PERMANENT_FIELD_LABOR_HOURS)&gt;TEMP_HOURS_CAP),"",$C11+P$6-MIN(($D11+P$5),PERMANENT_FIELD_LABOR_HOURS)*PERMANENT_HOURLY_RATE-MAX(0,($D11+P$5)-PERMANENT_FIELD_LABOR_HOURS)*TEMP_HOURLY_RATE-FIXED_SEASON_COST)</f>
        <v>-17892.3212405443</v>
      </c>
      <c r="Q11" s="53" t="n">
        <f aca="false">IF(OR($A11&gt;TOMATO_BED_CAP,$B11&gt;CARROT_BED_CAP,Q$4&gt;MESCLUN_BED_CAP,$A11+$B11+Q$4&gt;TOTAL_BEDS_AVAILABLE,($D11+Q$5)&gt;TOTAL_LABOR_HOURS_CAP,MAX(0,($D11+Q$5)-PERMANENT_FIELD_LABOR_HOURS)&gt;TEMP_HOURS_CAP),"",$C11+Q$6-MIN(($D11+Q$5),PERMANENT_FIELD_LABOR_HOURS)*PERMANENT_HOURLY_RATE-MAX(0,($D11+Q$5)-PERMANENT_FIELD_LABOR_HOURS)*TEMP_HOURLY_RATE-FIXED_SEASON_COST)</f>
        <v>-18084.6269271486</v>
      </c>
      <c r="R11" s="53" t="n">
        <f aca="false">IF(OR($A11&gt;TOMATO_BED_CAP,$B11&gt;CARROT_BED_CAP,R$4&gt;MESCLUN_BED_CAP,$A11+$B11+R$4&gt;TOTAL_BEDS_AVAILABLE,($D11+R$5)&gt;TOTAL_LABOR_HOURS_CAP,MAX(0,($D11+R$5)-PERMANENT_FIELD_LABOR_HOURS)&gt;TEMP_HOURS_CAP),"",$C11+R$6-MIN(($D11+R$5),PERMANENT_FIELD_LABOR_HOURS)*PERMANENT_HOURLY_RATE-MAX(0,($D11+R$5)-PERMANENT_FIELD_LABOR_HOURS)*TEMP_HOURLY_RATE-FIXED_SEASON_COST)</f>
        <v>-18260.4380498775</v>
      </c>
      <c r="S11" s="53" t="n">
        <f aca="false">IF(OR($A11&gt;TOMATO_BED_CAP,$B11&gt;CARROT_BED_CAP,S$4&gt;MESCLUN_BED_CAP,$A11+$B11+S$4&gt;TOTAL_BEDS_AVAILABLE,($D11+S$5)&gt;TOTAL_LABOR_HOURS_CAP,MAX(0,($D11+S$5)-PERMANENT_FIELD_LABOR_HOURS)&gt;TEMP_HOURS_CAP),"",$C11+S$6-MIN(($D11+S$5),PERMANENT_FIELD_LABOR_HOURS)*PERMANENT_HOURLY_RATE-MAX(0,($D11+S$5)-PERMANENT_FIELD_LABOR_HOURS)*TEMP_HOURLY_RATE-FIXED_SEASON_COST)</f>
        <v>-17494.571461375</v>
      </c>
      <c r="T11" s="53" t="n">
        <f aca="false">IF(OR($A11&gt;TOMATO_BED_CAP,$B11&gt;CARROT_BED_CAP,T$4&gt;MESCLUN_BED_CAP,$A11+$B11+T$4&gt;TOTAL_BEDS_AVAILABLE,($D11+T$5)&gt;TOTAL_LABOR_HOURS_CAP,MAX(0,($D11+T$5)-PERMANENT_FIELD_LABOR_HOURS)&gt;TEMP_HOURS_CAP),"",$C11+T$6-MIN(($D11+T$5),PERMANENT_FIELD_LABOR_HOURS)*PERMANENT_HOURLY_RATE-MAX(0,($D11+T$5)-PERMANENT_FIELD_LABOR_HOURS)*TEMP_HOURLY_RATE-FIXED_SEASON_COST)</f>
        <v>-16753.3579929802</v>
      </c>
      <c r="U11" s="53" t="n">
        <f aca="false">IF(OR($A11&gt;TOMATO_BED_CAP,$B11&gt;CARROT_BED_CAP,U$4&gt;MESCLUN_BED_CAP,$A11+$B11+U$4&gt;TOTAL_BEDS_AVAILABLE,($D11+U$5)&gt;TOTAL_LABOR_HOURS_CAP,MAX(0,($D11+U$5)-PERMANENT_FIELD_LABOR_HOURS)&gt;TEMP_HOURS_CAP),"",$C11+U$6-MIN(($D11+U$5),PERMANENT_FIELD_LABOR_HOURS)*PERMANENT_HOURLY_RATE-MAX(0,($D11+U$5)-PERMANENT_FIELD_LABOR_HOURS)*TEMP_HOURLY_RATE-FIXED_SEASON_COST)</f>
        <v>-16037.2492643501</v>
      </c>
      <c r="V11" s="53" t="n">
        <f aca="false">IF(OR($A11&gt;TOMATO_BED_CAP,$B11&gt;CARROT_BED_CAP,V$4&gt;MESCLUN_BED_CAP,$A11+$B11+V$4&gt;TOTAL_BEDS_AVAILABLE,($D11+V$5)&gt;TOTAL_LABOR_HOURS_CAP,MAX(0,($D11+V$5)-PERMANENT_FIELD_LABOR_HOURS)&gt;TEMP_HOURS_CAP),"",$C11+V$6-MIN(($D11+V$5),PERMANENT_FIELD_LABOR_HOURS)*PERMANENT_HOURLY_RATE-MAX(0,($D11+V$5)-PERMANENT_FIELD_LABOR_HOURS)*TEMP_HOURLY_RATE-FIXED_SEASON_COST)</f>
        <v>-15346.7043335833</v>
      </c>
      <c r="W11" s="53" t="n">
        <f aca="false">IF(OR($A11&gt;TOMATO_BED_CAP,$B11&gt;CARROT_BED_CAP,W$4&gt;MESCLUN_BED_CAP,$A11+$B11+W$4&gt;TOTAL_BEDS_AVAILABLE,($D11+W$5)&gt;TOTAL_LABOR_HOURS_CAP,MAX(0,($D11+W$5)-PERMANENT_FIELD_LABOR_HOURS)&gt;TEMP_HOURS_CAP),"",$C11+W$6-MIN(($D11+W$5),PERMANENT_FIELD_LABOR_HOURS)*PERMANENT_HOURLY_RATE-MAX(0,($D11+W$5)-PERMANENT_FIELD_LABOR_HOURS)*TEMP_HOURLY_RATE-FIXED_SEASON_COST)</f>
        <v>-14682.1898126152</v>
      </c>
      <c r="X11" s="53" t="n">
        <f aca="false">IF(OR($A11&gt;TOMATO_BED_CAP,$B11&gt;CARROT_BED_CAP,X$4&gt;MESCLUN_BED_CAP,$A11+$B11+X$4&gt;TOTAL_BEDS_AVAILABLE,($D11+X$5)&gt;TOTAL_LABOR_HOURS_CAP,MAX(0,($D11+X$5)-PERMANENT_FIELD_LABOR_HOURS)&gt;TEMP_HOURS_CAP),"",$C11+X$6-MIN(($D11+X$5),PERMANENT_FIELD_LABOR_HOURS)*PERMANENT_HOURLY_RATE-MAX(0,($D11+X$5)-PERMANENT_FIELD_LABOR_HOURS)*TEMP_HOURLY_RATE-FIXED_SEASON_COST)</f>
        <v>-14044.1799843363</v>
      </c>
      <c r="Y11" s="53" t="n">
        <f aca="false">IF(OR($A11&gt;TOMATO_BED_CAP,$B11&gt;CARROT_BED_CAP,Y$4&gt;MESCLUN_BED_CAP,$A11+$B11+Y$4&gt;TOTAL_BEDS_AVAILABLE,($D11+Y$5)&gt;TOTAL_LABOR_HOURS_CAP,MAX(0,($D11+Y$5)-PERMANENT_FIELD_LABOR_HOURS)&gt;TEMP_HOURS_CAP),"",$C11+Y$6-MIN(($D11+Y$5),PERMANENT_FIELD_LABOR_HOURS)*PERMANENT_HOURLY_RATE-MAX(0,($D11+Y$5)-PERMANENT_FIELD_LABOR_HOURS)*TEMP_HOURLY_RATE-FIXED_SEASON_COST)</f>
        <v>-13433.1569214576</v>
      </c>
      <c r="Z11" s="53" t="n">
        <f aca="false">IF(OR($A11&gt;TOMATO_BED_CAP,$B11&gt;CARROT_BED_CAP,Z$4&gt;MESCLUN_BED_CAP,$A11+$B11+Z$4&gt;TOTAL_BEDS_AVAILABLE,($D11+Z$5)&gt;TOTAL_LABOR_HOURS_CAP,MAX(0,($D11+Z$5)-PERMANENT_FIELD_LABOR_HOURS)&gt;TEMP_HOURS_CAP),"",$C11+Z$6-MIN(($D11+Z$5),PERMANENT_FIELD_LABOR_HOURS)*PERMANENT_HOURLY_RATE-MAX(0,($D11+Z$5)-PERMANENT_FIELD_LABOR_HOURS)*TEMP_HOURLY_RATE-FIXED_SEASON_COST)</f>
        <v>-12849.6106071499</v>
      </c>
      <c r="AA11" s="53" t="n">
        <f aca="false">IF(OR($A11&gt;TOMATO_BED_CAP,$B11&gt;CARROT_BED_CAP,AA$4&gt;MESCLUN_BED_CAP,$A11+$B11+AA$4&gt;TOTAL_BEDS_AVAILABLE,($D11+AA$5)&gt;TOTAL_LABOR_HOURS_CAP,MAX(0,($D11+AA$5)-PERMANENT_FIELD_LABOR_HOURS)&gt;TEMP_HOURS_CAP),"",$C11+AA$6-MIN(($D11+AA$5),PERMANENT_FIELD_LABOR_HOURS)*PERMANENT_HOURLY_RATE-MAX(0,($D11+AA$5)-PERMANENT_FIELD_LABOR_HOURS)*TEMP_HOURLY_RATE-FIXED_SEASON_COST)</f>
        <v>-12294.039057481</v>
      </c>
      <c r="AB11" s="53" t="n">
        <f aca="false">IF(OR($A11&gt;TOMATO_BED_CAP,$B11&gt;CARROT_BED_CAP,AB$4&gt;MESCLUN_BED_CAP,$A11+$B11+AB$4&gt;TOTAL_BEDS_AVAILABLE,($D11+AB$5)&gt;TOTAL_LABOR_HOURS_CAP,MAX(0,($D11+AB$5)-PERMANENT_FIELD_LABOR_HOURS)&gt;TEMP_HOURS_CAP),"",$C11+AB$6-MIN(($D11+AB$5),PERMANENT_FIELD_LABOR_HOURS)*PERMANENT_HOURLY_RATE-MAX(0,($D11+AB$5)-PERMANENT_FIELD_LABOR_HOURS)*TEMP_HOURLY_RATE-FIXED_SEASON_COST)</f>
        <v>-11766.9484456784</v>
      </c>
      <c r="AC11" s="53" t="n">
        <f aca="false">IF(OR($A11&gt;TOMATO_BED_CAP,$B11&gt;CARROT_BED_CAP,AC$4&gt;MESCLUN_BED_CAP,$A11+$B11+AC$4&gt;TOTAL_BEDS_AVAILABLE,($D11+AC$5)&gt;TOTAL_LABOR_HOURS_CAP,MAX(0,($D11+AC$5)-PERMANENT_FIELD_LABOR_HOURS)&gt;TEMP_HOURS_CAP),"",$C11+AC$6-MIN(($D11+AC$5),PERMANENT_FIELD_LABOR_HOURS)*PERMANENT_HOURLY_RATE-MAX(0,($D11+AC$5)-PERMANENT_FIELD_LABOR_HOURS)*TEMP_HOURLY_RATE-FIXED_SEASON_COST)</f>
        <v>-11268.8532282435</v>
      </c>
      <c r="AD11" s="53" t="n">
        <f aca="false">IF(OR($A11&gt;TOMATO_BED_CAP,$B11&gt;CARROT_BED_CAP,AD$4&gt;MESCLUN_BED_CAP,$A11+$B11+AD$4&gt;TOTAL_BEDS_AVAILABLE,($D11+AD$5)&gt;TOTAL_LABOR_HOURS_CAP,MAX(0,($D11+AD$5)-PERMANENT_FIELD_LABOR_HOURS)&gt;TEMP_HOURS_CAP),"",$C11+AD$6-MIN(($D11+AD$5),PERMANENT_FIELD_LABOR_HOURS)*PERMANENT_HOURLY_RATE-MAX(0,($D11+AD$5)-PERMANENT_FIELD_LABOR_HOURS)*TEMP_HOURLY_RATE-FIXED_SEASON_COST)</f>
        <v>-10800.2762729436</v>
      </c>
      <c r="AE11" s="53" t="n">
        <f aca="false">IF(OR($A11&gt;TOMATO_BED_CAP,$B11&gt;CARROT_BED_CAP,AE$4&gt;MESCLUN_BED_CAP,$A11+$B11+AE$4&gt;TOTAL_BEDS_AVAILABLE,($D11+AE$5)&gt;TOTAL_LABOR_HOURS_CAP,MAX(0,($D11+AE$5)-PERMANENT_FIELD_LABOR_HOURS)&gt;TEMP_HOURS_CAP),"",$C11+AE$6-MIN(($D11+AE$5),PERMANENT_FIELD_LABOR_HOURS)*PERMANENT_HOURLY_RATE-MAX(0,($D11+AE$5)-PERMANENT_FIELD_LABOR_HOURS)*TEMP_HOURLY_RATE-FIXED_SEASON_COST)</f>
        <v>-10361.7489887097</v>
      </c>
      <c r="AF11" s="53" t="n">
        <f aca="false">IF(OR($A11&gt;TOMATO_BED_CAP,$B11&gt;CARROT_BED_CAP,AF$4&gt;MESCLUN_BED_CAP,$A11+$B11+AF$4&gt;TOTAL_BEDS_AVAILABLE,($D11+AF$5)&gt;TOTAL_LABOR_HOURS_CAP,MAX(0,($D11+AF$5)-PERMANENT_FIELD_LABOR_HOURS)&gt;TEMP_HOURS_CAP),"",$C11+AF$6-MIN(($D11+AF$5),PERMANENT_FIELD_LABOR_HOURS)*PERMANENT_HOURLY_RATE-MAX(0,($D11+AF$5)-PERMANENT_FIELD_LABOR_HOURS)*TEMP_HOURLY_RATE-FIXED_SEASON_COST)</f>
        <v>-9953.81145746771</v>
      </c>
      <c r="AG11" s="53" t="n">
        <f aca="false">IF(OR($A11&gt;TOMATO_BED_CAP,$B11&gt;CARROT_BED_CAP,AG$4&gt;MESCLUN_BED_CAP,$A11+$B11+AG$4&gt;TOTAL_BEDS_AVAILABLE,($D11+AG$5)&gt;TOTAL_LABOR_HOURS_CAP,MAX(0,($D11+AG$5)-PERMANENT_FIELD_LABOR_HOURS)&gt;TEMP_HOURS_CAP),"",$C11+AG$6-MIN(($D11+AG$5),PERMANENT_FIELD_LABOR_HOURS)*PERMANENT_HOURLY_RATE-MAX(0,($D11+AG$5)-PERMANENT_FIELD_LABOR_HOURS)*TEMP_HOURLY_RATE-FIXED_SEASON_COST)</f>
        <v>-9577.01256793069</v>
      </c>
      <c r="AH11" s="53" t="n">
        <f aca="false">IF(OR($A11&gt;TOMATO_BED_CAP,$B11&gt;CARROT_BED_CAP,AH$4&gt;MESCLUN_BED_CAP,$A11+$B11+AH$4&gt;TOTAL_BEDS_AVAILABLE,($D11+AH$5)&gt;TOTAL_LABOR_HOURS_CAP,MAX(0,($D11+AH$5)-PERMANENT_FIELD_LABOR_HOURS)&gt;TEMP_HOURS_CAP),"",$C11+AH$6-MIN(($D11+AH$5),PERMANENT_FIELD_LABOR_HOURS)*PERMANENT_HOURLY_RATE-MAX(0,($D11+AH$5)-PERMANENT_FIELD_LABOR_HOURS)*TEMP_HOURLY_RATE-FIXED_SEASON_COST)</f>
        <v>-9231.91015138047</v>
      </c>
      <c r="AI11" s="53" t="n">
        <f aca="false">IF(OR($A11&gt;TOMATO_BED_CAP,$B11&gt;CARROT_BED_CAP,AI$4&gt;MESCLUN_BED_CAP,$A11+$B11+AI$4&gt;TOTAL_BEDS_AVAILABLE,($D11+AI$5)&gt;TOTAL_LABOR_HOURS_CAP,MAX(0,($D11+AI$5)-PERMANENT_FIELD_LABOR_HOURS)&gt;TEMP_HOURS_CAP),"",$C11+AI$6-MIN(($D11+AI$5),PERMANENT_FIELD_LABOR_HOURS)*PERMANENT_HOURLY_RATE-MAX(0,($D11+AI$5)-PERMANENT_FIELD_LABOR_HOURS)*TEMP_HOURLY_RATE-FIXED_SEASON_COST)</f>
        <v>-8919.07111946821</v>
      </c>
      <c r="AJ11" s="53" t="n">
        <f aca="false">IF(OR($A11&gt;TOMATO_BED_CAP,$B11&gt;CARROT_BED_CAP,AJ$4&gt;MESCLUN_BED_CAP,$A11+$B11+AJ$4&gt;TOTAL_BEDS_AVAILABLE,($D11+AJ$5)&gt;TOTAL_LABOR_HOURS_CAP,MAX(0,($D11+AJ$5)-PERMANENT_FIELD_LABOR_HOURS)&gt;TEMP_HOURS_CAP),"",$C11+AJ$6-MIN(($D11+AJ$5),PERMANENT_FIELD_LABOR_HOURS)*PERMANENT_HOURLY_RATE-MAX(0,($D11+AJ$5)-PERMANENT_FIELD_LABOR_HOURS)*TEMP_HOURLY_RATE-FIXED_SEASON_COST)</f>
        <v>-8639.07160406246</v>
      </c>
      <c r="AL11" s="21" t="s">
        <v>601</v>
      </c>
      <c r="AM11" s="10" t="n">
        <f aca="false">INDEX(ENUM_C,ENUM_BEST_ROW)</f>
        <v>20</v>
      </c>
    </row>
    <row r="12" customFormat="false" ht="15" hidden="false" customHeight="false" outlineLevel="0" collapsed="false">
      <c r="A12" s="21" t="n">
        <f aca="false">INT((ROW()-ROW($A$8))/(20+1))</f>
        <v>0</v>
      </c>
      <c r="B12" s="21" t="n">
        <f aca="false">MOD(ROW()-ROW($A$8),20+1)</f>
        <v>4</v>
      </c>
      <c r="C12" s="13" t="n">
        <f aca="false">A12*(TOMATO_REVENUE_PER_BED-TOMATO_FERTILIZER_PER_BED)+B12*(CARROT_REVENUE_PER_BED-CARROT_FERTILIZER_PER_BED)</f>
        <v>6616</v>
      </c>
      <c r="D12" s="14" t="n">
        <f aca="false">INDEX(TOMATO_SCHED_LABOR_HRS,A12+1)+INDEX(CARROT_SCHED_LABOR_HRS,B12+1)</f>
        <v>132.40456385625</v>
      </c>
      <c r="E12" s="13" t="n">
        <f aca="false">IF(COUNT(F12:AJ12)=0,"",MAX(F12:AJ12))</f>
        <v>-7601.75393367196</v>
      </c>
      <c r="F12" s="53" t="n">
        <f aca="false">IF(OR($A12&gt;TOMATO_BED_CAP,$B12&gt;CARROT_BED_CAP,F$4&gt;MESCLUN_BED_CAP,$A12+$B12+F$4&gt;TOTAL_BEDS_AVAILABLE,($D12+F$5)&gt;TOTAL_LABOR_HOURS_CAP,MAX(0,($D12+F$5)-PERMANENT_FIELD_LABOR_HOURS)&gt;TEMP_HOURS_CAP),"",$C12+F$6-MIN(($D12+F$5),PERMANENT_FIELD_LABOR_HOURS)*PERMANENT_HOURLY_RATE-MAX(0,($D12+F$5)-PERMANENT_FIELD_LABOR_HOURS)*TEMP_HOURLY_RATE-FIXED_SEASON_COST)</f>
        <v>-17981.086457089</v>
      </c>
      <c r="G12" s="53" t="n">
        <f aca="false">IF(OR($A12&gt;TOMATO_BED_CAP,$B12&gt;CARROT_BED_CAP,G$4&gt;MESCLUN_BED_CAP,$A12+$B12+G$4&gt;TOTAL_BEDS_AVAILABLE,($D12+G$5)&gt;TOTAL_LABOR_HOURS_CAP,MAX(0,($D12+G$5)-PERMANENT_FIELD_LABOR_HOURS)&gt;TEMP_HOURS_CAP),"",$C12+G$6-MIN(($D12+G$5),PERMANENT_FIELD_LABOR_HOURS)*PERMANENT_HOURLY_RATE-MAX(0,($D12+G$5)-PERMANENT_FIELD_LABOR_HOURS)*TEMP_HOURLY_RATE-FIXED_SEASON_COST)</f>
        <v>-17743.016457089</v>
      </c>
      <c r="H12" s="53" t="n">
        <f aca="false">IF(OR($A12&gt;TOMATO_BED_CAP,$B12&gt;CARROT_BED_CAP,H$4&gt;MESCLUN_BED_CAP,$A12+$B12+H$4&gt;TOTAL_BEDS_AVAILABLE,($D12+H$5)&gt;TOTAL_LABOR_HOURS_CAP,MAX(0,($D12+H$5)-PERMANENT_FIELD_LABOR_HOURS)&gt;TEMP_HOURS_CAP),"",$C12+H$6-MIN(($D12+H$5),PERMANENT_FIELD_LABOR_HOURS)*PERMANENT_HOURLY_RATE-MAX(0,($D12+H$5)-PERMANENT_FIELD_LABOR_HOURS)*TEMP_HOURLY_RATE-FIXED_SEASON_COST)</f>
        <v>-17544.494707089</v>
      </c>
      <c r="I12" s="53" t="n">
        <f aca="false">IF(OR($A12&gt;TOMATO_BED_CAP,$B12&gt;CARROT_BED_CAP,I$4&gt;MESCLUN_BED_CAP,$A12+$B12+I$4&gt;TOTAL_BEDS_AVAILABLE,($D12+I$5)&gt;TOTAL_LABOR_HOURS_CAP,MAX(0,($D12+I$5)-PERMANENT_FIELD_LABOR_HOURS)&gt;TEMP_HOURS_CAP),"",$C12+I$6-MIN(($D12+I$5),PERMANENT_FIELD_LABOR_HOURS)*PERMANENT_HOURLY_RATE-MAX(0,($D12+I$5)-PERMANENT_FIELD_LABOR_HOURS)*TEMP_HOURLY_RATE-FIXED_SEASON_COST)</f>
        <v>-17386.2627367765</v>
      </c>
      <c r="J12" s="53" t="n">
        <f aca="false">IF(OR($A12&gt;TOMATO_BED_CAP,$B12&gt;CARROT_BED_CAP,J$4&gt;MESCLUN_BED_CAP,$A12+$B12+J$4&gt;TOTAL_BEDS_AVAILABLE,($D12+J$5)&gt;TOTAL_LABOR_HOURS_CAP,MAX(0,($D12+J$5)-PERMANENT_FIELD_LABOR_HOURS)&gt;TEMP_HOURS_CAP),"",$C12+J$6-MIN(($D12+J$5),PERMANENT_FIELD_LABOR_HOURS)*PERMANENT_HOURLY_RATE-MAX(0,($D12+J$5)-PERMANENT_FIELD_LABOR_HOURS)*TEMP_HOURLY_RATE-FIXED_SEASON_COST)</f>
        <v>-17269.0744346671</v>
      </c>
      <c r="K12" s="53" t="n">
        <f aca="false">IF(OR($A12&gt;TOMATO_BED_CAP,$B12&gt;CARROT_BED_CAP,K$4&gt;MESCLUN_BED_CAP,$A12+$B12+K$4&gt;TOTAL_BEDS_AVAILABLE,($D12+K$5)&gt;TOTAL_LABOR_HOURS_CAP,MAX(0,($D12+K$5)-PERMANENT_FIELD_LABOR_HOURS)&gt;TEMP_HOURS_CAP),"",$C12+K$6-MIN(($D12+K$5),PERMANENT_FIELD_LABOR_HOURS)*PERMANENT_HOURLY_RATE-MAX(0,($D12+K$5)-PERMANENT_FIELD_LABOR_HOURS)*TEMP_HOURLY_RATE-FIXED_SEASON_COST)</f>
        <v>-17193.6962412113</v>
      </c>
      <c r="L12" s="53" t="n">
        <f aca="false">IF(OR($A12&gt;TOMATO_BED_CAP,$B12&gt;CARROT_BED_CAP,L$4&gt;MESCLUN_BED_CAP,$A12+$B12+L$4&gt;TOTAL_BEDS_AVAILABLE,($D12+L$5)&gt;TOTAL_LABOR_HOURS_CAP,MAX(0,($D12+L$5)-PERMANENT_FIELD_LABOR_HOURS)&gt;TEMP_HOURS_CAP),"",$C12+L$6-MIN(($D12+L$5),PERMANENT_FIELD_LABOR_HOURS)*PERMANENT_HOURLY_RATE-MAX(0,($D12+L$5)-PERMANENT_FIELD_LABOR_HOURS)*TEMP_HOURLY_RATE-FIXED_SEASON_COST)</f>
        <v>-17160.9073447976</v>
      </c>
      <c r="M12" s="53" t="n">
        <f aca="false">IF(OR($A12&gt;TOMATO_BED_CAP,$B12&gt;CARROT_BED_CAP,M$4&gt;MESCLUN_BED_CAP,$A12+$B12+M$4&gt;TOTAL_BEDS_AVAILABLE,($D12+M$5)&gt;TOTAL_LABOR_HOURS_CAP,MAX(0,($D12+M$5)-PERMANENT_FIELD_LABOR_HOURS)&gt;TEMP_HOURS_CAP),"",$C12+M$6-MIN(($D12+M$5),PERMANENT_FIELD_LABOR_HOURS)*PERMANENT_HOURLY_RATE-MAX(0,($D12+M$5)-PERMANENT_FIELD_LABOR_HOURS)*TEMP_HOURLY_RATE-FIXED_SEASON_COST)</f>
        <v>-17171.4998806948</v>
      </c>
      <c r="N12" s="53" t="n">
        <f aca="false">IF(OR($A12&gt;TOMATO_BED_CAP,$B12&gt;CARROT_BED_CAP,N$4&gt;MESCLUN_BED_CAP,$A12+$B12+N$4&gt;TOTAL_BEDS_AVAILABLE,($D12+N$5)&gt;TOTAL_LABOR_HOURS_CAP,MAX(0,($D12+N$5)-PERMANENT_FIELD_LABOR_HOURS)&gt;TEMP_HOURS_CAP),"",$C12+N$6-MIN(($D12+N$5),PERMANENT_FIELD_LABOR_HOURS)*PERMANENT_HOURLY_RATE-MAX(0,($D12+N$5)-PERMANENT_FIELD_LABOR_HOURS)*TEMP_HOURLY_RATE-FIXED_SEASON_COST)</f>
        <v>-17226.2791329757</v>
      </c>
      <c r="O12" s="53" t="n">
        <f aca="false">IF(OR($A12&gt;TOMATO_BED_CAP,$B12&gt;CARROT_BED_CAP,O$4&gt;MESCLUN_BED_CAP,$A12+$B12+O$4&gt;TOTAL_BEDS_AVAILABLE,($D12+O$5)&gt;TOTAL_LABOR_HOURS_CAP,MAX(0,($D12+O$5)-PERMANENT_FIELD_LABOR_HOURS)&gt;TEMP_HOURS_CAP),"",$C12+O$6-MIN(($D12+O$5),PERMANENT_FIELD_LABOR_HOURS)*PERMANENT_HOURLY_RATE-MAX(0,($D12+O$5)-PERMANENT_FIELD_LABOR_HOURS)*TEMP_HOURLY_RATE-FIXED_SEASON_COST)</f>
        <v>-17326.0637394662</v>
      </c>
      <c r="P12" s="53" t="n">
        <f aca="false">IF(OR($A12&gt;TOMATO_BED_CAP,$B12&gt;CARROT_BED_CAP,P$4&gt;MESCLUN_BED_CAP,$A12+$B12+P$4&gt;TOTAL_BEDS_AVAILABLE,($D12+P$5)&gt;TOTAL_LABOR_HOURS_CAP,MAX(0,($D12+P$5)-PERMANENT_FIELD_LABOR_HOURS)&gt;TEMP_HOURS_CAP),"",$C12+P$6-MIN(($D12+P$5),PERMANENT_FIELD_LABOR_HOURS)*PERMANENT_HOURLY_RATE-MAX(0,($D12+P$5)-PERMANENT_FIELD_LABOR_HOURS)*TEMP_HOURLY_RATE-FIXED_SEASON_COST)</f>
        <v>-17471.6858997633</v>
      </c>
      <c r="Q12" s="53" t="n">
        <f aca="false">IF(OR($A12&gt;TOMATO_BED_CAP,$B12&gt;CARROT_BED_CAP,Q$4&gt;MESCLUN_BED_CAP,$A12+$B12+Q$4&gt;TOTAL_BEDS_AVAILABLE,($D12+Q$5)&gt;TOTAL_LABOR_HOURS_CAP,MAX(0,($D12+Q$5)-PERMANENT_FIELD_LABOR_HOURS)&gt;TEMP_HOURS_CAP),"",$C12+Q$6-MIN(($D12+Q$5),PERMANENT_FIELD_LABOR_HOURS)*PERMANENT_HOURLY_RATE-MAX(0,($D12+Q$5)-PERMANENT_FIELD_LABOR_HOURS)*TEMP_HOURLY_RATE-FIXED_SEASON_COST)</f>
        <v>-17663.9915863676</v>
      </c>
      <c r="R12" s="53" t="n">
        <f aca="false">IF(OR($A12&gt;TOMATO_BED_CAP,$B12&gt;CARROT_BED_CAP,R$4&gt;MESCLUN_BED_CAP,$A12+$B12+R$4&gt;TOTAL_BEDS_AVAILABLE,($D12+R$5)&gt;TOTAL_LABOR_HOURS_CAP,MAX(0,($D12+R$5)-PERMANENT_FIELD_LABOR_HOURS)&gt;TEMP_HOURS_CAP),"",$C12+R$6-MIN(($D12+R$5),PERMANENT_FIELD_LABOR_HOURS)*PERMANENT_HOURLY_RATE-MAX(0,($D12+R$5)-PERMANENT_FIELD_LABOR_HOURS)*TEMP_HOURLY_RATE-FIXED_SEASON_COST)</f>
        <v>-17223.120379487</v>
      </c>
      <c r="S12" s="53" t="n">
        <f aca="false">IF(OR($A12&gt;TOMATO_BED_CAP,$B12&gt;CARROT_BED_CAP,S$4&gt;MESCLUN_BED_CAP,$A12+$B12+S$4&gt;TOTAL_BEDS_AVAILABLE,($D12+S$5)&gt;TOTAL_LABOR_HOURS_CAP,MAX(0,($D12+S$5)-PERMANENT_FIELD_LABOR_HOURS)&gt;TEMP_HOURS_CAP),"",$C12+S$6-MIN(($D12+S$5),PERMANENT_FIELD_LABOR_HOURS)*PERMANENT_HOURLY_RATE-MAX(0,($D12+S$5)-PERMANENT_FIELD_LABOR_HOURS)*TEMP_HOURLY_RATE-FIXED_SEASON_COST)</f>
        <v>-16457.2537909845</v>
      </c>
      <c r="T12" s="53" t="n">
        <f aca="false">IF(OR($A12&gt;TOMATO_BED_CAP,$B12&gt;CARROT_BED_CAP,T$4&gt;MESCLUN_BED_CAP,$A12+$B12+T$4&gt;TOTAL_BEDS_AVAILABLE,($D12+T$5)&gt;TOTAL_LABOR_HOURS_CAP,MAX(0,($D12+T$5)-PERMANENT_FIELD_LABOR_HOURS)&gt;TEMP_HOURS_CAP),"",$C12+T$6-MIN(($D12+T$5),PERMANENT_FIELD_LABOR_HOURS)*PERMANENT_HOURLY_RATE-MAX(0,($D12+T$5)-PERMANENT_FIELD_LABOR_HOURS)*TEMP_HOURLY_RATE-FIXED_SEASON_COST)</f>
        <v>-15716.0403225897</v>
      </c>
      <c r="U12" s="53" t="n">
        <f aca="false">IF(OR($A12&gt;TOMATO_BED_CAP,$B12&gt;CARROT_BED_CAP,U$4&gt;MESCLUN_BED_CAP,$A12+$B12+U$4&gt;TOTAL_BEDS_AVAILABLE,($D12+U$5)&gt;TOTAL_LABOR_HOURS_CAP,MAX(0,($D12+U$5)-PERMANENT_FIELD_LABOR_HOURS)&gt;TEMP_HOURS_CAP),"",$C12+U$6-MIN(($D12+U$5),PERMANENT_FIELD_LABOR_HOURS)*PERMANENT_HOURLY_RATE-MAX(0,($D12+U$5)-PERMANENT_FIELD_LABOR_HOURS)*TEMP_HOURLY_RATE-FIXED_SEASON_COST)</f>
        <v>-14999.9315939596</v>
      </c>
      <c r="V12" s="53" t="n">
        <f aca="false">IF(OR($A12&gt;TOMATO_BED_CAP,$B12&gt;CARROT_BED_CAP,V$4&gt;MESCLUN_BED_CAP,$A12+$B12+V$4&gt;TOTAL_BEDS_AVAILABLE,($D12+V$5)&gt;TOTAL_LABOR_HOURS_CAP,MAX(0,($D12+V$5)-PERMANENT_FIELD_LABOR_HOURS)&gt;TEMP_HOURS_CAP),"",$C12+V$6-MIN(($D12+V$5),PERMANENT_FIELD_LABOR_HOURS)*PERMANENT_HOURLY_RATE-MAX(0,($D12+V$5)-PERMANENT_FIELD_LABOR_HOURS)*TEMP_HOURLY_RATE-FIXED_SEASON_COST)</f>
        <v>-14309.3866631928</v>
      </c>
      <c r="W12" s="53" t="n">
        <f aca="false">IF(OR($A12&gt;TOMATO_BED_CAP,$B12&gt;CARROT_BED_CAP,W$4&gt;MESCLUN_BED_CAP,$A12+$B12+W$4&gt;TOTAL_BEDS_AVAILABLE,($D12+W$5)&gt;TOTAL_LABOR_HOURS_CAP,MAX(0,($D12+W$5)-PERMANENT_FIELD_LABOR_HOURS)&gt;TEMP_HOURS_CAP),"",$C12+W$6-MIN(($D12+W$5),PERMANENT_FIELD_LABOR_HOURS)*PERMANENT_HOURLY_RATE-MAX(0,($D12+W$5)-PERMANENT_FIELD_LABOR_HOURS)*TEMP_HOURLY_RATE-FIXED_SEASON_COST)</f>
        <v>-13644.8721422247</v>
      </c>
      <c r="X12" s="53" t="n">
        <f aca="false">IF(OR($A12&gt;TOMATO_BED_CAP,$B12&gt;CARROT_BED_CAP,X$4&gt;MESCLUN_BED_CAP,$A12+$B12+X$4&gt;TOTAL_BEDS_AVAILABLE,($D12+X$5)&gt;TOTAL_LABOR_HOURS_CAP,MAX(0,($D12+X$5)-PERMANENT_FIELD_LABOR_HOURS)&gt;TEMP_HOURS_CAP),"",$C12+X$6-MIN(($D12+X$5),PERMANENT_FIELD_LABOR_HOURS)*PERMANENT_HOURLY_RATE-MAX(0,($D12+X$5)-PERMANENT_FIELD_LABOR_HOURS)*TEMP_HOURLY_RATE-FIXED_SEASON_COST)</f>
        <v>-13006.8623139458</v>
      </c>
      <c r="Y12" s="53" t="n">
        <f aca="false">IF(OR($A12&gt;TOMATO_BED_CAP,$B12&gt;CARROT_BED_CAP,Y$4&gt;MESCLUN_BED_CAP,$A12+$B12+Y$4&gt;TOTAL_BEDS_AVAILABLE,($D12+Y$5)&gt;TOTAL_LABOR_HOURS_CAP,MAX(0,($D12+Y$5)-PERMANENT_FIELD_LABOR_HOURS)&gt;TEMP_HOURS_CAP),"",$C12+Y$6-MIN(($D12+Y$5),PERMANENT_FIELD_LABOR_HOURS)*PERMANENT_HOURLY_RATE-MAX(0,($D12+Y$5)-PERMANENT_FIELD_LABOR_HOURS)*TEMP_HOURLY_RATE-FIXED_SEASON_COST)</f>
        <v>-12395.8392510671</v>
      </c>
      <c r="Z12" s="53" t="n">
        <f aca="false">IF(OR($A12&gt;TOMATO_BED_CAP,$B12&gt;CARROT_BED_CAP,Z$4&gt;MESCLUN_BED_CAP,$A12+$B12+Z$4&gt;TOTAL_BEDS_AVAILABLE,($D12+Z$5)&gt;TOTAL_LABOR_HOURS_CAP,MAX(0,($D12+Z$5)-PERMANENT_FIELD_LABOR_HOURS)&gt;TEMP_HOURS_CAP),"",$C12+Z$6-MIN(($D12+Z$5),PERMANENT_FIELD_LABOR_HOURS)*PERMANENT_HOURLY_RATE-MAX(0,($D12+Z$5)-PERMANENT_FIELD_LABOR_HOURS)*TEMP_HOURLY_RATE-FIXED_SEASON_COST)</f>
        <v>-11812.2929367594</v>
      </c>
      <c r="AA12" s="53" t="n">
        <f aca="false">IF(OR($A12&gt;TOMATO_BED_CAP,$B12&gt;CARROT_BED_CAP,AA$4&gt;MESCLUN_BED_CAP,$A12+$B12+AA$4&gt;TOTAL_BEDS_AVAILABLE,($D12+AA$5)&gt;TOTAL_LABOR_HOURS_CAP,MAX(0,($D12+AA$5)-PERMANENT_FIELD_LABOR_HOURS)&gt;TEMP_HOURS_CAP),"",$C12+AA$6-MIN(($D12+AA$5),PERMANENT_FIELD_LABOR_HOURS)*PERMANENT_HOURLY_RATE-MAX(0,($D12+AA$5)-PERMANENT_FIELD_LABOR_HOURS)*TEMP_HOURLY_RATE-FIXED_SEASON_COST)</f>
        <v>-11256.7213870905</v>
      </c>
      <c r="AB12" s="53" t="n">
        <f aca="false">IF(OR($A12&gt;TOMATO_BED_CAP,$B12&gt;CARROT_BED_CAP,AB$4&gt;MESCLUN_BED_CAP,$A12+$B12+AB$4&gt;TOTAL_BEDS_AVAILABLE,($D12+AB$5)&gt;TOTAL_LABOR_HOURS_CAP,MAX(0,($D12+AB$5)-PERMANENT_FIELD_LABOR_HOURS)&gt;TEMP_HOURS_CAP),"",$C12+AB$6-MIN(($D12+AB$5),PERMANENT_FIELD_LABOR_HOURS)*PERMANENT_HOURLY_RATE-MAX(0,($D12+AB$5)-PERMANENT_FIELD_LABOR_HOURS)*TEMP_HOURLY_RATE-FIXED_SEASON_COST)</f>
        <v>-10729.6307752879</v>
      </c>
      <c r="AC12" s="53" t="n">
        <f aca="false">IF(OR($A12&gt;TOMATO_BED_CAP,$B12&gt;CARROT_BED_CAP,AC$4&gt;MESCLUN_BED_CAP,$A12+$B12+AC$4&gt;TOTAL_BEDS_AVAILABLE,($D12+AC$5)&gt;TOTAL_LABOR_HOURS_CAP,MAX(0,($D12+AC$5)-PERMANENT_FIELD_LABOR_HOURS)&gt;TEMP_HOURS_CAP),"",$C12+AC$6-MIN(($D12+AC$5),PERMANENT_FIELD_LABOR_HOURS)*PERMANENT_HOURLY_RATE-MAX(0,($D12+AC$5)-PERMANENT_FIELD_LABOR_HOURS)*TEMP_HOURLY_RATE-FIXED_SEASON_COST)</f>
        <v>-10231.535557853</v>
      </c>
      <c r="AD12" s="53" t="n">
        <f aca="false">IF(OR($A12&gt;TOMATO_BED_CAP,$B12&gt;CARROT_BED_CAP,AD$4&gt;MESCLUN_BED_CAP,$A12+$B12+AD$4&gt;TOTAL_BEDS_AVAILABLE,($D12+AD$5)&gt;TOTAL_LABOR_HOURS_CAP,MAX(0,($D12+AD$5)-PERMANENT_FIELD_LABOR_HOURS)&gt;TEMP_HOURS_CAP),"",$C12+AD$6-MIN(($D12+AD$5),PERMANENT_FIELD_LABOR_HOURS)*PERMANENT_HOURLY_RATE-MAX(0,($D12+AD$5)-PERMANENT_FIELD_LABOR_HOURS)*TEMP_HOURLY_RATE-FIXED_SEASON_COST)</f>
        <v>-9762.95860255306</v>
      </c>
      <c r="AE12" s="53" t="n">
        <f aca="false">IF(OR($A12&gt;TOMATO_BED_CAP,$B12&gt;CARROT_BED_CAP,AE$4&gt;MESCLUN_BED_CAP,$A12+$B12+AE$4&gt;TOTAL_BEDS_AVAILABLE,($D12+AE$5)&gt;TOTAL_LABOR_HOURS_CAP,MAX(0,($D12+AE$5)-PERMANENT_FIELD_LABOR_HOURS)&gt;TEMP_HOURS_CAP),"",$C12+AE$6-MIN(($D12+AE$5),PERMANENT_FIELD_LABOR_HOURS)*PERMANENT_HOURLY_RATE-MAX(0,($D12+AE$5)-PERMANENT_FIELD_LABOR_HOURS)*TEMP_HOURLY_RATE-FIXED_SEASON_COST)</f>
        <v>-9324.43131831916</v>
      </c>
      <c r="AF12" s="53" t="n">
        <f aca="false">IF(OR($A12&gt;TOMATO_BED_CAP,$B12&gt;CARROT_BED_CAP,AF$4&gt;MESCLUN_BED_CAP,$A12+$B12+AF$4&gt;TOTAL_BEDS_AVAILABLE,($D12+AF$5)&gt;TOTAL_LABOR_HOURS_CAP,MAX(0,($D12+AF$5)-PERMANENT_FIELD_LABOR_HOURS)&gt;TEMP_HOURS_CAP),"",$C12+AF$6-MIN(($D12+AF$5),PERMANENT_FIELD_LABOR_HOURS)*PERMANENT_HOURLY_RATE-MAX(0,($D12+AF$5)-PERMANENT_FIELD_LABOR_HOURS)*TEMP_HOURLY_RATE-FIXED_SEASON_COST)</f>
        <v>-8916.49378707721</v>
      </c>
      <c r="AG12" s="53" t="n">
        <f aca="false">IF(OR($A12&gt;TOMATO_BED_CAP,$B12&gt;CARROT_BED_CAP,AG$4&gt;MESCLUN_BED_CAP,$A12+$B12+AG$4&gt;TOTAL_BEDS_AVAILABLE,($D12+AG$5)&gt;TOTAL_LABOR_HOURS_CAP,MAX(0,($D12+AG$5)-PERMANENT_FIELD_LABOR_HOURS)&gt;TEMP_HOURS_CAP),"",$C12+AG$6-MIN(($D12+AG$5),PERMANENT_FIELD_LABOR_HOURS)*PERMANENT_HOURLY_RATE-MAX(0,($D12+AG$5)-PERMANENT_FIELD_LABOR_HOURS)*TEMP_HOURLY_RATE-FIXED_SEASON_COST)</f>
        <v>-8539.69489754019</v>
      </c>
      <c r="AH12" s="53" t="n">
        <f aca="false">IF(OR($A12&gt;TOMATO_BED_CAP,$B12&gt;CARROT_BED_CAP,AH$4&gt;MESCLUN_BED_CAP,$A12+$B12+AH$4&gt;TOTAL_BEDS_AVAILABLE,($D12+AH$5)&gt;TOTAL_LABOR_HOURS_CAP,MAX(0,($D12+AH$5)-PERMANENT_FIELD_LABOR_HOURS)&gt;TEMP_HOURS_CAP),"",$C12+AH$6-MIN(($D12+AH$5),PERMANENT_FIELD_LABOR_HOURS)*PERMANENT_HOURLY_RATE-MAX(0,($D12+AH$5)-PERMANENT_FIELD_LABOR_HOURS)*TEMP_HOURLY_RATE-FIXED_SEASON_COST)</f>
        <v>-8194.59248098997</v>
      </c>
      <c r="AI12" s="53" t="n">
        <f aca="false">IF(OR($A12&gt;TOMATO_BED_CAP,$B12&gt;CARROT_BED_CAP,AI$4&gt;MESCLUN_BED_CAP,$A12+$B12+AI$4&gt;TOTAL_BEDS_AVAILABLE,($D12+AI$5)&gt;TOTAL_LABOR_HOURS_CAP,MAX(0,($D12+AI$5)-PERMANENT_FIELD_LABOR_HOURS)&gt;TEMP_HOURS_CAP),"",$C12+AI$6-MIN(($D12+AI$5),PERMANENT_FIELD_LABOR_HOURS)*PERMANENT_HOURLY_RATE-MAX(0,($D12+AI$5)-PERMANENT_FIELD_LABOR_HOURS)*TEMP_HOURLY_RATE-FIXED_SEASON_COST)</f>
        <v>-7881.75344907771</v>
      </c>
      <c r="AJ12" s="53" t="n">
        <f aca="false">IF(OR($A12&gt;TOMATO_BED_CAP,$B12&gt;CARROT_BED_CAP,AJ$4&gt;MESCLUN_BED_CAP,$A12+$B12+AJ$4&gt;TOTAL_BEDS_AVAILABLE,($D12+AJ$5)&gt;TOTAL_LABOR_HOURS_CAP,MAX(0,($D12+AJ$5)-PERMANENT_FIELD_LABOR_HOURS)&gt;TEMP_HOURS_CAP),"",$C12+AJ$6-MIN(($D12+AJ$5),PERMANENT_FIELD_LABOR_HOURS)*PERMANENT_HOURLY_RATE-MAX(0,($D12+AJ$5)-PERMANENT_FIELD_LABOR_HOURS)*TEMP_HOURLY_RATE-FIXED_SEASON_COST)</f>
        <v>-7601.75393367196</v>
      </c>
      <c r="AL12" s="21" t="s">
        <v>602</v>
      </c>
      <c r="AM12" s="10" t="n">
        <f aca="false">MATCH(ENUM_BEST_PROFIT,INDEX(ENUM_GRID,ENUM_BEST_ROW,0),0)-1</f>
        <v>30</v>
      </c>
    </row>
    <row r="13" customFormat="false" ht="15" hidden="false" customHeight="false" outlineLevel="0" collapsed="false">
      <c r="A13" s="21" t="n">
        <f aca="false">INT((ROW()-ROW($A$8))/(20+1))</f>
        <v>0</v>
      </c>
      <c r="B13" s="21" t="n">
        <f aca="false">MOD(ROW()-ROW($A$8),20+1)</f>
        <v>5</v>
      </c>
      <c r="C13" s="13" t="n">
        <f aca="false">A13*(TOMATO_REVENUE_PER_BED-TOMATO_FERTILIZER_PER_BED)+B13*(CARROT_REVENUE_PER_BED-CARROT_FERTILIZER_PER_BED)</f>
        <v>8270</v>
      </c>
      <c r="D13" s="14" t="n">
        <f aca="false">INDEX(TOMATO_SCHED_LABOR_HRS,A13+1)+INDEX(CARROT_SCHED_LABOR_HRS,B13+1)</f>
        <v>169.64334744082</v>
      </c>
      <c r="E13" s="13" t="n">
        <f aca="false">IF(COUNT(F13:AJ13)=0,"",MAX(F13:AJ13))</f>
        <v>-6594.2192167001</v>
      </c>
      <c r="F13" s="53" t="n">
        <f aca="false">IF(OR($A13&gt;TOMATO_BED_CAP,$B13&gt;CARROT_BED_CAP,F$4&gt;MESCLUN_BED_CAP,$A13+$B13+F$4&gt;TOTAL_BEDS_AVAILABLE,($D13+F$5)&gt;TOTAL_LABOR_HOURS_CAP,MAX(0,($D13+F$5)-PERMANENT_FIELD_LABOR_HOURS)&gt;TEMP_HOURS_CAP),"",$C13+F$6-MIN(($D13+F$5),PERMANENT_FIELD_LABOR_HOURS)*PERMANENT_HOURLY_RATE-MAX(0,($D13+F$5)-PERMANENT_FIELD_LABOR_HOURS)*TEMP_HOURLY_RATE-FIXED_SEASON_COST)</f>
        <v>-17620.0170231453</v>
      </c>
      <c r="G13" s="53" t="n">
        <f aca="false">IF(OR($A13&gt;TOMATO_BED_CAP,$B13&gt;CARROT_BED_CAP,G$4&gt;MESCLUN_BED_CAP,$A13+$B13+G$4&gt;TOTAL_BEDS_AVAILABLE,($D13+G$5)&gt;TOTAL_LABOR_HOURS_CAP,MAX(0,($D13+G$5)-PERMANENT_FIELD_LABOR_HOURS)&gt;TEMP_HOURS_CAP),"",$C13+G$6-MIN(($D13+G$5),PERMANENT_FIELD_LABOR_HOURS)*PERMANENT_HOURLY_RATE-MAX(0,($D13+G$5)-PERMANENT_FIELD_LABOR_HOURS)*TEMP_HOURLY_RATE-FIXED_SEASON_COST)</f>
        <v>-17381.9470231453</v>
      </c>
      <c r="H13" s="53" t="n">
        <f aca="false">IF(OR($A13&gt;TOMATO_BED_CAP,$B13&gt;CARROT_BED_CAP,H$4&gt;MESCLUN_BED_CAP,$A13+$B13+H$4&gt;TOTAL_BEDS_AVAILABLE,($D13+H$5)&gt;TOTAL_LABOR_HOURS_CAP,MAX(0,($D13+H$5)-PERMANENT_FIELD_LABOR_HOURS)&gt;TEMP_HOURS_CAP),"",$C13+H$6-MIN(($D13+H$5),PERMANENT_FIELD_LABOR_HOURS)*PERMANENT_HOURLY_RATE-MAX(0,($D13+H$5)-PERMANENT_FIELD_LABOR_HOURS)*TEMP_HOURLY_RATE-FIXED_SEASON_COST)</f>
        <v>-17183.4252731453</v>
      </c>
      <c r="I13" s="53" t="n">
        <f aca="false">IF(OR($A13&gt;TOMATO_BED_CAP,$B13&gt;CARROT_BED_CAP,I$4&gt;MESCLUN_BED_CAP,$A13+$B13+I$4&gt;TOTAL_BEDS_AVAILABLE,($D13+I$5)&gt;TOTAL_LABOR_HOURS_CAP,MAX(0,($D13+I$5)-PERMANENT_FIELD_LABOR_HOURS)&gt;TEMP_HOURS_CAP),"",$C13+I$6-MIN(($D13+I$5),PERMANENT_FIELD_LABOR_HOURS)*PERMANENT_HOURLY_RATE-MAX(0,($D13+I$5)-PERMANENT_FIELD_LABOR_HOURS)*TEMP_HOURLY_RATE-FIXED_SEASON_COST)</f>
        <v>-17025.1933028328</v>
      </c>
      <c r="J13" s="53" t="n">
        <f aca="false">IF(OR($A13&gt;TOMATO_BED_CAP,$B13&gt;CARROT_BED_CAP,J$4&gt;MESCLUN_BED_CAP,$A13+$B13+J$4&gt;TOTAL_BEDS_AVAILABLE,($D13+J$5)&gt;TOTAL_LABOR_HOURS_CAP,MAX(0,($D13+J$5)-PERMANENT_FIELD_LABOR_HOURS)&gt;TEMP_HOURS_CAP),"",$C13+J$6-MIN(($D13+J$5),PERMANENT_FIELD_LABOR_HOURS)*PERMANENT_HOURLY_RATE-MAX(0,($D13+J$5)-PERMANENT_FIELD_LABOR_HOURS)*TEMP_HOURLY_RATE-FIXED_SEASON_COST)</f>
        <v>-16908.0050007234</v>
      </c>
      <c r="K13" s="53" t="n">
        <f aca="false">IF(OR($A13&gt;TOMATO_BED_CAP,$B13&gt;CARROT_BED_CAP,K$4&gt;MESCLUN_BED_CAP,$A13+$B13+K$4&gt;TOTAL_BEDS_AVAILABLE,($D13+K$5)&gt;TOTAL_LABOR_HOURS_CAP,MAX(0,($D13+K$5)-PERMANENT_FIELD_LABOR_HOURS)&gt;TEMP_HOURS_CAP),"",$C13+K$6-MIN(($D13+K$5),PERMANENT_FIELD_LABOR_HOURS)*PERMANENT_HOURLY_RATE-MAX(0,($D13+K$5)-PERMANENT_FIELD_LABOR_HOURS)*TEMP_HOURLY_RATE-FIXED_SEASON_COST)</f>
        <v>-16832.6268072676</v>
      </c>
      <c r="L13" s="53" t="n">
        <f aca="false">IF(OR($A13&gt;TOMATO_BED_CAP,$B13&gt;CARROT_BED_CAP,L$4&gt;MESCLUN_BED_CAP,$A13+$B13+L$4&gt;TOTAL_BEDS_AVAILABLE,($D13+L$5)&gt;TOTAL_LABOR_HOURS_CAP,MAX(0,($D13+L$5)-PERMANENT_FIELD_LABOR_HOURS)&gt;TEMP_HOURS_CAP),"",$C13+L$6-MIN(($D13+L$5),PERMANENT_FIELD_LABOR_HOURS)*PERMANENT_HOURLY_RATE-MAX(0,($D13+L$5)-PERMANENT_FIELD_LABOR_HOURS)*TEMP_HOURLY_RATE-FIXED_SEASON_COST)</f>
        <v>-16799.8379108539</v>
      </c>
      <c r="M13" s="53" t="n">
        <f aca="false">IF(OR($A13&gt;TOMATO_BED_CAP,$B13&gt;CARROT_BED_CAP,M$4&gt;MESCLUN_BED_CAP,$A13+$B13+M$4&gt;TOTAL_BEDS_AVAILABLE,($D13+M$5)&gt;TOTAL_LABOR_HOURS_CAP,MAX(0,($D13+M$5)-PERMANENT_FIELD_LABOR_HOURS)&gt;TEMP_HOURS_CAP),"",$C13+M$6-MIN(($D13+M$5),PERMANENT_FIELD_LABOR_HOURS)*PERMANENT_HOURLY_RATE-MAX(0,($D13+M$5)-PERMANENT_FIELD_LABOR_HOURS)*TEMP_HOURLY_RATE-FIXED_SEASON_COST)</f>
        <v>-16810.4304467511</v>
      </c>
      <c r="N13" s="53" t="n">
        <f aca="false">IF(OR($A13&gt;TOMATO_BED_CAP,$B13&gt;CARROT_BED_CAP,N$4&gt;MESCLUN_BED_CAP,$A13+$B13+N$4&gt;TOTAL_BEDS_AVAILABLE,($D13+N$5)&gt;TOTAL_LABOR_HOURS_CAP,MAX(0,($D13+N$5)-PERMANENT_FIELD_LABOR_HOURS)&gt;TEMP_HOURS_CAP),"",$C13+N$6-MIN(($D13+N$5),PERMANENT_FIELD_LABOR_HOURS)*PERMANENT_HOURLY_RATE-MAX(0,($D13+N$5)-PERMANENT_FIELD_LABOR_HOURS)*TEMP_HOURLY_RATE-FIXED_SEASON_COST)</f>
        <v>-16865.209699032</v>
      </c>
      <c r="O13" s="53" t="n">
        <f aca="false">IF(OR($A13&gt;TOMATO_BED_CAP,$B13&gt;CARROT_BED_CAP,O$4&gt;MESCLUN_BED_CAP,$A13+$B13+O$4&gt;TOTAL_BEDS_AVAILABLE,($D13+O$5)&gt;TOTAL_LABOR_HOURS_CAP,MAX(0,($D13+O$5)-PERMANENT_FIELD_LABOR_HOURS)&gt;TEMP_HOURS_CAP),"",$C13+O$6-MIN(($D13+O$5),PERMANENT_FIELD_LABOR_HOURS)*PERMANENT_HOURLY_RATE-MAX(0,($D13+O$5)-PERMANENT_FIELD_LABOR_HOURS)*TEMP_HOURLY_RATE-FIXED_SEASON_COST)</f>
        <v>-16964.9943055225</v>
      </c>
      <c r="P13" s="53" t="n">
        <f aca="false">IF(OR($A13&gt;TOMATO_BED_CAP,$B13&gt;CARROT_BED_CAP,P$4&gt;MESCLUN_BED_CAP,$A13+$B13+P$4&gt;TOTAL_BEDS_AVAILABLE,($D13+P$5)&gt;TOTAL_LABOR_HOURS_CAP,MAX(0,($D13+P$5)-PERMANENT_FIELD_LABOR_HOURS)&gt;TEMP_HOURS_CAP),"",$C13+P$6-MIN(($D13+P$5),PERMANENT_FIELD_LABOR_HOURS)*PERMANENT_HOURLY_RATE-MAX(0,($D13+P$5)-PERMANENT_FIELD_LABOR_HOURS)*TEMP_HOURLY_RATE-FIXED_SEASON_COST)</f>
        <v>-17110.6164658196</v>
      </c>
      <c r="Q13" s="53" t="n">
        <f aca="false">IF(OR($A13&gt;TOMATO_BED_CAP,$B13&gt;CARROT_BED_CAP,Q$4&gt;MESCLUN_BED_CAP,$A13+$B13+Q$4&gt;TOTAL_BEDS_AVAILABLE,($D13+Q$5)&gt;TOTAL_LABOR_HOURS_CAP,MAX(0,($D13+Q$5)-PERMANENT_FIELD_LABOR_HOURS)&gt;TEMP_HOURS_CAP),"",$C13+Q$6-MIN(($D13+Q$5),PERMANENT_FIELD_LABOR_HOURS)*PERMANENT_HOURLY_RATE-MAX(0,($D13+Q$5)-PERMANENT_FIELD_LABOR_HOURS)*TEMP_HOURLY_RATE-FIXED_SEASON_COST)</f>
        <v>-17005.6610762119</v>
      </c>
      <c r="R13" s="53" t="n">
        <f aca="false">IF(OR($A13&gt;TOMATO_BED_CAP,$B13&gt;CARROT_BED_CAP,R$4&gt;MESCLUN_BED_CAP,$A13+$B13+R$4&gt;TOTAL_BEDS_AVAILABLE,($D13+R$5)&gt;TOTAL_LABOR_HOURS_CAP,MAX(0,($D13+R$5)-PERMANENT_FIELD_LABOR_HOURS)&gt;TEMP_HOURS_CAP),"",$C13+R$6-MIN(($D13+R$5),PERMANENT_FIELD_LABOR_HOURS)*PERMANENT_HOURLY_RATE-MAX(0,($D13+R$5)-PERMANENT_FIELD_LABOR_HOURS)*TEMP_HOURLY_RATE-FIXED_SEASON_COST)</f>
        <v>-16215.5856625151</v>
      </c>
      <c r="S13" s="53" t="n">
        <f aca="false">IF(OR($A13&gt;TOMATO_BED_CAP,$B13&gt;CARROT_BED_CAP,S$4&gt;MESCLUN_BED_CAP,$A13+$B13+S$4&gt;TOTAL_BEDS_AVAILABLE,($D13+S$5)&gt;TOTAL_LABOR_HOURS_CAP,MAX(0,($D13+S$5)-PERMANENT_FIELD_LABOR_HOURS)&gt;TEMP_HOURS_CAP),"",$C13+S$6-MIN(($D13+S$5),PERMANENT_FIELD_LABOR_HOURS)*PERMANENT_HOURLY_RATE-MAX(0,($D13+S$5)-PERMANENT_FIELD_LABOR_HOURS)*TEMP_HOURLY_RATE-FIXED_SEASON_COST)</f>
        <v>-15449.7190740127</v>
      </c>
      <c r="T13" s="53" t="n">
        <f aca="false">IF(OR($A13&gt;TOMATO_BED_CAP,$B13&gt;CARROT_BED_CAP,T$4&gt;MESCLUN_BED_CAP,$A13+$B13+T$4&gt;TOTAL_BEDS_AVAILABLE,($D13+T$5)&gt;TOTAL_LABOR_HOURS_CAP,MAX(0,($D13+T$5)-PERMANENT_FIELD_LABOR_HOURS)&gt;TEMP_HOURS_CAP),"",$C13+T$6-MIN(($D13+T$5),PERMANENT_FIELD_LABOR_HOURS)*PERMANENT_HOURLY_RATE-MAX(0,($D13+T$5)-PERMANENT_FIELD_LABOR_HOURS)*TEMP_HOURLY_RATE-FIXED_SEASON_COST)</f>
        <v>-14708.5056056178</v>
      </c>
      <c r="U13" s="53" t="n">
        <f aca="false">IF(OR($A13&gt;TOMATO_BED_CAP,$B13&gt;CARROT_BED_CAP,U$4&gt;MESCLUN_BED_CAP,$A13+$B13+U$4&gt;TOTAL_BEDS_AVAILABLE,($D13+U$5)&gt;TOTAL_LABOR_HOURS_CAP,MAX(0,($D13+U$5)-PERMANENT_FIELD_LABOR_HOURS)&gt;TEMP_HOURS_CAP),"",$C13+U$6-MIN(($D13+U$5),PERMANENT_FIELD_LABOR_HOURS)*PERMANENT_HOURLY_RATE-MAX(0,($D13+U$5)-PERMANENT_FIELD_LABOR_HOURS)*TEMP_HOURLY_RATE-FIXED_SEASON_COST)</f>
        <v>-13992.3968769877</v>
      </c>
      <c r="V13" s="53" t="n">
        <f aca="false">IF(OR($A13&gt;TOMATO_BED_CAP,$B13&gt;CARROT_BED_CAP,V$4&gt;MESCLUN_BED_CAP,$A13+$B13+V$4&gt;TOTAL_BEDS_AVAILABLE,($D13+V$5)&gt;TOTAL_LABOR_HOURS_CAP,MAX(0,($D13+V$5)-PERMANENT_FIELD_LABOR_HOURS)&gt;TEMP_HOURS_CAP),"",$C13+V$6-MIN(($D13+V$5),PERMANENT_FIELD_LABOR_HOURS)*PERMANENT_HOURLY_RATE-MAX(0,($D13+V$5)-PERMANENT_FIELD_LABOR_HOURS)*TEMP_HOURLY_RATE-FIXED_SEASON_COST)</f>
        <v>-13301.8519462209</v>
      </c>
      <c r="W13" s="53" t="n">
        <f aca="false">IF(OR($A13&gt;TOMATO_BED_CAP,$B13&gt;CARROT_BED_CAP,W$4&gt;MESCLUN_BED_CAP,$A13+$B13+W$4&gt;TOTAL_BEDS_AVAILABLE,($D13+W$5)&gt;TOTAL_LABOR_HOURS_CAP,MAX(0,($D13+W$5)-PERMANENT_FIELD_LABOR_HOURS)&gt;TEMP_HOURS_CAP),"",$C13+W$6-MIN(($D13+W$5),PERMANENT_FIELD_LABOR_HOURS)*PERMANENT_HOURLY_RATE-MAX(0,($D13+W$5)-PERMANENT_FIELD_LABOR_HOURS)*TEMP_HOURLY_RATE-FIXED_SEASON_COST)</f>
        <v>-12637.3374252529</v>
      </c>
      <c r="X13" s="53" t="n">
        <f aca="false">IF(OR($A13&gt;TOMATO_BED_CAP,$B13&gt;CARROT_BED_CAP,X$4&gt;MESCLUN_BED_CAP,$A13+$B13+X$4&gt;TOTAL_BEDS_AVAILABLE,($D13+X$5)&gt;TOTAL_LABOR_HOURS_CAP,MAX(0,($D13+X$5)-PERMANENT_FIELD_LABOR_HOURS)&gt;TEMP_HOURS_CAP),"",$C13+X$6-MIN(($D13+X$5),PERMANENT_FIELD_LABOR_HOURS)*PERMANENT_HOURLY_RATE-MAX(0,($D13+X$5)-PERMANENT_FIELD_LABOR_HOURS)*TEMP_HOURLY_RATE-FIXED_SEASON_COST)</f>
        <v>-11999.3275969739</v>
      </c>
      <c r="Y13" s="53" t="n">
        <f aca="false">IF(OR($A13&gt;TOMATO_BED_CAP,$B13&gt;CARROT_BED_CAP,Y$4&gt;MESCLUN_BED_CAP,$A13+$B13+Y$4&gt;TOTAL_BEDS_AVAILABLE,($D13+Y$5)&gt;TOTAL_LABOR_HOURS_CAP,MAX(0,($D13+Y$5)-PERMANENT_FIELD_LABOR_HOURS)&gt;TEMP_HOURS_CAP),"",$C13+Y$6-MIN(($D13+Y$5),PERMANENT_FIELD_LABOR_HOURS)*PERMANENT_HOURLY_RATE-MAX(0,($D13+Y$5)-PERMANENT_FIELD_LABOR_HOURS)*TEMP_HOURLY_RATE-FIXED_SEASON_COST)</f>
        <v>-11388.3045340953</v>
      </c>
      <c r="Z13" s="53" t="n">
        <f aca="false">IF(OR($A13&gt;TOMATO_BED_CAP,$B13&gt;CARROT_BED_CAP,Z$4&gt;MESCLUN_BED_CAP,$A13+$B13+Z$4&gt;TOTAL_BEDS_AVAILABLE,($D13+Z$5)&gt;TOTAL_LABOR_HOURS_CAP,MAX(0,($D13+Z$5)-PERMANENT_FIELD_LABOR_HOURS)&gt;TEMP_HOURS_CAP),"",$C13+Z$6-MIN(($D13+Z$5),PERMANENT_FIELD_LABOR_HOURS)*PERMANENT_HOURLY_RATE-MAX(0,($D13+Z$5)-PERMANENT_FIELD_LABOR_HOURS)*TEMP_HOURLY_RATE-FIXED_SEASON_COST)</f>
        <v>-10804.7582197876</v>
      </c>
      <c r="AA13" s="53" t="n">
        <f aca="false">IF(OR($A13&gt;TOMATO_BED_CAP,$B13&gt;CARROT_BED_CAP,AA$4&gt;MESCLUN_BED_CAP,$A13+$B13+AA$4&gt;TOTAL_BEDS_AVAILABLE,($D13+AA$5)&gt;TOTAL_LABOR_HOURS_CAP,MAX(0,($D13+AA$5)-PERMANENT_FIELD_LABOR_HOURS)&gt;TEMP_HOURS_CAP),"",$C13+AA$6-MIN(($D13+AA$5),PERMANENT_FIELD_LABOR_HOURS)*PERMANENT_HOURLY_RATE-MAX(0,($D13+AA$5)-PERMANENT_FIELD_LABOR_HOURS)*TEMP_HOURLY_RATE-FIXED_SEASON_COST)</f>
        <v>-10249.1866701186</v>
      </c>
      <c r="AB13" s="53" t="n">
        <f aca="false">IF(OR($A13&gt;TOMATO_BED_CAP,$B13&gt;CARROT_BED_CAP,AB$4&gt;MESCLUN_BED_CAP,$A13+$B13+AB$4&gt;TOTAL_BEDS_AVAILABLE,($D13+AB$5)&gt;TOTAL_LABOR_HOURS_CAP,MAX(0,($D13+AB$5)-PERMANENT_FIELD_LABOR_HOURS)&gt;TEMP_HOURS_CAP),"",$C13+AB$6-MIN(($D13+AB$5),PERMANENT_FIELD_LABOR_HOURS)*PERMANENT_HOURLY_RATE-MAX(0,($D13+AB$5)-PERMANENT_FIELD_LABOR_HOURS)*TEMP_HOURLY_RATE-FIXED_SEASON_COST)</f>
        <v>-9722.09605831606</v>
      </c>
      <c r="AC13" s="53" t="n">
        <f aca="false">IF(OR($A13&gt;TOMATO_BED_CAP,$B13&gt;CARROT_BED_CAP,AC$4&gt;MESCLUN_BED_CAP,$A13+$B13+AC$4&gt;TOTAL_BEDS_AVAILABLE,($D13+AC$5)&gt;TOTAL_LABOR_HOURS_CAP,MAX(0,($D13+AC$5)-PERMANENT_FIELD_LABOR_HOURS)&gt;TEMP_HOURS_CAP),"",$C13+AC$6-MIN(($D13+AC$5),PERMANENT_FIELD_LABOR_HOURS)*PERMANENT_HOURLY_RATE-MAX(0,($D13+AC$5)-PERMANENT_FIELD_LABOR_HOURS)*TEMP_HOURLY_RATE-FIXED_SEASON_COST)</f>
        <v>-9224.00084088116</v>
      </c>
      <c r="AD13" s="53" t="n">
        <f aca="false">IF(OR($A13&gt;TOMATO_BED_CAP,$B13&gt;CARROT_BED_CAP,AD$4&gt;MESCLUN_BED_CAP,$A13+$B13+AD$4&gt;TOTAL_BEDS_AVAILABLE,($D13+AD$5)&gt;TOTAL_LABOR_HOURS_CAP,MAX(0,($D13+AD$5)-PERMANENT_FIELD_LABOR_HOURS)&gt;TEMP_HOURS_CAP),"",$C13+AD$6-MIN(($D13+AD$5),PERMANENT_FIELD_LABOR_HOURS)*PERMANENT_HOURLY_RATE-MAX(0,($D13+AD$5)-PERMANENT_FIELD_LABOR_HOURS)*TEMP_HOURLY_RATE-FIXED_SEASON_COST)</f>
        <v>-8755.4238855812</v>
      </c>
      <c r="AE13" s="53" t="n">
        <f aca="false">IF(OR($A13&gt;TOMATO_BED_CAP,$B13&gt;CARROT_BED_CAP,AE$4&gt;MESCLUN_BED_CAP,$A13+$B13+AE$4&gt;TOTAL_BEDS_AVAILABLE,($D13+AE$5)&gt;TOTAL_LABOR_HOURS_CAP,MAX(0,($D13+AE$5)-PERMANENT_FIELD_LABOR_HOURS)&gt;TEMP_HOURS_CAP),"",$C13+AE$6-MIN(($D13+AE$5),PERMANENT_FIELD_LABOR_HOURS)*PERMANENT_HOURLY_RATE-MAX(0,($D13+AE$5)-PERMANENT_FIELD_LABOR_HOURS)*TEMP_HOURLY_RATE-FIXED_SEASON_COST)</f>
        <v>-8316.8966013473</v>
      </c>
      <c r="AF13" s="53" t="n">
        <f aca="false">IF(OR($A13&gt;TOMATO_BED_CAP,$B13&gt;CARROT_BED_CAP,AF$4&gt;MESCLUN_BED_CAP,$A13+$B13+AF$4&gt;TOTAL_BEDS_AVAILABLE,($D13+AF$5)&gt;TOTAL_LABOR_HOURS_CAP,MAX(0,($D13+AF$5)-PERMANENT_FIELD_LABOR_HOURS)&gt;TEMP_HOURS_CAP),"",$C13+AF$6-MIN(($D13+AF$5),PERMANENT_FIELD_LABOR_HOURS)*PERMANENT_HOURLY_RATE-MAX(0,($D13+AF$5)-PERMANENT_FIELD_LABOR_HOURS)*TEMP_HOURLY_RATE-FIXED_SEASON_COST)</f>
        <v>-7908.95907010535</v>
      </c>
      <c r="AG13" s="53" t="n">
        <f aca="false">IF(OR($A13&gt;TOMATO_BED_CAP,$B13&gt;CARROT_BED_CAP,AG$4&gt;MESCLUN_BED_CAP,$A13+$B13+AG$4&gt;TOTAL_BEDS_AVAILABLE,($D13+AG$5)&gt;TOTAL_LABOR_HOURS_CAP,MAX(0,($D13+AG$5)-PERMANENT_FIELD_LABOR_HOURS)&gt;TEMP_HOURS_CAP),"",$C13+AG$6-MIN(($D13+AG$5),PERMANENT_FIELD_LABOR_HOURS)*PERMANENT_HOURLY_RATE-MAX(0,($D13+AG$5)-PERMANENT_FIELD_LABOR_HOURS)*TEMP_HOURLY_RATE-FIXED_SEASON_COST)</f>
        <v>-7532.16018056833</v>
      </c>
      <c r="AH13" s="53" t="n">
        <f aca="false">IF(OR($A13&gt;TOMATO_BED_CAP,$B13&gt;CARROT_BED_CAP,AH$4&gt;MESCLUN_BED_CAP,$A13+$B13+AH$4&gt;TOTAL_BEDS_AVAILABLE,($D13+AH$5)&gt;TOTAL_LABOR_HOURS_CAP,MAX(0,($D13+AH$5)-PERMANENT_FIELD_LABOR_HOURS)&gt;TEMP_HOURS_CAP),"",$C13+AH$6-MIN(($D13+AH$5),PERMANENT_FIELD_LABOR_HOURS)*PERMANENT_HOURLY_RATE-MAX(0,($D13+AH$5)-PERMANENT_FIELD_LABOR_HOURS)*TEMP_HOURLY_RATE-FIXED_SEASON_COST)</f>
        <v>-7187.05776401811</v>
      </c>
      <c r="AI13" s="53" t="n">
        <f aca="false">IF(OR($A13&gt;TOMATO_BED_CAP,$B13&gt;CARROT_BED_CAP,AI$4&gt;MESCLUN_BED_CAP,$A13+$B13+AI$4&gt;TOTAL_BEDS_AVAILABLE,($D13+AI$5)&gt;TOTAL_LABOR_HOURS_CAP,MAX(0,($D13+AI$5)-PERMANENT_FIELD_LABOR_HOURS)&gt;TEMP_HOURS_CAP),"",$C13+AI$6-MIN(($D13+AI$5),PERMANENT_FIELD_LABOR_HOURS)*PERMANENT_HOURLY_RATE-MAX(0,($D13+AI$5)-PERMANENT_FIELD_LABOR_HOURS)*TEMP_HOURLY_RATE-FIXED_SEASON_COST)</f>
        <v>-6874.21873210585</v>
      </c>
      <c r="AJ13" s="53" t="n">
        <f aca="false">IF(OR($A13&gt;TOMATO_BED_CAP,$B13&gt;CARROT_BED_CAP,AJ$4&gt;MESCLUN_BED_CAP,$A13+$B13+AJ$4&gt;TOTAL_BEDS_AVAILABLE,($D13+AJ$5)&gt;TOTAL_LABOR_HOURS_CAP,MAX(0,($D13+AJ$5)-PERMANENT_FIELD_LABOR_HOURS)&gt;TEMP_HOURS_CAP),"",$C13+AJ$6-MIN(($D13+AJ$5),PERMANENT_FIELD_LABOR_HOURS)*PERMANENT_HOURLY_RATE-MAX(0,($D13+AJ$5)-PERMANENT_FIELD_LABOR_HOURS)*TEMP_HOURLY_RATE-FIXED_SEASON_COST)</f>
        <v>-6594.2192167001</v>
      </c>
      <c r="AL13" s="21" t="s">
        <v>603</v>
      </c>
      <c r="AM13" s="10" t="n">
        <f aca="false">COUNTIF(ENUM_GRID,ENUM_BEST_PROFIT)</f>
        <v>1</v>
      </c>
    </row>
    <row r="14" customFormat="false" ht="15" hidden="false" customHeight="false" outlineLevel="0" collapsed="false">
      <c r="A14" s="21" t="n">
        <f aca="false">INT((ROW()-ROW($A$8))/(20+1))</f>
        <v>0</v>
      </c>
      <c r="B14" s="21" t="n">
        <f aca="false">MOD(ROW()-ROW($A$8),20+1)</f>
        <v>6</v>
      </c>
      <c r="C14" s="13" t="n">
        <f aca="false">A14*(TOMATO_REVENUE_PER_BED-TOMATO_FERTILIZER_PER_BED)+B14*(CARROT_REVENUE_PER_BED-CARROT_FERTILIZER_PER_BED)</f>
        <v>9924</v>
      </c>
      <c r="D14" s="14" t="n">
        <f aca="false">INDEX(TOMATO_SCHED_LABOR_HRS,A14+1)+INDEX(CARROT_SCHED_LABOR_HRS,B14+1)</f>
        <v>208.661317352209</v>
      </c>
      <c r="E14" s="13" t="n">
        <f aca="false">IF(COUNT(F14:AJ14)=0,"",MAX(F14:AJ14))</f>
        <v>-5617.57117436181</v>
      </c>
      <c r="F14" s="53" t="n">
        <f aca="false">IF(OR($A14&gt;TOMATO_BED_CAP,$B14&gt;CARROT_BED_CAP,F$4&gt;MESCLUN_BED_CAP,$A14+$B14+F$4&gt;TOTAL_BEDS_AVAILABLE,($D14+F$5)&gt;TOTAL_LABOR_HOURS_CAP,MAX(0,($D14+F$5)-PERMANENT_FIELD_LABOR_HOURS)&gt;TEMP_HOURS_CAP),"",$C14+F$6-MIN(($D14+F$5),PERMANENT_FIELD_LABOR_HOURS)*PERMANENT_HOURLY_RATE-MAX(0,($D14+F$5)-PERMANENT_FIELD_LABOR_HOURS)*TEMP_HOURLY_RATE-FIXED_SEASON_COST)</f>
        <v>-17320.7209384687</v>
      </c>
      <c r="G14" s="53" t="n">
        <f aca="false">IF(OR($A14&gt;TOMATO_BED_CAP,$B14&gt;CARROT_BED_CAP,G$4&gt;MESCLUN_BED_CAP,$A14+$B14+G$4&gt;TOTAL_BEDS_AVAILABLE,($D14+G$5)&gt;TOTAL_LABOR_HOURS_CAP,MAX(0,($D14+G$5)-PERMANENT_FIELD_LABOR_HOURS)&gt;TEMP_HOURS_CAP),"",$C14+G$6-MIN(($D14+G$5),PERMANENT_FIELD_LABOR_HOURS)*PERMANENT_HOURLY_RATE-MAX(0,($D14+G$5)-PERMANENT_FIELD_LABOR_HOURS)*TEMP_HOURLY_RATE-FIXED_SEASON_COST)</f>
        <v>-17082.6509384687</v>
      </c>
      <c r="H14" s="53" t="n">
        <f aca="false">IF(OR($A14&gt;TOMATO_BED_CAP,$B14&gt;CARROT_BED_CAP,H$4&gt;MESCLUN_BED_CAP,$A14+$B14+H$4&gt;TOTAL_BEDS_AVAILABLE,($D14+H$5)&gt;TOTAL_LABOR_HOURS_CAP,MAX(0,($D14+H$5)-PERMANENT_FIELD_LABOR_HOURS)&gt;TEMP_HOURS_CAP),"",$C14+H$6-MIN(($D14+H$5),PERMANENT_FIELD_LABOR_HOURS)*PERMANENT_HOURLY_RATE-MAX(0,($D14+H$5)-PERMANENT_FIELD_LABOR_HOURS)*TEMP_HOURLY_RATE-FIXED_SEASON_COST)</f>
        <v>-16884.1291884687</v>
      </c>
      <c r="I14" s="53" t="n">
        <f aca="false">IF(OR($A14&gt;TOMATO_BED_CAP,$B14&gt;CARROT_BED_CAP,I$4&gt;MESCLUN_BED_CAP,$A14+$B14+I$4&gt;TOTAL_BEDS_AVAILABLE,($D14+I$5)&gt;TOTAL_LABOR_HOURS_CAP,MAX(0,($D14+I$5)-PERMANENT_FIELD_LABOR_HOURS)&gt;TEMP_HOURS_CAP),"",$C14+I$6-MIN(($D14+I$5),PERMANENT_FIELD_LABOR_HOURS)*PERMANENT_HOURLY_RATE-MAX(0,($D14+I$5)-PERMANENT_FIELD_LABOR_HOURS)*TEMP_HOURLY_RATE-FIXED_SEASON_COST)</f>
        <v>-16725.8972181562</v>
      </c>
      <c r="J14" s="53" t="n">
        <f aca="false">IF(OR($A14&gt;TOMATO_BED_CAP,$B14&gt;CARROT_BED_CAP,J$4&gt;MESCLUN_BED_CAP,$A14+$B14+J$4&gt;TOTAL_BEDS_AVAILABLE,($D14+J$5)&gt;TOTAL_LABOR_HOURS_CAP,MAX(0,($D14+J$5)-PERMANENT_FIELD_LABOR_HOURS)&gt;TEMP_HOURS_CAP),"",$C14+J$6-MIN(($D14+J$5),PERMANENT_FIELD_LABOR_HOURS)*PERMANENT_HOURLY_RATE-MAX(0,($D14+J$5)-PERMANENT_FIELD_LABOR_HOURS)*TEMP_HOURLY_RATE-FIXED_SEASON_COST)</f>
        <v>-16608.7089160468</v>
      </c>
      <c r="K14" s="53" t="n">
        <f aca="false">IF(OR($A14&gt;TOMATO_BED_CAP,$B14&gt;CARROT_BED_CAP,K$4&gt;MESCLUN_BED_CAP,$A14+$B14+K$4&gt;TOTAL_BEDS_AVAILABLE,($D14+K$5)&gt;TOTAL_LABOR_HOURS_CAP,MAX(0,($D14+K$5)-PERMANENT_FIELD_LABOR_HOURS)&gt;TEMP_HOURS_CAP),"",$C14+K$6-MIN(($D14+K$5),PERMANENT_FIELD_LABOR_HOURS)*PERMANENT_HOURLY_RATE-MAX(0,($D14+K$5)-PERMANENT_FIELD_LABOR_HOURS)*TEMP_HOURLY_RATE-FIXED_SEASON_COST)</f>
        <v>-16533.330722591</v>
      </c>
      <c r="L14" s="53" t="n">
        <f aca="false">IF(OR($A14&gt;TOMATO_BED_CAP,$B14&gt;CARROT_BED_CAP,L$4&gt;MESCLUN_BED_CAP,$A14+$B14+L$4&gt;TOTAL_BEDS_AVAILABLE,($D14+L$5)&gt;TOTAL_LABOR_HOURS_CAP,MAX(0,($D14+L$5)-PERMANENT_FIELD_LABOR_HOURS)&gt;TEMP_HOURS_CAP),"",$C14+L$6-MIN(($D14+L$5),PERMANENT_FIELD_LABOR_HOURS)*PERMANENT_HOURLY_RATE-MAX(0,($D14+L$5)-PERMANENT_FIELD_LABOR_HOURS)*TEMP_HOURLY_RATE-FIXED_SEASON_COST)</f>
        <v>-16500.5418261773</v>
      </c>
      <c r="M14" s="53" t="n">
        <f aca="false">IF(OR($A14&gt;TOMATO_BED_CAP,$B14&gt;CARROT_BED_CAP,M$4&gt;MESCLUN_BED_CAP,$A14+$B14+M$4&gt;TOTAL_BEDS_AVAILABLE,($D14+M$5)&gt;TOTAL_LABOR_HOURS_CAP,MAX(0,($D14+M$5)-PERMANENT_FIELD_LABOR_HOURS)&gt;TEMP_HOURS_CAP),"",$C14+M$6-MIN(($D14+M$5),PERMANENT_FIELD_LABOR_HOURS)*PERMANENT_HOURLY_RATE-MAX(0,($D14+M$5)-PERMANENT_FIELD_LABOR_HOURS)*TEMP_HOURLY_RATE-FIXED_SEASON_COST)</f>
        <v>-16511.1343620745</v>
      </c>
      <c r="N14" s="53" t="n">
        <f aca="false">IF(OR($A14&gt;TOMATO_BED_CAP,$B14&gt;CARROT_BED_CAP,N$4&gt;MESCLUN_BED_CAP,$A14+$B14+N$4&gt;TOTAL_BEDS_AVAILABLE,($D14+N$5)&gt;TOTAL_LABOR_HOURS_CAP,MAX(0,($D14+N$5)-PERMANENT_FIELD_LABOR_HOURS)&gt;TEMP_HOURS_CAP),"",$C14+N$6-MIN(($D14+N$5),PERMANENT_FIELD_LABOR_HOURS)*PERMANENT_HOURLY_RATE-MAX(0,($D14+N$5)-PERMANENT_FIELD_LABOR_HOURS)*TEMP_HOURLY_RATE-FIXED_SEASON_COST)</f>
        <v>-16565.9136143554</v>
      </c>
      <c r="O14" s="53" t="n">
        <f aca="false">IF(OR($A14&gt;TOMATO_BED_CAP,$B14&gt;CARROT_BED_CAP,O$4&gt;MESCLUN_BED_CAP,$A14+$B14+O$4&gt;TOTAL_BEDS_AVAILABLE,($D14+O$5)&gt;TOTAL_LABOR_HOURS_CAP,MAX(0,($D14+O$5)-PERMANENT_FIELD_LABOR_HOURS)&gt;TEMP_HOURS_CAP),"",$C14+O$6-MIN(($D14+O$5),PERMANENT_FIELD_LABOR_HOURS)*PERMANENT_HOURLY_RATE-MAX(0,($D14+O$5)-PERMANENT_FIELD_LABOR_HOURS)*TEMP_HOURLY_RATE-FIXED_SEASON_COST)</f>
        <v>-16665.6982208459</v>
      </c>
      <c r="P14" s="53" t="n">
        <f aca="false">IF(OR($A14&gt;TOMATO_BED_CAP,$B14&gt;CARROT_BED_CAP,P$4&gt;MESCLUN_BED_CAP,$A14+$B14+P$4&gt;TOTAL_BEDS_AVAILABLE,($D14+P$5)&gt;TOTAL_LABOR_HOURS_CAP,MAX(0,($D14+P$5)-PERMANENT_FIELD_LABOR_HOURS)&gt;TEMP_HOURS_CAP),"",$C14+P$6-MIN(($D14+P$5),PERMANENT_FIELD_LABOR_HOURS)*PERMANENT_HOURLY_RATE-MAX(0,($D14+P$5)-PERMANENT_FIELD_LABOR_HOURS)*TEMP_HOURLY_RATE-FIXED_SEASON_COST)</f>
        <v>-16811.320381143</v>
      </c>
      <c r="Q14" s="53" t="n">
        <f aca="false">IF(OR($A14&gt;TOMATO_BED_CAP,$B14&gt;CARROT_BED_CAP,Q$4&gt;MESCLUN_BED_CAP,$A14+$B14+Q$4&gt;TOTAL_BEDS_AVAILABLE,($D14+Q$5)&gt;TOTAL_LABOR_HOURS_CAP,MAX(0,($D14+Q$5)-PERMANENT_FIELD_LABOR_HOURS)&gt;TEMP_HOURS_CAP),"",$C14+Q$6-MIN(($D14+Q$5),PERMANENT_FIELD_LABOR_HOURS)*PERMANENT_HOURLY_RATE-MAX(0,($D14+Q$5)-PERMANENT_FIELD_LABOR_HOURS)*TEMP_HOURLY_RATE-FIXED_SEASON_COST)</f>
        <v>-16029.0130338736</v>
      </c>
      <c r="R14" s="53" t="n">
        <f aca="false">IF(OR($A14&gt;TOMATO_BED_CAP,$B14&gt;CARROT_BED_CAP,R$4&gt;MESCLUN_BED_CAP,$A14+$B14+R$4&gt;TOTAL_BEDS_AVAILABLE,($D14+R$5)&gt;TOTAL_LABOR_HOURS_CAP,MAX(0,($D14+R$5)-PERMANENT_FIELD_LABOR_HOURS)&gt;TEMP_HOURS_CAP),"",$C14+R$6-MIN(($D14+R$5),PERMANENT_FIELD_LABOR_HOURS)*PERMANENT_HOURLY_RATE-MAX(0,($D14+R$5)-PERMANENT_FIELD_LABOR_HOURS)*TEMP_HOURLY_RATE-FIXED_SEASON_COST)</f>
        <v>-15238.9376201768</v>
      </c>
      <c r="S14" s="53" t="n">
        <f aca="false">IF(OR($A14&gt;TOMATO_BED_CAP,$B14&gt;CARROT_BED_CAP,S$4&gt;MESCLUN_BED_CAP,$A14+$B14+S$4&gt;TOTAL_BEDS_AVAILABLE,($D14+S$5)&gt;TOTAL_LABOR_HOURS_CAP,MAX(0,($D14+S$5)-PERMANENT_FIELD_LABOR_HOURS)&gt;TEMP_HOURS_CAP),"",$C14+S$6-MIN(($D14+S$5),PERMANENT_FIELD_LABOR_HOURS)*PERMANENT_HOURLY_RATE-MAX(0,($D14+S$5)-PERMANENT_FIELD_LABOR_HOURS)*TEMP_HOURLY_RATE-FIXED_SEASON_COST)</f>
        <v>-14473.0710316744</v>
      </c>
      <c r="T14" s="53" t="n">
        <f aca="false">IF(OR($A14&gt;TOMATO_BED_CAP,$B14&gt;CARROT_BED_CAP,T$4&gt;MESCLUN_BED_CAP,$A14+$B14+T$4&gt;TOTAL_BEDS_AVAILABLE,($D14+T$5)&gt;TOTAL_LABOR_HOURS_CAP,MAX(0,($D14+T$5)-PERMANENT_FIELD_LABOR_HOURS)&gt;TEMP_HOURS_CAP),"",$C14+T$6-MIN(($D14+T$5),PERMANENT_FIELD_LABOR_HOURS)*PERMANENT_HOURLY_RATE-MAX(0,($D14+T$5)-PERMANENT_FIELD_LABOR_HOURS)*TEMP_HOURLY_RATE-FIXED_SEASON_COST)</f>
        <v>-13731.8575632795</v>
      </c>
      <c r="U14" s="53" t="n">
        <f aca="false">IF(OR($A14&gt;TOMATO_BED_CAP,$B14&gt;CARROT_BED_CAP,U$4&gt;MESCLUN_BED_CAP,$A14+$B14+U$4&gt;TOTAL_BEDS_AVAILABLE,($D14+U$5)&gt;TOTAL_LABOR_HOURS_CAP,MAX(0,($D14+U$5)-PERMANENT_FIELD_LABOR_HOURS)&gt;TEMP_HOURS_CAP),"",$C14+U$6-MIN(($D14+U$5),PERMANENT_FIELD_LABOR_HOURS)*PERMANENT_HOURLY_RATE-MAX(0,($D14+U$5)-PERMANENT_FIELD_LABOR_HOURS)*TEMP_HOURLY_RATE-FIXED_SEASON_COST)</f>
        <v>-13015.7488346494</v>
      </c>
      <c r="V14" s="53" t="n">
        <f aca="false">IF(OR($A14&gt;TOMATO_BED_CAP,$B14&gt;CARROT_BED_CAP,V$4&gt;MESCLUN_BED_CAP,$A14+$B14+V$4&gt;TOTAL_BEDS_AVAILABLE,($D14+V$5)&gt;TOTAL_LABOR_HOURS_CAP,MAX(0,($D14+V$5)-PERMANENT_FIELD_LABOR_HOURS)&gt;TEMP_HOURS_CAP),"",$C14+V$6-MIN(($D14+V$5),PERMANENT_FIELD_LABOR_HOURS)*PERMANENT_HOURLY_RATE-MAX(0,($D14+V$5)-PERMANENT_FIELD_LABOR_HOURS)*TEMP_HOURLY_RATE-FIXED_SEASON_COST)</f>
        <v>-12325.2039038826</v>
      </c>
      <c r="W14" s="53" t="n">
        <f aca="false">IF(OR($A14&gt;TOMATO_BED_CAP,$B14&gt;CARROT_BED_CAP,W$4&gt;MESCLUN_BED_CAP,$A14+$B14+W$4&gt;TOTAL_BEDS_AVAILABLE,($D14+W$5)&gt;TOTAL_LABOR_HOURS_CAP,MAX(0,($D14+W$5)-PERMANENT_FIELD_LABOR_HOURS)&gt;TEMP_HOURS_CAP),"",$C14+W$6-MIN(($D14+W$5),PERMANENT_FIELD_LABOR_HOURS)*PERMANENT_HOURLY_RATE-MAX(0,($D14+W$5)-PERMANENT_FIELD_LABOR_HOURS)*TEMP_HOURLY_RATE-FIXED_SEASON_COST)</f>
        <v>-11660.6893829146</v>
      </c>
      <c r="X14" s="53" t="n">
        <f aca="false">IF(OR($A14&gt;TOMATO_BED_CAP,$B14&gt;CARROT_BED_CAP,X$4&gt;MESCLUN_BED_CAP,$A14+$B14+X$4&gt;TOTAL_BEDS_AVAILABLE,($D14+X$5)&gt;TOTAL_LABOR_HOURS_CAP,MAX(0,($D14+X$5)-PERMANENT_FIELD_LABOR_HOURS)&gt;TEMP_HOURS_CAP),"",$C14+X$6-MIN(($D14+X$5),PERMANENT_FIELD_LABOR_HOURS)*PERMANENT_HOURLY_RATE-MAX(0,($D14+X$5)-PERMANENT_FIELD_LABOR_HOURS)*TEMP_HOURLY_RATE-FIXED_SEASON_COST)</f>
        <v>-11022.6795546356</v>
      </c>
      <c r="Y14" s="53" t="n">
        <f aca="false">IF(OR($A14&gt;TOMATO_BED_CAP,$B14&gt;CARROT_BED_CAP,Y$4&gt;MESCLUN_BED_CAP,$A14+$B14+Y$4&gt;TOTAL_BEDS_AVAILABLE,($D14+Y$5)&gt;TOTAL_LABOR_HOURS_CAP,MAX(0,($D14+Y$5)-PERMANENT_FIELD_LABOR_HOURS)&gt;TEMP_HOURS_CAP),"",$C14+Y$6-MIN(($D14+Y$5),PERMANENT_FIELD_LABOR_HOURS)*PERMANENT_HOURLY_RATE-MAX(0,($D14+Y$5)-PERMANENT_FIELD_LABOR_HOURS)*TEMP_HOURLY_RATE-FIXED_SEASON_COST)</f>
        <v>-10411.656491757</v>
      </c>
      <c r="Z14" s="53" t="n">
        <f aca="false">IF(OR($A14&gt;TOMATO_BED_CAP,$B14&gt;CARROT_BED_CAP,Z$4&gt;MESCLUN_BED_CAP,$A14+$B14+Z$4&gt;TOTAL_BEDS_AVAILABLE,($D14+Z$5)&gt;TOTAL_LABOR_HOURS_CAP,MAX(0,($D14+Z$5)-PERMANENT_FIELD_LABOR_HOURS)&gt;TEMP_HOURS_CAP),"",$C14+Z$6-MIN(($D14+Z$5),PERMANENT_FIELD_LABOR_HOURS)*PERMANENT_HOURLY_RATE-MAX(0,($D14+Z$5)-PERMANENT_FIELD_LABOR_HOURS)*TEMP_HOURLY_RATE-FIXED_SEASON_COST)</f>
        <v>-9828.11017744927</v>
      </c>
      <c r="AA14" s="53" t="n">
        <f aca="false">IF(OR($A14&gt;TOMATO_BED_CAP,$B14&gt;CARROT_BED_CAP,AA$4&gt;MESCLUN_BED_CAP,$A14+$B14+AA$4&gt;TOTAL_BEDS_AVAILABLE,($D14+AA$5)&gt;TOTAL_LABOR_HOURS_CAP,MAX(0,($D14+AA$5)-PERMANENT_FIELD_LABOR_HOURS)&gt;TEMP_HOURS_CAP),"",$C14+AA$6-MIN(($D14+AA$5),PERMANENT_FIELD_LABOR_HOURS)*PERMANENT_HOURLY_RATE-MAX(0,($D14+AA$5)-PERMANENT_FIELD_LABOR_HOURS)*TEMP_HOURLY_RATE-FIXED_SEASON_COST)</f>
        <v>-9272.53862778033</v>
      </c>
      <c r="AB14" s="53" t="n">
        <f aca="false">IF(OR($A14&gt;TOMATO_BED_CAP,$B14&gt;CARROT_BED_CAP,AB$4&gt;MESCLUN_BED_CAP,$A14+$B14+AB$4&gt;TOTAL_BEDS_AVAILABLE,($D14+AB$5)&gt;TOTAL_LABOR_HOURS_CAP,MAX(0,($D14+AB$5)-PERMANENT_FIELD_LABOR_HOURS)&gt;TEMP_HOURS_CAP),"",$C14+AB$6-MIN(($D14+AB$5),PERMANENT_FIELD_LABOR_HOURS)*PERMANENT_HOURLY_RATE-MAX(0,($D14+AB$5)-PERMANENT_FIELD_LABOR_HOURS)*TEMP_HOURLY_RATE-FIXED_SEASON_COST)</f>
        <v>-8745.44801597777</v>
      </c>
      <c r="AC14" s="53" t="n">
        <f aca="false">IF(OR($A14&gt;TOMATO_BED_CAP,$B14&gt;CARROT_BED_CAP,AC$4&gt;MESCLUN_BED_CAP,$A14+$B14+AC$4&gt;TOTAL_BEDS_AVAILABLE,($D14+AC$5)&gt;TOTAL_LABOR_HOURS_CAP,MAX(0,($D14+AC$5)-PERMANENT_FIELD_LABOR_HOURS)&gt;TEMP_HOURS_CAP),"",$C14+AC$6-MIN(($D14+AC$5),PERMANENT_FIELD_LABOR_HOURS)*PERMANENT_HOURLY_RATE-MAX(0,($D14+AC$5)-PERMANENT_FIELD_LABOR_HOURS)*TEMP_HOURLY_RATE-FIXED_SEASON_COST)</f>
        <v>-8247.35279854287</v>
      </c>
      <c r="AD14" s="53" t="n">
        <f aca="false">IF(OR($A14&gt;TOMATO_BED_CAP,$B14&gt;CARROT_BED_CAP,AD$4&gt;MESCLUN_BED_CAP,$A14+$B14+AD$4&gt;TOTAL_BEDS_AVAILABLE,($D14+AD$5)&gt;TOTAL_LABOR_HOURS_CAP,MAX(0,($D14+AD$5)-PERMANENT_FIELD_LABOR_HOURS)&gt;TEMP_HOURS_CAP),"",$C14+AD$6-MIN(($D14+AD$5),PERMANENT_FIELD_LABOR_HOURS)*PERMANENT_HOURLY_RATE-MAX(0,($D14+AD$5)-PERMANENT_FIELD_LABOR_HOURS)*TEMP_HOURLY_RATE-FIXED_SEASON_COST)</f>
        <v>-7778.77584324291</v>
      </c>
      <c r="AE14" s="53" t="n">
        <f aca="false">IF(OR($A14&gt;TOMATO_BED_CAP,$B14&gt;CARROT_BED_CAP,AE$4&gt;MESCLUN_BED_CAP,$A14+$B14+AE$4&gt;TOTAL_BEDS_AVAILABLE,($D14+AE$5)&gt;TOTAL_LABOR_HOURS_CAP,MAX(0,($D14+AE$5)-PERMANENT_FIELD_LABOR_HOURS)&gt;TEMP_HOURS_CAP),"",$C14+AE$6-MIN(($D14+AE$5),PERMANENT_FIELD_LABOR_HOURS)*PERMANENT_HOURLY_RATE-MAX(0,($D14+AE$5)-PERMANENT_FIELD_LABOR_HOURS)*TEMP_HOURLY_RATE-FIXED_SEASON_COST)</f>
        <v>-7340.248559009</v>
      </c>
      <c r="AF14" s="53" t="n">
        <f aca="false">IF(OR($A14&gt;TOMATO_BED_CAP,$B14&gt;CARROT_BED_CAP,AF$4&gt;MESCLUN_BED_CAP,$A14+$B14+AF$4&gt;TOTAL_BEDS_AVAILABLE,($D14+AF$5)&gt;TOTAL_LABOR_HOURS_CAP,MAX(0,($D14+AF$5)-PERMANENT_FIELD_LABOR_HOURS)&gt;TEMP_HOURS_CAP),"",$C14+AF$6-MIN(($D14+AF$5),PERMANENT_FIELD_LABOR_HOURS)*PERMANENT_HOURLY_RATE-MAX(0,($D14+AF$5)-PERMANENT_FIELD_LABOR_HOURS)*TEMP_HOURLY_RATE-FIXED_SEASON_COST)</f>
        <v>-6932.31102776705</v>
      </c>
      <c r="AG14" s="53" t="n">
        <f aca="false">IF(OR($A14&gt;TOMATO_BED_CAP,$B14&gt;CARROT_BED_CAP,AG$4&gt;MESCLUN_BED_CAP,$A14+$B14+AG$4&gt;TOTAL_BEDS_AVAILABLE,($D14+AG$5)&gt;TOTAL_LABOR_HOURS_CAP,MAX(0,($D14+AG$5)-PERMANENT_FIELD_LABOR_HOURS)&gt;TEMP_HOURS_CAP),"",$C14+AG$6-MIN(($D14+AG$5),PERMANENT_FIELD_LABOR_HOURS)*PERMANENT_HOURLY_RATE-MAX(0,($D14+AG$5)-PERMANENT_FIELD_LABOR_HOURS)*TEMP_HOURLY_RATE-FIXED_SEASON_COST)</f>
        <v>-6555.51213823004</v>
      </c>
      <c r="AH14" s="53" t="n">
        <f aca="false">IF(OR($A14&gt;TOMATO_BED_CAP,$B14&gt;CARROT_BED_CAP,AH$4&gt;MESCLUN_BED_CAP,$A14+$B14+AH$4&gt;TOTAL_BEDS_AVAILABLE,($D14+AH$5)&gt;TOTAL_LABOR_HOURS_CAP,MAX(0,($D14+AH$5)-PERMANENT_FIELD_LABOR_HOURS)&gt;TEMP_HOURS_CAP),"",$C14+AH$6-MIN(($D14+AH$5),PERMANENT_FIELD_LABOR_HOURS)*PERMANENT_HOURLY_RATE-MAX(0,($D14+AH$5)-PERMANENT_FIELD_LABOR_HOURS)*TEMP_HOURLY_RATE-FIXED_SEASON_COST)</f>
        <v>-6210.40972167982</v>
      </c>
      <c r="AI14" s="53" t="n">
        <f aca="false">IF(OR($A14&gt;TOMATO_BED_CAP,$B14&gt;CARROT_BED_CAP,AI$4&gt;MESCLUN_BED_CAP,$A14+$B14+AI$4&gt;TOTAL_BEDS_AVAILABLE,($D14+AI$5)&gt;TOTAL_LABOR_HOURS_CAP,MAX(0,($D14+AI$5)-PERMANENT_FIELD_LABOR_HOURS)&gt;TEMP_HOURS_CAP),"",$C14+AI$6-MIN(($D14+AI$5),PERMANENT_FIELD_LABOR_HOURS)*PERMANENT_HOURLY_RATE-MAX(0,($D14+AI$5)-PERMANENT_FIELD_LABOR_HOURS)*TEMP_HOURLY_RATE-FIXED_SEASON_COST)</f>
        <v>-5897.57068976756</v>
      </c>
      <c r="AJ14" s="53" t="n">
        <f aca="false">IF(OR($A14&gt;TOMATO_BED_CAP,$B14&gt;CARROT_BED_CAP,AJ$4&gt;MESCLUN_BED_CAP,$A14+$B14+AJ$4&gt;TOTAL_BEDS_AVAILABLE,($D14+AJ$5)&gt;TOTAL_LABOR_HOURS_CAP,MAX(0,($D14+AJ$5)-PERMANENT_FIELD_LABOR_HOURS)&gt;TEMP_HOURS_CAP),"",$C14+AJ$6-MIN(($D14+AJ$5),PERMANENT_FIELD_LABOR_HOURS)*PERMANENT_HOURLY_RATE-MAX(0,($D14+AJ$5)-PERMANENT_FIELD_LABOR_HOURS)*TEMP_HOURLY_RATE-FIXED_SEASON_COST)</f>
        <v>-5617.57117436181</v>
      </c>
      <c r="AL14" s="21" t="s">
        <v>604</v>
      </c>
      <c r="AM14" s="55" t="n">
        <f aca="false">COUNT(ENUM_GRID)</f>
        <v>9727</v>
      </c>
    </row>
    <row r="15" customFormat="false" ht="15" hidden="false" customHeight="false" outlineLevel="0" collapsed="false">
      <c r="A15" s="21" t="n">
        <f aca="false">INT((ROW()-ROW($A$8))/(20+1))</f>
        <v>0</v>
      </c>
      <c r="B15" s="21" t="n">
        <f aca="false">MOD(ROW()-ROW($A$8),20+1)</f>
        <v>7</v>
      </c>
      <c r="C15" s="13" t="n">
        <f aca="false">A15*(TOMATO_REVENUE_PER_BED-TOMATO_FERTILIZER_PER_BED)+B15*(CARROT_REVENUE_PER_BED-CARROT_FERTILIZER_PER_BED)</f>
        <v>11578</v>
      </c>
      <c r="D15" s="14" t="n">
        <f aca="false">INDEX(TOMATO_SCHED_LABOR_HRS,A15+1)+INDEX(CARROT_SCHED_LABOR_HRS,B15+1)</f>
        <v>249.524158667016</v>
      </c>
      <c r="E15" s="13" t="n">
        <f aca="false">IF(COUNT(F15:AJ15)=0,"",MAX(F15:AJ15))</f>
        <v>-4672.95009958687</v>
      </c>
      <c r="F15" s="53" t="n">
        <f aca="false">IF(OR($A15&gt;TOMATO_BED_CAP,$B15&gt;CARROT_BED_CAP,F$4&gt;MESCLUN_BED_CAP,$A15+$B15+F$4&gt;TOTAL_BEDS_AVAILABLE,($D15+F$5)&gt;TOTAL_LABOR_HOURS_CAP,MAX(0,($D15+F$5)-PERMANENT_FIELD_LABOR_HOURS)&gt;TEMP_HOURS_CAP),"",$C15+F$6-MIN(($D15+F$5),PERMANENT_FIELD_LABOR_HOURS)*PERMANENT_HOURLY_RATE-MAX(0,($D15+F$5)-PERMANENT_FIELD_LABOR_HOURS)*TEMP_HOURLY_RATE-FIXED_SEASON_COST)</f>
        <v>-17085.4787889188</v>
      </c>
      <c r="G15" s="53" t="n">
        <f aca="false">IF(OR($A15&gt;TOMATO_BED_CAP,$B15&gt;CARROT_BED_CAP,G$4&gt;MESCLUN_BED_CAP,$A15+$B15+G$4&gt;TOTAL_BEDS_AVAILABLE,($D15+G$5)&gt;TOTAL_LABOR_HOURS_CAP,MAX(0,($D15+G$5)-PERMANENT_FIELD_LABOR_HOURS)&gt;TEMP_HOURS_CAP),"",$C15+G$6-MIN(($D15+G$5),PERMANENT_FIELD_LABOR_HOURS)*PERMANENT_HOURLY_RATE-MAX(0,($D15+G$5)-PERMANENT_FIELD_LABOR_HOURS)*TEMP_HOURLY_RATE-FIXED_SEASON_COST)</f>
        <v>-16847.4087889188</v>
      </c>
      <c r="H15" s="53" t="n">
        <f aca="false">IF(OR($A15&gt;TOMATO_BED_CAP,$B15&gt;CARROT_BED_CAP,H$4&gt;MESCLUN_BED_CAP,$A15+$B15+H$4&gt;TOTAL_BEDS_AVAILABLE,($D15+H$5)&gt;TOTAL_LABOR_HOURS_CAP,MAX(0,($D15+H$5)-PERMANENT_FIELD_LABOR_HOURS)&gt;TEMP_HOURS_CAP),"",$C15+H$6-MIN(($D15+H$5),PERMANENT_FIELD_LABOR_HOURS)*PERMANENT_HOURLY_RATE-MAX(0,($D15+H$5)-PERMANENT_FIELD_LABOR_HOURS)*TEMP_HOURLY_RATE-FIXED_SEASON_COST)</f>
        <v>-16648.8870389188</v>
      </c>
      <c r="I15" s="53" t="n">
        <f aca="false">IF(OR($A15&gt;TOMATO_BED_CAP,$B15&gt;CARROT_BED_CAP,I$4&gt;MESCLUN_BED_CAP,$A15+$B15+I$4&gt;TOTAL_BEDS_AVAILABLE,($D15+I$5)&gt;TOTAL_LABOR_HOURS_CAP,MAX(0,($D15+I$5)-PERMANENT_FIELD_LABOR_HOURS)&gt;TEMP_HOURS_CAP),"",$C15+I$6-MIN(($D15+I$5),PERMANENT_FIELD_LABOR_HOURS)*PERMANENT_HOURLY_RATE-MAX(0,($D15+I$5)-PERMANENT_FIELD_LABOR_HOURS)*TEMP_HOURLY_RATE-FIXED_SEASON_COST)</f>
        <v>-16490.6550686063</v>
      </c>
      <c r="J15" s="53" t="n">
        <f aca="false">IF(OR($A15&gt;TOMATO_BED_CAP,$B15&gt;CARROT_BED_CAP,J$4&gt;MESCLUN_BED_CAP,$A15+$B15+J$4&gt;TOTAL_BEDS_AVAILABLE,($D15+J$5)&gt;TOTAL_LABOR_HOURS_CAP,MAX(0,($D15+J$5)-PERMANENT_FIELD_LABOR_HOURS)&gt;TEMP_HOURS_CAP),"",$C15+J$6-MIN(($D15+J$5),PERMANENT_FIELD_LABOR_HOURS)*PERMANENT_HOURLY_RATE-MAX(0,($D15+J$5)-PERMANENT_FIELD_LABOR_HOURS)*TEMP_HOURLY_RATE-FIXED_SEASON_COST)</f>
        <v>-16373.4667664969</v>
      </c>
      <c r="K15" s="53" t="n">
        <f aca="false">IF(OR($A15&gt;TOMATO_BED_CAP,$B15&gt;CARROT_BED_CAP,K$4&gt;MESCLUN_BED_CAP,$A15+$B15+K$4&gt;TOTAL_BEDS_AVAILABLE,($D15+K$5)&gt;TOTAL_LABOR_HOURS_CAP,MAX(0,($D15+K$5)-PERMANENT_FIELD_LABOR_HOURS)&gt;TEMP_HOURS_CAP),"",$C15+K$6-MIN(($D15+K$5),PERMANENT_FIELD_LABOR_HOURS)*PERMANENT_HOURLY_RATE-MAX(0,($D15+K$5)-PERMANENT_FIELD_LABOR_HOURS)*TEMP_HOURLY_RATE-FIXED_SEASON_COST)</f>
        <v>-16298.0885730411</v>
      </c>
      <c r="L15" s="53" t="n">
        <f aca="false">IF(OR($A15&gt;TOMATO_BED_CAP,$B15&gt;CARROT_BED_CAP,L$4&gt;MESCLUN_BED_CAP,$A15+$B15+L$4&gt;TOTAL_BEDS_AVAILABLE,($D15+L$5)&gt;TOTAL_LABOR_HOURS_CAP,MAX(0,($D15+L$5)-PERMANENT_FIELD_LABOR_HOURS)&gt;TEMP_HOURS_CAP),"",$C15+L$6-MIN(($D15+L$5),PERMANENT_FIELD_LABOR_HOURS)*PERMANENT_HOURLY_RATE-MAX(0,($D15+L$5)-PERMANENT_FIELD_LABOR_HOURS)*TEMP_HOURLY_RATE-FIXED_SEASON_COST)</f>
        <v>-16265.2996766274</v>
      </c>
      <c r="M15" s="53" t="n">
        <f aca="false">IF(OR($A15&gt;TOMATO_BED_CAP,$B15&gt;CARROT_BED_CAP,M$4&gt;MESCLUN_BED_CAP,$A15+$B15+M$4&gt;TOTAL_BEDS_AVAILABLE,($D15+M$5)&gt;TOTAL_LABOR_HOURS_CAP,MAX(0,($D15+M$5)-PERMANENT_FIELD_LABOR_HOURS)&gt;TEMP_HOURS_CAP),"",$C15+M$6-MIN(($D15+M$5),PERMANENT_FIELD_LABOR_HOURS)*PERMANENT_HOURLY_RATE-MAX(0,($D15+M$5)-PERMANENT_FIELD_LABOR_HOURS)*TEMP_HOURLY_RATE-FIXED_SEASON_COST)</f>
        <v>-16275.8922125246</v>
      </c>
      <c r="N15" s="53" t="n">
        <f aca="false">IF(OR($A15&gt;TOMATO_BED_CAP,$B15&gt;CARROT_BED_CAP,N$4&gt;MESCLUN_BED_CAP,$A15+$B15+N$4&gt;TOTAL_BEDS_AVAILABLE,($D15+N$5)&gt;TOTAL_LABOR_HOURS_CAP,MAX(0,($D15+N$5)-PERMANENT_FIELD_LABOR_HOURS)&gt;TEMP_HOURS_CAP),"",$C15+N$6-MIN(($D15+N$5),PERMANENT_FIELD_LABOR_HOURS)*PERMANENT_HOURLY_RATE-MAX(0,($D15+N$5)-PERMANENT_FIELD_LABOR_HOURS)*TEMP_HOURLY_RATE-FIXED_SEASON_COST)</f>
        <v>-16330.6714648055</v>
      </c>
      <c r="O15" s="53" t="n">
        <f aca="false">IF(OR($A15&gt;TOMATO_BED_CAP,$B15&gt;CARROT_BED_CAP,O$4&gt;MESCLUN_BED_CAP,$A15+$B15+O$4&gt;TOTAL_BEDS_AVAILABLE,($D15+O$5)&gt;TOTAL_LABOR_HOURS_CAP,MAX(0,($D15+O$5)-PERMANENT_FIELD_LABOR_HOURS)&gt;TEMP_HOURS_CAP),"",$C15+O$6-MIN(($D15+O$5),PERMANENT_FIELD_LABOR_HOURS)*PERMANENT_HOURLY_RATE-MAX(0,($D15+O$5)-PERMANENT_FIELD_LABOR_HOURS)*TEMP_HOURLY_RATE-FIXED_SEASON_COST)</f>
        <v>-16430.456071296</v>
      </c>
      <c r="P15" s="53" t="n">
        <f aca="false">IF(OR($A15&gt;TOMATO_BED_CAP,$B15&gt;CARROT_BED_CAP,P$4&gt;MESCLUN_BED_CAP,$A15+$B15+P$4&gt;TOTAL_BEDS_AVAILABLE,($D15+P$5)&gt;TOTAL_LABOR_HOURS_CAP,MAX(0,($D15+P$5)-PERMANENT_FIELD_LABOR_HOURS)&gt;TEMP_HOURS_CAP),"",$C15+P$6-MIN(($D15+P$5),PERMANENT_FIELD_LABOR_HOURS)*PERMANENT_HOURLY_RATE-MAX(0,($D15+P$5)-PERMANENT_FIELD_LABOR_HOURS)*TEMP_HOURLY_RATE-FIXED_SEASON_COST)</f>
        <v>-15898.2391157966</v>
      </c>
      <c r="Q15" s="53" t="n">
        <f aca="false">IF(OR($A15&gt;TOMATO_BED_CAP,$B15&gt;CARROT_BED_CAP,Q$4&gt;MESCLUN_BED_CAP,$A15+$B15+Q$4&gt;TOTAL_BEDS_AVAILABLE,($D15+Q$5)&gt;TOTAL_LABOR_HOURS_CAP,MAX(0,($D15+Q$5)-PERMANENT_FIELD_LABOR_HOURS)&gt;TEMP_HOURS_CAP),"",$C15+Q$6-MIN(($D15+Q$5),PERMANENT_FIELD_LABOR_HOURS)*PERMANENT_HOURLY_RATE-MAX(0,($D15+Q$5)-PERMANENT_FIELD_LABOR_HOURS)*TEMP_HOURLY_RATE-FIXED_SEASON_COST)</f>
        <v>-15084.3919590987</v>
      </c>
      <c r="R15" s="53" t="n">
        <f aca="false">IF(OR($A15&gt;TOMATO_BED_CAP,$B15&gt;CARROT_BED_CAP,R$4&gt;MESCLUN_BED_CAP,$A15+$B15+R$4&gt;TOTAL_BEDS_AVAILABLE,($D15+R$5)&gt;TOTAL_LABOR_HOURS_CAP,MAX(0,($D15+R$5)-PERMANENT_FIELD_LABOR_HOURS)&gt;TEMP_HOURS_CAP),"",$C15+R$6-MIN(($D15+R$5),PERMANENT_FIELD_LABOR_HOURS)*PERMANENT_HOURLY_RATE-MAX(0,($D15+R$5)-PERMANENT_FIELD_LABOR_HOURS)*TEMP_HOURLY_RATE-FIXED_SEASON_COST)</f>
        <v>-14294.3165454019</v>
      </c>
      <c r="S15" s="53" t="n">
        <f aca="false">IF(OR($A15&gt;TOMATO_BED_CAP,$B15&gt;CARROT_BED_CAP,S$4&gt;MESCLUN_BED_CAP,$A15+$B15+S$4&gt;TOTAL_BEDS_AVAILABLE,($D15+S$5)&gt;TOTAL_LABOR_HOURS_CAP,MAX(0,($D15+S$5)-PERMANENT_FIELD_LABOR_HOURS)&gt;TEMP_HOURS_CAP),"",$C15+S$6-MIN(($D15+S$5),PERMANENT_FIELD_LABOR_HOURS)*PERMANENT_HOURLY_RATE-MAX(0,($D15+S$5)-PERMANENT_FIELD_LABOR_HOURS)*TEMP_HOURLY_RATE-FIXED_SEASON_COST)</f>
        <v>-13528.4499568994</v>
      </c>
      <c r="T15" s="53" t="n">
        <f aca="false">IF(OR($A15&gt;TOMATO_BED_CAP,$B15&gt;CARROT_BED_CAP,T$4&gt;MESCLUN_BED_CAP,$A15+$B15+T$4&gt;TOTAL_BEDS_AVAILABLE,($D15+T$5)&gt;TOTAL_LABOR_HOURS_CAP,MAX(0,($D15+T$5)-PERMANENT_FIELD_LABOR_HOURS)&gt;TEMP_HOURS_CAP),"",$C15+T$6-MIN(($D15+T$5),PERMANENT_FIELD_LABOR_HOURS)*PERMANENT_HOURLY_RATE-MAX(0,($D15+T$5)-PERMANENT_FIELD_LABOR_HOURS)*TEMP_HOURLY_RATE-FIXED_SEASON_COST)</f>
        <v>-12787.2364885046</v>
      </c>
      <c r="U15" s="53" t="n">
        <f aca="false">IF(OR($A15&gt;TOMATO_BED_CAP,$B15&gt;CARROT_BED_CAP,U$4&gt;MESCLUN_BED_CAP,$A15+$B15+U$4&gt;TOTAL_BEDS_AVAILABLE,($D15+U$5)&gt;TOTAL_LABOR_HOURS_CAP,MAX(0,($D15+U$5)-PERMANENT_FIELD_LABOR_HOURS)&gt;TEMP_HOURS_CAP),"",$C15+U$6-MIN(($D15+U$5),PERMANENT_FIELD_LABOR_HOURS)*PERMANENT_HOURLY_RATE-MAX(0,($D15+U$5)-PERMANENT_FIELD_LABOR_HOURS)*TEMP_HOURLY_RATE-FIXED_SEASON_COST)</f>
        <v>-12071.1277598745</v>
      </c>
      <c r="V15" s="53" t="n">
        <f aca="false">IF(OR($A15&gt;TOMATO_BED_CAP,$B15&gt;CARROT_BED_CAP,V$4&gt;MESCLUN_BED_CAP,$A15+$B15+V$4&gt;TOTAL_BEDS_AVAILABLE,($D15+V$5)&gt;TOTAL_LABOR_HOURS_CAP,MAX(0,($D15+V$5)-PERMANENT_FIELD_LABOR_HOURS)&gt;TEMP_HOURS_CAP),"",$C15+V$6-MIN(($D15+V$5),PERMANENT_FIELD_LABOR_HOURS)*PERMANENT_HOURLY_RATE-MAX(0,($D15+V$5)-PERMANENT_FIELD_LABOR_HOURS)*TEMP_HOURLY_RATE-FIXED_SEASON_COST)</f>
        <v>-11380.5828291077</v>
      </c>
      <c r="W15" s="53" t="n">
        <f aca="false">IF(OR($A15&gt;TOMATO_BED_CAP,$B15&gt;CARROT_BED_CAP,W$4&gt;MESCLUN_BED_CAP,$A15+$B15+W$4&gt;TOTAL_BEDS_AVAILABLE,($D15+W$5)&gt;TOTAL_LABOR_HOURS_CAP,MAX(0,($D15+W$5)-PERMANENT_FIELD_LABOR_HOURS)&gt;TEMP_HOURS_CAP),"",$C15+W$6-MIN(($D15+W$5),PERMANENT_FIELD_LABOR_HOURS)*PERMANENT_HOURLY_RATE-MAX(0,($D15+W$5)-PERMANENT_FIELD_LABOR_HOURS)*TEMP_HOURLY_RATE-FIXED_SEASON_COST)</f>
        <v>-10716.0683081396</v>
      </c>
      <c r="X15" s="53" t="n">
        <f aca="false">IF(OR($A15&gt;TOMATO_BED_CAP,$B15&gt;CARROT_BED_CAP,X$4&gt;MESCLUN_BED_CAP,$A15+$B15+X$4&gt;TOTAL_BEDS_AVAILABLE,($D15+X$5)&gt;TOTAL_LABOR_HOURS_CAP,MAX(0,($D15+X$5)-PERMANENT_FIELD_LABOR_HOURS)&gt;TEMP_HOURS_CAP),"",$C15+X$6-MIN(($D15+X$5),PERMANENT_FIELD_LABOR_HOURS)*PERMANENT_HOURLY_RATE-MAX(0,($D15+X$5)-PERMANENT_FIELD_LABOR_HOURS)*TEMP_HOURLY_RATE-FIXED_SEASON_COST)</f>
        <v>-10078.0584798607</v>
      </c>
      <c r="Y15" s="53" t="n">
        <f aca="false">IF(OR($A15&gt;TOMATO_BED_CAP,$B15&gt;CARROT_BED_CAP,Y$4&gt;MESCLUN_BED_CAP,$A15+$B15+Y$4&gt;TOTAL_BEDS_AVAILABLE,($D15+Y$5)&gt;TOTAL_LABOR_HOURS_CAP,MAX(0,($D15+Y$5)-PERMANENT_FIELD_LABOR_HOURS)&gt;TEMP_HOURS_CAP),"",$C15+Y$6-MIN(($D15+Y$5),PERMANENT_FIELD_LABOR_HOURS)*PERMANENT_HOURLY_RATE-MAX(0,($D15+Y$5)-PERMANENT_FIELD_LABOR_HOURS)*TEMP_HOURLY_RATE-FIXED_SEASON_COST)</f>
        <v>-9467.03541698205</v>
      </c>
      <c r="Z15" s="53" t="n">
        <f aca="false">IF(OR($A15&gt;TOMATO_BED_CAP,$B15&gt;CARROT_BED_CAP,Z$4&gt;MESCLUN_BED_CAP,$A15+$B15+Z$4&gt;TOTAL_BEDS_AVAILABLE,($D15+Z$5)&gt;TOTAL_LABOR_HOURS_CAP,MAX(0,($D15+Z$5)-PERMANENT_FIELD_LABOR_HOURS)&gt;TEMP_HOURS_CAP),"",$C15+Z$6-MIN(($D15+Z$5),PERMANENT_FIELD_LABOR_HOURS)*PERMANENT_HOURLY_RATE-MAX(0,($D15+Z$5)-PERMANENT_FIELD_LABOR_HOURS)*TEMP_HOURLY_RATE-FIXED_SEASON_COST)</f>
        <v>-8883.48910267433</v>
      </c>
      <c r="AA15" s="53" t="n">
        <f aca="false">IF(OR($A15&gt;TOMATO_BED_CAP,$B15&gt;CARROT_BED_CAP,AA$4&gt;MESCLUN_BED_CAP,$A15+$B15+AA$4&gt;TOTAL_BEDS_AVAILABLE,($D15+AA$5)&gt;TOTAL_LABOR_HOURS_CAP,MAX(0,($D15+AA$5)-PERMANENT_FIELD_LABOR_HOURS)&gt;TEMP_HOURS_CAP),"",$C15+AA$6-MIN(($D15+AA$5),PERMANENT_FIELD_LABOR_HOURS)*PERMANENT_HOURLY_RATE-MAX(0,($D15+AA$5)-PERMANENT_FIELD_LABOR_HOURS)*TEMP_HOURLY_RATE-FIXED_SEASON_COST)</f>
        <v>-8327.91755300539</v>
      </c>
      <c r="AB15" s="53" t="n">
        <f aca="false">IF(OR($A15&gt;TOMATO_BED_CAP,$B15&gt;CARROT_BED_CAP,AB$4&gt;MESCLUN_BED_CAP,$A15+$B15+AB$4&gt;TOTAL_BEDS_AVAILABLE,($D15+AB$5)&gt;TOTAL_LABOR_HOURS_CAP,MAX(0,($D15+AB$5)-PERMANENT_FIELD_LABOR_HOURS)&gt;TEMP_HOURS_CAP),"",$C15+AB$6-MIN(($D15+AB$5),PERMANENT_FIELD_LABOR_HOURS)*PERMANENT_HOURLY_RATE-MAX(0,($D15+AB$5)-PERMANENT_FIELD_LABOR_HOURS)*TEMP_HOURLY_RATE-FIXED_SEASON_COST)</f>
        <v>-7800.82694120283</v>
      </c>
      <c r="AC15" s="53" t="n">
        <f aca="false">IF(OR($A15&gt;TOMATO_BED_CAP,$B15&gt;CARROT_BED_CAP,AC$4&gt;MESCLUN_BED_CAP,$A15+$B15+AC$4&gt;TOTAL_BEDS_AVAILABLE,($D15+AC$5)&gt;TOTAL_LABOR_HOURS_CAP,MAX(0,($D15+AC$5)-PERMANENT_FIELD_LABOR_HOURS)&gt;TEMP_HOURS_CAP),"",$C15+AC$6-MIN(($D15+AC$5),PERMANENT_FIELD_LABOR_HOURS)*PERMANENT_HOURLY_RATE-MAX(0,($D15+AC$5)-PERMANENT_FIELD_LABOR_HOURS)*TEMP_HOURLY_RATE-FIXED_SEASON_COST)</f>
        <v>-7302.73172376793</v>
      </c>
      <c r="AD15" s="53" t="n">
        <f aca="false">IF(OR($A15&gt;TOMATO_BED_CAP,$B15&gt;CARROT_BED_CAP,AD$4&gt;MESCLUN_BED_CAP,$A15+$B15+AD$4&gt;TOTAL_BEDS_AVAILABLE,($D15+AD$5)&gt;TOTAL_LABOR_HOURS_CAP,MAX(0,($D15+AD$5)-PERMANENT_FIELD_LABOR_HOURS)&gt;TEMP_HOURS_CAP),"",$C15+AD$6-MIN(($D15+AD$5),PERMANENT_FIELD_LABOR_HOURS)*PERMANENT_HOURLY_RATE-MAX(0,($D15+AD$5)-PERMANENT_FIELD_LABOR_HOURS)*TEMP_HOURLY_RATE-FIXED_SEASON_COST)</f>
        <v>-6834.15476846797</v>
      </c>
      <c r="AE15" s="53" t="n">
        <f aca="false">IF(OR($A15&gt;TOMATO_BED_CAP,$B15&gt;CARROT_BED_CAP,AE$4&gt;MESCLUN_BED_CAP,$A15+$B15+AE$4&gt;TOTAL_BEDS_AVAILABLE,($D15+AE$5)&gt;TOTAL_LABOR_HOURS_CAP,MAX(0,($D15+AE$5)-PERMANENT_FIELD_LABOR_HOURS)&gt;TEMP_HOURS_CAP),"",$C15+AE$6-MIN(($D15+AE$5),PERMANENT_FIELD_LABOR_HOURS)*PERMANENT_HOURLY_RATE-MAX(0,($D15+AE$5)-PERMANENT_FIELD_LABOR_HOURS)*TEMP_HOURLY_RATE-FIXED_SEASON_COST)</f>
        <v>-6395.62748423406</v>
      </c>
      <c r="AF15" s="53" t="n">
        <f aca="false">IF(OR($A15&gt;TOMATO_BED_CAP,$B15&gt;CARROT_BED_CAP,AF$4&gt;MESCLUN_BED_CAP,$A15+$B15+AF$4&gt;TOTAL_BEDS_AVAILABLE,($D15+AF$5)&gt;TOTAL_LABOR_HOURS_CAP,MAX(0,($D15+AF$5)-PERMANENT_FIELD_LABOR_HOURS)&gt;TEMP_HOURS_CAP),"",$C15+AF$6-MIN(($D15+AF$5),PERMANENT_FIELD_LABOR_HOURS)*PERMANENT_HOURLY_RATE-MAX(0,($D15+AF$5)-PERMANENT_FIELD_LABOR_HOURS)*TEMP_HOURLY_RATE-FIXED_SEASON_COST)</f>
        <v>-5987.68995299211</v>
      </c>
      <c r="AG15" s="53" t="n">
        <f aca="false">IF(OR($A15&gt;TOMATO_BED_CAP,$B15&gt;CARROT_BED_CAP,AG$4&gt;MESCLUN_BED_CAP,$A15+$B15+AG$4&gt;TOTAL_BEDS_AVAILABLE,($D15+AG$5)&gt;TOTAL_LABOR_HOURS_CAP,MAX(0,($D15+AG$5)-PERMANENT_FIELD_LABOR_HOURS)&gt;TEMP_HOURS_CAP),"",$C15+AG$6-MIN(($D15+AG$5),PERMANENT_FIELD_LABOR_HOURS)*PERMANENT_HOURLY_RATE-MAX(0,($D15+AG$5)-PERMANENT_FIELD_LABOR_HOURS)*TEMP_HOURLY_RATE-FIXED_SEASON_COST)</f>
        <v>-5610.8910634551</v>
      </c>
      <c r="AH15" s="53" t="n">
        <f aca="false">IF(OR($A15&gt;TOMATO_BED_CAP,$B15&gt;CARROT_BED_CAP,AH$4&gt;MESCLUN_BED_CAP,$A15+$B15+AH$4&gt;TOTAL_BEDS_AVAILABLE,($D15+AH$5)&gt;TOTAL_LABOR_HOURS_CAP,MAX(0,($D15+AH$5)-PERMANENT_FIELD_LABOR_HOURS)&gt;TEMP_HOURS_CAP),"",$C15+AH$6-MIN(($D15+AH$5),PERMANENT_FIELD_LABOR_HOURS)*PERMANENT_HOURLY_RATE-MAX(0,($D15+AH$5)-PERMANENT_FIELD_LABOR_HOURS)*TEMP_HOURLY_RATE-FIXED_SEASON_COST)</f>
        <v>-5265.78864690488</v>
      </c>
      <c r="AI15" s="53" t="n">
        <f aca="false">IF(OR($A15&gt;TOMATO_BED_CAP,$B15&gt;CARROT_BED_CAP,AI$4&gt;MESCLUN_BED_CAP,$A15+$B15+AI$4&gt;TOTAL_BEDS_AVAILABLE,($D15+AI$5)&gt;TOTAL_LABOR_HOURS_CAP,MAX(0,($D15+AI$5)-PERMANENT_FIELD_LABOR_HOURS)&gt;TEMP_HOURS_CAP),"",$C15+AI$6-MIN(($D15+AI$5),PERMANENT_FIELD_LABOR_HOURS)*PERMANENT_HOURLY_RATE-MAX(0,($D15+AI$5)-PERMANENT_FIELD_LABOR_HOURS)*TEMP_HOURLY_RATE-FIXED_SEASON_COST)</f>
        <v>-4952.94961499261</v>
      </c>
      <c r="AJ15" s="53" t="n">
        <f aca="false">IF(OR($A15&gt;TOMATO_BED_CAP,$B15&gt;CARROT_BED_CAP,AJ$4&gt;MESCLUN_BED_CAP,$A15+$B15+AJ$4&gt;TOTAL_BEDS_AVAILABLE,($D15+AJ$5)&gt;TOTAL_LABOR_HOURS_CAP,MAX(0,($D15+AJ$5)-PERMANENT_FIELD_LABOR_HOURS)&gt;TEMP_HOURS_CAP),"",$C15+AJ$6-MIN(($D15+AJ$5),PERMANENT_FIELD_LABOR_HOURS)*PERMANENT_HOURLY_RATE-MAX(0,($D15+AJ$5)-PERMANENT_FIELD_LABOR_HOURS)*TEMP_HOURLY_RATE-FIXED_SEASON_COST)</f>
        <v>-4672.95009958687</v>
      </c>
      <c r="AL15" s="21" t="s">
        <v>605</v>
      </c>
      <c r="AM15" s="55" t="n">
        <f aca="false">ROWS(ENUM_GRID)*COLUMNS(ENUM_GRID)</f>
        <v>13671</v>
      </c>
    </row>
    <row r="16" customFormat="false" ht="15" hidden="false" customHeight="false" outlineLevel="0" collapsed="false">
      <c r="A16" s="21" t="n">
        <f aca="false">INT((ROW()-ROW($A$8))/(20+1))</f>
        <v>0</v>
      </c>
      <c r="B16" s="21" t="n">
        <f aca="false">MOD(ROW()-ROW($A$8),20+1)</f>
        <v>8</v>
      </c>
      <c r="C16" s="13" t="n">
        <f aca="false">A16*(TOMATO_REVENUE_PER_BED-TOMATO_FERTILIZER_PER_BED)+B16*(CARROT_REVENUE_PER_BED-CARROT_FERTILIZER_PER_BED)</f>
        <v>13232</v>
      </c>
      <c r="D16" s="14" t="n">
        <f aca="false">INDEX(TOMATO_SCHED_LABOR_HRS,A16+1)+INDEX(CARROT_SCHED_LABOR_HRS,B16+1)</f>
        <v>292.299728724219</v>
      </c>
      <c r="E16" s="13" t="n">
        <f aca="false">IF(COUNT(F16:AJ16)=0,"",MAX(F16:AJ16))</f>
        <v>-3761.5339957799</v>
      </c>
      <c r="F16" s="53" t="n">
        <f aca="false">IF(OR($A16&gt;TOMATO_BED_CAP,$B16&gt;CARROT_BED_CAP,F$4&gt;MESCLUN_BED_CAP,$A16+$B16+F$4&gt;TOTAL_BEDS_AVAILABLE,($D16+F$5)&gt;TOTAL_LABOR_HOURS_CAP,MAX(0,($D16+F$5)-PERMANENT_FIELD_LABOR_HOURS)&gt;TEMP_HOURS_CAP),"",$C16+F$6-MIN(($D16+F$5),PERMANENT_FIELD_LABOR_HOURS)*PERMANENT_HOURLY_RATE-MAX(0,($D16+F$5)-PERMANENT_FIELD_LABOR_HOURS)*TEMP_HOURLY_RATE-FIXED_SEASON_COST)</f>
        <v>-16916.6465813049</v>
      </c>
      <c r="G16" s="53" t="n">
        <f aca="false">IF(OR($A16&gt;TOMATO_BED_CAP,$B16&gt;CARROT_BED_CAP,G$4&gt;MESCLUN_BED_CAP,$A16+$B16+G$4&gt;TOTAL_BEDS_AVAILABLE,($D16+G$5)&gt;TOTAL_LABOR_HOURS_CAP,MAX(0,($D16+G$5)-PERMANENT_FIELD_LABOR_HOURS)&gt;TEMP_HOURS_CAP),"",$C16+G$6-MIN(($D16+G$5),PERMANENT_FIELD_LABOR_HOURS)*PERMANENT_HOURLY_RATE-MAX(0,($D16+G$5)-PERMANENT_FIELD_LABOR_HOURS)*TEMP_HOURLY_RATE-FIXED_SEASON_COST)</f>
        <v>-16678.5765813049</v>
      </c>
      <c r="H16" s="53" t="n">
        <f aca="false">IF(OR($A16&gt;TOMATO_BED_CAP,$B16&gt;CARROT_BED_CAP,H$4&gt;MESCLUN_BED_CAP,$A16+$B16+H$4&gt;TOTAL_BEDS_AVAILABLE,($D16+H$5)&gt;TOTAL_LABOR_HOURS_CAP,MAX(0,($D16+H$5)-PERMANENT_FIELD_LABOR_HOURS)&gt;TEMP_HOURS_CAP),"",$C16+H$6-MIN(($D16+H$5),PERMANENT_FIELD_LABOR_HOURS)*PERMANENT_HOURLY_RATE-MAX(0,($D16+H$5)-PERMANENT_FIELD_LABOR_HOURS)*TEMP_HOURLY_RATE-FIXED_SEASON_COST)</f>
        <v>-16480.0548313049</v>
      </c>
      <c r="I16" s="53" t="n">
        <f aca="false">IF(OR($A16&gt;TOMATO_BED_CAP,$B16&gt;CARROT_BED_CAP,I$4&gt;MESCLUN_BED_CAP,$A16+$B16+I$4&gt;TOTAL_BEDS_AVAILABLE,($D16+I$5)&gt;TOTAL_LABOR_HOURS_CAP,MAX(0,($D16+I$5)-PERMANENT_FIELD_LABOR_HOURS)&gt;TEMP_HOURS_CAP),"",$C16+I$6-MIN(($D16+I$5),PERMANENT_FIELD_LABOR_HOURS)*PERMANENT_HOURLY_RATE-MAX(0,($D16+I$5)-PERMANENT_FIELD_LABOR_HOURS)*TEMP_HOURLY_RATE-FIXED_SEASON_COST)</f>
        <v>-16321.8228609924</v>
      </c>
      <c r="J16" s="53" t="n">
        <f aca="false">IF(OR($A16&gt;TOMATO_BED_CAP,$B16&gt;CARROT_BED_CAP,J$4&gt;MESCLUN_BED_CAP,$A16+$B16+J$4&gt;TOTAL_BEDS_AVAILABLE,($D16+J$5)&gt;TOTAL_LABOR_HOURS_CAP,MAX(0,($D16+J$5)-PERMANENT_FIELD_LABOR_HOURS)&gt;TEMP_HOURS_CAP),"",$C16+J$6-MIN(($D16+J$5),PERMANENT_FIELD_LABOR_HOURS)*PERMANENT_HOURLY_RATE-MAX(0,($D16+J$5)-PERMANENT_FIELD_LABOR_HOURS)*TEMP_HOURLY_RATE-FIXED_SEASON_COST)</f>
        <v>-16204.634558883</v>
      </c>
      <c r="K16" s="53" t="n">
        <f aca="false">IF(OR($A16&gt;TOMATO_BED_CAP,$B16&gt;CARROT_BED_CAP,K$4&gt;MESCLUN_BED_CAP,$A16+$B16+K$4&gt;TOTAL_BEDS_AVAILABLE,($D16+K$5)&gt;TOTAL_LABOR_HOURS_CAP,MAX(0,($D16+K$5)-PERMANENT_FIELD_LABOR_HOURS)&gt;TEMP_HOURS_CAP),"",$C16+K$6-MIN(($D16+K$5),PERMANENT_FIELD_LABOR_HOURS)*PERMANENT_HOURLY_RATE-MAX(0,($D16+K$5)-PERMANENT_FIELD_LABOR_HOURS)*TEMP_HOURLY_RATE-FIXED_SEASON_COST)</f>
        <v>-16129.2563654272</v>
      </c>
      <c r="L16" s="53" t="n">
        <f aca="false">IF(OR($A16&gt;TOMATO_BED_CAP,$B16&gt;CARROT_BED_CAP,L$4&gt;MESCLUN_BED_CAP,$A16+$B16+L$4&gt;TOTAL_BEDS_AVAILABLE,($D16+L$5)&gt;TOTAL_LABOR_HOURS_CAP,MAX(0,($D16+L$5)-PERMANENT_FIELD_LABOR_HOURS)&gt;TEMP_HOURS_CAP),"",$C16+L$6-MIN(($D16+L$5),PERMANENT_FIELD_LABOR_HOURS)*PERMANENT_HOURLY_RATE-MAX(0,($D16+L$5)-PERMANENT_FIELD_LABOR_HOURS)*TEMP_HOURLY_RATE-FIXED_SEASON_COST)</f>
        <v>-16096.4674690135</v>
      </c>
      <c r="M16" s="53" t="n">
        <f aca="false">IF(OR($A16&gt;TOMATO_BED_CAP,$B16&gt;CARROT_BED_CAP,M$4&gt;MESCLUN_BED_CAP,$A16+$B16+M$4&gt;TOTAL_BEDS_AVAILABLE,($D16+M$5)&gt;TOTAL_LABOR_HOURS_CAP,MAX(0,($D16+M$5)-PERMANENT_FIELD_LABOR_HOURS)&gt;TEMP_HOURS_CAP),"",$C16+M$6-MIN(($D16+M$5),PERMANENT_FIELD_LABOR_HOURS)*PERMANENT_HOURLY_RATE-MAX(0,($D16+M$5)-PERMANENT_FIELD_LABOR_HOURS)*TEMP_HOURLY_RATE-FIXED_SEASON_COST)</f>
        <v>-16107.0600049107</v>
      </c>
      <c r="N16" s="53" t="n">
        <f aca="false">IF(OR($A16&gt;TOMATO_BED_CAP,$B16&gt;CARROT_BED_CAP,N$4&gt;MESCLUN_BED_CAP,$A16+$B16+N$4&gt;TOTAL_BEDS_AVAILABLE,($D16+N$5)&gt;TOTAL_LABOR_HOURS_CAP,MAX(0,($D16+N$5)-PERMANENT_FIELD_LABOR_HOURS)&gt;TEMP_HOURS_CAP),"",$C16+N$6-MIN(($D16+N$5),PERMANENT_FIELD_LABOR_HOURS)*PERMANENT_HOURLY_RATE-MAX(0,($D16+N$5)-PERMANENT_FIELD_LABOR_HOURS)*TEMP_HOURLY_RATE-FIXED_SEASON_COST)</f>
        <v>-16161.8392571916</v>
      </c>
      <c r="O16" s="53" t="n">
        <f aca="false">IF(OR($A16&gt;TOMATO_BED_CAP,$B16&gt;CARROT_BED_CAP,O$4&gt;MESCLUN_BED_CAP,$A16+$B16+O$4&gt;TOTAL_BEDS_AVAILABLE,($D16+O$5)&gt;TOTAL_LABOR_HOURS_CAP,MAX(0,($D16+O$5)-PERMANENT_FIELD_LABOR_HOURS)&gt;TEMP_HOURS_CAP),"",$C16+O$6-MIN(($D16+O$5),PERMANENT_FIELD_LABOR_HOURS)*PERMANENT_HOURLY_RATE-MAX(0,($D16+O$5)-PERMANENT_FIELD_LABOR_HOURS)*TEMP_HOURLY_RATE-FIXED_SEASON_COST)</f>
        <v>-15824.011931841</v>
      </c>
      <c r="P16" s="53" t="n">
        <f aca="false">IF(OR($A16&gt;TOMATO_BED_CAP,$B16&gt;CARROT_BED_CAP,P$4&gt;MESCLUN_BED_CAP,$A16+$B16+P$4&gt;TOTAL_BEDS_AVAILABLE,($D16+P$5)&gt;TOTAL_LABOR_HOURS_CAP,MAX(0,($D16+P$5)-PERMANENT_FIELD_LABOR_HOURS)&gt;TEMP_HOURS_CAP),"",$C16+P$6-MIN(($D16+P$5),PERMANENT_FIELD_LABOR_HOURS)*PERMANENT_HOURLY_RATE-MAX(0,($D16+P$5)-PERMANENT_FIELD_LABOR_HOURS)*TEMP_HOURLY_RATE-FIXED_SEASON_COST)</f>
        <v>-14986.8230119896</v>
      </c>
      <c r="Q16" s="53" t="n">
        <f aca="false">IF(OR($A16&gt;TOMATO_BED_CAP,$B16&gt;CARROT_BED_CAP,Q$4&gt;MESCLUN_BED_CAP,$A16+$B16+Q$4&gt;TOTAL_BEDS_AVAILABLE,($D16+Q$5)&gt;TOTAL_LABOR_HOURS_CAP,MAX(0,($D16+Q$5)-PERMANENT_FIELD_LABOR_HOURS)&gt;TEMP_HOURS_CAP),"",$C16+Q$6-MIN(($D16+Q$5),PERMANENT_FIELD_LABOR_HOURS)*PERMANENT_HOURLY_RATE-MAX(0,($D16+Q$5)-PERMANENT_FIELD_LABOR_HOURS)*TEMP_HOURLY_RATE-FIXED_SEASON_COST)</f>
        <v>-14172.9758552917</v>
      </c>
      <c r="R16" s="53" t="n">
        <f aca="false">IF(OR($A16&gt;TOMATO_BED_CAP,$B16&gt;CARROT_BED_CAP,R$4&gt;MESCLUN_BED_CAP,$A16+$B16+R$4&gt;TOTAL_BEDS_AVAILABLE,($D16+R$5)&gt;TOTAL_LABOR_HOURS_CAP,MAX(0,($D16+R$5)-PERMANENT_FIELD_LABOR_HOURS)&gt;TEMP_HOURS_CAP),"",$C16+R$6-MIN(($D16+R$5),PERMANENT_FIELD_LABOR_HOURS)*PERMANENT_HOURLY_RATE-MAX(0,($D16+R$5)-PERMANENT_FIELD_LABOR_HOURS)*TEMP_HOURLY_RATE-FIXED_SEASON_COST)</f>
        <v>-13382.9004415949</v>
      </c>
      <c r="S16" s="53" t="n">
        <f aca="false">IF(OR($A16&gt;TOMATO_BED_CAP,$B16&gt;CARROT_BED_CAP,S$4&gt;MESCLUN_BED_CAP,$A16+$B16+S$4&gt;TOTAL_BEDS_AVAILABLE,($D16+S$5)&gt;TOTAL_LABOR_HOURS_CAP,MAX(0,($D16+S$5)-PERMANENT_FIELD_LABOR_HOURS)&gt;TEMP_HOURS_CAP),"",$C16+S$6-MIN(($D16+S$5),PERMANENT_FIELD_LABOR_HOURS)*PERMANENT_HOURLY_RATE-MAX(0,($D16+S$5)-PERMANENT_FIELD_LABOR_HOURS)*TEMP_HOURLY_RATE-FIXED_SEASON_COST)</f>
        <v>-12617.0338530925</v>
      </c>
      <c r="T16" s="53" t="n">
        <f aca="false">IF(OR($A16&gt;TOMATO_BED_CAP,$B16&gt;CARROT_BED_CAP,T$4&gt;MESCLUN_BED_CAP,$A16+$B16+T$4&gt;TOTAL_BEDS_AVAILABLE,($D16+T$5)&gt;TOTAL_LABOR_HOURS_CAP,MAX(0,($D16+T$5)-PERMANENT_FIELD_LABOR_HOURS)&gt;TEMP_HOURS_CAP),"",$C16+T$6-MIN(($D16+T$5),PERMANENT_FIELD_LABOR_HOURS)*PERMANENT_HOURLY_RATE-MAX(0,($D16+T$5)-PERMANENT_FIELD_LABOR_HOURS)*TEMP_HOURLY_RATE-FIXED_SEASON_COST)</f>
        <v>-11875.8203846976</v>
      </c>
      <c r="U16" s="53" t="n">
        <f aca="false">IF(OR($A16&gt;TOMATO_BED_CAP,$B16&gt;CARROT_BED_CAP,U$4&gt;MESCLUN_BED_CAP,$A16+$B16+U$4&gt;TOTAL_BEDS_AVAILABLE,($D16+U$5)&gt;TOTAL_LABOR_HOURS_CAP,MAX(0,($D16+U$5)-PERMANENT_FIELD_LABOR_HOURS)&gt;TEMP_HOURS_CAP),"",$C16+U$6-MIN(($D16+U$5),PERMANENT_FIELD_LABOR_HOURS)*PERMANENT_HOURLY_RATE-MAX(0,($D16+U$5)-PERMANENT_FIELD_LABOR_HOURS)*TEMP_HOURLY_RATE-FIXED_SEASON_COST)</f>
        <v>-11159.7116560675</v>
      </c>
      <c r="V16" s="53" t="n">
        <f aca="false">IF(OR($A16&gt;TOMATO_BED_CAP,$B16&gt;CARROT_BED_CAP,V$4&gt;MESCLUN_BED_CAP,$A16+$B16+V$4&gt;TOTAL_BEDS_AVAILABLE,($D16+V$5)&gt;TOTAL_LABOR_HOURS_CAP,MAX(0,($D16+V$5)-PERMANENT_FIELD_LABOR_HOURS)&gt;TEMP_HOURS_CAP),"",$C16+V$6-MIN(($D16+V$5),PERMANENT_FIELD_LABOR_HOURS)*PERMANENT_HOURLY_RATE-MAX(0,($D16+V$5)-PERMANENT_FIELD_LABOR_HOURS)*TEMP_HOURLY_RATE-FIXED_SEASON_COST)</f>
        <v>-10469.1667253007</v>
      </c>
      <c r="W16" s="53" t="n">
        <f aca="false">IF(OR($A16&gt;TOMATO_BED_CAP,$B16&gt;CARROT_BED_CAP,W$4&gt;MESCLUN_BED_CAP,$A16+$B16+W$4&gt;TOTAL_BEDS_AVAILABLE,($D16+W$5)&gt;TOTAL_LABOR_HOURS_CAP,MAX(0,($D16+W$5)-PERMANENT_FIELD_LABOR_HOURS)&gt;TEMP_HOURS_CAP),"",$C16+W$6-MIN(($D16+W$5),PERMANENT_FIELD_LABOR_HOURS)*PERMANENT_HOURLY_RATE-MAX(0,($D16+W$5)-PERMANENT_FIELD_LABOR_HOURS)*TEMP_HOURLY_RATE-FIXED_SEASON_COST)</f>
        <v>-9804.65220433267</v>
      </c>
      <c r="X16" s="53" t="n">
        <f aca="false">IF(OR($A16&gt;TOMATO_BED_CAP,$B16&gt;CARROT_BED_CAP,X$4&gt;MESCLUN_BED_CAP,$A16+$B16+X$4&gt;TOTAL_BEDS_AVAILABLE,($D16+X$5)&gt;TOTAL_LABOR_HOURS_CAP,MAX(0,($D16+X$5)-PERMANENT_FIELD_LABOR_HOURS)&gt;TEMP_HOURS_CAP),"",$C16+X$6-MIN(($D16+X$5),PERMANENT_FIELD_LABOR_HOURS)*PERMANENT_HOURLY_RATE-MAX(0,($D16+X$5)-PERMANENT_FIELD_LABOR_HOURS)*TEMP_HOURLY_RATE-FIXED_SEASON_COST)</f>
        <v>-9166.64237605375</v>
      </c>
      <c r="Y16" s="53" t="n">
        <f aca="false">IF(OR($A16&gt;TOMATO_BED_CAP,$B16&gt;CARROT_BED_CAP,Y$4&gt;MESCLUN_BED_CAP,$A16+$B16+Y$4&gt;TOTAL_BEDS_AVAILABLE,($D16+Y$5)&gt;TOTAL_LABOR_HOURS_CAP,MAX(0,($D16+Y$5)-PERMANENT_FIELD_LABOR_HOURS)&gt;TEMP_HOURS_CAP),"",$C16+Y$6-MIN(($D16+Y$5),PERMANENT_FIELD_LABOR_HOURS)*PERMANENT_HOURLY_RATE-MAX(0,($D16+Y$5)-PERMANENT_FIELD_LABOR_HOURS)*TEMP_HOURLY_RATE-FIXED_SEASON_COST)</f>
        <v>-8555.61931317509</v>
      </c>
      <c r="Z16" s="53" t="n">
        <f aca="false">IF(OR($A16&gt;TOMATO_BED_CAP,$B16&gt;CARROT_BED_CAP,Z$4&gt;MESCLUN_BED_CAP,$A16+$B16+Z$4&gt;TOTAL_BEDS_AVAILABLE,($D16+Z$5)&gt;TOTAL_LABOR_HOURS_CAP,MAX(0,($D16+Z$5)-PERMANENT_FIELD_LABOR_HOURS)&gt;TEMP_HOURS_CAP),"",$C16+Z$6-MIN(($D16+Z$5),PERMANENT_FIELD_LABOR_HOURS)*PERMANENT_HOURLY_RATE-MAX(0,($D16+Z$5)-PERMANENT_FIELD_LABOR_HOURS)*TEMP_HOURLY_RATE-FIXED_SEASON_COST)</f>
        <v>-7972.07299886737</v>
      </c>
      <c r="AA16" s="53" t="n">
        <f aca="false">IF(OR($A16&gt;TOMATO_BED_CAP,$B16&gt;CARROT_BED_CAP,AA$4&gt;MESCLUN_BED_CAP,$A16+$B16+AA$4&gt;TOTAL_BEDS_AVAILABLE,($D16+AA$5)&gt;TOTAL_LABOR_HOURS_CAP,MAX(0,($D16+AA$5)-PERMANENT_FIELD_LABOR_HOURS)&gt;TEMP_HOURS_CAP),"",$C16+AA$6-MIN(($D16+AA$5),PERMANENT_FIELD_LABOR_HOURS)*PERMANENT_HOURLY_RATE-MAX(0,($D16+AA$5)-PERMANENT_FIELD_LABOR_HOURS)*TEMP_HOURLY_RATE-FIXED_SEASON_COST)</f>
        <v>-7416.50144919843</v>
      </c>
      <c r="AB16" s="53" t="n">
        <f aca="false">IF(OR($A16&gt;TOMATO_BED_CAP,$B16&gt;CARROT_BED_CAP,AB$4&gt;MESCLUN_BED_CAP,$A16+$B16+AB$4&gt;TOTAL_BEDS_AVAILABLE,($D16+AB$5)&gt;TOTAL_LABOR_HOURS_CAP,MAX(0,($D16+AB$5)-PERMANENT_FIELD_LABOR_HOURS)&gt;TEMP_HOURS_CAP),"",$C16+AB$6-MIN(($D16+AB$5),PERMANENT_FIELD_LABOR_HOURS)*PERMANENT_HOURLY_RATE-MAX(0,($D16+AB$5)-PERMANENT_FIELD_LABOR_HOURS)*TEMP_HOURLY_RATE-FIXED_SEASON_COST)</f>
        <v>-6889.41083739587</v>
      </c>
      <c r="AC16" s="53" t="n">
        <f aca="false">IF(OR($A16&gt;TOMATO_BED_CAP,$B16&gt;CARROT_BED_CAP,AC$4&gt;MESCLUN_BED_CAP,$A16+$B16+AC$4&gt;TOTAL_BEDS_AVAILABLE,($D16+AC$5)&gt;TOTAL_LABOR_HOURS_CAP,MAX(0,($D16+AC$5)-PERMANENT_FIELD_LABOR_HOURS)&gt;TEMP_HOURS_CAP),"",$C16+AC$6-MIN(($D16+AC$5),PERMANENT_FIELD_LABOR_HOURS)*PERMANENT_HOURLY_RATE-MAX(0,($D16+AC$5)-PERMANENT_FIELD_LABOR_HOURS)*TEMP_HOURLY_RATE-FIXED_SEASON_COST)</f>
        <v>-6391.31561996096</v>
      </c>
      <c r="AD16" s="53" t="n">
        <f aca="false">IF(OR($A16&gt;TOMATO_BED_CAP,$B16&gt;CARROT_BED_CAP,AD$4&gt;MESCLUN_BED_CAP,$A16+$B16+AD$4&gt;TOTAL_BEDS_AVAILABLE,($D16+AD$5)&gt;TOTAL_LABOR_HOURS_CAP,MAX(0,($D16+AD$5)-PERMANENT_FIELD_LABOR_HOURS)&gt;TEMP_HOURS_CAP),"",$C16+AD$6-MIN(($D16+AD$5),PERMANENT_FIELD_LABOR_HOURS)*PERMANENT_HOURLY_RATE-MAX(0,($D16+AD$5)-PERMANENT_FIELD_LABOR_HOURS)*TEMP_HOURLY_RATE-FIXED_SEASON_COST)</f>
        <v>-5922.73866466101</v>
      </c>
      <c r="AE16" s="53" t="n">
        <f aca="false">IF(OR($A16&gt;TOMATO_BED_CAP,$B16&gt;CARROT_BED_CAP,AE$4&gt;MESCLUN_BED_CAP,$A16+$B16+AE$4&gt;TOTAL_BEDS_AVAILABLE,($D16+AE$5)&gt;TOTAL_LABOR_HOURS_CAP,MAX(0,($D16+AE$5)-PERMANENT_FIELD_LABOR_HOURS)&gt;TEMP_HOURS_CAP),"",$C16+AE$6-MIN(($D16+AE$5),PERMANENT_FIELD_LABOR_HOURS)*PERMANENT_HOURLY_RATE-MAX(0,($D16+AE$5)-PERMANENT_FIELD_LABOR_HOURS)*TEMP_HOURLY_RATE-FIXED_SEASON_COST)</f>
        <v>-5484.2113804271</v>
      </c>
      <c r="AF16" s="53" t="n">
        <f aca="false">IF(OR($A16&gt;TOMATO_BED_CAP,$B16&gt;CARROT_BED_CAP,AF$4&gt;MESCLUN_BED_CAP,$A16+$B16+AF$4&gt;TOTAL_BEDS_AVAILABLE,($D16+AF$5)&gt;TOTAL_LABOR_HOURS_CAP,MAX(0,($D16+AF$5)-PERMANENT_FIELD_LABOR_HOURS)&gt;TEMP_HOURS_CAP),"",$C16+AF$6-MIN(($D16+AF$5),PERMANENT_FIELD_LABOR_HOURS)*PERMANENT_HOURLY_RATE-MAX(0,($D16+AF$5)-PERMANENT_FIELD_LABOR_HOURS)*TEMP_HOURLY_RATE-FIXED_SEASON_COST)</f>
        <v>-5076.27384918515</v>
      </c>
      <c r="AG16" s="53" t="n">
        <f aca="false">IF(OR($A16&gt;TOMATO_BED_CAP,$B16&gt;CARROT_BED_CAP,AG$4&gt;MESCLUN_BED_CAP,$A16+$B16+AG$4&gt;TOTAL_BEDS_AVAILABLE,($D16+AG$5)&gt;TOTAL_LABOR_HOURS_CAP,MAX(0,($D16+AG$5)-PERMANENT_FIELD_LABOR_HOURS)&gt;TEMP_HOURS_CAP),"",$C16+AG$6-MIN(($D16+AG$5),PERMANENT_FIELD_LABOR_HOURS)*PERMANENT_HOURLY_RATE-MAX(0,($D16+AG$5)-PERMANENT_FIELD_LABOR_HOURS)*TEMP_HOURLY_RATE-FIXED_SEASON_COST)</f>
        <v>-4699.47495964813</v>
      </c>
      <c r="AH16" s="53" t="n">
        <f aca="false">IF(OR($A16&gt;TOMATO_BED_CAP,$B16&gt;CARROT_BED_CAP,AH$4&gt;MESCLUN_BED_CAP,$A16+$B16+AH$4&gt;TOTAL_BEDS_AVAILABLE,($D16+AH$5)&gt;TOTAL_LABOR_HOURS_CAP,MAX(0,($D16+AH$5)-PERMANENT_FIELD_LABOR_HOURS)&gt;TEMP_HOURS_CAP),"",$C16+AH$6-MIN(($D16+AH$5),PERMANENT_FIELD_LABOR_HOURS)*PERMANENT_HOURLY_RATE-MAX(0,($D16+AH$5)-PERMANENT_FIELD_LABOR_HOURS)*TEMP_HOURLY_RATE-FIXED_SEASON_COST)</f>
        <v>-4354.37254309791</v>
      </c>
      <c r="AI16" s="53" t="n">
        <f aca="false">IF(OR($A16&gt;TOMATO_BED_CAP,$B16&gt;CARROT_BED_CAP,AI$4&gt;MESCLUN_BED_CAP,$A16+$B16+AI$4&gt;TOTAL_BEDS_AVAILABLE,($D16+AI$5)&gt;TOTAL_LABOR_HOURS_CAP,MAX(0,($D16+AI$5)-PERMANENT_FIELD_LABOR_HOURS)&gt;TEMP_HOURS_CAP),"",$C16+AI$6-MIN(($D16+AI$5),PERMANENT_FIELD_LABOR_HOURS)*PERMANENT_HOURLY_RATE-MAX(0,($D16+AI$5)-PERMANENT_FIELD_LABOR_HOURS)*TEMP_HOURLY_RATE-FIXED_SEASON_COST)</f>
        <v>-4041.53351118566</v>
      </c>
      <c r="AJ16" s="53" t="n">
        <f aca="false">IF(OR($A16&gt;TOMATO_BED_CAP,$B16&gt;CARROT_BED_CAP,AJ$4&gt;MESCLUN_BED_CAP,$A16+$B16+AJ$4&gt;TOTAL_BEDS_AVAILABLE,($D16+AJ$5)&gt;TOTAL_LABOR_HOURS_CAP,MAX(0,($D16+AJ$5)-PERMANENT_FIELD_LABOR_HOURS)&gt;TEMP_HOURS_CAP),"",$C16+AJ$6-MIN(($D16+AJ$5),PERMANENT_FIELD_LABOR_HOURS)*PERMANENT_HOURLY_RATE-MAX(0,($D16+AJ$5)-PERMANENT_FIELD_LABOR_HOURS)*TEMP_HOURLY_RATE-FIXED_SEASON_COST)</f>
        <v>-3761.5339957799</v>
      </c>
    </row>
    <row r="17" customFormat="false" ht="15" hidden="false" customHeight="false" outlineLevel="0" collapsed="false">
      <c r="A17" s="21" t="n">
        <f aca="false">INT((ROW()-ROW($A$8))/(20+1))</f>
        <v>0</v>
      </c>
      <c r="B17" s="21" t="n">
        <f aca="false">MOD(ROW()-ROW($A$8),20+1)</f>
        <v>9</v>
      </c>
      <c r="C17" s="13" t="n">
        <f aca="false">A17*(TOMATO_REVENUE_PER_BED-TOMATO_FERTILIZER_PER_BED)+B17*(CARROT_REVENUE_PER_BED-CARROT_FERTILIZER_PER_BED)</f>
        <v>14886</v>
      </c>
      <c r="D17" s="14" t="n">
        <f aca="false">INDEX(TOMATO_SCHED_LABOR_HRS,A17+1)+INDEX(CARROT_SCHED_LABOR_HRS,B17+1)</f>
        <v>337.058124685115</v>
      </c>
      <c r="E17" s="13" t="n">
        <f aca="false">IF(COUNT(F17:AJ17)=0,"",MAX(F17:AJ17))</f>
        <v>-2884.53974966106</v>
      </c>
      <c r="F17" s="53" t="n">
        <f aca="false">IF(OR($A17&gt;TOMATO_BED_CAP,$B17&gt;CARROT_BED_CAP,F$4&gt;MESCLUN_BED_CAP,$A17+$B17+F$4&gt;TOTAL_BEDS_AVAILABLE,($D17+F$5)&gt;TOTAL_LABOR_HOURS_CAP,MAX(0,($D17+F$5)-PERMANENT_FIELD_LABOR_HOURS)&gt;TEMP_HOURS_CAP),"",$C17+F$6-MIN(($D17+F$5),PERMANENT_FIELD_LABOR_HOURS)*PERMANENT_HOURLY_RATE-MAX(0,($D17+F$5)-PERMANENT_FIELD_LABOR_HOURS)*TEMP_HOURLY_RATE-FIXED_SEASON_COST)</f>
        <v>-16816.6580890672</v>
      </c>
      <c r="G17" s="53" t="n">
        <f aca="false">IF(OR($A17&gt;TOMATO_BED_CAP,$B17&gt;CARROT_BED_CAP,G$4&gt;MESCLUN_BED_CAP,$A17+$B17+G$4&gt;TOTAL_BEDS_AVAILABLE,($D17+G$5)&gt;TOTAL_LABOR_HOURS_CAP,MAX(0,($D17+G$5)-PERMANENT_FIELD_LABOR_HOURS)&gt;TEMP_HOURS_CAP),"",$C17+G$6-MIN(($D17+G$5),PERMANENT_FIELD_LABOR_HOURS)*PERMANENT_HOURLY_RATE-MAX(0,($D17+G$5)-PERMANENT_FIELD_LABOR_HOURS)*TEMP_HOURLY_RATE-FIXED_SEASON_COST)</f>
        <v>-16578.5880890672</v>
      </c>
      <c r="H17" s="53" t="n">
        <f aca="false">IF(OR($A17&gt;TOMATO_BED_CAP,$B17&gt;CARROT_BED_CAP,H$4&gt;MESCLUN_BED_CAP,$A17+$B17+H$4&gt;TOTAL_BEDS_AVAILABLE,($D17+H$5)&gt;TOTAL_LABOR_HOURS_CAP,MAX(0,($D17+H$5)-PERMANENT_FIELD_LABOR_HOURS)&gt;TEMP_HOURS_CAP),"",$C17+H$6-MIN(($D17+H$5),PERMANENT_FIELD_LABOR_HOURS)*PERMANENT_HOURLY_RATE-MAX(0,($D17+H$5)-PERMANENT_FIELD_LABOR_HOURS)*TEMP_HOURLY_RATE-FIXED_SEASON_COST)</f>
        <v>-16380.0663390672</v>
      </c>
      <c r="I17" s="53" t="n">
        <f aca="false">IF(OR($A17&gt;TOMATO_BED_CAP,$B17&gt;CARROT_BED_CAP,I$4&gt;MESCLUN_BED_CAP,$A17+$B17+I$4&gt;TOTAL_BEDS_AVAILABLE,($D17+I$5)&gt;TOTAL_LABOR_HOURS_CAP,MAX(0,($D17+I$5)-PERMANENT_FIELD_LABOR_HOURS)&gt;TEMP_HOURS_CAP),"",$C17+I$6-MIN(($D17+I$5),PERMANENT_FIELD_LABOR_HOURS)*PERMANENT_HOURLY_RATE-MAX(0,($D17+I$5)-PERMANENT_FIELD_LABOR_HOURS)*TEMP_HOURLY_RATE-FIXED_SEASON_COST)</f>
        <v>-16221.8343687547</v>
      </c>
      <c r="J17" s="53" t="n">
        <f aca="false">IF(OR($A17&gt;TOMATO_BED_CAP,$B17&gt;CARROT_BED_CAP,J$4&gt;MESCLUN_BED_CAP,$A17+$B17+J$4&gt;TOTAL_BEDS_AVAILABLE,($D17+J$5)&gt;TOTAL_LABOR_HOURS_CAP,MAX(0,($D17+J$5)-PERMANENT_FIELD_LABOR_HOURS)&gt;TEMP_HOURS_CAP),"",$C17+J$6-MIN(($D17+J$5),PERMANENT_FIELD_LABOR_HOURS)*PERMANENT_HOURLY_RATE-MAX(0,($D17+J$5)-PERMANENT_FIELD_LABOR_HOURS)*TEMP_HOURLY_RATE-FIXED_SEASON_COST)</f>
        <v>-16104.6460666453</v>
      </c>
      <c r="K17" s="53" t="n">
        <f aca="false">IF(OR($A17&gt;TOMATO_BED_CAP,$B17&gt;CARROT_BED_CAP,K$4&gt;MESCLUN_BED_CAP,$A17+$B17+K$4&gt;TOTAL_BEDS_AVAILABLE,($D17+K$5)&gt;TOTAL_LABOR_HOURS_CAP,MAX(0,($D17+K$5)-PERMANENT_FIELD_LABOR_HOURS)&gt;TEMP_HOURS_CAP),"",$C17+K$6-MIN(($D17+K$5),PERMANENT_FIELD_LABOR_HOURS)*PERMANENT_HOURLY_RATE-MAX(0,($D17+K$5)-PERMANENT_FIELD_LABOR_HOURS)*TEMP_HOURLY_RATE-FIXED_SEASON_COST)</f>
        <v>-16029.2678731895</v>
      </c>
      <c r="L17" s="53" t="n">
        <f aca="false">IF(OR($A17&gt;TOMATO_BED_CAP,$B17&gt;CARROT_BED_CAP,L$4&gt;MESCLUN_BED_CAP,$A17+$B17+L$4&gt;TOTAL_BEDS_AVAILABLE,($D17+L$5)&gt;TOTAL_LABOR_HOURS_CAP,MAX(0,($D17+L$5)-PERMANENT_FIELD_LABOR_HOURS)&gt;TEMP_HOURS_CAP),"",$C17+L$6-MIN(($D17+L$5),PERMANENT_FIELD_LABOR_HOURS)*PERMANENT_HOURLY_RATE-MAX(0,($D17+L$5)-PERMANENT_FIELD_LABOR_HOURS)*TEMP_HOURLY_RATE-FIXED_SEASON_COST)</f>
        <v>-15996.4789767758</v>
      </c>
      <c r="M17" s="53" t="n">
        <f aca="false">IF(OR($A17&gt;TOMATO_BED_CAP,$B17&gt;CARROT_BED_CAP,M$4&gt;MESCLUN_BED_CAP,$A17+$B17+M$4&gt;TOTAL_BEDS_AVAILABLE,($D17+M$5)&gt;TOTAL_LABOR_HOURS_CAP,MAX(0,($D17+M$5)-PERMANENT_FIELD_LABOR_HOURS)&gt;TEMP_HOURS_CAP),"",$C17+M$6-MIN(($D17+M$5),PERMANENT_FIELD_LABOR_HOURS)*PERMANENT_HOURLY_RATE-MAX(0,($D17+M$5)-PERMANENT_FIELD_LABOR_HOURS)*TEMP_HOURLY_RATE-FIXED_SEASON_COST)</f>
        <v>-16007.071512673</v>
      </c>
      <c r="N17" s="53" t="n">
        <f aca="false">IF(OR($A17&gt;TOMATO_BED_CAP,$B17&gt;CARROT_BED_CAP,N$4&gt;MESCLUN_BED_CAP,$A17+$B17+N$4&gt;TOTAL_BEDS_AVAILABLE,($D17+N$5)&gt;TOTAL_LABOR_HOURS_CAP,MAX(0,($D17+N$5)-PERMANENT_FIELD_LABOR_HOURS)&gt;TEMP_HOURS_CAP),"",$C17+N$6-MIN(($D17+N$5),PERMANENT_FIELD_LABOR_HOURS)*PERMANENT_HOURLY_RATE-MAX(0,($D17+N$5)-PERMANENT_FIELD_LABOR_HOURS)*TEMP_HOURLY_RATE-FIXED_SEASON_COST)</f>
        <v>-15807.125382477</v>
      </c>
      <c r="O17" s="53" t="n">
        <f aca="false">IF(OR($A17&gt;TOMATO_BED_CAP,$B17&gt;CARROT_BED_CAP,O$4&gt;MESCLUN_BED_CAP,$A17+$B17+O$4&gt;TOTAL_BEDS_AVAILABLE,($D17+O$5)&gt;TOTAL_LABOR_HOURS_CAP,MAX(0,($D17+O$5)-PERMANENT_FIELD_LABOR_HOURS)&gt;TEMP_HOURS_CAP),"",$C17+O$6-MIN(($D17+O$5),PERMANENT_FIELD_LABOR_HOURS)*PERMANENT_HOURLY_RATE-MAX(0,($D17+O$5)-PERMANENT_FIELD_LABOR_HOURS)*TEMP_HOURLY_RATE-FIXED_SEASON_COST)</f>
        <v>-14947.0176857222</v>
      </c>
      <c r="P17" s="53" t="n">
        <f aca="false">IF(OR($A17&gt;TOMATO_BED_CAP,$B17&gt;CARROT_BED_CAP,P$4&gt;MESCLUN_BED_CAP,$A17+$B17+P$4&gt;TOTAL_BEDS_AVAILABLE,($D17+P$5)&gt;TOTAL_LABOR_HOURS_CAP,MAX(0,($D17+P$5)-PERMANENT_FIELD_LABOR_HOURS)&gt;TEMP_HOURS_CAP),"",$C17+P$6-MIN(($D17+P$5),PERMANENT_FIELD_LABOR_HOURS)*PERMANENT_HOURLY_RATE-MAX(0,($D17+P$5)-PERMANENT_FIELD_LABOR_HOURS)*TEMP_HOURLY_RATE-FIXED_SEASON_COST)</f>
        <v>-14109.8287658708</v>
      </c>
      <c r="Q17" s="53" t="n">
        <f aca="false">IF(OR($A17&gt;TOMATO_BED_CAP,$B17&gt;CARROT_BED_CAP,Q$4&gt;MESCLUN_BED_CAP,$A17+$B17+Q$4&gt;TOTAL_BEDS_AVAILABLE,($D17+Q$5)&gt;TOTAL_LABOR_HOURS_CAP,MAX(0,($D17+Q$5)-PERMANENT_FIELD_LABOR_HOURS)&gt;TEMP_HOURS_CAP),"",$C17+Q$6-MIN(($D17+Q$5),PERMANENT_FIELD_LABOR_HOURS)*PERMANENT_HOURLY_RATE-MAX(0,($D17+Q$5)-PERMANENT_FIELD_LABOR_HOURS)*TEMP_HOURLY_RATE-FIXED_SEASON_COST)</f>
        <v>-13295.9816091729</v>
      </c>
      <c r="R17" s="53" t="n">
        <f aca="false">IF(OR($A17&gt;TOMATO_BED_CAP,$B17&gt;CARROT_BED_CAP,R$4&gt;MESCLUN_BED_CAP,$A17+$B17+R$4&gt;TOTAL_BEDS_AVAILABLE,($D17+R$5)&gt;TOTAL_LABOR_HOURS_CAP,MAX(0,($D17+R$5)-PERMANENT_FIELD_LABOR_HOURS)&gt;TEMP_HOURS_CAP),"",$C17+R$6-MIN(($D17+R$5),PERMANENT_FIELD_LABOR_HOURS)*PERMANENT_HOURLY_RATE-MAX(0,($D17+R$5)-PERMANENT_FIELD_LABOR_HOURS)*TEMP_HOURLY_RATE-FIXED_SEASON_COST)</f>
        <v>-12505.9061954761</v>
      </c>
      <c r="S17" s="53" t="n">
        <f aca="false">IF(OR($A17&gt;TOMATO_BED_CAP,$B17&gt;CARROT_BED_CAP,S$4&gt;MESCLUN_BED_CAP,$A17+$B17+S$4&gt;TOTAL_BEDS_AVAILABLE,($D17+S$5)&gt;TOTAL_LABOR_HOURS_CAP,MAX(0,($D17+S$5)-PERMANENT_FIELD_LABOR_HOURS)&gt;TEMP_HOURS_CAP),"",$C17+S$6-MIN(($D17+S$5),PERMANENT_FIELD_LABOR_HOURS)*PERMANENT_HOURLY_RATE-MAX(0,($D17+S$5)-PERMANENT_FIELD_LABOR_HOURS)*TEMP_HOURLY_RATE-FIXED_SEASON_COST)</f>
        <v>-11740.0396069736</v>
      </c>
      <c r="T17" s="53" t="n">
        <f aca="false">IF(OR($A17&gt;TOMATO_BED_CAP,$B17&gt;CARROT_BED_CAP,T$4&gt;MESCLUN_BED_CAP,$A17+$B17+T$4&gt;TOTAL_BEDS_AVAILABLE,($D17+T$5)&gt;TOTAL_LABOR_HOURS_CAP,MAX(0,($D17+T$5)-PERMANENT_FIELD_LABOR_HOURS)&gt;TEMP_HOURS_CAP),"",$C17+T$6-MIN(($D17+T$5),PERMANENT_FIELD_LABOR_HOURS)*PERMANENT_HOURLY_RATE-MAX(0,($D17+T$5)-PERMANENT_FIELD_LABOR_HOURS)*TEMP_HOURLY_RATE-FIXED_SEASON_COST)</f>
        <v>-10998.8261385788</v>
      </c>
      <c r="U17" s="53" t="n">
        <f aca="false">IF(OR($A17&gt;TOMATO_BED_CAP,$B17&gt;CARROT_BED_CAP,U$4&gt;MESCLUN_BED_CAP,$A17+$B17+U$4&gt;TOTAL_BEDS_AVAILABLE,($D17+U$5)&gt;TOTAL_LABOR_HOURS_CAP,MAX(0,($D17+U$5)-PERMANENT_FIELD_LABOR_HOURS)&gt;TEMP_HOURS_CAP),"",$C17+U$6-MIN(($D17+U$5),PERMANENT_FIELD_LABOR_HOURS)*PERMANENT_HOURLY_RATE-MAX(0,($D17+U$5)-PERMANENT_FIELD_LABOR_HOURS)*TEMP_HOURLY_RATE-FIXED_SEASON_COST)</f>
        <v>-10282.7174099487</v>
      </c>
      <c r="V17" s="53" t="n">
        <f aca="false">IF(OR($A17&gt;TOMATO_BED_CAP,$B17&gt;CARROT_BED_CAP,V$4&gt;MESCLUN_BED_CAP,$A17+$B17+V$4&gt;TOTAL_BEDS_AVAILABLE,($D17+V$5)&gt;TOTAL_LABOR_HOURS_CAP,MAX(0,($D17+V$5)-PERMANENT_FIELD_LABOR_HOURS)&gt;TEMP_HOURS_CAP),"",$C17+V$6-MIN(($D17+V$5),PERMANENT_FIELD_LABOR_HOURS)*PERMANENT_HOURLY_RATE-MAX(0,($D17+V$5)-PERMANENT_FIELD_LABOR_HOURS)*TEMP_HOURLY_RATE-FIXED_SEASON_COST)</f>
        <v>-9592.17247918189</v>
      </c>
      <c r="W17" s="53" t="n">
        <f aca="false">IF(OR($A17&gt;TOMATO_BED_CAP,$B17&gt;CARROT_BED_CAP,W$4&gt;MESCLUN_BED_CAP,$A17+$B17+W$4&gt;TOTAL_BEDS_AVAILABLE,($D17+W$5)&gt;TOTAL_LABOR_HOURS_CAP,MAX(0,($D17+W$5)-PERMANENT_FIELD_LABOR_HOURS)&gt;TEMP_HOURS_CAP),"",$C17+W$6-MIN(($D17+W$5),PERMANENT_FIELD_LABOR_HOURS)*PERMANENT_HOURLY_RATE-MAX(0,($D17+W$5)-PERMANENT_FIELD_LABOR_HOURS)*TEMP_HOURLY_RATE-FIXED_SEASON_COST)</f>
        <v>-8927.65795821383</v>
      </c>
      <c r="X17" s="53" t="n">
        <f aca="false">IF(OR($A17&gt;TOMATO_BED_CAP,$B17&gt;CARROT_BED_CAP,X$4&gt;MESCLUN_BED_CAP,$A17+$B17+X$4&gt;TOTAL_BEDS_AVAILABLE,($D17+X$5)&gt;TOTAL_LABOR_HOURS_CAP,MAX(0,($D17+X$5)-PERMANENT_FIELD_LABOR_HOURS)&gt;TEMP_HOURS_CAP),"",$C17+X$6-MIN(($D17+X$5),PERMANENT_FIELD_LABOR_HOURS)*PERMANENT_HOURLY_RATE-MAX(0,($D17+X$5)-PERMANENT_FIELD_LABOR_HOURS)*TEMP_HOURLY_RATE-FIXED_SEASON_COST)</f>
        <v>-8289.6481299349</v>
      </c>
      <c r="Y17" s="53" t="n">
        <f aca="false">IF(OR($A17&gt;TOMATO_BED_CAP,$B17&gt;CARROT_BED_CAP,Y$4&gt;MESCLUN_BED_CAP,$A17+$B17+Y$4&gt;TOTAL_BEDS_AVAILABLE,($D17+Y$5)&gt;TOTAL_LABOR_HOURS_CAP,MAX(0,($D17+Y$5)-PERMANENT_FIELD_LABOR_HOURS)&gt;TEMP_HOURS_CAP),"",$C17+Y$6-MIN(($D17+Y$5),PERMANENT_FIELD_LABOR_HOURS)*PERMANENT_HOURLY_RATE-MAX(0,($D17+Y$5)-PERMANENT_FIELD_LABOR_HOURS)*TEMP_HOURLY_RATE-FIXED_SEASON_COST)</f>
        <v>-7678.62506705624</v>
      </c>
      <c r="Z17" s="53" t="n">
        <f aca="false">IF(OR($A17&gt;TOMATO_BED_CAP,$B17&gt;CARROT_BED_CAP,Z$4&gt;MESCLUN_BED_CAP,$A17+$B17+Z$4&gt;TOTAL_BEDS_AVAILABLE,($D17+Z$5)&gt;TOTAL_LABOR_HOURS_CAP,MAX(0,($D17+Z$5)-PERMANENT_FIELD_LABOR_HOURS)&gt;TEMP_HOURS_CAP),"",$C17+Z$6-MIN(($D17+Z$5),PERMANENT_FIELD_LABOR_HOURS)*PERMANENT_HOURLY_RATE-MAX(0,($D17+Z$5)-PERMANENT_FIELD_LABOR_HOURS)*TEMP_HOURLY_RATE-FIXED_SEASON_COST)</f>
        <v>-7095.07875274852</v>
      </c>
      <c r="AA17" s="53" t="n">
        <f aca="false">IF(OR($A17&gt;TOMATO_BED_CAP,$B17&gt;CARROT_BED_CAP,AA$4&gt;MESCLUN_BED_CAP,$A17+$B17+AA$4&gt;TOTAL_BEDS_AVAILABLE,($D17+AA$5)&gt;TOTAL_LABOR_HOURS_CAP,MAX(0,($D17+AA$5)-PERMANENT_FIELD_LABOR_HOURS)&gt;TEMP_HOURS_CAP),"",$C17+AA$6-MIN(($D17+AA$5),PERMANENT_FIELD_LABOR_HOURS)*PERMANENT_HOURLY_RATE-MAX(0,($D17+AA$5)-PERMANENT_FIELD_LABOR_HOURS)*TEMP_HOURLY_RATE-FIXED_SEASON_COST)</f>
        <v>-6539.50720307959</v>
      </c>
      <c r="AB17" s="53" t="n">
        <f aca="false">IF(OR($A17&gt;TOMATO_BED_CAP,$B17&gt;CARROT_BED_CAP,AB$4&gt;MESCLUN_BED_CAP,$A17+$B17+AB$4&gt;TOTAL_BEDS_AVAILABLE,($D17+AB$5)&gt;TOTAL_LABOR_HOURS_CAP,MAX(0,($D17+AB$5)-PERMANENT_FIELD_LABOR_HOURS)&gt;TEMP_HOURS_CAP),"",$C17+AB$6-MIN(($D17+AB$5),PERMANENT_FIELD_LABOR_HOURS)*PERMANENT_HOURLY_RATE-MAX(0,($D17+AB$5)-PERMANENT_FIELD_LABOR_HOURS)*TEMP_HOURLY_RATE-FIXED_SEASON_COST)</f>
        <v>-6012.41659127702</v>
      </c>
      <c r="AC17" s="53" t="n">
        <f aca="false">IF(OR($A17&gt;TOMATO_BED_CAP,$B17&gt;CARROT_BED_CAP,AC$4&gt;MESCLUN_BED_CAP,$A17+$B17+AC$4&gt;TOTAL_BEDS_AVAILABLE,($D17+AC$5)&gt;TOTAL_LABOR_HOURS_CAP,MAX(0,($D17+AC$5)-PERMANENT_FIELD_LABOR_HOURS)&gt;TEMP_HOURS_CAP),"",$C17+AC$6-MIN(($D17+AC$5),PERMANENT_FIELD_LABOR_HOURS)*PERMANENT_HOURLY_RATE-MAX(0,($D17+AC$5)-PERMANENT_FIELD_LABOR_HOURS)*TEMP_HOURLY_RATE-FIXED_SEASON_COST)</f>
        <v>-5514.32137384212</v>
      </c>
      <c r="AD17" s="53" t="n">
        <f aca="false">IF(OR($A17&gt;TOMATO_BED_CAP,$B17&gt;CARROT_BED_CAP,AD$4&gt;MESCLUN_BED_CAP,$A17+$B17+AD$4&gt;TOTAL_BEDS_AVAILABLE,($D17+AD$5)&gt;TOTAL_LABOR_HOURS_CAP,MAX(0,($D17+AD$5)-PERMANENT_FIELD_LABOR_HOURS)&gt;TEMP_HOURS_CAP),"",$C17+AD$6-MIN(($D17+AD$5),PERMANENT_FIELD_LABOR_HOURS)*PERMANENT_HOURLY_RATE-MAX(0,($D17+AD$5)-PERMANENT_FIELD_LABOR_HOURS)*TEMP_HOURLY_RATE-FIXED_SEASON_COST)</f>
        <v>-5045.74441854216</v>
      </c>
      <c r="AE17" s="53" t="n">
        <f aca="false">IF(OR($A17&gt;TOMATO_BED_CAP,$B17&gt;CARROT_BED_CAP,AE$4&gt;MESCLUN_BED_CAP,$A17+$B17+AE$4&gt;TOTAL_BEDS_AVAILABLE,($D17+AE$5)&gt;TOTAL_LABOR_HOURS_CAP,MAX(0,($D17+AE$5)-PERMANENT_FIELD_LABOR_HOURS)&gt;TEMP_HOURS_CAP),"",$C17+AE$6-MIN(($D17+AE$5),PERMANENT_FIELD_LABOR_HOURS)*PERMANENT_HOURLY_RATE-MAX(0,($D17+AE$5)-PERMANENT_FIELD_LABOR_HOURS)*TEMP_HOURLY_RATE-FIXED_SEASON_COST)</f>
        <v>-4607.21713430825</v>
      </c>
      <c r="AF17" s="53" t="n">
        <f aca="false">IF(OR($A17&gt;TOMATO_BED_CAP,$B17&gt;CARROT_BED_CAP,AF$4&gt;MESCLUN_BED_CAP,$A17+$B17+AF$4&gt;TOTAL_BEDS_AVAILABLE,($D17+AF$5)&gt;TOTAL_LABOR_HOURS_CAP,MAX(0,($D17+AF$5)-PERMANENT_FIELD_LABOR_HOURS)&gt;TEMP_HOURS_CAP),"",$C17+AF$6-MIN(($D17+AF$5),PERMANENT_FIELD_LABOR_HOURS)*PERMANENT_HOURLY_RATE-MAX(0,($D17+AF$5)-PERMANENT_FIELD_LABOR_HOURS)*TEMP_HOURLY_RATE-FIXED_SEASON_COST)</f>
        <v>-4199.27960306631</v>
      </c>
      <c r="AG17" s="53" t="n">
        <f aca="false">IF(OR($A17&gt;TOMATO_BED_CAP,$B17&gt;CARROT_BED_CAP,AG$4&gt;MESCLUN_BED_CAP,$A17+$B17+AG$4&gt;TOTAL_BEDS_AVAILABLE,($D17+AG$5)&gt;TOTAL_LABOR_HOURS_CAP,MAX(0,($D17+AG$5)-PERMANENT_FIELD_LABOR_HOURS)&gt;TEMP_HOURS_CAP),"",$C17+AG$6-MIN(($D17+AG$5),PERMANENT_FIELD_LABOR_HOURS)*PERMANENT_HOURLY_RATE-MAX(0,($D17+AG$5)-PERMANENT_FIELD_LABOR_HOURS)*TEMP_HOURLY_RATE-FIXED_SEASON_COST)</f>
        <v>-3822.48071352929</v>
      </c>
      <c r="AH17" s="53" t="n">
        <f aca="false">IF(OR($A17&gt;TOMATO_BED_CAP,$B17&gt;CARROT_BED_CAP,AH$4&gt;MESCLUN_BED_CAP,$A17+$B17+AH$4&gt;TOTAL_BEDS_AVAILABLE,($D17+AH$5)&gt;TOTAL_LABOR_HOURS_CAP,MAX(0,($D17+AH$5)-PERMANENT_FIELD_LABOR_HOURS)&gt;TEMP_HOURS_CAP),"",$C17+AH$6-MIN(($D17+AH$5),PERMANENT_FIELD_LABOR_HOURS)*PERMANENT_HOURLY_RATE-MAX(0,($D17+AH$5)-PERMANENT_FIELD_LABOR_HOURS)*TEMP_HOURLY_RATE-FIXED_SEASON_COST)</f>
        <v>-3477.37829697907</v>
      </c>
      <c r="AI17" s="53" t="n">
        <f aca="false">IF(OR($A17&gt;TOMATO_BED_CAP,$B17&gt;CARROT_BED_CAP,AI$4&gt;MESCLUN_BED_CAP,$A17+$B17+AI$4&gt;TOTAL_BEDS_AVAILABLE,($D17+AI$5)&gt;TOTAL_LABOR_HOURS_CAP,MAX(0,($D17+AI$5)-PERMANENT_FIELD_LABOR_HOURS)&gt;TEMP_HOURS_CAP),"",$C17+AI$6-MIN(($D17+AI$5),PERMANENT_FIELD_LABOR_HOURS)*PERMANENT_HOURLY_RATE-MAX(0,($D17+AI$5)-PERMANENT_FIELD_LABOR_HOURS)*TEMP_HOURLY_RATE-FIXED_SEASON_COST)</f>
        <v>-3164.53926506681</v>
      </c>
      <c r="AJ17" s="53" t="n">
        <f aca="false">IF(OR($A17&gt;TOMATO_BED_CAP,$B17&gt;CARROT_BED_CAP,AJ$4&gt;MESCLUN_BED_CAP,$A17+$B17+AJ$4&gt;TOTAL_BEDS_AVAILABLE,($D17+AJ$5)&gt;TOTAL_LABOR_HOURS_CAP,MAX(0,($D17+AJ$5)-PERMANENT_FIELD_LABOR_HOURS)&gt;TEMP_HOURS_CAP),"",$C17+AJ$6-MIN(($D17+AJ$5),PERMANENT_FIELD_LABOR_HOURS)*PERMANENT_HOURLY_RATE-MAX(0,($D17+AJ$5)-PERMANENT_FIELD_LABOR_HOURS)*TEMP_HOURLY_RATE-FIXED_SEASON_COST)</f>
        <v>-2884.53974966106</v>
      </c>
    </row>
    <row r="18" customFormat="false" ht="15" hidden="false" customHeight="false" outlineLevel="0" collapsed="false">
      <c r="A18" s="21" t="n">
        <f aca="false">INT((ROW()-ROW($A$8))/(20+1))</f>
        <v>0</v>
      </c>
      <c r="B18" s="21" t="n">
        <f aca="false">MOD(ROW()-ROW($A$8),20+1)</f>
        <v>10</v>
      </c>
      <c r="C18" s="13" t="n">
        <f aca="false">A18*(TOMATO_REVENUE_PER_BED-TOMATO_FERTILIZER_PER_BED)+B18*(CARROT_REVENUE_PER_BED-CARROT_FERTILIZER_PER_BED)</f>
        <v>16540</v>
      </c>
      <c r="D18" s="14" t="n">
        <f aca="false">INDEX(TOMATO_SCHED_LABOR_HRS,A18+1)+INDEX(CARROT_SCHED_LABOR_HRS,B18+1)</f>
        <v>383.871753113603</v>
      </c>
      <c r="E18" s="13" t="n">
        <f aca="false">IF(COUNT(F18:AJ18)=0,"",MAX(F18:AJ18))</f>
        <v>-2043.22433917961</v>
      </c>
      <c r="F18" s="53" t="n">
        <f aca="false">IF(OR($A18&gt;TOMATO_BED_CAP,$B18&gt;CARROT_BED_CAP,F$4&gt;MESCLUN_BED_CAP,$A18+$B18+F$4&gt;TOTAL_BEDS_AVAILABLE,($D18+F$5)&gt;TOTAL_LABOR_HOURS_CAP,MAX(0,($D18+F$5)-PERMANENT_FIELD_LABOR_HOURS)&gt;TEMP_HOURS_CAP),"",$C18+F$6-MIN(($D18+F$5),PERMANENT_FIELD_LABOR_HOURS)*PERMANENT_HOURLY_RATE-MAX(0,($D18+F$5)-PERMANENT_FIELD_LABOR_HOURS)*TEMP_HOURLY_RATE-FIXED_SEASON_COST)</f>
        <v>-16788.0272681043</v>
      </c>
      <c r="G18" s="53" t="n">
        <f aca="false">IF(OR($A18&gt;TOMATO_BED_CAP,$B18&gt;CARROT_BED_CAP,G$4&gt;MESCLUN_BED_CAP,$A18+$B18+G$4&gt;TOTAL_BEDS_AVAILABLE,($D18+G$5)&gt;TOTAL_LABOR_HOURS_CAP,MAX(0,($D18+G$5)-PERMANENT_FIELD_LABOR_HOURS)&gt;TEMP_HOURS_CAP),"",$C18+G$6-MIN(($D18+G$5),PERMANENT_FIELD_LABOR_HOURS)*PERMANENT_HOURLY_RATE-MAX(0,($D18+G$5)-PERMANENT_FIELD_LABOR_HOURS)*TEMP_HOURLY_RATE-FIXED_SEASON_COST)</f>
        <v>-16549.9572681043</v>
      </c>
      <c r="H18" s="53" t="n">
        <f aca="false">IF(OR($A18&gt;TOMATO_BED_CAP,$B18&gt;CARROT_BED_CAP,H$4&gt;MESCLUN_BED_CAP,$A18+$B18+H$4&gt;TOTAL_BEDS_AVAILABLE,($D18+H$5)&gt;TOTAL_LABOR_HOURS_CAP,MAX(0,($D18+H$5)-PERMANENT_FIELD_LABOR_HOURS)&gt;TEMP_HOURS_CAP),"",$C18+H$6-MIN(($D18+H$5),PERMANENT_FIELD_LABOR_HOURS)*PERMANENT_HOURLY_RATE-MAX(0,($D18+H$5)-PERMANENT_FIELD_LABOR_HOURS)*TEMP_HOURLY_RATE-FIXED_SEASON_COST)</f>
        <v>-16351.4355181043</v>
      </c>
      <c r="I18" s="53" t="n">
        <f aca="false">IF(OR($A18&gt;TOMATO_BED_CAP,$B18&gt;CARROT_BED_CAP,I$4&gt;MESCLUN_BED_CAP,$A18+$B18+I$4&gt;TOTAL_BEDS_AVAILABLE,($D18+I$5)&gt;TOTAL_LABOR_HOURS_CAP,MAX(0,($D18+I$5)-PERMANENT_FIELD_LABOR_HOURS)&gt;TEMP_HOURS_CAP),"",$C18+I$6-MIN(($D18+I$5),PERMANENT_FIELD_LABOR_HOURS)*PERMANENT_HOURLY_RATE-MAX(0,($D18+I$5)-PERMANENT_FIELD_LABOR_HOURS)*TEMP_HOURLY_RATE-FIXED_SEASON_COST)</f>
        <v>-16193.2035477918</v>
      </c>
      <c r="J18" s="53" t="n">
        <f aca="false">IF(OR($A18&gt;TOMATO_BED_CAP,$B18&gt;CARROT_BED_CAP,J$4&gt;MESCLUN_BED_CAP,$A18+$B18+J$4&gt;TOTAL_BEDS_AVAILABLE,($D18+J$5)&gt;TOTAL_LABOR_HOURS_CAP,MAX(0,($D18+J$5)-PERMANENT_FIELD_LABOR_HOURS)&gt;TEMP_HOURS_CAP),"",$C18+J$6-MIN(($D18+J$5),PERMANENT_FIELD_LABOR_HOURS)*PERMANENT_HOURLY_RATE-MAX(0,($D18+J$5)-PERMANENT_FIELD_LABOR_HOURS)*TEMP_HOURLY_RATE-FIXED_SEASON_COST)</f>
        <v>-16076.0152456824</v>
      </c>
      <c r="K18" s="53" t="n">
        <f aca="false">IF(OR($A18&gt;TOMATO_BED_CAP,$B18&gt;CARROT_BED_CAP,K$4&gt;MESCLUN_BED_CAP,$A18+$B18+K$4&gt;TOTAL_BEDS_AVAILABLE,($D18+K$5)&gt;TOTAL_LABOR_HOURS_CAP,MAX(0,($D18+K$5)-PERMANENT_FIELD_LABOR_HOURS)&gt;TEMP_HOURS_CAP),"",$C18+K$6-MIN(($D18+K$5),PERMANENT_FIELD_LABOR_HOURS)*PERMANENT_HOURLY_RATE-MAX(0,($D18+K$5)-PERMANENT_FIELD_LABOR_HOURS)*TEMP_HOURLY_RATE-FIXED_SEASON_COST)</f>
        <v>-16000.6370522266</v>
      </c>
      <c r="L18" s="53" t="n">
        <f aca="false">IF(OR($A18&gt;TOMATO_BED_CAP,$B18&gt;CARROT_BED_CAP,L$4&gt;MESCLUN_BED_CAP,$A18+$B18+L$4&gt;TOTAL_BEDS_AVAILABLE,($D18+L$5)&gt;TOTAL_LABOR_HOURS_CAP,MAX(0,($D18+L$5)-PERMANENT_FIELD_LABOR_HOURS)&gt;TEMP_HOURS_CAP),"",$C18+L$6-MIN(($D18+L$5),PERMANENT_FIELD_LABOR_HOURS)*PERMANENT_HOURLY_RATE-MAX(0,($D18+L$5)-PERMANENT_FIELD_LABOR_HOURS)*TEMP_HOURLY_RATE-FIXED_SEASON_COST)</f>
        <v>-15967.8481558129</v>
      </c>
      <c r="M18" s="53" t="n">
        <f aca="false">IF(OR($A18&gt;TOMATO_BED_CAP,$B18&gt;CARROT_BED_CAP,M$4&gt;MESCLUN_BED_CAP,$A18+$B18+M$4&gt;TOTAL_BEDS_AVAILABLE,($D18+M$5)&gt;TOTAL_LABOR_HOURS_CAP,MAX(0,($D18+M$5)-PERMANENT_FIELD_LABOR_HOURS)&gt;TEMP_HOURS_CAP),"",$C18+M$6-MIN(($D18+M$5),PERMANENT_FIELD_LABOR_HOURS)*PERMANENT_HOURLY_RATE-MAX(0,($D18+M$5)-PERMANENT_FIELD_LABOR_HOURS)*TEMP_HOURLY_RATE-FIXED_SEASON_COST)</f>
        <v>-15848.4203458551</v>
      </c>
      <c r="N18" s="53" t="n">
        <f aca="false">IF(OR($A18&gt;TOMATO_BED_CAP,$B18&gt;CARROT_BED_CAP,N$4&gt;MESCLUN_BED_CAP,$A18+$B18+N$4&gt;TOTAL_BEDS_AVAILABLE,($D18+N$5)&gt;TOTAL_LABOR_HOURS_CAP,MAX(0,($D18+N$5)-PERMANENT_FIELD_LABOR_HOURS)&gt;TEMP_HOURS_CAP),"",$C18+N$6-MIN(($D18+N$5),PERMANENT_FIELD_LABOR_HOURS)*PERMANENT_HOURLY_RATE-MAX(0,($D18+N$5)-PERMANENT_FIELD_LABOR_HOURS)*TEMP_HOURLY_RATE-FIXED_SEASON_COST)</f>
        <v>-14965.8099719955</v>
      </c>
      <c r="O18" s="53" t="n">
        <f aca="false">IF(OR($A18&gt;TOMATO_BED_CAP,$B18&gt;CARROT_BED_CAP,O$4&gt;MESCLUN_BED_CAP,$A18+$B18+O$4&gt;TOTAL_BEDS_AVAILABLE,($D18+O$5)&gt;TOTAL_LABOR_HOURS_CAP,MAX(0,($D18+O$5)-PERMANENT_FIELD_LABOR_HOURS)&gt;TEMP_HOURS_CAP),"",$C18+O$6-MIN(($D18+O$5),PERMANENT_FIELD_LABOR_HOURS)*PERMANENT_HOURLY_RATE-MAX(0,($D18+O$5)-PERMANENT_FIELD_LABOR_HOURS)*TEMP_HOURLY_RATE-FIXED_SEASON_COST)</f>
        <v>-14105.7022752408</v>
      </c>
      <c r="P18" s="53" t="n">
        <f aca="false">IF(OR($A18&gt;TOMATO_BED_CAP,$B18&gt;CARROT_BED_CAP,P$4&gt;MESCLUN_BED_CAP,$A18+$B18+P$4&gt;TOTAL_BEDS_AVAILABLE,($D18+P$5)&gt;TOTAL_LABOR_HOURS_CAP,MAX(0,($D18+P$5)-PERMANENT_FIELD_LABOR_HOURS)&gt;TEMP_HOURS_CAP),"",$C18+P$6-MIN(($D18+P$5),PERMANENT_FIELD_LABOR_HOURS)*PERMANENT_HOURLY_RATE-MAX(0,($D18+P$5)-PERMANENT_FIELD_LABOR_HOURS)*TEMP_HOURLY_RATE-FIXED_SEASON_COST)</f>
        <v>-13268.5133553893</v>
      </c>
      <c r="Q18" s="53" t="n">
        <f aca="false">IF(OR($A18&gt;TOMATO_BED_CAP,$B18&gt;CARROT_BED_CAP,Q$4&gt;MESCLUN_BED_CAP,$A18+$B18+Q$4&gt;TOTAL_BEDS_AVAILABLE,($D18+Q$5)&gt;TOTAL_LABOR_HOURS_CAP,MAX(0,($D18+Q$5)-PERMANENT_FIELD_LABOR_HOURS)&gt;TEMP_HOURS_CAP),"",$C18+Q$6-MIN(($D18+Q$5),PERMANENT_FIELD_LABOR_HOURS)*PERMANENT_HOURLY_RATE-MAX(0,($D18+Q$5)-PERMANENT_FIELD_LABOR_HOURS)*TEMP_HOURLY_RATE-FIXED_SEASON_COST)</f>
        <v>-12454.6661986914</v>
      </c>
      <c r="R18" s="53" t="n">
        <f aca="false">IF(OR($A18&gt;TOMATO_BED_CAP,$B18&gt;CARROT_BED_CAP,R$4&gt;MESCLUN_BED_CAP,$A18+$B18+R$4&gt;TOTAL_BEDS_AVAILABLE,($D18+R$5)&gt;TOTAL_LABOR_HOURS_CAP,MAX(0,($D18+R$5)-PERMANENT_FIELD_LABOR_HOURS)&gt;TEMP_HOURS_CAP),"",$C18+R$6-MIN(($D18+R$5),PERMANENT_FIELD_LABOR_HOURS)*PERMANENT_HOURLY_RATE-MAX(0,($D18+R$5)-PERMANENT_FIELD_LABOR_HOURS)*TEMP_HOURLY_RATE-FIXED_SEASON_COST)</f>
        <v>-11664.5907849946</v>
      </c>
      <c r="S18" s="53" t="n">
        <f aca="false">IF(OR($A18&gt;TOMATO_BED_CAP,$B18&gt;CARROT_BED_CAP,S$4&gt;MESCLUN_BED_CAP,$A18+$B18+S$4&gt;TOTAL_BEDS_AVAILABLE,($D18+S$5)&gt;TOTAL_LABOR_HOURS_CAP,MAX(0,($D18+S$5)-PERMANENT_FIELD_LABOR_HOURS)&gt;TEMP_HOURS_CAP),"",$C18+S$6-MIN(($D18+S$5),PERMANENT_FIELD_LABOR_HOURS)*PERMANENT_HOURLY_RATE-MAX(0,($D18+S$5)-PERMANENT_FIELD_LABOR_HOURS)*TEMP_HOURLY_RATE-FIXED_SEASON_COST)</f>
        <v>-10898.7241964922</v>
      </c>
      <c r="T18" s="53" t="n">
        <f aca="false">IF(OR($A18&gt;TOMATO_BED_CAP,$B18&gt;CARROT_BED_CAP,T$4&gt;MESCLUN_BED_CAP,$A18+$B18+T$4&gt;TOTAL_BEDS_AVAILABLE,($D18+T$5)&gt;TOTAL_LABOR_HOURS_CAP,MAX(0,($D18+T$5)-PERMANENT_FIELD_LABOR_HOURS)&gt;TEMP_HOURS_CAP),"",$C18+T$6-MIN(($D18+T$5),PERMANENT_FIELD_LABOR_HOURS)*PERMANENT_HOURLY_RATE-MAX(0,($D18+T$5)-PERMANENT_FIELD_LABOR_HOURS)*TEMP_HOURLY_RATE-FIXED_SEASON_COST)</f>
        <v>-10157.5107280973</v>
      </c>
      <c r="U18" s="53" t="n">
        <f aca="false">IF(OR($A18&gt;TOMATO_BED_CAP,$B18&gt;CARROT_BED_CAP,U$4&gt;MESCLUN_BED_CAP,$A18+$B18+U$4&gt;TOTAL_BEDS_AVAILABLE,($D18+U$5)&gt;TOTAL_LABOR_HOURS_CAP,MAX(0,($D18+U$5)-PERMANENT_FIELD_LABOR_HOURS)&gt;TEMP_HOURS_CAP),"",$C18+U$6-MIN(($D18+U$5),PERMANENT_FIELD_LABOR_HOURS)*PERMANENT_HOURLY_RATE-MAX(0,($D18+U$5)-PERMANENT_FIELD_LABOR_HOURS)*TEMP_HOURLY_RATE-FIXED_SEASON_COST)</f>
        <v>-9441.40199946723</v>
      </c>
      <c r="V18" s="53" t="n">
        <f aca="false">IF(OR($A18&gt;TOMATO_BED_CAP,$B18&gt;CARROT_BED_CAP,V$4&gt;MESCLUN_BED_CAP,$A18+$B18+V$4&gt;TOTAL_BEDS_AVAILABLE,($D18+V$5)&gt;TOTAL_LABOR_HOURS_CAP,MAX(0,($D18+V$5)-PERMANENT_FIELD_LABOR_HOURS)&gt;TEMP_HOURS_CAP),"",$C18+V$6-MIN(($D18+V$5),PERMANENT_FIELD_LABOR_HOURS)*PERMANENT_HOURLY_RATE-MAX(0,($D18+V$5)-PERMANENT_FIELD_LABOR_HOURS)*TEMP_HOURLY_RATE-FIXED_SEASON_COST)</f>
        <v>-8750.85706870045</v>
      </c>
      <c r="W18" s="53" t="n">
        <f aca="false">IF(OR($A18&gt;TOMATO_BED_CAP,$B18&gt;CARROT_BED_CAP,W$4&gt;MESCLUN_BED_CAP,$A18+$B18+W$4&gt;TOTAL_BEDS_AVAILABLE,($D18+W$5)&gt;TOTAL_LABOR_HOURS_CAP,MAX(0,($D18+W$5)-PERMANENT_FIELD_LABOR_HOURS)&gt;TEMP_HOURS_CAP),"",$C18+W$6-MIN(($D18+W$5),PERMANENT_FIELD_LABOR_HOURS)*PERMANENT_HOURLY_RATE-MAX(0,($D18+W$5)-PERMANENT_FIELD_LABOR_HOURS)*TEMP_HOURLY_RATE-FIXED_SEASON_COST)</f>
        <v>-8086.34254773238</v>
      </c>
      <c r="X18" s="53" t="n">
        <f aca="false">IF(OR($A18&gt;TOMATO_BED_CAP,$B18&gt;CARROT_BED_CAP,X$4&gt;MESCLUN_BED_CAP,$A18+$B18+X$4&gt;TOTAL_BEDS_AVAILABLE,($D18+X$5)&gt;TOTAL_LABOR_HOURS_CAP,MAX(0,($D18+X$5)-PERMANENT_FIELD_LABOR_HOURS)&gt;TEMP_HOURS_CAP),"",$C18+X$6-MIN(($D18+X$5),PERMANENT_FIELD_LABOR_HOURS)*PERMANENT_HOURLY_RATE-MAX(0,($D18+X$5)-PERMANENT_FIELD_LABOR_HOURS)*TEMP_HOURLY_RATE-FIXED_SEASON_COST)</f>
        <v>-7448.33271945346</v>
      </c>
      <c r="Y18" s="53" t="n">
        <f aca="false">IF(OR($A18&gt;TOMATO_BED_CAP,$B18&gt;CARROT_BED_CAP,Y$4&gt;MESCLUN_BED_CAP,$A18+$B18+Y$4&gt;TOTAL_BEDS_AVAILABLE,($D18+Y$5)&gt;TOTAL_LABOR_HOURS_CAP,MAX(0,($D18+Y$5)-PERMANENT_FIELD_LABOR_HOURS)&gt;TEMP_HOURS_CAP),"",$C18+Y$6-MIN(($D18+Y$5),PERMANENT_FIELD_LABOR_HOURS)*PERMANENT_HOURLY_RATE-MAX(0,($D18+Y$5)-PERMANENT_FIELD_LABOR_HOURS)*TEMP_HOURLY_RATE-FIXED_SEASON_COST)</f>
        <v>-6837.3096565748</v>
      </c>
      <c r="Z18" s="53" t="n">
        <f aca="false">IF(OR($A18&gt;TOMATO_BED_CAP,$B18&gt;CARROT_BED_CAP,Z$4&gt;MESCLUN_BED_CAP,$A18+$B18+Z$4&gt;TOTAL_BEDS_AVAILABLE,($D18+Z$5)&gt;TOTAL_LABOR_HOURS_CAP,MAX(0,($D18+Z$5)-PERMANENT_FIELD_LABOR_HOURS)&gt;TEMP_HOURS_CAP),"",$C18+Z$6-MIN(($D18+Z$5),PERMANENT_FIELD_LABOR_HOURS)*PERMANENT_HOURLY_RATE-MAX(0,($D18+Z$5)-PERMANENT_FIELD_LABOR_HOURS)*TEMP_HOURLY_RATE-FIXED_SEASON_COST)</f>
        <v>-6253.76334226707</v>
      </c>
      <c r="AA18" s="53" t="n">
        <f aca="false">IF(OR($A18&gt;TOMATO_BED_CAP,$B18&gt;CARROT_BED_CAP,AA$4&gt;MESCLUN_BED_CAP,$A18+$B18+AA$4&gt;TOTAL_BEDS_AVAILABLE,($D18+AA$5)&gt;TOTAL_LABOR_HOURS_CAP,MAX(0,($D18+AA$5)-PERMANENT_FIELD_LABOR_HOURS)&gt;TEMP_HOURS_CAP),"",$C18+AA$6-MIN(($D18+AA$5),PERMANENT_FIELD_LABOR_HOURS)*PERMANENT_HOURLY_RATE-MAX(0,($D18+AA$5)-PERMANENT_FIELD_LABOR_HOURS)*TEMP_HOURLY_RATE-FIXED_SEASON_COST)</f>
        <v>-5698.19179259814</v>
      </c>
      <c r="AB18" s="53" t="n">
        <f aca="false">IF(OR($A18&gt;TOMATO_BED_CAP,$B18&gt;CARROT_BED_CAP,AB$4&gt;MESCLUN_BED_CAP,$A18+$B18+AB$4&gt;TOTAL_BEDS_AVAILABLE,($D18+AB$5)&gt;TOTAL_LABOR_HOURS_CAP,MAX(0,($D18+AB$5)-PERMANENT_FIELD_LABOR_HOURS)&gt;TEMP_HOURS_CAP),"",$C18+AB$6-MIN(($D18+AB$5),PERMANENT_FIELD_LABOR_HOURS)*PERMANENT_HOURLY_RATE-MAX(0,($D18+AB$5)-PERMANENT_FIELD_LABOR_HOURS)*TEMP_HOURLY_RATE-FIXED_SEASON_COST)</f>
        <v>-5171.10118079558</v>
      </c>
      <c r="AC18" s="53" t="n">
        <f aca="false">IF(OR($A18&gt;TOMATO_BED_CAP,$B18&gt;CARROT_BED_CAP,AC$4&gt;MESCLUN_BED_CAP,$A18+$B18+AC$4&gt;TOTAL_BEDS_AVAILABLE,($D18+AC$5)&gt;TOTAL_LABOR_HOURS_CAP,MAX(0,($D18+AC$5)-PERMANENT_FIELD_LABOR_HOURS)&gt;TEMP_HOURS_CAP),"",$C18+AC$6-MIN(($D18+AC$5),PERMANENT_FIELD_LABOR_HOURS)*PERMANENT_HOURLY_RATE-MAX(0,($D18+AC$5)-PERMANENT_FIELD_LABOR_HOURS)*TEMP_HOURLY_RATE-FIXED_SEASON_COST)</f>
        <v>-4673.00596336067</v>
      </c>
      <c r="AD18" s="53" t="n">
        <f aca="false">IF(OR($A18&gt;TOMATO_BED_CAP,$B18&gt;CARROT_BED_CAP,AD$4&gt;MESCLUN_BED_CAP,$A18+$B18+AD$4&gt;TOTAL_BEDS_AVAILABLE,($D18+AD$5)&gt;TOTAL_LABOR_HOURS_CAP,MAX(0,($D18+AD$5)-PERMANENT_FIELD_LABOR_HOURS)&gt;TEMP_HOURS_CAP),"",$C18+AD$6-MIN(($D18+AD$5),PERMANENT_FIELD_LABOR_HOURS)*PERMANENT_HOURLY_RATE-MAX(0,($D18+AD$5)-PERMANENT_FIELD_LABOR_HOURS)*TEMP_HOURLY_RATE-FIXED_SEASON_COST)</f>
        <v>-4204.42900806071</v>
      </c>
      <c r="AE18" s="53" t="n">
        <f aca="false">IF(OR($A18&gt;TOMATO_BED_CAP,$B18&gt;CARROT_BED_CAP,AE$4&gt;MESCLUN_BED_CAP,$A18+$B18+AE$4&gt;TOTAL_BEDS_AVAILABLE,($D18+AE$5)&gt;TOTAL_LABOR_HOURS_CAP,MAX(0,($D18+AE$5)-PERMANENT_FIELD_LABOR_HOURS)&gt;TEMP_HOURS_CAP),"",$C18+AE$6-MIN(($D18+AE$5),PERMANENT_FIELD_LABOR_HOURS)*PERMANENT_HOURLY_RATE-MAX(0,($D18+AE$5)-PERMANENT_FIELD_LABOR_HOURS)*TEMP_HOURLY_RATE-FIXED_SEASON_COST)</f>
        <v>-3765.90172382681</v>
      </c>
      <c r="AF18" s="53" t="n">
        <f aca="false">IF(OR($A18&gt;TOMATO_BED_CAP,$B18&gt;CARROT_BED_CAP,AF$4&gt;MESCLUN_BED_CAP,$A18+$B18+AF$4&gt;TOTAL_BEDS_AVAILABLE,($D18+AF$5)&gt;TOTAL_LABOR_HOURS_CAP,MAX(0,($D18+AF$5)-PERMANENT_FIELD_LABOR_HOURS)&gt;TEMP_HOURS_CAP),"",$C18+AF$6-MIN(($D18+AF$5),PERMANENT_FIELD_LABOR_HOURS)*PERMANENT_HOURLY_RATE-MAX(0,($D18+AF$5)-PERMANENT_FIELD_LABOR_HOURS)*TEMP_HOURLY_RATE-FIXED_SEASON_COST)</f>
        <v>-3357.96419258486</v>
      </c>
      <c r="AG18" s="53" t="n">
        <f aca="false">IF(OR($A18&gt;TOMATO_BED_CAP,$B18&gt;CARROT_BED_CAP,AG$4&gt;MESCLUN_BED_CAP,$A18+$B18+AG$4&gt;TOTAL_BEDS_AVAILABLE,($D18+AG$5)&gt;TOTAL_LABOR_HOURS_CAP,MAX(0,($D18+AG$5)-PERMANENT_FIELD_LABOR_HOURS)&gt;TEMP_HOURS_CAP),"",$C18+AG$6-MIN(($D18+AG$5),PERMANENT_FIELD_LABOR_HOURS)*PERMANENT_HOURLY_RATE-MAX(0,($D18+AG$5)-PERMANENT_FIELD_LABOR_HOURS)*TEMP_HOURLY_RATE-FIXED_SEASON_COST)</f>
        <v>-2981.16530304784</v>
      </c>
      <c r="AH18" s="53" t="n">
        <f aca="false">IF(OR($A18&gt;TOMATO_BED_CAP,$B18&gt;CARROT_BED_CAP,AH$4&gt;MESCLUN_BED_CAP,$A18+$B18+AH$4&gt;TOTAL_BEDS_AVAILABLE,($D18+AH$5)&gt;TOTAL_LABOR_HOURS_CAP,MAX(0,($D18+AH$5)-PERMANENT_FIELD_LABOR_HOURS)&gt;TEMP_HOURS_CAP),"",$C18+AH$6-MIN(($D18+AH$5),PERMANENT_FIELD_LABOR_HOURS)*PERMANENT_HOURLY_RATE-MAX(0,($D18+AH$5)-PERMANENT_FIELD_LABOR_HOURS)*TEMP_HOURLY_RATE-FIXED_SEASON_COST)</f>
        <v>-2636.06288649763</v>
      </c>
      <c r="AI18" s="53" t="n">
        <f aca="false">IF(OR($A18&gt;TOMATO_BED_CAP,$B18&gt;CARROT_BED_CAP,AI$4&gt;MESCLUN_BED_CAP,$A18+$B18+AI$4&gt;TOTAL_BEDS_AVAILABLE,($D18+AI$5)&gt;TOTAL_LABOR_HOURS_CAP,MAX(0,($D18+AI$5)-PERMANENT_FIELD_LABOR_HOURS)&gt;TEMP_HOURS_CAP),"",$C18+AI$6-MIN(($D18+AI$5),PERMANENT_FIELD_LABOR_HOURS)*PERMANENT_HOURLY_RATE-MAX(0,($D18+AI$5)-PERMANENT_FIELD_LABOR_HOURS)*TEMP_HOURLY_RATE-FIXED_SEASON_COST)</f>
        <v>-2323.22385458537</v>
      </c>
      <c r="AJ18" s="53" t="n">
        <f aca="false">IF(OR($A18&gt;TOMATO_BED_CAP,$B18&gt;CARROT_BED_CAP,AJ$4&gt;MESCLUN_BED_CAP,$A18+$B18+AJ$4&gt;TOTAL_BEDS_AVAILABLE,($D18+AJ$5)&gt;TOTAL_LABOR_HOURS_CAP,MAX(0,($D18+AJ$5)-PERMANENT_FIELD_LABOR_HOURS)&gt;TEMP_HOURS_CAP),"",$C18+AJ$6-MIN(($D18+AJ$5),PERMANENT_FIELD_LABOR_HOURS)*PERMANENT_HOURLY_RATE-MAX(0,($D18+AJ$5)-PERMANENT_FIELD_LABOR_HOURS)*TEMP_HOURLY_RATE-FIXED_SEASON_COST)</f>
        <v>-2043.22433917961</v>
      </c>
    </row>
    <row r="19" customFormat="false" ht="15" hidden="false" customHeight="false" outlineLevel="0" collapsed="false">
      <c r="A19" s="21" t="n">
        <f aca="false">INT((ROW()-ROW($A$8))/(20+1))</f>
        <v>0</v>
      </c>
      <c r="B19" s="21" t="n">
        <f aca="false">MOD(ROW()-ROW($A$8),20+1)</f>
        <v>11</v>
      </c>
      <c r="C19" s="13" t="n">
        <f aca="false">A19*(TOMATO_REVENUE_PER_BED-TOMATO_FERTILIZER_PER_BED)+B19*(CARROT_REVENUE_PER_BED-CARROT_FERTILIZER_PER_BED)</f>
        <v>18194</v>
      </c>
      <c r="D19" s="14" t="n">
        <f aca="false">INDEX(TOMATO_SCHED_LABOR_HRS,A19+1)+INDEX(CARROT_SCHED_LABOR_HRS,B19+1)</f>
        <v>432.815401635588</v>
      </c>
      <c r="E19" s="13" t="n">
        <f aca="false">IF(COUNT(F19:AJ19)=0,"",MAX(F19:AJ19))</f>
        <v>-1238.88607752126</v>
      </c>
      <c r="F19" s="53" t="n">
        <f aca="false">IF(OR($A19&gt;TOMATO_BED_CAP,$B19&gt;CARROT_BED_CAP,F$4&gt;MESCLUN_BED_CAP,$A19+$B19+F$4&gt;TOTAL_BEDS_AVAILABLE,($D19+F$5)&gt;TOTAL_LABOR_HOURS_CAP,MAX(0,($D19+F$5)-PERMANENT_FIELD_LABOR_HOURS)&gt;TEMP_HOURS_CAP),"",$C19+F$6-MIN(($D19+F$5),PERMANENT_FIELD_LABOR_HOURS)*PERMANENT_HOURLY_RATE-MAX(0,($D19+F$5)-PERMANENT_FIELD_LABOR_HOURS)*TEMP_HOURLY_RATE-FIXED_SEASON_COST)</f>
        <v>-16833.3507447876</v>
      </c>
      <c r="G19" s="53" t="n">
        <f aca="false">IF(OR($A19&gt;TOMATO_BED_CAP,$B19&gt;CARROT_BED_CAP,G$4&gt;MESCLUN_BED_CAP,$A19+$B19+G$4&gt;TOTAL_BEDS_AVAILABLE,($D19+G$5)&gt;TOTAL_LABOR_HOURS_CAP,MAX(0,($D19+G$5)-PERMANENT_FIELD_LABOR_HOURS)&gt;TEMP_HOURS_CAP),"",$C19+G$6-MIN(($D19+G$5),PERMANENT_FIELD_LABOR_HOURS)*PERMANENT_HOURLY_RATE-MAX(0,($D19+G$5)-PERMANENT_FIELD_LABOR_HOURS)*TEMP_HOURLY_RATE-FIXED_SEASON_COST)</f>
        <v>-16595.2807447876</v>
      </c>
      <c r="H19" s="53" t="n">
        <f aca="false">IF(OR($A19&gt;TOMATO_BED_CAP,$B19&gt;CARROT_BED_CAP,H$4&gt;MESCLUN_BED_CAP,$A19+$B19+H$4&gt;TOTAL_BEDS_AVAILABLE,($D19+H$5)&gt;TOTAL_LABOR_HOURS_CAP,MAX(0,($D19+H$5)-PERMANENT_FIELD_LABOR_HOURS)&gt;TEMP_HOURS_CAP),"",$C19+H$6-MIN(($D19+H$5),PERMANENT_FIELD_LABOR_HOURS)*PERMANENT_HOURLY_RATE-MAX(0,($D19+H$5)-PERMANENT_FIELD_LABOR_HOURS)*TEMP_HOURLY_RATE-FIXED_SEASON_COST)</f>
        <v>-16396.7589947876</v>
      </c>
      <c r="I19" s="53" t="n">
        <f aca="false">IF(OR($A19&gt;TOMATO_BED_CAP,$B19&gt;CARROT_BED_CAP,I$4&gt;MESCLUN_BED_CAP,$A19+$B19+I$4&gt;TOTAL_BEDS_AVAILABLE,($D19+I$5)&gt;TOTAL_LABOR_HOURS_CAP,MAX(0,($D19+I$5)-PERMANENT_FIELD_LABOR_HOURS)&gt;TEMP_HOURS_CAP),"",$C19+I$6-MIN(($D19+I$5),PERMANENT_FIELD_LABOR_HOURS)*PERMANENT_HOURLY_RATE-MAX(0,($D19+I$5)-PERMANENT_FIELD_LABOR_HOURS)*TEMP_HOURLY_RATE-FIXED_SEASON_COST)</f>
        <v>-16238.5270244751</v>
      </c>
      <c r="J19" s="53" t="n">
        <f aca="false">IF(OR($A19&gt;TOMATO_BED_CAP,$B19&gt;CARROT_BED_CAP,J$4&gt;MESCLUN_BED_CAP,$A19+$B19+J$4&gt;TOTAL_BEDS_AVAILABLE,($D19+J$5)&gt;TOTAL_LABOR_HOURS_CAP,MAX(0,($D19+J$5)-PERMANENT_FIELD_LABOR_HOURS)&gt;TEMP_HOURS_CAP),"",$C19+J$6-MIN(($D19+J$5),PERMANENT_FIELD_LABOR_HOURS)*PERMANENT_HOURLY_RATE-MAX(0,($D19+J$5)-PERMANENT_FIELD_LABOR_HOURS)*TEMP_HOURLY_RATE-FIXED_SEASON_COST)</f>
        <v>-16121.3387223657</v>
      </c>
      <c r="K19" s="53" t="n">
        <f aca="false">IF(OR($A19&gt;TOMATO_BED_CAP,$B19&gt;CARROT_BED_CAP,K$4&gt;MESCLUN_BED_CAP,$A19+$B19+K$4&gt;TOTAL_BEDS_AVAILABLE,($D19+K$5)&gt;TOTAL_LABOR_HOURS_CAP,MAX(0,($D19+K$5)-PERMANENT_FIELD_LABOR_HOURS)&gt;TEMP_HOURS_CAP),"",$C19+K$6-MIN(($D19+K$5),PERMANENT_FIELD_LABOR_HOURS)*PERMANENT_HOURLY_RATE-MAX(0,($D19+K$5)-PERMANENT_FIELD_LABOR_HOURS)*TEMP_HOURLY_RATE-FIXED_SEASON_COST)</f>
        <v>-16045.9605289099</v>
      </c>
      <c r="L19" s="53" t="n">
        <f aca="false">IF(OR($A19&gt;TOMATO_BED_CAP,$B19&gt;CARROT_BED_CAP,L$4&gt;MESCLUN_BED_CAP,$A19+$B19+L$4&gt;TOTAL_BEDS_AVAILABLE,($D19+L$5)&gt;TOTAL_LABOR_HOURS_CAP,MAX(0,($D19+L$5)-PERMANENT_FIELD_LABOR_HOURS)&gt;TEMP_HOURS_CAP),"",$C19+L$6-MIN(($D19+L$5),PERMANENT_FIELD_LABOR_HOURS)*PERMANENT_HOURLY_RATE-MAX(0,($D19+L$5)-PERMANENT_FIELD_LABOR_HOURS)*TEMP_HOURLY_RATE-FIXED_SEASON_COST)</f>
        <v>-15948.7858162481</v>
      </c>
      <c r="M19" s="53" t="n">
        <f aca="false">IF(OR($A19&gt;TOMATO_BED_CAP,$B19&gt;CARROT_BED_CAP,M$4&gt;MESCLUN_BED_CAP,$A19+$B19+M$4&gt;TOTAL_BEDS_AVAILABLE,($D19+M$5)&gt;TOTAL_LABOR_HOURS_CAP,MAX(0,($D19+M$5)-PERMANENT_FIELD_LABOR_HOURS)&gt;TEMP_HOURS_CAP),"",$C19+M$6-MIN(($D19+M$5),PERMANENT_FIELD_LABOR_HOURS)*PERMANENT_HOURLY_RATE-MAX(0,($D19+M$5)-PERMANENT_FIELD_LABOR_HOURS)*TEMP_HOURLY_RATE-FIXED_SEASON_COST)</f>
        <v>-15044.0820841967</v>
      </c>
      <c r="N19" s="53" t="n">
        <f aca="false">IF(OR($A19&gt;TOMATO_BED_CAP,$B19&gt;CARROT_BED_CAP,N$4&gt;MESCLUN_BED_CAP,$A19+$B19+N$4&gt;TOTAL_BEDS_AVAILABLE,($D19+N$5)&gt;TOTAL_LABOR_HOURS_CAP,MAX(0,($D19+N$5)-PERMANENT_FIELD_LABOR_HOURS)&gt;TEMP_HOURS_CAP),"",$C19+N$6-MIN(($D19+N$5),PERMANENT_FIELD_LABOR_HOURS)*PERMANENT_HOURLY_RATE-MAX(0,($D19+N$5)-PERMANENT_FIELD_LABOR_HOURS)*TEMP_HOURLY_RATE-FIXED_SEASON_COST)</f>
        <v>-14161.4717103372</v>
      </c>
      <c r="O19" s="53" t="n">
        <f aca="false">IF(OR($A19&gt;TOMATO_BED_CAP,$B19&gt;CARROT_BED_CAP,O$4&gt;MESCLUN_BED_CAP,$A19+$B19+O$4&gt;TOTAL_BEDS_AVAILABLE,($D19+O$5)&gt;TOTAL_LABOR_HOURS_CAP,MAX(0,($D19+O$5)-PERMANENT_FIELD_LABOR_HOURS)&gt;TEMP_HOURS_CAP),"",$C19+O$6-MIN(($D19+O$5),PERMANENT_FIELD_LABOR_HOURS)*PERMANENT_HOURLY_RATE-MAX(0,($D19+O$5)-PERMANENT_FIELD_LABOR_HOURS)*TEMP_HOURLY_RATE-FIXED_SEASON_COST)</f>
        <v>-13301.3640135824</v>
      </c>
      <c r="P19" s="53" t="n">
        <f aca="false">IF(OR($A19&gt;TOMATO_BED_CAP,$B19&gt;CARROT_BED_CAP,P$4&gt;MESCLUN_BED_CAP,$A19+$B19+P$4&gt;TOTAL_BEDS_AVAILABLE,($D19+P$5)&gt;TOTAL_LABOR_HOURS_CAP,MAX(0,($D19+P$5)-PERMANENT_FIELD_LABOR_HOURS)&gt;TEMP_HOURS_CAP),"",$C19+P$6-MIN(($D19+P$5),PERMANENT_FIELD_LABOR_HOURS)*PERMANENT_HOURLY_RATE-MAX(0,($D19+P$5)-PERMANENT_FIELD_LABOR_HOURS)*TEMP_HOURLY_RATE-FIXED_SEASON_COST)</f>
        <v>-12464.175093731</v>
      </c>
      <c r="Q19" s="53" t="n">
        <f aca="false">IF(OR($A19&gt;TOMATO_BED_CAP,$B19&gt;CARROT_BED_CAP,Q$4&gt;MESCLUN_BED_CAP,$A19+$B19+Q$4&gt;TOTAL_BEDS_AVAILABLE,($D19+Q$5)&gt;TOTAL_LABOR_HOURS_CAP,MAX(0,($D19+Q$5)-PERMANENT_FIELD_LABOR_HOURS)&gt;TEMP_HOURS_CAP),"",$C19+Q$6-MIN(($D19+Q$5),PERMANENT_FIELD_LABOR_HOURS)*PERMANENT_HOURLY_RATE-MAX(0,($D19+Q$5)-PERMANENT_FIELD_LABOR_HOURS)*TEMP_HOURLY_RATE-FIXED_SEASON_COST)</f>
        <v>-11650.3279370331</v>
      </c>
      <c r="R19" s="53" t="n">
        <f aca="false">IF(OR($A19&gt;TOMATO_BED_CAP,$B19&gt;CARROT_BED_CAP,R$4&gt;MESCLUN_BED_CAP,$A19+$B19+R$4&gt;TOTAL_BEDS_AVAILABLE,($D19+R$5)&gt;TOTAL_LABOR_HOURS_CAP,MAX(0,($D19+R$5)-PERMANENT_FIELD_LABOR_HOURS)&gt;TEMP_HOURS_CAP),"",$C19+R$6-MIN(($D19+R$5),PERMANENT_FIELD_LABOR_HOURS)*PERMANENT_HOURLY_RATE-MAX(0,($D19+R$5)-PERMANENT_FIELD_LABOR_HOURS)*TEMP_HOURLY_RATE-FIXED_SEASON_COST)</f>
        <v>-10860.2525233363</v>
      </c>
      <c r="S19" s="53" t="n">
        <f aca="false">IF(OR($A19&gt;TOMATO_BED_CAP,$B19&gt;CARROT_BED_CAP,S$4&gt;MESCLUN_BED_CAP,$A19+$B19+S$4&gt;TOTAL_BEDS_AVAILABLE,($D19+S$5)&gt;TOTAL_LABOR_HOURS_CAP,MAX(0,($D19+S$5)-PERMANENT_FIELD_LABOR_HOURS)&gt;TEMP_HOURS_CAP),"",$C19+S$6-MIN(($D19+S$5),PERMANENT_FIELD_LABOR_HOURS)*PERMANENT_HOURLY_RATE-MAX(0,($D19+S$5)-PERMANENT_FIELD_LABOR_HOURS)*TEMP_HOURLY_RATE-FIXED_SEASON_COST)</f>
        <v>-10094.3859348338</v>
      </c>
      <c r="T19" s="53" t="n">
        <f aca="false">IF(OR($A19&gt;TOMATO_BED_CAP,$B19&gt;CARROT_BED_CAP,T$4&gt;MESCLUN_BED_CAP,$A19+$B19+T$4&gt;TOTAL_BEDS_AVAILABLE,($D19+T$5)&gt;TOTAL_LABOR_HOURS_CAP,MAX(0,($D19+T$5)-PERMANENT_FIELD_LABOR_HOURS)&gt;TEMP_HOURS_CAP),"",$C19+T$6-MIN(($D19+T$5),PERMANENT_FIELD_LABOR_HOURS)*PERMANENT_HOURLY_RATE-MAX(0,($D19+T$5)-PERMANENT_FIELD_LABOR_HOURS)*TEMP_HOURLY_RATE-FIXED_SEASON_COST)</f>
        <v>-9353.17246643898</v>
      </c>
      <c r="U19" s="53" t="n">
        <f aca="false">IF(OR($A19&gt;TOMATO_BED_CAP,$B19&gt;CARROT_BED_CAP,U$4&gt;MESCLUN_BED_CAP,$A19+$B19+U$4&gt;TOTAL_BEDS_AVAILABLE,($D19+U$5)&gt;TOTAL_LABOR_HOURS_CAP,MAX(0,($D19+U$5)-PERMANENT_FIELD_LABOR_HOURS)&gt;TEMP_HOURS_CAP),"",$C19+U$6-MIN(($D19+U$5),PERMANENT_FIELD_LABOR_HOURS)*PERMANENT_HOURLY_RATE-MAX(0,($D19+U$5)-PERMANENT_FIELD_LABOR_HOURS)*TEMP_HOURLY_RATE-FIXED_SEASON_COST)</f>
        <v>-8637.06373780889</v>
      </c>
      <c r="V19" s="53" t="n">
        <f aca="false">IF(OR($A19&gt;TOMATO_BED_CAP,$B19&gt;CARROT_BED_CAP,V$4&gt;MESCLUN_BED_CAP,$A19+$B19+V$4&gt;TOTAL_BEDS_AVAILABLE,($D19+V$5)&gt;TOTAL_LABOR_HOURS_CAP,MAX(0,($D19+V$5)-PERMANENT_FIELD_LABOR_HOURS)&gt;TEMP_HOURS_CAP),"",$C19+V$6-MIN(($D19+V$5),PERMANENT_FIELD_LABOR_HOURS)*PERMANENT_HOURLY_RATE-MAX(0,($D19+V$5)-PERMANENT_FIELD_LABOR_HOURS)*TEMP_HOURLY_RATE-FIXED_SEASON_COST)</f>
        <v>-7946.51880704209</v>
      </c>
      <c r="W19" s="53" t="n">
        <f aca="false">IF(OR($A19&gt;TOMATO_BED_CAP,$B19&gt;CARROT_BED_CAP,W$4&gt;MESCLUN_BED_CAP,$A19+$B19+W$4&gt;TOTAL_BEDS_AVAILABLE,($D19+W$5)&gt;TOTAL_LABOR_HOURS_CAP,MAX(0,($D19+W$5)-PERMANENT_FIELD_LABOR_HOURS)&gt;TEMP_HOURS_CAP),"",$C19+W$6-MIN(($D19+W$5),PERMANENT_FIELD_LABOR_HOURS)*PERMANENT_HOURLY_RATE-MAX(0,($D19+W$5)-PERMANENT_FIELD_LABOR_HOURS)*TEMP_HOURLY_RATE-FIXED_SEASON_COST)</f>
        <v>-7282.00428607403</v>
      </c>
      <c r="X19" s="53" t="n">
        <f aca="false">IF(OR($A19&gt;TOMATO_BED_CAP,$B19&gt;CARROT_BED_CAP,X$4&gt;MESCLUN_BED_CAP,$A19+$B19+X$4&gt;TOTAL_BEDS_AVAILABLE,($D19+X$5)&gt;TOTAL_LABOR_HOURS_CAP,MAX(0,($D19+X$5)-PERMANENT_FIELD_LABOR_HOURS)&gt;TEMP_HOURS_CAP),"",$C19+X$6-MIN(($D19+X$5),PERMANENT_FIELD_LABOR_HOURS)*PERMANENT_HOURLY_RATE-MAX(0,($D19+X$5)-PERMANENT_FIELD_LABOR_HOURS)*TEMP_HOURLY_RATE-FIXED_SEASON_COST)</f>
        <v>-6643.99445779511</v>
      </c>
      <c r="Y19" s="53" t="n">
        <f aca="false">IF(OR($A19&gt;TOMATO_BED_CAP,$B19&gt;CARROT_BED_CAP,Y$4&gt;MESCLUN_BED_CAP,$A19+$B19+Y$4&gt;TOTAL_BEDS_AVAILABLE,($D19+Y$5)&gt;TOTAL_LABOR_HOURS_CAP,MAX(0,($D19+Y$5)-PERMANENT_FIELD_LABOR_HOURS)&gt;TEMP_HOURS_CAP),"",$C19+Y$6-MIN(($D19+Y$5),PERMANENT_FIELD_LABOR_HOURS)*PERMANENT_HOURLY_RATE-MAX(0,($D19+Y$5)-PERMANENT_FIELD_LABOR_HOURS)*TEMP_HOURLY_RATE-FIXED_SEASON_COST)</f>
        <v>-6032.97139491645</v>
      </c>
      <c r="Z19" s="53" t="n">
        <f aca="false">IF(OR($A19&gt;TOMATO_BED_CAP,$B19&gt;CARROT_BED_CAP,Z$4&gt;MESCLUN_BED_CAP,$A19+$B19+Z$4&gt;TOTAL_BEDS_AVAILABLE,($D19+Z$5)&gt;TOTAL_LABOR_HOURS_CAP,MAX(0,($D19+Z$5)-PERMANENT_FIELD_LABOR_HOURS)&gt;TEMP_HOURS_CAP),"",$C19+Z$6-MIN(($D19+Z$5),PERMANENT_FIELD_LABOR_HOURS)*PERMANENT_HOURLY_RATE-MAX(0,($D19+Z$5)-PERMANENT_FIELD_LABOR_HOURS)*TEMP_HOURLY_RATE-FIXED_SEASON_COST)</f>
        <v>-5449.42508060873</v>
      </c>
      <c r="AA19" s="53" t="n">
        <f aca="false">IF(OR($A19&gt;TOMATO_BED_CAP,$B19&gt;CARROT_BED_CAP,AA$4&gt;MESCLUN_BED_CAP,$A19+$B19+AA$4&gt;TOTAL_BEDS_AVAILABLE,($D19+AA$5)&gt;TOTAL_LABOR_HOURS_CAP,MAX(0,($D19+AA$5)-PERMANENT_FIELD_LABOR_HOURS)&gt;TEMP_HOURS_CAP),"",$C19+AA$6-MIN(($D19+AA$5),PERMANENT_FIELD_LABOR_HOURS)*PERMANENT_HOURLY_RATE-MAX(0,($D19+AA$5)-PERMANENT_FIELD_LABOR_HOURS)*TEMP_HOURLY_RATE-FIXED_SEASON_COST)</f>
        <v>-4893.85353093979</v>
      </c>
      <c r="AB19" s="53" t="n">
        <f aca="false">IF(OR($A19&gt;TOMATO_BED_CAP,$B19&gt;CARROT_BED_CAP,AB$4&gt;MESCLUN_BED_CAP,$A19+$B19+AB$4&gt;TOTAL_BEDS_AVAILABLE,($D19+AB$5)&gt;TOTAL_LABOR_HOURS_CAP,MAX(0,($D19+AB$5)-PERMANENT_FIELD_LABOR_HOURS)&gt;TEMP_HOURS_CAP),"",$C19+AB$6-MIN(($D19+AB$5),PERMANENT_FIELD_LABOR_HOURS)*PERMANENT_HOURLY_RATE-MAX(0,($D19+AB$5)-PERMANENT_FIELD_LABOR_HOURS)*TEMP_HOURLY_RATE-FIXED_SEASON_COST)</f>
        <v>-4366.76291913723</v>
      </c>
      <c r="AC19" s="53" t="n">
        <f aca="false">IF(OR($A19&gt;TOMATO_BED_CAP,$B19&gt;CARROT_BED_CAP,AC$4&gt;MESCLUN_BED_CAP,$A19+$B19+AC$4&gt;TOTAL_BEDS_AVAILABLE,($D19+AC$5)&gt;TOTAL_LABOR_HOURS_CAP,MAX(0,($D19+AC$5)-PERMANENT_FIELD_LABOR_HOURS)&gt;TEMP_HOURS_CAP),"",$C19+AC$6-MIN(($D19+AC$5),PERMANENT_FIELD_LABOR_HOURS)*PERMANENT_HOURLY_RATE-MAX(0,($D19+AC$5)-PERMANENT_FIELD_LABOR_HOURS)*TEMP_HOURLY_RATE-FIXED_SEASON_COST)</f>
        <v>-3868.66770170232</v>
      </c>
      <c r="AD19" s="53" t="n">
        <f aca="false">IF(OR($A19&gt;TOMATO_BED_CAP,$B19&gt;CARROT_BED_CAP,AD$4&gt;MESCLUN_BED_CAP,$A19+$B19+AD$4&gt;TOTAL_BEDS_AVAILABLE,($D19+AD$5)&gt;TOTAL_LABOR_HOURS_CAP,MAX(0,($D19+AD$5)-PERMANENT_FIELD_LABOR_HOURS)&gt;TEMP_HOURS_CAP),"",$C19+AD$6-MIN(($D19+AD$5),PERMANENT_FIELD_LABOR_HOURS)*PERMANENT_HOURLY_RATE-MAX(0,($D19+AD$5)-PERMANENT_FIELD_LABOR_HOURS)*TEMP_HOURLY_RATE-FIXED_SEASON_COST)</f>
        <v>-3400.09074640237</v>
      </c>
      <c r="AE19" s="53" t="n">
        <f aca="false">IF(OR($A19&gt;TOMATO_BED_CAP,$B19&gt;CARROT_BED_CAP,AE$4&gt;MESCLUN_BED_CAP,$A19+$B19+AE$4&gt;TOTAL_BEDS_AVAILABLE,($D19+AE$5)&gt;TOTAL_LABOR_HOURS_CAP,MAX(0,($D19+AE$5)-PERMANENT_FIELD_LABOR_HOURS)&gt;TEMP_HOURS_CAP),"",$C19+AE$6-MIN(($D19+AE$5),PERMANENT_FIELD_LABOR_HOURS)*PERMANENT_HOURLY_RATE-MAX(0,($D19+AE$5)-PERMANENT_FIELD_LABOR_HOURS)*TEMP_HOURLY_RATE-FIXED_SEASON_COST)</f>
        <v>-2961.56346216846</v>
      </c>
      <c r="AF19" s="53" t="n">
        <f aca="false">IF(OR($A19&gt;TOMATO_BED_CAP,$B19&gt;CARROT_BED_CAP,AF$4&gt;MESCLUN_BED_CAP,$A19+$B19+AF$4&gt;TOTAL_BEDS_AVAILABLE,($D19+AF$5)&gt;TOTAL_LABOR_HOURS_CAP,MAX(0,($D19+AF$5)-PERMANENT_FIELD_LABOR_HOURS)&gt;TEMP_HOURS_CAP),"",$C19+AF$6-MIN(($D19+AF$5),PERMANENT_FIELD_LABOR_HOURS)*PERMANENT_HOURLY_RATE-MAX(0,($D19+AF$5)-PERMANENT_FIELD_LABOR_HOURS)*TEMP_HOURLY_RATE-FIXED_SEASON_COST)</f>
        <v>-2553.6259309265</v>
      </c>
      <c r="AG19" s="53" t="n">
        <f aca="false">IF(OR($A19&gt;TOMATO_BED_CAP,$B19&gt;CARROT_BED_CAP,AG$4&gt;MESCLUN_BED_CAP,$A19+$B19+AG$4&gt;TOTAL_BEDS_AVAILABLE,($D19+AG$5)&gt;TOTAL_LABOR_HOURS_CAP,MAX(0,($D19+AG$5)-PERMANENT_FIELD_LABOR_HOURS)&gt;TEMP_HOURS_CAP),"",$C19+AG$6-MIN(($D19+AG$5),PERMANENT_FIELD_LABOR_HOURS)*PERMANENT_HOURLY_RATE-MAX(0,($D19+AG$5)-PERMANENT_FIELD_LABOR_HOURS)*TEMP_HOURLY_RATE-FIXED_SEASON_COST)</f>
        <v>-2176.82704138949</v>
      </c>
      <c r="AH19" s="53" t="n">
        <f aca="false">IF(OR($A19&gt;TOMATO_BED_CAP,$B19&gt;CARROT_BED_CAP,AH$4&gt;MESCLUN_BED_CAP,$A19+$B19+AH$4&gt;TOTAL_BEDS_AVAILABLE,($D19+AH$5)&gt;TOTAL_LABOR_HOURS_CAP,MAX(0,($D19+AH$5)-PERMANENT_FIELD_LABOR_HOURS)&gt;TEMP_HOURS_CAP),"",$C19+AH$6-MIN(($D19+AH$5),PERMANENT_FIELD_LABOR_HOURS)*PERMANENT_HOURLY_RATE-MAX(0,($D19+AH$5)-PERMANENT_FIELD_LABOR_HOURS)*TEMP_HOURLY_RATE-FIXED_SEASON_COST)</f>
        <v>-1831.72462483928</v>
      </c>
      <c r="AI19" s="53" t="n">
        <f aca="false">IF(OR($A19&gt;TOMATO_BED_CAP,$B19&gt;CARROT_BED_CAP,AI$4&gt;MESCLUN_BED_CAP,$A19+$B19+AI$4&gt;TOTAL_BEDS_AVAILABLE,($D19+AI$5)&gt;TOTAL_LABOR_HOURS_CAP,MAX(0,($D19+AI$5)-PERMANENT_FIELD_LABOR_HOURS)&gt;TEMP_HOURS_CAP),"",$C19+AI$6-MIN(($D19+AI$5),PERMANENT_FIELD_LABOR_HOURS)*PERMANENT_HOURLY_RATE-MAX(0,($D19+AI$5)-PERMANENT_FIELD_LABOR_HOURS)*TEMP_HOURLY_RATE-FIXED_SEASON_COST)</f>
        <v>-1518.88559292702</v>
      </c>
      <c r="AJ19" s="53" t="n">
        <f aca="false">IF(OR($A19&gt;TOMATO_BED_CAP,$B19&gt;CARROT_BED_CAP,AJ$4&gt;MESCLUN_BED_CAP,$A19+$B19+AJ$4&gt;TOTAL_BEDS_AVAILABLE,($D19+AJ$5)&gt;TOTAL_LABOR_HOURS_CAP,MAX(0,($D19+AJ$5)-PERMANENT_FIELD_LABOR_HOURS)&gt;TEMP_HOURS_CAP),"",$C19+AJ$6-MIN(($D19+AJ$5),PERMANENT_FIELD_LABOR_HOURS)*PERMANENT_HOURLY_RATE-MAX(0,($D19+AJ$5)-PERMANENT_FIELD_LABOR_HOURS)*TEMP_HOURLY_RATE-FIXED_SEASON_COST)</f>
        <v>-1238.88607752126</v>
      </c>
    </row>
    <row r="20" customFormat="false" ht="15" hidden="false" customHeight="false" outlineLevel="0" collapsed="false">
      <c r="A20" s="21" t="n">
        <f aca="false">INT((ROW()-ROW($A$8))/(20+1))</f>
        <v>0</v>
      </c>
      <c r="B20" s="21" t="n">
        <f aca="false">MOD(ROW()-ROW($A$8),20+1)</f>
        <v>12</v>
      </c>
      <c r="C20" s="13" t="n">
        <f aca="false">A20*(TOMATO_REVENUE_PER_BED-TOMATO_FERTILIZER_PER_BED)+B20*(CARROT_REVENUE_PER_BED-CARROT_FERTILIZER_PER_BED)</f>
        <v>19848</v>
      </c>
      <c r="D20" s="14" t="n">
        <f aca="false">INDEX(TOMATO_SCHED_LABOR_HRS,A20+1)+INDEX(CARROT_SCHED_LABOR_HRS,B20+1)</f>
        <v>483.966312737975</v>
      </c>
      <c r="E20" s="13" t="n">
        <f aca="false">IF(COUNT(F20:AJ20)=0,"",MAX(F20:AJ20))</f>
        <v>-472.865894258706</v>
      </c>
      <c r="F20" s="53" t="n">
        <f aca="false">IF(OR($A20&gt;TOMATO_BED_CAP,$B20&gt;CARROT_BED_CAP,F$4&gt;MESCLUN_BED_CAP,$A20+$B20+F$4&gt;TOTAL_BEDS_AVAILABLE,($D20+F$5)&gt;TOTAL_LABOR_HOURS_CAP,MAX(0,($D20+F$5)-PERMANENT_FIELD_LABOR_HOURS)&gt;TEMP_HOURS_CAP),"",$C20+F$6-MIN(($D20+F$5),PERMANENT_FIELD_LABOR_HOURS)*PERMANENT_HOURLY_RATE-MAX(0,($D20+F$5)-PERMANENT_FIELD_LABOR_HOURS)*TEMP_HOURLY_RATE-FIXED_SEASON_COST)</f>
        <v>-16955.3103782625</v>
      </c>
      <c r="G20" s="53" t="n">
        <f aca="false">IF(OR($A20&gt;TOMATO_BED_CAP,$B20&gt;CARROT_BED_CAP,G$4&gt;MESCLUN_BED_CAP,$A20+$B20+G$4&gt;TOTAL_BEDS_AVAILABLE,($D20+G$5)&gt;TOTAL_LABOR_HOURS_CAP,MAX(0,($D20+G$5)-PERMANENT_FIELD_LABOR_HOURS)&gt;TEMP_HOURS_CAP),"",$C20+G$6-MIN(($D20+G$5),PERMANENT_FIELD_LABOR_HOURS)*PERMANENT_HOURLY_RATE-MAX(0,($D20+G$5)-PERMANENT_FIELD_LABOR_HOURS)*TEMP_HOURLY_RATE-FIXED_SEASON_COST)</f>
        <v>-16717.2403782625</v>
      </c>
      <c r="H20" s="53" t="n">
        <f aca="false">IF(OR($A20&gt;TOMATO_BED_CAP,$B20&gt;CARROT_BED_CAP,H$4&gt;MESCLUN_BED_CAP,$A20+$B20+H$4&gt;TOTAL_BEDS_AVAILABLE,($D20+H$5)&gt;TOTAL_LABOR_HOURS_CAP,MAX(0,($D20+H$5)-PERMANENT_FIELD_LABOR_HOURS)&gt;TEMP_HOURS_CAP),"",$C20+H$6-MIN(($D20+H$5),PERMANENT_FIELD_LABOR_HOURS)*PERMANENT_HOURLY_RATE-MAX(0,($D20+H$5)-PERMANENT_FIELD_LABOR_HOURS)*TEMP_HOURLY_RATE-FIXED_SEASON_COST)</f>
        <v>-16518.7186282625</v>
      </c>
      <c r="I20" s="53" t="n">
        <f aca="false">IF(OR($A20&gt;TOMATO_BED_CAP,$B20&gt;CARROT_BED_CAP,I$4&gt;MESCLUN_BED_CAP,$A20+$B20+I$4&gt;TOTAL_BEDS_AVAILABLE,($D20+I$5)&gt;TOTAL_LABOR_HOURS_CAP,MAX(0,($D20+I$5)-PERMANENT_FIELD_LABOR_HOURS)&gt;TEMP_HOURS_CAP),"",$C20+I$6-MIN(($D20+I$5),PERMANENT_FIELD_LABOR_HOURS)*PERMANENT_HOURLY_RATE-MAX(0,($D20+I$5)-PERMANENT_FIELD_LABOR_HOURS)*TEMP_HOURLY_RATE-FIXED_SEASON_COST)</f>
        <v>-16360.48665795</v>
      </c>
      <c r="J20" s="53" t="n">
        <f aca="false">IF(OR($A20&gt;TOMATO_BED_CAP,$B20&gt;CARROT_BED_CAP,J$4&gt;MESCLUN_BED_CAP,$A20+$B20+J$4&gt;TOTAL_BEDS_AVAILABLE,($D20+J$5)&gt;TOTAL_LABOR_HOURS_CAP,MAX(0,($D20+J$5)-PERMANENT_FIELD_LABOR_HOURS)&gt;TEMP_HOURS_CAP),"",$C20+J$6-MIN(($D20+J$5),PERMANENT_FIELD_LABOR_HOURS)*PERMANENT_HOURLY_RATE-MAX(0,($D20+J$5)-PERMANENT_FIELD_LABOR_HOURS)*TEMP_HOURLY_RATE-FIXED_SEASON_COST)</f>
        <v>-16243.2983558406</v>
      </c>
      <c r="K20" s="53" t="n">
        <f aca="false">IF(OR($A20&gt;TOMATO_BED_CAP,$B20&gt;CARROT_BED_CAP,K$4&gt;MESCLUN_BED_CAP,$A20+$B20+K$4&gt;TOTAL_BEDS_AVAILABLE,($D20+K$5)&gt;TOTAL_LABOR_HOURS_CAP,MAX(0,($D20+K$5)-PERMANENT_FIELD_LABOR_HOURS)&gt;TEMP_HOURS_CAP),"",$C20+K$6-MIN(($D20+K$5),PERMANENT_FIELD_LABOR_HOURS)*PERMANENT_HOURLY_RATE-MAX(0,($D20+K$5)-PERMANENT_FIELD_LABOR_HOURS)*TEMP_HOURLY_RATE-FIXED_SEASON_COST)</f>
        <v>-16109.1600811924</v>
      </c>
      <c r="L20" s="53" t="n">
        <f aca="false">IF(OR($A20&gt;TOMATO_BED_CAP,$B20&gt;CARROT_BED_CAP,L$4&gt;MESCLUN_BED_CAP,$A20+$B20+L$4&gt;TOTAL_BEDS_AVAILABLE,($D20+L$5)&gt;TOTAL_LABOR_HOURS_CAP,MAX(0,($D20+L$5)-PERMANENT_FIELD_LABOR_HOURS)&gt;TEMP_HOURS_CAP),"",$C20+L$6-MIN(($D20+L$5),PERMANENT_FIELD_LABOR_HOURS)*PERMANENT_HOURLY_RATE-MAX(0,($D20+L$5)-PERMANENT_FIELD_LABOR_HOURS)*TEMP_HOURLY_RATE-FIXED_SEASON_COST)</f>
        <v>-15182.7656329856</v>
      </c>
      <c r="M20" s="53" t="n">
        <f aca="false">IF(OR($A20&gt;TOMATO_BED_CAP,$B20&gt;CARROT_BED_CAP,M$4&gt;MESCLUN_BED_CAP,$A20+$B20+M$4&gt;TOTAL_BEDS_AVAILABLE,($D20+M$5)&gt;TOTAL_LABOR_HOURS_CAP,MAX(0,($D20+M$5)-PERMANENT_FIELD_LABOR_HOURS)&gt;TEMP_HOURS_CAP),"",$C20+M$6-MIN(($D20+M$5),PERMANENT_FIELD_LABOR_HOURS)*PERMANENT_HOURLY_RATE-MAX(0,($D20+M$5)-PERMANENT_FIELD_LABOR_HOURS)*TEMP_HOURLY_RATE-FIXED_SEASON_COST)</f>
        <v>-14278.0619009341</v>
      </c>
      <c r="N20" s="53" t="n">
        <f aca="false">IF(OR($A20&gt;TOMATO_BED_CAP,$B20&gt;CARROT_BED_CAP,N$4&gt;MESCLUN_BED_CAP,$A20+$B20+N$4&gt;TOTAL_BEDS_AVAILABLE,($D20+N$5)&gt;TOTAL_LABOR_HOURS_CAP,MAX(0,($D20+N$5)-PERMANENT_FIELD_LABOR_HOURS)&gt;TEMP_HOURS_CAP),"",$C20+N$6-MIN(($D20+N$5),PERMANENT_FIELD_LABOR_HOURS)*PERMANENT_HOURLY_RATE-MAX(0,($D20+N$5)-PERMANENT_FIELD_LABOR_HOURS)*TEMP_HOURLY_RATE-FIXED_SEASON_COST)</f>
        <v>-13395.4515270746</v>
      </c>
      <c r="O20" s="53" t="n">
        <f aca="false">IF(OR($A20&gt;TOMATO_BED_CAP,$B20&gt;CARROT_BED_CAP,O$4&gt;MESCLUN_BED_CAP,$A20+$B20+O$4&gt;TOTAL_BEDS_AVAILABLE,($D20+O$5)&gt;TOTAL_LABOR_HOURS_CAP,MAX(0,($D20+O$5)-PERMANENT_FIELD_LABOR_HOURS)&gt;TEMP_HOURS_CAP),"",$C20+O$6-MIN(($D20+O$5),PERMANENT_FIELD_LABOR_HOURS)*PERMANENT_HOURLY_RATE-MAX(0,($D20+O$5)-PERMANENT_FIELD_LABOR_HOURS)*TEMP_HOURLY_RATE-FIXED_SEASON_COST)</f>
        <v>-12535.3438303198</v>
      </c>
      <c r="P20" s="53" t="n">
        <f aca="false">IF(OR($A20&gt;TOMATO_BED_CAP,$B20&gt;CARROT_BED_CAP,P$4&gt;MESCLUN_BED_CAP,$A20+$B20+P$4&gt;TOTAL_BEDS_AVAILABLE,($D20+P$5)&gt;TOTAL_LABOR_HOURS_CAP,MAX(0,($D20+P$5)-PERMANENT_FIELD_LABOR_HOURS)&gt;TEMP_HOURS_CAP),"",$C20+P$6-MIN(($D20+P$5),PERMANENT_FIELD_LABOR_HOURS)*PERMANENT_HOURLY_RATE-MAX(0,($D20+P$5)-PERMANENT_FIELD_LABOR_HOURS)*TEMP_HOURLY_RATE-FIXED_SEASON_COST)</f>
        <v>-11698.1549104684</v>
      </c>
      <c r="Q20" s="53" t="n">
        <f aca="false">IF(OR($A20&gt;TOMATO_BED_CAP,$B20&gt;CARROT_BED_CAP,Q$4&gt;MESCLUN_BED_CAP,$A20+$B20+Q$4&gt;TOTAL_BEDS_AVAILABLE,($D20+Q$5)&gt;TOTAL_LABOR_HOURS_CAP,MAX(0,($D20+Q$5)-PERMANENT_FIELD_LABOR_HOURS)&gt;TEMP_HOURS_CAP),"",$C20+Q$6-MIN(($D20+Q$5),PERMANENT_FIELD_LABOR_HOURS)*PERMANENT_HOURLY_RATE-MAX(0,($D20+Q$5)-PERMANENT_FIELD_LABOR_HOURS)*TEMP_HOURLY_RATE-FIXED_SEASON_COST)</f>
        <v>-10884.3077537705</v>
      </c>
      <c r="R20" s="53" t="n">
        <f aca="false">IF(OR($A20&gt;TOMATO_BED_CAP,$B20&gt;CARROT_BED_CAP,R$4&gt;MESCLUN_BED_CAP,$A20+$B20+R$4&gt;TOTAL_BEDS_AVAILABLE,($D20+R$5)&gt;TOTAL_LABOR_HOURS_CAP,MAX(0,($D20+R$5)-PERMANENT_FIELD_LABOR_HOURS)&gt;TEMP_HOURS_CAP),"",$C20+R$6-MIN(($D20+R$5),PERMANENT_FIELD_LABOR_HOURS)*PERMANENT_HOURLY_RATE-MAX(0,($D20+R$5)-PERMANENT_FIELD_LABOR_HOURS)*TEMP_HOURLY_RATE-FIXED_SEASON_COST)</f>
        <v>-10094.2323400737</v>
      </c>
      <c r="S20" s="53" t="n">
        <f aca="false">IF(OR($A20&gt;TOMATO_BED_CAP,$B20&gt;CARROT_BED_CAP,S$4&gt;MESCLUN_BED_CAP,$A20+$B20+S$4&gt;TOTAL_BEDS_AVAILABLE,($D20+S$5)&gt;TOTAL_LABOR_HOURS_CAP,MAX(0,($D20+S$5)-PERMANENT_FIELD_LABOR_HOURS)&gt;TEMP_HOURS_CAP),"",$C20+S$6-MIN(($D20+S$5),PERMANENT_FIELD_LABOR_HOURS)*PERMANENT_HOURLY_RATE-MAX(0,($D20+S$5)-PERMANENT_FIELD_LABOR_HOURS)*TEMP_HOURLY_RATE-FIXED_SEASON_COST)</f>
        <v>-9328.36575157128</v>
      </c>
      <c r="T20" s="53" t="n">
        <f aca="false">IF(OR($A20&gt;TOMATO_BED_CAP,$B20&gt;CARROT_BED_CAP,T$4&gt;MESCLUN_BED_CAP,$A20+$B20+T$4&gt;TOTAL_BEDS_AVAILABLE,($D20+T$5)&gt;TOTAL_LABOR_HOURS_CAP,MAX(0,($D20+T$5)-PERMANENT_FIELD_LABOR_HOURS)&gt;TEMP_HOURS_CAP),"",$C20+T$6-MIN(($D20+T$5),PERMANENT_FIELD_LABOR_HOURS)*PERMANENT_HOURLY_RATE-MAX(0,($D20+T$5)-PERMANENT_FIELD_LABOR_HOURS)*TEMP_HOURLY_RATE-FIXED_SEASON_COST)</f>
        <v>-8587.15228317643</v>
      </c>
      <c r="U20" s="53" t="n">
        <f aca="false">IF(OR($A20&gt;TOMATO_BED_CAP,$B20&gt;CARROT_BED_CAP,U$4&gt;MESCLUN_BED_CAP,$A20+$B20+U$4&gt;TOTAL_BEDS_AVAILABLE,($D20+U$5)&gt;TOTAL_LABOR_HOURS_CAP,MAX(0,($D20+U$5)-PERMANENT_FIELD_LABOR_HOURS)&gt;TEMP_HOURS_CAP),"",$C20+U$6-MIN(($D20+U$5),PERMANENT_FIELD_LABOR_HOURS)*PERMANENT_HOURLY_RATE-MAX(0,($D20+U$5)-PERMANENT_FIELD_LABOR_HOURS)*TEMP_HOURLY_RATE-FIXED_SEASON_COST)</f>
        <v>-7871.04355454633</v>
      </c>
      <c r="V20" s="53" t="n">
        <f aca="false">IF(OR($A20&gt;TOMATO_BED_CAP,$B20&gt;CARROT_BED_CAP,V$4&gt;MESCLUN_BED_CAP,$A20+$B20+V$4&gt;TOTAL_BEDS_AVAILABLE,($D20+V$5)&gt;TOTAL_LABOR_HOURS_CAP,MAX(0,($D20+V$5)-PERMANENT_FIELD_LABOR_HOURS)&gt;TEMP_HOURS_CAP),"",$C20+V$6-MIN(($D20+V$5),PERMANENT_FIELD_LABOR_HOURS)*PERMANENT_HOURLY_RATE-MAX(0,($D20+V$5)-PERMANENT_FIELD_LABOR_HOURS)*TEMP_HOURLY_RATE-FIXED_SEASON_COST)</f>
        <v>-7180.49862377954</v>
      </c>
      <c r="W20" s="53" t="n">
        <f aca="false">IF(OR($A20&gt;TOMATO_BED_CAP,$B20&gt;CARROT_BED_CAP,W$4&gt;MESCLUN_BED_CAP,$A20+$B20+W$4&gt;TOTAL_BEDS_AVAILABLE,($D20+W$5)&gt;TOTAL_LABOR_HOURS_CAP,MAX(0,($D20+W$5)-PERMANENT_FIELD_LABOR_HOURS)&gt;TEMP_HOURS_CAP),"",$C20+W$6-MIN(($D20+W$5),PERMANENT_FIELD_LABOR_HOURS)*PERMANENT_HOURLY_RATE-MAX(0,($D20+W$5)-PERMANENT_FIELD_LABOR_HOURS)*TEMP_HOURLY_RATE-FIXED_SEASON_COST)</f>
        <v>-6515.98410281148</v>
      </c>
      <c r="X20" s="53" t="n">
        <f aca="false">IF(OR($A20&gt;TOMATO_BED_CAP,$B20&gt;CARROT_BED_CAP,X$4&gt;MESCLUN_BED_CAP,$A20+$B20+X$4&gt;TOTAL_BEDS_AVAILABLE,($D20+X$5)&gt;TOTAL_LABOR_HOURS_CAP,MAX(0,($D20+X$5)-PERMANENT_FIELD_LABOR_HOURS)&gt;TEMP_HOURS_CAP),"",$C20+X$6-MIN(($D20+X$5),PERMANENT_FIELD_LABOR_HOURS)*PERMANENT_HOURLY_RATE-MAX(0,($D20+X$5)-PERMANENT_FIELD_LABOR_HOURS)*TEMP_HOURLY_RATE-FIXED_SEASON_COST)</f>
        <v>-5877.97427453255</v>
      </c>
      <c r="Y20" s="53" t="n">
        <f aca="false">IF(OR($A20&gt;TOMATO_BED_CAP,$B20&gt;CARROT_BED_CAP,Y$4&gt;MESCLUN_BED_CAP,$A20+$B20+Y$4&gt;TOTAL_BEDS_AVAILABLE,($D20+Y$5)&gt;TOTAL_LABOR_HOURS_CAP,MAX(0,($D20+Y$5)-PERMANENT_FIELD_LABOR_HOURS)&gt;TEMP_HOURS_CAP),"",$C20+Y$6-MIN(($D20+Y$5),PERMANENT_FIELD_LABOR_HOURS)*PERMANENT_HOURLY_RATE-MAX(0,($D20+Y$5)-PERMANENT_FIELD_LABOR_HOURS)*TEMP_HOURLY_RATE-FIXED_SEASON_COST)</f>
        <v>-5266.95121165389</v>
      </c>
      <c r="Z20" s="53" t="n">
        <f aca="false">IF(OR($A20&gt;TOMATO_BED_CAP,$B20&gt;CARROT_BED_CAP,Z$4&gt;MESCLUN_BED_CAP,$A20+$B20+Z$4&gt;TOTAL_BEDS_AVAILABLE,($D20+Z$5)&gt;TOTAL_LABOR_HOURS_CAP,MAX(0,($D20+Z$5)-PERMANENT_FIELD_LABOR_HOURS)&gt;TEMP_HOURS_CAP),"",$C20+Z$6-MIN(($D20+Z$5),PERMANENT_FIELD_LABOR_HOURS)*PERMANENT_HOURLY_RATE-MAX(0,($D20+Z$5)-PERMANENT_FIELD_LABOR_HOURS)*TEMP_HOURLY_RATE-FIXED_SEASON_COST)</f>
        <v>-4683.40489734617</v>
      </c>
      <c r="AA20" s="53" t="n">
        <f aca="false">IF(OR($A20&gt;TOMATO_BED_CAP,$B20&gt;CARROT_BED_CAP,AA$4&gt;MESCLUN_BED_CAP,$A20+$B20+AA$4&gt;TOTAL_BEDS_AVAILABLE,($D20+AA$5)&gt;TOTAL_LABOR_HOURS_CAP,MAX(0,($D20+AA$5)-PERMANENT_FIELD_LABOR_HOURS)&gt;TEMP_HOURS_CAP),"",$C20+AA$6-MIN(($D20+AA$5),PERMANENT_FIELD_LABOR_HOURS)*PERMANENT_HOURLY_RATE-MAX(0,($D20+AA$5)-PERMANENT_FIELD_LABOR_HOURS)*TEMP_HOURLY_RATE-FIXED_SEASON_COST)</f>
        <v>-4127.83334767724</v>
      </c>
      <c r="AB20" s="53" t="n">
        <f aca="false">IF(OR($A20&gt;TOMATO_BED_CAP,$B20&gt;CARROT_BED_CAP,AB$4&gt;MESCLUN_BED_CAP,$A20+$B20+AB$4&gt;TOTAL_BEDS_AVAILABLE,($D20+AB$5)&gt;TOTAL_LABOR_HOURS_CAP,MAX(0,($D20+AB$5)-PERMANENT_FIELD_LABOR_HOURS)&gt;TEMP_HOURS_CAP),"",$C20+AB$6-MIN(($D20+AB$5),PERMANENT_FIELD_LABOR_HOURS)*PERMANENT_HOURLY_RATE-MAX(0,($D20+AB$5)-PERMANENT_FIELD_LABOR_HOURS)*TEMP_HOURLY_RATE-FIXED_SEASON_COST)</f>
        <v>-3600.74273587467</v>
      </c>
      <c r="AC20" s="53" t="n">
        <f aca="false">IF(OR($A20&gt;TOMATO_BED_CAP,$B20&gt;CARROT_BED_CAP,AC$4&gt;MESCLUN_BED_CAP,$A20+$B20+AC$4&gt;TOTAL_BEDS_AVAILABLE,($D20+AC$5)&gt;TOTAL_LABOR_HOURS_CAP,MAX(0,($D20+AC$5)-PERMANENT_FIELD_LABOR_HOURS)&gt;TEMP_HOURS_CAP),"",$C20+AC$6-MIN(($D20+AC$5),PERMANENT_FIELD_LABOR_HOURS)*PERMANENT_HOURLY_RATE-MAX(0,($D20+AC$5)-PERMANENT_FIELD_LABOR_HOURS)*TEMP_HOURLY_RATE-FIXED_SEASON_COST)</f>
        <v>-3102.64751843977</v>
      </c>
      <c r="AD20" s="53" t="n">
        <f aca="false">IF(OR($A20&gt;TOMATO_BED_CAP,$B20&gt;CARROT_BED_CAP,AD$4&gt;MESCLUN_BED_CAP,$A20+$B20+AD$4&gt;TOTAL_BEDS_AVAILABLE,($D20+AD$5)&gt;TOTAL_LABOR_HOURS_CAP,MAX(0,($D20+AD$5)-PERMANENT_FIELD_LABOR_HOURS)&gt;TEMP_HOURS_CAP),"",$C20+AD$6-MIN(($D20+AD$5),PERMANENT_FIELD_LABOR_HOURS)*PERMANENT_HOURLY_RATE-MAX(0,($D20+AD$5)-PERMANENT_FIELD_LABOR_HOURS)*TEMP_HOURLY_RATE-FIXED_SEASON_COST)</f>
        <v>-2634.07056313981</v>
      </c>
      <c r="AE20" s="53" t="n">
        <f aca="false">IF(OR($A20&gt;TOMATO_BED_CAP,$B20&gt;CARROT_BED_CAP,AE$4&gt;MESCLUN_BED_CAP,$A20+$B20+AE$4&gt;TOTAL_BEDS_AVAILABLE,($D20+AE$5)&gt;TOTAL_LABOR_HOURS_CAP,MAX(0,($D20+AE$5)-PERMANENT_FIELD_LABOR_HOURS)&gt;TEMP_HOURS_CAP),"",$C20+AE$6-MIN(($D20+AE$5),PERMANENT_FIELD_LABOR_HOURS)*PERMANENT_HOURLY_RATE-MAX(0,($D20+AE$5)-PERMANENT_FIELD_LABOR_HOURS)*TEMP_HOURLY_RATE-FIXED_SEASON_COST)</f>
        <v>-2195.54327890591</v>
      </c>
      <c r="AF20" s="53" t="n">
        <f aca="false">IF(OR($A20&gt;TOMATO_BED_CAP,$B20&gt;CARROT_BED_CAP,AF$4&gt;MESCLUN_BED_CAP,$A20+$B20+AF$4&gt;TOTAL_BEDS_AVAILABLE,($D20+AF$5)&gt;TOTAL_LABOR_HOURS_CAP,MAX(0,($D20+AF$5)-PERMANENT_FIELD_LABOR_HOURS)&gt;TEMP_HOURS_CAP),"",$C20+AF$6-MIN(($D20+AF$5),PERMANENT_FIELD_LABOR_HOURS)*PERMANENT_HOURLY_RATE-MAX(0,($D20+AF$5)-PERMANENT_FIELD_LABOR_HOURS)*TEMP_HOURLY_RATE-FIXED_SEASON_COST)</f>
        <v>-1787.60574766395</v>
      </c>
      <c r="AG20" s="53" t="n">
        <f aca="false">IF(OR($A20&gt;TOMATO_BED_CAP,$B20&gt;CARROT_BED_CAP,AG$4&gt;MESCLUN_BED_CAP,$A20+$B20+AG$4&gt;TOTAL_BEDS_AVAILABLE,($D20+AG$5)&gt;TOTAL_LABOR_HOURS_CAP,MAX(0,($D20+AG$5)-PERMANENT_FIELD_LABOR_HOURS)&gt;TEMP_HOURS_CAP),"",$C20+AG$6-MIN(($D20+AG$5),PERMANENT_FIELD_LABOR_HOURS)*PERMANENT_HOURLY_RATE-MAX(0,($D20+AG$5)-PERMANENT_FIELD_LABOR_HOURS)*TEMP_HOURLY_RATE-FIXED_SEASON_COST)</f>
        <v>-1410.80685812694</v>
      </c>
      <c r="AH20" s="53" t="n">
        <f aca="false">IF(OR($A20&gt;TOMATO_BED_CAP,$B20&gt;CARROT_BED_CAP,AH$4&gt;MESCLUN_BED_CAP,$A20+$B20+AH$4&gt;TOTAL_BEDS_AVAILABLE,($D20+AH$5)&gt;TOTAL_LABOR_HOURS_CAP,MAX(0,($D20+AH$5)-PERMANENT_FIELD_LABOR_HOURS)&gt;TEMP_HOURS_CAP),"",$C20+AH$6-MIN(($D20+AH$5),PERMANENT_FIELD_LABOR_HOURS)*PERMANENT_HOURLY_RATE-MAX(0,($D20+AH$5)-PERMANENT_FIELD_LABOR_HOURS)*TEMP_HOURLY_RATE-FIXED_SEASON_COST)</f>
        <v>-1065.70444157672</v>
      </c>
      <c r="AI20" s="53" t="n">
        <f aca="false">IF(OR($A20&gt;TOMATO_BED_CAP,$B20&gt;CARROT_BED_CAP,AI$4&gt;MESCLUN_BED_CAP,$A20+$B20+AI$4&gt;TOTAL_BEDS_AVAILABLE,($D20+AI$5)&gt;TOTAL_LABOR_HOURS_CAP,MAX(0,($D20+AI$5)-PERMANENT_FIELD_LABOR_HOURS)&gt;TEMP_HOURS_CAP),"",$C20+AI$6-MIN(($D20+AI$5),PERMANENT_FIELD_LABOR_HOURS)*PERMANENT_HOURLY_RATE-MAX(0,($D20+AI$5)-PERMANENT_FIELD_LABOR_HOURS)*TEMP_HOURLY_RATE-FIXED_SEASON_COST)</f>
        <v>-752.865409664464</v>
      </c>
      <c r="AJ20" s="53" t="n">
        <f aca="false">IF(OR($A20&gt;TOMATO_BED_CAP,$B20&gt;CARROT_BED_CAP,AJ$4&gt;MESCLUN_BED_CAP,$A20+$B20+AJ$4&gt;TOTAL_BEDS_AVAILABLE,($D20+AJ$5)&gt;TOTAL_LABOR_HOURS_CAP,MAX(0,($D20+AJ$5)-PERMANENT_FIELD_LABOR_HOURS)&gt;TEMP_HOURS_CAP),"",$C20+AJ$6-MIN(($D20+AJ$5),PERMANENT_FIELD_LABOR_HOURS)*PERMANENT_HOURLY_RATE-MAX(0,($D20+AJ$5)-PERMANENT_FIELD_LABOR_HOURS)*TEMP_HOURLY_RATE-FIXED_SEASON_COST)</f>
        <v>-472.865894258706</v>
      </c>
    </row>
    <row r="21" customFormat="false" ht="15" hidden="false" customHeight="false" outlineLevel="0" collapsed="false">
      <c r="A21" s="21" t="n">
        <f aca="false">INT((ROW()-ROW($A$8))/(20+1))</f>
        <v>0</v>
      </c>
      <c r="B21" s="21" t="n">
        <f aca="false">MOD(ROW()-ROW($A$8),20+1)</f>
        <v>13</v>
      </c>
      <c r="C21" s="13" t="n">
        <f aca="false">A21*(TOMATO_REVENUE_PER_BED-TOMATO_FERTILIZER_PER_BED)+B21*(CARROT_REVENUE_PER_BED-CARROT_FERTILIZER_PER_BED)</f>
        <v>21502</v>
      </c>
      <c r="D21" s="14" t="n">
        <f aca="false">INDEX(TOMATO_SCHED_LABOR_HRS,A21+1)+INDEX(CARROT_SCHED_LABOR_HRS,B21+1)</f>
        <v>537.40425976946</v>
      </c>
      <c r="E21" s="13" t="n">
        <f aca="false">IF(COUNT(F21:AJ21)=0,"",MAX(F21:AJ21))</f>
        <v>253.451345274716</v>
      </c>
      <c r="F21" s="53" t="n">
        <f aca="false">IF(OR($A21&gt;TOMATO_BED_CAP,$B21&gt;CARROT_BED_CAP,F$4&gt;MESCLUN_BED_CAP,$A21+$B21+F$4&gt;TOTAL_BEDS_AVAILABLE,($D21+F$5)&gt;TOTAL_LABOR_HOURS_CAP,MAX(0,($D21+F$5)-PERMANENT_FIELD_LABOR_HOURS)&gt;TEMP_HOURS_CAP),"",$C21+F$6-MIN(($D21+F$5),PERMANENT_FIELD_LABOR_HOURS)*PERMANENT_HOURLY_RATE-MAX(0,($D21+F$5)-PERMANENT_FIELD_LABOR_HOURS)*TEMP_HOURLY_RATE-FIXED_SEASON_COST)</f>
        <v>-17156.6758991957</v>
      </c>
      <c r="G21" s="53" t="n">
        <f aca="false">IF(OR($A21&gt;TOMATO_BED_CAP,$B21&gt;CARROT_BED_CAP,G$4&gt;MESCLUN_BED_CAP,$A21+$B21+G$4&gt;TOTAL_BEDS_AVAILABLE,($D21+G$5)&gt;TOTAL_LABOR_HOURS_CAP,MAX(0,($D21+G$5)-PERMANENT_FIELD_LABOR_HOURS)&gt;TEMP_HOURS_CAP),"",$C21+G$6-MIN(($D21+G$5),PERMANENT_FIELD_LABOR_HOURS)*PERMANENT_HOURLY_RATE-MAX(0,($D21+G$5)-PERMANENT_FIELD_LABOR_HOURS)*TEMP_HOURLY_RATE-FIXED_SEASON_COST)</f>
        <v>-16918.6058991957</v>
      </c>
      <c r="H21" s="53" t="n">
        <f aca="false">IF(OR($A21&gt;TOMATO_BED_CAP,$B21&gt;CARROT_BED_CAP,H$4&gt;MESCLUN_BED_CAP,$A21+$B21+H$4&gt;TOTAL_BEDS_AVAILABLE,($D21+H$5)&gt;TOTAL_LABOR_HOURS_CAP,MAX(0,($D21+H$5)-PERMANENT_FIELD_LABOR_HOURS)&gt;TEMP_HOURS_CAP),"",$C21+H$6-MIN(($D21+H$5),PERMANENT_FIELD_LABOR_HOURS)*PERMANENT_HOURLY_RATE-MAX(0,($D21+H$5)-PERMANENT_FIELD_LABOR_HOURS)*TEMP_HOURLY_RATE-FIXED_SEASON_COST)</f>
        <v>-16720.0841491957</v>
      </c>
      <c r="I21" s="53" t="n">
        <f aca="false">IF(OR($A21&gt;TOMATO_BED_CAP,$B21&gt;CARROT_BED_CAP,I$4&gt;MESCLUN_BED_CAP,$A21+$B21+I$4&gt;TOTAL_BEDS_AVAILABLE,($D21+I$5)&gt;TOTAL_LABOR_HOURS_CAP,MAX(0,($D21+I$5)-PERMANENT_FIELD_LABOR_HOURS)&gt;TEMP_HOURS_CAP),"",$C21+I$6-MIN(($D21+I$5),PERMANENT_FIELD_LABOR_HOURS)*PERMANENT_HOURLY_RATE-MAX(0,($D21+I$5)-PERMANENT_FIELD_LABOR_HOURS)*TEMP_HOURLY_RATE-FIXED_SEASON_COST)</f>
        <v>-16561.8521788832</v>
      </c>
      <c r="J21" s="53" t="n">
        <f aca="false">IF(OR($A21&gt;TOMATO_BED_CAP,$B21&gt;CARROT_BED_CAP,J$4&gt;MESCLUN_BED_CAP,$A21+$B21+J$4&gt;TOTAL_BEDS_AVAILABLE,($D21+J$5)&gt;TOTAL_LABOR_HOURS_CAP,MAX(0,($D21+J$5)-PERMANENT_FIELD_LABOR_HOURS)&gt;TEMP_HOURS_CAP),"",$C21+J$6-MIN(($D21+J$5),PERMANENT_FIELD_LABOR_HOURS)*PERMANENT_HOURLY_RATE-MAX(0,($D21+J$5)-PERMANENT_FIELD_LABOR_HOURS)*TEMP_HOURLY_RATE-FIXED_SEASON_COST)</f>
        <v>-16330.5319383869</v>
      </c>
      <c r="K21" s="53" t="n">
        <f aca="false">IF(OR($A21&gt;TOMATO_BED_CAP,$B21&gt;CARROT_BED_CAP,K$4&gt;MESCLUN_BED_CAP,$A21+$B21+K$4&gt;TOTAL_BEDS_AVAILABLE,($D21+K$5)&gt;TOTAL_LABOR_HOURS_CAP,MAX(0,($D21+K$5)-PERMANENT_FIELD_LABOR_HOURS)&gt;TEMP_HOURS_CAP),"",$C21+K$6-MIN(($D21+K$5),PERMANENT_FIELD_LABOR_HOURS)*PERMANENT_HOURLY_RATE-MAX(0,($D21+K$5)-PERMANENT_FIELD_LABOR_HOURS)*TEMP_HOURLY_RATE-FIXED_SEASON_COST)</f>
        <v>-15382.842841659</v>
      </c>
      <c r="L21" s="53" t="n">
        <f aca="false">IF(OR($A21&gt;TOMATO_BED_CAP,$B21&gt;CARROT_BED_CAP,L$4&gt;MESCLUN_BED_CAP,$A21+$B21+L$4&gt;TOTAL_BEDS_AVAILABLE,($D21+L$5)&gt;TOTAL_LABOR_HOURS_CAP,MAX(0,($D21+L$5)-PERMANENT_FIELD_LABOR_HOURS)&gt;TEMP_HOURS_CAP),"",$C21+L$6-MIN(($D21+L$5),PERMANENT_FIELD_LABOR_HOURS)*PERMANENT_HOURLY_RATE-MAX(0,($D21+L$5)-PERMANENT_FIELD_LABOR_HOURS)*TEMP_HOURLY_RATE-FIXED_SEASON_COST)</f>
        <v>-14456.4483934521</v>
      </c>
      <c r="M21" s="53" t="n">
        <f aca="false">IF(OR($A21&gt;TOMATO_BED_CAP,$B21&gt;CARROT_BED_CAP,M$4&gt;MESCLUN_BED_CAP,$A21+$B21+M$4&gt;TOTAL_BEDS_AVAILABLE,($D21+M$5)&gt;TOTAL_LABOR_HOURS_CAP,MAX(0,($D21+M$5)-PERMANENT_FIELD_LABOR_HOURS)&gt;TEMP_HOURS_CAP),"",$C21+M$6-MIN(($D21+M$5),PERMANENT_FIELD_LABOR_HOURS)*PERMANENT_HOURLY_RATE-MAX(0,($D21+M$5)-PERMANENT_FIELD_LABOR_HOURS)*TEMP_HOURLY_RATE-FIXED_SEASON_COST)</f>
        <v>-13551.7446614007</v>
      </c>
      <c r="N21" s="53" t="n">
        <f aca="false">IF(OR($A21&gt;TOMATO_BED_CAP,$B21&gt;CARROT_BED_CAP,N$4&gt;MESCLUN_BED_CAP,$A21+$B21+N$4&gt;TOTAL_BEDS_AVAILABLE,($D21+N$5)&gt;TOTAL_LABOR_HOURS_CAP,MAX(0,($D21+N$5)-PERMANENT_FIELD_LABOR_HOURS)&gt;TEMP_HOURS_CAP),"",$C21+N$6-MIN(($D21+N$5),PERMANENT_FIELD_LABOR_HOURS)*PERMANENT_HOURLY_RATE-MAX(0,($D21+N$5)-PERMANENT_FIELD_LABOR_HOURS)*TEMP_HOURLY_RATE-FIXED_SEASON_COST)</f>
        <v>-12669.1342875412</v>
      </c>
      <c r="O21" s="53" t="n">
        <f aca="false">IF(OR($A21&gt;TOMATO_BED_CAP,$B21&gt;CARROT_BED_CAP,O$4&gt;MESCLUN_BED_CAP,$A21+$B21+O$4&gt;TOTAL_BEDS_AVAILABLE,($D21+O$5)&gt;TOTAL_LABOR_HOURS_CAP,MAX(0,($D21+O$5)-PERMANENT_FIELD_LABOR_HOURS)&gt;TEMP_HOURS_CAP),"",$C21+O$6-MIN(($D21+O$5),PERMANENT_FIELD_LABOR_HOURS)*PERMANENT_HOURLY_RATE-MAX(0,($D21+O$5)-PERMANENT_FIELD_LABOR_HOURS)*TEMP_HOURLY_RATE-FIXED_SEASON_COST)</f>
        <v>-11809.0265907864</v>
      </c>
      <c r="P21" s="53" t="n">
        <f aca="false">IF(OR($A21&gt;TOMATO_BED_CAP,$B21&gt;CARROT_BED_CAP,P$4&gt;MESCLUN_BED_CAP,$A21+$B21+P$4&gt;TOTAL_BEDS_AVAILABLE,($D21+P$5)&gt;TOTAL_LABOR_HOURS_CAP,MAX(0,($D21+P$5)-PERMANENT_FIELD_LABOR_HOURS)&gt;TEMP_HOURS_CAP),"",$C21+P$6-MIN(($D21+P$5),PERMANENT_FIELD_LABOR_HOURS)*PERMANENT_HOURLY_RATE-MAX(0,($D21+P$5)-PERMANENT_FIELD_LABOR_HOURS)*TEMP_HOURLY_RATE-FIXED_SEASON_COST)</f>
        <v>-10971.837670935</v>
      </c>
      <c r="Q21" s="53" t="n">
        <f aca="false">IF(OR($A21&gt;TOMATO_BED_CAP,$B21&gt;CARROT_BED_CAP,Q$4&gt;MESCLUN_BED_CAP,$A21+$B21+Q$4&gt;TOTAL_BEDS_AVAILABLE,($D21+Q$5)&gt;TOTAL_LABOR_HOURS_CAP,MAX(0,($D21+Q$5)-PERMANENT_FIELD_LABOR_HOURS)&gt;TEMP_HOURS_CAP),"",$C21+Q$6-MIN(($D21+Q$5),PERMANENT_FIELD_LABOR_HOURS)*PERMANENT_HOURLY_RATE-MAX(0,($D21+Q$5)-PERMANENT_FIELD_LABOR_HOURS)*TEMP_HOURLY_RATE-FIXED_SEASON_COST)</f>
        <v>-10157.9905142371</v>
      </c>
      <c r="R21" s="53" t="n">
        <f aca="false">IF(OR($A21&gt;TOMATO_BED_CAP,$B21&gt;CARROT_BED_CAP,R$4&gt;MESCLUN_BED_CAP,$A21+$B21+R$4&gt;TOTAL_BEDS_AVAILABLE,($D21+R$5)&gt;TOTAL_LABOR_HOURS_CAP,MAX(0,($D21+R$5)-PERMANENT_FIELD_LABOR_HOURS)&gt;TEMP_HOURS_CAP),"",$C21+R$6-MIN(($D21+R$5),PERMANENT_FIELD_LABOR_HOURS)*PERMANENT_HOURLY_RATE-MAX(0,($D21+R$5)-PERMANENT_FIELD_LABOR_HOURS)*TEMP_HOURLY_RATE-FIXED_SEASON_COST)</f>
        <v>-9367.9151005403</v>
      </c>
      <c r="S21" s="53" t="n">
        <f aca="false">IF(OR($A21&gt;TOMATO_BED_CAP,$B21&gt;CARROT_BED_CAP,S$4&gt;MESCLUN_BED_CAP,$A21+$B21+S$4&gt;TOTAL_BEDS_AVAILABLE,($D21+S$5)&gt;TOTAL_LABOR_HOURS_CAP,MAX(0,($D21+S$5)-PERMANENT_FIELD_LABOR_HOURS)&gt;TEMP_HOURS_CAP),"",$C21+S$6-MIN(($D21+S$5),PERMANENT_FIELD_LABOR_HOURS)*PERMANENT_HOURLY_RATE-MAX(0,($D21+S$5)-PERMANENT_FIELD_LABOR_HOURS)*TEMP_HOURLY_RATE-FIXED_SEASON_COST)</f>
        <v>-8602.04851203785</v>
      </c>
      <c r="T21" s="53" t="n">
        <f aca="false">IF(OR($A21&gt;TOMATO_BED_CAP,$B21&gt;CARROT_BED_CAP,T$4&gt;MESCLUN_BED_CAP,$A21+$B21+T$4&gt;TOTAL_BEDS_AVAILABLE,($D21+T$5)&gt;TOTAL_LABOR_HOURS_CAP,MAX(0,($D21+T$5)-PERMANENT_FIELD_LABOR_HOURS)&gt;TEMP_HOURS_CAP),"",$C21+T$6-MIN(($D21+T$5),PERMANENT_FIELD_LABOR_HOURS)*PERMANENT_HOURLY_RATE-MAX(0,($D21+T$5)-PERMANENT_FIELD_LABOR_HOURS)*TEMP_HOURLY_RATE-FIXED_SEASON_COST)</f>
        <v>-7860.83504364301</v>
      </c>
      <c r="U21" s="53" t="n">
        <f aca="false">IF(OR($A21&gt;TOMATO_BED_CAP,$B21&gt;CARROT_BED_CAP,U$4&gt;MESCLUN_BED_CAP,$A21+$B21+U$4&gt;TOTAL_BEDS_AVAILABLE,($D21+U$5)&gt;TOTAL_LABOR_HOURS_CAP,MAX(0,($D21+U$5)-PERMANENT_FIELD_LABOR_HOURS)&gt;TEMP_HOURS_CAP),"",$C21+U$6-MIN(($D21+U$5),PERMANENT_FIELD_LABOR_HOURS)*PERMANENT_HOURLY_RATE-MAX(0,($D21+U$5)-PERMANENT_FIELD_LABOR_HOURS)*TEMP_HOURLY_RATE-FIXED_SEASON_COST)</f>
        <v>-7144.72631501291</v>
      </c>
      <c r="V21" s="53" t="n">
        <f aca="false">IF(OR($A21&gt;TOMATO_BED_CAP,$B21&gt;CARROT_BED_CAP,V$4&gt;MESCLUN_BED_CAP,$A21+$B21+V$4&gt;TOTAL_BEDS_AVAILABLE,($D21+V$5)&gt;TOTAL_LABOR_HOURS_CAP,MAX(0,($D21+V$5)-PERMANENT_FIELD_LABOR_HOURS)&gt;TEMP_HOURS_CAP),"",$C21+V$6-MIN(($D21+V$5),PERMANENT_FIELD_LABOR_HOURS)*PERMANENT_HOURLY_RATE-MAX(0,($D21+V$5)-PERMANENT_FIELD_LABOR_HOURS)*TEMP_HOURLY_RATE-FIXED_SEASON_COST)</f>
        <v>-6454.18138424612</v>
      </c>
      <c r="W21" s="53" t="n">
        <f aca="false">IF(OR($A21&gt;TOMATO_BED_CAP,$B21&gt;CARROT_BED_CAP,W$4&gt;MESCLUN_BED_CAP,$A21+$B21+W$4&gt;TOTAL_BEDS_AVAILABLE,($D21+W$5)&gt;TOTAL_LABOR_HOURS_CAP,MAX(0,($D21+W$5)-PERMANENT_FIELD_LABOR_HOURS)&gt;TEMP_HOURS_CAP),"",$C21+W$6-MIN(($D21+W$5),PERMANENT_FIELD_LABOR_HOURS)*PERMANENT_HOURLY_RATE-MAX(0,($D21+W$5)-PERMANENT_FIELD_LABOR_HOURS)*TEMP_HOURLY_RATE-FIXED_SEASON_COST)</f>
        <v>-5789.66686327805</v>
      </c>
      <c r="X21" s="53" t="n">
        <f aca="false">IF(OR($A21&gt;TOMATO_BED_CAP,$B21&gt;CARROT_BED_CAP,X$4&gt;MESCLUN_BED_CAP,$A21+$B21+X$4&gt;TOTAL_BEDS_AVAILABLE,($D21+X$5)&gt;TOTAL_LABOR_HOURS_CAP,MAX(0,($D21+X$5)-PERMANENT_FIELD_LABOR_HOURS)&gt;TEMP_HOURS_CAP),"",$C21+X$6-MIN(($D21+X$5),PERMANENT_FIELD_LABOR_HOURS)*PERMANENT_HOURLY_RATE-MAX(0,($D21+X$5)-PERMANENT_FIELD_LABOR_HOURS)*TEMP_HOURLY_RATE-FIXED_SEASON_COST)</f>
        <v>-5151.65703499913</v>
      </c>
      <c r="Y21" s="53" t="n">
        <f aca="false">IF(OR($A21&gt;TOMATO_BED_CAP,$B21&gt;CARROT_BED_CAP,Y$4&gt;MESCLUN_BED_CAP,$A21+$B21+Y$4&gt;TOTAL_BEDS_AVAILABLE,($D21+Y$5)&gt;TOTAL_LABOR_HOURS_CAP,MAX(0,($D21+Y$5)-PERMANENT_FIELD_LABOR_HOURS)&gt;TEMP_HOURS_CAP),"",$C21+Y$6-MIN(($D21+Y$5),PERMANENT_FIELD_LABOR_HOURS)*PERMANENT_HOURLY_RATE-MAX(0,($D21+Y$5)-PERMANENT_FIELD_LABOR_HOURS)*TEMP_HOURLY_RATE-FIXED_SEASON_COST)</f>
        <v>-4540.63397212047</v>
      </c>
      <c r="Z21" s="53" t="n">
        <f aca="false">IF(OR($A21&gt;TOMATO_BED_CAP,$B21&gt;CARROT_BED_CAP,Z$4&gt;MESCLUN_BED_CAP,$A21+$B21+Z$4&gt;TOTAL_BEDS_AVAILABLE,($D21+Z$5)&gt;TOTAL_LABOR_HOURS_CAP,MAX(0,($D21+Z$5)-PERMANENT_FIELD_LABOR_HOURS)&gt;TEMP_HOURS_CAP),"",$C21+Z$6-MIN(($D21+Z$5),PERMANENT_FIELD_LABOR_HOURS)*PERMANENT_HOURLY_RATE-MAX(0,($D21+Z$5)-PERMANENT_FIELD_LABOR_HOURS)*TEMP_HOURLY_RATE-FIXED_SEASON_COST)</f>
        <v>-3957.08765781274</v>
      </c>
      <c r="AA21" s="53" t="n">
        <f aca="false">IF(OR($A21&gt;TOMATO_BED_CAP,$B21&gt;CARROT_BED_CAP,AA$4&gt;MESCLUN_BED_CAP,$A21+$B21+AA$4&gt;TOTAL_BEDS_AVAILABLE,($D21+AA$5)&gt;TOTAL_LABOR_HOURS_CAP,MAX(0,($D21+AA$5)-PERMANENT_FIELD_LABOR_HOURS)&gt;TEMP_HOURS_CAP),"",$C21+AA$6-MIN(($D21+AA$5),PERMANENT_FIELD_LABOR_HOURS)*PERMANENT_HOURLY_RATE-MAX(0,($D21+AA$5)-PERMANENT_FIELD_LABOR_HOURS)*TEMP_HOURLY_RATE-FIXED_SEASON_COST)</f>
        <v>-3401.51610814381</v>
      </c>
      <c r="AB21" s="53" t="n">
        <f aca="false">IF(OR($A21&gt;TOMATO_BED_CAP,$B21&gt;CARROT_BED_CAP,AB$4&gt;MESCLUN_BED_CAP,$A21+$B21+AB$4&gt;TOTAL_BEDS_AVAILABLE,($D21+AB$5)&gt;TOTAL_LABOR_HOURS_CAP,MAX(0,($D21+AB$5)-PERMANENT_FIELD_LABOR_HOURS)&gt;TEMP_HOURS_CAP),"",$C21+AB$6-MIN(($D21+AB$5),PERMANENT_FIELD_LABOR_HOURS)*PERMANENT_HOURLY_RATE-MAX(0,($D21+AB$5)-PERMANENT_FIELD_LABOR_HOURS)*TEMP_HOURLY_RATE-FIXED_SEASON_COST)</f>
        <v>-2874.42549634125</v>
      </c>
      <c r="AC21" s="53" t="n">
        <f aca="false">IF(OR($A21&gt;TOMATO_BED_CAP,$B21&gt;CARROT_BED_CAP,AC$4&gt;MESCLUN_BED_CAP,$A21+$B21+AC$4&gt;TOTAL_BEDS_AVAILABLE,($D21+AC$5)&gt;TOTAL_LABOR_HOURS_CAP,MAX(0,($D21+AC$5)-PERMANENT_FIELD_LABOR_HOURS)&gt;TEMP_HOURS_CAP),"",$C21+AC$6-MIN(($D21+AC$5),PERMANENT_FIELD_LABOR_HOURS)*PERMANENT_HOURLY_RATE-MAX(0,($D21+AC$5)-PERMANENT_FIELD_LABOR_HOURS)*TEMP_HOURLY_RATE-FIXED_SEASON_COST)</f>
        <v>-2376.33027890634</v>
      </c>
      <c r="AD21" s="53" t="n">
        <f aca="false">IF(OR($A21&gt;TOMATO_BED_CAP,$B21&gt;CARROT_BED_CAP,AD$4&gt;MESCLUN_BED_CAP,$A21+$B21+AD$4&gt;TOTAL_BEDS_AVAILABLE,($D21+AD$5)&gt;TOTAL_LABOR_HOURS_CAP,MAX(0,($D21+AD$5)-PERMANENT_FIELD_LABOR_HOURS)&gt;TEMP_HOURS_CAP),"",$C21+AD$6-MIN(($D21+AD$5),PERMANENT_FIELD_LABOR_HOURS)*PERMANENT_HOURLY_RATE-MAX(0,($D21+AD$5)-PERMANENT_FIELD_LABOR_HOURS)*TEMP_HOURLY_RATE-FIXED_SEASON_COST)</f>
        <v>-1907.75332360638</v>
      </c>
      <c r="AE21" s="53" t="n">
        <f aca="false">IF(OR($A21&gt;TOMATO_BED_CAP,$B21&gt;CARROT_BED_CAP,AE$4&gt;MESCLUN_BED_CAP,$A21+$B21+AE$4&gt;TOTAL_BEDS_AVAILABLE,($D21+AE$5)&gt;TOTAL_LABOR_HOURS_CAP,MAX(0,($D21+AE$5)-PERMANENT_FIELD_LABOR_HOURS)&gt;TEMP_HOURS_CAP),"",$C21+AE$6-MIN(($D21+AE$5),PERMANENT_FIELD_LABOR_HOURS)*PERMANENT_HOURLY_RATE-MAX(0,($D21+AE$5)-PERMANENT_FIELD_LABOR_HOURS)*TEMP_HOURLY_RATE-FIXED_SEASON_COST)</f>
        <v>-1469.22603937248</v>
      </c>
      <c r="AF21" s="53" t="n">
        <f aca="false">IF(OR($A21&gt;TOMATO_BED_CAP,$B21&gt;CARROT_BED_CAP,AF$4&gt;MESCLUN_BED_CAP,$A21+$B21+AF$4&gt;TOTAL_BEDS_AVAILABLE,($D21+AF$5)&gt;TOTAL_LABOR_HOURS_CAP,MAX(0,($D21+AF$5)-PERMANENT_FIELD_LABOR_HOURS)&gt;TEMP_HOURS_CAP),"",$C21+AF$6-MIN(($D21+AF$5),PERMANENT_FIELD_LABOR_HOURS)*PERMANENT_HOURLY_RATE-MAX(0,($D21+AF$5)-PERMANENT_FIELD_LABOR_HOURS)*TEMP_HOURLY_RATE-FIXED_SEASON_COST)</f>
        <v>-1061.28850813053</v>
      </c>
      <c r="AG21" s="53" t="n">
        <f aca="false">IF(OR($A21&gt;TOMATO_BED_CAP,$B21&gt;CARROT_BED_CAP,AG$4&gt;MESCLUN_BED_CAP,$A21+$B21+AG$4&gt;TOTAL_BEDS_AVAILABLE,($D21+AG$5)&gt;TOTAL_LABOR_HOURS_CAP,MAX(0,($D21+AG$5)-PERMANENT_FIELD_LABOR_HOURS)&gt;TEMP_HOURS_CAP),"",$C21+AG$6-MIN(($D21+AG$5),PERMANENT_FIELD_LABOR_HOURS)*PERMANENT_HOURLY_RATE-MAX(0,($D21+AG$5)-PERMANENT_FIELD_LABOR_HOURS)*TEMP_HOURLY_RATE-FIXED_SEASON_COST)</f>
        <v>-684.489618593518</v>
      </c>
      <c r="AH21" s="53" t="n">
        <f aca="false">IF(OR($A21&gt;TOMATO_BED_CAP,$B21&gt;CARROT_BED_CAP,AH$4&gt;MESCLUN_BED_CAP,$A21+$B21+AH$4&gt;TOTAL_BEDS_AVAILABLE,($D21+AH$5)&gt;TOTAL_LABOR_HOURS_CAP,MAX(0,($D21+AH$5)-PERMANENT_FIELD_LABOR_HOURS)&gt;TEMP_HOURS_CAP),"",$C21+AH$6-MIN(($D21+AH$5),PERMANENT_FIELD_LABOR_HOURS)*PERMANENT_HOURLY_RATE-MAX(0,($D21+AH$5)-PERMANENT_FIELD_LABOR_HOURS)*TEMP_HOURLY_RATE-FIXED_SEASON_COST)</f>
        <v>-339.387202043297</v>
      </c>
      <c r="AI21" s="53" t="n">
        <f aca="false">IF(OR($A21&gt;TOMATO_BED_CAP,$B21&gt;CARROT_BED_CAP,AI$4&gt;MESCLUN_BED_CAP,$A21+$B21+AI$4&gt;TOTAL_BEDS_AVAILABLE,($D21+AI$5)&gt;TOTAL_LABOR_HOURS_CAP,MAX(0,($D21+AI$5)-PERMANENT_FIELD_LABOR_HOURS)&gt;TEMP_HOURS_CAP),"",$C21+AI$6-MIN(($D21+AI$5),PERMANENT_FIELD_LABOR_HOURS)*PERMANENT_HOURLY_RATE-MAX(0,($D21+AI$5)-PERMANENT_FIELD_LABOR_HOURS)*TEMP_HOURLY_RATE-FIXED_SEASON_COST)</f>
        <v>-26.5481701310382</v>
      </c>
      <c r="AJ21" s="53" t="n">
        <f aca="false">IF(OR($A21&gt;TOMATO_BED_CAP,$B21&gt;CARROT_BED_CAP,AJ$4&gt;MESCLUN_BED_CAP,$A21+$B21+AJ$4&gt;TOTAL_BEDS_AVAILABLE,($D21+AJ$5)&gt;TOTAL_LABOR_HOURS_CAP,MAX(0,($D21+AJ$5)-PERMANENT_FIELD_LABOR_HOURS)&gt;TEMP_HOURS_CAP),"",$C21+AJ$6-MIN(($D21+AJ$5),PERMANENT_FIELD_LABOR_HOURS)*PERMANENT_HOURLY_RATE-MAX(0,($D21+AJ$5)-PERMANENT_FIELD_LABOR_HOURS)*TEMP_HOURLY_RATE-FIXED_SEASON_COST)</f>
        <v>253.451345274716</v>
      </c>
    </row>
    <row r="22" customFormat="false" ht="15" hidden="false" customHeight="false" outlineLevel="0" collapsed="false">
      <c r="A22" s="21" t="n">
        <f aca="false">INT((ROW()-ROW($A$8))/(20+1))</f>
        <v>0</v>
      </c>
      <c r="B22" s="21" t="n">
        <f aca="false">MOD(ROW()-ROW($A$8),20+1)</f>
        <v>14</v>
      </c>
      <c r="C22" s="13" t="n">
        <f aca="false">A22*(TOMATO_REVENUE_PER_BED-TOMATO_FERTILIZER_PER_BED)+B22*(CARROT_REVENUE_PER_BED-CARROT_FERTILIZER_PER_BED)</f>
        <v>23156</v>
      </c>
      <c r="D22" s="14" t="n">
        <f aca="false">INDEX(TOMATO_SCHED_LABOR_HRS,A22+1)+INDEX(CARROT_SCHED_LABOR_HRS,B22+1)</f>
        <v>593.211625207058</v>
      </c>
      <c r="E22" s="13" t="n">
        <f aca="false">IF(COUNT(F22:AJ22)=0,"",MAX(F22:AJ22))</f>
        <v>938.635481278016</v>
      </c>
      <c r="F22" s="53" t="n">
        <f aca="false">IF(OR($A22&gt;TOMATO_BED_CAP,$B22&gt;CARROT_BED_CAP,F$4&gt;MESCLUN_BED_CAP,$A22+$B22+F$4&gt;TOTAL_BEDS_AVAILABLE,($D22+F$5)&gt;TOTAL_LABOR_HOURS_CAP,MAX(0,($D22+F$5)-PERMANENT_FIELD_LABOR_HOURS)&gt;TEMP_HOURS_CAP),"",$C22+F$6-MIN(($D22+F$5),PERMANENT_FIELD_LABOR_HOURS)*PERMANENT_HOURLY_RATE-MAX(0,($D22+F$5)-PERMANENT_FIELD_LABOR_HOURS)*TEMP_HOURLY_RATE-FIXED_SEASON_COST)</f>
        <v>-17440.3076271891</v>
      </c>
      <c r="G22" s="53" t="n">
        <f aca="false">IF(OR($A22&gt;TOMATO_BED_CAP,$B22&gt;CARROT_BED_CAP,G$4&gt;MESCLUN_BED_CAP,$A22+$B22+G$4&gt;TOTAL_BEDS_AVAILABLE,($D22+G$5)&gt;TOTAL_LABOR_HOURS_CAP,MAX(0,($D22+G$5)-PERMANENT_FIELD_LABOR_HOURS)&gt;TEMP_HOURS_CAP),"",$C22+G$6-MIN(($D22+G$5),PERMANENT_FIELD_LABOR_HOURS)*PERMANENT_HOURLY_RATE-MAX(0,($D22+G$5)-PERMANENT_FIELD_LABOR_HOURS)*TEMP_HOURLY_RATE-FIXED_SEASON_COST)</f>
        <v>-17202.2376271891</v>
      </c>
      <c r="H22" s="53" t="n">
        <f aca="false">IF(OR($A22&gt;TOMATO_BED_CAP,$B22&gt;CARROT_BED_CAP,H$4&gt;MESCLUN_BED_CAP,$A22+$B22+H$4&gt;TOTAL_BEDS_AVAILABLE,($D22+H$5)&gt;TOTAL_LABOR_HOURS_CAP,MAX(0,($D22+H$5)-PERMANENT_FIELD_LABOR_HOURS)&gt;TEMP_HOURS_CAP),"",$C22+H$6-MIN(($D22+H$5),PERMANENT_FIELD_LABOR_HOURS)*PERMANENT_HOURLY_RATE-MAX(0,($D22+H$5)-PERMANENT_FIELD_LABOR_HOURS)*TEMP_HOURLY_RATE-FIXED_SEASON_COST)</f>
        <v>-17003.7158771891</v>
      </c>
      <c r="I22" s="53" t="n">
        <f aca="false">IF(OR($A22&gt;TOMATO_BED_CAP,$B22&gt;CARROT_BED_CAP,I$4&gt;MESCLUN_BED_CAP,$A22+$B22+I$4&gt;TOTAL_BEDS_AVAILABLE,($D22+I$5)&gt;TOTAL_LABOR_HOURS_CAP,MAX(0,($D22+I$5)-PERMANENT_FIELD_LABOR_HOURS)&gt;TEMP_HOURS_CAP),"",$C22+I$6-MIN(($D22+I$5),PERMANENT_FIELD_LABOR_HOURS)*PERMANENT_HOURLY_RATE-MAX(0,($D22+I$5)-PERMANENT_FIELD_LABOR_HOURS)*TEMP_HOURLY_RATE-FIXED_SEASON_COST)</f>
        <v>-16613.9419534383</v>
      </c>
      <c r="J22" s="53" t="n">
        <f aca="false">IF(OR($A22&gt;TOMATO_BED_CAP,$B22&gt;CARROT_BED_CAP,J$4&gt;MESCLUN_BED_CAP,$A22+$B22+J$4&gt;TOTAL_BEDS_AVAILABLE,($D22+J$5)&gt;TOTAL_LABOR_HOURS_CAP,MAX(0,($D22+J$5)-PERMANENT_FIELD_LABOR_HOURS)&gt;TEMP_HOURS_CAP),"",$C22+J$6-MIN(($D22+J$5),PERMANENT_FIELD_LABOR_HOURS)*PERMANENT_HOURLY_RATE-MAX(0,($D22+J$5)-PERMANENT_FIELD_LABOR_HOURS)*TEMP_HOURLY_RATE-FIXED_SEASON_COST)</f>
        <v>-15645.3478023836</v>
      </c>
      <c r="K22" s="53" t="n">
        <f aca="false">IF(OR($A22&gt;TOMATO_BED_CAP,$B22&gt;CARROT_BED_CAP,K$4&gt;MESCLUN_BED_CAP,$A22+$B22+K$4&gt;TOTAL_BEDS_AVAILABLE,($D22+K$5)&gt;TOTAL_LABOR_HOURS_CAP,MAX(0,($D22+K$5)-PERMANENT_FIELD_LABOR_HOURS)&gt;TEMP_HOURS_CAP),"",$C22+K$6-MIN(($D22+K$5),PERMANENT_FIELD_LABOR_HOURS)*PERMANENT_HOURLY_RATE-MAX(0,($D22+K$5)-PERMANENT_FIELD_LABOR_HOURS)*TEMP_HOURLY_RATE-FIXED_SEASON_COST)</f>
        <v>-14697.6587056557</v>
      </c>
      <c r="L22" s="53" t="n">
        <f aca="false">IF(OR($A22&gt;TOMATO_BED_CAP,$B22&gt;CARROT_BED_CAP,L$4&gt;MESCLUN_BED_CAP,$A22+$B22+L$4&gt;TOTAL_BEDS_AVAILABLE,($D22+L$5)&gt;TOTAL_LABOR_HOURS_CAP,MAX(0,($D22+L$5)-PERMANENT_FIELD_LABOR_HOURS)&gt;TEMP_HOURS_CAP),"",$C22+L$6-MIN(($D22+L$5),PERMANENT_FIELD_LABOR_HOURS)*PERMANENT_HOURLY_RATE-MAX(0,($D22+L$5)-PERMANENT_FIELD_LABOR_HOURS)*TEMP_HOURLY_RATE-FIXED_SEASON_COST)</f>
        <v>-13771.2642574488</v>
      </c>
      <c r="M22" s="53" t="n">
        <f aca="false">IF(OR($A22&gt;TOMATO_BED_CAP,$B22&gt;CARROT_BED_CAP,M$4&gt;MESCLUN_BED_CAP,$A22+$B22+M$4&gt;TOTAL_BEDS_AVAILABLE,($D22+M$5)&gt;TOTAL_LABOR_HOURS_CAP,MAX(0,($D22+M$5)-PERMANENT_FIELD_LABOR_HOURS)&gt;TEMP_HOURS_CAP),"",$C22+M$6-MIN(($D22+M$5),PERMANENT_FIELD_LABOR_HOURS)*PERMANENT_HOURLY_RATE-MAX(0,($D22+M$5)-PERMANENT_FIELD_LABOR_HOURS)*TEMP_HOURLY_RATE-FIXED_SEASON_COST)</f>
        <v>-12866.5605253974</v>
      </c>
      <c r="N22" s="53" t="n">
        <f aca="false">IF(OR($A22&gt;TOMATO_BED_CAP,$B22&gt;CARROT_BED_CAP,N$4&gt;MESCLUN_BED_CAP,$A22+$B22+N$4&gt;TOTAL_BEDS_AVAILABLE,($D22+N$5)&gt;TOTAL_LABOR_HOURS_CAP,MAX(0,($D22+N$5)-PERMANENT_FIELD_LABOR_HOURS)&gt;TEMP_HOURS_CAP),"",$C22+N$6-MIN(($D22+N$5),PERMANENT_FIELD_LABOR_HOURS)*PERMANENT_HOURLY_RATE-MAX(0,($D22+N$5)-PERMANENT_FIELD_LABOR_HOURS)*TEMP_HOURLY_RATE-FIXED_SEASON_COST)</f>
        <v>-11983.9501515379</v>
      </c>
      <c r="O22" s="53" t="n">
        <f aca="false">IF(OR($A22&gt;TOMATO_BED_CAP,$B22&gt;CARROT_BED_CAP,O$4&gt;MESCLUN_BED_CAP,$A22+$B22+O$4&gt;TOTAL_BEDS_AVAILABLE,($D22+O$5)&gt;TOTAL_LABOR_HOURS_CAP,MAX(0,($D22+O$5)-PERMANENT_FIELD_LABOR_HOURS)&gt;TEMP_HOURS_CAP),"",$C22+O$6-MIN(($D22+O$5),PERMANENT_FIELD_LABOR_HOURS)*PERMANENT_HOURLY_RATE-MAX(0,($D22+O$5)-PERMANENT_FIELD_LABOR_HOURS)*TEMP_HOURLY_RATE-FIXED_SEASON_COST)</f>
        <v>-11123.8424547831</v>
      </c>
      <c r="P22" s="53" t="n">
        <f aca="false">IF(OR($A22&gt;TOMATO_BED_CAP,$B22&gt;CARROT_BED_CAP,P$4&gt;MESCLUN_BED_CAP,$A22+$B22+P$4&gt;TOTAL_BEDS_AVAILABLE,($D22+P$5)&gt;TOTAL_LABOR_HOURS_CAP,MAX(0,($D22+P$5)-PERMANENT_FIELD_LABOR_HOURS)&gt;TEMP_HOURS_CAP),"",$C22+P$6-MIN(($D22+P$5),PERMANENT_FIELD_LABOR_HOURS)*PERMANENT_HOURLY_RATE-MAX(0,($D22+P$5)-PERMANENT_FIELD_LABOR_HOURS)*TEMP_HOURLY_RATE-FIXED_SEASON_COST)</f>
        <v>-10286.6535349317</v>
      </c>
      <c r="Q22" s="53" t="n">
        <f aca="false">IF(OR($A22&gt;TOMATO_BED_CAP,$B22&gt;CARROT_BED_CAP,Q$4&gt;MESCLUN_BED_CAP,$A22+$B22+Q$4&gt;TOTAL_BEDS_AVAILABLE,($D22+Q$5)&gt;TOTAL_LABOR_HOURS_CAP,MAX(0,($D22+Q$5)-PERMANENT_FIELD_LABOR_HOURS)&gt;TEMP_HOURS_CAP),"",$C22+Q$6-MIN(($D22+Q$5),PERMANENT_FIELD_LABOR_HOURS)*PERMANENT_HOURLY_RATE-MAX(0,($D22+Q$5)-PERMANENT_FIELD_LABOR_HOURS)*TEMP_HOURLY_RATE-FIXED_SEASON_COST)</f>
        <v>-9472.8063782338</v>
      </c>
      <c r="R22" s="53" t="n">
        <f aca="false">IF(OR($A22&gt;TOMATO_BED_CAP,$B22&gt;CARROT_BED_CAP,R$4&gt;MESCLUN_BED_CAP,$A22+$B22+R$4&gt;TOTAL_BEDS_AVAILABLE,($D22+R$5)&gt;TOTAL_LABOR_HOURS_CAP,MAX(0,($D22+R$5)-PERMANENT_FIELD_LABOR_HOURS)&gt;TEMP_HOURS_CAP),"",$C22+R$6-MIN(($D22+R$5),PERMANENT_FIELD_LABOR_HOURS)*PERMANENT_HOURLY_RATE-MAX(0,($D22+R$5)-PERMANENT_FIELD_LABOR_HOURS)*TEMP_HOURLY_RATE-FIXED_SEASON_COST)</f>
        <v>-8682.730964537</v>
      </c>
      <c r="S22" s="53" t="n">
        <f aca="false">IF(OR($A22&gt;TOMATO_BED_CAP,$B22&gt;CARROT_BED_CAP,S$4&gt;MESCLUN_BED_CAP,$A22+$B22+S$4&gt;TOTAL_BEDS_AVAILABLE,($D22+S$5)&gt;TOTAL_LABOR_HOURS_CAP,MAX(0,($D22+S$5)-PERMANENT_FIELD_LABOR_HOURS)&gt;TEMP_HOURS_CAP),"",$C22+S$6-MIN(($D22+S$5),PERMANENT_FIELD_LABOR_HOURS)*PERMANENT_HOURLY_RATE-MAX(0,($D22+S$5)-PERMANENT_FIELD_LABOR_HOURS)*TEMP_HOURLY_RATE-FIXED_SEASON_COST)</f>
        <v>-7916.86437603455</v>
      </c>
      <c r="T22" s="53" t="n">
        <f aca="false">IF(OR($A22&gt;TOMATO_BED_CAP,$B22&gt;CARROT_BED_CAP,T$4&gt;MESCLUN_BED_CAP,$A22+$B22+T$4&gt;TOTAL_BEDS_AVAILABLE,($D22+T$5)&gt;TOTAL_LABOR_HOURS_CAP,MAX(0,($D22+T$5)-PERMANENT_FIELD_LABOR_HOURS)&gt;TEMP_HOURS_CAP),"",$C22+T$6-MIN(($D22+T$5),PERMANENT_FIELD_LABOR_HOURS)*PERMANENT_HOURLY_RATE-MAX(0,($D22+T$5)-PERMANENT_FIELD_LABOR_HOURS)*TEMP_HOURLY_RATE-FIXED_SEASON_COST)</f>
        <v>-7175.6509076397</v>
      </c>
      <c r="U22" s="53" t="n">
        <f aca="false">IF(OR($A22&gt;TOMATO_BED_CAP,$B22&gt;CARROT_BED_CAP,U$4&gt;MESCLUN_BED_CAP,$A22+$B22+U$4&gt;TOTAL_BEDS_AVAILABLE,($D22+U$5)&gt;TOTAL_LABOR_HOURS_CAP,MAX(0,($D22+U$5)-PERMANENT_FIELD_LABOR_HOURS)&gt;TEMP_HOURS_CAP),"",$C22+U$6-MIN(($D22+U$5),PERMANENT_FIELD_LABOR_HOURS)*PERMANENT_HOURLY_RATE-MAX(0,($D22+U$5)-PERMANENT_FIELD_LABOR_HOURS)*TEMP_HOURLY_RATE-FIXED_SEASON_COST)</f>
        <v>-6459.54217900961</v>
      </c>
      <c r="V22" s="53" t="n">
        <f aca="false">IF(OR($A22&gt;TOMATO_BED_CAP,$B22&gt;CARROT_BED_CAP,V$4&gt;MESCLUN_BED_CAP,$A22+$B22+V$4&gt;TOTAL_BEDS_AVAILABLE,($D22+V$5)&gt;TOTAL_LABOR_HOURS_CAP,MAX(0,($D22+V$5)-PERMANENT_FIELD_LABOR_HOURS)&gt;TEMP_HOURS_CAP),"",$C22+V$6-MIN(($D22+V$5),PERMANENT_FIELD_LABOR_HOURS)*PERMANENT_HOURLY_RATE-MAX(0,($D22+V$5)-PERMANENT_FIELD_LABOR_HOURS)*TEMP_HOURLY_RATE-FIXED_SEASON_COST)</f>
        <v>-5768.99724824282</v>
      </c>
      <c r="W22" s="53" t="n">
        <f aca="false">IF(OR($A22&gt;TOMATO_BED_CAP,$B22&gt;CARROT_BED_CAP,W$4&gt;MESCLUN_BED_CAP,$A22+$B22+W$4&gt;TOTAL_BEDS_AVAILABLE,($D22+W$5)&gt;TOTAL_LABOR_HOURS_CAP,MAX(0,($D22+W$5)-PERMANENT_FIELD_LABOR_HOURS)&gt;TEMP_HOURS_CAP),"",$C22+W$6-MIN(($D22+W$5),PERMANENT_FIELD_LABOR_HOURS)*PERMANENT_HOURLY_RATE-MAX(0,($D22+W$5)-PERMANENT_FIELD_LABOR_HOURS)*TEMP_HOURLY_RATE-FIXED_SEASON_COST)</f>
        <v>-5104.48272727475</v>
      </c>
      <c r="X22" s="53" t="n">
        <f aca="false">IF(OR($A22&gt;TOMATO_BED_CAP,$B22&gt;CARROT_BED_CAP,X$4&gt;MESCLUN_BED_CAP,$A22+$B22+X$4&gt;TOTAL_BEDS_AVAILABLE,($D22+X$5)&gt;TOTAL_LABOR_HOURS_CAP,MAX(0,($D22+X$5)-PERMANENT_FIELD_LABOR_HOURS)&gt;TEMP_HOURS_CAP),"",$C22+X$6-MIN(($D22+X$5),PERMANENT_FIELD_LABOR_HOURS)*PERMANENT_HOURLY_RATE-MAX(0,($D22+X$5)-PERMANENT_FIELD_LABOR_HOURS)*TEMP_HOURLY_RATE-FIXED_SEASON_COST)</f>
        <v>-4466.47289899583</v>
      </c>
      <c r="Y22" s="53" t="n">
        <f aca="false">IF(OR($A22&gt;TOMATO_BED_CAP,$B22&gt;CARROT_BED_CAP,Y$4&gt;MESCLUN_BED_CAP,$A22+$B22+Y$4&gt;TOTAL_BEDS_AVAILABLE,($D22+Y$5)&gt;TOTAL_LABOR_HOURS_CAP,MAX(0,($D22+Y$5)-PERMANENT_FIELD_LABOR_HOURS)&gt;TEMP_HOURS_CAP),"",$C22+Y$6-MIN(($D22+Y$5),PERMANENT_FIELD_LABOR_HOURS)*PERMANENT_HOURLY_RATE-MAX(0,($D22+Y$5)-PERMANENT_FIELD_LABOR_HOURS)*TEMP_HOURLY_RATE-FIXED_SEASON_COST)</f>
        <v>-3855.44983611717</v>
      </c>
      <c r="Z22" s="53" t="n">
        <f aca="false">IF(OR($A22&gt;TOMATO_BED_CAP,$B22&gt;CARROT_BED_CAP,Z$4&gt;MESCLUN_BED_CAP,$A22+$B22+Z$4&gt;TOTAL_BEDS_AVAILABLE,($D22+Z$5)&gt;TOTAL_LABOR_HOURS_CAP,MAX(0,($D22+Z$5)-PERMANENT_FIELD_LABOR_HOURS)&gt;TEMP_HOURS_CAP),"",$C22+Z$6-MIN(($D22+Z$5),PERMANENT_FIELD_LABOR_HOURS)*PERMANENT_HOURLY_RATE-MAX(0,($D22+Z$5)-PERMANENT_FIELD_LABOR_HOURS)*TEMP_HOURLY_RATE-FIXED_SEASON_COST)</f>
        <v>-3271.90352180944</v>
      </c>
      <c r="AA22" s="53" t="n">
        <f aca="false">IF(OR($A22&gt;TOMATO_BED_CAP,$B22&gt;CARROT_BED_CAP,AA$4&gt;MESCLUN_BED_CAP,$A22+$B22+AA$4&gt;TOTAL_BEDS_AVAILABLE,($D22+AA$5)&gt;TOTAL_LABOR_HOURS_CAP,MAX(0,($D22+AA$5)-PERMANENT_FIELD_LABOR_HOURS)&gt;TEMP_HOURS_CAP),"",$C22+AA$6-MIN(($D22+AA$5),PERMANENT_FIELD_LABOR_HOURS)*PERMANENT_HOURLY_RATE-MAX(0,($D22+AA$5)-PERMANENT_FIELD_LABOR_HOURS)*TEMP_HOURLY_RATE-FIXED_SEASON_COST)</f>
        <v>-2716.33197214051</v>
      </c>
      <c r="AB22" s="53" t="n">
        <f aca="false">IF(OR($A22&gt;TOMATO_BED_CAP,$B22&gt;CARROT_BED_CAP,AB$4&gt;MESCLUN_BED_CAP,$A22+$B22+AB$4&gt;TOTAL_BEDS_AVAILABLE,($D22+AB$5)&gt;TOTAL_LABOR_HOURS_CAP,MAX(0,($D22+AB$5)-PERMANENT_FIELD_LABOR_HOURS)&gt;TEMP_HOURS_CAP),"",$C22+AB$6-MIN(($D22+AB$5),PERMANENT_FIELD_LABOR_HOURS)*PERMANENT_HOURLY_RATE-MAX(0,($D22+AB$5)-PERMANENT_FIELD_LABOR_HOURS)*TEMP_HOURLY_RATE-FIXED_SEASON_COST)</f>
        <v>-2189.24136033794</v>
      </c>
      <c r="AC22" s="53" t="n">
        <f aca="false">IF(OR($A22&gt;TOMATO_BED_CAP,$B22&gt;CARROT_BED_CAP,AC$4&gt;MESCLUN_BED_CAP,$A22+$B22+AC$4&gt;TOTAL_BEDS_AVAILABLE,($D22+AC$5)&gt;TOTAL_LABOR_HOURS_CAP,MAX(0,($D22+AC$5)-PERMANENT_FIELD_LABOR_HOURS)&gt;TEMP_HOURS_CAP),"",$C22+AC$6-MIN(($D22+AC$5),PERMANENT_FIELD_LABOR_HOURS)*PERMANENT_HOURLY_RATE-MAX(0,($D22+AC$5)-PERMANENT_FIELD_LABOR_HOURS)*TEMP_HOURLY_RATE-FIXED_SEASON_COST)</f>
        <v>-1691.14614290304</v>
      </c>
      <c r="AD22" s="53" t="n">
        <f aca="false">IF(OR($A22&gt;TOMATO_BED_CAP,$B22&gt;CARROT_BED_CAP,AD$4&gt;MESCLUN_BED_CAP,$A22+$B22+AD$4&gt;TOTAL_BEDS_AVAILABLE,($D22+AD$5)&gt;TOTAL_LABOR_HOURS_CAP,MAX(0,($D22+AD$5)-PERMANENT_FIELD_LABOR_HOURS)&gt;TEMP_HOURS_CAP),"",$C22+AD$6-MIN(($D22+AD$5),PERMANENT_FIELD_LABOR_HOURS)*PERMANENT_HOURLY_RATE-MAX(0,($D22+AD$5)-PERMANENT_FIELD_LABOR_HOURS)*TEMP_HOURLY_RATE-FIXED_SEASON_COST)</f>
        <v>-1222.56918760309</v>
      </c>
      <c r="AE22" s="53" t="n">
        <f aca="false">IF(OR($A22&gt;TOMATO_BED_CAP,$B22&gt;CARROT_BED_CAP,AE$4&gt;MESCLUN_BED_CAP,$A22+$B22+AE$4&gt;TOTAL_BEDS_AVAILABLE,($D22+AE$5)&gt;TOTAL_LABOR_HOURS_CAP,MAX(0,($D22+AE$5)-PERMANENT_FIELD_LABOR_HOURS)&gt;TEMP_HOURS_CAP),"",$C22+AE$6-MIN(($D22+AE$5),PERMANENT_FIELD_LABOR_HOURS)*PERMANENT_HOURLY_RATE-MAX(0,($D22+AE$5)-PERMANENT_FIELD_LABOR_HOURS)*TEMP_HOURLY_RATE-FIXED_SEASON_COST)</f>
        <v>-784.04190336918</v>
      </c>
      <c r="AF22" s="53" t="n">
        <f aca="false">IF(OR($A22&gt;TOMATO_BED_CAP,$B22&gt;CARROT_BED_CAP,AF$4&gt;MESCLUN_BED_CAP,$A22+$B22+AF$4&gt;TOTAL_BEDS_AVAILABLE,($D22+AF$5)&gt;TOTAL_LABOR_HOURS_CAP,MAX(0,($D22+AF$5)-PERMANENT_FIELD_LABOR_HOURS)&gt;TEMP_HOURS_CAP),"",$C22+AF$6-MIN(($D22+AF$5),PERMANENT_FIELD_LABOR_HOURS)*PERMANENT_HOURLY_RATE-MAX(0,($D22+AF$5)-PERMANENT_FIELD_LABOR_HOURS)*TEMP_HOURLY_RATE-FIXED_SEASON_COST)</f>
        <v>-376.104372127229</v>
      </c>
      <c r="AG22" s="53" t="n">
        <f aca="false">IF(OR($A22&gt;TOMATO_BED_CAP,$B22&gt;CARROT_BED_CAP,AG$4&gt;MESCLUN_BED_CAP,$A22+$B22+AG$4&gt;TOTAL_BEDS_AVAILABLE,($D22+AG$5)&gt;TOTAL_LABOR_HOURS_CAP,MAX(0,($D22+AG$5)-PERMANENT_FIELD_LABOR_HOURS)&gt;TEMP_HOURS_CAP),"",$C22+AG$6-MIN(($D22+AG$5),PERMANENT_FIELD_LABOR_HOURS)*PERMANENT_HOURLY_RATE-MAX(0,($D22+AG$5)-PERMANENT_FIELD_LABOR_HOURS)*TEMP_HOURLY_RATE-FIXED_SEASON_COST)</f>
        <v>0.694517409789114</v>
      </c>
      <c r="AH22" s="53" t="n">
        <f aca="false">IF(OR($A22&gt;TOMATO_BED_CAP,$B22&gt;CARROT_BED_CAP,AH$4&gt;MESCLUN_BED_CAP,$A22+$B22+AH$4&gt;TOTAL_BEDS_AVAILABLE,($D22+AH$5)&gt;TOTAL_LABOR_HOURS_CAP,MAX(0,($D22+AH$5)-PERMANENT_FIELD_LABOR_HOURS)&gt;TEMP_HOURS_CAP),"",$C22+AH$6-MIN(($D22+AH$5),PERMANENT_FIELD_LABOR_HOURS)*PERMANENT_HOURLY_RATE-MAX(0,($D22+AH$5)-PERMANENT_FIELD_LABOR_HOURS)*TEMP_HOURLY_RATE-FIXED_SEASON_COST)</f>
        <v>345.796933959999</v>
      </c>
      <c r="AI22" s="53" t="n">
        <f aca="false">IF(OR($A22&gt;TOMATO_BED_CAP,$B22&gt;CARROT_BED_CAP,AI$4&gt;MESCLUN_BED_CAP,$A22+$B22+AI$4&gt;TOTAL_BEDS_AVAILABLE,($D22+AI$5)&gt;TOTAL_LABOR_HOURS_CAP,MAX(0,($D22+AI$5)-PERMANENT_FIELD_LABOR_HOURS)&gt;TEMP_HOURS_CAP),"",$C22+AI$6-MIN(($D22+AI$5),PERMANENT_FIELD_LABOR_HOURS)*PERMANENT_HOURLY_RATE-MAX(0,($D22+AI$5)-PERMANENT_FIELD_LABOR_HOURS)*TEMP_HOURLY_RATE-FIXED_SEASON_COST)</f>
        <v>658.635965872265</v>
      </c>
      <c r="AJ22" s="53" t="n">
        <f aca="false">IF(OR($A22&gt;TOMATO_BED_CAP,$B22&gt;CARROT_BED_CAP,AJ$4&gt;MESCLUN_BED_CAP,$A22+$B22+AJ$4&gt;TOTAL_BEDS_AVAILABLE,($D22+AJ$5)&gt;TOTAL_LABOR_HOURS_CAP,MAX(0,($D22+AJ$5)-PERMANENT_FIELD_LABOR_HOURS)&gt;TEMP_HOURS_CAP),"",$C22+AJ$6-MIN(($D22+AJ$5),PERMANENT_FIELD_LABOR_HOURS)*PERMANENT_HOURLY_RATE-MAX(0,($D22+AJ$5)-PERMANENT_FIELD_LABOR_HOURS)*TEMP_HOURLY_RATE-FIXED_SEASON_COST)</f>
        <v>938.635481278016</v>
      </c>
    </row>
    <row r="23" customFormat="false" ht="15" hidden="false" customHeight="false" outlineLevel="0" collapsed="false">
      <c r="A23" s="21" t="n">
        <f aca="false">INT((ROW()-ROW($A$8))/(20+1))</f>
        <v>0</v>
      </c>
      <c r="B23" s="21" t="n">
        <f aca="false">MOD(ROW()-ROW($A$8),20+1)</f>
        <v>15</v>
      </c>
      <c r="C23" s="13" t="n">
        <f aca="false">A23*(TOMATO_REVENUE_PER_BED-TOMATO_FERTILIZER_PER_BED)+B23*(CARROT_REVENUE_PER_BED-CARROT_FERTILIZER_PER_BED)</f>
        <v>24810</v>
      </c>
      <c r="D23" s="14" t="n">
        <f aca="false">INDEX(TOMATO_SCHED_LABOR_HRS,A23+1)+INDEX(CARROT_SCHED_LABOR_HRS,B23+1)</f>
        <v>651.47348125418</v>
      </c>
      <c r="E23" s="13" t="n">
        <f aca="false">IF(COUNT(F23:AJ23)=0,"",MAX(F23:AJ23))</f>
        <v>1581.20966029998</v>
      </c>
      <c r="F23" s="53" t="n">
        <f aca="false">IF(OR($A23&gt;TOMATO_BED_CAP,$B23&gt;CARROT_BED_CAP,F$4&gt;MESCLUN_BED_CAP,$A23+$B23+F$4&gt;TOTAL_BEDS_AVAILABLE,($D23+F$5)&gt;TOTAL_LABOR_HOURS_CAP,MAX(0,($D23+F$5)-PERMANENT_FIELD_LABOR_HOURS)&gt;TEMP_HOURS_CAP),"",$C23+F$6-MIN(($D23+F$5),PERMANENT_FIELD_LABOR_HOURS)*PERMANENT_HOURLY_RATE-MAX(0,($D23+F$5)-PERMANENT_FIELD_LABOR_HOURS)*TEMP_HOURLY_RATE-FIXED_SEASON_COST)</f>
        <v>-17809.1592691451</v>
      </c>
      <c r="G23" s="53" t="n">
        <f aca="false">IF(OR($A23&gt;TOMATO_BED_CAP,$B23&gt;CARROT_BED_CAP,G$4&gt;MESCLUN_BED_CAP,$A23+$B23+G$4&gt;TOTAL_BEDS_AVAILABLE,($D23+G$5)&gt;TOTAL_LABOR_HOURS_CAP,MAX(0,($D23+G$5)-PERMANENT_FIELD_LABOR_HOURS)&gt;TEMP_HOURS_CAP),"",$C23+G$6-MIN(($D23+G$5),PERMANENT_FIELD_LABOR_HOURS)*PERMANENT_HOURLY_RATE-MAX(0,($D23+G$5)-PERMANENT_FIELD_LABOR_HOURS)*TEMP_HOURLY_RATE-FIXED_SEASON_COST)</f>
        <v>-17571.0892691451</v>
      </c>
      <c r="H23" s="53" t="n">
        <f aca="false">IF(OR($A23&gt;TOMATO_BED_CAP,$B23&gt;CARROT_BED_CAP,H$4&gt;MESCLUN_BED_CAP,$A23+$B23+H$4&gt;TOTAL_BEDS_AVAILABLE,($D23+H$5)&gt;TOTAL_LABOR_HOURS_CAP,MAX(0,($D23+H$5)-PERMANENT_FIELD_LABOR_HOURS)&gt;TEMP_HOURS_CAP),"",$C23+H$6-MIN(($D23+H$5),PERMANENT_FIELD_LABOR_HOURS)*PERMANENT_HOURLY_RATE-MAX(0,($D23+H$5)-PERMANENT_FIELD_LABOR_HOURS)*TEMP_HOURLY_RATE-FIXED_SEASON_COST)</f>
        <v>-16960.4837595726</v>
      </c>
      <c r="I23" s="53" t="n">
        <f aca="false">IF(OR($A23&gt;TOMATO_BED_CAP,$B23&gt;CARROT_BED_CAP,I$4&gt;MESCLUN_BED_CAP,$A23+$B23+I$4&gt;TOTAL_BEDS_AVAILABLE,($D23+I$5)&gt;TOTAL_LABOR_HOURS_CAP,MAX(0,($D23+I$5)-PERMANENT_FIELD_LABOR_HOURS)&gt;TEMP_HOURS_CAP),"",$C23+I$6-MIN(($D23+I$5),PERMANENT_FIELD_LABOR_HOURS)*PERMANENT_HOURLY_RATE-MAX(0,($D23+I$5)-PERMANENT_FIELD_LABOR_HOURS)*TEMP_HOURLY_RATE-FIXED_SEASON_COST)</f>
        <v>-15971.3677744163</v>
      </c>
      <c r="J23" s="53" t="n">
        <f aca="false">IF(OR($A23&gt;TOMATO_BED_CAP,$B23&gt;CARROT_BED_CAP,J$4&gt;MESCLUN_BED_CAP,$A23+$B23+J$4&gt;TOTAL_BEDS_AVAILABLE,($D23+J$5)&gt;TOTAL_LABOR_HOURS_CAP,MAX(0,($D23+J$5)-PERMANENT_FIELD_LABOR_HOURS)&gt;TEMP_HOURS_CAP),"",$C23+J$6-MIN(($D23+J$5),PERMANENT_FIELD_LABOR_HOURS)*PERMANENT_HOURLY_RATE-MAX(0,($D23+J$5)-PERMANENT_FIELD_LABOR_HOURS)*TEMP_HOURLY_RATE-FIXED_SEASON_COST)</f>
        <v>-15002.7736233616</v>
      </c>
      <c r="K23" s="53" t="n">
        <f aca="false">IF(OR($A23&gt;TOMATO_BED_CAP,$B23&gt;CARROT_BED_CAP,K$4&gt;MESCLUN_BED_CAP,$A23+$B23+K$4&gt;TOTAL_BEDS_AVAILABLE,($D23+K$5)&gt;TOTAL_LABOR_HOURS_CAP,MAX(0,($D23+K$5)-PERMANENT_FIELD_LABOR_HOURS)&gt;TEMP_HOURS_CAP),"",$C23+K$6-MIN(($D23+K$5),PERMANENT_FIELD_LABOR_HOURS)*PERMANENT_HOURLY_RATE-MAX(0,($D23+K$5)-PERMANENT_FIELD_LABOR_HOURS)*TEMP_HOURLY_RATE-FIXED_SEASON_COST)</f>
        <v>-14055.0845266337</v>
      </c>
      <c r="L23" s="53" t="n">
        <f aca="false">IF(OR($A23&gt;TOMATO_BED_CAP,$B23&gt;CARROT_BED_CAP,L$4&gt;MESCLUN_BED_CAP,$A23+$B23+L$4&gt;TOTAL_BEDS_AVAILABLE,($D23+L$5)&gt;TOTAL_LABOR_HOURS_CAP,MAX(0,($D23+L$5)-PERMANENT_FIELD_LABOR_HOURS)&gt;TEMP_HOURS_CAP),"",$C23+L$6-MIN(($D23+L$5),PERMANENT_FIELD_LABOR_HOURS)*PERMANENT_HOURLY_RATE-MAX(0,($D23+L$5)-PERMANENT_FIELD_LABOR_HOURS)*TEMP_HOURLY_RATE-FIXED_SEASON_COST)</f>
        <v>-13128.6900784269</v>
      </c>
      <c r="M23" s="53" t="n">
        <f aca="false">IF(OR($A23&gt;TOMATO_BED_CAP,$B23&gt;CARROT_BED_CAP,M$4&gt;MESCLUN_BED_CAP,$A23+$B23+M$4&gt;TOTAL_BEDS_AVAILABLE,($D23+M$5)&gt;TOTAL_LABOR_HOURS_CAP,MAX(0,($D23+M$5)-PERMANENT_FIELD_LABOR_HOURS)&gt;TEMP_HOURS_CAP),"",$C23+M$6-MIN(($D23+M$5),PERMANENT_FIELD_LABOR_HOURS)*PERMANENT_HOURLY_RATE-MAX(0,($D23+M$5)-PERMANENT_FIELD_LABOR_HOURS)*TEMP_HOURLY_RATE-FIXED_SEASON_COST)</f>
        <v>-12223.9863463755</v>
      </c>
      <c r="N23" s="53" t="n">
        <f aca="false">IF(OR($A23&gt;TOMATO_BED_CAP,$B23&gt;CARROT_BED_CAP,N$4&gt;MESCLUN_BED_CAP,$A23+$B23+N$4&gt;TOTAL_BEDS_AVAILABLE,($D23+N$5)&gt;TOTAL_LABOR_HOURS_CAP,MAX(0,($D23+N$5)-PERMANENT_FIELD_LABOR_HOURS)&gt;TEMP_HOURS_CAP),"",$C23+N$6-MIN(($D23+N$5),PERMANENT_FIELD_LABOR_HOURS)*PERMANENT_HOURLY_RATE-MAX(0,($D23+N$5)-PERMANENT_FIELD_LABOR_HOURS)*TEMP_HOURLY_RATE-FIXED_SEASON_COST)</f>
        <v>-11341.3759725159</v>
      </c>
      <c r="O23" s="53" t="n">
        <f aca="false">IF(OR($A23&gt;TOMATO_BED_CAP,$B23&gt;CARROT_BED_CAP,O$4&gt;MESCLUN_BED_CAP,$A23+$B23+O$4&gt;TOTAL_BEDS_AVAILABLE,($D23+O$5)&gt;TOTAL_LABOR_HOURS_CAP,MAX(0,($D23+O$5)-PERMANENT_FIELD_LABOR_HOURS)&gt;TEMP_HOURS_CAP),"",$C23+O$6-MIN(($D23+O$5),PERMANENT_FIELD_LABOR_HOURS)*PERMANENT_HOURLY_RATE-MAX(0,($D23+O$5)-PERMANENT_FIELD_LABOR_HOURS)*TEMP_HOURLY_RATE-FIXED_SEASON_COST)</f>
        <v>-10481.2682757612</v>
      </c>
      <c r="P23" s="53" t="n">
        <f aca="false">IF(OR($A23&gt;TOMATO_BED_CAP,$B23&gt;CARROT_BED_CAP,P$4&gt;MESCLUN_BED_CAP,$A23+$B23+P$4&gt;TOTAL_BEDS_AVAILABLE,($D23+P$5)&gt;TOTAL_LABOR_HOURS_CAP,MAX(0,($D23+P$5)-PERMANENT_FIELD_LABOR_HOURS)&gt;TEMP_HOURS_CAP),"",$C23+P$6-MIN(($D23+P$5),PERMANENT_FIELD_LABOR_HOURS)*PERMANENT_HOURLY_RATE-MAX(0,($D23+P$5)-PERMANENT_FIELD_LABOR_HOURS)*TEMP_HOURLY_RATE-FIXED_SEASON_COST)</f>
        <v>-9644.07935590973</v>
      </c>
      <c r="Q23" s="53" t="n">
        <f aca="false">IF(OR($A23&gt;TOMATO_BED_CAP,$B23&gt;CARROT_BED_CAP,Q$4&gt;MESCLUN_BED_CAP,$A23+$B23+Q$4&gt;TOTAL_BEDS_AVAILABLE,($D23+Q$5)&gt;TOTAL_LABOR_HOURS_CAP,MAX(0,($D23+Q$5)-PERMANENT_FIELD_LABOR_HOURS)&gt;TEMP_HOURS_CAP),"",$C23+Q$6-MIN(($D23+Q$5),PERMANENT_FIELD_LABOR_HOURS)*PERMANENT_HOURLY_RATE-MAX(0,($D23+Q$5)-PERMANENT_FIELD_LABOR_HOURS)*TEMP_HOURLY_RATE-FIXED_SEASON_COST)</f>
        <v>-8830.23219921183</v>
      </c>
      <c r="R23" s="53" t="n">
        <f aca="false">IF(OR($A23&gt;TOMATO_BED_CAP,$B23&gt;CARROT_BED_CAP,R$4&gt;MESCLUN_BED_CAP,$A23+$B23+R$4&gt;TOTAL_BEDS_AVAILABLE,($D23+R$5)&gt;TOTAL_LABOR_HOURS_CAP,MAX(0,($D23+R$5)-PERMANENT_FIELD_LABOR_HOURS)&gt;TEMP_HOURS_CAP),"",$C23+R$6-MIN(($D23+R$5),PERMANENT_FIELD_LABOR_HOURS)*PERMANENT_HOURLY_RATE-MAX(0,($D23+R$5)-PERMANENT_FIELD_LABOR_HOURS)*TEMP_HOURLY_RATE-FIXED_SEASON_COST)</f>
        <v>-8040.15678551503</v>
      </c>
      <c r="S23" s="53" t="n">
        <f aca="false">IF(OR($A23&gt;TOMATO_BED_CAP,$B23&gt;CARROT_BED_CAP,S$4&gt;MESCLUN_BED_CAP,$A23+$B23+S$4&gt;TOTAL_BEDS_AVAILABLE,($D23+S$5)&gt;TOTAL_LABOR_HOURS_CAP,MAX(0,($D23+S$5)-PERMANENT_FIELD_LABOR_HOURS)&gt;TEMP_HOURS_CAP),"",$C23+S$6-MIN(($D23+S$5),PERMANENT_FIELD_LABOR_HOURS)*PERMANENT_HOURLY_RATE-MAX(0,($D23+S$5)-PERMANENT_FIELD_LABOR_HOURS)*TEMP_HOURLY_RATE-FIXED_SEASON_COST)</f>
        <v>-7274.29019701258</v>
      </c>
      <c r="T23" s="53" t="n">
        <f aca="false">IF(OR($A23&gt;TOMATO_BED_CAP,$B23&gt;CARROT_BED_CAP,T$4&gt;MESCLUN_BED_CAP,$A23+$B23+T$4&gt;TOTAL_BEDS_AVAILABLE,($D23+T$5)&gt;TOTAL_LABOR_HOURS_CAP,MAX(0,($D23+T$5)-PERMANENT_FIELD_LABOR_HOURS)&gt;TEMP_HOURS_CAP),"",$C23+T$6-MIN(($D23+T$5),PERMANENT_FIELD_LABOR_HOURS)*PERMANENT_HOURLY_RATE-MAX(0,($D23+T$5)-PERMANENT_FIELD_LABOR_HOURS)*TEMP_HOURLY_RATE-FIXED_SEASON_COST)</f>
        <v>-6533.07672861774</v>
      </c>
      <c r="U23" s="53" t="n">
        <f aca="false">IF(OR($A23&gt;TOMATO_BED_CAP,$B23&gt;CARROT_BED_CAP,U$4&gt;MESCLUN_BED_CAP,$A23+$B23+U$4&gt;TOTAL_BEDS_AVAILABLE,($D23+U$5)&gt;TOTAL_LABOR_HOURS_CAP,MAX(0,($D23+U$5)-PERMANENT_FIELD_LABOR_HOURS)&gt;TEMP_HOURS_CAP),"",$C23+U$6-MIN(($D23+U$5),PERMANENT_FIELD_LABOR_HOURS)*PERMANENT_HOURLY_RATE-MAX(0,($D23+U$5)-PERMANENT_FIELD_LABOR_HOURS)*TEMP_HOURLY_RATE-FIXED_SEASON_COST)</f>
        <v>-5816.96799998764</v>
      </c>
      <c r="V23" s="53" t="n">
        <f aca="false">IF(OR($A23&gt;TOMATO_BED_CAP,$B23&gt;CARROT_BED_CAP,V$4&gt;MESCLUN_BED_CAP,$A23+$B23+V$4&gt;TOTAL_BEDS_AVAILABLE,($D23+V$5)&gt;TOTAL_LABOR_HOURS_CAP,MAX(0,($D23+V$5)-PERMANENT_FIELD_LABOR_HOURS)&gt;TEMP_HOURS_CAP),"",$C23+V$6-MIN(($D23+V$5),PERMANENT_FIELD_LABOR_HOURS)*PERMANENT_HOURLY_RATE-MAX(0,($D23+V$5)-PERMANENT_FIELD_LABOR_HOURS)*TEMP_HOURLY_RATE-FIXED_SEASON_COST)</f>
        <v>-5126.42306922085</v>
      </c>
      <c r="W23" s="53" t="n">
        <f aca="false">IF(OR($A23&gt;TOMATO_BED_CAP,$B23&gt;CARROT_BED_CAP,W$4&gt;MESCLUN_BED_CAP,$A23+$B23+W$4&gt;TOTAL_BEDS_AVAILABLE,($D23+W$5)&gt;TOTAL_LABOR_HOURS_CAP,MAX(0,($D23+W$5)-PERMANENT_FIELD_LABOR_HOURS)&gt;TEMP_HOURS_CAP),"",$C23+W$6-MIN(($D23+W$5),PERMANENT_FIELD_LABOR_HOURS)*PERMANENT_HOURLY_RATE-MAX(0,($D23+W$5)-PERMANENT_FIELD_LABOR_HOURS)*TEMP_HOURLY_RATE-FIXED_SEASON_COST)</f>
        <v>-4461.90854825278</v>
      </c>
      <c r="X23" s="53" t="n">
        <f aca="false">IF(OR($A23&gt;TOMATO_BED_CAP,$B23&gt;CARROT_BED_CAP,X$4&gt;MESCLUN_BED_CAP,$A23+$B23+X$4&gt;TOTAL_BEDS_AVAILABLE,($D23+X$5)&gt;TOTAL_LABOR_HOURS_CAP,MAX(0,($D23+X$5)-PERMANENT_FIELD_LABOR_HOURS)&gt;TEMP_HOURS_CAP),"",$C23+X$6-MIN(($D23+X$5),PERMANENT_FIELD_LABOR_HOURS)*PERMANENT_HOURLY_RATE-MAX(0,($D23+X$5)-PERMANENT_FIELD_LABOR_HOURS)*TEMP_HOURLY_RATE-FIXED_SEASON_COST)</f>
        <v>-3823.89871997386</v>
      </c>
      <c r="Y23" s="53" t="n">
        <f aca="false">IF(OR($A23&gt;TOMATO_BED_CAP,$B23&gt;CARROT_BED_CAP,Y$4&gt;MESCLUN_BED_CAP,$A23+$B23+Y$4&gt;TOTAL_BEDS_AVAILABLE,($D23+Y$5)&gt;TOTAL_LABOR_HOURS_CAP,MAX(0,($D23+Y$5)-PERMANENT_FIELD_LABOR_HOURS)&gt;TEMP_HOURS_CAP),"",$C23+Y$6-MIN(($D23+Y$5),PERMANENT_FIELD_LABOR_HOURS)*PERMANENT_HOURLY_RATE-MAX(0,($D23+Y$5)-PERMANENT_FIELD_LABOR_HOURS)*TEMP_HOURLY_RATE-FIXED_SEASON_COST)</f>
        <v>-3212.8756570952</v>
      </c>
      <c r="Z23" s="53" t="n">
        <f aca="false">IF(OR($A23&gt;TOMATO_BED_CAP,$B23&gt;CARROT_BED_CAP,Z$4&gt;MESCLUN_BED_CAP,$A23+$B23+Z$4&gt;TOTAL_BEDS_AVAILABLE,($D23+Z$5)&gt;TOTAL_LABOR_HOURS_CAP,MAX(0,($D23+Z$5)-PERMANENT_FIELD_LABOR_HOURS)&gt;TEMP_HOURS_CAP),"",$C23+Z$6-MIN(($D23+Z$5),PERMANENT_FIELD_LABOR_HOURS)*PERMANENT_HOURLY_RATE-MAX(0,($D23+Z$5)-PERMANENT_FIELD_LABOR_HOURS)*TEMP_HOURLY_RATE-FIXED_SEASON_COST)</f>
        <v>-2629.32934278747</v>
      </c>
      <c r="AA23" s="53" t="n">
        <f aca="false">IF(OR($A23&gt;TOMATO_BED_CAP,$B23&gt;CARROT_BED_CAP,AA$4&gt;MESCLUN_BED_CAP,$A23+$B23+AA$4&gt;TOTAL_BEDS_AVAILABLE,($D23+AA$5)&gt;TOTAL_LABOR_HOURS_CAP,MAX(0,($D23+AA$5)-PERMANENT_FIELD_LABOR_HOURS)&gt;TEMP_HOURS_CAP),"",$C23+AA$6-MIN(($D23+AA$5),PERMANENT_FIELD_LABOR_HOURS)*PERMANENT_HOURLY_RATE-MAX(0,($D23+AA$5)-PERMANENT_FIELD_LABOR_HOURS)*TEMP_HOURLY_RATE-FIXED_SEASON_COST)</f>
        <v>-2073.75779311854</v>
      </c>
      <c r="AB23" s="53" t="n">
        <f aca="false">IF(OR($A23&gt;TOMATO_BED_CAP,$B23&gt;CARROT_BED_CAP,AB$4&gt;MESCLUN_BED_CAP,$A23+$B23+AB$4&gt;TOTAL_BEDS_AVAILABLE,($D23+AB$5)&gt;TOTAL_LABOR_HOURS_CAP,MAX(0,($D23+AB$5)-PERMANENT_FIELD_LABOR_HOURS)&gt;TEMP_HOURS_CAP),"",$C23+AB$6-MIN(($D23+AB$5),PERMANENT_FIELD_LABOR_HOURS)*PERMANENT_HOURLY_RATE-MAX(0,($D23+AB$5)-PERMANENT_FIELD_LABOR_HOURS)*TEMP_HOURLY_RATE-FIXED_SEASON_COST)</f>
        <v>-1546.66718131598</v>
      </c>
      <c r="AC23" s="53" t="n">
        <f aca="false">IF(OR($A23&gt;TOMATO_BED_CAP,$B23&gt;CARROT_BED_CAP,AC$4&gt;MESCLUN_BED_CAP,$A23+$B23+AC$4&gt;TOTAL_BEDS_AVAILABLE,($D23+AC$5)&gt;TOTAL_LABOR_HOURS_CAP,MAX(0,($D23+AC$5)-PERMANENT_FIELD_LABOR_HOURS)&gt;TEMP_HOURS_CAP),"",$C23+AC$6-MIN(($D23+AC$5),PERMANENT_FIELD_LABOR_HOURS)*PERMANENT_HOURLY_RATE-MAX(0,($D23+AC$5)-PERMANENT_FIELD_LABOR_HOURS)*TEMP_HOURLY_RATE-FIXED_SEASON_COST)</f>
        <v>-1048.57196388107</v>
      </c>
      <c r="AD23" s="53" t="n">
        <f aca="false">IF(OR($A23&gt;TOMATO_BED_CAP,$B23&gt;CARROT_BED_CAP,AD$4&gt;MESCLUN_BED_CAP,$A23+$B23+AD$4&gt;TOTAL_BEDS_AVAILABLE,($D23+AD$5)&gt;TOTAL_LABOR_HOURS_CAP,MAX(0,($D23+AD$5)-PERMANENT_FIELD_LABOR_HOURS)&gt;TEMP_HOURS_CAP),"",$C23+AD$6-MIN(($D23+AD$5),PERMANENT_FIELD_LABOR_HOURS)*PERMANENT_HOURLY_RATE-MAX(0,($D23+AD$5)-PERMANENT_FIELD_LABOR_HOURS)*TEMP_HOURLY_RATE-FIXED_SEASON_COST)</f>
        <v>-579.995008581122</v>
      </c>
      <c r="AE23" s="53" t="n">
        <f aca="false">IF(OR($A23&gt;TOMATO_BED_CAP,$B23&gt;CARROT_BED_CAP,AE$4&gt;MESCLUN_BED_CAP,$A23+$B23+AE$4&gt;TOTAL_BEDS_AVAILABLE,($D23+AE$5)&gt;TOTAL_LABOR_HOURS_CAP,MAX(0,($D23+AE$5)-PERMANENT_FIELD_LABOR_HOURS)&gt;TEMP_HOURS_CAP),"",$C23+AE$6-MIN(($D23+AE$5),PERMANENT_FIELD_LABOR_HOURS)*PERMANENT_HOURLY_RATE-MAX(0,($D23+AE$5)-PERMANENT_FIELD_LABOR_HOURS)*TEMP_HOURLY_RATE-FIXED_SEASON_COST)</f>
        <v>-141.467724347207</v>
      </c>
      <c r="AF23" s="53" t="n">
        <f aca="false">IF(OR($A23&gt;TOMATO_BED_CAP,$B23&gt;CARROT_BED_CAP,AF$4&gt;MESCLUN_BED_CAP,$A23+$B23+AF$4&gt;TOTAL_BEDS_AVAILABLE,($D23+AF$5)&gt;TOTAL_LABOR_HOURS_CAP,MAX(0,($D23+AF$5)-PERMANENT_FIELD_LABOR_HOURS)&gt;TEMP_HOURS_CAP),"",$C23+AF$6-MIN(($D23+AF$5),PERMANENT_FIELD_LABOR_HOURS)*PERMANENT_HOURLY_RATE-MAX(0,($D23+AF$5)-PERMANENT_FIELD_LABOR_HOURS)*TEMP_HOURLY_RATE-FIXED_SEASON_COST)</f>
        <v>266.469806894733</v>
      </c>
      <c r="AG23" s="53" t="n">
        <f aca="false">IF(OR($A23&gt;TOMATO_BED_CAP,$B23&gt;CARROT_BED_CAP,AG$4&gt;MESCLUN_BED_CAP,$A23+$B23+AG$4&gt;TOTAL_BEDS_AVAILABLE,($D23+AG$5)&gt;TOTAL_LABOR_HOURS_CAP,MAX(0,($D23+AG$5)-PERMANENT_FIELD_LABOR_HOURS)&gt;TEMP_HOURS_CAP),"",$C23+AG$6-MIN(($D23+AG$5),PERMANENT_FIELD_LABOR_HOURS)*PERMANENT_HOURLY_RATE-MAX(0,($D23+AG$5)-PERMANENT_FIELD_LABOR_HOURS)*TEMP_HOURLY_RATE-FIXED_SEASON_COST)</f>
        <v>643.268696431755</v>
      </c>
      <c r="AH23" s="53" t="n">
        <f aca="false">IF(OR($A23&gt;TOMATO_BED_CAP,$B23&gt;CARROT_BED_CAP,AH$4&gt;MESCLUN_BED_CAP,$A23+$B23+AH$4&gt;TOTAL_BEDS_AVAILABLE,($D23+AH$5)&gt;TOTAL_LABOR_HOURS_CAP,MAX(0,($D23+AH$5)-PERMANENT_FIELD_LABOR_HOURS)&gt;TEMP_HOURS_CAP),"",$C23+AH$6-MIN(($D23+AH$5),PERMANENT_FIELD_LABOR_HOURS)*PERMANENT_HOURLY_RATE-MAX(0,($D23+AH$5)-PERMANENT_FIELD_LABOR_HOURS)*TEMP_HOURLY_RATE-FIXED_SEASON_COST)</f>
        <v>988.371112981971</v>
      </c>
      <c r="AI23" s="53" t="n">
        <f aca="false">IF(OR($A23&gt;TOMATO_BED_CAP,$B23&gt;CARROT_BED_CAP,AI$4&gt;MESCLUN_BED_CAP,$A23+$B23+AI$4&gt;TOTAL_BEDS_AVAILABLE,($D23+AI$5)&gt;TOTAL_LABOR_HOURS_CAP,MAX(0,($D23+AI$5)-PERMANENT_FIELD_LABOR_HOURS)&gt;TEMP_HOURS_CAP),"",$C23+AI$6-MIN(($D23+AI$5),PERMANENT_FIELD_LABOR_HOURS)*PERMANENT_HOURLY_RATE-MAX(0,($D23+AI$5)-PERMANENT_FIELD_LABOR_HOURS)*TEMP_HOURLY_RATE-FIXED_SEASON_COST)</f>
        <v>1301.21014489423</v>
      </c>
      <c r="AJ23" s="53" t="n">
        <f aca="false">IF(OR($A23&gt;TOMATO_BED_CAP,$B23&gt;CARROT_BED_CAP,AJ$4&gt;MESCLUN_BED_CAP,$A23+$B23+AJ$4&gt;TOTAL_BEDS_AVAILABLE,($D23+AJ$5)&gt;TOTAL_LABOR_HOURS_CAP,MAX(0,($D23+AJ$5)-PERMANENT_FIELD_LABOR_HOURS)&gt;TEMP_HOURS_CAP),"",$C23+AJ$6-MIN(($D23+AJ$5),PERMANENT_FIELD_LABOR_HOURS)*PERMANENT_HOURLY_RATE-MAX(0,($D23+AJ$5)-PERMANENT_FIELD_LABOR_HOURS)*TEMP_HOURLY_RATE-FIXED_SEASON_COST)</f>
        <v>1581.20966029998</v>
      </c>
    </row>
    <row r="24" customFormat="false" ht="15" hidden="false" customHeight="false" outlineLevel="0" collapsed="false">
      <c r="A24" s="21" t="n">
        <f aca="false">INT((ROW()-ROW($A$8))/(20+1))</f>
        <v>0</v>
      </c>
      <c r="B24" s="21" t="n">
        <f aca="false">MOD(ROW()-ROW($A$8),20+1)</f>
        <v>16</v>
      </c>
      <c r="C24" s="13" t="n">
        <f aca="false">A24*(TOMATO_REVENUE_PER_BED-TOMATO_FERTILIZER_PER_BED)+B24*(CARROT_REVENUE_PER_BED-CARROT_FERTILIZER_PER_BED)</f>
        <v>26464</v>
      </c>
      <c r="D24" s="14" t="n">
        <f aca="false">INDEX(TOMATO_SCHED_LABOR_HRS,A24+1)+INDEX(CARROT_SCHED_LABOR_HRS,B24+1)</f>
        <v>712.277672837903</v>
      </c>
      <c r="E24" s="13" t="n">
        <f aca="false">IF(COUNT(F24:AJ24)=0,"",MAX(F24:AJ24))</f>
        <v>2179.64889440655</v>
      </c>
      <c r="F24" s="53" t="n">
        <f aca="false">IF(OR($A24&gt;TOMATO_BED_CAP,$B24&gt;CARROT_BED_CAP,F$4&gt;MESCLUN_BED_CAP,$A24+$B24+F$4&gt;TOTAL_BEDS_AVAILABLE,($D24+F$5)&gt;TOTAL_LABOR_HOURS_CAP,MAX(0,($D24+F$5)-PERMANENT_FIELD_LABOR_HOURS)&gt;TEMP_HOURS_CAP),"",$C24+F$6-MIN(($D24+F$5),PERMANENT_FIELD_LABOR_HOURS)*PERMANENT_HOURLY_RATE-MAX(0,($D24+F$5)-PERMANENT_FIELD_LABOR_HOURS)*TEMP_HOURLY_RATE-FIXED_SEASON_COST)</f>
        <v>-18266.280800932</v>
      </c>
      <c r="G24" s="53" t="n">
        <f aca="false">IF(OR($A24&gt;TOMATO_BED_CAP,$B24&gt;CARROT_BED_CAP,G$4&gt;MESCLUN_BED_CAP,$A24+$B24+G$4&gt;TOTAL_BEDS_AVAILABLE,($D24+G$5)&gt;TOTAL_LABOR_HOURS_CAP,MAX(0,($D24+G$5)-PERMANENT_FIELD_LABOR_HOURS)&gt;TEMP_HOURS_CAP),"",$C24+G$6-MIN(($D24+G$5),PERMANENT_FIELD_LABOR_HOURS)*PERMANENT_HOURLY_RATE-MAX(0,($D24+G$5)-PERMANENT_FIELD_LABOR_HOURS)*TEMP_HOURLY_RATE-FIXED_SEASON_COST)</f>
        <v>-17371.305400466</v>
      </c>
      <c r="H24" s="53" t="n">
        <f aca="false">IF(OR($A24&gt;TOMATO_BED_CAP,$B24&gt;CARROT_BED_CAP,H$4&gt;MESCLUN_BED_CAP,$A24+$B24+H$4&gt;TOTAL_BEDS_AVAILABLE,($D24+H$5)&gt;TOTAL_LABOR_HOURS_CAP,MAX(0,($D24+H$5)-PERMANENT_FIELD_LABOR_HOURS)&gt;TEMP_HOURS_CAP),"",$C24+H$6-MIN(($D24+H$5),PERMANENT_FIELD_LABOR_HOURS)*PERMANENT_HOURLY_RATE-MAX(0,($D24+H$5)-PERMANENT_FIELD_LABOR_HOURS)*TEMP_HOURLY_RATE-FIXED_SEASON_COST)</f>
        <v>-16362.044525466</v>
      </c>
      <c r="I24" s="53" t="n">
        <f aca="false">IF(OR($A24&gt;TOMATO_BED_CAP,$B24&gt;CARROT_BED_CAP,I$4&gt;MESCLUN_BED_CAP,$A24+$B24+I$4&gt;TOTAL_BEDS_AVAILABLE,($D24+I$5)&gt;TOTAL_LABOR_HOURS_CAP,MAX(0,($D24+I$5)-PERMANENT_FIELD_LABOR_HOURS)&gt;TEMP_HOURS_CAP),"",$C24+I$6-MIN(($D24+I$5),PERMANENT_FIELD_LABOR_HOURS)*PERMANENT_HOURLY_RATE-MAX(0,($D24+I$5)-PERMANENT_FIELD_LABOR_HOURS)*TEMP_HOURLY_RATE-FIXED_SEASON_COST)</f>
        <v>-15372.9285403097</v>
      </c>
      <c r="J24" s="53" t="n">
        <f aca="false">IF(OR($A24&gt;TOMATO_BED_CAP,$B24&gt;CARROT_BED_CAP,J$4&gt;MESCLUN_BED_CAP,$A24+$B24+J$4&gt;TOTAL_BEDS_AVAILABLE,($D24+J$5)&gt;TOTAL_LABOR_HOURS_CAP,MAX(0,($D24+J$5)-PERMANENT_FIELD_LABOR_HOURS)&gt;TEMP_HOURS_CAP),"",$C24+J$6-MIN(($D24+J$5),PERMANENT_FIELD_LABOR_HOURS)*PERMANENT_HOURLY_RATE-MAX(0,($D24+J$5)-PERMANENT_FIELD_LABOR_HOURS)*TEMP_HOURLY_RATE-FIXED_SEASON_COST)</f>
        <v>-14404.3343892551</v>
      </c>
      <c r="K24" s="53" t="n">
        <f aca="false">IF(OR($A24&gt;TOMATO_BED_CAP,$B24&gt;CARROT_BED_CAP,K$4&gt;MESCLUN_BED_CAP,$A24+$B24+K$4&gt;TOTAL_BEDS_AVAILABLE,($D24+K$5)&gt;TOTAL_LABOR_HOURS_CAP,MAX(0,($D24+K$5)-PERMANENT_FIELD_LABOR_HOURS)&gt;TEMP_HOURS_CAP),"",$C24+K$6-MIN(($D24+K$5),PERMANENT_FIELD_LABOR_HOURS)*PERMANENT_HOURLY_RATE-MAX(0,($D24+K$5)-PERMANENT_FIELD_LABOR_HOURS)*TEMP_HOURLY_RATE-FIXED_SEASON_COST)</f>
        <v>-13456.6452925272</v>
      </c>
      <c r="L24" s="53" t="n">
        <f aca="false">IF(OR($A24&gt;TOMATO_BED_CAP,$B24&gt;CARROT_BED_CAP,L$4&gt;MESCLUN_BED_CAP,$A24+$B24+L$4&gt;TOTAL_BEDS_AVAILABLE,($D24+L$5)&gt;TOTAL_LABOR_HOURS_CAP,MAX(0,($D24+L$5)-PERMANENT_FIELD_LABOR_HOURS)&gt;TEMP_HOURS_CAP),"",$C24+L$6-MIN(($D24+L$5),PERMANENT_FIELD_LABOR_HOURS)*PERMANENT_HOURLY_RATE-MAX(0,($D24+L$5)-PERMANENT_FIELD_LABOR_HOURS)*TEMP_HOURLY_RATE-FIXED_SEASON_COST)</f>
        <v>-12530.2508443203</v>
      </c>
      <c r="M24" s="53" t="n">
        <f aca="false">IF(OR($A24&gt;TOMATO_BED_CAP,$B24&gt;CARROT_BED_CAP,M$4&gt;MESCLUN_BED_CAP,$A24+$B24+M$4&gt;TOTAL_BEDS_AVAILABLE,($D24+M$5)&gt;TOTAL_LABOR_HOURS_CAP,MAX(0,($D24+M$5)-PERMANENT_FIELD_LABOR_HOURS)&gt;TEMP_HOURS_CAP),"",$C24+M$6-MIN(($D24+M$5),PERMANENT_FIELD_LABOR_HOURS)*PERMANENT_HOURLY_RATE-MAX(0,($D24+M$5)-PERMANENT_FIELD_LABOR_HOURS)*TEMP_HOURLY_RATE-FIXED_SEASON_COST)</f>
        <v>-11625.5471122689</v>
      </c>
      <c r="N24" s="53" t="n">
        <f aca="false">IF(OR($A24&gt;TOMATO_BED_CAP,$B24&gt;CARROT_BED_CAP,N$4&gt;MESCLUN_BED_CAP,$A24+$B24+N$4&gt;TOTAL_BEDS_AVAILABLE,($D24+N$5)&gt;TOTAL_LABOR_HOURS_CAP,MAX(0,($D24+N$5)-PERMANENT_FIELD_LABOR_HOURS)&gt;TEMP_HOURS_CAP),"",$C24+N$6-MIN(($D24+N$5),PERMANENT_FIELD_LABOR_HOURS)*PERMANENT_HOURLY_RATE-MAX(0,($D24+N$5)-PERMANENT_FIELD_LABOR_HOURS)*TEMP_HOURLY_RATE-FIXED_SEASON_COST)</f>
        <v>-10742.9367384094</v>
      </c>
      <c r="O24" s="53" t="n">
        <f aca="false">IF(OR($A24&gt;TOMATO_BED_CAP,$B24&gt;CARROT_BED_CAP,O$4&gt;MESCLUN_BED_CAP,$A24+$B24+O$4&gt;TOTAL_BEDS_AVAILABLE,($D24+O$5)&gt;TOTAL_LABOR_HOURS_CAP,MAX(0,($D24+O$5)-PERMANENT_FIELD_LABOR_HOURS)&gt;TEMP_HOURS_CAP),"",$C24+O$6-MIN(($D24+O$5),PERMANENT_FIELD_LABOR_HOURS)*PERMANENT_HOURLY_RATE-MAX(0,($D24+O$5)-PERMANENT_FIELD_LABOR_HOURS)*TEMP_HOURLY_RATE-FIXED_SEASON_COST)</f>
        <v>-9882.82904165459</v>
      </c>
      <c r="P24" s="53" t="n">
        <f aca="false">IF(OR($A24&gt;TOMATO_BED_CAP,$B24&gt;CARROT_BED_CAP,P$4&gt;MESCLUN_BED_CAP,$A24+$B24+P$4&gt;TOTAL_BEDS_AVAILABLE,($D24+P$5)&gt;TOTAL_LABOR_HOURS_CAP,MAX(0,($D24+P$5)-PERMANENT_FIELD_LABOR_HOURS)&gt;TEMP_HOURS_CAP),"",$C24+P$6-MIN(($D24+P$5),PERMANENT_FIELD_LABOR_HOURS)*PERMANENT_HOURLY_RATE-MAX(0,($D24+P$5)-PERMANENT_FIELD_LABOR_HOURS)*TEMP_HOURLY_RATE-FIXED_SEASON_COST)</f>
        <v>-9045.64012180317</v>
      </c>
      <c r="Q24" s="53" t="n">
        <f aca="false">IF(OR($A24&gt;TOMATO_BED_CAP,$B24&gt;CARROT_BED_CAP,Q$4&gt;MESCLUN_BED_CAP,$A24+$B24+Q$4&gt;TOTAL_BEDS_AVAILABLE,($D24+Q$5)&gt;TOTAL_LABOR_HOURS_CAP,MAX(0,($D24+Q$5)-PERMANENT_FIELD_LABOR_HOURS)&gt;TEMP_HOURS_CAP),"",$C24+Q$6-MIN(($D24+Q$5),PERMANENT_FIELD_LABOR_HOURS)*PERMANENT_HOURLY_RATE-MAX(0,($D24+Q$5)-PERMANENT_FIELD_LABOR_HOURS)*TEMP_HOURLY_RATE-FIXED_SEASON_COST)</f>
        <v>-8231.79296510527</v>
      </c>
      <c r="R24" s="53" t="n">
        <f aca="false">IF(OR($A24&gt;TOMATO_BED_CAP,$B24&gt;CARROT_BED_CAP,R$4&gt;MESCLUN_BED_CAP,$A24+$B24+R$4&gt;TOTAL_BEDS_AVAILABLE,($D24+R$5)&gt;TOTAL_LABOR_HOURS_CAP,MAX(0,($D24+R$5)-PERMANENT_FIELD_LABOR_HOURS)&gt;TEMP_HOURS_CAP),"",$C24+R$6-MIN(($D24+R$5),PERMANENT_FIELD_LABOR_HOURS)*PERMANENT_HOURLY_RATE-MAX(0,($D24+R$5)-PERMANENT_FIELD_LABOR_HOURS)*TEMP_HOURLY_RATE-FIXED_SEASON_COST)</f>
        <v>-7441.71755140847</v>
      </c>
      <c r="S24" s="53" t="n">
        <f aca="false">IF(OR($A24&gt;TOMATO_BED_CAP,$B24&gt;CARROT_BED_CAP,S$4&gt;MESCLUN_BED_CAP,$A24+$B24+S$4&gt;TOTAL_BEDS_AVAILABLE,($D24+S$5)&gt;TOTAL_LABOR_HOURS_CAP,MAX(0,($D24+S$5)-PERMANENT_FIELD_LABOR_HOURS)&gt;TEMP_HOURS_CAP),"",$C24+S$6-MIN(($D24+S$5),PERMANENT_FIELD_LABOR_HOURS)*PERMANENT_HOURLY_RATE-MAX(0,($D24+S$5)-PERMANENT_FIELD_LABOR_HOURS)*TEMP_HOURLY_RATE-FIXED_SEASON_COST)</f>
        <v>-6675.85096290602</v>
      </c>
      <c r="T24" s="53" t="n">
        <f aca="false">IF(OR($A24&gt;TOMATO_BED_CAP,$B24&gt;CARROT_BED_CAP,T$4&gt;MESCLUN_BED_CAP,$A24+$B24+T$4&gt;TOTAL_BEDS_AVAILABLE,($D24+T$5)&gt;TOTAL_LABOR_HOURS_CAP,MAX(0,($D24+T$5)-PERMANENT_FIELD_LABOR_HOURS)&gt;TEMP_HOURS_CAP),"",$C24+T$6-MIN(($D24+T$5),PERMANENT_FIELD_LABOR_HOURS)*PERMANENT_HOURLY_RATE-MAX(0,($D24+T$5)-PERMANENT_FIELD_LABOR_HOURS)*TEMP_HOURLY_RATE-FIXED_SEASON_COST)</f>
        <v>-5934.63749451118</v>
      </c>
      <c r="U24" s="53" t="n">
        <f aca="false">IF(OR($A24&gt;TOMATO_BED_CAP,$B24&gt;CARROT_BED_CAP,U$4&gt;MESCLUN_BED_CAP,$A24+$B24+U$4&gt;TOTAL_BEDS_AVAILABLE,($D24+U$5)&gt;TOTAL_LABOR_HOURS_CAP,MAX(0,($D24+U$5)-PERMANENT_FIELD_LABOR_HOURS)&gt;TEMP_HOURS_CAP),"",$C24+U$6-MIN(($D24+U$5),PERMANENT_FIELD_LABOR_HOURS)*PERMANENT_HOURLY_RATE-MAX(0,($D24+U$5)-PERMANENT_FIELD_LABOR_HOURS)*TEMP_HOURLY_RATE-FIXED_SEASON_COST)</f>
        <v>-5218.52876588108</v>
      </c>
      <c r="V24" s="53" t="n">
        <f aca="false">IF(OR($A24&gt;TOMATO_BED_CAP,$B24&gt;CARROT_BED_CAP,V$4&gt;MESCLUN_BED_CAP,$A24+$B24+V$4&gt;TOTAL_BEDS_AVAILABLE,($D24+V$5)&gt;TOTAL_LABOR_HOURS_CAP,MAX(0,($D24+V$5)-PERMANENT_FIELD_LABOR_HOURS)&gt;TEMP_HOURS_CAP),"",$C24+V$6-MIN(($D24+V$5),PERMANENT_FIELD_LABOR_HOURS)*PERMANENT_HOURLY_RATE-MAX(0,($D24+V$5)-PERMANENT_FIELD_LABOR_HOURS)*TEMP_HOURLY_RATE-FIXED_SEASON_COST)</f>
        <v>-4527.98383511428</v>
      </c>
      <c r="W24" s="53" t="n">
        <f aca="false">IF(OR($A24&gt;TOMATO_BED_CAP,$B24&gt;CARROT_BED_CAP,W$4&gt;MESCLUN_BED_CAP,$A24+$B24+W$4&gt;TOTAL_BEDS_AVAILABLE,($D24+W$5)&gt;TOTAL_LABOR_HOURS_CAP,MAX(0,($D24+W$5)-PERMANENT_FIELD_LABOR_HOURS)&gt;TEMP_HOURS_CAP),"",$C24+W$6-MIN(($D24+W$5),PERMANENT_FIELD_LABOR_HOURS)*PERMANENT_HOURLY_RATE-MAX(0,($D24+W$5)-PERMANENT_FIELD_LABOR_HOURS)*TEMP_HOURLY_RATE-FIXED_SEASON_COST)</f>
        <v>-3863.46931414622</v>
      </c>
      <c r="X24" s="53" t="n">
        <f aca="false">IF(OR($A24&gt;TOMATO_BED_CAP,$B24&gt;CARROT_BED_CAP,X$4&gt;MESCLUN_BED_CAP,$A24+$B24+X$4&gt;TOTAL_BEDS_AVAILABLE,($D24+X$5)&gt;TOTAL_LABOR_HOURS_CAP,MAX(0,($D24+X$5)-PERMANENT_FIELD_LABOR_HOURS)&gt;TEMP_HOURS_CAP),"",$C24+X$6-MIN(($D24+X$5),PERMANENT_FIELD_LABOR_HOURS)*PERMANENT_HOURLY_RATE-MAX(0,($D24+X$5)-PERMANENT_FIELD_LABOR_HOURS)*TEMP_HOURLY_RATE-FIXED_SEASON_COST)</f>
        <v>-3225.45948586729</v>
      </c>
      <c r="Y24" s="53" t="n">
        <f aca="false">IF(OR($A24&gt;TOMATO_BED_CAP,$B24&gt;CARROT_BED_CAP,Y$4&gt;MESCLUN_BED_CAP,$A24+$B24+Y$4&gt;TOTAL_BEDS_AVAILABLE,($D24+Y$5)&gt;TOTAL_LABOR_HOURS_CAP,MAX(0,($D24+Y$5)-PERMANENT_FIELD_LABOR_HOURS)&gt;TEMP_HOURS_CAP),"",$C24+Y$6-MIN(($D24+Y$5),PERMANENT_FIELD_LABOR_HOURS)*PERMANENT_HOURLY_RATE-MAX(0,($D24+Y$5)-PERMANENT_FIELD_LABOR_HOURS)*TEMP_HOURLY_RATE-FIXED_SEASON_COST)</f>
        <v>-2614.43642298863</v>
      </c>
      <c r="Z24" s="53" t="n">
        <f aca="false">IF(OR($A24&gt;TOMATO_BED_CAP,$B24&gt;CARROT_BED_CAP,Z$4&gt;MESCLUN_BED_CAP,$A24+$B24+Z$4&gt;TOTAL_BEDS_AVAILABLE,($D24+Z$5)&gt;TOTAL_LABOR_HOURS_CAP,MAX(0,($D24+Z$5)-PERMANENT_FIELD_LABOR_HOURS)&gt;TEMP_HOURS_CAP),"",$C24+Z$6-MIN(($D24+Z$5),PERMANENT_FIELD_LABOR_HOURS)*PERMANENT_HOURLY_RATE-MAX(0,($D24+Z$5)-PERMANENT_FIELD_LABOR_HOURS)*TEMP_HOURLY_RATE-FIXED_SEASON_COST)</f>
        <v>-2030.89010868091</v>
      </c>
      <c r="AA24" s="53" t="n">
        <f aca="false">IF(OR($A24&gt;TOMATO_BED_CAP,$B24&gt;CARROT_BED_CAP,AA$4&gt;MESCLUN_BED_CAP,$A24+$B24+AA$4&gt;TOTAL_BEDS_AVAILABLE,($D24+AA$5)&gt;TOTAL_LABOR_HOURS_CAP,MAX(0,($D24+AA$5)-PERMANENT_FIELD_LABOR_HOURS)&gt;TEMP_HOURS_CAP),"",$C24+AA$6-MIN(($D24+AA$5),PERMANENT_FIELD_LABOR_HOURS)*PERMANENT_HOURLY_RATE-MAX(0,($D24+AA$5)-PERMANENT_FIELD_LABOR_HOURS)*TEMP_HOURLY_RATE-FIXED_SEASON_COST)</f>
        <v>-1475.31855901198</v>
      </c>
      <c r="AB24" s="53" t="n">
        <f aca="false">IF(OR($A24&gt;TOMATO_BED_CAP,$B24&gt;CARROT_BED_CAP,AB$4&gt;MESCLUN_BED_CAP,$A24+$B24+AB$4&gt;TOTAL_BEDS_AVAILABLE,($D24+AB$5)&gt;TOTAL_LABOR_HOURS_CAP,MAX(0,($D24+AB$5)-PERMANENT_FIELD_LABOR_HOURS)&gt;TEMP_HOURS_CAP),"",$C24+AB$6-MIN(($D24+AB$5),PERMANENT_FIELD_LABOR_HOURS)*PERMANENT_HOURLY_RATE-MAX(0,($D24+AB$5)-PERMANENT_FIELD_LABOR_HOURS)*TEMP_HOURLY_RATE-FIXED_SEASON_COST)</f>
        <v>-948.227947209416</v>
      </c>
      <c r="AC24" s="53" t="n">
        <f aca="false">IF(OR($A24&gt;TOMATO_BED_CAP,$B24&gt;CARROT_BED_CAP,AC$4&gt;MESCLUN_BED_CAP,$A24+$B24+AC$4&gt;TOTAL_BEDS_AVAILABLE,($D24+AC$5)&gt;TOTAL_LABOR_HOURS_CAP,MAX(0,($D24+AC$5)-PERMANENT_FIELD_LABOR_HOURS)&gt;TEMP_HOURS_CAP),"",$C24+AC$6-MIN(($D24+AC$5),PERMANENT_FIELD_LABOR_HOURS)*PERMANENT_HOURLY_RATE-MAX(0,($D24+AC$5)-PERMANENT_FIELD_LABOR_HOURS)*TEMP_HOURLY_RATE-FIXED_SEASON_COST)</f>
        <v>-450.132729774516</v>
      </c>
      <c r="AD24" s="53" t="n">
        <f aca="false">IF(OR($A24&gt;TOMATO_BED_CAP,$B24&gt;CARROT_BED_CAP,AD$4&gt;MESCLUN_BED_CAP,$A24+$B24+AD$4&gt;TOTAL_BEDS_AVAILABLE,($D24+AD$5)&gt;TOTAL_LABOR_HOURS_CAP,MAX(0,($D24+AD$5)-PERMANENT_FIELD_LABOR_HOURS)&gt;TEMP_HOURS_CAP),"",$C24+AD$6-MIN(($D24+AD$5),PERMANENT_FIELD_LABOR_HOURS)*PERMANENT_HOURLY_RATE-MAX(0,($D24+AD$5)-PERMANENT_FIELD_LABOR_HOURS)*TEMP_HOURLY_RATE-FIXED_SEASON_COST)</f>
        <v>18.4442255254471</v>
      </c>
      <c r="AE24" s="53" t="n">
        <f aca="false">IF(OR($A24&gt;TOMATO_BED_CAP,$B24&gt;CARROT_BED_CAP,AE$4&gt;MESCLUN_BED_CAP,$A24+$B24+AE$4&gt;TOTAL_BEDS_AVAILABLE,($D24+AE$5)&gt;TOTAL_LABOR_HOURS_CAP,MAX(0,($D24+AE$5)-PERMANENT_FIELD_LABOR_HOURS)&gt;TEMP_HOURS_CAP),"",$C24+AE$6-MIN(($D24+AE$5),PERMANENT_FIELD_LABOR_HOURS)*PERMANENT_HOURLY_RATE-MAX(0,($D24+AE$5)-PERMANENT_FIELD_LABOR_HOURS)*TEMP_HOURLY_RATE-FIXED_SEASON_COST)</f>
        <v>456.971509759347</v>
      </c>
      <c r="AF24" s="53" t="n">
        <f aca="false">IF(OR($A24&gt;TOMATO_BED_CAP,$B24&gt;CARROT_BED_CAP,AF$4&gt;MESCLUN_BED_CAP,$A24+$B24+AF$4&gt;TOTAL_BEDS_AVAILABLE,($D24+AF$5)&gt;TOTAL_LABOR_HOURS_CAP,MAX(0,($D24+AF$5)-PERMANENT_FIELD_LABOR_HOURS)&gt;TEMP_HOURS_CAP),"",$C24+AF$6-MIN(($D24+AF$5),PERMANENT_FIELD_LABOR_HOURS)*PERMANENT_HOURLY_RATE-MAX(0,($D24+AF$5)-PERMANENT_FIELD_LABOR_HOURS)*TEMP_HOURLY_RATE-FIXED_SEASON_COST)</f>
        <v>864.909041001305</v>
      </c>
      <c r="AG24" s="53" t="n">
        <f aca="false">IF(OR($A24&gt;TOMATO_BED_CAP,$B24&gt;CARROT_BED_CAP,AG$4&gt;MESCLUN_BED_CAP,$A24+$B24+AG$4&gt;TOTAL_BEDS_AVAILABLE,($D24+AG$5)&gt;TOTAL_LABOR_HOURS_CAP,MAX(0,($D24+AG$5)-PERMANENT_FIELD_LABOR_HOURS)&gt;TEMP_HOURS_CAP),"",$C24+AG$6-MIN(($D24+AG$5),PERMANENT_FIELD_LABOR_HOURS)*PERMANENT_HOURLY_RATE-MAX(0,($D24+AG$5)-PERMANENT_FIELD_LABOR_HOURS)*TEMP_HOURLY_RATE-FIXED_SEASON_COST)</f>
        <v>1241.70793053832</v>
      </c>
      <c r="AH24" s="53" t="n">
        <f aca="false">IF(OR($A24&gt;TOMATO_BED_CAP,$B24&gt;CARROT_BED_CAP,AH$4&gt;MESCLUN_BED_CAP,$A24+$B24+AH$4&gt;TOTAL_BEDS_AVAILABLE,($D24+AH$5)&gt;TOTAL_LABOR_HOURS_CAP,MAX(0,($D24+AH$5)-PERMANENT_FIELD_LABOR_HOURS)&gt;TEMP_HOURS_CAP),"",$C24+AH$6-MIN(($D24+AH$5),PERMANENT_FIELD_LABOR_HOURS)*PERMANENT_HOURLY_RATE-MAX(0,($D24+AH$5)-PERMANENT_FIELD_LABOR_HOURS)*TEMP_HOURLY_RATE-FIXED_SEASON_COST)</f>
        <v>1586.81034708853</v>
      </c>
      <c r="AI24" s="53" t="n">
        <f aca="false">IF(OR($A24&gt;TOMATO_BED_CAP,$B24&gt;CARROT_BED_CAP,AI$4&gt;MESCLUN_BED_CAP,$A24+$B24+AI$4&gt;TOTAL_BEDS_AVAILABLE,($D24+AI$5)&gt;TOTAL_LABOR_HOURS_CAP,MAX(0,($D24+AI$5)-PERMANENT_FIELD_LABOR_HOURS)&gt;TEMP_HOURS_CAP),"",$C24+AI$6-MIN(($D24+AI$5),PERMANENT_FIELD_LABOR_HOURS)*PERMANENT_HOURLY_RATE-MAX(0,($D24+AI$5)-PERMANENT_FIELD_LABOR_HOURS)*TEMP_HOURLY_RATE-FIXED_SEASON_COST)</f>
        <v>1899.64937900079</v>
      </c>
      <c r="AJ24" s="53" t="n">
        <f aca="false">IF(OR($A24&gt;TOMATO_BED_CAP,$B24&gt;CARROT_BED_CAP,AJ$4&gt;MESCLUN_BED_CAP,$A24+$B24+AJ$4&gt;TOTAL_BEDS_AVAILABLE,($D24+AJ$5)&gt;TOTAL_LABOR_HOURS_CAP,MAX(0,($D24+AJ$5)-PERMANENT_FIELD_LABOR_HOURS)&gt;TEMP_HOURS_CAP),"",$C24+AJ$6-MIN(($D24+AJ$5),PERMANENT_FIELD_LABOR_HOURS)*PERMANENT_HOURLY_RATE-MAX(0,($D24+AJ$5)-PERMANENT_FIELD_LABOR_HOURS)*TEMP_HOURLY_RATE-FIXED_SEASON_COST)</f>
        <v>2179.64889440655</v>
      </c>
    </row>
    <row r="25" customFormat="false" ht="15" hidden="false" customHeight="false" outlineLevel="0" collapsed="false">
      <c r="A25" s="21" t="n">
        <f aca="false">INT((ROW()-ROW($A$8))/(20+1))</f>
        <v>0</v>
      </c>
      <c r="B25" s="21" t="n">
        <f aca="false">MOD(ROW()-ROW($A$8),20+1)</f>
        <v>17</v>
      </c>
      <c r="C25" s="13" t="n">
        <f aca="false">A25*(TOMATO_REVENUE_PER_BED-TOMATO_FERTILIZER_PER_BED)+B25*(CARROT_REVENUE_PER_BED-CARROT_FERTILIZER_PER_BED)</f>
        <v>28118</v>
      </c>
      <c r="D25" s="14" t="n">
        <f aca="false">INDEX(TOMATO_SCHED_LABOR_HRS,A25+1)+INDEX(CARROT_SCHED_LABOR_HRS,B25+1)</f>
        <v>775.714903075029</v>
      </c>
      <c r="E25" s="13" t="n">
        <f aca="false">IF(COUNT(F25:AJ25)=0,"",MAX(F25:AJ25))</f>
        <v>2732.37857749005</v>
      </c>
      <c r="F25" s="53" t="n">
        <f aca="false">IF(OR($A25&gt;TOMATO_BED_CAP,$B25&gt;CARROT_BED_CAP,F$4&gt;MESCLUN_BED_CAP,$A25+$B25+F$4&gt;TOTAL_BEDS_AVAILABLE,($D25+F$5)&gt;TOTAL_LABOR_HOURS_CAP,MAX(0,($D25+F$5)-PERMANENT_FIELD_LABOR_HOURS)&gt;TEMP_HOURS_CAP),"",$C25+F$6-MIN(($D25+F$5),PERMANENT_FIELD_LABOR_HOURS)*PERMANENT_HOURLY_RATE-MAX(0,($D25+F$5)-PERMANENT_FIELD_LABOR_HOURS)*TEMP_HOURLY_RATE-FIXED_SEASON_COST)</f>
        <v>-17847.6107173825</v>
      </c>
      <c r="G25" s="53" t="n">
        <f aca="false">IF(OR($A25&gt;TOMATO_BED_CAP,$B25&gt;CARROT_BED_CAP,G$4&gt;MESCLUN_BED_CAP,$A25+$B25+G$4&gt;TOTAL_BEDS_AVAILABLE,($D25+G$5)&gt;TOTAL_LABOR_HOURS_CAP,MAX(0,($D25+G$5)-PERMANENT_FIELD_LABOR_HOURS)&gt;TEMP_HOURS_CAP),"",$C25+G$6-MIN(($D25+G$5),PERMANENT_FIELD_LABOR_HOURS)*PERMANENT_HOURLY_RATE-MAX(0,($D25+G$5)-PERMANENT_FIELD_LABOR_HOURS)*TEMP_HOURLY_RATE-FIXED_SEASON_COST)</f>
        <v>-16818.5757173825</v>
      </c>
      <c r="H25" s="53" t="n">
        <f aca="false">IF(OR($A25&gt;TOMATO_BED_CAP,$B25&gt;CARROT_BED_CAP,H$4&gt;MESCLUN_BED_CAP,$A25+$B25+H$4&gt;TOTAL_BEDS_AVAILABLE,($D25+H$5)&gt;TOTAL_LABOR_HOURS_CAP,MAX(0,($D25+H$5)-PERMANENT_FIELD_LABOR_HOURS)&gt;TEMP_HOURS_CAP),"",$C25+H$6-MIN(($D25+H$5),PERMANENT_FIELD_LABOR_HOURS)*PERMANENT_HOURLY_RATE-MAX(0,($D25+H$5)-PERMANENT_FIELD_LABOR_HOURS)*TEMP_HOURLY_RATE-FIXED_SEASON_COST)</f>
        <v>-15809.3148423825</v>
      </c>
      <c r="I25" s="53" t="n">
        <f aca="false">IF(OR($A25&gt;TOMATO_BED_CAP,$B25&gt;CARROT_BED_CAP,I$4&gt;MESCLUN_BED_CAP,$A25+$B25+I$4&gt;TOTAL_BEDS_AVAILABLE,($D25+I$5)&gt;TOTAL_LABOR_HOURS_CAP,MAX(0,($D25+I$5)-PERMANENT_FIELD_LABOR_HOURS)&gt;TEMP_HOURS_CAP),"",$C25+I$6-MIN(($D25+I$5),PERMANENT_FIELD_LABOR_HOURS)*PERMANENT_HOURLY_RATE-MAX(0,($D25+I$5)-PERMANENT_FIELD_LABOR_HOURS)*TEMP_HOURLY_RATE-FIXED_SEASON_COST)</f>
        <v>-14820.1988572262</v>
      </c>
      <c r="J25" s="53" t="n">
        <f aca="false">IF(OR($A25&gt;TOMATO_BED_CAP,$B25&gt;CARROT_BED_CAP,J$4&gt;MESCLUN_BED_CAP,$A25+$B25+J$4&gt;TOTAL_BEDS_AVAILABLE,($D25+J$5)&gt;TOTAL_LABOR_HOURS_CAP,MAX(0,($D25+J$5)-PERMANENT_FIELD_LABOR_HOURS)&gt;TEMP_HOURS_CAP),"",$C25+J$6-MIN(($D25+J$5),PERMANENT_FIELD_LABOR_HOURS)*PERMANENT_HOURLY_RATE-MAX(0,($D25+J$5)-PERMANENT_FIELD_LABOR_HOURS)*TEMP_HOURLY_RATE-FIXED_SEASON_COST)</f>
        <v>-13851.6047061716</v>
      </c>
      <c r="K25" s="53" t="n">
        <f aca="false">IF(OR($A25&gt;TOMATO_BED_CAP,$B25&gt;CARROT_BED_CAP,K$4&gt;MESCLUN_BED_CAP,$A25+$B25+K$4&gt;TOTAL_BEDS_AVAILABLE,($D25+K$5)&gt;TOTAL_LABOR_HOURS_CAP,MAX(0,($D25+K$5)-PERMANENT_FIELD_LABOR_HOURS)&gt;TEMP_HOURS_CAP),"",$C25+K$6-MIN(($D25+K$5),PERMANENT_FIELD_LABOR_HOURS)*PERMANENT_HOURLY_RATE-MAX(0,($D25+K$5)-PERMANENT_FIELD_LABOR_HOURS)*TEMP_HOURLY_RATE-FIXED_SEASON_COST)</f>
        <v>-12903.9156094437</v>
      </c>
      <c r="L25" s="53" t="n">
        <f aca="false">IF(OR($A25&gt;TOMATO_BED_CAP,$B25&gt;CARROT_BED_CAP,L$4&gt;MESCLUN_BED_CAP,$A25+$B25+L$4&gt;TOTAL_BEDS_AVAILABLE,($D25+L$5)&gt;TOTAL_LABOR_HOURS_CAP,MAX(0,($D25+L$5)-PERMANENT_FIELD_LABOR_HOURS)&gt;TEMP_HOURS_CAP),"",$C25+L$6-MIN(($D25+L$5),PERMANENT_FIELD_LABOR_HOURS)*PERMANENT_HOURLY_RATE-MAX(0,($D25+L$5)-PERMANENT_FIELD_LABOR_HOURS)*TEMP_HOURLY_RATE-FIXED_SEASON_COST)</f>
        <v>-11977.5211612368</v>
      </c>
      <c r="M25" s="53" t="n">
        <f aca="false">IF(OR($A25&gt;TOMATO_BED_CAP,$B25&gt;CARROT_BED_CAP,M$4&gt;MESCLUN_BED_CAP,$A25+$B25+M$4&gt;TOTAL_BEDS_AVAILABLE,($D25+M$5)&gt;TOTAL_LABOR_HOURS_CAP,MAX(0,($D25+M$5)-PERMANENT_FIELD_LABOR_HOURS)&gt;TEMP_HOURS_CAP),"",$C25+M$6-MIN(($D25+M$5),PERMANENT_FIELD_LABOR_HOURS)*PERMANENT_HOURLY_RATE-MAX(0,($D25+M$5)-PERMANENT_FIELD_LABOR_HOURS)*TEMP_HOURLY_RATE-FIXED_SEASON_COST)</f>
        <v>-11072.8174291854</v>
      </c>
      <c r="N25" s="53" t="n">
        <f aca="false">IF(OR($A25&gt;TOMATO_BED_CAP,$B25&gt;CARROT_BED_CAP,N$4&gt;MESCLUN_BED_CAP,$A25+$B25+N$4&gt;TOTAL_BEDS_AVAILABLE,($D25+N$5)&gt;TOTAL_LABOR_HOURS_CAP,MAX(0,($D25+N$5)-PERMANENT_FIELD_LABOR_HOURS)&gt;TEMP_HOURS_CAP),"",$C25+N$6-MIN(($D25+N$5),PERMANENT_FIELD_LABOR_HOURS)*PERMANENT_HOURLY_RATE-MAX(0,($D25+N$5)-PERMANENT_FIELD_LABOR_HOURS)*TEMP_HOURLY_RATE-FIXED_SEASON_COST)</f>
        <v>-10190.2070553258</v>
      </c>
      <c r="O25" s="53" t="n">
        <f aca="false">IF(OR($A25&gt;TOMATO_BED_CAP,$B25&gt;CARROT_BED_CAP,O$4&gt;MESCLUN_BED_CAP,$A25+$B25+O$4&gt;TOTAL_BEDS_AVAILABLE,($D25+O$5)&gt;TOTAL_LABOR_HOURS_CAP,MAX(0,($D25+O$5)-PERMANENT_FIELD_LABOR_HOURS)&gt;TEMP_HOURS_CAP),"",$C25+O$6-MIN(($D25+O$5),PERMANENT_FIELD_LABOR_HOURS)*PERMANENT_HOURLY_RATE-MAX(0,($D25+O$5)-PERMANENT_FIELD_LABOR_HOURS)*TEMP_HOURLY_RATE-FIXED_SEASON_COST)</f>
        <v>-9330.0993585711</v>
      </c>
      <c r="P25" s="53" t="n">
        <f aca="false">IF(OR($A25&gt;TOMATO_BED_CAP,$B25&gt;CARROT_BED_CAP,P$4&gt;MESCLUN_BED_CAP,$A25+$B25+P$4&gt;TOTAL_BEDS_AVAILABLE,($D25+P$5)&gt;TOTAL_LABOR_HOURS_CAP,MAX(0,($D25+P$5)-PERMANENT_FIELD_LABOR_HOURS)&gt;TEMP_HOURS_CAP),"",$C25+P$6-MIN(($D25+P$5),PERMANENT_FIELD_LABOR_HOURS)*PERMANENT_HOURLY_RATE-MAX(0,($D25+P$5)-PERMANENT_FIELD_LABOR_HOURS)*TEMP_HOURLY_RATE-FIXED_SEASON_COST)</f>
        <v>-8492.91043871967</v>
      </c>
      <c r="Q25" s="53" t="n">
        <f aca="false">IF(OR($A25&gt;TOMATO_BED_CAP,$B25&gt;CARROT_BED_CAP,Q$4&gt;MESCLUN_BED_CAP,$A25+$B25+Q$4&gt;TOTAL_BEDS_AVAILABLE,($D25+Q$5)&gt;TOTAL_LABOR_HOURS_CAP,MAX(0,($D25+Q$5)-PERMANENT_FIELD_LABOR_HOURS)&gt;TEMP_HOURS_CAP),"",$C25+Q$6-MIN(($D25+Q$5),PERMANENT_FIELD_LABOR_HOURS)*PERMANENT_HOURLY_RATE-MAX(0,($D25+Q$5)-PERMANENT_FIELD_LABOR_HOURS)*TEMP_HOURLY_RATE-FIXED_SEASON_COST)</f>
        <v>-7679.06328202177</v>
      </c>
      <c r="R25" s="53" t="n">
        <f aca="false">IF(OR($A25&gt;TOMATO_BED_CAP,$B25&gt;CARROT_BED_CAP,R$4&gt;MESCLUN_BED_CAP,$A25+$B25+R$4&gt;TOTAL_BEDS_AVAILABLE,($D25+R$5)&gt;TOTAL_LABOR_HOURS_CAP,MAX(0,($D25+R$5)-PERMANENT_FIELD_LABOR_HOURS)&gt;TEMP_HOURS_CAP),"",$C25+R$6-MIN(($D25+R$5),PERMANENT_FIELD_LABOR_HOURS)*PERMANENT_HOURLY_RATE-MAX(0,($D25+R$5)-PERMANENT_FIELD_LABOR_HOURS)*TEMP_HOURLY_RATE-FIXED_SEASON_COST)</f>
        <v>-6888.98786832497</v>
      </c>
      <c r="S25" s="53" t="n">
        <f aca="false">IF(OR($A25&gt;TOMATO_BED_CAP,$B25&gt;CARROT_BED_CAP,S$4&gt;MESCLUN_BED_CAP,$A25+$B25+S$4&gt;TOTAL_BEDS_AVAILABLE,($D25+S$5)&gt;TOTAL_LABOR_HOURS_CAP,MAX(0,($D25+S$5)-PERMANENT_FIELD_LABOR_HOURS)&gt;TEMP_HOURS_CAP),"",$C25+S$6-MIN(($D25+S$5),PERMANENT_FIELD_LABOR_HOURS)*PERMANENT_HOURLY_RATE-MAX(0,($D25+S$5)-PERMANENT_FIELD_LABOR_HOURS)*TEMP_HOURLY_RATE-FIXED_SEASON_COST)</f>
        <v>-6123.12127982252</v>
      </c>
      <c r="T25" s="53" t="n">
        <f aca="false">IF(OR($A25&gt;TOMATO_BED_CAP,$B25&gt;CARROT_BED_CAP,T$4&gt;MESCLUN_BED_CAP,$A25+$B25+T$4&gt;TOTAL_BEDS_AVAILABLE,($D25+T$5)&gt;TOTAL_LABOR_HOURS_CAP,MAX(0,($D25+T$5)-PERMANENT_FIELD_LABOR_HOURS)&gt;TEMP_HOURS_CAP),"",$C25+T$6-MIN(($D25+T$5),PERMANENT_FIELD_LABOR_HOURS)*PERMANENT_HOURLY_RATE-MAX(0,($D25+T$5)-PERMANENT_FIELD_LABOR_HOURS)*TEMP_HOURLY_RATE-FIXED_SEASON_COST)</f>
        <v>-5381.90781142768</v>
      </c>
      <c r="U25" s="53" t="n">
        <f aca="false">IF(OR($A25&gt;TOMATO_BED_CAP,$B25&gt;CARROT_BED_CAP,U$4&gt;MESCLUN_BED_CAP,$A25+$B25+U$4&gt;TOTAL_BEDS_AVAILABLE,($D25+U$5)&gt;TOTAL_LABOR_HOURS_CAP,MAX(0,($D25+U$5)-PERMANENT_FIELD_LABOR_HOURS)&gt;TEMP_HOURS_CAP),"",$C25+U$6-MIN(($D25+U$5),PERMANENT_FIELD_LABOR_HOURS)*PERMANENT_HOURLY_RATE-MAX(0,($D25+U$5)-PERMANENT_FIELD_LABOR_HOURS)*TEMP_HOURLY_RATE-FIXED_SEASON_COST)</f>
        <v>-4665.79908279758</v>
      </c>
      <c r="V25" s="53" t="n">
        <f aca="false">IF(OR($A25&gt;TOMATO_BED_CAP,$B25&gt;CARROT_BED_CAP,V$4&gt;MESCLUN_BED_CAP,$A25+$B25+V$4&gt;TOTAL_BEDS_AVAILABLE,($D25+V$5)&gt;TOTAL_LABOR_HOURS_CAP,MAX(0,($D25+V$5)-PERMANENT_FIELD_LABOR_HOURS)&gt;TEMP_HOURS_CAP),"",$C25+V$6-MIN(($D25+V$5),PERMANENT_FIELD_LABOR_HOURS)*PERMANENT_HOURLY_RATE-MAX(0,($D25+V$5)-PERMANENT_FIELD_LABOR_HOURS)*TEMP_HOURLY_RATE-FIXED_SEASON_COST)</f>
        <v>-3975.25415203079</v>
      </c>
      <c r="W25" s="53" t="n">
        <f aca="false">IF(OR($A25&gt;TOMATO_BED_CAP,$B25&gt;CARROT_BED_CAP,W$4&gt;MESCLUN_BED_CAP,$A25+$B25+W$4&gt;TOTAL_BEDS_AVAILABLE,($D25+W$5)&gt;TOTAL_LABOR_HOURS_CAP,MAX(0,($D25+W$5)-PERMANENT_FIELD_LABOR_HOURS)&gt;TEMP_HOURS_CAP),"",$C25+W$6-MIN(($D25+W$5),PERMANENT_FIELD_LABOR_HOURS)*PERMANENT_HOURLY_RATE-MAX(0,($D25+W$5)-PERMANENT_FIELD_LABOR_HOURS)*TEMP_HOURLY_RATE-FIXED_SEASON_COST)</f>
        <v>-3310.73963106272</v>
      </c>
      <c r="X25" s="53" t="n">
        <f aca="false">IF(OR($A25&gt;TOMATO_BED_CAP,$B25&gt;CARROT_BED_CAP,X$4&gt;MESCLUN_BED_CAP,$A25+$B25+X$4&gt;TOTAL_BEDS_AVAILABLE,($D25+X$5)&gt;TOTAL_LABOR_HOURS_CAP,MAX(0,($D25+X$5)-PERMANENT_FIELD_LABOR_HOURS)&gt;TEMP_HOURS_CAP),"",$C25+X$6-MIN(($D25+X$5),PERMANENT_FIELD_LABOR_HOURS)*PERMANENT_HOURLY_RATE-MAX(0,($D25+X$5)-PERMANENT_FIELD_LABOR_HOURS)*TEMP_HOURLY_RATE-FIXED_SEASON_COST)</f>
        <v>-2672.7298027838</v>
      </c>
      <c r="Y25" s="53" t="n">
        <f aca="false">IF(OR($A25&gt;TOMATO_BED_CAP,$B25&gt;CARROT_BED_CAP,Y$4&gt;MESCLUN_BED_CAP,$A25+$B25+Y$4&gt;TOTAL_BEDS_AVAILABLE,($D25+Y$5)&gt;TOTAL_LABOR_HOURS_CAP,MAX(0,($D25+Y$5)-PERMANENT_FIELD_LABOR_HOURS)&gt;TEMP_HOURS_CAP),"",$C25+Y$6-MIN(($D25+Y$5),PERMANENT_FIELD_LABOR_HOURS)*PERMANENT_HOURLY_RATE-MAX(0,($D25+Y$5)-PERMANENT_FIELD_LABOR_HOURS)*TEMP_HOURLY_RATE-FIXED_SEASON_COST)</f>
        <v>-2061.70673990514</v>
      </c>
      <c r="Z25" s="53" t="n">
        <f aca="false">IF(OR($A25&gt;TOMATO_BED_CAP,$B25&gt;CARROT_BED_CAP,Z$4&gt;MESCLUN_BED_CAP,$A25+$B25+Z$4&gt;TOTAL_BEDS_AVAILABLE,($D25+Z$5)&gt;TOTAL_LABOR_HOURS_CAP,MAX(0,($D25+Z$5)-PERMANENT_FIELD_LABOR_HOURS)&gt;TEMP_HOURS_CAP),"",$C25+Z$6-MIN(($D25+Z$5),PERMANENT_FIELD_LABOR_HOURS)*PERMANENT_HOURLY_RATE-MAX(0,($D25+Z$5)-PERMANENT_FIELD_LABOR_HOURS)*TEMP_HOURLY_RATE-FIXED_SEASON_COST)</f>
        <v>-1478.16042559741</v>
      </c>
      <c r="AA25" s="53" t="n">
        <f aca="false">IF(OR($A25&gt;TOMATO_BED_CAP,$B25&gt;CARROT_BED_CAP,AA$4&gt;MESCLUN_BED_CAP,$A25+$B25+AA$4&gt;TOTAL_BEDS_AVAILABLE,($D25+AA$5)&gt;TOTAL_LABOR_HOURS_CAP,MAX(0,($D25+AA$5)-PERMANENT_FIELD_LABOR_HOURS)&gt;TEMP_HOURS_CAP),"",$C25+AA$6-MIN(($D25+AA$5),PERMANENT_FIELD_LABOR_HOURS)*PERMANENT_HOURLY_RATE-MAX(0,($D25+AA$5)-PERMANENT_FIELD_LABOR_HOURS)*TEMP_HOURLY_RATE-FIXED_SEASON_COST)</f>
        <v>-922.588875928483</v>
      </c>
      <c r="AB25" s="53" t="n">
        <f aca="false">IF(OR($A25&gt;TOMATO_BED_CAP,$B25&gt;CARROT_BED_CAP,AB$4&gt;MESCLUN_BED_CAP,$A25+$B25+AB$4&gt;TOTAL_BEDS_AVAILABLE,($D25+AB$5)&gt;TOTAL_LABOR_HOURS_CAP,MAX(0,($D25+AB$5)-PERMANENT_FIELD_LABOR_HOURS)&gt;TEMP_HOURS_CAP),"",$C25+AB$6-MIN(($D25+AB$5),PERMANENT_FIELD_LABOR_HOURS)*PERMANENT_HOURLY_RATE-MAX(0,($D25+AB$5)-PERMANENT_FIELD_LABOR_HOURS)*TEMP_HOURLY_RATE-FIXED_SEASON_COST)</f>
        <v>-395.498264125919</v>
      </c>
      <c r="AC25" s="53" t="n">
        <f aca="false">IF(OR($A25&gt;TOMATO_BED_CAP,$B25&gt;CARROT_BED_CAP,AC$4&gt;MESCLUN_BED_CAP,$A25+$B25+AC$4&gt;TOTAL_BEDS_AVAILABLE,($D25+AC$5)&gt;TOTAL_LABOR_HOURS_CAP,MAX(0,($D25+AC$5)-PERMANENT_FIELD_LABOR_HOURS)&gt;TEMP_HOURS_CAP),"",$C25+AC$6-MIN(($D25+AC$5),PERMANENT_FIELD_LABOR_HOURS)*PERMANENT_HOURLY_RATE-MAX(0,($D25+AC$5)-PERMANENT_FIELD_LABOR_HOURS)*TEMP_HOURLY_RATE-FIXED_SEASON_COST)</f>
        <v>102.596953308988</v>
      </c>
      <c r="AD25" s="53" t="n">
        <f aca="false">IF(OR($A25&gt;TOMATO_BED_CAP,$B25&gt;CARROT_BED_CAP,AD$4&gt;MESCLUN_BED_CAP,$A25+$B25+AD$4&gt;TOTAL_BEDS_AVAILABLE,($D25+AD$5)&gt;TOTAL_LABOR_HOURS_CAP,MAX(0,($D25+AD$5)-PERMANENT_FIELD_LABOR_HOURS)&gt;TEMP_HOURS_CAP),"",$C25+AD$6-MIN(($D25+AD$5),PERMANENT_FIELD_LABOR_HOURS)*PERMANENT_HOURLY_RATE-MAX(0,($D25+AD$5)-PERMANENT_FIELD_LABOR_HOURS)*TEMP_HOURLY_RATE-FIXED_SEASON_COST)</f>
        <v>571.173908608944</v>
      </c>
      <c r="AE25" s="53" t="n">
        <f aca="false">IF(OR($A25&gt;TOMATO_BED_CAP,$B25&gt;CARROT_BED_CAP,AE$4&gt;MESCLUN_BED_CAP,$A25+$B25+AE$4&gt;TOTAL_BEDS_AVAILABLE,($D25+AE$5)&gt;TOTAL_LABOR_HOURS_CAP,MAX(0,($D25+AE$5)-PERMANENT_FIELD_LABOR_HOURS)&gt;TEMP_HOURS_CAP),"",$C25+AE$6-MIN(($D25+AE$5),PERMANENT_FIELD_LABOR_HOURS)*PERMANENT_HOURLY_RATE-MAX(0,($D25+AE$5)-PERMANENT_FIELD_LABOR_HOURS)*TEMP_HOURLY_RATE-FIXED_SEASON_COST)</f>
        <v>1009.70119284285</v>
      </c>
      <c r="AF25" s="53" t="n">
        <f aca="false">IF(OR($A25&gt;TOMATO_BED_CAP,$B25&gt;CARROT_BED_CAP,AF$4&gt;MESCLUN_BED_CAP,$A25+$B25+AF$4&gt;TOTAL_BEDS_AVAILABLE,($D25+AF$5)&gt;TOTAL_LABOR_HOURS_CAP,MAX(0,($D25+AF$5)-PERMANENT_FIELD_LABOR_HOURS)&gt;TEMP_HOURS_CAP),"",$C25+AF$6-MIN(($D25+AF$5),PERMANENT_FIELD_LABOR_HOURS)*PERMANENT_HOURLY_RATE-MAX(0,($D25+AF$5)-PERMANENT_FIELD_LABOR_HOURS)*TEMP_HOURLY_RATE-FIXED_SEASON_COST)</f>
        <v>1417.6387240848</v>
      </c>
      <c r="AG25" s="53" t="n">
        <f aca="false">IF(OR($A25&gt;TOMATO_BED_CAP,$B25&gt;CARROT_BED_CAP,AG$4&gt;MESCLUN_BED_CAP,$A25+$B25+AG$4&gt;TOTAL_BEDS_AVAILABLE,($D25+AG$5)&gt;TOTAL_LABOR_HOURS_CAP,MAX(0,($D25+AG$5)-PERMANENT_FIELD_LABOR_HOURS)&gt;TEMP_HOURS_CAP),"",$C25+AG$6-MIN(($D25+AG$5),PERMANENT_FIELD_LABOR_HOURS)*PERMANENT_HOURLY_RATE-MAX(0,($D25+AG$5)-PERMANENT_FIELD_LABOR_HOURS)*TEMP_HOURLY_RATE-FIXED_SEASON_COST)</f>
        <v>1794.43761362181</v>
      </c>
      <c r="AH25" s="53" t="n">
        <f aca="false">IF(OR($A25&gt;TOMATO_BED_CAP,$B25&gt;CARROT_BED_CAP,AH$4&gt;MESCLUN_BED_CAP,$A25+$B25+AH$4&gt;TOTAL_BEDS_AVAILABLE,($D25+AH$5)&gt;TOTAL_LABOR_HOURS_CAP,MAX(0,($D25+AH$5)-PERMANENT_FIELD_LABOR_HOURS)&gt;TEMP_HOURS_CAP),"",$C25+AH$6-MIN(($D25+AH$5),PERMANENT_FIELD_LABOR_HOURS)*PERMANENT_HOURLY_RATE-MAX(0,($D25+AH$5)-PERMANENT_FIELD_LABOR_HOURS)*TEMP_HOURLY_RATE-FIXED_SEASON_COST)</f>
        <v>2139.54003017203</v>
      </c>
      <c r="AI25" s="53" t="n">
        <f aca="false">IF(OR($A25&gt;TOMATO_BED_CAP,$B25&gt;CARROT_BED_CAP,AI$4&gt;MESCLUN_BED_CAP,$A25+$B25+AI$4&gt;TOTAL_BEDS_AVAILABLE,($D25+AI$5)&gt;TOTAL_LABOR_HOURS_CAP,MAX(0,($D25+AI$5)-PERMANENT_FIELD_LABOR_HOURS)&gt;TEMP_HOURS_CAP),"",$C25+AI$6-MIN(($D25+AI$5),PERMANENT_FIELD_LABOR_HOURS)*PERMANENT_HOURLY_RATE-MAX(0,($D25+AI$5)-PERMANENT_FIELD_LABOR_HOURS)*TEMP_HOURLY_RATE-FIXED_SEASON_COST)</f>
        <v>2452.37906208429</v>
      </c>
      <c r="AJ25" s="53" t="n">
        <f aca="false">IF(OR($A25&gt;TOMATO_BED_CAP,$B25&gt;CARROT_BED_CAP,AJ$4&gt;MESCLUN_BED_CAP,$A25+$B25+AJ$4&gt;TOTAL_BEDS_AVAILABLE,($D25+AJ$5)&gt;TOTAL_LABOR_HOURS_CAP,MAX(0,($D25+AJ$5)-PERMANENT_FIELD_LABOR_HOURS)&gt;TEMP_HOURS_CAP),"",$C25+AJ$6-MIN(($D25+AJ$5),PERMANENT_FIELD_LABOR_HOURS)*PERMANENT_HOURLY_RATE-MAX(0,($D25+AJ$5)-PERMANENT_FIELD_LABOR_HOURS)*TEMP_HOURLY_RATE-FIXED_SEASON_COST)</f>
        <v>2732.37857749005</v>
      </c>
    </row>
    <row r="26" customFormat="false" ht="15" hidden="false" customHeight="false" outlineLevel="0" collapsed="false">
      <c r="A26" s="21" t="n">
        <f aca="false">INT((ROW()-ROW($A$8))/(20+1))</f>
        <v>0</v>
      </c>
      <c r="B26" s="21" t="n">
        <f aca="false">MOD(ROW()-ROW($A$8),20+1)</f>
        <v>18</v>
      </c>
      <c r="C26" s="13" t="n">
        <f aca="false">A26*(TOMATO_REVENUE_PER_BED-TOMATO_FERTILIZER_PER_BED)+B26*(CARROT_REVENUE_PER_BED-CARROT_FERTILIZER_PER_BED)</f>
        <v>29772</v>
      </c>
      <c r="D26" s="14" t="n">
        <f aca="false">INDEX(TOMATO_SCHED_LABOR_HRS,A26+1)+INDEX(CARROT_SCHED_LABOR_HRS,B26+1)</f>
        <v>841.878821278487</v>
      </c>
      <c r="E26" s="13" t="n">
        <f aca="false">IF(COUNT(F26:AJ26)=0,"",MAX(F26:AJ26))</f>
        <v>3237.77295747801</v>
      </c>
      <c r="F26" s="53" t="n">
        <f aca="false">IF(OR($A26&gt;TOMATO_BED_CAP,$B26&gt;CARROT_BED_CAP,F$4&gt;MESCLUN_BED_CAP,$A26+$B26+F$4&gt;TOTAL_BEDS_AVAILABLE,($D26+F$5)&gt;TOTAL_LABOR_HOURS_CAP,MAX(0,($D26+F$5)-PERMANENT_FIELD_LABOR_HOURS)&gt;TEMP_HOURS_CAP),"",$C26+F$6-MIN(($D26+F$5),PERMANENT_FIELD_LABOR_HOURS)*PERMANENT_HOURLY_RATE-MAX(0,($D26+F$5)-PERMANENT_FIELD_LABOR_HOURS)*TEMP_HOURLY_RATE-FIXED_SEASON_COST)</f>
        <v>-17342.2163373945</v>
      </c>
      <c r="G26" s="53" t="n">
        <f aca="false">IF(OR($A26&gt;TOMATO_BED_CAP,$B26&gt;CARROT_BED_CAP,G$4&gt;MESCLUN_BED_CAP,$A26+$B26+G$4&gt;TOTAL_BEDS_AVAILABLE,($D26+G$5)&gt;TOTAL_LABOR_HOURS_CAP,MAX(0,($D26+G$5)-PERMANENT_FIELD_LABOR_HOURS)&gt;TEMP_HOURS_CAP),"",$C26+G$6-MIN(($D26+G$5),PERMANENT_FIELD_LABOR_HOURS)*PERMANENT_HOURLY_RATE-MAX(0,($D26+G$5)-PERMANENT_FIELD_LABOR_HOURS)*TEMP_HOURLY_RATE-FIXED_SEASON_COST)</f>
        <v>-16313.1813373945</v>
      </c>
      <c r="H26" s="53" t="n">
        <f aca="false">IF(OR($A26&gt;TOMATO_BED_CAP,$B26&gt;CARROT_BED_CAP,H$4&gt;MESCLUN_BED_CAP,$A26+$B26+H$4&gt;TOTAL_BEDS_AVAILABLE,($D26+H$5)&gt;TOTAL_LABOR_HOURS_CAP,MAX(0,($D26+H$5)-PERMANENT_FIELD_LABOR_HOURS)&gt;TEMP_HOURS_CAP),"",$C26+H$6-MIN(($D26+H$5),PERMANENT_FIELD_LABOR_HOURS)*PERMANENT_HOURLY_RATE-MAX(0,($D26+H$5)-PERMANENT_FIELD_LABOR_HOURS)*TEMP_HOURLY_RATE-FIXED_SEASON_COST)</f>
        <v>-15303.9204623945</v>
      </c>
      <c r="I26" s="53" t="n">
        <f aca="false">IF(OR($A26&gt;TOMATO_BED_CAP,$B26&gt;CARROT_BED_CAP,I$4&gt;MESCLUN_BED_CAP,$A26+$B26+I$4&gt;TOTAL_BEDS_AVAILABLE,($D26+I$5)&gt;TOTAL_LABOR_HOURS_CAP,MAX(0,($D26+I$5)-PERMANENT_FIELD_LABOR_HOURS)&gt;TEMP_HOURS_CAP),"",$C26+I$6-MIN(($D26+I$5),PERMANENT_FIELD_LABOR_HOURS)*PERMANENT_HOURLY_RATE-MAX(0,($D26+I$5)-PERMANENT_FIELD_LABOR_HOURS)*TEMP_HOURLY_RATE-FIXED_SEASON_COST)</f>
        <v>-14314.8044772383</v>
      </c>
      <c r="J26" s="53" t="n">
        <f aca="false">IF(OR($A26&gt;TOMATO_BED_CAP,$B26&gt;CARROT_BED_CAP,J$4&gt;MESCLUN_BED_CAP,$A26+$B26+J$4&gt;TOTAL_BEDS_AVAILABLE,($D26+J$5)&gt;TOTAL_LABOR_HOURS_CAP,MAX(0,($D26+J$5)-PERMANENT_FIELD_LABOR_HOURS)&gt;TEMP_HOURS_CAP),"",$C26+J$6-MIN(($D26+J$5),PERMANENT_FIELD_LABOR_HOURS)*PERMANENT_HOURLY_RATE-MAX(0,($D26+J$5)-PERMANENT_FIELD_LABOR_HOURS)*TEMP_HOURLY_RATE-FIXED_SEASON_COST)</f>
        <v>-13346.2103261836</v>
      </c>
      <c r="K26" s="53" t="n">
        <f aca="false">IF(OR($A26&gt;TOMATO_BED_CAP,$B26&gt;CARROT_BED_CAP,K$4&gt;MESCLUN_BED_CAP,$A26+$B26+K$4&gt;TOTAL_BEDS_AVAILABLE,($D26+K$5)&gt;TOTAL_LABOR_HOURS_CAP,MAX(0,($D26+K$5)-PERMANENT_FIELD_LABOR_HOURS)&gt;TEMP_HOURS_CAP),"",$C26+K$6-MIN(($D26+K$5),PERMANENT_FIELD_LABOR_HOURS)*PERMANENT_HOURLY_RATE-MAX(0,($D26+K$5)-PERMANENT_FIELD_LABOR_HOURS)*TEMP_HOURLY_RATE-FIXED_SEASON_COST)</f>
        <v>-12398.5212294557</v>
      </c>
      <c r="L26" s="53" t="n">
        <f aca="false">IF(OR($A26&gt;TOMATO_BED_CAP,$B26&gt;CARROT_BED_CAP,L$4&gt;MESCLUN_BED_CAP,$A26+$B26+L$4&gt;TOTAL_BEDS_AVAILABLE,($D26+L$5)&gt;TOTAL_LABOR_HOURS_CAP,MAX(0,($D26+L$5)-PERMANENT_FIELD_LABOR_HOURS)&gt;TEMP_HOURS_CAP),"",$C26+L$6-MIN(($D26+L$5),PERMANENT_FIELD_LABOR_HOURS)*PERMANENT_HOURLY_RATE-MAX(0,($D26+L$5)-PERMANENT_FIELD_LABOR_HOURS)*TEMP_HOURLY_RATE-FIXED_SEASON_COST)</f>
        <v>-11472.1267812488</v>
      </c>
      <c r="M26" s="53" t="n">
        <f aca="false">IF(OR($A26&gt;TOMATO_BED_CAP,$B26&gt;CARROT_BED_CAP,M$4&gt;MESCLUN_BED_CAP,$A26+$B26+M$4&gt;TOTAL_BEDS_AVAILABLE,($D26+M$5)&gt;TOTAL_LABOR_HOURS_CAP,MAX(0,($D26+M$5)-PERMANENT_FIELD_LABOR_HOURS)&gt;TEMP_HOURS_CAP),"",$C26+M$6-MIN(($D26+M$5),PERMANENT_FIELD_LABOR_HOURS)*PERMANENT_HOURLY_RATE-MAX(0,($D26+M$5)-PERMANENT_FIELD_LABOR_HOURS)*TEMP_HOURLY_RATE-FIXED_SEASON_COST)</f>
        <v>-10567.4230491974</v>
      </c>
      <c r="N26" s="53" t="n">
        <f aca="false">IF(OR($A26&gt;TOMATO_BED_CAP,$B26&gt;CARROT_BED_CAP,N$4&gt;MESCLUN_BED_CAP,$A26+$B26+N$4&gt;TOTAL_BEDS_AVAILABLE,($D26+N$5)&gt;TOTAL_LABOR_HOURS_CAP,MAX(0,($D26+N$5)-PERMANENT_FIELD_LABOR_HOURS)&gt;TEMP_HOURS_CAP),"",$C26+N$6-MIN(($D26+N$5),PERMANENT_FIELD_LABOR_HOURS)*PERMANENT_HOURLY_RATE-MAX(0,($D26+N$5)-PERMANENT_FIELD_LABOR_HOURS)*TEMP_HOURLY_RATE-FIXED_SEASON_COST)</f>
        <v>-9684.81267533788</v>
      </c>
      <c r="O26" s="53" t="n">
        <f aca="false">IF(OR($A26&gt;TOMATO_BED_CAP,$B26&gt;CARROT_BED_CAP,O$4&gt;MESCLUN_BED_CAP,$A26+$B26+O$4&gt;TOTAL_BEDS_AVAILABLE,($D26+O$5)&gt;TOTAL_LABOR_HOURS_CAP,MAX(0,($D26+O$5)-PERMANENT_FIELD_LABOR_HOURS)&gt;TEMP_HOURS_CAP),"",$C26+O$6-MIN(($D26+O$5),PERMANENT_FIELD_LABOR_HOURS)*PERMANENT_HOURLY_RATE-MAX(0,($D26+O$5)-PERMANENT_FIELD_LABOR_HOURS)*TEMP_HOURLY_RATE-FIXED_SEASON_COST)</f>
        <v>-8824.70497858313</v>
      </c>
      <c r="P26" s="53" t="n">
        <f aca="false">IF(OR($A26&gt;TOMATO_BED_CAP,$B26&gt;CARROT_BED_CAP,P$4&gt;MESCLUN_BED_CAP,$A26+$B26+P$4&gt;TOTAL_BEDS_AVAILABLE,($D26+P$5)&gt;TOTAL_LABOR_HOURS_CAP,MAX(0,($D26+P$5)-PERMANENT_FIELD_LABOR_HOURS)&gt;TEMP_HOURS_CAP),"",$C26+P$6-MIN(($D26+P$5),PERMANENT_FIELD_LABOR_HOURS)*PERMANENT_HOURLY_RATE-MAX(0,($D26+P$5)-PERMANENT_FIELD_LABOR_HOURS)*TEMP_HOURLY_RATE-FIXED_SEASON_COST)</f>
        <v>-7987.51605873171</v>
      </c>
      <c r="Q26" s="53" t="n">
        <f aca="false">IF(OR($A26&gt;TOMATO_BED_CAP,$B26&gt;CARROT_BED_CAP,Q$4&gt;MESCLUN_BED_CAP,$A26+$B26+Q$4&gt;TOTAL_BEDS_AVAILABLE,($D26+Q$5)&gt;TOTAL_LABOR_HOURS_CAP,MAX(0,($D26+Q$5)-PERMANENT_FIELD_LABOR_HOURS)&gt;TEMP_HOURS_CAP),"",$C26+Q$6-MIN(($D26+Q$5),PERMANENT_FIELD_LABOR_HOURS)*PERMANENT_HOURLY_RATE-MAX(0,($D26+Q$5)-PERMANENT_FIELD_LABOR_HOURS)*TEMP_HOURLY_RATE-FIXED_SEASON_COST)</f>
        <v>-7173.66890203381</v>
      </c>
      <c r="R26" s="53" t="n">
        <f aca="false">IF(OR($A26&gt;TOMATO_BED_CAP,$B26&gt;CARROT_BED_CAP,R$4&gt;MESCLUN_BED_CAP,$A26+$B26+R$4&gt;TOTAL_BEDS_AVAILABLE,($D26+R$5)&gt;TOTAL_LABOR_HOURS_CAP,MAX(0,($D26+R$5)-PERMANENT_FIELD_LABOR_HOURS)&gt;TEMP_HOURS_CAP),"",$C26+R$6-MIN(($D26+R$5),PERMANENT_FIELD_LABOR_HOURS)*PERMANENT_HOURLY_RATE-MAX(0,($D26+R$5)-PERMANENT_FIELD_LABOR_HOURS)*TEMP_HOURLY_RATE-FIXED_SEASON_COST)</f>
        <v>-6383.59348833701</v>
      </c>
      <c r="S26" s="53" t="n">
        <f aca="false">IF(OR($A26&gt;TOMATO_BED_CAP,$B26&gt;CARROT_BED_CAP,S$4&gt;MESCLUN_BED_CAP,$A26+$B26+S$4&gt;TOTAL_BEDS_AVAILABLE,($D26+S$5)&gt;TOTAL_LABOR_HOURS_CAP,MAX(0,($D26+S$5)-PERMANENT_FIELD_LABOR_HOURS)&gt;TEMP_HOURS_CAP),"",$C26+S$6-MIN(($D26+S$5),PERMANENT_FIELD_LABOR_HOURS)*PERMANENT_HOURLY_RATE-MAX(0,($D26+S$5)-PERMANENT_FIELD_LABOR_HOURS)*TEMP_HOURLY_RATE-FIXED_SEASON_COST)</f>
        <v>-5617.72689983456</v>
      </c>
      <c r="T26" s="53" t="n">
        <f aca="false">IF(OR($A26&gt;TOMATO_BED_CAP,$B26&gt;CARROT_BED_CAP,T$4&gt;MESCLUN_BED_CAP,$A26+$B26+T$4&gt;TOTAL_BEDS_AVAILABLE,($D26+T$5)&gt;TOTAL_LABOR_HOURS_CAP,MAX(0,($D26+T$5)-PERMANENT_FIELD_LABOR_HOURS)&gt;TEMP_HOURS_CAP),"",$C26+T$6-MIN(($D26+T$5),PERMANENT_FIELD_LABOR_HOURS)*PERMANENT_HOURLY_RATE-MAX(0,($D26+T$5)-PERMANENT_FIELD_LABOR_HOURS)*TEMP_HOURLY_RATE-FIXED_SEASON_COST)</f>
        <v>-4876.51343143971</v>
      </c>
      <c r="U26" s="53" t="n">
        <f aca="false">IF(OR($A26&gt;TOMATO_BED_CAP,$B26&gt;CARROT_BED_CAP,U$4&gt;MESCLUN_BED_CAP,$A26+$B26+U$4&gt;TOTAL_BEDS_AVAILABLE,($D26+U$5)&gt;TOTAL_LABOR_HOURS_CAP,MAX(0,($D26+U$5)-PERMANENT_FIELD_LABOR_HOURS)&gt;TEMP_HOURS_CAP),"",$C26+U$6-MIN(($D26+U$5),PERMANENT_FIELD_LABOR_HOURS)*PERMANENT_HOURLY_RATE-MAX(0,($D26+U$5)-PERMANENT_FIELD_LABOR_HOURS)*TEMP_HOURLY_RATE-FIXED_SEASON_COST)</f>
        <v>-4160.40470280961</v>
      </c>
      <c r="V26" s="53" t="n">
        <f aca="false">IF(OR($A26&gt;TOMATO_BED_CAP,$B26&gt;CARROT_BED_CAP,V$4&gt;MESCLUN_BED_CAP,$A26+$B26+V$4&gt;TOTAL_BEDS_AVAILABLE,($D26+V$5)&gt;TOTAL_LABOR_HOURS_CAP,MAX(0,($D26+V$5)-PERMANENT_FIELD_LABOR_HOURS)&gt;TEMP_HOURS_CAP),"",$C26+V$6-MIN(($D26+V$5),PERMANENT_FIELD_LABOR_HOURS)*PERMANENT_HOURLY_RATE-MAX(0,($D26+V$5)-PERMANENT_FIELD_LABOR_HOURS)*TEMP_HOURLY_RATE-FIXED_SEASON_COST)</f>
        <v>-3469.85977204282</v>
      </c>
      <c r="W26" s="53" t="n">
        <f aca="false">IF(OR($A26&gt;TOMATO_BED_CAP,$B26&gt;CARROT_BED_CAP,W$4&gt;MESCLUN_BED_CAP,$A26+$B26+W$4&gt;TOTAL_BEDS_AVAILABLE,($D26+W$5)&gt;TOTAL_LABOR_HOURS_CAP,MAX(0,($D26+W$5)-PERMANENT_FIELD_LABOR_HOURS)&gt;TEMP_HOURS_CAP),"",$C26+W$6-MIN(($D26+W$5),PERMANENT_FIELD_LABOR_HOURS)*PERMANENT_HOURLY_RATE-MAX(0,($D26+W$5)-PERMANENT_FIELD_LABOR_HOURS)*TEMP_HOURLY_RATE-FIXED_SEASON_COST)</f>
        <v>-2805.34525107476</v>
      </c>
      <c r="X26" s="53" t="n">
        <f aca="false">IF(OR($A26&gt;TOMATO_BED_CAP,$B26&gt;CARROT_BED_CAP,X$4&gt;MESCLUN_BED_CAP,$A26+$B26+X$4&gt;TOTAL_BEDS_AVAILABLE,($D26+X$5)&gt;TOTAL_LABOR_HOURS_CAP,MAX(0,($D26+X$5)-PERMANENT_FIELD_LABOR_HOURS)&gt;TEMP_HOURS_CAP),"",$C26+X$6-MIN(($D26+X$5),PERMANENT_FIELD_LABOR_HOURS)*PERMANENT_HOURLY_RATE-MAX(0,($D26+X$5)-PERMANENT_FIELD_LABOR_HOURS)*TEMP_HOURLY_RATE-FIXED_SEASON_COST)</f>
        <v>-2167.33542279583</v>
      </c>
      <c r="Y26" s="53" t="n">
        <f aca="false">IF(OR($A26&gt;TOMATO_BED_CAP,$B26&gt;CARROT_BED_CAP,Y$4&gt;MESCLUN_BED_CAP,$A26+$B26+Y$4&gt;TOTAL_BEDS_AVAILABLE,($D26+Y$5)&gt;TOTAL_LABOR_HOURS_CAP,MAX(0,($D26+Y$5)-PERMANENT_FIELD_LABOR_HOURS)&gt;TEMP_HOURS_CAP),"",$C26+Y$6-MIN(($D26+Y$5),PERMANENT_FIELD_LABOR_HOURS)*PERMANENT_HOURLY_RATE-MAX(0,($D26+Y$5)-PERMANENT_FIELD_LABOR_HOURS)*TEMP_HOURLY_RATE-FIXED_SEASON_COST)</f>
        <v>-1556.31235991717</v>
      </c>
      <c r="Z26" s="53" t="n">
        <f aca="false">IF(OR($A26&gt;TOMATO_BED_CAP,$B26&gt;CARROT_BED_CAP,Z$4&gt;MESCLUN_BED_CAP,$A26+$B26+Z$4&gt;TOTAL_BEDS_AVAILABLE,($D26+Z$5)&gt;TOTAL_LABOR_HOURS_CAP,MAX(0,($D26+Z$5)-PERMANENT_FIELD_LABOR_HOURS)&gt;TEMP_HOURS_CAP),"",$C26+Z$6-MIN(($D26+Z$5),PERMANENT_FIELD_LABOR_HOURS)*PERMANENT_HOURLY_RATE-MAX(0,($D26+Z$5)-PERMANENT_FIELD_LABOR_HOURS)*TEMP_HOURLY_RATE-FIXED_SEASON_COST)</f>
        <v>-972.766045609449</v>
      </c>
      <c r="AA26" s="53" t="n">
        <f aca="false">IF(OR($A26&gt;TOMATO_BED_CAP,$B26&gt;CARROT_BED_CAP,AA$4&gt;MESCLUN_BED_CAP,$A26+$B26+AA$4&gt;TOTAL_BEDS_AVAILABLE,($D26+AA$5)&gt;TOTAL_LABOR_HOURS_CAP,MAX(0,($D26+AA$5)-PERMANENT_FIELD_LABOR_HOURS)&gt;TEMP_HOURS_CAP),"",$C26+AA$6-MIN(($D26+AA$5),PERMANENT_FIELD_LABOR_HOURS)*PERMANENT_HOURLY_RATE-MAX(0,($D26+AA$5)-PERMANENT_FIELD_LABOR_HOURS)*TEMP_HOURLY_RATE-FIXED_SEASON_COST)</f>
        <v>-417.194495940519</v>
      </c>
      <c r="AB26" s="53" t="n">
        <f aca="false">IF(OR($A26&gt;TOMATO_BED_CAP,$B26&gt;CARROT_BED_CAP,AB$4&gt;MESCLUN_BED_CAP,$A26+$B26+AB$4&gt;TOTAL_BEDS_AVAILABLE,($D26+AB$5)&gt;TOTAL_LABOR_HOURS_CAP,MAX(0,($D26+AB$5)-PERMANENT_FIELD_LABOR_HOURS)&gt;TEMP_HOURS_CAP),"",$C26+AB$6-MIN(($D26+AB$5),PERMANENT_FIELD_LABOR_HOURS)*PERMANENT_HOURLY_RATE-MAX(0,($D26+AB$5)-PERMANENT_FIELD_LABOR_HOURS)*TEMP_HOURLY_RATE-FIXED_SEASON_COST)</f>
        <v>109.896115862048</v>
      </c>
      <c r="AC26" s="53" t="n">
        <f aca="false">IF(OR($A26&gt;TOMATO_BED_CAP,$B26&gt;CARROT_BED_CAP,AC$4&gt;MESCLUN_BED_CAP,$A26+$B26+AC$4&gt;TOTAL_BEDS_AVAILABLE,($D26+AC$5)&gt;TOTAL_LABOR_HOURS_CAP,MAX(0,($D26+AC$5)-PERMANENT_FIELD_LABOR_HOURS)&gt;TEMP_HOURS_CAP),"",$C26+AC$6-MIN(($D26+AC$5),PERMANENT_FIELD_LABOR_HOURS)*PERMANENT_HOURLY_RATE-MAX(0,($D26+AC$5)-PERMANENT_FIELD_LABOR_HOURS)*TEMP_HOURLY_RATE-FIXED_SEASON_COST)</f>
        <v>607.991333296955</v>
      </c>
      <c r="AD26" s="53" t="n">
        <f aca="false">IF(OR($A26&gt;TOMATO_BED_CAP,$B26&gt;CARROT_BED_CAP,AD$4&gt;MESCLUN_BED_CAP,$A26+$B26+AD$4&gt;TOTAL_BEDS_AVAILABLE,($D26+AD$5)&gt;TOTAL_LABOR_HOURS_CAP,MAX(0,($D26+AD$5)-PERMANENT_FIELD_LABOR_HOURS)&gt;TEMP_HOURS_CAP),"",$C26+AD$6-MIN(($D26+AD$5),PERMANENT_FIELD_LABOR_HOURS)*PERMANENT_HOURLY_RATE-MAX(0,($D26+AD$5)-PERMANENT_FIELD_LABOR_HOURS)*TEMP_HOURLY_RATE-FIXED_SEASON_COST)</f>
        <v>1076.56828859691</v>
      </c>
      <c r="AE26" s="53" t="n">
        <f aca="false">IF(OR($A26&gt;TOMATO_BED_CAP,$B26&gt;CARROT_BED_CAP,AE$4&gt;MESCLUN_BED_CAP,$A26+$B26+AE$4&gt;TOTAL_BEDS_AVAILABLE,($D26+AE$5)&gt;TOTAL_LABOR_HOURS_CAP,MAX(0,($D26+AE$5)-PERMANENT_FIELD_LABOR_HOURS)&gt;TEMP_HOURS_CAP),"",$C26+AE$6-MIN(($D26+AE$5),PERMANENT_FIELD_LABOR_HOURS)*PERMANENT_HOURLY_RATE-MAX(0,($D26+AE$5)-PERMANENT_FIELD_LABOR_HOURS)*TEMP_HOURLY_RATE-FIXED_SEASON_COST)</f>
        <v>1515.09557283082</v>
      </c>
      <c r="AF26" s="53" t="n">
        <f aca="false">IF(OR($A26&gt;TOMATO_BED_CAP,$B26&gt;CARROT_BED_CAP,AF$4&gt;MESCLUN_BED_CAP,$A26+$B26+AF$4&gt;TOTAL_BEDS_AVAILABLE,($D26+AF$5)&gt;TOTAL_LABOR_HOURS_CAP,MAX(0,($D26+AF$5)-PERMANENT_FIELD_LABOR_HOURS)&gt;TEMP_HOURS_CAP),"",$C26+AF$6-MIN(($D26+AF$5),PERMANENT_FIELD_LABOR_HOURS)*PERMANENT_HOURLY_RATE-MAX(0,($D26+AF$5)-PERMANENT_FIELD_LABOR_HOURS)*TEMP_HOURLY_RATE-FIXED_SEASON_COST)</f>
        <v>1923.03310407277</v>
      </c>
      <c r="AG26" s="53" t="n">
        <f aca="false">IF(OR($A26&gt;TOMATO_BED_CAP,$B26&gt;CARROT_BED_CAP,AG$4&gt;MESCLUN_BED_CAP,$A26+$B26+AG$4&gt;TOTAL_BEDS_AVAILABLE,($D26+AG$5)&gt;TOTAL_LABOR_HOURS_CAP,MAX(0,($D26+AG$5)-PERMANENT_FIELD_LABOR_HOURS)&gt;TEMP_HOURS_CAP),"",$C26+AG$6-MIN(($D26+AG$5),PERMANENT_FIELD_LABOR_HOURS)*PERMANENT_HOURLY_RATE-MAX(0,($D26+AG$5)-PERMANENT_FIELD_LABOR_HOURS)*TEMP_HOURLY_RATE-FIXED_SEASON_COST)</f>
        <v>2299.83199360978</v>
      </c>
      <c r="AH26" s="53" t="n">
        <f aca="false">IF(OR($A26&gt;TOMATO_BED_CAP,$B26&gt;CARROT_BED_CAP,AH$4&gt;MESCLUN_BED_CAP,$A26+$B26+AH$4&gt;TOTAL_BEDS_AVAILABLE,($D26+AH$5)&gt;TOTAL_LABOR_HOURS_CAP,MAX(0,($D26+AH$5)-PERMANENT_FIELD_LABOR_HOURS)&gt;TEMP_HOURS_CAP),"",$C26+AH$6-MIN(($D26+AH$5),PERMANENT_FIELD_LABOR_HOURS)*PERMANENT_HOURLY_RATE-MAX(0,($D26+AH$5)-PERMANENT_FIELD_LABOR_HOURS)*TEMP_HOURLY_RATE-FIXED_SEASON_COST)</f>
        <v>2644.93441015999</v>
      </c>
      <c r="AI26" s="53" t="n">
        <f aca="false">IF(OR($A26&gt;TOMATO_BED_CAP,$B26&gt;CARROT_BED_CAP,AI$4&gt;MESCLUN_BED_CAP,$A26+$B26+AI$4&gt;TOTAL_BEDS_AVAILABLE,($D26+AI$5)&gt;TOTAL_LABOR_HOURS_CAP,MAX(0,($D26+AI$5)-PERMANENT_FIELD_LABOR_HOURS)&gt;TEMP_HOURS_CAP),"",$C26+AI$6-MIN(($D26+AI$5),PERMANENT_FIELD_LABOR_HOURS)*PERMANENT_HOURLY_RATE-MAX(0,($D26+AI$5)-PERMANENT_FIELD_LABOR_HOURS)*TEMP_HOURLY_RATE-FIXED_SEASON_COST)</f>
        <v>2957.77344207226</v>
      </c>
      <c r="AJ26" s="53" t="n">
        <f aca="false">IF(OR($A26&gt;TOMATO_BED_CAP,$B26&gt;CARROT_BED_CAP,AJ$4&gt;MESCLUN_BED_CAP,$A26+$B26+AJ$4&gt;TOTAL_BEDS_AVAILABLE,($D26+AJ$5)&gt;TOTAL_LABOR_HOURS_CAP,MAX(0,($D26+AJ$5)-PERMANENT_FIELD_LABOR_HOURS)&gt;TEMP_HOURS_CAP),"",$C26+AJ$6-MIN(($D26+AJ$5),PERMANENT_FIELD_LABOR_HOURS)*PERMANENT_HOURLY_RATE-MAX(0,($D26+AJ$5)-PERMANENT_FIELD_LABOR_HOURS)*TEMP_HOURLY_RATE-FIXED_SEASON_COST)</f>
        <v>3237.77295747801</v>
      </c>
    </row>
    <row r="27" customFormat="false" ht="15" hidden="false" customHeight="false" outlineLevel="0" collapsed="false">
      <c r="A27" s="21" t="n">
        <f aca="false">INT((ROW()-ROW($A$8))/(20+1))</f>
        <v>0</v>
      </c>
      <c r="B27" s="21" t="n">
        <f aca="false">MOD(ROW()-ROW($A$8),20+1)</f>
        <v>19</v>
      </c>
      <c r="C27" s="13" t="n">
        <f aca="false">A27*(TOMATO_REVENUE_PER_BED-TOMATO_FERTILIZER_PER_BED)+B27*(CARROT_REVENUE_PER_BED-CARROT_FERTILIZER_PER_BED)</f>
        <v>31426</v>
      </c>
      <c r="D27" s="14" t="n">
        <f aca="false">INDEX(TOMATO_SCHED_LABOR_HRS,A27+1)+INDEX(CARROT_SCHED_LABOR_HRS,B27+1)</f>
        <v>910.866113577696</v>
      </c>
      <c r="E27" s="13" t="n">
        <f aca="false">IF(COUNT(F27:AJ27)=0,"",MAX(F27:AJ27))</f>
        <v>3694.15356316374</v>
      </c>
      <c r="F27" s="53" t="n">
        <f aca="false">IF(OR($A27&gt;TOMATO_BED_CAP,$B27&gt;CARROT_BED_CAP,F$4&gt;MESCLUN_BED_CAP,$A27+$B27+F$4&gt;TOTAL_BEDS_AVAILABLE,($D27+F$5)&gt;TOTAL_LABOR_HOURS_CAP,MAX(0,($D27+F$5)-PERMANENT_FIELD_LABOR_HOURS)&gt;TEMP_HOURS_CAP),"",$C27+F$6-MIN(($D27+F$5),PERMANENT_FIELD_LABOR_HOURS)*PERMANENT_HOURLY_RATE-MAX(0,($D27+F$5)-PERMANENT_FIELD_LABOR_HOURS)*TEMP_HOURLY_RATE-FIXED_SEASON_COST)</f>
        <v>-16885.8357317088</v>
      </c>
      <c r="G27" s="53" t="n">
        <f aca="false">IF(OR($A27&gt;TOMATO_BED_CAP,$B27&gt;CARROT_BED_CAP,G$4&gt;MESCLUN_BED_CAP,$A27+$B27+G$4&gt;TOTAL_BEDS_AVAILABLE,($D27+G$5)&gt;TOTAL_LABOR_HOURS_CAP,MAX(0,($D27+G$5)-PERMANENT_FIELD_LABOR_HOURS)&gt;TEMP_HOURS_CAP),"",$C27+G$6-MIN(($D27+G$5),PERMANENT_FIELD_LABOR_HOURS)*PERMANENT_HOURLY_RATE-MAX(0,($D27+G$5)-PERMANENT_FIELD_LABOR_HOURS)*TEMP_HOURLY_RATE-FIXED_SEASON_COST)</f>
        <v>-15856.8007317088</v>
      </c>
      <c r="H27" s="53" t="n">
        <f aca="false">IF(OR($A27&gt;TOMATO_BED_CAP,$B27&gt;CARROT_BED_CAP,H$4&gt;MESCLUN_BED_CAP,$A27+$B27+H$4&gt;TOTAL_BEDS_AVAILABLE,($D27+H$5)&gt;TOTAL_LABOR_HOURS_CAP,MAX(0,($D27+H$5)-PERMANENT_FIELD_LABOR_HOURS)&gt;TEMP_HOURS_CAP),"",$C27+H$6-MIN(($D27+H$5),PERMANENT_FIELD_LABOR_HOURS)*PERMANENT_HOURLY_RATE-MAX(0,($D27+H$5)-PERMANENT_FIELD_LABOR_HOURS)*TEMP_HOURLY_RATE-FIXED_SEASON_COST)</f>
        <v>-14847.5398567088</v>
      </c>
      <c r="I27" s="53" t="n">
        <f aca="false">IF(OR($A27&gt;TOMATO_BED_CAP,$B27&gt;CARROT_BED_CAP,I$4&gt;MESCLUN_BED_CAP,$A27+$B27+I$4&gt;TOTAL_BEDS_AVAILABLE,($D27+I$5)&gt;TOTAL_LABOR_HOURS_CAP,MAX(0,($D27+I$5)-PERMANENT_FIELD_LABOR_HOURS)&gt;TEMP_HOURS_CAP),"",$C27+I$6-MIN(($D27+I$5),PERMANENT_FIELD_LABOR_HOURS)*PERMANENT_HOURLY_RATE-MAX(0,($D27+I$5)-PERMANENT_FIELD_LABOR_HOURS)*TEMP_HOURLY_RATE-FIXED_SEASON_COST)</f>
        <v>-13858.4238715526</v>
      </c>
      <c r="J27" s="53" t="n">
        <f aca="false">IF(OR($A27&gt;TOMATO_BED_CAP,$B27&gt;CARROT_BED_CAP,J$4&gt;MESCLUN_BED_CAP,$A27+$B27+J$4&gt;TOTAL_BEDS_AVAILABLE,($D27+J$5)&gt;TOTAL_LABOR_HOURS_CAP,MAX(0,($D27+J$5)-PERMANENT_FIELD_LABOR_HOURS)&gt;TEMP_HOURS_CAP),"",$C27+J$6-MIN(($D27+J$5),PERMANENT_FIELD_LABOR_HOURS)*PERMANENT_HOURLY_RATE-MAX(0,($D27+J$5)-PERMANENT_FIELD_LABOR_HOURS)*TEMP_HOURLY_RATE-FIXED_SEASON_COST)</f>
        <v>-12889.8297204979</v>
      </c>
      <c r="K27" s="53" t="n">
        <f aca="false">IF(OR($A27&gt;TOMATO_BED_CAP,$B27&gt;CARROT_BED_CAP,K$4&gt;MESCLUN_BED_CAP,$A27+$B27+K$4&gt;TOTAL_BEDS_AVAILABLE,($D27+K$5)&gt;TOTAL_LABOR_HOURS_CAP,MAX(0,($D27+K$5)-PERMANENT_FIELD_LABOR_HOURS)&gt;TEMP_HOURS_CAP),"",$C27+K$6-MIN(($D27+K$5),PERMANENT_FIELD_LABOR_HOURS)*PERMANENT_HOURLY_RATE-MAX(0,($D27+K$5)-PERMANENT_FIELD_LABOR_HOURS)*TEMP_HOURLY_RATE-FIXED_SEASON_COST)</f>
        <v>-11942.14062377</v>
      </c>
      <c r="L27" s="53" t="n">
        <f aca="false">IF(OR($A27&gt;TOMATO_BED_CAP,$B27&gt;CARROT_BED_CAP,L$4&gt;MESCLUN_BED_CAP,$A27+$B27+L$4&gt;TOTAL_BEDS_AVAILABLE,($D27+L$5)&gt;TOTAL_LABOR_HOURS_CAP,MAX(0,($D27+L$5)-PERMANENT_FIELD_LABOR_HOURS)&gt;TEMP_HOURS_CAP),"",$C27+L$6-MIN(($D27+L$5),PERMANENT_FIELD_LABOR_HOURS)*PERMANENT_HOURLY_RATE-MAX(0,($D27+L$5)-PERMANENT_FIELD_LABOR_HOURS)*TEMP_HOURLY_RATE-FIXED_SEASON_COST)</f>
        <v>-11015.7461755631</v>
      </c>
      <c r="M27" s="53" t="n">
        <f aca="false">IF(OR($A27&gt;TOMATO_BED_CAP,$B27&gt;CARROT_BED_CAP,M$4&gt;MESCLUN_BED_CAP,$A27+$B27+M$4&gt;TOTAL_BEDS_AVAILABLE,($D27+M$5)&gt;TOTAL_LABOR_HOURS_CAP,MAX(0,($D27+M$5)-PERMANENT_FIELD_LABOR_HOURS)&gt;TEMP_HOURS_CAP),"",$C27+M$6-MIN(($D27+M$5),PERMANENT_FIELD_LABOR_HOURS)*PERMANENT_HOURLY_RATE-MAX(0,($D27+M$5)-PERMANENT_FIELD_LABOR_HOURS)*TEMP_HOURLY_RATE-FIXED_SEASON_COST)</f>
        <v>-10111.0424435117</v>
      </c>
      <c r="N27" s="53" t="n">
        <f aca="false">IF(OR($A27&gt;TOMATO_BED_CAP,$B27&gt;CARROT_BED_CAP,N$4&gt;MESCLUN_BED_CAP,$A27+$B27+N$4&gt;TOTAL_BEDS_AVAILABLE,($D27+N$5)&gt;TOTAL_LABOR_HOURS_CAP,MAX(0,($D27+N$5)-PERMANENT_FIELD_LABOR_HOURS)&gt;TEMP_HOURS_CAP),"",$C27+N$6-MIN(($D27+N$5),PERMANENT_FIELD_LABOR_HOURS)*PERMANENT_HOURLY_RATE-MAX(0,($D27+N$5)-PERMANENT_FIELD_LABOR_HOURS)*TEMP_HOURLY_RATE-FIXED_SEASON_COST)</f>
        <v>-9228.43206965216</v>
      </c>
      <c r="O27" s="53" t="n">
        <f aca="false">IF(OR($A27&gt;TOMATO_BED_CAP,$B27&gt;CARROT_BED_CAP,O$4&gt;MESCLUN_BED_CAP,$A27+$B27+O$4&gt;TOTAL_BEDS_AVAILABLE,($D27+O$5)&gt;TOTAL_LABOR_HOURS_CAP,MAX(0,($D27+O$5)-PERMANENT_FIELD_LABOR_HOURS)&gt;TEMP_HOURS_CAP),"",$C27+O$6-MIN(($D27+O$5),PERMANENT_FIELD_LABOR_HOURS)*PERMANENT_HOURLY_RATE-MAX(0,($D27+O$5)-PERMANENT_FIELD_LABOR_HOURS)*TEMP_HOURLY_RATE-FIXED_SEASON_COST)</f>
        <v>-8368.32437289741</v>
      </c>
      <c r="P27" s="53" t="n">
        <f aca="false">IF(OR($A27&gt;TOMATO_BED_CAP,$B27&gt;CARROT_BED_CAP,P$4&gt;MESCLUN_BED_CAP,$A27+$B27+P$4&gt;TOTAL_BEDS_AVAILABLE,($D27+P$5)&gt;TOTAL_LABOR_HOURS_CAP,MAX(0,($D27+P$5)-PERMANENT_FIELD_LABOR_HOURS)&gt;TEMP_HOURS_CAP),"",$C27+P$6-MIN(($D27+P$5),PERMANENT_FIELD_LABOR_HOURS)*PERMANENT_HOURLY_RATE-MAX(0,($D27+P$5)-PERMANENT_FIELD_LABOR_HOURS)*TEMP_HOURLY_RATE-FIXED_SEASON_COST)</f>
        <v>-7531.13545304598</v>
      </c>
      <c r="Q27" s="53" t="n">
        <f aca="false">IF(OR($A27&gt;TOMATO_BED_CAP,$B27&gt;CARROT_BED_CAP,Q$4&gt;MESCLUN_BED_CAP,$A27+$B27+Q$4&gt;TOTAL_BEDS_AVAILABLE,($D27+Q$5)&gt;TOTAL_LABOR_HOURS_CAP,MAX(0,($D27+Q$5)-PERMANENT_FIELD_LABOR_HOURS)&gt;TEMP_HOURS_CAP),"",$C27+Q$6-MIN(($D27+Q$5),PERMANENT_FIELD_LABOR_HOURS)*PERMANENT_HOURLY_RATE-MAX(0,($D27+Q$5)-PERMANENT_FIELD_LABOR_HOURS)*TEMP_HOURLY_RATE-FIXED_SEASON_COST)</f>
        <v>-6717.28829634808</v>
      </c>
      <c r="R27" s="53" t="n">
        <f aca="false">IF(OR($A27&gt;TOMATO_BED_CAP,$B27&gt;CARROT_BED_CAP,R$4&gt;MESCLUN_BED_CAP,$A27+$B27+R$4&gt;TOTAL_BEDS_AVAILABLE,($D27+R$5)&gt;TOTAL_LABOR_HOURS_CAP,MAX(0,($D27+R$5)-PERMANENT_FIELD_LABOR_HOURS)&gt;TEMP_HOURS_CAP),"",$C27+R$6-MIN(($D27+R$5),PERMANENT_FIELD_LABOR_HOURS)*PERMANENT_HOURLY_RATE-MAX(0,($D27+R$5)-PERMANENT_FIELD_LABOR_HOURS)*TEMP_HOURLY_RATE-FIXED_SEASON_COST)</f>
        <v>-5927.21288265128</v>
      </c>
      <c r="S27" s="53" t="n">
        <f aca="false">IF(OR($A27&gt;TOMATO_BED_CAP,$B27&gt;CARROT_BED_CAP,S$4&gt;MESCLUN_BED_CAP,$A27+$B27+S$4&gt;TOTAL_BEDS_AVAILABLE,($D27+S$5)&gt;TOTAL_LABOR_HOURS_CAP,MAX(0,($D27+S$5)-PERMANENT_FIELD_LABOR_HOURS)&gt;TEMP_HOURS_CAP),"",$C27+S$6-MIN(($D27+S$5),PERMANENT_FIELD_LABOR_HOURS)*PERMANENT_HOURLY_RATE-MAX(0,($D27+S$5)-PERMANENT_FIELD_LABOR_HOURS)*TEMP_HOURLY_RATE-FIXED_SEASON_COST)</f>
        <v>-5161.34629414883</v>
      </c>
      <c r="T27" s="53" t="n">
        <f aca="false">IF(OR($A27&gt;TOMATO_BED_CAP,$B27&gt;CARROT_BED_CAP,T$4&gt;MESCLUN_BED_CAP,$A27+$B27+T$4&gt;TOTAL_BEDS_AVAILABLE,($D27+T$5)&gt;TOTAL_LABOR_HOURS_CAP,MAX(0,($D27+T$5)-PERMANENT_FIELD_LABOR_HOURS)&gt;TEMP_HOURS_CAP),"",$C27+T$6-MIN(($D27+T$5),PERMANENT_FIELD_LABOR_HOURS)*PERMANENT_HOURLY_RATE-MAX(0,($D27+T$5)-PERMANENT_FIELD_LABOR_HOURS)*TEMP_HOURLY_RATE-FIXED_SEASON_COST)</f>
        <v>-4420.13282575398</v>
      </c>
      <c r="U27" s="53" t="n">
        <f aca="false">IF(OR($A27&gt;TOMATO_BED_CAP,$B27&gt;CARROT_BED_CAP,U$4&gt;MESCLUN_BED_CAP,$A27+$B27+U$4&gt;TOTAL_BEDS_AVAILABLE,($D27+U$5)&gt;TOTAL_LABOR_HOURS_CAP,MAX(0,($D27+U$5)-PERMANENT_FIELD_LABOR_HOURS)&gt;TEMP_HOURS_CAP),"",$C27+U$6-MIN(($D27+U$5),PERMANENT_FIELD_LABOR_HOURS)*PERMANENT_HOURLY_RATE-MAX(0,($D27+U$5)-PERMANENT_FIELD_LABOR_HOURS)*TEMP_HOURLY_RATE-FIXED_SEASON_COST)</f>
        <v>-3704.02409712389</v>
      </c>
      <c r="V27" s="53" t="n">
        <f aca="false">IF(OR($A27&gt;TOMATO_BED_CAP,$B27&gt;CARROT_BED_CAP,V$4&gt;MESCLUN_BED_CAP,$A27+$B27+V$4&gt;TOTAL_BEDS_AVAILABLE,($D27+V$5)&gt;TOTAL_LABOR_HOURS_CAP,MAX(0,($D27+V$5)-PERMANENT_FIELD_LABOR_HOURS)&gt;TEMP_HOURS_CAP),"",$C27+V$6-MIN(($D27+V$5),PERMANENT_FIELD_LABOR_HOURS)*PERMANENT_HOURLY_RATE-MAX(0,($D27+V$5)-PERMANENT_FIELD_LABOR_HOURS)*TEMP_HOURLY_RATE-FIXED_SEASON_COST)</f>
        <v>-3013.47916635709</v>
      </c>
      <c r="W27" s="53" t="n">
        <f aca="false">IF(OR($A27&gt;TOMATO_BED_CAP,$B27&gt;CARROT_BED_CAP,W$4&gt;MESCLUN_BED_CAP,$A27+$B27+W$4&gt;TOTAL_BEDS_AVAILABLE,($D27+W$5)&gt;TOTAL_LABOR_HOURS_CAP,MAX(0,($D27+W$5)-PERMANENT_FIELD_LABOR_HOURS)&gt;TEMP_HOURS_CAP),"",$C27+W$6-MIN(($D27+W$5),PERMANENT_FIELD_LABOR_HOURS)*PERMANENT_HOURLY_RATE-MAX(0,($D27+W$5)-PERMANENT_FIELD_LABOR_HOURS)*TEMP_HOURLY_RATE-FIXED_SEASON_COST)</f>
        <v>-2348.96464538903</v>
      </c>
      <c r="X27" s="53" t="n">
        <f aca="false">IF(OR($A27&gt;TOMATO_BED_CAP,$B27&gt;CARROT_BED_CAP,X$4&gt;MESCLUN_BED_CAP,$A27+$B27+X$4&gt;TOTAL_BEDS_AVAILABLE,($D27+X$5)&gt;TOTAL_LABOR_HOURS_CAP,MAX(0,($D27+X$5)-PERMANENT_FIELD_LABOR_HOURS)&gt;TEMP_HOURS_CAP),"",$C27+X$6-MIN(($D27+X$5),PERMANENT_FIELD_LABOR_HOURS)*PERMANENT_HOURLY_RATE-MAX(0,($D27+X$5)-PERMANENT_FIELD_LABOR_HOURS)*TEMP_HOURLY_RATE-FIXED_SEASON_COST)</f>
        <v>-1710.95481711011</v>
      </c>
      <c r="Y27" s="53" t="n">
        <f aca="false">IF(OR($A27&gt;TOMATO_BED_CAP,$B27&gt;CARROT_BED_CAP,Y$4&gt;MESCLUN_BED_CAP,$A27+$B27+Y$4&gt;TOTAL_BEDS_AVAILABLE,($D27+Y$5)&gt;TOTAL_LABOR_HOURS_CAP,MAX(0,($D27+Y$5)-PERMANENT_FIELD_LABOR_HOURS)&gt;TEMP_HOURS_CAP),"",$C27+Y$6-MIN(($D27+Y$5),PERMANENT_FIELD_LABOR_HOURS)*PERMANENT_HOURLY_RATE-MAX(0,($D27+Y$5)-PERMANENT_FIELD_LABOR_HOURS)*TEMP_HOURLY_RATE-FIXED_SEASON_COST)</f>
        <v>-1099.93175423145</v>
      </c>
      <c r="Z27" s="53" t="n">
        <f aca="false">IF(OR($A27&gt;TOMATO_BED_CAP,$B27&gt;CARROT_BED_CAP,Z$4&gt;MESCLUN_BED_CAP,$A27+$B27+Z$4&gt;TOTAL_BEDS_AVAILABLE,($D27+Z$5)&gt;TOTAL_LABOR_HOURS_CAP,MAX(0,($D27+Z$5)-PERMANENT_FIELD_LABOR_HOURS)&gt;TEMP_HOURS_CAP),"",$C27+Z$6-MIN(($D27+Z$5),PERMANENT_FIELD_LABOR_HOURS)*PERMANENT_HOURLY_RATE-MAX(0,($D27+Z$5)-PERMANENT_FIELD_LABOR_HOURS)*TEMP_HOURLY_RATE-FIXED_SEASON_COST)</f>
        <v>-516.385439923724</v>
      </c>
      <c r="AA27" s="53" t="n">
        <f aca="false">IF(OR($A27&gt;TOMATO_BED_CAP,$B27&gt;CARROT_BED_CAP,AA$4&gt;MESCLUN_BED_CAP,$A27+$B27+AA$4&gt;TOTAL_BEDS_AVAILABLE,($D27+AA$5)&gt;TOTAL_LABOR_HOURS_CAP,MAX(0,($D27+AA$5)-PERMANENT_FIELD_LABOR_HOURS)&gt;TEMP_HOURS_CAP),"",$C27+AA$6-MIN(($D27+AA$5),PERMANENT_FIELD_LABOR_HOURS)*PERMANENT_HOURLY_RATE-MAX(0,($D27+AA$5)-PERMANENT_FIELD_LABOR_HOURS)*TEMP_HOURLY_RATE-FIXED_SEASON_COST)</f>
        <v>39.1861097452129</v>
      </c>
      <c r="AB27" s="53" t="n">
        <f aca="false">IF(OR($A27&gt;TOMATO_BED_CAP,$B27&gt;CARROT_BED_CAP,AB$4&gt;MESCLUN_BED_CAP,$A27+$B27+AB$4&gt;TOTAL_BEDS_AVAILABLE,($D27+AB$5)&gt;TOTAL_LABOR_HOURS_CAP,MAX(0,($D27+AB$5)-PERMANENT_FIELD_LABOR_HOURS)&gt;TEMP_HOURS_CAP),"",$C27+AB$6-MIN(($D27+AB$5),PERMANENT_FIELD_LABOR_HOURS)*PERMANENT_HOURLY_RATE-MAX(0,($D27+AB$5)-PERMANENT_FIELD_LABOR_HOURS)*TEMP_HOURLY_RATE-FIXED_SEASON_COST)</f>
        <v>566.276721547773</v>
      </c>
      <c r="AC27" s="53" t="n">
        <f aca="false">IF(OR($A27&gt;TOMATO_BED_CAP,$B27&gt;CARROT_BED_CAP,AC$4&gt;MESCLUN_BED_CAP,$A27+$B27+AC$4&gt;TOTAL_BEDS_AVAILABLE,($D27+AC$5)&gt;TOTAL_LABOR_HOURS_CAP,MAX(0,($D27+AC$5)-PERMANENT_FIELD_LABOR_HOURS)&gt;TEMP_HOURS_CAP),"",$C27+AC$6-MIN(($D27+AC$5),PERMANENT_FIELD_LABOR_HOURS)*PERMANENT_HOURLY_RATE-MAX(0,($D27+AC$5)-PERMANENT_FIELD_LABOR_HOURS)*TEMP_HOURLY_RATE-FIXED_SEASON_COST)</f>
        <v>1064.37193898268</v>
      </c>
      <c r="AD27" s="53" t="n">
        <f aca="false">IF(OR($A27&gt;TOMATO_BED_CAP,$B27&gt;CARROT_BED_CAP,AD$4&gt;MESCLUN_BED_CAP,$A27+$B27+AD$4&gt;TOTAL_BEDS_AVAILABLE,($D27+AD$5)&gt;TOTAL_LABOR_HOURS_CAP,MAX(0,($D27+AD$5)-PERMANENT_FIELD_LABOR_HOURS)&gt;TEMP_HOURS_CAP),"",$C27+AD$6-MIN(($D27+AD$5),PERMANENT_FIELD_LABOR_HOURS)*PERMANENT_HOURLY_RATE-MAX(0,($D27+AD$5)-PERMANENT_FIELD_LABOR_HOURS)*TEMP_HOURLY_RATE-FIXED_SEASON_COST)</f>
        <v>1532.94889428263</v>
      </c>
      <c r="AE27" s="53" t="n">
        <f aca="false">IF(OR($A27&gt;TOMATO_BED_CAP,$B27&gt;CARROT_BED_CAP,AE$4&gt;MESCLUN_BED_CAP,$A27+$B27+AE$4&gt;TOTAL_BEDS_AVAILABLE,($D27+AE$5)&gt;TOTAL_LABOR_HOURS_CAP,MAX(0,($D27+AE$5)-PERMANENT_FIELD_LABOR_HOURS)&gt;TEMP_HOURS_CAP),"",$C27+AE$6-MIN(($D27+AE$5),PERMANENT_FIELD_LABOR_HOURS)*PERMANENT_HOURLY_RATE-MAX(0,($D27+AE$5)-PERMANENT_FIELD_LABOR_HOURS)*TEMP_HOURLY_RATE-FIXED_SEASON_COST)</f>
        <v>1971.47617851654</v>
      </c>
      <c r="AF27" s="53" t="n">
        <f aca="false">IF(OR($A27&gt;TOMATO_BED_CAP,$B27&gt;CARROT_BED_CAP,AF$4&gt;MESCLUN_BED_CAP,$A27+$B27+AF$4&gt;TOTAL_BEDS_AVAILABLE,($D27+AF$5)&gt;TOTAL_LABOR_HOURS_CAP,MAX(0,($D27+AF$5)-PERMANENT_FIELD_LABOR_HOURS)&gt;TEMP_HOURS_CAP),"",$C27+AF$6-MIN(($D27+AF$5),PERMANENT_FIELD_LABOR_HOURS)*PERMANENT_HOURLY_RATE-MAX(0,($D27+AF$5)-PERMANENT_FIELD_LABOR_HOURS)*TEMP_HOURLY_RATE-FIXED_SEASON_COST)</f>
        <v>2379.41370975849</v>
      </c>
      <c r="AG27" s="53" t="n">
        <f aca="false">IF(OR($A27&gt;TOMATO_BED_CAP,$B27&gt;CARROT_BED_CAP,AG$4&gt;MESCLUN_BED_CAP,$A27+$B27+AG$4&gt;TOTAL_BEDS_AVAILABLE,($D27+AG$5)&gt;TOTAL_LABOR_HOURS_CAP,MAX(0,($D27+AG$5)-PERMANENT_FIELD_LABOR_HOURS)&gt;TEMP_HOURS_CAP),"",$C27+AG$6-MIN(($D27+AG$5),PERMANENT_FIELD_LABOR_HOURS)*PERMANENT_HOURLY_RATE-MAX(0,($D27+AG$5)-PERMANENT_FIELD_LABOR_HOURS)*TEMP_HOURLY_RATE-FIXED_SEASON_COST)</f>
        <v>2756.21259929551</v>
      </c>
      <c r="AH27" s="53" t="n">
        <f aca="false">IF(OR($A27&gt;TOMATO_BED_CAP,$B27&gt;CARROT_BED_CAP,AH$4&gt;MESCLUN_BED_CAP,$A27+$B27+AH$4&gt;TOTAL_BEDS_AVAILABLE,($D27+AH$5)&gt;TOTAL_LABOR_HOURS_CAP,MAX(0,($D27+AH$5)-PERMANENT_FIELD_LABOR_HOURS)&gt;TEMP_HOURS_CAP),"",$C27+AH$6-MIN(($D27+AH$5),PERMANENT_FIELD_LABOR_HOURS)*PERMANENT_HOURLY_RATE-MAX(0,($D27+AH$5)-PERMANENT_FIELD_LABOR_HOURS)*TEMP_HOURLY_RATE-FIXED_SEASON_COST)</f>
        <v>3101.31501584572</v>
      </c>
      <c r="AI27" s="53" t="n">
        <f aca="false">IF(OR($A27&gt;TOMATO_BED_CAP,$B27&gt;CARROT_BED_CAP,AI$4&gt;MESCLUN_BED_CAP,$A27+$B27+AI$4&gt;TOTAL_BEDS_AVAILABLE,($D27+AI$5)&gt;TOTAL_LABOR_HOURS_CAP,MAX(0,($D27+AI$5)-PERMANENT_FIELD_LABOR_HOURS)&gt;TEMP_HOURS_CAP),"",$C27+AI$6-MIN(($D27+AI$5),PERMANENT_FIELD_LABOR_HOURS)*PERMANENT_HOURLY_RATE-MAX(0,($D27+AI$5)-PERMANENT_FIELD_LABOR_HOURS)*TEMP_HOURLY_RATE-FIXED_SEASON_COST)</f>
        <v>3414.15404775798</v>
      </c>
      <c r="AJ27" s="53" t="n">
        <f aca="false">IF(OR($A27&gt;TOMATO_BED_CAP,$B27&gt;CARROT_BED_CAP,AJ$4&gt;MESCLUN_BED_CAP,$A27+$B27+AJ$4&gt;TOTAL_BEDS_AVAILABLE,($D27+AJ$5)&gt;TOTAL_LABOR_HOURS_CAP,MAX(0,($D27+AJ$5)-PERMANENT_FIELD_LABOR_HOURS)&gt;TEMP_HOURS_CAP),"",$C27+AJ$6-MIN(($D27+AJ$5),PERMANENT_FIELD_LABOR_HOURS)*PERMANENT_HOURLY_RATE-MAX(0,($D27+AJ$5)-PERMANENT_FIELD_LABOR_HOURS)*TEMP_HOURLY_RATE-FIXED_SEASON_COST)</f>
        <v>3694.15356316374</v>
      </c>
    </row>
    <row r="28" customFormat="false" ht="15" hidden="false" customHeight="false" outlineLevel="0" collapsed="false">
      <c r="A28" s="21" t="n">
        <f aca="false">INT((ROW()-ROW($A$8))/(20+1))</f>
        <v>0</v>
      </c>
      <c r="B28" s="21" t="n">
        <f aca="false">MOD(ROW()-ROW($A$8),20+1)</f>
        <v>20</v>
      </c>
      <c r="C28" s="13" t="n">
        <f aca="false">A28*(TOMATO_REVENUE_PER_BED-TOMATO_FERTILIZER_PER_BED)+B28*(CARROT_REVENUE_PER_BED-CARROT_FERTILIZER_PER_BED)</f>
        <v>33080</v>
      </c>
      <c r="D28" s="14" t="n">
        <f aca="false">INDEX(TOMATO_SCHED_LABOR_HRS,A28+1)+INDEX(CARROT_SCHED_LABOR_HRS,B28+1)</f>
        <v>982.776596228567</v>
      </c>
      <c r="E28" s="13" t="n">
        <f aca="false">IF(COUNT(F28:AJ28)=0,"",MAX(F28:AJ28))</f>
        <v>4099.78758434462</v>
      </c>
      <c r="F28" s="53" t="n">
        <f aca="false">IF(OR($A28&gt;TOMATO_BED_CAP,$B28&gt;CARROT_BED_CAP,F$4&gt;MESCLUN_BED_CAP,$A28+$B28+F$4&gt;TOTAL_BEDS_AVAILABLE,($D28+F$5)&gt;TOTAL_LABOR_HOURS_CAP,MAX(0,($D28+F$5)-PERMANENT_FIELD_LABOR_HOURS)&gt;TEMP_HOURS_CAP),"",$C28+F$6-MIN(($D28+F$5),PERMANENT_FIELD_LABOR_HOURS)*PERMANENT_HOURLY_RATE-MAX(0,($D28+F$5)-PERMANENT_FIELD_LABOR_HOURS)*TEMP_HOURLY_RATE-FIXED_SEASON_COST)</f>
        <v>-16480.2017105279</v>
      </c>
      <c r="G28" s="53" t="n">
        <f aca="false">IF(OR($A28&gt;TOMATO_BED_CAP,$B28&gt;CARROT_BED_CAP,G$4&gt;MESCLUN_BED_CAP,$A28+$B28+G$4&gt;TOTAL_BEDS_AVAILABLE,($D28+G$5)&gt;TOTAL_LABOR_HOURS_CAP,MAX(0,($D28+G$5)-PERMANENT_FIELD_LABOR_HOURS)&gt;TEMP_HOURS_CAP),"",$C28+G$6-MIN(($D28+G$5),PERMANENT_FIELD_LABOR_HOURS)*PERMANENT_HOURLY_RATE-MAX(0,($D28+G$5)-PERMANENT_FIELD_LABOR_HOURS)*TEMP_HOURLY_RATE-FIXED_SEASON_COST)</f>
        <v>-15451.1667105279</v>
      </c>
      <c r="H28" s="53" t="n">
        <f aca="false">IF(OR($A28&gt;TOMATO_BED_CAP,$B28&gt;CARROT_BED_CAP,H$4&gt;MESCLUN_BED_CAP,$A28+$B28+H$4&gt;TOTAL_BEDS_AVAILABLE,($D28+H$5)&gt;TOTAL_LABOR_HOURS_CAP,MAX(0,($D28+H$5)-PERMANENT_FIELD_LABOR_HOURS)&gt;TEMP_HOURS_CAP),"",$C28+H$6-MIN(($D28+H$5),PERMANENT_FIELD_LABOR_HOURS)*PERMANENT_HOURLY_RATE-MAX(0,($D28+H$5)-PERMANENT_FIELD_LABOR_HOURS)*TEMP_HOURLY_RATE-FIXED_SEASON_COST)</f>
        <v>-14441.9058355279</v>
      </c>
      <c r="I28" s="53" t="n">
        <f aca="false">IF(OR($A28&gt;TOMATO_BED_CAP,$B28&gt;CARROT_BED_CAP,I$4&gt;MESCLUN_BED_CAP,$A28+$B28+I$4&gt;TOTAL_BEDS_AVAILABLE,($D28+I$5)&gt;TOTAL_LABOR_HOURS_CAP,MAX(0,($D28+I$5)-PERMANENT_FIELD_LABOR_HOURS)&gt;TEMP_HOURS_CAP),"",$C28+I$6-MIN(($D28+I$5),PERMANENT_FIELD_LABOR_HOURS)*PERMANENT_HOURLY_RATE-MAX(0,($D28+I$5)-PERMANENT_FIELD_LABOR_HOURS)*TEMP_HOURLY_RATE-FIXED_SEASON_COST)</f>
        <v>-13452.7898503717</v>
      </c>
      <c r="J28" s="53" t="n">
        <f aca="false">IF(OR($A28&gt;TOMATO_BED_CAP,$B28&gt;CARROT_BED_CAP,J$4&gt;MESCLUN_BED_CAP,$A28+$B28+J$4&gt;TOTAL_BEDS_AVAILABLE,($D28+J$5)&gt;TOTAL_LABOR_HOURS_CAP,MAX(0,($D28+J$5)-PERMANENT_FIELD_LABOR_HOURS)&gt;TEMP_HOURS_CAP),"",$C28+J$6-MIN(($D28+J$5),PERMANENT_FIELD_LABOR_HOURS)*PERMANENT_HOURLY_RATE-MAX(0,($D28+J$5)-PERMANENT_FIELD_LABOR_HOURS)*TEMP_HOURLY_RATE-FIXED_SEASON_COST)</f>
        <v>-12484.195699317</v>
      </c>
      <c r="K28" s="53" t="n">
        <f aca="false">IF(OR($A28&gt;TOMATO_BED_CAP,$B28&gt;CARROT_BED_CAP,K$4&gt;MESCLUN_BED_CAP,$A28+$B28+K$4&gt;TOTAL_BEDS_AVAILABLE,($D28+K$5)&gt;TOTAL_LABOR_HOURS_CAP,MAX(0,($D28+K$5)-PERMANENT_FIELD_LABOR_HOURS)&gt;TEMP_HOURS_CAP),"",$C28+K$6-MIN(($D28+K$5),PERMANENT_FIELD_LABOR_HOURS)*PERMANENT_HOURLY_RATE-MAX(0,($D28+K$5)-PERMANENT_FIELD_LABOR_HOURS)*TEMP_HOURLY_RATE-FIXED_SEASON_COST)</f>
        <v>-11536.5066025891</v>
      </c>
      <c r="L28" s="53" t="n">
        <f aca="false">IF(OR($A28&gt;TOMATO_BED_CAP,$B28&gt;CARROT_BED_CAP,L$4&gt;MESCLUN_BED_CAP,$A28+$B28+L$4&gt;TOTAL_BEDS_AVAILABLE,($D28+L$5)&gt;TOTAL_LABOR_HOURS_CAP,MAX(0,($D28+L$5)-PERMANENT_FIELD_LABOR_HOURS)&gt;TEMP_HOURS_CAP),"",$C28+L$6-MIN(($D28+L$5),PERMANENT_FIELD_LABOR_HOURS)*PERMANENT_HOURLY_RATE-MAX(0,($D28+L$5)-PERMANENT_FIELD_LABOR_HOURS)*TEMP_HOURLY_RATE-FIXED_SEASON_COST)</f>
        <v>-10610.1121543822</v>
      </c>
      <c r="M28" s="53" t="n">
        <f aca="false">IF(OR($A28&gt;TOMATO_BED_CAP,$B28&gt;CARROT_BED_CAP,M$4&gt;MESCLUN_BED_CAP,$A28+$B28+M$4&gt;TOTAL_BEDS_AVAILABLE,($D28+M$5)&gt;TOTAL_LABOR_HOURS_CAP,MAX(0,($D28+M$5)-PERMANENT_FIELD_LABOR_HOURS)&gt;TEMP_HOURS_CAP),"",$C28+M$6-MIN(($D28+M$5),PERMANENT_FIELD_LABOR_HOURS)*PERMANENT_HOURLY_RATE-MAX(0,($D28+M$5)-PERMANENT_FIELD_LABOR_HOURS)*TEMP_HOURLY_RATE-FIXED_SEASON_COST)</f>
        <v>-9705.40842233082</v>
      </c>
      <c r="N28" s="53" t="n">
        <f aca="false">IF(OR($A28&gt;TOMATO_BED_CAP,$B28&gt;CARROT_BED_CAP,N$4&gt;MESCLUN_BED_CAP,$A28+$B28+N$4&gt;TOTAL_BEDS_AVAILABLE,($D28+N$5)&gt;TOTAL_LABOR_HOURS_CAP,MAX(0,($D28+N$5)-PERMANENT_FIELD_LABOR_HOURS)&gt;TEMP_HOURS_CAP),"",$C28+N$6-MIN(($D28+N$5),PERMANENT_FIELD_LABOR_HOURS)*PERMANENT_HOURLY_RATE-MAX(0,($D28+N$5)-PERMANENT_FIELD_LABOR_HOURS)*TEMP_HOURLY_RATE-FIXED_SEASON_COST)</f>
        <v>-8822.79804847127</v>
      </c>
      <c r="O28" s="53" t="n">
        <f aca="false">IF(OR($A28&gt;TOMATO_BED_CAP,$B28&gt;CARROT_BED_CAP,O$4&gt;MESCLUN_BED_CAP,$A28+$B28+O$4&gt;TOTAL_BEDS_AVAILABLE,($D28+O$5)&gt;TOTAL_LABOR_HOURS_CAP,MAX(0,($D28+O$5)-PERMANENT_FIELD_LABOR_HOURS)&gt;TEMP_HOURS_CAP),"",$C28+O$6-MIN(($D28+O$5),PERMANENT_FIELD_LABOR_HOURS)*PERMANENT_HOURLY_RATE-MAX(0,($D28+O$5)-PERMANENT_FIELD_LABOR_HOURS)*TEMP_HOURLY_RATE-FIXED_SEASON_COST)</f>
        <v>-7962.69035171652</v>
      </c>
      <c r="P28" s="53" t="n">
        <f aca="false">IF(OR($A28&gt;TOMATO_BED_CAP,$B28&gt;CARROT_BED_CAP,P$4&gt;MESCLUN_BED_CAP,$A28+$B28+P$4&gt;TOTAL_BEDS_AVAILABLE,($D28+P$5)&gt;TOTAL_LABOR_HOURS_CAP,MAX(0,($D28+P$5)-PERMANENT_FIELD_LABOR_HOURS)&gt;TEMP_HOURS_CAP),"",$C28+P$6-MIN(($D28+P$5),PERMANENT_FIELD_LABOR_HOURS)*PERMANENT_HOURLY_RATE-MAX(0,($D28+P$5)-PERMANENT_FIELD_LABOR_HOURS)*TEMP_HOURLY_RATE-FIXED_SEASON_COST)</f>
        <v>-7125.50143186509</v>
      </c>
      <c r="Q28" s="53" t="n">
        <f aca="false">IF(OR($A28&gt;TOMATO_BED_CAP,$B28&gt;CARROT_BED_CAP,Q$4&gt;MESCLUN_BED_CAP,$A28+$B28+Q$4&gt;TOTAL_BEDS_AVAILABLE,($D28+Q$5)&gt;TOTAL_LABOR_HOURS_CAP,MAX(0,($D28+Q$5)-PERMANENT_FIELD_LABOR_HOURS)&gt;TEMP_HOURS_CAP),"",$C28+Q$6-MIN(($D28+Q$5),PERMANENT_FIELD_LABOR_HOURS)*PERMANENT_HOURLY_RATE-MAX(0,($D28+Q$5)-PERMANENT_FIELD_LABOR_HOURS)*TEMP_HOURLY_RATE-FIXED_SEASON_COST)</f>
        <v>-6311.6542751672</v>
      </c>
      <c r="R28" s="53" t="n">
        <f aca="false">IF(OR($A28&gt;TOMATO_BED_CAP,$B28&gt;CARROT_BED_CAP,R$4&gt;MESCLUN_BED_CAP,$A28+$B28+R$4&gt;TOTAL_BEDS_AVAILABLE,($D28+R$5)&gt;TOTAL_LABOR_HOURS_CAP,MAX(0,($D28+R$5)-PERMANENT_FIELD_LABOR_HOURS)&gt;TEMP_HOURS_CAP),"",$C28+R$6-MIN(($D28+R$5),PERMANENT_FIELD_LABOR_HOURS)*PERMANENT_HOURLY_RATE-MAX(0,($D28+R$5)-PERMANENT_FIELD_LABOR_HOURS)*TEMP_HOURLY_RATE-FIXED_SEASON_COST)</f>
        <v>-5521.57886147039</v>
      </c>
      <c r="S28" s="53" t="n">
        <f aca="false">IF(OR($A28&gt;TOMATO_BED_CAP,$B28&gt;CARROT_BED_CAP,S$4&gt;MESCLUN_BED_CAP,$A28+$B28+S$4&gt;TOTAL_BEDS_AVAILABLE,($D28+S$5)&gt;TOTAL_LABOR_HOURS_CAP,MAX(0,($D28+S$5)-PERMANENT_FIELD_LABOR_HOURS)&gt;TEMP_HOURS_CAP),"",$C28+S$6-MIN(($D28+S$5),PERMANENT_FIELD_LABOR_HOURS)*PERMANENT_HOURLY_RATE-MAX(0,($D28+S$5)-PERMANENT_FIELD_LABOR_HOURS)*TEMP_HOURLY_RATE-FIXED_SEASON_COST)</f>
        <v>-4755.71227296794</v>
      </c>
      <c r="T28" s="53" t="n">
        <f aca="false">IF(OR($A28&gt;TOMATO_BED_CAP,$B28&gt;CARROT_BED_CAP,T$4&gt;MESCLUN_BED_CAP,$A28+$B28+T$4&gt;TOTAL_BEDS_AVAILABLE,($D28+T$5)&gt;TOTAL_LABOR_HOURS_CAP,MAX(0,($D28+T$5)-PERMANENT_FIELD_LABOR_HOURS)&gt;TEMP_HOURS_CAP),"",$C28+T$6-MIN(($D28+T$5),PERMANENT_FIELD_LABOR_HOURS)*PERMANENT_HOURLY_RATE-MAX(0,($D28+T$5)-PERMANENT_FIELD_LABOR_HOURS)*TEMP_HOURLY_RATE-FIXED_SEASON_COST)</f>
        <v>-4014.49880457309</v>
      </c>
      <c r="U28" s="53" t="n">
        <f aca="false">IF(OR($A28&gt;TOMATO_BED_CAP,$B28&gt;CARROT_BED_CAP,U$4&gt;MESCLUN_BED_CAP,$A28+$B28+U$4&gt;TOTAL_BEDS_AVAILABLE,($D28+U$5)&gt;TOTAL_LABOR_HOURS_CAP,MAX(0,($D28+U$5)-PERMANENT_FIELD_LABOR_HOURS)&gt;TEMP_HOURS_CAP),"",$C28+U$6-MIN(($D28+U$5),PERMANENT_FIELD_LABOR_HOURS)*PERMANENT_HOURLY_RATE-MAX(0,($D28+U$5)-PERMANENT_FIELD_LABOR_HOURS)*TEMP_HOURLY_RATE-FIXED_SEASON_COST)</f>
        <v>-3298.390075943</v>
      </c>
      <c r="V28" s="53" t="n">
        <f aca="false">IF(OR($A28&gt;TOMATO_BED_CAP,$B28&gt;CARROT_BED_CAP,V$4&gt;MESCLUN_BED_CAP,$A28+$B28+V$4&gt;TOTAL_BEDS_AVAILABLE,($D28+V$5)&gt;TOTAL_LABOR_HOURS_CAP,MAX(0,($D28+V$5)-PERMANENT_FIELD_LABOR_HOURS)&gt;TEMP_HOURS_CAP),"",$C28+V$6-MIN(($D28+V$5),PERMANENT_FIELD_LABOR_HOURS)*PERMANENT_HOURLY_RATE-MAX(0,($D28+V$5)-PERMANENT_FIELD_LABOR_HOURS)*TEMP_HOURLY_RATE-FIXED_SEASON_COST)</f>
        <v>-2607.84514517621</v>
      </c>
      <c r="W28" s="53" t="n">
        <f aca="false">IF(OR($A28&gt;TOMATO_BED_CAP,$B28&gt;CARROT_BED_CAP,W$4&gt;MESCLUN_BED_CAP,$A28+$B28+W$4&gt;TOTAL_BEDS_AVAILABLE,($D28+W$5)&gt;TOTAL_LABOR_HOURS_CAP,MAX(0,($D28+W$5)-PERMANENT_FIELD_LABOR_HOURS)&gt;TEMP_HOURS_CAP),"",$C28+W$6-MIN(($D28+W$5),PERMANENT_FIELD_LABOR_HOURS)*PERMANENT_HOURLY_RATE-MAX(0,($D28+W$5)-PERMANENT_FIELD_LABOR_HOURS)*TEMP_HOURLY_RATE-FIXED_SEASON_COST)</f>
        <v>-1943.33062420814</v>
      </c>
      <c r="X28" s="53" t="n">
        <f aca="false">IF(OR($A28&gt;TOMATO_BED_CAP,$B28&gt;CARROT_BED_CAP,X$4&gt;MESCLUN_BED_CAP,$A28+$B28+X$4&gt;TOTAL_BEDS_AVAILABLE,($D28+X$5)&gt;TOTAL_LABOR_HOURS_CAP,MAX(0,($D28+X$5)-PERMANENT_FIELD_LABOR_HOURS)&gt;TEMP_HOURS_CAP),"",$C28+X$6-MIN(($D28+X$5),PERMANENT_FIELD_LABOR_HOURS)*PERMANENT_HOURLY_RATE-MAX(0,($D28+X$5)-PERMANENT_FIELD_LABOR_HOURS)*TEMP_HOURLY_RATE-FIXED_SEASON_COST)</f>
        <v>-1305.32079592922</v>
      </c>
      <c r="Y28" s="53" t="n">
        <f aca="false">IF(OR($A28&gt;TOMATO_BED_CAP,$B28&gt;CARROT_BED_CAP,Y$4&gt;MESCLUN_BED_CAP,$A28+$B28+Y$4&gt;TOTAL_BEDS_AVAILABLE,($D28+Y$5)&gt;TOTAL_LABOR_HOURS_CAP,MAX(0,($D28+Y$5)-PERMANENT_FIELD_LABOR_HOURS)&gt;TEMP_HOURS_CAP),"",$C28+Y$6-MIN(($D28+Y$5),PERMANENT_FIELD_LABOR_HOURS)*PERMANENT_HOURLY_RATE-MAX(0,($D28+Y$5)-PERMANENT_FIELD_LABOR_HOURS)*TEMP_HOURLY_RATE-FIXED_SEASON_COST)</f>
        <v>-694.297733050564</v>
      </c>
      <c r="Z28" s="53" t="n">
        <f aca="false">IF(OR($A28&gt;TOMATO_BED_CAP,$B28&gt;CARROT_BED_CAP,Z$4&gt;MESCLUN_BED_CAP,$A28+$B28+Z$4&gt;TOTAL_BEDS_AVAILABLE,($D28+Z$5)&gt;TOTAL_LABOR_HOURS_CAP,MAX(0,($D28+Z$5)-PERMANENT_FIELD_LABOR_HOURS)&gt;TEMP_HOURS_CAP),"",$C28+Z$6-MIN(($D28+Z$5),PERMANENT_FIELD_LABOR_HOURS)*PERMANENT_HOURLY_RATE-MAX(0,($D28+Z$5)-PERMANENT_FIELD_LABOR_HOURS)*TEMP_HOURLY_RATE-FIXED_SEASON_COST)</f>
        <v>-110.751418742835</v>
      </c>
      <c r="AA28" s="53" t="n">
        <f aca="false">IF(OR($A28&gt;TOMATO_BED_CAP,$B28&gt;CARROT_BED_CAP,AA$4&gt;MESCLUN_BED_CAP,$A28+$B28+AA$4&gt;TOTAL_BEDS_AVAILABLE,($D28+AA$5)&gt;TOTAL_LABOR_HOURS_CAP,MAX(0,($D28+AA$5)-PERMANENT_FIELD_LABOR_HOURS)&gt;TEMP_HOURS_CAP),"",$C28+AA$6-MIN(($D28+AA$5),PERMANENT_FIELD_LABOR_HOURS)*PERMANENT_HOURLY_RATE-MAX(0,($D28+AA$5)-PERMANENT_FIELD_LABOR_HOURS)*TEMP_HOURLY_RATE-FIXED_SEASON_COST)</f>
        <v>444.820130926091</v>
      </c>
      <c r="AB28" s="53" t="n">
        <f aca="false">IF(OR($A28&gt;TOMATO_BED_CAP,$B28&gt;CARROT_BED_CAP,AB$4&gt;MESCLUN_BED_CAP,$A28+$B28+AB$4&gt;TOTAL_BEDS_AVAILABLE,($D28+AB$5)&gt;TOTAL_LABOR_HOURS_CAP,MAX(0,($D28+AB$5)-PERMANENT_FIELD_LABOR_HOURS)&gt;TEMP_HOURS_CAP),"",$C28+AB$6-MIN(($D28+AB$5),PERMANENT_FIELD_LABOR_HOURS)*PERMANENT_HOURLY_RATE-MAX(0,($D28+AB$5)-PERMANENT_FIELD_LABOR_HOURS)*TEMP_HOURLY_RATE-FIXED_SEASON_COST)</f>
        <v>971.910742728665</v>
      </c>
      <c r="AC28" s="53" t="n">
        <f aca="false">IF(OR($A28&gt;TOMATO_BED_CAP,$B28&gt;CARROT_BED_CAP,AC$4&gt;MESCLUN_BED_CAP,$A28+$B28+AC$4&gt;TOTAL_BEDS_AVAILABLE,($D28+AC$5)&gt;TOTAL_LABOR_HOURS_CAP,MAX(0,($D28+AC$5)-PERMANENT_FIELD_LABOR_HOURS)&gt;TEMP_HOURS_CAP),"",$C28+AC$6-MIN(($D28+AC$5),PERMANENT_FIELD_LABOR_HOURS)*PERMANENT_HOURLY_RATE-MAX(0,($D28+AC$5)-PERMANENT_FIELD_LABOR_HOURS)*TEMP_HOURLY_RATE-FIXED_SEASON_COST)</f>
        <v>1470.00596016357</v>
      </c>
      <c r="AD28" s="53" t="n">
        <f aca="false">IF(OR($A28&gt;TOMATO_BED_CAP,$B28&gt;CARROT_BED_CAP,AD$4&gt;MESCLUN_BED_CAP,$A28+$B28+AD$4&gt;TOTAL_BEDS_AVAILABLE,($D28+AD$5)&gt;TOTAL_LABOR_HOURS_CAP,MAX(0,($D28+AD$5)-PERMANENT_FIELD_LABOR_HOURS)&gt;TEMP_HOURS_CAP),"",$C28+AD$6-MIN(($D28+AD$5),PERMANENT_FIELD_LABOR_HOURS)*PERMANENT_HOURLY_RATE-MAX(0,($D28+AD$5)-PERMANENT_FIELD_LABOR_HOURS)*TEMP_HOURLY_RATE-FIXED_SEASON_COST)</f>
        <v>1938.58291546352</v>
      </c>
      <c r="AE28" s="53" t="n">
        <f aca="false">IF(OR($A28&gt;TOMATO_BED_CAP,$B28&gt;CARROT_BED_CAP,AE$4&gt;MESCLUN_BED_CAP,$A28+$B28+AE$4&gt;TOTAL_BEDS_AVAILABLE,($D28+AE$5)&gt;TOTAL_LABOR_HOURS_CAP,MAX(0,($D28+AE$5)-PERMANENT_FIELD_LABOR_HOURS)&gt;TEMP_HOURS_CAP),"",$C28+AE$6-MIN(($D28+AE$5),PERMANENT_FIELD_LABOR_HOURS)*PERMANENT_HOURLY_RATE-MAX(0,($D28+AE$5)-PERMANENT_FIELD_LABOR_HOURS)*TEMP_HOURLY_RATE-FIXED_SEASON_COST)</f>
        <v>2377.11019969743</v>
      </c>
      <c r="AF28" s="53" t="n">
        <f aca="false">IF(OR($A28&gt;TOMATO_BED_CAP,$B28&gt;CARROT_BED_CAP,AF$4&gt;MESCLUN_BED_CAP,$A28+$B28+AF$4&gt;TOTAL_BEDS_AVAILABLE,($D28+AF$5)&gt;TOTAL_LABOR_HOURS_CAP,MAX(0,($D28+AF$5)-PERMANENT_FIELD_LABOR_HOURS)&gt;TEMP_HOURS_CAP),"",$C28+AF$6-MIN(($D28+AF$5),PERMANENT_FIELD_LABOR_HOURS)*PERMANENT_HOURLY_RATE-MAX(0,($D28+AF$5)-PERMANENT_FIELD_LABOR_HOURS)*TEMP_HOURLY_RATE-FIXED_SEASON_COST)</f>
        <v>2785.04773093938</v>
      </c>
      <c r="AG28" s="53" t="n">
        <f aca="false">IF(OR($A28&gt;TOMATO_BED_CAP,$B28&gt;CARROT_BED_CAP,AG$4&gt;MESCLUN_BED_CAP,$A28+$B28+AG$4&gt;TOTAL_BEDS_AVAILABLE,($D28+AG$5)&gt;TOTAL_LABOR_HOURS_CAP,MAX(0,($D28+AG$5)-PERMANENT_FIELD_LABOR_HOURS)&gt;TEMP_HOURS_CAP),"",$C28+AG$6-MIN(($D28+AG$5),PERMANENT_FIELD_LABOR_HOURS)*PERMANENT_HOURLY_RATE-MAX(0,($D28+AG$5)-PERMANENT_FIELD_LABOR_HOURS)*TEMP_HOURLY_RATE-FIXED_SEASON_COST)</f>
        <v>3161.84662047639</v>
      </c>
      <c r="AH28" s="53" t="n">
        <f aca="false">IF(OR($A28&gt;TOMATO_BED_CAP,$B28&gt;CARROT_BED_CAP,AH$4&gt;MESCLUN_BED_CAP,$A28+$B28+AH$4&gt;TOTAL_BEDS_AVAILABLE,($D28+AH$5)&gt;TOTAL_LABOR_HOURS_CAP,MAX(0,($D28+AH$5)-PERMANENT_FIELD_LABOR_HOURS)&gt;TEMP_HOURS_CAP),"",$C28+AH$6-MIN(($D28+AH$5),PERMANENT_FIELD_LABOR_HOURS)*PERMANENT_HOURLY_RATE-MAX(0,($D28+AH$5)-PERMANENT_FIELD_LABOR_HOURS)*TEMP_HOURLY_RATE-FIXED_SEASON_COST)</f>
        <v>3506.94903702661</v>
      </c>
      <c r="AI28" s="53" t="n">
        <f aca="false">IF(OR($A28&gt;TOMATO_BED_CAP,$B28&gt;CARROT_BED_CAP,AI$4&gt;MESCLUN_BED_CAP,$A28+$B28+AI$4&gt;TOTAL_BEDS_AVAILABLE,($D28+AI$5)&gt;TOTAL_LABOR_HOURS_CAP,MAX(0,($D28+AI$5)-PERMANENT_FIELD_LABOR_HOURS)&gt;TEMP_HOURS_CAP),"",$C28+AI$6-MIN(($D28+AI$5),PERMANENT_FIELD_LABOR_HOURS)*PERMANENT_HOURLY_RATE-MAX(0,($D28+AI$5)-PERMANENT_FIELD_LABOR_HOURS)*TEMP_HOURLY_RATE-FIXED_SEASON_COST)</f>
        <v>3819.78806893886</v>
      </c>
      <c r="AJ28" s="53" t="n">
        <f aca="false">IF(OR($A28&gt;TOMATO_BED_CAP,$B28&gt;CARROT_BED_CAP,AJ$4&gt;MESCLUN_BED_CAP,$A28+$B28+AJ$4&gt;TOTAL_BEDS_AVAILABLE,($D28+AJ$5)&gt;TOTAL_LABOR_HOURS_CAP,MAX(0,($D28+AJ$5)-PERMANENT_FIELD_LABOR_HOURS)&gt;TEMP_HOURS_CAP),"",$C28+AJ$6-MIN(($D28+AJ$5),PERMANENT_FIELD_LABOR_HOURS)*PERMANENT_HOURLY_RATE-MAX(0,($D28+AJ$5)-PERMANENT_FIELD_LABOR_HOURS)*TEMP_HOURLY_RATE-FIXED_SEASON_COST)</f>
        <v>4099.78758434462</v>
      </c>
    </row>
    <row r="29" customFormat="false" ht="15" hidden="false" customHeight="false" outlineLevel="0" collapsed="false">
      <c r="A29" s="21" t="n">
        <f aca="false">INT((ROW()-ROW($A$8))/(20+1))</f>
        <v>1</v>
      </c>
      <c r="B29" s="21" t="n">
        <f aca="false">MOD(ROW()-ROW($A$8),20+1)</f>
        <v>0</v>
      </c>
      <c r="C29" s="13" t="n">
        <f aca="false">A29*(TOMATO_REVENUE_PER_BED-TOMATO_FERTILIZER_PER_BED)+B29*(CARROT_REVENUE_PER_BED-CARROT_FERTILIZER_PER_BED)</f>
        <v>7920</v>
      </c>
      <c r="D29" s="14" t="n">
        <f aca="false">INDEX(TOMATO_SCHED_LABOR_HRS,A29+1)+INDEX(CARROT_SCHED_LABOR_HRS,B29+1)</f>
        <v>99</v>
      </c>
      <c r="E29" s="13" t="n">
        <f aca="false">IF(COUNT(F29:AJ29)=0,"",MAX(F29:AJ29))</f>
        <v>-5717.85070512746</v>
      </c>
      <c r="F29" s="53" t="n">
        <f aca="false">IF(OR($A29&gt;TOMATO_BED_CAP,$B29&gt;CARROT_BED_CAP,F$4&gt;MESCLUN_BED_CAP,$A29+$B29+F$4&gt;TOTAL_BEDS_AVAILABLE,($D29+F$5)&gt;TOTAL_LABOR_HOURS_CAP,MAX(0,($D29+F$5)-PERMANENT_FIELD_LABOR_HOURS)&gt;TEMP_HOURS_CAP),"",$C29+F$6-MIN(($D29+F$5),PERMANENT_FIELD_LABOR_HOURS)*PERMANENT_HOURLY_RATE-MAX(0,($D29+F$5)-PERMANENT_FIELD_LABOR_HOURS)*TEMP_HOURLY_RATE-FIXED_SEASON_COST)</f>
        <v>-15517.28</v>
      </c>
      <c r="G29" s="53" t="n">
        <f aca="false">IF(OR($A29&gt;TOMATO_BED_CAP,$B29&gt;CARROT_BED_CAP,G$4&gt;MESCLUN_BED_CAP,$A29+$B29+G$4&gt;TOTAL_BEDS_AVAILABLE,($D29+G$5)&gt;TOTAL_LABOR_HOURS_CAP,MAX(0,($D29+G$5)-PERMANENT_FIELD_LABOR_HOURS)&gt;TEMP_HOURS_CAP),"",$C29+G$6-MIN(($D29+G$5),PERMANENT_FIELD_LABOR_HOURS)*PERMANENT_HOURLY_RATE-MAX(0,($D29+G$5)-PERMANENT_FIELD_LABOR_HOURS)*TEMP_HOURLY_RATE-FIXED_SEASON_COST)</f>
        <v>-15279.21</v>
      </c>
      <c r="H29" s="53" t="n">
        <f aca="false">IF(OR($A29&gt;TOMATO_BED_CAP,$B29&gt;CARROT_BED_CAP,H$4&gt;MESCLUN_BED_CAP,$A29+$B29+H$4&gt;TOTAL_BEDS_AVAILABLE,($D29+H$5)&gt;TOTAL_LABOR_HOURS_CAP,MAX(0,($D29+H$5)-PERMANENT_FIELD_LABOR_HOURS)&gt;TEMP_HOURS_CAP),"",$C29+H$6-MIN(($D29+H$5),PERMANENT_FIELD_LABOR_HOURS)*PERMANENT_HOURLY_RATE-MAX(0,($D29+H$5)-PERMANENT_FIELD_LABOR_HOURS)*TEMP_HOURLY_RATE-FIXED_SEASON_COST)</f>
        <v>-15080.68825</v>
      </c>
      <c r="I29" s="53" t="n">
        <f aca="false">IF(OR($A29&gt;TOMATO_BED_CAP,$B29&gt;CARROT_BED_CAP,I$4&gt;MESCLUN_BED_CAP,$A29+$B29+I$4&gt;TOTAL_BEDS_AVAILABLE,($D29+I$5)&gt;TOTAL_LABOR_HOURS_CAP,MAX(0,($D29+I$5)-PERMANENT_FIELD_LABOR_HOURS)&gt;TEMP_HOURS_CAP),"",$C29+I$6-MIN(($D29+I$5),PERMANENT_FIELD_LABOR_HOURS)*PERMANENT_HOURLY_RATE-MAX(0,($D29+I$5)-PERMANENT_FIELD_LABOR_HOURS)*TEMP_HOURLY_RATE-FIXED_SEASON_COST)</f>
        <v>-14922.4562796875</v>
      </c>
      <c r="J29" s="53" t="n">
        <f aca="false">IF(OR($A29&gt;TOMATO_BED_CAP,$B29&gt;CARROT_BED_CAP,J$4&gt;MESCLUN_BED_CAP,$A29+$B29+J$4&gt;TOTAL_BEDS_AVAILABLE,($D29+J$5)&gt;TOTAL_LABOR_HOURS_CAP,MAX(0,($D29+J$5)-PERMANENT_FIELD_LABOR_HOURS)&gt;TEMP_HOURS_CAP),"",$C29+J$6-MIN(($D29+J$5),PERMANENT_FIELD_LABOR_HOURS)*PERMANENT_HOURLY_RATE-MAX(0,($D29+J$5)-PERMANENT_FIELD_LABOR_HOURS)*TEMP_HOURLY_RATE-FIXED_SEASON_COST)</f>
        <v>-14805.2679775781</v>
      </c>
      <c r="K29" s="53" t="n">
        <f aca="false">IF(OR($A29&gt;TOMATO_BED_CAP,$B29&gt;CARROT_BED_CAP,K$4&gt;MESCLUN_BED_CAP,$A29+$B29+K$4&gt;TOTAL_BEDS_AVAILABLE,($D29+K$5)&gt;TOTAL_LABOR_HOURS_CAP,MAX(0,($D29+K$5)-PERMANENT_FIELD_LABOR_HOURS)&gt;TEMP_HOURS_CAP),"",$C29+K$6-MIN(($D29+K$5),PERMANENT_FIELD_LABOR_HOURS)*PERMANENT_HOURLY_RATE-MAX(0,($D29+K$5)-PERMANENT_FIELD_LABOR_HOURS)*TEMP_HOURLY_RATE-FIXED_SEASON_COST)</f>
        <v>-14729.8897841223</v>
      </c>
      <c r="L29" s="53" t="n">
        <f aca="false">IF(OR($A29&gt;TOMATO_BED_CAP,$B29&gt;CARROT_BED_CAP,L$4&gt;MESCLUN_BED_CAP,$A29+$B29+L$4&gt;TOTAL_BEDS_AVAILABLE,($D29+L$5)&gt;TOTAL_LABOR_HOURS_CAP,MAX(0,($D29+L$5)-PERMANENT_FIELD_LABOR_HOURS)&gt;TEMP_HOURS_CAP),"",$C29+L$6-MIN(($D29+L$5),PERMANENT_FIELD_LABOR_HOURS)*PERMANENT_HOURLY_RATE-MAX(0,($D29+L$5)-PERMANENT_FIELD_LABOR_HOURS)*TEMP_HOURLY_RATE-FIXED_SEASON_COST)</f>
        <v>-14697.1008877086</v>
      </c>
      <c r="M29" s="53" t="n">
        <f aca="false">IF(OR($A29&gt;TOMATO_BED_CAP,$B29&gt;CARROT_BED_CAP,M$4&gt;MESCLUN_BED_CAP,$A29+$B29+M$4&gt;TOTAL_BEDS_AVAILABLE,($D29+M$5)&gt;TOTAL_LABOR_HOURS_CAP,MAX(0,($D29+M$5)-PERMANENT_FIELD_LABOR_HOURS)&gt;TEMP_HOURS_CAP),"",$C29+M$6-MIN(($D29+M$5),PERMANENT_FIELD_LABOR_HOURS)*PERMANENT_HOURLY_RATE-MAX(0,($D29+M$5)-PERMANENT_FIELD_LABOR_HOURS)*TEMP_HOURLY_RATE-FIXED_SEASON_COST)</f>
        <v>-14707.6934236058</v>
      </c>
      <c r="N29" s="53" t="n">
        <f aca="false">IF(OR($A29&gt;TOMATO_BED_CAP,$B29&gt;CARROT_BED_CAP,N$4&gt;MESCLUN_BED_CAP,$A29+$B29+N$4&gt;TOTAL_BEDS_AVAILABLE,($D29+N$5)&gt;TOTAL_LABOR_HOURS_CAP,MAX(0,($D29+N$5)-PERMANENT_FIELD_LABOR_HOURS)&gt;TEMP_HOURS_CAP),"",$C29+N$6-MIN(($D29+N$5),PERMANENT_FIELD_LABOR_HOURS)*PERMANENT_HOURLY_RATE-MAX(0,($D29+N$5)-PERMANENT_FIELD_LABOR_HOURS)*TEMP_HOURLY_RATE-FIXED_SEASON_COST)</f>
        <v>-14762.4726758867</v>
      </c>
      <c r="O29" s="53" t="n">
        <f aca="false">IF(OR($A29&gt;TOMATO_BED_CAP,$B29&gt;CARROT_BED_CAP,O$4&gt;MESCLUN_BED_CAP,$A29+$B29+O$4&gt;TOTAL_BEDS_AVAILABLE,($D29+O$5)&gt;TOTAL_LABOR_HOURS_CAP,MAX(0,($D29+O$5)-PERMANENT_FIELD_LABOR_HOURS)&gt;TEMP_HOURS_CAP),"",$C29+O$6-MIN(($D29+O$5),PERMANENT_FIELD_LABOR_HOURS)*PERMANENT_HOURLY_RATE-MAX(0,($D29+O$5)-PERMANENT_FIELD_LABOR_HOURS)*TEMP_HOURLY_RATE-FIXED_SEASON_COST)</f>
        <v>-14862.2572823772</v>
      </c>
      <c r="P29" s="53" t="n">
        <f aca="false">IF(OR($A29&gt;TOMATO_BED_CAP,$B29&gt;CARROT_BED_CAP,P$4&gt;MESCLUN_BED_CAP,$A29+$B29+P$4&gt;TOTAL_BEDS_AVAILABLE,($D29+P$5)&gt;TOTAL_LABOR_HOURS_CAP,MAX(0,($D29+P$5)-PERMANENT_FIELD_LABOR_HOURS)&gt;TEMP_HOURS_CAP),"",$C29+P$6-MIN(($D29+P$5),PERMANENT_FIELD_LABOR_HOURS)*PERMANENT_HOURLY_RATE-MAX(0,($D29+P$5)-PERMANENT_FIELD_LABOR_HOURS)*TEMP_HOURLY_RATE-FIXED_SEASON_COST)</f>
        <v>-15007.8794426743</v>
      </c>
      <c r="Q29" s="53" t="n">
        <f aca="false">IF(OR($A29&gt;TOMATO_BED_CAP,$B29&gt;CARROT_BED_CAP,Q$4&gt;MESCLUN_BED_CAP,$A29+$B29+Q$4&gt;TOTAL_BEDS_AVAILABLE,($D29+Q$5)&gt;TOTAL_LABOR_HOURS_CAP,MAX(0,($D29+Q$5)-PERMANENT_FIELD_LABOR_HOURS)&gt;TEMP_HOURS_CAP),"",$C29+Q$6-MIN(($D29+Q$5),PERMANENT_FIELD_LABOR_HOURS)*PERMANENT_HOURLY_RATE-MAX(0,($D29+Q$5)-PERMANENT_FIELD_LABOR_HOURS)*TEMP_HOURLY_RATE-FIXED_SEASON_COST)</f>
        <v>-15200.1851292786</v>
      </c>
      <c r="R29" s="53" t="n">
        <f aca="false">IF(OR($A29&gt;TOMATO_BED_CAP,$B29&gt;CARROT_BED_CAP,R$4&gt;MESCLUN_BED_CAP,$A29+$B29+R$4&gt;TOTAL_BEDS_AVAILABLE,($D29+R$5)&gt;TOTAL_LABOR_HOURS_CAP,MAX(0,($D29+R$5)-PERMANENT_FIELD_LABOR_HOURS)&gt;TEMP_HOURS_CAP),"",$C29+R$6-MIN(($D29+R$5),PERMANENT_FIELD_LABOR_HOURS)*PERMANENT_HOURLY_RATE-MAX(0,($D29+R$5)-PERMANENT_FIELD_LABOR_HOURS)*TEMP_HOURLY_RATE-FIXED_SEASON_COST)</f>
        <v>-15339.2171509425</v>
      </c>
      <c r="S29" s="53" t="n">
        <f aca="false">IF(OR($A29&gt;TOMATO_BED_CAP,$B29&gt;CARROT_BED_CAP,S$4&gt;MESCLUN_BED_CAP,$A29+$B29+S$4&gt;TOTAL_BEDS_AVAILABLE,($D29+S$5)&gt;TOTAL_LABOR_HOURS_CAP,MAX(0,($D29+S$5)-PERMANENT_FIELD_LABOR_HOURS)&gt;TEMP_HOURS_CAP),"",$C29+S$6-MIN(($D29+S$5),PERMANENT_FIELD_LABOR_HOURS)*PERMANENT_HOURLY_RATE-MAX(0,($D29+S$5)-PERMANENT_FIELD_LABOR_HOURS)*TEMP_HOURLY_RATE-FIXED_SEASON_COST)</f>
        <v>-14573.35056244</v>
      </c>
      <c r="T29" s="53" t="n">
        <f aca="false">IF(OR($A29&gt;TOMATO_BED_CAP,$B29&gt;CARROT_BED_CAP,T$4&gt;MESCLUN_BED_CAP,$A29+$B29+T$4&gt;TOTAL_BEDS_AVAILABLE,($D29+T$5)&gt;TOTAL_LABOR_HOURS_CAP,MAX(0,($D29+T$5)-PERMANENT_FIELD_LABOR_HOURS)&gt;TEMP_HOURS_CAP),"",$C29+T$6-MIN(($D29+T$5),PERMANENT_FIELD_LABOR_HOURS)*PERMANENT_HOURLY_RATE-MAX(0,($D29+T$5)-PERMANENT_FIELD_LABOR_HOURS)*TEMP_HOURLY_RATE-FIXED_SEASON_COST)</f>
        <v>-13832.1370940452</v>
      </c>
      <c r="U29" s="53" t="n">
        <f aca="false">IF(OR($A29&gt;TOMATO_BED_CAP,$B29&gt;CARROT_BED_CAP,U$4&gt;MESCLUN_BED_CAP,$A29+$B29+U$4&gt;TOTAL_BEDS_AVAILABLE,($D29+U$5)&gt;TOTAL_LABOR_HOURS_CAP,MAX(0,($D29+U$5)-PERMANENT_FIELD_LABOR_HOURS)&gt;TEMP_HOURS_CAP),"",$C29+U$6-MIN(($D29+U$5),PERMANENT_FIELD_LABOR_HOURS)*PERMANENT_HOURLY_RATE-MAX(0,($D29+U$5)-PERMANENT_FIELD_LABOR_HOURS)*TEMP_HOURLY_RATE-FIXED_SEASON_COST)</f>
        <v>-13116.0283654151</v>
      </c>
      <c r="V29" s="53" t="n">
        <f aca="false">IF(OR($A29&gt;TOMATO_BED_CAP,$B29&gt;CARROT_BED_CAP,V$4&gt;MESCLUN_BED_CAP,$A29+$B29+V$4&gt;TOTAL_BEDS_AVAILABLE,($D29+V$5)&gt;TOTAL_LABOR_HOURS_CAP,MAX(0,($D29+V$5)-PERMANENT_FIELD_LABOR_HOURS)&gt;TEMP_HOURS_CAP),"",$C29+V$6-MIN(($D29+V$5),PERMANENT_FIELD_LABOR_HOURS)*PERMANENT_HOURLY_RATE-MAX(0,($D29+V$5)-PERMANENT_FIELD_LABOR_HOURS)*TEMP_HOURLY_RATE-FIXED_SEASON_COST)</f>
        <v>-12425.4834346483</v>
      </c>
      <c r="W29" s="53" t="n">
        <f aca="false">IF(OR($A29&gt;TOMATO_BED_CAP,$B29&gt;CARROT_BED_CAP,W$4&gt;MESCLUN_BED_CAP,$A29+$B29+W$4&gt;TOTAL_BEDS_AVAILABLE,($D29+W$5)&gt;TOTAL_LABOR_HOURS_CAP,MAX(0,($D29+W$5)-PERMANENT_FIELD_LABOR_HOURS)&gt;TEMP_HOURS_CAP),"",$C29+W$6-MIN(($D29+W$5),PERMANENT_FIELD_LABOR_HOURS)*PERMANENT_HOURLY_RATE-MAX(0,($D29+W$5)-PERMANENT_FIELD_LABOR_HOURS)*TEMP_HOURLY_RATE-FIXED_SEASON_COST)</f>
        <v>-11760.9689136802</v>
      </c>
      <c r="X29" s="53" t="n">
        <f aca="false">IF(OR($A29&gt;TOMATO_BED_CAP,$B29&gt;CARROT_BED_CAP,X$4&gt;MESCLUN_BED_CAP,$A29+$B29+X$4&gt;TOTAL_BEDS_AVAILABLE,($D29+X$5)&gt;TOTAL_LABOR_HOURS_CAP,MAX(0,($D29+X$5)-PERMANENT_FIELD_LABOR_HOURS)&gt;TEMP_HOURS_CAP),"",$C29+X$6-MIN(($D29+X$5),PERMANENT_FIELD_LABOR_HOURS)*PERMANENT_HOURLY_RATE-MAX(0,($D29+X$5)-PERMANENT_FIELD_LABOR_HOURS)*TEMP_HOURLY_RATE-FIXED_SEASON_COST)</f>
        <v>-11122.9590854013</v>
      </c>
      <c r="Y29" s="53" t="n">
        <f aca="false">IF(OR($A29&gt;TOMATO_BED_CAP,$B29&gt;CARROT_BED_CAP,Y$4&gt;MESCLUN_BED_CAP,$A29+$B29+Y$4&gt;TOTAL_BEDS_AVAILABLE,($D29+Y$5)&gt;TOTAL_LABOR_HOURS_CAP,MAX(0,($D29+Y$5)-PERMANENT_FIELD_LABOR_HOURS)&gt;TEMP_HOURS_CAP),"",$C29+Y$6-MIN(($D29+Y$5),PERMANENT_FIELD_LABOR_HOURS)*PERMANENT_HOURLY_RATE-MAX(0,($D29+Y$5)-PERMANENT_FIELD_LABOR_HOURS)*TEMP_HOURLY_RATE-FIXED_SEASON_COST)</f>
        <v>-10511.9360225226</v>
      </c>
      <c r="Z29" s="53" t="n">
        <f aca="false">IF(OR($A29&gt;TOMATO_BED_CAP,$B29&gt;CARROT_BED_CAP,Z$4&gt;MESCLUN_BED_CAP,$A29+$B29+Z$4&gt;TOTAL_BEDS_AVAILABLE,($D29+Z$5)&gt;TOTAL_LABOR_HOURS_CAP,MAX(0,($D29+Z$5)-PERMANENT_FIELD_LABOR_HOURS)&gt;TEMP_HOURS_CAP),"",$C29+Z$6-MIN(($D29+Z$5),PERMANENT_FIELD_LABOR_HOURS)*PERMANENT_HOURLY_RATE-MAX(0,($D29+Z$5)-PERMANENT_FIELD_LABOR_HOURS)*TEMP_HOURLY_RATE-FIXED_SEASON_COST)</f>
        <v>-9928.38970821492</v>
      </c>
      <c r="AA29" s="53" t="n">
        <f aca="false">IF(OR($A29&gt;TOMATO_BED_CAP,$B29&gt;CARROT_BED_CAP,AA$4&gt;MESCLUN_BED_CAP,$A29+$B29+AA$4&gt;TOTAL_BEDS_AVAILABLE,($D29+AA$5)&gt;TOTAL_LABOR_HOURS_CAP,MAX(0,($D29+AA$5)-PERMANENT_FIELD_LABOR_HOURS)&gt;TEMP_HOURS_CAP),"",$C29+AA$6-MIN(($D29+AA$5),PERMANENT_FIELD_LABOR_HOURS)*PERMANENT_HOURLY_RATE-MAX(0,($D29+AA$5)-PERMANENT_FIELD_LABOR_HOURS)*TEMP_HOURLY_RATE-FIXED_SEASON_COST)</f>
        <v>-9372.81815854599</v>
      </c>
      <c r="AB29" s="53" t="n">
        <f aca="false">IF(OR($A29&gt;TOMATO_BED_CAP,$B29&gt;CARROT_BED_CAP,AB$4&gt;MESCLUN_BED_CAP,$A29+$B29+AB$4&gt;TOTAL_BEDS_AVAILABLE,($D29+AB$5)&gt;TOTAL_LABOR_HOURS_CAP,MAX(0,($D29+AB$5)-PERMANENT_FIELD_LABOR_HOURS)&gt;TEMP_HOURS_CAP),"",$C29+AB$6-MIN(($D29+AB$5),PERMANENT_FIELD_LABOR_HOURS)*PERMANENT_HOURLY_RATE-MAX(0,($D29+AB$5)-PERMANENT_FIELD_LABOR_HOURS)*TEMP_HOURLY_RATE-FIXED_SEASON_COST)</f>
        <v>-8845.72754674342</v>
      </c>
      <c r="AC29" s="53" t="n">
        <f aca="false">IF(OR($A29&gt;TOMATO_BED_CAP,$B29&gt;CARROT_BED_CAP,AC$4&gt;MESCLUN_BED_CAP,$A29+$B29+AC$4&gt;TOTAL_BEDS_AVAILABLE,($D29+AC$5)&gt;TOTAL_LABOR_HOURS_CAP,MAX(0,($D29+AC$5)-PERMANENT_FIELD_LABOR_HOURS)&gt;TEMP_HOURS_CAP),"",$C29+AC$6-MIN(($D29+AC$5),PERMANENT_FIELD_LABOR_HOURS)*PERMANENT_HOURLY_RATE-MAX(0,($D29+AC$5)-PERMANENT_FIELD_LABOR_HOURS)*TEMP_HOURLY_RATE-FIXED_SEASON_COST)</f>
        <v>-8347.63232930852</v>
      </c>
      <c r="AD29" s="53" t="n">
        <f aca="false">IF(OR($A29&gt;TOMATO_BED_CAP,$B29&gt;CARROT_BED_CAP,AD$4&gt;MESCLUN_BED_CAP,$A29+$B29+AD$4&gt;TOTAL_BEDS_AVAILABLE,($D29+AD$5)&gt;TOTAL_LABOR_HOURS_CAP,MAX(0,($D29+AD$5)-PERMANENT_FIELD_LABOR_HOURS)&gt;TEMP_HOURS_CAP),"",$C29+AD$6-MIN(($D29+AD$5),PERMANENT_FIELD_LABOR_HOURS)*PERMANENT_HOURLY_RATE-MAX(0,($D29+AD$5)-PERMANENT_FIELD_LABOR_HOURS)*TEMP_HOURLY_RATE-FIXED_SEASON_COST)</f>
        <v>-7879.05537400856</v>
      </c>
      <c r="AE29" s="53" t="n">
        <f aca="false">IF(OR($A29&gt;TOMATO_BED_CAP,$B29&gt;CARROT_BED_CAP,AE$4&gt;MESCLUN_BED_CAP,$A29+$B29+AE$4&gt;TOTAL_BEDS_AVAILABLE,($D29+AE$5)&gt;TOTAL_LABOR_HOURS_CAP,MAX(0,($D29+AE$5)-PERMANENT_FIELD_LABOR_HOURS)&gt;TEMP_HOURS_CAP),"",$C29+AE$6-MIN(($D29+AE$5),PERMANENT_FIELD_LABOR_HOURS)*PERMANENT_HOURLY_RATE-MAX(0,($D29+AE$5)-PERMANENT_FIELD_LABOR_HOURS)*TEMP_HOURLY_RATE-FIXED_SEASON_COST)</f>
        <v>-7440.52808977466</v>
      </c>
      <c r="AF29" s="53" t="n">
        <f aca="false">IF(OR($A29&gt;TOMATO_BED_CAP,$B29&gt;CARROT_BED_CAP,AF$4&gt;MESCLUN_BED_CAP,$A29+$B29+AF$4&gt;TOTAL_BEDS_AVAILABLE,($D29+AF$5)&gt;TOTAL_LABOR_HOURS_CAP,MAX(0,($D29+AF$5)-PERMANENT_FIELD_LABOR_HOURS)&gt;TEMP_HOURS_CAP),"",$C29+AF$6-MIN(($D29+AF$5),PERMANENT_FIELD_LABOR_HOURS)*PERMANENT_HOURLY_RATE-MAX(0,($D29+AF$5)-PERMANENT_FIELD_LABOR_HOURS)*TEMP_HOURLY_RATE-FIXED_SEASON_COST)</f>
        <v>-7032.59055853271</v>
      </c>
      <c r="AG29" s="53" t="n">
        <f aca="false">IF(OR($A29&gt;TOMATO_BED_CAP,$B29&gt;CARROT_BED_CAP,AG$4&gt;MESCLUN_BED_CAP,$A29+$B29+AG$4&gt;TOTAL_BEDS_AVAILABLE,($D29+AG$5)&gt;TOTAL_LABOR_HOURS_CAP,MAX(0,($D29+AG$5)-PERMANENT_FIELD_LABOR_HOURS)&gt;TEMP_HOURS_CAP),"",$C29+AG$6-MIN(($D29+AG$5),PERMANENT_FIELD_LABOR_HOURS)*PERMANENT_HOURLY_RATE-MAX(0,($D29+AG$5)-PERMANENT_FIELD_LABOR_HOURS)*TEMP_HOURLY_RATE-FIXED_SEASON_COST)</f>
        <v>-6655.79166899569</v>
      </c>
      <c r="AH29" s="53" t="n">
        <f aca="false">IF(OR($A29&gt;TOMATO_BED_CAP,$B29&gt;CARROT_BED_CAP,AH$4&gt;MESCLUN_BED_CAP,$A29+$B29+AH$4&gt;TOTAL_BEDS_AVAILABLE,($D29+AH$5)&gt;TOTAL_LABOR_HOURS_CAP,MAX(0,($D29+AH$5)-PERMANENT_FIELD_LABOR_HOURS)&gt;TEMP_HOURS_CAP),"",$C29+AH$6-MIN(($D29+AH$5),PERMANENT_FIELD_LABOR_HOURS)*PERMANENT_HOURLY_RATE-MAX(0,($D29+AH$5)-PERMANENT_FIELD_LABOR_HOURS)*TEMP_HOURLY_RATE-FIXED_SEASON_COST)</f>
        <v>-6310.68925244547</v>
      </c>
      <c r="AI29" s="53" t="n">
        <f aca="false">IF(OR($A29&gt;TOMATO_BED_CAP,$B29&gt;CARROT_BED_CAP,AI$4&gt;MESCLUN_BED_CAP,$A29+$B29+AI$4&gt;TOTAL_BEDS_AVAILABLE,($D29+AI$5)&gt;TOTAL_LABOR_HOURS_CAP,MAX(0,($D29+AI$5)-PERMANENT_FIELD_LABOR_HOURS)&gt;TEMP_HOURS_CAP),"",$C29+AI$6-MIN(($D29+AI$5),PERMANENT_FIELD_LABOR_HOURS)*PERMANENT_HOURLY_RATE-MAX(0,($D29+AI$5)-PERMANENT_FIELD_LABOR_HOURS)*TEMP_HOURLY_RATE-FIXED_SEASON_COST)</f>
        <v>-5997.85022053321</v>
      </c>
      <c r="AJ29" s="53" t="n">
        <f aca="false">IF(OR($A29&gt;TOMATO_BED_CAP,$B29&gt;CARROT_BED_CAP,AJ$4&gt;MESCLUN_BED_CAP,$A29+$B29+AJ$4&gt;TOTAL_BEDS_AVAILABLE,($D29+AJ$5)&gt;TOTAL_LABOR_HOURS_CAP,MAX(0,($D29+AJ$5)-PERMANENT_FIELD_LABOR_HOURS)&gt;TEMP_HOURS_CAP),"",$C29+AJ$6-MIN(($D29+AJ$5),PERMANENT_FIELD_LABOR_HOURS)*PERMANENT_HOURLY_RATE-MAX(0,($D29+AJ$5)-PERMANENT_FIELD_LABOR_HOURS)*TEMP_HOURLY_RATE-FIXED_SEASON_COST)</f>
        <v>-5717.85070512746</v>
      </c>
    </row>
    <row r="30" customFormat="false" ht="15" hidden="false" customHeight="false" outlineLevel="0" collapsed="false">
      <c r="A30" s="21" t="n">
        <f aca="false">INT((ROW()-ROW($A$8))/(20+1))</f>
        <v>1</v>
      </c>
      <c r="B30" s="21" t="n">
        <f aca="false">MOD(ROW()-ROW($A$8),20+1)</f>
        <v>1</v>
      </c>
      <c r="C30" s="13" t="n">
        <f aca="false">A30*(TOMATO_REVENUE_PER_BED-TOMATO_FERTILIZER_PER_BED)+B30*(CARROT_REVENUE_PER_BED-CARROT_FERTILIZER_PER_BED)</f>
        <v>9574</v>
      </c>
      <c r="D30" s="14" t="n">
        <f aca="false">INDEX(TOMATO_SCHED_LABOR_HRS,A30+1)+INDEX(CARROT_SCHED_LABOR_HRS,B30+1)</f>
        <v>129.7377</v>
      </c>
      <c r="E30" s="13" t="n">
        <f aca="false">IF(COUNT(F30:AJ30)=0,"",MAX(F30:AJ30))</f>
        <v>-4597.45717712746</v>
      </c>
      <c r="F30" s="53" t="n">
        <f aca="false">IF(OR($A30&gt;TOMATO_BED_CAP,$B30&gt;CARROT_BED_CAP,F$4&gt;MESCLUN_BED_CAP,$A30+$B30+F$4&gt;TOTAL_BEDS_AVAILABLE,($D30+F$5)&gt;TOTAL_LABOR_HOURS_CAP,MAX(0,($D30+F$5)-PERMANENT_FIELD_LABOR_HOURS)&gt;TEMP_HOURS_CAP),"",$C30+F$6-MIN(($D30+F$5),PERMANENT_FIELD_LABOR_HOURS)*PERMANENT_HOURLY_RATE-MAX(0,($D30+F$5)-PERMANENT_FIELD_LABOR_HOURS)*TEMP_HOURLY_RATE-FIXED_SEASON_COST)</f>
        <v>-14930.492944</v>
      </c>
      <c r="G30" s="53" t="n">
        <f aca="false">IF(OR($A30&gt;TOMATO_BED_CAP,$B30&gt;CARROT_BED_CAP,G$4&gt;MESCLUN_BED_CAP,$A30+$B30+G$4&gt;TOTAL_BEDS_AVAILABLE,($D30+G$5)&gt;TOTAL_LABOR_HOURS_CAP,MAX(0,($D30+G$5)-PERMANENT_FIELD_LABOR_HOURS)&gt;TEMP_HOURS_CAP),"",$C30+G$6-MIN(($D30+G$5),PERMANENT_FIELD_LABOR_HOURS)*PERMANENT_HOURLY_RATE-MAX(0,($D30+G$5)-PERMANENT_FIELD_LABOR_HOURS)*TEMP_HOURLY_RATE-FIXED_SEASON_COST)</f>
        <v>-14692.422944</v>
      </c>
      <c r="H30" s="53" t="n">
        <f aca="false">IF(OR($A30&gt;TOMATO_BED_CAP,$B30&gt;CARROT_BED_CAP,H$4&gt;MESCLUN_BED_CAP,$A30+$B30+H$4&gt;TOTAL_BEDS_AVAILABLE,($D30+H$5)&gt;TOTAL_LABOR_HOURS_CAP,MAX(0,($D30+H$5)-PERMANENT_FIELD_LABOR_HOURS)&gt;TEMP_HOURS_CAP),"",$C30+H$6-MIN(($D30+H$5),PERMANENT_FIELD_LABOR_HOURS)*PERMANENT_HOURLY_RATE-MAX(0,($D30+H$5)-PERMANENT_FIELD_LABOR_HOURS)*TEMP_HOURLY_RATE-FIXED_SEASON_COST)</f>
        <v>-14493.901194</v>
      </c>
      <c r="I30" s="53" t="n">
        <f aca="false">IF(OR($A30&gt;TOMATO_BED_CAP,$B30&gt;CARROT_BED_CAP,I$4&gt;MESCLUN_BED_CAP,$A30+$B30+I$4&gt;TOTAL_BEDS_AVAILABLE,($D30+I$5)&gt;TOTAL_LABOR_HOURS_CAP,MAX(0,($D30+I$5)-PERMANENT_FIELD_LABOR_HOURS)&gt;TEMP_HOURS_CAP),"",$C30+I$6-MIN(($D30+I$5),PERMANENT_FIELD_LABOR_HOURS)*PERMANENT_HOURLY_RATE-MAX(0,($D30+I$5)-PERMANENT_FIELD_LABOR_HOURS)*TEMP_HOURLY_RATE-FIXED_SEASON_COST)</f>
        <v>-14335.6692236875</v>
      </c>
      <c r="J30" s="53" t="n">
        <f aca="false">IF(OR($A30&gt;TOMATO_BED_CAP,$B30&gt;CARROT_BED_CAP,J$4&gt;MESCLUN_BED_CAP,$A30+$B30+J$4&gt;TOTAL_BEDS_AVAILABLE,($D30+J$5)&gt;TOTAL_LABOR_HOURS_CAP,MAX(0,($D30+J$5)-PERMANENT_FIELD_LABOR_HOURS)&gt;TEMP_HOURS_CAP),"",$C30+J$6-MIN(($D30+J$5),PERMANENT_FIELD_LABOR_HOURS)*PERMANENT_HOURLY_RATE-MAX(0,($D30+J$5)-PERMANENT_FIELD_LABOR_HOURS)*TEMP_HOURLY_RATE-FIXED_SEASON_COST)</f>
        <v>-14218.4809215781</v>
      </c>
      <c r="K30" s="53" t="n">
        <f aca="false">IF(OR($A30&gt;TOMATO_BED_CAP,$B30&gt;CARROT_BED_CAP,K$4&gt;MESCLUN_BED_CAP,$A30+$B30+K$4&gt;TOTAL_BEDS_AVAILABLE,($D30+K$5)&gt;TOTAL_LABOR_HOURS_CAP,MAX(0,($D30+K$5)-PERMANENT_FIELD_LABOR_HOURS)&gt;TEMP_HOURS_CAP),"",$C30+K$6-MIN(($D30+K$5),PERMANENT_FIELD_LABOR_HOURS)*PERMANENT_HOURLY_RATE-MAX(0,($D30+K$5)-PERMANENT_FIELD_LABOR_HOURS)*TEMP_HOURLY_RATE-FIXED_SEASON_COST)</f>
        <v>-14143.1027281223</v>
      </c>
      <c r="L30" s="53" t="n">
        <f aca="false">IF(OR($A30&gt;TOMATO_BED_CAP,$B30&gt;CARROT_BED_CAP,L$4&gt;MESCLUN_BED_CAP,$A30+$B30+L$4&gt;TOTAL_BEDS_AVAILABLE,($D30+L$5)&gt;TOTAL_LABOR_HOURS_CAP,MAX(0,($D30+L$5)-PERMANENT_FIELD_LABOR_HOURS)&gt;TEMP_HOURS_CAP),"",$C30+L$6-MIN(($D30+L$5),PERMANENT_FIELD_LABOR_HOURS)*PERMANENT_HOURLY_RATE-MAX(0,($D30+L$5)-PERMANENT_FIELD_LABOR_HOURS)*TEMP_HOURLY_RATE-FIXED_SEASON_COST)</f>
        <v>-14110.3138317086</v>
      </c>
      <c r="M30" s="53" t="n">
        <f aca="false">IF(OR($A30&gt;TOMATO_BED_CAP,$B30&gt;CARROT_BED_CAP,M$4&gt;MESCLUN_BED_CAP,$A30+$B30+M$4&gt;TOTAL_BEDS_AVAILABLE,($D30+M$5)&gt;TOTAL_LABOR_HOURS_CAP,MAX(0,($D30+M$5)-PERMANENT_FIELD_LABOR_HOURS)&gt;TEMP_HOURS_CAP),"",$C30+M$6-MIN(($D30+M$5),PERMANENT_FIELD_LABOR_HOURS)*PERMANENT_HOURLY_RATE-MAX(0,($D30+M$5)-PERMANENT_FIELD_LABOR_HOURS)*TEMP_HOURLY_RATE-FIXED_SEASON_COST)</f>
        <v>-14120.9063676058</v>
      </c>
      <c r="N30" s="53" t="n">
        <f aca="false">IF(OR($A30&gt;TOMATO_BED_CAP,$B30&gt;CARROT_BED_CAP,N$4&gt;MESCLUN_BED_CAP,$A30+$B30+N$4&gt;TOTAL_BEDS_AVAILABLE,($D30+N$5)&gt;TOTAL_LABOR_HOURS_CAP,MAX(0,($D30+N$5)-PERMANENT_FIELD_LABOR_HOURS)&gt;TEMP_HOURS_CAP),"",$C30+N$6-MIN(($D30+N$5),PERMANENT_FIELD_LABOR_HOURS)*PERMANENT_HOURLY_RATE-MAX(0,($D30+N$5)-PERMANENT_FIELD_LABOR_HOURS)*TEMP_HOURLY_RATE-FIXED_SEASON_COST)</f>
        <v>-14175.6856198867</v>
      </c>
      <c r="O30" s="53" t="n">
        <f aca="false">IF(OR($A30&gt;TOMATO_BED_CAP,$B30&gt;CARROT_BED_CAP,O$4&gt;MESCLUN_BED_CAP,$A30+$B30+O$4&gt;TOTAL_BEDS_AVAILABLE,($D30+O$5)&gt;TOTAL_LABOR_HOURS_CAP,MAX(0,($D30+O$5)-PERMANENT_FIELD_LABOR_HOURS)&gt;TEMP_HOURS_CAP),"",$C30+O$6-MIN(($D30+O$5),PERMANENT_FIELD_LABOR_HOURS)*PERMANENT_HOURLY_RATE-MAX(0,($D30+O$5)-PERMANENT_FIELD_LABOR_HOURS)*TEMP_HOURLY_RATE-FIXED_SEASON_COST)</f>
        <v>-14275.4702263772</v>
      </c>
      <c r="P30" s="53" t="n">
        <f aca="false">IF(OR($A30&gt;TOMATO_BED_CAP,$B30&gt;CARROT_BED_CAP,P$4&gt;MESCLUN_BED_CAP,$A30+$B30+P$4&gt;TOTAL_BEDS_AVAILABLE,($D30+P$5)&gt;TOTAL_LABOR_HOURS_CAP,MAX(0,($D30+P$5)-PERMANENT_FIELD_LABOR_HOURS)&gt;TEMP_HOURS_CAP),"",$C30+P$6-MIN(($D30+P$5),PERMANENT_FIELD_LABOR_HOURS)*PERMANENT_HOURLY_RATE-MAX(0,($D30+P$5)-PERMANENT_FIELD_LABOR_HOURS)*TEMP_HOURLY_RATE-FIXED_SEASON_COST)</f>
        <v>-14421.0923866743</v>
      </c>
      <c r="Q30" s="53" t="n">
        <f aca="false">IF(OR($A30&gt;TOMATO_BED_CAP,$B30&gt;CARROT_BED_CAP,Q$4&gt;MESCLUN_BED_CAP,$A30+$B30+Q$4&gt;TOTAL_BEDS_AVAILABLE,($D30+Q$5)&gt;TOTAL_LABOR_HOURS_CAP,MAX(0,($D30+Q$5)-PERMANENT_FIELD_LABOR_HOURS)&gt;TEMP_HOURS_CAP),"",$C30+Q$6-MIN(($D30+Q$5),PERMANENT_FIELD_LABOR_HOURS)*PERMANENT_HOURLY_RATE-MAX(0,($D30+Q$5)-PERMANENT_FIELD_LABOR_HOURS)*TEMP_HOURLY_RATE-FIXED_SEASON_COST)</f>
        <v>-14613.3980732786</v>
      </c>
      <c r="R30" s="53" t="n">
        <f aca="false">IF(OR($A30&gt;TOMATO_BED_CAP,$B30&gt;CARROT_BED_CAP,R$4&gt;MESCLUN_BED_CAP,$A30+$B30+R$4&gt;TOTAL_BEDS_AVAILABLE,($D30+R$5)&gt;TOTAL_LABOR_HOURS_CAP,MAX(0,($D30+R$5)-PERMANENT_FIELD_LABOR_HOURS)&gt;TEMP_HOURS_CAP),"",$C30+R$6-MIN(($D30+R$5),PERMANENT_FIELD_LABOR_HOURS)*PERMANENT_HOURLY_RATE-MAX(0,($D30+R$5)-PERMANENT_FIELD_LABOR_HOURS)*TEMP_HOURLY_RATE-FIXED_SEASON_COST)</f>
        <v>-14218.8236229425</v>
      </c>
      <c r="S30" s="53" t="n">
        <f aca="false">IF(OR($A30&gt;TOMATO_BED_CAP,$B30&gt;CARROT_BED_CAP,S$4&gt;MESCLUN_BED_CAP,$A30+$B30+S$4&gt;TOTAL_BEDS_AVAILABLE,($D30+S$5)&gt;TOTAL_LABOR_HOURS_CAP,MAX(0,($D30+S$5)-PERMANENT_FIELD_LABOR_HOURS)&gt;TEMP_HOURS_CAP),"",$C30+S$6-MIN(($D30+S$5),PERMANENT_FIELD_LABOR_HOURS)*PERMANENT_HOURLY_RATE-MAX(0,($D30+S$5)-PERMANENT_FIELD_LABOR_HOURS)*TEMP_HOURLY_RATE-FIXED_SEASON_COST)</f>
        <v>-13452.95703444</v>
      </c>
      <c r="T30" s="53" t="n">
        <f aca="false">IF(OR($A30&gt;TOMATO_BED_CAP,$B30&gt;CARROT_BED_CAP,T$4&gt;MESCLUN_BED_CAP,$A30+$B30+T$4&gt;TOTAL_BEDS_AVAILABLE,($D30+T$5)&gt;TOTAL_LABOR_HOURS_CAP,MAX(0,($D30+T$5)-PERMANENT_FIELD_LABOR_HOURS)&gt;TEMP_HOURS_CAP),"",$C30+T$6-MIN(($D30+T$5),PERMANENT_FIELD_LABOR_HOURS)*PERMANENT_HOURLY_RATE-MAX(0,($D30+T$5)-PERMANENT_FIELD_LABOR_HOURS)*TEMP_HOURLY_RATE-FIXED_SEASON_COST)</f>
        <v>-12711.7435660452</v>
      </c>
      <c r="U30" s="53" t="n">
        <f aca="false">IF(OR($A30&gt;TOMATO_BED_CAP,$B30&gt;CARROT_BED_CAP,U$4&gt;MESCLUN_BED_CAP,$A30+$B30+U$4&gt;TOTAL_BEDS_AVAILABLE,($D30+U$5)&gt;TOTAL_LABOR_HOURS_CAP,MAX(0,($D30+U$5)-PERMANENT_FIELD_LABOR_HOURS)&gt;TEMP_HOURS_CAP),"",$C30+U$6-MIN(($D30+U$5),PERMANENT_FIELD_LABOR_HOURS)*PERMANENT_HOURLY_RATE-MAX(0,($D30+U$5)-PERMANENT_FIELD_LABOR_HOURS)*TEMP_HOURLY_RATE-FIXED_SEASON_COST)</f>
        <v>-11995.6348374151</v>
      </c>
      <c r="V30" s="53" t="n">
        <f aca="false">IF(OR($A30&gt;TOMATO_BED_CAP,$B30&gt;CARROT_BED_CAP,V$4&gt;MESCLUN_BED_CAP,$A30+$B30+V$4&gt;TOTAL_BEDS_AVAILABLE,($D30+V$5)&gt;TOTAL_LABOR_HOURS_CAP,MAX(0,($D30+V$5)-PERMANENT_FIELD_LABOR_HOURS)&gt;TEMP_HOURS_CAP),"",$C30+V$6-MIN(($D30+V$5),PERMANENT_FIELD_LABOR_HOURS)*PERMANENT_HOURLY_RATE-MAX(0,($D30+V$5)-PERMANENT_FIELD_LABOR_HOURS)*TEMP_HOURLY_RATE-FIXED_SEASON_COST)</f>
        <v>-11305.0899066483</v>
      </c>
      <c r="W30" s="53" t="n">
        <f aca="false">IF(OR($A30&gt;TOMATO_BED_CAP,$B30&gt;CARROT_BED_CAP,W$4&gt;MESCLUN_BED_CAP,$A30+$B30+W$4&gt;TOTAL_BEDS_AVAILABLE,($D30+W$5)&gt;TOTAL_LABOR_HOURS_CAP,MAX(0,($D30+W$5)-PERMANENT_FIELD_LABOR_HOURS)&gt;TEMP_HOURS_CAP),"",$C30+W$6-MIN(($D30+W$5),PERMANENT_FIELD_LABOR_HOURS)*PERMANENT_HOURLY_RATE-MAX(0,($D30+W$5)-PERMANENT_FIELD_LABOR_HOURS)*TEMP_HOURLY_RATE-FIXED_SEASON_COST)</f>
        <v>-10640.5753856802</v>
      </c>
      <c r="X30" s="53" t="n">
        <f aca="false">IF(OR($A30&gt;TOMATO_BED_CAP,$B30&gt;CARROT_BED_CAP,X$4&gt;MESCLUN_BED_CAP,$A30+$B30+X$4&gt;TOTAL_BEDS_AVAILABLE,($D30+X$5)&gt;TOTAL_LABOR_HOURS_CAP,MAX(0,($D30+X$5)-PERMANENT_FIELD_LABOR_HOURS)&gt;TEMP_HOURS_CAP),"",$C30+X$6-MIN(($D30+X$5),PERMANENT_FIELD_LABOR_HOURS)*PERMANENT_HOURLY_RATE-MAX(0,($D30+X$5)-PERMANENT_FIELD_LABOR_HOURS)*TEMP_HOURLY_RATE-FIXED_SEASON_COST)</f>
        <v>-10002.5655574013</v>
      </c>
      <c r="Y30" s="53" t="n">
        <f aca="false">IF(OR($A30&gt;TOMATO_BED_CAP,$B30&gt;CARROT_BED_CAP,Y$4&gt;MESCLUN_BED_CAP,$A30+$B30+Y$4&gt;TOTAL_BEDS_AVAILABLE,($D30+Y$5)&gt;TOTAL_LABOR_HOURS_CAP,MAX(0,($D30+Y$5)-PERMANENT_FIELD_LABOR_HOURS)&gt;TEMP_HOURS_CAP),"",$C30+Y$6-MIN(($D30+Y$5),PERMANENT_FIELD_LABOR_HOURS)*PERMANENT_HOURLY_RATE-MAX(0,($D30+Y$5)-PERMANENT_FIELD_LABOR_HOURS)*TEMP_HOURLY_RATE-FIXED_SEASON_COST)</f>
        <v>-9391.54249452264</v>
      </c>
      <c r="Z30" s="53" t="n">
        <f aca="false">IF(OR($A30&gt;TOMATO_BED_CAP,$B30&gt;CARROT_BED_CAP,Z$4&gt;MESCLUN_BED_CAP,$A30+$B30+Z$4&gt;TOTAL_BEDS_AVAILABLE,($D30+Z$5)&gt;TOTAL_LABOR_HOURS_CAP,MAX(0,($D30+Z$5)-PERMANENT_FIELD_LABOR_HOURS)&gt;TEMP_HOURS_CAP),"",$C30+Z$6-MIN(($D30+Z$5),PERMANENT_FIELD_LABOR_HOURS)*PERMANENT_HOURLY_RATE-MAX(0,($D30+Z$5)-PERMANENT_FIELD_LABOR_HOURS)*TEMP_HOURLY_RATE-FIXED_SEASON_COST)</f>
        <v>-8807.99618021492</v>
      </c>
      <c r="AA30" s="53" t="n">
        <f aca="false">IF(OR($A30&gt;TOMATO_BED_CAP,$B30&gt;CARROT_BED_CAP,AA$4&gt;MESCLUN_BED_CAP,$A30+$B30+AA$4&gt;TOTAL_BEDS_AVAILABLE,($D30+AA$5)&gt;TOTAL_LABOR_HOURS_CAP,MAX(0,($D30+AA$5)-PERMANENT_FIELD_LABOR_HOURS)&gt;TEMP_HOURS_CAP),"",$C30+AA$6-MIN(($D30+AA$5),PERMANENT_FIELD_LABOR_HOURS)*PERMANENT_HOURLY_RATE-MAX(0,($D30+AA$5)-PERMANENT_FIELD_LABOR_HOURS)*TEMP_HOURLY_RATE-FIXED_SEASON_COST)</f>
        <v>-8252.42463054599</v>
      </c>
      <c r="AB30" s="53" t="n">
        <f aca="false">IF(OR($A30&gt;TOMATO_BED_CAP,$B30&gt;CARROT_BED_CAP,AB$4&gt;MESCLUN_BED_CAP,$A30+$B30+AB$4&gt;TOTAL_BEDS_AVAILABLE,($D30+AB$5)&gt;TOTAL_LABOR_HOURS_CAP,MAX(0,($D30+AB$5)-PERMANENT_FIELD_LABOR_HOURS)&gt;TEMP_HOURS_CAP),"",$C30+AB$6-MIN(($D30+AB$5),PERMANENT_FIELD_LABOR_HOURS)*PERMANENT_HOURLY_RATE-MAX(0,($D30+AB$5)-PERMANENT_FIELD_LABOR_HOURS)*TEMP_HOURLY_RATE-FIXED_SEASON_COST)</f>
        <v>-7725.33401874342</v>
      </c>
      <c r="AC30" s="53" t="n">
        <f aca="false">IF(OR($A30&gt;TOMATO_BED_CAP,$B30&gt;CARROT_BED_CAP,AC$4&gt;MESCLUN_BED_CAP,$A30+$B30+AC$4&gt;TOTAL_BEDS_AVAILABLE,($D30+AC$5)&gt;TOTAL_LABOR_HOURS_CAP,MAX(0,($D30+AC$5)-PERMANENT_FIELD_LABOR_HOURS)&gt;TEMP_HOURS_CAP),"",$C30+AC$6-MIN(($D30+AC$5),PERMANENT_FIELD_LABOR_HOURS)*PERMANENT_HOURLY_RATE-MAX(0,($D30+AC$5)-PERMANENT_FIELD_LABOR_HOURS)*TEMP_HOURLY_RATE-FIXED_SEASON_COST)</f>
        <v>-7227.23880130852</v>
      </c>
      <c r="AD30" s="53" t="n">
        <f aca="false">IF(OR($A30&gt;TOMATO_BED_CAP,$B30&gt;CARROT_BED_CAP,AD$4&gt;MESCLUN_BED_CAP,$A30+$B30+AD$4&gt;TOTAL_BEDS_AVAILABLE,($D30+AD$5)&gt;TOTAL_LABOR_HOURS_CAP,MAX(0,($D30+AD$5)-PERMANENT_FIELD_LABOR_HOURS)&gt;TEMP_HOURS_CAP),"",$C30+AD$6-MIN(($D30+AD$5),PERMANENT_FIELD_LABOR_HOURS)*PERMANENT_HOURLY_RATE-MAX(0,($D30+AD$5)-PERMANENT_FIELD_LABOR_HOURS)*TEMP_HOURLY_RATE-FIXED_SEASON_COST)</f>
        <v>-6758.66184600856</v>
      </c>
      <c r="AE30" s="53" t="n">
        <f aca="false">IF(OR($A30&gt;TOMATO_BED_CAP,$B30&gt;CARROT_BED_CAP,AE$4&gt;MESCLUN_BED_CAP,$A30+$B30+AE$4&gt;TOTAL_BEDS_AVAILABLE,($D30+AE$5)&gt;TOTAL_LABOR_HOURS_CAP,MAX(0,($D30+AE$5)-PERMANENT_FIELD_LABOR_HOURS)&gt;TEMP_HOURS_CAP),"",$C30+AE$6-MIN(($D30+AE$5),PERMANENT_FIELD_LABOR_HOURS)*PERMANENT_HOURLY_RATE-MAX(0,($D30+AE$5)-PERMANENT_FIELD_LABOR_HOURS)*TEMP_HOURLY_RATE-FIXED_SEASON_COST)</f>
        <v>-6320.13456177466</v>
      </c>
      <c r="AF30" s="53" t="n">
        <f aca="false">IF(OR($A30&gt;TOMATO_BED_CAP,$B30&gt;CARROT_BED_CAP,AF$4&gt;MESCLUN_BED_CAP,$A30+$B30+AF$4&gt;TOTAL_BEDS_AVAILABLE,($D30+AF$5)&gt;TOTAL_LABOR_HOURS_CAP,MAX(0,($D30+AF$5)-PERMANENT_FIELD_LABOR_HOURS)&gt;TEMP_HOURS_CAP),"",$C30+AF$6-MIN(($D30+AF$5),PERMANENT_FIELD_LABOR_HOURS)*PERMANENT_HOURLY_RATE-MAX(0,($D30+AF$5)-PERMANENT_FIELD_LABOR_HOURS)*TEMP_HOURLY_RATE-FIXED_SEASON_COST)</f>
        <v>-5912.19703053271</v>
      </c>
      <c r="AG30" s="53" t="n">
        <f aca="false">IF(OR($A30&gt;TOMATO_BED_CAP,$B30&gt;CARROT_BED_CAP,AG$4&gt;MESCLUN_BED_CAP,$A30+$B30+AG$4&gt;TOTAL_BEDS_AVAILABLE,($D30+AG$5)&gt;TOTAL_LABOR_HOURS_CAP,MAX(0,($D30+AG$5)-PERMANENT_FIELD_LABOR_HOURS)&gt;TEMP_HOURS_CAP),"",$C30+AG$6-MIN(($D30+AG$5),PERMANENT_FIELD_LABOR_HOURS)*PERMANENT_HOURLY_RATE-MAX(0,($D30+AG$5)-PERMANENT_FIELD_LABOR_HOURS)*TEMP_HOURLY_RATE-FIXED_SEASON_COST)</f>
        <v>-5535.39814099569</v>
      </c>
      <c r="AH30" s="53" t="n">
        <f aca="false">IF(OR($A30&gt;TOMATO_BED_CAP,$B30&gt;CARROT_BED_CAP,AH$4&gt;MESCLUN_BED_CAP,$A30+$B30+AH$4&gt;TOTAL_BEDS_AVAILABLE,($D30+AH$5)&gt;TOTAL_LABOR_HOURS_CAP,MAX(0,($D30+AH$5)-PERMANENT_FIELD_LABOR_HOURS)&gt;TEMP_HOURS_CAP),"",$C30+AH$6-MIN(($D30+AH$5),PERMANENT_FIELD_LABOR_HOURS)*PERMANENT_HOURLY_RATE-MAX(0,($D30+AH$5)-PERMANENT_FIELD_LABOR_HOURS)*TEMP_HOURLY_RATE-FIXED_SEASON_COST)</f>
        <v>-5190.29572444547</v>
      </c>
      <c r="AI30" s="53" t="n">
        <f aca="false">IF(OR($A30&gt;TOMATO_BED_CAP,$B30&gt;CARROT_BED_CAP,AI$4&gt;MESCLUN_BED_CAP,$A30+$B30+AI$4&gt;TOTAL_BEDS_AVAILABLE,($D30+AI$5)&gt;TOTAL_LABOR_HOURS_CAP,MAX(0,($D30+AI$5)-PERMANENT_FIELD_LABOR_HOURS)&gt;TEMP_HOURS_CAP),"",$C30+AI$6-MIN(($D30+AI$5),PERMANENT_FIELD_LABOR_HOURS)*PERMANENT_HOURLY_RATE-MAX(0,($D30+AI$5)-PERMANENT_FIELD_LABOR_HOURS)*TEMP_HOURLY_RATE-FIXED_SEASON_COST)</f>
        <v>-4877.45669253322</v>
      </c>
      <c r="AJ30" s="53" t="n">
        <f aca="false">IF(OR($A30&gt;TOMATO_BED_CAP,$B30&gt;CARROT_BED_CAP,AJ$4&gt;MESCLUN_BED_CAP,$A30+$B30+AJ$4&gt;TOTAL_BEDS_AVAILABLE,($D30+AJ$5)&gt;TOTAL_LABOR_HOURS_CAP,MAX(0,($D30+AJ$5)-PERMANENT_FIELD_LABOR_HOURS)&gt;TEMP_HOURS_CAP),"",$C30+AJ$6-MIN(($D30+AJ$5),PERMANENT_FIELD_LABOR_HOURS)*PERMANENT_HOURLY_RATE-MAX(0,($D30+AJ$5)-PERMANENT_FIELD_LABOR_HOURS)*TEMP_HOURLY_RATE-FIXED_SEASON_COST)</f>
        <v>-4597.45717712746</v>
      </c>
    </row>
    <row r="31" customFormat="false" ht="15" hidden="false" customHeight="false" outlineLevel="0" collapsed="false">
      <c r="A31" s="21" t="n">
        <f aca="false">INT((ROW()-ROW($A$8))/(20+1))</f>
        <v>1</v>
      </c>
      <c r="B31" s="21" t="n">
        <f aca="false">MOD(ROW()-ROW($A$8),20+1)</f>
        <v>2</v>
      </c>
      <c r="C31" s="13" t="n">
        <f aca="false">A31*(TOMATO_REVENUE_PER_BED-TOMATO_FERTILIZER_PER_BED)+B31*(CARROT_REVENUE_PER_BED-CARROT_FERTILIZER_PER_BED)</f>
        <v>11228</v>
      </c>
      <c r="D31" s="14" t="n">
        <f aca="false">INDEX(TOMATO_SCHED_LABOR_HRS,A31+1)+INDEX(CARROT_SCHED_LABOR_HRS,B31+1)</f>
        <v>162.012285</v>
      </c>
      <c r="E31" s="13" t="n">
        <f aca="false">IF(COUNT(F31:AJ31)=0,"",MAX(F31:AJ31))</f>
        <v>-3503.74397272746</v>
      </c>
      <c r="F31" s="53" t="n">
        <f aca="false">IF(OR($A31&gt;TOMATO_BED_CAP,$B31&gt;CARROT_BED_CAP,F$4&gt;MESCLUN_BED_CAP,$A31+$B31+F$4&gt;TOTAL_BEDS_AVAILABLE,($D31+F$5)&gt;TOTAL_LABOR_HOURS_CAP,MAX(0,($D31+F$5)-PERMANENT_FIELD_LABOR_HOURS)&gt;TEMP_HOURS_CAP),"",$C31+F$6-MIN(($D31+F$5),PERMANENT_FIELD_LABOR_HOURS)*PERMANENT_HOURLY_RATE-MAX(0,($D31+F$5)-PERMANENT_FIELD_LABOR_HOURS)*TEMP_HOURLY_RATE-FIXED_SEASON_COST)</f>
        <v>-14397.0665352</v>
      </c>
      <c r="G31" s="53" t="n">
        <f aca="false">IF(OR($A31&gt;TOMATO_BED_CAP,$B31&gt;CARROT_BED_CAP,G$4&gt;MESCLUN_BED_CAP,$A31+$B31+G$4&gt;TOTAL_BEDS_AVAILABLE,($D31+G$5)&gt;TOTAL_LABOR_HOURS_CAP,MAX(0,($D31+G$5)-PERMANENT_FIELD_LABOR_HOURS)&gt;TEMP_HOURS_CAP),"",$C31+G$6-MIN(($D31+G$5),PERMANENT_FIELD_LABOR_HOURS)*PERMANENT_HOURLY_RATE-MAX(0,($D31+G$5)-PERMANENT_FIELD_LABOR_HOURS)*TEMP_HOURLY_RATE-FIXED_SEASON_COST)</f>
        <v>-14158.9965352</v>
      </c>
      <c r="H31" s="53" t="n">
        <f aca="false">IF(OR($A31&gt;TOMATO_BED_CAP,$B31&gt;CARROT_BED_CAP,H$4&gt;MESCLUN_BED_CAP,$A31+$B31+H$4&gt;TOTAL_BEDS_AVAILABLE,($D31+H$5)&gt;TOTAL_LABOR_HOURS_CAP,MAX(0,($D31+H$5)-PERMANENT_FIELD_LABOR_HOURS)&gt;TEMP_HOURS_CAP),"",$C31+H$6-MIN(($D31+H$5),PERMANENT_FIELD_LABOR_HOURS)*PERMANENT_HOURLY_RATE-MAX(0,($D31+H$5)-PERMANENT_FIELD_LABOR_HOURS)*TEMP_HOURLY_RATE-FIXED_SEASON_COST)</f>
        <v>-13960.4747852</v>
      </c>
      <c r="I31" s="53" t="n">
        <f aca="false">IF(OR($A31&gt;TOMATO_BED_CAP,$B31&gt;CARROT_BED_CAP,I$4&gt;MESCLUN_BED_CAP,$A31+$B31+I$4&gt;TOTAL_BEDS_AVAILABLE,($D31+I$5)&gt;TOTAL_LABOR_HOURS_CAP,MAX(0,($D31+I$5)-PERMANENT_FIELD_LABOR_HOURS)&gt;TEMP_HOURS_CAP),"",$C31+I$6-MIN(($D31+I$5),PERMANENT_FIELD_LABOR_HOURS)*PERMANENT_HOURLY_RATE-MAX(0,($D31+I$5)-PERMANENT_FIELD_LABOR_HOURS)*TEMP_HOURLY_RATE-FIXED_SEASON_COST)</f>
        <v>-13802.2428148875</v>
      </c>
      <c r="J31" s="53" t="n">
        <f aca="false">IF(OR($A31&gt;TOMATO_BED_CAP,$B31&gt;CARROT_BED_CAP,J$4&gt;MESCLUN_BED_CAP,$A31+$B31+J$4&gt;TOTAL_BEDS_AVAILABLE,($D31+J$5)&gt;TOTAL_LABOR_HOURS_CAP,MAX(0,($D31+J$5)-PERMANENT_FIELD_LABOR_HOURS)&gt;TEMP_HOURS_CAP),"",$C31+J$6-MIN(($D31+J$5),PERMANENT_FIELD_LABOR_HOURS)*PERMANENT_HOURLY_RATE-MAX(0,($D31+J$5)-PERMANENT_FIELD_LABOR_HOURS)*TEMP_HOURLY_RATE-FIXED_SEASON_COST)</f>
        <v>-13685.0545127781</v>
      </c>
      <c r="K31" s="53" t="n">
        <f aca="false">IF(OR($A31&gt;TOMATO_BED_CAP,$B31&gt;CARROT_BED_CAP,K$4&gt;MESCLUN_BED_CAP,$A31+$B31+K$4&gt;TOTAL_BEDS_AVAILABLE,($D31+K$5)&gt;TOTAL_LABOR_HOURS_CAP,MAX(0,($D31+K$5)-PERMANENT_FIELD_LABOR_HOURS)&gt;TEMP_HOURS_CAP),"",$C31+K$6-MIN(($D31+K$5),PERMANENT_FIELD_LABOR_HOURS)*PERMANENT_HOURLY_RATE-MAX(0,($D31+K$5)-PERMANENT_FIELD_LABOR_HOURS)*TEMP_HOURLY_RATE-FIXED_SEASON_COST)</f>
        <v>-13609.6763193223</v>
      </c>
      <c r="L31" s="53" t="n">
        <f aca="false">IF(OR($A31&gt;TOMATO_BED_CAP,$B31&gt;CARROT_BED_CAP,L$4&gt;MESCLUN_BED_CAP,$A31+$B31+L$4&gt;TOTAL_BEDS_AVAILABLE,($D31+L$5)&gt;TOTAL_LABOR_HOURS_CAP,MAX(0,($D31+L$5)-PERMANENT_FIELD_LABOR_HOURS)&gt;TEMP_HOURS_CAP),"",$C31+L$6-MIN(($D31+L$5),PERMANENT_FIELD_LABOR_HOURS)*PERMANENT_HOURLY_RATE-MAX(0,($D31+L$5)-PERMANENT_FIELD_LABOR_HOURS)*TEMP_HOURLY_RATE-FIXED_SEASON_COST)</f>
        <v>-13576.8874229086</v>
      </c>
      <c r="M31" s="53" t="n">
        <f aca="false">IF(OR($A31&gt;TOMATO_BED_CAP,$B31&gt;CARROT_BED_CAP,M$4&gt;MESCLUN_BED_CAP,$A31+$B31+M$4&gt;TOTAL_BEDS_AVAILABLE,($D31+M$5)&gt;TOTAL_LABOR_HOURS_CAP,MAX(0,($D31+M$5)-PERMANENT_FIELD_LABOR_HOURS)&gt;TEMP_HOURS_CAP),"",$C31+M$6-MIN(($D31+M$5),PERMANENT_FIELD_LABOR_HOURS)*PERMANENT_HOURLY_RATE-MAX(0,($D31+M$5)-PERMANENT_FIELD_LABOR_HOURS)*TEMP_HOURLY_RATE-FIXED_SEASON_COST)</f>
        <v>-13587.4799588058</v>
      </c>
      <c r="N31" s="53" t="n">
        <f aca="false">IF(OR($A31&gt;TOMATO_BED_CAP,$B31&gt;CARROT_BED_CAP,N$4&gt;MESCLUN_BED_CAP,$A31+$B31+N$4&gt;TOTAL_BEDS_AVAILABLE,($D31+N$5)&gt;TOTAL_LABOR_HOURS_CAP,MAX(0,($D31+N$5)-PERMANENT_FIELD_LABOR_HOURS)&gt;TEMP_HOURS_CAP),"",$C31+N$6-MIN(($D31+N$5),PERMANENT_FIELD_LABOR_HOURS)*PERMANENT_HOURLY_RATE-MAX(0,($D31+N$5)-PERMANENT_FIELD_LABOR_HOURS)*TEMP_HOURLY_RATE-FIXED_SEASON_COST)</f>
        <v>-13642.2592110867</v>
      </c>
      <c r="O31" s="53" t="n">
        <f aca="false">IF(OR($A31&gt;TOMATO_BED_CAP,$B31&gt;CARROT_BED_CAP,O$4&gt;MESCLUN_BED_CAP,$A31+$B31+O$4&gt;TOTAL_BEDS_AVAILABLE,($D31+O$5)&gt;TOTAL_LABOR_HOURS_CAP,MAX(0,($D31+O$5)-PERMANENT_FIELD_LABOR_HOURS)&gt;TEMP_HOURS_CAP),"",$C31+O$6-MIN(($D31+O$5),PERMANENT_FIELD_LABOR_HOURS)*PERMANENT_HOURLY_RATE-MAX(0,($D31+O$5)-PERMANENT_FIELD_LABOR_HOURS)*TEMP_HOURLY_RATE-FIXED_SEASON_COST)</f>
        <v>-13742.0438175772</v>
      </c>
      <c r="P31" s="53" t="n">
        <f aca="false">IF(OR($A31&gt;TOMATO_BED_CAP,$B31&gt;CARROT_BED_CAP,P$4&gt;MESCLUN_BED_CAP,$A31+$B31+P$4&gt;TOTAL_BEDS_AVAILABLE,($D31+P$5)&gt;TOTAL_LABOR_HOURS_CAP,MAX(0,($D31+P$5)-PERMANENT_FIELD_LABOR_HOURS)&gt;TEMP_HOURS_CAP),"",$C31+P$6-MIN(($D31+P$5),PERMANENT_FIELD_LABOR_HOURS)*PERMANENT_HOURLY_RATE-MAX(0,($D31+P$5)-PERMANENT_FIELD_LABOR_HOURS)*TEMP_HOURLY_RATE-FIXED_SEASON_COST)</f>
        <v>-13887.6659778743</v>
      </c>
      <c r="Q31" s="53" t="n">
        <f aca="false">IF(OR($A31&gt;TOMATO_BED_CAP,$B31&gt;CARROT_BED_CAP,Q$4&gt;MESCLUN_BED_CAP,$A31+$B31+Q$4&gt;TOTAL_BEDS_AVAILABLE,($D31+Q$5)&gt;TOTAL_LABOR_HOURS_CAP,MAX(0,($D31+Q$5)-PERMANENT_FIELD_LABOR_HOURS)&gt;TEMP_HOURS_CAP),"",$C31+Q$6-MIN(($D31+Q$5),PERMANENT_FIELD_LABOR_HOURS)*PERMANENT_HOURLY_RATE-MAX(0,($D31+Q$5)-PERMANENT_FIELD_LABOR_HOURS)*TEMP_HOURLY_RATE-FIXED_SEASON_COST)</f>
        <v>-13915.1858322393</v>
      </c>
      <c r="R31" s="53" t="n">
        <f aca="false">IF(OR($A31&gt;TOMATO_BED_CAP,$B31&gt;CARROT_BED_CAP,R$4&gt;MESCLUN_BED_CAP,$A31+$B31+R$4&gt;TOTAL_BEDS_AVAILABLE,($D31+R$5)&gt;TOTAL_LABOR_HOURS_CAP,MAX(0,($D31+R$5)-PERMANENT_FIELD_LABOR_HOURS)&gt;TEMP_HOURS_CAP),"",$C31+R$6-MIN(($D31+R$5),PERMANENT_FIELD_LABOR_HOURS)*PERMANENT_HOURLY_RATE-MAX(0,($D31+R$5)-PERMANENT_FIELD_LABOR_HOURS)*TEMP_HOURLY_RATE-FIXED_SEASON_COST)</f>
        <v>-13125.1104185425</v>
      </c>
      <c r="S31" s="53" t="n">
        <f aca="false">IF(OR($A31&gt;TOMATO_BED_CAP,$B31&gt;CARROT_BED_CAP,S$4&gt;MESCLUN_BED_CAP,$A31+$B31+S$4&gt;TOTAL_BEDS_AVAILABLE,($D31+S$5)&gt;TOTAL_LABOR_HOURS_CAP,MAX(0,($D31+S$5)-PERMANENT_FIELD_LABOR_HOURS)&gt;TEMP_HOURS_CAP),"",$C31+S$6-MIN(($D31+S$5),PERMANENT_FIELD_LABOR_HOURS)*PERMANENT_HOURLY_RATE-MAX(0,($D31+S$5)-PERMANENT_FIELD_LABOR_HOURS)*TEMP_HOURLY_RATE-FIXED_SEASON_COST)</f>
        <v>-12359.24383004</v>
      </c>
      <c r="T31" s="53" t="n">
        <f aca="false">IF(OR($A31&gt;TOMATO_BED_CAP,$B31&gt;CARROT_BED_CAP,T$4&gt;MESCLUN_BED_CAP,$A31+$B31+T$4&gt;TOTAL_BEDS_AVAILABLE,($D31+T$5)&gt;TOTAL_LABOR_HOURS_CAP,MAX(0,($D31+T$5)-PERMANENT_FIELD_LABOR_HOURS)&gt;TEMP_HOURS_CAP),"",$C31+T$6-MIN(($D31+T$5),PERMANENT_FIELD_LABOR_HOURS)*PERMANENT_HOURLY_RATE-MAX(0,($D31+T$5)-PERMANENT_FIELD_LABOR_HOURS)*TEMP_HOURLY_RATE-FIXED_SEASON_COST)</f>
        <v>-11618.0303616452</v>
      </c>
      <c r="U31" s="53" t="n">
        <f aca="false">IF(OR($A31&gt;TOMATO_BED_CAP,$B31&gt;CARROT_BED_CAP,U$4&gt;MESCLUN_BED_CAP,$A31+$B31+U$4&gt;TOTAL_BEDS_AVAILABLE,($D31+U$5)&gt;TOTAL_LABOR_HOURS_CAP,MAX(0,($D31+U$5)-PERMANENT_FIELD_LABOR_HOURS)&gt;TEMP_HOURS_CAP),"",$C31+U$6-MIN(($D31+U$5),PERMANENT_FIELD_LABOR_HOURS)*PERMANENT_HOURLY_RATE-MAX(0,($D31+U$5)-PERMANENT_FIELD_LABOR_HOURS)*TEMP_HOURLY_RATE-FIXED_SEASON_COST)</f>
        <v>-10901.9216330151</v>
      </c>
      <c r="V31" s="53" t="n">
        <f aca="false">IF(OR($A31&gt;TOMATO_BED_CAP,$B31&gt;CARROT_BED_CAP,V$4&gt;MESCLUN_BED_CAP,$A31+$B31+V$4&gt;TOTAL_BEDS_AVAILABLE,($D31+V$5)&gt;TOTAL_LABOR_HOURS_CAP,MAX(0,($D31+V$5)-PERMANENT_FIELD_LABOR_HOURS)&gt;TEMP_HOURS_CAP),"",$C31+V$6-MIN(($D31+V$5),PERMANENT_FIELD_LABOR_HOURS)*PERMANENT_HOURLY_RATE-MAX(0,($D31+V$5)-PERMANENT_FIELD_LABOR_HOURS)*TEMP_HOURLY_RATE-FIXED_SEASON_COST)</f>
        <v>-10211.3767022483</v>
      </c>
      <c r="W31" s="53" t="n">
        <f aca="false">IF(OR($A31&gt;TOMATO_BED_CAP,$B31&gt;CARROT_BED_CAP,W$4&gt;MESCLUN_BED_CAP,$A31+$B31+W$4&gt;TOTAL_BEDS_AVAILABLE,($D31+W$5)&gt;TOTAL_LABOR_HOURS_CAP,MAX(0,($D31+W$5)-PERMANENT_FIELD_LABOR_HOURS)&gt;TEMP_HOURS_CAP),"",$C31+W$6-MIN(($D31+W$5),PERMANENT_FIELD_LABOR_HOURS)*PERMANENT_HOURLY_RATE-MAX(0,($D31+W$5)-PERMANENT_FIELD_LABOR_HOURS)*TEMP_HOURLY_RATE-FIXED_SEASON_COST)</f>
        <v>-9546.86218128023</v>
      </c>
      <c r="X31" s="53" t="n">
        <f aca="false">IF(OR($A31&gt;TOMATO_BED_CAP,$B31&gt;CARROT_BED_CAP,X$4&gt;MESCLUN_BED_CAP,$A31+$B31+X$4&gt;TOTAL_BEDS_AVAILABLE,($D31+X$5)&gt;TOTAL_LABOR_HOURS_CAP,MAX(0,($D31+X$5)-PERMANENT_FIELD_LABOR_HOURS)&gt;TEMP_HOURS_CAP),"",$C31+X$6-MIN(($D31+X$5),PERMANENT_FIELD_LABOR_HOURS)*PERMANENT_HOURLY_RATE-MAX(0,($D31+X$5)-PERMANENT_FIELD_LABOR_HOURS)*TEMP_HOURLY_RATE-FIXED_SEASON_COST)</f>
        <v>-8908.8523530013</v>
      </c>
      <c r="Y31" s="53" t="n">
        <f aca="false">IF(OR($A31&gt;TOMATO_BED_CAP,$B31&gt;CARROT_BED_CAP,Y$4&gt;MESCLUN_BED_CAP,$A31+$B31+Y$4&gt;TOTAL_BEDS_AVAILABLE,($D31+Y$5)&gt;TOTAL_LABOR_HOURS_CAP,MAX(0,($D31+Y$5)-PERMANENT_FIELD_LABOR_HOURS)&gt;TEMP_HOURS_CAP),"",$C31+Y$6-MIN(($D31+Y$5),PERMANENT_FIELD_LABOR_HOURS)*PERMANENT_HOURLY_RATE-MAX(0,($D31+Y$5)-PERMANENT_FIELD_LABOR_HOURS)*TEMP_HOURLY_RATE-FIXED_SEASON_COST)</f>
        <v>-8297.82929012264</v>
      </c>
      <c r="Z31" s="53" t="n">
        <f aca="false">IF(OR($A31&gt;TOMATO_BED_CAP,$B31&gt;CARROT_BED_CAP,Z$4&gt;MESCLUN_BED_CAP,$A31+$B31+Z$4&gt;TOTAL_BEDS_AVAILABLE,($D31+Z$5)&gt;TOTAL_LABOR_HOURS_CAP,MAX(0,($D31+Z$5)-PERMANENT_FIELD_LABOR_HOURS)&gt;TEMP_HOURS_CAP),"",$C31+Z$6-MIN(($D31+Z$5),PERMANENT_FIELD_LABOR_HOURS)*PERMANENT_HOURLY_RATE-MAX(0,($D31+Z$5)-PERMANENT_FIELD_LABOR_HOURS)*TEMP_HOURLY_RATE-FIXED_SEASON_COST)</f>
        <v>-7714.28297581492</v>
      </c>
      <c r="AA31" s="53" t="n">
        <f aca="false">IF(OR($A31&gt;TOMATO_BED_CAP,$B31&gt;CARROT_BED_CAP,AA$4&gt;MESCLUN_BED_CAP,$A31+$B31+AA$4&gt;TOTAL_BEDS_AVAILABLE,($D31+AA$5)&gt;TOTAL_LABOR_HOURS_CAP,MAX(0,($D31+AA$5)-PERMANENT_FIELD_LABOR_HOURS)&gt;TEMP_HOURS_CAP),"",$C31+AA$6-MIN(($D31+AA$5),PERMANENT_FIELD_LABOR_HOURS)*PERMANENT_HOURLY_RATE-MAX(0,($D31+AA$5)-PERMANENT_FIELD_LABOR_HOURS)*TEMP_HOURLY_RATE-FIXED_SEASON_COST)</f>
        <v>-7158.71142614599</v>
      </c>
      <c r="AB31" s="53" t="n">
        <f aca="false">IF(OR($A31&gt;TOMATO_BED_CAP,$B31&gt;CARROT_BED_CAP,AB$4&gt;MESCLUN_BED_CAP,$A31+$B31+AB$4&gt;TOTAL_BEDS_AVAILABLE,($D31+AB$5)&gt;TOTAL_LABOR_HOURS_CAP,MAX(0,($D31+AB$5)-PERMANENT_FIELD_LABOR_HOURS)&gt;TEMP_HOURS_CAP),"",$C31+AB$6-MIN(($D31+AB$5),PERMANENT_FIELD_LABOR_HOURS)*PERMANENT_HOURLY_RATE-MAX(0,($D31+AB$5)-PERMANENT_FIELD_LABOR_HOURS)*TEMP_HOURLY_RATE-FIXED_SEASON_COST)</f>
        <v>-6631.62081434342</v>
      </c>
      <c r="AC31" s="53" t="n">
        <f aca="false">IF(OR($A31&gt;TOMATO_BED_CAP,$B31&gt;CARROT_BED_CAP,AC$4&gt;MESCLUN_BED_CAP,$A31+$B31+AC$4&gt;TOTAL_BEDS_AVAILABLE,($D31+AC$5)&gt;TOTAL_LABOR_HOURS_CAP,MAX(0,($D31+AC$5)-PERMANENT_FIELD_LABOR_HOURS)&gt;TEMP_HOURS_CAP),"",$C31+AC$6-MIN(($D31+AC$5),PERMANENT_FIELD_LABOR_HOURS)*PERMANENT_HOURLY_RATE-MAX(0,($D31+AC$5)-PERMANENT_FIELD_LABOR_HOURS)*TEMP_HOURLY_RATE-FIXED_SEASON_COST)</f>
        <v>-6133.52559690852</v>
      </c>
      <c r="AD31" s="53" t="n">
        <f aca="false">IF(OR($A31&gt;TOMATO_BED_CAP,$B31&gt;CARROT_BED_CAP,AD$4&gt;MESCLUN_BED_CAP,$A31+$B31+AD$4&gt;TOTAL_BEDS_AVAILABLE,($D31+AD$5)&gt;TOTAL_LABOR_HOURS_CAP,MAX(0,($D31+AD$5)-PERMANENT_FIELD_LABOR_HOURS)&gt;TEMP_HOURS_CAP),"",$C31+AD$6-MIN(($D31+AD$5),PERMANENT_FIELD_LABOR_HOURS)*PERMANENT_HOURLY_RATE-MAX(0,($D31+AD$5)-PERMANENT_FIELD_LABOR_HOURS)*TEMP_HOURLY_RATE-FIXED_SEASON_COST)</f>
        <v>-5664.94864160856</v>
      </c>
      <c r="AE31" s="53" t="n">
        <f aca="false">IF(OR($A31&gt;TOMATO_BED_CAP,$B31&gt;CARROT_BED_CAP,AE$4&gt;MESCLUN_BED_CAP,$A31+$B31+AE$4&gt;TOTAL_BEDS_AVAILABLE,($D31+AE$5)&gt;TOTAL_LABOR_HOURS_CAP,MAX(0,($D31+AE$5)-PERMANENT_FIELD_LABOR_HOURS)&gt;TEMP_HOURS_CAP),"",$C31+AE$6-MIN(($D31+AE$5),PERMANENT_FIELD_LABOR_HOURS)*PERMANENT_HOURLY_RATE-MAX(0,($D31+AE$5)-PERMANENT_FIELD_LABOR_HOURS)*TEMP_HOURLY_RATE-FIXED_SEASON_COST)</f>
        <v>-5226.42135737466</v>
      </c>
      <c r="AF31" s="53" t="n">
        <f aca="false">IF(OR($A31&gt;TOMATO_BED_CAP,$B31&gt;CARROT_BED_CAP,AF$4&gt;MESCLUN_BED_CAP,$A31+$B31+AF$4&gt;TOTAL_BEDS_AVAILABLE,($D31+AF$5)&gt;TOTAL_LABOR_HOURS_CAP,MAX(0,($D31+AF$5)-PERMANENT_FIELD_LABOR_HOURS)&gt;TEMP_HOURS_CAP),"",$C31+AF$6-MIN(($D31+AF$5),PERMANENT_FIELD_LABOR_HOURS)*PERMANENT_HOURLY_RATE-MAX(0,($D31+AF$5)-PERMANENT_FIELD_LABOR_HOURS)*TEMP_HOURLY_RATE-FIXED_SEASON_COST)</f>
        <v>-4818.4838261327</v>
      </c>
      <c r="AG31" s="53" t="n">
        <f aca="false">IF(OR($A31&gt;TOMATO_BED_CAP,$B31&gt;CARROT_BED_CAP,AG$4&gt;MESCLUN_BED_CAP,$A31+$B31+AG$4&gt;TOTAL_BEDS_AVAILABLE,($D31+AG$5)&gt;TOTAL_LABOR_HOURS_CAP,MAX(0,($D31+AG$5)-PERMANENT_FIELD_LABOR_HOURS)&gt;TEMP_HOURS_CAP),"",$C31+AG$6-MIN(($D31+AG$5),PERMANENT_FIELD_LABOR_HOURS)*PERMANENT_HOURLY_RATE-MAX(0,($D31+AG$5)-PERMANENT_FIELD_LABOR_HOURS)*TEMP_HOURLY_RATE-FIXED_SEASON_COST)</f>
        <v>-4441.68493659569</v>
      </c>
      <c r="AH31" s="53" t="n">
        <f aca="false">IF(OR($A31&gt;TOMATO_BED_CAP,$B31&gt;CARROT_BED_CAP,AH$4&gt;MESCLUN_BED_CAP,$A31+$B31+AH$4&gt;TOTAL_BEDS_AVAILABLE,($D31+AH$5)&gt;TOTAL_LABOR_HOURS_CAP,MAX(0,($D31+AH$5)-PERMANENT_FIELD_LABOR_HOURS)&gt;TEMP_HOURS_CAP),"",$C31+AH$6-MIN(($D31+AH$5),PERMANENT_FIELD_LABOR_HOURS)*PERMANENT_HOURLY_RATE-MAX(0,($D31+AH$5)-PERMANENT_FIELD_LABOR_HOURS)*TEMP_HOURLY_RATE-FIXED_SEASON_COST)</f>
        <v>-4096.58252004547</v>
      </c>
      <c r="AI31" s="53" t="n">
        <f aca="false">IF(OR($A31&gt;TOMATO_BED_CAP,$B31&gt;CARROT_BED_CAP,AI$4&gt;MESCLUN_BED_CAP,$A31+$B31+AI$4&gt;TOTAL_BEDS_AVAILABLE,($D31+AI$5)&gt;TOTAL_LABOR_HOURS_CAP,MAX(0,($D31+AI$5)-PERMANENT_FIELD_LABOR_HOURS)&gt;TEMP_HOURS_CAP),"",$C31+AI$6-MIN(($D31+AI$5),PERMANENT_FIELD_LABOR_HOURS)*PERMANENT_HOURLY_RATE-MAX(0,($D31+AI$5)-PERMANENT_FIELD_LABOR_HOURS)*TEMP_HOURLY_RATE-FIXED_SEASON_COST)</f>
        <v>-3783.74348813321</v>
      </c>
      <c r="AJ31" s="53" t="n">
        <f aca="false">IF(OR($A31&gt;TOMATO_BED_CAP,$B31&gt;CARROT_BED_CAP,AJ$4&gt;MESCLUN_BED_CAP,$A31+$B31+AJ$4&gt;TOTAL_BEDS_AVAILABLE,($D31+AJ$5)&gt;TOTAL_LABOR_HOURS_CAP,MAX(0,($D31+AJ$5)-PERMANENT_FIELD_LABOR_HOURS)&gt;TEMP_HOURS_CAP),"",$C31+AJ$6-MIN(($D31+AJ$5),PERMANENT_FIELD_LABOR_HOURS)*PERMANENT_HOURLY_RATE-MAX(0,($D31+AJ$5)-PERMANENT_FIELD_LABOR_HOURS)*TEMP_HOURLY_RATE-FIXED_SEASON_COST)</f>
        <v>-3503.74397272746</v>
      </c>
    </row>
    <row r="32" customFormat="false" ht="15" hidden="false" customHeight="false" outlineLevel="0" collapsed="false">
      <c r="A32" s="21" t="n">
        <f aca="false">INT((ROW()-ROW($A$8))/(20+1))</f>
        <v>1</v>
      </c>
      <c r="B32" s="21" t="n">
        <f aca="false">MOD(ROW()-ROW($A$8),20+1)</f>
        <v>3</v>
      </c>
      <c r="C32" s="13" t="n">
        <f aca="false">A32*(TOMATO_REVENUE_PER_BED-TOMATO_FERTILIZER_PER_BED)+B32*(CARROT_REVENUE_PER_BED-CARROT_FERTILIZER_PER_BED)</f>
        <v>12882</v>
      </c>
      <c r="D32" s="14" t="n">
        <f aca="false">INDEX(TOMATO_SCHED_LABOR_HRS,A32+1)+INDEX(CARROT_SCHED_LABOR_HRS,B32+1)</f>
        <v>195.8813881875</v>
      </c>
      <c r="E32" s="13" t="n">
        <f aca="false">IF(COUNT(F32:AJ32)=0,"",MAX(F32:AJ32))</f>
        <v>-2437.71160406246</v>
      </c>
      <c r="F32" s="53" t="n">
        <f aca="false">IF(OR($A32&gt;TOMATO_BED_CAP,$B32&gt;CARROT_BED_CAP,F$4&gt;MESCLUN_BED_CAP,$A32+$B32+F$4&gt;TOTAL_BEDS_AVAILABLE,($D32+F$5)&gt;TOTAL_LABOR_HOURS_CAP,MAX(0,($D32+F$5)-PERMANENT_FIELD_LABOR_HOURS)&gt;TEMP_HOURS_CAP),"",$C32+F$6-MIN(($D32+F$5),PERMANENT_FIELD_LABOR_HOURS)*PERMANENT_HOURLY_RATE-MAX(0,($D32+F$5)-PERMANENT_FIELD_LABOR_HOURS)*TEMP_HOURLY_RATE-FIXED_SEASON_COST)</f>
        <v>-13919.00179787</v>
      </c>
      <c r="G32" s="53" t="n">
        <f aca="false">IF(OR($A32&gt;TOMATO_BED_CAP,$B32&gt;CARROT_BED_CAP,G$4&gt;MESCLUN_BED_CAP,$A32+$B32+G$4&gt;TOTAL_BEDS_AVAILABLE,($D32+G$5)&gt;TOTAL_LABOR_HOURS_CAP,MAX(0,($D32+G$5)-PERMANENT_FIELD_LABOR_HOURS)&gt;TEMP_HOURS_CAP),"",$C32+G$6-MIN(($D32+G$5),PERMANENT_FIELD_LABOR_HOURS)*PERMANENT_HOURLY_RATE-MAX(0,($D32+G$5)-PERMANENT_FIELD_LABOR_HOURS)*TEMP_HOURLY_RATE-FIXED_SEASON_COST)</f>
        <v>-13680.93179787</v>
      </c>
      <c r="H32" s="53" t="n">
        <f aca="false">IF(OR($A32&gt;TOMATO_BED_CAP,$B32&gt;CARROT_BED_CAP,H$4&gt;MESCLUN_BED_CAP,$A32+$B32+H$4&gt;TOTAL_BEDS_AVAILABLE,($D32+H$5)&gt;TOTAL_LABOR_HOURS_CAP,MAX(0,($D32+H$5)-PERMANENT_FIELD_LABOR_HOURS)&gt;TEMP_HOURS_CAP),"",$C32+H$6-MIN(($D32+H$5),PERMANENT_FIELD_LABOR_HOURS)*PERMANENT_HOURLY_RATE-MAX(0,($D32+H$5)-PERMANENT_FIELD_LABOR_HOURS)*TEMP_HOURLY_RATE-FIXED_SEASON_COST)</f>
        <v>-13482.41004787</v>
      </c>
      <c r="I32" s="53" t="n">
        <f aca="false">IF(OR($A32&gt;TOMATO_BED_CAP,$B32&gt;CARROT_BED_CAP,I$4&gt;MESCLUN_BED_CAP,$A32+$B32+I$4&gt;TOTAL_BEDS_AVAILABLE,($D32+I$5)&gt;TOTAL_LABOR_HOURS_CAP,MAX(0,($D32+I$5)-PERMANENT_FIELD_LABOR_HOURS)&gt;TEMP_HOURS_CAP),"",$C32+I$6-MIN(($D32+I$5),PERMANENT_FIELD_LABOR_HOURS)*PERMANENT_HOURLY_RATE-MAX(0,($D32+I$5)-PERMANENT_FIELD_LABOR_HOURS)*TEMP_HOURLY_RATE-FIXED_SEASON_COST)</f>
        <v>-13324.1780775575</v>
      </c>
      <c r="J32" s="53" t="n">
        <f aca="false">IF(OR($A32&gt;TOMATO_BED_CAP,$B32&gt;CARROT_BED_CAP,J$4&gt;MESCLUN_BED_CAP,$A32+$B32+J$4&gt;TOTAL_BEDS_AVAILABLE,($D32+J$5)&gt;TOTAL_LABOR_HOURS_CAP,MAX(0,($D32+J$5)-PERMANENT_FIELD_LABOR_HOURS)&gt;TEMP_HOURS_CAP),"",$C32+J$6-MIN(($D32+J$5),PERMANENT_FIELD_LABOR_HOURS)*PERMANENT_HOURLY_RATE-MAX(0,($D32+J$5)-PERMANENT_FIELD_LABOR_HOURS)*TEMP_HOURLY_RATE-FIXED_SEASON_COST)</f>
        <v>-13206.9897754481</v>
      </c>
      <c r="K32" s="53" t="n">
        <f aca="false">IF(OR($A32&gt;TOMATO_BED_CAP,$B32&gt;CARROT_BED_CAP,K$4&gt;MESCLUN_BED_CAP,$A32+$B32+K$4&gt;TOTAL_BEDS_AVAILABLE,($D32+K$5)&gt;TOTAL_LABOR_HOURS_CAP,MAX(0,($D32+K$5)-PERMANENT_FIELD_LABOR_HOURS)&gt;TEMP_HOURS_CAP),"",$C32+K$6-MIN(($D32+K$5),PERMANENT_FIELD_LABOR_HOURS)*PERMANENT_HOURLY_RATE-MAX(0,($D32+K$5)-PERMANENT_FIELD_LABOR_HOURS)*TEMP_HOURLY_RATE-FIXED_SEASON_COST)</f>
        <v>-13131.6115819923</v>
      </c>
      <c r="L32" s="53" t="n">
        <f aca="false">IF(OR($A32&gt;TOMATO_BED_CAP,$B32&gt;CARROT_BED_CAP,L$4&gt;MESCLUN_BED_CAP,$A32+$B32+L$4&gt;TOTAL_BEDS_AVAILABLE,($D32+L$5)&gt;TOTAL_LABOR_HOURS_CAP,MAX(0,($D32+L$5)-PERMANENT_FIELD_LABOR_HOURS)&gt;TEMP_HOURS_CAP),"",$C32+L$6-MIN(($D32+L$5),PERMANENT_FIELD_LABOR_HOURS)*PERMANENT_HOURLY_RATE-MAX(0,($D32+L$5)-PERMANENT_FIELD_LABOR_HOURS)*TEMP_HOURLY_RATE-FIXED_SEASON_COST)</f>
        <v>-13098.8226855786</v>
      </c>
      <c r="M32" s="53" t="n">
        <f aca="false">IF(OR($A32&gt;TOMATO_BED_CAP,$B32&gt;CARROT_BED_CAP,M$4&gt;MESCLUN_BED_CAP,$A32+$B32+M$4&gt;TOTAL_BEDS_AVAILABLE,($D32+M$5)&gt;TOTAL_LABOR_HOURS_CAP,MAX(0,($D32+M$5)-PERMANENT_FIELD_LABOR_HOURS)&gt;TEMP_HOURS_CAP),"",$C32+M$6-MIN(($D32+M$5),PERMANENT_FIELD_LABOR_HOURS)*PERMANENT_HOURLY_RATE-MAX(0,($D32+M$5)-PERMANENT_FIELD_LABOR_HOURS)*TEMP_HOURLY_RATE-FIXED_SEASON_COST)</f>
        <v>-13109.4152214758</v>
      </c>
      <c r="N32" s="53" t="n">
        <f aca="false">IF(OR($A32&gt;TOMATO_BED_CAP,$B32&gt;CARROT_BED_CAP,N$4&gt;MESCLUN_BED_CAP,$A32+$B32+N$4&gt;TOTAL_BEDS_AVAILABLE,($D32+N$5)&gt;TOTAL_LABOR_HOURS_CAP,MAX(0,($D32+N$5)-PERMANENT_FIELD_LABOR_HOURS)&gt;TEMP_HOURS_CAP),"",$C32+N$6-MIN(($D32+N$5),PERMANENT_FIELD_LABOR_HOURS)*PERMANENT_HOURLY_RATE-MAX(0,($D32+N$5)-PERMANENT_FIELD_LABOR_HOURS)*TEMP_HOURLY_RATE-FIXED_SEASON_COST)</f>
        <v>-13164.1944737567</v>
      </c>
      <c r="O32" s="53" t="n">
        <f aca="false">IF(OR($A32&gt;TOMATO_BED_CAP,$B32&gt;CARROT_BED_CAP,O$4&gt;MESCLUN_BED_CAP,$A32+$B32+O$4&gt;TOTAL_BEDS_AVAILABLE,($D32+O$5)&gt;TOTAL_LABOR_HOURS_CAP,MAX(0,($D32+O$5)-PERMANENT_FIELD_LABOR_HOURS)&gt;TEMP_HOURS_CAP),"",$C32+O$6-MIN(($D32+O$5),PERMANENT_FIELD_LABOR_HOURS)*PERMANENT_HOURLY_RATE-MAX(0,($D32+O$5)-PERMANENT_FIELD_LABOR_HOURS)*TEMP_HOURLY_RATE-FIXED_SEASON_COST)</f>
        <v>-13263.9790802472</v>
      </c>
      <c r="P32" s="53" t="n">
        <f aca="false">IF(OR($A32&gt;TOMATO_BED_CAP,$B32&gt;CARROT_BED_CAP,P$4&gt;MESCLUN_BED_CAP,$A32+$B32+P$4&gt;TOTAL_BEDS_AVAILABLE,($D32+P$5)&gt;TOTAL_LABOR_HOURS_CAP,MAX(0,($D32+P$5)-PERMANENT_FIELD_LABOR_HOURS)&gt;TEMP_HOURS_CAP),"",$C32+P$6-MIN(($D32+P$5),PERMANENT_FIELD_LABOR_HOURS)*PERMANENT_HOURLY_RATE-MAX(0,($D32+P$5)-PERMANENT_FIELD_LABOR_HOURS)*TEMP_HOURLY_RATE-FIXED_SEASON_COST)</f>
        <v>-13409.6012405443</v>
      </c>
      <c r="Q32" s="53" t="n">
        <f aca="false">IF(OR($A32&gt;TOMATO_BED_CAP,$B32&gt;CARROT_BED_CAP,Q$4&gt;MESCLUN_BED_CAP,$A32+$B32+Q$4&gt;TOTAL_BEDS_AVAILABLE,($D32+Q$5)&gt;TOTAL_LABOR_HOURS_CAP,MAX(0,($D32+Q$5)-PERMANENT_FIELD_LABOR_HOURS)&gt;TEMP_HOURS_CAP),"",$C32+Q$6-MIN(($D32+Q$5),PERMANENT_FIELD_LABOR_HOURS)*PERMANENT_HOURLY_RATE-MAX(0,($D32+Q$5)-PERMANENT_FIELD_LABOR_HOURS)*TEMP_HOURLY_RATE-FIXED_SEASON_COST)</f>
        <v>-12849.1534635743</v>
      </c>
      <c r="R32" s="53" t="n">
        <f aca="false">IF(OR($A32&gt;TOMATO_BED_CAP,$B32&gt;CARROT_BED_CAP,R$4&gt;MESCLUN_BED_CAP,$A32+$B32+R$4&gt;TOTAL_BEDS_AVAILABLE,($D32+R$5)&gt;TOTAL_LABOR_HOURS_CAP,MAX(0,($D32+R$5)-PERMANENT_FIELD_LABOR_HOURS)&gt;TEMP_HOURS_CAP),"",$C32+R$6-MIN(($D32+R$5),PERMANENT_FIELD_LABOR_HOURS)*PERMANENT_HOURLY_RATE-MAX(0,($D32+R$5)-PERMANENT_FIELD_LABOR_HOURS)*TEMP_HOURLY_RATE-FIXED_SEASON_COST)</f>
        <v>-12059.0780498775</v>
      </c>
      <c r="S32" s="53" t="n">
        <f aca="false">IF(OR($A32&gt;TOMATO_BED_CAP,$B32&gt;CARROT_BED_CAP,S$4&gt;MESCLUN_BED_CAP,$A32+$B32+S$4&gt;TOTAL_BEDS_AVAILABLE,($D32+S$5)&gt;TOTAL_LABOR_HOURS_CAP,MAX(0,($D32+S$5)-PERMANENT_FIELD_LABOR_HOURS)&gt;TEMP_HOURS_CAP),"",$C32+S$6-MIN(($D32+S$5),PERMANENT_FIELD_LABOR_HOURS)*PERMANENT_HOURLY_RATE-MAX(0,($D32+S$5)-PERMANENT_FIELD_LABOR_HOURS)*TEMP_HOURLY_RATE-FIXED_SEASON_COST)</f>
        <v>-11293.211461375</v>
      </c>
      <c r="T32" s="53" t="n">
        <f aca="false">IF(OR($A32&gt;TOMATO_BED_CAP,$B32&gt;CARROT_BED_CAP,T$4&gt;MESCLUN_BED_CAP,$A32+$B32+T$4&gt;TOTAL_BEDS_AVAILABLE,($D32+T$5)&gt;TOTAL_LABOR_HOURS_CAP,MAX(0,($D32+T$5)-PERMANENT_FIELD_LABOR_HOURS)&gt;TEMP_HOURS_CAP),"",$C32+T$6-MIN(($D32+T$5),PERMANENT_FIELD_LABOR_HOURS)*PERMANENT_HOURLY_RATE-MAX(0,($D32+T$5)-PERMANENT_FIELD_LABOR_HOURS)*TEMP_HOURLY_RATE-FIXED_SEASON_COST)</f>
        <v>-10551.9979929802</v>
      </c>
      <c r="U32" s="53" t="n">
        <f aca="false">IF(OR($A32&gt;TOMATO_BED_CAP,$B32&gt;CARROT_BED_CAP,U$4&gt;MESCLUN_BED_CAP,$A32+$B32+U$4&gt;TOTAL_BEDS_AVAILABLE,($D32+U$5)&gt;TOTAL_LABOR_HOURS_CAP,MAX(0,($D32+U$5)-PERMANENT_FIELD_LABOR_HOURS)&gt;TEMP_HOURS_CAP),"",$C32+U$6-MIN(($D32+U$5),PERMANENT_FIELD_LABOR_HOURS)*PERMANENT_HOURLY_RATE-MAX(0,($D32+U$5)-PERMANENT_FIELD_LABOR_HOURS)*TEMP_HOURLY_RATE-FIXED_SEASON_COST)</f>
        <v>-9835.88926435008</v>
      </c>
      <c r="V32" s="53" t="n">
        <f aca="false">IF(OR($A32&gt;TOMATO_BED_CAP,$B32&gt;CARROT_BED_CAP,V$4&gt;MESCLUN_BED_CAP,$A32+$B32+V$4&gt;TOTAL_BEDS_AVAILABLE,($D32+V$5)&gt;TOTAL_LABOR_HOURS_CAP,MAX(0,($D32+V$5)-PERMANENT_FIELD_LABOR_HOURS)&gt;TEMP_HOURS_CAP),"",$C32+V$6-MIN(($D32+V$5),PERMANENT_FIELD_LABOR_HOURS)*PERMANENT_HOURLY_RATE-MAX(0,($D32+V$5)-PERMANENT_FIELD_LABOR_HOURS)*TEMP_HOURLY_RATE-FIXED_SEASON_COST)</f>
        <v>-9145.34433358329</v>
      </c>
      <c r="W32" s="53" t="n">
        <f aca="false">IF(OR($A32&gt;TOMATO_BED_CAP,$B32&gt;CARROT_BED_CAP,W$4&gt;MESCLUN_BED_CAP,$A32+$B32+W$4&gt;TOTAL_BEDS_AVAILABLE,($D32+W$5)&gt;TOTAL_LABOR_HOURS_CAP,MAX(0,($D32+W$5)-PERMANENT_FIELD_LABOR_HOURS)&gt;TEMP_HOURS_CAP),"",$C32+W$6-MIN(($D32+W$5),PERMANENT_FIELD_LABOR_HOURS)*PERMANENT_HOURLY_RATE-MAX(0,($D32+W$5)-PERMANENT_FIELD_LABOR_HOURS)*TEMP_HOURLY_RATE-FIXED_SEASON_COST)</f>
        <v>-8480.82981261523</v>
      </c>
      <c r="X32" s="53" t="n">
        <f aca="false">IF(OR($A32&gt;TOMATO_BED_CAP,$B32&gt;CARROT_BED_CAP,X$4&gt;MESCLUN_BED_CAP,$A32+$B32+X$4&gt;TOTAL_BEDS_AVAILABLE,($D32+X$5)&gt;TOTAL_LABOR_HOURS_CAP,MAX(0,($D32+X$5)-PERMANENT_FIELD_LABOR_HOURS)&gt;TEMP_HOURS_CAP),"",$C32+X$6-MIN(($D32+X$5),PERMANENT_FIELD_LABOR_HOURS)*PERMANENT_HOURLY_RATE-MAX(0,($D32+X$5)-PERMANENT_FIELD_LABOR_HOURS)*TEMP_HOURLY_RATE-FIXED_SEASON_COST)</f>
        <v>-7842.8199843363</v>
      </c>
      <c r="Y32" s="53" t="n">
        <f aca="false">IF(OR($A32&gt;TOMATO_BED_CAP,$B32&gt;CARROT_BED_CAP,Y$4&gt;MESCLUN_BED_CAP,$A32+$B32+Y$4&gt;TOTAL_BEDS_AVAILABLE,($D32+Y$5)&gt;TOTAL_LABOR_HOURS_CAP,MAX(0,($D32+Y$5)-PERMANENT_FIELD_LABOR_HOURS)&gt;TEMP_HOURS_CAP),"",$C32+Y$6-MIN(($D32+Y$5),PERMANENT_FIELD_LABOR_HOURS)*PERMANENT_HOURLY_RATE-MAX(0,($D32+Y$5)-PERMANENT_FIELD_LABOR_HOURS)*TEMP_HOURLY_RATE-FIXED_SEASON_COST)</f>
        <v>-7231.79692145764</v>
      </c>
      <c r="Z32" s="53" t="n">
        <f aca="false">IF(OR($A32&gt;TOMATO_BED_CAP,$B32&gt;CARROT_BED_CAP,Z$4&gt;MESCLUN_BED_CAP,$A32+$B32+Z$4&gt;TOTAL_BEDS_AVAILABLE,($D32+Z$5)&gt;TOTAL_LABOR_HOURS_CAP,MAX(0,($D32+Z$5)-PERMANENT_FIELD_LABOR_HOURS)&gt;TEMP_HOURS_CAP),"",$C32+Z$6-MIN(($D32+Z$5),PERMANENT_FIELD_LABOR_HOURS)*PERMANENT_HOURLY_RATE-MAX(0,($D32+Z$5)-PERMANENT_FIELD_LABOR_HOURS)*TEMP_HOURLY_RATE-FIXED_SEASON_COST)</f>
        <v>-6648.25060714992</v>
      </c>
      <c r="AA32" s="53" t="n">
        <f aca="false">IF(OR($A32&gt;TOMATO_BED_CAP,$B32&gt;CARROT_BED_CAP,AA$4&gt;MESCLUN_BED_CAP,$A32+$B32+AA$4&gt;TOTAL_BEDS_AVAILABLE,($D32+AA$5)&gt;TOTAL_LABOR_HOURS_CAP,MAX(0,($D32+AA$5)-PERMANENT_FIELD_LABOR_HOURS)&gt;TEMP_HOURS_CAP),"",$C32+AA$6-MIN(($D32+AA$5),PERMANENT_FIELD_LABOR_HOURS)*PERMANENT_HOURLY_RATE-MAX(0,($D32+AA$5)-PERMANENT_FIELD_LABOR_HOURS)*TEMP_HOURLY_RATE-FIXED_SEASON_COST)</f>
        <v>-6092.67905748098</v>
      </c>
      <c r="AB32" s="53" t="n">
        <f aca="false">IF(OR($A32&gt;TOMATO_BED_CAP,$B32&gt;CARROT_BED_CAP,AB$4&gt;MESCLUN_BED_CAP,$A32+$B32+AB$4&gt;TOTAL_BEDS_AVAILABLE,($D32+AB$5)&gt;TOTAL_LABOR_HOURS_CAP,MAX(0,($D32+AB$5)-PERMANENT_FIELD_LABOR_HOURS)&gt;TEMP_HOURS_CAP),"",$C32+AB$6-MIN(($D32+AB$5),PERMANENT_FIELD_LABOR_HOURS)*PERMANENT_HOURLY_RATE-MAX(0,($D32+AB$5)-PERMANENT_FIELD_LABOR_HOURS)*TEMP_HOURLY_RATE-FIXED_SEASON_COST)</f>
        <v>-5565.58844567842</v>
      </c>
      <c r="AC32" s="53" t="n">
        <f aca="false">IF(OR($A32&gt;TOMATO_BED_CAP,$B32&gt;CARROT_BED_CAP,AC$4&gt;MESCLUN_BED_CAP,$A32+$B32+AC$4&gt;TOTAL_BEDS_AVAILABLE,($D32+AC$5)&gt;TOTAL_LABOR_HOURS_CAP,MAX(0,($D32+AC$5)-PERMANENT_FIELD_LABOR_HOURS)&gt;TEMP_HOURS_CAP),"",$C32+AC$6-MIN(($D32+AC$5),PERMANENT_FIELD_LABOR_HOURS)*PERMANENT_HOURLY_RATE-MAX(0,($D32+AC$5)-PERMANENT_FIELD_LABOR_HOURS)*TEMP_HOURLY_RATE-FIXED_SEASON_COST)</f>
        <v>-5067.49322824352</v>
      </c>
      <c r="AD32" s="53" t="n">
        <f aca="false">IF(OR($A32&gt;TOMATO_BED_CAP,$B32&gt;CARROT_BED_CAP,AD$4&gt;MESCLUN_BED_CAP,$A32+$B32+AD$4&gt;TOTAL_BEDS_AVAILABLE,($D32+AD$5)&gt;TOTAL_LABOR_HOURS_CAP,MAX(0,($D32+AD$5)-PERMANENT_FIELD_LABOR_HOURS)&gt;TEMP_HOURS_CAP),"",$C32+AD$6-MIN(($D32+AD$5),PERMANENT_FIELD_LABOR_HOURS)*PERMANENT_HOURLY_RATE-MAX(0,($D32+AD$5)-PERMANENT_FIELD_LABOR_HOURS)*TEMP_HOURLY_RATE-FIXED_SEASON_COST)</f>
        <v>-4598.91627294357</v>
      </c>
      <c r="AE32" s="53" t="n">
        <f aca="false">IF(OR($A32&gt;TOMATO_BED_CAP,$B32&gt;CARROT_BED_CAP,AE$4&gt;MESCLUN_BED_CAP,$A32+$B32+AE$4&gt;TOTAL_BEDS_AVAILABLE,($D32+AE$5)&gt;TOTAL_LABOR_HOURS_CAP,MAX(0,($D32+AE$5)-PERMANENT_FIELD_LABOR_HOURS)&gt;TEMP_HOURS_CAP),"",$C32+AE$6-MIN(($D32+AE$5),PERMANENT_FIELD_LABOR_HOURS)*PERMANENT_HOURLY_RATE-MAX(0,($D32+AE$5)-PERMANENT_FIELD_LABOR_HOURS)*TEMP_HOURLY_RATE-FIXED_SEASON_COST)</f>
        <v>-4160.38898870965</v>
      </c>
      <c r="AF32" s="53" t="n">
        <f aca="false">IF(OR($A32&gt;TOMATO_BED_CAP,$B32&gt;CARROT_BED_CAP,AF$4&gt;MESCLUN_BED_CAP,$A32+$B32+AF$4&gt;TOTAL_BEDS_AVAILABLE,($D32+AF$5)&gt;TOTAL_LABOR_HOURS_CAP,MAX(0,($D32+AF$5)-PERMANENT_FIELD_LABOR_HOURS)&gt;TEMP_HOURS_CAP),"",$C32+AF$6-MIN(($D32+AF$5),PERMANENT_FIELD_LABOR_HOURS)*PERMANENT_HOURLY_RATE-MAX(0,($D32+AF$5)-PERMANENT_FIELD_LABOR_HOURS)*TEMP_HOURLY_RATE-FIXED_SEASON_COST)</f>
        <v>-3752.45145746771</v>
      </c>
      <c r="AG32" s="53" t="n">
        <f aca="false">IF(OR($A32&gt;TOMATO_BED_CAP,$B32&gt;CARROT_BED_CAP,AG$4&gt;MESCLUN_BED_CAP,$A32+$B32+AG$4&gt;TOTAL_BEDS_AVAILABLE,($D32+AG$5)&gt;TOTAL_LABOR_HOURS_CAP,MAX(0,($D32+AG$5)-PERMANENT_FIELD_LABOR_HOURS)&gt;TEMP_HOURS_CAP),"",$C32+AG$6-MIN(($D32+AG$5),PERMANENT_FIELD_LABOR_HOURS)*PERMANENT_HOURLY_RATE-MAX(0,($D32+AG$5)-PERMANENT_FIELD_LABOR_HOURS)*TEMP_HOURLY_RATE-FIXED_SEASON_COST)</f>
        <v>-3375.65256793069</v>
      </c>
      <c r="AH32" s="53" t="n">
        <f aca="false">IF(OR($A32&gt;TOMATO_BED_CAP,$B32&gt;CARROT_BED_CAP,AH$4&gt;MESCLUN_BED_CAP,$A32+$B32+AH$4&gt;TOTAL_BEDS_AVAILABLE,($D32+AH$5)&gt;TOTAL_LABOR_HOURS_CAP,MAX(0,($D32+AH$5)-PERMANENT_FIELD_LABOR_HOURS)&gt;TEMP_HOURS_CAP),"",$C32+AH$6-MIN(($D32+AH$5),PERMANENT_FIELD_LABOR_HOURS)*PERMANENT_HOURLY_RATE-MAX(0,($D32+AH$5)-PERMANENT_FIELD_LABOR_HOURS)*TEMP_HOURLY_RATE-FIXED_SEASON_COST)</f>
        <v>-3030.55015138047</v>
      </c>
      <c r="AI32" s="53" t="n">
        <f aca="false">IF(OR($A32&gt;TOMATO_BED_CAP,$B32&gt;CARROT_BED_CAP,AI$4&gt;MESCLUN_BED_CAP,$A32+$B32+AI$4&gt;TOTAL_BEDS_AVAILABLE,($D32+AI$5)&gt;TOTAL_LABOR_HOURS_CAP,MAX(0,($D32+AI$5)-PERMANENT_FIELD_LABOR_HOURS)&gt;TEMP_HOURS_CAP),"",$C32+AI$6-MIN(($D32+AI$5),PERMANENT_FIELD_LABOR_HOURS)*PERMANENT_HOURLY_RATE-MAX(0,($D32+AI$5)-PERMANENT_FIELD_LABOR_HOURS)*TEMP_HOURLY_RATE-FIXED_SEASON_COST)</f>
        <v>-2717.71111946821</v>
      </c>
      <c r="AJ32" s="53" t="n">
        <f aca="false">IF(OR($A32&gt;TOMATO_BED_CAP,$B32&gt;CARROT_BED_CAP,AJ$4&gt;MESCLUN_BED_CAP,$A32+$B32+AJ$4&gt;TOTAL_BEDS_AVAILABLE,($D32+AJ$5)&gt;TOTAL_LABOR_HOURS_CAP,MAX(0,($D32+AJ$5)-PERMANENT_FIELD_LABOR_HOURS)&gt;TEMP_HOURS_CAP),"",$C32+AJ$6-MIN(($D32+AJ$5),PERMANENT_FIELD_LABOR_HOURS)*PERMANENT_HOURLY_RATE-MAX(0,($D32+AJ$5)-PERMANENT_FIELD_LABOR_HOURS)*TEMP_HOURLY_RATE-FIXED_SEASON_COST)</f>
        <v>-2437.71160406246</v>
      </c>
    </row>
    <row r="33" customFormat="false" ht="15" hidden="false" customHeight="false" outlineLevel="0" collapsed="false">
      <c r="A33" s="21" t="n">
        <f aca="false">INT((ROW()-ROW($A$8))/(20+1))</f>
        <v>1</v>
      </c>
      <c r="B33" s="21" t="n">
        <f aca="false">MOD(ROW()-ROW($A$8),20+1)</f>
        <v>4</v>
      </c>
      <c r="C33" s="13" t="n">
        <f aca="false">A33*(TOMATO_REVENUE_PER_BED-TOMATO_FERTILIZER_PER_BED)+B33*(CARROT_REVENUE_PER_BED-CARROT_FERTILIZER_PER_BED)</f>
        <v>14536</v>
      </c>
      <c r="D33" s="14" t="n">
        <f aca="false">INDEX(TOMATO_SCHED_LABOR_HRS,A33+1)+INDEX(CARROT_SCHED_LABOR_HRS,B33+1)</f>
        <v>231.40456385625</v>
      </c>
      <c r="E33" s="13" t="n">
        <f aca="false">IF(COUNT(F33:AJ33)=0,"",MAX(F33:AJ33))</f>
        <v>-1400.39393367196</v>
      </c>
      <c r="F33" s="53" t="n">
        <f aca="false">IF(OR($A33&gt;TOMATO_BED_CAP,$B33&gt;CARROT_BED_CAP,F$4&gt;MESCLUN_BED_CAP,$A33+$B33+F$4&gt;TOTAL_BEDS_AVAILABLE,($D33+F$5)&gt;TOTAL_LABOR_HOURS_CAP,MAX(0,($D33+F$5)-PERMANENT_FIELD_LABOR_HOURS)&gt;TEMP_HOURS_CAP),"",$C33+F$6-MIN(($D33+F$5),PERMANENT_FIELD_LABOR_HOURS)*PERMANENT_HOURLY_RATE-MAX(0,($D33+F$5)-PERMANENT_FIELD_LABOR_HOURS)*TEMP_HOURLY_RATE-FIXED_SEASON_COST)</f>
        <v>-13498.366457089</v>
      </c>
      <c r="G33" s="53" t="n">
        <f aca="false">IF(OR($A33&gt;TOMATO_BED_CAP,$B33&gt;CARROT_BED_CAP,G$4&gt;MESCLUN_BED_CAP,$A33+$B33+G$4&gt;TOTAL_BEDS_AVAILABLE,($D33+G$5)&gt;TOTAL_LABOR_HOURS_CAP,MAX(0,($D33+G$5)-PERMANENT_FIELD_LABOR_HOURS)&gt;TEMP_HOURS_CAP),"",$C33+G$6-MIN(($D33+G$5),PERMANENT_FIELD_LABOR_HOURS)*PERMANENT_HOURLY_RATE-MAX(0,($D33+G$5)-PERMANENT_FIELD_LABOR_HOURS)*TEMP_HOURLY_RATE-FIXED_SEASON_COST)</f>
        <v>-13260.296457089</v>
      </c>
      <c r="H33" s="53" t="n">
        <f aca="false">IF(OR($A33&gt;TOMATO_BED_CAP,$B33&gt;CARROT_BED_CAP,H$4&gt;MESCLUN_BED_CAP,$A33+$B33+H$4&gt;TOTAL_BEDS_AVAILABLE,($D33+H$5)&gt;TOTAL_LABOR_HOURS_CAP,MAX(0,($D33+H$5)-PERMANENT_FIELD_LABOR_HOURS)&gt;TEMP_HOURS_CAP),"",$C33+H$6-MIN(($D33+H$5),PERMANENT_FIELD_LABOR_HOURS)*PERMANENT_HOURLY_RATE-MAX(0,($D33+H$5)-PERMANENT_FIELD_LABOR_HOURS)*TEMP_HOURLY_RATE-FIXED_SEASON_COST)</f>
        <v>-13061.774707089</v>
      </c>
      <c r="I33" s="53" t="n">
        <f aca="false">IF(OR($A33&gt;TOMATO_BED_CAP,$B33&gt;CARROT_BED_CAP,I$4&gt;MESCLUN_BED_CAP,$A33+$B33+I$4&gt;TOTAL_BEDS_AVAILABLE,($D33+I$5)&gt;TOTAL_LABOR_HOURS_CAP,MAX(0,($D33+I$5)-PERMANENT_FIELD_LABOR_HOURS)&gt;TEMP_HOURS_CAP),"",$C33+I$6-MIN(($D33+I$5),PERMANENT_FIELD_LABOR_HOURS)*PERMANENT_HOURLY_RATE-MAX(0,($D33+I$5)-PERMANENT_FIELD_LABOR_HOURS)*TEMP_HOURLY_RATE-FIXED_SEASON_COST)</f>
        <v>-12903.5427367765</v>
      </c>
      <c r="J33" s="53" t="n">
        <f aca="false">IF(OR($A33&gt;TOMATO_BED_CAP,$B33&gt;CARROT_BED_CAP,J$4&gt;MESCLUN_BED_CAP,$A33+$B33+J$4&gt;TOTAL_BEDS_AVAILABLE,($D33+J$5)&gt;TOTAL_LABOR_HOURS_CAP,MAX(0,($D33+J$5)-PERMANENT_FIELD_LABOR_HOURS)&gt;TEMP_HOURS_CAP),"",$C33+J$6-MIN(($D33+J$5),PERMANENT_FIELD_LABOR_HOURS)*PERMANENT_HOURLY_RATE-MAX(0,($D33+J$5)-PERMANENT_FIELD_LABOR_HOURS)*TEMP_HOURLY_RATE-FIXED_SEASON_COST)</f>
        <v>-12786.3544346671</v>
      </c>
      <c r="K33" s="53" t="n">
        <f aca="false">IF(OR($A33&gt;TOMATO_BED_CAP,$B33&gt;CARROT_BED_CAP,K$4&gt;MESCLUN_BED_CAP,$A33+$B33+K$4&gt;TOTAL_BEDS_AVAILABLE,($D33+K$5)&gt;TOTAL_LABOR_HOURS_CAP,MAX(0,($D33+K$5)-PERMANENT_FIELD_LABOR_HOURS)&gt;TEMP_HOURS_CAP),"",$C33+K$6-MIN(($D33+K$5),PERMANENT_FIELD_LABOR_HOURS)*PERMANENT_HOURLY_RATE-MAX(0,($D33+K$5)-PERMANENT_FIELD_LABOR_HOURS)*TEMP_HOURLY_RATE-FIXED_SEASON_COST)</f>
        <v>-12710.9762412113</v>
      </c>
      <c r="L33" s="53" t="n">
        <f aca="false">IF(OR($A33&gt;TOMATO_BED_CAP,$B33&gt;CARROT_BED_CAP,L$4&gt;MESCLUN_BED_CAP,$A33+$B33+L$4&gt;TOTAL_BEDS_AVAILABLE,($D33+L$5)&gt;TOTAL_LABOR_HOURS_CAP,MAX(0,($D33+L$5)-PERMANENT_FIELD_LABOR_HOURS)&gt;TEMP_HOURS_CAP),"",$C33+L$6-MIN(($D33+L$5),PERMANENT_FIELD_LABOR_HOURS)*PERMANENT_HOURLY_RATE-MAX(0,($D33+L$5)-PERMANENT_FIELD_LABOR_HOURS)*TEMP_HOURLY_RATE-FIXED_SEASON_COST)</f>
        <v>-12678.1873447976</v>
      </c>
      <c r="M33" s="53" t="n">
        <f aca="false">IF(OR($A33&gt;TOMATO_BED_CAP,$B33&gt;CARROT_BED_CAP,M$4&gt;MESCLUN_BED_CAP,$A33+$B33+M$4&gt;TOTAL_BEDS_AVAILABLE,($D33+M$5)&gt;TOTAL_LABOR_HOURS_CAP,MAX(0,($D33+M$5)-PERMANENT_FIELD_LABOR_HOURS)&gt;TEMP_HOURS_CAP),"",$C33+M$6-MIN(($D33+M$5),PERMANENT_FIELD_LABOR_HOURS)*PERMANENT_HOURLY_RATE-MAX(0,($D33+M$5)-PERMANENT_FIELD_LABOR_HOURS)*TEMP_HOURLY_RATE-FIXED_SEASON_COST)</f>
        <v>-12688.7798806948</v>
      </c>
      <c r="N33" s="53" t="n">
        <f aca="false">IF(OR($A33&gt;TOMATO_BED_CAP,$B33&gt;CARROT_BED_CAP,N$4&gt;MESCLUN_BED_CAP,$A33+$B33+N$4&gt;TOTAL_BEDS_AVAILABLE,($D33+N$5)&gt;TOTAL_LABOR_HOURS_CAP,MAX(0,($D33+N$5)-PERMANENT_FIELD_LABOR_HOURS)&gt;TEMP_HOURS_CAP),"",$C33+N$6-MIN(($D33+N$5),PERMANENT_FIELD_LABOR_HOURS)*PERMANENT_HOURLY_RATE-MAX(0,($D33+N$5)-PERMANENT_FIELD_LABOR_HOURS)*TEMP_HOURLY_RATE-FIXED_SEASON_COST)</f>
        <v>-12743.5591329757</v>
      </c>
      <c r="O33" s="53" t="n">
        <f aca="false">IF(OR($A33&gt;TOMATO_BED_CAP,$B33&gt;CARROT_BED_CAP,O$4&gt;MESCLUN_BED_CAP,$A33+$B33+O$4&gt;TOTAL_BEDS_AVAILABLE,($D33+O$5)&gt;TOTAL_LABOR_HOURS_CAP,MAX(0,($D33+O$5)-PERMANENT_FIELD_LABOR_HOURS)&gt;TEMP_HOURS_CAP),"",$C33+O$6-MIN(($D33+O$5),PERMANENT_FIELD_LABOR_HOURS)*PERMANENT_HOURLY_RATE-MAX(0,($D33+O$5)-PERMANENT_FIELD_LABOR_HOURS)*TEMP_HOURLY_RATE-FIXED_SEASON_COST)</f>
        <v>-12843.3437394662</v>
      </c>
      <c r="P33" s="53" t="n">
        <f aca="false">IF(OR($A33&gt;TOMATO_BED_CAP,$B33&gt;CARROT_BED_CAP,P$4&gt;MESCLUN_BED_CAP,$A33+$B33+P$4&gt;TOTAL_BEDS_AVAILABLE,($D33+P$5)&gt;TOTAL_LABOR_HOURS_CAP,MAX(0,($D33+P$5)-PERMANENT_FIELD_LABOR_HOURS)&gt;TEMP_HOURS_CAP),"",$C33+P$6-MIN(($D33+P$5),PERMANENT_FIELD_LABOR_HOURS)*PERMANENT_HOURLY_RATE-MAX(0,($D33+P$5)-PERMANENT_FIELD_LABOR_HOURS)*TEMP_HOURLY_RATE-FIXED_SEASON_COST)</f>
        <v>-12625.6829498817</v>
      </c>
      <c r="Q33" s="53" t="n">
        <f aca="false">IF(OR($A33&gt;TOMATO_BED_CAP,$B33&gt;CARROT_BED_CAP,Q$4&gt;MESCLUN_BED_CAP,$A33+$B33+Q$4&gt;TOTAL_BEDS_AVAILABLE,($D33+Q$5)&gt;TOTAL_LABOR_HOURS_CAP,MAX(0,($D33+Q$5)-PERMANENT_FIELD_LABOR_HOURS)&gt;TEMP_HOURS_CAP),"",$C33+Q$6-MIN(($D33+Q$5),PERMANENT_FIELD_LABOR_HOURS)*PERMANENT_HOURLY_RATE-MAX(0,($D33+Q$5)-PERMANENT_FIELD_LABOR_HOURS)*TEMP_HOURLY_RATE-FIXED_SEASON_COST)</f>
        <v>-11811.8357931838</v>
      </c>
      <c r="R33" s="53" t="n">
        <f aca="false">IF(OR($A33&gt;TOMATO_BED_CAP,$B33&gt;CARROT_BED_CAP,R$4&gt;MESCLUN_BED_CAP,$A33+$B33+R$4&gt;TOTAL_BEDS_AVAILABLE,($D33+R$5)&gt;TOTAL_LABOR_HOURS_CAP,MAX(0,($D33+R$5)-PERMANENT_FIELD_LABOR_HOURS)&gt;TEMP_HOURS_CAP),"",$C33+R$6-MIN(($D33+R$5),PERMANENT_FIELD_LABOR_HOURS)*PERMANENT_HOURLY_RATE-MAX(0,($D33+R$5)-PERMANENT_FIELD_LABOR_HOURS)*TEMP_HOURLY_RATE-FIXED_SEASON_COST)</f>
        <v>-11021.760379487</v>
      </c>
      <c r="S33" s="53" t="n">
        <f aca="false">IF(OR($A33&gt;TOMATO_BED_CAP,$B33&gt;CARROT_BED_CAP,S$4&gt;MESCLUN_BED_CAP,$A33+$B33+S$4&gt;TOTAL_BEDS_AVAILABLE,($D33+S$5)&gt;TOTAL_LABOR_HOURS_CAP,MAX(0,($D33+S$5)-PERMANENT_FIELD_LABOR_HOURS)&gt;TEMP_HOURS_CAP),"",$C33+S$6-MIN(($D33+S$5),PERMANENT_FIELD_LABOR_HOURS)*PERMANENT_HOURLY_RATE-MAX(0,($D33+S$5)-PERMANENT_FIELD_LABOR_HOURS)*TEMP_HOURLY_RATE-FIXED_SEASON_COST)</f>
        <v>-10255.8937909845</v>
      </c>
      <c r="T33" s="53" t="n">
        <f aca="false">IF(OR($A33&gt;TOMATO_BED_CAP,$B33&gt;CARROT_BED_CAP,T$4&gt;MESCLUN_BED_CAP,$A33+$B33+T$4&gt;TOTAL_BEDS_AVAILABLE,($D33+T$5)&gt;TOTAL_LABOR_HOURS_CAP,MAX(0,($D33+T$5)-PERMANENT_FIELD_LABOR_HOURS)&gt;TEMP_HOURS_CAP),"",$C33+T$6-MIN(($D33+T$5),PERMANENT_FIELD_LABOR_HOURS)*PERMANENT_HOURLY_RATE-MAX(0,($D33+T$5)-PERMANENT_FIELD_LABOR_HOURS)*TEMP_HOURLY_RATE-FIXED_SEASON_COST)</f>
        <v>-9514.68032258968</v>
      </c>
      <c r="U33" s="53" t="n">
        <f aca="false">IF(OR($A33&gt;TOMATO_BED_CAP,$B33&gt;CARROT_BED_CAP,U$4&gt;MESCLUN_BED_CAP,$A33+$B33+U$4&gt;TOTAL_BEDS_AVAILABLE,($D33+U$5)&gt;TOTAL_LABOR_HOURS_CAP,MAX(0,($D33+U$5)-PERMANENT_FIELD_LABOR_HOURS)&gt;TEMP_HOURS_CAP),"",$C33+U$6-MIN(($D33+U$5),PERMANENT_FIELD_LABOR_HOURS)*PERMANENT_HOURLY_RATE-MAX(0,($D33+U$5)-PERMANENT_FIELD_LABOR_HOURS)*TEMP_HOURLY_RATE-FIXED_SEASON_COST)</f>
        <v>-8798.57159395958</v>
      </c>
      <c r="V33" s="53" t="n">
        <f aca="false">IF(OR($A33&gt;TOMATO_BED_CAP,$B33&gt;CARROT_BED_CAP,V$4&gt;MESCLUN_BED_CAP,$A33+$B33+V$4&gt;TOTAL_BEDS_AVAILABLE,($D33+V$5)&gt;TOTAL_LABOR_HOURS_CAP,MAX(0,($D33+V$5)-PERMANENT_FIELD_LABOR_HOURS)&gt;TEMP_HOURS_CAP),"",$C33+V$6-MIN(($D33+V$5),PERMANENT_FIELD_LABOR_HOURS)*PERMANENT_HOURLY_RATE-MAX(0,($D33+V$5)-PERMANENT_FIELD_LABOR_HOURS)*TEMP_HOURLY_RATE-FIXED_SEASON_COST)</f>
        <v>-8108.02666319279</v>
      </c>
      <c r="W33" s="53" t="n">
        <f aca="false">IF(OR($A33&gt;TOMATO_BED_CAP,$B33&gt;CARROT_BED_CAP,W$4&gt;MESCLUN_BED_CAP,$A33+$B33+W$4&gt;TOTAL_BEDS_AVAILABLE,($D33+W$5)&gt;TOTAL_LABOR_HOURS_CAP,MAX(0,($D33+W$5)-PERMANENT_FIELD_LABOR_HOURS)&gt;TEMP_HOURS_CAP),"",$C33+W$6-MIN(($D33+W$5),PERMANENT_FIELD_LABOR_HOURS)*PERMANENT_HOURLY_RATE-MAX(0,($D33+W$5)-PERMANENT_FIELD_LABOR_HOURS)*TEMP_HOURLY_RATE-FIXED_SEASON_COST)</f>
        <v>-7443.51214222473</v>
      </c>
      <c r="X33" s="53" t="n">
        <f aca="false">IF(OR($A33&gt;TOMATO_BED_CAP,$B33&gt;CARROT_BED_CAP,X$4&gt;MESCLUN_BED_CAP,$A33+$B33+X$4&gt;TOTAL_BEDS_AVAILABLE,($D33+X$5)&gt;TOTAL_LABOR_HOURS_CAP,MAX(0,($D33+X$5)-PERMANENT_FIELD_LABOR_HOURS)&gt;TEMP_HOURS_CAP),"",$C33+X$6-MIN(($D33+X$5),PERMANENT_FIELD_LABOR_HOURS)*PERMANENT_HOURLY_RATE-MAX(0,($D33+X$5)-PERMANENT_FIELD_LABOR_HOURS)*TEMP_HOURLY_RATE-FIXED_SEASON_COST)</f>
        <v>-6805.5023139458</v>
      </c>
      <c r="Y33" s="53" t="n">
        <f aca="false">IF(OR($A33&gt;TOMATO_BED_CAP,$B33&gt;CARROT_BED_CAP,Y$4&gt;MESCLUN_BED_CAP,$A33+$B33+Y$4&gt;TOTAL_BEDS_AVAILABLE,($D33+Y$5)&gt;TOTAL_LABOR_HOURS_CAP,MAX(0,($D33+Y$5)-PERMANENT_FIELD_LABOR_HOURS)&gt;TEMP_HOURS_CAP),"",$C33+Y$6-MIN(($D33+Y$5),PERMANENT_FIELD_LABOR_HOURS)*PERMANENT_HOURLY_RATE-MAX(0,($D33+Y$5)-PERMANENT_FIELD_LABOR_HOURS)*TEMP_HOURLY_RATE-FIXED_SEASON_COST)</f>
        <v>-6194.47925106714</v>
      </c>
      <c r="Z33" s="53" t="n">
        <f aca="false">IF(OR($A33&gt;TOMATO_BED_CAP,$B33&gt;CARROT_BED_CAP,Z$4&gt;MESCLUN_BED_CAP,$A33+$B33+Z$4&gt;TOTAL_BEDS_AVAILABLE,($D33+Z$5)&gt;TOTAL_LABOR_HOURS_CAP,MAX(0,($D33+Z$5)-PERMANENT_FIELD_LABOR_HOURS)&gt;TEMP_HOURS_CAP),"",$C33+Z$6-MIN(($D33+Z$5),PERMANENT_FIELD_LABOR_HOURS)*PERMANENT_HOURLY_RATE-MAX(0,($D33+Z$5)-PERMANENT_FIELD_LABOR_HOURS)*TEMP_HOURLY_RATE-FIXED_SEASON_COST)</f>
        <v>-5610.93293675942</v>
      </c>
      <c r="AA33" s="53" t="n">
        <f aca="false">IF(OR($A33&gt;TOMATO_BED_CAP,$B33&gt;CARROT_BED_CAP,AA$4&gt;MESCLUN_BED_CAP,$A33+$B33+AA$4&gt;TOTAL_BEDS_AVAILABLE,($D33+AA$5)&gt;TOTAL_LABOR_HOURS_CAP,MAX(0,($D33+AA$5)-PERMANENT_FIELD_LABOR_HOURS)&gt;TEMP_HOURS_CAP),"",$C33+AA$6-MIN(($D33+AA$5),PERMANENT_FIELD_LABOR_HOURS)*PERMANENT_HOURLY_RATE-MAX(0,($D33+AA$5)-PERMANENT_FIELD_LABOR_HOURS)*TEMP_HOURLY_RATE-FIXED_SEASON_COST)</f>
        <v>-5055.36138709049</v>
      </c>
      <c r="AB33" s="53" t="n">
        <f aca="false">IF(OR($A33&gt;TOMATO_BED_CAP,$B33&gt;CARROT_BED_CAP,AB$4&gt;MESCLUN_BED_CAP,$A33+$B33+AB$4&gt;TOTAL_BEDS_AVAILABLE,($D33+AB$5)&gt;TOTAL_LABOR_HOURS_CAP,MAX(0,($D33+AB$5)-PERMANENT_FIELD_LABOR_HOURS)&gt;TEMP_HOURS_CAP),"",$C33+AB$6-MIN(($D33+AB$5),PERMANENT_FIELD_LABOR_HOURS)*PERMANENT_HOURLY_RATE-MAX(0,($D33+AB$5)-PERMANENT_FIELD_LABOR_HOURS)*TEMP_HOURLY_RATE-FIXED_SEASON_COST)</f>
        <v>-4528.27077528792</v>
      </c>
      <c r="AC33" s="53" t="n">
        <f aca="false">IF(OR($A33&gt;TOMATO_BED_CAP,$B33&gt;CARROT_BED_CAP,AC$4&gt;MESCLUN_BED_CAP,$A33+$B33+AC$4&gt;TOTAL_BEDS_AVAILABLE,($D33+AC$5)&gt;TOTAL_LABOR_HOURS_CAP,MAX(0,($D33+AC$5)-PERMANENT_FIELD_LABOR_HOURS)&gt;TEMP_HOURS_CAP),"",$C33+AC$6-MIN(($D33+AC$5),PERMANENT_FIELD_LABOR_HOURS)*PERMANENT_HOURLY_RATE-MAX(0,($D33+AC$5)-PERMANENT_FIELD_LABOR_HOURS)*TEMP_HOURLY_RATE-FIXED_SEASON_COST)</f>
        <v>-4030.17555785302</v>
      </c>
      <c r="AD33" s="53" t="n">
        <f aca="false">IF(OR($A33&gt;TOMATO_BED_CAP,$B33&gt;CARROT_BED_CAP,AD$4&gt;MESCLUN_BED_CAP,$A33+$B33+AD$4&gt;TOTAL_BEDS_AVAILABLE,($D33+AD$5)&gt;TOTAL_LABOR_HOURS_CAP,MAX(0,($D33+AD$5)-PERMANENT_FIELD_LABOR_HOURS)&gt;TEMP_HOURS_CAP),"",$C33+AD$6-MIN(($D33+AD$5),PERMANENT_FIELD_LABOR_HOURS)*PERMANENT_HOURLY_RATE-MAX(0,($D33+AD$5)-PERMANENT_FIELD_LABOR_HOURS)*TEMP_HOURLY_RATE-FIXED_SEASON_COST)</f>
        <v>-3561.59860255306</v>
      </c>
      <c r="AE33" s="53" t="n">
        <f aca="false">IF(OR($A33&gt;TOMATO_BED_CAP,$B33&gt;CARROT_BED_CAP,AE$4&gt;MESCLUN_BED_CAP,$A33+$B33+AE$4&gt;TOTAL_BEDS_AVAILABLE,($D33+AE$5)&gt;TOTAL_LABOR_HOURS_CAP,MAX(0,($D33+AE$5)-PERMANENT_FIELD_LABOR_HOURS)&gt;TEMP_HOURS_CAP),"",$C33+AE$6-MIN(($D33+AE$5),PERMANENT_FIELD_LABOR_HOURS)*PERMANENT_HOURLY_RATE-MAX(0,($D33+AE$5)-PERMANENT_FIELD_LABOR_HOURS)*TEMP_HOURLY_RATE-FIXED_SEASON_COST)</f>
        <v>-3123.07131831915</v>
      </c>
      <c r="AF33" s="53" t="n">
        <f aca="false">IF(OR($A33&gt;TOMATO_BED_CAP,$B33&gt;CARROT_BED_CAP,AF$4&gt;MESCLUN_BED_CAP,$A33+$B33+AF$4&gt;TOTAL_BEDS_AVAILABLE,($D33+AF$5)&gt;TOTAL_LABOR_HOURS_CAP,MAX(0,($D33+AF$5)-PERMANENT_FIELD_LABOR_HOURS)&gt;TEMP_HOURS_CAP),"",$C33+AF$6-MIN(($D33+AF$5),PERMANENT_FIELD_LABOR_HOURS)*PERMANENT_HOURLY_RATE-MAX(0,($D33+AF$5)-PERMANENT_FIELD_LABOR_HOURS)*TEMP_HOURLY_RATE-FIXED_SEASON_COST)</f>
        <v>-2715.1337870772</v>
      </c>
      <c r="AG33" s="53" t="n">
        <f aca="false">IF(OR($A33&gt;TOMATO_BED_CAP,$B33&gt;CARROT_BED_CAP,AG$4&gt;MESCLUN_BED_CAP,$A33+$B33+AG$4&gt;TOTAL_BEDS_AVAILABLE,($D33+AG$5)&gt;TOTAL_LABOR_HOURS_CAP,MAX(0,($D33+AG$5)-PERMANENT_FIELD_LABOR_HOURS)&gt;TEMP_HOURS_CAP),"",$C33+AG$6-MIN(($D33+AG$5),PERMANENT_FIELD_LABOR_HOURS)*PERMANENT_HOURLY_RATE-MAX(0,($D33+AG$5)-PERMANENT_FIELD_LABOR_HOURS)*TEMP_HOURLY_RATE-FIXED_SEASON_COST)</f>
        <v>-2338.33489754019</v>
      </c>
      <c r="AH33" s="53" t="n">
        <f aca="false">IF(OR($A33&gt;TOMATO_BED_CAP,$B33&gt;CARROT_BED_CAP,AH$4&gt;MESCLUN_BED_CAP,$A33+$B33+AH$4&gt;TOTAL_BEDS_AVAILABLE,($D33+AH$5)&gt;TOTAL_LABOR_HOURS_CAP,MAX(0,($D33+AH$5)-PERMANENT_FIELD_LABOR_HOURS)&gt;TEMP_HOURS_CAP),"",$C33+AH$6-MIN(($D33+AH$5),PERMANENT_FIELD_LABOR_HOURS)*PERMANENT_HOURLY_RATE-MAX(0,($D33+AH$5)-PERMANENT_FIELD_LABOR_HOURS)*TEMP_HOURLY_RATE-FIXED_SEASON_COST)</f>
        <v>-1993.23248098997</v>
      </c>
      <c r="AI33" s="53" t="n">
        <f aca="false">IF(OR($A33&gt;TOMATO_BED_CAP,$B33&gt;CARROT_BED_CAP,AI$4&gt;MESCLUN_BED_CAP,$A33+$B33+AI$4&gt;TOTAL_BEDS_AVAILABLE,($D33+AI$5)&gt;TOTAL_LABOR_HOURS_CAP,MAX(0,($D33+AI$5)-PERMANENT_FIELD_LABOR_HOURS)&gt;TEMP_HOURS_CAP),"",$C33+AI$6-MIN(($D33+AI$5),PERMANENT_FIELD_LABOR_HOURS)*PERMANENT_HOURLY_RATE-MAX(0,($D33+AI$5)-PERMANENT_FIELD_LABOR_HOURS)*TEMP_HOURLY_RATE-FIXED_SEASON_COST)</f>
        <v>-1680.39344907771</v>
      </c>
      <c r="AJ33" s="53" t="n">
        <f aca="false">IF(OR($A33&gt;TOMATO_BED_CAP,$B33&gt;CARROT_BED_CAP,AJ$4&gt;MESCLUN_BED_CAP,$A33+$B33+AJ$4&gt;TOTAL_BEDS_AVAILABLE,($D33+AJ$5)&gt;TOTAL_LABOR_HOURS_CAP,MAX(0,($D33+AJ$5)-PERMANENT_FIELD_LABOR_HOURS)&gt;TEMP_HOURS_CAP),"",$C33+AJ$6-MIN(($D33+AJ$5),PERMANENT_FIELD_LABOR_HOURS)*PERMANENT_HOURLY_RATE-MAX(0,($D33+AJ$5)-PERMANENT_FIELD_LABOR_HOURS)*TEMP_HOURLY_RATE-FIXED_SEASON_COST)</f>
        <v>-1400.39393367196</v>
      </c>
    </row>
    <row r="34" customFormat="false" ht="15" hidden="false" customHeight="false" outlineLevel="0" collapsed="false">
      <c r="A34" s="21" t="n">
        <f aca="false">INT((ROW()-ROW($A$8))/(20+1))</f>
        <v>1</v>
      </c>
      <c r="B34" s="21" t="n">
        <f aca="false">MOD(ROW()-ROW($A$8),20+1)</f>
        <v>5</v>
      </c>
      <c r="C34" s="13" t="n">
        <f aca="false">A34*(TOMATO_REVENUE_PER_BED-TOMATO_FERTILIZER_PER_BED)+B34*(CARROT_REVENUE_PER_BED-CARROT_FERTILIZER_PER_BED)</f>
        <v>16190</v>
      </c>
      <c r="D34" s="14" t="n">
        <f aca="false">INDEX(TOMATO_SCHED_LABOR_HRS,A34+1)+INDEX(CARROT_SCHED_LABOR_HRS,B34+1)</f>
        <v>268.64334744082</v>
      </c>
      <c r="E34" s="13" t="n">
        <f aca="false">IF(COUNT(F34:AJ34)=0,"",MAX(F34:AJ34))</f>
        <v>-392.859216700097</v>
      </c>
      <c r="F34" s="53" t="n">
        <f aca="false">IF(OR($A34&gt;TOMATO_BED_CAP,$B34&gt;CARROT_BED_CAP,F$4&gt;MESCLUN_BED_CAP,$A34+$B34+F$4&gt;TOTAL_BEDS_AVAILABLE,($D34+F$5)&gt;TOTAL_LABOR_HOURS_CAP,MAX(0,($D34+F$5)-PERMANENT_FIELD_LABOR_HOURS)&gt;TEMP_HOURS_CAP),"",$C34+F$6-MIN(($D34+F$5),PERMANENT_FIELD_LABOR_HOURS)*PERMANENT_HOURLY_RATE-MAX(0,($D34+F$5)-PERMANENT_FIELD_LABOR_HOURS)*TEMP_HOURLY_RATE-FIXED_SEASON_COST)</f>
        <v>-13137.2970231453</v>
      </c>
      <c r="G34" s="53" t="n">
        <f aca="false">IF(OR($A34&gt;TOMATO_BED_CAP,$B34&gt;CARROT_BED_CAP,G$4&gt;MESCLUN_BED_CAP,$A34+$B34+G$4&gt;TOTAL_BEDS_AVAILABLE,($D34+G$5)&gt;TOTAL_LABOR_HOURS_CAP,MAX(0,($D34+G$5)-PERMANENT_FIELD_LABOR_HOURS)&gt;TEMP_HOURS_CAP),"",$C34+G$6-MIN(($D34+G$5),PERMANENT_FIELD_LABOR_HOURS)*PERMANENT_HOURLY_RATE-MAX(0,($D34+G$5)-PERMANENT_FIELD_LABOR_HOURS)*TEMP_HOURLY_RATE-FIXED_SEASON_COST)</f>
        <v>-12899.2270231453</v>
      </c>
      <c r="H34" s="53" t="n">
        <f aca="false">IF(OR($A34&gt;TOMATO_BED_CAP,$B34&gt;CARROT_BED_CAP,H$4&gt;MESCLUN_BED_CAP,$A34+$B34+H$4&gt;TOTAL_BEDS_AVAILABLE,($D34+H$5)&gt;TOTAL_LABOR_HOURS_CAP,MAX(0,($D34+H$5)-PERMANENT_FIELD_LABOR_HOURS)&gt;TEMP_HOURS_CAP),"",$C34+H$6-MIN(($D34+H$5),PERMANENT_FIELD_LABOR_HOURS)*PERMANENT_HOURLY_RATE-MAX(0,($D34+H$5)-PERMANENT_FIELD_LABOR_HOURS)*TEMP_HOURLY_RATE-FIXED_SEASON_COST)</f>
        <v>-12700.7052731453</v>
      </c>
      <c r="I34" s="53" t="n">
        <f aca="false">IF(OR($A34&gt;TOMATO_BED_CAP,$B34&gt;CARROT_BED_CAP,I$4&gt;MESCLUN_BED_CAP,$A34+$B34+I$4&gt;TOTAL_BEDS_AVAILABLE,($D34+I$5)&gt;TOTAL_LABOR_HOURS_CAP,MAX(0,($D34+I$5)-PERMANENT_FIELD_LABOR_HOURS)&gt;TEMP_HOURS_CAP),"",$C34+I$6-MIN(($D34+I$5),PERMANENT_FIELD_LABOR_HOURS)*PERMANENT_HOURLY_RATE-MAX(0,($D34+I$5)-PERMANENT_FIELD_LABOR_HOURS)*TEMP_HOURLY_RATE-FIXED_SEASON_COST)</f>
        <v>-12542.4733028328</v>
      </c>
      <c r="J34" s="53" t="n">
        <f aca="false">IF(OR($A34&gt;TOMATO_BED_CAP,$B34&gt;CARROT_BED_CAP,J$4&gt;MESCLUN_BED_CAP,$A34+$B34+J$4&gt;TOTAL_BEDS_AVAILABLE,($D34+J$5)&gt;TOTAL_LABOR_HOURS_CAP,MAX(0,($D34+J$5)-PERMANENT_FIELD_LABOR_HOURS)&gt;TEMP_HOURS_CAP),"",$C34+J$6-MIN(($D34+J$5),PERMANENT_FIELD_LABOR_HOURS)*PERMANENT_HOURLY_RATE-MAX(0,($D34+J$5)-PERMANENT_FIELD_LABOR_HOURS)*TEMP_HOURLY_RATE-FIXED_SEASON_COST)</f>
        <v>-12425.2850007234</v>
      </c>
      <c r="K34" s="53" t="n">
        <f aca="false">IF(OR($A34&gt;TOMATO_BED_CAP,$B34&gt;CARROT_BED_CAP,K$4&gt;MESCLUN_BED_CAP,$A34+$B34+K$4&gt;TOTAL_BEDS_AVAILABLE,($D34+K$5)&gt;TOTAL_LABOR_HOURS_CAP,MAX(0,($D34+K$5)-PERMANENT_FIELD_LABOR_HOURS)&gt;TEMP_HOURS_CAP),"",$C34+K$6-MIN(($D34+K$5),PERMANENT_FIELD_LABOR_HOURS)*PERMANENT_HOURLY_RATE-MAX(0,($D34+K$5)-PERMANENT_FIELD_LABOR_HOURS)*TEMP_HOURLY_RATE-FIXED_SEASON_COST)</f>
        <v>-12349.9068072676</v>
      </c>
      <c r="L34" s="53" t="n">
        <f aca="false">IF(OR($A34&gt;TOMATO_BED_CAP,$B34&gt;CARROT_BED_CAP,L$4&gt;MESCLUN_BED_CAP,$A34+$B34+L$4&gt;TOTAL_BEDS_AVAILABLE,($D34+L$5)&gt;TOTAL_LABOR_HOURS_CAP,MAX(0,($D34+L$5)-PERMANENT_FIELD_LABOR_HOURS)&gt;TEMP_HOURS_CAP),"",$C34+L$6-MIN(($D34+L$5),PERMANENT_FIELD_LABOR_HOURS)*PERMANENT_HOURLY_RATE-MAX(0,($D34+L$5)-PERMANENT_FIELD_LABOR_HOURS)*TEMP_HOURLY_RATE-FIXED_SEASON_COST)</f>
        <v>-12317.1179108539</v>
      </c>
      <c r="M34" s="53" t="n">
        <f aca="false">IF(OR($A34&gt;TOMATO_BED_CAP,$B34&gt;CARROT_BED_CAP,M$4&gt;MESCLUN_BED_CAP,$A34+$B34+M$4&gt;TOTAL_BEDS_AVAILABLE,($D34+M$5)&gt;TOTAL_LABOR_HOURS_CAP,MAX(0,($D34+M$5)-PERMANENT_FIELD_LABOR_HOURS)&gt;TEMP_HOURS_CAP),"",$C34+M$6-MIN(($D34+M$5),PERMANENT_FIELD_LABOR_HOURS)*PERMANENT_HOURLY_RATE-MAX(0,($D34+M$5)-PERMANENT_FIELD_LABOR_HOURS)*TEMP_HOURLY_RATE-FIXED_SEASON_COST)</f>
        <v>-12327.7104467511</v>
      </c>
      <c r="N34" s="53" t="n">
        <f aca="false">IF(OR($A34&gt;TOMATO_BED_CAP,$B34&gt;CARROT_BED_CAP,N$4&gt;MESCLUN_BED_CAP,$A34+$B34+N$4&gt;TOTAL_BEDS_AVAILABLE,($D34+N$5)&gt;TOTAL_LABOR_HOURS_CAP,MAX(0,($D34+N$5)-PERMANENT_FIELD_LABOR_HOURS)&gt;TEMP_HOURS_CAP),"",$C34+N$6-MIN(($D34+N$5),PERMANENT_FIELD_LABOR_HOURS)*PERMANENT_HOURLY_RATE-MAX(0,($D34+N$5)-PERMANENT_FIELD_LABOR_HOURS)*TEMP_HOURLY_RATE-FIXED_SEASON_COST)</f>
        <v>-12382.489699032</v>
      </c>
      <c r="O34" s="53" t="n">
        <f aca="false">IF(OR($A34&gt;TOMATO_BED_CAP,$B34&gt;CARROT_BED_CAP,O$4&gt;MESCLUN_BED_CAP,$A34+$B34+O$4&gt;TOTAL_BEDS_AVAILABLE,($D34+O$5)&gt;TOTAL_LABOR_HOURS_CAP,MAX(0,($D34+O$5)-PERMANENT_FIELD_LABOR_HOURS)&gt;TEMP_HOURS_CAP),"",$C34+O$6-MIN(($D34+O$5),PERMANENT_FIELD_LABOR_HOURS)*PERMANENT_HOURLY_RATE-MAX(0,($D34+O$5)-PERMANENT_FIELD_LABOR_HOURS)*TEMP_HOURLY_RATE-FIXED_SEASON_COST)</f>
        <v>-12455.3371527612</v>
      </c>
      <c r="P34" s="53" t="n">
        <f aca="false">IF(OR($A34&gt;TOMATO_BED_CAP,$B34&gt;CARROT_BED_CAP,P$4&gt;MESCLUN_BED_CAP,$A34+$B34+P$4&gt;TOTAL_BEDS_AVAILABLE,($D34+P$5)&gt;TOTAL_LABOR_HOURS_CAP,MAX(0,($D34+P$5)-PERMANENT_FIELD_LABOR_HOURS)&gt;TEMP_HOURS_CAP),"",$C34+P$6-MIN(($D34+P$5),PERMANENT_FIELD_LABOR_HOURS)*PERMANENT_HOURLY_RATE-MAX(0,($D34+P$5)-PERMANENT_FIELD_LABOR_HOURS)*TEMP_HOURLY_RATE-FIXED_SEASON_COST)</f>
        <v>-11618.1482329098</v>
      </c>
      <c r="Q34" s="53" t="n">
        <f aca="false">IF(OR($A34&gt;TOMATO_BED_CAP,$B34&gt;CARROT_BED_CAP,Q$4&gt;MESCLUN_BED_CAP,$A34+$B34+Q$4&gt;TOTAL_BEDS_AVAILABLE,($D34+Q$5)&gt;TOTAL_LABOR_HOURS_CAP,MAX(0,($D34+Q$5)-PERMANENT_FIELD_LABOR_HOURS)&gt;TEMP_HOURS_CAP),"",$C34+Q$6-MIN(($D34+Q$5),PERMANENT_FIELD_LABOR_HOURS)*PERMANENT_HOURLY_RATE-MAX(0,($D34+Q$5)-PERMANENT_FIELD_LABOR_HOURS)*TEMP_HOURLY_RATE-FIXED_SEASON_COST)</f>
        <v>-10804.3010762119</v>
      </c>
      <c r="R34" s="53" t="n">
        <f aca="false">IF(OR($A34&gt;TOMATO_BED_CAP,$B34&gt;CARROT_BED_CAP,R$4&gt;MESCLUN_BED_CAP,$A34+$B34+R$4&gt;TOTAL_BEDS_AVAILABLE,($D34+R$5)&gt;TOTAL_LABOR_HOURS_CAP,MAX(0,($D34+R$5)-PERMANENT_FIELD_LABOR_HOURS)&gt;TEMP_HOURS_CAP),"",$C34+R$6-MIN(($D34+R$5),PERMANENT_FIELD_LABOR_HOURS)*PERMANENT_HOURLY_RATE-MAX(0,($D34+R$5)-PERMANENT_FIELD_LABOR_HOURS)*TEMP_HOURLY_RATE-FIXED_SEASON_COST)</f>
        <v>-10014.2256625151</v>
      </c>
      <c r="S34" s="53" t="n">
        <f aca="false">IF(OR($A34&gt;TOMATO_BED_CAP,$B34&gt;CARROT_BED_CAP,S$4&gt;MESCLUN_BED_CAP,$A34+$B34+S$4&gt;TOTAL_BEDS_AVAILABLE,($D34+S$5)&gt;TOTAL_LABOR_HOURS_CAP,MAX(0,($D34+S$5)-PERMANENT_FIELD_LABOR_HOURS)&gt;TEMP_HOURS_CAP),"",$C34+S$6-MIN(($D34+S$5),PERMANENT_FIELD_LABOR_HOURS)*PERMANENT_HOURLY_RATE-MAX(0,($D34+S$5)-PERMANENT_FIELD_LABOR_HOURS)*TEMP_HOURLY_RATE-FIXED_SEASON_COST)</f>
        <v>-9248.35907401266</v>
      </c>
      <c r="T34" s="53" t="n">
        <f aca="false">IF(OR($A34&gt;TOMATO_BED_CAP,$B34&gt;CARROT_BED_CAP,T$4&gt;MESCLUN_BED_CAP,$A34+$B34+T$4&gt;TOTAL_BEDS_AVAILABLE,($D34+T$5)&gt;TOTAL_LABOR_HOURS_CAP,MAX(0,($D34+T$5)-PERMANENT_FIELD_LABOR_HOURS)&gt;TEMP_HOURS_CAP),"",$C34+T$6-MIN(($D34+T$5),PERMANENT_FIELD_LABOR_HOURS)*PERMANENT_HOURLY_RATE-MAX(0,($D34+T$5)-PERMANENT_FIELD_LABOR_HOURS)*TEMP_HOURLY_RATE-FIXED_SEASON_COST)</f>
        <v>-8507.14560561782</v>
      </c>
      <c r="U34" s="53" t="n">
        <f aca="false">IF(OR($A34&gt;TOMATO_BED_CAP,$B34&gt;CARROT_BED_CAP,U$4&gt;MESCLUN_BED_CAP,$A34+$B34+U$4&gt;TOTAL_BEDS_AVAILABLE,($D34+U$5)&gt;TOTAL_LABOR_HOURS_CAP,MAX(0,($D34+U$5)-PERMANENT_FIELD_LABOR_HOURS)&gt;TEMP_HOURS_CAP),"",$C34+U$6-MIN(($D34+U$5),PERMANENT_FIELD_LABOR_HOURS)*PERMANENT_HOURLY_RATE-MAX(0,($D34+U$5)-PERMANENT_FIELD_LABOR_HOURS)*TEMP_HOURLY_RATE-FIXED_SEASON_COST)</f>
        <v>-7791.03687698772</v>
      </c>
      <c r="V34" s="53" t="n">
        <f aca="false">IF(OR($A34&gt;TOMATO_BED_CAP,$B34&gt;CARROT_BED_CAP,V$4&gt;MESCLUN_BED_CAP,$A34+$B34+V$4&gt;TOTAL_BEDS_AVAILABLE,($D34+V$5)&gt;TOTAL_LABOR_HOURS_CAP,MAX(0,($D34+V$5)-PERMANENT_FIELD_LABOR_HOURS)&gt;TEMP_HOURS_CAP),"",$C34+V$6-MIN(($D34+V$5),PERMANENT_FIELD_LABOR_HOURS)*PERMANENT_HOURLY_RATE-MAX(0,($D34+V$5)-PERMANENT_FIELD_LABOR_HOURS)*TEMP_HOURLY_RATE-FIXED_SEASON_COST)</f>
        <v>-7100.49194622093</v>
      </c>
      <c r="W34" s="53" t="n">
        <f aca="false">IF(OR($A34&gt;TOMATO_BED_CAP,$B34&gt;CARROT_BED_CAP,W$4&gt;MESCLUN_BED_CAP,$A34+$B34+W$4&gt;TOTAL_BEDS_AVAILABLE,($D34+W$5)&gt;TOTAL_LABOR_HOURS_CAP,MAX(0,($D34+W$5)-PERMANENT_FIELD_LABOR_HOURS)&gt;TEMP_HOURS_CAP),"",$C34+W$6-MIN(($D34+W$5),PERMANENT_FIELD_LABOR_HOURS)*PERMANENT_HOURLY_RATE-MAX(0,($D34+W$5)-PERMANENT_FIELD_LABOR_HOURS)*TEMP_HOURLY_RATE-FIXED_SEASON_COST)</f>
        <v>-6435.97742525287</v>
      </c>
      <c r="X34" s="53" t="n">
        <f aca="false">IF(OR($A34&gt;TOMATO_BED_CAP,$B34&gt;CARROT_BED_CAP,X$4&gt;MESCLUN_BED_CAP,$A34+$B34+X$4&gt;TOTAL_BEDS_AVAILABLE,($D34+X$5)&gt;TOTAL_LABOR_HOURS_CAP,MAX(0,($D34+X$5)-PERMANENT_FIELD_LABOR_HOURS)&gt;TEMP_HOURS_CAP),"",$C34+X$6-MIN(($D34+X$5),PERMANENT_FIELD_LABOR_HOURS)*PERMANENT_HOURLY_RATE-MAX(0,($D34+X$5)-PERMANENT_FIELD_LABOR_HOURS)*TEMP_HOURLY_RATE-FIXED_SEASON_COST)</f>
        <v>-5797.96759697394</v>
      </c>
      <c r="Y34" s="53" t="n">
        <f aca="false">IF(OR($A34&gt;TOMATO_BED_CAP,$B34&gt;CARROT_BED_CAP,Y$4&gt;MESCLUN_BED_CAP,$A34+$B34+Y$4&gt;TOTAL_BEDS_AVAILABLE,($D34+Y$5)&gt;TOTAL_LABOR_HOURS_CAP,MAX(0,($D34+Y$5)-PERMANENT_FIELD_LABOR_HOURS)&gt;TEMP_HOURS_CAP),"",$C34+Y$6-MIN(($D34+Y$5),PERMANENT_FIELD_LABOR_HOURS)*PERMANENT_HOURLY_RATE-MAX(0,($D34+Y$5)-PERMANENT_FIELD_LABOR_HOURS)*TEMP_HOURLY_RATE-FIXED_SEASON_COST)</f>
        <v>-5186.94453409528</v>
      </c>
      <c r="Z34" s="53" t="n">
        <f aca="false">IF(OR($A34&gt;TOMATO_BED_CAP,$B34&gt;CARROT_BED_CAP,Z$4&gt;MESCLUN_BED_CAP,$A34+$B34+Z$4&gt;TOTAL_BEDS_AVAILABLE,($D34+Z$5)&gt;TOTAL_LABOR_HOURS_CAP,MAX(0,($D34+Z$5)-PERMANENT_FIELD_LABOR_HOURS)&gt;TEMP_HOURS_CAP),"",$C34+Z$6-MIN(($D34+Z$5),PERMANENT_FIELD_LABOR_HOURS)*PERMANENT_HOURLY_RATE-MAX(0,($D34+Z$5)-PERMANENT_FIELD_LABOR_HOURS)*TEMP_HOURLY_RATE-FIXED_SEASON_COST)</f>
        <v>-4603.39821978756</v>
      </c>
      <c r="AA34" s="53" t="n">
        <f aca="false">IF(OR($A34&gt;TOMATO_BED_CAP,$B34&gt;CARROT_BED_CAP,AA$4&gt;MESCLUN_BED_CAP,$A34+$B34+AA$4&gt;TOTAL_BEDS_AVAILABLE,($D34+AA$5)&gt;TOTAL_LABOR_HOURS_CAP,MAX(0,($D34+AA$5)-PERMANENT_FIELD_LABOR_HOURS)&gt;TEMP_HOURS_CAP),"",$C34+AA$6-MIN(($D34+AA$5),PERMANENT_FIELD_LABOR_HOURS)*PERMANENT_HOURLY_RATE-MAX(0,($D34+AA$5)-PERMANENT_FIELD_LABOR_HOURS)*TEMP_HOURLY_RATE-FIXED_SEASON_COST)</f>
        <v>-4047.82667011863</v>
      </c>
      <c r="AB34" s="53" t="n">
        <f aca="false">IF(OR($A34&gt;TOMATO_BED_CAP,$B34&gt;CARROT_BED_CAP,AB$4&gt;MESCLUN_BED_CAP,$A34+$B34+AB$4&gt;TOTAL_BEDS_AVAILABLE,($D34+AB$5)&gt;TOTAL_LABOR_HOURS_CAP,MAX(0,($D34+AB$5)-PERMANENT_FIELD_LABOR_HOURS)&gt;TEMP_HOURS_CAP),"",$C34+AB$6-MIN(($D34+AB$5),PERMANENT_FIELD_LABOR_HOURS)*PERMANENT_HOURLY_RATE-MAX(0,($D34+AB$5)-PERMANENT_FIELD_LABOR_HOURS)*TEMP_HOURLY_RATE-FIXED_SEASON_COST)</f>
        <v>-3520.73605831606</v>
      </c>
      <c r="AC34" s="53" t="n">
        <f aca="false">IF(OR($A34&gt;TOMATO_BED_CAP,$B34&gt;CARROT_BED_CAP,AC$4&gt;MESCLUN_BED_CAP,$A34+$B34+AC$4&gt;TOTAL_BEDS_AVAILABLE,($D34+AC$5)&gt;TOTAL_LABOR_HOURS_CAP,MAX(0,($D34+AC$5)-PERMANENT_FIELD_LABOR_HOURS)&gt;TEMP_HOURS_CAP),"",$C34+AC$6-MIN(($D34+AC$5),PERMANENT_FIELD_LABOR_HOURS)*PERMANENT_HOURLY_RATE-MAX(0,($D34+AC$5)-PERMANENT_FIELD_LABOR_HOURS)*TEMP_HOURLY_RATE-FIXED_SEASON_COST)</f>
        <v>-3022.64084088116</v>
      </c>
      <c r="AD34" s="53" t="n">
        <f aca="false">IF(OR($A34&gt;TOMATO_BED_CAP,$B34&gt;CARROT_BED_CAP,AD$4&gt;MESCLUN_BED_CAP,$A34+$B34+AD$4&gt;TOTAL_BEDS_AVAILABLE,($D34+AD$5)&gt;TOTAL_LABOR_HOURS_CAP,MAX(0,($D34+AD$5)-PERMANENT_FIELD_LABOR_HOURS)&gt;TEMP_HOURS_CAP),"",$C34+AD$6-MIN(($D34+AD$5),PERMANENT_FIELD_LABOR_HOURS)*PERMANENT_HOURLY_RATE-MAX(0,($D34+AD$5)-PERMANENT_FIELD_LABOR_HOURS)*TEMP_HOURLY_RATE-FIXED_SEASON_COST)</f>
        <v>-2554.0638855812</v>
      </c>
      <c r="AE34" s="53" t="n">
        <f aca="false">IF(OR($A34&gt;TOMATO_BED_CAP,$B34&gt;CARROT_BED_CAP,AE$4&gt;MESCLUN_BED_CAP,$A34+$B34+AE$4&gt;TOTAL_BEDS_AVAILABLE,($D34+AE$5)&gt;TOTAL_LABOR_HOURS_CAP,MAX(0,($D34+AE$5)-PERMANENT_FIELD_LABOR_HOURS)&gt;TEMP_HOURS_CAP),"",$C34+AE$6-MIN(($D34+AE$5),PERMANENT_FIELD_LABOR_HOURS)*PERMANENT_HOURLY_RATE-MAX(0,($D34+AE$5)-PERMANENT_FIELD_LABOR_HOURS)*TEMP_HOURLY_RATE-FIXED_SEASON_COST)</f>
        <v>-2115.53660134729</v>
      </c>
      <c r="AF34" s="53" t="n">
        <f aca="false">IF(OR($A34&gt;TOMATO_BED_CAP,$B34&gt;CARROT_BED_CAP,AF$4&gt;MESCLUN_BED_CAP,$A34+$B34+AF$4&gt;TOTAL_BEDS_AVAILABLE,($D34+AF$5)&gt;TOTAL_LABOR_HOURS_CAP,MAX(0,($D34+AF$5)-PERMANENT_FIELD_LABOR_HOURS)&gt;TEMP_HOURS_CAP),"",$C34+AF$6-MIN(($D34+AF$5),PERMANENT_FIELD_LABOR_HOURS)*PERMANENT_HOURLY_RATE-MAX(0,($D34+AF$5)-PERMANENT_FIELD_LABOR_HOURS)*TEMP_HOURLY_RATE-FIXED_SEASON_COST)</f>
        <v>-1707.59907010534</v>
      </c>
      <c r="AG34" s="53" t="n">
        <f aca="false">IF(OR($A34&gt;TOMATO_BED_CAP,$B34&gt;CARROT_BED_CAP,AG$4&gt;MESCLUN_BED_CAP,$A34+$B34+AG$4&gt;TOTAL_BEDS_AVAILABLE,($D34+AG$5)&gt;TOTAL_LABOR_HOURS_CAP,MAX(0,($D34+AG$5)-PERMANENT_FIELD_LABOR_HOURS)&gt;TEMP_HOURS_CAP),"",$C34+AG$6-MIN(($D34+AG$5),PERMANENT_FIELD_LABOR_HOURS)*PERMANENT_HOURLY_RATE-MAX(0,($D34+AG$5)-PERMANENT_FIELD_LABOR_HOURS)*TEMP_HOURLY_RATE-FIXED_SEASON_COST)</f>
        <v>-1330.80018056833</v>
      </c>
      <c r="AH34" s="53" t="n">
        <f aca="false">IF(OR($A34&gt;TOMATO_BED_CAP,$B34&gt;CARROT_BED_CAP,AH$4&gt;MESCLUN_BED_CAP,$A34+$B34+AH$4&gt;TOTAL_BEDS_AVAILABLE,($D34+AH$5)&gt;TOTAL_LABOR_HOURS_CAP,MAX(0,($D34+AH$5)-PERMANENT_FIELD_LABOR_HOURS)&gt;TEMP_HOURS_CAP),"",$C34+AH$6-MIN(($D34+AH$5),PERMANENT_FIELD_LABOR_HOURS)*PERMANENT_HOURLY_RATE-MAX(0,($D34+AH$5)-PERMANENT_FIELD_LABOR_HOURS)*TEMP_HOURLY_RATE-FIXED_SEASON_COST)</f>
        <v>-985.697764018114</v>
      </c>
      <c r="AI34" s="53" t="n">
        <f aca="false">IF(OR($A34&gt;TOMATO_BED_CAP,$B34&gt;CARROT_BED_CAP,AI$4&gt;MESCLUN_BED_CAP,$A34+$B34+AI$4&gt;TOTAL_BEDS_AVAILABLE,($D34+AI$5)&gt;TOTAL_LABOR_HOURS_CAP,MAX(0,($D34+AI$5)-PERMANENT_FIELD_LABOR_HOURS)&gt;TEMP_HOURS_CAP),"",$C34+AI$6-MIN(($D34+AI$5),PERMANENT_FIELD_LABOR_HOURS)*PERMANENT_HOURLY_RATE-MAX(0,($D34+AI$5)-PERMANENT_FIELD_LABOR_HOURS)*TEMP_HOURLY_RATE-FIXED_SEASON_COST)</f>
        <v>-672.858732105855</v>
      </c>
      <c r="AJ34" s="53" t="n">
        <f aca="false">IF(OR($A34&gt;TOMATO_BED_CAP,$B34&gt;CARROT_BED_CAP,AJ$4&gt;MESCLUN_BED_CAP,$A34+$B34+AJ$4&gt;TOTAL_BEDS_AVAILABLE,($D34+AJ$5)&gt;TOTAL_LABOR_HOURS_CAP,MAX(0,($D34+AJ$5)-PERMANENT_FIELD_LABOR_HOURS)&gt;TEMP_HOURS_CAP),"",$C34+AJ$6-MIN(($D34+AJ$5),PERMANENT_FIELD_LABOR_HOURS)*PERMANENT_HOURLY_RATE-MAX(0,($D34+AJ$5)-PERMANENT_FIELD_LABOR_HOURS)*TEMP_HOURLY_RATE-FIXED_SEASON_COST)</f>
        <v>-392.859216700097</v>
      </c>
    </row>
    <row r="35" customFormat="false" ht="15" hidden="false" customHeight="false" outlineLevel="0" collapsed="false">
      <c r="A35" s="21" t="n">
        <f aca="false">INT((ROW()-ROW($A$8))/(20+1))</f>
        <v>1</v>
      </c>
      <c r="B35" s="21" t="n">
        <f aca="false">MOD(ROW()-ROW($A$8),20+1)</f>
        <v>6</v>
      </c>
      <c r="C35" s="13" t="n">
        <f aca="false">A35*(TOMATO_REVENUE_PER_BED-TOMATO_FERTILIZER_PER_BED)+B35*(CARROT_REVENUE_PER_BED-CARROT_FERTILIZER_PER_BED)</f>
        <v>17844</v>
      </c>
      <c r="D35" s="14" t="n">
        <f aca="false">INDEX(TOMATO_SCHED_LABOR_HRS,A35+1)+INDEX(CARROT_SCHED_LABOR_HRS,B35+1)</f>
        <v>307.661317352209</v>
      </c>
      <c r="E35" s="13" t="n">
        <f aca="false">IF(COUNT(F35:AJ35)=0,"",MAX(F35:AJ35))</f>
        <v>583.788825638196</v>
      </c>
      <c r="F35" s="53" t="n">
        <f aca="false">IF(OR($A35&gt;TOMATO_BED_CAP,$B35&gt;CARROT_BED_CAP,F$4&gt;MESCLUN_BED_CAP,$A35+$B35+F$4&gt;TOTAL_BEDS_AVAILABLE,($D35+F$5)&gt;TOTAL_LABOR_HOURS_CAP,MAX(0,($D35+F$5)-PERMANENT_FIELD_LABOR_HOURS)&gt;TEMP_HOURS_CAP),"",$C35+F$6-MIN(($D35+F$5),PERMANENT_FIELD_LABOR_HOURS)*PERMANENT_HOURLY_RATE-MAX(0,($D35+F$5)-PERMANENT_FIELD_LABOR_HOURS)*TEMP_HOURLY_RATE-FIXED_SEASON_COST)</f>
        <v>-12838.0009384687</v>
      </c>
      <c r="G35" s="53" t="n">
        <f aca="false">IF(OR($A35&gt;TOMATO_BED_CAP,$B35&gt;CARROT_BED_CAP,G$4&gt;MESCLUN_BED_CAP,$A35+$B35+G$4&gt;TOTAL_BEDS_AVAILABLE,($D35+G$5)&gt;TOTAL_LABOR_HOURS_CAP,MAX(0,($D35+G$5)-PERMANENT_FIELD_LABOR_HOURS)&gt;TEMP_HOURS_CAP),"",$C35+G$6-MIN(($D35+G$5),PERMANENT_FIELD_LABOR_HOURS)*PERMANENT_HOURLY_RATE-MAX(0,($D35+G$5)-PERMANENT_FIELD_LABOR_HOURS)*TEMP_HOURLY_RATE-FIXED_SEASON_COST)</f>
        <v>-12599.9309384687</v>
      </c>
      <c r="H35" s="53" t="n">
        <f aca="false">IF(OR($A35&gt;TOMATO_BED_CAP,$B35&gt;CARROT_BED_CAP,H$4&gt;MESCLUN_BED_CAP,$A35+$B35+H$4&gt;TOTAL_BEDS_AVAILABLE,($D35+H$5)&gt;TOTAL_LABOR_HOURS_CAP,MAX(0,($D35+H$5)-PERMANENT_FIELD_LABOR_HOURS)&gt;TEMP_HOURS_CAP),"",$C35+H$6-MIN(($D35+H$5),PERMANENT_FIELD_LABOR_HOURS)*PERMANENT_HOURLY_RATE-MAX(0,($D35+H$5)-PERMANENT_FIELD_LABOR_HOURS)*TEMP_HOURLY_RATE-FIXED_SEASON_COST)</f>
        <v>-12401.4091884687</v>
      </c>
      <c r="I35" s="53" t="n">
        <f aca="false">IF(OR($A35&gt;TOMATO_BED_CAP,$B35&gt;CARROT_BED_CAP,I$4&gt;MESCLUN_BED_CAP,$A35+$B35+I$4&gt;TOTAL_BEDS_AVAILABLE,($D35+I$5)&gt;TOTAL_LABOR_HOURS_CAP,MAX(0,($D35+I$5)-PERMANENT_FIELD_LABOR_HOURS)&gt;TEMP_HOURS_CAP),"",$C35+I$6-MIN(($D35+I$5),PERMANENT_FIELD_LABOR_HOURS)*PERMANENT_HOURLY_RATE-MAX(0,($D35+I$5)-PERMANENT_FIELD_LABOR_HOURS)*TEMP_HOURLY_RATE-FIXED_SEASON_COST)</f>
        <v>-12243.1772181562</v>
      </c>
      <c r="J35" s="53" t="n">
        <f aca="false">IF(OR($A35&gt;TOMATO_BED_CAP,$B35&gt;CARROT_BED_CAP,J$4&gt;MESCLUN_BED_CAP,$A35+$B35+J$4&gt;TOTAL_BEDS_AVAILABLE,($D35+J$5)&gt;TOTAL_LABOR_HOURS_CAP,MAX(0,($D35+J$5)-PERMANENT_FIELD_LABOR_HOURS)&gt;TEMP_HOURS_CAP),"",$C35+J$6-MIN(($D35+J$5),PERMANENT_FIELD_LABOR_HOURS)*PERMANENT_HOURLY_RATE-MAX(0,($D35+J$5)-PERMANENT_FIELD_LABOR_HOURS)*TEMP_HOURLY_RATE-FIXED_SEASON_COST)</f>
        <v>-12125.9889160468</v>
      </c>
      <c r="K35" s="53" t="n">
        <f aca="false">IF(OR($A35&gt;TOMATO_BED_CAP,$B35&gt;CARROT_BED_CAP,K$4&gt;MESCLUN_BED_CAP,$A35+$B35+K$4&gt;TOTAL_BEDS_AVAILABLE,($D35+K$5)&gt;TOTAL_LABOR_HOURS_CAP,MAX(0,($D35+K$5)-PERMANENT_FIELD_LABOR_HOURS)&gt;TEMP_HOURS_CAP),"",$C35+K$6-MIN(($D35+K$5),PERMANENT_FIELD_LABOR_HOURS)*PERMANENT_HOURLY_RATE-MAX(0,($D35+K$5)-PERMANENT_FIELD_LABOR_HOURS)*TEMP_HOURLY_RATE-FIXED_SEASON_COST)</f>
        <v>-12050.610722591</v>
      </c>
      <c r="L35" s="53" t="n">
        <f aca="false">IF(OR($A35&gt;TOMATO_BED_CAP,$B35&gt;CARROT_BED_CAP,L$4&gt;MESCLUN_BED_CAP,$A35+$B35+L$4&gt;TOTAL_BEDS_AVAILABLE,($D35+L$5)&gt;TOTAL_LABOR_HOURS_CAP,MAX(0,($D35+L$5)-PERMANENT_FIELD_LABOR_HOURS)&gt;TEMP_HOURS_CAP),"",$C35+L$6-MIN(($D35+L$5),PERMANENT_FIELD_LABOR_HOURS)*PERMANENT_HOURLY_RATE-MAX(0,($D35+L$5)-PERMANENT_FIELD_LABOR_HOURS)*TEMP_HOURLY_RATE-FIXED_SEASON_COST)</f>
        <v>-12017.8218261773</v>
      </c>
      <c r="M35" s="53" t="n">
        <f aca="false">IF(OR($A35&gt;TOMATO_BED_CAP,$B35&gt;CARROT_BED_CAP,M$4&gt;MESCLUN_BED_CAP,$A35+$B35+M$4&gt;TOTAL_BEDS_AVAILABLE,($D35+M$5)&gt;TOTAL_LABOR_HOURS_CAP,MAX(0,($D35+M$5)-PERMANENT_FIELD_LABOR_HOURS)&gt;TEMP_HOURS_CAP),"",$C35+M$6-MIN(($D35+M$5),PERMANENT_FIELD_LABOR_HOURS)*PERMANENT_HOURLY_RATE-MAX(0,($D35+M$5)-PERMANENT_FIELD_LABOR_HOURS)*TEMP_HOURLY_RATE-FIXED_SEASON_COST)</f>
        <v>-12028.4143620745</v>
      </c>
      <c r="N35" s="53" t="n">
        <f aca="false">IF(OR($A35&gt;TOMATO_BED_CAP,$B35&gt;CARROT_BED_CAP,N$4&gt;MESCLUN_BED_CAP,$A35+$B35+N$4&gt;TOTAL_BEDS_AVAILABLE,($D35+N$5)&gt;TOTAL_LABOR_HOURS_CAP,MAX(0,($D35+N$5)-PERMANENT_FIELD_LABOR_HOURS)&gt;TEMP_HOURS_CAP),"",$C35+N$6-MIN(($D35+N$5),PERMANENT_FIELD_LABOR_HOURS)*PERMANENT_HOURLY_RATE-MAX(0,($D35+N$5)-PERMANENT_FIELD_LABOR_HOURS)*TEMP_HOURLY_RATE-FIXED_SEASON_COST)</f>
        <v>-12083.1936143554</v>
      </c>
      <c r="O35" s="53" t="n">
        <f aca="false">IF(OR($A35&gt;TOMATO_BED_CAP,$B35&gt;CARROT_BED_CAP,O$4&gt;MESCLUN_BED_CAP,$A35+$B35+O$4&gt;TOTAL_BEDS_AVAILABLE,($D35+O$5)&gt;TOTAL_LABOR_HOURS_CAP,MAX(0,($D35+O$5)-PERMANENT_FIELD_LABOR_HOURS)&gt;TEMP_HOURS_CAP),"",$C35+O$6-MIN(($D35+O$5),PERMANENT_FIELD_LABOR_HOURS)*PERMANENT_HOURLY_RATE-MAX(0,($D35+O$5)-PERMANENT_FIELD_LABOR_HOURS)*TEMP_HOURLY_RATE-FIXED_SEASON_COST)</f>
        <v>-11478.6891104229</v>
      </c>
      <c r="P35" s="53" t="n">
        <f aca="false">IF(OR($A35&gt;TOMATO_BED_CAP,$B35&gt;CARROT_BED_CAP,P$4&gt;MESCLUN_BED_CAP,$A35+$B35+P$4&gt;TOTAL_BEDS_AVAILABLE,($D35+P$5)&gt;TOTAL_LABOR_HOURS_CAP,MAX(0,($D35+P$5)-PERMANENT_FIELD_LABOR_HOURS)&gt;TEMP_HOURS_CAP),"",$C35+P$6-MIN(($D35+P$5),PERMANENT_FIELD_LABOR_HOURS)*PERMANENT_HOURLY_RATE-MAX(0,($D35+P$5)-PERMANENT_FIELD_LABOR_HOURS)*TEMP_HOURLY_RATE-FIXED_SEASON_COST)</f>
        <v>-10641.5001905715</v>
      </c>
      <c r="Q35" s="53" t="n">
        <f aca="false">IF(OR($A35&gt;TOMATO_BED_CAP,$B35&gt;CARROT_BED_CAP,Q$4&gt;MESCLUN_BED_CAP,$A35+$B35+Q$4&gt;TOTAL_BEDS_AVAILABLE,($D35+Q$5)&gt;TOTAL_LABOR_HOURS_CAP,MAX(0,($D35+Q$5)-PERMANENT_FIELD_LABOR_HOURS)&gt;TEMP_HOURS_CAP),"",$C35+Q$6-MIN(($D35+Q$5),PERMANENT_FIELD_LABOR_HOURS)*PERMANENT_HOURLY_RATE-MAX(0,($D35+Q$5)-PERMANENT_FIELD_LABOR_HOURS)*TEMP_HOURLY_RATE-FIXED_SEASON_COST)</f>
        <v>-9827.65303387362</v>
      </c>
      <c r="R35" s="53" t="n">
        <f aca="false">IF(OR($A35&gt;TOMATO_BED_CAP,$B35&gt;CARROT_BED_CAP,R$4&gt;MESCLUN_BED_CAP,$A35+$B35+R$4&gt;TOTAL_BEDS_AVAILABLE,($D35+R$5)&gt;TOTAL_LABOR_HOURS_CAP,MAX(0,($D35+R$5)-PERMANENT_FIELD_LABOR_HOURS)&gt;TEMP_HOURS_CAP),"",$C35+R$6-MIN(($D35+R$5),PERMANENT_FIELD_LABOR_HOURS)*PERMANENT_HOURLY_RATE-MAX(0,($D35+R$5)-PERMANENT_FIELD_LABOR_HOURS)*TEMP_HOURLY_RATE-FIXED_SEASON_COST)</f>
        <v>-9037.57762017682</v>
      </c>
      <c r="S35" s="53" t="n">
        <f aca="false">IF(OR($A35&gt;TOMATO_BED_CAP,$B35&gt;CARROT_BED_CAP,S$4&gt;MESCLUN_BED_CAP,$A35+$B35+S$4&gt;TOTAL_BEDS_AVAILABLE,($D35+S$5)&gt;TOTAL_LABOR_HOURS_CAP,MAX(0,($D35+S$5)-PERMANENT_FIELD_LABOR_HOURS)&gt;TEMP_HOURS_CAP),"",$C35+S$6-MIN(($D35+S$5),PERMANENT_FIELD_LABOR_HOURS)*PERMANENT_HOURLY_RATE-MAX(0,($D35+S$5)-PERMANENT_FIELD_LABOR_HOURS)*TEMP_HOURLY_RATE-FIXED_SEASON_COST)</f>
        <v>-8271.71103167437</v>
      </c>
      <c r="T35" s="53" t="n">
        <f aca="false">IF(OR($A35&gt;TOMATO_BED_CAP,$B35&gt;CARROT_BED_CAP,T$4&gt;MESCLUN_BED_CAP,$A35+$B35+T$4&gt;TOTAL_BEDS_AVAILABLE,($D35+T$5)&gt;TOTAL_LABOR_HOURS_CAP,MAX(0,($D35+T$5)-PERMANENT_FIELD_LABOR_HOURS)&gt;TEMP_HOURS_CAP),"",$C35+T$6-MIN(($D35+T$5),PERMANENT_FIELD_LABOR_HOURS)*PERMANENT_HOURLY_RATE-MAX(0,($D35+T$5)-PERMANENT_FIELD_LABOR_HOURS)*TEMP_HOURLY_RATE-FIXED_SEASON_COST)</f>
        <v>-7530.49756327953</v>
      </c>
      <c r="U35" s="53" t="n">
        <f aca="false">IF(OR($A35&gt;TOMATO_BED_CAP,$B35&gt;CARROT_BED_CAP,U$4&gt;MESCLUN_BED_CAP,$A35+$B35+U$4&gt;TOTAL_BEDS_AVAILABLE,($D35+U$5)&gt;TOTAL_LABOR_HOURS_CAP,MAX(0,($D35+U$5)-PERMANENT_FIELD_LABOR_HOURS)&gt;TEMP_HOURS_CAP),"",$C35+U$6-MIN(($D35+U$5),PERMANENT_FIELD_LABOR_HOURS)*PERMANENT_HOURLY_RATE-MAX(0,($D35+U$5)-PERMANENT_FIELD_LABOR_HOURS)*TEMP_HOURLY_RATE-FIXED_SEASON_COST)</f>
        <v>-6814.38883464942</v>
      </c>
      <c r="V35" s="53" t="n">
        <f aca="false">IF(OR($A35&gt;TOMATO_BED_CAP,$B35&gt;CARROT_BED_CAP,V$4&gt;MESCLUN_BED_CAP,$A35+$B35+V$4&gt;TOTAL_BEDS_AVAILABLE,($D35+V$5)&gt;TOTAL_LABOR_HOURS_CAP,MAX(0,($D35+V$5)-PERMANENT_FIELD_LABOR_HOURS)&gt;TEMP_HOURS_CAP),"",$C35+V$6-MIN(($D35+V$5),PERMANENT_FIELD_LABOR_HOURS)*PERMANENT_HOURLY_RATE-MAX(0,($D35+V$5)-PERMANENT_FIELD_LABOR_HOURS)*TEMP_HOURLY_RATE-FIXED_SEASON_COST)</f>
        <v>-6123.84390388264</v>
      </c>
      <c r="W35" s="53" t="n">
        <f aca="false">IF(OR($A35&gt;TOMATO_BED_CAP,$B35&gt;CARROT_BED_CAP,W$4&gt;MESCLUN_BED_CAP,$A35+$B35+W$4&gt;TOTAL_BEDS_AVAILABLE,($D35+W$5)&gt;TOTAL_LABOR_HOURS_CAP,MAX(0,($D35+W$5)-PERMANENT_FIELD_LABOR_HOURS)&gt;TEMP_HOURS_CAP),"",$C35+W$6-MIN(($D35+W$5),PERMANENT_FIELD_LABOR_HOURS)*PERMANENT_HOURLY_RATE-MAX(0,($D35+W$5)-PERMANENT_FIELD_LABOR_HOURS)*TEMP_HOURLY_RATE-FIXED_SEASON_COST)</f>
        <v>-5459.32938291457</v>
      </c>
      <c r="X35" s="53" t="n">
        <f aca="false">IF(OR($A35&gt;TOMATO_BED_CAP,$B35&gt;CARROT_BED_CAP,X$4&gt;MESCLUN_BED_CAP,$A35+$B35+X$4&gt;TOTAL_BEDS_AVAILABLE,($D35+X$5)&gt;TOTAL_LABOR_HOURS_CAP,MAX(0,($D35+X$5)-PERMANENT_FIELD_LABOR_HOURS)&gt;TEMP_HOURS_CAP),"",$C35+X$6-MIN(($D35+X$5),PERMANENT_FIELD_LABOR_HOURS)*PERMANENT_HOURLY_RATE-MAX(0,($D35+X$5)-PERMANENT_FIELD_LABOR_HOURS)*TEMP_HOURLY_RATE-FIXED_SEASON_COST)</f>
        <v>-4821.31955463565</v>
      </c>
      <c r="Y35" s="53" t="n">
        <f aca="false">IF(OR($A35&gt;TOMATO_BED_CAP,$B35&gt;CARROT_BED_CAP,Y$4&gt;MESCLUN_BED_CAP,$A35+$B35+Y$4&gt;TOTAL_BEDS_AVAILABLE,($D35+Y$5)&gt;TOTAL_LABOR_HOURS_CAP,MAX(0,($D35+Y$5)-PERMANENT_FIELD_LABOR_HOURS)&gt;TEMP_HOURS_CAP),"",$C35+Y$6-MIN(($D35+Y$5),PERMANENT_FIELD_LABOR_HOURS)*PERMANENT_HOURLY_RATE-MAX(0,($D35+Y$5)-PERMANENT_FIELD_LABOR_HOURS)*TEMP_HOURLY_RATE-FIXED_SEASON_COST)</f>
        <v>-4210.29649175699</v>
      </c>
      <c r="Z35" s="53" t="n">
        <f aca="false">IF(OR($A35&gt;TOMATO_BED_CAP,$B35&gt;CARROT_BED_CAP,Z$4&gt;MESCLUN_BED_CAP,$A35+$B35+Z$4&gt;TOTAL_BEDS_AVAILABLE,($D35+Z$5)&gt;TOTAL_LABOR_HOURS_CAP,MAX(0,($D35+Z$5)-PERMANENT_FIELD_LABOR_HOURS)&gt;TEMP_HOURS_CAP),"",$C35+Z$6-MIN(($D35+Z$5),PERMANENT_FIELD_LABOR_HOURS)*PERMANENT_HOURLY_RATE-MAX(0,($D35+Z$5)-PERMANENT_FIELD_LABOR_HOURS)*TEMP_HOURLY_RATE-FIXED_SEASON_COST)</f>
        <v>-3626.75017744927</v>
      </c>
      <c r="AA35" s="53" t="n">
        <f aca="false">IF(OR($A35&gt;TOMATO_BED_CAP,$B35&gt;CARROT_BED_CAP,AA$4&gt;MESCLUN_BED_CAP,$A35+$B35+AA$4&gt;TOTAL_BEDS_AVAILABLE,($D35+AA$5)&gt;TOTAL_LABOR_HOURS_CAP,MAX(0,($D35+AA$5)-PERMANENT_FIELD_LABOR_HOURS)&gt;TEMP_HOURS_CAP),"",$C35+AA$6-MIN(($D35+AA$5),PERMANENT_FIELD_LABOR_HOURS)*PERMANENT_HOURLY_RATE-MAX(0,($D35+AA$5)-PERMANENT_FIELD_LABOR_HOURS)*TEMP_HOURLY_RATE-FIXED_SEASON_COST)</f>
        <v>-3071.17862778033</v>
      </c>
      <c r="AB35" s="53" t="n">
        <f aca="false">IF(OR($A35&gt;TOMATO_BED_CAP,$B35&gt;CARROT_BED_CAP,AB$4&gt;MESCLUN_BED_CAP,$A35+$B35+AB$4&gt;TOTAL_BEDS_AVAILABLE,($D35+AB$5)&gt;TOTAL_LABOR_HOURS_CAP,MAX(0,($D35+AB$5)-PERMANENT_FIELD_LABOR_HOURS)&gt;TEMP_HOURS_CAP),"",$C35+AB$6-MIN(($D35+AB$5),PERMANENT_FIELD_LABOR_HOURS)*PERMANENT_HOURLY_RATE-MAX(0,($D35+AB$5)-PERMANENT_FIELD_LABOR_HOURS)*TEMP_HOURLY_RATE-FIXED_SEASON_COST)</f>
        <v>-2544.08801597777</v>
      </c>
      <c r="AC35" s="53" t="n">
        <f aca="false">IF(OR($A35&gt;TOMATO_BED_CAP,$B35&gt;CARROT_BED_CAP,AC$4&gt;MESCLUN_BED_CAP,$A35+$B35+AC$4&gt;TOTAL_BEDS_AVAILABLE,($D35+AC$5)&gt;TOTAL_LABOR_HOURS_CAP,MAX(0,($D35+AC$5)-PERMANENT_FIELD_LABOR_HOURS)&gt;TEMP_HOURS_CAP),"",$C35+AC$6-MIN(($D35+AC$5),PERMANENT_FIELD_LABOR_HOURS)*PERMANENT_HOURLY_RATE-MAX(0,($D35+AC$5)-PERMANENT_FIELD_LABOR_HOURS)*TEMP_HOURLY_RATE-FIXED_SEASON_COST)</f>
        <v>-2045.99279854286</v>
      </c>
      <c r="AD35" s="53" t="n">
        <f aca="false">IF(OR($A35&gt;TOMATO_BED_CAP,$B35&gt;CARROT_BED_CAP,AD$4&gt;MESCLUN_BED_CAP,$A35+$B35+AD$4&gt;TOTAL_BEDS_AVAILABLE,($D35+AD$5)&gt;TOTAL_LABOR_HOURS_CAP,MAX(0,($D35+AD$5)-PERMANENT_FIELD_LABOR_HOURS)&gt;TEMP_HOURS_CAP),"",$C35+AD$6-MIN(($D35+AD$5),PERMANENT_FIELD_LABOR_HOURS)*PERMANENT_HOURLY_RATE-MAX(0,($D35+AD$5)-PERMANENT_FIELD_LABOR_HOURS)*TEMP_HOURLY_RATE-FIXED_SEASON_COST)</f>
        <v>-1577.41584324291</v>
      </c>
      <c r="AE35" s="53" t="n">
        <f aca="false">IF(OR($A35&gt;TOMATO_BED_CAP,$B35&gt;CARROT_BED_CAP,AE$4&gt;MESCLUN_BED_CAP,$A35+$B35+AE$4&gt;TOTAL_BEDS_AVAILABLE,($D35+AE$5)&gt;TOTAL_LABOR_HOURS_CAP,MAX(0,($D35+AE$5)-PERMANENT_FIELD_LABOR_HOURS)&gt;TEMP_HOURS_CAP),"",$C35+AE$6-MIN(($D35+AE$5),PERMANENT_FIELD_LABOR_HOURS)*PERMANENT_HOURLY_RATE-MAX(0,($D35+AE$5)-PERMANENT_FIELD_LABOR_HOURS)*TEMP_HOURLY_RATE-FIXED_SEASON_COST)</f>
        <v>-1138.888559009</v>
      </c>
      <c r="AF35" s="53" t="n">
        <f aca="false">IF(OR($A35&gt;TOMATO_BED_CAP,$B35&gt;CARROT_BED_CAP,AF$4&gt;MESCLUN_BED_CAP,$A35+$B35+AF$4&gt;TOTAL_BEDS_AVAILABLE,($D35+AF$5)&gt;TOTAL_LABOR_HOURS_CAP,MAX(0,($D35+AF$5)-PERMANENT_FIELD_LABOR_HOURS)&gt;TEMP_HOURS_CAP),"",$C35+AF$6-MIN(($D35+AF$5),PERMANENT_FIELD_LABOR_HOURS)*PERMANENT_HOURLY_RATE-MAX(0,($D35+AF$5)-PERMANENT_FIELD_LABOR_HOURS)*TEMP_HOURLY_RATE-FIXED_SEASON_COST)</f>
        <v>-730.951027767049</v>
      </c>
      <c r="AG35" s="53" t="n">
        <f aca="false">IF(OR($A35&gt;TOMATO_BED_CAP,$B35&gt;CARROT_BED_CAP,AG$4&gt;MESCLUN_BED_CAP,$A35+$B35+AG$4&gt;TOTAL_BEDS_AVAILABLE,($D35+AG$5)&gt;TOTAL_LABOR_HOURS_CAP,MAX(0,($D35+AG$5)-PERMANENT_FIELD_LABOR_HOURS)&gt;TEMP_HOURS_CAP),"",$C35+AG$6-MIN(($D35+AG$5),PERMANENT_FIELD_LABOR_HOURS)*PERMANENT_HOURLY_RATE-MAX(0,($D35+AG$5)-PERMANENT_FIELD_LABOR_HOURS)*TEMP_HOURLY_RATE-FIXED_SEASON_COST)</f>
        <v>-354.152138230034</v>
      </c>
      <c r="AH35" s="53" t="n">
        <f aca="false">IF(OR($A35&gt;TOMATO_BED_CAP,$B35&gt;CARROT_BED_CAP,AH$4&gt;MESCLUN_BED_CAP,$A35+$B35+AH$4&gt;TOTAL_BEDS_AVAILABLE,($D35+AH$5)&gt;TOTAL_LABOR_HOURS_CAP,MAX(0,($D35+AH$5)-PERMANENT_FIELD_LABOR_HOURS)&gt;TEMP_HOURS_CAP),"",$C35+AH$6-MIN(($D35+AH$5),PERMANENT_FIELD_LABOR_HOURS)*PERMANENT_HOURLY_RATE-MAX(0,($D35+AH$5)-PERMANENT_FIELD_LABOR_HOURS)*TEMP_HOURLY_RATE-FIXED_SEASON_COST)</f>
        <v>-9.04972167981396</v>
      </c>
      <c r="AI35" s="53" t="n">
        <f aca="false">IF(OR($A35&gt;TOMATO_BED_CAP,$B35&gt;CARROT_BED_CAP,AI$4&gt;MESCLUN_BED_CAP,$A35+$B35+AI$4&gt;TOTAL_BEDS_AVAILABLE,($D35+AI$5)&gt;TOTAL_LABOR_HOURS_CAP,MAX(0,($D35+AI$5)-PERMANENT_FIELD_LABOR_HOURS)&gt;TEMP_HOURS_CAP),"",$C35+AI$6-MIN(($D35+AI$5),PERMANENT_FIELD_LABOR_HOURS)*PERMANENT_HOURLY_RATE-MAX(0,($D35+AI$5)-PERMANENT_FIELD_LABOR_HOURS)*TEMP_HOURLY_RATE-FIXED_SEASON_COST)</f>
        <v>303.789310232445</v>
      </c>
      <c r="AJ35" s="53" t="n">
        <f aca="false">IF(OR($A35&gt;TOMATO_BED_CAP,$B35&gt;CARROT_BED_CAP,AJ$4&gt;MESCLUN_BED_CAP,$A35+$B35+AJ$4&gt;TOTAL_BEDS_AVAILABLE,($D35+AJ$5)&gt;TOTAL_LABOR_HOURS_CAP,MAX(0,($D35+AJ$5)-PERMANENT_FIELD_LABOR_HOURS)&gt;TEMP_HOURS_CAP),"",$C35+AJ$6-MIN(($D35+AJ$5),PERMANENT_FIELD_LABOR_HOURS)*PERMANENT_HOURLY_RATE-MAX(0,($D35+AJ$5)-PERMANENT_FIELD_LABOR_HOURS)*TEMP_HOURLY_RATE-FIXED_SEASON_COST)</f>
        <v>583.788825638196</v>
      </c>
    </row>
    <row r="36" customFormat="false" ht="15" hidden="false" customHeight="false" outlineLevel="0" collapsed="false">
      <c r="A36" s="21" t="n">
        <f aca="false">INT((ROW()-ROW($A$8))/(20+1))</f>
        <v>1</v>
      </c>
      <c r="B36" s="21" t="n">
        <f aca="false">MOD(ROW()-ROW($A$8),20+1)</f>
        <v>7</v>
      </c>
      <c r="C36" s="13" t="n">
        <f aca="false">A36*(TOMATO_REVENUE_PER_BED-TOMATO_FERTILIZER_PER_BED)+B36*(CARROT_REVENUE_PER_BED-CARROT_FERTILIZER_PER_BED)</f>
        <v>19498</v>
      </c>
      <c r="D36" s="14" t="n">
        <f aca="false">INDEX(TOMATO_SCHED_LABOR_HRS,A36+1)+INDEX(CARROT_SCHED_LABOR_HRS,B36+1)</f>
        <v>348.524158667017</v>
      </c>
      <c r="E36" s="13" t="n">
        <f aca="false">IF(COUNT(F36:AJ36)=0,"",MAX(F36:AJ36))</f>
        <v>1528.40990041314</v>
      </c>
      <c r="F36" s="53" t="n">
        <f aca="false">IF(OR($A36&gt;TOMATO_BED_CAP,$B36&gt;CARROT_BED_CAP,F$4&gt;MESCLUN_BED_CAP,$A36+$B36+F$4&gt;TOTAL_BEDS_AVAILABLE,($D36+F$5)&gt;TOTAL_LABOR_HOURS_CAP,MAX(0,($D36+F$5)-PERMANENT_FIELD_LABOR_HOURS)&gt;TEMP_HOURS_CAP),"",$C36+F$6-MIN(($D36+F$5),PERMANENT_FIELD_LABOR_HOURS)*PERMANENT_HOURLY_RATE-MAX(0,($D36+F$5)-PERMANENT_FIELD_LABOR_HOURS)*TEMP_HOURLY_RATE-FIXED_SEASON_COST)</f>
        <v>-12602.7587889188</v>
      </c>
      <c r="G36" s="53" t="n">
        <f aca="false">IF(OR($A36&gt;TOMATO_BED_CAP,$B36&gt;CARROT_BED_CAP,G$4&gt;MESCLUN_BED_CAP,$A36+$B36+G$4&gt;TOTAL_BEDS_AVAILABLE,($D36+G$5)&gt;TOTAL_LABOR_HOURS_CAP,MAX(0,($D36+G$5)-PERMANENT_FIELD_LABOR_HOURS)&gt;TEMP_HOURS_CAP),"",$C36+G$6-MIN(($D36+G$5),PERMANENT_FIELD_LABOR_HOURS)*PERMANENT_HOURLY_RATE-MAX(0,($D36+G$5)-PERMANENT_FIELD_LABOR_HOURS)*TEMP_HOURLY_RATE-FIXED_SEASON_COST)</f>
        <v>-12364.6887889188</v>
      </c>
      <c r="H36" s="53" t="n">
        <f aca="false">IF(OR($A36&gt;TOMATO_BED_CAP,$B36&gt;CARROT_BED_CAP,H$4&gt;MESCLUN_BED_CAP,$A36+$B36+H$4&gt;TOTAL_BEDS_AVAILABLE,($D36+H$5)&gt;TOTAL_LABOR_HOURS_CAP,MAX(0,($D36+H$5)-PERMANENT_FIELD_LABOR_HOURS)&gt;TEMP_HOURS_CAP),"",$C36+H$6-MIN(($D36+H$5),PERMANENT_FIELD_LABOR_HOURS)*PERMANENT_HOURLY_RATE-MAX(0,($D36+H$5)-PERMANENT_FIELD_LABOR_HOURS)*TEMP_HOURLY_RATE-FIXED_SEASON_COST)</f>
        <v>-12166.1670389188</v>
      </c>
      <c r="I36" s="53" t="n">
        <f aca="false">IF(OR($A36&gt;TOMATO_BED_CAP,$B36&gt;CARROT_BED_CAP,I$4&gt;MESCLUN_BED_CAP,$A36+$B36+I$4&gt;TOTAL_BEDS_AVAILABLE,($D36+I$5)&gt;TOTAL_LABOR_HOURS_CAP,MAX(0,($D36+I$5)-PERMANENT_FIELD_LABOR_HOURS)&gt;TEMP_HOURS_CAP),"",$C36+I$6-MIN(($D36+I$5),PERMANENT_FIELD_LABOR_HOURS)*PERMANENT_HOURLY_RATE-MAX(0,($D36+I$5)-PERMANENT_FIELD_LABOR_HOURS)*TEMP_HOURLY_RATE-FIXED_SEASON_COST)</f>
        <v>-12007.9350686063</v>
      </c>
      <c r="J36" s="53" t="n">
        <f aca="false">IF(OR($A36&gt;TOMATO_BED_CAP,$B36&gt;CARROT_BED_CAP,J$4&gt;MESCLUN_BED_CAP,$A36+$B36+J$4&gt;TOTAL_BEDS_AVAILABLE,($D36+J$5)&gt;TOTAL_LABOR_HOURS_CAP,MAX(0,($D36+J$5)-PERMANENT_FIELD_LABOR_HOURS)&gt;TEMP_HOURS_CAP),"",$C36+J$6-MIN(($D36+J$5),PERMANENT_FIELD_LABOR_HOURS)*PERMANENT_HOURLY_RATE-MAX(0,($D36+J$5)-PERMANENT_FIELD_LABOR_HOURS)*TEMP_HOURLY_RATE-FIXED_SEASON_COST)</f>
        <v>-11890.7467664969</v>
      </c>
      <c r="K36" s="53" t="n">
        <f aca="false">IF(OR($A36&gt;TOMATO_BED_CAP,$B36&gt;CARROT_BED_CAP,K$4&gt;MESCLUN_BED_CAP,$A36+$B36+K$4&gt;TOTAL_BEDS_AVAILABLE,($D36+K$5)&gt;TOTAL_LABOR_HOURS_CAP,MAX(0,($D36+K$5)-PERMANENT_FIELD_LABOR_HOURS)&gt;TEMP_HOURS_CAP),"",$C36+K$6-MIN(($D36+K$5),PERMANENT_FIELD_LABOR_HOURS)*PERMANENT_HOURLY_RATE-MAX(0,($D36+K$5)-PERMANENT_FIELD_LABOR_HOURS)*TEMP_HOURLY_RATE-FIXED_SEASON_COST)</f>
        <v>-11815.3685730411</v>
      </c>
      <c r="L36" s="53" t="n">
        <f aca="false">IF(OR($A36&gt;TOMATO_BED_CAP,$B36&gt;CARROT_BED_CAP,L$4&gt;MESCLUN_BED_CAP,$A36+$B36+L$4&gt;TOTAL_BEDS_AVAILABLE,($D36+L$5)&gt;TOTAL_LABOR_HOURS_CAP,MAX(0,($D36+L$5)-PERMANENT_FIELD_LABOR_HOURS)&gt;TEMP_HOURS_CAP),"",$C36+L$6-MIN(($D36+L$5),PERMANENT_FIELD_LABOR_HOURS)*PERMANENT_HOURLY_RATE-MAX(0,($D36+L$5)-PERMANENT_FIELD_LABOR_HOURS)*TEMP_HOURLY_RATE-FIXED_SEASON_COST)</f>
        <v>-11782.5796766274</v>
      </c>
      <c r="M36" s="53" t="n">
        <f aca="false">IF(OR($A36&gt;TOMATO_BED_CAP,$B36&gt;CARROT_BED_CAP,M$4&gt;MESCLUN_BED_CAP,$A36+$B36+M$4&gt;TOTAL_BEDS_AVAILABLE,($D36+M$5)&gt;TOTAL_LABOR_HOURS_CAP,MAX(0,($D36+M$5)-PERMANENT_FIELD_LABOR_HOURS)&gt;TEMP_HOURS_CAP),"",$C36+M$6-MIN(($D36+M$5),PERMANENT_FIELD_LABOR_HOURS)*PERMANENT_HOURLY_RATE-MAX(0,($D36+M$5)-PERMANENT_FIELD_LABOR_HOURS)*TEMP_HOURLY_RATE-FIXED_SEASON_COST)</f>
        <v>-11793.1722125246</v>
      </c>
      <c r="N36" s="53" t="n">
        <f aca="false">IF(OR($A36&gt;TOMATO_BED_CAP,$B36&gt;CARROT_BED_CAP,N$4&gt;MESCLUN_BED_CAP,$A36+$B36+N$4&gt;TOTAL_BEDS_AVAILABLE,($D36+N$5)&gt;TOTAL_LABOR_HOURS_CAP,MAX(0,($D36+N$5)-PERMANENT_FIELD_LABOR_HOURS)&gt;TEMP_HOURS_CAP),"",$C36+N$6-MIN(($D36+N$5),PERMANENT_FIELD_LABOR_HOURS)*PERMANENT_HOURLY_RATE-MAX(0,($D36+N$5)-PERMANENT_FIELD_LABOR_HOURS)*TEMP_HOURLY_RATE-FIXED_SEASON_COST)</f>
        <v>-11394.1757324028</v>
      </c>
      <c r="O36" s="53" t="n">
        <f aca="false">IF(OR($A36&gt;TOMATO_BED_CAP,$B36&gt;CARROT_BED_CAP,O$4&gt;MESCLUN_BED_CAP,$A36+$B36+O$4&gt;TOTAL_BEDS_AVAILABLE,($D36+O$5)&gt;TOTAL_LABOR_HOURS_CAP,MAX(0,($D36+O$5)-PERMANENT_FIELD_LABOR_HOURS)&gt;TEMP_HOURS_CAP),"",$C36+O$6-MIN(($D36+O$5),PERMANENT_FIELD_LABOR_HOURS)*PERMANENT_HOURLY_RATE-MAX(0,($D36+O$5)-PERMANENT_FIELD_LABOR_HOURS)*TEMP_HOURLY_RATE-FIXED_SEASON_COST)</f>
        <v>-10534.068035648</v>
      </c>
      <c r="P36" s="53" t="n">
        <f aca="false">IF(OR($A36&gt;TOMATO_BED_CAP,$B36&gt;CARROT_BED_CAP,P$4&gt;MESCLUN_BED_CAP,$A36+$B36+P$4&gt;TOTAL_BEDS_AVAILABLE,($D36+P$5)&gt;TOTAL_LABOR_HOURS_CAP,MAX(0,($D36+P$5)-PERMANENT_FIELD_LABOR_HOURS)&gt;TEMP_HOURS_CAP),"",$C36+P$6-MIN(($D36+P$5),PERMANENT_FIELD_LABOR_HOURS)*PERMANENT_HOURLY_RATE-MAX(0,($D36+P$5)-PERMANENT_FIELD_LABOR_HOURS)*TEMP_HOURLY_RATE-FIXED_SEASON_COST)</f>
        <v>-9696.87911579658</v>
      </c>
      <c r="Q36" s="53" t="n">
        <f aca="false">IF(OR($A36&gt;TOMATO_BED_CAP,$B36&gt;CARROT_BED_CAP,Q$4&gt;MESCLUN_BED_CAP,$A36+$B36+Q$4&gt;TOTAL_BEDS_AVAILABLE,($D36+Q$5)&gt;TOTAL_LABOR_HOURS_CAP,MAX(0,($D36+Q$5)-PERMANENT_FIELD_LABOR_HOURS)&gt;TEMP_HOURS_CAP),"",$C36+Q$6-MIN(($D36+Q$5),PERMANENT_FIELD_LABOR_HOURS)*PERMANENT_HOURLY_RATE-MAX(0,($D36+Q$5)-PERMANENT_FIELD_LABOR_HOURS)*TEMP_HOURLY_RATE-FIXED_SEASON_COST)</f>
        <v>-8883.03195909868</v>
      </c>
      <c r="R36" s="53" t="n">
        <f aca="false">IF(OR($A36&gt;TOMATO_BED_CAP,$B36&gt;CARROT_BED_CAP,R$4&gt;MESCLUN_BED_CAP,$A36+$B36+R$4&gt;TOTAL_BEDS_AVAILABLE,($D36+R$5)&gt;TOTAL_LABOR_HOURS_CAP,MAX(0,($D36+R$5)-PERMANENT_FIELD_LABOR_HOURS)&gt;TEMP_HOURS_CAP),"",$C36+R$6-MIN(($D36+R$5),PERMANENT_FIELD_LABOR_HOURS)*PERMANENT_HOURLY_RATE-MAX(0,($D36+R$5)-PERMANENT_FIELD_LABOR_HOURS)*TEMP_HOURLY_RATE-FIXED_SEASON_COST)</f>
        <v>-8092.95654540188</v>
      </c>
      <c r="S36" s="53" t="n">
        <f aca="false">IF(OR($A36&gt;TOMATO_BED_CAP,$B36&gt;CARROT_BED_CAP,S$4&gt;MESCLUN_BED_CAP,$A36+$B36+S$4&gt;TOTAL_BEDS_AVAILABLE,($D36+S$5)&gt;TOTAL_LABOR_HOURS_CAP,MAX(0,($D36+S$5)-PERMANENT_FIELD_LABOR_HOURS)&gt;TEMP_HOURS_CAP),"",$C36+S$6-MIN(($D36+S$5),PERMANENT_FIELD_LABOR_HOURS)*PERMANENT_HOURLY_RATE-MAX(0,($D36+S$5)-PERMANENT_FIELD_LABOR_HOURS)*TEMP_HOURLY_RATE-FIXED_SEASON_COST)</f>
        <v>-7327.08995689943</v>
      </c>
      <c r="T36" s="53" t="n">
        <f aca="false">IF(OR($A36&gt;TOMATO_BED_CAP,$B36&gt;CARROT_BED_CAP,T$4&gt;MESCLUN_BED_CAP,$A36+$B36+T$4&gt;TOTAL_BEDS_AVAILABLE,($D36+T$5)&gt;TOTAL_LABOR_HOURS_CAP,MAX(0,($D36+T$5)-PERMANENT_FIELD_LABOR_HOURS)&gt;TEMP_HOURS_CAP),"",$C36+T$6-MIN(($D36+T$5),PERMANENT_FIELD_LABOR_HOURS)*PERMANENT_HOURLY_RATE-MAX(0,($D36+T$5)-PERMANENT_FIELD_LABOR_HOURS)*TEMP_HOURLY_RATE-FIXED_SEASON_COST)</f>
        <v>-6585.87648850458</v>
      </c>
      <c r="U36" s="53" t="n">
        <f aca="false">IF(OR($A36&gt;TOMATO_BED_CAP,$B36&gt;CARROT_BED_CAP,U$4&gt;MESCLUN_BED_CAP,$A36+$B36+U$4&gt;TOTAL_BEDS_AVAILABLE,($D36+U$5)&gt;TOTAL_LABOR_HOURS_CAP,MAX(0,($D36+U$5)-PERMANENT_FIELD_LABOR_HOURS)&gt;TEMP_HOURS_CAP),"",$C36+U$6-MIN(($D36+U$5),PERMANENT_FIELD_LABOR_HOURS)*PERMANENT_HOURLY_RATE-MAX(0,($D36+U$5)-PERMANENT_FIELD_LABOR_HOURS)*TEMP_HOURLY_RATE-FIXED_SEASON_COST)</f>
        <v>-5869.76775987449</v>
      </c>
      <c r="V36" s="53" t="n">
        <f aca="false">IF(OR($A36&gt;TOMATO_BED_CAP,$B36&gt;CARROT_BED_CAP,V$4&gt;MESCLUN_BED_CAP,$A36+$B36+V$4&gt;TOTAL_BEDS_AVAILABLE,($D36+V$5)&gt;TOTAL_LABOR_HOURS_CAP,MAX(0,($D36+V$5)-PERMANENT_FIELD_LABOR_HOURS)&gt;TEMP_HOURS_CAP),"",$C36+V$6-MIN(($D36+V$5),PERMANENT_FIELD_LABOR_HOURS)*PERMANENT_HOURLY_RATE-MAX(0,($D36+V$5)-PERMANENT_FIELD_LABOR_HOURS)*TEMP_HOURLY_RATE-FIXED_SEASON_COST)</f>
        <v>-5179.2228291077</v>
      </c>
      <c r="W36" s="53" t="n">
        <f aca="false">IF(OR($A36&gt;TOMATO_BED_CAP,$B36&gt;CARROT_BED_CAP,W$4&gt;MESCLUN_BED_CAP,$A36+$B36+W$4&gt;TOTAL_BEDS_AVAILABLE,($D36+W$5)&gt;TOTAL_LABOR_HOURS_CAP,MAX(0,($D36+W$5)-PERMANENT_FIELD_LABOR_HOURS)&gt;TEMP_HOURS_CAP),"",$C36+W$6-MIN(($D36+W$5),PERMANENT_FIELD_LABOR_HOURS)*PERMANENT_HOURLY_RATE-MAX(0,($D36+W$5)-PERMANENT_FIELD_LABOR_HOURS)*TEMP_HOURLY_RATE-FIXED_SEASON_COST)</f>
        <v>-4514.70830813963</v>
      </c>
      <c r="X36" s="53" t="n">
        <f aca="false">IF(OR($A36&gt;TOMATO_BED_CAP,$B36&gt;CARROT_BED_CAP,X$4&gt;MESCLUN_BED_CAP,$A36+$B36+X$4&gt;TOTAL_BEDS_AVAILABLE,($D36+X$5)&gt;TOTAL_LABOR_HOURS_CAP,MAX(0,($D36+X$5)-PERMANENT_FIELD_LABOR_HOURS)&gt;TEMP_HOURS_CAP),"",$C36+X$6-MIN(($D36+X$5),PERMANENT_FIELD_LABOR_HOURS)*PERMANENT_HOURLY_RATE-MAX(0,($D36+X$5)-PERMANENT_FIELD_LABOR_HOURS)*TEMP_HOURLY_RATE-FIXED_SEASON_COST)</f>
        <v>-3876.69847986071</v>
      </c>
      <c r="Y36" s="53" t="n">
        <f aca="false">IF(OR($A36&gt;TOMATO_BED_CAP,$B36&gt;CARROT_BED_CAP,Y$4&gt;MESCLUN_BED_CAP,$A36+$B36+Y$4&gt;TOTAL_BEDS_AVAILABLE,($D36+Y$5)&gt;TOTAL_LABOR_HOURS_CAP,MAX(0,($D36+Y$5)-PERMANENT_FIELD_LABOR_HOURS)&gt;TEMP_HOURS_CAP),"",$C36+Y$6-MIN(($D36+Y$5),PERMANENT_FIELD_LABOR_HOURS)*PERMANENT_HOURLY_RATE-MAX(0,($D36+Y$5)-PERMANENT_FIELD_LABOR_HOURS)*TEMP_HOURLY_RATE-FIXED_SEASON_COST)</f>
        <v>-3265.67541698205</v>
      </c>
      <c r="Z36" s="53" t="n">
        <f aca="false">IF(OR($A36&gt;TOMATO_BED_CAP,$B36&gt;CARROT_BED_CAP,Z$4&gt;MESCLUN_BED_CAP,$A36+$B36+Z$4&gt;TOTAL_BEDS_AVAILABLE,($D36+Z$5)&gt;TOTAL_LABOR_HOURS_CAP,MAX(0,($D36+Z$5)-PERMANENT_FIELD_LABOR_HOURS)&gt;TEMP_HOURS_CAP),"",$C36+Z$6-MIN(($D36+Z$5),PERMANENT_FIELD_LABOR_HOURS)*PERMANENT_HOURLY_RATE-MAX(0,($D36+Z$5)-PERMANENT_FIELD_LABOR_HOURS)*TEMP_HOURLY_RATE-FIXED_SEASON_COST)</f>
        <v>-2682.12910267433</v>
      </c>
      <c r="AA36" s="53" t="n">
        <f aca="false">IF(OR($A36&gt;TOMATO_BED_CAP,$B36&gt;CARROT_BED_CAP,AA$4&gt;MESCLUN_BED_CAP,$A36+$B36+AA$4&gt;TOTAL_BEDS_AVAILABLE,($D36+AA$5)&gt;TOTAL_LABOR_HOURS_CAP,MAX(0,($D36+AA$5)-PERMANENT_FIELD_LABOR_HOURS)&gt;TEMP_HOURS_CAP),"",$C36+AA$6-MIN(($D36+AA$5),PERMANENT_FIELD_LABOR_HOURS)*PERMANENT_HOURLY_RATE-MAX(0,($D36+AA$5)-PERMANENT_FIELD_LABOR_HOURS)*TEMP_HOURLY_RATE-FIXED_SEASON_COST)</f>
        <v>-2126.55755300539</v>
      </c>
      <c r="AB36" s="53" t="n">
        <f aca="false">IF(OR($A36&gt;TOMATO_BED_CAP,$B36&gt;CARROT_BED_CAP,AB$4&gt;MESCLUN_BED_CAP,$A36+$B36+AB$4&gt;TOTAL_BEDS_AVAILABLE,($D36+AB$5)&gt;TOTAL_LABOR_HOURS_CAP,MAX(0,($D36+AB$5)-PERMANENT_FIELD_LABOR_HOURS)&gt;TEMP_HOURS_CAP),"",$C36+AB$6-MIN(($D36+AB$5),PERMANENT_FIELD_LABOR_HOURS)*PERMANENT_HOURLY_RATE-MAX(0,($D36+AB$5)-PERMANENT_FIELD_LABOR_HOURS)*TEMP_HOURLY_RATE-FIXED_SEASON_COST)</f>
        <v>-1599.46694120282</v>
      </c>
      <c r="AC36" s="53" t="n">
        <f aca="false">IF(OR($A36&gt;TOMATO_BED_CAP,$B36&gt;CARROT_BED_CAP,AC$4&gt;MESCLUN_BED_CAP,$A36+$B36+AC$4&gt;TOTAL_BEDS_AVAILABLE,($D36+AC$5)&gt;TOTAL_LABOR_HOURS_CAP,MAX(0,($D36+AC$5)-PERMANENT_FIELD_LABOR_HOURS)&gt;TEMP_HOURS_CAP),"",$C36+AC$6-MIN(($D36+AC$5),PERMANENT_FIELD_LABOR_HOURS)*PERMANENT_HOURLY_RATE-MAX(0,($D36+AC$5)-PERMANENT_FIELD_LABOR_HOURS)*TEMP_HOURLY_RATE-FIXED_SEASON_COST)</f>
        <v>-1101.37172376792</v>
      </c>
      <c r="AD36" s="53" t="n">
        <f aca="false">IF(OR($A36&gt;TOMATO_BED_CAP,$B36&gt;CARROT_BED_CAP,AD$4&gt;MESCLUN_BED_CAP,$A36+$B36+AD$4&gt;TOTAL_BEDS_AVAILABLE,($D36+AD$5)&gt;TOTAL_LABOR_HOURS_CAP,MAX(0,($D36+AD$5)-PERMANENT_FIELD_LABOR_HOURS)&gt;TEMP_HOURS_CAP),"",$C36+AD$6-MIN(($D36+AD$5),PERMANENT_FIELD_LABOR_HOURS)*PERMANENT_HOURLY_RATE-MAX(0,($D36+AD$5)-PERMANENT_FIELD_LABOR_HOURS)*TEMP_HOURLY_RATE-FIXED_SEASON_COST)</f>
        <v>-632.794768467968</v>
      </c>
      <c r="AE36" s="53" t="n">
        <f aca="false">IF(OR($A36&gt;TOMATO_BED_CAP,$B36&gt;CARROT_BED_CAP,AE$4&gt;MESCLUN_BED_CAP,$A36+$B36+AE$4&gt;TOTAL_BEDS_AVAILABLE,($D36+AE$5)&gt;TOTAL_LABOR_HOURS_CAP,MAX(0,($D36+AE$5)-PERMANENT_FIELD_LABOR_HOURS)&gt;TEMP_HOURS_CAP),"",$C36+AE$6-MIN(($D36+AE$5),PERMANENT_FIELD_LABOR_HOURS)*PERMANENT_HOURLY_RATE-MAX(0,($D36+AE$5)-PERMANENT_FIELD_LABOR_HOURS)*TEMP_HOURLY_RATE-FIXED_SEASON_COST)</f>
        <v>-194.26748423406</v>
      </c>
      <c r="AF36" s="53" t="n">
        <f aca="false">IF(OR($A36&gt;TOMATO_BED_CAP,$B36&gt;CARROT_BED_CAP,AF$4&gt;MESCLUN_BED_CAP,$A36+$B36+AF$4&gt;TOTAL_BEDS_AVAILABLE,($D36+AF$5)&gt;TOTAL_LABOR_HOURS_CAP,MAX(0,($D36+AF$5)-PERMANENT_FIELD_LABOR_HOURS)&gt;TEMP_HOURS_CAP),"",$C36+AF$6-MIN(($D36+AF$5),PERMANENT_FIELD_LABOR_HOURS)*PERMANENT_HOURLY_RATE-MAX(0,($D36+AF$5)-PERMANENT_FIELD_LABOR_HOURS)*TEMP_HOURLY_RATE-FIXED_SEASON_COST)</f>
        <v>213.67004700789</v>
      </c>
      <c r="AG36" s="53" t="n">
        <f aca="false">IF(OR($A36&gt;TOMATO_BED_CAP,$B36&gt;CARROT_BED_CAP,AG$4&gt;MESCLUN_BED_CAP,$A36+$B36+AG$4&gt;TOTAL_BEDS_AVAILABLE,($D36+AG$5)&gt;TOTAL_LABOR_HOURS_CAP,MAX(0,($D36+AG$5)-PERMANENT_FIELD_LABOR_HOURS)&gt;TEMP_HOURS_CAP),"",$C36+AG$6-MIN(($D36+AG$5),PERMANENT_FIELD_LABOR_HOURS)*PERMANENT_HOURLY_RATE-MAX(0,($D36+AG$5)-PERMANENT_FIELD_LABOR_HOURS)*TEMP_HOURLY_RATE-FIXED_SEASON_COST)</f>
        <v>590.468936544905</v>
      </c>
      <c r="AH36" s="53" t="n">
        <f aca="false">IF(OR($A36&gt;TOMATO_BED_CAP,$B36&gt;CARROT_BED_CAP,AH$4&gt;MESCLUN_BED_CAP,$A36+$B36+AH$4&gt;TOTAL_BEDS_AVAILABLE,($D36+AH$5)&gt;TOTAL_LABOR_HOURS_CAP,MAX(0,($D36+AH$5)-PERMANENT_FIELD_LABOR_HOURS)&gt;TEMP_HOURS_CAP),"",$C36+AH$6-MIN(($D36+AH$5),PERMANENT_FIELD_LABOR_HOURS)*PERMANENT_HOURLY_RATE-MAX(0,($D36+AH$5)-PERMANENT_FIELD_LABOR_HOURS)*TEMP_HOURLY_RATE-FIXED_SEASON_COST)</f>
        <v>935.571353095129</v>
      </c>
      <c r="AI36" s="53" t="n">
        <f aca="false">IF(OR($A36&gt;TOMATO_BED_CAP,$B36&gt;CARROT_BED_CAP,AI$4&gt;MESCLUN_BED_CAP,$A36+$B36+AI$4&gt;TOTAL_BEDS_AVAILABLE,($D36+AI$5)&gt;TOTAL_LABOR_HOURS_CAP,MAX(0,($D36+AI$5)-PERMANENT_FIELD_LABOR_HOURS)&gt;TEMP_HOURS_CAP),"",$C36+AI$6-MIN(($D36+AI$5),PERMANENT_FIELD_LABOR_HOURS)*PERMANENT_HOURLY_RATE-MAX(0,($D36+AI$5)-PERMANENT_FIELD_LABOR_HOURS)*TEMP_HOURLY_RATE-FIXED_SEASON_COST)</f>
        <v>1248.41038500738</v>
      </c>
      <c r="AJ36" s="53" t="n">
        <f aca="false">IF(OR($A36&gt;TOMATO_BED_CAP,$B36&gt;CARROT_BED_CAP,AJ$4&gt;MESCLUN_BED_CAP,$A36+$B36+AJ$4&gt;TOTAL_BEDS_AVAILABLE,($D36+AJ$5)&gt;TOTAL_LABOR_HOURS_CAP,MAX(0,($D36+AJ$5)-PERMANENT_FIELD_LABOR_HOURS)&gt;TEMP_HOURS_CAP),"",$C36+AJ$6-MIN(($D36+AJ$5),PERMANENT_FIELD_LABOR_HOURS)*PERMANENT_HOURLY_RATE-MAX(0,($D36+AJ$5)-PERMANENT_FIELD_LABOR_HOURS)*TEMP_HOURLY_RATE-FIXED_SEASON_COST)</f>
        <v>1528.40990041314</v>
      </c>
    </row>
    <row r="37" customFormat="false" ht="15" hidden="false" customHeight="false" outlineLevel="0" collapsed="false">
      <c r="A37" s="21" t="n">
        <f aca="false">INT((ROW()-ROW($A$8))/(20+1))</f>
        <v>1</v>
      </c>
      <c r="B37" s="21" t="n">
        <f aca="false">MOD(ROW()-ROW($A$8),20+1)</f>
        <v>8</v>
      </c>
      <c r="C37" s="13" t="n">
        <f aca="false">A37*(TOMATO_REVENUE_PER_BED-TOMATO_FERTILIZER_PER_BED)+B37*(CARROT_REVENUE_PER_BED-CARROT_FERTILIZER_PER_BED)</f>
        <v>21152</v>
      </c>
      <c r="D37" s="14" t="n">
        <f aca="false">INDEX(TOMATO_SCHED_LABOR_HRS,A37+1)+INDEX(CARROT_SCHED_LABOR_HRS,B37+1)</f>
        <v>391.299728724219</v>
      </c>
      <c r="E37" s="13" t="n">
        <f aca="false">IF(COUNT(F37:AJ37)=0,"",MAX(F37:AJ37))</f>
        <v>2439.8260042201</v>
      </c>
      <c r="F37" s="53" t="n">
        <f aca="false">IF(OR($A37&gt;TOMATO_BED_CAP,$B37&gt;CARROT_BED_CAP,F$4&gt;MESCLUN_BED_CAP,$A37+$B37+F$4&gt;TOTAL_BEDS_AVAILABLE,($D37+F$5)&gt;TOTAL_LABOR_HOURS_CAP,MAX(0,($D37+F$5)-PERMANENT_FIELD_LABOR_HOURS)&gt;TEMP_HOURS_CAP),"",$C37+F$6-MIN(($D37+F$5),PERMANENT_FIELD_LABOR_HOURS)*PERMANENT_HOURLY_RATE-MAX(0,($D37+F$5)-PERMANENT_FIELD_LABOR_HOURS)*TEMP_HOURLY_RATE-FIXED_SEASON_COST)</f>
        <v>-12433.9265813049</v>
      </c>
      <c r="G37" s="53" t="n">
        <f aca="false">IF(OR($A37&gt;TOMATO_BED_CAP,$B37&gt;CARROT_BED_CAP,G$4&gt;MESCLUN_BED_CAP,$A37+$B37+G$4&gt;TOTAL_BEDS_AVAILABLE,($D37+G$5)&gt;TOTAL_LABOR_HOURS_CAP,MAX(0,($D37+G$5)-PERMANENT_FIELD_LABOR_HOURS)&gt;TEMP_HOURS_CAP),"",$C37+G$6-MIN(($D37+G$5),PERMANENT_FIELD_LABOR_HOURS)*PERMANENT_HOURLY_RATE-MAX(0,($D37+G$5)-PERMANENT_FIELD_LABOR_HOURS)*TEMP_HOURLY_RATE-FIXED_SEASON_COST)</f>
        <v>-12195.8565813049</v>
      </c>
      <c r="H37" s="53" t="n">
        <f aca="false">IF(OR($A37&gt;TOMATO_BED_CAP,$B37&gt;CARROT_BED_CAP,H$4&gt;MESCLUN_BED_CAP,$A37+$B37+H$4&gt;TOTAL_BEDS_AVAILABLE,($D37+H$5)&gt;TOTAL_LABOR_HOURS_CAP,MAX(0,($D37+H$5)-PERMANENT_FIELD_LABOR_HOURS)&gt;TEMP_HOURS_CAP),"",$C37+H$6-MIN(($D37+H$5),PERMANENT_FIELD_LABOR_HOURS)*PERMANENT_HOURLY_RATE-MAX(0,($D37+H$5)-PERMANENT_FIELD_LABOR_HOURS)*TEMP_HOURLY_RATE-FIXED_SEASON_COST)</f>
        <v>-11997.3348313049</v>
      </c>
      <c r="I37" s="53" t="n">
        <f aca="false">IF(OR($A37&gt;TOMATO_BED_CAP,$B37&gt;CARROT_BED_CAP,I$4&gt;MESCLUN_BED_CAP,$A37+$B37+I$4&gt;TOTAL_BEDS_AVAILABLE,($D37+I$5)&gt;TOTAL_LABOR_HOURS_CAP,MAX(0,($D37+I$5)-PERMANENT_FIELD_LABOR_HOURS)&gt;TEMP_HOURS_CAP),"",$C37+I$6-MIN(($D37+I$5),PERMANENT_FIELD_LABOR_HOURS)*PERMANENT_HOURLY_RATE-MAX(0,($D37+I$5)-PERMANENT_FIELD_LABOR_HOURS)*TEMP_HOURLY_RATE-FIXED_SEASON_COST)</f>
        <v>-11839.1028609924</v>
      </c>
      <c r="J37" s="53" t="n">
        <f aca="false">IF(OR($A37&gt;TOMATO_BED_CAP,$B37&gt;CARROT_BED_CAP,J$4&gt;MESCLUN_BED_CAP,$A37+$B37+J$4&gt;TOTAL_BEDS_AVAILABLE,($D37+J$5)&gt;TOTAL_LABOR_HOURS_CAP,MAX(0,($D37+J$5)-PERMANENT_FIELD_LABOR_HOURS)&gt;TEMP_HOURS_CAP),"",$C37+J$6-MIN(($D37+J$5),PERMANENT_FIELD_LABOR_HOURS)*PERMANENT_HOURLY_RATE-MAX(0,($D37+J$5)-PERMANENT_FIELD_LABOR_HOURS)*TEMP_HOURLY_RATE-FIXED_SEASON_COST)</f>
        <v>-11721.914558883</v>
      </c>
      <c r="K37" s="53" t="n">
        <f aca="false">IF(OR($A37&gt;TOMATO_BED_CAP,$B37&gt;CARROT_BED_CAP,K$4&gt;MESCLUN_BED_CAP,$A37+$B37+K$4&gt;TOTAL_BEDS_AVAILABLE,($D37+K$5)&gt;TOTAL_LABOR_HOURS_CAP,MAX(0,($D37+K$5)-PERMANENT_FIELD_LABOR_HOURS)&gt;TEMP_HOURS_CAP),"",$C37+K$6-MIN(($D37+K$5),PERMANENT_FIELD_LABOR_HOURS)*PERMANENT_HOURLY_RATE-MAX(0,($D37+K$5)-PERMANENT_FIELD_LABOR_HOURS)*TEMP_HOURLY_RATE-FIXED_SEASON_COST)</f>
        <v>-11646.5363654272</v>
      </c>
      <c r="L37" s="53" t="n">
        <f aca="false">IF(OR($A37&gt;TOMATO_BED_CAP,$B37&gt;CARROT_BED_CAP,L$4&gt;MESCLUN_BED_CAP,$A37+$B37+L$4&gt;TOTAL_BEDS_AVAILABLE,($D37+L$5)&gt;TOTAL_LABOR_HOURS_CAP,MAX(0,($D37+L$5)-PERMANENT_FIELD_LABOR_HOURS)&gt;TEMP_HOURS_CAP),"",$C37+L$6-MIN(($D37+L$5),PERMANENT_FIELD_LABOR_HOURS)*PERMANENT_HOURLY_RATE-MAX(0,($D37+L$5)-PERMANENT_FIELD_LABOR_HOURS)*TEMP_HOURLY_RATE-FIXED_SEASON_COST)</f>
        <v>-11613.7474690135</v>
      </c>
      <c r="M37" s="53" t="n">
        <f aca="false">IF(OR($A37&gt;TOMATO_BED_CAP,$B37&gt;CARROT_BED_CAP,M$4&gt;MESCLUN_BED_CAP,$A37+$B37+M$4&gt;TOTAL_BEDS_AVAILABLE,($D37+M$5)&gt;TOTAL_LABOR_HOURS_CAP,MAX(0,($D37+M$5)-PERMANENT_FIELD_LABOR_HOURS)&gt;TEMP_HOURS_CAP),"",$C37+M$6-MIN(($D37+M$5),PERMANENT_FIELD_LABOR_HOURS)*PERMANENT_HOURLY_RATE-MAX(0,($D37+M$5)-PERMANENT_FIELD_LABOR_HOURS)*TEMP_HOURLY_RATE-FIXED_SEASON_COST)</f>
        <v>-11365.3700024553</v>
      </c>
      <c r="N37" s="53" t="n">
        <f aca="false">IF(OR($A37&gt;TOMATO_BED_CAP,$B37&gt;CARROT_BED_CAP,N$4&gt;MESCLUN_BED_CAP,$A37+$B37+N$4&gt;TOTAL_BEDS_AVAILABLE,($D37+N$5)&gt;TOTAL_LABOR_HOURS_CAP,MAX(0,($D37+N$5)-PERMANENT_FIELD_LABOR_HOURS)&gt;TEMP_HOURS_CAP),"",$C37+N$6-MIN(($D37+N$5),PERMANENT_FIELD_LABOR_HOURS)*PERMANENT_HOURLY_RATE-MAX(0,($D37+N$5)-PERMANENT_FIELD_LABOR_HOURS)*TEMP_HOURLY_RATE-FIXED_SEASON_COST)</f>
        <v>-10482.7596285958</v>
      </c>
      <c r="O37" s="53" t="n">
        <f aca="false">IF(OR($A37&gt;TOMATO_BED_CAP,$B37&gt;CARROT_BED_CAP,O$4&gt;MESCLUN_BED_CAP,$A37+$B37+O$4&gt;TOTAL_BEDS_AVAILABLE,($D37+O$5)&gt;TOTAL_LABOR_HOURS_CAP,MAX(0,($D37+O$5)-PERMANENT_FIELD_LABOR_HOURS)&gt;TEMP_HOURS_CAP),"",$C37+O$6-MIN(($D37+O$5),PERMANENT_FIELD_LABOR_HOURS)*PERMANENT_HOURLY_RATE-MAX(0,($D37+O$5)-PERMANENT_FIELD_LABOR_HOURS)*TEMP_HOURLY_RATE-FIXED_SEASON_COST)</f>
        <v>-9622.65193184104</v>
      </c>
      <c r="P37" s="53" t="n">
        <f aca="false">IF(OR($A37&gt;TOMATO_BED_CAP,$B37&gt;CARROT_BED_CAP,P$4&gt;MESCLUN_BED_CAP,$A37+$B37+P$4&gt;TOTAL_BEDS_AVAILABLE,($D37+P$5)&gt;TOTAL_LABOR_HOURS_CAP,MAX(0,($D37+P$5)-PERMANENT_FIELD_LABOR_HOURS)&gt;TEMP_HOURS_CAP),"",$C37+P$6-MIN(($D37+P$5),PERMANENT_FIELD_LABOR_HOURS)*PERMANENT_HOURLY_RATE-MAX(0,($D37+P$5)-PERMANENT_FIELD_LABOR_HOURS)*TEMP_HOURLY_RATE-FIXED_SEASON_COST)</f>
        <v>-8785.46301198962</v>
      </c>
      <c r="Q37" s="53" t="n">
        <f aca="false">IF(OR($A37&gt;TOMATO_BED_CAP,$B37&gt;CARROT_BED_CAP,Q$4&gt;MESCLUN_BED_CAP,$A37+$B37+Q$4&gt;TOTAL_BEDS_AVAILABLE,($D37+Q$5)&gt;TOTAL_LABOR_HOURS_CAP,MAX(0,($D37+Q$5)-PERMANENT_FIELD_LABOR_HOURS)&gt;TEMP_HOURS_CAP),"",$C37+Q$6-MIN(($D37+Q$5),PERMANENT_FIELD_LABOR_HOURS)*PERMANENT_HOURLY_RATE-MAX(0,($D37+Q$5)-PERMANENT_FIELD_LABOR_HOURS)*TEMP_HOURLY_RATE-FIXED_SEASON_COST)</f>
        <v>-7971.61585529172</v>
      </c>
      <c r="R37" s="53" t="n">
        <f aca="false">IF(OR($A37&gt;TOMATO_BED_CAP,$B37&gt;CARROT_BED_CAP,R$4&gt;MESCLUN_BED_CAP,$A37+$B37+R$4&gt;TOTAL_BEDS_AVAILABLE,($D37+R$5)&gt;TOTAL_LABOR_HOURS_CAP,MAX(0,($D37+R$5)-PERMANENT_FIELD_LABOR_HOURS)&gt;TEMP_HOURS_CAP),"",$C37+R$6-MIN(($D37+R$5),PERMANENT_FIELD_LABOR_HOURS)*PERMANENT_HOURLY_RATE-MAX(0,($D37+R$5)-PERMANENT_FIELD_LABOR_HOURS)*TEMP_HOURLY_RATE-FIXED_SEASON_COST)</f>
        <v>-7181.54044159492</v>
      </c>
      <c r="S37" s="53" t="n">
        <f aca="false">IF(OR($A37&gt;TOMATO_BED_CAP,$B37&gt;CARROT_BED_CAP,S$4&gt;MESCLUN_BED_CAP,$A37+$B37+S$4&gt;TOTAL_BEDS_AVAILABLE,($D37+S$5)&gt;TOTAL_LABOR_HOURS_CAP,MAX(0,($D37+S$5)-PERMANENT_FIELD_LABOR_HOURS)&gt;TEMP_HOURS_CAP),"",$C37+S$6-MIN(($D37+S$5),PERMANENT_FIELD_LABOR_HOURS)*PERMANENT_HOURLY_RATE-MAX(0,($D37+S$5)-PERMANENT_FIELD_LABOR_HOURS)*TEMP_HOURLY_RATE-FIXED_SEASON_COST)</f>
        <v>-6415.67385309247</v>
      </c>
      <c r="T37" s="53" t="n">
        <f aca="false">IF(OR($A37&gt;TOMATO_BED_CAP,$B37&gt;CARROT_BED_CAP,T$4&gt;MESCLUN_BED_CAP,$A37+$B37+T$4&gt;TOTAL_BEDS_AVAILABLE,($D37+T$5)&gt;TOTAL_LABOR_HOURS_CAP,MAX(0,($D37+T$5)-PERMANENT_FIELD_LABOR_HOURS)&gt;TEMP_HOURS_CAP),"",$C37+T$6-MIN(($D37+T$5),PERMANENT_FIELD_LABOR_HOURS)*PERMANENT_HOURLY_RATE-MAX(0,($D37+T$5)-PERMANENT_FIELD_LABOR_HOURS)*TEMP_HOURLY_RATE-FIXED_SEASON_COST)</f>
        <v>-5674.46038469762</v>
      </c>
      <c r="U37" s="53" t="n">
        <f aca="false">IF(OR($A37&gt;TOMATO_BED_CAP,$B37&gt;CARROT_BED_CAP,U$4&gt;MESCLUN_BED_CAP,$A37+$B37+U$4&gt;TOTAL_BEDS_AVAILABLE,($D37+U$5)&gt;TOTAL_LABOR_HOURS_CAP,MAX(0,($D37+U$5)-PERMANENT_FIELD_LABOR_HOURS)&gt;TEMP_HOURS_CAP),"",$C37+U$6-MIN(($D37+U$5),PERMANENT_FIELD_LABOR_HOURS)*PERMANENT_HOURLY_RATE-MAX(0,($D37+U$5)-PERMANENT_FIELD_LABOR_HOURS)*TEMP_HOURLY_RATE-FIXED_SEASON_COST)</f>
        <v>-4958.35165606752</v>
      </c>
      <c r="V37" s="53" t="n">
        <f aca="false">IF(OR($A37&gt;TOMATO_BED_CAP,$B37&gt;CARROT_BED_CAP,V$4&gt;MESCLUN_BED_CAP,$A37+$B37+V$4&gt;TOTAL_BEDS_AVAILABLE,($D37+V$5)&gt;TOTAL_LABOR_HOURS_CAP,MAX(0,($D37+V$5)-PERMANENT_FIELD_LABOR_HOURS)&gt;TEMP_HOURS_CAP),"",$C37+V$6-MIN(($D37+V$5),PERMANENT_FIELD_LABOR_HOURS)*PERMANENT_HOURLY_RATE-MAX(0,($D37+V$5)-PERMANENT_FIELD_LABOR_HOURS)*TEMP_HOURLY_RATE-FIXED_SEASON_COST)</f>
        <v>-4267.80672530073</v>
      </c>
      <c r="W37" s="53" t="n">
        <f aca="false">IF(OR($A37&gt;TOMATO_BED_CAP,$B37&gt;CARROT_BED_CAP,W$4&gt;MESCLUN_BED_CAP,$A37+$B37+W$4&gt;TOTAL_BEDS_AVAILABLE,($D37+W$5)&gt;TOTAL_LABOR_HOURS_CAP,MAX(0,($D37+W$5)-PERMANENT_FIELD_LABOR_HOURS)&gt;TEMP_HOURS_CAP),"",$C37+W$6-MIN(($D37+W$5),PERMANENT_FIELD_LABOR_HOURS)*PERMANENT_HOURLY_RATE-MAX(0,($D37+W$5)-PERMANENT_FIELD_LABOR_HOURS)*TEMP_HOURLY_RATE-FIXED_SEASON_COST)</f>
        <v>-3603.29220433267</v>
      </c>
      <c r="X37" s="53" t="n">
        <f aca="false">IF(OR($A37&gt;TOMATO_BED_CAP,$B37&gt;CARROT_BED_CAP,X$4&gt;MESCLUN_BED_CAP,$A37+$B37+X$4&gt;TOTAL_BEDS_AVAILABLE,($D37+X$5)&gt;TOTAL_LABOR_HOURS_CAP,MAX(0,($D37+X$5)-PERMANENT_FIELD_LABOR_HOURS)&gt;TEMP_HOURS_CAP),"",$C37+X$6-MIN(($D37+X$5),PERMANENT_FIELD_LABOR_HOURS)*PERMANENT_HOURLY_RATE-MAX(0,($D37+X$5)-PERMANENT_FIELD_LABOR_HOURS)*TEMP_HOURLY_RATE-FIXED_SEASON_COST)</f>
        <v>-2965.28237605374</v>
      </c>
      <c r="Y37" s="53" t="n">
        <f aca="false">IF(OR($A37&gt;TOMATO_BED_CAP,$B37&gt;CARROT_BED_CAP,Y$4&gt;MESCLUN_BED_CAP,$A37+$B37+Y$4&gt;TOTAL_BEDS_AVAILABLE,($D37+Y$5)&gt;TOTAL_LABOR_HOURS_CAP,MAX(0,($D37+Y$5)-PERMANENT_FIELD_LABOR_HOURS)&gt;TEMP_HOURS_CAP),"",$C37+Y$6-MIN(($D37+Y$5),PERMANENT_FIELD_LABOR_HOURS)*PERMANENT_HOURLY_RATE-MAX(0,($D37+Y$5)-PERMANENT_FIELD_LABOR_HOURS)*TEMP_HOURLY_RATE-FIXED_SEASON_COST)</f>
        <v>-2354.25931317509</v>
      </c>
      <c r="Z37" s="53" t="n">
        <f aca="false">IF(OR($A37&gt;TOMATO_BED_CAP,$B37&gt;CARROT_BED_CAP,Z$4&gt;MESCLUN_BED_CAP,$A37+$B37+Z$4&gt;TOTAL_BEDS_AVAILABLE,($D37+Z$5)&gt;TOTAL_LABOR_HOURS_CAP,MAX(0,($D37+Z$5)-PERMANENT_FIELD_LABOR_HOURS)&gt;TEMP_HOURS_CAP),"",$C37+Z$6-MIN(($D37+Z$5),PERMANENT_FIELD_LABOR_HOURS)*PERMANENT_HOURLY_RATE-MAX(0,($D37+Z$5)-PERMANENT_FIELD_LABOR_HOURS)*TEMP_HOURLY_RATE-FIXED_SEASON_COST)</f>
        <v>-1770.71299886737</v>
      </c>
      <c r="AA37" s="53" t="n">
        <f aca="false">IF(OR($A37&gt;TOMATO_BED_CAP,$B37&gt;CARROT_BED_CAP,AA$4&gt;MESCLUN_BED_CAP,$A37+$B37+AA$4&gt;TOTAL_BEDS_AVAILABLE,($D37+AA$5)&gt;TOTAL_LABOR_HOURS_CAP,MAX(0,($D37+AA$5)-PERMANENT_FIELD_LABOR_HOURS)&gt;TEMP_HOURS_CAP),"",$C37+AA$6-MIN(($D37+AA$5),PERMANENT_FIELD_LABOR_HOURS)*PERMANENT_HOURLY_RATE-MAX(0,($D37+AA$5)-PERMANENT_FIELD_LABOR_HOURS)*TEMP_HOURLY_RATE-FIXED_SEASON_COST)</f>
        <v>-1215.14144919843</v>
      </c>
      <c r="AB37" s="53" t="n">
        <f aca="false">IF(OR($A37&gt;TOMATO_BED_CAP,$B37&gt;CARROT_BED_CAP,AB$4&gt;MESCLUN_BED_CAP,$A37+$B37+AB$4&gt;TOTAL_BEDS_AVAILABLE,($D37+AB$5)&gt;TOTAL_LABOR_HOURS_CAP,MAX(0,($D37+AB$5)-PERMANENT_FIELD_LABOR_HOURS)&gt;TEMP_HOURS_CAP),"",$C37+AB$6-MIN(($D37+AB$5),PERMANENT_FIELD_LABOR_HOURS)*PERMANENT_HOURLY_RATE-MAX(0,($D37+AB$5)-PERMANENT_FIELD_LABOR_HOURS)*TEMP_HOURLY_RATE-FIXED_SEASON_COST)</f>
        <v>-688.050837395862</v>
      </c>
      <c r="AC37" s="53" t="n">
        <f aca="false">IF(OR($A37&gt;TOMATO_BED_CAP,$B37&gt;CARROT_BED_CAP,AC$4&gt;MESCLUN_BED_CAP,$A37+$B37+AC$4&gt;TOTAL_BEDS_AVAILABLE,($D37+AC$5)&gt;TOTAL_LABOR_HOURS_CAP,MAX(0,($D37+AC$5)-PERMANENT_FIELD_LABOR_HOURS)&gt;TEMP_HOURS_CAP),"",$C37+AC$6-MIN(($D37+AC$5),PERMANENT_FIELD_LABOR_HOURS)*PERMANENT_HOURLY_RATE-MAX(0,($D37+AC$5)-PERMANENT_FIELD_LABOR_HOURS)*TEMP_HOURLY_RATE-FIXED_SEASON_COST)</f>
        <v>-189.955619960958</v>
      </c>
      <c r="AD37" s="53" t="n">
        <f aca="false">IF(OR($A37&gt;TOMATO_BED_CAP,$B37&gt;CARROT_BED_CAP,AD$4&gt;MESCLUN_BED_CAP,$A37+$B37+AD$4&gt;TOTAL_BEDS_AVAILABLE,($D37+AD$5)&gt;TOTAL_LABOR_HOURS_CAP,MAX(0,($D37+AD$5)-PERMANENT_FIELD_LABOR_HOURS)&gt;TEMP_HOURS_CAP),"",$C37+AD$6-MIN(($D37+AD$5),PERMANENT_FIELD_LABOR_HOURS)*PERMANENT_HOURLY_RATE-MAX(0,($D37+AD$5)-PERMANENT_FIELD_LABOR_HOURS)*TEMP_HOURLY_RATE-FIXED_SEASON_COST)</f>
        <v>278.621335338994</v>
      </c>
      <c r="AE37" s="53" t="n">
        <f aca="false">IF(OR($A37&gt;TOMATO_BED_CAP,$B37&gt;CARROT_BED_CAP,AE$4&gt;MESCLUN_BED_CAP,$A37+$B37+AE$4&gt;TOTAL_BEDS_AVAILABLE,($D37+AE$5)&gt;TOTAL_LABOR_HOURS_CAP,MAX(0,($D37+AE$5)-PERMANENT_FIELD_LABOR_HOURS)&gt;TEMP_HOURS_CAP),"",$C37+AE$6-MIN(($D37+AE$5),PERMANENT_FIELD_LABOR_HOURS)*PERMANENT_HOURLY_RATE-MAX(0,($D37+AE$5)-PERMANENT_FIELD_LABOR_HOURS)*TEMP_HOURLY_RATE-FIXED_SEASON_COST)</f>
        <v>717.148619572901</v>
      </c>
      <c r="AF37" s="53" t="n">
        <f aca="false">IF(OR($A37&gt;TOMATO_BED_CAP,$B37&gt;CARROT_BED_CAP,AF$4&gt;MESCLUN_BED_CAP,$A37+$B37+AF$4&gt;TOTAL_BEDS_AVAILABLE,($D37+AF$5)&gt;TOTAL_LABOR_HOURS_CAP,MAX(0,($D37+AF$5)-PERMANENT_FIELD_LABOR_HOURS)&gt;TEMP_HOURS_CAP),"",$C37+AF$6-MIN(($D37+AF$5),PERMANENT_FIELD_LABOR_HOURS)*PERMANENT_HOURLY_RATE-MAX(0,($D37+AF$5)-PERMANENT_FIELD_LABOR_HOURS)*TEMP_HOURLY_RATE-FIXED_SEASON_COST)</f>
        <v>1125.08615081485</v>
      </c>
      <c r="AG37" s="53" t="n">
        <f aca="false">IF(OR($A37&gt;TOMATO_BED_CAP,$B37&gt;CARROT_BED_CAP,AG$4&gt;MESCLUN_BED_CAP,$A37+$B37+AG$4&gt;TOTAL_BEDS_AVAILABLE,($D37+AG$5)&gt;TOTAL_LABOR_HOURS_CAP,MAX(0,($D37+AG$5)-PERMANENT_FIELD_LABOR_HOURS)&gt;TEMP_HOURS_CAP),"",$C37+AG$6-MIN(($D37+AG$5),PERMANENT_FIELD_LABOR_HOURS)*PERMANENT_HOURLY_RATE-MAX(0,($D37+AG$5)-PERMANENT_FIELD_LABOR_HOURS)*TEMP_HOURLY_RATE-FIXED_SEASON_COST)</f>
        <v>1501.88504035187</v>
      </c>
      <c r="AH37" s="53" t="n">
        <f aca="false">IF(OR($A37&gt;TOMATO_BED_CAP,$B37&gt;CARROT_BED_CAP,AH$4&gt;MESCLUN_BED_CAP,$A37+$B37+AH$4&gt;TOTAL_BEDS_AVAILABLE,($D37+AH$5)&gt;TOTAL_LABOR_HOURS_CAP,MAX(0,($D37+AH$5)-PERMANENT_FIELD_LABOR_HOURS)&gt;TEMP_HOURS_CAP),"",$C37+AH$6-MIN(($D37+AH$5),PERMANENT_FIELD_LABOR_HOURS)*PERMANENT_HOURLY_RATE-MAX(0,($D37+AH$5)-PERMANENT_FIELD_LABOR_HOURS)*TEMP_HOURLY_RATE-FIXED_SEASON_COST)</f>
        <v>1846.98745690208</v>
      </c>
      <c r="AI37" s="53" t="n">
        <f aca="false">IF(OR($A37&gt;TOMATO_BED_CAP,$B37&gt;CARROT_BED_CAP,AI$4&gt;MESCLUN_BED_CAP,$A37+$B37+AI$4&gt;TOTAL_BEDS_AVAILABLE,($D37+AI$5)&gt;TOTAL_LABOR_HOURS_CAP,MAX(0,($D37+AI$5)-PERMANENT_FIELD_LABOR_HOURS)&gt;TEMP_HOURS_CAP),"",$C37+AI$6-MIN(($D37+AI$5),PERMANENT_FIELD_LABOR_HOURS)*PERMANENT_HOURLY_RATE-MAX(0,($D37+AI$5)-PERMANENT_FIELD_LABOR_HOURS)*TEMP_HOURLY_RATE-FIXED_SEASON_COST)</f>
        <v>2159.82648881434</v>
      </c>
      <c r="AJ37" s="53" t="n">
        <f aca="false">IF(OR($A37&gt;TOMATO_BED_CAP,$B37&gt;CARROT_BED_CAP,AJ$4&gt;MESCLUN_BED_CAP,$A37+$B37+AJ$4&gt;TOTAL_BEDS_AVAILABLE,($D37+AJ$5)&gt;TOTAL_LABOR_HOURS_CAP,MAX(0,($D37+AJ$5)-PERMANENT_FIELD_LABOR_HOURS)&gt;TEMP_HOURS_CAP),"",$C37+AJ$6-MIN(($D37+AJ$5),PERMANENT_FIELD_LABOR_HOURS)*PERMANENT_HOURLY_RATE-MAX(0,($D37+AJ$5)-PERMANENT_FIELD_LABOR_HOURS)*TEMP_HOURLY_RATE-FIXED_SEASON_COST)</f>
        <v>2439.8260042201</v>
      </c>
    </row>
    <row r="38" customFormat="false" ht="15" hidden="false" customHeight="false" outlineLevel="0" collapsed="false">
      <c r="A38" s="21" t="n">
        <f aca="false">INT((ROW()-ROW($A$8))/(20+1))</f>
        <v>1</v>
      </c>
      <c r="B38" s="21" t="n">
        <f aca="false">MOD(ROW()-ROW($A$8),20+1)</f>
        <v>9</v>
      </c>
      <c r="C38" s="13" t="n">
        <f aca="false">A38*(TOMATO_REVENUE_PER_BED-TOMATO_FERTILIZER_PER_BED)+B38*(CARROT_REVENUE_PER_BED-CARROT_FERTILIZER_PER_BED)</f>
        <v>22806</v>
      </c>
      <c r="D38" s="14" t="n">
        <f aca="false">INDEX(TOMATO_SCHED_LABOR_HRS,A38+1)+INDEX(CARROT_SCHED_LABOR_HRS,B38+1)</f>
        <v>436.058124685115</v>
      </c>
      <c r="E38" s="13" t="n">
        <f aca="false">IF(COUNT(F38:AJ38)=0,"",MAX(F38:AJ38))</f>
        <v>3316.82025033894</v>
      </c>
      <c r="F38" s="53" t="n">
        <f aca="false">IF(OR($A38&gt;TOMATO_BED_CAP,$B38&gt;CARROT_BED_CAP,F$4&gt;MESCLUN_BED_CAP,$A38+$B38+F$4&gt;TOTAL_BEDS_AVAILABLE,($D38+F$5)&gt;TOTAL_LABOR_HOURS_CAP,MAX(0,($D38+F$5)-PERMANENT_FIELD_LABOR_HOURS)&gt;TEMP_HOURS_CAP),"",$C38+F$6-MIN(($D38+F$5),PERMANENT_FIELD_LABOR_HOURS)*PERMANENT_HOURLY_RATE-MAX(0,($D38+F$5)-PERMANENT_FIELD_LABOR_HOURS)*TEMP_HOURLY_RATE-FIXED_SEASON_COST)</f>
        <v>-12333.9380890672</v>
      </c>
      <c r="G38" s="53" t="n">
        <f aca="false">IF(OR($A38&gt;TOMATO_BED_CAP,$B38&gt;CARROT_BED_CAP,G$4&gt;MESCLUN_BED_CAP,$A38+$B38+G$4&gt;TOTAL_BEDS_AVAILABLE,($D38+G$5)&gt;TOTAL_LABOR_HOURS_CAP,MAX(0,($D38+G$5)-PERMANENT_FIELD_LABOR_HOURS)&gt;TEMP_HOURS_CAP),"",$C38+G$6-MIN(($D38+G$5),PERMANENT_FIELD_LABOR_HOURS)*PERMANENT_HOURLY_RATE-MAX(0,($D38+G$5)-PERMANENT_FIELD_LABOR_HOURS)*TEMP_HOURLY_RATE-FIXED_SEASON_COST)</f>
        <v>-12095.8680890672</v>
      </c>
      <c r="H38" s="53" t="n">
        <f aca="false">IF(OR($A38&gt;TOMATO_BED_CAP,$B38&gt;CARROT_BED_CAP,H$4&gt;MESCLUN_BED_CAP,$A38+$B38+H$4&gt;TOTAL_BEDS_AVAILABLE,($D38+H$5)&gt;TOTAL_LABOR_HOURS_CAP,MAX(0,($D38+H$5)-PERMANENT_FIELD_LABOR_HOURS)&gt;TEMP_HOURS_CAP),"",$C38+H$6-MIN(($D38+H$5),PERMANENT_FIELD_LABOR_HOURS)*PERMANENT_HOURLY_RATE-MAX(0,($D38+H$5)-PERMANENT_FIELD_LABOR_HOURS)*TEMP_HOURLY_RATE-FIXED_SEASON_COST)</f>
        <v>-11897.3463390672</v>
      </c>
      <c r="I38" s="53" t="n">
        <f aca="false">IF(OR($A38&gt;TOMATO_BED_CAP,$B38&gt;CARROT_BED_CAP,I$4&gt;MESCLUN_BED_CAP,$A38+$B38+I$4&gt;TOTAL_BEDS_AVAILABLE,($D38+I$5)&gt;TOTAL_LABOR_HOURS_CAP,MAX(0,($D38+I$5)-PERMANENT_FIELD_LABOR_HOURS)&gt;TEMP_HOURS_CAP),"",$C38+I$6-MIN(($D38+I$5),PERMANENT_FIELD_LABOR_HOURS)*PERMANENT_HOURLY_RATE-MAX(0,($D38+I$5)-PERMANENT_FIELD_LABOR_HOURS)*TEMP_HOURLY_RATE-FIXED_SEASON_COST)</f>
        <v>-11739.1143687547</v>
      </c>
      <c r="J38" s="53" t="n">
        <f aca="false">IF(OR($A38&gt;TOMATO_BED_CAP,$B38&gt;CARROT_BED_CAP,J$4&gt;MESCLUN_BED_CAP,$A38+$B38+J$4&gt;TOTAL_BEDS_AVAILABLE,($D38+J$5)&gt;TOTAL_LABOR_HOURS_CAP,MAX(0,($D38+J$5)-PERMANENT_FIELD_LABOR_HOURS)&gt;TEMP_HOURS_CAP),"",$C38+J$6-MIN(($D38+J$5),PERMANENT_FIELD_LABOR_HOURS)*PERMANENT_HOURLY_RATE-MAX(0,($D38+J$5)-PERMANENT_FIELD_LABOR_HOURS)*TEMP_HOURLY_RATE-FIXED_SEASON_COST)</f>
        <v>-11621.9260666453</v>
      </c>
      <c r="K38" s="53" t="n">
        <f aca="false">IF(OR($A38&gt;TOMATO_BED_CAP,$B38&gt;CARROT_BED_CAP,K$4&gt;MESCLUN_BED_CAP,$A38+$B38+K$4&gt;TOTAL_BEDS_AVAILABLE,($D38+K$5)&gt;TOTAL_LABOR_HOURS_CAP,MAX(0,($D38+K$5)-PERMANENT_FIELD_LABOR_HOURS)&gt;TEMP_HOURS_CAP),"",$C38+K$6-MIN(($D38+K$5),PERMANENT_FIELD_LABOR_HOURS)*PERMANENT_HOURLY_RATE-MAX(0,($D38+K$5)-PERMANENT_FIELD_LABOR_HOURS)*TEMP_HOURLY_RATE-FIXED_SEASON_COST)</f>
        <v>-11546.5478731895</v>
      </c>
      <c r="L38" s="53" t="n">
        <f aca="false">IF(OR($A38&gt;TOMATO_BED_CAP,$B38&gt;CARROT_BED_CAP,L$4&gt;MESCLUN_BED_CAP,$A38+$B38+L$4&gt;TOTAL_BEDS_AVAILABLE,($D38+L$5)&gt;TOTAL_LABOR_HOURS_CAP,MAX(0,($D38+L$5)-PERMANENT_FIELD_LABOR_HOURS)&gt;TEMP_HOURS_CAP),"",$C38+L$6-MIN(($D38+L$5),PERMANENT_FIELD_LABOR_HOURS)*PERMANENT_HOURLY_RATE-MAX(0,($D38+L$5)-PERMANENT_FIELD_LABOR_HOURS)*TEMP_HOURLY_RATE-FIXED_SEASON_COST)</f>
        <v>-11393.0794883879</v>
      </c>
      <c r="M38" s="53" t="n">
        <f aca="false">IF(OR($A38&gt;TOMATO_BED_CAP,$B38&gt;CARROT_BED_CAP,M$4&gt;MESCLUN_BED_CAP,$A38+$B38+M$4&gt;TOTAL_BEDS_AVAILABLE,($D38+M$5)&gt;TOTAL_LABOR_HOURS_CAP,MAX(0,($D38+M$5)-PERMANENT_FIELD_LABOR_HOURS)&gt;TEMP_HOURS_CAP),"",$C38+M$6-MIN(($D38+M$5),PERMANENT_FIELD_LABOR_HOURS)*PERMANENT_HOURLY_RATE-MAX(0,($D38+M$5)-PERMANENT_FIELD_LABOR_HOURS)*TEMP_HOURLY_RATE-FIXED_SEASON_COST)</f>
        <v>-10488.3757563365</v>
      </c>
      <c r="N38" s="53" t="n">
        <f aca="false">IF(OR($A38&gt;TOMATO_BED_CAP,$B38&gt;CARROT_BED_CAP,N$4&gt;MESCLUN_BED_CAP,$A38+$B38+N$4&gt;TOTAL_BEDS_AVAILABLE,($D38+N$5)&gt;TOTAL_LABOR_HOURS_CAP,MAX(0,($D38+N$5)-PERMANENT_FIELD_LABOR_HOURS)&gt;TEMP_HOURS_CAP),"",$C38+N$6-MIN(($D38+N$5),PERMANENT_FIELD_LABOR_HOURS)*PERMANENT_HOURLY_RATE-MAX(0,($D38+N$5)-PERMANENT_FIELD_LABOR_HOURS)*TEMP_HOURLY_RATE-FIXED_SEASON_COST)</f>
        <v>-9605.76538247695</v>
      </c>
      <c r="O38" s="53" t="n">
        <f aca="false">IF(OR($A38&gt;TOMATO_BED_CAP,$B38&gt;CARROT_BED_CAP,O$4&gt;MESCLUN_BED_CAP,$A38+$B38+O$4&gt;TOTAL_BEDS_AVAILABLE,($D38+O$5)&gt;TOTAL_LABOR_HOURS_CAP,MAX(0,($D38+O$5)-PERMANENT_FIELD_LABOR_HOURS)&gt;TEMP_HOURS_CAP),"",$C38+O$6-MIN(($D38+O$5),PERMANENT_FIELD_LABOR_HOURS)*PERMANENT_HOURLY_RATE-MAX(0,($D38+O$5)-PERMANENT_FIELD_LABOR_HOURS)*TEMP_HOURLY_RATE-FIXED_SEASON_COST)</f>
        <v>-8745.6576857222</v>
      </c>
      <c r="P38" s="53" t="n">
        <f aca="false">IF(OR($A38&gt;TOMATO_BED_CAP,$B38&gt;CARROT_BED_CAP,P$4&gt;MESCLUN_BED_CAP,$A38+$B38+P$4&gt;TOTAL_BEDS_AVAILABLE,($D38+P$5)&gt;TOTAL_LABOR_HOURS_CAP,MAX(0,($D38+P$5)-PERMANENT_FIELD_LABOR_HOURS)&gt;TEMP_HOURS_CAP),"",$C38+P$6-MIN(($D38+P$5),PERMANENT_FIELD_LABOR_HOURS)*PERMANENT_HOURLY_RATE-MAX(0,($D38+P$5)-PERMANENT_FIELD_LABOR_HOURS)*TEMP_HOURLY_RATE-FIXED_SEASON_COST)</f>
        <v>-7908.46876587077</v>
      </c>
      <c r="Q38" s="53" t="n">
        <f aca="false">IF(OR($A38&gt;TOMATO_BED_CAP,$B38&gt;CARROT_BED_CAP,Q$4&gt;MESCLUN_BED_CAP,$A38+$B38+Q$4&gt;TOTAL_BEDS_AVAILABLE,($D38+Q$5)&gt;TOTAL_LABOR_HOURS_CAP,MAX(0,($D38+Q$5)-PERMANENT_FIELD_LABOR_HOURS)&gt;TEMP_HOURS_CAP),"",$C38+Q$6-MIN(($D38+Q$5),PERMANENT_FIELD_LABOR_HOURS)*PERMANENT_HOURLY_RATE-MAX(0,($D38+Q$5)-PERMANENT_FIELD_LABOR_HOURS)*TEMP_HOURLY_RATE-FIXED_SEASON_COST)</f>
        <v>-7094.62160917288</v>
      </c>
      <c r="R38" s="53" t="n">
        <f aca="false">IF(OR($A38&gt;TOMATO_BED_CAP,$B38&gt;CARROT_BED_CAP,R$4&gt;MESCLUN_BED_CAP,$A38+$B38+R$4&gt;TOTAL_BEDS_AVAILABLE,($D38+R$5)&gt;TOTAL_LABOR_HOURS_CAP,MAX(0,($D38+R$5)-PERMANENT_FIELD_LABOR_HOURS)&gt;TEMP_HOURS_CAP),"",$C38+R$6-MIN(($D38+R$5),PERMANENT_FIELD_LABOR_HOURS)*PERMANENT_HOURLY_RATE-MAX(0,($D38+R$5)-PERMANENT_FIELD_LABOR_HOURS)*TEMP_HOURLY_RATE-FIXED_SEASON_COST)</f>
        <v>-6304.54619547607</v>
      </c>
      <c r="S38" s="53" t="n">
        <f aca="false">IF(OR($A38&gt;TOMATO_BED_CAP,$B38&gt;CARROT_BED_CAP,S$4&gt;MESCLUN_BED_CAP,$A38+$B38+S$4&gt;TOTAL_BEDS_AVAILABLE,($D38+S$5)&gt;TOTAL_LABOR_HOURS_CAP,MAX(0,($D38+S$5)-PERMANENT_FIELD_LABOR_HOURS)&gt;TEMP_HOURS_CAP),"",$C38+S$6-MIN(($D38+S$5),PERMANENT_FIELD_LABOR_HOURS)*PERMANENT_HOURLY_RATE-MAX(0,($D38+S$5)-PERMANENT_FIELD_LABOR_HOURS)*TEMP_HOURLY_RATE-FIXED_SEASON_COST)</f>
        <v>-5538.67960697363</v>
      </c>
      <c r="T38" s="53" t="n">
        <f aca="false">IF(OR($A38&gt;TOMATO_BED_CAP,$B38&gt;CARROT_BED_CAP,T$4&gt;MESCLUN_BED_CAP,$A38+$B38+T$4&gt;TOTAL_BEDS_AVAILABLE,($D38+T$5)&gt;TOTAL_LABOR_HOURS_CAP,MAX(0,($D38+T$5)-PERMANENT_FIELD_LABOR_HOURS)&gt;TEMP_HOURS_CAP),"",$C38+T$6-MIN(($D38+T$5),PERMANENT_FIELD_LABOR_HOURS)*PERMANENT_HOURLY_RATE-MAX(0,($D38+T$5)-PERMANENT_FIELD_LABOR_HOURS)*TEMP_HOURLY_RATE-FIXED_SEASON_COST)</f>
        <v>-4797.46613857878</v>
      </c>
      <c r="U38" s="53" t="n">
        <f aca="false">IF(OR($A38&gt;TOMATO_BED_CAP,$B38&gt;CARROT_BED_CAP,U$4&gt;MESCLUN_BED_CAP,$A38+$B38+U$4&gt;TOTAL_BEDS_AVAILABLE,($D38+U$5)&gt;TOTAL_LABOR_HOURS_CAP,MAX(0,($D38+U$5)-PERMANENT_FIELD_LABOR_HOURS)&gt;TEMP_HOURS_CAP),"",$C38+U$6-MIN(($D38+U$5),PERMANENT_FIELD_LABOR_HOURS)*PERMANENT_HOURLY_RATE-MAX(0,($D38+U$5)-PERMANENT_FIELD_LABOR_HOURS)*TEMP_HOURLY_RATE-FIXED_SEASON_COST)</f>
        <v>-4081.35740994868</v>
      </c>
      <c r="V38" s="53" t="n">
        <f aca="false">IF(OR($A38&gt;TOMATO_BED_CAP,$B38&gt;CARROT_BED_CAP,V$4&gt;MESCLUN_BED_CAP,$A38+$B38+V$4&gt;TOTAL_BEDS_AVAILABLE,($D38+V$5)&gt;TOTAL_LABOR_HOURS_CAP,MAX(0,($D38+V$5)-PERMANENT_FIELD_LABOR_HOURS)&gt;TEMP_HOURS_CAP),"",$C38+V$6-MIN(($D38+V$5),PERMANENT_FIELD_LABOR_HOURS)*PERMANENT_HOURLY_RATE-MAX(0,($D38+V$5)-PERMANENT_FIELD_LABOR_HOURS)*TEMP_HOURLY_RATE-FIXED_SEASON_COST)</f>
        <v>-3390.81247918189</v>
      </c>
      <c r="W38" s="53" t="n">
        <f aca="false">IF(OR($A38&gt;TOMATO_BED_CAP,$B38&gt;CARROT_BED_CAP,W$4&gt;MESCLUN_BED_CAP,$A38+$B38+W$4&gt;TOTAL_BEDS_AVAILABLE,($D38+W$5)&gt;TOTAL_LABOR_HOURS_CAP,MAX(0,($D38+W$5)-PERMANENT_FIELD_LABOR_HOURS)&gt;TEMP_HOURS_CAP),"",$C38+W$6-MIN(($D38+W$5),PERMANENT_FIELD_LABOR_HOURS)*PERMANENT_HOURLY_RATE-MAX(0,($D38+W$5)-PERMANENT_FIELD_LABOR_HOURS)*TEMP_HOURLY_RATE-FIXED_SEASON_COST)</f>
        <v>-2726.29795821383</v>
      </c>
      <c r="X38" s="53" t="n">
        <f aca="false">IF(OR($A38&gt;TOMATO_BED_CAP,$B38&gt;CARROT_BED_CAP,X$4&gt;MESCLUN_BED_CAP,$A38+$B38+X$4&gt;TOTAL_BEDS_AVAILABLE,($D38+X$5)&gt;TOTAL_LABOR_HOURS_CAP,MAX(0,($D38+X$5)-PERMANENT_FIELD_LABOR_HOURS)&gt;TEMP_HOURS_CAP),"",$C38+X$6-MIN(($D38+X$5),PERMANENT_FIELD_LABOR_HOURS)*PERMANENT_HOURLY_RATE-MAX(0,($D38+X$5)-PERMANENT_FIELD_LABOR_HOURS)*TEMP_HOURLY_RATE-FIXED_SEASON_COST)</f>
        <v>-2088.2881299349</v>
      </c>
      <c r="Y38" s="53" t="n">
        <f aca="false">IF(OR($A38&gt;TOMATO_BED_CAP,$B38&gt;CARROT_BED_CAP,Y$4&gt;MESCLUN_BED_CAP,$A38+$B38+Y$4&gt;TOTAL_BEDS_AVAILABLE,($D38+Y$5)&gt;TOTAL_LABOR_HOURS_CAP,MAX(0,($D38+Y$5)-PERMANENT_FIELD_LABOR_HOURS)&gt;TEMP_HOURS_CAP),"",$C38+Y$6-MIN(($D38+Y$5),PERMANENT_FIELD_LABOR_HOURS)*PERMANENT_HOURLY_RATE-MAX(0,($D38+Y$5)-PERMANENT_FIELD_LABOR_HOURS)*TEMP_HOURLY_RATE-FIXED_SEASON_COST)</f>
        <v>-1477.26506705624</v>
      </c>
      <c r="Z38" s="53" t="n">
        <f aca="false">IF(OR($A38&gt;TOMATO_BED_CAP,$B38&gt;CARROT_BED_CAP,Z$4&gt;MESCLUN_BED_CAP,$A38+$B38+Z$4&gt;TOTAL_BEDS_AVAILABLE,($D38+Z$5)&gt;TOTAL_LABOR_HOURS_CAP,MAX(0,($D38+Z$5)-PERMANENT_FIELD_LABOR_HOURS)&gt;TEMP_HOURS_CAP),"",$C38+Z$6-MIN(($D38+Z$5),PERMANENT_FIELD_LABOR_HOURS)*PERMANENT_HOURLY_RATE-MAX(0,($D38+Z$5)-PERMANENT_FIELD_LABOR_HOURS)*TEMP_HOURLY_RATE-FIXED_SEASON_COST)</f>
        <v>-893.718752748515</v>
      </c>
      <c r="AA38" s="53" t="n">
        <f aca="false">IF(OR($A38&gt;TOMATO_BED_CAP,$B38&gt;CARROT_BED_CAP,AA$4&gt;MESCLUN_BED_CAP,$A38+$B38+AA$4&gt;TOTAL_BEDS_AVAILABLE,($D38+AA$5)&gt;TOTAL_LABOR_HOURS_CAP,MAX(0,($D38+AA$5)-PERMANENT_FIELD_LABOR_HOURS)&gt;TEMP_HOURS_CAP),"",$C38+AA$6-MIN(($D38+AA$5),PERMANENT_FIELD_LABOR_HOURS)*PERMANENT_HOURLY_RATE-MAX(0,($D38+AA$5)-PERMANENT_FIELD_LABOR_HOURS)*TEMP_HOURLY_RATE-FIXED_SEASON_COST)</f>
        <v>-338.147203079585</v>
      </c>
      <c r="AB38" s="53" t="n">
        <f aca="false">IF(OR($A38&gt;TOMATO_BED_CAP,$B38&gt;CARROT_BED_CAP,AB$4&gt;MESCLUN_BED_CAP,$A38+$B38+AB$4&gt;TOTAL_BEDS_AVAILABLE,($D38+AB$5)&gt;TOTAL_LABOR_HOURS_CAP,MAX(0,($D38+AB$5)-PERMANENT_FIELD_LABOR_HOURS)&gt;TEMP_HOURS_CAP),"",$C38+AB$6-MIN(($D38+AB$5),PERMANENT_FIELD_LABOR_HOURS)*PERMANENT_HOURLY_RATE-MAX(0,($D38+AB$5)-PERMANENT_FIELD_LABOR_HOURS)*TEMP_HOURLY_RATE-FIXED_SEASON_COST)</f>
        <v>188.943408722982</v>
      </c>
      <c r="AC38" s="53" t="n">
        <f aca="false">IF(OR($A38&gt;TOMATO_BED_CAP,$B38&gt;CARROT_BED_CAP,AC$4&gt;MESCLUN_BED_CAP,$A38+$B38+AC$4&gt;TOTAL_BEDS_AVAILABLE,($D38+AC$5)&gt;TOTAL_LABOR_HOURS_CAP,MAX(0,($D38+AC$5)-PERMANENT_FIELD_LABOR_HOURS)&gt;TEMP_HOURS_CAP),"",$C38+AC$6-MIN(($D38+AC$5),PERMANENT_FIELD_LABOR_HOURS)*PERMANENT_HOURLY_RATE-MAX(0,($D38+AC$5)-PERMANENT_FIELD_LABOR_HOURS)*TEMP_HOURLY_RATE-FIXED_SEASON_COST)</f>
        <v>687.038626157886</v>
      </c>
      <c r="AD38" s="53" t="n">
        <f aca="false">IF(OR($A38&gt;TOMATO_BED_CAP,$B38&gt;CARROT_BED_CAP,AD$4&gt;MESCLUN_BED_CAP,$A38+$B38+AD$4&gt;TOTAL_BEDS_AVAILABLE,($D38+AD$5)&gt;TOTAL_LABOR_HOURS_CAP,MAX(0,($D38+AD$5)-PERMANENT_FIELD_LABOR_HOURS)&gt;TEMP_HOURS_CAP),"",$C38+AD$6-MIN(($D38+AD$5),PERMANENT_FIELD_LABOR_HOURS)*PERMANENT_HOURLY_RATE-MAX(0,($D38+AD$5)-PERMANENT_FIELD_LABOR_HOURS)*TEMP_HOURLY_RATE-FIXED_SEASON_COST)</f>
        <v>1155.61558145784</v>
      </c>
      <c r="AE38" s="53" t="n">
        <f aca="false">IF(OR($A38&gt;TOMATO_BED_CAP,$B38&gt;CARROT_BED_CAP,AE$4&gt;MESCLUN_BED_CAP,$A38+$B38+AE$4&gt;TOTAL_BEDS_AVAILABLE,($D38+AE$5)&gt;TOTAL_LABOR_HOURS_CAP,MAX(0,($D38+AE$5)-PERMANENT_FIELD_LABOR_HOURS)&gt;TEMP_HOURS_CAP),"",$C38+AE$6-MIN(($D38+AE$5),PERMANENT_FIELD_LABOR_HOURS)*PERMANENT_HOURLY_RATE-MAX(0,($D38+AE$5)-PERMANENT_FIELD_LABOR_HOURS)*TEMP_HOURLY_RATE-FIXED_SEASON_COST)</f>
        <v>1594.14286569175</v>
      </c>
      <c r="AF38" s="53" t="n">
        <f aca="false">IF(OR($A38&gt;TOMATO_BED_CAP,$B38&gt;CARROT_BED_CAP,AF$4&gt;MESCLUN_BED_CAP,$A38+$B38+AF$4&gt;TOTAL_BEDS_AVAILABLE,($D38+AF$5)&gt;TOTAL_LABOR_HOURS_CAP,MAX(0,($D38+AF$5)-PERMANENT_FIELD_LABOR_HOURS)&gt;TEMP_HOURS_CAP),"",$C38+AF$6-MIN(($D38+AF$5),PERMANENT_FIELD_LABOR_HOURS)*PERMANENT_HOURLY_RATE-MAX(0,($D38+AF$5)-PERMANENT_FIELD_LABOR_HOURS)*TEMP_HOURLY_RATE-FIXED_SEASON_COST)</f>
        <v>2002.08039693369</v>
      </c>
      <c r="AG38" s="53" t="n">
        <f aca="false">IF(OR($A38&gt;TOMATO_BED_CAP,$B38&gt;CARROT_BED_CAP,AG$4&gt;MESCLUN_BED_CAP,$A38+$B38+AG$4&gt;TOTAL_BEDS_AVAILABLE,($D38+AG$5)&gt;TOTAL_LABOR_HOURS_CAP,MAX(0,($D38+AG$5)-PERMANENT_FIELD_LABOR_HOURS)&gt;TEMP_HOURS_CAP),"",$C38+AG$6-MIN(($D38+AG$5),PERMANENT_FIELD_LABOR_HOURS)*PERMANENT_HOURLY_RATE-MAX(0,($D38+AG$5)-PERMANENT_FIELD_LABOR_HOURS)*TEMP_HOURLY_RATE-FIXED_SEASON_COST)</f>
        <v>2378.87928647071</v>
      </c>
      <c r="AH38" s="53" t="n">
        <f aca="false">IF(OR($A38&gt;TOMATO_BED_CAP,$B38&gt;CARROT_BED_CAP,AH$4&gt;MESCLUN_BED_CAP,$A38+$B38+AH$4&gt;TOTAL_BEDS_AVAILABLE,($D38+AH$5)&gt;TOTAL_LABOR_HOURS_CAP,MAX(0,($D38+AH$5)-PERMANENT_FIELD_LABOR_HOURS)&gt;TEMP_HOURS_CAP),"",$C38+AH$6-MIN(($D38+AH$5),PERMANENT_FIELD_LABOR_HOURS)*PERMANENT_HOURLY_RATE-MAX(0,($D38+AH$5)-PERMANENT_FIELD_LABOR_HOURS)*TEMP_HOURLY_RATE-FIXED_SEASON_COST)</f>
        <v>2723.98170302093</v>
      </c>
      <c r="AI38" s="53" t="n">
        <f aca="false">IF(OR($A38&gt;TOMATO_BED_CAP,$B38&gt;CARROT_BED_CAP,AI$4&gt;MESCLUN_BED_CAP,$A38+$B38+AI$4&gt;TOTAL_BEDS_AVAILABLE,($D38+AI$5)&gt;TOTAL_LABOR_HOURS_CAP,MAX(0,($D38+AI$5)-PERMANENT_FIELD_LABOR_HOURS)&gt;TEMP_HOURS_CAP),"",$C38+AI$6-MIN(($D38+AI$5),PERMANENT_FIELD_LABOR_HOURS)*PERMANENT_HOURLY_RATE-MAX(0,($D38+AI$5)-PERMANENT_FIELD_LABOR_HOURS)*TEMP_HOURLY_RATE-FIXED_SEASON_COST)</f>
        <v>3036.82073493319</v>
      </c>
      <c r="AJ38" s="53" t="n">
        <f aca="false">IF(OR($A38&gt;TOMATO_BED_CAP,$B38&gt;CARROT_BED_CAP,AJ$4&gt;MESCLUN_BED_CAP,$A38+$B38+AJ$4&gt;TOTAL_BEDS_AVAILABLE,($D38+AJ$5)&gt;TOTAL_LABOR_HOURS_CAP,MAX(0,($D38+AJ$5)-PERMANENT_FIELD_LABOR_HOURS)&gt;TEMP_HOURS_CAP),"",$C38+AJ$6-MIN(($D38+AJ$5),PERMANENT_FIELD_LABOR_HOURS)*PERMANENT_HOURLY_RATE-MAX(0,($D38+AJ$5)-PERMANENT_FIELD_LABOR_HOURS)*TEMP_HOURLY_RATE-FIXED_SEASON_COST)</f>
        <v>3316.82025033894</v>
      </c>
    </row>
    <row r="39" customFormat="false" ht="15" hidden="false" customHeight="false" outlineLevel="0" collapsed="false">
      <c r="A39" s="21" t="n">
        <f aca="false">INT((ROW()-ROW($A$8))/(20+1))</f>
        <v>1</v>
      </c>
      <c r="B39" s="21" t="n">
        <f aca="false">MOD(ROW()-ROW($A$8),20+1)</f>
        <v>10</v>
      </c>
      <c r="C39" s="13" t="n">
        <f aca="false">A39*(TOMATO_REVENUE_PER_BED-TOMATO_FERTILIZER_PER_BED)+B39*(CARROT_REVENUE_PER_BED-CARROT_FERTILIZER_PER_BED)</f>
        <v>24460</v>
      </c>
      <c r="D39" s="14" t="n">
        <f aca="false">INDEX(TOMATO_SCHED_LABOR_HRS,A39+1)+INDEX(CARROT_SCHED_LABOR_HRS,B39+1)</f>
        <v>482.871753113603</v>
      </c>
      <c r="E39" s="13" t="n">
        <f aca="false">IF(COUNT(F39:AJ39)=0,"",MAX(F39:AJ39))</f>
        <v>4158.13566082039</v>
      </c>
      <c r="F39" s="53" t="n">
        <f aca="false">IF(OR($A39&gt;TOMATO_BED_CAP,$B39&gt;CARROT_BED_CAP,F$4&gt;MESCLUN_BED_CAP,$A39+$B39+F$4&gt;TOTAL_BEDS_AVAILABLE,($D39+F$5)&gt;TOTAL_LABOR_HOURS_CAP,MAX(0,($D39+F$5)-PERMANENT_FIELD_LABOR_HOURS)&gt;TEMP_HOURS_CAP),"",$C39+F$6-MIN(($D39+F$5),PERMANENT_FIELD_LABOR_HOURS)*PERMANENT_HOURLY_RATE-MAX(0,($D39+F$5)-PERMANENT_FIELD_LABOR_HOURS)*TEMP_HOURLY_RATE-FIXED_SEASON_COST)</f>
        <v>-12305.3072681043</v>
      </c>
      <c r="G39" s="53" t="n">
        <f aca="false">IF(OR($A39&gt;TOMATO_BED_CAP,$B39&gt;CARROT_BED_CAP,G$4&gt;MESCLUN_BED_CAP,$A39+$B39+G$4&gt;TOTAL_BEDS_AVAILABLE,($D39+G$5)&gt;TOTAL_LABOR_HOURS_CAP,MAX(0,($D39+G$5)-PERMANENT_FIELD_LABOR_HOURS)&gt;TEMP_HOURS_CAP),"",$C39+G$6-MIN(($D39+G$5),PERMANENT_FIELD_LABOR_HOURS)*PERMANENT_HOURLY_RATE-MAX(0,($D39+G$5)-PERMANENT_FIELD_LABOR_HOURS)*TEMP_HOURLY_RATE-FIXED_SEASON_COST)</f>
        <v>-12067.2372681043</v>
      </c>
      <c r="H39" s="53" t="n">
        <f aca="false">IF(OR($A39&gt;TOMATO_BED_CAP,$B39&gt;CARROT_BED_CAP,H$4&gt;MESCLUN_BED_CAP,$A39+$B39+H$4&gt;TOTAL_BEDS_AVAILABLE,($D39+H$5)&gt;TOTAL_LABOR_HOURS_CAP,MAX(0,($D39+H$5)-PERMANENT_FIELD_LABOR_HOURS)&gt;TEMP_HOURS_CAP),"",$C39+H$6-MIN(($D39+H$5),PERMANENT_FIELD_LABOR_HOURS)*PERMANENT_HOURLY_RATE-MAX(0,($D39+H$5)-PERMANENT_FIELD_LABOR_HOURS)*TEMP_HOURLY_RATE-FIXED_SEASON_COST)</f>
        <v>-11868.7155181043</v>
      </c>
      <c r="I39" s="53" t="n">
        <f aca="false">IF(OR($A39&gt;TOMATO_BED_CAP,$B39&gt;CARROT_BED_CAP,I$4&gt;MESCLUN_BED_CAP,$A39+$B39+I$4&gt;TOTAL_BEDS_AVAILABLE,($D39+I$5)&gt;TOTAL_LABOR_HOURS_CAP,MAX(0,($D39+I$5)-PERMANENT_FIELD_LABOR_HOURS)&gt;TEMP_HOURS_CAP),"",$C39+I$6-MIN(($D39+I$5),PERMANENT_FIELD_LABOR_HOURS)*PERMANENT_HOURLY_RATE-MAX(0,($D39+I$5)-PERMANENT_FIELD_LABOR_HOURS)*TEMP_HOURLY_RATE-FIXED_SEASON_COST)</f>
        <v>-11710.4835477918</v>
      </c>
      <c r="J39" s="53" t="n">
        <f aca="false">IF(OR($A39&gt;TOMATO_BED_CAP,$B39&gt;CARROT_BED_CAP,J$4&gt;MESCLUN_BED_CAP,$A39+$B39+J$4&gt;TOTAL_BEDS_AVAILABLE,($D39+J$5)&gt;TOTAL_LABOR_HOURS_CAP,MAX(0,($D39+J$5)-PERMANENT_FIELD_LABOR_HOURS)&gt;TEMP_HOURS_CAP),"",$C39+J$6-MIN(($D39+J$5),PERMANENT_FIELD_LABOR_HOURS)*PERMANENT_HOURLY_RATE-MAX(0,($D39+J$5)-PERMANENT_FIELD_LABOR_HOURS)*TEMP_HOURLY_RATE-FIXED_SEASON_COST)</f>
        <v>-11593.2952456824</v>
      </c>
      <c r="K39" s="53" t="n">
        <f aca="false">IF(OR($A39&gt;TOMATO_BED_CAP,$B39&gt;CARROT_BED_CAP,K$4&gt;MESCLUN_BED_CAP,$A39+$B39+K$4&gt;TOTAL_BEDS_AVAILABLE,($D39+K$5)&gt;TOTAL_LABOR_HOURS_CAP,MAX(0,($D39+K$5)-PERMANENT_FIELD_LABOR_HOURS)&gt;TEMP_HOURS_CAP),"",$C39+K$6-MIN(($D39+K$5),PERMANENT_FIELD_LABOR_HOURS)*PERMANENT_HOURLY_RATE-MAX(0,($D39+K$5)-PERMANENT_FIELD_LABOR_HOURS)*TEMP_HOURLY_RATE-FIXED_SEASON_COST)</f>
        <v>-11478.1585261133</v>
      </c>
      <c r="L39" s="53" t="n">
        <f aca="false">IF(OR($A39&gt;TOMATO_BED_CAP,$B39&gt;CARROT_BED_CAP,L$4&gt;MESCLUN_BED_CAP,$A39+$B39+L$4&gt;TOTAL_BEDS_AVAILABLE,($D39+L$5)&gt;TOTAL_LABOR_HOURS_CAP,MAX(0,($D39+L$5)-PERMANENT_FIELD_LABOR_HOURS)&gt;TEMP_HOURS_CAP),"",$C39+L$6-MIN(($D39+L$5),PERMANENT_FIELD_LABOR_HOURS)*PERMANENT_HOURLY_RATE-MAX(0,($D39+L$5)-PERMANENT_FIELD_LABOR_HOURS)*TEMP_HOURLY_RATE-FIXED_SEASON_COST)</f>
        <v>-10551.7640779065</v>
      </c>
      <c r="M39" s="53" t="n">
        <f aca="false">IF(OR($A39&gt;TOMATO_BED_CAP,$B39&gt;CARROT_BED_CAP,M$4&gt;MESCLUN_BED_CAP,$A39+$B39+M$4&gt;TOTAL_BEDS_AVAILABLE,($D39+M$5)&gt;TOTAL_LABOR_HOURS_CAP,MAX(0,($D39+M$5)-PERMANENT_FIELD_LABOR_HOURS)&gt;TEMP_HOURS_CAP),"",$C39+M$6-MIN(($D39+M$5),PERMANENT_FIELD_LABOR_HOURS)*PERMANENT_HOURLY_RATE-MAX(0,($D39+M$5)-PERMANENT_FIELD_LABOR_HOURS)*TEMP_HOURLY_RATE-FIXED_SEASON_COST)</f>
        <v>-9647.06034585505</v>
      </c>
      <c r="N39" s="53" t="n">
        <f aca="false">IF(OR($A39&gt;TOMATO_BED_CAP,$B39&gt;CARROT_BED_CAP,N$4&gt;MESCLUN_BED_CAP,$A39+$B39+N$4&gt;TOTAL_BEDS_AVAILABLE,($D39+N$5)&gt;TOTAL_LABOR_HOURS_CAP,MAX(0,($D39+N$5)-PERMANENT_FIELD_LABOR_HOURS)&gt;TEMP_HOURS_CAP),"",$C39+N$6-MIN(($D39+N$5),PERMANENT_FIELD_LABOR_HOURS)*PERMANENT_HOURLY_RATE-MAX(0,($D39+N$5)-PERMANENT_FIELD_LABOR_HOURS)*TEMP_HOURLY_RATE-FIXED_SEASON_COST)</f>
        <v>-8764.44997199551</v>
      </c>
      <c r="O39" s="53" t="n">
        <f aca="false">IF(OR($A39&gt;TOMATO_BED_CAP,$B39&gt;CARROT_BED_CAP,O$4&gt;MESCLUN_BED_CAP,$A39+$B39+O$4&gt;TOTAL_BEDS_AVAILABLE,($D39+O$5)&gt;TOTAL_LABOR_HOURS_CAP,MAX(0,($D39+O$5)-PERMANENT_FIELD_LABOR_HOURS)&gt;TEMP_HOURS_CAP),"",$C39+O$6-MIN(($D39+O$5),PERMANENT_FIELD_LABOR_HOURS)*PERMANENT_HOURLY_RATE-MAX(0,($D39+O$5)-PERMANENT_FIELD_LABOR_HOURS)*TEMP_HOURLY_RATE-FIXED_SEASON_COST)</f>
        <v>-7904.34227524075</v>
      </c>
      <c r="P39" s="53" t="n">
        <f aca="false">IF(OR($A39&gt;TOMATO_BED_CAP,$B39&gt;CARROT_BED_CAP,P$4&gt;MESCLUN_BED_CAP,$A39+$B39+P$4&gt;TOTAL_BEDS_AVAILABLE,($D39+P$5)&gt;TOTAL_LABOR_HOURS_CAP,MAX(0,($D39+P$5)-PERMANENT_FIELD_LABOR_HOURS)&gt;TEMP_HOURS_CAP),"",$C39+P$6-MIN(($D39+P$5),PERMANENT_FIELD_LABOR_HOURS)*PERMANENT_HOURLY_RATE-MAX(0,($D39+P$5)-PERMANENT_FIELD_LABOR_HOURS)*TEMP_HOURLY_RATE-FIXED_SEASON_COST)</f>
        <v>-7067.15335538933</v>
      </c>
      <c r="Q39" s="53" t="n">
        <f aca="false">IF(OR($A39&gt;TOMATO_BED_CAP,$B39&gt;CARROT_BED_CAP,Q$4&gt;MESCLUN_BED_CAP,$A39+$B39+Q$4&gt;TOTAL_BEDS_AVAILABLE,($D39+Q$5)&gt;TOTAL_LABOR_HOURS_CAP,MAX(0,($D39+Q$5)-PERMANENT_FIELD_LABOR_HOURS)&gt;TEMP_HOURS_CAP),"",$C39+Q$6-MIN(($D39+Q$5),PERMANENT_FIELD_LABOR_HOURS)*PERMANENT_HOURLY_RATE-MAX(0,($D39+Q$5)-PERMANENT_FIELD_LABOR_HOURS)*TEMP_HOURLY_RATE-FIXED_SEASON_COST)</f>
        <v>-6253.30619869143</v>
      </c>
      <c r="R39" s="53" t="n">
        <f aca="false">IF(OR($A39&gt;TOMATO_BED_CAP,$B39&gt;CARROT_BED_CAP,R$4&gt;MESCLUN_BED_CAP,$A39+$B39+R$4&gt;TOTAL_BEDS_AVAILABLE,($D39+R$5)&gt;TOTAL_LABOR_HOURS_CAP,MAX(0,($D39+R$5)-PERMANENT_FIELD_LABOR_HOURS)&gt;TEMP_HOURS_CAP),"",$C39+R$6-MIN(($D39+R$5),PERMANENT_FIELD_LABOR_HOURS)*PERMANENT_HOURLY_RATE-MAX(0,($D39+R$5)-PERMANENT_FIELD_LABOR_HOURS)*TEMP_HOURLY_RATE-FIXED_SEASON_COST)</f>
        <v>-5463.23078499463</v>
      </c>
      <c r="S39" s="53" t="n">
        <f aca="false">IF(OR($A39&gt;TOMATO_BED_CAP,$B39&gt;CARROT_BED_CAP,S$4&gt;MESCLUN_BED_CAP,$A39+$B39+S$4&gt;TOTAL_BEDS_AVAILABLE,($D39+S$5)&gt;TOTAL_LABOR_HOURS_CAP,MAX(0,($D39+S$5)-PERMANENT_FIELD_LABOR_HOURS)&gt;TEMP_HOURS_CAP),"",$C39+S$6-MIN(($D39+S$5),PERMANENT_FIELD_LABOR_HOURS)*PERMANENT_HOURLY_RATE-MAX(0,($D39+S$5)-PERMANENT_FIELD_LABOR_HOURS)*TEMP_HOURLY_RATE-FIXED_SEASON_COST)</f>
        <v>-4697.36419649218</v>
      </c>
      <c r="T39" s="53" t="n">
        <f aca="false">IF(OR($A39&gt;TOMATO_BED_CAP,$B39&gt;CARROT_BED_CAP,T$4&gt;MESCLUN_BED_CAP,$A39+$B39+T$4&gt;TOTAL_BEDS_AVAILABLE,($D39+T$5)&gt;TOTAL_LABOR_HOURS_CAP,MAX(0,($D39+T$5)-PERMANENT_FIELD_LABOR_HOURS)&gt;TEMP_HOURS_CAP),"",$C39+T$6-MIN(($D39+T$5),PERMANENT_FIELD_LABOR_HOURS)*PERMANENT_HOURLY_RATE-MAX(0,($D39+T$5)-PERMANENT_FIELD_LABOR_HOURS)*TEMP_HOURLY_RATE-FIXED_SEASON_COST)</f>
        <v>-3956.15072809733</v>
      </c>
      <c r="U39" s="53" t="n">
        <f aca="false">IF(OR($A39&gt;TOMATO_BED_CAP,$B39&gt;CARROT_BED_CAP,U$4&gt;MESCLUN_BED_CAP,$A39+$B39+U$4&gt;TOTAL_BEDS_AVAILABLE,($D39+U$5)&gt;TOTAL_LABOR_HOURS_CAP,MAX(0,($D39+U$5)-PERMANENT_FIELD_LABOR_HOURS)&gt;TEMP_HOURS_CAP),"",$C39+U$6-MIN(($D39+U$5),PERMANENT_FIELD_LABOR_HOURS)*PERMANENT_HOURLY_RATE-MAX(0,($D39+U$5)-PERMANENT_FIELD_LABOR_HOURS)*TEMP_HOURLY_RATE-FIXED_SEASON_COST)</f>
        <v>-3240.04199946723</v>
      </c>
      <c r="V39" s="53" t="n">
        <f aca="false">IF(OR($A39&gt;TOMATO_BED_CAP,$B39&gt;CARROT_BED_CAP,V$4&gt;MESCLUN_BED_CAP,$A39+$B39+V$4&gt;TOTAL_BEDS_AVAILABLE,($D39+V$5)&gt;TOTAL_LABOR_HOURS_CAP,MAX(0,($D39+V$5)-PERMANENT_FIELD_LABOR_HOURS)&gt;TEMP_HOURS_CAP),"",$C39+V$6-MIN(($D39+V$5),PERMANENT_FIELD_LABOR_HOURS)*PERMANENT_HOURLY_RATE-MAX(0,($D39+V$5)-PERMANENT_FIELD_LABOR_HOURS)*TEMP_HOURLY_RATE-FIXED_SEASON_COST)</f>
        <v>-2549.49706870045</v>
      </c>
      <c r="W39" s="53" t="n">
        <f aca="false">IF(OR($A39&gt;TOMATO_BED_CAP,$B39&gt;CARROT_BED_CAP,W$4&gt;MESCLUN_BED_CAP,$A39+$B39+W$4&gt;TOTAL_BEDS_AVAILABLE,($D39+W$5)&gt;TOTAL_LABOR_HOURS_CAP,MAX(0,($D39+W$5)-PERMANENT_FIELD_LABOR_HOURS)&gt;TEMP_HOURS_CAP),"",$C39+W$6-MIN(($D39+W$5),PERMANENT_FIELD_LABOR_HOURS)*PERMANENT_HOURLY_RATE-MAX(0,($D39+W$5)-PERMANENT_FIELD_LABOR_HOURS)*TEMP_HOURLY_RATE-FIXED_SEASON_COST)</f>
        <v>-1884.98254773238</v>
      </c>
      <c r="X39" s="53" t="n">
        <f aca="false">IF(OR($A39&gt;TOMATO_BED_CAP,$B39&gt;CARROT_BED_CAP,X$4&gt;MESCLUN_BED_CAP,$A39+$B39+X$4&gt;TOTAL_BEDS_AVAILABLE,($D39+X$5)&gt;TOTAL_LABOR_HOURS_CAP,MAX(0,($D39+X$5)-PERMANENT_FIELD_LABOR_HOURS)&gt;TEMP_HOURS_CAP),"",$C39+X$6-MIN(($D39+X$5),PERMANENT_FIELD_LABOR_HOURS)*PERMANENT_HOURLY_RATE-MAX(0,($D39+X$5)-PERMANENT_FIELD_LABOR_HOURS)*TEMP_HOURLY_RATE-FIXED_SEASON_COST)</f>
        <v>-1246.97271945346</v>
      </c>
      <c r="Y39" s="53" t="n">
        <f aca="false">IF(OR($A39&gt;TOMATO_BED_CAP,$B39&gt;CARROT_BED_CAP,Y$4&gt;MESCLUN_BED_CAP,$A39+$B39+Y$4&gt;TOTAL_BEDS_AVAILABLE,($D39+Y$5)&gt;TOTAL_LABOR_HOURS_CAP,MAX(0,($D39+Y$5)-PERMANENT_FIELD_LABOR_HOURS)&gt;TEMP_HOURS_CAP),"",$C39+Y$6-MIN(($D39+Y$5),PERMANENT_FIELD_LABOR_HOURS)*PERMANENT_HOURLY_RATE-MAX(0,($D39+Y$5)-PERMANENT_FIELD_LABOR_HOURS)*TEMP_HOURLY_RATE-FIXED_SEASON_COST)</f>
        <v>-635.949656574794</v>
      </c>
      <c r="Z39" s="53" t="n">
        <f aca="false">IF(OR($A39&gt;TOMATO_BED_CAP,$B39&gt;CARROT_BED_CAP,Z$4&gt;MESCLUN_BED_CAP,$A39+$B39+Z$4&gt;TOTAL_BEDS_AVAILABLE,($D39+Z$5)&gt;TOTAL_LABOR_HOURS_CAP,MAX(0,($D39+Z$5)-PERMANENT_FIELD_LABOR_HOURS)&gt;TEMP_HOURS_CAP),"",$C39+Z$6-MIN(($D39+Z$5),PERMANENT_FIELD_LABOR_HOURS)*PERMANENT_HOURLY_RATE-MAX(0,($D39+Z$5)-PERMANENT_FIELD_LABOR_HOURS)*TEMP_HOURLY_RATE-FIXED_SEASON_COST)</f>
        <v>-52.4033422670691</v>
      </c>
      <c r="AA39" s="53" t="n">
        <f aca="false">IF(OR($A39&gt;TOMATO_BED_CAP,$B39&gt;CARROT_BED_CAP,AA$4&gt;MESCLUN_BED_CAP,$A39+$B39+AA$4&gt;TOTAL_BEDS_AVAILABLE,($D39+AA$5)&gt;TOTAL_LABOR_HOURS_CAP,MAX(0,($D39+AA$5)-PERMANENT_FIELD_LABOR_HOURS)&gt;TEMP_HOURS_CAP),"",$C39+AA$6-MIN(($D39+AA$5),PERMANENT_FIELD_LABOR_HOURS)*PERMANENT_HOURLY_RATE-MAX(0,($D39+AA$5)-PERMANENT_FIELD_LABOR_HOURS)*TEMP_HOURLY_RATE-FIXED_SEASON_COST)</f>
        <v>503.168207401861</v>
      </c>
      <c r="AB39" s="53" t="n">
        <f aca="false">IF(OR($A39&gt;TOMATO_BED_CAP,$B39&gt;CARROT_BED_CAP,AB$4&gt;MESCLUN_BED_CAP,$A39+$B39+AB$4&gt;TOTAL_BEDS_AVAILABLE,($D39+AB$5)&gt;TOTAL_LABOR_HOURS_CAP,MAX(0,($D39+AB$5)-PERMANENT_FIELD_LABOR_HOURS)&gt;TEMP_HOURS_CAP),"",$C39+AB$6-MIN(($D39+AB$5),PERMANENT_FIELD_LABOR_HOURS)*PERMANENT_HOURLY_RATE-MAX(0,($D39+AB$5)-PERMANENT_FIELD_LABOR_HOURS)*TEMP_HOURLY_RATE-FIXED_SEASON_COST)</f>
        <v>1030.25881920442</v>
      </c>
      <c r="AC39" s="53" t="n">
        <f aca="false">IF(OR($A39&gt;TOMATO_BED_CAP,$B39&gt;CARROT_BED_CAP,AC$4&gt;MESCLUN_BED_CAP,$A39+$B39+AC$4&gt;TOTAL_BEDS_AVAILABLE,($D39+AC$5)&gt;TOTAL_LABOR_HOURS_CAP,MAX(0,($D39+AC$5)-PERMANENT_FIELD_LABOR_HOURS)&gt;TEMP_HOURS_CAP),"",$C39+AC$6-MIN(($D39+AC$5),PERMANENT_FIELD_LABOR_HOURS)*PERMANENT_HOURLY_RATE-MAX(0,($D39+AC$5)-PERMANENT_FIELD_LABOR_HOURS)*TEMP_HOURLY_RATE-FIXED_SEASON_COST)</f>
        <v>1528.35403663933</v>
      </c>
      <c r="AD39" s="53" t="n">
        <f aca="false">IF(OR($A39&gt;TOMATO_BED_CAP,$B39&gt;CARROT_BED_CAP,AD$4&gt;MESCLUN_BED_CAP,$A39+$B39+AD$4&gt;TOTAL_BEDS_AVAILABLE,($D39+AD$5)&gt;TOTAL_LABOR_HOURS_CAP,MAX(0,($D39+AD$5)-PERMANENT_FIELD_LABOR_HOURS)&gt;TEMP_HOURS_CAP),"",$C39+AD$6-MIN(($D39+AD$5),PERMANENT_FIELD_LABOR_HOURS)*PERMANENT_HOURLY_RATE-MAX(0,($D39+AD$5)-PERMANENT_FIELD_LABOR_HOURS)*TEMP_HOURLY_RATE-FIXED_SEASON_COST)</f>
        <v>1996.93099193929</v>
      </c>
      <c r="AE39" s="53" t="n">
        <f aca="false">IF(OR($A39&gt;TOMATO_BED_CAP,$B39&gt;CARROT_BED_CAP,AE$4&gt;MESCLUN_BED_CAP,$A39+$B39+AE$4&gt;TOTAL_BEDS_AVAILABLE,($D39+AE$5)&gt;TOTAL_LABOR_HOURS_CAP,MAX(0,($D39+AE$5)-PERMANENT_FIELD_LABOR_HOURS)&gt;TEMP_HOURS_CAP),"",$C39+AE$6-MIN(($D39+AE$5),PERMANENT_FIELD_LABOR_HOURS)*PERMANENT_HOURLY_RATE-MAX(0,($D39+AE$5)-PERMANENT_FIELD_LABOR_HOURS)*TEMP_HOURLY_RATE-FIXED_SEASON_COST)</f>
        <v>2435.45827617319</v>
      </c>
      <c r="AF39" s="53" t="n">
        <f aca="false">IF(OR($A39&gt;TOMATO_BED_CAP,$B39&gt;CARROT_BED_CAP,AF$4&gt;MESCLUN_BED_CAP,$A39+$B39+AF$4&gt;TOTAL_BEDS_AVAILABLE,($D39+AF$5)&gt;TOTAL_LABOR_HOURS_CAP,MAX(0,($D39+AF$5)-PERMANENT_FIELD_LABOR_HOURS)&gt;TEMP_HOURS_CAP),"",$C39+AF$6-MIN(($D39+AF$5),PERMANENT_FIELD_LABOR_HOURS)*PERMANENT_HOURLY_RATE-MAX(0,($D39+AF$5)-PERMANENT_FIELD_LABOR_HOURS)*TEMP_HOURLY_RATE-FIXED_SEASON_COST)</f>
        <v>2843.39580741515</v>
      </c>
      <c r="AG39" s="53" t="n">
        <f aca="false">IF(OR($A39&gt;TOMATO_BED_CAP,$B39&gt;CARROT_BED_CAP,AG$4&gt;MESCLUN_BED_CAP,$A39+$B39+AG$4&gt;TOTAL_BEDS_AVAILABLE,($D39+AG$5)&gt;TOTAL_LABOR_HOURS_CAP,MAX(0,($D39+AG$5)-PERMANENT_FIELD_LABOR_HOURS)&gt;TEMP_HOURS_CAP),"",$C39+AG$6-MIN(($D39+AG$5),PERMANENT_FIELD_LABOR_HOURS)*PERMANENT_HOURLY_RATE-MAX(0,($D39+AG$5)-PERMANENT_FIELD_LABOR_HOURS)*TEMP_HOURLY_RATE-FIXED_SEASON_COST)</f>
        <v>3220.19469695216</v>
      </c>
      <c r="AH39" s="53" t="n">
        <f aca="false">IF(OR($A39&gt;TOMATO_BED_CAP,$B39&gt;CARROT_BED_CAP,AH$4&gt;MESCLUN_BED_CAP,$A39+$B39+AH$4&gt;TOTAL_BEDS_AVAILABLE,($D39+AH$5)&gt;TOTAL_LABOR_HOURS_CAP,MAX(0,($D39+AH$5)-PERMANENT_FIELD_LABOR_HOURS)&gt;TEMP_HOURS_CAP),"",$C39+AH$6-MIN(($D39+AH$5),PERMANENT_FIELD_LABOR_HOURS)*PERMANENT_HOURLY_RATE-MAX(0,($D39+AH$5)-PERMANENT_FIELD_LABOR_HOURS)*TEMP_HOURLY_RATE-FIXED_SEASON_COST)</f>
        <v>3565.29711350237</v>
      </c>
      <c r="AI39" s="53" t="n">
        <f aca="false">IF(OR($A39&gt;TOMATO_BED_CAP,$B39&gt;CARROT_BED_CAP,AI$4&gt;MESCLUN_BED_CAP,$A39+$B39+AI$4&gt;TOTAL_BEDS_AVAILABLE,($D39+AI$5)&gt;TOTAL_LABOR_HOURS_CAP,MAX(0,($D39+AI$5)-PERMANENT_FIELD_LABOR_HOURS)&gt;TEMP_HOURS_CAP),"",$C39+AI$6-MIN(($D39+AI$5),PERMANENT_FIELD_LABOR_HOURS)*PERMANENT_HOURLY_RATE-MAX(0,($D39+AI$5)-PERMANENT_FIELD_LABOR_HOURS)*TEMP_HOURLY_RATE-FIXED_SEASON_COST)</f>
        <v>3878.13614541463</v>
      </c>
      <c r="AJ39" s="53" t="n">
        <f aca="false">IF(OR($A39&gt;TOMATO_BED_CAP,$B39&gt;CARROT_BED_CAP,AJ$4&gt;MESCLUN_BED_CAP,$A39+$B39+AJ$4&gt;TOTAL_BEDS_AVAILABLE,($D39+AJ$5)&gt;TOTAL_LABOR_HOURS_CAP,MAX(0,($D39+AJ$5)-PERMANENT_FIELD_LABOR_HOURS)&gt;TEMP_HOURS_CAP),"",$C39+AJ$6-MIN(($D39+AJ$5),PERMANENT_FIELD_LABOR_HOURS)*PERMANENT_HOURLY_RATE-MAX(0,($D39+AJ$5)-PERMANENT_FIELD_LABOR_HOURS)*TEMP_HOURLY_RATE-FIXED_SEASON_COST)</f>
        <v>4158.13566082039</v>
      </c>
    </row>
    <row r="40" customFormat="false" ht="15" hidden="false" customHeight="false" outlineLevel="0" collapsed="false">
      <c r="A40" s="21" t="n">
        <f aca="false">INT((ROW()-ROW($A$8))/(20+1))</f>
        <v>1</v>
      </c>
      <c r="B40" s="21" t="n">
        <f aca="false">MOD(ROW()-ROW($A$8),20+1)</f>
        <v>11</v>
      </c>
      <c r="C40" s="13" t="n">
        <f aca="false">A40*(TOMATO_REVENUE_PER_BED-TOMATO_FERTILIZER_PER_BED)+B40*(CARROT_REVENUE_PER_BED-CARROT_FERTILIZER_PER_BED)</f>
        <v>26114</v>
      </c>
      <c r="D40" s="14" t="n">
        <f aca="false">INDEX(TOMATO_SCHED_LABOR_HRS,A40+1)+INDEX(CARROT_SCHED_LABOR_HRS,B40+1)</f>
        <v>531.815401635588</v>
      </c>
      <c r="E40" s="13" t="n">
        <f aca="false">IF(COUNT(F40:AJ40)=0,"",MAX(F40:AJ40))</f>
        <v>4962.47392247873</v>
      </c>
      <c r="F40" s="53" t="n">
        <f aca="false">IF(OR($A40&gt;TOMATO_BED_CAP,$B40&gt;CARROT_BED_CAP,F$4&gt;MESCLUN_BED_CAP,$A40+$B40+F$4&gt;TOTAL_BEDS_AVAILABLE,($D40+F$5)&gt;TOTAL_LABOR_HOURS_CAP,MAX(0,($D40+F$5)-PERMANENT_FIELD_LABOR_HOURS)&gt;TEMP_HOURS_CAP),"",$C40+F$6-MIN(($D40+F$5),PERMANENT_FIELD_LABOR_HOURS)*PERMANENT_HOURLY_RATE-MAX(0,($D40+F$5)-PERMANENT_FIELD_LABOR_HOURS)*TEMP_HOURLY_RATE-FIXED_SEASON_COST)</f>
        <v>-12350.6307447876</v>
      </c>
      <c r="G40" s="53" t="n">
        <f aca="false">IF(OR($A40&gt;TOMATO_BED_CAP,$B40&gt;CARROT_BED_CAP,G$4&gt;MESCLUN_BED_CAP,$A40+$B40+G$4&gt;TOTAL_BEDS_AVAILABLE,($D40+G$5)&gt;TOTAL_LABOR_HOURS_CAP,MAX(0,($D40+G$5)-PERMANENT_FIELD_LABOR_HOURS)&gt;TEMP_HOURS_CAP),"",$C40+G$6-MIN(($D40+G$5),PERMANENT_FIELD_LABOR_HOURS)*PERMANENT_HOURLY_RATE-MAX(0,($D40+G$5)-PERMANENT_FIELD_LABOR_HOURS)*TEMP_HOURLY_RATE-FIXED_SEASON_COST)</f>
        <v>-12112.5607447876</v>
      </c>
      <c r="H40" s="53" t="n">
        <f aca="false">IF(OR($A40&gt;TOMATO_BED_CAP,$B40&gt;CARROT_BED_CAP,H$4&gt;MESCLUN_BED_CAP,$A40+$B40+H$4&gt;TOTAL_BEDS_AVAILABLE,($D40+H$5)&gt;TOTAL_LABOR_HOURS_CAP,MAX(0,($D40+H$5)-PERMANENT_FIELD_LABOR_HOURS)&gt;TEMP_HOURS_CAP),"",$C40+H$6-MIN(($D40+H$5),PERMANENT_FIELD_LABOR_HOURS)*PERMANENT_HOURLY_RATE-MAX(0,($D40+H$5)-PERMANENT_FIELD_LABOR_HOURS)*TEMP_HOURLY_RATE-FIXED_SEASON_COST)</f>
        <v>-11914.0389947876</v>
      </c>
      <c r="I40" s="53" t="n">
        <f aca="false">IF(OR($A40&gt;TOMATO_BED_CAP,$B40&gt;CARROT_BED_CAP,I$4&gt;MESCLUN_BED_CAP,$A40+$B40+I$4&gt;TOTAL_BEDS_AVAILABLE,($D40+I$5)&gt;TOTAL_LABOR_HOURS_CAP,MAX(0,($D40+I$5)-PERMANENT_FIELD_LABOR_HOURS)&gt;TEMP_HOURS_CAP),"",$C40+I$6-MIN(($D40+I$5),PERMANENT_FIELD_LABOR_HOURS)*PERMANENT_HOURLY_RATE-MAX(0,($D40+I$5)-PERMANENT_FIELD_LABOR_HOURS)*TEMP_HOURLY_RATE-FIXED_SEASON_COST)</f>
        <v>-11755.8070244751</v>
      </c>
      <c r="J40" s="53" t="n">
        <f aca="false">IF(OR($A40&gt;TOMATO_BED_CAP,$B40&gt;CARROT_BED_CAP,J$4&gt;MESCLUN_BED_CAP,$A40+$B40+J$4&gt;TOTAL_BEDS_AVAILABLE,($D40+J$5)&gt;TOTAL_LABOR_HOURS_CAP,MAX(0,($D40+J$5)-PERMANENT_FIELD_LABOR_HOURS)&gt;TEMP_HOURS_CAP),"",$C40+J$6-MIN(($D40+J$5),PERMANENT_FIELD_LABOR_HOURS)*PERMANENT_HOURLY_RATE-MAX(0,($D40+J$5)-PERMANENT_FIELD_LABOR_HOURS)*TEMP_HOURLY_RATE-FIXED_SEASON_COST)</f>
        <v>-11621.5093611829</v>
      </c>
      <c r="K40" s="53" t="n">
        <f aca="false">IF(OR($A40&gt;TOMATO_BED_CAP,$B40&gt;CARROT_BED_CAP,K$4&gt;MESCLUN_BED_CAP,$A40+$B40+K$4&gt;TOTAL_BEDS_AVAILABLE,($D40+K$5)&gt;TOTAL_LABOR_HOURS_CAP,MAX(0,($D40+K$5)-PERMANENT_FIELD_LABOR_HOURS)&gt;TEMP_HOURS_CAP),"",$C40+K$6-MIN(($D40+K$5),PERMANENT_FIELD_LABOR_HOURS)*PERMANENT_HOURLY_RATE-MAX(0,($D40+K$5)-PERMANENT_FIELD_LABOR_HOURS)*TEMP_HOURLY_RATE-FIXED_SEASON_COST)</f>
        <v>-10673.820264455</v>
      </c>
      <c r="L40" s="53" t="n">
        <f aca="false">IF(OR($A40&gt;TOMATO_BED_CAP,$B40&gt;CARROT_BED_CAP,L$4&gt;MESCLUN_BED_CAP,$A40+$B40+L$4&gt;TOTAL_BEDS_AVAILABLE,($D40+L$5)&gt;TOTAL_LABOR_HOURS_CAP,MAX(0,($D40+L$5)-PERMANENT_FIELD_LABOR_HOURS)&gt;TEMP_HOURS_CAP),"",$C40+L$6-MIN(($D40+L$5),PERMANENT_FIELD_LABOR_HOURS)*PERMANENT_HOURLY_RATE-MAX(0,($D40+L$5)-PERMANENT_FIELD_LABOR_HOURS)*TEMP_HOURLY_RATE-FIXED_SEASON_COST)</f>
        <v>-9747.42581624811</v>
      </c>
      <c r="M40" s="53" t="n">
        <f aca="false">IF(OR($A40&gt;TOMATO_BED_CAP,$B40&gt;CARROT_BED_CAP,M$4&gt;MESCLUN_BED_CAP,$A40+$B40+M$4&gt;TOTAL_BEDS_AVAILABLE,($D40+M$5)&gt;TOTAL_LABOR_HOURS_CAP,MAX(0,($D40+M$5)-PERMANENT_FIELD_LABOR_HOURS)&gt;TEMP_HOURS_CAP),"",$C40+M$6-MIN(($D40+M$5),PERMANENT_FIELD_LABOR_HOURS)*PERMANENT_HOURLY_RATE-MAX(0,($D40+M$5)-PERMANENT_FIELD_LABOR_HOURS)*TEMP_HOURLY_RATE-FIXED_SEASON_COST)</f>
        <v>-8842.7220841967</v>
      </c>
      <c r="N40" s="53" t="n">
        <f aca="false">IF(OR($A40&gt;TOMATO_BED_CAP,$B40&gt;CARROT_BED_CAP,N$4&gt;MESCLUN_BED_CAP,$A40+$B40+N$4&gt;TOTAL_BEDS_AVAILABLE,($D40+N$5)&gt;TOTAL_LABOR_HOURS_CAP,MAX(0,($D40+N$5)-PERMANENT_FIELD_LABOR_HOURS)&gt;TEMP_HOURS_CAP),"",$C40+N$6-MIN(($D40+N$5),PERMANENT_FIELD_LABOR_HOURS)*PERMANENT_HOURLY_RATE-MAX(0,($D40+N$5)-PERMANENT_FIELD_LABOR_HOURS)*TEMP_HOURLY_RATE-FIXED_SEASON_COST)</f>
        <v>-7960.11171033716</v>
      </c>
      <c r="O40" s="53" t="n">
        <f aca="false">IF(OR($A40&gt;TOMATO_BED_CAP,$B40&gt;CARROT_BED_CAP,O$4&gt;MESCLUN_BED_CAP,$A40+$B40+O$4&gt;TOTAL_BEDS_AVAILABLE,($D40+O$5)&gt;TOTAL_LABOR_HOURS_CAP,MAX(0,($D40+O$5)-PERMANENT_FIELD_LABOR_HOURS)&gt;TEMP_HOURS_CAP),"",$C40+O$6-MIN(($D40+O$5),PERMANENT_FIELD_LABOR_HOURS)*PERMANENT_HOURLY_RATE-MAX(0,($D40+O$5)-PERMANENT_FIELD_LABOR_HOURS)*TEMP_HOURLY_RATE-FIXED_SEASON_COST)</f>
        <v>-7100.0040135824</v>
      </c>
      <c r="P40" s="53" t="n">
        <f aca="false">IF(OR($A40&gt;TOMATO_BED_CAP,$B40&gt;CARROT_BED_CAP,P$4&gt;MESCLUN_BED_CAP,$A40+$B40+P$4&gt;TOTAL_BEDS_AVAILABLE,($D40+P$5)&gt;TOTAL_LABOR_HOURS_CAP,MAX(0,($D40+P$5)-PERMANENT_FIELD_LABOR_HOURS)&gt;TEMP_HOURS_CAP),"",$C40+P$6-MIN(($D40+P$5),PERMANENT_FIELD_LABOR_HOURS)*PERMANENT_HOURLY_RATE-MAX(0,($D40+P$5)-PERMANENT_FIELD_LABOR_HOURS)*TEMP_HOURLY_RATE-FIXED_SEASON_COST)</f>
        <v>-6262.81509373098</v>
      </c>
      <c r="Q40" s="53" t="n">
        <f aca="false">IF(OR($A40&gt;TOMATO_BED_CAP,$B40&gt;CARROT_BED_CAP,Q$4&gt;MESCLUN_BED_CAP,$A40+$B40+Q$4&gt;TOTAL_BEDS_AVAILABLE,($D40+Q$5)&gt;TOTAL_LABOR_HOURS_CAP,MAX(0,($D40+Q$5)-PERMANENT_FIELD_LABOR_HOURS)&gt;TEMP_HOURS_CAP),"",$C40+Q$6-MIN(($D40+Q$5),PERMANENT_FIELD_LABOR_HOURS)*PERMANENT_HOURLY_RATE-MAX(0,($D40+Q$5)-PERMANENT_FIELD_LABOR_HOURS)*TEMP_HOURLY_RATE-FIXED_SEASON_COST)</f>
        <v>-5448.96793703308</v>
      </c>
      <c r="R40" s="53" t="n">
        <f aca="false">IF(OR($A40&gt;TOMATO_BED_CAP,$B40&gt;CARROT_BED_CAP,R$4&gt;MESCLUN_BED_CAP,$A40+$B40+R$4&gt;TOTAL_BEDS_AVAILABLE,($D40+R$5)&gt;TOTAL_LABOR_HOURS_CAP,MAX(0,($D40+R$5)-PERMANENT_FIELD_LABOR_HOURS)&gt;TEMP_HOURS_CAP),"",$C40+R$6-MIN(($D40+R$5),PERMANENT_FIELD_LABOR_HOURS)*PERMANENT_HOURLY_RATE-MAX(0,($D40+R$5)-PERMANENT_FIELD_LABOR_HOURS)*TEMP_HOURLY_RATE-FIXED_SEASON_COST)</f>
        <v>-4658.89252333628</v>
      </c>
      <c r="S40" s="53" t="n">
        <f aca="false">IF(OR($A40&gt;TOMATO_BED_CAP,$B40&gt;CARROT_BED_CAP,S$4&gt;MESCLUN_BED_CAP,$A40+$B40+S$4&gt;TOTAL_BEDS_AVAILABLE,($D40+S$5)&gt;TOTAL_LABOR_HOURS_CAP,MAX(0,($D40+S$5)-PERMANENT_FIELD_LABOR_HOURS)&gt;TEMP_HOURS_CAP),"",$C40+S$6-MIN(($D40+S$5),PERMANENT_FIELD_LABOR_HOURS)*PERMANENT_HOURLY_RATE-MAX(0,($D40+S$5)-PERMANENT_FIELD_LABOR_HOURS)*TEMP_HOURLY_RATE-FIXED_SEASON_COST)</f>
        <v>-3893.02593483383</v>
      </c>
      <c r="T40" s="53" t="n">
        <f aca="false">IF(OR($A40&gt;TOMATO_BED_CAP,$B40&gt;CARROT_BED_CAP,T$4&gt;MESCLUN_BED_CAP,$A40+$B40+T$4&gt;TOTAL_BEDS_AVAILABLE,($D40+T$5)&gt;TOTAL_LABOR_HOURS_CAP,MAX(0,($D40+T$5)-PERMANENT_FIELD_LABOR_HOURS)&gt;TEMP_HOURS_CAP),"",$C40+T$6-MIN(($D40+T$5),PERMANENT_FIELD_LABOR_HOURS)*PERMANENT_HOURLY_RATE-MAX(0,($D40+T$5)-PERMANENT_FIELD_LABOR_HOURS)*TEMP_HOURLY_RATE-FIXED_SEASON_COST)</f>
        <v>-3151.81246643899</v>
      </c>
      <c r="U40" s="53" t="n">
        <f aca="false">IF(OR($A40&gt;TOMATO_BED_CAP,$B40&gt;CARROT_BED_CAP,U$4&gt;MESCLUN_BED_CAP,$A40+$B40+U$4&gt;TOTAL_BEDS_AVAILABLE,($D40+U$5)&gt;TOTAL_LABOR_HOURS_CAP,MAX(0,($D40+U$5)-PERMANENT_FIELD_LABOR_HOURS)&gt;TEMP_HOURS_CAP),"",$C40+U$6-MIN(($D40+U$5),PERMANENT_FIELD_LABOR_HOURS)*PERMANENT_HOURLY_RATE-MAX(0,($D40+U$5)-PERMANENT_FIELD_LABOR_HOURS)*TEMP_HOURLY_RATE-FIXED_SEASON_COST)</f>
        <v>-2435.70373780889</v>
      </c>
      <c r="V40" s="53" t="n">
        <f aca="false">IF(OR($A40&gt;TOMATO_BED_CAP,$B40&gt;CARROT_BED_CAP,V$4&gt;MESCLUN_BED_CAP,$A40+$B40+V$4&gt;TOTAL_BEDS_AVAILABLE,($D40+V$5)&gt;TOTAL_LABOR_HOURS_CAP,MAX(0,($D40+V$5)-PERMANENT_FIELD_LABOR_HOURS)&gt;TEMP_HOURS_CAP),"",$C40+V$6-MIN(($D40+V$5),PERMANENT_FIELD_LABOR_HOURS)*PERMANENT_HOURLY_RATE-MAX(0,($D40+V$5)-PERMANENT_FIELD_LABOR_HOURS)*TEMP_HOURLY_RATE-FIXED_SEASON_COST)</f>
        <v>-1745.15880704209</v>
      </c>
      <c r="W40" s="53" t="n">
        <f aca="false">IF(OR($A40&gt;TOMATO_BED_CAP,$B40&gt;CARROT_BED_CAP,W$4&gt;MESCLUN_BED_CAP,$A40+$B40+W$4&gt;TOTAL_BEDS_AVAILABLE,($D40+W$5)&gt;TOTAL_LABOR_HOURS_CAP,MAX(0,($D40+W$5)-PERMANENT_FIELD_LABOR_HOURS)&gt;TEMP_HOURS_CAP),"",$C40+W$6-MIN(($D40+W$5),PERMANENT_FIELD_LABOR_HOURS)*PERMANENT_HOURLY_RATE-MAX(0,($D40+W$5)-PERMANENT_FIELD_LABOR_HOURS)*TEMP_HOURLY_RATE-FIXED_SEASON_COST)</f>
        <v>-1080.64428607404</v>
      </c>
      <c r="X40" s="53" t="n">
        <f aca="false">IF(OR($A40&gt;TOMATO_BED_CAP,$B40&gt;CARROT_BED_CAP,X$4&gt;MESCLUN_BED_CAP,$A40+$B40+X$4&gt;TOTAL_BEDS_AVAILABLE,($D40+X$5)&gt;TOTAL_LABOR_HOURS_CAP,MAX(0,($D40+X$5)-PERMANENT_FIELD_LABOR_HOURS)&gt;TEMP_HOURS_CAP),"",$C40+X$6-MIN(($D40+X$5),PERMANENT_FIELD_LABOR_HOURS)*PERMANENT_HOURLY_RATE-MAX(0,($D40+X$5)-PERMANENT_FIELD_LABOR_HOURS)*TEMP_HOURLY_RATE-FIXED_SEASON_COST)</f>
        <v>-442.634457795102</v>
      </c>
      <c r="Y40" s="53" t="n">
        <f aca="false">IF(OR($A40&gt;TOMATO_BED_CAP,$B40&gt;CARROT_BED_CAP,Y$4&gt;MESCLUN_BED_CAP,$A40+$B40+Y$4&gt;TOTAL_BEDS_AVAILABLE,($D40+Y$5)&gt;TOTAL_LABOR_HOURS_CAP,MAX(0,($D40+Y$5)-PERMANENT_FIELD_LABOR_HOURS)&gt;TEMP_HOURS_CAP),"",$C40+Y$6-MIN(($D40+Y$5),PERMANENT_FIELD_LABOR_HOURS)*PERMANENT_HOURLY_RATE-MAX(0,($D40+Y$5)-PERMANENT_FIELD_LABOR_HOURS)*TEMP_HOURLY_RATE-FIXED_SEASON_COST)</f>
        <v>168.388605083557</v>
      </c>
      <c r="Z40" s="53" t="n">
        <f aca="false">IF(OR($A40&gt;TOMATO_BED_CAP,$B40&gt;CARROT_BED_CAP,Z$4&gt;MESCLUN_BED_CAP,$A40+$B40+Z$4&gt;TOTAL_BEDS_AVAILABLE,($D40+Z$5)&gt;TOTAL_LABOR_HOURS_CAP,MAX(0,($D40+Z$5)-PERMANENT_FIELD_LABOR_HOURS)&gt;TEMP_HOURS_CAP),"",$C40+Z$6-MIN(($D40+Z$5),PERMANENT_FIELD_LABOR_HOURS)*PERMANENT_HOURLY_RATE-MAX(0,($D40+Z$5)-PERMANENT_FIELD_LABOR_HOURS)*TEMP_HOURLY_RATE-FIXED_SEASON_COST)</f>
        <v>751.934919391279</v>
      </c>
      <c r="AA40" s="53" t="n">
        <f aca="false">IF(OR($A40&gt;TOMATO_BED_CAP,$B40&gt;CARROT_BED_CAP,AA$4&gt;MESCLUN_BED_CAP,$A40+$B40+AA$4&gt;TOTAL_BEDS_AVAILABLE,($D40+AA$5)&gt;TOTAL_LABOR_HOURS_CAP,MAX(0,($D40+AA$5)-PERMANENT_FIELD_LABOR_HOURS)&gt;TEMP_HOURS_CAP),"",$C40+AA$6-MIN(($D40+AA$5),PERMANENT_FIELD_LABOR_HOURS)*PERMANENT_HOURLY_RATE-MAX(0,($D40+AA$5)-PERMANENT_FIELD_LABOR_HOURS)*TEMP_HOURLY_RATE-FIXED_SEASON_COST)</f>
        <v>1307.50646906021</v>
      </c>
      <c r="AB40" s="53" t="n">
        <f aca="false">IF(OR($A40&gt;TOMATO_BED_CAP,$B40&gt;CARROT_BED_CAP,AB$4&gt;MESCLUN_BED_CAP,$A40+$B40+AB$4&gt;TOTAL_BEDS_AVAILABLE,($D40+AB$5)&gt;TOTAL_LABOR_HOURS_CAP,MAX(0,($D40+AB$5)-PERMANENT_FIELD_LABOR_HOURS)&gt;TEMP_HOURS_CAP),"",$C40+AB$6-MIN(($D40+AB$5),PERMANENT_FIELD_LABOR_HOURS)*PERMANENT_HOURLY_RATE-MAX(0,($D40+AB$5)-PERMANENT_FIELD_LABOR_HOURS)*TEMP_HOURLY_RATE-FIXED_SEASON_COST)</f>
        <v>1834.59708086278</v>
      </c>
      <c r="AC40" s="53" t="n">
        <f aca="false">IF(OR($A40&gt;TOMATO_BED_CAP,$B40&gt;CARROT_BED_CAP,AC$4&gt;MESCLUN_BED_CAP,$A40+$B40+AC$4&gt;TOTAL_BEDS_AVAILABLE,($D40+AC$5)&gt;TOTAL_LABOR_HOURS_CAP,MAX(0,($D40+AC$5)-PERMANENT_FIELD_LABOR_HOURS)&gt;TEMP_HOURS_CAP),"",$C40+AC$6-MIN(($D40+AC$5),PERMANENT_FIELD_LABOR_HOURS)*PERMANENT_HOURLY_RATE-MAX(0,($D40+AC$5)-PERMANENT_FIELD_LABOR_HOURS)*TEMP_HOURLY_RATE-FIXED_SEASON_COST)</f>
        <v>2332.69229829768</v>
      </c>
      <c r="AD40" s="53" t="n">
        <f aca="false">IF(OR($A40&gt;TOMATO_BED_CAP,$B40&gt;CARROT_BED_CAP,AD$4&gt;MESCLUN_BED_CAP,$A40+$B40+AD$4&gt;TOTAL_BEDS_AVAILABLE,($D40+AD$5)&gt;TOTAL_LABOR_HOURS_CAP,MAX(0,($D40+AD$5)-PERMANENT_FIELD_LABOR_HOURS)&gt;TEMP_HOURS_CAP),"",$C40+AD$6-MIN(($D40+AD$5),PERMANENT_FIELD_LABOR_HOURS)*PERMANENT_HOURLY_RATE-MAX(0,($D40+AD$5)-PERMANENT_FIELD_LABOR_HOURS)*TEMP_HOURLY_RATE-FIXED_SEASON_COST)</f>
        <v>2801.26925359764</v>
      </c>
      <c r="AE40" s="53" t="n">
        <f aca="false">IF(OR($A40&gt;TOMATO_BED_CAP,$B40&gt;CARROT_BED_CAP,AE$4&gt;MESCLUN_BED_CAP,$A40+$B40+AE$4&gt;TOTAL_BEDS_AVAILABLE,($D40+AE$5)&gt;TOTAL_LABOR_HOURS_CAP,MAX(0,($D40+AE$5)-PERMANENT_FIELD_LABOR_HOURS)&gt;TEMP_HOURS_CAP),"",$C40+AE$6-MIN(($D40+AE$5),PERMANENT_FIELD_LABOR_HOURS)*PERMANENT_HOURLY_RATE-MAX(0,($D40+AE$5)-PERMANENT_FIELD_LABOR_HOURS)*TEMP_HOURLY_RATE-FIXED_SEASON_COST)</f>
        <v>3239.79653783155</v>
      </c>
      <c r="AF40" s="53" t="n">
        <f aca="false">IF(OR($A40&gt;TOMATO_BED_CAP,$B40&gt;CARROT_BED_CAP,AF$4&gt;MESCLUN_BED_CAP,$A40+$B40+AF$4&gt;TOTAL_BEDS_AVAILABLE,($D40+AF$5)&gt;TOTAL_LABOR_HOURS_CAP,MAX(0,($D40+AF$5)-PERMANENT_FIELD_LABOR_HOURS)&gt;TEMP_HOURS_CAP),"",$C40+AF$6-MIN(($D40+AF$5),PERMANENT_FIELD_LABOR_HOURS)*PERMANENT_HOURLY_RATE-MAX(0,($D40+AF$5)-PERMANENT_FIELD_LABOR_HOURS)*TEMP_HOURLY_RATE-FIXED_SEASON_COST)</f>
        <v>3647.73406907349</v>
      </c>
      <c r="AG40" s="53" t="n">
        <f aca="false">IF(OR($A40&gt;TOMATO_BED_CAP,$B40&gt;CARROT_BED_CAP,AG$4&gt;MESCLUN_BED_CAP,$A40+$B40+AG$4&gt;TOTAL_BEDS_AVAILABLE,($D40+AG$5)&gt;TOTAL_LABOR_HOURS_CAP,MAX(0,($D40+AG$5)-PERMANENT_FIELD_LABOR_HOURS)&gt;TEMP_HOURS_CAP),"",$C40+AG$6-MIN(($D40+AG$5),PERMANENT_FIELD_LABOR_HOURS)*PERMANENT_HOURLY_RATE-MAX(0,($D40+AG$5)-PERMANENT_FIELD_LABOR_HOURS)*TEMP_HOURLY_RATE-FIXED_SEASON_COST)</f>
        <v>4024.5329586105</v>
      </c>
      <c r="AH40" s="53" t="n">
        <f aca="false">IF(OR($A40&gt;TOMATO_BED_CAP,$B40&gt;CARROT_BED_CAP,AH$4&gt;MESCLUN_BED_CAP,$A40+$B40+AH$4&gt;TOTAL_BEDS_AVAILABLE,($D40+AH$5)&gt;TOTAL_LABOR_HOURS_CAP,MAX(0,($D40+AH$5)-PERMANENT_FIELD_LABOR_HOURS)&gt;TEMP_HOURS_CAP),"",$C40+AH$6-MIN(($D40+AH$5),PERMANENT_FIELD_LABOR_HOURS)*PERMANENT_HOURLY_RATE-MAX(0,($D40+AH$5)-PERMANENT_FIELD_LABOR_HOURS)*TEMP_HOURLY_RATE-FIXED_SEASON_COST)</f>
        <v>4369.63537516072</v>
      </c>
      <c r="AI40" s="53" t="n">
        <f aca="false">IF(OR($A40&gt;TOMATO_BED_CAP,$B40&gt;CARROT_BED_CAP,AI$4&gt;MESCLUN_BED_CAP,$A40+$B40+AI$4&gt;TOTAL_BEDS_AVAILABLE,($D40+AI$5)&gt;TOTAL_LABOR_HOURS_CAP,MAX(0,($D40+AI$5)-PERMANENT_FIELD_LABOR_HOURS)&gt;TEMP_HOURS_CAP),"",$C40+AI$6-MIN(($D40+AI$5),PERMANENT_FIELD_LABOR_HOURS)*PERMANENT_HOURLY_RATE-MAX(0,($D40+AI$5)-PERMANENT_FIELD_LABOR_HOURS)*TEMP_HOURLY_RATE-FIXED_SEASON_COST)</f>
        <v>4682.47440707298</v>
      </c>
      <c r="AJ40" s="53" t="n">
        <f aca="false">IF(OR($A40&gt;TOMATO_BED_CAP,$B40&gt;CARROT_BED_CAP,AJ$4&gt;MESCLUN_BED_CAP,$A40+$B40+AJ$4&gt;TOTAL_BEDS_AVAILABLE,($D40+AJ$5)&gt;TOTAL_LABOR_HOURS_CAP,MAX(0,($D40+AJ$5)-PERMANENT_FIELD_LABOR_HOURS)&gt;TEMP_HOURS_CAP),"",$C40+AJ$6-MIN(($D40+AJ$5),PERMANENT_FIELD_LABOR_HOURS)*PERMANENT_HOURLY_RATE-MAX(0,($D40+AJ$5)-PERMANENT_FIELD_LABOR_HOURS)*TEMP_HOURLY_RATE-FIXED_SEASON_COST)</f>
        <v>4962.47392247873</v>
      </c>
    </row>
    <row r="41" customFormat="false" ht="15" hidden="false" customHeight="false" outlineLevel="0" collapsed="false">
      <c r="A41" s="21" t="n">
        <f aca="false">INT((ROW()-ROW($A$8))/(20+1))</f>
        <v>1</v>
      </c>
      <c r="B41" s="21" t="n">
        <f aca="false">MOD(ROW()-ROW($A$8),20+1)</f>
        <v>12</v>
      </c>
      <c r="C41" s="13" t="n">
        <f aca="false">A41*(TOMATO_REVENUE_PER_BED-TOMATO_FERTILIZER_PER_BED)+B41*(CARROT_REVENUE_PER_BED-CARROT_FERTILIZER_PER_BED)</f>
        <v>27768</v>
      </c>
      <c r="D41" s="14" t="n">
        <f aca="false">INDEX(TOMATO_SCHED_LABOR_HRS,A41+1)+INDEX(CARROT_SCHED_LABOR_HRS,B41+1)</f>
        <v>582.966312737975</v>
      </c>
      <c r="E41" s="13" t="n">
        <f aca="false">IF(COUNT(F41:AJ41)=0,"",MAX(F41:AJ41))</f>
        <v>5728.49410574129</v>
      </c>
      <c r="F41" s="53" t="n">
        <f aca="false">IF(OR($A41&gt;TOMATO_BED_CAP,$B41&gt;CARROT_BED_CAP,F$4&gt;MESCLUN_BED_CAP,$A41+$B41+F$4&gt;TOTAL_BEDS_AVAILABLE,($D41+F$5)&gt;TOTAL_LABOR_HOURS_CAP,MAX(0,($D41+F$5)-PERMANENT_FIELD_LABOR_HOURS)&gt;TEMP_HOURS_CAP),"",$C41+F$6-MIN(($D41+F$5),PERMANENT_FIELD_LABOR_HOURS)*PERMANENT_HOURLY_RATE-MAX(0,($D41+F$5)-PERMANENT_FIELD_LABOR_HOURS)*TEMP_HOURLY_RATE-FIXED_SEASON_COST)</f>
        <v>-12472.5903782625</v>
      </c>
      <c r="G41" s="53" t="n">
        <f aca="false">IF(OR($A41&gt;TOMATO_BED_CAP,$B41&gt;CARROT_BED_CAP,G$4&gt;MESCLUN_BED_CAP,$A41+$B41+G$4&gt;TOTAL_BEDS_AVAILABLE,($D41+G$5)&gt;TOTAL_LABOR_HOURS_CAP,MAX(0,($D41+G$5)-PERMANENT_FIELD_LABOR_HOURS)&gt;TEMP_HOURS_CAP),"",$C41+G$6-MIN(($D41+G$5),PERMANENT_FIELD_LABOR_HOURS)*PERMANENT_HOURLY_RATE-MAX(0,($D41+G$5)-PERMANENT_FIELD_LABOR_HOURS)*TEMP_HOURLY_RATE-FIXED_SEASON_COST)</f>
        <v>-12234.5203782625</v>
      </c>
      <c r="H41" s="53" t="n">
        <f aca="false">IF(OR($A41&gt;TOMATO_BED_CAP,$B41&gt;CARROT_BED_CAP,H$4&gt;MESCLUN_BED_CAP,$A41+$B41+H$4&gt;TOTAL_BEDS_AVAILABLE,($D41+H$5)&gt;TOTAL_LABOR_HOURS_CAP,MAX(0,($D41+H$5)-PERMANENT_FIELD_LABOR_HOURS)&gt;TEMP_HOURS_CAP),"",$C41+H$6-MIN(($D41+H$5),PERMANENT_FIELD_LABOR_HOURS)*PERMANENT_HOURLY_RATE-MAX(0,($D41+H$5)-PERMANENT_FIELD_LABOR_HOURS)*TEMP_HOURLY_RATE-FIXED_SEASON_COST)</f>
        <v>-12035.9986282625</v>
      </c>
      <c r="I41" s="53" t="n">
        <f aca="false">IF(OR($A41&gt;TOMATO_BED_CAP,$B41&gt;CARROT_BED_CAP,I$4&gt;MESCLUN_BED_CAP,$A41+$B41+I$4&gt;TOTAL_BEDS_AVAILABLE,($D41+I$5)&gt;TOTAL_LABOR_HOURS_CAP,MAX(0,($D41+I$5)-PERMANENT_FIELD_LABOR_HOURS)&gt;TEMP_HOURS_CAP),"",$C41+I$6-MIN(($D41+I$5),PERMANENT_FIELD_LABOR_HOURS)*PERMANENT_HOURLY_RATE-MAX(0,($D41+I$5)-PERMANENT_FIELD_LABOR_HOURS)*TEMP_HOURLY_RATE-FIXED_SEASON_COST)</f>
        <v>-11824.083328975</v>
      </c>
      <c r="J41" s="53" t="n">
        <f aca="false">IF(OR($A41&gt;TOMATO_BED_CAP,$B41&gt;CARROT_BED_CAP,J$4&gt;MESCLUN_BED_CAP,$A41+$B41+J$4&gt;TOTAL_BEDS_AVAILABLE,($D41+J$5)&gt;TOTAL_LABOR_HOURS_CAP,MAX(0,($D41+J$5)-PERMANENT_FIELD_LABOR_HOURS)&gt;TEMP_HOURS_CAP),"",$C41+J$6-MIN(($D41+J$5),PERMANENT_FIELD_LABOR_HOURS)*PERMANENT_HOURLY_RATE-MAX(0,($D41+J$5)-PERMANENT_FIELD_LABOR_HOURS)*TEMP_HOURLY_RATE-FIXED_SEASON_COST)</f>
        <v>-10855.4891779203</v>
      </c>
      <c r="K41" s="53" t="n">
        <f aca="false">IF(OR($A41&gt;TOMATO_BED_CAP,$B41&gt;CARROT_BED_CAP,K$4&gt;MESCLUN_BED_CAP,$A41+$B41+K$4&gt;TOTAL_BEDS_AVAILABLE,($D41+K$5)&gt;TOTAL_LABOR_HOURS_CAP,MAX(0,($D41+K$5)-PERMANENT_FIELD_LABOR_HOURS)&gt;TEMP_HOURS_CAP),"",$C41+K$6-MIN(($D41+K$5),PERMANENT_FIELD_LABOR_HOURS)*PERMANENT_HOURLY_RATE-MAX(0,($D41+K$5)-PERMANENT_FIELD_LABOR_HOURS)*TEMP_HOURLY_RATE-FIXED_SEASON_COST)</f>
        <v>-9907.80008119241</v>
      </c>
      <c r="L41" s="53" t="n">
        <f aca="false">IF(OR($A41&gt;TOMATO_BED_CAP,$B41&gt;CARROT_BED_CAP,L$4&gt;MESCLUN_BED_CAP,$A41+$B41+L$4&gt;TOTAL_BEDS_AVAILABLE,($D41+L$5)&gt;TOTAL_LABOR_HOURS_CAP,MAX(0,($D41+L$5)-PERMANENT_FIELD_LABOR_HOURS)&gt;TEMP_HOURS_CAP),"",$C41+L$6-MIN(($D41+L$5),PERMANENT_FIELD_LABOR_HOURS)*PERMANENT_HOURLY_RATE-MAX(0,($D41+L$5)-PERMANENT_FIELD_LABOR_HOURS)*TEMP_HOURLY_RATE-FIXED_SEASON_COST)</f>
        <v>-8981.40563298555</v>
      </c>
      <c r="M41" s="53" t="n">
        <f aca="false">IF(OR($A41&gt;TOMATO_BED_CAP,$B41&gt;CARROT_BED_CAP,M$4&gt;MESCLUN_BED_CAP,$A41+$B41+M$4&gt;TOTAL_BEDS_AVAILABLE,($D41+M$5)&gt;TOTAL_LABOR_HOURS_CAP,MAX(0,($D41+M$5)-PERMANENT_FIELD_LABOR_HOURS)&gt;TEMP_HOURS_CAP),"",$C41+M$6-MIN(($D41+M$5),PERMANENT_FIELD_LABOR_HOURS)*PERMANENT_HOURLY_RATE-MAX(0,($D41+M$5)-PERMANENT_FIELD_LABOR_HOURS)*TEMP_HOURLY_RATE-FIXED_SEASON_COST)</f>
        <v>-8076.70190093415</v>
      </c>
      <c r="N41" s="53" t="n">
        <f aca="false">IF(OR($A41&gt;TOMATO_BED_CAP,$B41&gt;CARROT_BED_CAP,N$4&gt;MESCLUN_BED_CAP,$A41+$B41+N$4&gt;TOTAL_BEDS_AVAILABLE,($D41+N$5)&gt;TOTAL_LABOR_HOURS_CAP,MAX(0,($D41+N$5)-PERMANENT_FIELD_LABOR_HOURS)&gt;TEMP_HOURS_CAP),"",$C41+N$6-MIN(($D41+N$5),PERMANENT_FIELD_LABOR_HOURS)*PERMANENT_HOURLY_RATE-MAX(0,($D41+N$5)-PERMANENT_FIELD_LABOR_HOURS)*TEMP_HOURLY_RATE-FIXED_SEASON_COST)</f>
        <v>-7194.0915270746</v>
      </c>
      <c r="O41" s="53" t="n">
        <f aca="false">IF(OR($A41&gt;TOMATO_BED_CAP,$B41&gt;CARROT_BED_CAP,O$4&gt;MESCLUN_BED_CAP,$A41+$B41+O$4&gt;TOTAL_BEDS_AVAILABLE,($D41+O$5)&gt;TOTAL_LABOR_HOURS_CAP,MAX(0,($D41+O$5)-PERMANENT_FIELD_LABOR_HOURS)&gt;TEMP_HOURS_CAP),"",$C41+O$6-MIN(($D41+O$5),PERMANENT_FIELD_LABOR_HOURS)*PERMANENT_HOURLY_RATE-MAX(0,($D41+O$5)-PERMANENT_FIELD_LABOR_HOURS)*TEMP_HOURLY_RATE-FIXED_SEASON_COST)</f>
        <v>-6333.98383031985</v>
      </c>
      <c r="P41" s="53" t="n">
        <f aca="false">IF(OR($A41&gt;TOMATO_BED_CAP,$B41&gt;CARROT_BED_CAP,P$4&gt;MESCLUN_BED_CAP,$A41+$B41+P$4&gt;TOTAL_BEDS_AVAILABLE,($D41+P$5)&gt;TOTAL_LABOR_HOURS_CAP,MAX(0,($D41+P$5)-PERMANENT_FIELD_LABOR_HOURS)&gt;TEMP_HOURS_CAP),"",$C41+P$6-MIN(($D41+P$5),PERMANENT_FIELD_LABOR_HOURS)*PERMANENT_HOURLY_RATE-MAX(0,($D41+P$5)-PERMANENT_FIELD_LABOR_HOURS)*TEMP_HOURLY_RATE-FIXED_SEASON_COST)</f>
        <v>-5496.79491046842</v>
      </c>
      <c r="Q41" s="53" t="n">
        <f aca="false">IF(OR($A41&gt;TOMATO_BED_CAP,$B41&gt;CARROT_BED_CAP,Q$4&gt;MESCLUN_BED_CAP,$A41+$B41+Q$4&gt;TOTAL_BEDS_AVAILABLE,($D41+Q$5)&gt;TOTAL_LABOR_HOURS_CAP,MAX(0,($D41+Q$5)-PERMANENT_FIELD_LABOR_HOURS)&gt;TEMP_HOURS_CAP),"",$C41+Q$6-MIN(($D41+Q$5),PERMANENT_FIELD_LABOR_HOURS)*PERMANENT_HOURLY_RATE-MAX(0,($D41+Q$5)-PERMANENT_FIELD_LABOR_HOURS)*TEMP_HOURLY_RATE-FIXED_SEASON_COST)</f>
        <v>-4682.94775377053</v>
      </c>
      <c r="R41" s="53" t="n">
        <f aca="false">IF(OR($A41&gt;TOMATO_BED_CAP,$B41&gt;CARROT_BED_CAP,R$4&gt;MESCLUN_BED_CAP,$A41+$B41+R$4&gt;TOTAL_BEDS_AVAILABLE,($D41+R$5)&gt;TOTAL_LABOR_HOURS_CAP,MAX(0,($D41+R$5)-PERMANENT_FIELD_LABOR_HOURS)&gt;TEMP_HOURS_CAP),"",$C41+R$6-MIN(($D41+R$5),PERMANENT_FIELD_LABOR_HOURS)*PERMANENT_HOURLY_RATE-MAX(0,($D41+R$5)-PERMANENT_FIELD_LABOR_HOURS)*TEMP_HOURLY_RATE-FIXED_SEASON_COST)</f>
        <v>-3892.87234007372</v>
      </c>
      <c r="S41" s="53" t="n">
        <f aca="false">IF(OR($A41&gt;TOMATO_BED_CAP,$B41&gt;CARROT_BED_CAP,S$4&gt;MESCLUN_BED_CAP,$A41+$B41+S$4&gt;TOTAL_BEDS_AVAILABLE,($D41+S$5)&gt;TOTAL_LABOR_HOURS_CAP,MAX(0,($D41+S$5)-PERMANENT_FIELD_LABOR_HOURS)&gt;TEMP_HOURS_CAP),"",$C41+S$6-MIN(($D41+S$5),PERMANENT_FIELD_LABOR_HOURS)*PERMANENT_HOURLY_RATE-MAX(0,($D41+S$5)-PERMANENT_FIELD_LABOR_HOURS)*TEMP_HOURLY_RATE-FIXED_SEASON_COST)</f>
        <v>-3127.00575157128</v>
      </c>
      <c r="T41" s="53" t="n">
        <f aca="false">IF(OR($A41&gt;TOMATO_BED_CAP,$B41&gt;CARROT_BED_CAP,T$4&gt;MESCLUN_BED_CAP,$A41+$B41+T$4&gt;TOTAL_BEDS_AVAILABLE,($D41+T$5)&gt;TOTAL_LABOR_HOURS_CAP,MAX(0,($D41+T$5)-PERMANENT_FIELD_LABOR_HOURS)&gt;TEMP_HOURS_CAP),"",$C41+T$6-MIN(($D41+T$5),PERMANENT_FIELD_LABOR_HOURS)*PERMANENT_HOURLY_RATE-MAX(0,($D41+T$5)-PERMANENT_FIELD_LABOR_HOURS)*TEMP_HOURLY_RATE-FIXED_SEASON_COST)</f>
        <v>-2385.79228317643</v>
      </c>
      <c r="U41" s="53" t="n">
        <f aca="false">IF(OR($A41&gt;TOMATO_BED_CAP,$B41&gt;CARROT_BED_CAP,U$4&gt;MESCLUN_BED_CAP,$A41+$B41+U$4&gt;TOTAL_BEDS_AVAILABLE,($D41+U$5)&gt;TOTAL_LABOR_HOURS_CAP,MAX(0,($D41+U$5)-PERMANENT_FIELD_LABOR_HOURS)&gt;TEMP_HOURS_CAP),"",$C41+U$6-MIN(($D41+U$5),PERMANENT_FIELD_LABOR_HOURS)*PERMANENT_HOURLY_RATE-MAX(0,($D41+U$5)-PERMANENT_FIELD_LABOR_HOURS)*TEMP_HOURLY_RATE-FIXED_SEASON_COST)</f>
        <v>-1669.68355454633</v>
      </c>
      <c r="V41" s="53" t="n">
        <f aca="false">IF(OR($A41&gt;TOMATO_BED_CAP,$B41&gt;CARROT_BED_CAP,V$4&gt;MESCLUN_BED_CAP,$A41+$B41+V$4&gt;TOTAL_BEDS_AVAILABLE,($D41+V$5)&gt;TOTAL_LABOR_HOURS_CAP,MAX(0,($D41+V$5)-PERMANENT_FIELD_LABOR_HOURS)&gt;TEMP_HOURS_CAP),"",$C41+V$6-MIN(($D41+V$5),PERMANENT_FIELD_LABOR_HOURS)*PERMANENT_HOURLY_RATE-MAX(0,($D41+V$5)-PERMANENT_FIELD_LABOR_HOURS)*TEMP_HOURLY_RATE-FIXED_SEASON_COST)</f>
        <v>-979.138623779538</v>
      </c>
      <c r="W41" s="53" t="n">
        <f aca="false">IF(OR($A41&gt;TOMATO_BED_CAP,$B41&gt;CARROT_BED_CAP,W$4&gt;MESCLUN_BED_CAP,$A41+$B41+W$4&gt;TOTAL_BEDS_AVAILABLE,($D41+W$5)&gt;TOTAL_LABOR_HOURS_CAP,MAX(0,($D41+W$5)-PERMANENT_FIELD_LABOR_HOURS)&gt;TEMP_HOURS_CAP),"",$C41+W$6-MIN(($D41+W$5),PERMANENT_FIELD_LABOR_HOURS)*PERMANENT_HOURLY_RATE-MAX(0,($D41+W$5)-PERMANENT_FIELD_LABOR_HOURS)*TEMP_HOURLY_RATE-FIXED_SEASON_COST)</f>
        <v>-314.624102811475</v>
      </c>
      <c r="X41" s="53" t="n">
        <f aca="false">IF(OR($A41&gt;TOMATO_BED_CAP,$B41&gt;CARROT_BED_CAP,X$4&gt;MESCLUN_BED_CAP,$A41+$B41+X$4&gt;TOTAL_BEDS_AVAILABLE,($D41+X$5)&gt;TOTAL_LABOR_HOURS_CAP,MAX(0,($D41+X$5)-PERMANENT_FIELD_LABOR_HOURS)&gt;TEMP_HOURS_CAP),"",$C41+X$6-MIN(($D41+X$5),PERMANENT_FIELD_LABOR_HOURS)*PERMANENT_HOURLY_RATE-MAX(0,($D41+X$5)-PERMANENT_FIELD_LABOR_HOURS)*TEMP_HOURLY_RATE-FIXED_SEASON_COST)</f>
        <v>323.385725467451</v>
      </c>
      <c r="Y41" s="53" t="n">
        <f aca="false">IF(OR($A41&gt;TOMATO_BED_CAP,$B41&gt;CARROT_BED_CAP,Y$4&gt;MESCLUN_BED_CAP,$A41+$B41+Y$4&gt;TOTAL_BEDS_AVAILABLE,($D41+Y$5)&gt;TOTAL_LABOR_HOURS_CAP,MAX(0,($D41+Y$5)-PERMANENT_FIELD_LABOR_HOURS)&gt;TEMP_HOURS_CAP),"",$C41+Y$6-MIN(($D41+Y$5),PERMANENT_FIELD_LABOR_HOURS)*PERMANENT_HOURLY_RATE-MAX(0,($D41+Y$5)-PERMANENT_FIELD_LABOR_HOURS)*TEMP_HOURLY_RATE-FIXED_SEASON_COST)</f>
        <v>934.408788346111</v>
      </c>
      <c r="Z41" s="53" t="n">
        <f aca="false">IF(OR($A41&gt;TOMATO_BED_CAP,$B41&gt;CARROT_BED_CAP,Z$4&gt;MESCLUN_BED_CAP,$A41+$B41+Z$4&gt;TOTAL_BEDS_AVAILABLE,($D41+Z$5)&gt;TOTAL_LABOR_HOURS_CAP,MAX(0,($D41+Z$5)-PERMANENT_FIELD_LABOR_HOURS)&gt;TEMP_HOURS_CAP),"",$C41+Z$6-MIN(($D41+Z$5),PERMANENT_FIELD_LABOR_HOURS)*PERMANENT_HOURLY_RATE-MAX(0,($D41+Z$5)-PERMANENT_FIELD_LABOR_HOURS)*TEMP_HOURLY_RATE-FIXED_SEASON_COST)</f>
        <v>1517.95510265383</v>
      </c>
      <c r="AA41" s="53" t="n">
        <f aca="false">IF(OR($A41&gt;TOMATO_BED_CAP,$B41&gt;CARROT_BED_CAP,AA$4&gt;MESCLUN_BED_CAP,$A41+$B41+AA$4&gt;TOTAL_BEDS_AVAILABLE,($D41+AA$5)&gt;TOTAL_LABOR_HOURS_CAP,MAX(0,($D41+AA$5)-PERMANENT_FIELD_LABOR_HOURS)&gt;TEMP_HOURS_CAP),"",$C41+AA$6-MIN(($D41+AA$5),PERMANENT_FIELD_LABOR_HOURS)*PERMANENT_HOURLY_RATE-MAX(0,($D41+AA$5)-PERMANENT_FIELD_LABOR_HOURS)*TEMP_HOURLY_RATE-FIXED_SEASON_COST)</f>
        <v>2073.52665232277</v>
      </c>
      <c r="AB41" s="53" t="n">
        <f aca="false">IF(OR($A41&gt;TOMATO_BED_CAP,$B41&gt;CARROT_BED_CAP,AB$4&gt;MESCLUN_BED_CAP,$A41+$B41+AB$4&gt;TOTAL_BEDS_AVAILABLE,($D41+AB$5)&gt;TOTAL_LABOR_HOURS_CAP,MAX(0,($D41+AB$5)-PERMANENT_FIELD_LABOR_HOURS)&gt;TEMP_HOURS_CAP),"",$C41+AB$6-MIN(($D41+AB$5),PERMANENT_FIELD_LABOR_HOURS)*PERMANENT_HOURLY_RATE-MAX(0,($D41+AB$5)-PERMANENT_FIELD_LABOR_HOURS)*TEMP_HOURLY_RATE-FIXED_SEASON_COST)</f>
        <v>2600.61726412533</v>
      </c>
      <c r="AC41" s="53" t="n">
        <f aca="false">IF(OR($A41&gt;TOMATO_BED_CAP,$B41&gt;CARROT_BED_CAP,AC$4&gt;MESCLUN_BED_CAP,$A41+$B41+AC$4&gt;TOTAL_BEDS_AVAILABLE,($D41+AC$5)&gt;TOTAL_LABOR_HOURS_CAP,MAX(0,($D41+AC$5)-PERMANENT_FIELD_LABOR_HOURS)&gt;TEMP_HOURS_CAP),"",$C41+AC$6-MIN(($D41+AC$5),PERMANENT_FIELD_LABOR_HOURS)*PERMANENT_HOURLY_RATE-MAX(0,($D41+AC$5)-PERMANENT_FIELD_LABOR_HOURS)*TEMP_HOURLY_RATE-FIXED_SEASON_COST)</f>
        <v>3098.71248156023</v>
      </c>
      <c r="AD41" s="53" t="n">
        <f aca="false">IF(OR($A41&gt;TOMATO_BED_CAP,$B41&gt;CARROT_BED_CAP,AD$4&gt;MESCLUN_BED_CAP,$A41+$B41+AD$4&gt;TOTAL_BEDS_AVAILABLE,($D41+AD$5)&gt;TOTAL_LABOR_HOURS_CAP,MAX(0,($D41+AD$5)-PERMANENT_FIELD_LABOR_HOURS)&gt;TEMP_HOURS_CAP),"",$C41+AD$6-MIN(($D41+AD$5),PERMANENT_FIELD_LABOR_HOURS)*PERMANENT_HOURLY_RATE-MAX(0,($D41+AD$5)-PERMANENT_FIELD_LABOR_HOURS)*TEMP_HOURLY_RATE-FIXED_SEASON_COST)</f>
        <v>3567.28943686019</v>
      </c>
      <c r="AE41" s="53" t="n">
        <f aca="false">IF(OR($A41&gt;TOMATO_BED_CAP,$B41&gt;CARROT_BED_CAP,AE$4&gt;MESCLUN_BED_CAP,$A41+$B41+AE$4&gt;TOTAL_BEDS_AVAILABLE,($D41+AE$5)&gt;TOTAL_LABOR_HOURS_CAP,MAX(0,($D41+AE$5)-PERMANENT_FIELD_LABOR_HOURS)&gt;TEMP_HOURS_CAP),"",$C41+AE$6-MIN(($D41+AE$5),PERMANENT_FIELD_LABOR_HOURS)*PERMANENT_HOURLY_RATE-MAX(0,($D41+AE$5)-PERMANENT_FIELD_LABOR_HOURS)*TEMP_HOURLY_RATE-FIXED_SEASON_COST)</f>
        <v>4005.81672109409</v>
      </c>
      <c r="AF41" s="53" t="n">
        <f aca="false">IF(OR($A41&gt;TOMATO_BED_CAP,$B41&gt;CARROT_BED_CAP,AF$4&gt;MESCLUN_BED_CAP,$A41+$B41+AF$4&gt;TOTAL_BEDS_AVAILABLE,($D41+AF$5)&gt;TOTAL_LABOR_HOURS_CAP,MAX(0,($D41+AF$5)-PERMANENT_FIELD_LABOR_HOURS)&gt;TEMP_HOURS_CAP),"",$C41+AF$6-MIN(($D41+AF$5),PERMANENT_FIELD_LABOR_HOURS)*PERMANENT_HOURLY_RATE-MAX(0,($D41+AF$5)-PERMANENT_FIELD_LABOR_HOURS)*TEMP_HOURLY_RATE-FIXED_SEASON_COST)</f>
        <v>4413.75425233605</v>
      </c>
      <c r="AG41" s="53" t="n">
        <f aca="false">IF(OR($A41&gt;TOMATO_BED_CAP,$B41&gt;CARROT_BED_CAP,AG$4&gt;MESCLUN_BED_CAP,$A41+$B41+AG$4&gt;TOTAL_BEDS_AVAILABLE,($D41+AG$5)&gt;TOTAL_LABOR_HOURS_CAP,MAX(0,($D41+AG$5)-PERMANENT_FIELD_LABOR_HOURS)&gt;TEMP_HOURS_CAP),"",$C41+AG$6-MIN(($D41+AG$5),PERMANENT_FIELD_LABOR_HOURS)*PERMANENT_HOURLY_RATE-MAX(0,($D41+AG$5)-PERMANENT_FIELD_LABOR_HOURS)*TEMP_HOURLY_RATE-FIXED_SEASON_COST)</f>
        <v>4790.55314187306</v>
      </c>
      <c r="AH41" s="53" t="n">
        <f aca="false">IF(OR($A41&gt;TOMATO_BED_CAP,$B41&gt;CARROT_BED_CAP,AH$4&gt;MESCLUN_BED_CAP,$A41+$B41+AH$4&gt;TOTAL_BEDS_AVAILABLE,($D41+AH$5)&gt;TOTAL_LABOR_HOURS_CAP,MAX(0,($D41+AH$5)-PERMANENT_FIELD_LABOR_HOURS)&gt;TEMP_HOURS_CAP),"",$C41+AH$6-MIN(($D41+AH$5),PERMANENT_FIELD_LABOR_HOURS)*PERMANENT_HOURLY_RATE-MAX(0,($D41+AH$5)-PERMANENT_FIELD_LABOR_HOURS)*TEMP_HOURLY_RATE-FIXED_SEASON_COST)</f>
        <v>5135.65555842328</v>
      </c>
      <c r="AI41" s="53" t="n">
        <f aca="false">IF(OR($A41&gt;TOMATO_BED_CAP,$B41&gt;CARROT_BED_CAP,AI$4&gt;MESCLUN_BED_CAP,$A41+$B41+AI$4&gt;TOTAL_BEDS_AVAILABLE,($D41+AI$5)&gt;TOTAL_LABOR_HOURS_CAP,MAX(0,($D41+AI$5)-PERMANENT_FIELD_LABOR_HOURS)&gt;TEMP_HOURS_CAP),"",$C41+AI$6-MIN(($D41+AI$5),PERMANENT_FIELD_LABOR_HOURS)*PERMANENT_HOURLY_RATE-MAX(0,($D41+AI$5)-PERMANENT_FIELD_LABOR_HOURS)*TEMP_HOURLY_RATE-FIXED_SEASON_COST)</f>
        <v>5448.49459033554</v>
      </c>
      <c r="AJ41" s="53" t="n">
        <f aca="false">IF(OR($A41&gt;TOMATO_BED_CAP,$B41&gt;CARROT_BED_CAP,AJ$4&gt;MESCLUN_BED_CAP,$A41+$B41+AJ$4&gt;TOTAL_BEDS_AVAILABLE,($D41+AJ$5)&gt;TOTAL_LABOR_HOURS_CAP,MAX(0,($D41+AJ$5)-PERMANENT_FIELD_LABOR_HOURS)&gt;TEMP_HOURS_CAP),"",$C41+AJ$6-MIN(($D41+AJ$5),PERMANENT_FIELD_LABOR_HOURS)*PERMANENT_HOURLY_RATE-MAX(0,($D41+AJ$5)-PERMANENT_FIELD_LABOR_HOURS)*TEMP_HOURLY_RATE-FIXED_SEASON_COST)</f>
        <v>5728.49410574129</v>
      </c>
    </row>
    <row r="42" customFormat="false" ht="15" hidden="false" customHeight="false" outlineLevel="0" collapsed="false">
      <c r="A42" s="21" t="n">
        <f aca="false">INT((ROW()-ROW($A$8))/(20+1))</f>
        <v>1</v>
      </c>
      <c r="B42" s="21" t="n">
        <f aca="false">MOD(ROW()-ROW($A$8),20+1)</f>
        <v>13</v>
      </c>
      <c r="C42" s="13" t="n">
        <f aca="false">A42*(TOMATO_REVENUE_PER_BED-TOMATO_FERTILIZER_PER_BED)+B42*(CARROT_REVENUE_PER_BED-CARROT_FERTILIZER_PER_BED)</f>
        <v>29422</v>
      </c>
      <c r="D42" s="14" t="n">
        <f aca="false">INDEX(TOMATO_SCHED_LABOR_HRS,A42+1)+INDEX(CARROT_SCHED_LABOR_HRS,B42+1)</f>
        <v>636.40425976946</v>
      </c>
      <c r="E42" s="13" t="n">
        <f aca="false">IF(COUNT(F42:AJ42)=0,"",MAX(F42:AJ42))</f>
        <v>6454.81134527472</v>
      </c>
      <c r="F42" s="53" t="n">
        <f aca="false">IF(OR($A42&gt;TOMATO_BED_CAP,$B42&gt;CARROT_BED_CAP,F$4&gt;MESCLUN_BED_CAP,$A42+$B42+F$4&gt;TOTAL_BEDS_AVAILABLE,($D42+F$5)&gt;TOTAL_LABOR_HOURS_CAP,MAX(0,($D42+F$5)-PERMANENT_FIELD_LABOR_HOURS)&gt;TEMP_HOURS_CAP),"",$C42+F$6-MIN(($D42+F$5),PERMANENT_FIELD_LABOR_HOURS)*PERMANENT_HOURLY_RATE-MAX(0,($D42+F$5)-PERMANENT_FIELD_LABOR_HOURS)*TEMP_HOURLY_RATE-FIXED_SEASON_COST)</f>
        <v>-12673.9558991957</v>
      </c>
      <c r="G42" s="53" t="n">
        <f aca="false">IF(OR($A42&gt;TOMATO_BED_CAP,$B42&gt;CARROT_BED_CAP,G$4&gt;MESCLUN_BED_CAP,$A42+$B42+G$4&gt;TOTAL_BEDS_AVAILABLE,($D42+G$5)&gt;TOTAL_LABOR_HOURS_CAP,MAX(0,($D42+G$5)-PERMANENT_FIELD_LABOR_HOURS)&gt;TEMP_HOURS_CAP),"",$C42+G$6-MIN(($D42+G$5),PERMANENT_FIELD_LABOR_HOURS)*PERMANENT_HOURLY_RATE-MAX(0,($D42+G$5)-PERMANENT_FIELD_LABOR_HOURS)*TEMP_HOURLY_RATE-FIXED_SEASON_COST)</f>
        <v>-12435.8858991957</v>
      </c>
      <c r="H42" s="53" t="n">
        <f aca="false">IF(OR($A42&gt;TOMATO_BED_CAP,$B42&gt;CARROT_BED_CAP,H$4&gt;MESCLUN_BED_CAP,$A42+$B42+H$4&gt;TOTAL_BEDS_AVAILABLE,($D42+H$5)&gt;TOTAL_LABOR_HOURS_CAP,MAX(0,($D42+H$5)-PERMANENT_FIELD_LABOR_HOURS)&gt;TEMP_HOURS_CAP),"",$C42+H$6-MIN(($D42+H$5),PERMANENT_FIELD_LABOR_HOURS)*PERMANENT_HOURLY_RATE-MAX(0,($D42+H$5)-PERMANENT_FIELD_LABOR_HOURS)*TEMP_HOURLY_RATE-FIXED_SEASON_COST)</f>
        <v>-12086.8820745978</v>
      </c>
      <c r="I42" s="53" t="n">
        <f aca="false">IF(OR($A42&gt;TOMATO_BED_CAP,$B42&gt;CARROT_BED_CAP,I$4&gt;MESCLUN_BED_CAP,$A42+$B42+I$4&gt;TOTAL_BEDS_AVAILABLE,($D42+I$5)&gt;TOTAL_LABOR_HOURS_CAP,MAX(0,($D42+I$5)-PERMANENT_FIELD_LABOR_HOURS)&gt;TEMP_HOURS_CAP),"",$C42+I$6-MIN(($D42+I$5),PERMANENT_FIELD_LABOR_HOURS)*PERMANENT_HOURLY_RATE-MAX(0,($D42+I$5)-PERMANENT_FIELD_LABOR_HOURS)*TEMP_HOURLY_RATE-FIXED_SEASON_COST)</f>
        <v>-11097.7660894416</v>
      </c>
      <c r="J42" s="53" t="n">
        <f aca="false">IF(OR($A42&gt;TOMATO_BED_CAP,$B42&gt;CARROT_BED_CAP,J$4&gt;MESCLUN_BED_CAP,$A42+$B42+J$4&gt;TOTAL_BEDS_AVAILABLE,($D42+J$5)&gt;TOTAL_LABOR_HOURS_CAP,MAX(0,($D42+J$5)-PERMANENT_FIELD_LABOR_HOURS)&gt;TEMP_HOURS_CAP),"",$C42+J$6-MIN(($D42+J$5),PERMANENT_FIELD_LABOR_HOURS)*PERMANENT_HOURLY_RATE-MAX(0,($D42+J$5)-PERMANENT_FIELD_LABOR_HOURS)*TEMP_HOURLY_RATE-FIXED_SEASON_COST)</f>
        <v>-10129.1719383869</v>
      </c>
      <c r="K42" s="53" t="n">
        <f aca="false">IF(OR($A42&gt;TOMATO_BED_CAP,$B42&gt;CARROT_BED_CAP,K$4&gt;MESCLUN_BED_CAP,$A42+$B42+K$4&gt;TOTAL_BEDS_AVAILABLE,($D42+K$5)&gt;TOTAL_LABOR_HOURS_CAP,MAX(0,($D42+K$5)-PERMANENT_FIELD_LABOR_HOURS)&gt;TEMP_HOURS_CAP),"",$C42+K$6-MIN(($D42+K$5),PERMANENT_FIELD_LABOR_HOURS)*PERMANENT_HOURLY_RATE-MAX(0,($D42+K$5)-PERMANENT_FIELD_LABOR_HOURS)*TEMP_HOURLY_RATE-FIXED_SEASON_COST)</f>
        <v>-9181.48284165898</v>
      </c>
      <c r="L42" s="53" t="n">
        <f aca="false">IF(OR($A42&gt;TOMATO_BED_CAP,$B42&gt;CARROT_BED_CAP,L$4&gt;MESCLUN_BED_CAP,$A42+$B42+L$4&gt;TOTAL_BEDS_AVAILABLE,($D42+L$5)&gt;TOTAL_LABOR_HOURS_CAP,MAX(0,($D42+L$5)-PERMANENT_FIELD_LABOR_HOURS)&gt;TEMP_HOURS_CAP),"",$C42+L$6-MIN(($D42+L$5),PERMANENT_FIELD_LABOR_HOURS)*PERMANENT_HOURLY_RATE-MAX(0,($D42+L$5)-PERMANENT_FIELD_LABOR_HOURS)*TEMP_HOURLY_RATE-FIXED_SEASON_COST)</f>
        <v>-8255.08839345213</v>
      </c>
      <c r="M42" s="53" t="n">
        <f aca="false">IF(OR($A42&gt;TOMATO_BED_CAP,$B42&gt;CARROT_BED_CAP,M$4&gt;MESCLUN_BED_CAP,$A42+$B42+M$4&gt;TOTAL_BEDS_AVAILABLE,($D42+M$5)&gt;TOTAL_LABOR_HOURS_CAP,MAX(0,($D42+M$5)-PERMANENT_FIELD_LABOR_HOURS)&gt;TEMP_HOURS_CAP),"",$C42+M$6-MIN(($D42+M$5),PERMANENT_FIELD_LABOR_HOURS)*PERMANENT_HOURLY_RATE-MAX(0,($D42+M$5)-PERMANENT_FIELD_LABOR_HOURS)*TEMP_HOURLY_RATE-FIXED_SEASON_COST)</f>
        <v>-7350.38466140072</v>
      </c>
      <c r="N42" s="53" t="n">
        <f aca="false">IF(OR($A42&gt;TOMATO_BED_CAP,$B42&gt;CARROT_BED_CAP,N$4&gt;MESCLUN_BED_CAP,$A42+$B42+N$4&gt;TOTAL_BEDS_AVAILABLE,($D42+N$5)&gt;TOTAL_LABOR_HOURS_CAP,MAX(0,($D42+N$5)-PERMANENT_FIELD_LABOR_HOURS)&gt;TEMP_HOURS_CAP),"",$C42+N$6-MIN(($D42+N$5),PERMANENT_FIELD_LABOR_HOURS)*PERMANENT_HOURLY_RATE-MAX(0,($D42+N$5)-PERMANENT_FIELD_LABOR_HOURS)*TEMP_HOURLY_RATE-FIXED_SEASON_COST)</f>
        <v>-6467.77428754118</v>
      </c>
      <c r="O42" s="53" t="n">
        <f aca="false">IF(OR($A42&gt;TOMATO_BED_CAP,$B42&gt;CARROT_BED_CAP,O$4&gt;MESCLUN_BED_CAP,$A42+$B42+O$4&gt;TOTAL_BEDS_AVAILABLE,($D42+O$5)&gt;TOTAL_LABOR_HOURS_CAP,MAX(0,($D42+O$5)-PERMANENT_FIELD_LABOR_HOURS)&gt;TEMP_HOURS_CAP),"",$C42+O$6-MIN(($D42+O$5),PERMANENT_FIELD_LABOR_HOURS)*PERMANENT_HOURLY_RATE-MAX(0,($D42+O$5)-PERMANENT_FIELD_LABOR_HOURS)*TEMP_HOURLY_RATE-FIXED_SEASON_COST)</f>
        <v>-5607.66659078642</v>
      </c>
      <c r="P42" s="53" t="n">
        <f aca="false">IF(OR($A42&gt;TOMATO_BED_CAP,$B42&gt;CARROT_BED_CAP,P$4&gt;MESCLUN_BED_CAP,$A42+$B42+P$4&gt;TOTAL_BEDS_AVAILABLE,($D42+P$5)&gt;TOTAL_LABOR_HOURS_CAP,MAX(0,($D42+P$5)-PERMANENT_FIELD_LABOR_HOURS)&gt;TEMP_HOURS_CAP),"",$C42+P$6-MIN(($D42+P$5),PERMANENT_FIELD_LABOR_HOURS)*PERMANENT_HOURLY_RATE-MAX(0,($D42+P$5)-PERMANENT_FIELD_LABOR_HOURS)*TEMP_HOURLY_RATE-FIXED_SEASON_COST)</f>
        <v>-4770.477670935</v>
      </c>
      <c r="Q42" s="53" t="n">
        <f aca="false">IF(OR($A42&gt;TOMATO_BED_CAP,$B42&gt;CARROT_BED_CAP,Q$4&gt;MESCLUN_BED_CAP,$A42+$B42+Q$4&gt;TOTAL_BEDS_AVAILABLE,($D42+Q$5)&gt;TOTAL_LABOR_HOURS_CAP,MAX(0,($D42+Q$5)-PERMANENT_FIELD_LABOR_HOURS)&gt;TEMP_HOURS_CAP),"",$C42+Q$6-MIN(($D42+Q$5),PERMANENT_FIELD_LABOR_HOURS)*PERMANENT_HOURLY_RATE-MAX(0,($D42+Q$5)-PERMANENT_FIELD_LABOR_HOURS)*TEMP_HOURLY_RATE-FIXED_SEASON_COST)</f>
        <v>-3956.6305142371</v>
      </c>
      <c r="R42" s="53" t="n">
        <f aca="false">IF(OR($A42&gt;TOMATO_BED_CAP,$B42&gt;CARROT_BED_CAP,R$4&gt;MESCLUN_BED_CAP,$A42+$B42+R$4&gt;TOTAL_BEDS_AVAILABLE,($D42+R$5)&gt;TOTAL_LABOR_HOURS_CAP,MAX(0,($D42+R$5)-PERMANENT_FIELD_LABOR_HOURS)&gt;TEMP_HOURS_CAP),"",$C42+R$6-MIN(($D42+R$5),PERMANENT_FIELD_LABOR_HOURS)*PERMANENT_HOURLY_RATE-MAX(0,($D42+R$5)-PERMANENT_FIELD_LABOR_HOURS)*TEMP_HOURLY_RATE-FIXED_SEASON_COST)</f>
        <v>-3166.5551005403</v>
      </c>
      <c r="S42" s="53" t="n">
        <f aca="false">IF(OR($A42&gt;TOMATO_BED_CAP,$B42&gt;CARROT_BED_CAP,S$4&gt;MESCLUN_BED_CAP,$A42+$B42+S$4&gt;TOTAL_BEDS_AVAILABLE,($D42+S$5)&gt;TOTAL_LABOR_HOURS_CAP,MAX(0,($D42+S$5)-PERMANENT_FIELD_LABOR_HOURS)&gt;TEMP_HOURS_CAP),"",$C42+S$6-MIN(($D42+S$5),PERMANENT_FIELD_LABOR_HOURS)*PERMANENT_HOURLY_RATE-MAX(0,($D42+S$5)-PERMANENT_FIELD_LABOR_HOURS)*TEMP_HOURLY_RATE-FIXED_SEASON_COST)</f>
        <v>-2400.68851203785</v>
      </c>
      <c r="T42" s="53" t="n">
        <f aca="false">IF(OR($A42&gt;TOMATO_BED_CAP,$B42&gt;CARROT_BED_CAP,T$4&gt;MESCLUN_BED_CAP,$A42+$B42+T$4&gt;TOTAL_BEDS_AVAILABLE,($D42+T$5)&gt;TOTAL_LABOR_HOURS_CAP,MAX(0,($D42+T$5)-PERMANENT_FIELD_LABOR_HOURS)&gt;TEMP_HOURS_CAP),"",$C42+T$6-MIN(($D42+T$5),PERMANENT_FIELD_LABOR_HOURS)*PERMANENT_HOURLY_RATE-MAX(0,($D42+T$5)-PERMANENT_FIELD_LABOR_HOURS)*TEMP_HOURLY_RATE-FIXED_SEASON_COST)</f>
        <v>-1659.475043643</v>
      </c>
      <c r="U42" s="53" t="n">
        <f aca="false">IF(OR($A42&gt;TOMATO_BED_CAP,$B42&gt;CARROT_BED_CAP,U$4&gt;MESCLUN_BED_CAP,$A42+$B42+U$4&gt;TOTAL_BEDS_AVAILABLE,($D42+U$5)&gt;TOTAL_LABOR_HOURS_CAP,MAX(0,($D42+U$5)-PERMANENT_FIELD_LABOR_HOURS)&gt;TEMP_HOURS_CAP),"",$C42+U$6-MIN(($D42+U$5),PERMANENT_FIELD_LABOR_HOURS)*PERMANENT_HOURLY_RATE-MAX(0,($D42+U$5)-PERMANENT_FIELD_LABOR_HOURS)*TEMP_HOURLY_RATE-FIXED_SEASON_COST)</f>
        <v>-943.366315012907</v>
      </c>
      <c r="V42" s="53" t="n">
        <f aca="false">IF(OR($A42&gt;TOMATO_BED_CAP,$B42&gt;CARROT_BED_CAP,V$4&gt;MESCLUN_BED_CAP,$A42+$B42+V$4&gt;TOTAL_BEDS_AVAILABLE,($D42+V$5)&gt;TOTAL_LABOR_HOURS_CAP,MAX(0,($D42+V$5)-PERMANENT_FIELD_LABOR_HOURS)&gt;TEMP_HOURS_CAP),"",$C42+V$6-MIN(($D42+V$5),PERMANENT_FIELD_LABOR_HOURS)*PERMANENT_HOURLY_RATE-MAX(0,($D42+V$5)-PERMANENT_FIELD_LABOR_HOURS)*TEMP_HOURLY_RATE-FIXED_SEASON_COST)</f>
        <v>-252.821384246112</v>
      </c>
      <c r="W42" s="53" t="n">
        <f aca="false">IF(OR($A42&gt;TOMATO_BED_CAP,$B42&gt;CARROT_BED_CAP,W$4&gt;MESCLUN_BED_CAP,$A42+$B42+W$4&gt;TOTAL_BEDS_AVAILABLE,($D42+W$5)&gt;TOTAL_LABOR_HOURS_CAP,MAX(0,($D42+W$5)-PERMANENT_FIELD_LABOR_HOURS)&gt;TEMP_HOURS_CAP),"",$C42+W$6-MIN(($D42+W$5),PERMANENT_FIELD_LABOR_HOURS)*PERMANENT_HOURLY_RATE-MAX(0,($D42+W$5)-PERMANENT_FIELD_LABOR_HOURS)*TEMP_HOURLY_RATE-FIXED_SEASON_COST)</f>
        <v>411.693136721951</v>
      </c>
      <c r="X42" s="53" t="n">
        <f aca="false">IF(OR($A42&gt;TOMATO_BED_CAP,$B42&gt;CARROT_BED_CAP,X$4&gt;MESCLUN_BED_CAP,$A42+$B42+X$4&gt;TOTAL_BEDS_AVAILABLE,($D42+X$5)&gt;TOTAL_LABOR_HOURS_CAP,MAX(0,($D42+X$5)-PERMANENT_FIELD_LABOR_HOURS)&gt;TEMP_HOURS_CAP),"",$C42+X$6-MIN(($D42+X$5),PERMANENT_FIELD_LABOR_HOURS)*PERMANENT_HOURLY_RATE-MAX(0,($D42+X$5)-PERMANENT_FIELD_LABOR_HOURS)*TEMP_HOURLY_RATE-FIXED_SEASON_COST)</f>
        <v>1049.70296500088</v>
      </c>
      <c r="Y42" s="53" t="n">
        <f aca="false">IF(OR($A42&gt;TOMATO_BED_CAP,$B42&gt;CARROT_BED_CAP,Y$4&gt;MESCLUN_BED_CAP,$A42+$B42+Y$4&gt;TOTAL_BEDS_AVAILABLE,($D42+Y$5)&gt;TOTAL_LABOR_HOURS_CAP,MAX(0,($D42+Y$5)-PERMANENT_FIELD_LABOR_HOURS)&gt;TEMP_HOURS_CAP),"",$C42+Y$6-MIN(($D42+Y$5),PERMANENT_FIELD_LABOR_HOURS)*PERMANENT_HOURLY_RATE-MAX(0,($D42+Y$5)-PERMANENT_FIELD_LABOR_HOURS)*TEMP_HOURLY_RATE-FIXED_SEASON_COST)</f>
        <v>1660.72602787953</v>
      </c>
      <c r="Z42" s="53" t="n">
        <f aca="false">IF(OR($A42&gt;TOMATO_BED_CAP,$B42&gt;CARROT_BED_CAP,Z$4&gt;MESCLUN_BED_CAP,$A42+$B42+Z$4&gt;TOTAL_BEDS_AVAILABLE,($D42+Z$5)&gt;TOTAL_LABOR_HOURS_CAP,MAX(0,($D42+Z$5)-PERMANENT_FIELD_LABOR_HOURS)&gt;TEMP_HOURS_CAP),"",$C42+Z$6-MIN(($D42+Z$5),PERMANENT_FIELD_LABOR_HOURS)*PERMANENT_HOURLY_RATE-MAX(0,($D42+Z$5)-PERMANENT_FIELD_LABOR_HOURS)*TEMP_HOURLY_RATE-FIXED_SEASON_COST)</f>
        <v>2244.27234218726</v>
      </c>
      <c r="AA42" s="53" t="n">
        <f aca="false">IF(OR($A42&gt;TOMATO_BED_CAP,$B42&gt;CARROT_BED_CAP,AA$4&gt;MESCLUN_BED_CAP,$A42+$B42+AA$4&gt;TOTAL_BEDS_AVAILABLE,($D42+AA$5)&gt;TOTAL_LABOR_HOURS_CAP,MAX(0,($D42+AA$5)-PERMANENT_FIELD_LABOR_HOURS)&gt;TEMP_HOURS_CAP),"",$C42+AA$6-MIN(($D42+AA$5),PERMANENT_FIELD_LABOR_HOURS)*PERMANENT_HOURLY_RATE-MAX(0,($D42+AA$5)-PERMANENT_FIELD_LABOR_HOURS)*TEMP_HOURLY_RATE-FIXED_SEASON_COST)</f>
        <v>2799.84389185619</v>
      </c>
      <c r="AB42" s="53" t="n">
        <f aca="false">IF(OR($A42&gt;TOMATO_BED_CAP,$B42&gt;CARROT_BED_CAP,AB$4&gt;MESCLUN_BED_CAP,$A42+$B42+AB$4&gt;TOTAL_BEDS_AVAILABLE,($D42+AB$5)&gt;TOTAL_LABOR_HOURS_CAP,MAX(0,($D42+AB$5)-PERMANENT_FIELD_LABOR_HOURS)&gt;TEMP_HOURS_CAP),"",$C42+AB$6-MIN(($D42+AB$5),PERMANENT_FIELD_LABOR_HOURS)*PERMANENT_HOURLY_RATE-MAX(0,($D42+AB$5)-PERMANENT_FIELD_LABOR_HOURS)*TEMP_HOURLY_RATE-FIXED_SEASON_COST)</f>
        <v>3326.93450365875</v>
      </c>
      <c r="AC42" s="53" t="n">
        <f aca="false">IF(OR($A42&gt;TOMATO_BED_CAP,$B42&gt;CARROT_BED_CAP,AC$4&gt;MESCLUN_BED_CAP,$A42+$B42+AC$4&gt;TOTAL_BEDS_AVAILABLE,($D42+AC$5)&gt;TOTAL_LABOR_HOURS_CAP,MAX(0,($D42+AC$5)-PERMANENT_FIELD_LABOR_HOURS)&gt;TEMP_HOURS_CAP),"",$C42+AC$6-MIN(($D42+AC$5),PERMANENT_FIELD_LABOR_HOURS)*PERMANENT_HOURLY_RATE-MAX(0,($D42+AC$5)-PERMANENT_FIELD_LABOR_HOURS)*TEMP_HOURLY_RATE-FIXED_SEASON_COST)</f>
        <v>3825.02972109366</v>
      </c>
      <c r="AD42" s="53" t="n">
        <f aca="false">IF(OR($A42&gt;TOMATO_BED_CAP,$B42&gt;CARROT_BED_CAP,AD$4&gt;MESCLUN_BED_CAP,$A42+$B42+AD$4&gt;TOTAL_BEDS_AVAILABLE,($D42+AD$5)&gt;TOTAL_LABOR_HOURS_CAP,MAX(0,($D42+AD$5)-PERMANENT_FIELD_LABOR_HOURS)&gt;TEMP_HOURS_CAP),"",$C42+AD$6-MIN(($D42+AD$5),PERMANENT_FIELD_LABOR_HOURS)*PERMANENT_HOURLY_RATE-MAX(0,($D42+AD$5)-PERMANENT_FIELD_LABOR_HOURS)*TEMP_HOURLY_RATE-FIXED_SEASON_COST)</f>
        <v>4293.60667639362</v>
      </c>
      <c r="AE42" s="53" t="n">
        <f aca="false">IF(OR($A42&gt;TOMATO_BED_CAP,$B42&gt;CARROT_BED_CAP,AE$4&gt;MESCLUN_BED_CAP,$A42+$B42+AE$4&gt;TOTAL_BEDS_AVAILABLE,($D42+AE$5)&gt;TOTAL_LABOR_HOURS_CAP,MAX(0,($D42+AE$5)-PERMANENT_FIELD_LABOR_HOURS)&gt;TEMP_HOURS_CAP),"",$C42+AE$6-MIN(($D42+AE$5),PERMANENT_FIELD_LABOR_HOURS)*PERMANENT_HOURLY_RATE-MAX(0,($D42+AE$5)-PERMANENT_FIELD_LABOR_HOURS)*TEMP_HOURLY_RATE-FIXED_SEASON_COST)</f>
        <v>4732.13396062753</v>
      </c>
      <c r="AF42" s="53" t="n">
        <f aca="false">IF(OR($A42&gt;TOMATO_BED_CAP,$B42&gt;CARROT_BED_CAP,AF$4&gt;MESCLUN_BED_CAP,$A42+$B42+AF$4&gt;TOTAL_BEDS_AVAILABLE,($D42+AF$5)&gt;TOTAL_LABOR_HOURS_CAP,MAX(0,($D42+AF$5)-PERMANENT_FIELD_LABOR_HOURS)&gt;TEMP_HOURS_CAP),"",$C42+AF$6-MIN(($D42+AF$5),PERMANENT_FIELD_LABOR_HOURS)*PERMANENT_HOURLY_RATE-MAX(0,($D42+AF$5)-PERMANENT_FIELD_LABOR_HOURS)*TEMP_HOURLY_RATE-FIXED_SEASON_COST)</f>
        <v>5140.07149186947</v>
      </c>
      <c r="AG42" s="53" t="n">
        <f aca="false">IF(OR($A42&gt;TOMATO_BED_CAP,$B42&gt;CARROT_BED_CAP,AG$4&gt;MESCLUN_BED_CAP,$A42+$B42+AG$4&gt;TOTAL_BEDS_AVAILABLE,($D42+AG$5)&gt;TOTAL_LABOR_HOURS_CAP,MAX(0,($D42+AG$5)-PERMANENT_FIELD_LABOR_HOURS)&gt;TEMP_HOURS_CAP),"",$C42+AG$6-MIN(($D42+AG$5),PERMANENT_FIELD_LABOR_HOURS)*PERMANENT_HOURLY_RATE-MAX(0,($D42+AG$5)-PERMANENT_FIELD_LABOR_HOURS)*TEMP_HOURLY_RATE-FIXED_SEASON_COST)</f>
        <v>5516.87038140648</v>
      </c>
      <c r="AH42" s="53" t="n">
        <f aca="false">IF(OR($A42&gt;TOMATO_BED_CAP,$B42&gt;CARROT_BED_CAP,AH$4&gt;MESCLUN_BED_CAP,$A42+$B42+AH$4&gt;TOTAL_BEDS_AVAILABLE,($D42+AH$5)&gt;TOTAL_LABOR_HOURS_CAP,MAX(0,($D42+AH$5)-PERMANENT_FIELD_LABOR_HOURS)&gt;TEMP_HOURS_CAP),"",$C42+AH$6-MIN(($D42+AH$5),PERMANENT_FIELD_LABOR_HOURS)*PERMANENT_HOURLY_RATE-MAX(0,($D42+AH$5)-PERMANENT_FIELD_LABOR_HOURS)*TEMP_HOURLY_RATE-FIXED_SEASON_COST)</f>
        <v>5861.9727979567</v>
      </c>
      <c r="AI42" s="53" t="n">
        <f aca="false">IF(OR($A42&gt;TOMATO_BED_CAP,$B42&gt;CARROT_BED_CAP,AI$4&gt;MESCLUN_BED_CAP,$A42+$B42+AI$4&gt;TOTAL_BEDS_AVAILABLE,($D42+AI$5)&gt;TOTAL_LABOR_HOURS_CAP,MAX(0,($D42+AI$5)-PERMANENT_FIELD_LABOR_HOURS)&gt;TEMP_HOURS_CAP),"",$C42+AI$6-MIN(($D42+AI$5),PERMANENT_FIELD_LABOR_HOURS)*PERMANENT_HOURLY_RATE-MAX(0,($D42+AI$5)-PERMANENT_FIELD_LABOR_HOURS)*TEMP_HOURLY_RATE-FIXED_SEASON_COST)</f>
        <v>6174.81182986896</v>
      </c>
      <c r="AJ42" s="53" t="n">
        <f aca="false">IF(OR($A42&gt;TOMATO_BED_CAP,$B42&gt;CARROT_BED_CAP,AJ$4&gt;MESCLUN_BED_CAP,$A42+$B42+AJ$4&gt;TOTAL_BEDS_AVAILABLE,($D42+AJ$5)&gt;TOTAL_LABOR_HOURS_CAP,MAX(0,($D42+AJ$5)-PERMANENT_FIELD_LABOR_HOURS)&gt;TEMP_HOURS_CAP),"",$C42+AJ$6-MIN(($D42+AJ$5),PERMANENT_FIELD_LABOR_HOURS)*PERMANENT_HOURLY_RATE-MAX(0,($D42+AJ$5)-PERMANENT_FIELD_LABOR_HOURS)*TEMP_HOURLY_RATE-FIXED_SEASON_COST)</f>
        <v>6454.81134527472</v>
      </c>
    </row>
    <row r="43" customFormat="false" ht="15" hidden="false" customHeight="false" outlineLevel="0" collapsed="false">
      <c r="A43" s="21" t="n">
        <f aca="false">INT((ROW()-ROW($A$8))/(20+1))</f>
        <v>1</v>
      </c>
      <c r="B43" s="21" t="n">
        <f aca="false">MOD(ROW()-ROW($A$8),20+1)</f>
        <v>14</v>
      </c>
      <c r="C43" s="13" t="n">
        <f aca="false">A43*(TOMATO_REVENUE_PER_BED-TOMATO_FERTILIZER_PER_BED)+B43*(CARROT_REVENUE_PER_BED-CARROT_FERTILIZER_PER_BED)</f>
        <v>31076</v>
      </c>
      <c r="D43" s="14" t="n">
        <f aca="false">INDEX(TOMATO_SCHED_LABOR_HRS,A43+1)+INDEX(CARROT_SCHED_LABOR_HRS,B43+1)</f>
        <v>692.211625207058</v>
      </c>
      <c r="E43" s="13" t="n">
        <f aca="false">IF(COUNT(F43:AJ43)=0,"",MAX(F43:AJ43))</f>
        <v>7139.99548127801</v>
      </c>
      <c r="F43" s="53" t="n">
        <f aca="false">IF(OR($A43&gt;TOMATO_BED_CAP,$B43&gt;CARROT_BED_CAP,F$4&gt;MESCLUN_BED_CAP,$A43+$B43+F$4&gt;TOTAL_BEDS_AVAILABLE,($D43+F$5)&gt;TOTAL_LABOR_HOURS_CAP,MAX(0,($D43+F$5)-PERMANENT_FIELD_LABOR_HOURS)&gt;TEMP_HOURS_CAP),"",$C43+F$6-MIN(($D43+F$5),PERMANENT_FIELD_LABOR_HOURS)*PERMANENT_HOURLY_RATE-MAX(0,($D43+F$5)-PERMANENT_FIELD_LABOR_HOURS)*TEMP_HOURLY_RATE-FIXED_SEASON_COST)</f>
        <v>-12957.5876271891</v>
      </c>
      <c r="G43" s="53" t="n">
        <f aca="false">IF(OR($A43&gt;TOMATO_BED_CAP,$B43&gt;CARROT_BED_CAP,G$4&gt;MESCLUN_BED_CAP,$A43+$B43+G$4&gt;TOTAL_BEDS_AVAILABLE,($D43+G$5)&gt;TOTAL_LABOR_HOURS_CAP,MAX(0,($D43+G$5)-PERMANENT_FIELD_LABOR_HOURS)&gt;TEMP_HOURS_CAP),"",$C43+G$6-MIN(($D43+G$5),PERMANENT_FIELD_LABOR_HOURS)*PERMANENT_HOURLY_RATE-MAX(0,($D43+G$5)-PERMANENT_FIELD_LABOR_HOURS)*TEMP_HOURLY_RATE-FIXED_SEASON_COST)</f>
        <v>-12410.9588135945</v>
      </c>
      <c r="H43" s="53" t="n">
        <f aca="false">IF(OR($A43&gt;TOMATO_BED_CAP,$B43&gt;CARROT_BED_CAP,H$4&gt;MESCLUN_BED_CAP,$A43+$B43+H$4&gt;TOTAL_BEDS_AVAILABLE,($D43+H$5)&gt;TOTAL_LABOR_HOURS_CAP,MAX(0,($D43+H$5)-PERMANENT_FIELD_LABOR_HOURS)&gt;TEMP_HOURS_CAP),"",$C43+H$6-MIN(($D43+H$5),PERMANENT_FIELD_LABOR_HOURS)*PERMANENT_HOURLY_RATE-MAX(0,($D43+H$5)-PERMANENT_FIELD_LABOR_HOURS)*TEMP_HOURLY_RATE-FIXED_SEASON_COST)</f>
        <v>-11401.6979385945</v>
      </c>
      <c r="I43" s="53" t="n">
        <f aca="false">IF(OR($A43&gt;TOMATO_BED_CAP,$B43&gt;CARROT_BED_CAP,I$4&gt;MESCLUN_BED_CAP,$A43+$B43+I$4&gt;TOTAL_BEDS_AVAILABLE,($D43+I$5)&gt;TOTAL_LABOR_HOURS_CAP,MAX(0,($D43+I$5)-PERMANENT_FIELD_LABOR_HOURS)&gt;TEMP_HOURS_CAP),"",$C43+I$6-MIN(($D43+I$5),PERMANENT_FIELD_LABOR_HOURS)*PERMANENT_HOURLY_RATE-MAX(0,($D43+I$5)-PERMANENT_FIELD_LABOR_HOURS)*TEMP_HOURLY_RATE-FIXED_SEASON_COST)</f>
        <v>-10412.5819534383</v>
      </c>
      <c r="J43" s="53" t="n">
        <f aca="false">IF(OR($A43&gt;TOMATO_BED_CAP,$B43&gt;CARROT_BED_CAP,J$4&gt;MESCLUN_BED_CAP,$A43+$B43+J$4&gt;TOTAL_BEDS_AVAILABLE,($D43+J$5)&gt;TOTAL_LABOR_HOURS_CAP,MAX(0,($D43+J$5)-PERMANENT_FIELD_LABOR_HOURS)&gt;TEMP_HOURS_CAP),"",$C43+J$6-MIN(($D43+J$5),PERMANENT_FIELD_LABOR_HOURS)*PERMANENT_HOURLY_RATE-MAX(0,($D43+J$5)-PERMANENT_FIELD_LABOR_HOURS)*TEMP_HOURLY_RATE-FIXED_SEASON_COST)</f>
        <v>-9443.98780238358</v>
      </c>
      <c r="K43" s="53" t="n">
        <f aca="false">IF(OR($A43&gt;TOMATO_BED_CAP,$B43&gt;CARROT_BED_CAP,K$4&gt;MESCLUN_BED_CAP,$A43+$B43+K$4&gt;TOTAL_BEDS_AVAILABLE,($D43+K$5)&gt;TOTAL_LABOR_HOURS_CAP,MAX(0,($D43+K$5)-PERMANENT_FIELD_LABOR_HOURS)&gt;TEMP_HOURS_CAP),"",$C43+K$6-MIN(($D43+K$5),PERMANENT_FIELD_LABOR_HOURS)*PERMANENT_HOURLY_RATE-MAX(0,($D43+K$5)-PERMANENT_FIELD_LABOR_HOURS)*TEMP_HOURLY_RATE-FIXED_SEASON_COST)</f>
        <v>-8496.29870565568</v>
      </c>
      <c r="L43" s="53" t="n">
        <f aca="false">IF(OR($A43&gt;TOMATO_BED_CAP,$B43&gt;CARROT_BED_CAP,L$4&gt;MESCLUN_BED_CAP,$A43+$B43+L$4&gt;TOTAL_BEDS_AVAILABLE,($D43+L$5)&gt;TOTAL_LABOR_HOURS_CAP,MAX(0,($D43+L$5)-PERMANENT_FIELD_LABOR_HOURS)&gt;TEMP_HOURS_CAP),"",$C43+L$6-MIN(($D43+L$5),PERMANENT_FIELD_LABOR_HOURS)*PERMANENT_HOURLY_RATE-MAX(0,($D43+L$5)-PERMANENT_FIELD_LABOR_HOURS)*TEMP_HOURLY_RATE-FIXED_SEASON_COST)</f>
        <v>-7569.90425744883</v>
      </c>
      <c r="M43" s="53" t="n">
        <f aca="false">IF(OR($A43&gt;TOMATO_BED_CAP,$B43&gt;CARROT_BED_CAP,M$4&gt;MESCLUN_BED_CAP,$A43+$B43+M$4&gt;TOTAL_BEDS_AVAILABLE,($D43+M$5)&gt;TOTAL_LABOR_HOURS_CAP,MAX(0,($D43+M$5)-PERMANENT_FIELD_LABOR_HOURS)&gt;TEMP_HOURS_CAP),"",$C43+M$6-MIN(($D43+M$5),PERMANENT_FIELD_LABOR_HOURS)*PERMANENT_HOURLY_RATE-MAX(0,($D43+M$5)-PERMANENT_FIELD_LABOR_HOURS)*TEMP_HOURLY_RATE-FIXED_SEASON_COST)</f>
        <v>-6665.20052539742</v>
      </c>
      <c r="N43" s="53" t="n">
        <f aca="false">IF(OR($A43&gt;TOMATO_BED_CAP,$B43&gt;CARROT_BED_CAP,N$4&gt;MESCLUN_BED_CAP,$A43+$B43+N$4&gt;TOTAL_BEDS_AVAILABLE,($D43+N$5)&gt;TOTAL_LABOR_HOURS_CAP,MAX(0,($D43+N$5)-PERMANENT_FIELD_LABOR_HOURS)&gt;TEMP_HOURS_CAP),"",$C43+N$6-MIN(($D43+N$5),PERMANENT_FIELD_LABOR_HOURS)*PERMANENT_HOURLY_RATE-MAX(0,($D43+N$5)-PERMANENT_FIELD_LABOR_HOURS)*TEMP_HOURLY_RATE-FIXED_SEASON_COST)</f>
        <v>-5782.59015153788</v>
      </c>
      <c r="O43" s="53" t="n">
        <f aca="false">IF(OR($A43&gt;TOMATO_BED_CAP,$B43&gt;CARROT_BED_CAP,O$4&gt;MESCLUN_BED_CAP,$A43+$B43+O$4&gt;TOTAL_BEDS_AVAILABLE,($D43+O$5)&gt;TOTAL_LABOR_HOURS_CAP,MAX(0,($D43+O$5)-PERMANENT_FIELD_LABOR_HOURS)&gt;TEMP_HOURS_CAP),"",$C43+O$6-MIN(($D43+O$5),PERMANENT_FIELD_LABOR_HOURS)*PERMANENT_HOURLY_RATE-MAX(0,($D43+O$5)-PERMANENT_FIELD_LABOR_HOURS)*TEMP_HOURLY_RATE-FIXED_SEASON_COST)</f>
        <v>-4922.48245478313</v>
      </c>
      <c r="P43" s="53" t="n">
        <f aca="false">IF(OR($A43&gt;TOMATO_BED_CAP,$B43&gt;CARROT_BED_CAP,P$4&gt;MESCLUN_BED_CAP,$A43+$B43+P$4&gt;TOTAL_BEDS_AVAILABLE,($D43+P$5)&gt;TOTAL_LABOR_HOURS_CAP,MAX(0,($D43+P$5)-PERMANENT_FIELD_LABOR_HOURS)&gt;TEMP_HOURS_CAP),"",$C43+P$6-MIN(($D43+P$5),PERMANENT_FIELD_LABOR_HOURS)*PERMANENT_HOURLY_RATE-MAX(0,($D43+P$5)-PERMANENT_FIELD_LABOR_HOURS)*TEMP_HOURLY_RATE-FIXED_SEASON_COST)</f>
        <v>-4085.2935349317</v>
      </c>
      <c r="Q43" s="53" t="n">
        <f aca="false">IF(OR($A43&gt;TOMATO_BED_CAP,$B43&gt;CARROT_BED_CAP,Q$4&gt;MESCLUN_BED_CAP,$A43+$B43+Q$4&gt;TOTAL_BEDS_AVAILABLE,($D43+Q$5)&gt;TOTAL_LABOR_HOURS_CAP,MAX(0,($D43+Q$5)-PERMANENT_FIELD_LABOR_HOURS)&gt;TEMP_HOURS_CAP),"",$C43+Q$6-MIN(($D43+Q$5),PERMANENT_FIELD_LABOR_HOURS)*PERMANENT_HOURLY_RATE-MAX(0,($D43+Q$5)-PERMANENT_FIELD_LABOR_HOURS)*TEMP_HOURLY_RATE-FIXED_SEASON_COST)</f>
        <v>-3271.4463782338</v>
      </c>
      <c r="R43" s="53" t="n">
        <f aca="false">IF(OR($A43&gt;TOMATO_BED_CAP,$B43&gt;CARROT_BED_CAP,R$4&gt;MESCLUN_BED_CAP,$A43+$B43+R$4&gt;TOTAL_BEDS_AVAILABLE,($D43+R$5)&gt;TOTAL_LABOR_HOURS_CAP,MAX(0,($D43+R$5)-PERMANENT_FIELD_LABOR_HOURS)&gt;TEMP_HOURS_CAP),"",$C43+R$6-MIN(($D43+R$5),PERMANENT_FIELD_LABOR_HOURS)*PERMANENT_HOURLY_RATE-MAX(0,($D43+R$5)-PERMANENT_FIELD_LABOR_HOURS)*TEMP_HOURLY_RATE-FIXED_SEASON_COST)</f>
        <v>-2481.370964537</v>
      </c>
      <c r="S43" s="53" t="n">
        <f aca="false">IF(OR($A43&gt;TOMATO_BED_CAP,$B43&gt;CARROT_BED_CAP,S$4&gt;MESCLUN_BED_CAP,$A43+$B43+S$4&gt;TOTAL_BEDS_AVAILABLE,($D43+S$5)&gt;TOTAL_LABOR_HOURS_CAP,MAX(0,($D43+S$5)-PERMANENT_FIELD_LABOR_HOURS)&gt;TEMP_HOURS_CAP),"",$C43+S$6-MIN(($D43+S$5),PERMANENT_FIELD_LABOR_HOURS)*PERMANENT_HOURLY_RATE-MAX(0,($D43+S$5)-PERMANENT_FIELD_LABOR_HOURS)*TEMP_HOURLY_RATE-FIXED_SEASON_COST)</f>
        <v>-1715.50437603455</v>
      </c>
      <c r="T43" s="53" t="n">
        <f aca="false">IF(OR($A43&gt;TOMATO_BED_CAP,$B43&gt;CARROT_BED_CAP,T$4&gt;MESCLUN_BED_CAP,$A43+$B43+T$4&gt;TOTAL_BEDS_AVAILABLE,($D43+T$5)&gt;TOTAL_LABOR_HOURS_CAP,MAX(0,($D43+T$5)-PERMANENT_FIELD_LABOR_HOURS)&gt;TEMP_HOURS_CAP),"",$C43+T$6-MIN(($D43+T$5),PERMANENT_FIELD_LABOR_HOURS)*PERMANENT_HOURLY_RATE-MAX(0,($D43+T$5)-PERMANENT_FIELD_LABOR_HOURS)*TEMP_HOURLY_RATE-FIXED_SEASON_COST)</f>
        <v>-974.290907639705</v>
      </c>
      <c r="U43" s="53" t="n">
        <f aca="false">IF(OR($A43&gt;TOMATO_BED_CAP,$B43&gt;CARROT_BED_CAP,U$4&gt;MESCLUN_BED_CAP,$A43+$B43+U$4&gt;TOTAL_BEDS_AVAILABLE,($D43+U$5)&gt;TOTAL_LABOR_HOURS_CAP,MAX(0,($D43+U$5)-PERMANENT_FIELD_LABOR_HOURS)&gt;TEMP_HOURS_CAP),"",$C43+U$6-MIN(($D43+U$5),PERMANENT_FIELD_LABOR_HOURS)*PERMANENT_HOURLY_RATE-MAX(0,($D43+U$5)-PERMANENT_FIELD_LABOR_HOURS)*TEMP_HOURLY_RATE-FIXED_SEASON_COST)</f>
        <v>-258.182179009604</v>
      </c>
      <c r="V43" s="53" t="n">
        <f aca="false">IF(OR($A43&gt;TOMATO_BED_CAP,$B43&gt;CARROT_BED_CAP,V$4&gt;MESCLUN_BED_CAP,$A43+$B43+V$4&gt;TOTAL_BEDS_AVAILABLE,($D43+V$5)&gt;TOTAL_LABOR_HOURS_CAP,MAX(0,($D43+V$5)-PERMANENT_FIELD_LABOR_HOURS)&gt;TEMP_HOURS_CAP),"",$C43+V$6-MIN(($D43+V$5),PERMANENT_FIELD_LABOR_HOURS)*PERMANENT_HOURLY_RATE-MAX(0,($D43+V$5)-PERMANENT_FIELD_LABOR_HOURS)*TEMP_HOURLY_RATE-FIXED_SEASON_COST)</f>
        <v>432.362751757188</v>
      </c>
      <c r="W43" s="53" t="n">
        <f aca="false">IF(OR($A43&gt;TOMATO_BED_CAP,$B43&gt;CARROT_BED_CAP,W$4&gt;MESCLUN_BED_CAP,$A43+$B43+W$4&gt;TOTAL_BEDS_AVAILABLE,($D43+W$5)&gt;TOTAL_LABOR_HOURS_CAP,MAX(0,($D43+W$5)-PERMANENT_FIELD_LABOR_HOURS)&gt;TEMP_HOURS_CAP),"",$C43+W$6-MIN(($D43+W$5),PERMANENT_FIELD_LABOR_HOURS)*PERMANENT_HOURLY_RATE-MAX(0,($D43+W$5)-PERMANENT_FIELD_LABOR_HOURS)*TEMP_HOURLY_RATE-FIXED_SEASON_COST)</f>
        <v>1096.87727272525</v>
      </c>
      <c r="X43" s="53" t="n">
        <f aca="false">IF(OR($A43&gt;TOMATO_BED_CAP,$B43&gt;CARROT_BED_CAP,X$4&gt;MESCLUN_BED_CAP,$A43+$B43+X$4&gt;TOTAL_BEDS_AVAILABLE,($D43+X$5)&gt;TOTAL_LABOR_HOURS_CAP,MAX(0,($D43+X$5)-PERMANENT_FIELD_LABOR_HOURS)&gt;TEMP_HOURS_CAP),"",$C43+X$6-MIN(($D43+X$5),PERMANENT_FIELD_LABOR_HOURS)*PERMANENT_HOURLY_RATE-MAX(0,($D43+X$5)-PERMANENT_FIELD_LABOR_HOURS)*TEMP_HOURLY_RATE-FIXED_SEASON_COST)</f>
        <v>1734.88710100417</v>
      </c>
      <c r="Y43" s="53" t="n">
        <f aca="false">IF(OR($A43&gt;TOMATO_BED_CAP,$B43&gt;CARROT_BED_CAP,Y$4&gt;MESCLUN_BED_CAP,$A43+$B43+Y$4&gt;TOTAL_BEDS_AVAILABLE,($D43+Y$5)&gt;TOTAL_LABOR_HOURS_CAP,MAX(0,($D43+Y$5)-PERMANENT_FIELD_LABOR_HOURS)&gt;TEMP_HOURS_CAP),"",$C43+Y$6-MIN(($D43+Y$5),PERMANENT_FIELD_LABOR_HOURS)*PERMANENT_HOURLY_RATE-MAX(0,($D43+Y$5)-PERMANENT_FIELD_LABOR_HOURS)*TEMP_HOURLY_RATE-FIXED_SEASON_COST)</f>
        <v>2345.91016388284</v>
      </c>
      <c r="Z43" s="53" t="n">
        <f aca="false">IF(OR($A43&gt;TOMATO_BED_CAP,$B43&gt;CARROT_BED_CAP,Z$4&gt;MESCLUN_BED_CAP,$A43+$B43+Z$4&gt;TOTAL_BEDS_AVAILABLE,($D43+Z$5)&gt;TOTAL_LABOR_HOURS_CAP,MAX(0,($D43+Z$5)-PERMANENT_FIELD_LABOR_HOURS)&gt;TEMP_HOURS_CAP),"",$C43+Z$6-MIN(($D43+Z$5),PERMANENT_FIELD_LABOR_HOURS)*PERMANENT_HOURLY_RATE-MAX(0,($D43+Z$5)-PERMANENT_FIELD_LABOR_HOURS)*TEMP_HOURLY_RATE-FIXED_SEASON_COST)</f>
        <v>2929.45647819056</v>
      </c>
      <c r="AA43" s="53" t="n">
        <f aca="false">IF(OR($A43&gt;TOMATO_BED_CAP,$B43&gt;CARROT_BED_CAP,AA$4&gt;MESCLUN_BED_CAP,$A43+$B43+AA$4&gt;TOTAL_BEDS_AVAILABLE,($D43+AA$5)&gt;TOTAL_LABOR_HOURS_CAP,MAX(0,($D43+AA$5)-PERMANENT_FIELD_LABOR_HOURS)&gt;TEMP_HOURS_CAP),"",$C43+AA$6-MIN(($D43+AA$5),PERMANENT_FIELD_LABOR_HOURS)*PERMANENT_HOURLY_RATE-MAX(0,($D43+AA$5)-PERMANENT_FIELD_LABOR_HOURS)*TEMP_HOURLY_RATE-FIXED_SEASON_COST)</f>
        <v>3485.02802785949</v>
      </c>
      <c r="AB43" s="53" t="n">
        <f aca="false">IF(OR($A43&gt;TOMATO_BED_CAP,$B43&gt;CARROT_BED_CAP,AB$4&gt;MESCLUN_BED_CAP,$A43+$B43+AB$4&gt;TOTAL_BEDS_AVAILABLE,($D43+AB$5)&gt;TOTAL_LABOR_HOURS_CAP,MAX(0,($D43+AB$5)-PERMANENT_FIELD_LABOR_HOURS)&gt;TEMP_HOURS_CAP),"",$C43+AB$6-MIN(($D43+AB$5),PERMANENT_FIELD_LABOR_HOURS)*PERMANENT_HOURLY_RATE-MAX(0,($D43+AB$5)-PERMANENT_FIELD_LABOR_HOURS)*TEMP_HOURLY_RATE-FIXED_SEASON_COST)</f>
        <v>4012.11863966206</v>
      </c>
      <c r="AC43" s="53" t="n">
        <f aca="false">IF(OR($A43&gt;TOMATO_BED_CAP,$B43&gt;CARROT_BED_CAP,AC$4&gt;MESCLUN_BED_CAP,$A43+$B43+AC$4&gt;TOTAL_BEDS_AVAILABLE,($D43+AC$5)&gt;TOTAL_LABOR_HOURS_CAP,MAX(0,($D43+AC$5)-PERMANENT_FIELD_LABOR_HOURS)&gt;TEMP_HOURS_CAP),"",$C43+AC$6-MIN(($D43+AC$5),PERMANENT_FIELD_LABOR_HOURS)*PERMANENT_HOURLY_RATE-MAX(0,($D43+AC$5)-PERMANENT_FIELD_LABOR_HOURS)*TEMP_HOURLY_RATE-FIXED_SEASON_COST)</f>
        <v>4510.21385709696</v>
      </c>
      <c r="AD43" s="53" t="n">
        <f aca="false">IF(OR($A43&gt;TOMATO_BED_CAP,$B43&gt;CARROT_BED_CAP,AD$4&gt;MESCLUN_BED_CAP,$A43+$B43+AD$4&gt;TOTAL_BEDS_AVAILABLE,($D43+AD$5)&gt;TOTAL_LABOR_HOURS_CAP,MAX(0,($D43+AD$5)-PERMANENT_FIELD_LABOR_HOURS)&gt;TEMP_HOURS_CAP),"",$C43+AD$6-MIN(($D43+AD$5),PERMANENT_FIELD_LABOR_HOURS)*PERMANENT_HOURLY_RATE-MAX(0,($D43+AD$5)-PERMANENT_FIELD_LABOR_HOURS)*TEMP_HOURLY_RATE-FIXED_SEASON_COST)</f>
        <v>4978.79081239691</v>
      </c>
      <c r="AE43" s="53" t="n">
        <f aca="false">IF(OR($A43&gt;TOMATO_BED_CAP,$B43&gt;CARROT_BED_CAP,AE$4&gt;MESCLUN_BED_CAP,$A43+$B43+AE$4&gt;TOTAL_BEDS_AVAILABLE,($D43+AE$5)&gt;TOTAL_LABOR_HOURS_CAP,MAX(0,($D43+AE$5)-PERMANENT_FIELD_LABOR_HOURS)&gt;TEMP_HOURS_CAP),"",$C43+AE$6-MIN(($D43+AE$5),PERMANENT_FIELD_LABOR_HOURS)*PERMANENT_HOURLY_RATE-MAX(0,($D43+AE$5)-PERMANENT_FIELD_LABOR_HOURS)*TEMP_HOURLY_RATE-FIXED_SEASON_COST)</f>
        <v>5417.31809663082</v>
      </c>
      <c r="AF43" s="53" t="n">
        <f aca="false">IF(OR($A43&gt;TOMATO_BED_CAP,$B43&gt;CARROT_BED_CAP,AF$4&gt;MESCLUN_BED_CAP,$A43+$B43+AF$4&gt;TOTAL_BEDS_AVAILABLE,($D43+AF$5)&gt;TOTAL_LABOR_HOURS_CAP,MAX(0,($D43+AF$5)-PERMANENT_FIELD_LABOR_HOURS)&gt;TEMP_HOURS_CAP),"",$C43+AF$6-MIN(($D43+AF$5),PERMANENT_FIELD_LABOR_HOURS)*PERMANENT_HOURLY_RATE-MAX(0,($D43+AF$5)-PERMANENT_FIELD_LABOR_HOURS)*TEMP_HOURLY_RATE-FIXED_SEASON_COST)</f>
        <v>5825.25562787277</v>
      </c>
      <c r="AG43" s="53" t="n">
        <f aca="false">IF(OR($A43&gt;TOMATO_BED_CAP,$B43&gt;CARROT_BED_CAP,AG$4&gt;MESCLUN_BED_CAP,$A43+$B43+AG$4&gt;TOTAL_BEDS_AVAILABLE,($D43+AG$5)&gt;TOTAL_LABOR_HOURS_CAP,MAX(0,($D43+AG$5)-PERMANENT_FIELD_LABOR_HOURS)&gt;TEMP_HOURS_CAP),"",$C43+AG$6-MIN(($D43+AG$5),PERMANENT_FIELD_LABOR_HOURS)*PERMANENT_HOURLY_RATE-MAX(0,($D43+AG$5)-PERMANENT_FIELD_LABOR_HOURS)*TEMP_HOURLY_RATE-FIXED_SEASON_COST)</f>
        <v>6202.05451740979</v>
      </c>
      <c r="AH43" s="53" t="n">
        <f aca="false">IF(OR($A43&gt;TOMATO_BED_CAP,$B43&gt;CARROT_BED_CAP,AH$4&gt;MESCLUN_BED_CAP,$A43+$B43+AH$4&gt;TOTAL_BEDS_AVAILABLE,($D43+AH$5)&gt;TOTAL_LABOR_HOURS_CAP,MAX(0,($D43+AH$5)-PERMANENT_FIELD_LABOR_HOURS)&gt;TEMP_HOURS_CAP),"",$C43+AH$6-MIN(($D43+AH$5),PERMANENT_FIELD_LABOR_HOURS)*PERMANENT_HOURLY_RATE-MAX(0,($D43+AH$5)-PERMANENT_FIELD_LABOR_HOURS)*TEMP_HOURLY_RATE-FIXED_SEASON_COST)</f>
        <v>6547.15693396</v>
      </c>
      <c r="AI43" s="53" t="n">
        <f aca="false">IF(OR($A43&gt;TOMATO_BED_CAP,$B43&gt;CARROT_BED_CAP,AI$4&gt;MESCLUN_BED_CAP,$A43+$B43+AI$4&gt;TOTAL_BEDS_AVAILABLE,($D43+AI$5)&gt;TOTAL_LABOR_HOURS_CAP,MAX(0,($D43+AI$5)-PERMANENT_FIELD_LABOR_HOURS)&gt;TEMP_HOURS_CAP),"",$C43+AI$6-MIN(($D43+AI$5),PERMANENT_FIELD_LABOR_HOURS)*PERMANENT_HOURLY_RATE-MAX(0,($D43+AI$5)-PERMANENT_FIELD_LABOR_HOURS)*TEMP_HOURLY_RATE-FIXED_SEASON_COST)</f>
        <v>6859.99596587227</v>
      </c>
      <c r="AJ43" s="53" t="n">
        <f aca="false">IF(OR($A43&gt;TOMATO_BED_CAP,$B43&gt;CARROT_BED_CAP,AJ$4&gt;MESCLUN_BED_CAP,$A43+$B43+AJ$4&gt;TOTAL_BEDS_AVAILABLE,($D43+AJ$5)&gt;TOTAL_LABOR_HOURS_CAP,MAX(0,($D43+AJ$5)-PERMANENT_FIELD_LABOR_HOURS)&gt;TEMP_HOURS_CAP),"",$C43+AJ$6-MIN(($D43+AJ$5),PERMANENT_FIELD_LABOR_HOURS)*PERMANENT_HOURLY_RATE-MAX(0,($D43+AJ$5)-PERMANENT_FIELD_LABOR_HOURS)*TEMP_HOURLY_RATE-FIXED_SEASON_COST)</f>
        <v>7139.99548127801</v>
      </c>
    </row>
    <row r="44" customFormat="false" ht="15" hidden="false" customHeight="false" outlineLevel="0" collapsed="false">
      <c r="A44" s="21" t="n">
        <f aca="false">INT((ROW()-ROW($A$8))/(20+1))</f>
        <v>1</v>
      </c>
      <c r="B44" s="21" t="n">
        <f aca="false">MOD(ROW()-ROW($A$8),20+1)</f>
        <v>15</v>
      </c>
      <c r="C44" s="13" t="n">
        <f aca="false">A44*(TOMATO_REVENUE_PER_BED-TOMATO_FERTILIZER_PER_BED)+B44*(CARROT_REVENUE_PER_BED-CARROT_FERTILIZER_PER_BED)</f>
        <v>32730</v>
      </c>
      <c r="D44" s="14" t="n">
        <f aca="false">INDEX(TOMATO_SCHED_LABOR_HRS,A44+1)+INDEX(CARROT_SCHED_LABOR_HRS,B44+1)</f>
        <v>750.47348125418</v>
      </c>
      <c r="E44" s="13" t="n">
        <f aca="false">IF(COUNT(F44:AJ44)=0,"",MAX(F44:AJ44))</f>
        <v>7782.56966029998</v>
      </c>
      <c r="F44" s="53" t="n">
        <f aca="false">IF(OR($A44&gt;TOMATO_BED_CAP,$B44&gt;CARROT_BED_CAP,F$4&gt;MESCLUN_BED_CAP,$A44+$B44+F$4&gt;TOTAL_BEDS_AVAILABLE,($D44+F$5)&gt;TOTAL_LABOR_HOURS_CAP,MAX(0,($D44+F$5)-PERMANENT_FIELD_LABOR_HOURS)&gt;TEMP_HOURS_CAP),"",$C44+F$6-MIN(($D44+F$5),PERMANENT_FIELD_LABOR_HOURS)*PERMANENT_HOURLY_RATE-MAX(0,($D44+F$5)-PERMANENT_FIELD_LABOR_HOURS)*TEMP_HOURLY_RATE-FIXED_SEASON_COST)</f>
        <v>-12797.4196345726</v>
      </c>
      <c r="G44" s="53" t="n">
        <f aca="false">IF(OR($A44&gt;TOMATO_BED_CAP,$B44&gt;CARROT_BED_CAP,G$4&gt;MESCLUN_BED_CAP,$A44+$B44+G$4&gt;TOTAL_BEDS_AVAILABLE,($D44+G$5)&gt;TOTAL_LABOR_HOURS_CAP,MAX(0,($D44+G$5)-PERMANENT_FIELD_LABOR_HOURS)&gt;TEMP_HOURS_CAP),"",$C44+G$6-MIN(($D44+G$5),PERMANENT_FIELD_LABOR_HOURS)*PERMANENT_HOURLY_RATE-MAX(0,($D44+G$5)-PERMANENT_FIELD_LABOR_HOURS)*TEMP_HOURLY_RATE-FIXED_SEASON_COST)</f>
        <v>-11768.3846345726</v>
      </c>
      <c r="H44" s="53" t="n">
        <f aca="false">IF(OR($A44&gt;TOMATO_BED_CAP,$B44&gt;CARROT_BED_CAP,H$4&gt;MESCLUN_BED_CAP,$A44+$B44+H$4&gt;TOTAL_BEDS_AVAILABLE,($D44+H$5)&gt;TOTAL_LABOR_HOURS_CAP,MAX(0,($D44+H$5)-PERMANENT_FIELD_LABOR_HOURS)&gt;TEMP_HOURS_CAP),"",$C44+H$6-MIN(($D44+H$5),PERMANENT_FIELD_LABOR_HOURS)*PERMANENT_HOURLY_RATE-MAX(0,($D44+H$5)-PERMANENT_FIELD_LABOR_HOURS)*TEMP_HOURLY_RATE-FIXED_SEASON_COST)</f>
        <v>-10759.1237595726</v>
      </c>
      <c r="I44" s="53" t="n">
        <f aca="false">IF(OR($A44&gt;TOMATO_BED_CAP,$B44&gt;CARROT_BED_CAP,I$4&gt;MESCLUN_BED_CAP,$A44+$B44+I$4&gt;TOTAL_BEDS_AVAILABLE,($D44+I$5)&gt;TOTAL_LABOR_HOURS_CAP,MAX(0,($D44+I$5)-PERMANENT_FIELD_LABOR_HOURS)&gt;TEMP_HOURS_CAP),"",$C44+I$6-MIN(($D44+I$5),PERMANENT_FIELD_LABOR_HOURS)*PERMANENT_HOURLY_RATE-MAX(0,($D44+I$5)-PERMANENT_FIELD_LABOR_HOURS)*TEMP_HOURLY_RATE-FIXED_SEASON_COST)</f>
        <v>-9770.00777441631</v>
      </c>
      <c r="J44" s="53" t="n">
        <f aca="false">IF(OR($A44&gt;TOMATO_BED_CAP,$B44&gt;CARROT_BED_CAP,J$4&gt;MESCLUN_BED_CAP,$A44+$B44+J$4&gt;TOTAL_BEDS_AVAILABLE,($D44+J$5)&gt;TOTAL_LABOR_HOURS_CAP,MAX(0,($D44+J$5)-PERMANENT_FIELD_LABOR_HOURS)&gt;TEMP_HOURS_CAP),"",$C44+J$6-MIN(($D44+J$5),PERMANENT_FIELD_LABOR_HOURS)*PERMANENT_HOURLY_RATE-MAX(0,($D44+J$5)-PERMANENT_FIELD_LABOR_HOURS)*TEMP_HOURLY_RATE-FIXED_SEASON_COST)</f>
        <v>-8801.41362336162</v>
      </c>
      <c r="K44" s="53" t="n">
        <f aca="false">IF(OR($A44&gt;TOMATO_BED_CAP,$B44&gt;CARROT_BED_CAP,K$4&gt;MESCLUN_BED_CAP,$A44+$B44+K$4&gt;TOTAL_BEDS_AVAILABLE,($D44+K$5)&gt;TOTAL_LABOR_HOURS_CAP,MAX(0,($D44+K$5)-PERMANENT_FIELD_LABOR_HOURS)&gt;TEMP_HOURS_CAP),"",$C44+K$6-MIN(($D44+K$5),PERMANENT_FIELD_LABOR_HOURS)*PERMANENT_HOURLY_RATE-MAX(0,($D44+K$5)-PERMANENT_FIELD_LABOR_HOURS)*TEMP_HOURLY_RATE-FIXED_SEASON_COST)</f>
        <v>-7853.72452663371</v>
      </c>
      <c r="L44" s="53" t="n">
        <f aca="false">IF(OR($A44&gt;TOMATO_BED_CAP,$B44&gt;CARROT_BED_CAP,L$4&gt;MESCLUN_BED_CAP,$A44+$B44+L$4&gt;TOTAL_BEDS_AVAILABLE,($D44+L$5)&gt;TOTAL_LABOR_HOURS_CAP,MAX(0,($D44+L$5)-PERMANENT_FIELD_LABOR_HOURS)&gt;TEMP_HOURS_CAP),"",$C44+L$6-MIN(($D44+L$5),PERMANENT_FIELD_LABOR_HOURS)*PERMANENT_HOURLY_RATE-MAX(0,($D44+L$5)-PERMANENT_FIELD_LABOR_HOURS)*TEMP_HOURLY_RATE-FIXED_SEASON_COST)</f>
        <v>-6927.33007842686</v>
      </c>
      <c r="M44" s="53" t="n">
        <f aca="false">IF(OR($A44&gt;TOMATO_BED_CAP,$B44&gt;CARROT_BED_CAP,M$4&gt;MESCLUN_BED_CAP,$A44+$B44+M$4&gt;TOTAL_BEDS_AVAILABLE,($D44+M$5)&gt;TOTAL_LABOR_HOURS_CAP,MAX(0,($D44+M$5)-PERMANENT_FIELD_LABOR_HOURS)&gt;TEMP_HOURS_CAP),"",$C44+M$6-MIN(($D44+M$5),PERMANENT_FIELD_LABOR_HOURS)*PERMANENT_HOURLY_RATE-MAX(0,($D44+M$5)-PERMANENT_FIELD_LABOR_HOURS)*TEMP_HOURLY_RATE-FIXED_SEASON_COST)</f>
        <v>-6022.62634637545</v>
      </c>
      <c r="N44" s="53" t="n">
        <f aca="false">IF(OR($A44&gt;TOMATO_BED_CAP,$B44&gt;CARROT_BED_CAP,N$4&gt;MESCLUN_BED_CAP,$A44+$B44+N$4&gt;TOTAL_BEDS_AVAILABLE,($D44+N$5)&gt;TOTAL_LABOR_HOURS_CAP,MAX(0,($D44+N$5)-PERMANENT_FIELD_LABOR_HOURS)&gt;TEMP_HOURS_CAP),"",$C44+N$6-MIN(($D44+N$5),PERMANENT_FIELD_LABOR_HOURS)*PERMANENT_HOURLY_RATE-MAX(0,($D44+N$5)-PERMANENT_FIELD_LABOR_HOURS)*TEMP_HOURLY_RATE-FIXED_SEASON_COST)</f>
        <v>-5140.01597251591</v>
      </c>
      <c r="O44" s="53" t="n">
        <f aca="false">IF(OR($A44&gt;TOMATO_BED_CAP,$B44&gt;CARROT_BED_CAP,O$4&gt;MESCLUN_BED_CAP,$A44+$B44+O$4&gt;TOTAL_BEDS_AVAILABLE,($D44+O$5)&gt;TOTAL_LABOR_HOURS_CAP,MAX(0,($D44+O$5)-PERMANENT_FIELD_LABOR_HOURS)&gt;TEMP_HOURS_CAP),"",$C44+O$6-MIN(($D44+O$5),PERMANENT_FIELD_LABOR_HOURS)*PERMANENT_HOURLY_RATE-MAX(0,($D44+O$5)-PERMANENT_FIELD_LABOR_HOURS)*TEMP_HOURLY_RATE-FIXED_SEASON_COST)</f>
        <v>-4279.90827576115</v>
      </c>
      <c r="P44" s="53" t="n">
        <f aca="false">IF(OR($A44&gt;TOMATO_BED_CAP,$B44&gt;CARROT_BED_CAP,P$4&gt;MESCLUN_BED_CAP,$A44+$B44+P$4&gt;TOTAL_BEDS_AVAILABLE,($D44+P$5)&gt;TOTAL_LABOR_HOURS_CAP,MAX(0,($D44+P$5)-PERMANENT_FIELD_LABOR_HOURS)&gt;TEMP_HOURS_CAP),"",$C44+P$6-MIN(($D44+P$5),PERMANENT_FIELD_LABOR_HOURS)*PERMANENT_HOURLY_RATE-MAX(0,($D44+P$5)-PERMANENT_FIELD_LABOR_HOURS)*TEMP_HOURLY_RATE-FIXED_SEASON_COST)</f>
        <v>-3442.71935590973</v>
      </c>
      <c r="Q44" s="53" t="n">
        <f aca="false">IF(OR($A44&gt;TOMATO_BED_CAP,$B44&gt;CARROT_BED_CAP,Q$4&gt;MESCLUN_BED_CAP,$A44+$B44+Q$4&gt;TOTAL_BEDS_AVAILABLE,($D44+Q$5)&gt;TOTAL_LABOR_HOURS_CAP,MAX(0,($D44+Q$5)-PERMANENT_FIELD_LABOR_HOURS)&gt;TEMP_HOURS_CAP),"",$C44+Q$6-MIN(($D44+Q$5),PERMANENT_FIELD_LABOR_HOURS)*PERMANENT_HOURLY_RATE-MAX(0,($D44+Q$5)-PERMANENT_FIELD_LABOR_HOURS)*TEMP_HOURLY_RATE-FIXED_SEASON_COST)</f>
        <v>-2628.87219921183</v>
      </c>
      <c r="R44" s="53" t="n">
        <f aca="false">IF(OR($A44&gt;TOMATO_BED_CAP,$B44&gt;CARROT_BED_CAP,R$4&gt;MESCLUN_BED_CAP,$A44+$B44+R$4&gt;TOTAL_BEDS_AVAILABLE,($D44+R$5)&gt;TOTAL_LABOR_HOURS_CAP,MAX(0,($D44+R$5)-PERMANENT_FIELD_LABOR_HOURS)&gt;TEMP_HOURS_CAP),"",$C44+R$6-MIN(($D44+R$5),PERMANENT_FIELD_LABOR_HOURS)*PERMANENT_HOURLY_RATE-MAX(0,($D44+R$5)-PERMANENT_FIELD_LABOR_HOURS)*TEMP_HOURLY_RATE-FIXED_SEASON_COST)</f>
        <v>-1838.79678551503</v>
      </c>
      <c r="S44" s="53" t="n">
        <f aca="false">IF(OR($A44&gt;TOMATO_BED_CAP,$B44&gt;CARROT_BED_CAP,S$4&gt;MESCLUN_BED_CAP,$A44+$B44+S$4&gt;TOTAL_BEDS_AVAILABLE,($D44+S$5)&gt;TOTAL_LABOR_HOURS_CAP,MAX(0,($D44+S$5)-PERMANENT_FIELD_LABOR_HOURS)&gt;TEMP_HOURS_CAP),"",$C44+S$6-MIN(($D44+S$5),PERMANENT_FIELD_LABOR_HOURS)*PERMANENT_HOURLY_RATE-MAX(0,($D44+S$5)-PERMANENT_FIELD_LABOR_HOURS)*TEMP_HOURLY_RATE-FIXED_SEASON_COST)</f>
        <v>-1072.93019701258</v>
      </c>
      <c r="T44" s="53" t="n">
        <f aca="false">IF(OR($A44&gt;TOMATO_BED_CAP,$B44&gt;CARROT_BED_CAP,T$4&gt;MESCLUN_BED_CAP,$A44+$B44+T$4&gt;TOTAL_BEDS_AVAILABLE,($D44+T$5)&gt;TOTAL_LABOR_HOURS_CAP,MAX(0,($D44+T$5)-PERMANENT_FIELD_LABOR_HOURS)&gt;TEMP_HOURS_CAP),"",$C44+T$6-MIN(($D44+T$5),PERMANENT_FIELD_LABOR_HOURS)*PERMANENT_HOURLY_RATE-MAX(0,($D44+T$5)-PERMANENT_FIELD_LABOR_HOURS)*TEMP_HOURLY_RATE-FIXED_SEASON_COST)</f>
        <v>-331.716728617736</v>
      </c>
      <c r="U44" s="53" t="n">
        <f aca="false">IF(OR($A44&gt;TOMATO_BED_CAP,$B44&gt;CARROT_BED_CAP,U$4&gt;MESCLUN_BED_CAP,$A44+$B44+U$4&gt;TOTAL_BEDS_AVAILABLE,($D44+U$5)&gt;TOTAL_LABOR_HOURS_CAP,MAX(0,($D44+U$5)-PERMANENT_FIELD_LABOR_HOURS)&gt;TEMP_HOURS_CAP),"",$C44+U$6-MIN(($D44+U$5),PERMANENT_FIELD_LABOR_HOURS)*PERMANENT_HOURLY_RATE-MAX(0,($D44+U$5)-PERMANENT_FIELD_LABOR_HOURS)*TEMP_HOURLY_RATE-FIXED_SEASON_COST)</f>
        <v>384.392000012369</v>
      </c>
      <c r="V44" s="53" t="n">
        <f aca="false">IF(OR($A44&gt;TOMATO_BED_CAP,$B44&gt;CARROT_BED_CAP,V$4&gt;MESCLUN_BED_CAP,$A44+$B44+V$4&gt;TOTAL_BEDS_AVAILABLE,($D44+V$5)&gt;TOTAL_LABOR_HOURS_CAP,MAX(0,($D44+V$5)-PERMANENT_FIELD_LABOR_HOURS)&gt;TEMP_HOURS_CAP),"",$C44+V$6-MIN(($D44+V$5),PERMANENT_FIELD_LABOR_HOURS)*PERMANENT_HOURLY_RATE-MAX(0,($D44+V$5)-PERMANENT_FIELD_LABOR_HOURS)*TEMP_HOURLY_RATE-FIXED_SEASON_COST)</f>
        <v>1074.93693077916</v>
      </c>
      <c r="W44" s="53" t="n">
        <f aca="false">IF(OR($A44&gt;TOMATO_BED_CAP,$B44&gt;CARROT_BED_CAP,W$4&gt;MESCLUN_BED_CAP,$A44+$B44+W$4&gt;TOTAL_BEDS_AVAILABLE,($D44+W$5)&gt;TOTAL_LABOR_HOURS_CAP,MAX(0,($D44+W$5)-PERMANENT_FIELD_LABOR_HOURS)&gt;TEMP_HOURS_CAP),"",$C44+W$6-MIN(($D44+W$5),PERMANENT_FIELD_LABOR_HOURS)*PERMANENT_HOURLY_RATE-MAX(0,($D44+W$5)-PERMANENT_FIELD_LABOR_HOURS)*TEMP_HOURLY_RATE-FIXED_SEASON_COST)</f>
        <v>1739.45145174722</v>
      </c>
      <c r="X44" s="53" t="n">
        <f aca="false">IF(OR($A44&gt;TOMATO_BED_CAP,$B44&gt;CARROT_BED_CAP,X$4&gt;MESCLUN_BED_CAP,$A44+$B44+X$4&gt;TOTAL_BEDS_AVAILABLE,($D44+X$5)&gt;TOTAL_LABOR_HOURS_CAP,MAX(0,($D44+X$5)-PERMANENT_FIELD_LABOR_HOURS)&gt;TEMP_HOURS_CAP),"",$C44+X$6-MIN(($D44+X$5),PERMANENT_FIELD_LABOR_HOURS)*PERMANENT_HOURLY_RATE-MAX(0,($D44+X$5)-PERMANENT_FIELD_LABOR_HOURS)*TEMP_HOURLY_RATE-FIXED_SEASON_COST)</f>
        <v>2377.46128002615</v>
      </c>
      <c r="Y44" s="53" t="n">
        <f aca="false">IF(OR($A44&gt;TOMATO_BED_CAP,$B44&gt;CARROT_BED_CAP,Y$4&gt;MESCLUN_BED_CAP,$A44+$B44+Y$4&gt;TOTAL_BEDS_AVAILABLE,($D44+Y$5)&gt;TOTAL_LABOR_HOURS_CAP,MAX(0,($D44+Y$5)-PERMANENT_FIELD_LABOR_HOURS)&gt;TEMP_HOURS_CAP),"",$C44+Y$6-MIN(($D44+Y$5),PERMANENT_FIELD_LABOR_HOURS)*PERMANENT_HOURLY_RATE-MAX(0,($D44+Y$5)-PERMANENT_FIELD_LABOR_HOURS)*TEMP_HOURLY_RATE-FIXED_SEASON_COST)</f>
        <v>2988.48434290481</v>
      </c>
      <c r="Z44" s="53" t="n">
        <f aca="false">IF(OR($A44&gt;TOMATO_BED_CAP,$B44&gt;CARROT_BED_CAP,Z$4&gt;MESCLUN_BED_CAP,$A44+$B44+Z$4&gt;TOTAL_BEDS_AVAILABLE,($D44+Z$5)&gt;TOTAL_LABOR_HOURS_CAP,MAX(0,($D44+Z$5)-PERMANENT_FIELD_LABOR_HOURS)&gt;TEMP_HOURS_CAP),"",$C44+Z$6-MIN(($D44+Z$5),PERMANENT_FIELD_LABOR_HOURS)*PERMANENT_HOURLY_RATE-MAX(0,($D44+Z$5)-PERMANENT_FIELD_LABOR_HOURS)*TEMP_HOURLY_RATE-FIXED_SEASON_COST)</f>
        <v>3572.03065721253</v>
      </c>
      <c r="AA44" s="53" t="n">
        <f aca="false">IF(OR($A44&gt;TOMATO_BED_CAP,$B44&gt;CARROT_BED_CAP,AA$4&gt;MESCLUN_BED_CAP,$A44+$B44+AA$4&gt;TOTAL_BEDS_AVAILABLE,($D44+AA$5)&gt;TOTAL_LABOR_HOURS_CAP,MAX(0,($D44+AA$5)-PERMANENT_FIELD_LABOR_HOURS)&gt;TEMP_HOURS_CAP),"",$C44+AA$6-MIN(($D44+AA$5),PERMANENT_FIELD_LABOR_HOURS)*PERMANENT_HOURLY_RATE-MAX(0,($D44+AA$5)-PERMANENT_FIELD_LABOR_HOURS)*TEMP_HOURLY_RATE-FIXED_SEASON_COST)</f>
        <v>4127.60220688146</v>
      </c>
      <c r="AB44" s="53" t="n">
        <f aca="false">IF(OR($A44&gt;TOMATO_BED_CAP,$B44&gt;CARROT_BED_CAP,AB$4&gt;MESCLUN_BED_CAP,$A44+$B44+AB$4&gt;TOTAL_BEDS_AVAILABLE,($D44+AB$5)&gt;TOTAL_LABOR_HOURS_CAP,MAX(0,($D44+AB$5)-PERMANENT_FIELD_LABOR_HOURS)&gt;TEMP_HOURS_CAP),"",$C44+AB$6-MIN(($D44+AB$5),PERMANENT_FIELD_LABOR_HOURS)*PERMANENT_HOURLY_RATE-MAX(0,($D44+AB$5)-PERMANENT_FIELD_LABOR_HOURS)*TEMP_HOURLY_RATE-FIXED_SEASON_COST)</f>
        <v>4654.69281868402</v>
      </c>
      <c r="AC44" s="53" t="n">
        <f aca="false">IF(OR($A44&gt;TOMATO_BED_CAP,$B44&gt;CARROT_BED_CAP,AC$4&gt;MESCLUN_BED_CAP,$A44+$B44+AC$4&gt;TOTAL_BEDS_AVAILABLE,($D44+AC$5)&gt;TOTAL_LABOR_HOURS_CAP,MAX(0,($D44+AC$5)-PERMANENT_FIELD_LABOR_HOURS)&gt;TEMP_HOURS_CAP),"",$C44+AC$6-MIN(($D44+AC$5),PERMANENT_FIELD_LABOR_HOURS)*PERMANENT_HOURLY_RATE-MAX(0,($D44+AC$5)-PERMANENT_FIELD_LABOR_HOURS)*TEMP_HOURLY_RATE-FIXED_SEASON_COST)</f>
        <v>5152.78803611893</v>
      </c>
      <c r="AD44" s="53" t="n">
        <f aca="false">IF(OR($A44&gt;TOMATO_BED_CAP,$B44&gt;CARROT_BED_CAP,AD$4&gt;MESCLUN_BED_CAP,$A44+$B44+AD$4&gt;TOTAL_BEDS_AVAILABLE,($D44+AD$5)&gt;TOTAL_LABOR_HOURS_CAP,MAX(0,($D44+AD$5)-PERMANENT_FIELD_LABOR_HOURS)&gt;TEMP_HOURS_CAP),"",$C44+AD$6-MIN(($D44+AD$5),PERMANENT_FIELD_LABOR_HOURS)*PERMANENT_HOURLY_RATE-MAX(0,($D44+AD$5)-PERMANENT_FIELD_LABOR_HOURS)*TEMP_HOURLY_RATE-FIXED_SEASON_COST)</f>
        <v>5621.36499141888</v>
      </c>
      <c r="AE44" s="53" t="n">
        <f aca="false">IF(OR($A44&gt;TOMATO_BED_CAP,$B44&gt;CARROT_BED_CAP,AE$4&gt;MESCLUN_BED_CAP,$A44+$B44+AE$4&gt;TOTAL_BEDS_AVAILABLE,($D44+AE$5)&gt;TOTAL_LABOR_HOURS_CAP,MAX(0,($D44+AE$5)-PERMANENT_FIELD_LABOR_HOURS)&gt;TEMP_HOURS_CAP),"",$C44+AE$6-MIN(($D44+AE$5),PERMANENT_FIELD_LABOR_HOURS)*PERMANENT_HOURLY_RATE-MAX(0,($D44+AE$5)-PERMANENT_FIELD_LABOR_HOURS)*TEMP_HOURLY_RATE-FIXED_SEASON_COST)</f>
        <v>6059.89227565279</v>
      </c>
      <c r="AF44" s="53" t="n">
        <f aca="false">IF(OR($A44&gt;TOMATO_BED_CAP,$B44&gt;CARROT_BED_CAP,AF$4&gt;MESCLUN_BED_CAP,$A44+$B44+AF$4&gt;TOTAL_BEDS_AVAILABLE,($D44+AF$5)&gt;TOTAL_LABOR_HOURS_CAP,MAX(0,($D44+AF$5)-PERMANENT_FIELD_LABOR_HOURS)&gt;TEMP_HOURS_CAP),"",$C44+AF$6-MIN(($D44+AF$5),PERMANENT_FIELD_LABOR_HOURS)*PERMANENT_HOURLY_RATE-MAX(0,($D44+AF$5)-PERMANENT_FIELD_LABOR_HOURS)*TEMP_HOURLY_RATE-FIXED_SEASON_COST)</f>
        <v>6467.82980689473</v>
      </c>
      <c r="AG44" s="53" t="n">
        <f aca="false">IF(OR($A44&gt;TOMATO_BED_CAP,$B44&gt;CARROT_BED_CAP,AG$4&gt;MESCLUN_BED_CAP,$A44+$B44+AG$4&gt;TOTAL_BEDS_AVAILABLE,($D44+AG$5)&gt;TOTAL_LABOR_HOURS_CAP,MAX(0,($D44+AG$5)-PERMANENT_FIELD_LABOR_HOURS)&gt;TEMP_HOURS_CAP),"",$C44+AG$6-MIN(($D44+AG$5),PERMANENT_FIELD_LABOR_HOURS)*PERMANENT_HOURLY_RATE-MAX(0,($D44+AG$5)-PERMANENT_FIELD_LABOR_HOURS)*TEMP_HOURLY_RATE-FIXED_SEASON_COST)</f>
        <v>6844.62869643175</v>
      </c>
      <c r="AH44" s="53" t="n">
        <f aca="false">IF(OR($A44&gt;TOMATO_BED_CAP,$B44&gt;CARROT_BED_CAP,AH$4&gt;MESCLUN_BED_CAP,$A44+$B44+AH$4&gt;TOTAL_BEDS_AVAILABLE,($D44+AH$5)&gt;TOTAL_LABOR_HOURS_CAP,MAX(0,($D44+AH$5)-PERMANENT_FIELD_LABOR_HOURS)&gt;TEMP_HOURS_CAP),"",$C44+AH$6-MIN(($D44+AH$5),PERMANENT_FIELD_LABOR_HOURS)*PERMANENT_HOURLY_RATE-MAX(0,($D44+AH$5)-PERMANENT_FIELD_LABOR_HOURS)*TEMP_HOURLY_RATE-FIXED_SEASON_COST)</f>
        <v>7189.73111298197</v>
      </c>
      <c r="AI44" s="53" t="n">
        <f aca="false">IF(OR($A44&gt;TOMATO_BED_CAP,$B44&gt;CARROT_BED_CAP,AI$4&gt;MESCLUN_BED_CAP,$A44+$B44+AI$4&gt;TOTAL_BEDS_AVAILABLE,($D44+AI$5)&gt;TOTAL_LABOR_HOURS_CAP,MAX(0,($D44+AI$5)-PERMANENT_FIELD_LABOR_HOURS)&gt;TEMP_HOURS_CAP),"",$C44+AI$6-MIN(($D44+AI$5),PERMANENT_FIELD_LABOR_HOURS)*PERMANENT_HOURLY_RATE-MAX(0,($D44+AI$5)-PERMANENT_FIELD_LABOR_HOURS)*TEMP_HOURLY_RATE-FIXED_SEASON_COST)</f>
        <v>7502.57014489423</v>
      </c>
      <c r="AJ44" s="53" t="n">
        <f aca="false">IF(OR($A44&gt;TOMATO_BED_CAP,$B44&gt;CARROT_BED_CAP,AJ$4&gt;MESCLUN_BED_CAP,$A44+$B44+AJ$4&gt;TOTAL_BEDS_AVAILABLE,($D44+AJ$5)&gt;TOTAL_LABOR_HOURS_CAP,MAX(0,($D44+AJ$5)-PERMANENT_FIELD_LABOR_HOURS)&gt;TEMP_HOURS_CAP),"",$C44+AJ$6-MIN(($D44+AJ$5),PERMANENT_FIELD_LABOR_HOURS)*PERMANENT_HOURLY_RATE-MAX(0,($D44+AJ$5)-PERMANENT_FIELD_LABOR_HOURS)*TEMP_HOURLY_RATE-FIXED_SEASON_COST)</f>
        <v>7782.56966029998</v>
      </c>
    </row>
    <row r="45" customFormat="false" ht="15" hidden="false" customHeight="false" outlineLevel="0" collapsed="false">
      <c r="A45" s="21" t="n">
        <f aca="false">INT((ROW()-ROW($A$8))/(20+1))</f>
        <v>1</v>
      </c>
      <c r="B45" s="21" t="n">
        <f aca="false">MOD(ROW()-ROW($A$8),20+1)</f>
        <v>16</v>
      </c>
      <c r="C45" s="13" t="n">
        <f aca="false">A45*(TOMATO_REVENUE_PER_BED-TOMATO_FERTILIZER_PER_BED)+B45*(CARROT_REVENUE_PER_BED-CARROT_FERTILIZER_PER_BED)</f>
        <v>34384</v>
      </c>
      <c r="D45" s="14" t="n">
        <f aca="false">INDEX(TOMATO_SCHED_LABOR_HRS,A45+1)+INDEX(CARROT_SCHED_LABOR_HRS,B45+1)</f>
        <v>811.277672837903</v>
      </c>
      <c r="E45" s="13" t="n">
        <f aca="false">IF(COUNT(F45:AJ45)=0,"",MAX(F45:AJ45))</f>
        <v>8381.00889440655</v>
      </c>
      <c r="F45" s="53" t="n">
        <f aca="false">IF(OR($A45&gt;TOMATO_BED_CAP,$B45&gt;CARROT_BED_CAP,F$4&gt;MESCLUN_BED_CAP,$A45+$B45+F$4&gt;TOTAL_BEDS_AVAILABLE,($D45+F$5)&gt;TOTAL_LABOR_HOURS_CAP,MAX(0,($D45+F$5)-PERMANENT_FIELD_LABOR_HOURS)&gt;TEMP_HOURS_CAP),"",$C45+F$6-MIN(($D45+F$5),PERMANENT_FIELD_LABOR_HOURS)*PERMANENT_HOURLY_RATE-MAX(0,($D45+F$5)-PERMANENT_FIELD_LABOR_HOURS)*TEMP_HOURLY_RATE-FIXED_SEASON_COST)</f>
        <v>-12198.980400466</v>
      </c>
      <c r="G45" s="53" t="n">
        <f aca="false">IF(OR($A45&gt;TOMATO_BED_CAP,$B45&gt;CARROT_BED_CAP,G$4&gt;MESCLUN_BED_CAP,$A45+$B45+G$4&gt;TOTAL_BEDS_AVAILABLE,($D45+G$5)&gt;TOTAL_LABOR_HOURS_CAP,MAX(0,($D45+G$5)-PERMANENT_FIELD_LABOR_HOURS)&gt;TEMP_HOURS_CAP),"",$C45+G$6-MIN(($D45+G$5),PERMANENT_FIELD_LABOR_HOURS)*PERMANENT_HOURLY_RATE-MAX(0,($D45+G$5)-PERMANENT_FIELD_LABOR_HOURS)*TEMP_HOURLY_RATE-FIXED_SEASON_COST)</f>
        <v>-11169.945400466</v>
      </c>
      <c r="H45" s="53" t="n">
        <f aca="false">IF(OR($A45&gt;TOMATO_BED_CAP,$B45&gt;CARROT_BED_CAP,H$4&gt;MESCLUN_BED_CAP,$A45+$B45+H$4&gt;TOTAL_BEDS_AVAILABLE,($D45+H$5)&gt;TOTAL_LABOR_HOURS_CAP,MAX(0,($D45+H$5)-PERMANENT_FIELD_LABOR_HOURS)&gt;TEMP_HOURS_CAP),"",$C45+H$6-MIN(($D45+H$5),PERMANENT_FIELD_LABOR_HOURS)*PERMANENT_HOURLY_RATE-MAX(0,($D45+H$5)-PERMANENT_FIELD_LABOR_HOURS)*TEMP_HOURLY_RATE-FIXED_SEASON_COST)</f>
        <v>-10160.684525466</v>
      </c>
      <c r="I45" s="53" t="n">
        <f aca="false">IF(OR($A45&gt;TOMATO_BED_CAP,$B45&gt;CARROT_BED_CAP,I$4&gt;MESCLUN_BED_CAP,$A45+$B45+I$4&gt;TOTAL_BEDS_AVAILABLE,($D45+I$5)&gt;TOTAL_LABOR_HOURS_CAP,MAX(0,($D45+I$5)-PERMANENT_FIELD_LABOR_HOURS)&gt;TEMP_HOURS_CAP),"",$C45+I$6-MIN(($D45+I$5),PERMANENT_FIELD_LABOR_HOURS)*PERMANENT_HOURLY_RATE-MAX(0,($D45+I$5)-PERMANENT_FIELD_LABOR_HOURS)*TEMP_HOURLY_RATE-FIXED_SEASON_COST)</f>
        <v>-9171.56854030975</v>
      </c>
      <c r="J45" s="53" t="n">
        <f aca="false">IF(OR($A45&gt;TOMATO_BED_CAP,$B45&gt;CARROT_BED_CAP,J$4&gt;MESCLUN_BED_CAP,$A45+$B45+J$4&gt;TOTAL_BEDS_AVAILABLE,($D45+J$5)&gt;TOTAL_LABOR_HOURS_CAP,MAX(0,($D45+J$5)-PERMANENT_FIELD_LABOR_HOURS)&gt;TEMP_HOURS_CAP),"",$C45+J$6-MIN(($D45+J$5),PERMANENT_FIELD_LABOR_HOURS)*PERMANENT_HOURLY_RATE-MAX(0,($D45+J$5)-PERMANENT_FIELD_LABOR_HOURS)*TEMP_HOURLY_RATE-FIXED_SEASON_COST)</f>
        <v>-8202.97438925506</v>
      </c>
      <c r="K45" s="53" t="n">
        <f aca="false">IF(OR($A45&gt;TOMATO_BED_CAP,$B45&gt;CARROT_BED_CAP,K$4&gt;MESCLUN_BED_CAP,$A45+$B45+K$4&gt;TOTAL_BEDS_AVAILABLE,($D45+K$5)&gt;TOTAL_LABOR_HOURS_CAP,MAX(0,($D45+K$5)-PERMANENT_FIELD_LABOR_HOURS)&gt;TEMP_HOURS_CAP),"",$C45+K$6-MIN(($D45+K$5),PERMANENT_FIELD_LABOR_HOURS)*PERMANENT_HOURLY_RATE-MAX(0,($D45+K$5)-PERMANENT_FIELD_LABOR_HOURS)*TEMP_HOURLY_RATE-FIXED_SEASON_COST)</f>
        <v>-7255.28529252715</v>
      </c>
      <c r="L45" s="53" t="n">
        <f aca="false">IF(OR($A45&gt;TOMATO_BED_CAP,$B45&gt;CARROT_BED_CAP,L$4&gt;MESCLUN_BED_CAP,$A45+$B45+L$4&gt;TOTAL_BEDS_AVAILABLE,($D45+L$5)&gt;TOTAL_LABOR_HOURS_CAP,MAX(0,($D45+L$5)-PERMANENT_FIELD_LABOR_HOURS)&gt;TEMP_HOURS_CAP),"",$C45+L$6-MIN(($D45+L$5),PERMANENT_FIELD_LABOR_HOURS)*PERMANENT_HOURLY_RATE-MAX(0,($D45+L$5)-PERMANENT_FIELD_LABOR_HOURS)*TEMP_HOURLY_RATE-FIXED_SEASON_COST)</f>
        <v>-6328.8908443203</v>
      </c>
      <c r="M45" s="53" t="n">
        <f aca="false">IF(OR($A45&gt;TOMATO_BED_CAP,$B45&gt;CARROT_BED_CAP,M$4&gt;MESCLUN_BED_CAP,$A45+$B45+M$4&gt;TOTAL_BEDS_AVAILABLE,($D45+M$5)&gt;TOTAL_LABOR_HOURS_CAP,MAX(0,($D45+M$5)-PERMANENT_FIELD_LABOR_HOURS)&gt;TEMP_HOURS_CAP),"",$C45+M$6-MIN(($D45+M$5),PERMANENT_FIELD_LABOR_HOURS)*PERMANENT_HOURLY_RATE-MAX(0,($D45+M$5)-PERMANENT_FIELD_LABOR_HOURS)*TEMP_HOURLY_RATE-FIXED_SEASON_COST)</f>
        <v>-5424.18711226889</v>
      </c>
      <c r="N45" s="53" t="n">
        <f aca="false">IF(OR($A45&gt;TOMATO_BED_CAP,$B45&gt;CARROT_BED_CAP,N$4&gt;MESCLUN_BED_CAP,$A45+$B45+N$4&gt;TOTAL_BEDS_AVAILABLE,($D45+N$5)&gt;TOTAL_LABOR_HOURS_CAP,MAX(0,($D45+N$5)-PERMANENT_FIELD_LABOR_HOURS)&gt;TEMP_HOURS_CAP),"",$C45+N$6-MIN(($D45+N$5),PERMANENT_FIELD_LABOR_HOURS)*PERMANENT_HOURLY_RATE-MAX(0,($D45+N$5)-PERMANENT_FIELD_LABOR_HOURS)*TEMP_HOURLY_RATE-FIXED_SEASON_COST)</f>
        <v>-4541.57673840935</v>
      </c>
      <c r="O45" s="53" t="n">
        <f aca="false">IF(OR($A45&gt;TOMATO_BED_CAP,$B45&gt;CARROT_BED_CAP,O$4&gt;MESCLUN_BED_CAP,$A45+$B45+O$4&gt;TOTAL_BEDS_AVAILABLE,($D45+O$5)&gt;TOTAL_LABOR_HOURS_CAP,MAX(0,($D45+O$5)-PERMANENT_FIELD_LABOR_HOURS)&gt;TEMP_HOURS_CAP),"",$C45+O$6-MIN(($D45+O$5),PERMANENT_FIELD_LABOR_HOURS)*PERMANENT_HOURLY_RATE-MAX(0,($D45+O$5)-PERMANENT_FIELD_LABOR_HOURS)*TEMP_HOURLY_RATE-FIXED_SEASON_COST)</f>
        <v>-3681.46904165459</v>
      </c>
      <c r="P45" s="53" t="n">
        <f aca="false">IF(OR($A45&gt;TOMATO_BED_CAP,$B45&gt;CARROT_BED_CAP,P$4&gt;MESCLUN_BED_CAP,$A45+$B45+P$4&gt;TOTAL_BEDS_AVAILABLE,($D45+P$5)&gt;TOTAL_LABOR_HOURS_CAP,MAX(0,($D45+P$5)-PERMANENT_FIELD_LABOR_HOURS)&gt;TEMP_HOURS_CAP),"",$C45+P$6-MIN(($D45+P$5),PERMANENT_FIELD_LABOR_HOURS)*PERMANENT_HOURLY_RATE-MAX(0,($D45+P$5)-PERMANENT_FIELD_LABOR_HOURS)*TEMP_HOURLY_RATE-FIXED_SEASON_COST)</f>
        <v>-2844.28012180317</v>
      </c>
      <c r="Q45" s="53" t="n">
        <f aca="false">IF(OR($A45&gt;TOMATO_BED_CAP,$B45&gt;CARROT_BED_CAP,Q$4&gt;MESCLUN_BED_CAP,$A45+$B45+Q$4&gt;TOTAL_BEDS_AVAILABLE,($D45+Q$5)&gt;TOTAL_LABOR_HOURS_CAP,MAX(0,($D45+Q$5)-PERMANENT_FIELD_LABOR_HOURS)&gt;TEMP_HOURS_CAP),"",$C45+Q$6-MIN(($D45+Q$5),PERMANENT_FIELD_LABOR_HOURS)*PERMANENT_HOURLY_RATE-MAX(0,($D45+Q$5)-PERMANENT_FIELD_LABOR_HOURS)*TEMP_HOURLY_RATE-FIXED_SEASON_COST)</f>
        <v>-2030.43296510527</v>
      </c>
      <c r="R45" s="53" t="n">
        <f aca="false">IF(OR($A45&gt;TOMATO_BED_CAP,$B45&gt;CARROT_BED_CAP,R$4&gt;MESCLUN_BED_CAP,$A45+$B45+R$4&gt;TOTAL_BEDS_AVAILABLE,($D45+R$5)&gt;TOTAL_LABOR_HOURS_CAP,MAX(0,($D45+R$5)-PERMANENT_FIELD_LABOR_HOURS)&gt;TEMP_HOURS_CAP),"",$C45+R$6-MIN(($D45+R$5),PERMANENT_FIELD_LABOR_HOURS)*PERMANENT_HOURLY_RATE-MAX(0,($D45+R$5)-PERMANENT_FIELD_LABOR_HOURS)*TEMP_HOURLY_RATE-FIXED_SEASON_COST)</f>
        <v>-1240.35755140847</v>
      </c>
      <c r="S45" s="53" t="n">
        <f aca="false">IF(OR($A45&gt;TOMATO_BED_CAP,$B45&gt;CARROT_BED_CAP,S$4&gt;MESCLUN_BED_CAP,$A45+$B45+S$4&gt;TOTAL_BEDS_AVAILABLE,($D45+S$5)&gt;TOTAL_LABOR_HOURS_CAP,MAX(0,($D45+S$5)-PERMANENT_FIELD_LABOR_HOURS)&gt;TEMP_HOURS_CAP),"",$C45+S$6-MIN(($D45+S$5),PERMANENT_FIELD_LABOR_HOURS)*PERMANENT_HOURLY_RATE-MAX(0,($D45+S$5)-PERMANENT_FIELD_LABOR_HOURS)*TEMP_HOURLY_RATE-FIXED_SEASON_COST)</f>
        <v>-474.49096290602</v>
      </c>
      <c r="T45" s="53" t="n">
        <f aca="false">IF(OR($A45&gt;TOMATO_BED_CAP,$B45&gt;CARROT_BED_CAP,T$4&gt;MESCLUN_BED_CAP,$A45+$B45+T$4&gt;TOTAL_BEDS_AVAILABLE,($D45+T$5)&gt;TOTAL_LABOR_HOURS_CAP,MAX(0,($D45+T$5)-PERMANENT_FIELD_LABOR_HOURS)&gt;TEMP_HOURS_CAP),"",$C45+T$6-MIN(($D45+T$5),PERMANENT_FIELD_LABOR_HOURS)*PERMANENT_HOURLY_RATE-MAX(0,($D45+T$5)-PERMANENT_FIELD_LABOR_HOURS)*TEMP_HOURLY_RATE-FIXED_SEASON_COST)</f>
        <v>266.722505488826</v>
      </c>
      <c r="U45" s="53" t="n">
        <f aca="false">IF(OR($A45&gt;TOMATO_BED_CAP,$B45&gt;CARROT_BED_CAP,U$4&gt;MESCLUN_BED_CAP,$A45+$B45+U$4&gt;TOTAL_BEDS_AVAILABLE,($D45+U$5)&gt;TOTAL_LABOR_HOURS_CAP,MAX(0,($D45+U$5)-PERMANENT_FIELD_LABOR_HOURS)&gt;TEMP_HOURS_CAP),"",$C45+U$6-MIN(($D45+U$5),PERMANENT_FIELD_LABOR_HOURS)*PERMANENT_HOURLY_RATE-MAX(0,($D45+U$5)-PERMANENT_FIELD_LABOR_HOURS)*TEMP_HOURLY_RATE-FIXED_SEASON_COST)</f>
        <v>982.83123411893</v>
      </c>
      <c r="V45" s="53" t="n">
        <f aca="false">IF(OR($A45&gt;TOMATO_BED_CAP,$B45&gt;CARROT_BED_CAP,V$4&gt;MESCLUN_BED_CAP,$A45+$B45+V$4&gt;TOTAL_BEDS_AVAILABLE,($D45+V$5)&gt;TOTAL_LABOR_HOURS_CAP,MAX(0,($D45+V$5)-PERMANENT_FIELD_LABOR_HOURS)&gt;TEMP_HOURS_CAP),"",$C45+V$6-MIN(($D45+V$5),PERMANENT_FIELD_LABOR_HOURS)*PERMANENT_HOURLY_RATE-MAX(0,($D45+V$5)-PERMANENT_FIELD_LABOR_HOURS)*TEMP_HOURLY_RATE-FIXED_SEASON_COST)</f>
        <v>1673.37616488572</v>
      </c>
      <c r="W45" s="53" t="n">
        <f aca="false">IF(OR($A45&gt;TOMATO_BED_CAP,$B45&gt;CARROT_BED_CAP,W$4&gt;MESCLUN_BED_CAP,$A45+$B45+W$4&gt;TOTAL_BEDS_AVAILABLE,($D45+W$5)&gt;TOTAL_LABOR_HOURS_CAP,MAX(0,($D45+W$5)-PERMANENT_FIELD_LABOR_HOURS)&gt;TEMP_HOURS_CAP),"",$C45+W$6-MIN(($D45+W$5),PERMANENT_FIELD_LABOR_HOURS)*PERMANENT_HOURLY_RATE-MAX(0,($D45+W$5)-PERMANENT_FIELD_LABOR_HOURS)*TEMP_HOURLY_RATE-FIXED_SEASON_COST)</f>
        <v>2337.89068585378</v>
      </c>
      <c r="X45" s="53" t="n">
        <f aca="false">IF(OR($A45&gt;TOMATO_BED_CAP,$B45&gt;CARROT_BED_CAP,X$4&gt;MESCLUN_BED_CAP,$A45+$B45+X$4&gt;TOTAL_BEDS_AVAILABLE,($D45+X$5)&gt;TOTAL_LABOR_HOURS_CAP,MAX(0,($D45+X$5)-PERMANENT_FIELD_LABOR_HOURS)&gt;TEMP_HOURS_CAP),"",$C45+X$6-MIN(($D45+X$5),PERMANENT_FIELD_LABOR_HOURS)*PERMANENT_HOURLY_RATE-MAX(0,($D45+X$5)-PERMANENT_FIELD_LABOR_HOURS)*TEMP_HOURLY_RATE-FIXED_SEASON_COST)</f>
        <v>2975.90051413271</v>
      </c>
      <c r="Y45" s="53" t="n">
        <f aca="false">IF(OR($A45&gt;TOMATO_BED_CAP,$B45&gt;CARROT_BED_CAP,Y$4&gt;MESCLUN_BED_CAP,$A45+$B45+Y$4&gt;TOTAL_BEDS_AVAILABLE,($D45+Y$5)&gt;TOTAL_LABOR_HOURS_CAP,MAX(0,($D45+Y$5)-PERMANENT_FIELD_LABOR_HOURS)&gt;TEMP_HOURS_CAP),"",$C45+Y$6-MIN(($D45+Y$5),PERMANENT_FIELD_LABOR_HOURS)*PERMANENT_HOURLY_RATE-MAX(0,($D45+Y$5)-PERMANENT_FIELD_LABOR_HOURS)*TEMP_HOURLY_RATE-FIXED_SEASON_COST)</f>
        <v>3586.92357701137</v>
      </c>
      <c r="Z45" s="53" t="n">
        <f aca="false">IF(OR($A45&gt;TOMATO_BED_CAP,$B45&gt;CARROT_BED_CAP,Z$4&gt;MESCLUN_BED_CAP,$A45+$B45+Z$4&gt;TOTAL_BEDS_AVAILABLE,($D45+Z$5)&gt;TOTAL_LABOR_HOURS_CAP,MAX(0,($D45+Z$5)-PERMANENT_FIELD_LABOR_HOURS)&gt;TEMP_HOURS_CAP),"",$C45+Z$6-MIN(($D45+Z$5),PERMANENT_FIELD_LABOR_HOURS)*PERMANENT_HOURLY_RATE-MAX(0,($D45+Z$5)-PERMANENT_FIELD_LABOR_HOURS)*TEMP_HOURLY_RATE-FIXED_SEASON_COST)</f>
        <v>4170.46989131909</v>
      </c>
      <c r="AA45" s="53" t="n">
        <f aca="false">IF(OR($A45&gt;TOMATO_BED_CAP,$B45&gt;CARROT_BED_CAP,AA$4&gt;MESCLUN_BED_CAP,$A45+$B45+AA$4&gt;TOTAL_BEDS_AVAILABLE,($D45+AA$5)&gt;TOTAL_LABOR_HOURS_CAP,MAX(0,($D45+AA$5)-PERMANENT_FIELD_LABOR_HOURS)&gt;TEMP_HOURS_CAP),"",$C45+AA$6-MIN(($D45+AA$5),PERMANENT_FIELD_LABOR_HOURS)*PERMANENT_HOURLY_RATE-MAX(0,($D45+AA$5)-PERMANENT_FIELD_LABOR_HOURS)*TEMP_HOURLY_RATE-FIXED_SEASON_COST)</f>
        <v>4726.04144098802</v>
      </c>
      <c r="AB45" s="53" t="n">
        <f aca="false">IF(OR($A45&gt;TOMATO_BED_CAP,$B45&gt;CARROT_BED_CAP,AB$4&gt;MESCLUN_BED_CAP,$A45+$B45+AB$4&gt;TOTAL_BEDS_AVAILABLE,($D45+AB$5)&gt;TOTAL_LABOR_HOURS_CAP,MAX(0,($D45+AB$5)-PERMANENT_FIELD_LABOR_HOURS)&gt;TEMP_HOURS_CAP),"",$C45+AB$6-MIN(($D45+AB$5),PERMANENT_FIELD_LABOR_HOURS)*PERMANENT_HOURLY_RATE-MAX(0,($D45+AB$5)-PERMANENT_FIELD_LABOR_HOURS)*TEMP_HOURLY_RATE-FIXED_SEASON_COST)</f>
        <v>5253.13205279059</v>
      </c>
      <c r="AC45" s="53" t="n">
        <f aca="false">IF(OR($A45&gt;TOMATO_BED_CAP,$B45&gt;CARROT_BED_CAP,AC$4&gt;MESCLUN_BED_CAP,$A45+$B45+AC$4&gt;TOTAL_BEDS_AVAILABLE,($D45+AC$5)&gt;TOTAL_LABOR_HOURS_CAP,MAX(0,($D45+AC$5)-PERMANENT_FIELD_LABOR_HOURS)&gt;TEMP_HOURS_CAP),"",$C45+AC$6-MIN(($D45+AC$5),PERMANENT_FIELD_LABOR_HOURS)*PERMANENT_HOURLY_RATE-MAX(0,($D45+AC$5)-PERMANENT_FIELD_LABOR_HOURS)*TEMP_HOURLY_RATE-FIXED_SEASON_COST)</f>
        <v>5751.22727022549</v>
      </c>
      <c r="AD45" s="53" t="n">
        <f aca="false">IF(OR($A45&gt;TOMATO_BED_CAP,$B45&gt;CARROT_BED_CAP,AD$4&gt;MESCLUN_BED_CAP,$A45+$B45+AD$4&gt;TOTAL_BEDS_AVAILABLE,($D45+AD$5)&gt;TOTAL_LABOR_HOURS_CAP,MAX(0,($D45+AD$5)-PERMANENT_FIELD_LABOR_HOURS)&gt;TEMP_HOURS_CAP),"",$C45+AD$6-MIN(($D45+AD$5),PERMANENT_FIELD_LABOR_HOURS)*PERMANENT_HOURLY_RATE-MAX(0,($D45+AD$5)-PERMANENT_FIELD_LABOR_HOURS)*TEMP_HOURLY_RATE-FIXED_SEASON_COST)</f>
        <v>6219.80422552545</v>
      </c>
      <c r="AE45" s="53" t="n">
        <f aca="false">IF(OR($A45&gt;TOMATO_BED_CAP,$B45&gt;CARROT_BED_CAP,AE$4&gt;MESCLUN_BED_CAP,$A45+$B45+AE$4&gt;TOTAL_BEDS_AVAILABLE,($D45+AE$5)&gt;TOTAL_LABOR_HOURS_CAP,MAX(0,($D45+AE$5)-PERMANENT_FIELD_LABOR_HOURS)&gt;TEMP_HOURS_CAP),"",$C45+AE$6-MIN(($D45+AE$5),PERMANENT_FIELD_LABOR_HOURS)*PERMANENT_HOURLY_RATE-MAX(0,($D45+AE$5)-PERMANENT_FIELD_LABOR_HOURS)*TEMP_HOURLY_RATE-FIXED_SEASON_COST)</f>
        <v>6658.33150975935</v>
      </c>
      <c r="AF45" s="53" t="n">
        <f aca="false">IF(OR($A45&gt;TOMATO_BED_CAP,$B45&gt;CARROT_BED_CAP,AF$4&gt;MESCLUN_BED_CAP,$A45+$B45+AF$4&gt;TOTAL_BEDS_AVAILABLE,($D45+AF$5)&gt;TOTAL_LABOR_HOURS_CAP,MAX(0,($D45+AF$5)-PERMANENT_FIELD_LABOR_HOURS)&gt;TEMP_HOURS_CAP),"",$C45+AF$6-MIN(($D45+AF$5),PERMANENT_FIELD_LABOR_HOURS)*PERMANENT_HOURLY_RATE-MAX(0,($D45+AF$5)-PERMANENT_FIELD_LABOR_HOURS)*TEMP_HOURLY_RATE-FIXED_SEASON_COST)</f>
        <v>7066.2690410013</v>
      </c>
      <c r="AG45" s="53" t="n">
        <f aca="false">IF(OR($A45&gt;TOMATO_BED_CAP,$B45&gt;CARROT_BED_CAP,AG$4&gt;MESCLUN_BED_CAP,$A45+$B45+AG$4&gt;TOTAL_BEDS_AVAILABLE,($D45+AG$5)&gt;TOTAL_LABOR_HOURS_CAP,MAX(0,($D45+AG$5)-PERMANENT_FIELD_LABOR_HOURS)&gt;TEMP_HOURS_CAP),"",$C45+AG$6-MIN(($D45+AG$5),PERMANENT_FIELD_LABOR_HOURS)*PERMANENT_HOURLY_RATE-MAX(0,($D45+AG$5)-PERMANENT_FIELD_LABOR_HOURS)*TEMP_HOURLY_RATE-FIXED_SEASON_COST)</f>
        <v>7443.06793053831</v>
      </c>
      <c r="AH45" s="53" t="n">
        <f aca="false">IF(OR($A45&gt;TOMATO_BED_CAP,$B45&gt;CARROT_BED_CAP,AH$4&gt;MESCLUN_BED_CAP,$A45+$B45+AH$4&gt;TOTAL_BEDS_AVAILABLE,($D45+AH$5)&gt;TOTAL_LABOR_HOURS_CAP,MAX(0,($D45+AH$5)-PERMANENT_FIELD_LABOR_HOURS)&gt;TEMP_HOURS_CAP),"",$C45+AH$6-MIN(($D45+AH$5),PERMANENT_FIELD_LABOR_HOURS)*PERMANENT_HOURLY_RATE-MAX(0,($D45+AH$5)-PERMANENT_FIELD_LABOR_HOURS)*TEMP_HOURLY_RATE-FIXED_SEASON_COST)</f>
        <v>7788.17034708853</v>
      </c>
      <c r="AI45" s="53" t="n">
        <f aca="false">IF(OR($A45&gt;TOMATO_BED_CAP,$B45&gt;CARROT_BED_CAP,AI$4&gt;MESCLUN_BED_CAP,$A45+$B45+AI$4&gt;TOTAL_BEDS_AVAILABLE,($D45+AI$5)&gt;TOTAL_LABOR_HOURS_CAP,MAX(0,($D45+AI$5)-PERMANENT_FIELD_LABOR_HOURS)&gt;TEMP_HOURS_CAP),"",$C45+AI$6-MIN(($D45+AI$5),PERMANENT_FIELD_LABOR_HOURS)*PERMANENT_HOURLY_RATE-MAX(0,($D45+AI$5)-PERMANENT_FIELD_LABOR_HOURS)*TEMP_HOURLY_RATE-FIXED_SEASON_COST)</f>
        <v>8101.00937900079</v>
      </c>
      <c r="AJ45" s="53" t="n">
        <f aca="false">IF(OR($A45&gt;TOMATO_BED_CAP,$B45&gt;CARROT_BED_CAP,AJ$4&gt;MESCLUN_BED_CAP,$A45+$B45+AJ$4&gt;TOTAL_BEDS_AVAILABLE,($D45+AJ$5)&gt;TOTAL_LABOR_HOURS_CAP,MAX(0,($D45+AJ$5)-PERMANENT_FIELD_LABOR_HOURS)&gt;TEMP_HOURS_CAP),"",$C45+AJ$6-MIN(($D45+AJ$5),PERMANENT_FIELD_LABOR_HOURS)*PERMANENT_HOURLY_RATE-MAX(0,($D45+AJ$5)-PERMANENT_FIELD_LABOR_HOURS)*TEMP_HOURLY_RATE-FIXED_SEASON_COST)</f>
        <v>8381.00889440655</v>
      </c>
    </row>
    <row r="46" customFormat="false" ht="15" hidden="false" customHeight="false" outlineLevel="0" collapsed="false">
      <c r="A46" s="21" t="n">
        <f aca="false">INT((ROW()-ROW($A$8))/(20+1))</f>
        <v>1</v>
      </c>
      <c r="B46" s="21" t="n">
        <f aca="false">MOD(ROW()-ROW($A$8),20+1)</f>
        <v>17</v>
      </c>
      <c r="C46" s="13" t="n">
        <f aca="false">A46*(TOMATO_REVENUE_PER_BED-TOMATO_FERTILIZER_PER_BED)+B46*(CARROT_REVENUE_PER_BED-CARROT_FERTILIZER_PER_BED)</f>
        <v>36038</v>
      </c>
      <c r="D46" s="14" t="n">
        <f aca="false">INDEX(TOMATO_SCHED_LABOR_HRS,A46+1)+INDEX(CARROT_SCHED_LABOR_HRS,B46+1)</f>
        <v>874.714903075029</v>
      </c>
      <c r="E46" s="13" t="n">
        <f aca="false">IF(COUNT(F46:AJ46)=0,"",MAX(F46:AJ46))</f>
        <v>8933.73857749005</v>
      </c>
      <c r="F46" s="53" t="n">
        <f aca="false">IF(OR($A46&gt;TOMATO_BED_CAP,$B46&gt;CARROT_BED_CAP,F$4&gt;MESCLUN_BED_CAP,$A46+$B46+F$4&gt;TOTAL_BEDS_AVAILABLE,($D46+F$5)&gt;TOTAL_LABOR_HOURS_CAP,MAX(0,($D46+F$5)-PERMANENT_FIELD_LABOR_HOURS)&gt;TEMP_HOURS_CAP),"",$C46+F$6-MIN(($D46+F$5),PERMANENT_FIELD_LABOR_HOURS)*PERMANENT_HOURLY_RATE-MAX(0,($D46+F$5)-PERMANENT_FIELD_LABOR_HOURS)*TEMP_HOURLY_RATE-FIXED_SEASON_COST)</f>
        <v>-11646.2507173825</v>
      </c>
      <c r="G46" s="53" t="n">
        <f aca="false">IF(OR($A46&gt;TOMATO_BED_CAP,$B46&gt;CARROT_BED_CAP,G$4&gt;MESCLUN_BED_CAP,$A46+$B46+G$4&gt;TOTAL_BEDS_AVAILABLE,($D46+G$5)&gt;TOTAL_LABOR_HOURS_CAP,MAX(0,($D46+G$5)-PERMANENT_FIELD_LABOR_HOURS)&gt;TEMP_HOURS_CAP),"",$C46+G$6-MIN(($D46+G$5),PERMANENT_FIELD_LABOR_HOURS)*PERMANENT_HOURLY_RATE-MAX(0,($D46+G$5)-PERMANENT_FIELD_LABOR_HOURS)*TEMP_HOURLY_RATE-FIXED_SEASON_COST)</f>
        <v>-10617.2157173825</v>
      </c>
      <c r="H46" s="53" t="n">
        <f aca="false">IF(OR($A46&gt;TOMATO_BED_CAP,$B46&gt;CARROT_BED_CAP,H$4&gt;MESCLUN_BED_CAP,$A46+$B46+H$4&gt;TOTAL_BEDS_AVAILABLE,($D46+H$5)&gt;TOTAL_LABOR_HOURS_CAP,MAX(0,($D46+H$5)-PERMANENT_FIELD_LABOR_HOURS)&gt;TEMP_HOURS_CAP),"",$C46+H$6-MIN(($D46+H$5),PERMANENT_FIELD_LABOR_HOURS)*PERMANENT_HOURLY_RATE-MAX(0,($D46+H$5)-PERMANENT_FIELD_LABOR_HOURS)*TEMP_HOURLY_RATE-FIXED_SEASON_COST)</f>
        <v>-9607.9548423825</v>
      </c>
      <c r="I46" s="53" t="n">
        <f aca="false">IF(OR($A46&gt;TOMATO_BED_CAP,$B46&gt;CARROT_BED_CAP,I$4&gt;MESCLUN_BED_CAP,$A46+$B46+I$4&gt;TOTAL_BEDS_AVAILABLE,($D46+I$5)&gt;TOTAL_LABOR_HOURS_CAP,MAX(0,($D46+I$5)-PERMANENT_FIELD_LABOR_HOURS)&gt;TEMP_HOURS_CAP),"",$C46+I$6-MIN(($D46+I$5),PERMANENT_FIELD_LABOR_HOURS)*PERMANENT_HOURLY_RATE-MAX(0,($D46+I$5)-PERMANENT_FIELD_LABOR_HOURS)*TEMP_HOURLY_RATE-FIXED_SEASON_COST)</f>
        <v>-8618.83885722625</v>
      </c>
      <c r="J46" s="53" t="n">
        <f aca="false">IF(OR($A46&gt;TOMATO_BED_CAP,$B46&gt;CARROT_BED_CAP,J$4&gt;MESCLUN_BED_CAP,$A46+$B46+J$4&gt;TOTAL_BEDS_AVAILABLE,($D46+J$5)&gt;TOTAL_LABOR_HOURS_CAP,MAX(0,($D46+J$5)-PERMANENT_FIELD_LABOR_HOURS)&gt;TEMP_HOURS_CAP),"",$C46+J$6-MIN(($D46+J$5),PERMANENT_FIELD_LABOR_HOURS)*PERMANENT_HOURLY_RATE-MAX(0,($D46+J$5)-PERMANENT_FIELD_LABOR_HOURS)*TEMP_HOURLY_RATE-FIXED_SEASON_COST)</f>
        <v>-7650.24470617156</v>
      </c>
      <c r="K46" s="53" t="n">
        <f aca="false">IF(OR($A46&gt;TOMATO_BED_CAP,$B46&gt;CARROT_BED_CAP,K$4&gt;MESCLUN_BED_CAP,$A46+$B46+K$4&gt;TOTAL_BEDS_AVAILABLE,($D46+K$5)&gt;TOTAL_LABOR_HOURS_CAP,MAX(0,($D46+K$5)-PERMANENT_FIELD_LABOR_HOURS)&gt;TEMP_HOURS_CAP),"",$C46+K$6-MIN(($D46+K$5),PERMANENT_FIELD_LABOR_HOURS)*PERMANENT_HOURLY_RATE-MAX(0,($D46+K$5)-PERMANENT_FIELD_LABOR_HOURS)*TEMP_HOURLY_RATE-FIXED_SEASON_COST)</f>
        <v>-6702.55560944365</v>
      </c>
      <c r="L46" s="53" t="n">
        <f aca="false">IF(OR($A46&gt;TOMATO_BED_CAP,$B46&gt;CARROT_BED_CAP,L$4&gt;MESCLUN_BED_CAP,$A46+$B46+L$4&gt;TOTAL_BEDS_AVAILABLE,($D46+L$5)&gt;TOTAL_LABOR_HOURS_CAP,MAX(0,($D46+L$5)-PERMANENT_FIELD_LABOR_HOURS)&gt;TEMP_HOURS_CAP),"",$C46+L$6-MIN(($D46+L$5),PERMANENT_FIELD_LABOR_HOURS)*PERMANENT_HOURLY_RATE-MAX(0,($D46+L$5)-PERMANENT_FIELD_LABOR_HOURS)*TEMP_HOURLY_RATE-FIXED_SEASON_COST)</f>
        <v>-5776.1611612368</v>
      </c>
      <c r="M46" s="53" t="n">
        <f aca="false">IF(OR($A46&gt;TOMATO_BED_CAP,$B46&gt;CARROT_BED_CAP,M$4&gt;MESCLUN_BED_CAP,$A46+$B46+M$4&gt;TOTAL_BEDS_AVAILABLE,($D46+M$5)&gt;TOTAL_LABOR_HOURS_CAP,MAX(0,($D46+M$5)-PERMANENT_FIELD_LABOR_HOURS)&gt;TEMP_HOURS_CAP),"",$C46+M$6-MIN(($D46+M$5),PERMANENT_FIELD_LABOR_HOURS)*PERMANENT_HOURLY_RATE-MAX(0,($D46+M$5)-PERMANENT_FIELD_LABOR_HOURS)*TEMP_HOURLY_RATE-FIXED_SEASON_COST)</f>
        <v>-4871.45742918539</v>
      </c>
      <c r="N46" s="53" t="n">
        <f aca="false">IF(OR($A46&gt;TOMATO_BED_CAP,$B46&gt;CARROT_BED_CAP,N$4&gt;MESCLUN_BED_CAP,$A46+$B46+N$4&gt;TOTAL_BEDS_AVAILABLE,($D46+N$5)&gt;TOTAL_LABOR_HOURS_CAP,MAX(0,($D46+N$5)-PERMANENT_FIELD_LABOR_HOURS)&gt;TEMP_HOURS_CAP),"",$C46+N$6-MIN(($D46+N$5),PERMANENT_FIELD_LABOR_HOURS)*PERMANENT_HOURLY_RATE-MAX(0,($D46+N$5)-PERMANENT_FIELD_LABOR_HOURS)*TEMP_HOURLY_RATE-FIXED_SEASON_COST)</f>
        <v>-3988.84705532585</v>
      </c>
      <c r="O46" s="53" t="n">
        <f aca="false">IF(OR($A46&gt;TOMATO_BED_CAP,$B46&gt;CARROT_BED_CAP,O$4&gt;MESCLUN_BED_CAP,$A46+$B46+O$4&gt;TOTAL_BEDS_AVAILABLE,($D46+O$5)&gt;TOTAL_LABOR_HOURS_CAP,MAX(0,($D46+O$5)-PERMANENT_FIELD_LABOR_HOURS)&gt;TEMP_HOURS_CAP),"",$C46+O$6-MIN(($D46+O$5),PERMANENT_FIELD_LABOR_HOURS)*PERMANENT_HOURLY_RATE-MAX(0,($D46+O$5)-PERMANENT_FIELD_LABOR_HOURS)*TEMP_HOURLY_RATE-FIXED_SEASON_COST)</f>
        <v>-3128.7393585711</v>
      </c>
      <c r="P46" s="53" t="n">
        <f aca="false">IF(OR($A46&gt;TOMATO_BED_CAP,$B46&gt;CARROT_BED_CAP,P$4&gt;MESCLUN_BED_CAP,$A46+$B46+P$4&gt;TOTAL_BEDS_AVAILABLE,($D46+P$5)&gt;TOTAL_LABOR_HOURS_CAP,MAX(0,($D46+P$5)-PERMANENT_FIELD_LABOR_HOURS)&gt;TEMP_HOURS_CAP),"",$C46+P$6-MIN(($D46+P$5),PERMANENT_FIELD_LABOR_HOURS)*PERMANENT_HOURLY_RATE-MAX(0,($D46+P$5)-PERMANENT_FIELD_LABOR_HOURS)*TEMP_HOURLY_RATE-FIXED_SEASON_COST)</f>
        <v>-2291.55043871967</v>
      </c>
      <c r="Q46" s="53" t="n">
        <f aca="false">IF(OR($A46&gt;TOMATO_BED_CAP,$B46&gt;CARROT_BED_CAP,Q$4&gt;MESCLUN_BED_CAP,$A46+$B46+Q$4&gt;TOTAL_BEDS_AVAILABLE,($D46+Q$5)&gt;TOTAL_LABOR_HOURS_CAP,MAX(0,($D46+Q$5)-PERMANENT_FIELD_LABOR_HOURS)&gt;TEMP_HOURS_CAP),"",$C46+Q$6-MIN(($D46+Q$5),PERMANENT_FIELD_LABOR_HOURS)*PERMANENT_HOURLY_RATE-MAX(0,($D46+Q$5)-PERMANENT_FIELD_LABOR_HOURS)*TEMP_HOURLY_RATE-FIXED_SEASON_COST)</f>
        <v>-1477.70328202177</v>
      </c>
      <c r="R46" s="53" t="n">
        <f aca="false">IF(OR($A46&gt;TOMATO_BED_CAP,$B46&gt;CARROT_BED_CAP,R$4&gt;MESCLUN_BED_CAP,$A46+$B46+R$4&gt;TOTAL_BEDS_AVAILABLE,($D46+R$5)&gt;TOTAL_LABOR_HOURS_CAP,MAX(0,($D46+R$5)-PERMANENT_FIELD_LABOR_HOURS)&gt;TEMP_HOURS_CAP),"",$C46+R$6-MIN(($D46+R$5),PERMANENT_FIELD_LABOR_HOURS)*PERMANENT_HOURLY_RATE-MAX(0,($D46+R$5)-PERMANENT_FIELD_LABOR_HOURS)*TEMP_HOURLY_RATE-FIXED_SEASON_COST)</f>
        <v>-687.627868324966</v>
      </c>
      <c r="S46" s="53" t="n">
        <f aca="false">IF(OR($A46&gt;TOMATO_BED_CAP,$B46&gt;CARROT_BED_CAP,S$4&gt;MESCLUN_BED_CAP,$A46+$B46+S$4&gt;TOTAL_BEDS_AVAILABLE,($D46+S$5)&gt;TOTAL_LABOR_HOURS_CAP,MAX(0,($D46+S$5)-PERMANENT_FIELD_LABOR_HOURS)&gt;TEMP_HOURS_CAP),"",$C46+S$6-MIN(($D46+S$5),PERMANENT_FIELD_LABOR_HOURS)*PERMANENT_HOURLY_RATE-MAX(0,($D46+S$5)-PERMANENT_FIELD_LABOR_HOURS)*TEMP_HOURLY_RATE-FIXED_SEASON_COST)</f>
        <v>78.2387201774836</v>
      </c>
      <c r="T46" s="53" t="n">
        <f aca="false">IF(OR($A46&gt;TOMATO_BED_CAP,$B46&gt;CARROT_BED_CAP,T$4&gt;MESCLUN_BED_CAP,$A46+$B46+T$4&gt;TOTAL_BEDS_AVAILABLE,($D46+T$5)&gt;TOTAL_LABOR_HOURS_CAP,MAX(0,($D46+T$5)-PERMANENT_FIELD_LABOR_HOURS)&gt;TEMP_HOURS_CAP),"",$C46+T$6-MIN(($D46+T$5),PERMANENT_FIELD_LABOR_HOURS)*PERMANENT_HOURLY_RATE-MAX(0,($D46+T$5)-PERMANENT_FIELD_LABOR_HOURS)*TEMP_HOURLY_RATE-FIXED_SEASON_COST)</f>
        <v>819.452188572326</v>
      </c>
      <c r="U46" s="53" t="n">
        <f aca="false">IF(OR($A46&gt;TOMATO_BED_CAP,$B46&gt;CARROT_BED_CAP,U$4&gt;MESCLUN_BED_CAP,$A46+$B46+U$4&gt;TOTAL_BEDS_AVAILABLE,($D46+U$5)&gt;TOTAL_LABOR_HOURS_CAP,MAX(0,($D46+U$5)-PERMANENT_FIELD_LABOR_HOURS)&gt;TEMP_HOURS_CAP),"",$C46+U$6-MIN(($D46+U$5),PERMANENT_FIELD_LABOR_HOURS)*PERMANENT_HOURLY_RATE-MAX(0,($D46+U$5)-PERMANENT_FIELD_LABOR_HOURS)*TEMP_HOURLY_RATE-FIXED_SEASON_COST)</f>
        <v>1535.56091720243</v>
      </c>
      <c r="V46" s="53" t="n">
        <f aca="false">IF(OR($A46&gt;TOMATO_BED_CAP,$B46&gt;CARROT_BED_CAP,V$4&gt;MESCLUN_BED_CAP,$A46+$B46+V$4&gt;TOTAL_BEDS_AVAILABLE,($D46+V$5)&gt;TOTAL_LABOR_HOURS_CAP,MAX(0,($D46+V$5)-PERMANENT_FIELD_LABOR_HOURS)&gt;TEMP_HOURS_CAP),"",$C46+V$6-MIN(($D46+V$5),PERMANENT_FIELD_LABOR_HOURS)*PERMANENT_HOURLY_RATE-MAX(0,($D46+V$5)-PERMANENT_FIELD_LABOR_HOURS)*TEMP_HOURLY_RATE-FIXED_SEASON_COST)</f>
        <v>2226.10584796921</v>
      </c>
      <c r="W46" s="53" t="n">
        <f aca="false">IF(OR($A46&gt;TOMATO_BED_CAP,$B46&gt;CARROT_BED_CAP,W$4&gt;MESCLUN_BED_CAP,$A46+$B46+W$4&gt;TOTAL_BEDS_AVAILABLE,($D46+W$5)&gt;TOTAL_LABOR_HOURS_CAP,MAX(0,($D46+W$5)-PERMANENT_FIELD_LABOR_HOURS)&gt;TEMP_HOURS_CAP),"",$C46+W$6-MIN(($D46+W$5),PERMANENT_FIELD_LABOR_HOURS)*PERMANENT_HOURLY_RATE-MAX(0,($D46+W$5)-PERMANENT_FIELD_LABOR_HOURS)*TEMP_HOURLY_RATE-FIXED_SEASON_COST)</f>
        <v>2890.62036893728</v>
      </c>
      <c r="X46" s="53" t="n">
        <f aca="false">IF(OR($A46&gt;TOMATO_BED_CAP,$B46&gt;CARROT_BED_CAP,X$4&gt;MESCLUN_BED_CAP,$A46+$B46+X$4&gt;TOTAL_BEDS_AVAILABLE,($D46+X$5)&gt;TOTAL_LABOR_HOURS_CAP,MAX(0,($D46+X$5)-PERMANENT_FIELD_LABOR_HOURS)&gt;TEMP_HOURS_CAP),"",$C46+X$6-MIN(($D46+X$5),PERMANENT_FIELD_LABOR_HOURS)*PERMANENT_HOURLY_RATE-MAX(0,($D46+X$5)-PERMANENT_FIELD_LABOR_HOURS)*TEMP_HOURLY_RATE-FIXED_SEASON_COST)</f>
        <v>3528.6301972162</v>
      </c>
      <c r="Y46" s="53" t="n">
        <f aca="false">IF(OR($A46&gt;TOMATO_BED_CAP,$B46&gt;CARROT_BED_CAP,Y$4&gt;MESCLUN_BED_CAP,$A46+$B46+Y$4&gt;TOTAL_BEDS_AVAILABLE,($D46+Y$5)&gt;TOTAL_LABOR_HOURS_CAP,MAX(0,($D46+Y$5)-PERMANENT_FIELD_LABOR_HOURS)&gt;TEMP_HOURS_CAP),"",$C46+Y$6-MIN(($D46+Y$5),PERMANENT_FIELD_LABOR_HOURS)*PERMANENT_HOURLY_RATE-MAX(0,($D46+Y$5)-PERMANENT_FIELD_LABOR_HOURS)*TEMP_HOURLY_RATE-FIXED_SEASON_COST)</f>
        <v>4139.65326009486</v>
      </c>
      <c r="Z46" s="53" t="n">
        <f aca="false">IF(OR($A46&gt;TOMATO_BED_CAP,$B46&gt;CARROT_BED_CAP,Z$4&gt;MESCLUN_BED_CAP,$A46+$B46+Z$4&gt;TOTAL_BEDS_AVAILABLE,($D46+Z$5)&gt;TOTAL_LABOR_HOURS_CAP,MAX(0,($D46+Z$5)-PERMANENT_FIELD_LABOR_HOURS)&gt;TEMP_HOURS_CAP),"",$C46+Z$6-MIN(($D46+Z$5),PERMANENT_FIELD_LABOR_HOURS)*PERMANENT_HOURLY_RATE-MAX(0,($D46+Z$5)-PERMANENT_FIELD_LABOR_HOURS)*TEMP_HOURLY_RATE-FIXED_SEASON_COST)</f>
        <v>4723.19957440259</v>
      </c>
      <c r="AA46" s="53" t="n">
        <f aca="false">IF(OR($A46&gt;TOMATO_BED_CAP,$B46&gt;CARROT_BED_CAP,AA$4&gt;MESCLUN_BED_CAP,$A46+$B46+AA$4&gt;TOTAL_BEDS_AVAILABLE,($D46+AA$5)&gt;TOTAL_LABOR_HOURS_CAP,MAX(0,($D46+AA$5)-PERMANENT_FIELD_LABOR_HOURS)&gt;TEMP_HOURS_CAP),"",$C46+AA$6-MIN(($D46+AA$5),PERMANENT_FIELD_LABOR_HOURS)*PERMANENT_HOURLY_RATE-MAX(0,($D46+AA$5)-PERMANENT_FIELD_LABOR_HOURS)*TEMP_HOURLY_RATE-FIXED_SEASON_COST)</f>
        <v>5278.77112407152</v>
      </c>
      <c r="AB46" s="53" t="n">
        <f aca="false">IF(OR($A46&gt;TOMATO_BED_CAP,$B46&gt;CARROT_BED_CAP,AB$4&gt;MESCLUN_BED_CAP,$A46+$B46+AB$4&gt;TOTAL_BEDS_AVAILABLE,($D46+AB$5)&gt;TOTAL_LABOR_HOURS_CAP,MAX(0,($D46+AB$5)-PERMANENT_FIELD_LABOR_HOURS)&gt;TEMP_HOURS_CAP),"",$C46+AB$6-MIN(($D46+AB$5),PERMANENT_FIELD_LABOR_HOURS)*PERMANENT_HOURLY_RATE-MAX(0,($D46+AB$5)-PERMANENT_FIELD_LABOR_HOURS)*TEMP_HOURLY_RATE-FIXED_SEASON_COST)</f>
        <v>5805.86173587408</v>
      </c>
      <c r="AC46" s="53" t="n">
        <f aca="false">IF(OR($A46&gt;TOMATO_BED_CAP,$B46&gt;CARROT_BED_CAP,AC$4&gt;MESCLUN_BED_CAP,$A46+$B46+AC$4&gt;TOTAL_BEDS_AVAILABLE,($D46+AC$5)&gt;TOTAL_LABOR_HOURS_CAP,MAX(0,($D46+AC$5)-PERMANENT_FIELD_LABOR_HOURS)&gt;TEMP_HOURS_CAP),"",$C46+AC$6-MIN(($D46+AC$5),PERMANENT_FIELD_LABOR_HOURS)*PERMANENT_HOURLY_RATE-MAX(0,($D46+AC$5)-PERMANENT_FIELD_LABOR_HOURS)*TEMP_HOURLY_RATE-FIXED_SEASON_COST)</f>
        <v>6303.95695330899</v>
      </c>
      <c r="AD46" s="53" t="n">
        <f aca="false">IF(OR($A46&gt;TOMATO_BED_CAP,$B46&gt;CARROT_BED_CAP,AD$4&gt;MESCLUN_BED_CAP,$A46+$B46+AD$4&gt;TOTAL_BEDS_AVAILABLE,($D46+AD$5)&gt;TOTAL_LABOR_HOURS_CAP,MAX(0,($D46+AD$5)-PERMANENT_FIELD_LABOR_HOURS)&gt;TEMP_HOURS_CAP),"",$C46+AD$6-MIN(($D46+AD$5),PERMANENT_FIELD_LABOR_HOURS)*PERMANENT_HOURLY_RATE-MAX(0,($D46+AD$5)-PERMANENT_FIELD_LABOR_HOURS)*TEMP_HOURLY_RATE-FIXED_SEASON_COST)</f>
        <v>6772.53390860894</v>
      </c>
      <c r="AE46" s="53" t="n">
        <f aca="false">IF(OR($A46&gt;TOMATO_BED_CAP,$B46&gt;CARROT_BED_CAP,AE$4&gt;MESCLUN_BED_CAP,$A46+$B46+AE$4&gt;TOTAL_BEDS_AVAILABLE,($D46+AE$5)&gt;TOTAL_LABOR_HOURS_CAP,MAX(0,($D46+AE$5)-PERMANENT_FIELD_LABOR_HOURS)&gt;TEMP_HOURS_CAP),"",$C46+AE$6-MIN(($D46+AE$5),PERMANENT_FIELD_LABOR_HOURS)*PERMANENT_HOURLY_RATE-MAX(0,($D46+AE$5)-PERMANENT_FIELD_LABOR_HOURS)*TEMP_HOURLY_RATE-FIXED_SEASON_COST)</f>
        <v>7211.06119284285</v>
      </c>
      <c r="AF46" s="53" t="n">
        <f aca="false">IF(OR($A46&gt;TOMATO_BED_CAP,$B46&gt;CARROT_BED_CAP,AF$4&gt;MESCLUN_BED_CAP,$A46+$B46+AF$4&gt;TOTAL_BEDS_AVAILABLE,($D46+AF$5)&gt;TOTAL_LABOR_HOURS_CAP,MAX(0,($D46+AF$5)-PERMANENT_FIELD_LABOR_HOURS)&gt;TEMP_HOURS_CAP),"",$C46+AF$6-MIN(($D46+AF$5),PERMANENT_FIELD_LABOR_HOURS)*PERMANENT_HOURLY_RATE-MAX(0,($D46+AF$5)-PERMANENT_FIELD_LABOR_HOURS)*TEMP_HOURLY_RATE-FIXED_SEASON_COST)</f>
        <v>7618.9987240848</v>
      </c>
      <c r="AG46" s="53" t="n">
        <f aca="false">IF(OR($A46&gt;TOMATO_BED_CAP,$B46&gt;CARROT_BED_CAP,AG$4&gt;MESCLUN_BED_CAP,$A46+$B46+AG$4&gt;TOTAL_BEDS_AVAILABLE,($D46+AG$5)&gt;TOTAL_LABOR_HOURS_CAP,MAX(0,($D46+AG$5)-PERMANENT_FIELD_LABOR_HOURS)&gt;TEMP_HOURS_CAP),"",$C46+AG$6-MIN(($D46+AG$5),PERMANENT_FIELD_LABOR_HOURS)*PERMANENT_HOURLY_RATE-MAX(0,($D46+AG$5)-PERMANENT_FIELD_LABOR_HOURS)*TEMP_HOURLY_RATE-FIXED_SEASON_COST)</f>
        <v>7995.79761362181</v>
      </c>
      <c r="AH46" s="53" t="n">
        <f aca="false">IF(OR($A46&gt;TOMATO_BED_CAP,$B46&gt;CARROT_BED_CAP,AH$4&gt;MESCLUN_BED_CAP,$A46+$B46+AH$4&gt;TOTAL_BEDS_AVAILABLE,($D46+AH$5)&gt;TOTAL_LABOR_HOURS_CAP,MAX(0,($D46+AH$5)-PERMANENT_FIELD_LABOR_HOURS)&gt;TEMP_HOURS_CAP),"",$C46+AH$6-MIN(($D46+AH$5),PERMANENT_FIELD_LABOR_HOURS)*PERMANENT_HOURLY_RATE-MAX(0,($D46+AH$5)-PERMANENT_FIELD_LABOR_HOURS)*TEMP_HOURLY_RATE-FIXED_SEASON_COST)</f>
        <v>8340.90003017203</v>
      </c>
      <c r="AI46" s="53" t="n">
        <f aca="false">IF(OR($A46&gt;TOMATO_BED_CAP,$B46&gt;CARROT_BED_CAP,AI$4&gt;MESCLUN_BED_CAP,$A46+$B46+AI$4&gt;TOTAL_BEDS_AVAILABLE,($D46+AI$5)&gt;TOTAL_LABOR_HOURS_CAP,MAX(0,($D46+AI$5)-PERMANENT_FIELD_LABOR_HOURS)&gt;TEMP_HOURS_CAP),"",$C46+AI$6-MIN(($D46+AI$5),PERMANENT_FIELD_LABOR_HOURS)*PERMANENT_HOURLY_RATE-MAX(0,($D46+AI$5)-PERMANENT_FIELD_LABOR_HOURS)*TEMP_HOURLY_RATE-FIXED_SEASON_COST)</f>
        <v>8653.73906208429</v>
      </c>
      <c r="AJ46" s="53" t="n">
        <f aca="false">IF(OR($A46&gt;TOMATO_BED_CAP,$B46&gt;CARROT_BED_CAP,AJ$4&gt;MESCLUN_BED_CAP,$A46+$B46+AJ$4&gt;TOTAL_BEDS_AVAILABLE,($D46+AJ$5)&gt;TOTAL_LABOR_HOURS_CAP,MAX(0,($D46+AJ$5)-PERMANENT_FIELD_LABOR_HOURS)&gt;TEMP_HOURS_CAP),"",$C46+AJ$6-MIN(($D46+AJ$5),PERMANENT_FIELD_LABOR_HOURS)*PERMANENT_HOURLY_RATE-MAX(0,($D46+AJ$5)-PERMANENT_FIELD_LABOR_HOURS)*TEMP_HOURLY_RATE-FIXED_SEASON_COST)</f>
        <v>8933.73857749005</v>
      </c>
    </row>
    <row r="47" customFormat="false" ht="15" hidden="false" customHeight="false" outlineLevel="0" collapsed="false">
      <c r="A47" s="21" t="n">
        <f aca="false">INT((ROW()-ROW($A$8))/(20+1))</f>
        <v>1</v>
      </c>
      <c r="B47" s="21" t="n">
        <f aca="false">MOD(ROW()-ROW($A$8),20+1)</f>
        <v>18</v>
      </c>
      <c r="C47" s="13" t="n">
        <f aca="false">A47*(TOMATO_REVENUE_PER_BED-TOMATO_FERTILIZER_PER_BED)+B47*(CARROT_REVENUE_PER_BED-CARROT_FERTILIZER_PER_BED)</f>
        <v>37692</v>
      </c>
      <c r="D47" s="14" t="n">
        <f aca="false">INDEX(TOMATO_SCHED_LABOR_HRS,A47+1)+INDEX(CARROT_SCHED_LABOR_HRS,B47+1)</f>
        <v>940.878821278487</v>
      </c>
      <c r="E47" s="13" t="n">
        <f aca="false">IF(COUNT(F47:AJ47)=0,"",MAX(F47:AJ47))</f>
        <v>9439.13295747801</v>
      </c>
      <c r="F47" s="53" t="n">
        <f aca="false">IF(OR($A47&gt;TOMATO_BED_CAP,$B47&gt;CARROT_BED_CAP,F$4&gt;MESCLUN_BED_CAP,$A47+$B47+F$4&gt;TOTAL_BEDS_AVAILABLE,($D47+F$5)&gt;TOTAL_LABOR_HOURS_CAP,MAX(0,($D47+F$5)-PERMANENT_FIELD_LABOR_HOURS)&gt;TEMP_HOURS_CAP),"",$C47+F$6-MIN(($D47+F$5),PERMANENT_FIELD_LABOR_HOURS)*PERMANENT_HOURLY_RATE-MAX(0,($D47+F$5)-PERMANENT_FIELD_LABOR_HOURS)*TEMP_HOURLY_RATE-FIXED_SEASON_COST)</f>
        <v>-11140.8563373945</v>
      </c>
      <c r="G47" s="53" t="n">
        <f aca="false">IF(OR($A47&gt;TOMATO_BED_CAP,$B47&gt;CARROT_BED_CAP,G$4&gt;MESCLUN_BED_CAP,$A47+$B47+G$4&gt;TOTAL_BEDS_AVAILABLE,($D47+G$5)&gt;TOTAL_LABOR_HOURS_CAP,MAX(0,($D47+G$5)-PERMANENT_FIELD_LABOR_HOURS)&gt;TEMP_HOURS_CAP),"",$C47+G$6-MIN(($D47+G$5),PERMANENT_FIELD_LABOR_HOURS)*PERMANENT_HOURLY_RATE-MAX(0,($D47+G$5)-PERMANENT_FIELD_LABOR_HOURS)*TEMP_HOURLY_RATE-FIXED_SEASON_COST)</f>
        <v>-10111.8213373945</v>
      </c>
      <c r="H47" s="53" t="n">
        <f aca="false">IF(OR($A47&gt;TOMATO_BED_CAP,$B47&gt;CARROT_BED_CAP,H$4&gt;MESCLUN_BED_CAP,$A47+$B47+H$4&gt;TOTAL_BEDS_AVAILABLE,($D47+H$5)&gt;TOTAL_LABOR_HOURS_CAP,MAX(0,($D47+H$5)-PERMANENT_FIELD_LABOR_HOURS)&gt;TEMP_HOURS_CAP),"",$C47+H$6-MIN(($D47+H$5),PERMANENT_FIELD_LABOR_HOURS)*PERMANENT_HOURLY_RATE-MAX(0,($D47+H$5)-PERMANENT_FIELD_LABOR_HOURS)*TEMP_HOURLY_RATE-FIXED_SEASON_COST)</f>
        <v>-9102.56046239453</v>
      </c>
      <c r="I47" s="53" t="n">
        <f aca="false">IF(OR($A47&gt;TOMATO_BED_CAP,$B47&gt;CARROT_BED_CAP,I$4&gt;MESCLUN_BED_CAP,$A47+$B47+I$4&gt;TOTAL_BEDS_AVAILABLE,($D47+I$5)&gt;TOTAL_LABOR_HOURS_CAP,MAX(0,($D47+I$5)-PERMANENT_FIELD_LABOR_HOURS)&gt;TEMP_HOURS_CAP),"",$C47+I$6-MIN(($D47+I$5),PERMANENT_FIELD_LABOR_HOURS)*PERMANENT_HOURLY_RATE-MAX(0,($D47+I$5)-PERMANENT_FIELD_LABOR_HOURS)*TEMP_HOURLY_RATE-FIXED_SEASON_COST)</f>
        <v>-8113.44447723828</v>
      </c>
      <c r="J47" s="53" t="n">
        <f aca="false">IF(OR($A47&gt;TOMATO_BED_CAP,$B47&gt;CARROT_BED_CAP,J$4&gt;MESCLUN_BED_CAP,$A47+$B47+J$4&gt;TOTAL_BEDS_AVAILABLE,($D47+J$5)&gt;TOTAL_LABOR_HOURS_CAP,MAX(0,($D47+J$5)-PERMANENT_FIELD_LABOR_HOURS)&gt;TEMP_HOURS_CAP),"",$C47+J$6-MIN(($D47+J$5),PERMANENT_FIELD_LABOR_HOURS)*PERMANENT_HOURLY_RATE-MAX(0,($D47+J$5)-PERMANENT_FIELD_LABOR_HOURS)*TEMP_HOURLY_RATE-FIXED_SEASON_COST)</f>
        <v>-7144.85032618359</v>
      </c>
      <c r="K47" s="53" t="n">
        <f aca="false">IF(OR($A47&gt;TOMATO_BED_CAP,$B47&gt;CARROT_BED_CAP,K$4&gt;MESCLUN_BED_CAP,$A47+$B47+K$4&gt;TOTAL_BEDS_AVAILABLE,($D47+K$5)&gt;TOTAL_LABOR_HOURS_CAP,MAX(0,($D47+K$5)-PERMANENT_FIELD_LABOR_HOURS)&gt;TEMP_HOURS_CAP),"",$C47+K$6-MIN(($D47+K$5),PERMANENT_FIELD_LABOR_HOURS)*PERMANENT_HOURLY_RATE-MAX(0,($D47+K$5)-PERMANENT_FIELD_LABOR_HOURS)*TEMP_HOURLY_RATE-FIXED_SEASON_COST)</f>
        <v>-6197.16122945569</v>
      </c>
      <c r="L47" s="53" t="n">
        <f aca="false">IF(OR($A47&gt;TOMATO_BED_CAP,$B47&gt;CARROT_BED_CAP,L$4&gt;MESCLUN_BED_CAP,$A47+$B47+L$4&gt;TOTAL_BEDS_AVAILABLE,($D47+L$5)&gt;TOTAL_LABOR_HOURS_CAP,MAX(0,($D47+L$5)-PERMANENT_FIELD_LABOR_HOURS)&gt;TEMP_HOURS_CAP),"",$C47+L$6-MIN(($D47+L$5),PERMANENT_FIELD_LABOR_HOURS)*PERMANENT_HOURLY_RATE-MAX(0,($D47+L$5)-PERMANENT_FIELD_LABOR_HOURS)*TEMP_HOURLY_RATE-FIXED_SEASON_COST)</f>
        <v>-5270.76678124884</v>
      </c>
      <c r="M47" s="53" t="n">
        <f aca="false">IF(OR($A47&gt;TOMATO_BED_CAP,$B47&gt;CARROT_BED_CAP,M$4&gt;MESCLUN_BED_CAP,$A47+$B47+M$4&gt;TOTAL_BEDS_AVAILABLE,($D47+M$5)&gt;TOTAL_LABOR_HOURS_CAP,MAX(0,($D47+M$5)-PERMANENT_FIELD_LABOR_HOURS)&gt;TEMP_HOURS_CAP),"",$C47+M$6-MIN(($D47+M$5),PERMANENT_FIELD_LABOR_HOURS)*PERMANENT_HOURLY_RATE-MAX(0,($D47+M$5)-PERMANENT_FIELD_LABOR_HOURS)*TEMP_HOURLY_RATE-FIXED_SEASON_COST)</f>
        <v>-4366.06304919743</v>
      </c>
      <c r="N47" s="53" t="n">
        <f aca="false">IF(OR($A47&gt;TOMATO_BED_CAP,$B47&gt;CARROT_BED_CAP,N$4&gt;MESCLUN_BED_CAP,$A47+$B47+N$4&gt;TOTAL_BEDS_AVAILABLE,($D47+N$5)&gt;TOTAL_LABOR_HOURS_CAP,MAX(0,($D47+N$5)-PERMANENT_FIELD_LABOR_HOURS)&gt;TEMP_HOURS_CAP),"",$C47+N$6-MIN(($D47+N$5),PERMANENT_FIELD_LABOR_HOURS)*PERMANENT_HOURLY_RATE-MAX(0,($D47+N$5)-PERMANENT_FIELD_LABOR_HOURS)*TEMP_HOURLY_RATE-FIXED_SEASON_COST)</f>
        <v>-3483.45267533788</v>
      </c>
      <c r="O47" s="53" t="n">
        <f aca="false">IF(OR($A47&gt;TOMATO_BED_CAP,$B47&gt;CARROT_BED_CAP,O$4&gt;MESCLUN_BED_CAP,$A47+$B47+O$4&gt;TOTAL_BEDS_AVAILABLE,($D47+O$5)&gt;TOTAL_LABOR_HOURS_CAP,MAX(0,($D47+O$5)-PERMANENT_FIELD_LABOR_HOURS)&gt;TEMP_HOURS_CAP),"",$C47+O$6-MIN(($D47+O$5),PERMANENT_FIELD_LABOR_HOURS)*PERMANENT_HOURLY_RATE-MAX(0,($D47+O$5)-PERMANENT_FIELD_LABOR_HOURS)*TEMP_HOURLY_RATE-FIXED_SEASON_COST)</f>
        <v>-2623.34497858313</v>
      </c>
      <c r="P47" s="53" t="n">
        <f aca="false">IF(OR($A47&gt;TOMATO_BED_CAP,$B47&gt;CARROT_BED_CAP,P$4&gt;MESCLUN_BED_CAP,$A47+$B47+P$4&gt;TOTAL_BEDS_AVAILABLE,($D47+P$5)&gt;TOTAL_LABOR_HOURS_CAP,MAX(0,($D47+P$5)-PERMANENT_FIELD_LABOR_HOURS)&gt;TEMP_HOURS_CAP),"",$C47+P$6-MIN(($D47+P$5),PERMANENT_FIELD_LABOR_HOURS)*PERMANENT_HOURLY_RATE-MAX(0,($D47+P$5)-PERMANENT_FIELD_LABOR_HOURS)*TEMP_HOURLY_RATE-FIXED_SEASON_COST)</f>
        <v>-1786.15605873171</v>
      </c>
      <c r="Q47" s="53" t="n">
        <f aca="false">IF(OR($A47&gt;TOMATO_BED_CAP,$B47&gt;CARROT_BED_CAP,Q$4&gt;MESCLUN_BED_CAP,$A47+$B47+Q$4&gt;TOTAL_BEDS_AVAILABLE,($D47+Q$5)&gt;TOTAL_LABOR_HOURS_CAP,MAX(0,($D47+Q$5)-PERMANENT_FIELD_LABOR_HOURS)&gt;TEMP_HOURS_CAP),"",$C47+Q$6-MIN(($D47+Q$5),PERMANENT_FIELD_LABOR_HOURS)*PERMANENT_HOURLY_RATE-MAX(0,($D47+Q$5)-PERMANENT_FIELD_LABOR_HOURS)*TEMP_HOURLY_RATE-FIXED_SEASON_COST)</f>
        <v>-972.308902033805</v>
      </c>
      <c r="R47" s="53" t="n">
        <f aca="false">IF(OR($A47&gt;TOMATO_BED_CAP,$B47&gt;CARROT_BED_CAP,R$4&gt;MESCLUN_BED_CAP,$A47+$B47+R$4&gt;TOTAL_BEDS_AVAILABLE,($D47+R$5)&gt;TOTAL_LABOR_HOURS_CAP,MAX(0,($D47+R$5)-PERMANENT_FIELD_LABOR_HOURS)&gt;TEMP_HOURS_CAP),"",$C47+R$6-MIN(($D47+R$5),PERMANENT_FIELD_LABOR_HOURS)*PERMANENT_HOURLY_RATE-MAX(0,($D47+R$5)-PERMANENT_FIELD_LABOR_HOURS)*TEMP_HOURLY_RATE-FIXED_SEASON_COST)</f>
        <v>-182.233488336999</v>
      </c>
      <c r="S47" s="53" t="n">
        <f aca="false">IF(OR($A47&gt;TOMATO_BED_CAP,$B47&gt;CARROT_BED_CAP,S$4&gt;MESCLUN_BED_CAP,$A47+$B47+S$4&gt;TOTAL_BEDS_AVAILABLE,($D47+S$5)&gt;TOTAL_LABOR_HOURS_CAP,MAX(0,($D47+S$5)-PERMANENT_FIELD_LABOR_HOURS)&gt;TEMP_HOURS_CAP),"",$C47+S$6-MIN(($D47+S$5),PERMANENT_FIELD_LABOR_HOURS)*PERMANENT_HOURLY_RATE-MAX(0,($D47+S$5)-PERMANENT_FIELD_LABOR_HOURS)*TEMP_HOURLY_RATE-FIXED_SEASON_COST)</f>
        <v>583.633100165447</v>
      </c>
      <c r="T47" s="53" t="n">
        <f aca="false">IF(OR($A47&gt;TOMATO_BED_CAP,$B47&gt;CARROT_BED_CAP,T$4&gt;MESCLUN_BED_CAP,$A47+$B47+T$4&gt;TOTAL_BEDS_AVAILABLE,($D47+T$5)&gt;TOTAL_LABOR_HOURS_CAP,MAX(0,($D47+T$5)-PERMANENT_FIELD_LABOR_HOURS)&gt;TEMP_HOURS_CAP),"",$C47+T$6-MIN(($D47+T$5),PERMANENT_FIELD_LABOR_HOURS)*PERMANENT_HOURLY_RATE-MAX(0,($D47+T$5)-PERMANENT_FIELD_LABOR_HOURS)*TEMP_HOURLY_RATE-FIXED_SEASON_COST)</f>
        <v>1324.84656856029</v>
      </c>
      <c r="U47" s="53" t="n">
        <f aca="false">IF(OR($A47&gt;TOMATO_BED_CAP,$B47&gt;CARROT_BED_CAP,U$4&gt;MESCLUN_BED_CAP,$A47+$B47+U$4&gt;TOTAL_BEDS_AVAILABLE,($D47+U$5)&gt;TOTAL_LABOR_HOURS_CAP,MAX(0,($D47+U$5)-PERMANENT_FIELD_LABOR_HOURS)&gt;TEMP_HOURS_CAP),"",$C47+U$6-MIN(($D47+U$5),PERMANENT_FIELD_LABOR_HOURS)*PERMANENT_HOURLY_RATE-MAX(0,($D47+U$5)-PERMANENT_FIELD_LABOR_HOURS)*TEMP_HOURLY_RATE-FIXED_SEASON_COST)</f>
        <v>2040.95529719039</v>
      </c>
      <c r="V47" s="53" t="n">
        <f aca="false">IF(OR($A47&gt;TOMATO_BED_CAP,$B47&gt;CARROT_BED_CAP,V$4&gt;MESCLUN_BED_CAP,$A47+$B47+V$4&gt;TOTAL_BEDS_AVAILABLE,($D47+V$5)&gt;TOTAL_LABOR_HOURS_CAP,MAX(0,($D47+V$5)-PERMANENT_FIELD_LABOR_HOURS)&gt;TEMP_HOURS_CAP),"",$C47+V$6-MIN(($D47+V$5),PERMANENT_FIELD_LABOR_HOURS)*PERMANENT_HOURLY_RATE-MAX(0,($D47+V$5)-PERMANENT_FIELD_LABOR_HOURS)*TEMP_HOURLY_RATE-FIXED_SEASON_COST)</f>
        <v>2731.50022795718</v>
      </c>
      <c r="W47" s="53" t="n">
        <f aca="false">IF(OR($A47&gt;TOMATO_BED_CAP,$B47&gt;CARROT_BED_CAP,W$4&gt;MESCLUN_BED_CAP,$A47+$B47+W$4&gt;TOTAL_BEDS_AVAILABLE,($D47+W$5)&gt;TOTAL_LABOR_HOURS_CAP,MAX(0,($D47+W$5)-PERMANENT_FIELD_LABOR_HOURS)&gt;TEMP_HOURS_CAP),"",$C47+W$6-MIN(($D47+W$5),PERMANENT_FIELD_LABOR_HOURS)*PERMANENT_HOURLY_RATE-MAX(0,($D47+W$5)-PERMANENT_FIELD_LABOR_HOURS)*TEMP_HOURLY_RATE-FIXED_SEASON_COST)</f>
        <v>3396.01474892525</v>
      </c>
      <c r="X47" s="53" t="n">
        <f aca="false">IF(OR($A47&gt;TOMATO_BED_CAP,$B47&gt;CARROT_BED_CAP,X$4&gt;MESCLUN_BED_CAP,$A47+$B47+X$4&gt;TOTAL_BEDS_AVAILABLE,($D47+X$5)&gt;TOTAL_LABOR_HOURS_CAP,MAX(0,($D47+X$5)-PERMANENT_FIELD_LABOR_HOURS)&gt;TEMP_HOURS_CAP),"",$C47+X$6-MIN(($D47+X$5),PERMANENT_FIELD_LABOR_HOURS)*PERMANENT_HOURLY_RATE-MAX(0,($D47+X$5)-PERMANENT_FIELD_LABOR_HOURS)*TEMP_HOURLY_RATE-FIXED_SEASON_COST)</f>
        <v>4034.02457720417</v>
      </c>
      <c r="Y47" s="53" t="n">
        <f aca="false">IF(OR($A47&gt;TOMATO_BED_CAP,$B47&gt;CARROT_BED_CAP,Y$4&gt;MESCLUN_BED_CAP,$A47+$B47+Y$4&gt;TOTAL_BEDS_AVAILABLE,($D47+Y$5)&gt;TOTAL_LABOR_HOURS_CAP,MAX(0,($D47+Y$5)-PERMANENT_FIELD_LABOR_HOURS)&gt;TEMP_HOURS_CAP),"",$C47+Y$6-MIN(($D47+Y$5),PERMANENT_FIELD_LABOR_HOURS)*PERMANENT_HOURLY_RATE-MAX(0,($D47+Y$5)-PERMANENT_FIELD_LABOR_HOURS)*TEMP_HOURLY_RATE-FIXED_SEASON_COST)</f>
        <v>4645.04764008283</v>
      </c>
      <c r="Z47" s="53" t="n">
        <f aca="false">IF(OR($A47&gt;TOMATO_BED_CAP,$B47&gt;CARROT_BED_CAP,Z$4&gt;MESCLUN_BED_CAP,$A47+$B47+Z$4&gt;TOTAL_BEDS_AVAILABLE,($D47+Z$5)&gt;TOTAL_LABOR_HOURS_CAP,MAX(0,($D47+Z$5)-PERMANENT_FIELD_LABOR_HOURS)&gt;TEMP_HOURS_CAP),"",$C47+Z$6-MIN(($D47+Z$5),PERMANENT_FIELD_LABOR_HOURS)*PERMANENT_HOURLY_RATE-MAX(0,($D47+Z$5)-PERMANENT_FIELD_LABOR_HOURS)*TEMP_HOURLY_RATE-FIXED_SEASON_COST)</f>
        <v>5228.59395439055</v>
      </c>
      <c r="AA47" s="53" t="n">
        <f aca="false">IF(OR($A47&gt;TOMATO_BED_CAP,$B47&gt;CARROT_BED_CAP,AA$4&gt;MESCLUN_BED_CAP,$A47+$B47+AA$4&gt;TOTAL_BEDS_AVAILABLE,($D47+AA$5)&gt;TOTAL_LABOR_HOURS_CAP,MAX(0,($D47+AA$5)-PERMANENT_FIELD_LABOR_HOURS)&gt;TEMP_HOURS_CAP),"",$C47+AA$6-MIN(($D47+AA$5),PERMANENT_FIELD_LABOR_HOURS)*PERMANENT_HOURLY_RATE-MAX(0,($D47+AA$5)-PERMANENT_FIELD_LABOR_HOURS)*TEMP_HOURLY_RATE-FIXED_SEASON_COST)</f>
        <v>5784.16550405948</v>
      </c>
      <c r="AB47" s="53" t="n">
        <f aca="false">IF(OR($A47&gt;TOMATO_BED_CAP,$B47&gt;CARROT_BED_CAP,AB$4&gt;MESCLUN_BED_CAP,$A47+$B47+AB$4&gt;TOTAL_BEDS_AVAILABLE,($D47+AB$5)&gt;TOTAL_LABOR_HOURS_CAP,MAX(0,($D47+AB$5)-PERMANENT_FIELD_LABOR_HOURS)&gt;TEMP_HOURS_CAP),"",$C47+AB$6-MIN(($D47+AB$5),PERMANENT_FIELD_LABOR_HOURS)*PERMANENT_HOURLY_RATE-MAX(0,($D47+AB$5)-PERMANENT_FIELD_LABOR_HOURS)*TEMP_HOURLY_RATE-FIXED_SEASON_COST)</f>
        <v>6311.25611586205</v>
      </c>
      <c r="AC47" s="53" t="n">
        <f aca="false">IF(OR($A47&gt;TOMATO_BED_CAP,$B47&gt;CARROT_BED_CAP,AC$4&gt;MESCLUN_BED_CAP,$A47+$B47+AC$4&gt;TOTAL_BEDS_AVAILABLE,($D47+AC$5)&gt;TOTAL_LABOR_HOURS_CAP,MAX(0,($D47+AC$5)-PERMANENT_FIELD_LABOR_HOURS)&gt;TEMP_HOURS_CAP),"",$C47+AC$6-MIN(($D47+AC$5),PERMANENT_FIELD_LABOR_HOURS)*PERMANENT_HOURLY_RATE-MAX(0,($D47+AC$5)-PERMANENT_FIELD_LABOR_HOURS)*TEMP_HOURLY_RATE-FIXED_SEASON_COST)</f>
        <v>6809.35133329696</v>
      </c>
      <c r="AD47" s="53" t="n">
        <f aca="false">IF(OR($A47&gt;TOMATO_BED_CAP,$B47&gt;CARROT_BED_CAP,AD$4&gt;MESCLUN_BED_CAP,$A47+$B47+AD$4&gt;TOTAL_BEDS_AVAILABLE,($D47+AD$5)&gt;TOTAL_LABOR_HOURS_CAP,MAX(0,($D47+AD$5)-PERMANENT_FIELD_LABOR_HOURS)&gt;TEMP_HOURS_CAP),"",$C47+AD$6-MIN(($D47+AD$5),PERMANENT_FIELD_LABOR_HOURS)*PERMANENT_HOURLY_RATE-MAX(0,($D47+AD$5)-PERMANENT_FIELD_LABOR_HOURS)*TEMP_HOURLY_RATE-FIXED_SEASON_COST)</f>
        <v>7277.92828859691</v>
      </c>
      <c r="AE47" s="53" t="n">
        <f aca="false">IF(OR($A47&gt;TOMATO_BED_CAP,$B47&gt;CARROT_BED_CAP,AE$4&gt;MESCLUN_BED_CAP,$A47+$B47+AE$4&gt;TOTAL_BEDS_AVAILABLE,($D47+AE$5)&gt;TOTAL_LABOR_HOURS_CAP,MAX(0,($D47+AE$5)-PERMANENT_FIELD_LABOR_HOURS)&gt;TEMP_HOURS_CAP),"",$C47+AE$6-MIN(($D47+AE$5),PERMANENT_FIELD_LABOR_HOURS)*PERMANENT_HOURLY_RATE-MAX(0,($D47+AE$5)-PERMANENT_FIELD_LABOR_HOURS)*TEMP_HOURLY_RATE-FIXED_SEASON_COST)</f>
        <v>7716.45557283082</v>
      </c>
      <c r="AF47" s="53" t="n">
        <f aca="false">IF(OR($A47&gt;TOMATO_BED_CAP,$B47&gt;CARROT_BED_CAP,AF$4&gt;MESCLUN_BED_CAP,$A47+$B47+AF$4&gt;TOTAL_BEDS_AVAILABLE,($D47+AF$5)&gt;TOTAL_LABOR_HOURS_CAP,MAX(0,($D47+AF$5)-PERMANENT_FIELD_LABOR_HOURS)&gt;TEMP_HOURS_CAP),"",$C47+AF$6-MIN(($D47+AF$5),PERMANENT_FIELD_LABOR_HOURS)*PERMANENT_HOURLY_RATE-MAX(0,($D47+AF$5)-PERMANENT_FIELD_LABOR_HOURS)*TEMP_HOURLY_RATE-FIXED_SEASON_COST)</f>
        <v>8124.39310407277</v>
      </c>
      <c r="AG47" s="53" t="n">
        <f aca="false">IF(OR($A47&gt;TOMATO_BED_CAP,$B47&gt;CARROT_BED_CAP,AG$4&gt;MESCLUN_BED_CAP,$A47+$B47+AG$4&gt;TOTAL_BEDS_AVAILABLE,($D47+AG$5)&gt;TOTAL_LABOR_HOURS_CAP,MAX(0,($D47+AG$5)-PERMANENT_FIELD_LABOR_HOURS)&gt;TEMP_HOURS_CAP),"",$C47+AG$6-MIN(($D47+AG$5),PERMANENT_FIELD_LABOR_HOURS)*PERMANENT_HOURLY_RATE-MAX(0,($D47+AG$5)-PERMANENT_FIELD_LABOR_HOURS)*TEMP_HOURLY_RATE-FIXED_SEASON_COST)</f>
        <v>8501.19199360978</v>
      </c>
      <c r="AH47" s="53" t="n">
        <f aca="false">IF(OR($A47&gt;TOMATO_BED_CAP,$B47&gt;CARROT_BED_CAP,AH$4&gt;MESCLUN_BED_CAP,$A47+$B47+AH$4&gt;TOTAL_BEDS_AVAILABLE,($D47+AH$5)&gt;TOTAL_LABOR_HOURS_CAP,MAX(0,($D47+AH$5)-PERMANENT_FIELD_LABOR_HOURS)&gt;TEMP_HOURS_CAP),"",$C47+AH$6-MIN(($D47+AH$5),PERMANENT_FIELD_LABOR_HOURS)*PERMANENT_HOURLY_RATE-MAX(0,($D47+AH$5)-PERMANENT_FIELD_LABOR_HOURS)*TEMP_HOURLY_RATE-FIXED_SEASON_COST)</f>
        <v>8846.29441015999</v>
      </c>
      <c r="AI47" s="53" t="n">
        <f aca="false">IF(OR($A47&gt;TOMATO_BED_CAP,$B47&gt;CARROT_BED_CAP,AI$4&gt;MESCLUN_BED_CAP,$A47+$B47+AI$4&gt;TOTAL_BEDS_AVAILABLE,($D47+AI$5)&gt;TOTAL_LABOR_HOURS_CAP,MAX(0,($D47+AI$5)-PERMANENT_FIELD_LABOR_HOURS)&gt;TEMP_HOURS_CAP),"",$C47+AI$6-MIN(($D47+AI$5),PERMANENT_FIELD_LABOR_HOURS)*PERMANENT_HOURLY_RATE-MAX(0,($D47+AI$5)-PERMANENT_FIELD_LABOR_HOURS)*TEMP_HOURLY_RATE-FIXED_SEASON_COST)</f>
        <v>9159.13344207226</v>
      </c>
      <c r="AJ47" s="53" t="n">
        <f aca="false">IF(OR($A47&gt;TOMATO_BED_CAP,$B47&gt;CARROT_BED_CAP,AJ$4&gt;MESCLUN_BED_CAP,$A47+$B47+AJ$4&gt;TOTAL_BEDS_AVAILABLE,($D47+AJ$5)&gt;TOTAL_LABOR_HOURS_CAP,MAX(0,($D47+AJ$5)-PERMANENT_FIELD_LABOR_HOURS)&gt;TEMP_HOURS_CAP),"",$C47+AJ$6-MIN(($D47+AJ$5),PERMANENT_FIELD_LABOR_HOURS)*PERMANENT_HOURLY_RATE-MAX(0,($D47+AJ$5)-PERMANENT_FIELD_LABOR_HOURS)*TEMP_HOURLY_RATE-FIXED_SEASON_COST)</f>
        <v>9439.13295747801</v>
      </c>
    </row>
    <row r="48" customFormat="false" ht="15" hidden="false" customHeight="false" outlineLevel="0" collapsed="false">
      <c r="A48" s="21" t="n">
        <f aca="false">INT((ROW()-ROW($A$8))/(20+1))</f>
        <v>1</v>
      </c>
      <c r="B48" s="21" t="n">
        <f aca="false">MOD(ROW()-ROW($A$8),20+1)</f>
        <v>19</v>
      </c>
      <c r="C48" s="13" t="n">
        <f aca="false">A48*(TOMATO_REVENUE_PER_BED-TOMATO_FERTILIZER_PER_BED)+B48*(CARROT_REVENUE_PER_BED-CARROT_FERTILIZER_PER_BED)</f>
        <v>39346</v>
      </c>
      <c r="D48" s="14" t="n">
        <f aca="false">INDEX(TOMATO_SCHED_LABOR_HRS,A48+1)+INDEX(CARROT_SCHED_LABOR_HRS,B48+1)</f>
        <v>1009.8661135777</v>
      </c>
      <c r="E48" s="13" t="n">
        <f aca="false">IF(COUNT(F48:AJ48)=0,"",MAX(F48:AJ48))</f>
        <v>9895.51356316373</v>
      </c>
      <c r="F48" s="53" t="n">
        <f aca="false">IF(OR($A48&gt;TOMATO_BED_CAP,$B48&gt;CARROT_BED_CAP,F$4&gt;MESCLUN_BED_CAP,$A48+$B48+F$4&gt;TOTAL_BEDS_AVAILABLE,($D48+F$5)&gt;TOTAL_LABOR_HOURS_CAP,MAX(0,($D48+F$5)-PERMANENT_FIELD_LABOR_HOURS)&gt;TEMP_HOURS_CAP),"",$C48+F$6-MIN(($D48+F$5),PERMANENT_FIELD_LABOR_HOURS)*PERMANENT_HOURLY_RATE-MAX(0,($D48+F$5)-PERMANENT_FIELD_LABOR_HOURS)*TEMP_HOURLY_RATE-FIXED_SEASON_COST)</f>
        <v>-10684.4757317088</v>
      </c>
      <c r="G48" s="53" t="n">
        <f aca="false">IF(OR($A48&gt;TOMATO_BED_CAP,$B48&gt;CARROT_BED_CAP,G$4&gt;MESCLUN_BED_CAP,$A48+$B48+G$4&gt;TOTAL_BEDS_AVAILABLE,($D48+G$5)&gt;TOTAL_LABOR_HOURS_CAP,MAX(0,($D48+G$5)-PERMANENT_FIELD_LABOR_HOURS)&gt;TEMP_HOURS_CAP),"",$C48+G$6-MIN(($D48+G$5),PERMANENT_FIELD_LABOR_HOURS)*PERMANENT_HOURLY_RATE-MAX(0,($D48+G$5)-PERMANENT_FIELD_LABOR_HOURS)*TEMP_HOURLY_RATE-FIXED_SEASON_COST)</f>
        <v>-9655.4407317088</v>
      </c>
      <c r="H48" s="53" t="n">
        <f aca="false">IF(OR($A48&gt;TOMATO_BED_CAP,$B48&gt;CARROT_BED_CAP,H$4&gt;MESCLUN_BED_CAP,$A48+$B48+H$4&gt;TOTAL_BEDS_AVAILABLE,($D48+H$5)&gt;TOTAL_LABOR_HOURS_CAP,MAX(0,($D48+H$5)-PERMANENT_FIELD_LABOR_HOURS)&gt;TEMP_HOURS_CAP),"",$C48+H$6-MIN(($D48+H$5),PERMANENT_FIELD_LABOR_HOURS)*PERMANENT_HOURLY_RATE-MAX(0,($D48+H$5)-PERMANENT_FIELD_LABOR_HOURS)*TEMP_HOURLY_RATE-FIXED_SEASON_COST)</f>
        <v>-8646.1798567088</v>
      </c>
      <c r="I48" s="53" t="n">
        <f aca="false">IF(OR($A48&gt;TOMATO_BED_CAP,$B48&gt;CARROT_BED_CAP,I$4&gt;MESCLUN_BED_CAP,$A48+$B48+I$4&gt;TOTAL_BEDS_AVAILABLE,($D48+I$5)&gt;TOTAL_LABOR_HOURS_CAP,MAX(0,($D48+I$5)-PERMANENT_FIELD_LABOR_HOURS)&gt;TEMP_HOURS_CAP),"",$C48+I$6-MIN(($D48+I$5),PERMANENT_FIELD_LABOR_HOURS)*PERMANENT_HOURLY_RATE-MAX(0,($D48+I$5)-PERMANENT_FIELD_LABOR_HOURS)*TEMP_HOURLY_RATE-FIXED_SEASON_COST)</f>
        <v>-7657.06387155256</v>
      </c>
      <c r="J48" s="53" t="n">
        <f aca="false">IF(OR($A48&gt;TOMATO_BED_CAP,$B48&gt;CARROT_BED_CAP,J$4&gt;MESCLUN_BED_CAP,$A48+$B48+J$4&gt;TOTAL_BEDS_AVAILABLE,($D48+J$5)&gt;TOTAL_LABOR_HOURS_CAP,MAX(0,($D48+J$5)-PERMANENT_FIELD_LABOR_HOURS)&gt;TEMP_HOURS_CAP),"",$C48+J$6-MIN(($D48+J$5),PERMANENT_FIELD_LABOR_HOURS)*PERMANENT_HOURLY_RATE-MAX(0,($D48+J$5)-PERMANENT_FIELD_LABOR_HOURS)*TEMP_HOURLY_RATE-FIXED_SEASON_COST)</f>
        <v>-6688.46972049787</v>
      </c>
      <c r="K48" s="53" t="n">
        <f aca="false">IF(OR($A48&gt;TOMATO_BED_CAP,$B48&gt;CARROT_BED_CAP,K$4&gt;MESCLUN_BED_CAP,$A48+$B48+K$4&gt;TOTAL_BEDS_AVAILABLE,($D48+K$5)&gt;TOTAL_LABOR_HOURS_CAP,MAX(0,($D48+K$5)-PERMANENT_FIELD_LABOR_HOURS)&gt;TEMP_HOURS_CAP),"",$C48+K$6-MIN(($D48+K$5),PERMANENT_FIELD_LABOR_HOURS)*PERMANENT_HOURLY_RATE-MAX(0,($D48+K$5)-PERMANENT_FIELD_LABOR_HOURS)*TEMP_HOURLY_RATE-FIXED_SEASON_COST)</f>
        <v>-5740.78062376996</v>
      </c>
      <c r="L48" s="53" t="n">
        <f aca="false">IF(OR($A48&gt;TOMATO_BED_CAP,$B48&gt;CARROT_BED_CAP,L$4&gt;MESCLUN_BED_CAP,$A48+$B48+L$4&gt;TOTAL_BEDS_AVAILABLE,($D48+L$5)&gt;TOTAL_LABOR_HOURS_CAP,MAX(0,($D48+L$5)-PERMANENT_FIELD_LABOR_HOURS)&gt;TEMP_HOURS_CAP),"",$C48+L$6-MIN(($D48+L$5),PERMANENT_FIELD_LABOR_HOURS)*PERMANENT_HOURLY_RATE-MAX(0,($D48+L$5)-PERMANENT_FIELD_LABOR_HOURS)*TEMP_HOURLY_RATE-FIXED_SEASON_COST)</f>
        <v>-4814.38617556311</v>
      </c>
      <c r="M48" s="53" t="n">
        <f aca="false">IF(OR($A48&gt;TOMATO_BED_CAP,$B48&gt;CARROT_BED_CAP,M$4&gt;MESCLUN_BED_CAP,$A48+$B48+M$4&gt;TOTAL_BEDS_AVAILABLE,($D48+M$5)&gt;TOTAL_LABOR_HOURS_CAP,MAX(0,($D48+M$5)-PERMANENT_FIELD_LABOR_HOURS)&gt;TEMP_HOURS_CAP),"",$C48+M$6-MIN(($D48+M$5),PERMANENT_FIELD_LABOR_HOURS)*PERMANENT_HOURLY_RATE-MAX(0,($D48+M$5)-PERMANENT_FIELD_LABOR_HOURS)*TEMP_HOURLY_RATE-FIXED_SEASON_COST)</f>
        <v>-3909.6824435117</v>
      </c>
      <c r="N48" s="53" t="n">
        <f aca="false">IF(OR($A48&gt;TOMATO_BED_CAP,$B48&gt;CARROT_BED_CAP,N$4&gt;MESCLUN_BED_CAP,$A48+$B48+N$4&gt;TOTAL_BEDS_AVAILABLE,($D48+N$5)&gt;TOTAL_LABOR_HOURS_CAP,MAX(0,($D48+N$5)-PERMANENT_FIELD_LABOR_HOURS)&gt;TEMP_HOURS_CAP),"",$C48+N$6-MIN(($D48+N$5),PERMANENT_FIELD_LABOR_HOURS)*PERMANENT_HOURLY_RATE-MAX(0,($D48+N$5)-PERMANENT_FIELD_LABOR_HOURS)*TEMP_HOURLY_RATE-FIXED_SEASON_COST)</f>
        <v>-3027.07206965216</v>
      </c>
      <c r="O48" s="53" t="n">
        <f aca="false">IF(OR($A48&gt;TOMATO_BED_CAP,$B48&gt;CARROT_BED_CAP,O$4&gt;MESCLUN_BED_CAP,$A48+$B48+O$4&gt;TOTAL_BEDS_AVAILABLE,($D48+O$5)&gt;TOTAL_LABOR_HOURS_CAP,MAX(0,($D48+O$5)-PERMANENT_FIELD_LABOR_HOURS)&gt;TEMP_HOURS_CAP),"",$C48+O$6-MIN(($D48+O$5),PERMANENT_FIELD_LABOR_HOURS)*PERMANENT_HOURLY_RATE-MAX(0,($D48+O$5)-PERMANENT_FIELD_LABOR_HOURS)*TEMP_HOURLY_RATE-FIXED_SEASON_COST)</f>
        <v>-2166.9643728974</v>
      </c>
      <c r="P48" s="53" t="n">
        <f aca="false">IF(OR($A48&gt;TOMATO_BED_CAP,$B48&gt;CARROT_BED_CAP,P$4&gt;MESCLUN_BED_CAP,$A48+$B48+P$4&gt;TOTAL_BEDS_AVAILABLE,($D48+P$5)&gt;TOTAL_LABOR_HOURS_CAP,MAX(0,($D48+P$5)-PERMANENT_FIELD_LABOR_HOURS)&gt;TEMP_HOURS_CAP),"",$C48+P$6-MIN(($D48+P$5),PERMANENT_FIELD_LABOR_HOURS)*PERMANENT_HOURLY_RATE-MAX(0,($D48+P$5)-PERMANENT_FIELD_LABOR_HOURS)*TEMP_HOURLY_RATE-FIXED_SEASON_COST)</f>
        <v>-1329.77545304598</v>
      </c>
      <c r="Q48" s="53" t="n">
        <f aca="false">IF(OR($A48&gt;TOMATO_BED_CAP,$B48&gt;CARROT_BED_CAP,Q$4&gt;MESCLUN_BED_CAP,$A48+$B48+Q$4&gt;TOTAL_BEDS_AVAILABLE,($D48+Q$5)&gt;TOTAL_LABOR_HOURS_CAP,MAX(0,($D48+Q$5)-PERMANENT_FIELD_LABOR_HOURS)&gt;TEMP_HOURS_CAP),"",$C48+Q$6-MIN(($D48+Q$5),PERMANENT_FIELD_LABOR_HOURS)*PERMANENT_HOURLY_RATE-MAX(0,($D48+Q$5)-PERMANENT_FIELD_LABOR_HOURS)*TEMP_HOURLY_RATE-FIXED_SEASON_COST)</f>
        <v>-515.92829634808</v>
      </c>
      <c r="R48" s="53" t="n">
        <f aca="false">IF(OR($A48&gt;TOMATO_BED_CAP,$B48&gt;CARROT_BED_CAP,R$4&gt;MESCLUN_BED_CAP,$A48+$B48+R$4&gt;TOTAL_BEDS_AVAILABLE,($D48+R$5)&gt;TOTAL_LABOR_HOURS_CAP,MAX(0,($D48+R$5)-PERMANENT_FIELD_LABOR_HOURS)&gt;TEMP_HOURS_CAP),"",$C48+R$6-MIN(($D48+R$5),PERMANENT_FIELD_LABOR_HOURS)*PERMANENT_HOURLY_RATE-MAX(0,($D48+R$5)-PERMANENT_FIELD_LABOR_HOURS)*TEMP_HOURLY_RATE-FIXED_SEASON_COST)</f>
        <v>274.147117348723</v>
      </c>
      <c r="S48" s="53" t="n">
        <f aca="false">IF(OR($A48&gt;TOMATO_BED_CAP,$B48&gt;CARROT_BED_CAP,S$4&gt;MESCLUN_BED_CAP,$A48+$B48+S$4&gt;TOTAL_BEDS_AVAILABLE,($D48+S$5)&gt;TOTAL_LABOR_HOURS_CAP,MAX(0,($D48+S$5)-PERMANENT_FIELD_LABOR_HOURS)&gt;TEMP_HOURS_CAP),"",$C48+S$6-MIN(($D48+S$5),PERMANENT_FIELD_LABOR_HOURS)*PERMANENT_HOURLY_RATE-MAX(0,($D48+S$5)-PERMANENT_FIELD_LABOR_HOURS)*TEMP_HOURLY_RATE-FIXED_SEASON_COST)</f>
        <v>1040.01370585118</v>
      </c>
      <c r="T48" s="53" t="n">
        <f aca="false">IF(OR($A48&gt;TOMATO_BED_CAP,$B48&gt;CARROT_BED_CAP,T$4&gt;MESCLUN_BED_CAP,$A48+$B48+T$4&gt;TOTAL_BEDS_AVAILABLE,($D48+T$5)&gt;TOTAL_LABOR_HOURS_CAP,MAX(0,($D48+T$5)-PERMANENT_FIELD_LABOR_HOURS)&gt;TEMP_HOURS_CAP),"",$C48+T$6-MIN(($D48+T$5),PERMANENT_FIELD_LABOR_HOURS)*PERMANENT_HOURLY_RATE-MAX(0,($D48+T$5)-PERMANENT_FIELD_LABOR_HOURS)*TEMP_HOURLY_RATE-FIXED_SEASON_COST)</f>
        <v>1781.22717424602</v>
      </c>
      <c r="U48" s="53" t="n">
        <f aca="false">IF(OR($A48&gt;TOMATO_BED_CAP,$B48&gt;CARROT_BED_CAP,U$4&gt;MESCLUN_BED_CAP,$A48+$B48+U$4&gt;TOTAL_BEDS_AVAILABLE,($D48+U$5)&gt;TOTAL_LABOR_HOURS_CAP,MAX(0,($D48+U$5)-PERMANENT_FIELD_LABOR_HOURS)&gt;TEMP_HOURS_CAP),"",$C48+U$6-MIN(($D48+U$5),PERMANENT_FIELD_LABOR_HOURS)*PERMANENT_HOURLY_RATE-MAX(0,($D48+U$5)-PERMANENT_FIELD_LABOR_HOURS)*TEMP_HOURLY_RATE-FIXED_SEASON_COST)</f>
        <v>2497.33590287612</v>
      </c>
      <c r="V48" s="53" t="n">
        <f aca="false">IF(OR($A48&gt;TOMATO_BED_CAP,$B48&gt;CARROT_BED_CAP,V$4&gt;MESCLUN_BED_CAP,$A48+$B48+V$4&gt;TOTAL_BEDS_AVAILABLE,($D48+V$5)&gt;TOTAL_LABOR_HOURS_CAP,MAX(0,($D48+V$5)-PERMANENT_FIELD_LABOR_HOURS)&gt;TEMP_HOURS_CAP),"",$C48+V$6-MIN(($D48+V$5),PERMANENT_FIELD_LABOR_HOURS)*PERMANENT_HOURLY_RATE-MAX(0,($D48+V$5)-PERMANENT_FIELD_LABOR_HOURS)*TEMP_HOURLY_RATE-FIXED_SEASON_COST)</f>
        <v>3187.88083364291</v>
      </c>
      <c r="W48" s="53" t="n">
        <f aca="false">IF(OR($A48&gt;TOMATO_BED_CAP,$B48&gt;CARROT_BED_CAP,W$4&gt;MESCLUN_BED_CAP,$A48+$B48+W$4&gt;TOTAL_BEDS_AVAILABLE,($D48+W$5)&gt;TOTAL_LABOR_HOURS_CAP,MAX(0,($D48+W$5)-PERMANENT_FIELD_LABOR_HOURS)&gt;TEMP_HOURS_CAP),"",$C48+W$6-MIN(($D48+W$5),PERMANENT_FIELD_LABOR_HOURS)*PERMANENT_HOURLY_RATE-MAX(0,($D48+W$5)-PERMANENT_FIELD_LABOR_HOURS)*TEMP_HOURLY_RATE-FIXED_SEASON_COST)</f>
        <v>3852.39535461097</v>
      </c>
      <c r="X48" s="53" t="n">
        <f aca="false">IF(OR($A48&gt;TOMATO_BED_CAP,$B48&gt;CARROT_BED_CAP,X$4&gt;MESCLUN_BED_CAP,$A48+$B48+X$4&gt;TOTAL_BEDS_AVAILABLE,($D48+X$5)&gt;TOTAL_LABOR_HOURS_CAP,MAX(0,($D48+X$5)-PERMANENT_FIELD_LABOR_HOURS)&gt;TEMP_HOURS_CAP),"",$C48+X$6-MIN(($D48+X$5),PERMANENT_FIELD_LABOR_HOURS)*PERMANENT_HOURLY_RATE-MAX(0,($D48+X$5)-PERMANENT_FIELD_LABOR_HOURS)*TEMP_HOURLY_RATE-FIXED_SEASON_COST)</f>
        <v>4490.40518288989</v>
      </c>
      <c r="Y48" s="53" t="n">
        <f aca="false">IF(OR($A48&gt;TOMATO_BED_CAP,$B48&gt;CARROT_BED_CAP,Y$4&gt;MESCLUN_BED_CAP,$A48+$B48+Y$4&gt;TOTAL_BEDS_AVAILABLE,($D48+Y$5)&gt;TOTAL_LABOR_HOURS_CAP,MAX(0,($D48+Y$5)-PERMANENT_FIELD_LABOR_HOURS)&gt;TEMP_HOURS_CAP),"",$C48+Y$6-MIN(($D48+Y$5),PERMANENT_FIELD_LABOR_HOURS)*PERMANENT_HOURLY_RATE-MAX(0,($D48+Y$5)-PERMANENT_FIELD_LABOR_HOURS)*TEMP_HOURLY_RATE-FIXED_SEASON_COST)</f>
        <v>5101.42824576856</v>
      </c>
      <c r="Z48" s="53" t="n">
        <f aca="false">IF(OR($A48&gt;TOMATO_BED_CAP,$B48&gt;CARROT_BED_CAP,Z$4&gt;MESCLUN_BED_CAP,$A48+$B48+Z$4&gt;TOTAL_BEDS_AVAILABLE,($D48+Z$5)&gt;TOTAL_LABOR_HOURS_CAP,MAX(0,($D48+Z$5)-PERMANENT_FIELD_LABOR_HOURS)&gt;TEMP_HOURS_CAP),"",$C48+Z$6-MIN(($D48+Z$5),PERMANENT_FIELD_LABOR_HOURS)*PERMANENT_HOURLY_RATE-MAX(0,($D48+Z$5)-PERMANENT_FIELD_LABOR_HOURS)*TEMP_HOURLY_RATE-FIXED_SEASON_COST)</f>
        <v>5684.97456007628</v>
      </c>
      <c r="AA48" s="53" t="n">
        <f aca="false">IF(OR($A48&gt;TOMATO_BED_CAP,$B48&gt;CARROT_BED_CAP,AA$4&gt;MESCLUN_BED_CAP,$A48+$B48+AA$4&gt;TOTAL_BEDS_AVAILABLE,($D48+AA$5)&gt;TOTAL_LABOR_HOURS_CAP,MAX(0,($D48+AA$5)-PERMANENT_FIELD_LABOR_HOURS)&gt;TEMP_HOURS_CAP),"",$C48+AA$6-MIN(($D48+AA$5),PERMANENT_FIELD_LABOR_HOURS)*PERMANENT_HOURLY_RATE-MAX(0,($D48+AA$5)-PERMANENT_FIELD_LABOR_HOURS)*TEMP_HOURLY_RATE-FIXED_SEASON_COST)</f>
        <v>6240.54610974521</v>
      </c>
      <c r="AB48" s="53" t="n">
        <f aca="false">IF(OR($A48&gt;TOMATO_BED_CAP,$B48&gt;CARROT_BED_CAP,AB$4&gt;MESCLUN_BED_CAP,$A48+$B48+AB$4&gt;TOTAL_BEDS_AVAILABLE,($D48+AB$5)&gt;TOTAL_LABOR_HOURS_CAP,MAX(0,($D48+AB$5)-PERMANENT_FIELD_LABOR_HOURS)&gt;TEMP_HOURS_CAP),"",$C48+AB$6-MIN(($D48+AB$5),PERMANENT_FIELD_LABOR_HOURS)*PERMANENT_HOURLY_RATE-MAX(0,($D48+AB$5)-PERMANENT_FIELD_LABOR_HOURS)*TEMP_HOURLY_RATE-FIXED_SEASON_COST)</f>
        <v>6767.63672154777</v>
      </c>
      <c r="AC48" s="53" t="n">
        <f aca="false">IF(OR($A48&gt;TOMATO_BED_CAP,$B48&gt;CARROT_BED_CAP,AC$4&gt;MESCLUN_BED_CAP,$A48+$B48+AC$4&gt;TOTAL_BEDS_AVAILABLE,($D48+AC$5)&gt;TOTAL_LABOR_HOURS_CAP,MAX(0,($D48+AC$5)-PERMANENT_FIELD_LABOR_HOURS)&gt;TEMP_HOURS_CAP),"",$C48+AC$6-MIN(($D48+AC$5),PERMANENT_FIELD_LABOR_HOURS)*PERMANENT_HOURLY_RATE-MAX(0,($D48+AC$5)-PERMANENT_FIELD_LABOR_HOURS)*TEMP_HOURLY_RATE-FIXED_SEASON_COST)</f>
        <v>7265.73193898268</v>
      </c>
      <c r="AD48" s="53" t="n">
        <f aca="false">IF(OR($A48&gt;TOMATO_BED_CAP,$B48&gt;CARROT_BED_CAP,AD$4&gt;MESCLUN_BED_CAP,$A48+$B48+AD$4&gt;TOTAL_BEDS_AVAILABLE,($D48+AD$5)&gt;TOTAL_LABOR_HOURS_CAP,MAX(0,($D48+AD$5)-PERMANENT_FIELD_LABOR_HOURS)&gt;TEMP_HOURS_CAP),"",$C48+AD$6-MIN(($D48+AD$5),PERMANENT_FIELD_LABOR_HOURS)*PERMANENT_HOURLY_RATE-MAX(0,($D48+AD$5)-PERMANENT_FIELD_LABOR_HOURS)*TEMP_HOURLY_RATE-FIXED_SEASON_COST)</f>
        <v>7734.30889428263</v>
      </c>
      <c r="AE48" s="53" t="n">
        <f aca="false">IF(OR($A48&gt;TOMATO_BED_CAP,$B48&gt;CARROT_BED_CAP,AE$4&gt;MESCLUN_BED_CAP,$A48+$B48+AE$4&gt;TOTAL_BEDS_AVAILABLE,($D48+AE$5)&gt;TOTAL_LABOR_HOURS_CAP,MAX(0,($D48+AE$5)-PERMANENT_FIELD_LABOR_HOURS)&gt;TEMP_HOURS_CAP),"",$C48+AE$6-MIN(($D48+AE$5),PERMANENT_FIELD_LABOR_HOURS)*PERMANENT_HOURLY_RATE-MAX(0,($D48+AE$5)-PERMANENT_FIELD_LABOR_HOURS)*TEMP_HOURLY_RATE-FIXED_SEASON_COST)</f>
        <v>8172.83617851654</v>
      </c>
      <c r="AF48" s="53" t="n">
        <f aca="false">IF(OR($A48&gt;TOMATO_BED_CAP,$B48&gt;CARROT_BED_CAP,AF$4&gt;MESCLUN_BED_CAP,$A48+$B48+AF$4&gt;TOTAL_BEDS_AVAILABLE,($D48+AF$5)&gt;TOTAL_LABOR_HOURS_CAP,MAX(0,($D48+AF$5)-PERMANENT_FIELD_LABOR_HOURS)&gt;TEMP_HOURS_CAP),"",$C48+AF$6-MIN(($D48+AF$5),PERMANENT_FIELD_LABOR_HOURS)*PERMANENT_HOURLY_RATE-MAX(0,($D48+AF$5)-PERMANENT_FIELD_LABOR_HOURS)*TEMP_HOURLY_RATE-FIXED_SEASON_COST)</f>
        <v>8580.77370975849</v>
      </c>
      <c r="AG48" s="53" t="n">
        <f aca="false">IF(OR($A48&gt;TOMATO_BED_CAP,$B48&gt;CARROT_BED_CAP,AG$4&gt;MESCLUN_BED_CAP,$A48+$B48+AG$4&gt;TOTAL_BEDS_AVAILABLE,($D48+AG$5)&gt;TOTAL_LABOR_HOURS_CAP,MAX(0,($D48+AG$5)-PERMANENT_FIELD_LABOR_HOURS)&gt;TEMP_HOURS_CAP),"",$C48+AG$6-MIN(($D48+AG$5),PERMANENT_FIELD_LABOR_HOURS)*PERMANENT_HOURLY_RATE-MAX(0,($D48+AG$5)-PERMANENT_FIELD_LABOR_HOURS)*TEMP_HOURLY_RATE-FIXED_SEASON_COST)</f>
        <v>8957.57259929551</v>
      </c>
      <c r="AH48" s="53" t="n">
        <f aca="false">IF(OR($A48&gt;TOMATO_BED_CAP,$B48&gt;CARROT_BED_CAP,AH$4&gt;MESCLUN_BED_CAP,$A48+$B48+AH$4&gt;TOTAL_BEDS_AVAILABLE,($D48+AH$5)&gt;TOTAL_LABOR_HOURS_CAP,MAX(0,($D48+AH$5)-PERMANENT_FIELD_LABOR_HOURS)&gt;TEMP_HOURS_CAP),"",$C48+AH$6-MIN(($D48+AH$5),PERMANENT_FIELD_LABOR_HOURS)*PERMANENT_HOURLY_RATE-MAX(0,($D48+AH$5)-PERMANENT_FIELD_LABOR_HOURS)*TEMP_HOURLY_RATE-FIXED_SEASON_COST)</f>
        <v>9302.67501584572</v>
      </c>
      <c r="AI48" s="53" t="n">
        <f aca="false">IF(OR($A48&gt;TOMATO_BED_CAP,$B48&gt;CARROT_BED_CAP,AI$4&gt;MESCLUN_BED_CAP,$A48+$B48+AI$4&gt;TOTAL_BEDS_AVAILABLE,($D48+AI$5)&gt;TOTAL_LABOR_HOURS_CAP,MAX(0,($D48+AI$5)-PERMANENT_FIELD_LABOR_HOURS)&gt;TEMP_HOURS_CAP),"",$C48+AI$6-MIN(($D48+AI$5),PERMANENT_FIELD_LABOR_HOURS)*PERMANENT_HOURLY_RATE-MAX(0,($D48+AI$5)-PERMANENT_FIELD_LABOR_HOURS)*TEMP_HOURLY_RATE-FIXED_SEASON_COST)</f>
        <v>9615.51404775798</v>
      </c>
      <c r="AJ48" s="53" t="n">
        <f aca="false">IF(OR($A48&gt;TOMATO_BED_CAP,$B48&gt;CARROT_BED_CAP,AJ$4&gt;MESCLUN_BED_CAP,$A48+$B48+AJ$4&gt;TOTAL_BEDS_AVAILABLE,($D48+AJ$5)&gt;TOTAL_LABOR_HOURS_CAP,MAX(0,($D48+AJ$5)-PERMANENT_FIELD_LABOR_HOURS)&gt;TEMP_HOURS_CAP),"",$C48+AJ$6-MIN(($D48+AJ$5),PERMANENT_FIELD_LABOR_HOURS)*PERMANENT_HOURLY_RATE-MAX(0,($D48+AJ$5)-PERMANENT_FIELD_LABOR_HOURS)*TEMP_HOURLY_RATE-FIXED_SEASON_COST)</f>
        <v>9895.51356316373</v>
      </c>
    </row>
    <row r="49" customFormat="false" ht="15" hidden="false" customHeight="false" outlineLevel="0" collapsed="false">
      <c r="A49" s="21" t="n">
        <f aca="false">INT((ROW()-ROW($A$8))/(20+1))</f>
        <v>1</v>
      </c>
      <c r="B49" s="21" t="n">
        <f aca="false">MOD(ROW()-ROW($A$8),20+1)</f>
        <v>20</v>
      </c>
      <c r="C49" s="13" t="n">
        <f aca="false">A49*(TOMATO_REVENUE_PER_BED-TOMATO_FERTILIZER_PER_BED)+B49*(CARROT_REVENUE_PER_BED-CARROT_FERTILIZER_PER_BED)</f>
        <v>41000</v>
      </c>
      <c r="D49" s="14" t="n">
        <f aca="false">INDEX(TOMATO_SCHED_LABOR_HRS,A49+1)+INDEX(CARROT_SCHED_LABOR_HRS,B49+1)</f>
        <v>1081.77659622857</v>
      </c>
      <c r="E49" s="13" t="n">
        <f aca="false">IF(COUNT(F49:AJ49)=0,"",MAX(F49:AJ49))</f>
        <v>10301.1475843446</v>
      </c>
      <c r="F49" s="53" t="n">
        <f aca="false">IF(OR($A49&gt;TOMATO_BED_CAP,$B49&gt;CARROT_BED_CAP,F$4&gt;MESCLUN_BED_CAP,$A49+$B49+F$4&gt;TOTAL_BEDS_AVAILABLE,($D49+F$5)&gt;TOTAL_LABOR_HOURS_CAP,MAX(0,($D49+F$5)-PERMANENT_FIELD_LABOR_HOURS)&gt;TEMP_HOURS_CAP),"",$C49+F$6-MIN(($D49+F$5),PERMANENT_FIELD_LABOR_HOURS)*PERMANENT_HOURLY_RATE-MAX(0,($D49+F$5)-PERMANENT_FIELD_LABOR_HOURS)*TEMP_HOURLY_RATE-FIXED_SEASON_COST)</f>
        <v>-10278.8417105279</v>
      </c>
      <c r="G49" s="53" t="n">
        <f aca="false">IF(OR($A49&gt;TOMATO_BED_CAP,$B49&gt;CARROT_BED_CAP,G$4&gt;MESCLUN_BED_CAP,$A49+$B49+G$4&gt;TOTAL_BEDS_AVAILABLE,($D49+G$5)&gt;TOTAL_LABOR_HOURS_CAP,MAX(0,($D49+G$5)-PERMANENT_FIELD_LABOR_HOURS)&gt;TEMP_HOURS_CAP),"",$C49+G$6-MIN(($D49+G$5),PERMANENT_FIELD_LABOR_HOURS)*PERMANENT_HOURLY_RATE-MAX(0,($D49+G$5)-PERMANENT_FIELD_LABOR_HOURS)*TEMP_HOURLY_RATE-FIXED_SEASON_COST)</f>
        <v>-9249.80671052792</v>
      </c>
      <c r="H49" s="53" t="n">
        <f aca="false">IF(OR($A49&gt;TOMATO_BED_CAP,$B49&gt;CARROT_BED_CAP,H$4&gt;MESCLUN_BED_CAP,$A49+$B49+H$4&gt;TOTAL_BEDS_AVAILABLE,($D49+H$5)&gt;TOTAL_LABOR_HOURS_CAP,MAX(0,($D49+H$5)-PERMANENT_FIELD_LABOR_HOURS)&gt;TEMP_HOURS_CAP),"",$C49+H$6-MIN(($D49+H$5),PERMANENT_FIELD_LABOR_HOURS)*PERMANENT_HOURLY_RATE-MAX(0,($D49+H$5)-PERMANENT_FIELD_LABOR_HOURS)*TEMP_HOURLY_RATE-FIXED_SEASON_COST)</f>
        <v>-8240.54583552792</v>
      </c>
      <c r="I49" s="53" t="n">
        <f aca="false">IF(OR($A49&gt;TOMATO_BED_CAP,$B49&gt;CARROT_BED_CAP,I$4&gt;MESCLUN_BED_CAP,$A49+$B49+I$4&gt;TOTAL_BEDS_AVAILABLE,($D49+I$5)&gt;TOTAL_LABOR_HOURS_CAP,MAX(0,($D49+I$5)-PERMANENT_FIELD_LABOR_HOURS)&gt;TEMP_HOURS_CAP),"",$C49+I$6-MIN(($D49+I$5),PERMANENT_FIELD_LABOR_HOURS)*PERMANENT_HOURLY_RATE-MAX(0,($D49+I$5)-PERMANENT_FIELD_LABOR_HOURS)*TEMP_HOURLY_RATE-FIXED_SEASON_COST)</f>
        <v>-7251.42985037167</v>
      </c>
      <c r="J49" s="53" t="n">
        <f aca="false">IF(OR($A49&gt;TOMATO_BED_CAP,$B49&gt;CARROT_BED_CAP,J$4&gt;MESCLUN_BED_CAP,$A49+$B49+J$4&gt;TOTAL_BEDS_AVAILABLE,($D49+J$5)&gt;TOTAL_LABOR_HOURS_CAP,MAX(0,($D49+J$5)-PERMANENT_FIELD_LABOR_HOURS)&gt;TEMP_HOURS_CAP),"",$C49+J$6-MIN(($D49+J$5),PERMANENT_FIELD_LABOR_HOURS)*PERMANENT_HOURLY_RATE-MAX(0,($D49+J$5)-PERMANENT_FIELD_LABOR_HOURS)*TEMP_HOURLY_RATE-FIXED_SEASON_COST)</f>
        <v>-6282.83569931698</v>
      </c>
      <c r="K49" s="53" t="n">
        <f aca="false">IF(OR($A49&gt;TOMATO_BED_CAP,$B49&gt;CARROT_BED_CAP,K$4&gt;MESCLUN_BED_CAP,$A49+$B49+K$4&gt;TOTAL_BEDS_AVAILABLE,($D49+K$5)&gt;TOTAL_LABOR_HOURS_CAP,MAX(0,($D49+K$5)-PERMANENT_FIELD_LABOR_HOURS)&gt;TEMP_HOURS_CAP),"",$C49+K$6-MIN(($D49+K$5),PERMANENT_FIELD_LABOR_HOURS)*PERMANENT_HOURLY_RATE-MAX(0,($D49+K$5)-PERMANENT_FIELD_LABOR_HOURS)*TEMP_HOURLY_RATE-FIXED_SEASON_COST)</f>
        <v>-5335.14660258908</v>
      </c>
      <c r="L49" s="53" t="n">
        <f aca="false">IF(OR($A49&gt;TOMATO_BED_CAP,$B49&gt;CARROT_BED_CAP,L$4&gt;MESCLUN_BED_CAP,$A49+$B49+L$4&gt;TOTAL_BEDS_AVAILABLE,($D49+L$5)&gt;TOTAL_LABOR_HOURS_CAP,MAX(0,($D49+L$5)-PERMANENT_FIELD_LABOR_HOURS)&gt;TEMP_HOURS_CAP),"",$C49+L$6-MIN(($D49+L$5),PERMANENT_FIELD_LABOR_HOURS)*PERMANENT_HOURLY_RATE-MAX(0,($D49+L$5)-PERMANENT_FIELD_LABOR_HOURS)*TEMP_HOURLY_RATE-FIXED_SEASON_COST)</f>
        <v>-4408.75215438222</v>
      </c>
      <c r="M49" s="53" t="n">
        <f aca="false">IF(OR($A49&gt;TOMATO_BED_CAP,$B49&gt;CARROT_BED_CAP,M$4&gt;MESCLUN_BED_CAP,$A49+$B49+M$4&gt;TOTAL_BEDS_AVAILABLE,($D49+M$5)&gt;TOTAL_LABOR_HOURS_CAP,MAX(0,($D49+M$5)-PERMANENT_FIELD_LABOR_HOURS)&gt;TEMP_HOURS_CAP),"",$C49+M$6-MIN(($D49+M$5),PERMANENT_FIELD_LABOR_HOURS)*PERMANENT_HOURLY_RATE-MAX(0,($D49+M$5)-PERMANENT_FIELD_LABOR_HOURS)*TEMP_HOURLY_RATE-FIXED_SEASON_COST)</f>
        <v>-3504.04842233082</v>
      </c>
      <c r="N49" s="53" t="n">
        <f aca="false">IF(OR($A49&gt;TOMATO_BED_CAP,$B49&gt;CARROT_BED_CAP,N$4&gt;MESCLUN_BED_CAP,$A49+$B49+N$4&gt;TOTAL_BEDS_AVAILABLE,($D49+N$5)&gt;TOTAL_LABOR_HOURS_CAP,MAX(0,($D49+N$5)-PERMANENT_FIELD_LABOR_HOURS)&gt;TEMP_HOURS_CAP),"",$C49+N$6-MIN(($D49+N$5),PERMANENT_FIELD_LABOR_HOURS)*PERMANENT_HOURLY_RATE-MAX(0,($D49+N$5)-PERMANENT_FIELD_LABOR_HOURS)*TEMP_HOURLY_RATE-FIXED_SEASON_COST)</f>
        <v>-2621.43804847127</v>
      </c>
      <c r="O49" s="53" t="n">
        <f aca="false">IF(OR($A49&gt;TOMATO_BED_CAP,$B49&gt;CARROT_BED_CAP,O$4&gt;MESCLUN_BED_CAP,$A49+$B49+O$4&gt;TOTAL_BEDS_AVAILABLE,($D49+O$5)&gt;TOTAL_LABOR_HOURS_CAP,MAX(0,($D49+O$5)-PERMANENT_FIELD_LABOR_HOURS)&gt;TEMP_HOURS_CAP),"",$C49+O$6-MIN(($D49+O$5),PERMANENT_FIELD_LABOR_HOURS)*PERMANENT_HOURLY_RATE-MAX(0,($D49+O$5)-PERMANENT_FIELD_LABOR_HOURS)*TEMP_HOURLY_RATE-FIXED_SEASON_COST)</f>
        <v>-1761.33035171652</v>
      </c>
      <c r="P49" s="53" t="n">
        <f aca="false">IF(OR($A49&gt;TOMATO_BED_CAP,$B49&gt;CARROT_BED_CAP,P$4&gt;MESCLUN_BED_CAP,$A49+$B49+P$4&gt;TOTAL_BEDS_AVAILABLE,($D49+P$5)&gt;TOTAL_LABOR_HOURS_CAP,MAX(0,($D49+P$5)-PERMANENT_FIELD_LABOR_HOURS)&gt;TEMP_HOURS_CAP),"",$C49+P$6-MIN(($D49+P$5),PERMANENT_FIELD_LABOR_HOURS)*PERMANENT_HOURLY_RATE-MAX(0,($D49+P$5)-PERMANENT_FIELD_LABOR_HOURS)*TEMP_HOURLY_RATE-FIXED_SEASON_COST)</f>
        <v>-924.141431865086</v>
      </c>
      <c r="Q49" s="53" t="n">
        <f aca="false">IF(OR($A49&gt;TOMATO_BED_CAP,$B49&gt;CARROT_BED_CAP,Q$4&gt;MESCLUN_BED_CAP,$A49+$B49+Q$4&gt;TOTAL_BEDS_AVAILABLE,($D49+Q$5)&gt;TOTAL_LABOR_HOURS_CAP,MAX(0,($D49+Q$5)-PERMANENT_FIELD_LABOR_HOURS)&gt;TEMP_HOURS_CAP),"",$C49+Q$6-MIN(($D49+Q$5),PERMANENT_FIELD_LABOR_HOURS)*PERMANENT_HOURLY_RATE-MAX(0,($D49+Q$5)-PERMANENT_FIELD_LABOR_HOURS)*TEMP_HOURLY_RATE-FIXED_SEASON_COST)</f>
        <v>-110.294275167191</v>
      </c>
      <c r="R49" s="53" t="n">
        <f aca="false">IF(OR($A49&gt;TOMATO_BED_CAP,$B49&gt;CARROT_BED_CAP,R$4&gt;MESCLUN_BED_CAP,$A49+$B49+R$4&gt;TOTAL_BEDS_AVAILABLE,($D49+R$5)&gt;TOTAL_LABOR_HOURS_CAP,MAX(0,($D49+R$5)-PERMANENT_FIELD_LABOR_HOURS)&gt;TEMP_HOURS_CAP),"",$C49+R$6-MIN(($D49+R$5),PERMANENT_FIELD_LABOR_HOURS)*PERMANENT_HOURLY_RATE-MAX(0,($D49+R$5)-PERMANENT_FIELD_LABOR_HOURS)*TEMP_HOURLY_RATE-FIXED_SEASON_COST)</f>
        <v>679.781138529612</v>
      </c>
      <c r="S49" s="53" t="n">
        <f aca="false">IF(OR($A49&gt;TOMATO_BED_CAP,$B49&gt;CARROT_BED_CAP,S$4&gt;MESCLUN_BED_CAP,$A49+$B49+S$4&gt;TOTAL_BEDS_AVAILABLE,($D49+S$5)&gt;TOTAL_LABOR_HOURS_CAP,MAX(0,($D49+S$5)-PERMANENT_FIELD_LABOR_HOURS)&gt;TEMP_HOURS_CAP),"",$C49+S$6-MIN(($D49+S$5),PERMANENT_FIELD_LABOR_HOURS)*PERMANENT_HOURLY_RATE-MAX(0,($D49+S$5)-PERMANENT_FIELD_LABOR_HOURS)*TEMP_HOURLY_RATE-FIXED_SEASON_COST)</f>
        <v>1445.64772703206</v>
      </c>
      <c r="T49" s="53" t="n">
        <f aca="false">IF(OR($A49&gt;TOMATO_BED_CAP,$B49&gt;CARROT_BED_CAP,T$4&gt;MESCLUN_BED_CAP,$A49+$B49+T$4&gt;TOTAL_BEDS_AVAILABLE,($D49+T$5)&gt;TOTAL_LABOR_HOURS_CAP,MAX(0,($D49+T$5)-PERMANENT_FIELD_LABOR_HOURS)&gt;TEMP_HOURS_CAP),"",$C49+T$6-MIN(($D49+T$5),PERMANENT_FIELD_LABOR_HOURS)*PERMANENT_HOURLY_RATE-MAX(0,($D49+T$5)-PERMANENT_FIELD_LABOR_HOURS)*TEMP_HOURLY_RATE-FIXED_SEASON_COST)</f>
        <v>2186.86119542691</v>
      </c>
      <c r="U49" s="53" t="n">
        <f aca="false">IF(OR($A49&gt;TOMATO_BED_CAP,$B49&gt;CARROT_BED_CAP,U$4&gt;MESCLUN_BED_CAP,$A49+$B49+U$4&gt;TOTAL_BEDS_AVAILABLE,($D49+U$5)&gt;TOTAL_LABOR_HOURS_CAP,MAX(0,($D49+U$5)-PERMANENT_FIELD_LABOR_HOURS)&gt;TEMP_HOURS_CAP),"",$C49+U$6-MIN(($D49+U$5),PERMANENT_FIELD_LABOR_HOURS)*PERMANENT_HOURLY_RATE-MAX(0,($D49+U$5)-PERMANENT_FIELD_LABOR_HOURS)*TEMP_HOURLY_RATE-FIXED_SEASON_COST)</f>
        <v>2902.969924057</v>
      </c>
      <c r="V49" s="53" t="n">
        <f aca="false">IF(OR($A49&gt;TOMATO_BED_CAP,$B49&gt;CARROT_BED_CAP,V$4&gt;MESCLUN_BED_CAP,$A49+$B49+V$4&gt;TOTAL_BEDS_AVAILABLE,($D49+V$5)&gt;TOTAL_LABOR_HOURS_CAP,MAX(0,($D49+V$5)-PERMANENT_FIELD_LABOR_HOURS)&gt;TEMP_HOURS_CAP),"",$C49+V$6-MIN(($D49+V$5),PERMANENT_FIELD_LABOR_HOURS)*PERMANENT_HOURLY_RATE-MAX(0,($D49+V$5)-PERMANENT_FIELD_LABOR_HOURS)*TEMP_HOURLY_RATE-FIXED_SEASON_COST)</f>
        <v>3593.5148548238</v>
      </c>
      <c r="W49" s="53" t="n">
        <f aca="false">IF(OR($A49&gt;TOMATO_BED_CAP,$B49&gt;CARROT_BED_CAP,W$4&gt;MESCLUN_BED_CAP,$A49+$B49+W$4&gt;TOTAL_BEDS_AVAILABLE,($D49+W$5)&gt;TOTAL_LABOR_HOURS_CAP,MAX(0,($D49+W$5)-PERMANENT_FIELD_LABOR_HOURS)&gt;TEMP_HOURS_CAP),"",$C49+W$6-MIN(($D49+W$5),PERMANENT_FIELD_LABOR_HOURS)*PERMANENT_HOURLY_RATE-MAX(0,($D49+W$5)-PERMANENT_FIELD_LABOR_HOURS)*TEMP_HOURLY_RATE-FIXED_SEASON_COST)</f>
        <v>4258.02937579186</v>
      </c>
      <c r="X49" s="53" t="n">
        <f aca="false">IF(OR($A49&gt;TOMATO_BED_CAP,$B49&gt;CARROT_BED_CAP,X$4&gt;MESCLUN_BED_CAP,$A49+$B49+X$4&gt;TOTAL_BEDS_AVAILABLE,($D49+X$5)&gt;TOTAL_LABOR_HOURS_CAP,MAX(0,($D49+X$5)-PERMANENT_FIELD_LABOR_HOURS)&gt;TEMP_HOURS_CAP),"",$C49+X$6-MIN(($D49+X$5),PERMANENT_FIELD_LABOR_HOURS)*PERMANENT_HOURLY_RATE-MAX(0,($D49+X$5)-PERMANENT_FIELD_LABOR_HOURS)*TEMP_HOURLY_RATE-FIXED_SEASON_COST)</f>
        <v>4896.03920407078</v>
      </c>
      <c r="Y49" s="53" t="n">
        <f aca="false">IF(OR($A49&gt;TOMATO_BED_CAP,$B49&gt;CARROT_BED_CAP,Y$4&gt;MESCLUN_BED_CAP,$A49+$B49+Y$4&gt;TOTAL_BEDS_AVAILABLE,($D49+Y$5)&gt;TOTAL_LABOR_HOURS_CAP,MAX(0,($D49+Y$5)-PERMANENT_FIELD_LABOR_HOURS)&gt;TEMP_HOURS_CAP),"",$C49+Y$6-MIN(($D49+Y$5),PERMANENT_FIELD_LABOR_HOURS)*PERMANENT_HOURLY_RATE-MAX(0,($D49+Y$5)-PERMANENT_FIELD_LABOR_HOURS)*TEMP_HOURLY_RATE-FIXED_SEASON_COST)</f>
        <v>5507.06226694944</v>
      </c>
      <c r="Z49" s="53" t="n">
        <f aca="false">IF(OR($A49&gt;TOMATO_BED_CAP,$B49&gt;CARROT_BED_CAP,Z$4&gt;MESCLUN_BED_CAP,$A49+$B49+Z$4&gt;TOTAL_BEDS_AVAILABLE,($D49+Z$5)&gt;TOTAL_LABOR_HOURS_CAP,MAX(0,($D49+Z$5)-PERMANENT_FIELD_LABOR_HOURS)&gt;TEMP_HOURS_CAP),"",$C49+Z$6-MIN(($D49+Z$5),PERMANENT_FIELD_LABOR_HOURS)*PERMANENT_HOURLY_RATE-MAX(0,($D49+Z$5)-PERMANENT_FIELD_LABOR_HOURS)*TEMP_HOURLY_RATE-FIXED_SEASON_COST)</f>
        <v>6090.60858125716</v>
      </c>
      <c r="AA49" s="53" t="n">
        <f aca="false">IF(OR($A49&gt;TOMATO_BED_CAP,$B49&gt;CARROT_BED_CAP,AA$4&gt;MESCLUN_BED_CAP,$A49+$B49+AA$4&gt;TOTAL_BEDS_AVAILABLE,($D49+AA$5)&gt;TOTAL_LABOR_HOURS_CAP,MAX(0,($D49+AA$5)-PERMANENT_FIELD_LABOR_HOURS)&gt;TEMP_HOURS_CAP),"",$C49+AA$6-MIN(($D49+AA$5),PERMANENT_FIELD_LABOR_HOURS)*PERMANENT_HOURLY_RATE-MAX(0,($D49+AA$5)-PERMANENT_FIELD_LABOR_HOURS)*TEMP_HOURLY_RATE-FIXED_SEASON_COST)</f>
        <v>6646.18013092609</v>
      </c>
      <c r="AB49" s="53" t="n">
        <f aca="false">IF(OR($A49&gt;TOMATO_BED_CAP,$B49&gt;CARROT_BED_CAP,AB$4&gt;MESCLUN_BED_CAP,$A49+$B49+AB$4&gt;TOTAL_BEDS_AVAILABLE,($D49+AB$5)&gt;TOTAL_LABOR_HOURS_CAP,MAX(0,($D49+AB$5)-PERMANENT_FIELD_LABOR_HOURS)&gt;TEMP_HOURS_CAP),"",$C49+AB$6-MIN(($D49+AB$5),PERMANENT_FIELD_LABOR_HOURS)*PERMANENT_HOURLY_RATE-MAX(0,($D49+AB$5)-PERMANENT_FIELD_LABOR_HOURS)*TEMP_HOURLY_RATE-FIXED_SEASON_COST)</f>
        <v>7173.27074272867</v>
      </c>
      <c r="AC49" s="53" t="n">
        <f aca="false">IF(OR($A49&gt;TOMATO_BED_CAP,$B49&gt;CARROT_BED_CAP,AC$4&gt;MESCLUN_BED_CAP,$A49+$B49+AC$4&gt;TOTAL_BEDS_AVAILABLE,($D49+AC$5)&gt;TOTAL_LABOR_HOURS_CAP,MAX(0,($D49+AC$5)-PERMANENT_FIELD_LABOR_HOURS)&gt;TEMP_HOURS_CAP),"",$C49+AC$6-MIN(($D49+AC$5),PERMANENT_FIELD_LABOR_HOURS)*PERMANENT_HOURLY_RATE-MAX(0,($D49+AC$5)-PERMANENT_FIELD_LABOR_HOURS)*TEMP_HOURLY_RATE-FIXED_SEASON_COST)</f>
        <v>7671.36596016357</v>
      </c>
      <c r="AD49" s="53" t="n">
        <f aca="false">IF(OR($A49&gt;TOMATO_BED_CAP,$B49&gt;CARROT_BED_CAP,AD$4&gt;MESCLUN_BED_CAP,$A49+$B49+AD$4&gt;TOTAL_BEDS_AVAILABLE,($D49+AD$5)&gt;TOTAL_LABOR_HOURS_CAP,MAX(0,($D49+AD$5)-PERMANENT_FIELD_LABOR_HOURS)&gt;TEMP_HOURS_CAP),"",$C49+AD$6-MIN(($D49+AD$5),PERMANENT_FIELD_LABOR_HOURS)*PERMANENT_HOURLY_RATE-MAX(0,($D49+AD$5)-PERMANENT_FIELD_LABOR_HOURS)*TEMP_HOURLY_RATE-FIXED_SEASON_COST)</f>
        <v>8139.94291546352</v>
      </c>
      <c r="AE49" s="53" t="n">
        <f aca="false">IF(OR($A49&gt;TOMATO_BED_CAP,$B49&gt;CARROT_BED_CAP,AE$4&gt;MESCLUN_BED_CAP,$A49+$B49+AE$4&gt;TOTAL_BEDS_AVAILABLE,($D49+AE$5)&gt;TOTAL_LABOR_HOURS_CAP,MAX(0,($D49+AE$5)-PERMANENT_FIELD_LABOR_HOURS)&gt;TEMP_HOURS_CAP),"",$C49+AE$6-MIN(($D49+AE$5),PERMANENT_FIELD_LABOR_HOURS)*PERMANENT_HOURLY_RATE-MAX(0,($D49+AE$5)-PERMANENT_FIELD_LABOR_HOURS)*TEMP_HOURLY_RATE-FIXED_SEASON_COST)</f>
        <v>8578.47019969743</v>
      </c>
      <c r="AF49" s="53" t="n">
        <f aca="false">IF(OR($A49&gt;TOMATO_BED_CAP,$B49&gt;CARROT_BED_CAP,AF$4&gt;MESCLUN_BED_CAP,$A49+$B49+AF$4&gt;TOTAL_BEDS_AVAILABLE,($D49+AF$5)&gt;TOTAL_LABOR_HOURS_CAP,MAX(0,($D49+AF$5)-PERMANENT_FIELD_LABOR_HOURS)&gt;TEMP_HOURS_CAP),"",$C49+AF$6-MIN(($D49+AF$5),PERMANENT_FIELD_LABOR_HOURS)*PERMANENT_HOURLY_RATE-MAX(0,($D49+AF$5)-PERMANENT_FIELD_LABOR_HOURS)*TEMP_HOURLY_RATE-FIXED_SEASON_COST)</f>
        <v>8986.40773093938</v>
      </c>
      <c r="AG49" s="53" t="n">
        <f aca="false">IF(OR($A49&gt;TOMATO_BED_CAP,$B49&gt;CARROT_BED_CAP,AG$4&gt;MESCLUN_BED_CAP,$A49+$B49+AG$4&gt;TOTAL_BEDS_AVAILABLE,($D49+AG$5)&gt;TOTAL_LABOR_HOURS_CAP,MAX(0,($D49+AG$5)-PERMANENT_FIELD_LABOR_HOURS)&gt;TEMP_HOURS_CAP),"",$C49+AG$6-MIN(($D49+AG$5),PERMANENT_FIELD_LABOR_HOURS)*PERMANENT_HOURLY_RATE-MAX(0,($D49+AG$5)-PERMANENT_FIELD_LABOR_HOURS)*TEMP_HOURLY_RATE-FIXED_SEASON_COST)</f>
        <v>9363.20662047639</v>
      </c>
      <c r="AH49" s="53" t="n">
        <f aca="false">IF(OR($A49&gt;TOMATO_BED_CAP,$B49&gt;CARROT_BED_CAP,AH$4&gt;MESCLUN_BED_CAP,$A49+$B49+AH$4&gt;TOTAL_BEDS_AVAILABLE,($D49+AH$5)&gt;TOTAL_LABOR_HOURS_CAP,MAX(0,($D49+AH$5)-PERMANENT_FIELD_LABOR_HOURS)&gt;TEMP_HOURS_CAP),"",$C49+AH$6-MIN(($D49+AH$5),PERMANENT_FIELD_LABOR_HOURS)*PERMANENT_HOURLY_RATE-MAX(0,($D49+AH$5)-PERMANENT_FIELD_LABOR_HOURS)*TEMP_HOURLY_RATE-FIXED_SEASON_COST)</f>
        <v>9708.30903702662</v>
      </c>
      <c r="AI49" s="53" t="n">
        <f aca="false">IF(OR($A49&gt;TOMATO_BED_CAP,$B49&gt;CARROT_BED_CAP,AI$4&gt;MESCLUN_BED_CAP,$A49+$B49+AI$4&gt;TOTAL_BEDS_AVAILABLE,($D49+AI$5)&gt;TOTAL_LABOR_HOURS_CAP,MAX(0,($D49+AI$5)-PERMANENT_FIELD_LABOR_HOURS)&gt;TEMP_HOURS_CAP),"",$C49+AI$6-MIN(($D49+AI$5),PERMANENT_FIELD_LABOR_HOURS)*PERMANENT_HOURLY_RATE-MAX(0,($D49+AI$5)-PERMANENT_FIELD_LABOR_HOURS)*TEMP_HOURLY_RATE-FIXED_SEASON_COST)</f>
        <v>10021.1480689389</v>
      </c>
      <c r="AJ49" s="53" t="n">
        <f aca="false">IF(OR($A49&gt;TOMATO_BED_CAP,$B49&gt;CARROT_BED_CAP,AJ$4&gt;MESCLUN_BED_CAP,$A49+$B49+AJ$4&gt;TOTAL_BEDS_AVAILABLE,($D49+AJ$5)&gt;TOTAL_LABOR_HOURS_CAP,MAX(0,($D49+AJ$5)-PERMANENT_FIELD_LABOR_HOURS)&gt;TEMP_HOURS_CAP),"",$C49+AJ$6-MIN(($D49+AJ$5),PERMANENT_FIELD_LABOR_HOURS)*PERMANENT_HOURLY_RATE-MAX(0,($D49+AJ$5)-PERMANENT_FIELD_LABOR_HOURS)*TEMP_HOURLY_RATE-FIXED_SEASON_COST)</f>
        <v>10301.1475843446</v>
      </c>
    </row>
    <row r="50" customFormat="false" ht="15" hidden="false" customHeight="false" outlineLevel="0" collapsed="false">
      <c r="A50" s="21" t="n">
        <f aca="false">INT((ROW()-ROW($A$8))/(20+1))</f>
        <v>2</v>
      </c>
      <c r="B50" s="21" t="n">
        <f aca="false">MOD(ROW()-ROW($A$8),20+1)</f>
        <v>0</v>
      </c>
      <c r="C50" s="13" t="n">
        <f aca="false">A50*(TOMATO_REVENUE_PER_BED-TOMATO_FERTILIZER_PER_BED)+B50*(CARROT_REVENUE_PER_BED-CARROT_FERTILIZER_PER_BED)</f>
        <v>15840</v>
      </c>
      <c r="D50" s="14" t="n">
        <f aca="false">INDEX(TOMATO_SCHED_LABOR_HRS,A50+1)+INDEX(CARROT_SCHED_LABOR_HRS,B50+1)</f>
        <v>217.8</v>
      </c>
      <c r="E50" s="13" t="n">
        <f aca="false">IF(COUNT(F50:AJ50)=0,"",MAX(F50:AJ50))</f>
        <v>139.781294872544</v>
      </c>
      <c r="F50" s="53" t="n">
        <f aca="false">IF(OR($A50&gt;TOMATO_BED_CAP,$B50&gt;CARROT_BED_CAP,F$4&gt;MESCLUN_BED_CAP,$A50+$B50+F$4&gt;TOTAL_BEDS_AVAILABLE,($D50+F$5)&gt;TOTAL_LABOR_HOURS_CAP,MAX(0,($D50+F$5)-PERMANENT_FIELD_LABOR_HOURS)&gt;TEMP_HOURS_CAP),"",$C50+F$6-MIN(($D50+F$5),PERMANENT_FIELD_LABOR_HOURS)*PERMANENT_HOURLY_RATE-MAX(0,($D50+F$5)-PERMANENT_FIELD_LABOR_HOURS)*TEMP_HOURLY_RATE-FIXED_SEASON_COST)</f>
        <v>-11722.016</v>
      </c>
      <c r="G50" s="53" t="n">
        <f aca="false">IF(OR($A50&gt;TOMATO_BED_CAP,$B50&gt;CARROT_BED_CAP,G$4&gt;MESCLUN_BED_CAP,$A50+$B50+G$4&gt;TOTAL_BEDS_AVAILABLE,($D50+G$5)&gt;TOTAL_LABOR_HOURS_CAP,MAX(0,($D50+G$5)-PERMANENT_FIELD_LABOR_HOURS)&gt;TEMP_HOURS_CAP),"",$C50+G$6-MIN(($D50+G$5),PERMANENT_FIELD_LABOR_HOURS)*PERMANENT_HOURLY_RATE-MAX(0,($D50+G$5)-PERMANENT_FIELD_LABOR_HOURS)*TEMP_HOURLY_RATE-FIXED_SEASON_COST)</f>
        <v>-11483.946</v>
      </c>
      <c r="H50" s="53" t="n">
        <f aca="false">IF(OR($A50&gt;TOMATO_BED_CAP,$B50&gt;CARROT_BED_CAP,H$4&gt;MESCLUN_BED_CAP,$A50+$B50+H$4&gt;TOTAL_BEDS_AVAILABLE,($D50+H$5)&gt;TOTAL_LABOR_HOURS_CAP,MAX(0,($D50+H$5)-PERMANENT_FIELD_LABOR_HOURS)&gt;TEMP_HOURS_CAP),"",$C50+H$6-MIN(($D50+H$5),PERMANENT_FIELD_LABOR_HOURS)*PERMANENT_HOURLY_RATE-MAX(0,($D50+H$5)-PERMANENT_FIELD_LABOR_HOURS)*TEMP_HOURLY_RATE-FIXED_SEASON_COST)</f>
        <v>-11285.42425</v>
      </c>
      <c r="I50" s="53" t="n">
        <f aca="false">IF(OR($A50&gt;TOMATO_BED_CAP,$B50&gt;CARROT_BED_CAP,I$4&gt;MESCLUN_BED_CAP,$A50+$B50+I$4&gt;TOTAL_BEDS_AVAILABLE,($D50+I$5)&gt;TOTAL_LABOR_HOURS_CAP,MAX(0,($D50+I$5)-PERMANENT_FIELD_LABOR_HOURS)&gt;TEMP_HOURS_CAP),"",$C50+I$6-MIN(($D50+I$5),PERMANENT_FIELD_LABOR_HOURS)*PERMANENT_HOURLY_RATE-MAX(0,($D50+I$5)-PERMANENT_FIELD_LABOR_HOURS)*TEMP_HOURLY_RATE-FIXED_SEASON_COST)</f>
        <v>-11127.1922796875</v>
      </c>
      <c r="J50" s="53" t="n">
        <f aca="false">IF(OR($A50&gt;TOMATO_BED_CAP,$B50&gt;CARROT_BED_CAP,J$4&gt;MESCLUN_BED_CAP,$A50+$B50+J$4&gt;TOTAL_BEDS_AVAILABLE,($D50+J$5)&gt;TOTAL_LABOR_HOURS_CAP,MAX(0,($D50+J$5)-PERMANENT_FIELD_LABOR_HOURS)&gt;TEMP_HOURS_CAP),"",$C50+J$6-MIN(($D50+J$5),PERMANENT_FIELD_LABOR_HOURS)*PERMANENT_HOURLY_RATE-MAX(0,($D50+J$5)-PERMANENT_FIELD_LABOR_HOURS)*TEMP_HOURLY_RATE-FIXED_SEASON_COST)</f>
        <v>-11010.0039775781</v>
      </c>
      <c r="K50" s="53" t="n">
        <f aca="false">IF(OR($A50&gt;TOMATO_BED_CAP,$B50&gt;CARROT_BED_CAP,K$4&gt;MESCLUN_BED_CAP,$A50+$B50+K$4&gt;TOTAL_BEDS_AVAILABLE,($D50+K$5)&gt;TOTAL_LABOR_HOURS_CAP,MAX(0,($D50+K$5)-PERMANENT_FIELD_LABOR_HOURS)&gt;TEMP_HOURS_CAP),"",$C50+K$6-MIN(($D50+K$5),PERMANENT_FIELD_LABOR_HOURS)*PERMANENT_HOURLY_RATE-MAX(0,($D50+K$5)-PERMANENT_FIELD_LABOR_HOURS)*TEMP_HOURLY_RATE-FIXED_SEASON_COST)</f>
        <v>-10934.6257841223</v>
      </c>
      <c r="L50" s="53" t="n">
        <f aca="false">IF(OR($A50&gt;TOMATO_BED_CAP,$B50&gt;CARROT_BED_CAP,L$4&gt;MESCLUN_BED_CAP,$A50+$B50+L$4&gt;TOTAL_BEDS_AVAILABLE,($D50+L$5)&gt;TOTAL_LABOR_HOURS_CAP,MAX(0,($D50+L$5)-PERMANENT_FIELD_LABOR_HOURS)&gt;TEMP_HOURS_CAP),"",$C50+L$6-MIN(($D50+L$5),PERMANENT_FIELD_LABOR_HOURS)*PERMANENT_HOURLY_RATE-MAX(0,($D50+L$5)-PERMANENT_FIELD_LABOR_HOURS)*TEMP_HOURLY_RATE-FIXED_SEASON_COST)</f>
        <v>-10901.8368877086</v>
      </c>
      <c r="M50" s="53" t="n">
        <f aca="false">IF(OR($A50&gt;TOMATO_BED_CAP,$B50&gt;CARROT_BED_CAP,M$4&gt;MESCLUN_BED_CAP,$A50+$B50+M$4&gt;TOTAL_BEDS_AVAILABLE,($D50+M$5)&gt;TOTAL_LABOR_HOURS_CAP,MAX(0,($D50+M$5)-PERMANENT_FIELD_LABOR_HOURS)&gt;TEMP_HOURS_CAP),"",$C50+M$6-MIN(($D50+M$5),PERMANENT_FIELD_LABOR_HOURS)*PERMANENT_HOURLY_RATE-MAX(0,($D50+M$5)-PERMANENT_FIELD_LABOR_HOURS)*TEMP_HOURLY_RATE-FIXED_SEASON_COST)</f>
        <v>-10912.4294236058</v>
      </c>
      <c r="N50" s="53" t="n">
        <f aca="false">IF(OR($A50&gt;TOMATO_BED_CAP,$B50&gt;CARROT_BED_CAP,N$4&gt;MESCLUN_BED_CAP,$A50+$B50+N$4&gt;TOTAL_BEDS_AVAILABLE,($D50+N$5)&gt;TOTAL_LABOR_HOURS_CAP,MAX(0,($D50+N$5)-PERMANENT_FIELD_LABOR_HOURS)&gt;TEMP_HOURS_CAP),"",$C50+N$6-MIN(($D50+N$5),PERMANENT_FIELD_LABOR_HOURS)*PERMANENT_HOURLY_RATE-MAX(0,($D50+N$5)-PERMANENT_FIELD_LABOR_HOURS)*TEMP_HOURLY_RATE-FIXED_SEASON_COST)</f>
        <v>-10967.2086758867</v>
      </c>
      <c r="O50" s="53" t="n">
        <f aca="false">IF(OR($A50&gt;TOMATO_BED_CAP,$B50&gt;CARROT_BED_CAP,O$4&gt;MESCLUN_BED_CAP,$A50+$B50+O$4&gt;TOTAL_BEDS_AVAILABLE,($D50+O$5)&gt;TOTAL_LABOR_HOURS_CAP,MAX(0,($D50+O$5)-PERMANENT_FIELD_LABOR_HOURS)&gt;TEMP_HOURS_CAP),"",$C50+O$6-MIN(($D50+O$5),PERMANENT_FIELD_LABOR_HOURS)*PERMANENT_HOURLY_RATE-MAX(0,($D50+O$5)-PERMANENT_FIELD_LABOR_HOURS)*TEMP_HOURLY_RATE-FIXED_SEASON_COST)</f>
        <v>-11066.9932823772</v>
      </c>
      <c r="P50" s="53" t="n">
        <f aca="false">IF(OR($A50&gt;TOMATO_BED_CAP,$B50&gt;CARROT_BED_CAP,P$4&gt;MESCLUN_BED_CAP,$A50+$B50+P$4&gt;TOTAL_BEDS_AVAILABLE,($D50+P$5)&gt;TOTAL_LABOR_HOURS_CAP,MAX(0,($D50+P$5)-PERMANENT_FIELD_LABOR_HOURS)&gt;TEMP_HOURS_CAP),"",$C50+P$6-MIN(($D50+P$5),PERMANENT_FIELD_LABOR_HOURS)*PERMANENT_HOURLY_RATE-MAX(0,($D50+P$5)-PERMANENT_FIELD_LABOR_HOURS)*TEMP_HOURLY_RATE-FIXED_SEASON_COST)</f>
        <v>-11085.5077213372</v>
      </c>
      <c r="Q50" s="53" t="n">
        <f aca="false">IF(OR($A50&gt;TOMATO_BED_CAP,$B50&gt;CARROT_BED_CAP,Q$4&gt;MESCLUN_BED_CAP,$A50+$B50+Q$4&gt;TOTAL_BEDS_AVAILABLE,($D50+Q$5)&gt;TOTAL_LABOR_HOURS_CAP,MAX(0,($D50+Q$5)-PERMANENT_FIELD_LABOR_HOURS)&gt;TEMP_HOURS_CAP),"",$C50+Q$6-MIN(($D50+Q$5),PERMANENT_FIELD_LABOR_HOURS)*PERMANENT_HOURLY_RATE-MAX(0,($D50+Q$5)-PERMANENT_FIELD_LABOR_HOURS)*TEMP_HOURLY_RATE-FIXED_SEASON_COST)</f>
        <v>-10271.6605646393</v>
      </c>
      <c r="R50" s="53" t="n">
        <f aca="false">IF(OR($A50&gt;TOMATO_BED_CAP,$B50&gt;CARROT_BED_CAP,R$4&gt;MESCLUN_BED_CAP,$A50+$B50+R$4&gt;TOTAL_BEDS_AVAILABLE,($D50+R$5)&gt;TOTAL_LABOR_HOURS_CAP,MAX(0,($D50+R$5)-PERMANENT_FIELD_LABOR_HOURS)&gt;TEMP_HOURS_CAP),"",$C50+R$6-MIN(($D50+R$5),PERMANENT_FIELD_LABOR_HOURS)*PERMANENT_HOURLY_RATE-MAX(0,($D50+R$5)-PERMANENT_FIELD_LABOR_HOURS)*TEMP_HOURLY_RATE-FIXED_SEASON_COST)</f>
        <v>-9481.58515094247</v>
      </c>
      <c r="S50" s="53" t="n">
        <f aca="false">IF(OR($A50&gt;TOMATO_BED_CAP,$B50&gt;CARROT_BED_CAP,S$4&gt;MESCLUN_BED_CAP,$A50+$B50+S$4&gt;TOTAL_BEDS_AVAILABLE,($D50+S$5)&gt;TOTAL_LABOR_HOURS_CAP,MAX(0,($D50+S$5)-PERMANENT_FIELD_LABOR_HOURS)&gt;TEMP_HOURS_CAP),"",$C50+S$6-MIN(($D50+S$5),PERMANENT_FIELD_LABOR_HOURS)*PERMANENT_HOURLY_RATE-MAX(0,($D50+S$5)-PERMANENT_FIELD_LABOR_HOURS)*TEMP_HOURLY_RATE-FIXED_SEASON_COST)</f>
        <v>-8715.71856244002</v>
      </c>
      <c r="T50" s="53" t="n">
        <f aca="false">IF(OR($A50&gt;TOMATO_BED_CAP,$B50&gt;CARROT_BED_CAP,T$4&gt;MESCLUN_BED_CAP,$A50+$B50+T$4&gt;TOTAL_BEDS_AVAILABLE,($D50+T$5)&gt;TOTAL_LABOR_HOURS_CAP,MAX(0,($D50+T$5)-PERMANENT_FIELD_LABOR_HOURS)&gt;TEMP_HOURS_CAP),"",$C50+T$6-MIN(($D50+T$5),PERMANENT_FIELD_LABOR_HOURS)*PERMANENT_HOURLY_RATE-MAX(0,($D50+T$5)-PERMANENT_FIELD_LABOR_HOURS)*TEMP_HOURLY_RATE-FIXED_SEASON_COST)</f>
        <v>-7974.50509404518</v>
      </c>
      <c r="U50" s="53" t="n">
        <f aca="false">IF(OR($A50&gt;TOMATO_BED_CAP,$B50&gt;CARROT_BED_CAP,U$4&gt;MESCLUN_BED_CAP,$A50+$B50+U$4&gt;TOTAL_BEDS_AVAILABLE,($D50+U$5)&gt;TOTAL_LABOR_HOURS_CAP,MAX(0,($D50+U$5)-PERMANENT_FIELD_LABOR_HOURS)&gt;TEMP_HOURS_CAP),"",$C50+U$6-MIN(($D50+U$5),PERMANENT_FIELD_LABOR_HOURS)*PERMANENT_HOURLY_RATE-MAX(0,($D50+U$5)-PERMANENT_FIELD_LABOR_HOURS)*TEMP_HOURLY_RATE-FIXED_SEASON_COST)</f>
        <v>-7258.39636541508</v>
      </c>
      <c r="V50" s="53" t="n">
        <f aca="false">IF(OR($A50&gt;TOMATO_BED_CAP,$B50&gt;CARROT_BED_CAP,V$4&gt;MESCLUN_BED_CAP,$A50+$B50+V$4&gt;TOTAL_BEDS_AVAILABLE,($D50+V$5)&gt;TOTAL_LABOR_HOURS_CAP,MAX(0,($D50+V$5)-PERMANENT_FIELD_LABOR_HOURS)&gt;TEMP_HOURS_CAP),"",$C50+V$6-MIN(($D50+V$5),PERMANENT_FIELD_LABOR_HOURS)*PERMANENT_HOURLY_RATE-MAX(0,($D50+V$5)-PERMANENT_FIELD_LABOR_HOURS)*TEMP_HOURLY_RATE-FIXED_SEASON_COST)</f>
        <v>-6567.85143464829</v>
      </c>
      <c r="W50" s="53" t="n">
        <f aca="false">IF(OR($A50&gt;TOMATO_BED_CAP,$B50&gt;CARROT_BED_CAP,W$4&gt;MESCLUN_BED_CAP,$A50+$B50+W$4&gt;TOTAL_BEDS_AVAILABLE,($D50+W$5)&gt;TOTAL_LABOR_HOURS_CAP,MAX(0,($D50+W$5)-PERMANENT_FIELD_LABOR_HOURS)&gt;TEMP_HOURS_CAP),"",$C50+W$6-MIN(($D50+W$5),PERMANENT_FIELD_LABOR_HOURS)*PERMANENT_HOURLY_RATE-MAX(0,($D50+W$5)-PERMANENT_FIELD_LABOR_HOURS)*TEMP_HOURLY_RATE-FIXED_SEASON_COST)</f>
        <v>-5903.33691368023</v>
      </c>
      <c r="X50" s="53" t="n">
        <f aca="false">IF(OR($A50&gt;TOMATO_BED_CAP,$B50&gt;CARROT_BED_CAP,X$4&gt;MESCLUN_BED_CAP,$A50+$B50+X$4&gt;TOTAL_BEDS_AVAILABLE,($D50+X$5)&gt;TOTAL_LABOR_HOURS_CAP,MAX(0,($D50+X$5)-PERMANENT_FIELD_LABOR_HOURS)&gt;TEMP_HOURS_CAP),"",$C50+X$6-MIN(($D50+X$5),PERMANENT_FIELD_LABOR_HOURS)*PERMANENT_HOURLY_RATE-MAX(0,($D50+X$5)-PERMANENT_FIELD_LABOR_HOURS)*TEMP_HOURLY_RATE-FIXED_SEASON_COST)</f>
        <v>-5265.3270854013</v>
      </c>
      <c r="Y50" s="53" t="n">
        <f aca="false">IF(OR($A50&gt;TOMATO_BED_CAP,$B50&gt;CARROT_BED_CAP,Y$4&gt;MESCLUN_BED_CAP,$A50+$B50+Y$4&gt;TOTAL_BEDS_AVAILABLE,($D50+Y$5)&gt;TOTAL_LABOR_HOURS_CAP,MAX(0,($D50+Y$5)-PERMANENT_FIELD_LABOR_HOURS)&gt;TEMP_HOURS_CAP),"",$C50+Y$6-MIN(($D50+Y$5),PERMANENT_FIELD_LABOR_HOURS)*PERMANENT_HOURLY_RATE-MAX(0,($D50+Y$5)-PERMANENT_FIELD_LABOR_HOURS)*TEMP_HOURLY_RATE-FIXED_SEASON_COST)</f>
        <v>-4654.30402252264</v>
      </c>
      <c r="Z50" s="53" t="n">
        <f aca="false">IF(OR($A50&gt;TOMATO_BED_CAP,$B50&gt;CARROT_BED_CAP,Z$4&gt;MESCLUN_BED_CAP,$A50+$B50+Z$4&gt;TOTAL_BEDS_AVAILABLE,($D50+Z$5)&gt;TOTAL_LABOR_HOURS_CAP,MAX(0,($D50+Z$5)-PERMANENT_FIELD_LABOR_HOURS)&gt;TEMP_HOURS_CAP),"",$C50+Z$6-MIN(($D50+Z$5),PERMANENT_FIELD_LABOR_HOURS)*PERMANENT_HOURLY_RATE-MAX(0,($D50+Z$5)-PERMANENT_FIELD_LABOR_HOURS)*TEMP_HOURLY_RATE-FIXED_SEASON_COST)</f>
        <v>-4070.75770821492</v>
      </c>
      <c r="AA50" s="53" t="n">
        <f aca="false">IF(OR($A50&gt;TOMATO_BED_CAP,$B50&gt;CARROT_BED_CAP,AA$4&gt;MESCLUN_BED_CAP,$A50+$B50+AA$4&gt;TOTAL_BEDS_AVAILABLE,($D50+AA$5)&gt;TOTAL_LABOR_HOURS_CAP,MAX(0,($D50+AA$5)-PERMANENT_FIELD_LABOR_HOURS)&gt;TEMP_HOURS_CAP),"",$C50+AA$6-MIN(($D50+AA$5),PERMANENT_FIELD_LABOR_HOURS)*PERMANENT_HOURLY_RATE-MAX(0,($D50+AA$5)-PERMANENT_FIELD_LABOR_HOURS)*TEMP_HOURLY_RATE-FIXED_SEASON_COST)</f>
        <v>-3515.18615854598</v>
      </c>
      <c r="AB50" s="53" t="n">
        <f aca="false">IF(OR($A50&gt;TOMATO_BED_CAP,$B50&gt;CARROT_BED_CAP,AB$4&gt;MESCLUN_BED_CAP,$A50+$B50+AB$4&gt;TOTAL_BEDS_AVAILABLE,($D50+AB$5)&gt;TOTAL_LABOR_HOURS_CAP,MAX(0,($D50+AB$5)-PERMANENT_FIELD_LABOR_HOURS)&gt;TEMP_HOURS_CAP),"",$C50+AB$6-MIN(($D50+AB$5),PERMANENT_FIELD_LABOR_HOURS)*PERMANENT_HOURLY_RATE-MAX(0,($D50+AB$5)-PERMANENT_FIELD_LABOR_HOURS)*TEMP_HOURLY_RATE-FIXED_SEASON_COST)</f>
        <v>-2988.09554674342</v>
      </c>
      <c r="AC50" s="53" t="n">
        <f aca="false">IF(OR($A50&gt;TOMATO_BED_CAP,$B50&gt;CARROT_BED_CAP,AC$4&gt;MESCLUN_BED_CAP,$A50+$B50+AC$4&gt;TOTAL_BEDS_AVAILABLE,($D50+AC$5)&gt;TOTAL_LABOR_HOURS_CAP,MAX(0,($D50+AC$5)-PERMANENT_FIELD_LABOR_HOURS)&gt;TEMP_HOURS_CAP),"",$C50+AC$6-MIN(($D50+AC$5),PERMANENT_FIELD_LABOR_HOURS)*PERMANENT_HOURLY_RATE-MAX(0,($D50+AC$5)-PERMANENT_FIELD_LABOR_HOURS)*TEMP_HOURLY_RATE-FIXED_SEASON_COST)</f>
        <v>-2490.00032930852</v>
      </c>
      <c r="AD50" s="53" t="n">
        <f aca="false">IF(OR($A50&gt;TOMATO_BED_CAP,$B50&gt;CARROT_BED_CAP,AD$4&gt;MESCLUN_BED_CAP,$A50+$B50+AD$4&gt;TOTAL_BEDS_AVAILABLE,($D50+AD$5)&gt;TOTAL_LABOR_HOURS_CAP,MAX(0,($D50+AD$5)-PERMANENT_FIELD_LABOR_HOURS)&gt;TEMP_HOURS_CAP),"",$C50+AD$6-MIN(($D50+AD$5),PERMANENT_FIELD_LABOR_HOURS)*PERMANENT_HOURLY_RATE-MAX(0,($D50+AD$5)-PERMANENT_FIELD_LABOR_HOURS)*TEMP_HOURLY_RATE-FIXED_SEASON_COST)</f>
        <v>-2021.42337400856</v>
      </c>
      <c r="AE50" s="53" t="n">
        <f aca="false">IF(OR($A50&gt;TOMATO_BED_CAP,$B50&gt;CARROT_BED_CAP,AE$4&gt;MESCLUN_BED_CAP,$A50+$B50+AE$4&gt;TOTAL_BEDS_AVAILABLE,($D50+AE$5)&gt;TOTAL_LABOR_HOURS_CAP,MAX(0,($D50+AE$5)-PERMANENT_FIELD_LABOR_HOURS)&gt;TEMP_HOURS_CAP),"",$C50+AE$6-MIN(($D50+AE$5),PERMANENT_FIELD_LABOR_HOURS)*PERMANENT_HOURLY_RATE-MAX(0,($D50+AE$5)-PERMANENT_FIELD_LABOR_HOURS)*TEMP_HOURLY_RATE-FIXED_SEASON_COST)</f>
        <v>-1582.89608977465</v>
      </c>
      <c r="AF50" s="53" t="n">
        <f aca="false">IF(OR($A50&gt;TOMATO_BED_CAP,$B50&gt;CARROT_BED_CAP,AF$4&gt;MESCLUN_BED_CAP,$A50+$B50+AF$4&gt;TOTAL_BEDS_AVAILABLE,($D50+AF$5)&gt;TOTAL_LABOR_HOURS_CAP,MAX(0,($D50+AF$5)-PERMANENT_FIELD_LABOR_HOURS)&gt;TEMP_HOURS_CAP),"",$C50+AF$6-MIN(($D50+AF$5),PERMANENT_FIELD_LABOR_HOURS)*PERMANENT_HOURLY_RATE-MAX(0,($D50+AF$5)-PERMANENT_FIELD_LABOR_HOURS)*TEMP_HOURLY_RATE-FIXED_SEASON_COST)</f>
        <v>-1174.9585585327</v>
      </c>
      <c r="AG50" s="53" t="n">
        <f aca="false">IF(OR($A50&gt;TOMATO_BED_CAP,$B50&gt;CARROT_BED_CAP,AG$4&gt;MESCLUN_BED_CAP,$A50+$B50+AG$4&gt;TOTAL_BEDS_AVAILABLE,($D50+AG$5)&gt;TOTAL_LABOR_HOURS_CAP,MAX(0,($D50+AG$5)-PERMANENT_FIELD_LABOR_HOURS)&gt;TEMP_HOURS_CAP),"",$C50+AG$6-MIN(($D50+AG$5),PERMANENT_FIELD_LABOR_HOURS)*PERMANENT_HOURLY_RATE-MAX(0,($D50+AG$5)-PERMANENT_FIELD_LABOR_HOURS)*TEMP_HOURLY_RATE-FIXED_SEASON_COST)</f>
        <v>-798.159668995686</v>
      </c>
      <c r="AH50" s="53" t="n">
        <f aca="false">IF(OR($A50&gt;TOMATO_BED_CAP,$B50&gt;CARROT_BED_CAP,AH$4&gt;MESCLUN_BED_CAP,$A50+$B50+AH$4&gt;TOTAL_BEDS_AVAILABLE,($D50+AH$5)&gt;TOTAL_LABOR_HOURS_CAP,MAX(0,($D50+AH$5)-PERMANENT_FIELD_LABOR_HOURS)&gt;TEMP_HOURS_CAP),"",$C50+AH$6-MIN(($D50+AH$5),PERMANENT_FIELD_LABOR_HOURS)*PERMANENT_HOURLY_RATE-MAX(0,($D50+AH$5)-PERMANENT_FIELD_LABOR_HOURS)*TEMP_HOURLY_RATE-FIXED_SEASON_COST)</f>
        <v>-453.057252445469</v>
      </c>
      <c r="AI50" s="53" t="n">
        <f aca="false">IF(OR($A50&gt;TOMATO_BED_CAP,$B50&gt;CARROT_BED_CAP,AI$4&gt;MESCLUN_BED_CAP,$A50+$B50+AI$4&gt;TOTAL_BEDS_AVAILABLE,($D50+AI$5)&gt;TOTAL_LABOR_HOURS_CAP,MAX(0,($D50+AI$5)-PERMANENT_FIELD_LABOR_HOURS)&gt;TEMP_HOURS_CAP),"",$C50+AI$6-MIN(($D50+AI$5),PERMANENT_FIELD_LABOR_HOURS)*PERMANENT_HOURLY_RATE-MAX(0,($D50+AI$5)-PERMANENT_FIELD_LABOR_HOURS)*TEMP_HOURLY_RATE-FIXED_SEASON_COST)</f>
        <v>-140.218220533214</v>
      </c>
      <c r="AJ50" s="53" t="n">
        <f aca="false">IF(OR($A50&gt;TOMATO_BED_CAP,$B50&gt;CARROT_BED_CAP,AJ$4&gt;MESCLUN_BED_CAP,$A50+$B50+AJ$4&gt;TOTAL_BEDS_AVAILABLE,($D50+AJ$5)&gt;TOTAL_LABOR_HOURS_CAP,MAX(0,($D50+AJ$5)-PERMANENT_FIELD_LABOR_HOURS)&gt;TEMP_HOURS_CAP),"",$C50+AJ$6-MIN(($D50+AJ$5),PERMANENT_FIELD_LABOR_HOURS)*PERMANENT_HOURLY_RATE-MAX(0,($D50+AJ$5)-PERMANENT_FIELD_LABOR_HOURS)*TEMP_HOURLY_RATE-FIXED_SEASON_COST)</f>
        <v>139.781294872544</v>
      </c>
    </row>
    <row r="51" customFormat="false" ht="15" hidden="false" customHeight="false" outlineLevel="0" collapsed="false">
      <c r="A51" s="21" t="n">
        <f aca="false">INT((ROW()-ROW($A$8))/(20+1))</f>
        <v>2</v>
      </c>
      <c r="B51" s="21" t="n">
        <f aca="false">MOD(ROW()-ROW($A$8),20+1)</f>
        <v>1</v>
      </c>
      <c r="C51" s="13" t="n">
        <f aca="false">A51*(TOMATO_REVENUE_PER_BED-TOMATO_FERTILIZER_PER_BED)+B51*(CARROT_REVENUE_PER_BED-CARROT_FERTILIZER_PER_BED)</f>
        <v>17494</v>
      </c>
      <c r="D51" s="14" t="n">
        <f aca="false">INDEX(TOMATO_SCHED_LABOR_HRS,A51+1)+INDEX(CARROT_SCHED_LABOR_HRS,B51+1)</f>
        <v>248.5377</v>
      </c>
      <c r="E51" s="13" t="n">
        <f aca="false">IF(COUNT(F51:AJ51)=0,"",MAX(F51:AJ51))</f>
        <v>1260.17482287254</v>
      </c>
      <c r="F51" s="53" t="n">
        <f aca="false">IF(OR($A51&gt;TOMATO_BED_CAP,$B51&gt;CARROT_BED_CAP,F$4&gt;MESCLUN_BED_CAP,$A51+$B51+F$4&gt;TOTAL_BEDS_AVAILABLE,($D51+F$5)&gt;TOTAL_LABOR_HOURS_CAP,MAX(0,($D51+F$5)-PERMANENT_FIELD_LABOR_HOURS)&gt;TEMP_HOURS_CAP),"",$C51+F$6-MIN(($D51+F$5),PERMANENT_FIELD_LABOR_HOURS)*PERMANENT_HOURLY_RATE-MAX(0,($D51+F$5)-PERMANENT_FIELD_LABOR_HOURS)*TEMP_HOURLY_RATE-FIXED_SEASON_COST)</f>
        <v>-11135.228944</v>
      </c>
      <c r="G51" s="53" t="n">
        <f aca="false">IF(OR($A51&gt;TOMATO_BED_CAP,$B51&gt;CARROT_BED_CAP,G$4&gt;MESCLUN_BED_CAP,$A51+$B51+G$4&gt;TOTAL_BEDS_AVAILABLE,($D51+G$5)&gt;TOTAL_LABOR_HOURS_CAP,MAX(0,($D51+G$5)-PERMANENT_FIELD_LABOR_HOURS)&gt;TEMP_HOURS_CAP),"",$C51+G$6-MIN(($D51+G$5),PERMANENT_FIELD_LABOR_HOURS)*PERMANENT_HOURLY_RATE-MAX(0,($D51+G$5)-PERMANENT_FIELD_LABOR_HOURS)*TEMP_HOURLY_RATE-FIXED_SEASON_COST)</f>
        <v>-10897.158944</v>
      </c>
      <c r="H51" s="53" t="n">
        <f aca="false">IF(OR($A51&gt;TOMATO_BED_CAP,$B51&gt;CARROT_BED_CAP,H$4&gt;MESCLUN_BED_CAP,$A51+$B51+H$4&gt;TOTAL_BEDS_AVAILABLE,($D51+H$5)&gt;TOTAL_LABOR_HOURS_CAP,MAX(0,($D51+H$5)-PERMANENT_FIELD_LABOR_HOURS)&gt;TEMP_HOURS_CAP),"",$C51+H$6-MIN(($D51+H$5),PERMANENT_FIELD_LABOR_HOURS)*PERMANENT_HOURLY_RATE-MAX(0,($D51+H$5)-PERMANENT_FIELD_LABOR_HOURS)*TEMP_HOURLY_RATE-FIXED_SEASON_COST)</f>
        <v>-10698.637194</v>
      </c>
      <c r="I51" s="53" t="n">
        <f aca="false">IF(OR($A51&gt;TOMATO_BED_CAP,$B51&gt;CARROT_BED_CAP,I$4&gt;MESCLUN_BED_CAP,$A51+$B51+I$4&gt;TOTAL_BEDS_AVAILABLE,($D51+I$5)&gt;TOTAL_LABOR_HOURS_CAP,MAX(0,($D51+I$5)-PERMANENT_FIELD_LABOR_HOURS)&gt;TEMP_HOURS_CAP),"",$C51+I$6-MIN(($D51+I$5),PERMANENT_FIELD_LABOR_HOURS)*PERMANENT_HOURLY_RATE-MAX(0,($D51+I$5)-PERMANENT_FIELD_LABOR_HOURS)*TEMP_HOURLY_RATE-FIXED_SEASON_COST)</f>
        <v>-10540.4052236875</v>
      </c>
      <c r="J51" s="53" t="n">
        <f aca="false">IF(OR($A51&gt;TOMATO_BED_CAP,$B51&gt;CARROT_BED_CAP,J$4&gt;MESCLUN_BED_CAP,$A51+$B51+J$4&gt;TOTAL_BEDS_AVAILABLE,($D51+J$5)&gt;TOTAL_LABOR_HOURS_CAP,MAX(0,($D51+J$5)-PERMANENT_FIELD_LABOR_HOURS)&gt;TEMP_HOURS_CAP),"",$C51+J$6-MIN(($D51+J$5),PERMANENT_FIELD_LABOR_HOURS)*PERMANENT_HOURLY_RATE-MAX(0,($D51+J$5)-PERMANENT_FIELD_LABOR_HOURS)*TEMP_HOURLY_RATE-FIXED_SEASON_COST)</f>
        <v>-10423.2169215781</v>
      </c>
      <c r="K51" s="53" t="n">
        <f aca="false">IF(OR($A51&gt;TOMATO_BED_CAP,$B51&gt;CARROT_BED_CAP,K$4&gt;MESCLUN_BED_CAP,$A51+$B51+K$4&gt;TOTAL_BEDS_AVAILABLE,($D51+K$5)&gt;TOTAL_LABOR_HOURS_CAP,MAX(0,($D51+K$5)-PERMANENT_FIELD_LABOR_HOURS)&gt;TEMP_HOURS_CAP),"",$C51+K$6-MIN(($D51+K$5),PERMANENT_FIELD_LABOR_HOURS)*PERMANENT_HOURLY_RATE-MAX(0,($D51+K$5)-PERMANENT_FIELD_LABOR_HOURS)*TEMP_HOURLY_RATE-FIXED_SEASON_COST)</f>
        <v>-10347.8387281223</v>
      </c>
      <c r="L51" s="53" t="n">
        <f aca="false">IF(OR($A51&gt;TOMATO_BED_CAP,$B51&gt;CARROT_BED_CAP,L$4&gt;MESCLUN_BED_CAP,$A51+$B51+L$4&gt;TOTAL_BEDS_AVAILABLE,($D51+L$5)&gt;TOTAL_LABOR_HOURS_CAP,MAX(0,($D51+L$5)-PERMANENT_FIELD_LABOR_HOURS)&gt;TEMP_HOURS_CAP),"",$C51+L$6-MIN(($D51+L$5),PERMANENT_FIELD_LABOR_HOURS)*PERMANENT_HOURLY_RATE-MAX(0,($D51+L$5)-PERMANENT_FIELD_LABOR_HOURS)*TEMP_HOURLY_RATE-FIXED_SEASON_COST)</f>
        <v>-10315.0498317086</v>
      </c>
      <c r="M51" s="53" t="n">
        <f aca="false">IF(OR($A51&gt;TOMATO_BED_CAP,$B51&gt;CARROT_BED_CAP,M$4&gt;MESCLUN_BED_CAP,$A51+$B51+M$4&gt;TOTAL_BEDS_AVAILABLE,($D51+M$5)&gt;TOTAL_LABOR_HOURS_CAP,MAX(0,($D51+M$5)-PERMANENT_FIELD_LABOR_HOURS)&gt;TEMP_HOURS_CAP),"",$C51+M$6-MIN(($D51+M$5),PERMANENT_FIELD_LABOR_HOURS)*PERMANENT_HOURLY_RATE-MAX(0,($D51+M$5)-PERMANENT_FIELD_LABOR_HOURS)*TEMP_HOURLY_RATE-FIXED_SEASON_COST)</f>
        <v>-10325.6423676058</v>
      </c>
      <c r="N51" s="53" t="n">
        <f aca="false">IF(OR($A51&gt;TOMATO_BED_CAP,$B51&gt;CARROT_BED_CAP,N$4&gt;MESCLUN_BED_CAP,$A51+$B51+N$4&gt;TOTAL_BEDS_AVAILABLE,($D51+N$5)&gt;TOTAL_LABOR_HOURS_CAP,MAX(0,($D51+N$5)-PERMANENT_FIELD_LABOR_HOURS)&gt;TEMP_HOURS_CAP),"",$C51+N$6-MIN(($D51+N$5),PERMANENT_FIELD_LABOR_HOURS)*PERMANENT_HOURLY_RATE-MAX(0,($D51+N$5)-PERMANENT_FIELD_LABOR_HOURS)*TEMP_HOURLY_RATE-FIXED_SEASON_COST)</f>
        <v>-10380.4216198867</v>
      </c>
      <c r="O51" s="53" t="n">
        <f aca="false">IF(OR($A51&gt;TOMATO_BED_CAP,$B51&gt;CARROT_BED_CAP,O$4&gt;MESCLUN_BED_CAP,$A51+$B51+O$4&gt;TOTAL_BEDS_AVAILABLE,($D51+O$5)&gt;TOTAL_LABOR_HOURS_CAP,MAX(0,($D51+O$5)-PERMANENT_FIELD_LABOR_HOURS)&gt;TEMP_HOURS_CAP),"",$C51+O$6-MIN(($D51+O$5),PERMANENT_FIELD_LABOR_HOURS)*PERMANENT_HOURLY_RATE-MAX(0,($D51+O$5)-PERMANENT_FIELD_LABOR_HOURS)*TEMP_HOURLY_RATE-FIXED_SEASON_COST)</f>
        <v>-10480.2062263772</v>
      </c>
      <c r="P51" s="53" t="n">
        <f aca="false">IF(OR($A51&gt;TOMATO_BED_CAP,$B51&gt;CARROT_BED_CAP,P$4&gt;MESCLUN_BED_CAP,$A51+$B51+P$4&gt;TOTAL_BEDS_AVAILABLE,($D51+P$5)&gt;TOTAL_LABOR_HOURS_CAP,MAX(0,($D51+P$5)-PERMANENT_FIELD_LABOR_HOURS)&gt;TEMP_HOURS_CAP),"",$C51+P$6-MIN(($D51+P$5),PERMANENT_FIELD_LABOR_HOURS)*PERMANENT_HOURLY_RATE-MAX(0,($D51+P$5)-PERMANENT_FIELD_LABOR_HOURS)*TEMP_HOURLY_RATE-FIXED_SEASON_COST)</f>
        <v>-9965.11419333717</v>
      </c>
      <c r="Q51" s="53" t="n">
        <f aca="false">IF(OR($A51&gt;TOMATO_BED_CAP,$B51&gt;CARROT_BED_CAP,Q$4&gt;MESCLUN_BED_CAP,$A51+$B51+Q$4&gt;TOTAL_BEDS_AVAILABLE,($D51+Q$5)&gt;TOTAL_LABOR_HOURS_CAP,MAX(0,($D51+Q$5)-PERMANENT_FIELD_LABOR_HOURS)&gt;TEMP_HOURS_CAP),"",$C51+Q$6-MIN(($D51+Q$5),PERMANENT_FIELD_LABOR_HOURS)*PERMANENT_HOURLY_RATE-MAX(0,($D51+Q$5)-PERMANENT_FIELD_LABOR_HOURS)*TEMP_HOURLY_RATE-FIXED_SEASON_COST)</f>
        <v>-9151.26703663928</v>
      </c>
      <c r="R51" s="53" t="n">
        <f aca="false">IF(OR($A51&gt;TOMATO_BED_CAP,$B51&gt;CARROT_BED_CAP,R$4&gt;MESCLUN_BED_CAP,$A51+$B51+R$4&gt;TOTAL_BEDS_AVAILABLE,($D51+R$5)&gt;TOTAL_LABOR_HOURS_CAP,MAX(0,($D51+R$5)-PERMANENT_FIELD_LABOR_HOURS)&gt;TEMP_HOURS_CAP),"",$C51+R$6-MIN(($D51+R$5),PERMANENT_FIELD_LABOR_HOURS)*PERMANENT_HOURLY_RATE-MAX(0,($D51+R$5)-PERMANENT_FIELD_LABOR_HOURS)*TEMP_HOURLY_RATE-FIXED_SEASON_COST)</f>
        <v>-8361.19162294247</v>
      </c>
      <c r="S51" s="53" t="n">
        <f aca="false">IF(OR($A51&gt;TOMATO_BED_CAP,$B51&gt;CARROT_BED_CAP,S$4&gt;MESCLUN_BED_CAP,$A51+$B51+S$4&gt;TOTAL_BEDS_AVAILABLE,($D51+S$5)&gt;TOTAL_LABOR_HOURS_CAP,MAX(0,($D51+S$5)-PERMANENT_FIELD_LABOR_HOURS)&gt;TEMP_HOURS_CAP),"",$C51+S$6-MIN(($D51+S$5),PERMANENT_FIELD_LABOR_HOURS)*PERMANENT_HOURLY_RATE-MAX(0,($D51+S$5)-PERMANENT_FIELD_LABOR_HOURS)*TEMP_HOURLY_RATE-FIXED_SEASON_COST)</f>
        <v>-7595.32503444002</v>
      </c>
      <c r="T51" s="53" t="n">
        <f aca="false">IF(OR($A51&gt;TOMATO_BED_CAP,$B51&gt;CARROT_BED_CAP,T$4&gt;MESCLUN_BED_CAP,$A51+$B51+T$4&gt;TOTAL_BEDS_AVAILABLE,($D51+T$5)&gt;TOTAL_LABOR_HOURS_CAP,MAX(0,($D51+T$5)-PERMANENT_FIELD_LABOR_HOURS)&gt;TEMP_HOURS_CAP),"",$C51+T$6-MIN(($D51+T$5),PERMANENT_FIELD_LABOR_HOURS)*PERMANENT_HOURLY_RATE-MAX(0,($D51+T$5)-PERMANENT_FIELD_LABOR_HOURS)*TEMP_HOURLY_RATE-FIXED_SEASON_COST)</f>
        <v>-6854.11156604518</v>
      </c>
      <c r="U51" s="53" t="n">
        <f aca="false">IF(OR($A51&gt;TOMATO_BED_CAP,$B51&gt;CARROT_BED_CAP,U$4&gt;MESCLUN_BED_CAP,$A51+$B51+U$4&gt;TOTAL_BEDS_AVAILABLE,($D51+U$5)&gt;TOTAL_LABOR_HOURS_CAP,MAX(0,($D51+U$5)-PERMANENT_FIELD_LABOR_HOURS)&gt;TEMP_HOURS_CAP),"",$C51+U$6-MIN(($D51+U$5),PERMANENT_FIELD_LABOR_HOURS)*PERMANENT_HOURLY_RATE-MAX(0,($D51+U$5)-PERMANENT_FIELD_LABOR_HOURS)*TEMP_HOURLY_RATE-FIXED_SEASON_COST)</f>
        <v>-6138.00283741508</v>
      </c>
      <c r="V51" s="53" t="n">
        <f aca="false">IF(OR($A51&gt;TOMATO_BED_CAP,$B51&gt;CARROT_BED_CAP,V$4&gt;MESCLUN_BED_CAP,$A51+$B51+V$4&gt;TOTAL_BEDS_AVAILABLE,($D51+V$5)&gt;TOTAL_LABOR_HOURS_CAP,MAX(0,($D51+V$5)-PERMANENT_FIELD_LABOR_HOURS)&gt;TEMP_HOURS_CAP),"",$C51+V$6-MIN(($D51+V$5),PERMANENT_FIELD_LABOR_HOURS)*PERMANENT_HOURLY_RATE-MAX(0,($D51+V$5)-PERMANENT_FIELD_LABOR_HOURS)*TEMP_HOURLY_RATE-FIXED_SEASON_COST)</f>
        <v>-5447.45790664829</v>
      </c>
      <c r="W51" s="53" t="n">
        <f aca="false">IF(OR($A51&gt;TOMATO_BED_CAP,$B51&gt;CARROT_BED_CAP,W$4&gt;MESCLUN_BED_CAP,$A51+$B51+W$4&gt;TOTAL_BEDS_AVAILABLE,($D51+W$5)&gt;TOTAL_LABOR_HOURS_CAP,MAX(0,($D51+W$5)-PERMANENT_FIELD_LABOR_HOURS)&gt;TEMP_HOURS_CAP),"",$C51+W$6-MIN(($D51+W$5),PERMANENT_FIELD_LABOR_HOURS)*PERMANENT_HOURLY_RATE-MAX(0,($D51+W$5)-PERMANENT_FIELD_LABOR_HOURS)*TEMP_HOURLY_RATE-FIXED_SEASON_COST)</f>
        <v>-4782.94338568023</v>
      </c>
      <c r="X51" s="53" t="n">
        <f aca="false">IF(OR($A51&gt;TOMATO_BED_CAP,$B51&gt;CARROT_BED_CAP,X$4&gt;MESCLUN_BED_CAP,$A51+$B51+X$4&gt;TOTAL_BEDS_AVAILABLE,($D51+X$5)&gt;TOTAL_LABOR_HOURS_CAP,MAX(0,($D51+X$5)-PERMANENT_FIELD_LABOR_HOURS)&gt;TEMP_HOURS_CAP),"",$C51+X$6-MIN(($D51+X$5),PERMANENT_FIELD_LABOR_HOURS)*PERMANENT_HOURLY_RATE-MAX(0,($D51+X$5)-PERMANENT_FIELD_LABOR_HOURS)*TEMP_HOURLY_RATE-FIXED_SEASON_COST)</f>
        <v>-4144.9335574013</v>
      </c>
      <c r="Y51" s="53" t="n">
        <f aca="false">IF(OR($A51&gt;TOMATO_BED_CAP,$B51&gt;CARROT_BED_CAP,Y$4&gt;MESCLUN_BED_CAP,$A51+$B51+Y$4&gt;TOTAL_BEDS_AVAILABLE,($D51+Y$5)&gt;TOTAL_LABOR_HOURS_CAP,MAX(0,($D51+Y$5)-PERMANENT_FIELD_LABOR_HOURS)&gt;TEMP_HOURS_CAP),"",$C51+Y$6-MIN(($D51+Y$5),PERMANENT_FIELD_LABOR_HOURS)*PERMANENT_HOURLY_RATE-MAX(0,($D51+Y$5)-PERMANENT_FIELD_LABOR_HOURS)*TEMP_HOURLY_RATE-FIXED_SEASON_COST)</f>
        <v>-3533.91049452264</v>
      </c>
      <c r="Z51" s="53" t="n">
        <f aca="false">IF(OR($A51&gt;TOMATO_BED_CAP,$B51&gt;CARROT_BED_CAP,Z$4&gt;MESCLUN_BED_CAP,$A51+$B51+Z$4&gt;TOTAL_BEDS_AVAILABLE,($D51+Z$5)&gt;TOTAL_LABOR_HOURS_CAP,MAX(0,($D51+Z$5)-PERMANENT_FIELD_LABOR_HOURS)&gt;TEMP_HOURS_CAP),"",$C51+Z$6-MIN(($D51+Z$5),PERMANENT_FIELD_LABOR_HOURS)*PERMANENT_HOURLY_RATE-MAX(0,($D51+Z$5)-PERMANENT_FIELD_LABOR_HOURS)*TEMP_HOURLY_RATE-FIXED_SEASON_COST)</f>
        <v>-2950.36418021492</v>
      </c>
      <c r="AA51" s="53" t="n">
        <f aca="false">IF(OR($A51&gt;TOMATO_BED_CAP,$B51&gt;CARROT_BED_CAP,AA$4&gt;MESCLUN_BED_CAP,$A51+$B51+AA$4&gt;TOTAL_BEDS_AVAILABLE,($D51+AA$5)&gt;TOTAL_LABOR_HOURS_CAP,MAX(0,($D51+AA$5)-PERMANENT_FIELD_LABOR_HOURS)&gt;TEMP_HOURS_CAP),"",$C51+AA$6-MIN(($D51+AA$5),PERMANENT_FIELD_LABOR_HOURS)*PERMANENT_HOURLY_RATE-MAX(0,($D51+AA$5)-PERMANENT_FIELD_LABOR_HOURS)*TEMP_HOURLY_RATE-FIXED_SEASON_COST)</f>
        <v>-2394.79263054599</v>
      </c>
      <c r="AB51" s="53" t="n">
        <f aca="false">IF(OR($A51&gt;TOMATO_BED_CAP,$B51&gt;CARROT_BED_CAP,AB$4&gt;MESCLUN_BED_CAP,$A51+$B51+AB$4&gt;TOTAL_BEDS_AVAILABLE,($D51+AB$5)&gt;TOTAL_LABOR_HOURS_CAP,MAX(0,($D51+AB$5)-PERMANENT_FIELD_LABOR_HOURS)&gt;TEMP_HOURS_CAP),"",$C51+AB$6-MIN(($D51+AB$5),PERMANENT_FIELD_LABOR_HOURS)*PERMANENT_HOURLY_RATE-MAX(0,($D51+AB$5)-PERMANENT_FIELD_LABOR_HOURS)*TEMP_HOURLY_RATE-FIXED_SEASON_COST)</f>
        <v>-1867.70201874342</v>
      </c>
      <c r="AC51" s="53" t="n">
        <f aca="false">IF(OR($A51&gt;TOMATO_BED_CAP,$B51&gt;CARROT_BED_CAP,AC$4&gt;MESCLUN_BED_CAP,$A51+$B51+AC$4&gt;TOTAL_BEDS_AVAILABLE,($D51+AC$5)&gt;TOTAL_LABOR_HOURS_CAP,MAX(0,($D51+AC$5)-PERMANENT_FIELD_LABOR_HOURS)&gt;TEMP_HOURS_CAP),"",$C51+AC$6-MIN(($D51+AC$5),PERMANENT_FIELD_LABOR_HOURS)*PERMANENT_HOURLY_RATE-MAX(0,($D51+AC$5)-PERMANENT_FIELD_LABOR_HOURS)*TEMP_HOURLY_RATE-FIXED_SEASON_COST)</f>
        <v>-1369.60680130852</v>
      </c>
      <c r="AD51" s="53" t="n">
        <f aca="false">IF(OR($A51&gt;TOMATO_BED_CAP,$B51&gt;CARROT_BED_CAP,AD$4&gt;MESCLUN_BED_CAP,$A51+$B51+AD$4&gt;TOTAL_BEDS_AVAILABLE,($D51+AD$5)&gt;TOTAL_LABOR_HOURS_CAP,MAX(0,($D51+AD$5)-PERMANENT_FIELD_LABOR_HOURS)&gt;TEMP_HOURS_CAP),"",$C51+AD$6-MIN(($D51+AD$5),PERMANENT_FIELD_LABOR_HOURS)*PERMANENT_HOURLY_RATE-MAX(0,($D51+AD$5)-PERMANENT_FIELD_LABOR_HOURS)*TEMP_HOURLY_RATE-FIXED_SEASON_COST)</f>
        <v>-901.029846008561</v>
      </c>
      <c r="AE51" s="53" t="n">
        <f aca="false">IF(OR($A51&gt;TOMATO_BED_CAP,$B51&gt;CARROT_BED_CAP,AE$4&gt;MESCLUN_BED_CAP,$A51+$B51+AE$4&gt;TOTAL_BEDS_AVAILABLE,($D51+AE$5)&gt;TOTAL_LABOR_HOURS_CAP,MAX(0,($D51+AE$5)-PERMANENT_FIELD_LABOR_HOURS)&gt;TEMP_HOURS_CAP),"",$C51+AE$6-MIN(($D51+AE$5),PERMANENT_FIELD_LABOR_HOURS)*PERMANENT_HOURLY_RATE-MAX(0,($D51+AE$5)-PERMANENT_FIELD_LABOR_HOURS)*TEMP_HOURLY_RATE-FIXED_SEASON_COST)</f>
        <v>-462.502561774654</v>
      </c>
      <c r="AF51" s="53" t="n">
        <f aca="false">IF(OR($A51&gt;TOMATO_BED_CAP,$B51&gt;CARROT_BED_CAP,AF$4&gt;MESCLUN_BED_CAP,$A51+$B51+AF$4&gt;TOTAL_BEDS_AVAILABLE,($D51+AF$5)&gt;TOTAL_LABOR_HOURS_CAP,MAX(0,($D51+AF$5)-PERMANENT_FIELD_LABOR_HOURS)&gt;TEMP_HOURS_CAP),"",$C51+AF$6-MIN(($D51+AF$5),PERMANENT_FIELD_LABOR_HOURS)*PERMANENT_HOURLY_RATE-MAX(0,($D51+AF$5)-PERMANENT_FIELD_LABOR_HOURS)*TEMP_HOURLY_RATE-FIXED_SEASON_COST)</f>
        <v>-54.5650305327035</v>
      </c>
      <c r="AG51" s="53" t="n">
        <f aca="false">IF(OR($A51&gt;TOMATO_BED_CAP,$B51&gt;CARROT_BED_CAP,AG$4&gt;MESCLUN_BED_CAP,$A51+$B51+AG$4&gt;TOTAL_BEDS_AVAILABLE,($D51+AG$5)&gt;TOTAL_LABOR_HOURS_CAP,MAX(0,($D51+AG$5)-PERMANENT_FIELD_LABOR_HOURS)&gt;TEMP_HOURS_CAP),"",$C51+AG$6-MIN(($D51+AG$5),PERMANENT_FIELD_LABOR_HOURS)*PERMANENT_HOURLY_RATE-MAX(0,($D51+AG$5)-PERMANENT_FIELD_LABOR_HOURS)*TEMP_HOURLY_RATE-FIXED_SEASON_COST)</f>
        <v>322.233859004311</v>
      </c>
      <c r="AH51" s="53" t="n">
        <f aca="false">IF(OR($A51&gt;TOMATO_BED_CAP,$B51&gt;CARROT_BED_CAP,AH$4&gt;MESCLUN_BED_CAP,$A51+$B51+AH$4&gt;TOTAL_BEDS_AVAILABLE,($D51+AH$5)&gt;TOTAL_LABOR_HOURS_CAP,MAX(0,($D51+AH$5)-PERMANENT_FIELD_LABOR_HOURS)&gt;TEMP_HOURS_CAP),"",$C51+AH$6-MIN(($D51+AH$5),PERMANENT_FIELD_LABOR_HOURS)*PERMANENT_HOURLY_RATE-MAX(0,($D51+AH$5)-PERMANENT_FIELD_LABOR_HOURS)*TEMP_HOURLY_RATE-FIXED_SEASON_COST)</f>
        <v>667.336275554528</v>
      </c>
      <c r="AI51" s="53" t="n">
        <f aca="false">IF(OR($A51&gt;TOMATO_BED_CAP,$B51&gt;CARROT_BED_CAP,AI$4&gt;MESCLUN_BED_CAP,$A51+$B51+AI$4&gt;TOTAL_BEDS_AVAILABLE,($D51+AI$5)&gt;TOTAL_LABOR_HOURS_CAP,MAX(0,($D51+AI$5)-PERMANENT_FIELD_LABOR_HOURS)&gt;TEMP_HOURS_CAP),"",$C51+AI$6-MIN(($D51+AI$5),PERMANENT_FIELD_LABOR_HOURS)*PERMANENT_HOURLY_RATE-MAX(0,($D51+AI$5)-PERMANENT_FIELD_LABOR_HOURS)*TEMP_HOURLY_RATE-FIXED_SEASON_COST)</f>
        <v>980.17530746679</v>
      </c>
      <c r="AJ51" s="53" t="n">
        <f aca="false">IF(OR($A51&gt;TOMATO_BED_CAP,$B51&gt;CARROT_BED_CAP,AJ$4&gt;MESCLUN_BED_CAP,$A51+$B51+AJ$4&gt;TOTAL_BEDS_AVAILABLE,($D51+AJ$5)&gt;TOTAL_LABOR_HOURS_CAP,MAX(0,($D51+AJ$5)-PERMANENT_FIELD_LABOR_HOURS)&gt;TEMP_HOURS_CAP),"",$C51+AJ$6-MIN(($D51+AJ$5),PERMANENT_FIELD_LABOR_HOURS)*PERMANENT_HOURLY_RATE-MAX(0,($D51+AJ$5)-PERMANENT_FIELD_LABOR_HOURS)*TEMP_HOURLY_RATE-FIXED_SEASON_COST)</f>
        <v>1260.17482287254</v>
      </c>
    </row>
    <row r="52" customFormat="false" ht="15" hidden="false" customHeight="false" outlineLevel="0" collapsed="false">
      <c r="A52" s="21" t="n">
        <f aca="false">INT((ROW()-ROW($A$8))/(20+1))</f>
        <v>2</v>
      </c>
      <c r="B52" s="21" t="n">
        <f aca="false">MOD(ROW()-ROW($A$8),20+1)</f>
        <v>2</v>
      </c>
      <c r="C52" s="13" t="n">
        <f aca="false">A52*(TOMATO_REVENUE_PER_BED-TOMATO_FERTILIZER_PER_BED)+B52*(CARROT_REVENUE_PER_BED-CARROT_FERTILIZER_PER_BED)</f>
        <v>19148</v>
      </c>
      <c r="D52" s="14" t="n">
        <f aca="false">INDEX(TOMATO_SCHED_LABOR_HRS,A52+1)+INDEX(CARROT_SCHED_LABOR_HRS,B52+1)</f>
        <v>280.812285</v>
      </c>
      <c r="E52" s="13" t="n">
        <f aca="false">IF(COUNT(F52:AJ52)=0,"",MAX(F52:AJ52))</f>
        <v>2353.88802727254</v>
      </c>
      <c r="F52" s="53" t="n">
        <f aca="false">IF(OR($A52&gt;TOMATO_BED_CAP,$B52&gt;CARROT_BED_CAP,F$4&gt;MESCLUN_BED_CAP,$A52+$B52+F$4&gt;TOTAL_BEDS_AVAILABLE,($D52+F$5)&gt;TOTAL_LABOR_HOURS_CAP,MAX(0,($D52+F$5)-PERMANENT_FIELD_LABOR_HOURS)&gt;TEMP_HOURS_CAP),"",$C52+F$6-MIN(($D52+F$5),PERMANENT_FIELD_LABOR_HOURS)*PERMANENT_HOURLY_RATE-MAX(0,($D52+F$5)-PERMANENT_FIELD_LABOR_HOURS)*TEMP_HOURLY_RATE-FIXED_SEASON_COST)</f>
        <v>-10601.8025352</v>
      </c>
      <c r="G52" s="53" t="n">
        <f aca="false">IF(OR($A52&gt;TOMATO_BED_CAP,$B52&gt;CARROT_BED_CAP,G$4&gt;MESCLUN_BED_CAP,$A52+$B52+G$4&gt;TOTAL_BEDS_AVAILABLE,($D52+G$5)&gt;TOTAL_LABOR_HOURS_CAP,MAX(0,($D52+G$5)-PERMANENT_FIELD_LABOR_HOURS)&gt;TEMP_HOURS_CAP),"",$C52+G$6-MIN(($D52+G$5),PERMANENT_FIELD_LABOR_HOURS)*PERMANENT_HOURLY_RATE-MAX(0,($D52+G$5)-PERMANENT_FIELD_LABOR_HOURS)*TEMP_HOURLY_RATE-FIXED_SEASON_COST)</f>
        <v>-10363.7325352</v>
      </c>
      <c r="H52" s="53" t="n">
        <f aca="false">IF(OR($A52&gt;TOMATO_BED_CAP,$B52&gt;CARROT_BED_CAP,H$4&gt;MESCLUN_BED_CAP,$A52+$B52+H$4&gt;TOTAL_BEDS_AVAILABLE,($D52+H$5)&gt;TOTAL_LABOR_HOURS_CAP,MAX(0,($D52+H$5)-PERMANENT_FIELD_LABOR_HOURS)&gt;TEMP_HOURS_CAP),"",$C52+H$6-MIN(($D52+H$5),PERMANENT_FIELD_LABOR_HOURS)*PERMANENT_HOURLY_RATE-MAX(0,($D52+H$5)-PERMANENT_FIELD_LABOR_HOURS)*TEMP_HOURLY_RATE-FIXED_SEASON_COST)</f>
        <v>-10165.2107852</v>
      </c>
      <c r="I52" s="53" t="n">
        <f aca="false">IF(OR($A52&gt;TOMATO_BED_CAP,$B52&gt;CARROT_BED_CAP,I$4&gt;MESCLUN_BED_CAP,$A52+$B52+I$4&gt;TOTAL_BEDS_AVAILABLE,($D52+I$5)&gt;TOTAL_LABOR_HOURS_CAP,MAX(0,($D52+I$5)-PERMANENT_FIELD_LABOR_HOURS)&gt;TEMP_HOURS_CAP),"",$C52+I$6-MIN(($D52+I$5),PERMANENT_FIELD_LABOR_HOURS)*PERMANENT_HOURLY_RATE-MAX(0,($D52+I$5)-PERMANENT_FIELD_LABOR_HOURS)*TEMP_HOURLY_RATE-FIXED_SEASON_COST)</f>
        <v>-10006.9788148875</v>
      </c>
      <c r="J52" s="53" t="n">
        <f aca="false">IF(OR($A52&gt;TOMATO_BED_CAP,$B52&gt;CARROT_BED_CAP,J$4&gt;MESCLUN_BED_CAP,$A52+$B52+J$4&gt;TOTAL_BEDS_AVAILABLE,($D52+J$5)&gt;TOTAL_LABOR_HOURS_CAP,MAX(0,($D52+J$5)-PERMANENT_FIELD_LABOR_HOURS)&gt;TEMP_HOURS_CAP),"",$C52+J$6-MIN(($D52+J$5),PERMANENT_FIELD_LABOR_HOURS)*PERMANENT_HOURLY_RATE-MAX(0,($D52+J$5)-PERMANENT_FIELD_LABOR_HOURS)*TEMP_HOURLY_RATE-FIXED_SEASON_COST)</f>
        <v>-9889.79051277813</v>
      </c>
      <c r="K52" s="53" t="n">
        <f aca="false">IF(OR($A52&gt;TOMATO_BED_CAP,$B52&gt;CARROT_BED_CAP,K$4&gt;MESCLUN_BED_CAP,$A52+$B52+K$4&gt;TOTAL_BEDS_AVAILABLE,($D52+K$5)&gt;TOTAL_LABOR_HOURS_CAP,MAX(0,($D52+K$5)-PERMANENT_FIELD_LABOR_HOURS)&gt;TEMP_HOURS_CAP),"",$C52+K$6-MIN(($D52+K$5),PERMANENT_FIELD_LABOR_HOURS)*PERMANENT_HOURLY_RATE-MAX(0,($D52+K$5)-PERMANENT_FIELD_LABOR_HOURS)*TEMP_HOURLY_RATE-FIXED_SEASON_COST)</f>
        <v>-9814.41231932231</v>
      </c>
      <c r="L52" s="53" t="n">
        <f aca="false">IF(OR($A52&gt;TOMATO_BED_CAP,$B52&gt;CARROT_BED_CAP,L$4&gt;MESCLUN_BED_CAP,$A52+$B52+L$4&gt;TOTAL_BEDS_AVAILABLE,($D52+L$5)&gt;TOTAL_LABOR_HOURS_CAP,MAX(0,($D52+L$5)-PERMANENT_FIELD_LABOR_HOURS)&gt;TEMP_HOURS_CAP),"",$C52+L$6-MIN(($D52+L$5),PERMANENT_FIELD_LABOR_HOURS)*PERMANENT_HOURLY_RATE-MAX(0,($D52+L$5)-PERMANENT_FIELD_LABOR_HOURS)*TEMP_HOURLY_RATE-FIXED_SEASON_COST)</f>
        <v>-9781.62342290861</v>
      </c>
      <c r="M52" s="53" t="n">
        <f aca="false">IF(OR($A52&gt;TOMATO_BED_CAP,$B52&gt;CARROT_BED_CAP,M$4&gt;MESCLUN_BED_CAP,$A52+$B52+M$4&gt;TOTAL_BEDS_AVAILABLE,($D52+M$5)&gt;TOTAL_LABOR_HOURS_CAP,MAX(0,($D52+M$5)-PERMANENT_FIELD_LABOR_HOURS)&gt;TEMP_HOURS_CAP),"",$C52+M$6-MIN(($D52+M$5),PERMANENT_FIELD_LABOR_HOURS)*PERMANENT_HOURLY_RATE-MAX(0,($D52+M$5)-PERMANENT_FIELD_LABOR_HOURS)*TEMP_HOURLY_RATE-FIXED_SEASON_COST)</f>
        <v>-9792.2159588058</v>
      </c>
      <c r="N52" s="53" t="n">
        <f aca="false">IF(OR($A52&gt;TOMATO_BED_CAP,$B52&gt;CARROT_BED_CAP,N$4&gt;MESCLUN_BED_CAP,$A52+$B52+N$4&gt;TOTAL_BEDS_AVAILABLE,($D52+N$5)&gt;TOTAL_LABOR_HOURS_CAP,MAX(0,($D52+N$5)-PERMANENT_FIELD_LABOR_HOURS)&gt;TEMP_HOURS_CAP),"",$C52+N$6-MIN(($D52+N$5),PERMANENT_FIELD_LABOR_HOURS)*PERMANENT_HOURLY_RATE-MAX(0,($D52+N$5)-PERMANENT_FIELD_LABOR_HOURS)*TEMP_HOURLY_RATE-FIXED_SEASON_COST)</f>
        <v>-9846.99521108671</v>
      </c>
      <c r="O52" s="53" t="n">
        <f aca="false">IF(OR($A52&gt;TOMATO_BED_CAP,$B52&gt;CARROT_BED_CAP,O$4&gt;MESCLUN_BED_CAP,$A52+$B52+O$4&gt;TOTAL_BEDS_AVAILABLE,($D52+O$5)&gt;TOTAL_LABOR_HOURS_CAP,MAX(0,($D52+O$5)-PERMANENT_FIELD_LABOR_HOURS)&gt;TEMP_HOURS_CAP),"",$C52+O$6-MIN(($D52+O$5),PERMANENT_FIELD_LABOR_HOURS)*PERMANENT_HOURLY_RATE-MAX(0,($D52+O$5)-PERMANENT_FIELD_LABOR_HOURS)*TEMP_HOURLY_RATE-FIXED_SEASON_COST)</f>
        <v>-9708.5899087886</v>
      </c>
      <c r="P52" s="53" t="n">
        <f aca="false">IF(OR($A52&gt;TOMATO_BED_CAP,$B52&gt;CARROT_BED_CAP,P$4&gt;MESCLUN_BED_CAP,$A52+$B52+P$4&gt;TOTAL_BEDS_AVAILABLE,($D52+P$5)&gt;TOTAL_LABOR_HOURS_CAP,MAX(0,($D52+P$5)-PERMANENT_FIELD_LABOR_HOURS)&gt;TEMP_HOURS_CAP),"",$C52+P$6-MIN(($D52+P$5),PERMANENT_FIELD_LABOR_HOURS)*PERMANENT_HOURLY_RATE-MAX(0,($D52+P$5)-PERMANENT_FIELD_LABOR_HOURS)*TEMP_HOURLY_RATE-FIXED_SEASON_COST)</f>
        <v>-8871.40098893717</v>
      </c>
      <c r="Q52" s="53" t="n">
        <f aca="false">IF(OR($A52&gt;TOMATO_BED_CAP,$B52&gt;CARROT_BED_CAP,Q$4&gt;MESCLUN_BED_CAP,$A52+$B52+Q$4&gt;TOTAL_BEDS_AVAILABLE,($D52+Q$5)&gt;TOTAL_LABOR_HOURS_CAP,MAX(0,($D52+Q$5)-PERMANENT_FIELD_LABOR_HOURS)&gt;TEMP_HOURS_CAP),"",$C52+Q$6-MIN(($D52+Q$5),PERMANENT_FIELD_LABOR_HOURS)*PERMANENT_HOURLY_RATE-MAX(0,($D52+Q$5)-PERMANENT_FIELD_LABOR_HOURS)*TEMP_HOURLY_RATE-FIXED_SEASON_COST)</f>
        <v>-8057.55383223927</v>
      </c>
      <c r="R52" s="53" t="n">
        <f aca="false">IF(OR($A52&gt;TOMATO_BED_CAP,$B52&gt;CARROT_BED_CAP,R$4&gt;MESCLUN_BED_CAP,$A52+$B52+R$4&gt;TOTAL_BEDS_AVAILABLE,($D52+R$5)&gt;TOTAL_LABOR_HOURS_CAP,MAX(0,($D52+R$5)-PERMANENT_FIELD_LABOR_HOURS)&gt;TEMP_HOURS_CAP),"",$C52+R$6-MIN(($D52+R$5),PERMANENT_FIELD_LABOR_HOURS)*PERMANENT_HOURLY_RATE-MAX(0,($D52+R$5)-PERMANENT_FIELD_LABOR_HOURS)*TEMP_HOURLY_RATE-FIXED_SEASON_COST)</f>
        <v>-7267.47841854247</v>
      </c>
      <c r="S52" s="53" t="n">
        <f aca="false">IF(OR($A52&gt;TOMATO_BED_CAP,$B52&gt;CARROT_BED_CAP,S$4&gt;MESCLUN_BED_CAP,$A52+$B52+S$4&gt;TOTAL_BEDS_AVAILABLE,($D52+S$5)&gt;TOTAL_LABOR_HOURS_CAP,MAX(0,($D52+S$5)-PERMANENT_FIELD_LABOR_HOURS)&gt;TEMP_HOURS_CAP),"",$C52+S$6-MIN(($D52+S$5),PERMANENT_FIELD_LABOR_HOURS)*PERMANENT_HOURLY_RATE-MAX(0,($D52+S$5)-PERMANENT_FIELD_LABOR_HOURS)*TEMP_HOURLY_RATE-FIXED_SEASON_COST)</f>
        <v>-6501.61183004003</v>
      </c>
      <c r="T52" s="53" t="n">
        <f aca="false">IF(OR($A52&gt;TOMATO_BED_CAP,$B52&gt;CARROT_BED_CAP,T$4&gt;MESCLUN_BED_CAP,$A52+$B52+T$4&gt;TOTAL_BEDS_AVAILABLE,($D52+T$5)&gt;TOTAL_LABOR_HOURS_CAP,MAX(0,($D52+T$5)-PERMANENT_FIELD_LABOR_HOURS)&gt;TEMP_HOURS_CAP),"",$C52+T$6-MIN(($D52+T$5),PERMANENT_FIELD_LABOR_HOURS)*PERMANENT_HOURLY_RATE-MAX(0,($D52+T$5)-PERMANENT_FIELD_LABOR_HOURS)*TEMP_HOURLY_RATE-FIXED_SEASON_COST)</f>
        <v>-5760.39836164518</v>
      </c>
      <c r="U52" s="53" t="n">
        <f aca="false">IF(OR($A52&gt;TOMATO_BED_CAP,$B52&gt;CARROT_BED_CAP,U$4&gt;MESCLUN_BED_CAP,$A52+$B52+U$4&gt;TOTAL_BEDS_AVAILABLE,($D52+U$5)&gt;TOTAL_LABOR_HOURS_CAP,MAX(0,($D52+U$5)-PERMANENT_FIELD_LABOR_HOURS)&gt;TEMP_HOURS_CAP),"",$C52+U$6-MIN(($D52+U$5),PERMANENT_FIELD_LABOR_HOURS)*PERMANENT_HOURLY_RATE-MAX(0,($D52+U$5)-PERMANENT_FIELD_LABOR_HOURS)*TEMP_HOURLY_RATE-FIXED_SEASON_COST)</f>
        <v>-5044.28963301508</v>
      </c>
      <c r="V52" s="53" t="n">
        <f aca="false">IF(OR($A52&gt;TOMATO_BED_CAP,$B52&gt;CARROT_BED_CAP,V$4&gt;MESCLUN_BED_CAP,$A52+$B52+V$4&gt;TOTAL_BEDS_AVAILABLE,($D52+V$5)&gt;TOTAL_LABOR_HOURS_CAP,MAX(0,($D52+V$5)-PERMANENT_FIELD_LABOR_HOURS)&gt;TEMP_HOURS_CAP),"",$C52+V$6-MIN(($D52+V$5),PERMANENT_FIELD_LABOR_HOURS)*PERMANENT_HOURLY_RATE-MAX(0,($D52+V$5)-PERMANENT_FIELD_LABOR_HOURS)*TEMP_HOURLY_RATE-FIXED_SEASON_COST)</f>
        <v>-4353.74470224829</v>
      </c>
      <c r="W52" s="53" t="n">
        <f aca="false">IF(OR($A52&gt;TOMATO_BED_CAP,$B52&gt;CARROT_BED_CAP,W$4&gt;MESCLUN_BED_CAP,$A52+$B52+W$4&gt;TOTAL_BEDS_AVAILABLE,($D52+W$5)&gt;TOTAL_LABOR_HOURS_CAP,MAX(0,($D52+W$5)-PERMANENT_FIELD_LABOR_HOURS)&gt;TEMP_HOURS_CAP),"",$C52+W$6-MIN(($D52+W$5),PERMANENT_FIELD_LABOR_HOURS)*PERMANENT_HOURLY_RATE-MAX(0,($D52+W$5)-PERMANENT_FIELD_LABOR_HOURS)*TEMP_HOURLY_RATE-FIXED_SEASON_COST)</f>
        <v>-3689.23018128023</v>
      </c>
      <c r="X52" s="53" t="n">
        <f aca="false">IF(OR($A52&gt;TOMATO_BED_CAP,$B52&gt;CARROT_BED_CAP,X$4&gt;MESCLUN_BED_CAP,$A52+$B52+X$4&gt;TOTAL_BEDS_AVAILABLE,($D52+X$5)&gt;TOTAL_LABOR_HOURS_CAP,MAX(0,($D52+X$5)-PERMANENT_FIELD_LABOR_HOURS)&gt;TEMP_HOURS_CAP),"",$C52+X$6-MIN(($D52+X$5),PERMANENT_FIELD_LABOR_HOURS)*PERMANENT_HOURLY_RATE-MAX(0,($D52+X$5)-PERMANENT_FIELD_LABOR_HOURS)*TEMP_HOURLY_RATE-FIXED_SEASON_COST)</f>
        <v>-3051.2203530013</v>
      </c>
      <c r="Y52" s="53" t="n">
        <f aca="false">IF(OR($A52&gt;TOMATO_BED_CAP,$B52&gt;CARROT_BED_CAP,Y$4&gt;MESCLUN_BED_CAP,$A52+$B52+Y$4&gt;TOTAL_BEDS_AVAILABLE,($D52+Y$5)&gt;TOTAL_LABOR_HOURS_CAP,MAX(0,($D52+Y$5)-PERMANENT_FIELD_LABOR_HOURS)&gt;TEMP_HOURS_CAP),"",$C52+Y$6-MIN(($D52+Y$5),PERMANENT_FIELD_LABOR_HOURS)*PERMANENT_HOURLY_RATE-MAX(0,($D52+Y$5)-PERMANENT_FIELD_LABOR_HOURS)*TEMP_HOURLY_RATE-FIXED_SEASON_COST)</f>
        <v>-2440.19729012264</v>
      </c>
      <c r="Z52" s="53" t="n">
        <f aca="false">IF(OR($A52&gt;TOMATO_BED_CAP,$B52&gt;CARROT_BED_CAP,Z$4&gt;MESCLUN_BED_CAP,$A52+$B52+Z$4&gt;TOTAL_BEDS_AVAILABLE,($D52+Z$5)&gt;TOTAL_LABOR_HOURS_CAP,MAX(0,($D52+Z$5)-PERMANENT_FIELD_LABOR_HOURS)&gt;TEMP_HOURS_CAP),"",$C52+Z$6-MIN(($D52+Z$5),PERMANENT_FIELD_LABOR_HOURS)*PERMANENT_HOURLY_RATE-MAX(0,($D52+Z$5)-PERMANENT_FIELD_LABOR_HOURS)*TEMP_HOURLY_RATE-FIXED_SEASON_COST)</f>
        <v>-1856.65097581492</v>
      </c>
      <c r="AA52" s="53" t="n">
        <f aca="false">IF(OR($A52&gt;TOMATO_BED_CAP,$B52&gt;CARROT_BED_CAP,AA$4&gt;MESCLUN_BED_CAP,$A52+$B52+AA$4&gt;TOTAL_BEDS_AVAILABLE,($D52+AA$5)&gt;TOTAL_LABOR_HOURS_CAP,MAX(0,($D52+AA$5)-PERMANENT_FIELD_LABOR_HOURS)&gt;TEMP_HOURS_CAP),"",$C52+AA$6-MIN(($D52+AA$5),PERMANENT_FIELD_LABOR_HOURS)*PERMANENT_HOURLY_RATE-MAX(0,($D52+AA$5)-PERMANENT_FIELD_LABOR_HOURS)*TEMP_HOURLY_RATE-FIXED_SEASON_COST)</f>
        <v>-1301.07942614599</v>
      </c>
      <c r="AB52" s="53" t="n">
        <f aca="false">IF(OR($A52&gt;TOMATO_BED_CAP,$B52&gt;CARROT_BED_CAP,AB$4&gt;MESCLUN_BED_CAP,$A52+$B52+AB$4&gt;TOTAL_BEDS_AVAILABLE,($D52+AB$5)&gt;TOTAL_LABOR_HOURS_CAP,MAX(0,($D52+AB$5)-PERMANENT_FIELD_LABOR_HOURS)&gt;TEMP_HOURS_CAP),"",$C52+AB$6-MIN(($D52+AB$5),PERMANENT_FIELD_LABOR_HOURS)*PERMANENT_HOURLY_RATE-MAX(0,($D52+AB$5)-PERMANENT_FIELD_LABOR_HOURS)*TEMP_HOURLY_RATE-FIXED_SEASON_COST)</f>
        <v>-773.988814343415</v>
      </c>
      <c r="AC52" s="53" t="n">
        <f aca="false">IF(OR($A52&gt;TOMATO_BED_CAP,$B52&gt;CARROT_BED_CAP,AC$4&gt;MESCLUN_BED_CAP,$A52+$B52+AC$4&gt;TOTAL_BEDS_AVAILABLE,($D52+AC$5)&gt;TOTAL_LABOR_HOURS_CAP,MAX(0,($D52+AC$5)-PERMANENT_FIELD_LABOR_HOURS)&gt;TEMP_HOURS_CAP),"",$C52+AC$6-MIN(($D52+AC$5),PERMANENT_FIELD_LABOR_HOURS)*PERMANENT_HOURLY_RATE-MAX(0,($D52+AC$5)-PERMANENT_FIELD_LABOR_HOURS)*TEMP_HOURLY_RATE-FIXED_SEASON_COST)</f>
        <v>-275.893596908514</v>
      </c>
      <c r="AD52" s="53" t="n">
        <f aca="false">IF(OR($A52&gt;TOMATO_BED_CAP,$B52&gt;CARROT_BED_CAP,AD$4&gt;MESCLUN_BED_CAP,$A52+$B52+AD$4&gt;TOTAL_BEDS_AVAILABLE,($D52+AD$5)&gt;TOTAL_LABOR_HOURS_CAP,MAX(0,($D52+AD$5)-PERMANENT_FIELD_LABOR_HOURS)&gt;TEMP_HOURS_CAP),"",$C52+AD$6-MIN(($D52+AD$5),PERMANENT_FIELD_LABOR_HOURS)*PERMANENT_HOURLY_RATE-MAX(0,($D52+AD$5)-PERMANENT_FIELD_LABOR_HOURS)*TEMP_HOURLY_RATE-FIXED_SEASON_COST)</f>
        <v>192.683358391441</v>
      </c>
      <c r="AE52" s="53" t="n">
        <f aca="false">IF(OR($A52&gt;TOMATO_BED_CAP,$B52&gt;CARROT_BED_CAP,AE$4&gt;MESCLUN_BED_CAP,$A52+$B52+AE$4&gt;TOTAL_BEDS_AVAILABLE,($D52+AE$5)&gt;TOTAL_LABOR_HOURS_CAP,MAX(0,($D52+AE$5)-PERMANENT_FIELD_LABOR_HOURS)&gt;TEMP_HOURS_CAP),"",$C52+AE$6-MIN(($D52+AE$5),PERMANENT_FIELD_LABOR_HOURS)*PERMANENT_HOURLY_RATE-MAX(0,($D52+AE$5)-PERMANENT_FIELD_LABOR_HOURS)*TEMP_HOURLY_RATE-FIXED_SEASON_COST)</f>
        <v>631.210642625349</v>
      </c>
      <c r="AF52" s="53" t="n">
        <f aca="false">IF(OR($A52&gt;TOMATO_BED_CAP,$B52&gt;CARROT_BED_CAP,AF$4&gt;MESCLUN_BED_CAP,$A52+$B52+AF$4&gt;TOTAL_BEDS_AVAILABLE,($D52+AF$5)&gt;TOTAL_LABOR_HOURS_CAP,MAX(0,($D52+AF$5)-PERMANENT_FIELD_LABOR_HOURS)&gt;TEMP_HOURS_CAP),"",$C52+AF$6-MIN(($D52+AF$5),PERMANENT_FIELD_LABOR_HOURS)*PERMANENT_HOURLY_RATE-MAX(0,($D52+AF$5)-PERMANENT_FIELD_LABOR_HOURS)*TEMP_HOURLY_RATE-FIXED_SEASON_COST)</f>
        <v>1039.1481738673</v>
      </c>
      <c r="AG52" s="53" t="n">
        <f aca="false">IF(OR($A52&gt;TOMATO_BED_CAP,$B52&gt;CARROT_BED_CAP,AG$4&gt;MESCLUN_BED_CAP,$A52+$B52+AG$4&gt;TOTAL_BEDS_AVAILABLE,($D52+AG$5)&gt;TOTAL_LABOR_HOURS_CAP,MAX(0,($D52+AG$5)-PERMANENT_FIELD_LABOR_HOURS)&gt;TEMP_HOURS_CAP),"",$C52+AG$6-MIN(($D52+AG$5),PERMANENT_FIELD_LABOR_HOURS)*PERMANENT_HOURLY_RATE-MAX(0,($D52+AG$5)-PERMANENT_FIELD_LABOR_HOURS)*TEMP_HOURLY_RATE-FIXED_SEASON_COST)</f>
        <v>1415.94706340431</v>
      </c>
      <c r="AH52" s="53" t="n">
        <f aca="false">IF(OR($A52&gt;TOMATO_BED_CAP,$B52&gt;CARROT_BED_CAP,AH$4&gt;MESCLUN_BED_CAP,$A52+$B52+AH$4&gt;TOTAL_BEDS_AVAILABLE,($D52+AH$5)&gt;TOTAL_LABOR_HOURS_CAP,MAX(0,($D52+AH$5)-PERMANENT_FIELD_LABOR_HOURS)&gt;TEMP_HOURS_CAP),"",$C52+AH$6-MIN(($D52+AH$5),PERMANENT_FIELD_LABOR_HOURS)*PERMANENT_HOURLY_RATE-MAX(0,($D52+AH$5)-PERMANENT_FIELD_LABOR_HOURS)*TEMP_HOURLY_RATE-FIXED_SEASON_COST)</f>
        <v>1761.04947995453</v>
      </c>
      <c r="AI52" s="53" t="n">
        <f aca="false">IF(OR($A52&gt;TOMATO_BED_CAP,$B52&gt;CARROT_BED_CAP,AI$4&gt;MESCLUN_BED_CAP,$A52+$B52+AI$4&gt;TOTAL_BEDS_AVAILABLE,($D52+AI$5)&gt;TOTAL_LABOR_HOURS_CAP,MAX(0,($D52+AI$5)-PERMANENT_FIELD_LABOR_HOURS)&gt;TEMP_HOURS_CAP),"",$C52+AI$6-MIN(($D52+AI$5),PERMANENT_FIELD_LABOR_HOURS)*PERMANENT_HOURLY_RATE-MAX(0,($D52+AI$5)-PERMANENT_FIELD_LABOR_HOURS)*TEMP_HOURLY_RATE-FIXED_SEASON_COST)</f>
        <v>2073.88851186679</v>
      </c>
      <c r="AJ52" s="53" t="n">
        <f aca="false">IF(OR($A52&gt;TOMATO_BED_CAP,$B52&gt;CARROT_BED_CAP,AJ$4&gt;MESCLUN_BED_CAP,$A52+$B52+AJ$4&gt;TOTAL_BEDS_AVAILABLE,($D52+AJ$5)&gt;TOTAL_LABOR_HOURS_CAP,MAX(0,($D52+AJ$5)-PERMANENT_FIELD_LABOR_HOURS)&gt;TEMP_HOURS_CAP),"",$C52+AJ$6-MIN(($D52+AJ$5),PERMANENT_FIELD_LABOR_HOURS)*PERMANENT_HOURLY_RATE-MAX(0,($D52+AJ$5)-PERMANENT_FIELD_LABOR_HOURS)*TEMP_HOURLY_RATE-FIXED_SEASON_COST)</f>
        <v>2353.88802727254</v>
      </c>
    </row>
    <row r="53" customFormat="false" ht="15" hidden="false" customHeight="false" outlineLevel="0" collapsed="false">
      <c r="A53" s="21" t="n">
        <f aca="false">INT((ROW()-ROW($A$8))/(20+1))</f>
        <v>2</v>
      </c>
      <c r="B53" s="21" t="n">
        <f aca="false">MOD(ROW()-ROW($A$8),20+1)</f>
        <v>3</v>
      </c>
      <c r="C53" s="13" t="n">
        <f aca="false">A53*(TOMATO_REVENUE_PER_BED-TOMATO_FERTILIZER_PER_BED)+B53*(CARROT_REVENUE_PER_BED-CARROT_FERTILIZER_PER_BED)</f>
        <v>20802</v>
      </c>
      <c r="D53" s="14" t="n">
        <f aca="false">INDEX(TOMATO_SCHED_LABOR_HRS,A53+1)+INDEX(CARROT_SCHED_LABOR_HRS,B53+1)</f>
        <v>314.6813881875</v>
      </c>
      <c r="E53" s="13" t="n">
        <f aca="false">IF(COUNT(F53:AJ53)=0,"",MAX(F53:AJ53))</f>
        <v>3419.92039593754</v>
      </c>
      <c r="F53" s="53" t="n">
        <f aca="false">IF(OR($A53&gt;TOMATO_BED_CAP,$B53&gt;CARROT_BED_CAP,F$4&gt;MESCLUN_BED_CAP,$A53+$B53+F$4&gt;TOTAL_BEDS_AVAILABLE,($D53+F$5)&gt;TOTAL_LABOR_HOURS_CAP,MAX(0,($D53+F$5)-PERMANENT_FIELD_LABOR_HOURS)&gt;TEMP_HOURS_CAP),"",$C53+F$6-MIN(($D53+F$5),PERMANENT_FIELD_LABOR_HOURS)*PERMANENT_HOURLY_RATE-MAX(0,($D53+F$5)-PERMANENT_FIELD_LABOR_HOURS)*TEMP_HOURLY_RATE-FIXED_SEASON_COST)</f>
        <v>-10123.73779787</v>
      </c>
      <c r="G53" s="53" t="n">
        <f aca="false">IF(OR($A53&gt;TOMATO_BED_CAP,$B53&gt;CARROT_BED_CAP,G$4&gt;MESCLUN_BED_CAP,$A53+$B53+G$4&gt;TOTAL_BEDS_AVAILABLE,($D53+G$5)&gt;TOTAL_LABOR_HOURS_CAP,MAX(0,($D53+G$5)-PERMANENT_FIELD_LABOR_HOURS)&gt;TEMP_HOURS_CAP),"",$C53+G$6-MIN(($D53+G$5),PERMANENT_FIELD_LABOR_HOURS)*PERMANENT_HOURLY_RATE-MAX(0,($D53+G$5)-PERMANENT_FIELD_LABOR_HOURS)*TEMP_HOURLY_RATE-FIXED_SEASON_COST)</f>
        <v>-9885.66779787</v>
      </c>
      <c r="H53" s="53" t="n">
        <f aca="false">IF(OR($A53&gt;TOMATO_BED_CAP,$B53&gt;CARROT_BED_CAP,H$4&gt;MESCLUN_BED_CAP,$A53+$B53+H$4&gt;TOTAL_BEDS_AVAILABLE,($D53+H$5)&gt;TOTAL_LABOR_HOURS_CAP,MAX(0,($D53+H$5)-PERMANENT_FIELD_LABOR_HOURS)&gt;TEMP_HOURS_CAP),"",$C53+H$6-MIN(($D53+H$5),PERMANENT_FIELD_LABOR_HOURS)*PERMANENT_HOURLY_RATE-MAX(0,($D53+H$5)-PERMANENT_FIELD_LABOR_HOURS)*TEMP_HOURLY_RATE-FIXED_SEASON_COST)</f>
        <v>-9687.14604787</v>
      </c>
      <c r="I53" s="53" t="n">
        <f aca="false">IF(OR($A53&gt;TOMATO_BED_CAP,$B53&gt;CARROT_BED_CAP,I$4&gt;MESCLUN_BED_CAP,$A53+$B53+I$4&gt;TOTAL_BEDS_AVAILABLE,($D53+I$5)&gt;TOTAL_LABOR_HOURS_CAP,MAX(0,($D53+I$5)-PERMANENT_FIELD_LABOR_HOURS)&gt;TEMP_HOURS_CAP),"",$C53+I$6-MIN(($D53+I$5),PERMANENT_FIELD_LABOR_HOURS)*PERMANENT_HOURLY_RATE-MAX(0,($D53+I$5)-PERMANENT_FIELD_LABOR_HOURS)*TEMP_HOURLY_RATE-FIXED_SEASON_COST)</f>
        <v>-9528.9140775575</v>
      </c>
      <c r="J53" s="53" t="n">
        <f aca="false">IF(OR($A53&gt;TOMATO_BED_CAP,$B53&gt;CARROT_BED_CAP,J$4&gt;MESCLUN_BED_CAP,$A53+$B53+J$4&gt;TOTAL_BEDS_AVAILABLE,($D53+J$5)&gt;TOTAL_LABOR_HOURS_CAP,MAX(0,($D53+J$5)-PERMANENT_FIELD_LABOR_HOURS)&gt;TEMP_HOURS_CAP),"",$C53+J$6-MIN(($D53+J$5),PERMANENT_FIELD_LABOR_HOURS)*PERMANENT_HOURLY_RATE-MAX(0,($D53+J$5)-PERMANENT_FIELD_LABOR_HOURS)*TEMP_HOURLY_RATE-FIXED_SEASON_COST)</f>
        <v>-9411.72577544812</v>
      </c>
      <c r="K53" s="53" t="n">
        <f aca="false">IF(OR($A53&gt;TOMATO_BED_CAP,$B53&gt;CARROT_BED_CAP,K$4&gt;MESCLUN_BED_CAP,$A53+$B53+K$4&gt;TOTAL_BEDS_AVAILABLE,($D53+K$5)&gt;TOTAL_LABOR_HOURS_CAP,MAX(0,($D53+K$5)-PERMANENT_FIELD_LABOR_HOURS)&gt;TEMP_HOURS_CAP),"",$C53+K$6-MIN(($D53+K$5),PERMANENT_FIELD_LABOR_HOURS)*PERMANENT_HOURLY_RATE-MAX(0,($D53+K$5)-PERMANENT_FIELD_LABOR_HOURS)*TEMP_HOURLY_RATE-FIXED_SEASON_COST)</f>
        <v>-9336.34758199231</v>
      </c>
      <c r="L53" s="53" t="n">
        <f aca="false">IF(OR($A53&gt;TOMATO_BED_CAP,$B53&gt;CARROT_BED_CAP,L$4&gt;MESCLUN_BED_CAP,$A53+$B53+L$4&gt;TOTAL_BEDS_AVAILABLE,($D53+L$5)&gt;TOTAL_LABOR_HOURS_CAP,MAX(0,($D53+L$5)-PERMANENT_FIELD_LABOR_HOURS)&gt;TEMP_HOURS_CAP),"",$C53+L$6-MIN(($D53+L$5),PERMANENT_FIELD_LABOR_HOURS)*PERMANENT_HOURLY_RATE-MAX(0,($D53+L$5)-PERMANENT_FIELD_LABOR_HOURS)*TEMP_HOURLY_RATE-FIXED_SEASON_COST)</f>
        <v>-9303.55868557861</v>
      </c>
      <c r="M53" s="53" t="n">
        <f aca="false">IF(OR($A53&gt;TOMATO_BED_CAP,$B53&gt;CARROT_BED_CAP,M$4&gt;MESCLUN_BED_CAP,$A53+$B53+M$4&gt;TOTAL_BEDS_AVAILABLE,($D53+M$5)&gt;TOTAL_LABOR_HOURS_CAP,MAX(0,($D53+M$5)-PERMANENT_FIELD_LABOR_HOURS)&gt;TEMP_HOURS_CAP),"",$C53+M$6-MIN(($D53+M$5),PERMANENT_FIELD_LABOR_HOURS)*PERMANENT_HOURLY_RATE-MAX(0,($D53+M$5)-PERMANENT_FIELD_LABOR_HOURS)*TEMP_HOURLY_RATE-FIXED_SEASON_COST)</f>
        <v>-9314.15122147579</v>
      </c>
      <c r="N53" s="53" t="n">
        <f aca="false">IF(OR($A53&gt;TOMATO_BED_CAP,$B53&gt;CARROT_BED_CAP,N$4&gt;MESCLUN_BED_CAP,$A53+$B53+N$4&gt;TOTAL_BEDS_AVAILABLE,($D53+N$5)&gt;TOTAL_LABOR_HOURS_CAP,MAX(0,($D53+N$5)-PERMANENT_FIELD_LABOR_HOURS)&gt;TEMP_HOURS_CAP),"",$C53+N$6-MIN(($D53+N$5),PERMANENT_FIELD_LABOR_HOURS)*PERMANENT_HOURLY_RATE-MAX(0,($D53+N$5)-PERMANENT_FIELD_LABOR_HOURS)*TEMP_HOURLY_RATE-FIXED_SEASON_COST)</f>
        <v>-9368.9304737567</v>
      </c>
      <c r="O53" s="53" t="n">
        <f aca="false">IF(OR($A53&gt;TOMATO_BED_CAP,$B53&gt;CARROT_BED_CAP,O$4&gt;MESCLUN_BED_CAP,$A53+$B53+O$4&gt;TOTAL_BEDS_AVAILABLE,($D53+O$5)&gt;TOTAL_LABOR_HOURS_CAP,MAX(0,($D53+O$5)-PERMANENT_FIELD_LABOR_HOURS)&gt;TEMP_HOURS_CAP),"",$C53+O$6-MIN(($D53+O$5),PERMANENT_FIELD_LABOR_HOURS)*PERMANENT_HOURLY_RATE-MAX(0,($D53+O$5)-PERMANENT_FIELD_LABOR_HOURS)*TEMP_HOURLY_RATE-FIXED_SEASON_COST)</f>
        <v>-8642.5575401236</v>
      </c>
      <c r="P53" s="53" t="n">
        <f aca="false">IF(OR($A53&gt;TOMATO_BED_CAP,$B53&gt;CARROT_BED_CAP,P$4&gt;MESCLUN_BED_CAP,$A53+$B53+P$4&gt;TOTAL_BEDS_AVAILABLE,($D53+P$5)&gt;TOTAL_LABOR_HOURS_CAP,MAX(0,($D53+P$5)-PERMANENT_FIELD_LABOR_HOURS)&gt;TEMP_HOURS_CAP),"",$C53+P$6-MIN(($D53+P$5),PERMANENT_FIELD_LABOR_HOURS)*PERMANENT_HOURLY_RATE-MAX(0,($D53+P$5)-PERMANENT_FIELD_LABOR_HOURS)*TEMP_HOURLY_RATE-FIXED_SEASON_COST)</f>
        <v>-7805.36862027217</v>
      </c>
      <c r="Q53" s="53" t="n">
        <f aca="false">IF(OR($A53&gt;TOMATO_BED_CAP,$B53&gt;CARROT_BED_CAP,Q$4&gt;MESCLUN_BED_CAP,$A53+$B53+Q$4&gt;TOTAL_BEDS_AVAILABLE,($D53+Q$5)&gt;TOTAL_LABOR_HOURS_CAP,MAX(0,($D53+Q$5)-PERMANENT_FIELD_LABOR_HOURS)&gt;TEMP_HOURS_CAP),"",$C53+Q$6-MIN(($D53+Q$5),PERMANENT_FIELD_LABOR_HOURS)*PERMANENT_HOURLY_RATE-MAX(0,($D53+Q$5)-PERMANENT_FIELD_LABOR_HOURS)*TEMP_HOURLY_RATE-FIXED_SEASON_COST)</f>
        <v>-6991.52146357427</v>
      </c>
      <c r="R53" s="53" t="n">
        <f aca="false">IF(OR($A53&gt;TOMATO_BED_CAP,$B53&gt;CARROT_BED_CAP,R$4&gt;MESCLUN_BED_CAP,$A53+$B53+R$4&gt;TOTAL_BEDS_AVAILABLE,($D53+R$5)&gt;TOTAL_LABOR_HOURS_CAP,MAX(0,($D53+R$5)-PERMANENT_FIELD_LABOR_HOURS)&gt;TEMP_HOURS_CAP),"",$C53+R$6-MIN(($D53+R$5),PERMANENT_FIELD_LABOR_HOURS)*PERMANENT_HOURLY_RATE-MAX(0,($D53+R$5)-PERMANENT_FIELD_LABOR_HOURS)*TEMP_HOURLY_RATE-FIXED_SEASON_COST)</f>
        <v>-6201.44604987747</v>
      </c>
      <c r="S53" s="53" t="n">
        <f aca="false">IF(OR($A53&gt;TOMATO_BED_CAP,$B53&gt;CARROT_BED_CAP,S$4&gt;MESCLUN_BED_CAP,$A53+$B53+S$4&gt;TOTAL_BEDS_AVAILABLE,($D53+S$5)&gt;TOTAL_LABOR_HOURS_CAP,MAX(0,($D53+S$5)-PERMANENT_FIELD_LABOR_HOURS)&gt;TEMP_HOURS_CAP),"",$C53+S$6-MIN(($D53+S$5),PERMANENT_FIELD_LABOR_HOURS)*PERMANENT_HOURLY_RATE-MAX(0,($D53+S$5)-PERMANENT_FIELD_LABOR_HOURS)*TEMP_HOURLY_RATE-FIXED_SEASON_COST)</f>
        <v>-5435.57946137502</v>
      </c>
      <c r="T53" s="53" t="n">
        <f aca="false">IF(OR($A53&gt;TOMATO_BED_CAP,$B53&gt;CARROT_BED_CAP,T$4&gt;MESCLUN_BED_CAP,$A53+$B53+T$4&gt;TOTAL_BEDS_AVAILABLE,($D53+T$5)&gt;TOTAL_LABOR_HOURS_CAP,MAX(0,($D53+T$5)-PERMANENT_FIELD_LABOR_HOURS)&gt;TEMP_HOURS_CAP),"",$C53+T$6-MIN(($D53+T$5),PERMANENT_FIELD_LABOR_HOURS)*PERMANENT_HOURLY_RATE-MAX(0,($D53+T$5)-PERMANENT_FIELD_LABOR_HOURS)*TEMP_HOURLY_RATE-FIXED_SEASON_COST)</f>
        <v>-4694.36599298018</v>
      </c>
      <c r="U53" s="53" t="n">
        <f aca="false">IF(OR($A53&gt;TOMATO_BED_CAP,$B53&gt;CARROT_BED_CAP,U$4&gt;MESCLUN_BED_CAP,$A53+$B53+U$4&gt;TOTAL_BEDS_AVAILABLE,($D53+U$5)&gt;TOTAL_LABOR_HOURS_CAP,MAX(0,($D53+U$5)-PERMANENT_FIELD_LABOR_HOURS)&gt;TEMP_HOURS_CAP),"",$C53+U$6-MIN(($D53+U$5),PERMANENT_FIELD_LABOR_HOURS)*PERMANENT_HOURLY_RATE-MAX(0,($D53+U$5)-PERMANENT_FIELD_LABOR_HOURS)*TEMP_HOURLY_RATE-FIXED_SEASON_COST)</f>
        <v>-3978.25726435008</v>
      </c>
      <c r="V53" s="53" t="n">
        <f aca="false">IF(OR($A53&gt;TOMATO_BED_CAP,$B53&gt;CARROT_BED_CAP,V$4&gt;MESCLUN_BED_CAP,$A53+$B53+V$4&gt;TOTAL_BEDS_AVAILABLE,($D53+V$5)&gt;TOTAL_LABOR_HOURS_CAP,MAX(0,($D53+V$5)-PERMANENT_FIELD_LABOR_HOURS)&gt;TEMP_HOURS_CAP),"",$C53+V$6-MIN(($D53+V$5),PERMANENT_FIELD_LABOR_HOURS)*PERMANENT_HOURLY_RATE-MAX(0,($D53+V$5)-PERMANENT_FIELD_LABOR_HOURS)*TEMP_HOURLY_RATE-FIXED_SEASON_COST)</f>
        <v>-3287.71233358329</v>
      </c>
      <c r="W53" s="53" t="n">
        <f aca="false">IF(OR($A53&gt;TOMATO_BED_CAP,$B53&gt;CARROT_BED_CAP,W$4&gt;MESCLUN_BED_CAP,$A53+$B53+W$4&gt;TOTAL_BEDS_AVAILABLE,($D53+W$5)&gt;TOTAL_LABOR_HOURS_CAP,MAX(0,($D53+W$5)-PERMANENT_FIELD_LABOR_HOURS)&gt;TEMP_HOURS_CAP),"",$C53+W$6-MIN(($D53+W$5),PERMANENT_FIELD_LABOR_HOURS)*PERMANENT_HOURLY_RATE-MAX(0,($D53+W$5)-PERMANENT_FIELD_LABOR_HOURS)*TEMP_HOURLY_RATE-FIXED_SEASON_COST)</f>
        <v>-2623.19781261523</v>
      </c>
      <c r="X53" s="53" t="n">
        <f aca="false">IF(OR($A53&gt;TOMATO_BED_CAP,$B53&gt;CARROT_BED_CAP,X$4&gt;MESCLUN_BED_CAP,$A53+$B53+X$4&gt;TOTAL_BEDS_AVAILABLE,($D53+X$5)&gt;TOTAL_LABOR_HOURS_CAP,MAX(0,($D53+X$5)-PERMANENT_FIELD_LABOR_HOURS)&gt;TEMP_HOURS_CAP),"",$C53+X$6-MIN(($D53+X$5),PERMANENT_FIELD_LABOR_HOURS)*PERMANENT_HOURLY_RATE-MAX(0,($D53+X$5)-PERMANENT_FIELD_LABOR_HOURS)*TEMP_HOURLY_RATE-FIXED_SEASON_COST)</f>
        <v>-1985.1879843363</v>
      </c>
      <c r="Y53" s="53" t="n">
        <f aca="false">IF(OR($A53&gt;TOMATO_BED_CAP,$B53&gt;CARROT_BED_CAP,Y$4&gt;MESCLUN_BED_CAP,$A53+$B53+Y$4&gt;TOTAL_BEDS_AVAILABLE,($D53+Y$5)&gt;TOTAL_LABOR_HOURS_CAP,MAX(0,($D53+Y$5)-PERMANENT_FIELD_LABOR_HOURS)&gt;TEMP_HOURS_CAP),"",$C53+Y$6-MIN(($D53+Y$5),PERMANENT_FIELD_LABOR_HOURS)*PERMANENT_HOURLY_RATE-MAX(0,($D53+Y$5)-PERMANENT_FIELD_LABOR_HOURS)*TEMP_HOURLY_RATE-FIXED_SEASON_COST)</f>
        <v>-1374.16492145764</v>
      </c>
      <c r="Z53" s="53" t="n">
        <f aca="false">IF(OR($A53&gt;TOMATO_BED_CAP,$B53&gt;CARROT_BED_CAP,Z$4&gt;MESCLUN_BED_CAP,$A53+$B53+Z$4&gt;TOTAL_BEDS_AVAILABLE,($D53+Z$5)&gt;TOTAL_LABOR_HOURS_CAP,MAX(0,($D53+Z$5)-PERMANENT_FIELD_LABOR_HOURS)&gt;TEMP_HOURS_CAP),"",$C53+Z$6-MIN(($D53+Z$5),PERMANENT_FIELD_LABOR_HOURS)*PERMANENT_HOURLY_RATE-MAX(0,($D53+Z$5)-PERMANENT_FIELD_LABOR_HOURS)*TEMP_HOURLY_RATE-FIXED_SEASON_COST)</f>
        <v>-790.618607149918</v>
      </c>
      <c r="AA53" s="53" t="n">
        <f aca="false">IF(OR($A53&gt;TOMATO_BED_CAP,$B53&gt;CARROT_BED_CAP,AA$4&gt;MESCLUN_BED_CAP,$A53+$B53+AA$4&gt;TOTAL_BEDS_AVAILABLE,($D53+AA$5)&gt;TOTAL_LABOR_HOURS_CAP,MAX(0,($D53+AA$5)-PERMANENT_FIELD_LABOR_HOURS)&gt;TEMP_HOURS_CAP),"",$C53+AA$6-MIN(($D53+AA$5),PERMANENT_FIELD_LABOR_HOURS)*PERMANENT_HOURLY_RATE-MAX(0,($D53+AA$5)-PERMANENT_FIELD_LABOR_HOURS)*TEMP_HOURLY_RATE-FIXED_SEASON_COST)</f>
        <v>-235.047057480984</v>
      </c>
      <c r="AB53" s="53" t="n">
        <f aca="false">IF(OR($A53&gt;TOMATO_BED_CAP,$B53&gt;CARROT_BED_CAP,AB$4&gt;MESCLUN_BED_CAP,$A53+$B53+AB$4&gt;TOTAL_BEDS_AVAILABLE,($D53+AB$5)&gt;TOTAL_LABOR_HOURS_CAP,MAX(0,($D53+AB$5)-PERMANENT_FIELD_LABOR_HOURS)&gt;TEMP_HOURS_CAP),"",$C53+AB$6-MIN(($D53+AB$5),PERMANENT_FIELD_LABOR_HOURS)*PERMANENT_HOURLY_RATE-MAX(0,($D53+AB$5)-PERMANENT_FIELD_LABOR_HOURS)*TEMP_HOURLY_RATE-FIXED_SEASON_COST)</f>
        <v>292.043554321583</v>
      </c>
      <c r="AC53" s="53" t="n">
        <f aca="false">IF(OR($A53&gt;TOMATO_BED_CAP,$B53&gt;CARROT_BED_CAP,AC$4&gt;MESCLUN_BED_CAP,$A53+$B53+AC$4&gt;TOTAL_BEDS_AVAILABLE,($D53+AC$5)&gt;TOTAL_LABOR_HOURS_CAP,MAX(0,($D53+AC$5)-PERMANENT_FIELD_LABOR_HOURS)&gt;TEMP_HOURS_CAP),"",$C53+AC$6-MIN(($D53+AC$5),PERMANENT_FIELD_LABOR_HOURS)*PERMANENT_HOURLY_RATE-MAX(0,($D53+AC$5)-PERMANENT_FIELD_LABOR_HOURS)*TEMP_HOURLY_RATE-FIXED_SEASON_COST)</f>
        <v>790.138771756487</v>
      </c>
      <c r="AD53" s="53" t="n">
        <f aca="false">IF(OR($A53&gt;TOMATO_BED_CAP,$B53&gt;CARROT_BED_CAP,AD$4&gt;MESCLUN_BED_CAP,$A53+$B53+AD$4&gt;TOTAL_BEDS_AVAILABLE,($D53+AD$5)&gt;TOTAL_LABOR_HOURS_CAP,MAX(0,($D53+AD$5)-PERMANENT_FIELD_LABOR_HOURS)&gt;TEMP_HOURS_CAP),"",$C53+AD$6-MIN(($D53+AD$5),PERMANENT_FIELD_LABOR_HOURS)*PERMANENT_HOURLY_RATE-MAX(0,($D53+AD$5)-PERMANENT_FIELD_LABOR_HOURS)*TEMP_HOURLY_RATE-FIXED_SEASON_COST)</f>
        <v>1258.71572705644</v>
      </c>
      <c r="AE53" s="53" t="n">
        <f aca="false">IF(OR($A53&gt;TOMATO_BED_CAP,$B53&gt;CARROT_BED_CAP,AE$4&gt;MESCLUN_BED_CAP,$A53+$B53+AE$4&gt;TOTAL_BEDS_AVAILABLE,($D53+AE$5)&gt;TOTAL_LABOR_HOURS_CAP,MAX(0,($D53+AE$5)-PERMANENT_FIELD_LABOR_HOURS)&gt;TEMP_HOURS_CAP),"",$C53+AE$6-MIN(($D53+AE$5),PERMANENT_FIELD_LABOR_HOURS)*PERMANENT_HOURLY_RATE-MAX(0,($D53+AE$5)-PERMANENT_FIELD_LABOR_HOURS)*TEMP_HOURLY_RATE-FIXED_SEASON_COST)</f>
        <v>1697.24301129035</v>
      </c>
      <c r="AF53" s="53" t="n">
        <f aca="false">IF(OR($A53&gt;TOMATO_BED_CAP,$B53&gt;CARROT_BED_CAP,AF$4&gt;MESCLUN_BED_CAP,$A53+$B53+AF$4&gt;TOTAL_BEDS_AVAILABLE,($D53+AF$5)&gt;TOTAL_LABOR_HOURS_CAP,MAX(0,($D53+AF$5)-PERMANENT_FIELD_LABOR_HOURS)&gt;TEMP_HOURS_CAP),"",$C53+AF$6-MIN(($D53+AF$5),PERMANENT_FIELD_LABOR_HOURS)*PERMANENT_HOURLY_RATE-MAX(0,($D53+AF$5)-PERMANENT_FIELD_LABOR_HOURS)*TEMP_HOURLY_RATE-FIXED_SEASON_COST)</f>
        <v>2105.1805425323</v>
      </c>
      <c r="AG53" s="53" t="n">
        <f aca="false">IF(OR($A53&gt;TOMATO_BED_CAP,$B53&gt;CARROT_BED_CAP,AG$4&gt;MESCLUN_BED_CAP,$A53+$B53+AG$4&gt;TOTAL_BEDS_AVAILABLE,($D53+AG$5)&gt;TOTAL_LABOR_HOURS_CAP,MAX(0,($D53+AG$5)-PERMANENT_FIELD_LABOR_HOURS)&gt;TEMP_HOURS_CAP),"",$C53+AG$6-MIN(($D53+AG$5),PERMANENT_FIELD_LABOR_HOURS)*PERMANENT_HOURLY_RATE-MAX(0,($D53+AG$5)-PERMANENT_FIELD_LABOR_HOURS)*TEMP_HOURLY_RATE-FIXED_SEASON_COST)</f>
        <v>2481.97943206931</v>
      </c>
      <c r="AH53" s="53" t="n">
        <f aca="false">IF(OR($A53&gt;TOMATO_BED_CAP,$B53&gt;CARROT_BED_CAP,AH$4&gt;MESCLUN_BED_CAP,$A53+$B53+AH$4&gt;TOTAL_BEDS_AVAILABLE,($D53+AH$5)&gt;TOTAL_LABOR_HOURS_CAP,MAX(0,($D53+AH$5)-PERMANENT_FIELD_LABOR_HOURS)&gt;TEMP_HOURS_CAP),"",$C53+AH$6-MIN(($D53+AH$5),PERMANENT_FIELD_LABOR_HOURS)*PERMANENT_HOURLY_RATE-MAX(0,($D53+AH$5)-PERMANENT_FIELD_LABOR_HOURS)*TEMP_HOURLY_RATE-FIXED_SEASON_COST)</f>
        <v>2827.08184861953</v>
      </c>
      <c r="AI53" s="53" t="n">
        <f aca="false">IF(OR($A53&gt;TOMATO_BED_CAP,$B53&gt;CARROT_BED_CAP,AI$4&gt;MESCLUN_BED_CAP,$A53+$B53+AI$4&gt;TOTAL_BEDS_AVAILABLE,($D53+AI$5)&gt;TOTAL_LABOR_HOURS_CAP,MAX(0,($D53+AI$5)-PERMANENT_FIELD_LABOR_HOURS)&gt;TEMP_HOURS_CAP),"",$C53+AI$6-MIN(($D53+AI$5),PERMANENT_FIELD_LABOR_HOURS)*PERMANENT_HOURLY_RATE-MAX(0,($D53+AI$5)-PERMANENT_FIELD_LABOR_HOURS)*TEMP_HOURLY_RATE-FIXED_SEASON_COST)</f>
        <v>3139.92088053179</v>
      </c>
      <c r="AJ53" s="53" t="n">
        <f aca="false">IF(OR($A53&gt;TOMATO_BED_CAP,$B53&gt;CARROT_BED_CAP,AJ$4&gt;MESCLUN_BED_CAP,$A53+$B53+AJ$4&gt;TOTAL_BEDS_AVAILABLE,($D53+AJ$5)&gt;TOTAL_LABOR_HOURS_CAP,MAX(0,($D53+AJ$5)-PERMANENT_FIELD_LABOR_HOURS)&gt;TEMP_HOURS_CAP),"",$C53+AJ$6-MIN(($D53+AJ$5),PERMANENT_FIELD_LABOR_HOURS)*PERMANENT_HOURLY_RATE-MAX(0,($D53+AJ$5)-PERMANENT_FIELD_LABOR_HOURS)*TEMP_HOURLY_RATE-FIXED_SEASON_COST)</f>
        <v>3419.92039593754</v>
      </c>
    </row>
    <row r="54" customFormat="false" ht="15" hidden="false" customHeight="false" outlineLevel="0" collapsed="false">
      <c r="A54" s="21" t="n">
        <f aca="false">INT((ROW()-ROW($A$8))/(20+1))</f>
        <v>2</v>
      </c>
      <c r="B54" s="21" t="n">
        <f aca="false">MOD(ROW()-ROW($A$8),20+1)</f>
        <v>4</v>
      </c>
      <c r="C54" s="13" t="n">
        <f aca="false">A54*(TOMATO_REVENUE_PER_BED-TOMATO_FERTILIZER_PER_BED)+B54*(CARROT_REVENUE_PER_BED-CARROT_FERTILIZER_PER_BED)</f>
        <v>22456</v>
      </c>
      <c r="D54" s="14" t="n">
        <f aca="false">INDEX(TOMATO_SCHED_LABOR_HRS,A54+1)+INDEX(CARROT_SCHED_LABOR_HRS,B54+1)</f>
        <v>350.20456385625</v>
      </c>
      <c r="E54" s="13" t="n">
        <f aca="false">IF(COUNT(F54:AJ54)=0,"",MAX(F54:AJ54))</f>
        <v>4457.23806632804</v>
      </c>
      <c r="F54" s="53" t="n">
        <f aca="false">IF(OR($A54&gt;TOMATO_BED_CAP,$B54&gt;CARROT_BED_CAP,F$4&gt;MESCLUN_BED_CAP,$A54+$B54+F$4&gt;TOTAL_BEDS_AVAILABLE,($D54+F$5)&gt;TOTAL_LABOR_HOURS_CAP,MAX(0,($D54+F$5)-PERMANENT_FIELD_LABOR_HOURS)&gt;TEMP_HOURS_CAP),"",$C54+F$6-MIN(($D54+F$5),PERMANENT_FIELD_LABOR_HOURS)*PERMANENT_HOURLY_RATE-MAX(0,($D54+F$5)-PERMANENT_FIELD_LABOR_HOURS)*TEMP_HOURLY_RATE-FIXED_SEASON_COST)</f>
        <v>-9703.102457089</v>
      </c>
      <c r="G54" s="53" t="n">
        <f aca="false">IF(OR($A54&gt;TOMATO_BED_CAP,$B54&gt;CARROT_BED_CAP,G$4&gt;MESCLUN_BED_CAP,$A54+$B54+G$4&gt;TOTAL_BEDS_AVAILABLE,($D54+G$5)&gt;TOTAL_LABOR_HOURS_CAP,MAX(0,($D54+G$5)-PERMANENT_FIELD_LABOR_HOURS)&gt;TEMP_HOURS_CAP),"",$C54+G$6-MIN(($D54+G$5),PERMANENT_FIELD_LABOR_HOURS)*PERMANENT_HOURLY_RATE-MAX(0,($D54+G$5)-PERMANENT_FIELD_LABOR_HOURS)*TEMP_HOURLY_RATE-FIXED_SEASON_COST)</f>
        <v>-9465.032457089</v>
      </c>
      <c r="H54" s="53" t="n">
        <f aca="false">IF(OR($A54&gt;TOMATO_BED_CAP,$B54&gt;CARROT_BED_CAP,H$4&gt;MESCLUN_BED_CAP,$A54+$B54+H$4&gt;TOTAL_BEDS_AVAILABLE,($D54+H$5)&gt;TOTAL_LABOR_HOURS_CAP,MAX(0,($D54+H$5)-PERMANENT_FIELD_LABOR_HOURS)&gt;TEMP_HOURS_CAP),"",$C54+H$6-MIN(($D54+H$5),PERMANENT_FIELD_LABOR_HOURS)*PERMANENT_HOURLY_RATE-MAX(0,($D54+H$5)-PERMANENT_FIELD_LABOR_HOURS)*TEMP_HOURLY_RATE-FIXED_SEASON_COST)</f>
        <v>-9266.510707089</v>
      </c>
      <c r="I54" s="53" t="n">
        <f aca="false">IF(OR($A54&gt;TOMATO_BED_CAP,$B54&gt;CARROT_BED_CAP,I$4&gt;MESCLUN_BED_CAP,$A54+$B54+I$4&gt;TOTAL_BEDS_AVAILABLE,($D54+I$5)&gt;TOTAL_LABOR_HOURS_CAP,MAX(0,($D54+I$5)-PERMANENT_FIELD_LABOR_HOURS)&gt;TEMP_HOURS_CAP),"",$C54+I$6-MIN(($D54+I$5),PERMANENT_FIELD_LABOR_HOURS)*PERMANENT_HOURLY_RATE-MAX(0,($D54+I$5)-PERMANENT_FIELD_LABOR_HOURS)*TEMP_HOURLY_RATE-FIXED_SEASON_COST)</f>
        <v>-9108.2787367765</v>
      </c>
      <c r="J54" s="53" t="n">
        <f aca="false">IF(OR($A54&gt;TOMATO_BED_CAP,$B54&gt;CARROT_BED_CAP,J$4&gt;MESCLUN_BED_CAP,$A54+$B54+J$4&gt;TOTAL_BEDS_AVAILABLE,($D54+J$5)&gt;TOTAL_LABOR_HOURS_CAP,MAX(0,($D54+J$5)-PERMANENT_FIELD_LABOR_HOURS)&gt;TEMP_HOURS_CAP),"",$C54+J$6-MIN(($D54+J$5),PERMANENT_FIELD_LABOR_HOURS)*PERMANENT_HOURLY_RATE-MAX(0,($D54+J$5)-PERMANENT_FIELD_LABOR_HOURS)*TEMP_HOURLY_RATE-FIXED_SEASON_COST)</f>
        <v>-8991.09043466712</v>
      </c>
      <c r="K54" s="53" t="n">
        <f aca="false">IF(OR($A54&gt;TOMATO_BED_CAP,$B54&gt;CARROT_BED_CAP,K$4&gt;MESCLUN_BED_CAP,$A54+$B54+K$4&gt;TOTAL_BEDS_AVAILABLE,($D54+K$5)&gt;TOTAL_LABOR_HOURS_CAP,MAX(0,($D54+K$5)-PERMANENT_FIELD_LABOR_HOURS)&gt;TEMP_HOURS_CAP),"",$C54+K$6-MIN(($D54+K$5),PERMANENT_FIELD_LABOR_HOURS)*PERMANENT_HOURLY_RATE-MAX(0,($D54+K$5)-PERMANENT_FIELD_LABOR_HOURS)*TEMP_HOURLY_RATE-FIXED_SEASON_COST)</f>
        <v>-8915.71224121131</v>
      </c>
      <c r="L54" s="53" t="n">
        <f aca="false">IF(OR($A54&gt;TOMATO_BED_CAP,$B54&gt;CARROT_BED_CAP,L$4&gt;MESCLUN_BED_CAP,$A54+$B54+L$4&gt;TOTAL_BEDS_AVAILABLE,($D54+L$5)&gt;TOTAL_LABOR_HOURS_CAP,MAX(0,($D54+L$5)-PERMANENT_FIELD_LABOR_HOURS)&gt;TEMP_HOURS_CAP),"",$C54+L$6-MIN(($D54+L$5),PERMANENT_FIELD_LABOR_HOURS)*PERMANENT_HOURLY_RATE-MAX(0,($D54+L$5)-PERMANENT_FIELD_LABOR_HOURS)*TEMP_HOURLY_RATE-FIXED_SEASON_COST)</f>
        <v>-8882.9233447976</v>
      </c>
      <c r="M54" s="53" t="n">
        <f aca="false">IF(OR($A54&gt;TOMATO_BED_CAP,$B54&gt;CARROT_BED_CAP,M$4&gt;MESCLUN_BED_CAP,$A54+$B54+M$4&gt;TOTAL_BEDS_AVAILABLE,($D54+M$5)&gt;TOTAL_LABOR_HOURS_CAP,MAX(0,($D54+M$5)-PERMANENT_FIELD_LABOR_HOURS)&gt;TEMP_HOURS_CAP),"",$C54+M$6-MIN(($D54+M$5),PERMANENT_FIELD_LABOR_HOURS)*PERMANENT_HOURLY_RATE-MAX(0,($D54+M$5)-PERMANENT_FIELD_LABOR_HOURS)*TEMP_HOURLY_RATE-FIXED_SEASON_COST)</f>
        <v>-8893.5158806948</v>
      </c>
      <c r="N54" s="53" t="n">
        <f aca="false">IF(OR($A54&gt;TOMATO_BED_CAP,$B54&gt;CARROT_BED_CAP,N$4&gt;MESCLUN_BED_CAP,$A54+$B54+N$4&gt;TOTAL_BEDS_AVAILABLE,($D54+N$5)&gt;TOTAL_LABOR_HOURS_CAP,MAX(0,($D54+N$5)-PERMANENT_FIELD_LABOR_HOURS)&gt;TEMP_HOURS_CAP),"",$C54+N$6-MIN(($D54+N$5),PERMANENT_FIELD_LABOR_HOURS)*PERMANENT_HOURLY_RATE-MAX(0,($D54+N$5)-PERMANENT_FIELD_LABOR_HOURS)*TEMP_HOURLY_RATE-FIXED_SEASON_COST)</f>
        <v>-8465.34756648785</v>
      </c>
      <c r="O54" s="53" t="n">
        <f aca="false">IF(OR($A54&gt;TOMATO_BED_CAP,$B54&gt;CARROT_BED_CAP,O$4&gt;MESCLUN_BED_CAP,$A54+$B54+O$4&gt;TOTAL_BEDS_AVAILABLE,($D54+O$5)&gt;TOTAL_LABOR_HOURS_CAP,MAX(0,($D54+O$5)-PERMANENT_FIELD_LABOR_HOURS)&gt;TEMP_HOURS_CAP),"",$C54+O$6-MIN(($D54+O$5),PERMANENT_FIELD_LABOR_HOURS)*PERMANENT_HOURLY_RATE-MAX(0,($D54+O$5)-PERMANENT_FIELD_LABOR_HOURS)*TEMP_HOURLY_RATE-FIXED_SEASON_COST)</f>
        <v>-7605.2398697331</v>
      </c>
      <c r="P54" s="53" t="n">
        <f aca="false">IF(OR($A54&gt;TOMATO_BED_CAP,$B54&gt;CARROT_BED_CAP,P$4&gt;MESCLUN_BED_CAP,$A54+$B54+P$4&gt;TOTAL_BEDS_AVAILABLE,($D54+P$5)&gt;TOTAL_LABOR_HOURS_CAP,MAX(0,($D54+P$5)-PERMANENT_FIELD_LABOR_HOURS)&gt;TEMP_HOURS_CAP),"",$C54+P$6-MIN(($D54+P$5),PERMANENT_FIELD_LABOR_HOURS)*PERMANENT_HOURLY_RATE-MAX(0,($D54+P$5)-PERMANENT_FIELD_LABOR_HOURS)*TEMP_HOURLY_RATE-FIXED_SEASON_COST)</f>
        <v>-6768.05094988167</v>
      </c>
      <c r="Q54" s="53" t="n">
        <f aca="false">IF(OR($A54&gt;TOMATO_BED_CAP,$B54&gt;CARROT_BED_CAP,Q$4&gt;MESCLUN_BED_CAP,$A54+$B54+Q$4&gt;TOTAL_BEDS_AVAILABLE,($D54+Q$5)&gt;TOTAL_LABOR_HOURS_CAP,MAX(0,($D54+Q$5)-PERMANENT_FIELD_LABOR_HOURS)&gt;TEMP_HOURS_CAP),"",$C54+Q$6-MIN(($D54+Q$5),PERMANENT_FIELD_LABOR_HOURS)*PERMANENT_HOURLY_RATE-MAX(0,($D54+Q$5)-PERMANENT_FIELD_LABOR_HOURS)*TEMP_HOURLY_RATE-FIXED_SEASON_COST)</f>
        <v>-5954.20379318377</v>
      </c>
      <c r="R54" s="53" t="n">
        <f aca="false">IF(OR($A54&gt;TOMATO_BED_CAP,$B54&gt;CARROT_BED_CAP,R$4&gt;MESCLUN_BED_CAP,$A54+$B54+R$4&gt;TOTAL_BEDS_AVAILABLE,($D54+R$5)&gt;TOTAL_LABOR_HOURS_CAP,MAX(0,($D54+R$5)-PERMANENT_FIELD_LABOR_HOURS)&gt;TEMP_HOURS_CAP),"",$C54+R$6-MIN(($D54+R$5),PERMANENT_FIELD_LABOR_HOURS)*PERMANENT_HOURLY_RATE-MAX(0,($D54+R$5)-PERMANENT_FIELD_LABOR_HOURS)*TEMP_HOURLY_RATE-FIXED_SEASON_COST)</f>
        <v>-5164.12837948697</v>
      </c>
      <c r="S54" s="53" t="n">
        <f aca="false">IF(OR($A54&gt;TOMATO_BED_CAP,$B54&gt;CARROT_BED_CAP,S$4&gt;MESCLUN_BED_CAP,$A54+$B54+S$4&gt;TOTAL_BEDS_AVAILABLE,($D54+S$5)&gt;TOTAL_LABOR_HOURS_CAP,MAX(0,($D54+S$5)-PERMANENT_FIELD_LABOR_HOURS)&gt;TEMP_HOURS_CAP),"",$C54+S$6-MIN(($D54+S$5),PERMANENT_FIELD_LABOR_HOURS)*PERMANENT_HOURLY_RATE-MAX(0,($D54+S$5)-PERMANENT_FIELD_LABOR_HOURS)*TEMP_HOURLY_RATE-FIXED_SEASON_COST)</f>
        <v>-4398.26179098453</v>
      </c>
      <c r="T54" s="53" t="n">
        <f aca="false">IF(OR($A54&gt;TOMATO_BED_CAP,$B54&gt;CARROT_BED_CAP,T$4&gt;MESCLUN_BED_CAP,$A54+$B54+T$4&gt;TOTAL_BEDS_AVAILABLE,($D54+T$5)&gt;TOTAL_LABOR_HOURS_CAP,MAX(0,($D54+T$5)-PERMANENT_FIELD_LABOR_HOURS)&gt;TEMP_HOURS_CAP),"",$C54+T$6-MIN(($D54+T$5),PERMANENT_FIELD_LABOR_HOURS)*PERMANENT_HOURLY_RATE-MAX(0,($D54+T$5)-PERMANENT_FIELD_LABOR_HOURS)*TEMP_HOURLY_RATE-FIXED_SEASON_COST)</f>
        <v>-3657.04832258968</v>
      </c>
      <c r="U54" s="53" t="n">
        <f aca="false">IF(OR($A54&gt;TOMATO_BED_CAP,$B54&gt;CARROT_BED_CAP,U$4&gt;MESCLUN_BED_CAP,$A54+$B54+U$4&gt;TOTAL_BEDS_AVAILABLE,($D54+U$5)&gt;TOTAL_LABOR_HOURS_CAP,MAX(0,($D54+U$5)-PERMANENT_FIELD_LABOR_HOURS)&gt;TEMP_HOURS_CAP),"",$C54+U$6-MIN(($D54+U$5),PERMANENT_FIELD_LABOR_HOURS)*PERMANENT_HOURLY_RATE-MAX(0,($D54+U$5)-PERMANENT_FIELD_LABOR_HOURS)*TEMP_HOURLY_RATE-FIXED_SEASON_COST)</f>
        <v>-2940.93959395958</v>
      </c>
      <c r="V54" s="53" t="n">
        <f aca="false">IF(OR($A54&gt;TOMATO_BED_CAP,$B54&gt;CARROT_BED_CAP,V$4&gt;MESCLUN_BED_CAP,$A54+$B54+V$4&gt;TOTAL_BEDS_AVAILABLE,($D54+V$5)&gt;TOTAL_LABOR_HOURS_CAP,MAX(0,($D54+V$5)-PERMANENT_FIELD_LABOR_HOURS)&gt;TEMP_HOURS_CAP),"",$C54+V$6-MIN(($D54+V$5),PERMANENT_FIELD_LABOR_HOURS)*PERMANENT_HOURLY_RATE-MAX(0,($D54+V$5)-PERMANENT_FIELD_LABOR_HOURS)*TEMP_HOURLY_RATE-FIXED_SEASON_COST)</f>
        <v>-2250.39466319279</v>
      </c>
      <c r="W54" s="53" t="n">
        <f aca="false">IF(OR($A54&gt;TOMATO_BED_CAP,$B54&gt;CARROT_BED_CAP,W$4&gt;MESCLUN_BED_CAP,$A54+$B54+W$4&gt;TOTAL_BEDS_AVAILABLE,($D54+W$5)&gt;TOTAL_LABOR_HOURS_CAP,MAX(0,($D54+W$5)-PERMANENT_FIELD_LABOR_HOURS)&gt;TEMP_HOURS_CAP),"",$C54+W$6-MIN(($D54+W$5),PERMANENT_FIELD_LABOR_HOURS)*PERMANENT_HOURLY_RATE-MAX(0,($D54+W$5)-PERMANENT_FIELD_LABOR_HOURS)*TEMP_HOURLY_RATE-FIXED_SEASON_COST)</f>
        <v>-1585.88014222473</v>
      </c>
      <c r="X54" s="53" t="n">
        <f aca="false">IF(OR($A54&gt;TOMATO_BED_CAP,$B54&gt;CARROT_BED_CAP,X$4&gt;MESCLUN_BED_CAP,$A54+$B54+X$4&gt;TOTAL_BEDS_AVAILABLE,($D54+X$5)&gt;TOTAL_LABOR_HOURS_CAP,MAX(0,($D54+X$5)-PERMANENT_FIELD_LABOR_HOURS)&gt;TEMP_HOURS_CAP),"",$C54+X$6-MIN(($D54+X$5),PERMANENT_FIELD_LABOR_HOURS)*PERMANENT_HOURLY_RATE-MAX(0,($D54+X$5)-PERMANENT_FIELD_LABOR_HOURS)*TEMP_HOURLY_RATE-FIXED_SEASON_COST)</f>
        <v>-947.870313945801</v>
      </c>
      <c r="Y54" s="53" t="n">
        <f aca="false">IF(OR($A54&gt;TOMATO_BED_CAP,$B54&gt;CARROT_BED_CAP,Y$4&gt;MESCLUN_BED_CAP,$A54+$B54+Y$4&gt;TOTAL_BEDS_AVAILABLE,($D54+Y$5)&gt;TOTAL_LABOR_HOURS_CAP,MAX(0,($D54+Y$5)-PERMANENT_FIELD_LABOR_HOURS)&gt;TEMP_HOURS_CAP),"",$C54+Y$6-MIN(($D54+Y$5),PERMANENT_FIELD_LABOR_HOURS)*PERMANENT_HOURLY_RATE-MAX(0,($D54+Y$5)-PERMANENT_FIELD_LABOR_HOURS)*TEMP_HOURLY_RATE-FIXED_SEASON_COST)</f>
        <v>-336.847251067142</v>
      </c>
      <c r="Z54" s="53" t="n">
        <f aca="false">IF(OR($A54&gt;TOMATO_BED_CAP,$B54&gt;CARROT_BED_CAP,Z$4&gt;MESCLUN_BED_CAP,$A54+$B54+Z$4&gt;TOTAL_BEDS_AVAILABLE,($D54+Z$5)&gt;TOTAL_LABOR_HOURS_CAP,MAX(0,($D54+Z$5)-PERMANENT_FIELD_LABOR_HOURS)&gt;TEMP_HOURS_CAP),"",$C54+Z$6-MIN(($D54+Z$5),PERMANENT_FIELD_LABOR_HOURS)*PERMANENT_HOURLY_RATE-MAX(0,($D54+Z$5)-PERMANENT_FIELD_LABOR_HOURS)*TEMP_HOURLY_RATE-FIXED_SEASON_COST)</f>
        <v>246.699063240587</v>
      </c>
      <c r="AA54" s="53" t="n">
        <f aca="false">IF(OR($A54&gt;TOMATO_BED_CAP,$B54&gt;CARROT_BED_CAP,AA$4&gt;MESCLUN_BED_CAP,$A54+$B54+AA$4&gt;TOTAL_BEDS_AVAILABLE,($D54+AA$5)&gt;TOTAL_LABOR_HOURS_CAP,MAX(0,($D54+AA$5)-PERMANENT_FIELD_LABOR_HOURS)&gt;TEMP_HOURS_CAP),"",$C54+AA$6-MIN(($D54+AA$5),PERMANENT_FIELD_LABOR_HOURS)*PERMANENT_HOURLY_RATE-MAX(0,($D54+AA$5)-PERMANENT_FIELD_LABOR_HOURS)*TEMP_HOURLY_RATE-FIXED_SEASON_COST)</f>
        <v>802.270612909517</v>
      </c>
      <c r="AB54" s="53" t="n">
        <f aca="false">IF(OR($A54&gt;TOMATO_BED_CAP,$B54&gt;CARROT_BED_CAP,AB$4&gt;MESCLUN_BED_CAP,$A54+$B54+AB$4&gt;TOTAL_BEDS_AVAILABLE,($D54+AB$5)&gt;TOTAL_LABOR_HOURS_CAP,MAX(0,($D54+AB$5)-PERMANENT_FIELD_LABOR_HOURS)&gt;TEMP_HOURS_CAP),"",$C54+AB$6-MIN(($D54+AB$5),PERMANENT_FIELD_LABOR_HOURS)*PERMANENT_HOURLY_RATE-MAX(0,($D54+AB$5)-PERMANENT_FIELD_LABOR_HOURS)*TEMP_HOURLY_RATE-FIXED_SEASON_COST)</f>
        <v>1329.36122471208</v>
      </c>
      <c r="AC54" s="53" t="n">
        <f aca="false">IF(OR($A54&gt;TOMATO_BED_CAP,$B54&gt;CARROT_BED_CAP,AC$4&gt;MESCLUN_BED_CAP,$A54+$B54+AC$4&gt;TOTAL_BEDS_AVAILABLE,($D54+AC$5)&gt;TOTAL_LABOR_HOURS_CAP,MAX(0,($D54+AC$5)-PERMANENT_FIELD_LABOR_HOURS)&gt;TEMP_HOURS_CAP),"",$C54+AC$6-MIN(($D54+AC$5),PERMANENT_FIELD_LABOR_HOURS)*PERMANENT_HOURLY_RATE-MAX(0,($D54+AC$5)-PERMANENT_FIELD_LABOR_HOURS)*TEMP_HOURLY_RATE-FIXED_SEASON_COST)</f>
        <v>1827.45644214699</v>
      </c>
      <c r="AD54" s="53" t="n">
        <f aca="false">IF(OR($A54&gt;TOMATO_BED_CAP,$B54&gt;CARROT_BED_CAP,AD$4&gt;MESCLUN_BED_CAP,$A54+$B54+AD$4&gt;TOTAL_BEDS_AVAILABLE,($D54+AD$5)&gt;TOTAL_LABOR_HOURS_CAP,MAX(0,($D54+AD$5)-PERMANENT_FIELD_LABOR_HOURS)&gt;TEMP_HOURS_CAP),"",$C54+AD$6-MIN(($D54+AD$5),PERMANENT_FIELD_LABOR_HOURS)*PERMANENT_HOURLY_RATE-MAX(0,($D54+AD$5)-PERMANENT_FIELD_LABOR_HOURS)*TEMP_HOURLY_RATE-FIXED_SEASON_COST)</f>
        <v>2296.03339744694</v>
      </c>
      <c r="AE54" s="53" t="n">
        <f aca="false">IF(OR($A54&gt;TOMATO_BED_CAP,$B54&gt;CARROT_BED_CAP,AE$4&gt;MESCLUN_BED_CAP,$A54+$B54+AE$4&gt;TOTAL_BEDS_AVAILABLE,($D54+AE$5)&gt;TOTAL_LABOR_HOURS_CAP,MAX(0,($D54+AE$5)-PERMANENT_FIELD_LABOR_HOURS)&gt;TEMP_HOURS_CAP),"",$C54+AE$6-MIN(($D54+AE$5),PERMANENT_FIELD_LABOR_HOURS)*PERMANENT_HOURLY_RATE-MAX(0,($D54+AE$5)-PERMANENT_FIELD_LABOR_HOURS)*TEMP_HOURLY_RATE-FIXED_SEASON_COST)</f>
        <v>2734.56068168085</v>
      </c>
      <c r="AF54" s="53" t="n">
        <f aca="false">IF(OR($A54&gt;TOMATO_BED_CAP,$B54&gt;CARROT_BED_CAP,AF$4&gt;MESCLUN_BED_CAP,$A54+$B54+AF$4&gt;TOTAL_BEDS_AVAILABLE,($D54+AF$5)&gt;TOTAL_LABOR_HOURS_CAP,MAX(0,($D54+AF$5)-PERMANENT_FIELD_LABOR_HOURS)&gt;TEMP_HOURS_CAP),"",$C54+AF$6-MIN(($D54+AF$5),PERMANENT_FIELD_LABOR_HOURS)*PERMANENT_HOURLY_RATE-MAX(0,($D54+AF$5)-PERMANENT_FIELD_LABOR_HOURS)*TEMP_HOURLY_RATE-FIXED_SEASON_COST)</f>
        <v>3142.4982129228</v>
      </c>
      <c r="AG54" s="53" t="n">
        <f aca="false">IF(OR($A54&gt;TOMATO_BED_CAP,$B54&gt;CARROT_BED_CAP,AG$4&gt;MESCLUN_BED_CAP,$A54+$B54+AG$4&gt;TOTAL_BEDS_AVAILABLE,($D54+AG$5)&gt;TOTAL_LABOR_HOURS_CAP,MAX(0,($D54+AG$5)-PERMANENT_FIELD_LABOR_HOURS)&gt;TEMP_HOURS_CAP),"",$C54+AG$6-MIN(($D54+AG$5),PERMANENT_FIELD_LABOR_HOURS)*PERMANENT_HOURLY_RATE-MAX(0,($D54+AG$5)-PERMANENT_FIELD_LABOR_HOURS)*TEMP_HOURLY_RATE-FIXED_SEASON_COST)</f>
        <v>3519.29710245981</v>
      </c>
      <c r="AH54" s="53" t="n">
        <f aca="false">IF(OR($A54&gt;TOMATO_BED_CAP,$B54&gt;CARROT_BED_CAP,AH$4&gt;MESCLUN_BED_CAP,$A54+$B54+AH$4&gt;TOTAL_BEDS_AVAILABLE,($D54+AH$5)&gt;TOTAL_LABOR_HOURS_CAP,MAX(0,($D54+AH$5)-PERMANENT_FIELD_LABOR_HOURS)&gt;TEMP_HOURS_CAP),"",$C54+AH$6-MIN(($D54+AH$5),PERMANENT_FIELD_LABOR_HOURS)*PERMANENT_HOURLY_RATE-MAX(0,($D54+AH$5)-PERMANENT_FIELD_LABOR_HOURS)*TEMP_HOURLY_RATE-FIXED_SEASON_COST)</f>
        <v>3864.39951901003</v>
      </c>
      <c r="AI54" s="53" t="n">
        <f aca="false">IF(OR($A54&gt;TOMATO_BED_CAP,$B54&gt;CARROT_BED_CAP,AI$4&gt;MESCLUN_BED_CAP,$A54+$B54+AI$4&gt;TOTAL_BEDS_AVAILABLE,($D54+AI$5)&gt;TOTAL_LABOR_HOURS_CAP,MAX(0,($D54+AI$5)-PERMANENT_FIELD_LABOR_HOURS)&gt;TEMP_HOURS_CAP),"",$C54+AI$6-MIN(($D54+AI$5),PERMANENT_FIELD_LABOR_HOURS)*PERMANENT_HOURLY_RATE-MAX(0,($D54+AI$5)-PERMANENT_FIELD_LABOR_HOURS)*TEMP_HOURLY_RATE-FIXED_SEASON_COST)</f>
        <v>4177.23855092229</v>
      </c>
      <c r="AJ54" s="53" t="n">
        <f aca="false">IF(OR($A54&gt;TOMATO_BED_CAP,$B54&gt;CARROT_BED_CAP,AJ$4&gt;MESCLUN_BED_CAP,$A54+$B54+AJ$4&gt;TOTAL_BEDS_AVAILABLE,($D54+AJ$5)&gt;TOTAL_LABOR_HOURS_CAP,MAX(0,($D54+AJ$5)-PERMANENT_FIELD_LABOR_HOURS)&gt;TEMP_HOURS_CAP),"",$C54+AJ$6-MIN(($D54+AJ$5),PERMANENT_FIELD_LABOR_HOURS)*PERMANENT_HOURLY_RATE-MAX(0,($D54+AJ$5)-PERMANENT_FIELD_LABOR_HOURS)*TEMP_HOURLY_RATE-FIXED_SEASON_COST)</f>
        <v>4457.23806632804</v>
      </c>
    </row>
    <row r="55" customFormat="false" ht="15" hidden="false" customHeight="false" outlineLevel="0" collapsed="false">
      <c r="A55" s="21" t="n">
        <f aca="false">INT((ROW()-ROW($A$8))/(20+1))</f>
        <v>2</v>
      </c>
      <c r="B55" s="21" t="n">
        <f aca="false">MOD(ROW()-ROW($A$8),20+1)</f>
        <v>5</v>
      </c>
      <c r="C55" s="13" t="n">
        <f aca="false">A55*(TOMATO_REVENUE_PER_BED-TOMATO_FERTILIZER_PER_BED)+B55*(CARROT_REVENUE_PER_BED-CARROT_FERTILIZER_PER_BED)</f>
        <v>24110</v>
      </c>
      <c r="D55" s="14" t="n">
        <f aca="false">INDEX(TOMATO_SCHED_LABOR_HRS,A55+1)+INDEX(CARROT_SCHED_LABOR_HRS,B55+1)</f>
        <v>387.44334744082</v>
      </c>
      <c r="E55" s="13" t="n">
        <f aca="false">IF(COUNT(F55:AJ55)=0,"",MAX(F55:AJ55))</f>
        <v>5464.7727832999</v>
      </c>
      <c r="F55" s="53" t="n">
        <f aca="false">IF(OR($A55&gt;TOMATO_BED_CAP,$B55&gt;CARROT_BED_CAP,F$4&gt;MESCLUN_BED_CAP,$A55+$B55+F$4&gt;TOTAL_BEDS_AVAILABLE,($D55+F$5)&gt;TOTAL_LABOR_HOURS_CAP,MAX(0,($D55+F$5)-PERMANENT_FIELD_LABOR_HOURS)&gt;TEMP_HOURS_CAP),"",$C55+F$6-MIN(($D55+F$5),PERMANENT_FIELD_LABOR_HOURS)*PERMANENT_HOURLY_RATE-MAX(0,($D55+F$5)-PERMANENT_FIELD_LABOR_HOURS)*TEMP_HOURLY_RATE-FIXED_SEASON_COST)</f>
        <v>-9342.03302314528</v>
      </c>
      <c r="G55" s="53" t="n">
        <f aca="false">IF(OR($A55&gt;TOMATO_BED_CAP,$B55&gt;CARROT_BED_CAP,G$4&gt;MESCLUN_BED_CAP,$A55+$B55+G$4&gt;TOTAL_BEDS_AVAILABLE,($D55+G$5)&gt;TOTAL_LABOR_HOURS_CAP,MAX(0,($D55+G$5)-PERMANENT_FIELD_LABOR_HOURS)&gt;TEMP_HOURS_CAP),"",$C55+G$6-MIN(($D55+G$5),PERMANENT_FIELD_LABOR_HOURS)*PERMANENT_HOURLY_RATE-MAX(0,($D55+G$5)-PERMANENT_FIELD_LABOR_HOURS)*TEMP_HOURLY_RATE-FIXED_SEASON_COST)</f>
        <v>-9103.96302314528</v>
      </c>
      <c r="H55" s="53" t="n">
        <f aca="false">IF(OR($A55&gt;TOMATO_BED_CAP,$B55&gt;CARROT_BED_CAP,H$4&gt;MESCLUN_BED_CAP,$A55+$B55+H$4&gt;TOTAL_BEDS_AVAILABLE,($D55+H$5)&gt;TOTAL_LABOR_HOURS_CAP,MAX(0,($D55+H$5)-PERMANENT_FIELD_LABOR_HOURS)&gt;TEMP_HOURS_CAP),"",$C55+H$6-MIN(($D55+H$5),PERMANENT_FIELD_LABOR_HOURS)*PERMANENT_HOURLY_RATE-MAX(0,($D55+H$5)-PERMANENT_FIELD_LABOR_HOURS)*TEMP_HOURLY_RATE-FIXED_SEASON_COST)</f>
        <v>-8905.44127314528</v>
      </c>
      <c r="I55" s="53" t="n">
        <f aca="false">IF(OR($A55&gt;TOMATO_BED_CAP,$B55&gt;CARROT_BED_CAP,I$4&gt;MESCLUN_BED_CAP,$A55+$B55+I$4&gt;TOTAL_BEDS_AVAILABLE,($D55+I$5)&gt;TOTAL_LABOR_HOURS_CAP,MAX(0,($D55+I$5)-PERMANENT_FIELD_LABOR_HOURS)&gt;TEMP_HOURS_CAP),"",$C55+I$6-MIN(($D55+I$5),PERMANENT_FIELD_LABOR_HOURS)*PERMANENT_HOURLY_RATE-MAX(0,($D55+I$5)-PERMANENT_FIELD_LABOR_HOURS)*TEMP_HOURLY_RATE-FIXED_SEASON_COST)</f>
        <v>-8747.20930283278</v>
      </c>
      <c r="J55" s="53" t="n">
        <f aca="false">IF(OR($A55&gt;TOMATO_BED_CAP,$B55&gt;CARROT_BED_CAP,J$4&gt;MESCLUN_BED_CAP,$A55+$B55+J$4&gt;TOTAL_BEDS_AVAILABLE,($D55+J$5)&gt;TOTAL_LABOR_HOURS_CAP,MAX(0,($D55+J$5)-PERMANENT_FIELD_LABOR_HOURS)&gt;TEMP_HOURS_CAP),"",$C55+J$6-MIN(($D55+J$5),PERMANENT_FIELD_LABOR_HOURS)*PERMANENT_HOURLY_RATE-MAX(0,($D55+J$5)-PERMANENT_FIELD_LABOR_HOURS)*TEMP_HOURLY_RATE-FIXED_SEASON_COST)</f>
        <v>-8630.0210007234</v>
      </c>
      <c r="K55" s="53" t="n">
        <f aca="false">IF(OR($A55&gt;TOMATO_BED_CAP,$B55&gt;CARROT_BED_CAP,K$4&gt;MESCLUN_BED_CAP,$A55+$B55+K$4&gt;TOTAL_BEDS_AVAILABLE,($D55+K$5)&gt;TOTAL_LABOR_HOURS_CAP,MAX(0,($D55+K$5)-PERMANENT_FIELD_LABOR_HOURS)&gt;TEMP_HOURS_CAP),"",$C55+K$6-MIN(($D55+K$5),PERMANENT_FIELD_LABOR_HOURS)*PERMANENT_HOURLY_RATE-MAX(0,($D55+K$5)-PERMANENT_FIELD_LABOR_HOURS)*TEMP_HOURLY_RATE-FIXED_SEASON_COST)</f>
        <v>-8554.64280726759</v>
      </c>
      <c r="L55" s="53" t="n">
        <f aca="false">IF(OR($A55&gt;TOMATO_BED_CAP,$B55&gt;CARROT_BED_CAP,L$4&gt;MESCLUN_BED_CAP,$A55+$B55+L$4&gt;TOTAL_BEDS_AVAILABLE,($D55+L$5)&gt;TOTAL_LABOR_HOURS_CAP,MAX(0,($D55+L$5)-PERMANENT_FIELD_LABOR_HOURS)&gt;TEMP_HOURS_CAP),"",$C55+L$6-MIN(($D55+L$5),PERMANENT_FIELD_LABOR_HOURS)*PERMANENT_HOURLY_RATE-MAX(0,($D55+L$5)-PERMANENT_FIELD_LABOR_HOURS)*TEMP_HOURLY_RATE-FIXED_SEASON_COST)</f>
        <v>-8521.85391085389</v>
      </c>
      <c r="M55" s="53" t="n">
        <f aca="false">IF(OR($A55&gt;TOMATO_BED_CAP,$B55&gt;CARROT_BED_CAP,M$4&gt;MESCLUN_BED_CAP,$A55+$B55+M$4&gt;TOTAL_BEDS_AVAILABLE,($D55+M$5)&gt;TOTAL_LABOR_HOURS_CAP,MAX(0,($D55+M$5)-PERMANENT_FIELD_LABOR_HOURS)&gt;TEMP_HOURS_CAP),"",$C55+M$6-MIN(($D55+M$5),PERMANENT_FIELD_LABOR_HOURS)*PERMANENT_HOURLY_RATE-MAX(0,($D55+M$5)-PERMANENT_FIELD_LABOR_HOURS)*TEMP_HOURLY_RATE-FIXED_SEASON_COST)</f>
        <v>-8340.42322337554</v>
      </c>
      <c r="N55" s="53" t="n">
        <f aca="false">IF(OR($A55&gt;TOMATO_BED_CAP,$B55&gt;CARROT_BED_CAP,N$4&gt;MESCLUN_BED_CAP,$A55+$B55+N$4&gt;TOTAL_BEDS_AVAILABLE,($D55+N$5)&gt;TOTAL_LABOR_HOURS_CAP,MAX(0,($D55+N$5)-PERMANENT_FIELD_LABOR_HOURS)&gt;TEMP_HOURS_CAP),"",$C55+N$6-MIN(($D55+N$5),PERMANENT_FIELD_LABOR_HOURS)*PERMANENT_HOURLY_RATE-MAX(0,($D55+N$5)-PERMANENT_FIELD_LABOR_HOURS)*TEMP_HOURLY_RATE-FIXED_SEASON_COST)</f>
        <v>-7457.81284951599</v>
      </c>
      <c r="O55" s="53" t="n">
        <f aca="false">IF(OR($A55&gt;TOMATO_BED_CAP,$B55&gt;CARROT_BED_CAP,O$4&gt;MESCLUN_BED_CAP,$A55+$B55+O$4&gt;TOTAL_BEDS_AVAILABLE,($D55+O$5)&gt;TOTAL_LABOR_HOURS_CAP,MAX(0,($D55+O$5)-PERMANENT_FIELD_LABOR_HOURS)&gt;TEMP_HOURS_CAP),"",$C55+O$6-MIN(($D55+O$5),PERMANENT_FIELD_LABOR_HOURS)*PERMANENT_HOURLY_RATE-MAX(0,($D55+O$5)-PERMANENT_FIELD_LABOR_HOURS)*TEMP_HOURLY_RATE-FIXED_SEASON_COST)</f>
        <v>-6597.70515276124</v>
      </c>
      <c r="P55" s="53" t="n">
        <f aca="false">IF(OR($A55&gt;TOMATO_BED_CAP,$B55&gt;CARROT_BED_CAP,P$4&gt;MESCLUN_BED_CAP,$A55+$B55+P$4&gt;TOTAL_BEDS_AVAILABLE,($D55+P$5)&gt;TOTAL_LABOR_HOURS_CAP,MAX(0,($D55+P$5)-PERMANENT_FIELD_LABOR_HOURS)&gt;TEMP_HOURS_CAP),"",$C55+P$6-MIN(($D55+P$5),PERMANENT_FIELD_LABOR_HOURS)*PERMANENT_HOURLY_RATE-MAX(0,($D55+P$5)-PERMANENT_FIELD_LABOR_HOURS)*TEMP_HOURLY_RATE-FIXED_SEASON_COST)</f>
        <v>-5760.51623290981</v>
      </c>
      <c r="Q55" s="53" t="n">
        <f aca="false">IF(OR($A55&gt;TOMATO_BED_CAP,$B55&gt;CARROT_BED_CAP,Q$4&gt;MESCLUN_BED_CAP,$A55+$B55+Q$4&gt;TOTAL_BEDS_AVAILABLE,($D55+Q$5)&gt;TOTAL_LABOR_HOURS_CAP,MAX(0,($D55+Q$5)-PERMANENT_FIELD_LABOR_HOURS)&gt;TEMP_HOURS_CAP),"",$C55+Q$6-MIN(($D55+Q$5),PERMANENT_FIELD_LABOR_HOURS)*PERMANENT_HOURLY_RATE-MAX(0,($D55+Q$5)-PERMANENT_FIELD_LABOR_HOURS)*TEMP_HOURLY_RATE-FIXED_SEASON_COST)</f>
        <v>-4946.66907621191</v>
      </c>
      <c r="R55" s="53" t="n">
        <f aca="false">IF(OR($A55&gt;TOMATO_BED_CAP,$B55&gt;CARROT_BED_CAP,R$4&gt;MESCLUN_BED_CAP,$A55+$B55+R$4&gt;TOTAL_BEDS_AVAILABLE,($D55+R$5)&gt;TOTAL_LABOR_HOURS_CAP,MAX(0,($D55+R$5)-PERMANENT_FIELD_LABOR_HOURS)&gt;TEMP_HOURS_CAP),"",$C55+R$6-MIN(($D55+R$5),PERMANENT_FIELD_LABOR_HOURS)*PERMANENT_HOURLY_RATE-MAX(0,($D55+R$5)-PERMANENT_FIELD_LABOR_HOURS)*TEMP_HOURLY_RATE-FIXED_SEASON_COST)</f>
        <v>-4156.59366251511</v>
      </c>
      <c r="S55" s="53" t="n">
        <f aca="false">IF(OR($A55&gt;TOMATO_BED_CAP,$B55&gt;CARROT_BED_CAP,S$4&gt;MESCLUN_BED_CAP,$A55+$B55+S$4&gt;TOTAL_BEDS_AVAILABLE,($D55+S$5)&gt;TOTAL_LABOR_HOURS_CAP,MAX(0,($D55+S$5)-PERMANENT_FIELD_LABOR_HOURS)&gt;TEMP_HOURS_CAP),"",$C55+S$6-MIN(($D55+S$5),PERMANENT_FIELD_LABOR_HOURS)*PERMANENT_HOURLY_RATE-MAX(0,($D55+S$5)-PERMANENT_FIELD_LABOR_HOURS)*TEMP_HOURLY_RATE-FIXED_SEASON_COST)</f>
        <v>-3390.72707401266</v>
      </c>
      <c r="T55" s="53" t="n">
        <f aca="false">IF(OR($A55&gt;TOMATO_BED_CAP,$B55&gt;CARROT_BED_CAP,T$4&gt;MESCLUN_BED_CAP,$A55+$B55+T$4&gt;TOTAL_BEDS_AVAILABLE,($D55+T$5)&gt;TOTAL_LABOR_HOURS_CAP,MAX(0,($D55+T$5)-PERMANENT_FIELD_LABOR_HOURS)&gt;TEMP_HOURS_CAP),"",$C55+T$6-MIN(($D55+T$5),PERMANENT_FIELD_LABOR_HOURS)*PERMANENT_HOURLY_RATE-MAX(0,($D55+T$5)-PERMANENT_FIELD_LABOR_HOURS)*TEMP_HOURLY_RATE-FIXED_SEASON_COST)</f>
        <v>-2649.51360561782</v>
      </c>
      <c r="U55" s="53" t="n">
        <f aca="false">IF(OR($A55&gt;TOMATO_BED_CAP,$B55&gt;CARROT_BED_CAP,U$4&gt;MESCLUN_BED_CAP,$A55+$B55+U$4&gt;TOTAL_BEDS_AVAILABLE,($D55+U$5)&gt;TOTAL_LABOR_HOURS_CAP,MAX(0,($D55+U$5)-PERMANENT_FIELD_LABOR_HOURS)&gt;TEMP_HOURS_CAP),"",$C55+U$6-MIN(($D55+U$5),PERMANENT_FIELD_LABOR_HOURS)*PERMANENT_HOURLY_RATE-MAX(0,($D55+U$5)-PERMANENT_FIELD_LABOR_HOURS)*TEMP_HOURLY_RATE-FIXED_SEASON_COST)</f>
        <v>-1933.40487698772</v>
      </c>
      <c r="V55" s="53" t="n">
        <f aca="false">IF(OR($A55&gt;TOMATO_BED_CAP,$B55&gt;CARROT_BED_CAP,V$4&gt;MESCLUN_BED_CAP,$A55+$B55+V$4&gt;TOTAL_BEDS_AVAILABLE,($D55+V$5)&gt;TOTAL_LABOR_HOURS_CAP,MAX(0,($D55+V$5)-PERMANENT_FIELD_LABOR_HOURS)&gt;TEMP_HOURS_CAP),"",$C55+V$6-MIN(($D55+V$5),PERMANENT_FIELD_LABOR_HOURS)*PERMANENT_HOURLY_RATE-MAX(0,($D55+V$5)-PERMANENT_FIELD_LABOR_HOURS)*TEMP_HOURLY_RATE-FIXED_SEASON_COST)</f>
        <v>-1242.85994622092</v>
      </c>
      <c r="W55" s="53" t="n">
        <f aca="false">IF(OR($A55&gt;TOMATO_BED_CAP,$B55&gt;CARROT_BED_CAP,W$4&gt;MESCLUN_BED_CAP,$A55+$B55+W$4&gt;TOTAL_BEDS_AVAILABLE,($D55+W$5)&gt;TOTAL_LABOR_HOURS_CAP,MAX(0,($D55+W$5)-PERMANENT_FIELD_LABOR_HOURS)&gt;TEMP_HOURS_CAP),"",$C55+W$6-MIN(($D55+W$5),PERMANENT_FIELD_LABOR_HOURS)*PERMANENT_HOURLY_RATE-MAX(0,($D55+W$5)-PERMANENT_FIELD_LABOR_HOURS)*TEMP_HOURLY_RATE-FIXED_SEASON_COST)</f>
        <v>-578.345425252868</v>
      </c>
      <c r="X55" s="53" t="n">
        <f aca="false">IF(OR($A55&gt;TOMATO_BED_CAP,$B55&gt;CARROT_BED_CAP,X$4&gt;MESCLUN_BED_CAP,$A55+$B55+X$4&gt;TOTAL_BEDS_AVAILABLE,($D55+X$5)&gt;TOTAL_LABOR_HOURS_CAP,MAX(0,($D55+X$5)-PERMANENT_FIELD_LABOR_HOURS)&gt;TEMP_HOURS_CAP),"",$C55+X$6-MIN(($D55+X$5),PERMANENT_FIELD_LABOR_HOURS)*PERMANENT_HOURLY_RATE-MAX(0,($D55+X$5)-PERMANENT_FIELD_LABOR_HOURS)*TEMP_HOURLY_RATE-FIXED_SEASON_COST)</f>
        <v>59.6644030260577</v>
      </c>
      <c r="Y55" s="53" t="n">
        <f aca="false">IF(OR($A55&gt;TOMATO_BED_CAP,$B55&gt;CARROT_BED_CAP,Y$4&gt;MESCLUN_BED_CAP,$A55+$B55+Y$4&gt;TOTAL_BEDS_AVAILABLE,($D55+Y$5)&gt;TOTAL_LABOR_HOURS_CAP,MAX(0,($D55+Y$5)-PERMANENT_FIELD_LABOR_HOURS)&gt;TEMP_HOURS_CAP),"",$C55+Y$6-MIN(($D55+Y$5),PERMANENT_FIELD_LABOR_HOURS)*PERMANENT_HOURLY_RATE-MAX(0,($D55+Y$5)-PERMANENT_FIELD_LABOR_HOURS)*TEMP_HOURLY_RATE-FIXED_SEASON_COST)</f>
        <v>670.687465904724</v>
      </c>
      <c r="Z55" s="53" t="n">
        <f aca="false">IF(OR($A55&gt;TOMATO_BED_CAP,$B55&gt;CARROT_BED_CAP,Z$4&gt;MESCLUN_BED_CAP,$A55+$B55+Z$4&gt;TOTAL_BEDS_AVAILABLE,($D55+Z$5)&gt;TOTAL_LABOR_HOURS_CAP,MAX(0,($D55+Z$5)-PERMANENT_FIELD_LABOR_HOURS)&gt;TEMP_HOURS_CAP),"",$C55+Z$6-MIN(($D55+Z$5),PERMANENT_FIELD_LABOR_HOURS)*PERMANENT_HOURLY_RATE-MAX(0,($D55+Z$5)-PERMANENT_FIELD_LABOR_HOURS)*TEMP_HOURLY_RATE-FIXED_SEASON_COST)</f>
        <v>1254.23378021244</v>
      </c>
      <c r="AA55" s="53" t="n">
        <f aca="false">IF(OR($A55&gt;TOMATO_BED_CAP,$B55&gt;CARROT_BED_CAP,AA$4&gt;MESCLUN_BED_CAP,$A55+$B55+AA$4&gt;TOTAL_BEDS_AVAILABLE,($D55+AA$5)&gt;TOTAL_LABOR_HOURS_CAP,MAX(0,($D55+AA$5)-PERMANENT_FIELD_LABOR_HOURS)&gt;TEMP_HOURS_CAP),"",$C55+AA$6-MIN(($D55+AA$5),PERMANENT_FIELD_LABOR_HOURS)*PERMANENT_HOURLY_RATE-MAX(0,($D55+AA$5)-PERMANENT_FIELD_LABOR_HOURS)*TEMP_HOURLY_RATE-FIXED_SEASON_COST)</f>
        <v>1809.80532988138</v>
      </c>
      <c r="AB55" s="53" t="n">
        <f aca="false">IF(OR($A55&gt;TOMATO_BED_CAP,$B55&gt;CARROT_BED_CAP,AB$4&gt;MESCLUN_BED_CAP,$A55+$B55+AB$4&gt;TOTAL_BEDS_AVAILABLE,($D55+AB$5)&gt;TOTAL_LABOR_HOURS_CAP,MAX(0,($D55+AB$5)-PERMANENT_FIELD_LABOR_HOURS)&gt;TEMP_HOURS_CAP),"",$C55+AB$6-MIN(($D55+AB$5),PERMANENT_FIELD_LABOR_HOURS)*PERMANENT_HOURLY_RATE-MAX(0,($D55+AB$5)-PERMANENT_FIELD_LABOR_HOURS)*TEMP_HOURLY_RATE-FIXED_SEASON_COST)</f>
        <v>2336.89594168395</v>
      </c>
      <c r="AC55" s="53" t="n">
        <f aca="false">IF(OR($A55&gt;TOMATO_BED_CAP,$B55&gt;CARROT_BED_CAP,AC$4&gt;MESCLUN_BED_CAP,$A55+$B55+AC$4&gt;TOTAL_BEDS_AVAILABLE,($D55+AC$5)&gt;TOTAL_LABOR_HOURS_CAP,MAX(0,($D55+AC$5)-PERMANENT_FIELD_LABOR_HOURS)&gt;TEMP_HOURS_CAP),"",$C55+AC$6-MIN(($D55+AC$5),PERMANENT_FIELD_LABOR_HOURS)*PERMANENT_HOURLY_RATE-MAX(0,($D55+AC$5)-PERMANENT_FIELD_LABOR_HOURS)*TEMP_HOURLY_RATE-FIXED_SEASON_COST)</f>
        <v>2834.99115911884</v>
      </c>
      <c r="AD55" s="53" t="n">
        <f aca="false">IF(OR($A55&gt;TOMATO_BED_CAP,$B55&gt;CARROT_BED_CAP,AD$4&gt;MESCLUN_BED_CAP,$A55+$B55+AD$4&gt;TOTAL_BEDS_AVAILABLE,($D55+AD$5)&gt;TOTAL_LABOR_HOURS_CAP,MAX(0,($D55+AD$5)-PERMANENT_FIELD_LABOR_HOURS)&gt;TEMP_HOURS_CAP),"",$C55+AD$6-MIN(($D55+AD$5),PERMANENT_FIELD_LABOR_HOURS)*PERMANENT_HOURLY_RATE-MAX(0,($D55+AD$5)-PERMANENT_FIELD_LABOR_HOURS)*TEMP_HOURLY_RATE-FIXED_SEASON_COST)</f>
        <v>3303.5681144188</v>
      </c>
      <c r="AE55" s="53" t="n">
        <f aca="false">IF(OR($A55&gt;TOMATO_BED_CAP,$B55&gt;CARROT_BED_CAP,AE$4&gt;MESCLUN_BED_CAP,$A55+$B55+AE$4&gt;TOTAL_BEDS_AVAILABLE,($D55+AE$5)&gt;TOTAL_LABOR_HOURS_CAP,MAX(0,($D55+AE$5)-PERMANENT_FIELD_LABOR_HOURS)&gt;TEMP_HOURS_CAP),"",$C55+AE$6-MIN(($D55+AE$5),PERMANENT_FIELD_LABOR_HOURS)*PERMANENT_HOURLY_RATE-MAX(0,($D55+AE$5)-PERMANENT_FIELD_LABOR_HOURS)*TEMP_HOURLY_RATE-FIXED_SEASON_COST)</f>
        <v>3742.09539865271</v>
      </c>
      <c r="AF55" s="53" t="n">
        <f aca="false">IF(OR($A55&gt;TOMATO_BED_CAP,$B55&gt;CARROT_BED_CAP,AF$4&gt;MESCLUN_BED_CAP,$A55+$B55+AF$4&gt;TOTAL_BEDS_AVAILABLE,($D55+AF$5)&gt;TOTAL_LABOR_HOURS_CAP,MAX(0,($D55+AF$5)-PERMANENT_FIELD_LABOR_HOURS)&gt;TEMP_HOURS_CAP),"",$C55+AF$6-MIN(($D55+AF$5),PERMANENT_FIELD_LABOR_HOURS)*PERMANENT_HOURLY_RATE-MAX(0,($D55+AF$5)-PERMANENT_FIELD_LABOR_HOURS)*TEMP_HOURLY_RATE-FIXED_SEASON_COST)</f>
        <v>4150.03292989466</v>
      </c>
      <c r="AG55" s="53" t="n">
        <f aca="false">IF(OR($A55&gt;TOMATO_BED_CAP,$B55&gt;CARROT_BED_CAP,AG$4&gt;MESCLUN_BED_CAP,$A55+$B55+AG$4&gt;TOTAL_BEDS_AVAILABLE,($D55+AG$5)&gt;TOTAL_LABOR_HOURS_CAP,MAX(0,($D55+AG$5)-PERMANENT_FIELD_LABOR_HOURS)&gt;TEMP_HOURS_CAP),"",$C55+AG$6-MIN(($D55+AG$5),PERMANENT_FIELD_LABOR_HOURS)*PERMANENT_HOURLY_RATE-MAX(0,($D55+AG$5)-PERMANENT_FIELD_LABOR_HOURS)*TEMP_HOURLY_RATE-FIXED_SEASON_COST)</f>
        <v>4526.83181943167</v>
      </c>
      <c r="AH55" s="53" t="n">
        <f aca="false">IF(OR($A55&gt;TOMATO_BED_CAP,$B55&gt;CARROT_BED_CAP,AH$4&gt;MESCLUN_BED_CAP,$A55+$B55+AH$4&gt;TOTAL_BEDS_AVAILABLE,($D55+AH$5)&gt;TOTAL_LABOR_HOURS_CAP,MAX(0,($D55+AH$5)-PERMANENT_FIELD_LABOR_HOURS)&gt;TEMP_HOURS_CAP),"",$C55+AH$6-MIN(($D55+AH$5),PERMANENT_FIELD_LABOR_HOURS)*PERMANENT_HOURLY_RATE-MAX(0,($D55+AH$5)-PERMANENT_FIELD_LABOR_HOURS)*TEMP_HOURLY_RATE-FIXED_SEASON_COST)</f>
        <v>4871.93423598189</v>
      </c>
      <c r="AI55" s="53" t="n">
        <f aca="false">IF(OR($A55&gt;TOMATO_BED_CAP,$B55&gt;CARROT_BED_CAP,AI$4&gt;MESCLUN_BED_CAP,$A55+$B55+AI$4&gt;TOTAL_BEDS_AVAILABLE,($D55+AI$5)&gt;TOTAL_LABOR_HOURS_CAP,MAX(0,($D55+AI$5)-PERMANENT_FIELD_LABOR_HOURS)&gt;TEMP_HOURS_CAP),"",$C55+AI$6-MIN(($D55+AI$5),PERMANENT_FIELD_LABOR_HOURS)*PERMANENT_HOURLY_RATE-MAX(0,($D55+AI$5)-PERMANENT_FIELD_LABOR_HOURS)*TEMP_HOURLY_RATE-FIXED_SEASON_COST)</f>
        <v>5184.77326789415</v>
      </c>
      <c r="AJ55" s="53" t="n">
        <f aca="false">IF(OR($A55&gt;TOMATO_BED_CAP,$B55&gt;CARROT_BED_CAP,AJ$4&gt;MESCLUN_BED_CAP,$A55+$B55+AJ$4&gt;TOTAL_BEDS_AVAILABLE,($D55+AJ$5)&gt;TOTAL_LABOR_HOURS_CAP,MAX(0,($D55+AJ$5)-PERMANENT_FIELD_LABOR_HOURS)&gt;TEMP_HOURS_CAP),"",$C55+AJ$6-MIN(($D55+AJ$5),PERMANENT_FIELD_LABOR_HOURS)*PERMANENT_HOURLY_RATE-MAX(0,($D55+AJ$5)-PERMANENT_FIELD_LABOR_HOURS)*TEMP_HOURLY_RATE-FIXED_SEASON_COST)</f>
        <v>5464.7727832999</v>
      </c>
    </row>
    <row r="56" customFormat="false" ht="15" hidden="false" customHeight="false" outlineLevel="0" collapsed="false">
      <c r="A56" s="21" t="n">
        <f aca="false">INT((ROW()-ROW($A$8))/(20+1))</f>
        <v>2</v>
      </c>
      <c r="B56" s="21" t="n">
        <f aca="false">MOD(ROW()-ROW($A$8),20+1)</f>
        <v>6</v>
      </c>
      <c r="C56" s="13" t="n">
        <f aca="false">A56*(TOMATO_REVENUE_PER_BED-TOMATO_FERTILIZER_PER_BED)+B56*(CARROT_REVENUE_PER_BED-CARROT_FERTILIZER_PER_BED)</f>
        <v>25764</v>
      </c>
      <c r="D56" s="14" t="n">
        <f aca="false">INDEX(TOMATO_SCHED_LABOR_HRS,A56+1)+INDEX(CARROT_SCHED_LABOR_HRS,B56+1)</f>
        <v>426.461317352209</v>
      </c>
      <c r="E56" s="13" t="n">
        <f aca="false">IF(COUNT(F56:AJ56)=0,"",MAX(F56:AJ56))</f>
        <v>6441.42082563819</v>
      </c>
      <c r="F56" s="53" t="n">
        <f aca="false">IF(OR($A56&gt;TOMATO_BED_CAP,$B56&gt;CARROT_BED_CAP,F$4&gt;MESCLUN_BED_CAP,$A56+$B56+F$4&gt;TOTAL_BEDS_AVAILABLE,($D56+F$5)&gt;TOTAL_LABOR_HOURS_CAP,MAX(0,($D56+F$5)-PERMANENT_FIELD_LABOR_HOURS)&gt;TEMP_HOURS_CAP),"",$C56+F$6-MIN(($D56+F$5),PERMANENT_FIELD_LABOR_HOURS)*PERMANENT_HOURLY_RATE-MAX(0,($D56+F$5)-PERMANENT_FIELD_LABOR_HOURS)*TEMP_HOURLY_RATE-FIXED_SEASON_COST)</f>
        <v>-9042.73693846869</v>
      </c>
      <c r="G56" s="53" t="n">
        <f aca="false">IF(OR($A56&gt;TOMATO_BED_CAP,$B56&gt;CARROT_BED_CAP,G$4&gt;MESCLUN_BED_CAP,$A56+$B56+G$4&gt;TOTAL_BEDS_AVAILABLE,($D56+G$5)&gt;TOTAL_LABOR_HOURS_CAP,MAX(0,($D56+G$5)-PERMANENT_FIELD_LABOR_HOURS)&gt;TEMP_HOURS_CAP),"",$C56+G$6-MIN(($D56+G$5),PERMANENT_FIELD_LABOR_HOURS)*PERMANENT_HOURLY_RATE-MAX(0,($D56+G$5)-PERMANENT_FIELD_LABOR_HOURS)*TEMP_HOURLY_RATE-FIXED_SEASON_COST)</f>
        <v>-8804.66693846869</v>
      </c>
      <c r="H56" s="53" t="n">
        <f aca="false">IF(OR($A56&gt;TOMATO_BED_CAP,$B56&gt;CARROT_BED_CAP,H$4&gt;MESCLUN_BED_CAP,$A56+$B56+H$4&gt;TOTAL_BEDS_AVAILABLE,($D56+H$5)&gt;TOTAL_LABOR_HOURS_CAP,MAX(0,($D56+H$5)-PERMANENT_FIELD_LABOR_HOURS)&gt;TEMP_HOURS_CAP),"",$C56+H$6-MIN(($D56+H$5),PERMANENT_FIELD_LABOR_HOURS)*PERMANENT_HOURLY_RATE-MAX(0,($D56+H$5)-PERMANENT_FIELD_LABOR_HOURS)*TEMP_HOURLY_RATE-FIXED_SEASON_COST)</f>
        <v>-8606.14518846869</v>
      </c>
      <c r="I56" s="53" t="n">
        <f aca="false">IF(OR($A56&gt;TOMATO_BED_CAP,$B56&gt;CARROT_BED_CAP,I$4&gt;MESCLUN_BED_CAP,$A56+$B56+I$4&gt;TOTAL_BEDS_AVAILABLE,($D56+I$5)&gt;TOTAL_LABOR_HOURS_CAP,MAX(0,($D56+I$5)-PERMANENT_FIELD_LABOR_HOURS)&gt;TEMP_HOURS_CAP),"",$C56+I$6-MIN(($D56+I$5),PERMANENT_FIELD_LABOR_HOURS)*PERMANENT_HOURLY_RATE-MAX(0,($D56+I$5)-PERMANENT_FIELD_LABOR_HOURS)*TEMP_HOURLY_RATE-FIXED_SEASON_COST)</f>
        <v>-8447.91321815619</v>
      </c>
      <c r="J56" s="53" t="n">
        <f aca="false">IF(OR($A56&gt;TOMATO_BED_CAP,$B56&gt;CARROT_BED_CAP,J$4&gt;MESCLUN_BED_CAP,$A56+$B56+J$4&gt;TOTAL_BEDS_AVAILABLE,($D56+J$5)&gt;TOTAL_LABOR_HOURS_CAP,MAX(0,($D56+J$5)-PERMANENT_FIELD_LABOR_HOURS)&gt;TEMP_HOURS_CAP),"",$C56+J$6-MIN(($D56+J$5),PERMANENT_FIELD_LABOR_HOURS)*PERMANENT_HOURLY_RATE-MAX(0,($D56+J$5)-PERMANENT_FIELD_LABOR_HOURS)*TEMP_HOURLY_RATE-FIXED_SEASON_COST)</f>
        <v>-8330.72491604681</v>
      </c>
      <c r="K56" s="53" t="n">
        <f aca="false">IF(OR($A56&gt;TOMATO_BED_CAP,$B56&gt;CARROT_BED_CAP,K$4&gt;MESCLUN_BED_CAP,$A56+$B56+K$4&gt;TOTAL_BEDS_AVAILABLE,($D56+K$5)&gt;TOTAL_LABOR_HOURS_CAP,MAX(0,($D56+K$5)-PERMANENT_FIELD_LABOR_HOURS)&gt;TEMP_HOURS_CAP),"",$C56+K$6-MIN(($D56+K$5),PERMANENT_FIELD_LABOR_HOURS)*PERMANENT_HOURLY_RATE-MAX(0,($D56+K$5)-PERMANENT_FIELD_LABOR_HOURS)*TEMP_HOURLY_RATE-FIXED_SEASON_COST)</f>
        <v>-8255.34672259101</v>
      </c>
      <c r="L56" s="53" t="n">
        <f aca="false">IF(OR($A56&gt;TOMATO_BED_CAP,$B56&gt;CARROT_BED_CAP,L$4&gt;MESCLUN_BED_CAP,$A56+$B56+L$4&gt;TOTAL_BEDS_AVAILABLE,($D56+L$5)&gt;TOTAL_LABOR_HOURS_CAP,MAX(0,($D56+L$5)-PERMANENT_FIELD_LABOR_HOURS)&gt;TEMP_HOURS_CAP),"",$C56+L$6-MIN(($D56+L$5),PERMANENT_FIELD_LABOR_HOURS)*PERMANENT_HOURLY_RATE-MAX(0,($D56+L$5)-PERMANENT_FIELD_LABOR_HOURS)*TEMP_HOURLY_RATE-FIXED_SEASON_COST)</f>
        <v>-8222.5578261773</v>
      </c>
      <c r="M56" s="53" t="n">
        <f aca="false">IF(OR($A56&gt;TOMATO_BED_CAP,$B56&gt;CARROT_BED_CAP,M$4&gt;MESCLUN_BED_CAP,$A56+$B56+M$4&gt;TOTAL_BEDS_AVAILABLE,($D56+M$5)&gt;TOTAL_LABOR_HOURS_CAP,MAX(0,($D56+M$5)-PERMANENT_FIELD_LABOR_HOURS)&gt;TEMP_HOURS_CAP),"",$C56+M$6-MIN(($D56+M$5),PERMANENT_FIELD_LABOR_HOURS)*PERMANENT_HOURLY_RATE-MAX(0,($D56+M$5)-PERMANENT_FIELD_LABOR_HOURS)*TEMP_HOURLY_RATE-FIXED_SEASON_COST)</f>
        <v>-7363.77518103724</v>
      </c>
      <c r="N56" s="53" t="n">
        <f aca="false">IF(OR($A56&gt;TOMATO_BED_CAP,$B56&gt;CARROT_BED_CAP,N$4&gt;MESCLUN_BED_CAP,$A56+$B56+N$4&gt;TOTAL_BEDS_AVAILABLE,($D56+N$5)&gt;TOTAL_LABOR_HOURS_CAP,MAX(0,($D56+N$5)-PERMANENT_FIELD_LABOR_HOURS)&gt;TEMP_HOURS_CAP),"",$C56+N$6-MIN(($D56+N$5),PERMANENT_FIELD_LABOR_HOURS)*PERMANENT_HOURLY_RATE-MAX(0,($D56+N$5)-PERMANENT_FIELD_LABOR_HOURS)*TEMP_HOURLY_RATE-FIXED_SEASON_COST)</f>
        <v>-6481.1648071777</v>
      </c>
      <c r="O56" s="53" t="n">
        <f aca="false">IF(OR($A56&gt;TOMATO_BED_CAP,$B56&gt;CARROT_BED_CAP,O$4&gt;MESCLUN_BED_CAP,$A56+$B56+O$4&gt;TOTAL_BEDS_AVAILABLE,($D56+O$5)&gt;TOTAL_LABOR_HOURS_CAP,MAX(0,($D56+O$5)-PERMANENT_FIELD_LABOR_HOURS)&gt;TEMP_HOURS_CAP),"",$C56+O$6-MIN(($D56+O$5),PERMANENT_FIELD_LABOR_HOURS)*PERMANENT_HOURLY_RATE-MAX(0,($D56+O$5)-PERMANENT_FIELD_LABOR_HOURS)*TEMP_HOURLY_RATE-FIXED_SEASON_COST)</f>
        <v>-5621.05711042294</v>
      </c>
      <c r="P56" s="53" t="n">
        <f aca="false">IF(OR($A56&gt;TOMATO_BED_CAP,$B56&gt;CARROT_BED_CAP,P$4&gt;MESCLUN_BED_CAP,$A56+$B56+P$4&gt;TOTAL_BEDS_AVAILABLE,($D56+P$5)&gt;TOTAL_LABOR_HOURS_CAP,MAX(0,($D56+P$5)-PERMANENT_FIELD_LABOR_HOURS)&gt;TEMP_HOURS_CAP),"",$C56+P$6-MIN(($D56+P$5),PERMANENT_FIELD_LABOR_HOURS)*PERMANENT_HOURLY_RATE-MAX(0,($D56+P$5)-PERMANENT_FIELD_LABOR_HOURS)*TEMP_HOURLY_RATE-FIXED_SEASON_COST)</f>
        <v>-4783.86819057152</v>
      </c>
      <c r="Q56" s="53" t="n">
        <f aca="false">IF(OR($A56&gt;TOMATO_BED_CAP,$B56&gt;CARROT_BED_CAP,Q$4&gt;MESCLUN_BED_CAP,$A56+$B56+Q$4&gt;TOTAL_BEDS_AVAILABLE,($D56+Q$5)&gt;TOTAL_LABOR_HOURS_CAP,MAX(0,($D56+Q$5)-PERMANENT_FIELD_LABOR_HOURS)&gt;TEMP_HOURS_CAP),"",$C56+Q$6-MIN(($D56+Q$5),PERMANENT_FIELD_LABOR_HOURS)*PERMANENT_HOURLY_RATE-MAX(0,($D56+Q$5)-PERMANENT_FIELD_LABOR_HOURS)*TEMP_HOURLY_RATE-FIXED_SEASON_COST)</f>
        <v>-3970.02103387362</v>
      </c>
      <c r="R56" s="53" t="n">
        <f aca="false">IF(OR($A56&gt;TOMATO_BED_CAP,$B56&gt;CARROT_BED_CAP,R$4&gt;MESCLUN_BED_CAP,$A56+$B56+R$4&gt;TOTAL_BEDS_AVAILABLE,($D56+R$5)&gt;TOTAL_LABOR_HOURS_CAP,MAX(0,($D56+R$5)-PERMANENT_FIELD_LABOR_HOURS)&gt;TEMP_HOURS_CAP),"",$C56+R$6-MIN(($D56+R$5),PERMANENT_FIELD_LABOR_HOURS)*PERMANENT_HOURLY_RATE-MAX(0,($D56+R$5)-PERMANENT_FIELD_LABOR_HOURS)*TEMP_HOURLY_RATE-FIXED_SEASON_COST)</f>
        <v>-3179.94562017682</v>
      </c>
      <c r="S56" s="53" t="n">
        <f aca="false">IF(OR($A56&gt;TOMATO_BED_CAP,$B56&gt;CARROT_BED_CAP,S$4&gt;MESCLUN_BED_CAP,$A56+$B56+S$4&gt;TOTAL_BEDS_AVAILABLE,($D56+S$5)&gt;TOTAL_LABOR_HOURS_CAP,MAX(0,($D56+S$5)-PERMANENT_FIELD_LABOR_HOURS)&gt;TEMP_HOURS_CAP),"",$C56+S$6-MIN(($D56+S$5),PERMANENT_FIELD_LABOR_HOURS)*PERMANENT_HOURLY_RATE-MAX(0,($D56+S$5)-PERMANENT_FIELD_LABOR_HOURS)*TEMP_HOURLY_RATE-FIXED_SEASON_COST)</f>
        <v>-2414.07903167437</v>
      </c>
      <c r="T56" s="53" t="n">
        <f aca="false">IF(OR($A56&gt;TOMATO_BED_CAP,$B56&gt;CARROT_BED_CAP,T$4&gt;MESCLUN_BED_CAP,$A56+$B56+T$4&gt;TOTAL_BEDS_AVAILABLE,($D56+T$5)&gt;TOTAL_LABOR_HOURS_CAP,MAX(0,($D56+T$5)-PERMANENT_FIELD_LABOR_HOURS)&gt;TEMP_HOURS_CAP),"",$C56+T$6-MIN(($D56+T$5),PERMANENT_FIELD_LABOR_HOURS)*PERMANENT_HOURLY_RATE-MAX(0,($D56+T$5)-PERMANENT_FIELD_LABOR_HOURS)*TEMP_HOURLY_RATE-FIXED_SEASON_COST)</f>
        <v>-1672.86556327953</v>
      </c>
      <c r="U56" s="53" t="n">
        <f aca="false">IF(OR($A56&gt;TOMATO_BED_CAP,$B56&gt;CARROT_BED_CAP,U$4&gt;MESCLUN_BED_CAP,$A56+$B56+U$4&gt;TOTAL_BEDS_AVAILABLE,($D56+U$5)&gt;TOTAL_LABOR_HOURS_CAP,MAX(0,($D56+U$5)-PERMANENT_FIELD_LABOR_HOURS)&gt;TEMP_HOURS_CAP),"",$C56+U$6-MIN(($D56+U$5),PERMANENT_FIELD_LABOR_HOURS)*PERMANENT_HOURLY_RATE-MAX(0,($D56+U$5)-PERMANENT_FIELD_LABOR_HOURS)*TEMP_HOURLY_RATE-FIXED_SEASON_COST)</f>
        <v>-956.756834649423</v>
      </c>
      <c r="V56" s="53" t="n">
        <f aca="false">IF(OR($A56&gt;TOMATO_BED_CAP,$B56&gt;CARROT_BED_CAP,V$4&gt;MESCLUN_BED_CAP,$A56+$B56+V$4&gt;TOTAL_BEDS_AVAILABLE,($D56+V$5)&gt;TOTAL_LABOR_HOURS_CAP,MAX(0,($D56+V$5)-PERMANENT_FIELD_LABOR_HOURS)&gt;TEMP_HOURS_CAP),"",$C56+V$6-MIN(($D56+V$5),PERMANENT_FIELD_LABOR_HOURS)*PERMANENT_HOURLY_RATE-MAX(0,($D56+V$5)-PERMANENT_FIELD_LABOR_HOURS)*TEMP_HOURLY_RATE-FIXED_SEASON_COST)</f>
        <v>-266.211903882635</v>
      </c>
      <c r="W56" s="53" t="n">
        <f aca="false">IF(OR($A56&gt;TOMATO_BED_CAP,$B56&gt;CARROT_BED_CAP,W$4&gt;MESCLUN_BED_CAP,$A56+$B56+W$4&gt;TOTAL_BEDS_AVAILABLE,($D56+W$5)&gt;TOTAL_LABOR_HOURS_CAP,MAX(0,($D56+W$5)-PERMANENT_FIELD_LABOR_HOURS)&gt;TEMP_HOURS_CAP),"",$C56+W$6-MIN(($D56+W$5),PERMANENT_FIELD_LABOR_HOURS)*PERMANENT_HOURLY_RATE-MAX(0,($D56+W$5)-PERMANENT_FIELD_LABOR_HOURS)*TEMP_HOURLY_RATE-FIXED_SEASON_COST)</f>
        <v>398.302617085428</v>
      </c>
      <c r="X56" s="53" t="n">
        <f aca="false">IF(OR($A56&gt;TOMATO_BED_CAP,$B56&gt;CARROT_BED_CAP,X$4&gt;MESCLUN_BED_CAP,$A56+$B56+X$4&gt;TOTAL_BEDS_AVAILABLE,($D56+X$5)&gt;TOTAL_LABOR_HOURS_CAP,MAX(0,($D56+X$5)-PERMANENT_FIELD_LABOR_HOURS)&gt;TEMP_HOURS_CAP),"",$C56+X$6-MIN(($D56+X$5),PERMANENT_FIELD_LABOR_HOURS)*PERMANENT_HOURLY_RATE-MAX(0,($D56+X$5)-PERMANENT_FIELD_LABOR_HOURS)*TEMP_HOURLY_RATE-FIXED_SEASON_COST)</f>
        <v>1036.31244536436</v>
      </c>
      <c r="Y56" s="53" t="n">
        <f aca="false">IF(OR($A56&gt;TOMATO_BED_CAP,$B56&gt;CARROT_BED_CAP,Y$4&gt;MESCLUN_BED_CAP,$A56+$B56+Y$4&gt;TOTAL_BEDS_AVAILABLE,($D56+Y$5)&gt;TOTAL_LABOR_HOURS_CAP,MAX(0,($D56+Y$5)-PERMANENT_FIELD_LABOR_HOURS)&gt;TEMP_HOURS_CAP),"",$C56+Y$6-MIN(($D56+Y$5),PERMANENT_FIELD_LABOR_HOURS)*PERMANENT_HOURLY_RATE-MAX(0,($D56+Y$5)-PERMANENT_FIELD_LABOR_HOURS)*TEMP_HOURLY_RATE-FIXED_SEASON_COST)</f>
        <v>1647.33550824301</v>
      </c>
      <c r="Z56" s="53" t="n">
        <f aca="false">IF(OR($A56&gt;TOMATO_BED_CAP,$B56&gt;CARROT_BED_CAP,Z$4&gt;MESCLUN_BED_CAP,$A56+$B56+Z$4&gt;TOTAL_BEDS_AVAILABLE,($D56+Z$5)&gt;TOTAL_LABOR_HOURS_CAP,MAX(0,($D56+Z$5)-PERMANENT_FIELD_LABOR_HOURS)&gt;TEMP_HOURS_CAP),"",$C56+Z$6-MIN(($D56+Z$5),PERMANENT_FIELD_LABOR_HOURS)*PERMANENT_HOURLY_RATE-MAX(0,($D56+Z$5)-PERMANENT_FIELD_LABOR_HOURS)*TEMP_HOURLY_RATE-FIXED_SEASON_COST)</f>
        <v>2230.88182255074</v>
      </c>
      <c r="AA56" s="53" t="n">
        <f aca="false">IF(OR($A56&gt;TOMATO_BED_CAP,$B56&gt;CARROT_BED_CAP,AA$4&gt;MESCLUN_BED_CAP,$A56+$B56+AA$4&gt;TOTAL_BEDS_AVAILABLE,($D56+AA$5)&gt;TOTAL_LABOR_HOURS_CAP,MAX(0,($D56+AA$5)-PERMANENT_FIELD_LABOR_HOURS)&gt;TEMP_HOURS_CAP),"",$C56+AA$6-MIN(($D56+AA$5),PERMANENT_FIELD_LABOR_HOURS)*PERMANENT_HOURLY_RATE-MAX(0,($D56+AA$5)-PERMANENT_FIELD_LABOR_HOURS)*TEMP_HOURLY_RATE-FIXED_SEASON_COST)</f>
        <v>2786.45337221967</v>
      </c>
      <c r="AB56" s="53" t="n">
        <f aca="false">IF(OR($A56&gt;TOMATO_BED_CAP,$B56&gt;CARROT_BED_CAP,AB$4&gt;MESCLUN_BED_CAP,$A56+$B56+AB$4&gt;TOTAL_BEDS_AVAILABLE,($D56+AB$5)&gt;TOTAL_LABOR_HOURS_CAP,MAX(0,($D56+AB$5)-PERMANENT_FIELD_LABOR_HOURS)&gt;TEMP_HOURS_CAP),"",$C56+AB$6-MIN(($D56+AB$5),PERMANENT_FIELD_LABOR_HOURS)*PERMANENT_HOURLY_RATE-MAX(0,($D56+AB$5)-PERMANENT_FIELD_LABOR_HOURS)*TEMP_HOURLY_RATE-FIXED_SEASON_COST)</f>
        <v>3313.54398402224</v>
      </c>
      <c r="AC56" s="53" t="n">
        <f aca="false">IF(OR($A56&gt;TOMATO_BED_CAP,$B56&gt;CARROT_BED_CAP,AC$4&gt;MESCLUN_BED_CAP,$A56+$B56+AC$4&gt;TOTAL_BEDS_AVAILABLE,($D56+AC$5)&gt;TOTAL_LABOR_HOURS_CAP,MAX(0,($D56+AC$5)-PERMANENT_FIELD_LABOR_HOURS)&gt;TEMP_HOURS_CAP),"",$C56+AC$6-MIN(($D56+AC$5),PERMANENT_FIELD_LABOR_HOURS)*PERMANENT_HOURLY_RATE-MAX(0,($D56+AC$5)-PERMANENT_FIELD_LABOR_HOURS)*TEMP_HOURLY_RATE-FIXED_SEASON_COST)</f>
        <v>3811.63920145714</v>
      </c>
      <c r="AD56" s="53" t="n">
        <f aca="false">IF(OR($A56&gt;TOMATO_BED_CAP,$B56&gt;CARROT_BED_CAP,AD$4&gt;MESCLUN_BED_CAP,$A56+$B56+AD$4&gt;TOTAL_BEDS_AVAILABLE,($D56+AD$5)&gt;TOTAL_LABOR_HOURS_CAP,MAX(0,($D56+AD$5)-PERMANENT_FIELD_LABOR_HOURS)&gt;TEMP_HOURS_CAP),"",$C56+AD$6-MIN(($D56+AD$5),PERMANENT_FIELD_LABOR_HOURS)*PERMANENT_HOURLY_RATE-MAX(0,($D56+AD$5)-PERMANENT_FIELD_LABOR_HOURS)*TEMP_HOURLY_RATE-FIXED_SEASON_COST)</f>
        <v>4280.2161567571</v>
      </c>
      <c r="AE56" s="53" t="n">
        <f aca="false">IF(OR($A56&gt;TOMATO_BED_CAP,$B56&gt;CARROT_BED_CAP,AE$4&gt;MESCLUN_BED_CAP,$A56+$B56+AE$4&gt;TOTAL_BEDS_AVAILABLE,($D56+AE$5)&gt;TOTAL_LABOR_HOURS_CAP,MAX(0,($D56+AE$5)-PERMANENT_FIELD_LABOR_HOURS)&gt;TEMP_HOURS_CAP),"",$C56+AE$6-MIN(($D56+AE$5),PERMANENT_FIELD_LABOR_HOURS)*PERMANENT_HOURLY_RATE-MAX(0,($D56+AE$5)-PERMANENT_FIELD_LABOR_HOURS)*TEMP_HOURLY_RATE-FIXED_SEASON_COST)</f>
        <v>4718.743440991</v>
      </c>
      <c r="AF56" s="53" t="n">
        <f aca="false">IF(OR($A56&gt;TOMATO_BED_CAP,$B56&gt;CARROT_BED_CAP,AF$4&gt;MESCLUN_BED_CAP,$A56+$B56+AF$4&gt;TOTAL_BEDS_AVAILABLE,($D56+AF$5)&gt;TOTAL_LABOR_HOURS_CAP,MAX(0,($D56+AF$5)-PERMANENT_FIELD_LABOR_HOURS)&gt;TEMP_HOURS_CAP),"",$C56+AF$6-MIN(($D56+AF$5),PERMANENT_FIELD_LABOR_HOURS)*PERMANENT_HOURLY_RATE-MAX(0,($D56+AF$5)-PERMANENT_FIELD_LABOR_HOURS)*TEMP_HOURLY_RATE-FIXED_SEASON_COST)</f>
        <v>5126.68097223295</v>
      </c>
      <c r="AG56" s="53" t="n">
        <f aca="false">IF(OR($A56&gt;TOMATO_BED_CAP,$B56&gt;CARROT_BED_CAP,AG$4&gt;MESCLUN_BED_CAP,$A56+$B56+AG$4&gt;TOTAL_BEDS_AVAILABLE,($D56+AG$5)&gt;TOTAL_LABOR_HOURS_CAP,MAX(0,($D56+AG$5)-PERMANENT_FIELD_LABOR_HOURS)&gt;TEMP_HOURS_CAP),"",$C56+AG$6-MIN(($D56+AG$5),PERMANENT_FIELD_LABOR_HOURS)*PERMANENT_HOURLY_RATE-MAX(0,($D56+AG$5)-PERMANENT_FIELD_LABOR_HOURS)*TEMP_HOURLY_RATE-FIXED_SEASON_COST)</f>
        <v>5503.47986176997</v>
      </c>
      <c r="AH56" s="53" t="n">
        <f aca="false">IF(OR($A56&gt;TOMATO_BED_CAP,$B56&gt;CARROT_BED_CAP,AH$4&gt;MESCLUN_BED_CAP,$A56+$B56+AH$4&gt;TOTAL_BEDS_AVAILABLE,($D56+AH$5)&gt;TOTAL_LABOR_HOURS_CAP,MAX(0,($D56+AH$5)-PERMANENT_FIELD_LABOR_HOURS)&gt;TEMP_HOURS_CAP),"",$C56+AH$6-MIN(($D56+AH$5),PERMANENT_FIELD_LABOR_HOURS)*PERMANENT_HOURLY_RATE-MAX(0,($D56+AH$5)-PERMANENT_FIELD_LABOR_HOURS)*TEMP_HOURLY_RATE-FIXED_SEASON_COST)</f>
        <v>5848.58227832018</v>
      </c>
      <c r="AI56" s="53" t="n">
        <f aca="false">IF(OR($A56&gt;TOMATO_BED_CAP,$B56&gt;CARROT_BED_CAP,AI$4&gt;MESCLUN_BED_CAP,$A56+$B56+AI$4&gt;TOTAL_BEDS_AVAILABLE,($D56+AI$5)&gt;TOTAL_LABOR_HOURS_CAP,MAX(0,($D56+AI$5)-PERMANENT_FIELD_LABOR_HOURS)&gt;TEMP_HOURS_CAP),"",$C56+AI$6-MIN(($D56+AI$5),PERMANENT_FIELD_LABOR_HOURS)*PERMANENT_HOURLY_RATE-MAX(0,($D56+AI$5)-PERMANENT_FIELD_LABOR_HOURS)*TEMP_HOURLY_RATE-FIXED_SEASON_COST)</f>
        <v>6161.42131023244</v>
      </c>
      <c r="AJ56" s="53" t="n">
        <f aca="false">IF(OR($A56&gt;TOMATO_BED_CAP,$B56&gt;CARROT_BED_CAP,AJ$4&gt;MESCLUN_BED_CAP,$A56+$B56+AJ$4&gt;TOTAL_BEDS_AVAILABLE,($D56+AJ$5)&gt;TOTAL_LABOR_HOURS_CAP,MAX(0,($D56+AJ$5)-PERMANENT_FIELD_LABOR_HOURS)&gt;TEMP_HOURS_CAP),"",$C56+AJ$6-MIN(($D56+AJ$5),PERMANENT_FIELD_LABOR_HOURS)*PERMANENT_HOURLY_RATE-MAX(0,($D56+AJ$5)-PERMANENT_FIELD_LABOR_HOURS)*TEMP_HOURLY_RATE-FIXED_SEASON_COST)</f>
        <v>6441.42082563819</v>
      </c>
    </row>
    <row r="57" customFormat="false" ht="15" hidden="false" customHeight="false" outlineLevel="0" collapsed="false">
      <c r="A57" s="21" t="n">
        <f aca="false">INT((ROW()-ROW($A$8))/(20+1))</f>
        <v>2</v>
      </c>
      <c r="B57" s="21" t="n">
        <f aca="false">MOD(ROW()-ROW($A$8),20+1)</f>
        <v>7</v>
      </c>
      <c r="C57" s="13" t="n">
        <f aca="false">A57*(TOMATO_REVENUE_PER_BED-TOMATO_FERTILIZER_PER_BED)+B57*(CARROT_REVENUE_PER_BED-CARROT_FERTILIZER_PER_BED)</f>
        <v>27418</v>
      </c>
      <c r="D57" s="14" t="n">
        <f aca="false">INDEX(TOMATO_SCHED_LABOR_HRS,A57+1)+INDEX(CARROT_SCHED_LABOR_HRS,B57+1)</f>
        <v>467.324158667017</v>
      </c>
      <c r="E57" s="13" t="n">
        <f aca="false">IF(COUNT(F57:AJ57)=0,"",MAX(F57:AJ57))</f>
        <v>7386.04190041314</v>
      </c>
      <c r="F57" s="53" t="n">
        <f aca="false">IF(OR($A57&gt;TOMATO_BED_CAP,$B57&gt;CARROT_BED_CAP,F$4&gt;MESCLUN_BED_CAP,$A57+$B57+F$4&gt;TOTAL_BEDS_AVAILABLE,($D57+F$5)&gt;TOTAL_LABOR_HOURS_CAP,MAX(0,($D57+F$5)-PERMANENT_FIELD_LABOR_HOURS)&gt;TEMP_HOURS_CAP),"",$C57+F$6-MIN(($D57+F$5),PERMANENT_FIELD_LABOR_HOURS)*PERMANENT_HOURLY_RATE-MAX(0,($D57+F$5)-PERMANENT_FIELD_LABOR_HOURS)*TEMP_HOURLY_RATE-FIXED_SEASON_COST)</f>
        <v>-8807.49478891881</v>
      </c>
      <c r="G57" s="53" t="n">
        <f aca="false">IF(OR($A57&gt;TOMATO_BED_CAP,$B57&gt;CARROT_BED_CAP,G$4&gt;MESCLUN_BED_CAP,$A57+$B57+G$4&gt;TOTAL_BEDS_AVAILABLE,($D57+G$5)&gt;TOTAL_LABOR_HOURS_CAP,MAX(0,($D57+G$5)-PERMANENT_FIELD_LABOR_HOURS)&gt;TEMP_HOURS_CAP),"",$C57+G$6-MIN(($D57+G$5),PERMANENT_FIELD_LABOR_HOURS)*PERMANENT_HOURLY_RATE-MAX(0,($D57+G$5)-PERMANENT_FIELD_LABOR_HOURS)*TEMP_HOURLY_RATE-FIXED_SEASON_COST)</f>
        <v>-8569.42478891881</v>
      </c>
      <c r="H57" s="53" t="n">
        <f aca="false">IF(OR($A57&gt;TOMATO_BED_CAP,$B57&gt;CARROT_BED_CAP,H$4&gt;MESCLUN_BED_CAP,$A57+$B57+H$4&gt;TOTAL_BEDS_AVAILABLE,($D57+H$5)&gt;TOTAL_LABOR_HOURS_CAP,MAX(0,($D57+H$5)-PERMANENT_FIELD_LABOR_HOURS)&gt;TEMP_HOURS_CAP),"",$C57+H$6-MIN(($D57+H$5),PERMANENT_FIELD_LABOR_HOURS)*PERMANENT_HOURLY_RATE-MAX(0,($D57+H$5)-PERMANENT_FIELD_LABOR_HOURS)*TEMP_HOURLY_RATE-FIXED_SEASON_COST)</f>
        <v>-8370.90303891881</v>
      </c>
      <c r="I57" s="53" t="n">
        <f aca="false">IF(OR($A57&gt;TOMATO_BED_CAP,$B57&gt;CARROT_BED_CAP,I$4&gt;MESCLUN_BED_CAP,$A57+$B57+I$4&gt;TOTAL_BEDS_AVAILABLE,($D57+I$5)&gt;TOTAL_LABOR_HOURS_CAP,MAX(0,($D57+I$5)-PERMANENT_FIELD_LABOR_HOURS)&gt;TEMP_HOURS_CAP),"",$C57+I$6-MIN(($D57+I$5),PERMANENT_FIELD_LABOR_HOURS)*PERMANENT_HOURLY_RATE-MAX(0,($D57+I$5)-PERMANENT_FIELD_LABOR_HOURS)*TEMP_HOURLY_RATE-FIXED_SEASON_COST)</f>
        <v>-8212.67106860631</v>
      </c>
      <c r="J57" s="53" t="n">
        <f aca="false">IF(OR($A57&gt;TOMATO_BED_CAP,$B57&gt;CARROT_BED_CAP,J$4&gt;MESCLUN_BED_CAP,$A57+$B57+J$4&gt;TOTAL_BEDS_AVAILABLE,($D57+J$5)&gt;TOTAL_LABOR_HOURS_CAP,MAX(0,($D57+J$5)-PERMANENT_FIELD_LABOR_HOURS)&gt;TEMP_HOURS_CAP),"",$C57+J$6-MIN(($D57+J$5),PERMANENT_FIELD_LABOR_HOURS)*PERMANENT_HOURLY_RATE-MAX(0,($D57+J$5)-PERMANENT_FIELD_LABOR_HOURS)*TEMP_HOURLY_RATE-FIXED_SEASON_COST)</f>
        <v>-8095.48276649693</v>
      </c>
      <c r="K57" s="53" t="n">
        <f aca="false">IF(OR($A57&gt;TOMATO_BED_CAP,$B57&gt;CARROT_BED_CAP,K$4&gt;MESCLUN_BED_CAP,$A57+$B57+K$4&gt;TOTAL_BEDS_AVAILABLE,($D57+K$5)&gt;TOTAL_LABOR_HOURS_CAP,MAX(0,($D57+K$5)-PERMANENT_FIELD_LABOR_HOURS)&gt;TEMP_HOURS_CAP),"",$C57+K$6-MIN(($D57+K$5),PERMANENT_FIELD_LABOR_HOURS)*PERMANENT_HOURLY_RATE-MAX(0,($D57+K$5)-PERMANENT_FIELD_LABOR_HOURS)*TEMP_HOURLY_RATE-FIXED_SEASON_COST)</f>
        <v>-8020.10457304112</v>
      </c>
      <c r="L57" s="53" t="n">
        <f aca="false">IF(OR($A57&gt;TOMATO_BED_CAP,$B57&gt;CARROT_BED_CAP,L$4&gt;MESCLUN_BED_CAP,$A57+$B57+L$4&gt;TOTAL_BEDS_AVAILABLE,($D57+L$5)&gt;TOTAL_LABOR_HOURS_CAP,MAX(0,($D57+L$5)-PERMANENT_FIELD_LABOR_HOURS)&gt;TEMP_HOURS_CAP),"",$C57+L$6-MIN(($D57+L$5),PERMANENT_FIELD_LABOR_HOURS)*PERMANENT_HOURLY_RATE-MAX(0,($D57+L$5)-PERMANENT_FIELD_LABOR_HOURS)*TEMP_HOURLY_RATE-FIXED_SEASON_COST)</f>
        <v>-7323.85783831371</v>
      </c>
      <c r="M57" s="53" t="n">
        <f aca="false">IF(OR($A57&gt;TOMATO_BED_CAP,$B57&gt;CARROT_BED_CAP,M$4&gt;MESCLUN_BED_CAP,$A57+$B57+M$4&gt;TOTAL_BEDS_AVAILABLE,($D57+M$5)&gt;TOTAL_LABOR_HOURS_CAP,MAX(0,($D57+M$5)-PERMANENT_FIELD_LABOR_HOURS)&gt;TEMP_HOURS_CAP),"",$C57+M$6-MIN(($D57+M$5),PERMANENT_FIELD_LABOR_HOURS)*PERMANENT_HOURLY_RATE-MAX(0,($D57+M$5)-PERMANENT_FIELD_LABOR_HOURS)*TEMP_HOURLY_RATE-FIXED_SEASON_COST)</f>
        <v>-6419.1541062623</v>
      </c>
      <c r="N57" s="53" t="n">
        <f aca="false">IF(OR($A57&gt;TOMATO_BED_CAP,$B57&gt;CARROT_BED_CAP,N$4&gt;MESCLUN_BED_CAP,$A57+$B57+N$4&gt;TOTAL_BEDS_AVAILABLE,($D57+N$5)&gt;TOTAL_LABOR_HOURS_CAP,MAX(0,($D57+N$5)-PERMANENT_FIELD_LABOR_HOURS)&gt;TEMP_HOURS_CAP),"",$C57+N$6-MIN(($D57+N$5),PERMANENT_FIELD_LABOR_HOURS)*PERMANENT_HOURLY_RATE-MAX(0,($D57+N$5)-PERMANENT_FIELD_LABOR_HOURS)*TEMP_HOURLY_RATE-FIXED_SEASON_COST)</f>
        <v>-5536.54373240276</v>
      </c>
      <c r="O57" s="53" t="n">
        <f aca="false">IF(OR($A57&gt;TOMATO_BED_CAP,$B57&gt;CARROT_BED_CAP,O$4&gt;MESCLUN_BED_CAP,$A57+$B57+O$4&gt;TOTAL_BEDS_AVAILABLE,($D57+O$5)&gt;TOTAL_LABOR_HOURS_CAP,MAX(0,($D57+O$5)-PERMANENT_FIELD_LABOR_HOURS)&gt;TEMP_HOURS_CAP),"",$C57+O$6-MIN(($D57+O$5),PERMANENT_FIELD_LABOR_HOURS)*PERMANENT_HOURLY_RATE-MAX(0,($D57+O$5)-PERMANENT_FIELD_LABOR_HOURS)*TEMP_HOURLY_RATE-FIXED_SEASON_COST)</f>
        <v>-4676.436035648</v>
      </c>
      <c r="P57" s="53" t="n">
        <f aca="false">IF(OR($A57&gt;TOMATO_BED_CAP,$B57&gt;CARROT_BED_CAP,P$4&gt;MESCLUN_BED_CAP,$A57+$B57+P$4&gt;TOTAL_BEDS_AVAILABLE,($D57+P$5)&gt;TOTAL_LABOR_HOURS_CAP,MAX(0,($D57+P$5)-PERMANENT_FIELD_LABOR_HOURS)&gt;TEMP_HOURS_CAP),"",$C57+P$6-MIN(($D57+P$5),PERMANENT_FIELD_LABOR_HOURS)*PERMANENT_HOURLY_RATE-MAX(0,($D57+P$5)-PERMANENT_FIELD_LABOR_HOURS)*TEMP_HOURLY_RATE-FIXED_SEASON_COST)</f>
        <v>-3839.24711579658</v>
      </c>
      <c r="Q57" s="53" t="n">
        <f aca="false">IF(OR($A57&gt;TOMATO_BED_CAP,$B57&gt;CARROT_BED_CAP,Q$4&gt;MESCLUN_BED_CAP,$A57+$B57+Q$4&gt;TOTAL_BEDS_AVAILABLE,($D57+Q$5)&gt;TOTAL_LABOR_HOURS_CAP,MAX(0,($D57+Q$5)-PERMANENT_FIELD_LABOR_HOURS)&gt;TEMP_HOURS_CAP),"",$C57+Q$6-MIN(($D57+Q$5),PERMANENT_FIELD_LABOR_HOURS)*PERMANENT_HOURLY_RATE-MAX(0,($D57+Q$5)-PERMANENT_FIELD_LABOR_HOURS)*TEMP_HOURLY_RATE-FIXED_SEASON_COST)</f>
        <v>-3025.39995909868</v>
      </c>
      <c r="R57" s="53" t="n">
        <f aca="false">IF(OR($A57&gt;TOMATO_BED_CAP,$B57&gt;CARROT_BED_CAP,R$4&gt;MESCLUN_BED_CAP,$A57+$B57+R$4&gt;TOTAL_BEDS_AVAILABLE,($D57+R$5)&gt;TOTAL_LABOR_HOURS_CAP,MAX(0,($D57+R$5)-PERMANENT_FIELD_LABOR_HOURS)&gt;TEMP_HOURS_CAP),"",$C57+R$6-MIN(($D57+R$5),PERMANENT_FIELD_LABOR_HOURS)*PERMANENT_HOURLY_RATE-MAX(0,($D57+R$5)-PERMANENT_FIELD_LABOR_HOURS)*TEMP_HOURLY_RATE-FIXED_SEASON_COST)</f>
        <v>-2235.32454540188</v>
      </c>
      <c r="S57" s="53" t="n">
        <f aca="false">IF(OR($A57&gt;TOMATO_BED_CAP,$B57&gt;CARROT_BED_CAP,S$4&gt;MESCLUN_BED_CAP,$A57+$B57+S$4&gt;TOTAL_BEDS_AVAILABLE,($D57+S$5)&gt;TOTAL_LABOR_HOURS_CAP,MAX(0,($D57+S$5)-PERMANENT_FIELD_LABOR_HOURS)&gt;TEMP_HOURS_CAP),"",$C57+S$6-MIN(($D57+S$5),PERMANENT_FIELD_LABOR_HOURS)*PERMANENT_HOURLY_RATE-MAX(0,($D57+S$5)-PERMANENT_FIELD_LABOR_HOURS)*TEMP_HOURLY_RATE-FIXED_SEASON_COST)</f>
        <v>-1469.45795689943</v>
      </c>
      <c r="T57" s="53" t="n">
        <f aca="false">IF(OR($A57&gt;TOMATO_BED_CAP,$B57&gt;CARROT_BED_CAP,T$4&gt;MESCLUN_BED_CAP,$A57+$B57+T$4&gt;TOTAL_BEDS_AVAILABLE,($D57+T$5)&gt;TOTAL_LABOR_HOURS_CAP,MAX(0,($D57+T$5)-PERMANENT_FIELD_LABOR_HOURS)&gt;TEMP_HOURS_CAP),"",$C57+T$6-MIN(($D57+T$5),PERMANENT_FIELD_LABOR_HOURS)*PERMANENT_HOURLY_RATE-MAX(0,($D57+T$5)-PERMANENT_FIELD_LABOR_HOURS)*TEMP_HOURLY_RATE-FIXED_SEASON_COST)</f>
        <v>-728.244488504584</v>
      </c>
      <c r="U57" s="53" t="n">
        <f aca="false">IF(OR($A57&gt;TOMATO_BED_CAP,$B57&gt;CARROT_BED_CAP,U$4&gt;MESCLUN_BED_CAP,$A57+$B57+U$4&gt;TOTAL_BEDS_AVAILABLE,($D57+U$5)&gt;TOTAL_LABOR_HOURS_CAP,MAX(0,($D57+U$5)-PERMANENT_FIELD_LABOR_HOURS)&gt;TEMP_HOURS_CAP),"",$C57+U$6-MIN(($D57+U$5),PERMANENT_FIELD_LABOR_HOURS)*PERMANENT_HOURLY_RATE-MAX(0,($D57+U$5)-PERMANENT_FIELD_LABOR_HOURS)*TEMP_HOURLY_RATE-FIXED_SEASON_COST)</f>
        <v>-12.1357598744835</v>
      </c>
      <c r="V57" s="53" t="n">
        <f aca="false">IF(OR($A57&gt;TOMATO_BED_CAP,$B57&gt;CARROT_BED_CAP,V$4&gt;MESCLUN_BED_CAP,$A57+$B57+V$4&gt;TOTAL_BEDS_AVAILABLE,($D57+V$5)&gt;TOTAL_LABOR_HOURS_CAP,MAX(0,($D57+V$5)-PERMANENT_FIELD_LABOR_HOURS)&gt;TEMP_HOURS_CAP),"",$C57+V$6-MIN(($D57+V$5),PERMANENT_FIELD_LABOR_HOURS)*PERMANENT_HOURLY_RATE-MAX(0,($D57+V$5)-PERMANENT_FIELD_LABOR_HOURS)*TEMP_HOURLY_RATE-FIXED_SEASON_COST)</f>
        <v>678.409170892308</v>
      </c>
      <c r="W57" s="53" t="n">
        <f aca="false">IF(OR($A57&gt;TOMATO_BED_CAP,$B57&gt;CARROT_BED_CAP,W$4&gt;MESCLUN_BED_CAP,$A57+$B57+W$4&gt;TOTAL_BEDS_AVAILABLE,($D57+W$5)&gt;TOTAL_LABOR_HOURS_CAP,MAX(0,($D57+W$5)-PERMANENT_FIELD_LABOR_HOURS)&gt;TEMP_HOURS_CAP),"",$C57+W$6-MIN(($D57+W$5),PERMANENT_FIELD_LABOR_HOURS)*PERMANENT_HOURLY_RATE-MAX(0,($D57+W$5)-PERMANENT_FIELD_LABOR_HOURS)*TEMP_HOURLY_RATE-FIXED_SEASON_COST)</f>
        <v>1342.92369186037</v>
      </c>
      <c r="X57" s="53" t="n">
        <f aca="false">IF(OR($A57&gt;TOMATO_BED_CAP,$B57&gt;CARROT_BED_CAP,X$4&gt;MESCLUN_BED_CAP,$A57+$B57+X$4&gt;TOTAL_BEDS_AVAILABLE,($D57+X$5)&gt;TOTAL_LABOR_HOURS_CAP,MAX(0,($D57+X$5)-PERMANENT_FIELD_LABOR_HOURS)&gt;TEMP_HOURS_CAP),"",$C57+X$6-MIN(($D57+X$5),PERMANENT_FIELD_LABOR_HOURS)*PERMANENT_HOURLY_RATE-MAX(0,($D57+X$5)-PERMANENT_FIELD_LABOR_HOURS)*TEMP_HOURLY_RATE-FIXED_SEASON_COST)</f>
        <v>1980.9335201393</v>
      </c>
      <c r="Y57" s="53" t="n">
        <f aca="false">IF(OR($A57&gt;TOMATO_BED_CAP,$B57&gt;CARROT_BED_CAP,Y$4&gt;MESCLUN_BED_CAP,$A57+$B57+Y$4&gt;TOTAL_BEDS_AVAILABLE,($D57+Y$5)&gt;TOTAL_LABOR_HOURS_CAP,MAX(0,($D57+Y$5)-PERMANENT_FIELD_LABOR_HOURS)&gt;TEMP_HOURS_CAP),"",$C57+Y$6-MIN(($D57+Y$5),PERMANENT_FIELD_LABOR_HOURS)*PERMANENT_HOURLY_RATE-MAX(0,($D57+Y$5)-PERMANENT_FIELD_LABOR_HOURS)*TEMP_HOURLY_RATE-FIXED_SEASON_COST)</f>
        <v>2591.95658301796</v>
      </c>
      <c r="Z57" s="53" t="n">
        <f aca="false">IF(OR($A57&gt;TOMATO_BED_CAP,$B57&gt;CARROT_BED_CAP,Z$4&gt;MESCLUN_BED_CAP,$A57+$B57+Z$4&gt;TOTAL_BEDS_AVAILABLE,($D57+Z$5)&gt;TOTAL_LABOR_HOURS_CAP,MAX(0,($D57+Z$5)-PERMANENT_FIELD_LABOR_HOURS)&gt;TEMP_HOURS_CAP),"",$C57+Z$6-MIN(($D57+Z$5),PERMANENT_FIELD_LABOR_HOURS)*PERMANENT_HOURLY_RATE-MAX(0,($D57+Z$5)-PERMANENT_FIELD_LABOR_HOURS)*TEMP_HOURLY_RATE-FIXED_SEASON_COST)</f>
        <v>3175.50289732568</v>
      </c>
      <c r="AA57" s="53" t="n">
        <f aca="false">IF(OR($A57&gt;TOMATO_BED_CAP,$B57&gt;CARROT_BED_CAP,AA$4&gt;MESCLUN_BED_CAP,$A57+$B57+AA$4&gt;TOTAL_BEDS_AVAILABLE,($D57+AA$5)&gt;TOTAL_LABOR_HOURS_CAP,MAX(0,($D57+AA$5)-PERMANENT_FIELD_LABOR_HOURS)&gt;TEMP_HOURS_CAP),"",$C57+AA$6-MIN(($D57+AA$5),PERMANENT_FIELD_LABOR_HOURS)*PERMANENT_HOURLY_RATE-MAX(0,($D57+AA$5)-PERMANENT_FIELD_LABOR_HOURS)*TEMP_HOURLY_RATE-FIXED_SEASON_COST)</f>
        <v>3731.07444699461</v>
      </c>
      <c r="AB57" s="53" t="n">
        <f aca="false">IF(OR($A57&gt;TOMATO_BED_CAP,$B57&gt;CARROT_BED_CAP,AB$4&gt;MESCLUN_BED_CAP,$A57+$B57+AB$4&gt;TOTAL_BEDS_AVAILABLE,($D57+AB$5)&gt;TOTAL_LABOR_HOURS_CAP,MAX(0,($D57+AB$5)-PERMANENT_FIELD_LABOR_HOURS)&gt;TEMP_HOURS_CAP),"",$C57+AB$6-MIN(($D57+AB$5),PERMANENT_FIELD_LABOR_HOURS)*PERMANENT_HOURLY_RATE-MAX(0,($D57+AB$5)-PERMANENT_FIELD_LABOR_HOURS)*TEMP_HOURLY_RATE-FIXED_SEASON_COST)</f>
        <v>4258.16505879717</v>
      </c>
      <c r="AC57" s="53" t="n">
        <f aca="false">IF(OR($A57&gt;TOMATO_BED_CAP,$B57&gt;CARROT_BED_CAP,AC$4&gt;MESCLUN_BED_CAP,$A57+$B57+AC$4&gt;TOTAL_BEDS_AVAILABLE,($D57+AC$5)&gt;TOTAL_LABOR_HOURS_CAP,MAX(0,($D57+AC$5)-PERMANENT_FIELD_LABOR_HOURS)&gt;TEMP_HOURS_CAP),"",$C57+AC$6-MIN(($D57+AC$5),PERMANENT_FIELD_LABOR_HOURS)*PERMANENT_HOURLY_RATE-MAX(0,($D57+AC$5)-PERMANENT_FIELD_LABOR_HOURS)*TEMP_HOURLY_RATE-FIXED_SEASON_COST)</f>
        <v>4756.26027623208</v>
      </c>
      <c r="AD57" s="53" t="n">
        <f aca="false">IF(OR($A57&gt;TOMATO_BED_CAP,$B57&gt;CARROT_BED_CAP,AD$4&gt;MESCLUN_BED_CAP,$A57+$B57+AD$4&gt;TOTAL_BEDS_AVAILABLE,($D57+AD$5)&gt;TOTAL_LABOR_HOURS_CAP,MAX(0,($D57+AD$5)-PERMANENT_FIELD_LABOR_HOURS)&gt;TEMP_HOURS_CAP),"",$C57+AD$6-MIN(($D57+AD$5),PERMANENT_FIELD_LABOR_HOURS)*PERMANENT_HOURLY_RATE-MAX(0,($D57+AD$5)-PERMANENT_FIELD_LABOR_HOURS)*TEMP_HOURLY_RATE-FIXED_SEASON_COST)</f>
        <v>5224.83723153203</v>
      </c>
      <c r="AE57" s="53" t="n">
        <f aca="false">IF(OR($A57&gt;TOMATO_BED_CAP,$B57&gt;CARROT_BED_CAP,AE$4&gt;MESCLUN_BED_CAP,$A57+$B57+AE$4&gt;TOTAL_BEDS_AVAILABLE,($D57+AE$5)&gt;TOTAL_LABOR_HOURS_CAP,MAX(0,($D57+AE$5)-PERMANENT_FIELD_LABOR_HOURS)&gt;TEMP_HOURS_CAP),"",$C57+AE$6-MIN(($D57+AE$5),PERMANENT_FIELD_LABOR_HOURS)*PERMANENT_HOURLY_RATE-MAX(0,($D57+AE$5)-PERMANENT_FIELD_LABOR_HOURS)*TEMP_HOURLY_RATE-FIXED_SEASON_COST)</f>
        <v>5663.36451576594</v>
      </c>
      <c r="AF57" s="53" t="n">
        <f aca="false">IF(OR($A57&gt;TOMATO_BED_CAP,$B57&gt;CARROT_BED_CAP,AF$4&gt;MESCLUN_BED_CAP,$A57+$B57+AF$4&gt;TOTAL_BEDS_AVAILABLE,($D57+AF$5)&gt;TOTAL_LABOR_HOURS_CAP,MAX(0,($D57+AF$5)-PERMANENT_FIELD_LABOR_HOURS)&gt;TEMP_HOURS_CAP),"",$C57+AF$6-MIN(($D57+AF$5),PERMANENT_FIELD_LABOR_HOURS)*PERMANENT_HOURLY_RATE-MAX(0,($D57+AF$5)-PERMANENT_FIELD_LABOR_HOURS)*TEMP_HOURLY_RATE-FIXED_SEASON_COST)</f>
        <v>6071.3020470079</v>
      </c>
      <c r="AG57" s="53" t="n">
        <f aca="false">IF(OR($A57&gt;TOMATO_BED_CAP,$B57&gt;CARROT_BED_CAP,AG$4&gt;MESCLUN_BED_CAP,$A57+$B57+AG$4&gt;TOTAL_BEDS_AVAILABLE,($D57+AG$5)&gt;TOTAL_LABOR_HOURS_CAP,MAX(0,($D57+AG$5)-PERMANENT_FIELD_LABOR_HOURS)&gt;TEMP_HOURS_CAP),"",$C57+AG$6-MIN(($D57+AG$5),PERMANENT_FIELD_LABOR_HOURS)*PERMANENT_HOURLY_RATE-MAX(0,($D57+AG$5)-PERMANENT_FIELD_LABOR_HOURS)*TEMP_HOURLY_RATE-FIXED_SEASON_COST)</f>
        <v>6448.10093654491</v>
      </c>
      <c r="AH57" s="53" t="n">
        <f aca="false">IF(OR($A57&gt;TOMATO_BED_CAP,$B57&gt;CARROT_BED_CAP,AH$4&gt;MESCLUN_BED_CAP,$A57+$B57+AH$4&gt;TOTAL_BEDS_AVAILABLE,($D57+AH$5)&gt;TOTAL_LABOR_HOURS_CAP,MAX(0,($D57+AH$5)-PERMANENT_FIELD_LABOR_HOURS)&gt;TEMP_HOURS_CAP),"",$C57+AH$6-MIN(($D57+AH$5),PERMANENT_FIELD_LABOR_HOURS)*PERMANENT_HOURLY_RATE-MAX(0,($D57+AH$5)-PERMANENT_FIELD_LABOR_HOURS)*TEMP_HOURLY_RATE-FIXED_SEASON_COST)</f>
        <v>6793.20335309512</v>
      </c>
      <c r="AI57" s="53" t="n">
        <f aca="false">IF(OR($A57&gt;TOMATO_BED_CAP,$B57&gt;CARROT_BED_CAP,AI$4&gt;MESCLUN_BED_CAP,$A57+$B57+AI$4&gt;TOTAL_BEDS_AVAILABLE,($D57+AI$5)&gt;TOTAL_LABOR_HOURS_CAP,MAX(0,($D57+AI$5)-PERMANENT_FIELD_LABOR_HOURS)&gt;TEMP_HOURS_CAP),"",$C57+AI$6-MIN(($D57+AI$5),PERMANENT_FIELD_LABOR_HOURS)*PERMANENT_HOURLY_RATE-MAX(0,($D57+AI$5)-PERMANENT_FIELD_LABOR_HOURS)*TEMP_HOURLY_RATE-FIXED_SEASON_COST)</f>
        <v>7106.04238500738</v>
      </c>
      <c r="AJ57" s="53" t="n">
        <f aca="false">IF(OR($A57&gt;TOMATO_BED_CAP,$B57&gt;CARROT_BED_CAP,AJ$4&gt;MESCLUN_BED_CAP,$A57+$B57+AJ$4&gt;TOTAL_BEDS_AVAILABLE,($D57+AJ$5)&gt;TOTAL_LABOR_HOURS_CAP,MAX(0,($D57+AJ$5)-PERMANENT_FIELD_LABOR_HOURS)&gt;TEMP_HOURS_CAP),"",$C57+AJ$6-MIN(($D57+AJ$5),PERMANENT_FIELD_LABOR_HOURS)*PERMANENT_HOURLY_RATE-MAX(0,($D57+AJ$5)-PERMANENT_FIELD_LABOR_HOURS)*TEMP_HOURLY_RATE-FIXED_SEASON_COST)</f>
        <v>7386.04190041314</v>
      </c>
    </row>
    <row r="58" customFormat="false" ht="15" hidden="false" customHeight="false" outlineLevel="0" collapsed="false">
      <c r="A58" s="21" t="n">
        <f aca="false">INT((ROW()-ROW($A$8))/(20+1))</f>
        <v>2</v>
      </c>
      <c r="B58" s="21" t="n">
        <f aca="false">MOD(ROW()-ROW($A$8),20+1)</f>
        <v>8</v>
      </c>
      <c r="C58" s="13" t="n">
        <f aca="false">A58*(TOMATO_REVENUE_PER_BED-TOMATO_FERTILIZER_PER_BED)+B58*(CARROT_REVENUE_PER_BED-CARROT_FERTILIZER_PER_BED)</f>
        <v>29072</v>
      </c>
      <c r="D58" s="14" t="n">
        <f aca="false">INDEX(TOMATO_SCHED_LABOR_HRS,A58+1)+INDEX(CARROT_SCHED_LABOR_HRS,B58+1)</f>
        <v>510.099728724219</v>
      </c>
      <c r="E58" s="13" t="n">
        <f aca="false">IF(COUNT(F58:AJ58)=0,"",MAX(F58:AJ58))</f>
        <v>8297.4580042201</v>
      </c>
      <c r="F58" s="53" t="n">
        <f aca="false">IF(OR($A58&gt;TOMATO_BED_CAP,$B58&gt;CARROT_BED_CAP,F$4&gt;MESCLUN_BED_CAP,$A58+$B58+F$4&gt;TOTAL_BEDS_AVAILABLE,($D58+F$5)&gt;TOTAL_LABOR_HOURS_CAP,MAX(0,($D58+F$5)-PERMANENT_FIELD_LABOR_HOURS)&gt;TEMP_HOURS_CAP),"",$C58+F$6-MIN(($D58+F$5),PERMANENT_FIELD_LABOR_HOURS)*PERMANENT_HOURLY_RATE-MAX(0,($D58+F$5)-PERMANENT_FIELD_LABOR_HOURS)*TEMP_HOURLY_RATE-FIXED_SEASON_COST)</f>
        <v>-8638.66258130489</v>
      </c>
      <c r="G58" s="53" t="n">
        <f aca="false">IF(OR($A58&gt;TOMATO_BED_CAP,$B58&gt;CARROT_BED_CAP,G$4&gt;MESCLUN_BED_CAP,$A58+$B58+G$4&gt;TOTAL_BEDS_AVAILABLE,($D58+G$5)&gt;TOTAL_LABOR_HOURS_CAP,MAX(0,($D58+G$5)-PERMANENT_FIELD_LABOR_HOURS)&gt;TEMP_HOURS_CAP),"",$C58+G$6-MIN(($D58+G$5),PERMANENT_FIELD_LABOR_HOURS)*PERMANENT_HOURLY_RATE-MAX(0,($D58+G$5)-PERMANENT_FIELD_LABOR_HOURS)*TEMP_HOURLY_RATE-FIXED_SEASON_COST)</f>
        <v>-8400.59258130489</v>
      </c>
      <c r="H58" s="53" t="n">
        <f aca="false">IF(OR($A58&gt;TOMATO_BED_CAP,$B58&gt;CARROT_BED_CAP,H$4&gt;MESCLUN_BED_CAP,$A58+$B58+H$4&gt;TOTAL_BEDS_AVAILABLE,($D58+H$5)&gt;TOTAL_LABOR_HOURS_CAP,MAX(0,($D58+H$5)-PERMANENT_FIELD_LABOR_HOURS)&gt;TEMP_HOURS_CAP),"",$C58+H$6-MIN(($D58+H$5),PERMANENT_FIELD_LABOR_HOURS)*PERMANENT_HOURLY_RATE-MAX(0,($D58+H$5)-PERMANENT_FIELD_LABOR_HOURS)*TEMP_HOURLY_RATE-FIXED_SEASON_COST)</f>
        <v>-8202.07083130489</v>
      </c>
      <c r="I58" s="53" t="n">
        <f aca="false">IF(OR($A58&gt;TOMATO_BED_CAP,$B58&gt;CARROT_BED_CAP,I$4&gt;MESCLUN_BED_CAP,$A58+$B58+I$4&gt;TOTAL_BEDS_AVAILABLE,($D58+I$5)&gt;TOTAL_LABOR_HOURS_CAP,MAX(0,($D58+I$5)-PERMANENT_FIELD_LABOR_HOURS)&gt;TEMP_HOURS_CAP),"",$C58+I$6-MIN(($D58+I$5),PERMANENT_FIELD_LABOR_HOURS)*PERMANENT_HOURLY_RATE-MAX(0,($D58+I$5)-PERMANENT_FIELD_LABOR_HOURS)*TEMP_HOURLY_RATE-FIXED_SEASON_COST)</f>
        <v>-8043.83886099239</v>
      </c>
      <c r="J58" s="53" t="n">
        <f aca="false">IF(OR($A58&gt;TOMATO_BED_CAP,$B58&gt;CARROT_BED_CAP,J$4&gt;MESCLUN_BED_CAP,$A58+$B58+J$4&gt;TOTAL_BEDS_AVAILABLE,($D58+J$5)&gt;TOTAL_LABOR_HOURS_CAP,MAX(0,($D58+J$5)-PERMANENT_FIELD_LABOR_HOURS)&gt;TEMP_HOURS_CAP),"",$C58+J$6-MIN(($D58+J$5),PERMANENT_FIELD_LABOR_HOURS)*PERMANENT_HOURLY_RATE-MAX(0,($D58+J$5)-PERMANENT_FIELD_LABOR_HOURS)*TEMP_HOURLY_RATE-FIXED_SEASON_COST)</f>
        <v>-7926.65055888301</v>
      </c>
      <c r="K58" s="53" t="n">
        <f aca="false">IF(OR($A58&gt;TOMATO_BED_CAP,$B58&gt;CARROT_BED_CAP,K$4&gt;MESCLUN_BED_CAP,$A58+$B58+K$4&gt;TOTAL_BEDS_AVAILABLE,($D58+K$5)&gt;TOTAL_LABOR_HOURS_CAP,MAX(0,($D58+K$5)-PERMANENT_FIELD_LABOR_HOURS)&gt;TEMP_HOURS_CAP),"",$C58+K$6-MIN(($D58+K$5),PERMANENT_FIELD_LABOR_HOURS)*PERMANENT_HOURLY_RATE-MAX(0,($D58+K$5)-PERMANENT_FIELD_LABOR_HOURS)*TEMP_HOURLY_RATE-FIXED_SEASON_COST)</f>
        <v>-7338.8361827136</v>
      </c>
      <c r="L58" s="53" t="n">
        <f aca="false">IF(OR($A58&gt;TOMATO_BED_CAP,$B58&gt;CARROT_BED_CAP,L$4&gt;MESCLUN_BED_CAP,$A58+$B58+L$4&gt;TOTAL_BEDS_AVAILABLE,($D58+L$5)&gt;TOTAL_LABOR_HOURS_CAP,MAX(0,($D58+L$5)-PERMANENT_FIELD_LABOR_HOURS)&gt;TEMP_HOURS_CAP),"",$C58+L$6-MIN(($D58+L$5),PERMANENT_FIELD_LABOR_HOURS)*PERMANENT_HOURLY_RATE-MAX(0,($D58+L$5)-PERMANENT_FIELD_LABOR_HOURS)*TEMP_HOURLY_RATE-FIXED_SEASON_COST)</f>
        <v>-6412.44173450675</v>
      </c>
      <c r="M58" s="53" t="n">
        <f aca="false">IF(OR($A58&gt;TOMATO_BED_CAP,$B58&gt;CARROT_BED_CAP,M$4&gt;MESCLUN_BED_CAP,$A58+$B58+M$4&gt;TOTAL_BEDS_AVAILABLE,($D58+M$5)&gt;TOTAL_LABOR_HOURS_CAP,MAX(0,($D58+M$5)-PERMANENT_FIELD_LABOR_HOURS)&gt;TEMP_HOURS_CAP),"",$C58+M$6-MIN(($D58+M$5),PERMANENT_FIELD_LABOR_HOURS)*PERMANENT_HOURLY_RATE-MAX(0,($D58+M$5)-PERMANENT_FIELD_LABOR_HOURS)*TEMP_HOURLY_RATE-FIXED_SEASON_COST)</f>
        <v>-5507.73800245534</v>
      </c>
      <c r="N58" s="53" t="n">
        <f aca="false">IF(OR($A58&gt;TOMATO_BED_CAP,$B58&gt;CARROT_BED_CAP,N$4&gt;MESCLUN_BED_CAP,$A58+$B58+N$4&gt;TOTAL_BEDS_AVAILABLE,($D58+N$5)&gt;TOTAL_LABOR_HOURS_CAP,MAX(0,($D58+N$5)-PERMANENT_FIELD_LABOR_HOURS)&gt;TEMP_HOURS_CAP),"",$C58+N$6-MIN(($D58+N$5),PERMANENT_FIELD_LABOR_HOURS)*PERMANENT_HOURLY_RATE-MAX(0,($D58+N$5)-PERMANENT_FIELD_LABOR_HOURS)*TEMP_HOURLY_RATE-FIXED_SEASON_COST)</f>
        <v>-4625.1276285958</v>
      </c>
      <c r="O58" s="53" t="n">
        <f aca="false">IF(OR($A58&gt;TOMATO_BED_CAP,$B58&gt;CARROT_BED_CAP,O$4&gt;MESCLUN_BED_CAP,$A58+$B58+O$4&gt;TOTAL_BEDS_AVAILABLE,($D58+O$5)&gt;TOTAL_LABOR_HOURS_CAP,MAX(0,($D58+O$5)-PERMANENT_FIELD_LABOR_HOURS)&gt;TEMP_HOURS_CAP),"",$C58+O$6-MIN(($D58+O$5),PERMANENT_FIELD_LABOR_HOURS)*PERMANENT_HOURLY_RATE-MAX(0,($D58+O$5)-PERMANENT_FIELD_LABOR_HOURS)*TEMP_HOURLY_RATE-FIXED_SEASON_COST)</f>
        <v>-3765.01993184104</v>
      </c>
      <c r="P58" s="53" t="n">
        <f aca="false">IF(OR($A58&gt;TOMATO_BED_CAP,$B58&gt;CARROT_BED_CAP,P$4&gt;MESCLUN_BED_CAP,$A58+$B58+P$4&gt;TOTAL_BEDS_AVAILABLE,($D58+P$5)&gt;TOTAL_LABOR_HOURS_CAP,MAX(0,($D58+P$5)-PERMANENT_FIELD_LABOR_HOURS)&gt;TEMP_HOURS_CAP),"",$C58+P$6-MIN(($D58+P$5),PERMANENT_FIELD_LABOR_HOURS)*PERMANENT_HOURLY_RATE-MAX(0,($D58+P$5)-PERMANENT_FIELD_LABOR_HOURS)*TEMP_HOURLY_RATE-FIXED_SEASON_COST)</f>
        <v>-2927.83101198962</v>
      </c>
      <c r="Q58" s="53" t="n">
        <f aca="false">IF(OR($A58&gt;TOMATO_BED_CAP,$B58&gt;CARROT_BED_CAP,Q$4&gt;MESCLUN_BED_CAP,$A58+$B58+Q$4&gt;TOTAL_BEDS_AVAILABLE,($D58+Q$5)&gt;TOTAL_LABOR_HOURS_CAP,MAX(0,($D58+Q$5)-PERMANENT_FIELD_LABOR_HOURS)&gt;TEMP_HOURS_CAP),"",$C58+Q$6-MIN(($D58+Q$5),PERMANENT_FIELD_LABOR_HOURS)*PERMANENT_HOURLY_RATE-MAX(0,($D58+Q$5)-PERMANENT_FIELD_LABOR_HOURS)*TEMP_HOURLY_RATE-FIXED_SEASON_COST)</f>
        <v>-2113.98385529172</v>
      </c>
      <c r="R58" s="53" t="n">
        <f aca="false">IF(OR($A58&gt;TOMATO_BED_CAP,$B58&gt;CARROT_BED_CAP,R$4&gt;MESCLUN_BED_CAP,$A58+$B58+R$4&gt;TOTAL_BEDS_AVAILABLE,($D58+R$5)&gt;TOTAL_LABOR_HOURS_CAP,MAX(0,($D58+R$5)-PERMANENT_FIELD_LABOR_HOURS)&gt;TEMP_HOURS_CAP),"",$C58+R$6-MIN(($D58+R$5),PERMANENT_FIELD_LABOR_HOURS)*PERMANENT_HOURLY_RATE-MAX(0,($D58+R$5)-PERMANENT_FIELD_LABOR_HOURS)*TEMP_HOURLY_RATE-FIXED_SEASON_COST)</f>
        <v>-1323.90844159492</v>
      </c>
      <c r="S58" s="53" t="n">
        <f aca="false">IF(OR($A58&gt;TOMATO_BED_CAP,$B58&gt;CARROT_BED_CAP,S$4&gt;MESCLUN_BED_CAP,$A58+$B58+S$4&gt;TOTAL_BEDS_AVAILABLE,($D58+S$5)&gt;TOTAL_LABOR_HOURS_CAP,MAX(0,($D58+S$5)-PERMANENT_FIELD_LABOR_HOURS)&gt;TEMP_HOURS_CAP),"",$C58+S$6-MIN(($D58+S$5),PERMANENT_FIELD_LABOR_HOURS)*PERMANENT_HOURLY_RATE-MAX(0,($D58+S$5)-PERMANENT_FIELD_LABOR_HOURS)*TEMP_HOURLY_RATE-FIXED_SEASON_COST)</f>
        <v>-558.041853092465</v>
      </c>
      <c r="T58" s="53" t="n">
        <f aca="false">IF(OR($A58&gt;TOMATO_BED_CAP,$B58&gt;CARROT_BED_CAP,T$4&gt;MESCLUN_BED_CAP,$A58+$B58+T$4&gt;TOTAL_BEDS_AVAILABLE,($D58+T$5)&gt;TOTAL_LABOR_HOURS_CAP,MAX(0,($D58+T$5)-PERMANENT_FIELD_LABOR_HOURS)&gt;TEMP_HOURS_CAP),"",$C58+T$6-MIN(($D58+T$5),PERMANENT_FIELD_LABOR_HOURS)*PERMANENT_HOURLY_RATE-MAX(0,($D58+T$5)-PERMANENT_FIELD_LABOR_HOURS)*TEMP_HOURLY_RATE-FIXED_SEASON_COST)</f>
        <v>183.171615302381</v>
      </c>
      <c r="U58" s="53" t="n">
        <f aca="false">IF(OR($A58&gt;TOMATO_BED_CAP,$B58&gt;CARROT_BED_CAP,U$4&gt;MESCLUN_BED_CAP,$A58+$B58+U$4&gt;TOTAL_BEDS_AVAILABLE,($D58+U$5)&gt;TOTAL_LABOR_HOURS_CAP,MAX(0,($D58+U$5)-PERMANENT_FIELD_LABOR_HOURS)&gt;TEMP_HOURS_CAP),"",$C58+U$6-MIN(($D58+U$5),PERMANENT_FIELD_LABOR_HOURS)*PERMANENT_HOURLY_RATE-MAX(0,($D58+U$5)-PERMANENT_FIELD_LABOR_HOURS)*TEMP_HOURLY_RATE-FIXED_SEASON_COST)</f>
        <v>899.280343932471</v>
      </c>
      <c r="V58" s="53" t="n">
        <f aca="false">IF(OR($A58&gt;TOMATO_BED_CAP,$B58&gt;CARROT_BED_CAP,V$4&gt;MESCLUN_BED_CAP,$A58+$B58+V$4&gt;TOTAL_BEDS_AVAILABLE,($D58+V$5)&gt;TOTAL_LABOR_HOURS_CAP,MAX(0,($D58+V$5)-PERMANENT_FIELD_LABOR_HOURS)&gt;TEMP_HOURS_CAP),"",$C58+V$6-MIN(($D58+V$5),PERMANENT_FIELD_LABOR_HOURS)*PERMANENT_HOURLY_RATE-MAX(0,($D58+V$5)-PERMANENT_FIELD_LABOR_HOURS)*TEMP_HOURLY_RATE-FIXED_SEASON_COST)</f>
        <v>1589.82527469927</v>
      </c>
      <c r="W58" s="53" t="n">
        <f aca="false">IF(OR($A58&gt;TOMATO_BED_CAP,$B58&gt;CARROT_BED_CAP,W$4&gt;MESCLUN_BED_CAP,$A58+$B58+W$4&gt;TOTAL_BEDS_AVAILABLE,($D58+W$5)&gt;TOTAL_LABOR_HOURS_CAP,MAX(0,($D58+W$5)-PERMANENT_FIELD_LABOR_HOURS)&gt;TEMP_HOURS_CAP),"",$C58+W$6-MIN(($D58+W$5),PERMANENT_FIELD_LABOR_HOURS)*PERMANENT_HOURLY_RATE-MAX(0,($D58+W$5)-PERMANENT_FIELD_LABOR_HOURS)*TEMP_HOURLY_RATE-FIXED_SEASON_COST)</f>
        <v>2254.33979566733</v>
      </c>
      <c r="X58" s="53" t="n">
        <f aca="false">IF(OR($A58&gt;TOMATO_BED_CAP,$B58&gt;CARROT_BED_CAP,X$4&gt;MESCLUN_BED_CAP,$A58+$B58+X$4&gt;TOTAL_BEDS_AVAILABLE,($D58+X$5)&gt;TOTAL_LABOR_HOURS_CAP,MAX(0,($D58+X$5)-PERMANENT_FIELD_LABOR_HOURS)&gt;TEMP_HOURS_CAP),"",$C58+X$6-MIN(($D58+X$5),PERMANENT_FIELD_LABOR_HOURS)*PERMANENT_HOURLY_RATE-MAX(0,($D58+X$5)-PERMANENT_FIELD_LABOR_HOURS)*TEMP_HOURLY_RATE-FIXED_SEASON_COST)</f>
        <v>2892.34962394625</v>
      </c>
      <c r="Y58" s="53" t="n">
        <f aca="false">IF(OR($A58&gt;TOMATO_BED_CAP,$B58&gt;CARROT_BED_CAP,Y$4&gt;MESCLUN_BED_CAP,$A58+$B58+Y$4&gt;TOTAL_BEDS_AVAILABLE,($D58+Y$5)&gt;TOTAL_LABOR_HOURS_CAP,MAX(0,($D58+Y$5)-PERMANENT_FIELD_LABOR_HOURS)&gt;TEMP_HOURS_CAP),"",$C58+Y$6-MIN(($D58+Y$5),PERMANENT_FIELD_LABOR_HOURS)*PERMANENT_HOURLY_RATE-MAX(0,($D58+Y$5)-PERMANENT_FIELD_LABOR_HOURS)*TEMP_HOURLY_RATE-FIXED_SEASON_COST)</f>
        <v>3503.37268682492</v>
      </c>
      <c r="Z58" s="53" t="n">
        <f aca="false">IF(OR($A58&gt;TOMATO_BED_CAP,$B58&gt;CARROT_BED_CAP,Z$4&gt;MESCLUN_BED_CAP,$A58+$B58+Z$4&gt;TOTAL_BEDS_AVAILABLE,($D58+Z$5)&gt;TOTAL_LABOR_HOURS_CAP,MAX(0,($D58+Z$5)-PERMANENT_FIELD_LABOR_HOURS)&gt;TEMP_HOURS_CAP),"",$C58+Z$6-MIN(($D58+Z$5),PERMANENT_FIELD_LABOR_HOURS)*PERMANENT_HOURLY_RATE-MAX(0,($D58+Z$5)-PERMANENT_FIELD_LABOR_HOURS)*TEMP_HOURLY_RATE-FIXED_SEASON_COST)</f>
        <v>4086.91900113264</v>
      </c>
      <c r="AA58" s="53" t="n">
        <f aca="false">IF(OR($A58&gt;TOMATO_BED_CAP,$B58&gt;CARROT_BED_CAP,AA$4&gt;MESCLUN_BED_CAP,$A58+$B58+AA$4&gt;TOTAL_BEDS_AVAILABLE,($D58+AA$5)&gt;TOTAL_LABOR_HOURS_CAP,MAX(0,($D58+AA$5)-PERMANENT_FIELD_LABOR_HOURS)&gt;TEMP_HOURS_CAP),"",$C58+AA$6-MIN(($D58+AA$5),PERMANENT_FIELD_LABOR_HOURS)*PERMANENT_HOURLY_RATE-MAX(0,($D58+AA$5)-PERMANENT_FIELD_LABOR_HOURS)*TEMP_HOURLY_RATE-FIXED_SEASON_COST)</f>
        <v>4642.49055080157</v>
      </c>
      <c r="AB58" s="53" t="n">
        <f aca="false">IF(OR($A58&gt;TOMATO_BED_CAP,$B58&gt;CARROT_BED_CAP,AB$4&gt;MESCLUN_BED_CAP,$A58+$B58+AB$4&gt;TOTAL_BEDS_AVAILABLE,($D58+AB$5)&gt;TOTAL_LABOR_HOURS_CAP,MAX(0,($D58+AB$5)-PERMANENT_FIELD_LABOR_HOURS)&gt;TEMP_HOURS_CAP),"",$C58+AB$6-MIN(($D58+AB$5),PERMANENT_FIELD_LABOR_HOURS)*PERMANENT_HOURLY_RATE-MAX(0,($D58+AB$5)-PERMANENT_FIELD_LABOR_HOURS)*TEMP_HOURLY_RATE-FIXED_SEASON_COST)</f>
        <v>5169.58116260414</v>
      </c>
      <c r="AC58" s="53" t="n">
        <f aca="false">IF(OR($A58&gt;TOMATO_BED_CAP,$B58&gt;CARROT_BED_CAP,AC$4&gt;MESCLUN_BED_CAP,$A58+$B58+AC$4&gt;TOTAL_BEDS_AVAILABLE,($D58+AC$5)&gt;TOTAL_LABOR_HOURS_CAP,MAX(0,($D58+AC$5)-PERMANENT_FIELD_LABOR_HOURS)&gt;TEMP_HOURS_CAP),"",$C58+AC$6-MIN(($D58+AC$5),PERMANENT_FIELD_LABOR_HOURS)*PERMANENT_HOURLY_RATE-MAX(0,($D58+AC$5)-PERMANENT_FIELD_LABOR_HOURS)*TEMP_HOURLY_RATE-FIXED_SEASON_COST)</f>
        <v>5667.67638003904</v>
      </c>
      <c r="AD58" s="53" t="n">
        <f aca="false">IF(OR($A58&gt;TOMATO_BED_CAP,$B58&gt;CARROT_BED_CAP,AD$4&gt;MESCLUN_BED_CAP,$A58+$B58+AD$4&gt;TOTAL_BEDS_AVAILABLE,($D58+AD$5)&gt;TOTAL_LABOR_HOURS_CAP,MAX(0,($D58+AD$5)-PERMANENT_FIELD_LABOR_HOURS)&gt;TEMP_HOURS_CAP),"",$C58+AD$6-MIN(($D58+AD$5),PERMANENT_FIELD_LABOR_HOURS)*PERMANENT_HOURLY_RATE-MAX(0,($D58+AD$5)-PERMANENT_FIELD_LABOR_HOURS)*TEMP_HOURLY_RATE-FIXED_SEASON_COST)</f>
        <v>6136.253335339</v>
      </c>
      <c r="AE58" s="53" t="n">
        <f aca="false">IF(OR($A58&gt;TOMATO_BED_CAP,$B58&gt;CARROT_BED_CAP,AE$4&gt;MESCLUN_BED_CAP,$A58+$B58+AE$4&gt;TOTAL_BEDS_AVAILABLE,($D58+AE$5)&gt;TOTAL_LABOR_HOURS_CAP,MAX(0,($D58+AE$5)-PERMANENT_FIELD_LABOR_HOURS)&gt;TEMP_HOURS_CAP),"",$C58+AE$6-MIN(($D58+AE$5),PERMANENT_FIELD_LABOR_HOURS)*PERMANENT_HOURLY_RATE-MAX(0,($D58+AE$5)-PERMANENT_FIELD_LABOR_HOURS)*TEMP_HOURLY_RATE-FIXED_SEASON_COST)</f>
        <v>6574.7806195729</v>
      </c>
      <c r="AF58" s="53" t="n">
        <f aca="false">IF(OR($A58&gt;TOMATO_BED_CAP,$B58&gt;CARROT_BED_CAP,AF$4&gt;MESCLUN_BED_CAP,$A58+$B58+AF$4&gt;TOTAL_BEDS_AVAILABLE,($D58+AF$5)&gt;TOTAL_LABOR_HOURS_CAP,MAX(0,($D58+AF$5)-PERMANENT_FIELD_LABOR_HOURS)&gt;TEMP_HOURS_CAP),"",$C58+AF$6-MIN(($D58+AF$5),PERMANENT_FIELD_LABOR_HOURS)*PERMANENT_HOURLY_RATE-MAX(0,($D58+AF$5)-PERMANENT_FIELD_LABOR_HOURS)*TEMP_HOURLY_RATE-FIXED_SEASON_COST)</f>
        <v>6982.71815081485</v>
      </c>
      <c r="AG58" s="53" t="n">
        <f aca="false">IF(OR($A58&gt;TOMATO_BED_CAP,$B58&gt;CARROT_BED_CAP,AG$4&gt;MESCLUN_BED_CAP,$A58+$B58+AG$4&gt;TOTAL_BEDS_AVAILABLE,($D58+AG$5)&gt;TOTAL_LABOR_HOURS_CAP,MAX(0,($D58+AG$5)-PERMANENT_FIELD_LABOR_HOURS)&gt;TEMP_HOURS_CAP),"",$C58+AG$6-MIN(($D58+AG$5),PERMANENT_FIELD_LABOR_HOURS)*PERMANENT_HOURLY_RATE-MAX(0,($D58+AG$5)-PERMANENT_FIELD_LABOR_HOURS)*TEMP_HOURLY_RATE-FIXED_SEASON_COST)</f>
        <v>7359.51704035186</v>
      </c>
      <c r="AH58" s="53" t="n">
        <f aca="false">IF(OR($A58&gt;TOMATO_BED_CAP,$B58&gt;CARROT_BED_CAP,AH$4&gt;MESCLUN_BED_CAP,$A58+$B58+AH$4&gt;TOTAL_BEDS_AVAILABLE,($D58+AH$5)&gt;TOTAL_LABOR_HOURS_CAP,MAX(0,($D58+AH$5)-PERMANENT_FIELD_LABOR_HOURS)&gt;TEMP_HOURS_CAP),"",$C58+AH$6-MIN(($D58+AH$5),PERMANENT_FIELD_LABOR_HOURS)*PERMANENT_HOURLY_RATE-MAX(0,($D58+AH$5)-PERMANENT_FIELD_LABOR_HOURS)*TEMP_HOURLY_RATE-FIXED_SEASON_COST)</f>
        <v>7704.61945690209</v>
      </c>
      <c r="AI58" s="53" t="n">
        <f aca="false">IF(OR($A58&gt;TOMATO_BED_CAP,$B58&gt;CARROT_BED_CAP,AI$4&gt;MESCLUN_BED_CAP,$A58+$B58+AI$4&gt;TOTAL_BEDS_AVAILABLE,($D58+AI$5)&gt;TOTAL_LABOR_HOURS_CAP,MAX(0,($D58+AI$5)-PERMANENT_FIELD_LABOR_HOURS)&gt;TEMP_HOURS_CAP),"",$C58+AI$6-MIN(($D58+AI$5),PERMANENT_FIELD_LABOR_HOURS)*PERMANENT_HOURLY_RATE-MAX(0,($D58+AI$5)-PERMANENT_FIELD_LABOR_HOURS)*TEMP_HOURLY_RATE-FIXED_SEASON_COST)</f>
        <v>8017.45848881434</v>
      </c>
      <c r="AJ58" s="53" t="n">
        <f aca="false">IF(OR($A58&gt;TOMATO_BED_CAP,$B58&gt;CARROT_BED_CAP,AJ$4&gt;MESCLUN_BED_CAP,$A58+$B58+AJ$4&gt;TOTAL_BEDS_AVAILABLE,($D58+AJ$5)&gt;TOTAL_LABOR_HOURS_CAP,MAX(0,($D58+AJ$5)-PERMANENT_FIELD_LABOR_HOURS)&gt;TEMP_HOURS_CAP),"",$C58+AJ$6-MIN(($D58+AJ$5),PERMANENT_FIELD_LABOR_HOURS)*PERMANENT_HOURLY_RATE-MAX(0,($D58+AJ$5)-PERMANENT_FIELD_LABOR_HOURS)*TEMP_HOURLY_RATE-FIXED_SEASON_COST)</f>
        <v>8297.4580042201</v>
      </c>
    </row>
    <row r="59" customFormat="false" ht="15" hidden="false" customHeight="false" outlineLevel="0" collapsed="false">
      <c r="A59" s="21" t="n">
        <f aca="false">INT((ROW()-ROW($A$8))/(20+1))</f>
        <v>2</v>
      </c>
      <c r="B59" s="21" t="n">
        <f aca="false">MOD(ROW()-ROW($A$8),20+1)</f>
        <v>9</v>
      </c>
      <c r="C59" s="13" t="n">
        <f aca="false">A59*(TOMATO_REVENUE_PER_BED-TOMATO_FERTILIZER_PER_BED)+B59*(CARROT_REVENUE_PER_BED-CARROT_FERTILIZER_PER_BED)</f>
        <v>30726</v>
      </c>
      <c r="D59" s="14" t="n">
        <f aca="false">INDEX(TOMATO_SCHED_LABOR_HRS,A59+1)+INDEX(CARROT_SCHED_LABOR_HRS,B59+1)</f>
        <v>554.858124685115</v>
      </c>
      <c r="E59" s="13" t="n">
        <f aca="false">IF(COUNT(F59:AJ59)=0,"",MAX(F59:AJ59))</f>
        <v>9174.45225033894</v>
      </c>
      <c r="F59" s="53" t="n">
        <f aca="false">IF(OR($A59&gt;TOMATO_BED_CAP,$B59&gt;CARROT_BED_CAP,F$4&gt;MESCLUN_BED_CAP,$A59+$B59+F$4&gt;TOTAL_BEDS_AVAILABLE,($D59+F$5)&gt;TOTAL_LABOR_HOURS_CAP,MAX(0,($D59+F$5)-PERMANENT_FIELD_LABOR_HOURS)&gt;TEMP_HOURS_CAP),"",$C59+F$6-MIN(($D59+F$5),PERMANENT_FIELD_LABOR_HOURS)*PERMANENT_HOURLY_RATE-MAX(0,($D59+F$5)-PERMANENT_FIELD_LABOR_HOURS)*TEMP_HOURLY_RATE-FIXED_SEASON_COST)</f>
        <v>-8538.6740890672</v>
      </c>
      <c r="G59" s="53" t="n">
        <f aca="false">IF(OR($A59&gt;TOMATO_BED_CAP,$B59&gt;CARROT_BED_CAP,G$4&gt;MESCLUN_BED_CAP,$A59+$B59+G$4&gt;TOTAL_BEDS_AVAILABLE,($D59+G$5)&gt;TOTAL_LABOR_HOURS_CAP,MAX(0,($D59+G$5)-PERMANENT_FIELD_LABOR_HOURS)&gt;TEMP_HOURS_CAP),"",$C59+G$6-MIN(($D59+G$5),PERMANENT_FIELD_LABOR_HOURS)*PERMANENT_HOURLY_RATE-MAX(0,($D59+G$5)-PERMANENT_FIELD_LABOR_HOURS)*TEMP_HOURLY_RATE-FIXED_SEASON_COST)</f>
        <v>-8300.6040890672</v>
      </c>
      <c r="H59" s="53" t="n">
        <f aca="false">IF(OR($A59&gt;TOMATO_BED_CAP,$B59&gt;CARROT_BED_CAP,H$4&gt;MESCLUN_BED_CAP,$A59+$B59+H$4&gt;TOTAL_BEDS_AVAILABLE,($D59+H$5)&gt;TOTAL_LABOR_HOURS_CAP,MAX(0,($D59+H$5)-PERMANENT_FIELD_LABOR_HOURS)&gt;TEMP_HOURS_CAP),"",$C59+H$6-MIN(($D59+H$5),PERMANENT_FIELD_LABOR_HOURS)*PERMANENT_HOURLY_RATE-MAX(0,($D59+H$5)-PERMANENT_FIELD_LABOR_HOURS)*TEMP_HOURLY_RATE-FIXED_SEASON_COST)</f>
        <v>-8102.0823390672</v>
      </c>
      <c r="I59" s="53" t="n">
        <f aca="false">IF(OR($A59&gt;TOMATO_BED_CAP,$B59&gt;CARROT_BED_CAP,I$4&gt;MESCLUN_BED_CAP,$A59+$B59+I$4&gt;TOTAL_BEDS_AVAILABLE,($D59+I$5)&gt;TOTAL_LABOR_HOURS_CAP,MAX(0,($D59+I$5)-PERMANENT_FIELD_LABOR_HOURS)&gt;TEMP_HOURS_CAP),"",$C59+I$6-MIN(($D59+I$5),PERMANENT_FIELD_LABOR_HOURS)*PERMANENT_HOURLY_RATE-MAX(0,($D59+I$5)-PERMANENT_FIELD_LABOR_HOURS)*TEMP_HOURLY_RATE-FIXED_SEASON_COST)</f>
        <v>-7943.8503687547</v>
      </c>
      <c r="J59" s="53" t="n">
        <f aca="false">IF(OR($A59&gt;TOMATO_BED_CAP,$B59&gt;CARROT_BED_CAP,J$4&gt;MESCLUN_BED_CAP,$A59+$B59+J$4&gt;TOTAL_BEDS_AVAILABLE,($D59+J$5)&gt;TOTAL_LABOR_HOURS_CAP,MAX(0,($D59+J$5)-PERMANENT_FIELD_LABOR_HOURS)&gt;TEMP_HOURS_CAP),"",$C59+J$6-MIN(($D59+J$5),PERMANENT_FIELD_LABOR_HOURS)*PERMANENT_HOURLY_RATE-MAX(0,($D59+J$5)-PERMANENT_FIELD_LABOR_HOURS)*TEMP_HOURLY_RATE-FIXED_SEASON_COST)</f>
        <v>-7409.53103332266</v>
      </c>
      <c r="K59" s="53" t="n">
        <f aca="false">IF(OR($A59&gt;TOMATO_BED_CAP,$B59&gt;CARROT_BED_CAP,K$4&gt;MESCLUN_BED_CAP,$A59+$B59+K$4&gt;TOTAL_BEDS_AVAILABLE,($D59+K$5)&gt;TOTAL_LABOR_HOURS_CAP,MAX(0,($D59+K$5)-PERMANENT_FIELD_LABOR_HOURS)&gt;TEMP_HOURS_CAP),"",$C59+K$6-MIN(($D59+K$5),PERMANENT_FIELD_LABOR_HOURS)*PERMANENT_HOURLY_RATE-MAX(0,($D59+K$5)-PERMANENT_FIELD_LABOR_HOURS)*TEMP_HOURLY_RATE-FIXED_SEASON_COST)</f>
        <v>-6461.84193659476</v>
      </c>
      <c r="L59" s="53" t="n">
        <f aca="false">IF(OR($A59&gt;TOMATO_BED_CAP,$B59&gt;CARROT_BED_CAP,L$4&gt;MESCLUN_BED_CAP,$A59+$B59+L$4&gt;TOTAL_BEDS_AVAILABLE,($D59+L$5)&gt;TOTAL_LABOR_HOURS_CAP,MAX(0,($D59+L$5)-PERMANENT_FIELD_LABOR_HOURS)&gt;TEMP_HOURS_CAP),"",$C59+L$6-MIN(($D59+L$5),PERMANENT_FIELD_LABOR_HOURS)*PERMANENT_HOURLY_RATE-MAX(0,($D59+L$5)-PERMANENT_FIELD_LABOR_HOURS)*TEMP_HOURLY_RATE-FIXED_SEASON_COST)</f>
        <v>-5535.4474883879</v>
      </c>
      <c r="M59" s="53" t="n">
        <f aca="false">IF(OR($A59&gt;TOMATO_BED_CAP,$B59&gt;CARROT_BED_CAP,M$4&gt;MESCLUN_BED_CAP,$A59+$B59+M$4&gt;TOTAL_BEDS_AVAILABLE,($D59+M$5)&gt;TOTAL_LABOR_HOURS_CAP,MAX(0,($D59+M$5)-PERMANENT_FIELD_LABOR_HOURS)&gt;TEMP_HOURS_CAP),"",$C59+M$6-MIN(($D59+M$5),PERMANENT_FIELD_LABOR_HOURS)*PERMANENT_HOURLY_RATE-MAX(0,($D59+M$5)-PERMANENT_FIELD_LABOR_HOURS)*TEMP_HOURLY_RATE-FIXED_SEASON_COST)</f>
        <v>-4630.7437563365</v>
      </c>
      <c r="N59" s="53" t="n">
        <f aca="false">IF(OR($A59&gt;TOMATO_BED_CAP,$B59&gt;CARROT_BED_CAP,N$4&gt;MESCLUN_BED_CAP,$A59+$B59+N$4&gt;TOTAL_BEDS_AVAILABLE,($D59+N$5)&gt;TOTAL_LABOR_HOURS_CAP,MAX(0,($D59+N$5)-PERMANENT_FIELD_LABOR_HOURS)&gt;TEMP_HOURS_CAP),"",$C59+N$6-MIN(($D59+N$5),PERMANENT_FIELD_LABOR_HOURS)*PERMANENT_HOURLY_RATE-MAX(0,($D59+N$5)-PERMANENT_FIELD_LABOR_HOURS)*TEMP_HOURLY_RATE-FIXED_SEASON_COST)</f>
        <v>-3748.13338247695</v>
      </c>
      <c r="O59" s="53" t="n">
        <f aca="false">IF(OR($A59&gt;TOMATO_BED_CAP,$B59&gt;CARROT_BED_CAP,O$4&gt;MESCLUN_BED_CAP,$A59+$B59+O$4&gt;TOTAL_BEDS_AVAILABLE,($D59+O$5)&gt;TOTAL_LABOR_HOURS_CAP,MAX(0,($D59+O$5)-PERMANENT_FIELD_LABOR_HOURS)&gt;TEMP_HOURS_CAP),"",$C59+O$6-MIN(($D59+O$5),PERMANENT_FIELD_LABOR_HOURS)*PERMANENT_HOURLY_RATE-MAX(0,($D59+O$5)-PERMANENT_FIELD_LABOR_HOURS)*TEMP_HOURLY_RATE-FIXED_SEASON_COST)</f>
        <v>-2888.0256857222</v>
      </c>
      <c r="P59" s="53" t="n">
        <f aca="false">IF(OR($A59&gt;TOMATO_BED_CAP,$B59&gt;CARROT_BED_CAP,P$4&gt;MESCLUN_BED_CAP,$A59+$B59+P$4&gt;TOTAL_BEDS_AVAILABLE,($D59+P$5)&gt;TOTAL_LABOR_HOURS_CAP,MAX(0,($D59+P$5)-PERMANENT_FIELD_LABOR_HOURS)&gt;TEMP_HOURS_CAP),"",$C59+P$6-MIN(($D59+P$5),PERMANENT_FIELD_LABOR_HOURS)*PERMANENT_HOURLY_RATE-MAX(0,($D59+P$5)-PERMANENT_FIELD_LABOR_HOURS)*TEMP_HOURLY_RATE-FIXED_SEASON_COST)</f>
        <v>-2050.83676587077</v>
      </c>
      <c r="Q59" s="53" t="n">
        <f aca="false">IF(OR($A59&gt;TOMATO_BED_CAP,$B59&gt;CARROT_BED_CAP,Q$4&gt;MESCLUN_BED_CAP,$A59+$B59+Q$4&gt;TOTAL_BEDS_AVAILABLE,($D59+Q$5)&gt;TOTAL_LABOR_HOURS_CAP,MAX(0,($D59+Q$5)-PERMANENT_FIELD_LABOR_HOURS)&gt;TEMP_HOURS_CAP),"",$C59+Q$6-MIN(($D59+Q$5),PERMANENT_FIELD_LABOR_HOURS)*PERMANENT_HOURLY_RATE-MAX(0,($D59+Q$5)-PERMANENT_FIELD_LABOR_HOURS)*TEMP_HOURLY_RATE-FIXED_SEASON_COST)</f>
        <v>-1236.98960917287</v>
      </c>
      <c r="R59" s="53" t="n">
        <f aca="false">IF(OR($A59&gt;TOMATO_BED_CAP,$B59&gt;CARROT_BED_CAP,R$4&gt;MESCLUN_BED_CAP,$A59+$B59+R$4&gt;TOTAL_BEDS_AVAILABLE,($D59+R$5)&gt;TOTAL_LABOR_HOURS_CAP,MAX(0,($D59+R$5)-PERMANENT_FIELD_LABOR_HOURS)&gt;TEMP_HOURS_CAP),"",$C59+R$6-MIN(($D59+R$5),PERMANENT_FIELD_LABOR_HOURS)*PERMANENT_HOURLY_RATE-MAX(0,($D59+R$5)-PERMANENT_FIELD_LABOR_HOURS)*TEMP_HOURLY_RATE-FIXED_SEASON_COST)</f>
        <v>-446.914195476071</v>
      </c>
      <c r="S59" s="53" t="n">
        <f aca="false">IF(OR($A59&gt;TOMATO_BED_CAP,$B59&gt;CARROT_BED_CAP,S$4&gt;MESCLUN_BED_CAP,$A59+$B59+S$4&gt;TOTAL_BEDS_AVAILABLE,($D59+S$5)&gt;TOTAL_LABOR_HOURS_CAP,MAX(0,($D59+S$5)-PERMANENT_FIELD_LABOR_HOURS)&gt;TEMP_HOURS_CAP),"",$C59+S$6-MIN(($D59+S$5),PERMANENT_FIELD_LABOR_HOURS)*PERMANENT_HOURLY_RATE-MAX(0,($D59+S$5)-PERMANENT_FIELD_LABOR_HOURS)*TEMP_HOURLY_RATE-FIXED_SEASON_COST)</f>
        <v>318.952393026375</v>
      </c>
      <c r="T59" s="53" t="n">
        <f aca="false">IF(OR($A59&gt;TOMATO_BED_CAP,$B59&gt;CARROT_BED_CAP,T$4&gt;MESCLUN_BED_CAP,$A59+$B59+T$4&gt;TOTAL_BEDS_AVAILABLE,($D59+T$5)&gt;TOTAL_LABOR_HOURS_CAP,MAX(0,($D59+T$5)-PERMANENT_FIELD_LABOR_HOURS)&gt;TEMP_HOURS_CAP),"",$C59+T$6-MIN(($D59+T$5),PERMANENT_FIELD_LABOR_HOURS)*PERMANENT_HOURLY_RATE-MAX(0,($D59+T$5)-PERMANENT_FIELD_LABOR_HOURS)*TEMP_HOURLY_RATE-FIXED_SEASON_COST)</f>
        <v>1060.16586142122</v>
      </c>
      <c r="U59" s="53" t="n">
        <f aca="false">IF(OR($A59&gt;TOMATO_BED_CAP,$B59&gt;CARROT_BED_CAP,U$4&gt;MESCLUN_BED_CAP,$A59+$B59+U$4&gt;TOTAL_BEDS_AVAILABLE,($D59+U$5)&gt;TOTAL_LABOR_HOURS_CAP,MAX(0,($D59+U$5)-PERMANENT_FIELD_LABOR_HOURS)&gt;TEMP_HOURS_CAP),"",$C59+U$6-MIN(($D59+U$5),PERMANENT_FIELD_LABOR_HOURS)*PERMANENT_HOURLY_RATE-MAX(0,($D59+U$5)-PERMANENT_FIELD_LABOR_HOURS)*TEMP_HOURLY_RATE-FIXED_SEASON_COST)</f>
        <v>1776.27459005132</v>
      </c>
      <c r="V59" s="53" t="n">
        <f aca="false">IF(OR($A59&gt;TOMATO_BED_CAP,$B59&gt;CARROT_BED_CAP,V$4&gt;MESCLUN_BED_CAP,$A59+$B59+V$4&gt;TOTAL_BEDS_AVAILABLE,($D59+V$5)&gt;TOTAL_LABOR_HOURS_CAP,MAX(0,($D59+V$5)-PERMANENT_FIELD_LABOR_HOURS)&gt;TEMP_HOURS_CAP),"",$C59+V$6-MIN(($D59+V$5),PERMANENT_FIELD_LABOR_HOURS)*PERMANENT_HOURLY_RATE-MAX(0,($D59+V$5)-PERMANENT_FIELD_LABOR_HOURS)*TEMP_HOURLY_RATE-FIXED_SEASON_COST)</f>
        <v>2466.81952081811</v>
      </c>
      <c r="W59" s="53" t="n">
        <f aca="false">IF(OR($A59&gt;TOMATO_BED_CAP,$B59&gt;CARROT_BED_CAP,W$4&gt;MESCLUN_BED_CAP,$A59+$B59+W$4&gt;TOTAL_BEDS_AVAILABLE,($D59+W$5)&gt;TOTAL_LABOR_HOURS_CAP,MAX(0,($D59+W$5)-PERMANENT_FIELD_LABOR_HOURS)&gt;TEMP_HOURS_CAP),"",$C59+W$6-MIN(($D59+W$5),PERMANENT_FIELD_LABOR_HOURS)*PERMANENT_HOURLY_RATE-MAX(0,($D59+W$5)-PERMANENT_FIELD_LABOR_HOURS)*TEMP_HOURLY_RATE-FIXED_SEASON_COST)</f>
        <v>3131.33404178618</v>
      </c>
      <c r="X59" s="53" t="n">
        <f aca="false">IF(OR($A59&gt;TOMATO_BED_CAP,$B59&gt;CARROT_BED_CAP,X$4&gt;MESCLUN_BED_CAP,$A59+$B59+X$4&gt;TOTAL_BEDS_AVAILABLE,($D59+X$5)&gt;TOTAL_LABOR_HOURS_CAP,MAX(0,($D59+X$5)-PERMANENT_FIELD_LABOR_HOURS)&gt;TEMP_HOURS_CAP),"",$C59+X$6-MIN(($D59+X$5),PERMANENT_FIELD_LABOR_HOURS)*PERMANENT_HOURLY_RATE-MAX(0,($D59+X$5)-PERMANENT_FIELD_LABOR_HOURS)*TEMP_HOURLY_RATE-FIXED_SEASON_COST)</f>
        <v>3769.3438700651</v>
      </c>
      <c r="Y59" s="53" t="n">
        <f aca="false">IF(OR($A59&gt;TOMATO_BED_CAP,$B59&gt;CARROT_BED_CAP,Y$4&gt;MESCLUN_BED_CAP,$A59+$B59+Y$4&gt;TOTAL_BEDS_AVAILABLE,($D59+Y$5)&gt;TOTAL_LABOR_HOURS_CAP,MAX(0,($D59+Y$5)-PERMANENT_FIELD_LABOR_HOURS)&gt;TEMP_HOURS_CAP),"",$C59+Y$6-MIN(($D59+Y$5),PERMANENT_FIELD_LABOR_HOURS)*PERMANENT_HOURLY_RATE-MAX(0,($D59+Y$5)-PERMANENT_FIELD_LABOR_HOURS)*TEMP_HOURLY_RATE-FIXED_SEASON_COST)</f>
        <v>4380.36693294376</v>
      </c>
      <c r="Z59" s="53" t="n">
        <f aca="false">IF(OR($A59&gt;TOMATO_BED_CAP,$B59&gt;CARROT_BED_CAP,Z$4&gt;MESCLUN_BED_CAP,$A59+$B59+Z$4&gt;TOTAL_BEDS_AVAILABLE,($D59+Z$5)&gt;TOTAL_LABOR_HOURS_CAP,MAX(0,($D59+Z$5)-PERMANENT_FIELD_LABOR_HOURS)&gt;TEMP_HOURS_CAP),"",$C59+Z$6-MIN(($D59+Z$5),PERMANENT_FIELD_LABOR_HOURS)*PERMANENT_HOURLY_RATE-MAX(0,($D59+Z$5)-PERMANENT_FIELD_LABOR_HOURS)*TEMP_HOURLY_RATE-FIXED_SEASON_COST)</f>
        <v>4963.91324725148</v>
      </c>
      <c r="AA59" s="53" t="n">
        <f aca="false">IF(OR($A59&gt;TOMATO_BED_CAP,$B59&gt;CARROT_BED_CAP,AA$4&gt;MESCLUN_BED_CAP,$A59+$B59+AA$4&gt;TOTAL_BEDS_AVAILABLE,($D59+AA$5)&gt;TOTAL_LABOR_HOURS_CAP,MAX(0,($D59+AA$5)-PERMANENT_FIELD_LABOR_HOURS)&gt;TEMP_HOURS_CAP),"",$C59+AA$6-MIN(($D59+AA$5),PERMANENT_FIELD_LABOR_HOURS)*PERMANENT_HOURLY_RATE-MAX(0,($D59+AA$5)-PERMANENT_FIELD_LABOR_HOURS)*TEMP_HOURLY_RATE-FIXED_SEASON_COST)</f>
        <v>5519.48479692041</v>
      </c>
      <c r="AB59" s="53" t="n">
        <f aca="false">IF(OR($A59&gt;TOMATO_BED_CAP,$B59&gt;CARROT_BED_CAP,AB$4&gt;MESCLUN_BED_CAP,$A59+$B59+AB$4&gt;TOTAL_BEDS_AVAILABLE,($D59+AB$5)&gt;TOTAL_LABOR_HOURS_CAP,MAX(0,($D59+AB$5)-PERMANENT_FIELD_LABOR_HOURS)&gt;TEMP_HOURS_CAP),"",$C59+AB$6-MIN(($D59+AB$5),PERMANENT_FIELD_LABOR_HOURS)*PERMANENT_HOURLY_RATE-MAX(0,($D59+AB$5)-PERMANENT_FIELD_LABOR_HOURS)*TEMP_HOURLY_RATE-FIXED_SEASON_COST)</f>
        <v>6046.57540872298</v>
      </c>
      <c r="AC59" s="53" t="n">
        <f aca="false">IF(OR($A59&gt;TOMATO_BED_CAP,$B59&gt;CARROT_BED_CAP,AC$4&gt;MESCLUN_BED_CAP,$A59+$B59+AC$4&gt;TOTAL_BEDS_AVAILABLE,($D59+AC$5)&gt;TOTAL_LABOR_HOURS_CAP,MAX(0,($D59+AC$5)-PERMANENT_FIELD_LABOR_HOURS)&gt;TEMP_HOURS_CAP),"",$C59+AC$6-MIN(($D59+AC$5),PERMANENT_FIELD_LABOR_HOURS)*PERMANENT_HOURLY_RATE-MAX(0,($D59+AC$5)-PERMANENT_FIELD_LABOR_HOURS)*TEMP_HOURLY_RATE-FIXED_SEASON_COST)</f>
        <v>6544.67062615789</v>
      </c>
      <c r="AD59" s="53" t="n">
        <f aca="false">IF(OR($A59&gt;TOMATO_BED_CAP,$B59&gt;CARROT_BED_CAP,AD$4&gt;MESCLUN_BED_CAP,$A59+$B59+AD$4&gt;TOTAL_BEDS_AVAILABLE,($D59+AD$5)&gt;TOTAL_LABOR_HOURS_CAP,MAX(0,($D59+AD$5)-PERMANENT_FIELD_LABOR_HOURS)&gt;TEMP_HOURS_CAP),"",$C59+AD$6-MIN(($D59+AD$5),PERMANENT_FIELD_LABOR_HOURS)*PERMANENT_HOURLY_RATE-MAX(0,($D59+AD$5)-PERMANENT_FIELD_LABOR_HOURS)*TEMP_HOURLY_RATE-FIXED_SEASON_COST)</f>
        <v>7013.24758145784</v>
      </c>
      <c r="AE59" s="53" t="n">
        <f aca="false">IF(OR($A59&gt;TOMATO_BED_CAP,$B59&gt;CARROT_BED_CAP,AE$4&gt;MESCLUN_BED_CAP,$A59+$B59+AE$4&gt;TOTAL_BEDS_AVAILABLE,($D59+AE$5)&gt;TOTAL_LABOR_HOURS_CAP,MAX(0,($D59+AE$5)-PERMANENT_FIELD_LABOR_HOURS)&gt;TEMP_HOURS_CAP),"",$C59+AE$6-MIN(($D59+AE$5),PERMANENT_FIELD_LABOR_HOURS)*PERMANENT_HOURLY_RATE-MAX(0,($D59+AE$5)-PERMANENT_FIELD_LABOR_HOURS)*TEMP_HOURLY_RATE-FIXED_SEASON_COST)</f>
        <v>7451.77486569175</v>
      </c>
      <c r="AF59" s="53" t="n">
        <f aca="false">IF(OR($A59&gt;TOMATO_BED_CAP,$B59&gt;CARROT_BED_CAP,AF$4&gt;MESCLUN_BED_CAP,$A59+$B59+AF$4&gt;TOTAL_BEDS_AVAILABLE,($D59+AF$5)&gt;TOTAL_LABOR_HOURS_CAP,MAX(0,($D59+AF$5)-PERMANENT_FIELD_LABOR_HOURS)&gt;TEMP_HOURS_CAP),"",$C59+AF$6-MIN(($D59+AF$5),PERMANENT_FIELD_LABOR_HOURS)*PERMANENT_HOURLY_RATE-MAX(0,($D59+AF$5)-PERMANENT_FIELD_LABOR_HOURS)*TEMP_HOURLY_RATE-FIXED_SEASON_COST)</f>
        <v>7859.7123969337</v>
      </c>
      <c r="AG59" s="53" t="n">
        <f aca="false">IF(OR($A59&gt;TOMATO_BED_CAP,$B59&gt;CARROT_BED_CAP,AG$4&gt;MESCLUN_BED_CAP,$A59+$B59+AG$4&gt;TOTAL_BEDS_AVAILABLE,($D59+AG$5)&gt;TOTAL_LABOR_HOURS_CAP,MAX(0,($D59+AG$5)-PERMANENT_FIELD_LABOR_HOURS)&gt;TEMP_HOURS_CAP),"",$C59+AG$6-MIN(($D59+AG$5),PERMANENT_FIELD_LABOR_HOURS)*PERMANENT_HOURLY_RATE-MAX(0,($D59+AG$5)-PERMANENT_FIELD_LABOR_HOURS)*TEMP_HOURLY_RATE-FIXED_SEASON_COST)</f>
        <v>8236.51128647071</v>
      </c>
      <c r="AH59" s="53" t="n">
        <f aca="false">IF(OR($A59&gt;TOMATO_BED_CAP,$B59&gt;CARROT_BED_CAP,AH$4&gt;MESCLUN_BED_CAP,$A59+$B59+AH$4&gt;TOTAL_BEDS_AVAILABLE,($D59+AH$5)&gt;TOTAL_LABOR_HOURS_CAP,MAX(0,($D59+AH$5)-PERMANENT_FIELD_LABOR_HOURS)&gt;TEMP_HOURS_CAP),"",$C59+AH$6-MIN(($D59+AH$5),PERMANENT_FIELD_LABOR_HOURS)*PERMANENT_HOURLY_RATE-MAX(0,($D59+AH$5)-PERMANENT_FIELD_LABOR_HOURS)*TEMP_HOURLY_RATE-FIXED_SEASON_COST)</f>
        <v>8581.61370302093</v>
      </c>
      <c r="AI59" s="53" t="n">
        <f aca="false">IF(OR($A59&gt;TOMATO_BED_CAP,$B59&gt;CARROT_BED_CAP,AI$4&gt;MESCLUN_BED_CAP,$A59+$B59+AI$4&gt;TOTAL_BEDS_AVAILABLE,($D59+AI$5)&gt;TOTAL_LABOR_HOURS_CAP,MAX(0,($D59+AI$5)-PERMANENT_FIELD_LABOR_HOURS)&gt;TEMP_HOURS_CAP),"",$C59+AI$6-MIN(($D59+AI$5),PERMANENT_FIELD_LABOR_HOURS)*PERMANENT_HOURLY_RATE-MAX(0,($D59+AI$5)-PERMANENT_FIELD_LABOR_HOURS)*TEMP_HOURLY_RATE-FIXED_SEASON_COST)</f>
        <v>8894.45273493319</v>
      </c>
      <c r="AJ59" s="53" t="n">
        <f aca="false">IF(OR($A59&gt;TOMATO_BED_CAP,$B59&gt;CARROT_BED_CAP,AJ$4&gt;MESCLUN_BED_CAP,$A59+$B59+AJ$4&gt;TOTAL_BEDS_AVAILABLE,($D59+AJ$5)&gt;TOTAL_LABOR_HOURS_CAP,MAX(0,($D59+AJ$5)-PERMANENT_FIELD_LABOR_HOURS)&gt;TEMP_HOURS_CAP),"",$C59+AJ$6-MIN(($D59+AJ$5),PERMANENT_FIELD_LABOR_HOURS)*PERMANENT_HOURLY_RATE-MAX(0,($D59+AJ$5)-PERMANENT_FIELD_LABOR_HOURS)*TEMP_HOURLY_RATE-FIXED_SEASON_COST)</f>
        <v>9174.45225033894</v>
      </c>
    </row>
    <row r="60" customFormat="false" ht="15" hidden="false" customHeight="false" outlineLevel="0" collapsed="false">
      <c r="A60" s="21" t="n">
        <f aca="false">INT((ROW()-ROW($A$8))/(20+1))</f>
        <v>2</v>
      </c>
      <c r="B60" s="21" t="n">
        <f aca="false">MOD(ROW()-ROW($A$8),20+1)</f>
        <v>10</v>
      </c>
      <c r="C60" s="13" t="n">
        <f aca="false">A60*(TOMATO_REVENUE_PER_BED-TOMATO_FERTILIZER_PER_BED)+B60*(CARROT_REVENUE_PER_BED-CARROT_FERTILIZER_PER_BED)</f>
        <v>32380</v>
      </c>
      <c r="D60" s="14" t="n">
        <f aca="false">INDEX(TOMATO_SCHED_LABOR_HRS,A60+1)+INDEX(CARROT_SCHED_LABOR_HRS,B60+1)</f>
        <v>601.671753113604</v>
      </c>
      <c r="E60" s="13" t="n">
        <f aca="false">IF(COUNT(F60:AJ60)=0,"",MAX(F60:AJ60))</f>
        <v>10015.7676608204</v>
      </c>
      <c r="F60" s="53" t="n">
        <f aca="false">IF(OR($A60&gt;TOMATO_BED_CAP,$B60&gt;CARROT_BED_CAP,F$4&gt;MESCLUN_BED_CAP,$A60+$B60+F$4&gt;TOTAL_BEDS_AVAILABLE,($D60+F$5)&gt;TOTAL_LABOR_HOURS_CAP,MAX(0,($D60+F$5)-PERMANENT_FIELD_LABOR_HOURS)&gt;TEMP_HOURS_CAP),"",$C60+F$6-MIN(($D60+F$5),PERMANENT_FIELD_LABOR_HOURS)*PERMANENT_HOURLY_RATE-MAX(0,($D60+F$5)-PERMANENT_FIELD_LABOR_HOURS)*TEMP_HOURLY_RATE-FIXED_SEASON_COST)</f>
        <v>-8510.04326810431</v>
      </c>
      <c r="G60" s="53" t="n">
        <f aca="false">IF(OR($A60&gt;TOMATO_BED_CAP,$B60&gt;CARROT_BED_CAP,G$4&gt;MESCLUN_BED_CAP,$A60+$B60+G$4&gt;TOTAL_BEDS_AVAILABLE,($D60+G$5)&gt;TOTAL_LABOR_HOURS_CAP,MAX(0,($D60+G$5)-PERMANENT_FIELD_LABOR_HOURS)&gt;TEMP_HOURS_CAP),"",$C60+G$6-MIN(($D60+G$5),PERMANENT_FIELD_LABOR_HOURS)*PERMANENT_HOURLY_RATE-MAX(0,($D60+G$5)-PERMANENT_FIELD_LABOR_HOURS)*TEMP_HOURLY_RATE-FIXED_SEASON_COST)</f>
        <v>-8271.97326810431</v>
      </c>
      <c r="H60" s="53" t="n">
        <f aca="false">IF(OR($A60&gt;TOMATO_BED_CAP,$B60&gt;CARROT_BED_CAP,H$4&gt;MESCLUN_BED_CAP,$A60+$B60+H$4&gt;TOTAL_BEDS_AVAILABLE,($D60+H$5)&gt;TOTAL_LABOR_HOURS_CAP,MAX(0,($D60+H$5)-PERMANENT_FIELD_LABOR_HOURS)&gt;TEMP_HOURS_CAP),"",$C60+H$6-MIN(($D60+H$5),PERMANENT_FIELD_LABOR_HOURS)*PERMANENT_HOURLY_RATE-MAX(0,($D60+H$5)-PERMANENT_FIELD_LABOR_HOURS)*TEMP_HOURLY_RATE-FIXED_SEASON_COST)</f>
        <v>-8073.45151810431</v>
      </c>
      <c r="I60" s="53" t="n">
        <f aca="false">IF(OR($A60&gt;TOMATO_BED_CAP,$B60&gt;CARROT_BED_CAP,I$4&gt;MESCLUN_BED_CAP,$A60+$B60+I$4&gt;TOTAL_BEDS_AVAILABLE,($D60+I$5)&gt;TOTAL_LABOR_HOURS_CAP,MAX(0,($D60+I$5)-PERMANENT_FIELD_LABOR_HOURS)&gt;TEMP_HOURS_CAP),"",$C60+I$6-MIN(($D60+I$5),PERMANENT_FIELD_LABOR_HOURS)*PERMANENT_HOURLY_RATE-MAX(0,($D60+I$5)-PERMANENT_FIELD_LABOR_HOURS)*TEMP_HOURLY_RATE-FIXED_SEASON_COST)</f>
        <v>-7536.8097738959</v>
      </c>
      <c r="J60" s="53" t="n">
        <f aca="false">IF(OR($A60&gt;TOMATO_BED_CAP,$B60&gt;CARROT_BED_CAP,J$4&gt;MESCLUN_BED_CAP,$A60+$B60+J$4&gt;TOTAL_BEDS_AVAILABLE,($D60+J$5)&gt;TOTAL_LABOR_HOURS_CAP,MAX(0,($D60+J$5)-PERMANENT_FIELD_LABOR_HOURS)&gt;TEMP_HOURS_CAP),"",$C60+J$6-MIN(($D60+J$5),PERMANENT_FIELD_LABOR_HOURS)*PERMANENT_HOURLY_RATE-MAX(0,($D60+J$5)-PERMANENT_FIELD_LABOR_HOURS)*TEMP_HOURLY_RATE-FIXED_SEASON_COST)</f>
        <v>-6568.21562284122</v>
      </c>
      <c r="K60" s="53" t="n">
        <f aca="false">IF(OR($A60&gt;TOMATO_BED_CAP,$B60&gt;CARROT_BED_CAP,K$4&gt;MESCLUN_BED_CAP,$A60+$B60+K$4&gt;TOTAL_BEDS_AVAILABLE,($D60+K$5)&gt;TOTAL_LABOR_HOURS_CAP,MAX(0,($D60+K$5)-PERMANENT_FIELD_LABOR_HOURS)&gt;TEMP_HOURS_CAP),"",$C60+K$6-MIN(($D60+K$5),PERMANENT_FIELD_LABOR_HOURS)*PERMANENT_HOURLY_RATE-MAX(0,($D60+K$5)-PERMANENT_FIELD_LABOR_HOURS)*TEMP_HOURLY_RATE-FIXED_SEASON_COST)</f>
        <v>-5620.52652611331</v>
      </c>
      <c r="L60" s="53" t="n">
        <f aca="false">IF(OR($A60&gt;TOMATO_BED_CAP,$B60&gt;CARROT_BED_CAP,L$4&gt;MESCLUN_BED_CAP,$A60+$B60+L$4&gt;TOTAL_BEDS_AVAILABLE,($D60+L$5)&gt;TOTAL_LABOR_HOURS_CAP,MAX(0,($D60+L$5)-PERMANENT_FIELD_LABOR_HOURS)&gt;TEMP_HOURS_CAP),"",$C60+L$6-MIN(($D60+L$5),PERMANENT_FIELD_LABOR_HOURS)*PERMANENT_HOURLY_RATE-MAX(0,($D60+L$5)-PERMANENT_FIELD_LABOR_HOURS)*TEMP_HOURLY_RATE-FIXED_SEASON_COST)</f>
        <v>-4694.13207790646</v>
      </c>
      <c r="M60" s="53" t="n">
        <f aca="false">IF(OR($A60&gt;TOMATO_BED_CAP,$B60&gt;CARROT_BED_CAP,M$4&gt;MESCLUN_BED_CAP,$A60+$B60+M$4&gt;TOTAL_BEDS_AVAILABLE,($D60+M$5)&gt;TOTAL_LABOR_HOURS_CAP,MAX(0,($D60+M$5)-PERMANENT_FIELD_LABOR_HOURS)&gt;TEMP_HOURS_CAP),"",$C60+M$6-MIN(($D60+M$5),PERMANENT_FIELD_LABOR_HOURS)*PERMANENT_HOURLY_RATE-MAX(0,($D60+M$5)-PERMANENT_FIELD_LABOR_HOURS)*TEMP_HOURLY_RATE-FIXED_SEASON_COST)</f>
        <v>-3789.42834585505</v>
      </c>
      <c r="N60" s="53" t="n">
        <f aca="false">IF(OR($A60&gt;TOMATO_BED_CAP,$B60&gt;CARROT_BED_CAP,N$4&gt;MESCLUN_BED_CAP,$A60+$B60+N$4&gt;TOTAL_BEDS_AVAILABLE,($D60+N$5)&gt;TOTAL_LABOR_HOURS_CAP,MAX(0,($D60+N$5)-PERMANENT_FIELD_LABOR_HOURS)&gt;TEMP_HOURS_CAP),"",$C60+N$6-MIN(($D60+N$5),PERMANENT_FIELD_LABOR_HOURS)*PERMANENT_HOURLY_RATE-MAX(0,($D60+N$5)-PERMANENT_FIELD_LABOR_HOURS)*TEMP_HOURLY_RATE-FIXED_SEASON_COST)</f>
        <v>-2906.81797199551</v>
      </c>
      <c r="O60" s="53" t="n">
        <f aca="false">IF(OR($A60&gt;TOMATO_BED_CAP,$B60&gt;CARROT_BED_CAP,O$4&gt;MESCLUN_BED_CAP,$A60+$B60+O$4&gt;TOTAL_BEDS_AVAILABLE,($D60+O$5)&gt;TOTAL_LABOR_HOURS_CAP,MAX(0,($D60+O$5)-PERMANENT_FIELD_LABOR_HOURS)&gt;TEMP_HOURS_CAP),"",$C60+O$6-MIN(($D60+O$5),PERMANENT_FIELD_LABOR_HOURS)*PERMANENT_HOURLY_RATE-MAX(0,($D60+O$5)-PERMANENT_FIELD_LABOR_HOURS)*TEMP_HOURLY_RATE-FIXED_SEASON_COST)</f>
        <v>-2046.71027524076</v>
      </c>
      <c r="P60" s="53" t="n">
        <f aca="false">IF(OR($A60&gt;TOMATO_BED_CAP,$B60&gt;CARROT_BED_CAP,P$4&gt;MESCLUN_BED_CAP,$A60+$B60+P$4&gt;TOTAL_BEDS_AVAILABLE,($D60+P$5)&gt;TOTAL_LABOR_HOURS_CAP,MAX(0,($D60+P$5)-PERMANENT_FIELD_LABOR_HOURS)&gt;TEMP_HOURS_CAP),"",$C60+P$6-MIN(($D60+P$5),PERMANENT_FIELD_LABOR_HOURS)*PERMANENT_HOURLY_RATE-MAX(0,($D60+P$5)-PERMANENT_FIELD_LABOR_HOURS)*TEMP_HOURLY_RATE-FIXED_SEASON_COST)</f>
        <v>-1209.52135538933</v>
      </c>
      <c r="Q60" s="53" t="n">
        <f aca="false">IF(OR($A60&gt;TOMATO_BED_CAP,$B60&gt;CARROT_BED_CAP,Q$4&gt;MESCLUN_BED_CAP,$A60+$B60+Q$4&gt;TOTAL_BEDS_AVAILABLE,($D60+Q$5)&gt;TOTAL_LABOR_HOURS_CAP,MAX(0,($D60+Q$5)-PERMANENT_FIELD_LABOR_HOURS)&gt;TEMP_HOURS_CAP),"",$C60+Q$6-MIN(($D60+Q$5),PERMANENT_FIELD_LABOR_HOURS)*PERMANENT_HOURLY_RATE-MAX(0,($D60+Q$5)-PERMANENT_FIELD_LABOR_HOURS)*TEMP_HOURLY_RATE-FIXED_SEASON_COST)</f>
        <v>-395.674198691431</v>
      </c>
      <c r="R60" s="53" t="n">
        <f aca="false">IF(OR($A60&gt;TOMATO_BED_CAP,$B60&gt;CARROT_BED_CAP,R$4&gt;MESCLUN_BED_CAP,$A60+$B60+R$4&gt;TOTAL_BEDS_AVAILABLE,($D60+R$5)&gt;TOTAL_LABOR_HOURS_CAP,MAX(0,($D60+R$5)-PERMANENT_FIELD_LABOR_HOURS)&gt;TEMP_HOURS_CAP),"",$C60+R$6-MIN(($D60+R$5),PERMANENT_FIELD_LABOR_HOURS)*PERMANENT_HOURLY_RATE-MAX(0,($D60+R$5)-PERMANENT_FIELD_LABOR_HOURS)*TEMP_HOURLY_RATE-FIXED_SEASON_COST)</f>
        <v>394.401215005371</v>
      </c>
      <c r="S60" s="53" t="n">
        <f aca="false">IF(OR($A60&gt;TOMATO_BED_CAP,$B60&gt;CARROT_BED_CAP,S$4&gt;MESCLUN_BED_CAP,$A60+$B60+S$4&gt;TOTAL_BEDS_AVAILABLE,($D60+S$5)&gt;TOTAL_LABOR_HOURS_CAP,MAX(0,($D60+S$5)-PERMANENT_FIELD_LABOR_HOURS)&gt;TEMP_HOURS_CAP),"",$C60+S$6-MIN(($D60+S$5),PERMANENT_FIELD_LABOR_HOURS)*PERMANENT_HOURLY_RATE-MAX(0,($D60+S$5)-PERMANENT_FIELD_LABOR_HOURS)*TEMP_HOURLY_RATE-FIXED_SEASON_COST)</f>
        <v>1160.26780350782</v>
      </c>
      <c r="T60" s="53" t="n">
        <f aca="false">IF(OR($A60&gt;TOMATO_BED_CAP,$B60&gt;CARROT_BED_CAP,T$4&gt;MESCLUN_BED_CAP,$A60+$B60+T$4&gt;TOTAL_BEDS_AVAILABLE,($D60+T$5)&gt;TOTAL_LABOR_HOURS_CAP,MAX(0,($D60+T$5)-PERMANENT_FIELD_LABOR_HOURS)&gt;TEMP_HOURS_CAP),"",$C60+T$6-MIN(($D60+T$5),PERMANENT_FIELD_LABOR_HOURS)*PERMANENT_HOURLY_RATE-MAX(0,($D60+T$5)-PERMANENT_FIELD_LABOR_HOURS)*TEMP_HOURLY_RATE-FIXED_SEASON_COST)</f>
        <v>1901.48127190267</v>
      </c>
      <c r="U60" s="53" t="n">
        <f aca="false">IF(OR($A60&gt;TOMATO_BED_CAP,$B60&gt;CARROT_BED_CAP,U$4&gt;MESCLUN_BED_CAP,$A60+$B60+U$4&gt;TOTAL_BEDS_AVAILABLE,($D60+U$5)&gt;TOTAL_LABOR_HOURS_CAP,MAX(0,($D60+U$5)-PERMANENT_FIELD_LABOR_HOURS)&gt;TEMP_HOURS_CAP),"",$C60+U$6-MIN(($D60+U$5),PERMANENT_FIELD_LABOR_HOURS)*PERMANENT_HOURLY_RATE-MAX(0,($D60+U$5)-PERMANENT_FIELD_LABOR_HOURS)*TEMP_HOURLY_RATE-FIXED_SEASON_COST)</f>
        <v>2617.59000053276</v>
      </c>
      <c r="V60" s="53" t="n">
        <f aca="false">IF(OR($A60&gt;TOMATO_BED_CAP,$B60&gt;CARROT_BED_CAP,V$4&gt;MESCLUN_BED_CAP,$A60+$B60+V$4&gt;TOTAL_BEDS_AVAILABLE,($D60+V$5)&gt;TOTAL_LABOR_HOURS_CAP,MAX(0,($D60+V$5)-PERMANENT_FIELD_LABOR_HOURS)&gt;TEMP_HOURS_CAP),"",$C60+V$6-MIN(($D60+V$5),PERMANENT_FIELD_LABOR_HOURS)*PERMANENT_HOURLY_RATE-MAX(0,($D60+V$5)-PERMANENT_FIELD_LABOR_HOURS)*TEMP_HOURLY_RATE-FIXED_SEASON_COST)</f>
        <v>3308.13493129956</v>
      </c>
      <c r="W60" s="53" t="n">
        <f aca="false">IF(OR($A60&gt;TOMATO_BED_CAP,$B60&gt;CARROT_BED_CAP,W$4&gt;MESCLUN_BED_CAP,$A60+$B60+W$4&gt;TOTAL_BEDS_AVAILABLE,($D60+W$5)&gt;TOTAL_LABOR_HOURS_CAP,MAX(0,($D60+W$5)-PERMANENT_FIELD_LABOR_HOURS)&gt;TEMP_HOURS_CAP),"",$C60+W$6-MIN(($D60+W$5),PERMANENT_FIELD_LABOR_HOURS)*PERMANENT_HOURLY_RATE-MAX(0,($D60+W$5)-PERMANENT_FIELD_LABOR_HOURS)*TEMP_HOURLY_RATE-FIXED_SEASON_COST)</f>
        <v>3972.64945226762</v>
      </c>
      <c r="X60" s="53" t="n">
        <f aca="false">IF(OR($A60&gt;TOMATO_BED_CAP,$B60&gt;CARROT_BED_CAP,X$4&gt;MESCLUN_BED_CAP,$A60+$B60+X$4&gt;TOTAL_BEDS_AVAILABLE,($D60+X$5)&gt;TOTAL_LABOR_HOURS_CAP,MAX(0,($D60+X$5)-PERMANENT_FIELD_LABOR_HOURS)&gt;TEMP_HOURS_CAP),"",$C60+X$6-MIN(($D60+X$5),PERMANENT_FIELD_LABOR_HOURS)*PERMANENT_HOURLY_RATE-MAX(0,($D60+X$5)-PERMANENT_FIELD_LABOR_HOURS)*TEMP_HOURLY_RATE-FIXED_SEASON_COST)</f>
        <v>4610.65928054654</v>
      </c>
      <c r="Y60" s="53" t="n">
        <f aca="false">IF(OR($A60&gt;TOMATO_BED_CAP,$B60&gt;CARROT_BED_CAP,Y$4&gt;MESCLUN_BED_CAP,$A60+$B60+Y$4&gt;TOTAL_BEDS_AVAILABLE,($D60+Y$5)&gt;TOTAL_LABOR_HOURS_CAP,MAX(0,($D60+Y$5)-PERMANENT_FIELD_LABOR_HOURS)&gt;TEMP_HOURS_CAP),"",$C60+Y$6-MIN(($D60+Y$5),PERMANENT_FIELD_LABOR_HOURS)*PERMANENT_HOURLY_RATE-MAX(0,($D60+Y$5)-PERMANENT_FIELD_LABOR_HOURS)*TEMP_HOURLY_RATE-FIXED_SEASON_COST)</f>
        <v>5221.68234342521</v>
      </c>
      <c r="Z60" s="53" t="n">
        <f aca="false">IF(OR($A60&gt;TOMATO_BED_CAP,$B60&gt;CARROT_BED_CAP,Z$4&gt;MESCLUN_BED_CAP,$A60+$B60+Z$4&gt;TOTAL_BEDS_AVAILABLE,($D60+Z$5)&gt;TOTAL_LABOR_HOURS_CAP,MAX(0,($D60+Z$5)-PERMANENT_FIELD_LABOR_HOURS)&gt;TEMP_HOURS_CAP),"",$C60+Z$6-MIN(($D60+Z$5),PERMANENT_FIELD_LABOR_HOURS)*PERMANENT_HOURLY_RATE-MAX(0,($D60+Z$5)-PERMANENT_FIELD_LABOR_HOURS)*TEMP_HOURLY_RATE-FIXED_SEASON_COST)</f>
        <v>5805.22865773293</v>
      </c>
      <c r="AA60" s="53" t="n">
        <f aca="false">IF(OR($A60&gt;TOMATO_BED_CAP,$B60&gt;CARROT_BED_CAP,AA$4&gt;MESCLUN_BED_CAP,$A60+$B60+AA$4&gt;TOTAL_BEDS_AVAILABLE,($D60+AA$5)&gt;TOTAL_LABOR_HOURS_CAP,MAX(0,($D60+AA$5)-PERMANENT_FIELD_LABOR_HOURS)&gt;TEMP_HOURS_CAP),"",$C60+AA$6-MIN(($D60+AA$5),PERMANENT_FIELD_LABOR_HOURS)*PERMANENT_HOURLY_RATE-MAX(0,($D60+AA$5)-PERMANENT_FIELD_LABOR_HOURS)*TEMP_HOURLY_RATE-FIXED_SEASON_COST)</f>
        <v>6360.80020740186</v>
      </c>
      <c r="AB60" s="53" t="n">
        <f aca="false">IF(OR($A60&gt;TOMATO_BED_CAP,$B60&gt;CARROT_BED_CAP,AB$4&gt;MESCLUN_BED_CAP,$A60+$B60+AB$4&gt;TOTAL_BEDS_AVAILABLE,($D60+AB$5)&gt;TOTAL_LABOR_HOURS_CAP,MAX(0,($D60+AB$5)-PERMANENT_FIELD_LABOR_HOURS)&gt;TEMP_HOURS_CAP),"",$C60+AB$6-MIN(($D60+AB$5),PERMANENT_FIELD_LABOR_HOURS)*PERMANENT_HOURLY_RATE-MAX(0,($D60+AB$5)-PERMANENT_FIELD_LABOR_HOURS)*TEMP_HOURLY_RATE-FIXED_SEASON_COST)</f>
        <v>6887.89081920443</v>
      </c>
      <c r="AC60" s="53" t="n">
        <f aca="false">IF(OR($A60&gt;TOMATO_BED_CAP,$B60&gt;CARROT_BED_CAP,AC$4&gt;MESCLUN_BED_CAP,$A60+$B60+AC$4&gt;TOTAL_BEDS_AVAILABLE,($D60+AC$5)&gt;TOTAL_LABOR_HOURS_CAP,MAX(0,($D60+AC$5)-PERMANENT_FIELD_LABOR_HOURS)&gt;TEMP_HOURS_CAP),"",$C60+AC$6-MIN(($D60+AC$5),PERMANENT_FIELD_LABOR_HOURS)*PERMANENT_HOURLY_RATE-MAX(0,($D60+AC$5)-PERMANENT_FIELD_LABOR_HOURS)*TEMP_HOURLY_RATE-FIXED_SEASON_COST)</f>
        <v>7385.98603663933</v>
      </c>
      <c r="AD60" s="53" t="n">
        <f aca="false">IF(OR($A60&gt;TOMATO_BED_CAP,$B60&gt;CARROT_BED_CAP,AD$4&gt;MESCLUN_BED_CAP,$A60+$B60+AD$4&gt;TOTAL_BEDS_AVAILABLE,($D60+AD$5)&gt;TOTAL_LABOR_HOURS_CAP,MAX(0,($D60+AD$5)-PERMANENT_FIELD_LABOR_HOURS)&gt;TEMP_HOURS_CAP),"",$C60+AD$6-MIN(($D60+AD$5),PERMANENT_FIELD_LABOR_HOURS)*PERMANENT_HOURLY_RATE-MAX(0,($D60+AD$5)-PERMANENT_FIELD_LABOR_HOURS)*TEMP_HOURLY_RATE-FIXED_SEASON_COST)</f>
        <v>7854.56299193929</v>
      </c>
      <c r="AE60" s="53" t="n">
        <f aca="false">IF(OR($A60&gt;TOMATO_BED_CAP,$B60&gt;CARROT_BED_CAP,AE$4&gt;MESCLUN_BED_CAP,$A60+$B60+AE$4&gt;TOTAL_BEDS_AVAILABLE,($D60+AE$5)&gt;TOTAL_LABOR_HOURS_CAP,MAX(0,($D60+AE$5)-PERMANENT_FIELD_LABOR_HOURS)&gt;TEMP_HOURS_CAP),"",$C60+AE$6-MIN(($D60+AE$5),PERMANENT_FIELD_LABOR_HOURS)*PERMANENT_HOURLY_RATE-MAX(0,($D60+AE$5)-PERMANENT_FIELD_LABOR_HOURS)*TEMP_HOURLY_RATE-FIXED_SEASON_COST)</f>
        <v>8293.09027617319</v>
      </c>
      <c r="AF60" s="53" t="n">
        <f aca="false">IF(OR($A60&gt;TOMATO_BED_CAP,$B60&gt;CARROT_BED_CAP,AF$4&gt;MESCLUN_BED_CAP,$A60+$B60+AF$4&gt;TOTAL_BEDS_AVAILABLE,($D60+AF$5)&gt;TOTAL_LABOR_HOURS_CAP,MAX(0,($D60+AF$5)-PERMANENT_FIELD_LABOR_HOURS)&gt;TEMP_HOURS_CAP),"",$C60+AF$6-MIN(($D60+AF$5),PERMANENT_FIELD_LABOR_HOURS)*PERMANENT_HOURLY_RATE-MAX(0,($D60+AF$5)-PERMANENT_FIELD_LABOR_HOURS)*TEMP_HOURLY_RATE-FIXED_SEASON_COST)</f>
        <v>8701.02780741514</v>
      </c>
      <c r="AG60" s="53" t="n">
        <f aca="false">IF(OR($A60&gt;TOMATO_BED_CAP,$B60&gt;CARROT_BED_CAP,AG$4&gt;MESCLUN_BED_CAP,$A60+$B60+AG$4&gt;TOTAL_BEDS_AVAILABLE,($D60+AG$5)&gt;TOTAL_LABOR_HOURS_CAP,MAX(0,($D60+AG$5)-PERMANENT_FIELD_LABOR_HOURS)&gt;TEMP_HOURS_CAP),"",$C60+AG$6-MIN(($D60+AG$5),PERMANENT_FIELD_LABOR_HOURS)*PERMANENT_HOURLY_RATE-MAX(0,($D60+AG$5)-PERMANENT_FIELD_LABOR_HOURS)*TEMP_HOURLY_RATE-FIXED_SEASON_COST)</f>
        <v>9077.82669695216</v>
      </c>
      <c r="AH60" s="53" t="n">
        <f aca="false">IF(OR($A60&gt;TOMATO_BED_CAP,$B60&gt;CARROT_BED_CAP,AH$4&gt;MESCLUN_BED_CAP,$A60+$B60+AH$4&gt;TOTAL_BEDS_AVAILABLE,($D60+AH$5)&gt;TOTAL_LABOR_HOURS_CAP,MAX(0,($D60+AH$5)-PERMANENT_FIELD_LABOR_HOURS)&gt;TEMP_HOURS_CAP),"",$C60+AH$6-MIN(($D60+AH$5),PERMANENT_FIELD_LABOR_HOURS)*PERMANENT_HOURLY_RATE-MAX(0,($D60+AH$5)-PERMANENT_FIELD_LABOR_HOURS)*TEMP_HOURLY_RATE-FIXED_SEASON_COST)</f>
        <v>9422.92911350237</v>
      </c>
      <c r="AI60" s="53" t="n">
        <f aca="false">IF(OR($A60&gt;TOMATO_BED_CAP,$B60&gt;CARROT_BED_CAP,AI$4&gt;MESCLUN_BED_CAP,$A60+$B60+AI$4&gt;TOTAL_BEDS_AVAILABLE,($D60+AI$5)&gt;TOTAL_LABOR_HOURS_CAP,MAX(0,($D60+AI$5)-PERMANENT_FIELD_LABOR_HOURS)&gt;TEMP_HOURS_CAP),"",$C60+AI$6-MIN(($D60+AI$5),PERMANENT_FIELD_LABOR_HOURS)*PERMANENT_HOURLY_RATE-MAX(0,($D60+AI$5)-PERMANENT_FIELD_LABOR_HOURS)*TEMP_HOURLY_RATE-FIXED_SEASON_COST)</f>
        <v>9735.76814541464</v>
      </c>
      <c r="AJ60" s="53" t="n">
        <f aca="false">IF(OR($A60&gt;TOMATO_BED_CAP,$B60&gt;CARROT_BED_CAP,AJ$4&gt;MESCLUN_BED_CAP,$A60+$B60+AJ$4&gt;TOTAL_BEDS_AVAILABLE,($D60+AJ$5)&gt;TOTAL_LABOR_HOURS_CAP,MAX(0,($D60+AJ$5)-PERMANENT_FIELD_LABOR_HOURS)&gt;TEMP_HOURS_CAP),"",$C60+AJ$6-MIN(($D60+AJ$5),PERMANENT_FIELD_LABOR_HOURS)*PERMANENT_HOURLY_RATE-MAX(0,($D60+AJ$5)-PERMANENT_FIELD_LABOR_HOURS)*TEMP_HOURLY_RATE-FIXED_SEASON_COST)</f>
        <v>10015.7676608204</v>
      </c>
    </row>
    <row r="61" customFormat="false" ht="15" hidden="false" customHeight="false" outlineLevel="0" collapsed="false">
      <c r="A61" s="21" t="n">
        <f aca="false">INT((ROW()-ROW($A$8))/(20+1))</f>
        <v>2</v>
      </c>
      <c r="B61" s="21" t="n">
        <f aca="false">MOD(ROW()-ROW($A$8),20+1)</f>
        <v>11</v>
      </c>
      <c r="C61" s="13" t="n">
        <f aca="false">A61*(TOMATO_REVENUE_PER_BED-TOMATO_FERTILIZER_PER_BED)+B61*(CARROT_REVENUE_PER_BED-CARROT_FERTILIZER_PER_BED)</f>
        <v>34034</v>
      </c>
      <c r="D61" s="14" t="n">
        <f aca="false">INDEX(TOMATO_SCHED_LABOR_HRS,A61+1)+INDEX(CARROT_SCHED_LABOR_HRS,B61+1)</f>
        <v>650.615401635588</v>
      </c>
      <c r="E61" s="13" t="n">
        <f aca="false">IF(COUNT(F61:AJ61)=0,"",MAX(F61:AJ61))</f>
        <v>10820.1059224787</v>
      </c>
      <c r="F61" s="53" t="n">
        <f aca="false">IF(OR($A61&gt;TOMATO_BED_CAP,$B61&gt;CARROT_BED_CAP,F$4&gt;MESCLUN_BED_CAP,$A61+$B61+F$4&gt;TOTAL_BEDS_AVAILABLE,($D61+F$5)&gt;TOTAL_LABOR_HOURS_CAP,MAX(0,($D61+F$5)-PERMANENT_FIELD_LABOR_HOURS)&gt;TEMP_HOURS_CAP),"",$C61+F$6-MIN(($D61+F$5),PERMANENT_FIELD_LABOR_HOURS)*PERMANENT_HOURLY_RATE-MAX(0,($D61+F$5)-PERMANENT_FIELD_LABOR_HOURS)*TEMP_HOURLY_RATE-FIXED_SEASON_COST)</f>
        <v>-8555.36674478761</v>
      </c>
      <c r="G61" s="53" t="n">
        <f aca="false">IF(OR($A61&gt;TOMATO_BED_CAP,$B61&gt;CARROT_BED_CAP,G$4&gt;MESCLUN_BED_CAP,$A61+$B61+G$4&gt;TOTAL_BEDS_AVAILABLE,($D61+G$5)&gt;TOTAL_LABOR_HOURS_CAP,MAX(0,($D61+G$5)-PERMANENT_FIELD_LABOR_HOURS)&gt;TEMP_HOURS_CAP),"",$C61+G$6-MIN(($D61+G$5),PERMANENT_FIELD_LABOR_HOURS)*PERMANENT_HOURLY_RATE-MAX(0,($D61+G$5)-PERMANENT_FIELD_LABOR_HOURS)*TEMP_HOURLY_RATE-FIXED_SEASON_COST)</f>
        <v>-8317.29674478761</v>
      </c>
      <c r="H61" s="53" t="n">
        <f aca="false">IF(OR($A61&gt;TOMATO_BED_CAP,$B61&gt;CARROT_BED_CAP,H$4&gt;MESCLUN_BED_CAP,$A61+$B61+H$4&gt;TOTAL_BEDS_AVAILABLE,($D61+H$5)&gt;TOTAL_LABOR_HOURS_CAP,MAX(0,($D61+H$5)-PERMANENT_FIELD_LABOR_HOURS)&gt;TEMP_HOURS_CAP),"",$C61+H$6-MIN(($D61+H$5),PERMANENT_FIELD_LABOR_HOURS)*PERMANENT_HOURLY_RATE-MAX(0,($D61+H$5)-PERMANENT_FIELD_LABOR_HOURS)*TEMP_HOURLY_RATE-FIXED_SEASON_COST)</f>
        <v>-7721.5874973938</v>
      </c>
      <c r="I61" s="53" t="n">
        <f aca="false">IF(OR($A61&gt;TOMATO_BED_CAP,$B61&gt;CARROT_BED_CAP,I$4&gt;MESCLUN_BED_CAP,$A61+$B61+I$4&gt;TOTAL_BEDS_AVAILABLE,($D61+I$5)&gt;TOTAL_LABOR_HOURS_CAP,MAX(0,($D61+I$5)-PERMANENT_FIELD_LABOR_HOURS)&gt;TEMP_HOURS_CAP),"",$C61+I$6-MIN(($D61+I$5),PERMANENT_FIELD_LABOR_HOURS)*PERMANENT_HOURLY_RATE-MAX(0,($D61+I$5)-PERMANENT_FIELD_LABOR_HOURS)*TEMP_HOURLY_RATE-FIXED_SEASON_COST)</f>
        <v>-6732.47151223755</v>
      </c>
      <c r="J61" s="53" t="n">
        <f aca="false">IF(OR($A61&gt;TOMATO_BED_CAP,$B61&gt;CARROT_BED_CAP,J$4&gt;MESCLUN_BED_CAP,$A61+$B61+J$4&gt;TOTAL_BEDS_AVAILABLE,($D61+J$5)&gt;TOTAL_LABOR_HOURS_CAP,MAX(0,($D61+J$5)-PERMANENT_FIELD_LABOR_HOURS)&gt;TEMP_HOURS_CAP),"",$C61+J$6-MIN(($D61+J$5),PERMANENT_FIELD_LABOR_HOURS)*PERMANENT_HOURLY_RATE-MAX(0,($D61+J$5)-PERMANENT_FIELD_LABOR_HOURS)*TEMP_HOURLY_RATE-FIXED_SEASON_COST)</f>
        <v>-5763.87736118287</v>
      </c>
      <c r="K61" s="53" t="n">
        <f aca="false">IF(OR($A61&gt;TOMATO_BED_CAP,$B61&gt;CARROT_BED_CAP,K$4&gt;MESCLUN_BED_CAP,$A61+$B61+K$4&gt;TOTAL_BEDS_AVAILABLE,($D61+K$5)&gt;TOTAL_LABOR_HOURS_CAP,MAX(0,($D61+K$5)-PERMANENT_FIELD_LABOR_HOURS)&gt;TEMP_HOURS_CAP),"",$C61+K$6-MIN(($D61+K$5),PERMANENT_FIELD_LABOR_HOURS)*PERMANENT_HOURLY_RATE-MAX(0,($D61+K$5)-PERMANENT_FIELD_LABOR_HOURS)*TEMP_HOURLY_RATE-FIXED_SEASON_COST)</f>
        <v>-4816.18826445496</v>
      </c>
      <c r="L61" s="53" t="n">
        <f aca="false">IF(OR($A61&gt;TOMATO_BED_CAP,$B61&gt;CARROT_BED_CAP,L$4&gt;MESCLUN_BED_CAP,$A61+$B61+L$4&gt;TOTAL_BEDS_AVAILABLE,($D61+L$5)&gt;TOTAL_LABOR_HOURS_CAP,MAX(0,($D61+L$5)-PERMANENT_FIELD_LABOR_HOURS)&gt;TEMP_HOURS_CAP),"",$C61+L$6-MIN(($D61+L$5),PERMANENT_FIELD_LABOR_HOURS)*PERMANENT_HOURLY_RATE-MAX(0,($D61+L$5)-PERMANENT_FIELD_LABOR_HOURS)*TEMP_HOURLY_RATE-FIXED_SEASON_COST)</f>
        <v>-3889.79381624811</v>
      </c>
      <c r="M61" s="53" t="n">
        <f aca="false">IF(OR($A61&gt;TOMATO_BED_CAP,$B61&gt;CARROT_BED_CAP,M$4&gt;MESCLUN_BED_CAP,$A61+$B61+M$4&gt;TOTAL_BEDS_AVAILABLE,($D61+M$5)&gt;TOTAL_LABOR_HOURS_CAP,MAX(0,($D61+M$5)-PERMANENT_FIELD_LABOR_HOURS)&gt;TEMP_HOURS_CAP),"",$C61+M$6-MIN(($D61+M$5),PERMANENT_FIELD_LABOR_HOURS)*PERMANENT_HOURLY_RATE-MAX(0,($D61+M$5)-PERMANENT_FIELD_LABOR_HOURS)*TEMP_HOURLY_RATE-FIXED_SEASON_COST)</f>
        <v>-2985.0900841967</v>
      </c>
      <c r="N61" s="53" t="n">
        <f aca="false">IF(OR($A61&gt;TOMATO_BED_CAP,$B61&gt;CARROT_BED_CAP,N$4&gt;MESCLUN_BED_CAP,$A61+$B61+N$4&gt;TOTAL_BEDS_AVAILABLE,($D61+N$5)&gt;TOTAL_LABOR_HOURS_CAP,MAX(0,($D61+N$5)-PERMANENT_FIELD_LABOR_HOURS)&gt;TEMP_HOURS_CAP),"",$C61+N$6-MIN(($D61+N$5),PERMANENT_FIELD_LABOR_HOURS)*PERMANENT_HOURLY_RATE-MAX(0,($D61+N$5)-PERMANENT_FIELD_LABOR_HOURS)*TEMP_HOURLY_RATE-FIXED_SEASON_COST)</f>
        <v>-2102.47971033716</v>
      </c>
      <c r="O61" s="53" t="n">
        <f aca="false">IF(OR($A61&gt;TOMATO_BED_CAP,$B61&gt;CARROT_BED_CAP,O$4&gt;MESCLUN_BED_CAP,$A61+$B61+O$4&gt;TOTAL_BEDS_AVAILABLE,($D61+O$5)&gt;TOTAL_LABOR_HOURS_CAP,MAX(0,($D61+O$5)-PERMANENT_FIELD_LABOR_HOURS)&gt;TEMP_HOURS_CAP),"",$C61+O$6-MIN(($D61+O$5),PERMANENT_FIELD_LABOR_HOURS)*PERMANENT_HOURLY_RATE-MAX(0,($D61+O$5)-PERMANENT_FIELD_LABOR_HOURS)*TEMP_HOURLY_RATE-FIXED_SEASON_COST)</f>
        <v>-1242.3720135824</v>
      </c>
      <c r="P61" s="53" t="n">
        <f aca="false">IF(OR($A61&gt;TOMATO_BED_CAP,$B61&gt;CARROT_BED_CAP,P$4&gt;MESCLUN_BED_CAP,$A61+$B61+P$4&gt;TOTAL_BEDS_AVAILABLE,($D61+P$5)&gt;TOTAL_LABOR_HOURS_CAP,MAX(0,($D61+P$5)-PERMANENT_FIELD_LABOR_HOURS)&gt;TEMP_HOURS_CAP),"",$C61+P$6-MIN(($D61+P$5),PERMANENT_FIELD_LABOR_HOURS)*PERMANENT_HOURLY_RATE-MAX(0,($D61+P$5)-PERMANENT_FIELD_LABOR_HOURS)*TEMP_HOURLY_RATE-FIXED_SEASON_COST)</f>
        <v>-405.183093730979</v>
      </c>
      <c r="Q61" s="53" t="n">
        <f aca="false">IF(OR($A61&gt;TOMATO_BED_CAP,$B61&gt;CARROT_BED_CAP,Q$4&gt;MESCLUN_BED_CAP,$A61+$B61+Q$4&gt;TOTAL_BEDS_AVAILABLE,($D61+Q$5)&gt;TOTAL_LABOR_HOURS_CAP,MAX(0,($D61+Q$5)-PERMANENT_FIELD_LABOR_HOURS)&gt;TEMP_HOURS_CAP),"",$C61+Q$6-MIN(($D61+Q$5),PERMANENT_FIELD_LABOR_HOURS)*PERMANENT_HOURLY_RATE-MAX(0,($D61+Q$5)-PERMANENT_FIELD_LABOR_HOURS)*TEMP_HOURLY_RATE-FIXED_SEASON_COST)</f>
        <v>408.66406296692</v>
      </c>
      <c r="R61" s="53" t="n">
        <f aca="false">IF(OR($A61&gt;TOMATO_BED_CAP,$B61&gt;CARROT_BED_CAP,R$4&gt;MESCLUN_BED_CAP,$A61+$B61+R$4&gt;TOTAL_BEDS_AVAILABLE,($D61+R$5)&gt;TOTAL_LABOR_HOURS_CAP,MAX(0,($D61+R$5)-PERMANENT_FIELD_LABOR_HOURS)&gt;TEMP_HOURS_CAP),"",$C61+R$6-MIN(($D61+R$5),PERMANENT_FIELD_LABOR_HOURS)*PERMANENT_HOURLY_RATE-MAX(0,($D61+R$5)-PERMANENT_FIELD_LABOR_HOURS)*TEMP_HOURLY_RATE-FIXED_SEASON_COST)</f>
        <v>1198.73947666372</v>
      </c>
      <c r="S61" s="53" t="n">
        <f aca="false">IF(OR($A61&gt;TOMATO_BED_CAP,$B61&gt;CARROT_BED_CAP,S$4&gt;MESCLUN_BED_CAP,$A61+$B61+S$4&gt;TOTAL_BEDS_AVAILABLE,($D61+S$5)&gt;TOTAL_LABOR_HOURS_CAP,MAX(0,($D61+S$5)-PERMANENT_FIELD_LABOR_HOURS)&gt;TEMP_HOURS_CAP),"",$C61+S$6-MIN(($D61+S$5),PERMANENT_FIELD_LABOR_HOURS)*PERMANENT_HOURLY_RATE-MAX(0,($D61+S$5)-PERMANENT_FIELD_LABOR_HOURS)*TEMP_HOURLY_RATE-FIXED_SEASON_COST)</f>
        <v>1964.60606516618</v>
      </c>
      <c r="T61" s="53" t="n">
        <f aca="false">IF(OR($A61&gt;TOMATO_BED_CAP,$B61&gt;CARROT_BED_CAP,T$4&gt;MESCLUN_BED_CAP,$A61+$B61+T$4&gt;TOTAL_BEDS_AVAILABLE,($D61+T$5)&gt;TOTAL_LABOR_HOURS_CAP,MAX(0,($D61+T$5)-PERMANENT_FIELD_LABOR_HOURS)&gt;TEMP_HOURS_CAP),"",$C61+T$6-MIN(($D61+T$5),PERMANENT_FIELD_LABOR_HOURS)*PERMANENT_HOURLY_RATE-MAX(0,($D61+T$5)-PERMANENT_FIELD_LABOR_HOURS)*TEMP_HOURLY_RATE-FIXED_SEASON_COST)</f>
        <v>2705.81953356102</v>
      </c>
      <c r="U61" s="53" t="n">
        <f aca="false">IF(OR($A61&gt;TOMATO_BED_CAP,$B61&gt;CARROT_BED_CAP,U$4&gt;MESCLUN_BED_CAP,$A61+$B61+U$4&gt;TOTAL_BEDS_AVAILABLE,($D61+U$5)&gt;TOTAL_LABOR_HOURS_CAP,MAX(0,($D61+U$5)-PERMANENT_FIELD_LABOR_HOURS)&gt;TEMP_HOURS_CAP),"",$C61+U$6-MIN(($D61+U$5),PERMANENT_FIELD_LABOR_HOURS)*PERMANENT_HOURLY_RATE-MAX(0,($D61+U$5)-PERMANENT_FIELD_LABOR_HOURS)*TEMP_HOURLY_RATE-FIXED_SEASON_COST)</f>
        <v>3421.92826219112</v>
      </c>
      <c r="V61" s="53" t="n">
        <f aca="false">IF(OR($A61&gt;TOMATO_BED_CAP,$B61&gt;CARROT_BED_CAP,V$4&gt;MESCLUN_BED_CAP,$A61+$B61+V$4&gt;TOTAL_BEDS_AVAILABLE,($D61+V$5)&gt;TOTAL_LABOR_HOURS_CAP,MAX(0,($D61+V$5)-PERMANENT_FIELD_LABOR_HOURS)&gt;TEMP_HOURS_CAP),"",$C61+V$6-MIN(($D61+V$5),PERMANENT_FIELD_LABOR_HOURS)*PERMANENT_HOURLY_RATE-MAX(0,($D61+V$5)-PERMANENT_FIELD_LABOR_HOURS)*TEMP_HOURLY_RATE-FIXED_SEASON_COST)</f>
        <v>4112.47319295791</v>
      </c>
      <c r="W61" s="53" t="n">
        <f aca="false">IF(OR($A61&gt;TOMATO_BED_CAP,$B61&gt;CARROT_BED_CAP,W$4&gt;MESCLUN_BED_CAP,$A61+$B61+W$4&gt;TOTAL_BEDS_AVAILABLE,($D61+W$5)&gt;TOTAL_LABOR_HOURS_CAP,MAX(0,($D61+W$5)-PERMANENT_FIELD_LABOR_HOURS)&gt;TEMP_HOURS_CAP),"",$C61+W$6-MIN(($D61+W$5),PERMANENT_FIELD_LABOR_HOURS)*PERMANENT_HOURLY_RATE-MAX(0,($D61+W$5)-PERMANENT_FIELD_LABOR_HOURS)*TEMP_HOURLY_RATE-FIXED_SEASON_COST)</f>
        <v>4776.98771392597</v>
      </c>
      <c r="X61" s="53" t="n">
        <f aca="false">IF(OR($A61&gt;TOMATO_BED_CAP,$B61&gt;CARROT_BED_CAP,X$4&gt;MESCLUN_BED_CAP,$A61+$B61+X$4&gt;TOTAL_BEDS_AVAILABLE,($D61+X$5)&gt;TOTAL_LABOR_HOURS_CAP,MAX(0,($D61+X$5)-PERMANENT_FIELD_LABOR_HOURS)&gt;TEMP_HOURS_CAP),"",$C61+X$6-MIN(($D61+X$5),PERMANENT_FIELD_LABOR_HOURS)*PERMANENT_HOURLY_RATE-MAX(0,($D61+X$5)-PERMANENT_FIELD_LABOR_HOURS)*TEMP_HOURLY_RATE-FIXED_SEASON_COST)</f>
        <v>5414.9975422049</v>
      </c>
      <c r="Y61" s="53" t="n">
        <f aca="false">IF(OR($A61&gt;TOMATO_BED_CAP,$B61&gt;CARROT_BED_CAP,Y$4&gt;MESCLUN_BED_CAP,$A61+$B61+Y$4&gt;TOTAL_BEDS_AVAILABLE,($D61+Y$5)&gt;TOTAL_LABOR_HOURS_CAP,MAX(0,($D61+Y$5)-PERMANENT_FIELD_LABOR_HOURS)&gt;TEMP_HOURS_CAP),"",$C61+Y$6-MIN(($D61+Y$5),PERMANENT_FIELD_LABOR_HOURS)*PERMANENT_HOURLY_RATE-MAX(0,($D61+Y$5)-PERMANENT_FIELD_LABOR_HOURS)*TEMP_HOURLY_RATE-FIXED_SEASON_COST)</f>
        <v>6026.02060508356</v>
      </c>
      <c r="Z61" s="53" t="n">
        <f aca="false">IF(OR($A61&gt;TOMATO_BED_CAP,$B61&gt;CARROT_BED_CAP,Z$4&gt;MESCLUN_BED_CAP,$A61+$B61+Z$4&gt;TOTAL_BEDS_AVAILABLE,($D61+Z$5)&gt;TOTAL_LABOR_HOURS_CAP,MAX(0,($D61+Z$5)-PERMANENT_FIELD_LABOR_HOURS)&gt;TEMP_HOURS_CAP),"",$C61+Z$6-MIN(($D61+Z$5),PERMANENT_FIELD_LABOR_HOURS)*PERMANENT_HOURLY_RATE-MAX(0,($D61+Z$5)-PERMANENT_FIELD_LABOR_HOURS)*TEMP_HOURLY_RATE-FIXED_SEASON_COST)</f>
        <v>6609.56691939128</v>
      </c>
      <c r="AA61" s="53" t="n">
        <f aca="false">IF(OR($A61&gt;TOMATO_BED_CAP,$B61&gt;CARROT_BED_CAP,AA$4&gt;MESCLUN_BED_CAP,$A61+$B61+AA$4&gt;TOTAL_BEDS_AVAILABLE,($D61+AA$5)&gt;TOTAL_LABOR_HOURS_CAP,MAX(0,($D61+AA$5)-PERMANENT_FIELD_LABOR_HOURS)&gt;TEMP_HOURS_CAP),"",$C61+AA$6-MIN(($D61+AA$5),PERMANENT_FIELD_LABOR_HOURS)*PERMANENT_HOURLY_RATE-MAX(0,($D61+AA$5)-PERMANENT_FIELD_LABOR_HOURS)*TEMP_HOURLY_RATE-FIXED_SEASON_COST)</f>
        <v>7165.13846906021</v>
      </c>
      <c r="AB61" s="53" t="n">
        <f aca="false">IF(OR($A61&gt;TOMATO_BED_CAP,$B61&gt;CARROT_BED_CAP,AB$4&gt;MESCLUN_BED_CAP,$A61+$B61+AB$4&gt;TOTAL_BEDS_AVAILABLE,($D61+AB$5)&gt;TOTAL_LABOR_HOURS_CAP,MAX(0,($D61+AB$5)-PERMANENT_FIELD_LABOR_HOURS)&gt;TEMP_HOURS_CAP),"",$C61+AB$6-MIN(($D61+AB$5),PERMANENT_FIELD_LABOR_HOURS)*PERMANENT_HOURLY_RATE-MAX(0,($D61+AB$5)-PERMANENT_FIELD_LABOR_HOURS)*TEMP_HOURLY_RATE-FIXED_SEASON_COST)</f>
        <v>7692.22908086278</v>
      </c>
      <c r="AC61" s="53" t="n">
        <f aca="false">IF(OR($A61&gt;TOMATO_BED_CAP,$B61&gt;CARROT_BED_CAP,AC$4&gt;MESCLUN_BED_CAP,$A61+$B61+AC$4&gt;TOTAL_BEDS_AVAILABLE,($D61+AC$5)&gt;TOTAL_LABOR_HOURS_CAP,MAX(0,($D61+AC$5)-PERMANENT_FIELD_LABOR_HOURS)&gt;TEMP_HOURS_CAP),"",$C61+AC$6-MIN(($D61+AC$5),PERMANENT_FIELD_LABOR_HOURS)*PERMANENT_HOURLY_RATE-MAX(0,($D61+AC$5)-PERMANENT_FIELD_LABOR_HOURS)*TEMP_HOURLY_RATE-FIXED_SEASON_COST)</f>
        <v>8190.32429829768</v>
      </c>
      <c r="AD61" s="53" t="n">
        <f aca="false">IF(OR($A61&gt;TOMATO_BED_CAP,$B61&gt;CARROT_BED_CAP,AD$4&gt;MESCLUN_BED_CAP,$A61+$B61+AD$4&gt;TOTAL_BEDS_AVAILABLE,($D61+AD$5)&gt;TOTAL_LABOR_HOURS_CAP,MAX(0,($D61+AD$5)-PERMANENT_FIELD_LABOR_HOURS)&gt;TEMP_HOURS_CAP),"",$C61+AD$6-MIN(($D61+AD$5),PERMANENT_FIELD_LABOR_HOURS)*PERMANENT_HOURLY_RATE-MAX(0,($D61+AD$5)-PERMANENT_FIELD_LABOR_HOURS)*TEMP_HOURLY_RATE-FIXED_SEASON_COST)</f>
        <v>8658.90125359764</v>
      </c>
      <c r="AE61" s="53" t="n">
        <f aca="false">IF(OR($A61&gt;TOMATO_BED_CAP,$B61&gt;CARROT_BED_CAP,AE$4&gt;MESCLUN_BED_CAP,$A61+$B61+AE$4&gt;TOTAL_BEDS_AVAILABLE,($D61+AE$5)&gt;TOTAL_LABOR_HOURS_CAP,MAX(0,($D61+AE$5)-PERMANENT_FIELD_LABOR_HOURS)&gt;TEMP_HOURS_CAP),"",$C61+AE$6-MIN(($D61+AE$5),PERMANENT_FIELD_LABOR_HOURS)*PERMANENT_HOURLY_RATE-MAX(0,($D61+AE$5)-PERMANENT_FIELD_LABOR_HOURS)*TEMP_HOURLY_RATE-FIXED_SEASON_COST)</f>
        <v>9097.42853783154</v>
      </c>
      <c r="AF61" s="53" t="n">
        <f aca="false">IF(OR($A61&gt;TOMATO_BED_CAP,$B61&gt;CARROT_BED_CAP,AF$4&gt;MESCLUN_BED_CAP,$A61+$B61+AF$4&gt;TOTAL_BEDS_AVAILABLE,($D61+AF$5)&gt;TOTAL_LABOR_HOURS_CAP,MAX(0,($D61+AF$5)-PERMANENT_FIELD_LABOR_HOURS)&gt;TEMP_HOURS_CAP),"",$C61+AF$6-MIN(($D61+AF$5),PERMANENT_FIELD_LABOR_HOURS)*PERMANENT_HOURLY_RATE-MAX(0,($D61+AF$5)-PERMANENT_FIELD_LABOR_HOURS)*TEMP_HOURLY_RATE-FIXED_SEASON_COST)</f>
        <v>9505.36606907349</v>
      </c>
      <c r="AG61" s="53" t="n">
        <f aca="false">IF(OR($A61&gt;TOMATO_BED_CAP,$B61&gt;CARROT_BED_CAP,AG$4&gt;MESCLUN_BED_CAP,$A61+$B61+AG$4&gt;TOTAL_BEDS_AVAILABLE,($D61+AG$5)&gt;TOTAL_LABOR_HOURS_CAP,MAX(0,($D61+AG$5)-PERMANENT_FIELD_LABOR_HOURS)&gt;TEMP_HOURS_CAP),"",$C61+AG$6-MIN(($D61+AG$5),PERMANENT_FIELD_LABOR_HOURS)*PERMANENT_HOURLY_RATE-MAX(0,($D61+AG$5)-PERMANENT_FIELD_LABOR_HOURS)*TEMP_HOURLY_RATE-FIXED_SEASON_COST)</f>
        <v>9882.1649586105</v>
      </c>
      <c r="AH61" s="53" t="n">
        <f aca="false">IF(OR($A61&gt;TOMATO_BED_CAP,$B61&gt;CARROT_BED_CAP,AH$4&gt;MESCLUN_BED_CAP,$A61+$B61+AH$4&gt;TOTAL_BEDS_AVAILABLE,($D61+AH$5)&gt;TOTAL_LABOR_HOURS_CAP,MAX(0,($D61+AH$5)-PERMANENT_FIELD_LABOR_HOURS)&gt;TEMP_HOURS_CAP),"",$C61+AH$6-MIN(($D61+AH$5),PERMANENT_FIELD_LABOR_HOURS)*PERMANENT_HOURLY_RATE-MAX(0,($D61+AH$5)-PERMANENT_FIELD_LABOR_HOURS)*TEMP_HOURLY_RATE-FIXED_SEASON_COST)</f>
        <v>10227.2673751607</v>
      </c>
      <c r="AI61" s="53" t="n">
        <f aca="false">IF(OR($A61&gt;TOMATO_BED_CAP,$B61&gt;CARROT_BED_CAP,AI$4&gt;MESCLUN_BED_CAP,$A61+$B61+AI$4&gt;TOTAL_BEDS_AVAILABLE,($D61+AI$5)&gt;TOTAL_LABOR_HOURS_CAP,MAX(0,($D61+AI$5)-PERMANENT_FIELD_LABOR_HOURS)&gt;TEMP_HOURS_CAP),"",$C61+AI$6-MIN(($D61+AI$5),PERMANENT_FIELD_LABOR_HOURS)*PERMANENT_HOURLY_RATE-MAX(0,($D61+AI$5)-PERMANENT_FIELD_LABOR_HOURS)*TEMP_HOURLY_RATE-FIXED_SEASON_COST)</f>
        <v>10540.106407073</v>
      </c>
      <c r="AJ61" s="53" t="n">
        <f aca="false">IF(OR($A61&gt;TOMATO_BED_CAP,$B61&gt;CARROT_BED_CAP,AJ$4&gt;MESCLUN_BED_CAP,$A61+$B61+AJ$4&gt;TOTAL_BEDS_AVAILABLE,($D61+AJ$5)&gt;TOTAL_LABOR_HOURS_CAP,MAX(0,($D61+AJ$5)-PERMANENT_FIELD_LABOR_HOURS)&gt;TEMP_HOURS_CAP),"",$C61+AJ$6-MIN(($D61+AJ$5),PERMANENT_FIELD_LABOR_HOURS)*PERMANENT_HOURLY_RATE-MAX(0,($D61+AJ$5)-PERMANENT_FIELD_LABOR_HOURS)*TEMP_HOURLY_RATE-FIXED_SEASON_COST)</f>
        <v>10820.1059224787</v>
      </c>
    </row>
    <row r="62" customFormat="false" ht="15" hidden="false" customHeight="false" outlineLevel="0" collapsed="false">
      <c r="A62" s="21" t="n">
        <f aca="false">INT((ROW()-ROW($A$8))/(20+1))</f>
        <v>2</v>
      </c>
      <c r="B62" s="21" t="n">
        <f aca="false">MOD(ROW()-ROW($A$8),20+1)</f>
        <v>12</v>
      </c>
      <c r="C62" s="13" t="n">
        <f aca="false">A62*(TOMATO_REVENUE_PER_BED-TOMATO_FERTILIZER_PER_BED)+B62*(CARROT_REVENUE_PER_BED-CARROT_FERTILIZER_PER_BED)</f>
        <v>35688</v>
      </c>
      <c r="D62" s="14" t="n">
        <f aca="false">INDEX(TOMATO_SCHED_LABOR_HRS,A62+1)+INDEX(CARROT_SCHED_LABOR_HRS,B62+1)</f>
        <v>701.766312737976</v>
      </c>
      <c r="E62" s="13" t="n">
        <f aca="false">IF(COUNT(F62:AJ62)=0,"",MAX(F62:AJ62))</f>
        <v>11586.1261057413</v>
      </c>
      <c r="F62" s="53" t="n">
        <f aca="false">IF(OR($A62&gt;TOMATO_BED_CAP,$B62&gt;CARROT_BED_CAP,F$4&gt;MESCLUN_BED_CAP,$A62+$B62+F$4&gt;TOTAL_BEDS_AVAILABLE,($D62+F$5)&gt;TOTAL_LABOR_HOURS_CAP,MAX(0,($D62+F$5)-PERMANENT_FIELD_LABOR_HOURS)&gt;TEMP_HOURS_CAP),"",$C62+F$6-MIN(($D62+F$5),PERMANENT_FIELD_LABOR_HOURS)*PERMANENT_HOURLY_RATE-MAX(0,($D62+F$5)-PERMANENT_FIELD_LABOR_HOURS)*TEMP_HOURLY_RATE-FIXED_SEASON_COST)</f>
        <v>-8677.32637826251</v>
      </c>
      <c r="G62" s="53" t="n">
        <f aca="false">IF(OR($A62&gt;TOMATO_BED_CAP,$B62&gt;CARROT_BED_CAP,G$4&gt;MESCLUN_BED_CAP,$A62+$B62+G$4&gt;TOTAL_BEDS_AVAILABLE,($D62+G$5)&gt;TOTAL_LABOR_HOURS_CAP,MAX(0,($D62+G$5)-PERMANENT_FIELD_LABOR_HOURS)&gt;TEMP_HOURS_CAP),"",$C62+G$6-MIN(($D62+G$5),PERMANENT_FIELD_LABOR_HOURS)*PERMANENT_HOURLY_RATE-MAX(0,($D62+G$5)-PERMANENT_FIELD_LABOR_HOURS)*TEMP_HOURLY_RATE-FIXED_SEASON_COST)</f>
        <v>-7964.82818913125</v>
      </c>
      <c r="H62" s="53" t="n">
        <f aca="false">IF(OR($A62&gt;TOMATO_BED_CAP,$B62&gt;CARROT_BED_CAP,H$4&gt;MESCLUN_BED_CAP,$A62+$B62+H$4&gt;TOTAL_BEDS_AVAILABLE,($D62+H$5)&gt;TOTAL_LABOR_HOURS_CAP,MAX(0,($D62+H$5)-PERMANENT_FIELD_LABOR_HOURS)&gt;TEMP_HOURS_CAP),"",$C62+H$6-MIN(($D62+H$5),PERMANENT_FIELD_LABOR_HOURS)*PERMANENT_HOURLY_RATE-MAX(0,($D62+H$5)-PERMANENT_FIELD_LABOR_HOURS)*TEMP_HOURLY_RATE-FIXED_SEASON_COST)</f>
        <v>-6955.56731413125</v>
      </c>
      <c r="I62" s="53" t="n">
        <f aca="false">IF(OR($A62&gt;TOMATO_BED_CAP,$B62&gt;CARROT_BED_CAP,I$4&gt;MESCLUN_BED_CAP,$A62+$B62+I$4&gt;TOTAL_BEDS_AVAILABLE,($D62+I$5)&gt;TOTAL_LABOR_HOURS_CAP,MAX(0,($D62+I$5)-PERMANENT_FIELD_LABOR_HOURS)&gt;TEMP_HOURS_CAP),"",$C62+I$6-MIN(($D62+I$5),PERMANENT_FIELD_LABOR_HOURS)*PERMANENT_HOURLY_RATE-MAX(0,($D62+I$5)-PERMANENT_FIELD_LABOR_HOURS)*TEMP_HOURLY_RATE-FIXED_SEASON_COST)</f>
        <v>-5966.451328975</v>
      </c>
      <c r="J62" s="53" t="n">
        <f aca="false">IF(OR($A62&gt;TOMATO_BED_CAP,$B62&gt;CARROT_BED_CAP,J$4&gt;MESCLUN_BED_CAP,$A62+$B62+J$4&gt;TOTAL_BEDS_AVAILABLE,($D62+J$5)&gt;TOTAL_LABOR_HOURS_CAP,MAX(0,($D62+J$5)-PERMANENT_FIELD_LABOR_HOURS)&gt;TEMP_HOURS_CAP),"",$C62+J$6-MIN(($D62+J$5),PERMANENT_FIELD_LABOR_HOURS)*PERMANENT_HOURLY_RATE-MAX(0,($D62+J$5)-PERMANENT_FIELD_LABOR_HOURS)*TEMP_HOURLY_RATE-FIXED_SEASON_COST)</f>
        <v>-4997.85717792031</v>
      </c>
      <c r="K62" s="53" t="n">
        <f aca="false">IF(OR($A62&gt;TOMATO_BED_CAP,$B62&gt;CARROT_BED_CAP,K$4&gt;MESCLUN_BED_CAP,$A62+$B62+K$4&gt;TOTAL_BEDS_AVAILABLE,($D62+K$5)&gt;TOTAL_LABOR_HOURS_CAP,MAX(0,($D62+K$5)-PERMANENT_FIELD_LABOR_HOURS)&gt;TEMP_HOURS_CAP),"",$C62+K$6-MIN(($D62+K$5),PERMANENT_FIELD_LABOR_HOURS)*PERMANENT_HOURLY_RATE-MAX(0,($D62+K$5)-PERMANENT_FIELD_LABOR_HOURS)*TEMP_HOURLY_RATE-FIXED_SEASON_COST)</f>
        <v>-4050.16808119241</v>
      </c>
      <c r="L62" s="53" t="n">
        <f aca="false">IF(OR($A62&gt;TOMATO_BED_CAP,$B62&gt;CARROT_BED_CAP,L$4&gt;MESCLUN_BED_CAP,$A62+$B62+L$4&gt;TOTAL_BEDS_AVAILABLE,($D62+L$5)&gt;TOTAL_LABOR_HOURS_CAP,MAX(0,($D62+L$5)-PERMANENT_FIELD_LABOR_HOURS)&gt;TEMP_HOURS_CAP),"",$C62+L$6-MIN(($D62+L$5),PERMANENT_FIELD_LABOR_HOURS)*PERMANENT_HOURLY_RATE-MAX(0,($D62+L$5)-PERMANENT_FIELD_LABOR_HOURS)*TEMP_HOURLY_RATE-FIXED_SEASON_COST)</f>
        <v>-3123.77363298555</v>
      </c>
      <c r="M62" s="53" t="n">
        <f aca="false">IF(OR($A62&gt;TOMATO_BED_CAP,$B62&gt;CARROT_BED_CAP,M$4&gt;MESCLUN_BED_CAP,$A62+$B62+M$4&gt;TOTAL_BEDS_AVAILABLE,($D62+M$5)&gt;TOTAL_LABOR_HOURS_CAP,MAX(0,($D62+M$5)-PERMANENT_FIELD_LABOR_HOURS)&gt;TEMP_HOURS_CAP),"",$C62+M$6-MIN(($D62+M$5),PERMANENT_FIELD_LABOR_HOURS)*PERMANENT_HOURLY_RATE-MAX(0,($D62+M$5)-PERMANENT_FIELD_LABOR_HOURS)*TEMP_HOURLY_RATE-FIXED_SEASON_COST)</f>
        <v>-2219.06990093415</v>
      </c>
      <c r="N62" s="53" t="n">
        <f aca="false">IF(OR($A62&gt;TOMATO_BED_CAP,$B62&gt;CARROT_BED_CAP,N$4&gt;MESCLUN_BED_CAP,$A62+$B62+N$4&gt;TOTAL_BEDS_AVAILABLE,($D62+N$5)&gt;TOTAL_LABOR_HOURS_CAP,MAX(0,($D62+N$5)-PERMANENT_FIELD_LABOR_HOURS)&gt;TEMP_HOURS_CAP),"",$C62+N$6-MIN(($D62+N$5),PERMANENT_FIELD_LABOR_HOURS)*PERMANENT_HOURLY_RATE-MAX(0,($D62+N$5)-PERMANENT_FIELD_LABOR_HOURS)*TEMP_HOURLY_RATE-FIXED_SEASON_COST)</f>
        <v>-1336.4595270746</v>
      </c>
      <c r="O62" s="53" t="n">
        <f aca="false">IF(OR($A62&gt;TOMATO_BED_CAP,$B62&gt;CARROT_BED_CAP,O$4&gt;MESCLUN_BED_CAP,$A62+$B62+O$4&gt;TOTAL_BEDS_AVAILABLE,($D62+O$5)&gt;TOTAL_LABOR_HOURS_CAP,MAX(0,($D62+O$5)-PERMANENT_FIELD_LABOR_HOURS)&gt;TEMP_HOURS_CAP),"",$C62+O$6-MIN(($D62+O$5),PERMANENT_FIELD_LABOR_HOURS)*PERMANENT_HOURLY_RATE-MAX(0,($D62+O$5)-PERMANENT_FIELD_LABOR_HOURS)*TEMP_HOURLY_RATE-FIXED_SEASON_COST)</f>
        <v>-476.351830319851</v>
      </c>
      <c r="P62" s="53" t="n">
        <f aca="false">IF(OR($A62&gt;TOMATO_BED_CAP,$B62&gt;CARROT_BED_CAP,P$4&gt;MESCLUN_BED_CAP,$A62+$B62+P$4&gt;TOTAL_BEDS_AVAILABLE,($D62+P$5)&gt;TOTAL_LABOR_HOURS_CAP,MAX(0,($D62+P$5)-PERMANENT_FIELD_LABOR_HOURS)&gt;TEMP_HOURS_CAP),"",$C62+P$6-MIN(($D62+P$5),PERMANENT_FIELD_LABOR_HOURS)*PERMANENT_HOURLY_RATE-MAX(0,($D62+P$5)-PERMANENT_FIELD_LABOR_HOURS)*TEMP_HOURLY_RATE-FIXED_SEASON_COST)</f>
        <v>360.837089531575</v>
      </c>
      <c r="Q62" s="53" t="n">
        <f aca="false">IF(OR($A62&gt;TOMATO_BED_CAP,$B62&gt;CARROT_BED_CAP,Q$4&gt;MESCLUN_BED_CAP,$A62+$B62+Q$4&gt;TOTAL_BEDS_AVAILABLE,($D62+Q$5)&gt;TOTAL_LABOR_HOURS_CAP,MAX(0,($D62+Q$5)-PERMANENT_FIELD_LABOR_HOURS)&gt;TEMP_HOURS_CAP),"",$C62+Q$6-MIN(($D62+Q$5),PERMANENT_FIELD_LABOR_HOURS)*PERMANENT_HOURLY_RATE-MAX(0,($D62+Q$5)-PERMANENT_FIELD_LABOR_HOURS)*TEMP_HOURLY_RATE-FIXED_SEASON_COST)</f>
        <v>1174.68424622947</v>
      </c>
      <c r="R62" s="53" t="n">
        <f aca="false">IF(OR($A62&gt;TOMATO_BED_CAP,$B62&gt;CARROT_BED_CAP,R$4&gt;MESCLUN_BED_CAP,$A62+$B62+R$4&gt;TOTAL_BEDS_AVAILABLE,($D62+R$5)&gt;TOTAL_LABOR_HOURS_CAP,MAX(0,($D62+R$5)-PERMANENT_FIELD_LABOR_HOURS)&gt;TEMP_HOURS_CAP),"",$C62+R$6-MIN(($D62+R$5),PERMANENT_FIELD_LABOR_HOURS)*PERMANENT_HOURLY_RATE-MAX(0,($D62+R$5)-PERMANENT_FIELD_LABOR_HOURS)*TEMP_HOURLY_RATE-FIXED_SEASON_COST)</f>
        <v>1964.75965992628</v>
      </c>
      <c r="S62" s="53" t="n">
        <f aca="false">IF(OR($A62&gt;TOMATO_BED_CAP,$B62&gt;CARROT_BED_CAP,S$4&gt;MESCLUN_BED_CAP,$A62+$B62+S$4&gt;TOTAL_BEDS_AVAILABLE,($D62+S$5)&gt;TOTAL_LABOR_HOURS_CAP,MAX(0,($D62+S$5)-PERMANENT_FIELD_LABOR_HOURS)&gt;TEMP_HOURS_CAP),"",$C62+S$6-MIN(($D62+S$5),PERMANENT_FIELD_LABOR_HOURS)*PERMANENT_HOURLY_RATE-MAX(0,($D62+S$5)-PERMANENT_FIELD_LABOR_HOURS)*TEMP_HOURLY_RATE-FIXED_SEASON_COST)</f>
        <v>2730.62624842873</v>
      </c>
      <c r="T62" s="53" t="n">
        <f aca="false">IF(OR($A62&gt;TOMATO_BED_CAP,$B62&gt;CARROT_BED_CAP,T$4&gt;MESCLUN_BED_CAP,$A62+$B62+T$4&gt;TOTAL_BEDS_AVAILABLE,($D62+T$5)&gt;TOTAL_LABOR_HOURS_CAP,MAX(0,($D62+T$5)-PERMANENT_FIELD_LABOR_HOURS)&gt;TEMP_HOURS_CAP),"",$C62+T$6-MIN(($D62+T$5),PERMANENT_FIELD_LABOR_HOURS)*PERMANENT_HOURLY_RATE-MAX(0,($D62+T$5)-PERMANENT_FIELD_LABOR_HOURS)*TEMP_HOURLY_RATE-FIXED_SEASON_COST)</f>
        <v>3471.83971682357</v>
      </c>
      <c r="U62" s="53" t="n">
        <f aca="false">IF(OR($A62&gt;TOMATO_BED_CAP,$B62&gt;CARROT_BED_CAP,U$4&gt;MESCLUN_BED_CAP,$A62+$B62+U$4&gt;TOTAL_BEDS_AVAILABLE,($D62+U$5)&gt;TOTAL_LABOR_HOURS_CAP,MAX(0,($D62+U$5)-PERMANENT_FIELD_LABOR_HOURS)&gt;TEMP_HOURS_CAP),"",$C62+U$6-MIN(($D62+U$5),PERMANENT_FIELD_LABOR_HOURS)*PERMANENT_HOURLY_RATE-MAX(0,($D62+U$5)-PERMANENT_FIELD_LABOR_HOURS)*TEMP_HOURLY_RATE-FIXED_SEASON_COST)</f>
        <v>4187.94844545367</v>
      </c>
      <c r="V62" s="53" t="n">
        <f aca="false">IF(OR($A62&gt;TOMATO_BED_CAP,$B62&gt;CARROT_BED_CAP,V$4&gt;MESCLUN_BED_CAP,$A62+$B62+V$4&gt;TOTAL_BEDS_AVAILABLE,($D62+V$5)&gt;TOTAL_LABOR_HOURS_CAP,MAX(0,($D62+V$5)-PERMANENT_FIELD_LABOR_HOURS)&gt;TEMP_HOURS_CAP),"",$C62+V$6-MIN(($D62+V$5),PERMANENT_FIELD_LABOR_HOURS)*PERMANENT_HOURLY_RATE-MAX(0,($D62+V$5)-PERMANENT_FIELD_LABOR_HOURS)*TEMP_HOURLY_RATE-FIXED_SEASON_COST)</f>
        <v>4878.49337622046</v>
      </c>
      <c r="W62" s="53" t="n">
        <f aca="false">IF(OR($A62&gt;TOMATO_BED_CAP,$B62&gt;CARROT_BED_CAP,W$4&gt;MESCLUN_BED_CAP,$A62+$B62+W$4&gt;TOTAL_BEDS_AVAILABLE,($D62+W$5)&gt;TOTAL_LABOR_HOURS_CAP,MAX(0,($D62+W$5)-PERMANENT_FIELD_LABOR_HOURS)&gt;TEMP_HOURS_CAP),"",$C62+W$6-MIN(($D62+W$5),PERMANENT_FIELD_LABOR_HOURS)*PERMANENT_HOURLY_RATE-MAX(0,($D62+W$5)-PERMANENT_FIELD_LABOR_HOURS)*TEMP_HOURLY_RATE-FIXED_SEASON_COST)</f>
        <v>5543.00789718852</v>
      </c>
      <c r="X62" s="53" t="n">
        <f aca="false">IF(OR($A62&gt;TOMATO_BED_CAP,$B62&gt;CARROT_BED_CAP,X$4&gt;MESCLUN_BED_CAP,$A62+$B62+X$4&gt;TOTAL_BEDS_AVAILABLE,($D62+X$5)&gt;TOTAL_LABOR_HOURS_CAP,MAX(0,($D62+X$5)-PERMANENT_FIELD_LABOR_HOURS)&gt;TEMP_HOURS_CAP),"",$C62+X$6-MIN(($D62+X$5),PERMANENT_FIELD_LABOR_HOURS)*PERMANENT_HOURLY_RATE-MAX(0,($D62+X$5)-PERMANENT_FIELD_LABOR_HOURS)*TEMP_HOURLY_RATE-FIXED_SEASON_COST)</f>
        <v>6181.01772546745</v>
      </c>
      <c r="Y62" s="53" t="n">
        <f aca="false">IF(OR($A62&gt;TOMATO_BED_CAP,$B62&gt;CARROT_BED_CAP,Y$4&gt;MESCLUN_BED_CAP,$A62+$B62+Y$4&gt;TOTAL_BEDS_AVAILABLE,($D62+Y$5)&gt;TOTAL_LABOR_HOURS_CAP,MAX(0,($D62+Y$5)-PERMANENT_FIELD_LABOR_HOURS)&gt;TEMP_HOURS_CAP),"",$C62+Y$6-MIN(($D62+Y$5),PERMANENT_FIELD_LABOR_HOURS)*PERMANENT_HOURLY_RATE-MAX(0,($D62+Y$5)-PERMANENT_FIELD_LABOR_HOURS)*TEMP_HOURLY_RATE-FIXED_SEASON_COST)</f>
        <v>6792.04078834611</v>
      </c>
      <c r="Z62" s="53" t="n">
        <f aca="false">IF(OR($A62&gt;TOMATO_BED_CAP,$B62&gt;CARROT_BED_CAP,Z$4&gt;MESCLUN_BED_CAP,$A62+$B62+Z$4&gt;TOTAL_BEDS_AVAILABLE,($D62+Z$5)&gt;TOTAL_LABOR_HOURS_CAP,MAX(0,($D62+Z$5)-PERMANENT_FIELD_LABOR_HOURS)&gt;TEMP_HOURS_CAP),"",$C62+Z$6-MIN(($D62+Z$5),PERMANENT_FIELD_LABOR_HOURS)*PERMANENT_HOURLY_RATE-MAX(0,($D62+Z$5)-PERMANENT_FIELD_LABOR_HOURS)*TEMP_HOURLY_RATE-FIXED_SEASON_COST)</f>
        <v>7375.58710265383</v>
      </c>
      <c r="AA62" s="53" t="n">
        <f aca="false">IF(OR($A62&gt;TOMATO_BED_CAP,$B62&gt;CARROT_BED_CAP,AA$4&gt;MESCLUN_BED_CAP,$A62+$B62+AA$4&gt;TOTAL_BEDS_AVAILABLE,($D62+AA$5)&gt;TOTAL_LABOR_HOURS_CAP,MAX(0,($D62+AA$5)-PERMANENT_FIELD_LABOR_HOURS)&gt;TEMP_HOURS_CAP),"",$C62+AA$6-MIN(($D62+AA$5),PERMANENT_FIELD_LABOR_HOURS)*PERMANENT_HOURLY_RATE-MAX(0,($D62+AA$5)-PERMANENT_FIELD_LABOR_HOURS)*TEMP_HOURLY_RATE-FIXED_SEASON_COST)</f>
        <v>7931.15865232276</v>
      </c>
      <c r="AB62" s="53" t="n">
        <f aca="false">IF(OR($A62&gt;TOMATO_BED_CAP,$B62&gt;CARROT_BED_CAP,AB$4&gt;MESCLUN_BED_CAP,$A62+$B62+AB$4&gt;TOTAL_BEDS_AVAILABLE,($D62+AB$5)&gt;TOTAL_LABOR_HOURS_CAP,MAX(0,($D62+AB$5)-PERMANENT_FIELD_LABOR_HOURS)&gt;TEMP_HOURS_CAP),"",$C62+AB$6-MIN(($D62+AB$5),PERMANENT_FIELD_LABOR_HOURS)*PERMANENT_HOURLY_RATE-MAX(0,($D62+AB$5)-PERMANENT_FIELD_LABOR_HOURS)*TEMP_HOURLY_RATE-FIXED_SEASON_COST)</f>
        <v>8458.24926412533</v>
      </c>
      <c r="AC62" s="53" t="n">
        <f aca="false">IF(OR($A62&gt;TOMATO_BED_CAP,$B62&gt;CARROT_BED_CAP,AC$4&gt;MESCLUN_BED_CAP,$A62+$B62+AC$4&gt;TOTAL_BEDS_AVAILABLE,($D62+AC$5)&gt;TOTAL_LABOR_HOURS_CAP,MAX(0,($D62+AC$5)-PERMANENT_FIELD_LABOR_HOURS)&gt;TEMP_HOURS_CAP),"",$C62+AC$6-MIN(($D62+AC$5),PERMANENT_FIELD_LABOR_HOURS)*PERMANENT_HOURLY_RATE-MAX(0,($D62+AC$5)-PERMANENT_FIELD_LABOR_HOURS)*TEMP_HOURLY_RATE-FIXED_SEASON_COST)</f>
        <v>8956.34448156023</v>
      </c>
      <c r="AD62" s="53" t="n">
        <f aca="false">IF(OR($A62&gt;TOMATO_BED_CAP,$B62&gt;CARROT_BED_CAP,AD$4&gt;MESCLUN_BED_CAP,$A62+$B62+AD$4&gt;TOTAL_BEDS_AVAILABLE,($D62+AD$5)&gt;TOTAL_LABOR_HOURS_CAP,MAX(0,($D62+AD$5)-PERMANENT_FIELD_LABOR_HOURS)&gt;TEMP_HOURS_CAP),"",$C62+AD$6-MIN(($D62+AD$5),PERMANENT_FIELD_LABOR_HOURS)*PERMANENT_HOURLY_RATE-MAX(0,($D62+AD$5)-PERMANENT_FIELD_LABOR_HOURS)*TEMP_HOURLY_RATE-FIXED_SEASON_COST)</f>
        <v>9424.92143686019</v>
      </c>
      <c r="AE62" s="53" t="n">
        <f aca="false">IF(OR($A62&gt;TOMATO_BED_CAP,$B62&gt;CARROT_BED_CAP,AE$4&gt;MESCLUN_BED_CAP,$A62+$B62+AE$4&gt;TOTAL_BEDS_AVAILABLE,($D62+AE$5)&gt;TOTAL_LABOR_HOURS_CAP,MAX(0,($D62+AE$5)-PERMANENT_FIELD_LABOR_HOURS)&gt;TEMP_HOURS_CAP),"",$C62+AE$6-MIN(($D62+AE$5),PERMANENT_FIELD_LABOR_HOURS)*PERMANENT_HOURLY_RATE-MAX(0,($D62+AE$5)-PERMANENT_FIELD_LABOR_HOURS)*TEMP_HOURLY_RATE-FIXED_SEASON_COST)</f>
        <v>9863.4487210941</v>
      </c>
      <c r="AF62" s="53" t="n">
        <f aca="false">IF(OR($A62&gt;TOMATO_BED_CAP,$B62&gt;CARROT_BED_CAP,AF$4&gt;MESCLUN_BED_CAP,$A62+$B62+AF$4&gt;TOTAL_BEDS_AVAILABLE,($D62+AF$5)&gt;TOTAL_LABOR_HOURS_CAP,MAX(0,($D62+AF$5)-PERMANENT_FIELD_LABOR_HOURS)&gt;TEMP_HOURS_CAP),"",$C62+AF$6-MIN(($D62+AF$5),PERMANENT_FIELD_LABOR_HOURS)*PERMANENT_HOURLY_RATE-MAX(0,($D62+AF$5)-PERMANENT_FIELD_LABOR_HOURS)*TEMP_HOURLY_RATE-FIXED_SEASON_COST)</f>
        <v>10271.386252336</v>
      </c>
      <c r="AG62" s="53" t="n">
        <f aca="false">IF(OR($A62&gt;TOMATO_BED_CAP,$B62&gt;CARROT_BED_CAP,AG$4&gt;MESCLUN_BED_CAP,$A62+$B62+AG$4&gt;TOTAL_BEDS_AVAILABLE,($D62+AG$5)&gt;TOTAL_LABOR_HOURS_CAP,MAX(0,($D62+AG$5)-PERMANENT_FIELD_LABOR_HOURS)&gt;TEMP_HOURS_CAP),"",$C62+AG$6-MIN(($D62+AG$5),PERMANENT_FIELD_LABOR_HOURS)*PERMANENT_HOURLY_RATE-MAX(0,($D62+AG$5)-PERMANENT_FIELD_LABOR_HOURS)*TEMP_HOURLY_RATE-FIXED_SEASON_COST)</f>
        <v>10648.1851418731</v>
      </c>
      <c r="AH62" s="53" t="n">
        <f aca="false">IF(OR($A62&gt;TOMATO_BED_CAP,$B62&gt;CARROT_BED_CAP,AH$4&gt;MESCLUN_BED_CAP,$A62+$B62+AH$4&gt;TOTAL_BEDS_AVAILABLE,($D62+AH$5)&gt;TOTAL_LABOR_HOURS_CAP,MAX(0,($D62+AH$5)-PERMANENT_FIELD_LABOR_HOURS)&gt;TEMP_HOURS_CAP),"",$C62+AH$6-MIN(($D62+AH$5),PERMANENT_FIELD_LABOR_HOURS)*PERMANENT_HOURLY_RATE-MAX(0,($D62+AH$5)-PERMANENT_FIELD_LABOR_HOURS)*TEMP_HOURLY_RATE-FIXED_SEASON_COST)</f>
        <v>10993.2875584233</v>
      </c>
      <c r="AI62" s="53" t="n">
        <f aca="false">IF(OR($A62&gt;TOMATO_BED_CAP,$B62&gt;CARROT_BED_CAP,AI$4&gt;MESCLUN_BED_CAP,$A62+$B62+AI$4&gt;TOTAL_BEDS_AVAILABLE,($D62+AI$5)&gt;TOTAL_LABOR_HOURS_CAP,MAX(0,($D62+AI$5)-PERMANENT_FIELD_LABOR_HOURS)&gt;TEMP_HOURS_CAP),"",$C62+AI$6-MIN(($D62+AI$5),PERMANENT_FIELD_LABOR_HOURS)*PERMANENT_HOURLY_RATE-MAX(0,($D62+AI$5)-PERMANENT_FIELD_LABOR_HOURS)*TEMP_HOURLY_RATE-FIXED_SEASON_COST)</f>
        <v>11306.1265903355</v>
      </c>
      <c r="AJ62" s="53" t="n">
        <f aca="false">IF(OR($A62&gt;TOMATO_BED_CAP,$B62&gt;CARROT_BED_CAP,AJ$4&gt;MESCLUN_BED_CAP,$A62+$B62+AJ$4&gt;TOTAL_BEDS_AVAILABLE,($D62+AJ$5)&gt;TOTAL_LABOR_HOURS_CAP,MAX(0,($D62+AJ$5)-PERMANENT_FIELD_LABOR_HOURS)&gt;TEMP_HOURS_CAP),"",$C62+AJ$6-MIN(($D62+AJ$5),PERMANENT_FIELD_LABOR_HOURS)*PERMANENT_HOURLY_RATE-MAX(0,($D62+AJ$5)-PERMANENT_FIELD_LABOR_HOURS)*TEMP_HOURLY_RATE-FIXED_SEASON_COST)</f>
        <v>11586.1261057413</v>
      </c>
    </row>
    <row r="63" customFormat="false" ht="15" hidden="false" customHeight="false" outlineLevel="0" collapsed="false">
      <c r="A63" s="21" t="n">
        <f aca="false">INT((ROW()-ROW($A$8))/(20+1))</f>
        <v>2</v>
      </c>
      <c r="B63" s="21" t="n">
        <f aca="false">MOD(ROW()-ROW($A$8),20+1)</f>
        <v>13</v>
      </c>
      <c r="C63" s="13" t="n">
        <f aca="false">A63*(TOMATO_REVENUE_PER_BED-TOMATO_FERTILIZER_PER_BED)+B63*(CARROT_REVENUE_PER_BED-CARROT_FERTILIZER_PER_BED)</f>
        <v>37342</v>
      </c>
      <c r="D63" s="14" t="n">
        <f aca="false">INDEX(TOMATO_SCHED_LABOR_HRS,A63+1)+INDEX(CARROT_SCHED_LABOR_HRS,B63+1)</f>
        <v>755.20425976946</v>
      </c>
      <c r="E63" s="13" t="n">
        <f aca="false">IF(COUNT(F63:AJ63)=0,"",MAX(F63:AJ63))</f>
        <v>12312.4433452747</v>
      </c>
      <c r="F63" s="53" t="n">
        <f aca="false">IF(OR($A63&gt;TOMATO_BED_CAP,$B63&gt;CARROT_BED_CAP,F$4&gt;MESCLUN_BED_CAP,$A63+$B63+F$4&gt;TOTAL_BEDS_AVAILABLE,($D63+F$5)&gt;TOTAL_LABOR_HOURS_CAP,MAX(0,($D63+F$5)-PERMANENT_FIELD_LABOR_HOURS)&gt;TEMP_HOURS_CAP),"",$C63+F$6-MIN(($D63+F$5),PERMANENT_FIELD_LABOR_HOURS)*PERMANENT_HOURLY_RATE-MAX(0,($D63+F$5)-PERMANENT_FIELD_LABOR_HOURS)*TEMP_HOURLY_RATE-FIXED_SEASON_COST)</f>
        <v>-8267.54594959783</v>
      </c>
      <c r="G63" s="53" t="n">
        <f aca="false">IF(OR($A63&gt;TOMATO_BED_CAP,$B63&gt;CARROT_BED_CAP,G$4&gt;MESCLUN_BED_CAP,$A63+$B63+G$4&gt;TOTAL_BEDS_AVAILABLE,($D63+G$5)&gt;TOTAL_LABOR_HOURS_CAP,MAX(0,($D63+G$5)-PERMANENT_FIELD_LABOR_HOURS)&gt;TEMP_HOURS_CAP),"",$C63+G$6-MIN(($D63+G$5),PERMANENT_FIELD_LABOR_HOURS)*PERMANENT_HOURLY_RATE-MAX(0,($D63+G$5)-PERMANENT_FIELD_LABOR_HOURS)*TEMP_HOURLY_RATE-FIXED_SEASON_COST)</f>
        <v>-7238.51094959783</v>
      </c>
      <c r="H63" s="53" t="n">
        <f aca="false">IF(OR($A63&gt;TOMATO_BED_CAP,$B63&gt;CARROT_BED_CAP,H$4&gt;MESCLUN_BED_CAP,$A63+$B63+H$4&gt;TOTAL_BEDS_AVAILABLE,($D63+H$5)&gt;TOTAL_LABOR_HOURS_CAP,MAX(0,($D63+H$5)-PERMANENT_FIELD_LABOR_HOURS)&gt;TEMP_HOURS_CAP),"",$C63+H$6-MIN(($D63+H$5),PERMANENT_FIELD_LABOR_HOURS)*PERMANENT_HOURLY_RATE-MAX(0,($D63+H$5)-PERMANENT_FIELD_LABOR_HOURS)*TEMP_HOURLY_RATE-FIXED_SEASON_COST)</f>
        <v>-6229.25007459783</v>
      </c>
      <c r="I63" s="53" t="n">
        <f aca="false">IF(OR($A63&gt;TOMATO_BED_CAP,$B63&gt;CARROT_BED_CAP,I$4&gt;MESCLUN_BED_CAP,$A63+$B63+I$4&gt;TOTAL_BEDS_AVAILABLE,($D63+I$5)&gt;TOTAL_LABOR_HOURS_CAP,MAX(0,($D63+I$5)-PERMANENT_FIELD_LABOR_HOURS)&gt;TEMP_HOURS_CAP),"",$C63+I$6-MIN(($D63+I$5),PERMANENT_FIELD_LABOR_HOURS)*PERMANENT_HOURLY_RATE-MAX(0,($D63+I$5)-PERMANENT_FIELD_LABOR_HOURS)*TEMP_HOURLY_RATE-FIXED_SEASON_COST)</f>
        <v>-5240.13408944157</v>
      </c>
      <c r="J63" s="53" t="n">
        <f aca="false">IF(OR($A63&gt;TOMATO_BED_CAP,$B63&gt;CARROT_BED_CAP,J$4&gt;MESCLUN_BED_CAP,$A63+$B63+J$4&gt;TOTAL_BEDS_AVAILABLE,($D63+J$5)&gt;TOTAL_LABOR_HOURS_CAP,MAX(0,($D63+J$5)-PERMANENT_FIELD_LABOR_HOURS)&gt;TEMP_HOURS_CAP),"",$C63+J$6-MIN(($D63+J$5),PERMANENT_FIELD_LABOR_HOURS)*PERMANENT_HOURLY_RATE-MAX(0,($D63+J$5)-PERMANENT_FIELD_LABOR_HOURS)*TEMP_HOURLY_RATE-FIXED_SEASON_COST)</f>
        <v>-4271.53993838689</v>
      </c>
      <c r="K63" s="53" t="n">
        <f aca="false">IF(OR($A63&gt;TOMATO_BED_CAP,$B63&gt;CARROT_BED_CAP,K$4&gt;MESCLUN_BED_CAP,$A63+$B63+K$4&gt;TOTAL_BEDS_AVAILABLE,($D63+K$5)&gt;TOTAL_LABOR_HOURS_CAP,MAX(0,($D63+K$5)-PERMANENT_FIELD_LABOR_HOURS)&gt;TEMP_HOURS_CAP),"",$C63+K$6-MIN(($D63+K$5),PERMANENT_FIELD_LABOR_HOURS)*PERMANENT_HOURLY_RATE-MAX(0,($D63+K$5)-PERMANENT_FIELD_LABOR_HOURS)*TEMP_HOURLY_RATE-FIXED_SEASON_COST)</f>
        <v>-3323.85084165898</v>
      </c>
      <c r="L63" s="53" t="n">
        <f aca="false">IF(OR($A63&gt;TOMATO_BED_CAP,$B63&gt;CARROT_BED_CAP,L$4&gt;MESCLUN_BED_CAP,$A63+$B63+L$4&gt;TOTAL_BEDS_AVAILABLE,($D63+L$5)&gt;TOTAL_LABOR_HOURS_CAP,MAX(0,($D63+L$5)-PERMANENT_FIELD_LABOR_HOURS)&gt;TEMP_HOURS_CAP),"",$C63+L$6-MIN(($D63+L$5),PERMANENT_FIELD_LABOR_HOURS)*PERMANENT_HOURLY_RATE-MAX(0,($D63+L$5)-PERMANENT_FIELD_LABOR_HOURS)*TEMP_HOURLY_RATE-FIXED_SEASON_COST)</f>
        <v>-2397.45639345213</v>
      </c>
      <c r="M63" s="53" t="n">
        <f aca="false">IF(OR($A63&gt;TOMATO_BED_CAP,$B63&gt;CARROT_BED_CAP,M$4&gt;MESCLUN_BED_CAP,$A63+$B63+M$4&gt;TOTAL_BEDS_AVAILABLE,($D63+M$5)&gt;TOTAL_LABOR_HOURS_CAP,MAX(0,($D63+M$5)-PERMANENT_FIELD_LABOR_HOURS)&gt;TEMP_HOURS_CAP),"",$C63+M$6-MIN(($D63+M$5),PERMANENT_FIELD_LABOR_HOURS)*PERMANENT_HOURLY_RATE-MAX(0,($D63+M$5)-PERMANENT_FIELD_LABOR_HOURS)*TEMP_HOURLY_RATE-FIXED_SEASON_COST)</f>
        <v>-1492.75266140072</v>
      </c>
      <c r="N63" s="53" t="n">
        <f aca="false">IF(OR($A63&gt;TOMATO_BED_CAP,$B63&gt;CARROT_BED_CAP,N$4&gt;MESCLUN_BED_CAP,$A63+$B63+N$4&gt;TOTAL_BEDS_AVAILABLE,($D63+N$5)&gt;TOTAL_LABOR_HOURS_CAP,MAX(0,($D63+N$5)-PERMANENT_FIELD_LABOR_HOURS)&gt;TEMP_HOURS_CAP),"",$C63+N$6-MIN(($D63+N$5),PERMANENT_FIELD_LABOR_HOURS)*PERMANENT_HOURLY_RATE-MAX(0,($D63+N$5)-PERMANENT_FIELD_LABOR_HOURS)*TEMP_HOURLY_RATE-FIXED_SEASON_COST)</f>
        <v>-610.142287541181</v>
      </c>
      <c r="O63" s="53" t="n">
        <f aca="false">IF(OR($A63&gt;TOMATO_BED_CAP,$B63&gt;CARROT_BED_CAP,O$4&gt;MESCLUN_BED_CAP,$A63+$B63+O$4&gt;TOTAL_BEDS_AVAILABLE,($D63+O$5)&gt;TOTAL_LABOR_HOURS_CAP,MAX(0,($D63+O$5)-PERMANENT_FIELD_LABOR_HOURS)&gt;TEMP_HOURS_CAP),"",$C63+O$6-MIN(($D63+O$5),PERMANENT_FIELD_LABOR_HOURS)*PERMANENT_HOURLY_RATE-MAX(0,($D63+O$5)-PERMANENT_FIELD_LABOR_HOURS)*TEMP_HOURLY_RATE-FIXED_SEASON_COST)</f>
        <v>249.965409213575</v>
      </c>
      <c r="P63" s="53" t="n">
        <f aca="false">IF(OR($A63&gt;TOMATO_BED_CAP,$B63&gt;CARROT_BED_CAP,P$4&gt;MESCLUN_BED_CAP,$A63+$B63+P$4&gt;TOTAL_BEDS_AVAILABLE,($D63+P$5)&gt;TOTAL_LABOR_HOURS_CAP,MAX(0,($D63+P$5)-PERMANENT_FIELD_LABOR_HOURS)&gt;TEMP_HOURS_CAP),"",$C63+P$6-MIN(($D63+P$5),PERMANENT_FIELD_LABOR_HOURS)*PERMANENT_HOURLY_RATE-MAX(0,($D63+P$5)-PERMANENT_FIELD_LABOR_HOURS)*TEMP_HOURLY_RATE-FIXED_SEASON_COST)</f>
        <v>1087.154329065</v>
      </c>
      <c r="Q63" s="53" t="n">
        <f aca="false">IF(OR($A63&gt;TOMATO_BED_CAP,$B63&gt;CARROT_BED_CAP,Q$4&gt;MESCLUN_BED_CAP,$A63+$B63+Q$4&gt;TOTAL_BEDS_AVAILABLE,($D63+Q$5)&gt;TOTAL_LABOR_HOURS_CAP,MAX(0,($D63+Q$5)-PERMANENT_FIELD_LABOR_HOURS)&gt;TEMP_HOURS_CAP),"",$C63+Q$6-MIN(($D63+Q$5),PERMANENT_FIELD_LABOR_HOURS)*PERMANENT_HOURLY_RATE-MAX(0,($D63+Q$5)-PERMANENT_FIELD_LABOR_HOURS)*TEMP_HOURLY_RATE-FIXED_SEASON_COST)</f>
        <v>1901.0014857629</v>
      </c>
      <c r="R63" s="53" t="n">
        <f aca="false">IF(OR($A63&gt;TOMATO_BED_CAP,$B63&gt;CARROT_BED_CAP,R$4&gt;MESCLUN_BED_CAP,$A63+$B63+R$4&gt;TOTAL_BEDS_AVAILABLE,($D63+R$5)&gt;TOTAL_LABOR_HOURS_CAP,MAX(0,($D63+R$5)-PERMANENT_FIELD_LABOR_HOURS)&gt;TEMP_HOURS_CAP),"",$C63+R$6-MIN(($D63+R$5),PERMANENT_FIELD_LABOR_HOURS)*PERMANENT_HOURLY_RATE-MAX(0,($D63+R$5)-PERMANENT_FIELD_LABOR_HOURS)*TEMP_HOURLY_RATE-FIXED_SEASON_COST)</f>
        <v>2691.0768994597</v>
      </c>
      <c r="S63" s="53" t="n">
        <f aca="false">IF(OR($A63&gt;TOMATO_BED_CAP,$B63&gt;CARROT_BED_CAP,S$4&gt;MESCLUN_BED_CAP,$A63+$B63+S$4&gt;TOTAL_BEDS_AVAILABLE,($D63+S$5)&gt;TOTAL_LABOR_HOURS_CAP,MAX(0,($D63+S$5)-PERMANENT_FIELD_LABOR_HOURS)&gt;TEMP_HOURS_CAP),"",$C63+S$6-MIN(($D63+S$5),PERMANENT_FIELD_LABOR_HOURS)*PERMANENT_HOURLY_RATE-MAX(0,($D63+S$5)-PERMANENT_FIELD_LABOR_HOURS)*TEMP_HOURLY_RATE-FIXED_SEASON_COST)</f>
        <v>3456.94348796216</v>
      </c>
      <c r="T63" s="53" t="n">
        <f aca="false">IF(OR($A63&gt;TOMATO_BED_CAP,$B63&gt;CARROT_BED_CAP,T$4&gt;MESCLUN_BED_CAP,$A63+$B63+T$4&gt;TOTAL_BEDS_AVAILABLE,($D63+T$5)&gt;TOTAL_LABOR_HOURS_CAP,MAX(0,($D63+T$5)-PERMANENT_FIELD_LABOR_HOURS)&gt;TEMP_HOURS_CAP),"",$C63+T$6-MIN(($D63+T$5),PERMANENT_FIELD_LABOR_HOURS)*PERMANENT_HOURLY_RATE-MAX(0,($D63+T$5)-PERMANENT_FIELD_LABOR_HOURS)*TEMP_HOURLY_RATE-FIXED_SEASON_COST)</f>
        <v>4198.156956357</v>
      </c>
      <c r="U63" s="53" t="n">
        <f aca="false">IF(OR($A63&gt;TOMATO_BED_CAP,$B63&gt;CARROT_BED_CAP,U$4&gt;MESCLUN_BED_CAP,$A63+$B63+U$4&gt;TOTAL_BEDS_AVAILABLE,($D63+U$5)&gt;TOTAL_LABOR_HOURS_CAP,MAX(0,($D63+U$5)-PERMANENT_FIELD_LABOR_HOURS)&gt;TEMP_HOURS_CAP),"",$C63+U$6-MIN(($D63+U$5),PERMANENT_FIELD_LABOR_HOURS)*PERMANENT_HOURLY_RATE-MAX(0,($D63+U$5)-PERMANENT_FIELD_LABOR_HOURS)*TEMP_HOURLY_RATE-FIXED_SEASON_COST)</f>
        <v>4914.2656849871</v>
      </c>
      <c r="V63" s="53" t="n">
        <f aca="false">IF(OR($A63&gt;TOMATO_BED_CAP,$B63&gt;CARROT_BED_CAP,V$4&gt;MESCLUN_BED_CAP,$A63+$B63+V$4&gt;TOTAL_BEDS_AVAILABLE,($D63+V$5)&gt;TOTAL_LABOR_HOURS_CAP,MAX(0,($D63+V$5)-PERMANENT_FIELD_LABOR_HOURS)&gt;TEMP_HOURS_CAP),"",$C63+V$6-MIN(($D63+V$5),PERMANENT_FIELD_LABOR_HOURS)*PERMANENT_HOURLY_RATE-MAX(0,($D63+V$5)-PERMANENT_FIELD_LABOR_HOURS)*TEMP_HOURLY_RATE-FIXED_SEASON_COST)</f>
        <v>5604.81061575389</v>
      </c>
      <c r="W63" s="53" t="n">
        <f aca="false">IF(OR($A63&gt;TOMATO_BED_CAP,$B63&gt;CARROT_BED_CAP,W$4&gt;MESCLUN_BED_CAP,$A63+$B63+W$4&gt;TOTAL_BEDS_AVAILABLE,($D63+W$5)&gt;TOTAL_LABOR_HOURS_CAP,MAX(0,($D63+W$5)-PERMANENT_FIELD_LABOR_HOURS)&gt;TEMP_HOURS_CAP),"",$C63+W$6-MIN(($D63+W$5),PERMANENT_FIELD_LABOR_HOURS)*PERMANENT_HOURLY_RATE-MAX(0,($D63+W$5)-PERMANENT_FIELD_LABOR_HOURS)*TEMP_HOURLY_RATE-FIXED_SEASON_COST)</f>
        <v>6269.32513672195</v>
      </c>
      <c r="X63" s="53" t="n">
        <f aca="false">IF(OR($A63&gt;TOMATO_BED_CAP,$B63&gt;CARROT_BED_CAP,X$4&gt;MESCLUN_BED_CAP,$A63+$B63+X$4&gt;TOTAL_BEDS_AVAILABLE,($D63+X$5)&gt;TOTAL_LABOR_HOURS_CAP,MAX(0,($D63+X$5)-PERMANENT_FIELD_LABOR_HOURS)&gt;TEMP_HOURS_CAP),"",$C63+X$6-MIN(($D63+X$5),PERMANENT_FIELD_LABOR_HOURS)*PERMANENT_HOURLY_RATE-MAX(0,($D63+X$5)-PERMANENT_FIELD_LABOR_HOURS)*TEMP_HOURLY_RATE-FIXED_SEASON_COST)</f>
        <v>6907.33496500087</v>
      </c>
      <c r="Y63" s="53" t="n">
        <f aca="false">IF(OR($A63&gt;TOMATO_BED_CAP,$B63&gt;CARROT_BED_CAP,Y$4&gt;MESCLUN_BED_CAP,$A63+$B63+Y$4&gt;TOTAL_BEDS_AVAILABLE,($D63+Y$5)&gt;TOTAL_LABOR_HOURS_CAP,MAX(0,($D63+Y$5)-PERMANENT_FIELD_LABOR_HOURS)&gt;TEMP_HOURS_CAP),"",$C63+Y$6-MIN(($D63+Y$5),PERMANENT_FIELD_LABOR_HOURS)*PERMANENT_HOURLY_RATE-MAX(0,($D63+Y$5)-PERMANENT_FIELD_LABOR_HOURS)*TEMP_HOURLY_RATE-FIXED_SEASON_COST)</f>
        <v>7518.35802787953</v>
      </c>
      <c r="Z63" s="53" t="n">
        <f aca="false">IF(OR($A63&gt;TOMATO_BED_CAP,$B63&gt;CARROT_BED_CAP,Z$4&gt;MESCLUN_BED_CAP,$A63+$B63+Z$4&gt;TOTAL_BEDS_AVAILABLE,($D63+Z$5)&gt;TOTAL_LABOR_HOURS_CAP,MAX(0,($D63+Z$5)-PERMANENT_FIELD_LABOR_HOURS)&gt;TEMP_HOURS_CAP),"",$C63+Z$6-MIN(($D63+Z$5),PERMANENT_FIELD_LABOR_HOURS)*PERMANENT_HOURLY_RATE-MAX(0,($D63+Z$5)-PERMANENT_FIELD_LABOR_HOURS)*TEMP_HOURLY_RATE-FIXED_SEASON_COST)</f>
        <v>8101.90434218726</v>
      </c>
      <c r="AA63" s="53" t="n">
        <f aca="false">IF(OR($A63&gt;TOMATO_BED_CAP,$B63&gt;CARROT_BED_CAP,AA$4&gt;MESCLUN_BED_CAP,$A63+$B63+AA$4&gt;TOTAL_BEDS_AVAILABLE,($D63+AA$5)&gt;TOTAL_LABOR_HOURS_CAP,MAX(0,($D63+AA$5)-PERMANENT_FIELD_LABOR_HOURS)&gt;TEMP_HOURS_CAP),"",$C63+AA$6-MIN(($D63+AA$5),PERMANENT_FIELD_LABOR_HOURS)*PERMANENT_HOURLY_RATE-MAX(0,($D63+AA$5)-PERMANENT_FIELD_LABOR_HOURS)*TEMP_HOURLY_RATE-FIXED_SEASON_COST)</f>
        <v>8657.47589185619</v>
      </c>
      <c r="AB63" s="53" t="n">
        <f aca="false">IF(OR($A63&gt;TOMATO_BED_CAP,$B63&gt;CARROT_BED_CAP,AB$4&gt;MESCLUN_BED_CAP,$A63+$B63+AB$4&gt;TOTAL_BEDS_AVAILABLE,($D63+AB$5)&gt;TOTAL_LABOR_HOURS_CAP,MAX(0,($D63+AB$5)-PERMANENT_FIELD_LABOR_HOURS)&gt;TEMP_HOURS_CAP),"",$C63+AB$6-MIN(($D63+AB$5),PERMANENT_FIELD_LABOR_HOURS)*PERMANENT_HOURLY_RATE-MAX(0,($D63+AB$5)-PERMANENT_FIELD_LABOR_HOURS)*TEMP_HOURLY_RATE-FIXED_SEASON_COST)</f>
        <v>9184.56650365876</v>
      </c>
      <c r="AC63" s="53" t="n">
        <f aca="false">IF(OR($A63&gt;TOMATO_BED_CAP,$B63&gt;CARROT_BED_CAP,AC$4&gt;MESCLUN_BED_CAP,$A63+$B63+AC$4&gt;TOTAL_BEDS_AVAILABLE,($D63+AC$5)&gt;TOTAL_LABOR_HOURS_CAP,MAX(0,($D63+AC$5)-PERMANENT_FIELD_LABOR_HOURS)&gt;TEMP_HOURS_CAP),"",$C63+AC$6-MIN(($D63+AC$5),PERMANENT_FIELD_LABOR_HOURS)*PERMANENT_HOURLY_RATE-MAX(0,($D63+AC$5)-PERMANENT_FIELD_LABOR_HOURS)*TEMP_HOURLY_RATE-FIXED_SEASON_COST)</f>
        <v>9682.66172109366</v>
      </c>
      <c r="AD63" s="53" t="n">
        <f aca="false">IF(OR($A63&gt;TOMATO_BED_CAP,$B63&gt;CARROT_BED_CAP,AD$4&gt;MESCLUN_BED_CAP,$A63+$B63+AD$4&gt;TOTAL_BEDS_AVAILABLE,($D63+AD$5)&gt;TOTAL_LABOR_HOURS_CAP,MAX(0,($D63+AD$5)-PERMANENT_FIELD_LABOR_HOURS)&gt;TEMP_HOURS_CAP),"",$C63+AD$6-MIN(($D63+AD$5),PERMANENT_FIELD_LABOR_HOURS)*PERMANENT_HOURLY_RATE-MAX(0,($D63+AD$5)-PERMANENT_FIELD_LABOR_HOURS)*TEMP_HOURLY_RATE-FIXED_SEASON_COST)</f>
        <v>10151.2386763936</v>
      </c>
      <c r="AE63" s="53" t="n">
        <f aca="false">IF(OR($A63&gt;TOMATO_BED_CAP,$B63&gt;CARROT_BED_CAP,AE$4&gt;MESCLUN_BED_CAP,$A63+$B63+AE$4&gt;TOTAL_BEDS_AVAILABLE,($D63+AE$5)&gt;TOTAL_LABOR_HOURS_CAP,MAX(0,($D63+AE$5)-PERMANENT_FIELD_LABOR_HOURS)&gt;TEMP_HOURS_CAP),"",$C63+AE$6-MIN(($D63+AE$5),PERMANENT_FIELD_LABOR_HOURS)*PERMANENT_HOURLY_RATE-MAX(0,($D63+AE$5)-PERMANENT_FIELD_LABOR_HOURS)*TEMP_HOURLY_RATE-FIXED_SEASON_COST)</f>
        <v>10589.7659606275</v>
      </c>
      <c r="AF63" s="53" t="n">
        <f aca="false">IF(OR($A63&gt;TOMATO_BED_CAP,$B63&gt;CARROT_BED_CAP,AF$4&gt;MESCLUN_BED_CAP,$A63+$B63+AF$4&gt;TOTAL_BEDS_AVAILABLE,($D63+AF$5)&gt;TOTAL_LABOR_HOURS_CAP,MAX(0,($D63+AF$5)-PERMANENT_FIELD_LABOR_HOURS)&gt;TEMP_HOURS_CAP),"",$C63+AF$6-MIN(($D63+AF$5),PERMANENT_FIELD_LABOR_HOURS)*PERMANENT_HOURLY_RATE-MAX(0,($D63+AF$5)-PERMANENT_FIELD_LABOR_HOURS)*TEMP_HOURLY_RATE-FIXED_SEASON_COST)</f>
        <v>10997.7034918695</v>
      </c>
      <c r="AG63" s="53" t="n">
        <f aca="false">IF(OR($A63&gt;TOMATO_BED_CAP,$B63&gt;CARROT_BED_CAP,AG$4&gt;MESCLUN_BED_CAP,$A63+$B63+AG$4&gt;TOTAL_BEDS_AVAILABLE,($D63+AG$5)&gt;TOTAL_LABOR_HOURS_CAP,MAX(0,($D63+AG$5)-PERMANENT_FIELD_LABOR_HOURS)&gt;TEMP_HOURS_CAP),"",$C63+AG$6-MIN(($D63+AG$5),PERMANENT_FIELD_LABOR_HOURS)*PERMANENT_HOURLY_RATE-MAX(0,($D63+AG$5)-PERMANENT_FIELD_LABOR_HOURS)*TEMP_HOURLY_RATE-FIXED_SEASON_COST)</f>
        <v>11374.5023814065</v>
      </c>
      <c r="AH63" s="53" t="n">
        <f aca="false">IF(OR($A63&gt;TOMATO_BED_CAP,$B63&gt;CARROT_BED_CAP,AH$4&gt;MESCLUN_BED_CAP,$A63+$B63+AH$4&gt;TOTAL_BEDS_AVAILABLE,($D63+AH$5)&gt;TOTAL_LABOR_HOURS_CAP,MAX(0,($D63+AH$5)-PERMANENT_FIELD_LABOR_HOURS)&gt;TEMP_HOURS_CAP),"",$C63+AH$6-MIN(($D63+AH$5),PERMANENT_FIELD_LABOR_HOURS)*PERMANENT_HOURLY_RATE-MAX(0,($D63+AH$5)-PERMANENT_FIELD_LABOR_HOURS)*TEMP_HOURLY_RATE-FIXED_SEASON_COST)</f>
        <v>11719.6047979567</v>
      </c>
      <c r="AI63" s="53" t="n">
        <f aca="false">IF(OR($A63&gt;TOMATO_BED_CAP,$B63&gt;CARROT_BED_CAP,AI$4&gt;MESCLUN_BED_CAP,$A63+$B63+AI$4&gt;TOTAL_BEDS_AVAILABLE,($D63+AI$5)&gt;TOTAL_LABOR_HOURS_CAP,MAX(0,($D63+AI$5)-PERMANENT_FIELD_LABOR_HOURS)&gt;TEMP_HOURS_CAP),"",$C63+AI$6-MIN(($D63+AI$5),PERMANENT_FIELD_LABOR_HOURS)*PERMANENT_HOURLY_RATE-MAX(0,($D63+AI$5)-PERMANENT_FIELD_LABOR_HOURS)*TEMP_HOURLY_RATE-FIXED_SEASON_COST)</f>
        <v>12032.443829869</v>
      </c>
      <c r="AJ63" s="53" t="n">
        <f aca="false">IF(OR($A63&gt;TOMATO_BED_CAP,$B63&gt;CARROT_BED_CAP,AJ$4&gt;MESCLUN_BED_CAP,$A63+$B63+AJ$4&gt;TOTAL_BEDS_AVAILABLE,($D63+AJ$5)&gt;TOTAL_LABOR_HOURS_CAP,MAX(0,($D63+AJ$5)-PERMANENT_FIELD_LABOR_HOURS)&gt;TEMP_HOURS_CAP),"",$C63+AJ$6-MIN(($D63+AJ$5),PERMANENT_FIELD_LABOR_HOURS)*PERMANENT_HOURLY_RATE-MAX(0,($D63+AJ$5)-PERMANENT_FIELD_LABOR_HOURS)*TEMP_HOURLY_RATE-FIXED_SEASON_COST)</f>
        <v>12312.4433452747</v>
      </c>
    </row>
    <row r="64" customFormat="false" ht="15" hidden="false" customHeight="false" outlineLevel="0" collapsed="false">
      <c r="A64" s="21" t="n">
        <f aca="false">INT((ROW()-ROW($A$8))/(20+1))</f>
        <v>2</v>
      </c>
      <c r="B64" s="21" t="n">
        <f aca="false">MOD(ROW()-ROW($A$8),20+1)</f>
        <v>14</v>
      </c>
      <c r="C64" s="13" t="n">
        <f aca="false">A64*(TOMATO_REVENUE_PER_BED-TOMATO_FERTILIZER_PER_BED)+B64*(CARROT_REVENUE_PER_BED-CARROT_FERTILIZER_PER_BED)</f>
        <v>38996</v>
      </c>
      <c r="D64" s="14" t="n">
        <f aca="false">INDEX(TOMATO_SCHED_LABOR_HRS,A64+1)+INDEX(CARROT_SCHED_LABOR_HRS,B64+1)</f>
        <v>811.011625207058</v>
      </c>
      <c r="E64" s="13" t="n">
        <f aca="false">IF(COUNT(F64:AJ64)=0,"",MAX(F64:AJ64))</f>
        <v>12997.627481278</v>
      </c>
      <c r="F64" s="53" t="n">
        <f aca="false">IF(OR($A64&gt;TOMATO_BED_CAP,$B64&gt;CARROT_BED_CAP,F$4&gt;MESCLUN_BED_CAP,$A64+$B64+F$4&gt;TOTAL_BEDS_AVAILABLE,($D64+F$5)&gt;TOTAL_LABOR_HOURS_CAP,MAX(0,($D64+F$5)-PERMANENT_FIELD_LABOR_HOURS)&gt;TEMP_HOURS_CAP),"",$C64+F$6-MIN(($D64+F$5),PERMANENT_FIELD_LABOR_HOURS)*PERMANENT_HOURLY_RATE-MAX(0,($D64+F$5)-PERMANENT_FIELD_LABOR_HOURS)*TEMP_HOURLY_RATE-FIXED_SEASON_COST)</f>
        <v>-7582.36181359453</v>
      </c>
      <c r="G64" s="53" t="n">
        <f aca="false">IF(OR($A64&gt;TOMATO_BED_CAP,$B64&gt;CARROT_BED_CAP,G$4&gt;MESCLUN_BED_CAP,$A64+$B64+G$4&gt;TOTAL_BEDS_AVAILABLE,($D64+G$5)&gt;TOTAL_LABOR_HOURS_CAP,MAX(0,($D64+G$5)-PERMANENT_FIELD_LABOR_HOURS)&gt;TEMP_HOURS_CAP),"",$C64+G$6-MIN(($D64+G$5),PERMANENT_FIELD_LABOR_HOURS)*PERMANENT_HOURLY_RATE-MAX(0,($D64+G$5)-PERMANENT_FIELD_LABOR_HOURS)*TEMP_HOURLY_RATE-FIXED_SEASON_COST)</f>
        <v>-6553.32681359453</v>
      </c>
      <c r="H64" s="53" t="n">
        <f aca="false">IF(OR($A64&gt;TOMATO_BED_CAP,$B64&gt;CARROT_BED_CAP,H$4&gt;MESCLUN_BED_CAP,$A64+$B64+H$4&gt;TOTAL_BEDS_AVAILABLE,($D64+H$5)&gt;TOTAL_LABOR_HOURS_CAP,MAX(0,($D64+H$5)-PERMANENT_FIELD_LABOR_HOURS)&gt;TEMP_HOURS_CAP),"",$C64+H$6-MIN(($D64+H$5),PERMANENT_FIELD_LABOR_HOURS)*PERMANENT_HOURLY_RATE-MAX(0,($D64+H$5)-PERMANENT_FIELD_LABOR_HOURS)*TEMP_HOURLY_RATE-FIXED_SEASON_COST)</f>
        <v>-5544.06593859453</v>
      </c>
      <c r="I64" s="53" t="n">
        <f aca="false">IF(OR($A64&gt;TOMATO_BED_CAP,$B64&gt;CARROT_BED_CAP,I$4&gt;MESCLUN_BED_CAP,$A64+$B64+I$4&gt;TOTAL_BEDS_AVAILABLE,($D64+I$5)&gt;TOTAL_LABOR_HOURS_CAP,MAX(0,($D64+I$5)-PERMANENT_FIELD_LABOR_HOURS)&gt;TEMP_HOURS_CAP),"",$C64+I$6-MIN(($D64+I$5),PERMANENT_FIELD_LABOR_HOURS)*PERMANENT_HOURLY_RATE-MAX(0,($D64+I$5)-PERMANENT_FIELD_LABOR_HOURS)*TEMP_HOURLY_RATE-FIXED_SEASON_COST)</f>
        <v>-4554.94995343827</v>
      </c>
      <c r="J64" s="53" t="n">
        <f aca="false">IF(OR($A64&gt;TOMATO_BED_CAP,$B64&gt;CARROT_BED_CAP,J$4&gt;MESCLUN_BED_CAP,$A64+$B64+J$4&gt;TOTAL_BEDS_AVAILABLE,($D64+J$5)&gt;TOTAL_LABOR_HOURS_CAP,MAX(0,($D64+J$5)-PERMANENT_FIELD_LABOR_HOURS)&gt;TEMP_HOURS_CAP),"",$C64+J$6-MIN(($D64+J$5),PERMANENT_FIELD_LABOR_HOURS)*PERMANENT_HOURLY_RATE-MAX(0,($D64+J$5)-PERMANENT_FIELD_LABOR_HOURS)*TEMP_HOURLY_RATE-FIXED_SEASON_COST)</f>
        <v>-3586.35580238359</v>
      </c>
      <c r="K64" s="53" t="n">
        <f aca="false">IF(OR($A64&gt;TOMATO_BED_CAP,$B64&gt;CARROT_BED_CAP,K$4&gt;MESCLUN_BED_CAP,$A64+$B64+K$4&gt;TOTAL_BEDS_AVAILABLE,($D64+K$5)&gt;TOTAL_LABOR_HOURS_CAP,MAX(0,($D64+K$5)-PERMANENT_FIELD_LABOR_HOURS)&gt;TEMP_HOURS_CAP),"",$C64+K$6-MIN(($D64+K$5),PERMANENT_FIELD_LABOR_HOURS)*PERMANENT_HOURLY_RATE-MAX(0,($D64+K$5)-PERMANENT_FIELD_LABOR_HOURS)*TEMP_HOURLY_RATE-FIXED_SEASON_COST)</f>
        <v>-2638.66670565568</v>
      </c>
      <c r="L64" s="53" t="n">
        <f aca="false">IF(OR($A64&gt;TOMATO_BED_CAP,$B64&gt;CARROT_BED_CAP,L$4&gt;MESCLUN_BED_CAP,$A64+$B64+L$4&gt;TOTAL_BEDS_AVAILABLE,($D64+L$5)&gt;TOTAL_LABOR_HOURS_CAP,MAX(0,($D64+L$5)-PERMANENT_FIELD_LABOR_HOURS)&gt;TEMP_HOURS_CAP),"",$C64+L$6-MIN(($D64+L$5),PERMANENT_FIELD_LABOR_HOURS)*PERMANENT_HOURLY_RATE-MAX(0,($D64+L$5)-PERMANENT_FIELD_LABOR_HOURS)*TEMP_HOURLY_RATE-FIXED_SEASON_COST)</f>
        <v>-1712.27225744883</v>
      </c>
      <c r="M64" s="53" t="n">
        <f aca="false">IF(OR($A64&gt;TOMATO_BED_CAP,$B64&gt;CARROT_BED_CAP,M$4&gt;MESCLUN_BED_CAP,$A64+$B64+M$4&gt;TOTAL_BEDS_AVAILABLE,($D64+M$5)&gt;TOTAL_LABOR_HOURS_CAP,MAX(0,($D64+M$5)-PERMANENT_FIELD_LABOR_HOURS)&gt;TEMP_HOURS_CAP),"",$C64+M$6-MIN(($D64+M$5),PERMANENT_FIELD_LABOR_HOURS)*PERMANENT_HOURLY_RATE-MAX(0,($D64+M$5)-PERMANENT_FIELD_LABOR_HOURS)*TEMP_HOURLY_RATE-FIXED_SEASON_COST)</f>
        <v>-807.568525397423</v>
      </c>
      <c r="N64" s="53" t="n">
        <f aca="false">IF(OR($A64&gt;TOMATO_BED_CAP,$B64&gt;CARROT_BED_CAP,N$4&gt;MESCLUN_BED_CAP,$A64+$B64+N$4&gt;TOTAL_BEDS_AVAILABLE,($D64+N$5)&gt;TOTAL_LABOR_HOURS_CAP,MAX(0,($D64+N$5)-PERMANENT_FIELD_LABOR_HOURS)&gt;TEMP_HOURS_CAP),"",$C64+N$6-MIN(($D64+N$5),PERMANENT_FIELD_LABOR_HOURS)*PERMANENT_HOURLY_RATE-MAX(0,($D64+N$5)-PERMANENT_FIELD_LABOR_HOURS)*TEMP_HOURLY_RATE-FIXED_SEASON_COST)</f>
        <v>75.0418484621223</v>
      </c>
      <c r="O64" s="53" t="n">
        <f aca="false">IF(OR($A64&gt;TOMATO_BED_CAP,$B64&gt;CARROT_BED_CAP,O$4&gt;MESCLUN_BED_CAP,$A64+$B64+O$4&gt;TOTAL_BEDS_AVAILABLE,($D64+O$5)&gt;TOTAL_LABOR_HOURS_CAP,MAX(0,($D64+O$5)-PERMANENT_FIELD_LABOR_HOURS)&gt;TEMP_HOURS_CAP),"",$C64+O$6-MIN(($D64+O$5),PERMANENT_FIELD_LABOR_HOURS)*PERMANENT_HOURLY_RATE-MAX(0,($D64+O$5)-PERMANENT_FIELD_LABOR_HOURS)*TEMP_HOURLY_RATE-FIXED_SEASON_COST)</f>
        <v>935.149545216875</v>
      </c>
      <c r="P64" s="53" t="n">
        <f aca="false">IF(OR($A64&gt;TOMATO_BED_CAP,$B64&gt;CARROT_BED_CAP,P$4&gt;MESCLUN_BED_CAP,$A64+$B64+P$4&gt;TOTAL_BEDS_AVAILABLE,($D64+P$5)&gt;TOTAL_LABOR_HOURS_CAP,MAX(0,($D64+P$5)-PERMANENT_FIELD_LABOR_HOURS)&gt;TEMP_HOURS_CAP),"",$C64+P$6-MIN(($D64+P$5),PERMANENT_FIELD_LABOR_HOURS)*PERMANENT_HOURLY_RATE-MAX(0,($D64+P$5)-PERMANENT_FIELD_LABOR_HOURS)*TEMP_HOURLY_RATE-FIXED_SEASON_COST)</f>
        <v>1772.3384650683</v>
      </c>
      <c r="Q64" s="53" t="n">
        <f aca="false">IF(OR($A64&gt;TOMATO_BED_CAP,$B64&gt;CARROT_BED_CAP,Q$4&gt;MESCLUN_BED_CAP,$A64+$B64+Q$4&gt;TOTAL_BEDS_AVAILABLE,($D64+Q$5)&gt;TOTAL_LABOR_HOURS_CAP,MAX(0,($D64+Q$5)-PERMANENT_FIELD_LABOR_HOURS)&gt;TEMP_HOURS_CAP),"",$C64+Q$6-MIN(($D64+Q$5),PERMANENT_FIELD_LABOR_HOURS)*PERMANENT_HOURLY_RATE-MAX(0,($D64+Q$5)-PERMANENT_FIELD_LABOR_HOURS)*TEMP_HOURLY_RATE-FIXED_SEASON_COST)</f>
        <v>2586.1856217662</v>
      </c>
      <c r="R64" s="53" t="n">
        <f aca="false">IF(OR($A64&gt;TOMATO_BED_CAP,$B64&gt;CARROT_BED_CAP,R$4&gt;MESCLUN_BED_CAP,$A64+$B64+R$4&gt;TOTAL_BEDS_AVAILABLE,($D64+R$5)&gt;TOTAL_LABOR_HOURS_CAP,MAX(0,($D64+R$5)-PERMANENT_FIELD_LABOR_HOURS)&gt;TEMP_HOURS_CAP),"",$C64+R$6-MIN(($D64+R$5),PERMANENT_FIELD_LABOR_HOURS)*PERMANENT_HOURLY_RATE-MAX(0,($D64+R$5)-PERMANENT_FIELD_LABOR_HOURS)*TEMP_HOURLY_RATE-FIXED_SEASON_COST)</f>
        <v>3376.26103546301</v>
      </c>
      <c r="S64" s="53" t="n">
        <f aca="false">IF(OR($A64&gt;TOMATO_BED_CAP,$B64&gt;CARROT_BED_CAP,S$4&gt;MESCLUN_BED_CAP,$A64+$B64+S$4&gt;TOTAL_BEDS_AVAILABLE,($D64+S$5)&gt;TOTAL_LABOR_HOURS_CAP,MAX(0,($D64+S$5)-PERMANENT_FIELD_LABOR_HOURS)&gt;TEMP_HOURS_CAP),"",$C64+S$6-MIN(($D64+S$5),PERMANENT_FIELD_LABOR_HOURS)*PERMANENT_HOURLY_RATE-MAX(0,($D64+S$5)-PERMANENT_FIELD_LABOR_HOURS)*TEMP_HOURLY_RATE-FIXED_SEASON_COST)</f>
        <v>4142.12762396545</v>
      </c>
      <c r="T64" s="53" t="n">
        <f aca="false">IF(OR($A64&gt;TOMATO_BED_CAP,$B64&gt;CARROT_BED_CAP,T$4&gt;MESCLUN_BED_CAP,$A64+$B64+T$4&gt;TOTAL_BEDS_AVAILABLE,($D64+T$5)&gt;TOTAL_LABOR_HOURS_CAP,MAX(0,($D64+T$5)-PERMANENT_FIELD_LABOR_HOURS)&gt;TEMP_HOURS_CAP),"",$C64+T$6-MIN(($D64+T$5),PERMANENT_FIELD_LABOR_HOURS)*PERMANENT_HOURLY_RATE-MAX(0,($D64+T$5)-PERMANENT_FIELD_LABOR_HOURS)*TEMP_HOURLY_RATE-FIXED_SEASON_COST)</f>
        <v>4883.3410923603</v>
      </c>
      <c r="U64" s="53" t="n">
        <f aca="false">IF(OR($A64&gt;TOMATO_BED_CAP,$B64&gt;CARROT_BED_CAP,U$4&gt;MESCLUN_BED_CAP,$A64+$B64+U$4&gt;TOTAL_BEDS_AVAILABLE,($D64+U$5)&gt;TOTAL_LABOR_HOURS_CAP,MAX(0,($D64+U$5)-PERMANENT_FIELD_LABOR_HOURS)&gt;TEMP_HOURS_CAP),"",$C64+U$6-MIN(($D64+U$5),PERMANENT_FIELD_LABOR_HOURS)*PERMANENT_HOURLY_RATE-MAX(0,($D64+U$5)-PERMANENT_FIELD_LABOR_HOURS)*TEMP_HOURLY_RATE-FIXED_SEASON_COST)</f>
        <v>5599.4498209904</v>
      </c>
      <c r="V64" s="53" t="n">
        <f aca="false">IF(OR($A64&gt;TOMATO_BED_CAP,$B64&gt;CARROT_BED_CAP,V$4&gt;MESCLUN_BED_CAP,$A64+$B64+V$4&gt;TOTAL_BEDS_AVAILABLE,($D64+V$5)&gt;TOTAL_LABOR_HOURS_CAP,MAX(0,($D64+V$5)-PERMANENT_FIELD_LABOR_HOURS)&gt;TEMP_HOURS_CAP),"",$C64+V$6-MIN(($D64+V$5),PERMANENT_FIELD_LABOR_HOURS)*PERMANENT_HOURLY_RATE-MAX(0,($D64+V$5)-PERMANENT_FIELD_LABOR_HOURS)*TEMP_HOURLY_RATE-FIXED_SEASON_COST)</f>
        <v>6289.99475175719</v>
      </c>
      <c r="W64" s="53" t="n">
        <f aca="false">IF(OR($A64&gt;TOMATO_BED_CAP,$B64&gt;CARROT_BED_CAP,W$4&gt;MESCLUN_BED_CAP,$A64+$B64+W$4&gt;TOTAL_BEDS_AVAILABLE,($D64+W$5)&gt;TOTAL_LABOR_HOURS_CAP,MAX(0,($D64+W$5)-PERMANENT_FIELD_LABOR_HOURS)&gt;TEMP_HOURS_CAP),"",$C64+W$6-MIN(($D64+W$5),PERMANENT_FIELD_LABOR_HOURS)*PERMANENT_HOURLY_RATE-MAX(0,($D64+W$5)-PERMANENT_FIELD_LABOR_HOURS)*TEMP_HOURLY_RATE-FIXED_SEASON_COST)</f>
        <v>6954.50927272525</v>
      </c>
      <c r="X64" s="53" t="n">
        <f aca="false">IF(OR($A64&gt;TOMATO_BED_CAP,$B64&gt;CARROT_BED_CAP,X$4&gt;MESCLUN_BED_CAP,$A64+$B64+X$4&gt;TOTAL_BEDS_AVAILABLE,($D64+X$5)&gt;TOTAL_LABOR_HOURS_CAP,MAX(0,($D64+X$5)-PERMANENT_FIELD_LABOR_HOURS)&gt;TEMP_HOURS_CAP),"",$C64+X$6-MIN(($D64+X$5),PERMANENT_FIELD_LABOR_HOURS)*PERMANENT_HOURLY_RATE-MAX(0,($D64+X$5)-PERMANENT_FIELD_LABOR_HOURS)*TEMP_HOURLY_RATE-FIXED_SEASON_COST)</f>
        <v>7592.51910100417</v>
      </c>
      <c r="Y64" s="53" t="n">
        <f aca="false">IF(OR($A64&gt;TOMATO_BED_CAP,$B64&gt;CARROT_BED_CAP,Y$4&gt;MESCLUN_BED_CAP,$A64+$B64+Y$4&gt;TOTAL_BEDS_AVAILABLE,($D64+Y$5)&gt;TOTAL_LABOR_HOURS_CAP,MAX(0,($D64+Y$5)-PERMANENT_FIELD_LABOR_HOURS)&gt;TEMP_HOURS_CAP),"",$C64+Y$6-MIN(($D64+Y$5),PERMANENT_FIELD_LABOR_HOURS)*PERMANENT_HOURLY_RATE-MAX(0,($D64+Y$5)-PERMANENT_FIELD_LABOR_HOURS)*TEMP_HOURLY_RATE-FIXED_SEASON_COST)</f>
        <v>8203.54216388284</v>
      </c>
      <c r="Z64" s="53" t="n">
        <f aca="false">IF(OR($A64&gt;TOMATO_BED_CAP,$B64&gt;CARROT_BED_CAP,Z$4&gt;MESCLUN_BED_CAP,$A64+$B64+Z$4&gt;TOTAL_BEDS_AVAILABLE,($D64+Z$5)&gt;TOTAL_LABOR_HOURS_CAP,MAX(0,($D64+Z$5)-PERMANENT_FIELD_LABOR_HOURS)&gt;TEMP_HOURS_CAP),"",$C64+Z$6-MIN(($D64+Z$5),PERMANENT_FIELD_LABOR_HOURS)*PERMANENT_HOURLY_RATE-MAX(0,($D64+Z$5)-PERMANENT_FIELD_LABOR_HOURS)*TEMP_HOURLY_RATE-FIXED_SEASON_COST)</f>
        <v>8787.08847819056</v>
      </c>
      <c r="AA64" s="53" t="n">
        <f aca="false">IF(OR($A64&gt;TOMATO_BED_CAP,$B64&gt;CARROT_BED_CAP,AA$4&gt;MESCLUN_BED_CAP,$A64+$B64+AA$4&gt;TOTAL_BEDS_AVAILABLE,($D64+AA$5)&gt;TOTAL_LABOR_HOURS_CAP,MAX(0,($D64+AA$5)-PERMANENT_FIELD_LABOR_HOURS)&gt;TEMP_HOURS_CAP),"",$C64+AA$6-MIN(($D64+AA$5),PERMANENT_FIELD_LABOR_HOURS)*PERMANENT_HOURLY_RATE-MAX(0,($D64+AA$5)-PERMANENT_FIELD_LABOR_HOURS)*TEMP_HOURLY_RATE-FIXED_SEASON_COST)</f>
        <v>9342.66002785949</v>
      </c>
      <c r="AB64" s="53" t="n">
        <f aca="false">IF(OR($A64&gt;TOMATO_BED_CAP,$B64&gt;CARROT_BED_CAP,AB$4&gt;MESCLUN_BED_CAP,$A64+$B64+AB$4&gt;TOTAL_BEDS_AVAILABLE,($D64+AB$5)&gt;TOTAL_LABOR_HOURS_CAP,MAX(0,($D64+AB$5)-PERMANENT_FIELD_LABOR_HOURS)&gt;TEMP_HOURS_CAP),"",$C64+AB$6-MIN(($D64+AB$5),PERMANENT_FIELD_LABOR_HOURS)*PERMANENT_HOURLY_RATE-MAX(0,($D64+AB$5)-PERMANENT_FIELD_LABOR_HOURS)*TEMP_HOURLY_RATE-FIXED_SEASON_COST)</f>
        <v>9869.75063966206</v>
      </c>
      <c r="AC64" s="53" t="n">
        <f aca="false">IF(OR($A64&gt;TOMATO_BED_CAP,$B64&gt;CARROT_BED_CAP,AC$4&gt;MESCLUN_BED_CAP,$A64+$B64+AC$4&gt;TOTAL_BEDS_AVAILABLE,($D64+AC$5)&gt;TOTAL_LABOR_HOURS_CAP,MAX(0,($D64+AC$5)-PERMANENT_FIELD_LABOR_HOURS)&gt;TEMP_HOURS_CAP),"",$C64+AC$6-MIN(($D64+AC$5),PERMANENT_FIELD_LABOR_HOURS)*PERMANENT_HOURLY_RATE-MAX(0,($D64+AC$5)-PERMANENT_FIELD_LABOR_HOURS)*TEMP_HOURLY_RATE-FIXED_SEASON_COST)</f>
        <v>10367.845857097</v>
      </c>
      <c r="AD64" s="53" t="n">
        <f aca="false">IF(OR($A64&gt;TOMATO_BED_CAP,$B64&gt;CARROT_BED_CAP,AD$4&gt;MESCLUN_BED_CAP,$A64+$B64+AD$4&gt;TOTAL_BEDS_AVAILABLE,($D64+AD$5)&gt;TOTAL_LABOR_HOURS_CAP,MAX(0,($D64+AD$5)-PERMANENT_FIELD_LABOR_HOURS)&gt;TEMP_HOURS_CAP),"",$C64+AD$6-MIN(($D64+AD$5),PERMANENT_FIELD_LABOR_HOURS)*PERMANENT_HOURLY_RATE-MAX(0,($D64+AD$5)-PERMANENT_FIELD_LABOR_HOURS)*TEMP_HOURLY_RATE-FIXED_SEASON_COST)</f>
        <v>10836.4228123969</v>
      </c>
      <c r="AE64" s="53" t="n">
        <f aca="false">IF(OR($A64&gt;TOMATO_BED_CAP,$B64&gt;CARROT_BED_CAP,AE$4&gt;MESCLUN_BED_CAP,$A64+$B64+AE$4&gt;TOTAL_BEDS_AVAILABLE,($D64+AE$5)&gt;TOTAL_LABOR_HOURS_CAP,MAX(0,($D64+AE$5)-PERMANENT_FIELD_LABOR_HOURS)&gt;TEMP_HOURS_CAP),"",$C64+AE$6-MIN(($D64+AE$5),PERMANENT_FIELD_LABOR_HOURS)*PERMANENT_HOURLY_RATE-MAX(0,($D64+AE$5)-PERMANENT_FIELD_LABOR_HOURS)*TEMP_HOURLY_RATE-FIXED_SEASON_COST)</f>
        <v>11274.9500966308</v>
      </c>
      <c r="AF64" s="53" t="n">
        <f aca="false">IF(OR($A64&gt;TOMATO_BED_CAP,$B64&gt;CARROT_BED_CAP,AF$4&gt;MESCLUN_BED_CAP,$A64+$B64+AF$4&gt;TOTAL_BEDS_AVAILABLE,($D64+AF$5)&gt;TOTAL_LABOR_HOURS_CAP,MAX(0,($D64+AF$5)-PERMANENT_FIELD_LABOR_HOURS)&gt;TEMP_HOURS_CAP),"",$C64+AF$6-MIN(($D64+AF$5),PERMANENT_FIELD_LABOR_HOURS)*PERMANENT_HOURLY_RATE-MAX(0,($D64+AF$5)-PERMANENT_FIELD_LABOR_HOURS)*TEMP_HOURLY_RATE-FIXED_SEASON_COST)</f>
        <v>11682.8876278728</v>
      </c>
      <c r="AG64" s="53" t="n">
        <f aca="false">IF(OR($A64&gt;TOMATO_BED_CAP,$B64&gt;CARROT_BED_CAP,AG$4&gt;MESCLUN_BED_CAP,$A64+$B64+AG$4&gt;TOTAL_BEDS_AVAILABLE,($D64+AG$5)&gt;TOTAL_LABOR_HOURS_CAP,MAX(0,($D64+AG$5)-PERMANENT_FIELD_LABOR_HOURS)&gt;TEMP_HOURS_CAP),"",$C64+AG$6-MIN(($D64+AG$5),PERMANENT_FIELD_LABOR_HOURS)*PERMANENT_HOURLY_RATE-MAX(0,($D64+AG$5)-PERMANENT_FIELD_LABOR_HOURS)*TEMP_HOURLY_RATE-FIXED_SEASON_COST)</f>
        <v>12059.6865174098</v>
      </c>
      <c r="AH64" s="53" t="n">
        <f aca="false">IF(OR($A64&gt;TOMATO_BED_CAP,$B64&gt;CARROT_BED_CAP,AH$4&gt;MESCLUN_BED_CAP,$A64+$B64+AH$4&gt;TOTAL_BEDS_AVAILABLE,($D64+AH$5)&gt;TOTAL_LABOR_HOURS_CAP,MAX(0,($D64+AH$5)-PERMANENT_FIELD_LABOR_HOURS)&gt;TEMP_HOURS_CAP),"",$C64+AH$6-MIN(($D64+AH$5),PERMANENT_FIELD_LABOR_HOURS)*PERMANENT_HOURLY_RATE-MAX(0,($D64+AH$5)-PERMANENT_FIELD_LABOR_HOURS)*TEMP_HOURLY_RATE-FIXED_SEASON_COST)</f>
        <v>12404.78893396</v>
      </c>
      <c r="AI64" s="53" t="n">
        <f aca="false">IF(OR($A64&gt;TOMATO_BED_CAP,$B64&gt;CARROT_BED_CAP,AI$4&gt;MESCLUN_BED_CAP,$A64+$B64+AI$4&gt;TOTAL_BEDS_AVAILABLE,($D64+AI$5)&gt;TOTAL_LABOR_HOURS_CAP,MAX(0,($D64+AI$5)-PERMANENT_FIELD_LABOR_HOURS)&gt;TEMP_HOURS_CAP),"",$C64+AI$6-MIN(($D64+AI$5),PERMANENT_FIELD_LABOR_HOURS)*PERMANENT_HOURLY_RATE-MAX(0,($D64+AI$5)-PERMANENT_FIELD_LABOR_HOURS)*TEMP_HOURLY_RATE-FIXED_SEASON_COST)</f>
        <v>12717.6279658723</v>
      </c>
      <c r="AJ64" s="53" t="n">
        <f aca="false">IF(OR($A64&gt;TOMATO_BED_CAP,$B64&gt;CARROT_BED_CAP,AJ$4&gt;MESCLUN_BED_CAP,$A64+$B64+AJ$4&gt;TOTAL_BEDS_AVAILABLE,($D64+AJ$5)&gt;TOTAL_LABOR_HOURS_CAP,MAX(0,($D64+AJ$5)-PERMANENT_FIELD_LABOR_HOURS)&gt;TEMP_HOURS_CAP),"",$C64+AJ$6-MIN(($D64+AJ$5),PERMANENT_FIELD_LABOR_HOURS)*PERMANENT_HOURLY_RATE-MAX(0,($D64+AJ$5)-PERMANENT_FIELD_LABOR_HOURS)*TEMP_HOURLY_RATE-FIXED_SEASON_COST)</f>
        <v>12997.627481278</v>
      </c>
    </row>
    <row r="65" customFormat="false" ht="15" hidden="false" customHeight="false" outlineLevel="0" collapsed="false">
      <c r="A65" s="21" t="n">
        <f aca="false">INT((ROW()-ROW($A$8))/(20+1))</f>
        <v>2</v>
      </c>
      <c r="B65" s="21" t="n">
        <f aca="false">MOD(ROW()-ROW($A$8),20+1)</f>
        <v>15</v>
      </c>
      <c r="C65" s="13" t="n">
        <f aca="false">A65*(TOMATO_REVENUE_PER_BED-TOMATO_FERTILIZER_PER_BED)+B65*(CARROT_REVENUE_PER_BED-CARROT_FERTILIZER_PER_BED)</f>
        <v>40650</v>
      </c>
      <c r="D65" s="14" t="n">
        <f aca="false">INDEX(TOMATO_SCHED_LABOR_HRS,A65+1)+INDEX(CARROT_SCHED_LABOR_HRS,B65+1)</f>
        <v>869.27348125418</v>
      </c>
      <c r="E65" s="13" t="n">
        <f aca="false">IF(COUNT(F65:AJ65)=0,"",MAX(F65:AJ65))</f>
        <v>13640.2016603</v>
      </c>
      <c r="F65" s="53" t="n">
        <f aca="false">IF(OR($A65&gt;TOMATO_BED_CAP,$B65&gt;CARROT_BED_CAP,F$4&gt;MESCLUN_BED_CAP,$A65+$B65+F$4&gt;TOTAL_BEDS_AVAILABLE,($D65+F$5)&gt;TOTAL_LABOR_HOURS_CAP,MAX(0,($D65+F$5)-PERMANENT_FIELD_LABOR_HOURS)&gt;TEMP_HOURS_CAP),"",$C65+F$6-MIN(($D65+F$5),PERMANENT_FIELD_LABOR_HOURS)*PERMANENT_HOURLY_RATE-MAX(0,($D65+F$5)-PERMANENT_FIELD_LABOR_HOURS)*TEMP_HOURLY_RATE-FIXED_SEASON_COST)</f>
        <v>-6939.78763457256</v>
      </c>
      <c r="G65" s="53" t="n">
        <f aca="false">IF(OR($A65&gt;TOMATO_BED_CAP,$B65&gt;CARROT_BED_CAP,G$4&gt;MESCLUN_BED_CAP,$A65+$B65+G$4&gt;TOTAL_BEDS_AVAILABLE,($D65+G$5)&gt;TOTAL_LABOR_HOURS_CAP,MAX(0,($D65+G$5)-PERMANENT_FIELD_LABOR_HOURS)&gt;TEMP_HOURS_CAP),"",$C65+G$6-MIN(($D65+G$5),PERMANENT_FIELD_LABOR_HOURS)*PERMANENT_HOURLY_RATE-MAX(0,($D65+G$5)-PERMANENT_FIELD_LABOR_HOURS)*TEMP_HOURLY_RATE-FIXED_SEASON_COST)</f>
        <v>-5910.75263457256</v>
      </c>
      <c r="H65" s="53" t="n">
        <f aca="false">IF(OR($A65&gt;TOMATO_BED_CAP,$B65&gt;CARROT_BED_CAP,H$4&gt;MESCLUN_BED_CAP,$A65+$B65+H$4&gt;TOTAL_BEDS_AVAILABLE,($D65+H$5)&gt;TOTAL_LABOR_HOURS_CAP,MAX(0,($D65+H$5)-PERMANENT_FIELD_LABOR_HOURS)&gt;TEMP_HOURS_CAP),"",$C65+H$6-MIN(($D65+H$5),PERMANENT_FIELD_LABOR_HOURS)*PERMANENT_HOURLY_RATE-MAX(0,($D65+H$5)-PERMANENT_FIELD_LABOR_HOURS)*TEMP_HOURLY_RATE-FIXED_SEASON_COST)</f>
        <v>-4901.49175957256</v>
      </c>
      <c r="I65" s="53" t="n">
        <f aca="false">IF(OR($A65&gt;TOMATO_BED_CAP,$B65&gt;CARROT_BED_CAP,I$4&gt;MESCLUN_BED_CAP,$A65+$B65+I$4&gt;TOTAL_BEDS_AVAILABLE,($D65+I$5)&gt;TOTAL_LABOR_HOURS_CAP,MAX(0,($D65+I$5)-PERMANENT_FIELD_LABOR_HOURS)&gt;TEMP_HOURS_CAP),"",$C65+I$6-MIN(($D65+I$5),PERMANENT_FIELD_LABOR_HOURS)*PERMANENT_HOURLY_RATE-MAX(0,($D65+I$5)-PERMANENT_FIELD_LABOR_HOURS)*TEMP_HOURLY_RATE-FIXED_SEASON_COST)</f>
        <v>-3912.37577441631</v>
      </c>
      <c r="J65" s="53" t="n">
        <f aca="false">IF(OR($A65&gt;TOMATO_BED_CAP,$B65&gt;CARROT_BED_CAP,J$4&gt;MESCLUN_BED_CAP,$A65+$B65+J$4&gt;TOTAL_BEDS_AVAILABLE,($D65+J$5)&gt;TOTAL_LABOR_HOURS_CAP,MAX(0,($D65+J$5)-PERMANENT_FIELD_LABOR_HOURS)&gt;TEMP_HOURS_CAP),"",$C65+J$6-MIN(($D65+J$5),PERMANENT_FIELD_LABOR_HOURS)*PERMANENT_HOURLY_RATE-MAX(0,($D65+J$5)-PERMANENT_FIELD_LABOR_HOURS)*TEMP_HOURLY_RATE-FIXED_SEASON_COST)</f>
        <v>-2943.78162336162</v>
      </c>
      <c r="K65" s="53" t="n">
        <f aca="false">IF(OR($A65&gt;TOMATO_BED_CAP,$B65&gt;CARROT_BED_CAP,K$4&gt;MESCLUN_BED_CAP,$A65+$B65+K$4&gt;TOTAL_BEDS_AVAILABLE,($D65+K$5)&gt;TOTAL_LABOR_HOURS_CAP,MAX(0,($D65+K$5)-PERMANENT_FIELD_LABOR_HOURS)&gt;TEMP_HOURS_CAP),"",$C65+K$6-MIN(($D65+K$5),PERMANENT_FIELD_LABOR_HOURS)*PERMANENT_HOURLY_RATE-MAX(0,($D65+K$5)-PERMANENT_FIELD_LABOR_HOURS)*TEMP_HOURLY_RATE-FIXED_SEASON_COST)</f>
        <v>-1996.09252663371</v>
      </c>
      <c r="L65" s="53" t="n">
        <f aca="false">IF(OR($A65&gt;TOMATO_BED_CAP,$B65&gt;CARROT_BED_CAP,L$4&gt;MESCLUN_BED_CAP,$A65+$B65+L$4&gt;TOTAL_BEDS_AVAILABLE,($D65+L$5)&gt;TOTAL_LABOR_HOURS_CAP,MAX(0,($D65+L$5)-PERMANENT_FIELD_LABOR_HOURS)&gt;TEMP_HOURS_CAP),"",$C65+L$6-MIN(($D65+L$5),PERMANENT_FIELD_LABOR_HOURS)*PERMANENT_HOURLY_RATE-MAX(0,($D65+L$5)-PERMANENT_FIELD_LABOR_HOURS)*TEMP_HOURLY_RATE-FIXED_SEASON_COST)</f>
        <v>-1069.69807842686</v>
      </c>
      <c r="M65" s="53" t="n">
        <f aca="false">IF(OR($A65&gt;TOMATO_BED_CAP,$B65&gt;CARROT_BED_CAP,M$4&gt;MESCLUN_BED_CAP,$A65+$B65+M$4&gt;TOTAL_BEDS_AVAILABLE,($D65+M$5)&gt;TOTAL_LABOR_HOURS_CAP,MAX(0,($D65+M$5)-PERMANENT_FIELD_LABOR_HOURS)&gt;TEMP_HOURS_CAP),"",$C65+M$6-MIN(($D65+M$5),PERMANENT_FIELD_LABOR_HOURS)*PERMANENT_HOURLY_RATE-MAX(0,($D65+M$5)-PERMANENT_FIELD_LABOR_HOURS)*TEMP_HOURLY_RATE-FIXED_SEASON_COST)</f>
        <v>-164.994346375453</v>
      </c>
      <c r="N65" s="53" t="n">
        <f aca="false">IF(OR($A65&gt;TOMATO_BED_CAP,$B65&gt;CARROT_BED_CAP,N$4&gt;MESCLUN_BED_CAP,$A65+$B65+N$4&gt;TOTAL_BEDS_AVAILABLE,($D65+N$5)&gt;TOTAL_LABOR_HOURS_CAP,MAX(0,($D65+N$5)-PERMANENT_FIELD_LABOR_HOURS)&gt;TEMP_HOURS_CAP),"",$C65+N$6-MIN(($D65+N$5),PERMANENT_FIELD_LABOR_HOURS)*PERMANENT_HOURLY_RATE-MAX(0,($D65+N$5)-PERMANENT_FIELD_LABOR_HOURS)*TEMP_HOURLY_RATE-FIXED_SEASON_COST)</f>
        <v>717.616027484091</v>
      </c>
      <c r="O65" s="53" t="n">
        <f aca="false">IF(OR($A65&gt;TOMATO_BED_CAP,$B65&gt;CARROT_BED_CAP,O$4&gt;MESCLUN_BED_CAP,$A65+$B65+O$4&gt;TOTAL_BEDS_AVAILABLE,($D65+O$5)&gt;TOTAL_LABOR_HOURS_CAP,MAX(0,($D65+O$5)-PERMANENT_FIELD_LABOR_HOURS)&gt;TEMP_HOURS_CAP),"",$C65+O$6-MIN(($D65+O$5),PERMANENT_FIELD_LABOR_HOURS)*PERMANENT_HOURLY_RATE-MAX(0,($D65+O$5)-PERMANENT_FIELD_LABOR_HOURS)*TEMP_HOURLY_RATE-FIXED_SEASON_COST)</f>
        <v>1577.72372423884</v>
      </c>
      <c r="P65" s="53" t="n">
        <f aca="false">IF(OR($A65&gt;TOMATO_BED_CAP,$B65&gt;CARROT_BED_CAP,P$4&gt;MESCLUN_BED_CAP,$A65+$B65+P$4&gt;TOTAL_BEDS_AVAILABLE,($D65+P$5)&gt;TOTAL_LABOR_HOURS_CAP,MAX(0,($D65+P$5)-PERMANENT_FIELD_LABOR_HOURS)&gt;TEMP_HOURS_CAP),"",$C65+P$6-MIN(($D65+P$5),PERMANENT_FIELD_LABOR_HOURS)*PERMANENT_HOURLY_RATE-MAX(0,($D65+P$5)-PERMANENT_FIELD_LABOR_HOURS)*TEMP_HOURLY_RATE-FIXED_SEASON_COST)</f>
        <v>2414.91264409027</v>
      </c>
      <c r="Q65" s="53" t="n">
        <f aca="false">IF(OR($A65&gt;TOMATO_BED_CAP,$B65&gt;CARROT_BED_CAP,Q$4&gt;MESCLUN_BED_CAP,$A65+$B65+Q$4&gt;TOTAL_BEDS_AVAILABLE,($D65+Q$5)&gt;TOTAL_LABOR_HOURS_CAP,MAX(0,($D65+Q$5)-PERMANENT_FIELD_LABOR_HOURS)&gt;TEMP_HOURS_CAP),"",$C65+Q$6-MIN(($D65+Q$5),PERMANENT_FIELD_LABOR_HOURS)*PERMANENT_HOURLY_RATE-MAX(0,($D65+Q$5)-PERMANENT_FIELD_LABOR_HOURS)*TEMP_HOURLY_RATE-FIXED_SEASON_COST)</f>
        <v>3228.75980078817</v>
      </c>
      <c r="R65" s="53" t="n">
        <f aca="false">IF(OR($A65&gt;TOMATO_BED_CAP,$B65&gt;CARROT_BED_CAP,R$4&gt;MESCLUN_BED_CAP,$A65+$B65+R$4&gt;TOTAL_BEDS_AVAILABLE,($D65+R$5)&gt;TOTAL_LABOR_HOURS_CAP,MAX(0,($D65+R$5)-PERMANENT_FIELD_LABOR_HOURS)&gt;TEMP_HOURS_CAP),"",$C65+R$6-MIN(($D65+R$5),PERMANENT_FIELD_LABOR_HOURS)*PERMANENT_HOURLY_RATE-MAX(0,($D65+R$5)-PERMANENT_FIELD_LABOR_HOURS)*TEMP_HOURLY_RATE-FIXED_SEASON_COST)</f>
        <v>4018.83521448497</v>
      </c>
      <c r="S65" s="53" t="n">
        <f aca="false">IF(OR($A65&gt;TOMATO_BED_CAP,$B65&gt;CARROT_BED_CAP,S$4&gt;MESCLUN_BED_CAP,$A65+$B65+S$4&gt;TOTAL_BEDS_AVAILABLE,($D65+S$5)&gt;TOTAL_LABOR_HOURS_CAP,MAX(0,($D65+S$5)-PERMANENT_FIELD_LABOR_HOURS)&gt;TEMP_HOURS_CAP),"",$C65+S$6-MIN(($D65+S$5),PERMANENT_FIELD_LABOR_HOURS)*PERMANENT_HOURLY_RATE-MAX(0,($D65+S$5)-PERMANENT_FIELD_LABOR_HOURS)*TEMP_HOURLY_RATE-FIXED_SEASON_COST)</f>
        <v>4784.70180298742</v>
      </c>
      <c r="T65" s="53" t="n">
        <f aca="false">IF(OR($A65&gt;TOMATO_BED_CAP,$B65&gt;CARROT_BED_CAP,T$4&gt;MESCLUN_BED_CAP,$A65+$B65+T$4&gt;TOTAL_BEDS_AVAILABLE,($D65+T$5)&gt;TOTAL_LABOR_HOURS_CAP,MAX(0,($D65+T$5)-PERMANENT_FIELD_LABOR_HOURS)&gt;TEMP_HOURS_CAP),"",$C65+T$6-MIN(($D65+T$5),PERMANENT_FIELD_LABOR_HOURS)*PERMANENT_HOURLY_RATE-MAX(0,($D65+T$5)-PERMANENT_FIELD_LABOR_HOURS)*TEMP_HOURLY_RATE-FIXED_SEASON_COST)</f>
        <v>5525.91527138227</v>
      </c>
      <c r="U65" s="53" t="n">
        <f aca="false">IF(OR($A65&gt;TOMATO_BED_CAP,$B65&gt;CARROT_BED_CAP,U$4&gt;MESCLUN_BED_CAP,$A65+$B65+U$4&gt;TOTAL_BEDS_AVAILABLE,($D65+U$5)&gt;TOTAL_LABOR_HOURS_CAP,MAX(0,($D65+U$5)-PERMANENT_FIELD_LABOR_HOURS)&gt;TEMP_HOURS_CAP),"",$C65+U$6-MIN(($D65+U$5),PERMANENT_FIELD_LABOR_HOURS)*PERMANENT_HOURLY_RATE-MAX(0,($D65+U$5)-PERMANENT_FIELD_LABOR_HOURS)*TEMP_HOURLY_RATE-FIXED_SEASON_COST)</f>
        <v>6242.02400001236</v>
      </c>
      <c r="V65" s="53" t="n">
        <f aca="false">IF(OR($A65&gt;TOMATO_BED_CAP,$B65&gt;CARROT_BED_CAP,V$4&gt;MESCLUN_BED_CAP,$A65+$B65+V$4&gt;TOTAL_BEDS_AVAILABLE,($D65+V$5)&gt;TOTAL_LABOR_HOURS_CAP,MAX(0,($D65+V$5)-PERMANENT_FIELD_LABOR_HOURS)&gt;TEMP_HOURS_CAP),"",$C65+V$6-MIN(($D65+V$5),PERMANENT_FIELD_LABOR_HOURS)*PERMANENT_HOURLY_RATE-MAX(0,($D65+V$5)-PERMANENT_FIELD_LABOR_HOURS)*TEMP_HOURLY_RATE-FIXED_SEASON_COST)</f>
        <v>6932.56893077915</v>
      </c>
      <c r="W65" s="53" t="n">
        <f aca="false">IF(OR($A65&gt;TOMATO_BED_CAP,$B65&gt;CARROT_BED_CAP,W$4&gt;MESCLUN_BED_CAP,$A65+$B65+W$4&gt;TOTAL_BEDS_AVAILABLE,($D65+W$5)&gt;TOTAL_LABOR_HOURS_CAP,MAX(0,($D65+W$5)-PERMANENT_FIELD_LABOR_HOURS)&gt;TEMP_HOURS_CAP),"",$C65+W$6-MIN(($D65+W$5),PERMANENT_FIELD_LABOR_HOURS)*PERMANENT_HOURLY_RATE-MAX(0,($D65+W$5)-PERMANENT_FIELD_LABOR_HOURS)*TEMP_HOURLY_RATE-FIXED_SEASON_COST)</f>
        <v>7597.08345174722</v>
      </c>
      <c r="X65" s="53" t="n">
        <f aca="false">IF(OR($A65&gt;TOMATO_BED_CAP,$B65&gt;CARROT_BED_CAP,X$4&gt;MESCLUN_BED_CAP,$A65+$B65+X$4&gt;TOTAL_BEDS_AVAILABLE,($D65+X$5)&gt;TOTAL_LABOR_HOURS_CAP,MAX(0,($D65+X$5)-PERMANENT_FIELD_LABOR_HOURS)&gt;TEMP_HOURS_CAP),"",$C65+X$6-MIN(($D65+X$5),PERMANENT_FIELD_LABOR_HOURS)*PERMANENT_HOURLY_RATE-MAX(0,($D65+X$5)-PERMANENT_FIELD_LABOR_HOURS)*TEMP_HOURLY_RATE-FIXED_SEASON_COST)</f>
        <v>8235.09328002614</v>
      </c>
      <c r="Y65" s="53" t="n">
        <f aca="false">IF(OR($A65&gt;TOMATO_BED_CAP,$B65&gt;CARROT_BED_CAP,Y$4&gt;MESCLUN_BED_CAP,$A65+$B65+Y$4&gt;TOTAL_BEDS_AVAILABLE,($D65+Y$5)&gt;TOTAL_LABOR_HOURS_CAP,MAX(0,($D65+Y$5)-PERMANENT_FIELD_LABOR_HOURS)&gt;TEMP_HOURS_CAP),"",$C65+Y$6-MIN(($D65+Y$5),PERMANENT_FIELD_LABOR_HOURS)*PERMANENT_HOURLY_RATE-MAX(0,($D65+Y$5)-PERMANENT_FIELD_LABOR_HOURS)*TEMP_HOURLY_RATE-FIXED_SEASON_COST)</f>
        <v>8846.1163429048</v>
      </c>
      <c r="Z65" s="53" t="n">
        <f aca="false">IF(OR($A65&gt;TOMATO_BED_CAP,$B65&gt;CARROT_BED_CAP,Z$4&gt;MESCLUN_BED_CAP,$A65+$B65+Z$4&gt;TOTAL_BEDS_AVAILABLE,($D65+Z$5)&gt;TOTAL_LABOR_HOURS_CAP,MAX(0,($D65+Z$5)-PERMANENT_FIELD_LABOR_HOURS)&gt;TEMP_HOURS_CAP),"",$C65+Z$6-MIN(($D65+Z$5),PERMANENT_FIELD_LABOR_HOURS)*PERMANENT_HOURLY_RATE-MAX(0,($D65+Z$5)-PERMANENT_FIELD_LABOR_HOURS)*TEMP_HOURLY_RATE-FIXED_SEASON_COST)</f>
        <v>9429.66265721252</v>
      </c>
      <c r="AA65" s="53" t="n">
        <f aca="false">IF(OR($A65&gt;TOMATO_BED_CAP,$B65&gt;CARROT_BED_CAP,AA$4&gt;MESCLUN_BED_CAP,$A65+$B65+AA$4&gt;TOTAL_BEDS_AVAILABLE,($D65+AA$5)&gt;TOTAL_LABOR_HOURS_CAP,MAX(0,($D65+AA$5)-PERMANENT_FIELD_LABOR_HOURS)&gt;TEMP_HOURS_CAP),"",$C65+AA$6-MIN(($D65+AA$5),PERMANENT_FIELD_LABOR_HOURS)*PERMANENT_HOURLY_RATE-MAX(0,($D65+AA$5)-PERMANENT_FIELD_LABOR_HOURS)*TEMP_HOURLY_RATE-FIXED_SEASON_COST)</f>
        <v>9985.23420688145</v>
      </c>
      <c r="AB65" s="53" t="n">
        <f aca="false">IF(OR($A65&gt;TOMATO_BED_CAP,$B65&gt;CARROT_BED_CAP,AB$4&gt;MESCLUN_BED_CAP,$A65+$B65+AB$4&gt;TOTAL_BEDS_AVAILABLE,($D65+AB$5)&gt;TOTAL_LABOR_HOURS_CAP,MAX(0,($D65+AB$5)-PERMANENT_FIELD_LABOR_HOURS)&gt;TEMP_HOURS_CAP),"",$C65+AB$6-MIN(($D65+AB$5),PERMANENT_FIELD_LABOR_HOURS)*PERMANENT_HOURLY_RATE-MAX(0,($D65+AB$5)-PERMANENT_FIELD_LABOR_HOURS)*TEMP_HOURLY_RATE-FIXED_SEASON_COST)</f>
        <v>10512.324818684</v>
      </c>
      <c r="AC65" s="53" t="n">
        <f aca="false">IF(OR($A65&gt;TOMATO_BED_CAP,$B65&gt;CARROT_BED_CAP,AC$4&gt;MESCLUN_BED_CAP,$A65+$B65+AC$4&gt;TOTAL_BEDS_AVAILABLE,($D65+AC$5)&gt;TOTAL_LABOR_HOURS_CAP,MAX(0,($D65+AC$5)-PERMANENT_FIELD_LABOR_HOURS)&gt;TEMP_HOURS_CAP),"",$C65+AC$6-MIN(($D65+AC$5),PERMANENT_FIELD_LABOR_HOURS)*PERMANENT_HOURLY_RATE-MAX(0,($D65+AC$5)-PERMANENT_FIELD_LABOR_HOURS)*TEMP_HOURLY_RATE-FIXED_SEASON_COST)</f>
        <v>11010.4200361189</v>
      </c>
      <c r="AD65" s="53" t="n">
        <f aca="false">IF(OR($A65&gt;TOMATO_BED_CAP,$B65&gt;CARROT_BED_CAP,AD$4&gt;MESCLUN_BED_CAP,$A65+$B65+AD$4&gt;TOTAL_BEDS_AVAILABLE,($D65+AD$5)&gt;TOTAL_LABOR_HOURS_CAP,MAX(0,($D65+AD$5)-PERMANENT_FIELD_LABOR_HOURS)&gt;TEMP_HOURS_CAP),"",$C65+AD$6-MIN(($D65+AD$5),PERMANENT_FIELD_LABOR_HOURS)*PERMANENT_HOURLY_RATE-MAX(0,($D65+AD$5)-PERMANENT_FIELD_LABOR_HOURS)*TEMP_HOURLY_RATE-FIXED_SEASON_COST)</f>
        <v>11478.9969914189</v>
      </c>
      <c r="AE65" s="53" t="n">
        <f aca="false">IF(OR($A65&gt;TOMATO_BED_CAP,$B65&gt;CARROT_BED_CAP,AE$4&gt;MESCLUN_BED_CAP,$A65+$B65+AE$4&gt;TOTAL_BEDS_AVAILABLE,($D65+AE$5)&gt;TOTAL_LABOR_HOURS_CAP,MAX(0,($D65+AE$5)-PERMANENT_FIELD_LABOR_HOURS)&gt;TEMP_HOURS_CAP),"",$C65+AE$6-MIN(($D65+AE$5),PERMANENT_FIELD_LABOR_HOURS)*PERMANENT_HOURLY_RATE-MAX(0,($D65+AE$5)-PERMANENT_FIELD_LABOR_HOURS)*TEMP_HOURLY_RATE-FIXED_SEASON_COST)</f>
        <v>11917.5242756528</v>
      </c>
      <c r="AF65" s="53" t="n">
        <f aca="false">IF(OR($A65&gt;TOMATO_BED_CAP,$B65&gt;CARROT_BED_CAP,AF$4&gt;MESCLUN_BED_CAP,$A65+$B65+AF$4&gt;TOTAL_BEDS_AVAILABLE,($D65+AF$5)&gt;TOTAL_LABOR_HOURS_CAP,MAX(0,($D65+AF$5)-PERMANENT_FIELD_LABOR_HOURS)&gt;TEMP_HOURS_CAP),"",$C65+AF$6-MIN(($D65+AF$5),PERMANENT_FIELD_LABOR_HOURS)*PERMANENT_HOURLY_RATE-MAX(0,($D65+AF$5)-PERMANENT_FIELD_LABOR_HOURS)*TEMP_HOURLY_RATE-FIXED_SEASON_COST)</f>
        <v>12325.4618068947</v>
      </c>
      <c r="AG65" s="53" t="n">
        <f aca="false">IF(OR($A65&gt;TOMATO_BED_CAP,$B65&gt;CARROT_BED_CAP,AG$4&gt;MESCLUN_BED_CAP,$A65+$B65+AG$4&gt;TOTAL_BEDS_AVAILABLE,($D65+AG$5)&gt;TOTAL_LABOR_HOURS_CAP,MAX(0,($D65+AG$5)-PERMANENT_FIELD_LABOR_HOURS)&gt;TEMP_HOURS_CAP),"",$C65+AG$6-MIN(($D65+AG$5),PERMANENT_FIELD_LABOR_HOURS)*PERMANENT_HOURLY_RATE-MAX(0,($D65+AG$5)-PERMANENT_FIELD_LABOR_HOURS)*TEMP_HOURLY_RATE-FIXED_SEASON_COST)</f>
        <v>12702.2606964318</v>
      </c>
      <c r="AH65" s="53" t="n">
        <f aca="false">IF(OR($A65&gt;TOMATO_BED_CAP,$B65&gt;CARROT_BED_CAP,AH$4&gt;MESCLUN_BED_CAP,$A65+$B65+AH$4&gt;TOTAL_BEDS_AVAILABLE,($D65+AH$5)&gt;TOTAL_LABOR_HOURS_CAP,MAX(0,($D65+AH$5)-PERMANENT_FIELD_LABOR_HOURS)&gt;TEMP_HOURS_CAP),"",$C65+AH$6-MIN(($D65+AH$5),PERMANENT_FIELD_LABOR_HOURS)*PERMANENT_HOURLY_RATE-MAX(0,($D65+AH$5)-PERMANENT_FIELD_LABOR_HOURS)*TEMP_HOURLY_RATE-FIXED_SEASON_COST)</f>
        <v>13047.363112982</v>
      </c>
      <c r="AI65" s="53" t="n">
        <f aca="false">IF(OR($A65&gt;TOMATO_BED_CAP,$B65&gt;CARROT_BED_CAP,AI$4&gt;MESCLUN_BED_CAP,$A65+$B65+AI$4&gt;TOTAL_BEDS_AVAILABLE,($D65+AI$5)&gt;TOTAL_LABOR_HOURS_CAP,MAX(0,($D65+AI$5)-PERMANENT_FIELD_LABOR_HOURS)&gt;TEMP_HOURS_CAP),"",$C65+AI$6-MIN(($D65+AI$5),PERMANENT_FIELD_LABOR_HOURS)*PERMANENT_HOURLY_RATE-MAX(0,($D65+AI$5)-PERMANENT_FIELD_LABOR_HOURS)*TEMP_HOURLY_RATE-FIXED_SEASON_COST)</f>
        <v>13360.2021448942</v>
      </c>
      <c r="AJ65" s="53" t="n">
        <f aca="false">IF(OR($A65&gt;TOMATO_BED_CAP,$B65&gt;CARROT_BED_CAP,AJ$4&gt;MESCLUN_BED_CAP,$A65+$B65+AJ$4&gt;TOTAL_BEDS_AVAILABLE,($D65+AJ$5)&gt;TOTAL_LABOR_HOURS_CAP,MAX(0,($D65+AJ$5)-PERMANENT_FIELD_LABOR_HOURS)&gt;TEMP_HOURS_CAP),"",$C65+AJ$6-MIN(($D65+AJ$5),PERMANENT_FIELD_LABOR_HOURS)*PERMANENT_HOURLY_RATE-MAX(0,($D65+AJ$5)-PERMANENT_FIELD_LABOR_HOURS)*TEMP_HOURLY_RATE-FIXED_SEASON_COST)</f>
        <v>13640.2016603</v>
      </c>
    </row>
    <row r="66" customFormat="false" ht="15" hidden="false" customHeight="false" outlineLevel="0" collapsed="false">
      <c r="A66" s="21" t="n">
        <f aca="false">INT((ROW()-ROW($A$8))/(20+1))</f>
        <v>2</v>
      </c>
      <c r="B66" s="21" t="n">
        <f aca="false">MOD(ROW()-ROW($A$8),20+1)</f>
        <v>16</v>
      </c>
      <c r="C66" s="13" t="n">
        <f aca="false">A66*(TOMATO_REVENUE_PER_BED-TOMATO_FERTILIZER_PER_BED)+B66*(CARROT_REVENUE_PER_BED-CARROT_FERTILIZER_PER_BED)</f>
        <v>42304</v>
      </c>
      <c r="D66" s="14" t="n">
        <f aca="false">INDEX(TOMATO_SCHED_LABOR_HRS,A66+1)+INDEX(CARROT_SCHED_LABOR_HRS,B66+1)</f>
        <v>930.077672837903</v>
      </c>
      <c r="E66" s="13" t="n">
        <f aca="false">IF(COUNT(F66:AJ66)=0,"",MAX(F66:AJ66))</f>
        <v>14238.6408944065</v>
      </c>
      <c r="F66" s="53" t="n">
        <f aca="false">IF(OR($A66&gt;TOMATO_BED_CAP,$B66&gt;CARROT_BED_CAP,F$4&gt;MESCLUN_BED_CAP,$A66+$B66+F$4&gt;TOTAL_BEDS_AVAILABLE,($D66+F$5)&gt;TOTAL_LABOR_HOURS_CAP,MAX(0,($D66+F$5)-PERMANENT_FIELD_LABOR_HOURS)&gt;TEMP_HOURS_CAP),"",$C66+F$6-MIN(($D66+F$5),PERMANENT_FIELD_LABOR_HOURS)*PERMANENT_HOURLY_RATE-MAX(0,($D66+F$5)-PERMANENT_FIELD_LABOR_HOURS)*TEMP_HOURLY_RATE-FIXED_SEASON_COST)</f>
        <v>-6341.348400466</v>
      </c>
      <c r="G66" s="53" t="n">
        <f aca="false">IF(OR($A66&gt;TOMATO_BED_CAP,$B66&gt;CARROT_BED_CAP,G$4&gt;MESCLUN_BED_CAP,$A66+$B66+G$4&gt;TOTAL_BEDS_AVAILABLE,($D66+G$5)&gt;TOTAL_LABOR_HOURS_CAP,MAX(0,($D66+G$5)-PERMANENT_FIELD_LABOR_HOURS)&gt;TEMP_HOURS_CAP),"",$C66+G$6-MIN(($D66+G$5),PERMANENT_FIELD_LABOR_HOURS)*PERMANENT_HOURLY_RATE-MAX(0,($D66+G$5)-PERMANENT_FIELD_LABOR_HOURS)*TEMP_HOURLY_RATE-FIXED_SEASON_COST)</f>
        <v>-5312.313400466</v>
      </c>
      <c r="H66" s="53" t="n">
        <f aca="false">IF(OR($A66&gt;TOMATO_BED_CAP,$B66&gt;CARROT_BED_CAP,H$4&gt;MESCLUN_BED_CAP,$A66+$B66+H$4&gt;TOTAL_BEDS_AVAILABLE,($D66+H$5)&gt;TOTAL_LABOR_HOURS_CAP,MAX(0,($D66+H$5)-PERMANENT_FIELD_LABOR_HOURS)&gt;TEMP_HOURS_CAP),"",$C66+H$6-MIN(($D66+H$5),PERMANENT_FIELD_LABOR_HOURS)*PERMANENT_HOURLY_RATE-MAX(0,($D66+H$5)-PERMANENT_FIELD_LABOR_HOURS)*TEMP_HOURLY_RATE-FIXED_SEASON_COST)</f>
        <v>-4303.052525466</v>
      </c>
      <c r="I66" s="53" t="n">
        <f aca="false">IF(OR($A66&gt;TOMATO_BED_CAP,$B66&gt;CARROT_BED_CAP,I$4&gt;MESCLUN_BED_CAP,$A66+$B66+I$4&gt;TOTAL_BEDS_AVAILABLE,($D66+I$5)&gt;TOTAL_LABOR_HOURS_CAP,MAX(0,($D66+I$5)-PERMANENT_FIELD_LABOR_HOURS)&gt;TEMP_HOURS_CAP),"",$C66+I$6-MIN(($D66+I$5),PERMANENT_FIELD_LABOR_HOURS)*PERMANENT_HOURLY_RATE-MAX(0,($D66+I$5)-PERMANENT_FIELD_LABOR_HOURS)*TEMP_HOURLY_RATE-FIXED_SEASON_COST)</f>
        <v>-3313.93654030975</v>
      </c>
      <c r="J66" s="53" t="n">
        <f aca="false">IF(OR($A66&gt;TOMATO_BED_CAP,$B66&gt;CARROT_BED_CAP,J$4&gt;MESCLUN_BED_CAP,$A66+$B66+J$4&gt;TOTAL_BEDS_AVAILABLE,($D66+J$5)&gt;TOTAL_LABOR_HOURS_CAP,MAX(0,($D66+J$5)-PERMANENT_FIELD_LABOR_HOURS)&gt;TEMP_HOURS_CAP),"",$C66+J$6-MIN(($D66+J$5),PERMANENT_FIELD_LABOR_HOURS)*PERMANENT_HOURLY_RATE-MAX(0,($D66+J$5)-PERMANENT_FIELD_LABOR_HOURS)*TEMP_HOURLY_RATE-FIXED_SEASON_COST)</f>
        <v>-2345.34238925506</v>
      </c>
      <c r="K66" s="53" t="n">
        <f aca="false">IF(OR($A66&gt;TOMATO_BED_CAP,$B66&gt;CARROT_BED_CAP,K$4&gt;MESCLUN_BED_CAP,$A66+$B66+K$4&gt;TOTAL_BEDS_AVAILABLE,($D66+K$5)&gt;TOTAL_LABOR_HOURS_CAP,MAX(0,($D66+K$5)-PERMANENT_FIELD_LABOR_HOURS)&gt;TEMP_HOURS_CAP),"",$C66+K$6-MIN(($D66+K$5),PERMANENT_FIELD_LABOR_HOURS)*PERMANENT_HOURLY_RATE-MAX(0,($D66+K$5)-PERMANENT_FIELD_LABOR_HOURS)*TEMP_HOURLY_RATE-FIXED_SEASON_COST)</f>
        <v>-1397.65329252715</v>
      </c>
      <c r="L66" s="53" t="n">
        <f aca="false">IF(OR($A66&gt;TOMATO_BED_CAP,$B66&gt;CARROT_BED_CAP,L$4&gt;MESCLUN_BED_CAP,$A66+$B66+L$4&gt;TOTAL_BEDS_AVAILABLE,($D66+L$5)&gt;TOTAL_LABOR_HOURS_CAP,MAX(0,($D66+L$5)-PERMANENT_FIELD_LABOR_HOURS)&gt;TEMP_HOURS_CAP),"",$C66+L$6-MIN(($D66+L$5),PERMANENT_FIELD_LABOR_HOURS)*PERMANENT_HOURLY_RATE-MAX(0,($D66+L$5)-PERMANENT_FIELD_LABOR_HOURS)*TEMP_HOURLY_RATE-FIXED_SEASON_COST)</f>
        <v>-471.258844320302</v>
      </c>
      <c r="M66" s="53" t="n">
        <f aca="false">IF(OR($A66&gt;TOMATO_BED_CAP,$B66&gt;CARROT_BED_CAP,M$4&gt;MESCLUN_BED_CAP,$A66+$B66+M$4&gt;TOTAL_BEDS_AVAILABLE,($D66+M$5)&gt;TOTAL_LABOR_HOURS_CAP,MAX(0,($D66+M$5)-PERMANENT_FIELD_LABOR_HOURS)&gt;TEMP_HOURS_CAP),"",$C66+M$6-MIN(($D66+M$5),PERMANENT_FIELD_LABOR_HOURS)*PERMANENT_HOURLY_RATE-MAX(0,($D66+M$5)-PERMANENT_FIELD_LABOR_HOURS)*TEMP_HOURLY_RATE-FIXED_SEASON_COST)</f>
        <v>433.444887731108</v>
      </c>
      <c r="N66" s="53" t="n">
        <f aca="false">IF(OR($A66&gt;TOMATO_BED_CAP,$B66&gt;CARROT_BED_CAP,N$4&gt;MESCLUN_BED_CAP,$A66+$B66+N$4&gt;TOTAL_BEDS_AVAILABLE,($D66+N$5)&gt;TOTAL_LABOR_HOURS_CAP,MAX(0,($D66+N$5)-PERMANENT_FIELD_LABOR_HOURS)&gt;TEMP_HOURS_CAP),"",$C66+N$6-MIN(($D66+N$5),PERMANENT_FIELD_LABOR_HOURS)*PERMANENT_HOURLY_RATE-MAX(0,($D66+N$5)-PERMANENT_FIELD_LABOR_HOURS)*TEMP_HOURLY_RATE-FIXED_SEASON_COST)</f>
        <v>1316.05526159065</v>
      </c>
      <c r="O66" s="53" t="n">
        <f aca="false">IF(OR($A66&gt;TOMATO_BED_CAP,$B66&gt;CARROT_BED_CAP,O$4&gt;MESCLUN_BED_CAP,$A66+$B66+O$4&gt;TOTAL_BEDS_AVAILABLE,($D66+O$5)&gt;TOTAL_LABOR_HOURS_CAP,MAX(0,($D66+O$5)-PERMANENT_FIELD_LABOR_HOURS)&gt;TEMP_HOURS_CAP),"",$C66+O$6-MIN(($D66+O$5),PERMANENT_FIELD_LABOR_HOURS)*PERMANENT_HOURLY_RATE-MAX(0,($D66+O$5)-PERMANENT_FIELD_LABOR_HOURS)*TEMP_HOURLY_RATE-FIXED_SEASON_COST)</f>
        <v>2176.16295834541</v>
      </c>
      <c r="P66" s="53" t="n">
        <f aca="false">IF(OR($A66&gt;TOMATO_BED_CAP,$B66&gt;CARROT_BED_CAP,P$4&gt;MESCLUN_BED_CAP,$A66+$B66+P$4&gt;TOTAL_BEDS_AVAILABLE,($D66+P$5)&gt;TOTAL_LABOR_HOURS_CAP,MAX(0,($D66+P$5)-PERMANENT_FIELD_LABOR_HOURS)&gt;TEMP_HOURS_CAP),"",$C66+P$6-MIN(($D66+P$5),PERMANENT_FIELD_LABOR_HOURS)*PERMANENT_HOURLY_RATE-MAX(0,($D66+P$5)-PERMANENT_FIELD_LABOR_HOURS)*TEMP_HOURLY_RATE-FIXED_SEASON_COST)</f>
        <v>3013.35187819683</v>
      </c>
      <c r="Q66" s="53" t="n">
        <f aca="false">IF(OR($A66&gt;TOMATO_BED_CAP,$B66&gt;CARROT_BED_CAP,Q$4&gt;MESCLUN_BED_CAP,$A66+$B66+Q$4&gt;TOTAL_BEDS_AVAILABLE,($D66+Q$5)&gt;TOTAL_LABOR_HOURS_CAP,MAX(0,($D66+Q$5)-PERMANENT_FIELD_LABOR_HOURS)&gt;TEMP_HOURS_CAP),"",$C66+Q$6-MIN(($D66+Q$5),PERMANENT_FIELD_LABOR_HOURS)*PERMANENT_HOURLY_RATE-MAX(0,($D66+Q$5)-PERMANENT_FIELD_LABOR_HOURS)*TEMP_HOURLY_RATE-FIXED_SEASON_COST)</f>
        <v>3827.19903489473</v>
      </c>
      <c r="R66" s="53" t="n">
        <f aca="false">IF(OR($A66&gt;TOMATO_BED_CAP,$B66&gt;CARROT_BED_CAP,R$4&gt;MESCLUN_BED_CAP,$A66+$B66+R$4&gt;TOTAL_BEDS_AVAILABLE,($D66+R$5)&gt;TOTAL_LABOR_HOURS_CAP,MAX(0,($D66+R$5)-PERMANENT_FIELD_LABOR_HOURS)&gt;TEMP_HOURS_CAP),"",$C66+R$6-MIN(($D66+R$5),PERMANENT_FIELD_LABOR_HOURS)*PERMANENT_HOURLY_RATE-MAX(0,($D66+R$5)-PERMANENT_FIELD_LABOR_HOURS)*TEMP_HOURLY_RATE-FIXED_SEASON_COST)</f>
        <v>4617.27444859153</v>
      </c>
      <c r="S66" s="53" t="n">
        <f aca="false">IF(OR($A66&gt;TOMATO_BED_CAP,$B66&gt;CARROT_BED_CAP,S$4&gt;MESCLUN_BED_CAP,$A66+$B66+S$4&gt;TOTAL_BEDS_AVAILABLE,($D66+S$5)&gt;TOTAL_LABOR_HOURS_CAP,MAX(0,($D66+S$5)-PERMANENT_FIELD_LABOR_HOURS)&gt;TEMP_HOURS_CAP),"",$C66+S$6-MIN(($D66+S$5),PERMANENT_FIELD_LABOR_HOURS)*PERMANENT_HOURLY_RATE-MAX(0,($D66+S$5)-PERMANENT_FIELD_LABOR_HOURS)*TEMP_HOURLY_RATE-FIXED_SEASON_COST)</f>
        <v>5383.14103709399</v>
      </c>
      <c r="T66" s="53" t="n">
        <f aca="false">IF(OR($A66&gt;TOMATO_BED_CAP,$B66&gt;CARROT_BED_CAP,T$4&gt;MESCLUN_BED_CAP,$A66+$B66+T$4&gt;TOTAL_BEDS_AVAILABLE,($D66+T$5)&gt;TOTAL_LABOR_HOURS_CAP,MAX(0,($D66+T$5)-PERMANENT_FIELD_LABOR_HOURS)&gt;TEMP_HOURS_CAP),"",$C66+T$6-MIN(($D66+T$5),PERMANENT_FIELD_LABOR_HOURS)*PERMANENT_HOURLY_RATE-MAX(0,($D66+T$5)-PERMANENT_FIELD_LABOR_HOURS)*TEMP_HOURLY_RATE-FIXED_SEASON_COST)</f>
        <v>6124.35450548883</v>
      </c>
      <c r="U66" s="53" t="n">
        <f aca="false">IF(OR($A66&gt;TOMATO_BED_CAP,$B66&gt;CARROT_BED_CAP,U$4&gt;MESCLUN_BED_CAP,$A66+$B66+U$4&gt;TOTAL_BEDS_AVAILABLE,($D66+U$5)&gt;TOTAL_LABOR_HOURS_CAP,MAX(0,($D66+U$5)-PERMANENT_FIELD_LABOR_HOURS)&gt;TEMP_HOURS_CAP),"",$C66+U$6-MIN(($D66+U$5),PERMANENT_FIELD_LABOR_HOURS)*PERMANENT_HOURLY_RATE-MAX(0,($D66+U$5)-PERMANENT_FIELD_LABOR_HOURS)*TEMP_HOURLY_RATE-FIXED_SEASON_COST)</f>
        <v>6840.46323411892</v>
      </c>
      <c r="V66" s="53" t="n">
        <f aca="false">IF(OR($A66&gt;TOMATO_BED_CAP,$B66&gt;CARROT_BED_CAP,V$4&gt;MESCLUN_BED_CAP,$A66+$B66+V$4&gt;TOTAL_BEDS_AVAILABLE,($D66+V$5)&gt;TOTAL_LABOR_HOURS_CAP,MAX(0,($D66+V$5)-PERMANENT_FIELD_LABOR_HOURS)&gt;TEMP_HOURS_CAP),"",$C66+V$6-MIN(($D66+V$5),PERMANENT_FIELD_LABOR_HOURS)*PERMANENT_HOURLY_RATE-MAX(0,($D66+V$5)-PERMANENT_FIELD_LABOR_HOURS)*TEMP_HOURLY_RATE-FIXED_SEASON_COST)</f>
        <v>7531.00816488572</v>
      </c>
      <c r="W66" s="53" t="n">
        <f aca="false">IF(OR($A66&gt;TOMATO_BED_CAP,$B66&gt;CARROT_BED_CAP,W$4&gt;MESCLUN_BED_CAP,$A66+$B66+W$4&gt;TOTAL_BEDS_AVAILABLE,($D66+W$5)&gt;TOTAL_LABOR_HOURS_CAP,MAX(0,($D66+W$5)-PERMANENT_FIELD_LABOR_HOURS)&gt;TEMP_HOURS_CAP),"",$C66+W$6-MIN(($D66+W$5),PERMANENT_FIELD_LABOR_HOURS)*PERMANENT_HOURLY_RATE-MAX(0,($D66+W$5)-PERMANENT_FIELD_LABOR_HOURS)*TEMP_HOURLY_RATE-FIXED_SEASON_COST)</f>
        <v>8195.52268585378</v>
      </c>
      <c r="X66" s="53" t="n">
        <f aca="false">IF(OR($A66&gt;TOMATO_BED_CAP,$B66&gt;CARROT_BED_CAP,X$4&gt;MESCLUN_BED_CAP,$A66+$B66+X$4&gt;TOTAL_BEDS_AVAILABLE,($D66+X$5)&gt;TOTAL_LABOR_HOURS_CAP,MAX(0,($D66+X$5)-PERMANENT_FIELD_LABOR_HOURS)&gt;TEMP_HOURS_CAP),"",$C66+X$6-MIN(($D66+X$5),PERMANENT_FIELD_LABOR_HOURS)*PERMANENT_HOURLY_RATE-MAX(0,($D66+X$5)-PERMANENT_FIELD_LABOR_HOURS)*TEMP_HOURLY_RATE-FIXED_SEASON_COST)</f>
        <v>8833.53251413271</v>
      </c>
      <c r="Y66" s="53" t="n">
        <f aca="false">IF(OR($A66&gt;TOMATO_BED_CAP,$B66&gt;CARROT_BED_CAP,Y$4&gt;MESCLUN_BED_CAP,$A66+$B66+Y$4&gt;TOTAL_BEDS_AVAILABLE,($D66+Y$5)&gt;TOTAL_LABOR_HOURS_CAP,MAX(0,($D66+Y$5)-PERMANENT_FIELD_LABOR_HOURS)&gt;TEMP_HOURS_CAP),"",$C66+Y$6-MIN(($D66+Y$5),PERMANENT_FIELD_LABOR_HOURS)*PERMANENT_HOURLY_RATE-MAX(0,($D66+Y$5)-PERMANENT_FIELD_LABOR_HOURS)*TEMP_HOURLY_RATE-FIXED_SEASON_COST)</f>
        <v>9444.55557701136</v>
      </c>
      <c r="Z66" s="53" t="n">
        <f aca="false">IF(OR($A66&gt;TOMATO_BED_CAP,$B66&gt;CARROT_BED_CAP,Z$4&gt;MESCLUN_BED_CAP,$A66+$B66+Z$4&gt;TOTAL_BEDS_AVAILABLE,($D66+Z$5)&gt;TOTAL_LABOR_HOURS_CAP,MAX(0,($D66+Z$5)-PERMANENT_FIELD_LABOR_HOURS)&gt;TEMP_HOURS_CAP),"",$C66+Z$6-MIN(($D66+Z$5),PERMANENT_FIELD_LABOR_HOURS)*PERMANENT_HOURLY_RATE-MAX(0,($D66+Z$5)-PERMANENT_FIELD_LABOR_HOURS)*TEMP_HOURLY_RATE-FIXED_SEASON_COST)</f>
        <v>10028.1018913191</v>
      </c>
      <c r="AA66" s="53" t="n">
        <f aca="false">IF(OR($A66&gt;TOMATO_BED_CAP,$B66&gt;CARROT_BED_CAP,AA$4&gt;MESCLUN_BED_CAP,$A66+$B66+AA$4&gt;TOTAL_BEDS_AVAILABLE,($D66+AA$5)&gt;TOTAL_LABOR_HOURS_CAP,MAX(0,($D66+AA$5)-PERMANENT_FIELD_LABOR_HOURS)&gt;TEMP_HOURS_CAP),"",$C66+AA$6-MIN(($D66+AA$5),PERMANENT_FIELD_LABOR_HOURS)*PERMANENT_HOURLY_RATE-MAX(0,($D66+AA$5)-PERMANENT_FIELD_LABOR_HOURS)*TEMP_HOURLY_RATE-FIXED_SEASON_COST)</f>
        <v>10583.673440988</v>
      </c>
      <c r="AB66" s="53" t="n">
        <f aca="false">IF(OR($A66&gt;TOMATO_BED_CAP,$B66&gt;CARROT_BED_CAP,AB$4&gt;MESCLUN_BED_CAP,$A66+$B66+AB$4&gt;TOTAL_BEDS_AVAILABLE,($D66+AB$5)&gt;TOTAL_LABOR_HOURS_CAP,MAX(0,($D66+AB$5)-PERMANENT_FIELD_LABOR_HOURS)&gt;TEMP_HOURS_CAP),"",$C66+AB$6-MIN(($D66+AB$5),PERMANENT_FIELD_LABOR_HOURS)*PERMANENT_HOURLY_RATE-MAX(0,($D66+AB$5)-PERMANENT_FIELD_LABOR_HOURS)*TEMP_HOURLY_RATE-FIXED_SEASON_COST)</f>
        <v>11110.7640527906</v>
      </c>
      <c r="AC66" s="53" t="n">
        <f aca="false">IF(OR($A66&gt;TOMATO_BED_CAP,$B66&gt;CARROT_BED_CAP,AC$4&gt;MESCLUN_BED_CAP,$A66+$B66+AC$4&gt;TOTAL_BEDS_AVAILABLE,($D66+AC$5)&gt;TOTAL_LABOR_HOURS_CAP,MAX(0,($D66+AC$5)-PERMANENT_FIELD_LABOR_HOURS)&gt;TEMP_HOURS_CAP),"",$C66+AC$6-MIN(($D66+AC$5),PERMANENT_FIELD_LABOR_HOURS)*PERMANENT_HOURLY_RATE-MAX(0,($D66+AC$5)-PERMANENT_FIELD_LABOR_HOURS)*TEMP_HOURLY_RATE-FIXED_SEASON_COST)</f>
        <v>11608.8592702255</v>
      </c>
      <c r="AD66" s="53" t="n">
        <f aca="false">IF(OR($A66&gt;TOMATO_BED_CAP,$B66&gt;CARROT_BED_CAP,AD$4&gt;MESCLUN_BED_CAP,$A66+$B66+AD$4&gt;TOTAL_BEDS_AVAILABLE,($D66+AD$5)&gt;TOTAL_LABOR_HOURS_CAP,MAX(0,($D66+AD$5)-PERMANENT_FIELD_LABOR_HOURS)&gt;TEMP_HOURS_CAP),"",$C66+AD$6-MIN(($D66+AD$5),PERMANENT_FIELD_LABOR_HOURS)*PERMANENT_HOURLY_RATE-MAX(0,($D66+AD$5)-PERMANENT_FIELD_LABOR_HOURS)*TEMP_HOURLY_RATE-FIXED_SEASON_COST)</f>
        <v>12077.4362255254</v>
      </c>
      <c r="AE66" s="53" t="n">
        <f aca="false">IF(OR($A66&gt;TOMATO_BED_CAP,$B66&gt;CARROT_BED_CAP,AE$4&gt;MESCLUN_BED_CAP,$A66+$B66+AE$4&gt;TOTAL_BEDS_AVAILABLE,($D66+AE$5)&gt;TOTAL_LABOR_HOURS_CAP,MAX(0,($D66+AE$5)-PERMANENT_FIELD_LABOR_HOURS)&gt;TEMP_HOURS_CAP),"",$C66+AE$6-MIN(($D66+AE$5),PERMANENT_FIELD_LABOR_HOURS)*PERMANENT_HOURLY_RATE-MAX(0,($D66+AE$5)-PERMANENT_FIELD_LABOR_HOURS)*TEMP_HOURLY_RATE-FIXED_SEASON_COST)</f>
        <v>12515.9635097594</v>
      </c>
      <c r="AF66" s="53" t="n">
        <f aca="false">IF(OR($A66&gt;TOMATO_BED_CAP,$B66&gt;CARROT_BED_CAP,AF$4&gt;MESCLUN_BED_CAP,$A66+$B66+AF$4&gt;TOTAL_BEDS_AVAILABLE,($D66+AF$5)&gt;TOTAL_LABOR_HOURS_CAP,MAX(0,($D66+AF$5)-PERMANENT_FIELD_LABOR_HOURS)&gt;TEMP_HOURS_CAP),"",$C66+AF$6-MIN(($D66+AF$5),PERMANENT_FIELD_LABOR_HOURS)*PERMANENT_HOURLY_RATE-MAX(0,($D66+AF$5)-PERMANENT_FIELD_LABOR_HOURS)*TEMP_HOURLY_RATE-FIXED_SEASON_COST)</f>
        <v>12923.9010410013</v>
      </c>
      <c r="AG66" s="53" t="n">
        <f aca="false">IF(OR($A66&gt;TOMATO_BED_CAP,$B66&gt;CARROT_BED_CAP,AG$4&gt;MESCLUN_BED_CAP,$A66+$B66+AG$4&gt;TOTAL_BEDS_AVAILABLE,($D66+AG$5)&gt;TOTAL_LABOR_HOURS_CAP,MAX(0,($D66+AG$5)-PERMANENT_FIELD_LABOR_HOURS)&gt;TEMP_HOURS_CAP),"",$C66+AG$6-MIN(($D66+AG$5),PERMANENT_FIELD_LABOR_HOURS)*PERMANENT_HOURLY_RATE-MAX(0,($D66+AG$5)-PERMANENT_FIELD_LABOR_HOURS)*TEMP_HOURLY_RATE-FIXED_SEASON_COST)</f>
        <v>13300.6999305383</v>
      </c>
      <c r="AH66" s="53" t="n">
        <f aca="false">IF(OR($A66&gt;TOMATO_BED_CAP,$B66&gt;CARROT_BED_CAP,AH$4&gt;MESCLUN_BED_CAP,$A66+$B66+AH$4&gt;TOTAL_BEDS_AVAILABLE,($D66+AH$5)&gt;TOTAL_LABOR_HOURS_CAP,MAX(0,($D66+AH$5)-PERMANENT_FIELD_LABOR_HOURS)&gt;TEMP_HOURS_CAP),"",$C66+AH$6-MIN(($D66+AH$5),PERMANENT_FIELD_LABOR_HOURS)*PERMANENT_HOURLY_RATE-MAX(0,($D66+AH$5)-PERMANENT_FIELD_LABOR_HOURS)*TEMP_HOURLY_RATE-FIXED_SEASON_COST)</f>
        <v>13645.8023470885</v>
      </c>
      <c r="AI66" s="53" t="n">
        <f aca="false">IF(OR($A66&gt;TOMATO_BED_CAP,$B66&gt;CARROT_BED_CAP,AI$4&gt;MESCLUN_BED_CAP,$A66+$B66+AI$4&gt;TOTAL_BEDS_AVAILABLE,($D66+AI$5)&gt;TOTAL_LABOR_HOURS_CAP,MAX(0,($D66+AI$5)-PERMANENT_FIELD_LABOR_HOURS)&gt;TEMP_HOURS_CAP),"",$C66+AI$6-MIN(($D66+AI$5),PERMANENT_FIELD_LABOR_HOURS)*PERMANENT_HOURLY_RATE-MAX(0,($D66+AI$5)-PERMANENT_FIELD_LABOR_HOURS)*TEMP_HOURLY_RATE-FIXED_SEASON_COST)</f>
        <v>13958.6413790008</v>
      </c>
      <c r="AJ66" s="53" t="n">
        <f aca="false">IF(OR($A66&gt;TOMATO_BED_CAP,$B66&gt;CARROT_BED_CAP,AJ$4&gt;MESCLUN_BED_CAP,$A66+$B66+AJ$4&gt;TOTAL_BEDS_AVAILABLE,($D66+AJ$5)&gt;TOTAL_LABOR_HOURS_CAP,MAX(0,($D66+AJ$5)-PERMANENT_FIELD_LABOR_HOURS)&gt;TEMP_HOURS_CAP),"",$C66+AJ$6-MIN(($D66+AJ$5),PERMANENT_FIELD_LABOR_HOURS)*PERMANENT_HOURLY_RATE-MAX(0,($D66+AJ$5)-PERMANENT_FIELD_LABOR_HOURS)*TEMP_HOURLY_RATE-FIXED_SEASON_COST)</f>
        <v>14238.6408944065</v>
      </c>
    </row>
    <row r="67" customFormat="false" ht="15" hidden="false" customHeight="false" outlineLevel="0" collapsed="false">
      <c r="A67" s="21" t="n">
        <f aca="false">INT((ROW()-ROW($A$8))/(20+1))</f>
        <v>2</v>
      </c>
      <c r="B67" s="21" t="n">
        <f aca="false">MOD(ROW()-ROW($A$8),20+1)</f>
        <v>17</v>
      </c>
      <c r="C67" s="13" t="n">
        <f aca="false">A67*(TOMATO_REVENUE_PER_BED-TOMATO_FERTILIZER_PER_BED)+B67*(CARROT_REVENUE_PER_BED-CARROT_FERTILIZER_PER_BED)</f>
        <v>43958</v>
      </c>
      <c r="D67" s="14" t="n">
        <f aca="false">INDEX(TOMATO_SCHED_LABOR_HRS,A67+1)+INDEX(CARROT_SCHED_LABOR_HRS,B67+1)</f>
        <v>993.514903075029</v>
      </c>
      <c r="E67" s="13" t="n">
        <f aca="false">IF(COUNT(F67:AJ67)=0,"",MAX(F67:AJ67))</f>
        <v>14791.37057749</v>
      </c>
      <c r="F67" s="53" t="n">
        <f aca="false">IF(OR($A67&gt;TOMATO_BED_CAP,$B67&gt;CARROT_BED_CAP,F$4&gt;MESCLUN_BED_CAP,$A67+$B67+F$4&gt;TOTAL_BEDS_AVAILABLE,($D67+F$5)&gt;TOTAL_LABOR_HOURS_CAP,MAX(0,($D67+F$5)-PERMANENT_FIELD_LABOR_HOURS)&gt;TEMP_HOURS_CAP),"",$C67+F$6-MIN(($D67+F$5),PERMANENT_FIELD_LABOR_HOURS)*PERMANENT_HOURLY_RATE-MAX(0,($D67+F$5)-PERMANENT_FIELD_LABOR_HOURS)*TEMP_HOURLY_RATE-FIXED_SEASON_COST)</f>
        <v>-5788.6187173825</v>
      </c>
      <c r="G67" s="53" t="n">
        <f aca="false">IF(OR($A67&gt;TOMATO_BED_CAP,$B67&gt;CARROT_BED_CAP,G$4&gt;MESCLUN_BED_CAP,$A67+$B67+G$4&gt;TOTAL_BEDS_AVAILABLE,($D67+G$5)&gt;TOTAL_LABOR_HOURS_CAP,MAX(0,($D67+G$5)-PERMANENT_FIELD_LABOR_HOURS)&gt;TEMP_HOURS_CAP),"",$C67+G$6-MIN(($D67+G$5),PERMANENT_FIELD_LABOR_HOURS)*PERMANENT_HOURLY_RATE-MAX(0,($D67+G$5)-PERMANENT_FIELD_LABOR_HOURS)*TEMP_HOURLY_RATE-FIXED_SEASON_COST)</f>
        <v>-4759.5837173825</v>
      </c>
      <c r="H67" s="53" t="n">
        <f aca="false">IF(OR($A67&gt;TOMATO_BED_CAP,$B67&gt;CARROT_BED_CAP,H$4&gt;MESCLUN_BED_CAP,$A67+$B67+H$4&gt;TOTAL_BEDS_AVAILABLE,($D67+H$5)&gt;TOTAL_LABOR_HOURS_CAP,MAX(0,($D67+H$5)-PERMANENT_FIELD_LABOR_HOURS)&gt;TEMP_HOURS_CAP),"",$C67+H$6-MIN(($D67+H$5),PERMANENT_FIELD_LABOR_HOURS)*PERMANENT_HOURLY_RATE-MAX(0,($D67+H$5)-PERMANENT_FIELD_LABOR_HOURS)*TEMP_HOURLY_RATE-FIXED_SEASON_COST)</f>
        <v>-3750.3228423825</v>
      </c>
      <c r="I67" s="53" t="n">
        <f aca="false">IF(OR($A67&gt;TOMATO_BED_CAP,$B67&gt;CARROT_BED_CAP,I$4&gt;MESCLUN_BED_CAP,$A67+$B67+I$4&gt;TOTAL_BEDS_AVAILABLE,($D67+I$5)&gt;TOTAL_LABOR_HOURS_CAP,MAX(0,($D67+I$5)-PERMANENT_FIELD_LABOR_HOURS)&gt;TEMP_HOURS_CAP),"",$C67+I$6-MIN(($D67+I$5),PERMANENT_FIELD_LABOR_HOURS)*PERMANENT_HOURLY_RATE-MAX(0,($D67+I$5)-PERMANENT_FIELD_LABOR_HOURS)*TEMP_HOURLY_RATE-FIXED_SEASON_COST)</f>
        <v>-2761.20685722625</v>
      </c>
      <c r="J67" s="53" t="n">
        <f aca="false">IF(OR($A67&gt;TOMATO_BED_CAP,$B67&gt;CARROT_BED_CAP,J$4&gt;MESCLUN_BED_CAP,$A67+$B67+J$4&gt;TOTAL_BEDS_AVAILABLE,($D67+J$5)&gt;TOTAL_LABOR_HOURS_CAP,MAX(0,($D67+J$5)-PERMANENT_FIELD_LABOR_HOURS)&gt;TEMP_HOURS_CAP),"",$C67+J$6-MIN(($D67+J$5),PERMANENT_FIELD_LABOR_HOURS)*PERMANENT_HOURLY_RATE-MAX(0,($D67+J$5)-PERMANENT_FIELD_LABOR_HOURS)*TEMP_HOURLY_RATE-FIXED_SEASON_COST)</f>
        <v>-1792.61270617156</v>
      </c>
      <c r="K67" s="53" t="n">
        <f aca="false">IF(OR($A67&gt;TOMATO_BED_CAP,$B67&gt;CARROT_BED_CAP,K$4&gt;MESCLUN_BED_CAP,$A67+$B67+K$4&gt;TOTAL_BEDS_AVAILABLE,($D67+K$5)&gt;TOTAL_LABOR_HOURS_CAP,MAX(0,($D67+K$5)-PERMANENT_FIELD_LABOR_HOURS)&gt;TEMP_HOURS_CAP),"",$C67+K$6-MIN(($D67+K$5),PERMANENT_FIELD_LABOR_HOURS)*PERMANENT_HOURLY_RATE-MAX(0,($D67+K$5)-PERMANENT_FIELD_LABOR_HOURS)*TEMP_HOURLY_RATE-FIXED_SEASON_COST)</f>
        <v>-844.923609443657</v>
      </c>
      <c r="L67" s="53" t="n">
        <f aca="false">IF(OR($A67&gt;TOMATO_BED_CAP,$B67&gt;CARROT_BED_CAP,L$4&gt;MESCLUN_BED_CAP,$A67+$B67+L$4&gt;TOTAL_BEDS_AVAILABLE,($D67+L$5)&gt;TOTAL_LABOR_HOURS_CAP,MAX(0,($D67+L$5)-PERMANENT_FIELD_LABOR_HOURS)&gt;TEMP_HOURS_CAP),"",$C67+L$6-MIN(($D67+L$5),PERMANENT_FIELD_LABOR_HOURS)*PERMANENT_HOURLY_RATE-MAX(0,($D67+L$5)-PERMANENT_FIELD_LABOR_HOURS)*TEMP_HOURLY_RATE-FIXED_SEASON_COST)</f>
        <v>81.4708387631981</v>
      </c>
      <c r="M67" s="53" t="n">
        <f aca="false">IF(OR($A67&gt;TOMATO_BED_CAP,$B67&gt;CARROT_BED_CAP,M$4&gt;MESCLUN_BED_CAP,$A67+$B67+M$4&gt;TOTAL_BEDS_AVAILABLE,($D67+M$5)&gt;TOTAL_LABOR_HOURS_CAP,MAX(0,($D67+M$5)-PERMANENT_FIELD_LABOR_HOURS)&gt;TEMP_HOURS_CAP),"",$C67+M$6-MIN(($D67+M$5),PERMANENT_FIELD_LABOR_HOURS)*PERMANENT_HOURLY_RATE-MAX(0,($D67+M$5)-PERMANENT_FIELD_LABOR_HOURS)*TEMP_HOURLY_RATE-FIXED_SEASON_COST)</f>
        <v>986.174570814605</v>
      </c>
      <c r="N67" s="53" t="n">
        <f aca="false">IF(OR($A67&gt;TOMATO_BED_CAP,$B67&gt;CARROT_BED_CAP,N$4&gt;MESCLUN_BED_CAP,$A67+$B67+N$4&gt;TOTAL_BEDS_AVAILABLE,($D67+N$5)&gt;TOTAL_LABOR_HOURS_CAP,MAX(0,($D67+N$5)-PERMANENT_FIELD_LABOR_HOURS)&gt;TEMP_HOURS_CAP),"",$C67+N$6-MIN(($D67+N$5),PERMANENT_FIELD_LABOR_HOURS)*PERMANENT_HOURLY_RATE-MAX(0,($D67+N$5)-PERMANENT_FIELD_LABOR_HOURS)*TEMP_HOURLY_RATE-FIXED_SEASON_COST)</f>
        <v>1868.78494467415</v>
      </c>
      <c r="O67" s="53" t="n">
        <f aca="false">IF(OR($A67&gt;TOMATO_BED_CAP,$B67&gt;CARROT_BED_CAP,O$4&gt;MESCLUN_BED_CAP,$A67+$B67+O$4&gt;TOTAL_BEDS_AVAILABLE,($D67+O$5)&gt;TOTAL_LABOR_HOURS_CAP,MAX(0,($D67+O$5)-PERMANENT_FIELD_LABOR_HOURS)&gt;TEMP_HOURS_CAP),"",$C67+O$6-MIN(($D67+O$5),PERMANENT_FIELD_LABOR_HOURS)*PERMANENT_HOURLY_RATE-MAX(0,($D67+O$5)-PERMANENT_FIELD_LABOR_HOURS)*TEMP_HOURLY_RATE-FIXED_SEASON_COST)</f>
        <v>2728.89264142891</v>
      </c>
      <c r="P67" s="53" t="n">
        <f aca="false">IF(OR($A67&gt;TOMATO_BED_CAP,$B67&gt;CARROT_BED_CAP,P$4&gt;MESCLUN_BED_CAP,$A67+$B67+P$4&gt;TOTAL_BEDS_AVAILABLE,($D67+P$5)&gt;TOTAL_LABOR_HOURS_CAP,MAX(0,($D67+P$5)-PERMANENT_FIELD_LABOR_HOURS)&gt;TEMP_HOURS_CAP),"",$C67+P$6-MIN(($D67+P$5),PERMANENT_FIELD_LABOR_HOURS)*PERMANENT_HOURLY_RATE-MAX(0,($D67+P$5)-PERMANENT_FIELD_LABOR_HOURS)*TEMP_HOURLY_RATE-FIXED_SEASON_COST)</f>
        <v>3566.08156128033</v>
      </c>
      <c r="Q67" s="53" t="n">
        <f aca="false">IF(OR($A67&gt;TOMATO_BED_CAP,$B67&gt;CARROT_BED_CAP,Q$4&gt;MESCLUN_BED_CAP,$A67+$B67+Q$4&gt;TOTAL_BEDS_AVAILABLE,($D67+Q$5)&gt;TOTAL_LABOR_HOURS_CAP,MAX(0,($D67+Q$5)-PERMANENT_FIELD_LABOR_HOURS)&gt;TEMP_HOURS_CAP),"",$C67+Q$6-MIN(($D67+Q$5),PERMANENT_FIELD_LABOR_HOURS)*PERMANENT_HOURLY_RATE-MAX(0,($D67+Q$5)-PERMANENT_FIELD_LABOR_HOURS)*TEMP_HOURLY_RATE-FIXED_SEASON_COST)</f>
        <v>4379.92871797823</v>
      </c>
      <c r="R67" s="53" t="n">
        <f aca="false">IF(OR($A67&gt;TOMATO_BED_CAP,$B67&gt;CARROT_BED_CAP,R$4&gt;MESCLUN_BED_CAP,$A67+$B67+R$4&gt;TOTAL_BEDS_AVAILABLE,($D67+R$5)&gt;TOTAL_LABOR_HOURS_CAP,MAX(0,($D67+R$5)-PERMANENT_FIELD_LABOR_HOURS)&gt;TEMP_HOURS_CAP),"",$C67+R$6-MIN(($D67+R$5),PERMANENT_FIELD_LABOR_HOURS)*PERMANENT_HOURLY_RATE-MAX(0,($D67+R$5)-PERMANENT_FIELD_LABOR_HOURS)*TEMP_HOURLY_RATE-FIXED_SEASON_COST)</f>
        <v>5170.00413167503</v>
      </c>
      <c r="S67" s="53" t="n">
        <f aca="false">IF(OR($A67&gt;TOMATO_BED_CAP,$B67&gt;CARROT_BED_CAP,S$4&gt;MESCLUN_BED_CAP,$A67+$B67+S$4&gt;TOTAL_BEDS_AVAILABLE,($D67+S$5)&gt;TOTAL_LABOR_HOURS_CAP,MAX(0,($D67+S$5)-PERMANENT_FIELD_LABOR_HOURS)&gt;TEMP_HOURS_CAP),"",$C67+S$6-MIN(($D67+S$5),PERMANENT_FIELD_LABOR_HOURS)*PERMANENT_HOURLY_RATE-MAX(0,($D67+S$5)-PERMANENT_FIELD_LABOR_HOURS)*TEMP_HOURLY_RATE-FIXED_SEASON_COST)</f>
        <v>5935.87072017749</v>
      </c>
      <c r="T67" s="53" t="n">
        <f aca="false">IF(OR($A67&gt;TOMATO_BED_CAP,$B67&gt;CARROT_BED_CAP,T$4&gt;MESCLUN_BED_CAP,$A67+$B67+T$4&gt;TOTAL_BEDS_AVAILABLE,($D67+T$5)&gt;TOTAL_LABOR_HOURS_CAP,MAX(0,($D67+T$5)-PERMANENT_FIELD_LABOR_HOURS)&gt;TEMP_HOURS_CAP),"",$C67+T$6-MIN(($D67+T$5),PERMANENT_FIELD_LABOR_HOURS)*PERMANENT_HOURLY_RATE-MAX(0,($D67+T$5)-PERMANENT_FIELD_LABOR_HOURS)*TEMP_HOURLY_RATE-FIXED_SEASON_COST)</f>
        <v>6677.08418857233</v>
      </c>
      <c r="U67" s="53" t="n">
        <f aca="false">IF(OR($A67&gt;TOMATO_BED_CAP,$B67&gt;CARROT_BED_CAP,U$4&gt;MESCLUN_BED_CAP,$A67+$B67+U$4&gt;TOTAL_BEDS_AVAILABLE,($D67+U$5)&gt;TOTAL_LABOR_HOURS_CAP,MAX(0,($D67+U$5)-PERMANENT_FIELD_LABOR_HOURS)&gt;TEMP_HOURS_CAP),"",$C67+U$6-MIN(($D67+U$5),PERMANENT_FIELD_LABOR_HOURS)*PERMANENT_HOURLY_RATE-MAX(0,($D67+U$5)-PERMANENT_FIELD_LABOR_HOURS)*TEMP_HOURLY_RATE-FIXED_SEASON_COST)</f>
        <v>7393.19291720242</v>
      </c>
      <c r="V67" s="53" t="n">
        <f aca="false">IF(OR($A67&gt;TOMATO_BED_CAP,$B67&gt;CARROT_BED_CAP,V$4&gt;MESCLUN_BED_CAP,$A67+$B67+V$4&gt;TOTAL_BEDS_AVAILABLE,($D67+V$5)&gt;TOTAL_LABOR_HOURS_CAP,MAX(0,($D67+V$5)-PERMANENT_FIELD_LABOR_HOURS)&gt;TEMP_HOURS_CAP),"",$C67+V$6-MIN(($D67+V$5),PERMANENT_FIELD_LABOR_HOURS)*PERMANENT_HOURLY_RATE-MAX(0,($D67+V$5)-PERMANENT_FIELD_LABOR_HOURS)*TEMP_HOURLY_RATE-FIXED_SEASON_COST)</f>
        <v>8083.73784796922</v>
      </c>
      <c r="W67" s="53" t="n">
        <f aca="false">IF(OR($A67&gt;TOMATO_BED_CAP,$B67&gt;CARROT_BED_CAP,W$4&gt;MESCLUN_BED_CAP,$A67+$B67+W$4&gt;TOTAL_BEDS_AVAILABLE,($D67+W$5)&gt;TOTAL_LABOR_HOURS_CAP,MAX(0,($D67+W$5)-PERMANENT_FIELD_LABOR_HOURS)&gt;TEMP_HOURS_CAP),"",$C67+W$6-MIN(($D67+W$5),PERMANENT_FIELD_LABOR_HOURS)*PERMANENT_HOURLY_RATE-MAX(0,($D67+W$5)-PERMANENT_FIELD_LABOR_HOURS)*TEMP_HOURLY_RATE-FIXED_SEASON_COST)</f>
        <v>8748.25236893728</v>
      </c>
      <c r="X67" s="53" t="n">
        <f aca="false">IF(OR($A67&gt;TOMATO_BED_CAP,$B67&gt;CARROT_BED_CAP,X$4&gt;MESCLUN_BED_CAP,$A67+$B67+X$4&gt;TOTAL_BEDS_AVAILABLE,($D67+X$5)&gt;TOTAL_LABOR_HOURS_CAP,MAX(0,($D67+X$5)-PERMANENT_FIELD_LABOR_HOURS)&gt;TEMP_HOURS_CAP),"",$C67+X$6-MIN(($D67+X$5),PERMANENT_FIELD_LABOR_HOURS)*PERMANENT_HOURLY_RATE-MAX(0,($D67+X$5)-PERMANENT_FIELD_LABOR_HOURS)*TEMP_HOURLY_RATE-FIXED_SEASON_COST)</f>
        <v>9386.2621972162</v>
      </c>
      <c r="Y67" s="53" t="n">
        <f aca="false">IF(OR($A67&gt;TOMATO_BED_CAP,$B67&gt;CARROT_BED_CAP,Y$4&gt;MESCLUN_BED_CAP,$A67+$B67+Y$4&gt;TOTAL_BEDS_AVAILABLE,($D67+Y$5)&gt;TOTAL_LABOR_HOURS_CAP,MAX(0,($D67+Y$5)-PERMANENT_FIELD_LABOR_HOURS)&gt;TEMP_HOURS_CAP),"",$C67+Y$6-MIN(($D67+Y$5),PERMANENT_FIELD_LABOR_HOURS)*PERMANENT_HOURLY_RATE-MAX(0,($D67+Y$5)-PERMANENT_FIELD_LABOR_HOURS)*TEMP_HOURLY_RATE-FIXED_SEASON_COST)</f>
        <v>9997.28526009487</v>
      </c>
      <c r="Z67" s="53" t="n">
        <f aca="false">IF(OR($A67&gt;TOMATO_BED_CAP,$B67&gt;CARROT_BED_CAP,Z$4&gt;MESCLUN_BED_CAP,$A67+$B67+Z$4&gt;TOTAL_BEDS_AVAILABLE,($D67+Z$5)&gt;TOTAL_LABOR_HOURS_CAP,MAX(0,($D67+Z$5)-PERMANENT_FIELD_LABOR_HOURS)&gt;TEMP_HOURS_CAP),"",$C67+Z$6-MIN(($D67+Z$5),PERMANENT_FIELD_LABOR_HOURS)*PERMANENT_HOURLY_RATE-MAX(0,($D67+Z$5)-PERMANENT_FIELD_LABOR_HOURS)*TEMP_HOURLY_RATE-FIXED_SEASON_COST)</f>
        <v>10580.8315744026</v>
      </c>
      <c r="AA67" s="53" t="n">
        <f aca="false">IF(OR($A67&gt;TOMATO_BED_CAP,$B67&gt;CARROT_BED_CAP,AA$4&gt;MESCLUN_BED_CAP,$A67+$B67+AA$4&gt;TOTAL_BEDS_AVAILABLE,($D67+AA$5)&gt;TOTAL_LABOR_HOURS_CAP,MAX(0,($D67+AA$5)-PERMANENT_FIELD_LABOR_HOURS)&gt;TEMP_HOURS_CAP),"",$C67+AA$6-MIN(($D67+AA$5),PERMANENT_FIELD_LABOR_HOURS)*PERMANENT_HOURLY_RATE-MAX(0,($D67+AA$5)-PERMANENT_FIELD_LABOR_HOURS)*TEMP_HOURLY_RATE-FIXED_SEASON_COST)</f>
        <v>11136.4031240715</v>
      </c>
      <c r="AB67" s="53" t="n">
        <f aca="false">IF(OR($A67&gt;TOMATO_BED_CAP,$B67&gt;CARROT_BED_CAP,AB$4&gt;MESCLUN_BED_CAP,$A67+$B67+AB$4&gt;TOTAL_BEDS_AVAILABLE,($D67+AB$5)&gt;TOTAL_LABOR_HOURS_CAP,MAX(0,($D67+AB$5)-PERMANENT_FIELD_LABOR_HOURS)&gt;TEMP_HOURS_CAP),"",$C67+AB$6-MIN(($D67+AB$5),PERMANENT_FIELD_LABOR_HOURS)*PERMANENT_HOURLY_RATE-MAX(0,($D67+AB$5)-PERMANENT_FIELD_LABOR_HOURS)*TEMP_HOURLY_RATE-FIXED_SEASON_COST)</f>
        <v>11663.4937358741</v>
      </c>
      <c r="AC67" s="53" t="n">
        <f aca="false">IF(OR($A67&gt;TOMATO_BED_CAP,$B67&gt;CARROT_BED_CAP,AC$4&gt;MESCLUN_BED_CAP,$A67+$B67+AC$4&gt;TOTAL_BEDS_AVAILABLE,($D67+AC$5)&gt;TOTAL_LABOR_HOURS_CAP,MAX(0,($D67+AC$5)-PERMANENT_FIELD_LABOR_HOURS)&gt;TEMP_HOURS_CAP),"",$C67+AC$6-MIN(($D67+AC$5),PERMANENT_FIELD_LABOR_HOURS)*PERMANENT_HOURLY_RATE-MAX(0,($D67+AC$5)-PERMANENT_FIELD_LABOR_HOURS)*TEMP_HOURLY_RATE-FIXED_SEASON_COST)</f>
        <v>12161.588953309</v>
      </c>
      <c r="AD67" s="53" t="n">
        <f aca="false">IF(OR($A67&gt;TOMATO_BED_CAP,$B67&gt;CARROT_BED_CAP,AD$4&gt;MESCLUN_BED_CAP,$A67+$B67+AD$4&gt;TOTAL_BEDS_AVAILABLE,($D67+AD$5)&gt;TOTAL_LABOR_HOURS_CAP,MAX(0,($D67+AD$5)-PERMANENT_FIELD_LABOR_HOURS)&gt;TEMP_HOURS_CAP),"",$C67+AD$6-MIN(($D67+AD$5),PERMANENT_FIELD_LABOR_HOURS)*PERMANENT_HOURLY_RATE-MAX(0,($D67+AD$5)-PERMANENT_FIELD_LABOR_HOURS)*TEMP_HOURLY_RATE-FIXED_SEASON_COST)</f>
        <v>12630.1659086089</v>
      </c>
      <c r="AE67" s="53" t="n">
        <f aca="false">IF(OR($A67&gt;TOMATO_BED_CAP,$B67&gt;CARROT_BED_CAP,AE$4&gt;MESCLUN_BED_CAP,$A67+$B67+AE$4&gt;TOTAL_BEDS_AVAILABLE,($D67+AE$5)&gt;TOTAL_LABOR_HOURS_CAP,MAX(0,($D67+AE$5)-PERMANENT_FIELD_LABOR_HOURS)&gt;TEMP_HOURS_CAP),"",$C67+AE$6-MIN(($D67+AE$5),PERMANENT_FIELD_LABOR_HOURS)*PERMANENT_HOURLY_RATE-MAX(0,($D67+AE$5)-PERMANENT_FIELD_LABOR_HOURS)*TEMP_HOURLY_RATE-FIXED_SEASON_COST)</f>
        <v>13068.6931928429</v>
      </c>
      <c r="AF67" s="53" t="n">
        <f aca="false">IF(OR($A67&gt;TOMATO_BED_CAP,$B67&gt;CARROT_BED_CAP,AF$4&gt;MESCLUN_BED_CAP,$A67+$B67+AF$4&gt;TOTAL_BEDS_AVAILABLE,($D67+AF$5)&gt;TOTAL_LABOR_HOURS_CAP,MAX(0,($D67+AF$5)-PERMANENT_FIELD_LABOR_HOURS)&gt;TEMP_HOURS_CAP),"",$C67+AF$6-MIN(($D67+AF$5),PERMANENT_FIELD_LABOR_HOURS)*PERMANENT_HOURLY_RATE-MAX(0,($D67+AF$5)-PERMANENT_FIELD_LABOR_HOURS)*TEMP_HOURLY_RATE-FIXED_SEASON_COST)</f>
        <v>13476.6307240848</v>
      </c>
      <c r="AG67" s="53" t="n">
        <f aca="false">IF(OR($A67&gt;TOMATO_BED_CAP,$B67&gt;CARROT_BED_CAP,AG$4&gt;MESCLUN_BED_CAP,$A67+$B67+AG$4&gt;TOTAL_BEDS_AVAILABLE,($D67+AG$5)&gt;TOTAL_LABOR_HOURS_CAP,MAX(0,($D67+AG$5)-PERMANENT_FIELD_LABOR_HOURS)&gt;TEMP_HOURS_CAP),"",$C67+AG$6-MIN(($D67+AG$5),PERMANENT_FIELD_LABOR_HOURS)*PERMANENT_HOURLY_RATE-MAX(0,($D67+AG$5)-PERMANENT_FIELD_LABOR_HOURS)*TEMP_HOURLY_RATE-FIXED_SEASON_COST)</f>
        <v>13853.4296136218</v>
      </c>
      <c r="AH67" s="53" t="n">
        <f aca="false">IF(OR($A67&gt;TOMATO_BED_CAP,$B67&gt;CARROT_BED_CAP,AH$4&gt;MESCLUN_BED_CAP,$A67+$B67+AH$4&gt;TOTAL_BEDS_AVAILABLE,($D67+AH$5)&gt;TOTAL_LABOR_HOURS_CAP,MAX(0,($D67+AH$5)-PERMANENT_FIELD_LABOR_HOURS)&gt;TEMP_HOURS_CAP),"",$C67+AH$6-MIN(($D67+AH$5),PERMANENT_FIELD_LABOR_HOURS)*PERMANENT_HOURLY_RATE-MAX(0,($D67+AH$5)-PERMANENT_FIELD_LABOR_HOURS)*TEMP_HOURLY_RATE-FIXED_SEASON_COST)</f>
        <v>14198.532030172</v>
      </c>
      <c r="AI67" s="53" t="n">
        <f aca="false">IF(OR($A67&gt;TOMATO_BED_CAP,$B67&gt;CARROT_BED_CAP,AI$4&gt;MESCLUN_BED_CAP,$A67+$B67+AI$4&gt;TOTAL_BEDS_AVAILABLE,($D67+AI$5)&gt;TOTAL_LABOR_HOURS_CAP,MAX(0,($D67+AI$5)-PERMANENT_FIELD_LABOR_HOURS)&gt;TEMP_HOURS_CAP),"",$C67+AI$6-MIN(($D67+AI$5),PERMANENT_FIELD_LABOR_HOURS)*PERMANENT_HOURLY_RATE-MAX(0,($D67+AI$5)-PERMANENT_FIELD_LABOR_HOURS)*TEMP_HOURLY_RATE-FIXED_SEASON_COST)</f>
        <v>14511.3710620843</v>
      </c>
      <c r="AJ67" s="53" t="n">
        <f aca="false">IF(OR($A67&gt;TOMATO_BED_CAP,$B67&gt;CARROT_BED_CAP,AJ$4&gt;MESCLUN_BED_CAP,$A67+$B67+AJ$4&gt;TOTAL_BEDS_AVAILABLE,($D67+AJ$5)&gt;TOTAL_LABOR_HOURS_CAP,MAX(0,($D67+AJ$5)-PERMANENT_FIELD_LABOR_HOURS)&gt;TEMP_HOURS_CAP),"",$C67+AJ$6-MIN(($D67+AJ$5),PERMANENT_FIELD_LABOR_HOURS)*PERMANENT_HOURLY_RATE-MAX(0,($D67+AJ$5)-PERMANENT_FIELD_LABOR_HOURS)*TEMP_HOURLY_RATE-FIXED_SEASON_COST)</f>
        <v>14791.37057749</v>
      </c>
    </row>
    <row r="68" customFormat="false" ht="15" hidden="false" customHeight="false" outlineLevel="0" collapsed="false">
      <c r="A68" s="21" t="n">
        <f aca="false">INT((ROW()-ROW($A$8))/(20+1))</f>
        <v>2</v>
      </c>
      <c r="B68" s="21" t="n">
        <f aca="false">MOD(ROW()-ROW($A$8),20+1)</f>
        <v>18</v>
      </c>
      <c r="C68" s="13" t="n">
        <f aca="false">A68*(TOMATO_REVENUE_PER_BED-TOMATO_FERTILIZER_PER_BED)+B68*(CARROT_REVENUE_PER_BED-CARROT_FERTILIZER_PER_BED)</f>
        <v>45612</v>
      </c>
      <c r="D68" s="14" t="n">
        <f aca="false">INDEX(TOMATO_SCHED_LABOR_HRS,A68+1)+INDEX(CARROT_SCHED_LABOR_HRS,B68+1)</f>
        <v>1059.67882127849</v>
      </c>
      <c r="E68" s="13" t="n">
        <f aca="false">IF(COUNT(F68:AJ68)=0,"",MAX(F68:AJ68))</f>
        <v>15296.764957478</v>
      </c>
      <c r="F68" s="53" t="n">
        <f aca="false">IF(OR($A68&gt;TOMATO_BED_CAP,$B68&gt;CARROT_BED_CAP,F$4&gt;MESCLUN_BED_CAP,$A68+$B68+F$4&gt;TOTAL_BEDS_AVAILABLE,($D68+F$5)&gt;TOTAL_LABOR_HOURS_CAP,MAX(0,($D68+F$5)-PERMANENT_FIELD_LABOR_HOURS)&gt;TEMP_HOURS_CAP),"",$C68+F$6-MIN(($D68+F$5),PERMANENT_FIELD_LABOR_HOURS)*PERMANENT_HOURLY_RATE-MAX(0,($D68+F$5)-PERMANENT_FIELD_LABOR_HOURS)*TEMP_HOURLY_RATE-FIXED_SEASON_COST)</f>
        <v>-5283.22433739453</v>
      </c>
      <c r="G68" s="53" t="n">
        <f aca="false">IF(OR($A68&gt;TOMATO_BED_CAP,$B68&gt;CARROT_BED_CAP,G$4&gt;MESCLUN_BED_CAP,$A68+$B68+G$4&gt;TOTAL_BEDS_AVAILABLE,($D68+G$5)&gt;TOTAL_LABOR_HOURS_CAP,MAX(0,($D68+G$5)-PERMANENT_FIELD_LABOR_HOURS)&gt;TEMP_HOURS_CAP),"",$C68+G$6-MIN(($D68+G$5),PERMANENT_FIELD_LABOR_HOURS)*PERMANENT_HOURLY_RATE-MAX(0,($D68+G$5)-PERMANENT_FIELD_LABOR_HOURS)*TEMP_HOURLY_RATE-FIXED_SEASON_COST)</f>
        <v>-4254.18933739453</v>
      </c>
      <c r="H68" s="53" t="n">
        <f aca="false">IF(OR($A68&gt;TOMATO_BED_CAP,$B68&gt;CARROT_BED_CAP,H$4&gt;MESCLUN_BED_CAP,$A68+$B68+H$4&gt;TOTAL_BEDS_AVAILABLE,($D68+H$5)&gt;TOTAL_LABOR_HOURS_CAP,MAX(0,($D68+H$5)-PERMANENT_FIELD_LABOR_HOURS)&gt;TEMP_HOURS_CAP),"",$C68+H$6-MIN(($D68+H$5),PERMANENT_FIELD_LABOR_HOURS)*PERMANENT_HOURLY_RATE-MAX(0,($D68+H$5)-PERMANENT_FIELD_LABOR_HOURS)*TEMP_HOURLY_RATE-FIXED_SEASON_COST)</f>
        <v>-3244.92846239453</v>
      </c>
      <c r="I68" s="53" t="n">
        <f aca="false">IF(OR($A68&gt;TOMATO_BED_CAP,$B68&gt;CARROT_BED_CAP,I$4&gt;MESCLUN_BED_CAP,$A68+$B68+I$4&gt;TOTAL_BEDS_AVAILABLE,($D68+I$5)&gt;TOTAL_LABOR_HOURS_CAP,MAX(0,($D68+I$5)-PERMANENT_FIELD_LABOR_HOURS)&gt;TEMP_HOURS_CAP),"",$C68+I$6-MIN(($D68+I$5),PERMANENT_FIELD_LABOR_HOURS)*PERMANENT_HOURLY_RATE-MAX(0,($D68+I$5)-PERMANENT_FIELD_LABOR_HOURS)*TEMP_HOURLY_RATE-FIXED_SEASON_COST)</f>
        <v>-2255.81247723828</v>
      </c>
      <c r="J68" s="53" t="n">
        <f aca="false">IF(OR($A68&gt;TOMATO_BED_CAP,$B68&gt;CARROT_BED_CAP,J$4&gt;MESCLUN_BED_CAP,$A68+$B68+J$4&gt;TOTAL_BEDS_AVAILABLE,($D68+J$5)&gt;TOTAL_LABOR_HOURS_CAP,MAX(0,($D68+J$5)-PERMANENT_FIELD_LABOR_HOURS)&gt;TEMP_HOURS_CAP),"",$C68+J$6-MIN(($D68+J$5),PERMANENT_FIELD_LABOR_HOURS)*PERMANENT_HOURLY_RATE-MAX(0,($D68+J$5)-PERMANENT_FIELD_LABOR_HOURS)*TEMP_HOURLY_RATE-FIXED_SEASON_COST)</f>
        <v>-1287.2183261836</v>
      </c>
      <c r="K68" s="53" t="n">
        <f aca="false">IF(OR($A68&gt;TOMATO_BED_CAP,$B68&gt;CARROT_BED_CAP,K$4&gt;MESCLUN_BED_CAP,$A68+$B68+K$4&gt;TOTAL_BEDS_AVAILABLE,($D68+K$5)&gt;TOTAL_LABOR_HOURS_CAP,MAX(0,($D68+K$5)-PERMANENT_FIELD_LABOR_HOURS)&gt;TEMP_HOURS_CAP),"",$C68+K$6-MIN(($D68+K$5),PERMANENT_FIELD_LABOR_HOURS)*PERMANENT_HOURLY_RATE-MAX(0,($D68+K$5)-PERMANENT_FIELD_LABOR_HOURS)*TEMP_HOURLY_RATE-FIXED_SEASON_COST)</f>
        <v>-339.529229455689</v>
      </c>
      <c r="L68" s="53" t="n">
        <f aca="false">IF(OR($A68&gt;TOMATO_BED_CAP,$B68&gt;CARROT_BED_CAP,L$4&gt;MESCLUN_BED_CAP,$A68+$B68+L$4&gt;TOTAL_BEDS_AVAILABLE,($D68+L$5)&gt;TOTAL_LABOR_HOURS_CAP,MAX(0,($D68+L$5)-PERMANENT_FIELD_LABOR_HOURS)&gt;TEMP_HOURS_CAP),"",$C68+L$6-MIN(($D68+L$5),PERMANENT_FIELD_LABOR_HOURS)*PERMANENT_HOURLY_RATE-MAX(0,($D68+L$5)-PERMANENT_FIELD_LABOR_HOURS)*TEMP_HOURLY_RATE-FIXED_SEASON_COST)</f>
        <v>586.865218751162</v>
      </c>
      <c r="M68" s="53" t="n">
        <f aca="false">IF(OR($A68&gt;TOMATO_BED_CAP,$B68&gt;CARROT_BED_CAP,M$4&gt;MESCLUN_BED_CAP,$A68+$B68+M$4&gt;TOTAL_BEDS_AVAILABLE,($D68+M$5)&gt;TOTAL_LABOR_HOURS_CAP,MAX(0,($D68+M$5)-PERMANENT_FIELD_LABOR_HOURS)&gt;TEMP_HOURS_CAP),"",$C68+M$6-MIN(($D68+M$5),PERMANENT_FIELD_LABOR_HOURS)*PERMANENT_HOURLY_RATE-MAX(0,($D68+M$5)-PERMANENT_FIELD_LABOR_HOURS)*TEMP_HOURLY_RATE-FIXED_SEASON_COST)</f>
        <v>1491.56895080258</v>
      </c>
      <c r="N68" s="53" t="n">
        <f aca="false">IF(OR($A68&gt;TOMATO_BED_CAP,$B68&gt;CARROT_BED_CAP,N$4&gt;MESCLUN_BED_CAP,$A68+$B68+N$4&gt;TOTAL_BEDS_AVAILABLE,($D68+N$5)&gt;TOTAL_LABOR_HOURS_CAP,MAX(0,($D68+N$5)-PERMANENT_FIELD_LABOR_HOURS)&gt;TEMP_HOURS_CAP),"",$C68+N$6-MIN(($D68+N$5),PERMANENT_FIELD_LABOR_HOURS)*PERMANENT_HOURLY_RATE-MAX(0,($D68+N$5)-PERMANENT_FIELD_LABOR_HOURS)*TEMP_HOURLY_RATE-FIXED_SEASON_COST)</f>
        <v>2374.17932466212</v>
      </c>
      <c r="O68" s="53" t="n">
        <f aca="false">IF(OR($A68&gt;TOMATO_BED_CAP,$B68&gt;CARROT_BED_CAP,O$4&gt;MESCLUN_BED_CAP,$A68+$B68+O$4&gt;TOTAL_BEDS_AVAILABLE,($D68+O$5)&gt;TOTAL_LABOR_HOURS_CAP,MAX(0,($D68+O$5)-PERMANENT_FIELD_LABOR_HOURS)&gt;TEMP_HOURS_CAP),"",$C68+O$6-MIN(($D68+O$5),PERMANENT_FIELD_LABOR_HOURS)*PERMANENT_HOURLY_RATE-MAX(0,($D68+O$5)-PERMANENT_FIELD_LABOR_HOURS)*TEMP_HOURLY_RATE-FIXED_SEASON_COST)</f>
        <v>3234.28702141687</v>
      </c>
      <c r="P68" s="53" t="n">
        <f aca="false">IF(OR($A68&gt;TOMATO_BED_CAP,$B68&gt;CARROT_BED_CAP,P$4&gt;MESCLUN_BED_CAP,$A68+$B68+P$4&gt;TOTAL_BEDS_AVAILABLE,($D68+P$5)&gt;TOTAL_LABOR_HOURS_CAP,MAX(0,($D68+P$5)-PERMANENT_FIELD_LABOR_HOURS)&gt;TEMP_HOURS_CAP),"",$C68+P$6-MIN(($D68+P$5),PERMANENT_FIELD_LABOR_HOURS)*PERMANENT_HOURLY_RATE-MAX(0,($D68+P$5)-PERMANENT_FIELD_LABOR_HOURS)*TEMP_HOURLY_RATE-FIXED_SEASON_COST)</f>
        <v>4071.4759412683</v>
      </c>
      <c r="Q68" s="53" t="n">
        <f aca="false">IF(OR($A68&gt;TOMATO_BED_CAP,$B68&gt;CARROT_BED_CAP,Q$4&gt;MESCLUN_BED_CAP,$A68+$B68+Q$4&gt;TOTAL_BEDS_AVAILABLE,($D68+Q$5)&gt;TOTAL_LABOR_HOURS_CAP,MAX(0,($D68+Q$5)-PERMANENT_FIELD_LABOR_HOURS)&gt;TEMP_HOURS_CAP),"",$C68+Q$6-MIN(($D68+Q$5),PERMANENT_FIELD_LABOR_HOURS)*PERMANENT_HOURLY_RATE-MAX(0,($D68+Q$5)-PERMANENT_FIELD_LABOR_HOURS)*TEMP_HOURLY_RATE-FIXED_SEASON_COST)</f>
        <v>4885.3230979662</v>
      </c>
      <c r="R68" s="53" t="n">
        <f aca="false">IF(OR($A68&gt;TOMATO_BED_CAP,$B68&gt;CARROT_BED_CAP,R$4&gt;MESCLUN_BED_CAP,$A68+$B68+R$4&gt;TOTAL_BEDS_AVAILABLE,($D68+R$5)&gt;TOTAL_LABOR_HOURS_CAP,MAX(0,($D68+R$5)-PERMANENT_FIELD_LABOR_HOURS)&gt;TEMP_HOURS_CAP),"",$C68+R$6-MIN(($D68+R$5),PERMANENT_FIELD_LABOR_HOURS)*PERMANENT_HOURLY_RATE-MAX(0,($D68+R$5)-PERMANENT_FIELD_LABOR_HOURS)*TEMP_HOURLY_RATE-FIXED_SEASON_COST)</f>
        <v>5675.398511663</v>
      </c>
      <c r="S68" s="53" t="n">
        <f aca="false">IF(OR($A68&gt;TOMATO_BED_CAP,$B68&gt;CARROT_BED_CAP,S$4&gt;MESCLUN_BED_CAP,$A68+$B68+S$4&gt;TOTAL_BEDS_AVAILABLE,($D68+S$5)&gt;TOTAL_LABOR_HOURS_CAP,MAX(0,($D68+S$5)-PERMANENT_FIELD_LABOR_HOURS)&gt;TEMP_HOURS_CAP),"",$C68+S$6-MIN(($D68+S$5),PERMANENT_FIELD_LABOR_HOURS)*PERMANENT_HOURLY_RATE-MAX(0,($D68+S$5)-PERMANENT_FIELD_LABOR_HOURS)*TEMP_HOURLY_RATE-FIXED_SEASON_COST)</f>
        <v>6441.26510016545</v>
      </c>
      <c r="T68" s="53" t="n">
        <f aca="false">IF(OR($A68&gt;TOMATO_BED_CAP,$B68&gt;CARROT_BED_CAP,T$4&gt;MESCLUN_BED_CAP,$A68+$B68+T$4&gt;TOTAL_BEDS_AVAILABLE,($D68+T$5)&gt;TOTAL_LABOR_HOURS_CAP,MAX(0,($D68+T$5)-PERMANENT_FIELD_LABOR_HOURS)&gt;TEMP_HOURS_CAP),"",$C68+T$6-MIN(($D68+T$5),PERMANENT_FIELD_LABOR_HOURS)*PERMANENT_HOURLY_RATE-MAX(0,($D68+T$5)-PERMANENT_FIELD_LABOR_HOURS)*TEMP_HOURLY_RATE-FIXED_SEASON_COST)</f>
        <v>7182.47856856029</v>
      </c>
      <c r="U68" s="53" t="n">
        <f aca="false">IF(OR($A68&gt;TOMATO_BED_CAP,$B68&gt;CARROT_BED_CAP,U$4&gt;MESCLUN_BED_CAP,$A68+$B68+U$4&gt;TOTAL_BEDS_AVAILABLE,($D68+U$5)&gt;TOTAL_LABOR_HOURS_CAP,MAX(0,($D68+U$5)-PERMANENT_FIELD_LABOR_HOURS)&gt;TEMP_HOURS_CAP),"",$C68+U$6-MIN(($D68+U$5),PERMANENT_FIELD_LABOR_HOURS)*PERMANENT_HOURLY_RATE-MAX(0,($D68+U$5)-PERMANENT_FIELD_LABOR_HOURS)*TEMP_HOURLY_RATE-FIXED_SEASON_COST)</f>
        <v>7898.58729719039</v>
      </c>
      <c r="V68" s="53" t="n">
        <f aca="false">IF(OR($A68&gt;TOMATO_BED_CAP,$B68&gt;CARROT_BED_CAP,V$4&gt;MESCLUN_BED_CAP,$A68+$B68+V$4&gt;TOTAL_BEDS_AVAILABLE,($D68+V$5)&gt;TOTAL_LABOR_HOURS_CAP,MAX(0,($D68+V$5)-PERMANENT_FIELD_LABOR_HOURS)&gt;TEMP_HOURS_CAP),"",$C68+V$6-MIN(($D68+V$5),PERMANENT_FIELD_LABOR_HOURS)*PERMANENT_HOURLY_RATE-MAX(0,($D68+V$5)-PERMANENT_FIELD_LABOR_HOURS)*TEMP_HOURLY_RATE-FIXED_SEASON_COST)</f>
        <v>8589.13222795718</v>
      </c>
      <c r="W68" s="53" t="n">
        <f aca="false">IF(OR($A68&gt;TOMATO_BED_CAP,$B68&gt;CARROT_BED_CAP,W$4&gt;MESCLUN_BED_CAP,$A68+$B68+W$4&gt;TOTAL_BEDS_AVAILABLE,($D68+W$5)&gt;TOTAL_LABOR_HOURS_CAP,MAX(0,($D68+W$5)-PERMANENT_FIELD_LABOR_HOURS)&gt;TEMP_HOURS_CAP),"",$C68+W$6-MIN(($D68+W$5),PERMANENT_FIELD_LABOR_HOURS)*PERMANENT_HOURLY_RATE-MAX(0,($D68+W$5)-PERMANENT_FIELD_LABOR_HOURS)*TEMP_HOURLY_RATE-FIXED_SEASON_COST)</f>
        <v>9253.64674892524</v>
      </c>
      <c r="X68" s="53" t="n">
        <f aca="false">IF(OR($A68&gt;TOMATO_BED_CAP,$B68&gt;CARROT_BED_CAP,X$4&gt;MESCLUN_BED_CAP,$A68+$B68+X$4&gt;TOTAL_BEDS_AVAILABLE,($D68+X$5)&gt;TOTAL_LABOR_HOURS_CAP,MAX(0,($D68+X$5)-PERMANENT_FIELD_LABOR_HOURS)&gt;TEMP_HOURS_CAP),"",$C68+X$6-MIN(($D68+X$5),PERMANENT_FIELD_LABOR_HOURS)*PERMANENT_HOURLY_RATE-MAX(0,($D68+X$5)-PERMANENT_FIELD_LABOR_HOURS)*TEMP_HOURLY_RATE-FIXED_SEASON_COST)</f>
        <v>9891.65657720417</v>
      </c>
      <c r="Y68" s="53" t="n">
        <f aca="false">IF(OR($A68&gt;TOMATO_BED_CAP,$B68&gt;CARROT_BED_CAP,Y$4&gt;MESCLUN_BED_CAP,$A68+$B68+Y$4&gt;TOTAL_BEDS_AVAILABLE,($D68+Y$5)&gt;TOTAL_LABOR_HOURS_CAP,MAX(0,($D68+Y$5)-PERMANENT_FIELD_LABOR_HOURS)&gt;TEMP_HOURS_CAP),"",$C68+Y$6-MIN(($D68+Y$5),PERMANENT_FIELD_LABOR_HOURS)*PERMANENT_HOURLY_RATE-MAX(0,($D68+Y$5)-PERMANENT_FIELD_LABOR_HOURS)*TEMP_HOURLY_RATE-FIXED_SEASON_COST)</f>
        <v>10502.6796400828</v>
      </c>
      <c r="Z68" s="53" t="n">
        <f aca="false">IF(OR($A68&gt;TOMATO_BED_CAP,$B68&gt;CARROT_BED_CAP,Z$4&gt;MESCLUN_BED_CAP,$A68+$B68+Z$4&gt;TOTAL_BEDS_AVAILABLE,($D68+Z$5)&gt;TOTAL_LABOR_HOURS_CAP,MAX(0,($D68+Z$5)-PERMANENT_FIELD_LABOR_HOURS)&gt;TEMP_HOURS_CAP),"",$C68+Z$6-MIN(($D68+Z$5),PERMANENT_FIELD_LABOR_HOURS)*PERMANENT_HOURLY_RATE-MAX(0,($D68+Z$5)-PERMANENT_FIELD_LABOR_HOURS)*TEMP_HOURLY_RATE-FIXED_SEASON_COST)</f>
        <v>11086.2259543906</v>
      </c>
      <c r="AA68" s="53" t="n">
        <f aca="false">IF(OR($A68&gt;TOMATO_BED_CAP,$B68&gt;CARROT_BED_CAP,AA$4&gt;MESCLUN_BED_CAP,$A68+$B68+AA$4&gt;TOTAL_BEDS_AVAILABLE,($D68+AA$5)&gt;TOTAL_LABOR_HOURS_CAP,MAX(0,($D68+AA$5)-PERMANENT_FIELD_LABOR_HOURS)&gt;TEMP_HOURS_CAP),"",$C68+AA$6-MIN(($D68+AA$5),PERMANENT_FIELD_LABOR_HOURS)*PERMANENT_HOURLY_RATE-MAX(0,($D68+AA$5)-PERMANENT_FIELD_LABOR_HOURS)*TEMP_HOURLY_RATE-FIXED_SEASON_COST)</f>
        <v>11641.7975040595</v>
      </c>
      <c r="AB68" s="53" t="n">
        <f aca="false">IF(OR($A68&gt;TOMATO_BED_CAP,$B68&gt;CARROT_BED_CAP,AB$4&gt;MESCLUN_BED_CAP,$A68+$B68+AB$4&gt;TOTAL_BEDS_AVAILABLE,($D68+AB$5)&gt;TOTAL_LABOR_HOURS_CAP,MAX(0,($D68+AB$5)-PERMANENT_FIELD_LABOR_HOURS)&gt;TEMP_HOURS_CAP),"",$C68+AB$6-MIN(($D68+AB$5),PERMANENT_FIELD_LABOR_HOURS)*PERMANENT_HOURLY_RATE-MAX(0,($D68+AB$5)-PERMANENT_FIELD_LABOR_HOURS)*TEMP_HOURLY_RATE-FIXED_SEASON_COST)</f>
        <v>12168.8881158621</v>
      </c>
      <c r="AC68" s="53" t="n">
        <f aca="false">IF(OR($A68&gt;TOMATO_BED_CAP,$B68&gt;CARROT_BED_CAP,AC$4&gt;MESCLUN_BED_CAP,$A68+$B68+AC$4&gt;TOTAL_BEDS_AVAILABLE,($D68+AC$5)&gt;TOTAL_LABOR_HOURS_CAP,MAX(0,($D68+AC$5)-PERMANENT_FIELD_LABOR_HOURS)&gt;TEMP_HOURS_CAP),"",$C68+AC$6-MIN(($D68+AC$5),PERMANENT_FIELD_LABOR_HOURS)*PERMANENT_HOURLY_RATE-MAX(0,($D68+AC$5)-PERMANENT_FIELD_LABOR_HOURS)*TEMP_HOURLY_RATE-FIXED_SEASON_COST)</f>
        <v>12666.983333297</v>
      </c>
      <c r="AD68" s="53" t="n">
        <f aca="false">IF(OR($A68&gt;TOMATO_BED_CAP,$B68&gt;CARROT_BED_CAP,AD$4&gt;MESCLUN_BED_CAP,$A68+$B68+AD$4&gt;TOTAL_BEDS_AVAILABLE,($D68+AD$5)&gt;TOTAL_LABOR_HOURS_CAP,MAX(0,($D68+AD$5)-PERMANENT_FIELD_LABOR_HOURS)&gt;TEMP_HOURS_CAP),"",$C68+AD$6-MIN(($D68+AD$5),PERMANENT_FIELD_LABOR_HOURS)*PERMANENT_HOURLY_RATE-MAX(0,($D68+AD$5)-PERMANENT_FIELD_LABOR_HOURS)*TEMP_HOURLY_RATE-FIXED_SEASON_COST)</f>
        <v>13135.5602885969</v>
      </c>
      <c r="AE68" s="53" t="n">
        <f aca="false">IF(OR($A68&gt;TOMATO_BED_CAP,$B68&gt;CARROT_BED_CAP,AE$4&gt;MESCLUN_BED_CAP,$A68+$B68+AE$4&gt;TOTAL_BEDS_AVAILABLE,($D68+AE$5)&gt;TOTAL_LABOR_HOURS_CAP,MAX(0,($D68+AE$5)-PERMANENT_FIELD_LABOR_HOURS)&gt;TEMP_HOURS_CAP),"",$C68+AE$6-MIN(($D68+AE$5),PERMANENT_FIELD_LABOR_HOURS)*PERMANENT_HOURLY_RATE-MAX(0,($D68+AE$5)-PERMANENT_FIELD_LABOR_HOURS)*TEMP_HOURLY_RATE-FIXED_SEASON_COST)</f>
        <v>13574.0875728308</v>
      </c>
      <c r="AF68" s="53" t="n">
        <f aca="false">IF(OR($A68&gt;TOMATO_BED_CAP,$B68&gt;CARROT_BED_CAP,AF$4&gt;MESCLUN_BED_CAP,$A68+$B68+AF$4&gt;TOTAL_BEDS_AVAILABLE,($D68+AF$5)&gt;TOTAL_LABOR_HOURS_CAP,MAX(0,($D68+AF$5)-PERMANENT_FIELD_LABOR_HOURS)&gt;TEMP_HOURS_CAP),"",$C68+AF$6-MIN(($D68+AF$5),PERMANENT_FIELD_LABOR_HOURS)*PERMANENT_HOURLY_RATE-MAX(0,($D68+AF$5)-PERMANENT_FIELD_LABOR_HOURS)*TEMP_HOURLY_RATE-FIXED_SEASON_COST)</f>
        <v>13982.0251040728</v>
      </c>
      <c r="AG68" s="53" t="n">
        <f aca="false">IF(OR($A68&gt;TOMATO_BED_CAP,$B68&gt;CARROT_BED_CAP,AG$4&gt;MESCLUN_BED_CAP,$A68+$B68+AG$4&gt;TOTAL_BEDS_AVAILABLE,($D68+AG$5)&gt;TOTAL_LABOR_HOURS_CAP,MAX(0,($D68+AG$5)-PERMANENT_FIELD_LABOR_HOURS)&gt;TEMP_HOURS_CAP),"",$C68+AG$6-MIN(($D68+AG$5),PERMANENT_FIELD_LABOR_HOURS)*PERMANENT_HOURLY_RATE-MAX(0,($D68+AG$5)-PERMANENT_FIELD_LABOR_HOURS)*TEMP_HOURLY_RATE-FIXED_SEASON_COST)</f>
        <v>14358.8239936098</v>
      </c>
      <c r="AH68" s="53" t="n">
        <f aca="false">IF(OR($A68&gt;TOMATO_BED_CAP,$B68&gt;CARROT_BED_CAP,AH$4&gt;MESCLUN_BED_CAP,$A68+$B68+AH$4&gt;TOTAL_BEDS_AVAILABLE,($D68+AH$5)&gt;TOTAL_LABOR_HOURS_CAP,MAX(0,($D68+AH$5)-PERMANENT_FIELD_LABOR_HOURS)&gt;TEMP_HOURS_CAP),"",$C68+AH$6-MIN(($D68+AH$5),PERMANENT_FIELD_LABOR_HOURS)*PERMANENT_HOURLY_RATE-MAX(0,($D68+AH$5)-PERMANENT_FIELD_LABOR_HOURS)*TEMP_HOURLY_RATE-FIXED_SEASON_COST)</f>
        <v>14703.92641016</v>
      </c>
      <c r="AI68" s="53" t="n">
        <f aca="false">IF(OR($A68&gt;TOMATO_BED_CAP,$B68&gt;CARROT_BED_CAP,AI$4&gt;MESCLUN_BED_CAP,$A68+$B68+AI$4&gt;TOTAL_BEDS_AVAILABLE,($D68+AI$5)&gt;TOTAL_LABOR_HOURS_CAP,MAX(0,($D68+AI$5)-PERMANENT_FIELD_LABOR_HOURS)&gt;TEMP_HOURS_CAP),"",$C68+AI$6-MIN(($D68+AI$5),PERMANENT_FIELD_LABOR_HOURS)*PERMANENT_HOURLY_RATE-MAX(0,($D68+AI$5)-PERMANENT_FIELD_LABOR_HOURS)*TEMP_HOURLY_RATE-FIXED_SEASON_COST)</f>
        <v>15016.7654420723</v>
      </c>
      <c r="AJ68" s="53" t="n">
        <f aca="false">IF(OR($A68&gt;TOMATO_BED_CAP,$B68&gt;CARROT_BED_CAP,AJ$4&gt;MESCLUN_BED_CAP,$A68+$B68+AJ$4&gt;TOTAL_BEDS_AVAILABLE,($D68+AJ$5)&gt;TOTAL_LABOR_HOURS_CAP,MAX(0,($D68+AJ$5)-PERMANENT_FIELD_LABOR_HOURS)&gt;TEMP_HOURS_CAP),"",$C68+AJ$6-MIN(($D68+AJ$5),PERMANENT_FIELD_LABOR_HOURS)*PERMANENT_HOURLY_RATE-MAX(0,($D68+AJ$5)-PERMANENT_FIELD_LABOR_HOURS)*TEMP_HOURLY_RATE-FIXED_SEASON_COST)</f>
        <v>15296.764957478</v>
      </c>
    </row>
    <row r="69" customFormat="false" ht="15" hidden="false" customHeight="false" outlineLevel="0" collapsed="false">
      <c r="A69" s="21" t="n">
        <f aca="false">INT((ROW()-ROW($A$8))/(20+1))</f>
        <v>2</v>
      </c>
      <c r="B69" s="21" t="n">
        <f aca="false">MOD(ROW()-ROW($A$8),20+1)</f>
        <v>19</v>
      </c>
      <c r="C69" s="13" t="n">
        <f aca="false">A69*(TOMATO_REVENUE_PER_BED-TOMATO_FERTILIZER_PER_BED)+B69*(CARROT_REVENUE_PER_BED-CARROT_FERTILIZER_PER_BED)</f>
        <v>47266</v>
      </c>
      <c r="D69" s="14" t="n">
        <f aca="false">INDEX(TOMATO_SCHED_LABOR_HRS,A69+1)+INDEX(CARROT_SCHED_LABOR_HRS,B69+1)</f>
        <v>1128.6661135777</v>
      </c>
      <c r="E69" s="13" t="n">
        <f aca="false">IF(COUNT(F69:AJ69)=0,"",MAX(F69:AJ69))</f>
        <v>15753.1455631637</v>
      </c>
      <c r="F69" s="53" t="n">
        <f aca="false">IF(OR($A69&gt;TOMATO_BED_CAP,$B69&gt;CARROT_BED_CAP,F$4&gt;MESCLUN_BED_CAP,$A69+$B69+F$4&gt;TOTAL_BEDS_AVAILABLE,($D69+F$5)&gt;TOTAL_LABOR_HOURS_CAP,MAX(0,($D69+F$5)-PERMANENT_FIELD_LABOR_HOURS)&gt;TEMP_HOURS_CAP),"",$C69+F$6-MIN(($D69+F$5),PERMANENT_FIELD_LABOR_HOURS)*PERMANENT_HOURLY_RATE-MAX(0,($D69+F$5)-PERMANENT_FIELD_LABOR_HOURS)*TEMP_HOURLY_RATE-FIXED_SEASON_COST)</f>
        <v>-4826.84373170881</v>
      </c>
      <c r="G69" s="53" t="n">
        <f aca="false">IF(OR($A69&gt;TOMATO_BED_CAP,$B69&gt;CARROT_BED_CAP,G$4&gt;MESCLUN_BED_CAP,$A69+$B69+G$4&gt;TOTAL_BEDS_AVAILABLE,($D69+G$5)&gt;TOTAL_LABOR_HOURS_CAP,MAX(0,($D69+G$5)-PERMANENT_FIELD_LABOR_HOURS)&gt;TEMP_HOURS_CAP),"",$C69+G$6-MIN(($D69+G$5),PERMANENT_FIELD_LABOR_HOURS)*PERMANENT_HOURLY_RATE-MAX(0,($D69+G$5)-PERMANENT_FIELD_LABOR_HOURS)*TEMP_HOURLY_RATE-FIXED_SEASON_COST)</f>
        <v>-3797.8087317088</v>
      </c>
      <c r="H69" s="53" t="n">
        <f aca="false">IF(OR($A69&gt;TOMATO_BED_CAP,$B69&gt;CARROT_BED_CAP,H$4&gt;MESCLUN_BED_CAP,$A69+$B69+H$4&gt;TOTAL_BEDS_AVAILABLE,($D69+H$5)&gt;TOTAL_LABOR_HOURS_CAP,MAX(0,($D69+H$5)-PERMANENT_FIELD_LABOR_HOURS)&gt;TEMP_HOURS_CAP),"",$C69+H$6-MIN(($D69+H$5),PERMANENT_FIELD_LABOR_HOURS)*PERMANENT_HOURLY_RATE-MAX(0,($D69+H$5)-PERMANENT_FIELD_LABOR_HOURS)*TEMP_HOURLY_RATE-FIXED_SEASON_COST)</f>
        <v>-2788.5478567088</v>
      </c>
      <c r="I69" s="53" t="n">
        <f aca="false">IF(OR($A69&gt;TOMATO_BED_CAP,$B69&gt;CARROT_BED_CAP,I$4&gt;MESCLUN_BED_CAP,$A69+$B69+I$4&gt;TOTAL_BEDS_AVAILABLE,($D69+I$5)&gt;TOTAL_LABOR_HOURS_CAP,MAX(0,($D69+I$5)-PERMANENT_FIELD_LABOR_HOURS)&gt;TEMP_HOURS_CAP),"",$C69+I$6-MIN(($D69+I$5),PERMANENT_FIELD_LABOR_HOURS)*PERMANENT_HOURLY_RATE-MAX(0,($D69+I$5)-PERMANENT_FIELD_LABOR_HOURS)*TEMP_HOURLY_RATE-FIXED_SEASON_COST)</f>
        <v>-1799.43187155256</v>
      </c>
      <c r="J69" s="53" t="n">
        <f aca="false">IF(OR($A69&gt;TOMATO_BED_CAP,$B69&gt;CARROT_BED_CAP,J$4&gt;MESCLUN_BED_CAP,$A69+$B69+J$4&gt;TOTAL_BEDS_AVAILABLE,($D69+J$5)&gt;TOTAL_LABOR_HOURS_CAP,MAX(0,($D69+J$5)-PERMANENT_FIELD_LABOR_HOURS)&gt;TEMP_HOURS_CAP),"",$C69+J$6-MIN(($D69+J$5),PERMANENT_FIELD_LABOR_HOURS)*PERMANENT_HOURLY_RATE-MAX(0,($D69+J$5)-PERMANENT_FIELD_LABOR_HOURS)*TEMP_HOURLY_RATE-FIXED_SEASON_COST)</f>
        <v>-830.837720497868</v>
      </c>
      <c r="K69" s="53" t="n">
        <f aca="false">IF(OR($A69&gt;TOMATO_BED_CAP,$B69&gt;CARROT_BED_CAP,K$4&gt;MESCLUN_BED_CAP,$A69+$B69+K$4&gt;TOTAL_BEDS_AVAILABLE,($D69+K$5)&gt;TOTAL_LABOR_HOURS_CAP,MAX(0,($D69+K$5)-PERMANENT_FIELD_LABOR_HOURS)&gt;TEMP_HOURS_CAP),"",$C69+K$6-MIN(($D69+K$5),PERMANENT_FIELD_LABOR_HOURS)*PERMANENT_HOURLY_RATE-MAX(0,($D69+K$5)-PERMANENT_FIELD_LABOR_HOURS)*TEMP_HOURLY_RATE-FIXED_SEASON_COST)</f>
        <v>116.851376230039</v>
      </c>
      <c r="L69" s="53" t="n">
        <f aca="false">IF(OR($A69&gt;TOMATO_BED_CAP,$B69&gt;CARROT_BED_CAP,L$4&gt;MESCLUN_BED_CAP,$A69+$B69+L$4&gt;TOTAL_BEDS_AVAILABLE,($D69+L$5)&gt;TOTAL_LABOR_HOURS_CAP,MAX(0,($D69+L$5)-PERMANENT_FIELD_LABOR_HOURS)&gt;TEMP_HOURS_CAP),"",$C69+L$6-MIN(($D69+L$5),PERMANENT_FIELD_LABOR_HOURS)*PERMANENT_HOURLY_RATE-MAX(0,($D69+L$5)-PERMANENT_FIELD_LABOR_HOURS)*TEMP_HOURLY_RATE-FIXED_SEASON_COST)</f>
        <v>1043.2458244369</v>
      </c>
      <c r="M69" s="53" t="n">
        <f aca="false">IF(OR($A69&gt;TOMATO_BED_CAP,$B69&gt;CARROT_BED_CAP,M$4&gt;MESCLUN_BED_CAP,$A69+$B69+M$4&gt;TOTAL_BEDS_AVAILABLE,($D69+M$5)&gt;TOTAL_LABOR_HOURS_CAP,MAX(0,($D69+M$5)-PERMANENT_FIELD_LABOR_HOURS)&gt;TEMP_HOURS_CAP),"",$C69+M$6-MIN(($D69+M$5),PERMANENT_FIELD_LABOR_HOURS)*PERMANENT_HOURLY_RATE-MAX(0,($D69+M$5)-PERMANENT_FIELD_LABOR_HOURS)*TEMP_HOURLY_RATE-FIXED_SEASON_COST)</f>
        <v>1947.9495564883</v>
      </c>
      <c r="N69" s="53" t="n">
        <f aca="false">IF(OR($A69&gt;TOMATO_BED_CAP,$B69&gt;CARROT_BED_CAP,N$4&gt;MESCLUN_BED_CAP,$A69+$B69+N$4&gt;TOTAL_BEDS_AVAILABLE,($D69+N$5)&gt;TOTAL_LABOR_HOURS_CAP,MAX(0,($D69+N$5)-PERMANENT_FIELD_LABOR_HOURS)&gt;TEMP_HOURS_CAP),"",$C69+N$6-MIN(($D69+N$5),PERMANENT_FIELD_LABOR_HOURS)*PERMANENT_HOURLY_RATE-MAX(0,($D69+N$5)-PERMANENT_FIELD_LABOR_HOURS)*TEMP_HOURLY_RATE-FIXED_SEASON_COST)</f>
        <v>2830.55993034785</v>
      </c>
      <c r="O69" s="53" t="n">
        <f aca="false">IF(OR($A69&gt;TOMATO_BED_CAP,$B69&gt;CARROT_BED_CAP,O$4&gt;MESCLUN_BED_CAP,$A69+$B69+O$4&gt;TOTAL_BEDS_AVAILABLE,($D69+O$5)&gt;TOTAL_LABOR_HOURS_CAP,MAX(0,($D69+O$5)-PERMANENT_FIELD_LABOR_HOURS)&gt;TEMP_HOURS_CAP),"",$C69+O$6-MIN(($D69+O$5),PERMANENT_FIELD_LABOR_HOURS)*PERMANENT_HOURLY_RATE-MAX(0,($D69+O$5)-PERMANENT_FIELD_LABOR_HOURS)*TEMP_HOURLY_RATE-FIXED_SEASON_COST)</f>
        <v>3690.6676271026</v>
      </c>
      <c r="P69" s="53" t="n">
        <f aca="false">IF(OR($A69&gt;TOMATO_BED_CAP,$B69&gt;CARROT_BED_CAP,P$4&gt;MESCLUN_BED_CAP,$A69+$B69+P$4&gt;TOTAL_BEDS_AVAILABLE,($D69+P$5)&gt;TOTAL_LABOR_HOURS_CAP,MAX(0,($D69+P$5)-PERMANENT_FIELD_LABOR_HOURS)&gt;TEMP_HOURS_CAP),"",$C69+P$6-MIN(($D69+P$5),PERMANENT_FIELD_LABOR_HOURS)*PERMANENT_HOURLY_RATE-MAX(0,($D69+P$5)-PERMANENT_FIELD_LABOR_HOURS)*TEMP_HOURLY_RATE-FIXED_SEASON_COST)</f>
        <v>4527.85654695403</v>
      </c>
      <c r="Q69" s="53" t="n">
        <f aca="false">IF(OR($A69&gt;TOMATO_BED_CAP,$B69&gt;CARROT_BED_CAP,Q$4&gt;MESCLUN_BED_CAP,$A69+$B69+Q$4&gt;TOTAL_BEDS_AVAILABLE,($D69+Q$5)&gt;TOTAL_LABOR_HOURS_CAP,MAX(0,($D69+Q$5)-PERMANENT_FIELD_LABOR_HOURS)&gt;TEMP_HOURS_CAP),"",$C69+Q$6-MIN(($D69+Q$5),PERMANENT_FIELD_LABOR_HOURS)*PERMANENT_HOURLY_RATE-MAX(0,($D69+Q$5)-PERMANENT_FIELD_LABOR_HOURS)*TEMP_HOURLY_RATE-FIXED_SEASON_COST)</f>
        <v>5341.70370365192</v>
      </c>
      <c r="R69" s="53" t="n">
        <f aca="false">IF(OR($A69&gt;TOMATO_BED_CAP,$B69&gt;CARROT_BED_CAP,R$4&gt;MESCLUN_BED_CAP,$A69+$B69+R$4&gt;TOTAL_BEDS_AVAILABLE,($D69+R$5)&gt;TOTAL_LABOR_HOURS_CAP,MAX(0,($D69+R$5)-PERMANENT_FIELD_LABOR_HOURS)&gt;TEMP_HOURS_CAP),"",$C69+R$6-MIN(($D69+R$5),PERMANENT_FIELD_LABOR_HOURS)*PERMANENT_HOURLY_RATE-MAX(0,($D69+R$5)-PERMANENT_FIELD_LABOR_HOURS)*TEMP_HOURLY_RATE-FIXED_SEASON_COST)</f>
        <v>6131.77911734873</v>
      </c>
      <c r="S69" s="53" t="n">
        <f aca="false">IF(OR($A69&gt;TOMATO_BED_CAP,$B69&gt;CARROT_BED_CAP,S$4&gt;MESCLUN_BED_CAP,$A69+$B69+S$4&gt;TOTAL_BEDS_AVAILABLE,($D69+S$5)&gt;TOTAL_LABOR_HOURS_CAP,MAX(0,($D69+S$5)-PERMANENT_FIELD_LABOR_HOURS)&gt;TEMP_HOURS_CAP),"",$C69+S$6-MIN(($D69+S$5),PERMANENT_FIELD_LABOR_HOURS)*PERMANENT_HOURLY_RATE-MAX(0,($D69+S$5)-PERMANENT_FIELD_LABOR_HOURS)*TEMP_HOURLY_RATE-FIXED_SEASON_COST)</f>
        <v>6897.64570585117</v>
      </c>
      <c r="T69" s="53" t="n">
        <f aca="false">IF(OR($A69&gt;TOMATO_BED_CAP,$B69&gt;CARROT_BED_CAP,T$4&gt;MESCLUN_BED_CAP,$A69+$B69+T$4&gt;TOTAL_BEDS_AVAILABLE,($D69+T$5)&gt;TOTAL_LABOR_HOURS_CAP,MAX(0,($D69+T$5)-PERMANENT_FIELD_LABOR_HOURS)&gt;TEMP_HOURS_CAP),"",$C69+T$6-MIN(($D69+T$5),PERMANENT_FIELD_LABOR_HOURS)*PERMANENT_HOURLY_RATE-MAX(0,($D69+T$5)-PERMANENT_FIELD_LABOR_HOURS)*TEMP_HOURLY_RATE-FIXED_SEASON_COST)</f>
        <v>7638.85917424602</v>
      </c>
      <c r="U69" s="53" t="n">
        <f aca="false">IF(OR($A69&gt;TOMATO_BED_CAP,$B69&gt;CARROT_BED_CAP,U$4&gt;MESCLUN_BED_CAP,$A69+$B69+U$4&gt;TOTAL_BEDS_AVAILABLE,($D69+U$5)&gt;TOTAL_LABOR_HOURS_CAP,MAX(0,($D69+U$5)-PERMANENT_FIELD_LABOR_HOURS)&gt;TEMP_HOURS_CAP),"",$C69+U$6-MIN(($D69+U$5),PERMANENT_FIELD_LABOR_HOURS)*PERMANENT_HOURLY_RATE-MAX(0,($D69+U$5)-PERMANENT_FIELD_LABOR_HOURS)*TEMP_HOURLY_RATE-FIXED_SEASON_COST)</f>
        <v>8354.96790287612</v>
      </c>
      <c r="V69" s="53" t="n">
        <f aca="false">IF(OR($A69&gt;TOMATO_BED_CAP,$B69&gt;CARROT_BED_CAP,V$4&gt;MESCLUN_BED_CAP,$A69+$B69+V$4&gt;TOTAL_BEDS_AVAILABLE,($D69+V$5)&gt;TOTAL_LABOR_HOURS_CAP,MAX(0,($D69+V$5)-PERMANENT_FIELD_LABOR_HOURS)&gt;TEMP_HOURS_CAP),"",$C69+V$6-MIN(($D69+V$5),PERMANENT_FIELD_LABOR_HOURS)*PERMANENT_HOURLY_RATE-MAX(0,($D69+V$5)-PERMANENT_FIELD_LABOR_HOURS)*TEMP_HOURLY_RATE-FIXED_SEASON_COST)</f>
        <v>9045.51283364291</v>
      </c>
      <c r="W69" s="53" t="n">
        <f aca="false">IF(OR($A69&gt;TOMATO_BED_CAP,$B69&gt;CARROT_BED_CAP,W$4&gt;MESCLUN_BED_CAP,$A69+$B69+W$4&gt;TOTAL_BEDS_AVAILABLE,($D69+W$5)&gt;TOTAL_LABOR_HOURS_CAP,MAX(0,($D69+W$5)-PERMANENT_FIELD_LABOR_HOURS)&gt;TEMP_HOURS_CAP),"",$C69+W$6-MIN(($D69+W$5),PERMANENT_FIELD_LABOR_HOURS)*PERMANENT_HOURLY_RATE-MAX(0,($D69+W$5)-PERMANENT_FIELD_LABOR_HOURS)*TEMP_HOURLY_RATE-FIXED_SEASON_COST)</f>
        <v>9710.02735461097</v>
      </c>
      <c r="X69" s="53" t="n">
        <f aca="false">IF(OR($A69&gt;TOMATO_BED_CAP,$B69&gt;CARROT_BED_CAP,X$4&gt;MESCLUN_BED_CAP,$A69+$B69+X$4&gt;TOTAL_BEDS_AVAILABLE,($D69+X$5)&gt;TOTAL_LABOR_HOURS_CAP,MAX(0,($D69+X$5)-PERMANENT_FIELD_LABOR_HOURS)&gt;TEMP_HOURS_CAP),"",$C69+X$6-MIN(($D69+X$5),PERMANENT_FIELD_LABOR_HOURS)*PERMANENT_HOURLY_RATE-MAX(0,($D69+X$5)-PERMANENT_FIELD_LABOR_HOURS)*TEMP_HOURLY_RATE-FIXED_SEASON_COST)</f>
        <v>10348.0371828899</v>
      </c>
      <c r="Y69" s="53" t="n">
        <f aca="false">IF(OR($A69&gt;TOMATO_BED_CAP,$B69&gt;CARROT_BED_CAP,Y$4&gt;MESCLUN_BED_CAP,$A69+$B69+Y$4&gt;TOTAL_BEDS_AVAILABLE,($D69+Y$5)&gt;TOTAL_LABOR_HOURS_CAP,MAX(0,($D69+Y$5)-PERMANENT_FIELD_LABOR_HOURS)&gt;TEMP_HOURS_CAP),"",$C69+Y$6-MIN(($D69+Y$5),PERMANENT_FIELD_LABOR_HOURS)*PERMANENT_HOURLY_RATE-MAX(0,($D69+Y$5)-PERMANENT_FIELD_LABOR_HOURS)*TEMP_HOURLY_RATE-FIXED_SEASON_COST)</f>
        <v>10959.0602457686</v>
      </c>
      <c r="Z69" s="53" t="n">
        <f aca="false">IF(OR($A69&gt;TOMATO_BED_CAP,$B69&gt;CARROT_BED_CAP,Z$4&gt;MESCLUN_BED_CAP,$A69+$B69+Z$4&gt;TOTAL_BEDS_AVAILABLE,($D69+Z$5)&gt;TOTAL_LABOR_HOURS_CAP,MAX(0,($D69+Z$5)-PERMANENT_FIELD_LABOR_HOURS)&gt;TEMP_HOURS_CAP),"",$C69+Z$6-MIN(($D69+Z$5),PERMANENT_FIELD_LABOR_HOURS)*PERMANENT_HOURLY_RATE-MAX(0,($D69+Z$5)-PERMANENT_FIELD_LABOR_HOURS)*TEMP_HOURLY_RATE-FIXED_SEASON_COST)</f>
        <v>11542.6065600763</v>
      </c>
      <c r="AA69" s="53" t="n">
        <f aca="false">IF(OR($A69&gt;TOMATO_BED_CAP,$B69&gt;CARROT_BED_CAP,AA$4&gt;MESCLUN_BED_CAP,$A69+$B69+AA$4&gt;TOTAL_BEDS_AVAILABLE,($D69+AA$5)&gt;TOTAL_LABOR_HOURS_CAP,MAX(0,($D69+AA$5)-PERMANENT_FIELD_LABOR_HOURS)&gt;TEMP_HOURS_CAP),"",$C69+AA$6-MIN(($D69+AA$5),PERMANENT_FIELD_LABOR_HOURS)*PERMANENT_HOURLY_RATE-MAX(0,($D69+AA$5)-PERMANENT_FIELD_LABOR_HOURS)*TEMP_HOURLY_RATE-FIXED_SEASON_COST)</f>
        <v>12098.1781097452</v>
      </c>
      <c r="AB69" s="53" t="n">
        <f aca="false">IF(OR($A69&gt;TOMATO_BED_CAP,$B69&gt;CARROT_BED_CAP,AB$4&gt;MESCLUN_BED_CAP,$A69+$B69+AB$4&gt;TOTAL_BEDS_AVAILABLE,($D69+AB$5)&gt;TOTAL_LABOR_HOURS_CAP,MAX(0,($D69+AB$5)-PERMANENT_FIELD_LABOR_HOURS)&gt;TEMP_HOURS_CAP),"",$C69+AB$6-MIN(($D69+AB$5),PERMANENT_FIELD_LABOR_HOURS)*PERMANENT_HOURLY_RATE-MAX(0,($D69+AB$5)-PERMANENT_FIELD_LABOR_HOURS)*TEMP_HOURLY_RATE-FIXED_SEASON_COST)</f>
        <v>12625.2687215478</v>
      </c>
      <c r="AC69" s="53" t="n">
        <f aca="false">IF(OR($A69&gt;TOMATO_BED_CAP,$B69&gt;CARROT_BED_CAP,AC$4&gt;MESCLUN_BED_CAP,$A69+$B69+AC$4&gt;TOTAL_BEDS_AVAILABLE,($D69+AC$5)&gt;TOTAL_LABOR_HOURS_CAP,MAX(0,($D69+AC$5)-PERMANENT_FIELD_LABOR_HOURS)&gt;TEMP_HOURS_CAP),"",$C69+AC$6-MIN(($D69+AC$5),PERMANENT_FIELD_LABOR_HOURS)*PERMANENT_HOURLY_RATE-MAX(0,($D69+AC$5)-PERMANENT_FIELD_LABOR_HOURS)*TEMP_HOURLY_RATE-FIXED_SEASON_COST)</f>
        <v>13123.3639389827</v>
      </c>
      <c r="AD69" s="53" t="n">
        <f aca="false">IF(OR($A69&gt;TOMATO_BED_CAP,$B69&gt;CARROT_BED_CAP,AD$4&gt;MESCLUN_BED_CAP,$A69+$B69+AD$4&gt;TOTAL_BEDS_AVAILABLE,($D69+AD$5)&gt;TOTAL_LABOR_HOURS_CAP,MAX(0,($D69+AD$5)-PERMANENT_FIELD_LABOR_HOURS)&gt;TEMP_HOURS_CAP),"",$C69+AD$6-MIN(($D69+AD$5),PERMANENT_FIELD_LABOR_HOURS)*PERMANENT_HOURLY_RATE-MAX(0,($D69+AD$5)-PERMANENT_FIELD_LABOR_HOURS)*TEMP_HOURLY_RATE-FIXED_SEASON_COST)</f>
        <v>13591.9408942826</v>
      </c>
      <c r="AE69" s="53" t="n">
        <f aca="false">IF(OR($A69&gt;TOMATO_BED_CAP,$B69&gt;CARROT_BED_CAP,AE$4&gt;MESCLUN_BED_CAP,$A69+$B69+AE$4&gt;TOTAL_BEDS_AVAILABLE,($D69+AE$5)&gt;TOTAL_LABOR_HOURS_CAP,MAX(0,($D69+AE$5)-PERMANENT_FIELD_LABOR_HOURS)&gt;TEMP_HOURS_CAP),"",$C69+AE$6-MIN(($D69+AE$5),PERMANENT_FIELD_LABOR_HOURS)*PERMANENT_HOURLY_RATE-MAX(0,($D69+AE$5)-PERMANENT_FIELD_LABOR_HOURS)*TEMP_HOURLY_RATE-FIXED_SEASON_COST)</f>
        <v>14030.4681785165</v>
      </c>
      <c r="AF69" s="53" t="n">
        <f aca="false">IF(OR($A69&gt;TOMATO_BED_CAP,$B69&gt;CARROT_BED_CAP,AF$4&gt;MESCLUN_BED_CAP,$A69+$B69+AF$4&gt;TOTAL_BEDS_AVAILABLE,($D69+AF$5)&gt;TOTAL_LABOR_HOURS_CAP,MAX(0,($D69+AF$5)-PERMANENT_FIELD_LABOR_HOURS)&gt;TEMP_HOURS_CAP),"",$C69+AF$6-MIN(($D69+AF$5),PERMANENT_FIELD_LABOR_HOURS)*PERMANENT_HOURLY_RATE-MAX(0,($D69+AF$5)-PERMANENT_FIELD_LABOR_HOURS)*TEMP_HOURLY_RATE-FIXED_SEASON_COST)</f>
        <v>14438.4057097585</v>
      </c>
      <c r="AG69" s="53" t="n">
        <f aca="false">IF(OR($A69&gt;TOMATO_BED_CAP,$B69&gt;CARROT_BED_CAP,AG$4&gt;MESCLUN_BED_CAP,$A69+$B69+AG$4&gt;TOTAL_BEDS_AVAILABLE,($D69+AG$5)&gt;TOTAL_LABOR_HOURS_CAP,MAX(0,($D69+AG$5)-PERMANENT_FIELD_LABOR_HOURS)&gt;TEMP_HOURS_CAP),"",$C69+AG$6-MIN(($D69+AG$5),PERMANENT_FIELD_LABOR_HOURS)*PERMANENT_HOURLY_RATE-MAX(0,($D69+AG$5)-PERMANENT_FIELD_LABOR_HOURS)*TEMP_HOURLY_RATE-FIXED_SEASON_COST)</f>
        <v>14815.2045992955</v>
      </c>
      <c r="AH69" s="53" t="n">
        <f aca="false">IF(OR($A69&gt;TOMATO_BED_CAP,$B69&gt;CARROT_BED_CAP,AH$4&gt;MESCLUN_BED_CAP,$A69+$B69+AH$4&gt;TOTAL_BEDS_AVAILABLE,($D69+AH$5)&gt;TOTAL_LABOR_HOURS_CAP,MAX(0,($D69+AH$5)-PERMANENT_FIELD_LABOR_HOURS)&gt;TEMP_HOURS_CAP),"",$C69+AH$6-MIN(($D69+AH$5),PERMANENT_FIELD_LABOR_HOURS)*PERMANENT_HOURLY_RATE-MAX(0,($D69+AH$5)-PERMANENT_FIELD_LABOR_HOURS)*TEMP_HOURLY_RATE-FIXED_SEASON_COST)</f>
        <v>15160.3070158457</v>
      </c>
      <c r="AI69" s="53" t="n">
        <f aca="false">IF(OR($A69&gt;TOMATO_BED_CAP,$B69&gt;CARROT_BED_CAP,AI$4&gt;MESCLUN_BED_CAP,$A69+$B69+AI$4&gt;TOTAL_BEDS_AVAILABLE,($D69+AI$5)&gt;TOTAL_LABOR_HOURS_CAP,MAX(0,($D69+AI$5)-PERMANENT_FIELD_LABOR_HOURS)&gt;TEMP_HOURS_CAP),"",$C69+AI$6-MIN(($D69+AI$5),PERMANENT_FIELD_LABOR_HOURS)*PERMANENT_HOURLY_RATE-MAX(0,($D69+AI$5)-PERMANENT_FIELD_LABOR_HOURS)*TEMP_HOURLY_RATE-FIXED_SEASON_COST)</f>
        <v>15473.146047758</v>
      </c>
      <c r="AJ69" s="53" t="n">
        <f aca="false">IF(OR($A69&gt;TOMATO_BED_CAP,$B69&gt;CARROT_BED_CAP,AJ$4&gt;MESCLUN_BED_CAP,$A69+$B69+AJ$4&gt;TOTAL_BEDS_AVAILABLE,($D69+AJ$5)&gt;TOTAL_LABOR_HOURS_CAP,MAX(0,($D69+AJ$5)-PERMANENT_FIELD_LABOR_HOURS)&gt;TEMP_HOURS_CAP),"",$C69+AJ$6-MIN(($D69+AJ$5),PERMANENT_FIELD_LABOR_HOURS)*PERMANENT_HOURLY_RATE-MAX(0,($D69+AJ$5)-PERMANENT_FIELD_LABOR_HOURS)*TEMP_HOURLY_RATE-FIXED_SEASON_COST)</f>
        <v>15753.1455631637</v>
      </c>
    </row>
    <row r="70" customFormat="false" ht="15" hidden="false" customHeight="false" outlineLevel="0" collapsed="false">
      <c r="A70" s="21" t="n">
        <f aca="false">INT((ROW()-ROW($A$8))/(20+1))</f>
        <v>2</v>
      </c>
      <c r="B70" s="21" t="n">
        <f aca="false">MOD(ROW()-ROW($A$8),20+1)</f>
        <v>20</v>
      </c>
      <c r="C70" s="13" t="n">
        <f aca="false">A70*(TOMATO_REVENUE_PER_BED-TOMATO_FERTILIZER_PER_BED)+B70*(CARROT_REVENUE_PER_BED-CARROT_FERTILIZER_PER_BED)</f>
        <v>48920</v>
      </c>
      <c r="D70" s="14" t="n">
        <f aca="false">INDEX(TOMATO_SCHED_LABOR_HRS,A70+1)+INDEX(CARROT_SCHED_LABOR_HRS,B70+1)</f>
        <v>1200.57659622857</v>
      </c>
      <c r="E70" s="13" t="n">
        <f aca="false">IF(COUNT(F70:AJ70)=0,"",MAX(F70:AJ70))</f>
        <v>16158.7795843446</v>
      </c>
      <c r="F70" s="53" t="n">
        <f aca="false">IF(OR($A70&gt;TOMATO_BED_CAP,$B70&gt;CARROT_BED_CAP,F$4&gt;MESCLUN_BED_CAP,$A70+$B70+F$4&gt;TOTAL_BEDS_AVAILABLE,($D70+F$5)&gt;TOTAL_LABOR_HOURS_CAP,MAX(0,($D70+F$5)-PERMANENT_FIELD_LABOR_HOURS)&gt;TEMP_HOURS_CAP),"",$C70+F$6-MIN(($D70+F$5),PERMANENT_FIELD_LABOR_HOURS)*PERMANENT_HOURLY_RATE-MAX(0,($D70+F$5)-PERMANENT_FIELD_LABOR_HOURS)*TEMP_HOURLY_RATE-FIXED_SEASON_COST)</f>
        <v>-4421.20971052792</v>
      </c>
      <c r="G70" s="53" t="n">
        <f aca="false">IF(OR($A70&gt;TOMATO_BED_CAP,$B70&gt;CARROT_BED_CAP,G$4&gt;MESCLUN_BED_CAP,$A70+$B70+G$4&gt;TOTAL_BEDS_AVAILABLE,($D70+G$5)&gt;TOTAL_LABOR_HOURS_CAP,MAX(0,($D70+G$5)-PERMANENT_FIELD_LABOR_HOURS)&gt;TEMP_HOURS_CAP),"",$C70+G$6-MIN(($D70+G$5),PERMANENT_FIELD_LABOR_HOURS)*PERMANENT_HOURLY_RATE-MAX(0,($D70+G$5)-PERMANENT_FIELD_LABOR_HOURS)*TEMP_HOURLY_RATE-FIXED_SEASON_COST)</f>
        <v>-3392.17471052792</v>
      </c>
      <c r="H70" s="53" t="n">
        <f aca="false">IF(OR($A70&gt;TOMATO_BED_CAP,$B70&gt;CARROT_BED_CAP,H$4&gt;MESCLUN_BED_CAP,$A70+$B70+H$4&gt;TOTAL_BEDS_AVAILABLE,($D70+H$5)&gt;TOTAL_LABOR_HOURS_CAP,MAX(0,($D70+H$5)-PERMANENT_FIELD_LABOR_HOURS)&gt;TEMP_HOURS_CAP),"",$C70+H$6-MIN(($D70+H$5),PERMANENT_FIELD_LABOR_HOURS)*PERMANENT_HOURLY_RATE-MAX(0,($D70+H$5)-PERMANENT_FIELD_LABOR_HOURS)*TEMP_HOURLY_RATE-FIXED_SEASON_COST)</f>
        <v>-2382.91383552791</v>
      </c>
      <c r="I70" s="53" t="n">
        <f aca="false">IF(OR($A70&gt;TOMATO_BED_CAP,$B70&gt;CARROT_BED_CAP,I$4&gt;MESCLUN_BED_CAP,$A70+$B70+I$4&gt;TOTAL_BEDS_AVAILABLE,($D70+I$5)&gt;TOTAL_LABOR_HOURS_CAP,MAX(0,($D70+I$5)-PERMANENT_FIELD_LABOR_HOURS)&gt;TEMP_HOURS_CAP),"",$C70+I$6-MIN(($D70+I$5),PERMANENT_FIELD_LABOR_HOURS)*PERMANENT_HOURLY_RATE-MAX(0,($D70+I$5)-PERMANENT_FIELD_LABOR_HOURS)*TEMP_HOURLY_RATE-FIXED_SEASON_COST)</f>
        <v>-1393.79785037167</v>
      </c>
      <c r="J70" s="53" t="n">
        <f aca="false">IF(OR($A70&gt;TOMATO_BED_CAP,$B70&gt;CARROT_BED_CAP,J$4&gt;MESCLUN_BED_CAP,$A70+$B70+J$4&gt;TOTAL_BEDS_AVAILABLE,($D70+J$5)&gt;TOTAL_LABOR_HOURS_CAP,MAX(0,($D70+J$5)-PERMANENT_FIELD_LABOR_HOURS)&gt;TEMP_HOURS_CAP),"",$C70+J$6-MIN(($D70+J$5),PERMANENT_FIELD_LABOR_HOURS)*PERMANENT_HOURLY_RATE-MAX(0,($D70+J$5)-PERMANENT_FIELD_LABOR_HOURS)*TEMP_HOURLY_RATE-FIXED_SEASON_COST)</f>
        <v>-425.203699316982</v>
      </c>
      <c r="K70" s="53" t="n">
        <f aca="false">IF(OR($A70&gt;TOMATO_BED_CAP,$B70&gt;CARROT_BED_CAP,K$4&gt;MESCLUN_BED_CAP,$A70+$B70+K$4&gt;TOTAL_BEDS_AVAILABLE,($D70+K$5)&gt;TOTAL_LABOR_HOURS_CAP,MAX(0,($D70+K$5)-PERMANENT_FIELD_LABOR_HOURS)&gt;TEMP_HOURS_CAP),"",$C70+K$6-MIN(($D70+K$5),PERMANENT_FIELD_LABOR_HOURS)*PERMANENT_HOURLY_RATE-MAX(0,($D70+K$5)-PERMANENT_FIELD_LABOR_HOURS)*TEMP_HOURLY_RATE-FIXED_SEASON_COST)</f>
        <v>522.485397410928</v>
      </c>
      <c r="L70" s="53" t="n">
        <f aca="false">IF(OR($A70&gt;TOMATO_BED_CAP,$B70&gt;CARROT_BED_CAP,L$4&gt;MESCLUN_BED_CAP,$A70+$B70+L$4&gt;TOTAL_BEDS_AVAILABLE,($D70+L$5)&gt;TOTAL_LABOR_HOURS_CAP,MAX(0,($D70+L$5)-PERMANENT_FIELD_LABOR_HOURS)&gt;TEMP_HOURS_CAP),"",$C70+L$6-MIN(($D70+L$5),PERMANENT_FIELD_LABOR_HOURS)*PERMANENT_HOURLY_RATE-MAX(0,($D70+L$5)-PERMANENT_FIELD_LABOR_HOURS)*TEMP_HOURLY_RATE-FIXED_SEASON_COST)</f>
        <v>1448.87984561778</v>
      </c>
      <c r="M70" s="53" t="n">
        <f aca="false">IF(OR($A70&gt;TOMATO_BED_CAP,$B70&gt;CARROT_BED_CAP,M$4&gt;MESCLUN_BED_CAP,$A70+$B70+M$4&gt;TOTAL_BEDS_AVAILABLE,($D70+M$5)&gt;TOTAL_LABOR_HOURS_CAP,MAX(0,($D70+M$5)-PERMANENT_FIELD_LABOR_HOURS)&gt;TEMP_HOURS_CAP),"",$C70+M$6-MIN(($D70+M$5),PERMANENT_FIELD_LABOR_HOURS)*PERMANENT_HOURLY_RATE-MAX(0,($D70+M$5)-PERMANENT_FIELD_LABOR_HOURS)*TEMP_HOURLY_RATE-FIXED_SEASON_COST)</f>
        <v>2353.58357766919</v>
      </c>
      <c r="N70" s="53" t="n">
        <f aca="false">IF(OR($A70&gt;TOMATO_BED_CAP,$B70&gt;CARROT_BED_CAP,N$4&gt;MESCLUN_BED_CAP,$A70+$B70+N$4&gt;TOTAL_BEDS_AVAILABLE,($D70+N$5)&gt;TOTAL_LABOR_HOURS_CAP,MAX(0,($D70+N$5)-PERMANENT_FIELD_LABOR_HOURS)&gt;TEMP_HOURS_CAP),"",$C70+N$6-MIN(($D70+N$5),PERMANENT_FIELD_LABOR_HOURS)*PERMANENT_HOURLY_RATE-MAX(0,($D70+N$5)-PERMANENT_FIELD_LABOR_HOURS)*TEMP_HOURLY_RATE-FIXED_SEASON_COST)</f>
        <v>3236.19395152873</v>
      </c>
      <c r="O70" s="53" t="n">
        <f aca="false">IF(OR($A70&gt;TOMATO_BED_CAP,$B70&gt;CARROT_BED_CAP,O$4&gt;MESCLUN_BED_CAP,$A70+$B70+O$4&gt;TOTAL_BEDS_AVAILABLE,($D70+O$5)&gt;TOTAL_LABOR_HOURS_CAP,MAX(0,($D70+O$5)-PERMANENT_FIELD_LABOR_HOURS)&gt;TEMP_HOURS_CAP),"",$C70+O$6-MIN(($D70+O$5),PERMANENT_FIELD_LABOR_HOURS)*PERMANENT_HOURLY_RATE-MAX(0,($D70+O$5)-PERMANENT_FIELD_LABOR_HOURS)*TEMP_HOURLY_RATE-FIXED_SEASON_COST)</f>
        <v>4096.30164828349</v>
      </c>
      <c r="P70" s="53" t="n">
        <f aca="false">IF(OR($A70&gt;TOMATO_BED_CAP,$B70&gt;CARROT_BED_CAP,P$4&gt;MESCLUN_BED_CAP,$A70+$B70+P$4&gt;TOTAL_BEDS_AVAILABLE,($D70+P$5)&gt;TOTAL_LABOR_HOURS_CAP,MAX(0,($D70+P$5)-PERMANENT_FIELD_LABOR_HOURS)&gt;TEMP_HOURS_CAP),"",$C70+P$6-MIN(($D70+P$5),PERMANENT_FIELD_LABOR_HOURS)*PERMANENT_HOURLY_RATE-MAX(0,($D70+P$5)-PERMANENT_FIELD_LABOR_HOURS)*TEMP_HOURLY_RATE-FIXED_SEASON_COST)</f>
        <v>4933.49056813491</v>
      </c>
      <c r="Q70" s="53" t="n">
        <f aca="false">IF(OR($A70&gt;TOMATO_BED_CAP,$B70&gt;CARROT_BED_CAP,Q$4&gt;MESCLUN_BED_CAP,$A70+$B70+Q$4&gt;TOTAL_BEDS_AVAILABLE,($D70+Q$5)&gt;TOTAL_LABOR_HOURS_CAP,MAX(0,($D70+Q$5)-PERMANENT_FIELD_LABOR_HOURS)&gt;TEMP_HOURS_CAP),"",$C70+Q$6-MIN(($D70+Q$5),PERMANENT_FIELD_LABOR_HOURS)*PERMANENT_HOURLY_RATE-MAX(0,($D70+Q$5)-PERMANENT_FIELD_LABOR_HOURS)*TEMP_HOURLY_RATE-FIXED_SEASON_COST)</f>
        <v>5747.33772483281</v>
      </c>
      <c r="R70" s="53" t="n">
        <f aca="false">IF(OR($A70&gt;TOMATO_BED_CAP,$B70&gt;CARROT_BED_CAP,R$4&gt;MESCLUN_BED_CAP,$A70+$B70+R$4&gt;TOTAL_BEDS_AVAILABLE,($D70+R$5)&gt;TOTAL_LABOR_HOURS_CAP,MAX(0,($D70+R$5)-PERMANENT_FIELD_LABOR_HOURS)&gt;TEMP_HOURS_CAP),"",$C70+R$6-MIN(($D70+R$5),PERMANENT_FIELD_LABOR_HOURS)*PERMANENT_HOURLY_RATE-MAX(0,($D70+R$5)-PERMANENT_FIELD_LABOR_HOURS)*TEMP_HOURLY_RATE-FIXED_SEASON_COST)</f>
        <v>6537.41313852962</v>
      </c>
      <c r="S70" s="53" t="n">
        <f aca="false">IF(OR($A70&gt;TOMATO_BED_CAP,$B70&gt;CARROT_BED_CAP,S$4&gt;MESCLUN_BED_CAP,$A70+$B70+S$4&gt;TOTAL_BEDS_AVAILABLE,($D70+S$5)&gt;TOTAL_LABOR_HOURS_CAP,MAX(0,($D70+S$5)-PERMANENT_FIELD_LABOR_HOURS)&gt;TEMP_HOURS_CAP),"",$C70+S$6-MIN(($D70+S$5),PERMANENT_FIELD_LABOR_HOURS)*PERMANENT_HOURLY_RATE-MAX(0,($D70+S$5)-PERMANENT_FIELD_LABOR_HOURS)*TEMP_HOURLY_RATE-FIXED_SEASON_COST)</f>
        <v>7303.27972703206</v>
      </c>
      <c r="T70" s="53" t="n">
        <f aca="false">IF(OR($A70&gt;TOMATO_BED_CAP,$B70&gt;CARROT_BED_CAP,T$4&gt;MESCLUN_BED_CAP,$A70+$B70+T$4&gt;TOTAL_BEDS_AVAILABLE,($D70+T$5)&gt;TOTAL_LABOR_HOURS_CAP,MAX(0,($D70+T$5)-PERMANENT_FIELD_LABOR_HOURS)&gt;TEMP_HOURS_CAP),"",$C70+T$6-MIN(($D70+T$5),PERMANENT_FIELD_LABOR_HOURS)*PERMANENT_HOURLY_RATE-MAX(0,($D70+T$5)-PERMANENT_FIELD_LABOR_HOURS)*TEMP_HOURLY_RATE-FIXED_SEASON_COST)</f>
        <v>8044.49319542691</v>
      </c>
      <c r="U70" s="53" t="n">
        <f aca="false">IF(OR($A70&gt;TOMATO_BED_CAP,$B70&gt;CARROT_BED_CAP,U$4&gt;MESCLUN_BED_CAP,$A70+$B70+U$4&gt;TOTAL_BEDS_AVAILABLE,($D70+U$5)&gt;TOTAL_LABOR_HOURS_CAP,MAX(0,($D70+U$5)-PERMANENT_FIELD_LABOR_HOURS)&gt;TEMP_HOURS_CAP),"",$C70+U$6-MIN(($D70+U$5),PERMANENT_FIELD_LABOR_HOURS)*PERMANENT_HOURLY_RATE-MAX(0,($D70+U$5)-PERMANENT_FIELD_LABOR_HOURS)*TEMP_HOURLY_RATE-FIXED_SEASON_COST)</f>
        <v>8760.60192405701</v>
      </c>
      <c r="V70" s="53" t="n">
        <f aca="false">IF(OR($A70&gt;TOMATO_BED_CAP,$B70&gt;CARROT_BED_CAP,V$4&gt;MESCLUN_BED_CAP,$A70+$B70+V$4&gt;TOTAL_BEDS_AVAILABLE,($D70+V$5)&gt;TOTAL_LABOR_HOURS_CAP,MAX(0,($D70+V$5)-PERMANENT_FIELD_LABOR_HOURS)&gt;TEMP_HOURS_CAP),"",$C70+V$6-MIN(($D70+V$5),PERMANENT_FIELD_LABOR_HOURS)*PERMANENT_HOURLY_RATE-MAX(0,($D70+V$5)-PERMANENT_FIELD_LABOR_HOURS)*TEMP_HOURLY_RATE-FIXED_SEASON_COST)</f>
        <v>9451.1468548238</v>
      </c>
      <c r="W70" s="53" t="n">
        <f aca="false">IF(OR($A70&gt;TOMATO_BED_CAP,$B70&gt;CARROT_BED_CAP,W$4&gt;MESCLUN_BED_CAP,$A70+$B70+W$4&gt;TOTAL_BEDS_AVAILABLE,($D70+W$5)&gt;TOTAL_LABOR_HOURS_CAP,MAX(0,($D70+W$5)-PERMANENT_FIELD_LABOR_HOURS)&gt;TEMP_HOURS_CAP),"",$C70+W$6-MIN(($D70+W$5),PERMANENT_FIELD_LABOR_HOURS)*PERMANENT_HOURLY_RATE-MAX(0,($D70+W$5)-PERMANENT_FIELD_LABOR_HOURS)*TEMP_HOURLY_RATE-FIXED_SEASON_COST)</f>
        <v>10115.6613757919</v>
      </c>
      <c r="X70" s="53" t="n">
        <f aca="false">IF(OR($A70&gt;TOMATO_BED_CAP,$B70&gt;CARROT_BED_CAP,X$4&gt;MESCLUN_BED_CAP,$A70+$B70+X$4&gt;TOTAL_BEDS_AVAILABLE,($D70+X$5)&gt;TOTAL_LABOR_HOURS_CAP,MAX(0,($D70+X$5)-PERMANENT_FIELD_LABOR_HOURS)&gt;TEMP_HOURS_CAP),"",$C70+X$6-MIN(($D70+X$5),PERMANENT_FIELD_LABOR_HOURS)*PERMANENT_HOURLY_RATE-MAX(0,($D70+X$5)-PERMANENT_FIELD_LABOR_HOURS)*TEMP_HOURLY_RATE-FIXED_SEASON_COST)</f>
        <v>10753.6712040708</v>
      </c>
      <c r="Y70" s="53" t="n">
        <f aca="false">IF(OR($A70&gt;TOMATO_BED_CAP,$B70&gt;CARROT_BED_CAP,Y$4&gt;MESCLUN_BED_CAP,$A70+$B70+Y$4&gt;TOTAL_BEDS_AVAILABLE,($D70+Y$5)&gt;TOTAL_LABOR_HOURS_CAP,MAX(0,($D70+Y$5)-PERMANENT_FIELD_LABOR_HOURS)&gt;TEMP_HOURS_CAP),"",$C70+Y$6-MIN(($D70+Y$5),PERMANENT_FIELD_LABOR_HOURS)*PERMANENT_HOURLY_RATE-MAX(0,($D70+Y$5)-PERMANENT_FIELD_LABOR_HOURS)*TEMP_HOURLY_RATE-FIXED_SEASON_COST)</f>
        <v>11364.6942669494</v>
      </c>
      <c r="Z70" s="53" t="n">
        <f aca="false">IF(OR($A70&gt;TOMATO_BED_CAP,$B70&gt;CARROT_BED_CAP,Z$4&gt;MESCLUN_BED_CAP,$A70+$B70+Z$4&gt;TOTAL_BEDS_AVAILABLE,($D70+Z$5)&gt;TOTAL_LABOR_HOURS_CAP,MAX(0,($D70+Z$5)-PERMANENT_FIELD_LABOR_HOURS)&gt;TEMP_HOURS_CAP),"",$C70+Z$6-MIN(($D70+Z$5),PERMANENT_FIELD_LABOR_HOURS)*PERMANENT_HOURLY_RATE-MAX(0,($D70+Z$5)-PERMANENT_FIELD_LABOR_HOURS)*TEMP_HOURLY_RATE-FIXED_SEASON_COST)</f>
        <v>11948.2405812572</v>
      </c>
      <c r="AA70" s="53" t="n">
        <f aca="false">IF(OR($A70&gt;TOMATO_BED_CAP,$B70&gt;CARROT_BED_CAP,AA$4&gt;MESCLUN_BED_CAP,$A70+$B70+AA$4&gt;TOTAL_BEDS_AVAILABLE,($D70+AA$5)&gt;TOTAL_LABOR_HOURS_CAP,MAX(0,($D70+AA$5)-PERMANENT_FIELD_LABOR_HOURS)&gt;TEMP_HOURS_CAP),"",$C70+AA$6-MIN(($D70+AA$5),PERMANENT_FIELD_LABOR_HOURS)*PERMANENT_HOURLY_RATE-MAX(0,($D70+AA$5)-PERMANENT_FIELD_LABOR_HOURS)*TEMP_HOURLY_RATE-FIXED_SEASON_COST)</f>
        <v>12503.8121309261</v>
      </c>
      <c r="AB70" s="53" t="n">
        <f aca="false">IF(OR($A70&gt;TOMATO_BED_CAP,$B70&gt;CARROT_BED_CAP,AB$4&gt;MESCLUN_BED_CAP,$A70+$B70+AB$4&gt;TOTAL_BEDS_AVAILABLE,($D70+AB$5)&gt;TOTAL_LABOR_HOURS_CAP,MAX(0,($D70+AB$5)-PERMANENT_FIELD_LABOR_HOURS)&gt;TEMP_HOURS_CAP),"",$C70+AB$6-MIN(($D70+AB$5),PERMANENT_FIELD_LABOR_HOURS)*PERMANENT_HOURLY_RATE-MAX(0,($D70+AB$5)-PERMANENT_FIELD_LABOR_HOURS)*TEMP_HOURLY_RATE-FIXED_SEASON_COST)</f>
        <v>13030.9027427287</v>
      </c>
      <c r="AC70" s="53" t="n">
        <f aca="false">IF(OR($A70&gt;TOMATO_BED_CAP,$B70&gt;CARROT_BED_CAP,AC$4&gt;MESCLUN_BED_CAP,$A70+$B70+AC$4&gt;TOTAL_BEDS_AVAILABLE,($D70+AC$5)&gt;TOTAL_LABOR_HOURS_CAP,MAX(0,($D70+AC$5)-PERMANENT_FIELD_LABOR_HOURS)&gt;TEMP_HOURS_CAP),"",$C70+AC$6-MIN(($D70+AC$5),PERMANENT_FIELD_LABOR_HOURS)*PERMANENT_HOURLY_RATE-MAX(0,($D70+AC$5)-PERMANENT_FIELD_LABOR_HOURS)*TEMP_HOURLY_RATE-FIXED_SEASON_COST)</f>
        <v>13528.9979601636</v>
      </c>
      <c r="AD70" s="53" t="n">
        <f aca="false">IF(OR($A70&gt;TOMATO_BED_CAP,$B70&gt;CARROT_BED_CAP,AD$4&gt;MESCLUN_BED_CAP,$A70+$B70+AD$4&gt;TOTAL_BEDS_AVAILABLE,($D70+AD$5)&gt;TOTAL_LABOR_HOURS_CAP,MAX(0,($D70+AD$5)-PERMANENT_FIELD_LABOR_HOURS)&gt;TEMP_HOURS_CAP),"",$C70+AD$6-MIN(($D70+AD$5),PERMANENT_FIELD_LABOR_HOURS)*PERMANENT_HOURLY_RATE-MAX(0,($D70+AD$5)-PERMANENT_FIELD_LABOR_HOURS)*TEMP_HOURLY_RATE-FIXED_SEASON_COST)</f>
        <v>13997.5749154635</v>
      </c>
      <c r="AE70" s="53" t="n">
        <f aca="false">IF(OR($A70&gt;TOMATO_BED_CAP,$B70&gt;CARROT_BED_CAP,AE$4&gt;MESCLUN_BED_CAP,$A70+$B70+AE$4&gt;TOTAL_BEDS_AVAILABLE,($D70+AE$5)&gt;TOTAL_LABOR_HOURS_CAP,MAX(0,($D70+AE$5)-PERMANENT_FIELD_LABOR_HOURS)&gt;TEMP_HOURS_CAP),"",$C70+AE$6-MIN(($D70+AE$5),PERMANENT_FIELD_LABOR_HOURS)*PERMANENT_HOURLY_RATE-MAX(0,($D70+AE$5)-PERMANENT_FIELD_LABOR_HOURS)*TEMP_HOURLY_RATE-FIXED_SEASON_COST)</f>
        <v>14436.1021996974</v>
      </c>
      <c r="AF70" s="53" t="n">
        <f aca="false">IF(OR($A70&gt;TOMATO_BED_CAP,$B70&gt;CARROT_BED_CAP,AF$4&gt;MESCLUN_BED_CAP,$A70+$B70+AF$4&gt;TOTAL_BEDS_AVAILABLE,($D70+AF$5)&gt;TOTAL_LABOR_HOURS_CAP,MAX(0,($D70+AF$5)-PERMANENT_FIELD_LABOR_HOURS)&gt;TEMP_HOURS_CAP),"",$C70+AF$6-MIN(($D70+AF$5),PERMANENT_FIELD_LABOR_HOURS)*PERMANENT_HOURLY_RATE-MAX(0,($D70+AF$5)-PERMANENT_FIELD_LABOR_HOURS)*TEMP_HOURLY_RATE-FIXED_SEASON_COST)</f>
        <v>14844.0397309394</v>
      </c>
      <c r="AG70" s="53" t="n">
        <f aca="false">IF(OR($A70&gt;TOMATO_BED_CAP,$B70&gt;CARROT_BED_CAP,AG$4&gt;MESCLUN_BED_CAP,$A70+$B70+AG$4&gt;TOTAL_BEDS_AVAILABLE,($D70+AG$5)&gt;TOTAL_LABOR_HOURS_CAP,MAX(0,($D70+AG$5)-PERMANENT_FIELD_LABOR_HOURS)&gt;TEMP_HOURS_CAP),"",$C70+AG$6-MIN(($D70+AG$5),PERMANENT_FIELD_LABOR_HOURS)*PERMANENT_HOURLY_RATE-MAX(0,($D70+AG$5)-PERMANENT_FIELD_LABOR_HOURS)*TEMP_HOURLY_RATE-FIXED_SEASON_COST)</f>
        <v>15220.8386204764</v>
      </c>
      <c r="AH70" s="53" t="n">
        <f aca="false">IF(OR($A70&gt;TOMATO_BED_CAP,$B70&gt;CARROT_BED_CAP,AH$4&gt;MESCLUN_BED_CAP,$A70+$B70+AH$4&gt;TOTAL_BEDS_AVAILABLE,($D70+AH$5)&gt;TOTAL_LABOR_HOURS_CAP,MAX(0,($D70+AH$5)-PERMANENT_FIELD_LABOR_HOURS)&gt;TEMP_HOURS_CAP),"",$C70+AH$6-MIN(($D70+AH$5),PERMANENT_FIELD_LABOR_HOURS)*PERMANENT_HOURLY_RATE-MAX(0,($D70+AH$5)-PERMANENT_FIELD_LABOR_HOURS)*TEMP_HOURLY_RATE-FIXED_SEASON_COST)</f>
        <v>15565.9410370266</v>
      </c>
      <c r="AI70" s="53" t="n">
        <f aca="false">IF(OR($A70&gt;TOMATO_BED_CAP,$B70&gt;CARROT_BED_CAP,AI$4&gt;MESCLUN_BED_CAP,$A70+$B70+AI$4&gt;TOTAL_BEDS_AVAILABLE,($D70+AI$5)&gt;TOTAL_LABOR_HOURS_CAP,MAX(0,($D70+AI$5)-PERMANENT_FIELD_LABOR_HOURS)&gt;TEMP_HOURS_CAP),"",$C70+AI$6-MIN(($D70+AI$5),PERMANENT_FIELD_LABOR_HOURS)*PERMANENT_HOURLY_RATE-MAX(0,($D70+AI$5)-PERMANENT_FIELD_LABOR_HOURS)*TEMP_HOURLY_RATE-FIXED_SEASON_COST)</f>
        <v>15878.7800689389</v>
      </c>
      <c r="AJ70" s="53" t="n">
        <f aca="false">IF(OR($A70&gt;TOMATO_BED_CAP,$B70&gt;CARROT_BED_CAP,AJ$4&gt;MESCLUN_BED_CAP,$A70+$B70+AJ$4&gt;TOTAL_BEDS_AVAILABLE,($D70+AJ$5)&gt;TOTAL_LABOR_HOURS_CAP,MAX(0,($D70+AJ$5)-PERMANENT_FIELD_LABOR_HOURS)&gt;TEMP_HOURS_CAP),"",$C70+AJ$6-MIN(($D70+AJ$5),PERMANENT_FIELD_LABOR_HOURS)*PERMANENT_HOURLY_RATE-MAX(0,($D70+AJ$5)-PERMANENT_FIELD_LABOR_HOURS)*TEMP_HOURLY_RATE-FIXED_SEASON_COST)</f>
        <v>16158.7795843446</v>
      </c>
    </row>
    <row r="71" customFormat="false" ht="15" hidden="false" customHeight="false" outlineLevel="0" collapsed="false">
      <c r="A71" s="21" t="n">
        <f aca="false">INT((ROW()-ROW($A$8))/(20+1))</f>
        <v>3</v>
      </c>
      <c r="B71" s="21" t="n">
        <f aca="false">MOD(ROW()-ROW($A$8),20+1)</f>
        <v>0</v>
      </c>
      <c r="C71" s="13" t="n">
        <f aca="false">A71*(TOMATO_REVENUE_PER_BED-TOMATO_FERTILIZER_PER_BED)+B71*(CARROT_REVENUE_PER_BED-CARROT_FERTILIZER_PER_BED)</f>
        <v>23760</v>
      </c>
      <c r="D71" s="14" t="n">
        <f aca="false">INDEX(TOMATO_SCHED_LABOR_HRS,A71+1)+INDEX(CARROT_SCHED_LABOR_HRS,B71+1)</f>
        <v>359.37</v>
      </c>
      <c r="E71" s="13" t="n">
        <f aca="false">IF(COUNT(F71:AJ71)=0,"",MAX(F71:AJ71))</f>
        <v>5602.12609487254</v>
      </c>
      <c r="F71" s="53" t="n">
        <f aca="false">IF(OR($A71&gt;TOMATO_BED_CAP,$B71&gt;CARROT_BED_CAP,F$4&gt;MESCLUN_BED_CAP,$A71+$B71+F$4&gt;TOTAL_BEDS_AVAILABLE,($D71+F$5)&gt;TOTAL_LABOR_HOURS_CAP,MAX(0,($D71+F$5)-PERMANENT_FIELD_LABOR_HOURS)&gt;TEMP_HOURS_CAP),"",$C71+F$6-MIN(($D71+F$5),PERMANENT_FIELD_LABOR_HOURS)*PERMANENT_HOURLY_RATE-MAX(0,($D71+F$5)-PERMANENT_FIELD_LABOR_HOURS)*TEMP_HOURLY_RATE-FIXED_SEASON_COST)</f>
        <v>-8717.3264</v>
      </c>
      <c r="G71" s="53" t="n">
        <f aca="false">IF(OR($A71&gt;TOMATO_BED_CAP,$B71&gt;CARROT_BED_CAP,G$4&gt;MESCLUN_BED_CAP,$A71+$B71+G$4&gt;TOTAL_BEDS_AVAILABLE,($D71+G$5)&gt;TOTAL_LABOR_HOURS_CAP,MAX(0,($D71+G$5)-PERMANENT_FIELD_LABOR_HOURS)&gt;TEMP_HOURS_CAP),"",$C71+G$6-MIN(($D71+G$5),PERMANENT_FIELD_LABOR_HOURS)*PERMANENT_HOURLY_RATE-MAX(0,($D71+G$5)-PERMANENT_FIELD_LABOR_HOURS)*TEMP_HOURLY_RATE-FIXED_SEASON_COST)</f>
        <v>-8479.2564</v>
      </c>
      <c r="H71" s="53" t="n">
        <f aca="false">IF(OR($A71&gt;TOMATO_BED_CAP,$B71&gt;CARROT_BED_CAP,H$4&gt;MESCLUN_BED_CAP,$A71+$B71+H$4&gt;TOTAL_BEDS_AVAILABLE,($D71+H$5)&gt;TOTAL_LABOR_HOURS_CAP,MAX(0,($D71+H$5)-PERMANENT_FIELD_LABOR_HOURS)&gt;TEMP_HOURS_CAP),"",$C71+H$6-MIN(($D71+H$5),PERMANENT_FIELD_LABOR_HOURS)*PERMANENT_HOURLY_RATE-MAX(0,($D71+H$5)-PERMANENT_FIELD_LABOR_HOURS)*TEMP_HOURLY_RATE-FIXED_SEASON_COST)</f>
        <v>-8280.73465</v>
      </c>
      <c r="I71" s="53" t="n">
        <f aca="false">IF(OR($A71&gt;TOMATO_BED_CAP,$B71&gt;CARROT_BED_CAP,I$4&gt;MESCLUN_BED_CAP,$A71+$B71+I$4&gt;TOTAL_BEDS_AVAILABLE,($D71+I$5)&gt;TOTAL_LABOR_HOURS_CAP,MAX(0,($D71+I$5)-PERMANENT_FIELD_LABOR_HOURS)&gt;TEMP_HOURS_CAP),"",$C71+I$6-MIN(($D71+I$5),PERMANENT_FIELD_LABOR_HOURS)*PERMANENT_HOURLY_RATE-MAX(0,($D71+I$5)-PERMANENT_FIELD_LABOR_HOURS)*TEMP_HOURLY_RATE-FIXED_SEASON_COST)</f>
        <v>-8122.5026796875</v>
      </c>
      <c r="J71" s="53" t="n">
        <f aca="false">IF(OR($A71&gt;TOMATO_BED_CAP,$B71&gt;CARROT_BED_CAP,J$4&gt;MESCLUN_BED_CAP,$A71+$B71+J$4&gt;TOTAL_BEDS_AVAILABLE,($D71+J$5)&gt;TOTAL_LABOR_HOURS_CAP,MAX(0,($D71+J$5)-PERMANENT_FIELD_LABOR_HOURS)&gt;TEMP_HOURS_CAP),"",$C71+J$6-MIN(($D71+J$5),PERMANENT_FIELD_LABOR_HOURS)*PERMANENT_HOURLY_RATE-MAX(0,($D71+J$5)-PERMANENT_FIELD_LABOR_HOURS)*TEMP_HOURLY_RATE-FIXED_SEASON_COST)</f>
        <v>-8005.31437757813</v>
      </c>
      <c r="K71" s="53" t="n">
        <f aca="false">IF(OR($A71&gt;TOMATO_BED_CAP,$B71&gt;CARROT_BED_CAP,K$4&gt;MESCLUN_BED_CAP,$A71+$B71+K$4&gt;TOTAL_BEDS_AVAILABLE,($D71+K$5)&gt;TOTAL_LABOR_HOURS_CAP,MAX(0,($D71+K$5)-PERMANENT_FIELD_LABOR_HOURS)&gt;TEMP_HOURS_CAP),"",$C71+K$6-MIN(($D71+K$5),PERMANENT_FIELD_LABOR_HOURS)*PERMANENT_HOURLY_RATE-MAX(0,($D71+K$5)-PERMANENT_FIELD_LABOR_HOURS)*TEMP_HOURLY_RATE-FIXED_SEASON_COST)</f>
        <v>-7929.93618412232</v>
      </c>
      <c r="L71" s="53" t="n">
        <f aca="false">IF(OR($A71&gt;TOMATO_BED_CAP,$B71&gt;CARROT_BED_CAP,L$4&gt;MESCLUN_BED_CAP,$A71+$B71+L$4&gt;TOTAL_BEDS_AVAILABLE,($D71+L$5)&gt;TOTAL_LABOR_HOURS_CAP,MAX(0,($D71+L$5)-PERMANENT_FIELD_LABOR_HOURS)&gt;TEMP_HOURS_CAP),"",$C71+L$6-MIN(($D71+L$5),PERMANENT_FIELD_LABOR_HOURS)*PERMANENT_HOURLY_RATE-MAX(0,($D71+L$5)-PERMANENT_FIELD_LABOR_HOURS)*TEMP_HOURLY_RATE-FIXED_SEASON_COST)</f>
        <v>-7897.14728770861</v>
      </c>
      <c r="M71" s="53" t="n">
        <f aca="false">IF(OR($A71&gt;TOMATO_BED_CAP,$B71&gt;CARROT_BED_CAP,M$4&gt;MESCLUN_BED_CAP,$A71+$B71+M$4&gt;TOTAL_BEDS_AVAILABLE,($D71+M$5)&gt;TOTAL_LABOR_HOURS_CAP,MAX(0,($D71+M$5)-PERMANENT_FIELD_LABOR_HOURS)&gt;TEMP_HOURS_CAP),"",$C71+M$6-MIN(($D71+M$5),PERMANENT_FIELD_LABOR_HOURS)*PERMANENT_HOURLY_RATE-MAX(0,($D71+M$5)-PERMANENT_FIELD_LABOR_HOURS)*TEMP_HOURLY_RATE-FIXED_SEASON_COST)</f>
        <v>-7907.7398236058</v>
      </c>
      <c r="N71" s="53" t="n">
        <f aca="false">IF(OR($A71&gt;TOMATO_BED_CAP,$B71&gt;CARROT_BED_CAP,N$4&gt;MESCLUN_BED_CAP,$A71+$B71+N$4&gt;TOTAL_BEDS_AVAILABLE,($D71+N$5)&gt;TOTAL_LABOR_HOURS_CAP,MAX(0,($D71+N$5)-PERMANENT_FIELD_LABOR_HOURS)&gt;TEMP_HOURS_CAP),"",$C71+N$6-MIN(($D71+N$5),PERMANENT_FIELD_LABOR_HOURS)*PERMANENT_HOURLY_RATE-MAX(0,($D71+N$5)-PERMANENT_FIELD_LABOR_HOURS)*TEMP_HOURLY_RATE-FIXED_SEASON_COST)</f>
        <v>-7320.45953794335</v>
      </c>
      <c r="O71" s="53" t="n">
        <f aca="false">IF(OR($A71&gt;TOMATO_BED_CAP,$B71&gt;CARROT_BED_CAP,O$4&gt;MESCLUN_BED_CAP,$A71+$B71+O$4&gt;TOTAL_BEDS_AVAILABLE,($D71+O$5)&gt;TOTAL_LABOR_HOURS_CAP,MAX(0,($D71+O$5)-PERMANENT_FIELD_LABOR_HOURS)&gt;TEMP_HOURS_CAP),"",$C71+O$6-MIN(($D71+O$5),PERMANENT_FIELD_LABOR_HOURS)*PERMANENT_HOURLY_RATE-MAX(0,($D71+O$5)-PERMANENT_FIELD_LABOR_HOURS)*TEMP_HOURLY_RATE-FIXED_SEASON_COST)</f>
        <v>-6460.3518411886</v>
      </c>
      <c r="P71" s="53" t="n">
        <f aca="false">IF(OR($A71&gt;TOMATO_BED_CAP,$B71&gt;CARROT_BED_CAP,P$4&gt;MESCLUN_BED_CAP,$A71+$B71+P$4&gt;TOTAL_BEDS_AVAILABLE,($D71+P$5)&gt;TOTAL_LABOR_HOURS_CAP,MAX(0,($D71+P$5)-PERMANENT_FIELD_LABOR_HOURS)&gt;TEMP_HOURS_CAP),"",$C71+P$6-MIN(($D71+P$5),PERMANENT_FIELD_LABOR_HOURS)*PERMANENT_HOURLY_RATE-MAX(0,($D71+P$5)-PERMANENT_FIELD_LABOR_HOURS)*TEMP_HOURLY_RATE-FIXED_SEASON_COST)</f>
        <v>-5623.16292133717</v>
      </c>
      <c r="Q71" s="53" t="n">
        <f aca="false">IF(OR($A71&gt;TOMATO_BED_CAP,$B71&gt;CARROT_BED_CAP,Q$4&gt;MESCLUN_BED_CAP,$A71+$B71+Q$4&gt;TOTAL_BEDS_AVAILABLE,($D71+Q$5)&gt;TOTAL_LABOR_HOURS_CAP,MAX(0,($D71+Q$5)-PERMANENT_FIELD_LABOR_HOURS)&gt;TEMP_HOURS_CAP),"",$C71+Q$6-MIN(($D71+Q$5),PERMANENT_FIELD_LABOR_HOURS)*PERMANENT_HOURLY_RATE-MAX(0,($D71+Q$5)-PERMANENT_FIELD_LABOR_HOURS)*TEMP_HOURLY_RATE-FIXED_SEASON_COST)</f>
        <v>-4809.31576463928</v>
      </c>
      <c r="R71" s="53" t="n">
        <f aca="false">IF(OR($A71&gt;TOMATO_BED_CAP,$B71&gt;CARROT_BED_CAP,R$4&gt;MESCLUN_BED_CAP,$A71+$B71+R$4&gt;TOTAL_BEDS_AVAILABLE,($D71+R$5)&gt;TOTAL_LABOR_HOURS_CAP,MAX(0,($D71+R$5)-PERMANENT_FIELD_LABOR_HOURS)&gt;TEMP_HOURS_CAP),"",$C71+R$6-MIN(($D71+R$5),PERMANENT_FIELD_LABOR_HOURS)*PERMANENT_HOURLY_RATE-MAX(0,($D71+R$5)-PERMANENT_FIELD_LABOR_HOURS)*TEMP_HOURLY_RATE-FIXED_SEASON_COST)</f>
        <v>-4019.24035094247</v>
      </c>
      <c r="S71" s="53" t="n">
        <f aca="false">IF(OR($A71&gt;TOMATO_BED_CAP,$B71&gt;CARROT_BED_CAP,S$4&gt;MESCLUN_BED_CAP,$A71+$B71+S$4&gt;TOTAL_BEDS_AVAILABLE,($D71+S$5)&gt;TOTAL_LABOR_HOURS_CAP,MAX(0,($D71+S$5)-PERMANENT_FIELD_LABOR_HOURS)&gt;TEMP_HOURS_CAP),"",$C71+S$6-MIN(($D71+S$5),PERMANENT_FIELD_LABOR_HOURS)*PERMANENT_HOURLY_RATE-MAX(0,($D71+S$5)-PERMANENT_FIELD_LABOR_HOURS)*TEMP_HOURLY_RATE-FIXED_SEASON_COST)</f>
        <v>-3253.37376244002</v>
      </c>
      <c r="T71" s="53" t="n">
        <f aca="false">IF(OR($A71&gt;TOMATO_BED_CAP,$B71&gt;CARROT_BED_CAP,T$4&gt;MESCLUN_BED_CAP,$A71+$B71+T$4&gt;TOTAL_BEDS_AVAILABLE,($D71+T$5)&gt;TOTAL_LABOR_HOURS_CAP,MAX(0,($D71+T$5)-PERMANENT_FIELD_LABOR_HOURS)&gt;TEMP_HOURS_CAP),"",$C71+T$6-MIN(($D71+T$5),PERMANENT_FIELD_LABOR_HOURS)*PERMANENT_HOURLY_RATE-MAX(0,($D71+T$5)-PERMANENT_FIELD_LABOR_HOURS)*TEMP_HOURLY_RATE-FIXED_SEASON_COST)</f>
        <v>-2512.16029404518</v>
      </c>
      <c r="U71" s="53" t="n">
        <f aca="false">IF(OR($A71&gt;TOMATO_BED_CAP,$B71&gt;CARROT_BED_CAP,U$4&gt;MESCLUN_BED_CAP,$A71+$B71+U$4&gt;TOTAL_BEDS_AVAILABLE,($D71+U$5)&gt;TOTAL_LABOR_HOURS_CAP,MAX(0,($D71+U$5)-PERMANENT_FIELD_LABOR_HOURS)&gt;TEMP_HOURS_CAP),"",$C71+U$6-MIN(($D71+U$5),PERMANENT_FIELD_LABOR_HOURS)*PERMANENT_HOURLY_RATE-MAX(0,($D71+U$5)-PERMANENT_FIELD_LABOR_HOURS)*TEMP_HOURLY_RATE-FIXED_SEASON_COST)</f>
        <v>-1796.05156541508</v>
      </c>
      <c r="V71" s="53" t="n">
        <f aca="false">IF(OR($A71&gt;TOMATO_BED_CAP,$B71&gt;CARROT_BED_CAP,V$4&gt;MESCLUN_BED_CAP,$A71+$B71+V$4&gt;TOTAL_BEDS_AVAILABLE,($D71+V$5)&gt;TOTAL_LABOR_HOURS_CAP,MAX(0,($D71+V$5)-PERMANENT_FIELD_LABOR_HOURS)&gt;TEMP_HOURS_CAP),"",$C71+V$6-MIN(($D71+V$5),PERMANENT_FIELD_LABOR_HOURS)*PERMANENT_HOURLY_RATE-MAX(0,($D71+V$5)-PERMANENT_FIELD_LABOR_HOURS)*TEMP_HOURLY_RATE-FIXED_SEASON_COST)</f>
        <v>-1105.50663464829</v>
      </c>
      <c r="W71" s="53" t="n">
        <f aca="false">IF(OR($A71&gt;TOMATO_BED_CAP,$B71&gt;CARROT_BED_CAP,W$4&gt;MESCLUN_BED_CAP,$A71+$B71+W$4&gt;TOTAL_BEDS_AVAILABLE,($D71+W$5)&gt;TOTAL_LABOR_HOURS_CAP,MAX(0,($D71+W$5)-PERMANENT_FIELD_LABOR_HOURS)&gt;TEMP_HOURS_CAP),"",$C71+W$6-MIN(($D71+W$5),PERMANENT_FIELD_LABOR_HOURS)*PERMANENT_HOURLY_RATE-MAX(0,($D71+W$5)-PERMANENT_FIELD_LABOR_HOURS)*TEMP_HOURLY_RATE-FIXED_SEASON_COST)</f>
        <v>-440.99211368023</v>
      </c>
      <c r="X71" s="53" t="n">
        <f aca="false">IF(OR($A71&gt;TOMATO_BED_CAP,$B71&gt;CARROT_BED_CAP,X$4&gt;MESCLUN_BED_CAP,$A71+$B71+X$4&gt;TOTAL_BEDS_AVAILABLE,($D71+X$5)&gt;TOTAL_LABOR_HOURS_CAP,MAX(0,($D71+X$5)-PERMANENT_FIELD_LABOR_HOURS)&gt;TEMP_HOURS_CAP),"",$C71+X$6-MIN(($D71+X$5),PERMANENT_FIELD_LABOR_HOURS)*PERMANENT_HOURLY_RATE-MAX(0,($D71+X$5)-PERMANENT_FIELD_LABOR_HOURS)*TEMP_HOURLY_RATE-FIXED_SEASON_COST)</f>
        <v>197.017714598696</v>
      </c>
      <c r="Y71" s="53" t="n">
        <f aca="false">IF(OR($A71&gt;TOMATO_BED_CAP,$B71&gt;CARROT_BED_CAP,Y$4&gt;MESCLUN_BED_CAP,$A71+$B71+Y$4&gt;TOTAL_BEDS_AVAILABLE,($D71+Y$5)&gt;TOTAL_LABOR_HOURS_CAP,MAX(0,($D71+Y$5)-PERMANENT_FIELD_LABOR_HOURS)&gt;TEMP_HOURS_CAP),"",$C71+Y$6-MIN(($D71+Y$5),PERMANENT_FIELD_LABOR_HOURS)*PERMANENT_HOURLY_RATE-MAX(0,($D71+Y$5)-PERMANENT_FIELD_LABOR_HOURS)*TEMP_HOURLY_RATE-FIXED_SEASON_COST)</f>
        <v>808.040777477359</v>
      </c>
      <c r="Z71" s="53" t="n">
        <f aca="false">IF(OR($A71&gt;TOMATO_BED_CAP,$B71&gt;CARROT_BED_CAP,Z$4&gt;MESCLUN_BED_CAP,$A71+$B71+Z$4&gt;TOTAL_BEDS_AVAILABLE,($D71+Z$5)&gt;TOTAL_LABOR_HOURS_CAP,MAX(0,($D71+Z$5)-PERMANENT_FIELD_LABOR_HOURS)&gt;TEMP_HOURS_CAP),"",$C71+Z$6-MIN(($D71+Z$5),PERMANENT_FIELD_LABOR_HOURS)*PERMANENT_HOURLY_RATE-MAX(0,($D71+Z$5)-PERMANENT_FIELD_LABOR_HOURS)*TEMP_HOURLY_RATE-FIXED_SEASON_COST)</f>
        <v>1391.58709178508</v>
      </c>
      <c r="AA71" s="53" t="n">
        <f aca="false">IF(OR($A71&gt;TOMATO_BED_CAP,$B71&gt;CARROT_BED_CAP,AA$4&gt;MESCLUN_BED_CAP,$A71+$B71+AA$4&gt;TOTAL_BEDS_AVAILABLE,($D71+AA$5)&gt;TOTAL_LABOR_HOURS_CAP,MAX(0,($D71+AA$5)-PERMANENT_FIELD_LABOR_HOURS)&gt;TEMP_HOURS_CAP),"",$C71+AA$6-MIN(($D71+AA$5),PERMANENT_FIELD_LABOR_HOURS)*PERMANENT_HOURLY_RATE-MAX(0,($D71+AA$5)-PERMANENT_FIELD_LABOR_HOURS)*TEMP_HOURLY_RATE-FIXED_SEASON_COST)</f>
        <v>1947.15864145401</v>
      </c>
      <c r="AB71" s="53" t="n">
        <f aca="false">IF(OR($A71&gt;TOMATO_BED_CAP,$B71&gt;CARROT_BED_CAP,AB$4&gt;MESCLUN_BED_CAP,$A71+$B71+AB$4&gt;TOTAL_BEDS_AVAILABLE,($D71+AB$5)&gt;TOTAL_LABOR_HOURS_CAP,MAX(0,($D71+AB$5)-PERMANENT_FIELD_LABOR_HOURS)&gt;TEMP_HOURS_CAP),"",$C71+AB$6-MIN(($D71+AB$5),PERMANENT_FIELD_LABOR_HOURS)*PERMANENT_HOURLY_RATE-MAX(0,($D71+AB$5)-PERMANENT_FIELD_LABOR_HOURS)*TEMP_HOURLY_RATE-FIXED_SEASON_COST)</f>
        <v>2474.24925325658</v>
      </c>
      <c r="AC71" s="53" t="n">
        <f aca="false">IF(OR($A71&gt;TOMATO_BED_CAP,$B71&gt;CARROT_BED_CAP,AC$4&gt;MESCLUN_BED_CAP,$A71+$B71+AC$4&gt;TOTAL_BEDS_AVAILABLE,($D71+AC$5)&gt;TOTAL_LABOR_HOURS_CAP,MAX(0,($D71+AC$5)-PERMANENT_FIELD_LABOR_HOURS)&gt;TEMP_HOURS_CAP),"",$C71+AC$6-MIN(($D71+AC$5),PERMANENT_FIELD_LABOR_HOURS)*PERMANENT_HOURLY_RATE-MAX(0,($D71+AC$5)-PERMANENT_FIELD_LABOR_HOURS)*TEMP_HOURLY_RATE-FIXED_SEASON_COST)</f>
        <v>2972.34447069149</v>
      </c>
      <c r="AD71" s="53" t="n">
        <f aca="false">IF(OR($A71&gt;TOMATO_BED_CAP,$B71&gt;CARROT_BED_CAP,AD$4&gt;MESCLUN_BED_CAP,$A71+$B71+AD$4&gt;TOTAL_BEDS_AVAILABLE,($D71+AD$5)&gt;TOTAL_LABOR_HOURS_CAP,MAX(0,($D71+AD$5)-PERMANENT_FIELD_LABOR_HOURS)&gt;TEMP_HOURS_CAP),"",$C71+AD$6-MIN(($D71+AD$5),PERMANENT_FIELD_LABOR_HOURS)*PERMANENT_HOURLY_RATE-MAX(0,($D71+AD$5)-PERMANENT_FIELD_LABOR_HOURS)*TEMP_HOURLY_RATE-FIXED_SEASON_COST)</f>
        <v>3440.92142599144</v>
      </c>
      <c r="AE71" s="53" t="n">
        <f aca="false">IF(OR($A71&gt;TOMATO_BED_CAP,$B71&gt;CARROT_BED_CAP,AE$4&gt;MESCLUN_BED_CAP,$A71+$B71+AE$4&gt;TOTAL_BEDS_AVAILABLE,($D71+AE$5)&gt;TOTAL_LABOR_HOURS_CAP,MAX(0,($D71+AE$5)-PERMANENT_FIELD_LABOR_HOURS)&gt;TEMP_HOURS_CAP),"",$C71+AE$6-MIN(($D71+AE$5),PERMANENT_FIELD_LABOR_HOURS)*PERMANENT_HOURLY_RATE-MAX(0,($D71+AE$5)-PERMANENT_FIELD_LABOR_HOURS)*TEMP_HOURLY_RATE-FIXED_SEASON_COST)</f>
        <v>3879.44871022534</v>
      </c>
      <c r="AF71" s="53" t="n">
        <f aca="false">IF(OR($A71&gt;TOMATO_BED_CAP,$B71&gt;CARROT_BED_CAP,AF$4&gt;MESCLUN_BED_CAP,$A71+$B71+AF$4&gt;TOTAL_BEDS_AVAILABLE,($D71+AF$5)&gt;TOTAL_LABOR_HOURS_CAP,MAX(0,($D71+AF$5)-PERMANENT_FIELD_LABOR_HOURS)&gt;TEMP_HOURS_CAP),"",$C71+AF$6-MIN(($D71+AF$5),PERMANENT_FIELD_LABOR_HOURS)*PERMANENT_HOURLY_RATE-MAX(0,($D71+AF$5)-PERMANENT_FIELD_LABOR_HOURS)*TEMP_HOURLY_RATE-FIXED_SEASON_COST)</f>
        <v>4287.3862414673</v>
      </c>
      <c r="AG71" s="53" t="n">
        <f aca="false">IF(OR($A71&gt;TOMATO_BED_CAP,$B71&gt;CARROT_BED_CAP,AG$4&gt;MESCLUN_BED_CAP,$A71+$B71+AG$4&gt;TOTAL_BEDS_AVAILABLE,($D71+AG$5)&gt;TOTAL_LABOR_HOURS_CAP,MAX(0,($D71+AG$5)-PERMANENT_FIELD_LABOR_HOURS)&gt;TEMP_HOURS_CAP),"",$C71+AG$6-MIN(($D71+AG$5),PERMANENT_FIELD_LABOR_HOURS)*PERMANENT_HOURLY_RATE-MAX(0,($D71+AG$5)-PERMANENT_FIELD_LABOR_HOURS)*TEMP_HOURLY_RATE-FIXED_SEASON_COST)</f>
        <v>4664.18513100431</v>
      </c>
      <c r="AH71" s="53" t="n">
        <f aca="false">IF(OR($A71&gt;TOMATO_BED_CAP,$B71&gt;CARROT_BED_CAP,AH$4&gt;MESCLUN_BED_CAP,$A71+$B71+AH$4&gt;TOTAL_BEDS_AVAILABLE,($D71+AH$5)&gt;TOTAL_LABOR_HOURS_CAP,MAX(0,($D71+AH$5)-PERMANENT_FIELD_LABOR_HOURS)&gt;TEMP_HOURS_CAP),"",$C71+AH$6-MIN(($D71+AH$5),PERMANENT_FIELD_LABOR_HOURS)*PERMANENT_HOURLY_RATE-MAX(0,($D71+AH$5)-PERMANENT_FIELD_LABOR_HOURS)*TEMP_HOURLY_RATE-FIXED_SEASON_COST)</f>
        <v>5009.28754755453</v>
      </c>
      <c r="AI71" s="53" t="n">
        <f aca="false">IF(OR($A71&gt;TOMATO_BED_CAP,$B71&gt;CARROT_BED_CAP,AI$4&gt;MESCLUN_BED_CAP,$A71+$B71+AI$4&gt;TOTAL_BEDS_AVAILABLE,($D71+AI$5)&gt;TOTAL_LABOR_HOURS_CAP,MAX(0,($D71+AI$5)-PERMANENT_FIELD_LABOR_HOURS)&gt;TEMP_HOURS_CAP),"",$C71+AI$6-MIN(($D71+AI$5),PERMANENT_FIELD_LABOR_HOURS)*PERMANENT_HOURLY_RATE-MAX(0,($D71+AI$5)-PERMANENT_FIELD_LABOR_HOURS)*TEMP_HOURLY_RATE-FIXED_SEASON_COST)</f>
        <v>5322.12657946678</v>
      </c>
      <c r="AJ71" s="53" t="n">
        <f aca="false">IF(OR($A71&gt;TOMATO_BED_CAP,$B71&gt;CARROT_BED_CAP,AJ$4&gt;MESCLUN_BED_CAP,$A71+$B71+AJ$4&gt;TOTAL_BEDS_AVAILABLE,($D71+AJ$5)&gt;TOTAL_LABOR_HOURS_CAP,MAX(0,($D71+AJ$5)-PERMANENT_FIELD_LABOR_HOURS)&gt;TEMP_HOURS_CAP),"",$C71+AJ$6-MIN(($D71+AJ$5),PERMANENT_FIELD_LABOR_HOURS)*PERMANENT_HOURLY_RATE-MAX(0,($D71+AJ$5)-PERMANENT_FIELD_LABOR_HOURS)*TEMP_HOURLY_RATE-FIXED_SEASON_COST)</f>
        <v>5602.12609487254</v>
      </c>
    </row>
    <row r="72" customFormat="false" ht="15" hidden="false" customHeight="false" outlineLevel="0" collapsed="false">
      <c r="A72" s="21" t="n">
        <f aca="false">INT((ROW()-ROW($A$8))/(20+1))</f>
        <v>3</v>
      </c>
      <c r="B72" s="21" t="n">
        <f aca="false">MOD(ROW()-ROW($A$8),20+1)</f>
        <v>1</v>
      </c>
      <c r="C72" s="13" t="n">
        <f aca="false">A72*(TOMATO_REVENUE_PER_BED-TOMATO_FERTILIZER_PER_BED)+B72*(CARROT_REVENUE_PER_BED-CARROT_FERTILIZER_PER_BED)</f>
        <v>25414</v>
      </c>
      <c r="D72" s="14" t="n">
        <f aca="false">INDEX(TOMATO_SCHED_LABOR_HRS,A72+1)+INDEX(CARROT_SCHED_LABOR_HRS,B72+1)</f>
        <v>390.1077</v>
      </c>
      <c r="E72" s="13" t="n">
        <f aca="false">IF(COUNT(F72:AJ72)=0,"",MAX(F72:AJ72))</f>
        <v>6722.51962287254</v>
      </c>
      <c r="F72" s="53" t="n">
        <f aca="false">IF(OR($A72&gt;TOMATO_BED_CAP,$B72&gt;CARROT_BED_CAP,F$4&gt;MESCLUN_BED_CAP,$A72+$B72+F$4&gt;TOTAL_BEDS_AVAILABLE,($D72+F$5)&gt;TOTAL_LABOR_HOURS_CAP,MAX(0,($D72+F$5)-PERMANENT_FIELD_LABOR_HOURS)&gt;TEMP_HOURS_CAP),"",$C72+F$6-MIN(($D72+F$5),PERMANENT_FIELD_LABOR_HOURS)*PERMANENT_HOURLY_RATE-MAX(0,($D72+F$5)-PERMANENT_FIELD_LABOR_HOURS)*TEMP_HOURLY_RATE-FIXED_SEASON_COST)</f>
        <v>-8130.539344</v>
      </c>
      <c r="G72" s="53" t="n">
        <f aca="false">IF(OR($A72&gt;TOMATO_BED_CAP,$B72&gt;CARROT_BED_CAP,G$4&gt;MESCLUN_BED_CAP,$A72+$B72+G$4&gt;TOTAL_BEDS_AVAILABLE,($D72+G$5)&gt;TOTAL_LABOR_HOURS_CAP,MAX(0,($D72+G$5)-PERMANENT_FIELD_LABOR_HOURS)&gt;TEMP_HOURS_CAP),"",$C72+G$6-MIN(($D72+G$5),PERMANENT_FIELD_LABOR_HOURS)*PERMANENT_HOURLY_RATE-MAX(0,($D72+G$5)-PERMANENT_FIELD_LABOR_HOURS)*TEMP_HOURLY_RATE-FIXED_SEASON_COST)</f>
        <v>-7892.46934400001</v>
      </c>
      <c r="H72" s="53" t="n">
        <f aca="false">IF(OR($A72&gt;TOMATO_BED_CAP,$B72&gt;CARROT_BED_CAP,H$4&gt;MESCLUN_BED_CAP,$A72+$B72+H$4&gt;TOTAL_BEDS_AVAILABLE,($D72+H$5)&gt;TOTAL_LABOR_HOURS_CAP,MAX(0,($D72+H$5)-PERMANENT_FIELD_LABOR_HOURS)&gt;TEMP_HOURS_CAP),"",$C72+H$6-MIN(($D72+H$5),PERMANENT_FIELD_LABOR_HOURS)*PERMANENT_HOURLY_RATE-MAX(0,($D72+H$5)-PERMANENT_FIELD_LABOR_HOURS)*TEMP_HOURLY_RATE-FIXED_SEASON_COST)</f>
        <v>-7693.94759400001</v>
      </c>
      <c r="I72" s="53" t="n">
        <f aca="false">IF(OR($A72&gt;TOMATO_BED_CAP,$B72&gt;CARROT_BED_CAP,I$4&gt;MESCLUN_BED_CAP,$A72+$B72+I$4&gt;TOTAL_BEDS_AVAILABLE,($D72+I$5)&gt;TOTAL_LABOR_HOURS_CAP,MAX(0,($D72+I$5)-PERMANENT_FIELD_LABOR_HOURS)&gt;TEMP_HOURS_CAP),"",$C72+I$6-MIN(($D72+I$5),PERMANENT_FIELD_LABOR_HOURS)*PERMANENT_HOURLY_RATE-MAX(0,($D72+I$5)-PERMANENT_FIELD_LABOR_HOURS)*TEMP_HOURLY_RATE-FIXED_SEASON_COST)</f>
        <v>-7535.7156236875</v>
      </c>
      <c r="J72" s="53" t="n">
        <f aca="false">IF(OR($A72&gt;TOMATO_BED_CAP,$B72&gt;CARROT_BED_CAP,J$4&gt;MESCLUN_BED_CAP,$A72+$B72+J$4&gt;TOTAL_BEDS_AVAILABLE,($D72+J$5)&gt;TOTAL_LABOR_HOURS_CAP,MAX(0,($D72+J$5)-PERMANENT_FIELD_LABOR_HOURS)&gt;TEMP_HOURS_CAP),"",$C72+J$6-MIN(($D72+J$5),PERMANENT_FIELD_LABOR_HOURS)*PERMANENT_HOURLY_RATE-MAX(0,($D72+J$5)-PERMANENT_FIELD_LABOR_HOURS)*TEMP_HOURLY_RATE-FIXED_SEASON_COST)</f>
        <v>-7418.52732157813</v>
      </c>
      <c r="K72" s="53" t="n">
        <f aca="false">IF(OR($A72&gt;TOMATO_BED_CAP,$B72&gt;CARROT_BED_CAP,K$4&gt;MESCLUN_BED_CAP,$A72+$B72+K$4&gt;TOTAL_BEDS_AVAILABLE,($D72+K$5)&gt;TOTAL_LABOR_HOURS_CAP,MAX(0,($D72+K$5)-PERMANENT_FIELD_LABOR_HOURS)&gt;TEMP_HOURS_CAP),"",$C72+K$6-MIN(($D72+K$5),PERMANENT_FIELD_LABOR_HOURS)*PERMANENT_HOURLY_RATE-MAX(0,($D72+K$5)-PERMANENT_FIELD_LABOR_HOURS)*TEMP_HOURLY_RATE-FIXED_SEASON_COST)</f>
        <v>-7343.14912812232</v>
      </c>
      <c r="L72" s="53" t="n">
        <f aca="false">IF(OR($A72&gt;TOMATO_BED_CAP,$B72&gt;CARROT_BED_CAP,L$4&gt;MESCLUN_BED_CAP,$A72+$B72+L$4&gt;TOTAL_BEDS_AVAILABLE,($D72+L$5)&gt;TOTAL_LABOR_HOURS_CAP,MAX(0,($D72+L$5)-PERMANENT_FIELD_LABOR_HOURS)&gt;TEMP_HOURS_CAP),"",$C72+L$6-MIN(($D72+L$5),PERMANENT_FIELD_LABOR_HOURS)*PERMANENT_HOURLY_RATE-MAX(0,($D72+L$5)-PERMANENT_FIELD_LABOR_HOURS)*TEMP_HOURLY_RATE-FIXED_SEASON_COST)</f>
        <v>-7310.36023170861</v>
      </c>
      <c r="M72" s="53" t="n">
        <f aca="false">IF(OR($A72&gt;TOMATO_BED_CAP,$B72&gt;CARROT_BED_CAP,M$4&gt;MESCLUN_BED_CAP,$A72+$B72+M$4&gt;TOTAL_BEDS_AVAILABLE,($D72+M$5)&gt;TOTAL_LABOR_HOURS_CAP,MAX(0,($D72+M$5)-PERMANENT_FIELD_LABOR_HOURS)&gt;TEMP_HOURS_CAP),"",$C72+M$6-MIN(($D72+M$5),PERMANENT_FIELD_LABOR_HOURS)*PERMANENT_HOURLY_RATE-MAX(0,($D72+M$5)-PERMANENT_FIELD_LABOR_HOURS)*TEMP_HOURLY_RATE-FIXED_SEASON_COST)</f>
        <v>-7082.6763838029</v>
      </c>
      <c r="N72" s="53" t="n">
        <f aca="false">IF(OR($A72&gt;TOMATO_BED_CAP,$B72&gt;CARROT_BED_CAP,N$4&gt;MESCLUN_BED_CAP,$A72+$B72+N$4&gt;TOTAL_BEDS_AVAILABLE,($D72+N$5)&gt;TOTAL_LABOR_HOURS_CAP,MAX(0,($D72+N$5)-PERMANENT_FIELD_LABOR_HOURS)&gt;TEMP_HOURS_CAP),"",$C72+N$6-MIN(($D72+N$5),PERMANENT_FIELD_LABOR_HOURS)*PERMANENT_HOURLY_RATE-MAX(0,($D72+N$5)-PERMANENT_FIELD_LABOR_HOURS)*TEMP_HOURLY_RATE-FIXED_SEASON_COST)</f>
        <v>-6200.06600994335</v>
      </c>
      <c r="O72" s="53" t="n">
        <f aca="false">IF(OR($A72&gt;TOMATO_BED_CAP,$B72&gt;CARROT_BED_CAP,O$4&gt;MESCLUN_BED_CAP,$A72+$B72+O$4&gt;TOTAL_BEDS_AVAILABLE,($D72+O$5)&gt;TOTAL_LABOR_HOURS_CAP,MAX(0,($D72+O$5)-PERMANENT_FIELD_LABOR_HOURS)&gt;TEMP_HOURS_CAP),"",$C72+O$6-MIN(($D72+O$5),PERMANENT_FIELD_LABOR_HOURS)*PERMANENT_HOURLY_RATE-MAX(0,($D72+O$5)-PERMANENT_FIELD_LABOR_HOURS)*TEMP_HOURLY_RATE-FIXED_SEASON_COST)</f>
        <v>-5339.9583131886</v>
      </c>
      <c r="P72" s="53" t="n">
        <f aca="false">IF(OR($A72&gt;TOMATO_BED_CAP,$B72&gt;CARROT_BED_CAP,P$4&gt;MESCLUN_BED_CAP,$A72+$B72+P$4&gt;TOTAL_BEDS_AVAILABLE,($D72+P$5)&gt;TOTAL_LABOR_HOURS_CAP,MAX(0,($D72+P$5)-PERMANENT_FIELD_LABOR_HOURS)&gt;TEMP_HOURS_CAP),"",$C72+P$6-MIN(($D72+P$5),PERMANENT_FIELD_LABOR_HOURS)*PERMANENT_HOURLY_RATE-MAX(0,($D72+P$5)-PERMANENT_FIELD_LABOR_HOURS)*TEMP_HOURLY_RATE-FIXED_SEASON_COST)</f>
        <v>-4502.76939333717</v>
      </c>
      <c r="Q72" s="53" t="n">
        <f aca="false">IF(OR($A72&gt;TOMATO_BED_CAP,$B72&gt;CARROT_BED_CAP,Q$4&gt;MESCLUN_BED_CAP,$A72+$B72+Q$4&gt;TOTAL_BEDS_AVAILABLE,($D72+Q$5)&gt;TOTAL_LABOR_HOURS_CAP,MAX(0,($D72+Q$5)-PERMANENT_FIELD_LABOR_HOURS)&gt;TEMP_HOURS_CAP),"",$C72+Q$6-MIN(($D72+Q$5),PERMANENT_FIELD_LABOR_HOURS)*PERMANENT_HOURLY_RATE-MAX(0,($D72+Q$5)-PERMANENT_FIELD_LABOR_HOURS)*TEMP_HOURLY_RATE-FIXED_SEASON_COST)</f>
        <v>-3688.92223663928</v>
      </c>
      <c r="R72" s="53" t="n">
        <f aca="false">IF(OR($A72&gt;TOMATO_BED_CAP,$B72&gt;CARROT_BED_CAP,R$4&gt;MESCLUN_BED_CAP,$A72+$B72+R$4&gt;TOTAL_BEDS_AVAILABLE,($D72+R$5)&gt;TOTAL_LABOR_HOURS_CAP,MAX(0,($D72+R$5)-PERMANENT_FIELD_LABOR_HOURS)&gt;TEMP_HOURS_CAP),"",$C72+R$6-MIN(($D72+R$5),PERMANENT_FIELD_LABOR_HOURS)*PERMANENT_HOURLY_RATE-MAX(0,($D72+R$5)-PERMANENT_FIELD_LABOR_HOURS)*TEMP_HOURLY_RATE-FIXED_SEASON_COST)</f>
        <v>-2898.84682294247</v>
      </c>
      <c r="S72" s="53" t="n">
        <f aca="false">IF(OR($A72&gt;TOMATO_BED_CAP,$B72&gt;CARROT_BED_CAP,S$4&gt;MESCLUN_BED_CAP,$A72+$B72+S$4&gt;TOTAL_BEDS_AVAILABLE,($D72+S$5)&gt;TOTAL_LABOR_HOURS_CAP,MAX(0,($D72+S$5)-PERMANENT_FIELD_LABOR_HOURS)&gt;TEMP_HOURS_CAP),"",$C72+S$6-MIN(($D72+S$5),PERMANENT_FIELD_LABOR_HOURS)*PERMANENT_HOURLY_RATE-MAX(0,($D72+S$5)-PERMANENT_FIELD_LABOR_HOURS)*TEMP_HOURLY_RATE-FIXED_SEASON_COST)</f>
        <v>-2132.98023444002</v>
      </c>
      <c r="T72" s="53" t="n">
        <f aca="false">IF(OR($A72&gt;TOMATO_BED_CAP,$B72&gt;CARROT_BED_CAP,T$4&gt;MESCLUN_BED_CAP,$A72+$B72+T$4&gt;TOTAL_BEDS_AVAILABLE,($D72+T$5)&gt;TOTAL_LABOR_HOURS_CAP,MAX(0,($D72+T$5)-PERMANENT_FIELD_LABOR_HOURS)&gt;TEMP_HOURS_CAP),"",$C72+T$6-MIN(($D72+T$5),PERMANENT_FIELD_LABOR_HOURS)*PERMANENT_HOURLY_RATE-MAX(0,($D72+T$5)-PERMANENT_FIELD_LABOR_HOURS)*TEMP_HOURLY_RATE-FIXED_SEASON_COST)</f>
        <v>-1391.76676604518</v>
      </c>
      <c r="U72" s="53" t="n">
        <f aca="false">IF(OR($A72&gt;TOMATO_BED_CAP,$B72&gt;CARROT_BED_CAP,U$4&gt;MESCLUN_BED_CAP,$A72+$B72+U$4&gt;TOTAL_BEDS_AVAILABLE,($D72+U$5)&gt;TOTAL_LABOR_HOURS_CAP,MAX(0,($D72+U$5)-PERMANENT_FIELD_LABOR_HOURS)&gt;TEMP_HOURS_CAP),"",$C72+U$6-MIN(($D72+U$5),PERMANENT_FIELD_LABOR_HOURS)*PERMANENT_HOURLY_RATE-MAX(0,($D72+U$5)-PERMANENT_FIELD_LABOR_HOURS)*TEMP_HOURLY_RATE-FIXED_SEASON_COST)</f>
        <v>-675.65803741508</v>
      </c>
      <c r="V72" s="53" t="n">
        <f aca="false">IF(OR($A72&gt;TOMATO_BED_CAP,$B72&gt;CARROT_BED_CAP,V$4&gt;MESCLUN_BED_CAP,$A72+$B72+V$4&gt;TOTAL_BEDS_AVAILABLE,($D72+V$5)&gt;TOTAL_LABOR_HOURS_CAP,MAX(0,($D72+V$5)-PERMANENT_FIELD_LABOR_HOURS)&gt;TEMP_HOURS_CAP),"",$C72+V$6-MIN(($D72+V$5),PERMANENT_FIELD_LABOR_HOURS)*PERMANENT_HOURLY_RATE-MAX(0,($D72+V$5)-PERMANENT_FIELD_LABOR_HOURS)*TEMP_HOURLY_RATE-FIXED_SEASON_COST)</f>
        <v>14.8868933517115</v>
      </c>
      <c r="W72" s="53" t="n">
        <f aca="false">IF(OR($A72&gt;TOMATO_BED_CAP,$B72&gt;CARROT_BED_CAP,W$4&gt;MESCLUN_BED_CAP,$A72+$B72+W$4&gt;TOTAL_BEDS_AVAILABLE,($D72+W$5)&gt;TOTAL_LABOR_HOURS_CAP,MAX(0,($D72+W$5)-PERMANENT_FIELD_LABOR_HOURS)&gt;TEMP_HOURS_CAP),"",$C72+W$6-MIN(($D72+W$5),PERMANENT_FIELD_LABOR_HOURS)*PERMANENT_HOURLY_RATE-MAX(0,($D72+W$5)-PERMANENT_FIELD_LABOR_HOURS)*TEMP_HOURLY_RATE-FIXED_SEASON_COST)</f>
        <v>679.401414319771</v>
      </c>
      <c r="X72" s="53" t="n">
        <f aca="false">IF(OR($A72&gt;TOMATO_BED_CAP,$B72&gt;CARROT_BED_CAP,X$4&gt;MESCLUN_BED_CAP,$A72+$B72+X$4&gt;TOTAL_BEDS_AVAILABLE,($D72+X$5)&gt;TOTAL_LABOR_HOURS_CAP,MAX(0,($D72+X$5)-PERMANENT_FIELD_LABOR_HOURS)&gt;TEMP_HOURS_CAP),"",$C72+X$6-MIN(($D72+X$5),PERMANENT_FIELD_LABOR_HOURS)*PERMANENT_HOURLY_RATE-MAX(0,($D72+X$5)-PERMANENT_FIELD_LABOR_HOURS)*TEMP_HOURLY_RATE-FIXED_SEASON_COST)</f>
        <v>1317.4112425987</v>
      </c>
      <c r="Y72" s="53" t="n">
        <f aca="false">IF(OR($A72&gt;TOMATO_BED_CAP,$B72&gt;CARROT_BED_CAP,Y$4&gt;MESCLUN_BED_CAP,$A72+$B72+Y$4&gt;TOTAL_BEDS_AVAILABLE,($D72+Y$5)&gt;TOTAL_LABOR_HOURS_CAP,MAX(0,($D72+Y$5)-PERMANENT_FIELD_LABOR_HOURS)&gt;TEMP_HOURS_CAP),"",$C72+Y$6-MIN(($D72+Y$5),PERMANENT_FIELD_LABOR_HOURS)*PERMANENT_HOURLY_RATE-MAX(0,($D72+Y$5)-PERMANENT_FIELD_LABOR_HOURS)*TEMP_HOURLY_RATE-FIXED_SEASON_COST)</f>
        <v>1928.43430547736</v>
      </c>
      <c r="Z72" s="53" t="n">
        <f aca="false">IF(OR($A72&gt;TOMATO_BED_CAP,$B72&gt;CARROT_BED_CAP,Z$4&gt;MESCLUN_BED_CAP,$A72+$B72+Z$4&gt;TOTAL_BEDS_AVAILABLE,($D72+Z$5)&gt;TOTAL_LABOR_HOURS_CAP,MAX(0,($D72+Z$5)-PERMANENT_FIELD_LABOR_HOURS)&gt;TEMP_HOURS_CAP),"",$C72+Z$6-MIN(($D72+Z$5),PERMANENT_FIELD_LABOR_HOURS)*PERMANENT_HOURLY_RATE-MAX(0,($D72+Z$5)-PERMANENT_FIELD_LABOR_HOURS)*TEMP_HOURLY_RATE-FIXED_SEASON_COST)</f>
        <v>2511.98061978508</v>
      </c>
      <c r="AA72" s="53" t="n">
        <f aca="false">IF(OR($A72&gt;TOMATO_BED_CAP,$B72&gt;CARROT_BED_CAP,AA$4&gt;MESCLUN_BED_CAP,$A72+$B72+AA$4&gt;TOTAL_BEDS_AVAILABLE,($D72+AA$5)&gt;TOTAL_LABOR_HOURS_CAP,MAX(0,($D72+AA$5)-PERMANENT_FIELD_LABOR_HOURS)&gt;TEMP_HOURS_CAP),"",$C72+AA$6-MIN(($D72+AA$5),PERMANENT_FIELD_LABOR_HOURS)*PERMANENT_HOURLY_RATE-MAX(0,($D72+AA$5)-PERMANENT_FIELD_LABOR_HOURS)*TEMP_HOURLY_RATE-FIXED_SEASON_COST)</f>
        <v>3067.55216945402</v>
      </c>
      <c r="AB72" s="53" t="n">
        <f aca="false">IF(OR($A72&gt;TOMATO_BED_CAP,$B72&gt;CARROT_BED_CAP,AB$4&gt;MESCLUN_BED_CAP,$A72+$B72+AB$4&gt;TOTAL_BEDS_AVAILABLE,($D72+AB$5)&gt;TOTAL_LABOR_HOURS_CAP,MAX(0,($D72+AB$5)-PERMANENT_FIELD_LABOR_HOURS)&gt;TEMP_HOURS_CAP),"",$C72+AB$6-MIN(($D72+AB$5),PERMANENT_FIELD_LABOR_HOURS)*PERMANENT_HOURLY_RATE-MAX(0,($D72+AB$5)-PERMANENT_FIELD_LABOR_HOURS)*TEMP_HOURLY_RATE-FIXED_SEASON_COST)</f>
        <v>3594.64278125658</v>
      </c>
      <c r="AC72" s="53" t="n">
        <f aca="false">IF(OR($A72&gt;TOMATO_BED_CAP,$B72&gt;CARROT_BED_CAP,AC$4&gt;MESCLUN_BED_CAP,$A72+$B72+AC$4&gt;TOTAL_BEDS_AVAILABLE,($D72+AC$5)&gt;TOTAL_LABOR_HOURS_CAP,MAX(0,($D72+AC$5)-PERMANENT_FIELD_LABOR_HOURS)&gt;TEMP_HOURS_CAP),"",$C72+AC$6-MIN(($D72+AC$5),PERMANENT_FIELD_LABOR_HOURS)*PERMANENT_HOURLY_RATE-MAX(0,($D72+AC$5)-PERMANENT_FIELD_LABOR_HOURS)*TEMP_HOURLY_RATE-FIXED_SEASON_COST)</f>
        <v>4092.73799869148</v>
      </c>
      <c r="AD72" s="53" t="n">
        <f aca="false">IF(OR($A72&gt;TOMATO_BED_CAP,$B72&gt;CARROT_BED_CAP,AD$4&gt;MESCLUN_BED_CAP,$A72+$B72+AD$4&gt;TOTAL_BEDS_AVAILABLE,($D72+AD$5)&gt;TOTAL_LABOR_HOURS_CAP,MAX(0,($D72+AD$5)-PERMANENT_FIELD_LABOR_HOURS)&gt;TEMP_HOURS_CAP),"",$C72+AD$6-MIN(($D72+AD$5),PERMANENT_FIELD_LABOR_HOURS)*PERMANENT_HOURLY_RATE-MAX(0,($D72+AD$5)-PERMANENT_FIELD_LABOR_HOURS)*TEMP_HOURLY_RATE-FIXED_SEASON_COST)</f>
        <v>4561.31495399144</v>
      </c>
      <c r="AE72" s="53" t="n">
        <f aca="false">IF(OR($A72&gt;TOMATO_BED_CAP,$B72&gt;CARROT_BED_CAP,AE$4&gt;MESCLUN_BED_CAP,$A72+$B72+AE$4&gt;TOTAL_BEDS_AVAILABLE,($D72+AE$5)&gt;TOTAL_LABOR_HOURS_CAP,MAX(0,($D72+AE$5)-PERMANENT_FIELD_LABOR_HOURS)&gt;TEMP_HOURS_CAP),"",$C72+AE$6-MIN(($D72+AE$5),PERMANENT_FIELD_LABOR_HOURS)*PERMANENT_HOURLY_RATE-MAX(0,($D72+AE$5)-PERMANENT_FIELD_LABOR_HOURS)*TEMP_HOURLY_RATE-FIXED_SEASON_COST)</f>
        <v>4999.84223822535</v>
      </c>
      <c r="AF72" s="53" t="n">
        <f aca="false">IF(OR($A72&gt;TOMATO_BED_CAP,$B72&gt;CARROT_BED_CAP,AF$4&gt;MESCLUN_BED_CAP,$A72+$B72+AF$4&gt;TOTAL_BEDS_AVAILABLE,($D72+AF$5)&gt;TOTAL_LABOR_HOURS_CAP,MAX(0,($D72+AF$5)-PERMANENT_FIELD_LABOR_HOURS)&gt;TEMP_HOURS_CAP),"",$C72+AF$6-MIN(($D72+AF$5),PERMANENT_FIELD_LABOR_HOURS)*PERMANENT_HOURLY_RATE-MAX(0,($D72+AF$5)-PERMANENT_FIELD_LABOR_HOURS)*TEMP_HOURLY_RATE-FIXED_SEASON_COST)</f>
        <v>5407.77976946729</v>
      </c>
      <c r="AG72" s="53" t="n">
        <f aca="false">IF(OR($A72&gt;TOMATO_BED_CAP,$B72&gt;CARROT_BED_CAP,AG$4&gt;MESCLUN_BED_CAP,$A72+$B72+AG$4&gt;TOTAL_BEDS_AVAILABLE,($D72+AG$5)&gt;TOTAL_LABOR_HOURS_CAP,MAX(0,($D72+AG$5)-PERMANENT_FIELD_LABOR_HOURS)&gt;TEMP_HOURS_CAP),"",$C72+AG$6-MIN(($D72+AG$5),PERMANENT_FIELD_LABOR_HOURS)*PERMANENT_HOURLY_RATE-MAX(0,($D72+AG$5)-PERMANENT_FIELD_LABOR_HOURS)*TEMP_HOURLY_RATE-FIXED_SEASON_COST)</f>
        <v>5784.57865900431</v>
      </c>
      <c r="AH72" s="53" t="n">
        <f aca="false">IF(OR($A72&gt;TOMATO_BED_CAP,$B72&gt;CARROT_BED_CAP,AH$4&gt;MESCLUN_BED_CAP,$A72+$B72+AH$4&gt;TOTAL_BEDS_AVAILABLE,($D72+AH$5)&gt;TOTAL_LABOR_HOURS_CAP,MAX(0,($D72+AH$5)-PERMANENT_FIELD_LABOR_HOURS)&gt;TEMP_HOURS_CAP),"",$C72+AH$6-MIN(($D72+AH$5),PERMANENT_FIELD_LABOR_HOURS)*PERMANENT_HOURLY_RATE-MAX(0,($D72+AH$5)-PERMANENT_FIELD_LABOR_HOURS)*TEMP_HOURLY_RATE-FIXED_SEASON_COST)</f>
        <v>6129.68107555453</v>
      </c>
      <c r="AI72" s="53" t="n">
        <f aca="false">IF(OR($A72&gt;TOMATO_BED_CAP,$B72&gt;CARROT_BED_CAP,AI$4&gt;MESCLUN_BED_CAP,$A72+$B72+AI$4&gt;TOTAL_BEDS_AVAILABLE,($D72+AI$5)&gt;TOTAL_LABOR_HOURS_CAP,MAX(0,($D72+AI$5)-PERMANENT_FIELD_LABOR_HOURS)&gt;TEMP_HOURS_CAP),"",$C72+AI$6-MIN(($D72+AI$5),PERMANENT_FIELD_LABOR_HOURS)*PERMANENT_HOURLY_RATE-MAX(0,($D72+AI$5)-PERMANENT_FIELD_LABOR_HOURS)*TEMP_HOURLY_RATE-FIXED_SEASON_COST)</f>
        <v>6442.52010746679</v>
      </c>
      <c r="AJ72" s="53" t="n">
        <f aca="false">IF(OR($A72&gt;TOMATO_BED_CAP,$B72&gt;CARROT_BED_CAP,AJ$4&gt;MESCLUN_BED_CAP,$A72+$B72+AJ$4&gt;TOTAL_BEDS_AVAILABLE,($D72+AJ$5)&gt;TOTAL_LABOR_HOURS_CAP,MAX(0,($D72+AJ$5)-PERMANENT_FIELD_LABOR_HOURS)&gt;TEMP_HOURS_CAP),"",$C72+AJ$6-MIN(($D72+AJ$5),PERMANENT_FIELD_LABOR_HOURS)*PERMANENT_HOURLY_RATE-MAX(0,($D72+AJ$5)-PERMANENT_FIELD_LABOR_HOURS)*TEMP_HOURLY_RATE-FIXED_SEASON_COST)</f>
        <v>6722.51962287254</v>
      </c>
    </row>
    <row r="73" customFormat="false" ht="15" hidden="false" customHeight="false" outlineLevel="0" collapsed="false">
      <c r="A73" s="21" t="n">
        <f aca="false">INT((ROW()-ROW($A$8))/(20+1))</f>
        <v>3</v>
      </c>
      <c r="B73" s="21" t="n">
        <f aca="false">MOD(ROW()-ROW($A$8),20+1)</f>
        <v>2</v>
      </c>
      <c r="C73" s="13" t="n">
        <f aca="false">A73*(TOMATO_REVENUE_PER_BED-TOMATO_FERTILIZER_PER_BED)+B73*(CARROT_REVENUE_PER_BED-CARROT_FERTILIZER_PER_BED)</f>
        <v>27068</v>
      </c>
      <c r="D73" s="14" t="n">
        <f aca="false">INDEX(TOMATO_SCHED_LABOR_HRS,A73+1)+INDEX(CARROT_SCHED_LABOR_HRS,B73+1)</f>
        <v>422.382285</v>
      </c>
      <c r="E73" s="13" t="n">
        <f aca="false">IF(COUNT(F73:AJ73)=0,"",MAX(F73:AJ73))</f>
        <v>7816.23282727254</v>
      </c>
      <c r="F73" s="53" t="n">
        <f aca="false">IF(OR($A73&gt;TOMATO_BED_CAP,$B73&gt;CARROT_BED_CAP,F$4&gt;MESCLUN_BED_CAP,$A73+$B73+F$4&gt;TOTAL_BEDS_AVAILABLE,($D73+F$5)&gt;TOTAL_LABOR_HOURS_CAP,MAX(0,($D73+F$5)-PERMANENT_FIELD_LABOR_HOURS)&gt;TEMP_HOURS_CAP),"",$C73+F$6-MIN(($D73+F$5),PERMANENT_FIELD_LABOR_HOURS)*PERMANENT_HOURLY_RATE-MAX(0,($D73+F$5)-PERMANENT_FIELD_LABOR_HOURS)*TEMP_HOURLY_RATE-FIXED_SEASON_COST)</f>
        <v>-7597.1129352</v>
      </c>
      <c r="G73" s="53" t="n">
        <f aca="false">IF(OR($A73&gt;TOMATO_BED_CAP,$B73&gt;CARROT_BED_CAP,G$4&gt;MESCLUN_BED_CAP,$A73+$B73+G$4&gt;TOTAL_BEDS_AVAILABLE,($D73+G$5)&gt;TOTAL_LABOR_HOURS_CAP,MAX(0,($D73+G$5)-PERMANENT_FIELD_LABOR_HOURS)&gt;TEMP_HOURS_CAP),"",$C73+G$6-MIN(($D73+G$5),PERMANENT_FIELD_LABOR_HOURS)*PERMANENT_HOURLY_RATE-MAX(0,($D73+G$5)-PERMANENT_FIELD_LABOR_HOURS)*TEMP_HOURLY_RATE-FIXED_SEASON_COST)</f>
        <v>-7359.04293520001</v>
      </c>
      <c r="H73" s="53" t="n">
        <f aca="false">IF(OR($A73&gt;TOMATO_BED_CAP,$B73&gt;CARROT_BED_CAP,H$4&gt;MESCLUN_BED_CAP,$A73+$B73+H$4&gt;TOTAL_BEDS_AVAILABLE,($D73+H$5)&gt;TOTAL_LABOR_HOURS_CAP,MAX(0,($D73+H$5)-PERMANENT_FIELD_LABOR_HOURS)&gt;TEMP_HOURS_CAP),"",$C73+H$6-MIN(($D73+H$5),PERMANENT_FIELD_LABOR_HOURS)*PERMANENT_HOURLY_RATE-MAX(0,($D73+H$5)-PERMANENT_FIELD_LABOR_HOURS)*TEMP_HOURLY_RATE-FIXED_SEASON_COST)</f>
        <v>-7160.52118520001</v>
      </c>
      <c r="I73" s="53" t="n">
        <f aca="false">IF(OR($A73&gt;TOMATO_BED_CAP,$B73&gt;CARROT_BED_CAP,I$4&gt;MESCLUN_BED_CAP,$A73+$B73+I$4&gt;TOTAL_BEDS_AVAILABLE,($D73+I$5)&gt;TOTAL_LABOR_HOURS_CAP,MAX(0,($D73+I$5)-PERMANENT_FIELD_LABOR_HOURS)&gt;TEMP_HOURS_CAP),"",$C73+I$6-MIN(($D73+I$5),PERMANENT_FIELD_LABOR_HOURS)*PERMANENT_HOURLY_RATE-MAX(0,($D73+I$5)-PERMANENT_FIELD_LABOR_HOURS)*TEMP_HOURLY_RATE-FIXED_SEASON_COST)</f>
        <v>-7002.2892148875</v>
      </c>
      <c r="J73" s="53" t="n">
        <f aca="false">IF(OR($A73&gt;TOMATO_BED_CAP,$B73&gt;CARROT_BED_CAP,J$4&gt;MESCLUN_BED_CAP,$A73+$B73+J$4&gt;TOTAL_BEDS_AVAILABLE,($D73+J$5)&gt;TOTAL_LABOR_HOURS_CAP,MAX(0,($D73+J$5)-PERMANENT_FIELD_LABOR_HOURS)&gt;TEMP_HOURS_CAP),"",$C73+J$6-MIN(($D73+J$5),PERMANENT_FIELD_LABOR_HOURS)*PERMANENT_HOURLY_RATE-MAX(0,($D73+J$5)-PERMANENT_FIELD_LABOR_HOURS)*TEMP_HOURLY_RATE-FIXED_SEASON_COST)</f>
        <v>-6885.10091277813</v>
      </c>
      <c r="K73" s="53" t="n">
        <f aca="false">IF(OR($A73&gt;TOMATO_BED_CAP,$B73&gt;CARROT_BED_CAP,K$4&gt;MESCLUN_BED_CAP,$A73+$B73+K$4&gt;TOTAL_BEDS_AVAILABLE,($D73+K$5)&gt;TOTAL_LABOR_HOURS_CAP,MAX(0,($D73+K$5)-PERMANENT_FIELD_LABOR_HOURS)&gt;TEMP_HOURS_CAP),"",$C73+K$6-MIN(($D73+K$5),PERMANENT_FIELD_LABOR_HOURS)*PERMANENT_HOURLY_RATE-MAX(0,($D73+K$5)-PERMANENT_FIELD_LABOR_HOURS)*TEMP_HOURLY_RATE-FIXED_SEASON_COST)</f>
        <v>-6809.72271932232</v>
      </c>
      <c r="L73" s="53" t="n">
        <f aca="false">IF(OR($A73&gt;TOMATO_BED_CAP,$B73&gt;CARROT_BED_CAP,L$4&gt;MESCLUN_BED_CAP,$A73+$B73+L$4&gt;TOTAL_BEDS_AVAILABLE,($D73+L$5)&gt;TOTAL_LABOR_HOURS_CAP,MAX(0,($D73+L$5)-PERMANENT_FIELD_LABOR_HOURS)&gt;TEMP_HOURS_CAP),"",$C73+L$6-MIN(($D73+L$5),PERMANENT_FIELD_LABOR_HOURS)*PERMANENT_HOURLY_RATE-MAX(0,($D73+L$5)-PERMANENT_FIELD_LABOR_HOURS)*TEMP_HOURLY_RATE-FIXED_SEASON_COST)</f>
        <v>-6776.93382290861</v>
      </c>
      <c r="M73" s="53" t="n">
        <f aca="false">IF(OR($A73&gt;TOMATO_BED_CAP,$B73&gt;CARROT_BED_CAP,M$4&gt;MESCLUN_BED_CAP,$A73+$B73+M$4&gt;TOTAL_BEDS_AVAILABLE,($D73+M$5)&gt;TOTAL_LABOR_HOURS_CAP,MAX(0,($D73+M$5)-PERMANENT_FIELD_LABOR_HOURS)&gt;TEMP_HOURS_CAP),"",$C73+M$6-MIN(($D73+M$5),PERMANENT_FIELD_LABOR_HOURS)*PERMANENT_HOURLY_RATE-MAX(0,($D73+M$5)-PERMANENT_FIELD_LABOR_HOURS)*TEMP_HOURLY_RATE-FIXED_SEASON_COST)</f>
        <v>-5988.9631794029</v>
      </c>
      <c r="N73" s="53" t="n">
        <f aca="false">IF(OR($A73&gt;TOMATO_BED_CAP,$B73&gt;CARROT_BED_CAP,N$4&gt;MESCLUN_BED_CAP,$A73+$B73+N$4&gt;TOTAL_BEDS_AVAILABLE,($D73+N$5)&gt;TOTAL_LABOR_HOURS_CAP,MAX(0,($D73+N$5)-PERMANENT_FIELD_LABOR_HOURS)&gt;TEMP_HOURS_CAP),"",$C73+N$6-MIN(($D73+N$5),PERMANENT_FIELD_LABOR_HOURS)*PERMANENT_HOURLY_RATE-MAX(0,($D73+N$5)-PERMANENT_FIELD_LABOR_HOURS)*TEMP_HOURLY_RATE-FIXED_SEASON_COST)</f>
        <v>-5106.35280554335</v>
      </c>
      <c r="O73" s="53" t="n">
        <f aca="false">IF(OR($A73&gt;TOMATO_BED_CAP,$B73&gt;CARROT_BED_CAP,O$4&gt;MESCLUN_BED_CAP,$A73+$B73+O$4&gt;TOTAL_BEDS_AVAILABLE,($D73+O$5)&gt;TOTAL_LABOR_HOURS_CAP,MAX(0,($D73+O$5)-PERMANENT_FIELD_LABOR_HOURS)&gt;TEMP_HOURS_CAP),"",$C73+O$6-MIN(($D73+O$5),PERMANENT_FIELD_LABOR_HOURS)*PERMANENT_HOURLY_RATE-MAX(0,($D73+O$5)-PERMANENT_FIELD_LABOR_HOURS)*TEMP_HOURLY_RATE-FIXED_SEASON_COST)</f>
        <v>-4246.2451087886</v>
      </c>
      <c r="P73" s="53" t="n">
        <f aca="false">IF(OR($A73&gt;TOMATO_BED_CAP,$B73&gt;CARROT_BED_CAP,P$4&gt;MESCLUN_BED_CAP,$A73+$B73+P$4&gt;TOTAL_BEDS_AVAILABLE,($D73+P$5)&gt;TOTAL_LABOR_HOURS_CAP,MAX(0,($D73+P$5)-PERMANENT_FIELD_LABOR_HOURS)&gt;TEMP_HOURS_CAP),"",$C73+P$6-MIN(($D73+P$5),PERMANENT_FIELD_LABOR_HOURS)*PERMANENT_HOURLY_RATE-MAX(0,($D73+P$5)-PERMANENT_FIELD_LABOR_HOURS)*TEMP_HOURLY_RATE-FIXED_SEASON_COST)</f>
        <v>-3409.05618893717</v>
      </c>
      <c r="Q73" s="53" t="n">
        <f aca="false">IF(OR($A73&gt;TOMATO_BED_CAP,$B73&gt;CARROT_BED_CAP,Q$4&gt;MESCLUN_BED_CAP,$A73+$B73+Q$4&gt;TOTAL_BEDS_AVAILABLE,($D73+Q$5)&gt;TOTAL_LABOR_HOURS_CAP,MAX(0,($D73+Q$5)-PERMANENT_FIELD_LABOR_HOURS)&gt;TEMP_HOURS_CAP),"",$C73+Q$6-MIN(($D73+Q$5),PERMANENT_FIELD_LABOR_HOURS)*PERMANENT_HOURLY_RATE-MAX(0,($D73+Q$5)-PERMANENT_FIELD_LABOR_HOURS)*TEMP_HOURLY_RATE-FIXED_SEASON_COST)</f>
        <v>-2595.20903223928</v>
      </c>
      <c r="R73" s="53" t="n">
        <f aca="false">IF(OR($A73&gt;TOMATO_BED_CAP,$B73&gt;CARROT_BED_CAP,R$4&gt;MESCLUN_BED_CAP,$A73+$B73+R$4&gt;TOTAL_BEDS_AVAILABLE,($D73+R$5)&gt;TOTAL_LABOR_HOURS_CAP,MAX(0,($D73+R$5)-PERMANENT_FIELD_LABOR_HOURS)&gt;TEMP_HOURS_CAP),"",$C73+R$6-MIN(($D73+R$5),PERMANENT_FIELD_LABOR_HOURS)*PERMANENT_HOURLY_RATE-MAX(0,($D73+R$5)-PERMANENT_FIELD_LABOR_HOURS)*TEMP_HOURLY_RATE-FIXED_SEASON_COST)</f>
        <v>-1805.13361854247</v>
      </c>
      <c r="S73" s="53" t="n">
        <f aca="false">IF(OR($A73&gt;TOMATO_BED_CAP,$B73&gt;CARROT_BED_CAP,S$4&gt;MESCLUN_BED_CAP,$A73+$B73+S$4&gt;TOTAL_BEDS_AVAILABLE,($D73+S$5)&gt;TOTAL_LABOR_HOURS_CAP,MAX(0,($D73+S$5)-PERMANENT_FIELD_LABOR_HOURS)&gt;TEMP_HOURS_CAP),"",$C73+S$6-MIN(($D73+S$5),PERMANENT_FIELD_LABOR_HOURS)*PERMANENT_HOURLY_RATE-MAX(0,($D73+S$5)-PERMANENT_FIELD_LABOR_HOURS)*TEMP_HOURLY_RATE-FIXED_SEASON_COST)</f>
        <v>-1039.26703004003</v>
      </c>
      <c r="T73" s="53" t="n">
        <f aca="false">IF(OR($A73&gt;TOMATO_BED_CAP,$B73&gt;CARROT_BED_CAP,T$4&gt;MESCLUN_BED_CAP,$A73+$B73+T$4&gt;TOTAL_BEDS_AVAILABLE,($D73+T$5)&gt;TOTAL_LABOR_HOURS_CAP,MAX(0,($D73+T$5)-PERMANENT_FIELD_LABOR_HOURS)&gt;TEMP_HOURS_CAP),"",$C73+T$6-MIN(($D73+T$5),PERMANENT_FIELD_LABOR_HOURS)*PERMANENT_HOURLY_RATE-MAX(0,($D73+T$5)-PERMANENT_FIELD_LABOR_HOURS)*TEMP_HOURLY_RATE-FIXED_SEASON_COST)</f>
        <v>-298.053561645182</v>
      </c>
      <c r="U73" s="53" t="n">
        <f aca="false">IF(OR($A73&gt;TOMATO_BED_CAP,$B73&gt;CARROT_BED_CAP,U$4&gt;MESCLUN_BED_CAP,$A73+$B73+U$4&gt;TOTAL_BEDS_AVAILABLE,($D73+U$5)&gt;TOTAL_LABOR_HOURS_CAP,MAX(0,($D73+U$5)-PERMANENT_FIELD_LABOR_HOURS)&gt;TEMP_HOURS_CAP),"",$C73+U$6-MIN(($D73+U$5),PERMANENT_FIELD_LABOR_HOURS)*PERMANENT_HOURLY_RATE-MAX(0,($D73+U$5)-PERMANENT_FIELD_LABOR_HOURS)*TEMP_HOURLY_RATE-FIXED_SEASON_COST)</f>
        <v>418.055166984919</v>
      </c>
      <c r="V73" s="53" t="n">
        <f aca="false">IF(OR($A73&gt;TOMATO_BED_CAP,$B73&gt;CARROT_BED_CAP,V$4&gt;MESCLUN_BED_CAP,$A73+$B73+V$4&gt;TOTAL_BEDS_AVAILABLE,($D73+V$5)&gt;TOTAL_LABOR_HOURS_CAP,MAX(0,($D73+V$5)-PERMANENT_FIELD_LABOR_HOURS)&gt;TEMP_HOURS_CAP),"",$C73+V$6-MIN(($D73+V$5),PERMANENT_FIELD_LABOR_HOURS)*PERMANENT_HOURLY_RATE-MAX(0,($D73+V$5)-PERMANENT_FIELD_LABOR_HOURS)*TEMP_HOURLY_RATE-FIXED_SEASON_COST)</f>
        <v>1108.60009775171</v>
      </c>
      <c r="W73" s="53" t="n">
        <f aca="false">IF(OR($A73&gt;TOMATO_BED_CAP,$B73&gt;CARROT_BED_CAP,W$4&gt;MESCLUN_BED_CAP,$A73+$B73+W$4&gt;TOTAL_BEDS_AVAILABLE,($D73+W$5)&gt;TOTAL_LABOR_HOURS_CAP,MAX(0,($D73+W$5)-PERMANENT_FIELD_LABOR_HOURS)&gt;TEMP_HOURS_CAP),"",$C73+W$6-MIN(($D73+W$5),PERMANENT_FIELD_LABOR_HOURS)*PERMANENT_HOURLY_RATE-MAX(0,($D73+W$5)-PERMANENT_FIELD_LABOR_HOURS)*TEMP_HOURLY_RATE-FIXED_SEASON_COST)</f>
        <v>1773.11461871977</v>
      </c>
      <c r="X73" s="53" t="n">
        <f aca="false">IF(OR($A73&gt;TOMATO_BED_CAP,$B73&gt;CARROT_BED_CAP,X$4&gt;MESCLUN_BED_CAP,$A73+$B73+X$4&gt;TOTAL_BEDS_AVAILABLE,($D73+X$5)&gt;TOTAL_LABOR_HOURS_CAP,MAX(0,($D73+X$5)-PERMANENT_FIELD_LABOR_HOURS)&gt;TEMP_HOURS_CAP),"",$C73+X$6-MIN(($D73+X$5),PERMANENT_FIELD_LABOR_HOURS)*PERMANENT_HOURLY_RATE-MAX(0,($D73+X$5)-PERMANENT_FIELD_LABOR_HOURS)*TEMP_HOURLY_RATE-FIXED_SEASON_COST)</f>
        <v>2411.1244469987</v>
      </c>
      <c r="Y73" s="53" t="n">
        <f aca="false">IF(OR($A73&gt;TOMATO_BED_CAP,$B73&gt;CARROT_BED_CAP,Y$4&gt;MESCLUN_BED_CAP,$A73+$B73+Y$4&gt;TOTAL_BEDS_AVAILABLE,($D73+Y$5)&gt;TOTAL_LABOR_HOURS_CAP,MAX(0,($D73+Y$5)-PERMANENT_FIELD_LABOR_HOURS)&gt;TEMP_HOURS_CAP),"",$C73+Y$6-MIN(($D73+Y$5),PERMANENT_FIELD_LABOR_HOURS)*PERMANENT_HOURLY_RATE-MAX(0,($D73+Y$5)-PERMANENT_FIELD_LABOR_HOURS)*TEMP_HOURLY_RATE-FIXED_SEASON_COST)</f>
        <v>3022.14750987736</v>
      </c>
      <c r="Z73" s="53" t="n">
        <f aca="false">IF(OR($A73&gt;TOMATO_BED_CAP,$B73&gt;CARROT_BED_CAP,Z$4&gt;MESCLUN_BED_CAP,$A73+$B73+Z$4&gt;TOTAL_BEDS_AVAILABLE,($D73+Z$5)&gt;TOTAL_LABOR_HOURS_CAP,MAX(0,($D73+Z$5)-PERMANENT_FIELD_LABOR_HOURS)&gt;TEMP_HOURS_CAP),"",$C73+Z$6-MIN(($D73+Z$5),PERMANENT_FIELD_LABOR_HOURS)*PERMANENT_HOURLY_RATE-MAX(0,($D73+Z$5)-PERMANENT_FIELD_LABOR_HOURS)*TEMP_HOURLY_RATE-FIXED_SEASON_COST)</f>
        <v>3605.69382418508</v>
      </c>
      <c r="AA73" s="53" t="n">
        <f aca="false">IF(OR($A73&gt;TOMATO_BED_CAP,$B73&gt;CARROT_BED_CAP,AA$4&gt;MESCLUN_BED_CAP,$A73+$B73+AA$4&gt;TOTAL_BEDS_AVAILABLE,($D73+AA$5)&gt;TOTAL_LABOR_HOURS_CAP,MAX(0,($D73+AA$5)-PERMANENT_FIELD_LABOR_HOURS)&gt;TEMP_HOURS_CAP),"",$C73+AA$6-MIN(($D73+AA$5),PERMANENT_FIELD_LABOR_HOURS)*PERMANENT_HOURLY_RATE-MAX(0,($D73+AA$5)-PERMANENT_FIELD_LABOR_HOURS)*TEMP_HOURLY_RATE-FIXED_SEASON_COST)</f>
        <v>4161.26537385402</v>
      </c>
      <c r="AB73" s="53" t="n">
        <f aca="false">IF(OR($A73&gt;TOMATO_BED_CAP,$B73&gt;CARROT_BED_CAP,AB$4&gt;MESCLUN_BED_CAP,$A73+$B73+AB$4&gt;TOTAL_BEDS_AVAILABLE,($D73+AB$5)&gt;TOTAL_LABOR_HOURS_CAP,MAX(0,($D73+AB$5)-PERMANENT_FIELD_LABOR_HOURS)&gt;TEMP_HOURS_CAP),"",$C73+AB$6-MIN(($D73+AB$5),PERMANENT_FIELD_LABOR_HOURS)*PERMANENT_HOURLY_RATE-MAX(0,($D73+AB$5)-PERMANENT_FIELD_LABOR_HOURS)*TEMP_HOURLY_RATE-FIXED_SEASON_COST)</f>
        <v>4688.35598565658</v>
      </c>
      <c r="AC73" s="53" t="n">
        <f aca="false">IF(OR($A73&gt;TOMATO_BED_CAP,$B73&gt;CARROT_BED_CAP,AC$4&gt;MESCLUN_BED_CAP,$A73+$B73+AC$4&gt;TOTAL_BEDS_AVAILABLE,($D73+AC$5)&gt;TOTAL_LABOR_HOURS_CAP,MAX(0,($D73+AC$5)-PERMANENT_FIELD_LABOR_HOURS)&gt;TEMP_HOURS_CAP),"",$C73+AC$6-MIN(($D73+AC$5),PERMANENT_FIELD_LABOR_HOURS)*PERMANENT_HOURLY_RATE-MAX(0,($D73+AC$5)-PERMANENT_FIELD_LABOR_HOURS)*TEMP_HOURLY_RATE-FIXED_SEASON_COST)</f>
        <v>5186.45120309149</v>
      </c>
      <c r="AD73" s="53" t="n">
        <f aca="false">IF(OR($A73&gt;TOMATO_BED_CAP,$B73&gt;CARROT_BED_CAP,AD$4&gt;MESCLUN_BED_CAP,$A73+$B73+AD$4&gt;TOTAL_BEDS_AVAILABLE,($D73+AD$5)&gt;TOTAL_LABOR_HOURS_CAP,MAX(0,($D73+AD$5)-PERMANENT_FIELD_LABOR_HOURS)&gt;TEMP_HOURS_CAP),"",$C73+AD$6-MIN(($D73+AD$5),PERMANENT_FIELD_LABOR_HOURS)*PERMANENT_HOURLY_RATE-MAX(0,($D73+AD$5)-PERMANENT_FIELD_LABOR_HOURS)*TEMP_HOURLY_RATE-FIXED_SEASON_COST)</f>
        <v>5655.02815839144</v>
      </c>
      <c r="AE73" s="53" t="n">
        <f aca="false">IF(OR($A73&gt;TOMATO_BED_CAP,$B73&gt;CARROT_BED_CAP,AE$4&gt;MESCLUN_BED_CAP,$A73+$B73+AE$4&gt;TOTAL_BEDS_AVAILABLE,($D73+AE$5)&gt;TOTAL_LABOR_HOURS_CAP,MAX(0,($D73+AE$5)-PERMANENT_FIELD_LABOR_HOURS)&gt;TEMP_HOURS_CAP),"",$C73+AE$6-MIN(($D73+AE$5),PERMANENT_FIELD_LABOR_HOURS)*PERMANENT_HOURLY_RATE-MAX(0,($D73+AE$5)-PERMANENT_FIELD_LABOR_HOURS)*TEMP_HOURLY_RATE-FIXED_SEASON_COST)</f>
        <v>6093.55544262534</v>
      </c>
      <c r="AF73" s="53" t="n">
        <f aca="false">IF(OR($A73&gt;TOMATO_BED_CAP,$B73&gt;CARROT_BED_CAP,AF$4&gt;MESCLUN_BED_CAP,$A73+$B73+AF$4&gt;TOTAL_BEDS_AVAILABLE,($D73+AF$5)&gt;TOTAL_LABOR_HOURS_CAP,MAX(0,($D73+AF$5)-PERMANENT_FIELD_LABOR_HOURS)&gt;TEMP_HOURS_CAP),"",$C73+AF$6-MIN(($D73+AF$5),PERMANENT_FIELD_LABOR_HOURS)*PERMANENT_HOURLY_RATE-MAX(0,($D73+AF$5)-PERMANENT_FIELD_LABOR_HOURS)*TEMP_HOURLY_RATE-FIXED_SEASON_COST)</f>
        <v>6501.49297386729</v>
      </c>
      <c r="AG73" s="53" t="n">
        <f aca="false">IF(OR($A73&gt;TOMATO_BED_CAP,$B73&gt;CARROT_BED_CAP,AG$4&gt;MESCLUN_BED_CAP,$A73+$B73+AG$4&gt;TOTAL_BEDS_AVAILABLE,($D73+AG$5)&gt;TOTAL_LABOR_HOURS_CAP,MAX(0,($D73+AG$5)-PERMANENT_FIELD_LABOR_HOURS)&gt;TEMP_HOURS_CAP),"",$C73+AG$6-MIN(($D73+AG$5),PERMANENT_FIELD_LABOR_HOURS)*PERMANENT_HOURLY_RATE-MAX(0,($D73+AG$5)-PERMANENT_FIELD_LABOR_HOURS)*TEMP_HOURLY_RATE-FIXED_SEASON_COST)</f>
        <v>6878.29186340431</v>
      </c>
      <c r="AH73" s="53" t="n">
        <f aca="false">IF(OR($A73&gt;TOMATO_BED_CAP,$B73&gt;CARROT_BED_CAP,AH$4&gt;MESCLUN_BED_CAP,$A73+$B73+AH$4&gt;TOTAL_BEDS_AVAILABLE,($D73+AH$5)&gt;TOTAL_LABOR_HOURS_CAP,MAX(0,($D73+AH$5)-PERMANENT_FIELD_LABOR_HOURS)&gt;TEMP_HOURS_CAP),"",$C73+AH$6-MIN(($D73+AH$5),PERMANENT_FIELD_LABOR_HOURS)*PERMANENT_HOURLY_RATE-MAX(0,($D73+AH$5)-PERMANENT_FIELD_LABOR_HOURS)*TEMP_HOURLY_RATE-FIXED_SEASON_COST)</f>
        <v>7223.39427995453</v>
      </c>
      <c r="AI73" s="53" t="n">
        <f aca="false">IF(OR($A73&gt;TOMATO_BED_CAP,$B73&gt;CARROT_BED_CAP,AI$4&gt;MESCLUN_BED_CAP,$A73+$B73+AI$4&gt;TOTAL_BEDS_AVAILABLE,($D73+AI$5)&gt;TOTAL_LABOR_HOURS_CAP,MAX(0,($D73+AI$5)-PERMANENT_FIELD_LABOR_HOURS)&gt;TEMP_HOURS_CAP),"",$C73+AI$6-MIN(($D73+AI$5),PERMANENT_FIELD_LABOR_HOURS)*PERMANENT_HOURLY_RATE-MAX(0,($D73+AI$5)-PERMANENT_FIELD_LABOR_HOURS)*TEMP_HOURLY_RATE-FIXED_SEASON_COST)</f>
        <v>7536.23331186679</v>
      </c>
      <c r="AJ73" s="53" t="n">
        <f aca="false">IF(OR($A73&gt;TOMATO_BED_CAP,$B73&gt;CARROT_BED_CAP,AJ$4&gt;MESCLUN_BED_CAP,$A73+$B73+AJ$4&gt;TOTAL_BEDS_AVAILABLE,($D73+AJ$5)&gt;TOTAL_LABOR_HOURS_CAP,MAX(0,($D73+AJ$5)-PERMANENT_FIELD_LABOR_HOURS)&gt;TEMP_HOURS_CAP),"",$C73+AJ$6-MIN(($D73+AJ$5),PERMANENT_FIELD_LABOR_HOURS)*PERMANENT_HOURLY_RATE-MAX(0,($D73+AJ$5)-PERMANENT_FIELD_LABOR_HOURS)*TEMP_HOURLY_RATE-FIXED_SEASON_COST)</f>
        <v>7816.23282727254</v>
      </c>
    </row>
    <row r="74" customFormat="false" ht="15" hidden="false" customHeight="false" outlineLevel="0" collapsed="false">
      <c r="A74" s="21" t="n">
        <f aca="false">INT((ROW()-ROW($A$8))/(20+1))</f>
        <v>3</v>
      </c>
      <c r="B74" s="21" t="n">
        <f aca="false">MOD(ROW()-ROW($A$8),20+1)</f>
        <v>3</v>
      </c>
      <c r="C74" s="13" t="n">
        <f aca="false">A74*(TOMATO_REVENUE_PER_BED-TOMATO_FERTILIZER_PER_BED)+B74*(CARROT_REVENUE_PER_BED-CARROT_FERTILIZER_PER_BED)</f>
        <v>28722</v>
      </c>
      <c r="D74" s="14" t="n">
        <f aca="false">INDEX(TOMATO_SCHED_LABOR_HRS,A74+1)+INDEX(CARROT_SCHED_LABOR_HRS,B74+1)</f>
        <v>456.2513881875</v>
      </c>
      <c r="E74" s="13" t="n">
        <f aca="false">IF(COUNT(F74:AJ74)=0,"",MAX(F74:AJ74))</f>
        <v>8882.26519593754</v>
      </c>
      <c r="F74" s="53" t="n">
        <f aca="false">IF(OR($A74&gt;TOMATO_BED_CAP,$B74&gt;CARROT_BED_CAP,F$4&gt;MESCLUN_BED_CAP,$A74+$B74+F$4&gt;TOTAL_BEDS_AVAILABLE,($D74+F$5)&gt;TOTAL_LABOR_HOURS_CAP,MAX(0,($D74+F$5)-PERMANENT_FIELD_LABOR_HOURS)&gt;TEMP_HOURS_CAP),"",$C74+F$6-MIN(($D74+F$5),PERMANENT_FIELD_LABOR_HOURS)*PERMANENT_HOURLY_RATE-MAX(0,($D74+F$5)-PERMANENT_FIELD_LABOR_HOURS)*TEMP_HOURLY_RATE-FIXED_SEASON_COST)</f>
        <v>-7119.04819787</v>
      </c>
      <c r="G74" s="53" t="n">
        <f aca="false">IF(OR($A74&gt;TOMATO_BED_CAP,$B74&gt;CARROT_BED_CAP,G$4&gt;MESCLUN_BED_CAP,$A74+$B74+G$4&gt;TOTAL_BEDS_AVAILABLE,($D74+G$5)&gt;TOTAL_LABOR_HOURS_CAP,MAX(0,($D74+G$5)-PERMANENT_FIELD_LABOR_HOURS)&gt;TEMP_HOURS_CAP),"",$C74+G$6-MIN(($D74+G$5),PERMANENT_FIELD_LABOR_HOURS)*PERMANENT_HOURLY_RATE-MAX(0,($D74+G$5)-PERMANENT_FIELD_LABOR_HOURS)*TEMP_HOURLY_RATE-FIXED_SEASON_COST)</f>
        <v>-6880.97819787</v>
      </c>
      <c r="H74" s="53" t="n">
        <f aca="false">IF(OR($A74&gt;TOMATO_BED_CAP,$B74&gt;CARROT_BED_CAP,H$4&gt;MESCLUN_BED_CAP,$A74+$B74+H$4&gt;TOTAL_BEDS_AVAILABLE,($D74+H$5)&gt;TOTAL_LABOR_HOURS_CAP,MAX(0,($D74+H$5)-PERMANENT_FIELD_LABOR_HOURS)&gt;TEMP_HOURS_CAP),"",$C74+H$6-MIN(($D74+H$5),PERMANENT_FIELD_LABOR_HOURS)*PERMANENT_HOURLY_RATE-MAX(0,($D74+H$5)-PERMANENT_FIELD_LABOR_HOURS)*TEMP_HOURLY_RATE-FIXED_SEASON_COST)</f>
        <v>-6682.45644787</v>
      </c>
      <c r="I74" s="53" t="n">
        <f aca="false">IF(OR($A74&gt;TOMATO_BED_CAP,$B74&gt;CARROT_BED_CAP,I$4&gt;MESCLUN_BED_CAP,$A74+$B74+I$4&gt;TOTAL_BEDS_AVAILABLE,($D74+I$5)&gt;TOTAL_LABOR_HOURS_CAP,MAX(0,($D74+I$5)-PERMANENT_FIELD_LABOR_HOURS)&gt;TEMP_HOURS_CAP),"",$C74+I$6-MIN(($D74+I$5),PERMANENT_FIELD_LABOR_HOURS)*PERMANENT_HOURLY_RATE-MAX(0,($D74+I$5)-PERMANENT_FIELD_LABOR_HOURS)*TEMP_HOURLY_RATE-FIXED_SEASON_COST)</f>
        <v>-6524.2244775575</v>
      </c>
      <c r="J74" s="53" t="n">
        <f aca="false">IF(OR($A74&gt;TOMATO_BED_CAP,$B74&gt;CARROT_BED_CAP,J$4&gt;MESCLUN_BED_CAP,$A74+$B74+J$4&gt;TOTAL_BEDS_AVAILABLE,($D74+J$5)&gt;TOTAL_LABOR_HOURS_CAP,MAX(0,($D74+J$5)-PERMANENT_FIELD_LABOR_HOURS)&gt;TEMP_HOURS_CAP),"",$C74+J$6-MIN(($D74+J$5),PERMANENT_FIELD_LABOR_HOURS)*PERMANENT_HOURLY_RATE-MAX(0,($D74+J$5)-PERMANENT_FIELD_LABOR_HOURS)*TEMP_HOURLY_RATE-FIXED_SEASON_COST)</f>
        <v>-6407.03617544812</v>
      </c>
      <c r="K74" s="53" t="n">
        <f aca="false">IF(OR($A74&gt;TOMATO_BED_CAP,$B74&gt;CARROT_BED_CAP,K$4&gt;MESCLUN_BED_CAP,$A74+$B74+K$4&gt;TOTAL_BEDS_AVAILABLE,($D74+K$5)&gt;TOTAL_LABOR_HOURS_CAP,MAX(0,($D74+K$5)-PERMANENT_FIELD_LABOR_HOURS)&gt;TEMP_HOURS_CAP),"",$C74+K$6-MIN(($D74+K$5),PERMANENT_FIELD_LABOR_HOURS)*PERMANENT_HOURLY_RATE-MAX(0,($D74+K$5)-PERMANENT_FIELD_LABOR_HOURS)*TEMP_HOURLY_RATE-FIXED_SEASON_COST)</f>
        <v>-6331.65798199232</v>
      </c>
      <c r="L74" s="53" t="n">
        <f aca="false">IF(OR($A74&gt;TOMATO_BED_CAP,$B74&gt;CARROT_BED_CAP,L$4&gt;MESCLUN_BED_CAP,$A74+$B74+L$4&gt;TOTAL_BEDS_AVAILABLE,($D74+L$5)&gt;TOTAL_LABOR_HOURS_CAP,MAX(0,($D74+L$5)-PERMANENT_FIELD_LABOR_HOURS)&gt;TEMP_HOURS_CAP),"",$C74+L$6-MIN(($D74+L$5),PERMANENT_FIELD_LABOR_HOURS)*PERMANENT_HOURLY_RATE-MAX(0,($D74+L$5)-PERMANENT_FIELD_LABOR_HOURS)*TEMP_HOURLY_RATE-FIXED_SEASON_COST)</f>
        <v>-5827.6345427893</v>
      </c>
      <c r="M74" s="53" t="n">
        <f aca="false">IF(OR($A74&gt;TOMATO_BED_CAP,$B74&gt;CARROT_BED_CAP,M$4&gt;MESCLUN_BED_CAP,$A74+$B74+M$4&gt;TOTAL_BEDS_AVAILABLE,($D74+M$5)&gt;TOTAL_LABOR_HOURS_CAP,MAX(0,($D74+M$5)-PERMANENT_FIELD_LABOR_HOURS)&gt;TEMP_HOURS_CAP),"",$C74+M$6-MIN(($D74+M$5),PERMANENT_FIELD_LABOR_HOURS)*PERMANENT_HOURLY_RATE-MAX(0,($D74+M$5)-PERMANENT_FIELD_LABOR_HOURS)*TEMP_HOURLY_RATE-FIXED_SEASON_COST)</f>
        <v>-4922.9308107379</v>
      </c>
      <c r="N74" s="53" t="n">
        <f aca="false">IF(OR($A74&gt;TOMATO_BED_CAP,$B74&gt;CARROT_BED_CAP,N$4&gt;MESCLUN_BED_CAP,$A74+$B74+N$4&gt;TOTAL_BEDS_AVAILABLE,($D74+N$5)&gt;TOTAL_LABOR_HOURS_CAP,MAX(0,($D74+N$5)-PERMANENT_FIELD_LABOR_HOURS)&gt;TEMP_HOURS_CAP),"",$C74+N$6-MIN(($D74+N$5),PERMANENT_FIELD_LABOR_HOURS)*PERMANENT_HOURLY_RATE-MAX(0,($D74+N$5)-PERMANENT_FIELD_LABOR_HOURS)*TEMP_HOURLY_RATE-FIXED_SEASON_COST)</f>
        <v>-4040.32043687835</v>
      </c>
      <c r="O74" s="53" t="n">
        <f aca="false">IF(OR($A74&gt;TOMATO_BED_CAP,$B74&gt;CARROT_BED_CAP,O$4&gt;MESCLUN_BED_CAP,$A74+$B74+O$4&gt;TOTAL_BEDS_AVAILABLE,($D74+O$5)&gt;TOTAL_LABOR_HOURS_CAP,MAX(0,($D74+O$5)-PERMANENT_FIELD_LABOR_HOURS)&gt;TEMP_HOURS_CAP),"",$C74+O$6-MIN(($D74+O$5),PERMANENT_FIELD_LABOR_HOURS)*PERMANENT_HOURLY_RATE-MAX(0,($D74+O$5)-PERMANENT_FIELD_LABOR_HOURS)*TEMP_HOURLY_RATE-FIXED_SEASON_COST)</f>
        <v>-3180.2127401236</v>
      </c>
      <c r="P74" s="53" t="n">
        <f aca="false">IF(OR($A74&gt;TOMATO_BED_CAP,$B74&gt;CARROT_BED_CAP,P$4&gt;MESCLUN_BED_CAP,$A74+$B74+P$4&gt;TOTAL_BEDS_AVAILABLE,($D74+P$5)&gt;TOTAL_LABOR_HOURS_CAP,MAX(0,($D74+P$5)-PERMANENT_FIELD_LABOR_HOURS)&gt;TEMP_HOURS_CAP),"",$C74+P$6-MIN(($D74+P$5),PERMANENT_FIELD_LABOR_HOURS)*PERMANENT_HOURLY_RATE-MAX(0,($D74+P$5)-PERMANENT_FIELD_LABOR_HOURS)*TEMP_HOURLY_RATE-FIXED_SEASON_COST)</f>
        <v>-2343.02382027217</v>
      </c>
      <c r="Q74" s="53" t="n">
        <f aca="false">IF(OR($A74&gt;TOMATO_BED_CAP,$B74&gt;CARROT_BED_CAP,Q$4&gt;MESCLUN_BED_CAP,$A74+$B74+Q$4&gt;TOTAL_BEDS_AVAILABLE,($D74+Q$5)&gt;TOTAL_LABOR_HOURS_CAP,MAX(0,($D74+Q$5)-PERMANENT_FIELD_LABOR_HOURS)&gt;TEMP_HOURS_CAP),"",$C74+Q$6-MIN(($D74+Q$5),PERMANENT_FIELD_LABOR_HOURS)*PERMANENT_HOURLY_RATE-MAX(0,($D74+Q$5)-PERMANENT_FIELD_LABOR_HOURS)*TEMP_HOURLY_RATE-FIXED_SEASON_COST)</f>
        <v>-1529.17666357428</v>
      </c>
      <c r="R74" s="53" t="n">
        <f aca="false">IF(OR($A74&gt;TOMATO_BED_CAP,$B74&gt;CARROT_BED_CAP,R$4&gt;MESCLUN_BED_CAP,$A74+$B74+R$4&gt;TOTAL_BEDS_AVAILABLE,($D74+R$5)&gt;TOTAL_LABOR_HOURS_CAP,MAX(0,($D74+R$5)-PERMANENT_FIELD_LABOR_HOURS)&gt;TEMP_HOURS_CAP),"",$C74+R$6-MIN(($D74+R$5),PERMANENT_FIELD_LABOR_HOURS)*PERMANENT_HOURLY_RATE-MAX(0,($D74+R$5)-PERMANENT_FIELD_LABOR_HOURS)*TEMP_HOURLY_RATE-FIXED_SEASON_COST)</f>
        <v>-739.101249877473</v>
      </c>
      <c r="S74" s="53" t="n">
        <f aca="false">IF(OR($A74&gt;TOMATO_BED_CAP,$B74&gt;CARROT_BED_CAP,S$4&gt;MESCLUN_BED_CAP,$A74+$B74+S$4&gt;TOTAL_BEDS_AVAILABLE,($D74+S$5)&gt;TOTAL_LABOR_HOURS_CAP,MAX(0,($D74+S$5)-PERMANENT_FIELD_LABOR_HOURS)&gt;TEMP_HOURS_CAP),"",$C74+S$6-MIN(($D74+S$5),PERMANENT_FIELD_LABOR_HOURS)*PERMANENT_HOURLY_RATE-MAX(0,($D74+S$5)-PERMANENT_FIELD_LABOR_HOURS)*TEMP_HOURLY_RATE-FIXED_SEASON_COST)</f>
        <v>26.7653386249767</v>
      </c>
      <c r="T74" s="53" t="n">
        <f aca="false">IF(OR($A74&gt;TOMATO_BED_CAP,$B74&gt;CARROT_BED_CAP,T$4&gt;MESCLUN_BED_CAP,$A74+$B74+T$4&gt;TOTAL_BEDS_AVAILABLE,($D74+T$5)&gt;TOTAL_LABOR_HOURS_CAP,MAX(0,($D74+T$5)-PERMANENT_FIELD_LABOR_HOURS)&gt;TEMP_HOURS_CAP),"",$C74+T$6-MIN(($D74+T$5),PERMANENT_FIELD_LABOR_HOURS)*PERMANENT_HOURLY_RATE-MAX(0,($D74+T$5)-PERMANENT_FIELD_LABOR_HOURS)*TEMP_HOURLY_RATE-FIXED_SEASON_COST)</f>
        <v>767.978807019819</v>
      </c>
      <c r="U74" s="53" t="n">
        <f aca="false">IF(OR($A74&gt;TOMATO_BED_CAP,$B74&gt;CARROT_BED_CAP,U$4&gt;MESCLUN_BED_CAP,$A74+$B74+U$4&gt;TOTAL_BEDS_AVAILABLE,($D74+U$5)&gt;TOTAL_LABOR_HOURS_CAP,MAX(0,($D74+U$5)-PERMANENT_FIELD_LABOR_HOURS)&gt;TEMP_HOURS_CAP),"",$C74+U$6-MIN(($D74+U$5),PERMANENT_FIELD_LABOR_HOURS)*PERMANENT_HOURLY_RATE-MAX(0,($D74+U$5)-PERMANENT_FIELD_LABOR_HOURS)*TEMP_HOURLY_RATE-FIXED_SEASON_COST)</f>
        <v>1484.08753564992</v>
      </c>
      <c r="V74" s="53" t="n">
        <f aca="false">IF(OR($A74&gt;TOMATO_BED_CAP,$B74&gt;CARROT_BED_CAP,V$4&gt;MESCLUN_BED_CAP,$A74+$B74+V$4&gt;TOTAL_BEDS_AVAILABLE,($D74+V$5)&gt;TOTAL_LABOR_HOURS_CAP,MAX(0,($D74+V$5)-PERMANENT_FIELD_LABOR_HOURS)&gt;TEMP_HOURS_CAP),"",$C74+V$6-MIN(($D74+V$5),PERMANENT_FIELD_LABOR_HOURS)*PERMANENT_HOURLY_RATE-MAX(0,($D74+V$5)-PERMANENT_FIELD_LABOR_HOURS)*TEMP_HOURLY_RATE-FIXED_SEASON_COST)</f>
        <v>2174.63246641671</v>
      </c>
      <c r="W74" s="53" t="n">
        <f aca="false">IF(OR($A74&gt;TOMATO_BED_CAP,$B74&gt;CARROT_BED_CAP,W$4&gt;MESCLUN_BED_CAP,$A74+$B74+W$4&gt;TOTAL_BEDS_AVAILABLE,($D74+W$5)&gt;TOTAL_LABOR_HOURS_CAP,MAX(0,($D74+W$5)-PERMANENT_FIELD_LABOR_HOURS)&gt;TEMP_HOURS_CAP),"",$C74+W$6-MIN(($D74+W$5),PERMANENT_FIELD_LABOR_HOURS)*PERMANENT_HOURLY_RATE-MAX(0,($D74+W$5)-PERMANENT_FIELD_LABOR_HOURS)*TEMP_HOURLY_RATE-FIXED_SEASON_COST)</f>
        <v>2839.14698738478</v>
      </c>
      <c r="X74" s="53" t="n">
        <f aca="false">IF(OR($A74&gt;TOMATO_BED_CAP,$B74&gt;CARROT_BED_CAP,X$4&gt;MESCLUN_BED_CAP,$A74+$B74+X$4&gt;TOTAL_BEDS_AVAILABLE,($D74+X$5)&gt;TOTAL_LABOR_HOURS_CAP,MAX(0,($D74+X$5)-PERMANENT_FIELD_LABOR_HOURS)&gt;TEMP_HOURS_CAP),"",$C74+X$6-MIN(($D74+X$5),PERMANENT_FIELD_LABOR_HOURS)*PERMANENT_HOURLY_RATE-MAX(0,($D74+X$5)-PERMANENT_FIELD_LABOR_HOURS)*TEMP_HOURLY_RATE-FIXED_SEASON_COST)</f>
        <v>3477.1568156637</v>
      </c>
      <c r="Y74" s="53" t="n">
        <f aca="false">IF(OR($A74&gt;TOMATO_BED_CAP,$B74&gt;CARROT_BED_CAP,Y$4&gt;MESCLUN_BED_CAP,$A74+$B74+Y$4&gt;TOTAL_BEDS_AVAILABLE,($D74+Y$5)&gt;TOTAL_LABOR_HOURS_CAP,MAX(0,($D74+Y$5)-PERMANENT_FIELD_LABOR_HOURS)&gt;TEMP_HOURS_CAP),"",$C74+Y$6-MIN(($D74+Y$5),PERMANENT_FIELD_LABOR_HOURS)*PERMANENT_HOURLY_RATE-MAX(0,($D74+Y$5)-PERMANENT_FIELD_LABOR_HOURS)*TEMP_HOURLY_RATE-FIXED_SEASON_COST)</f>
        <v>4088.17987854236</v>
      </c>
      <c r="Z74" s="53" t="n">
        <f aca="false">IF(OR($A74&gt;TOMATO_BED_CAP,$B74&gt;CARROT_BED_CAP,Z$4&gt;MESCLUN_BED_CAP,$A74+$B74+Z$4&gt;TOTAL_BEDS_AVAILABLE,($D74+Z$5)&gt;TOTAL_LABOR_HOURS_CAP,MAX(0,($D74+Z$5)-PERMANENT_FIELD_LABOR_HOURS)&gt;TEMP_HOURS_CAP),"",$C74+Z$6-MIN(($D74+Z$5),PERMANENT_FIELD_LABOR_HOURS)*PERMANENT_HOURLY_RATE-MAX(0,($D74+Z$5)-PERMANENT_FIELD_LABOR_HOURS)*TEMP_HOURLY_RATE-FIXED_SEASON_COST)</f>
        <v>4671.72619285009</v>
      </c>
      <c r="AA74" s="53" t="n">
        <f aca="false">IF(OR($A74&gt;TOMATO_BED_CAP,$B74&gt;CARROT_BED_CAP,AA$4&gt;MESCLUN_BED_CAP,$A74+$B74+AA$4&gt;TOTAL_BEDS_AVAILABLE,($D74+AA$5)&gt;TOTAL_LABOR_HOURS_CAP,MAX(0,($D74+AA$5)-PERMANENT_FIELD_LABOR_HOURS)&gt;TEMP_HOURS_CAP),"",$C74+AA$6-MIN(($D74+AA$5),PERMANENT_FIELD_LABOR_HOURS)*PERMANENT_HOURLY_RATE-MAX(0,($D74+AA$5)-PERMANENT_FIELD_LABOR_HOURS)*TEMP_HOURLY_RATE-FIXED_SEASON_COST)</f>
        <v>5227.29774251902</v>
      </c>
      <c r="AB74" s="53" t="n">
        <f aca="false">IF(OR($A74&gt;TOMATO_BED_CAP,$B74&gt;CARROT_BED_CAP,AB$4&gt;MESCLUN_BED_CAP,$A74+$B74+AB$4&gt;TOTAL_BEDS_AVAILABLE,($D74+AB$5)&gt;TOTAL_LABOR_HOURS_CAP,MAX(0,($D74+AB$5)-PERMANENT_FIELD_LABOR_HOURS)&gt;TEMP_HOURS_CAP),"",$C74+AB$6-MIN(($D74+AB$5),PERMANENT_FIELD_LABOR_HOURS)*PERMANENT_HOURLY_RATE-MAX(0,($D74+AB$5)-PERMANENT_FIELD_LABOR_HOURS)*TEMP_HOURLY_RATE-FIXED_SEASON_COST)</f>
        <v>5754.38835432158</v>
      </c>
      <c r="AC74" s="53" t="n">
        <f aca="false">IF(OR($A74&gt;TOMATO_BED_CAP,$B74&gt;CARROT_BED_CAP,AC$4&gt;MESCLUN_BED_CAP,$A74+$B74+AC$4&gt;TOTAL_BEDS_AVAILABLE,($D74+AC$5)&gt;TOTAL_LABOR_HOURS_CAP,MAX(0,($D74+AC$5)-PERMANENT_FIELD_LABOR_HOURS)&gt;TEMP_HOURS_CAP),"",$C74+AC$6-MIN(($D74+AC$5),PERMANENT_FIELD_LABOR_HOURS)*PERMANENT_HOURLY_RATE-MAX(0,($D74+AC$5)-PERMANENT_FIELD_LABOR_HOURS)*TEMP_HOURLY_RATE-FIXED_SEASON_COST)</f>
        <v>6252.48357175649</v>
      </c>
      <c r="AD74" s="53" t="n">
        <f aca="false">IF(OR($A74&gt;TOMATO_BED_CAP,$B74&gt;CARROT_BED_CAP,AD$4&gt;MESCLUN_BED_CAP,$A74+$B74+AD$4&gt;TOTAL_BEDS_AVAILABLE,($D74+AD$5)&gt;TOTAL_LABOR_HOURS_CAP,MAX(0,($D74+AD$5)-PERMANENT_FIELD_LABOR_HOURS)&gt;TEMP_HOURS_CAP),"",$C74+AD$6-MIN(($D74+AD$5),PERMANENT_FIELD_LABOR_HOURS)*PERMANENT_HOURLY_RATE-MAX(0,($D74+AD$5)-PERMANENT_FIELD_LABOR_HOURS)*TEMP_HOURLY_RATE-FIXED_SEASON_COST)</f>
        <v>6721.06052705644</v>
      </c>
      <c r="AE74" s="53" t="n">
        <f aca="false">IF(OR($A74&gt;TOMATO_BED_CAP,$B74&gt;CARROT_BED_CAP,AE$4&gt;MESCLUN_BED_CAP,$A74+$B74+AE$4&gt;TOTAL_BEDS_AVAILABLE,($D74+AE$5)&gt;TOTAL_LABOR_HOURS_CAP,MAX(0,($D74+AE$5)-PERMANENT_FIELD_LABOR_HOURS)&gt;TEMP_HOURS_CAP),"",$C74+AE$6-MIN(($D74+AE$5),PERMANENT_FIELD_LABOR_HOURS)*PERMANENT_HOURLY_RATE-MAX(0,($D74+AE$5)-PERMANENT_FIELD_LABOR_HOURS)*TEMP_HOURLY_RATE-FIXED_SEASON_COST)</f>
        <v>7159.58781129035</v>
      </c>
      <c r="AF74" s="53" t="n">
        <f aca="false">IF(OR($A74&gt;TOMATO_BED_CAP,$B74&gt;CARROT_BED_CAP,AF$4&gt;MESCLUN_BED_CAP,$A74+$B74+AF$4&gt;TOTAL_BEDS_AVAILABLE,($D74+AF$5)&gt;TOTAL_LABOR_HOURS_CAP,MAX(0,($D74+AF$5)-PERMANENT_FIELD_LABOR_HOURS)&gt;TEMP_HOURS_CAP),"",$C74+AF$6-MIN(($D74+AF$5),PERMANENT_FIELD_LABOR_HOURS)*PERMANENT_HOURLY_RATE-MAX(0,($D74+AF$5)-PERMANENT_FIELD_LABOR_HOURS)*TEMP_HOURLY_RATE-FIXED_SEASON_COST)</f>
        <v>7567.5253425323</v>
      </c>
      <c r="AG74" s="53" t="n">
        <f aca="false">IF(OR($A74&gt;TOMATO_BED_CAP,$B74&gt;CARROT_BED_CAP,AG$4&gt;MESCLUN_BED_CAP,$A74+$B74+AG$4&gt;TOTAL_BEDS_AVAILABLE,($D74+AG$5)&gt;TOTAL_LABOR_HOURS_CAP,MAX(0,($D74+AG$5)-PERMANENT_FIELD_LABOR_HOURS)&gt;TEMP_HOURS_CAP),"",$C74+AG$6-MIN(($D74+AG$5),PERMANENT_FIELD_LABOR_HOURS)*PERMANENT_HOURLY_RATE-MAX(0,($D74+AG$5)-PERMANENT_FIELD_LABOR_HOURS)*TEMP_HOURLY_RATE-FIXED_SEASON_COST)</f>
        <v>7944.32423206931</v>
      </c>
      <c r="AH74" s="53" t="n">
        <f aca="false">IF(OR($A74&gt;TOMATO_BED_CAP,$B74&gt;CARROT_BED_CAP,AH$4&gt;MESCLUN_BED_CAP,$A74+$B74+AH$4&gt;TOTAL_BEDS_AVAILABLE,($D74+AH$5)&gt;TOTAL_LABOR_HOURS_CAP,MAX(0,($D74+AH$5)-PERMANENT_FIELD_LABOR_HOURS)&gt;TEMP_HOURS_CAP),"",$C74+AH$6-MIN(($D74+AH$5),PERMANENT_FIELD_LABOR_HOURS)*PERMANENT_HOURLY_RATE-MAX(0,($D74+AH$5)-PERMANENT_FIELD_LABOR_HOURS)*TEMP_HOURLY_RATE-FIXED_SEASON_COST)</f>
        <v>8289.42664861953</v>
      </c>
      <c r="AI74" s="53" t="n">
        <f aca="false">IF(OR($A74&gt;TOMATO_BED_CAP,$B74&gt;CARROT_BED_CAP,AI$4&gt;MESCLUN_BED_CAP,$A74+$B74+AI$4&gt;TOTAL_BEDS_AVAILABLE,($D74+AI$5)&gt;TOTAL_LABOR_HOURS_CAP,MAX(0,($D74+AI$5)-PERMANENT_FIELD_LABOR_HOURS)&gt;TEMP_HOURS_CAP),"",$C74+AI$6-MIN(($D74+AI$5),PERMANENT_FIELD_LABOR_HOURS)*PERMANENT_HOURLY_RATE-MAX(0,($D74+AI$5)-PERMANENT_FIELD_LABOR_HOURS)*TEMP_HOURLY_RATE-FIXED_SEASON_COST)</f>
        <v>8602.26568053179</v>
      </c>
      <c r="AJ74" s="53" t="n">
        <f aca="false">IF(OR($A74&gt;TOMATO_BED_CAP,$B74&gt;CARROT_BED_CAP,AJ$4&gt;MESCLUN_BED_CAP,$A74+$B74+AJ$4&gt;TOTAL_BEDS_AVAILABLE,($D74+AJ$5)&gt;TOTAL_LABOR_HOURS_CAP,MAX(0,($D74+AJ$5)-PERMANENT_FIELD_LABOR_HOURS)&gt;TEMP_HOURS_CAP),"",$C74+AJ$6-MIN(($D74+AJ$5),PERMANENT_FIELD_LABOR_HOURS)*PERMANENT_HOURLY_RATE-MAX(0,($D74+AJ$5)-PERMANENT_FIELD_LABOR_HOURS)*TEMP_HOURLY_RATE-FIXED_SEASON_COST)</f>
        <v>8882.26519593754</v>
      </c>
    </row>
    <row r="75" customFormat="false" ht="15" hidden="false" customHeight="false" outlineLevel="0" collapsed="false">
      <c r="A75" s="21" t="n">
        <f aca="false">INT((ROW()-ROW($A$8))/(20+1))</f>
        <v>3</v>
      </c>
      <c r="B75" s="21" t="n">
        <f aca="false">MOD(ROW()-ROW($A$8),20+1)</f>
        <v>4</v>
      </c>
      <c r="C75" s="13" t="n">
        <f aca="false">A75*(TOMATO_REVENUE_PER_BED-TOMATO_FERTILIZER_PER_BED)+B75*(CARROT_REVENUE_PER_BED-CARROT_FERTILIZER_PER_BED)</f>
        <v>30376</v>
      </c>
      <c r="D75" s="14" t="n">
        <f aca="false">INDEX(TOMATO_SCHED_LABOR_HRS,A75+1)+INDEX(CARROT_SCHED_LABOR_HRS,B75+1)</f>
        <v>491.77456385625</v>
      </c>
      <c r="E75" s="13" t="n">
        <f aca="false">IF(COUNT(F75:AJ75)=0,"",MAX(F75:AJ75))</f>
        <v>9919.58286632804</v>
      </c>
      <c r="F75" s="53" t="n">
        <f aca="false">IF(OR($A75&gt;TOMATO_BED_CAP,$B75&gt;CARROT_BED_CAP,F$4&gt;MESCLUN_BED_CAP,$A75+$B75+F$4&gt;TOTAL_BEDS_AVAILABLE,($D75+F$5)&gt;TOTAL_LABOR_HOURS_CAP,MAX(0,($D75+F$5)-PERMANENT_FIELD_LABOR_HOURS)&gt;TEMP_HOURS_CAP),"",$C75+F$6-MIN(($D75+F$5),PERMANENT_FIELD_LABOR_HOURS)*PERMANENT_HOURLY_RATE-MAX(0,($D75+F$5)-PERMANENT_FIELD_LABOR_HOURS)*TEMP_HOURLY_RATE-FIXED_SEASON_COST)</f>
        <v>-6698.412857089</v>
      </c>
      <c r="G75" s="53" t="n">
        <f aca="false">IF(OR($A75&gt;TOMATO_BED_CAP,$B75&gt;CARROT_BED_CAP,G$4&gt;MESCLUN_BED_CAP,$A75+$B75+G$4&gt;TOTAL_BEDS_AVAILABLE,($D75+G$5)&gt;TOTAL_LABOR_HOURS_CAP,MAX(0,($D75+G$5)-PERMANENT_FIELD_LABOR_HOURS)&gt;TEMP_HOURS_CAP),"",$C75+G$6-MIN(($D75+G$5),PERMANENT_FIELD_LABOR_HOURS)*PERMANENT_HOURLY_RATE-MAX(0,($D75+G$5)-PERMANENT_FIELD_LABOR_HOURS)*TEMP_HOURLY_RATE-FIXED_SEASON_COST)</f>
        <v>-6460.342857089</v>
      </c>
      <c r="H75" s="53" t="n">
        <f aca="false">IF(OR($A75&gt;TOMATO_BED_CAP,$B75&gt;CARROT_BED_CAP,H$4&gt;MESCLUN_BED_CAP,$A75+$B75+H$4&gt;TOTAL_BEDS_AVAILABLE,($D75+H$5)&gt;TOTAL_LABOR_HOURS_CAP,MAX(0,($D75+H$5)-PERMANENT_FIELD_LABOR_HOURS)&gt;TEMP_HOURS_CAP),"",$C75+H$6-MIN(($D75+H$5),PERMANENT_FIELD_LABOR_HOURS)*PERMANENT_HOURLY_RATE-MAX(0,($D75+H$5)-PERMANENT_FIELD_LABOR_HOURS)*TEMP_HOURLY_RATE-FIXED_SEASON_COST)</f>
        <v>-6261.821107089</v>
      </c>
      <c r="I75" s="53" t="n">
        <f aca="false">IF(OR($A75&gt;TOMATO_BED_CAP,$B75&gt;CARROT_BED_CAP,I$4&gt;MESCLUN_BED_CAP,$A75+$B75+I$4&gt;TOTAL_BEDS_AVAILABLE,($D75+I$5)&gt;TOTAL_LABOR_HOURS_CAP,MAX(0,($D75+I$5)-PERMANENT_FIELD_LABOR_HOURS)&gt;TEMP_HOURS_CAP),"",$C75+I$6-MIN(($D75+I$5),PERMANENT_FIELD_LABOR_HOURS)*PERMANENT_HOURLY_RATE-MAX(0,($D75+I$5)-PERMANENT_FIELD_LABOR_HOURS)*TEMP_HOURLY_RATE-FIXED_SEASON_COST)</f>
        <v>-6103.5891367765</v>
      </c>
      <c r="J75" s="53" t="n">
        <f aca="false">IF(OR($A75&gt;TOMATO_BED_CAP,$B75&gt;CARROT_BED_CAP,J$4&gt;MESCLUN_BED_CAP,$A75+$B75+J$4&gt;TOTAL_BEDS_AVAILABLE,($D75+J$5)&gt;TOTAL_LABOR_HOURS_CAP,MAX(0,($D75+J$5)-PERMANENT_FIELD_LABOR_HOURS)&gt;TEMP_HOURS_CAP),"",$C75+J$6-MIN(($D75+J$5),PERMANENT_FIELD_LABOR_HOURS)*PERMANENT_HOURLY_RATE-MAX(0,($D75+J$5)-PERMANENT_FIELD_LABOR_HOURS)*TEMP_HOURLY_RATE-FIXED_SEASON_COST)</f>
        <v>-5986.40083466713</v>
      </c>
      <c r="K75" s="53" t="n">
        <f aca="false">IF(OR($A75&gt;TOMATO_BED_CAP,$B75&gt;CARROT_BED_CAP,K$4&gt;MESCLUN_BED_CAP,$A75+$B75+K$4&gt;TOTAL_BEDS_AVAILABLE,($D75+K$5)&gt;TOTAL_LABOR_HOURS_CAP,MAX(0,($D75+K$5)-PERMANENT_FIELD_LABOR_HOURS)&gt;TEMP_HOURS_CAP),"",$C75+K$6-MIN(($D75+K$5),PERMANENT_FIELD_LABOR_HOURS)*PERMANENT_HOURLY_RATE-MAX(0,($D75+K$5)-PERMANENT_FIELD_LABOR_HOURS)*TEMP_HOURLY_RATE-FIXED_SEASON_COST)</f>
        <v>-5716.71132060566</v>
      </c>
      <c r="L75" s="53" t="n">
        <f aca="false">IF(OR($A75&gt;TOMATO_BED_CAP,$B75&gt;CARROT_BED_CAP,L$4&gt;MESCLUN_BED_CAP,$A75+$B75+L$4&gt;TOTAL_BEDS_AVAILABLE,($D75+L$5)&gt;TOTAL_LABOR_HOURS_CAP,MAX(0,($D75+L$5)-PERMANENT_FIELD_LABOR_HOURS)&gt;TEMP_HOURS_CAP),"",$C75+L$6-MIN(($D75+L$5),PERMANENT_FIELD_LABOR_HOURS)*PERMANENT_HOURLY_RATE-MAX(0,($D75+L$5)-PERMANENT_FIELD_LABOR_HOURS)*TEMP_HOURLY_RATE-FIXED_SEASON_COST)</f>
        <v>-4790.3168723988</v>
      </c>
      <c r="M75" s="53" t="n">
        <f aca="false">IF(OR($A75&gt;TOMATO_BED_CAP,$B75&gt;CARROT_BED_CAP,M$4&gt;MESCLUN_BED_CAP,$A75+$B75+M$4&gt;TOTAL_BEDS_AVAILABLE,($D75+M$5)&gt;TOTAL_LABOR_HOURS_CAP,MAX(0,($D75+M$5)-PERMANENT_FIELD_LABOR_HOURS)&gt;TEMP_HOURS_CAP),"",$C75+M$6-MIN(($D75+M$5),PERMANENT_FIELD_LABOR_HOURS)*PERMANENT_HOURLY_RATE-MAX(0,($D75+M$5)-PERMANENT_FIELD_LABOR_HOURS)*TEMP_HOURLY_RATE-FIXED_SEASON_COST)</f>
        <v>-3885.6131403474</v>
      </c>
      <c r="N75" s="53" t="n">
        <f aca="false">IF(OR($A75&gt;TOMATO_BED_CAP,$B75&gt;CARROT_BED_CAP,N$4&gt;MESCLUN_BED_CAP,$A75+$B75+N$4&gt;TOTAL_BEDS_AVAILABLE,($D75+N$5)&gt;TOTAL_LABOR_HOURS_CAP,MAX(0,($D75+N$5)-PERMANENT_FIELD_LABOR_HOURS)&gt;TEMP_HOURS_CAP),"",$C75+N$6-MIN(($D75+N$5),PERMANENT_FIELD_LABOR_HOURS)*PERMANENT_HOURLY_RATE-MAX(0,($D75+N$5)-PERMANENT_FIELD_LABOR_HOURS)*TEMP_HOURLY_RATE-FIXED_SEASON_COST)</f>
        <v>-3003.00276648785</v>
      </c>
      <c r="O75" s="53" t="n">
        <f aca="false">IF(OR($A75&gt;TOMATO_BED_CAP,$B75&gt;CARROT_BED_CAP,O$4&gt;MESCLUN_BED_CAP,$A75+$B75+O$4&gt;TOTAL_BEDS_AVAILABLE,($D75+O$5)&gt;TOTAL_LABOR_HOURS_CAP,MAX(0,($D75+O$5)-PERMANENT_FIELD_LABOR_HOURS)&gt;TEMP_HOURS_CAP),"",$C75+O$6-MIN(($D75+O$5),PERMANENT_FIELD_LABOR_HOURS)*PERMANENT_HOURLY_RATE-MAX(0,($D75+O$5)-PERMANENT_FIELD_LABOR_HOURS)*TEMP_HOURLY_RATE-FIXED_SEASON_COST)</f>
        <v>-2142.8950697331</v>
      </c>
      <c r="P75" s="53" t="n">
        <f aca="false">IF(OR($A75&gt;TOMATO_BED_CAP,$B75&gt;CARROT_BED_CAP,P$4&gt;MESCLUN_BED_CAP,$A75+$B75+P$4&gt;TOTAL_BEDS_AVAILABLE,($D75+P$5)&gt;TOTAL_LABOR_HOURS_CAP,MAX(0,($D75+P$5)-PERMANENT_FIELD_LABOR_HOURS)&gt;TEMP_HOURS_CAP),"",$C75+P$6-MIN(($D75+P$5),PERMANENT_FIELD_LABOR_HOURS)*PERMANENT_HOURLY_RATE-MAX(0,($D75+P$5)-PERMANENT_FIELD_LABOR_HOURS)*TEMP_HOURLY_RATE-FIXED_SEASON_COST)</f>
        <v>-1305.70614988167</v>
      </c>
      <c r="Q75" s="53" t="n">
        <f aca="false">IF(OR($A75&gt;TOMATO_BED_CAP,$B75&gt;CARROT_BED_CAP,Q$4&gt;MESCLUN_BED_CAP,$A75+$B75+Q$4&gt;TOTAL_BEDS_AVAILABLE,($D75+Q$5)&gt;TOTAL_LABOR_HOURS_CAP,MAX(0,($D75+Q$5)-PERMANENT_FIELD_LABOR_HOURS)&gt;TEMP_HOURS_CAP),"",$C75+Q$6-MIN(($D75+Q$5),PERMANENT_FIELD_LABOR_HOURS)*PERMANENT_HOURLY_RATE-MAX(0,($D75+Q$5)-PERMANENT_FIELD_LABOR_HOURS)*TEMP_HOURLY_RATE-FIXED_SEASON_COST)</f>
        <v>-491.858993183778</v>
      </c>
      <c r="R75" s="53" t="n">
        <f aca="false">IF(OR($A75&gt;TOMATO_BED_CAP,$B75&gt;CARROT_BED_CAP,R$4&gt;MESCLUN_BED_CAP,$A75+$B75+R$4&gt;TOTAL_BEDS_AVAILABLE,($D75+R$5)&gt;TOTAL_LABOR_HOURS_CAP,MAX(0,($D75+R$5)-PERMANENT_FIELD_LABOR_HOURS)&gt;TEMP_HOURS_CAP),"",$C75+R$6-MIN(($D75+R$5),PERMANENT_FIELD_LABOR_HOURS)*PERMANENT_HOURLY_RATE-MAX(0,($D75+R$5)-PERMANENT_FIELD_LABOR_HOURS)*TEMP_HOURLY_RATE-FIXED_SEASON_COST)</f>
        <v>298.216420513028</v>
      </c>
      <c r="S75" s="53" t="n">
        <f aca="false">IF(OR($A75&gt;TOMATO_BED_CAP,$B75&gt;CARROT_BED_CAP,S$4&gt;MESCLUN_BED_CAP,$A75+$B75+S$4&gt;TOTAL_BEDS_AVAILABLE,($D75+S$5)&gt;TOTAL_LABOR_HOURS_CAP,MAX(0,($D75+S$5)-PERMANENT_FIELD_LABOR_HOURS)&gt;TEMP_HOURS_CAP),"",$C75+S$6-MIN(($D75+S$5),PERMANENT_FIELD_LABOR_HOURS)*PERMANENT_HOURLY_RATE-MAX(0,($D75+S$5)-PERMANENT_FIELD_LABOR_HOURS)*TEMP_HOURLY_RATE-FIXED_SEASON_COST)</f>
        <v>1064.08300901547</v>
      </c>
      <c r="T75" s="53" t="n">
        <f aca="false">IF(OR($A75&gt;TOMATO_BED_CAP,$B75&gt;CARROT_BED_CAP,T$4&gt;MESCLUN_BED_CAP,$A75+$B75+T$4&gt;TOTAL_BEDS_AVAILABLE,($D75+T$5)&gt;TOTAL_LABOR_HOURS_CAP,MAX(0,($D75+T$5)-PERMANENT_FIELD_LABOR_HOURS)&gt;TEMP_HOURS_CAP),"",$C75+T$6-MIN(($D75+T$5),PERMANENT_FIELD_LABOR_HOURS)*PERMANENT_HOURLY_RATE-MAX(0,($D75+T$5)-PERMANENT_FIELD_LABOR_HOURS)*TEMP_HOURLY_RATE-FIXED_SEASON_COST)</f>
        <v>1805.29647741032</v>
      </c>
      <c r="U75" s="53" t="n">
        <f aca="false">IF(OR($A75&gt;TOMATO_BED_CAP,$B75&gt;CARROT_BED_CAP,U$4&gt;MESCLUN_BED_CAP,$A75+$B75+U$4&gt;TOTAL_BEDS_AVAILABLE,($D75+U$5)&gt;TOTAL_LABOR_HOURS_CAP,MAX(0,($D75+U$5)-PERMANENT_FIELD_LABOR_HOURS)&gt;TEMP_HOURS_CAP),"",$C75+U$6-MIN(($D75+U$5),PERMANENT_FIELD_LABOR_HOURS)*PERMANENT_HOURLY_RATE-MAX(0,($D75+U$5)-PERMANENT_FIELD_LABOR_HOURS)*TEMP_HOURLY_RATE-FIXED_SEASON_COST)</f>
        <v>2521.40520604042</v>
      </c>
      <c r="V75" s="53" t="n">
        <f aca="false">IF(OR($A75&gt;TOMATO_BED_CAP,$B75&gt;CARROT_BED_CAP,V$4&gt;MESCLUN_BED_CAP,$A75+$B75+V$4&gt;TOTAL_BEDS_AVAILABLE,($D75+V$5)&gt;TOTAL_LABOR_HOURS_CAP,MAX(0,($D75+V$5)-PERMANENT_FIELD_LABOR_HOURS)&gt;TEMP_HOURS_CAP),"",$C75+V$6-MIN(($D75+V$5),PERMANENT_FIELD_LABOR_HOURS)*PERMANENT_HOURLY_RATE-MAX(0,($D75+V$5)-PERMANENT_FIELD_LABOR_HOURS)*TEMP_HOURLY_RATE-FIXED_SEASON_COST)</f>
        <v>3211.95013680722</v>
      </c>
      <c r="W75" s="53" t="n">
        <f aca="false">IF(OR($A75&gt;TOMATO_BED_CAP,$B75&gt;CARROT_BED_CAP,W$4&gt;MESCLUN_BED_CAP,$A75+$B75+W$4&gt;TOTAL_BEDS_AVAILABLE,($D75+W$5)&gt;TOTAL_LABOR_HOURS_CAP,MAX(0,($D75+W$5)-PERMANENT_FIELD_LABOR_HOURS)&gt;TEMP_HOURS_CAP),"",$C75+W$6-MIN(($D75+W$5),PERMANENT_FIELD_LABOR_HOURS)*PERMANENT_HOURLY_RATE-MAX(0,($D75+W$5)-PERMANENT_FIELD_LABOR_HOURS)*TEMP_HOURLY_RATE-FIXED_SEASON_COST)</f>
        <v>3876.46465777528</v>
      </c>
      <c r="X75" s="53" t="n">
        <f aca="false">IF(OR($A75&gt;TOMATO_BED_CAP,$B75&gt;CARROT_BED_CAP,X$4&gt;MESCLUN_BED_CAP,$A75+$B75+X$4&gt;TOTAL_BEDS_AVAILABLE,($D75+X$5)&gt;TOTAL_LABOR_HOURS_CAP,MAX(0,($D75+X$5)-PERMANENT_FIELD_LABOR_HOURS)&gt;TEMP_HOURS_CAP),"",$C75+X$6-MIN(($D75+X$5),PERMANENT_FIELD_LABOR_HOURS)*PERMANENT_HOURLY_RATE-MAX(0,($D75+X$5)-PERMANENT_FIELD_LABOR_HOURS)*TEMP_HOURLY_RATE-FIXED_SEASON_COST)</f>
        <v>4514.47448605421</v>
      </c>
      <c r="Y75" s="53" t="n">
        <f aca="false">IF(OR($A75&gt;TOMATO_BED_CAP,$B75&gt;CARROT_BED_CAP,Y$4&gt;MESCLUN_BED_CAP,$A75+$B75+Y$4&gt;TOTAL_BEDS_AVAILABLE,($D75+Y$5)&gt;TOTAL_LABOR_HOURS_CAP,MAX(0,($D75+Y$5)-PERMANENT_FIELD_LABOR_HOURS)&gt;TEMP_HOURS_CAP),"",$C75+Y$6-MIN(($D75+Y$5),PERMANENT_FIELD_LABOR_HOURS)*PERMANENT_HOURLY_RATE-MAX(0,($D75+Y$5)-PERMANENT_FIELD_LABOR_HOURS)*TEMP_HOURLY_RATE-FIXED_SEASON_COST)</f>
        <v>5125.49754893286</v>
      </c>
      <c r="Z75" s="53" t="n">
        <f aca="false">IF(OR($A75&gt;TOMATO_BED_CAP,$B75&gt;CARROT_BED_CAP,Z$4&gt;MESCLUN_BED_CAP,$A75+$B75+Z$4&gt;TOTAL_BEDS_AVAILABLE,($D75+Z$5)&gt;TOTAL_LABOR_HOURS_CAP,MAX(0,($D75+Z$5)-PERMANENT_FIELD_LABOR_HOURS)&gt;TEMP_HOURS_CAP),"",$C75+Z$6-MIN(($D75+Z$5),PERMANENT_FIELD_LABOR_HOURS)*PERMANENT_HOURLY_RATE-MAX(0,($D75+Z$5)-PERMANENT_FIELD_LABOR_HOURS)*TEMP_HOURLY_RATE-FIXED_SEASON_COST)</f>
        <v>5709.04386324058</v>
      </c>
      <c r="AA75" s="53" t="n">
        <f aca="false">IF(OR($A75&gt;TOMATO_BED_CAP,$B75&gt;CARROT_BED_CAP,AA$4&gt;MESCLUN_BED_CAP,$A75+$B75+AA$4&gt;TOTAL_BEDS_AVAILABLE,($D75+AA$5)&gt;TOTAL_LABOR_HOURS_CAP,MAX(0,($D75+AA$5)-PERMANENT_FIELD_LABOR_HOURS)&gt;TEMP_HOURS_CAP),"",$C75+AA$6-MIN(($D75+AA$5),PERMANENT_FIELD_LABOR_HOURS)*PERMANENT_HOURLY_RATE-MAX(0,($D75+AA$5)-PERMANENT_FIELD_LABOR_HOURS)*TEMP_HOURLY_RATE-FIXED_SEASON_COST)</f>
        <v>6264.61541290952</v>
      </c>
      <c r="AB75" s="53" t="n">
        <f aca="false">IF(OR($A75&gt;TOMATO_BED_CAP,$B75&gt;CARROT_BED_CAP,AB$4&gt;MESCLUN_BED_CAP,$A75+$B75+AB$4&gt;TOTAL_BEDS_AVAILABLE,($D75+AB$5)&gt;TOTAL_LABOR_HOURS_CAP,MAX(0,($D75+AB$5)-PERMANENT_FIELD_LABOR_HOURS)&gt;TEMP_HOURS_CAP),"",$C75+AB$6-MIN(($D75+AB$5),PERMANENT_FIELD_LABOR_HOURS)*PERMANENT_HOURLY_RATE-MAX(0,($D75+AB$5)-PERMANENT_FIELD_LABOR_HOURS)*TEMP_HOURLY_RATE-FIXED_SEASON_COST)</f>
        <v>6791.70602471208</v>
      </c>
      <c r="AC75" s="53" t="n">
        <f aca="false">IF(OR($A75&gt;TOMATO_BED_CAP,$B75&gt;CARROT_BED_CAP,AC$4&gt;MESCLUN_BED_CAP,$A75+$B75+AC$4&gt;TOTAL_BEDS_AVAILABLE,($D75+AC$5)&gt;TOTAL_LABOR_HOURS_CAP,MAX(0,($D75+AC$5)-PERMANENT_FIELD_LABOR_HOURS)&gt;TEMP_HOURS_CAP),"",$C75+AC$6-MIN(($D75+AC$5),PERMANENT_FIELD_LABOR_HOURS)*PERMANENT_HOURLY_RATE-MAX(0,($D75+AC$5)-PERMANENT_FIELD_LABOR_HOURS)*TEMP_HOURLY_RATE-FIXED_SEASON_COST)</f>
        <v>7289.80124214698</v>
      </c>
      <c r="AD75" s="53" t="n">
        <f aca="false">IF(OR($A75&gt;TOMATO_BED_CAP,$B75&gt;CARROT_BED_CAP,AD$4&gt;MESCLUN_BED_CAP,$A75+$B75+AD$4&gt;TOTAL_BEDS_AVAILABLE,($D75+AD$5)&gt;TOTAL_LABOR_HOURS_CAP,MAX(0,($D75+AD$5)-PERMANENT_FIELD_LABOR_HOURS)&gt;TEMP_HOURS_CAP),"",$C75+AD$6-MIN(($D75+AD$5),PERMANENT_FIELD_LABOR_HOURS)*PERMANENT_HOURLY_RATE-MAX(0,($D75+AD$5)-PERMANENT_FIELD_LABOR_HOURS)*TEMP_HOURLY_RATE-FIXED_SEASON_COST)</f>
        <v>7758.37819744694</v>
      </c>
      <c r="AE75" s="53" t="n">
        <f aca="false">IF(OR($A75&gt;TOMATO_BED_CAP,$B75&gt;CARROT_BED_CAP,AE$4&gt;MESCLUN_BED_CAP,$A75+$B75+AE$4&gt;TOTAL_BEDS_AVAILABLE,($D75+AE$5)&gt;TOTAL_LABOR_HOURS_CAP,MAX(0,($D75+AE$5)-PERMANENT_FIELD_LABOR_HOURS)&gt;TEMP_HOURS_CAP),"",$C75+AE$6-MIN(($D75+AE$5),PERMANENT_FIELD_LABOR_HOURS)*PERMANENT_HOURLY_RATE-MAX(0,($D75+AE$5)-PERMANENT_FIELD_LABOR_HOURS)*TEMP_HOURLY_RATE-FIXED_SEASON_COST)</f>
        <v>8196.90548168085</v>
      </c>
      <c r="AF75" s="53" t="n">
        <f aca="false">IF(OR($A75&gt;TOMATO_BED_CAP,$B75&gt;CARROT_BED_CAP,AF$4&gt;MESCLUN_BED_CAP,$A75+$B75+AF$4&gt;TOTAL_BEDS_AVAILABLE,($D75+AF$5)&gt;TOTAL_LABOR_HOURS_CAP,MAX(0,($D75+AF$5)-PERMANENT_FIELD_LABOR_HOURS)&gt;TEMP_HOURS_CAP),"",$C75+AF$6-MIN(($D75+AF$5),PERMANENT_FIELD_LABOR_HOURS)*PERMANENT_HOURLY_RATE-MAX(0,($D75+AF$5)-PERMANENT_FIELD_LABOR_HOURS)*TEMP_HOURLY_RATE-FIXED_SEASON_COST)</f>
        <v>8604.8430129228</v>
      </c>
      <c r="AG75" s="53" t="n">
        <f aca="false">IF(OR($A75&gt;TOMATO_BED_CAP,$B75&gt;CARROT_BED_CAP,AG$4&gt;MESCLUN_BED_CAP,$A75+$B75+AG$4&gt;TOTAL_BEDS_AVAILABLE,($D75+AG$5)&gt;TOTAL_LABOR_HOURS_CAP,MAX(0,($D75+AG$5)-PERMANENT_FIELD_LABOR_HOURS)&gt;TEMP_HOURS_CAP),"",$C75+AG$6-MIN(($D75+AG$5),PERMANENT_FIELD_LABOR_HOURS)*PERMANENT_HOURLY_RATE-MAX(0,($D75+AG$5)-PERMANENT_FIELD_LABOR_HOURS)*TEMP_HOURLY_RATE-FIXED_SEASON_COST)</f>
        <v>8981.64190245981</v>
      </c>
      <c r="AH75" s="53" t="n">
        <f aca="false">IF(OR($A75&gt;TOMATO_BED_CAP,$B75&gt;CARROT_BED_CAP,AH$4&gt;MESCLUN_BED_CAP,$A75+$B75+AH$4&gt;TOTAL_BEDS_AVAILABLE,($D75+AH$5)&gt;TOTAL_LABOR_HOURS_CAP,MAX(0,($D75+AH$5)-PERMANENT_FIELD_LABOR_HOURS)&gt;TEMP_HOURS_CAP),"",$C75+AH$6-MIN(($D75+AH$5),PERMANENT_FIELD_LABOR_HOURS)*PERMANENT_HOURLY_RATE-MAX(0,($D75+AH$5)-PERMANENT_FIELD_LABOR_HOURS)*TEMP_HOURLY_RATE-FIXED_SEASON_COST)</f>
        <v>9326.74431901003</v>
      </c>
      <c r="AI75" s="53" t="n">
        <f aca="false">IF(OR($A75&gt;TOMATO_BED_CAP,$B75&gt;CARROT_BED_CAP,AI$4&gt;MESCLUN_BED_CAP,$A75+$B75+AI$4&gt;TOTAL_BEDS_AVAILABLE,($D75+AI$5)&gt;TOTAL_LABOR_HOURS_CAP,MAX(0,($D75+AI$5)-PERMANENT_FIELD_LABOR_HOURS)&gt;TEMP_HOURS_CAP),"",$C75+AI$6-MIN(($D75+AI$5),PERMANENT_FIELD_LABOR_HOURS)*PERMANENT_HOURLY_RATE-MAX(0,($D75+AI$5)-PERMANENT_FIELD_LABOR_HOURS)*TEMP_HOURLY_RATE-FIXED_SEASON_COST)</f>
        <v>9639.58335092229</v>
      </c>
      <c r="AJ75" s="53" t="n">
        <f aca="false">IF(OR($A75&gt;TOMATO_BED_CAP,$B75&gt;CARROT_BED_CAP,AJ$4&gt;MESCLUN_BED_CAP,$A75+$B75+AJ$4&gt;TOTAL_BEDS_AVAILABLE,($D75+AJ$5)&gt;TOTAL_LABOR_HOURS_CAP,MAX(0,($D75+AJ$5)-PERMANENT_FIELD_LABOR_HOURS)&gt;TEMP_HOURS_CAP),"",$C75+AJ$6-MIN(($D75+AJ$5),PERMANENT_FIELD_LABOR_HOURS)*PERMANENT_HOURLY_RATE-MAX(0,($D75+AJ$5)-PERMANENT_FIELD_LABOR_HOURS)*TEMP_HOURLY_RATE-FIXED_SEASON_COST)</f>
        <v>9919.58286632804</v>
      </c>
    </row>
    <row r="76" customFormat="false" ht="15" hidden="false" customHeight="false" outlineLevel="0" collapsed="false">
      <c r="A76" s="21" t="n">
        <f aca="false">INT((ROW()-ROW($A$8))/(20+1))</f>
        <v>3</v>
      </c>
      <c r="B76" s="21" t="n">
        <f aca="false">MOD(ROW()-ROW($A$8),20+1)</f>
        <v>5</v>
      </c>
      <c r="C76" s="13" t="n">
        <f aca="false">A76*(TOMATO_REVENUE_PER_BED-TOMATO_FERTILIZER_PER_BED)+B76*(CARROT_REVENUE_PER_BED-CARROT_FERTILIZER_PER_BED)</f>
        <v>32030</v>
      </c>
      <c r="D76" s="14" t="n">
        <f aca="false">INDEX(TOMATO_SCHED_LABOR_HRS,A76+1)+INDEX(CARROT_SCHED_LABOR_HRS,B76+1)</f>
        <v>529.01334744082</v>
      </c>
      <c r="E76" s="13" t="n">
        <f aca="false">IF(COUNT(F76:AJ76)=0,"",MAX(F76:AJ76))</f>
        <v>10927.1175832999</v>
      </c>
      <c r="F76" s="53" t="n">
        <f aca="false">IF(OR($A76&gt;TOMATO_BED_CAP,$B76&gt;CARROT_BED_CAP,F$4&gt;MESCLUN_BED_CAP,$A76+$B76+F$4&gt;TOTAL_BEDS_AVAILABLE,($D76+F$5)&gt;TOTAL_LABOR_HOURS_CAP,MAX(0,($D76+F$5)-PERMANENT_FIELD_LABOR_HOURS)&gt;TEMP_HOURS_CAP),"",$C76+F$6-MIN(($D76+F$5),PERMANENT_FIELD_LABOR_HOURS)*PERMANENT_HOURLY_RATE-MAX(0,($D76+F$5)-PERMANENT_FIELD_LABOR_HOURS)*TEMP_HOURLY_RATE-FIXED_SEASON_COST)</f>
        <v>-6337.34342314528</v>
      </c>
      <c r="G76" s="53" t="n">
        <f aca="false">IF(OR($A76&gt;TOMATO_BED_CAP,$B76&gt;CARROT_BED_CAP,G$4&gt;MESCLUN_BED_CAP,$A76+$B76+G$4&gt;TOTAL_BEDS_AVAILABLE,($D76+G$5)&gt;TOTAL_LABOR_HOURS_CAP,MAX(0,($D76+G$5)-PERMANENT_FIELD_LABOR_HOURS)&gt;TEMP_HOURS_CAP),"",$C76+G$6-MIN(($D76+G$5),PERMANENT_FIELD_LABOR_HOURS)*PERMANENT_HOURLY_RATE-MAX(0,($D76+G$5)-PERMANENT_FIELD_LABOR_HOURS)*TEMP_HOURLY_RATE-FIXED_SEASON_COST)</f>
        <v>-6099.27342314528</v>
      </c>
      <c r="H76" s="53" t="n">
        <f aca="false">IF(OR($A76&gt;TOMATO_BED_CAP,$B76&gt;CARROT_BED_CAP,H$4&gt;MESCLUN_BED_CAP,$A76+$B76+H$4&gt;TOTAL_BEDS_AVAILABLE,($D76+H$5)&gt;TOTAL_LABOR_HOURS_CAP,MAX(0,($D76+H$5)-PERMANENT_FIELD_LABOR_HOURS)&gt;TEMP_HOURS_CAP),"",$C76+H$6-MIN(($D76+H$5),PERMANENT_FIELD_LABOR_HOURS)*PERMANENT_HOURLY_RATE-MAX(0,($D76+H$5)-PERMANENT_FIELD_LABOR_HOURS)*TEMP_HOURLY_RATE-FIXED_SEASON_COST)</f>
        <v>-5900.75167314528</v>
      </c>
      <c r="I76" s="53" t="n">
        <f aca="false">IF(OR($A76&gt;TOMATO_BED_CAP,$B76&gt;CARROT_BED_CAP,I$4&gt;MESCLUN_BED_CAP,$A76+$B76+I$4&gt;TOTAL_BEDS_AVAILABLE,($D76+I$5)&gt;TOTAL_LABOR_HOURS_CAP,MAX(0,($D76+I$5)-PERMANENT_FIELD_LABOR_HOURS)&gt;TEMP_HOURS_CAP),"",$C76+I$6-MIN(($D76+I$5),PERMANENT_FIELD_LABOR_HOURS)*PERMANENT_HOURLY_RATE-MAX(0,($D76+I$5)-PERMANENT_FIELD_LABOR_HOURS)*TEMP_HOURLY_RATE-FIXED_SEASON_COST)</f>
        <v>-5742.51970283278</v>
      </c>
      <c r="J76" s="53" t="n">
        <f aca="false">IF(OR($A76&gt;TOMATO_BED_CAP,$B76&gt;CARROT_BED_CAP,J$4&gt;MESCLUN_BED_CAP,$A76+$B76+J$4&gt;TOTAL_BEDS_AVAILABLE,($D76+J$5)&gt;TOTAL_LABOR_HOURS_CAP,MAX(0,($D76+J$5)-PERMANENT_FIELD_LABOR_HOURS)&gt;TEMP_HOURS_CAP),"",$C76+J$6-MIN(($D76+J$5),PERMANENT_FIELD_LABOR_HOURS)*PERMANENT_HOURLY_RATE-MAX(0,($D76+J$5)-PERMANENT_FIELD_LABOR_HOURS)*TEMP_HOURLY_RATE-FIXED_SEASON_COST)</f>
        <v>-5625.3314007234</v>
      </c>
      <c r="K76" s="53" t="n">
        <f aca="false">IF(OR($A76&gt;TOMATO_BED_CAP,$B76&gt;CARROT_BED_CAP,K$4&gt;MESCLUN_BED_CAP,$A76+$B76+K$4&gt;TOTAL_BEDS_AVAILABLE,($D76+K$5)&gt;TOTAL_LABOR_HOURS_CAP,MAX(0,($D76+K$5)-PERMANENT_FIELD_LABOR_HOURS)&gt;TEMP_HOURS_CAP),"",$C76+K$6-MIN(($D76+K$5),PERMANENT_FIELD_LABOR_HOURS)*PERMANENT_HOURLY_RATE-MAX(0,($D76+K$5)-PERMANENT_FIELD_LABOR_HOURS)*TEMP_HOURLY_RATE-FIXED_SEASON_COST)</f>
        <v>-4709.1766036338</v>
      </c>
      <c r="L76" s="53" t="n">
        <f aca="false">IF(OR($A76&gt;TOMATO_BED_CAP,$B76&gt;CARROT_BED_CAP,L$4&gt;MESCLUN_BED_CAP,$A76+$B76+L$4&gt;TOTAL_BEDS_AVAILABLE,($D76+L$5)&gt;TOTAL_LABOR_HOURS_CAP,MAX(0,($D76+L$5)-PERMANENT_FIELD_LABOR_HOURS)&gt;TEMP_HOURS_CAP),"",$C76+L$6-MIN(($D76+L$5),PERMANENT_FIELD_LABOR_HOURS)*PERMANENT_HOURLY_RATE-MAX(0,($D76+L$5)-PERMANENT_FIELD_LABOR_HOURS)*TEMP_HOURLY_RATE-FIXED_SEASON_COST)</f>
        <v>-3782.78215542694</v>
      </c>
      <c r="M76" s="53" t="n">
        <f aca="false">IF(OR($A76&gt;TOMATO_BED_CAP,$B76&gt;CARROT_BED_CAP,M$4&gt;MESCLUN_BED_CAP,$A76+$B76+M$4&gt;TOTAL_BEDS_AVAILABLE,($D76+M$5)&gt;TOTAL_LABOR_HOURS_CAP,MAX(0,($D76+M$5)-PERMANENT_FIELD_LABOR_HOURS)&gt;TEMP_HOURS_CAP),"",$C76+M$6-MIN(($D76+M$5),PERMANENT_FIELD_LABOR_HOURS)*PERMANENT_HOURLY_RATE-MAX(0,($D76+M$5)-PERMANENT_FIELD_LABOR_HOURS)*TEMP_HOURLY_RATE-FIXED_SEASON_COST)</f>
        <v>-2878.07842337553</v>
      </c>
      <c r="N76" s="53" t="n">
        <f aca="false">IF(OR($A76&gt;TOMATO_BED_CAP,$B76&gt;CARROT_BED_CAP,N$4&gt;MESCLUN_BED_CAP,$A76+$B76+N$4&gt;TOTAL_BEDS_AVAILABLE,($D76+N$5)&gt;TOTAL_LABOR_HOURS_CAP,MAX(0,($D76+N$5)-PERMANENT_FIELD_LABOR_HOURS)&gt;TEMP_HOURS_CAP),"",$C76+N$6-MIN(($D76+N$5),PERMANENT_FIELD_LABOR_HOURS)*PERMANENT_HOURLY_RATE-MAX(0,($D76+N$5)-PERMANENT_FIELD_LABOR_HOURS)*TEMP_HOURLY_RATE-FIXED_SEASON_COST)</f>
        <v>-1995.46804951599</v>
      </c>
      <c r="O76" s="53" t="n">
        <f aca="false">IF(OR($A76&gt;TOMATO_BED_CAP,$B76&gt;CARROT_BED_CAP,O$4&gt;MESCLUN_BED_CAP,$A76+$B76+O$4&gt;TOTAL_BEDS_AVAILABLE,($D76+O$5)&gt;TOTAL_LABOR_HOURS_CAP,MAX(0,($D76+O$5)-PERMANENT_FIELD_LABOR_HOURS)&gt;TEMP_HOURS_CAP),"",$C76+O$6-MIN(($D76+O$5),PERMANENT_FIELD_LABOR_HOURS)*PERMANENT_HOURLY_RATE-MAX(0,($D76+O$5)-PERMANENT_FIELD_LABOR_HOURS)*TEMP_HOURLY_RATE-FIXED_SEASON_COST)</f>
        <v>-1135.36035276124</v>
      </c>
      <c r="P76" s="53" t="n">
        <f aca="false">IF(OR($A76&gt;TOMATO_BED_CAP,$B76&gt;CARROT_BED_CAP,P$4&gt;MESCLUN_BED_CAP,$A76+$B76+P$4&gt;TOTAL_BEDS_AVAILABLE,($D76+P$5)&gt;TOTAL_LABOR_HOURS_CAP,MAX(0,($D76+P$5)-PERMANENT_FIELD_LABOR_HOURS)&gt;TEMP_HOURS_CAP),"",$C76+P$6-MIN(($D76+P$5),PERMANENT_FIELD_LABOR_HOURS)*PERMANENT_HOURLY_RATE-MAX(0,($D76+P$5)-PERMANENT_FIELD_LABOR_HOURS)*TEMP_HOURLY_RATE-FIXED_SEASON_COST)</f>
        <v>-298.17143290981</v>
      </c>
      <c r="Q76" s="53" t="n">
        <f aca="false">IF(OR($A76&gt;TOMATO_BED_CAP,$B76&gt;CARROT_BED_CAP,Q$4&gt;MESCLUN_BED_CAP,$A76+$B76+Q$4&gt;TOTAL_BEDS_AVAILABLE,($D76+Q$5)&gt;TOTAL_LABOR_HOURS_CAP,MAX(0,($D76+Q$5)-PERMANENT_FIELD_LABOR_HOURS)&gt;TEMP_HOURS_CAP),"",$C76+Q$6-MIN(($D76+Q$5),PERMANENT_FIELD_LABOR_HOURS)*PERMANENT_HOURLY_RATE-MAX(0,($D76+Q$5)-PERMANENT_FIELD_LABOR_HOURS)*TEMP_HOURLY_RATE-FIXED_SEASON_COST)</f>
        <v>515.675723788085</v>
      </c>
      <c r="R76" s="53" t="n">
        <f aca="false">IF(OR($A76&gt;TOMATO_BED_CAP,$B76&gt;CARROT_BED_CAP,R$4&gt;MESCLUN_BED_CAP,$A76+$B76+R$4&gt;TOTAL_BEDS_AVAILABLE,($D76+R$5)&gt;TOTAL_LABOR_HOURS_CAP,MAX(0,($D76+R$5)-PERMANENT_FIELD_LABOR_HOURS)&gt;TEMP_HOURS_CAP),"",$C76+R$6-MIN(($D76+R$5),PERMANENT_FIELD_LABOR_HOURS)*PERMANENT_HOURLY_RATE-MAX(0,($D76+R$5)-PERMANENT_FIELD_LABOR_HOURS)*TEMP_HOURLY_RATE-FIXED_SEASON_COST)</f>
        <v>1305.75113748489</v>
      </c>
      <c r="S76" s="53" t="n">
        <f aca="false">IF(OR($A76&gt;TOMATO_BED_CAP,$B76&gt;CARROT_BED_CAP,S$4&gt;MESCLUN_BED_CAP,$A76+$B76+S$4&gt;TOTAL_BEDS_AVAILABLE,($D76+S$5)&gt;TOTAL_LABOR_HOURS_CAP,MAX(0,($D76+S$5)-PERMANENT_FIELD_LABOR_HOURS)&gt;TEMP_HOURS_CAP),"",$C76+S$6-MIN(($D76+S$5),PERMANENT_FIELD_LABOR_HOURS)*PERMANENT_HOURLY_RATE-MAX(0,($D76+S$5)-PERMANENT_FIELD_LABOR_HOURS)*TEMP_HOURLY_RATE-FIXED_SEASON_COST)</f>
        <v>2071.61772598734</v>
      </c>
      <c r="T76" s="53" t="n">
        <f aca="false">IF(OR($A76&gt;TOMATO_BED_CAP,$B76&gt;CARROT_BED_CAP,T$4&gt;MESCLUN_BED_CAP,$A76+$B76+T$4&gt;TOTAL_BEDS_AVAILABLE,($D76+T$5)&gt;TOTAL_LABOR_HOURS_CAP,MAX(0,($D76+T$5)-PERMANENT_FIELD_LABOR_HOURS)&gt;TEMP_HOURS_CAP),"",$C76+T$6-MIN(($D76+T$5),PERMANENT_FIELD_LABOR_HOURS)*PERMANENT_HOURLY_RATE-MAX(0,($D76+T$5)-PERMANENT_FIELD_LABOR_HOURS)*TEMP_HOURLY_RATE-FIXED_SEASON_COST)</f>
        <v>2812.83119438218</v>
      </c>
      <c r="U76" s="53" t="n">
        <f aca="false">IF(OR($A76&gt;TOMATO_BED_CAP,$B76&gt;CARROT_BED_CAP,U$4&gt;MESCLUN_BED_CAP,$A76+$B76+U$4&gt;TOTAL_BEDS_AVAILABLE,($D76+U$5)&gt;TOTAL_LABOR_HOURS_CAP,MAX(0,($D76+U$5)-PERMANENT_FIELD_LABOR_HOURS)&gt;TEMP_HOURS_CAP),"",$C76+U$6-MIN(($D76+U$5),PERMANENT_FIELD_LABOR_HOURS)*PERMANENT_HOURLY_RATE-MAX(0,($D76+U$5)-PERMANENT_FIELD_LABOR_HOURS)*TEMP_HOURLY_RATE-FIXED_SEASON_COST)</f>
        <v>3528.93992301229</v>
      </c>
      <c r="V76" s="53" t="n">
        <f aca="false">IF(OR($A76&gt;TOMATO_BED_CAP,$B76&gt;CARROT_BED_CAP,V$4&gt;MESCLUN_BED_CAP,$A76+$B76+V$4&gt;TOTAL_BEDS_AVAILABLE,($D76+V$5)&gt;TOTAL_LABOR_HOURS_CAP,MAX(0,($D76+V$5)-PERMANENT_FIELD_LABOR_HOURS)&gt;TEMP_HOURS_CAP),"",$C76+V$6-MIN(($D76+V$5),PERMANENT_FIELD_LABOR_HOURS)*PERMANENT_HOURLY_RATE-MAX(0,($D76+V$5)-PERMANENT_FIELD_LABOR_HOURS)*TEMP_HOURLY_RATE-FIXED_SEASON_COST)</f>
        <v>4219.48485377908</v>
      </c>
      <c r="W76" s="53" t="n">
        <f aca="false">IF(OR($A76&gt;TOMATO_BED_CAP,$B76&gt;CARROT_BED_CAP,W$4&gt;MESCLUN_BED_CAP,$A76+$B76+W$4&gt;TOTAL_BEDS_AVAILABLE,($D76+W$5)&gt;TOTAL_LABOR_HOURS_CAP,MAX(0,($D76+W$5)-PERMANENT_FIELD_LABOR_HOURS)&gt;TEMP_HOURS_CAP),"",$C76+W$6-MIN(($D76+W$5),PERMANENT_FIELD_LABOR_HOURS)*PERMANENT_HOURLY_RATE-MAX(0,($D76+W$5)-PERMANENT_FIELD_LABOR_HOURS)*TEMP_HOURLY_RATE-FIXED_SEASON_COST)</f>
        <v>4883.99937474714</v>
      </c>
      <c r="X76" s="53" t="n">
        <f aca="false">IF(OR($A76&gt;TOMATO_BED_CAP,$B76&gt;CARROT_BED_CAP,X$4&gt;MESCLUN_BED_CAP,$A76+$B76+X$4&gt;TOTAL_BEDS_AVAILABLE,($D76+X$5)&gt;TOTAL_LABOR_HOURS_CAP,MAX(0,($D76+X$5)-PERMANENT_FIELD_LABOR_HOURS)&gt;TEMP_HOURS_CAP),"",$C76+X$6-MIN(($D76+X$5),PERMANENT_FIELD_LABOR_HOURS)*PERMANENT_HOURLY_RATE-MAX(0,($D76+X$5)-PERMANENT_FIELD_LABOR_HOURS)*TEMP_HOURLY_RATE-FIXED_SEASON_COST)</f>
        <v>5522.00920302606</v>
      </c>
      <c r="Y76" s="53" t="n">
        <f aca="false">IF(OR($A76&gt;TOMATO_BED_CAP,$B76&gt;CARROT_BED_CAP,Y$4&gt;MESCLUN_BED_CAP,$A76+$B76+Y$4&gt;TOTAL_BEDS_AVAILABLE,($D76+Y$5)&gt;TOTAL_LABOR_HOURS_CAP,MAX(0,($D76+Y$5)-PERMANENT_FIELD_LABOR_HOURS)&gt;TEMP_HOURS_CAP),"",$C76+Y$6-MIN(($D76+Y$5),PERMANENT_FIELD_LABOR_HOURS)*PERMANENT_HOURLY_RATE-MAX(0,($D76+Y$5)-PERMANENT_FIELD_LABOR_HOURS)*TEMP_HOURLY_RATE-FIXED_SEASON_COST)</f>
        <v>6133.03226590472</v>
      </c>
      <c r="Z76" s="53" t="n">
        <f aca="false">IF(OR($A76&gt;TOMATO_BED_CAP,$B76&gt;CARROT_BED_CAP,Z$4&gt;MESCLUN_BED_CAP,$A76+$B76+Z$4&gt;TOTAL_BEDS_AVAILABLE,($D76+Z$5)&gt;TOTAL_LABOR_HOURS_CAP,MAX(0,($D76+Z$5)-PERMANENT_FIELD_LABOR_HOURS)&gt;TEMP_HOURS_CAP),"",$C76+Z$6-MIN(($D76+Z$5),PERMANENT_FIELD_LABOR_HOURS)*PERMANENT_HOURLY_RATE-MAX(0,($D76+Z$5)-PERMANENT_FIELD_LABOR_HOURS)*TEMP_HOURLY_RATE-FIXED_SEASON_COST)</f>
        <v>6716.57858021245</v>
      </c>
      <c r="AA76" s="53" t="n">
        <f aca="false">IF(OR($A76&gt;TOMATO_BED_CAP,$B76&gt;CARROT_BED_CAP,AA$4&gt;MESCLUN_BED_CAP,$A76+$B76+AA$4&gt;TOTAL_BEDS_AVAILABLE,($D76+AA$5)&gt;TOTAL_LABOR_HOURS_CAP,MAX(0,($D76+AA$5)-PERMANENT_FIELD_LABOR_HOURS)&gt;TEMP_HOURS_CAP),"",$C76+AA$6-MIN(($D76+AA$5),PERMANENT_FIELD_LABOR_HOURS)*PERMANENT_HOURLY_RATE-MAX(0,($D76+AA$5)-PERMANENT_FIELD_LABOR_HOURS)*TEMP_HOURLY_RATE-FIXED_SEASON_COST)</f>
        <v>7272.15012988138</v>
      </c>
      <c r="AB76" s="53" t="n">
        <f aca="false">IF(OR($A76&gt;TOMATO_BED_CAP,$B76&gt;CARROT_BED_CAP,AB$4&gt;MESCLUN_BED_CAP,$A76+$B76+AB$4&gt;TOTAL_BEDS_AVAILABLE,($D76+AB$5)&gt;TOTAL_LABOR_HOURS_CAP,MAX(0,($D76+AB$5)-PERMANENT_FIELD_LABOR_HOURS)&gt;TEMP_HOURS_CAP),"",$C76+AB$6-MIN(($D76+AB$5),PERMANENT_FIELD_LABOR_HOURS)*PERMANENT_HOURLY_RATE-MAX(0,($D76+AB$5)-PERMANENT_FIELD_LABOR_HOURS)*TEMP_HOURLY_RATE-FIXED_SEASON_COST)</f>
        <v>7799.24074168394</v>
      </c>
      <c r="AC76" s="53" t="n">
        <f aca="false">IF(OR($A76&gt;TOMATO_BED_CAP,$B76&gt;CARROT_BED_CAP,AC$4&gt;MESCLUN_BED_CAP,$A76+$B76+AC$4&gt;TOTAL_BEDS_AVAILABLE,($D76+AC$5)&gt;TOTAL_LABOR_HOURS_CAP,MAX(0,($D76+AC$5)-PERMANENT_FIELD_LABOR_HOURS)&gt;TEMP_HOURS_CAP),"",$C76+AC$6-MIN(($D76+AC$5),PERMANENT_FIELD_LABOR_HOURS)*PERMANENT_HOURLY_RATE-MAX(0,($D76+AC$5)-PERMANENT_FIELD_LABOR_HOURS)*TEMP_HOURLY_RATE-FIXED_SEASON_COST)</f>
        <v>8297.33595911885</v>
      </c>
      <c r="AD76" s="53" t="n">
        <f aca="false">IF(OR($A76&gt;TOMATO_BED_CAP,$B76&gt;CARROT_BED_CAP,AD$4&gt;MESCLUN_BED_CAP,$A76+$B76+AD$4&gt;TOTAL_BEDS_AVAILABLE,($D76+AD$5)&gt;TOTAL_LABOR_HOURS_CAP,MAX(0,($D76+AD$5)-PERMANENT_FIELD_LABOR_HOURS)&gt;TEMP_HOURS_CAP),"",$C76+AD$6-MIN(($D76+AD$5),PERMANENT_FIELD_LABOR_HOURS)*PERMANENT_HOURLY_RATE-MAX(0,($D76+AD$5)-PERMANENT_FIELD_LABOR_HOURS)*TEMP_HOURLY_RATE-FIXED_SEASON_COST)</f>
        <v>8765.9129144188</v>
      </c>
      <c r="AE76" s="53" t="n">
        <f aca="false">IF(OR($A76&gt;TOMATO_BED_CAP,$B76&gt;CARROT_BED_CAP,AE$4&gt;MESCLUN_BED_CAP,$A76+$B76+AE$4&gt;TOTAL_BEDS_AVAILABLE,($D76+AE$5)&gt;TOTAL_LABOR_HOURS_CAP,MAX(0,($D76+AE$5)-PERMANENT_FIELD_LABOR_HOURS)&gt;TEMP_HOURS_CAP),"",$C76+AE$6-MIN(($D76+AE$5),PERMANENT_FIELD_LABOR_HOURS)*PERMANENT_HOURLY_RATE-MAX(0,($D76+AE$5)-PERMANENT_FIELD_LABOR_HOURS)*TEMP_HOURLY_RATE-FIXED_SEASON_COST)</f>
        <v>9204.44019865271</v>
      </c>
      <c r="AF76" s="53" t="n">
        <f aca="false">IF(OR($A76&gt;TOMATO_BED_CAP,$B76&gt;CARROT_BED_CAP,AF$4&gt;MESCLUN_BED_CAP,$A76+$B76+AF$4&gt;TOTAL_BEDS_AVAILABLE,($D76+AF$5)&gt;TOTAL_LABOR_HOURS_CAP,MAX(0,($D76+AF$5)-PERMANENT_FIELD_LABOR_HOURS)&gt;TEMP_HOURS_CAP),"",$C76+AF$6-MIN(($D76+AF$5),PERMANENT_FIELD_LABOR_HOURS)*PERMANENT_HOURLY_RATE-MAX(0,($D76+AF$5)-PERMANENT_FIELD_LABOR_HOURS)*TEMP_HOURLY_RATE-FIXED_SEASON_COST)</f>
        <v>9612.37772989466</v>
      </c>
      <c r="AG76" s="53" t="n">
        <f aca="false">IF(OR($A76&gt;TOMATO_BED_CAP,$B76&gt;CARROT_BED_CAP,AG$4&gt;MESCLUN_BED_CAP,$A76+$B76+AG$4&gt;TOTAL_BEDS_AVAILABLE,($D76+AG$5)&gt;TOTAL_LABOR_HOURS_CAP,MAX(0,($D76+AG$5)-PERMANENT_FIELD_LABOR_HOURS)&gt;TEMP_HOURS_CAP),"",$C76+AG$6-MIN(($D76+AG$5),PERMANENT_FIELD_LABOR_HOURS)*PERMANENT_HOURLY_RATE-MAX(0,($D76+AG$5)-PERMANENT_FIELD_LABOR_HOURS)*TEMP_HOURLY_RATE-FIXED_SEASON_COST)</f>
        <v>9989.17661943167</v>
      </c>
      <c r="AH76" s="53" t="n">
        <f aca="false">IF(OR($A76&gt;TOMATO_BED_CAP,$B76&gt;CARROT_BED_CAP,AH$4&gt;MESCLUN_BED_CAP,$A76+$B76+AH$4&gt;TOTAL_BEDS_AVAILABLE,($D76+AH$5)&gt;TOTAL_LABOR_HOURS_CAP,MAX(0,($D76+AH$5)-PERMANENT_FIELD_LABOR_HOURS)&gt;TEMP_HOURS_CAP),"",$C76+AH$6-MIN(($D76+AH$5),PERMANENT_FIELD_LABOR_HOURS)*PERMANENT_HOURLY_RATE-MAX(0,($D76+AH$5)-PERMANENT_FIELD_LABOR_HOURS)*TEMP_HOURLY_RATE-FIXED_SEASON_COST)</f>
        <v>10334.2790359819</v>
      </c>
      <c r="AI76" s="53" t="n">
        <f aca="false">IF(OR($A76&gt;TOMATO_BED_CAP,$B76&gt;CARROT_BED_CAP,AI$4&gt;MESCLUN_BED_CAP,$A76+$B76+AI$4&gt;TOTAL_BEDS_AVAILABLE,($D76+AI$5)&gt;TOTAL_LABOR_HOURS_CAP,MAX(0,($D76+AI$5)-PERMANENT_FIELD_LABOR_HOURS)&gt;TEMP_HOURS_CAP),"",$C76+AI$6-MIN(($D76+AI$5),PERMANENT_FIELD_LABOR_HOURS)*PERMANENT_HOURLY_RATE-MAX(0,($D76+AI$5)-PERMANENT_FIELD_LABOR_HOURS)*TEMP_HOURLY_RATE-FIXED_SEASON_COST)</f>
        <v>10647.1180678942</v>
      </c>
      <c r="AJ76" s="53" t="n">
        <f aca="false">IF(OR($A76&gt;TOMATO_BED_CAP,$B76&gt;CARROT_BED_CAP,AJ$4&gt;MESCLUN_BED_CAP,$A76+$B76+AJ$4&gt;TOTAL_BEDS_AVAILABLE,($D76+AJ$5)&gt;TOTAL_LABOR_HOURS_CAP,MAX(0,($D76+AJ$5)-PERMANENT_FIELD_LABOR_HOURS)&gt;TEMP_HOURS_CAP),"",$C76+AJ$6-MIN(($D76+AJ$5),PERMANENT_FIELD_LABOR_HOURS)*PERMANENT_HOURLY_RATE-MAX(0,($D76+AJ$5)-PERMANENT_FIELD_LABOR_HOURS)*TEMP_HOURLY_RATE-FIXED_SEASON_COST)</f>
        <v>10927.1175832999</v>
      </c>
    </row>
    <row r="77" customFormat="false" ht="15" hidden="false" customHeight="false" outlineLevel="0" collapsed="false">
      <c r="A77" s="21" t="n">
        <f aca="false">INT((ROW()-ROW($A$8))/(20+1))</f>
        <v>3</v>
      </c>
      <c r="B77" s="21" t="n">
        <f aca="false">MOD(ROW()-ROW($A$8),20+1)</f>
        <v>6</v>
      </c>
      <c r="C77" s="13" t="n">
        <f aca="false">A77*(TOMATO_REVENUE_PER_BED-TOMATO_FERTILIZER_PER_BED)+B77*(CARROT_REVENUE_PER_BED-CARROT_FERTILIZER_PER_BED)</f>
        <v>33684</v>
      </c>
      <c r="D77" s="14" t="n">
        <f aca="false">INDEX(TOMATO_SCHED_LABOR_HRS,A77+1)+INDEX(CARROT_SCHED_LABOR_HRS,B77+1)</f>
        <v>568.031317352209</v>
      </c>
      <c r="E77" s="13" t="n">
        <f aca="false">IF(COUNT(F77:AJ77)=0,"",MAX(F77:AJ77))</f>
        <v>11903.7656256382</v>
      </c>
      <c r="F77" s="53" t="n">
        <f aca="false">IF(OR($A77&gt;TOMATO_BED_CAP,$B77&gt;CARROT_BED_CAP,F$4&gt;MESCLUN_BED_CAP,$A77+$B77+F$4&gt;TOTAL_BEDS_AVAILABLE,($D77+F$5)&gt;TOTAL_LABOR_HOURS_CAP,MAX(0,($D77+F$5)-PERMANENT_FIELD_LABOR_HOURS)&gt;TEMP_HOURS_CAP),"",$C77+F$6-MIN(($D77+F$5),PERMANENT_FIELD_LABOR_HOURS)*PERMANENT_HOURLY_RATE-MAX(0,($D77+F$5)-PERMANENT_FIELD_LABOR_HOURS)*TEMP_HOURLY_RATE-FIXED_SEASON_COST)</f>
        <v>-6038.04733846869</v>
      </c>
      <c r="G77" s="53" t="n">
        <f aca="false">IF(OR($A77&gt;TOMATO_BED_CAP,$B77&gt;CARROT_BED_CAP,G$4&gt;MESCLUN_BED_CAP,$A77+$B77+G$4&gt;TOTAL_BEDS_AVAILABLE,($D77+G$5)&gt;TOTAL_LABOR_HOURS_CAP,MAX(0,($D77+G$5)-PERMANENT_FIELD_LABOR_HOURS)&gt;TEMP_HOURS_CAP),"",$C77+G$6-MIN(($D77+G$5),PERMANENT_FIELD_LABOR_HOURS)*PERMANENT_HOURLY_RATE-MAX(0,($D77+G$5)-PERMANENT_FIELD_LABOR_HOURS)*TEMP_HOURLY_RATE-FIXED_SEASON_COST)</f>
        <v>-5799.97733846869</v>
      </c>
      <c r="H77" s="53" t="n">
        <f aca="false">IF(OR($A77&gt;TOMATO_BED_CAP,$B77&gt;CARROT_BED_CAP,H$4&gt;MESCLUN_BED_CAP,$A77+$B77+H$4&gt;TOTAL_BEDS_AVAILABLE,($D77+H$5)&gt;TOTAL_LABOR_HOURS_CAP,MAX(0,($D77+H$5)-PERMANENT_FIELD_LABOR_HOURS)&gt;TEMP_HOURS_CAP),"",$C77+H$6-MIN(($D77+H$5),PERMANENT_FIELD_LABOR_HOURS)*PERMANENT_HOURLY_RATE-MAX(0,($D77+H$5)-PERMANENT_FIELD_LABOR_HOURS)*TEMP_HOURLY_RATE-FIXED_SEASON_COST)</f>
        <v>-5601.45558846869</v>
      </c>
      <c r="I77" s="53" t="n">
        <f aca="false">IF(OR($A77&gt;TOMATO_BED_CAP,$B77&gt;CARROT_BED_CAP,I$4&gt;MESCLUN_BED_CAP,$A77+$B77+I$4&gt;TOTAL_BEDS_AVAILABLE,($D77+I$5)&gt;TOTAL_LABOR_HOURS_CAP,MAX(0,($D77+I$5)-PERMANENT_FIELD_LABOR_HOURS)&gt;TEMP_HOURS_CAP),"",$C77+I$6-MIN(($D77+I$5),PERMANENT_FIELD_LABOR_HOURS)*PERMANENT_HOURLY_RATE-MAX(0,($D77+I$5)-PERMANENT_FIELD_LABOR_HOURS)*TEMP_HOURLY_RATE-FIXED_SEASON_COST)</f>
        <v>-5443.22361815619</v>
      </c>
      <c r="J77" s="53" t="n">
        <f aca="false">IF(OR($A77&gt;TOMATO_BED_CAP,$B77&gt;CARROT_BED_CAP,J$4&gt;MESCLUN_BED_CAP,$A77+$B77+J$4&gt;TOTAL_BEDS_AVAILABLE,($D77+J$5)&gt;TOTAL_LABOR_HOURS_CAP,MAX(0,($D77+J$5)-PERMANENT_FIELD_LABOR_HOURS)&gt;TEMP_HOURS_CAP),"",$C77+J$6-MIN(($D77+J$5),PERMANENT_FIELD_LABOR_HOURS)*PERMANENT_HOURLY_RATE-MAX(0,($D77+J$5)-PERMANENT_FIELD_LABOR_HOURS)*TEMP_HOURLY_RATE-FIXED_SEASON_COST)</f>
        <v>-4680.21765802341</v>
      </c>
      <c r="K77" s="53" t="n">
        <f aca="false">IF(OR($A77&gt;TOMATO_BED_CAP,$B77&gt;CARROT_BED_CAP,K$4&gt;MESCLUN_BED_CAP,$A77+$B77+K$4&gt;TOTAL_BEDS_AVAILABLE,($D77+K$5)&gt;TOTAL_LABOR_HOURS_CAP,MAX(0,($D77+K$5)-PERMANENT_FIELD_LABOR_HOURS)&gt;TEMP_HOURS_CAP),"",$C77+K$6-MIN(($D77+K$5),PERMANENT_FIELD_LABOR_HOURS)*PERMANENT_HOURLY_RATE-MAX(0,($D77+K$5)-PERMANENT_FIELD_LABOR_HOURS)*TEMP_HOURLY_RATE-FIXED_SEASON_COST)</f>
        <v>-3732.5285612955</v>
      </c>
      <c r="L77" s="53" t="n">
        <f aca="false">IF(OR($A77&gt;TOMATO_BED_CAP,$B77&gt;CARROT_BED_CAP,L$4&gt;MESCLUN_BED_CAP,$A77+$B77+L$4&gt;TOTAL_BEDS_AVAILABLE,($D77+L$5)&gt;TOTAL_LABOR_HOURS_CAP,MAX(0,($D77+L$5)-PERMANENT_FIELD_LABOR_HOURS)&gt;TEMP_HOURS_CAP),"",$C77+L$6-MIN(($D77+L$5),PERMANENT_FIELD_LABOR_HOURS)*PERMANENT_HOURLY_RATE-MAX(0,($D77+L$5)-PERMANENT_FIELD_LABOR_HOURS)*TEMP_HOURLY_RATE-FIXED_SEASON_COST)</f>
        <v>-2806.13411308865</v>
      </c>
      <c r="M77" s="53" t="n">
        <f aca="false">IF(OR($A77&gt;TOMATO_BED_CAP,$B77&gt;CARROT_BED_CAP,M$4&gt;MESCLUN_BED_CAP,$A77+$B77+M$4&gt;TOTAL_BEDS_AVAILABLE,($D77+M$5)&gt;TOTAL_LABOR_HOURS_CAP,MAX(0,($D77+M$5)-PERMANENT_FIELD_LABOR_HOURS)&gt;TEMP_HOURS_CAP),"",$C77+M$6-MIN(($D77+M$5),PERMANENT_FIELD_LABOR_HOURS)*PERMANENT_HOURLY_RATE-MAX(0,($D77+M$5)-PERMANENT_FIELD_LABOR_HOURS)*TEMP_HOURLY_RATE-FIXED_SEASON_COST)</f>
        <v>-1901.43038103724</v>
      </c>
      <c r="N77" s="53" t="n">
        <f aca="false">IF(OR($A77&gt;TOMATO_BED_CAP,$B77&gt;CARROT_BED_CAP,N$4&gt;MESCLUN_BED_CAP,$A77+$B77+N$4&gt;TOTAL_BEDS_AVAILABLE,($D77+N$5)&gt;TOTAL_LABOR_HOURS_CAP,MAX(0,($D77+N$5)-PERMANENT_FIELD_LABOR_HOURS)&gt;TEMP_HOURS_CAP),"",$C77+N$6-MIN(($D77+N$5),PERMANENT_FIELD_LABOR_HOURS)*PERMANENT_HOURLY_RATE-MAX(0,($D77+N$5)-PERMANENT_FIELD_LABOR_HOURS)*TEMP_HOURLY_RATE-FIXED_SEASON_COST)</f>
        <v>-1018.8200071777</v>
      </c>
      <c r="O77" s="53" t="n">
        <f aca="false">IF(OR($A77&gt;TOMATO_BED_CAP,$B77&gt;CARROT_BED_CAP,O$4&gt;MESCLUN_BED_CAP,$A77+$B77+O$4&gt;TOTAL_BEDS_AVAILABLE,($D77+O$5)&gt;TOTAL_LABOR_HOURS_CAP,MAX(0,($D77+O$5)-PERMANENT_FIELD_LABOR_HOURS)&gt;TEMP_HOURS_CAP),"",$C77+O$6-MIN(($D77+O$5),PERMANENT_FIELD_LABOR_HOURS)*PERMANENT_HOURLY_RATE-MAX(0,($D77+O$5)-PERMANENT_FIELD_LABOR_HOURS)*TEMP_HOURLY_RATE-FIXED_SEASON_COST)</f>
        <v>-158.712310422943</v>
      </c>
      <c r="P77" s="53" t="n">
        <f aca="false">IF(OR($A77&gt;TOMATO_BED_CAP,$B77&gt;CARROT_BED_CAP,P$4&gt;MESCLUN_BED_CAP,$A77+$B77+P$4&gt;TOTAL_BEDS_AVAILABLE,($D77+P$5)&gt;TOTAL_LABOR_HOURS_CAP,MAX(0,($D77+P$5)-PERMANENT_FIELD_LABOR_HOURS)&gt;TEMP_HOURS_CAP),"",$C77+P$6-MIN(($D77+P$5),PERMANENT_FIELD_LABOR_HOURS)*PERMANENT_HOURLY_RATE-MAX(0,($D77+P$5)-PERMANENT_FIELD_LABOR_HOURS)*TEMP_HOURLY_RATE-FIXED_SEASON_COST)</f>
        <v>678.476609428479</v>
      </c>
      <c r="Q77" s="53" t="n">
        <f aca="false">IF(OR($A77&gt;TOMATO_BED_CAP,$B77&gt;CARROT_BED_CAP,Q$4&gt;MESCLUN_BED_CAP,$A77+$B77+Q$4&gt;TOTAL_BEDS_AVAILABLE,($D77+Q$5)&gt;TOTAL_LABOR_HOURS_CAP,MAX(0,($D77+Q$5)-PERMANENT_FIELD_LABOR_HOURS)&gt;TEMP_HOURS_CAP),"",$C77+Q$6-MIN(($D77+Q$5),PERMANENT_FIELD_LABOR_HOURS)*PERMANENT_HOURLY_RATE-MAX(0,($D77+Q$5)-PERMANENT_FIELD_LABOR_HOURS)*TEMP_HOURLY_RATE-FIXED_SEASON_COST)</f>
        <v>1492.32376612638</v>
      </c>
      <c r="R77" s="53" t="n">
        <f aca="false">IF(OR($A77&gt;TOMATO_BED_CAP,$B77&gt;CARROT_BED_CAP,R$4&gt;MESCLUN_BED_CAP,$A77+$B77+R$4&gt;TOTAL_BEDS_AVAILABLE,($D77+R$5)&gt;TOTAL_LABOR_HOURS_CAP,MAX(0,($D77+R$5)-PERMANENT_FIELD_LABOR_HOURS)&gt;TEMP_HOURS_CAP),"",$C77+R$6-MIN(($D77+R$5),PERMANENT_FIELD_LABOR_HOURS)*PERMANENT_HOURLY_RATE-MAX(0,($D77+R$5)-PERMANENT_FIELD_LABOR_HOURS)*TEMP_HOURLY_RATE-FIXED_SEASON_COST)</f>
        <v>2282.39917982318</v>
      </c>
      <c r="S77" s="53" t="n">
        <f aca="false">IF(OR($A77&gt;TOMATO_BED_CAP,$B77&gt;CARROT_BED_CAP,S$4&gt;MESCLUN_BED_CAP,$A77+$B77+S$4&gt;TOTAL_BEDS_AVAILABLE,($D77+S$5)&gt;TOTAL_LABOR_HOURS_CAP,MAX(0,($D77+S$5)-PERMANENT_FIELD_LABOR_HOURS)&gt;TEMP_HOURS_CAP),"",$C77+S$6-MIN(($D77+S$5),PERMANENT_FIELD_LABOR_HOURS)*PERMANENT_HOURLY_RATE-MAX(0,($D77+S$5)-PERMANENT_FIELD_LABOR_HOURS)*TEMP_HOURLY_RATE-FIXED_SEASON_COST)</f>
        <v>3048.26576832563</v>
      </c>
      <c r="T77" s="53" t="n">
        <f aca="false">IF(OR($A77&gt;TOMATO_BED_CAP,$B77&gt;CARROT_BED_CAP,T$4&gt;MESCLUN_BED_CAP,$A77+$B77+T$4&gt;TOTAL_BEDS_AVAILABLE,($D77+T$5)&gt;TOTAL_LABOR_HOURS_CAP,MAX(0,($D77+T$5)-PERMANENT_FIELD_LABOR_HOURS)&gt;TEMP_HOURS_CAP),"",$C77+T$6-MIN(($D77+T$5),PERMANENT_FIELD_LABOR_HOURS)*PERMANENT_HOURLY_RATE-MAX(0,($D77+T$5)-PERMANENT_FIELD_LABOR_HOURS)*TEMP_HOURLY_RATE-FIXED_SEASON_COST)</f>
        <v>3789.47923672048</v>
      </c>
      <c r="U77" s="53" t="n">
        <f aca="false">IF(OR($A77&gt;TOMATO_BED_CAP,$B77&gt;CARROT_BED_CAP,U$4&gt;MESCLUN_BED_CAP,$A77+$B77+U$4&gt;TOTAL_BEDS_AVAILABLE,($D77+U$5)&gt;TOTAL_LABOR_HOURS_CAP,MAX(0,($D77+U$5)-PERMANENT_FIELD_LABOR_HOURS)&gt;TEMP_HOURS_CAP),"",$C77+U$6-MIN(($D77+U$5),PERMANENT_FIELD_LABOR_HOURS)*PERMANENT_HOURLY_RATE-MAX(0,($D77+U$5)-PERMANENT_FIELD_LABOR_HOURS)*TEMP_HOURLY_RATE-FIXED_SEASON_COST)</f>
        <v>4505.58796535058</v>
      </c>
      <c r="V77" s="53" t="n">
        <f aca="false">IF(OR($A77&gt;TOMATO_BED_CAP,$B77&gt;CARROT_BED_CAP,V$4&gt;MESCLUN_BED_CAP,$A77+$B77+V$4&gt;TOTAL_BEDS_AVAILABLE,($D77+V$5)&gt;TOTAL_LABOR_HOURS_CAP,MAX(0,($D77+V$5)-PERMANENT_FIELD_LABOR_HOURS)&gt;TEMP_HOURS_CAP),"",$C77+V$6-MIN(($D77+V$5),PERMANENT_FIELD_LABOR_HOURS)*PERMANENT_HOURLY_RATE-MAX(0,($D77+V$5)-PERMANENT_FIELD_LABOR_HOURS)*TEMP_HOURLY_RATE-FIXED_SEASON_COST)</f>
        <v>5196.13289611737</v>
      </c>
      <c r="W77" s="53" t="n">
        <f aca="false">IF(OR($A77&gt;TOMATO_BED_CAP,$B77&gt;CARROT_BED_CAP,W$4&gt;MESCLUN_BED_CAP,$A77+$B77+W$4&gt;TOTAL_BEDS_AVAILABLE,($D77+W$5)&gt;TOTAL_LABOR_HOURS_CAP,MAX(0,($D77+W$5)-PERMANENT_FIELD_LABOR_HOURS)&gt;TEMP_HOURS_CAP),"",$C77+W$6-MIN(($D77+W$5),PERMANENT_FIELD_LABOR_HOURS)*PERMANENT_HOURLY_RATE-MAX(0,($D77+W$5)-PERMANENT_FIELD_LABOR_HOURS)*TEMP_HOURLY_RATE-FIXED_SEASON_COST)</f>
        <v>5860.64741708543</v>
      </c>
      <c r="X77" s="53" t="n">
        <f aca="false">IF(OR($A77&gt;TOMATO_BED_CAP,$B77&gt;CARROT_BED_CAP,X$4&gt;MESCLUN_BED_CAP,$A77+$B77+X$4&gt;TOTAL_BEDS_AVAILABLE,($D77+X$5)&gt;TOTAL_LABOR_HOURS_CAP,MAX(0,($D77+X$5)-PERMANENT_FIELD_LABOR_HOURS)&gt;TEMP_HOURS_CAP),"",$C77+X$6-MIN(($D77+X$5),PERMANENT_FIELD_LABOR_HOURS)*PERMANENT_HOURLY_RATE-MAX(0,($D77+X$5)-PERMANENT_FIELD_LABOR_HOURS)*TEMP_HOURLY_RATE-FIXED_SEASON_COST)</f>
        <v>6498.65724536435</v>
      </c>
      <c r="Y77" s="53" t="n">
        <f aca="false">IF(OR($A77&gt;TOMATO_BED_CAP,$B77&gt;CARROT_BED_CAP,Y$4&gt;MESCLUN_BED_CAP,$A77+$B77+Y$4&gt;TOTAL_BEDS_AVAILABLE,($D77+Y$5)&gt;TOTAL_LABOR_HOURS_CAP,MAX(0,($D77+Y$5)-PERMANENT_FIELD_LABOR_HOURS)&gt;TEMP_HOURS_CAP),"",$C77+Y$6-MIN(($D77+Y$5),PERMANENT_FIELD_LABOR_HOURS)*PERMANENT_HOURLY_RATE-MAX(0,($D77+Y$5)-PERMANENT_FIELD_LABOR_HOURS)*TEMP_HOURLY_RATE-FIXED_SEASON_COST)</f>
        <v>7109.68030824301</v>
      </c>
      <c r="Z77" s="53" t="n">
        <f aca="false">IF(OR($A77&gt;TOMATO_BED_CAP,$B77&gt;CARROT_BED_CAP,Z$4&gt;MESCLUN_BED_CAP,$A77+$B77+Z$4&gt;TOTAL_BEDS_AVAILABLE,($D77+Z$5)&gt;TOTAL_LABOR_HOURS_CAP,MAX(0,($D77+Z$5)-PERMANENT_FIELD_LABOR_HOURS)&gt;TEMP_HOURS_CAP),"",$C77+Z$6-MIN(($D77+Z$5),PERMANENT_FIELD_LABOR_HOURS)*PERMANENT_HOURLY_RATE-MAX(0,($D77+Z$5)-PERMANENT_FIELD_LABOR_HOURS)*TEMP_HOURLY_RATE-FIXED_SEASON_COST)</f>
        <v>7693.22662255074</v>
      </c>
      <c r="AA77" s="53" t="n">
        <f aca="false">IF(OR($A77&gt;TOMATO_BED_CAP,$B77&gt;CARROT_BED_CAP,AA$4&gt;MESCLUN_BED_CAP,$A77+$B77+AA$4&gt;TOTAL_BEDS_AVAILABLE,($D77+AA$5)&gt;TOTAL_LABOR_HOURS_CAP,MAX(0,($D77+AA$5)-PERMANENT_FIELD_LABOR_HOURS)&gt;TEMP_HOURS_CAP),"",$C77+AA$6-MIN(($D77+AA$5),PERMANENT_FIELD_LABOR_HOURS)*PERMANENT_HOURLY_RATE-MAX(0,($D77+AA$5)-PERMANENT_FIELD_LABOR_HOURS)*TEMP_HOURLY_RATE-FIXED_SEASON_COST)</f>
        <v>8248.79817221967</v>
      </c>
      <c r="AB77" s="53" t="n">
        <f aca="false">IF(OR($A77&gt;TOMATO_BED_CAP,$B77&gt;CARROT_BED_CAP,AB$4&gt;MESCLUN_BED_CAP,$A77+$B77+AB$4&gt;TOTAL_BEDS_AVAILABLE,($D77+AB$5)&gt;TOTAL_LABOR_HOURS_CAP,MAX(0,($D77+AB$5)-PERMANENT_FIELD_LABOR_HOURS)&gt;TEMP_HOURS_CAP),"",$C77+AB$6-MIN(($D77+AB$5),PERMANENT_FIELD_LABOR_HOURS)*PERMANENT_HOURLY_RATE-MAX(0,($D77+AB$5)-PERMANENT_FIELD_LABOR_HOURS)*TEMP_HOURLY_RATE-FIXED_SEASON_COST)</f>
        <v>8775.88878402223</v>
      </c>
      <c r="AC77" s="53" t="n">
        <f aca="false">IF(OR($A77&gt;TOMATO_BED_CAP,$B77&gt;CARROT_BED_CAP,AC$4&gt;MESCLUN_BED_CAP,$A77+$B77+AC$4&gt;TOTAL_BEDS_AVAILABLE,($D77+AC$5)&gt;TOTAL_LABOR_HOURS_CAP,MAX(0,($D77+AC$5)-PERMANENT_FIELD_LABOR_HOURS)&gt;TEMP_HOURS_CAP),"",$C77+AC$6-MIN(($D77+AC$5),PERMANENT_FIELD_LABOR_HOURS)*PERMANENT_HOURLY_RATE-MAX(0,($D77+AC$5)-PERMANENT_FIELD_LABOR_HOURS)*TEMP_HOURLY_RATE-FIXED_SEASON_COST)</f>
        <v>9273.98400145714</v>
      </c>
      <c r="AD77" s="53" t="n">
        <f aca="false">IF(OR($A77&gt;TOMATO_BED_CAP,$B77&gt;CARROT_BED_CAP,AD$4&gt;MESCLUN_BED_CAP,$A77+$B77+AD$4&gt;TOTAL_BEDS_AVAILABLE,($D77+AD$5)&gt;TOTAL_LABOR_HOURS_CAP,MAX(0,($D77+AD$5)-PERMANENT_FIELD_LABOR_HOURS)&gt;TEMP_HOURS_CAP),"",$C77+AD$6-MIN(($D77+AD$5),PERMANENT_FIELD_LABOR_HOURS)*PERMANENT_HOURLY_RATE-MAX(0,($D77+AD$5)-PERMANENT_FIELD_LABOR_HOURS)*TEMP_HOURLY_RATE-FIXED_SEASON_COST)</f>
        <v>9742.5609567571</v>
      </c>
      <c r="AE77" s="53" t="n">
        <f aca="false">IF(OR($A77&gt;TOMATO_BED_CAP,$B77&gt;CARROT_BED_CAP,AE$4&gt;MESCLUN_BED_CAP,$A77+$B77+AE$4&gt;TOTAL_BEDS_AVAILABLE,($D77+AE$5)&gt;TOTAL_LABOR_HOURS_CAP,MAX(0,($D77+AE$5)-PERMANENT_FIELD_LABOR_HOURS)&gt;TEMP_HOURS_CAP),"",$C77+AE$6-MIN(($D77+AE$5),PERMANENT_FIELD_LABOR_HOURS)*PERMANENT_HOURLY_RATE-MAX(0,($D77+AE$5)-PERMANENT_FIELD_LABOR_HOURS)*TEMP_HOURLY_RATE-FIXED_SEASON_COST)</f>
        <v>10181.088240991</v>
      </c>
      <c r="AF77" s="53" t="n">
        <f aca="false">IF(OR($A77&gt;TOMATO_BED_CAP,$B77&gt;CARROT_BED_CAP,AF$4&gt;MESCLUN_BED_CAP,$A77+$B77+AF$4&gt;TOTAL_BEDS_AVAILABLE,($D77+AF$5)&gt;TOTAL_LABOR_HOURS_CAP,MAX(0,($D77+AF$5)-PERMANENT_FIELD_LABOR_HOURS)&gt;TEMP_HOURS_CAP),"",$C77+AF$6-MIN(($D77+AF$5),PERMANENT_FIELD_LABOR_HOURS)*PERMANENT_HOURLY_RATE-MAX(0,($D77+AF$5)-PERMANENT_FIELD_LABOR_HOURS)*TEMP_HOURLY_RATE-FIXED_SEASON_COST)</f>
        <v>10589.025772233</v>
      </c>
      <c r="AG77" s="53" t="n">
        <f aca="false">IF(OR($A77&gt;TOMATO_BED_CAP,$B77&gt;CARROT_BED_CAP,AG$4&gt;MESCLUN_BED_CAP,$A77+$B77+AG$4&gt;TOTAL_BEDS_AVAILABLE,($D77+AG$5)&gt;TOTAL_LABOR_HOURS_CAP,MAX(0,($D77+AG$5)-PERMANENT_FIELD_LABOR_HOURS)&gt;TEMP_HOURS_CAP),"",$C77+AG$6-MIN(($D77+AG$5),PERMANENT_FIELD_LABOR_HOURS)*PERMANENT_HOURLY_RATE-MAX(0,($D77+AG$5)-PERMANENT_FIELD_LABOR_HOURS)*TEMP_HOURLY_RATE-FIXED_SEASON_COST)</f>
        <v>10965.82466177</v>
      </c>
      <c r="AH77" s="53" t="n">
        <f aca="false">IF(OR($A77&gt;TOMATO_BED_CAP,$B77&gt;CARROT_BED_CAP,AH$4&gt;MESCLUN_BED_CAP,$A77+$B77+AH$4&gt;TOTAL_BEDS_AVAILABLE,($D77+AH$5)&gt;TOTAL_LABOR_HOURS_CAP,MAX(0,($D77+AH$5)-PERMANENT_FIELD_LABOR_HOURS)&gt;TEMP_HOURS_CAP),"",$C77+AH$6-MIN(($D77+AH$5),PERMANENT_FIELD_LABOR_HOURS)*PERMANENT_HOURLY_RATE-MAX(0,($D77+AH$5)-PERMANENT_FIELD_LABOR_HOURS)*TEMP_HOURLY_RATE-FIXED_SEASON_COST)</f>
        <v>11310.9270783202</v>
      </c>
      <c r="AI77" s="53" t="n">
        <f aca="false">IF(OR($A77&gt;TOMATO_BED_CAP,$B77&gt;CARROT_BED_CAP,AI$4&gt;MESCLUN_BED_CAP,$A77+$B77+AI$4&gt;TOTAL_BEDS_AVAILABLE,($D77+AI$5)&gt;TOTAL_LABOR_HOURS_CAP,MAX(0,($D77+AI$5)-PERMANENT_FIELD_LABOR_HOURS)&gt;TEMP_HOURS_CAP),"",$C77+AI$6-MIN(($D77+AI$5),PERMANENT_FIELD_LABOR_HOURS)*PERMANENT_HOURLY_RATE-MAX(0,($D77+AI$5)-PERMANENT_FIELD_LABOR_HOURS)*TEMP_HOURLY_RATE-FIXED_SEASON_COST)</f>
        <v>11623.7661102324</v>
      </c>
      <c r="AJ77" s="53" t="n">
        <f aca="false">IF(OR($A77&gt;TOMATO_BED_CAP,$B77&gt;CARROT_BED_CAP,AJ$4&gt;MESCLUN_BED_CAP,$A77+$B77+AJ$4&gt;TOTAL_BEDS_AVAILABLE,($D77+AJ$5)&gt;TOTAL_LABOR_HOURS_CAP,MAX(0,($D77+AJ$5)-PERMANENT_FIELD_LABOR_HOURS)&gt;TEMP_HOURS_CAP),"",$C77+AJ$6-MIN(($D77+AJ$5),PERMANENT_FIELD_LABOR_HOURS)*PERMANENT_HOURLY_RATE-MAX(0,($D77+AJ$5)-PERMANENT_FIELD_LABOR_HOURS)*TEMP_HOURLY_RATE-FIXED_SEASON_COST)</f>
        <v>11903.7656256382</v>
      </c>
    </row>
    <row r="78" customFormat="false" ht="15" hidden="false" customHeight="false" outlineLevel="0" collapsed="false">
      <c r="A78" s="21" t="n">
        <f aca="false">INT((ROW()-ROW($A$8))/(20+1))</f>
        <v>3</v>
      </c>
      <c r="B78" s="21" t="n">
        <f aca="false">MOD(ROW()-ROW($A$8),20+1)</f>
        <v>7</v>
      </c>
      <c r="C78" s="13" t="n">
        <f aca="false">A78*(TOMATO_REVENUE_PER_BED-TOMATO_FERTILIZER_PER_BED)+B78*(CARROT_REVENUE_PER_BED-CARROT_FERTILIZER_PER_BED)</f>
        <v>35338</v>
      </c>
      <c r="D78" s="14" t="n">
        <f aca="false">INDEX(TOMATO_SCHED_LABOR_HRS,A78+1)+INDEX(CARROT_SCHED_LABOR_HRS,B78+1)</f>
        <v>608.894158667017</v>
      </c>
      <c r="E78" s="13" t="n">
        <f aca="false">IF(COUNT(F78:AJ78)=0,"",MAX(F78:AJ78))</f>
        <v>12848.3867004131</v>
      </c>
      <c r="F78" s="53" t="n">
        <f aca="false">IF(OR($A78&gt;TOMATO_BED_CAP,$B78&gt;CARROT_BED_CAP,F$4&gt;MESCLUN_BED_CAP,$A78+$B78+F$4&gt;TOTAL_BEDS_AVAILABLE,($D78+F$5)&gt;TOTAL_LABOR_HOURS_CAP,MAX(0,($D78+F$5)-PERMANENT_FIELD_LABOR_HOURS)&gt;TEMP_HOURS_CAP),"",$C78+F$6-MIN(($D78+F$5),PERMANENT_FIELD_LABOR_HOURS)*PERMANENT_HOURLY_RATE-MAX(0,($D78+F$5)-PERMANENT_FIELD_LABOR_HOURS)*TEMP_HOURLY_RATE-FIXED_SEASON_COST)</f>
        <v>-5802.80518891881</v>
      </c>
      <c r="G78" s="53" t="n">
        <f aca="false">IF(OR($A78&gt;TOMATO_BED_CAP,$B78&gt;CARROT_BED_CAP,G$4&gt;MESCLUN_BED_CAP,$A78+$B78+G$4&gt;TOTAL_BEDS_AVAILABLE,($D78+G$5)&gt;TOTAL_LABOR_HOURS_CAP,MAX(0,($D78+G$5)-PERMANENT_FIELD_LABOR_HOURS)&gt;TEMP_HOURS_CAP),"",$C78+G$6-MIN(($D78+G$5),PERMANENT_FIELD_LABOR_HOURS)*PERMANENT_HOURLY_RATE-MAX(0,($D78+G$5)-PERMANENT_FIELD_LABOR_HOURS)*TEMP_HOURLY_RATE-FIXED_SEASON_COST)</f>
        <v>-5564.73518891881</v>
      </c>
      <c r="H78" s="53" t="n">
        <f aca="false">IF(OR($A78&gt;TOMATO_BED_CAP,$B78&gt;CARROT_BED_CAP,H$4&gt;MESCLUN_BED_CAP,$A78+$B78+H$4&gt;TOTAL_BEDS_AVAILABLE,($D78+H$5)&gt;TOTAL_LABOR_HOURS_CAP,MAX(0,($D78+H$5)-PERMANENT_FIELD_LABOR_HOURS)&gt;TEMP_HOURS_CAP),"",$C78+H$6-MIN(($D78+H$5),PERMANENT_FIELD_LABOR_HOURS)*PERMANENT_HOURLY_RATE-MAX(0,($D78+H$5)-PERMANENT_FIELD_LABOR_HOURS)*TEMP_HOURLY_RATE-FIXED_SEASON_COST)</f>
        <v>-5366.21343891881</v>
      </c>
      <c r="I78" s="53" t="n">
        <f aca="false">IF(OR($A78&gt;TOMATO_BED_CAP,$B78&gt;CARROT_BED_CAP,I$4&gt;MESCLUN_BED_CAP,$A78+$B78+I$4&gt;TOTAL_BEDS_AVAILABLE,($D78+I$5)&gt;TOTAL_LABOR_HOURS_CAP,MAX(0,($D78+I$5)-PERMANENT_FIELD_LABOR_HOURS)&gt;TEMP_HOURS_CAP),"",$C78+I$6-MIN(($D78+I$5),PERMANENT_FIELD_LABOR_HOURS)*PERMANENT_HOURLY_RATE-MAX(0,($D78+I$5)-PERMANENT_FIELD_LABOR_HOURS)*TEMP_HOURLY_RATE-FIXED_SEASON_COST)</f>
        <v>-4704.19073430315</v>
      </c>
      <c r="J78" s="53" t="n">
        <f aca="false">IF(OR($A78&gt;TOMATO_BED_CAP,$B78&gt;CARROT_BED_CAP,J$4&gt;MESCLUN_BED_CAP,$A78+$B78+J$4&gt;TOTAL_BEDS_AVAILABLE,($D78+J$5)&gt;TOTAL_LABOR_HOURS_CAP,MAX(0,($D78+J$5)-PERMANENT_FIELD_LABOR_HOURS)&gt;TEMP_HOURS_CAP),"",$C78+J$6-MIN(($D78+J$5),PERMANENT_FIELD_LABOR_HOURS)*PERMANENT_HOURLY_RATE-MAX(0,($D78+J$5)-PERMANENT_FIELD_LABOR_HOURS)*TEMP_HOURLY_RATE-FIXED_SEASON_COST)</f>
        <v>-3735.59658324847</v>
      </c>
      <c r="K78" s="53" t="n">
        <f aca="false">IF(OR($A78&gt;TOMATO_BED_CAP,$B78&gt;CARROT_BED_CAP,K$4&gt;MESCLUN_BED_CAP,$A78+$B78+K$4&gt;TOTAL_BEDS_AVAILABLE,($D78+K$5)&gt;TOTAL_LABOR_HOURS_CAP,MAX(0,($D78+K$5)-PERMANENT_FIELD_LABOR_HOURS)&gt;TEMP_HOURS_CAP),"",$C78+K$6-MIN(($D78+K$5),PERMANENT_FIELD_LABOR_HOURS)*PERMANENT_HOURLY_RATE-MAX(0,($D78+K$5)-PERMANENT_FIELD_LABOR_HOURS)*TEMP_HOURLY_RATE-FIXED_SEASON_COST)</f>
        <v>-2787.90748652056</v>
      </c>
      <c r="L78" s="53" t="n">
        <f aca="false">IF(OR($A78&gt;TOMATO_BED_CAP,$B78&gt;CARROT_BED_CAP,L$4&gt;MESCLUN_BED_CAP,$A78+$B78+L$4&gt;TOTAL_BEDS_AVAILABLE,($D78+L$5)&gt;TOTAL_LABOR_HOURS_CAP,MAX(0,($D78+L$5)-PERMANENT_FIELD_LABOR_HOURS)&gt;TEMP_HOURS_CAP),"",$C78+L$6-MIN(($D78+L$5),PERMANENT_FIELD_LABOR_HOURS)*PERMANENT_HOURLY_RATE-MAX(0,($D78+L$5)-PERMANENT_FIELD_LABOR_HOURS)*TEMP_HOURLY_RATE-FIXED_SEASON_COST)</f>
        <v>-1861.51303831371</v>
      </c>
      <c r="M78" s="53" t="n">
        <f aca="false">IF(OR($A78&gt;TOMATO_BED_CAP,$B78&gt;CARROT_BED_CAP,M$4&gt;MESCLUN_BED_CAP,$A78+$B78+M$4&gt;TOTAL_BEDS_AVAILABLE,($D78+M$5)&gt;TOTAL_LABOR_HOURS_CAP,MAX(0,($D78+M$5)-PERMANENT_FIELD_LABOR_HOURS)&gt;TEMP_HOURS_CAP),"",$C78+M$6-MIN(($D78+M$5),PERMANENT_FIELD_LABOR_HOURS)*PERMANENT_HOURLY_RATE-MAX(0,($D78+M$5)-PERMANENT_FIELD_LABOR_HOURS)*TEMP_HOURLY_RATE-FIXED_SEASON_COST)</f>
        <v>-956.809306262301</v>
      </c>
      <c r="N78" s="53" t="n">
        <f aca="false">IF(OR($A78&gt;TOMATO_BED_CAP,$B78&gt;CARROT_BED_CAP,N$4&gt;MESCLUN_BED_CAP,$A78+$B78+N$4&gt;TOTAL_BEDS_AVAILABLE,($D78+N$5)&gt;TOTAL_LABOR_HOURS_CAP,MAX(0,($D78+N$5)-PERMANENT_FIELD_LABOR_HOURS)&gt;TEMP_HOURS_CAP),"",$C78+N$6-MIN(($D78+N$5),PERMANENT_FIELD_LABOR_HOURS)*PERMANENT_HOURLY_RATE-MAX(0,($D78+N$5)-PERMANENT_FIELD_LABOR_HOURS)*TEMP_HOURLY_RATE-FIXED_SEASON_COST)</f>
        <v>-74.1989324027563</v>
      </c>
      <c r="O78" s="53" t="n">
        <f aca="false">IF(OR($A78&gt;TOMATO_BED_CAP,$B78&gt;CARROT_BED_CAP,O$4&gt;MESCLUN_BED_CAP,$A78+$B78+O$4&gt;TOTAL_BEDS_AVAILABLE,($D78+O$5)&gt;TOTAL_LABOR_HOURS_CAP,MAX(0,($D78+O$5)-PERMANENT_FIELD_LABOR_HOURS)&gt;TEMP_HOURS_CAP),"",$C78+O$6-MIN(($D78+O$5),PERMANENT_FIELD_LABOR_HOURS)*PERMANENT_HOURLY_RATE-MAX(0,($D78+O$5)-PERMANENT_FIELD_LABOR_HOURS)*TEMP_HOURLY_RATE-FIXED_SEASON_COST)</f>
        <v>785.908764351996</v>
      </c>
      <c r="P78" s="53" t="n">
        <f aca="false">IF(OR($A78&gt;TOMATO_BED_CAP,$B78&gt;CARROT_BED_CAP,P$4&gt;MESCLUN_BED_CAP,$A78+$B78+P$4&gt;TOTAL_BEDS_AVAILABLE,($D78+P$5)&gt;TOTAL_LABOR_HOURS_CAP,MAX(0,($D78+P$5)-PERMANENT_FIELD_LABOR_HOURS)&gt;TEMP_HOURS_CAP),"",$C78+P$6-MIN(($D78+P$5),PERMANENT_FIELD_LABOR_HOURS)*PERMANENT_HOURLY_RATE-MAX(0,($D78+P$5)-PERMANENT_FIELD_LABOR_HOURS)*TEMP_HOURLY_RATE-FIXED_SEASON_COST)</f>
        <v>1623.09768420342</v>
      </c>
      <c r="Q78" s="53" t="n">
        <f aca="false">IF(OR($A78&gt;TOMATO_BED_CAP,$B78&gt;CARROT_BED_CAP,Q$4&gt;MESCLUN_BED_CAP,$A78+$B78+Q$4&gt;TOTAL_BEDS_AVAILABLE,($D78+Q$5)&gt;TOTAL_LABOR_HOURS_CAP,MAX(0,($D78+Q$5)-PERMANENT_FIELD_LABOR_HOURS)&gt;TEMP_HOURS_CAP),"",$C78+Q$6-MIN(($D78+Q$5),PERMANENT_FIELD_LABOR_HOURS)*PERMANENT_HOURLY_RATE-MAX(0,($D78+Q$5)-PERMANENT_FIELD_LABOR_HOURS)*TEMP_HOURLY_RATE-FIXED_SEASON_COST)</f>
        <v>2436.94484090132</v>
      </c>
      <c r="R78" s="53" t="n">
        <f aca="false">IF(OR($A78&gt;TOMATO_BED_CAP,$B78&gt;CARROT_BED_CAP,R$4&gt;MESCLUN_BED_CAP,$A78+$B78+R$4&gt;TOTAL_BEDS_AVAILABLE,($D78+R$5)&gt;TOTAL_LABOR_HOURS_CAP,MAX(0,($D78+R$5)-PERMANENT_FIELD_LABOR_HOURS)&gt;TEMP_HOURS_CAP),"",$C78+R$6-MIN(($D78+R$5),PERMANENT_FIELD_LABOR_HOURS)*PERMANENT_HOURLY_RATE-MAX(0,($D78+R$5)-PERMANENT_FIELD_LABOR_HOURS)*TEMP_HOURLY_RATE-FIXED_SEASON_COST)</f>
        <v>3227.02025459812</v>
      </c>
      <c r="S78" s="53" t="n">
        <f aca="false">IF(OR($A78&gt;TOMATO_BED_CAP,$B78&gt;CARROT_BED_CAP,S$4&gt;MESCLUN_BED_CAP,$A78+$B78+S$4&gt;TOTAL_BEDS_AVAILABLE,($D78+S$5)&gt;TOTAL_LABOR_HOURS_CAP,MAX(0,($D78+S$5)-PERMANENT_FIELD_LABOR_HOURS)&gt;TEMP_HOURS_CAP),"",$C78+S$6-MIN(($D78+S$5),PERMANENT_FIELD_LABOR_HOURS)*PERMANENT_HOURLY_RATE-MAX(0,($D78+S$5)-PERMANENT_FIELD_LABOR_HOURS)*TEMP_HOURLY_RATE-FIXED_SEASON_COST)</f>
        <v>3992.88684310058</v>
      </c>
      <c r="T78" s="53" t="n">
        <f aca="false">IF(OR($A78&gt;TOMATO_BED_CAP,$B78&gt;CARROT_BED_CAP,T$4&gt;MESCLUN_BED_CAP,$A78+$B78+T$4&gt;TOTAL_BEDS_AVAILABLE,($D78+T$5)&gt;TOTAL_LABOR_HOURS_CAP,MAX(0,($D78+T$5)-PERMANENT_FIELD_LABOR_HOURS)&gt;TEMP_HOURS_CAP),"",$C78+T$6-MIN(($D78+T$5),PERMANENT_FIELD_LABOR_HOURS)*PERMANENT_HOURLY_RATE-MAX(0,($D78+T$5)-PERMANENT_FIELD_LABOR_HOURS)*TEMP_HOURLY_RATE-FIXED_SEASON_COST)</f>
        <v>4734.10031149542</v>
      </c>
      <c r="U78" s="53" t="n">
        <f aca="false">IF(OR($A78&gt;TOMATO_BED_CAP,$B78&gt;CARROT_BED_CAP,U$4&gt;MESCLUN_BED_CAP,$A78+$B78+U$4&gt;TOTAL_BEDS_AVAILABLE,($D78+U$5)&gt;TOTAL_LABOR_HOURS_CAP,MAX(0,($D78+U$5)-PERMANENT_FIELD_LABOR_HOURS)&gt;TEMP_HOURS_CAP),"",$C78+U$6-MIN(($D78+U$5),PERMANENT_FIELD_LABOR_HOURS)*PERMANENT_HOURLY_RATE-MAX(0,($D78+U$5)-PERMANENT_FIELD_LABOR_HOURS)*TEMP_HOURLY_RATE-FIXED_SEASON_COST)</f>
        <v>5450.20904012552</v>
      </c>
      <c r="V78" s="53" t="n">
        <f aca="false">IF(OR($A78&gt;TOMATO_BED_CAP,$B78&gt;CARROT_BED_CAP,V$4&gt;MESCLUN_BED_CAP,$A78+$B78+V$4&gt;TOTAL_BEDS_AVAILABLE,($D78+V$5)&gt;TOTAL_LABOR_HOURS_CAP,MAX(0,($D78+V$5)-PERMANENT_FIELD_LABOR_HOURS)&gt;TEMP_HOURS_CAP),"",$C78+V$6-MIN(($D78+V$5),PERMANENT_FIELD_LABOR_HOURS)*PERMANENT_HOURLY_RATE-MAX(0,($D78+V$5)-PERMANENT_FIELD_LABOR_HOURS)*TEMP_HOURLY_RATE-FIXED_SEASON_COST)</f>
        <v>6140.75397089231</v>
      </c>
      <c r="W78" s="53" t="n">
        <f aca="false">IF(OR($A78&gt;TOMATO_BED_CAP,$B78&gt;CARROT_BED_CAP,W$4&gt;MESCLUN_BED_CAP,$A78+$B78+W$4&gt;TOTAL_BEDS_AVAILABLE,($D78+W$5)&gt;TOTAL_LABOR_HOURS_CAP,MAX(0,($D78+W$5)-PERMANENT_FIELD_LABOR_HOURS)&gt;TEMP_HOURS_CAP),"",$C78+W$6-MIN(($D78+W$5),PERMANENT_FIELD_LABOR_HOURS)*PERMANENT_HOURLY_RATE-MAX(0,($D78+W$5)-PERMANENT_FIELD_LABOR_HOURS)*TEMP_HOURLY_RATE-FIXED_SEASON_COST)</f>
        <v>6805.26849186037</v>
      </c>
      <c r="X78" s="53" t="n">
        <f aca="false">IF(OR($A78&gt;TOMATO_BED_CAP,$B78&gt;CARROT_BED_CAP,X$4&gt;MESCLUN_BED_CAP,$A78+$B78+X$4&gt;TOTAL_BEDS_AVAILABLE,($D78+X$5)&gt;TOTAL_LABOR_HOURS_CAP,MAX(0,($D78+X$5)-PERMANENT_FIELD_LABOR_HOURS)&gt;TEMP_HOURS_CAP),"",$C78+X$6-MIN(($D78+X$5),PERMANENT_FIELD_LABOR_HOURS)*PERMANENT_HOURLY_RATE-MAX(0,($D78+X$5)-PERMANENT_FIELD_LABOR_HOURS)*TEMP_HOURLY_RATE-FIXED_SEASON_COST)</f>
        <v>7443.2783201393</v>
      </c>
      <c r="Y78" s="53" t="n">
        <f aca="false">IF(OR($A78&gt;TOMATO_BED_CAP,$B78&gt;CARROT_BED_CAP,Y$4&gt;MESCLUN_BED_CAP,$A78+$B78+Y$4&gt;TOTAL_BEDS_AVAILABLE,($D78+Y$5)&gt;TOTAL_LABOR_HOURS_CAP,MAX(0,($D78+Y$5)-PERMANENT_FIELD_LABOR_HOURS)&gt;TEMP_HOURS_CAP),"",$C78+Y$6-MIN(($D78+Y$5),PERMANENT_FIELD_LABOR_HOURS)*PERMANENT_HOURLY_RATE-MAX(0,($D78+Y$5)-PERMANENT_FIELD_LABOR_HOURS)*TEMP_HOURLY_RATE-FIXED_SEASON_COST)</f>
        <v>8054.30138301795</v>
      </c>
      <c r="Z78" s="53" t="n">
        <f aca="false">IF(OR($A78&gt;TOMATO_BED_CAP,$B78&gt;CARROT_BED_CAP,Z$4&gt;MESCLUN_BED_CAP,$A78+$B78+Z$4&gt;TOTAL_BEDS_AVAILABLE,($D78+Z$5)&gt;TOTAL_LABOR_HOURS_CAP,MAX(0,($D78+Z$5)-PERMANENT_FIELD_LABOR_HOURS)&gt;TEMP_HOURS_CAP),"",$C78+Z$6-MIN(($D78+Z$5),PERMANENT_FIELD_LABOR_HOURS)*PERMANENT_HOURLY_RATE-MAX(0,($D78+Z$5)-PERMANENT_FIELD_LABOR_HOURS)*TEMP_HOURLY_RATE-FIXED_SEASON_COST)</f>
        <v>8637.84769732568</v>
      </c>
      <c r="AA78" s="53" t="n">
        <f aca="false">IF(OR($A78&gt;TOMATO_BED_CAP,$B78&gt;CARROT_BED_CAP,AA$4&gt;MESCLUN_BED_CAP,$A78+$B78+AA$4&gt;TOTAL_BEDS_AVAILABLE,($D78+AA$5)&gt;TOTAL_LABOR_HOURS_CAP,MAX(0,($D78+AA$5)-PERMANENT_FIELD_LABOR_HOURS)&gt;TEMP_HOURS_CAP),"",$C78+AA$6-MIN(($D78+AA$5),PERMANENT_FIELD_LABOR_HOURS)*PERMANENT_HOURLY_RATE-MAX(0,($D78+AA$5)-PERMANENT_FIELD_LABOR_HOURS)*TEMP_HOURLY_RATE-FIXED_SEASON_COST)</f>
        <v>9193.41924699461</v>
      </c>
      <c r="AB78" s="53" t="n">
        <f aca="false">IF(OR($A78&gt;TOMATO_BED_CAP,$B78&gt;CARROT_BED_CAP,AB$4&gt;MESCLUN_BED_CAP,$A78+$B78+AB$4&gt;TOTAL_BEDS_AVAILABLE,($D78+AB$5)&gt;TOTAL_LABOR_HOURS_CAP,MAX(0,($D78+AB$5)-PERMANENT_FIELD_LABOR_HOURS)&gt;TEMP_HOURS_CAP),"",$C78+AB$6-MIN(($D78+AB$5),PERMANENT_FIELD_LABOR_HOURS)*PERMANENT_HOURLY_RATE-MAX(0,($D78+AB$5)-PERMANENT_FIELD_LABOR_HOURS)*TEMP_HOURLY_RATE-FIXED_SEASON_COST)</f>
        <v>9720.50985879717</v>
      </c>
      <c r="AC78" s="53" t="n">
        <f aca="false">IF(OR($A78&gt;TOMATO_BED_CAP,$B78&gt;CARROT_BED_CAP,AC$4&gt;MESCLUN_BED_CAP,$A78+$B78+AC$4&gt;TOTAL_BEDS_AVAILABLE,($D78+AC$5)&gt;TOTAL_LABOR_HOURS_CAP,MAX(0,($D78+AC$5)-PERMANENT_FIELD_LABOR_HOURS)&gt;TEMP_HOURS_CAP),"",$C78+AC$6-MIN(($D78+AC$5),PERMANENT_FIELD_LABOR_HOURS)*PERMANENT_HOURLY_RATE-MAX(0,($D78+AC$5)-PERMANENT_FIELD_LABOR_HOURS)*TEMP_HOURLY_RATE-FIXED_SEASON_COST)</f>
        <v>10218.6050762321</v>
      </c>
      <c r="AD78" s="53" t="n">
        <f aca="false">IF(OR($A78&gt;TOMATO_BED_CAP,$B78&gt;CARROT_BED_CAP,AD$4&gt;MESCLUN_BED_CAP,$A78+$B78+AD$4&gt;TOTAL_BEDS_AVAILABLE,($D78+AD$5)&gt;TOTAL_LABOR_HOURS_CAP,MAX(0,($D78+AD$5)-PERMANENT_FIELD_LABOR_HOURS)&gt;TEMP_HOURS_CAP),"",$C78+AD$6-MIN(($D78+AD$5),PERMANENT_FIELD_LABOR_HOURS)*PERMANENT_HOURLY_RATE-MAX(0,($D78+AD$5)-PERMANENT_FIELD_LABOR_HOURS)*TEMP_HOURLY_RATE-FIXED_SEASON_COST)</f>
        <v>10687.182031532</v>
      </c>
      <c r="AE78" s="53" t="n">
        <f aca="false">IF(OR($A78&gt;TOMATO_BED_CAP,$B78&gt;CARROT_BED_CAP,AE$4&gt;MESCLUN_BED_CAP,$A78+$B78+AE$4&gt;TOTAL_BEDS_AVAILABLE,($D78+AE$5)&gt;TOTAL_LABOR_HOURS_CAP,MAX(0,($D78+AE$5)-PERMANENT_FIELD_LABOR_HOURS)&gt;TEMP_HOURS_CAP),"",$C78+AE$6-MIN(($D78+AE$5),PERMANENT_FIELD_LABOR_HOURS)*PERMANENT_HOURLY_RATE-MAX(0,($D78+AE$5)-PERMANENT_FIELD_LABOR_HOURS)*TEMP_HOURLY_RATE-FIXED_SEASON_COST)</f>
        <v>11125.7093157659</v>
      </c>
      <c r="AF78" s="53" t="n">
        <f aca="false">IF(OR($A78&gt;TOMATO_BED_CAP,$B78&gt;CARROT_BED_CAP,AF$4&gt;MESCLUN_BED_CAP,$A78+$B78+AF$4&gt;TOTAL_BEDS_AVAILABLE,($D78+AF$5)&gt;TOTAL_LABOR_HOURS_CAP,MAX(0,($D78+AF$5)-PERMANENT_FIELD_LABOR_HOURS)&gt;TEMP_HOURS_CAP),"",$C78+AF$6-MIN(($D78+AF$5),PERMANENT_FIELD_LABOR_HOURS)*PERMANENT_HOURLY_RATE-MAX(0,($D78+AF$5)-PERMANENT_FIELD_LABOR_HOURS)*TEMP_HOURLY_RATE-FIXED_SEASON_COST)</f>
        <v>11533.6468470079</v>
      </c>
      <c r="AG78" s="53" t="n">
        <f aca="false">IF(OR($A78&gt;TOMATO_BED_CAP,$B78&gt;CARROT_BED_CAP,AG$4&gt;MESCLUN_BED_CAP,$A78+$B78+AG$4&gt;TOTAL_BEDS_AVAILABLE,($D78+AG$5)&gt;TOTAL_LABOR_HOURS_CAP,MAX(0,($D78+AG$5)-PERMANENT_FIELD_LABOR_HOURS)&gt;TEMP_HOURS_CAP),"",$C78+AG$6-MIN(($D78+AG$5),PERMANENT_FIELD_LABOR_HOURS)*PERMANENT_HOURLY_RATE-MAX(0,($D78+AG$5)-PERMANENT_FIELD_LABOR_HOURS)*TEMP_HOURLY_RATE-FIXED_SEASON_COST)</f>
        <v>11910.4457365449</v>
      </c>
      <c r="AH78" s="53" t="n">
        <f aca="false">IF(OR($A78&gt;TOMATO_BED_CAP,$B78&gt;CARROT_BED_CAP,AH$4&gt;MESCLUN_BED_CAP,$A78+$B78+AH$4&gt;TOTAL_BEDS_AVAILABLE,($D78+AH$5)&gt;TOTAL_LABOR_HOURS_CAP,MAX(0,($D78+AH$5)-PERMANENT_FIELD_LABOR_HOURS)&gt;TEMP_HOURS_CAP),"",$C78+AH$6-MIN(($D78+AH$5),PERMANENT_FIELD_LABOR_HOURS)*PERMANENT_HOURLY_RATE-MAX(0,($D78+AH$5)-PERMANENT_FIELD_LABOR_HOURS)*TEMP_HOURLY_RATE-FIXED_SEASON_COST)</f>
        <v>12255.5481530951</v>
      </c>
      <c r="AI78" s="53" t="n">
        <f aca="false">IF(OR($A78&gt;TOMATO_BED_CAP,$B78&gt;CARROT_BED_CAP,AI$4&gt;MESCLUN_BED_CAP,$A78+$B78+AI$4&gt;TOTAL_BEDS_AVAILABLE,($D78+AI$5)&gt;TOTAL_LABOR_HOURS_CAP,MAX(0,($D78+AI$5)-PERMANENT_FIELD_LABOR_HOURS)&gt;TEMP_HOURS_CAP),"",$C78+AI$6-MIN(($D78+AI$5),PERMANENT_FIELD_LABOR_HOURS)*PERMANENT_HOURLY_RATE-MAX(0,($D78+AI$5)-PERMANENT_FIELD_LABOR_HOURS)*TEMP_HOURLY_RATE-FIXED_SEASON_COST)</f>
        <v>12568.3871850074</v>
      </c>
      <c r="AJ78" s="53" t="n">
        <f aca="false">IF(OR($A78&gt;TOMATO_BED_CAP,$B78&gt;CARROT_BED_CAP,AJ$4&gt;MESCLUN_BED_CAP,$A78+$B78+AJ$4&gt;TOTAL_BEDS_AVAILABLE,($D78+AJ$5)&gt;TOTAL_LABOR_HOURS_CAP,MAX(0,($D78+AJ$5)-PERMANENT_FIELD_LABOR_HOURS)&gt;TEMP_HOURS_CAP),"",$C78+AJ$6-MIN(($D78+AJ$5),PERMANENT_FIELD_LABOR_HOURS)*PERMANENT_HOURLY_RATE-MAX(0,($D78+AJ$5)-PERMANENT_FIELD_LABOR_HOURS)*TEMP_HOURLY_RATE-FIXED_SEASON_COST)</f>
        <v>12848.3867004131</v>
      </c>
    </row>
    <row r="79" customFormat="false" ht="15" hidden="false" customHeight="false" outlineLevel="0" collapsed="false">
      <c r="A79" s="21" t="n">
        <f aca="false">INT((ROW()-ROW($A$8))/(20+1))</f>
        <v>3</v>
      </c>
      <c r="B79" s="21" t="n">
        <f aca="false">MOD(ROW()-ROW($A$8),20+1)</f>
        <v>8</v>
      </c>
      <c r="C79" s="13" t="n">
        <f aca="false">A79*(TOMATO_REVENUE_PER_BED-TOMATO_FERTILIZER_PER_BED)+B79*(CARROT_REVENUE_PER_BED-CARROT_FERTILIZER_PER_BED)</f>
        <v>36992</v>
      </c>
      <c r="D79" s="14" t="n">
        <f aca="false">INDEX(TOMATO_SCHED_LABOR_HRS,A79+1)+INDEX(CARROT_SCHED_LABOR_HRS,B79+1)</f>
        <v>651.669728724219</v>
      </c>
      <c r="E79" s="13" t="n">
        <f aca="false">IF(COUNT(F79:AJ79)=0,"",MAX(F79:AJ79))</f>
        <v>13759.8028042201</v>
      </c>
      <c r="F79" s="53" t="n">
        <f aca="false">IF(OR($A79&gt;TOMATO_BED_CAP,$B79&gt;CARROT_BED_CAP,F$4&gt;MESCLUN_BED_CAP,$A79+$B79+F$4&gt;TOTAL_BEDS_AVAILABLE,($D79+F$5)&gt;TOTAL_LABOR_HOURS_CAP,MAX(0,($D79+F$5)-PERMANENT_FIELD_LABOR_HOURS)&gt;TEMP_HOURS_CAP),"",$C79+F$6-MIN(($D79+F$5),PERMANENT_FIELD_LABOR_HOURS)*PERMANENT_HOURLY_RATE-MAX(0,($D79+F$5)-PERMANENT_FIELD_LABOR_HOURS)*TEMP_HOURLY_RATE-FIXED_SEASON_COST)</f>
        <v>-5633.97298130489</v>
      </c>
      <c r="G79" s="53" t="n">
        <f aca="false">IF(OR($A79&gt;TOMATO_BED_CAP,$B79&gt;CARROT_BED_CAP,G$4&gt;MESCLUN_BED_CAP,$A79+$B79+G$4&gt;TOTAL_BEDS_AVAILABLE,($D79+G$5)&gt;TOTAL_LABOR_HOURS_CAP,MAX(0,($D79+G$5)-PERMANENT_FIELD_LABOR_HOURS)&gt;TEMP_HOURS_CAP),"",$C79+G$6-MIN(($D79+G$5),PERMANENT_FIELD_LABOR_HOURS)*PERMANENT_HOURLY_RATE-MAX(0,($D79+G$5)-PERMANENT_FIELD_LABOR_HOURS)*TEMP_HOURLY_RATE-FIXED_SEASON_COST)</f>
        <v>-5395.9029813049</v>
      </c>
      <c r="H79" s="53" t="n">
        <f aca="false">IF(OR($A79&gt;TOMATO_BED_CAP,$B79&gt;CARROT_BED_CAP,H$4&gt;MESCLUN_BED_CAP,$A79+$B79+H$4&gt;TOTAL_BEDS_AVAILABLE,($D79+H$5)&gt;TOTAL_LABOR_HOURS_CAP,MAX(0,($D79+H$5)-PERMANENT_FIELD_LABOR_HOURS)&gt;TEMP_HOURS_CAP),"",$C79+H$6-MIN(($D79+H$5),PERMANENT_FIELD_LABOR_HOURS)*PERMANENT_HOURLY_RATE-MAX(0,($D79+H$5)-PERMANENT_FIELD_LABOR_HOURS)*TEMP_HOURLY_RATE-FIXED_SEASON_COST)</f>
        <v>-4781.89061565245</v>
      </c>
      <c r="I79" s="53" t="n">
        <f aca="false">IF(OR($A79&gt;TOMATO_BED_CAP,$B79&gt;CARROT_BED_CAP,I$4&gt;MESCLUN_BED_CAP,$A79+$B79+I$4&gt;TOTAL_BEDS_AVAILABLE,($D79+I$5)&gt;TOTAL_LABOR_HOURS_CAP,MAX(0,($D79+I$5)-PERMANENT_FIELD_LABOR_HOURS)&gt;TEMP_HOURS_CAP),"",$C79+I$6-MIN(($D79+I$5),PERMANENT_FIELD_LABOR_HOURS)*PERMANENT_HOURLY_RATE-MAX(0,($D79+I$5)-PERMANENT_FIELD_LABOR_HOURS)*TEMP_HOURLY_RATE-FIXED_SEASON_COST)</f>
        <v>-3792.77463049619</v>
      </c>
      <c r="J79" s="53" t="n">
        <f aca="false">IF(OR($A79&gt;TOMATO_BED_CAP,$B79&gt;CARROT_BED_CAP,J$4&gt;MESCLUN_BED_CAP,$A79+$B79+J$4&gt;TOTAL_BEDS_AVAILABLE,($D79+J$5)&gt;TOTAL_LABOR_HOURS_CAP,MAX(0,($D79+J$5)-PERMANENT_FIELD_LABOR_HOURS)&gt;TEMP_HOURS_CAP),"",$C79+J$6-MIN(($D79+J$5),PERMANENT_FIELD_LABOR_HOURS)*PERMANENT_HOURLY_RATE-MAX(0,($D79+J$5)-PERMANENT_FIELD_LABOR_HOURS)*TEMP_HOURLY_RATE-FIXED_SEASON_COST)</f>
        <v>-2824.18047944151</v>
      </c>
      <c r="K79" s="53" t="n">
        <f aca="false">IF(OR($A79&gt;TOMATO_BED_CAP,$B79&gt;CARROT_BED_CAP,K$4&gt;MESCLUN_BED_CAP,$A79+$B79+K$4&gt;TOTAL_BEDS_AVAILABLE,($D79+K$5)&gt;TOTAL_LABOR_HOURS_CAP,MAX(0,($D79+K$5)-PERMANENT_FIELD_LABOR_HOURS)&gt;TEMP_HOURS_CAP),"",$C79+K$6-MIN(($D79+K$5),PERMANENT_FIELD_LABOR_HOURS)*PERMANENT_HOURLY_RATE-MAX(0,($D79+K$5)-PERMANENT_FIELD_LABOR_HOURS)*TEMP_HOURLY_RATE-FIXED_SEASON_COST)</f>
        <v>-1876.4913827136</v>
      </c>
      <c r="L79" s="53" t="n">
        <f aca="false">IF(OR($A79&gt;TOMATO_BED_CAP,$B79&gt;CARROT_BED_CAP,L$4&gt;MESCLUN_BED_CAP,$A79+$B79+L$4&gt;TOTAL_BEDS_AVAILABLE,($D79+L$5)&gt;TOTAL_LABOR_HOURS_CAP,MAX(0,($D79+L$5)-PERMANENT_FIELD_LABOR_HOURS)&gt;TEMP_HOURS_CAP),"",$C79+L$6-MIN(($D79+L$5),PERMANENT_FIELD_LABOR_HOURS)*PERMANENT_HOURLY_RATE-MAX(0,($D79+L$5)-PERMANENT_FIELD_LABOR_HOURS)*TEMP_HOURLY_RATE-FIXED_SEASON_COST)</f>
        <v>-950.09693450675</v>
      </c>
      <c r="M79" s="53" t="n">
        <f aca="false">IF(OR($A79&gt;TOMATO_BED_CAP,$B79&gt;CARROT_BED_CAP,M$4&gt;MESCLUN_BED_CAP,$A79+$B79+M$4&gt;TOTAL_BEDS_AVAILABLE,($D79+M$5)&gt;TOTAL_LABOR_HOURS_CAP,MAX(0,($D79+M$5)-PERMANENT_FIELD_LABOR_HOURS)&gt;TEMP_HOURS_CAP),"",$C79+M$6-MIN(($D79+M$5),PERMANENT_FIELD_LABOR_HOURS)*PERMANENT_HOURLY_RATE-MAX(0,($D79+M$5)-PERMANENT_FIELD_LABOR_HOURS)*TEMP_HOURLY_RATE-FIXED_SEASON_COST)</f>
        <v>-45.3932024553433</v>
      </c>
      <c r="N79" s="53" t="n">
        <f aca="false">IF(OR($A79&gt;TOMATO_BED_CAP,$B79&gt;CARROT_BED_CAP,N$4&gt;MESCLUN_BED_CAP,$A79+$B79+N$4&gt;TOTAL_BEDS_AVAILABLE,($D79+N$5)&gt;TOTAL_LABOR_HOURS_CAP,MAX(0,($D79+N$5)-PERMANENT_FIELD_LABOR_HOURS)&gt;TEMP_HOURS_CAP),"",$C79+N$6-MIN(($D79+N$5),PERMANENT_FIELD_LABOR_HOURS)*PERMANENT_HOURLY_RATE-MAX(0,($D79+N$5)-PERMANENT_FIELD_LABOR_HOURS)*TEMP_HOURLY_RATE-FIXED_SEASON_COST)</f>
        <v>837.217171404202</v>
      </c>
      <c r="O79" s="53" t="n">
        <f aca="false">IF(OR($A79&gt;TOMATO_BED_CAP,$B79&gt;CARROT_BED_CAP,O$4&gt;MESCLUN_BED_CAP,$A79+$B79+O$4&gt;TOTAL_BEDS_AVAILABLE,($D79+O$5)&gt;TOTAL_LABOR_HOURS_CAP,MAX(0,($D79+O$5)-PERMANENT_FIELD_LABOR_HOURS)&gt;TEMP_HOURS_CAP),"",$C79+O$6-MIN(($D79+O$5),PERMANENT_FIELD_LABOR_HOURS)*PERMANENT_HOURLY_RATE-MAX(0,($D79+O$5)-PERMANENT_FIELD_LABOR_HOURS)*TEMP_HOURLY_RATE-FIXED_SEASON_COST)</f>
        <v>1697.32486815895</v>
      </c>
      <c r="P79" s="53" t="n">
        <f aca="false">IF(OR($A79&gt;TOMATO_BED_CAP,$B79&gt;CARROT_BED_CAP,P$4&gt;MESCLUN_BED_CAP,$A79+$B79+P$4&gt;TOTAL_BEDS_AVAILABLE,($D79+P$5)&gt;TOTAL_LABOR_HOURS_CAP,MAX(0,($D79+P$5)-PERMANENT_FIELD_LABOR_HOURS)&gt;TEMP_HOURS_CAP),"",$C79+P$6-MIN(($D79+P$5),PERMANENT_FIELD_LABOR_HOURS)*PERMANENT_HOURLY_RATE-MAX(0,($D79+P$5)-PERMANENT_FIELD_LABOR_HOURS)*TEMP_HOURLY_RATE-FIXED_SEASON_COST)</f>
        <v>2534.51378801038</v>
      </c>
      <c r="Q79" s="53" t="n">
        <f aca="false">IF(OR($A79&gt;TOMATO_BED_CAP,$B79&gt;CARROT_BED_CAP,Q$4&gt;MESCLUN_BED_CAP,$A79+$B79+Q$4&gt;TOTAL_BEDS_AVAILABLE,($D79+Q$5)&gt;TOTAL_LABOR_HOURS_CAP,MAX(0,($D79+Q$5)-PERMANENT_FIELD_LABOR_HOURS)&gt;TEMP_HOURS_CAP),"",$C79+Q$6-MIN(($D79+Q$5),PERMANENT_FIELD_LABOR_HOURS)*PERMANENT_HOURLY_RATE-MAX(0,($D79+Q$5)-PERMANENT_FIELD_LABOR_HOURS)*TEMP_HOURLY_RATE-FIXED_SEASON_COST)</f>
        <v>3348.36094470828</v>
      </c>
      <c r="R79" s="53" t="n">
        <f aca="false">IF(OR($A79&gt;TOMATO_BED_CAP,$B79&gt;CARROT_BED_CAP,R$4&gt;MESCLUN_BED_CAP,$A79+$B79+R$4&gt;TOTAL_BEDS_AVAILABLE,($D79+R$5)&gt;TOTAL_LABOR_HOURS_CAP,MAX(0,($D79+R$5)-PERMANENT_FIELD_LABOR_HOURS)&gt;TEMP_HOURS_CAP),"",$C79+R$6-MIN(($D79+R$5),PERMANENT_FIELD_LABOR_HOURS)*PERMANENT_HOURLY_RATE-MAX(0,($D79+R$5)-PERMANENT_FIELD_LABOR_HOURS)*TEMP_HOURLY_RATE-FIXED_SEASON_COST)</f>
        <v>4138.43635840508</v>
      </c>
      <c r="S79" s="53" t="n">
        <f aca="false">IF(OR($A79&gt;TOMATO_BED_CAP,$B79&gt;CARROT_BED_CAP,S$4&gt;MESCLUN_BED_CAP,$A79+$B79+S$4&gt;TOTAL_BEDS_AVAILABLE,($D79+S$5)&gt;TOTAL_LABOR_HOURS_CAP,MAX(0,($D79+S$5)-PERMANENT_FIELD_LABOR_HOURS)&gt;TEMP_HOURS_CAP),"",$C79+S$6-MIN(($D79+S$5),PERMANENT_FIELD_LABOR_HOURS)*PERMANENT_HOURLY_RATE-MAX(0,($D79+S$5)-PERMANENT_FIELD_LABOR_HOURS)*TEMP_HOURLY_RATE-FIXED_SEASON_COST)</f>
        <v>4904.30294690753</v>
      </c>
      <c r="T79" s="53" t="n">
        <f aca="false">IF(OR($A79&gt;TOMATO_BED_CAP,$B79&gt;CARROT_BED_CAP,T$4&gt;MESCLUN_BED_CAP,$A79+$B79+T$4&gt;TOTAL_BEDS_AVAILABLE,($D79+T$5)&gt;TOTAL_LABOR_HOURS_CAP,MAX(0,($D79+T$5)-PERMANENT_FIELD_LABOR_HOURS)&gt;TEMP_HOURS_CAP),"",$C79+T$6-MIN(($D79+T$5),PERMANENT_FIELD_LABOR_HOURS)*PERMANENT_HOURLY_RATE-MAX(0,($D79+T$5)-PERMANENT_FIELD_LABOR_HOURS)*TEMP_HOURLY_RATE-FIXED_SEASON_COST)</f>
        <v>5645.51641530238</v>
      </c>
      <c r="U79" s="53" t="n">
        <f aca="false">IF(OR($A79&gt;TOMATO_BED_CAP,$B79&gt;CARROT_BED_CAP,U$4&gt;MESCLUN_BED_CAP,$A79+$B79+U$4&gt;TOTAL_BEDS_AVAILABLE,($D79+U$5)&gt;TOTAL_LABOR_HOURS_CAP,MAX(0,($D79+U$5)-PERMANENT_FIELD_LABOR_HOURS)&gt;TEMP_HOURS_CAP),"",$C79+U$6-MIN(($D79+U$5),PERMANENT_FIELD_LABOR_HOURS)*PERMANENT_HOURLY_RATE-MAX(0,($D79+U$5)-PERMANENT_FIELD_LABOR_HOURS)*TEMP_HOURLY_RATE-FIXED_SEASON_COST)</f>
        <v>6361.62514393247</v>
      </c>
      <c r="V79" s="53" t="n">
        <f aca="false">IF(OR($A79&gt;TOMATO_BED_CAP,$B79&gt;CARROT_BED_CAP,V$4&gt;MESCLUN_BED_CAP,$A79+$B79+V$4&gt;TOTAL_BEDS_AVAILABLE,($D79+V$5)&gt;TOTAL_LABOR_HOURS_CAP,MAX(0,($D79+V$5)-PERMANENT_FIELD_LABOR_HOURS)&gt;TEMP_HOURS_CAP),"",$C79+V$6-MIN(($D79+V$5),PERMANENT_FIELD_LABOR_HOURS)*PERMANENT_HOURLY_RATE-MAX(0,($D79+V$5)-PERMANENT_FIELD_LABOR_HOURS)*TEMP_HOURLY_RATE-FIXED_SEASON_COST)</f>
        <v>7052.17007469927</v>
      </c>
      <c r="W79" s="53" t="n">
        <f aca="false">IF(OR($A79&gt;TOMATO_BED_CAP,$B79&gt;CARROT_BED_CAP,W$4&gt;MESCLUN_BED_CAP,$A79+$B79+W$4&gt;TOTAL_BEDS_AVAILABLE,($D79+W$5)&gt;TOTAL_LABOR_HOURS_CAP,MAX(0,($D79+W$5)-PERMANENT_FIELD_LABOR_HOURS)&gt;TEMP_HOURS_CAP),"",$C79+W$6-MIN(($D79+W$5),PERMANENT_FIELD_LABOR_HOURS)*PERMANENT_HOURLY_RATE-MAX(0,($D79+W$5)-PERMANENT_FIELD_LABOR_HOURS)*TEMP_HOURLY_RATE-FIXED_SEASON_COST)</f>
        <v>7716.68459566733</v>
      </c>
      <c r="X79" s="53" t="n">
        <f aca="false">IF(OR($A79&gt;TOMATO_BED_CAP,$B79&gt;CARROT_BED_CAP,X$4&gt;MESCLUN_BED_CAP,$A79+$B79+X$4&gt;TOTAL_BEDS_AVAILABLE,($D79+X$5)&gt;TOTAL_LABOR_HOURS_CAP,MAX(0,($D79+X$5)-PERMANENT_FIELD_LABOR_HOURS)&gt;TEMP_HOURS_CAP),"",$C79+X$6-MIN(($D79+X$5),PERMANENT_FIELD_LABOR_HOURS)*PERMANENT_HOURLY_RATE-MAX(0,($D79+X$5)-PERMANENT_FIELD_LABOR_HOURS)*TEMP_HOURLY_RATE-FIXED_SEASON_COST)</f>
        <v>8354.69442394625</v>
      </c>
      <c r="Y79" s="53" t="n">
        <f aca="false">IF(OR($A79&gt;TOMATO_BED_CAP,$B79&gt;CARROT_BED_CAP,Y$4&gt;MESCLUN_BED_CAP,$A79+$B79+Y$4&gt;TOTAL_BEDS_AVAILABLE,($D79+Y$5)&gt;TOTAL_LABOR_HOURS_CAP,MAX(0,($D79+Y$5)-PERMANENT_FIELD_LABOR_HOURS)&gt;TEMP_HOURS_CAP),"",$C79+Y$6-MIN(($D79+Y$5),PERMANENT_FIELD_LABOR_HOURS)*PERMANENT_HOURLY_RATE-MAX(0,($D79+Y$5)-PERMANENT_FIELD_LABOR_HOURS)*TEMP_HOURLY_RATE-FIXED_SEASON_COST)</f>
        <v>8965.71748682491</v>
      </c>
      <c r="Z79" s="53" t="n">
        <f aca="false">IF(OR($A79&gt;TOMATO_BED_CAP,$B79&gt;CARROT_BED_CAP,Z$4&gt;MESCLUN_BED_CAP,$A79+$B79+Z$4&gt;TOTAL_BEDS_AVAILABLE,($D79+Z$5)&gt;TOTAL_LABOR_HOURS_CAP,MAX(0,($D79+Z$5)-PERMANENT_FIELD_LABOR_HOURS)&gt;TEMP_HOURS_CAP),"",$C79+Z$6-MIN(($D79+Z$5),PERMANENT_FIELD_LABOR_HOURS)*PERMANENT_HOURLY_RATE-MAX(0,($D79+Z$5)-PERMANENT_FIELD_LABOR_HOURS)*TEMP_HOURLY_RATE-FIXED_SEASON_COST)</f>
        <v>9549.26380113264</v>
      </c>
      <c r="AA79" s="53" t="n">
        <f aca="false">IF(OR($A79&gt;TOMATO_BED_CAP,$B79&gt;CARROT_BED_CAP,AA$4&gt;MESCLUN_BED_CAP,$A79+$B79+AA$4&gt;TOTAL_BEDS_AVAILABLE,($D79+AA$5)&gt;TOTAL_LABOR_HOURS_CAP,MAX(0,($D79+AA$5)-PERMANENT_FIELD_LABOR_HOURS)&gt;TEMP_HOURS_CAP),"",$C79+AA$6-MIN(($D79+AA$5),PERMANENT_FIELD_LABOR_HOURS)*PERMANENT_HOURLY_RATE-MAX(0,($D79+AA$5)-PERMANENT_FIELD_LABOR_HOURS)*TEMP_HOURLY_RATE-FIXED_SEASON_COST)</f>
        <v>10104.8353508016</v>
      </c>
      <c r="AB79" s="53" t="n">
        <f aca="false">IF(OR($A79&gt;TOMATO_BED_CAP,$B79&gt;CARROT_BED_CAP,AB$4&gt;MESCLUN_BED_CAP,$A79+$B79+AB$4&gt;TOTAL_BEDS_AVAILABLE,($D79+AB$5)&gt;TOTAL_LABOR_HOURS_CAP,MAX(0,($D79+AB$5)-PERMANENT_FIELD_LABOR_HOURS)&gt;TEMP_HOURS_CAP),"",$C79+AB$6-MIN(($D79+AB$5),PERMANENT_FIELD_LABOR_HOURS)*PERMANENT_HOURLY_RATE-MAX(0,($D79+AB$5)-PERMANENT_FIELD_LABOR_HOURS)*TEMP_HOURLY_RATE-FIXED_SEASON_COST)</f>
        <v>10631.9259626041</v>
      </c>
      <c r="AC79" s="53" t="n">
        <f aca="false">IF(OR($A79&gt;TOMATO_BED_CAP,$B79&gt;CARROT_BED_CAP,AC$4&gt;MESCLUN_BED_CAP,$A79+$B79+AC$4&gt;TOTAL_BEDS_AVAILABLE,($D79+AC$5)&gt;TOTAL_LABOR_HOURS_CAP,MAX(0,($D79+AC$5)-PERMANENT_FIELD_LABOR_HOURS)&gt;TEMP_HOURS_CAP),"",$C79+AC$6-MIN(($D79+AC$5),PERMANENT_FIELD_LABOR_HOURS)*PERMANENT_HOURLY_RATE-MAX(0,($D79+AC$5)-PERMANENT_FIELD_LABOR_HOURS)*TEMP_HOURLY_RATE-FIXED_SEASON_COST)</f>
        <v>11130.021180039</v>
      </c>
      <c r="AD79" s="53" t="n">
        <f aca="false">IF(OR($A79&gt;TOMATO_BED_CAP,$B79&gt;CARROT_BED_CAP,AD$4&gt;MESCLUN_BED_CAP,$A79+$B79+AD$4&gt;TOTAL_BEDS_AVAILABLE,($D79+AD$5)&gt;TOTAL_LABOR_HOURS_CAP,MAX(0,($D79+AD$5)-PERMANENT_FIELD_LABOR_HOURS)&gt;TEMP_HOURS_CAP),"",$C79+AD$6-MIN(($D79+AD$5),PERMANENT_FIELD_LABOR_HOURS)*PERMANENT_HOURLY_RATE-MAX(0,($D79+AD$5)-PERMANENT_FIELD_LABOR_HOURS)*TEMP_HOURLY_RATE-FIXED_SEASON_COST)</f>
        <v>11598.598135339</v>
      </c>
      <c r="AE79" s="53" t="n">
        <f aca="false">IF(OR($A79&gt;TOMATO_BED_CAP,$B79&gt;CARROT_BED_CAP,AE$4&gt;MESCLUN_BED_CAP,$A79+$B79+AE$4&gt;TOTAL_BEDS_AVAILABLE,($D79+AE$5)&gt;TOTAL_LABOR_HOURS_CAP,MAX(0,($D79+AE$5)-PERMANENT_FIELD_LABOR_HOURS)&gt;TEMP_HOURS_CAP),"",$C79+AE$6-MIN(($D79+AE$5),PERMANENT_FIELD_LABOR_HOURS)*PERMANENT_HOURLY_RATE-MAX(0,($D79+AE$5)-PERMANENT_FIELD_LABOR_HOURS)*TEMP_HOURLY_RATE-FIXED_SEASON_COST)</f>
        <v>12037.1254195729</v>
      </c>
      <c r="AF79" s="53" t="n">
        <f aca="false">IF(OR($A79&gt;TOMATO_BED_CAP,$B79&gt;CARROT_BED_CAP,AF$4&gt;MESCLUN_BED_CAP,$A79+$B79+AF$4&gt;TOTAL_BEDS_AVAILABLE,($D79+AF$5)&gt;TOTAL_LABOR_HOURS_CAP,MAX(0,($D79+AF$5)-PERMANENT_FIELD_LABOR_HOURS)&gt;TEMP_HOURS_CAP),"",$C79+AF$6-MIN(($D79+AF$5),PERMANENT_FIELD_LABOR_HOURS)*PERMANENT_HOURLY_RATE-MAX(0,($D79+AF$5)-PERMANENT_FIELD_LABOR_HOURS)*TEMP_HOURLY_RATE-FIXED_SEASON_COST)</f>
        <v>12445.0629508148</v>
      </c>
      <c r="AG79" s="53" t="n">
        <f aca="false">IF(OR($A79&gt;TOMATO_BED_CAP,$B79&gt;CARROT_BED_CAP,AG$4&gt;MESCLUN_BED_CAP,$A79+$B79+AG$4&gt;TOTAL_BEDS_AVAILABLE,($D79+AG$5)&gt;TOTAL_LABOR_HOURS_CAP,MAX(0,($D79+AG$5)-PERMANENT_FIELD_LABOR_HOURS)&gt;TEMP_HOURS_CAP),"",$C79+AG$6-MIN(($D79+AG$5),PERMANENT_FIELD_LABOR_HOURS)*PERMANENT_HOURLY_RATE-MAX(0,($D79+AG$5)-PERMANENT_FIELD_LABOR_HOURS)*TEMP_HOURLY_RATE-FIXED_SEASON_COST)</f>
        <v>12821.8618403519</v>
      </c>
      <c r="AH79" s="53" t="n">
        <f aca="false">IF(OR($A79&gt;TOMATO_BED_CAP,$B79&gt;CARROT_BED_CAP,AH$4&gt;MESCLUN_BED_CAP,$A79+$B79+AH$4&gt;TOTAL_BEDS_AVAILABLE,($D79+AH$5)&gt;TOTAL_LABOR_HOURS_CAP,MAX(0,($D79+AH$5)-PERMANENT_FIELD_LABOR_HOURS)&gt;TEMP_HOURS_CAP),"",$C79+AH$6-MIN(($D79+AH$5),PERMANENT_FIELD_LABOR_HOURS)*PERMANENT_HOURLY_RATE-MAX(0,($D79+AH$5)-PERMANENT_FIELD_LABOR_HOURS)*TEMP_HOURLY_RATE-FIXED_SEASON_COST)</f>
        <v>13166.9642569021</v>
      </c>
      <c r="AI79" s="53" t="n">
        <f aca="false">IF(OR($A79&gt;TOMATO_BED_CAP,$B79&gt;CARROT_BED_CAP,AI$4&gt;MESCLUN_BED_CAP,$A79+$B79+AI$4&gt;TOTAL_BEDS_AVAILABLE,($D79+AI$5)&gt;TOTAL_LABOR_HOURS_CAP,MAX(0,($D79+AI$5)-PERMANENT_FIELD_LABOR_HOURS)&gt;TEMP_HOURS_CAP),"",$C79+AI$6-MIN(($D79+AI$5),PERMANENT_FIELD_LABOR_HOURS)*PERMANENT_HOURLY_RATE-MAX(0,($D79+AI$5)-PERMANENT_FIELD_LABOR_HOURS)*TEMP_HOURLY_RATE-FIXED_SEASON_COST)</f>
        <v>13479.8032888144</v>
      </c>
      <c r="AJ79" s="53" t="n">
        <f aca="false">IF(OR($A79&gt;TOMATO_BED_CAP,$B79&gt;CARROT_BED_CAP,AJ$4&gt;MESCLUN_BED_CAP,$A79+$B79+AJ$4&gt;TOTAL_BEDS_AVAILABLE,($D79+AJ$5)&gt;TOTAL_LABOR_HOURS_CAP,MAX(0,($D79+AJ$5)-PERMANENT_FIELD_LABOR_HOURS)&gt;TEMP_HOURS_CAP),"",$C79+AJ$6-MIN(($D79+AJ$5),PERMANENT_FIELD_LABOR_HOURS)*PERMANENT_HOURLY_RATE-MAX(0,($D79+AJ$5)-PERMANENT_FIELD_LABOR_HOURS)*TEMP_HOURLY_RATE-FIXED_SEASON_COST)</f>
        <v>13759.8028042201</v>
      </c>
    </row>
    <row r="80" customFormat="false" ht="15" hidden="false" customHeight="false" outlineLevel="0" collapsed="false">
      <c r="A80" s="21" t="n">
        <f aca="false">INT((ROW()-ROW($A$8))/(20+1))</f>
        <v>3</v>
      </c>
      <c r="B80" s="21" t="n">
        <f aca="false">MOD(ROW()-ROW($A$8),20+1)</f>
        <v>9</v>
      </c>
      <c r="C80" s="13" t="n">
        <f aca="false">A80*(TOMATO_REVENUE_PER_BED-TOMATO_FERTILIZER_PER_BED)+B80*(CARROT_REVENUE_PER_BED-CARROT_FERTILIZER_PER_BED)</f>
        <v>38646</v>
      </c>
      <c r="D80" s="14" t="n">
        <f aca="false">INDEX(TOMATO_SCHED_LABOR_HRS,A80+1)+INDEX(CARROT_SCHED_LABOR_HRS,B80+1)</f>
        <v>696.428124685115</v>
      </c>
      <c r="E80" s="13" t="n">
        <f aca="false">IF(COUNT(F80:AJ80)=0,"",MAX(F80:AJ80))</f>
        <v>14636.7970503389</v>
      </c>
      <c r="F80" s="53" t="n">
        <f aca="false">IF(OR($A80&gt;TOMATO_BED_CAP,$B80&gt;CARROT_BED_CAP,F$4&gt;MESCLUN_BED_CAP,$A80+$B80+F$4&gt;TOTAL_BEDS_AVAILABLE,($D80+F$5)&gt;TOTAL_LABOR_HOURS_CAP,MAX(0,($D80+F$5)-PERMANENT_FIELD_LABOR_HOURS)&gt;TEMP_HOURS_CAP),"",$C80+F$6-MIN(($D80+F$5),PERMANENT_FIELD_LABOR_HOURS)*PERMANENT_HOURLY_RATE-MAX(0,($D80+F$5)-PERMANENT_FIELD_LABOR_HOURS)*TEMP_HOURLY_RATE-FIXED_SEASON_COST)</f>
        <v>-5533.9844890672</v>
      </c>
      <c r="G80" s="53" t="n">
        <f aca="false">IF(OR($A80&gt;TOMATO_BED_CAP,$B80&gt;CARROT_BED_CAP,G$4&gt;MESCLUN_BED_CAP,$A80+$B80+G$4&gt;TOTAL_BEDS_AVAILABLE,($D80+G$5)&gt;TOTAL_LABOR_HOURS_CAP,MAX(0,($D80+G$5)-PERMANENT_FIELD_LABOR_HOURS)&gt;TEMP_HOURS_CAP),"",$C80+G$6-MIN(($D80+G$5),PERMANENT_FIELD_LABOR_HOURS)*PERMANENT_HOURLY_RATE-MAX(0,($D80+G$5)-PERMANENT_FIELD_LABOR_HOURS)*TEMP_HOURLY_RATE-FIXED_SEASON_COST)</f>
        <v>-4914.1572445336</v>
      </c>
      <c r="H80" s="53" t="n">
        <f aca="false">IF(OR($A80&gt;TOMATO_BED_CAP,$B80&gt;CARROT_BED_CAP,H$4&gt;MESCLUN_BED_CAP,$A80+$B80+H$4&gt;TOTAL_BEDS_AVAILABLE,($D80+H$5)&gt;TOTAL_LABOR_HOURS_CAP,MAX(0,($D80+H$5)-PERMANENT_FIELD_LABOR_HOURS)&gt;TEMP_HOURS_CAP),"",$C80+H$6-MIN(($D80+H$5),PERMANENT_FIELD_LABOR_HOURS)*PERMANENT_HOURLY_RATE-MAX(0,($D80+H$5)-PERMANENT_FIELD_LABOR_HOURS)*TEMP_HOURLY_RATE-FIXED_SEASON_COST)</f>
        <v>-3904.8963695336</v>
      </c>
      <c r="I80" s="53" t="n">
        <f aca="false">IF(OR($A80&gt;TOMATO_BED_CAP,$B80&gt;CARROT_BED_CAP,I$4&gt;MESCLUN_BED_CAP,$A80+$B80+I$4&gt;TOTAL_BEDS_AVAILABLE,($D80+I$5)&gt;TOTAL_LABOR_HOURS_CAP,MAX(0,($D80+I$5)-PERMANENT_FIELD_LABOR_HOURS)&gt;TEMP_HOURS_CAP),"",$C80+I$6-MIN(($D80+I$5),PERMANENT_FIELD_LABOR_HOURS)*PERMANENT_HOURLY_RATE-MAX(0,($D80+I$5)-PERMANENT_FIELD_LABOR_HOURS)*TEMP_HOURLY_RATE-FIXED_SEASON_COST)</f>
        <v>-2915.78038437735</v>
      </c>
      <c r="J80" s="53" t="n">
        <f aca="false">IF(OR($A80&gt;TOMATO_BED_CAP,$B80&gt;CARROT_BED_CAP,J$4&gt;MESCLUN_BED_CAP,$A80+$B80+J$4&gt;TOTAL_BEDS_AVAILABLE,($D80+J$5)&gt;TOTAL_LABOR_HOURS_CAP,MAX(0,($D80+J$5)-PERMANENT_FIELD_LABOR_HOURS)&gt;TEMP_HOURS_CAP),"",$C80+J$6-MIN(($D80+J$5),PERMANENT_FIELD_LABOR_HOURS)*PERMANENT_HOURLY_RATE-MAX(0,($D80+J$5)-PERMANENT_FIELD_LABOR_HOURS)*TEMP_HOURLY_RATE-FIXED_SEASON_COST)</f>
        <v>-1947.18623332266</v>
      </c>
      <c r="K80" s="53" t="n">
        <f aca="false">IF(OR($A80&gt;TOMATO_BED_CAP,$B80&gt;CARROT_BED_CAP,K$4&gt;MESCLUN_BED_CAP,$A80+$B80+K$4&gt;TOTAL_BEDS_AVAILABLE,($D80+K$5)&gt;TOTAL_LABOR_HOURS_CAP,MAX(0,($D80+K$5)-PERMANENT_FIELD_LABOR_HOURS)&gt;TEMP_HOURS_CAP),"",$C80+K$6-MIN(($D80+K$5),PERMANENT_FIELD_LABOR_HOURS)*PERMANENT_HOURLY_RATE-MAX(0,($D80+K$5)-PERMANENT_FIELD_LABOR_HOURS)*TEMP_HOURLY_RATE-FIXED_SEASON_COST)</f>
        <v>-999.497136594757</v>
      </c>
      <c r="L80" s="53" t="n">
        <f aca="false">IF(OR($A80&gt;TOMATO_BED_CAP,$B80&gt;CARROT_BED_CAP,L$4&gt;MESCLUN_BED_CAP,$A80+$B80+L$4&gt;TOTAL_BEDS_AVAILABLE,($D80+L$5)&gt;TOTAL_LABOR_HOURS_CAP,MAX(0,($D80+L$5)-PERMANENT_FIELD_LABOR_HOURS)&gt;TEMP_HOURS_CAP),"",$C80+L$6-MIN(($D80+L$5),PERMANENT_FIELD_LABOR_HOURS)*PERMANENT_HOURLY_RATE-MAX(0,($D80+L$5)-PERMANENT_FIELD_LABOR_HOURS)*TEMP_HOURLY_RATE-FIXED_SEASON_COST)</f>
        <v>-73.1026883879022</v>
      </c>
      <c r="M80" s="53" t="n">
        <f aca="false">IF(OR($A80&gt;TOMATO_BED_CAP,$B80&gt;CARROT_BED_CAP,M$4&gt;MESCLUN_BED_CAP,$A80+$B80+M$4&gt;TOTAL_BEDS_AVAILABLE,($D80+M$5)&gt;TOTAL_LABOR_HOURS_CAP,MAX(0,($D80+M$5)-PERMANENT_FIELD_LABOR_HOURS)&gt;TEMP_HOURS_CAP),"",$C80+M$6-MIN(($D80+M$5),PERMANENT_FIELD_LABOR_HOURS)*PERMANENT_HOURLY_RATE-MAX(0,($D80+M$5)-PERMANENT_FIELD_LABOR_HOURS)*TEMP_HOURLY_RATE-FIXED_SEASON_COST)</f>
        <v>831.601043663504</v>
      </c>
      <c r="N80" s="53" t="n">
        <f aca="false">IF(OR($A80&gt;TOMATO_BED_CAP,$B80&gt;CARROT_BED_CAP,N$4&gt;MESCLUN_BED_CAP,$A80+$B80+N$4&gt;TOTAL_BEDS_AVAILABLE,($D80+N$5)&gt;TOTAL_LABOR_HOURS_CAP,MAX(0,($D80+N$5)-PERMANENT_FIELD_LABOR_HOURS)&gt;TEMP_HOURS_CAP),"",$C80+N$6-MIN(($D80+N$5),PERMANENT_FIELD_LABOR_HOURS)*PERMANENT_HOURLY_RATE-MAX(0,($D80+N$5)-PERMANENT_FIELD_LABOR_HOURS)*TEMP_HOURLY_RATE-FIXED_SEASON_COST)</f>
        <v>1714.21141752305</v>
      </c>
      <c r="O80" s="53" t="n">
        <f aca="false">IF(OR($A80&gt;TOMATO_BED_CAP,$B80&gt;CARROT_BED_CAP,O$4&gt;MESCLUN_BED_CAP,$A80+$B80+O$4&gt;TOTAL_BEDS_AVAILABLE,($D80+O$5)&gt;TOTAL_LABOR_HOURS_CAP,MAX(0,($D80+O$5)-PERMANENT_FIELD_LABOR_HOURS)&gt;TEMP_HOURS_CAP),"",$C80+O$6-MIN(($D80+O$5),PERMANENT_FIELD_LABOR_HOURS)*PERMANENT_HOURLY_RATE-MAX(0,($D80+O$5)-PERMANENT_FIELD_LABOR_HOURS)*TEMP_HOURLY_RATE-FIXED_SEASON_COST)</f>
        <v>2574.3191142778</v>
      </c>
      <c r="P80" s="53" t="n">
        <f aca="false">IF(OR($A80&gt;TOMATO_BED_CAP,$B80&gt;CARROT_BED_CAP,P$4&gt;MESCLUN_BED_CAP,$A80+$B80+P$4&gt;TOTAL_BEDS_AVAILABLE,($D80+P$5)&gt;TOTAL_LABOR_HOURS_CAP,MAX(0,($D80+P$5)-PERMANENT_FIELD_LABOR_HOURS)&gt;TEMP_HOURS_CAP),"",$C80+P$6-MIN(($D80+P$5),PERMANENT_FIELD_LABOR_HOURS)*PERMANENT_HOURLY_RATE-MAX(0,($D80+P$5)-PERMANENT_FIELD_LABOR_HOURS)*TEMP_HOURLY_RATE-FIXED_SEASON_COST)</f>
        <v>3411.50803412923</v>
      </c>
      <c r="Q80" s="53" t="n">
        <f aca="false">IF(OR($A80&gt;TOMATO_BED_CAP,$B80&gt;CARROT_BED_CAP,Q$4&gt;MESCLUN_BED_CAP,$A80+$B80+Q$4&gt;TOTAL_BEDS_AVAILABLE,($D80+Q$5)&gt;TOTAL_LABOR_HOURS_CAP,MAX(0,($D80+Q$5)-PERMANENT_FIELD_LABOR_HOURS)&gt;TEMP_HOURS_CAP),"",$C80+Q$6-MIN(($D80+Q$5),PERMANENT_FIELD_LABOR_HOURS)*PERMANENT_HOURLY_RATE-MAX(0,($D80+Q$5)-PERMANENT_FIELD_LABOR_HOURS)*TEMP_HOURLY_RATE-FIXED_SEASON_COST)</f>
        <v>4225.35519082713</v>
      </c>
      <c r="R80" s="53" t="n">
        <f aca="false">IF(OR($A80&gt;TOMATO_BED_CAP,$B80&gt;CARROT_BED_CAP,R$4&gt;MESCLUN_BED_CAP,$A80+$B80+R$4&gt;TOTAL_BEDS_AVAILABLE,($D80+R$5)&gt;TOTAL_LABOR_HOURS_CAP,MAX(0,($D80+R$5)-PERMANENT_FIELD_LABOR_HOURS)&gt;TEMP_HOURS_CAP),"",$C80+R$6-MIN(($D80+R$5),PERMANENT_FIELD_LABOR_HOURS)*PERMANENT_HOURLY_RATE-MAX(0,($D80+R$5)-PERMANENT_FIELD_LABOR_HOURS)*TEMP_HOURLY_RATE-FIXED_SEASON_COST)</f>
        <v>5015.43060452393</v>
      </c>
      <c r="S80" s="53" t="n">
        <f aca="false">IF(OR($A80&gt;TOMATO_BED_CAP,$B80&gt;CARROT_BED_CAP,S$4&gt;MESCLUN_BED_CAP,$A80+$B80+S$4&gt;TOTAL_BEDS_AVAILABLE,($D80+S$5)&gt;TOTAL_LABOR_HOURS_CAP,MAX(0,($D80+S$5)-PERMANENT_FIELD_LABOR_HOURS)&gt;TEMP_HOURS_CAP),"",$C80+S$6-MIN(($D80+S$5),PERMANENT_FIELD_LABOR_HOURS)*PERMANENT_HOURLY_RATE-MAX(0,($D80+S$5)-PERMANENT_FIELD_LABOR_HOURS)*TEMP_HOURLY_RATE-FIXED_SEASON_COST)</f>
        <v>5781.29719302638</v>
      </c>
      <c r="T80" s="53" t="n">
        <f aca="false">IF(OR($A80&gt;TOMATO_BED_CAP,$B80&gt;CARROT_BED_CAP,T$4&gt;MESCLUN_BED_CAP,$A80+$B80+T$4&gt;TOTAL_BEDS_AVAILABLE,($D80+T$5)&gt;TOTAL_LABOR_HOURS_CAP,MAX(0,($D80+T$5)-PERMANENT_FIELD_LABOR_HOURS)&gt;TEMP_HOURS_CAP),"",$C80+T$6-MIN(($D80+T$5),PERMANENT_FIELD_LABOR_HOURS)*PERMANENT_HOURLY_RATE-MAX(0,($D80+T$5)-PERMANENT_FIELD_LABOR_HOURS)*TEMP_HOURLY_RATE-FIXED_SEASON_COST)</f>
        <v>6522.51066142123</v>
      </c>
      <c r="U80" s="53" t="n">
        <f aca="false">IF(OR($A80&gt;TOMATO_BED_CAP,$B80&gt;CARROT_BED_CAP,U$4&gt;MESCLUN_BED_CAP,$A80+$B80+U$4&gt;TOTAL_BEDS_AVAILABLE,($D80+U$5)&gt;TOTAL_LABOR_HOURS_CAP,MAX(0,($D80+U$5)-PERMANENT_FIELD_LABOR_HOURS)&gt;TEMP_HOURS_CAP),"",$C80+U$6-MIN(($D80+U$5),PERMANENT_FIELD_LABOR_HOURS)*PERMANENT_HOURLY_RATE-MAX(0,($D80+U$5)-PERMANENT_FIELD_LABOR_HOURS)*TEMP_HOURLY_RATE-FIXED_SEASON_COST)</f>
        <v>7238.61939005132</v>
      </c>
      <c r="V80" s="53" t="n">
        <f aca="false">IF(OR($A80&gt;TOMATO_BED_CAP,$B80&gt;CARROT_BED_CAP,V$4&gt;MESCLUN_BED_CAP,$A80+$B80+V$4&gt;TOTAL_BEDS_AVAILABLE,($D80+V$5)&gt;TOTAL_LABOR_HOURS_CAP,MAX(0,($D80+V$5)-PERMANENT_FIELD_LABOR_HOURS)&gt;TEMP_HOURS_CAP),"",$C80+V$6-MIN(($D80+V$5),PERMANENT_FIELD_LABOR_HOURS)*PERMANENT_HOURLY_RATE-MAX(0,($D80+V$5)-PERMANENT_FIELD_LABOR_HOURS)*TEMP_HOURLY_RATE-FIXED_SEASON_COST)</f>
        <v>7929.16432081811</v>
      </c>
      <c r="W80" s="53" t="n">
        <f aca="false">IF(OR($A80&gt;TOMATO_BED_CAP,$B80&gt;CARROT_BED_CAP,W$4&gt;MESCLUN_BED_CAP,$A80+$B80+W$4&gt;TOTAL_BEDS_AVAILABLE,($D80+W$5)&gt;TOTAL_LABOR_HOURS_CAP,MAX(0,($D80+W$5)-PERMANENT_FIELD_LABOR_HOURS)&gt;TEMP_HOURS_CAP),"",$C80+W$6-MIN(($D80+W$5),PERMANENT_FIELD_LABOR_HOURS)*PERMANENT_HOURLY_RATE-MAX(0,($D80+W$5)-PERMANENT_FIELD_LABOR_HOURS)*TEMP_HOURLY_RATE-FIXED_SEASON_COST)</f>
        <v>8593.67884178618</v>
      </c>
      <c r="X80" s="53" t="n">
        <f aca="false">IF(OR($A80&gt;TOMATO_BED_CAP,$B80&gt;CARROT_BED_CAP,X$4&gt;MESCLUN_BED_CAP,$A80+$B80+X$4&gt;TOTAL_BEDS_AVAILABLE,($D80+X$5)&gt;TOTAL_LABOR_HOURS_CAP,MAX(0,($D80+X$5)-PERMANENT_FIELD_LABOR_HOURS)&gt;TEMP_HOURS_CAP),"",$C80+X$6-MIN(($D80+X$5),PERMANENT_FIELD_LABOR_HOURS)*PERMANENT_HOURLY_RATE-MAX(0,($D80+X$5)-PERMANENT_FIELD_LABOR_HOURS)*TEMP_HOURLY_RATE-FIXED_SEASON_COST)</f>
        <v>9231.6886700651</v>
      </c>
      <c r="Y80" s="53" t="n">
        <f aca="false">IF(OR($A80&gt;TOMATO_BED_CAP,$B80&gt;CARROT_BED_CAP,Y$4&gt;MESCLUN_BED_CAP,$A80+$B80+Y$4&gt;TOTAL_BEDS_AVAILABLE,($D80+Y$5)&gt;TOTAL_LABOR_HOURS_CAP,MAX(0,($D80+Y$5)-PERMANENT_FIELD_LABOR_HOURS)&gt;TEMP_HOURS_CAP),"",$C80+Y$6-MIN(($D80+Y$5),PERMANENT_FIELD_LABOR_HOURS)*PERMANENT_HOURLY_RATE-MAX(0,($D80+Y$5)-PERMANENT_FIELD_LABOR_HOURS)*TEMP_HOURLY_RATE-FIXED_SEASON_COST)</f>
        <v>9842.71173294376</v>
      </c>
      <c r="Z80" s="53" t="n">
        <f aca="false">IF(OR($A80&gt;TOMATO_BED_CAP,$B80&gt;CARROT_BED_CAP,Z$4&gt;MESCLUN_BED_CAP,$A80+$B80+Z$4&gt;TOTAL_BEDS_AVAILABLE,($D80+Z$5)&gt;TOTAL_LABOR_HOURS_CAP,MAX(0,($D80+Z$5)-PERMANENT_FIELD_LABOR_HOURS)&gt;TEMP_HOURS_CAP),"",$C80+Z$6-MIN(($D80+Z$5),PERMANENT_FIELD_LABOR_HOURS)*PERMANENT_HOURLY_RATE-MAX(0,($D80+Z$5)-PERMANENT_FIELD_LABOR_HOURS)*TEMP_HOURLY_RATE-FIXED_SEASON_COST)</f>
        <v>10426.2580472515</v>
      </c>
      <c r="AA80" s="53" t="n">
        <f aca="false">IF(OR($A80&gt;TOMATO_BED_CAP,$B80&gt;CARROT_BED_CAP,AA$4&gt;MESCLUN_BED_CAP,$A80+$B80+AA$4&gt;TOTAL_BEDS_AVAILABLE,($D80+AA$5)&gt;TOTAL_LABOR_HOURS_CAP,MAX(0,($D80+AA$5)-PERMANENT_FIELD_LABOR_HOURS)&gt;TEMP_HOURS_CAP),"",$C80+AA$6-MIN(($D80+AA$5),PERMANENT_FIELD_LABOR_HOURS)*PERMANENT_HOURLY_RATE-MAX(0,($D80+AA$5)-PERMANENT_FIELD_LABOR_HOURS)*TEMP_HOURLY_RATE-FIXED_SEASON_COST)</f>
        <v>10981.8295969204</v>
      </c>
      <c r="AB80" s="53" t="n">
        <f aca="false">IF(OR($A80&gt;TOMATO_BED_CAP,$B80&gt;CARROT_BED_CAP,AB$4&gt;MESCLUN_BED_CAP,$A80+$B80+AB$4&gt;TOTAL_BEDS_AVAILABLE,($D80+AB$5)&gt;TOTAL_LABOR_HOURS_CAP,MAX(0,($D80+AB$5)-PERMANENT_FIELD_LABOR_HOURS)&gt;TEMP_HOURS_CAP),"",$C80+AB$6-MIN(($D80+AB$5),PERMANENT_FIELD_LABOR_HOURS)*PERMANENT_HOURLY_RATE-MAX(0,($D80+AB$5)-PERMANENT_FIELD_LABOR_HOURS)*TEMP_HOURLY_RATE-FIXED_SEASON_COST)</f>
        <v>11508.920208723</v>
      </c>
      <c r="AC80" s="53" t="n">
        <f aca="false">IF(OR($A80&gt;TOMATO_BED_CAP,$B80&gt;CARROT_BED_CAP,AC$4&gt;MESCLUN_BED_CAP,$A80+$B80+AC$4&gt;TOTAL_BEDS_AVAILABLE,($D80+AC$5)&gt;TOTAL_LABOR_HOURS_CAP,MAX(0,($D80+AC$5)-PERMANENT_FIELD_LABOR_HOURS)&gt;TEMP_HOURS_CAP),"",$C80+AC$6-MIN(($D80+AC$5),PERMANENT_FIELD_LABOR_HOURS)*PERMANENT_HOURLY_RATE-MAX(0,($D80+AC$5)-PERMANENT_FIELD_LABOR_HOURS)*TEMP_HOURLY_RATE-FIXED_SEASON_COST)</f>
        <v>12007.0154261579</v>
      </c>
      <c r="AD80" s="53" t="n">
        <f aca="false">IF(OR($A80&gt;TOMATO_BED_CAP,$B80&gt;CARROT_BED_CAP,AD$4&gt;MESCLUN_BED_CAP,$A80+$B80+AD$4&gt;TOTAL_BEDS_AVAILABLE,($D80+AD$5)&gt;TOTAL_LABOR_HOURS_CAP,MAX(0,($D80+AD$5)-PERMANENT_FIELD_LABOR_HOURS)&gt;TEMP_HOURS_CAP),"",$C80+AD$6-MIN(($D80+AD$5),PERMANENT_FIELD_LABOR_HOURS)*PERMANENT_HOURLY_RATE-MAX(0,($D80+AD$5)-PERMANENT_FIELD_LABOR_HOURS)*TEMP_HOURLY_RATE-FIXED_SEASON_COST)</f>
        <v>12475.5923814578</v>
      </c>
      <c r="AE80" s="53" t="n">
        <f aca="false">IF(OR($A80&gt;TOMATO_BED_CAP,$B80&gt;CARROT_BED_CAP,AE$4&gt;MESCLUN_BED_CAP,$A80+$B80+AE$4&gt;TOTAL_BEDS_AVAILABLE,($D80+AE$5)&gt;TOTAL_LABOR_HOURS_CAP,MAX(0,($D80+AE$5)-PERMANENT_FIELD_LABOR_HOURS)&gt;TEMP_HOURS_CAP),"",$C80+AE$6-MIN(($D80+AE$5),PERMANENT_FIELD_LABOR_HOURS)*PERMANENT_HOURLY_RATE-MAX(0,($D80+AE$5)-PERMANENT_FIELD_LABOR_HOURS)*TEMP_HOURLY_RATE-FIXED_SEASON_COST)</f>
        <v>12914.1196656917</v>
      </c>
      <c r="AF80" s="53" t="n">
        <f aca="false">IF(OR($A80&gt;TOMATO_BED_CAP,$B80&gt;CARROT_BED_CAP,AF$4&gt;MESCLUN_BED_CAP,$A80+$B80+AF$4&gt;TOTAL_BEDS_AVAILABLE,($D80+AF$5)&gt;TOTAL_LABOR_HOURS_CAP,MAX(0,($D80+AF$5)-PERMANENT_FIELD_LABOR_HOURS)&gt;TEMP_HOURS_CAP),"",$C80+AF$6-MIN(($D80+AF$5),PERMANENT_FIELD_LABOR_HOURS)*PERMANENT_HOURLY_RATE-MAX(0,($D80+AF$5)-PERMANENT_FIELD_LABOR_HOURS)*TEMP_HOURLY_RATE-FIXED_SEASON_COST)</f>
        <v>13322.0571969337</v>
      </c>
      <c r="AG80" s="53" t="n">
        <f aca="false">IF(OR($A80&gt;TOMATO_BED_CAP,$B80&gt;CARROT_BED_CAP,AG$4&gt;MESCLUN_BED_CAP,$A80+$B80+AG$4&gt;TOTAL_BEDS_AVAILABLE,($D80+AG$5)&gt;TOTAL_LABOR_HOURS_CAP,MAX(0,($D80+AG$5)-PERMANENT_FIELD_LABOR_HOURS)&gt;TEMP_HOURS_CAP),"",$C80+AG$6-MIN(($D80+AG$5),PERMANENT_FIELD_LABOR_HOURS)*PERMANENT_HOURLY_RATE-MAX(0,($D80+AG$5)-PERMANENT_FIELD_LABOR_HOURS)*TEMP_HOURLY_RATE-FIXED_SEASON_COST)</f>
        <v>13698.8560864707</v>
      </c>
      <c r="AH80" s="53" t="n">
        <f aca="false">IF(OR($A80&gt;TOMATO_BED_CAP,$B80&gt;CARROT_BED_CAP,AH$4&gt;MESCLUN_BED_CAP,$A80+$B80+AH$4&gt;TOTAL_BEDS_AVAILABLE,($D80+AH$5)&gt;TOTAL_LABOR_HOURS_CAP,MAX(0,($D80+AH$5)-PERMANENT_FIELD_LABOR_HOURS)&gt;TEMP_HOURS_CAP),"",$C80+AH$6-MIN(($D80+AH$5),PERMANENT_FIELD_LABOR_HOURS)*PERMANENT_HOURLY_RATE-MAX(0,($D80+AH$5)-PERMANENT_FIELD_LABOR_HOURS)*TEMP_HOURLY_RATE-FIXED_SEASON_COST)</f>
        <v>14043.9585030209</v>
      </c>
      <c r="AI80" s="53" t="n">
        <f aca="false">IF(OR($A80&gt;TOMATO_BED_CAP,$B80&gt;CARROT_BED_CAP,AI$4&gt;MESCLUN_BED_CAP,$A80+$B80+AI$4&gt;TOTAL_BEDS_AVAILABLE,($D80+AI$5)&gt;TOTAL_LABOR_HOURS_CAP,MAX(0,($D80+AI$5)-PERMANENT_FIELD_LABOR_HOURS)&gt;TEMP_HOURS_CAP),"",$C80+AI$6-MIN(($D80+AI$5),PERMANENT_FIELD_LABOR_HOURS)*PERMANENT_HOURLY_RATE-MAX(0,($D80+AI$5)-PERMANENT_FIELD_LABOR_HOURS)*TEMP_HOURLY_RATE-FIXED_SEASON_COST)</f>
        <v>14356.7975349332</v>
      </c>
      <c r="AJ80" s="53" t="n">
        <f aca="false">IF(OR($A80&gt;TOMATO_BED_CAP,$B80&gt;CARROT_BED_CAP,AJ$4&gt;MESCLUN_BED_CAP,$A80+$B80+AJ$4&gt;TOTAL_BEDS_AVAILABLE,($D80+AJ$5)&gt;TOTAL_LABOR_HOURS_CAP,MAX(0,($D80+AJ$5)-PERMANENT_FIELD_LABOR_HOURS)&gt;TEMP_HOURS_CAP),"",$C80+AJ$6-MIN(($D80+AJ$5),PERMANENT_FIELD_LABOR_HOURS)*PERMANENT_HOURLY_RATE-MAX(0,($D80+AJ$5)-PERMANENT_FIELD_LABOR_HOURS)*TEMP_HOURLY_RATE-FIXED_SEASON_COST)</f>
        <v>14636.7970503389</v>
      </c>
    </row>
    <row r="81" customFormat="false" ht="15" hidden="false" customHeight="false" outlineLevel="0" collapsed="false">
      <c r="A81" s="21" t="n">
        <f aca="false">INT((ROW()-ROW($A$8))/(20+1))</f>
        <v>3</v>
      </c>
      <c r="B81" s="21" t="n">
        <f aca="false">MOD(ROW()-ROW($A$8),20+1)</f>
        <v>10</v>
      </c>
      <c r="C81" s="13" t="n">
        <f aca="false">A81*(TOMATO_REVENUE_PER_BED-TOMATO_FERTILIZER_PER_BED)+B81*(CARROT_REVENUE_PER_BED-CARROT_FERTILIZER_PER_BED)</f>
        <v>40300</v>
      </c>
      <c r="D81" s="14" t="n">
        <f aca="false">INDEX(TOMATO_SCHED_LABOR_HRS,A81+1)+INDEX(CARROT_SCHED_LABOR_HRS,B81+1)</f>
        <v>743.241753113604</v>
      </c>
      <c r="E81" s="13" t="n">
        <f aca="false">IF(COUNT(F81:AJ81)=0,"",MAX(F81:AJ81))</f>
        <v>15478.1124608204</v>
      </c>
      <c r="F81" s="53" t="n">
        <f aca="false">IF(OR($A81&gt;TOMATO_BED_CAP,$B81&gt;CARROT_BED_CAP,F$4&gt;MESCLUN_BED_CAP,$A81+$B81+F$4&gt;TOTAL_BEDS_AVAILABLE,($D81+F$5)&gt;TOTAL_LABOR_HOURS_CAP,MAX(0,($D81+F$5)-PERMANENT_FIELD_LABOR_HOURS)&gt;TEMP_HOURS_CAP),"",$C81+F$6-MIN(($D81+F$5),PERMANENT_FIELD_LABOR_HOURS)*PERMANENT_HOURLY_RATE-MAX(0,($D81+F$5)-PERMANENT_FIELD_LABOR_HOURS)*TEMP_HOURLY_RATE-FIXED_SEASON_COST)</f>
        <v>-5101.87683405216</v>
      </c>
      <c r="G81" s="53" t="n">
        <f aca="false">IF(OR($A81&gt;TOMATO_BED_CAP,$B81&gt;CARROT_BED_CAP,G$4&gt;MESCLUN_BED_CAP,$A81+$B81+G$4&gt;TOTAL_BEDS_AVAILABLE,($D81+G$5)&gt;TOTAL_LABOR_HOURS_CAP,MAX(0,($D81+G$5)-PERMANENT_FIELD_LABOR_HOURS)&gt;TEMP_HOURS_CAP),"",$C81+G$6-MIN(($D81+G$5),PERMANENT_FIELD_LABOR_HOURS)*PERMANENT_HOURLY_RATE-MAX(0,($D81+G$5)-PERMANENT_FIELD_LABOR_HOURS)*TEMP_HOURLY_RATE-FIXED_SEASON_COST)</f>
        <v>-4072.84183405216</v>
      </c>
      <c r="H81" s="53" t="n">
        <f aca="false">IF(OR($A81&gt;TOMATO_BED_CAP,$B81&gt;CARROT_BED_CAP,H$4&gt;MESCLUN_BED_CAP,$A81+$B81+H$4&gt;TOTAL_BEDS_AVAILABLE,($D81+H$5)&gt;TOTAL_LABOR_HOURS_CAP,MAX(0,($D81+H$5)-PERMANENT_FIELD_LABOR_HOURS)&gt;TEMP_HOURS_CAP),"",$C81+H$6-MIN(($D81+H$5),PERMANENT_FIELD_LABOR_HOURS)*PERMANENT_HOURLY_RATE-MAX(0,($D81+H$5)-PERMANENT_FIELD_LABOR_HOURS)*TEMP_HOURLY_RATE-FIXED_SEASON_COST)</f>
        <v>-3063.58095905216</v>
      </c>
      <c r="I81" s="53" t="n">
        <f aca="false">IF(OR($A81&gt;TOMATO_BED_CAP,$B81&gt;CARROT_BED_CAP,I$4&gt;MESCLUN_BED_CAP,$A81+$B81+I$4&gt;TOTAL_BEDS_AVAILABLE,($D81+I$5)&gt;TOTAL_LABOR_HOURS_CAP,MAX(0,($D81+I$5)-PERMANENT_FIELD_LABOR_HOURS)&gt;TEMP_HOURS_CAP),"",$C81+I$6-MIN(($D81+I$5),PERMANENT_FIELD_LABOR_HOURS)*PERMANENT_HOURLY_RATE-MAX(0,($D81+I$5)-PERMANENT_FIELD_LABOR_HOURS)*TEMP_HOURLY_RATE-FIXED_SEASON_COST)</f>
        <v>-2074.46497389591</v>
      </c>
      <c r="J81" s="53" t="n">
        <f aca="false">IF(OR($A81&gt;TOMATO_BED_CAP,$B81&gt;CARROT_BED_CAP,J$4&gt;MESCLUN_BED_CAP,$A81+$B81+J$4&gt;TOTAL_BEDS_AVAILABLE,($D81+J$5)&gt;TOTAL_LABOR_HOURS_CAP,MAX(0,($D81+J$5)-PERMANENT_FIELD_LABOR_HOURS)&gt;TEMP_HOURS_CAP),"",$C81+J$6-MIN(($D81+J$5),PERMANENT_FIELD_LABOR_HOURS)*PERMANENT_HOURLY_RATE-MAX(0,($D81+J$5)-PERMANENT_FIELD_LABOR_HOURS)*TEMP_HOURLY_RATE-FIXED_SEASON_COST)</f>
        <v>-1105.87082284121</v>
      </c>
      <c r="K81" s="53" t="n">
        <f aca="false">IF(OR($A81&gt;TOMATO_BED_CAP,$B81&gt;CARROT_BED_CAP,K$4&gt;MESCLUN_BED_CAP,$A81+$B81+K$4&gt;TOTAL_BEDS_AVAILABLE,($D81+K$5)&gt;TOTAL_LABOR_HOURS_CAP,MAX(0,($D81+K$5)-PERMANENT_FIELD_LABOR_HOURS)&gt;TEMP_HOURS_CAP),"",$C81+K$6-MIN(($D81+K$5),PERMANENT_FIELD_LABOR_HOURS)*PERMANENT_HOURLY_RATE-MAX(0,($D81+K$5)-PERMANENT_FIELD_LABOR_HOURS)*TEMP_HOURLY_RATE-FIXED_SEASON_COST)</f>
        <v>-158.181726113311</v>
      </c>
      <c r="L81" s="53" t="n">
        <f aca="false">IF(OR($A81&gt;TOMATO_BED_CAP,$B81&gt;CARROT_BED_CAP,L$4&gt;MESCLUN_BED_CAP,$A81+$B81+L$4&gt;TOTAL_BEDS_AVAILABLE,($D81+L$5)&gt;TOTAL_LABOR_HOURS_CAP,MAX(0,($D81+L$5)-PERMANENT_FIELD_LABOR_HOURS)&gt;TEMP_HOURS_CAP),"",$C81+L$6-MIN(($D81+L$5),PERMANENT_FIELD_LABOR_HOURS)*PERMANENT_HOURLY_RATE-MAX(0,($D81+L$5)-PERMANENT_FIELD_LABOR_HOURS)*TEMP_HOURLY_RATE-FIXED_SEASON_COST)</f>
        <v>768.212722093544</v>
      </c>
      <c r="M81" s="53" t="n">
        <f aca="false">IF(OR($A81&gt;TOMATO_BED_CAP,$B81&gt;CARROT_BED_CAP,M$4&gt;MESCLUN_BED_CAP,$A81+$B81+M$4&gt;TOTAL_BEDS_AVAILABLE,($D81+M$5)&gt;TOTAL_LABOR_HOURS_CAP,MAX(0,($D81+M$5)-PERMANENT_FIELD_LABOR_HOURS)&gt;TEMP_HOURS_CAP),"",$C81+M$6-MIN(($D81+M$5),PERMANENT_FIELD_LABOR_HOURS)*PERMANENT_HOURLY_RATE-MAX(0,($D81+M$5)-PERMANENT_FIELD_LABOR_HOURS)*TEMP_HOURLY_RATE-FIXED_SEASON_COST)</f>
        <v>1672.91645414495</v>
      </c>
      <c r="N81" s="53" t="n">
        <f aca="false">IF(OR($A81&gt;TOMATO_BED_CAP,$B81&gt;CARROT_BED_CAP,N$4&gt;MESCLUN_BED_CAP,$A81+$B81+N$4&gt;TOTAL_BEDS_AVAILABLE,($D81+N$5)&gt;TOTAL_LABOR_HOURS_CAP,MAX(0,($D81+N$5)-PERMANENT_FIELD_LABOR_HOURS)&gt;TEMP_HOURS_CAP),"",$C81+N$6-MIN(($D81+N$5),PERMANENT_FIELD_LABOR_HOURS)*PERMANENT_HOURLY_RATE-MAX(0,($D81+N$5)-PERMANENT_FIELD_LABOR_HOURS)*TEMP_HOURLY_RATE-FIXED_SEASON_COST)</f>
        <v>2555.52682800449</v>
      </c>
      <c r="O81" s="53" t="n">
        <f aca="false">IF(OR($A81&gt;TOMATO_BED_CAP,$B81&gt;CARROT_BED_CAP,O$4&gt;MESCLUN_BED_CAP,$A81+$B81+O$4&gt;TOTAL_BEDS_AVAILABLE,($D81+O$5)&gt;TOTAL_LABOR_HOURS_CAP,MAX(0,($D81+O$5)-PERMANENT_FIELD_LABOR_HOURS)&gt;TEMP_HOURS_CAP),"",$C81+O$6-MIN(($D81+O$5),PERMANENT_FIELD_LABOR_HOURS)*PERMANENT_HOURLY_RATE-MAX(0,($D81+O$5)-PERMANENT_FIELD_LABOR_HOURS)*TEMP_HOURLY_RATE-FIXED_SEASON_COST)</f>
        <v>3415.63452475925</v>
      </c>
      <c r="P81" s="53" t="n">
        <f aca="false">IF(OR($A81&gt;TOMATO_BED_CAP,$B81&gt;CARROT_BED_CAP,P$4&gt;MESCLUN_BED_CAP,$A81+$B81+P$4&gt;TOTAL_BEDS_AVAILABLE,($D81+P$5)&gt;TOTAL_LABOR_HOURS_CAP,MAX(0,($D81+P$5)-PERMANENT_FIELD_LABOR_HOURS)&gt;TEMP_HOURS_CAP),"",$C81+P$6-MIN(($D81+P$5),PERMANENT_FIELD_LABOR_HOURS)*PERMANENT_HOURLY_RATE-MAX(0,($D81+P$5)-PERMANENT_FIELD_LABOR_HOURS)*TEMP_HOURLY_RATE-FIXED_SEASON_COST)</f>
        <v>4252.82344461068</v>
      </c>
      <c r="Q81" s="53" t="n">
        <f aca="false">IF(OR($A81&gt;TOMATO_BED_CAP,$B81&gt;CARROT_BED_CAP,Q$4&gt;MESCLUN_BED_CAP,$A81+$B81+Q$4&gt;TOTAL_BEDS_AVAILABLE,($D81+Q$5)&gt;TOTAL_LABOR_HOURS_CAP,MAX(0,($D81+Q$5)-PERMANENT_FIELD_LABOR_HOURS)&gt;TEMP_HOURS_CAP),"",$C81+Q$6-MIN(($D81+Q$5),PERMANENT_FIELD_LABOR_HOURS)*PERMANENT_HOURLY_RATE-MAX(0,($D81+Q$5)-PERMANENT_FIELD_LABOR_HOURS)*TEMP_HOURLY_RATE-FIXED_SEASON_COST)</f>
        <v>5066.67060130857</v>
      </c>
      <c r="R81" s="53" t="n">
        <f aca="false">IF(OR($A81&gt;TOMATO_BED_CAP,$B81&gt;CARROT_BED_CAP,R$4&gt;MESCLUN_BED_CAP,$A81+$B81+R$4&gt;TOTAL_BEDS_AVAILABLE,($D81+R$5)&gt;TOTAL_LABOR_HOURS_CAP,MAX(0,($D81+R$5)-PERMANENT_FIELD_LABOR_HOURS)&gt;TEMP_HOURS_CAP),"",$C81+R$6-MIN(($D81+R$5),PERMANENT_FIELD_LABOR_HOURS)*PERMANENT_HOURLY_RATE-MAX(0,($D81+R$5)-PERMANENT_FIELD_LABOR_HOURS)*TEMP_HOURLY_RATE-FIXED_SEASON_COST)</f>
        <v>5856.74601500537</v>
      </c>
      <c r="S81" s="53" t="n">
        <f aca="false">IF(OR($A81&gt;TOMATO_BED_CAP,$B81&gt;CARROT_BED_CAP,S$4&gt;MESCLUN_BED_CAP,$A81+$B81+S$4&gt;TOTAL_BEDS_AVAILABLE,($D81+S$5)&gt;TOTAL_LABOR_HOURS_CAP,MAX(0,($D81+S$5)-PERMANENT_FIELD_LABOR_HOURS)&gt;TEMP_HOURS_CAP),"",$C81+S$6-MIN(($D81+S$5),PERMANENT_FIELD_LABOR_HOURS)*PERMANENT_HOURLY_RATE-MAX(0,($D81+S$5)-PERMANENT_FIELD_LABOR_HOURS)*TEMP_HOURLY_RATE-FIXED_SEASON_COST)</f>
        <v>6622.61260350782</v>
      </c>
      <c r="T81" s="53" t="n">
        <f aca="false">IF(OR($A81&gt;TOMATO_BED_CAP,$B81&gt;CARROT_BED_CAP,T$4&gt;MESCLUN_BED_CAP,$A81+$B81+T$4&gt;TOTAL_BEDS_AVAILABLE,($D81+T$5)&gt;TOTAL_LABOR_HOURS_CAP,MAX(0,($D81+T$5)-PERMANENT_FIELD_LABOR_HOURS)&gt;TEMP_HOURS_CAP),"",$C81+T$6-MIN(($D81+T$5),PERMANENT_FIELD_LABOR_HOURS)*PERMANENT_HOURLY_RATE-MAX(0,($D81+T$5)-PERMANENT_FIELD_LABOR_HOURS)*TEMP_HOURLY_RATE-FIXED_SEASON_COST)</f>
        <v>7363.82607190267</v>
      </c>
      <c r="U81" s="53" t="n">
        <f aca="false">IF(OR($A81&gt;TOMATO_BED_CAP,$B81&gt;CARROT_BED_CAP,U$4&gt;MESCLUN_BED_CAP,$A81+$B81+U$4&gt;TOTAL_BEDS_AVAILABLE,($D81+U$5)&gt;TOTAL_LABOR_HOURS_CAP,MAX(0,($D81+U$5)-PERMANENT_FIELD_LABOR_HOURS)&gt;TEMP_HOURS_CAP),"",$C81+U$6-MIN(($D81+U$5),PERMANENT_FIELD_LABOR_HOURS)*PERMANENT_HOURLY_RATE-MAX(0,($D81+U$5)-PERMANENT_FIELD_LABOR_HOURS)*TEMP_HOURLY_RATE-FIXED_SEASON_COST)</f>
        <v>8079.93480053277</v>
      </c>
      <c r="V81" s="53" t="n">
        <f aca="false">IF(OR($A81&gt;TOMATO_BED_CAP,$B81&gt;CARROT_BED_CAP,V$4&gt;MESCLUN_BED_CAP,$A81+$B81+V$4&gt;TOTAL_BEDS_AVAILABLE,($D81+V$5)&gt;TOTAL_LABOR_HOURS_CAP,MAX(0,($D81+V$5)-PERMANENT_FIELD_LABOR_HOURS)&gt;TEMP_HOURS_CAP),"",$C81+V$6-MIN(($D81+V$5),PERMANENT_FIELD_LABOR_HOURS)*PERMANENT_HOURLY_RATE-MAX(0,($D81+V$5)-PERMANENT_FIELD_LABOR_HOURS)*TEMP_HOURLY_RATE-FIXED_SEASON_COST)</f>
        <v>8770.47973129956</v>
      </c>
      <c r="W81" s="53" t="n">
        <f aca="false">IF(OR($A81&gt;TOMATO_BED_CAP,$B81&gt;CARROT_BED_CAP,W$4&gt;MESCLUN_BED_CAP,$A81+$B81+W$4&gt;TOTAL_BEDS_AVAILABLE,($D81+W$5)&gt;TOTAL_LABOR_HOURS_CAP,MAX(0,($D81+W$5)-PERMANENT_FIELD_LABOR_HOURS)&gt;TEMP_HOURS_CAP),"",$C81+W$6-MIN(($D81+W$5),PERMANENT_FIELD_LABOR_HOURS)*PERMANENT_HOURLY_RATE-MAX(0,($D81+W$5)-PERMANENT_FIELD_LABOR_HOURS)*TEMP_HOURLY_RATE-FIXED_SEASON_COST)</f>
        <v>9434.99425226762</v>
      </c>
      <c r="X81" s="53" t="n">
        <f aca="false">IF(OR($A81&gt;TOMATO_BED_CAP,$B81&gt;CARROT_BED_CAP,X$4&gt;MESCLUN_BED_CAP,$A81+$B81+X$4&gt;TOTAL_BEDS_AVAILABLE,($D81+X$5)&gt;TOTAL_LABOR_HOURS_CAP,MAX(0,($D81+X$5)-PERMANENT_FIELD_LABOR_HOURS)&gt;TEMP_HOURS_CAP),"",$C81+X$6-MIN(($D81+X$5),PERMANENT_FIELD_LABOR_HOURS)*PERMANENT_HOURLY_RATE-MAX(0,($D81+X$5)-PERMANENT_FIELD_LABOR_HOURS)*TEMP_HOURLY_RATE-FIXED_SEASON_COST)</f>
        <v>10073.0040805465</v>
      </c>
      <c r="Y81" s="53" t="n">
        <f aca="false">IF(OR($A81&gt;TOMATO_BED_CAP,$B81&gt;CARROT_BED_CAP,Y$4&gt;MESCLUN_BED_CAP,$A81+$B81+Y$4&gt;TOTAL_BEDS_AVAILABLE,($D81+Y$5)&gt;TOTAL_LABOR_HOURS_CAP,MAX(0,($D81+Y$5)-PERMANENT_FIELD_LABOR_HOURS)&gt;TEMP_HOURS_CAP),"",$C81+Y$6-MIN(($D81+Y$5),PERMANENT_FIELD_LABOR_HOURS)*PERMANENT_HOURLY_RATE-MAX(0,($D81+Y$5)-PERMANENT_FIELD_LABOR_HOURS)*TEMP_HOURLY_RATE-FIXED_SEASON_COST)</f>
        <v>10684.0271434252</v>
      </c>
      <c r="Z81" s="53" t="n">
        <f aca="false">IF(OR($A81&gt;TOMATO_BED_CAP,$B81&gt;CARROT_BED_CAP,Z$4&gt;MESCLUN_BED_CAP,$A81+$B81+Z$4&gt;TOTAL_BEDS_AVAILABLE,($D81+Z$5)&gt;TOTAL_LABOR_HOURS_CAP,MAX(0,($D81+Z$5)-PERMANENT_FIELD_LABOR_HOURS)&gt;TEMP_HOURS_CAP),"",$C81+Z$6-MIN(($D81+Z$5),PERMANENT_FIELD_LABOR_HOURS)*PERMANENT_HOURLY_RATE-MAX(0,($D81+Z$5)-PERMANENT_FIELD_LABOR_HOURS)*TEMP_HOURLY_RATE-FIXED_SEASON_COST)</f>
        <v>11267.5734577329</v>
      </c>
      <c r="AA81" s="53" t="n">
        <f aca="false">IF(OR($A81&gt;TOMATO_BED_CAP,$B81&gt;CARROT_BED_CAP,AA$4&gt;MESCLUN_BED_CAP,$A81+$B81+AA$4&gt;TOTAL_BEDS_AVAILABLE,($D81+AA$5)&gt;TOTAL_LABOR_HOURS_CAP,MAX(0,($D81+AA$5)-PERMANENT_FIELD_LABOR_HOURS)&gt;TEMP_HOURS_CAP),"",$C81+AA$6-MIN(($D81+AA$5),PERMANENT_FIELD_LABOR_HOURS)*PERMANENT_HOURLY_RATE-MAX(0,($D81+AA$5)-PERMANENT_FIELD_LABOR_HOURS)*TEMP_HOURLY_RATE-FIXED_SEASON_COST)</f>
        <v>11823.1450074019</v>
      </c>
      <c r="AB81" s="53" t="n">
        <f aca="false">IF(OR($A81&gt;TOMATO_BED_CAP,$B81&gt;CARROT_BED_CAP,AB$4&gt;MESCLUN_BED_CAP,$A81+$B81+AB$4&gt;TOTAL_BEDS_AVAILABLE,($D81+AB$5)&gt;TOTAL_LABOR_HOURS_CAP,MAX(0,($D81+AB$5)-PERMANENT_FIELD_LABOR_HOURS)&gt;TEMP_HOURS_CAP),"",$C81+AB$6-MIN(($D81+AB$5),PERMANENT_FIELD_LABOR_HOURS)*PERMANENT_HOURLY_RATE-MAX(0,($D81+AB$5)-PERMANENT_FIELD_LABOR_HOURS)*TEMP_HOURLY_RATE-FIXED_SEASON_COST)</f>
        <v>12350.2356192044</v>
      </c>
      <c r="AC81" s="53" t="n">
        <f aca="false">IF(OR($A81&gt;TOMATO_BED_CAP,$B81&gt;CARROT_BED_CAP,AC$4&gt;MESCLUN_BED_CAP,$A81+$B81+AC$4&gt;TOTAL_BEDS_AVAILABLE,($D81+AC$5)&gt;TOTAL_LABOR_HOURS_CAP,MAX(0,($D81+AC$5)-PERMANENT_FIELD_LABOR_HOURS)&gt;TEMP_HOURS_CAP),"",$C81+AC$6-MIN(($D81+AC$5),PERMANENT_FIELD_LABOR_HOURS)*PERMANENT_HOURLY_RATE-MAX(0,($D81+AC$5)-PERMANENT_FIELD_LABOR_HOURS)*TEMP_HOURLY_RATE-FIXED_SEASON_COST)</f>
        <v>12848.3308366393</v>
      </c>
      <c r="AD81" s="53" t="n">
        <f aca="false">IF(OR($A81&gt;TOMATO_BED_CAP,$B81&gt;CARROT_BED_CAP,AD$4&gt;MESCLUN_BED_CAP,$A81+$B81+AD$4&gt;TOTAL_BEDS_AVAILABLE,($D81+AD$5)&gt;TOTAL_LABOR_HOURS_CAP,MAX(0,($D81+AD$5)-PERMANENT_FIELD_LABOR_HOURS)&gt;TEMP_HOURS_CAP),"",$C81+AD$6-MIN(($D81+AD$5),PERMANENT_FIELD_LABOR_HOURS)*PERMANENT_HOURLY_RATE-MAX(0,($D81+AD$5)-PERMANENT_FIELD_LABOR_HOURS)*TEMP_HOURLY_RATE-FIXED_SEASON_COST)</f>
        <v>13316.9077919393</v>
      </c>
      <c r="AE81" s="53" t="n">
        <f aca="false">IF(OR($A81&gt;TOMATO_BED_CAP,$B81&gt;CARROT_BED_CAP,AE$4&gt;MESCLUN_BED_CAP,$A81+$B81+AE$4&gt;TOTAL_BEDS_AVAILABLE,($D81+AE$5)&gt;TOTAL_LABOR_HOURS_CAP,MAX(0,($D81+AE$5)-PERMANENT_FIELD_LABOR_HOURS)&gt;TEMP_HOURS_CAP),"",$C81+AE$6-MIN(($D81+AE$5),PERMANENT_FIELD_LABOR_HOURS)*PERMANENT_HOURLY_RATE-MAX(0,($D81+AE$5)-PERMANENT_FIELD_LABOR_HOURS)*TEMP_HOURLY_RATE-FIXED_SEASON_COST)</f>
        <v>13755.4350761732</v>
      </c>
      <c r="AF81" s="53" t="n">
        <f aca="false">IF(OR($A81&gt;TOMATO_BED_CAP,$B81&gt;CARROT_BED_CAP,AF$4&gt;MESCLUN_BED_CAP,$A81+$B81+AF$4&gt;TOTAL_BEDS_AVAILABLE,($D81+AF$5)&gt;TOTAL_LABOR_HOURS_CAP,MAX(0,($D81+AF$5)-PERMANENT_FIELD_LABOR_HOURS)&gt;TEMP_HOURS_CAP),"",$C81+AF$6-MIN(($D81+AF$5),PERMANENT_FIELD_LABOR_HOURS)*PERMANENT_HOURLY_RATE-MAX(0,($D81+AF$5)-PERMANENT_FIELD_LABOR_HOURS)*TEMP_HOURLY_RATE-FIXED_SEASON_COST)</f>
        <v>14163.3726074151</v>
      </c>
      <c r="AG81" s="53" t="n">
        <f aca="false">IF(OR($A81&gt;TOMATO_BED_CAP,$B81&gt;CARROT_BED_CAP,AG$4&gt;MESCLUN_BED_CAP,$A81+$B81+AG$4&gt;TOTAL_BEDS_AVAILABLE,($D81+AG$5)&gt;TOTAL_LABOR_HOURS_CAP,MAX(0,($D81+AG$5)-PERMANENT_FIELD_LABOR_HOURS)&gt;TEMP_HOURS_CAP),"",$C81+AG$6-MIN(($D81+AG$5),PERMANENT_FIELD_LABOR_HOURS)*PERMANENT_HOURLY_RATE-MAX(0,($D81+AG$5)-PERMANENT_FIELD_LABOR_HOURS)*TEMP_HOURLY_RATE-FIXED_SEASON_COST)</f>
        <v>14540.1714969522</v>
      </c>
      <c r="AH81" s="53" t="n">
        <f aca="false">IF(OR($A81&gt;TOMATO_BED_CAP,$B81&gt;CARROT_BED_CAP,AH$4&gt;MESCLUN_BED_CAP,$A81+$B81+AH$4&gt;TOTAL_BEDS_AVAILABLE,($D81+AH$5)&gt;TOTAL_LABOR_HOURS_CAP,MAX(0,($D81+AH$5)-PERMANENT_FIELD_LABOR_HOURS)&gt;TEMP_HOURS_CAP),"",$C81+AH$6-MIN(($D81+AH$5),PERMANENT_FIELD_LABOR_HOURS)*PERMANENT_HOURLY_RATE-MAX(0,($D81+AH$5)-PERMANENT_FIELD_LABOR_HOURS)*TEMP_HOURLY_RATE-FIXED_SEASON_COST)</f>
        <v>14885.2739135024</v>
      </c>
      <c r="AI81" s="53" t="n">
        <f aca="false">IF(OR($A81&gt;TOMATO_BED_CAP,$B81&gt;CARROT_BED_CAP,AI$4&gt;MESCLUN_BED_CAP,$A81+$B81+AI$4&gt;TOTAL_BEDS_AVAILABLE,($D81+AI$5)&gt;TOTAL_LABOR_HOURS_CAP,MAX(0,($D81+AI$5)-PERMANENT_FIELD_LABOR_HOURS)&gt;TEMP_HOURS_CAP),"",$C81+AI$6-MIN(($D81+AI$5),PERMANENT_FIELD_LABOR_HOURS)*PERMANENT_HOURLY_RATE-MAX(0,($D81+AI$5)-PERMANENT_FIELD_LABOR_HOURS)*TEMP_HOURLY_RATE-FIXED_SEASON_COST)</f>
        <v>15198.1129454146</v>
      </c>
      <c r="AJ81" s="53" t="n">
        <f aca="false">IF(OR($A81&gt;TOMATO_BED_CAP,$B81&gt;CARROT_BED_CAP,AJ$4&gt;MESCLUN_BED_CAP,$A81+$B81+AJ$4&gt;TOTAL_BEDS_AVAILABLE,($D81+AJ$5)&gt;TOTAL_LABOR_HOURS_CAP,MAX(0,($D81+AJ$5)-PERMANENT_FIELD_LABOR_HOURS)&gt;TEMP_HOURS_CAP),"",$C81+AJ$6-MIN(($D81+AJ$5),PERMANENT_FIELD_LABOR_HOURS)*PERMANENT_HOURLY_RATE-MAX(0,($D81+AJ$5)-PERMANENT_FIELD_LABOR_HOURS)*TEMP_HOURLY_RATE-FIXED_SEASON_COST)</f>
        <v>15478.1124608204</v>
      </c>
    </row>
    <row r="82" customFormat="false" ht="15" hidden="false" customHeight="false" outlineLevel="0" collapsed="false">
      <c r="A82" s="21" t="n">
        <f aca="false">INT((ROW()-ROW($A$8))/(20+1))</f>
        <v>3</v>
      </c>
      <c r="B82" s="21" t="n">
        <f aca="false">MOD(ROW()-ROW($A$8),20+1)</f>
        <v>11</v>
      </c>
      <c r="C82" s="13" t="n">
        <f aca="false">A82*(TOMATO_REVENUE_PER_BED-TOMATO_FERTILIZER_PER_BED)+B82*(CARROT_REVENUE_PER_BED-CARROT_FERTILIZER_PER_BED)</f>
        <v>41954</v>
      </c>
      <c r="D82" s="14" t="n">
        <f aca="false">INDEX(TOMATO_SCHED_LABOR_HRS,A82+1)+INDEX(CARROT_SCHED_LABOR_HRS,B82+1)</f>
        <v>792.185401635588</v>
      </c>
      <c r="E82" s="13" t="n">
        <f aca="false">IF(COUNT(F82:AJ82)=0,"",MAX(F82:AJ82))</f>
        <v>16282.4507224787</v>
      </c>
      <c r="F82" s="53" t="n">
        <f aca="false">IF(OR($A82&gt;TOMATO_BED_CAP,$B82&gt;CARROT_BED_CAP,F$4&gt;MESCLUN_BED_CAP,$A82+$B82+F$4&gt;TOTAL_BEDS_AVAILABLE,($D82+F$5)&gt;TOTAL_LABOR_HOURS_CAP,MAX(0,($D82+F$5)-PERMANENT_FIELD_LABOR_HOURS)&gt;TEMP_HOURS_CAP),"",$C82+F$6-MIN(($D82+F$5),PERMANENT_FIELD_LABOR_HOURS)*PERMANENT_HOURLY_RATE-MAX(0,($D82+F$5)-PERMANENT_FIELD_LABOR_HOURS)*TEMP_HOURLY_RATE-FIXED_SEASON_COST)</f>
        <v>-4297.53857239381</v>
      </c>
      <c r="G82" s="53" t="n">
        <f aca="false">IF(OR($A82&gt;TOMATO_BED_CAP,$B82&gt;CARROT_BED_CAP,G$4&gt;MESCLUN_BED_CAP,$A82+$B82+G$4&gt;TOTAL_BEDS_AVAILABLE,($D82+G$5)&gt;TOTAL_LABOR_HOURS_CAP,MAX(0,($D82+G$5)-PERMANENT_FIELD_LABOR_HOURS)&gt;TEMP_HOURS_CAP),"",$C82+G$6-MIN(($D82+G$5),PERMANENT_FIELD_LABOR_HOURS)*PERMANENT_HOURLY_RATE-MAX(0,($D82+G$5)-PERMANENT_FIELD_LABOR_HOURS)*TEMP_HOURLY_RATE-FIXED_SEASON_COST)</f>
        <v>-3268.50357239381</v>
      </c>
      <c r="H82" s="53" t="n">
        <f aca="false">IF(OR($A82&gt;TOMATO_BED_CAP,$B82&gt;CARROT_BED_CAP,H$4&gt;MESCLUN_BED_CAP,$A82+$B82+H$4&gt;TOTAL_BEDS_AVAILABLE,($D82+H$5)&gt;TOTAL_LABOR_HOURS_CAP,MAX(0,($D82+H$5)-PERMANENT_FIELD_LABOR_HOURS)&gt;TEMP_HOURS_CAP),"",$C82+H$6-MIN(($D82+H$5),PERMANENT_FIELD_LABOR_HOURS)*PERMANENT_HOURLY_RATE-MAX(0,($D82+H$5)-PERMANENT_FIELD_LABOR_HOURS)*TEMP_HOURLY_RATE-FIXED_SEASON_COST)</f>
        <v>-2259.24269739381</v>
      </c>
      <c r="I82" s="53" t="n">
        <f aca="false">IF(OR($A82&gt;TOMATO_BED_CAP,$B82&gt;CARROT_BED_CAP,I$4&gt;MESCLUN_BED_CAP,$A82+$B82+I$4&gt;TOTAL_BEDS_AVAILABLE,($D82+I$5)&gt;TOTAL_LABOR_HOURS_CAP,MAX(0,($D82+I$5)-PERMANENT_FIELD_LABOR_HOURS)&gt;TEMP_HOURS_CAP),"",$C82+I$6-MIN(($D82+I$5),PERMANENT_FIELD_LABOR_HOURS)*PERMANENT_HOURLY_RATE-MAX(0,($D82+I$5)-PERMANENT_FIELD_LABOR_HOURS)*TEMP_HOURLY_RATE-FIXED_SEASON_COST)</f>
        <v>-1270.12671223755</v>
      </c>
      <c r="J82" s="53" t="n">
        <f aca="false">IF(OR($A82&gt;TOMATO_BED_CAP,$B82&gt;CARROT_BED_CAP,J$4&gt;MESCLUN_BED_CAP,$A82+$B82+J$4&gt;TOTAL_BEDS_AVAILABLE,($D82+J$5)&gt;TOTAL_LABOR_HOURS_CAP,MAX(0,($D82+J$5)-PERMANENT_FIELD_LABOR_HOURS)&gt;TEMP_HOURS_CAP),"",$C82+J$6-MIN(($D82+J$5),PERMANENT_FIELD_LABOR_HOURS)*PERMANENT_HOURLY_RATE-MAX(0,($D82+J$5)-PERMANENT_FIELD_LABOR_HOURS)*TEMP_HOURLY_RATE-FIXED_SEASON_COST)</f>
        <v>-301.532561182867</v>
      </c>
      <c r="K82" s="53" t="n">
        <f aca="false">IF(OR($A82&gt;TOMATO_BED_CAP,$B82&gt;CARROT_BED_CAP,K$4&gt;MESCLUN_BED_CAP,$A82+$B82+K$4&gt;TOTAL_BEDS_AVAILABLE,($D82+K$5)&gt;TOTAL_LABOR_HOURS_CAP,MAX(0,($D82+K$5)-PERMANENT_FIELD_LABOR_HOURS)&gt;TEMP_HOURS_CAP),"",$C82+K$6-MIN(($D82+K$5),PERMANENT_FIELD_LABOR_HOURS)*PERMANENT_HOURLY_RATE-MAX(0,($D82+K$5)-PERMANENT_FIELD_LABOR_HOURS)*TEMP_HOURLY_RATE-FIXED_SEASON_COST)</f>
        <v>646.156535545037</v>
      </c>
      <c r="L82" s="53" t="n">
        <f aca="false">IF(OR($A82&gt;TOMATO_BED_CAP,$B82&gt;CARROT_BED_CAP,L$4&gt;MESCLUN_BED_CAP,$A82+$B82+L$4&gt;TOTAL_BEDS_AVAILABLE,($D82+L$5)&gt;TOTAL_LABOR_HOURS_CAP,MAX(0,($D82+L$5)-PERMANENT_FIELD_LABOR_HOURS)&gt;TEMP_HOURS_CAP),"",$C82+L$6-MIN(($D82+L$5),PERMANENT_FIELD_LABOR_HOURS)*PERMANENT_HOURLY_RATE-MAX(0,($D82+L$5)-PERMANENT_FIELD_LABOR_HOURS)*TEMP_HOURLY_RATE-FIXED_SEASON_COST)</f>
        <v>1572.55098375189</v>
      </c>
      <c r="M82" s="53" t="n">
        <f aca="false">IF(OR($A82&gt;TOMATO_BED_CAP,$B82&gt;CARROT_BED_CAP,M$4&gt;MESCLUN_BED_CAP,$A82+$B82+M$4&gt;TOTAL_BEDS_AVAILABLE,($D82+M$5)&gt;TOTAL_LABOR_HOURS_CAP,MAX(0,($D82+M$5)-PERMANENT_FIELD_LABOR_HOURS)&gt;TEMP_HOURS_CAP),"",$C82+M$6-MIN(($D82+M$5),PERMANENT_FIELD_LABOR_HOURS)*PERMANENT_HOURLY_RATE-MAX(0,($D82+M$5)-PERMANENT_FIELD_LABOR_HOURS)*TEMP_HOURLY_RATE-FIXED_SEASON_COST)</f>
        <v>2477.2547158033</v>
      </c>
      <c r="N82" s="53" t="n">
        <f aca="false">IF(OR($A82&gt;TOMATO_BED_CAP,$B82&gt;CARROT_BED_CAP,N$4&gt;MESCLUN_BED_CAP,$A82+$B82+N$4&gt;TOTAL_BEDS_AVAILABLE,($D82+N$5)&gt;TOTAL_LABOR_HOURS_CAP,MAX(0,($D82+N$5)-PERMANENT_FIELD_LABOR_HOURS)&gt;TEMP_HOURS_CAP),"",$C82+N$6-MIN(($D82+N$5),PERMANENT_FIELD_LABOR_HOURS)*PERMANENT_HOURLY_RATE-MAX(0,($D82+N$5)-PERMANENT_FIELD_LABOR_HOURS)*TEMP_HOURLY_RATE-FIXED_SEASON_COST)</f>
        <v>3359.86508966284</v>
      </c>
      <c r="O82" s="53" t="n">
        <f aca="false">IF(OR($A82&gt;TOMATO_BED_CAP,$B82&gt;CARROT_BED_CAP,O$4&gt;MESCLUN_BED_CAP,$A82+$B82+O$4&gt;TOTAL_BEDS_AVAILABLE,($D82+O$5)&gt;TOTAL_LABOR_HOURS_CAP,MAX(0,($D82+O$5)-PERMANENT_FIELD_LABOR_HOURS)&gt;TEMP_HOURS_CAP),"",$C82+O$6-MIN(($D82+O$5),PERMANENT_FIELD_LABOR_HOURS)*PERMANENT_HOURLY_RATE-MAX(0,($D82+O$5)-PERMANENT_FIELD_LABOR_HOURS)*TEMP_HOURLY_RATE-FIXED_SEASON_COST)</f>
        <v>4219.9727864176</v>
      </c>
      <c r="P82" s="53" t="n">
        <f aca="false">IF(OR($A82&gt;TOMATO_BED_CAP,$B82&gt;CARROT_BED_CAP,P$4&gt;MESCLUN_BED_CAP,$A82+$B82+P$4&gt;TOTAL_BEDS_AVAILABLE,($D82+P$5)&gt;TOTAL_LABOR_HOURS_CAP,MAX(0,($D82+P$5)-PERMANENT_FIELD_LABOR_HOURS)&gt;TEMP_HOURS_CAP),"",$C82+P$6-MIN(($D82+P$5),PERMANENT_FIELD_LABOR_HOURS)*PERMANENT_HOURLY_RATE-MAX(0,($D82+P$5)-PERMANENT_FIELD_LABOR_HOURS)*TEMP_HOURLY_RATE-FIXED_SEASON_COST)</f>
        <v>5057.16170626902</v>
      </c>
      <c r="Q82" s="53" t="n">
        <f aca="false">IF(OR($A82&gt;TOMATO_BED_CAP,$B82&gt;CARROT_BED_CAP,Q$4&gt;MESCLUN_BED_CAP,$A82+$B82+Q$4&gt;TOTAL_BEDS_AVAILABLE,($D82+Q$5)&gt;TOTAL_LABOR_HOURS_CAP,MAX(0,($D82+Q$5)-PERMANENT_FIELD_LABOR_HOURS)&gt;TEMP_HOURS_CAP),"",$C82+Q$6-MIN(($D82+Q$5),PERMANENT_FIELD_LABOR_HOURS)*PERMANENT_HOURLY_RATE-MAX(0,($D82+Q$5)-PERMANENT_FIELD_LABOR_HOURS)*TEMP_HOURLY_RATE-FIXED_SEASON_COST)</f>
        <v>5871.00886296692</v>
      </c>
      <c r="R82" s="53" t="n">
        <f aca="false">IF(OR($A82&gt;TOMATO_BED_CAP,$B82&gt;CARROT_BED_CAP,R$4&gt;MESCLUN_BED_CAP,$A82+$B82+R$4&gt;TOTAL_BEDS_AVAILABLE,($D82+R$5)&gt;TOTAL_LABOR_HOURS_CAP,MAX(0,($D82+R$5)-PERMANENT_FIELD_LABOR_HOURS)&gt;TEMP_HOURS_CAP),"",$C82+R$6-MIN(($D82+R$5),PERMANENT_FIELD_LABOR_HOURS)*PERMANENT_HOURLY_RATE-MAX(0,($D82+R$5)-PERMANENT_FIELD_LABOR_HOURS)*TEMP_HOURLY_RATE-FIXED_SEASON_COST)</f>
        <v>6661.08427666372</v>
      </c>
      <c r="S82" s="53" t="n">
        <f aca="false">IF(OR($A82&gt;TOMATO_BED_CAP,$B82&gt;CARROT_BED_CAP,S$4&gt;MESCLUN_BED_CAP,$A82+$B82+S$4&gt;TOTAL_BEDS_AVAILABLE,($D82+S$5)&gt;TOTAL_LABOR_HOURS_CAP,MAX(0,($D82+S$5)-PERMANENT_FIELD_LABOR_HOURS)&gt;TEMP_HOURS_CAP),"",$C82+S$6-MIN(($D82+S$5),PERMANENT_FIELD_LABOR_HOURS)*PERMANENT_HOURLY_RATE-MAX(0,($D82+S$5)-PERMANENT_FIELD_LABOR_HOURS)*TEMP_HOURLY_RATE-FIXED_SEASON_COST)</f>
        <v>7426.95086516617</v>
      </c>
      <c r="T82" s="53" t="n">
        <f aca="false">IF(OR($A82&gt;TOMATO_BED_CAP,$B82&gt;CARROT_BED_CAP,T$4&gt;MESCLUN_BED_CAP,$A82+$B82+T$4&gt;TOTAL_BEDS_AVAILABLE,($D82+T$5)&gt;TOTAL_LABOR_HOURS_CAP,MAX(0,($D82+T$5)-PERMANENT_FIELD_LABOR_HOURS)&gt;TEMP_HOURS_CAP),"",$C82+T$6-MIN(($D82+T$5),PERMANENT_FIELD_LABOR_HOURS)*PERMANENT_HOURLY_RATE-MAX(0,($D82+T$5)-PERMANENT_FIELD_LABOR_HOURS)*TEMP_HOURLY_RATE-FIXED_SEASON_COST)</f>
        <v>8168.16433356102</v>
      </c>
      <c r="U82" s="53" t="n">
        <f aca="false">IF(OR($A82&gt;TOMATO_BED_CAP,$B82&gt;CARROT_BED_CAP,U$4&gt;MESCLUN_BED_CAP,$A82+$B82+U$4&gt;TOTAL_BEDS_AVAILABLE,($D82+U$5)&gt;TOTAL_LABOR_HOURS_CAP,MAX(0,($D82+U$5)-PERMANENT_FIELD_LABOR_HOURS)&gt;TEMP_HOURS_CAP),"",$C82+U$6-MIN(($D82+U$5),PERMANENT_FIELD_LABOR_HOURS)*PERMANENT_HOURLY_RATE-MAX(0,($D82+U$5)-PERMANENT_FIELD_LABOR_HOURS)*TEMP_HOURLY_RATE-FIXED_SEASON_COST)</f>
        <v>8884.27306219111</v>
      </c>
      <c r="V82" s="53" t="n">
        <f aca="false">IF(OR($A82&gt;TOMATO_BED_CAP,$B82&gt;CARROT_BED_CAP,V$4&gt;MESCLUN_BED_CAP,$A82+$B82+V$4&gt;TOTAL_BEDS_AVAILABLE,($D82+V$5)&gt;TOTAL_LABOR_HOURS_CAP,MAX(0,($D82+V$5)-PERMANENT_FIELD_LABOR_HOURS)&gt;TEMP_HOURS_CAP),"",$C82+V$6-MIN(($D82+V$5),PERMANENT_FIELD_LABOR_HOURS)*PERMANENT_HOURLY_RATE-MAX(0,($D82+V$5)-PERMANENT_FIELD_LABOR_HOURS)*TEMP_HOURLY_RATE-FIXED_SEASON_COST)</f>
        <v>9574.81799295791</v>
      </c>
      <c r="W82" s="53" t="n">
        <f aca="false">IF(OR($A82&gt;TOMATO_BED_CAP,$B82&gt;CARROT_BED_CAP,W$4&gt;MESCLUN_BED_CAP,$A82+$B82+W$4&gt;TOTAL_BEDS_AVAILABLE,($D82+W$5)&gt;TOTAL_LABOR_HOURS_CAP,MAX(0,($D82+W$5)-PERMANENT_FIELD_LABOR_HOURS)&gt;TEMP_HOURS_CAP),"",$C82+W$6-MIN(($D82+W$5),PERMANENT_FIELD_LABOR_HOURS)*PERMANENT_HOURLY_RATE-MAX(0,($D82+W$5)-PERMANENT_FIELD_LABOR_HOURS)*TEMP_HOURLY_RATE-FIXED_SEASON_COST)</f>
        <v>10239.332513926</v>
      </c>
      <c r="X82" s="53" t="n">
        <f aca="false">IF(OR($A82&gt;TOMATO_BED_CAP,$B82&gt;CARROT_BED_CAP,X$4&gt;MESCLUN_BED_CAP,$A82+$B82+X$4&gt;TOTAL_BEDS_AVAILABLE,($D82+X$5)&gt;TOTAL_LABOR_HOURS_CAP,MAX(0,($D82+X$5)-PERMANENT_FIELD_LABOR_HOURS)&gt;TEMP_HOURS_CAP),"",$C82+X$6-MIN(($D82+X$5),PERMANENT_FIELD_LABOR_HOURS)*PERMANENT_HOURLY_RATE-MAX(0,($D82+X$5)-PERMANENT_FIELD_LABOR_HOURS)*TEMP_HOURLY_RATE-FIXED_SEASON_COST)</f>
        <v>10877.3423422049</v>
      </c>
      <c r="Y82" s="53" t="n">
        <f aca="false">IF(OR($A82&gt;TOMATO_BED_CAP,$B82&gt;CARROT_BED_CAP,Y$4&gt;MESCLUN_BED_CAP,$A82+$B82+Y$4&gt;TOTAL_BEDS_AVAILABLE,($D82+Y$5)&gt;TOTAL_LABOR_HOURS_CAP,MAX(0,($D82+Y$5)-PERMANENT_FIELD_LABOR_HOURS)&gt;TEMP_HOURS_CAP),"",$C82+Y$6-MIN(($D82+Y$5),PERMANENT_FIELD_LABOR_HOURS)*PERMANENT_HOURLY_RATE-MAX(0,($D82+Y$5)-PERMANENT_FIELD_LABOR_HOURS)*TEMP_HOURLY_RATE-FIXED_SEASON_COST)</f>
        <v>11488.3654050836</v>
      </c>
      <c r="Z82" s="53" t="n">
        <f aca="false">IF(OR($A82&gt;TOMATO_BED_CAP,$B82&gt;CARROT_BED_CAP,Z$4&gt;MESCLUN_BED_CAP,$A82+$B82+Z$4&gt;TOTAL_BEDS_AVAILABLE,($D82+Z$5)&gt;TOTAL_LABOR_HOURS_CAP,MAX(0,($D82+Z$5)-PERMANENT_FIELD_LABOR_HOURS)&gt;TEMP_HOURS_CAP),"",$C82+Z$6-MIN(($D82+Z$5),PERMANENT_FIELD_LABOR_HOURS)*PERMANENT_HOURLY_RATE-MAX(0,($D82+Z$5)-PERMANENT_FIELD_LABOR_HOURS)*TEMP_HOURLY_RATE-FIXED_SEASON_COST)</f>
        <v>12071.9117193913</v>
      </c>
      <c r="AA82" s="53" t="n">
        <f aca="false">IF(OR($A82&gt;TOMATO_BED_CAP,$B82&gt;CARROT_BED_CAP,AA$4&gt;MESCLUN_BED_CAP,$A82+$B82+AA$4&gt;TOTAL_BEDS_AVAILABLE,($D82+AA$5)&gt;TOTAL_LABOR_HOURS_CAP,MAX(0,($D82+AA$5)-PERMANENT_FIELD_LABOR_HOURS)&gt;TEMP_HOURS_CAP),"",$C82+AA$6-MIN(($D82+AA$5),PERMANENT_FIELD_LABOR_HOURS)*PERMANENT_HOURLY_RATE-MAX(0,($D82+AA$5)-PERMANENT_FIELD_LABOR_HOURS)*TEMP_HOURLY_RATE-FIXED_SEASON_COST)</f>
        <v>12627.4832690602</v>
      </c>
      <c r="AB82" s="53" t="n">
        <f aca="false">IF(OR($A82&gt;TOMATO_BED_CAP,$B82&gt;CARROT_BED_CAP,AB$4&gt;MESCLUN_BED_CAP,$A82+$B82+AB$4&gt;TOTAL_BEDS_AVAILABLE,($D82+AB$5)&gt;TOTAL_LABOR_HOURS_CAP,MAX(0,($D82+AB$5)-PERMANENT_FIELD_LABOR_HOURS)&gt;TEMP_HOURS_CAP),"",$C82+AB$6-MIN(($D82+AB$5),PERMANENT_FIELD_LABOR_HOURS)*PERMANENT_HOURLY_RATE-MAX(0,($D82+AB$5)-PERMANENT_FIELD_LABOR_HOURS)*TEMP_HOURLY_RATE-FIXED_SEASON_COST)</f>
        <v>13154.5738808628</v>
      </c>
      <c r="AC82" s="53" t="n">
        <f aca="false">IF(OR($A82&gt;TOMATO_BED_CAP,$B82&gt;CARROT_BED_CAP,AC$4&gt;MESCLUN_BED_CAP,$A82+$B82+AC$4&gt;TOTAL_BEDS_AVAILABLE,($D82+AC$5)&gt;TOTAL_LABOR_HOURS_CAP,MAX(0,($D82+AC$5)-PERMANENT_FIELD_LABOR_HOURS)&gt;TEMP_HOURS_CAP),"",$C82+AC$6-MIN(($D82+AC$5),PERMANENT_FIELD_LABOR_HOURS)*PERMANENT_HOURLY_RATE-MAX(0,($D82+AC$5)-PERMANENT_FIELD_LABOR_HOURS)*TEMP_HOURLY_RATE-FIXED_SEASON_COST)</f>
        <v>13652.6690982977</v>
      </c>
      <c r="AD82" s="53" t="n">
        <f aca="false">IF(OR($A82&gt;TOMATO_BED_CAP,$B82&gt;CARROT_BED_CAP,AD$4&gt;MESCLUN_BED_CAP,$A82+$B82+AD$4&gt;TOTAL_BEDS_AVAILABLE,($D82+AD$5)&gt;TOTAL_LABOR_HOURS_CAP,MAX(0,($D82+AD$5)-PERMANENT_FIELD_LABOR_HOURS)&gt;TEMP_HOURS_CAP),"",$C82+AD$6-MIN(($D82+AD$5),PERMANENT_FIELD_LABOR_HOURS)*PERMANENT_HOURLY_RATE-MAX(0,($D82+AD$5)-PERMANENT_FIELD_LABOR_HOURS)*TEMP_HOURLY_RATE-FIXED_SEASON_COST)</f>
        <v>14121.2460535976</v>
      </c>
      <c r="AE82" s="53" t="n">
        <f aca="false">IF(OR($A82&gt;TOMATO_BED_CAP,$B82&gt;CARROT_BED_CAP,AE$4&gt;MESCLUN_BED_CAP,$A82+$B82+AE$4&gt;TOTAL_BEDS_AVAILABLE,($D82+AE$5)&gt;TOTAL_LABOR_HOURS_CAP,MAX(0,($D82+AE$5)-PERMANENT_FIELD_LABOR_HOURS)&gt;TEMP_HOURS_CAP),"",$C82+AE$6-MIN(($D82+AE$5),PERMANENT_FIELD_LABOR_HOURS)*PERMANENT_HOURLY_RATE-MAX(0,($D82+AE$5)-PERMANENT_FIELD_LABOR_HOURS)*TEMP_HOURLY_RATE-FIXED_SEASON_COST)</f>
        <v>14559.7733378315</v>
      </c>
      <c r="AF82" s="53" t="n">
        <f aca="false">IF(OR($A82&gt;TOMATO_BED_CAP,$B82&gt;CARROT_BED_CAP,AF$4&gt;MESCLUN_BED_CAP,$A82+$B82+AF$4&gt;TOTAL_BEDS_AVAILABLE,($D82+AF$5)&gt;TOTAL_LABOR_HOURS_CAP,MAX(0,($D82+AF$5)-PERMANENT_FIELD_LABOR_HOURS)&gt;TEMP_HOURS_CAP),"",$C82+AF$6-MIN(($D82+AF$5),PERMANENT_FIELD_LABOR_HOURS)*PERMANENT_HOURLY_RATE-MAX(0,($D82+AF$5)-PERMANENT_FIELD_LABOR_HOURS)*TEMP_HOURLY_RATE-FIXED_SEASON_COST)</f>
        <v>14967.7108690735</v>
      </c>
      <c r="AG82" s="53" t="n">
        <f aca="false">IF(OR($A82&gt;TOMATO_BED_CAP,$B82&gt;CARROT_BED_CAP,AG$4&gt;MESCLUN_BED_CAP,$A82+$B82+AG$4&gt;TOTAL_BEDS_AVAILABLE,($D82+AG$5)&gt;TOTAL_LABOR_HOURS_CAP,MAX(0,($D82+AG$5)-PERMANENT_FIELD_LABOR_HOURS)&gt;TEMP_HOURS_CAP),"",$C82+AG$6-MIN(($D82+AG$5),PERMANENT_FIELD_LABOR_HOURS)*PERMANENT_HOURLY_RATE-MAX(0,($D82+AG$5)-PERMANENT_FIELD_LABOR_HOURS)*TEMP_HOURLY_RATE-FIXED_SEASON_COST)</f>
        <v>15344.5097586105</v>
      </c>
      <c r="AH82" s="53" t="n">
        <f aca="false">IF(OR($A82&gt;TOMATO_BED_CAP,$B82&gt;CARROT_BED_CAP,AH$4&gt;MESCLUN_BED_CAP,$A82+$B82+AH$4&gt;TOTAL_BEDS_AVAILABLE,($D82+AH$5)&gt;TOTAL_LABOR_HOURS_CAP,MAX(0,($D82+AH$5)-PERMANENT_FIELD_LABOR_HOURS)&gt;TEMP_HOURS_CAP),"",$C82+AH$6-MIN(($D82+AH$5),PERMANENT_FIELD_LABOR_HOURS)*PERMANENT_HOURLY_RATE-MAX(0,($D82+AH$5)-PERMANENT_FIELD_LABOR_HOURS)*TEMP_HOURLY_RATE-FIXED_SEASON_COST)</f>
        <v>15689.6121751607</v>
      </c>
      <c r="AI82" s="53" t="n">
        <f aca="false">IF(OR($A82&gt;TOMATO_BED_CAP,$B82&gt;CARROT_BED_CAP,AI$4&gt;MESCLUN_BED_CAP,$A82+$B82+AI$4&gt;TOTAL_BEDS_AVAILABLE,($D82+AI$5)&gt;TOTAL_LABOR_HOURS_CAP,MAX(0,($D82+AI$5)-PERMANENT_FIELD_LABOR_HOURS)&gt;TEMP_HOURS_CAP),"",$C82+AI$6-MIN(($D82+AI$5),PERMANENT_FIELD_LABOR_HOURS)*PERMANENT_HOURLY_RATE-MAX(0,($D82+AI$5)-PERMANENT_FIELD_LABOR_HOURS)*TEMP_HOURLY_RATE-FIXED_SEASON_COST)</f>
        <v>16002.451207073</v>
      </c>
      <c r="AJ82" s="53" t="n">
        <f aca="false">IF(OR($A82&gt;TOMATO_BED_CAP,$B82&gt;CARROT_BED_CAP,AJ$4&gt;MESCLUN_BED_CAP,$A82+$B82+AJ$4&gt;TOTAL_BEDS_AVAILABLE,($D82+AJ$5)&gt;TOTAL_LABOR_HOURS_CAP,MAX(0,($D82+AJ$5)-PERMANENT_FIELD_LABOR_HOURS)&gt;TEMP_HOURS_CAP),"",$C82+AJ$6-MIN(($D82+AJ$5),PERMANENT_FIELD_LABOR_HOURS)*PERMANENT_HOURLY_RATE-MAX(0,($D82+AJ$5)-PERMANENT_FIELD_LABOR_HOURS)*TEMP_HOURLY_RATE-FIXED_SEASON_COST)</f>
        <v>16282.4507224787</v>
      </c>
    </row>
    <row r="83" customFormat="false" ht="15" hidden="false" customHeight="false" outlineLevel="0" collapsed="false">
      <c r="A83" s="21" t="n">
        <f aca="false">INT((ROW()-ROW($A$8))/(20+1))</f>
        <v>3</v>
      </c>
      <c r="B83" s="21" t="n">
        <f aca="false">MOD(ROW()-ROW($A$8),20+1)</f>
        <v>12</v>
      </c>
      <c r="C83" s="13" t="n">
        <f aca="false">A83*(TOMATO_REVENUE_PER_BED-TOMATO_FERTILIZER_PER_BED)+B83*(CARROT_REVENUE_PER_BED-CARROT_FERTILIZER_PER_BED)</f>
        <v>43608</v>
      </c>
      <c r="D83" s="14" t="n">
        <f aca="false">INDEX(TOMATO_SCHED_LABOR_HRS,A83+1)+INDEX(CARROT_SCHED_LABOR_HRS,B83+1)</f>
        <v>843.336312737976</v>
      </c>
      <c r="E83" s="13" t="n">
        <f aca="false">IF(COUNT(F83:AJ83)=0,"",MAX(F83:AJ83))</f>
        <v>17048.4709057413</v>
      </c>
      <c r="F83" s="53" t="n">
        <f aca="false">IF(OR($A83&gt;TOMATO_BED_CAP,$B83&gt;CARROT_BED_CAP,F$4&gt;MESCLUN_BED_CAP,$A83+$B83+F$4&gt;TOTAL_BEDS_AVAILABLE,($D83+F$5)&gt;TOTAL_LABOR_HOURS_CAP,MAX(0,($D83+F$5)-PERMANENT_FIELD_LABOR_HOURS)&gt;TEMP_HOURS_CAP),"",$C83+F$6-MIN(($D83+F$5),PERMANENT_FIELD_LABOR_HOURS)*PERMANENT_HOURLY_RATE-MAX(0,($D83+F$5)-PERMANENT_FIELD_LABOR_HOURS)*TEMP_HOURLY_RATE-FIXED_SEASON_COST)</f>
        <v>-3531.51838913125</v>
      </c>
      <c r="G83" s="53" t="n">
        <f aca="false">IF(OR($A83&gt;TOMATO_BED_CAP,$B83&gt;CARROT_BED_CAP,G$4&gt;MESCLUN_BED_CAP,$A83+$B83+G$4&gt;TOTAL_BEDS_AVAILABLE,($D83+G$5)&gt;TOTAL_LABOR_HOURS_CAP,MAX(0,($D83+G$5)-PERMANENT_FIELD_LABOR_HOURS)&gt;TEMP_HOURS_CAP),"",$C83+G$6-MIN(($D83+G$5),PERMANENT_FIELD_LABOR_HOURS)*PERMANENT_HOURLY_RATE-MAX(0,($D83+G$5)-PERMANENT_FIELD_LABOR_HOURS)*TEMP_HOURLY_RATE-FIXED_SEASON_COST)</f>
        <v>-2502.48338913125</v>
      </c>
      <c r="H83" s="53" t="n">
        <f aca="false">IF(OR($A83&gt;TOMATO_BED_CAP,$B83&gt;CARROT_BED_CAP,H$4&gt;MESCLUN_BED_CAP,$A83+$B83+H$4&gt;TOTAL_BEDS_AVAILABLE,($D83+H$5)&gt;TOTAL_LABOR_HOURS_CAP,MAX(0,($D83+H$5)-PERMANENT_FIELD_LABOR_HOURS)&gt;TEMP_HOURS_CAP),"",$C83+H$6-MIN(($D83+H$5),PERMANENT_FIELD_LABOR_HOURS)*PERMANENT_HOURLY_RATE-MAX(0,($D83+H$5)-PERMANENT_FIELD_LABOR_HOURS)*TEMP_HOURLY_RATE-FIXED_SEASON_COST)</f>
        <v>-1493.22251413125</v>
      </c>
      <c r="I83" s="53" t="n">
        <f aca="false">IF(OR($A83&gt;TOMATO_BED_CAP,$B83&gt;CARROT_BED_CAP,I$4&gt;MESCLUN_BED_CAP,$A83+$B83+I$4&gt;TOTAL_BEDS_AVAILABLE,($D83+I$5)&gt;TOTAL_LABOR_HOURS_CAP,MAX(0,($D83+I$5)-PERMANENT_FIELD_LABOR_HOURS)&gt;TEMP_HOURS_CAP),"",$C83+I$6-MIN(($D83+I$5),PERMANENT_FIELD_LABOR_HOURS)*PERMANENT_HOURLY_RATE-MAX(0,($D83+I$5)-PERMANENT_FIELD_LABOR_HOURS)*TEMP_HOURLY_RATE-FIXED_SEASON_COST)</f>
        <v>-504.106528975</v>
      </c>
      <c r="J83" s="53" t="n">
        <f aca="false">IF(OR($A83&gt;TOMATO_BED_CAP,$B83&gt;CARROT_BED_CAP,J$4&gt;MESCLUN_BED_CAP,$A83+$B83+J$4&gt;TOTAL_BEDS_AVAILABLE,($D83+J$5)&gt;TOTAL_LABOR_HOURS_CAP,MAX(0,($D83+J$5)-PERMANENT_FIELD_LABOR_HOURS)&gt;TEMP_HOURS_CAP),"",$C83+J$6-MIN(($D83+J$5),PERMANENT_FIELD_LABOR_HOURS)*PERMANENT_HOURLY_RATE-MAX(0,($D83+J$5)-PERMANENT_FIELD_LABOR_HOURS)*TEMP_HOURLY_RATE-FIXED_SEASON_COST)</f>
        <v>464.487622079687</v>
      </c>
      <c r="K83" s="53" t="n">
        <f aca="false">IF(OR($A83&gt;TOMATO_BED_CAP,$B83&gt;CARROT_BED_CAP,K$4&gt;MESCLUN_BED_CAP,$A83+$B83+K$4&gt;TOTAL_BEDS_AVAILABLE,($D83+K$5)&gt;TOTAL_LABOR_HOURS_CAP,MAX(0,($D83+K$5)-PERMANENT_FIELD_LABOR_HOURS)&gt;TEMP_HOURS_CAP),"",$C83+K$6-MIN(($D83+K$5),PERMANENT_FIELD_LABOR_HOURS)*PERMANENT_HOURLY_RATE-MAX(0,($D83+K$5)-PERMANENT_FIELD_LABOR_HOURS)*TEMP_HOURLY_RATE-FIXED_SEASON_COST)</f>
        <v>1412.17671880759</v>
      </c>
      <c r="L83" s="53" t="n">
        <f aca="false">IF(OR($A83&gt;TOMATO_BED_CAP,$B83&gt;CARROT_BED_CAP,L$4&gt;MESCLUN_BED_CAP,$A83+$B83+L$4&gt;TOTAL_BEDS_AVAILABLE,($D83+L$5)&gt;TOTAL_LABOR_HOURS_CAP,MAX(0,($D83+L$5)-PERMANENT_FIELD_LABOR_HOURS)&gt;TEMP_HOURS_CAP),"",$C83+L$6-MIN(($D83+L$5),PERMANENT_FIELD_LABOR_HOURS)*PERMANENT_HOURLY_RATE-MAX(0,($D83+L$5)-PERMANENT_FIELD_LABOR_HOURS)*TEMP_HOURLY_RATE-FIXED_SEASON_COST)</f>
        <v>2338.57116701444</v>
      </c>
      <c r="M83" s="53" t="n">
        <f aca="false">IF(OR($A83&gt;TOMATO_BED_CAP,$B83&gt;CARROT_BED_CAP,M$4&gt;MESCLUN_BED_CAP,$A83+$B83+M$4&gt;TOTAL_BEDS_AVAILABLE,($D83+M$5)&gt;TOTAL_LABOR_HOURS_CAP,MAX(0,($D83+M$5)-PERMANENT_FIELD_LABOR_HOURS)&gt;TEMP_HOURS_CAP),"",$C83+M$6-MIN(($D83+M$5),PERMANENT_FIELD_LABOR_HOURS)*PERMANENT_HOURLY_RATE-MAX(0,($D83+M$5)-PERMANENT_FIELD_LABOR_HOURS)*TEMP_HOURLY_RATE-FIXED_SEASON_COST)</f>
        <v>3243.27489906585</v>
      </c>
      <c r="N83" s="53" t="n">
        <f aca="false">IF(OR($A83&gt;TOMATO_BED_CAP,$B83&gt;CARROT_BED_CAP,N$4&gt;MESCLUN_BED_CAP,$A83+$B83+N$4&gt;TOTAL_BEDS_AVAILABLE,($D83+N$5)&gt;TOTAL_LABOR_HOURS_CAP,MAX(0,($D83+N$5)-PERMANENT_FIELD_LABOR_HOURS)&gt;TEMP_HOURS_CAP),"",$C83+N$6-MIN(($D83+N$5),PERMANENT_FIELD_LABOR_HOURS)*PERMANENT_HOURLY_RATE-MAX(0,($D83+N$5)-PERMANENT_FIELD_LABOR_HOURS)*TEMP_HOURLY_RATE-FIXED_SEASON_COST)</f>
        <v>4125.8852729254</v>
      </c>
      <c r="O83" s="53" t="n">
        <f aca="false">IF(OR($A83&gt;TOMATO_BED_CAP,$B83&gt;CARROT_BED_CAP,O$4&gt;MESCLUN_BED_CAP,$A83+$B83+O$4&gt;TOTAL_BEDS_AVAILABLE,($D83+O$5)&gt;TOTAL_LABOR_HOURS_CAP,MAX(0,($D83+O$5)-PERMANENT_FIELD_LABOR_HOURS)&gt;TEMP_HOURS_CAP),"",$C83+O$6-MIN(($D83+O$5),PERMANENT_FIELD_LABOR_HOURS)*PERMANENT_HOURLY_RATE-MAX(0,($D83+O$5)-PERMANENT_FIELD_LABOR_HOURS)*TEMP_HOURLY_RATE-FIXED_SEASON_COST)</f>
        <v>4985.99296968015</v>
      </c>
      <c r="P83" s="53" t="n">
        <f aca="false">IF(OR($A83&gt;TOMATO_BED_CAP,$B83&gt;CARROT_BED_CAP,P$4&gt;MESCLUN_BED_CAP,$A83+$B83+P$4&gt;TOTAL_BEDS_AVAILABLE,($D83+P$5)&gt;TOTAL_LABOR_HOURS_CAP,MAX(0,($D83+P$5)-PERMANENT_FIELD_LABOR_HOURS)&gt;TEMP_HOURS_CAP),"",$C83+P$6-MIN(($D83+P$5),PERMANENT_FIELD_LABOR_HOURS)*PERMANENT_HOURLY_RATE-MAX(0,($D83+P$5)-PERMANENT_FIELD_LABOR_HOURS)*TEMP_HOURLY_RATE-FIXED_SEASON_COST)</f>
        <v>5823.18188953158</v>
      </c>
      <c r="Q83" s="53" t="n">
        <f aca="false">IF(OR($A83&gt;TOMATO_BED_CAP,$B83&gt;CARROT_BED_CAP,Q$4&gt;MESCLUN_BED_CAP,$A83+$B83+Q$4&gt;TOTAL_BEDS_AVAILABLE,($D83+Q$5)&gt;TOTAL_LABOR_HOURS_CAP,MAX(0,($D83+Q$5)-PERMANENT_FIELD_LABOR_HOURS)&gt;TEMP_HOURS_CAP),"",$C83+Q$6-MIN(($D83+Q$5),PERMANENT_FIELD_LABOR_HOURS)*PERMANENT_HOURLY_RATE-MAX(0,($D83+Q$5)-PERMANENT_FIELD_LABOR_HOURS)*TEMP_HOURLY_RATE-FIXED_SEASON_COST)</f>
        <v>6637.02904622947</v>
      </c>
      <c r="R83" s="53" t="n">
        <f aca="false">IF(OR($A83&gt;TOMATO_BED_CAP,$B83&gt;CARROT_BED_CAP,R$4&gt;MESCLUN_BED_CAP,$A83+$B83+R$4&gt;TOTAL_BEDS_AVAILABLE,($D83+R$5)&gt;TOTAL_LABOR_HOURS_CAP,MAX(0,($D83+R$5)-PERMANENT_FIELD_LABOR_HOURS)&gt;TEMP_HOURS_CAP),"",$C83+R$6-MIN(($D83+R$5),PERMANENT_FIELD_LABOR_HOURS)*PERMANENT_HOURLY_RATE-MAX(0,($D83+R$5)-PERMANENT_FIELD_LABOR_HOURS)*TEMP_HOURLY_RATE-FIXED_SEASON_COST)</f>
        <v>7427.10445992628</v>
      </c>
      <c r="S83" s="53" t="n">
        <f aca="false">IF(OR($A83&gt;TOMATO_BED_CAP,$B83&gt;CARROT_BED_CAP,S$4&gt;MESCLUN_BED_CAP,$A83+$B83+S$4&gt;TOTAL_BEDS_AVAILABLE,($D83+S$5)&gt;TOTAL_LABOR_HOURS_CAP,MAX(0,($D83+S$5)-PERMANENT_FIELD_LABOR_HOURS)&gt;TEMP_HOURS_CAP),"",$C83+S$6-MIN(($D83+S$5),PERMANENT_FIELD_LABOR_HOURS)*PERMANENT_HOURLY_RATE-MAX(0,($D83+S$5)-PERMANENT_FIELD_LABOR_HOURS)*TEMP_HOURLY_RATE-FIXED_SEASON_COST)</f>
        <v>8192.97104842873</v>
      </c>
      <c r="T83" s="53" t="n">
        <f aca="false">IF(OR($A83&gt;TOMATO_BED_CAP,$B83&gt;CARROT_BED_CAP,T$4&gt;MESCLUN_BED_CAP,$A83+$B83+T$4&gt;TOTAL_BEDS_AVAILABLE,($D83+T$5)&gt;TOTAL_LABOR_HOURS_CAP,MAX(0,($D83+T$5)-PERMANENT_FIELD_LABOR_HOURS)&gt;TEMP_HOURS_CAP),"",$C83+T$6-MIN(($D83+T$5),PERMANENT_FIELD_LABOR_HOURS)*PERMANENT_HOURLY_RATE-MAX(0,($D83+T$5)-PERMANENT_FIELD_LABOR_HOURS)*TEMP_HOURLY_RATE-FIXED_SEASON_COST)</f>
        <v>8934.18451682357</v>
      </c>
      <c r="U83" s="53" t="n">
        <f aca="false">IF(OR($A83&gt;TOMATO_BED_CAP,$B83&gt;CARROT_BED_CAP,U$4&gt;MESCLUN_BED_CAP,$A83+$B83+U$4&gt;TOTAL_BEDS_AVAILABLE,($D83+U$5)&gt;TOTAL_LABOR_HOURS_CAP,MAX(0,($D83+U$5)-PERMANENT_FIELD_LABOR_HOURS)&gt;TEMP_HOURS_CAP),"",$C83+U$6-MIN(($D83+U$5),PERMANENT_FIELD_LABOR_HOURS)*PERMANENT_HOURLY_RATE-MAX(0,($D83+U$5)-PERMANENT_FIELD_LABOR_HOURS)*TEMP_HOURLY_RATE-FIXED_SEASON_COST)</f>
        <v>9650.29324545367</v>
      </c>
      <c r="V83" s="53" t="n">
        <f aca="false">IF(OR($A83&gt;TOMATO_BED_CAP,$B83&gt;CARROT_BED_CAP,V$4&gt;MESCLUN_BED_CAP,$A83+$B83+V$4&gt;TOTAL_BEDS_AVAILABLE,($D83+V$5)&gt;TOTAL_LABOR_HOURS_CAP,MAX(0,($D83+V$5)-PERMANENT_FIELD_LABOR_HOURS)&gt;TEMP_HOURS_CAP),"",$C83+V$6-MIN(($D83+V$5),PERMANENT_FIELD_LABOR_HOURS)*PERMANENT_HOURLY_RATE-MAX(0,($D83+V$5)-PERMANENT_FIELD_LABOR_HOURS)*TEMP_HOURLY_RATE-FIXED_SEASON_COST)</f>
        <v>10340.8381762205</v>
      </c>
      <c r="W83" s="53" t="n">
        <f aca="false">IF(OR($A83&gt;TOMATO_BED_CAP,$B83&gt;CARROT_BED_CAP,W$4&gt;MESCLUN_BED_CAP,$A83+$B83+W$4&gt;TOTAL_BEDS_AVAILABLE,($D83+W$5)&gt;TOTAL_LABOR_HOURS_CAP,MAX(0,($D83+W$5)-PERMANENT_FIELD_LABOR_HOURS)&gt;TEMP_HOURS_CAP),"",$C83+W$6-MIN(($D83+W$5),PERMANENT_FIELD_LABOR_HOURS)*PERMANENT_HOURLY_RATE-MAX(0,($D83+W$5)-PERMANENT_FIELD_LABOR_HOURS)*TEMP_HOURLY_RATE-FIXED_SEASON_COST)</f>
        <v>11005.3526971885</v>
      </c>
      <c r="X83" s="53" t="n">
        <f aca="false">IF(OR($A83&gt;TOMATO_BED_CAP,$B83&gt;CARROT_BED_CAP,X$4&gt;MESCLUN_BED_CAP,$A83+$B83+X$4&gt;TOTAL_BEDS_AVAILABLE,($D83+X$5)&gt;TOTAL_LABOR_HOURS_CAP,MAX(0,($D83+X$5)-PERMANENT_FIELD_LABOR_HOURS)&gt;TEMP_HOURS_CAP),"",$C83+X$6-MIN(($D83+X$5),PERMANENT_FIELD_LABOR_HOURS)*PERMANENT_HOURLY_RATE-MAX(0,($D83+X$5)-PERMANENT_FIELD_LABOR_HOURS)*TEMP_HOURLY_RATE-FIXED_SEASON_COST)</f>
        <v>11643.3625254674</v>
      </c>
      <c r="Y83" s="53" t="n">
        <f aca="false">IF(OR($A83&gt;TOMATO_BED_CAP,$B83&gt;CARROT_BED_CAP,Y$4&gt;MESCLUN_BED_CAP,$A83+$B83+Y$4&gt;TOTAL_BEDS_AVAILABLE,($D83+Y$5)&gt;TOTAL_LABOR_HOURS_CAP,MAX(0,($D83+Y$5)-PERMANENT_FIELD_LABOR_HOURS)&gt;TEMP_HOURS_CAP),"",$C83+Y$6-MIN(($D83+Y$5),PERMANENT_FIELD_LABOR_HOURS)*PERMANENT_HOURLY_RATE-MAX(0,($D83+Y$5)-PERMANENT_FIELD_LABOR_HOURS)*TEMP_HOURLY_RATE-FIXED_SEASON_COST)</f>
        <v>12254.3855883461</v>
      </c>
      <c r="Z83" s="53" t="n">
        <f aca="false">IF(OR($A83&gt;TOMATO_BED_CAP,$B83&gt;CARROT_BED_CAP,Z$4&gt;MESCLUN_BED_CAP,$A83+$B83+Z$4&gt;TOTAL_BEDS_AVAILABLE,($D83+Z$5)&gt;TOTAL_LABOR_HOURS_CAP,MAX(0,($D83+Z$5)-PERMANENT_FIELD_LABOR_HOURS)&gt;TEMP_HOURS_CAP),"",$C83+Z$6-MIN(($D83+Z$5),PERMANENT_FIELD_LABOR_HOURS)*PERMANENT_HOURLY_RATE-MAX(0,($D83+Z$5)-PERMANENT_FIELD_LABOR_HOURS)*TEMP_HOURLY_RATE-FIXED_SEASON_COST)</f>
        <v>12837.9319026538</v>
      </c>
      <c r="AA83" s="53" t="n">
        <f aca="false">IF(OR($A83&gt;TOMATO_BED_CAP,$B83&gt;CARROT_BED_CAP,AA$4&gt;MESCLUN_BED_CAP,$A83+$B83+AA$4&gt;TOTAL_BEDS_AVAILABLE,($D83+AA$5)&gt;TOTAL_LABOR_HOURS_CAP,MAX(0,($D83+AA$5)-PERMANENT_FIELD_LABOR_HOURS)&gt;TEMP_HOURS_CAP),"",$C83+AA$6-MIN(($D83+AA$5),PERMANENT_FIELD_LABOR_HOURS)*PERMANENT_HOURLY_RATE-MAX(0,($D83+AA$5)-PERMANENT_FIELD_LABOR_HOURS)*TEMP_HOURLY_RATE-FIXED_SEASON_COST)</f>
        <v>13393.5034523228</v>
      </c>
      <c r="AB83" s="53" t="n">
        <f aca="false">IF(OR($A83&gt;TOMATO_BED_CAP,$B83&gt;CARROT_BED_CAP,AB$4&gt;MESCLUN_BED_CAP,$A83+$B83+AB$4&gt;TOTAL_BEDS_AVAILABLE,($D83+AB$5)&gt;TOTAL_LABOR_HOURS_CAP,MAX(0,($D83+AB$5)-PERMANENT_FIELD_LABOR_HOURS)&gt;TEMP_HOURS_CAP),"",$C83+AB$6-MIN(($D83+AB$5),PERMANENT_FIELD_LABOR_HOURS)*PERMANENT_HOURLY_RATE-MAX(0,($D83+AB$5)-PERMANENT_FIELD_LABOR_HOURS)*TEMP_HOURLY_RATE-FIXED_SEASON_COST)</f>
        <v>13920.5940641253</v>
      </c>
      <c r="AC83" s="53" t="n">
        <f aca="false">IF(OR($A83&gt;TOMATO_BED_CAP,$B83&gt;CARROT_BED_CAP,AC$4&gt;MESCLUN_BED_CAP,$A83+$B83+AC$4&gt;TOTAL_BEDS_AVAILABLE,($D83+AC$5)&gt;TOTAL_LABOR_HOURS_CAP,MAX(0,($D83+AC$5)-PERMANENT_FIELD_LABOR_HOURS)&gt;TEMP_HOURS_CAP),"",$C83+AC$6-MIN(($D83+AC$5),PERMANENT_FIELD_LABOR_HOURS)*PERMANENT_HOURLY_RATE-MAX(0,($D83+AC$5)-PERMANENT_FIELD_LABOR_HOURS)*TEMP_HOURLY_RATE-FIXED_SEASON_COST)</f>
        <v>14418.6892815602</v>
      </c>
      <c r="AD83" s="53" t="n">
        <f aca="false">IF(OR($A83&gt;TOMATO_BED_CAP,$B83&gt;CARROT_BED_CAP,AD$4&gt;MESCLUN_BED_CAP,$A83+$B83+AD$4&gt;TOTAL_BEDS_AVAILABLE,($D83+AD$5)&gt;TOTAL_LABOR_HOURS_CAP,MAX(0,($D83+AD$5)-PERMANENT_FIELD_LABOR_HOURS)&gt;TEMP_HOURS_CAP),"",$C83+AD$6-MIN(($D83+AD$5),PERMANENT_FIELD_LABOR_HOURS)*PERMANENT_HOURLY_RATE-MAX(0,($D83+AD$5)-PERMANENT_FIELD_LABOR_HOURS)*TEMP_HOURLY_RATE-FIXED_SEASON_COST)</f>
        <v>14887.2662368602</v>
      </c>
      <c r="AE83" s="53" t="n">
        <f aca="false">IF(OR($A83&gt;TOMATO_BED_CAP,$B83&gt;CARROT_BED_CAP,AE$4&gt;MESCLUN_BED_CAP,$A83+$B83+AE$4&gt;TOTAL_BEDS_AVAILABLE,($D83+AE$5)&gt;TOTAL_LABOR_HOURS_CAP,MAX(0,($D83+AE$5)-PERMANENT_FIELD_LABOR_HOURS)&gt;TEMP_HOURS_CAP),"",$C83+AE$6-MIN(($D83+AE$5),PERMANENT_FIELD_LABOR_HOURS)*PERMANENT_HOURLY_RATE-MAX(0,($D83+AE$5)-PERMANENT_FIELD_LABOR_HOURS)*TEMP_HOURLY_RATE-FIXED_SEASON_COST)</f>
        <v>15325.7935210941</v>
      </c>
      <c r="AF83" s="53" t="n">
        <f aca="false">IF(OR($A83&gt;TOMATO_BED_CAP,$B83&gt;CARROT_BED_CAP,AF$4&gt;MESCLUN_BED_CAP,$A83+$B83+AF$4&gt;TOTAL_BEDS_AVAILABLE,($D83+AF$5)&gt;TOTAL_LABOR_HOURS_CAP,MAX(0,($D83+AF$5)-PERMANENT_FIELD_LABOR_HOURS)&gt;TEMP_HOURS_CAP),"",$C83+AF$6-MIN(($D83+AF$5),PERMANENT_FIELD_LABOR_HOURS)*PERMANENT_HOURLY_RATE-MAX(0,($D83+AF$5)-PERMANENT_FIELD_LABOR_HOURS)*TEMP_HOURLY_RATE-FIXED_SEASON_COST)</f>
        <v>15733.731052336</v>
      </c>
      <c r="AG83" s="53" t="n">
        <f aca="false">IF(OR($A83&gt;TOMATO_BED_CAP,$B83&gt;CARROT_BED_CAP,AG$4&gt;MESCLUN_BED_CAP,$A83+$B83+AG$4&gt;TOTAL_BEDS_AVAILABLE,($D83+AG$5)&gt;TOTAL_LABOR_HOURS_CAP,MAX(0,($D83+AG$5)-PERMANENT_FIELD_LABOR_HOURS)&gt;TEMP_HOURS_CAP),"",$C83+AG$6-MIN(($D83+AG$5),PERMANENT_FIELD_LABOR_HOURS)*PERMANENT_HOURLY_RATE-MAX(0,($D83+AG$5)-PERMANENT_FIELD_LABOR_HOURS)*TEMP_HOURLY_RATE-FIXED_SEASON_COST)</f>
        <v>16110.5299418731</v>
      </c>
      <c r="AH83" s="53" t="n">
        <f aca="false">IF(OR($A83&gt;TOMATO_BED_CAP,$B83&gt;CARROT_BED_CAP,AH$4&gt;MESCLUN_BED_CAP,$A83+$B83+AH$4&gt;TOTAL_BEDS_AVAILABLE,($D83+AH$5)&gt;TOTAL_LABOR_HOURS_CAP,MAX(0,($D83+AH$5)-PERMANENT_FIELD_LABOR_HOURS)&gt;TEMP_HOURS_CAP),"",$C83+AH$6-MIN(($D83+AH$5),PERMANENT_FIELD_LABOR_HOURS)*PERMANENT_HOURLY_RATE-MAX(0,($D83+AH$5)-PERMANENT_FIELD_LABOR_HOURS)*TEMP_HOURLY_RATE-FIXED_SEASON_COST)</f>
        <v>16455.6323584233</v>
      </c>
      <c r="AI83" s="53" t="n">
        <f aca="false">IF(OR($A83&gt;TOMATO_BED_CAP,$B83&gt;CARROT_BED_CAP,AI$4&gt;MESCLUN_BED_CAP,$A83+$B83+AI$4&gt;TOTAL_BEDS_AVAILABLE,($D83+AI$5)&gt;TOTAL_LABOR_HOURS_CAP,MAX(0,($D83+AI$5)-PERMANENT_FIELD_LABOR_HOURS)&gt;TEMP_HOURS_CAP),"",$C83+AI$6-MIN(($D83+AI$5),PERMANENT_FIELD_LABOR_HOURS)*PERMANENT_HOURLY_RATE-MAX(0,($D83+AI$5)-PERMANENT_FIELD_LABOR_HOURS)*TEMP_HOURLY_RATE-FIXED_SEASON_COST)</f>
        <v>16768.4713903355</v>
      </c>
      <c r="AJ83" s="53" t="n">
        <f aca="false">IF(OR($A83&gt;TOMATO_BED_CAP,$B83&gt;CARROT_BED_CAP,AJ$4&gt;MESCLUN_BED_CAP,$A83+$B83+AJ$4&gt;TOTAL_BEDS_AVAILABLE,($D83+AJ$5)&gt;TOTAL_LABOR_HOURS_CAP,MAX(0,($D83+AJ$5)-PERMANENT_FIELD_LABOR_HOURS)&gt;TEMP_HOURS_CAP),"",$C83+AJ$6-MIN(($D83+AJ$5),PERMANENT_FIELD_LABOR_HOURS)*PERMANENT_HOURLY_RATE-MAX(0,($D83+AJ$5)-PERMANENT_FIELD_LABOR_HOURS)*TEMP_HOURLY_RATE-FIXED_SEASON_COST)</f>
        <v>17048.4709057413</v>
      </c>
    </row>
    <row r="84" customFormat="false" ht="15" hidden="false" customHeight="false" outlineLevel="0" collapsed="false">
      <c r="A84" s="21" t="n">
        <f aca="false">INT((ROW()-ROW($A$8))/(20+1))</f>
        <v>3</v>
      </c>
      <c r="B84" s="21" t="n">
        <f aca="false">MOD(ROW()-ROW($A$8),20+1)</f>
        <v>13</v>
      </c>
      <c r="C84" s="13" t="n">
        <f aca="false">A84*(TOMATO_REVENUE_PER_BED-TOMATO_FERTILIZER_PER_BED)+B84*(CARROT_REVENUE_PER_BED-CARROT_FERTILIZER_PER_BED)</f>
        <v>45262</v>
      </c>
      <c r="D84" s="14" t="n">
        <f aca="false">INDEX(TOMATO_SCHED_LABOR_HRS,A84+1)+INDEX(CARROT_SCHED_LABOR_HRS,B84+1)</f>
        <v>896.77425976946</v>
      </c>
      <c r="E84" s="13" t="n">
        <f aca="false">IF(COUNT(F84:AJ84)=0,"",MAX(F84:AJ84))</f>
        <v>17774.7881452747</v>
      </c>
      <c r="F84" s="53" t="n">
        <f aca="false">IF(OR($A84&gt;TOMATO_BED_CAP,$B84&gt;CARROT_BED_CAP,F$4&gt;MESCLUN_BED_CAP,$A84+$B84+F$4&gt;TOTAL_BEDS_AVAILABLE,($D84+F$5)&gt;TOTAL_LABOR_HOURS_CAP,MAX(0,($D84+F$5)-PERMANENT_FIELD_LABOR_HOURS)&gt;TEMP_HOURS_CAP),"",$C84+F$6-MIN(($D84+F$5),PERMANENT_FIELD_LABOR_HOURS)*PERMANENT_HOURLY_RATE-MAX(0,($D84+F$5)-PERMANENT_FIELD_LABOR_HOURS)*TEMP_HOURLY_RATE-FIXED_SEASON_COST)</f>
        <v>-2805.20114959783</v>
      </c>
      <c r="G84" s="53" t="n">
        <f aca="false">IF(OR($A84&gt;TOMATO_BED_CAP,$B84&gt;CARROT_BED_CAP,G$4&gt;MESCLUN_BED_CAP,$A84+$B84+G$4&gt;TOTAL_BEDS_AVAILABLE,($D84+G$5)&gt;TOTAL_LABOR_HOURS_CAP,MAX(0,($D84+G$5)-PERMANENT_FIELD_LABOR_HOURS)&gt;TEMP_HOURS_CAP),"",$C84+G$6-MIN(($D84+G$5),PERMANENT_FIELD_LABOR_HOURS)*PERMANENT_HOURLY_RATE-MAX(0,($D84+G$5)-PERMANENT_FIELD_LABOR_HOURS)*TEMP_HOURLY_RATE-FIXED_SEASON_COST)</f>
        <v>-1776.16614959783</v>
      </c>
      <c r="H84" s="53" t="n">
        <f aca="false">IF(OR($A84&gt;TOMATO_BED_CAP,$B84&gt;CARROT_BED_CAP,H$4&gt;MESCLUN_BED_CAP,$A84+$B84+H$4&gt;TOTAL_BEDS_AVAILABLE,($D84+H$5)&gt;TOTAL_LABOR_HOURS_CAP,MAX(0,($D84+H$5)-PERMANENT_FIELD_LABOR_HOURS)&gt;TEMP_HOURS_CAP),"",$C84+H$6-MIN(($D84+H$5),PERMANENT_FIELD_LABOR_HOURS)*PERMANENT_HOURLY_RATE-MAX(0,($D84+H$5)-PERMANENT_FIELD_LABOR_HOURS)*TEMP_HOURLY_RATE-FIXED_SEASON_COST)</f>
        <v>-766.905274597826</v>
      </c>
      <c r="I84" s="53" t="n">
        <f aca="false">IF(OR($A84&gt;TOMATO_BED_CAP,$B84&gt;CARROT_BED_CAP,I$4&gt;MESCLUN_BED_CAP,$A84+$B84+I$4&gt;TOTAL_BEDS_AVAILABLE,($D84+I$5)&gt;TOTAL_LABOR_HOURS_CAP,MAX(0,($D84+I$5)-PERMANENT_FIELD_LABOR_HOURS)&gt;TEMP_HOURS_CAP),"",$C84+I$6-MIN(($D84+I$5),PERMANENT_FIELD_LABOR_HOURS)*PERMANENT_HOURLY_RATE-MAX(0,($D84+I$5)-PERMANENT_FIELD_LABOR_HOURS)*TEMP_HOURLY_RATE-FIXED_SEASON_COST)</f>
        <v>222.210710558426</v>
      </c>
      <c r="J84" s="53" t="n">
        <f aca="false">IF(OR($A84&gt;TOMATO_BED_CAP,$B84&gt;CARROT_BED_CAP,J$4&gt;MESCLUN_BED_CAP,$A84+$B84+J$4&gt;TOTAL_BEDS_AVAILABLE,($D84+J$5)&gt;TOTAL_LABOR_HOURS_CAP,MAX(0,($D84+J$5)-PERMANENT_FIELD_LABOR_HOURS)&gt;TEMP_HOURS_CAP),"",$C84+J$6-MIN(($D84+J$5),PERMANENT_FIELD_LABOR_HOURS)*PERMANENT_HOURLY_RATE-MAX(0,($D84+J$5)-PERMANENT_FIELD_LABOR_HOURS)*TEMP_HOURLY_RATE-FIXED_SEASON_COST)</f>
        <v>1190.80486161311</v>
      </c>
      <c r="K84" s="53" t="n">
        <f aca="false">IF(OR($A84&gt;TOMATO_BED_CAP,$B84&gt;CARROT_BED_CAP,K$4&gt;MESCLUN_BED_CAP,$A84+$B84+K$4&gt;TOTAL_BEDS_AVAILABLE,($D84+K$5)&gt;TOTAL_LABOR_HOURS_CAP,MAX(0,($D84+K$5)-PERMANENT_FIELD_LABOR_HOURS)&gt;TEMP_HOURS_CAP),"",$C84+K$6-MIN(($D84+K$5),PERMANENT_FIELD_LABOR_HOURS)*PERMANENT_HOURLY_RATE-MAX(0,($D84+K$5)-PERMANENT_FIELD_LABOR_HOURS)*TEMP_HOURLY_RATE-FIXED_SEASON_COST)</f>
        <v>2138.49395834102</v>
      </c>
      <c r="L84" s="53" t="n">
        <f aca="false">IF(OR($A84&gt;TOMATO_BED_CAP,$B84&gt;CARROT_BED_CAP,L$4&gt;MESCLUN_BED_CAP,$A84+$B84+L$4&gt;TOTAL_BEDS_AVAILABLE,($D84+L$5)&gt;TOTAL_LABOR_HOURS_CAP,MAX(0,($D84+L$5)-PERMANENT_FIELD_LABOR_HOURS)&gt;TEMP_HOURS_CAP),"",$C84+L$6-MIN(($D84+L$5),PERMANENT_FIELD_LABOR_HOURS)*PERMANENT_HOURLY_RATE-MAX(0,($D84+L$5)-PERMANENT_FIELD_LABOR_HOURS)*TEMP_HOURLY_RATE-FIXED_SEASON_COST)</f>
        <v>3064.88840654787</v>
      </c>
      <c r="M84" s="53" t="n">
        <f aca="false">IF(OR($A84&gt;TOMATO_BED_CAP,$B84&gt;CARROT_BED_CAP,M$4&gt;MESCLUN_BED_CAP,$A84+$B84+M$4&gt;TOTAL_BEDS_AVAILABLE,($D84+M$5)&gt;TOTAL_LABOR_HOURS_CAP,MAX(0,($D84+M$5)-PERMANENT_FIELD_LABOR_HOURS)&gt;TEMP_HOURS_CAP),"",$C84+M$6-MIN(($D84+M$5),PERMANENT_FIELD_LABOR_HOURS)*PERMANENT_HOURLY_RATE-MAX(0,($D84+M$5)-PERMANENT_FIELD_LABOR_HOURS)*TEMP_HOURLY_RATE-FIXED_SEASON_COST)</f>
        <v>3969.59213859928</v>
      </c>
      <c r="N84" s="53" t="n">
        <f aca="false">IF(OR($A84&gt;TOMATO_BED_CAP,$B84&gt;CARROT_BED_CAP,N$4&gt;MESCLUN_BED_CAP,$A84+$B84+N$4&gt;TOTAL_BEDS_AVAILABLE,($D84+N$5)&gt;TOTAL_LABOR_HOURS_CAP,MAX(0,($D84+N$5)-PERMANENT_FIELD_LABOR_HOURS)&gt;TEMP_HOURS_CAP),"",$C84+N$6-MIN(($D84+N$5),PERMANENT_FIELD_LABOR_HOURS)*PERMANENT_HOURLY_RATE-MAX(0,($D84+N$5)-PERMANENT_FIELD_LABOR_HOURS)*TEMP_HOURLY_RATE-FIXED_SEASON_COST)</f>
        <v>4852.20251245883</v>
      </c>
      <c r="O84" s="53" t="n">
        <f aca="false">IF(OR($A84&gt;TOMATO_BED_CAP,$B84&gt;CARROT_BED_CAP,O$4&gt;MESCLUN_BED_CAP,$A84+$B84+O$4&gt;TOTAL_BEDS_AVAILABLE,($D84+O$5)&gt;TOTAL_LABOR_HOURS_CAP,MAX(0,($D84+O$5)-PERMANENT_FIELD_LABOR_HOURS)&gt;TEMP_HOURS_CAP),"",$C84+O$6-MIN(($D84+O$5),PERMANENT_FIELD_LABOR_HOURS)*PERMANENT_HOURLY_RATE-MAX(0,($D84+O$5)-PERMANENT_FIELD_LABOR_HOURS)*TEMP_HOURLY_RATE-FIXED_SEASON_COST)</f>
        <v>5712.31020921358</v>
      </c>
      <c r="P84" s="53" t="n">
        <f aca="false">IF(OR($A84&gt;TOMATO_BED_CAP,$B84&gt;CARROT_BED_CAP,P$4&gt;MESCLUN_BED_CAP,$A84+$B84+P$4&gt;TOTAL_BEDS_AVAILABLE,($D84+P$5)&gt;TOTAL_LABOR_HOURS_CAP,MAX(0,($D84+P$5)-PERMANENT_FIELD_LABOR_HOURS)&gt;TEMP_HOURS_CAP),"",$C84+P$6-MIN(($D84+P$5),PERMANENT_FIELD_LABOR_HOURS)*PERMANENT_HOURLY_RATE-MAX(0,($D84+P$5)-PERMANENT_FIELD_LABOR_HOURS)*TEMP_HOURLY_RATE-FIXED_SEASON_COST)</f>
        <v>6549.49912906501</v>
      </c>
      <c r="Q84" s="53" t="n">
        <f aca="false">IF(OR($A84&gt;TOMATO_BED_CAP,$B84&gt;CARROT_BED_CAP,Q$4&gt;MESCLUN_BED_CAP,$A84+$B84+Q$4&gt;TOTAL_BEDS_AVAILABLE,($D84+Q$5)&gt;TOTAL_LABOR_HOURS_CAP,MAX(0,($D84+Q$5)-PERMANENT_FIELD_LABOR_HOURS)&gt;TEMP_HOURS_CAP),"",$C84+Q$6-MIN(($D84+Q$5),PERMANENT_FIELD_LABOR_HOURS)*PERMANENT_HOURLY_RATE-MAX(0,($D84+Q$5)-PERMANENT_FIELD_LABOR_HOURS)*TEMP_HOURLY_RATE-FIXED_SEASON_COST)</f>
        <v>7363.3462857629</v>
      </c>
      <c r="R84" s="53" t="n">
        <f aca="false">IF(OR($A84&gt;TOMATO_BED_CAP,$B84&gt;CARROT_BED_CAP,R$4&gt;MESCLUN_BED_CAP,$A84+$B84+R$4&gt;TOTAL_BEDS_AVAILABLE,($D84+R$5)&gt;TOTAL_LABOR_HOURS_CAP,MAX(0,($D84+R$5)-PERMANENT_FIELD_LABOR_HOURS)&gt;TEMP_HOURS_CAP),"",$C84+R$6-MIN(($D84+R$5),PERMANENT_FIELD_LABOR_HOURS)*PERMANENT_HOURLY_RATE-MAX(0,($D84+R$5)-PERMANENT_FIELD_LABOR_HOURS)*TEMP_HOURLY_RATE-FIXED_SEASON_COST)</f>
        <v>8153.4216994597</v>
      </c>
      <c r="S84" s="53" t="n">
        <f aca="false">IF(OR($A84&gt;TOMATO_BED_CAP,$B84&gt;CARROT_BED_CAP,S$4&gt;MESCLUN_BED_CAP,$A84+$B84+S$4&gt;TOTAL_BEDS_AVAILABLE,($D84+S$5)&gt;TOTAL_LABOR_HOURS_CAP,MAX(0,($D84+S$5)-PERMANENT_FIELD_LABOR_HOURS)&gt;TEMP_HOURS_CAP),"",$C84+S$6-MIN(($D84+S$5),PERMANENT_FIELD_LABOR_HOURS)*PERMANENT_HOURLY_RATE-MAX(0,($D84+S$5)-PERMANENT_FIELD_LABOR_HOURS)*TEMP_HOURLY_RATE-FIXED_SEASON_COST)</f>
        <v>8919.28828796215</v>
      </c>
      <c r="T84" s="53" t="n">
        <f aca="false">IF(OR($A84&gt;TOMATO_BED_CAP,$B84&gt;CARROT_BED_CAP,T$4&gt;MESCLUN_BED_CAP,$A84+$B84+T$4&gt;TOTAL_BEDS_AVAILABLE,($D84+T$5)&gt;TOTAL_LABOR_HOURS_CAP,MAX(0,($D84+T$5)-PERMANENT_FIELD_LABOR_HOURS)&gt;TEMP_HOURS_CAP),"",$C84+T$6-MIN(($D84+T$5),PERMANENT_FIELD_LABOR_HOURS)*PERMANENT_HOURLY_RATE-MAX(0,($D84+T$5)-PERMANENT_FIELD_LABOR_HOURS)*TEMP_HOURLY_RATE-FIXED_SEASON_COST)</f>
        <v>9660.501756357</v>
      </c>
      <c r="U84" s="53" t="n">
        <f aca="false">IF(OR($A84&gt;TOMATO_BED_CAP,$B84&gt;CARROT_BED_CAP,U$4&gt;MESCLUN_BED_CAP,$A84+$B84+U$4&gt;TOTAL_BEDS_AVAILABLE,($D84+U$5)&gt;TOTAL_LABOR_HOURS_CAP,MAX(0,($D84+U$5)-PERMANENT_FIELD_LABOR_HOURS)&gt;TEMP_HOURS_CAP),"",$C84+U$6-MIN(($D84+U$5),PERMANENT_FIELD_LABOR_HOURS)*PERMANENT_HOURLY_RATE-MAX(0,($D84+U$5)-PERMANENT_FIELD_LABOR_HOURS)*TEMP_HOURLY_RATE-FIXED_SEASON_COST)</f>
        <v>10376.6104849871</v>
      </c>
      <c r="V84" s="53" t="n">
        <f aca="false">IF(OR($A84&gt;TOMATO_BED_CAP,$B84&gt;CARROT_BED_CAP,V$4&gt;MESCLUN_BED_CAP,$A84+$B84+V$4&gt;TOTAL_BEDS_AVAILABLE,($D84+V$5)&gt;TOTAL_LABOR_HOURS_CAP,MAX(0,($D84+V$5)-PERMANENT_FIELD_LABOR_HOURS)&gt;TEMP_HOURS_CAP),"",$C84+V$6-MIN(($D84+V$5),PERMANENT_FIELD_LABOR_HOURS)*PERMANENT_HOURLY_RATE-MAX(0,($D84+V$5)-PERMANENT_FIELD_LABOR_HOURS)*TEMP_HOURLY_RATE-FIXED_SEASON_COST)</f>
        <v>11067.1554157539</v>
      </c>
      <c r="W84" s="53" t="n">
        <f aca="false">IF(OR($A84&gt;TOMATO_BED_CAP,$B84&gt;CARROT_BED_CAP,W$4&gt;MESCLUN_BED_CAP,$A84+$B84+W$4&gt;TOTAL_BEDS_AVAILABLE,($D84+W$5)&gt;TOTAL_LABOR_HOURS_CAP,MAX(0,($D84+W$5)-PERMANENT_FIELD_LABOR_HOURS)&gt;TEMP_HOURS_CAP),"",$C84+W$6-MIN(($D84+W$5),PERMANENT_FIELD_LABOR_HOURS)*PERMANENT_HOURLY_RATE-MAX(0,($D84+W$5)-PERMANENT_FIELD_LABOR_HOURS)*TEMP_HOURLY_RATE-FIXED_SEASON_COST)</f>
        <v>11731.6699367219</v>
      </c>
      <c r="X84" s="53" t="n">
        <f aca="false">IF(OR($A84&gt;TOMATO_BED_CAP,$B84&gt;CARROT_BED_CAP,X$4&gt;MESCLUN_BED_CAP,$A84+$B84+X$4&gt;TOTAL_BEDS_AVAILABLE,($D84+X$5)&gt;TOTAL_LABOR_HOURS_CAP,MAX(0,($D84+X$5)-PERMANENT_FIELD_LABOR_HOURS)&gt;TEMP_HOURS_CAP),"",$C84+X$6-MIN(($D84+X$5),PERMANENT_FIELD_LABOR_HOURS)*PERMANENT_HOURLY_RATE-MAX(0,($D84+X$5)-PERMANENT_FIELD_LABOR_HOURS)*TEMP_HOURLY_RATE-FIXED_SEASON_COST)</f>
        <v>12369.6797650009</v>
      </c>
      <c r="Y84" s="53" t="n">
        <f aca="false">IF(OR($A84&gt;TOMATO_BED_CAP,$B84&gt;CARROT_BED_CAP,Y$4&gt;MESCLUN_BED_CAP,$A84+$B84+Y$4&gt;TOTAL_BEDS_AVAILABLE,($D84+Y$5)&gt;TOTAL_LABOR_HOURS_CAP,MAX(0,($D84+Y$5)-PERMANENT_FIELD_LABOR_HOURS)&gt;TEMP_HOURS_CAP),"",$C84+Y$6-MIN(($D84+Y$5),PERMANENT_FIELD_LABOR_HOURS)*PERMANENT_HOURLY_RATE-MAX(0,($D84+Y$5)-PERMANENT_FIELD_LABOR_HOURS)*TEMP_HOURLY_RATE-FIXED_SEASON_COST)</f>
        <v>12980.7028278795</v>
      </c>
      <c r="Z84" s="53" t="n">
        <f aca="false">IF(OR($A84&gt;TOMATO_BED_CAP,$B84&gt;CARROT_BED_CAP,Z$4&gt;MESCLUN_BED_CAP,$A84+$B84+Z$4&gt;TOTAL_BEDS_AVAILABLE,($D84+Z$5)&gt;TOTAL_LABOR_HOURS_CAP,MAX(0,($D84+Z$5)-PERMANENT_FIELD_LABOR_HOURS)&gt;TEMP_HOURS_CAP),"",$C84+Z$6-MIN(($D84+Z$5),PERMANENT_FIELD_LABOR_HOURS)*PERMANENT_HOURLY_RATE-MAX(0,($D84+Z$5)-PERMANENT_FIELD_LABOR_HOURS)*TEMP_HOURLY_RATE-FIXED_SEASON_COST)</f>
        <v>13564.2491421873</v>
      </c>
      <c r="AA84" s="53" t="n">
        <f aca="false">IF(OR($A84&gt;TOMATO_BED_CAP,$B84&gt;CARROT_BED_CAP,AA$4&gt;MESCLUN_BED_CAP,$A84+$B84+AA$4&gt;TOTAL_BEDS_AVAILABLE,($D84+AA$5)&gt;TOTAL_LABOR_HOURS_CAP,MAX(0,($D84+AA$5)-PERMANENT_FIELD_LABOR_HOURS)&gt;TEMP_HOURS_CAP),"",$C84+AA$6-MIN(($D84+AA$5),PERMANENT_FIELD_LABOR_HOURS)*PERMANENT_HOURLY_RATE-MAX(0,($D84+AA$5)-PERMANENT_FIELD_LABOR_HOURS)*TEMP_HOURLY_RATE-FIXED_SEASON_COST)</f>
        <v>14119.8206918562</v>
      </c>
      <c r="AB84" s="53" t="n">
        <f aca="false">IF(OR($A84&gt;TOMATO_BED_CAP,$B84&gt;CARROT_BED_CAP,AB$4&gt;MESCLUN_BED_CAP,$A84+$B84+AB$4&gt;TOTAL_BEDS_AVAILABLE,($D84+AB$5)&gt;TOTAL_LABOR_HOURS_CAP,MAX(0,($D84+AB$5)-PERMANENT_FIELD_LABOR_HOURS)&gt;TEMP_HOURS_CAP),"",$C84+AB$6-MIN(($D84+AB$5),PERMANENT_FIELD_LABOR_HOURS)*PERMANENT_HOURLY_RATE-MAX(0,($D84+AB$5)-PERMANENT_FIELD_LABOR_HOURS)*TEMP_HOURLY_RATE-FIXED_SEASON_COST)</f>
        <v>14646.9113036588</v>
      </c>
      <c r="AC84" s="53" t="n">
        <f aca="false">IF(OR($A84&gt;TOMATO_BED_CAP,$B84&gt;CARROT_BED_CAP,AC$4&gt;MESCLUN_BED_CAP,$A84+$B84+AC$4&gt;TOTAL_BEDS_AVAILABLE,($D84+AC$5)&gt;TOTAL_LABOR_HOURS_CAP,MAX(0,($D84+AC$5)-PERMANENT_FIELD_LABOR_HOURS)&gt;TEMP_HOURS_CAP),"",$C84+AC$6-MIN(($D84+AC$5),PERMANENT_FIELD_LABOR_HOURS)*PERMANENT_HOURLY_RATE-MAX(0,($D84+AC$5)-PERMANENT_FIELD_LABOR_HOURS)*TEMP_HOURLY_RATE-FIXED_SEASON_COST)</f>
        <v>15145.0065210937</v>
      </c>
      <c r="AD84" s="53" t="n">
        <f aca="false">IF(OR($A84&gt;TOMATO_BED_CAP,$B84&gt;CARROT_BED_CAP,AD$4&gt;MESCLUN_BED_CAP,$A84+$B84+AD$4&gt;TOTAL_BEDS_AVAILABLE,($D84+AD$5)&gt;TOTAL_LABOR_HOURS_CAP,MAX(0,($D84+AD$5)-PERMANENT_FIELD_LABOR_HOURS)&gt;TEMP_HOURS_CAP),"",$C84+AD$6-MIN(($D84+AD$5),PERMANENT_FIELD_LABOR_HOURS)*PERMANENT_HOURLY_RATE-MAX(0,($D84+AD$5)-PERMANENT_FIELD_LABOR_HOURS)*TEMP_HOURLY_RATE-FIXED_SEASON_COST)</f>
        <v>15613.5834763936</v>
      </c>
      <c r="AE84" s="53" t="n">
        <f aca="false">IF(OR($A84&gt;TOMATO_BED_CAP,$B84&gt;CARROT_BED_CAP,AE$4&gt;MESCLUN_BED_CAP,$A84+$B84+AE$4&gt;TOTAL_BEDS_AVAILABLE,($D84+AE$5)&gt;TOTAL_LABOR_HOURS_CAP,MAX(0,($D84+AE$5)-PERMANENT_FIELD_LABOR_HOURS)&gt;TEMP_HOURS_CAP),"",$C84+AE$6-MIN(($D84+AE$5),PERMANENT_FIELD_LABOR_HOURS)*PERMANENT_HOURLY_RATE-MAX(0,($D84+AE$5)-PERMANENT_FIELD_LABOR_HOURS)*TEMP_HOURLY_RATE-FIXED_SEASON_COST)</f>
        <v>16052.1107606275</v>
      </c>
      <c r="AF84" s="53" t="n">
        <f aca="false">IF(OR($A84&gt;TOMATO_BED_CAP,$B84&gt;CARROT_BED_CAP,AF$4&gt;MESCLUN_BED_CAP,$A84+$B84+AF$4&gt;TOTAL_BEDS_AVAILABLE,($D84+AF$5)&gt;TOTAL_LABOR_HOURS_CAP,MAX(0,($D84+AF$5)-PERMANENT_FIELD_LABOR_HOURS)&gt;TEMP_HOURS_CAP),"",$C84+AF$6-MIN(($D84+AF$5),PERMANENT_FIELD_LABOR_HOURS)*PERMANENT_HOURLY_RATE-MAX(0,($D84+AF$5)-PERMANENT_FIELD_LABOR_HOURS)*TEMP_HOURLY_RATE-FIXED_SEASON_COST)</f>
        <v>16460.0482918695</v>
      </c>
      <c r="AG84" s="53" t="n">
        <f aca="false">IF(OR($A84&gt;TOMATO_BED_CAP,$B84&gt;CARROT_BED_CAP,AG$4&gt;MESCLUN_BED_CAP,$A84+$B84+AG$4&gt;TOTAL_BEDS_AVAILABLE,($D84+AG$5)&gt;TOTAL_LABOR_HOURS_CAP,MAX(0,($D84+AG$5)-PERMANENT_FIELD_LABOR_HOURS)&gt;TEMP_HOURS_CAP),"",$C84+AG$6-MIN(($D84+AG$5),PERMANENT_FIELD_LABOR_HOURS)*PERMANENT_HOURLY_RATE-MAX(0,($D84+AG$5)-PERMANENT_FIELD_LABOR_HOURS)*TEMP_HOURLY_RATE-FIXED_SEASON_COST)</f>
        <v>16836.8471814065</v>
      </c>
      <c r="AH84" s="53" t="n">
        <f aca="false">IF(OR($A84&gt;TOMATO_BED_CAP,$B84&gt;CARROT_BED_CAP,AH$4&gt;MESCLUN_BED_CAP,$A84+$B84+AH$4&gt;TOTAL_BEDS_AVAILABLE,($D84+AH$5)&gt;TOTAL_LABOR_HOURS_CAP,MAX(0,($D84+AH$5)-PERMANENT_FIELD_LABOR_HOURS)&gt;TEMP_HOURS_CAP),"",$C84+AH$6-MIN(($D84+AH$5),PERMANENT_FIELD_LABOR_HOURS)*PERMANENT_HOURLY_RATE-MAX(0,($D84+AH$5)-PERMANENT_FIELD_LABOR_HOURS)*TEMP_HOURLY_RATE-FIXED_SEASON_COST)</f>
        <v>17181.9495979567</v>
      </c>
      <c r="AI84" s="53" t="n">
        <f aca="false">IF(OR($A84&gt;TOMATO_BED_CAP,$B84&gt;CARROT_BED_CAP,AI$4&gt;MESCLUN_BED_CAP,$A84+$B84+AI$4&gt;TOTAL_BEDS_AVAILABLE,($D84+AI$5)&gt;TOTAL_LABOR_HOURS_CAP,MAX(0,($D84+AI$5)-PERMANENT_FIELD_LABOR_HOURS)&gt;TEMP_HOURS_CAP),"",$C84+AI$6-MIN(($D84+AI$5),PERMANENT_FIELD_LABOR_HOURS)*PERMANENT_HOURLY_RATE-MAX(0,($D84+AI$5)-PERMANENT_FIELD_LABOR_HOURS)*TEMP_HOURLY_RATE-FIXED_SEASON_COST)</f>
        <v>17494.788629869</v>
      </c>
      <c r="AJ84" s="53" t="n">
        <f aca="false">IF(OR($A84&gt;TOMATO_BED_CAP,$B84&gt;CARROT_BED_CAP,AJ$4&gt;MESCLUN_BED_CAP,$A84+$B84+AJ$4&gt;TOTAL_BEDS_AVAILABLE,($D84+AJ$5)&gt;TOTAL_LABOR_HOURS_CAP,MAX(0,($D84+AJ$5)-PERMANENT_FIELD_LABOR_HOURS)&gt;TEMP_HOURS_CAP),"",$C84+AJ$6-MIN(($D84+AJ$5),PERMANENT_FIELD_LABOR_HOURS)*PERMANENT_HOURLY_RATE-MAX(0,($D84+AJ$5)-PERMANENT_FIELD_LABOR_HOURS)*TEMP_HOURLY_RATE-FIXED_SEASON_COST)</f>
        <v>17774.7881452747</v>
      </c>
    </row>
    <row r="85" customFormat="false" ht="15" hidden="false" customHeight="false" outlineLevel="0" collapsed="false">
      <c r="A85" s="21" t="n">
        <f aca="false">INT((ROW()-ROW($A$8))/(20+1))</f>
        <v>3</v>
      </c>
      <c r="B85" s="21" t="n">
        <f aca="false">MOD(ROW()-ROW($A$8),20+1)</f>
        <v>14</v>
      </c>
      <c r="C85" s="13" t="n">
        <f aca="false">A85*(TOMATO_REVENUE_PER_BED-TOMATO_FERTILIZER_PER_BED)+B85*(CARROT_REVENUE_PER_BED-CARROT_FERTILIZER_PER_BED)</f>
        <v>46916</v>
      </c>
      <c r="D85" s="14" t="n">
        <f aca="false">INDEX(TOMATO_SCHED_LABOR_HRS,A85+1)+INDEX(CARROT_SCHED_LABOR_HRS,B85+1)</f>
        <v>952.581625207058</v>
      </c>
      <c r="E85" s="13" t="n">
        <f aca="false">IF(COUNT(F85:AJ85)=0,"",MAX(F85:AJ85))</f>
        <v>18459.972281278</v>
      </c>
      <c r="F85" s="53" t="n">
        <f aca="false">IF(OR($A85&gt;TOMATO_BED_CAP,$B85&gt;CARROT_BED_CAP,F$4&gt;MESCLUN_BED_CAP,$A85+$B85+F$4&gt;TOTAL_BEDS_AVAILABLE,($D85+F$5)&gt;TOTAL_LABOR_HOURS_CAP,MAX(0,($D85+F$5)-PERMANENT_FIELD_LABOR_HOURS)&gt;TEMP_HOURS_CAP),"",$C85+F$6-MIN(($D85+F$5),PERMANENT_FIELD_LABOR_HOURS)*PERMANENT_HOURLY_RATE-MAX(0,($D85+F$5)-PERMANENT_FIELD_LABOR_HOURS)*TEMP_HOURLY_RATE-FIXED_SEASON_COST)</f>
        <v>-2120.01701359453</v>
      </c>
      <c r="G85" s="53" t="n">
        <f aca="false">IF(OR($A85&gt;TOMATO_BED_CAP,$B85&gt;CARROT_BED_CAP,G$4&gt;MESCLUN_BED_CAP,$A85+$B85+G$4&gt;TOTAL_BEDS_AVAILABLE,($D85+G$5)&gt;TOTAL_LABOR_HOURS_CAP,MAX(0,($D85+G$5)-PERMANENT_FIELD_LABOR_HOURS)&gt;TEMP_HOURS_CAP),"",$C85+G$6-MIN(($D85+G$5),PERMANENT_FIELD_LABOR_HOURS)*PERMANENT_HOURLY_RATE-MAX(0,($D85+G$5)-PERMANENT_FIELD_LABOR_HOURS)*TEMP_HOURLY_RATE-FIXED_SEASON_COST)</f>
        <v>-1090.98201359453</v>
      </c>
      <c r="H85" s="53" t="n">
        <f aca="false">IF(OR($A85&gt;TOMATO_BED_CAP,$B85&gt;CARROT_BED_CAP,H$4&gt;MESCLUN_BED_CAP,$A85+$B85+H$4&gt;TOTAL_BEDS_AVAILABLE,($D85+H$5)&gt;TOTAL_LABOR_HOURS_CAP,MAX(0,($D85+H$5)-PERMANENT_FIELD_LABOR_HOURS)&gt;TEMP_HOURS_CAP),"",$C85+H$6-MIN(($D85+H$5),PERMANENT_FIELD_LABOR_HOURS)*PERMANENT_HOURLY_RATE-MAX(0,($D85+H$5)-PERMANENT_FIELD_LABOR_HOURS)*TEMP_HOURLY_RATE-FIXED_SEASON_COST)</f>
        <v>-81.7211385945266</v>
      </c>
      <c r="I85" s="53" t="n">
        <f aca="false">IF(OR($A85&gt;TOMATO_BED_CAP,$B85&gt;CARROT_BED_CAP,I$4&gt;MESCLUN_BED_CAP,$A85+$B85+I$4&gt;TOTAL_BEDS_AVAILABLE,($D85+I$5)&gt;TOTAL_LABOR_HOURS_CAP,MAX(0,($D85+I$5)-PERMANENT_FIELD_LABOR_HOURS)&gt;TEMP_HOURS_CAP),"",$C85+I$6-MIN(($D85+I$5),PERMANENT_FIELD_LABOR_HOURS)*PERMANENT_HOURLY_RATE-MAX(0,($D85+I$5)-PERMANENT_FIELD_LABOR_HOURS)*TEMP_HOURLY_RATE-FIXED_SEASON_COST)</f>
        <v>907.394846561721</v>
      </c>
      <c r="J85" s="53" t="n">
        <f aca="false">IF(OR($A85&gt;TOMATO_BED_CAP,$B85&gt;CARROT_BED_CAP,J$4&gt;MESCLUN_BED_CAP,$A85+$B85+J$4&gt;TOTAL_BEDS_AVAILABLE,($D85+J$5)&gt;TOTAL_LABOR_HOURS_CAP,MAX(0,($D85+J$5)-PERMANENT_FIELD_LABOR_HOURS)&gt;TEMP_HOURS_CAP),"",$C85+J$6-MIN(($D85+J$5),PERMANENT_FIELD_LABOR_HOURS)*PERMANENT_HOURLY_RATE-MAX(0,($D85+J$5)-PERMANENT_FIELD_LABOR_HOURS)*TEMP_HOURLY_RATE-FIXED_SEASON_COST)</f>
        <v>1875.98899761641</v>
      </c>
      <c r="K85" s="53" t="n">
        <f aca="false">IF(OR($A85&gt;TOMATO_BED_CAP,$B85&gt;CARROT_BED_CAP,K$4&gt;MESCLUN_BED_CAP,$A85+$B85+K$4&gt;TOTAL_BEDS_AVAILABLE,($D85+K$5)&gt;TOTAL_LABOR_HOURS_CAP,MAX(0,($D85+K$5)-PERMANENT_FIELD_LABOR_HOURS)&gt;TEMP_HOURS_CAP),"",$C85+K$6-MIN(($D85+K$5),PERMANENT_FIELD_LABOR_HOURS)*PERMANENT_HOURLY_RATE-MAX(0,($D85+K$5)-PERMANENT_FIELD_LABOR_HOURS)*TEMP_HOURLY_RATE-FIXED_SEASON_COST)</f>
        <v>2823.67809434432</v>
      </c>
      <c r="L85" s="53" t="n">
        <f aca="false">IF(OR($A85&gt;TOMATO_BED_CAP,$B85&gt;CARROT_BED_CAP,L$4&gt;MESCLUN_BED_CAP,$A85+$B85+L$4&gt;TOTAL_BEDS_AVAILABLE,($D85+L$5)&gt;TOTAL_LABOR_HOURS_CAP,MAX(0,($D85+L$5)-PERMANENT_FIELD_LABOR_HOURS)&gt;TEMP_HOURS_CAP),"",$C85+L$6-MIN(($D85+L$5),PERMANENT_FIELD_LABOR_HOURS)*PERMANENT_HOURLY_RATE-MAX(0,($D85+L$5)-PERMANENT_FIELD_LABOR_HOURS)*TEMP_HOURLY_RATE-FIXED_SEASON_COST)</f>
        <v>3750.07254255117</v>
      </c>
      <c r="M85" s="53" t="n">
        <f aca="false">IF(OR($A85&gt;TOMATO_BED_CAP,$B85&gt;CARROT_BED_CAP,M$4&gt;MESCLUN_BED_CAP,$A85+$B85+M$4&gt;TOTAL_BEDS_AVAILABLE,($D85+M$5)&gt;TOTAL_LABOR_HOURS_CAP,MAX(0,($D85+M$5)-PERMANENT_FIELD_LABOR_HOURS)&gt;TEMP_HOURS_CAP),"",$C85+M$6-MIN(($D85+M$5),PERMANENT_FIELD_LABOR_HOURS)*PERMANENT_HOURLY_RATE-MAX(0,($D85+M$5)-PERMANENT_FIELD_LABOR_HOURS)*TEMP_HOURLY_RATE-FIXED_SEASON_COST)</f>
        <v>4654.77627460258</v>
      </c>
      <c r="N85" s="53" t="n">
        <f aca="false">IF(OR($A85&gt;TOMATO_BED_CAP,$B85&gt;CARROT_BED_CAP,N$4&gt;MESCLUN_BED_CAP,$A85+$B85+N$4&gt;TOTAL_BEDS_AVAILABLE,($D85+N$5)&gt;TOTAL_LABOR_HOURS_CAP,MAX(0,($D85+N$5)-PERMANENT_FIELD_LABOR_HOURS)&gt;TEMP_HOURS_CAP),"",$C85+N$6-MIN(($D85+N$5),PERMANENT_FIELD_LABOR_HOURS)*PERMANENT_HOURLY_RATE-MAX(0,($D85+N$5)-PERMANENT_FIELD_LABOR_HOURS)*TEMP_HOURLY_RATE-FIXED_SEASON_COST)</f>
        <v>5537.38664846213</v>
      </c>
      <c r="O85" s="53" t="n">
        <f aca="false">IF(OR($A85&gt;TOMATO_BED_CAP,$B85&gt;CARROT_BED_CAP,O$4&gt;MESCLUN_BED_CAP,$A85+$B85+O$4&gt;TOTAL_BEDS_AVAILABLE,($D85+O$5)&gt;TOTAL_LABOR_HOURS_CAP,MAX(0,($D85+O$5)-PERMANENT_FIELD_LABOR_HOURS)&gt;TEMP_HOURS_CAP),"",$C85+O$6-MIN(($D85+O$5),PERMANENT_FIELD_LABOR_HOURS)*PERMANENT_HOURLY_RATE-MAX(0,($D85+O$5)-PERMANENT_FIELD_LABOR_HOURS)*TEMP_HOURLY_RATE-FIXED_SEASON_COST)</f>
        <v>6397.49434521688</v>
      </c>
      <c r="P85" s="53" t="n">
        <f aca="false">IF(OR($A85&gt;TOMATO_BED_CAP,$B85&gt;CARROT_BED_CAP,P$4&gt;MESCLUN_BED_CAP,$A85+$B85+P$4&gt;TOTAL_BEDS_AVAILABLE,($D85+P$5)&gt;TOTAL_LABOR_HOURS_CAP,MAX(0,($D85+P$5)-PERMANENT_FIELD_LABOR_HOURS)&gt;TEMP_HOURS_CAP),"",$C85+P$6-MIN(($D85+P$5),PERMANENT_FIELD_LABOR_HOURS)*PERMANENT_HOURLY_RATE-MAX(0,($D85+P$5)-PERMANENT_FIELD_LABOR_HOURS)*TEMP_HOURLY_RATE-FIXED_SEASON_COST)</f>
        <v>7234.68326506831</v>
      </c>
      <c r="Q85" s="53" t="n">
        <f aca="false">IF(OR($A85&gt;TOMATO_BED_CAP,$B85&gt;CARROT_BED_CAP,Q$4&gt;MESCLUN_BED_CAP,$A85+$B85+Q$4&gt;TOTAL_BEDS_AVAILABLE,($D85+Q$5)&gt;TOTAL_LABOR_HOURS_CAP,MAX(0,($D85+Q$5)-PERMANENT_FIELD_LABOR_HOURS)&gt;TEMP_HOURS_CAP),"",$C85+Q$6-MIN(($D85+Q$5),PERMANENT_FIELD_LABOR_HOURS)*PERMANENT_HOURLY_RATE-MAX(0,($D85+Q$5)-PERMANENT_FIELD_LABOR_HOURS)*TEMP_HOURLY_RATE-FIXED_SEASON_COST)</f>
        <v>8048.5304217662</v>
      </c>
      <c r="R85" s="53" t="n">
        <f aca="false">IF(OR($A85&gt;TOMATO_BED_CAP,$B85&gt;CARROT_BED_CAP,R$4&gt;MESCLUN_BED_CAP,$A85+$B85+R$4&gt;TOTAL_BEDS_AVAILABLE,($D85+R$5)&gt;TOTAL_LABOR_HOURS_CAP,MAX(0,($D85+R$5)-PERMANENT_FIELD_LABOR_HOURS)&gt;TEMP_HOURS_CAP),"",$C85+R$6-MIN(($D85+R$5),PERMANENT_FIELD_LABOR_HOURS)*PERMANENT_HOURLY_RATE-MAX(0,($D85+R$5)-PERMANENT_FIELD_LABOR_HOURS)*TEMP_HOURLY_RATE-FIXED_SEASON_COST)</f>
        <v>8838.60583546301</v>
      </c>
      <c r="S85" s="53" t="n">
        <f aca="false">IF(OR($A85&gt;TOMATO_BED_CAP,$B85&gt;CARROT_BED_CAP,S$4&gt;MESCLUN_BED_CAP,$A85+$B85+S$4&gt;TOTAL_BEDS_AVAILABLE,($D85+S$5)&gt;TOTAL_LABOR_HOURS_CAP,MAX(0,($D85+S$5)-PERMANENT_FIELD_LABOR_HOURS)&gt;TEMP_HOURS_CAP),"",$C85+S$6-MIN(($D85+S$5),PERMANENT_FIELD_LABOR_HOURS)*PERMANENT_HOURLY_RATE-MAX(0,($D85+S$5)-PERMANENT_FIELD_LABOR_HOURS)*TEMP_HOURLY_RATE-FIXED_SEASON_COST)</f>
        <v>9604.47242396545</v>
      </c>
      <c r="T85" s="53" t="n">
        <f aca="false">IF(OR($A85&gt;TOMATO_BED_CAP,$B85&gt;CARROT_BED_CAP,T$4&gt;MESCLUN_BED_CAP,$A85+$B85+T$4&gt;TOTAL_BEDS_AVAILABLE,($D85+T$5)&gt;TOTAL_LABOR_HOURS_CAP,MAX(0,($D85+T$5)-PERMANENT_FIELD_LABOR_HOURS)&gt;TEMP_HOURS_CAP),"",$C85+T$6-MIN(($D85+T$5),PERMANENT_FIELD_LABOR_HOURS)*PERMANENT_HOURLY_RATE-MAX(0,($D85+T$5)-PERMANENT_FIELD_LABOR_HOURS)*TEMP_HOURLY_RATE-FIXED_SEASON_COST)</f>
        <v>10345.6858923603</v>
      </c>
      <c r="U85" s="53" t="n">
        <f aca="false">IF(OR($A85&gt;TOMATO_BED_CAP,$B85&gt;CARROT_BED_CAP,U$4&gt;MESCLUN_BED_CAP,$A85+$B85+U$4&gt;TOTAL_BEDS_AVAILABLE,($D85+U$5)&gt;TOTAL_LABOR_HOURS_CAP,MAX(0,($D85+U$5)-PERMANENT_FIELD_LABOR_HOURS)&gt;TEMP_HOURS_CAP),"",$C85+U$6-MIN(($D85+U$5),PERMANENT_FIELD_LABOR_HOURS)*PERMANENT_HOURLY_RATE-MAX(0,($D85+U$5)-PERMANENT_FIELD_LABOR_HOURS)*TEMP_HOURLY_RATE-FIXED_SEASON_COST)</f>
        <v>11061.7946209904</v>
      </c>
      <c r="V85" s="53" t="n">
        <f aca="false">IF(OR($A85&gt;TOMATO_BED_CAP,$B85&gt;CARROT_BED_CAP,V$4&gt;MESCLUN_BED_CAP,$A85+$B85+V$4&gt;TOTAL_BEDS_AVAILABLE,($D85+V$5)&gt;TOTAL_LABOR_HOURS_CAP,MAX(0,($D85+V$5)-PERMANENT_FIELD_LABOR_HOURS)&gt;TEMP_HOURS_CAP),"",$C85+V$6-MIN(($D85+V$5),PERMANENT_FIELD_LABOR_HOURS)*PERMANENT_HOURLY_RATE-MAX(0,($D85+V$5)-PERMANENT_FIELD_LABOR_HOURS)*TEMP_HOURLY_RATE-FIXED_SEASON_COST)</f>
        <v>11752.3395517572</v>
      </c>
      <c r="W85" s="53" t="n">
        <f aca="false">IF(OR($A85&gt;TOMATO_BED_CAP,$B85&gt;CARROT_BED_CAP,W$4&gt;MESCLUN_BED_CAP,$A85+$B85+W$4&gt;TOTAL_BEDS_AVAILABLE,($D85+W$5)&gt;TOTAL_LABOR_HOURS_CAP,MAX(0,($D85+W$5)-PERMANENT_FIELD_LABOR_HOURS)&gt;TEMP_HOURS_CAP),"",$C85+W$6-MIN(($D85+W$5),PERMANENT_FIELD_LABOR_HOURS)*PERMANENT_HOURLY_RATE-MAX(0,($D85+W$5)-PERMANENT_FIELD_LABOR_HOURS)*TEMP_HOURLY_RATE-FIXED_SEASON_COST)</f>
        <v>12416.8540727252</v>
      </c>
      <c r="X85" s="53" t="n">
        <f aca="false">IF(OR($A85&gt;TOMATO_BED_CAP,$B85&gt;CARROT_BED_CAP,X$4&gt;MESCLUN_BED_CAP,$A85+$B85+X$4&gt;TOTAL_BEDS_AVAILABLE,($D85+X$5)&gt;TOTAL_LABOR_HOURS_CAP,MAX(0,($D85+X$5)-PERMANENT_FIELD_LABOR_HOURS)&gt;TEMP_HOURS_CAP),"",$C85+X$6-MIN(($D85+X$5),PERMANENT_FIELD_LABOR_HOURS)*PERMANENT_HOURLY_RATE-MAX(0,($D85+X$5)-PERMANENT_FIELD_LABOR_HOURS)*TEMP_HOURLY_RATE-FIXED_SEASON_COST)</f>
        <v>13054.8639010042</v>
      </c>
      <c r="Y85" s="53" t="n">
        <f aca="false">IF(OR($A85&gt;TOMATO_BED_CAP,$B85&gt;CARROT_BED_CAP,Y$4&gt;MESCLUN_BED_CAP,$A85+$B85+Y$4&gt;TOTAL_BEDS_AVAILABLE,($D85+Y$5)&gt;TOTAL_LABOR_HOURS_CAP,MAX(0,($D85+Y$5)-PERMANENT_FIELD_LABOR_HOURS)&gt;TEMP_HOURS_CAP),"",$C85+Y$6-MIN(($D85+Y$5),PERMANENT_FIELD_LABOR_HOURS)*PERMANENT_HOURLY_RATE-MAX(0,($D85+Y$5)-PERMANENT_FIELD_LABOR_HOURS)*TEMP_HOURLY_RATE-FIXED_SEASON_COST)</f>
        <v>13665.8869638828</v>
      </c>
      <c r="Z85" s="53" t="n">
        <f aca="false">IF(OR($A85&gt;TOMATO_BED_CAP,$B85&gt;CARROT_BED_CAP,Z$4&gt;MESCLUN_BED_CAP,$A85+$B85+Z$4&gt;TOTAL_BEDS_AVAILABLE,($D85+Z$5)&gt;TOTAL_LABOR_HOURS_CAP,MAX(0,($D85+Z$5)-PERMANENT_FIELD_LABOR_HOURS)&gt;TEMP_HOURS_CAP),"",$C85+Z$6-MIN(($D85+Z$5),PERMANENT_FIELD_LABOR_HOURS)*PERMANENT_HOURLY_RATE-MAX(0,($D85+Z$5)-PERMANENT_FIELD_LABOR_HOURS)*TEMP_HOURLY_RATE-FIXED_SEASON_COST)</f>
        <v>14249.4332781906</v>
      </c>
      <c r="AA85" s="53" t="n">
        <f aca="false">IF(OR($A85&gt;TOMATO_BED_CAP,$B85&gt;CARROT_BED_CAP,AA$4&gt;MESCLUN_BED_CAP,$A85+$B85+AA$4&gt;TOTAL_BEDS_AVAILABLE,($D85+AA$5)&gt;TOTAL_LABOR_HOURS_CAP,MAX(0,($D85+AA$5)-PERMANENT_FIELD_LABOR_HOURS)&gt;TEMP_HOURS_CAP),"",$C85+AA$6-MIN(($D85+AA$5),PERMANENT_FIELD_LABOR_HOURS)*PERMANENT_HOURLY_RATE-MAX(0,($D85+AA$5)-PERMANENT_FIELD_LABOR_HOURS)*TEMP_HOURLY_RATE-FIXED_SEASON_COST)</f>
        <v>14805.0048278595</v>
      </c>
      <c r="AB85" s="53" t="n">
        <f aca="false">IF(OR($A85&gt;TOMATO_BED_CAP,$B85&gt;CARROT_BED_CAP,AB$4&gt;MESCLUN_BED_CAP,$A85+$B85+AB$4&gt;TOTAL_BEDS_AVAILABLE,($D85+AB$5)&gt;TOTAL_LABOR_HOURS_CAP,MAX(0,($D85+AB$5)-PERMANENT_FIELD_LABOR_HOURS)&gt;TEMP_HOURS_CAP),"",$C85+AB$6-MIN(($D85+AB$5),PERMANENT_FIELD_LABOR_HOURS)*PERMANENT_HOURLY_RATE-MAX(0,($D85+AB$5)-PERMANENT_FIELD_LABOR_HOURS)*TEMP_HOURLY_RATE-FIXED_SEASON_COST)</f>
        <v>15332.0954396621</v>
      </c>
      <c r="AC85" s="53" t="n">
        <f aca="false">IF(OR($A85&gt;TOMATO_BED_CAP,$B85&gt;CARROT_BED_CAP,AC$4&gt;MESCLUN_BED_CAP,$A85+$B85+AC$4&gt;TOTAL_BEDS_AVAILABLE,($D85+AC$5)&gt;TOTAL_LABOR_HOURS_CAP,MAX(0,($D85+AC$5)-PERMANENT_FIELD_LABOR_HOURS)&gt;TEMP_HOURS_CAP),"",$C85+AC$6-MIN(($D85+AC$5),PERMANENT_FIELD_LABOR_HOURS)*PERMANENT_HOURLY_RATE-MAX(0,($D85+AC$5)-PERMANENT_FIELD_LABOR_HOURS)*TEMP_HOURLY_RATE-FIXED_SEASON_COST)</f>
        <v>15830.190657097</v>
      </c>
      <c r="AD85" s="53" t="n">
        <f aca="false">IF(OR($A85&gt;TOMATO_BED_CAP,$B85&gt;CARROT_BED_CAP,AD$4&gt;MESCLUN_BED_CAP,$A85+$B85+AD$4&gt;TOTAL_BEDS_AVAILABLE,($D85+AD$5)&gt;TOTAL_LABOR_HOURS_CAP,MAX(0,($D85+AD$5)-PERMANENT_FIELD_LABOR_HOURS)&gt;TEMP_HOURS_CAP),"",$C85+AD$6-MIN(($D85+AD$5),PERMANENT_FIELD_LABOR_HOURS)*PERMANENT_HOURLY_RATE-MAX(0,($D85+AD$5)-PERMANENT_FIELD_LABOR_HOURS)*TEMP_HOURLY_RATE-FIXED_SEASON_COST)</f>
        <v>16298.7676123969</v>
      </c>
      <c r="AE85" s="53" t="n">
        <f aca="false">IF(OR($A85&gt;TOMATO_BED_CAP,$B85&gt;CARROT_BED_CAP,AE$4&gt;MESCLUN_BED_CAP,$A85+$B85+AE$4&gt;TOTAL_BEDS_AVAILABLE,($D85+AE$5)&gt;TOTAL_LABOR_HOURS_CAP,MAX(0,($D85+AE$5)-PERMANENT_FIELD_LABOR_HOURS)&gt;TEMP_HOURS_CAP),"",$C85+AE$6-MIN(($D85+AE$5),PERMANENT_FIELD_LABOR_HOURS)*PERMANENT_HOURLY_RATE-MAX(0,($D85+AE$5)-PERMANENT_FIELD_LABOR_HOURS)*TEMP_HOURLY_RATE-FIXED_SEASON_COST)</f>
        <v>16737.2948966308</v>
      </c>
      <c r="AF85" s="53" t="n">
        <f aca="false">IF(OR($A85&gt;TOMATO_BED_CAP,$B85&gt;CARROT_BED_CAP,AF$4&gt;MESCLUN_BED_CAP,$A85+$B85+AF$4&gt;TOTAL_BEDS_AVAILABLE,($D85+AF$5)&gt;TOTAL_LABOR_HOURS_CAP,MAX(0,($D85+AF$5)-PERMANENT_FIELD_LABOR_HOURS)&gt;TEMP_HOURS_CAP),"",$C85+AF$6-MIN(($D85+AF$5),PERMANENT_FIELD_LABOR_HOURS)*PERMANENT_HOURLY_RATE-MAX(0,($D85+AF$5)-PERMANENT_FIELD_LABOR_HOURS)*TEMP_HOURLY_RATE-FIXED_SEASON_COST)</f>
        <v>17145.2324278728</v>
      </c>
      <c r="AG85" s="53" t="n">
        <f aca="false">IF(OR($A85&gt;TOMATO_BED_CAP,$B85&gt;CARROT_BED_CAP,AG$4&gt;MESCLUN_BED_CAP,$A85+$B85+AG$4&gt;TOTAL_BEDS_AVAILABLE,($D85+AG$5)&gt;TOTAL_LABOR_HOURS_CAP,MAX(0,($D85+AG$5)-PERMANENT_FIELD_LABOR_HOURS)&gt;TEMP_HOURS_CAP),"",$C85+AG$6-MIN(($D85+AG$5),PERMANENT_FIELD_LABOR_HOURS)*PERMANENT_HOURLY_RATE-MAX(0,($D85+AG$5)-PERMANENT_FIELD_LABOR_HOURS)*TEMP_HOURLY_RATE-FIXED_SEASON_COST)</f>
        <v>17522.0313174098</v>
      </c>
      <c r="AH85" s="53" t="n">
        <f aca="false">IF(OR($A85&gt;TOMATO_BED_CAP,$B85&gt;CARROT_BED_CAP,AH$4&gt;MESCLUN_BED_CAP,$A85+$B85+AH$4&gt;TOTAL_BEDS_AVAILABLE,($D85+AH$5)&gt;TOTAL_LABOR_HOURS_CAP,MAX(0,($D85+AH$5)-PERMANENT_FIELD_LABOR_HOURS)&gt;TEMP_HOURS_CAP),"",$C85+AH$6-MIN(($D85+AH$5),PERMANENT_FIELD_LABOR_HOURS)*PERMANENT_HOURLY_RATE-MAX(0,($D85+AH$5)-PERMANENT_FIELD_LABOR_HOURS)*TEMP_HOURLY_RATE-FIXED_SEASON_COST)</f>
        <v>17867.13373396</v>
      </c>
      <c r="AI85" s="53" t="n">
        <f aca="false">IF(OR($A85&gt;TOMATO_BED_CAP,$B85&gt;CARROT_BED_CAP,AI$4&gt;MESCLUN_BED_CAP,$A85+$B85+AI$4&gt;TOTAL_BEDS_AVAILABLE,($D85+AI$5)&gt;TOTAL_LABOR_HOURS_CAP,MAX(0,($D85+AI$5)-PERMANENT_FIELD_LABOR_HOURS)&gt;TEMP_HOURS_CAP),"",$C85+AI$6-MIN(($D85+AI$5),PERMANENT_FIELD_LABOR_HOURS)*PERMANENT_HOURLY_RATE-MAX(0,($D85+AI$5)-PERMANENT_FIELD_LABOR_HOURS)*TEMP_HOURLY_RATE-FIXED_SEASON_COST)</f>
        <v>18179.9727658723</v>
      </c>
      <c r="AJ85" s="53" t="n">
        <f aca="false">IF(OR($A85&gt;TOMATO_BED_CAP,$B85&gt;CARROT_BED_CAP,AJ$4&gt;MESCLUN_BED_CAP,$A85+$B85+AJ$4&gt;TOTAL_BEDS_AVAILABLE,($D85+AJ$5)&gt;TOTAL_LABOR_HOURS_CAP,MAX(0,($D85+AJ$5)-PERMANENT_FIELD_LABOR_HOURS)&gt;TEMP_HOURS_CAP),"",$C85+AJ$6-MIN(($D85+AJ$5),PERMANENT_FIELD_LABOR_HOURS)*PERMANENT_HOURLY_RATE-MAX(0,($D85+AJ$5)-PERMANENT_FIELD_LABOR_HOURS)*TEMP_HOURLY_RATE-FIXED_SEASON_COST)</f>
        <v>18459.972281278</v>
      </c>
    </row>
    <row r="86" customFormat="false" ht="15" hidden="false" customHeight="false" outlineLevel="0" collapsed="false">
      <c r="A86" s="21" t="n">
        <f aca="false">INT((ROW()-ROW($A$8))/(20+1))</f>
        <v>3</v>
      </c>
      <c r="B86" s="21" t="n">
        <f aca="false">MOD(ROW()-ROW($A$8),20+1)</f>
        <v>15</v>
      </c>
      <c r="C86" s="13" t="n">
        <f aca="false">A86*(TOMATO_REVENUE_PER_BED-TOMATO_FERTILIZER_PER_BED)+B86*(CARROT_REVENUE_PER_BED-CARROT_FERTILIZER_PER_BED)</f>
        <v>48570</v>
      </c>
      <c r="D86" s="14" t="n">
        <f aca="false">INDEX(TOMATO_SCHED_LABOR_HRS,A86+1)+INDEX(CARROT_SCHED_LABOR_HRS,B86+1)</f>
        <v>1010.84348125418</v>
      </c>
      <c r="E86" s="13" t="n">
        <f aca="false">IF(COUNT(F86:AJ86)=0,"",MAX(F86:AJ86))</f>
        <v>19102.5464603</v>
      </c>
      <c r="F86" s="53" t="n">
        <f aca="false">IF(OR($A86&gt;TOMATO_BED_CAP,$B86&gt;CARROT_BED_CAP,F$4&gt;MESCLUN_BED_CAP,$A86+$B86+F$4&gt;TOTAL_BEDS_AVAILABLE,($D86+F$5)&gt;TOTAL_LABOR_HOURS_CAP,MAX(0,($D86+F$5)-PERMANENT_FIELD_LABOR_HOURS)&gt;TEMP_HOURS_CAP),"",$C86+F$6-MIN(($D86+F$5),PERMANENT_FIELD_LABOR_HOURS)*PERMANENT_HOURLY_RATE-MAX(0,($D86+F$5)-PERMANENT_FIELD_LABOR_HOURS)*TEMP_HOURLY_RATE-FIXED_SEASON_COST)</f>
        <v>-1477.44283457256</v>
      </c>
      <c r="G86" s="53" t="n">
        <f aca="false">IF(OR($A86&gt;TOMATO_BED_CAP,$B86&gt;CARROT_BED_CAP,G$4&gt;MESCLUN_BED_CAP,$A86+$B86+G$4&gt;TOTAL_BEDS_AVAILABLE,($D86+G$5)&gt;TOTAL_LABOR_HOURS_CAP,MAX(0,($D86+G$5)-PERMANENT_FIELD_LABOR_HOURS)&gt;TEMP_HOURS_CAP),"",$C86+G$6-MIN(($D86+G$5),PERMANENT_FIELD_LABOR_HOURS)*PERMANENT_HOURLY_RATE-MAX(0,($D86+G$5)-PERMANENT_FIELD_LABOR_HOURS)*TEMP_HOURLY_RATE-FIXED_SEASON_COST)</f>
        <v>-448.407834572558</v>
      </c>
      <c r="H86" s="53" t="n">
        <f aca="false">IF(OR($A86&gt;TOMATO_BED_CAP,$B86&gt;CARROT_BED_CAP,H$4&gt;MESCLUN_BED_CAP,$A86+$B86+H$4&gt;TOTAL_BEDS_AVAILABLE,($D86+H$5)&gt;TOTAL_LABOR_HOURS_CAP,MAX(0,($D86+H$5)-PERMANENT_FIELD_LABOR_HOURS)&gt;TEMP_HOURS_CAP),"",$C86+H$6-MIN(($D86+H$5),PERMANENT_FIELD_LABOR_HOURS)*PERMANENT_HOURLY_RATE-MAX(0,($D86+H$5)-PERMANENT_FIELD_LABOR_HOURS)*TEMP_HOURLY_RATE-FIXED_SEASON_COST)</f>
        <v>560.853040427443</v>
      </c>
      <c r="I86" s="53" t="n">
        <f aca="false">IF(OR($A86&gt;TOMATO_BED_CAP,$B86&gt;CARROT_BED_CAP,I$4&gt;MESCLUN_BED_CAP,$A86+$B86+I$4&gt;TOTAL_BEDS_AVAILABLE,($D86+I$5)&gt;TOTAL_LABOR_HOURS_CAP,MAX(0,($D86+I$5)-PERMANENT_FIELD_LABOR_HOURS)&gt;TEMP_HOURS_CAP),"",$C86+I$6-MIN(($D86+I$5),PERMANENT_FIELD_LABOR_HOURS)*PERMANENT_HOURLY_RATE-MAX(0,($D86+I$5)-PERMANENT_FIELD_LABOR_HOURS)*TEMP_HOURLY_RATE-FIXED_SEASON_COST)</f>
        <v>1549.96902558369</v>
      </c>
      <c r="J86" s="53" t="n">
        <f aca="false">IF(OR($A86&gt;TOMATO_BED_CAP,$B86&gt;CARROT_BED_CAP,J$4&gt;MESCLUN_BED_CAP,$A86+$B86+J$4&gt;TOTAL_BEDS_AVAILABLE,($D86+J$5)&gt;TOTAL_LABOR_HOURS_CAP,MAX(0,($D86+J$5)-PERMANENT_FIELD_LABOR_HOURS)&gt;TEMP_HOURS_CAP),"",$C86+J$6-MIN(($D86+J$5),PERMANENT_FIELD_LABOR_HOURS)*PERMANENT_HOURLY_RATE-MAX(0,($D86+J$5)-PERMANENT_FIELD_LABOR_HOURS)*TEMP_HOURLY_RATE-FIXED_SEASON_COST)</f>
        <v>2518.56317663838</v>
      </c>
      <c r="K86" s="53" t="n">
        <f aca="false">IF(OR($A86&gt;TOMATO_BED_CAP,$B86&gt;CARROT_BED_CAP,K$4&gt;MESCLUN_BED_CAP,$A86+$B86+K$4&gt;TOTAL_BEDS_AVAILABLE,($D86+K$5)&gt;TOTAL_LABOR_HOURS_CAP,MAX(0,($D86+K$5)-PERMANENT_FIELD_LABOR_HOURS)&gt;TEMP_HOURS_CAP),"",$C86+K$6-MIN(($D86+K$5),PERMANENT_FIELD_LABOR_HOURS)*PERMANENT_HOURLY_RATE-MAX(0,($D86+K$5)-PERMANENT_FIELD_LABOR_HOURS)*TEMP_HOURLY_RATE-FIXED_SEASON_COST)</f>
        <v>3466.25227336628</v>
      </c>
      <c r="L86" s="53" t="n">
        <f aca="false">IF(OR($A86&gt;TOMATO_BED_CAP,$B86&gt;CARROT_BED_CAP,L$4&gt;MESCLUN_BED_CAP,$A86+$B86+L$4&gt;TOTAL_BEDS_AVAILABLE,($D86+L$5)&gt;TOTAL_LABOR_HOURS_CAP,MAX(0,($D86+L$5)-PERMANENT_FIELD_LABOR_HOURS)&gt;TEMP_HOURS_CAP),"",$C86+L$6-MIN(($D86+L$5),PERMANENT_FIELD_LABOR_HOURS)*PERMANENT_HOURLY_RATE-MAX(0,($D86+L$5)-PERMANENT_FIELD_LABOR_HOURS)*TEMP_HOURLY_RATE-FIXED_SEASON_COST)</f>
        <v>4392.64672157314</v>
      </c>
      <c r="M86" s="53" t="n">
        <f aca="false">IF(OR($A86&gt;TOMATO_BED_CAP,$B86&gt;CARROT_BED_CAP,M$4&gt;MESCLUN_BED_CAP,$A86+$B86+M$4&gt;TOTAL_BEDS_AVAILABLE,($D86+M$5)&gt;TOTAL_LABOR_HOURS_CAP,MAX(0,($D86+M$5)-PERMANENT_FIELD_LABOR_HOURS)&gt;TEMP_HOURS_CAP),"",$C86+M$6-MIN(($D86+M$5),PERMANENT_FIELD_LABOR_HOURS)*PERMANENT_HOURLY_RATE-MAX(0,($D86+M$5)-PERMANENT_FIELD_LABOR_HOURS)*TEMP_HOURLY_RATE-FIXED_SEASON_COST)</f>
        <v>5297.35045362455</v>
      </c>
      <c r="N86" s="53" t="n">
        <f aca="false">IF(OR($A86&gt;TOMATO_BED_CAP,$B86&gt;CARROT_BED_CAP,N$4&gt;MESCLUN_BED_CAP,$A86+$B86+N$4&gt;TOTAL_BEDS_AVAILABLE,($D86+N$5)&gt;TOTAL_LABOR_HOURS_CAP,MAX(0,($D86+N$5)-PERMANENT_FIELD_LABOR_HOURS)&gt;TEMP_HOURS_CAP),"",$C86+N$6-MIN(($D86+N$5),PERMANENT_FIELD_LABOR_HOURS)*PERMANENT_HOURLY_RATE-MAX(0,($D86+N$5)-PERMANENT_FIELD_LABOR_HOURS)*TEMP_HOURLY_RATE-FIXED_SEASON_COST)</f>
        <v>6179.96082748409</v>
      </c>
      <c r="O86" s="53" t="n">
        <f aca="false">IF(OR($A86&gt;TOMATO_BED_CAP,$B86&gt;CARROT_BED_CAP,O$4&gt;MESCLUN_BED_CAP,$A86+$B86+O$4&gt;TOTAL_BEDS_AVAILABLE,($D86+O$5)&gt;TOTAL_LABOR_HOURS_CAP,MAX(0,($D86+O$5)-PERMANENT_FIELD_LABOR_HOURS)&gt;TEMP_HOURS_CAP),"",$C86+O$6-MIN(($D86+O$5),PERMANENT_FIELD_LABOR_HOURS)*PERMANENT_HOURLY_RATE-MAX(0,($D86+O$5)-PERMANENT_FIELD_LABOR_HOURS)*TEMP_HOURLY_RATE-FIXED_SEASON_COST)</f>
        <v>7040.06852423884</v>
      </c>
      <c r="P86" s="53" t="n">
        <f aca="false">IF(OR($A86&gt;TOMATO_BED_CAP,$B86&gt;CARROT_BED_CAP,P$4&gt;MESCLUN_BED_CAP,$A86+$B86+P$4&gt;TOTAL_BEDS_AVAILABLE,($D86+P$5)&gt;TOTAL_LABOR_HOURS_CAP,MAX(0,($D86+P$5)-PERMANENT_FIELD_LABOR_HOURS)&gt;TEMP_HOURS_CAP),"",$C86+P$6-MIN(($D86+P$5),PERMANENT_FIELD_LABOR_HOURS)*PERMANENT_HOURLY_RATE-MAX(0,($D86+P$5)-PERMANENT_FIELD_LABOR_HOURS)*TEMP_HOURLY_RATE-FIXED_SEASON_COST)</f>
        <v>7877.25744409027</v>
      </c>
      <c r="Q86" s="53" t="n">
        <f aca="false">IF(OR($A86&gt;TOMATO_BED_CAP,$B86&gt;CARROT_BED_CAP,Q$4&gt;MESCLUN_BED_CAP,$A86+$B86+Q$4&gt;TOTAL_BEDS_AVAILABLE,($D86+Q$5)&gt;TOTAL_LABOR_HOURS_CAP,MAX(0,($D86+Q$5)-PERMANENT_FIELD_LABOR_HOURS)&gt;TEMP_HOURS_CAP),"",$C86+Q$6-MIN(($D86+Q$5),PERMANENT_FIELD_LABOR_HOURS)*PERMANENT_HOURLY_RATE-MAX(0,($D86+Q$5)-PERMANENT_FIELD_LABOR_HOURS)*TEMP_HOURLY_RATE-FIXED_SEASON_COST)</f>
        <v>8691.10460078817</v>
      </c>
      <c r="R86" s="53" t="n">
        <f aca="false">IF(OR($A86&gt;TOMATO_BED_CAP,$B86&gt;CARROT_BED_CAP,R$4&gt;MESCLUN_BED_CAP,$A86+$B86+R$4&gt;TOTAL_BEDS_AVAILABLE,($D86+R$5)&gt;TOTAL_LABOR_HOURS_CAP,MAX(0,($D86+R$5)-PERMANENT_FIELD_LABOR_HOURS)&gt;TEMP_HOURS_CAP),"",$C86+R$6-MIN(($D86+R$5),PERMANENT_FIELD_LABOR_HOURS)*PERMANENT_HOURLY_RATE-MAX(0,($D86+R$5)-PERMANENT_FIELD_LABOR_HOURS)*TEMP_HOURLY_RATE-FIXED_SEASON_COST)</f>
        <v>9481.18001448497</v>
      </c>
      <c r="S86" s="53" t="n">
        <f aca="false">IF(OR($A86&gt;TOMATO_BED_CAP,$B86&gt;CARROT_BED_CAP,S$4&gt;MESCLUN_BED_CAP,$A86+$B86+S$4&gt;TOTAL_BEDS_AVAILABLE,($D86+S$5)&gt;TOTAL_LABOR_HOURS_CAP,MAX(0,($D86+S$5)-PERMANENT_FIELD_LABOR_HOURS)&gt;TEMP_HOURS_CAP),"",$C86+S$6-MIN(($D86+S$5),PERMANENT_FIELD_LABOR_HOURS)*PERMANENT_HOURLY_RATE-MAX(0,($D86+S$5)-PERMANENT_FIELD_LABOR_HOURS)*TEMP_HOURLY_RATE-FIXED_SEASON_COST)</f>
        <v>10247.0466029874</v>
      </c>
      <c r="T86" s="53" t="n">
        <f aca="false">IF(OR($A86&gt;TOMATO_BED_CAP,$B86&gt;CARROT_BED_CAP,T$4&gt;MESCLUN_BED_CAP,$A86+$B86+T$4&gt;TOTAL_BEDS_AVAILABLE,($D86+T$5)&gt;TOTAL_LABOR_HOURS_CAP,MAX(0,($D86+T$5)-PERMANENT_FIELD_LABOR_HOURS)&gt;TEMP_HOURS_CAP),"",$C86+T$6-MIN(($D86+T$5),PERMANENT_FIELD_LABOR_HOURS)*PERMANENT_HOURLY_RATE-MAX(0,($D86+T$5)-PERMANENT_FIELD_LABOR_HOURS)*TEMP_HOURLY_RATE-FIXED_SEASON_COST)</f>
        <v>10988.2600713823</v>
      </c>
      <c r="U86" s="53" t="n">
        <f aca="false">IF(OR($A86&gt;TOMATO_BED_CAP,$B86&gt;CARROT_BED_CAP,U$4&gt;MESCLUN_BED_CAP,$A86+$B86+U$4&gt;TOTAL_BEDS_AVAILABLE,($D86+U$5)&gt;TOTAL_LABOR_HOURS_CAP,MAX(0,($D86+U$5)-PERMANENT_FIELD_LABOR_HOURS)&gt;TEMP_HOURS_CAP),"",$C86+U$6-MIN(($D86+U$5),PERMANENT_FIELD_LABOR_HOURS)*PERMANENT_HOURLY_RATE-MAX(0,($D86+U$5)-PERMANENT_FIELD_LABOR_HOURS)*TEMP_HOURLY_RATE-FIXED_SEASON_COST)</f>
        <v>11704.3688000124</v>
      </c>
      <c r="V86" s="53" t="n">
        <f aca="false">IF(OR($A86&gt;TOMATO_BED_CAP,$B86&gt;CARROT_BED_CAP,V$4&gt;MESCLUN_BED_CAP,$A86+$B86+V$4&gt;TOTAL_BEDS_AVAILABLE,($D86+V$5)&gt;TOTAL_LABOR_HOURS_CAP,MAX(0,($D86+V$5)-PERMANENT_FIELD_LABOR_HOURS)&gt;TEMP_HOURS_CAP),"",$C86+V$6-MIN(($D86+V$5),PERMANENT_FIELD_LABOR_HOURS)*PERMANENT_HOURLY_RATE-MAX(0,($D86+V$5)-PERMANENT_FIELD_LABOR_HOURS)*TEMP_HOURLY_RATE-FIXED_SEASON_COST)</f>
        <v>12394.9137307792</v>
      </c>
      <c r="W86" s="53" t="n">
        <f aca="false">IF(OR($A86&gt;TOMATO_BED_CAP,$B86&gt;CARROT_BED_CAP,W$4&gt;MESCLUN_BED_CAP,$A86+$B86+W$4&gt;TOTAL_BEDS_AVAILABLE,($D86+W$5)&gt;TOTAL_LABOR_HOURS_CAP,MAX(0,($D86+W$5)-PERMANENT_FIELD_LABOR_HOURS)&gt;TEMP_HOURS_CAP),"",$C86+W$6-MIN(($D86+W$5),PERMANENT_FIELD_LABOR_HOURS)*PERMANENT_HOURLY_RATE-MAX(0,($D86+W$5)-PERMANENT_FIELD_LABOR_HOURS)*TEMP_HOURLY_RATE-FIXED_SEASON_COST)</f>
        <v>13059.4282517472</v>
      </c>
      <c r="X86" s="53" t="n">
        <f aca="false">IF(OR($A86&gt;TOMATO_BED_CAP,$B86&gt;CARROT_BED_CAP,X$4&gt;MESCLUN_BED_CAP,$A86+$B86+X$4&gt;TOTAL_BEDS_AVAILABLE,($D86+X$5)&gt;TOTAL_LABOR_HOURS_CAP,MAX(0,($D86+X$5)-PERMANENT_FIELD_LABOR_HOURS)&gt;TEMP_HOURS_CAP),"",$C86+X$6-MIN(($D86+X$5),PERMANENT_FIELD_LABOR_HOURS)*PERMANENT_HOURLY_RATE-MAX(0,($D86+X$5)-PERMANENT_FIELD_LABOR_HOURS)*TEMP_HOURLY_RATE-FIXED_SEASON_COST)</f>
        <v>13697.4380800261</v>
      </c>
      <c r="Y86" s="53" t="n">
        <f aca="false">IF(OR($A86&gt;TOMATO_BED_CAP,$B86&gt;CARROT_BED_CAP,Y$4&gt;MESCLUN_BED_CAP,$A86+$B86+Y$4&gt;TOTAL_BEDS_AVAILABLE,($D86+Y$5)&gt;TOTAL_LABOR_HOURS_CAP,MAX(0,($D86+Y$5)-PERMANENT_FIELD_LABOR_HOURS)&gt;TEMP_HOURS_CAP),"",$C86+Y$6-MIN(($D86+Y$5),PERMANENT_FIELD_LABOR_HOURS)*PERMANENT_HOURLY_RATE-MAX(0,($D86+Y$5)-PERMANENT_FIELD_LABOR_HOURS)*TEMP_HOURLY_RATE-FIXED_SEASON_COST)</f>
        <v>14308.4611429048</v>
      </c>
      <c r="Z86" s="53" t="n">
        <f aca="false">IF(OR($A86&gt;TOMATO_BED_CAP,$B86&gt;CARROT_BED_CAP,Z$4&gt;MESCLUN_BED_CAP,$A86+$B86+Z$4&gt;TOTAL_BEDS_AVAILABLE,($D86+Z$5)&gt;TOTAL_LABOR_HOURS_CAP,MAX(0,($D86+Z$5)-PERMANENT_FIELD_LABOR_HOURS)&gt;TEMP_HOURS_CAP),"",$C86+Z$6-MIN(($D86+Z$5),PERMANENT_FIELD_LABOR_HOURS)*PERMANENT_HOURLY_RATE-MAX(0,($D86+Z$5)-PERMANENT_FIELD_LABOR_HOURS)*TEMP_HOURLY_RATE-FIXED_SEASON_COST)</f>
        <v>14892.0074572125</v>
      </c>
      <c r="AA86" s="53" t="n">
        <f aca="false">IF(OR($A86&gt;TOMATO_BED_CAP,$B86&gt;CARROT_BED_CAP,AA$4&gt;MESCLUN_BED_CAP,$A86+$B86+AA$4&gt;TOTAL_BEDS_AVAILABLE,($D86+AA$5)&gt;TOTAL_LABOR_HOURS_CAP,MAX(0,($D86+AA$5)-PERMANENT_FIELD_LABOR_HOURS)&gt;TEMP_HOURS_CAP),"",$C86+AA$6-MIN(($D86+AA$5),PERMANENT_FIELD_LABOR_HOURS)*PERMANENT_HOURLY_RATE-MAX(0,($D86+AA$5)-PERMANENT_FIELD_LABOR_HOURS)*TEMP_HOURLY_RATE-FIXED_SEASON_COST)</f>
        <v>15447.5790068815</v>
      </c>
      <c r="AB86" s="53" t="n">
        <f aca="false">IF(OR($A86&gt;TOMATO_BED_CAP,$B86&gt;CARROT_BED_CAP,AB$4&gt;MESCLUN_BED_CAP,$A86+$B86+AB$4&gt;TOTAL_BEDS_AVAILABLE,($D86+AB$5)&gt;TOTAL_LABOR_HOURS_CAP,MAX(0,($D86+AB$5)-PERMANENT_FIELD_LABOR_HOURS)&gt;TEMP_HOURS_CAP),"",$C86+AB$6-MIN(($D86+AB$5),PERMANENT_FIELD_LABOR_HOURS)*PERMANENT_HOURLY_RATE-MAX(0,($D86+AB$5)-PERMANENT_FIELD_LABOR_HOURS)*TEMP_HOURLY_RATE-FIXED_SEASON_COST)</f>
        <v>15974.669618684</v>
      </c>
      <c r="AC86" s="53" t="n">
        <f aca="false">IF(OR($A86&gt;TOMATO_BED_CAP,$B86&gt;CARROT_BED_CAP,AC$4&gt;MESCLUN_BED_CAP,$A86+$B86+AC$4&gt;TOTAL_BEDS_AVAILABLE,($D86+AC$5)&gt;TOTAL_LABOR_HOURS_CAP,MAX(0,($D86+AC$5)-PERMANENT_FIELD_LABOR_HOURS)&gt;TEMP_HOURS_CAP),"",$C86+AC$6-MIN(($D86+AC$5),PERMANENT_FIELD_LABOR_HOURS)*PERMANENT_HOURLY_RATE-MAX(0,($D86+AC$5)-PERMANENT_FIELD_LABOR_HOURS)*TEMP_HOURLY_RATE-FIXED_SEASON_COST)</f>
        <v>16472.7648361189</v>
      </c>
      <c r="AD86" s="53" t="n">
        <f aca="false">IF(OR($A86&gt;TOMATO_BED_CAP,$B86&gt;CARROT_BED_CAP,AD$4&gt;MESCLUN_BED_CAP,$A86+$B86+AD$4&gt;TOTAL_BEDS_AVAILABLE,($D86+AD$5)&gt;TOTAL_LABOR_HOURS_CAP,MAX(0,($D86+AD$5)-PERMANENT_FIELD_LABOR_HOURS)&gt;TEMP_HOURS_CAP),"",$C86+AD$6-MIN(($D86+AD$5),PERMANENT_FIELD_LABOR_HOURS)*PERMANENT_HOURLY_RATE-MAX(0,($D86+AD$5)-PERMANENT_FIELD_LABOR_HOURS)*TEMP_HOURLY_RATE-FIXED_SEASON_COST)</f>
        <v>16941.3417914189</v>
      </c>
      <c r="AE86" s="53" t="n">
        <f aca="false">IF(OR($A86&gt;TOMATO_BED_CAP,$B86&gt;CARROT_BED_CAP,AE$4&gt;MESCLUN_BED_CAP,$A86+$B86+AE$4&gt;TOTAL_BEDS_AVAILABLE,($D86+AE$5)&gt;TOTAL_LABOR_HOURS_CAP,MAX(0,($D86+AE$5)-PERMANENT_FIELD_LABOR_HOURS)&gt;TEMP_HOURS_CAP),"",$C86+AE$6-MIN(($D86+AE$5),PERMANENT_FIELD_LABOR_HOURS)*PERMANENT_HOURLY_RATE-MAX(0,($D86+AE$5)-PERMANENT_FIELD_LABOR_HOURS)*TEMP_HOURLY_RATE-FIXED_SEASON_COST)</f>
        <v>17379.8690756528</v>
      </c>
      <c r="AF86" s="53" t="n">
        <f aca="false">IF(OR($A86&gt;TOMATO_BED_CAP,$B86&gt;CARROT_BED_CAP,AF$4&gt;MESCLUN_BED_CAP,$A86+$B86+AF$4&gt;TOTAL_BEDS_AVAILABLE,($D86+AF$5)&gt;TOTAL_LABOR_HOURS_CAP,MAX(0,($D86+AF$5)-PERMANENT_FIELD_LABOR_HOURS)&gt;TEMP_HOURS_CAP),"",$C86+AF$6-MIN(($D86+AF$5),PERMANENT_FIELD_LABOR_HOURS)*PERMANENT_HOURLY_RATE-MAX(0,($D86+AF$5)-PERMANENT_FIELD_LABOR_HOURS)*TEMP_HOURLY_RATE-FIXED_SEASON_COST)</f>
        <v>17787.8066068947</v>
      </c>
      <c r="AG86" s="53" t="n">
        <f aca="false">IF(OR($A86&gt;TOMATO_BED_CAP,$B86&gt;CARROT_BED_CAP,AG$4&gt;MESCLUN_BED_CAP,$A86+$B86+AG$4&gt;TOTAL_BEDS_AVAILABLE,($D86+AG$5)&gt;TOTAL_LABOR_HOURS_CAP,MAX(0,($D86+AG$5)-PERMANENT_FIELD_LABOR_HOURS)&gt;TEMP_HOURS_CAP),"",$C86+AG$6-MIN(($D86+AG$5),PERMANENT_FIELD_LABOR_HOURS)*PERMANENT_HOURLY_RATE-MAX(0,($D86+AG$5)-PERMANENT_FIELD_LABOR_HOURS)*TEMP_HOURLY_RATE-FIXED_SEASON_COST)</f>
        <v>18164.6054964318</v>
      </c>
      <c r="AH86" s="53" t="n">
        <f aca="false">IF(OR($A86&gt;TOMATO_BED_CAP,$B86&gt;CARROT_BED_CAP,AH$4&gt;MESCLUN_BED_CAP,$A86+$B86+AH$4&gt;TOTAL_BEDS_AVAILABLE,($D86+AH$5)&gt;TOTAL_LABOR_HOURS_CAP,MAX(0,($D86+AH$5)-PERMANENT_FIELD_LABOR_HOURS)&gt;TEMP_HOURS_CAP),"",$C86+AH$6-MIN(($D86+AH$5),PERMANENT_FIELD_LABOR_HOURS)*PERMANENT_HOURLY_RATE-MAX(0,($D86+AH$5)-PERMANENT_FIELD_LABOR_HOURS)*TEMP_HOURLY_RATE-FIXED_SEASON_COST)</f>
        <v>18509.707912982</v>
      </c>
      <c r="AI86" s="53" t="n">
        <f aca="false">IF(OR($A86&gt;TOMATO_BED_CAP,$B86&gt;CARROT_BED_CAP,AI$4&gt;MESCLUN_BED_CAP,$A86+$B86+AI$4&gt;TOTAL_BEDS_AVAILABLE,($D86+AI$5)&gt;TOTAL_LABOR_HOURS_CAP,MAX(0,($D86+AI$5)-PERMANENT_FIELD_LABOR_HOURS)&gt;TEMP_HOURS_CAP),"",$C86+AI$6-MIN(($D86+AI$5),PERMANENT_FIELD_LABOR_HOURS)*PERMANENT_HOURLY_RATE-MAX(0,($D86+AI$5)-PERMANENT_FIELD_LABOR_HOURS)*TEMP_HOURLY_RATE-FIXED_SEASON_COST)</f>
        <v>18822.5469448942</v>
      </c>
      <c r="AJ86" s="53" t="n">
        <f aca="false">IF(OR($A86&gt;TOMATO_BED_CAP,$B86&gt;CARROT_BED_CAP,AJ$4&gt;MESCLUN_BED_CAP,$A86+$B86+AJ$4&gt;TOTAL_BEDS_AVAILABLE,($D86+AJ$5)&gt;TOTAL_LABOR_HOURS_CAP,MAX(0,($D86+AJ$5)-PERMANENT_FIELD_LABOR_HOURS)&gt;TEMP_HOURS_CAP),"",$C86+AJ$6-MIN(($D86+AJ$5),PERMANENT_FIELD_LABOR_HOURS)*PERMANENT_HOURLY_RATE-MAX(0,($D86+AJ$5)-PERMANENT_FIELD_LABOR_HOURS)*TEMP_HOURLY_RATE-FIXED_SEASON_COST)</f>
        <v>19102.5464603</v>
      </c>
    </row>
    <row r="87" customFormat="false" ht="15" hidden="false" customHeight="false" outlineLevel="0" collapsed="false">
      <c r="A87" s="21" t="n">
        <f aca="false">INT((ROW()-ROW($A$8))/(20+1))</f>
        <v>3</v>
      </c>
      <c r="B87" s="21" t="n">
        <f aca="false">MOD(ROW()-ROW($A$8),20+1)</f>
        <v>16</v>
      </c>
      <c r="C87" s="13" t="n">
        <f aca="false">A87*(TOMATO_REVENUE_PER_BED-TOMATO_FERTILIZER_PER_BED)+B87*(CARROT_REVENUE_PER_BED-CARROT_FERTILIZER_PER_BED)</f>
        <v>50224</v>
      </c>
      <c r="D87" s="14" t="n">
        <f aca="false">INDEX(TOMATO_SCHED_LABOR_HRS,A87+1)+INDEX(CARROT_SCHED_LABOR_HRS,B87+1)</f>
        <v>1071.6476728379</v>
      </c>
      <c r="E87" s="13" t="n">
        <f aca="false">IF(COUNT(F87:AJ87)=0,"",MAX(F87:AJ87))</f>
        <v>19700.9856944065</v>
      </c>
      <c r="F87" s="53" t="n">
        <f aca="false">IF(OR($A87&gt;TOMATO_BED_CAP,$B87&gt;CARROT_BED_CAP,F$4&gt;MESCLUN_BED_CAP,$A87+$B87+F$4&gt;TOTAL_BEDS_AVAILABLE,($D87+F$5)&gt;TOTAL_LABOR_HOURS_CAP,MAX(0,($D87+F$5)-PERMANENT_FIELD_LABOR_HOURS)&gt;TEMP_HOURS_CAP),"",$C87+F$6-MIN(($D87+F$5),PERMANENT_FIELD_LABOR_HOURS)*PERMANENT_HOURLY_RATE-MAX(0,($D87+F$5)-PERMANENT_FIELD_LABOR_HOURS)*TEMP_HOURLY_RATE-FIXED_SEASON_COST)</f>
        <v>-879.003600465996</v>
      </c>
      <c r="G87" s="53" t="n">
        <f aca="false">IF(OR($A87&gt;TOMATO_BED_CAP,$B87&gt;CARROT_BED_CAP,G$4&gt;MESCLUN_BED_CAP,$A87+$B87+G$4&gt;TOTAL_BEDS_AVAILABLE,($D87+G$5)&gt;TOTAL_LABOR_HOURS_CAP,MAX(0,($D87+G$5)-PERMANENT_FIELD_LABOR_HOURS)&gt;TEMP_HOURS_CAP),"",$C87+G$6-MIN(($D87+G$5),PERMANENT_FIELD_LABOR_HOURS)*PERMANENT_HOURLY_RATE-MAX(0,($D87+G$5)-PERMANENT_FIELD_LABOR_HOURS)*TEMP_HOURLY_RATE-FIXED_SEASON_COST)</f>
        <v>150.031399534004</v>
      </c>
      <c r="H87" s="53" t="n">
        <f aca="false">IF(OR($A87&gt;TOMATO_BED_CAP,$B87&gt;CARROT_BED_CAP,H$4&gt;MESCLUN_BED_CAP,$A87+$B87+H$4&gt;TOTAL_BEDS_AVAILABLE,($D87+H$5)&gt;TOTAL_LABOR_HOURS_CAP,MAX(0,($D87+H$5)-PERMANENT_FIELD_LABOR_HOURS)&gt;TEMP_HOURS_CAP),"",$C87+H$6-MIN(($D87+H$5),PERMANENT_FIELD_LABOR_HOURS)*PERMANENT_HOURLY_RATE-MAX(0,($D87+H$5)-PERMANENT_FIELD_LABOR_HOURS)*TEMP_HOURLY_RATE-FIXED_SEASON_COST)</f>
        <v>1159.292274534</v>
      </c>
      <c r="I87" s="53" t="n">
        <f aca="false">IF(OR($A87&gt;TOMATO_BED_CAP,$B87&gt;CARROT_BED_CAP,I$4&gt;MESCLUN_BED_CAP,$A87+$B87+I$4&gt;TOTAL_BEDS_AVAILABLE,($D87+I$5)&gt;TOTAL_LABOR_HOURS_CAP,MAX(0,($D87+I$5)-PERMANENT_FIELD_LABOR_HOURS)&gt;TEMP_HOURS_CAP),"",$C87+I$6-MIN(($D87+I$5),PERMANENT_FIELD_LABOR_HOURS)*PERMANENT_HOURLY_RATE-MAX(0,($D87+I$5)-PERMANENT_FIELD_LABOR_HOURS)*TEMP_HOURLY_RATE-FIXED_SEASON_COST)</f>
        <v>2148.40825969025</v>
      </c>
      <c r="J87" s="53" t="n">
        <f aca="false">IF(OR($A87&gt;TOMATO_BED_CAP,$B87&gt;CARROT_BED_CAP,J$4&gt;MESCLUN_BED_CAP,$A87+$B87+J$4&gt;TOTAL_BEDS_AVAILABLE,($D87+J$5)&gt;TOTAL_LABOR_HOURS_CAP,MAX(0,($D87+J$5)-PERMANENT_FIELD_LABOR_HOURS)&gt;TEMP_HOURS_CAP),"",$C87+J$6-MIN(($D87+J$5),PERMANENT_FIELD_LABOR_HOURS)*PERMANENT_HOURLY_RATE-MAX(0,($D87+J$5)-PERMANENT_FIELD_LABOR_HOURS)*TEMP_HOURLY_RATE-FIXED_SEASON_COST)</f>
        <v>3117.00241074494</v>
      </c>
      <c r="K87" s="53" t="n">
        <f aca="false">IF(OR($A87&gt;TOMATO_BED_CAP,$B87&gt;CARROT_BED_CAP,K$4&gt;MESCLUN_BED_CAP,$A87+$B87+K$4&gt;TOTAL_BEDS_AVAILABLE,($D87+K$5)&gt;TOTAL_LABOR_HOURS_CAP,MAX(0,($D87+K$5)-PERMANENT_FIELD_LABOR_HOURS)&gt;TEMP_HOURS_CAP),"",$C87+K$6-MIN(($D87+K$5),PERMANENT_FIELD_LABOR_HOURS)*PERMANENT_HOURLY_RATE-MAX(0,($D87+K$5)-PERMANENT_FIELD_LABOR_HOURS)*TEMP_HOURLY_RATE-FIXED_SEASON_COST)</f>
        <v>4064.69150747285</v>
      </c>
      <c r="L87" s="53" t="n">
        <f aca="false">IF(OR($A87&gt;TOMATO_BED_CAP,$B87&gt;CARROT_BED_CAP,L$4&gt;MESCLUN_BED_CAP,$A87+$B87+L$4&gt;TOTAL_BEDS_AVAILABLE,($D87+L$5)&gt;TOTAL_LABOR_HOURS_CAP,MAX(0,($D87+L$5)-PERMANENT_FIELD_LABOR_HOURS)&gt;TEMP_HOURS_CAP),"",$C87+L$6-MIN(($D87+L$5),PERMANENT_FIELD_LABOR_HOURS)*PERMANENT_HOURLY_RATE-MAX(0,($D87+L$5)-PERMANENT_FIELD_LABOR_HOURS)*TEMP_HOURLY_RATE-FIXED_SEASON_COST)</f>
        <v>4991.0859556797</v>
      </c>
      <c r="M87" s="53" t="n">
        <f aca="false">IF(OR($A87&gt;TOMATO_BED_CAP,$B87&gt;CARROT_BED_CAP,M$4&gt;MESCLUN_BED_CAP,$A87+$B87+M$4&gt;TOTAL_BEDS_AVAILABLE,($D87+M$5)&gt;TOTAL_LABOR_HOURS_CAP,MAX(0,($D87+M$5)-PERMANENT_FIELD_LABOR_HOURS)&gt;TEMP_HOURS_CAP),"",$C87+M$6-MIN(($D87+M$5),PERMANENT_FIELD_LABOR_HOURS)*PERMANENT_HOURLY_RATE-MAX(0,($D87+M$5)-PERMANENT_FIELD_LABOR_HOURS)*TEMP_HOURLY_RATE-FIXED_SEASON_COST)</f>
        <v>5895.78968773111</v>
      </c>
      <c r="N87" s="53" t="n">
        <f aca="false">IF(OR($A87&gt;TOMATO_BED_CAP,$B87&gt;CARROT_BED_CAP,N$4&gt;MESCLUN_BED_CAP,$A87+$B87+N$4&gt;TOTAL_BEDS_AVAILABLE,($D87+N$5)&gt;TOTAL_LABOR_HOURS_CAP,MAX(0,($D87+N$5)-PERMANENT_FIELD_LABOR_HOURS)&gt;TEMP_HOURS_CAP),"",$C87+N$6-MIN(($D87+N$5),PERMANENT_FIELD_LABOR_HOURS)*PERMANENT_HOURLY_RATE-MAX(0,($D87+N$5)-PERMANENT_FIELD_LABOR_HOURS)*TEMP_HOURLY_RATE-FIXED_SEASON_COST)</f>
        <v>6778.40006159066</v>
      </c>
      <c r="O87" s="53" t="n">
        <f aca="false">IF(OR($A87&gt;TOMATO_BED_CAP,$B87&gt;CARROT_BED_CAP,O$4&gt;MESCLUN_BED_CAP,$A87+$B87+O$4&gt;TOTAL_BEDS_AVAILABLE,($D87+O$5)&gt;TOTAL_LABOR_HOURS_CAP,MAX(0,($D87+O$5)-PERMANENT_FIELD_LABOR_HOURS)&gt;TEMP_HOURS_CAP),"",$C87+O$6-MIN(($D87+O$5),PERMANENT_FIELD_LABOR_HOURS)*PERMANENT_HOURLY_RATE-MAX(0,($D87+O$5)-PERMANENT_FIELD_LABOR_HOURS)*TEMP_HOURLY_RATE-FIXED_SEASON_COST)</f>
        <v>7638.5077583454</v>
      </c>
      <c r="P87" s="53" t="n">
        <f aca="false">IF(OR($A87&gt;TOMATO_BED_CAP,$B87&gt;CARROT_BED_CAP,P$4&gt;MESCLUN_BED_CAP,$A87+$B87+P$4&gt;TOTAL_BEDS_AVAILABLE,($D87+P$5)&gt;TOTAL_LABOR_HOURS_CAP,MAX(0,($D87+P$5)-PERMANENT_FIELD_LABOR_HOURS)&gt;TEMP_HOURS_CAP),"",$C87+P$6-MIN(($D87+P$5),PERMANENT_FIELD_LABOR_HOURS)*PERMANENT_HOURLY_RATE-MAX(0,($D87+P$5)-PERMANENT_FIELD_LABOR_HOURS)*TEMP_HOURLY_RATE-FIXED_SEASON_COST)</f>
        <v>8475.69667819683</v>
      </c>
      <c r="Q87" s="53" t="n">
        <f aca="false">IF(OR($A87&gt;TOMATO_BED_CAP,$B87&gt;CARROT_BED_CAP,Q$4&gt;MESCLUN_BED_CAP,$A87+$B87+Q$4&gt;TOTAL_BEDS_AVAILABLE,($D87+Q$5)&gt;TOTAL_LABOR_HOURS_CAP,MAX(0,($D87+Q$5)-PERMANENT_FIELD_LABOR_HOURS)&gt;TEMP_HOURS_CAP),"",$C87+Q$6-MIN(($D87+Q$5),PERMANENT_FIELD_LABOR_HOURS)*PERMANENT_HOURLY_RATE-MAX(0,($D87+Q$5)-PERMANENT_FIELD_LABOR_HOURS)*TEMP_HOURLY_RATE-FIXED_SEASON_COST)</f>
        <v>9289.54383489473</v>
      </c>
      <c r="R87" s="53" t="n">
        <f aca="false">IF(OR($A87&gt;TOMATO_BED_CAP,$B87&gt;CARROT_BED_CAP,R$4&gt;MESCLUN_BED_CAP,$A87+$B87+R$4&gt;TOTAL_BEDS_AVAILABLE,($D87+R$5)&gt;TOTAL_LABOR_HOURS_CAP,MAX(0,($D87+R$5)-PERMANENT_FIELD_LABOR_HOURS)&gt;TEMP_HOURS_CAP),"",$C87+R$6-MIN(($D87+R$5),PERMANENT_FIELD_LABOR_HOURS)*PERMANENT_HOURLY_RATE-MAX(0,($D87+R$5)-PERMANENT_FIELD_LABOR_HOURS)*TEMP_HOURLY_RATE-FIXED_SEASON_COST)</f>
        <v>10079.6192485915</v>
      </c>
      <c r="S87" s="53" t="n">
        <f aca="false">IF(OR($A87&gt;TOMATO_BED_CAP,$B87&gt;CARROT_BED_CAP,S$4&gt;MESCLUN_BED_CAP,$A87+$B87+S$4&gt;TOTAL_BEDS_AVAILABLE,($D87+S$5)&gt;TOTAL_LABOR_HOURS_CAP,MAX(0,($D87+S$5)-PERMANENT_FIELD_LABOR_HOURS)&gt;TEMP_HOURS_CAP),"",$C87+S$6-MIN(($D87+S$5),PERMANENT_FIELD_LABOR_HOURS)*PERMANENT_HOURLY_RATE-MAX(0,($D87+S$5)-PERMANENT_FIELD_LABOR_HOURS)*TEMP_HOURLY_RATE-FIXED_SEASON_COST)</f>
        <v>10845.485837094</v>
      </c>
      <c r="T87" s="53" t="n">
        <f aca="false">IF(OR($A87&gt;TOMATO_BED_CAP,$B87&gt;CARROT_BED_CAP,T$4&gt;MESCLUN_BED_CAP,$A87+$B87+T$4&gt;TOTAL_BEDS_AVAILABLE,($D87+T$5)&gt;TOTAL_LABOR_HOURS_CAP,MAX(0,($D87+T$5)-PERMANENT_FIELD_LABOR_HOURS)&gt;TEMP_HOURS_CAP),"",$C87+T$6-MIN(($D87+T$5),PERMANENT_FIELD_LABOR_HOURS)*PERMANENT_HOURLY_RATE-MAX(0,($D87+T$5)-PERMANENT_FIELD_LABOR_HOURS)*TEMP_HOURLY_RATE-FIXED_SEASON_COST)</f>
        <v>11586.6993054888</v>
      </c>
      <c r="U87" s="53" t="n">
        <f aca="false">IF(OR($A87&gt;TOMATO_BED_CAP,$B87&gt;CARROT_BED_CAP,U$4&gt;MESCLUN_BED_CAP,$A87+$B87+U$4&gt;TOTAL_BEDS_AVAILABLE,($D87+U$5)&gt;TOTAL_LABOR_HOURS_CAP,MAX(0,($D87+U$5)-PERMANENT_FIELD_LABOR_HOURS)&gt;TEMP_HOURS_CAP),"",$C87+U$6-MIN(($D87+U$5),PERMANENT_FIELD_LABOR_HOURS)*PERMANENT_HOURLY_RATE-MAX(0,($D87+U$5)-PERMANENT_FIELD_LABOR_HOURS)*TEMP_HOURLY_RATE-FIXED_SEASON_COST)</f>
        <v>12302.8080341189</v>
      </c>
      <c r="V87" s="53" t="n">
        <f aca="false">IF(OR($A87&gt;TOMATO_BED_CAP,$B87&gt;CARROT_BED_CAP,V$4&gt;MESCLUN_BED_CAP,$A87+$B87+V$4&gt;TOTAL_BEDS_AVAILABLE,($D87+V$5)&gt;TOTAL_LABOR_HOURS_CAP,MAX(0,($D87+V$5)-PERMANENT_FIELD_LABOR_HOURS)&gt;TEMP_HOURS_CAP),"",$C87+V$6-MIN(($D87+V$5),PERMANENT_FIELD_LABOR_HOURS)*PERMANENT_HOURLY_RATE-MAX(0,($D87+V$5)-PERMANENT_FIELD_LABOR_HOURS)*TEMP_HOURLY_RATE-FIXED_SEASON_COST)</f>
        <v>12993.3529648857</v>
      </c>
      <c r="W87" s="53" t="n">
        <f aca="false">IF(OR($A87&gt;TOMATO_BED_CAP,$B87&gt;CARROT_BED_CAP,W$4&gt;MESCLUN_BED_CAP,$A87+$B87+W$4&gt;TOTAL_BEDS_AVAILABLE,($D87+W$5)&gt;TOTAL_LABOR_HOURS_CAP,MAX(0,($D87+W$5)-PERMANENT_FIELD_LABOR_HOURS)&gt;TEMP_HOURS_CAP),"",$C87+W$6-MIN(($D87+W$5),PERMANENT_FIELD_LABOR_HOURS)*PERMANENT_HOURLY_RATE-MAX(0,($D87+W$5)-PERMANENT_FIELD_LABOR_HOURS)*TEMP_HOURLY_RATE-FIXED_SEASON_COST)</f>
        <v>13657.8674858538</v>
      </c>
      <c r="X87" s="53" t="n">
        <f aca="false">IF(OR($A87&gt;TOMATO_BED_CAP,$B87&gt;CARROT_BED_CAP,X$4&gt;MESCLUN_BED_CAP,$A87+$B87+X$4&gt;TOTAL_BEDS_AVAILABLE,($D87+X$5)&gt;TOTAL_LABOR_HOURS_CAP,MAX(0,($D87+X$5)-PERMANENT_FIELD_LABOR_HOURS)&gt;TEMP_HOURS_CAP),"",$C87+X$6-MIN(($D87+X$5),PERMANENT_FIELD_LABOR_HOURS)*PERMANENT_HOURLY_RATE-MAX(0,($D87+X$5)-PERMANENT_FIELD_LABOR_HOURS)*TEMP_HOURLY_RATE-FIXED_SEASON_COST)</f>
        <v>14295.8773141327</v>
      </c>
      <c r="Y87" s="53" t="n">
        <f aca="false">IF(OR($A87&gt;TOMATO_BED_CAP,$B87&gt;CARROT_BED_CAP,Y$4&gt;MESCLUN_BED_CAP,$A87+$B87+Y$4&gt;TOTAL_BEDS_AVAILABLE,($D87+Y$5)&gt;TOTAL_LABOR_HOURS_CAP,MAX(0,($D87+Y$5)-PERMANENT_FIELD_LABOR_HOURS)&gt;TEMP_HOURS_CAP),"",$C87+Y$6-MIN(($D87+Y$5),PERMANENT_FIELD_LABOR_HOURS)*PERMANENT_HOURLY_RATE-MAX(0,($D87+Y$5)-PERMANENT_FIELD_LABOR_HOURS)*TEMP_HOURLY_RATE-FIXED_SEASON_COST)</f>
        <v>14906.9003770114</v>
      </c>
      <c r="Z87" s="53" t="n">
        <f aca="false">IF(OR($A87&gt;TOMATO_BED_CAP,$B87&gt;CARROT_BED_CAP,Z$4&gt;MESCLUN_BED_CAP,$A87+$B87+Z$4&gt;TOTAL_BEDS_AVAILABLE,($D87+Z$5)&gt;TOTAL_LABOR_HOURS_CAP,MAX(0,($D87+Z$5)-PERMANENT_FIELD_LABOR_HOURS)&gt;TEMP_HOURS_CAP),"",$C87+Z$6-MIN(($D87+Z$5),PERMANENT_FIELD_LABOR_HOURS)*PERMANENT_HOURLY_RATE-MAX(0,($D87+Z$5)-PERMANENT_FIELD_LABOR_HOURS)*TEMP_HOURLY_RATE-FIXED_SEASON_COST)</f>
        <v>15490.4466913191</v>
      </c>
      <c r="AA87" s="53" t="n">
        <f aca="false">IF(OR($A87&gt;TOMATO_BED_CAP,$B87&gt;CARROT_BED_CAP,AA$4&gt;MESCLUN_BED_CAP,$A87+$B87+AA$4&gt;TOTAL_BEDS_AVAILABLE,($D87+AA$5)&gt;TOTAL_LABOR_HOURS_CAP,MAX(0,($D87+AA$5)-PERMANENT_FIELD_LABOR_HOURS)&gt;TEMP_HOURS_CAP),"",$C87+AA$6-MIN(($D87+AA$5),PERMANENT_FIELD_LABOR_HOURS)*PERMANENT_HOURLY_RATE-MAX(0,($D87+AA$5)-PERMANENT_FIELD_LABOR_HOURS)*TEMP_HOURLY_RATE-FIXED_SEASON_COST)</f>
        <v>16046.018240988</v>
      </c>
      <c r="AB87" s="53" t="n">
        <f aca="false">IF(OR($A87&gt;TOMATO_BED_CAP,$B87&gt;CARROT_BED_CAP,AB$4&gt;MESCLUN_BED_CAP,$A87+$B87+AB$4&gt;TOTAL_BEDS_AVAILABLE,($D87+AB$5)&gt;TOTAL_LABOR_HOURS_CAP,MAX(0,($D87+AB$5)-PERMANENT_FIELD_LABOR_HOURS)&gt;TEMP_HOURS_CAP),"",$C87+AB$6-MIN(($D87+AB$5),PERMANENT_FIELD_LABOR_HOURS)*PERMANENT_HOURLY_RATE-MAX(0,($D87+AB$5)-PERMANENT_FIELD_LABOR_HOURS)*TEMP_HOURLY_RATE-FIXED_SEASON_COST)</f>
        <v>16573.1088527906</v>
      </c>
      <c r="AC87" s="53" t="n">
        <f aca="false">IF(OR($A87&gt;TOMATO_BED_CAP,$B87&gt;CARROT_BED_CAP,AC$4&gt;MESCLUN_BED_CAP,$A87+$B87+AC$4&gt;TOTAL_BEDS_AVAILABLE,($D87+AC$5)&gt;TOTAL_LABOR_HOURS_CAP,MAX(0,($D87+AC$5)-PERMANENT_FIELD_LABOR_HOURS)&gt;TEMP_HOURS_CAP),"",$C87+AC$6-MIN(($D87+AC$5),PERMANENT_FIELD_LABOR_HOURS)*PERMANENT_HOURLY_RATE-MAX(0,($D87+AC$5)-PERMANENT_FIELD_LABOR_HOURS)*TEMP_HOURLY_RATE-FIXED_SEASON_COST)</f>
        <v>17071.2040702255</v>
      </c>
      <c r="AD87" s="53" t="n">
        <f aca="false">IF(OR($A87&gt;TOMATO_BED_CAP,$B87&gt;CARROT_BED_CAP,AD$4&gt;MESCLUN_BED_CAP,$A87+$B87+AD$4&gt;TOTAL_BEDS_AVAILABLE,($D87+AD$5)&gt;TOTAL_LABOR_HOURS_CAP,MAX(0,($D87+AD$5)-PERMANENT_FIELD_LABOR_HOURS)&gt;TEMP_HOURS_CAP),"",$C87+AD$6-MIN(($D87+AD$5),PERMANENT_FIELD_LABOR_HOURS)*PERMANENT_HOURLY_RATE-MAX(0,($D87+AD$5)-PERMANENT_FIELD_LABOR_HOURS)*TEMP_HOURLY_RATE-FIXED_SEASON_COST)</f>
        <v>17539.7810255254</v>
      </c>
      <c r="AE87" s="53" t="n">
        <f aca="false">IF(OR($A87&gt;TOMATO_BED_CAP,$B87&gt;CARROT_BED_CAP,AE$4&gt;MESCLUN_BED_CAP,$A87+$B87+AE$4&gt;TOTAL_BEDS_AVAILABLE,($D87+AE$5)&gt;TOTAL_LABOR_HOURS_CAP,MAX(0,($D87+AE$5)-PERMANENT_FIELD_LABOR_HOURS)&gt;TEMP_HOURS_CAP),"",$C87+AE$6-MIN(($D87+AE$5),PERMANENT_FIELD_LABOR_HOURS)*PERMANENT_HOURLY_RATE-MAX(0,($D87+AE$5)-PERMANENT_FIELD_LABOR_HOURS)*TEMP_HOURLY_RATE-FIXED_SEASON_COST)</f>
        <v>17978.3083097593</v>
      </c>
      <c r="AF87" s="53" t="n">
        <f aca="false">IF(OR($A87&gt;TOMATO_BED_CAP,$B87&gt;CARROT_BED_CAP,AF$4&gt;MESCLUN_BED_CAP,$A87+$B87+AF$4&gt;TOTAL_BEDS_AVAILABLE,($D87+AF$5)&gt;TOTAL_LABOR_HOURS_CAP,MAX(0,($D87+AF$5)-PERMANENT_FIELD_LABOR_HOURS)&gt;TEMP_HOURS_CAP),"",$C87+AF$6-MIN(($D87+AF$5),PERMANENT_FIELD_LABOR_HOURS)*PERMANENT_HOURLY_RATE-MAX(0,($D87+AF$5)-PERMANENT_FIELD_LABOR_HOURS)*TEMP_HOURLY_RATE-FIXED_SEASON_COST)</f>
        <v>18386.2458410013</v>
      </c>
      <c r="AG87" s="53" t="n">
        <f aca="false">IF(OR($A87&gt;TOMATO_BED_CAP,$B87&gt;CARROT_BED_CAP,AG$4&gt;MESCLUN_BED_CAP,$A87+$B87+AG$4&gt;TOTAL_BEDS_AVAILABLE,($D87+AG$5)&gt;TOTAL_LABOR_HOURS_CAP,MAX(0,($D87+AG$5)-PERMANENT_FIELD_LABOR_HOURS)&gt;TEMP_HOURS_CAP),"",$C87+AG$6-MIN(($D87+AG$5),PERMANENT_FIELD_LABOR_HOURS)*PERMANENT_HOURLY_RATE-MAX(0,($D87+AG$5)-PERMANENT_FIELD_LABOR_HOURS)*TEMP_HOURLY_RATE-FIXED_SEASON_COST)</f>
        <v>18763.0447305383</v>
      </c>
      <c r="AH87" s="53" t="n">
        <f aca="false">IF(OR($A87&gt;TOMATO_BED_CAP,$B87&gt;CARROT_BED_CAP,AH$4&gt;MESCLUN_BED_CAP,$A87+$B87+AH$4&gt;TOTAL_BEDS_AVAILABLE,($D87+AH$5)&gt;TOTAL_LABOR_HOURS_CAP,MAX(0,($D87+AH$5)-PERMANENT_FIELD_LABOR_HOURS)&gt;TEMP_HOURS_CAP),"",$C87+AH$6-MIN(($D87+AH$5),PERMANENT_FIELD_LABOR_HOURS)*PERMANENT_HOURLY_RATE-MAX(0,($D87+AH$5)-PERMANENT_FIELD_LABOR_HOURS)*TEMP_HOURLY_RATE-FIXED_SEASON_COST)</f>
        <v>19108.1471470885</v>
      </c>
      <c r="AI87" s="53" t="n">
        <f aca="false">IF(OR($A87&gt;TOMATO_BED_CAP,$B87&gt;CARROT_BED_CAP,AI$4&gt;MESCLUN_BED_CAP,$A87+$B87+AI$4&gt;TOTAL_BEDS_AVAILABLE,($D87+AI$5)&gt;TOTAL_LABOR_HOURS_CAP,MAX(0,($D87+AI$5)-PERMANENT_FIELD_LABOR_HOURS)&gt;TEMP_HOURS_CAP),"",$C87+AI$6-MIN(($D87+AI$5),PERMANENT_FIELD_LABOR_HOURS)*PERMANENT_HOURLY_RATE-MAX(0,($D87+AI$5)-PERMANENT_FIELD_LABOR_HOURS)*TEMP_HOURLY_RATE-FIXED_SEASON_COST)</f>
        <v>19420.9861790008</v>
      </c>
      <c r="AJ87" s="53" t="n">
        <f aca="false">IF(OR($A87&gt;TOMATO_BED_CAP,$B87&gt;CARROT_BED_CAP,AJ$4&gt;MESCLUN_BED_CAP,$A87+$B87+AJ$4&gt;TOTAL_BEDS_AVAILABLE,($D87+AJ$5)&gt;TOTAL_LABOR_HOURS_CAP,MAX(0,($D87+AJ$5)-PERMANENT_FIELD_LABOR_HOURS)&gt;TEMP_HOURS_CAP),"",$C87+AJ$6-MIN(($D87+AJ$5),PERMANENT_FIELD_LABOR_HOURS)*PERMANENT_HOURLY_RATE-MAX(0,($D87+AJ$5)-PERMANENT_FIELD_LABOR_HOURS)*TEMP_HOURLY_RATE-FIXED_SEASON_COST)</f>
        <v>19700.9856944065</v>
      </c>
    </row>
    <row r="88" customFormat="false" ht="15" hidden="false" customHeight="false" outlineLevel="0" collapsed="false">
      <c r="A88" s="21" t="n">
        <f aca="false">INT((ROW()-ROW($A$8))/(20+1))</f>
        <v>3</v>
      </c>
      <c r="B88" s="21" t="n">
        <f aca="false">MOD(ROW()-ROW($A$8),20+1)</f>
        <v>17</v>
      </c>
      <c r="C88" s="13" t="n">
        <f aca="false">A88*(TOMATO_REVENUE_PER_BED-TOMATO_FERTILIZER_PER_BED)+B88*(CARROT_REVENUE_PER_BED-CARROT_FERTILIZER_PER_BED)</f>
        <v>51878</v>
      </c>
      <c r="D88" s="14" t="n">
        <f aca="false">INDEX(TOMATO_SCHED_LABOR_HRS,A88+1)+INDEX(CARROT_SCHED_LABOR_HRS,B88+1)</f>
        <v>1135.08490307503</v>
      </c>
      <c r="E88" s="13" t="n">
        <f aca="false">IF(COUNT(F88:AJ88)=0,"",MAX(F88:AJ88))</f>
        <v>20253.7153774901</v>
      </c>
      <c r="F88" s="53" t="n">
        <f aca="false">IF(OR($A88&gt;TOMATO_BED_CAP,$B88&gt;CARROT_BED_CAP,F$4&gt;MESCLUN_BED_CAP,$A88+$B88+F$4&gt;TOTAL_BEDS_AVAILABLE,($D88+F$5)&gt;TOTAL_LABOR_HOURS_CAP,MAX(0,($D88+F$5)-PERMANENT_FIELD_LABOR_HOURS)&gt;TEMP_HOURS_CAP),"",$C88+F$6-MIN(($D88+F$5),PERMANENT_FIELD_LABOR_HOURS)*PERMANENT_HOURLY_RATE-MAX(0,($D88+F$5)-PERMANENT_FIELD_LABOR_HOURS)*TEMP_HOURLY_RATE-FIXED_SEASON_COST)</f>
        <v>-326.273917382496</v>
      </c>
      <c r="G88" s="53" t="n">
        <f aca="false">IF(OR($A88&gt;TOMATO_BED_CAP,$B88&gt;CARROT_BED_CAP,G$4&gt;MESCLUN_BED_CAP,$A88+$B88+G$4&gt;TOTAL_BEDS_AVAILABLE,($D88+G$5)&gt;TOTAL_LABOR_HOURS_CAP,MAX(0,($D88+G$5)-PERMANENT_FIELD_LABOR_HOURS)&gt;TEMP_HOURS_CAP),"",$C88+G$6-MIN(($D88+G$5),PERMANENT_FIELD_LABOR_HOURS)*PERMANENT_HOURLY_RATE-MAX(0,($D88+G$5)-PERMANENT_FIELD_LABOR_HOURS)*TEMP_HOURLY_RATE-FIXED_SEASON_COST)</f>
        <v>702.761082617504</v>
      </c>
      <c r="H88" s="53" t="n">
        <f aca="false">IF(OR($A88&gt;TOMATO_BED_CAP,$B88&gt;CARROT_BED_CAP,H$4&gt;MESCLUN_BED_CAP,$A88+$B88+H$4&gt;TOTAL_BEDS_AVAILABLE,($D88+H$5)&gt;TOTAL_LABOR_HOURS_CAP,MAX(0,($D88+H$5)-PERMANENT_FIELD_LABOR_HOURS)&gt;TEMP_HOURS_CAP),"",$C88+H$6-MIN(($D88+H$5),PERMANENT_FIELD_LABOR_HOURS)*PERMANENT_HOURLY_RATE-MAX(0,($D88+H$5)-PERMANENT_FIELD_LABOR_HOURS)*TEMP_HOURLY_RATE-FIXED_SEASON_COST)</f>
        <v>1712.02195761751</v>
      </c>
      <c r="I88" s="53" t="n">
        <f aca="false">IF(OR($A88&gt;TOMATO_BED_CAP,$B88&gt;CARROT_BED_CAP,I$4&gt;MESCLUN_BED_CAP,$A88+$B88+I$4&gt;TOTAL_BEDS_AVAILABLE,($D88+I$5)&gt;TOTAL_LABOR_HOURS_CAP,MAX(0,($D88+I$5)-PERMANENT_FIELD_LABOR_HOURS)&gt;TEMP_HOURS_CAP),"",$C88+I$6-MIN(($D88+I$5),PERMANENT_FIELD_LABOR_HOURS)*PERMANENT_HOURLY_RATE-MAX(0,($D88+I$5)-PERMANENT_FIELD_LABOR_HOURS)*TEMP_HOURLY_RATE-FIXED_SEASON_COST)</f>
        <v>2701.13794277376</v>
      </c>
      <c r="J88" s="53" t="n">
        <f aca="false">IF(OR($A88&gt;TOMATO_BED_CAP,$B88&gt;CARROT_BED_CAP,J$4&gt;MESCLUN_BED_CAP,$A88+$B88+J$4&gt;TOTAL_BEDS_AVAILABLE,($D88+J$5)&gt;TOTAL_LABOR_HOURS_CAP,MAX(0,($D88+J$5)-PERMANENT_FIELD_LABOR_HOURS)&gt;TEMP_HOURS_CAP),"",$C88+J$6-MIN(($D88+J$5),PERMANENT_FIELD_LABOR_HOURS)*PERMANENT_HOURLY_RATE-MAX(0,($D88+J$5)-PERMANENT_FIELD_LABOR_HOURS)*TEMP_HOURLY_RATE-FIXED_SEASON_COST)</f>
        <v>3669.73209382845</v>
      </c>
      <c r="K88" s="53" t="n">
        <f aca="false">IF(OR($A88&gt;TOMATO_BED_CAP,$B88&gt;CARROT_BED_CAP,K$4&gt;MESCLUN_BED_CAP,$A88+$B88+K$4&gt;TOTAL_BEDS_AVAILABLE,($D88+K$5)&gt;TOTAL_LABOR_HOURS_CAP,MAX(0,($D88+K$5)-PERMANENT_FIELD_LABOR_HOURS)&gt;TEMP_HOURS_CAP),"",$C88+K$6-MIN(($D88+K$5),PERMANENT_FIELD_LABOR_HOURS)*PERMANENT_HOURLY_RATE-MAX(0,($D88+K$5)-PERMANENT_FIELD_LABOR_HOURS)*TEMP_HOURLY_RATE-FIXED_SEASON_COST)</f>
        <v>4617.42119055635</v>
      </c>
      <c r="L88" s="53" t="n">
        <f aca="false">IF(OR($A88&gt;TOMATO_BED_CAP,$B88&gt;CARROT_BED_CAP,L$4&gt;MESCLUN_BED_CAP,$A88+$B88+L$4&gt;TOTAL_BEDS_AVAILABLE,($D88+L$5)&gt;TOTAL_LABOR_HOURS_CAP,MAX(0,($D88+L$5)-PERMANENT_FIELD_LABOR_HOURS)&gt;TEMP_HOURS_CAP),"",$C88+L$6-MIN(($D88+L$5),PERMANENT_FIELD_LABOR_HOURS)*PERMANENT_HOURLY_RATE-MAX(0,($D88+L$5)-PERMANENT_FIELD_LABOR_HOURS)*TEMP_HOURLY_RATE-FIXED_SEASON_COST)</f>
        <v>5543.8156387632</v>
      </c>
      <c r="M88" s="53" t="n">
        <f aca="false">IF(OR($A88&gt;TOMATO_BED_CAP,$B88&gt;CARROT_BED_CAP,M$4&gt;MESCLUN_BED_CAP,$A88+$B88+M$4&gt;TOTAL_BEDS_AVAILABLE,($D88+M$5)&gt;TOTAL_LABOR_HOURS_CAP,MAX(0,($D88+M$5)-PERMANENT_FIELD_LABOR_HOURS)&gt;TEMP_HOURS_CAP),"",$C88+M$6-MIN(($D88+M$5),PERMANENT_FIELD_LABOR_HOURS)*PERMANENT_HOURLY_RATE-MAX(0,($D88+M$5)-PERMANENT_FIELD_LABOR_HOURS)*TEMP_HOURLY_RATE-FIXED_SEASON_COST)</f>
        <v>6448.51937081461</v>
      </c>
      <c r="N88" s="53" t="n">
        <f aca="false">IF(OR($A88&gt;TOMATO_BED_CAP,$B88&gt;CARROT_BED_CAP,N$4&gt;MESCLUN_BED_CAP,$A88+$B88+N$4&gt;TOTAL_BEDS_AVAILABLE,($D88+N$5)&gt;TOTAL_LABOR_HOURS_CAP,MAX(0,($D88+N$5)-PERMANENT_FIELD_LABOR_HOURS)&gt;TEMP_HOURS_CAP),"",$C88+N$6-MIN(($D88+N$5),PERMANENT_FIELD_LABOR_HOURS)*PERMANENT_HOURLY_RATE-MAX(0,($D88+N$5)-PERMANENT_FIELD_LABOR_HOURS)*TEMP_HOURLY_RATE-FIXED_SEASON_COST)</f>
        <v>7331.12974467415</v>
      </c>
      <c r="O88" s="53" t="n">
        <f aca="false">IF(OR($A88&gt;TOMATO_BED_CAP,$B88&gt;CARROT_BED_CAP,O$4&gt;MESCLUN_BED_CAP,$A88+$B88+O$4&gt;TOTAL_BEDS_AVAILABLE,($D88+O$5)&gt;TOTAL_LABOR_HOURS_CAP,MAX(0,($D88+O$5)-PERMANENT_FIELD_LABOR_HOURS)&gt;TEMP_HOURS_CAP),"",$C88+O$6-MIN(($D88+O$5),PERMANENT_FIELD_LABOR_HOURS)*PERMANENT_HOURLY_RATE-MAX(0,($D88+O$5)-PERMANENT_FIELD_LABOR_HOURS)*TEMP_HOURLY_RATE-FIXED_SEASON_COST)</f>
        <v>8191.23744142891</v>
      </c>
      <c r="P88" s="53" t="n">
        <f aca="false">IF(OR($A88&gt;TOMATO_BED_CAP,$B88&gt;CARROT_BED_CAP,P$4&gt;MESCLUN_BED_CAP,$A88+$B88+P$4&gt;TOTAL_BEDS_AVAILABLE,($D88+P$5)&gt;TOTAL_LABOR_HOURS_CAP,MAX(0,($D88+P$5)-PERMANENT_FIELD_LABOR_HOURS)&gt;TEMP_HOURS_CAP),"",$C88+P$6-MIN(($D88+P$5),PERMANENT_FIELD_LABOR_HOURS)*PERMANENT_HOURLY_RATE-MAX(0,($D88+P$5)-PERMANENT_FIELD_LABOR_HOURS)*TEMP_HOURLY_RATE-FIXED_SEASON_COST)</f>
        <v>9028.42636128033</v>
      </c>
      <c r="Q88" s="53" t="n">
        <f aca="false">IF(OR($A88&gt;TOMATO_BED_CAP,$B88&gt;CARROT_BED_CAP,Q$4&gt;MESCLUN_BED_CAP,$A88+$B88+Q$4&gt;TOTAL_BEDS_AVAILABLE,($D88+Q$5)&gt;TOTAL_LABOR_HOURS_CAP,MAX(0,($D88+Q$5)-PERMANENT_FIELD_LABOR_HOURS)&gt;TEMP_HOURS_CAP),"",$C88+Q$6-MIN(($D88+Q$5),PERMANENT_FIELD_LABOR_HOURS)*PERMANENT_HOURLY_RATE-MAX(0,($D88+Q$5)-PERMANENT_FIELD_LABOR_HOURS)*TEMP_HOURLY_RATE-FIXED_SEASON_COST)</f>
        <v>9842.27351797823</v>
      </c>
      <c r="R88" s="53" t="n">
        <f aca="false">IF(OR($A88&gt;TOMATO_BED_CAP,$B88&gt;CARROT_BED_CAP,R$4&gt;MESCLUN_BED_CAP,$A88+$B88+R$4&gt;TOTAL_BEDS_AVAILABLE,($D88+R$5)&gt;TOTAL_LABOR_HOURS_CAP,MAX(0,($D88+R$5)-PERMANENT_FIELD_LABOR_HOURS)&gt;TEMP_HOURS_CAP),"",$C88+R$6-MIN(($D88+R$5),PERMANENT_FIELD_LABOR_HOURS)*PERMANENT_HOURLY_RATE-MAX(0,($D88+R$5)-PERMANENT_FIELD_LABOR_HOURS)*TEMP_HOURLY_RATE-FIXED_SEASON_COST)</f>
        <v>10632.348931675</v>
      </c>
      <c r="S88" s="53" t="n">
        <f aca="false">IF(OR($A88&gt;TOMATO_BED_CAP,$B88&gt;CARROT_BED_CAP,S$4&gt;MESCLUN_BED_CAP,$A88+$B88+S$4&gt;TOTAL_BEDS_AVAILABLE,($D88+S$5)&gt;TOTAL_LABOR_HOURS_CAP,MAX(0,($D88+S$5)-PERMANENT_FIELD_LABOR_HOURS)&gt;TEMP_HOURS_CAP),"",$C88+S$6-MIN(($D88+S$5),PERMANENT_FIELD_LABOR_HOURS)*PERMANENT_HOURLY_RATE-MAX(0,($D88+S$5)-PERMANENT_FIELD_LABOR_HOURS)*TEMP_HOURLY_RATE-FIXED_SEASON_COST)</f>
        <v>11398.2155201775</v>
      </c>
      <c r="T88" s="53" t="n">
        <f aca="false">IF(OR($A88&gt;TOMATO_BED_CAP,$B88&gt;CARROT_BED_CAP,T$4&gt;MESCLUN_BED_CAP,$A88+$B88+T$4&gt;TOTAL_BEDS_AVAILABLE,($D88+T$5)&gt;TOTAL_LABOR_HOURS_CAP,MAX(0,($D88+T$5)-PERMANENT_FIELD_LABOR_HOURS)&gt;TEMP_HOURS_CAP),"",$C88+T$6-MIN(($D88+T$5),PERMANENT_FIELD_LABOR_HOURS)*PERMANENT_HOURLY_RATE-MAX(0,($D88+T$5)-PERMANENT_FIELD_LABOR_HOURS)*TEMP_HOURLY_RATE-FIXED_SEASON_COST)</f>
        <v>12139.4289885723</v>
      </c>
      <c r="U88" s="53" t="n">
        <f aca="false">IF(OR($A88&gt;TOMATO_BED_CAP,$B88&gt;CARROT_BED_CAP,U$4&gt;MESCLUN_BED_CAP,$A88+$B88+U$4&gt;TOTAL_BEDS_AVAILABLE,($D88+U$5)&gt;TOTAL_LABOR_HOURS_CAP,MAX(0,($D88+U$5)-PERMANENT_FIELD_LABOR_HOURS)&gt;TEMP_HOURS_CAP),"",$C88+U$6-MIN(($D88+U$5),PERMANENT_FIELD_LABOR_HOURS)*PERMANENT_HOURLY_RATE-MAX(0,($D88+U$5)-PERMANENT_FIELD_LABOR_HOURS)*TEMP_HOURLY_RATE-FIXED_SEASON_COST)</f>
        <v>12855.5377172024</v>
      </c>
      <c r="V88" s="53" t="n">
        <f aca="false">IF(OR($A88&gt;TOMATO_BED_CAP,$B88&gt;CARROT_BED_CAP,V$4&gt;MESCLUN_BED_CAP,$A88+$B88+V$4&gt;TOTAL_BEDS_AVAILABLE,($D88+V$5)&gt;TOTAL_LABOR_HOURS_CAP,MAX(0,($D88+V$5)-PERMANENT_FIELD_LABOR_HOURS)&gt;TEMP_HOURS_CAP),"",$C88+V$6-MIN(($D88+V$5),PERMANENT_FIELD_LABOR_HOURS)*PERMANENT_HOURLY_RATE-MAX(0,($D88+V$5)-PERMANENT_FIELD_LABOR_HOURS)*TEMP_HOURLY_RATE-FIXED_SEASON_COST)</f>
        <v>13546.0826479692</v>
      </c>
      <c r="W88" s="53" t="n">
        <f aca="false">IF(OR($A88&gt;TOMATO_BED_CAP,$B88&gt;CARROT_BED_CAP,W$4&gt;MESCLUN_BED_CAP,$A88+$B88+W$4&gt;TOTAL_BEDS_AVAILABLE,($D88+W$5)&gt;TOTAL_LABOR_HOURS_CAP,MAX(0,($D88+W$5)-PERMANENT_FIELD_LABOR_HOURS)&gt;TEMP_HOURS_CAP),"",$C88+W$6-MIN(($D88+W$5),PERMANENT_FIELD_LABOR_HOURS)*PERMANENT_HOURLY_RATE-MAX(0,($D88+W$5)-PERMANENT_FIELD_LABOR_HOURS)*TEMP_HOURLY_RATE-FIXED_SEASON_COST)</f>
        <v>14210.5971689373</v>
      </c>
      <c r="X88" s="53" t="n">
        <f aca="false">IF(OR($A88&gt;TOMATO_BED_CAP,$B88&gt;CARROT_BED_CAP,X$4&gt;MESCLUN_BED_CAP,$A88+$B88+X$4&gt;TOTAL_BEDS_AVAILABLE,($D88+X$5)&gt;TOTAL_LABOR_HOURS_CAP,MAX(0,($D88+X$5)-PERMANENT_FIELD_LABOR_HOURS)&gt;TEMP_HOURS_CAP),"",$C88+X$6-MIN(($D88+X$5),PERMANENT_FIELD_LABOR_HOURS)*PERMANENT_HOURLY_RATE-MAX(0,($D88+X$5)-PERMANENT_FIELD_LABOR_HOURS)*TEMP_HOURLY_RATE-FIXED_SEASON_COST)</f>
        <v>14848.6069972162</v>
      </c>
      <c r="Y88" s="53" t="n">
        <f aca="false">IF(OR($A88&gt;TOMATO_BED_CAP,$B88&gt;CARROT_BED_CAP,Y$4&gt;MESCLUN_BED_CAP,$A88+$B88+Y$4&gt;TOTAL_BEDS_AVAILABLE,($D88+Y$5)&gt;TOTAL_LABOR_HOURS_CAP,MAX(0,($D88+Y$5)-PERMANENT_FIELD_LABOR_HOURS)&gt;TEMP_HOURS_CAP),"",$C88+Y$6-MIN(($D88+Y$5),PERMANENT_FIELD_LABOR_HOURS)*PERMANENT_HOURLY_RATE-MAX(0,($D88+Y$5)-PERMANENT_FIELD_LABOR_HOURS)*TEMP_HOURLY_RATE-FIXED_SEASON_COST)</f>
        <v>15459.6300600949</v>
      </c>
      <c r="Z88" s="53" t="n">
        <f aca="false">IF(OR($A88&gt;TOMATO_BED_CAP,$B88&gt;CARROT_BED_CAP,Z$4&gt;MESCLUN_BED_CAP,$A88+$B88+Z$4&gt;TOTAL_BEDS_AVAILABLE,($D88+Z$5)&gt;TOTAL_LABOR_HOURS_CAP,MAX(0,($D88+Z$5)-PERMANENT_FIELD_LABOR_HOURS)&gt;TEMP_HOURS_CAP),"",$C88+Z$6-MIN(($D88+Z$5),PERMANENT_FIELD_LABOR_HOURS)*PERMANENT_HOURLY_RATE-MAX(0,($D88+Z$5)-PERMANENT_FIELD_LABOR_HOURS)*TEMP_HOURLY_RATE-FIXED_SEASON_COST)</f>
        <v>16043.1763744026</v>
      </c>
      <c r="AA88" s="53" t="n">
        <f aca="false">IF(OR($A88&gt;TOMATO_BED_CAP,$B88&gt;CARROT_BED_CAP,AA$4&gt;MESCLUN_BED_CAP,$A88+$B88+AA$4&gt;TOTAL_BEDS_AVAILABLE,($D88+AA$5)&gt;TOTAL_LABOR_HOURS_CAP,MAX(0,($D88+AA$5)-PERMANENT_FIELD_LABOR_HOURS)&gt;TEMP_HOURS_CAP),"",$C88+AA$6-MIN(($D88+AA$5),PERMANENT_FIELD_LABOR_HOURS)*PERMANENT_HOURLY_RATE-MAX(0,($D88+AA$5)-PERMANENT_FIELD_LABOR_HOURS)*TEMP_HOURLY_RATE-FIXED_SEASON_COST)</f>
        <v>16598.7479240715</v>
      </c>
      <c r="AB88" s="53" t="n">
        <f aca="false">IF(OR($A88&gt;TOMATO_BED_CAP,$B88&gt;CARROT_BED_CAP,AB$4&gt;MESCLUN_BED_CAP,$A88+$B88+AB$4&gt;TOTAL_BEDS_AVAILABLE,($D88+AB$5)&gt;TOTAL_LABOR_HOURS_CAP,MAX(0,($D88+AB$5)-PERMANENT_FIELD_LABOR_HOURS)&gt;TEMP_HOURS_CAP),"",$C88+AB$6-MIN(($D88+AB$5),PERMANENT_FIELD_LABOR_HOURS)*PERMANENT_HOURLY_RATE-MAX(0,($D88+AB$5)-PERMANENT_FIELD_LABOR_HOURS)*TEMP_HOURLY_RATE-FIXED_SEASON_COST)</f>
        <v>17125.8385358741</v>
      </c>
      <c r="AC88" s="53" t="n">
        <f aca="false">IF(OR($A88&gt;TOMATO_BED_CAP,$B88&gt;CARROT_BED_CAP,AC$4&gt;MESCLUN_BED_CAP,$A88+$B88+AC$4&gt;TOTAL_BEDS_AVAILABLE,($D88+AC$5)&gt;TOTAL_LABOR_HOURS_CAP,MAX(0,($D88+AC$5)-PERMANENT_FIELD_LABOR_HOURS)&gt;TEMP_HOURS_CAP),"",$C88+AC$6-MIN(($D88+AC$5),PERMANENT_FIELD_LABOR_HOURS)*PERMANENT_HOURLY_RATE-MAX(0,($D88+AC$5)-PERMANENT_FIELD_LABOR_HOURS)*TEMP_HOURLY_RATE-FIXED_SEASON_COST)</f>
        <v>17623.933753309</v>
      </c>
      <c r="AD88" s="53" t="n">
        <f aca="false">IF(OR($A88&gt;TOMATO_BED_CAP,$B88&gt;CARROT_BED_CAP,AD$4&gt;MESCLUN_BED_CAP,$A88+$B88+AD$4&gt;TOTAL_BEDS_AVAILABLE,($D88+AD$5)&gt;TOTAL_LABOR_HOURS_CAP,MAX(0,($D88+AD$5)-PERMANENT_FIELD_LABOR_HOURS)&gt;TEMP_HOURS_CAP),"",$C88+AD$6-MIN(($D88+AD$5),PERMANENT_FIELD_LABOR_HOURS)*PERMANENT_HOURLY_RATE-MAX(0,($D88+AD$5)-PERMANENT_FIELD_LABOR_HOURS)*TEMP_HOURLY_RATE-FIXED_SEASON_COST)</f>
        <v>18092.510708609</v>
      </c>
      <c r="AE88" s="53" t="n">
        <f aca="false">IF(OR($A88&gt;TOMATO_BED_CAP,$B88&gt;CARROT_BED_CAP,AE$4&gt;MESCLUN_BED_CAP,$A88+$B88+AE$4&gt;TOTAL_BEDS_AVAILABLE,($D88+AE$5)&gt;TOTAL_LABOR_HOURS_CAP,MAX(0,($D88+AE$5)-PERMANENT_FIELD_LABOR_HOURS)&gt;TEMP_HOURS_CAP),"",$C88+AE$6-MIN(($D88+AE$5),PERMANENT_FIELD_LABOR_HOURS)*PERMANENT_HOURLY_RATE-MAX(0,($D88+AE$5)-PERMANENT_FIELD_LABOR_HOURS)*TEMP_HOURLY_RATE-FIXED_SEASON_COST)</f>
        <v>18531.0379928428</v>
      </c>
      <c r="AF88" s="53" t="n">
        <f aca="false">IF(OR($A88&gt;TOMATO_BED_CAP,$B88&gt;CARROT_BED_CAP,AF$4&gt;MESCLUN_BED_CAP,$A88+$B88+AF$4&gt;TOTAL_BEDS_AVAILABLE,($D88+AF$5)&gt;TOTAL_LABOR_HOURS_CAP,MAX(0,($D88+AF$5)-PERMANENT_FIELD_LABOR_HOURS)&gt;TEMP_HOURS_CAP),"",$C88+AF$6-MIN(($D88+AF$5),PERMANENT_FIELD_LABOR_HOURS)*PERMANENT_HOURLY_RATE-MAX(0,($D88+AF$5)-PERMANENT_FIELD_LABOR_HOURS)*TEMP_HOURLY_RATE-FIXED_SEASON_COST)</f>
        <v>18938.9755240848</v>
      </c>
      <c r="AG88" s="53" t="n">
        <f aca="false">IF(OR($A88&gt;TOMATO_BED_CAP,$B88&gt;CARROT_BED_CAP,AG$4&gt;MESCLUN_BED_CAP,$A88+$B88+AG$4&gt;TOTAL_BEDS_AVAILABLE,($D88+AG$5)&gt;TOTAL_LABOR_HOURS_CAP,MAX(0,($D88+AG$5)-PERMANENT_FIELD_LABOR_HOURS)&gt;TEMP_HOURS_CAP),"",$C88+AG$6-MIN(($D88+AG$5),PERMANENT_FIELD_LABOR_HOURS)*PERMANENT_HOURLY_RATE-MAX(0,($D88+AG$5)-PERMANENT_FIELD_LABOR_HOURS)*TEMP_HOURLY_RATE-FIXED_SEASON_COST)</f>
        <v>19315.7744136218</v>
      </c>
      <c r="AH88" s="53" t="n">
        <f aca="false">IF(OR($A88&gt;TOMATO_BED_CAP,$B88&gt;CARROT_BED_CAP,AH$4&gt;MESCLUN_BED_CAP,$A88+$B88+AH$4&gt;TOTAL_BEDS_AVAILABLE,($D88+AH$5)&gt;TOTAL_LABOR_HOURS_CAP,MAX(0,($D88+AH$5)-PERMANENT_FIELD_LABOR_HOURS)&gt;TEMP_HOURS_CAP),"",$C88+AH$6-MIN(($D88+AH$5),PERMANENT_FIELD_LABOR_HOURS)*PERMANENT_HOURLY_RATE-MAX(0,($D88+AH$5)-PERMANENT_FIELD_LABOR_HOURS)*TEMP_HOURLY_RATE-FIXED_SEASON_COST)</f>
        <v>19660.876830172</v>
      </c>
      <c r="AI88" s="53" t="n">
        <f aca="false">IF(OR($A88&gt;TOMATO_BED_CAP,$B88&gt;CARROT_BED_CAP,AI$4&gt;MESCLUN_BED_CAP,$A88+$B88+AI$4&gt;TOTAL_BEDS_AVAILABLE,($D88+AI$5)&gt;TOTAL_LABOR_HOURS_CAP,MAX(0,($D88+AI$5)-PERMANENT_FIELD_LABOR_HOURS)&gt;TEMP_HOURS_CAP),"",$C88+AI$6-MIN(($D88+AI$5),PERMANENT_FIELD_LABOR_HOURS)*PERMANENT_HOURLY_RATE-MAX(0,($D88+AI$5)-PERMANENT_FIELD_LABOR_HOURS)*TEMP_HOURLY_RATE-FIXED_SEASON_COST)</f>
        <v>19973.7158620843</v>
      </c>
      <c r="AJ88" s="53" t="n">
        <f aca="false">IF(OR($A88&gt;TOMATO_BED_CAP,$B88&gt;CARROT_BED_CAP,AJ$4&gt;MESCLUN_BED_CAP,$A88+$B88+AJ$4&gt;TOTAL_BEDS_AVAILABLE,($D88+AJ$5)&gt;TOTAL_LABOR_HOURS_CAP,MAX(0,($D88+AJ$5)-PERMANENT_FIELD_LABOR_HOURS)&gt;TEMP_HOURS_CAP),"",$C88+AJ$6-MIN(($D88+AJ$5),PERMANENT_FIELD_LABOR_HOURS)*PERMANENT_HOURLY_RATE-MAX(0,($D88+AJ$5)-PERMANENT_FIELD_LABOR_HOURS)*TEMP_HOURLY_RATE-FIXED_SEASON_COST)</f>
        <v>20253.7153774901</v>
      </c>
    </row>
    <row r="89" customFormat="false" ht="15" hidden="false" customHeight="false" outlineLevel="0" collapsed="false">
      <c r="A89" s="21" t="n">
        <f aca="false">INT((ROW()-ROW($A$8))/(20+1))</f>
        <v>3</v>
      </c>
      <c r="B89" s="21" t="n">
        <f aca="false">MOD(ROW()-ROW($A$8),20+1)</f>
        <v>18</v>
      </c>
      <c r="C89" s="13" t="n">
        <f aca="false">A89*(TOMATO_REVENUE_PER_BED-TOMATO_FERTILIZER_PER_BED)+B89*(CARROT_REVENUE_PER_BED-CARROT_FERTILIZER_PER_BED)</f>
        <v>53532</v>
      </c>
      <c r="D89" s="14" t="n">
        <f aca="false">INDEX(TOMATO_SCHED_LABOR_HRS,A89+1)+INDEX(CARROT_SCHED_LABOR_HRS,B89+1)</f>
        <v>1201.24882127849</v>
      </c>
      <c r="E89" s="13" t="n">
        <f aca="false">IF(COUNT(F89:AJ89)=0,"",MAX(F89:AJ89))</f>
        <v>20759.109757478</v>
      </c>
      <c r="F89" s="53" t="n">
        <f aca="false">IF(OR($A89&gt;TOMATO_BED_CAP,$B89&gt;CARROT_BED_CAP,F$4&gt;MESCLUN_BED_CAP,$A89+$B89+F$4&gt;TOTAL_BEDS_AVAILABLE,($D89+F$5)&gt;TOTAL_LABOR_HOURS_CAP,MAX(0,($D89+F$5)-PERMANENT_FIELD_LABOR_HOURS)&gt;TEMP_HOURS_CAP),"",$C89+F$6-MIN(($D89+F$5),PERMANENT_FIELD_LABOR_HOURS)*PERMANENT_HOURLY_RATE-MAX(0,($D89+F$5)-PERMANENT_FIELD_LABOR_HOURS)*TEMP_HOURLY_RATE-FIXED_SEASON_COST)</f>
        <v>179.120462605468</v>
      </c>
      <c r="G89" s="53" t="n">
        <f aca="false">IF(OR($A89&gt;TOMATO_BED_CAP,$B89&gt;CARROT_BED_CAP,G$4&gt;MESCLUN_BED_CAP,$A89+$B89+G$4&gt;TOTAL_BEDS_AVAILABLE,($D89+G$5)&gt;TOTAL_LABOR_HOURS_CAP,MAX(0,($D89+G$5)-PERMANENT_FIELD_LABOR_HOURS)&gt;TEMP_HOURS_CAP),"",$C89+G$6-MIN(($D89+G$5),PERMANENT_FIELD_LABOR_HOURS)*PERMANENT_HOURLY_RATE-MAX(0,($D89+G$5)-PERMANENT_FIELD_LABOR_HOURS)*TEMP_HOURLY_RATE-FIXED_SEASON_COST)</f>
        <v>1208.15546260547</v>
      </c>
      <c r="H89" s="53" t="n">
        <f aca="false">IF(OR($A89&gt;TOMATO_BED_CAP,$B89&gt;CARROT_BED_CAP,H$4&gt;MESCLUN_BED_CAP,$A89+$B89+H$4&gt;TOTAL_BEDS_AVAILABLE,($D89+H$5)&gt;TOTAL_LABOR_HOURS_CAP,MAX(0,($D89+H$5)-PERMANENT_FIELD_LABOR_HOURS)&gt;TEMP_HOURS_CAP),"",$C89+H$6-MIN(($D89+H$5),PERMANENT_FIELD_LABOR_HOURS)*PERMANENT_HOURLY_RATE-MAX(0,($D89+H$5)-PERMANENT_FIELD_LABOR_HOURS)*TEMP_HOURLY_RATE-FIXED_SEASON_COST)</f>
        <v>2217.41633760547</v>
      </c>
      <c r="I89" s="53" t="n">
        <f aca="false">IF(OR($A89&gt;TOMATO_BED_CAP,$B89&gt;CARROT_BED_CAP,I$4&gt;MESCLUN_BED_CAP,$A89+$B89+I$4&gt;TOTAL_BEDS_AVAILABLE,($D89+I$5)&gt;TOTAL_LABOR_HOURS_CAP,MAX(0,($D89+I$5)-PERMANENT_FIELD_LABOR_HOURS)&gt;TEMP_HOURS_CAP),"",$C89+I$6-MIN(($D89+I$5),PERMANENT_FIELD_LABOR_HOURS)*PERMANENT_HOURLY_RATE-MAX(0,($D89+I$5)-PERMANENT_FIELD_LABOR_HOURS)*TEMP_HOURLY_RATE-FIXED_SEASON_COST)</f>
        <v>3206.53232276172</v>
      </c>
      <c r="J89" s="53" t="n">
        <f aca="false">IF(OR($A89&gt;TOMATO_BED_CAP,$B89&gt;CARROT_BED_CAP,J$4&gt;MESCLUN_BED_CAP,$A89+$B89+J$4&gt;TOTAL_BEDS_AVAILABLE,($D89+J$5)&gt;TOTAL_LABOR_HOURS_CAP,MAX(0,($D89+J$5)-PERMANENT_FIELD_LABOR_HOURS)&gt;TEMP_HOURS_CAP),"",$C89+J$6-MIN(($D89+J$5),PERMANENT_FIELD_LABOR_HOURS)*PERMANENT_HOURLY_RATE-MAX(0,($D89+J$5)-PERMANENT_FIELD_LABOR_HOURS)*TEMP_HOURLY_RATE-FIXED_SEASON_COST)</f>
        <v>4175.12647381641</v>
      </c>
      <c r="K89" s="53" t="n">
        <f aca="false">IF(OR($A89&gt;TOMATO_BED_CAP,$B89&gt;CARROT_BED_CAP,K$4&gt;MESCLUN_BED_CAP,$A89+$B89+K$4&gt;TOTAL_BEDS_AVAILABLE,($D89+K$5)&gt;TOTAL_LABOR_HOURS_CAP,MAX(0,($D89+K$5)-PERMANENT_FIELD_LABOR_HOURS)&gt;TEMP_HOURS_CAP),"",$C89+K$6-MIN(($D89+K$5),PERMANENT_FIELD_LABOR_HOURS)*PERMANENT_HOURLY_RATE-MAX(0,($D89+K$5)-PERMANENT_FIELD_LABOR_HOURS)*TEMP_HOURLY_RATE-FIXED_SEASON_COST)</f>
        <v>5122.81557054431</v>
      </c>
      <c r="L89" s="53" t="n">
        <f aca="false">IF(OR($A89&gt;TOMATO_BED_CAP,$B89&gt;CARROT_BED_CAP,L$4&gt;MESCLUN_BED_CAP,$A89+$B89+L$4&gt;TOTAL_BEDS_AVAILABLE,($D89+L$5)&gt;TOTAL_LABOR_HOURS_CAP,MAX(0,($D89+L$5)-PERMANENT_FIELD_LABOR_HOURS)&gt;TEMP_HOURS_CAP),"",$C89+L$6-MIN(($D89+L$5),PERMANENT_FIELD_LABOR_HOURS)*PERMANENT_HOURLY_RATE-MAX(0,($D89+L$5)-PERMANENT_FIELD_LABOR_HOURS)*TEMP_HOURLY_RATE-FIXED_SEASON_COST)</f>
        <v>6049.21001875117</v>
      </c>
      <c r="M89" s="53" t="n">
        <f aca="false">IF(OR($A89&gt;TOMATO_BED_CAP,$B89&gt;CARROT_BED_CAP,M$4&gt;MESCLUN_BED_CAP,$A89+$B89+M$4&gt;TOTAL_BEDS_AVAILABLE,($D89+M$5)&gt;TOTAL_LABOR_HOURS_CAP,MAX(0,($D89+M$5)-PERMANENT_FIELD_LABOR_HOURS)&gt;TEMP_HOURS_CAP),"",$C89+M$6-MIN(($D89+M$5),PERMANENT_FIELD_LABOR_HOURS)*PERMANENT_HOURLY_RATE-MAX(0,($D89+M$5)-PERMANENT_FIELD_LABOR_HOURS)*TEMP_HOURLY_RATE-FIXED_SEASON_COST)</f>
        <v>6953.91375080257</v>
      </c>
      <c r="N89" s="53" t="n">
        <f aca="false">IF(OR($A89&gt;TOMATO_BED_CAP,$B89&gt;CARROT_BED_CAP,N$4&gt;MESCLUN_BED_CAP,$A89+$B89+N$4&gt;TOTAL_BEDS_AVAILABLE,($D89+N$5)&gt;TOTAL_LABOR_HOURS_CAP,MAX(0,($D89+N$5)-PERMANENT_FIELD_LABOR_HOURS)&gt;TEMP_HOURS_CAP),"",$C89+N$6-MIN(($D89+N$5),PERMANENT_FIELD_LABOR_HOURS)*PERMANENT_HOURLY_RATE-MAX(0,($D89+N$5)-PERMANENT_FIELD_LABOR_HOURS)*TEMP_HOURLY_RATE-FIXED_SEASON_COST)</f>
        <v>7836.52412466212</v>
      </c>
      <c r="O89" s="53" t="n">
        <f aca="false">IF(OR($A89&gt;TOMATO_BED_CAP,$B89&gt;CARROT_BED_CAP,O$4&gt;MESCLUN_BED_CAP,$A89+$B89+O$4&gt;TOTAL_BEDS_AVAILABLE,($D89+O$5)&gt;TOTAL_LABOR_HOURS_CAP,MAX(0,($D89+O$5)-PERMANENT_FIELD_LABOR_HOURS)&gt;TEMP_HOURS_CAP),"",$C89+O$6-MIN(($D89+O$5),PERMANENT_FIELD_LABOR_HOURS)*PERMANENT_HOURLY_RATE-MAX(0,($D89+O$5)-PERMANENT_FIELD_LABOR_HOURS)*TEMP_HOURLY_RATE-FIXED_SEASON_COST)</f>
        <v>8696.63182141688</v>
      </c>
      <c r="P89" s="53" t="n">
        <f aca="false">IF(OR($A89&gt;TOMATO_BED_CAP,$B89&gt;CARROT_BED_CAP,P$4&gt;MESCLUN_BED_CAP,$A89+$B89+P$4&gt;TOTAL_BEDS_AVAILABLE,($D89+P$5)&gt;TOTAL_LABOR_HOURS_CAP,MAX(0,($D89+P$5)-PERMANENT_FIELD_LABOR_HOURS)&gt;TEMP_HOURS_CAP),"",$C89+P$6-MIN(($D89+P$5),PERMANENT_FIELD_LABOR_HOURS)*PERMANENT_HOURLY_RATE-MAX(0,($D89+P$5)-PERMANENT_FIELD_LABOR_HOURS)*TEMP_HOURLY_RATE-FIXED_SEASON_COST)</f>
        <v>9533.8207412683</v>
      </c>
      <c r="Q89" s="53" t="n">
        <f aca="false">IF(OR($A89&gt;TOMATO_BED_CAP,$B89&gt;CARROT_BED_CAP,Q$4&gt;MESCLUN_BED_CAP,$A89+$B89+Q$4&gt;TOTAL_BEDS_AVAILABLE,($D89+Q$5)&gt;TOTAL_LABOR_HOURS_CAP,MAX(0,($D89+Q$5)-PERMANENT_FIELD_LABOR_HOURS)&gt;TEMP_HOURS_CAP),"",$C89+Q$6-MIN(($D89+Q$5),PERMANENT_FIELD_LABOR_HOURS)*PERMANENT_HOURLY_RATE-MAX(0,($D89+Q$5)-PERMANENT_FIELD_LABOR_HOURS)*TEMP_HOURLY_RATE-FIXED_SEASON_COST)</f>
        <v>10347.6678979662</v>
      </c>
      <c r="R89" s="53" t="n">
        <f aca="false">IF(OR($A89&gt;TOMATO_BED_CAP,$B89&gt;CARROT_BED_CAP,R$4&gt;MESCLUN_BED_CAP,$A89+$B89+R$4&gt;TOTAL_BEDS_AVAILABLE,($D89+R$5)&gt;TOTAL_LABOR_HOURS_CAP,MAX(0,($D89+R$5)-PERMANENT_FIELD_LABOR_HOURS)&gt;TEMP_HOURS_CAP),"",$C89+R$6-MIN(($D89+R$5),PERMANENT_FIELD_LABOR_HOURS)*PERMANENT_HOURLY_RATE-MAX(0,($D89+R$5)-PERMANENT_FIELD_LABOR_HOURS)*TEMP_HOURLY_RATE-FIXED_SEASON_COST)</f>
        <v>11137.743311663</v>
      </c>
      <c r="S89" s="53" t="n">
        <f aca="false">IF(OR($A89&gt;TOMATO_BED_CAP,$B89&gt;CARROT_BED_CAP,S$4&gt;MESCLUN_BED_CAP,$A89+$B89+S$4&gt;TOTAL_BEDS_AVAILABLE,($D89+S$5)&gt;TOTAL_LABOR_HOURS_CAP,MAX(0,($D89+S$5)-PERMANENT_FIELD_LABOR_HOURS)&gt;TEMP_HOURS_CAP),"",$C89+S$6-MIN(($D89+S$5),PERMANENT_FIELD_LABOR_HOURS)*PERMANENT_HOURLY_RATE-MAX(0,($D89+S$5)-PERMANENT_FIELD_LABOR_HOURS)*TEMP_HOURLY_RATE-FIXED_SEASON_COST)</f>
        <v>11903.6099001654</v>
      </c>
      <c r="T89" s="53" t="n">
        <f aca="false">IF(OR($A89&gt;TOMATO_BED_CAP,$B89&gt;CARROT_BED_CAP,T$4&gt;MESCLUN_BED_CAP,$A89+$B89+T$4&gt;TOTAL_BEDS_AVAILABLE,($D89+T$5)&gt;TOTAL_LABOR_HOURS_CAP,MAX(0,($D89+T$5)-PERMANENT_FIELD_LABOR_HOURS)&gt;TEMP_HOURS_CAP),"",$C89+T$6-MIN(($D89+T$5),PERMANENT_FIELD_LABOR_HOURS)*PERMANENT_HOURLY_RATE-MAX(0,($D89+T$5)-PERMANENT_FIELD_LABOR_HOURS)*TEMP_HOURLY_RATE-FIXED_SEASON_COST)</f>
        <v>12644.8233685603</v>
      </c>
      <c r="U89" s="53" t="n">
        <f aca="false">IF(OR($A89&gt;TOMATO_BED_CAP,$B89&gt;CARROT_BED_CAP,U$4&gt;MESCLUN_BED_CAP,$A89+$B89+U$4&gt;TOTAL_BEDS_AVAILABLE,($D89+U$5)&gt;TOTAL_LABOR_HOURS_CAP,MAX(0,($D89+U$5)-PERMANENT_FIELD_LABOR_HOURS)&gt;TEMP_HOURS_CAP),"",$C89+U$6-MIN(($D89+U$5),PERMANENT_FIELD_LABOR_HOURS)*PERMANENT_HOURLY_RATE-MAX(0,($D89+U$5)-PERMANENT_FIELD_LABOR_HOURS)*TEMP_HOURLY_RATE-FIXED_SEASON_COST)</f>
        <v>13360.9320971904</v>
      </c>
      <c r="V89" s="53" t="n">
        <f aca="false">IF(OR($A89&gt;TOMATO_BED_CAP,$B89&gt;CARROT_BED_CAP,V$4&gt;MESCLUN_BED_CAP,$A89+$B89+V$4&gt;TOTAL_BEDS_AVAILABLE,($D89+V$5)&gt;TOTAL_LABOR_HOURS_CAP,MAX(0,($D89+V$5)-PERMANENT_FIELD_LABOR_HOURS)&gt;TEMP_HOURS_CAP),"",$C89+V$6-MIN(($D89+V$5),PERMANENT_FIELD_LABOR_HOURS)*PERMANENT_HOURLY_RATE-MAX(0,($D89+V$5)-PERMANENT_FIELD_LABOR_HOURS)*TEMP_HOURLY_RATE-FIXED_SEASON_COST)</f>
        <v>14051.4770279572</v>
      </c>
      <c r="W89" s="53" t="n">
        <f aca="false">IF(OR($A89&gt;TOMATO_BED_CAP,$B89&gt;CARROT_BED_CAP,W$4&gt;MESCLUN_BED_CAP,$A89+$B89+W$4&gt;TOTAL_BEDS_AVAILABLE,($D89+W$5)&gt;TOTAL_LABOR_HOURS_CAP,MAX(0,($D89+W$5)-PERMANENT_FIELD_LABOR_HOURS)&gt;TEMP_HOURS_CAP),"",$C89+W$6-MIN(($D89+W$5),PERMANENT_FIELD_LABOR_HOURS)*PERMANENT_HOURLY_RATE-MAX(0,($D89+W$5)-PERMANENT_FIELD_LABOR_HOURS)*TEMP_HOURLY_RATE-FIXED_SEASON_COST)</f>
        <v>14715.9915489252</v>
      </c>
      <c r="X89" s="53" t="n">
        <f aca="false">IF(OR($A89&gt;TOMATO_BED_CAP,$B89&gt;CARROT_BED_CAP,X$4&gt;MESCLUN_BED_CAP,$A89+$B89+X$4&gt;TOTAL_BEDS_AVAILABLE,($D89+X$5)&gt;TOTAL_LABOR_HOURS_CAP,MAX(0,($D89+X$5)-PERMANENT_FIELD_LABOR_HOURS)&gt;TEMP_HOURS_CAP),"",$C89+X$6-MIN(($D89+X$5),PERMANENT_FIELD_LABOR_HOURS)*PERMANENT_HOURLY_RATE-MAX(0,($D89+X$5)-PERMANENT_FIELD_LABOR_HOURS)*TEMP_HOURLY_RATE-FIXED_SEASON_COST)</f>
        <v>15354.0013772042</v>
      </c>
      <c r="Y89" s="53" t="n">
        <f aca="false">IF(OR($A89&gt;TOMATO_BED_CAP,$B89&gt;CARROT_BED_CAP,Y$4&gt;MESCLUN_BED_CAP,$A89+$B89+Y$4&gt;TOTAL_BEDS_AVAILABLE,($D89+Y$5)&gt;TOTAL_LABOR_HOURS_CAP,MAX(0,($D89+Y$5)-PERMANENT_FIELD_LABOR_HOURS)&gt;TEMP_HOURS_CAP),"",$C89+Y$6-MIN(($D89+Y$5),PERMANENT_FIELD_LABOR_HOURS)*PERMANENT_HOURLY_RATE-MAX(0,($D89+Y$5)-PERMANENT_FIELD_LABOR_HOURS)*TEMP_HOURLY_RATE-FIXED_SEASON_COST)</f>
        <v>15965.0244400828</v>
      </c>
      <c r="Z89" s="53" t="n">
        <f aca="false">IF(OR($A89&gt;TOMATO_BED_CAP,$B89&gt;CARROT_BED_CAP,Z$4&gt;MESCLUN_BED_CAP,$A89+$B89+Z$4&gt;TOTAL_BEDS_AVAILABLE,($D89+Z$5)&gt;TOTAL_LABOR_HOURS_CAP,MAX(0,($D89+Z$5)-PERMANENT_FIELD_LABOR_HOURS)&gt;TEMP_HOURS_CAP),"",$C89+Z$6-MIN(($D89+Z$5),PERMANENT_FIELD_LABOR_HOURS)*PERMANENT_HOURLY_RATE-MAX(0,($D89+Z$5)-PERMANENT_FIELD_LABOR_HOURS)*TEMP_HOURLY_RATE-FIXED_SEASON_COST)</f>
        <v>16548.5707543905</v>
      </c>
      <c r="AA89" s="53" t="n">
        <f aca="false">IF(OR($A89&gt;TOMATO_BED_CAP,$B89&gt;CARROT_BED_CAP,AA$4&gt;MESCLUN_BED_CAP,$A89+$B89+AA$4&gt;TOTAL_BEDS_AVAILABLE,($D89+AA$5)&gt;TOTAL_LABOR_HOURS_CAP,MAX(0,($D89+AA$5)-PERMANENT_FIELD_LABOR_HOURS)&gt;TEMP_HOURS_CAP),"",$C89+AA$6-MIN(($D89+AA$5),PERMANENT_FIELD_LABOR_HOURS)*PERMANENT_HOURLY_RATE-MAX(0,($D89+AA$5)-PERMANENT_FIELD_LABOR_HOURS)*TEMP_HOURLY_RATE-FIXED_SEASON_COST)</f>
        <v>17104.1423040595</v>
      </c>
      <c r="AB89" s="53" t="n">
        <f aca="false">IF(OR($A89&gt;TOMATO_BED_CAP,$B89&gt;CARROT_BED_CAP,AB$4&gt;MESCLUN_BED_CAP,$A89+$B89+AB$4&gt;TOTAL_BEDS_AVAILABLE,($D89+AB$5)&gt;TOTAL_LABOR_HOURS_CAP,MAX(0,($D89+AB$5)-PERMANENT_FIELD_LABOR_HOURS)&gt;TEMP_HOURS_CAP),"",$C89+AB$6-MIN(($D89+AB$5),PERMANENT_FIELD_LABOR_HOURS)*PERMANENT_HOURLY_RATE-MAX(0,($D89+AB$5)-PERMANENT_FIELD_LABOR_HOURS)*TEMP_HOURLY_RATE-FIXED_SEASON_COST)</f>
        <v>17631.2329158621</v>
      </c>
      <c r="AC89" s="53" t="n">
        <f aca="false">IF(OR($A89&gt;TOMATO_BED_CAP,$B89&gt;CARROT_BED_CAP,AC$4&gt;MESCLUN_BED_CAP,$A89+$B89+AC$4&gt;TOTAL_BEDS_AVAILABLE,($D89+AC$5)&gt;TOTAL_LABOR_HOURS_CAP,MAX(0,($D89+AC$5)-PERMANENT_FIELD_LABOR_HOURS)&gt;TEMP_HOURS_CAP),"",$C89+AC$6-MIN(($D89+AC$5),PERMANENT_FIELD_LABOR_HOURS)*PERMANENT_HOURLY_RATE-MAX(0,($D89+AC$5)-PERMANENT_FIELD_LABOR_HOURS)*TEMP_HOURLY_RATE-FIXED_SEASON_COST)</f>
        <v>18129.328133297</v>
      </c>
      <c r="AD89" s="53" t="n">
        <f aca="false">IF(OR($A89&gt;TOMATO_BED_CAP,$B89&gt;CARROT_BED_CAP,AD$4&gt;MESCLUN_BED_CAP,$A89+$B89+AD$4&gt;TOTAL_BEDS_AVAILABLE,($D89+AD$5)&gt;TOTAL_LABOR_HOURS_CAP,MAX(0,($D89+AD$5)-PERMANENT_FIELD_LABOR_HOURS)&gt;TEMP_HOURS_CAP),"",$C89+AD$6-MIN(($D89+AD$5),PERMANENT_FIELD_LABOR_HOURS)*PERMANENT_HOURLY_RATE-MAX(0,($D89+AD$5)-PERMANENT_FIELD_LABOR_HOURS)*TEMP_HOURLY_RATE-FIXED_SEASON_COST)</f>
        <v>18597.9050885969</v>
      </c>
      <c r="AE89" s="53" t="n">
        <f aca="false">IF(OR($A89&gt;TOMATO_BED_CAP,$B89&gt;CARROT_BED_CAP,AE$4&gt;MESCLUN_BED_CAP,$A89+$B89+AE$4&gt;TOTAL_BEDS_AVAILABLE,($D89+AE$5)&gt;TOTAL_LABOR_HOURS_CAP,MAX(0,($D89+AE$5)-PERMANENT_FIELD_LABOR_HOURS)&gt;TEMP_HOURS_CAP),"",$C89+AE$6-MIN(($D89+AE$5),PERMANENT_FIELD_LABOR_HOURS)*PERMANENT_HOURLY_RATE-MAX(0,($D89+AE$5)-PERMANENT_FIELD_LABOR_HOURS)*TEMP_HOURLY_RATE-FIXED_SEASON_COST)</f>
        <v>19036.4323728308</v>
      </c>
      <c r="AF89" s="53" t="n">
        <f aca="false">IF(OR($A89&gt;TOMATO_BED_CAP,$B89&gt;CARROT_BED_CAP,AF$4&gt;MESCLUN_BED_CAP,$A89+$B89+AF$4&gt;TOTAL_BEDS_AVAILABLE,($D89+AF$5)&gt;TOTAL_LABOR_HOURS_CAP,MAX(0,($D89+AF$5)-PERMANENT_FIELD_LABOR_HOURS)&gt;TEMP_HOURS_CAP),"",$C89+AF$6-MIN(($D89+AF$5),PERMANENT_FIELD_LABOR_HOURS)*PERMANENT_HOURLY_RATE-MAX(0,($D89+AF$5)-PERMANENT_FIELD_LABOR_HOURS)*TEMP_HOURLY_RATE-FIXED_SEASON_COST)</f>
        <v>19444.3699040728</v>
      </c>
      <c r="AG89" s="53" t="n">
        <f aca="false">IF(OR($A89&gt;TOMATO_BED_CAP,$B89&gt;CARROT_BED_CAP,AG$4&gt;MESCLUN_BED_CAP,$A89+$B89+AG$4&gt;TOTAL_BEDS_AVAILABLE,($D89+AG$5)&gt;TOTAL_LABOR_HOURS_CAP,MAX(0,($D89+AG$5)-PERMANENT_FIELD_LABOR_HOURS)&gt;TEMP_HOURS_CAP),"",$C89+AG$6-MIN(($D89+AG$5),PERMANENT_FIELD_LABOR_HOURS)*PERMANENT_HOURLY_RATE-MAX(0,($D89+AG$5)-PERMANENT_FIELD_LABOR_HOURS)*TEMP_HOURLY_RATE-FIXED_SEASON_COST)</f>
        <v>19821.1687936098</v>
      </c>
      <c r="AH89" s="53" t="n">
        <f aca="false">IF(OR($A89&gt;TOMATO_BED_CAP,$B89&gt;CARROT_BED_CAP,AH$4&gt;MESCLUN_BED_CAP,$A89+$B89+AH$4&gt;TOTAL_BEDS_AVAILABLE,($D89+AH$5)&gt;TOTAL_LABOR_HOURS_CAP,MAX(0,($D89+AH$5)-PERMANENT_FIELD_LABOR_HOURS)&gt;TEMP_HOURS_CAP),"",$C89+AH$6-MIN(($D89+AH$5),PERMANENT_FIELD_LABOR_HOURS)*PERMANENT_HOURLY_RATE-MAX(0,($D89+AH$5)-PERMANENT_FIELD_LABOR_HOURS)*TEMP_HOURLY_RATE-FIXED_SEASON_COST)</f>
        <v>20166.27121016</v>
      </c>
      <c r="AI89" s="53" t="n">
        <f aca="false">IF(OR($A89&gt;TOMATO_BED_CAP,$B89&gt;CARROT_BED_CAP,AI$4&gt;MESCLUN_BED_CAP,$A89+$B89+AI$4&gt;TOTAL_BEDS_AVAILABLE,($D89+AI$5)&gt;TOTAL_LABOR_HOURS_CAP,MAX(0,($D89+AI$5)-PERMANENT_FIELD_LABOR_HOURS)&gt;TEMP_HOURS_CAP),"",$C89+AI$6-MIN(($D89+AI$5),PERMANENT_FIELD_LABOR_HOURS)*PERMANENT_HOURLY_RATE-MAX(0,($D89+AI$5)-PERMANENT_FIELD_LABOR_HOURS)*TEMP_HOURLY_RATE-FIXED_SEASON_COST)</f>
        <v>20479.1102420723</v>
      </c>
      <c r="AJ89" s="53" t="n">
        <f aca="false">IF(OR($A89&gt;TOMATO_BED_CAP,$B89&gt;CARROT_BED_CAP,AJ$4&gt;MESCLUN_BED_CAP,$A89+$B89+AJ$4&gt;TOTAL_BEDS_AVAILABLE,($D89+AJ$5)&gt;TOTAL_LABOR_HOURS_CAP,MAX(0,($D89+AJ$5)-PERMANENT_FIELD_LABOR_HOURS)&gt;TEMP_HOURS_CAP),"",$C89+AJ$6-MIN(($D89+AJ$5),PERMANENT_FIELD_LABOR_HOURS)*PERMANENT_HOURLY_RATE-MAX(0,($D89+AJ$5)-PERMANENT_FIELD_LABOR_HOURS)*TEMP_HOURLY_RATE-FIXED_SEASON_COST)</f>
        <v>20759.109757478</v>
      </c>
    </row>
    <row r="90" customFormat="false" ht="15" hidden="false" customHeight="false" outlineLevel="0" collapsed="false">
      <c r="A90" s="21" t="n">
        <f aca="false">INT((ROW()-ROW($A$8))/(20+1))</f>
        <v>3</v>
      </c>
      <c r="B90" s="21" t="n">
        <f aca="false">MOD(ROW()-ROW($A$8),20+1)</f>
        <v>19</v>
      </c>
      <c r="C90" s="13" t="n">
        <f aca="false">A90*(TOMATO_REVENUE_PER_BED-TOMATO_FERTILIZER_PER_BED)+B90*(CARROT_REVENUE_PER_BED-CARROT_FERTILIZER_PER_BED)</f>
        <v>55186</v>
      </c>
      <c r="D90" s="14" t="n">
        <f aca="false">INDEX(TOMATO_SCHED_LABOR_HRS,A90+1)+INDEX(CARROT_SCHED_LABOR_HRS,B90+1)</f>
        <v>1270.2361135777</v>
      </c>
      <c r="E90" s="13" t="n">
        <f aca="false">IF(COUNT(F90:AJ90)=0,"",MAX(F90:AJ90))</f>
        <v>21215.4903631637</v>
      </c>
      <c r="F90" s="53" t="n">
        <f aca="false">IF(OR($A90&gt;TOMATO_BED_CAP,$B90&gt;CARROT_BED_CAP,F$4&gt;MESCLUN_BED_CAP,$A90+$B90+F$4&gt;TOTAL_BEDS_AVAILABLE,($D90+F$5)&gt;TOTAL_LABOR_HOURS_CAP,MAX(0,($D90+F$5)-PERMANENT_FIELD_LABOR_HOURS)&gt;TEMP_HOURS_CAP),"",$C90+F$6-MIN(($D90+F$5),PERMANENT_FIELD_LABOR_HOURS)*PERMANENT_HOURLY_RATE-MAX(0,($D90+F$5)-PERMANENT_FIELD_LABOR_HOURS)*TEMP_HOURLY_RATE-FIXED_SEASON_COST)</f>
        <v>635.501068291193</v>
      </c>
      <c r="G90" s="53" t="n">
        <f aca="false">IF(OR($A90&gt;TOMATO_BED_CAP,$B90&gt;CARROT_BED_CAP,G$4&gt;MESCLUN_BED_CAP,$A90+$B90+G$4&gt;TOTAL_BEDS_AVAILABLE,($D90+G$5)&gt;TOTAL_LABOR_HOURS_CAP,MAX(0,($D90+G$5)-PERMANENT_FIELD_LABOR_HOURS)&gt;TEMP_HOURS_CAP),"",$C90+G$6-MIN(($D90+G$5),PERMANENT_FIELD_LABOR_HOURS)*PERMANENT_HOURLY_RATE-MAX(0,($D90+G$5)-PERMANENT_FIELD_LABOR_HOURS)*TEMP_HOURLY_RATE-FIXED_SEASON_COST)</f>
        <v>1664.53606829119</v>
      </c>
      <c r="H90" s="53" t="n">
        <f aca="false">IF(OR($A90&gt;TOMATO_BED_CAP,$B90&gt;CARROT_BED_CAP,H$4&gt;MESCLUN_BED_CAP,$A90+$B90+H$4&gt;TOTAL_BEDS_AVAILABLE,($D90+H$5)&gt;TOTAL_LABOR_HOURS_CAP,MAX(0,($D90+H$5)-PERMANENT_FIELD_LABOR_HOURS)&gt;TEMP_HOURS_CAP),"",$C90+H$6-MIN(($D90+H$5),PERMANENT_FIELD_LABOR_HOURS)*PERMANENT_HOURLY_RATE-MAX(0,($D90+H$5)-PERMANENT_FIELD_LABOR_HOURS)*TEMP_HOURLY_RATE-FIXED_SEASON_COST)</f>
        <v>2673.7969432912</v>
      </c>
      <c r="I90" s="53" t="n">
        <f aca="false">IF(OR($A90&gt;TOMATO_BED_CAP,$B90&gt;CARROT_BED_CAP,I$4&gt;MESCLUN_BED_CAP,$A90+$B90+I$4&gt;TOTAL_BEDS_AVAILABLE,($D90+I$5)&gt;TOTAL_LABOR_HOURS_CAP,MAX(0,($D90+I$5)-PERMANENT_FIELD_LABOR_HOURS)&gt;TEMP_HOURS_CAP),"",$C90+I$6-MIN(($D90+I$5),PERMANENT_FIELD_LABOR_HOURS)*PERMANENT_HOURLY_RATE-MAX(0,($D90+I$5)-PERMANENT_FIELD_LABOR_HOURS)*TEMP_HOURLY_RATE-FIXED_SEASON_COST)</f>
        <v>3662.91292844745</v>
      </c>
      <c r="J90" s="53" t="n">
        <f aca="false">IF(OR($A90&gt;TOMATO_BED_CAP,$B90&gt;CARROT_BED_CAP,J$4&gt;MESCLUN_BED_CAP,$A90+$B90+J$4&gt;TOTAL_BEDS_AVAILABLE,($D90+J$5)&gt;TOTAL_LABOR_HOURS_CAP,MAX(0,($D90+J$5)-PERMANENT_FIELD_LABOR_HOURS)&gt;TEMP_HOURS_CAP),"",$C90+J$6-MIN(($D90+J$5),PERMANENT_FIELD_LABOR_HOURS)*PERMANENT_HOURLY_RATE-MAX(0,($D90+J$5)-PERMANENT_FIELD_LABOR_HOURS)*TEMP_HOURLY_RATE-FIXED_SEASON_COST)</f>
        <v>4631.50707950213</v>
      </c>
      <c r="K90" s="53" t="n">
        <f aca="false">IF(OR($A90&gt;TOMATO_BED_CAP,$B90&gt;CARROT_BED_CAP,K$4&gt;MESCLUN_BED_CAP,$A90+$B90+K$4&gt;TOTAL_BEDS_AVAILABLE,($D90+K$5)&gt;TOTAL_LABOR_HOURS_CAP,MAX(0,($D90+K$5)-PERMANENT_FIELD_LABOR_HOURS)&gt;TEMP_HOURS_CAP),"",$C90+K$6-MIN(($D90+K$5),PERMANENT_FIELD_LABOR_HOURS)*PERMANENT_HOURLY_RATE-MAX(0,($D90+K$5)-PERMANENT_FIELD_LABOR_HOURS)*TEMP_HOURLY_RATE-FIXED_SEASON_COST)</f>
        <v>5579.19617623004</v>
      </c>
      <c r="L90" s="53" t="n">
        <f aca="false">IF(OR($A90&gt;TOMATO_BED_CAP,$B90&gt;CARROT_BED_CAP,L$4&gt;MESCLUN_BED_CAP,$A90+$B90+L$4&gt;TOTAL_BEDS_AVAILABLE,($D90+L$5)&gt;TOTAL_LABOR_HOURS_CAP,MAX(0,($D90+L$5)-PERMANENT_FIELD_LABOR_HOURS)&gt;TEMP_HOURS_CAP),"",$C90+L$6-MIN(($D90+L$5),PERMANENT_FIELD_LABOR_HOURS)*PERMANENT_HOURLY_RATE-MAX(0,($D90+L$5)-PERMANENT_FIELD_LABOR_HOURS)*TEMP_HOURLY_RATE-FIXED_SEASON_COST)</f>
        <v>6505.59062443689</v>
      </c>
      <c r="M90" s="53" t="n">
        <f aca="false">IF(OR($A90&gt;TOMATO_BED_CAP,$B90&gt;CARROT_BED_CAP,M$4&gt;MESCLUN_BED_CAP,$A90+$B90+M$4&gt;TOTAL_BEDS_AVAILABLE,($D90+M$5)&gt;TOTAL_LABOR_HOURS_CAP,MAX(0,($D90+M$5)-PERMANENT_FIELD_LABOR_HOURS)&gt;TEMP_HOURS_CAP),"",$C90+M$6-MIN(($D90+M$5),PERMANENT_FIELD_LABOR_HOURS)*PERMANENT_HOURLY_RATE-MAX(0,($D90+M$5)-PERMANENT_FIELD_LABOR_HOURS)*TEMP_HOURLY_RATE-FIXED_SEASON_COST)</f>
        <v>7410.2943564883</v>
      </c>
      <c r="N90" s="53" t="n">
        <f aca="false">IF(OR($A90&gt;TOMATO_BED_CAP,$B90&gt;CARROT_BED_CAP,N$4&gt;MESCLUN_BED_CAP,$A90+$B90+N$4&gt;TOTAL_BEDS_AVAILABLE,($D90+N$5)&gt;TOTAL_LABOR_HOURS_CAP,MAX(0,($D90+N$5)-PERMANENT_FIELD_LABOR_HOURS)&gt;TEMP_HOURS_CAP),"",$C90+N$6-MIN(($D90+N$5),PERMANENT_FIELD_LABOR_HOURS)*PERMANENT_HOURLY_RATE-MAX(0,($D90+N$5)-PERMANENT_FIELD_LABOR_HOURS)*TEMP_HOURLY_RATE-FIXED_SEASON_COST)</f>
        <v>8292.90473034784</v>
      </c>
      <c r="O90" s="53" t="n">
        <f aca="false">IF(OR($A90&gt;TOMATO_BED_CAP,$B90&gt;CARROT_BED_CAP,O$4&gt;MESCLUN_BED_CAP,$A90+$B90+O$4&gt;TOTAL_BEDS_AVAILABLE,($D90+O$5)&gt;TOTAL_LABOR_HOURS_CAP,MAX(0,($D90+O$5)-PERMANENT_FIELD_LABOR_HOURS)&gt;TEMP_HOURS_CAP),"",$C90+O$6-MIN(($D90+O$5),PERMANENT_FIELD_LABOR_HOURS)*PERMANENT_HOURLY_RATE-MAX(0,($D90+O$5)-PERMANENT_FIELD_LABOR_HOURS)*TEMP_HOURLY_RATE-FIXED_SEASON_COST)</f>
        <v>9153.0124271026</v>
      </c>
      <c r="P90" s="53" t="n">
        <f aca="false">IF(OR($A90&gt;TOMATO_BED_CAP,$B90&gt;CARROT_BED_CAP,P$4&gt;MESCLUN_BED_CAP,$A90+$B90+P$4&gt;TOTAL_BEDS_AVAILABLE,($D90+P$5)&gt;TOTAL_LABOR_HOURS_CAP,MAX(0,($D90+P$5)-PERMANENT_FIELD_LABOR_HOURS)&gt;TEMP_HOURS_CAP),"",$C90+P$6-MIN(($D90+P$5),PERMANENT_FIELD_LABOR_HOURS)*PERMANENT_HOURLY_RATE-MAX(0,($D90+P$5)-PERMANENT_FIELD_LABOR_HOURS)*TEMP_HOURLY_RATE-FIXED_SEASON_COST)</f>
        <v>9990.20134695403</v>
      </c>
      <c r="Q90" s="53" t="n">
        <f aca="false">IF(OR($A90&gt;TOMATO_BED_CAP,$B90&gt;CARROT_BED_CAP,Q$4&gt;MESCLUN_BED_CAP,$A90+$B90+Q$4&gt;TOTAL_BEDS_AVAILABLE,($D90+Q$5)&gt;TOTAL_LABOR_HOURS_CAP,MAX(0,($D90+Q$5)-PERMANENT_FIELD_LABOR_HOURS)&gt;TEMP_HOURS_CAP),"",$C90+Q$6-MIN(($D90+Q$5),PERMANENT_FIELD_LABOR_HOURS)*PERMANENT_HOURLY_RATE-MAX(0,($D90+Q$5)-PERMANENT_FIELD_LABOR_HOURS)*TEMP_HOURLY_RATE-FIXED_SEASON_COST)</f>
        <v>10804.0485036519</v>
      </c>
      <c r="R90" s="53" t="n">
        <f aca="false">IF(OR($A90&gt;TOMATO_BED_CAP,$B90&gt;CARROT_BED_CAP,R$4&gt;MESCLUN_BED_CAP,$A90+$B90+R$4&gt;TOTAL_BEDS_AVAILABLE,($D90+R$5)&gt;TOTAL_LABOR_HOURS_CAP,MAX(0,($D90+R$5)-PERMANENT_FIELD_LABOR_HOURS)&gt;TEMP_HOURS_CAP),"",$C90+R$6-MIN(($D90+R$5),PERMANENT_FIELD_LABOR_HOURS)*PERMANENT_HOURLY_RATE-MAX(0,($D90+R$5)-PERMANENT_FIELD_LABOR_HOURS)*TEMP_HOURLY_RATE-FIXED_SEASON_COST)</f>
        <v>11594.1239173487</v>
      </c>
      <c r="S90" s="53" t="n">
        <f aca="false">IF(OR($A90&gt;TOMATO_BED_CAP,$B90&gt;CARROT_BED_CAP,S$4&gt;MESCLUN_BED_CAP,$A90+$B90+S$4&gt;TOTAL_BEDS_AVAILABLE,($D90+S$5)&gt;TOTAL_LABOR_HOURS_CAP,MAX(0,($D90+S$5)-PERMANENT_FIELD_LABOR_HOURS)&gt;TEMP_HOURS_CAP),"",$C90+S$6-MIN(($D90+S$5),PERMANENT_FIELD_LABOR_HOURS)*PERMANENT_HOURLY_RATE-MAX(0,($D90+S$5)-PERMANENT_FIELD_LABOR_HOURS)*TEMP_HOURLY_RATE-FIXED_SEASON_COST)</f>
        <v>12359.9905058512</v>
      </c>
      <c r="T90" s="53" t="n">
        <f aca="false">IF(OR($A90&gt;TOMATO_BED_CAP,$B90&gt;CARROT_BED_CAP,T$4&gt;MESCLUN_BED_CAP,$A90+$B90+T$4&gt;TOTAL_BEDS_AVAILABLE,($D90+T$5)&gt;TOTAL_LABOR_HOURS_CAP,MAX(0,($D90+T$5)-PERMANENT_FIELD_LABOR_HOURS)&gt;TEMP_HOURS_CAP),"",$C90+T$6-MIN(($D90+T$5),PERMANENT_FIELD_LABOR_HOURS)*PERMANENT_HOURLY_RATE-MAX(0,($D90+T$5)-PERMANENT_FIELD_LABOR_HOURS)*TEMP_HOURLY_RATE-FIXED_SEASON_COST)</f>
        <v>13101.203974246</v>
      </c>
      <c r="U90" s="53" t="n">
        <f aca="false">IF(OR($A90&gt;TOMATO_BED_CAP,$B90&gt;CARROT_BED_CAP,U$4&gt;MESCLUN_BED_CAP,$A90+$B90+U$4&gt;TOTAL_BEDS_AVAILABLE,($D90+U$5)&gt;TOTAL_LABOR_HOURS_CAP,MAX(0,($D90+U$5)-PERMANENT_FIELD_LABOR_HOURS)&gt;TEMP_HOURS_CAP),"",$C90+U$6-MIN(($D90+U$5),PERMANENT_FIELD_LABOR_HOURS)*PERMANENT_HOURLY_RATE-MAX(0,($D90+U$5)-PERMANENT_FIELD_LABOR_HOURS)*TEMP_HOURLY_RATE-FIXED_SEASON_COST)</f>
        <v>13817.3127028761</v>
      </c>
      <c r="V90" s="53" t="n">
        <f aca="false">IF(OR($A90&gt;TOMATO_BED_CAP,$B90&gt;CARROT_BED_CAP,V$4&gt;MESCLUN_BED_CAP,$A90+$B90+V$4&gt;TOTAL_BEDS_AVAILABLE,($D90+V$5)&gt;TOTAL_LABOR_HOURS_CAP,MAX(0,($D90+V$5)-PERMANENT_FIELD_LABOR_HOURS)&gt;TEMP_HOURS_CAP),"",$C90+V$6-MIN(($D90+V$5),PERMANENT_FIELD_LABOR_HOURS)*PERMANENT_HOURLY_RATE-MAX(0,($D90+V$5)-PERMANENT_FIELD_LABOR_HOURS)*TEMP_HOURLY_RATE-FIXED_SEASON_COST)</f>
        <v>14507.8576336429</v>
      </c>
      <c r="W90" s="53" t="n">
        <f aca="false">IF(OR($A90&gt;TOMATO_BED_CAP,$B90&gt;CARROT_BED_CAP,W$4&gt;MESCLUN_BED_CAP,$A90+$B90+W$4&gt;TOTAL_BEDS_AVAILABLE,($D90+W$5)&gt;TOTAL_LABOR_HOURS_CAP,MAX(0,($D90+W$5)-PERMANENT_FIELD_LABOR_HOURS)&gt;TEMP_HOURS_CAP),"",$C90+W$6-MIN(($D90+W$5),PERMANENT_FIELD_LABOR_HOURS)*PERMANENT_HOURLY_RATE-MAX(0,($D90+W$5)-PERMANENT_FIELD_LABOR_HOURS)*TEMP_HOURLY_RATE-FIXED_SEASON_COST)</f>
        <v>15172.372154611</v>
      </c>
      <c r="X90" s="53" t="n">
        <f aca="false">IF(OR($A90&gt;TOMATO_BED_CAP,$B90&gt;CARROT_BED_CAP,X$4&gt;MESCLUN_BED_CAP,$A90+$B90+X$4&gt;TOTAL_BEDS_AVAILABLE,($D90+X$5)&gt;TOTAL_LABOR_HOURS_CAP,MAX(0,($D90+X$5)-PERMANENT_FIELD_LABOR_HOURS)&gt;TEMP_HOURS_CAP),"",$C90+X$6-MIN(($D90+X$5),PERMANENT_FIELD_LABOR_HOURS)*PERMANENT_HOURLY_RATE-MAX(0,($D90+X$5)-PERMANENT_FIELD_LABOR_HOURS)*TEMP_HOURLY_RATE-FIXED_SEASON_COST)</f>
        <v>15810.3819828899</v>
      </c>
      <c r="Y90" s="53" t="n">
        <f aca="false">IF(OR($A90&gt;TOMATO_BED_CAP,$B90&gt;CARROT_BED_CAP,Y$4&gt;MESCLUN_BED_CAP,$A90+$B90+Y$4&gt;TOTAL_BEDS_AVAILABLE,($D90+Y$5)&gt;TOTAL_LABOR_HOURS_CAP,MAX(0,($D90+Y$5)-PERMANENT_FIELD_LABOR_HOURS)&gt;TEMP_HOURS_CAP),"",$C90+Y$6-MIN(($D90+Y$5),PERMANENT_FIELD_LABOR_HOURS)*PERMANENT_HOURLY_RATE-MAX(0,($D90+Y$5)-PERMANENT_FIELD_LABOR_HOURS)*TEMP_HOURLY_RATE-FIXED_SEASON_COST)</f>
        <v>16421.4050457686</v>
      </c>
      <c r="Z90" s="53" t="n">
        <f aca="false">IF(OR($A90&gt;TOMATO_BED_CAP,$B90&gt;CARROT_BED_CAP,Z$4&gt;MESCLUN_BED_CAP,$A90+$B90+Z$4&gt;TOTAL_BEDS_AVAILABLE,($D90+Z$5)&gt;TOTAL_LABOR_HOURS_CAP,MAX(0,($D90+Z$5)-PERMANENT_FIELD_LABOR_HOURS)&gt;TEMP_HOURS_CAP),"",$C90+Z$6-MIN(($D90+Z$5),PERMANENT_FIELD_LABOR_HOURS)*PERMANENT_HOURLY_RATE-MAX(0,($D90+Z$5)-PERMANENT_FIELD_LABOR_HOURS)*TEMP_HOURLY_RATE-FIXED_SEASON_COST)</f>
        <v>17004.9513600763</v>
      </c>
      <c r="AA90" s="53" t="n">
        <f aca="false">IF(OR($A90&gt;TOMATO_BED_CAP,$B90&gt;CARROT_BED_CAP,AA$4&gt;MESCLUN_BED_CAP,$A90+$B90+AA$4&gt;TOTAL_BEDS_AVAILABLE,($D90+AA$5)&gt;TOTAL_LABOR_HOURS_CAP,MAX(0,($D90+AA$5)-PERMANENT_FIELD_LABOR_HOURS)&gt;TEMP_HOURS_CAP),"",$C90+AA$6-MIN(($D90+AA$5),PERMANENT_FIELD_LABOR_HOURS)*PERMANENT_HOURLY_RATE-MAX(0,($D90+AA$5)-PERMANENT_FIELD_LABOR_HOURS)*TEMP_HOURLY_RATE-FIXED_SEASON_COST)</f>
        <v>17560.5229097452</v>
      </c>
      <c r="AB90" s="53" t="n">
        <f aca="false">IF(OR($A90&gt;TOMATO_BED_CAP,$B90&gt;CARROT_BED_CAP,AB$4&gt;MESCLUN_BED_CAP,$A90+$B90+AB$4&gt;TOTAL_BEDS_AVAILABLE,($D90+AB$5)&gt;TOTAL_LABOR_HOURS_CAP,MAX(0,($D90+AB$5)-PERMANENT_FIELD_LABOR_HOURS)&gt;TEMP_HOURS_CAP),"",$C90+AB$6-MIN(($D90+AB$5),PERMANENT_FIELD_LABOR_HOURS)*PERMANENT_HOURLY_RATE-MAX(0,($D90+AB$5)-PERMANENT_FIELD_LABOR_HOURS)*TEMP_HOURLY_RATE-FIXED_SEASON_COST)</f>
        <v>18087.6135215478</v>
      </c>
      <c r="AC90" s="53" t="n">
        <f aca="false">IF(OR($A90&gt;TOMATO_BED_CAP,$B90&gt;CARROT_BED_CAP,AC$4&gt;MESCLUN_BED_CAP,$A90+$B90+AC$4&gt;TOTAL_BEDS_AVAILABLE,($D90+AC$5)&gt;TOTAL_LABOR_HOURS_CAP,MAX(0,($D90+AC$5)-PERMANENT_FIELD_LABOR_HOURS)&gt;TEMP_HOURS_CAP),"",$C90+AC$6-MIN(($D90+AC$5),PERMANENT_FIELD_LABOR_HOURS)*PERMANENT_HOURLY_RATE-MAX(0,($D90+AC$5)-PERMANENT_FIELD_LABOR_HOURS)*TEMP_HOURLY_RATE-FIXED_SEASON_COST)</f>
        <v>18585.7087389827</v>
      </c>
      <c r="AD90" s="53" t="n">
        <f aca="false">IF(OR($A90&gt;TOMATO_BED_CAP,$B90&gt;CARROT_BED_CAP,AD$4&gt;MESCLUN_BED_CAP,$A90+$B90+AD$4&gt;TOTAL_BEDS_AVAILABLE,($D90+AD$5)&gt;TOTAL_LABOR_HOURS_CAP,MAX(0,($D90+AD$5)-PERMANENT_FIELD_LABOR_HOURS)&gt;TEMP_HOURS_CAP),"",$C90+AD$6-MIN(($D90+AD$5),PERMANENT_FIELD_LABOR_HOURS)*PERMANENT_HOURLY_RATE-MAX(0,($D90+AD$5)-PERMANENT_FIELD_LABOR_HOURS)*TEMP_HOURLY_RATE-FIXED_SEASON_COST)</f>
        <v>19054.2856942826</v>
      </c>
      <c r="AE90" s="53" t="n">
        <f aca="false">IF(OR($A90&gt;TOMATO_BED_CAP,$B90&gt;CARROT_BED_CAP,AE$4&gt;MESCLUN_BED_CAP,$A90+$B90+AE$4&gt;TOTAL_BEDS_AVAILABLE,($D90+AE$5)&gt;TOTAL_LABOR_HOURS_CAP,MAX(0,($D90+AE$5)-PERMANENT_FIELD_LABOR_HOURS)&gt;TEMP_HOURS_CAP),"",$C90+AE$6-MIN(($D90+AE$5),PERMANENT_FIELD_LABOR_HOURS)*PERMANENT_HOURLY_RATE-MAX(0,($D90+AE$5)-PERMANENT_FIELD_LABOR_HOURS)*TEMP_HOURLY_RATE-FIXED_SEASON_COST)</f>
        <v>19492.8129785165</v>
      </c>
      <c r="AF90" s="53" t="n">
        <f aca="false">IF(OR($A90&gt;TOMATO_BED_CAP,$B90&gt;CARROT_BED_CAP,AF$4&gt;MESCLUN_BED_CAP,$A90+$B90+AF$4&gt;TOTAL_BEDS_AVAILABLE,($D90+AF$5)&gt;TOTAL_LABOR_HOURS_CAP,MAX(0,($D90+AF$5)-PERMANENT_FIELD_LABOR_HOURS)&gt;TEMP_HOURS_CAP),"",$C90+AF$6-MIN(($D90+AF$5),PERMANENT_FIELD_LABOR_HOURS)*PERMANENT_HOURLY_RATE-MAX(0,($D90+AF$5)-PERMANENT_FIELD_LABOR_HOURS)*TEMP_HOURLY_RATE-FIXED_SEASON_COST)</f>
        <v>19900.7505097585</v>
      </c>
      <c r="AG90" s="53" t="n">
        <f aca="false">IF(OR($A90&gt;TOMATO_BED_CAP,$B90&gt;CARROT_BED_CAP,AG$4&gt;MESCLUN_BED_CAP,$A90+$B90+AG$4&gt;TOTAL_BEDS_AVAILABLE,($D90+AG$5)&gt;TOTAL_LABOR_HOURS_CAP,MAX(0,($D90+AG$5)-PERMANENT_FIELD_LABOR_HOURS)&gt;TEMP_HOURS_CAP),"",$C90+AG$6-MIN(($D90+AG$5),PERMANENT_FIELD_LABOR_HOURS)*PERMANENT_HOURLY_RATE-MAX(0,($D90+AG$5)-PERMANENT_FIELD_LABOR_HOURS)*TEMP_HOURLY_RATE-FIXED_SEASON_COST)</f>
        <v>20277.5493992955</v>
      </c>
      <c r="AH90" s="53" t="n">
        <f aca="false">IF(OR($A90&gt;TOMATO_BED_CAP,$B90&gt;CARROT_BED_CAP,AH$4&gt;MESCLUN_BED_CAP,$A90+$B90+AH$4&gt;TOTAL_BEDS_AVAILABLE,($D90+AH$5)&gt;TOTAL_LABOR_HOURS_CAP,MAX(0,($D90+AH$5)-PERMANENT_FIELD_LABOR_HOURS)&gt;TEMP_HOURS_CAP),"",$C90+AH$6-MIN(($D90+AH$5),PERMANENT_FIELD_LABOR_HOURS)*PERMANENT_HOURLY_RATE-MAX(0,($D90+AH$5)-PERMANENT_FIELD_LABOR_HOURS)*TEMP_HOURLY_RATE-FIXED_SEASON_COST)</f>
        <v>20622.6518158457</v>
      </c>
      <c r="AI90" s="53" t="n">
        <f aca="false">IF(OR($A90&gt;TOMATO_BED_CAP,$B90&gt;CARROT_BED_CAP,AI$4&gt;MESCLUN_BED_CAP,$A90+$B90+AI$4&gt;TOTAL_BEDS_AVAILABLE,($D90+AI$5)&gt;TOTAL_LABOR_HOURS_CAP,MAX(0,($D90+AI$5)-PERMANENT_FIELD_LABOR_HOURS)&gt;TEMP_HOURS_CAP),"",$C90+AI$6-MIN(($D90+AI$5),PERMANENT_FIELD_LABOR_HOURS)*PERMANENT_HOURLY_RATE-MAX(0,($D90+AI$5)-PERMANENT_FIELD_LABOR_HOURS)*TEMP_HOURLY_RATE-FIXED_SEASON_COST)</f>
        <v>20935.490847758</v>
      </c>
      <c r="AJ90" s="53" t="n">
        <f aca="false">IF(OR($A90&gt;TOMATO_BED_CAP,$B90&gt;CARROT_BED_CAP,AJ$4&gt;MESCLUN_BED_CAP,$A90+$B90+AJ$4&gt;TOTAL_BEDS_AVAILABLE,($D90+AJ$5)&gt;TOTAL_LABOR_HOURS_CAP,MAX(0,($D90+AJ$5)-PERMANENT_FIELD_LABOR_HOURS)&gt;TEMP_HOURS_CAP),"",$C90+AJ$6-MIN(($D90+AJ$5),PERMANENT_FIELD_LABOR_HOURS)*PERMANENT_HOURLY_RATE-MAX(0,($D90+AJ$5)-PERMANENT_FIELD_LABOR_HOURS)*TEMP_HOURLY_RATE-FIXED_SEASON_COST)</f>
        <v>21215.4903631637</v>
      </c>
    </row>
    <row r="91" customFormat="false" ht="15" hidden="false" customHeight="false" outlineLevel="0" collapsed="false">
      <c r="A91" s="21" t="n">
        <f aca="false">INT((ROW()-ROW($A$8))/(20+1))</f>
        <v>3</v>
      </c>
      <c r="B91" s="21" t="n">
        <f aca="false">MOD(ROW()-ROW($A$8),20+1)</f>
        <v>20</v>
      </c>
      <c r="C91" s="13" t="n">
        <f aca="false">A91*(TOMATO_REVENUE_PER_BED-TOMATO_FERTILIZER_PER_BED)+B91*(CARROT_REVENUE_PER_BED-CARROT_FERTILIZER_PER_BED)</f>
        <v>56840</v>
      </c>
      <c r="D91" s="14" t="n">
        <f aca="false">INDEX(TOMATO_SCHED_LABOR_HRS,A91+1)+INDEX(CARROT_SCHED_LABOR_HRS,B91+1)</f>
        <v>1342.14659622857</v>
      </c>
      <c r="E91" s="13" t="n">
        <f aca="false">IF(COUNT(F91:AJ91)=0,"",MAX(F91:AJ91))</f>
        <v>21621.1243843446</v>
      </c>
      <c r="F91" s="53" t="n">
        <f aca="false">IF(OR($A91&gt;TOMATO_BED_CAP,$B91&gt;CARROT_BED_CAP,F$4&gt;MESCLUN_BED_CAP,$A91+$B91+F$4&gt;TOTAL_BEDS_AVAILABLE,($D91+F$5)&gt;TOTAL_LABOR_HOURS_CAP,MAX(0,($D91+F$5)-PERMANENT_FIELD_LABOR_HOURS)&gt;TEMP_HOURS_CAP),"",$C91+F$6-MIN(($D91+F$5),PERMANENT_FIELD_LABOR_HOURS)*PERMANENT_HOURLY_RATE-MAX(0,($D91+F$5)-PERMANENT_FIELD_LABOR_HOURS)*TEMP_HOURLY_RATE-FIXED_SEASON_COST)</f>
        <v>1041.13508947208</v>
      </c>
      <c r="G91" s="53" t="n">
        <f aca="false">IF(OR($A91&gt;TOMATO_BED_CAP,$B91&gt;CARROT_BED_CAP,G$4&gt;MESCLUN_BED_CAP,$A91+$B91+G$4&gt;TOTAL_BEDS_AVAILABLE,($D91+G$5)&gt;TOTAL_LABOR_HOURS_CAP,MAX(0,($D91+G$5)-PERMANENT_FIELD_LABOR_HOURS)&gt;TEMP_HOURS_CAP),"",$C91+G$6-MIN(($D91+G$5),PERMANENT_FIELD_LABOR_HOURS)*PERMANENT_HOURLY_RATE-MAX(0,($D91+G$5)-PERMANENT_FIELD_LABOR_HOURS)*TEMP_HOURLY_RATE-FIXED_SEASON_COST)</f>
        <v>2070.17008947209</v>
      </c>
      <c r="H91" s="53" t="n">
        <f aca="false">IF(OR($A91&gt;TOMATO_BED_CAP,$B91&gt;CARROT_BED_CAP,H$4&gt;MESCLUN_BED_CAP,$A91+$B91+H$4&gt;TOTAL_BEDS_AVAILABLE,($D91+H$5)&gt;TOTAL_LABOR_HOURS_CAP,MAX(0,($D91+H$5)-PERMANENT_FIELD_LABOR_HOURS)&gt;TEMP_HOURS_CAP),"",$C91+H$6-MIN(($D91+H$5),PERMANENT_FIELD_LABOR_HOURS)*PERMANENT_HOURLY_RATE-MAX(0,($D91+H$5)-PERMANENT_FIELD_LABOR_HOURS)*TEMP_HOURLY_RATE-FIXED_SEASON_COST)</f>
        <v>3079.43096447209</v>
      </c>
      <c r="I91" s="53" t="n">
        <f aca="false">IF(OR($A91&gt;TOMATO_BED_CAP,$B91&gt;CARROT_BED_CAP,I$4&gt;MESCLUN_BED_CAP,$A91+$B91+I$4&gt;TOTAL_BEDS_AVAILABLE,($D91+I$5)&gt;TOTAL_LABOR_HOURS_CAP,MAX(0,($D91+I$5)-PERMANENT_FIELD_LABOR_HOURS)&gt;TEMP_HOURS_CAP),"",$C91+I$6-MIN(($D91+I$5),PERMANENT_FIELD_LABOR_HOURS)*PERMANENT_HOURLY_RATE-MAX(0,($D91+I$5)-PERMANENT_FIELD_LABOR_HOURS)*TEMP_HOURLY_RATE-FIXED_SEASON_COST)</f>
        <v>4068.54694962833</v>
      </c>
      <c r="J91" s="53" t="n">
        <f aca="false">IF(OR($A91&gt;TOMATO_BED_CAP,$B91&gt;CARROT_BED_CAP,J$4&gt;MESCLUN_BED_CAP,$A91+$B91+J$4&gt;TOTAL_BEDS_AVAILABLE,($D91+J$5)&gt;TOTAL_LABOR_HOURS_CAP,MAX(0,($D91+J$5)-PERMANENT_FIELD_LABOR_HOURS)&gt;TEMP_HOURS_CAP),"",$C91+J$6-MIN(($D91+J$5),PERMANENT_FIELD_LABOR_HOURS)*PERMANENT_HOURLY_RATE-MAX(0,($D91+J$5)-PERMANENT_FIELD_LABOR_HOURS)*TEMP_HOURLY_RATE-FIXED_SEASON_COST)</f>
        <v>5037.14110068302</v>
      </c>
      <c r="K91" s="53" t="n">
        <f aca="false">IF(OR($A91&gt;TOMATO_BED_CAP,$B91&gt;CARROT_BED_CAP,K$4&gt;MESCLUN_BED_CAP,$A91+$B91+K$4&gt;TOTAL_BEDS_AVAILABLE,($D91+K$5)&gt;TOTAL_LABOR_HOURS_CAP,MAX(0,($D91+K$5)-PERMANENT_FIELD_LABOR_HOURS)&gt;TEMP_HOURS_CAP),"",$C91+K$6-MIN(($D91+K$5),PERMANENT_FIELD_LABOR_HOURS)*PERMANENT_HOURLY_RATE-MAX(0,($D91+K$5)-PERMANENT_FIELD_LABOR_HOURS)*TEMP_HOURLY_RATE-FIXED_SEASON_COST)</f>
        <v>5984.83019741093</v>
      </c>
      <c r="L91" s="53" t="n">
        <f aca="false">IF(OR($A91&gt;TOMATO_BED_CAP,$B91&gt;CARROT_BED_CAP,L$4&gt;MESCLUN_BED_CAP,$A91+$B91+L$4&gt;TOTAL_BEDS_AVAILABLE,($D91+L$5)&gt;TOTAL_LABOR_HOURS_CAP,MAX(0,($D91+L$5)-PERMANENT_FIELD_LABOR_HOURS)&gt;TEMP_HOURS_CAP),"",$C91+L$6-MIN(($D91+L$5),PERMANENT_FIELD_LABOR_HOURS)*PERMANENT_HOURLY_RATE-MAX(0,($D91+L$5)-PERMANENT_FIELD_LABOR_HOURS)*TEMP_HOURLY_RATE-FIXED_SEASON_COST)</f>
        <v>6911.22464561778</v>
      </c>
      <c r="M91" s="53" t="n">
        <f aca="false">IF(OR($A91&gt;TOMATO_BED_CAP,$B91&gt;CARROT_BED_CAP,M$4&gt;MESCLUN_BED_CAP,$A91+$B91+M$4&gt;TOTAL_BEDS_AVAILABLE,($D91+M$5)&gt;TOTAL_LABOR_HOURS_CAP,MAX(0,($D91+M$5)-PERMANENT_FIELD_LABOR_HOURS)&gt;TEMP_HOURS_CAP),"",$C91+M$6-MIN(($D91+M$5),PERMANENT_FIELD_LABOR_HOURS)*PERMANENT_HOURLY_RATE-MAX(0,($D91+M$5)-PERMANENT_FIELD_LABOR_HOURS)*TEMP_HOURLY_RATE-FIXED_SEASON_COST)</f>
        <v>7815.92837766919</v>
      </c>
      <c r="N91" s="53" t="n">
        <f aca="false">IF(OR($A91&gt;TOMATO_BED_CAP,$B91&gt;CARROT_BED_CAP,N$4&gt;MESCLUN_BED_CAP,$A91+$B91+N$4&gt;TOTAL_BEDS_AVAILABLE,($D91+N$5)&gt;TOTAL_LABOR_HOURS_CAP,MAX(0,($D91+N$5)-PERMANENT_FIELD_LABOR_HOURS)&gt;TEMP_HOURS_CAP),"",$C91+N$6-MIN(($D91+N$5),PERMANENT_FIELD_LABOR_HOURS)*PERMANENT_HOURLY_RATE-MAX(0,($D91+N$5)-PERMANENT_FIELD_LABOR_HOURS)*TEMP_HOURLY_RATE-FIXED_SEASON_COST)</f>
        <v>8698.53875152873</v>
      </c>
      <c r="O91" s="53" t="n">
        <f aca="false">IF(OR($A91&gt;TOMATO_BED_CAP,$B91&gt;CARROT_BED_CAP,O$4&gt;MESCLUN_BED_CAP,$A91+$B91+O$4&gt;TOTAL_BEDS_AVAILABLE,($D91+O$5)&gt;TOTAL_LABOR_HOURS_CAP,MAX(0,($D91+O$5)-PERMANENT_FIELD_LABOR_HOURS)&gt;TEMP_HOURS_CAP),"",$C91+O$6-MIN(($D91+O$5),PERMANENT_FIELD_LABOR_HOURS)*PERMANENT_HOURLY_RATE-MAX(0,($D91+O$5)-PERMANENT_FIELD_LABOR_HOURS)*TEMP_HOURLY_RATE-FIXED_SEASON_COST)</f>
        <v>9558.64644828349</v>
      </c>
      <c r="P91" s="53" t="n">
        <f aca="false">IF(OR($A91&gt;TOMATO_BED_CAP,$B91&gt;CARROT_BED_CAP,P$4&gt;MESCLUN_BED_CAP,$A91+$B91+P$4&gt;TOTAL_BEDS_AVAILABLE,($D91+P$5)&gt;TOTAL_LABOR_HOURS_CAP,MAX(0,($D91+P$5)-PERMANENT_FIELD_LABOR_HOURS)&gt;TEMP_HOURS_CAP),"",$C91+P$6-MIN(($D91+P$5),PERMANENT_FIELD_LABOR_HOURS)*PERMANENT_HOURLY_RATE-MAX(0,($D91+P$5)-PERMANENT_FIELD_LABOR_HOURS)*TEMP_HOURLY_RATE-FIXED_SEASON_COST)</f>
        <v>10395.8353681349</v>
      </c>
      <c r="Q91" s="53" t="n">
        <f aca="false">IF(OR($A91&gt;TOMATO_BED_CAP,$B91&gt;CARROT_BED_CAP,Q$4&gt;MESCLUN_BED_CAP,$A91+$B91+Q$4&gt;TOTAL_BEDS_AVAILABLE,($D91+Q$5)&gt;TOTAL_LABOR_HOURS_CAP,MAX(0,($D91+Q$5)-PERMANENT_FIELD_LABOR_HOURS)&gt;TEMP_HOURS_CAP),"",$C91+Q$6-MIN(($D91+Q$5),PERMANENT_FIELD_LABOR_HOURS)*PERMANENT_HOURLY_RATE-MAX(0,($D91+Q$5)-PERMANENT_FIELD_LABOR_HOURS)*TEMP_HOURLY_RATE-FIXED_SEASON_COST)</f>
        <v>11209.6825248328</v>
      </c>
      <c r="R91" s="53" t="n">
        <f aca="false">IF(OR($A91&gt;TOMATO_BED_CAP,$B91&gt;CARROT_BED_CAP,R$4&gt;MESCLUN_BED_CAP,$A91+$B91+R$4&gt;TOTAL_BEDS_AVAILABLE,($D91+R$5)&gt;TOTAL_LABOR_HOURS_CAP,MAX(0,($D91+R$5)-PERMANENT_FIELD_LABOR_HOURS)&gt;TEMP_HOURS_CAP),"",$C91+R$6-MIN(($D91+R$5),PERMANENT_FIELD_LABOR_HOURS)*PERMANENT_HOURLY_RATE-MAX(0,($D91+R$5)-PERMANENT_FIELD_LABOR_HOURS)*TEMP_HOURLY_RATE-FIXED_SEASON_COST)</f>
        <v>11999.7579385296</v>
      </c>
      <c r="S91" s="53" t="n">
        <f aca="false">IF(OR($A91&gt;TOMATO_BED_CAP,$B91&gt;CARROT_BED_CAP,S$4&gt;MESCLUN_BED_CAP,$A91+$B91+S$4&gt;TOTAL_BEDS_AVAILABLE,($D91+S$5)&gt;TOTAL_LABOR_HOURS_CAP,MAX(0,($D91+S$5)-PERMANENT_FIELD_LABOR_HOURS)&gt;TEMP_HOURS_CAP),"",$C91+S$6-MIN(($D91+S$5),PERMANENT_FIELD_LABOR_HOURS)*PERMANENT_HOURLY_RATE-MAX(0,($D91+S$5)-PERMANENT_FIELD_LABOR_HOURS)*TEMP_HOURLY_RATE-FIXED_SEASON_COST)</f>
        <v>12765.6245270321</v>
      </c>
      <c r="T91" s="53" t="n">
        <f aca="false">IF(OR($A91&gt;TOMATO_BED_CAP,$B91&gt;CARROT_BED_CAP,T$4&gt;MESCLUN_BED_CAP,$A91+$B91+T$4&gt;TOTAL_BEDS_AVAILABLE,($D91+T$5)&gt;TOTAL_LABOR_HOURS_CAP,MAX(0,($D91+T$5)-PERMANENT_FIELD_LABOR_HOURS)&gt;TEMP_HOURS_CAP),"",$C91+T$6-MIN(($D91+T$5),PERMANENT_FIELD_LABOR_HOURS)*PERMANENT_HOURLY_RATE-MAX(0,($D91+T$5)-PERMANENT_FIELD_LABOR_HOURS)*TEMP_HOURLY_RATE-FIXED_SEASON_COST)</f>
        <v>13506.8379954269</v>
      </c>
      <c r="U91" s="53" t="n">
        <f aca="false">IF(OR($A91&gt;TOMATO_BED_CAP,$B91&gt;CARROT_BED_CAP,U$4&gt;MESCLUN_BED_CAP,$A91+$B91+U$4&gt;TOTAL_BEDS_AVAILABLE,($D91+U$5)&gt;TOTAL_LABOR_HOURS_CAP,MAX(0,($D91+U$5)-PERMANENT_FIELD_LABOR_HOURS)&gt;TEMP_HOURS_CAP),"",$C91+U$6-MIN(($D91+U$5),PERMANENT_FIELD_LABOR_HOURS)*PERMANENT_HOURLY_RATE-MAX(0,($D91+U$5)-PERMANENT_FIELD_LABOR_HOURS)*TEMP_HOURLY_RATE-FIXED_SEASON_COST)</f>
        <v>14222.946724057</v>
      </c>
      <c r="V91" s="53" t="n">
        <f aca="false">IF(OR($A91&gt;TOMATO_BED_CAP,$B91&gt;CARROT_BED_CAP,V$4&gt;MESCLUN_BED_CAP,$A91+$B91+V$4&gt;TOTAL_BEDS_AVAILABLE,($D91+V$5)&gt;TOTAL_LABOR_HOURS_CAP,MAX(0,($D91+V$5)-PERMANENT_FIELD_LABOR_HOURS)&gt;TEMP_HOURS_CAP),"",$C91+V$6-MIN(($D91+V$5),PERMANENT_FIELD_LABOR_HOURS)*PERMANENT_HOURLY_RATE-MAX(0,($D91+V$5)-PERMANENT_FIELD_LABOR_HOURS)*TEMP_HOURLY_RATE-FIXED_SEASON_COST)</f>
        <v>14913.4916548238</v>
      </c>
      <c r="W91" s="53" t="n">
        <f aca="false">IF(OR($A91&gt;TOMATO_BED_CAP,$B91&gt;CARROT_BED_CAP,W$4&gt;MESCLUN_BED_CAP,$A91+$B91+W$4&gt;TOTAL_BEDS_AVAILABLE,($D91+W$5)&gt;TOTAL_LABOR_HOURS_CAP,MAX(0,($D91+W$5)-PERMANENT_FIELD_LABOR_HOURS)&gt;TEMP_HOURS_CAP),"",$C91+W$6-MIN(($D91+W$5),PERMANENT_FIELD_LABOR_HOURS)*PERMANENT_HOURLY_RATE-MAX(0,($D91+W$5)-PERMANENT_FIELD_LABOR_HOURS)*TEMP_HOURLY_RATE-FIXED_SEASON_COST)</f>
        <v>15578.0061757919</v>
      </c>
      <c r="X91" s="53" t="n">
        <f aca="false">IF(OR($A91&gt;TOMATO_BED_CAP,$B91&gt;CARROT_BED_CAP,X$4&gt;MESCLUN_BED_CAP,$A91+$B91+X$4&gt;TOTAL_BEDS_AVAILABLE,($D91+X$5)&gt;TOTAL_LABOR_HOURS_CAP,MAX(0,($D91+X$5)-PERMANENT_FIELD_LABOR_HOURS)&gt;TEMP_HOURS_CAP),"",$C91+X$6-MIN(($D91+X$5),PERMANENT_FIELD_LABOR_HOURS)*PERMANENT_HOURLY_RATE-MAX(0,($D91+X$5)-PERMANENT_FIELD_LABOR_HOURS)*TEMP_HOURLY_RATE-FIXED_SEASON_COST)</f>
        <v>16216.0160040708</v>
      </c>
      <c r="Y91" s="53" t="n">
        <f aca="false">IF(OR($A91&gt;TOMATO_BED_CAP,$B91&gt;CARROT_BED_CAP,Y$4&gt;MESCLUN_BED_CAP,$A91+$B91+Y$4&gt;TOTAL_BEDS_AVAILABLE,($D91+Y$5)&gt;TOTAL_LABOR_HOURS_CAP,MAX(0,($D91+Y$5)-PERMANENT_FIELD_LABOR_HOURS)&gt;TEMP_HOURS_CAP),"",$C91+Y$6-MIN(($D91+Y$5),PERMANENT_FIELD_LABOR_HOURS)*PERMANENT_HOURLY_RATE-MAX(0,($D91+Y$5)-PERMANENT_FIELD_LABOR_HOURS)*TEMP_HOURLY_RATE-FIXED_SEASON_COST)</f>
        <v>16827.0390669494</v>
      </c>
      <c r="Z91" s="53" t="n">
        <f aca="false">IF(OR($A91&gt;TOMATO_BED_CAP,$B91&gt;CARROT_BED_CAP,Z$4&gt;MESCLUN_BED_CAP,$A91+$B91+Z$4&gt;TOTAL_BEDS_AVAILABLE,($D91+Z$5)&gt;TOTAL_LABOR_HOURS_CAP,MAX(0,($D91+Z$5)-PERMANENT_FIELD_LABOR_HOURS)&gt;TEMP_HOURS_CAP),"",$C91+Z$6-MIN(($D91+Z$5),PERMANENT_FIELD_LABOR_HOURS)*PERMANENT_HOURLY_RATE-MAX(0,($D91+Z$5)-PERMANENT_FIELD_LABOR_HOURS)*TEMP_HOURLY_RATE-FIXED_SEASON_COST)</f>
        <v>17410.5853812572</v>
      </c>
      <c r="AA91" s="53" t="n">
        <f aca="false">IF(OR($A91&gt;TOMATO_BED_CAP,$B91&gt;CARROT_BED_CAP,AA$4&gt;MESCLUN_BED_CAP,$A91+$B91+AA$4&gt;TOTAL_BEDS_AVAILABLE,($D91+AA$5)&gt;TOTAL_LABOR_HOURS_CAP,MAX(0,($D91+AA$5)-PERMANENT_FIELD_LABOR_HOURS)&gt;TEMP_HOURS_CAP),"",$C91+AA$6-MIN(($D91+AA$5),PERMANENT_FIELD_LABOR_HOURS)*PERMANENT_HOURLY_RATE-MAX(0,($D91+AA$5)-PERMANENT_FIELD_LABOR_HOURS)*TEMP_HOURLY_RATE-FIXED_SEASON_COST)</f>
        <v>17966.1569309261</v>
      </c>
      <c r="AB91" s="53" t="n">
        <f aca="false">IF(OR($A91&gt;TOMATO_BED_CAP,$B91&gt;CARROT_BED_CAP,AB$4&gt;MESCLUN_BED_CAP,$A91+$B91+AB$4&gt;TOTAL_BEDS_AVAILABLE,($D91+AB$5)&gt;TOTAL_LABOR_HOURS_CAP,MAX(0,($D91+AB$5)-PERMANENT_FIELD_LABOR_HOURS)&gt;TEMP_HOURS_CAP),"",$C91+AB$6-MIN(($D91+AB$5),PERMANENT_FIELD_LABOR_HOURS)*PERMANENT_HOURLY_RATE-MAX(0,($D91+AB$5)-PERMANENT_FIELD_LABOR_HOURS)*TEMP_HOURLY_RATE-FIXED_SEASON_COST)</f>
        <v>18493.2475427287</v>
      </c>
      <c r="AC91" s="53" t="n">
        <f aca="false">IF(OR($A91&gt;TOMATO_BED_CAP,$B91&gt;CARROT_BED_CAP,AC$4&gt;MESCLUN_BED_CAP,$A91+$B91+AC$4&gt;TOTAL_BEDS_AVAILABLE,($D91+AC$5)&gt;TOTAL_LABOR_HOURS_CAP,MAX(0,($D91+AC$5)-PERMANENT_FIELD_LABOR_HOURS)&gt;TEMP_HOURS_CAP),"",$C91+AC$6-MIN(($D91+AC$5),PERMANENT_FIELD_LABOR_HOURS)*PERMANENT_HOURLY_RATE-MAX(0,($D91+AC$5)-PERMANENT_FIELD_LABOR_HOURS)*TEMP_HOURLY_RATE-FIXED_SEASON_COST)</f>
        <v>18991.3427601636</v>
      </c>
      <c r="AD91" s="53" t="n">
        <f aca="false">IF(OR($A91&gt;TOMATO_BED_CAP,$B91&gt;CARROT_BED_CAP,AD$4&gt;MESCLUN_BED_CAP,$A91+$B91+AD$4&gt;TOTAL_BEDS_AVAILABLE,($D91+AD$5)&gt;TOTAL_LABOR_HOURS_CAP,MAX(0,($D91+AD$5)-PERMANENT_FIELD_LABOR_HOURS)&gt;TEMP_HOURS_CAP),"",$C91+AD$6-MIN(($D91+AD$5),PERMANENT_FIELD_LABOR_HOURS)*PERMANENT_HOURLY_RATE-MAX(0,($D91+AD$5)-PERMANENT_FIELD_LABOR_HOURS)*TEMP_HOURLY_RATE-FIXED_SEASON_COST)</f>
        <v>19459.9197154635</v>
      </c>
      <c r="AE91" s="53" t="n">
        <f aca="false">IF(OR($A91&gt;TOMATO_BED_CAP,$B91&gt;CARROT_BED_CAP,AE$4&gt;MESCLUN_BED_CAP,$A91+$B91+AE$4&gt;TOTAL_BEDS_AVAILABLE,($D91+AE$5)&gt;TOTAL_LABOR_HOURS_CAP,MAX(0,($D91+AE$5)-PERMANENT_FIELD_LABOR_HOURS)&gt;TEMP_HOURS_CAP),"",$C91+AE$6-MIN(($D91+AE$5),PERMANENT_FIELD_LABOR_HOURS)*PERMANENT_HOURLY_RATE-MAX(0,($D91+AE$5)-PERMANENT_FIELD_LABOR_HOURS)*TEMP_HOURLY_RATE-FIXED_SEASON_COST)</f>
        <v>19898.4469996974</v>
      </c>
      <c r="AF91" s="53" t="n">
        <f aca="false">IF(OR($A91&gt;TOMATO_BED_CAP,$B91&gt;CARROT_BED_CAP,AF$4&gt;MESCLUN_BED_CAP,$A91+$B91+AF$4&gt;TOTAL_BEDS_AVAILABLE,($D91+AF$5)&gt;TOTAL_LABOR_HOURS_CAP,MAX(0,($D91+AF$5)-PERMANENT_FIELD_LABOR_HOURS)&gt;TEMP_HOURS_CAP),"",$C91+AF$6-MIN(($D91+AF$5),PERMANENT_FIELD_LABOR_HOURS)*PERMANENT_HOURLY_RATE-MAX(0,($D91+AF$5)-PERMANENT_FIELD_LABOR_HOURS)*TEMP_HOURLY_RATE-FIXED_SEASON_COST)</f>
        <v>20306.3845309394</v>
      </c>
      <c r="AG91" s="53" t="n">
        <f aca="false">IF(OR($A91&gt;TOMATO_BED_CAP,$B91&gt;CARROT_BED_CAP,AG$4&gt;MESCLUN_BED_CAP,$A91+$B91+AG$4&gt;TOTAL_BEDS_AVAILABLE,($D91+AG$5)&gt;TOTAL_LABOR_HOURS_CAP,MAX(0,($D91+AG$5)-PERMANENT_FIELD_LABOR_HOURS)&gt;TEMP_HOURS_CAP),"",$C91+AG$6-MIN(($D91+AG$5),PERMANENT_FIELD_LABOR_HOURS)*PERMANENT_HOURLY_RATE-MAX(0,($D91+AG$5)-PERMANENT_FIELD_LABOR_HOURS)*TEMP_HOURLY_RATE-FIXED_SEASON_COST)</f>
        <v>20683.1834204764</v>
      </c>
      <c r="AH91" s="53" t="n">
        <f aca="false">IF(OR($A91&gt;TOMATO_BED_CAP,$B91&gt;CARROT_BED_CAP,AH$4&gt;MESCLUN_BED_CAP,$A91+$B91+AH$4&gt;TOTAL_BEDS_AVAILABLE,($D91+AH$5)&gt;TOTAL_LABOR_HOURS_CAP,MAX(0,($D91+AH$5)-PERMANENT_FIELD_LABOR_HOURS)&gt;TEMP_HOURS_CAP),"",$C91+AH$6-MIN(($D91+AH$5),PERMANENT_FIELD_LABOR_HOURS)*PERMANENT_HOURLY_RATE-MAX(0,($D91+AH$5)-PERMANENT_FIELD_LABOR_HOURS)*TEMP_HOURLY_RATE-FIXED_SEASON_COST)</f>
        <v>21028.2858370266</v>
      </c>
      <c r="AI91" s="53" t="n">
        <f aca="false">IF(OR($A91&gt;TOMATO_BED_CAP,$B91&gt;CARROT_BED_CAP,AI$4&gt;MESCLUN_BED_CAP,$A91+$B91+AI$4&gt;TOTAL_BEDS_AVAILABLE,($D91+AI$5)&gt;TOTAL_LABOR_HOURS_CAP,MAX(0,($D91+AI$5)-PERMANENT_FIELD_LABOR_HOURS)&gt;TEMP_HOURS_CAP),"",$C91+AI$6-MIN(($D91+AI$5),PERMANENT_FIELD_LABOR_HOURS)*PERMANENT_HOURLY_RATE-MAX(0,($D91+AI$5)-PERMANENT_FIELD_LABOR_HOURS)*TEMP_HOURLY_RATE-FIXED_SEASON_COST)</f>
        <v>21341.1248689389</v>
      </c>
      <c r="AJ91" s="53" t="n">
        <f aca="false">IF(OR($A91&gt;TOMATO_BED_CAP,$B91&gt;CARROT_BED_CAP,AJ$4&gt;MESCLUN_BED_CAP,$A91+$B91+AJ$4&gt;TOTAL_BEDS_AVAILABLE,($D91+AJ$5)&gt;TOTAL_LABOR_HOURS_CAP,MAX(0,($D91+AJ$5)-PERMANENT_FIELD_LABOR_HOURS)&gt;TEMP_HOURS_CAP),"",$C91+AJ$6-MIN(($D91+AJ$5),PERMANENT_FIELD_LABOR_HOURS)*PERMANENT_HOURLY_RATE-MAX(0,($D91+AJ$5)-PERMANENT_FIELD_LABOR_HOURS)*TEMP_HOURLY_RATE-FIXED_SEASON_COST)</f>
        <v>21621.1243843446</v>
      </c>
    </row>
    <row r="92" customFormat="false" ht="15" hidden="false" customHeight="false" outlineLevel="0" collapsed="false">
      <c r="A92" s="21" t="n">
        <f aca="false">INT((ROW()-ROW($A$8))/(20+1))</f>
        <v>4</v>
      </c>
      <c r="B92" s="21" t="n">
        <f aca="false">MOD(ROW()-ROW($A$8),20+1)</f>
        <v>0</v>
      </c>
      <c r="C92" s="13" t="n">
        <f aca="false">A92*(TOMATO_REVENUE_PER_BED-TOMATO_FERTILIZER_PER_BED)+B92*(CARROT_REVENUE_PER_BED-CARROT_FERTILIZER_PER_BED)</f>
        <v>31680</v>
      </c>
      <c r="D92" s="14" t="n">
        <f aca="false">INDEX(TOMATO_SCHED_LABOR_HRS,A92+1)+INDEX(CARROT_SCHED_LABOR_HRS,B92+1)</f>
        <v>527.076</v>
      </c>
      <c r="E92" s="13" t="n">
        <f aca="false">IF(COUNT(F92:AJ92)=0,"",MAX(F92:AJ92))</f>
        <v>10610.7499348725</v>
      </c>
      <c r="F92" s="53" t="n">
        <f aca="false">IF(OR($A92&gt;TOMATO_BED_CAP,$B92&gt;CARROT_BED_CAP,F$4&gt;MESCLUN_BED_CAP,$A92+$B92+F$4&gt;TOTAL_BEDS_AVAILABLE,($D92+F$5)&gt;TOTAL_LABOR_HOURS_CAP,MAX(0,($D92+F$5)-PERMANENT_FIELD_LABOR_HOURS)&gt;TEMP_HOURS_CAP),"",$C92+F$6-MIN(($D92+F$5),PERMANENT_FIELD_LABOR_HOURS)*PERMANENT_HOURLY_RATE-MAX(0,($D92+F$5)-PERMANENT_FIELD_LABOR_HOURS)*TEMP_HOURLY_RATE-FIXED_SEASON_COST)</f>
        <v>-6620.07872000001</v>
      </c>
      <c r="G92" s="53" t="n">
        <f aca="false">IF(OR($A92&gt;TOMATO_BED_CAP,$B92&gt;CARROT_BED_CAP,G$4&gt;MESCLUN_BED_CAP,$A92+$B92+G$4&gt;TOTAL_BEDS_AVAILABLE,($D92+G$5)&gt;TOTAL_LABOR_HOURS_CAP,MAX(0,($D92+G$5)-PERMANENT_FIELD_LABOR_HOURS)&gt;TEMP_HOURS_CAP),"",$C92+G$6-MIN(($D92+G$5),PERMANENT_FIELD_LABOR_HOURS)*PERMANENT_HOURLY_RATE-MAX(0,($D92+G$5)-PERMANENT_FIELD_LABOR_HOURS)*TEMP_HOURLY_RATE-FIXED_SEASON_COST)</f>
        <v>-6382.00872000001</v>
      </c>
      <c r="H92" s="53" t="n">
        <f aca="false">IF(OR($A92&gt;TOMATO_BED_CAP,$B92&gt;CARROT_BED_CAP,H$4&gt;MESCLUN_BED_CAP,$A92+$B92+H$4&gt;TOTAL_BEDS_AVAILABLE,($D92+H$5)&gt;TOTAL_LABOR_HOURS_CAP,MAX(0,($D92+H$5)-PERMANENT_FIELD_LABOR_HOURS)&gt;TEMP_HOURS_CAP),"",$C92+H$6-MIN(($D92+H$5),PERMANENT_FIELD_LABOR_HOURS)*PERMANENT_HOURLY_RATE-MAX(0,($D92+H$5)-PERMANENT_FIELD_LABOR_HOURS)*TEMP_HOURLY_RATE-FIXED_SEASON_COST)</f>
        <v>-6183.48697000001</v>
      </c>
      <c r="I92" s="53" t="n">
        <f aca="false">IF(OR($A92&gt;TOMATO_BED_CAP,$B92&gt;CARROT_BED_CAP,I$4&gt;MESCLUN_BED_CAP,$A92+$B92+I$4&gt;TOTAL_BEDS_AVAILABLE,($D92+I$5)&gt;TOTAL_LABOR_HOURS_CAP,MAX(0,($D92+I$5)-PERMANENT_FIELD_LABOR_HOURS)&gt;TEMP_HOURS_CAP),"",$C92+I$6-MIN(($D92+I$5),PERMANENT_FIELD_LABOR_HOURS)*PERMANENT_HOURLY_RATE-MAX(0,($D92+I$5)-PERMANENT_FIELD_LABOR_HOURS)*TEMP_HOURLY_RATE-FIXED_SEASON_COST)</f>
        <v>-6025.2549996875</v>
      </c>
      <c r="J92" s="53" t="n">
        <f aca="false">IF(OR($A92&gt;TOMATO_BED_CAP,$B92&gt;CARROT_BED_CAP,J$4&gt;MESCLUN_BED_CAP,$A92+$B92+J$4&gt;TOTAL_BEDS_AVAILABLE,($D92+J$5)&gt;TOTAL_LABOR_HOURS_CAP,MAX(0,($D92+J$5)-PERMANENT_FIELD_LABOR_HOURS)&gt;TEMP_HOURS_CAP),"",$C92+J$6-MIN(($D92+J$5),PERMANENT_FIELD_LABOR_HOURS)*PERMANENT_HOURLY_RATE-MAX(0,($D92+J$5)-PERMANENT_FIELD_LABOR_HOURS)*TEMP_HOURLY_RATE-FIXED_SEASON_COST)</f>
        <v>-5908.06669757812</v>
      </c>
      <c r="K92" s="53" t="n">
        <f aca="false">IF(OR($A92&gt;TOMATO_BED_CAP,$B92&gt;CARROT_BED_CAP,K$4&gt;MESCLUN_BED_CAP,$A92+$B92+K$4&gt;TOTAL_BEDS_AVAILABLE,($D92+K$5)&gt;TOTAL_LABOR_HOURS_CAP,MAX(0,($D92+K$5)-PERMANENT_FIELD_LABOR_HOURS)&gt;TEMP_HOURS_CAP),"",$C92+K$6-MIN(($D92+K$5),PERMANENT_FIELD_LABOR_HOURS)*PERMANENT_HOURLY_RATE-MAX(0,($D92+K$5)-PERMANENT_FIELD_LABOR_HOURS)*TEMP_HOURLY_RATE-FIXED_SEASON_COST)</f>
        <v>-5025.54425206116</v>
      </c>
      <c r="L92" s="53" t="n">
        <f aca="false">IF(OR($A92&gt;TOMATO_BED_CAP,$B92&gt;CARROT_BED_CAP,L$4&gt;MESCLUN_BED_CAP,$A92+$B92+L$4&gt;TOTAL_BEDS_AVAILABLE,($D92+L$5)&gt;TOTAL_LABOR_HOURS_CAP,MAX(0,($D92+L$5)-PERMANENT_FIELD_LABOR_HOURS)&gt;TEMP_HOURS_CAP),"",$C92+L$6-MIN(($D92+L$5),PERMANENT_FIELD_LABOR_HOURS)*PERMANENT_HOURLY_RATE-MAX(0,($D92+L$5)-PERMANENT_FIELD_LABOR_HOURS)*TEMP_HOURLY_RATE-FIXED_SEASON_COST)</f>
        <v>-4099.1498038543</v>
      </c>
      <c r="M92" s="53" t="n">
        <f aca="false">IF(OR($A92&gt;TOMATO_BED_CAP,$B92&gt;CARROT_BED_CAP,M$4&gt;MESCLUN_BED_CAP,$A92+$B92+M$4&gt;TOTAL_BEDS_AVAILABLE,($D92+M$5)&gt;TOTAL_LABOR_HOURS_CAP,MAX(0,($D92+M$5)-PERMANENT_FIELD_LABOR_HOURS)&gt;TEMP_HOURS_CAP),"",$C92+M$6-MIN(($D92+M$5),PERMANENT_FIELD_LABOR_HOURS)*PERMANENT_HOURLY_RATE-MAX(0,($D92+M$5)-PERMANENT_FIELD_LABOR_HOURS)*TEMP_HOURLY_RATE-FIXED_SEASON_COST)</f>
        <v>-3194.4460718029</v>
      </c>
      <c r="N92" s="53" t="n">
        <f aca="false">IF(OR($A92&gt;TOMATO_BED_CAP,$B92&gt;CARROT_BED_CAP,N$4&gt;MESCLUN_BED_CAP,$A92+$B92+N$4&gt;TOTAL_BEDS_AVAILABLE,($D92+N$5)&gt;TOTAL_LABOR_HOURS_CAP,MAX(0,($D92+N$5)-PERMANENT_FIELD_LABOR_HOURS)&gt;TEMP_HOURS_CAP),"",$C92+N$6-MIN(($D92+N$5),PERMANENT_FIELD_LABOR_HOURS)*PERMANENT_HOURLY_RATE-MAX(0,($D92+N$5)-PERMANENT_FIELD_LABOR_HOURS)*TEMP_HOURLY_RATE-FIXED_SEASON_COST)</f>
        <v>-2311.83569794335</v>
      </c>
      <c r="O92" s="53" t="n">
        <f aca="false">IF(OR($A92&gt;TOMATO_BED_CAP,$B92&gt;CARROT_BED_CAP,O$4&gt;MESCLUN_BED_CAP,$A92+$B92+O$4&gt;TOTAL_BEDS_AVAILABLE,($D92+O$5)&gt;TOTAL_LABOR_HOURS_CAP,MAX(0,($D92+O$5)-PERMANENT_FIELD_LABOR_HOURS)&gt;TEMP_HOURS_CAP),"",$C92+O$6-MIN(($D92+O$5),PERMANENT_FIELD_LABOR_HOURS)*PERMANENT_HOURLY_RATE-MAX(0,($D92+O$5)-PERMANENT_FIELD_LABOR_HOURS)*TEMP_HOURLY_RATE-FIXED_SEASON_COST)</f>
        <v>-1451.7280011886</v>
      </c>
      <c r="P92" s="53" t="n">
        <f aca="false">IF(OR($A92&gt;TOMATO_BED_CAP,$B92&gt;CARROT_BED_CAP,P$4&gt;MESCLUN_BED_CAP,$A92+$B92+P$4&gt;TOTAL_BEDS_AVAILABLE,($D92+P$5)&gt;TOTAL_LABOR_HOURS_CAP,MAX(0,($D92+P$5)-PERMANENT_FIELD_LABOR_HOURS)&gt;TEMP_HOURS_CAP),"",$C92+P$6-MIN(($D92+P$5),PERMANENT_FIELD_LABOR_HOURS)*PERMANENT_HOURLY_RATE-MAX(0,($D92+P$5)-PERMANENT_FIELD_LABOR_HOURS)*TEMP_HOURLY_RATE-FIXED_SEASON_COST)</f>
        <v>-614.539081337171</v>
      </c>
      <c r="Q92" s="53" t="n">
        <f aca="false">IF(OR($A92&gt;TOMATO_BED_CAP,$B92&gt;CARROT_BED_CAP,Q$4&gt;MESCLUN_BED_CAP,$A92+$B92+Q$4&gt;TOTAL_BEDS_AVAILABLE,($D92+Q$5)&gt;TOTAL_LABOR_HOURS_CAP,MAX(0,($D92+Q$5)-PERMANENT_FIELD_LABOR_HOURS)&gt;TEMP_HOURS_CAP),"",$C92+Q$6-MIN(($D92+Q$5),PERMANENT_FIELD_LABOR_HOURS)*PERMANENT_HOURLY_RATE-MAX(0,($D92+Q$5)-PERMANENT_FIELD_LABOR_HOURS)*TEMP_HOURLY_RATE-FIXED_SEASON_COST)</f>
        <v>199.308075360721</v>
      </c>
      <c r="R92" s="53" t="n">
        <f aca="false">IF(OR($A92&gt;TOMATO_BED_CAP,$B92&gt;CARROT_BED_CAP,R$4&gt;MESCLUN_BED_CAP,$A92+$B92+R$4&gt;TOTAL_BEDS_AVAILABLE,($D92+R$5)&gt;TOTAL_LABOR_HOURS_CAP,MAX(0,($D92+R$5)-PERMANENT_FIELD_LABOR_HOURS)&gt;TEMP_HOURS_CAP),"",$C92+R$6-MIN(($D92+R$5),PERMANENT_FIELD_LABOR_HOURS)*PERMANENT_HOURLY_RATE-MAX(0,($D92+R$5)-PERMANENT_FIELD_LABOR_HOURS)*TEMP_HOURLY_RATE-FIXED_SEASON_COST)</f>
        <v>989.383489057527</v>
      </c>
      <c r="S92" s="53" t="n">
        <f aca="false">IF(OR($A92&gt;TOMATO_BED_CAP,$B92&gt;CARROT_BED_CAP,S$4&gt;MESCLUN_BED_CAP,$A92+$B92+S$4&gt;TOTAL_BEDS_AVAILABLE,($D92+S$5)&gt;TOTAL_LABOR_HOURS_CAP,MAX(0,($D92+S$5)-PERMANENT_FIELD_LABOR_HOURS)&gt;TEMP_HOURS_CAP),"",$C92+S$6-MIN(($D92+S$5),PERMANENT_FIELD_LABOR_HOURS)*PERMANENT_HOURLY_RATE-MAX(0,($D92+S$5)-PERMANENT_FIELD_LABOR_HOURS)*TEMP_HOURLY_RATE-FIXED_SEASON_COST)</f>
        <v>1755.25007755998</v>
      </c>
      <c r="T92" s="53" t="n">
        <f aca="false">IF(OR($A92&gt;TOMATO_BED_CAP,$B92&gt;CARROT_BED_CAP,T$4&gt;MESCLUN_BED_CAP,$A92+$B92+T$4&gt;TOTAL_BEDS_AVAILABLE,($D92+T$5)&gt;TOTAL_LABOR_HOURS_CAP,MAX(0,($D92+T$5)-PERMANENT_FIELD_LABOR_HOURS)&gt;TEMP_HOURS_CAP),"",$C92+T$6-MIN(($D92+T$5),PERMANENT_FIELD_LABOR_HOURS)*PERMANENT_HOURLY_RATE-MAX(0,($D92+T$5)-PERMANENT_FIELD_LABOR_HOURS)*TEMP_HOURLY_RATE-FIXED_SEASON_COST)</f>
        <v>2496.46354595482</v>
      </c>
      <c r="U92" s="53" t="n">
        <f aca="false">IF(OR($A92&gt;TOMATO_BED_CAP,$B92&gt;CARROT_BED_CAP,U$4&gt;MESCLUN_BED_CAP,$A92+$B92+U$4&gt;TOTAL_BEDS_AVAILABLE,($D92+U$5)&gt;TOTAL_LABOR_HOURS_CAP,MAX(0,($D92+U$5)-PERMANENT_FIELD_LABOR_HOURS)&gt;TEMP_HOURS_CAP),"",$C92+U$6-MIN(($D92+U$5),PERMANENT_FIELD_LABOR_HOURS)*PERMANENT_HOURLY_RATE-MAX(0,($D92+U$5)-PERMANENT_FIELD_LABOR_HOURS)*TEMP_HOURLY_RATE-FIXED_SEASON_COST)</f>
        <v>3212.57227458492</v>
      </c>
      <c r="V92" s="53" t="n">
        <f aca="false">IF(OR($A92&gt;TOMATO_BED_CAP,$B92&gt;CARROT_BED_CAP,V$4&gt;MESCLUN_BED_CAP,$A92+$B92+V$4&gt;TOTAL_BEDS_AVAILABLE,($D92+V$5)&gt;TOTAL_LABOR_HOURS_CAP,MAX(0,($D92+V$5)-PERMANENT_FIELD_LABOR_HOURS)&gt;TEMP_HOURS_CAP),"",$C92+V$6-MIN(($D92+V$5),PERMANENT_FIELD_LABOR_HOURS)*PERMANENT_HOURLY_RATE-MAX(0,($D92+V$5)-PERMANENT_FIELD_LABOR_HOURS)*TEMP_HOURLY_RATE-FIXED_SEASON_COST)</f>
        <v>3903.11720535172</v>
      </c>
      <c r="W92" s="53" t="n">
        <f aca="false">IF(OR($A92&gt;TOMATO_BED_CAP,$B92&gt;CARROT_BED_CAP,W$4&gt;MESCLUN_BED_CAP,$A92+$B92+W$4&gt;TOTAL_BEDS_AVAILABLE,($D92+W$5)&gt;TOTAL_LABOR_HOURS_CAP,MAX(0,($D92+W$5)-PERMANENT_FIELD_LABOR_HOURS)&gt;TEMP_HOURS_CAP),"",$C92+W$6-MIN(($D92+W$5),PERMANENT_FIELD_LABOR_HOURS)*PERMANENT_HOURLY_RATE-MAX(0,($D92+W$5)-PERMANENT_FIELD_LABOR_HOURS)*TEMP_HOURLY_RATE-FIXED_SEASON_COST)</f>
        <v>4567.63172631977</v>
      </c>
      <c r="X92" s="53" t="n">
        <f aca="false">IF(OR($A92&gt;TOMATO_BED_CAP,$B92&gt;CARROT_BED_CAP,X$4&gt;MESCLUN_BED_CAP,$A92+$B92+X$4&gt;TOTAL_BEDS_AVAILABLE,($D92+X$5)&gt;TOTAL_LABOR_HOURS_CAP,MAX(0,($D92+X$5)-PERMANENT_FIELD_LABOR_HOURS)&gt;TEMP_HOURS_CAP),"",$C92+X$6-MIN(($D92+X$5),PERMANENT_FIELD_LABOR_HOURS)*PERMANENT_HOURLY_RATE-MAX(0,($D92+X$5)-PERMANENT_FIELD_LABOR_HOURS)*TEMP_HOURLY_RATE-FIXED_SEASON_COST)</f>
        <v>5205.6415545987</v>
      </c>
      <c r="Y92" s="53" t="n">
        <f aca="false">IF(OR($A92&gt;TOMATO_BED_CAP,$B92&gt;CARROT_BED_CAP,Y$4&gt;MESCLUN_BED_CAP,$A92+$B92+Y$4&gt;TOTAL_BEDS_AVAILABLE,($D92+Y$5)&gt;TOTAL_LABOR_HOURS_CAP,MAX(0,($D92+Y$5)-PERMANENT_FIELD_LABOR_HOURS)&gt;TEMP_HOURS_CAP),"",$C92+Y$6-MIN(($D92+Y$5),PERMANENT_FIELD_LABOR_HOURS)*PERMANENT_HOURLY_RATE-MAX(0,($D92+Y$5)-PERMANENT_FIELD_LABOR_HOURS)*TEMP_HOURLY_RATE-FIXED_SEASON_COST)</f>
        <v>5816.66461747736</v>
      </c>
      <c r="Z92" s="53" t="n">
        <f aca="false">IF(OR($A92&gt;TOMATO_BED_CAP,$B92&gt;CARROT_BED_CAP,Z$4&gt;MESCLUN_BED_CAP,$A92+$B92+Z$4&gt;TOTAL_BEDS_AVAILABLE,($D92+Z$5)&gt;TOTAL_LABOR_HOURS_CAP,MAX(0,($D92+Z$5)-PERMANENT_FIELD_LABOR_HOURS)&gt;TEMP_HOURS_CAP),"",$C92+Z$6-MIN(($D92+Z$5),PERMANENT_FIELD_LABOR_HOURS)*PERMANENT_HOURLY_RATE-MAX(0,($D92+Z$5)-PERMANENT_FIELD_LABOR_HOURS)*TEMP_HOURLY_RATE-FIXED_SEASON_COST)</f>
        <v>6400.21093178508</v>
      </c>
      <c r="AA92" s="53" t="n">
        <f aca="false">IF(OR($A92&gt;TOMATO_BED_CAP,$B92&gt;CARROT_BED_CAP,AA$4&gt;MESCLUN_BED_CAP,$A92+$B92+AA$4&gt;TOTAL_BEDS_AVAILABLE,($D92+AA$5)&gt;TOTAL_LABOR_HOURS_CAP,MAX(0,($D92+AA$5)-PERMANENT_FIELD_LABOR_HOURS)&gt;TEMP_HOURS_CAP),"",$C92+AA$6-MIN(($D92+AA$5),PERMANENT_FIELD_LABOR_HOURS)*PERMANENT_HOURLY_RATE-MAX(0,($D92+AA$5)-PERMANENT_FIELD_LABOR_HOURS)*TEMP_HOURLY_RATE-FIXED_SEASON_COST)</f>
        <v>6955.78248145402</v>
      </c>
      <c r="AB92" s="53" t="n">
        <f aca="false">IF(OR($A92&gt;TOMATO_BED_CAP,$B92&gt;CARROT_BED_CAP,AB$4&gt;MESCLUN_BED_CAP,$A92+$B92+AB$4&gt;TOTAL_BEDS_AVAILABLE,($D92+AB$5)&gt;TOTAL_LABOR_HOURS_CAP,MAX(0,($D92+AB$5)-PERMANENT_FIELD_LABOR_HOURS)&gt;TEMP_HOURS_CAP),"",$C92+AB$6-MIN(($D92+AB$5),PERMANENT_FIELD_LABOR_HOURS)*PERMANENT_HOURLY_RATE-MAX(0,($D92+AB$5)-PERMANENT_FIELD_LABOR_HOURS)*TEMP_HOURLY_RATE-FIXED_SEASON_COST)</f>
        <v>7482.87309325658</v>
      </c>
      <c r="AC92" s="53" t="n">
        <f aca="false">IF(OR($A92&gt;TOMATO_BED_CAP,$B92&gt;CARROT_BED_CAP,AC$4&gt;MESCLUN_BED_CAP,$A92+$B92+AC$4&gt;TOTAL_BEDS_AVAILABLE,($D92+AC$5)&gt;TOTAL_LABOR_HOURS_CAP,MAX(0,($D92+AC$5)-PERMANENT_FIELD_LABOR_HOURS)&gt;TEMP_HOURS_CAP),"",$C92+AC$6-MIN(($D92+AC$5),PERMANENT_FIELD_LABOR_HOURS)*PERMANENT_HOURLY_RATE-MAX(0,($D92+AC$5)-PERMANENT_FIELD_LABOR_HOURS)*TEMP_HOURLY_RATE-FIXED_SEASON_COST)</f>
        <v>7980.96831069148</v>
      </c>
      <c r="AD92" s="53" t="n">
        <f aca="false">IF(OR($A92&gt;TOMATO_BED_CAP,$B92&gt;CARROT_BED_CAP,AD$4&gt;MESCLUN_BED_CAP,$A92+$B92+AD$4&gt;TOTAL_BEDS_AVAILABLE,($D92+AD$5)&gt;TOTAL_LABOR_HOURS_CAP,MAX(0,($D92+AD$5)-PERMANENT_FIELD_LABOR_HOURS)&gt;TEMP_HOURS_CAP),"",$C92+AD$6-MIN(($D92+AD$5),PERMANENT_FIELD_LABOR_HOURS)*PERMANENT_HOURLY_RATE-MAX(0,($D92+AD$5)-PERMANENT_FIELD_LABOR_HOURS)*TEMP_HOURLY_RATE-FIXED_SEASON_COST)</f>
        <v>8449.54526599144</v>
      </c>
      <c r="AE92" s="53" t="n">
        <f aca="false">IF(OR($A92&gt;TOMATO_BED_CAP,$B92&gt;CARROT_BED_CAP,AE$4&gt;MESCLUN_BED_CAP,$A92+$B92+AE$4&gt;TOTAL_BEDS_AVAILABLE,($D92+AE$5)&gt;TOTAL_LABOR_HOURS_CAP,MAX(0,($D92+AE$5)-PERMANENT_FIELD_LABOR_HOURS)&gt;TEMP_HOURS_CAP),"",$C92+AE$6-MIN(($D92+AE$5),PERMANENT_FIELD_LABOR_HOURS)*PERMANENT_HOURLY_RATE-MAX(0,($D92+AE$5)-PERMANENT_FIELD_LABOR_HOURS)*TEMP_HOURLY_RATE-FIXED_SEASON_COST)</f>
        <v>8888.07255022534</v>
      </c>
      <c r="AF92" s="53" t="n">
        <f aca="false">IF(OR($A92&gt;TOMATO_BED_CAP,$B92&gt;CARROT_BED_CAP,AF$4&gt;MESCLUN_BED_CAP,$A92+$B92+AF$4&gt;TOTAL_BEDS_AVAILABLE,($D92+AF$5)&gt;TOTAL_LABOR_HOURS_CAP,MAX(0,($D92+AF$5)-PERMANENT_FIELD_LABOR_HOURS)&gt;TEMP_HOURS_CAP),"",$C92+AF$6-MIN(($D92+AF$5),PERMANENT_FIELD_LABOR_HOURS)*PERMANENT_HOURLY_RATE-MAX(0,($D92+AF$5)-PERMANENT_FIELD_LABOR_HOURS)*TEMP_HOURLY_RATE-FIXED_SEASON_COST)</f>
        <v>9296.01008146729</v>
      </c>
      <c r="AG92" s="53" t="n">
        <f aca="false">IF(OR($A92&gt;TOMATO_BED_CAP,$B92&gt;CARROT_BED_CAP,AG$4&gt;MESCLUN_BED_CAP,$A92+$B92+AG$4&gt;TOTAL_BEDS_AVAILABLE,($D92+AG$5)&gt;TOTAL_LABOR_HOURS_CAP,MAX(0,($D92+AG$5)-PERMANENT_FIELD_LABOR_HOURS)&gt;TEMP_HOURS_CAP),"",$C92+AG$6-MIN(($D92+AG$5),PERMANENT_FIELD_LABOR_HOURS)*PERMANENT_HOURLY_RATE-MAX(0,($D92+AG$5)-PERMANENT_FIELD_LABOR_HOURS)*TEMP_HOURLY_RATE-FIXED_SEASON_COST)</f>
        <v>9672.80897100431</v>
      </c>
      <c r="AH92" s="53" t="n">
        <f aca="false">IF(OR($A92&gt;TOMATO_BED_CAP,$B92&gt;CARROT_BED_CAP,AH$4&gt;MESCLUN_BED_CAP,$A92+$B92+AH$4&gt;TOTAL_BEDS_AVAILABLE,($D92+AH$5)&gt;TOTAL_LABOR_HOURS_CAP,MAX(0,($D92+AH$5)-PERMANENT_FIELD_LABOR_HOURS)&gt;TEMP_HOURS_CAP),"",$C92+AH$6-MIN(($D92+AH$5),PERMANENT_FIELD_LABOR_HOURS)*PERMANENT_HOURLY_RATE-MAX(0,($D92+AH$5)-PERMANENT_FIELD_LABOR_HOURS)*TEMP_HOURLY_RATE-FIXED_SEASON_COST)</f>
        <v>10017.9113875545</v>
      </c>
      <c r="AI92" s="53" t="n">
        <f aca="false">IF(OR($A92&gt;TOMATO_BED_CAP,$B92&gt;CARROT_BED_CAP,AI$4&gt;MESCLUN_BED_CAP,$A92+$B92+AI$4&gt;TOTAL_BEDS_AVAILABLE,($D92+AI$5)&gt;TOTAL_LABOR_HOURS_CAP,MAX(0,($D92+AI$5)-PERMANENT_FIELD_LABOR_HOURS)&gt;TEMP_HOURS_CAP),"",$C92+AI$6-MIN(($D92+AI$5),PERMANENT_FIELD_LABOR_HOURS)*PERMANENT_HOURLY_RATE-MAX(0,($D92+AI$5)-PERMANENT_FIELD_LABOR_HOURS)*TEMP_HOURLY_RATE-FIXED_SEASON_COST)</f>
        <v>10330.7504194668</v>
      </c>
      <c r="AJ92" s="53" t="n">
        <f aca="false">IF(OR($A92&gt;TOMATO_BED_CAP,$B92&gt;CARROT_BED_CAP,AJ$4&gt;MESCLUN_BED_CAP,$A92+$B92+AJ$4&gt;TOTAL_BEDS_AVAILABLE,($D92+AJ$5)&gt;TOTAL_LABOR_HOURS_CAP,MAX(0,($D92+AJ$5)-PERMANENT_FIELD_LABOR_HOURS)&gt;TEMP_HOURS_CAP),"",$C92+AJ$6-MIN(($D92+AJ$5),PERMANENT_FIELD_LABOR_HOURS)*PERMANENT_HOURLY_RATE-MAX(0,($D92+AJ$5)-PERMANENT_FIELD_LABOR_HOURS)*TEMP_HOURLY_RATE-FIXED_SEASON_COST)</f>
        <v>10610.7499348725</v>
      </c>
    </row>
    <row r="93" customFormat="false" ht="15" hidden="false" customHeight="false" outlineLevel="0" collapsed="false">
      <c r="A93" s="21" t="n">
        <f aca="false">INT((ROW()-ROW($A$8))/(20+1))</f>
        <v>4</v>
      </c>
      <c r="B93" s="21" t="n">
        <f aca="false">MOD(ROW()-ROW($A$8),20+1)</f>
        <v>1</v>
      </c>
      <c r="C93" s="13" t="n">
        <f aca="false">A93*(TOMATO_REVENUE_PER_BED-TOMATO_FERTILIZER_PER_BED)+B93*(CARROT_REVENUE_PER_BED-CARROT_FERTILIZER_PER_BED)</f>
        <v>33334</v>
      </c>
      <c r="D93" s="14" t="n">
        <f aca="false">INDEX(TOMATO_SCHED_LABOR_HRS,A93+1)+INDEX(CARROT_SCHED_LABOR_HRS,B93+1)</f>
        <v>557.8137</v>
      </c>
      <c r="E93" s="13" t="n">
        <f aca="false">IF(COUNT(F93:AJ93)=0,"",MAX(F93:AJ93))</f>
        <v>11731.1434628725</v>
      </c>
      <c r="F93" s="53" t="n">
        <f aca="false">IF(OR($A93&gt;TOMATO_BED_CAP,$B93&gt;CARROT_BED_CAP,F$4&gt;MESCLUN_BED_CAP,$A93+$B93+F$4&gt;TOTAL_BEDS_AVAILABLE,($D93+F$5)&gt;TOTAL_LABOR_HOURS_CAP,MAX(0,($D93+F$5)-PERMANENT_FIELD_LABOR_HOURS)&gt;TEMP_HOURS_CAP),"",$C93+F$6-MIN(($D93+F$5),PERMANENT_FIELD_LABOR_HOURS)*PERMANENT_HOURLY_RATE-MAX(0,($D93+F$5)-PERMANENT_FIELD_LABOR_HOURS)*TEMP_HOURLY_RATE-FIXED_SEASON_COST)</f>
        <v>-6033.291664</v>
      </c>
      <c r="G93" s="53" t="n">
        <f aca="false">IF(OR($A93&gt;TOMATO_BED_CAP,$B93&gt;CARROT_BED_CAP,G$4&gt;MESCLUN_BED_CAP,$A93+$B93+G$4&gt;TOTAL_BEDS_AVAILABLE,($D93+G$5)&gt;TOTAL_LABOR_HOURS_CAP,MAX(0,($D93+G$5)-PERMANENT_FIELD_LABOR_HOURS)&gt;TEMP_HOURS_CAP),"",$C93+G$6-MIN(($D93+G$5),PERMANENT_FIELD_LABOR_HOURS)*PERMANENT_HOURLY_RATE-MAX(0,($D93+G$5)-PERMANENT_FIELD_LABOR_HOURS)*TEMP_HOURLY_RATE-FIXED_SEASON_COST)</f>
        <v>-5795.221664</v>
      </c>
      <c r="H93" s="53" t="n">
        <f aca="false">IF(OR($A93&gt;TOMATO_BED_CAP,$B93&gt;CARROT_BED_CAP,H$4&gt;MESCLUN_BED_CAP,$A93+$B93+H$4&gt;TOTAL_BEDS_AVAILABLE,($D93+H$5)&gt;TOTAL_LABOR_HOURS_CAP,MAX(0,($D93+H$5)-PERMANENT_FIELD_LABOR_HOURS)&gt;TEMP_HOURS_CAP),"",$C93+H$6-MIN(($D93+H$5),PERMANENT_FIELD_LABOR_HOURS)*PERMANENT_HOURLY_RATE-MAX(0,($D93+H$5)-PERMANENT_FIELD_LABOR_HOURS)*TEMP_HOURLY_RATE-FIXED_SEASON_COST)</f>
        <v>-5596.699914</v>
      </c>
      <c r="I93" s="53" t="n">
        <f aca="false">IF(OR($A93&gt;TOMATO_BED_CAP,$B93&gt;CARROT_BED_CAP,I$4&gt;MESCLUN_BED_CAP,$A93+$B93+I$4&gt;TOTAL_BEDS_AVAILABLE,($D93+I$5)&gt;TOTAL_LABOR_HOURS_CAP,MAX(0,($D93+I$5)-PERMANENT_FIELD_LABOR_HOURS)&gt;TEMP_HOURS_CAP),"",$C93+I$6-MIN(($D93+I$5),PERMANENT_FIELD_LABOR_HOURS)*PERMANENT_HOURLY_RATE-MAX(0,($D93+I$5)-PERMANENT_FIELD_LABOR_HOURS)*TEMP_HOURLY_RATE-FIXED_SEASON_COST)</f>
        <v>-5438.4679436875</v>
      </c>
      <c r="J93" s="53" t="n">
        <f aca="false">IF(OR($A93&gt;TOMATO_BED_CAP,$B93&gt;CARROT_BED_CAP,J$4&gt;MESCLUN_BED_CAP,$A93+$B93+J$4&gt;TOTAL_BEDS_AVAILABLE,($D93+J$5)&gt;TOTAL_LABOR_HOURS_CAP,MAX(0,($D93+J$5)-PERMANENT_FIELD_LABOR_HOURS)&gt;TEMP_HOURS_CAP),"",$C93+J$6-MIN(($D93+J$5),PERMANENT_FIELD_LABOR_HOURS)*PERMANENT_HOURLY_RATE-MAX(0,($D93+J$5)-PERMANENT_FIELD_LABOR_HOURS)*TEMP_HOURLY_RATE-FIXED_SEASON_COST)</f>
        <v>-4852.83982078906</v>
      </c>
      <c r="K93" s="53" t="n">
        <f aca="false">IF(OR($A93&gt;TOMATO_BED_CAP,$B93&gt;CARROT_BED_CAP,K$4&gt;MESCLUN_BED_CAP,$A93+$B93+K$4&gt;TOTAL_BEDS_AVAILABLE,($D93+K$5)&gt;TOTAL_LABOR_HOURS_CAP,MAX(0,($D93+K$5)-PERMANENT_FIELD_LABOR_HOURS)&gt;TEMP_HOURS_CAP),"",$C93+K$6-MIN(($D93+K$5),PERMANENT_FIELD_LABOR_HOURS)*PERMANENT_HOURLY_RATE-MAX(0,($D93+K$5)-PERMANENT_FIELD_LABOR_HOURS)*TEMP_HOURLY_RATE-FIXED_SEASON_COST)</f>
        <v>-3905.15072406116</v>
      </c>
      <c r="L93" s="53" t="n">
        <f aca="false">IF(OR($A93&gt;TOMATO_BED_CAP,$B93&gt;CARROT_BED_CAP,L$4&gt;MESCLUN_BED_CAP,$A93+$B93+L$4&gt;TOTAL_BEDS_AVAILABLE,($D93+L$5)&gt;TOTAL_LABOR_HOURS_CAP,MAX(0,($D93+L$5)-PERMANENT_FIELD_LABOR_HOURS)&gt;TEMP_HOURS_CAP),"",$C93+L$6-MIN(($D93+L$5),PERMANENT_FIELD_LABOR_HOURS)*PERMANENT_HOURLY_RATE-MAX(0,($D93+L$5)-PERMANENT_FIELD_LABOR_HOURS)*TEMP_HOURLY_RATE-FIXED_SEASON_COST)</f>
        <v>-2978.7562758543</v>
      </c>
      <c r="M93" s="53" t="n">
        <f aca="false">IF(OR($A93&gt;TOMATO_BED_CAP,$B93&gt;CARROT_BED_CAP,M$4&gt;MESCLUN_BED_CAP,$A93+$B93+M$4&gt;TOTAL_BEDS_AVAILABLE,($D93+M$5)&gt;TOTAL_LABOR_HOURS_CAP,MAX(0,($D93+M$5)-PERMANENT_FIELD_LABOR_HOURS)&gt;TEMP_HOURS_CAP),"",$C93+M$6-MIN(($D93+M$5),PERMANENT_FIELD_LABOR_HOURS)*PERMANENT_HOURLY_RATE-MAX(0,($D93+M$5)-PERMANENT_FIELD_LABOR_HOURS)*TEMP_HOURLY_RATE-FIXED_SEASON_COST)</f>
        <v>-2074.0525438029</v>
      </c>
      <c r="N93" s="53" t="n">
        <f aca="false">IF(OR($A93&gt;TOMATO_BED_CAP,$B93&gt;CARROT_BED_CAP,N$4&gt;MESCLUN_BED_CAP,$A93+$B93+N$4&gt;TOTAL_BEDS_AVAILABLE,($D93+N$5)&gt;TOTAL_LABOR_HOURS_CAP,MAX(0,($D93+N$5)-PERMANENT_FIELD_LABOR_HOURS)&gt;TEMP_HOURS_CAP),"",$C93+N$6-MIN(($D93+N$5),PERMANENT_FIELD_LABOR_HOURS)*PERMANENT_HOURLY_RATE-MAX(0,($D93+N$5)-PERMANENT_FIELD_LABOR_HOURS)*TEMP_HOURLY_RATE-FIXED_SEASON_COST)</f>
        <v>-1191.44216994336</v>
      </c>
      <c r="O93" s="53" t="n">
        <f aca="false">IF(OR($A93&gt;TOMATO_BED_CAP,$B93&gt;CARROT_BED_CAP,O$4&gt;MESCLUN_BED_CAP,$A93+$B93+O$4&gt;TOTAL_BEDS_AVAILABLE,($D93+O$5)&gt;TOTAL_LABOR_HOURS_CAP,MAX(0,($D93+O$5)-PERMANENT_FIELD_LABOR_HOURS)&gt;TEMP_HOURS_CAP),"",$C93+O$6-MIN(($D93+O$5),PERMANENT_FIELD_LABOR_HOURS)*PERMANENT_HOURLY_RATE-MAX(0,($D93+O$5)-PERMANENT_FIELD_LABOR_HOURS)*TEMP_HOURLY_RATE-FIXED_SEASON_COST)</f>
        <v>-331.334473188599</v>
      </c>
      <c r="P93" s="53" t="n">
        <f aca="false">IF(OR($A93&gt;TOMATO_BED_CAP,$B93&gt;CARROT_BED_CAP,P$4&gt;MESCLUN_BED_CAP,$A93+$B93+P$4&gt;TOTAL_BEDS_AVAILABLE,($D93+P$5)&gt;TOTAL_LABOR_HOURS_CAP,MAX(0,($D93+P$5)-PERMANENT_FIELD_LABOR_HOURS)&gt;TEMP_HOURS_CAP),"",$C93+P$6-MIN(($D93+P$5),PERMANENT_FIELD_LABOR_HOURS)*PERMANENT_HOURLY_RATE-MAX(0,($D93+P$5)-PERMANENT_FIELD_LABOR_HOURS)*TEMP_HOURLY_RATE-FIXED_SEASON_COST)</f>
        <v>505.854446662826</v>
      </c>
      <c r="Q93" s="53" t="n">
        <f aca="false">IF(OR($A93&gt;TOMATO_BED_CAP,$B93&gt;CARROT_BED_CAP,Q$4&gt;MESCLUN_BED_CAP,$A93+$B93+Q$4&gt;TOTAL_BEDS_AVAILABLE,($D93+Q$5)&gt;TOTAL_LABOR_HOURS_CAP,MAX(0,($D93+Q$5)-PERMANENT_FIELD_LABOR_HOURS)&gt;TEMP_HOURS_CAP),"",$C93+Q$6-MIN(($D93+Q$5),PERMANENT_FIELD_LABOR_HOURS)*PERMANENT_HOURLY_RATE-MAX(0,($D93+Q$5)-PERMANENT_FIELD_LABOR_HOURS)*TEMP_HOURLY_RATE-FIXED_SEASON_COST)</f>
        <v>1319.70160336072</v>
      </c>
      <c r="R93" s="53" t="n">
        <f aca="false">IF(OR($A93&gt;TOMATO_BED_CAP,$B93&gt;CARROT_BED_CAP,R$4&gt;MESCLUN_BED_CAP,$A93+$B93+R$4&gt;TOTAL_BEDS_AVAILABLE,($D93+R$5)&gt;TOTAL_LABOR_HOURS_CAP,MAX(0,($D93+R$5)-PERMANENT_FIELD_LABOR_HOURS)&gt;TEMP_HOURS_CAP),"",$C93+R$6-MIN(($D93+R$5),PERMANENT_FIELD_LABOR_HOURS)*PERMANENT_HOURLY_RATE-MAX(0,($D93+R$5)-PERMANENT_FIELD_LABOR_HOURS)*TEMP_HOURLY_RATE-FIXED_SEASON_COST)</f>
        <v>2109.77701705753</v>
      </c>
      <c r="S93" s="53" t="n">
        <f aca="false">IF(OR($A93&gt;TOMATO_BED_CAP,$B93&gt;CARROT_BED_CAP,S$4&gt;MESCLUN_BED_CAP,$A93+$B93+S$4&gt;TOTAL_BEDS_AVAILABLE,($D93+S$5)&gt;TOTAL_LABOR_HOURS_CAP,MAX(0,($D93+S$5)-PERMANENT_FIELD_LABOR_HOURS)&gt;TEMP_HOURS_CAP),"",$C93+S$6-MIN(($D93+S$5),PERMANENT_FIELD_LABOR_HOURS)*PERMANENT_HOURLY_RATE-MAX(0,($D93+S$5)-PERMANENT_FIELD_LABOR_HOURS)*TEMP_HOURLY_RATE-FIXED_SEASON_COST)</f>
        <v>2875.64360555997</v>
      </c>
      <c r="T93" s="53" t="n">
        <f aca="false">IF(OR($A93&gt;TOMATO_BED_CAP,$B93&gt;CARROT_BED_CAP,T$4&gt;MESCLUN_BED_CAP,$A93+$B93+T$4&gt;TOTAL_BEDS_AVAILABLE,($D93+T$5)&gt;TOTAL_LABOR_HOURS_CAP,MAX(0,($D93+T$5)-PERMANENT_FIELD_LABOR_HOURS)&gt;TEMP_HOURS_CAP),"",$C93+T$6-MIN(($D93+T$5),PERMANENT_FIELD_LABOR_HOURS)*PERMANENT_HOURLY_RATE-MAX(0,($D93+T$5)-PERMANENT_FIELD_LABOR_HOURS)*TEMP_HOURLY_RATE-FIXED_SEASON_COST)</f>
        <v>3616.85707395482</v>
      </c>
      <c r="U93" s="53" t="n">
        <f aca="false">IF(OR($A93&gt;TOMATO_BED_CAP,$B93&gt;CARROT_BED_CAP,U$4&gt;MESCLUN_BED_CAP,$A93+$B93+U$4&gt;TOTAL_BEDS_AVAILABLE,($D93+U$5)&gt;TOTAL_LABOR_HOURS_CAP,MAX(0,($D93+U$5)-PERMANENT_FIELD_LABOR_HOURS)&gt;TEMP_HOURS_CAP),"",$C93+U$6-MIN(($D93+U$5),PERMANENT_FIELD_LABOR_HOURS)*PERMANENT_HOURLY_RATE-MAX(0,($D93+U$5)-PERMANENT_FIELD_LABOR_HOURS)*TEMP_HOURLY_RATE-FIXED_SEASON_COST)</f>
        <v>4332.96580258492</v>
      </c>
      <c r="V93" s="53" t="n">
        <f aca="false">IF(OR($A93&gt;TOMATO_BED_CAP,$B93&gt;CARROT_BED_CAP,V$4&gt;MESCLUN_BED_CAP,$A93+$B93+V$4&gt;TOTAL_BEDS_AVAILABLE,($D93+V$5)&gt;TOTAL_LABOR_HOURS_CAP,MAX(0,($D93+V$5)-PERMANENT_FIELD_LABOR_HOURS)&gt;TEMP_HOURS_CAP),"",$C93+V$6-MIN(($D93+V$5),PERMANENT_FIELD_LABOR_HOURS)*PERMANENT_HOURLY_RATE-MAX(0,($D93+V$5)-PERMANENT_FIELD_LABOR_HOURS)*TEMP_HOURLY_RATE-FIXED_SEASON_COST)</f>
        <v>5023.51073335172</v>
      </c>
      <c r="W93" s="53" t="n">
        <f aca="false">IF(OR($A93&gt;TOMATO_BED_CAP,$B93&gt;CARROT_BED_CAP,W$4&gt;MESCLUN_BED_CAP,$A93+$B93+W$4&gt;TOTAL_BEDS_AVAILABLE,($D93+W$5)&gt;TOTAL_LABOR_HOURS_CAP,MAX(0,($D93+W$5)-PERMANENT_FIELD_LABOR_HOURS)&gt;TEMP_HOURS_CAP),"",$C93+W$6-MIN(($D93+W$5),PERMANENT_FIELD_LABOR_HOURS)*PERMANENT_HOURLY_RATE-MAX(0,($D93+W$5)-PERMANENT_FIELD_LABOR_HOURS)*TEMP_HOURLY_RATE-FIXED_SEASON_COST)</f>
        <v>5688.02525431978</v>
      </c>
      <c r="X93" s="53" t="n">
        <f aca="false">IF(OR($A93&gt;TOMATO_BED_CAP,$B93&gt;CARROT_BED_CAP,X$4&gt;MESCLUN_BED_CAP,$A93+$B93+X$4&gt;TOTAL_BEDS_AVAILABLE,($D93+X$5)&gt;TOTAL_LABOR_HOURS_CAP,MAX(0,($D93+X$5)-PERMANENT_FIELD_LABOR_HOURS)&gt;TEMP_HOURS_CAP),"",$C93+X$6-MIN(($D93+X$5),PERMANENT_FIELD_LABOR_HOURS)*PERMANENT_HOURLY_RATE-MAX(0,($D93+X$5)-PERMANENT_FIELD_LABOR_HOURS)*TEMP_HOURLY_RATE-FIXED_SEASON_COST)</f>
        <v>6326.0350825987</v>
      </c>
      <c r="Y93" s="53" t="n">
        <f aca="false">IF(OR($A93&gt;TOMATO_BED_CAP,$B93&gt;CARROT_BED_CAP,Y$4&gt;MESCLUN_BED_CAP,$A93+$B93+Y$4&gt;TOTAL_BEDS_AVAILABLE,($D93+Y$5)&gt;TOTAL_LABOR_HOURS_CAP,MAX(0,($D93+Y$5)-PERMANENT_FIELD_LABOR_HOURS)&gt;TEMP_HOURS_CAP),"",$C93+Y$6-MIN(($D93+Y$5),PERMANENT_FIELD_LABOR_HOURS)*PERMANENT_HOURLY_RATE-MAX(0,($D93+Y$5)-PERMANENT_FIELD_LABOR_HOURS)*TEMP_HOURLY_RATE-FIXED_SEASON_COST)</f>
        <v>6937.05814547736</v>
      </c>
      <c r="Z93" s="53" t="n">
        <f aca="false">IF(OR($A93&gt;TOMATO_BED_CAP,$B93&gt;CARROT_BED_CAP,Z$4&gt;MESCLUN_BED_CAP,$A93+$B93+Z$4&gt;TOTAL_BEDS_AVAILABLE,($D93+Z$5)&gt;TOTAL_LABOR_HOURS_CAP,MAX(0,($D93+Z$5)-PERMANENT_FIELD_LABOR_HOURS)&gt;TEMP_HOURS_CAP),"",$C93+Z$6-MIN(($D93+Z$5),PERMANENT_FIELD_LABOR_HOURS)*PERMANENT_HOURLY_RATE-MAX(0,($D93+Z$5)-PERMANENT_FIELD_LABOR_HOURS)*TEMP_HOURLY_RATE-FIXED_SEASON_COST)</f>
        <v>7520.60445978508</v>
      </c>
      <c r="AA93" s="53" t="n">
        <f aca="false">IF(OR($A93&gt;TOMATO_BED_CAP,$B93&gt;CARROT_BED_CAP,AA$4&gt;MESCLUN_BED_CAP,$A93+$B93+AA$4&gt;TOTAL_BEDS_AVAILABLE,($D93+AA$5)&gt;TOTAL_LABOR_HOURS_CAP,MAX(0,($D93+AA$5)-PERMANENT_FIELD_LABOR_HOURS)&gt;TEMP_HOURS_CAP),"",$C93+AA$6-MIN(($D93+AA$5),PERMANENT_FIELD_LABOR_HOURS)*PERMANENT_HOURLY_RATE-MAX(0,($D93+AA$5)-PERMANENT_FIELD_LABOR_HOURS)*TEMP_HOURLY_RATE-FIXED_SEASON_COST)</f>
        <v>8076.17600945402</v>
      </c>
      <c r="AB93" s="53" t="n">
        <f aca="false">IF(OR($A93&gt;TOMATO_BED_CAP,$B93&gt;CARROT_BED_CAP,AB$4&gt;MESCLUN_BED_CAP,$A93+$B93+AB$4&gt;TOTAL_BEDS_AVAILABLE,($D93+AB$5)&gt;TOTAL_LABOR_HOURS_CAP,MAX(0,($D93+AB$5)-PERMANENT_FIELD_LABOR_HOURS)&gt;TEMP_HOURS_CAP),"",$C93+AB$6-MIN(($D93+AB$5),PERMANENT_FIELD_LABOR_HOURS)*PERMANENT_HOURLY_RATE-MAX(0,($D93+AB$5)-PERMANENT_FIELD_LABOR_HOURS)*TEMP_HOURLY_RATE-FIXED_SEASON_COST)</f>
        <v>8603.26662125658</v>
      </c>
      <c r="AC93" s="53" t="n">
        <f aca="false">IF(OR($A93&gt;TOMATO_BED_CAP,$B93&gt;CARROT_BED_CAP,AC$4&gt;MESCLUN_BED_CAP,$A93+$B93+AC$4&gt;TOTAL_BEDS_AVAILABLE,($D93+AC$5)&gt;TOTAL_LABOR_HOURS_CAP,MAX(0,($D93+AC$5)-PERMANENT_FIELD_LABOR_HOURS)&gt;TEMP_HOURS_CAP),"",$C93+AC$6-MIN(($D93+AC$5),PERMANENT_FIELD_LABOR_HOURS)*PERMANENT_HOURLY_RATE-MAX(0,($D93+AC$5)-PERMANENT_FIELD_LABOR_HOURS)*TEMP_HOURLY_RATE-FIXED_SEASON_COST)</f>
        <v>9101.36183869148</v>
      </c>
      <c r="AD93" s="53" t="n">
        <f aca="false">IF(OR($A93&gt;TOMATO_BED_CAP,$B93&gt;CARROT_BED_CAP,AD$4&gt;MESCLUN_BED_CAP,$A93+$B93+AD$4&gt;TOTAL_BEDS_AVAILABLE,($D93+AD$5)&gt;TOTAL_LABOR_HOURS_CAP,MAX(0,($D93+AD$5)-PERMANENT_FIELD_LABOR_HOURS)&gt;TEMP_HOURS_CAP),"",$C93+AD$6-MIN(($D93+AD$5),PERMANENT_FIELD_LABOR_HOURS)*PERMANENT_HOURLY_RATE-MAX(0,($D93+AD$5)-PERMANENT_FIELD_LABOR_HOURS)*TEMP_HOURLY_RATE-FIXED_SEASON_COST)</f>
        <v>9569.93879399144</v>
      </c>
      <c r="AE93" s="53" t="n">
        <f aca="false">IF(OR($A93&gt;TOMATO_BED_CAP,$B93&gt;CARROT_BED_CAP,AE$4&gt;MESCLUN_BED_CAP,$A93+$B93+AE$4&gt;TOTAL_BEDS_AVAILABLE,($D93+AE$5)&gt;TOTAL_LABOR_HOURS_CAP,MAX(0,($D93+AE$5)-PERMANENT_FIELD_LABOR_HOURS)&gt;TEMP_HOURS_CAP),"",$C93+AE$6-MIN(($D93+AE$5),PERMANENT_FIELD_LABOR_HOURS)*PERMANENT_HOURLY_RATE-MAX(0,($D93+AE$5)-PERMANENT_FIELD_LABOR_HOURS)*TEMP_HOURLY_RATE-FIXED_SEASON_COST)</f>
        <v>10008.4660782253</v>
      </c>
      <c r="AF93" s="53" t="n">
        <f aca="false">IF(OR($A93&gt;TOMATO_BED_CAP,$B93&gt;CARROT_BED_CAP,AF$4&gt;MESCLUN_BED_CAP,$A93+$B93+AF$4&gt;TOTAL_BEDS_AVAILABLE,($D93+AF$5)&gt;TOTAL_LABOR_HOURS_CAP,MAX(0,($D93+AF$5)-PERMANENT_FIELD_LABOR_HOURS)&gt;TEMP_HOURS_CAP),"",$C93+AF$6-MIN(($D93+AF$5),PERMANENT_FIELD_LABOR_HOURS)*PERMANENT_HOURLY_RATE-MAX(0,($D93+AF$5)-PERMANENT_FIELD_LABOR_HOURS)*TEMP_HOURLY_RATE-FIXED_SEASON_COST)</f>
        <v>10416.4036094673</v>
      </c>
      <c r="AG93" s="53" t="n">
        <f aca="false">IF(OR($A93&gt;TOMATO_BED_CAP,$B93&gt;CARROT_BED_CAP,AG$4&gt;MESCLUN_BED_CAP,$A93+$B93+AG$4&gt;TOTAL_BEDS_AVAILABLE,($D93+AG$5)&gt;TOTAL_LABOR_HOURS_CAP,MAX(0,($D93+AG$5)-PERMANENT_FIELD_LABOR_HOURS)&gt;TEMP_HOURS_CAP),"",$C93+AG$6-MIN(($D93+AG$5),PERMANENT_FIELD_LABOR_HOURS)*PERMANENT_HOURLY_RATE-MAX(0,($D93+AG$5)-PERMANENT_FIELD_LABOR_HOURS)*TEMP_HOURLY_RATE-FIXED_SEASON_COST)</f>
        <v>10793.2024990043</v>
      </c>
      <c r="AH93" s="53" t="n">
        <f aca="false">IF(OR($A93&gt;TOMATO_BED_CAP,$B93&gt;CARROT_BED_CAP,AH$4&gt;MESCLUN_BED_CAP,$A93+$B93+AH$4&gt;TOTAL_BEDS_AVAILABLE,($D93+AH$5)&gt;TOTAL_LABOR_HOURS_CAP,MAX(0,($D93+AH$5)-PERMANENT_FIELD_LABOR_HOURS)&gt;TEMP_HOURS_CAP),"",$C93+AH$6-MIN(($D93+AH$5),PERMANENT_FIELD_LABOR_HOURS)*PERMANENT_HOURLY_RATE-MAX(0,($D93+AH$5)-PERMANENT_FIELD_LABOR_HOURS)*TEMP_HOURLY_RATE-FIXED_SEASON_COST)</f>
        <v>11138.3049155545</v>
      </c>
      <c r="AI93" s="53" t="n">
        <f aca="false">IF(OR($A93&gt;TOMATO_BED_CAP,$B93&gt;CARROT_BED_CAP,AI$4&gt;MESCLUN_BED_CAP,$A93+$B93+AI$4&gt;TOTAL_BEDS_AVAILABLE,($D93+AI$5)&gt;TOTAL_LABOR_HOURS_CAP,MAX(0,($D93+AI$5)-PERMANENT_FIELD_LABOR_HOURS)&gt;TEMP_HOURS_CAP),"",$C93+AI$6-MIN(($D93+AI$5),PERMANENT_FIELD_LABOR_HOURS)*PERMANENT_HOURLY_RATE-MAX(0,($D93+AI$5)-PERMANENT_FIELD_LABOR_HOURS)*TEMP_HOURLY_RATE-FIXED_SEASON_COST)</f>
        <v>11451.1439474668</v>
      </c>
      <c r="AJ93" s="53" t="n">
        <f aca="false">IF(OR($A93&gt;TOMATO_BED_CAP,$B93&gt;CARROT_BED_CAP,AJ$4&gt;MESCLUN_BED_CAP,$A93+$B93+AJ$4&gt;TOTAL_BEDS_AVAILABLE,($D93+AJ$5)&gt;TOTAL_LABOR_HOURS_CAP,MAX(0,($D93+AJ$5)-PERMANENT_FIELD_LABOR_HOURS)&gt;TEMP_HOURS_CAP),"",$C93+AJ$6-MIN(($D93+AJ$5),PERMANENT_FIELD_LABOR_HOURS)*PERMANENT_HOURLY_RATE-MAX(0,($D93+AJ$5)-PERMANENT_FIELD_LABOR_HOURS)*TEMP_HOURLY_RATE-FIXED_SEASON_COST)</f>
        <v>11731.1434628725</v>
      </c>
    </row>
    <row r="94" customFormat="false" ht="15" hidden="false" customHeight="false" outlineLevel="0" collapsed="false">
      <c r="A94" s="21" t="n">
        <f aca="false">INT((ROW()-ROW($A$8))/(20+1))</f>
        <v>4</v>
      </c>
      <c r="B94" s="21" t="n">
        <f aca="false">MOD(ROW()-ROW($A$8),20+1)</f>
        <v>2</v>
      </c>
      <c r="C94" s="13" t="n">
        <f aca="false">A94*(TOMATO_REVENUE_PER_BED-TOMATO_FERTILIZER_PER_BED)+B94*(CARROT_REVENUE_PER_BED-CARROT_FERTILIZER_PER_BED)</f>
        <v>34988</v>
      </c>
      <c r="D94" s="14" t="n">
        <f aca="false">INDEX(TOMATO_SCHED_LABOR_HRS,A94+1)+INDEX(CARROT_SCHED_LABOR_HRS,B94+1)</f>
        <v>590.088285</v>
      </c>
      <c r="E94" s="13" t="n">
        <f aca="false">IF(COUNT(F94:AJ94)=0,"",MAX(F94:AJ94))</f>
        <v>12824.8566672725</v>
      </c>
      <c r="F94" s="53" t="n">
        <f aca="false">IF(OR($A94&gt;TOMATO_BED_CAP,$B94&gt;CARROT_BED_CAP,F$4&gt;MESCLUN_BED_CAP,$A94+$B94+F$4&gt;TOTAL_BEDS_AVAILABLE,($D94+F$5)&gt;TOTAL_LABOR_HOURS_CAP,MAX(0,($D94+F$5)-PERMANENT_FIELD_LABOR_HOURS)&gt;TEMP_HOURS_CAP),"",$C94+F$6-MIN(($D94+F$5),PERMANENT_FIELD_LABOR_HOURS)*PERMANENT_HOURLY_RATE-MAX(0,($D94+F$5)-PERMANENT_FIELD_LABOR_HOURS)*TEMP_HOURLY_RATE-FIXED_SEASON_COST)</f>
        <v>-5499.86525520001</v>
      </c>
      <c r="G94" s="53" t="n">
        <f aca="false">IF(OR($A94&gt;TOMATO_BED_CAP,$B94&gt;CARROT_BED_CAP,G$4&gt;MESCLUN_BED_CAP,$A94+$B94+G$4&gt;TOTAL_BEDS_AVAILABLE,($D94+G$5)&gt;TOTAL_LABOR_HOURS_CAP,MAX(0,($D94+G$5)-PERMANENT_FIELD_LABOR_HOURS)&gt;TEMP_HOURS_CAP),"",$C94+G$6-MIN(($D94+G$5),PERMANENT_FIELD_LABOR_HOURS)*PERMANENT_HOURLY_RATE-MAX(0,($D94+G$5)-PERMANENT_FIELD_LABOR_HOURS)*TEMP_HOURLY_RATE-FIXED_SEASON_COST)</f>
        <v>-5261.79525520001</v>
      </c>
      <c r="H94" s="53" t="n">
        <f aca="false">IF(OR($A94&gt;TOMATO_BED_CAP,$B94&gt;CARROT_BED_CAP,H$4&gt;MESCLUN_BED_CAP,$A94+$B94+H$4&gt;TOTAL_BEDS_AVAILABLE,($D94+H$5)&gt;TOTAL_LABOR_HOURS_CAP,MAX(0,($D94+H$5)-PERMANENT_FIELD_LABOR_HOURS)&gt;TEMP_HOURS_CAP),"",$C94+H$6-MIN(($D94+H$5),PERMANENT_FIELD_LABOR_HOURS)*PERMANENT_HOURLY_RATE-MAX(0,($D94+H$5)-PERMANENT_FIELD_LABOR_HOURS)*TEMP_HOURLY_RATE-FIXED_SEASON_COST)</f>
        <v>-5063.27350520001</v>
      </c>
      <c r="I94" s="53" t="n">
        <f aca="false">IF(OR($A94&gt;TOMATO_BED_CAP,$B94&gt;CARROT_BED_CAP,I$4&gt;MESCLUN_BED_CAP,$A94+$B94+I$4&gt;TOTAL_BEDS_AVAILABLE,($D94+I$5)&gt;TOTAL_LABOR_HOURS_CAP,MAX(0,($D94+I$5)-PERMANENT_FIELD_LABOR_HOURS)&gt;TEMP_HOURS_CAP),"",$C94+I$6-MIN(($D94+I$5),PERMANENT_FIELD_LABOR_HOURS)*PERMANENT_HOURLY_RATE-MAX(0,($D94+I$5)-PERMANENT_FIELD_LABOR_HOURS)*TEMP_HOURLY_RATE-FIXED_SEASON_COST)</f>
        <v>-4727.72076744375</v>
      </c>
      <c r="J94" s="53" t="n">
        <f aca="false">IF(OR($A94&gt;TOMATO_BED_CAP,$B94&gt;CARROT_BED_CAP,J$4&gt;MESCLUN_BED_CAP,$A94+$B94+J$4&gt;TOTAL_BEDS_AVAILABLE,($D94+J$5)&gt;TOTAL_LABOR_HOURS_CAP,MAX(0,($D94+J$5)-PERMANENT_FIELD_LABOR_HOURS)&gt;TEMP_HOURS_CAP),"",$C94+J$6-MIN(($D94+J$5),PERMANENT_FIELD_LABOR_HOURS)*PERMANENT_HOURLY_RATE-MAX(0,($D94+J$5)-PERMANENT_FIELD_LABOR_HOURS)*TEMP_HOURLY_RATE-FIXED_SEASON_COST)</f>
        <v>-3759.12661638906</v>
      </c>
      <c r="K94" s="53" t="n">
        <f aca="false">IF(OR($A94&gt;TOMATO_BED_CAP,$B94&gt;CARROT_BED_CAP,K$4&gt;MESCLUN_BED_CAP,$A94+$B94+K$4&gt;TOTAL_BEDS_AVAILABLE,($D94+K$5)&gt;TOTAL_LABOR_HOURS_CAP,MAX(0,($D94+K$5)-PERMANENT_FIELD_LABOR_HOURS)&gt;TEMP_HOURS_CAP),"",$C94+K$6-MIN(($D94+K$5),PERMANENT_FIELD_LABOR_HOURS)*PERMANENT_HOURLY_RATE-MAX(0,($D94+K$5)-PERMANENT_FIELD_LABOR_HOURS)*TEMP_HOURLY_RATE-FIXED_SEASON_COST)</f>
        <v>-2811.43751966116</v>
      </c>
      <c r="L94" s="53" t="n">
        <f aca="false">IF(OR($A94&gt;TOMATO_BED_CAP,$B94&gt;CARROT_BED_CAP,L$4&gt;MESCLUN_BED_CAP,$A94+$B94+L$4&gt;TOTAL_BEDS_AVAILABLE,($D94+L$5)&gt;TOTAL_LABOR_HOURS_CAP,MAX(0,($D94+L$5)-PERMANENT_FIELD_LABOR_HOURS)&gt;TEMP_HOURS_CAP),"",$C94+L$6-MIN(($D94+L$5),PERMANENT_FIELD_LABOR_HOURS)*PERMANENT_HOURLY_RATE-MAX(0,($D94+L$5)-PERMANENT_FIELD_LABOR_HOURS)*TEMP_HOURLY_RATE-FIXED_SEASON_COST)</f>
        <v>-1885.0430714543</v>
      </c>
      <c r="M94" s="53" t="n">
        <f aca="false">IF(OR($A94&gt;TOMATO_BED_CAP,$B94&gt;CARROT_BED_CAP,M$4&gt;MESCLUN_BED_CAP,$A94+$B94+M$4&gt;TOTAL_BEDS_AVAILABLE,($D94+M$5)&gt;TOTAL_LABOR_HOURS_CAP,MAX(0,($D94+M$5)-PERMANENT_FIELD_LABOR_HOURS)&gt;TEMP_HOURS_CAP),"",$C94+M$6-MIN(($D94+M$5),PERMANENT_FIELD_LABOR_HOURS)*PERMANENT_HOURLY_RATE-MAX(0,($D94+M$5)-PERMANENT_FIELD_LABOR_HOURS)*TEMP_HOURLY_RATE-FIXED_SEASON_COST)</f>
        <v>-980.339339402897</v>
      </c>
      <c r="N94" s="53" t="n">
        <f aca="false">IF(OR($A94&gt;TOMATO_BED_CAP,$B94&gt;CARROT_BED_CAP,N$4&gt;MESCLUN_BED_CAP,$A94+$B94+N$4&gt;TOTAL_BEDS_AVAILABLE,($D94+N$5)&gt;TOTAL_LABOR_HOURS_CAP,MAX(0,($D94+N$5)-PERMANENT_FIELD_LABOR_HOURS)&gt;TEMP_HOURS_CAP),"",$C94+N$6-MIN(($D94+N$5),PERMANENT_FIELD_LABOR_HOURS)*PERMANENT_HOURLY_RATE-MAX(0,($D94+N$5)-PERMANENT_FIELD_LABOR_HOURS)*TEMP_HOURLY_RATE-FIXED_SEASON_COST)</f>
        <v>-97.7289655433524</v>
      </c>
      <c r="O94" s="53" t="n">
        <f aca="false">IF(OR($A94&gt;TOMATO_BED_CAP,$B94&gt;CARROT_BED_CAP,O$4&gt;MESCLUN_BED_CAP,$A94+$B94+O$4&gt;TOTAL_BEDS_AVAILABLE,($D94+O$5)&gt;TOTAL_LABOR_HOURS_CAP,MAX(0,($D94+O$5)-PERMANENT_FIELD_LABOR_HOURS)&gt;TEMP_HOURS_CAP),"",$C94+O$6-MIN(($D94+O$5),PERMANENT_FIELD_LABOR_HOURS)*PERMANENT_HOURLY_RATE-MAX(0,($D94+O$5)-PERMANENT_FIELD_LABOR_HOURS)*TEMP_HOURLY_RATE-FIXED_SEASON_COST)</f>
        <v>762.3787312114</v>
      </c>
      <c r="P94" s="53" t="n">
        <f aca="false">IF(OR($A94&gt;TOMATO_BED_CAP,$B94&gt;CARROT_BED_CAP,P$4&gt;MESCLUN_BED_CAP,$A94+$B94+P$4&gt;TOTAL_BEDS_AVAILABLE,($D94+P$5)&gt;TOTAL_LABOR_HOURS_CAP,MAX(0,($D94+P$5)-PERMANENT_FIELD_LABOR_HOURS)&gt;TEMP_HOURS_CAP),"",$C94+P$6-MIN(($D94+P$5),PERMANENT_FIELD_LABOR_HOURS)*PERMANENT_HOURLY_RATE-MAX(0,($D94+P$5)-PERMANENT_FIELD_LABOR_HOURS)*TEMP_HOURLY_RATE-FIXED_SEASON_COST)</f>
        <v>1599.56765106283</v>
      </c>
      <c r="Q94" s="53" t="n">
        <f aca="false">IF(OR($A94&gt;TOMATO_BED_CAP,$B94&gt;CARROT_BED_CAP,Q$4&gt;MESCLUN_BED_CAP,$A94+$B94+Q$4&gt;TOTAL_BEDS_AVAILABLE,($D94+Q$5)&gt;TOTAL_LABOR_HOURS_CAP,MAX(0,($D94+Q$5)-PERMANENT_FIELD_LABOR_HOURS)&gt;TEMP_HOURS_CAP),"",$C94+Q$6-MIN(($D94+Q$5),PERMANENT_FIELD_LABOR_HOURS)*PERMANENT_HOURLY_RATE-MAX(0,($D94+Q$5)-PERMANENT_FIELD_LABOR_HOURS)*TEMP_HOURLY_RATE-FIXED_SEASON_COST)</f>
        <v>2413.41480776072</v>
      </c>
      <c r="R94" s="53" t="n">
        <f aca="false">IF(OR($A94&gt;TOMATO_BED_CAP,$B94&gt;CARROT_BED_CAP,R$4&gt;MESCLUN_BED_CAP,$A94+$B94+R$4&gt;TOTAL_BEDS_AVAILABLE,($D94+R$5)&gt;TOTAL_LABOR_HOURS_CAP,MAX(0,($D94+R$5)-PERMANENT_FIELD_LABOR_HOURS)&gt;TEMP_HOURS_CAP),"",$C94+R$6-MIN(($D94+R$5),PERMANENT_FIELD_LABOR_HOURS)*PERMANENT_HOURLY_RATE-MAX(0,($D94+R$5)-PERMANENT_FIELD_LABOR_HOURS)*TEMP_HOURLY_RATE-FIXED_SEASON_COST)</f>
        <v>3203.49022145753</v>
      </c>
      <c r="S94" s="53" t="n">
        <f aca="false">IF(OR($A94&gt;TOMATO_BED_CAP,$B94&gt;CARROT_BED_CAP,S$4&gt;MESCLUN_BED_CAP,$A94+$B94+S$4&gt;TOTAL_BEDS_AVAILABLE,($D94+S$5)&gt;TOTAL_LABOR_HOURS_CAP,MAX(0,($D94+S$5)-PERMANENT_FIELD_LABOR_HOURS)&gt;TEMP_HOURS_CAP),"",$C94+S$6-MIN(($D94+S$5),PERMANENT_FIELD_LABOR_HOURS)*PERMANENT_HOURLY_RATE-MAX(0,($D94+S$5)-PERMANENT_FIELD_LABOR_HOURS)*TEMP_HOURLY_RATE-FIXED_SEASON_COST)</f>
        <v>3969.35680995998</v>
      </c>
      <c r="T94" s="53" t="n">
        <f aca="false">IF(OR($A94&gt;TOMATO_BED_CAP,$B94&gt;CARROT_BED_CAP,T$4&gt;MESCLUN_BED_CAP,$A94+$B94+T$4&gt;TOTAL_BEDS_AVAILABLE,($D94+T$5)&gt;TOTAL_LABOR_HOURS_CAP,MAX(0,($D94+T$5)-PERMANENT_FIELD_LABOR_HOURS)&gt;TEMP_HOURS_CAP),"",$C94+T$6-MIN(($D94+T$5),PERMANENT_FIELD_LABOR_HOURS)*PERMANENT_HOURLY_RATE-MAX(0,($D94+T$5)-PERMANENT_FIELD_LABOR_HOURS)*TEMP_HOURLY_RATE-FIXED_SEASON_COST)</f>
        <v>4710.57027835482</v>
      </c>
      <c r="U94" s="53" t="n">
        <f aca="false">IF(OR($A94&gt;TOMATO_BED_CAP,$B94&gt;CARROT_BED_CAP,U$4&gt;MESCLUN_BED_CAP,$A94+$B94+U$4&gt;TOTAL_BEDS_AVAILABLE,($D94+U$5)&gt;TOTAL_LABOR_HOURS_CAP,MAX(0,($D94+U$5)-PERMANENT_FIELD_LABOR_HOURS)&gt;TEMP_HOURS_CAP),"",$C94+U$6-MIN(($D94+U$5),PERMANENT_FIELD_LABOR_HOURS)*PERMANENT_HOURLY_RATE-MAX(0,($D94+U$5)-PERMANENT_FIELD_LABOR_HOURS)*TEMP_HOURLY_RATE-FIXED_SEASON_COST)</f>
        <v>5426.67900698492</v>
      </c>
      <c r="V94" s="53" t="n">
        <f aca="false">IF(OR($A94&gt;TOMATO_BED_CAP,$B94&gt;CARROT_BED_CAP,V$4&gt;MESCLUN_BED_CAP,$A94+$B94+V$4&gt;TOTAL_BEDS_AVAILABLE,($D94+V$5)&gt;TOTAL_LABOR_HOURS_CAP,MAX(0,($D94+V$5)-PERMANENT_FIELD_LABOR_HOURS)&gt;TEMP_HOURS_CAP),"",$C94+V$6-MIN(($D94+V$5),PERMANENT_FIELD_LABOR_HOURS)*PERMANENT_HOURLY_RATE-MAX(0,($D94+V$5)-PERMANENT_FIELD_LABOR_HOURS)*TEMP_HOURLY_RATE-FIXED_SEASON_COST)</f>
        <v>6117.22393775171</v>
      </c>
      <c r="W94" s="53" t="n">
        <f aca="false">IF(OR($A94&gt;TOMATO_BED_CAP,$B94&gt;CARROT_BED_CAP,W$4&gt;MESCLUN_BED_CAP,$A94+$B94+W$4&gt;TOTAL_BEDS_AVAILABLE,($D94+W$5)&gt;TOTAL_LABOR_HOURS_CAP,MAX(0,($D94+W$5)-PERMANENT_FIELD_LABOR_HOURS)&gt;TEMP_HOURS_CAP),"",$C94+W$6-MIN(($D94+W$5),PERMANENT_FIELD_LABOR_HOURS)*PERMANENT_HOURLY_RATE-MAX(0,($D94+W$5)-PERMANENT_FIELD_LABOR_HOURS)*TEMP_HOURLY_RATE-FIXED_SEASON_COST)</f>
        <v>6781.73845871977</v>
      </c>
      <c r="X94" s="53" t="n">
        <f aca="false">IF(OR($A94&gt;TOMATO_BED_CAP,$B94&gt;CARROT_BED_CAP,X$4&gt;MESCLUN_BED_CAP,$A94+$B94+X$4&gt;TOTAL_BEDS_AVAILABLE,($D94+X$5)&gt;TOTAL_LABOR_HOURS_CAP,MAX(0,($D94+X$5)-PERMANENT_FIELD_LABOR_HOURS)&gt;TEMP_HOURS_CAP),"",$C94+X$6-MIN(($D94+X$5),PERMANENT_FIELD_LABOR_HOURS)*PERMANENT_HOURLY_RATE-MAX(0,($D94+X$5)-PERMANENT_FIELD_LABOR_HOURS)*TEMP_HOURLY_RATE-FIXED_SEASON_COST)</f>
        <v>7419.7482869987</v>
      </c>
      <c r="Y94" s="53" t="n">
        <f aca="false">IF(OR($A94&gt;TOMATO_BED_CAP,$B94&gt;CARROT_BED_CAP,Y$4&gt;MESCLUN_BED_CAP,$A94+$B94+Y$4&gt;TOTAL_BEDS_AVAILABLE,($D94+Y$5)&gt;TOTAL_LABOR_HOURS_CAP,MAX(0,($D94+Y$5)-PERMANENT_FIELD_LABOR_HOURS)&gt;TEMP_HOURS_CAP),"",$C94+Y$6-MIN(($D94+Y$5),PERMANENT_FIELD_LABOR_HOURS)*PERMANENT_HOURLY_RATE-MAX(0,($D94+Y$5)-PERMANENT_FIELD_LABOR_HOURS)*TEMP_HOURLY_RATE-FIXED_SEASON_COST)</f>
        <v>8030.77134987736</v>
      </c>
      <c r="Z94" s="53" t="n">
        <f aca="false">IF(OR($A94&gt;TOMATO_BED_CAP,$B94&gt;CARROT_BED_CAP,Z$4&gt;MESCLUN_BED_CAP,$A94+$B94+Z$4&gt;TOTAL_BEDS_AVAILABLE,($D94+Z$5)&gt;TOTAL_LABOR_HOURS_CAP,MAX(0,($D94+Z$5)-PERMANENT_FIELD_LABOR_HOURS)&gt;TEMP_HOURS_CAP),"",$C94+Z$6-MIN(($D94+Z$5),PERMANENT_FIELD_LABOR_HOURS)*PERMANENT_HOURLY_RATE-MAX(0,($D94+Z$5)-PERMANENT_FIELD_LABOR_HOURS)*TEMP_HOURLY_RATE-FIXED_SEASON_COST)</f>
        <v>8614.31766418508</v>
      </c>
      <c r="AA94" s="53" t="n">
        <f aca="false">IF(OR($A94&gt;TOMATO_BED_CAP,$B94&gt;CARROT_BED_CAP,AA$4&gt;MESCLUN_BED_CAP,$A94+$B94+AA$4&gt;TOTAL_BEDS_AVAILABLE,($D94+AA$5)&gt;TOTAL_LABOR_HOURS_CAP,MAX(0,($D94+AA$5)-PERMANENT_FIELD_LABOR_HOURS)&gt;TEMP_HOURS_CAP),"",$C94+AA$6-MIN(($D94+AA$5),PERMANENT_FIELD_LABOR_HOURS)*PERMANENT_HOURLY_RATE-MAX(0,($D94+AA$5)-PERMANENT_FIELD_LABOR_HOURS)*TEMP_HOURLY_RATE-FIXED_SEASON_COST)</f>
        <v>9169.88921385401</v>
      </c>
      <c r="AB94" s="53" t="n">
        <f aca="false">IF(OR($A94&gt;TOMATO_BED_CAP,$B94&gt;CARROT_BED_CAP,AB$4&gt;MESCLUN_BED_CAP,$A94+$B94+AB$4&gt;TOTAL_BEDS_AVAILABLE,($D94+AB$5)&gt;TOTAL_LABOR_HOURS_CAP,MAX(0,($D94+AB$5)-PERMANENT_FIELD_LABOR_HOURS)&gt;TEMP_HOURS_CAP),"",$C94+AB$6-MIN(($D94+AB$5),PERMANENT_FIELD_LABOR_HOURS)*PERMANENT_HOURLY_RATE-MAX(0,($D94+AB$5)-PERMANENT_FIELD_LABOR_HOURS)*TEMP_HOURLY_RATE-FIXED_SEASON_COST)</f>
        <v>9696.97982565658</v>
      </c>
      <c r="AC94" s="53" t="n">
        <f aca="false">IF(OR($A94&gt;TOMATO_BED_CAP,$B94&gt;CARROT_BED_CAP,AC$4&gt;MESCLUN_BED_CAP,$A94+$B94+AC$4&gt;TOTAL_BEDS_AVAILABLE,($D94+AC$5)&gt;TOTAL_LABOR_HOURS_CAP,MAX(0,($D94+AC$5)-PERMANENT_FIELD_LABOR_HOURS)&gt;TEMP_HOURS_CAP),"",$C94+AC$6-MIN(($D94+AC$5),PERMANENT_FIELD_LABOR_HOURS)*PERMANENT_HOURLY_RATE-MAX(0,($D94+AC$5)-PERMANENT_FIELD_LABOR_HOURS)*TEMP_HOURLY_RATE-FIXED_SEASON_COST)</f>
        <v>10195.0750430915</v>
      </c>
      <c r="AD94" s="53" t="n">
        <f aca="false">IF(OR($A94&gt;TOMATO_BED_CAP,$B94&gt;CARROT_BED_CAP,AD$4&gt;MESCLUN_BED_CAP,$A94+$B94+AD$4&gt;TOTAL_BEDS_AVAILABLE,($D94+AD$5)&gt;TOTAL_LABOR_HOURS_CAP,MAX(0,($D94+AD$5)-PERMANENT_FIELD_LABOR_HOURS)&gt;TEMP_HOURS_CAP),"",$C94+AD$6-MIN(($D94+AD$5),PERMANENT_FIELD_LABOR_HOURS)*PERMANENT_HOURLY_RATE-MAX(0,($D94+AD$5)-PERMANENT_FIELD_LABOR_HOURS)*TEMP_HOURLY_RATE-FIXED_SEASON_COST)</f>
        <v>10663.6519983914</v>
      </c>
      <c r="AE94" s="53" t="n">
        <f aca="false">IF(OR($A94&gt;TOMATO_BED_CAP,$B94&gt;CARROT_BED_CAP,AE$4&gt;MESCLUN_BED_CAP,$A94+$B94+AE$4&gt;TOTAL_BEDS_AVAILABLE,($D94+AE$5)&gt;TOTAL_LABOR_HOURS_CAP,MAX(0,($D94+AE$5)-PERMANENT_FIELD_LABOR_HOURS)&gt;TEMP_HOURS_CAP),"",$C94+AE$6-MIN(($D94+AE$5),PERMANENT_FIELD_LABOR_HOURS)*PERMANENT_HOURLY_RATE-MAX(0,($D94+AE$5)-PERMANENT_FIELD_LABOR_HOURS)*TEMP_HOURLY_RATE-FIXED_SEASON_COST)</f>
        <v>11102.1792826253</v>
      </c>
      <c r="AF94" s="53" t="n">
        <f aca="false">IF(OR($A94&gt;TOMATO_BED_CAP,$B94&gt;CARROT_BED_CAP,AF$4&gt;MESCLUN_BED_CAP,$A94+$B94+AF$4&gt;TOTAL_BEDS_AVAILABLE,($D94+AF$5)&gt;TOTAL_LABOR_HOURS_CAP,MAX(0,($D94+AF$5)-PERMANENT_FIELD_LABOR_HOURS)&gt;TEMP_HOURS_CAP),"",$C94+AF$6-MIN(($D94+AF$5),PERMANENT_FIELD_LABOR_HOURS)*PERMANENT_HOURLY_RATE-MAX(0,($D94+AF$5)-PERMANENT_FIELD_LABOR_HOURS)*TEMP_HOURLY_RATE-FIXED_SEASON_COST)</f>
        <v>11510.1168138673</v>
      </c>
      <c r="AG94" s="53" t="n">
        <f aca="false">IF(OR($A94&gt;TOMATO_BED_CAP,$B94&gt;CARROT_BED_CAP,AG$4&gt;MESCLUN_BED_CAP,$A94+$B94+AG$4&gt;TOTAL_BEDS_AVAILABLE,($D94+AG$5)&gt;TOTAL_LABOR_HOURS_CAP,MAX(0,($D94+AG$5)-PERMANENT_FIELD_LABOR_HOURS)&gt;TEMP_HOURS_CAP),"",$C94+AG$6-MIN(($D94+AG$5),PERMANENT_FIELD_LABOR_HOURS)*PERMANENT_HOURLY_RATE-MAX(0,($D94+AG$5)-PERMANENT_FIELD_LABOR_HOURS)*TEMP_HOURLY_RATE-FIXED_SEASON_COST)</f>
        <v>11886.9157034043</v>
      </c>
      <c r="AH94" s="53" t="n">
        <f aca="false">IF(OR($A94&gt;TOMATO_BED_CAP,$B94&gt;CARROT_BED_CAP,AH$4&gt;MESCLUN_BED_CAP,$A94+$B94+AH$4&gt;TOTAL_BEDS_AVAILABLE,($D94+AH$5)&gt;TOTAL_LABOR_HOURS_CAP,MAX(0,($D94+AH$5)-PERMANENT_FIELD_LABOR_HOURS)&gt;TEMP_HOURS_CAP),"",$C94+AH$6-MIN(($D94+AH$5),PERMANENT_FIELD_LABOR_HOURS)*PERMANENT_HOURLY_RATE-MAX(0,($D94+AH$5)-PERMANENT_FIELD_LABOR_HOURS)*TEMP_HOURLY_RATE-FIXED_SEASON_COST)</f>
        <v>12232.0181199545</v>
      </c>
      <c r="AI94" s="53" t="n">
        <f aca="false">IF(OR($A94&gt;TOMATO_BED_CAP,$B94&gt;CARROT_BED_CAP,AI$4&gt;MESCLUN_BED_CAP,$A94+$B94+AI$4&gt;TOTAL_BEDS_AVAILABLE,($D94+AI$5)&gt;TOTAL_LABOR_HOURS_CAP,MAX(0,($D94+AI$5)-PERMANENT_FIELD_LABOR_HOURS)&gt;TEMP_HOURS_CAP),"",$C94+AI$6-MIN(($D94+AI$5),PERMANENT_FIELD_LABOR_HOURS)*PERMANENT_HOURLY_RATE-MAX(0,($D94+AI$5)-PERMANENT_FIELD_LABOR_HOURS)*TEMP_HOURLY_RATE-FIXED_SEASON_COST)</f>
        <v>12544.8571518668</v>
      </c>
      <c r="AJ94" s="53" t="n">
        <f aca="false">IF(OR($A94&gt;TOMATO_BED_CAP,$B94&gt;CARROT_BED_CAP,AJ$4&gt;MESCLUN_BED_CAP,$A94+$B94+AJ$4&gt;TOTAL_BEDS_AVAILABLE,($D94+AJ$5)&gt;TOTAL_LABOR_HOURS_CAP,MAX(0,($D94+AJ$5)-PERMANENT_FIELD_LABOR_HOURS)&gt;TEMP_HOURS_CAP),"",$C94+AJ$6-MIN(($D94+AJ$5),PERMANENT_FIELD_LABOR_HOURS)*PERMANENT_HOURLY_RATE-MAX(0,($D94+AJ$5)-PERMANENT_FIELD_LABOR_HOURS)*TEMP_HOURLY_RATE-FIXED_SEASON_COST)</f>
        <v>12824.8566672725</v>
      </c>
    </row>
    <row r="95" customFormat="false" ht="15" hidden="false" customHeight="false" outlineLevel="0" collapsed="false">
      <c r="A95" s="21" t="n">
        <f aca="false">INT((ROW()-ROW($A$8))/(20+1))</f>
        <v>4</v>
      </c>
      <c r="B95" s="21" t="n">
        <f aca="false">MOD(ROW()-ROW($A$8),20+1)</f>
        <v>3</v>
      </c>
      <c r="C95" s="13" t="n">
        <f aca="false">A95*(TOMATO_REVENUE_PER_BED-TOMATO_FERTILIZER_PER_BED)+B95*(CARROT_REVENUE_PER_BED-CARROT_FERTILIZER_PER_BED)</f>
        <v>36642</v>
      </c>
      <c r="D95" s="14" t="n">
        <f aca="false">INDEX(TOMATO_SCHED_LABOR_HRS,A95+1)+INDEX(CARROT_SCHED_LABOR_HRS,B95+1)</f>
        <v>623.9573881875</v>
      </c>
      <c r="E95" s="13" t="n">
        <f aca="false">IF(COUNT(F95:AJ95)=0,"",MAX(F95:AJ95))</f>
        <v>13890.8890359375</v>
      </c>
      <c r="F95" s="53" t="n">
        <f aca="false">IF(OR($A95&gt;TOMATO_BED_CAP,$B95&gt;CARROT_BED_CAP,F$4&gt;MESCLUN_BED_CAP,$A95+$B95+F$4&gt;TOTAL_BEDS_AVAILABLE,($D95+F$5)&gt;TOTAL_LABOR_HOURS_CAP,MAX(0,($D95+F$5)-PERMANENT_FIELD_LABOR_HOURS)&gt;TEMP_HOURS_CAP),"",$C95+F$6-MIN(($D95+F$5),PERMANENT_FIELD_LABOR_HOURS)*PERMANENT_HOURLY_RATE-MAX(0,($D95+F$5)-PERMANENT_FIELD_LABOR_HOURS)*TEMP_HOURLY_RATE-FIXED_SEASON_COST)</f>
        <v>-5021.80051787</v>
      </c>
      <c r="G95" s="53" t="n">
        <f aca="false">IF(OR($A95&gt;TOMATO_BED_CAP,$B95&gt;CARROT_BED_CAP,G$4&gt;MESCLUN_BED_CAP,$A95+$B95+G$4&gt;TOTAL_BEDS_AVAILABLE,($D95+G$5)&gt;TOTAL_LABOR_HOURS_CAP,MAX(0,($D95+G$5)-PERMANENT_FIELD_LABOR_HOURS)&gt;TEMP_HOURS_CAP),"",$C95+G$6-MIN(($D95+G$5),PERMANENT_FIELD_LABOR_HOURS)*PERMANENT_HOURLY_RATE-MAX(0,($D95+G$5)-PERMANENT_FIELD_LABOR_HOURS)*TEMP_HOURLY_RATE-FIXED_SEASON_COST)</f>
        <v>-4783.73051787</v>
      </c>
      <c r="H95" s="53" t="n">
        <f aca="false">IF(OR($A95&gt;TOMATO_BED_CAP,$B95&gt;CARROT_BED_CAP,H$4&gt;MESCLUN_BED_CAP,$A95+$B95+H$4&gt;TOTAL_BEDS_AVAILABLE,($D95+H$5)&gt;TOTAL_LABOR_HOURS_CAP,MAX(0,($D95+H$5)-PERMANENT_FIELD_LABOR_HOURS)&gt;TEMP_HOURS_CAP),"",$C95+H$6-MIN(($D95+H$5),PERMANENT_FIELD_LABOR_HOURS)*PERMANENT_HOURLY_RATE-MAX(0,($D95+H$5)-PERMANENT_FIELD_LABOR_HOURS)*TEMP_HOURLY_RATE-FIXED_SEASON_COST)</f>
        <v>-4585.20876787</v>
      </c>
      <c r="I95" s="53" t="n">
        <f aca="false">IF(OR($A95&gt;TOMATO_BED_CAP,$B95&gt;CARROT_BED_CAP,I$4&gt;MESCLUN_BED_CAP,$A95+$B95+I$4&gt;TOTAL_BEDS_AVAILABLE,($D95+I$5)&gt;TOTAL_LABOR_HOURS_CAP,MAX(0,($D95+I$5)-PERMANENT_FIELD_LABOR_HOURS)&gt;TEMP_HOURS_CAP),"",$C95+I$6-MIN(($D95+I$5),PERMANENT_FIELD_LABOR_HOURS)*PERMANENT_HOURLY_RATE-MAX(0,($D95+I$5)-PERMANENT_FIELD_LABOR_HOURS)*TEMP_HOURLY_RATE-FIXED_SEASON_COST)</f>
        <v>-3661.68839877875</v>
      </c>
      <c r="J95" s="53" t="n">
        <f aca="false">IF(OR($A95&gt;TOMATO_BED_CAP,$B95&gt;CARROT_BED_CAP,J$4&gt;MESCLUN_BED_CAP,$A95+$B95+J$4&gt;TOTAL_BEDS_AVAILABLE,($D95+J$5)&gt;TOTAL_LABOR_HOURS_CAP,MAX(0,($D95+J$5)-PERMANENT_FIELD_LABOR_HOURS)&gt;TEMP_HOURS_CAP),"",$C95+J$6-MIN(($D95+J$5),PERMANENT_FIELD_LABOR_HOURS)*PERMANENT_HOURLY_RATE-MAX(0,($D95+J$5)-PERMANENT_FIELD_LABOR_HOURS)*TEMP_HOURLY_RATE-FIXED_SEASON_COST)</f>
        <v>-2693.09424772406</v>
      </c>
      <c r="K95" s="53" t="n">
        <f aca="false">IF(OR($A95&gt;TOMATO_BED_CAP,$B95&gt;CARROT_BED_CAP,K$4&gt;MESCLUN_BED_CAP,$A95+$B95+K$4&gt;TOTAL_BEDS_AVAILABLE,($D95+K$5)&gt;TOTAL_LABOR_HOURS_CAP,MAX(0,($D95+K$5)-PERMANENT_FIELD_LABOR_HOURS)&gt;TEMP_HOURS_CAP),"",$C95+K$6-MIN(($D95+K$5),PERMANENT_FIELD_LABOR_HOURS)*PERMANENT_HOURLY_RATE-MAX(0,($D95+K$5)-PERMANENT_FIELD_LABOR_HOURS)*TEMP_HOURLY_RATE-FIXED_SEASON_COST)</f>
        <v>-1745.40515099616</v>
      </c>
      <c r="L95" s="53" t="n">
        <f aca="false">IF(OR($A95&gt;TOMATO_BED_CAP,$B95&gt;CARROT_BED_CAP,L$4&gt;MESCLUN_BED_CAP,$A95+$B95+L$4&gt;TOTAL_BEDS_AVAILABLE,($D95+L$5)&gt;TOTAL_LABOR_HOURS_CAP,MAX(0,($D95+L$5)-PERMANENT_FIELD_LABOR_HOURS)&gt;TEMP_HOURS_CAP),"",$C95+L$6-MIN(($D95+L$5),PERMANENT_FIELD_LABOR_HOURS)*PERMANENT_HOURLY_RATE-MAX(0,($D95+L$5)-PERMANENT_FIELD_LABOR_HOURS)*TEMP_HOURLY_RATE-FIXED_SEASON_COST)</f>
        <v>-819.010702789303</v>
      </c>
      <c r="M95" s="53" t="n">
        <f aca="false">IF(OR($A95&gt;TOMATO_BED_CAP,$B95&gt;CARROT_BED_CAP,M$4&gt;MESCLUN_BED_CAP,$A95+$B95+M$4&gt;TOTAL_BEDS_AVAILABLE,($D95+M$5)&gt;TOTAL_LABOR_HOURS_CAP,MAX(0,($D95+M$5)-PERMANENT_FIELD_LABOR_HOURS)&gt;TEMP_HOURS_CAP),"",$C95+M$6-MIN(($D95+M$5),PERMANENT_FIELD_LABOR_HOURS)*PERMANENT_HOURLY_RATE-MAX(0,($D95+M$5)-PERMANENT_FIELD_LABOR_HOURS)*TEMP_HOURLY_RATE-FIXED_SEASON_COST)</f>
        <v>85.6930292621037</v>
      </c>
      <c r="N95" s="53" t="n">
        <f aca="false">IF(OR($A95&gt;TOMATO_BED_CAP,$B95&gt;CARROT_BED_CAP,N$4&gt;MESCLUN_BED_CAP,$A95+$B95+N$4&gt;TOTAL_BEDS_AVAILABLE,($D95+N$5)&gt;TOTAL_LABOR_HOURS_CAP,MAX(0,($D95+N$5)-PERMANENT_FIELD_LABOR_HOURS)&gt;TEMP_HOURS_CAP),"",$C95+N$6-MIN(($D95+N$5),PERMANENT_FIELD_LABOR_HOURS)*PERMANENT_HOURLY_RATE-MAX(0,($D95+N$5)-PERMANENT_FIELD_LABOR_HOURS)*TEMP_HOURLY_RATE-FIXED_SEASON_COST)</f>
        <v>968.303403121645</v>
      </c>
      <c r="O95" s="53" t="n">
        <f aca="false">IF(OR($A95&gt;TOMATO_BED_CAP,$B95&gt;CARROT_BED_CAP,O$4&gt;MESCLUN_BED_CAP,$A95+$B95+O$4&gt;TOTAL_BEDS_AVAILABLE,($D95+O$5)&gt;TOTAL_LABOR_HOURS_CAP,MAX(0,($D95+O$5)-PERMANENT_FIELD_LABOR_HOURS)&gt;TEMP_HOURS_CAP),"",$C95+O$6-MIN(($D95+O$5),PERMANENT_FIELD_LABOR_HOURS)*PERMANENT_HOURLY_RATE-MAX(0,($D95+O$5)-PERMANENT_FIELD_LABOR_HOURS)*TEMP_HOURLY_RATE-FIXED_SEASON_COST)</f>
        <v>1828.4110998764</v>
      </c>
      <c r="P95" s="53" t="n">
        <f aca="false">IF(OR($A95&gt;TOMATO_BED_CAP,$B95&gt;CARROT_BED_CAP,P$4&gt;MESCLUN_BED_CAP,$A95+$B95+P$4&gt;TOTAL_BEDS_AVAILABLE,($D95+P$5)&gt;TOTAL_LABOR_HOURS_CAP,MAX(0,($D95+P$5)-PERMANENT_FIELD_LABOR_HOURS)&gt;TEMP_HOURS_CAP),"",$C95+P$6-MIN(($D95+P$5),PERMANENT_FIELD_LABOR_HOURS)*PERMANENT_HOURLY_RATE-MAX(0,($D95+P$5)-PERMANENT_FIELD_LABOR_HOURS)*TEMP_HOURLY_RATE-FIXED_SEASON_COST)</f>
        <v>2665.60001972783</v>
      </c>
      <c r="Q95" s="53" t="n">
        <f aca="false">IF(OR($A95&gt;TOMATO_BED_CAP,$B95&gt;CARROT_BED_CAP,Q$4&gt;MESCLUN_BED_CAP,$A95+$B95+Q$4&gt;TOTAL_BEDS_AVAILABLE,($D95+Q$5)&gt;TOTAL_LABOR_HOURS_CAP,MAX(0,($D95+Q$5)-PERMANENT_FIELD_LABOR_HOURS)&gt;TEMP_HOURS_CAP),"",$C95+Q$6-MIN(($D95+Q$5),PERMANENT_FIELD_LABOR_HOURS)*PERMANENT_HOURLY_RATE-MAX(0,($D95+Q$5)-PERMANENT_FIELD_LABOR_HOURS)*TEMP_HOURLY_RATE-FIXED_SEASON_COST)</f>
        <v>3479.44717642573</v>
      </c>
      <c r="R95" s="53" t="n">
        <f aca="false">IF(OR($A95&gt;TOMATO_BED_CAP,$B95&gt;CARROT_BED_CAP,R$4&gt;MESCLUN_BED_CAP,$A95+$B95+R$4&gt;TOTAL_BEDS_AVAILABLE,($D95+R$5)&gt;TOTAL_LABOR_HOURS_CAP,MAX(0,($D95+R$5)-PERMANENT_FIELD_LABOR_HOURS)&gt;TEMP_HOURS_CAP),"",$C95+R$6-MIN(($D95+R$5),PERMANENT_FIELD_LABOR_HOURS)*PERMANENT_HOURLY_RATE-MAX(0,($D95+R$5)-PERMANENT_FIELD_LABOR_HOURS)*TEMP_HOURLY_RATE-FIXED_SEASON_COST)</f>
        <v>4269.52259012253</v>
      </c>
      <c r="S95" s="53" t="n">
        <f aca="false">IF(OR($A95&gt;TOMATO_BED_CAP,$B95&gt;CARROT_BED_CAP,S$4&gt;MESCLUN_BED_CAP,$A95+$B95+S$4&gt;TOTAL_BEDS_AVAILABLE,($D95+S$5)&gt;TOTAL_LABOR_HOURS_CAP,MAX(0,($D95+S$5)-PERMANENT_FIELD_LABOR_HOURS)&gt;TEMP_HOURS_CAP),"",$C95+S$6-MIN(($D95+S$5),PERMANENT_FIELD_LABOR_HOURS)*PERMANENT_HOURLY_RATE-MAX(0,($D95+S$5)-PERMANENT_FIELD_LABOR_HOURS)*TEMP_HOURLY_RATE-FIXED_SEASON_COST)</f>
        <v>5035.38917862498</v>
      </c>
      <c r="T95" s="53" t="n">
        <f aca="false">IF(OR($A95&gt;TOMATO_BED_CAP,$B95&gt;CARROT_BED_CAP,T$4&gt;MESCLUN_BED_CAP,$A95+$B95+T$4&gt;TOTAL_BEDS_AVAILABLE,($D95+T$5)&gt;TOTAL_LABOR_HOURS_CAP,MAX(0,($D95+T$5)-PERMANENT_FIELD_LABOR_HOURS)&gt;TEMP_HOURS_CAP),"",$C95+T$6-MIN(($D95+T$5),PERMANENT_FIELD_LABOR_HOURS)*PERMANENT_HOURLY_RATE-MAX(0,($D95+T$5)-PERMANENT_FIELD_LABOR_HOURS)*TEMP_HOURLY_RATE-FIXED_SEASON_COST)</f>
        <v>5776.60264701983</v>
      </c>
      <c r="U95" s="53" t="n">
        <f aca="false">IF(OR($A95&gt;TOMATO_BED_CAP,$B95&gt;CARROT_BED_CAP,U$4&gt;MESCLUN_BED_CAP,$A95+$B95+U$4&gt;TOTAL_BEDS_AVAILABLE,($D95+U$5)&gt;TOTAL_LABOR_HOURS_CAP,MAX(0,($D95+U$5)-PERMANENT_FIELD_LABOR_HOURS)&gt;TEMP_HOURS_CAP),"",$C95+U$6-MIN(($D95+U$5),PERMANENT_FIELD_LABOR_HOURS)*PERMANENT_HOURLY_RATE-MAX(0,($D95+U$5)-PERMANENT_FIELD_LABOR_HOURS)*TEMP_HOURLY_RATE-FIXED_SEASON_COST)</f>
        <v>6492.71137564992</v>
      </c>
      <c r="V95" s="53" t="n">
        <f aca="false">IF(OR($A95&gt;TOMATO_BED_CAP,$B95&gt;CARROT_BED_CAP,V$4&gt;MESCLUN_BED_CAP,$A95+$B95+V$4&gt;TOTAL_BEDS_AVAILABLE,($D95+V$5)&gt;TOTAL_LABOR_HOURS_CAP,MAX(0,($D95+V$5)-PERMANENT_FIELD_LABOR_HOURS)&gt;TEMP_HOURS_CAP),"",$C95+V$6-MIN(($D95+V$5),PERMANENT_FIELD_LABOR_HOURS)*PERMANENT_HOURLY_RATE-MAX(0,($D95+V$5)-PERMANENT_FIELD_LABOR_HOURS)*TEMP_HOURLY_RATE-FIXED_SEASON_COST)</f>
        <v>7183.25630641671</v>
      </c>
      <c r="W95" s="53" t="n">
        <f aca="false">IF(OR($A95&gt;TOMATO_BED_CAP,$B95&gt;CARROT_BED_CAP,W$4&gt;MESCLUN_BED_CAP,$A95+$B95+W$4&gt;TOTAL_BEDS_AVAILABLE,($D95+W$5)&gt;TOTAL_LABOR_HOURS_CAP,MAX(0,($D95+W$5)-PERMANENT_FIELD_LABOR_HOURS)&gt;TEMP_HOURS_CAP),"",$C95+W$6-MIN(($D95+W$5),PERMANENT_FIELD_LABOR_HOURS)*PERMANENT_HOURLY_RATE-MAX(0,($D95+W$5)-PERMANENT_FIELD_LABOR_HOURS)*TEMP_HOURLY_RATE-FIXED_SEASON_COST)</f>
        <v>7847.77082738478</v>
      </c>
      <c r="X95" s="53" t="n">
        <f aca="false">IF(OR($A95&gt;TOMATO_BED_CAP,$B95&gt;CARROT_BED_CAP,X$4&gt;MESCLUN_BED_CAP,$A95+$B95+X$4&gt;TOTAL_BEDS_AVAILABLE,($D95+X$5)&gt;TOTAL_LABOR_HOURS_CAP,MAX(0,($D95+X$5)-PERMANENT_FIELD_LABOR_HOURS)&gt;TEMP_HOURS_CAP),"",$C95+X$6-MIN(($D95+X$5),PERMANENT_FIELD_LABOR_HOURS)*PERMANENT_HOURLY_RATE-MAX(0,($D95+X$5)-PERMANENT_FIELD_LABOR_HOURS)*TEMP_HOURLY_RATE-FIXED_SEASON_COST)</f>
        <v>8485.7806556637</v>
      </c>
      <c r="Y95" s="53" t="n">
        <f aca="false">IF(OR($A95&gt;TOMATO_BED_CAP,$B95&gt;CARROT_BED_CAP,Y$4&gt;MESCLUN_BED_CAP,$A95+$B95+Y$4&gt;TOTAL_BEDS_AVAILABLE,($D95+Y$5)&gt;TOTAL_LABOR_HOURS_CAP,MAX(0,($D95+Y$5)-PERMANENT_FIELD_LABOR_HOURS)&gt;TEMP_HOURS_CAP),"",$C95+Y$6-MIN(($D95+Y$5),PERMANENT_FIELD_LABOR_HOURS)*PERMANENT_HOURLY_RATE-MAX(0,($D95+Y$5)-PERMANENT_FIELD_LABOR_HOURS)*TEMP_HOURLY_RATE-FIXED_SEASON_COST)</f>
        <v>9096.80371854236</v>
      </c>
      <c r="Z95" s="53" t="n">
        <f aca="false">IF(OR($A95&gt;TOMATO_BED_CAP,$B95&gt;CARROT_BED_CAP,Z$4&gt;MESCLUN_BED_CAP,$A95+$B95+Z$4&gt;TOTAL_BEDS_AVAILABLE,($D95+Z$5)&gt;TOTAL_LABOR_HOURS_CAP,MAX(0,($D95+Z$5)-PERMANENT_FIELD_LABOR_HOURS)&gt;TEMP_HOURS_CAP),"",$C95+Z$6-MIN(($D95+Z$5),PERMANENT_FIELD_LABOR_HOURS)*PERMANENT_HOURLY_RATE-MAX(0,($D95+Z$5)-PERMANENT_FIELD_LABOR_HOURS)*TEMP_HOURLY_RATE-FIXED_SEASON_COST)</f>
        <v>9680.35003285008</v>
      </c>
      <c r="AA95" s="53" t="n">
        <f aca="false">IF(OR($A95&gt;TOMATO_BED_CAP,$B95&gt;CARROT_BED_CAP,AA$4&gt;MESCLUN_BED_CAP,$A95+$B95+AA$4&gt;TOTAL_BEDS_AVAILABLE,($D95+AA$5)&gt;TOTAL_LABOR_HOURS_CAP,MAX(0,($D95+AA$5)-PERMANENT_FIELD_LABOR_HOURS)&gt;TEMP_HOURS_CAP),"",$C95+AA$6-MIN(($D95+AA$5),PERMANENT_FIELD_LABOR_HOURS)*PERMANENT_HOURLY_RATE-MAX(0,($D95+AA$5)-PERMANENT_FIELD_LABOR_HOURS)*TEMP_HOURLY_RATE-FIXED_SEASON_COST)</f>
        <v>10235.921582519</v>
      </c>
      <c r="AB95" s="53" t="n">
        <f aca="false">IF(OR($A95&gt;TOMATO_BED_CAP,$B95&gt;CARROT_BED_CAP,AB$4&gt;MESCLUN_BED_CAP,$A95+$B95+AB$4&gt;TOTAL_BEDS_AVAILABLE,($D95+AB$5)&gt;TOTAL_LABOR_HOURS_CAP,MAX(0,($D95+AB$5)-PERMANENT_FIELD_LABOR_HOURS)&gt;TEMP_HOURS_CAP),"",$C95+AB$6-MIN(($D95+AB$5),PERMANENT_FIELD_LABOR_HOURS)*PERMANENT_HOURLY_RATE-MAX(0,($D95+AB$5)-PERMANENT_FIELD_LABOR_HOURS)*TEMP_HOURLY_RATE-FIXED_SEASON_COST)</f>
        <v>10763.0121943216</v>
      </c>
      <c r="AC95" s="53" t="n">
        <f aca="false">IF(OR($A95&gt;TOMATO_BED_CAP,$B95&gt;CARROT_BED_CAP,AC$4&gt;MESCLUN_BED_CAP,$A95+$B95+AC$4&gt;TOTAL_BEDS_AVAILABLE,($D95+AC$5)&gt;TOTAL_LABOR_HOURS_CAP,MAX(0,($D95+AC$5)-PERMANENT_FIELD_LABOR_HOURS)&gt;TEMP_HOURS_CAP),"",$C95+AC$6-MIN(($D95+AC$5),PERMANENT_FIELD_LABOR_HOURS)*PERMANENT_HOURLY_RATE-MAX(0,($D95+AC$5)-PERMANENT_FIELD_LABOR_HOURS)*TEMP_HOURLY_RATE-FIXED_SEASON_COST)</f>
        <v>11261.1074117565</v>
      </c>
      <c r="AD95" s="53" t="n">
        <f aca="false">IF(OR($A95&gt;TOMATO_BED_CAP,$B95&gt;CARROT_BED_CAP,AD$4&gt;MESCLUN_BED_CAP,$A95+$B95+AD$4&gt;TOTAL_BEDS_AVAILABLE,($D95+AD$5)&gt;TOTAL_LABOR_HOURS_CAP,MAX(0,($D95+AD$5)-PERMANENT_FIELD_LABOR_HOURS)&gt;TEMP_HOURS_CAP),"",$C95+AD$6-MIN(($D95+AD$5),PERMANENT_FIELD_LABOR_HOURS)*PERMANENT_HOURLY_RATE-MAX(0,($D95+AD$5)-PERMANENT_FIELD_LABOR_HOURS)*TEMP_HOURLY_RATE-FIXED_SEASON_COST)</f>
        <v>11729.6843670564</v>
      </c>
      <c r="AE95" s="53" t="n">
        <f aca="false">IF(OR($A95&gt;TOMATO_BED_CAP,$B95&gt;CARROT_BED_CAP,AE$4&gt;MESCLUN_BED_CAP,$A95+$B95+AE$4&gt;TOTAL_BEDS_AVAILABLE,($D95+AE$5)&gt;TOTAL_LABOR_HOURS_CAP,MAX(0,($D95+AE$5)-PERMANENT_FIELD_LABOR_HOURS)&gt;TEMP_HOURS_CAP),"",$C95+AE$6-MIN(($D95+AE$5),PERMANENT_FIELD_LABOR_HOURS)*PERMANENT_HOURLY_RATE-MAX(0,($D95+AE$5)-PERMANENT_FIELD_LABOR_HOURS)*TEMP_HOURLY_RATE-FIXED_SEASON_COST)</f>
        <v>12168.2116512903</v>
      </c>
      <c r="AF95" s="53" t="n">
        <f aca="false">IF(OR($A95&gt;TOMATO_BED_CAP,$B95&gt;CARROT_BED_CAP,AF$4&gt;MESCLUN_BED_CAP,$A95+$B95+AF$4&gt;TOTAL_BEDS_AVAILABLE,($D95+AF$5)&gt;TOTAL_LABOR_HOURS_CAP,MAX(0,($D95+AF$5)-PERMANENT_FIELD_LABOR_HOURS)&gt;TEMP_HOURS_CAP),"",$C95+AF$6-MIN(($D95+AF$5),PERMANENT_FIELD_LABOR_HOURS)*PERMANENT_HOURLY_RATE-MAX(0,($D95+AF$5)-PERMANENT_FIELD_LABOR_HOURS)*TEMP_HOURLY_RATE-FIXED_SEASON_COST)</f>
        <v>12576.1491825323</v>
      </c>
      <c r="AG95" s="53" t="n">
        <f aca="false">IF(OR($A95&gt;TOMATO_BED_CAP,$B95&gt;CARROT_BED_CAP,AG$4&gt;MESCLUN_BED_CAP,$A95+$B95+AG$4&gt;TOTAL_BEDS_AVAILABLE,($D95+AG$5)&gt;TOTAL_LABOR_HOURS_CAP,MAX(0,($D95+AG$5)-PERMANENT_FIELD_LABOR_HOURS)&gt;TEMP_HOURS_CAP),"",$C95+AG$6-MIN(($D95+AG$5),PERMANENT_FIELD_LABOR_HOURS)*PERMANENT_HOURLY_RATE-MAX(0,($D95+AG$5)-PERMANENT_FIELD_LABOR_HOURS)*TEMP_HOURLY_RATE-FIXED_SEASON_COST)</f>
        <v>12952.9480720693</v>
      </c>
      <c r="AH95" s="53" t="n">
        <f aca="false">IF(OR($A95&gt;TOMATO_BED_CAP,$B95&gt;CARROT_BED_CAP,AH$4&gt;MESCLUN_BED_CAP,$A95+$B95+AH$4&gt;TOTAL_BEDS_AVAILABLE,($D95+AH$5)&gt;TOTAL_LABOR_HOURS_CAP,MAX(0,($D95+AH$5)-PERMANENT_FIELD_LABOR_HOURS)&gt;TEMP_HOURS_CAP),"",$C95+AH$6-MIN(($D95+AH$5),PERMANENT_FIELD_LABOR_HOURS)*PERMANENT_HOURLY_RATE-MAX(0,($D95+AH$5)-PERMANENT_FIELD_LABOR_HOURS)*TEMP_HOURLY_RATE-FIXED_SEASON_COST)</f>
        <v>13298.0504886195</v>
      </c>
      <c r="AI95" s="53" t="n">
        <f aca="false">IF(OR($A95&gt;TOMATO_BED_CAP,$B95&gt;CARROT_BED_CAP,AI$4&gt;MESCLUN_BED_CAP,$A95+$B95+AI$4&gt;TOTAL_BEDS_AVAILABLE,($D95+AI$5)&gt;TOTAL_LABOR_HOURS_CAP,MAX(0,($D95+AI$5)-PERMANENT_FIELD_LABOR_HOURS)&gt;TEMP_HOURS_CAP),"",$C95+AI$6-MIN(($D95+AI$5),PERMANENT_FIELD_LABOR_HOURS)*PERMANENT_HOURLY_RATE-MAX(0,($D95+AI$5)-PERMANENT_FIELD_LABOR_HOURS)*TEMP_HOURLY_RATE-FIXED_SEASON_COST)</f>
        <v>13610.8895205318</v>
      </c>
      <c r="AJ95" s="53" t="n">
        <f aca="false">IF(OR($A95&gt;TOMATO_BED_CAP,$B95&gt;CARROT_BED_CAP,AJ$4&gt;MESCLUN_BED_CAP,$A95+$B95+AJ$4&gt;TOTAL_BEDS_AVAILABLE,($D95+AJ$5)&gt;TOTAL_LABOR_HOURS_CAP,MAX(0,($D95+AJ$5)-PERMANENT_FIELD_LABOR_HOURS)&gt;TEMP_HOURS_CAP),"",$C95+AJ$6-MIN(($D95+AJ$5),PERMANENT_FIELD_LABOR_HOURS)*PERMANENT_HOURLY_RATE-MAX(0,($D95+AJ$5)-PERMANENT_FIELD_LABOR_HOURS)*TEMP_HOURLY_RATE-FIXED_SEASON_COST)</f>
        <v>13890.8890359375</v>
      </c>
    </row>
    <row r="96" customFormat="false" ht="15" hidden="false" customHeight="false" outlineLevel="0" collapsed="false">
      <c r="A96" s="21" t="n">
        <f aca="false">INT((ROW()-ROW($A$8))/(20+1))</f>
        <v>4</v>
      </c>
      <c r="B96" s="21" t="n">
        <f aca="false">MOD(ROW()-ROW($A$8),20+1)</f>
        <v>4</v>
      </c>
      <c r="C96" s="13" t="n">
        <f aca="false">A96*(TOMATO_REVENUE_PER_BED-TOMATO_FERTILIZER_PER_BED)+B96*(CARROT_REVENUE_PER_BED-CARROT_FERTILIZER_PER_BED)</f>
        <v>38296</v>
      </c>
      <c r="D96" s="14" t="n">
        <f aca="false">INDEX(TOMATO_SCHED_LABOR_HRS,A96+1)+INDEX(CARROT_SCHED_LABOR_HRS,B96+1)</f>
        <v>659.48056385625</v>
      </c>
      <c r="E96" s="13" t="n">
        <f aca="false">IF(COUNT(F96:AJ96)=0,"",MAX(F96:AJ96))</f>
        <v>14928.206706328</v>
      </c>
      <c r="F96" s="53" t="n">
        <f aca="false">IF(OR($A96&gt;TOMATO_BED_CAP,$B96&gt;CARROT_BED_CAP,F$4&gt;MESCLUN_BED_CAP,$A96+$B96+F$4&gt;TOTAL_BEDS_AVAILABLE,($D96+F$5)&gt;TOTAL_LABOR_HOURS_CAP,MAX(0,($D96+F$5)-PERMANENT_FIELD_LABOR_HOURS)&gt;TEMP_HOURS_CAP),"",$C96+F$6-MIN(($D96+F$5),PERMANENT_FIELD_LABOR_HOURS)*PERMANENT_HOURLY_RATE-MAX(0,($D96+F$5)-PERMANENT_FIELD_LABOR_HOURS)*TEMP_HOURLY_RATE-FIXED_SEASON_COST)</f>
        <v>-4601.165177089</v>
      </c>
      <c r="G96" s="53" t="n">
        <f aca="false">IF(OR($A96&gt;TOMATO_BED_CAP,$B96&gt;CARROT_BED_CAP,G$4&gt;MESCLUN_BED_CAP,$A96+$B96+G$4&gt;TOTAL_BEDS_AVAILABLE,($D96+G$5)&gt;TOTAL_LABOR_HOURS_CAP,MAX(0,($D96+G$5)-PERMANENT_FIELD_LABOR_HOURS)&gt;TEMP_HOURS_CAP),"",$C96+G$6-MIN(($D96+G$5),PERMANENT_FIELD_LABOR_HOURS)*PERMANENT_HOURLY_RATE-MAX(0,($D96+G$5)-PERMANENT_FIELD_LABOR_HOURS)*TEMP_HOURLY_RATE-FIXED_SEASON_COST)</f>
        <v>-4363.095177089</v>
      </c>
      <c r="H96" s="53" t="n">
        <f aca="false">IF(OR($A96&gt;TOMATO_BED_CAP,$B96&gt;CARROT_BED_CAP,H$4&gt;MESCLUN_BED_CAP,$A96+$B96+H$4&gt;TOTAL_BEDS_AVAILABLE,($D96+H$5)&gt;TOTAL_LABOR_HOURS_CAP,MAX(0,($D96+H$5)-PERMANENT_FIELD_LABOR_HOURS)&gt;TEMP_HOURS_CAP),"",$C96+H$6-MIN(($D96+H$5),PERMANENT_FIELD_LABOR_HOURS)*PERMANENT_HOURLY_RATE-MAX(0,($D96+H$5)-PERMANENT_FIELD_LABOR_HOURS)*TEMP_HOURLY_RATE-FIXED_SEASON_COST)</f>
        <v>-3613.4867135445</v>
      </c>
      <c r="I96" s="53" t="n">
        <f aca="false">IF(OR($A96&gt;TOMATO_BED_CAP,$B96&gt;CARROT_BED_CAP,I$4&gt;MESCLUN_BED_CAP,$A96+$B96+I$4&gt;TOTAL_BEDS_AVAILABLE,($D96+I$5)&gt;TOTAL_LABOR_HOURS_CAP,MAX(0,($D96+I$5)-PERMANENT_FIELD_LABOR_HOURS)&gt;TEMP_HOURS_CAP),"",$C96+I$6-MIN(($D96+I$5),PERMANENT_FIELD_LABOR_HOURS)*PERMANENT_HOURLY_RATE-MAX(0,($D96+I$5)-PERMANENT_FIELD_LABOR_HOURS)*TEMP_HOURLY_RATE-FIXED_SEASON_COST)</f>
        <v>-2624.37072838825</v>
      </c>
      <c r="J96" s="53" t="n">
        <f aca="false">IF(OR($A96&gt;TOMATO_BED_CAP,$B96&gt;CARROT_BED_CAP,J$4&gt;MESCLUN_BED_CAP,$A96+$B96+J$4&gt;TOTAL_BEDS_AVAILABLE,($D96+J$5)&gt;TOTAL_LABOR_HOURS_CAP,MAX(0,($D96+J$5)-PERMANENT_FIELD_LABOR_HOURS)&gt;TEMP_HOURS_CAP),"",$C96+J$6-MIN(($D96+J$5),PERMANENT_FIELD_LABOR_HOURS)*PERMANENT_HOURLY_RATE-MAX(0,($D96+J$5)-PERMANENT_FIELD_LABOR_HOURS)*TEMP_HOURLY_RATE-FIXED_SEASON_COST)</f>
        <v>-1655.77657733356</v>
      </c>
      <c r="K96" s="53" t="n">
        <f aca="false">IF(OR($A96&gt;TOMATO_BED_CAP,$B96&gt;CARROT_BED_CAP,K$4&gt;MESCLUN_BED_CAP,$A96+$B96+K$4&gt;TOTAL_BEDS_AVAILABLE,($D96+K$5)&gt;TOTAL_LABOR_HOURS_CAP,MAX(0,($D96+K$5)-PERMANENT_FIELD_LABOR_HOURS)&gt;TEMP_HOURS_CAP),"",$C96+K$6-MIN(($D96+K$5),PERMANENT_FIELD_LABOR_HOURS)*PERMANENT_HOURLY_RATE-MAX(0,($D96+K$5)-PERMANENT_FIELD_LABOR_HOURS)*TEMP_HOURLY_RATE-FIXED_SEASON_COST)</f>
        <v>-708.087480605656</v>
      </c>
      <c r="L96" s="53" t="n">
        <f aca="false">IF(OR($A96&gt;TOMATO_BED_CAP,$B96&gt;CARROT_BED_CAP,L$4&gt;MESCLUN_BED_CAP,$A96+$B96+L$4&gt;TOTAL_BEDS_AVAILABLE,($D96+L$5)&gt;TOTAL_LABOR_HOURS_CAP,MAX(0,($D96+L$5)-PERMANENT_FIELD_LABOR_HOURS)&gt;TEMP_HOURS_CAP),"",$C96+L$6-MIN(($D96+L$5),PERMANENT_FIELD_LABOR_HOURS)*PERMANENT_HOURLY_RATE-MAX(0,($D96+L$5)-PERMANENT_FIELD_LABOR_HOURS)*TEMP_HOURLY_RATE-FIXED_SEASON_COST)</f>
        <v>218.306967601195</v>
      </c>
      <c r="M96" s="53" t="n">
        <f aca="false">IF(OR($A96&gt;TOMATO_BED_CAP,$B96&gt;CARROT_BED_CAP,M$4&gt;MESCLUN_BED_CAP,$A96+$B96+M$4&gt;TOTAL_BEDS_AVAILABLE,($D96+M$5)&gt;TOTAL_LABOR_HOURS_CAP,MAX(0,($D96+M$5)-PERMANENT_FIELD_LABOR_HOURS)&gt;TEMP_HOURS_CAP),"",$C96+M$6-MIN(($D96+M$5),PERMANENT_FIELD_LABOR_HOURS)*PERMANENT_HOURLY_RATE-MAX(0,($D96+M$5)-PERMANENT_FIELD_LABOR_HOURS)*TEMP_HOURLY_RATE-FIXED_SEASON_COST)</f>
        <v>1123.0106996526</v>
      </c>
      <c r="N96" s="53" t="n">
        <f aca="false">IF(OR($A96&gt;TOMATO_BED_CAP,$B96&gt;CARROT_BED_CAP,N$4&gt;MESCLUN_BED_CAP,$A96+$B96+N$4&gt;TOTAL_BEDS_AVAILABLE,($D96+N$5)&gt;TOTAL_LABOR_HOURS_CAP,MAX(0,($D96+N$5)-PERMANENT_FIELD_LABOR_HOURS)&gt;TEMP_HOURS_CAP),"",$C96+N$6-MIN(($D96+N$5),PERMANENT_FIELD_LABOR_HOURS)*PERMANENT_HOURLY_RATE-MAX(0,($D96+N$5)-PERMANENT_FIELD_LABOR_HOURS)*TEMP_HOURLY_RATE-FIXED_SEASON_COST)</f>
        <v>2005.62107351215</v>
      </c>
      <c r="O96" s="53" t="n">
        <f aca="false">IF(OR($A96&gt;TOMATO_BED_CAP,$B96&gt;CARROT_BED_CAP,O$4&gt;MESCLUN_BED_CAP,$A96+$B96+O$4&gt;TOTAL_BEDS_AVAILABLE,($D96+O$5)&gt;TOTAL_LABOR_HOURS_CAP,MAX(0,($D96+O$5)-PERMANENT_FIELD_LABOR_HOURS)&gt;TEMP_HOURS_CAP),"",$C96+O$6-MIN(($D96+O$5),PERMANENT_FIELD_LABOR_HOURS)*PERMANENT_HOURLY_RATE-MAX(0,($D96+O$5)-PERMANENT_FIELD_LABOR_HOURS)*TEMP_HOURLY_RATE-FIXED_SEASON_COST)</f>
        <v>2865.7287702669</v>
      </c>
      <c r="P96" s="53" t="n">
        <f aca="false">IF(OR($A96&gt;TOMATO_BED_CAP,$B96&gt;CARROT_BED_CAP,P$4&gt;MESCLUN_BED_CAP,$A96+$B96+P$4&gt;TOTAL_BEDS_AVAILABLE,($D96+P$5)&gt;TOTAL_LABOR_HOURS_CAP,MAX(0,($D96+P$5)-PERMANENT_FIELD_LABOR_HOURS)&gt;TEMP_HOURS_CAP),"",$C96+P$6-MIN(($D96+P$5),PERMANENT_FIELD_LABOR_HOURS)*PERMANENT_HOURLY_RATE-MAX(0,($D96+P$5)-PERMANENT_FIELD_LABOR_HOURS)*TEMP_HOURLY_RATE-FIXED_SEASON_COST)</f>
        <v>3702.91769011832</v>
      </c>
      <c r="Q96" s="53" t="n">
        <f aca="false">IF(OR($A96&gt;TOMATO_BED_CAP,$B96&gt;CARROT_BED_CAP,Q$4&gt;MESCLUN_BED_CAP,$A96+$B96+Q$4&gt;TOTAL_BEDS_AVAILABLE,($D96+Q$5)&gt;TOTAL_LABOR_HOURS_CAP,MAX(0,($D96+Q$5)-PERMANENT_FIELD_LABOR_HOURS)&gt;TEMP_HOURS_CAP),"",$C96+Q$6-MIN(($D96+Q$5),PERMANENT_FIELD_LABOR_HOURS)*PERMANENT_HOURLY_RATE-MAX(0,($D96+Q$5)-PERMANENT_FIELD_LABOR_HOURS)*TEMP_HOURLY_RATE-FIXED_SEASON_COST)</f>
        <v>4516.76484681623</v>
      </c>
      <c r="R96" s="53" t="n">
        <f aca="false">IF(OR($A96&gt;TOMATO_BED_CAP,$B96&gt;CARROT_BED_CAP,R$4&gt;MESCLUN_BED_CAP,$A96+$B96+R$4&gt;TOTAL_BEDS_AVAILABLE,($D96+R$5)&gt;TOTAL_LABOR_HOURS_CAP,MAX(0,($D96+R$5)-PERMANENT_FIELD_LABOR_HOURS)&gt;TEMP_HOURS_CAP),"",$C96+R$6-MIN(($D96+R$5),PERMANENT_FIELD_LABOR_HOURS)*PERMANENT_HOURLY_RATE-MAX(0,($D96+R$5)-PERMANENT_FIELD_LABOR_HOURS)*TEMP_HOURLY_RATE-FIXED_SEASON_COST)</f>
        <v>5306.84026051303</v>
      </c>
      <c r="S96" s="53" t="n">
        <f aca="false">IF(OR($A96&gt;TOMATO_BED_CAP,$B96&gt;CARROT_BED_CAP,S$4&gt;MESCLUN_BED_CAP,$A96+$B96+S$4&gt;TOTAL_BEDS_AVAILABLE,($D96+S$5)&gt;TOTAL_LABOR_HOURS_CAP,MAX(0,($D96+S$5)-PERMANENT_FIELD_LABOR_HOURS)&gt;TEMP_HOURS_CAP),"",$C96+S$6-MIN(($D96+S$5),PERMANENT_FIELD_LABOR_HOURS)*PERMANENT_HOURLY_RATE-MAX(0,($D96+S$5)-PERMANENT_FIELD_LABOR_HOURS)*TEMP_HOURLY_RATE-FIXED_SEASON_COST)</f>
        <v>6072.70684901548</v>
      </c>
      <c r="T96" s="53" t="n">
        <f aca="false">IF(OR($A96&gt;TOMATO_BED_CAP,$B96&gt;CARROT_BED_CAP,T$4&gt;MESCLUN_BED_CAP,$A96+$B96+T$4&gt;TOTAL_BEDS_AVAILABLE,($D96+T$5)&gt;TOTAL_LABOR_HOURS_CAP,MAX(0,($D96+T$5)-PERMANENT_FIELD_LABOR_HOURS)&gt;TEMP_HOURS_CAP),"",$C96+T$6-MIN(($D96+T$5),PERMANENT_FIELD_LABOR_HOURS)*PERMANENT_HOURLY_RATE-MAX(0,($D96+T$5)-PERMANENT_FIELD_LABOR_HOURS)*TEMP_HOURLY_RATE-FIXED_SEASON_COST)</f>
        <v>6813.92031741032</v>
      </c>
      <c r="U96" s="53" t="n">
        <f aca="false">IF(OR($A96&gt;TOMATO_BED_CAP,$B96&gt;CARROT_BED_CAP,U$4&gt;MESCLUN_BED_CAP,$A96+$B96+U$4&gt;TOTAL_BEDS_AVAILABLE,($D96+U$5)&gt;TOTAL_LABOR_HOURS_CAP,MAX(0,($D96+U$5)-PERMANENT_FIELD_LABOR_HOURS)&gt;TEMP_HOURS_CAP),"",$C96+U$6-MIN(($D96+U$5),PERMANENT_FIELD_LABOR_HOURS)*PERMANENT_HOURLY_RATE-MAX(0,($D96+U$5)-PERMANENT_FIELD_LABOR_HOURS)*TEMP_HOURLY_RATE-FIXED_SEASON_COST)</f>
        <v>7530.02904604042</v>
      </c>
      <c r="V96" s="53" t="n">
        <f aca="false">IF(OR($A96&gt;TOMATO_BED_CAP,$B96&gt;CARROT_BED_CAP,V$4&gt;MESCLUN_BED_CAP,$A96+$B96+V$4&gt;TOTAL_BEDS_AVAILABLE,($D96+V$5)&gt;TOTAL_LABOR_HOURS_CAP,MAX(0,($D96+V$5)-PERMANENT_FIELD_LABOR_HOURS)&gt;TEMP_HOURS_CAP),"",$C96+V$6-MIN(($D96+V$5),PERMANENT_FIELD_LABOR_HOURS)*PERMANENT_HOURLY_RATE-MAX(0,($D96+V$5)-PERMANENT_FIELD_LABOR_HOURS)*TEMP_HOURLY_RATE-FIXED_SEASON_COST)</f>
        <v>8220.57397680721</v>
      </c>
      <c r="W96" s="53" t="n">
        <f aca="false">IF(OR($A96&gt;TOMATO_BED_CAP,$B96&gt;CARROT_BED_CAP,W$4&gt;MESCLUN_BED_CAP,$A96+$B96+W$4&gt;TOTAL_BEDS_AVAILABLE,($D96+W$5)&gt;TOTAL_LABOR_HOURS_CAP,MAX(0,($D96+W$5)-PERMANENT_FIELD_LABOR_HOURS)&gt;TEMP_HOURS_CAP),"",$C96+W$6-MIN(($D96+W$5),PERMANENT_FIELD_LABOR_HOURS)*PERMANENT_HOURLY_RATE-MAX(0,($D96+W$5)-PERMANENT_FIELD_LABOR_HOURS)*TEMP_HOURLY_RATE-FIXED_SEASON_COST)</f>
        <v>8885.08849777528</v>
      </c>
      <c r="X96" s="53" t="n">
        <f aca="false">IF(OR($A96&gt;TOMATO_BED_CAP,$B96&gt;CARROT_BED_CAP,X$4&gt;MESCLUN_BED_CAP,$A96+$B96+X$4&gt;TOTAL_BEDS_AVAILABLE,($D96+X$5)&gt;TOTAL_LABOR_HOURS_CAP,MAX(0,($D96+X$5)-PERMANENT_FIELD_LABOR_HOURS)&gt;TEMP_HOURS_CAP),"",$C96+X$6-MIN(($D96+X$5),PERMANENT_FIELD_LABOR_HOURS)*PERMANENT_HOURLY_RATE-MAX(0,($D96+X$5)-PERMANENT_FIELD_LABOR_HOURS)*TEMP_HOURLY_RATE-FIXED_SEASON_COST)</f>
        <v>9523.0983260542</v>
      </c>
      <c r="Y96" s="53" t="n">
        <f aca="false">IF(OR($A96&gt;TOMATO_BED_CAP,$B96&gt;CARROT_BED_CAP,Y$4&gt;MESCLUN_BED_CAP,$A96+$B96+Y$4&gt;TOTAL_BEDS_AVAILABLE,($D96+Y$5)&gt;TOTAL_LABOR_HOURS_CAP,MAX(0,($D96+Y$5)-PERMANENT_FIELD_LABOR_HOURS)&gt;TEMP_HOURS_CAP),"",$C96+Y$6-MIN(($D96+Y$5),PERMANENT_FIELD_LABOR_HOURS)*PERMANENT_HOURLY_RATE-MAX(0,($D96+Y$5)-PERMANENT_FIELD_LABOR_HOURS)*TEMP_HOURLY_RATE-FIXED_SEASON_COST)</f>
        <v>10134.1213889329</v>
      </c>
      <c r="Z96" s="53" t="n">
        <f aca="false">IF(OR($A96&gt;TOMATO_BED_CAP,$B96&gt;CARROT_BED_CAP,Z$4&gt;MESCLUN_BED_CAP,$A96+$B96+Z$4&gt;TOTAL_BEDS_AVAILABLE,($D96+Z$5)&gt;TOTAL_LABOR_HOURS_CAP,MAX(0,($D96+Z$5)-PERMANENT_FIELD_LABOR_HOURS)&gt;TEMP_HOURS_CAP),"",$C96+Z$6-MIN(($D96+Z$5),PERMANENT_FIELD_LABOR_HOURS)*PERMANENT_HOURLY_RATE-MAX(0,($D96+Z$5)-PERMANENT_FIELD_LABOR_HOURS)*TEMP_HOURLY_RATE-FIXED_SEASON_COST)</f>
        <v>10717.6677032406</v>
      </c>
      <c r="AA96" s="53" t="n">
        <f aca="false">IF(OR($A96&gt;TOMATO_BED_CAP,$B96&gt;CARROT_BED_CAP,AA$4&gt;MESCLUN_BED_CAP,$A96+$B96+AA$4&gt;TOTAL_BEDS_AVAILABLE,($D96+AA$5)&gt;TOTAL_LABOR_HOURS_CAP,MAX(0,($D96+AA$5)-PERMANENT_FIELD_LABOR_HOURS)&gt;TEMP_HOURS_CAP),"",$C96+AA$6-MIN(($D96+AA$5),PERMANENT_FIELD_LABOR_HOURS)*PERMANENT_HOURLY_RATE-MAX(0,($D96+AA$5)-PERMANENT_FIELD_LABOR_HOURS)*TEMP_HOURLY_RATE-FIXED_SEASON_COST)</f>
        <v>11273.2392529095</v>
      </c>
      <c r="AB96" s="53" t="n">
        <f aca="false">IF(OR($A96&gt;TOMATO_BED_CAP,$B96&gt;CARROT_BED_CAP,AB$4&gt;MESCLUN_BED_CAP,$A96+$B96+AB$4&gt;TOTAL_BEDS_AVAILABLE,($D96+AB$5)&gt;TOTAL_LABOR_HOURS_CAP,MAX(0,($D96+AB$5)-PERMANENT_FIELD_LABOR_HOURS)&gt;TEMP_HOURS_CAP),"",$C96+AB$6-MIN(($D96+AB$5),PERMANENT_FIELD_LABOR_HOURS)*PERMANENT_HOURLY_RATE-MAX(0,($D96+AB$5)-PERMANENT_FIELD_LABOR_HOURS)*TEMP_HOURLY_RATE-FIXED_SEASON_COST)</f>
        <v>11800.3298647121</v>
      </c>
      <c r="AC96" s="53" t="n">
        <f aca="false">IF(OR($A96&gt;TOMATO_BED_CAP,$B96&gt;CARROT_BED_CAP,AC$4&gt;MESCLUN_BED_CAP,$A96+$B96+AC$4&gt;TOTAL_BEDS_AVAILABLE,($D96+AC$5)&gt;TOTAL_LABOR_HOURS_CAP,MAX(0,($D96+AC$5)-PERMANENT_FIELD_LABOR_HOURS)&gt;TEMP_HOURS_CAP),"",$C96+AC$6-MIN(($D96+AC$5),PERMANENT_FIELD_LABOR_HOURS)*PERMANENT_HOURLY_RATE-MAX(0,($D96+AC$5)-PERMANENT_FIELD_LABOR_HOURS)*TEMP_HOURLY_RATE-FIXED_SEASON_COST)</f>
        <v>12298.425082147</v>
      </c>
      <c r="AD96" s="53" t="n">
        <f aca="false">IF(OR($A96&gt;TOMATO_BED_CAP,$B96&gt;CARROT_BED_CAP,AD$4&gt;MESCLUN_BED_CAP,$A96+$B96+AD$4&gt;TOTAL_BEDS_AVAILABLE,($D96+AD$5)&gt;TOTAL_LABOR_HOURS_CAP,MAX(0,($D96+AD$5)-PERMANENT_FIELD_LABOR_HOURS)&gt;TEMP_HOURS_CAP),"",$C96+AD$6-MIN(($D96+AD$5),PERMANENT_FIELD_LABOR_HOURS)*PERMANENT_HOURLY_RATE-MAX(0,($D96+AD$5)-PERMANENT_FIELD_LABOR_HOURS)*TEMP_HOURLY_RATE-FIXED_SEASON_COST)</f>
        <v>12767.0020374469</v>
      </c>
      <c r="AE96" s="53" t="n">
        <f aca="false">IF(OR($A96&gt;TOMATO_BED_CAP,$B96&gt;CARROT_BED_CAP,AE$4&gt;MESCLUN_BED_CAP,$A96+$B96+AE$4&gt;TOTAL_BEDS_AVAILABLE,($D96+AE$5)&gt;TOTAL_LABOR_HOURS_CAP,MAX(0,($D96+AE$5)-PERMANENT_FIELD_LABOR_HOURS)&gt;TEMP_HOURS_CAP),"",$C96+AE$6-MIN(($D96+AE$5),PERMANENT_FIELD_LABOR_HOURS)*PERMANENT_HOURLY_RATE-MAX(0,($D96+AE$5)-PERMANENT_FIELD_LABOR_HOURS)*TEMP_HOURLY_RATE-FIXED_SEASON_COST)</f>
        <v>13205.5293216809</v>
      </c>
      <c r="AF96" s="53" t="n">
        <f aca="false">IF(OR($A96&gt;TOMATO_BED_CAP,$B96&gt;CARROT_BED_CAP,AF$4&gt;MESCLUN_BED_CAP,$A96+$B96+AF$4&gt;TOTAL_BEDS_AVAILABLE,($D96+AF$5)&gt;TOTAL_LABOR_HOURS_CAP,MAX(0,($D96+AF$5)-PERMANENT_FIELD_LABOR_HOURS)&gt;TEMP_HOURS_CAP),"",$C96+AF$6-MIN(($D96+AF$5),PERMANENT_FIELD_LABOR_HOURS)*PERMANENT_HOURLY_RATE-MAX(0,($D96+AF$5)-PERMANENT_FIELD_LABOR_HOURS)*TEMP_HOURLY_RATE-FIXED_SEASON_COST)</f>
        <v>13613.4668529228</v>
      </c>
      <c r="AG96" s="53" t="n">
        <f aca="false">IF(OR($A96&gt;TOMATO_BED_CAP,$B96&gt;CARROT_BED_CAP,AG$4&gt;MESCLUN_BED_CAP,$A96+$B96+AG$4&gt;TOTAL_BEDS_AVAILABLE,($D96+AG$5)&gt;TOTAL_LABOR_HOURS_CAP,MAX(0,($D96+AG$5)-PERMANENT_FIELD_LABOR_HOURS)&gt;TEMP_HOURS_CAP),"",$C96+AG$6-MIN(($D96+AG$5),PERMANENT_FIELD_LABOR_HOURS)*PERMANENT_HOURLY_RATE-MAX(0,($D96+AG$5)-PERMANENT_FIELD_LABOR_HOURS)*TEMP_HOURLY_RATE-FIXED_SEASON_COST)</f>
        <v>13990.2657424598</v>
      </c>
      <c r="AH96" s="53" t="n">
        <f aca="false">IF(OR($A96&gt;TOMATO_BED_CAP,$B96&gt;CARROT_BED_CAP,AH$4&gt;MESCLUN_BED_CAP,$A96+$B96+AH$4&gt;TOTAL_BEDS_AVAILABLE,($D96+AH$5)&gt;TOTAL_LABOR_HOURS_CAP,MAX(0,($D96+AH$5)-PERMANENT_FIELD_LABOR_HOURS)&gt;TEMP_HOURS_CAP),"",$C96+AH$6-MIN(($D96+AH$5),PERMANENT_FIELD_LABOR_HOURS)*PERMANENT_HOURLY_RATE-MAX(0,($D96+AH$5)-PERMANENT_FIELD_LABOR_HOURS)*TEMP_HOURLY_RATE-FIXED_SEASON_COST)</f>
        <v>14335.36815901</v>
      </c>
      <c r="AI96" s="53" t="n">
        <f aca="false">IF(OR($A96&gt;TOMATO_BED_CAP,$B96&gt;CARROT_BED_CAP,AI$4&gt;MESCLUN_BED_CAP,$A96+$B96+AI$4&gt;TOTAL_BEDS_AVAILABLE,($D96+AI$5)&gt;TOTAL_LABOR_HOURS_CAP,MAX(0,($D96+AI$5)-PERMANENT_FIELD_LABOR_HOURS)&gt;TEMP_HOURS_CAP),"",$C96+AI$6-MIN(($D96+AI$5),PERMANENT_FIELD_LABOR_HOURS)*PERMANENT_HOURLY_RATE-MAX(0,($D96+AI$5)-PERMANENT_FIELD_LABOR_HOURS)*TEMP_HOURLY_RATE-FIXED_SEASON_COST)</f>
        <v>14648.2071909223</v>
      </c>
      <c r="AJ96" s="53" t="n">
        <f aca="false">IF(OR($A96&gt;TOMATO_BED_CAP,$B96&gt;CARROT_BED_CAP,AJ$4&gt;MESCLUN_BED_CAP,$A96+$B96+AJ$4&gt;TOTAL_BEDS_AVAILABLE,($D96+AJ$5)&gt;TOTAL_LABOR_HOURS_CAP,MAX(0,($D96+AJ$5)-PERMANENT_FIELD_LABOR_HOURS)&gt;TEMP_HOURS_CAP),"",$C96+AJ$6-MIN(($D96+AJ$5),PERMANENT_FIELD_LABOR_HOURS)*PERMANENT_HOURLY_RATE-MAX(0,($D96+AJ$5)-PERMANENT_FIELD_LABOR_HOURS)*TEMP_HOURLY_RATE-FIXED_SEASON_COST)</f>
        <v>14928.206706328</v>
      </c>
    </row>
    <row r="97" customFormat="false" ht="15" hidden="false" customHeight="false" outlineLevel="0" collapsed="false">
      <c r="A97" s="21" t="n">
        <f aca="false">INT((ROW()-ROW($A$8))/(20+1))</f>
        <v>4</v>
      </c>
      <c r="B97" s="21" t="n">
        <f aca="false">MOD(ROW()-ROW($A$8),20+1)</f>
        <v>5</v>
      </c>
      <c r="C97" s="13" t="n">
        <f aca="false">A97*(TOMATO_REVENUE_PER_BED-TOMATO_FERTILIZER_PER_BED)+B97*(CARROT_REVENUE_PER_BED-CARROT_FERTILIZER_PER_BED)</f>
        <v>39950</v>
      </c>
      <c r="D97" s="14" t="n">
        <f aca="false">INDEX(TOMATO_SCHED_LABOR_HRS,A97+1)+INDEX(CARROT_SCHED_LABOR_HRS,B97+1)</f>
        <v>696.71934744082</v>
      </c>
      <c r="E97" s="13" t="n">
        <f aca="false">IF(COUNT(F97:AJ97)=0,"",MAX(F97:AJ97))</f>
        <v>15935.7414232999</v>
      </c>
      <c r="F97" s="53" t="n">
        <f aca="false">IF(OR($A97&gt;TOMATO_BED_CAP,$B97&gt;CARROT_BED_CAP,F$4&gt;MESCLUN_BED_CAP,$A97+$B97+F$4&gt;TOTAL_BEDS_AVAILABLE,($D97+F$5)&gt;TOTAL_LABOR_HOURS_CAP,MAX(0,($D97+F$5)-PERMANENT_FIELD_LABOR_HOURS)&gt;TEMP_HOURS_CAP),"",$C97+F$6-MIN(($D97+F$5),PERMANENT_FIELD_LABOR_HOURS)*PERMANENT_HOURLY_RATE-MAX(0,($D97+F$5)-PERMANENT_FIELD_LABOR_HOURS)*TEMP_HOURLY_RATE-FIXED_SEASON_COST)</f>
        <v>-4240.09574314528</v>
      </c>
      <c r="G97" s="53" t="n">
        <f aca="false">IF(OR($A97&gt;TOMATO_BED_CAP,$B97&gt;CARROT_BED_CAP,G$4&gt;MESCLUN_BED_CAP,$A97+$B97+G$4&gt;TOTAL_BEDS_AVAILABLE,($D97+G$5)&gt;TOTAL_LABOR_HOURS_CAP,MAX(0,($D97+G$5)-PERMANENT_FIELD_LABOR_HOURS)&gt;TEMP_HOURS_CAP),"",$C97+G$6-MIN(($D97+G$5),PERMANENT_FIELD_LABOR_HOURS)*PERMANENT_HOURLY_RATE-MAX(0,($D97+G$5)-PERMANENT_FIELD_LABOR_HOURS)*TEMP_HOURLY_RATE-FIXED_SEASON_COST)</f>
        <v>-3615.21287157264</v>
      </c>
      <c r="H97" s="53" t="n">
        <f aca="false">IF(OR($A97&gt;TOMATO_BED_CAP,$B97&gt;CARROT_BED_CAP,H$4&gt;MESCLUN_BED_CAP,$A97+$B97+H$4&gt;TOTAL_BEDS_AVAILABLE,($D97+H$5)&gt;TOTAL_LABOR_HOURS_CAP,MAX(0,($D97+H$5)-PERMANENT_FIELD_LABOR_HOURS)&gt;TEMP_HOURS_CAP),"",$C97+H$6-MIN(($D97+H$5),PERMANENT_FIELD_LABOR_HOURS)*PERMANENT_HOURLY_RATE-MAX(0,($D97+H$5)-PERMANENT_FIELD_LABOR_HOURS)*TEMP_HOURLY_RATE-FIXED_SEASON_COST)</f>
        <v>-2605.95199657264</v>
      </c>
      <c r="I97" s="53" t="n">
        <f aca="false">IF(OR($A97&gt;TOMATO_BED_CAP,$B97&gt;CARROT_BED_CAP,I$4&gt;MESCLUN_BED_CAP,$A97+$B97+I$4&gt;TOTAL_BEDS_AVAILABLE,($D97+I$5)&gt;TOTAL_LABOR_HOURS_CAP,MAX(0,($D97+I$5)-PERMANENT_FIELD_LABOR_HOURS)&gt;TEMP_HOURS_CAP),"",$C97+I$6-MIN(($D97+I$5),PERMANENT_FIELD_LABOR_HOURS)*PERMANENT_HOURLY_RATE-MAX(0,($D97+I$5)-PERMANENT_FIELD_LABOR_HOURS)*TEMP_HOURLY_RATE-FIXED_SEASON_COST)</f>
        <v>-1616.83601141639</v>
      </c>
      <c r="J97" s="53" t="n">
        <f aca="false">IF(OR($A97&gt;TOMATO_BED_CAP,$B97&gt;CARROT_BED_CAP,J$4&gt;MESCLUN_BED_CAP,$A97+$B97+J$4&gt;TOTAL_BEDS_AVAILABLE,($D97+J$5)&gt;TOTAL_LABOR_HOURS_CAP,MAX(0,($D97+J$5)-PERMANENT_FIELD_LABOR_HOURS)&gt;TEMP_HOURS_CAP),"",$C97+J$6-MIN(($D97+J$5),PERMANENT_FIELD_LABOR_HOURS)*PERMANENT_HOURLY_RATE-MAX(0,($D97+J$5)-PERMANENT_FIELD_LABOR_HOURS)*TEMP_HOURLY_RATE-FIXED_SEASON_COST)</f>
        <v>-648.241860361701</v>
      </c>
      <c r="K97" s="53" t="n">
        <f aca="false">IF(OR($A97&gt;TOMATO_BED_CAP,$B97&gt;CARROT_BED_CAP,K$4&gt;MESCLUN_BED_CAP,$A97+$B97+K$4&gt;TOTAL_BEDS_AVAILABLE,($D97+K$5)&gt;TOTAL_LABOR_HOURS_CAP,MAX(0,($D97+K$5)-PERMANENT_FIELD_LABOR_HOURS)&gt;TEMP_HOURS_CAP),"",$C97+K$6-MIN(($D97+K$5),PERMANENT_FIELD_LABOR_HOURS)*PERMANENT_HOURLY_RATE-MAX(0,($D97+K$5)-PERMANENT_FIELD_LABOR_HOURS)*TEMP_HOURLY_RATE-FIXED_SEASON_COST)</f>
        <v>299.447236366206</v>
      </c>
      <c r="L97" s="53" t="n">
        <f aca="false">IF(OR($A97&gt;TOMATO_BED_CAP,$B97&gt;CARROT_BED_CAP,L$4&gt;MESCLUN_BED_CAP,$A97+$B97+L$4&gt;TOTAL_BEDS_AVAILABLE,($D97+L$5)&gt;TOTAL_LABOR_HOURS_CAP,MAX(0,($D97+L$5)-PERMANENT_FIELD_LABOR_HOURS)&gt;TEMP_HOURS_CAP),"",$C97+L$6-MIN(($D97+L$5),PERMANENT_FIELD_LABOR_HOURS)*PERMANENT_HOURLY_RATE-MAX(0,($D97+L$5)-PERMANENT_FIELD_LABOR_HOURS)*TEMP_HOURLY_RATE-FIXED_SEASON_COST)</f>
        <v>1225.84168457306</v>
      </c>
      <c r="M97" s="53" t="n">
        <f aca="false">IF(OR($A97&gt;TOMATO_BED_CAP,$B97&gt;CARROT_BED_CAP,M$4&gt;MESCLUN_BED_CAP,$A97+$B97+M$4&gt;TOTAL_BEDS_AVAILABLE,($D97+M$5)&gt;TOTAL_LABOR_HOURS_CAP,MAX(0,($D97+M$5)-PERMANENT_FIELD_LABOR_HOURS)&gt;TEMP_HOURS_CAP),"",$C97+M$6-MIN(($D97+M$5),PERMANENT_FIELD_LABOR_HOURS)*PERMANENT_HOURLY_RATE-MAX(0,($D97+M$5)-PERMANENT_FIELD_LABOR_HOURS)*TEMP_HOURLY_RATE-FIXED_SEASON_COST)</f>
        <v>2130.54541662446</v>
      </c>
      <c r="N97" s="53" t="n">
        <f aca="false">IF(OR($A97&gt;TOMATO_BED_CAP,$B97&gt;CARROT_BED_CAP,N$4&gt;MESCLUN_BED_CAP,$A97+$B97+N$4&gt;TOTAL_BEDS_AVAILABLE,($D97+N$5)&gt;TOTAL_LABOR_HOURS_CAP,MAX(0,($D97+N$5)-PERMANENT_FIELD_LABOR_HOURS)&gt;TEMP_HOURS_CAP),"",$C97+N$6-MIN(($D97+N$5),PERMANENT_FIELD_LABOR_HOURS)*PERMANENT_HOURLY_RATE-MAX(0,($D97+N$5)-PERMANENT_FIELD_LABOR_HOURS)*TEMP_HOURLY_RATE-FIXED_SEASON_COST)</f>
        <v>3013.15579048401</v>
      </c>
      <c r="O97" s="53" t="n">
        <f aca="false">IF(OR($A97&gt;TOMATO_BED_CAP,$B97&gt;CARROT_BED_CAP,O$4&gt;MESCLUN_BED_CAP,$A97+$B97+O$4&gt;TOTAL_BEDS_AVAILABLE,($D97+O$5)&gt;TOTAL_LABOR_HOURS_CAP,MAX(0,($D97+O$5)-PERMANENT_FIELD_LABOR_HOURS)&gt;TEMP_HOURS_CAP),"",$C97+O$6-MIN(($D97+O$5),PERMANENT_FIELD_LABOR_HOURS)*PERMANENT_HOURLY_RATE-MAX(0,($D97+O$5)-PERMANENT_FIELD_LABOR_HOURS)*TEMP_HOURLY_RATE-FIXED_SEASON_COST)</f>
        <v>3873.26348723876</v>
      </c>
      <c r="P97" s="53" t="n">
        <f aca="false">IF(OR($A97&gt;TOMATO_BED_CAP,$B97&gt;CARROT_BED_CAP,P$4&gt;MESCLUN_BED_CAP,$A97+$B97+P$4&gt;TOTAL_BEDS_AVAILABLE,($D97+P$5)&gt;TOTAL_LABOR_HOURS_CAP,MAX(0,($D97+P$5)-PERMANENT_FIELD_LABOR_HOURS)&gt;TEMP_HOURS_CAP),"",$C97+P$6-MIN(($D97+P$5),PERMANENT_FIELD_LABOR_HOURS)*PERMANENT_HOURLY_RATE-MAX(0,($D97+P$5)-PERMANENT_FIELD_LABOR_HOURS)*TEMP_HOURLY_RATE-FIXED_SEASON_COST)</f>
        <v>4710.45240709019</v>
      </c>
      <c r="Q97" s="53" t="n">
        <f aca="false">IF(OR($A97&gt;TOMATO_BED_CAP,$B97&gt;CARROT_BED_CAP,Q$4&gt;MESCLUN_BED_CAP,$A97+$B97+Q$4&gt;TOTAL_BEDS_AVAILABLE,($D97+Q$5)&gt;TOTAL_LABOR_HOURS_CAP,MAX(0,($D97+Q$5)-PERMANENT_FIELD_LABOR_HOURS)&gt;TEMP_HOURS_CAP),"",$C97+Q$6-MIN(($D97+Q$5),PERMANENT_FIELD_LABOR_HOURS)*PERMANENT_HOURLY_RATE-MAX(0,($D97+Q$5)-PERMANENT_FIELD_LABOR_HOURS)*TEMP_HOURLY_RATE-FIXED_SEASON_COST)</f>
        <v>5524.29956378809</v>
      </c>
      <c r="R97" s="53" t="n">
        <f aca="false">IF(OR($A97&gt;TOMATO_BED_CAP,$B97&gt;CARROT_BED_CAP,R$4&gt;MESCLUN_BED_CAP,$A97+$B97+R$4&gt;TOTAL_BEDS_AVAILABLE,($D97+R$5)&gt;TOTAL_LABOR_HOURS_CAP,MAX(0,($D97+R$5)-PERMANENT_FIELD_LABOR_HOURS)&gt;TEMP_HOURS_CAP),"",$C97+R$6-MIN(($D97+R$5),PERMANENT_FIELD_LABOR_HOURS)*PERMANENT_HOURLY_RATE-MAX(0,($D97+R$5)-PERMANENT_FIELD_LABOR_HOURS)*TEMP_HOURLY_RATE-FIXED_SEASON_COST)</f>
        <v>6314.37497748489</v>
      </c>
      <c r="S97" s="53" t="n">
        <f aca="false">IF(OR($A97&gt;TOMATO_BED_CAP,$B97&gt;CARROT_BED_CAP,S$4&gt;MESCLUN_BED_CAP,$A97+$B97+S$4&gt;TOTAL_BEDS_AVAILABLE,($D97+S$5)&gt;TOTAL_LABOR_HOURS_CAP,MAX(0,($D97+S$5)-PERMANENT_FIELD_LABOR_HOURS)&gt;TEMP_HOURS_CAP),"",$C97+S$6-MIN(($D97+S$5),PERMANENT_FIELD_LABOR_HOURS)*PERMANENT_HOURLY_RATE-MAX(0,($D97+S$5)-PERMANENT_FIELD_LABOR_HOURS)*TEMP_HOURLY_RATE-FIXED_SEASON_COST)</f>
        <v>7080.24156598734</v>
      </c>
      <c r="T97" s="53" t="n">
        <f aca="false">IF(OR($A97&gt;TOMATO_BED_CAP,$B97&gt;CARROT_BED_CAP,T$4&gt;MESCLUN_BED_CAP,$A97+$B97+T$4&gt;TOTAL_BEDS_AVAILABLE,($D97+T$5)&gt;TOTAL_LABOR_HOURS_CAP,MAX(0,($D97+T$5)-PERMANENT_FIELD_LABOR_HOURS)&gt;TEMP_HOURS_CAP),"",$C97+T$6-MIN(($D97+T$5),PERMANENT_FIELD_LABOR_HOURS)*PERMANENT_HOURLY_RATE-MAX(0,($D97+T$5)-PERMANENT_FIELD_LABOR_HOURS)*TEMP_HOURLY_RATE-FIXED_SEASON_COST)</f>
        <v>7821.45503438218</v>
      </c>
      <c r="U97" s="53" t="n">
        <f aca="false">IF(OR($A97&gt;TOMATO_BED_CAP,$B97&gt;CARROT_BED_CAP,U$4&gt;MESCLUN_BED_CAP,$A97+$B97+U$4&gt;TOTAL_BEDS_AVAILABLE,($D97+U$5)&gt;TOTAL_LABOR_HOURS_CAP,MAX(0,($D97+U$5)-PERMANENT_FIELD_LABOR_HOURS)&gt;TEMP_HOURS_CAP),"",$C97+U$6-MIN(($D97+U$5),PERMANENT_FIELD_LABOR_HOURS)*PERMANENT_HOURLY_RATE-MAX(0,($D97+U$5)-PERMANENT_FIELD_LABOR_HOURS)*TEMP_HOURLY_RATE-FIXED_SEASON_COST)</f>
        <v>8537.56376301228</v>
      </c>
      <c r="V97" s="53" t="n">
        <f aca="false">IF(OR($A97&gt;TOMATO_BED_CAP,$B97&gt;CARROT_BED_CAP,V$4&gt;MESCLUN_BED_CAP,$A97+$B97+V$4&gt;TOTAL_BEDS_AVAILABLE,($D97+V$5)&gt;TOTAL_LABOR_HOURS_CAP,MAX(0,($D97+V$5)-PERMANENT_FIELD_LABOR_HOURS)&gt;TEMP_HOURS_CAP),"",$C97+V$6-MIN(($D97+V$5),PERMANENT_FIELD_LABOR_HOURS)*PERMANENT_HOURLY_RATE-MAX(0,($D97+V$5)-PERMANENT_FIELD_LABOR_HOURS)*TEMP_HOURLY_RATE-FIXED_SEASON_COST)</f>
        <v>9228.10869377908</v>
      </c>
      <c r="W97" s="53" t="n">
        <f aca="false">IF(OR($A97&gt;TOMATO_BED_CAP,$B97&gt;CARROT_BED_CAP,W$4&gt;MESCLUN_BED_CAP,$A97+$B97+W$4&gt;TOTAL_BEDS_AVAILABLE,($D97+W$5)&gt;TOTAL_LABOR_HOURS_CAP,MAX(0,($D97+W$5)-PERMANENT_FIELD_LABOR_HOURS)&gt;TEMP_HOURS_CAP),"",$C97+W$6-MIN(($D97+W$5),PERMANENT_FIELD_LABOR_HOURS)*PERMANENT_HOURLY_RATE-MAX(0,($D97+W$5)-PERMANENT_FIELD_LABOR_HOURS)*TEMP_HOURLY_RATE-FIXED_SEASON_COST)</f>
        <v>9892.62321474714</v>
      </c>
      <c r="X97" s="53" t="n">
        <f aca="false">IF(OR($A97&gt;TOMATO_BED_CAP,$B97&gt;CARROT_BED_CAP,X$4&gt;MESCLUN_BED_CAP,$A97+$B97+X$4&gt;TOTAL_BEDS_AVAILABLE,($D97+X$5)&gt;TOTAL_LABOR_HOURS_CAP,MAX(0,($D97+X$5)-PERMANENT_FIELD_LABOR_HOURS)&gt;TEMP_HOURS_CAP),"",$C97+X$6-MIN(($D97+X$5),PERMANENT_FIELD_LABOR_HOURS)*PERMANENT_HOURLY_RATE-MAX(0,($D97+X$5)-PERMANENT_FIELD_LABOR_HOURS)*TEMP_HOURLY_RATE-FIXED_SEASON_COST)</f>
        <v>10530.6330430261</v>
      </c>
      <c r="Y97" s="53" t="n">
        <f aca="false">IF(OR($A97&gt;TOMATO_BED_CAP,$B97&gt;CARROT_BED_CAP,Y$4&gt;MESCLUN_BED_CAP,$A97+$B97+Y$4&gt;TOTAL_BEDS_AVAILABLE,($D97+Y$5)&gt;TOTAL_LABOR_HOURS_CAP,MAX(0,($D97+Y$5)-PERMANENT_FIELD_LABOR_HOURS)&gt;TEMP_HOURS_CAP),"",$C97+Y$6-MIN(($D97+Y$5),PERMANENT_FIELD_LABOR_HOURS)*PERMANENT_HOURLY_RATE-MAX(0,($D97+Y$5)-PERMANENT_FIELD_LABOR_HOURS)*TEMP_HOURLY_RATE-FIXED_SEASON_COST)</f>
        <v>11141.6561059047</v>
      </c>
      <c r="Z97" s="53" t="n">
        <f aca="false">IF(OR($A97&gt;TOMATO_BED_CAP,$B97&gt;CARROT_BED_CAP,Z$4&gt;MESCLUN_BED_CAP,$A97+$B97+Z$4&gt;TOTAL_BEDS_AVAILABLE,($D97+Z$5)&gt;TOTAL_LABOR_HOURS_CAP,MAX(0,($D97+Z$5)-PERMANENT_FIELD_LABOR_HOURS)&gt;TEMP_HOURS_CAP),"",$C97+Z$6-MIN(($D97+Z$5),PERMANENT_FIELD_LABOR_HOURS)*PERMANENT_HOURLY_RATE-MAX(0,($D97+Z$5)-PERMANENT_FIELD_LABOR_HOURS)*TEMP_HOURLY_RATE-FIXED_SEASON_COST)</f>
        <v>11725.2024202124</v>
      </c>
      <c r="AA97" s="53" t="n">
        <f aca="false">IF(OR($A97&gt;TOMATO_BED_CAP,$B97&gt;CARROT_BED_CAP,AA$4&gt;MESCLUN_BED_CAP,$A97+$B97+AA$4&gt;TOTAL_BEDS_AVAILABLE,($D97+AA$5)&gt;TOTAL_LABOR_HOURS_CAP,MAX(0,($D97+AA$5)-PERMANENT_FIELD_LABOR_HOURS)&gt;TEMP_HOURS_CAP),"",$C97+AA$6-MIN(($D97+AA$5),PERMANENT_FIELD_LABOR_HOURS)*PERMANENT_HOURLY_RATE-MAX(0,($D97+AA$5)-PERMANENT_FIELD_LABOR_HOURS)*TEMP_HOURLY_RATE-FIXED_SEASON_COST)</f>
        <v>12280.7739698814</v>
      </c>
      <c r="AB97" s="53" t="n">
        <f aca="false">IF(OR($A97&gt;TOMATO_BED_CAP,$B97&gt;CARROT_BED_CAP,AB$4&gt;MESCLUN_BED_CAP,$A97+$B97+AB$4&gt;TOTAL_BEDS_AVAILABLE,($D97+AB$5)&gt;TOTAL_LABOR_HOURS_CAP,MAX(0,($D97+AB$5)-PERMANENT_FIELD_LABOR_HOURS)&gt;TEMP_HOURS_CAP),"",$C97+AB$6-MIN(($D97+AB$5),PERMANENT_FIELD_LABOR_HOURS)*PERMANENT_HOURLY_RATE-MAX(0,($D97+AB$5)-PERMANENT_FIELD_LABOR_HOURS)*TEMP_HOURLY_RATE-FIXED_SEASON_COST)</f>
        <v>12807.8645816839</v>
      </c>
      <c r="AC97" s="53" t="n">
        <f aca="false">IF(OR($A97&gt;TOMATO_BED_CAP,$B97&gt;CARROT_BED_CAP,AC$4&gt;MESCLUN_BED_CAP,$A97+$B97+AC$4&gt;TOTAL_BEDS_AVAILABLE,($D97+AC$5)&gt;TOTAL_LABOR_HOURS_CAP,MAX(0,($D97+AC$5)-PERMANENT_FIELD_LABOR_HOURS)&gt;TEMP_HOURS_CAP),"",$C97+AC$6-MIN(($D97+AC$5),PERMANENT_FIELD_LABOR_HOURS)*PERMANENT_HOURLY_RATE-MAX(0,($D97+AC$5)-PERMANENT_FIELD_LABOR_HOURS)*TEMP_HOURLY_RATE-FIXED_SEASON_COST)</f>
        <v>13305.9597991189</v>
      </c>
      <c r="AD97" s="53" t="n">
        <f aca="false">IF(OR($A97&gt;TOMATO_BED_CAP,$B97&gt;CARROT_BED_CAP,AD$4&gt;MESCLUN_BED_CAP,$A97+$B97+AD$4&gt;TOTAL_BEDS_AVAILABLE,($D97+AD$5)&gt;TOTAL_LABOR_HOURS_CAP,MAX(0,($D97+AD$5)-PERMANENT_FIELD_LABOR_HOURS)&gt;TEMP_HOURS_CAP),"",$C97+AD$6-MIN(($D97+AD$5),PERMANENT_FIELD_LABOR_HOURS)*PERMANENT_HOURLY_RATE-MAX(0,($D97+AD$5)-PERMANENT_FIELD_LABOR_HOURS)*TEMP_HOURLY_RATE-FIXED_SEASON_COST)</f>
        <v>13774.5367544188</v>
      </c>
      <c r="AE97" s="53" t="n">
        <f aca="false">IF(OR($A97&gt;TOMATO_BED_CAP,$B97&gt;CARROT_BED_CAP,AE$4&gt;MESCLUN_BED_CAP,$A97+$B97+AE$4&gt;TOTAL_BEDS_AVAILABLE,($D97+AE$5)&gt;TOTAL_LABOR_HOURS_CAP,MAX(0,($D97+AE$5)-PERMANENT_FIELD_LABOR_HOURS)&gt;TEMP_HOURS_CAP),"",$C97+AE$6-MIN(($D97+AE$5),PERMANENT_FIELD_LABOR_HOURS)*PERMANENT_HOURLY_RATE-MAX(0,($D97+AE$5)-PERMANENT_FIELD_LABOR_HOURS)*TEMP_HOURLY_RATE-FIXED_SEASON_COST)</f>
        <v>14213.0640386527</v>
      </c>
      <c r="AF97" s="53" t="n">
        <f aca="false">IF(OR($A97&gt;TOMATO_BED_CAP,$B97&gt;CARROT_BED_CAP,AF$4&gt;MESCLUN_BED_CAP,$A97+$B97+AF$4&gt;TOTAL_BEDS_AVAILABLE,($D97+AF$5)&gt;TOTAL_LABOR_HOURS_CAP,MAX(0,($D97+AF$5)-PERMANENT_FIELD_LABOR_HOURS)&gt;TEMP_HOURS_CAP),"",$C97+AF$6-MIN(($D97+AF$5),PERMANENT_FIELD_LABOR_HOURS)*PERMANENT_HOURLY_RATE-MAX(0,($D97+AF$5)-PERMANENT_FIELD_LABOR_HOURS)*TEMP_HOURLY_RATE-FIXED_SEASON_COST)</f>
        <v>14621.0015698947</v>
      </c>
      <c r="AG97" s="53" t="n">
        <f aca="false">IF(OR($A97&gt;TOMATO_BED_CAP,$B97&gt;CARROT_BED_CAP,AG$4&gt;MESCLUN_BED_CAP,$A97+$B97+AG$4&gt;TOTAL_BEDS_AVAILABLE,($D97+AG$5)&gt;TOTAL_LABOR_HOURS_CAP,MAX(0,($D97+AG$5)-PERMANENT_FIELD_LABOR_HOURS)&gt;TEMP_HOURS_CAP),"",$C97+AG$6-MIN(($D97+AG$5),PERMANENT_FIELD_LABOR_HOURS)*PERMANENT_HOURLY_RATE-MAX(0,($D97+AG$5)-PERMANENT_FIELD_LABOR_HOURS)*TEMP_HOURLY_RATE-FIXED_SEASON_COST)</f>
        <v>14997.8004594317</v>
      </c>
      <c r="AH97" s="53" t="n">
        <f aca="false">IF(OR($A97&gt;TOMATO_BED_CAP,$B97&gt;CARROT_BED_CAP,AH$4&gt;MESCLUN_BED_CAP,$A97+$B97+AH$4&gt;TOTAL_BEDS_AVAILABLE,($D97+AH$5)&gt;TOTAL_LABOR_HOURS_CAP,MAX(0,($D97+AH$5)-PERMANENT_FIELD_LABOR_HOURS)&gt;TEMP_HOURS_CAP),"",$C97+AH$6-MIN(($D97+AH$5),PERMANENT_FIELD_LABOR_HOURS)*PERMANENT_HOURLY_RATE-MAX(0,($D97+AH$5)-PERMANENT_FIELD_LABOR_HOURS)*TEMP_HOURLY_RATE-FIXED_SEASON_COST)</f>
        <v>15342.9028759819</v>
      </c>
      <c r="AI97" s="53" t="n">
        <f aca="false">IF(OR($A97&gt;TOMATO_BED_CAP,$B97&gt;CARROT_BED_CAP,AI$4&gt;MESCLUN_BED_CAP,$A97+$B97+AI$4&gt;TOTAL_BEDS_AVAILABLE,($D97+AI$5)&gt;TOTAL_LABOR_HOURS_CAP,MAX(0,($D97+AI$5)-PERMANENT_FIELD_LABOR_HOURS)&gt;TEMP_HOURS_CAP),"",$C97+AI$6-MIN(($D97+AI$5),PERMANENT_FIELD_LABOR_HOURS)*PERMANENT_HOURLY_RATE-MAX(0,($D97+AI$5)-PERMANENT_FIELD_LABOR_HOURS)*TEMP_HOURLY_RATE-FIXED_SEASON_COST)</f>
        <v>15655.7419078941</v>
      </c>
      <c r="AJ97" s="53" t="n">
        <f aca="false">IF(OR($A97&gt;TOMATO_BED_CAP,$B97&gt;CARROT_BED_CAP,AJ$4&gt;MESCLUN_BED_CAP,$A97+$B97+AJ$4&gt;TOTAL_BEDS_AVAILABLE,($D97+AJ$5)&gt;TOTAL_LABOR_HOURS_CAP,MAX(0,($D97+AJ$5)-PERMANENT_FIELD_LABOR_HOURS)&gt;TEMP_HOURS_CAP),"",$C97+AJ$6-MIN(($D97+AJ$5),PERMANENT_FIELD_LABOR_HOURS)*PERMANENT_HOURLY_RATE-MAX(0,($D97+AJ$5)-PERMANENT_FIELD_LABOR_HOURS)*TEMP_HOURLY_RATE-FIXED_SEASON_COST)</f>
        <v>15935.7414232999</v>
      </c>
    </row>
    <row r="98" customFormat="false" ht="15" hidden="false" customHeight="false" outlineLevel="0" collapsed="false">
      <c r="A98" s="21" t="n">
        <f aca="false">INT((ROW()-ROW($A$8))/(20+1))</f>
        <v>4</v>
      </c>
      <c r="B98" s="21" t="n">
        <f aca="false">MOD(ROW()-ROW($A$8),20+1)</f>
        <v>6</v>
      </c>
      <c r="C98" s="13" t="n">
        <f aca="false">A98*(TOMATO_REVENUE_PER_BED-TOMATO_FERTILIZER_PER_BED)+B98*(CARROT_REVENUE_PER_BED-CARROT_FERTILIZER_PER_BED)</f>
        <v>41604</v>
      </c>
      <c r="D98" s="14" t="n">
        <f aca="false">INDEX(TOMATO_SCHED_LABOR_HRS,A98+1)+INDEX(CARROT_SCHED_LABOR_HRS,B98+1)</f>
        <v>735.737317352209</v>
      </c>
      <c r="E98" s="13" t="n">
        <f aca="false">IF(COUNT(F98:AJ98)=0,"",MAX(F98:AJ98))</f>
        <v>16912.3894656382</v>
      </c>
      <c r="F98" s="53" t="n">
        <f aca="false">IF(OR($A98&gt;TOMATO_BED_CAP,$B98&gt;CARROT_BED_CAP,F$4&gt;MESCLUN_BED_CAP,$A98+$B98+F$4&gt;TOTAL_BEDS_AVAILABLE,($D98+F$5)&gt;TOTAL_LABOR_HOURS_CAP,MAX(0,($D98+F$5)-PERMANENT_FIELD_LABOR_HOURS)&gt;TEMP_HOURS_CAP),"",$C98+F$6-MIN(($D98+F$5),PERMANENT_FIELD_LABOR_HOURS)*PERMANENT_HOURLY_RATE-MAX(0,($D98+F$5)-PERMANENT_FIELD_LABOR_HOURS)*TEMP_HOURLY_RATE-FIXED_SEASON_COST)</f>
        <v>-3667.59982923434</v>
      </c>
      <c r="G98" s="53" t="n">
        <f aca="false">IF(OR($A98&gt;TOMATO_BED_CAP,$B98&gt;CARROT_BED_CAP,G$4&gt;MESCLUN_BED_CAP,$A98+$B98+G$4&gt;TOTAL_BEDS_AVAILABLE,($D98+G$5)&gt;TOTAL_LABOR_HOURS_CAP,MAX(0,($D98+G$5)-PERMANENT_FIELD_LABOR_HOURS)&gt;TEMP_HOURS_CAP),"",$C98+G$6-MIN(($D98+G$5),PERMANENT_FIELD_LABOR_HOURS)*PERMANENT_HOURLY_RATE-MAX(0,($D98+G$5)-PERMANENT_FIELD_LABOR_HOURS)*TEMP_HOURLY_RATE-FIXED_SEASON_COST)</f>
        <v>-2638.56482923435</v>
      </c>
      <c r="H98" s="53" t="n">
        <f aca="false">IF(OR($A98&gt;TOMATO_BED_CAP,$B98&gt;CARROT_BED_CAP,H$4&gt;MESCLUN_BED_CAP,$A98+$B98+H$4&gt;TOTAL_BEDS_AVAILABLE,($D98+H$5)&gt;TOTAL_LABOR_HOURS_CAP,MAX(0,($D98+H$5)-PERMANENT_FIELD_LABOR_HOURS)&gt;TEMP_HOURS_CAP),"",$C98+H$6-MIN(($D98+H$5),PERMANENT_FIELD_LABOR_HOURS)*PERMANENT_HOURLY_RATE-MAX(0,($D98+H$5)-PERMANENT_FIELD_LABOR_HOURS)*TEMP_HOURLY_RATE-FIXED_SEASON_COST)</f>
        <v>-1629.30395423435</v>
      </c>
      <c r="I98" s="53" t="n">
        <f aca="false">IF(OR($A98&gt;TOMATO_BED_CAP,$B98&gt;CARROT_BED_CAP,I$4&gt;MESCLUN_BED_CAP,$A98+$B98+I$4&gt;TOTAL_BEDS_AVAILABLE,($D98+I$5)&gt;TOTAL_LABOR_HOURS_CAP,MAX(0,($D98+I$5)-PERMANENT_FIELD_LABOR_HOURS)&gt;TEMP_HOURS_CAP),"",$C98+I$6-MIN(($D98+I$5),PERMANENT_FIELD_LABOR_HOURS)*PERMANENT_HOURLY_RATE-MAX(0,($D98+I$5)-PERMANENT_FIELD_LABOR_HOURS)*TEMP_HOURLY_RATE-FIXED_SEASON_COST)</f>
        <v>-640.187969078095</v>
      </c>
      <c r="J98" s="53" t="n">
        <f aca="false">IF(OR($A98&gt;TOMATO_BED_CAP,$B98&gt;CARROT_BED_CAP,J$4&gt;MESCLUN_BED_CAP,$A98+$B98+J$4&gt;TOTAL_BEDS_AVAILABLE,($D98+J$5)&gt;TOTAL_LABOR_HOURS_CAP,MAX(0,($D98+J$5)-PERMANENT_FIELD_LABOR_HOURS)&gt;TEMP_HOURS_CAP),"",$C98+J$6-MIN(($D98+J$5),PERMANENT_FIELD_LABOR_HOURS)*PERMANENT_HOURLY_RATE-MAX(0,($D98+J$5)-PERMANENT_FIELD_LABOR_HOURS)*TEMP_HOURLY_RATE-FIXED_SEASON_COST)</f>
        <v>328.406181976592</v>
      </c>
      <c r="K98" s="53" t="n">
        <f aca="false">IF(OR($A98&gt;TOMATO_BED_CAP,$B98&gt;CARROT_BED_CAP,K$4&gt;MESCLUN_BED_CAP,$A98+$B98+K$4&gt;TOTAL_BEDS_AVAILABLE,($D98+K$5)&gt;TOTAL_LABOR_HOURS_CAP,MAX(0,($D98+K$5)-PERMANENT_FIELD_LABOR_HOURS)&gt;TEMP_HOURS_CAP),"",$C98+K$6-MIN(($D98+K$5),PERMANENT_FIELD_LABOR_HOURS)*PERMANENT_HOURLY_RATE-MAX(0,($D98+K$5)-PERMANENT_FIELD_LABOR_HOURS)*TEMP_HOURLY_RATE-FIXED_SEASON_COST)</f>
        <v>1276.0952787045</v>
      </c>
      <c r="L98" s="53" t="n">
        <f aca="false">IF(OR($A98&gt;TOMATO_BED_CAP,$B98&gt;CARROT_BED_CAP,L$4&gt;MESCLUN_BED_CAP,$A98+$B98+L$4&gt;TOTAL_BEDS_AVAILABLE,($D98+L$5)&gt;TOTAL_LABOR_HOURS_CAP,MAX(0,($D98+L$5)-PERMANENT_FIELD_LABOR_HOURS)&gt;TEMP_HOURS_CAP),"",$C98+L$6-MIN(($D98+L$5),PERMANENT_FIELD_LABOR_HOURS)*PERMANENT_HOURLY_RATE-MAX(0,($D98+L$5)-PERMANENT_FIELD_LABOR_HOURS)*TEMP_HOURLY_RATE-FIXED_SEASON_COST)</f>
        <v>2202.48972691135</v>
      </c>
      <c r="M98" s="53" t="n">
        <f aca="false">IF(OR($A98&gt;TOMATO_BED_CAP,$B98&gt;CARROT_BED_CAP,M$4&gt;MESCLUN_BED_CAP,$A98+$B98+M$4&gt;TOTAL_BEDS_AVAILABLE,($D98+M$5)&gt;TOTAL_LABOR_HOURS_CAP,MAX(0,($D98+M$5)-PERMANENT_FIELD_LABOR_HOURS)&gt;TEMP_HOURS_CAP),"",$C98+M$6-MIN(($D98+M$5),PERMANENT_FIELD_LABOR_HOURS)*PERMANENT_HOURLY_RATE-MAX(0,($D98+M$5)-PERMANENT_FIELD_LABOR_HOURS)*TEMP_HOURLY_RATE-FIXED_SEASON_COST)</f>
        <v>3107.19345896276</v>
      </c>
      <c r="N98" s="53" t="n">
        <f aca="false">IF(OR($A98&gt;TOMATO_BED_CAP,$B98&gt;CARROT_BED_CAP,N$4&gt;MESCLUN_BED_CAP,$A98+$B98+N$4&gt;TOTAL_BEDS_AVAILABLE,($D98+N$5)&gt;TOTAL_LABOR_HOURS_CAP,MAX(0,($D98+N$5)-PERMANENT_FIELD_LABOR_HOURS)&gt;TEMP_HOURS_CAP),"",$C98+N$6-MIN(($D98+N$5),PERMANENT_FIELD_LABOR_HOURS)*PERMANENT_HOURLY_RATE-MAX(0,($D98+N$5)-PERMANENT_FIELD_LABOR_HOURS)*TEMP_HOURLY_RATE-FIXED_SEASON_COST)</f>
        <v>3989.8038328223</v>
      </c>
      <c r="O98" s="53" t="n">
        <f aca="false">IF(OR($A98&gt;TOMATO_BED_CAP,$B98&gt;CARROT_BED_CAP,O$4&gt;MESCLUN_BED_CAP,$A98+$B98+O$4&gt;TOTAL_BEDS_AVAILABLE,($D98+O$5)&gt;TOTAL_LABOR_HOURS_CAP,MAX(0,($D98+O$5)-PERMANENT_FIELD_LABOR_HOURS)&gt;TEMP_HOURS_CAP),"",$C98+O$6-MIN(($D98+O$5),PERMANENT_FIELD_LABOR_HOURS)*PERMANENT_HOURLY_RATE-MAX(0,($D98+O$5)-PERMANENT_FIELD_LABOR_HOURS)*TEMP_HOURLY_RATE-FIXED_SEASON_COST)</f>
        <v>4849.91152957706</v>
      </c>
      <c r="P98" s="53" t="n">
        <f aca="false">IF(OR($A98&gt;TOMATO_BED_CAP,$B98&gt;CARROT_BED_CAP,P$4&gt;MESCLUN_BED_CAP,$A98+$B98+P$4&gt;TOTAL_BEDS_AVAILABLE,($D98+P$5)&gt;TOTAL_LABOR_HOURS_CAP,MAX(0,($D98+P$5)-PERMANENT_FIELD_LABOR_HOURS)&gt;TEMP_HOURS_CAP),"",$C98+P$6-MIN(($D98+P$5),PERMANENT_FIELD_LABOR_HOURS)*PERMANENT_HOURLY_RATE-MAX(0,($D98+P$5)-PERMANENT_FIELD_LABOR_HOURS)*TEMP_HOURLY_RATE-FIXED_SEASON_COST)</f>
        <v>5687.10044942849</v>
      </c>
      <c r="Q98" s="53" t="n">
        <f aca="false">IF(OR($A98&gt;TOMATO_BED_CAP,$B98&gt;CARROT_BED_CAP,Q$4&gt;MESCLUN_BED_CAP,$A98+$B98+Q$4&gt;TOTAL_BEDS_AVAILABLE,($D98+Q$5)&gt;TOTAL_LABOR_HOURS_CAP,MAX(0,($D98+Q$5)-PERMANENT_FIELD_LABOR_HOURS)&gt;TEMP_HOURS_CAP),"",$C98+Q$6-MIN(($D98+Q$5),PERMANENT_FIELD_LABOR_HOURS)*PERMANENT_HOURLY_RATE-MAX(0,($D98+Q$5)-PERMANENT_FIELD_LABOR_HOURS)*TEMP_HOURLY_RATE-FIXED_SEASON_COST)</f>
        <v>6500.94760612639</v>
      </c>
      <c r="R98" s="53" t="n">
        <f aca="false">IF(OR($A98&gt;TOMATO_BED_CAP,$B98&gt;CARROT_BED_CAP,R$4&gt;MESCLUN_BED_CAP,$A98+$B98+R$4&gt;TOTAL_BEDS_AVAILABLE,($D98+R$5)&gt;TOTAL_LABOR_HOURS_CAP,MAX(0,($D98+R$5)-PERMANENT_FIELD_LABOR_HOURS)&gt;TEMP_HOURS_CAP),"",$C98+R$6-MIN(($D98+R$5),PERMANENT_FIELD_LABOR_HOURS)*PERMANENT_HOURLY_RATE-MAX(0,($D98+R$5)-PERMANENT_FIELD_LABOR_HOURS)*TEMP_HOURLY_RATE-FIXED_SEASON_COST)</f>
        <v>7291.02301982318</v>
      </c>
      <c r="S98" s="53" t="n">
        <f aca="false">IF(OR($A98&gt;TOMATO_BED_CAP,$B98&gt;CARROT_BED_CAP,S$4&gt;MESCLUN_BED_CAP,$A98+$B98+S$4&gt;TOTAL_BEDS_AVAILABLE,($D98+S$5)&gt;TOTAL_LABOR_HOURS_CAP,MAX(0,($D98+S$5)-PERMANENT_FIELD_LABOR_HOURS)&gt;TEMP_HOURS_CAP),"",$C98+S$6-MIN(($D98+S$5),PERMANENT_FIELD_LABOR_HOURS)*PERMANENT_HOURLY_RATE-MAX(0,($D98+S$5)-PERMANENT_FIELD_LABOR_HOURS)*TEMP_HOURLY_RATE-FIXED_SEASON_COST)</f>
        <v>8056.88960832563</v>
      </c>
      <c r="T98" s="53" t="n">
        <f aca="false">IF(OR($A98&gt;TOMATO_BED_CAP,$B98&gt;CARROT_BED_CAP,T$4&gt;MESCLUN_BED_CAP,$A98+$B98+T$4&gt;TOTAL_BEDS_AVAILABLE,($D98+T$5)&gt;TOTAL_LABOR_HOURS_CAP,MAX(0,($D98+T$5)-PERMANENT_FIELD_LABOR_HOURS)&gt;TEMP_HOURS_CAP),"",$C98+T$6-MIN(($D98+T$5),PERMANENT_FIELD_LABOR_HOURS)*PERMANENT_HOURLY_RATE-MAX(0,($D98+T$5)-PERMANENT_FIELD_LABOR_HOURS)*TEMP_HOURLY_RATE-FIXED_SEASON_COST)</f>
        <v>8798.10307672048</v>
      </c>
      <c r="U98" s="53" t="n">
        <f aca="false">IF(OR($A98&gt;TOMATO_BED_CAP,$B98&gt;CARROT_BED_CAP,U$4&gt;MESCLUN_BED_CAP,$A98+$B98+U$4&gt;TOTAL_BEDS_AVAILABLE,($D98+U$5)&gt;TOTAL_LABOR_HOURS_CAP,MAX(0,($D98+U$5)-PERMANENT_FIELD_LABOR_HOURS)&gt;TEMP_HOURS_CAP),"",$C98+U$6-MIN(($D98+U$5),PERMANENT_FIELD_LABOR_HOURS)*PERMANENT_HOURLY_RATE-MAX(0,($D98+U$5)-PERMANENT_FIELD_LABOR_HOURS)*TEMP_HOURLY_RATE-FIXED_SEASON_COST)</f>
        <v>9514.21180535058</v>
      </c>
      <c r="V98" s="53" t="n">
        <f aca="false">IF(OR($A98&gt;TOMATO_BED_CAP,$B98&gt;CARROT_BED_CAP,V$4&gt;MESCLUN_BED_CAP,$A98+$B98+V$4&gt;TOTAL_BEDS_AVAILABLE,($D98+V$5)&gt;TOTAL_LABOR_HOURS_CAP,MAX(0,($D98+V$5)-PERMANENT_FIELD_LABOR_HOURS)&gt;TEMP_HOURS_CAP),"",$C98+V$6-MIN(($D98+V$5),PERMANENT_FIELD_LABOR_HOURS)*PERMANENT_HOURLY_RATE-MAX(0,($D98+V$5)-PERMANENT_FIELD_LABOR_HOURS)*TEMP_HOURLY_RATE-FIXED_SEASON_COST)</f>
        <v>10204.7567361174</v>
      </c>
      <c r="W98" s="53" t="n">
        <f aca="false">IF(OR($A98&gt;TOMATO_BED_CAP,$B98&gt;CARROT_BED_CAP,W$4&gt;MESCLUN_BED_CAP,$A98+$B98+W$4&gt;TOTAL_BEDS_AVAILABLE,($D98+W$5)&gt;TOTAL_LABOR_HOURS_CAP,MAX(0,($D98+W$5)-PERMANENT_FIELD_LABOR_HOURS)&gt;TEMP_HOURS_CAP),"",$C98+W$6-MIN(($D98+W$5),PERMANENT_FIELD_LABOR_HOURS)*PERMANENT_HOURLY_RATE-MAX(0,($D98+W$5)-PERMANENT_FIELD_LABOR_HOURS)*TEMP_HOURLY_RATE-FIXED_SEASON_COST)</f>
        <v>10869.2712570854</v>
      </c>
      <c r="X98" s="53" t="n">
        <f aca="false">IF(OR($A98&gt;TOMATO_BED_CAP,$B98&gt;CARROT_BED_CAP,X$4&gt;MESCLUN_BED_CAP,$A98+$B98+X$4&gt;TOTAL_BEDS_AVAILABLE,($D98+X$5)&gt;TOTAL_LABOR_HOURS_CAP,MAX(0,($D98+X$5)-PERMANENT_FIELD_LABOR_HOURS)&gt;TEMP_HOURS_CAP),"",$C98+X$6-MIN(($D98+X$5),PERMANENT_FIELD_LABOR_HOURS)*PERMANENT_HOURLY_RATE-MAX(0,($D98+X$5)-PERMANENT_FIELD_LABOR_HOURS)*TEMP_HOURLY_RATE-FIXED_SEASON_COST)</f>
        <v>11507.2810853644</v>
      </c>
      <c r="Y98" s="53" t="n">
        <f aca="false">IF(OR($A98&gt;TOMATO_BED_CAP,$B98&gt;CARROT_BED_CAP,Y$4&gt;MESCLUN_BED_CAP,$A98+$B98+Y$4&gt;TOTAL_BEDS_AVAILABLE,($D98+Y$5)&gt;TOTAL_LABOR_HOURS_CAP,MAX(0,($D98+Y$5)-PERMANENT_FIELD_LABOR_HOURS)&gt;TEMP_HOURS_CAP),"",$C98+Y$6-MIN(($D98+Y$5),PERMANENT_FIELD_LABOR_HOURS)*PERMANENT_HOURLY_RATE-MAX(0,($D98+Y$5)-PERMANENT_FIELD_LABOR_HOURS)*TEMP_HOURLY_RATE-FIXED_SEASON_COST)</f>
        <v>12118.304148243</v>
      </c>
      <c r="Z98" s="53" t="n">
        <f aca="false">IF(OR($A98&gt;TOMATO_BED_CAP,$B98&gt;CARROT_BED_CAP,Z$4&gt;MESCLUN_BED_CAP,$A98+$B98+Z$4&gt;TOTAL_BEDS_AVAILABLE,($D98+Z$5)&gt;TOTAL_LABOR_HOURS_CAP,MAX(0,($D98+Z$5)-PERMANENT_FIELD_LABOR_HOURS)&gt;TEMP_HOURS_CAP),"",$C98+Z$6-MIN(($D98+Z$5),PERMANENT_FIELD_LABOR_HOURS)*PERMANENT_HOURLY_RATE-MAX(0,($D98+Z$5)-PERMANENT_FIELD_LABOR_HOURS)*TEMP_HOURLY_RATE-FIXED_SEASON_COST)</f>
        <v>12701.8504625507</v>
      </c>
      <c r="AA98" s="53" t="n">
        <f aca="false">IF(OR($A98&gt;TOMATO_BED_CAP,$B98&gt;CARROT_BED_CAP,AA$4&gt;MESCLUN_BED_CAP,$A98+$B98+AA$4&gt;TOTAL_BEDS_AVAILABLE,($D98+AA$5)&gt;TOTAL_LABOR_HOURS_CAP,MAX(0,($D98+AA$5)-PERMANENT_FIELD_LABOR_HOURS)&gt;TEMP_HOURS_CAP),"",$C98+AA$6-MIN(($D98+AA$5),PERMANENT_FIELD_LABOR_HOURS)*PERMANENT_HOURLY_RATE-MAX(0,($D98+AA$5)-PERMANENT_FIELD_LABOR_HOURS)*TEMP_HOURLY_RATE-FIXED_SEASON_COST)</f>
        <v>13257.4220122197</v>
      </c>
      <c r="AB98" s="53" t="n">
        <f aca="false">IF(OR($A98&gt;TOMATO_BED_CAP,$B98&gt;CARROT_BED_CAP,AB$4&gt;MESCLUN_BED_CAP,$A98+$B98+AB$4&gt;TOTAL_BEDS_AVAILABLE,($D98+AB$5)&gt;TOTAL_LABOR_HOURS_CAP,MAX(0,($D98+AB$5)-PERMANENT_FIELD_LABOR_HOURS)&gt;TEMP_HOURS_CAP),"",$C98+AB$6-MIN(($D98+AB$5),PERMANENT_FIELD_LABOR_HOURS)*PERMANENT_HOURLY_RATE-MAX(0,($D98+AB$5)-PERMANENT_FIELD_LABOR_HOURS)*TEMP_HOURLY_RATE-FIXED_SEASON_COST)</f>
        <v>13784.5126240222</v>
      </c>
      <c r="AC98" s="53" t="n">
        <f aca="false">IF(OR($A98&gt;TOMATO_BED_CAP,$B98&gt;CARROT_BED_CAP,AC$4&gt;MESCLUN_BED_CAP,$A98+$B98+AC$4&gt;TOTAL_BEDS_AVAILABLE,($D98+AC$5)&gt;TOTAL_LABOR_HOURS_CAP,MAX(0,($D98+AC$5)-PERMANENT_FIELD_LABOR_HOURS)&gt;TEMP_HOURS_CAP),"",$C98+AC$6-MIN(($D98+AC$5),PERMANENT_FIELD_LABOR_HOURS)*PERMANENT_HOURLY_RATE-MAX(0,($D98+AC$5)-PERMANENT_FIELD_LABOR_HOURS)*TEMP_HOURLY_RATE-FIXED_SEASON_COST)</f>
        <v>14282.6078414571</v>
      </c>
      <c r="AD98" s="53" t="n">
        <f aca="false">IF(OR($A98&gt;TOMATO_BED_CAP,$B98&gt;CARROT_BED_CAP,AD$4&gt;MESCLUN_BED_CAP,$A98+$B98+AD$4&gt;TOTAL_BEDS_AVAILABLE,($D98+AD$5)&gt;TOTAL_LABOR_HOURS_CAP,MAX(0,($D98+AD$5)-PERMANENT_FIELD_LABOR_HOURS)&gt;TEMP_HOURS_CAP),"",$C98+AD$6-MIN(($D98+AD$5),PERMANENT_FIELD_LABOR_HOURS)*PERMANENT_HOURLY_RATE-MAX(0,($D98+AD$5)-PERMANENT_FIELD_LABOR_HOURS)*TEMP_HOURLY_RATE-FIXED_SEASON_COST)</f>
        <v>14751.1847967571</v>
      </c>
      <c r="AE98" s="53" t="n">
        <f aca="false">IF(OR($A98&gt;TOMATO_BED_CAP,$B98&gt;CARROT_BED_CAP,AE$4&gt;MESCLUN_BED_CAP,$A98+$B98+AE$4&gt;TOTAL_BEDS_AVAILABLE,($D98+AE$5)&gt;TOTAL_LABOR_HOURS_CAP,MAX(0,($D98+AE$5)-PERMANENT_FIELD_LABOR_HOURS)&gt;TEMP_HOURS_CAP),"",$C98+AE$6-MIN(($D98+AE$5),PERMANENT_FIELD_LABOR_HOURS)*PERMANENT_HOURLY_RATE-MAX(0,($D98+AE$5)-PERMANENT_FIELD_LABOR_HOURS)*TEMP_HOURLY_RATE-FIXED_SEASON_COST)</f>
        <v>15189.712080991</v>
      </c>
      <c r="AF98" s="53" t="n">
        <f aca="false">IF(OR($A98&gt;TOMATO_BED_CAP,$B98&gt;CARROT_BED_CAP,AF$4&gt;MESCLUN_BED_CAP,$A98+$B98+AF$4&gt;TOTAL_BEDS_AVAILABLE,($D98+AF$5)&gt;TOTAL_LABOR_HOURS_CAP,MAX(0,($D98+AF$5)-PERMANENT_FIELD_LABOR_HOURS)&gt;TEMP_HOURS_CAP),"",$C98+AF$6-MIN(($D98+AF$5),PERMANENT_FIELD_LABOR_HOURS)*PERMANENT_HOURLY_RATE-MAX(0,($D98+AF$5)-PERMANENT_FIELD_LABOR_HOURS)*TEMP_HOURLY_RATE-FIXED_SEASON_COST)</f>
        <v>15597.6496122329</v>
      </c>
      <c r="AG98" s="53" t="n">
        <f aca="false">IF(OR($A98&gt;TOMATO_BED_CAP,$B98&gt;CARROT_BED_CAP,AG$4&gt;MESCLUN_BED_CAP,$A98+$B98+AG$4&gt;TOTAL_BEDS_AVAILABLE,($D98+AG$5)&gt;TOTAL_LABOR_HOURS_CAP,MAX(0,($D98+AG$5)-PERMANENT_FIELD_LABOR_HOURS)&gt;TEMP_HOURS_CAP),"",$C98+AG$6-MIN(($D98+AG$5),PERMANENT_FIELD_LABOR_HOURS)*PERMANENT_HOURLY_RATE-MAX(0,($D98+AG$5)-PERMANENT_FIELD_LABOR_HOURS)*TEMP_HOURLY_RATE-FIXED_SEASON_COST)</f>
        <v>15974.44850177</v>
      </c>
      <c r="AH98" s="53" t="n">
        <f aca="false">IF(OR($A98&gt;TOMATO_BED_CAP,$B98&gt;CARROT_BED_CAP,AH$4&gt;MESCLUN_BED_CAP,$A98+$B98+AH$4&gt;TOTAL_BEDS_AVAILABLE,($D98+AH$5)&gt;TOTAL_LABOR_HOURS_CAP,MAX(0,($D98+AH$5)-PERMANENT_FIELD_LABOR_HOURS)&gt;TEMP_HOURS_CAP),"",$C98+AH$6-MIN(($D98+AH$5),PERMANENT_FIELD_LABOR_HOURS)*PERMANENT_HOURLY_RATE-MAX(0,($D98+AH$5)-PERMANENT_FIELD_LABOR_HOURS)*TEMP_HOURLY_RATE-FIXED_SEASON_COST)</f>
        <v>16319.5509183202</v>
      </c>
      <c r="AI98" s="53" t="n">
        <f aca="false">IF(OR($A98&gt;TOMATO_BED_CAP,$B98&gt;CARROT_BED_CAP,AI$4&gt;MESCLUN_BED_CAP,$A98+$B98+AI$4&gt;TOTAL_BEDS_AVAILABLE,($D98+AI$5)&gt;TOTAL_LABOR_HOURS_CAP,MAX(0,($D98+AI$5)-PERMANENT_FIELD_LABOR_HOURS)&gt;TEMP_HOURS_CAP),"",$C98+AI$6-MIN(($D98+AI$5),PERMANENT_FIELD_LABOR_HOURS)*PERMANENT_HOURLY_RATE-MAX(0,($D98+AI$5)-PERMANENT_FIELD_LABOR_HOURS)*TEMP_HOURLY_RATE-FIXED_SEASON_COST)</f>
        <v>16632.3899502325</v>
      </c>
      <c r="AJ98" s="53" t="n">
        <f aca="false">IF(OR($A98&gt;TOMATO_BED_CAP,$B98&gt;CARROT_BED_CAP,AJ$4&gt;MESCLUN_BED_CAP,$A98+$B98+AJ$4&gt;TOTAL_BEDS_AVAILABLE,($D98+AJ$5)&gt;TOTAL_LABOR_HOURS_CAP,MAX(0,($D98+AJ$5)-PERMANENT_FIELD_LABOR_HOURS)&gt;TEMP_HOURS_CAP),"",$C98+AJ$6-MIN(($D98+AJ$5),PERMANENT_FIELD_LABOR_HOURS)*PERMANENT_HOURLY_RATE-MAX(0,($D98+AJ$5)-PERMANENT_FIELD_LABOR_HOURS)*TEMP_HOURLY_RATE-FIXED_SEASON_COST)</f>
        <v>16912.3894656382</v>
      </c>
    </row>
    <row r="99" customFormat="false" ht="15" hidden="false" customHeight="false" outlineLevel="0" collapsed="false">
      <c r="A99" s="21" t="n">
        <f aca="false">INT((ROW()-ROW($A$8))/(20+1))</f>
        <v>4</v>
      </c>
      <c r="B99" s="21" t="n">
        <f aca="false">MOD(ROW()-ROW($A$8),20+1)</f>
        <v>7</v>
      </c>
      <c r="C99" s="13" t="n">
        <f aca="false">A99*(TOMATO_REVENUE_PER_BED-TOMATO_FERTILIZER_PER_BED)+B99*(CARROT_REVENUE_PER_BED-CARROT_FERTILIZER_PER_BED)</f>
        <v>43258</v>
      </c>
      <c r="D99" s="14" t="n">
        <f aca="false">INDEX(TOMATO_SCHED_LABOR_HRS,A99+1)+INDEX(CARROT_SCHED_LABOR_HRS,B99+1)</f>
        <v>776.600158667017</v>
      </c>
      <c r="E99" s="13" t="n">
        <f aca="false">IF(COUNT(F99:AJ99)=0,"",MAX(F99:AJ99))</f>
        <v>17857.0105404131</v>
      </c>
      <c r="F99" s="53" t="n">
        <f aca="false">IF(OR($A99&gt;TOMATO_BED_CAP,$B99&gt;CARROT_BED_CAP,F$4&gt;MESCLUN_BED_CAP,$A99+$B99+F$4&gt;TOTAL_BEDS_AVAILABLE,($D99+F$5)&gt;TOTAL_LABOR_HOURS_CAP,MAX(0,($D99+F$5)-PERMANENT_FIELD_LABOR_HOURS)&gt;TEMP_HOURS_CAP),"",$C99+F$6-MIN(($D99+F$5),PERMANENT_FIELD_LABOR_HOURS)*PERMANENT_HOURLY_RATE-MAX(0,($D99+F$5)-PERMANENT_FIELD_LABOR_HOURS)*TEMP_HOURLY_RATE-FIXED_SEASON_COST)</f>
        <v>-2722.9787544594</v>
      </c>
      <c r="G99" s="53" t="n">
        <f aca="false">IF(OR($A99&gt;TOMATO_BED_CAP,$B99&gt;CARROT_BED_CAP,G$4&gt;MESCLUN_BED_CAP,$A99+$B99+G$4&gt;TOTAL_BEDS_AVAILABLE,($D99+G$5)&gt;TOTAL_LABOR_HOURS_CAP,MAX(0,($D99+G$5)-PERMANENT_FIELD_LABOR_HOURS)&gt;TEMP_HOURS_CAP),"",$C99+G$6-MIN(($D99+G$5),PERMANENT_FIELD_LABOR_HOURS)*PERMANENT_HOURLY_RATE-MAX(0,($D99+G$5)-PERMANENT_FIELD_LABOR_HOURS)*TEMP_HOURLY_RATE-FIXED_SEASON_COST)</f>
        <v>-1693.9437544594</v>
      </c>
      <c r="H99" s="53" t="n">
        <f aca="false">IF(OR($A99&gt;TOMATO_BED_CAP,$B99&gt;CARROT_BED_CAP,H$4&gt;MESCLUN_BED_CAP,$A99+$B99+H$4&gt;TOTAL_BEDS_AVAILABLE,($D99+H$5)&gt;TOTAL_LABOR_HOURS_CAP,MAX(0,($D99+H$5)-PERMANENT_FIELD_LABOR_HOURS)&gt;TEMP_HOURS_CAP),"",$C99+H$6-MIN(($D99+H$5),PERMANENT_FIELD_LABOR_HOURS)*PERMANENT_HOURLY_RATE-MAX(0,($D99+H$5)-PERMANENT_FIELD_LABOR_HOURS)*TEMP_HOURLY_RATE-FIXED_SEASON_COST)</f>
        <v>-684.682879459404</v>
      </c>
      <c r="I99" s="53" t="n">
        <f aca="false">IF(OR($A99&gt;TOMATO_BED_CAP,$B99&gt;CARROT_BED_CAP,I$4&gt;MESCLUN_BED_CAP,$A99+$B99+I$4&gt;TOTAL_BEDS_AVAILABLE,($D99+I$5)&gt;TOTAL_LABOR_HOURS_CAP,MAX(0,($D99+I$5)-PERMANENT_FIELD_LABOR_HOURS)&gt;TEMP_HOURS_CAP),"",$C99+I$6-MIN(($D99+I$5),PERMANENT_FIELD_LABOR_HOURS)*PERMANENT_HOURLY_RATE-MAX(0,($D99+I$5)-PERMANENT_FIELD_LABOR_HOURS)*TEMP_HOURLY_RATE-FIXED_SEASON_COST)</f>
        <v>304.433105696844</v>
      </c>
      <c r="J99" s="53" t="n">
        <f aca="false">IF(OR($A99&gt;TOMATO_BED_CAP,$B99&gt;CARROT_BED_CAP,J$4&gt;MESCLUN_BED_CAP,$A99+$B99+J$4&gt;TOTAL_BEDS_AVAILABLE,($D99+J$5)&gt;TOTAL_LABOR_HOURS_CAP,MAX(0,($D99+J$5)-PERMANENT_FIELD_LABOR_HOURS)&gt;TEMP_HOURS_CAP),"",$C99+J$6-MIN(($D99+J$5),PERMANENT_FIELD_LABOR_HOURS)*PERMANENT_HOURLY_RATE-MAX(0,($D99+J$5)-PERMANENT_FIELD_LABOR_HOURS)*TEMP_HOURLY_RATE-FIXED_SEASON_COST)</f>
        <v>1273.02725675153</v>
      </c>
      <c r="K99" s="53" t="n">
        <f aca="false">IF(OR($A99&gt;TOMATO_BED_CAP,$B99&gt;CARROT_BED_CAP,K$4&gt;MESCLUN_BED_CAP,$A99+$B99+K$4&gt;TOTAL_BEDS_AVAILABLE,($D99+K$5)&gt;TOTAL_LABOR_HOURS_CAP,MAX(0,($D99+K$5)-PERMANENT_FIELD_LABOR_HOURS)&gt;TEMP_HOURS_CAP),"",$C99+K$6-MIN(($D99+K$5),PERMANENT_FIELD_LABOR_HOURS)*PERMANENT_HOURLY_RATE-MAX(0,($D99+K$5)-PERMANENT_FIELD_LABOR_HOURS)*TEMP_HOURLY_RATE-FIXED_SEASON_COST)</f>
        <v>2220.71635347944</v>
      </c>
      <c r="L99" s="53" t="n">
        <f aca="false">IF(OR($A99&gt;TOMATO_BED_CAP,$B99&gt;CARROT_BED_CAP,L$4&gt;MESCLUN_BED_CAP,$A99+$B99+L$4&gt;TOTAL_BEDS_AVAILABLE,($D99+L$5)&gt;TOTAL_LABOR_HOURS_CAP,MAX(0,($D99+L$5)-PERMANENT_FIELD_LABOR_HOURS)&gt;TEMP_HOURS_CAP),"",$C99+L$6-MIN(($D99+L$5),PERMANENT_FIELD_LABOR_HOURS)*PERMANENT_HOURLY_RATE-MAX(0,($D99+L$5)-PERMANENT_FIELD_LABOR_HOURS)*TEMP_HOURLY_RATE-FIXED_SEASON_COST)</f>
        <v>3147.11080168629</v>
      </c>
      <c r="M99" s="53" t="n">
        <f aca="false">IF(OR($A99&gt;TOMATO_BED_CAP,$B99&gt;CARROT_BED_CAP,M$4&gt;MESCLUN_BED_CAP,$A99+$B99+M$4&gt;TOTAL_BEDS_AVAILABLE,($D99+M$5)&gt;TOTAL_LABOR_HOURS_CAP,MAX(0,($D99+M$5)-PERMANENT_FIELD_LABOR_HOURS)&gt;TEMP_HOURS_CAP),"",$C99+M$6-MIN(($D99+M$5),PERMANENT_FIELD_LABOR_HOURS)*PERMANENT_HOURLY_RATE-MAX(0,($D99+M$5)-PERMANENT_FIELD_LABOR_HOURS)*TEMP_HOURLY_RATE-FIXED_SEASON_COST)</f>
        <v>4051.8145337377</v>
      </c>
      <c r="N99" s="53" t="n">
        <f aca="false">IF(OR($A99&gt;TOMATO_BED_CAP,$B99&gt;CARROT_BED_CAP,N$4&gt;MESCLUN_BED_CAP,$A99+$B99+N$4&gt;TOTAL_BEDS_AVAILABLE,($D99+N$5)&gt;TOTAL_LABOR_HOURS_CAP,MAX(0,($D99+N$5)-PERMANENT_FIELD_LABOR_HOURS)&gt;TEMP_HOURS_CAP),"",$C99+N$6-MIN(($D99+N$5),PERMANENT_FIELD_LABOR_HOURS)*PERMANENT_HOURLY_RATE-MAX(0,($D99+N$5)-PERMANENT_FIELD_LABOR_HOURS)*TEMP_HOURLY_RATE-FIXED_SEASON_COST)</f>
        <v>4934.42490759724</v>
      </c>
      <c r="O99" s="53" t="n">
        <f aca="false">IF(OR($A99&gt;TOMATO_BED_CAP,$B99&gt;CARROT_BED_CAP,O$4&gt;MESCLUN_BED_CAP,$A99+$B99+O$4&gt;TOTAL_BEDS_AVAILABLE,($D99+O$5)&gt;TOTAL_LABOR_HOURS_CAP,MAX(0,($D99+O$5)-PERMANENT_FIELD_LABOR_HOURS)&gt;TEMP_HOURS_CAP),"",$C99+O$6-MIN(($D99+O$5),PERMANENT_FIELD_LABOR_HOURS)*PERMANENT_HOURLY_RATE-MAX(0,($D99+O$5)-PERMANENT_FIELD_LABOR_HOURS)*TEMP_HOURLY_RATE-FIXED_SEASON_COST)</f>
        <v>5794.532604352</v>
      </c>
      <c r="P99" s="53" t="n">
        <f aca="false">IF(OR($A99&gt;TOMATO_BED_CAP,$B99&gt;CARROT_BED_CAP,P$4&gt;MESCLUN_BED_CAP,$A99+$B99+P$4&gt;TOTAL_BEDS_AVAILABLE,($D99+P$5)&gt;TOTAL_LABOR_HOURS_CAP,MAX(0,($D99+P$5)-PERMANENT_FIELD_LABOR_HOURS)&gt;TEMP_HOURS_CAP),"",$C99+P$6-MIN(($D99+P$5),PERMANENT_FIELD_LABOR_HOURS)*PERMANENT_HOURLY_RATE-MAX(0,($D99+P$5)-PERMANENT_FIELD_LABOR_HOURS)*TEMP_HOURLY_RATE-FIXED_SEASON_COST)</f>
        <v>6631.72152420343</v>
      </c>
      <c r="Q99" s="53" t="n">
        <f aca="false">IF(OR($A99&gt;TOMATO_BED_CAP,$B99&gt;CARROT_BED_CAP,Q$4&gt;MESCLUN_BED_CAP,$A99+$B99+Q$4&gt;TOTAL_BEDS_AVAILABLE,($D99+Q$5)&gt;TOTAL_LABOR_HOURS_CAP,MAX(0,($D99+Q$5)-PERMANENT_FIELD_LABOR_HOURS)&gt;TEMP_HOURS_CAP),"",$C99+Q$6-MIN(($D99+Q$5),PERMANENT_FIELD_LABOR_HOURS)*PERMANENT_HOURLY_RATE-MAX(0,($D99+Q$5)-PERMANENT_FIELD_LABOR_HOURS)*TEMP_HOURLY_RATE-FIXED_SEASON_COST)</f>
        <v>7445.56868090132</v>
      </c>
      <c r="R99" s="53" t="n">
        <f aca="false">IF(OR($A99&gt;TOMATO_BED_CAP,$B99&gt;CARROT_BED_CAP,R$4&gt;MESCLUN_BED_CAP,$A99+$B99+R$4&gt;TOTAL_BEDS_AVAILABLE,($D99+R$5)&gt;TOTAL_LABOR_HOURS_CAP,MAX(0,($D99+R$5)-PERMANENT_FIELD_LABOR_HOURS)&gt;TEMP_HOURS_CAP),"",$C99+R$6-MIN(($D99+R$5),PERMANENT_FIELD_LABOR_HOURS)*PERMANENT_HOURLY_RATE-MAX(0,($D99+R$5)-PERMANENT_FIELD_LABOR_HOURS)*TEMP_HOURLY_RATE-FIXED_SEASON_COST)</f>
        <v>8235.64409459812</v>
      </c>
      <c r="S99" s="53" t="n">
        <f aca="false">IF(OR($A99&gt;TOMATO_BED_CAP,$B99&gt;CARROT_BED_CAP,S$4&gt;MESCLUN_BED_CAP,$A99+$B99+S$4&gt;TOTAL_BEDS_AVAILABLE,($D99+S$5)&gt;TOTAL_LABOR_HOURS_CAP,MAX(0,($D99+S$5)-PERMANENT_FIELD_LABOR_HOURS)&gt;TEMP_HOURS_CAP),"",$C99+S$6-MIN(($D99+S$5),PERMANENT_FIELD_LABOR_HOURS)*PERMANENT_HOURLY_RATE-MAX(0,($D99+S$5)-PERMANENT_FIELD_LABOR_HOURS)*TEMP_HOURLY_RATE-FIXED_SEASON_COST)</f>
        <v>9001.51068310058</v>
      </c>
      <c r="T99" s="53" t="n">
        <f aca="false">IF(OR($A99&gt;TOMATO_BED_CAP,$B99&gt;CARROT_BED_CAP,T$4&gt;MESCLUN_BED_CAP,$A99+$B99+T$4&gt;TOTAL_BEDS_AVAILABLE,($D99+T$5)&gt;TOTAL_LABOR_HOURS_CAP,MAX(0,($D99+T$5)-PERMANENT_FIELD_LABOR_HOURS)&gt;TEMP_HOURS_CAP),"",$C99+T$6-MIN(($D99+T$5),PERMANENT_FIELD_LABOR_HOURS)*PERMANENT_HOURLY_RATE-MAX(0,($D99+T$5)-PERMANENT_FIELD_LABOR_HOURS)*TEMP_HOURLY_RATE-FIXED_SEASON_COST)</f>
        <v>9742.72415149542</v>
      </c>
      <c r="U99" s="53" t="n">
        <f aca="false">IF(OR($A99&gt;TOMATO_BED_CAP,$B99&gt;CARROT_BED_CAP,U$4&gt;MESCLUN_BED_CAP,$A99+$B99+U$4&gt;TOTAL_BEDS_AVAILABLE,($D99+U$5)&gt;TOTAL_LABOR_HOURS_CAP,MAX(0,($D99+U$5)-PERMANENT_FIELD_LABOR_HOURS)&gt;TEMP_HOURS_CAP),"",$C99+U$6-MIN(($D99+U$5),PERMANENT_FIELD_LABOR_HOURS)*PERMANENT_HOURLY_RATE-MAX(0,($D99+U$5)-PERMANENT_FIELD_LABOR_HOURS)*TEMP_HOURLY_RATE-FIXED_SEASON_COST)</f>
        <v>10458.8328801255</v>
      </c>
      <c r="V99" s="53" t="n">
        <f aca="false">IF(OR($A99&gt;TOMATO_BED_CAP,$B99&gt;CARROT_BED_CAP,V$4&gt;MESCLUN_BED_CAP,$A99+$B99+V$4&gt;TOTAL_BEDS_AVAILABLE,($D99+V$5)&gt;TOTAL_LABOR_HOURS_CAP,MAX(0,($D99+V$5)-PERMANENT_FIELD_LABOR_HOURS)&gt;TEMP_HOURS_CAP),"",$C99+V$6-MIN(($D99+V$5),PERMANENT_FIELD_LABOR_HOURS)*PERMANENT_HOURLY_RATE-MAX(0,($D99+V$5)-PERMANENT_FIELD_LABOR_HOURS)*TEMP_HOURLY_RATE-FIXED_SEASON_COST)</f>
        <v>11149.3778108923</v>
      </c>
      <c r="W99" s="53" t="n">
        <f aca="false">IF(OR($A99&gt;TOMATO_BED_CAP,$B99&gt;CARROT_BED_CAP,W$4&gt;MESCLUN_BED_CAP,$A99+$B99+W$4&gt;TOTAL_BEDS_AVAILABLE,($D99+W$5)&gt;TOTAL_LABOR_HOURS_CAP,MAX(0,($D99+W$5)-PERMANENT_FIELD_LABOR_HOURS)&gt;TEMP_HOURS_CAP),"",$C99+W$6-MIN(($D99+W$5),PERMANENT_FIELD_LABOR_HOURS)*PERMANENT_HOURLY_RATE-MAX(0,($D99+W$5)-PERMANENT_FIELD_LABOR_HOURS)*TEMP_HOURLY_RATE-FIXED_SEASON_COST)</f>
        <v>11813.8923318604</v>
      </c>
      <c r="X99" s="53" t="n">
        <f aca="false">IF(OR($A99&gt;TOMATO_BED_CAP,$B99&gt;CARROT_BED_CAP,X$4&gt;MESCLUN_BED_CAP,$A99+$B99+X$4&gt;TOTAL_BEDS_AVAILABLE,($D99+X$5)&gt;TOTAL_LABOR_HOURS_CAP,MAX(0,($D99+X$5)-PERMANENT_FIELD_LABOR_HOURS)&gt;TEMP_HOURS_CAP),"",$C99+X$6-MIN(($D99+X$5),PERMANENT_FIELD_LABOR_HOURS)*PERMANENT_HOURLY_RATE-MAX(0,($D99+X$5)-PERMANENT_FIELD_LABOR_HOURS)*TEMP_HOURLY_RATE-FIXED_SEASON_COST)</f>
        <v>12451.9021601393</v>
      </c>
      <c r="Y99" s="53" t="n">
        <f aca="false">IF(OR($A99&gt;TOMATO_BED_CAP,$B99&gt;CARROT_BED_CAP,Y$4&gt;MESCLUN_BED_CAP,$A99+$B99+Y$4&gt;TOTAL_BEDS_AVAILABLE,($D99+Y$5)&gt;TOTAL_LABOR_HOURS_CAP,MAX(0,($D99+Y$5)-PERMANENT_FIELD_LABOR_HOURS)&gt;TEMP_HOURS_CAP),"",$C99+Y$6-MIN(($D99+Y$5),PERMANENT_FIELD_LABOR_HOURS)*PERMANENT_HOURLY_RATE-MAX(0,($D99+Y$5)-PERMANENT_FIELD_LABOR_HOURS)*TEMP_HOURLY_RATE-FIXED_SEASON_COST)</f>
        <v>13062.925223018</v>
      </c>
      <c r="Z99" s="53" t="n">
        <f aca="false">IF(OR($A99&gt;TOMATO_BED_CAP,$B99&gt;CARROT_BED_CAP,Z$4&gt;MESCLUN_BED_CAP,$A99+$B99+Z$4&gt;TOTAL_BEDS_AVAILABLE,($D99+Z$5)&gt;TOTAL_LABOR_HOURS_CAP,MAX(0,($D99+Z$5)-PERMANENT_FIELD_LABOR_HOURS)&gt;TEMP_HOURS_CAP),"",$C99+Z$6-MIN(($D99+Z$5),PERMANENT_FIELD_LABOR_HOURS)*PERMANENT_HOURLY_RATE-MAX(0,($D99+Z$5)-PERMANENT_FIELD_LABOR_HOURS)*TEMP_HOURLY_RATE-FIXED_SEASON_COST)</f>
        <v>13646.4715373257</v>
      </c>
      <c r="AA99" s="53" t="n">
        <f aca="false">IF(OR($A99&gt;TOMATO_BED_CAP,$B99&gt;CARROT_BED_CAP,AA$4&gt;MESCLUN_BED_CAP,$A99+$B99+AA$4&gt;TOTAL_BEDS_AVAILABLE,($D99+AA$5)&gt;TOTAL_LABOR_HOURS_CAP,MAX(0,($D99+AA$5)-PERMANENT_FIELD_LABOR_HOURS)&gt;TEMP_HOURS_CAP),"",$C99+AA$6-MIN(($D99+AA$5),PERMANENT_FIELD_LABOR_HOURS)*PERMANENT_HOURLY_RATE-MAX(0,($D99+AA$5)-PERMANENT_FIELD_LABOR_HOURS)*TEMP_HOURLY_RATE-FIXED_SEASON_COST)</f>
        <v>14202.0430869946</v>
      </c>
      <c r="AB99" s="53" t="n">
        <f aca="false">IF(OR($A99&gt;TOMATO_BED_CAP,$B99&gt;CARROT_BED_CAP,AB$4&gt;MESCLUN_BED_CAP,$A99+$B99+AB$4&gt;TOTAL_BEDS_AVAILABLE,($D99+AB$5)&gt;TOTAL_LABOR_HOURS_CAP,MAX(0,($D99+AB$5)-PERMANENT_FIELD_LABOR_HOURS)&gt;TEMP_HOURS_CAP),"",$C99+AB$6-MIN(($D99+AB$5),PERMANENT_FIELD_LABOR_HOURS)*PERMANENT_HOURLY_RATE-MAX(0,($D99+AB$5)-PERMANENT_FIELD_LABOR_HOURS)*TEMP_HOURLY_RATE-FIXED_SEASON_COST)</f>
        <v>14729.1336987972</v>
      </c>
      <c r="AC99" s="53" t="n">
        <f aca="false">IF(OR($A99&gt;TOMATO_BED_CAP,$B99&gt;CARROT_BED_CAP,AC$4&gt;MESCLUN_BED_CAP,$A99+$B99+AC$4&gt;TOTAL_BEDS_AVAILABLE,($D99+AC$5)&gt;TOTAL_LABOR_HOURS_CAP,MAX(0,($D99+AC$5)-PERMANENT_FIELD_LABOR_HOURS)&gt;TEMP_HOURS_CAP),"",$C99+AC$6-MIN(($D99+AC$5),PERMANENT_FIELD_LABOR_HOURS)*PERMANENT_HOURLY_RATE-MAX(0,($D99+AC$5)-PERMANENT_FIELD_LABOR_HOURS)*TEMP_HOURLY_RATE-FIXED_SEASON_COST)</f>
        <v>15227.2289162321</v>
      </c>
      <c r="AD99" s="53" t="n">
        <f aca="false">IF(OR($A99&gt;TOMATO_BED_CAP,$B99&gt;CARROT_BED_CAP,AD$4&gt;MESCLUN_BED_CAP,$A99+$B99+AD$4&gt;TOTAL_BEDS_AVAILABLE,($D99+AD$5)&gt;TOTAL_LABOR_HOURS_CAP,MAX(0,($D99+AD$5)-PERMANENT_FIELD_LABOR_HOURS)&gt;TEMP_HOURS_CAP),"",$C99+AD$6-MIN(($D99+AD$5),PERMANENT_FIELD_LABOR_HOURS)*PERMANENT_HOURLY_RATE-MAX(0,($D99+AD$5)-PERMANENT_FIELD_LABOR_HOURS)*TEMP_HOURLY_RATE-FIXED_SEASON_COST)</f>
        <v>15695.805871532</v>
      </c>
      <c r="AE99" s="53" t="n">
        <f aca="false">IF(OR($A99&gt;TOMATO_BED_CAP,$B99&gt;CARROT_BED_CAP,AE$4&gt;MESCLUN_BED_CAP,$A99+$B99+AE$4&gt;TOTAL_BEDS_AVAILABLE,($D99+AE$5)&gt;TOTAL_LABOR_HOURS_CAP,MAX(0,($D99+AE$5)-PERMANENT_FIELD_LABOR_HOURS)&gt;TEMP_HOURS_CAP),"",$C99+AE$6-MIN(($D99+AE$5),PERMANENT_FIELD_LABOR_HOURS)*PERMANENT_HOURLY_RATE-MAX(0,($D99+AE$5)-PERMANENT_FIELD_LABOR_HOURS)*TEMP_HOURLY_RATE-FIXED_SEASON_COST)</f>
        <v>16134.3331557659</v>
      </c>
      <c r="AF99" s="53" t="n">
        <f aca="false">IF(OR($A99&gt;TOMATO_BED_CAP,$B99&gt;CARROT_BED_CAP,AF$4&gt;MESCLUN_BED_CAP,$A99+$B99+AF$4&gt;TOTAL_BEDS_AVAILABLE,($D99+AF$5)&gt;TOTAL_LABOR_HOURS_CAP,MAX(0,($D99+AF$5)-PERMANENT_FIELD_LABOR_HOURS)&gt;TEMP_HOURS_CAP),"",$C99+AF$6-MIN(($D99+AF$5),PERMANENT_FIELD_LABOR_HOURS)*PERMANENT_HOURLY_RATE-MAX(0,($D99+AF$5)-PERMANENT_FIELD_LABOR_HOURS)*TEMP_HOURLY_RATE-FIXED_SEASON_COST)</f>
        <v>16542.2706870079</v>
      </c>
      <c r="AG99" s="53" t="n">
        <f aca="false">IF(OR($A99&gt;TOMATO_BED_CAP,$B99&gt;CARROT_BED_CAP,AG$4&gt;MESCLUN_BED_CAP,$A99+$B99+AG$4&gt;TOTAL_BEDS_AVAILABLE,($D99+AG$5)&gt;TOTAL_LABOR_HOURS_CAP,MAX(0,($D99+AG$5)-PERMANENT_FIELD_LABOR_HOURS)&gt;TEMP_HOURS_CAP),"",$C99+AG$6-MIN(($D99+AG$5),PERMANENT_FIELD_LABOR_HOURS)*PERMANENT_HOURLY_RATE-MAX(0,($D99+AG$5)-PERMANENT_FIELD_LABOR_HOURS)*TEMP_HOURLY_RATE-FIXED_SEASON_COST)</f>
        <v>16919.0695765449</v>
      </c>
      <c r="AH99" s="53" t="n">
        <f aca="false">IF(OR($A99&gt;TOMATO_BED_CAP,$B99&gt;CARROT_BED_CAP,AH$4&gt;MESCLUN_BED_CAP,$A99+$B99+AH$4&gt;TOTAL_BEDS_AVAILABLE,($D99+AH$5)&gt;TOTAL_LABOR_HOURS_CAP,MAX(0,($D99+AH$5)-PERMANENT_FIELD_LABOR_HOURS)&gt;TEMP_HOURS_CAP),"",$C99+AH$6-MIN(($D99+AH$5),PERMANENT_FIELD_LABOR_HOURS)*PERMANENT_HOURLY_RATE-MAX(0,($D99+AH$5)-PERMANENT_FIELD_LABOR_HOURS)*TEMP_HOURLY_RATE-FIXED_SEASON_COST)</f>
        <v>17264.1719930951</v>
      </c>
      <c r="AI99" s="53" t="n">
        <f aca="false">IF(OR($A99&gt;TOMATO_BED_CAP,$B99&gt;CARROT_BED_CAP,AI$4&gt;MESCLUN_BED_CAP,$A99+$B99+AI$4&gt;TOTAL_BEDS_AVAILABLE,($D99+AI$5)&gt;TOTAL_LABOR_HOURS_CAP,MAX(0,($D99+AI$5)-PERMANENT_FIELD_LABOR_HOURS)&gt;TEMP_HOURS_CAP),"",$C99+AI$6-MIN(($D99+AI$5),PERMANENT_FIELD_LABOR_HOURS)*PERMANENT_HOURLY_RATE-MAX(0,($D99+AI$5)-PERMANENT_FIELD_LABOR_HOURS)*TEMP_HOURLY_RATE-FIXED_SEASON_COST)</f>
        <v>17577.0110250074</v>
      </c>
      <c r="AJ99" s="53" t="n">
        <f aca="false">IF(OR($A99&gt;TOMATO_BED_CAP,$B99&gt;CARROT_BED_CAP,AJ$4&gt;MESCLUN_BED_CAP,$A99+$B99+AJ$4&gt;TOTAL_BEDS_AVAILABLE,($D99+AJ$5)&gt;TOTAL_LABOR_HOURS_CAP,MAX(0,($D99+AJ$5)-PERMANENT_FIELD_LABOR_HOURS)&gt;TEMP_HOURS_CAP),"",$C99+AJ$6-MIN(($D99+AJ$5),PERMANENT_FIELD_LABOR_HOURS)*PERMANENT_HOURLY_RATE-MAX(0,($D99+AJ$5)-PERMANENT_FIELD_LABOR_HOURS)*TEMP_HOURLY_RATE-FIXED_SEASON_COST)</f>
        <v>17857.0105404131</v>
      </c>
    </row>
    <row r="100" customFormat="false" ht="15" hidden="false" customHeight="false" outlineLevel="0" collapsed="false">
      <c r="A100" s="21" t="n">
        <f aca="false">INT((ROW()-ROW($A$8))/(20+1))</f>
        <v>4</v>
      </c>
      <c r="B100" s="21" t="n">
        <f aca="false">MOD(ROW()-ROW($A$8),20+1)</f>
        <v>8</v>
      </c>
      <c r="C100" s="13" t="n">
        <f aca="false">A100*(TOMATO_REVENUE_PER_BED-TOMATO_FERTILIZER_PER_BED)+B100*(CARROT_REVENUE_PER_BED-CARROT_FERTILIZER_PER_BED)</f>
        <v>44912</v>
      </c>
      <c r="D100" s="14" t="n">
        <f aca="false">INDEX(TOMATO_SCHED_LABOR_HRS,A100+1)+INDEX(CARROT_SCHED_LABOR_HRS,B100+1)</f>
        <v>819.375728724219</v>
      </c>
      <c r="E100" s="13" t="n">
        <f aca="false">IF(COUNT(F100:AJ100)=0,"",MAX(F100:AJ100))</f>
        <v>18768.4266442201</v>
      </c>
      <c r="F100" s="53" t="n">
        <f aca="false">IF(OR($A100&gt;TOMATO_BED_CAP,$B100&gt;CARROT_BED_CAP,F$4&gt;MESCLUN_BED_CAP,$A100+$B100+F$4&gt;TOTAL_BEDS_AVAILABLE,($D100+F$5)&gt;TOTAL_LABOR_HOURS_CAP,MAX(0,($D100+F$5)-PERMANENT_FIELD_LABOR_HOURS)&gt;TEMP_HOURS_CAP),"",$C100+F$6-MIN(($D100+F$5),PERMANENT_FIELD_LABOR_HOURS)*PERMANENT_HOURLY_RATE-MAX(0,($D100+F$5)-PERMANENT_FIELD_LABOR_HOURS)*TEMP_HOURLY_RATE-FIXED_SEASON_COST)</f>
        <v>-1811.56265065244</v>
      </c>
      <c r="G100" s="53" t="n">
        <f aca="false">IF(OR($A100&gt;TOMATO_BED_CAP,$B100&gt;CARROT_BED_CAP,G$4&gt;MESCLUN_BED_CAP,$A100+$B100+G$4&gt;TOTAL_BEDS_AVAILABLE,($D100+G$5)&gt;TOTAL_LABOR_HOURS_CAP,MAX(0,($D100+G$5)-PERMANENT_FIELD_LABOR_HOURS)&gt;TEMP_HOURS_CAP),"",$C100+G$6-MIN(($D100+G$5),PERMANENT_FIELD_LABOR_HOURS)*PERMANENT_HOURLY_RATE-MAX(0,($D100+G$5)-PERMANENT_FIELD_LABOR_HOURS)*TEMP_HOURLY_RATE-FIXED_SEASON_COST)</f>
        <v>-782.527650652442</v>
      </c>
      <c r="H100" s="53" t="n">
        <f aca="false">IF(OR($A100&gt;TOMATO_BED_CAP,$B100&gt;CARROT_BED_CAP,H$4&gt;MESCLUN_BED_CAP,$A100+$B100+H$4&gt;TOTAL_BEDS_AVAILABLE,($D100+H$5)&gt;TOTAL_LABOR_HOURS_CAP,MAX(0,($D100+H$5)-PERMANENT_FIELD_LABOR_HOURS)&gt;TEMP_HOURS_CAP),"",$C100+H$6-MIN(($D100+H$5),PERMANENT_FIELD_LABOR_HOURS)*PERMANENT_HOURLY_RATE-MAX(0,($D100+H$5)-PERMANENT_FIELD_LABOR_HOURS)*TEMP_HOURLY_RATE-FIXED_SEASON_COST)</f>
        <v>226.733224347554</v>
      </c>
      <c r="I100" s="53" t="n">
        <f aca="false">IF(OR($A100&gt;TOMATO_BED_CAP,$B100&gt;CARROT_BED_CAP,I$4&gt;MESCLUN_BED_CAP,$A100+$B100+I$4&gt;TOTAL_BEDS_AVAILABLE,($D100+I$5)&gt;TOTAL_LABOR_HOURS_CAP,MAX(0,($D100+I$5)-PERMANENT_FIELD_LABOR_HOURS)&gt;TEMP_HOURS_CAP),"",$C100+I$6-MIN(($D100+I$5),PERMANENT_FIELD_LABOR_HOURS)*PERMANENT_HOURLY_RATE-MAX(0,($D100+I$5)-PERMANENT_FIELD_LABOR_HOURS)*TEMP_HOURLY_RATE-FIXED_SEASON_COST)</f>
        <v>1215.84920950381</v>
      </c>
      <c r="J100" s="53" t="n">
        <f aca="false">IF(OR($A100&gt;TOMATO_BED_CAP,$B100&gt;CARROT_BED_CAP,J$4&gt;MESCLUN_BED_CAP,$A100+$B100+J$4&gt;TOTAL_BEDS_AVAILABLE,($D100+J$5)&gt;TOTAL_LABOR_HOURS_CAP,MAX(0,($D100+J$5)-PERMANENT_FIELD_LABOR_HOURS)&gt;TEMP_HOURS_CAP),"",$C100+J$6-MIN(($D100+J$5),PERMANENT_FIELD_LABOR_HOURS)*PERMANENT_HOURLY_RATE-MAX(0,($D100+J$5)-PERMANENT_FIELD_LABOR_HOURS)*TEMP_HOURLY_RATE-FIXED_SEASON_COST)</f>
        <v>2184.4433605585</v>
      </c>
      <c r="K100" s="53" t="n">
        <f aca="false">IF(OR($A100&gt;TOMATO_BED_CAP,$B100&gt;CARROT_BED_CAP,K$4&gt;MESCLUN_BED_CAP,$A100+$B100+K$4&gt;TOTAL_BEDS_AVAILABLE,($D100+K$5)&gt;TOTAL_LABOR_HOURS_CAP,MAX(0,($D100+K$5)-PERMANENT_FIELD_LABOR_HOURS)&gt;TEMP_HOURS_CAP),"",$C100+K$6-MIN(($D100+K$5),PERMANENT_FIELD_LABOR_HOURS)*PERMANENT_HOURLY_RATE-MAX(0,($D100+K$5)-PERMANENT_FIELD_LABOR_HOURS)*TEMP_HOURLY_RATE-FIXED_SEASON_COST)</f>
        <v>3132.1324572864</v>
      </c>
      <c r="L100" s="53" t="n">
        <f aca="false">IF(OR($A100&gt;TOMATO_BED_CAP,$B100&gt;CARROT_BED_CAP,L$4&gt;MESCLUN_BED_CAP,$A100+$B100+L$4&gt;TOTAL_BEDS_AVAILABLE,($D100+L$5)&gt;TOTAL_LABOR_HOURS_CAP,MAX(0,($D100+L$5)-PERMANENT_FIELD_LABOR_HOURS)&gt;TEMP_HOURS_CAP),"",$C100+L$6-MIN(($D100+L$5),PERMANENT_FIELD_LABOR_HOURS)*PERMANENT_HOURLY_RATE-MAX(0,($D100+L$5)-PERMANENT_FIELD_LABOR_HOURS)*TEMP_HOURLY_RATE-FIXED_SEASON_COST)</f>
        <v>4058.52690549325</v>
      </c>
      <c r="M100" s="53" t="n">
        <f aca="false">IF(OR($A100&gt;TOMATO_BED_CAP,$B100&gt;CARROT_BED_CAP,M$4&gt;MESCLUN_BED_CAP,$A100+$B100+M$4&gt;TOTAL_BEDS_AVAILABLE,($D100+M$5)&gt;TOTAL_LABOR_HOURS_CAP,MAX(0,($D100+M$5)-PERMANENT_FIELD_LABOR_HOURS)&gt;TEMP_HOURS_CAP),"",$C100+M$6-MIN(($D100+M$5),PERMANENT_FIELD_LABOR_HOURS)*PERMANENT_HOURLY_RATE-MAX(0,($D100+M$5)-PERMANENT_FIELD_LABOR_HOURS)*TEMP_HOURLY_RATE-FIXED_SEASON_COST)</f>
        <v>4963.23063754466</v>
      </c>
      <c r="N100" s="53" t="n">
        <f aca="false">IF(OR($A100&gt;TOMATO_BED_CAP,$B100&gt;CARROT_BED_CAP,N$4&gt;MESCLUN_BED_CAP,$A100+$B100+N$4&gt;TOTAL_BEDS_AVAILABLE,($D100+N$5)&gt;TOTAL_LABOR_HOURS_CAP,MAX(0,($D100+N$5)-PERMANENT_FIELD_LABOR_HOURS)&gt;TEMP_HOURS_CAP),"",$C100+N$6-MIN(($D100+N$5),PERMANENT_FIELD_LABOR_HOURS)*PERMANENT_HOURLY_RATE-MAX(0,($D100+N$5)-PERMANENT_FIELD_LABOR_HOURS)*TEMP_HOURLY_RATE-FIXED_SEASON_COST)</f>
        <v>5845.84101140421</v>
      </c>
      <c r="O100" s="53" t="n">
        <f aca="false">IF(OR($A100&gt;TOMATO_BED_CAP,$B100&gt;CARROT_BED_CAP,O$4&gt;MESCLUN_BED_CAP,$A100+$B100+O$4&gt;TOTAL_BEDS_AVAILABLE,($D100+O$5)&gt;TOTAL_LABOR_HOURS_CAP,MAX(0,($D100+O$5)-PERMANENT_FIELD_LABOR_HOURS)&gt;TEMP_HOURS_CAP),"",$C100+O$6-MIN(($D100+O$5),PERMANENT_FIELD_LABOR_HOURS)*PERMANENT_HOURLY_RATE-MAX(0,($D100+O$5)-PERMANENT_FIELD_LABOR_HOURS)*TEMP_HOURLY_RATE-FIXED_SEASON_COST)</f>
        <v>6705.94870815896</v>
      </c>
      <c r="P100" s="53" t="n">
        <f aca="false">IF(OR($A100&gt;TOMATO_BED_CAP,$B100&gt;CARROT_BED_CAP,P$4&gt;MESCLUN_BED_CAP,$A100+$B100+P$4&gt;TOTAL_BEDS_AVAILABLE,($D100+P$5)&gt;TOTAL_LABOR_HOURS_CAP,MAX(0,($D100+P$5)-PERMANENT_FIELD_LABOR_HOURS)&gt;TEMP_HOURS_CAP),"",$C100+P$6-MIN(($D100+P$5),PERMANENT_FIELD_LABOR_HOURS)*PERMANENT_HOURLY_RATE-MAX(0,($D100+P$5)-PERMANENT_FIELD_LABOR_HOURS)*TEMP_HOURLY_RATE-FIXED_SEASON_COST)</f>
        <v>7543.13762801039</v>
      </c>
      <c r="Q100" s="53" t="n">
        <f aca="false">IF(OR($A100&gt;TOMATO_BED_CAP,$B100&gt;CARROT_BED_CAP,Q$4&gt;MESCLUN_BED_CAP,$A100+$B100+Q$4&gt;TOTAL_BEDS_AVAILABLE,($D100+Q$5)&gt;TOTAL_LABOR_HOURS_CAP,MAX(0,($D100+Q$5)-PERMANENT_FIELD_LABOR_HOURS)&gt;TEMP_HOURS_CAP),"",$C100+Q$6-MIN(($D100+Q$5),PERMANENT_FIELD_LABOR_HOURS)*PERMANENT_HOURLY_RATE-MAX(0,($D100+Q$5)-PERMANENT_FIELD_LABOR_HOURS)*TEMP_HOURLY_RATE-FIXED_SEASON_COST)</f>
        <v>8356.98478470829</v>
      </c>
      <c r="R100" s="53" t="n">
        <f aca="false">IF(OR($A100&gt;TOMATO_BED_CAP,$B100&gt;CARROT_BED_CAP,R$4&gt;MESCLUN_BED_CAP,$A100+$B100+R$4&gt;TOTAL_BEDS_AVAILABLE,($D100+R$5)&gt;TOTAL_LABOR_HOURS_CAP,MAX(0,($D100+R$5)-PERMANENT_FIELD_LABOR_HOURS)&gt;TEMP_HOURS_CAP),"",$C100+R$6-MIN(($D100+R$5),PERMANENT_FIELD_LABOR_HOURS)*PERMANENT_HOURLY_RATE-MAX(0,($D100+R$5)-PERMANENT_FIELD_LABOR_HOURS)*TEMP_HOURLY_RATE-FIXED_SEASON_COST)</f>
        <v>9147.06019840509</v>
      </c>
      <c r="S100" s="53" t="n">
        <f aca="false">IF(OR($A100&gt;TOMATO_BED_CAP,$B100&gt;CARROT_BED_CAP,S$4&gt;MESCLUN_BED_CAP,$A100+$B100+S$4&gt;TOTAL_BEDS_AVAILABLE,($D100+S$5)&gt;TOTAL_LABOR_HOURS_CAP,MAX(0,($D100+S$5)-PERMANENT_FIELD_LABOR_HOURS)&gt;TEMP_HOURS_CAP),"",$C100+S$6-MIN(($D100+S$5),PERMANENT_FIELD_LABOR_HOURS)*PERMANENT_HOURLY_RATE-MAX(0,($D100+S$5)-PERMANENT_FIELD_LABOR_HOURS)*TEMP_HOURLY_RATE-FIXED_SEASON_COST)</f>
        <v>9912.92678690753</v>
      </c>
      <c r="T100" s="53" t="n">
        <f aca="false">IF(OR($A100&gt;TOMATO_BED_CAP,$B100&gt;CARROT_BED_CAP,T$4&gt;MESCLUN_BED_CAP,$A100+$B100+T$4&gt;TOTAL_BEDS_AVAILABLE,($D100+T$5)&gt;TOTAL_LABOR_HOURS_CAP,MAX(0,($D100+T$5)-PERMANENT_FIELD_LABOR_HOURS)&gt;TEMP_HOURS_CAP),"",$C100+T$6-MIN(($D100+T$5),PERMANENT_FIELD_LABOR_HOURS)*PERMANENT_HOURLY_RATE-MAX(0,($D100+T$5)-PERMANENT_FIELD_LABOR_HOURS)*TEMP_HOURLY_RATE-FIXED_SEASON_COST)</f>
        <v>10654.1402553024</v>
      </c>
      <c r="U100" s="53" t="n">
        <f aca="false">IF(OR($A100&gt;TOMATO_BED_CAP,$B100&gt;CARROT_BED_CAP,U$4&gt;MESCLUN_BED_CAP,$A100+$B100+U$4&gt;TOTAL_BEDS_AVAILABLE,($D100+U$5)&gt;TOTAL_LABOR_HOURS_CAP,MAX(0,($D100+U$5)-PERMANENT_FIELD_LABOR_HOURS)&gt;TEMP_HOURS_CAP),"",$C100+U$6-MIN(($D100+U$5),PERMANENT_FIELD_LABOR_HOURS)*PERMANENT_HOURLY_RATE-MAX(0,($D100+U$5)-PERMANENT_FIELD_LABOR_HOURS)*TEMP_HOURLY_RATE-FIXED_SEASON_COST)</f>
        <v>11370.2489839325</v>
      </c>
      <c r="V100" s="53" t="n">
        <f aca="false">IF(OR($A100&gt;TOMATO_BED_CAP,$B100&gt;CARROT_BED_CAP,V$4&gt;MESCLUN_BED_CAP,$A100+$B100+V$4&gt;TOTAL_BEDS_AVAILABLE,($D100+V$5)&gt;TOTAL_LABOR_HOURS_CAP,MAX(0,($D100+V$5)-PERMANENT_FIELD_LABOR_HOURS)&gt;TEMP_HOURS_CAP),"",$C100+V$6-MIN(($D100+V$5),PERMANENT_FIELD_LABOR_HOURS)*PERMANENT_HOURLY_RATE-MAX(0,($D100+V$5)-PERMANENT_FIELD_LABOR_HOURS)*TEMP_HOURLY_RATE-FIXED_SEASON_COST)</f>
        <v>12060.7939146993</v>
      </c>
      <c r="W100" s="53" t="n">
        <f aca="false">IF(OR($A100&gt;TOMATO_BED_CAP,$B100&gt;CARROT_BED_CAP,W$4&gt;MESCLUN_BED_CAP,$A100+$B100+W$4&gt;TOTAL_BEDS_AVAILABLE,($D100+W$5)&gt;TOTAL_LABOR_HOURS_CAP,MAX(0,($D100+W$5)-PERMANENT_FIELD_LABOR_HOURS)&gt;TEMP_HOURS_CAP),"",$C100+W$6-MIN(($D100+W$5),PERMANENT_FIELD_LABOR_HOURS)*PERMANENT_HOURLY_RATE-MAX(0,($D100+W$5)-PERMANENT_FIELD_LABOR_HOURS)*TEMP_HOURLY_RATE-FIXED_SEASON_COST)</f>
        <v>12725.3084356673</v>
      </c>
      <c r="X100" s="53" t="n">
        <f aca="false">IF(OR($A100&gt;TOMATO_BED_CAP,$B100&gt;CARROT_BED_CAP,X$4&gt;MESCLUN_BED_CAP,$A100+$B100+X$4&gt;TOTAL_BEDS_AVAILABLE,($D100+X$5)&gt;TOTAL_LABOR_HOURS_CAP,MAX(0,($D100+X$5)-PERMANENT_FIELD_LABOR_HOURS)&gt;TEMP_HOURS_CAP),"",$C100+X$6-MIN(($D100+X$5),PERMANENT_FIELD_LABOR_HOURS)*PERMANENT_HOURLY_RATE-MAX(0,($D100+X$5)-PERMANENT_FIELD_LABOR_HOURS)*TEMP_HOURLY_RATE-FIXED_SEASON_COST)</f>
        <v>13363.3182639463</v>
      </c>
      <c r="Y100" s="53" t="n">
        <f aca="false">IF(OR($A100&gt;TOMATO_BED_CAP,$B100&gt;CARROT_BED_CAP,Y$4&gt;MESCLUN_BED_CAP,$A100+$B100+Y$4&gt;TOTAL_BEDS_AVAILABLE,($D100+Y$5)&gt;TOTAL_LABOR_HOURS_CAP,MAX(0,($D100+Y$5)-PERMANENT_FIELD_LABOR_HOURS)&gt;TEMP_HOURS_CAP),"",$C100+Y$6-MIN(($D100+Y$5),PERMANENT_FIELD_LABOR_HOURS)*PERMANENT_HOURLY_RATE-MAX(0,($D100+Y$5)-PERMANENT_FIELD_LABOR_HOURS)*TEMP_HOURLY_RATE-FIXED_SEASON_COST)</f>
        <v>13974.3413268249</v>
      </c>
      <c r="Z100" s="53" t="n">
        <f aca="false">IF(OR($A100&gt;TOMATO_BED_CAP,$B100&gt;CARROT_BED_CAP,Z$4&gt;MESCLUN_BED_CAP,$A100+$B100+Z$4&gt;TOTAL_BEDS_AVAILABLE,($D100+Z$5)&gt;TOTAL_LABOR_HOURS_CAP,MAX(0,($D100+Z$5)-PERMANENT_FIELD_LABOR_HOURS)&gt;TEMP_HOURS_CAP),"",$C100+Z$6-MIN(($D100+Z$5),PERMANENT_FIELD_LABOR_HOURS)*PERMANENT_HOURLY_RATE-MAX(0,($D100+Z$5)-PERMANENT_FIELD_LABOR_HOURS)*TEMP_HOURLY_RATE-FIXED_SEASON_COST)</f>
        <v>14557.8876411326</v>
      </c>
      <c r="AA100" s="53" t="n">
        <f aca="false">IF(OR($A100&gt;TOMATO_BED_CAP,$B100&gt;CARROT_BED_CAP,AA$4&gt;MESCLUN_BED_CAP,$A100+$B100+AA$4&gt;TOTAL_BEDS_AVAILABLE,($D100+AA$5)&gt;TOTAL_LABOR_HOURS_CAP,MAX(0,($D100+AA$5)-PERMANENT_FIELD_LABOR_HOURS)&gt;TEMP_HOURS_CAP),"",$C100+AA$6-MIN(($D100+AA$5),PERMANENT_FIELD_LABOR_HOURS)*PERMANENT_HOURLY_RATE-MAX(0,($D100+AA$5)-PERMANENT_FIELD_LABOR_HOURS)*TEMP_HOURLY_RATE-FIXED_SEASON_COST)</f>
        <v>15113.4591908016</v>
      </c>
      <c r="AB100" s="53" t="n">
        <f aca="false">IF(OR($A100&gt;TOMATO_BED_CAP,$B100&gt;CARROT_BED_CAP,AB$4&gt;MESCLUN_BED_CAP,$A100+$B100+AB$4&gt;TOTAL_BEDS_AVAILABLE,($D100+AB$5)&gt;TOTAL_LABOR_HOURS_CAP,MAX(0,($D100+AB$5)-PERMANENT_FIELD_LABOR_HOURS)&gt;TEMP_HOURS_CAP),"",$C100+AB$6-MIN(($D100+AB$5),PERMANENT_FIELD_LABOR_HOURS)*PERMANENT_HOURLY_RATE-MAX(0,($D100+AB$5)-PERMANENT_FIELD_LABOR_HOURS)*TEMP_HOURLY_RATE-FIXED_SEASON_COST)</f>
        <v>15640.5498026041</v>
      </c>
      <c r="AC100" s="53" t="n">
        <f aca="false">IF(OR($A100&gt;TOMATO_BED_CAP,$B100&gt;CARROT_BED_CAP,AC$4&gt;MESCLUN_BED_CAP,$A100+$B100+AC$4&gt;TOTAL_BEDS_AVAILABLE,($D100+AC$5)&gt;TOTAL_LABOR_HOURS_CAP,MAX(0,($D100+AC$5)-PERMANENT_FIELD_LABOR_HOURS)&gt;TEMP_HOURS_CAP),"",$C100+AC$6-MIN(($D100+AC$5),PERMANENT_FIELD_LABOR_HOURS)*PERMANENT_HOURLY_RATE-MAX(0,($D100+AC$5)-PERMANENT_FIELD_LABOR_HOURS)*TEMP_HOURLY_RATE-FIXED_SEASON_COST)</f>
        <v>16138.645020039</v>
      </c>
      <c r="AD100" s="53" t="n">
        <f aca="false">IF(OR($A100&gt;TOMATO_BED_CAP,$B100&gt;CARROT_BED_CAP,AD$4&gt;MESCLUN_BED_CAP,$A100+$B100+AD$4&gt;TOTAL_BEDS_AVAILABLE,($D100+AD$5)&gt;TOTAL_LABOR_HOURS_CAP,MAX(0,($D100+AD$5)-PERMANENT_FIELD_LABOR_HOURS)&gt;TEMP_HOURS_CAP),"",$C100+AD$6-MIN(($D100+AD$5),PERMANENT_FIELD_LABOR_HOURS)*PERMANENT_HOURLY_RATE-MAX(0,($D100+AD$5)-PERMANENT_FIELD_LABOR_HOURS)*TEMP_HOURLY_RATE-FIXED_SEASON_COST)</f>
        <v>16607.221975339</v>
      </c>
      <c r="AE100" s="53" t="n">
        <f aca="false">IF(OR($A100&gt;TOMATO_BED_CAP,$B100&gt;CARROT_BED_CAP,AE$4&gt;MESCLUN_BED_CAP,$A100+$B100+AE$4&gt;TOTAL_BEDS_AVAILABLE,($D100+AE$5)&gt;TOTAL_LABOR_HOURS_CAP,MAX(0,($D100+AE$5)-PERMANENT_FIELD_LABOR_HOURS)&gt;TEMP_HOURS_CAP),"",$C100+AE$6-MIN(($D100+AE$5),PERMANENT_FIELD_LABOR_HOURS)*PERMANENT_HOURLY_RATE-MAX(0,($D100+AE$5)-PERMANENT_FIELD_LABOR_HOURS)*TEMP_HOURLY_RATE-FIXED_SEASON_COST)</f>
        <v>17045.7492595729</v>
      </c>
      <c r="AF100" s="53" t="n">
        <f aca="false">IF(OR($A100&gt;TOMATO_BED_CAP,$B100&gt;CARROT_BED_CAP,AF$4&gt;MESCLUN_BED_CAP,$A100+$B100+AF$4&gt;TOTAL_BEDS_AVAILABLE,($D100+AF$5)&gt;TOTAL_LABOR_HOURS_CAP,MAX(0,($D100+AF$5)-PERMANENT_FIELD_LABOR_HOURS)&gt;TEMP_HOURS_CAP),"",$C100+AF$6-MIN(($D100+AF$5),PERMANENT_FIELD_LABOR_HOURS)*PERMANENT_HOURLY_RATE-MAX(0,($D100+AF$5)-PERMANENT_FIELD_LABOR_HOURS)*TEMP_HOURLY_RATE-FIXED_SEASON_COST)</f>
        <v>17453.6867908148</v>
      </c>
      <c r="AG100" s="53" t="n">
        <f aca="false">IF(OR($A100&gt;TOMATO_BED_CAP,$B100&gt;CARROT_BED_CAP,AG$4&gt;MESCLUN_BED_CAP,$A100+$B100+AG$4&gt;TOTAL_BEDS_AVAILABLE,($D100+AG$5)&gt;TOTAL_LABOR_HOURS_CAP,MAX(0,($D100+AG$5)-PERMANENT_FIELD_LABOR_HOURS)&gt;TEMP_HOURS_CAP),"",$C100+AG$6-MIN(($D100+AG$5),PERMANENT_FIELD_LABOR_HOURS)*PERMANENT_HOURLY_RATE-MAX(0,($D100+AG$5)-PERMANENT_FIELD_LABOR_HOURS)*TEMP_HOURLY_RATE-FIXED_SEASON_COST)</f>
        <v>17830.4856803519</v>
      </c>
      <c r="AH100" s="53" t="n">
        <f aca="false">IF(OR($A100&gt;TOMATO_BED_CAP,$B100&gt;CARROT_BED_CAP,AH$4&gt;MESCLUN_BED_CAP,$A100+$B100+AH$4&gt;TOTAL_BEDS_AVAILABLE,($D100+AH$5)&gt;TOTAL_LABOR_HOURS_CAP,MAX(0,($D100+AH$5)-PERMANENT_FIELD_LABOR_HOURS)&gt;TEMP_HOURS_CAP),"",$C100+AH$6-MIN(($D100+AH$5),PERMANENT_FIELD_LABOR_HOURS)*PERMANENT_HOURLY_RATE-MAX(0,($D100+AH$5)-PERMANENT_FIELD_LABOR_HOURS)*TEMP_HOURLY_RATE-FIXED_SEASON_COST)</f>
        <v>18175.5880969021</v>
      </c>
      <c r="AI100" s="53" t="n">
        <f aca="false">IF(OR($A100&gt;TOMATO_BED_CAP,$B100&gt;CARROT_BED_CAP,AI$4&gt;MESCLUN_BED_CAP,$A100+$B100+AI$4&gt;TOTAL_BEDS_AVAILABLE,($D100+AI$5)&gt;TOTAL_LABOR_HOURS_CAP,MAX(0,($D100+AI$5)-PERMANENT_FIELD_LABOR_HOURS)&gt;TEMP_HOURS_CAP),"",$C100+AI$6-MIN(($D100+AI$5),PERMANENT_FIELD_LABOR_HOURS)*PERMANENT_HOURLY_RATE-MAX(0,($D100+AI$5)-PERMANENT_FIELD_LABOR_HOURS)*TEMP_HOURLY_RATE-FIXED_SEASON_COST)</f>
        <v>18488.4271288143</v>
      </c>
      <c r="AJ100" s="53" t="n">
        <f aca="false">IF(OR($A100&gt;TOMATO_BED_CAP,$B100&gt;CARROT_BED_CAP,AJ$4&gt;MESCLUN_BED_CAP,$A100+$B100+AJ$4&gt;TOTAL_BEDS_AVAILABLE,($D100+AJ$5)&gt;TOTAL_LABOR_HOURS_CAP,MAX(0,($D100+AJ$5)-PERMANENT_FIELD_LABOR_HOURS)&gt;TEMP_HOURS_CAP),"",$C100+AJ$6-MIN(($D100+AJ$5),PERMANENT_FIELD_LABOR_HOURS)*PERMANENT_HOURLY_RATE-MAX(0,($D100+AJ$5)-PERMANENT_FIELD_LABOR_HOURS)*TEMP_HOURLY_RATE-FIXED_SEASON_COST)</f>
        <v>18768.4266442201</v>
      </c>
    </row>
    <row r="101" customFormat="false" ht="15" hidden="false" customHeight="false" outlineLevel="0" collapsed="false">
      <c r="A101" s="21" t="n">
        <f aca="false">INT((ROW()-ROW($A$8))/(20+1))</f>
        <v>4</v>
      </c>
      <c r="B101" s="21" t="n">
        <f aca="false">MOD(ROW()-ROW($A$8),20+1)</f>
        <v>9</v>
      </c>
      <c r="C101" s="13" t="n">
        <f aca="false">A101*(TOMATO_REVENUE_PER_BED-TOMATO_FERTILIZER_PER_BED)+B101*(CARROT_REVENUE_PER_BED-CARROT_FERTILIZER_PER_BED)</f>
        <v>46566</v>
      </c>
      <c r="D101" s="14" t="n">
        <f aca="false">INDEX(TOMATO_SCHED_LABOR_HRS,A101+1)+INDEX(CARROT_SCHED_LABOR_HRS,B101+1)</f>
        <v>864.134124685116</v>
      </c>
      <c r="E101" s="13" t="n">
        <f aca="false">IF(COUNT(F101:AJ101)=0,"",MAX(F101:AJ101))</f>
        <v>19645.4208903389</v>
      </c>
      <c r="F101" s="53" t="n">
        <f aca="false">IF(OR($A101&gt;TOMATO_BED_CAP,$B101&gt;CARROT_BED_CAP,F$4&gt;MESCLUN_BED_CAP,$A101+$B101+F$4&gt;TOTAL_BEDS_AVAILABLE,($D101+F$5)&gt;TOTAL_LABOR_HOURS_CAP,MAX(0,($D101+F$5)-PERMANENT_FIELD_LABOR_HOURS)&gt;TEMP_HOURS_CAP),"",$C101+F$6-MIN(($D101+F$5),PERMANENT_FIELD_LABOR_HOURS)*PERMANENT_HOURLY_RATE-MAX(0,($D101+F$5)-PERMANENT_FIELD_LABOR_HOURS)*TEMP_HOURLY_RATE-FIXED_SEASON_COST)</f>
        <v>-934.568404533602</v>
      </c>
      <c r="G101" s="53" t="n">
        <f aca="false">IF(OR($A101&gt;TOMATO_BED_CAP,$B101&gt;CARROT_BED_CAP,G$4&gt;MESCLUN_BED_CAP,$A101+$B101+G$4&gt;TOTAL_BEDS_AVAILABLE,($D101+G$5)&gt;TOTAL_LABOR_HOURS_CAP,MAX(0,($D101+G$5)-PERMANENT_FIELD_LABOR_HOURS)&gt;TEMP_HOURS_CAP),"",$C101+G$6-MIN(($D101+G$5),PERMANENT_FIELD_LABOR_HOURS)*PERMANENT_HOURLY_RATE-MAX(0,($D101+G$5)-PERMANENT_FIELD_LABOR_HOURS)*TEMP_HOURLY_RATE-FIXED_SEASON_COST)</f>
        <v>94.4665954663979</v>
      </c>
      <c r="H101" s="53" t="n">
        <f aca="false">IF(OR($A101&gt;TOMATO_BED_CAP,$B101&gt;CARROT_BED_CAP,H$4&gt;MESCLUN_BED_CAP,$A101+$B101+H$4&gt;TOTAL_BEDS_AVAILABLE,($D101+H$5)&gt;TOTAL_LABOR_HOURS_CAP,MAX(0,($D101+H$5)-PERMANENT_FIELD_LABOR_HOURS)&gt;TEMP_HOURS_CAP),"",$C101+H$6-MIN(($D101+H$5),PERMANENT_FIELD_LABOR_HOURS)*PERMANENT_HOURLY_RATE-MAX(0,($D101+H$5)-PERMANENT_FIELD_LABOR_HOURS)*TEMP_HOURLY_RATE-FIXED_SEASON_COST)</f>
        <v>1103.7274704664</v>
      </c>
      <c r="I101" s="53" t="n">
        <f aca="false">IF(OR($A101&gt;TOMATO_BED_CAP,$B101&gt;CARROT_BED_CAP,I$4&gt;MESCLUN_BED_CAP,$A101+$B101+I$4&gt;TOTAL_BEDS_AVAILABLE,($D101+I$5)&gt;TOTAL_LABOR_HOURS_CAP,MAX(0,($D101+I$5)-PERMANENT_FIELD_LABOR_HOURS)&gt;TEMP_HOURS_CAP),"",$C101+I$6-MIN(($D101+I$5),PERMANENT_FIELD_LABOR_HOURS)*PERMANENT_HOURLY_RATE-MAX(0,($D101+I$5)-PERMANENT_FIELD_LABOR_HOURS)*TEMP_HOURLY_RATE-FIXED_SEASON_COST)</f>
        <v>2092.84345562265</v>
      </c>
      <c r="J101" s="53" t="n">
        <f aca="false">IF(OR($A101&gt;TOMATO_BED_CAP,$B101&gt;CARROT_BED_CAP,J$4&gt;MESCLUN_BED_CAP,$A101+$B101+J$4&gt;TOTAL_BEDS_AVAILABLE,($D101+J$5)&gt;TOTAL_LABOR_HOURS_CAP,MAX(0,($D101+J$5)-PERMANENT_FIELD_LABOR_HOURS)&gt;TEMP_HOURS_CAP),"",$C101+J$6-MIN(($D101+J$5),PERMANENT_FIELD_LABOR_HOURS)*PERMANENT_HOURLY_RATE-MAX(0,($D101+J$5)-PERMANENT_FIELD_LABOR_HOURS)*TEMP_HOURLY_RATE-FIXED_SEASON_COST)</f>
        <v>3061.43760667733</v>
      </c>
      <c r="K101" s="53" t="n">
        <f aca="false">IF(OR($A101&gt;TOMATO_BED_CAP,$B101&gt;CARROT_BED_CAP,K$4&gt;MESCLUN_BED_CAP,$A101+$B101+K$4&gt;TOTAL_BEDS_AVAILABLE,($D101+K$5)&gt;TOTAL_LABOR_HOURS_CAP,MAX(0,($D101+K$5)-PERMANENT_FIELD_LABOR_HOURS)&gt;TEMP_HOURS_CAP),"",$C101+K$6-MIN(($D101+K$5),PERMANENT_FIELD_LABOR_HOURS)*PERMANENT_HOURLY_RATE-MAX(0,($D101+K$5)-PERMANENT_FIELD_LABOR_HOURS)*TEMP_HOURLY_RATE-FIXED_SEASON_COST)</f>
        <v>4009.12670340524</v>
      </c>
      <c r="L101" s="53" t="n">
        <f aca="false">IF(OR($A101&gt;TOMATO_BED_CAP,$B101&gt;CARROT_BED_CAP,L$4&gt;MESCLUN_BED_CAP,$A101+$B101+L$4&gt;TOTAL_BEDS_AVAILABLE,($D101+L$5)&gt;TOTAL_LABOR_HOURS_CAP,MAX(0,($D101+L$5)-PERMANENT_FIELD_LABOR_HOURS)&gt;TEMP_HOURS_CAP),"",$C101+L$6-MIN(($D101+L$5),PERMANENT_FIELD_LABOR_HOURS)*PERMANENT_HOURLY_RATE-MAX(0,($D101+L$5)-PERMANENT_FIELD_LABOR_HOURS)*TEMP_HOURLY_RATE-FIXED_SEASON_COST)</f>
        <v>4935.52115161209</v>
      </c>
      <c r="M101" s="53" t="n">
        <f aca="false">IF(OR($A101&gt;TOMATO_BED_CAP,$B101&gt;CARROT_BED_CAP,M$4&gt;MESCLUN_BED_CAP,$A101+$B101+M$4&gt;TOTAL_BEDS_AVAILABLE,($D101+M$5)&gt;TOTAL_LABOR_HOURS_CAP,MAX(0,($D101+M$5)-PERMANENT_FIELD_LABOR_HOURS)&gt;TEMP_HOURS_CAP),"",$C101+M$6-MIN(($D101+M$5),PERMANENT_FIELD_LABOR_HOURS)*PERMANENT_HOURLY_RATE-MAX(0,($D101+M$5)-PERMANENT_FIELD_LABOR_HOURS)*TEMP_HOURLY_RATE-FIXED_SEASON_COST)</f>
        <v>5840.2248836635</v>
      </c>
      <c r="N101" s="53" t="n">
        <f aca="false">IF(OR($A101&gt;TOMATO_BED_CAP,$B101&gt;CARROT_BED_CAP,N$4&gt;MESCLUN_BED_CAP,$A101+$B101+N$4&gt;TOTAL_BEDS_AVAILABLE,($D101+N$5)&gt;TOTAL_LABOR_HOURS_CAP,MAX(0,($D101+N$5)-PERMANENT_FIELD_LABOR_HOURS)&gt;TEMP_HOURS_CAP),"",$C101+N$6-MIN(($D101+N$5),PERMANENT_FIELD_LABOR_HOURS)*PERMANENT_HOURLY_RATE-MAX(0,($D101+N$5)-PERMANENT_FIELD_LABOR_HOURS)*TEMP_HOURLY_RATE-FIXED_SEASON_COST)</f>
        <v>6722.83525752305</v>
      </c>
      <c r="O101" s="53" t="n">
        <f aca="false">IF(OR($A101&gt;TOMATO_BED_CAP,$B101&gt;CARROT_BED_CAP,O$4&gt;MESCLUN_BED_CAP,$A101+$B101+O$4&gt;TOTAL_BEDS_AVAILABLE,($D101+O$5)&gt;TOTAL_LABOR_HOURS_CAP,MAX(0,($D101+O$5)-PERMANENT_FIELD_LABOR_HOURS)&gt;TEMP_HOURS_CAP),"",$C101+O$6-MIN(($D101+O$5),PERMANENT_FIELD_LABOR_HOURS)*PERMANENT_HOURLY_RATE-MAX(0,($D101+O$5)-PERMANENT_FIELD_LABOR_HOURS)*TEMP_HOURLY_RATE-FIXED_SEASON_COST)</f>
        <v>7582.9429542778</v>
      </c>
      <c r="P101" s="53" t="n">
        <f aca="false">IF(OR($A101&gt;TOMATO_BED_CAP,$B101&gt;CARROT_BED_CAP,P$4&gt;MESCLUN_BED_CAP,$A101+$B101+P$4&gt;TOTAL_BEDS_AVAILABLE,($D101+P$5)&gt;TOTAL_LABOR_HOURS_CAP,MAX(0,($D101+P$5)-PERMANENT_FIELD_LABOR_HOURS)&gt;TEMP_HOURS_CAP),"",$C101+P$6-MIN(($D101+P$5),PERMANENT_FIELD_LABOR_HOURS)*PERMANENT_HOURLY_RATE-MAX(0,($D101+P$5)-PERMANENT_FIELD_LABOR_HOURS)*TEMP_HOURLY_RATE-FIXED_SEASON_COST)</f>
        <v>8420.13187412923</v>
      </c>
      <c r="Q101" s="53" t="n">
        <f aca="false">IF(OR($A101&gt;TOMATO_BED_CAP,$B101&gt;CARROT_BED_CAP,Q$4&gt;MESCLUN_BED_CAP,$A101+$B101+Q$4&gt;TOTAL_BEDS_AVAILABLE,($D101+Q$5)&gt;TOTAL_LABOR_HOURS_CAP,MAX(0,($D101+Q$5)-PERMANENT_FIELD_LABOR_HOURS)&gt;TEMP_HOURS_CAP),"",$C101+Q$6-MIN(($D101+Q$5),PERMANENT_FIELD_LABOR_HOURS)*PERMANENT_HOURLY_RATE-MAX(0,($D101+Q$5)-PERMANENT_FIELD_LABOR_HOURS)*TEMP_HOURLY_RATE-FIXED_SEASON_COST)</f>
        <v>9233.97903082713</v>
      </c>
      <c r="R101" s="53" t="n">
        <f aca="false">IF(OR($A101&gt;TOMATO_BED_CAP,$B101&gt;CARROT_BED_CAP,R$4&gt;MESCLUN_BED_CAP,$A101+$B101+R$4&gt;TOTAL_BEDS_AVAILABLE,($D101+R$5)&gt;TOTAL_LABOR_HOURS_CAP,MAX(0,($D101+R$5)-PERMANENT_FIELD_LABOR_HOURS)&gt;TEMP_HOURS_CAP),"",$C101+R$6-MIN(($D101+R$5),PERMANENT_FIELD_LABOR_HOURS)*PERMANENT_HOURLY_RATE-MAX(0,($D101+R$5)-PERMANENT_FIELD_LABOR_HOURS)*TEMP_HOURLY_RATE-FIXED_SEASON_COST)</f>
        <v>10024.0544445239</v>
      </c>
      <c r="S101" s="53" t="n">
        <f aca="false">IF(OR($A101&gt;TOMATO_BED_CAP,$B101&gt;CARROT_BED_CAP,S$4&gt;MESCLUN_BED_CAP,$A101+$B101+S$4&gt;TOTAL_BEDS_AVAILABLE,($D101+S$5)&gt;TOTAL_LABOR_HOURS_CAP,MAX(0,($D101+S$5)-PERMANENT_FIELD_LABOR_HOURS)&gt;TEMP_HOURS_CAP),"",$C101+S$6-MIN(($D101+S$5),PERMANENT_FIELD_LABOR_HOURS)*PERMANENT_HOURLY_RATE-MAX(0,($D101+S$5)-PERMANENT_FIELD_LABOR_HOURS)*TEMP_HOURLY_RATE-FIXED_SEASON_COST)</f>
        <v>10789.9210330264</v>
      </c>
      <c r="T101" s="53" t="n">
        <f aca="false">IF(OR($A101&gt;TOMATO_BED_CAP,$B101&gt;CARROT_BED_CAP,T$4&gt;MESCLUN_BED_CAP,$A101+$B101+T$4&gt;TOTAL_BEDS_AVAILABLE,($D101+T$5)&gt;TOTAL_LABOR_HOURS_CAP,MAX(0,($D101+T$5)-PERMANENT_FIELD_LABOR_HOURS)&gt;TEMP_HOURS_CAP),"",$C101+T$6-MIN(($D101+T$5),PERMANENT_FIELD_LABOR_HOURS)*PERMANENT_HOURLY_RATE-MAX(0,($D101+T$5)-PERMANENT_FIELD_LABOR_HOURS)*TEMP_HOURLY_RATE-FIXED_SEASON_COST)</f>
        <v>11531.1345014212</v>
      </c>
      <c r="U101" s="53" t="n">
        <f aca="false">IF(OR($A101&gt;TOMATO_BED_CAP,$B101&gt;CARROT_BED_CAP,U$4&gt;MESCLUN_BED_CAP,$A101+$B101+U$4&gt;TOTAL_BEDS_AVAILABLE,($D101+U$5)&gt;TOTAL_LABOR_HOURS_CAP,MAX(0,($D101+U$5)-PERMANENT_FIELD_LABOR_HOURS)&gt;TEMP_HOURS_CAP),"",$C101+U$6-MIN(($D101+U$5),PERMANENT_FIELD_LABOR_HOURS)*PERMANENT_HOURLY_RATE-MAX(0,($D101+U$5)-PERMANENT_FIELD_LABOR_HOURS)*TEMP_HOURLY_RATE-FIXED_SEASON_COST)</f>
        <v>12247.2432300513</v>
      </c>
      <c r="V101" s="53" t="n">
        <f aca="false">IF(OR($A101&gt;TOMATO_BED_CAP,$B101&gt;CARROT_BED_CAP,V$4&gt;MESCLUN_BED_CAP,$A101+$B101+V$4&gt;TOTAL_BEDS_AVAILABLE,($D101+V$5)&gt;TOTAL_LABOR_HOURS_CAP,MAX(0,($D101+V$5)-PERMANENT_FIELD_LABOR_HOURS)&gt;TEMP_HOURS_CAP),"",$C101+V$6-MIN(($D101+V$5),PERMANENT_FIELD_LABOR_HOURS)*PERMANENT_HOURLY_RATE-MAX(0,($D101+V$5)-PERMANENT_FIELD_LABOR_HOURS)*TEMP_HOURLY_RATE-FIXED_SEASON_COST)</f>
        <v>12937.7881608181</v>
      </c>
      <c r="W101" s="53" t="n">
        <f aca="false">IF(OR($A101&gt;TOMATO_BED_CAP,$B101&gt;CARROT_BED_CAP,W$4&gt;MESCLUN_BED_CAP,$A101+$B101+W$4&gt;TOTAL_BEDS_AVAILABLE,($D101+W$5)&gt;TOTAL_LABOR_HOURS_CAP,MAX(0,($D101+W$5)-PERMANENT_FIELD_LABOR_HOURS)&gt;TEMP_HOURS_CAP),"",$C101+W$6-MIN(($D101+W$5),PERMANENT_FIELD_LABOR_HOURS)*PERMANENT_HOURLY_RATE-MAX(0,($D101+W$5)-PERMANENT_FIELD_LABOR_HOURS)*TEMP_HOURLY_RATE-FIXED_SEASON_COST)</f>
        <v>13602.3026817862</v>
      </c>
      <c r="X101" s="53" t="n">
        <f aca="false">IF(OR($A101&gt;TOMATO_BED_CAP,$B101&gt;CARROT_BED_CAP,X$4&gt;MESCLUN_BED_CAP,$A101+$B101+X$4&gt;TOTAL_BEDS_AVAILABLE,($D101+X$5)&gt;TOTAL_LABOR_HOURS_CAP,MAX(0,($D101+X$5)-PERMANENT_FIELD_LABOR_HOURS)&gt;TEMP_HOURS_CAP),"",$C101+X$6-MIN(($D101+X$5),PERMANENT_FIELD_LABOR_HOURS)*PERMANENT_HOURLY_RATE-MAX(0,($D101+X$5)-PERMANENT_FIELD_LABOR_HOURS)*TEMP_HOURLY_RATE-FIXED_SEASON_COST)</f>
        <v>14240.3125100651</v>
      </c>
      <c r="Y101" s="53" t="n">
        <f aca="false">IF(OR($A101&gt;TOMATO_BED_CAP,$B101&gt;CARROT_BED_CAP,Y$4&gt;MESCLUN_BED_CAP,$A101+$B101+Y$4&gt;TOTAL_BEDS_AVAILABLE,($D101+Y$5)&gt;TOTAL_LABOR_HOURS_CAP,MAX(0,($D101+Y$5)-PERMANENT_FIELD_LABOR_HOURS)&gt;TEMP_HOURS_CAP),"",$C101+Y$6-MIN(($D101+Y$5),PERMANENT_FIELD_LABOR_HOURS)*PERMANENT_HOURLY_RATE-MAX(0,($D101+Y$5)-PERMANENT_FIELD_LABOR_HOURS)*TEMP_HOURLY_RATE-FIXED_SEASON_COST)</f>
        <v>14851.3355729438</v>
      </c>
      <c r="Z101" s="53" t="n">
        <f aca="false">IF(OR($A101&gt;TOMATO_BED_CAP,$B101&gt;CARROT_BED_CAP,Z$4&gt;MESCLUN_BED_CAP,$A101+$B101+Z$4&gt;TOTAL_BEDS_AVAILABLE,($D101+Z$5)&gt;TOTAL_LABOR_HOURS_CAP,MAX(0,($D101+Z$5)-PERMANENT_FIELD_LABOR_HOURS)&gt;TEMP_HOURS_CAP),"",$C101+Z$6-MIN(($D101+Z$5),PERMANENT_FIELD_LABOR_HOURS)*PERMANENT_HOURLY_RATE-MAX(0,($D101+Z$5)-PERMANENT_FIELD_LABOR_HOURS)*TEMP_HOURLY_RATE-FIXED_SEASON_COST)</f>
        <v>15434.8818872515</v>
      </c>
      <c r="AA101" s="53" t="n">
        <f aca="false">IF(OR($A101&gt;TOMATO_BED_CAP,$B101&gt;CARROT_BED_CAP,AA$4&gt;MESCLUN_BED_CAP,$A101+$B101+AA$4&gt;TOTAL_BEDS_AVAILABLE,($D101+AA$5)&gt;TOTAL_LABOR_HOURS_CAP,MAX(0,($D101+AA$5)-PERMANENT_FIELD_LABOR_HOURS)&gt;TEMP_HOURS_CAP),"",$C101+AA$6-MIN(($D101+AA$5),PERMANENT_FIELD_LABOR_HOURS)*PERMANENT_HOURLY_RATE-MAX(0,($D101+AA$5)-PERMANENT_FIELD_LABOR_HOURS)*TEMP_HOURLY_RATE-FIXED_SEASON_COST)</f>
        <v>15990.4534369204</v>
      </c>
      <c r="AB101" s="53" t="n">
        <f aca="false">IF(OR($A101&gt;TOMATO_BED_CAP,$B101&gt;CARROT_BED_CAP,AB$4&gt;MESCLUN_BED_CAP,$A101+$B101+AB$4&gt;TOTAL_BEDS_AVAILABLE,($D101+AB$5)&gt;TOTAL_LABOR_HOURS_CAP,MAX(0,($D101+AB$5)-PERMANENT_FIELD_LABOR_HOURS)&gt;TEMP_HOURS_CAP),"",$C101+AB$6-MIN(($D101+AB$5),PERMANENT_FIELD_LABOR_HOURS)*PERMANENT_HOURLY_RATE-MAX(0,($D101+AB$5)-PERMANENT_FIELD_LABOR_HOURS)*TEMP_HOURLY_RATE-FIXED_SEASON_COST)</f>
        <v>16517.544048723</v>
      </c>
      <c r="AC101" s="53" t="n">
        <f aca="false">IF(OR($A101&gt;TOMATO_BED_CAP,$B101&gt;CARROT_BED_CAP,AC$4&gt;MESCLUN_BED_CAP,$A101+$B101+AC$4&gt;TOTAL_BEDS_AVAILABLE,($D101+AC$5)&gt;TOTAL_LABOR_HOURS_CAP,MAX(0,($D101+AC$5)-PERMANENT_FIELD_LABOR_HOURS)&gt;TEMP_HOURS_CAP),"",$C101+AC$6-MIN(($D101+AC$5),PERMANENT_FIELD_LABOR_HOURS)*PERMANENT_HOURLY_RATE-MAX(0,($D101+AC$5)-PERMANENT_FIELD_LABOR_HOURS)*TEMP_HOURLY_RATE-FIXED_SEASON_COST)</f>
        <v>17015.6392661579</v>
      </c>
      <c r="AD101" s="53" t="n">
        <f aca="false">IF(OR($A101&gt;TOMATO_BED_CAP,$B101&gt;CARROT_BED_CAP,AD$4&gt;MESCLUN_BED_CAP,$A101+$B101+AD$4&gt;TOTAL_BEDS_AVAILABLE,($D101+AD$5)&gt;TOTAL_LABOR_HOURS_CAP,MAX(0,($D101+AD$5)-PERMANENT_FIELD_LABOR_HOURS)&gt;TEMP_HOURS_CAP),"",$C101+AD$6-MIN(($D101+AD$5),PERMANENT_FIELD_LABOR_HOURS)*PERMANENT_HOURLY_RATE-MAX(0,($D101+AD$5)-PERMANENT_FIELD_LABOR_HOURS)*TEMP_HOURLY_RATE-FIXED_SEASON_COST)</f>
        <v>17484.2162214578</v>
      </c>
      <c r="AE101" s="53" t="n">
        <f aca="false">IF(OR($A101&gt;TOMATO_BED_CAP,$B101&gt;CARROT_BED_CAP,AE$4&gt;MESCLUN_BED_CAP,$A101+$B101+AE$4&gt;TOTAL_BEDS_AVAILABLE,($D101+AE$5)&gt;TOTAL_LABOR_HOURS_CAP,MAX(0,($D101+AE$5)-PERMANENT_FIELD_LABOR_HOURS)&gt;TEMP_HOURS_CAP),"",$C101+AE$6-MIN(($D101+AE$5),PERMANENT_FIELD_LABOR_HOURS)*PERMANENT_HOURLY_RATE-MAX(0,($D101+AE$5)-PERMANENT_FIELD_LABOR_HOURS)*TEMP_HOURLY_RATE-FIXED_SEASON_COST)</f>
        <v>17922.7435056917</v>
      </c>
      <c r="AF101" s="53" t="n">
        <f aca="false">IF(OR($A101&gt;TOMATO_BED_CAP,$B101&gt;CARROT_BED_CAP,AF$4&gt;MESCLUN_BED_CAP,$A101+$B101+AF$4&gt;TOTAL_BEDS_AVAILABLE,($D101+AF$5)&gt;TOTAL_LABOR_HOURS_CAP,MAX(0,($D101+AF$5)-PERMANENT_FIELD_LABOR_HOURS)&gt;TEMP_HOURS_CAP),"",$C101+AF$6-MIN(($D101+AF$5),PERMANENT_FIELD_LABOR_HOURS)*PERMANENT_HOURLY_RATE-MAX(0,($D101+AF$5)-PERMANENT_FIELD_LABOR_HOURS)*TEMP_HOURLY_RATE-FIXED_SEASON_COST)</f>
        <v>18330.6810369337</v>
      </c>
      <c r="AG101" s="53" t="n">
        <f aca="false">IF(OR($A101&gt;TOMATO_BED_CAP,$B101&gt;CARROT_BED_CAP,AG$4&gt;MESCLUN_BED_CAP,$A101+$B101+AG$4&gt;TOTAL_BEDS_AVAILABLE,($D101+AG$5)&gt;TOTAL_LABOR_HOURS_CAP,MAX(0,($D101+AG$5)-PERMANENT_FIELD_LABOR_HOURS)&gt;TEMP_HOURS_CAP),"",$C101+AG$6-MIN(($D101+AG$5),PERMANENT_FIELD_LABOR_HOURS)*PERMANENT_HOURLY_RATE-MAX(0,($D101+AG$5)-PERMANENT_FIELD_LABOR_HOURS)*TEMP_HOURLY_RATE-FIXED_SEASON_COST)</f>
        <v>18707.4799264707</v>
      </c>
      <c r="AH101" s="53" t="n">
        <f aca="false">IF(OR($A101&gt;TOMATO_BED_CAP,$B101&gt;CARROT_BED_CAP,AH$4&gt;MESCLUN_BED_CAP,$A101+$B101+AH$4&gt;TOTAL_BEDS_AVAILABLE,($D101+AH$5)&gt;TOTAL_LABOR_HOURS_CAP,MAX(0,($D101+AH$5)-PERMANENT_FIELD_LABOR_HOURS)&gt;TEMP_HOURS_CAP),"",$C101+AH$6-MIN(($D101+AH$5),PERMANENT_FIELD_LABOR_HOURS)*PERMANENT_HOURLY_RATE-MAX(0,($D101+AH$5)-PERMANENT_FIELD_LABOR_HOURS)*TEMP_HOURLY_RATE-FIXED_SEASON_COST)</f>
        <v>19052.5823430209</v>
      </c>
      <c r="AI101" s="53" t="n">
        <f aca="false">IF(OR($A101&gt;TOMATO_BED_CAP,$B101&gt;CARROT_BED_CAP,AI$4&gt;MESCLUN_BED_CAP,$A101+$B101+AI$4&gt;TOTAL_BEDS_AVAILABLE,($D101+AI$5)&gt;TOTAL_LABOR_HOURS_CAP,MAX(0,($D101+AI$5)-PERMANENT_FIELD_LABOR_HOURS)&gt;TEMP_HOURS_CAP),"",$C101+AI$6-MIN(($D101+AI$5),PERMANENT_FIELD_LABOR_HOURS)*PERMANENT_HOURLY_RATE-MAX(0,($D101+AI$5)-PERMANENT_FIELD_LABOR_HOURS)*TEMP_HOURLY_RATE-FIXED_SEASON_COST)</f>
        <v>19365.4213749332</v>
      </c>
      <c r="AJ101" s="53" t="n">
        <f aca="false">IF(OR($A101&gt;TOMATO_BED_CAP,$B101&gt;CARROT_BED_CAP,AJ$4&gt;MESCLUN_BED_CAP,$A101+$B101+AJ$4&gt;TOTAL_BEDS_AVAILABLE,($D101+AJ$5)&gt;TOTAL_LABOR_HOURS_CAP,MAX(0,($D101+AJ$5)-PERMANENT_FIELD_LABOR_HOURS)&gt;TEMP_HOURS_CAP),"",$C101+AJ$6-MIN(($D101+AJ$5),PERMANENT_FIELD_LABOR_HOURS)*PERMANENT_HOURLY_RATE-MAX(0,($D101+AJ$5)-PERMANENT_FIELD_LABOR_HOURS)*TEMP_HOURLY_RATE-FIXED_SEASON_COST)</f>
        <v>19645.4208903389</v>
      </c>
    </row>
    <row r="102" customFormat="false" ht="15" hidden="false" customHeight="false" outlineLevel="0" collapsed="false">
      <c r="A102" s="21" t="n">
        <f aca="false">INT((ROW()-ROW($A$8))/(20+1))</f>
        <v>4</v>
      </c>
      <c r="B102" s="21" t="n">
        <f aca="false">MOD(ROW()-ROW($A$8),20+1)</f>
        <v>10</v>
      </c>
      <c r="C102" s="13" t="n">
        <f aca="false">A102*(TOMATO_REVENUE_PER_BED-TOMATO_FERTILIZER_PER_BED)+B102*(CARROT_REVENUE_PER_BED-CARROT_FERTILIZER_PER_BED)</f>
        <v>48220</v>
      </c>
      <c r="D102" s="14" t="n">
        <f aca="false">INDEX(TOMATO_SCHED_LABOR_HRS,A102+1)+INDEX(CARROT_SCHED_LABOR_HRS,B102+1)</f>
        <v>910.947753113604</v>
      </c>
      <c r="E102" s="13" t="n">
        <f aca="false">IF(COUNT(F102:AJ102)=0,"",MAX(F102:AJ102))</f>
        <v>20486.7363008204</v>
      </c>
      <c r="F102" s="53" t="n">
        <f aca="false">IF(OR($A102&gt;TOMATO_BED_CAP,$B102&gt;CARROT_BED_CAP,F$4&gt;MESCLUN_BED_CAP,$A102+$B102+F$4&gt;TOTAL_BEDS_AVAILABLE,($D102+F$5)&gt;TOTAL_LABOR_HOURS_CAP,MAX(0,($D102+F$5)-PERMANENT_FIELD_LABOR_HOURS)&gt;TEMP_HOURS_CAP),"",$C102+F$6-MIN(($D102+F$5),PERMANENT_FIELD_LABOR_HOURS)*PERMANENT_HOURLY_RATE-MAX(0,($D102+F$5)-PERMANENT_FIELD_LABOR_HOURS)*TEMP_HOURLY_RATE-FIXED_SEASON_COST)</f>
        <v>-93.2529940521563</v>
      </c>
      <c r="G102" s="53" t="n">
        <f aca="false">IF(OR($A102&gt;TOMATO_BED_CAP,$B102&gt;CARROT_BED_CAP,G$4&gt;MESCLUN_BED_CAP,$A102+$B102+G$4&gt;TOTAL_BEDS_AVAILABLE,($D102+G$5)&gt;TOTAL_LABOR_HOURS_CAP,MAX(0,($D102+G$5)-PERMANENT_FIELD_LABOR_HOURS)&gt;TEMP_HOURS_CAP),"",$C102+G$6-MIN(($D102+G$5),PERMANENT_FIELD_LABOR_HOURS)*PERMANENT_HOURLY_RATE-MAX(0,($D102+G$5)-PERMANENT_FIELD_LABOR_HOURS)*TEMP_HOURLY_RATE-FIXED_SEASON_COST)</f>
        <v>935.782005947844</v>
      </c>
      <c r="H102" s="53" t="n">
        <f aca="false">IF(OR($A102&gt;TOMATO_BED_CAP,$B102&gt;CARROT_BED_CAP,H$4&gt;MESCLUN_BED_CAP,$A102+$B102+H$4&gt;TOTAL_BEDS_AVAILABLE,($D102+H$5)&gt;TOTAL_LABOR_HOURS_CAP,MAX(0,($D102+H$5)-PERMANENT_FIELD_LABOR_HOURS)&gt;TEMP_HOURS_CAP),"",$C102+H$6-MIN(($D102+H$5),PERMANENT_FIELD_LABOR_HOURS)*PERMANENT_HOURLY_RATE-MAX(0,($D102+H$5)-PERMANENT_FIELD_LABOR_HOURS)*TEMP_HOURLY_RATE-FIXED_SEASON_COST)</f>
        <v>1945.04288094784</v>
      </c>
      <c r="I102" s="53" t="n">
        <f aca="false">IF(OR($A102&gt;TOMATO_BED_CAP,$B102&gt;CARROT_BED_CAP,I$4&gt;MESCLUN_BED_CAP,$A102+$B102+I$4&gt;TOTAL_BEDS_AVAILABLE,($D102+I$5)&gt;TOTAL_LABOR_HOURS_CAP,MAX(0,($D102+I$5)-PERMANENT_FIELD_LABOR_HOURS)&gt;TEMP_HOURS_CAP),"",$C102+I$6-MIN(($D102+I$5),PERMANENT_FIELD_LABOR_HOURS)*PERMANENT_HOURLY_RATE-MAX(0,($D102+I$5)-PERMANENT_FIELD_LABOR_HOURS)*TEMP_HOURLY_RATE-FIXED_SEASON_COST)</f>
        <v>2934.1588661041</v>
      </c>
      <c r="J102" s="53" t="n">
        <f aca="false">IF(OR($A102&gt;TOMATO_BED_CAP,$B102&gt;CARROT_BED_CAP,J$4&gt;MESCLUN_BED_CAP,$A102+$B102+J$4&gt;TOTAL_BEDS_AVAILABLE,($D102+J$5)&gt;TOTAL_LABOR_HOURS_CAP,MAX(0,($D102+J$5)-PERMANENT_FIELD_LABOR_HOURS)&gt;TEMP_HOURS_CAP),"",$C102+J$6-MIN(($D102+J$5),PERMANENT_FIELD_LABOR_HOURS)*PERMANENT_HOURLY_RATE-MAX(0,($D102+J$5)-PERMANENT_FIELD_LABOR_HOURS)*TEMP_HOURLY_RATE-FIXED_SEASON_COST)</f>
        <v>3902.75301715878</v>
      </c>
      <c r="K102" s="53" t="n">
        <f aca="false">IF(OR($A102&gt;TOMATO_BED_CAP,$B102&gt;CARROT_BED_CAP,K$4&gt;MESCLUN_BED_CAP,$A102+$B102+K$4&gt;TOTAL_BEDS_AVAILABLE,($D102+K$5)&gt;TOTAL_LABOR_HOURS_CAP,MAX(0,($D102+K$5)-PERMANENT_FIELD_LABOR_HOURS)&gt;TEMP_HOURS_CAP),"",$C102+K$6-MIN(($D102+K$5),PERMANENT_FIELD_LABOR_HOURS)*PERMANENT_HOURLY_RATE-MAX(0,($D102+K$5)-PERMANENT_FIELD_LABOR_HOURS)*TEMP_HOURLY_RATE-FIXED_SEASON_COST)</f>
        <v>4850.44211388669</v>
      </c>
      <c r="L102" s="53" t="n">
        <f aca="false">IF(OR($A102&gt;TOMATO_BED_CAP,$B102&gt;CARROT_BED_CAP,L$4&gt;MESCLUN_BED_CAP,$A102+$B102+L$4&gt;TOTAL_BEDS_AVAILABLE,($D102+L$5)&gt;TOTAL_LABOR_HOURS_CAP,MAX(0,($D102+L$5)-PERMANENT_FIELD_LABOR_HOURS)&gt;TEMP_HOURS_CAP),"",$C102+L$6-MIN(($D102+L$5),PERMANENT_FIELD_LABOR_HOURS)*PERMANENT_HOURLY_RATE-MAX(0,($D102+L$5)-PERMANENT_FIELD_LABOR_HOURS)*TEMP_HOURLY_RATE-FIXED_SEASON_COST)</f>
        <v>5776.83656209354</v>
      </c>
      <c r="M102" s="53" t="n">
        <f aca="false">IF(OR($A102&gt;TOMATO_BED_CAP,$B102&gt;CARROT_BED_CAP,M$4&gt;MESCLUN_BED_CAP,$A102+$B102+M$4&gt;TOTAL_BEDS_AVAILABLE,($D102+M$5)&gt;TOTAL_LABOR_HOURS_CAP,MAX(0,($D102+M$5)-PERMANENT_FIELD_LABOR_HOURS)&gt;TEMP_HOURS_CAP),"",$C102+M$6-MIN(($D102+M$5),PERMANENT_FIELD_LABOR_HOURS)*PERMANENT_HOURLY_RATE-MAX(0,($D102+M$5)-PERMANENT_FIELD_LABOR_HOURS)*TEMP_HOURLY_RATE-FIXED_SEASON_COST)</f>
        <v>6681.54029414495</v>
      </c>
      <c r="N102" s="53" t="n">
        <f aca="false">IF(OR($A102&gt;TOMATO_BED_CAP,$B102&gt;CARROT_BED_CAP,N$4&gt;MESCLUN_BED_CAP,$A102+$B102+N$4&gt;TOTAL_BEDS_AVAILABLE,($D102+N$5)&gt;TOTAL_LABOR_HOURS_CAP,MAX(0,($D102+N$5)-PERMANENT_FIELD_LABOR_HOURS)&gt;TEMP_HOURS_CAP),"",$C102+N$6-MIN(($D102+N$5),PERMANENT_FIELD_LABOR_HOURS)*PERMANENT_HOURLY_RATE-MAX(0,($D102+N$5)-PERMANENT_FIELD_LABOR_HOURS)*TEMP_HOURLY_RATE-FIXED_SEASON_COST)</f>
        <v>7564.1506680045</v>
      </c>
      <c r="O102" s="53" t="n">
        <f aca="false">IF(OR($A102&gt;TOMATO_BED_CAP,$B102&gt;CARROT_BED_CAP,O$4&gt;MESCLUN_BED_CAP,$A102+$B102+O$4&gt;TOTAL_BEDS_AVAILABLE,($D102+O$5)&gt;TOTAL_LABOR_HOURS_CAP,MAX(0,($D102+O$5)-PERMANENT_FIELD_LABOR_HOURS)&gt;TEMP_HOURS_CAP),"",$C102+O$6-MIN(($D102+O$5),PERMANENT_FIELD_LABOR_HOURS)*PERMANENT_HOURLY_RATE-MAX(0,($D102+O$5)-PERMANENT_FIELD_LABOR_HOURS)*TEMP_HOURLY_RATE-FIXED_SEASON_COST)</f>
        <v>8424.25836475925</v>
      </c>
      <c r="P102" s="53" t="n">
        <f aca="false">IF(OR($A102&gt;TOMATO_BED_CAP,$B102&gt;CARROT_BED_CAP,P$4&gt;MESCLUN_BED_CAP,$A102+$B102+P$4&gt;TOTAL_BEDS_AVAILABLE,($D102+P$5)&gt;TOTAL_LABOR_HOURS_CAP,MAX(0,($D102+P$5)-PERMANENT_FIELD_LABOR_HOURS)&gt;TEMP_HOURS_CAP),"",$C102+P$6-MIN(($D102+P$5),PERMANENT_FIELD_LABOR_HOURS)*PERMANENT_HOURLY_RATE-MAX(0,($D102+P$5)-PERMANENT_FIELD_LABOR_HOURS)*TEMP_HOURLY_RATE-FIXED_SEASON_COST)</f>
        <v>9261.44728461068</v>
      </c>
      <c r="Q102" s="53" t="n">
        <f aca="false">IF(OR($A102&gt;TOMATO_BED_CAP,$B102&gt;CARROT_BED_CAP,Q$4&gt;MESCLUN_BED_CAP,$A102+$B102+Q$4&gt;TOTAL_BEDS_AVAILABLE,($D102+Q$5)&gt;TOTAL_LABOR_HOURS_CAP,MAX(0,($D102+Q$5)-PERMANENT_FIELD_LABOR_HOURS)&gt;TEMP_HOURS_CAP),"",$C102+Q$6-MIN(($D102+Q$5),PERMANENT_FIELD_LABOR_HOURS)*PERMANENT_HOURLY_RATE-MAX(0,($D102+Q$5)-PERMANENT_FIELD_LABOR_HOURS)*TEMP_HOURLY_RATE-FIXED_SEASON_COST)</f>
        <v>10075.2944413086</v>
      </c>
      <c r="R102" s="53" t="n">
        <f aca="false">IF(OR($A102&gt;TOMATO_BED_CAP,$B102&gt;CARROT_BED_CAP,R$4&gt;MESCLUN_BED_CAP,$A102+$B102+R$4&gt;TOTAL_BEDS_AVAILABLE,($D102+R$5)&gt;TOTAL_LABOR_HOURS_CAP,MAX(0,($D102+R$5)-PERMANENT_FIELD_LABOR_HOURS)&gt;TEMP_HOURS_CAP),"",$C102+R$6-MIN(($D102+R$5),PERMANENT_FIELD_LABOR_HOURS)*PERMANENT_HOURLY_RATE-MAX(0,($D102+R$5)-PERMANENT_FIELD_LABOR_HOURS)*TEMP_HOURLY_RATE-FIXED_SEASON_COST)</f>
        <v>10865.3698550054</v>
      </c>
      <c r="S102" s="53" t="n">
        <f aca="false">IF(OR($A102&gt;TOMATO_BED_CAP,$B102&gt;CARROT_BED_CAP,S$4&gt;MESCLUN_BED_CAP,$A102+$B102+S$4&gt;TOTAL_BEDS_AVAILABLE,($D102+S$5)&gt;TOTAL_LABOR_HOURS_CAP,MAX(0,($D102+S$5)-PERMANENT_FIELD_LABOR_HOURS)&gt;TEMP_HOURS_CAP),"",$C102+S$6-MIN(($D102+S$5),PERMANENT_FIELD_LABOR_HOURS)*PERMANENT_HOURLY_RATE-MAX(0,($D102+S$5)-PERMANENT_FIELD_LABOR_HOURS)*TEMP_HOURLY_RATE-FIXED_SEASON_COST)</f>
        <v>11631.2364435078</v>
      </c>
      <c r="T102" s="53" t="n">
        <f aca="false">IF(OR($A102&gt;TOMATO_BED_CAP,$B102&gt;CARROT_BED_CAP,T$4&gt;MESCLUN_BED_CAP,$A102+$B102+T$4&gt;TOTAL_BEDS_AVAILABLE,($D102+T$5)&gt;TOTAL_LABOR_HOURS_CAP,MAX(0,($D102+T$5)-PERMANENT_FIELD_LABOR_HOURS)&gt;TEMP_HOURS_CAP),"",$C102+T$6-MIN(($D102+T$5),PERMANENT_FIELD_LABOR_HOURS)*PERMANENT_HOURLY_RATE-MAX(0,($D102+T$5)-PERMANENT_FIELD_LABOR_HOURS)*TEMP_HOURLY_RATE-FIXED_SEASON_COST)</f>
        <v>12372.4499119027</v>
      </c>
      <c r="U102" s="53" t="n">
        <f aca="false">IF(OR($A102&gt;TOMATO_BED_CAP,$B102&gt;CARROT_BED_CAP,U$4&gt;MESCLUN_BED_CAP,$A102+$B102+U$4&gt;TOTAL_BEDS_AVAILABLE,($D102+U$5)&gt;TOTAL_LABOR_HOURS_CAP,MAX(0,($D102+U$5)-PERMANENT_FIELD_LABOR_HOURS)&gt;TEMP_HOURS_CAP),"",$C102+U$6-MIN(($D102+U$5),PERMANENT_FIELD_LABOR_HOURS)*PERMANENT_HOURLY_RATE-MAX(0,($D102+U$5)-PERMANENT_FIELD_LABOR_HOURS)*TEMP_HOURLY_RATE-FIXED_SEASON_COST)</f>
        <v>13088.5586405328</v>
      </c>
      <c r="V102" s="53" t="n">
        <f aca="false">IF(OR($A102&gt;TOMATO_BED_CAP,$B102&gt;CARROT_BED_CAP,V$4&gt;MESCLUN_BED_CAP,$A102+$B102+V$4&gt;TOTAL_BEDS_AVAILABLE,($D102+V$5)&gt;TOTAL_LABOR_HOURS_CAP,MAX(0,($D102+V$5)-PERMANENT_FIELD_LABOR_HOURS)&gt;TEMP_HOURS_CAP),"",$C102+V$6-MIN(($D102+V$5),PERMANENT_FIELD_LABOR_HOURS)*PERMANENT_HOURLY_RATE-MAX(0,($D102+V$5)-PERMANENT_FIELD_LABOR_HOURS)*TEMP_HOURLY_RATE-FIXED_SEASON_COST)</f>
        <v>13779.1035712996</v>
      </c>
      <c r="W102" s="53" t="n">
        <f aca="false">IF(OR($A102&gt;TOMATO_BED_CAP,$B102&gt;CARROT_BED_CAP,W$4&gt;MESCLUN_BED_CAP,$A102+$B102+W$4&gt;TOTAL_BEDS_AVAILABLE,($D102+W$5)&gt;TOTAL_LABOR_HOURS_CAP,MAX(0,($D102+W$5)-PERMANENT_FIELD_LABOR_HOURS)&gt;TEMP_HOURS_CAP),"",$C102+W$6-MIN(($D102+W$5),PERMANENT_FIELD_LABOR_HOURS)*PERMANENT_HOURLY_RATE-MAX(0,($D102+W$5)-PERMANENT_FIELD_LABOR_HOURS)*TEMP_HOURLY_RATE-FIXED_SEASON_COST)</f>
        <v>14443.6180922676</v>
      </c>
      <c r="X102" s="53" t="n">
        <f aca="false">IF(OR($A102&gt;TOMATO_BED_CAP,$B102&gt;CARROT_BED_CAP,X$4&gt;MESCLUN_BED_CAP,$A102+$B102+X$4&gt;TOTAL_BEDS_AVAILABLE,($D102+X$5)&gt;TOTAL_LABOR_HOURS_CAP,MAX(0,($D102+X$5)-PERMANENT_FIELD_LABOR_HOURS)&gt;TEMP_HOURS_CAP),"",$C102+X$6-MIN(($D102+X$5),PERMANENT_FIELD_LABOR_HOURS)*PERMANENT_HOURLY_RATE-MAX(0,($D102+X$5)-PERMANENT_FIELD_LABOR_HOURS)*TEMP_HOURLY_RATE-FIXED_SEASON_COST)</f>
        <v>15081.6279205465</v>
      </c>
      <c r="Y102" s="53" t="n">
        <f aca="false">IF(OR($A102&gt;TOMATO_BED_CAP,$B102&gt;CARROT_BED_CAP,Y$4&gt;MESCLUN_BED_CAP,$A102+$B102+Y$4&gt;TOTAL_BEDS_AVAILABLE,($D102+Y$5)&gt;TOTAL_LABOR_HOURS_CAP,MAX(0,($D102+Y$5)-PERMANENT_FIELD_LABOR_HOURS)&gt;TEMP_HOURS_CAP),"",$C102+Y$6-MIN(($D102+Y$5),PERMANENT_FIELD_LABOR_HOURS)*PERMANENT_HOURLY_RATE-MAX(0,($D102+Y$5)-PERMANENT_FIELD_LABOR_HOURS)*TEMP_HOURLY_RATE-FIXED_SEASON_COST)</f>
        <v>15692.6509834252</v>
      </c>
      <c r="Z102" s="53" t="n">
        <f aca="false">IF(OR($A102&gt;TOMATO_BED_CAP,$B102&gt;CARROT_BED_CAP,Z$4&gt;MESCLUN_BED_CAP,$A102+$B102+Z$4&gt;TOTAL_BEDS_AVAILABLE,($D102+Z$5)&gt;TOTAL_LABOR_HOURS_CAP,MAX(0,($D102+Z$5)-PERMANENT_FIELD_LABOR_HOURS)&gt;TEMP_HOURS_CAP),"",$C102+Z$6-MIN(($D102+Z$5),PERMANENT_FIELD_LABOR_HOURS)*PERMANENT_HOURLY_RATE-MAX(0,($D102+Z$5)-PERMANENT_FIELD_LABOR_HOURS)*TEMP_HOURLY_RATE-FIXED_SEASON_COST)</f>
        <v>16276.1972977329</v>
      </c>
      <c r="AA102" s="53" t="n">
        <f aca="false">IF(OR($A102&gt;TOMATO_BED_CAP,$B102&gt;CARROT_BED_CAP,AA$4&gt;MESCLUN_BED_CAP,$A102+$B102+AA$4&gt;TOTAL_BEDS_AVAILABLE,($D102+AA$5)&gt;TOTAL_LABOR_HOURS_CAP,MAX(0,($D102+AA$5)-PERMANENT_FIELD_LABOR_HOURS)&gt;TEMP_HOURS_CAP),"",$C102+AA$6-MIN(($D102+AA$5),PERMANENT_FIELD_LABOR_HOURS)*PERMANENT_HOURLY_RATE-MAX(0,($D102+AA$5)-PERMANENT_FIELD_LABOR_HOURS)*TEMP_HOURLY_RATE-FIXED_SEASON_COST)</f>
        <v>16831.7688474019</v>
      </c>
      <c r="AB102" s="53" t="n">
        <f aca="false">IF(OR($A102&gt;TOMATO_BED_CAP,$B102&gt;CARROT_BED_CAP,AB$4&gt;MESCLUN_BED_CAP,$A102+$B102+AB$4&gt;TOTAL_BEDS_AVAILABLE,($D102+AB$5)&gt;TOTAL_LABOR_HOURS_CAP,MAX(0,($D102+AB$5)-PERMANENT_FIELD_LABOR_HOURS)&gt;TEMP_HOURS_CAP),"",$C102+AB$6-MIN(($D102+AB$5),PERMANENT_FIELD_LABOR_HOURS)*PERMANENT_HOURLY_RATE-MAX(0,($D102+AB$5)-PERMANENT_FIELD_LABOR_HOURS)*TEMP_HOURLY_RATE-FIXED_SEASON_COST)</f>
        <v>17358.8594592044</v>
      </c>
      <c r="AC102" s="53" t="n">
        <f aca="false">IF(OR($A102&gt;TOMATO_BED_CAP,$B102&gt;CARROT_BED_CAP,AC$4&gt;MESCLUN_BED_CAP,$A102+$B102+AC$4&gt;TOTAL_BEDS_AVAILABLE,($D102+AC$5)&gt;TOTAL_LABOR_HOURS_CAP,MAX(0,($D102+AC$5)-PERMANENT_FIELD_LABOR_HOURS)&gt;TEMP_HOURS_CAP),"",$C102+AC$6-MIN(($D102+AC$5),PERMANENT_FIELD_LABOR_HOURS)*PERMANENT_HOURLY_RATE-MAX(0,($D102+AC$5)-PERMANENT_FIELD_LABOR_HOURS)*TEMP_HOURLY_RATE-FIXED_SEASON_COST)</f>
        <v>17856.9546766393</v>
      </c>
      <c r="AD102" s="53" t="n">
        <f aca="false">IF(OR($A102&gt;TOMATO_BED_CAP,$B102&gt;CARROT_BED_CAP,AD$4&gt;MESCLUN_BED_CAP,$A102+$B102+AD$4&gt;TOTAL_BEDS_AVAILABLE,($D102+AD$5)&gt;TOTAL_LABOR_HOURS_CAP,MAX(0,($D102+AD$5)-PERMANENT_FIELD_LABOR_HOURS)&gt;TEMP_HOURS_CAP),"",$C102+AD$6-MIN(($D102+AD$5),PERMANENT_FIELD_LABOR_HOURS)*PERMANENT_HOURLY_RATE-MAX(0,($D102+AD$5)-PERMANENT_FIELD_LABOR_HOURS)*TEMP_HOURLY_RATE-FIXED_SEASON_COST)</f>
        <v>18325.5316319393</v>
      </c>
      <c r="AE102" s="53" t="n">
        <f aca="false">IF(OR($A102&gt;TOMATO_BED_CAP,$B102&gt;CARROT_BED_CAP,AE$4&gt;MESCLUN_BED_CAP,$A102+$B102+AE$4&gt;TOTAL_BEDS_AVAILABLE,($D102+AE$5)&gt;TOTAL_LABOR_HOURS_CAP,MAX(0,($D102+AE$5)-PERMANENT_FIELD_LABOR_HOURS)&gt;TEMP_HOURS_CAP),"",$C102+AE$6-MIN(($D102+AE$5),PERMANENT_FIELD_LABOR_HOURS)*PERMANENT_HOURLY_RATE-MAX(0,($D102+AE$5)-PERMANENT_FIELD_LABOR_HOURS)*TEMP_HOURLY_RATE-FIXED_SEASON_COST)</f>
        <v>18764.0589161732</v>
      </c>
      <c r="AF102" s="53" t="n">
        <f aca="false">IF(OR($A102&gt;TOMATO_BED_CAP,$B102&gt;CARROT_BED_CAP,AF$4&gt;MESCLUN_BED_CAP,$A102+$B102+AF$4&gt;TOTAL_BEDS_AVAILABLE,($D102+AF$5)&gt;TOTAL_LABOR_HOURS_CAP,MAX(0,($D102+AF$5)-PERMANENT_FIELD_LABOR_HOURS)&gt;TEMP_HOURS_CAP),"",$C102+AF$6-MIN(($D102+AF$5),PERMANENT_FIELD_LABOR_HOURS)*PERMANENT_HOURLY_RATE-MAX(0,($D102+AF$5)-PERMANENT_FIELD_LABOR_HOURS)*TEMP_HOURLY_RATE-FIXED_SEASON_COST)</f>
        <v>19171.9964474151</v>
      </c>
      <c r="AG102" s="53" t="n">
        <f aca="false">IF(OR($A102&gt;TOMATO_BED_CAP,$B102&gt;CARROT_BED_CAP,AG$4&gt;MESCLUN_BED_CAP,$A102+$B102+AG$4&gt;TOTAL_BEDS_AVAILABLE,($D102+AG$5)&gt;TOTAL_LABOR_HOURS_CAP,MAX(0,($D102+AG$5)-PERMANENT_FIELD_LABOR_HOURS)&gt;TEMP_HOURS_CAP),"",$C102+AG$6-MIN(($D102+AG$5),PERMANENT_FIELD_LABOR_HOURS)*PERMANENT_HOURLY_RATE-MAX(0,($D102+AG$5)-PERMANENT_FIELD_LABOR_HOURS)*TEMP_HOURLY_RATE-FIXED_SEASON_COST)</f>
        <v>19548.7953369522</v>
      </c>
      <c r="AH102" s="53" t="n">
        <f aca="false">IF(OR($A102&gt;TOMATO_BED_CAP,$B102&gt;CARROT_BED_CAP,AH$4&gt;MESCLUN_BED_CAP,$A102+$B102+AH$4&gt;TOTAL_BEDS_AVAILABLE,($D102+AH$5)&gt;TOTAL_LABOR_HOURS_CAP,MAX(0,($D102+AH$5)-PERMANENT_FIELD_LABOR_HOURS)&gt;TEMP_HOURS_CAP),"",$C102+AH$6-MIN(($D102+AH$5),PERMANENT_FIELD_LABOR_HOURS)*PERMANENT_HOURLY_RATE-MAX(0,($D102+AH$5)-PERMANENT_FIELD_LABOR_HOURS)*TEMP_HOURLY_RATE-FIXED_SEASON_COST)</f>
        <v>19893.8977535024</v>
      </c>
      <c r="AI102" s="53" t="n">
        <f aca="false">IF(OR($A102&gt;TOMATO_BED_CAP,$B102&gt;CARROT_BED_CAP,AI$4&gt;MESCLUN_BED_CAP,$A102+$B102+AI$4&gt;TOTAL_BEDS_AVAILABLE,($D102+AI$5)&gt;TOTAL_LABOR_HOURS_CAP,MAX(0,($D102+AI$5)-PERMANENT_FIELD_LABOR_HOURS)&gt;TEMP_HOURS_CAP),"",$C102+AI$6-MIN(($D102+AI$5),PERMANENT_FIELD_LABOR_HOURS)*PERMANENT_HOURLY_RATE-MAX(0,($D102+AI$5)-PERMANENT_FIELD_LABOR_HOURS)*TEMP_HOURLY_RATE-FIXED_SEASON_COST)</f>
        <v>20206.7367854146</v>
      </c>
      <c r="AJ102" s="53" t="n">
        <f aca="false">IF(OR($A102&gt;TOMATO_BED_CAP,$B102&gt;CARROT_BED_CAP,AJ$4&gt;MESCLUN_BED_CAP,$A102+$B102+AJ$4&gt;TOTAL_BEDS_AVAILABLE,($D102+AJ$5)&gt;TOTAL_LABOR_HOURS_CAP,MAX(0,($D102+AJ$5)-PERMANENT_FIELD_LABOR_HOURS)&gt;TEMP_HOURS_CAP),"",$C102+AJ$6-MIN(($D102+AJ$5),PERMANENT_FIELD_LABOR_HOURS)*PERMANENT_HOURLY_RATE-MAX(0,($D102+AJ$5)-PERMANENT_FIELD_LABOR_HOURS)*TEMP_HOURLY_RATE-FIXED_SEASON_COST)</f>
        <v>20486.7363008204</v>
      </c>
    </row>
    <row r="103" customFormat="false" ht="15" hidden="false" customHeight="false" outlineLevel="0" collapsed="false">
      <c r="A103" s="21" t="n">
        <f aca="false">INT((ROW()-ROW($A$8))/(20+1))</f>
        <v>4</v>
      </c>
      <c r="B103" s="21" t="n">
        <f aca="false">MOD(ROW()-ROW($A$8),20+1)</f>
        <v>11</v>
      </c>
      <c r="C103" s="13" t="n">
        <f aca="false">A103*(TOMATO_REVENUE_PER_BED-TOMATO_FERTILIZER_PER_BED)+B103*(CARROT_REVENUE_PER_BED-CARROT_FERTILIZER_PER_BED)</f>
        <v>49874</v>
      </c>
      <c r="D103" s="14" t="n">
        <f aca="false">INDEX(TOMATO_SCHED_LABOR_HRS,A103+1)+INDEX(CARROT_SCHED_LABOR_HRS,B103+1)</f>
        <v>959.891401635588</v>
      </c>
      <c r="E103" s="13" t="n">
        <f aca="false">IF(COUNT(F103:AJ103)=0,"",MAX(F103:AJ103))</f>
        <v>21291.0745624787</v>
      </c>
      <c r="F103" s="53" t="n">
        <f aca="false">IF(OR($A103&gt;TOMATO_BED_CAP,$B103&gt;CARROT_BED_CAP,F$4&gt;MESCLUN_BED_CAP,$A103+$B103+F$4&gt;TOTAL_BEDS_AVAILABLE,($D103+F$5)&gt;TOTAL_LABOR_HOURS_CAP,MAX(0,($D103+F$5)-PERMANENT_FIELD_LABOR_HOURS)&gt;TEMP_HOURS_CAP),"",$C103+F$6-MIN(($D103+F$5),PERMANENT_FIELD_LABOR_HOURS)*PERMANENT_HOURLY_RATE-MAX(0,($D103+F$5)-PERMANENT_FIELD_LABOR_HOURS)*TEMP_HOURLY_RATE-FIXED_SEASON_COST)</f>
        <v>711.085267606195</v>
      </c>
      <c r="G103" s="53" t="n">
        <f aca="false">IF(OR($A103&gt;TOMATO_BED_CAP,$B103&gt;CARROT_BED_CAP,G$4&gt;MESCLUN_BED_CAP,$A103+$B103+G$4&gt;TOTAL_BEDS_AVAILABLE,($D103+G$5)&gt;TOTAL_LABOR_HOURS_CAP,MAX(0,($D103+G$5)-PERMANENT_FIELD_LABOR_HOURS)&gt;TEMP_HOURS_CAP),"",$C103+G$6-MIN(($D103+G$5),PERMANENT_FIELD_LABOR_HOURS)*PERMANENT_HOURLY_RATE-MAX(0,($D103+G$5)-PERMANENT_FIELD_LABOR_HOURS)*TEMP_HOURLY_RATE-FIXED_SEASON_COST)</f>
        <v>1740.12026760619</v>
      </c>
      <c r="H103" s="53" t="n">
        <f aca="false">IF(OR($A103&gt;TOMATO_BED_CAP,$B103&gt;CARROT_BED_CAP,H$4&gt;MESCLUN_BED_CAP,$A103+$B103+H$4&gt;TOTAL_BEDS_AVAILABLE,($D103+H$5)&gt;TOTAL_LABOR_HOURS_CAP,MAX(0,($D103+H$5)-PERMANENT_FIELD_LABOR_HOURS)&gt;TEMP_HOURS_CAP),"",$C103+H$6-MIN(($D103+H$5),PERMANENT_FIELD_LABOR_HOURS)*PERMANENT_HOURLY_RATE-MAX(0,($D103+H$5)-PERMANENT_FIELD_LABOR_HOURS)*TEMP_HOURLY_RATE-FIXED_SEASON_COST)</f>
        <v>2749.3811426062</v>
      </c>
      <c r="I103" s="53" t="n">
        <f aca="false">IF(OR($A103&gt;TOMATO_BED_CAP,$B103&gt;CARROT_BED_CAP,I$4&gt;MESCLUN_BED_CAP,$A103+$B103+I$4&gt;TOTAL_BEDS_AVAILABLE,($D103+I$5)&gt;TOTAL_LABOR_HOURS_CAP,MAX(0,($D103+I$5)-PERMANENT_FIELD_LABOR_HOURS)&gt;TEMP_HOURS_CAP),"",$C103+I$6-MIN(($D103+I$5),PERMANENT_FIELD_LABOR_HOURS)*PERMANENT_HOURLY_RATE-MAX(0,($D103+I$5)-PERMANENT_FIELD_LABOR_HOURS)*TEMP_HOURLY_RATE-FIXED_SEASON_COST)</f>
        <v>3738.49712776244</v>
      </c>
      <c r="J103" s="53" t="n">
        <f aca="false">IF(OR($A103&gt;TOMATO_BED_CAP,$B103&gt;CARROT_BED_CAP,J$4&gt;MESCLUN_BED_CAP,$A103+$B103+J$4&gt;TOTAL_BEDS_AVAILABLE,($D103+J$5)&gt;TOTAL_LABOR_HOURS_CAP,MAX(0,($D103+J$5)-PERMANENT_FIELD_LABOR_HOURS)&gt;TEMP_HOURS_CAP),"",$C103+J$6-MIN(($D103+J$5),PERMANENT_FIELD_LABOR_HOURS)*PERMANENT_HOURLY_RATE-MAX(0,($D103+J$5)-PERMANENT_FIELD_LABOR_HOURS)*TEMP_HOURLY_RATE-FIXED_SEASON_COST)</f>
        <v>4707.09127881713</v>
      </c>
      <c r="K103" s="53" t="n">
        <f aca="false">IF(OR($A103&gt;TOMATO_BED_CAP,$B103&gt;CARROT_BED_CAP,K$4&gt;MESCLUN_BED_CAP,$A103+$B103+K$4&gt;TOTAL_BEDS_AVAILABLE,($D103+K$5)&gt;TOTAL_LABOR_HOURS_CAP,MAX(0,($D103+K$5)-PERMANENT_FIELD_LABOR_HOURS)&gt;TEMP_HOURS_CAP),"",$C103+K$6-MIN(($D103+K$5),PERMANENT_FIELD_LABOR_HOURS)*PERMANENT_HOURLY_RATE-MAX(0,($D103+K$5)-PERMANENT_FIELD_LABOR_HOURS)*TEMP_HOURLY_RATE-FIXED_SEASON_COST)</f>
        <v>5654.78037554504</v>
      </c>
      <c r="L103" s="53" t="n">
        <f aca="false">IF(OR($A103&gt;TOMATO_BED_CAP,$B103&gt;CARROT_BED_CAP,L$4&gt;MESCLUN_BED_CAP,$A103+$B103+L$4&gt;TOTAL_BEDS_AVAILABLE,($D103+L$5)&gt;TOTAL_LABOR_HOURS_CAP,MAX(0,($D103+L$5)-PERMANENT_FIELD_LABOR_HOURS)&gt;TEMP_HOURS_CAP),"",$C103+L$6-MIN(($D103+L$5),PERMANENT_FIELD_LABOR_HOURS)*PERMANENT_HOURLY_RATE-MAX(0,($D103+L$5)-PERMANENT_FIELD_LABOR_HOURS)*TEMP_HOURLY_RATE-FIXED_SEASON_COST)</f>
        <v>6581.1748237519</v>
      </c>
      <c r="M103" s="53" t="n">
        <f aca="false">IF(OR($A103&gt;TOMATO_BED_CAP,$B103&gt;CARROT_BED_CAP,M$4&gt;MESCLUN_BED_CAP,$A103+$B103+M$4&gt;TOTAL_BEDS_AVAILABLE,($D103+M$5)&gt;TOTAL_LABOR_HOURS_CAP,MAX(0,($D103+M$5)-PERMANENT_FIELD_LABOR_HOURS)&gt;TEMP_HOURS_CAP),"",$C103+M$6-MIN(($D103+M$5),PERMANENT_FIELD_LABOR_HOURS)*PERMANENT_HOURLY_RATE-MAX(0,($D103+M$5)-PERMANENT_FIELD_LABOR_HOURS)*TEMP_HOURLY_RATE-FIXED_SEASON_COST)</f>
        <v>7485.87855580331</v>
      </c>
      <c r="N103" s="53" t="n">
        <f aca="false">IF(OR($A103&gt;TOMATO_BED_CAP,$B103&gt;CARROT_BED_CAP,N$4&gt;MESCLUN_BED_CAP,$A103+$B103+N$4&gt;TOTAL_BEDS_AVAILABLE,($D103+N$5)&gt;TOTAL_LABOR_HOURS_CAP,MAX(0,($D103+N$5)-PERMANENT_FIELD_LABOR_HOURS)&gt;TEMP_HOURS_CAP),"",$C103+N$6-MIN(($D103+N$5),PERMANENT_FIELD_LABOR_HOURS)*PERMANENT_HOURLY_RATE-MAX(0,($D103+N$5)-PERMANENT_FIELD_LABOR_HOURS)*TEMP_HOURLY_RATE-FIXED_SEASON_COST)</f>
        <v>8368.48892966285</v>
      </c>
      <c r="O103" s="53" t="n">
        <f aca="false">IF(OR($A103&gt;TOMATO_BED_CAP,$B103&gt;CARROT_BED_CAP,O$4&gt;MESCLUN_BED_CAP,$A103+$B103+O$4&gt;TOTAL_BEDS_AVAILABLE,($D103+O$5)&gt;TOTAL_LABOR_HOURS_CAP,MAX(0,($D103+O$5)-PERMANENT_FIELD_LABOR_HOURS)&gt;TEMP_HOURS_CAP),"",$C103+O$6-MIN(($D103+O$5),PERMANENT_FIELD_LABOR_HOURS)*PERMANENT_HOURLY_RATE-MAX(0,($D103+O$5)-PERMANENT_FIELD_LABOR_HOURS)*TEMP_HOURLY_RATE-FIXED_SEASON_COST)</f>
        <v>9228.5966264176</v>
      </c>
      <c r="P103" s="53" t="n">
        <f aca="false">IF(OR($A103&gt;TOMATO_BED_CAP,$B103&gt;CARROT_BED_CAP,P$4&gt;MESCLUN_BED_CAP,$A103+$B103+P$4&gt;TOTAL_BEDS_AVAILABLE,($D103+P$5)&gt;TOTAL_LABOR_HOURS_CAP,MAX(0,($D103+P$5)-PERMANENT_FIELD_LABOR_HOURS)&gt;TEMP_HOURS_CAP),"",$C103+P$6-MIN(($D103+P$5),PERMANENT_FIELD_LABOR_HOURS)*PERMANENT_HOURLY_RATE-MAX(0,($D103+P$5)-PERMANENT_FIELD_LABOR_HOURS)*TEMP_HOURLY_RATE-FIXED_SEASON_COST)</f>
        <v>10065.785546269</v>
      </c>
      <c r="Q103" s="53" t="n">
        <f aca="false">IF(OR($A103&gt;TOMATO_BED_CAP,$B103&gt;CARROT_BED_CAP,Q$4&gt;MESCLUN_BED_CAP,$A103+$B103+Q$4&gt;TOTAL_BEDS_AVAILABLE,($D103+Q$5)&gt;TOTAL_LABOR_HOURS_CAP,MAX(0,($D103+Q$5)-PERMANENT_FIELD_LABOR_HOURS)&gt;TEMP_HOURS_CAP),"",$C103+Q$6-MIN(($D103+Q$5),PERMANENT_FIELD_LABOR_HOURS)*PERMANENT_HOURLY_RATE-MAX(0,($D103+Q$5)-PERMANENT_FIELD_LABOR_HOURS)*TEMP_HOURLY_RATE-FIXED_SEASON_COST)</f>
        <v>10879.6327029669</v>
      </c>
      <c r="R103" s="53" t="n">
        <f aca="false">IF(OR($A103&gt;TOMATO_BED_CAP,$B103&gt;CARROT_BED_CAP,R$4&gt;MESCLUN_BED_CAP,$A103+$B103+R$4&gt;TOTAL_BEDS_AVAILABLE,($D103+R$5)&gt;TOTAL_LABOR_HOURS_CAP,MAX(0,($D103+R$5)-PERMANENT_FIELD_LABOR_HOURS)&gt;TEMP_HOURS_CAP),"",$C103+R$6-MIN(($D103+R$5),PERMANENT_FIELD_LABOR_HOURS)*PERMANENT_HOURLY_RATE-MAX(0,($D103+R$5)-PERMANENT_FIELD_LABOR_HOURS)*TEMP_HOURLY_RATE-FIXED_SEASON_COST)</f>
        <v>11669.7081166637</v>
      </c>
      <c r="S103" s="53" t="n">
        <f aca="false">IF(OR($A103&gt;TOMATO_BED_CAP,$B103&gt;CARROT_BED_CAP,S$4&gt;MESCLUN_BED_CAP,$A103+$B103+S$4&gt;TOTAL_BEDS_AVAILABLE,($D103+S$5)&gt;TOTAL_LABOR_HOURS_CAP,MAX(0,($D103+S$5)-PERMANENT_FIELD_LABOR_HOURS)&gt;TEMP_HOURS_CAP),"",$C103+S$6-MIN(($D103+S$5),PERMANENT_FIELD_LABOR_HOURS)*PERMANENT_HOURLY_RATE-MAX(0,($D103+S$5)-PERMANENT_FIELD_LABOR_HOURS)*TEMP_HOURLY_RATE-FIXED_SEASON_COST)</f>
        <v>12435.5747051662</v>
      </c>
      <c r="T103" s="53" t="n">
        <f aca="false">IF(OR($A103&gt;TOMATO_BED_CAP,$B103&gt;CARROT_BED_CAP,T$4&gt;MESCLUN_BED_CAP,$A103+$B103+T$4&gt;TOTAL_BEDS_AVAILABLE,($D103+T$5)&gt;TOTAL_LABOR_HOURS_CAP,MAX(0,($D103+T$5)-PERMANENT_FIELD_LABOR_HOURS)&gt;TEMP_HOURS_CAP),"",$C103+T$6-MIN(($D103+T$5),PERMANENT_FIELD_LABOR_HOURS)*PERMANENT_HOURLY_RATE-MAX(0,($D103+T$5)-PERMANENT_FIELD_LABOR_HOURS)*TEMP_HOURLY_RATE-FIXED_SEASON_COST)</f>
        <v>13176.788173561</v>
      </c>
      <c r="U103" s="53" t="n">
        <f aca="false">IF(OR($A103&gt;TOMATO_BED_CAP,$B103&gt;CARROT_BED_CAP,U$4&gt;MESCLUN_BED_CAP,$A103+$B103+U$4&gt;TOTAL_BEDS_AVAILABLE,($D103+U$5)&gt;TOTAL_LABOR_HOURS_CAP,MAX(0,($D103+U$5)-PERMANENT_FIELD_LABOR_HOURS)&gt;TEMP_HOURS_CAP),"",$C103+U$6-MIN(($D103+U$5),PERMANENT_FIELD_LABOR_HOURS)*PERMANENT_HOURLY_RATE-MAX(0,($D103+U$5)-PERMANENT_FIELD_LABOR_HOURS)*TEMP_HOURLY_RATE-FIXED_SEASON_COST)</f>
        <v>13892.8969021911</v>
      </c>
      <c r="V103" s="53" t="n">
        <f aca="false">IF(OR($A103&gt;TOMATO_BED_CAP,$B103&gt;CARROT_BED_CAP,V$4&gt;MESCLUN_BED_CAP,$A103+$B103+V$4&gt;TOTAL_BEDS_AVAILABLE,($D103+V$5)&gt;TOTAL_LABOR_HOURS_CAP,MAX(0,($D103+V$5)-PERMANENT_FIELD_LABOR_HOURS)&gt;TEMP_HOURS_CAP),"",$C103+V$6-MIN(($D103+V$5),PERMANENT_FIELD_LABOR_HOURS)*PERMANENT_HOURLY_RATE-MAX(0,($D103+V$5)-PERMANENT_FIELD_LABOR_HOURS)*TEMP_HOURLY_RATE-FIXED_SEASON_COST)</f>
        <v>14583.4418329579</v>
      </c>
      <c r="W103" s="53" t="n">
        <f aca="false">IF(OR($A103&gt;TOMATO_BED_CAP,$B103&gt;CARROT_BED_CAP,W$4&gt;MESCLUN_BED_CAP,$A103+$B103+W$4&gt;TOTAL_BEDS_AVAILABLE,($D103+W$5)&gt;TOTAL_LABOR_HOURS_CAP,MAX(0,($D103+W$5)-PERMANENT_FIELD_LABOR_HOURS)&gt;TEMP_HOURS_CAP),"",$C103+W$6-MIN(($D103+W$5),PERMANENT_FIELD_LABOR_HOURS)*PERMANENT_HOURLY_RATE-MAX(0,($D103+W$5)-PERMANENT_FIELD_LABOR_HOURS)*TEMP_HOURLY_RATE-FIXED_SEASON_COST)</f>
        <v>15247.956353926</v>
      </c>
      <c r="X103" s="53" t="n">
        <f aca="false">IF(OR($A103&gt;TOMATO_BED_CAP,$B103&gt;CARROT_BED_CAP,X$4&gt;MESCLUN_BED_CAP,$A103+$B103+X$4&gt;TOTAL_BEDS_AVAILABLE,($D103+X$5)&gt;TOTAL_LABOR_HOURS_CAP,MAX(0,($D103+X$5)-PERMANENT_FIELD_LABOR_HOURS)&gt;TEMP_HOURS_CAP),"",$C103+X$6-MIN(($D103+X$5),PERMANENT_FIELD_LABOR_HOURS)*PERMANENT_HOURLY_RATE-MAX(0,($D103+X$5)-PERMANENT_FIELD_LABOR_HOURS)*TEMP_HOURLY_RATE-FIXED_SEASON_COST)</f>
        <v>15885.9661822049</v>
      </c>
      <c r="Y103" s="53" t="n">
        <f aca="false">IF(OR($A103&gt;TOMATO_BED_CAP,$B103&gt;CARROT_BED_CAP,Y$4&gt;MESCLUN_BED_CAP,$A103+$B103+Y$4&gt;TOTAL_BEDS_AVAILABLE,($D103+Y$5)&gt;TOTAL_LABOR_HOURS_CAP,MAX(0,($D103+Y$5)-PERMANENT_FIELD_LABOR_HOURS)&gt;TEMP_HOURS_CAP),"",$C103+Y$6-MIN(($D103+Y$5),PERMANENT_FIELD_LABOR_HOURS)*PERMANENT_HOURLY_RATE-MAX(0,($D103+Y$5)-PERMANENT_FIELD_LABOR_HOURS)*TEMP_HOURLY_RATE-FIXED_SEASON_COST)</f>
        <v>16496.9892450836</v>
      </c>
      <c r="Z103" s="53" t="n">
        <f aca="false">IF(OR($A103&gt;TOMATO_BED_CAP,$B103&gt;CARROT_BED_CAP,Z$4&gt;MESCLUN_BED_CAP,$A103+$B103+Z$4&gt;TOTAL_BEDS_AVAILABLE,($D103+Z$5)&gt;TOTAL_LABOR_HOURS_CAP,MAX(0,($D103+Z$5)-PERMANENT_FIELD_LABOR_HOURS)&gt;TEMP_HOURS_CAP),"",$C103+Z$6-MIN(($D103+Z$5),PERMANENT_FIELD_LABOR_HOURS)*PERMANENT_HOURLY_RATE-MAX(0,($D103+Z$5)-PERMANENT_FIELD_LABOR_HOURS)*TEMP_HOURLY_RATE-FIXED_SEASON_COST)</f>
        <v>17080.5355593913</v>
      </c>
      <c r="AA103" s="53" t="n">
        <f aca="false">IF(OR($A103&gt;TOMATO_BED_CAP,$B103&gt;CARROT_BED_CAP,AA$4&gt;MESCLUN_BED_CAP,$A103+$B103+AA$4&gt;TOTAL_BEDS_AVAILABLE,($D103+AA$5)&gt;TOTAL_LABOR_HOURS_CAP,MAX(0,($D103+AA$5)-PERMANENT_FIELD_LABOR_HOURS)&gt;TEMP_HOURS_CAP),"",$C103+AA$6-MIN(($D103+AA$5),PERMANENT_FIELD_LABOR_HOURS)*PERMANENT_HOURLY_RATE-MAX(0,($D103+AA$5)-PERMANENT_FIELD_LABOR_HOURS)*TEMP_HOURLY_RATE-FIXED_SEASON_COST)</f>
        <v>17636.1071090602</v>
      </c>
      <c r="AB103" s="53" t="n">
        <f aca="false">IF(OR($A103&gt;TOMATO_BED_CAP,$B103&gt;CARROT_BED_CAP,AB$4&gt;MESCLUN_BED_CAP,$A103+$B103+AB$4&gt;TOTAL_BEDS_AVAILABLE,($D103+AB$5)&gt;TOTAL_LABOR_HOURS_CAP,MAX(0,($D103+AB$5)-PERMANENT_FIELD_LABOR_HOURS)&gt;TEMP_HOURS_CAP),"",$C103+AB$6-MIN(($D103+AB$5),PERMANENT_FIELD_LABOR_HOURS)*PERMANENT_HOURLY_RATE-MAX(0,($D103+AB$5)-PERMANENT_FIELD_LABOR_HOURS)*TEMP_HOURLY_RATE-FIXED_SEASON_COST)</f>
        <v>18163.1977208628</v>
      </c>
      <c r="AC103" s="53" t="n">
        <f aca="false">IF(OR($A103&gt;TOMATO_BED_CAP,$B103&gt;CARROT_BED_CAP,AC$4&gt;MESCLUN_BED_CAP,$A103+$B103+AC$4&gt;TOTAL_BEDS_AVAILABLE,($D103+AC$5)&gt;TOTAL_LABOR_HOURS_CAP,MAX(0,($D103+AC$5)-PERMANENT_FIELD_LABOR_HOURS)&gt;TEMP_HOURS_CAP),"",$C103+AC$6-MIN(($D103+AC$5),PERMANENT_FIELD_LABOR_HOURS)*PERMANENT_HOURLY_RATE-MAX(0,($D103+AC$5)-PERMANENT_FIELD_LABOR_HOURS)*TEMP_HOURLY_RATE-FIXED_SEASON_COST)</f>
        <v>18661.2929382977</v>
      </c>
      <c r="AD103" s="53" t="n">
        <f aca="false">IF(OR($A103&gt;TOMATO_BED_CAP,$B103&gt;CARROT_BED_CAP,AD$4&gt;MESCLUN_BED_CAP,$A103+$B103+AD$4&gt;TOTAL_BEDS_AVAILABLE,($D103+AD$5)&gt;TOTAL_LABOR_HOURS_CAP,MAX(0,($D103+AD$5)-PERMANENT_FIELD_LABOR_HOURS)&gt;TEMP_HOURS_CAP),"",$C103+AD$6-MIN(($D103+AD$5),PERMANENT_FIELD_LABOR_HOURS)*PERMANENT_HOURLY_RATE-MAX(0,($D103+AD$5)-PERMANENT_FIELD_LABOR_HOURS)*TEMP_HOURLY_RATE-FIXED_SEASON_COST)</f>
        <v>19129.8698935976</v>
      </c>
      <c r="AE103" s="53" t="n">
        <f aca="false">IF(OR($A103&gt;TOMATO_BED_CAP,$B103&gt;CARROT_BED_CAP,AE$4&gt;MESCLUN_BED_CAP,$A103+$B103+AE$4&gt;TOTAL_BEDS_AVAILABLE,($D103+AE$5)&gt;TOTAL_LABOR_HOURS_CAP,MAX(0,($D103+AE$5)-PERMANENT_FIELD_LABOR_HOURS)&gt;TEMP_HOURS_CAP),"",$C103+AE$6-MIN(($D103+AE$5),PERMANENT_FIELD_LABOR_HOURS)*PERMANENT_HOURLY_RATE-MAX(0,($D103+AE$5)-PERMANENT_FIELD_LABOR_HOURS)*TEMP_HOURLY_RATE-FIXED_SEASON_COST)</f>
        <v>19568.3971778315</v>
      </c>
      <c r="AF103" s="53" t="n">
        <f aca="false">IF(OR($A103&gt;TOMATO_BED_CAP,$B103&gt;CARROT_BED_CAP,AF$4&gt;MESCLUN_BED_CAP,$A103+$B103+AF$4&gt;TOTAL_BEDS_AVAILABLE,($D103+AF$5)&gt;TOTAL_LABOR_HOURS_CAP,MAX(0,($D103+AF$5)-PERMANENT_FIELD_LABOR_HOURS)&gt;TEMP_HOURS_CAP),"",$C103+AF$6-MIN(($D103+AF$5),PERMANENT_FIELD_LABOR_HOURS)*PERMANENT_HOURLY_RATE-MAX(0,($D103+AF$5)-PERMANENT_FIELD_LABOR_HOURS)*TEMP_HOURLY_RATE-FIXED_SEASON_COST)</f>
        <v>19976.3347090735</v>
      </c>
      <c r="AG103" s="53" t="n">
        <f aca="false">IF(OR($A103&gt;TOMATO_BED_CAP,$B103&gt;CARROT_BED_CAP,AG$4&gt;MESCLUN_BED_CAP,$A103+$B103+AG$4&gt;TOTAL_BEDS_AVAILABLE,($D103+AG$5)&gt;TOTAL_LABOR_HOURS_CAP,MAX(0,($D103+AG$5)-PERMANENT_FIELD_LABOR_HOURS)&gt;TEMP_HOURS_CAP),"",$C103+AG$6-MIN(($D103+AG$5),PERMANENT_FIELD_LABOR_HOURS)*PERMANENT_HOURLY_RATE-MAX(0,($D103+AG$5)-PERMANENT_FIELD_LABOR_HOURS)*TEMP_HOURLY_RATE-FIXED_SEASON_COST)</f>
        <v>20353.1335986105</v>
      </c>
      <c r="AH103" s="53" t="n">
        <f aca="false">IF(OR($A103&gt;TOMATO_BED_CAP,$B103&gt;CARROT_BED_CAP,AH$4&gt;MESCLUN_BED_CAP,$A103+$B103+AH$4&gt;TOTAL_BEDS_AVAILABLE,($D103+AH$5)&gt;TOTAL_LABOR_HOURS_CAP,MAX(0,($D103+AH$5)-PERMANENT_FIELD_LABOR_HOURS)&gt;TEMP_HOURS_CAP),"",$C103+AH$6-MIN(($D103+AH$5),PERMANENT_FIELD_LABOR_HOURS)*PERMANENT_HOURLY_RATE-MAX(0,($D103+AH$5)-PERMANENT_FIELD_LABOR_HOURS)*TEMP_HOURLY_RATE-FIXED_SEASON_COST)</f>
        <v>20698.2360151607</v>
      </c>
      <c r="AI103" s="53" t="n">
        <f aca="false">IF(OR($A103&gt;TOMATO_BED_CAP,$B103&gt;CARROT_BED_CAP,AI$4&gt;MESCLUN_BED_CAP,$A103+$B103+AI$4&gt;TOTAL_BEDS_AVAILABLE,($D103+AI$5)&gt;TOTAL_LABOR_HOURS_CAP,MAX(0,($D103+AI$5)-PERMANENT_FIELD_LABOR_HOURS)&gt;TEMP_HOURS_CAP),"",$C103+AI$6-MIN(($D103+AI$5),PERMANENT_FIELD_LABOR_HOURS)*PERMANENT_HOURLY_RATE-MAX(0,($D103+AI$5)-PERMANENT_FIELD_LABOR_HOURS)*TEMP_HOURLY_RATE-FIXED_SEASON_COST)</f>
        <v>21011.075047073</v>
      </c>
      <c r="AJ103" s="53" t="n">
        <f aca="false">IF(OR($A103&gt;TOMATO_BED_CAP,$B103&gt;CARROT_BED_CAP,AJ$4&gt;MESCLUN_BED_CAP,$A103+$B103+AJ$4&gt;TOTAL_BEDS_AVAILABLE,($D103+AJ$5)&gt;TOTAL_LABOR_HOURS_CAP,MAX(0,($D103+AJ$5)-PERMANENT_FIELD_LABOR_HOURS)&gt;TEMP_HOURS_CAP),"",$C103+AJ$6-MIN(($D103+AJ$5),PERMANENT_FIELD_LABOR_HOURS)*PERMANENT_HOURLY_RATE-MAX(0,($D103+AJ$5)-PERMANENT_FIELD_LABOR_HOURS)*TEMP_HOURLY_RATE-FIXED_SEASON_COST)</f>
        <v>21291.0745624787</v>
      </c>
    </row>
    <row r="104" customFormat="false" ht="15" hidden="false" customHeight="false" outlineLevel="0" collapsed="false">
      <c r="A104" s="21" t="n">
        <f aca="false">INT((ROW()-ROW($A$8))/(20+1))</f>
        <v>4</v>
      </c>
      <c r="B104" s="21" t="n">
        <f aca="false">MOD(ROW()-ROW($A$8),20+1)</f>
        <v>12</v>
      </c>
      <c r="C104" s="13" t="n">
        <f aca="false">A104*(TOMATO_REVENUE_PER_BED-TOMATO_FERTILIZER_PER_BED)+B104*(CARROT_REVENUE_PER_BED-CARROT_FERTILIZER_PER_BED)</f>
        <v>51528</v>
      </c>
      <c r="D104" s="14" t="n">
        <f aca="false">INDEX(TOMATO_SCHED_LABOR_HRS,A104+1)+INDEX(CARROT_SCHED_LABOR_HRS,B104+1)</f>
        <v>1011.04231273798</v>
      </c>
      <c r="E104" s="13" t="n">
        <f aca="false">IF(COUNT(F104:AJ104)=0,"",MAX(F104:AJ104))</f>
        <v>22057.0947457413</v>
      </c>
      <c r="F104" s="53" t="n">
        <f aca="false">IF(OR($A104&gt;TOMATO_BED_CAP,$B104&gt;CARROT_BED_CAP,F$4&gt;MESCLUN_BED_CAP,$A104+$B104+F$4&gt;TOTAL_BEDS_AVAILABLE,($D104+F$5)&gt;TOTAL_LABOR_HOURS_CAP,MAX(0,($D104+F$5)-PERMANENT_FIELD_LABOR_HOURS)&gt;TEMP_HOURS_CAP),"",$C104+F$6-MIN(($D104+F$5),PERMANENT_FIELD_LABOR_HOURS)*PERMANENT_HOURLY_RATE-MAX(0,($D104+F$5)-PERMANENT_FIELD_LABOR_HOURS)*TEMP_HOURLY_RATE-FIXED_SEASON_COST)</f>
        <v>1477.10545086875</v>
      </c>
      <c r="G104" s="53" t="n">
        <f aca="false">IF(OR($A104&gt;TOMATO_BED_CAP,$B104&gt;CARROT_BED_CAP,G$4&gt;MESCLUN_BED_CAP,$A104+$B104+G$4&gt;TOTAL_BEDS_AVAILABLE,($D104+G$5)&gt;TOTAL_LABOR_HOURS_CAP,MAX(0,($D104+G$5)-PERMANENT_FIELD_LABOR_HOURS)&gt;TEMP_HOURS_CAP),"",$C104+G$6-MIN(($D104+G$5),PERMANENT_FIELD_LABOR_HOURS)*PERMANENT_HOURLY_RATE-MAX(0,($D104+G$5)-PERMANENT_FIELD_LABOR_HOURS)*TEMP_HOURLY_RATE-FIXED_SEASON_COST)</f>
        <v>2506.14045086875</v>
      </c>
      <c r="H104" s="53" t="n">
        <f aca="false">IF(OR($A104&gt;TOMATO_BED_CAP,$B104&gt;CARROT_BED_CAP,H$4&gt;MESCLUN_BED_CAP,$A104+$B104+H$4&gt;TOTAL_BEDS_AVAILABLE,($D104+H$5)&gt;TOTAL_LABOR_HOURS_CAP,MAX(0,($D104+H$5)-PERMANENT_FIELD_LABOR_HOURS)&gt;TEMP_HOURS_CAP),"",$C104+H$6-MIN(($D104+H$5),PERMANENT_FIELD_LABOR_HOURS)*PERMANENT_HOURLY_RATE-MAX(0,($D104+H$5)-PERMANENT_FIELD_LABOR_HOURS)*TEMP_HOURLY_RATE-FIXED_SEASON_COST)</f>
        <v>3515.40132586875</v>
      </c>
      <c r="I104" s="53" t="n">
        <f aca="false">IF(OR($A104&gt;TOMATO_BED_CAP,$B104&gt;CARROT_BED_CAP,I$4&gt;MESCLUN_BED_CAP,$A104+$B104+I$4&gt;TOTAL_BEDS_AVAILABLE,($D104+I$5)&gt;TOTAL_LABOR_HOURS_CAP,MAX(0,($D104+I$5)-PERMANENT_FIELD_LABOR_HOURS)&gt;TEMP_HOURS_CAP),"",$C104+I$6-MIN(($D104+I$5),PERMANENT_FIELD_LABOR_HOURS)*PERMANENT_HOURLY_RATE-MAX(0,($D104+I$5)-PERMANENT_FIELD_LABOR_HOURS)*TEMP_HOURLY_RATE-FIXED_SEASON_COST)</f>
        <v>4504.517311025</v>
      </c>
      <c r="J104" s="53" t="n">
        <f aca="false">IF(OR($A104&gt;TOMATO_BED_CAP,$B104&gt;CARROT_BED_CAP,J$4&gt;MESCLUN_BED_CAP,$A104+$B104+J$4&gt;TOTAL_BEDS_AVAILABLE,($D104+J$5)&gt;TOTAL_LABOR_HOURS_CAP,MAX(0,($D104+J$5)-PERMANENT_FIELD_LABOR_HOURS)&gt;TEMP_HOURS_CAP),"",$C104+J$6-MIN(($D104+J$5),PERMANENT_FIELD_LABOR_HOURS)*PERMANENT_HOURLY_RATE-MAX(0,($D104+J$5)-PERMANENT_FIELD_LABOR_HOURS)*TEMP_HOURLY_RATE-FIXED_SEASON_COST)</f>
        <v>5473.11146207969</v>
      </c>
      <c r="K104" s="53" t="n">
        <f aca="false">IF(OR($A104&gt;TOMATO_BED_CAP,$B104&gt;CARROT_BED_CAP,K$4&gt;MESCLUN_BED_CAP,$A104+$B104+K$4&gt;TOTAL_BEDS_AVAILABLE,($D104+K$5)&gt;TOTAL_LABOR_HOURS_CAP,MAX(0,($D104+K$5)-PERMANENT_FIELD_LABOR_HOURS)&gt;TEMP_HOURS_CAP),"",$C104+K$6-MIN(($D104+K$5),PERMANENT_FIELD_LABOR_HOURS)*PERMANENT_HOURLY_RATE-MAX(0,($D104+K$5)-PERMANENT_FIELD_LABOR_HOURS)*TEMP_HOURLY_RATE-FIXED_SEASON_COST)</f>
        <v>6420.8005588076</v>
      </c>
      <c r="L104" s="53" t="n">
        <f aca="false">IF(OR($A104&gt;TOMATO_BED_CAP,$B104&gt;CARROT_BED_CAP,L$4&gt;MESCLUN_BED_CAP,$A104+$B104+L$4&gt;TOTAL_BEDS_AVAILABLE,($D104+L$5)&gt;TOTAL_LABOR_HOURS_CAP,MAX(0,($D104+L$5)-PERMANENT_FIELD_LABOR_HOURS)&gt;TEMP_HOURS_CAP),"",$C104+L$6-MIN(($D104+L$5),PERMANENT_FIELD_LABOR_HOURS)*PERMANENT_HOURLY_RATE-MAX(0,($D104+L$5)-PERMANENT_FIELD_LABOR_HOURS)*TEMP_HOURLY_RATE-FIXED_SEASON_COST)</f>
        <v>7347.19500701445</v>
      </c>
      <c r="M104" s="53" t="n">
        <f aca="false">IF(OR($A104&gt;TOMATO_BED_CAP,$B104&gt;CARROT_BED_CAP,M$4&gt;MESCLUN_BED_CAP,$A104+$B104+M$4&gt;TOTAL_BEDS_AVAILABLE,($D104+M$5)&gt;TOTAL_LABOR_HOURS_CAP,MAX(0,($D104+M$5)-PERMANENT_FIELD_LABOR_HOURS)&gt;TEMP_HOURS_CAP),"",$C104+M$6-MIN(($D104+M$5),PERMANENT_FIELD_LABOR_HOURS)*PERMANENT_HOURLY_RATE-MAX(0,($D104+M$5)-PERMANENT_FIELD_LABOR_HOURS)*TEMP_HOURLY_RATE-FIXED_SEASON_COST)</f>
        <v>8251.89873906585</v>
      </c>
      <c r="N104" s="53" t="n">
        <f aca="false">IF(OR($A104&gt;TOMATO_BED_CAP,$B104&gt;CARROT_BED_CAP,N$4&gt;MESCLUN_BED_CAP,$A104+$B104+N$4&gt;TOTAL_BEDS_AVAILABLE,($D104+N$5)&gt;TOTAL_LABOR_HOURS_CAP,MAX(0,($D104+N$5)-PERMANENT_FIELD_LABOR_HOURS)&gt;TEMP_HOURS_CAP),"",$C104+N$6-MIN(($D104+N$5),PERMANENT_FIELD_LABOR_HOURS)*PERMANENT_HOURLY_RATE-MAX(0,($D104+N$5)-PERMANENT_FIELD_LABOR_HOURS)*TEMP_HOURLY_RATE-FIXED_SEASON_COST)</f>
        <v>9134.5091129254</v>
      </c>
      <c r="O104" s="53" t="n">
        <f aca="false">IF(OR($A104&gt;TOMATO_BED_CAP,$B104&gt;CARROT_BED_CAP,O$4&gt;MESCLUN_BED_CAP,$A104+$B104+O$4&gt;TOTAL_BEDS_AVAILABLE,($D104+O$5)&gt;TOTAL_LABOR_HOURS_CAP,MAX(0,($D104+O$5)-PERMANENT_FIELD_LABOR_HOURS)&gt;TEMP_HOURS_CAP),"",$C104+O$6-MIN(($D104+O$5),PERMANENT_FIELD_LABOR_HOURS)*PERMANENT_HOURLY_RATE-MAX(0,($D104+O$5)-PERMANENT_FIELD_LABOR_HOURS)*TEMP_HOURLY_RATE-FIXED_SEASON_COST)</f>
        <v>9994.61680968015</v>
      </c>
      <c r="P104" s="53" t="n">
        <f aca="false">IF(OR($A104&gt;TOMATO_BED_CAP,$B104&gt;CARROT_BED_CAP,P$4&gt;MESCLUN_BED_CAP,$A104+$B104+P$4&gt;TOTAL_BEDS_AVAILABLE,($D104+P$5)&gt;TOTAL_LABOR_HOURS_CAP,MAX(0,($D104+P$5)-PERMANENT_FIELD_LABOR_HOURS)&gt;TEMP_HOURS_CAP),"",$C104+P$6-MIN(($D104+P$5),PERMANENT_FIELD_LABOR_HOURS)*PERMANENT_HOURLY_RATE-MAX(0,($D104+P$5)-PERMANENT_FIELD_LABOR_HOURS)*TEMP_HOURLY_RATE-FIXED_SEASON_COST)</f>
        <v>10831.8057295316</v>
      </c>
      <c r="Q104" s="53" t="n">
        <f aca="false">IF(OR($A104&gt;TOMATO_BED_CAP,$B104&gt;CARROT_BED_CAP,Q$4&gt;MESCLUN_BED_CAP,$A104+$B104+Q$4&gt;TOTAL_BEDS_AVAILABLE,($D104+Q$5)&gt;TOTAL_LABOR_HOURS_CAP,MAX(0,($D104+Q$5)-PERMANENT_FIELD_LABOR_HOURS)&gt;TEMP_HOURS_CAP),"",$C104+Q$6-MIN(($D104+Q$5),PERMANENT_FIELD_LABOR_HOURS)*PERMANENT_HOURLY_RATE-MAX(0,($D104+Q$5)-PERMANENT_FIELD_LABOR_HOURS)*TEMP_HOURLY_RATE-FIXED_SEASON_COST)</f>
        <v>11645.6528862295</v>
      </c>
      <c r="R104" s="53" t="n">
        <f aca="false">IF(OR($A104&gt;TOMATO_BED_CAP,$B104&gt;CARROT_BED_CAP,R$4&gt;MESCLUN_BED_CAP,$A104+$B104+R$4&gt;TOTAL_BEDS_AVAILABLE,($D104+R$5)&gt;TOTAL_LABOR_HOURS_CAP,MAX(0,($D104+R$5)-PERMANENT_FIELD_LABOR_HOURS)&gt;TEMP_HOURS_CAP),"",$C104+R$6-MIN(($D104+R$5),PERMANENT_FIELD_LABOR_HOURS)*PERMANENT_HOURLY_RATE-MAX(0,($D104+R$5)-PERMANENT_FIELD_LABOR_HOURS)*TEMP_HOURLY_RATE-FIXED_SEASON_COST)</f>
        <v>12435.7282999263</v>
      </c>
      <c r="S104" s="53" t="n">
        <f aca="false">IF(OR($A104&gt;TOMATO_BED_CAP,$B104&gt;CARROT_BED_CAP,S$4&gt;MESCLUN_BED_CAP,$A104+$B104+S$4&gt;TOTAL_BEDS_AVAILABLE,($D104+S$5)&gt;TOTAL_LABOR_HOURS_CAP,MAX(0,($D104+S$5)-PERMANENT_FIELD_LABOR_HOURS)&gt;TEMP_HOURS_CAP),"",$C104+S$6-MIN(($D104+S$5),PERMANENT_FIELD_LABOR_HOURS)*PERMANENT_HOURLY_RATE-MAX(0,($D104+S$5)-PERMANENT_FIELD_LABOR_HOURS)*TEMP_HOURLY_RATE-FIXED_SEASON_COST)</f>
        <v>13201.5948884287</v>
      </c>
      <c r="T104" s="53" t="n">
        <f aca="false">IF(OR($A104&gt;TOMATO_BED_CAP,$B104&gt;CARROT_BED_CAP,T$4&gt;MESCLUN_BED_CAP,$A104+$B104+T$4&gt;TOTAL_BEDS_AVAILABLE,($D104+T$5)&gt;TOTAL_LABOR_HOURS_CAP,MAX(0,($D104+T$5)-PERMANENT_FIELD_LABOR_HOURS)&gt;TEMP_HOURS_CAP),"",$C104+T$6-MIN(($D104+T$5),PERMANENT_FIELD_LABOR_HOURS)*PERMANENT_HOURLY_RATE-MAX(0,($D104+T$5)-PERMANENT_FIELD_LABOR_HOURS)*TEMP_HOURLY_RATE-FIXED_SEASON_COST)</f>
        <v>13942.8083568236</v>
      </c>
      <c r="U104" s="53" t="n">
        <f aca="false">IF(OR($A104&gt;TOMATO_BED_CAP,$B104&gt;CARROT_BED_CAP,U$4&gt;MESCLUN_BED_CAP,$A104+$B104+U$4&gt;TOTAL_BEDS_AVAILABLE,($D104+U$5)&gt;TOTAL_LABOR_HOURS_CAP,MAX(0,($D104+U$5)-PERMANENT_FIELD_LABOR_HOURS)&gt;TEMP_HOURS_CAP),"",$C104+U$6-MIN(($D104+U$5),PERMANENT_FIELD_LABOR_HOURS)*PERMANENT_HOURLY_RATE-MAX(0,($D104+U$5)-PERMANENT_FIELD_LABOR_HOURS)*TEMP_HOURLY_RATE-FIXED_SEASON_COST)</f>
        <v>14658.9170854537</v>
      </c>
      <c r="V104" s="53" t="n">
        <f aca="false">IF(OR($A104&gt;TOMATO_BED_CAP,$B104&gt;CARROT_BED_CAP,V$4&gt;MESCLUN_BED_CAP,$A104+$B104+V$4&gt;TOTAL_BEDS_AVAILABLE,($D104+V$5)&gt;TOTAL_LABOR_HOURS_CAP,MAX(0,($D104+V$5)-PERMANENT_FIELD_LABOR_HOURS)&gt;TEMP_HOURS_CAP),"",$C104+V$6-MIN(($D104+V$5),PERMANENT_FIELD_LABOR_HOURS)*PERMANENT_HOURLY_RATE-MAX(0,($D104+V$5)-PERMANENT_FIELD_LABOR_HOURS)*TEMP_HOURLY_RATE-FIXED_SEASON_COST)</f>
        <v>15349.4620162205</v>
      </c>
      <c r="W104" s="53" t="n">
        <f aca="false">IF(OR($A104&gt;TOMATO_BED_CAP,$B104&gt;CARROT_BED_CAP,W$4&gt;MESCLUN_BED_CAP,$A104+$B104+W$4&gt;TOTAL_BEDS_AVAILABLE,($D104+W$5)&gt;TOTAL_LABOR_HOURS_CAP,MAX(0,($D104+W$5)-PERMANENT_FIELD_LABOR_HOURS)&gt;TEMP_HOURS_CAP),"",$C104+W$6-MIN(($D104+W$5),PERMANENT_FIELD_LABOR_HOURS)*PERMANENT_HOURLY_RATE-MAX(0,($D104+W$5)-PERMANENT_FIELD_LABOR_HOURS)*TEMP_HOURLY_RATE-FIXED_SEASON_COST)</f>
        <v>16013.9765371885</v>
      </c>
      <c r="X104" s="53" t="n">
        <f aca="false">IF(OR($A104&gt;TOMATO_BED_CAP,$B104&gt;CARROT_BED_CAP,X$4&gt;MESCLUN_BED_CAP,$A104+$B104+X$4&gt;TOTAL_BEDS_AVAILABLE,($D104+X$5)&gt;TOTAL_LABOR_HOURS_CAP,MAX(0,($D104+X$5)-PERMANENT_FIELD_LABOR_HOURS)&gt;TEMP_HOURS_CAP),"",$C104+X$6-MIN(($D104+X$5),PERMANENT_FIELD_LABOR_HOURS)*PERMANENT_HOURLY_RATE-MAX(0,($D104+X$5)-PERMANENT_FIELD_LABOR_HOURS)*TEMP_HOURLY_RATE-FIXED_SEASON_COST)</f>
        <v>16651.9863654675</v>
      </c>
      <c r="Y104" s="53" t="n">
        <f aca="false">IF(OR($A104&gt;TOMATO_BED_CAP,$B104&gt;CARROT_BED_CAP,Y$4&gt;MESCLUN_BED_CAP,$A104+$B104+Y$4&gt;TOTAL_BEDS_AVAILABLE,($D104+Y$5)&gt;TOTAL_LABOR_HOURS_CAP,MAX(0,($D104+Y$5)-PERMANENT_FIELD_LABOR_HOURS)&gt;TEMP_HOURS_CAP),"",$C104+Y$6-MIN(($D104+Y$5),PERMANENT_FIELD_LABOR_HOURS)*PERMANENT_HOURLY_RATE-MAX(0,($D104+Y$5)-PERMANENT_FIELD_LABOR_HOURS)*TEMP_HOURLY_RATE-FIXED_SEASON_COST)</f>
        <v>17263.0094283461</v>
      </c>
      <c r="Z104" s="53" t="n">
        <f aca="false">IF(OR($A104&gt;TOMATO_BED_CAP,$B104&gt;CARROT_BED_CAP,Z$4&gt;MESCLUN_BED_CAP,$A104+$B104+Z$4&gt;TOTAL_BEDS_AVAILABLE,($D104+Z$5)&gt;TOTAL_LABOR_HOURS_CAP,MAX(0,($D104+Z$5)-PERMANENT_FIELD_LABOR_HOURS)&gt;TEMP_HOURS_CAP),"",$C104+Z$6-MIN(($D104+Z$5),PERMANENT_FIELD_LABOR_HOURS)*PERMANENT_HOURLY_RATE-MAX(0,($D104+Z$5)-PERMANENT_FIELD_LABOR_HOURS)*TEMP_HOURLY_RATE-FIXED_SEASON_COST)</f>
        <v>17846.5557426538</v>
      </c>
      <c r="AA104" s="53" t="n">
        <f aca="false">IF(OR($A104&gt;TOMATO_BED_CAP,$B104&gt;CARROT_BED_CAP,AA$4&gt;MESCLUN_BED_CAP,$A104+$B104+AA$4&gt;TOTAL_BEDS_AVAILABLE,($D104+AA$5)&gt;TOTAL_LABOR_HOURS_CAP,MAX(0,($D104+AA$5)-PERMANENT_FIELD_LABOR_HOURS)&gt;TEMP_HOURS_CAP),"",$C104+AA$6-MIN(($D104+AA$5),PERMANENT_FIELD_LABOR_HOURS)*PERMANENT_HOURLY_RATE-MAX(0,($D104+AA$5)-PERMANENT_FIELD_LABOR_HOURS)*TEMP_HOURLY_RATE-FIXED_SEASON_COST)</f>
        <v>18402.1272923228</v>
      </c>
      <c r="AB104" s="53" t="n">
        <f aca="false">IF(OR($A104&gt;TOMATO_BED_CAP,$B104&gt;CARROT_BED_CAP,AB$4&gt;MESCLUN_BED_CAP,$A104+$B104+AB$4&gt;TOTAL_BEDS_AVAILABLE,($D104+AB$5)&gt;TOTAL_LABOR_HOURS_CAP,MAX(0,($D104+AB$5)-PERMANENT_FIELD_LABOR_HOURS)&gt;TEMP_HOURS_CAP),"",$C104+AB$6-MIN(($D104+AB$5),PERMANENT_FIELD_LABOR_HOURS)*PERMANENT_HOURLY_RATE-MAX(0,($D104+AB$5)-PERMANENT_FIELD_LABOR_HOURS)*TEMP_HOURLY_RATE-FIXED_SEASON_COST)</f>
        <v>18929.2179041253</v>
      </c>
      <c r="AC104" s="53" t="n">
        <f aca="false">IF(OR($A104&gt;TOMATO_BED_CAP,$B104&gt;CARROT_BED_CAP,AC$4&gt;MESCLUN_BED_CAP,$A104+$B104+AC$4&gt;TOTAL_BEDS_AVAILABLE,($D104+AC$5)&gt;TOTAL_LABOR_HOURS_CAP,MAX(0,($D104+AC$5)-PERMANENT_FIELD_LABOR_HOURS)&gt;TEMP_HOURS_CAP),"",$C104+AC$6-MIN(($D104+AC$5),PERMANENT_FIELD_LABOR_HOURS)*PERMANENT_HOURLY_RATE-MAX(0,($D104+AC$5)-PERMANENT_FIELD_LABOR_HOURS)*TEMP_HOURLY_RATE-FIXED_SEASON_COST)</f>
        <v>19427.3131215602</v>
      </c>
      <c r="AD104" s="53" t="n">
        <f aca="false">IF(OR($A104&gt;TOMATO_BED_CAP,$B104&gt;CARROT_BED_CAP,AD$4&gt;MESCLUN_BED_CAP,$A104+$B104+AD$4&gt;TOTAL_BEDS_AVAILABLE,($D104+AD$5)&gt;TOTAL_LABOR_HOURS_CAP,MAX(0,($D104+AD$5)-PERMANENT_FIELD_LABOR_HOURS)&gt;TEMP_HOURS_CAP),"",$C104+AD$6-MIN(($D104+AD$5),PERMANENT_FIELD_LABOR_HOURS)*PERMANENT_HOURLY_RATE-MAX(0,($D104+AD$5)-PERMANENT_FIELD_LABOR_HOURS)*TEMP_HOURLY_RATE-FIXED_SEASON_COST)</f>
        <v>19895.8900768602</v>
      </c>
      <c r="AE104" s="53" t="n">
        <f aca="false">IF(OR($A104&gt;TOMATO_BED_CAP,$B104&gt;CARROT_BED_CAP,AE$4&gt;MESCLUN_BED_CAP,$A104+$B104+AE$4&gt;TOTAL_BEDS_AVAILABLE,($D104+AE$5)&gt;TOTAL_LABOR_HOURS_CAP,MAX(0,($D104+AE$5)-PERMANENT_FIELD_LABOR_HOURS)&gt;TEMP_HOURS_CAP),"",$C104+AE$6-MIN(($D104+AE$5),PERMANENT_FIELD_LABOR_HOURS)*PERMANENT_HOURLY_RATE-MAX(0,($D104+AE$5)-PERMANENT_FIELD_LABOR_HOURS)*TEMP_HOURLY_RATE-FIXED_SEASON_COST)</f>
        <v>20334.4173610941</v>
      </c>
      <c r="AF104" s="53" t="n">
        <f aca="false">IF(OR($A104&gt;TOMATO_BED_CAP,$B104&gt;CARROT_BED_CAP,AF$4&gt;MESCLUN_BED_CAP,$A104+$B104+AF$4&gt;TOTAL_BEDS_AVAILABLE,($D104+AF$5)&gt;TOTAL_LABOR_HOURS_CAP,MAX(0,($D104+AF$5)-PERMANENT_FIELD_LABOR_HOURS)&gt;TEMP_HOURS_CAP),"",$C104+AF$6-MIN(($D104+AF$5),PERMANENT_FIELD_LABOR_HOURS)*PERMANENT_HOURLY_RATE-MAX(0,($D104+AF$5)-PERMANENT_FIELD_LABOR_HOURS)*TEMP_HOURLY_RATE-FIXED_SEASON_COST)</f>
        <v>20742.354892336</v>
      </c>
      <c r="AG104" s="53" t="n">
        <f aca="false">IF(OR($A104&gt;TOMATO_BED_CAP,$B104&gt;CARROT_BED_CAP,AG$4&gt;MESCLUN_BED_CAP,$A104+$B104+AG$4&gt;TOTAL_BEDS_AVAILABLE,($D104+AG$5)&gt;TOTAL_LABOR_HOURS_CAP,MAX(0,($D104+AG$5)-PERMANENT_FIELD_LABOR_HOURS)&gt;TEMP_HOURS_CAP),"",$C104+AG$6-MIN(($D104+AG$5),PERMANENT_FIELD_LABOR_HOURS)*PERMANENT_HOURLY_RATE-MAX(0,($D104+AG$5)-PERMANENT_FIELD_LABOR_HOURS)*TEMP_HOURLY_RATE-FIXED_SEASON_COST)</f>
        <v>21119.1537818731</v>
      </c>
      <c r="AH104" s="53" t="n">
        <f aca="false">IF(OR($A104&gt;TOMATO_BED_CAP,$B104&gt;CARROT_BED_CAP,AH$4&gt;MESCLUN_BED_CAP,$A104+$B104+AH$4&gt;TOTAL_BEDS_AVAILABLE,($D104+AH$5)&gt;TOTAL_LABOR_HOURS_CAP,MAX(0,($D104+AH$5)-PERMANENT_FIELD_LABOR_HOURS)&gt;TEMP_HOURS_CAP),"",$C104+AH$6-MIN(($D104+AH$5),PERMANENT_FIELD_LABOR_HOURS)*PERMANENT_HOURLY_RATE-MAX(0,($D104+AH$5)-PERMANENT_FIELD_LABOR_HOURS)*TEMP_HOURLY_RATE-FIXED_SEASON_COST)</f>
        <v>21464.2561984233</v>
      </c>
      <c r="AI104" s="53" t="n">
        <f aca="false">IF(OR($A104&gt;TOMATO_BED_CAP,$B104&gt;CARROT_BED_CAP,AI$4&gt;MESCLUN_BED_CAP,$A104+$B104+AI$4&gt;TOTAL_BEDS_AVAILABLE,($D104+AI$5)&gt;TOTAL_LABOR_HOURS_CAP,MAX(0,($D104+AI$5)-PERMANENT_FIELD_LABOR_HOURS)&gt;TEMP_HOURS_CAP),"",$C104+AI$6-MIN(($D104+AI$5),PERMANENT_FIELD_LABOR_HOURS)*PERMANENT_HOURLY_RATE-MAX(0,($D104+AI$5)-PERMANENT_FIELD_LABOR_HOURS)*TEMP_HOURLY_RATE-FIXED_SEASON_COST)</f>
        <v>21777.0952303355</v>
      </c>
      <c r="AJ104" s="53" t="n">
        <f aca="false">IF(OR($A104&gt;TOMATO_BED_CAP,$B104&gt;CARROT_BED_CAP,AJ$4&gt;MESCLUN_BED_CAP,$A104+$B104+AJ$4&gt;TOTAL_BEDS_AVAILABLE,($D104+AJ$5)&gt;TOTAL_LABOR_HOURS_CAP,MAX(0,($D104+AJ$5)-PERMANENT_FIELD_LABOR_HOURS)&gt;TEMP_HOURS_CAP),"",$C104+AJ$6-MIN(($D104+AJ$5),PERMANENT_FIELD_LABOR_HOURS)*PERMANENT_HOURLY_RATE-MAX(0,($D104+AJ$5)-PERMANENT_FIELD_LABOR_HOURS)*TEMP_HOURLY_RATE-FIXED_SEASON_COST)</f>
        <v>22057.0947457413</v>
      </c>
    </row>
    <row r="105" customFormat="false" ht="15" hidden="false" customHeight="false" outlineLevel="0" collapsed="false">
      <c r="A105" s="21" t="n">
        <f aca="false">INT((ROW()-ROW($A$8))/(20+1))</f>
        <v>4</v>
      </c>
      <c r="B105" s="21" t="n">
        <f aca="false">MOD(ROW()-ROW($A$8),20+1)</f>
        <v>13</v>
      </c>
      <c r="C105" s="13" t="n">
        <f aca="false">A105*(TOMATO_REVENUE_PER_BED-TOMATO_FERTILIZER_PER_BED)+B105*(CARROT_REVENUE_PER_BED-CARROT_FERTILIZER_PER_BED)</f>
        <v>53182</v>
      </c>
      <c r="D105" s="14" t="n">
        <f aca="false">INDEX(TOMATO_SCHED_LABOR_HRS,A105+1)+INDEX(CARROT_SCHED_LABOR_HRS,B105+1)</f>
        <v>1064.48025976946</v>
      </c>
      <c r="E105" s="13" t="n">
        <f aca="false">IF(COUNT(F105:AJ105)=0,"",MAX(F105:AJ105))</f>
        <v>22783.4119852747</v>
      </c>
      <c r="F105" s="53" t="n">
        <f aca="false">IF(OR($A105&gt;TOMATO_BED_CAP,$B105&gt;CARROT_BED_CAP,F$4&gt;MESCLUN_BED_CAP,$A105+$B105+F$4&gt;TOTAL_BEDS_AVAILABLE,($D105+F$5)&gt;TOTAL_LABOR_HOURS_CAP,MAX(0,($D105+F$5)-PERMANENT_FIELD_LABOR_HOURS)&gt;TEMP_HOURS_CAP),"",$C105+F$6-MIN(($D105+F$5),PERMANENT_FIELD_LABOR_HOURS)*PERMANENT_HOURLY_RATE-MAX(0,($D105+F$5)-PERMANENT_FIELD_LABOR_HOURS)*TEMP_HOURLY_RATE-FIXED_SEASON_COST)</f>
        <v>2203.42269040217</v>
      </c>
      <c r="G105" s="53" t="n">
        <f aca="false">IF(OR($A105&gt;TOMATO_BED_CAP,$B105&gt;CARROT_BED_CAP,G$4&gt;MESCLUN_BED_CAP,$A105+$B105+G$4&gt;TOTAL_BEDS_AVAILABLE,($D105+G$5)&gt;TOTAL_LABOR_HOURS_CAP,MAX(0,($D105+G$5)-PERMANENT_FIELD_LABOR_HOURS)&gt;TEMP_HOURS_CAP),"",$C105+G$6-MIN(($D105+G$5),PERMANENT_FIELD_LABOR_HOURS)*PERMANENT_HOURLY_RATE-MAX(0,($D105+G$5)-PERMANENT_FIELD_LABOR_HOURS)*TEMP_HOURLY_RATE-FIXED_SEASON_COST)</f>
        <v>3232.45769040217</v>
      </c>
      <c r="H105" s="53" t="n">
        <f aca="false">IF(OR($A105&gt;TOMATO_BED_CAP,$B105&gt;CARROT_BED_CAP,H$4&gt;MESCLUN_BED_CAP,$A105+$B105+H$4&gt;TOTAL_BEDS_AVAILABLE,($D105+H$5)&gt;TOTAL_LABOR_HOURS_CAP,MAX(0,($D105+H$5)-PERMANENT_FIELD_LABOR_HOURS)&gt;TEMP_HOURS_CAP),"",$C105+H$6-MIN(($D105+H$5),PERMANENT_FIELD_LABOR_HOURS)*PERMANENT_HOURLY_RATE-MAX(0,($D105+H$5)-PERMANENT_FIELD_LABOR_HOURS)*TEMP_HOURLY_RATE-FIXED_SEASON_COST)</f>
        <v>4241.71856540217</v>
      </c>
      <c r="I105" s="53" t="n">
        <f aca="false">IF(OR($A105&gt;TOMATO_BED_CAP,$B105&gt;CARROT_BED_CAP,I$4&gt;MESCLUN_BED_CAP,$A105+$B105+I$4&gt;TOTAL_BEDS_AVAILABLE,($D105+I$5)&gt;TOTAL_LABOR_HOURS_CAP,MAX(0,($D105+I$5)-PERMANENT_FIELD_LABOR_HOURS)&gt;TEMP_HOURS_CAP),"",$C105+I$6-MIN(($D105+I$5),PERMANENT_FIELD_LABOR_HOURS)*PERMANENT_HOURLY_RATE-MAX(0,($D105+I$5)-PERMANENT_FIELD_LABOR_HOURS)*TEMP_HOURLY_RATE-FIXED_SEASON_COST)</f>
        <v>5230.83455055843</v>
      </c>
      <c r="J105" s="53" t="n">
        <f aca="false">IF(OR($A105&gt;TOMATO_BED_CAP,$B105&gt;CARROT_BED_CAP,J$4&gt;MESCLUN_BED_CAP,$A105+$B105+J$4&gt;TOTAL_BEDS_AVAILABLE,($D105+J$5)&gt;TOTAL_LABOR_HOURS_CAP,MAX(0,($D105+J$5)-PERMANENT_FIELD_LABOR_HOURS)&gt;TEMP_HOURS_CAP),"",$C105+J$6-MIN(($D105+J$5),PERMANENT_FIELD_LABOR_HOURS)*PERMANENT_HOURLY_RATE-MAX(0,($D105+J$5)-PERMANENT_FIELD_LABOR_HOURS)*TEMP_HOURLY_RATE-FIXED_SEASON_COST)</f>
        <v>6199.42870161311</v>
      </c>
      <c r="K105" s="53" t="n">
        <f aca="false">IF(OR($A105&gt;TOMATO_BED_CAP,$B105&gt;CARROT_BED_CAP,K$4&gt;MESCLUN_BED_CAP,$A105+$B105+K$4&gt;TOTAL_BEDS_AVAILABLE,($D105+K$5)&gt;TOTAL_LABOR_HOURS_CAP,MAX(0,($D105+K$5)-PERMANENT_FIELD_LABOR_HOURS)&gt;TEMP_HOURS_CAP),"",$C105+K$6-MIN(($D105+K$5),PERMANENT_FIELD_LABOR_HOURS)*PERMANENT_HOURLY_RATE-MAX(0,($D105+K$5)-PERMANENT_FIELD_LABOR_HOURS)*TEMP_HOURLY_RATE-FIXED_SEASON_COST)</f>
        <v>7147.11779834102</v>
      </c>
      <c r="L105" s="53" t="n">
        <f aca="false">IF(OR($A105&gt;TOMATO_BED_CAP,$B105&gt;CARROT_BED_CAP,L$4&gt;MESCLUN_BED_CAP,$A105+$B105+L$4&gt;TOTAL_BEDS_AVAILABLE,($D105+L$5)&gt;TOTAL_LABOR_HOURS_CAP,MAX(0,($D105+L$5)-PERMANENT_FIELD_LABOR_HOURS)&gt;TEMP_HOURS_CAP),"",$C105+L$6-MIN(($D105+L$5),PERMANENT_FIELD_LABOR_HOURS)*PERMANENT_HOURLY_RATE-MAX(0,($D105+L$5)-PERMANENT_FIELD_LABOR_HOURS)*TEMP_HOURLY_RATE-FIXED_SEASON_COST)</f>
        <v>8073.51224654787</v>
      </c>
      <c r="M105" s="53" t="n">
        <f aca="false">IF(OR($A105&gt;TOMATO_BED_CAP,$B105&gt;CARROT_BED_CAP,M$4&gt;MESCLUN_BED_CAP,$A105+$B105+M$4&gt;TOTAL_BEDS_AVAILABLE,($D105+M$5)&gt;TOTAL_LABOR_HOURS_CAP,MAX(0,($D105+M$5)-PERMANENT_FIELD_LABOR_HOURS)&gt;TEMP_HOURS_CAP),"",$C105+M$6-MIN(($D105+M$5),PERMANENT_FIELD_LABOR_HOURS)*PERMANENT_HOURLY_RATE-MAX(0,($D105+M$5)-PERMANENT_FIELD_LABOR_HOURS)*TEMP_HOURLY_RATE-FIXED_SEASON_COST)</f>
        <v>8978.21597859928</v>
      </c>
      <c r="N105" s="53" t="n">
        <f aca="false">IF(OR($A105&gt;TOMATO_BED_CAP,$B105&gt;CARROT_BED_CAP,N$4&gt;MESCLUN_BED_CAP,$A105+$B105+N$4&gt;TOTAL_BEDS_AVAILABLE,($D105+N$5)&gt;TOTAL_LABOR_HOURS_CAP,MAX(0,($D105+N$5)-PERMANENT_FIELD_LABOR_HOURS)&gt;TEMP_HOURS_CAP),"",$C105+N$6-MIN(($D105+N$5),PERMANENT_FIELD_LABOR_HOURS)*PERMANENT_HOURLY_RATE-MAX(0,($D105+N$5)-PERMANENT_FIELD_LABOR_HOURS)*TEMP_HOURLY_RATE-FIXED_SEASON_COST)</f>
        <v>9860.82635245883</v>
      </c>
      <c r="O105" s="53" t="n">
        <f aca="false">IF(OR($A105&gt;TOMATO_BED_CAP,$B105&gt;CARROT_BED_CAP,O$4&gt;MESCLUN_BED_CAP,$A105+$B105+O$4&gt;TOTAL_BEDS_AVAILABLE,($D105+O$5)&gt;TOTAL_LABOR_HOURS_CAP,MAX(0,($D105+O$5)-PERMANENT_FIELD_LABOR_HOURS)&gt;TEMP_HOURS_CAP),"",$C105+O$6-MIN(($D105+O$5),PERMANENT_FIELD_LABOR_HOURS)*PERMANENT_HOURLY_RATE-MAX(0,($D105+O$5)-PERMANENT_FIELD_LABOR_HOURS)*TEMP_HOURLY_RATE-FIXED_SEASON_COST)</f>
        <v>10720.9340492136</v>
      </c>
      <c r="P105" s="53" t="n">
        <f aca="false">IF(OR($A105&gt;TOMATO_BED_CAP,$B105&gt;CARROT_BED_CAP,P$4&gt;MESCLUN_BED_CAP,$A105+$B105+P$4&gt;TOTAL_BEDS_AVAILABLE,($D105+P$5)&gt;TOTAL_LABOR_HOURS_CAP,MAX(0,($D105+P$5)-PERMANENT_FIELD_LABOR_HOURS)&gt;TEMP_HOURS_CAP),"",$C105+P$6-MIN(($D105+P$5),PERMANENT_FIELD_LABOR_HOURS)*PERMANENT_HOURLY_RATE-MAX(0,($D105+P$5)-PERMANENT_FIELD_LABOR_HOURS)*TEMP_HOURLY_RATE-FIXED_SEASON_COST)</f>
        <v>11558.122969065</v>
      </c>
      <c r="Q105" s="53" t="n">
        <f aca="false">IF(OR($A105&gt;TOMATO_BED_CAP,$B105&gt;CARROT_BED_CAP,Q$4&gt;MESCLUN_BED_CAP,$A105+$B105+Q$4&gt;TOTAL_BEDS_AVAILABLE,($D105+Q$5)&gt;TOTAL_LABOR_HOURS_CAP,MAX(0,($D105+Q$5)-PERMANENT_FIELD_LABOR_HOURS)&gt;TEMP_HOURS_CAP),"",$C105+Q$6-MIN(($D105+Q$5),PERMANENT_FIELD_LABOR_HOURS)*PERMANENT_HOURLY_RATE-MAX(0,($D105+Q$5)-PERMANENT_FIELD_LABOR_HOURS)*TEMP_HOURLY_RATE-FIXED_SEASON_COST)</f>
        <v>12371.9701257629</v>
      </c>
      <c r="R105" s="53" t="n">
        <f aca="false">IF(OR($A105&gt;TOMATO_BED_CAP,$B105&gt;CARROT_BED_CAP,R$4&gt;MESCLUN_BED_CAP,$A105+$B105+R$4&gt;TOTAL_BEDS_AVAILABLE,($D105+R$5)&gt;TOTAL_LABOR_HOURS_CAP,MAX(0,($D105+R$5)-PERMANENT_FIELD_LABOR_HOURS)&gt;TEMP_HOURS_CAP),"",$C105+R$6-MIN(($D105+R$5),PERMANENT_FIELD_LABOR_HOURS)*PERMANENT_HOURLY_RATE-MAX(0,($D105+R$5)-PERMANENT_FIELD_LABOR_HOURS)*TEMP_HOURLY_RATE-FIXED_SEASON_COST)</f>
        <v>13162.0455394597</v>
      </c>
      <c r="S105" s="53" t="n">
        <f aca="false">IF(OR($A105&gt;TOMATO_BED_CAP,$B105&gt;CARROT_BED_CAP,S$4&gt;MESCLUN_BED_CAP,$A105+$B105+S$4&gt;TOTAL_BEDS_AVAILABLE,($D105+S$5)&gt;TOTAL_LABOR_HOURS_CAP,MAX(0,($D105+S$5)-PERMANENT_FIELD_LABOR_HOURS)&gt;TEMP_HOURS_CAP),"",$C105+S$6-MIN(($D105+S$5),PERMANENT_FIELD_LABOR_HOURS)*PERMANENT_HOURLY_RATE-MAX(0,($D105+S$5)-PERMANENT_FIELD_LABOR_HOURS)*TEMP_HOURLY_RATE-FIXED_SEASON_COST)</f>
        <v>13927.9121279621</v>
      </c>
      <c r="T105" s="53" t="n">
        <f aca="false">IF(OR($A105&gt;TOMATO_BED_CAP,$B105&gt;CARROT_BED_CAP,T$4&gt;MESCLUN_BED_CAP,$A105+$B105+T$4&gt;TOTAL_BEDS_AVAILABLE,($D105+T$5)&gt;TOTAL_LABOR_HOURS_CAP,MAX(0,($D105+T$5)-PERMANENT_FIELD_LABOR_HOURS)&gt;TEMP_HOURS_CAP),"",$C105+T$6-MIN(($D105+T$5),PERMANENT_FIELD_LABOR_HOURS)*PERMANENT_HOURLY_RATE-MAX(0,($D105+T$5)-PERMANENT_FIELD_LABOR_HOURS)*TEMP_HOURLY_RATE-FIXED_SEASON_COST)</f>
        <v>14669.125596357</v>
      </c>
      <c r="U105" s="53" t="n">
        <f aca="false">IF(OR($A105&gt;TOMATO_BED_CAP,$B105&gt;CARROT_BED_CAP,U$4&gt;MESCLUN_BED_CAP,$A105+$B105+U$4&gt;TOTAL_BEDS_AVAILABLE,($D105+U$5)&gt;TOTAL_LABOR_HOURS_CAP,MAX(0,($D105+U$5)-PERMANENT_FIELD_LABOR_HOURS)&gt;TEMP_HOURS_CAP),"",$C105+U$6-MIN(($D105+U$5),PERMANENT_FIELD_LABOR_HOURS)*PERMANENT_HOURLY_RATE-MAX(0,($D105+U$5)-PERMANENT_FIELD_LABOR_HOURS)*TEMP_HOURLY_RATE-FIXED_SEASON_COST)</f>
        <v>15385.2343249871</v>
      </c>
      <c r="V105" s="53" t="n">
        <f aca="false">IF(OR($A105&gt;TOMATO_BED_CAP,$B105&gt;CARROT_BED_CAP,V$4&gt;MESCLUN_BED_CAP,$A105+$B105+V$4&gt;TOTAL_BEDS_AVAILABLE,($D105+V$5)&gt;TOTAL_LABOR_HOURS_CAP,MAX(0,($D105+V$5)-PERMANENT_FIELD_LABOR_HOURS)&gt;TEMP_HOURS_CAP),"",$C105+V$6-MIN(($D105+V$5),PERMANENT_FIELD_LABOR_HOURS)*PERMANENT_HOURLY_RATE-MAX(0,($D105+V$5)-PERMANENT_FIELD_LABOR_HOURS)*TEMP_HOURLY_RATE-FIXED_SEASON_COST)</f>
        <v>16075.7792557539</v>
      </c>
      <c r="W105" s="53" t="n">
        <f aca="false">IF(OR($A105&gt;TOMATO_BED_CAP,$B105&gt;CARROT_BED_CAP,W$4&gt;MESCLUN_BED_CAP,$A105+$B105+W$4&gt;TOTAL_BEDS_AVAILABLE,($D105+W$5)&gt;TOTAL_LABOR_HOURS_CAP,MAX(0,($D105+W$5)-PERMANENT_FIELD_LABOR_HOURS)&gt;TEMP_HOURS_CAP),"",$C105+W$6-MIN(($D105+W$5),PERMANENT_FIELD_LABOR_HOURS)*PERMANENT_HOURLY_RATE-MAX(0,($D105+W$5)-PERMANENT_FIELD_LABOR_HOURS)*TEMP_HOURLY_RATE-FIXED_SEASON_COST)</f>
        <v>16740.293776722</v>
      </c>
      <c r="X105" s="53" t="n">
        <f aca="false">IF(OR($A105&gt;TOMATO_BED_CAP,$B105&gt;CARROT_BED_CAP,X$4&gt;MESCLUN_BED_CAP,$A105+$B105+X$4&gt;TOTAL_BEDS_AVAILABLE,($D105+X$5)&gt;TOTAL_LABOR_HOURS_CAP,MAX(0,($D105+X$5)-PERMANENT_FIELD_LABOR_HOURS)&gt;TEMP_HOURS_CAP),"",$C105+X$6-MIN(($D105+X$5),PERMANENT_FIELD_LABOR_HOURS)*PERMANENT_HOURLY_RATE-MAX(0,($D105+X$5)-PERMANENT_FIELD_LABOR_HOURS)*TEMP_HOURLY_RATE-FIXED_SEASON_COST)</f>
        <v>17378.3036050009</v>
      </c>
      <c r="Y105" s="53" t="n">
        <f aca="false">IF(OR($A105&gt;TOMATO_BED_CAP,$B105&gt;CARROT_BED_CAP,Y$4&gt;MESCLUN_BED_CAP,$A105+$B105+Y$4&gt;TOTAL_BEDS_AVAILABLE,($D105+Y$5)&gt;TOTAL_LABOR_HOURS_CAP,MAX(0,($D105+Y$5)-PERMANENT_FIELD_LABOR_HOURS)&gt;TEMP_HOURS_CAP),"",$C105+Y$6-MIN(($D105+Y$5),PERMANENT_FIELD_LABOR_HOURS)*PERMANENT_HOURLY_RATE-MAX(0,($D105+Y$5)-PERMANENT_FIELD_LABOR_HOURS)*TEMP_HOURLY_RATE-FIXED_SEASON_COST)</f>
        <v>17989.3266678795</v>
      </c>
      <c r="Z105" s="53" t="n">
        <f aca="false">IF(OR($A105&gt;TOMATO_BED_CAP,$B105&gt;CARROT_BED_CAP,Z$4&gt;MESCLUN_BED_CAP,$A105+$B105+Z$4&gt;TOTAL_BEDS_AVAILABLE,($D105+Z$5)&gt;TOTAL_LABOR_HOURS_CAP,MAX(0,($D105+Z$5)-PERMANENT_FIELD_LABOR_HOURS)&gt;TEMP_HOURS_CAP),"",$C105+Z$6-MIN(($D105+Z$5),PERMANENT_FIELD_LABOR_HOURS)*PERMANENT_HOURLY_RATE-MAX(0,($D105+Z$5)-PERMANENT_FIELD_LABOR_HOURS)*TEMP_HOURLY_RATE-FIXED_SEASON_COST)</f>
        <v>18572.8729821873</v>
      </c>
      <c r="AA105" s="53" t="n">
        <f aca="false">IF(OR($A105&gt;TOMATO_BED_CAP,$B105&gt;CARROT_BED_CAP,AA$4&gt;MESCLUN_BED_CAP,$A105+$B105+AA$4&gt;TOTAL_BEDS_AVAILABLE,($D105+AA$5)&gt;TOTAL_LABOR_HOURS_CAP,MAX(0,($D105+AA$5)-PERMANENT_FIELD_LABOR_HOURS)&gt;TEMP_HOURS_CAP),"",$C105+AA$6-MIN(($D105+AA$5),PERMANENT_FIELD_LABOR_HOURS)*PERMANENT_HOURLY_RATE-MAX(0,($D105+AA$5)-PERMANENT_FIELD_LABOR_HOURS)*TEMP_HOURLY_RATE-FIXED_SEASON_COST)</f>
        <v>19128.4445318562</v>
      </c>
      <c r="AB105" s="53" t="n">
        <f aca="false">IF(OR($A105&gt;TOMATO_BED_CAP,$B105&gt;CARROT_BED_CAP,AB$4&gt;MESCLUN_BED_CAP,$A105+$B105+AB$4&gt;TOTAL_BEDS_AVAILABLE,($D105+AB$5)&gt;TOTAL_LABOR_HOURS_CAP,MAX(0,($D105+AB$5)-PERMANENT_FIELD_LABOR_HOURS)&gt;TEMP_HOURS_CAP),"",$C105+AB$6-MIN(($D105+AB$5),PERMANENT_FIELD_LABOR_HOURS)*PERMANENT_HOURLY_RATE-MAX(0,($D105+AB$5)-PERMANENT_FIELD_LABOR_HOURS)*TEMP_HOURLY_RATE-FIXED_SEASON_COST)</f>
        <v>19655.5351436588</v>
      </c>
      <c r="AC105" s="53" t="n">
        <f aca="false">IF(OR($A105&gt;TOMATO_BED_CAP,$B105&gt;CARROT_BED_CAP,AC$4&gt;MESCLUN_BED_CAP,$A105+$B105+AC$4&gt;TOTAL_BEDS_AVAILABLE,($D105+AC$5)&gt;TOTAL_LABOR_HOURS_CAP,MAX(0,($D105+AC$5)-PERMANENT_FIELD_LABOR_HOURS)&gt;TEMP_HOURS_CAP),"",$C105+AC$6-MIN(($D105+AC$5),PERMANENT_FIELD_LABOR_HOURS)*PERMANENT_HOURLY_RATE-MAX(0,($D105+AC$5)-PERMANENT_FIELD_LABOR_HOURS)*TEMP_HOURLY_RATE-FIXED_SEASON_COST)</f>
        <v>20153.6303610937</v>
      </c>
      <c r="AD105" s="53" t="n">
        <f aca="false">IF(OR($A105&gt;TOMATO_BED_CAP,$B105&gt;CARROT_BED_CAP,AD$4&gt;MESCLUN_BED_CAP,$A105+$B105+AD$4&gt;TOTAL_BEDS_AVAILABLE,($D105+AD$5)&gt;TOTAL_LABOR_HOURS_CAP,MAX(0,($D105+AD$5)-PERMANENT_FIELD_LABOR_HOURS)&gt;TEMP_HOURS_CAP),"",$C105+AD$6-MIN(($D105+AD$5),PERMANENT_FIELD_LABOR_HOURS)*PERMANENT_HOURLY_RATE-MAX(0,($D105+AD$5)-PERMANENT_FIELD_LABOR_HOURS)*TEMP_HOURLY_RATE-FIXED_SEASON_COST)</f>
        <v>20622.2073163936</v>
      </c>
      <c r="AE105" s="53" t="n">
        <f aca="false">IF(OR($A105&gt;TOMATO_BED_CAP,$B105&gt;CARROT_BED_CAP,AE$4&gt;MESCLUN_BED_CAP,$A105+$B105+AE$4&gt;TOTAL_BEDS_AVAILABLE,($D105+AE$5)&gt;TOTAL_LABOR_HOURS_CAP,MAX(0,($D105+AE$5)-PERMANENT_FIELD_LABOR_HOURS)&gt;TEMP_HOURS_CAP),"",$C105+AE$6-MIN(($D105+AE$5),PERMANENT_FIELD_LABOR_HOURS)*PERMANENT_HOURLY_RATE-MAX(0,($D105+AE$5)-PERMANENT_FIELD_LABOR_HOURS)*TEMP_HOURLY_RATE-FIXED_SEASON_COST)</f>
        <v>21060.7346006275</v>
      </c>
      <c r="AF105" s="53" t="n">
        <f aca="false">IF(OR($A105&gt;TOMATO_BED_CAP,$B105&gt;CARROT_BED_CAP,AF$4&gt;MESCLUN_BED_CAP,$A105+$B105+AF$4&gt;TOTAL_BEDS_AVAILABLE,($D105+AF$5)&gt;TOTAL_LABOR_HOURS_CAP,MAX(0,($D105+AF$5)-PERMANENT_FIELD_LABOR_HOURS)&gt;TEMP_HOURS_CAP),"",$C105+AF$6-MIN(($D105+AF$5),PERMANENT_FIELD_LABOR_HOURS)*PERMANENT_HOURLY_RATE-MAX(0,($D105+AF$5)-PERMANENT_FIELD_LABOR_HOURS)*TEMP_HOURLY_RATE-FIXED_SEASON_COST)</f>
        <v>21468.6721318695</v>
      </c>
      <c r="AG105" s="53" t="n">
        <f aca="false">IF(OR($A105&gt;TOMATO_BED_CAP,$B105&gt;CARROT_BED_CAP,AG$4&gt;MESCLUN_BED_CAP,$A105+$B105+AG$4&gt;TOTAL_BEDS_AVAILABLE,($D105+AG$5)&gt;TOTAL_LABOR_HOURS_CAP,MAX(0,($D105+AG$5)-PERMANENT_FIELD_LABOR_HOURS)&gt;TEMP_HOURS_CAP),"",$C105+AG$6-MIN(($D105+AG$5),PERMANENT_FIELD_LABOR_HOURS)*PERMANENT_HOURLY_RATE-MAX(0,($D105+AG$5)-PERMANENT_FIELD_LABOR_HOURS)*TEMP_HOURLY_RATE-FIXED_SEASON_COST)</f>
        <v>21845.4710214065</v>
      </c>
      <c r="AH105" s="53" t="n">
        <f aca="false">IF(OR($A105&gt;TOMATO_BED_CAP,$B105&gt;CARROT_BED_CAP,AH$4&gt;MESCLUN_BED_CAP,$A105+$B105+AH$4&gt;TOTAL_BEDS_AVAILABLE,($D105+AH$5)&gt;TOTAL_LABOR_HOURS_CAP,MAX(0,($D105+AH$5)-PERMANENT_FIELD_LABOR_HOURS)&gt;TEMP_HOURS_CAP),"",$C105+AH$6-MIN(($D105+AH$5),PERMANENT_FIELD_LABOR_HOURS)*PERMANENT_HOURLY_RATE-MAX(0,($D105+AH$5)-PERMANENT_FIELD_LABOR_HOURS)*TEMP_HOURLY_RATE-FIXED_SEASON_COST)</f>
        <v>22190.5734379567</v>
      </c>
      <c r="AI105" s="53" t="n">
        <f aca="false">IF(OR($A105&gt;TOMATO_BED_CAP,$B105&gt;CARROT_BED_CAP,AI$4&gt;MESCLUN_BED_CAP,$A105+$B105+AI$4&gt;TOTAL_BEDS_AVAILABLE,($D105+AI$5)&gt;TOTAL_LABOR_HOURS_CAP,MAX(0,($D105+AI$5)-PERMANENT_FIELD_LABOR_HOURS)&gt;TEMP_HOURS_CAP),"",$C105+AI$6-MIN(($D105+AI$5),PERMANENT_FIELD_LABOR_HOURS)*PERMANENT_HOURLY_RATE-MAX(0,($D105+AI$5)-PERMANENT_FIELD_LABOR_HOURS)*TEMP_HOURLY_RATE-FIXED_SEASON_COST)</f>
        <v>22503.412469869</v>
      </c>
      <c r="AJ105" s="53" t="n">
        <f aca="false">IF(OR($A105&gt;TOMATO_BED_CAP,$B105&gt;CARROT_BED_CAP,AJ$4&gt;MESCLUN_BED_CAP,$A105+$B105+AJ$4&gt;TOTAL_BEDS_AVAILABLE,($D105+AJ$5)&gt;TOTAL_LABOR_HOURS_CAP,MAX(0,($D105+AJ$5)-PERMANENT_FIELD_LABOR_HOURS)&gt;TEMP_HOURS_CAP),"",$C105+AJ$6-MIN(($D105+AJ$5),PERMANENT_FIELD_LABOR_HOURS)*PERMANENT_HOURLY_RATE-MAX(0,($D105+AJ$5)-PERMANENT_FIELD_LABOR_HOURS)*TEMP_HOURLY_RATE-FIXED_SEASON_COST)</f>
        <v>22783.4119852747</v>
      </c>
    </row>
    <row r="106" customFormat="false" ht="15" hidden="false" customHeight="false" outlineLevel="0" collapsed="false">
      <c r="A106" s="21" t="n">
        <f aca="false">INT((ROW()-ROW($A$8))/(20+1))</f>
        <v>4</v>
      </c>
      <c r="B106" s="21" t="n">
        <f aca="false">MOD(ROW()-ROW($A$8),20+1)</f>
        <v>14</v>
      </c>
      <c r="C106" s="13" t="n">
        <f aca="false">A106*(TOMATO_REVENUE_PER_BED-TOMATO_FERTILIZER_PER_BED)+B106*(CARROT_REVENUE_PER_BED-CARROT_FERTILIZER_PER_BED)</f>
        <v>54836</v>
      </c>
      <c r="D106" s="14" t="n">
        <f aca="false">INDEX(TOMATO_SCHED_LABOR_HRS,A106+1)+INDEX(CARROT_SCHED_LABOR_HRS,B106+1)</f>
        <v>1120.28762520706</v>
      </c>
      <c r="E106" s="13" t="n">
        <f aca="false">IF(COUNT(F106:AJ106)=0,"",MAX(F106:AJ106))</f>
        <v>23468.596121278</v>
      </c>
      <c r="F106" s="53" t="n">
        <f aca="false">IF(OR($A106&gt;TOMATO_BED_CAP,$B106&gt;CARROT_BED_CAP,F$4&gt;MESCLUN_BED_CAP,$A106+$B106+F$4&gt;TOTAL_BEDS_AVAILABLE,($D106+F$5)&gt;TOTAL_LABOR_HOURS_CAP,MAX(0,($D106+F$5)-PERMANENT_FIELD_LABOR_HOURS)&gt;TEMP_HOURS_CAP),"",$C106+F$6-MIN(($D106+F$5),PERMANENT_FIELD_LABOR_HOURS)*PERMANENT_HOURLY_RATE-MAX(0,($D106+F$5)-PERMANENT_FIELD_LABOR_HOURS)*TEMP_HOURLY_RATE-FIXED_SEASON_COST)</f>
        <v>2888.60682640547</v>
      </c>
      <c r="G106" s="53" t="n">
        <f aca="false">IF(OR($A106&gt;TOMATO_BED_CAP,$B106&gt;CARROT_BED_CAP,G$4&gt;MESCLUN_BED_CAP,$A106+$B106+G$4&gt;TOTAL_BEDS_AVAILABLE,($D106+G$5)&gt;TOTAL_LABOR_HOURS_CAP,MAX(0,($D106+G$5)-PERMANENT_FIELD_LABOR_HOURS)&gt;TEMP_HOURS_CAP),"",$C106+G$6-MIN(($D106+G$5),PERMANENT_FIELD_LABOR_HOURS)*PERMANENT_HOURLY_RATE-MAX(0,($D106+G$5)-PERMANENT_FIELD_LABOR_HOURS)*TEMP_HOURLY_RATE-FIXED_SEASON_COST)</f>
        <v>3917.64182640547</v>
      </c>
      <c r="H106" s="53" t="n">
        <f aca="false">IF(OR($A106&gt;TOMATO_BED_CAP,$B106&gt;CARROT_BED_CAP,H$4&gt;MESCLUN_BED_CAP,$A106+$B106+H$4&gt;TOTAL_BEDS_AVAILABLE,($D106+H$5)&gt;TOTAL_LABOR_HOURS_CAP,MAX(0,($D106+H$5)-PERMANENT_FIELD_LABOR_HOURS)&gt;TEMP_HOURS_CAP),"",$C106+H$6-MIN(($D106+H$5),PERMANENT_FIELD_LABOR_HOURS)*PERMANENT_HOURLY_RATE-MAX(0,($D106+H$5)-PERMANENT_FIELD_LABOR_HOURS)*TEMP_HOURLY_RATE-FIXED_SEASON_COST)</f>
        <v>4926.90270140548</v>
      </c>
      <c r="I106" s="53" t="n">
        <f aca="false">IF(OR($A106&gt;TOMATO_BED_CAP,$B106&gt;CARROT_BED_CAP,I$4&gt;MESCLUN_BED_CAP,$A106+$B106+I$4&gt;TOTAL_BEDS_AVAILABLE,($D106+I$5)&gt;TOTAL_LABOR_HOURS_CAP,MAX(0,($D106+I$5)-PERMANENT_FIELD_LABOR_HOURS)&gt;TEMP_HOURS_CAP),"",$C106+I$6-MIN(($D106+I$5),PERMANENT_FIELD_LABOR_HOURS)*PERMANENT_HOURLY_RATE-MAX(0,($D106+I$5)-PERMANENT_FIELD_LABOR_HOURS)*TEMP_HOURLY_RATE-FIXED_SEASON_COST)</f>
        <v>5916.01868656172</v>
      </c>
      <c r="J106" s="53" t="n">
        <f aca="false">IF(OR($A106&gt;TOMATO_BED_CAP,$B106&gt;CARROT_BED_CAP,J$4&gt;MESCLUN_BED_CAP,$A106+$B106+J$4&gt;TOTAL_BEDS_AVAILABLE,($D106+J$5)&gt;TOTAL_LABOR_HOURS_CAP,MAX(0,($D106+J$5)-PERMANENT_FIELD_LABOR_HOURS)&gt;TEMP_HOURS_CAP),"",$C106+J$6-MIN(($D106+J$5),PERMANENT_FIELD_LABOR_HOURS)*PERMANENT_HOURLY_RATE-MAX(0,($D106+J$5)-PERMANENT_FIELD_LABOR_HOURS)*TEMP_HOURLY_RATE-FIXED_SEASON_COST)</f>
        <v>6884.61283761641</v>
      </c>
      <c r="K106" s="53" t="n">
        <f aca="false">IF(OR($A106&gt;TOMATO_BED_CAP,$B106&gt;CARROT_BED_CAP,K$4&gt;MESCLUN_BED_CAP,$A106+$B106+K$4&gt;TOTAL_BEDS_AVAILABLE,($D106+K$5)&gt;TOTAL_LABOR_HOURS_CAP,MAX(0,($D106+K$5)-PERMANENT_FIELD_LABOR_HOURS)&gt;TEMP_HOURS_CAP),"",$C106+K$6-MIN(($D106+K$5),PERMANENT_FIELD_LABOR_HOURS)*PERMANENT_HOURLY_RATE-MAX(0,($D106+K$5)-PERMANENT_FIELD_LABOR_HOURS)*TEMP_HOURLY_RATE-FIXED_SEASON_COST)</f>
        <v>7832.30193434432</v>
      </c>
      <c r="L106" s="53" t="n">
        <f aca="false">IF(OR($A106&gt;TOMATO_BED_CAP,$B106&gt;CARROT_BED_CAP,L$4&gt;MESCLUN_BED_CAP,$A106+$B106+L$4&gt;TOTAL_BEDS_AVAILABLE,($D106+L$5)&gt;TOTAL_LABOR_HOURS_CAP,MAX(0,($D106+L$5)-PERMANENT_FIELD_LABOR_HOURS)&gt;TEMP_HOURS_CAP),"",$C106+L$6-MIN(($D106+L$5),PERMANENT_FIELD_LABOR_HOURS)*PERMANENT_HOURLY_RATE-MAX(0,($D106+L$5)-PERMANENT_FIELD_LABOR_HOURS)*TEMP_HOURLY_RATE-FIXED_SEASON_COST)</f>
        <v>8758.69638255117</v>
      </c>
      <c r="M106" s="53" t="n">
        <f aca="false">IF(OR($A106&gt;TOMATO_BED_CAP,$B106&gt;CARROT_BED_CAP,M$4&gt;MESCLUN_BED_CAP,$A106+$B106+M$4&gt;TOTAL_BEDS_AVAILABLE,($D106+M$5)&gt;TOTAL_LABOR_HOURS_CAP,MAX(0,($D106+M$5)-PERMANENT_FIELD_LABOR_HOURS)&gt;TEMP_HOURS_CAP),"",$C106+M$6-MIN(($D106+M$5),PERMANENT_FIELD_LABOR_HOURS)*PERMANENT_HOURLY_RATE-MAX(0,($D106+M$5)-PERMANENT_FIELD_LABOR_HOURS)*TEMP_HOURLY_RATE-FIXED_SEASON_COST)</f>
        <v>9663.40011460258</v>
      </c>
      <c r="N106" s="53" t="n">
        <f aca="false">IF(OR($A106&gt;TOMATO_BED_CAP,$B106&gt;CARROT_BED_CAP,N$4&gt;MESCLUN_BED_CAP,$A106+$B106+N$4&gt;TOTAL_BEDS_AVAILABLE,($D106+N$5)&gt;TOTAL_LABOR_HOURS_CAP,MAX(0,($D106+N$5)-PERMANENT_FIELD_LABOR_HOURS)&gt;TEMP_HOURS_CAP),"",$C106+N$6-MIN(($D106+N$5),PERMANENT_FIELD_LABOR_HOURS)*PERMANENT_HOURLY_RATE-MAX(0,($D106+N$5)-PERMANENT_FIELD_LABOR_HOURS)*TEMP_HOURLY_RATE-FIXED_SEASON_COST)</f>
        <v>10546.0104884621</v>
      </c>
      <c r="O106" s="53" t="n">
        <f aca="false">IF(OR($A106&gt;TOMATO_BED_CAP,$B106&gt;CARROT_BED_CAP,O$4&gt;MESCLUN_BED_CAP,$A106+$B106+O$4&gt;TOTAL_BEDS_AVAILABLE,($D106+O$5)&gt;TOTAL_LABOR_HOURS_CAP,MAX(0,($D106+O$5)-PERMANENT_FIELD_LABOR_HOURS)&gt;TEMP_HOURS_CAP),"",$C106+O$6-MIN(($D106+O$5),PERMANENT_FIELD_LABOR_HOURS)*PERMANENT_HOURLY_RATE-MAX(0,($D106+O$5)-PERMANENT_FIELD_LABOR_HOURS)*TEMP_HOURLY_RATE-FIXED_SEASON_COST)</f>
        <v>11406.1181852169</v>
      </c>
      <c r="P106" s="53" t="n">
        <f aca="false">IF(OR($A106&gt;TOMATO_BED_CAP,$B106&gt;CARROT_BED_CAP,P$4&gt;MESCLUN_BED_CAP,$A106+$B106+P$4&gt;TOTAL_BEDS_AVAILABLE,($D106+P$5)&gt;TOTAL_LABOR_HOURS_CAP,MAX(0,($D106+P$5)-PERMANENT_FIELD_LABOR_HOURS)&gt;TEMP_HOURS_CAP),"",$C106+P$6-MIN(($D106+P$5),PERMANENT_FIELD_LABOR_HOURS)*PERMANENT_HOURLY_RATE-MAX(0,($D106+P$5)-PERMANENT_FIELD_LABOR_HOURS)*TEMP_HOURLY_RATE-FIXED_SEASON_COST)</f>
        <v>12243.3071050683</v>
      </c>
      <c r="Q106" s="53" t="n">
        <f aca="false">IF(OR($A106&gt;TOMATO_BED_CAP,$B106&gt;CARROT_BED_CAP,Q$4&gt;MESCLUN_BED_CAP,$A106+$B106+Q$4&gt;TOTAL_BEDS_AVAILABLE,($D106+Q$5)&gt;TOTAL_LABOR_HOURS_CAP,MAX(0,($D106+Q$5)-PERMANENT_FIELD_LABOR_HOURS)&gt;TEMP_HOURS_CAP),"",$C106+Q$6-MIN(($D106+Q$5),PERMANENT_FIELD_LABOR_HOURS)*PERMANENT_HOURLY_RATE-MAX(0,($D106+Q$5)-PERMANENT_FIELD_LABOR_HOURS)*TEMP_HOURLY_RATE-FIXED_SEASON_COST)</f>
        <v>13057.1542617662</v>
      </c>
      <c r="R106" s="53" t="n">
        <f aca="false">IF(OR($A106&gt;TOMATO_BED_CAP,$B106&gt;CARROT_BED_CAP,R$4&gt;MESCLUN_BED_CAP,$A106+$B106+R$4&gt;TOTAL_BEDS_AVAILABLE,($D106+R$5)&gt;TOTAL_LABOR_HOURS_CAP,MAX(0,($D106+R$5)-PERMANENT_FIELD_LABOR_HOURS)&gt;TEMP_HOURS_CAP),"",$C106+R$6-MIN(($D106+R$5),PERMANENT_FIELD_LABOR_HOURS)*PERMANENT_HOURLY_RATE-MAX(0,($D106+R$5)-PERMANENT_FIELD_LABOR_HOURS)*TEMP_HOURLY_RATE-FIXED_SEASON_COST)</f>
        <v>13847.229675463</v>
      </c>
      <c r="S106" s="53" t="n">
        <f aca="false">IF(OR($A106&gt;TOMATO_BED_CAP,$B106&gt;CARROT_BED_CAP,S$4&gt;MESCLUN_BED_CAP,$A106+$B106+S$4&gt;TOTAL_BEDS_AVAILABLE,($D106+S$5)&gt;TOTAL_LABOR_HOURS_CAP,MAX(0,($D106+S$5)-PERMANENT_FIELD_LABOR_HOURS)&gt;TEMP_HOURS_CAP),"",$C106+S$6-MIN(($D106+S$5),PERMANENT_FIELD_LABOR_HOURS)*PERMANENT_HOURLY_RATE-MAX(0,($D106+S$5)-PERMANENT_FIELD_LABOR_HOURS)*TEMP_HOURLY_RATE-FIXED_SEASON_COST)</f>
        <v>14613.0962639654</v>
      </c>
      <c r="T106" s="53" t="n">
        <f aca="false">IF(OR($A106&gt;TOMATO_BED_CAP,$B106&gt;CARROT_BED_CAP,T$4&gt;MESCLUN_BED_CAP,$A106+$B106+T$4&gt;TOTAL_BEDS_AVAILABLE,($D106+T$5)&gt;TOTAL_LABOR_HOURS_CAP,MAX(0,($D106+T$5)-PERMANENT_FIELD_LABOR_HOURS)&gt;TEMP_HOURS_CAP),"",$C106+T$6-MIN(($D106+T$5),PERMANENT_FIELD_LABOR_HOURS)*PERMANENT_HOURLY_RATE-MAX(0,($D106+T$5)-PERMANENT_FIELD_LABOR_HOURS)*TEMP_HOURLY_RATE-FIXED_SEASON_COST)</f>
        <v>15354.3097323603</v>
      </c>
      <c r="U106" s="53" t="n">
        <f aca="false">IF(OR($A106&gt;TOMATO_BED_CAP,$B106&gt;CARROT_BED_CAP,U$4&gt;MESCLUN_BED_CAP,$A106+$B106+U$4&gt;TOTAL_BEDS_AVAILABLE,($D106+U$5)&gt;TOTAL_LABOR_HOURS_CAP,MAX(0,($D106+U$5)-PERMANENT_FIELD_LABOR_HOURS)&gt;TEMP_HOURS_CAP),"",$C106+U$6-MIN(($D106+U$5),PERMANENT_FIELD_LABOR_HOURS)*PERMANENT_HOURLY_RATE-MAX(0,($D106+U$5)-PERMANENT_FIELD_LABOR_HOURS)*TEMP_HOURLY_RATE-FIXED_SEASON_COST)</f>
        <v>16070.4184609904</v>
      </c>
      <c r="V106" s="53" t="n">
        <f aca="false">IF(OR($A106&gt;TOMATO_BED_CAP,$B106&gt;CARROT_BED_CAP,V$4&gt;MESCLUN_BED_CAP,$A106+$B106+V$4&gt;TOTAL_BEDS_AVAILABLE,($D106+V$5)&gt;TOTAL_LABOR_HOURS_CAP,MAX(0,($D106+V$5)-PERMANENT_FIELD_LABOR_HOURS)&gt;TEMP_HOURS_CAP),"",$C106+V$6-MIN(($D106+V$5),PERMANENT_FIELD_LABOR_HOURS)*PERMANENT_HOURLY_RATE-MAX(0,($D106+V$5)-PERMANENT_FIELD_LABOR_HOURS)*TEMP_HOURLY_RATE-FIXED_SEASON_COST)</f>
        <v>16760.9633917572</v>
      </c>
      <c r="W106" s="53" t="n">
        <f aca="false">IF(OR($A106&gt;TOMATO_BED_CAP,$B106&gt;CARROT_BED_CAP,W$4&gt;MESCLUN_BED_CAP,$A106+$B106+W$4&gt;TOTAL_BEDS_AVAILABLE,($D106+W$5)&gt;TOTAL_LABOR_HOURS_CAP,MAX(0,($D106+W$5)-PERMANENT_FIELD_LABOR_HOURS)&gt;TEMP_HOURS_CAP),"",$C106+W$6-MIN(($D106+W$5),PERMANENT_FIELD_LABOR_HOURS)*PERMANENT_HOURLY_RATE-MAX(0,($D106+W$5)-PERMANENT_FIELD_LABOR_HOURS)*TEMP_HOURLY_RATE-FIXED_SEASON_COST)</f>
        <v>17425.4779127253</v>
      </c>
      <c r="X106" s="53" t="n">
        <f aca="false">IF(OR($A106&gt;TOMATO_BED_CAP,$B106&gt;CARROT_BED_CAP,X$4&gt;MESCLUN_BED_CAP,$A106+$B106+X$4&gt;TOTAL_BEDS_AVAILABLE,($D106+X$5)&gt;TOTAL_LABOR_HOURS_CAP,MAX(0,($D106+X$5)-PERMANENT_FIELD_LABOR_HOURS)&gt;TEMP_HOURS_CAP),"",$C106+X$6-MIN(($D106+X$5),PERMANENT_FIELD_LABOR_HOURS)*PERMANENT_HOURLY_RATE-MAX(0,($D106+X$5)-PERMANENT_FIELD_LABOR_HOURS)*TEMP_HOURLY_RATE-FIXED_SEASON_COST)</f>
        <v>18063.4877410042</v>
      </c>
      <c r="Y106" s="53" t="n">
        <f aca="false">IF(OR($A106&gt;TOMATO_BED_CAP,$B106&gt;CARROT_BED_CAP,Y$4&gt;MESCLUN_BED_CAP,$A106+$B106+Y$4&gt;TOTAL_BEDS_AVAILABLE,($D106+Y$5)&gt;TOTAL_LABOR_HOURS_CAP,MAX(0,($D106+Y$5)-PERMANENT_FIELD_LABOR_HOURS)&gt;TEMP_HOURS_CAP),"",$C106+Y$6-MIN(($D106+Y$5),PERMANENT_FIELD_LABOR_HOURS)*PERMANENT_HOURLY_RATE-MAX(0,($D106+Y$5)-PERMANENT_FIELD_LABOR_HOURS)*TEMP_HOURLY_RATE-FIXED_SEASON_COST)</f>
        <v>18674.5108038828</v>
      </c>
      <c r="Z106" s="53" t="n">
        <f aca="false">IF(OR($A106&gt;TOMATO_BED_CAP,$B106&gt;CARROT_BED_CAP,Z$4&gt;MESCLUN_BED_CAP,$A106+$B106+Z$4&gt;TOTAL_BEDS_AVAILABLE,($D106+Z$5)&gt;TOTAL_LABOR_HOURS_CAP,MAX(0,($D106+Z$5)-PERMANENT_FIELD_LABOR_HOURS)&gt;TEMP_HOURS_CAP),"",$C106+Z$6-MIN(($D106+Z$5),PERMANENT_FIELD_LABOR_HOURS)*PERMANENT_HOURLY_RATE-MAX(0,($D106+Z$5)-PERMANENT_FIELD_LABOR_HOURS)*TEMP_HOURLY_RATE-FIXED_SEASON_COST)</f>
        <v>19258.0571181906</v>
      </c>
      <c r="AA106" s="53" t="n">
        <f aca="false">IF(OR($A106&gt;TOMATO_BED_CAP,$B106&gt;CARROT_BED_CAP,AA$4&gt;MESCLUN_BED_CAP,$A106+$B106+AA$4&gt;TOTAL_BEDS_AVAILABLE,($D106+AA$5)&gt;TOTAL_LABOR_HOURS_CAP,MAX(0,($D106+AA$5)-PERMANENT_FIELD_LABOR_HOURS)&gt;TEMP_HOURS_CAP),"",$C106+AA$6-MIN(($D106+AA$5),PERMANENT_FIELD_LABOR_HOURS)*PERMANENT_HOURLY_RATE-MAX(0,($D106+AA$5)-PERMANENT_FIELD_LABOR_HOURS)*TEMP_HOURLY_RATE-FIXED_SEASON_COST)</f>
        <v>19813.6286678595</v>
      </c>
      <c r="AB106" s="53" t="n">
        <f aca="false">IF(OR($A106&gt;TOMATO_BED_CAP,$B106&gt;CARROT_BED_CAP,AB$4&gt;MESCLUN_BED_CAP,$A106+$B106+AB$4&gt;TOTAL_BEDS_AVAILABLE,($D106+AB$5)&gt;TOTAL_LABOR_HOURS_CAP,MAX(0,($D106+AB$5)-PERMANENT_FIELD_LABOR_HOURS)&gt;TEMP_HOURS_CAP),"",$C106+AB$6-MIN(($D106+AB$5),PERMANENT_FIELD_LABOR_HOURS)*PERMANENT_HOURLY_RATE-MAX(0,($D106+AB$5)-PERMANENT_FIELD_LABOR_HOURS)*TEMP_HOURLY_RATE-FIXED_SEASON_COST)</f>
        <v>20340.7192796621</v>
      </c>
      <c r="AC106" s="53" t="n">
        <f aca="false">IF(OR($A106&gt;TOMATO_BED_CAP,$B106&gt;CARROT_BED_CAP,AC$4&gt;MESCLUN_BED_CAP,$A106+$B106+AC$4&gt;TOTAL_BEDS_AVAILABLE,($D106+AC$5)&gt;TOTAL_LABOR_HOURS_CAP,MAX(0,($D106+AC$5)-PERMANENT_FIELD_LABOR_HOURS)&gt;TEMP_HOURS_CAP),"",$C106+AC$6-MIN(($D106+AC$5),PERMANENT_FIELD_LABOR_HOURS)*PERMANENT_HOURLY_RATE-MAX(0,($D106+AC$5)-PERMANENT_FIELD_LABOR_HOURS)*TEMP_HOURLY_RATE-FIXED_SEASON_COST)</f>
        <v>20838.814497097</v>
      </c>
      <c r="AD106" s="53" t="n">
        <f aca="false">IF(OR($A106&gt;TOMATO_BED_CAP,$B106&gt;CARROT_BED_CAP,AD$4&gt;MESCLUN_BED_CAP,$A106+$B106+AD$4&gt;TOTAL_BEDS_AVAILABLE,($D106+AD$5)&gt;TOTAL_LABOR_HOURS_CAP,MAX(0,($D106+AD$5)-PERMANENT_FIELD_LABOR_HOURS)&gt;TEMP_HOURS_CAP),"",$C106+AD$6-MIN(($D106+AD$5),PERMANENT_FIELD_LABOR_HOURS)*PERMANENT_HOURLY_RATE-MAX(0,($D106+AD$5)-PERMANENT_FIELD_LABOR_HOURS)*TEMP_HOURLY_RATE-FIXED_SEASON_COST)</f>
        <v>21307.3914523969</v>
      </c>
      <c r="AE106" s="53" t="n">
        <f aca="false">IF(OR($A106&gt;TOMATO_BED_CAP,$B106&gt;CARROT_BED_CAP,AE$4&gt;MESCLUN_BED_CAP,$A106+$B106+AE$4&gt;TOTAL_BEDS_AVAILABLE,($D106+AE$5)&gt;TOTAL_LABOR_HOURS_CAP,MAX(0,($D106+AE$5)-PERMANENT_FIELD_LABOR_HOURS)&gt;TEMP_HOURS_CAP),"",$C106+AE$6-MIN(($D106+AE$5),PERMANENT_FIELD_LABOR_HOURS)*PERMANENT_HOURLY_RATE-MAX(0,($D106+AE$5)-PERMANENT_FIELD_LABOR_HOURS)*TEMP_HOURLY_RATE-FIXED_SEASON_COST)</f>
        <v>21745.9187366308</v>
      </c>
      <c r="AF106" s="53" t="n">
        <f aca="false">IF(OR($A106&gt;TOMATO_BED_CAP,$B106&gt;CARROT_BED_CAP,AF$4&gt;MESCLUN_BED_CAP,$A106+$B106+AF$4&gt;TOTAL_BEDS_AVAILABLE,($D106+AF$5)&gt;TOTAL_LABOR_HOURS_CAP,MAX(0,($D106+AF$5)-PERMANENT_FIELD_LABOR_HOURS)&gt;TEMP_HOURS_CAP),"",$C106+AF$6-MIN(($D106+AF$5),PERMANENT_FIELD_LABOR_HOURS)*PERMANENT_HOURLY_RATE-MAX(0,($D106+AF$5)-PERMANENT_FIELD_LABOR_HOURS)*TEMP_HOURLY_RATE-FIXED_SEASON_COST)</f>
        <v>22153.8562678728</v>
      </c>
      <c r="AG106" s="53" t="n">
        <f aca="false">IF(OR($A106&gt;TOMATO_BED_CAP,$B106&gt;CARROT_BED_CAP,AG$4&gt;MESCLUN_BED_CAP,$A106+$B106+AG$4&gt;TOTAL_BEDS_AVAILABLE,($D106+AG$5)&gt;TOTAL_LABOR_HOURS_CAP,MAX(0,($D106+AG$5)-PERMANENT_FIELD_LABOR_HOURS)&gt;TEMP_HOURS_CAP),"",$C106+AG$6-MIN(($D106+AG$5),PERMANENT_FIELD_LABOR_HOURS)*PERMANENT_HOURLY_RATE-MAX(0,($D106+AG$5)-PERMANENT_FIELD_LABOR_HOURS)*TEMP_HOURLY_RATE-FIXED_SEASON_COST)</f>
        <v>22530.6551574098</v>
      </c>
      <c r="AH106" s="53" t="n">
        <f aca="false">IF(OR($A106&gt;TOMATO_BED_CAP,$B106&gt;CARROT_BED_CAP,AH$4&gt;MESCLUN_BED_CAP,$A106+$B106+AH$4&gt;TOTAL_BEDS_AVAILABLE,($D106+AH$5)&gt;TOTAL_LABOR_HOURS_CAP,MAX(0,($D106+AH$5)-PERMANENT_FIELD_LABOR_HOURS)&gt;TEMP_HOURS_CAP),"",$C106+AH$6-MIN(($D106+AH$5),PERMANENT_FIELD_LABOR_HOURS)*PERMANENT_HOURLY_RATE-MAX(0,($D106+AH$5)-PERMANENT_FIELD_LABOR_HOURS)*TEMP_HOURLY_RATE-FIXED_SEASON_COST)</f>
        <v>22875.75757396</v>
      </c>
      <c r="AI106" s="53" t="n">
        <f aca="false">IF(OR($A106&gt;TOMATO_BED_CAP,$B106&gt;CARROT_BED_CAP,AI$4&gt;MESCLUN_BED_CAP,$A106+$B106+AI$4&gt;TOTAL_BEDS_AVAILABLE,($D106+AI$5)&gt;TOTAL_LABOR_HOURS_CAP,MAX(0,($D106+AI$5)-PERMANENT_FIELD_LABOR_HOURS)&gt;TEMP_HOURS_CAP),"",$C106+AI$6-MIN(($D106+AI$5),PERMANENT_FIELD_LABOR_HOURS)*PERMANENT_HOURLY_RATE-MAX(0,($D106+AI$5)-PERMANENT_FIELD_LABOR_HOURS)*TEMP_HOURLY_RATE-FIXED_SEASON_COST)</f>
        <v>23188.5966058723</v>
      </c>
      <c r="AJ106" s="53" t="n">
        <f aca="false">IF(OR($A106&gt;TOMATO_BED_CAP,$B106&gt;CARROT_BED_CAP,AJ$4&gt;MESCLUN_BED_CAP,$A106+$B106+AJ$4&gt;TOTAL_BEDS_AVAILABLE,($D106+AJ$5)&gt;TOTAL_LABOR_HOURS_CAP,MAX(0,($D106+AJ$5)-PERMANENT_FIELD_LABOR_HOURS)&gt;TEMP_HOURS_CAP),"",$C106+AJ$6-MIN(($D106+AJ$5),PERMANENT_FIELD_LABOR_HOURS)*PERMANENT_HOURLY_RATE-MAX(0,($D106+AJ$5)-PERMANENT_FIELD_LABOR_HOURS)*TEMP_HOURLY_RATE-FIXED_SEASON_COST)</f>
        <v>23468.596121278</v>
      </c>
    </row>
    <row r="107" customFormat="false" ht="15" hidden="false" customHeight="false" outlineLevel="0" collapsed="false">
      <c r="A107" s="21" t="n">
        <f aca="false">INT((ROW()-ROW($A$8))/(20+1))</f>
        <v>4</v>
      </c>
      <c r="B107" s="21" t="n">
        <f aca="false">MOD(ROW()-ROW($A$8),20+1)</f>
        <v>15</v>
      </c>
      <c r="C107" s="13" t="n">
        <f aca="false">A107*(TOMATO_REVENUE_PER_BED-TOMATO_FERTILIZER_PER_BED)+B107*(CARROT_REVENUE_PER_BED-CARROT_FERTILIZER_PER_BED)</f>
        <v>56490</v>
      </c>
      <c r="D107" s="14" t="n">
        <f aca="false">INDEX(TOMATO_SCHED_LABOR_HRS,A107+1)+INDEX(CARROT_SCHED_LABOR_HRS,B107+1)</f>
        <v>1178.54948125418</v>
      </c>
      <c r="E107" s="13" t="n">
        <f aca="false">IF(COUNT(F107:AJ107)=0,"",MAX(F107:AJ107))</f>
        <v>24111.1703003</v>
      </c>
      <c r="F107" s="53" t="n">
        <f aca="false">IF(OR($A107&gt;TOMATO_BED_CAP,$B107&gt;CARROT_BED_CAP,F$4&gt;MESCLUN_BED_CAP,$A107+$B107+F$4&gt;TOTAL_BEDS_AVAILABLE,($D107+F$5)&gt;TOTAL_LABOR_HOURS_CAP,MAX(0,($D107+F$5)-PERMANENT_FIELD_LABOR_HOURS)&gt;TEMP_HOURS_CAP),"",$C107+F$6-MIN(($D107+F$5),PERMANENT_FIELD_LABOR_HOURS)*PERMANENT_HOURLY_RATE-MAX(0,($D107+F$5)-PERMANENT_FIELD_LABOR_HOURS)*TEMP_HOURLY_RATE-FIXED_SEASON_COST)</f>
        <v>3531.18100542744</v>
      </c>
      <c r="G107" s="53" t="n">
        <f aca="false">IF(OR($A107&gt;TOMATO_BED_CAP,$B107&gt;CARROT_BED_CAP,G$4&gt;MESCLUN_BED_CAP,$A107+$B107+G$4&gt;TOTAL_BEDS_AVAILABLE,($D107+G$5)&gt;TOTAL_LABOR_HOURS_CAP,MAX(0,($D107+G$5)-PERMANENT_FIELD_LABOR_HOURS)&gt;TEMP_HOURS_CAP),"",$C107+G$6-MIN(($D107+G$5),PERMANENT_FIELD_LABOR_HOURS)*PERMANENT_HOURLY_RATE-MAX(0,($D107+G$5)-PERMANENT_FIELD_LABOR_HOURS)*TEMP_HOURLY_RATE-FIXED_SEASON_COST)</f>
        <v>4560.21600542745</v>
      </c>
      <c r="H107" s="53" t="n">
        <f aca="false">IF(OR($A107&gt;TOMATO_BED_CAP,$B107&gt;CARROT_BED_CAP,H$4&gt;MESCLUN_BED_CAP,$A107+$B107+H$4&gt;TOTAL_BEDS_AVAILABLE,($D107+H$5)&gt;TOTAL_LABOR_HOURS_CAP,MAX(0,($D107+H$5)-PERMANENT_FIELD_LABOR_HOURS)&gt;TEMP_HOURS_CAP),"",$C107+H$6-MIN(($D107+H$5),PERMANENT_FIELD_LABOR_HOURS)*PERMANENT_HOURLY_RATE-MAX(0,($D107+H$5)-PERMANENT_FIELD_LABOR_HOURS)*TEMP_HOURLY_RATE-FIXED_SEASON_COST)</f>
        <v>5569.47688042745</v>
      </c>
      <c r="I107" s="53" t="n">
        <f aca="false">IF(OR($A107&gt;TOMATO_BED_CAP,$B107&gt;CARROT_BED_CAP,I$4&gt;MESCLUN_BED_CAP,$A107+$B107+I$4&gt;TOTAL_BEDS_AVAILABLE,($D107+I$5)&gt;TOTAL_LABOR_HOURS_CAP,MAX(0,($D107+I$5)-PERMANENT_FIELD_LABOR_HOURS)&gt;TEMP_HOURS_CAP),"",$C107+I$6-MIN(($D107+I$5),PERMANENT_FIELD_LABOR_HOURS)*PERMANENT_HOURLY_RATE-MAX(0,($D107+I$5)-PERMANENT_FIELD_LABOR_HOURS)*TEMP_HOURLY_RATE-FIXED_SEASON_COST)</f>
        <v>6558.5928655837</v>
      </c>
      <c r="J107" s="53" t="n">
        <f aca="false">IF(OR($A107&gt;TOMATO_BED_CAP,$B107&gt;CARROT_BED_CAP,J$4&gt;MESCLUN_BED_CAP,$A107+$B107+J$4&gt;TOTAL_BEDS_AVAILABLE,($D107+J$5)&gt;TOTAL_LABOR_HOURS_CAP,MAX(0,($D107+J$5)-PERMANENT_FIELD_LABOR_HOURS)&gt;TEMP_HOURS_CAP),"",$C107+J$6-MIN(($D107+J$5),PERMANENT_FIELD_LABOR_HOURS)*PERMANENT_HOURLY_RATE-MAX(0,($D107+J$5)-PERMANENT_FIELD_LABOR_HOURS)*TEMP_HOURLY_RATE-FIXED_SEASON_COST)</f>
        <v>7527.18701663838</v>
      </c>
      <c r="K107" s="53" t="n">
        <f aca="false">IF(OR($A107&gt;TOMATO_BED_CAP,$B107&gt;CARROT_BED_CAP,K$4&gt;MESCLUN_BED_CAP,$A107+$B107+K$4&gt;TOTAL_BEDS_AVAILABLE,($D107+K$5)&gt;TOTAL_LABOR_HOURS_CAP,MAX(0,($D107+K$5)-PERMANENT_FIELD_LABOR_HOURS)&gt;TEMP_HOURS_CAP),"",$C107+K$6-MIN(($D107+K$5),PERMANENT_FIELD_LABOR_HOURS)*PERMANENT_HOURLY_RATE-MAX(0,($D107+K$5)-PERMANENT_FIELD_LABOR_HOURS)*TEMP_HOURLY_RATE-FIXED_SEASON_COST)</f>
        <v>8474.87611336629</v>
      </c>
      <c r="L107" s="53" t="n">
        <f aca="false">IF(OR($A107&gt;TOMATO_BED_CAP,$B107&gt;CARROT_BED_CAP,L$4&gt;MESCLUN_BED_CAP,$A107+$B107+L$4&gt;TOTAL_BEDS_AVAILABLE,($D107+L$5)&gt;TOTAL_LABOR_HOURS_CAP,MAX(0,($D107+L$5)-PERMANENT_FIELD_LABOR_HOURS)&gt;TEMP_HOURS_CAP),"",$C107+L$6-MIN(($D107+L$5),PERMANENT_FIELD_LABOR_HOURS)*PERMANENT_HOURLY_RATE-MAX(0,($D107+L$5)-PERMANENT_FIELD_LABOR_HOURS)*TEMP_HOURLY_RATE-FIXED_SEASON_COST)</f>
        <v>9401.27056157314</v>
      </c>
      <c r="M107" s="53" t="n">
        <f aca="false">IF(OR($A107&gt;TOMATO_BED_CAP,$B107&gt;CARROT_BED_CAP,M$4&gt;MESCLUN_BED_CAP,$A107+$B107+M$4&gt;TOTAL_BEDS_AVAILABLE,($D107+M$5)&gt;TOTAL_LABOR_HOURS_CAP,MAX(0,($D107+M$5)-PERMANENT_FIELD_LABOR_HOURS)&gt;TEMP_HOURS_CAP),"",$C107+M$6-MIN(($D107+M$5),PERMANENT_FIELD_LABOR_HOURS)*PERMANENT_HOURLY_RATE-MAX(0,($D107+M$5)-PERMANENT_FIELD_LABOR_HOURS)*TEMP_HOURLY_RATE-FIXED_SEASON_COST)</f>
        <v>10305.9742936246</v>
      </c>
      <c r="N107" s="53" t="n">
        <f aca="false">IF(OR($A107&gt;TOMATO_BED_CAP,$B107&gt;CARROT_BED_CAP,N$4&gt;MESCLUN_BED_CAP,$A107+$B107+N$4&gt;TOTAL_BEDS_AVAILABLE,($D107+N$5)&gt;TOTAL_LABOR_HOURS_CAP,MAX(0,($D107+N$5)-PERMANENT_FIELD_LABOR_HOURS)&gt;TEMP_HOURS_CAP),"",$C107+N$6-MIN(($D107+N$5),PERMANENT_FIELD_LABOR_HOURS)*PERMANENT_HOURLY_RATE-MAX(0,($D107+N$5)-PERMANENT_FIELD_LABOR_HOURS)*TEMP_HOURLY_RATE-FIXED_SEASON_COST)</f>
        <v>11188.5846674841</v>
      </c>
      <c r="O107" s="53" t="n">
        <f aca="false">IF(OR($A107&gt;TOMATO_BED_CAP,$B107&gt;CARROT_BED_CAP,O$4&gt;MESCLUN_BED_CAP,$A107+$B107+O$4&gt;TOTAL_BEDS_AVAILABLE,($D107+O$5)&gt;TOTAL_LABOR_HOURS_CAP,MAX(0,($D107+O$5)-PERMANENT_FIELD_LABOR_HOURS)&gt;TEMP_HOURS_CAP),"",$C107+O$6-MIN(($D107+O$5),PERMANENT_FIELD_LABOR_HOURS)*PERMANENT_HOURLY_RATE-MAX(0,($D107+O$5)-PERMANENT_FIELD_LABOR_HOURS)*TEMP_HOURLY_RATE-FIXED_SEASON_COST)</f>
        <v>12048.6923642389</v>
      </c>
      <c r="P107" s="53" t="n">
        <f aca="false">IF(OR($A107&gt;TOMATO_BED_CAP,$B107&gt;CARROT_BED_CAP,P$4&gt;MESCLUN_BED_CAP,$A107+$B107+P$4&gt;TOTAL_BEDS_AVAILABLE,($D107+P$5)&gt;TOTAL_LABOR_HOURS_CAP,MAX(0,($D107+P$5)-PERMANENT_FIELD_LABOR_HOURS)&gt;TEMP_HOURS_CAP),"",$C107+P$6-MIN(($D107+P$5),PERMANENT_FIELD_LABOR_HOURS)*PERMANENT_HOURLY_RATE-MAX(0,($D107+P$5)-PERMANENT_FIELD_LABOR_HOURS)*TEMP_HOURLY_RATE-FIXED_SEASON_COST)</f>
        <v>12885.8812840903</v>
      </c>
      <c r="Q107" s="53" t="n">
        <f aca="false">IF(OR($A107&gt;TOMATO_BED_CAP,$B107&gt;CARROT_BED_CAP,Q$4&gt;MESCLUN_BED_CAP,$A107+$B107+Q$4&gt;TOTAL_BEDS_AVAILABLE,($D107+Q$5)&gt;TOTAL_LABOR_HOURS_CAP,MAX(0,($D107+Q$5)-PERMANENT_FIELD_LABOR_HOURS)&gt;TEMP_HOURS_CAP),"",$C107+Q$6-MIN(($D107+Q$5),PERMANENT_FIELD_LABOR_HOURS)*PERMANENT_HOURLY_RATE-MAX(0,($D107+Q$5)-PERMANENT_FIELD_LABOR_HOURS)*TEMP_HOURLY_RATE-FIXED_SEASON_COST)</f>
        <v>13699.7284407882</v>
      </c>
      <c r="R107" s="53" t="n">
        <f aca="false">IF(OR($A107&gt;TOMATO_BED_CAP,$B107&gt;CARROT_BED_CAP,R$4&gt;MESCLUN_BED_CAP,$A107+$B107+R$4&gt;TOTAL_BEDS_AVAILABLE,($D107+R$5)&gt;TOTAL_LABOR_HOURS_CAP,MAX(0,($D107+R$5)-PERMANENT_FIELD_LABOR_HOURS)&gt;TEMP_HOURS_CAP),"",$C107+R$6-MIN(($D107+R$5),PERMANENT_FIELD_LABOR_HOURS)*PERMANENT_HOURLY_RATE-MAX(0,($D107+R$5)-PERMANENT_FIELD_LABOR_HOURS)*TEMP_HOURLY_RATE-FIXED_SEASON_COST)</f>
        <v>14489.803854485</v>
      </c>
      <c r="S107" s="53" t="n">
        <f aca="false">IF(OR($A107&gt;TOMATO_BED_CAP,$B107&gt;CARROT_BED_CAP,S$4&gt;MESCLUN_BED_CAP,$A107+$B107+S$4&gt;TOTAL_BEDS_AVAILABLE,($D107+S$5)&gt;TOTAL_LABOR_HOURS_CAP,MAX(0,($D107+S$5)-PERMANENT_FIELD_LABOR_HOURS)&gt;TEMP_HOURS_CAP),"",$C107+S$6-MIN(($D107+S$5),PERMANENT_FIELD_LABOR_HOURS)*PERMANENT_HOURLY_RATE-MAX(0,($D107+S$5)-PERMANENT_FIELD_LABOR_HOURS)*TEMP_HOURLY_RATE-FIXED_SEASON_COST)</f>
        <v>15255.6704429874</v>
      </c>
      <c r="T107" s="53" t="n">
        <f aca="false">IF(OR($A107&gt;TOMATO_BED_CAP,$B107&gt;CARROT_BED_CAP,T$4&gt;MESCLUN_BED_CAP,$A107+$B107+T$4&gt;TOTAL_BEDS_AVAILABLE,($D107+T$5)&gt;TOTAL_LABOR_HOURS_CAP,MAX(0,($D107+T$5)-PERMANENT_FIELD_LABOR_HOURS)&gt;TEMP_HOURS_CAP),"",$C107+T$6-MIN(($D107+T$5),PERMANENT_FIELD_LABOR_HOURS)*PERMANENT_HOURLY_RATE-MAX(0,($D107+T$5)-PERMANENT_FIELD_LABOR_HOURS)*TEMP_HOURLY_RATE-FIXED_SEASON_COST)</f>
        <v>15996.8839113823</v>
      </c>
      <c r="U107" s="53" t="n">
        <f aca="false">IF(OR($A107&gt;TOMATO_BED_CAP,$B107&gt;CARROT_BED_CAP,U$4&gt;MESCLUN_BED_CAP,$A107+$B107+U$4&gt;TOTAL_BEDS_AVAILABLE,($D107+U$5)&gt;TOTAL_LABOR_HOURS_CAP,MAX(0,($D107+U$5)-PERMANENT_FIELD_LABOR_HOURS)&gt;TEMP_HOURS_CAP),"",$C107+U$6-MIN(($D107+U$5),PERMANENT_FIELD_LABOR_HOURS)*PERMANENT_HOURLY_RATE-MAX(0,($D107+U$5)-PERMANENT_FIELD_LABOR_HOURS)*TEMP_HOURLY_RATE-FIXED_SEASON_COST)</f>
        <v>16712.9926400124</v>
      </c>
      <c r="V107" s="53" t="n">
        <f aca="false">IF(OR($A107&gt;TOMATO_BED_CAP,$B107&gt;CARROT_BED_CAP,V$4&gt;MESCLUN_BED_CAP,$A107+$B107+V$4&gt;TOTAL_BEDS_AVAILABLE,($D107+V$5)&gt;TOTAL_LABOR_HOURS_CAP,MAX(0,($D107+V$5)-PERMANENT_FIELD_LABOR_HOURS)&gt;TEMP_HOURS_CAP),"",$C107+V$6-MIN(($D107+V$5),PERMANENT_FIELD_LABOR_HOURS)*PERMANENT_HOURLY_RATE-MAX(0,($D107+V$5)-PERMANENT_FIELD_LABOR_HOURS)*TEMP_HOURLY_RATE-FIXED_SEASON_COST)</f>
        <v>17403.5375707792</v>
      </c>
      <c r="W107" s="53" t="n">
        <f aca="false">IF(OR($A107&gt;TOMATO_BED_CAP,$B107&gt;CARROT_BED_CAP,W$4&gt;MESCLUN_BED_CAP,$A107+$B107+W$4&gt;TOTAL_BEDS_AVAILABLE,($D107+W$5)&gt;TOTAL_LABOR_HOURS_CAP,MAX(0,($D107+W$5)-PERMANENT_FIELD_LABOR_HOURS)&gt;TEMP_HOURS_CAP),"",$C107+W$6-MIN(($D107+W$5),PERMANENT_FIELD_LABOR_HOURS)*PERMANENT_HOURLY_RATE-MAX(0,($D107+W$5)-PERMANENT_FIELD_LABOR_HOURS)*TEMP_HOURLY_RATE-FIXED_SEASON_COST)</f>
        <v>18068.0520917472</v>
      </c>
      <c r="X107" s="53" t="n">
        <f aca="false">IF(OR($A107&gt;TOMATO_BED_CAP,$B107&gt;CARROT_BED_CAP,X$4&gt;MESCLUN_BED_CAP,$A107+$B107+X$4&gt;TOTAL_BEDS_AVAILABLE,($D107+X$5)&gt;TOTAL_LABOR_HOURS_CAP,MAX(0,($D107+X$5)-PERMANENT_FIELD_LABOR_HOURS)&gt;TEMP_HOURS_CAP),"",$C107+X$6-MIN(($D107+X$5),PERMANENT_FIELD_LABOR_HOURS)*PERMANENT_HOURLY_RATE-MAX(0,($D107+X$5)-PERMANENT_FIELD_LABOR_HOURS)*TEMP_HOURLY_RATE-FIXED_SEASON_COST)</f>
        <v>18706.0619200261</v>
      </c>
      <c r="Y107" s="53" t="n">
        <f aca="false">IF(OR($A107&gt;TOMATO_BED_CAP,$B107&gt;CARROT_BED_CAP,Y$4&gt;MESCLUN_BED_CAP,$A107+$B107+Y$4&gt;TOTAL_BEDS_AVAILABLE,($D107+Y$5)&gt;TOTAL_LABOR_HOURS_CAP,MAX(0,($D107+Y$5)-PERMANENT_FIELD_LABOR_HOURS)&gt;TEMP_HOURS_CAP),"",$C107+Y$6-MIN(($D107+Y$5),PERMANENT_FIELD_LABOR_HOURS)*PERMANENT_HOURLY_RATE-MAX(0,($D107+Y$5)-PERMANENT_FIELD_LABOR_HOURS)*TEMP_HOURLY_RATE-FIXED_SEASON_COST)</f>
        <v>19317.0849829048</v>
      </c>
      <c r="Z107" s="53" t="n">
        <f aca="false">IF(OR($A107&gt;TOMATO_BED_CAP,$B107&gt;CARROT_BED_CAP,Z$4&gt;MESCLUN_BED_CAP,$A107+$B107+Z$4&gt;TOTAL_BEDS_AVAILABLE,($D107+Z$5)&gt;TOTAL_LABOR_HOURS_CAP,MAX(0,($D107+Z$5)-PERMANENT_FIELD_LABOR_HOURS)&gt;TEMP_HOURS_CAP),"",$C107+Z$6-MIN(($D107+Z$5),PERMANENT_FIELD_LABOR_HOURS)*PERMANENT_HOURLY_RATE-MAX(0,($D107+Z$5)-PERMANENT_FIELD_LABOR_HOURS)*TEMP_HOURLY_RATE-FIXED_SEASON_COST)</f>
        <v>19900.6312972125</v>
      </c>
      <c r="AA107" s="53" t="n">
        <f aca="false">IF(OR($A107&gt;TOMATO_BED_CAP,$B107&gt;CARROT_BED_CAP,AA$4&gt;MESCLUN_BED_CAP,$A107+$B107+AA$4&gt;TOTAL_BEDS_AVAILABLE,($D107+AA$5)&gt;TOTAL_LABOR_HOURS_CAP,MAX(0,($D107+AA$5)-PERMANENT_FIELD_LABOR_HOURS)&gt;TEMP_HOURS_CAP),"",$C107+AA$6-MIN(($D107+AA$5),PERMANENT_FIELD_LABOR_HOURS)*PERMANENT_HOURLY_RATE-MAX(0,($D107+AA$5)-PERMANENT_FIELD_LABOR_HOURS)*TEMP_HOURLY_RATE-FIXED_SEASON_COST)</f>
        <v>20456.2028468815</v>
      </c>
      <c r="AB107" s="53" t="n">
        <f aca="false">IF(OR($A107&gt;TOMATO_BED_CAP,$B107&gt;CARROT_BED_CAP,AB$4&gt;MESCLUN_BED_CAP,$A107+$B107+AB$4&gt;TOTAL_BEDS_AVAILABLE,($D107+AB$5)&gt;TOTAL_LABOR_HOURS_CAP,MAX(0,($D107+AB$5)-PERMANENT_FIELD_LABOR_HOURS)&gt;TEMP_HOURS_CAP),"",$C107+AB$6-MIN(($D107+AB$5),PERMANENT_FIELD_LABOR_HOURS)*PERMANENT_HOURLY_RATE-MAX(0,($D107+AB$5)-PERMANENT_FIELD_LABOR_HOURS)*TEMP_HOURLY_RATE-FIXED_SEASON_COST)</f>
        <v>20983.293458684</v>
      </c>
      <c r="AC107" s="53" t="n">
        <f aca="false">IF(OR($A107&gt;TOMATO_BED_CAP,$B107&gt;CARROT_BED_CAP,AC$4&gt;MESCLUN_BED_CAP,$A107+$B107+AC$4&gt;TOTAL_BEDS_AVAILABLE,($D107+AC$5)&gt;TOTAL_LABOR_HOURS_CAP,MAX(0,($D107+AC$5)-PERMANENT_FIELD_LABOR_HOURS)&gt;TEMP_HOURS_CAP),"",$C107+AC$6-MIN(($D107+AC$5),PERMANENT_FIELD_LABOR_HOURS)*PERMANENT_HOURLY_RATE-MAX(0,($D107+AC$5)-PERMANENT_FIELD_LABOR_HOURS)*TEMP_HOURLY_RATE-FIXED_SEASON_COST)</f>
        <v>21481.3886761189</v>
      </c>
      <c r="AD107" s="53" t="n">
        <f aca="false">IF(OR($A107&gt;TOMATO_BED_CAP,$B107&gt;CARROT_BED_CAP,AD$4&gt;MESCLUN_BED_CAP,$A107+$B107+AD$4&gt;TOTAL_BEDS_AVAILABLE,($D107+AD$5)&gt;TOTAL_LABOR_HOURS_CAP,MAX(0,($D107+AD$5)-PERMANENT_FIELD_LABOR_HOURS)&gt;TEMP_HOURS_CAP),"",$C107+AD$6-MIN(($D107+AD$5),PERMANENT_FIELD_LABOR_HOURS)*PERMANENT_HOURLY_RATE-MAX(0,($D107+AD$5)-PERMANENT_FIELD_LABOR_HOURS)*TEMP_HOURLY_RATE-FIXED_SEASON_COST)</f>
        <v>21949.9656314189</v>
      </c>
      <c r="AE107" s="53" t="n">
        <f aca="false">IF(OR($A107&gt;TOMATO_BED_CAP,$B107&gt;CARROT_BED_CAP,AE$4&gt;MESCLUN_BED_CAP,$A107+$B107+AE$4&gt;TOTAL_BEDS_AVAILABLE,($D107+AE$5)&gt;TOTAL_LABOR_HOURS_CAP,MAX(0,($D107+AE$5)-PERMANENT_FIELD_LABOR_HOURS)&gt;TEMP_HOURS_CAP),"",$C107+AE$6-MIN(($D107+AE$5),PERMANENT_FIELD_LABOR_HOURS)*PERMANENT_HOURLY_RATE-MAX(0,($D107+AE$5)-PERMANENT_FIELD_LABOR_HOURS)*TEMP_HOURLY_RATE-FIXED_SEASON_COST)</f>
        <v>22388.4929156528</v>
      </c>
      <c r="AF107" s="53" t="n">
        <f aca="false">IF(OR($A107&gt;TOMATO_BED_CAP,$B107&gt;CARROT_BED_CAP,AF$4&gt;MESCLUN_BED_CAP,$A107+$B107+AF$4&gt;TOTAL_BEDS_AVAILABLE,($D107+AF$5)&gt;TOTAL_LABOR_HOURS_CAP,MAX(0,($D107+AF$5)-PERMANENT_FIELD_LABOR_HOURS)&gt;TEMP_HOURS_CAP),"",$C107+AF$6-MIN(($D107+AF$5),PERMANENT_FIELD_LABOR_HOURS)*PERMANENT_HOURLY_RATE-MAX(0,($D107+AF$5)-PERMANENT_FIELD_LABOR_HOURS)*TEMP_HOURLY_RATE-FIXED_SEASON_COST)</f>
        <v>22796.4304468947</v>
      </c>
      <c r="AG107" s="53" t="n">
        <f aca="false">IF(OR($A107&gt;TOMATO_BED_CAP,$B107&gt;CARROT_BED_CAP,AG$4&gt;MESCLUN_BED_CAP,$A107+$B107+AG$4&gt;TOTAL_BEDS_AVAILABLE,($D107+AG$5)&gt;TOTAL_LABOR_HOURS_CAP,MAX(0,($D107+AG$5)-PERMANENT_FIELD_LABOR_HOURS)&gt;TEMP_HOURS_CAP),"",$C107+AG$6-MIN(($D107+AG$5),PERMANENT_FIELD_LABOR_HOURS)*PERMANENT_HOURLY_RATE-MAX(0,($D107+AG$5)-PERMANENT_FIELD_LABOR_HOURS)*TEMP_HOURLY_RATE-FIXED_SEASON_COST)</f>
        <v>23173.2293364318</v>
      </c>
      <c r="AH107" s="53" t="n">
        <f aca="false">IF(OR($A107&gt;TOMATO_BED_CAP,$B107&gt;CARROT_BED_CAP,AH$4&gt;MESCLUN_BED_CAP,$A107+$B107+AH$4&gt;TOTAL_BEDS_AVAILABLE,($D107+AH$5)&gt;TOTAL_LABOR_HOURS_CAP,MAX(0,($D107+AH$5)-PERMANENT_FIELD_LABOR_HOURS)&gt;TEMP_HOURS_CAP),"",$C107+AH$6-MIN(($D107+AH$5),PERMANENT_FIELD_LABOR_HOURS)*PERMANENT_HOURLY_RATE-MAX(0,($D107+AH$5)-PERMANENT_FIELD_LABOR_HOURS)*TEMP_HOURLY_RATE-FIXED_SEASON_COST)</f>
        <v>23518.331752982</v>
      </c>
      <c r="AI107" s="53" t="n">
        <f aca="false">IF(OR($A107&gt;TOMATO_BED_CAP,$B107&gt;CARROT_BED_CAP,AI$4&gt;MESCLUN_BED_CAP,$A107+$B107+AI$4&gt;TOTAL_BEDS_AVAILABLE,($D107+AI$5)&gt;TOTAL_LABOR_HOURS_CAP,MAX(0,($D107+AI$5)-PERMANENT_FIELD_LABOR_HOURS)&gt;TEMP_HOURS_CAP),"",$C107+AI$6-MIN(($D107+AI$5),PERMANENT_FIELD_LABOR_HOURS)*PERMANENT_HOURLY_RATE-MAX(0,($D107+AI$5)-PERMANENT_FIELD_LABOR_HOURS)*TEMP_HOURLY_RATE-FIXED_SEASON_COST)</f>
        <v>23831.1707848942</v>
      </c>
      <c r="AJ107" s="53" t="n">
        <f aca="false">IF(OR($A107&gt;TOMATO_BED_CAP,$B107&gt;CARROT_BED_CAP,AJ$4&gt;MESCLUN_BED_CAP,$A107+$B107+AJ$4&gt;TOTAL_BEDS_AVAILABLE,($D107+AJ$5)&gt;TOTAL_LABOR_HOURS_CAP,MAX(0,($D107+AJ$5)-PERMANENT_FIELD_LABOR_HOURS)&gt;TEMP_HOURS_CAP),"",$C107+AJ$6-MIN(($D107+AJ$5),PERMANENT_FIELD_LABOR_HOURS)*PERMANENT_HOURLY_RATE-MAX(0,($D107+AJ$5)-PERMANENT_FIELD_LABOR_HOURS)*TEMP_HOURLY_RATE-FIXED_SEASON_COST)</f>
        <v>24111.1703003</v>
      </c>
    </row>
    <row r="108" customFormat="false" ht="15" hidden="false" customHeight="false" outlineLevel="0" collapsed="false">
      <c r="A108" s="21" t="n">
        <f aca="false">INT((ROW()-ROW($A$8))/(20+1))</f>
        <v>4</v>
      </c>
      <c r="B108" s="21" t="n">
        <f aca="false">MOD(ROW()-ROW($A$8),20+1)</f>
        <v>16</v>
      </c>
      <c r="C108" s="13" t="n">
        <f aca="false">A108*(TOMATO_REVENUE_PER_BED-TOMATO_FERTILIZER_PER_BED)+B108*(CARROT_REVENUE_PER_BED-CARROT_FERTILIZER_PER_BED)</f>
        <v>58144</v>
      </c>
      <c r="D108" s="14" t="n">
        <f aca="false">INDEX(TOMATO_SCHED_LABOR_HRS,A108+1)+INDEX(CARROT_SCHED_LABOR_HRS,B108+1)</f>
        <v>1239.3536728379</v>
      </c>
      <c r="E108" s="13" t="n">
        <f aca="false">IF(COUNT(F108:AJ108)=0,"",MAX(F108:AJ108))</f>
        <v>24709.6095344065</v>
      </c>
      <c r="F108" s="53" t="n">
        <f aca="false">IF(OR($A108&gt;TOMATO_BED_CAP,$B108&gt;CARROT_BED_CAP,F$4&gt;MESCLUN_BED_CAP,$A108+$B108+F$4&gt;TOTAL_BEDS_AVAILABLE,($D108+F$5)&gt;TOTAL_LABOR_HOURS_CAP,MAX(0,($D108+F$5)-PERMANENT_FIELD_LABOR_HOURS)&gt;TEMP_HOURS_CAP),"",$C108+F$6-MIN(($D108+F$5),PERMANENT_FIELD_LABOR_HOURS)*PERMANENT_HOURLY_RATE-MAX(0,($D108+F$5)-PERMANENT_FIELD_LABOR_HOURS)*TEMP_HOURLY_RATE-FIXED_SEASON_COST)</f>
        <v>4129.62023953401</v>
      </c>
      <c r="G108" s="53" t="n">
        <f aca="false">IF(OR($A108&gt;TOMATO_BED_CAP,$B108&gt;CARROT_BED_CAP,G$4&gt;MESCLUN_BED_CAP,$A108+$B108+G$4&gt;TOTAL_BEDS_AVAILABLE,($D108+G$5)&gt;TOTAL_LABOR_HOURS_CAP,MAX(0,($D108+G$5)-PERMANENT_FIELD_LABOR_HOURS)&gt;TEMP_HOURS_CAP),"",$C108+G$6-MIN(($D108+G$5),PERMANENT_FIELD_LABOR_HOURS)*PERMANENT_HOURLY_RATE-MAX(0,($D108+G$5)-PERMANENT_FIELD_LABOR_HOURS)*TEMP_HOURLY_RATE-FIXED_SEASON_COST)</f>
        <v>5158.65523953401</v>
      </c>
      <c r="H108" s="53" t="n">
        <f aca="false">IF(OR($A108&gt;TOMATO_BED_CAP,$B108&gt;CARROT_BED_CAP,H$4&gt;MESCLUN_BED_CAP,$A108+$B108+H$4&gt;TOTAL_BEDS_AVAILABLE,($D108+H$5)&gt;TOTAL_LABOR_HOURS_CAP,MAX(0,($D108+H$5)-PERMANENT_FIELD_LABOR_HOURS)&gt;TEMP_HOURS_CAP),"",$C108+H$6-MIN(($D108+H$5),PERMANENT_FIELD_LABOR_HOURS)*PERMANENT_HOURLY_RATE-MAX(0,($D108+H$5)-PERMANENT_FIELD_LABOR_HOURS)*TEMP_HOURLY_RATE-FIXED_SEASON_COST)</f>
        <v>6167.91611453401</v>
      </c>
      <c r="I108" s="53" t="n">
        <f aca="false">IF(OR($A108&gt;TOMATO_BED_CAP,$B108&gt;CARROT_BED_CAP,I$4&gt;MESCLUN_BED_CAP,$A108+$B108+I$4&gt;TOTAL_BEDS_AVAILABLE,($D108+I$5)&gt;TOTAL_LABOR_HOURS_CAP,MAX(0,($D108+I$5)-PERMANENT_FIELD_LABOR_HOURS)&gt;TEMP_HOURS_CAP),"",$C108+I$6-MIN(($D108+I$5),PERMANENT_FIELD_LABOR_HOURS)*PERMANENT_HOURLY_RATE-MAX(0,($D108+I$5)-PERMANENT_FIELD_LABOR_HOURS)*TEMP_HOURLY_RATE-FIXED_SEASON_COST)</f>
        <v>7157.03209969026</v>
      </c>
      <c r="J108" s="53" t="n">
        <f aca="false">IF(OR($A108&gt;TOMATO_BED_CAP,$B108&gt;CARROT_BED_CAP,J$4&gt;MESCLUN_BED_CAP,$A108+$B108+J$4&gt;TOTAL_BEDS_AVAILABLE,($D108+J$5)&gt;TOTAL_LABOR_HOURS_CAP,MAX(0,($D108+J$5)-PERMANENT_FIELD_LABOR_HOURS)&gt;TEMP_HOURS_CAP),"",$C108+J$6-MIN(($D108+J$5),PERMANENT_FIELD_LABOR_HOURS)*PERMANENT_HOURLY_RATE-MAX(0,($D108+J$5)-PERMANENT_FIELD_LABOR_HOURS)*TEMP_HOURLY_RATE-FIXED_SEASON_COST)</f>
        <v>8125.62625074494</v>
      </c>
      <c r="K108" s="53" t="n">
        <f aca="false">IF(OR($A108&gt;TOMATO_BED_CAP,$B108&gt;CARROT_BED_CAP,K$4&gt;MESCLUN_BED_CAP,$A108+$B108+K$4&gt;TOTAL_BEDS_AVAILABLE,($D108+K$5)&gt;TOTAL_LABOR_HOURS_CAP,MAX(0,($D108+K$5)-PERMANENT_FIELD_LABOR_HOURS)&gt;TEMP_HOURS_CAP),"",$C108+K$6-MIN(($D108+K$5),PERMANENT_FIELD_LABOR_HOURS)*PERMANENT_HOURLY_RATE-MAX(0,($D108+K$5)-PERMANENT_FIELD_LABOR_HOURS)*TEMP_HOURLY_RATE-FIXED_SEASON_COST)</f>
        <v>9073.31534747285</v>
      </c>
      <c r="L108" s="53" t="n">
        <f aca="false">IF(OR($A108&gt;TOMATO_BED_CAP,$B108&gt;CARROT_BED_CAP,L$4&gt;MESCLUN_BED_CAP,$A108+$B108+L$4&gt;TOTAL_BEDS_AVAILABLE,($D108+L$5)&gt;TOTAL_LABOR_HOURS_CAP,MAX(0,($D108+L$5)-PERMANENT_FIELD_LABOR_HOURS)&gt;TEMP_HOURS_CAP),"",$C108+L$6-MIN(($D108+L$5),PERMANENT_FIELD_LABOR_HOURS)*PERMANENT_HOURLY_RATE-MAX(0,($D108+L$5)-PERMANENT_FIELD_LABOR_HOURS)*TEMP_HOURLY_RATE-FIXED_SEASON_COST)</f>
        <v>9999.7097956797</v>
      </c>
      <c r="M108" s="53" t="n">
        <f aca="false">IF(OR($A108&gt;TOMATO_BED_CAP,$B108&gt;CARROT_BED_CAP,M$4&gt;MESCLUN_BED_CAP,$A108+$B108+M$4&gt;TOTAL_BEDS_AVAILABLE,($D108+M$5)&gt;TOTAL_LABOR_HOURS_CAP,MAX(0,($D108+M$5)-PERMANENT_FIELD_LABOR_HOURS)&gt;TEMP_HOURS_CAP),"",$C108+M$6-MIN(($D108+M$5),PERMANENT_FIELD_LABOR_HOURS)*PERMANENT_HOURLY_RATE-MAX(0,($D108+M$5)-PERMANENT_FIELD_LABOR_HOURS)*TEMP_HOURLY_RATE-FIXED_SEASON_COST)</f>
        <v>10904.4135277311</v>
      </c>
      <c r="N108" s="53" t="n">
        <f aca="false">IF(OR($A108&gt;TOMATO_BED_CAP,$B108&gt;CARROT_BED_CAP,N$4&gt;MESCLUN_BED_CAP,$A108+$B108+N$4&gt;TOTAL_BEDS_AVAILABLE,($D108+N$5)&gt;TOTAL_LABOR_HOURS_CAP,MAX(0,($D108+N$5)-PERMANENT_FIELD_LABOR_HOURS)&gt;TEMP_HOURS_CAP),"",$C108+N$6-MIN(($D108+N$5),PERMANENT_FIELD_LABOR_HOURS)*PERMANENT_HOURLY_RATE-MAX(0,($D108+N$5)-PERMANENT_FIELD_LABOR_HOURS)*TEMP_HOURLY_RATE-FIXED_SEASON_COST)</f>
        <v>11787.0239015907</v>
      </c>
      <c r="O108" s="53" t="n">
        <f aca="false">IF(OR($A108&gt;TOMATO_BED_CAP,$B108&gt;CARROT_BED_CAP,O$4&gt;MESCLUN_BED_CAP,$A108+$B108+O$4&gt;TOTAL_BEDS_AVAILABLE,($D108+O$5)&gt;TOTAL_LABOR_HOURS_CAP,MAX(0,($D108+O$5)-PERMANENT_FIELD_LABOR_HOURS)&gt;TEMP_HOURS_CAP),"",$C108+O$6-MIN(($D108+O$5),PERMANENT_FIELD_LABOR_HOURS)*PERMANENT_HOURLY_RATE-MAX(0,($D108+O$5)-PERMANENT_FIELD_LABOR_HOURS)*TEMP_HOURLY_RATE-FIXED_SEASON_COST)</f>
        <v>12647.1315983454</v>
      </c>
      <c r="P108" s="53" t="n">
        <f aca="false">IF(OR($A108&gt;TOMATO_BED_CAP,$B108&gt;CARROT_BED_CAP,P$4&gt;MESCLUN_BED_CAP,$A108+$B108+P$4&gt;TOTAL_BEDS_AVAILABLE,($D108+P$5)&gt;TOTAL_LABOR_HOURS_CAP,MAX(0,($D108+P$5)-PERMANENT_FIELD_LABOR_HOURS)&gt;TEMP_HOURS_CAP),"",$C108+P$6-MIN(($D108+P$5),PERMANENT_FIELD_LABOR_HOURS)*PERMANENT_HOURLY_RATE-MAX(0,($D108+P$5)-PERMANENT_FIELD_LABOR_HOURS)*TEMP_HOURLY_RATE-FIXED_SEASON_COST)</f>
        <v>13484.3205181968</v>
      </c>
      <c r="Q108" s="53" t="n">
        <f aca="false">IF(OR($A108&gt;TOMATO_BED_CAP,$B108&gt;CARROT_BED_CAP,Q$4&gt;MESCLUN_BED_CAP,$A108+$B108+Q$4&gt;TOTAL_BEDS_AVAILABLE,($D108+Q$5)&gt;TOTAL_LABOR_HOURS_CAP,MAX(0,($D108+Q$5)-PERMANENT_FIELD_LABOR_HOURS)&gt;TEMP_HOURS_CAP),"",$C108+Q$6-MIN(($D108+Q$5),PERMANENT_FIELD_LABOR_HOURS)*PERMANENT_HOURLY_RATE-MAX(0,($D108+Q$5)-PERMANENT_FIELD_LABOR_HOURS)*TEMP_HOURLY_RATE-FIXED_SEASON_COST)</f>
        <v>14298.1676748947</v>
      </c>
      <c r="R108" s="53" t="n">
        <f aca="false">IF(OR($A108&gt;TOMATO_BED_CAP,$B108&gt;CARROT_BED_CAP,R$4&gt;MESCLUN_BED_CAP,$A108+$B108+R$4&gt;TOTAL_BEDS_AVAILABLE,($D108+R$5)&gt;TOTAL_LABOR_HOURS_CAP,MAX(0,($D108+R$5)-PERMANENT_FIELD_LABOR_HOURS)&gt;TEMP_HOURS_CAP),"",$C108+R$6-MIN(($D108+R$5),PERMANENT_FIELD_LABOR_HOURS)*PERMANENT_HOURLY_RATE-MAX(0,($D108+R$5)-PERMANENT_FIELD_LABOR_HOURS)*TEMP_HOURLY_RATE-FIXED_SEASON_COST)</f>
        <v>15088.2430885915</v>
      </c>
      <c r="S108" s="53" t="n">
        <f aca="false">IF(OR($A108&gt;TOMATO_BED_CAP,$B108&gt;CARROT_BED_CAP,S$4&gt;MESCLUN_BED_CAP,$A108+$B108+S$4&gt;TOTAL_BEDS_AVAILABLE,($D108+S$5)&gt;TOTAL_LABOR_HOURS_CAP,MAX(0,($D108+S$5)-PERMANENT_FIELD_LABOR_HOURS)&gt;TEMP_HOURS_CAP),"",$C108+S$6-MIN(($D108+S$5),PERMANENT_FIELD_LABOR_HOURS)*PERMANENT_HOURLY_RATE-MAX(0,($D108+S$5)-PERMANENT_FIELD_LABOR_HOURS)*TEMP_HOURLY_RATE-FIXED_SEASON_COST)</f>
        <v>15854.109677094</v>
      </c>
      <c r="T108" s="53" t="n">
        <f aca="false">IF(OR($A108&gt;TOMATO_BED_CAP,$B108&gt;CARROT_BED_CAP,T$4&gt;MESCLUN_BED_CAP,$A108+$B108+T$4&gt;TOTAL_BEDS_AVAILABLE,($D108+T$5)&gt;TOTAL_LABOR_HOURS_CAP,MAX(0,($D108+T$5)-PERMANENT_FIELD_LABOR_HOURS)&gt;TEMP_HOURS_CAP),"",$C108+T$6-MIN(($D108+T$5),PERMANENT_FIELD_LABOR_HOURS)*PERMANENT_HOURLY_RATE-MAX(0,($D108+T$5)-PERMANENT_FIELD_LABOR_HOURS)*TEMP_HOURLY_RATE-FIXED_SEASON_COST)</f>
        <v>16595.3231454888</v>
      </c>
      <c r="U108" s="53" t="n">
        <f aca="false">IF(OR($A108&gt;TOMATO_BED_CAP,$B108&gt;CARROT_BED_CAP,U$4&gt;MESCLUN_BED_CAP,$A108+$B108+U$4&gt;TOTAL_BEDS_AVAILABLE,($D108+U$5)&gt;TOTAL_LABOR_HOURS_CAP,MAX(0,($D108+U$5)-PERMANENT_FIELD_LABOR_HOURS)&gt;TEMP_HOURS_CAP),"",$C108+U$6-MIN(($D108+U$5),PERMANENT_FIELD_LABOR_HOURS)*PERMANENT_HOURLY_RATE-MAX(0,($D108+U$5)-PERMANENT_FIELD_LABOR_HOURS)*TEMP_HOURLY_RATE-FIXED_SEASON_COST)</f>
        <v>17311.4318741189</v>
      </c>
      <c r="V108" s="53" t="n">
        <f aca="false">IF(OR($A108&gt;TOMATO_BED_CAP,$B108&gt;CARROT_BED_CAP,V$4&gt;MESCLUN_BED_CAP,$A108+$B108+V$4&gt;TOTAL_BEDS_AVAILABLE,($D108+V$5)&gt;TOTAL_LABOR_HOURS_CAP,MAX(0,($D108+V$5)-PERMANENT_FIELD_LABOR_HOURS)&gt;TEMP_HOURS_CAP),"",$C108+V$6-MIN(($D108+V$5),PERMANENT_FIELD_LABOR_HOURS)*PERMANENT_HOURLY_RATE-MAX(0,($D108+V$5)-PERMANENT_FIELD_LABOR_HOURS)*TEMP_HOURLY_RATE-FIXED_SEASON_COST)</f>
        <v>18001.9768048857</v>
      </c>
      <c r="W108" s="53" t="n">
        <f aca="false">IF(OR($A108&gt;TOMATO_BED_CAP,$B108&gt;CARROT_BED_CAP,W$4&gt;MESCLUN_BED_CAP,$A108+$B108+W$4&gt;TOTAL_BEDS_AVAILABLE,($D108+W$5)&gt;TOTAL_LABOR_HOURS_CAP,MAX(0,($D108+W$5)-PERMANENT_FIELD_LABOR_HOURS)&gt;TEMP_HOURS_CAP),"",$C108+W$6-MIN(($D108+W$5),PERMANENT_FIELD_LABOR_HOURS)*PERMANENT_HOURLY_RATE-MAX(0,($D108+W$5)-PERMANENT_FIELD_LABOR_HOURS)*TEMP_HOURLY_RATE-FIXED_SEASON_COST)</f>
        <v>18666.4913258538</v>
      </c>
      <c r="X108" s="53" t="n">
        <f aca="false">IF(OR($A108&gt;TOMATO_BED_CAP,$B108&gt;CARROT_BED_CAP,X$4&gt;MESCLUN_BED_CAP,$A108+$B108+X$4&gt;TOTAL_BEDS_AVAILABLE,($D108+X$5)&gt;TOTAL_LABOR_HOURS_CAP,MAX(0,($D108+X$5)-PERMANENT_FIELD_LABOR_HOURS)&gt;TEMP_HOURS_CAP),"",$C108+X$6-MIN(($D108+X$5),PERMANENT_FIELD_LABOR_HOURS)*PERMANENT_HOURLY_RATE-MAX(0,($D108+X$5)-PERMANENT_FIELD_LABOR_HOURS)*TEMP_HOURLY_RATE-FIXED_SEASON_COST)</f>
        <v>19304.5011541327</v>
      </c>
      <c r="Y108" s="53" t="n">
        <f aca="false">IF(OR($A108&gt;TOMATO_BED_CAP,$B108&gt;CARROT_BED_CAP,Y$4&gt;MESCLUN_BED_CAP,$A108+$B108+Y$4&gt;TOTAL_BEDS_AVAILABLE,($D108+Y$5)&gt;TOTAL_LABOR_HOURS_CAP,MAX(0,($D108+Y$5)-PERMANENT_FIELD_LABOR_HOURS)&gt;TEMP_HOURS_CAP),"",$C108+Y$6-MIN(($D108+Y$5),PERMANENT_FIELD_LABOR_HOURS)*PERMANENT_HOURLY_RATE-MAX(0,($D108+Y$5)-PERMANENT_FIELD_LABOR_HOURS)*TEMP_HOURLY_RATE-FIXED_SEASON_COST)</f>
        <v>19915.5242170114</v>
      </c>
      <c r="Z108" s="53" t="n">
        <f aca="false">IF(OR($A108&gt;TOMATO_BED_CAP,$B108&gt;CARROT_BED_CAP,Z$4&gt;MESCLUN_BED_CAP,$A108+$B108+Z$4&gt;TOTAL_BEDS_AVAILABLE,($D108+Z$5)&gt;TOTAL_LABOR_HOURS_CAP,MAX(0,($D108+Z$5)-PERMANENT_FIELD_LABOR_HOURS)&gt;TEMP_HOURS_CAP),"",$C108+Z$6-MIN(($D108+Z$5),PERMANENT_FIELD_LABOR_HOURS)*PERMANENT_HOURLY_RATE-MAX(0,($D108+Z$5)-PERMANENT_FIELD_LABOR_HOURS)*TEMP_HOURLY_RATE-FIXED_SEASON_COST)</f>
        <v>20499.0705313191</v>
      </c>
      <c r="AA108" s="53" t="n">
        <f aca="false">IF(OR($A108&gt;TOMATO_BED_CAP,$B108&gt;CARROT_BED_CAP,AA$4&gt;MESCLUN_BED_CAP,$A108+$B108+AA$4&gt;TOTAL_BEDS_AVAILABLE,($D108+AA$5)&gt;TOTAL_LABOR_HOURS_CAP,MAX(0,($D108+AA$5)-PERMANENT_FIELD_LABOR_HOURS)&gt;TEMP_HOURS_CAP),"",$C108+AA$6-MIN(($D108+AA$5),PERMANENT_FIELD_LABOR_HOURS)*PERMANENT_HOURLY_RATE-MAX(0,($D108+AA$5)-PERMANENT_FIELD_LABOR_HOURS)*TEMP_HOURLY_RATE-FIXED_SEASON_COST)</f>
        <v>21054.642080988</v>
      </c>
      <c r="AB108" s="53" t="n">
        <f aca="false">IF(OR($A108&gt;TOMATO_BED_CAP,$B108&gt;CARROT_BED_CAP,AB$4&gt;MESCLUN_BED_CAP,$A108+$B108+AB$4&gt;TOTAL_BEDS_AVAILABLE,($D108+AB$5)&gt;TOTAL_LABOR_HOURS_CAP,MAX(0,($D108+AB$5)-PERMANENT_FIELD_LABOR_HOURS)&gt;TEMP_HOURS_CAP),"",$C108+AB$6-MIN(($D108+AB$5),PERMANENT_FIELD_LABOR_HOURS)*PERMANENT_HOURLY_RATE-MAX(0,($D108+AB$5)-PERMANENT_FIELD_LABOR_HOURS)*TEMP_HOURLY_RATE-FIXED_SEASON_COST)</f>
        <v>21581.7326927906</v>
      </c>
      <c r="AC108" s="53" t="n">
        <f aca="false">IF(OR($A108&gt;TOMATO_BED_CAP,$B108&gt;CARROT_BED_CAP,AC$4&gt;MESCLUN_BED_CAP,$A108+$B108+AC$4&gt;TOTAL_BEDS_AVAILABLE,($D108+AC$5)&gt;TOTAL_LABOR_HOURS_CAP,MAX(0,($D108+AC$5)-PERMANENT_FIELD_LABOR_HOURS)&gt;TEMP_HOURS_CAP),"",$C108+AC$6-MIN(($D108+AC$5),PERMANENT_FIELD_LABOR_HOURS)*PERMANENT_HOURLY_RATE-MAX(0,($D108+AC$5)-PERMANENT_FIELD_LABOR_HOURS)*TEMP_HOURLY_RATE-FIXED_SEASON_COST)</f>
        <v>22079.8279102255</v>
      </c>
      <c r="AD108" s="53" t="n">
        <f aca="false">IF(OR($A108&gt;TOMATO_BED_CAP,$B108&gt;CARROT_BED_CAP,AD$4&gt;MESCLUN_BED_CAP,$A108+$B108+AD$4&gt;TOTAL_BEDS_AVAILABLE,($D108+AD$5)&gt;TOTAL_LABOR_HOURS_CAP,MAX(0,($D108+AD$5)-PERMANENT_FIELD_LABOR_HOURS)&gt;TEMP_HOURS_CAP),"",$C108+AD$6-MIN(($D108+AD$5),PERMANENT_FIELD_LABOR_HOURS)*PERMANENT_HOURLY_RATE-MAX(0,($D108+AD$5)-PERMANENT_FIELD_LABOR_HOURS)*TEMP_HOURLY_RATE-FIXED_SEASON_COST)</f>
        <v>22548.4048655254</v>
      </c>
      <c r="AE108" s="53" t="n">
        <f aca="false">IF(OR($A108&gt;TOMATO_BED_CAP,$B108&gt;CARROT_BED_CAP,AE$4&gt;MESCLUN_BED_CAP,$A108+$B108+AE$4&gt;TOTAL_BEDS_AVAILABLE,($D108+AE$5)&gt;TOTAL_LABOR_HOURS_CAP,MAX(0,($D108+AE$5)-PERMANENT_FIELD_LABOR_HOURS)&gt;TEMP_HOURS_CAP),"",$C108+AE$6-MIN(($D108+AE$5),PERMANENT_FIELD_LABOR_HOURS)*PERMANENT_HOURLY_RATE-MAX(0,($D108+AE$5)-PERMANENT_FIELD_LABOR_HOURS)*TEMP_HOURLY_RATE-FIXED_SEASON_COST)</f>
        <v>22986.9321497594</v>
      </c>
      <c r="AF108" s="53" t="n">
        <f aca="false">IF(OR($A108&gt;TOMATO_BED_CAP,$B108&gt;CARROT_BED_CAP,AF$4&gt;MESCLUN_BED_CAP,$A108+$B108+AF$4&gt;TOTAL_BEDS_AVAILABLE,($D108+AF$5)&gt;TOTAL_LABOR_HOURS_CAP,MAX(0,($D108+AF$5)-PERMANENT_FIELD_LABOR_HOURS)&gt;TEMP_HOURS_CAP),"",$C108+AF$6-MIN(($D108+AF$5),PERMANENT_FIELD_LABOR_HOURS)*PERMANENT_HOURLY_RATE-MAX(0,($D108+AF$5)-PERMANENT_FIELD_LABOR_HOURS)*TEMP_HOURLY_RATE-FIXED_SEASON_COST)</f>
        <v>23394.8696810013</v>
      </c>
      <c r="AG108" s="53" t="n">
        <f aca="false">IF(OR($A108&gt;TOMATO_BED_CAP,$B108&gt;CARROT_BED_CAP,AG$4&gt;MESCLUN_BED_CAP,$A108+$B108+AG$4&gt;TOTAL_BEDS_AVAILABLE,($D108+AG$5)&gt;TOTAL_LABOR_HOURS_CAP,MAX(0,($D108+AG$5)-PERMANENT_FIELD_LABOR_HOURS)&gt;TEMP_HOURS_CAP),"",$C108+AG$6-MIN(($D108+AG$5),PERMANENT_FIELD_LABOR_HOURS)*PERMANENT_HOURLY_RATE-MAX(0,($D108+AG$5)-PERMANENT_FIELD_LABOR_HOURS)*TEMP_HOURLY_RATE-FIXED_SEASON_COST)</f>
        <v>23771.6685705383</v>
      </c>
      <c r="AH108" s="53" t="n">
        <f aca="false">IF(OR($A108&gt;TOMATO_BED_CAP,$B108&gt;CARROT_BED_CAP,AH$4&gt;MESCLUN_BED_CAP,$A108+$B108+AH$4&gt;TOTAL_BEDS_AVAILABLE,($D108+AH$5)&gt;TOTAL_LABOR_HOURS_CAP,MAX(0,($D108+AH$5)-PERMANENT_FIELD_LABOR_HOURS)&gt;TEMP_HOURS_CAP),"",$C108+AH$6-MIN(($D108+AH$5),PERMANENT_FIELD_LABOR_HOURS)*PERMANENT_HOURLY_RATE-MAX(0,($D108+AH$5)-PERMANENT_FIELD_LABOR_HOURS)*TEMP_HOURLY_RATE-FIXED_SEASON_COST)</f>
        <v>24116.7709870885</v>
      </c>
      <c r="AI108" s="53" t="n">
        <f aca="false">IF(OR($A108&gt;TOMATO_BED_CAP,$B108&gt;CARROT_BED_CAP,AI$4&gt;MESCLUN_BED_CAP,$A108+$B108+AI$4&gt;TOTAL_BEDS_AVAILABLE,($D108+AI$5)&gt;TOTAL_LABOR_HOURS_CAP,MAX(0,($D108+AI$5)-PERMANENT_FIELD_LABOR_HOURS)&gt;TEMP_HOURS_CAP),"",$C108+AI$6-MIN(($D108+AI$5),PERMANENT_FIELD_LABOR_HOURS)*PERMANENT_HOURLY_RATE-MAX(0,($D108+AI$5)-PERMANENT_FIELD_LABOR_HOURS)*TEMP_HOURLY_RATE-FIXED_SEASON_COST)</f>
        <v>24429.6100190008</v>
      </c>
      <c r="AJ108" s="53" t="n">
        <f aca="false">IF(OR($A108&gt;TOMATO_BED_CAP,$B108&gt;CARROT_BED_CAP,AJ$4&gt;MESCLUN_BED_CAP,$A108+$B108+AJ$4&gt;TOTAL_BEDS_AVAILABLE,($D108+AJ$5)&gt;TOTAL_LABOR_HOURS_CAP,MAX(0,($D108+AJ$5)-PERMANENT_FIELD_LABOR_HOURS)&gt;TEMP_HOURS_CAP),"",$C108+AJ$6-MIN(($D108+AJ$5),PERMANENT_FIELD_LABOR_HOURS)*PERMANENT_HOURLY_RATE-MAX(0,($D108+AJ$5)-PERMANENT_FIELD_LABOR_HOURS)*TEMP_HOURLY_RATE-FIXED_SEASON_COST)</f>
        <v>24709.6095344065</v>
      </c>
    </row>
    <row r="109" customFormat="false" ht="15" hidden="false" customHeight="false" outlineLevel="0" collapsed="false">
      <c r="A109" s="21" t="n">
        <f aca="false">INT((ROW()-ROW($A$8))/(20+1))</f>
        <v>4</v>
      </c>
      <c r="B109" s="21" t="n">
        <f aca="false">MOD(ROW()-ROW($A$8),20+1)</f>
        <v>17</v>
      </c>
      <c r="C109" s="13" t="n">
        <f aca="false">A109*(TOMATO_REVENUE_PER_BED-TOMATO_FERTILIZER_PER_BED)+B109*(CARROT_REVENUE_PER_BED-CARROT_FERTILIZER_PER_BED)</f>
        <v>59798</v>
      </c>
      <c r="D109" s="14" t="n">
        <f aca="false">INDEX(TOMATO_SCHED_LABOR_HRS,A109+1)+INDEX(CARROT_SCHED_LABOR_HRS,B109+1)</f>
        <v>1302.79090307503</v>
      </c>
      <c r="E109" s="13" t="n">
        <f aca="false">IF(COUNT(F109:AJ109)=0,"",MAX(F109:AJ109))</f>
        <v>25262.33921749</v>
      </c>
      <c r="F109" s="53" t="n">
        <f aca="false">IF(OR($A109&gt;TOMATO_BED_CAP,$B109&gt;CARROT_BED_CAP,F$4&gt;MESCLUN_BED_CAP,$A109+$B109+F$4&gt;TOTAL_BEDS_AVAILABLE,($D109+F$5)&gt;TOTAL_LABOR_HOURS_CAP,MAX(0,($D109+F$5)-PERMANENT_FIELD_LABOR_HOURS)&gt;TEMP_HOURS_CAP),"",$C109+F$6-MIN(($D109+F$5),PERMANENT_FIELD_LABOR_HOURS)*PERMANENT_HOURLY_RATE-MAX(0,($D109+F$5)-PERMANENT_FIELD_LABOR_HOURS)*TEMP_HOURLY_RATE-FIXED_SEASON_COST)</f>
        <v>4682.3499226175</v>
      </c>
      <c r="G109" s="53" t="n">
        <f aca="false">IF(OR($A109&gt;TOMATO_BED_CAP,$B109&gt;CARROT_BED_CAP,G$4&gt;MESCLUN_BED_CAP,$A109+$B109+G$4&gt;TOTAL_BEDS_AVAILABLE,($D109+G$5)&gt;TOTAL_LABOR_HOURS_CAP,MAX(0,($D109+G$5)-PERMANENT_FIELD_LABOR_HOURS)&gt;TEMP_HOURS_CAP),"",$C109+G$6-MIN(($D109+G$5),PERMANENT_FIELD_LABOR_HOURS)*PERMANENT_HOURLY_RATE-MAX(0,($D109+G$5)-PERMANENT_FIELD_LABOR_HOURS)*TEMP_HOURLY_RATE-FIXED_SEASON_COST)</f>
        <v>5711.38492261751</v>
      </c>
      <c r="H109" s="53" t="n">
        <f aca="false">IF(OR($A109&gt;TOMATO_BED_CAP,$B109&gt;CARROT_BED_CAP,H$4&gt;MESCLUN_BED_CAP,$A109+$B109+H$4&gt;TOTAL_BEDS_AVAILABLE,($D109+H$5)&gt;TOTAL_LABOR_HOURS_CAP,MAX(0,($D109+H$5)-PERMANENT_FIELD_LABOR_HOURS)&gt;TEMP_HOURS_CAP),"",$C109+H$6-MIN(($D109+H$5),PERMANENT_FIELD_LABOR_HOURS)*PERMANENT_HOURLY_RATE-MAX(0,($D109+H$5)-PERMANENT_FIELD_LABOR_HOURS)*TEMP_HOURLY_RATE-FIXED_SEASON_COST)</f>
        <v>6720.64579761751</v>
      </c>
      <c r="I109" s="53" t="n">
        <f aca="false">IF(OR($A109&gt;TOMATO_BED_CAP,$B109&gt;CARROT_BED_CAP,I$4&gt;MESCLUN_BED_CAP,$A109+$B109+I$4&gt;TOTAL_BEDS_AVAILABLE,($D109+I$5)&gt;TOTAL_LABOR_HOURS_CAP,MAX(0,($D109+I$5)-PERMANENT_FIELD_LABOR_HOURS)&gt;TEMP_HOURS_CAP),"",$C109+I$6-MIN(($D109+I$5),PERMANENT_FIELD_LABOR_HOURS)*PERMANENT_HOURLY_RATE-MAX(0,($D109+I$5)-PERMANENT_FIELD_LABOR_HOURS)*TEMP_HOURLY_RATE-FIXED_SEASON_COST)</f>
        <v>7709.76178277376</v>
      </c>
      <c r="J109" s="53" t="n">
        <f aca="false">IF(OR($A109&gt;TOMATO_BED_CAP,$B109&gt;CARROT_BED_CAP,J$4&gt;MESCLUN_BED_CAP,$A109+$B109+J$4&gt;TOTAL_BEDS_AVAILABLE,($D109+J$5)&gt;TOTAL_LABOR_HOURS_CAP,MAX(0,($D109+J$5)-PERMANENT_FIELD_LABOR_HOURS)&gt;TEMP_HOURS_CAP),"",$C109+J$6-MIN(($D109+J$5),PERMANENT_FIELD_LABOR_HOURS)*PERMANENT_HOURLY_RATE-MAX(0,($D109+J$5)-PERMANENT_FIELD_LABOR_HOURS)*TEMP_HOURLY_RATE-FIXED_SEASON_COST)</f>
        <v>8678.35593382844</v>
      </c>
      <c r="K109" s="53" t="n">
        <f aca="false">IF(OR($A109&gt;TOMATO_BED_CAP,$B109&gt;CARROT_BED_CAP,K$4&gt;MESCLUN_BED_CAP,$A109+$B109+K$4&gt;TOTAL_BEDS_AVAILABLE,($D109+K$5)&gt;TOTAL_LABOR_HOURS_CAP,MAX(0,($D109+K$5)-PERMANENT_FIELD_LABOR_HOURS)&gt;TEMP_HOURS_CAP),"",$C109+K$6-MIN(($D109+K$5),PERMANENT_FIELD_LABOR_HOURS)*PERMANENT_HOURLY_RATE-MAX(0,($D109+K$5)-PERMANENT_FIELD_LABOR_HOURS)*TEMP_HOURLY_RATE-FIXED_SEASON_COST)</f>
        <v>9626.04503055635</v>
      </c>
      <c r="L109" s="53" t="n">
        <f aca="false">IF(OR($A109&gt;TOMATO_BED_CAP,$B109&gt;CARROT_BED_CAP,L$4&gt;MESCLUN_BED_CAP,$A109+$B109+L$4&gt;TOTAL_BEDS_AVAILABLE,($D109+L$5)&gt;TOTAL_LABOR_HOURS_CAP,MAX(0,($D109+L$5)-PERMANENT_FIELD_LABOR_HOURS)&gt;TEMP_HOURS_CAP),"",$C109+L$6-MIN(($D109+L$5),PERMANENT_FIELD_LABOR_HOURS)*PERMANENT_HOURLY_RATE-MAX(0,($D109+L$5)-PERMANENT_FIELD_LABOR_HOURS)*TEMP_HOURLY_RATE-FIXED_SEASON_COST)</f>
        <v>10552.4394787632</v>
      </c>
      <c r="M109" s="53" t="n">
        <f aca="false">IF(OR($A109&gt;TOMATO_BED_CAP,$B109&gt;CARROT_BED_CAP,M$4&gt;MESCLUN_BED_CAP,$A109+$B109+M$4&gt;TOTAL_BEDS_AVAILABLE,($D109+M$5)&gt;TOTAL_LABOR_HOURS_CAP,MAX(0,($D109+M$5)-PERMANENT_FIELD_LABOR_HOURS)&gt;TEMP_HOURS_CAP),"",$C109+M$6-MIN(($D109+M$5),PERMANENT_FIELD_LABOR_HOURS)*PERMANENT_HOURLY_RATE-MAX(0,($D109+M$5)-PERMANENT_FIELD_LABOR_HOURS)*TEMP_HOURLY_RATE-FIXED_SEASON_COST)</f>
        <v>11457.1432108146</v>
      </c>
      <c r="N109" s="53" t="n">
        <f aca="false">IF(OR($A109&gt;TOMATO_BED_CAP,$B109&gt;CARROT_BED_CAP,N$4&gt;MESCLUN_BED_CAP,$A109+$B109+N$4&gt;TOTAL_BEDS_AVAILABLE,($D109+N$5)&gt;TOTAL_LABOR_HOURS_CAP,MAX(0,($D109+N$5)-PERMANENT_FIELD_LABOR_HOURS)&gt;TEMP_HOURS_CAP),"",$C109+N$6-MIN(($D109+N$5),PERMANENT_FIELD_LABOR_HOURS)*PERMANENT_HOURLY_RATE-MAX(0,($D109+N$5)-PERMANENT_FIELD_LABOR_HOURS)*TEMP_HOURLY_RATE-FIXED_SEASON_COST)</f>
        <v>12339.7535846742</v>
      </c>
      <c r="O109" s="53" t="n">
        <f aca="false">IF(OR($A109&gt;TOMATO_BED_CAP,$B109&gt;CARROT_BED_CAP,O$4&gt;MESCLUN_BED_CAP,$A109+$B109+O$4&gt;TOTAL_BEDS_AVAILABLE,($D109+O$5)&gt;TOTAL_LABOR_HOURS_CAP,MAX(0,($D109+O$5)-PERMANENT_FIELD_LABOR_HOURS)&gt;TEMP_HOURS_CAP),"",$C109+O$6-MIN(($D109+O$5),PERMANENT_FIELD_LABOR_HOURS)*PERMANENT_HOURLY_RATE-MAX(0,($D109+O$5)-PERMANENT_FIELD_LABOR_HOURS)*TEMP_HOURLY_RATE-FIXED_SEASON_COST)</f>
        <v>13199.8612814289</v>
      </c>
      <c r="P109" s="53" t="n">
        <f aca="false">IF(OR($A109&gt;TOMATO_BED_CAP,$B109&gt;CARROT_BED_CAP,P$4&gt;MESCLUN_BED_CAP,$A109+$B109+P$4&gt;TOTAL_BEDS_AVAILABLE,($D109+P$5)&gt;TOTAL_LABOR_HOURS_CAP,MAX(0,($D109+P$5)-PERMANENT_FIELD_LABOR_HOURS)&gt;TEMP_HOURS_CAP),"",$C109+P$6-MIN(($D109+P$5),PERMANENT_FIELD_LABOR_HOURS)*PERMANENT_HOURLY_RATE-MAX(0,($D109+P$5)-PERMANENT_FIELD_LABOR_HOURS)*TEMP_HOURLY_RATE-FIXED_SEASON_COST)</f>
        <v>14037.0502012803</v>
      </c>
      <c r="Q109" s="53" t="n">
        <f aca="false">IF(OR($A109&gt;TOMATO_BED_CAP,$B109&gt;CARROT_BED_CAP,Q$4&gt;MESCLUN_BED_CAP,$A109+$B109+Q$4&gt;TOTAL_BEDS_AVAILABLE,($D109+Q$5)&gt;TOTAL_LABOR_HOURS_CAP,MAX(0,($D109+Q$5)-PERMANENT_FIELD_LABOR_HOURS)&gt;TEMP_HOURS_CAP),"",$C109+Q$6-MIN(($D109+Q$5),PERMANENT_FIELD_LABOR_HOURS)*PERMANENT_HOURLY_RATE-MAX(0,($D109+Q$5)-PERMANENT_FIELD_LABOR_HOURS)*TEMP_HOURLY_RATE-FIXED_SEASON_COST)</f>
        <v>14850.8973579782</v>
      </c>
      <c r="R109" s="53" t="n">
        <f aca="false">IF(OR($A109&gt;TOMATO_BED_CAP,$B109&gt;CARROT_BED_CAP,R$4&gt;MESCLUN_BED_CAP,$A109+$B109+R$4&gt;TOTAL_BEDS_AVAILABLE,($D109+R$5)&gt;TOTAL_LABOR_HOURS_CAP,MAX(0,($D109+R$5)-PERMANENT_FIELD_LABOR_HOURS)&gt;TEMP_HOURS_CAP),"",$C109+R$6-MIN(($D109+R$5),PERMANENT_FIELD_LABOR_HOURS)*PERMANENT_HOURLY_RATE-MAX(0,($D109+R$5)-PERMANENT_FIELD_LABOR_HOURS)*TEMP_HOURLY_RATE-FIXED_SEASON_COST)</f>
        <v>15640.972771675</v>
      </c>
      <c r="S109" s="53" t="n">
        <f aca="false">IF(OR($A109&gt;TOMATO_BED_CAP,$B109&gt;CARROT_BED_CAP,S$4&gt;MESCLUN_BED_CAP,$A109+$B109+S$4&gt;TOTAL_BEDS_AVAILABLE,($D109+S$5)&gt;TOTAL_LABOR_HOURS_CAP,MAX(0,($D109+S$5)-PERMANENT_FIELD_LABOR_HOURS)&gt;TEMP_HOURS_CAP),"",$C109+S$6-MIN(($D109+S$5),PERMANENT_FIELD_LABOR_HOURS)*PERMANENT_HOURLY_RATE-MAX(0,($D109+S$5)-PERMANENT_FIELD_LABOR_HOURS)*TEMP_HOURLY_RATE-FIXED_SEASON_COST)</f>
        <v>16406.8393601775</v>
      </c>
      <c r="T109" s="53" t="n">
        <f aca="false">IF(OR($A109&gt;TOMATO_BED_CAP,$B109&gt;CARROT_BED_CAP,T$4&gt;MESCLUN_BED_CAP,$A109+$B109+T$4&gt;TOTAL_BEDS_AVAILABLE,($D109+T$5)&gt;TOTAL_LABOR_HOURS_CAP,MAX(0,($D109+T$5)-PERMANENT_FIELD_LABOR_HOURS)&gt;TEMP_HOURS_CAP),"",$C109+T$6-MIN(($D109+T$5),PERMANENT_FIELD_LABOR_HOURS)*PERMANENT_HOURLY_RATE-MAX(0,($D109+T$5)-PERMANENT_FIELD_LABOR_HOURS)*TEMP_HOURLY_RATE-FIXED_SEASON_COST)</f>
        <v>17148.0528285723</v>
      </c>
      <c r="U109" s="53" t="n">
        <f aca="false">IF(OR($A109&gt;TOMATO_BED_CAP,$B109&gt;CARROT_BED_CAP,U$4&gt;MESCLUN_BED_CAP,$A109+$B109+U$4&gt;TOTAL_BEDS_AVAILABLE,($D109+U$5)&gt;TOTAL_LABOR_HOURS_CAP,MAX(0,($D109+U$5)-PERMANENT_FIELD_LABOR_HOURS)&gt;TEMP_HOURS_CAP),"",$C109+U$6-MIN(($D109+U$5),PERMANENT_FIELD_LABOR_HOURS)*PERMANENT_HOURLY_RATE-MAX(0,($D109+U$5)-PERMANENT_FIELD_LABOR_HOURS)*TEMP_HOURLY_RATE-FIXED_SEASON_COST)</f>
        <v>17864.1615572024</v>
      </c>
      <c r="V109" s="53" t="n">
        <f aca="false">IF(OR($A109&gt;TOMATO_BED_CAP,$B109&gt;CARROT_BED_CAP,V$4&gt;MESCLUN_BED_CAP,$A109+$B109+V$4&gt;TOTAL_BEDS_AVAILABLE,($D109+V$5)&gt;TOTAL_LABOR_HOURS_CAP,MAX(0,($D109+V$5)-PERMANENT_FIELD_LABOR_HOURS)&gt;TEMP_HOURS_CAP),"",$C109+V$6-MIN(($D109+V$5),PERMANENT_FIELD_LABOR_HOURS)*PERMANENT_HOURLY_RATE-MAX(0,($D109+V$5)-PERMANENT_FIELD_LABOR_HOURS)*TEMP_HOURLY_RATE-FIXED_SEASON_COST)</f>
        <v>18554.7064879692</v>
      </c>
      <c r="W109" s="53" t="n">
        <f aca="false">IF(OR($A109&gt;TOMATO_BED_CAP,$B109&gt;CARROT_BED_CAP,W$4&gt;MESCLUN_BED_CAP,$A109+$B109+W$4&gt;TOTAL_BEDS_AVAILABLE,($D109+W$5)&gt;TOTAL_LABOR_HOURS_CAP,MAX(0,($D109+W$5)-PERMANENT_FIELD_LABOR_HOURS)&gt;TEMP_HOURS_CAP),"",$C109+W$6-MIN(($D109+W$5),PERMANENT_FIELD_LABOR_HOURS)*PERMANENT_HOURLY_RATE-MAX(0,($D109+W$5)-PERMANENT_FIELD_LABOR_HOURS)*TEMP_HOURLY_RATE-FIXED_SEASON_COST)</f>
        <v>19219.2210089373</v>
      </c>
      <c r="X109" s="53" t="n">
        <f aca="false">IF(OR($A109&gt;TOMATO_BED_CAP,$B109&gt;CARROT_BED_CAP,X$4&gt;MESCLUN_BED_CAP,$A109+$B109+X$4&gt;TOTAL_BEDS_AVAILABLE,($D109+X$5)&gt;TOTAL_LABOR_HOURS_CAP,MAX(0,($D109+X$5)-PERMANENT_FIELD_LABOR_HOURS)&gt;TEMP_HOURS_CAP),"",$C109+X$6-MIN(($D109+X$5),PERMANENT_FIELD_LABOR_HOURS)*PERMANENT_HOURLY_RATE-MAX(0,($D109+X$5)-PERMANENT_FIELD_LABOR_HOURS)*TEMP_HOURLY_RATE-FIXED_SEASON_COST)</f>
        <v>19857.2308372162</v>
      </c>
      <c r="Y109" s="53" t="n">
        <f aca="false">IF(OR($A109&gt;TOMATO_BED_CAP,$B109&gt;CARROT_BED_CAP,Y$4&gt;MESCLUN_BED_CAP,$A109+$B109+Y$4&gt;TOTAL_BEDS_AVAILABLE,($D109+Y$5)&gt;TOTAL_LABOR_HOURS_CAP,MAX(0,($D109+Y$5)-PERMANENT_FIELD_LABOR_HOURS)&gt;TEMP_HOURS_CAP),"",$C109+Y$6-MIN(($D109+Y$5),PERMANENT_FIELD_LABOR_HOURS)*PERMANENT_HOURLY_RATE-MAX(0,($D109+Y$5)-PERMANENT_FIELD_LABOR_HOURS)*TEMP_HOURLY_RATE-FIXED_SEASON_COST)</f>
        <v>20468.2539000949</v>
      </c>
      <c r="Z109" s="53" t="n">
        <f aca="false">IF(OR($A109&gt;TOMATO_BED_CAP,$B109&gt;CARROT_BED_CAP,Z$4&gt;MESCLUN_BED_CAP,$A109+$B109+Z$4&gt;TOTAL_BEDS_AVAILABLE,($D109+Z$5)&gt;TOTAL_LABOR_HOURS_CAP,MAX(0,($D109+Z$5)-PERMANENT_FIELD_LABOR_HOURS)&gt;TEMP_HOURS_CAP),"",$C109+Z$6-MIN(($D109+Z$5),PERMANENT_FIELD_LABOR_HOURS)*PERMANENT_HOURLY_RATE-MAX(0,($D109+Z$5)-PERMANENT_FIELD_LABOR_HOURS)*TEMP_HOURLY_RATE-FIXED_SEASON_COST)</f>
        <v>21051.8002144026</v>
      </c>
      <c r="AA109" s="53" t="n">
        <f aca="false">IF(OR($A109&gt;TOMATO_BED_CAP,$B109&gt;CARROT_BED_CAP,AA$4&gt;MESCLUN_BED_CAP,$A109+$B109+AA$4&gt;TOTAL_BEDS_AVAILABLE,($D109+AA$5)&gt;TOTAL_LABOR_HOURS_CAP,MAX(0,($D109+AA$5)-PERMANENT_FIELD_LABOR_HOURS)&gt;TEMP_HOURS_CAP),"",$C109+AA$6-MIN(($D109+AA$5),PERMANENT_FIELD_LABOR_HOURS)*PERMANENT_HOURLY_RATE-MAX(0,($D109+AA$5)-PERMANENT_FIELD_LABOR_HOURS)*TEMP_HOURLY_RATE-FIXED_SEASON_COST)</f>
        <v>21607.3717640715</v>
      </c>
      <c r="AB109" s="53" t="n">
        <f aca="false">IF(OR($A109&gt;TOMATO_BED_CAP,$B109&gt;CARROT_BED_CAP,AB$4&gt;MESCLUN_BED_CAP,$A109+$B109+AB$4&gt;TOTAL_BEDS_AVAILABLE,($D109+AB$5)&gt;TOTAL_LABOR_HOURS_CAP,MAX(0,($D109+AB$5)-PERMANENT_FIELD_LABOR_HOURS)&gt;TEMP_HOURS_CAP),"",$C109+AB$6-MIN(($D109+AB$5),PERMANENT_FIELD_LABOR_HOURS)*PERMANENT_HOURLY_RATE-MAX(0,($D109+AB$5)-PERMANENT_FIELD_LABOR_HOURS)*TEMP_HOURLY_RATE-FIXED_SEASON_COST)</f>
        <v>22134.4623758741</v>
      </c>
      <c r="AC109" s="53" t="n">
        <f aca="false">IF(OR($A109&gt;TOMATO_BED_CAP,$B109&gt;CARROT_BED_CAP,AC$4&gt;MESCLUN_BED_CAP,$A109+$B109+AC$4&gt;TOTAL_BEDS_AVAILABLE,($D109+AC$5)&gt;TOTAL_LABOR_HOURS_CAP,MAX(0,($D109+AC$5)-PERMANENT_FIELD_LABOR_HOURS)&gt;TEMP_HOURS_CAP),"",$C109+AC$6-MIN(($D109+AC$5),PERMANENT_FIELD_LABOR_HOURS)*PERMANENT_HOURLY_RATE-MAX(0,($D109+AC$5)-PERMANENT_FIELD_LABOR_HOURS)*TEMP_HOURLY_RATE-FIXED_SEASON_COST)</f>
        <v>22632.557593309</v>
      </c>
      <c r="AD109" s="53" t="n">
        <f aca="false">IF(OR($A109&gt;TOMATO_BED_CAP,$B109&gt;CARROT_BED_CAP,AD$4&gt;MESCLUN_BED_CAP,$A109+$B109+AD$4&gt;TOTAL_BEDS_AVAILABLE,($D109+AD$5)&gt;TOTAL_LABOR_HOURS_CAP,MAX(0,($D109+AD$5)-PERMANENT_FIELD_LABOR_HOURS)&gt;TEMP_HOURS_CAP),"",$C109+AD$6-MIN(($D109+AD$5),PERMANENT_FIELD_LABOR_HOURS)*PERMANENT_HOURLY_RATE-MAX(0,($D109+AD$5)-PERMANENT_FIELD_LABOR_HOURS)*TEMP_HOURLY_RATE-FIXED_SEASON_COST)</f>
        <v>23101.1345486089</v>
      </c>
      <c r="AE109" s="53" t="n">
        <f aca="false">IF(OR($A109&gt;TOMATO_BED_CAP,$B109&gt;CARROT_BED_CAP,AE$4&gt;MESCLUN_BED_CAP,$A109+$B109+AE$4&gt;TOTAL_BEDS_AVAILABLE,($D109+AE$5)&gt;TOTAL_LABOR_HOURS_CAP,MAX(0,($D109+AE$5)-PERMANENT_FIELD_LABOR_HOURS)&gt;TEMP_HOURS_CAP),"",$C109+AE$6-MIN(($D109+AE$5),PERMANENT_FIELD_LABOR_HOURS)*PERMANENT_HOURLY_RATE-MAX(0,($D109+AE$5)-PERMANENT_FIELD_LABOR_HOURS)*TEMP_HOURLY_RATE-FIXED_SEASON_COST)</f>
        <v>23539.6618328428</v>
      </c>
      <c r="AF109" s="53" t="n">
        <f aca="false">IF(OR($A109&gt;TOMATO_BED_CAP,$B109&gt;CARROT_BED_CAP,AF$4&gt;MESCLUN_BED_CAP,$A109+$B109+AF$4&gt;TOTAL_BEDS_AVAILABLE,($D109+AF$5)&gt;TOTAL_LABOR_HOURS_CAP,MAX(0,($D109+AF$5)-PERMANENT_FIELD_LABOR_HOURS)&gt;TEMP_HOURS_CAP),"",$C109+AF$6-MIN(($D109+AF$5),PERMANENT_FIELD_LABOR_HOURS)*PERMANENT_HOURLY_RATE-MAX(0,($D109+AF$5)-PERMANENT_FIELD_LABOR_HOURS)*TEMP_HOURLY_RATE-FIXED_SEASON_COST)</f>
        <v>23947.5993640848</v>
      </c>
      <c r="AG109" s="53" t="n">
        <f aca="false">IF(OR($A109&gt;TOMATO_BED_CAP,$B109&gt;CARROT_BED_CAP,AG$4&gt;MESCLUN_BED_CAP,$A109+$B109+AG$4&gt;TOTAL_BEDS_AVAILABLE,($D109+AG$5)&gt;TOTAL_LABOR_HOURS_CAP,MAX(0,($D109+AG$5)-PERMANENT_FIELD_LABOR_HOURS)&gt;TEMP_HOURS_CAP),"",$C109+AG$6-MIN(($D109+AG$5),PERMANENT_FIELD_LABOR_HOURS)*PERMANENT_HOURLY_RATE-MAX(0,($D109+AG$5)-PERMANENT_FIELD_LABOR_HOURS)*TEMP_HOURLY_RATE-FIXED_SEASON_COST)</f>
        <v>24324.3982536218</v>
      </c>
      <c r="AH109" s="53" t="n">
        <f aca="false">IF(OR($A109&gt;TOMATO_BED_CAP,$B109&gt;CARROT_BED_CAP,AH$4&gt;MESCLUN_BED_CAP,$A109+$B109+AH$4&gt;TOTAL_BEDS_AVAILABLE,($D109+AH$5)&gt;TOTAL_LABOR_HOURS_CAP,MAX(0,($D109+AH$5)-PERMANENT_FIELD_LABOR_HOURS)&gt;TEMP_HOURS_CAP),"",$C109+AH$6-MIN(($D109+AH$5),PERMANENT_FIELD_LABOR_HOURS)*PERMANENT_HOURLY_RATE-MAX(0,($D109+AH$5)-PERMANENT_FIELD_LABOR_HOURS)*TEMP_HOURLY_RATE-FIXED_SEASON_COST)</f>
        <v>24669.500670172</v>
      </c>
      <c r="AI109" s="53" t="n">
        <f aca="false">IF(OR($A109&gt;TOMATO_BED_CAP,$B109&gt;CARROT_BED_CAP,AI$4&gt;MESCLUN_BED_CAP,$A109+$B109+AI$4&gt;TOTAL_BEDS_AVAILABLE,($D109+AI$5)&gt;TOTAL_LABOR_HOURS_CAP,MAX(0,($D109+AI$5)-PERMANENT_FIELD_LABOR_HOURS)&gt;TEMP_HOURS_CAP),"",$C109+AI$6-MIN(($D109+AI$5),PERMANENT_FIELD_LABOR_HOURS)*PERMANENT_HOURLY_RATE-MAX(0,($D109+AI$5)-PERMANENT_FIELD_LABOR_HOURS)*TEMP_HOURLY_RATE-FIXED_SEASON_COST)</f>
        <v>24982.3397020843</v>
      </c>
      <c r="AJ109" s="53" t="n">
        <f aca="false">IF(OR($A109&gt;TOMATO_BED_CAP,$B109&gt;CARROT_BED_CAP,AJ$4&gt;MESCLUN_BED_CAP,$A109+$B109+AJ$4&gt;TOTAL_BEDS_AVAILABLE,($D109+AJ$5)&gt;TOTAL_LABOR_HOURS_CAP,MAX(0,($D109+AJ$5)-PERMANENT_FIELD_LABOR_HOURS)&gt;TEMP_HOURS_CAP),"",$C109+AJ$6-MIN(($D109+AJ$5),PERMANENT_FIELD_LABOR_HOURS)*PERMANENT_HOURLY_RATE-MAX(0,($D109+AJ$5)-PERMANENT_FIELD_LABOR_HOURS)*TEMP_HOURLY_RATE-FIXED_SEASON_COST)</f>
        <v>25262.33921749</v>
      </c>
    </row>
    <row r="110" customFormat="false" ht="15" hidden="false" customHeight="false" outlineLevel="0" collapsed="false">
      <c r="A110" s="21" t="n">
        <f aca="false">INT((ROW()-ROW($A$8))/(20+1))</f>
        <v>4</v>
      </c>
      <c r="B110" s="21" t="n">
        <f aca="false">MOD(ROW()-ROW($A$8),20+1)</f>
        <v>18</v>
      </c>
      <c r="C110" s="13" t="n">
        <f aca="false">A110*(TOMATO_REVENUE_PER_BED-TOMATO_FERTILIZER_PER_BED)+B110*(CARROT_REVENUE_PER_BED-CARROT_FERTILIZER_PER_BED)</f>
        <v>61452</v>
      </c>
      <c r="D110" s="14" t="n">
        <f aca="false">INDEX(TOMATO_SCHED_LABOR_HRS,A110+1)+INDEX(CARROT_SCHED_LABOR_HRS,B110+1)</f>
        <v>1368.95482127849</v>
      </c>
      <c r="E110" s="13" t="n">
        <f aca="false">IF(COUNT(F110:AJ110)=0,"",MAX(F110:AJ110))</f>
        <v>25767.733597478</v>
      </c>
      <c r="F110" s="53" t="n">
        <f aca="false">IF(OR($A110&gt;TOMATO_BED_CAP,$B110&gt;CARROT_BED_CAP,F$4&gt;MESCLUN_BED_CAP,$A110+$B110+F$4&gt;TOTAL_BEDS_AVAILABLE,($D110+F$5)&gt;TOTAL_LABOR_HOURS_CAP,MAX(0,($D110+F$5)-PERMANENT_FIELD_LABOR_HOURS)&gt;TEMP_HOURS_CAP),"",$C110+F$6-MIN(($D110+F$5),PERMANENT_FIELD_LABOR_HOURS)*PERMANENT_HOURLY_RATE-MAX(0,($D110+F$5)-PERMANENT_FIELD_LABOR_HOURS)*TEMP_HOURLY_RATE-FIXED_SEASON_COST)</f>
        <v>5187.74430260547</v>
      </c>
      <c r="G110" s="53" t="n">
        <f aca="false">IF(OR($A110&gt;TOMATO_BED_CAP,$B110&gt;CARROT_BED_CAP,G$4&gt;MESCLUN_BED_CAP,$A110+$B110+G$4&gt;TOTAL_BEDS_AVAILABLE,($D110+G$5)&gt;TOTAL_LABOR_HOURS_CAP,MAX(0,($D110+G$5)-PERMANENT_FIELD_LABOR_HOURS)&gt;TEMP_HOURS_CAP),"",$C110+G$6-MIN(($D110+G$5),PERMANENT_FIELD_LABOR_HOURS)*PERMANENT_HOURLY_RATE-MAX(0,($D110+G$5)-PERMANENT_FIELD_LABOR_HOURS)*TEMP_HOURLY_RATE-FIXED_SEASON_COST)</f>
        <v>6216.77930260547</v>
      </c>
      <c r="H110" s="53" t="n">
        <f aca="false">IF(OR($A110&gt;TOMATO_BED_CAP,$B110&gt;CARROT_BED_CAP,H$4&gt;MESCLUN_BED_CAP,$A110+$B110+H$4&gt;TOTAL_BEDS_AVAILABLE,($D110+H$5)&gt;TOTAL_LABOR_HOURS_CAP,MAX(0,($D110+H$5)-PERMANENT_FIELD_LABOR_HOURS)&gt;TEMP_HOURS_CAP),"",$C110+H$6-MIN(($D110+H$5),PERMANENT_FIELD_LABOR_HOURS)*PERMANENT_HOURLY_RATE-MAX(0,($D110+H$5)-PERMANENT_FIELD_LABOR_HOURS)*TEMP_HOURLY_RATE-FIXED_SEASON_COST)</f>
        <v>7226.04017760547</v>
      </c>
      <c r="I110" s="53" t="n">
        <f aca="false">IF(OR($A110&gt;TOMATO_BED_CAP,$B110&gt;CARROT_BED_CAP,I$4&gt;MESCLUN_BED_CAP,$A110+$B110+I$4&gt;TOTAL_BEDS_AVAILABLE,($D110+I$5)&gt;TOTAL_LABOR_HOURS_CAP,MAX(0,($D110+I$5)-PERMANENT_FIELD_LABOR_HOURS)&gt;TEMP_HOURS_CAP),"",$C110+I$6-MIN(($D110+I$5),PERMANENT_FIELD_LABOR_HOURS)*PERMANENT_HOURLY_RATE-MAX(0,($D110+I$5)-PERMANENT_FIELD_LABOR_HOURS)*TEMP_HOURLY_RATE-FIXED_SEASON_COST)</f>
        <v>8215.15616276172</v>
      </c>
      <c r="J110" s="53" t="n">
        <f aca="false">IF(OR($A110&gt;TOMATO_BED_CAP,$B110&gt;CARROT_BED_CAP,J$4&gt;MESCLUN_BED_CAP,$A110+$B110+J$4&gt;TOTAL_BEDS_AVAILABLE,($D110+J$5)&gt;TOTAL_LABOR_HOURS_CAP,MAX(0,($D110+J$5)-PERMANENT_FIELD_LABOR_HOURS)&gt;TEMP_HOURS_CAP),"",$C110+J$6-MIN(($D110+J$5),PERMANENT_FIELD_LABOR_HOURS)*PERMANENT_HOURLY_RATE-MAX(0,($D110+J$5)-PERMANENT_FIELD_LABOR_HOURS)*TEMP_HOURLY_RATE-FIXED_SEASON_COST)</f>
        <v>9183.75031381641</v>
      </c>
      <c r="K110" s="53" t="n">
        <f aca="false">IF(OR($A110&gt;TOMATO_BED_CAP,$B110&gt;CARROT_BED_CAP,K$4&gt;MESCLUN_BED_CAP,$A110+$B110+K$4&gt;TOTAL_BEDS_AVAILABLE,($D110+K$5)&gt;TOTAL_LABOR_HOURS_CAP,MAX(0,($D110+K$5)-PERMANENT_FIELD_LABOR_HOURS)&gt;TEMP_HOURS_CAP),"",$C110+K$6-MIN(($D110+K$5),PERMANENT_FIELD_LABOR_HOURS)*PERMANENT_HOURLY_RATE-MAX(0,($D110+K$5)-PERMANENT_FIELD_LABOR_HOURS)*TEMP_HOURLY_RATE-FIXED_SEASON_COST)</f>
        <v>10131.4394105443</v>
      </c>
      <c r="L110" s="53" t="n">
        <f aca="false">IF(OR($A110&gt;TOMATO_BED_CAP,$B110&gt;CARROT_BED_CAP,L$4&gt;MESCLUN_BED_CAP,$A110+$B110+L$4&gt;TOTAL_BEDS_AVAILABLE,($D110+L$5)&gt;TOTAL_LABOR_HOURS_CAP,MAX(0,($D110+L$5)-PERMANENT_FIELD_LABOR_HOURS)&gt;TEMP_HOURS_CAP),"",$C110+L$6-MIN(($D110+L$5),PERMANENT_FIELD_LABOR_HOURS)*PERMANENT_HOURLY_RATE-MAX(0,($D110+L$5)-PERMANENT_FIELD_LABOR_HOURS)*TEMP_HOURLY_RATE-FIXED_SEASON_COST)</f>
        <v>11057.8338587512</v>
      </c>
      <c r="M110" s="53" t="n">
        <f aca="false">IF(OR($A110&gt;TOMATO_BED_CAP,$B110&gt;CARROT_BED_CAP,M$4&gt;MESCLUN_BED_CAP,$A110+$B110+M$4&gt;TOTAL_BEDS_AVAILABLE,($D110+M$5)&gt;TOTAL_LABOR_HOURS_CAP,MAX(0,($D110+M$5)-PERMANENT_FIELD_LABOR_HOURS)&gt;TEMP_HOURS_CAP),"",$C110+M$6-MIN(($D110+M$5),PERMANENT_FIELD_LABOR_HOURS)*PERMANENT_HOURLY_RATE-MAX(0,($D110+M$5)-PERMANENT_FIELD_LABOR_HOURS)*TEMP_HOURLY_RATE-FIXED_SEASON_COST)</f>
        <v>11962.5375908026</v>
      </c>
      <c r="N110" s="53" t="n">
        <f aca="false">IF(OR($A110&gt;TOMATO_BED_CAP,$B110&gt;CARROT_BED_CAP,N$4&gt;MESCLUN_BED_CAP,$A110+$B110+N$4&gt;TOTAL_BEDS_AVAILABLE,($D110+N$5)&gt;TOTAL_LABOR_HOURS_CAP,MAX(0,($D110+N$5)-PERMANENT_FIELD_LABOR_HOURS)&gt;TEMP_HOURS_CAP),"",$C110+N$6-MIN(($D110+N$5),PERMANENT_FIELD_LABOR_HOURS)*PERMANENT_HOURLY_RATE-MAX(0,($D110+N$5)-PERMANENT_FIELD_LABOR_HOURS)*TEMP_HOURLY_RATE-FIXED_SEASON_COST)</f>
        <v>12845.1479646621</v>
      </c>
      <c r="O110" s="53" t="n">
        <f aca="false">IF(OR($A110&gt;TOMATO_BED_CAP,$B110&gt;CARROT_BED_CAP,O$4&gt;MESCLUN_BED_CAP,$A110+$B110+O$4&gt;TOTAL_BEDS_AVAILABLE,($D110+O$5)&gt;TOTAL_LABOR_HOURS_CAP,MAX(0,($D110+O$5)-PERMANENT_FIELD_LABOR_HOURS)&gt;TEMP_HOURS_CAP),"",$C110+O$6-MIN(($D110+O$5),PERMANENT_FIELD_LABOR_HOURS)*PERMANENT_HOURLY_RATE-MAX(0,($D110+O$5)-PERMANENT_FIELD_LABOR_HOURS)*TEMP_HOURLY_RATE-FIXED_SEASON_COST)</f>
        <v>13705.2556614169</v>
      </c>
      <c r="P110" s="53" t="n">
        <f aca="false">IF(OR($A110&gt;TOMATO_BED_CAP,$B110&gt;CARROT_BED_CAP,P$4&gt;MESCLUN_BED_CAP,$A110+$B110+P$4&gt;TOTAL_BEDS_AVAILABLE,($D110+P$5)&gt;TOTAL_LABOR_HOURS_CAP,MAX(0,($D110+P$5)-PERMANENT_FIELD_LABOR_HOURS)&gt;TEMP_HOURS_CAP),"",$C110+P$6-MIN(($D110+P$5),PERMANENT_FIELD_LABOR_HOURS)*PERMANENT_HOURLY_RATE-MAX(0,($D110+P$5)-PERMANENT_FIELD_LABOR_HOURS)*TEMP_HOURLY_RATE-FIXED_SEASON_COST)</f>
        <v>14542.4445812683</v>
      </c>
      <c r="Q110" s="53" t="n">
        <f aca="false">IF(OR($A110&gt;TOMATO_BED_CAP,$B110&gt;CARROT_BED_CAP,Q$4&gt;MESCLUN_BED_CAP,$A110+$B110+Q$4&gt;TOTAL_BEDS_AVAILABLE,($D110+Q$5)&gt;TOTAL_LABOR_HOURS_CAP,MAX(0,($D110+Q$5)-PERMANENT_FIELD_LABOR_HOURS)&gt;TEMP_HOURS_CAP),"",$C110+Q$6-MIN(($D110+Q$5),PERMANENT_FIELD_LABOR_HOURS)*PERMANENT_HOURLY_RATE-MAX(0,($D110+Q$5)-PERMANENT_FIELD_LABOR_HOURS)*TEMP_HOURLY_RATE-FIXED_SEASON_COST)</f>
        <v>15356.2917379662</v>
      </c>
      <c r="R110" s="53" t="n">
        <f aca="false">IF(OR($A110&gt;TOMATO_BED_CAP,$B110&gt;CARROT_BED_CAP,R$4&gt;MESCLUN_BED_CAP,$A110+$B110+R$4&gt;TOTAL_BEDS_AVAILABLE,($D110+R$5)&gt;TOTAL_LABOR_HOURS_CAP,MAX(0,($D110+R$5)-PERMANENT_FIELD_LABOR_HOURS)&gt;TEMP_HOURS_CAP),"",$C110+R$6-MIN(($D110+R$5),PERMANENT_FIELD_LABOR_HOURS)*PERMANENT_HOURLY_RATE-MAX(0,($D110+R$5)-PERMANENT_FIELD_LABOR_HOURS)*TEMP_HOURLY_RATE-FIXED_SEASON_COST)</f>
        <v>16146.367151663</v>
      </c>
      <c r="S110" s="53" t="n">
        <f aca="false">IF(OR($A110&gt;TOMATO_BED_CAP,$B110&gt;CARROT_BED_CAP,S$4&gt;MESCLUN_BED_CAP,$A110+$B110+S$4&gt;TOTAL_BEDS_AVAILABLE,($D110+S$5)&gt;TOTAL_LABOR_HOURS_CAP,MAX(0,($D110+S$5)-PERMANENT_FIELD_LABOR_HOURS)&gt;TEMP_HOURS_CAP),"",$C110+S$6-MIN(($D110+S$5),PERMANENT_FIELD_LABOR_HOURS)*PERMANENT_HOURLY_RATE-MAX(0,($D110+S$5)-PERMANENT_FIELD_LABOR_HOURS)*TEMP_HOURLY_RATE-FIXED_SEASON_COST)</f>
        <v>16912.2337401654</v>
      </c>
      <c r="T110" s="53" t="n">
        <f aca="false">IF(OR($A110&gt;TOMATO_BED_CAP,$B110&gt;CARROT_BED_CAP,T$4&gt;MESCLUN_BED_CAP,$A110+$B110+T$4&gt;TOTAL_BEDS_AVAILABLE,($D110+T$5)&gt;TOTAL_LABOR_HOURS_CAP,MAX(0,($D110+T$5)-PERMANENT_FIELD_LABOR_HOURS)&gt;TEMP_HOURS_CAP),"",$C110+T$6-MIN(($D110+T$5),PERMANENT_FIELD_LABOR_HOURS)*PERMANENT_HOURLY_RATE-MAX(0,($D110+T$5)-PERMANENT_FIELD_LABOR_HOURS)*TEMP_HOURLY_RATE-FIXED_SEASON_COST)</f>
        <v>17653.4472085603</v>
      </c>
      <c r="U110" s="53" t="n">
        <f aca="false">IF(OR($A110&gt;TOMATO_BED_CAP,$B110&gt;CARROT_BED_CAP,U$4&gt;MESCLUN_BED_CAP,$A110+$B110+U$4&gt;TOTAL_BEDS_AVAILABLE,($D110+U$5)&gt;TOTAL_LABOR_HOURS_CAP,MAX(0,($D110+U$5)-PERMANENT_FIELD_LABOR_HOURS)&gt;TEMP_HOURS_CAP),"",$C110+U$6-MIN(($D110+U$5),PERMANENT_FIELD_LABOR_HOURS)*PERMANENT_HOURLY_RATE-MAX(0,($D110+U$5)-PERMANENT_FIELD_LABOR_HOURS)*TEMP_HOURLY_RATE-FIXED_SEASON_COST)</f>
        <v>18369.5559371904</v>
      </c>
      <c r="V110" s="53" t="n">
        <f aca="false">IF(OR($A110&gt;TOMATO_BED_CAP,$B110&gt;CARROT_BED_CAP,V$4&gt;MESCLUN_BED_CAP,$A110+$B110+V$4&gt;TOTAL_BEDS_AVAILABLE,($D110+V$5)&gt;TOTAL_LABOR_HOURS_CAP,MAX(0,($D110+V$5)-PERMANENT_FIELD_LABOR_HOURS)&gt;TEMP_HOURS_CAP),"",$C110+V$6-MIN(($D110+V$5),PERMANENT_FIELD_LABOR_HOURS)*PERMANENT_HOURLY_RATE-MAX(0,($D110+V$5)-PERMANENT_FIELD_LABOR_HOURS)*TEMP_HOURLY_RATE-FIXED_SEASON_COST)</f>
        <v>19060.1008679572</v>
      </c>
      <c r="W110" s="53" t="n">
        <f aca="false">IF(OR($A110&gt;TOMATO_BED_CAP,$B110&gt;CARROT_BED_CAP,W$4&gt;MESCLUN_BED_CAP,$A110+$B110+W$4&gt;TOTAL_BEDS_AVAILABLE,($D110+W$5)&gt;TOTAL_LABOR_HOURS_CAP,MAX(0,($D110+W$5)-PERMANENT_FIELD_LABOR_HOURS)&gt;TEMP_HOURS_CAP),"",$C110+W$6-MIN(($D110+W$5),PERMANENT_FIELD_LABOR_HOURS)*PERMANENT_HOURLY_RATE-MAX(0,($D110+W$5)-PERMANENT_FIELD_LABOR_HOURS)*TEMP_HOURLY_RATE-FIXED_SEASON_COST)</f>
        <v>19724.6153889252</v>
      </c>
      <c r="X110" s="53" t="n">
        <f aca="false">IF(OR($A110&gt;TOMATO_BED_CAP,$B110&gt;CARROT_BED_CAP,X$4&gt;MESCLUN_BED_CAP,$A110+$B110+X$4&gt;TOTAL_BEDS_AVAILABLE,($D110+X$5)&gt;TOTAL_LABOR_HOURS_CAP,MAX(0,($D110+X$5)-PERMANENT_FIELD_LABOR_HOURS)&gt;TEMP_HOURS_CAP),"",$C110+X$6-MIN(($D110+X$5),PERMANENT_FIELD_LABOR_HOURS)*PERMANENT_HOURLY_RATE-MAX(0,($D110+X$5)-PERMANENT_FIELD_LABOR_HOURS)*TEMP_HOURLY_RATE-FIXED_SEASON_COST)</f>
        <v>20362.6252172042</v>
      </c>
      <c r="Y110" s="53" t="n">
        <f aca="false">IF(OR($A110&gt;TOMATO_BED_CAP,$B110&gt;CARROT_BED_CAP,Y$4&gt;MESCLUN_BED_CAP,$A110+$B110+Y$4&gt;TOTAL_BEDS_AVAILABLE,($D110+Y$5)&gt;TOTAL_LABOR_HOURS_CAP,MAX(0,($D110+Y$5)-PERMANENT_FIELD_LABOR_HOURS)&gt;TEMP_HOURS_CAP),"",$C110+Y$6-MIN(($D110+Y$5),PERMANENT_FIELD_LABOR_HOURS)*PERMANENT_HOURLY_RATE-MAX(0,($D110+Y$5)-PERMANENT_FIELD_LABOR_HOURS)*TEMP_HOURLY_RATE-FIXED_SEASON_COST)</f>
        <v>20973.6482800828</v>
      </c>
      <c r="Z110" s="53" t="n">
        <f aca="false">IF(OR($A110&gt;TOMATO_BED_CAP,$B110&gt;CARROT_BED_CAP,Z$4&gt;MESCLUN_BED_CAP,$A110+$B110+Z$4&gt;TOTAL_BEDS_AVAILABLE,($D110+Z$5)&gt;TOTAL_LABOR_HOURS_CAP,MAX(0,($D110+Z$5)-PERMANENT_FIELD_LABOR_HOURS)&gt;TEMP_HOURS_CAP),"",$C110+Z$6-MIN(($D110+Z$5),PERMANENT_FIELD_LABOR_HOURS)*PERMANENT_HOURLY_RATE-MAX(0,($D110+Z$5)-PERMANENT_FIELD_LABOR_HOURS)*TEMP_HOURLY_RATE-FIXED_SEASON_COST)</f>
        <v>21557.1945943905</v>
      </c>
      <c r="AA110" s="53" t="n">
        <f aca="false">IF(OR($A110&gt;TOMATO_BED_CAP,$B110&gt;CARROT_BED_CAP,AA$4&gt;MESCLUN_BED_CAP,$A110+$B110+AA$4&gt;TOTAL_BEDS_AVAILABLE,($D110+AA$5)&gt;TOTAL_LABOR_HOURS_CAP,MAX(0,($D110+AA$5)-PERMANENT_FIELD_LABOR_HOURS)&gt;TEMP_HOURS_CAP),"",$C110+AA$6-MIN(($D110+AA$5),PERMANENT_FIELD_LABOR_HOURS)*PERMANENT_HOURLY_RATE-MAX(0,($D110+AA$5)-PERMANENT_FIELD_LABOR_HOURS)*TEMP_HOURLY_RATE-FIXED_SEASON_COST)</f>
        <v>22112.7661440595</v>
      </c>
      <c r="AB110" s="53" t="n">
        <f aca="false">IF(OR($A110&gt;TOMATO_BED_CAP,$B110&gt;CARROT_BED_CAP,AB$4&gt;MESCLUN_BED_CAP,$A110+$B110+AB$4&gt;TOTAL_BEDS_AVAILABLE,($D110+AB$5)&gt;TOTAL_LABOR_HOURS_CAP,MAX(0,($D110+AB$5)-PERMANENT_FIELD_LABOR_HOURS)&gt;TEMP_HOURS_CAP),"",$C110+AB$6-MIN(($D110+AB$5),PERMANENT_FIELD_LABOR_HOURS)*PERMANENT_HOURLY_RATE-MAX(0,($D110+AB$5)-PERMANENT_FIELD_LABOR_HOURS)*TEMP_HOURLY_RATE-FIXED_SEASON_COST)</f>
        <v>22639.8567558621</v>
      </c>
      <c r="AC110" s="53" t="n">
        <f aca="false">IF(OR($A110&gt;TOMATO_BED_CAP,$B110&gt;CARROT_BED_CAP,AC$4&gt;MESCLUN_BED_CAP,$A110+$B110+AC$4&gt;TOTAL_BEDS_AVAILABLE,($D110+AC$5)&gt;TOTAL_LABOR_HOURS_CAP,MAX(0,($D110+AC$5)-PERMANENT_FIELD_LABOR_HOURS)&gt;TEMP_HOURS_CAP),"",$C110+AC$6-MIN(($D110+AC$5),PERMANENT_FIELD_LABOR_HOURS)*PERMANENT_HOURLY_RATE-MAX(0,($D110+AC$5)-PERMANENT_FIELD_LABOR_HOURS)*TEMP_HOURLY_RATE-FIXED_SEASON_COST)</f>
        <v>23137.951973297</v>
      </c>
      <c r="AD110" s="53" t="n">
        <f aca="false">IF(OR($A110&gt;TOMATO_BED_CAP,$B110&gt;CARROT_BED_CAP,AD$4&gt;MESCLUN_BED_CAP,$A110+$B110+AD$4&gt;TOTAL_BEDS_AVAILABLE,($D110+AD$5)&gt;TOTAL_LABOR_HOURS_CAP,MAX(0,($D110+AD$5)-PERMANENT_FIELD_LABOR_HOURS)&gt;TEMP_HOURS_CAP),"",$C110+AD$6-MIN(($D110+AD$5),PERMANENT_FIELD_LABOR_HOURS)*PERMANENT_HOURLY_RATE-MAX(0,($D110+AD$5)-PERMANENT_FIELD_LABOR_HOURS)*TEMP_HOURLY_RATE-FIXED_SEASON_COST)</f>
        <v>23606.5289285969</v>
      </c>
      <c r="AE110" s="53" t="n">
        <f aca="false">IF(OR($A110&gt;TOMATO_BED_CAP,$B110&gt;CARROT_BED_CAP,AE$4&gt;MESCLUN_BED_CAP,$A110+$B110+AE$4&gt;TOTAL_BEDS_AVAILABLE,($D110+AE$5)&gt;TOTAL_LABOR_HOURS_CAP,MAX(0,($D110+AE$5)-PERMANENT_FIELD_LABOR_HOURS)&gt;TEMP_HOURS_CAP),"",$C110+AE$6-MIN(($D110+AE$5),PERMANENT_FIELD_LABOR_HOURS)*PERMANENT_HOURLY_RATE-MAX(0,($D110+AE$5)-PERMANENT_FIELD_LABOR_HOURS)*TEMP_HOURLY_RATE-FIXED_SEASON_COST)</f>
        <v>24045.0562128308</v>
      </c>
      <c r="AF110" s="53" t="n">
        <f aca="false">IF(OR($A110&gt;TOMATO_BED_CAP,$B110&gt;CARROT_BED_CAP,AF$4&gt;MESCLUN_BED_CAP,$A110+$B110+AF$4&gt;TOTAL_BEDS_AVAILABLE,($D110+AF$5)&gt;TOTAL_LABOR_HOURS_CAP,MAX(0,($D110+AF$5)-PERMANENT_FIELD_LABOR_HOURS)&gt;TEMP_HOURS_CAP),"",$C110+AF$6-MIN(($D110+AF$5),PERMANENT_FIELD_LABOR_HOURS)*PERMANENT_HOURLY_RATE-MAX(0,($D110+AF$5)-PERMANENT_FIELD_LABOR_HOURS)*TEMP_HOURLY_RATE-FIXED_SEASON_COST)</f>
        <v>24452.9937440728</v>
      </c>
      <c r="AG110" s="53" t="n">
        <f aca="false">IF(OR($A110&gt;TOMATO_BED_CAP,$B110&gt;CARROT_BED_CAP,AG$4&gt;MESCLUN_BED_CAP,$A110+$B110+AG$4&gt;TOTAL_BEDS_AVAILABLE,($D110+AG$5)&gt;TOTAL_LABOR_HOURS_CAP,MAX(0,($D110+AG$5)-PERMANENT_FIELD_LABOR_HOURS)&gt;TEMP_HOURS_CAP),"",$C110+AG$6-MIN(($D110+AG$5),PERMANENT_FIELD_LABOR_HOURS)*PERMANENT_HOURLY_RATE-MAX(0,($D110+AG$5)-PERMANENT_FIELD_LABOR_HOURS)*TEMP_HOURLY_RATE-FIXED_SEASON_COST)</f>
        <v>24829.7926336098</v>
      </c>
      <c r="AH110" s="53" t="n">
        <f aca="false">IF(OR($A110&gt;TOMATO_BED_CAP,$B110&gt;CARROT_BED_CAP,AH$4&gt;MESCLUN_BED_CAP,$A110+$B110+AH$4&gt;TOTAL_BEDS_AVAILABLE,($D110+AH$5)&gt;TOTAL_LABOR_HOURS_CAP,MAX(0,($D110+AH$5)-PERMANENT_FIELD_LABOR_HOURS)&gt;TEMP_HOURS_CAP),"",$C110+AH$6-MIN(($D110+AH$5),PERMANENT_FIELD_LABOR_HOURS)*PERMANENT_HOURLY_RATE-MAX(0,($D110+AH$5)-PERMANENT_FIELD_LABOR_HOURS)*TEMP_HOURLY_RATE-FIXED_SEASON_COST)</f>
        <v>25174.89505016</v>
      </c>
      <c r="AI110" s="53" t="n">
        <f aca="false">IF(OR($A110&gt;TOMATO_BED_CAP,$B110&gt;CARROT_BED_CAP,AI$4&gt;MESCLUN_BED_CAP,$A110+$B110+AI$4&gt;TOTAL_BEDS_AVAILABLE,($D110+AI$5)&gt;TOTAL_LABOR_HOURS_CAP,MAX(0,($D110+AI$5)-PERMANENT_FIELD_LABOR_HOURS)&gt;TEMP_HOURS_CAP),"",$C110+AI$6-MIN(($D110+AI$5),PERMANENT_FIELD_LABOR_HOURS)*PERMANENT_HOURLY_RATE-MAX(0,($D110+AI$5)-PERMANENT_FIELD_LABOR_HOURS)*TEMP_HOURLY_RATE-FIXED_SEASON_COST)</f>
        <v>25487.7340820723</v>
      </c>
      <c r="AJ110" s="53" t="n">
        <f aca="false">IF(OR($A110&gt;TOMATO_BED_CAP,$B110&gt;CARROT_BED_CAP,AJ$4&gt;MESCLUN_BED_CAP,$A110+$B110+AJ$4&gt;TOTAL_BEDS_AVAILABLE,($D110+AJ$5)&gt;TOTAL_LABOR_HOURS_CAP,MAX(0,($D110+AJ$5)-PERMANENT_FIELD_LABOR_HOURS)&gt;TEMP_HOURS_CAP),"",$C110+AJ$6-MIN(($D110+AJ$5),PERMANENT_FIELD_LABOR_HOURS)*PERMANENT_HOURLY_RATE-MAX(0,($D110+AJ$5)-PERMANENT_FIELD_LABOR_HOURS)*TEMP_HOURLY_RATE-FIXED_SEASON_COST)</f>
        <v>25767.733597478</v>
      </c>
    </row>
    <row r="111" customFormat="false" ht="15" hidden="false" customHeight="false" outlineLevel="0" collapsed="false">
      <c r="A111" s="21" t="n">
        <f aca="false">INT((ROW()-ROW($A$8))/(20+1))</f>
        <v>4</v>
      </c>
      <c r="B111" s="21" t="n">
        <f aca="false">MOD(ROW()-ROW($A$8),20+1)</f>
        <v>19</v>
      </c>
      <c r="C111" s="13" t="n">
        <f aca="false">A111*(TOMATO_REVENUE_PER_BED-TOMATO_FERTILIZER_PER_BED)+B111*(CARROT_REVENUE_PER_BED-CARROT_FERTILIZER_PER_BED)</f>
        <v>63106</v>
      </c>
      <c r="D111" s="14" t="n">
        <f aca="false">INDEX(TOMATO_SCHED_LABOR_HRS,A111+1)+INDEX(CARROT_SCHED_LABOR_HRS,B111+1)</f>
        <v>1437.9421135777</v>
      </c>
      <c r="E111" s="13" t="n">
        <f aca="false">IF(COUNT(F111:AJ111)=0,"",MAX(F111:AJ111))</f>
        <v>26224.1142031637</v>
      </c>
      <c r="F111" s="53" t="n">
        <f aca="false">IF(OR($A111&gt;TOMATO_BED_CAP,$B111&gt;CARROT_BED_CAP,F$4&gt;MESCLUN_BED_CAP,$A111+$B111+F$4&gt;TOTAL_BEDS_AVAILABLE,($D111+F$5)&gt;TOTAL_LABOR_HOURS_CAP,MAX(0,($D111+F$5)-PERMANENT_FIELD_LABOR_HOURS)&gt;TEMP_HOURS_CAP),"",$C111+F$6-MIN(($D111+F$5),PERMANENT_FIELD_LABOR_HOURS)*PERMANENT_HOURLY_RATE-MAX(0,($D111+F$5)-PERMANENT_FIELD_LABOR_HOURS)*TEMP_HOURLY_RATE-FIXED_SEASON_COST)</f>
        <v>5644.1249082912</v>
      </c>
      <c r="G111" s="53" t="n">
        <f aca="false">IF(OR($A111&gt;TOMATO_BED_CAP,$B111&gt;CARROT_BED_CAP,G$4&gt;MESCLUN_BED_CAP,$A111+$B111+G$4&gt;TOTAL_BEDS_AVAILABLE,($D111+G$5)&gt;TOTAL_LABOR_HOURS_CAP,MAX(0,($D111+G$5)-PERMANENT_FIELD_LABOR_HOURS)&gt;TEMP_HOURS_CAP),"",$C111+G$6-MIN(($D111+G$5),PERMANENT_FIELD_LABOR_HOURS)*PERMANENT_HOURLY_RATE-MAX(0,($D111+G$5)-PERMANENT_FIELD_LABOR_HOURS)*TEMP_HOURLY_RATE-FIXED_SEASON_COST)</f>
        <v>6673.15990829119</v>
      </c>
      <c r="H111" s="53" t="n">
        <f aca="false">IF(OR($A111&gt;TOMATO_BED_CAP,$B111&gt;CARROT_BED_CAP,H$4&gt;MESCLUN_BED_CAP,$A111+$B111+H$4&gt;TOTAL_BEDS_AVAILABLE,($D111+H$5)&gt;TOTAL_LABOR_HOURS_CAP,MAX(0,($D111+H$5)-PERMANENT_FIELD_LABOR_HOURS)&gt;TEMP_HOURS_CAP),"",$C111+H$6-MIN(($D111+H$5),PERMANENT_FIELD_LABOR_HOURS)*PERMANENT_HOURLY_RATE-MAX(0,($D111+H$5)-PERMANENT_FIELD_LABOR_HOURS)*TEMP_HOURLY_RATE-FIXED_SEASON_COST)</f>
        <v>7682.4207832912</v>
      </c>
      <c r="I111" s="53" t="n">
        <f aca="false">IF(OR($A111&gt;TOMATO_BED_CAP,$B111&gt;CARROT_BED_CAP,I$4&gt;MESCLUN_BED_CAP,$A111+$B111+I$4&gt;TOTAL_BEDS_AVAILABLE,($D111+I$5)&gt;TOTAL_LABOR_HOURS_CAP,MAX(0,($D111+I$5)-PERMANENT_FIELD_LABOR_HOURS)&gt;TEMP_HOURS_CAP),"",$C111+I$6-MIN(($D111+I$5),PERMANENT_FIELD_LABOR_HOURS)*PERMANENT_HOURLY_RATE-MAX(0,($D111+I$5)-PERMANENT_FIELD_LABOR_HOURS)*TEMP_HOURLY_RATE-FIXED_SEASON_COST)</f>
        <v>8671.53676844744</v>
      </c>
      <c r="J111" s="53" t="n">
        <f aca="false">IF(OR($A111&gt;TOMATO_BED_CAP,$B111&gt;CARROT_BED_CAP,J$4&gt;MESCLUN_BED_CAP,$A111+$B111+J$4&gt;TOTAL_BEDS_AVAILABLE,($D111+J$5)&gt;TOTAL_LABOR_HOURS_CAP,MAX(0,($D111+J$5)-PERMANENT_FIELD_LABOR_HOURS)&gt;TEMP_HOURS_CAP),"",$C111+J$6-MIN(($D111+J$5),PERMANENT_FIELD_LABOR_HOURS)*PERMANENT_HOURLY_RATE-MAX(0,($D111+J$5)-PERMANENT_FIELD_LABOR_HOURS)*TEMP_HOURLY_RATE-FIXED_SEASON_COST)</f>
        <v>9640.13091950213</v>
      </c>
      <c r="K111" s="53" t="n">
        <f aca="false">IF(OR($A111&gt;TOMATO_BED_CAP,$B111&gt;CARROT_BED_CAP,K$4&gt;MESCLUN_BED_CAP,$A111+$B111+K$4&gt;TOTAL_BEDS_AVAILABLE,($D111+K$5)&gt;TOTAL_LABOR_HOURS_CAP,MAX(0,($D111+K$5)-PERMANENT_FIELD_LABOR_HOURS)&gt;TEMP_HOURS_CAP),"",$C111+K$6-MIN(($D111+K$5),PERMANENT_FIELD_LABOR_HOURS)*PERMANENT_HOURLY_RATE-MAX(0,($D111+K$5)-PERMANENT_FIELD_LABOR_HOURS)*TEMP_HOURLY_RATE-FIXED_SEASON_COST)</f>
        <v>10587.82001623</v>
      </c>
      <c r="L111" s="53" t="n">
        <f aca="false">IF(OR($A111&gt;TOMATO_BED_CAP,$B111&gt;CARROT_BED_CAP,L$4&gt;MESCLUN_BED_CAP,$A111+$B111+L$4&gt;TOTAL_BEDS_AVAILABLE,($D111+L$5)&gt;TOTAL_LABOR_HOURS_CAP,MAX(0,($D111+L$5)-PERMANENT_FIELD_LABOR_HOURS)&gt;TEMP_HOURS_CAP),"",$C111+L$6-MIN(($D111+L$5),PERMANENT_FIELD_LABOR_HOURS)*PERMANENT_HOURLY_RATE-MAX(0,($D111+L$5)-PERMANENT_FIELD_LABOR_HOURS)*TEMP_HOURLY_RATE-FIXED_SEASON_COST)</f>
        <v>11514.2144644369</v>
      </c>
      <c r="M111" s="53" t="n">
        <f aca="false">IF(OR($A111&gt;TOMATO_BED_CAP,$B111&gt;CARROT_BED_CAP,M$4&gt;MESCLUN_BED_CAP,$A111+$B111+M$4&gt;TOTAL_BEDS_AVAILABLE,($D111+M$5)&gt;TOTAL_LABOR_HOURS_CAP,MAX(0,($D111+M$5)-PERMANENT_FIELD_LABOR_HOURS)&gt;TEMP_HOURS_CAP),"",$C111+M$6-MIN(($D111+M$5),PERMANENT_FIELD_LABOR_HOURS)*PERMANENT_HOURLY_RATE-MAX(0,($D111+M$5)-PERMANENT_FIELD_LABOR_HOURS)*TEMP_HOURLY_RATE-FIXED_SEASON_COST)</f>
        <v>12418.9181964883</v>
      </c>
      <c r="N111" s="53" t="n">
        <f aca="false">IF(OR($A111&gt;TOMATO_BED_CAP,$B111&gt;CARROT_BED_CAP,N$4&gt;MESCLUN_BED_CAP,$A111+$B111+N$4&gt;TOTAL_BEDS_AVAILABLE,($D111+N$5)&gt;TOTAL_LABOR_HOURS_CAP,MAX(0,($D111+N$5)-PERMANENT_FIELD_LABOR_HOURS)&gt;TEMP_HOURS_CAP),"",$C111+N$6-MIN(($D111+N$5),PERMANENT_FIELD_LABOR_HOURS)*PERMANENT_HOURLY_RATE-MAX(0,($D111+N$5)-PERMANENT_FIELD_LABOR_HOURS)*TEMP_HOURLY_RATE-FIXED_SEASON_COST)</f>
        <v>13301.5285703478</v>
      </c>
      <c r="O111" s="53" t="n">
        <f aca="false">IF(OR($A111&gt;TOMATO_BED_CAP,$B111&gt;CARROT_BED_CAP,O$4&gt;MESCLUN_BED_CAP,$A111+$B111+O$4&gt;TOTAL_BEDS_AVAILABLE,($D111+O$5)&gt;TOTAL_LABOR_HOURS_CAP,MAX(0,($D111+O$5)-PERMANENT_FIELD_LABOR_HOURS)&gt;TEMP_HOURS_CAP),"",$C111+O$6-MIN(($D111+O$5),PERMANENT_FIELD_LABOR_HOURS)*PERMANENT_HOURLY_RATE-MAX(0,($D111+O$5)-PERMANENT_FIELD_LABOR_HOURS)*TEMP_HOURLY_RATE-FIXED_SEASON_COST)</f>
        <v>14161.6362671026</v>
      </c>
      <c r="P111" s="53" t="n">
        <f aca="false">IF(OR($A111&gt;TOMATO_BED_CAP,$B111&gt;CARROT_BED_CAP,P$4&gt;MESCLUN_BED_CAP,$A111+$B111+P$4&gt;TOTAL_BEDS_AVAILABLE,($D111+P$5)&gt;TOTAL_LABOR_HOURS_CAP,MAX(0,($D111+P$5)-PERMANENT_FIELD_LABOR_HOURS)&gt;TEMP_HOURS_CAP),"",$C111+P$6-MIN(($D111+P$5),PERMANENT_FIELD_LABOR_HOURS)*PERMANENT_HOURLY_RATE-MAX(0,($D111+P$5)-PERMANENT_FIELD_LABOR_HOURS)*TEMP_HOURLY_RATE-FIXED_SEASON_COST)</f>
        <v>14998.825186954</v>
      </c>
      <c r="Q111" s="53" t="n">
        <f aca="false">IF(OR($A111&gt;TOMATO_BED_CAP,$B111&gt;CARROT_BED_CAP,Q$4&gt;MESCLUN_BED_CAP,$A111+$B111+Q$4&gt;TOTAL_BEDS_AVAILABLE,($D111+Q$5)&gt;TOTAL_LABOR_HOURS_CAP,MAX(0,($D111+Q$5)-PERMANENT_FIELD_LABOR_HOURS)&gt;TEMP_HOURS_CAP),"",$C111+Q$6-MIN(($D111+Q$5),PERMANENT_FIELD_LABOR_HOURS)*PERMANENT_HOURLY_RATE-MAX(0,($D111+Q$5)-PERMANENT_FIELD_LABOR_HOURS)*TEMP_HOURLY_RATE-FIXED_SEASON_COST)</f>
        <v>15812.6723436519</v>
      </c>
      <c r="R111" s="53" t="n">
        <f aca="false">IF(OR($A111&gt;TOMATO_BED_CAP,$B111&gt;CARROT_BED_CAP,R$4&gt;MESCLUN_BED_CAP,$A111+$B111+R$4&gt;TOTAL_BEDS_AVAILABLE,($D111+R$5)&gt;TOTAL_LABOR_HOURS_CAP,MAX(0,($D111+R$5)-PERMANENT_FIELD_LABOR_HOURS)&gt;TEMP_HOURS_CAP),"",$C111+R$6-MIN(($D111+R$5),PERMANENT_FIELD_LABOR_HOURS)*PERMANENT_HOURLY_RATE-MAX(0,($D111+R$5)-PERMANENT_FIELD_LABOR_HOURS)*TEMP_HOURLY_RATE-FIXED_SEASON_COST)</f>
        <v>16602.7477573487</v>
      </c>
      <c r="S111" s="53" t="n">
        <f aca="false">IF(OR($A111&gt;TOMATO_BED_CAP,$B111&gt;CARROT_BED_CAP,S$4&gt;MESCLUN_BED_CAP,$A111+$B111+S$4&gt;TOTAL_BEDS_AVAILABLE,($D111+S$5)&gt;TOTAL_LABOR_HOURS_CAP,MAX(0,($D111+S$5)-PERMANENT_FIELD_LABOR_HOURS)&gt;TEMP_HOURS_CAP),"",$C111+S$6-MIN(($D111+S$5),PERMANENT_FIELD_LABOR_HOURS)*PERMANENT_HOURLY_RATE-MAX(0,($D111+S$5)-PERMANENT_FIELD_LABOR_HOURS)*TEMP_HOURLY_RATE-FIXED_SEASON_COST)</f>
        <v>17368.6143458512</v>
      </c>
      <c r="T111" s="53" t="n">
        <f aca="false">IF(OR($A111&gt;TOMATO_BED_CAP,$B111&gt;CARROT_BED_CAP,T$4&gt;MESCLUN_BED_CAP,$A111+$B111+T$4&gt;TOTAL_BEDS_AVAILABLE,($D111+T$5)&gt;TOTAL_LABOR_HOURS_CAP,MAX(0,($D111+T$5)-PERMANENT_FIELD_LABOR_HOURS)&gt;TEMP_HOURS_CAP),"",$C111+T$6-MIN(($D111+T$5),PERMANENT_FIELD_LABOR_HOURS)*PERMANENT_HOURLY_RATE-MAX(0,($D111+T$5)-PERMANENT_FIELD_LABOR_HOURS)*TEMP_HOURLY_RATE-FIXED_SEASON_COST)</f>
        <v>18109.827814246</v>
      </c>
      <c r="U111" s="53" t="n">
        <f aca="false">IF(OR($A111&gt;TOMATO_BED_CAP,$B111&gt;CARROT_BED_CAP,U$4&gt;MESCLUN_BED_CAP,$A111+$B111+U$4&gt;TOTAL_BEDS_AVAILABLE,($D111+U$5)&gt;TOTAL_LABOR_HOURS_CAP,MAX(0,($D111+U$5)-PERMANENT_FIELD_LABOR_HOURS)&gt;TEMP_HOURS_CAP),"",$C111+U$6-MIN(($D111+U$5),PERMANENT_FIELD_LABOR_HOURS)*PERMANENT_HOURLY_RATE-MAX(0,($D111+U$5)-PERMANENT_FIELD_LABOR_HOURS)*TEMP_HOURLY_RATE-FIXED_SEASON_COST)</f>
        <v>18825.9365428761</v>
      </c>
      <c r="V111" s="53" t="n">
        <f aca="false">IF(OR($A111&gt;TOMATO_BED_CAP,$B111&gt;CARROT_BED_CAP,V$4&gt;MESCLUN_BED_CAP,$A111+$B111+V$4&gt;TOTAL_BEDS_AVAILABLE,($D111+V$5)&gt;TOTAL_LABOR_HOURS_CAP,MAX(0,($D111+V$5)-PERMANENT_FIELD_LABOR_HOURS)&gt;TEMP_HOURS_CAP),"",$C111+V$6-MIN(($D111+V$5),PERMANENT_FIELD_LABOR_HOURS)*PERMANENT_HOURLY_RATE-MAX(0,($D111+V$5)-PERMANENT_FIELD_LABOR_HOURS)*TEMP_HOURLY_RATE-FIXED_SEASON_COST)</f>
        <v>19516.4814736429</v>
      </c>
      <c r="W111" s="53" t="n">
        <f aca="false">IF(OR($A111&gt;TOMATO_BED_CAP,$B111&gt;CARROT_BED_CAP,W$4&gt;MESCLUN_BED_CAP,$A111+$B111+W$4&gt;TOTAL_BEDS_AVAILABLE,($D111+W$5)&gt;TOTAL_LABOR_HOURS_CAP,MAX(0,($D111+W$5)-PERMANENT_FIELD_LABOR_HOURS)&gt;TEMP_HOURS_CAP),"",$C111+W$6-MIN(($D111+W$5),PERMANENT_FIELD_LABOR_HOURS)*PERMANENT_HOURLY_RATE-MAX(0,($D111+W$5)-PERMANENT_FIELD_LABOR_HOURS)*TEMP_HOURLY_RATE-FIXED_SEASON_COST)</f>
        <v>20180.995994611</v>
      </c>
      <c r="X111" s="53" t="n">
        <f aca="false">IF(OR($A111&gt;TOMATO_BED_CAP,$B111&gt;CARROT_BED_CAP,X$4&gt;MESCLUN_BED_CAP,$A111+$B111+X$4&gt;TOTAL_BEDS_AVAILABLE,($D111+X$5)&gt;TOTAL_LABOR_HOURS_CAP,MAX(0,($D111+X$5)-PERMANENT_FIELD_LABOR_HOURS)&gt;TEMP_HOURS_CAP),"",$C111+X$6-MIN(($D111+X$5),PERMANENT_FIELD_LABOR_HOURS)*PERMANENT_HOURLY_RATE-MAX(0,($D111+X$5)-PERMANENT_FIELD_LABOR_HOURS)*TEMP_HOURLY_RATE-FIXED_SEASON_COST)</f>
        <v>20819.0058228899</v>
      </c>
      <c r="Y111" s="53" t="n">
        <f aca="false">IF(OR($A111&gt;TOMATO_BED_CAP,$B111&gt;CARROT_BED_CAP,Y$4&gt;MESCLUN_BED_CAP,$A111+$B111+Y$4&gt;TOTAL_BEDS_AVAILABLE,($D111+Y$5)&gt;TOTAL_LABOR_HOURS_CAP,MAX(0,($D111+Y$5)-PERMANENT_FIELD_LABOR_HOURS)&gt;TEMP_HOURS_CAP),"",$C111+Y$6-MIN(($D111+Y$5),PERMANENT_FIELD_LABOR_HOURS)*PERMANENT_HOURLY_RATE-MAX(0,($D111+Y$5)-PERMANENT_FIELD_LABOR_HOURS)*TEMP_HOURLY_RATE-FIXED_SEASON_COST)</f>
        <v>21430.0288857686</v>
      </c>
      <c r="Z111" s="53" t="n">
        <f aca="false">IF(OR($A111&gt;TOMATO_BED_CAP,$B111&gt;CARROT_BED_CAP,Z$4&gt;MESCLUN_BED_CAP,$A111+$B111+Z$4&gt;TOTAL_BEDS_AVAILABLE,($D111+Z$5)&gt;TOTAL_LABOR_HOURS_CAP,MAX(0,($D111+Z$5)-PERMANENT_FIELD_LABOR_HOURS)&gt;TEMP_HOURS_CAP),"",$C111+Z$6-MIN(($D111+Z$5),PERMANENT_FIELD_LABOR_HOURS)*PERMANENT_HOURLY_RATE-MAX(0,($D111+Z$5)-PERMANENT_FIELD_LABOR_HOURS)*TEMP_HOURLY_RATE-FIXED_SEASON_COST)</f>
        <v>22013.5752000763</v>
      </c>
      <c r="AA111" s="53" t="n">
        <f aca="false">IF(OR($A111&gt;TOMATO_BED_CAP,$B111&gt;CARROT_BED_CAP,AA$4&gt;MESCLUN_BED_CAP,$A111+$B111+AA$4&gt;TOTAL_BEDS_AVAILABLE,($D111+AA$5)&gt;TOTAL_LABOR_HOURS_CAP,MAX(0,($D111+AA$5)-PERMANENT_FIELD_LABOR_HOURS)&gt;TEMP_HOURS_CAP),"",$C111+AA$6-MIN(($D111+AA$5),PERMANENT_FIELD_LABOR_HOURS)*PERMANENT_HOURLY_RATE-MAX(0,($D111+AA$5)-PERMANENT_FIELD_LABOR_HOURS)*TEMP_HOURLY_RATE-FIXED_SEASON_COST)</f>
        <v>22569.1467497452</v>
      </c>
      <c r="AB111" s="53" t="n">
        <f aca="false">IF(OR($A111&gt;TOMATO_BED_CAP,$B111&gt;CARROT_BED_CAP,AB$4&gt;MESCLUN_BED_CAP,$A111+$B111+AB$4&gt;TOTAL_BEDS_AVAILABLE,($D111+AB$5)&gt;TOTAL_LABOR_HOURS_CAP,MAX(0,($D111+AB$5)-PERMANENT_FIELD_LABOR_HOURS)&gt;TEMP_HOURS_CAP),"",$C111+AB$6-MIN(($D111+AB$5),PERMANENT_FIELD_LABOR_HOURS)*PERMANENT_HOURLY_RATE-MAX(0,($D111+AB$5)-PERMANENT_FIELD_LABOR_HOURS)*TEMP_HOURLY_RATE-FIXED_SEASON_COST)</f>
        <v>23096.2373615478</v>
      </c>
      <c r="AC111" s="53" t="n">
        <f aca="false">IF(OR($A111&gt;TOMATO_BED_CAP,$B111&gt;CARROT_BED_CAP,AC$4&gt;MESCLUN_BED_CAP,$A111+$B111+AC$4&gt;TOTAL_BEDS_AVAILABLE,($D111+AC$5)&gt;TOTAL_LABOR_HOURS_CAP,MAX(0,($D111+AC$5)-PERMANENT_FIELD_LABOR_HOURS)&gt;TEMP_HOURS_CAP),"",$C111+AC$6-MIN(($D111+AC$5),PERMANENT_FIELD_LABOR_HOURS)*PERMANENT_HOURLY_RATE-MAX(0,($D111+AC$5)-PERMANENT_FIELD_LABOR_HOURS)*TEMP_HOURLY_RATE-FIXED_SEASON_COST)</f>
        <v>23594.3325789827</v>
      </c>
      <c r="AD111" s="53" t="n">
        <f aca="false">IF(OR($A111&gt;TOMATO_BED_CAP,$B111&gt;CARROT_BED_CAP,AD$4&gt;MESCLUN_BED_CAP,$A111+$B111+AD$4&gt;TOTAL_BEDS_AVAILABLE,($D111+AD$5)&gt;TOTAL_LABOR_HOURS_CAP,MAX(0,($D111+AD$5)-PERMANENT_FIELD_LABOR_HOURS)&gt;TEMP_HOURS_CAP),"",$C111+AD$6-MIN(($D111+AD$5),PERMANENT_FIELD_LABOR_HOURS)*PERMANENT_HOURLY_RATE-MAX(0,($D111+AD$5)-PERMANENT_FIELD_LABOR_HOURS)*TEMP_HOURLY_RATE-FIXED_SEASON_COST)</f>
        <v>24062.9095342826</v>
      </c>
      <c r="AE111" s="53" t="n">
        <f aca="false">IF(OR($A111&gt;TOMATO_BED_CAP,$B111&gt;CARROT_BED_CAP,AE$4&gt;MESCLUN_BED_CAP,$A111+$B111+AE$4&gt;TOTAL_BEDS_AVAILABLE,($D111+AE$5)&gt;TOTAL_LABOR_HOURS_CAP,MAX(0,($D111+AE$5)-PERMANENT_FIELD_LABOR_HOURS)&gt;TEMP_HOURS_CAP),"",$C111+AE$6-MIN(($D111+AE$5),PERMANENT_FIELD_LABOR_HOURS)*PERMANENT_HOURLY_RATE-MAX(0,($D111+AE$5)-PERMANENT_FIELD_LABOR_HOURS)*TEMP_HOURLY_RATE-FIXED_SEASON_COST)</f>
        <v>24501.4368185165</v>
      </c>
      <c r="AF111" s="53" t="n">
        <f aca="false">IF(OR($A111&gt;TOMATO_BED_CAP,$B111&gt;CARROT_BED_CAP,AF$4&gt;MESCLUN_BED_CAP,$A111+$B111+AF$4&gt;TOTAL_BEDS_AVAILABLE,($D111+AF$5)&gt;TOTAL_LABOR_HOURS_CAP,MAX(0,($D111+AF$5)-PERMANENT_FIELD_LABOR_HOURS)&gt;TEMP_HOURS_CAP),"",$C111+AF$6-MIN(($D111+AF$5),PERMANENT_FIELD_LABOR_HOURS)*PERMANENT_HOURLY_RATE-MAX(0,($D111+AF$5)-PERMANENT_FIELD_LABOR_HOURS)*TEMP_HOURLY_RATE-FIXED_SEASON_COST)</f>
        <v>24909.3743497585</v>
      </c>
      <c r="AG111" s="53" t="n">
        <f aca="false">IF(OR($A111&gt;TOMATO_BED_CAP,$B111&gt;CARROT_BED_CAP,AG$4&gt;MESCLUN_BED_CAP,$A111+$B111+AG$4&gt;TOTAL_BEDS_AVAILABLE,($D111+AG$5)&gt;TOTAL_LABOR_HOURS_CAP,MAX(0,($D111+AG$5)-PERMANENT_FIELD_LABOR_HOURS)&gt;TEMP_HOURS_CAP),"",$C111+AG$6-MIN(($D111+AG$5),PERMANENT_FIELD_LABOR_HOURS)*PERMANENT_HOURLY_RATE-MAX(0,($D111+AG$5)-PERMANENT_FIELD_LABOR_HOURS)*TEMP_HOURLY_RATE-FIXED_SEASON_COST)</f>
        <v>25286.1732392955</v>
      </c>
      <c r="AH111" s="53" t="n">
        <f aca="false">IF(OR($A111&gt;TOMATO_BED_CAP,$B111&gt;CARROT_BED_CAP,AH$4&gt;MESCLUN_BED_CAP,$A111+$B111+AH$4&gt;TOTAL_BEDS_AVAILABLE,($D111+AH$5)&gt;TOTAL_LABOR_HOURS_CAP,MAX(0,($D111+AH$5)-PERMANENT_FIELD_LABOR_HOURS)&gt;TEMP_HOURS_CAP),"",$C111+AH$6-MIN(($D111+AH$5),PERMANENT_FIELD_LABOR_HOURS)*PERMANENT_HOURLY_RATE-MAX(0,($D111+AH$5)-PERMANENT_FIELD_LABOR_HOURS)*TEMP_HOURLY_RATE-FIXED_SEASON_COST)</f>
        <v>25631.2756558457</v>
      </c>
      <c r="AI111" s="53" t="n">
        <f aca="false">IF(OR($A111&gt;TOMATO_BED_CAP,$B111&gt;CARROT_BED_CAP,AI$4&gt;MESCLUN_BED_CAP,$A111+$B111+AI$4&gt;TOTAL_BEDS_AVAILABLE,($D111+AI$5)&gt;TOTAL_LABOR_HOURS_CAP,MAX(0,($D111+AI$5)-PERMANENT_FIELD_LABOR_HOURS)&gt;TEMP_HOURS_CAP),"",$C111+AI$6-MIN(($D111+AI$5),PERMANENT_FIELD_LABOR_HOURS)*PERMANENT_HOURLY_RATE-MAX(0,($D111+AI$5)-PERMANENT_FIELD_LABOR_HOURS)*TEMP_HOURLY_RATE-FIXED_SEASON_COST)</f>
        <v>25944.114687758</v>
      </c>
      <c r="AJ111" s="53" t="n">
        <f aca="false">IF(OR($A111&gt;TOMATO_BED_CAP,$B111&gt;CARROT_BED_CAP,AJ$4&gt;MESCLUN_BED_CAP,$A111+$B111+AJ$4&gt;TOTAL_BEDS_AVAILABLE,($D111+AJ$5)&gt;TOTAL_LABOR_HOURS_CAP,MAX(0,($D111+AJ$5)-PERMANENT_FIELD_LABOR_HOURS)&gt;TEMP_HOURS_CAP),"",$C111+AJ$6-MIN(($D111+AJ$5),PERMANENT_FIELD_LABOR_HOURS)*PERMANENT_HOURLY_RATE-MAX(0,($D111+AJ$5)-PERMANENT_FIELD_LABOR_HOURS)*TEMP_HOURLY_RATE-FIXED_SEASON_COST)</f>
        <v>26224.1142031637</v>
      </c>
    </row>
    <row r="112" customFormat="false" ht="15" hidden="false" customHeight="false" outlineLevel="0" collapsed="false">
      <c r="A112" s="21" t="n">
        <f aca="false">INT((ROW()-ROW($A$8))/(20+1))</f>
        <v>4</v>
      </c>
      <c r="B112" s="21" t="n">
        <f aca="false">MOD(ROW()-ROW($A$8),20+1)</f>
        <v>20</v>
      </c>
      <c r="C112" s="13" t="n">
        <f aca="false">A112*(TOMATO_REVENUE_PER_BED-TOMATO_FERTILIZER_PER_BED)+B112*(CARROT_REVENUE_PER_BED-CARROT_FERTILIZER_PER_BED)</f>
        <v>64760</v>
      </c>
      <c r="D112" s="14" t="n">
        <f aca="false">INDEX(TOMATO_SCHED_LABOR_HRS,A112+1)+INDEX(CARROT_SCHED_LABOR_HRS,B112+1)</f>
        <v>1509.85259622857</v>
      </c>
      <c r="E112" s="13" t="n">
        <f aca="false">IF(COUNT(F112:AJ112)=0,"",MAX(F112:AJ112))</f>
        <v>26629.7482243446</v>
      </c>
      <c r="F112" s="53" t="n">
        <f aca="false">IF(OR($A112&gt;TOMATO_BED_CAP,$B112&gt;CARROT_BED_CAP,F$4&gt;MESCLUN_BED_CAP,$A112+$B112+F$4&gt;TOTAL_BEDS_AVAILABLE,($D112+F$5)&gt;TOTAL_LABOR_HOURS_CAP,MAX(0,($D112+F$5)-PERMANENT_FIELD_LABOR_HOURS)&gt;TEMP_HOURS_CAP),"",$C112+F$6-MIN(($D112+F$5),PERMANENT_FIELD_LABOR_HOURS)*PERMANENT_HOURLY_RATE-MAX(0,($D112+F$5)-PERMANENT_FIELD_LABOR_HOURS)*TEMP_HOURLY_RATE-FIXED_SEASON_COST)</f>
        <v>6049.75892947208</v>
      </c>
      <c r="G112" s="53" t="n">
        <f aca="false">IF(OR($A112&gt;TOMATO_BED_CAP,$B112&gt;CARROT_BED_CAP,G$4&gt;MESCLUN_BED_CAP,$A112+$B112+G$4&gt;TOTAL_BEDS_AVAILABLE,($D112+G$5)&gt;TOTAL_LABOR_HOURS_CAP,MAX(0,($D112+G$5)-PERMANENT_FIELD_LABOR_HOURS)&gt;TEMP_HOURS_CAP),"",$C112+G$6-MIN(($D112+G$5),PERMANENT_FIELD_LABOR_HOURS)*PERMANENT_HOURLY_RATE-MAX(0,($D112+G$5)-PERMANENT_FIELD_LABOR_HOURS)*TEMP_HOURLY_RATE-FIXED_SEASON_COST)</f>
        <v>7078.79392947208</v>
      </c>
      <c r="H112" s="53" t="n">
        <f aca="false">IF(OR($A112&gt;TOMATO_BED_CAP,$B112&gt;CARROT_BED_CAP,H$4&gt;MESCLUN_BED_CAP,$A112+$B112+H$4&gt;TOTAL_BEDS_AVAILABLE,($D112+H$5)&gt;TOTAL_LABOR_HOURS_CAP,MAX(0,($D112+H$5)-PERMANENT_FIELD_LABOR_HOURS)&gt;TEMP_HOURS_CAP),"",$C112+H$6-MIN(($D112+H$5),PERMANENT_FIELD_LABOR_HOURS)*PERMANENT_HOURLY_RATE-MAX(0,($D112+H$5)-PERMANENT_FIELD_LABOR_HOURS)*TEMP_HOURLY_RATE-FIXED_SEASON_COST)</f>
        <v>8088.05480447209</v>
      </c>
      <c r="I112" s="53" t="n">
        <f aca="false">IF(OR($A112&gt;TOMATO_BED_CAP,$B112&gt;CARROT_BED_CAP,I$4&gt;MESCLUN_BED_CAP,$A112+$B112+I$4&gt;TOTAL_BEDS_AVAILABLE,($D112+I$5)&gt;TOTAL_LABOR_HOURS_CAP,MAX(0,($D112+I$5)-PERMANENT_FIELD_LABOR_HOURS)&gt;TEMP_HOURS_CAP),"",$C112+I$6-MIN(($D112+I$5),PERMANENT_FIELD_LABOR_HOURS)*PERMANENT_HOURLY_RATE-MAX(0,($D112+I$5)-PERMANENT_FIELD_LABOR_HOURS)*TEMP_HOURLY_RATE-FIXED_SEASON_COST)</f>
        <v>9077.17078962833</v>
      </c>
      <c r="J112" s="53" t="n">
        <f aca="false">IF(OR($A112&gt;TOMATO_BED_CAP,$B112&gt;CARROT_BED_CAP,J$4&gt;MESCLUN_BED_CAP,$A112+$B112+J$4&gt;TOTAL_BEDS_AVAILABLE,($D112+J$5)&gt;TOTAL_LABOR_HOURS_CAP,MAX(0,($D112+J$5)-PERMANENT_FIELD_LABOR_HOURS)&gt;TEMP_HOURS_CAP),"",$C112+J$6-MIN(($D112+J$5),PERMANENT_FIELD_LABOR_HOURS)*PERMANENT_HOURLY_RATE-MAX(0,($D112+J$5)-PERMANENT_FIELD_LABOR_HOURS)*TEMP_HOURLY_RATE-FIXED_SEASON_COST)</f>
        <v>10045.764940683</v>
      </c>
      <c r="K112" s="53" t="n">
        <f aca="false">IF(OR($A112&gt;TOMATO_BED_CAP,$B112&gt;CARROT_BED_CAP,K$4&gt;MESCLUN_BED_CAP,$A112+$B112+K$4&gt;TOTAL_BEDS_AVAILABLE,($D112+K$5)&gt;TOTAL_LABOR_HOURS_CAP,MAX(0,($D112+K$5)-PERMANENT_FIELD_LABOR_HOURS)&gt;TEMP_HOURS_CAP),"",$C112+K$6-MIN(($D112+K$5),PERMANENT_FIELD_LABOR_HOURS)*PERMANENT_HOURLY_RATE-MAX(0,($D112+K$5)-PERMANENT_FIELD_LABOR_HOURS)*TEMP_HOURLY_RATE-FIXED_SEASON_COST)</f>
        <v>10993.4540374109</v>
      </c>
      <c r="L112" s="53" t="n">
        <f aca="false">IF(OR($A112&gt;TOMATO_BED_CAP,$B112&gt;CARROT_BED_CAP,L$4&gt;MESCLUN_BED_CAP,$A112+$B112+L$4&gt;TOTAL_BEDS_AVAILABLE,($D112+L$5)&gt;TOTAL_LABOR_HOURS_CAP,MAX(0,($D112+L$5)-PERMANENT_FIELD_LABOR_HOURS)&gt;TEMP_HOURS_CAP),"",$C112+L$6-MIN(($D112+L$5),PERMANENT_FIELD_LABOR_HOURS)*PERMANENT_HOURLY_RATE-MAX(0,($D112+L$5)-PERMANENT_FIELD_LABOR_HOURS)*TEMP_HOURLY_RATE-FIXED_SEASON_COST)</f>
        <v>11919.8484856178</v>
      </c>
      <c r="M112" s="53" t="n">
        <f aca="false">IF(OR($A112&gt;TOMATO_BED_CAP,$B112&gt;CARROT_BED_CAP,M$4&gt;MESCLUN_BED_CAP,$A112+$B112+M$4&gt;TOTAL_BEDS_AVAILABLE,($D112+M$5)&gt;TOTAL_LABOR_HOURS_CAP,MAX(0,($D112+M$5)-PERMANENT_FIELD_LABOR_HOURS)&gt;TEMP_HOURS_CAP),"",$C112+M$6-MIN(($D112+M$5),PERMANENT_FIELD_LABOR_HOURS)*PERMANENT_HOURLY_RATE-MAX(0,($D112+M$5)-PERMANENT_FIELD_LABOR_HOURS)*TEMP_HOURLY_RATE-FIXED_SEASON_COST)</f>
        <v>12824.5522176692</v>
      </c>
      <c r="N112" s="53" t="n">
        <f aca="false">IF(OR($A112&gt;TOMATO_BED_CAP,$B112&gt;CARROT_BED_CAP,N$4&gt;MESCLUN_BED_CAP,$A112+$B112+N$4&gt;TOTAL_BEDS_AVAILABLE,($D112+N$5)&gt;TOTAL_LABOR_HOURS_CAP,MAX(0,($D112+N$5)-PERMANENT_FIELD_LABOR_HOURS)&gt;TEMP_HOURS_CAP),"",$C112+N$6-MIN(($D112+N$5),PERMANENT_FIELD_LABOR_HOURS)*PERMANENT_HOURLY_RATE-MAX(0,($D112+N$5)-PERMANENT_FIELD_LABOR_HOURS)*TEMP_HOURLY_RATE-FIXED_SEASON_COST)</f>
        <v>13707.1625915287</v>
      </c>
      <c r="O112" s="53" t="n">
        <f aca="false">IF(OR($A112&gt;TOMATO_BED_CAP,$B112&gt;CARROT_BED_CAP,O$4&gt;MESCLUN_BED_CAP,$A112+$B112+O$4&gt;TOTAL_BEDS_AVAILABLE,($D112+O$5)&gt;TOTAL_LABOR_HOURS_CAP,MAX(0,($D112+O$5)-PERMANENT_FIELD_LABOR_HOURS)&gt;TEMP_HOURS_CAP),"",$C112+O$6-MIN(($D112+O$5),PERMANENT_FIELD_LABOR_HOURS)*PERMANENT_HOURLY_RATE-MAX(0,($D112+O$5)-PERMANENT_FIELD_LABOR_HOURS)*TEMP_HOURLY_RATE-FIXED_SEASON_COST)</f>
        <v>14567.2702882835</v>
      </c>
      <c r="P112" s="53" t="n">
        <f aca="false">IF(OR($A112&gt;TOMATO_BED_CAP,$B112&gt;CARROT_BED_CAP,P$4&gt;MESCLUN_BED_CAP,$A112+$B112+P$4&gt;TOTAL_BEDS_AVAILABLE,($D112+P$5)&gt;TOTAL_LABOR_HOURS_CAP,MAX(0,($D112+P$5)-PERMANENT_FIELD_LABOR_HOURS)&gt;TEMP_HOURS_CAP),"",$C112+P$6-MIN(($D112+P$5),PERMANENT_FIELD_LABOR_HOURS)*PERMANENT_HOURLY_RATE-MAX(0,($D112+P$5)-PERMANENT_FIELD_LABOR_HOURS)*TEMP_HOURLY_RATE-FIXED_SEASON_COST)</f>
        <v>15404.4592081349</v>
      </c>
      <c r="Q112" s="53" t="n">
        <f aca="false">IF(OR($A112&gt;TOMATO_BED_CAP,$B112&gt;CARROT_BED_CAP,Q$4&gt;MESCLUN_BED_CAP,$A112+$B112+Q$4&gt;TOTAL_BEDS_AVAILABLE,($D112+Q$5)&gt;TOTAL_LABOR_HOURS_CAP,MAX(0,($D112+Q$5)-PERMANENT_FIELD_LABOR_HOURS)&gt;TEMP_HOURS_CAP),"",$C112+Q$6-MIN(($D112+Q$5),PERMANENT_FIELD_LABOR_HOURS)*PERMANENT_HOURLY_RATE-MAX(0,($D112+Q$5)-PERMANENT_FIELD_LABOR_HOURS)*TEMP_HOURLY_RATE-FIXED_SEASON_COST)</f>
        <v>16218.3063648328</v>
      </c>
      <c r="R112" s="53" t="n">
        <f aca="false">IF(OR($A112&gt;TOMATO_BED_CAP,$B112&gt;CARROT_BED_CAP,R$4&gt;MESCLUN_BED_CAP,$A112+$B112+R$4&gt;TOTAL_BEDS_AVAILABLE,($D112+R$5)&gt;TOTAL_LABOR_HOURS_CAP,MAX(0,($D112+R$5)-PERMANENT_FIELD_LABOR_HOURS)&gt;TEMP_HOURS_CAP),"",$C112+R$6-MIN(($D112+R$5),PERMANENT_FIELD_LABOR_HOURS)*PERMANENT_HOURLY_RATE-MAX(0,($D112+R$5)-PERMANENT_FIELD_LABOR_HOURS)*TEMP_HOURLY_RATE-FIXED_SEASON_COST)</f>
        <v>17008.3817785296</v>
      </c>
      <c r="S112" s="53" t="n">
        <f aca="false">IF(OR($A112&gt;TOMATO_BED_CAP,$B112&gt;CARROT_BED_CAP,S$4&gt;MESCLUN_BED_CAP,$A112+$B112+S$4&gt;TOTAL_BEDS_AVAILABLE,($D112+S$5)&gt;TOTAL_LABOR_HOURS_CAP,MAX(0,($D112+S$5)-PERMANENT_FIELD_LABOR_HOURS)&gt;TEMP_HOURS_CAP),"",$C112+S$6-MIN(($D112+S$5),PERMANENT_FIELD_LABOR_HOURS)*PERMANENT_HOURLY_RATE-MAX(0,($D112+S$5)-PERMANENT_FIELD_LABOR_HOURS)*TEMP_HOURLY_RATE-FIXED_SEASON_COST)</f>
        <v>17774.2483670321</v>
      </c>
      <c r="T112" s="53" t="n">
        <f aca="false">IF(OR($A112&gt;TOMATO_BED_CAP,$B112&gt;CARROT_BED_CAP,T$4&gt;MESCLUN_BED_CAP,$A112+$B112+T$4&gt;TOTAL_BEDS_AVAILABLE,($D112+T$5)&gt;TOTAL_LABOR_HOURS_CAP,MAX(0,($D112+T$5)-PERMANENT_FIELD_LABOR_HOURS)&gt;TEMP_HOURS_CAP),"",$C112+T$6-MIN(($D112+T$5),PERMANENT_FIELD_LABOR_HOURS)*PERMANENT_HOURLY_RATE-MAX(0,($D112+T$5)-PERMANENT_FIELD_LABOR_HOURS)*TEMP_HOURLY_RATE-FIXED_SEASON_COST)</f>
        <v>18515.4618354269</v>
      </c>
      <c r="U112" s="53" t="n">
        <f aca="false">IF(OR($A112&gt;TOMATO_BED_CAP,$B112&gt;CARROT_BED_CAP,U$4&gt;MESCLUN_BED_CAP,$A112+$B112+U$4&gt;TOTAL_BEDS_AVAILABLE,($D112+U$5)&gt;TOTAL_LABOR_HOURS_CAP,MAX(0,($D112+U$5)-PERMANENT_FIELD_LABOR_HOURS)&gt;TEMP_HOURS_CAP),"",$C112+U$6-MIN(($D112+U$5),PERMANENT_FIELD_LABOR_HOURS)*PERMANENT_HOURLY_RATE-MAX(0,($D112+U$5)-PERMANENT_FIELD_LABOR_HOURS)*TEMP_HOURLY_RATE-FIXED_SEASON_COST)</f>
        <v>19231.570564057</v>
      </c>
      <c r="V112" s="53" t="n">
        <f aca="false">IF(OR($A112&gt;TOMATO_BED_CAP,$B112&gt;CARROT_BED_CAP,V$4&gt;MESCLUN_BED_CAP,$A112+$B112+V$4&gt;TOTAL_BEDS_AVAILABLE,($D112+V$5)&gt;TOTAL_LABOR_HOURS_CAP,MAX(0,($D112+V$5)-PERMANENT_FIELD_LABOR_HOURS)&gt;TEMP_HOURS_CAP),"",$C112+V$6-MIN(($D112+V$5),PERMANENT_FIELD_LABOR_HOURS)*PERMANENT_HOURLY_RATE-MAX(0,($D112+V$5)-PERMANENT_FIELD_LABOR_HOURS)*TEMP_HOURLY_RATE-FIXED_SEASON_COST)</f>
        <v>19922.1154948238</v>
      </c>
      <c r="W112" s="53" t="n">
        <f aca="false">IF(OR($A112&gt;TOMATO_BED_CAP,$B112&gt;CARROT_BED_CAP,W$4&gt;MESCLUN_BED_CAP,$A112+$B112+W$4&gt;TOTAL_BEDS_AVAILABLE,($D112+W$5)&gt;TOTAL_LABOR_HOURS_CAP,MAX(0,($D112+W$5)-PERMANENT_FIELD_LABOR_HOURS)&gt;TEMP_HOURS_CAP),"",$C112+W$6-MIN(($D112+W$5),PERMANENT_FIELD_LABOR_HOURS)*PERMANENT_HOURLY_RATE-MAX(0,($D112+W$5)-PERMANENT_FIELD_LABOR_HOURS)*TEMP_HOURLY_RATE-FIXED_SEASON_COST)</f>
        <v>20586.6300157918</v>
      </c>
      <c r="X112" s="53" t="n">
        <f aca="false">IF(OR($A112&gt;TOMATO_BED_CAP,$B112&gt;CARROT_BED_CAP,X$4&gt;MESCLUN_BED_CAP,$A112+$B112+X$4&gt;TOTAL_BEDS_AVAILABLE,($D112+X$5)&gt;TOTAL_LABOR_HOURS_CAP,MAX(0,($D112+X$5)-PERMANENT_FIELD_LABOR_HOURS)&gt;TEMP_HOURS_CAP),"",$C112+X$6-MIN(($D112+X$5),PERMANENT_FIELD_LABOR_HOURS)*PERMANENT_HOURLY_RATE-MAX(0,($D112+X$5)-PERMANENT_FIELD_LABOR_HOURS)*TEMP_HOURLY_RATE-FIXED_SEASON_COST)</f>
        <v>21224.6398440708</v>
      </c>
      <c r="Y112" s="53" t="n">
        <f aca="false">IF(OR($A112&gt;TOMATO_BED_CAP,$B112&gt;CARROT_BED_CAP,Y$4&gt;MESCLUN_BED_CAP,$A112+$B112+Y$4&gt;TOTAL_BEDS_AVAILABLE,($D112+Y$5)&gt;TOTAL_LABOR_HOURS_CAP,MAX(0,($D112+Y$5)-PERMANENT_FIELD_LABOR_HOURS)&gt;TEMP_HOURS_CAP),"",$C112+Y$6-MIN(($D112+Y$5),PERMANENT_FIELD_LABOR_HOURS)*PERMANENT_HOURLY_RATE-MAX(0,($D112+Y$5)-PERMANENT_FIELD_LABOR_HOURS)*TEMP_HOURLY_RATE-FIXED_SEASON_COST)</f>
        <v>21835.6629069494</v>
      </c>
      <c r="Z112" s="53" t="n">
        <f aca="false">IF(OR($A112&gt;TOMATO_BED_CAP,$B112&gt;CARROT_BED_CAP,Z$4&gt;MESCLUN_BED_CAP,$A112+$B112+Z$4&gt;TOTAL_BEDS_AVAILABLE,($D112+Z$5)&gt;TOTAL_LABOR_HOURS_CAP,MAX(0,($D112+Z$5)-PERMANENT_FIELD_LABOR_HOURS)&gt;TEMP_HOURS_CAP),"",$C112+Z$6-MIN(($D112+Z$5),PERMANENT_FIELD_LABOR_HOURS)*PERMANENT_HOURLY_RATE-MAX(0,($D112+Z$5)-PERMANENT_FIELD_LABOR_HOURS)*TEMP_HOURLY_RATE-FIXED_SEASON_COST)</f>
        <v>22419.2092212572</v>
      </c>
      <c r="AA112" s="53" t="n">
        <f aca="false">IF(OR($A112&gt;TOMATO_BED_CAP,$B112&gt;CARROT_BED_CAP,AA$4&gt;MESCLUN_BED_CAP,$A112+$B112+AA$4&gt;TOTAL_BEDS_AVAILABLE,($D112+AA$5)&gt;TOTAL_LABOR_HOURS_CAP,MAX(0,($D112+AA$5)-PERMANENT_FIELD_LABOR_HOURS)&gt;TEMP_HOURS_CAP),"",$C112+AA$6-MIN(($D112+AA$5),PERMANENT_FIELD_LABOR_HOURS)*PERMANENT_HOURLY_RATE-MAX(0,($D112+AA$5)-PERMANENT_FIELD_LABOR_HOURS)*TEMP_HOURLY_RATE-FIXED_SEASON_COST)</f>
        <v>22974.7807709261</v>
      </c>
      <c r="AB112" s="53" t="n">
        <f aca="false">IF(OR($A112&gt;TOMATO_BED_CAP,$B112&gt;CARROT_BED_CAP,AB$4&gt;MESCLUN_BED_CAP,$A112+$B112+AB$4&gt;TOTAL_BEDS_AVAILABLE,($D112+AB$5)&gt;TOTAL_LABOR_HOURS_CAP,MAX(0,($D112+AB$5)-PERMANENT_FIELD_LABOR_HOURS)&gt;TEMP_HOURS_CAP),"",$C112+AB$6-MIN(($D112+AB$5),PERMANENT_FIELD_LABOR_HOURS)*PERMANENT_HOURLY_RATE-MAX(0,($D112+AB$5)-PERMANENT_FIELD_LABOR_HOURS)*TEMP_HOURLY_RATE-FIXED_SEASON_COST)</f>
        <v>23501.8713827287</v>
      </c>
      <c r="AC112" s="53" t="n">
        <f aca="false">IF(OR($A112&gt;TOMATO_BED_CAP,$B112&gt;CARROT_BED_CAP,AC$4&gt;MESCLUN_BED_CAP,$A112+$B112+AC$4&gt;TOTAL_BEDS_AVAILABLE,($D112+AC$5)&gt;TOTAL_LABOR_HOURS_CAP,MAX(0,($D112+AC$5)-PERMANENT_FIELD_LABOR_HOURS)&gt;TEMP_HOURS_CAP),"",$C112+AC$6-MIN(($D112+AC$5),PERMANENT_FIELD_LABOR_HOURS)*PERMANENT_HOURLY_RATE-MAX(0,($D112+AC$5)-PERMANENT_FIELD_LABOR_HOURS)*TEMP_HOURLY_RATE-FIXED_SEASON_COST)</f>
        <v>23999.9666001636</v>
      </c>
      <c r="AD112" s="53" t="n">
        <f aca="false">IF(OR($A112&gt;TOMATO_BED_CAP,$B112&gt;CARROT_BED_CAP,AD$4&gt;MESCLUN_BED_CAP,$A112+$B112+AD$4&gt;TOTAL_BEDS_AVAILABLE,($D112+AD$5)&gt;TOTAL_LABOR_HOURS_CAP,MAX(0,($D112+AD$5)-PERMANENT_FIELD_LABOR_HOURS)&gt;TEMP_HOURS_CAP),"",$C112+AD$6-MIN(($D112+AD$5),PERMANENT_FIELD_LABOR_HOURS)*PERMANENT_HOURLY_RATE-MAX(0,($D112+AD$5)-PERMANENT_FIELD_LABOR_HOURS)*TEMP_HOURLY_RATE-FIXED_SEASON_COST)</f>
        <v>24468.5435554635</v>
      </c>
      <c r="AE112" s="53" t="n">
        <f aca="false">IF(OR($A112&gt;TOMATO_BED_CAP,$B112&gt;CARROT_BED_CAP,AE$4&gt;MESCLUN_BED_CAP,$A112+$B112+AE$4&gt;TOTAL_BEDS_AVAILABLE,($D112+AE$5)&gt;TOTAL_LABOR_HOURS_CAP,MAX(0,($D112+AE$5)-PERMANENT_FIELD_LABOR_HOURS)&gt;TEMP_HOURS_CAP),"",$C112+AE$6-MIN(($D112+AE$5),PERMANENT_FIELD_LABOR_HOURS)*PERMANENT_HOURLY_RATE-MAX(0,($D112+AE$5)-PERMANENT_FIELD_LABOR_HOURS)*TEMP_HOURLY_RATE-FIXED_SEASON_COST)</f>
        <v>24907.0708396974</v>
      </c>
      <c r="AF112" s="53" t="n">
        <f aca="false">IF(OR($A112&gt;TOMATO_BED_CAP,$B112&gt;CARROT_BED_CAP,AF$4&gt;MESCLUN_BED_CAP,$A112+$B112+AF$4&gt;TOTAL_BEDS_AVAILABLE,($D112+AF$5)&gt;TOTAL_LABOR_HOURS_CAP,MAX(0,($D112+AF$5)-PERMANENT_FIELD_LABOR_HOURS)&gt;TEMP_HOURS_CAP),"",$C112+AF$6-MIN(($D112+AF$5),PERMANENT_FIELD_LABOR_HOURS)*PERMANENT_HOURLY_RATE-MAX(0,($D112+AF$5)-PERMANENT_FIELD_LABOR_HOURS)*TEMP_HOURLY_RATE-FIXED_SEASON_COST)</f>
        <v>25315.0083709394</v>
      </c>
      <c r="AG112" s="53" t="n">
        <f aca="false">IF(OR($A112&gt;TOMATO_BED_CAP,$B112&gt;CARROT_BED_CAP,AG$4&gt;MESCLUN_BED_CAP,$A112+$B112+AG$4&gt;TOTAL_BEDS_AVAILABLE,($D112+AG$5)&gt;TOTAL_LABOR_HOURS_CAP,MAX(0,($D112+AG$5)-PERMANENT_FIELD_LABOR_HOURS)&gt;TEMP_HOURS_CAP),"",$C112+AG$6-MIN(($D112+AG$5),PERMANENT_FIELD_LABOR_HOURS)*PERMANENT_HOURLY_RATE-MAX(0,($D112+AG$5)-PERMANENT_FIELD_LABOR_HOURS)*TEMP_HOURLY_RATE-FIXED_SEASON_COST)</f>
        <v>25691.8072604764</v>
      </c>
      <c r="AH112" s="53" t="n">
        <f aca="false">IF(OR($A112&gt;TOMATO_BED_CAP,$B112&gt;CARROT_BED_CAP,AH$4&gt;MESCLUN_BED_CAP,$A112+$B112+AH$4&gt;TOTAL_BEDS_AVAILABLE,($D112+AH$5)&gt;TOTAL_LABOR_HOURS_CAP,MAX(0,($D112+AH$5)-PERMANENT_FIELD_LABOR_HOURS)&gt;TEMP_HOURS_CAP),"",$C112+AH$6-MIN(($D112+AH$5),PERMANENT_FIELD_LABOR_HOURS)*PERMANENT_HOURLY_RATE-MAX(0,($D112+AH$5)-PERMANENT_FIELD_LABOR_HOURS)*TEMP_HOURLY_RATE-FIXED_SEASON_COST)</f>
        <v>26036.9096770266</v>
      </c>
      <c r="AI112" s="53" t="n">
        <f aca="false">IF(OR($A112&gt;TOMATO_BED_CAP,$B112&gt;CARROT_BED_CAP,AI$4&gt;MESCLUN_BED_CAP,$A112+$B112+AI$4&gt;TOTAL_BEDS_AVAILABLE,($D112+AI$5)&gt;TOTAL_LABOR_HOURS_CAP,MAX(0,($D112+AI$5)-PERMANENT_FIELD_LABOR_HOURS)&gt;TEMP_HOURS_CAP),"",$C112+AI$6-MIN(($D112+AI$5),PERMANENT_FIELD_LABOR_HOURS)*PERMANENT_HOURLY_RATE-MAX(0,($D112+AI$5)-PERMANENT_FIELD_LABOR_HOURS)*TEMP_HOURLY_RATE-FIXED_SEASON_COST)</f>
        <v>26349.7487089389</v>
      </c>
      <c r="AJ112" s="53" t="n">
        <f aca="false">IF(OR($A112&gt;TOMATO_BED_CAP,$B112&gt;CARROT_BED_CAP,AJ$4&gt;MESCLUN_BED_CAP,$A112+$B112+AJ$4&gt;TOTAL_BEDS_AVAILABLE,($D112+AJ$5)&gt;TOTAL_LABOR_HOURS_CAP,MAX(0,($D112+AJ$5)-PERMANENT_FIELD_LABOR_HOURS)&gt;TEMP_HOURS_CAP),"",$C112+AJ$6-MIN(($D112+AJ$5),PERMANENT_FIELD_LABOR_HOURS)*PERMANENT_HOURLY_RATE-MAX(0,($D112+AJ$5)-PERMANENT_FIELD_LABOR_HOURS)*TEMP_HOURLY_RATE-FIXED_SEASON_COST)</f>
        <v>26629.7482243446</v>
      </c>
    </row>
    <row r="113" customFormat="false" ht="15" hidden="false" customHeight="false" outlineLevel="0" collapsed="false">
      <c r="A113" s="21" t="n">
        <f aca="false">INT((ROW()-ROW($A$8))/(20+1))</f>
        <v>5</v>
      </c>
      <c r="B113" s="21" t="n">
        <f aca="false">MOD(ROW()-ROW($A$8),20+1)</f>
        <v>0</v>
      </c>
      <c r="C113" s="13" t="n">
        <f aca="false">A113*(TOMATO_REVENUE_PER_BED-TOMATO_FERTILIZER_PER_BED)+B113*(CARROT_REVENUE_PER_BED-CARROT_FERTILIZER_PER_BED)</f>
        <v>39600</v>
      </c>
      <c r="D113" s="14" t="n">
        <f aca="false">INDEX(TOMATO_SCHED_LABOR_HRS,A113+1)+INDEX(CARROT_SCHED_LABOR_HRS,B113+1)</f>
        <v>724.7295</v>
      </c>
      <c r="E113" s="13" t="n">
        <f aca="false">IF(COUNT(F113:AJ113)=0,"",MAX(F113:AJ113))</f>
        <v>15099.4851748725</v>
      </c>
      <c r="F113" s="53" t="n">
        <f aca="false">IF(OR($A113&gt;TOMATO_BED_CAP,$B113&gt;CARROT_BED_CAP,F$4&gt;MESCLUN_BED_CAP,$A113+$B113+F$4&gt;TOTAL_BEDS_AVAILABLE,($D113+F$5)&gt;TOTAL_LABOR_HOURS_CAP,MAX(0,($D113+F$5)-PERMANENT_FIELD_LABOR_HOURS)&gt;TEMP_HOURS_CAP),"",$C113+F$6-MIN(($D113+F$5),PERMANENT_FIELD_LABOR_HOURS)*PERMANENT_HOURLY_RATE-MAX(0,($D113+F$5)-PERMANENT_FIELD_LABOR_HOURS)*TEMP_HOURLY_RATE-FIXED_SEASON_COST)</f>
        <v>-5480.50412</v>
      </c>
      <c r="G113" s="53" t="n">
        <f aca="false">IF(OR($A113&gt;TOMATO_BED_CAP,$B113&gt;CARROT_BED_CAP,G$4&gt;MESCLUN_BED_CAP,$A113+$B113+G$4&gt;TOTAL_BEDS_AVAILABLE,($D113+G$5)&gt;TOTAL_LABOR_HOURS_CAP,MAX(0,($D113+G$5)-PERMANENT_FIELD_LABOR_HOURS)&gt;TEMP_HOURS_CAP),"",$C113+G$6-MIN(($D113+G$5),PERMANENT_FIELD_LABOR_HOURS)*PERMANENT_HOURLY_RATE-MAX(0,($D113+G$5)-PERMANENT_FIELD_LABOR_HOURS)*TEMP_HOURLY_RATE-FIXED_SEASON_COST)</f>
        <v>-4451.46912</v>
      </c>
      <c r="H113" s="53" t="n">
        <f aca="false">IF(OR($A113&gt;TOMATO_BED_CAP,$B113&gt;CARROT_BED_CAP,H$4&gt;MESCLUN_BED_CAP,$A113+$B113+H$4&gt;TOTAL_BEDS_AVAILABLE,($D113+H$5)&gt;TOTAL_LABOR_HOURS_CAP,MAX(0,($D113+H$5)-PERMANENT_FIELD_LABOR_HOURS)&gt;TEMP_HOURS_CAP),"",$C113+H$6-MIN(($D113+H$5),PERMANENT_FIELD_LABOR_HOURS)*PERMANENT_HOURLY_RATE-MAX(0,($D113+H$5)-PERMANENT_FIELD_LABOR_HOURS)*TEMP_HOURLY_RATE-FIXED_SEASON_COST)</f>
        <v>-3442.208245</v>
      </c>
      <c r="I113" s="53" t="n">
        <f aca="false">IF(OR($A113&gt;TOMATO_BED_CAP,$B113&gt;CARROT_BED_CAP,I$4&gt;MESCLUN_BED_CAP,$A113+$B113+I$4&gt;TOTAL_BEDS_AVAILABLE,($D113+I$5)&gt;TOTAL_LABOR_HOURS_CAP,MAX(0,($D113+I$5)-PERMANENT_FIELD_LABOR_HOURS)&gt;TEMP_HOURS_CAP),"",$C113+I$6-MIN(($D113+I$5),PERMANENT_FIELD_LABOR_HOURS)*PERMANENT_HOURLY_RATE-MAX(0,($D113+I$5)-PERMANENT_FIELD_LABOR_HOURS)*TEMP_HOURLY_RATE-FIXED_SEASON_COST)</f>
        <v>-2453.09225984375</v>
      </c>
      <c r="J113" s="53" t="n">
        <f aca="false">IF(OR($A113&gt;TOMATO_BED_CAP,$B113&gt;CARROT_BED_CAP,J$4&gt;MESCLUN_BED_CAP,$A113+$B113+J$4&gt;TOTAL_BEDS_AVAILABLE,($D113+J$5)&gt;TOTAL_LABOR_HOURS_CAP,MAX(0,($D113+J$5)-PERMANENT_FIELD_LABOR_HOURS)&gt;TEMP_HOURS_CAP),"",$C113+J$6-MIN(($D113+J$5),PERMANENT_FIELD_LABOR_HOURS)*PERMANENT_HOURLY_RATE-MAX(0,($D113+J$5)-PERMANENT_FIELD_LABOR_HOURS)*TEMP_HOURLY_RATE-FIXED_SEASON_COST)</f>
        <v>-1484.49810878906</v>
      </c>
      <c r="K113" s="53" t="n">
        <f aca="false">IF(OR($A113&gt;TOMATO_BED_CAP,$B113&gt;CARROT_BED_CAP,K$4&gt;MESCLUN_BED_CAP,$A113+$B113+K$4&gt;TOTAL_BEDS_AVAILABLE,($D113+K$5)&gt;TOTAL_LABOR_HOURS_CAP,MAX(0,($D113+K$5)-PERMANENT_FIELD_LABOR_HOURS)&gt;TEMP_HOURS_CAP),"",$C113+K$6-MIN(($D113+K$5),PERMANENT_FIELD_LABOR_HOURS)*PERMANENT_HOURLY_RATE-MAX(0,($D113+K$5)-PERMANENT_FIELD_LABOR_HOURS)*TEMP_HOURLY_RATE-FIXED_SEASON_COST)</f>
        <v>-536.80901206116</v>
      </c>
      <c r="L113" s="53" t="n">
        <f aca="false">IF(OR($A113&gt;TOMATO_BED_CAP,$B113&gt;CARROT_BED_CAP,L$4&gt;MESCLUN_BED_CAP,$A113+$B113+L$4&gt;TOTAL_BEDS_AVAILABLE,($D113+L$5)&gt;TOTAL_LABOR_HOURS_CAP,MAX(0,($D113+L$5)-PERMANENT_FIELD_LABOR_HOURS)&gt;TEMP_HOURS_CAP),"",$C113+L$6-MIN(($D113+L$5),PERMANENT_FIELD_LABOR_HOURS)*PERMANENT_HOURLY_RATE-MAX(0,($D113+L$5)-PERMANENT_FIELD_LABOR_HOURS)*TEMP_HOURLY_RATE-FIXED_SEASON_COST)</f>
        <v>389.585436145695</v>
      </c>
      <c r="M113" s="53" t="n">
        <f aca="false">IF(OR($A113&gt;TOMATO_BED_CAP,$B113&gt;CARROT_BED_CAP,M$4&gt;MESCLUN_BED_CAP,$A113+$B113+M$4&gt;TOTAL_BEDS_AVAILABLE,($D113+M$5)&gt;TOTAL_LABOR_HOURS_CAP,MAX(0,($D113+M$5)-PERMANENT_FIELD_LABOR_HOURS)&gt;TEMP_HOURS_CAP),"",$C113+M$6-MIN(($D113+M$5),PERMANENT_FIELD_LABOR_HOURS)*PERMANENT_HOURLY_RATE-MAX(0,($D113+M$5)-PERMANENT_FIELD_LABOR_HOURS)*TEMP_HOURLY_RATE-FIXED_SEASON_COST)</f>
        <v>1294.2891681971</v>
      </c>
      <c r="N113" s="53" t="n">
        <f aca="false">IF(OR($A113&gt;TOMATO_BED_CAP,$B113&gt;CARROT_BED_CAP,N$4&gt;MESCLUN_BED_CAP,$A113+$B113+N$4&gt;TOTAL_BEDS_AVAILABLE,($D113+N$5)&gt;TOTAL_LABOR_HOURS_CAP,MAX(0,($D113+N$5)-PERMANENT_FIELD_LABOR_HOURS)&gt;TEMP_HOURS_CAP),"",$C113+N$6-MIN(($D113+N$5),PERMANENT_FIELD_LABOR_HOURS)*PERMANENT_HOURLY_RATE-MAX(0,($D113+N$5)-PERMANENT_FIELD_LABOR_HOURS)*TEMP_HOURLY_RATE-FIXED_SEASON_COST)</f>
        <v>2176.89954205665</v>
      </c>
      <c r="O113" s="53" t="n">
        <f aca="false">IF(OR($A113&gt;TOMATO_BED_CAP,$B113&gt;CARROT_BED_CAP,O$4&gt;MESCLUN_BED_CAP,$A113+$B113+O$4&gt;TOTAL_BEDS_AVAILABLE,($D113+O$5)&gt;TOTAL_LABOR_HOURS_CAP,MAX(0,($D113+O$5)-PERMANENT_FIELD_LABOR_HOURS)&gt;TEMP_HOURS_CAP),"",$C113+O$6-MIN(($D113+O$5),PERMANENT_FIELD_LABOR_HOURS)*PERMANENT_HOURLY_RATE-MAX(0,($D113+O$5)-PERMANENT_FIELD_LABOR_HOURS)*TEMP_HOURLY_RATE-FIXED_SEASON_COST)</f>
        <v>3037.0072388114</v>
      </c>
      <c r="P113" s="53" t="n">
        <f aca="false">IF(OR($A113&gt;TOMATO_BED_CAP,$B113&gt;CARROT_BED_CAP,P$4&gt;MESCLUN_BED_CAP,$A113+$B113+P$4&gt;TOTAL_BEDS_AVAILABLE,($D113+P$5)&gt;TOTAL_LABOR_HOURS_CAP,MAX(0,($D113+P$5)-PERMANENT_FIELD_LABOR_HOURS)&gt;TEMP_HOURS_CAP),"",$C113+P$6-MIN(($D113+P$5),PERMANENT_FIELD_LABOR_HOURS)*PERMANENT_HOURLY_RATE-MAX(0,($D113+P$5)-PERMANENT_FIELD_LABOR_HOURS)*TEMP_HOURLY_RATE-FIXED_SEASON_COST)</f>
        <v>3874.19615866282</v>
      </c>
      <c r="Q113" s="53" t="n">
        <f aca="false">IF(OR($A113&gt;TOMATO_BED_CAP,$B113&gt;CARROT_BED_CAP,Q$4&gt;MESCLUN_BED_CAP,$A113+$B113+Q$4&gt;TOTAL_BEDS_AVAILABLE,($D113+Q$5)&gt;TOTAL_LABOR_HOURS_CAP,MAX(0,($D113+Q$5)-PERMANENT_FIELD_LABOR_HOURS)&gt;TEMP_HOURS_CAP),"",$C113+Q$6-MIN(($D113+Q$5),PERMANENT_FIELD_LABOR_HOURS)*PERMANENT_HOURLY_RATE-MAX(0,($D113+Q$5)-PERMANENT_FIELD_LABOR_HOURS)*TEMP_HOURLY_RATE-FIXED_SEASON_COST)</f>
        <v>4688.04331536073</v>
      </c>
      <c r="R113" s="53" t="n">
        <f aca="false">IF(OR($A113&gt;TOMATO_BED_CAP,$B113&gt;CARROT_BED_CAP,R$4&gt;MESCLUN_BED_CAP,$A113+$B113+R$4&gt;TOTAL_BEDS_AVAILABLE,($D113+R$5)&gt;TOTAL_LABOR_HOURS_CAP,MAX(0,($D113+R$5)-PERMANENT_FIELD_LABOR_HOURS)&gt;TEMP_HOURS_CAP),"",$C113+R$6-MIN(($D113+R$5),PERMANENT_FIELD_LABOR_HOURS)*PERMANENT_HOURLY_RATE-MAX(0,($D113+R$5)-PERMANENT_FIELD_LABOR_HOURS)*TEMP_HOURLY_RATE-FIXED_SEASON_COST)</f>
        <v>5478.11872905753</v>
      </c>
      <c r="S113" s="53" t="n">
        <f aca="false">IF(OR($A113&gt;TOMATO_BED_CAP,$B113&gt;CARROT_BED_CAP,S$4&gt;MESCLUN_BED_CAP,$A113+$B113+S$4&gt;TOTAL_BEDS_AVAILABLE,($D113+S$5)&gt;TOTAL_LABOR_HOURS_CAP,MAX(0,($D113+S$5)-PERMANENT_FIELD_LABOR_HOURS)&gt;TEMP_HOURS_CAP),"",$C113+S$6-MIN(($D113+S$5),PERMANENT_FIELD_LABOR_HOURS)*PERMANENT_HOURLY_RATE-MAX(0,($D113+S$5)-PERMANENT_FIELD_LABOR_HOURS)*TEMP_HOURLY_RATE-FIXED_SEASON_COST)</f>
        <v>6243.98531755998</v>
      </c>
      <c r="T113" s="53" t="n">
        <f aca="false">IF(OR($A113&gt;TOMATO_BED_CAP,$B113&gt;CARROT_BED_CAP,T$4&gt;MESCLUN_BED_CAP,$A113+$B113+T$4&gt;TOTAL_BEDS_AVAILABLE,($D113+T$5)&gt;TOTAL_LABOR_HOURS_CAP,MAX(0,($D113+T$5)-PERMANENT_FIELD_LABOR_HOURS)&gt;TEMP_HOURS_CAP),"",$C113+T$6-MIN(($D113+T$5),PERMANENT_FIELD_LABOR_HOURS)*PERMANENT_HOURLY_RATE-MAX(0,($D113+T$5)-PERMANENT_FIELD_LABOR_HOURS)*TEMP_HOURLY_RATE-FIXED_SEASON_COST)</f>
        <v>6985.19878595482</v>
      </c>
      <c r="U113" s="53" t="n">
        <f aca="false">IF(OR($A113&gt;TOMATO_BED_CAP,$B113&gt;CARROT_BED_CAP,U$4&gt;MESCLUN_BED_CAP,$A113+$B113+U$4&gt;TOTAL_BEDS_AVAILABLE,($D113+U$5)&gt;TOTAL_LABOR_HOURS_CAP,MAX(0,($D113+U$5)-PERMANENT_FIELD_LABOR_HOURS)&gt;TEMP_HOURS_CAP),"",$C113+U$6-MIN(($D113+U$5),PERMANENT_FIELD_LABOR_HOURS)*PERMANENT_HOURLY_RATE-MAX(0,($D113+U$5)-PERMANENT_FIELD_LABOR_HOURS)*TEMP_HOURLY_RATE-FIXED_SEASON_COST)</f>
        <v>7701.30751458492</v>
      </c>
      <c r="V113" s="53" t="n">
        <f aca="false">IF(OR($A113&gt;TOMATO_BED_CAP,$B113&gt;CARROT_BED_CAP,V$4&gt;MESCLUN_BED_CAP,$A113+$B113+V$4&gt;TOTAL_BEDS_AVAILABLE,($D113+V$5)&gt;TOTAL_LABOR_HOURS_CAP,MAX(0,($D113+V$5)-PERMANENT_FIELD_LABOR_HOURS)&gt;TEMP_HOURS_CAP),"",$C113+V$6-MIN(($D113+V$5),PERMANENT_FIELD_LABOR_HOURS)*PERMANENT_HOURLY_RATE-MAX(0,($D113+V$5)-PERMANENT_FIELD_LABOR_HOURS)*TEMP_HOURLY_RATE-FIXED_SEASON_COST)</f>
        <v>8391.85244535171</v>
      </c>
      <c r="W113" s="53" t="n">
        <f aca="false">IF(OR($A113&gt;TOMATO_BED_CAP,$B113&gt;CARROT_BED_CAP,W$4&gt;MESCLUN_BED_CAP,$A113+$B113+W$4&gt;TOTAL_BEDS_AVAILABLE,($D113+W$5)&gt;TOTAL_LABOR_HOURS_CAP,MAX(0,($D113+W$5)-PERMANENT_FIELD_LABOR_HOURS)&gt;TEMP_HOURS_CAP),"",$C113+W$6-MIN(($D113+W$5),PERMANENT_FIELD_LABOR_HOURS)*PERMANENT_HOURLY_RATE-MAX(0,($D113+W$5)-PERMANENT_FIELD_LABOR_HOURS)*TEMP_HOURLY_RATE-FIXED_SEASON_COST)</f>
        <v>9056.36696631978</v>
      </c>
      <c r="X113" s="53" t="n">
        <f aca="false">IF(OR($A113&gt;TOMATO_BED_CAP,$B113&gt;CARROT_BED_CAP,X$4&gt;MESCLUN_BED_CAP,$A113+$B113+X$4&gt;TOTAL_BEDS_AVAILABLE,($D113+X$5)&gt;TOTAL_LABOR_HOURS_CAP,MAX(0,($D113+X$5)-PERMANENT_FIELD_LABOR_HOURS)&gt;TEMP_HOURS_CAP),"",$C113+X$6-MIN(($D113+X$5),PERMANENT_FIELD_LABOR_HOURS)*PERMANENT_HOURLY_RATE-MAX(0,($D113+X$5)-PERMANENT_FIELD_LABOR_HOURS)*TEMP_HOURLY_RATE-FIXED_SEASON_COST)</f>
        <v>9694.3767945987</v>
      </c>
      <c r="Y113" s="53" t="n">
        <f aca="false">IF(OR($A113&gt;TOMATO_BED_CAP,$B113&gt;CARROT_BED_CAP,Y$4&gt;MESCLUN_BED_CAP,$A113+$B113+Y$4&gt;TOTAL_BEDS_AVAILABLE,($D113+Y$5)&gt;TOTAL_LABOR_HOURS_CAP,MAX(0,($D113+Y$5)-PERMANENT_FIELD_LABOR_HOURS)&gt;TEMP_HOURS_CAP),"",$C113+Y$6-MIN(($D113+Y$5),PERMANENT_FIELD_LABOR_HOURS)*PERMANENT_HOURLY_RATE-MAX(0,($D113+Y$5)-PERMANENT_FIELD_LABOR_HOURS)*TEMP_HOURLY_RATE-FIXED_SEASON_COST)</f>
        <v>10305.3998574774</v>
      </c>
      <c r="Z113" s="53" t="n">
        <f aca="false">IF(OR($A113&gt;TOMATO_BED_CAP,$B113&gt;CARROT_BED_CAP,Z$4&gt;MESCLUN_BED_CAP,$A113+$B113+Z$4&gt;TOTAL_BEDS_AVAILABLE,($D113+Z$5)&gt;TOTAL_LABOR_HOURS_CAP,MAX(0,($D113+Z$5)-PERMANENT_FIELD_LABOR_HOURS)&gt;TEMP_HOURS_CAP),"",$C113+Z$6-MIN(($D113+Z$5),PERMANENT_FIELD_LABOR_HOURS)*PERMANENT_HOURLY_RATE-MAX(0,($D113+Z$5)-PERMANENT_FIELD_LABOR_HOURS)*TEMP_HOURLY_RATE-FIXED_SEASON_COST)</f>
        <v>10888.9461717851</v>
      </c>
      <c r="AA113" s="53" t="n">
        <f aca="false">IF(OR($A113&gt;TOMATO_BED_CAP,$B113&gt;CARROT_BED_CAP,AA$4&gt;MESCLUN_BED_CAP,$A113+$B113+AA$4&gt;TOTAL_BEDS_AVAILABLE,($D113+AA$5)&gt;TOTAL_LABOR_HOURS_CAP,MAX(0,($D113+AA$5)-PERMANENT_FIELD_LABOR_HOURS)&gt;TEMP_HOURS_CAP),"",$C113+AA$6-MIN(($D113+AA$5),PERMANENT_FIELD_LABOR_HOURS)*PERMANENT_HOURLY_RATE-MAX(0,($D113+AA$5)-PERMANENT_FIELD_LABOR_HOURS)*TEMP_HOURLY_RATE-FIXED_SEASON_COST)</f>
        <v>11444.517721454</v>
      </c>
      <c r="AB113" s="53" t="n">
        <f aca="false">IF(OR($A113&gt;TOMATO_BED_CAP,$B113&gt;CARROT_BED_CAP,AB$4&gt;MESCLUN_BED_CAP,$A113+$B113+AB$4&gt;TOTAL_BEDS_AVAILABLE,($D113+AB$5)&gt;TOTAL_LABOR_HOURS_CAP,MAX(0,($D113+AB$5)-PERMANENT_FIELD_LABOR_HOURS)&gt;TEMP_HOURS_CAP),"",$C113+AB$6-MIN(($D113+AB$5),PERMANENT_FIELD_LABOR_HOURS)*PERMANENT_HOURLY_RATE-MAX(0,($D113+AB$5)-PERMANENT_FIELD_LABOR_HOURS)*TEMP_HOURLY_RATE-FIXED_SEASON_COST)</f>
        <v>11971.6083332566</v>
      </c>
      <c r="AC113" s="53" t="n">
        <f aca="false">IF(OR($A113&gt;TOMATO_BED_CAP,$B113&gt;CARROT_BED_CAP,AC$4&gt;MESCLUN_BED_CAP,$A113+$B113+AC$4&gt;TOTAL_BEDS_AVAILABLE,($D113+AC$5)&gt;TOTAL_LABOR_HOURS_CAP,MAX(0,($D113+AC$5)-PERMANENT_FIELD_LABOR_HOURS)&gt;TEMP_HOURS_CAP),"",$C113+AC$6-MIN(($D113+AC$5),PERMANENT_FIELD_LABOR_HOURS)*PERMANENT_HOURLY_RATE-MAX(0,($D113+AC$5)-PERMANENT_FIELD_LABOR_HOURS)*TEMP_HOURLY_RATE-FIXED_SEASON_COST)</f>
        <v>12469.7035506915</v>
      </c>
      <c r="AD113" s="53" t="n">
        <f aca="false">IF(OR($A113&gt;TOMATO_BED_CAP,$B113&gt;CARROT_BED_CAP,AD$4&gt;MESCLUN_BED_CAP,$A113+$B113+AD$4&gt;TOTAL_BEDS_AVAILABLE,($D113+AD$5)&gt;TOTAL_LABOR_HOURS_CAP,MAX(0,($D113+AD$5)-PERMANENT_FIELD_LABOR_HOURS)&gt;TEMP_HOURS_CAP),"",$C113+AD$6-MIN(($D113+AD$5),PERMANENT_FIELD_LABOR_HOURS)*PERMANENT_HOURLY_RATE-MAX(0,($D113+AD$5)-PERMANENT_FIELD_LABOR_HOURS)*TEMP_HOURLY_RATE-FIXED_SEASON_COST)</f>
        <v>12938.2805059914</v>
      </c>
      <c r="AE113" s="53" t="n">
        <f aca="false">IF(OR($A113&gt;TOMATO_BED_CAP,$B113&gt;CARROT_BED_CAP,AE$4&gt;MESCLUN_BED_CAP,$A113+$B113+AE$4&gt;TOTAL_BEDS_AVAILABLE,($D113+AE$5)&gt;TOTAL_LABOR_HOURS_CAP,MAX(0,($D113+AE$5)-PERMANENT_FIELD_LABOR_HOURS)&gt;TEMP_HOURS_CAP),"",$C113+AE$6-MIN(($D113+AE$5),PERMANENT_FIELD_LABOR_HOURS)*PERMANENT_HOURLY_RATE-MAX(0,($D113+AE$5)-PERMANENT_FIELD_LABOR_HOURS)*TEMP_HOURLY_RATE-FIXED_SEASON_COST)</f>
        <v>13376.8077902253</v>
      </c>
      <c r="AF113" s="53" t="n">
        <f aca="false">IF(OR($A113&gt;TOMATO_BED_CAP,$B113&gt;CARROT_BED_CAP,AF$4&gt;MESCLUN_BED_CAP,$A113+$B113+AF$4&gt;TOTAL_BEDS_AVAILABLE,($D113+AF$5)&gt;TOTAL_LABOR_HOURS_CAP,MAX(0,($D113+AF$5)-PERMANENT_FIELD_LABOR_HOURS)&gt;TEMP_HOURS_CAP),"",$C113+AF$6-MIN(($D113+AF$5),PERMANENT_FIELD_LABOR_HOURS)*PERMANENT_HOURLY_RATE-MAX(0,($D113+AF$5)-PERMANENT_FIELD_LABOR_HOURS)*TEMP_HOURLY_RATE-FIXED_SEASON_COST)</f>
        <v>13784.7453214673</v>
      </c>
      <c r="AG113" s="53" t="n">
        <f aca="false">IF(OR($A113&gt;TOMATO_BED_CAP,$B113&gt;CARROT_BED_CAP,AG$4&gt;MESCLUN_BED_CAP,$A113+$B113+AG$4&gt;TOTAL_BEDS_AVAILABLE,($D113+AG$5)&gt;TOTAL_LABOR_HOURS_CAP,MAX(0,($D113+AG$5)-PERMANENT_FIELD_LABOR_HOURS)&gt;TEMP_HOURS_CAP),"",$C113+AG$6-MIN(($D113+AG$5),PERMANENT_FIELD_LABOR_HOURS)*PERMANENT_HOURLY_RATE-MAX(0,($D113+AG$5)-PERMANENT_FIELD_LABOR_HOURS)*TEMP_HOURLY_RATE-FIXED_SEASON_COST)</f>
        <v>14161.5442110043</v>
      </c>
      <c r="AH113" s="53" t="n">
        <f aca="false">IF(OR($A113&gt;TOMATO_BED_CAP,$B113&gt;CARROT_BED_CAP,AH$4&gt;MESCLUN_BED_CAP,$A113+$B113+AH$4&gt;TOTAL_BEDS_AVAILABLE,($D113+AH$5)&gt;TOTAL_LABOR_HOURS_CAP,MAX(0,($D113+AH$5)-PERMANENT_FIELD_LABOR_HOURS)&gt;TEMP_HOURS_CAP),"",$C113+AH$6-MIN(($D113+AH$5),PERMANENT_FIELD_LABOR_HOURS)*PERMANENT_HOURLY_RATE-MAX(0,($D113+AH$5)-PERMANENT_FIELD_LABOR_HOURS)*TEMP_HOURLY_RATE-FIXED_SEASON_COST)</f>
        <v>14506.6466275545</v>
      </c>
      <c r="AI113" s="53" t="n">
        <f aca="false">IF(OR($A113&gt;TOMATO_BED_CAP,$B113&gt;CARROT_BED_CAP,AI$4&gt;MESCLUN_BED_CAP,$A113+$B113+AI$4&gt;TOTAL_BEDS_AVAILABLE,($D113+AI$5)&gt;TOTAL_LABOR_HOURS_CAP,MAX(0,($D113+AI$5)-PERMANENT_FIELD_LABOR_HOURS)&gt;TEMP_HOURS_CAP),"",$C113+AI$6-MIN(($D113+AI$5),PERMANENT_FIELD_LABOR_HOURS)*PERMANENT_HOURLY_RATE-MAX(0,($D113+AI$5)-PERMANENT_FIELD_LABOR_HOURS)*TEMP_HOURLY_RATE-FIXED_SEASON_COST)</f>
        <v>14819.4856594668</v>
      </c>
      <c r="AJ113" s="53" t="n">
        <f aca="false">IF(OR($A113&gt;TOMATO_BED_CAP,$B113&gt;CARROT_BED_CAP,AJ$4&gt;MESCLUN_BED_CAP,$A113+$B113+AJ$4&gt;TOTAL_BEDS_AVAILABLE,($D113+AJ$5)&gt;TOTAL_LABOR_HOURS_CAP,MAX(0,($D113+AJ$5)-PERMANENT_FIELD_LABOR_HOURS)&gt;TEMP_HOURS_CAP),"",$C113+AJ$6-MIN(($D113+AJ$5),PERMANENT_FIELD_LABOR_HOURS)*PERMANENT_HOURLY_RATE-MAX(0,($D113+AJ$5)-PERMANENT_FIELD_LABOR_HOURS)*TEMP_HOURLY_RATE-FIXED_SEASON_COST)</f>
        <v>15099.4851748725</v>
      </c>
    </row>
    <row r="114" customFormat="false" ht="15" hidden="false" customHeight="false" outlineLevel="0" collapsed="false">
      <c r="A114" s="21" t="n">
        <f aca="false">INT((ROW()-ROW($A$8))/(20+1))</f>
        <v>5</v>
      </c>
      <c r="B114" s="21" t="n">
        <f aca="false">MOD(ROW()-ROW($A$8),20+1)</f>
        <v>1</v>
      </c>
      <c r="C114" s="13" t="n">
        <f aca="false">A114*(TOMATO_REVENUE_PER_BED-TOMATO_FERTILIZER_PER_BED)+B114*(CARROT_REVENUE_PER_BED-CARROT_FERTILIZER_PER_BED)</f>
        <v>41254</v>
      </c>
      <c r="D114" s="14" t="n">
        <f aca="false">INDEX(TOMATO_SCHED_LABOR_HRS,A114+1)+INDEX(CARROT_SCHED_LABOR_HRS,B114+1)</f>
        <v>755.4672</v>
      </c>
      <c r="E114" s="13" t="n">
        <f aca="false">IF(COUNT(F114:AJ114)=0,"",MAX(F114:AJ114))</f>
        <v>16219.8787028725</v>
      </c>
      <c r="F114" s="53" t="n">
        <f aca="false">IF(OR($A114&gt;TOMATO_BED_CAP,$B114&gt;CARROT_BED_CAP,F$4&gt;MESCLUN_BED_CAP,$A114+$B114+F$4&gt;TOTAL_BEDS_AVAILABLE,($D114+F$5)&gt;TOTAL_LABOR_HOURS_CAP,MAX(0,($D114+F$5)-PERMANENT_FIELD_LABOR_HOURS)&gt;TEMP_HOURS_CAP),"",$C114+F$6-MIN(($D114+F$5),PERMANENT_FIELD_LABOR_HOURS)*PERMANENT_HOURLY_RATE-MAX(0,($D114+F$5)-PERMANENT_FIELD_LABOR_HOURS)*TEMP_HOURLY_RATE-FIXED_SEASON_COST)</f>
        <v>-4360.110592</v>
      </c>
      <c r="G114" s="53" t="n">
        <f aca="false">IF(OR($A114&gt;TOMATO_BED_CAP,$B114&gt;CARROT_BED_CAP,G$4&gt;MESCLUN_BED_CAP,$A114+$B114+G$4&gt;TOTAL_BEDS_AVAILABLE,($D114+G$5)&gt;TOTAL_LABOR_HOURS_CAP,MAX(0,($D114+G$5)-PERMANENT_FIELD_LABOR_HOURS)&gt;TEMP_HOURS_CAP),"",$C114+G$6-MIN(($D114+G$5),PERMANENT_FIELD_LABOR_HOURS)*PERMANENT_HOURLY_RATE-MAX(0,($D114+G$5)-PERMANENT_FIELD_LABOR_HOURS)*TEMP_HOURLY_RATE-FIXED_SEASON_COST)</f>
        <v>-3331.075592</v>
      </c>
      <c r="H114" s="53" t="n">
        <f aca="false">IF(OR($A114&gt;TOMATO_BED_CAP,$B114&gt;CARROT_BED_CAP,H$4&gt;MESCLUN_BED_CAP,$A114+$B114+H$4&gt;TOTAL_BEDS_AVAILABLE,($D114+H$5)&gt;TOTAL_LABOR_HOURS_CAP,MAX(0,($D114+H$5)-PERMANENT_FIELD_LABOR_HOURS)&gt;TEMP_HOURS_CAP),"",$C114+H$6-MIN(($D114+H$5),PERMANENT_FIELD_LABOR_HOURS)*PERMANENT_HOURLY_RATE-MAX(0,($D114+H$5)-PERMANENT_FIELD_LABOR_HOURS)*TEMP_HOURLY_RATE-FIXED_SEASON_COST)</f>
        <v>-2321.814717</v>
      </c>
      <c r="I114" s="53" t="n">
        <f aca="false">IF(OR($A114&gt;TOMATO_BED_CAP,$B114&gt;CARROT_BED_CAP,I$4&gt;MESCLUN_BED_CAP,$A114+$B114+I$4&gt;TOTAL_BEDS_AVAILABLE,($D114+I$5)&gt;TOTAL_LABOR_HOURS_CAP,MAX(0,($D114+I$5)-PERMANENT_FIELD_LABOR_HOURS)&gt;TEMP_HOURS_CAP),"",$C114+I$6-MIN(($D114+I$5),PERMANENT_FIELD_LABOR_HOURS)*PERMANENT_HOURLY_RATE-MAX(0,($D114+I$5)-PERMANENT_FIELD_LABOR_HOURS)*TEMP_HOURLY_RATE-FIXED_SEASON_COST)</f>
        <v>-1332.69873184375</v>
      </c>
      <c r="J114" s="53" t="n">
        <f aca="false">IF(OR($A114&gt;TOMATO_BED_CAP,$B114&gt;CARROT_BED_CAP,J$4&gt;MESCLUN_BED_CAP,$A114+$B114+J$4&gt;TOTAL_BEDS_AVAILABLE,($D114+J$5)&gt;TOTAL_LABOR_HOURS_CAP,MAX(0,($D114+J$5)-PERMANENT_FIELD_LABOR_HOURS)&gt;TEMP_HOURS_CAP),"",$C114+J$6-MIN(($D114+J$5),PERMANENT_FIELD_LABOR_HOURS)*PERMANENT_HOURLY_RATE-MAX(0,($D114+J$5)-PERMANENT_FIELD_LABOR_HOURS)*TEMP_HOURLY_RATE-FIXED_SEASON_COST)</f>
        <v>-364.104580789062</v>
      </c>
      <c r="K114" s="53" t="n">
        <f aca="false">IF(OR($A114&gt;TOMATO_BED_CAP,$B114&gt;CARROT_BED_CAP,K$4&gt;MESCLUN_BED_CAP,$A114+$B114+K$4&gt;TOTAL_BEDS_AVAILABLE,($D114+K$5)&gt;TOTAL_LABOR_HOURS_CAP,MAX(0,($D114+K$5)-PERMANENT_FIELD_LABOR_HOURS)&gt;TEMP_HOURS_CAP),"",$C114+K$6-MIN(($D114+K$5),PERMANENT_FIELD_LABOR_HOURS)*PERMANENT_HOURLY_RATE-MAX(0,($D114+K$5)-PERMANENT_FIELD_LABOR_HOURS)*TEMP_HOURLY_RATE-FIXED_SEASON_COST)</f>
        <v>583.584515938841</v>
      </c>
      <c r="L114" s="53" t="n">
        <f aca="false">IF(OR($A114&gt;TOMATO_BED_CAP,$B114&gt;CARROT_BED_CAP,L$4&gt;MESCLUN_BED_CAP,$A114+$B114+L$4&gt;TOTAL_BEDS_AVAILABLE,($D114+L$5)&gt;TOTAL_LABOR_HOURS_CAP,MAX(0,($D114+L$5)-PERMANENT_FIELD_LABOR_HOURS)&gt;TEMP_HOURS_CAP),"",$C114+L$6-MIN(($D114+L$5),PERMANENT_FIELD_LABOR_HOURS)*PERMANENT_HOURLY_RATE-MAX(0,($D114+L$5)-PERMANENT_FIELD_LABOR_HOURS)*TEMP_HOURLY_RATE-FIXED_SEASON_COST)</f>
        <v>1509.9789641457</v>
      </c>
      <c r="M114" s="53" t="n">
        <f aca="false">IF(OR($A114&gt;TOMATO_BED_CAP,$B114&gt;CARROT_BED_CAP,M$4&gt;MESCLUN_BED_CAP,$A114+$B114+M$4&gt;TOTAL_BEDS_AVAILABLE,($D114+M$5)&gt;TOTAL_LABOR_HOURS_CAP,MAX(0,($D114+M$5)-PERMANENT_FIELD_LABOR_HOURS)&gt;TEMP_HOURS_CAP),"",$C114+M$6-MIN(($D114+M$5),PERMANENT_FIELD_LABOR_HOURS)*PERMANENT_HOURLY_RATE-MAX(0,($D114+M$5)-PERMANENT_FIELD_LABOR_HOURS)*TEMP_HOURLY_RATE-FIXED_SEASON_COST)</f>
        <v>2414.6826961971</v>
      </c>
      <c r="N114" s="53" t="n">
        <f aca="false">IF(OR($A114&gt;TOMATO_BED_CAP,$B114&gt;CARROT_BED_CAP,N$4&gt;MESCLUN_BED_CAP,$A114+$B114+N$4&gt;TOTAL_BEDS_AVAILABLE,($D114+N$5)&gt;TOTAL_LABOR_HOURS_CAP,MAX(0,($D114+N$5)-PERMANENT_FIELD_LABOR_HOURS)&gt;TEMP_HOURS_CAP),"",$C114+N$6-MIN(($D114+N$5),PERMANENT_FIELD_LABOR_HOURS)*PERMANENT_HOURLY_RATE-MAX(0,($D114+N$5)-PERMANENT_FIELD_LABOR_HOURS)*TEMP_HOURLY_RATE-FIXED_SEASON_COST)</f>
        <v>3297.29307005664</v>
      </c>
      <c r="O114" s="53" t="n">
        <f aca="false">IF(OR($A114&gt;TOMATO_BED_CAP,$B114&gt;CARROT_BED_CAP,O$4&gt;MESCLUN_BED_CAP,$A114+$B114+O$4&gt;TOTAL_BEDS_AVAILABLE,($D114+O$5)&gt;TOTAL_LABOR_HOURS_CAP,MAX(0,($D114+O$5)-PERMANENT_FIELD_LABOR_HOURS)&gt;TEMP_HOURS_CAP),"",$C114+O$6-MIN(($D114+O$5),PERMANENT_FIELD_LABOR_HOURS)*PERMANENT_HOURLY_RATE-MAX(0,($D114+O$5)-PERMANENT_FIELD_LABOR_HOURS)*TEMP_HOURLY_RATE-FIXED_SEASON_COST)</f>
        <v>4157.4007668114</v>
      </c>
      <c r="P114" s="53" t="n">
        <f aca="false">IF(OR($A114&gt;TOMATO_BED_CAP,$B114&gt;CARROT_BED_CAP,P$4&gt;MESCLUN_BED_CAP,$A114+$B114+P$4&gt;TOTAL_BEDS_AVAILABLE,($D114+P$5)&gt;TOTAL_LABOR_HOURS_CAP,MAX(0,($D114+P$5)-PERMANENT_FIELD_LABOR_HOURS)&gt;TEMP_HOURS_CAP),"",$C114+P$6-MIN(($D114+P$5),PERMANENT_FIELD_LABOR_HOURS)*PERMANENT_HOURLY_RATE-MAX(0,($D114+P$5)-PERMANENT_FIELD_LABOR_HOURS)*TEMP_HOURLY_RATE-FIXED_SEASON_COST)</f>
        <v>4994.58968666283</v>
      </c>
      <c r="Q114" s="53" t="n">
        <f aca="false">IF(OR($A114&gt;TOMATO_BED_CAP,$B114&gt;CARROT_BED_CAP,Q$4&gt;MESCLUN_BED_CAP,$A114+$B114+Q$4&gt;TOTAL_BEDS_AVAILABLE,($D114+Q$5)&gt;TOTAL_LABOR_HOURS_CAP,MAX(0,($D114+Q$5)-PERMANENT_FIELD_LABOR_HOURS)&gt;TEMP_HOURS_CAP),"",$C114+Q$6-MIN(($D114+Q$5),PERMANENT_FIELD_LABOR_HOURS)*PERMANENT_HOURLY_RATE-MAX(0,($D114+Q$5)-PERMANENT_FIELD_LABOR_HOURS)*TEMP_HOURLY_RATE-FIXED_SEASON_COST)</f>
        <v>5808.43684336072</v>
      </c>
      <c r="R114" s="53" t="n">
        <f aca="false">IF(OR($A114&gt;TOMATO_BED_CAP,$B114&gt;CARROT_BED_CAP,R$4&gt;MESCLUN_BED_CAP,$A114+$B114+R$4&gt;TOTAL_BEDS_AVAILABLE,($D114+R$5)&gt;TOTAL_LABOR_HOURS_CAP,MAX(0,($D114+R$5)-PERMANENT_FIELD_LABOR_HOURS)&gt;TEMP_HOURS_CAP),"",$C114+R$6-MIN(($D114+R$5),PERMANENT_FIELD_LABOR_HOURS)*PERMANENT_HOURLY_RATE-MAX(0,($D114+R$5)-PERMANENT_FIELD_LABOR_HOURS)*TEMP_HOURLY_RATE-FIXED_SEASON_COST)</f>
        <v>6598.51225705753</v>
      </c>
      <c r="S114" s="53" t="n">
        <f aca="false">IF(OR($A114&gt;TOMATO_BED_CAP,$B114&gt;CARROT_BED_CAP,S$4&gt;MESCLUN_BED_CAP,$A114+$B114+S$4&gt;TOTAL_BEDS_AVAILABLE,($D114+S$5)&gt;TOTAL_LABOR_HOURS_CAP,MAX(0,($D114+S$5)-PERMANENT_FIELD_LABOR_HOURS)&gt;TEMP_HOURS_CAP),"",$C114+S$6-MIN(($D114+S$5),PERMANENT_FIELD_LABOR_HOURS)*PERMANENT_HOURLY_RATE-MAX(0,($D114+S$5)-PERMANENT_FIELD_LABOR_HOURS)*TEMP_HOURLY_RATE-FIXED_SEASON_COST)</f>
        <v>7364.37884555998</v>
      </c>
      <c r="T114" s="53" t="n">
        <f aca="false">IF(OR($A114&gt;TOMATO_BED_CAP,$B114&gt;CARROT_BED_CAP,T$4&gt;MESCLUN_BED_CAP,$A114+$B114+T$4&gt;TOTAL_BEDS_AVAILABLE,($D114+T$5)&gt;TOTAL_LABOR_HOURS_CAP,MAX(0,($D114+T$5)-PERMANENT_FIELD_LABOR_HOURS)&gt;TEMP_HOURS_CAP),"",$C114+T$6-MIN(($D114+T$5),PERMANENT_FIELD_LABOR_HOURS)*PERMANENT_HOURLY_RATE-MAX(0,($D114+T$5)-PERMANENT_FIELD_LABOR_HOURS)*TEMP_HOURLY_RATE-FIXED_SEASON_COST)</f>
        <v>8105.59231395483</v>
      </c>
      <c r="U114" s="53" t="n">
        <f aca="false">IF(OR($A114&gt;TOMATO_BED_CAP,$B114&gt;CARROT_BED_CAP,U$4&gt;MESCLUN_BED_CAP,$A114+$B114+U$4&gt;TOTAL_BEDS_AVAILABLE,($D114+U$5)&gt;TOTAL_LABOR_HOURS_CAP,MAX(0,($D114+U$5)-PERMANENT_FIELD_LABOR_HOURS)&gt;TEMP_HOURS_CAP),"",$C114+U$6-MIN(($D114+U$5),PERMANENT_FIELD_LABOR_HOURS)*PERMANENT_HOURLY_RATE-MAX(0,($D114+U$5)-PERMANENT_FIELD_LABOR_HOURS)*TEMP_HOURLY_RATE-FIXED_SEASON_COST)</f>
        <v>8821.70104258492</v>
      </c>
      <c r="V114" s="53" t="n">
        <f aca="false">IF(OR($A114&gt;TOMATO_BED_CAP,$B114&gt;CARROT_BED_CAP,V$4&gt;MESCLUN_BED_CAP,$A114+$B114+V$4&gt;TOTAL_BEDS_AVAILABLE,($D114+V$5)&gt;TOTAL_LABOR_HOURS_CAP,MAX(0,($D114+V$5)-PERMANENT_FIELD_LABOR_HOURS)&gt;TEMP_HOURS_CAP),"",$C114+V$6-MIN(($D114+V$5),PERMANENT_FIELD_LABOR_HOURS)*PERMANENT_HOURLY_RATE-MAX(0,($D114+V$5)-PERMANENT_FIELD_LABOR_HOURS)*TEMP_HOURLY_RATE-FIXED_SEASON_COST)</f>
        <v>9512.24597335171</v>
      </c>
      <c r="W114" s="53" t="n">
        <f aca="false">IF(OR($A114&gt;TOMATO_BED_CAP,$B114&gt;CARROT_BED_CAP,W$4&gt;MESCLUN_BED_CAP,$A114+$B114+W$4&gt;TOTAL_BEDS_AVAILABLE,($D114+W$5)&gt;TOTAL_LABOR_HOURS_CAP,MAX(0,($D114+W$5)-PERMANENT_FIELD_LABOR_HOURS)&gt;TEMP_HOURS_CAP),"",$C114+W$6-MIN(($D114+W$5),PERMANENT_FIELD_LABOR_HOURS)*PERMANENT_HOURLY_RATE-MAX(0,($D114+W$5)-PERMANENT_FIELD_LABOR_HOURS)*TEMP_HOURLY_RATE-FIXED_SEASON_COST)</f>
        <v>10176.7604943198</v>
      </c>
      <c r="X114" s="53" t="n">
        <f aca="false">IF(OR($A114&gt;TOMATO_BED_CAP,$B114&gt;CARROT_BED_CAP,X$4&gt;MESCLUN_BED_CAP,$A114+$B114+X$4&gt;TOTAL_BEDS_AVAILABLE,($D114+X$5)&gt;TOTAL_LABOR_HOURS_CAP,MAX(0,($D114+X$5)-PERMANENT_FIELD_LABOR_HOURS)&gt;TEMP_HOURS_CAP),"",$C114+X$6-MIN(($D114+X$5),PERMANENT_FIELD_LABOR_HOURS)*PERMANENT_HOURLY_RATE-MAX(0,($D114+X$5)-PERMANENT_FIELD_LABOR_HOURS)*TEMP_HOURLY_RATE-FIXED_SEASON_COST)</f>
        <v>10814.7703225987</v>
      </c>
      <c r="Y114" s="53" t="n">
        <f aca="false">IF(OR($A114&gt;TOMATO_BED_CAP,$B114&gt;CARROT_BED_CAP,Y$4&gt;MESCLUN_BED_CAP,$A114+$B114+Y$4&gt;TOTAL_BEDS_AVAILABLE,($D114+Y$5)&gt;TOTAL_LABOR_HOURS_CAP,MAX(0,($D114+Y$5)-PERMANENT_FIELD_LABOR_HOURS)&gt;TEMP_HOURS_CAP),"",$C114+Y$6-MIN(($D114+Y$5),PERMANENT_FIELD_LABOR_HOURS)*PERMANENT_HOURLY_RATE-MAX(0,($D114+Y$5)-PERMANENT_FIELD_LABOR_HOURS)*TEMP_HOURLY_RATE-FIXED_SEASON_COST)</f>
        <v>11425.7933854774</v>
      </c>
      <c r="Z114" s="53" t="n">
        <f aca="false">IF(OR($A114&gt;TOMATO_BED_CAP,$B114&gt;CARROT_BED_CAP,Z$4&gt;MESCLUN_BED_CAP,$A114+$B114+Z$4&gt;TOTAL_BEDS_AVAILABLE,($D114+Z$5)&gt;TOTAL_LABOR_HOURS_CAP,MAX(0,($D114+Z$5)-PERMANENT_FIELD_LABOR_HOURS)&gt;TEMP_HOURS_CAP),"",$C114+Z$6-MIN(($D114+Z$5),PERMANENT_FIELD_LABOR_HOURS)*PERMANENT_HOURLY_RATE-MAX(0,($D114+Z$5)-PERMANENT_FIELD_LABOR_HOURS)*TEMP_HOURLY_RATE-FIXED_SEASON_COST)</f>
        <v>12009.3396997851</v>
      </c>
      <c r="AA114" s="53" t="n">
        <f aca="false">IF(OR($A114&gt;TOMATO_BED_CAP,$B114&gt;CARROT_BED_CAP,AA$4&gt;MESCLUN_BED_CAP,$A114+$B114+AA$4&gt;TOTAL_BEDS_AVAILABLE,($D114+AA$5)&gt;TOTAL_LABOR_HOURS_CAP,MAX(0,($D114+AA$5)-PERMANENT_FIELD_LABOR_HOURS)&gt;TEMP_HOURS_CAP),"",$C114+AA$6-MIN(($D114+AA$5),PERMANENT_FIELD_LABOR_HOURS)*PERMANENT_HOURLY_RATE-MAX(0,($D114+AA$5)-PERMANENT_FIELD_LABOR_HOURS)*TEMP_HOURLY_RATE-FIXED_SEASON_COST)</f>
        <v>12564.911249454</v>
      </c>
      <c r="AB114" s="53" t="n">
        <f aca="false">IF(OR($A114&gt;TOMATO_BED_CAP,$B114&gt;CARROT_BED_CAP,AB$4&gt;MESCLUN_BED_CAP,$A114+$B114+AB$4&gt;TOTAL_BEDS_AVAILABLE,($D114+AB$5)&gt;TOTAL_LABOR_HOURS_CAP,MAX(0,($D114+AB$5)-PERMANENT_FIELD_LABOR_HOURS)&gt;TEMP_HOURS_CAP),"",$C114+AB$6-MIN(($D114+AB$5),PERMANENT_FIELD_LABOR_HOURS)*PERMANENT_HOURLY_RATE-MAX(0,($D114+AB$5)-PERMANENT_FIELD_LABOR_HOURS)*TEMP_HOURLY_RATE-FIXED_SEASON_COST)</f>
        <v>13092.0018612566</v>
      </c>
      <c r="AC114" s="53" t="n">
        <f aca="false">IF(OR($A114&gt;TOMATO_BED_CAP,$B114&gt;CARROT_BED_CAP,AC$4&gt;MESCLUN_BED_CAP,$A114+$B114+AC$4&gt;TOTAL_BEDS_AVAILABLE,($D114+AC$5)&gt;TOTAL_LABOR_HOURS_CAP,MAX(0,($D114+AC$5)-PERMANENT_FIELD_LABOR_HOURS)&gt;TEMP_HOURS_CAP),"",$C114+AC$6-MIN(($D114+AC$5),PERMANENT_FIELD_LABOR_HOURS)*PERMANENT_HOURLY_RATE-MAX(0,($D114+AC$5)-PERMANENT_FIELD_LABOR_HOURS)*TEMP_HOURLY_RATE-FIXED_SEASON_COST)</f>
        <v>13590.0970786915</v>
      </c>
      <c r="AD114" s="53" t="n">
        <f aca="false">IF(OR($A114&gt;TOMATO_BED_CAP,$B114&gt;CARROT_BED_CAP,AD$4&gt;MESCLUN_BED_CAP,$A114+$B114+AD$4&gt;TOTAL_BEDS_AVAILABLE,($D114+AD$5)&gt;TOTAL_LABOR_HOURS_CAP,MAX(0,($D114+AD$5)-PERMANENT_FIELD_LABOR_HOURS)&gt;TEMP_HOURS_CAP),"",$C114+AD$6-MIN(($D114+AD$5),PERMANENT_FIELD_LABOR_HOURS)*PERMANENT_HOURLY_RATE-MAX(0,($D114+AD$5)-PERMANENT_FIELD_LABOR_HOURS)*TEMP_HOURLY_RATE-FIXED_SEASON_COST)</f>
        <v>14058.6740339914</v>
      </c>
      <c r="AE114" s="53" t="n">
        <f aca="false">IF(OR($A114&gt;TOMATO_BED_CAP,$B114&gt;CARROT_BED_CAP,AE$4&gt;MESCLUN_BED_CAP,$A114+$B114+AE$4&gt;TOTAL_BEDS_AVAILABLE,($D114+AE$5)&gt;TOTAL_LABOR_HOURS_CAP,MAX(0,($D114+AE$5)-PERMANENT_FIELD_LABOR_HOURS)&gt;TEMP_HOURS_CAP),"",$C114+AE$6-MIN(($D114+AE$5),PERMANENT_FIELD_LABOR_HOURS)*PERMANENT_HOURLY_RATE-MAX(0,($D114+AE$5)-PERMANENT_FIELD_LABOR_HOURS)*TEMP_HOURLY_RATE-FIXED_SEASON_COST)</f>
        <v>14497.2013182253</v>
      </c>
      <c r="AF114" s="53" t="n">
        <f aca="false">IF(OR($A114&gt;TOMATO_BED_CAP,$B114&gt;CARROT_BED_CAP,AF$4&gt;MESCLUN_BED_CAP,$A114+$B114+AF$4&gt;TOTAL_BEDS_AVAILABLE,($D114+AF$5)&gt;TOTAL_LABOR_HOURS_CAP,MAX(0,($D114+AF$5)-PERMANENT_FIELD_LABOR_HOURS)&gt;TEMP_HOURS_CAP),"",$C114+AF$6-MIN(($D114+AF$5),PERMANENT_FIELD_LABOR_HOURS)*PERMANENT_HOURLY_RATE-MAX(0,($D114+AF$5)-PERMANENT_FIELD_LABOR_HOURS)*TEMP_HOURLY_RATE-FIXED_SEASON_COST)</f>
        <v>14905.1388494673</v>
      </c>
      <c r="AG114" s="53" t="n">
        <f aca="false">IF(OR($A114&gt;TOMATO_BED_CAP,$B114&gt;CARROT_BED_CAP,AG$4&gt;MESCLUN_BED_CAP,$A114+$B114+AG$4&gt;TOTAL_BEDS_AVAILABLE,($D114+AG$5)&gt;TOTAL_LABOR_HOURS_CAP,MAX(0,($D114+AG$5)-PERMANENT_FIELD_LABOR_HOURS)&gt;TEMP_HOURS_CAP),"",$C114+AG$6-MIN(($D114+AG$5),PERMANENT_FIELD_LABOR_HOURS)*PERMANENT_HOURLY_RATE-MAX(0,($D114+AG$5)-PERMANENT_FIELD_LABOR_HOURS)*TEMP_HOURLY_RATE-FIXED_SEASON_COST)</f>
        <v>15281.9377390043</v>
      </c>
      <c r="AH114" s="53" t="n">
        <f aca="false">IF(OR($A114&gt;TOMATO_BED_CAP,$B114&gt;CARROT_BED_CAP,AH$4&gt;MESCLUN_BED_CAP,$A114+$B114+AH$4&gt;TOTAL_BEDS_AVAILABLE,($D114+AH$5)&gt;TOTAL_LABOR_HOURS_CAP,MAX(0,($D114+AH$5)-PERMANENT_FIELD_LABOR_HOURS)&gt;TEMP_HOURS_CAP),"",$C114+AH$6-MIN(($D114+AH$5),PERMANENT_FIELD_LABOR_HOURS)*PERMANENT_HOURLY_RATE-MAX(0,($D114+AH$5)-PERMANENT_FIELD_LABOR_HOURS)*TEMP_HOURLY_RATE-FIXED_SEASON_COST)</f>
        <v>15627.0401555545</v>
      </c>
      <c r="AI114" s="53" t="n">
        <f aca="false">IF(OR($A114&gt;TOMATO_BED_CAP,$B114&gt;CARROT_BED_CAP,AI$4&gt;MESCLUN_BED_CAP,$A114+$B114+AI$4&gt;TOTAL_BEDS_AVAILABLE,($D114+AI$5)&gt;TOTAL_LABOR_HOURS_CAP,MAX(0,($D114+AI$5)-PERMANENT_FIELD_LABOR_HOURS)&gt;TEMP_HOURS_CAP),"",$C114+AI$6-MIN(($D114+AI$5),PERMANENT_FIELD_LABOR_HOURS)*PERMANENT_HOURLY_RATE-MAX(0,($D114+AI$5)-PERMANENT_FIELD_LABOR_HOURS)*TEMP_HOURLY_RATE-FIXED_SEASON_COST)</f>
        <v>15939.8791874668</v>
      </c>
      <c r="AJ114" s="53" t="n">
        <f aca="false">IF(OR($A114&gt;TOMATO_BED_CAP,$B114&gt;CARROT_BED_CAP,AJ$4&gt;MESCLUN_BED_CAP,$A114+$B114+AJ$4&gt;TOTAL_BEDS_AVAILABLE,($D114+AJ$5)&gt;TOTAL_LABOR_HOURS_CAP,MAX(0,($D114+AJ$5)-PERMANENT_FIELD_LABOR_HOURS)&gt;TEMP_HOURS_CAP),"",$C114+AJ$6-MIN(($D114+AJ$5),PERMANENT_FIELD_LABOR_HOURS)*PERMANENT_HOURLY_RATE-MAX(0,($D114+AJ$5)-PERMANENT_FIELD_LABOR_HOURS)*TEMP_HOURLY_RATE-FIXED_SEASON_COST)</f>
        <v>16219.8787028725</v>
      </c>
    </row>
    <row r="115" customFormat="false" ht="15" hidden="false" customHeight="false" outlineLevel="0" collapsed="false">
      <c r="A115" s="21" t="n">
        <f aca="false">INT((ROW()-ROW($A$8))/(20+1))</f>
        <v>5</v>
      </c>
      <c r="B115" s="21" t="n">
        <f aca="false">MOD(ROW()-ROW($A$8),20+1)</f>
        <v>2</v>
      </c>
      <c r="C115" s="13" t="n">
        <f aca="false">A115*(TOMATO_REVENUE_PER_BED-TOMATO_FERTILIZER_PER_BED)+B115*(CARROT_REVENUE_PER_BED-CARROT_FERTILIZER_PER_BED)</f>
        <v>42908</v>
      </c>
      <c r="D115" s="14" t="n">
        <f aca="false">INDEX(TOMATO_SCHED_LABOR_HRS,A115+1)+INDEX(CARROT_SCHED_LABOR_HRS,B115+1)</f>
        <v>787.741785</v>
      </c>
      <c r="E115" s="13" t="n">
        <f aca="false">IF(COUNT(F115:AJ115)=0,"",MAX(F115:AJ115))</f>
        <v>17313.5919072725</v>
      </c>
      <c r="F115" s="53" t="n">
        <f aca="false">IF(OR($A115&gt;TOMATO_BED_CAP,$B115&gt;CARROT_BED_CAP,F$4&gt;MESCLUN_BED_CAP,$A115+$B115+F$4&gt;TOTAL_BEDS_AVAILABLE,($D115+F$5)&gt;TOTAL_LABOR_HOURS_CAP,MAX(0,($D115+F$5)-PERMANENT_FIELD_LABOR_HOURS)&gt;TEMP_HOURS_CAP),"",$C115+F$6-MIN(($D115+F$5),PERMANENT_FIELD_LABOR_HOURS)*PERMANENT_HOURLY_RATE-MAX(0,($D115+F$5)-PERMANENT_FIELD_LABOR_HOURS)*TEMP_HOURLY_RATE-FIXED_SEASON_COST)</f>
        <v>-3266.3973876</v>
      </c>
      <c r="G115" s="53" t="n">
        <f aca="false">IF(OR($A115&gt;TOMATO_BED_CAP,$B115&gt;CARROT_BED_CAP,G$4&gt;MESCLUN_BED_CAP,$A115+$B115+G$4&gt;TOTAL_BEDS_AVAILABLE,($D115+G$5)&gt;TOTAL_LABOR_HOURS_CAP,MAX(0,($D115+G$5)-PERMANENT_FIELD_LABOR_HOURS)&gt;TEMP_HOURS_CAP),"",$C115+G$6-MIN(($D115+G$5),PERMANENT_FIELD_LABOR_HOURS)*PERMANENT_HOURLY_RATE-MAX(0,($D115+G$5)-PERMANENT_FIELD_LABOR_HOURS)*TEMP_HOURLY_RATE-FIXED_SEASON_COST)</f>
        <v>-2237.3623876</v>
      </c>
      <c r="H115" s="53" t="n">
        <f aca="false">IF(OR($A115&gt;TOMATO_BED_CAP,$B115&gt;CARROT_BED_CAP,H$4&gt;MESCLUN_BED_CAP,$A115+$B115+H$4&gt;TOTAL_BEDS_AVAILABLE,($D115+H$5)&gt;TOTAL_LABOR_HOURS_CAP,MAX(0,($D115+H$5)-PERMANENT_FIELD_LABOR_HOURS)&gt;TEMP_HOURS_CAP),"",$C115+H$6-MIN(($D115+H$5),PERMANENT_FIELD_LABOR_HOURS)*PERMANENT_HOURLY_RATE-MAX(0,($D115+H$5)-PERMANENT_FIELD_LABOR_HOURS)*TEMP_HOURLY_RATE-FIXED_SEASON_COST)</f>
        <v>-1228.1015126</v>
      </c>
      <c r="I115" s="53" t="n">
        <f aca="false">IF(OR($A115&gt;TOMATO_BED_CAP,$B115&gt;CARROT_BED_CAP,I$4&gt;MESCLUN_BED_CAP,$A115+$B115+I$4&gt;TOTAL_BEDS_AVAILABLE,($D115+I$5)&gt;TOTAL_LABOR_HOURS_CAP,MAX(0,($D115+I$5)-PERMANENT_FIELD_LABOR_HOURS)&gt;TEMP_HOURS_CAP),"",$C115+I$6-MIN(($D115+I$5),PERMANENT_FIELD_LABOR_HOURS)*PERMANENT_HOURLY_RATE-MAX(0,($D115+I$5)-PERMANENT_FIELD_LABOR_HOURS)*TEMP_HOURLY_RATE-FIXED_SEASON_COST)</f>
        <v>-238.98552744375</v>
      </c>
      <c r="J115" s="53" t="n">
        <f aca="false">IF(OR($A115&gt;TOMATO_BED_CAP,$B115&gt;CARROT_BED_CAP,J$4&gt;MESCLUN_BED_CAP,$A115+$B115+J$4&gt;TOTAL_BEDS_AVAILABLE,($D115+J$5)&gt;TOTAL_LABOR_HOURS_CAP,MAX(0,($D115+J$5)-PERMANENT_FIELD_LABOR_HOURS)&gt;TEMP_HOURS_CAP),"",$C115+J$6-MIN(($D115+J$5),PERMANENT_FIELD_LABOR_HOURS)*PERMANENT_HOURLY_RATE-MAX(0,($D115+J$5)-PERMANENT_FIELD_LABOR_HOURS)*TEMP_HOURLY_RATE-FIXED_SEASON_COST)</f>
        <v>729.608623610937</v>
      </c>
      <c r="K115" s="53" t="n">
        <f aca="false">IF(OR($A115&gt;TOMATO_BED_CAP,$B115&gt;CARROT_BED_CAP,K$4&gt;MESCLUN_BED_CAP,$A115+$B115+K$4&gt;TOTAL_BEDS_AVAILABLE,($D115+K$5)&gt;TOTAL_LABOR_HOURS_CAP,MAX(0,($D115+K$5)-PERMANENT_FIELD_LABOR_HOURS)&gt;TEMP_HOURS_CAP),"",$C115+K$6-MIN(($D115+K$5),PERMANENT_FIELD_LABOR_HOURS)*PERMANENT_HOURLY_RATE-MAX(0,($D115+K$5)-PERMANENT_FIELD_LABOR_HOURS)*TEMP_HOURLY_RATE-FIXED_SEASON_COST)</f>
        <v>1677.29772033884</v>
      </c>
      <c r="L115" s="53" t="n">
        <f aca="false">IF(OR($A115&gt;TOMATO_BED_CAP,$B115&gt;CARROT_BED_CAP,L$4&gt;MESCLUN_BED_CAP,$A115+$B115+L$4&gt;TOTAL_BEDS_AVAILABLE,($D115+L$5)&gt;TOTAL_LABOR_HOURS_CAP,MAX(0,($D115+L$5)-PERMANENT_FIELD_LABOR_HOURS)&gt;TEMP_HOURS_CAP),"",$C115+L$6-MIN(($D115+L$5),PERMANENT_FIELD_LABOR_HOURS)*PERMANENT_HOURLY_RATE-MAX(0,($D115+L$5)-PERMANENT_FIELD_LABOR_HOURS)*TEMP_HOURLY_RATE-FIXED_SEASON_COST)</f>
        <v>2603.69216854569</v>
      </c>
      <c r="M115" s="53" t="n">
        <f aca="false">IF(OR($A115&gt;TOMATO_BED_CAP,$B115&gt;CARROT_BED_CAP,M$4&gt;MESCLUN_BED_CAP,$A115+$B115+M$4&gt;TOTAL_BEDS_AVAILABLE,($D115+M$5)&gt;TOTAL_LABOR_HOURS_CAP,MAX(0,($D115+M$5)-PERMANENT_FIELD_LABOR_HOURS)&gt;TEMP_HOURS_CAP),"",$C115+M$6-MIN(($D115+M$5),PERMANENT_FIELD_LABOR_HOURS)*PERMANENT_HOURLY_RATE-MAX(0,($D115+M$5)-PERMANENT_FIELD_LABOR_HOURS)*TEMP_HOURLY_RATE-FIXED_SEASON_COST)</f>
        <v>3508.3959005971</v>
      </c>
      <c r="N115" s="53" t="n">
        <f aca="false">IF(OR($A115&gt;TOMATO_BED_CAP,$B115&gt;CARROT_BED_CAP,N$4&gt;MESCLUN_BED_CAP,$A115+$B115+N$4&gt;TOTAL_BEDS_AVAILABLE,($D115+N$5)&gt;TOTAL_LABOR_HOURS_CAP,MAX(0,($D115+N$5)-PERMANENT_FIELD_LABOR_HOURS)&gt;TEMP_HOURS_CAP),"",$C115+N$6-MIN(($D115+N$5),PERMANENT_FIELD_LABOR_HOURS)*PERMANENT_HOURLY_RATE-MAX(0,($D115+N$5)-PERMANENT_FIELD_LABOR_HOURS)*TEMP_HOURLY_RATE-FIXED_SEASON_COST)</f>
        <v>4391.00627445665</v>
      </c>
      <c r="O115" s="53" t="n">
        <f aca="false">IF(OR($A115&gt;TOMATO_BED_CAP,$B115&gt;CARROT_BED_CAP,O$4&gt;MESCLUN_BED_CAP,$A115+$B115+O$4&gt;TOTAL_BEDS_AVAILABLE,($D115+O$5)&gt;TOTAL_LABOR_HOURS_CAP,MAX(0,($D115+O$5)-PERMANENT_FIELD_LABOR_HOURS)&gt;TEMP_HOURS_CAP),"",$C115+O$6-MIN(($D115+O$5),PERMANENT_FIELD_LABOR_HOURS)*PERMANENT_HOURLY_RATE-MAX(0,($D115+O$5)-PERMANENT_FIELD_LABOR_HOURS)*TEMP_HOURLY_RATE-FIXED_SEASON_COST)</f>
        <v>5251.1139712114</v>
      </c>
      <c r="P115" s="53" t="n">
        <f aca="false">IF(OR($A115&gt;TOMATO_BED_CAP,$B115&gt;CARROT_BED_CAP,P$4&gt;MESCLUN_BED_CAP,$A115+$B115+P$4&gt;TOTAL_BEDS_AVAILABLE,($D115+P$5)&gt;TOTAL_LABOR_HOURS_CAP,MAX(0,($D115+P$5)-PERMANENT_FIELD_LABOR_HOURS)&gt;TEMP_HOURS_CAP),"",$C115+P$6-MIN(($D115+P$5),PERMANENT_FIELD_LABOR_HOURS)*PERMANENT_HOURLY_RATE-MAX(0,($D115+P$5)-PERMANENT_FIELD_LABOR_HOURS)*TEMP_HOURLY_RATE-FIXED_SEASON_COST)</f>
        <v>6088.30289106283</v>
      </c>
      <c r="Q115" s="53" t="n">
        <f aca="false">IF(OR($A115&gt;TOMATO_BED_CAP,$B115&gt;CARROT_BED_CAP,Q$4&gt;MESCLUN_BED_CAP,$A115+$B115+Q$4&gt;TOTAL_BEDS_AVAILABLE,($D115+Q$5)&gt;TOTAL_LABOR_HOURS_CAP,MAX(0,($D115+Q$5)-PERMANENT_FIELD_LABOR_HOURS)&gt;TEMP_HOURS_CAP),"",$C115+Q$6-MIN(($D115+Q$5),PERMANENT_FIELD_LABOR_HOURS)*PERMANENT_HOURLY_RATE-MAX(0,($D115+Q$5)-PERMANENT_FIELD_LABOR_HOURS)*TEMP_HOURLY_RATE-FIXED_SEASON_COST)</f>
        <v>6902.15004776072</v>
      </c>
      <c r="R115" s="53" t="n">
        <f aca="false">IF(OR($A115&gt;TOMATO_BED_CAP,$B115&gt;CARROT_BED_CAP,R$4&gt;MESCLUN_BED_CAP,$A115+$B115+R$4&gt;TOTAL_BEDS_AVAILABLE,($D115+R$5)&gt;TOTAL_LABOR_HOURS_CAP,MAX(0,($D115+R$5)-PERMANENT_FIELD_LABOR_HOURS)&gt;TEMP_HOURS_CAP),"",$C115+R$6-MIN(($D115+R$5),PERMANENT_FIELD_LABOR_HOURS)*PERMANENT_HOURLY_RATE-MAX(0,($D115+R$5)-PERMANENT_FIELD_LABOR_HOURS)*TEMP_HOURLY_RATE-FIXED_SEASON_COST)</f>
        <v>7692.22546145753</v>
      </c>
      <c r="S115" s="53" t="n">
        <f aca="false">IF(OR($A115&gt;TOMATO_BED_CAP,$B115&gt;CARROT_BED_CAP,S$4&gt;MESCLUN_BED_CAP,$A115+$B115+S$4&gt;TOTAL_BEDS_AVAILABLE,($D115+S$5)&gt;TOTAL_LABOR_HOURS_CAP,MAX(0,($D115+S$5)-PERMANENT_FIELD_LABOR_HOURS)&gt;TEMP_HOURS_CAP),"",$C115+S$6-MIN(($D115+S$5),PERMANENT_FIELD_LABOR_HOURS)*PERMANENT_HOURLY_RATE-MAX(0,($D115+S$5)-PERMANENT_FIELD_LABOR_HOURS)*TEMP_HOURLY_RATE-FIXED_SEASON_COST)</f>
        <v>8458.09204995997</v>
      </c>
      <c r="T115" s="53" t="n">
        <f aca="false">IF(OR($A115&gt;TOMATO_BED_CAP,$B115&gt;CARROT_BED_CAP,T$4&gt;MESCLUN_BED_CAP,$A115+$B115+T$4&gt;TOTAL_BEDS_AVAILABLE,($D115+T$5)&gt;TOTAL_LABOR_HOURS_CAP,MAX(0,($D115+T$5)-PERMANENT_FIELD_LABOR_HOURS)&gt;TEMP_HOURS_CAP),"",$C115+T$6-MIN(($D115+T$5),PERMANENT_FIELD_LABOR_HOURS)*PERMANENT_HOURLY_RATE-MAX(0,($D115+T$5)-PERMANENT_FIELD_LABOR_HOURS)*TEMP_HOURLY_RATE-FIXED_SEASON_COST)</f>
        <v>9199.30551835482</v>
      </c>
      <c r="U115" s="53" t="n">
        <f aca="false">IF(OR($A115&gt;TOMATO_BED_CAP,$B115&gt;CARROT_BED_CAP,U$4&gt;MESCLUN_BED_CAP,$A115+$B115+U$4&gt;TOTAL_BEDS_AVAILABLE,($D115+U$5)&gt;TOTAL_LABOR_HOURS_CAP,MAX(0,($D115+U$5)-PERMANENT_FIELD_LABOR_HOURS)&gt;TEMP_HOURS_CAP),"",$C115+U$6-MIN(($D115+U$5),PERMANENT_FIELD_LABOR_HOURS)*PERMANENT_HOURLY_RATE-MAX(0,($D115+U$5)-PERMANENT_FIELD_LABOR_HOURS)*TEMP_HOURLY_RATE-FIXED_SEASON_COST)</f>
        <v>9915.41424698492</v>
      </c>
      <c r="V115" s="53" t="n">
        <f aca="false">IF(OR($A115&gt;TOMATO_BED_CAP,$B115&gt;CARROT_BED_CAP,V$4&gt;MESCLUN_BED_CAP,$A115+$B115+V$4&gt;TOTAL_BEDS_AVAILABLE,($D115+V$5)&gt;TOTAL_LABOR_HOURS_CAP,MAX(0,($D115+V$5)-PERMANENT_FIELD_LABOR_HOURS)&gt;TEMP_HOURS_CAP),"",$C115+V$6-MIN(($D115+V$5),PERMANENT_FIELD_LABOR_HOURS)*PERMANENT_HOURLY_RATE-MAX(0,($D115+V$5)-PERMANENT_FIELD_LABOR_HOURS)*TEMP_HOURLY_RATE-FIXED_SEASON_COST)</f>
        <v>10605.9591777517</v>
      </c>
      <c r="W115" s="53" t="n">
        <f aca="false">IF(OR($A115&gt;TOMATO_BED_CAP,$B115&gt;CARROT_BED_CAP,W$4&gt;MESCLUN_BED_CAP,$A115+$B115+W$4&gt;TOTAL_BEDS_AVAILABLE,($D115+W$5)&gt;TOTAL_LABOR_HOURS_CAP,MAX(0,($D115+W$5)-PERMANENT_FIELD_LABOR_HOURS)&gt;TEMP_HOURS_CAP),"",$C115+W$6-MIN(($D115+W$5),PERMANENT_FIELD_LABOR_HOURS)*PERMANENT_HOURLY_RATE-MAX(0,($D115+W$5)-PERMANENT_FIELD_LABOR_HOURS)*TEMP_HOURLY_RATE-FIXED_SEASON_COST)</f>
        <v>11270.4736987198</v>
      </c>
      <c r="X115" s="53" t="n">
        <f aca="false">IF(OR($A115&gt;TOMATO_BED_CAP,$B115&gt;CARROT_BED_CAP,X$4&gt;MESCLUN_BED_CAP,$A115+$B115+X$4&gt;TOTAL_BEDS_AVAILABLE,($D115+X$5)&gt;TOTAL_LABOR_HOURS_CAP,MAX(0,($D115+X$5)-PERMANENT_FIELD_LABOR_HOURS)&gt;TEMP_HOURS_CAP),"",$C115+X$6-MIN(($D115+X$5),PERMANENT_FIELD_LABOR_HOURS)*PERMANENT_HOURLY_RATE-MAX(0,($D115+X$5)-PERMANENT_FIELD_LABOR_HOURS)*TEMP_HOURLY_RATE-FIXED_SEASON_COST)</f>
        <v>11908.4835269987</v>
      </c>
      <c r="Y115" s="53" t="n">
        <f aca="false">IF(OR($A115&gt;TOMATO_BED_CAP,$B115&gt;CARROT_BED_CAP,Y$4&gt;MESCLUN_BED_CAP,$A115+$B115+Y$4&gt;TOTAL_BEDS_AVAILABLE,($D115+Y$5)&gt;TOTAL_LABOR_HOURS_CAP,MAX(0,($D115+Y$5)-PERMANENT_FIELD_LABOR_HOURS)&gt;TEMP_HOURS_CAP),"",$C115+Y$6-MIN(($D115+Y$5),PERMANENT_FIELD_LABOR_HOURS)*PERMANENT_HOURLY_RATE-MAX(0,($D115+Y$5)-PERMANENT_FIELD_LABOR_HOURS)*TEMP_HOURLY_RATE-FIXED_SEASON_COST)</f>
        <v>12519.5065898774</v>
      </c>
      <c r="Z115" s="53" t="n">
        <f aca="false">IF(OR($A115&gt;TOMATO_BED_CAP,$B115&gt;CARROT_BED_CAP,Z$4&gt;MESCLUN_BED_CAP,$A115+$B115+Z$4&gt;TOTAL_BEDS_AVAILABLE,($D115+Z$5)&gt;TOTAL_LABOR_HOURS_CAP,MAX(0,($D115+Z$5)-PERMANENT_FIELD_LABOR_HOURS)&gt;TEMP_HOURS_CAP),"",$C115+Z$6-MIN(($D115+Z$5),PERMANENT_FIELD_LABOR_HOURS)*PERMANENT_HOURLY_RATE-MAX(0,($D115+Z$5)-PERMANENT_FIELD_LABOR_HOURS)*TEMP_HOURLY_RATE-FIXED_SEASON_COST)</f>
        <v>13103.0529041851</v>
      </c>
      <c r="AA115" s="53" t="n">
        <f aca="false">IF(OR($A115&gt;TOMATO_BED_CAP,$B115&gt;CARROT_BED_CAP,AA$4&gt;MESCLUN_BED_CAP,$A115+$B115+AA$4&gt;TOTAL_BEDS_AVAILABLE,($D115+AA$5)&gt;TOTAL_LABOR_HOURS_CAP,MAX(0,($D115+AA$5)-PERMANENT_FIELD_LABOR_HOURS)&gt;TEMP_HOURS_CAP),"",$C115+AA$6-MIN(($D115+AA$5),PERMANENT_FIELD_LABOR_HOURS)*PERMANENT_HOURLY_RATE-MAX(0,($D115+AA$5)-PERMANENT_FIELD_LABOR_HOURS)*TEMP_HOURLY_RATE-FIXED_SEASON_COST)</f>
        <v>13658.624453854</v>
      </c>
      <c r="AB115" s="53" t="n">
        <f aca="false">IF(OR($A115&gt;TOMATO_BED_CAP,$B115&gt;CARROT_BED_CAP,AB$4&gt;MESCLUN_BED_CAP,$A115+$B115+AB$4&gt;TOTAL_BEDS_AVAILABLE,($D115+AB$5)&gt;TOTAL_LABOR_HOURS_CAP,MAX(0,($D115+AB$5)-PERMANENT_FIELD_LABOR_HOURS)&gt;TEMP_HOURS_CAP),"",$C115+AB$6-MIN(($D115+AB$5),PERMANENT_FIELD_LABOR_HOURS)*PERMANENT_HOURLY_RATE-MAX(0,($D115+AB$5)-PERMANENT_FIELD_LABOR_HOURS)*TEMP_HOURLY_RATE-FIXED_SEASON_COST)</f>
        <v>14185.7150656566</v>
      </c>
      <c r="AC115" s="53" t="n">
        <f aca="false">IF(OR($A115&gt;TOMATO_BED_CAP,$B115&gt;CARROT_BED_CAP,AC$4&gt;MESCLUN_BED_CAP,$A115+$B115+AC$4&gt;TOTAL_BEDS_AVAILABLE,($D115+AC$5)&gt;TOTAL_LABOR_HOURS_CAP,MAX(0,($D115+AC$5)-PERMANENT_FIELD_LABOR_HOURS)&gt;TEMP_HOURS_CAP),"",$C115+AC$6-MIN(($D115+AC$5),PERMANENT_FIELD_LABOR_HOURS)*PERMANENT_HOURLY_RATE-MAX(0,($D115+AC$5)-PERMANENT_FIELD_LABOR_HOURS)*TEMP_HOURLY_RATE-FIXED_SEASON_COST)</f>
        <v>14683.8102830915</v>
      </c>
      <c r="AD115" s="53" t="n">
        <f aca="false">IF(OR($A115&gt;TOMATO_BED_CAP,$B115&gt;CARROT_BED_CAP,AD$4&gt;MESCLUN_BED_CAP,$A115+$B115+AD$4&gt;TOTAL_BEDS_AVAILABLE,($D115+AD$5)&gt;TOTAL_LABOR_HOURS_CAP,MAX(0,($D115+AD$5)-PERMANENT_FIELD_LABOR_HOURS)&gt;TEMP_HOURS_CAP),"",$C115+AD$6-MIN(($D115+AD$5),PERMANENT_FIELD_LABOR_HOURS)*PERMANENT_HOURLY_RATE-MAX(0,($D115+AD$5)-PERMANENT_FIELD_LABOR_HOURS)*TEMP_HOURLY_RATE-FIXED_SEASON_COST)</f>
        <v>15152.3872383914</v>
      </c>
      <c r="AE115" s="53" t="n">
        <f aca="false">IF(OR($A115&gt;TOMATO_BED_CAP,$B115&gt;CARROT_BED_CAP,AE$4&gt;MESCLUN_BED_CAP,$A115+$B115+AE$4&gt;TOTAL_BEDS_AVAILABLE,($D115+AE$5)&gt;TOTAL_LABOR_HOURS_CAP,MAX(0,($D115+AE$5)-PERMANENT_FIELD_LABOR_HOURS)&gt;TEMP_HOURS_CAP),"",$C115+AE$6-MIN(($D115+AE$5),PERMANENT_FIELD_LABOR_HOURS)*PERMANENT_HOURLY_RATE-MAX(0,($D115+AE$5)-PERMANENT_FIELD_LABOR_HOURS)*TEMP_HOURLY_RATE-FIXED_SEASON_COST)</f>
        <v>15590.9145226253</v>
      </c>
      <c r="AF115" s="53" t="n">
        <f aca="false">IF(OR($A115&gt;TOMATO_BED_CAP,$B115&gt;CARROT_BED_CAP,AF$4&gt;MESCLUN_BED_CAP,$A115+$B115+AF$4&gt;TOTAL_BEDS_AVAILABLE,($D115+AF$5)&gt;TOTAL_LABOR_HOURS_CAP,MAX(0,($D115+AF$5)-PERMANENT_FIELD_LABOR_HOURS)&gt;TEMP_HOURS_CAP),"",$C115+AF$6-MIN(($D115+AF$5),PERMANENT_FIELD_LABOR_HOURS)*PERMANENT_HOURLY_RATE-MAX(0,($D115+AF$5)-PERMANENT_FIELD_LABOR_HOURS)*TEMP_HOURLY_RATE-FIXED_SEASON_COST)</f>
        <v>15998.8520538673</v>
      </c>
      <c r="AG115" s="53" t="n">
        <f aca="false">IF(OR($A115&gt;TOMATO_BED_CAP,$B115&gt;CARROT_BED_CAP,AG$4&gt;MESCLUN_BED_CAP,$A115+$B115+AG$4&gt;TOTAL_BEDS_AVAILABLE,($D115+AG$5)&gt;TOTAL_LABOR_HOURS_CAP,MAX(0,($D115+AG$5)-PERMANENT_FIELD_LABOR_HOURS)&gt;TEMP_HOURS_CAP),"",$C115+AG$6-MIN(($D115+AG$5),PERMANENT_FIELD_LABOR_HOURS)*PERMANENT_HOURLY_RATE-MAX(0,($D115+AG$5)-PERMANENT_FIELD_LABOR_HOURS)*TEMP_HOURLY_RATE-FIXED_SEASON_COST)</f>
        <v>16375.6509434043</v>
      </c>
      <c r="AH115" s="53" t="n">
        <f aca="false">IF(OR($A115&gt;TOMATO_BED_CAP,$B115&gt;CARROT_BED_CAP,AH$4&gt;MESCLUN_BED_CAP,$A115+$B115+AH$4&gt;TOTAL_BEDS_AVAILABLE,($D115+AH$5)&gt;TOTAL_LABOR_HOURS_CAP,MAX(0,($D115+AH$5)-PERMANENT_FIELD_LABOR_HOURS)&gt;TEMP_HOURS_CAP),"",$C115+AH$6-MIN(($D115+AH$5),PERMANENT_FIELD_LABOR_HOURS)*PERMANENT_HOURLY_RATE-MAX(0,($D115+AH$5)-PERMANENT_FIELD_LABOR_HOURS)*TEMP_HOURLY_RATE-FIXED_SEASON_COST)</f>
        <v>16720.7533599545</v>
      </c>
      <c r="AI115" s="53" t="n">
        <f aca="false">IF(OR($A115&gt;TOMATO_BED_CAP,$B115&gt;CARROT_BED_CAP,AI$4&gt;MESCLUN_BED_CAP,$A115+$B115+AI$4&gt;TOTAL_BEDS_AVAILABLE,($D115+AI$5)&gt;TOTAL_LABOR_HOURS_CAP,MAX(0,($D115+AI$5)-PERMANENT_FIELD_LABOR_HOURS)&gt;TEMP_HOURS_CAP),"",$C115+AI$6-MIN(($D115+AI$5),PERMANENT_FIELD_LABOR_HOURS)*PERMANENT_HOURLY_RATE-MAX(0,($D115+AI$5)-PERMANENT_FIELD_LABOR_HOURS)*TEMP_HOURLY_RATE-FIXED_SEASON_COST)</f>
        <v>17033.5923918668</v>
      </c>
      <c r="AJ115" s="53" t="n">
        <f aca="false">IF(OR($A115&gt;TOMATO_BED_CAP,$B115&gt;CARROT_BED_CAP,AJ$4&gt;MESCLUN_BED_CAP,$A115+$B115+AJ$4&gt;TOTAL_BEDS_AVAILABLE,($D115+AJ$5)&gt;TOTAL_LABOR_HOURS_CAP,MAX(0,($D115+AJ$5)-PERMANENT_FIELD_LABOR_HOURS)&gt;TEMP_HOURS_CAP),"",$C115+AJ$6-MIN(($D115+AJ$5),PERMANENT_FIELD_LABOR_HOURS)*PERMANENT_HOURLY_RATE-MAX(0,($D115+AJ$5)-PERMANENT_FIELD_LABOR_HOURS)*TEMP_HOURLY_RATE-FIXED_SEASON_COST)</f>
        <v>17313.5919072725</v>
      </c>
    </row>
    <row r="116" customFormat="false" ht="15" hidden="false" customHeight="false" outlineLevel="0" collapsed="false">
      <c r="A116" s="21" t="n">
        <f aca="false">INT((ROW()-ROW($A$8))/(20+1))</f>
        <v>5</v>
      </c>
      <c r="B116" s="21" t="n">
        <f aca="false">MOD(ROW()-ROW($A$8),20+1)</f>
        <v>3</v>
      </c>
      <c r="C116" s="13" t="n">
        <f aca="false">A116*(TOMATO_REVENUE_PER_BED-TOMATO_FERTILIZER_PER_BED)+B116*(CARROT_REVENUE_PER_BED-CARROT_FERTILIZER_PER_BED)</f>
        <v>44562</v>
      </c>
      <c r="D116" s="14" t="n">
        <f aca="false">INDEX(TOMATO_SCHED_LABOR_HRS,A116+1)+INDEX(CARROT_SCHED_LABOR_HRS,B116+1)</f>
        <v>821.6108881875</v>
      </c>
      <c r="E116" s="13" t="n">
        <f aca="false">IF(COUNT(F116:AJ116)=0,"",MAX(F116:AJ116))</f>
        <v>18379.6242759375</v>
      </c>
      <c r="F116" s="53" t="n">
        <f aca="false">IF(OR($A116&gt;TOMATO_BED_CAP,$B116&gt;CARROT_BED_CAP,F$4&gt;MESCLUN_BED_CAP,$A116+$B116+F$4&gt;TOTAL_BEDS_AVAILABLE,($D116+F$5)&gt;TOTAL_LABOR_HOURS_CAP,MAX(0,($D116+F$5)-PERMANENT_FIELD_LABOR_HOURS)&gt;TEMP_HOURS_CAP),"",$C116+F$6-MIN(($D116+F$5),PERMANENT_FIELD_LABOR_HOURS)*PERMANENT_HOURLY_RATE-MAX(0,($D116+F$5)-PERMANENT_FIELD_LABOR_HOURS)*TEMP_HOURLY_RATE-FIXED_SEASON_COST)</f>
        <v>-2200.365018935</v>
      </c>
      <c r="G116" s="53" t="n">
        <f aca="false">IF(OR($A116&gt;TOMATO_BED_CAP,$B116&gt;CARROT_BED_CAP,G$4&gt;MESCLUN_BED_CAP,$A116+$B116+G$4&gt;TOTAL_BEDS_AVAILABLE,($D116+G$5)&gt;TOTAL_LABOR_HOURS_CAP,MAX(0,($D116+G$5)-PERMANENT_FIELD_LABOR_HOURS)&gt;TEMP_HOURS_CAP),"",$C116+G$6-MIN(($D116+G$5),PERMANENT_FIELD_LABOR_HOURS)*PERMANENT_HOURLY_RATE-MAX(0,($D116+G$5)-PERMANENT_FIELD_LABOR_HOURS)*TEMP_HOURLY_RATE-FIXED_SEASON_COST)</f>
        <v>-1171.330018935</v>
      </c>
      <c r="H116" s="53" t="n">
        <f aca="false">IF(OR($A116&gt;TOMATO_BED_CAP,$B116&gt;CARROT_BED_CAP,H$4&gt;MESCLUN_BED_CAP,$A116+$B116+H$4&gt;TOTAL_BEDS_AVAILABLE,($D116+H$5)&gt;TOTAL_LABOR_HOURS_CAP,MAX(0,($D116+H$5)-PERMANENT_FIELD_LABOR_HOURS)&gt;TEMP_HOURS_CAP),"",$C116+H$6-MIN(($D116+H$5),PERMANENT_FIELD_LABOR_HOURS)*PERMANENT_HOURLY_RATE-MAX(0,($D116+H$5)-PERMANENT_FIELD_LABOR_HOURS)*TEMP_HOURLY_RATE-FIXED_SEASON_COST)</f>
        <v>-162.069143935001</v>
      </c>
      <c r="I116" s="53" t="n">
        <f aca="false">IF(OR($A116&gt;TOMATO_BED_CAP,$B116&gt;CARROT_BED_CAP,I$4&gt;MESCLUN_BED_CAP,$A116+$B116+I$4&gt;TOTAL_BEDS_AVAILABLE,($D116+I$5)&gt;TOTAL_LABOR_HOURS_CAP,MAX(0,($D116+I$5)-PERMANENT_FIELD_LABOR_HOURS)&gt;TEMP_HOURS_CAP),"",$C116+I$6-MIN(($D116+I$5),PERMANENT_FIELD_LABOR_HOURS)*PERMANENT_HOURLY_RATE-MAX(0,($D116+I$5)-PERMANENT_FIELD_LABOR_HOURS)*TEMP_HOURLY_RATE-FIXED_SEASON_COST)</f>
        <v>827.04684122125</v>
      </c>
      <c r="J116" s="53" t="n">
        <f aca="false">IF(OR($A116&gt;TOMATO_BED_CAP,$B116&gt;CARROT_BED_CAP,J$4&gt;MESCLUN_BED_CAP,$A116+$B116+J$4&gt;TOTAL_BEDS_AVAILABLE,($D116+J$5)&gt;TOTAL_LABOR_HOURS_CAP,MAX(0,($D116+J$5)-PERMANENT_FIELD_LABOR_HOURS)&gt;TEMP_HOURS_CAP),"",$C116+J$6-MIN(($D116+J$5),PERMANENT_FIELD_LABOR_HOURS)*PERMANENT_HOURLY_RATE-MAX(0,($D116+J$5)-PERMANENT_FIELD_LABOR_HOURS)*TEMP_HOURLY_RATE-FIXED_SEASON_COST)</f>
        <v>1795.64099227594</v>
      </c>
      <c r="K116" s="53" t="n">
        <f aca="false">IF(OR($A116&gt;TOMATO_BED_CAP,$B116&gt;CARROT_BED_CAP,K$4&gt;MESCLUN_BED_CAP,$A116+$B116+K$4&gt;TOTAL_BEDS_AVAILABLE,($D116+K$5)&gt;TOTAL_LABOR_HOURS_CAP,MAX(0,($D116+K$5)-PERMANENT_FIELD_LABOR_HOURS)&gt;TEMP_HOURS_CAP),"",$C116+K$6-MIN(($D116+K$5),PERMANENT_FIELD_LABOR_HOURS)*PERMANENT_HOURLY_RATE-MAX(0,($D116+K$5)-PERMANENT_FIELD_LABOR_HOURS)*TEMP_HOURLY_RATE-FIXED_SEASON_COST)</f>
        <v>2743.33008900384</v>
      </c>
      <c r="L116" s="53" t="n">
        <f aca="false">IF(OR($A116&gt;TOMATO_BED_CAP,$B116&gt;CARROT_BED_CAP,L$4&gt;MESCLUN_BED_CAP,$A116+$B116+L$4&gt;TOTAL_BEDS_AVAILABLE,($D116+L$5)&gt;TOTAL_LABOR_HOURS_CAP,MAX(0,($D116+L$5)-PERMANENT_FIELD_LABOR_HOURS)&gt;TEMP_HOURS_CAP),"",$C116+L$6-MIN(($D116+L$5),PERMANENT_FIELD_LABOR_HOURS)*PERMANENT_HOURLY_RATE-MAX(0,($D116+L$5)-PERMANENT_FIELD_LABOR_HOURS)*TEMP_HOURLY_RATE-FIXED_SEASON_COST)</f>
        <v>3669.7245372107</v>
      </c>
      <c r="M116" s="53" t="n">
        <f aca="false">IF(OR($A116&gt;TOMATO_BED_CAP,$B116&gt;CARROT_BED_CAP,M$4&gt;MESCLUN_BED_CAP,$A116+$B116+M$4&gt;TOTAL_BEDS_AVAILABLE,($D116+M$5)&gt;TOTAL_LABOR_HOURS_CAP,MAX(0,($D116+M$5)-PERMANENT_FIELD_LABOR_HOURS)&gt;TEMP_HOURS_CAP),"",$C116+M$6-MIN(($D116+M$5),PERMANENT_FIELD_LABOR_HOURS)*PERMANENT_HOURLY_RATE-MAX(0,($D116+M$5)-PERMANENT_FIELD_LABOR_HOURS)*TEMP_HOURLY_RATE-FIXED_SEASON_COST)</f>
        <v>4574.4282692621</v>
      </c>
      <c r="N116" s="53" t="n">
        <f aca="false">IF(OR($A116&gt;TOMATO_BED_CAP,$B116&gt;CARROT_BED_CAP,N$4&gt;MESCLUN_BED_CAP,$A116+$B116+N$4&gt;TOTAL_BEDS_AVAILABLE,($D116+N$5)&gt;TOTAL_LABOR_HOURS_CAP,MAX(0,($D116+N$5)-PERMANENT_FIELD_LABOR_HOURS)&gt;TEMP_HOURS_CAP),"",$C116+N$6-MIN(($D116+N$5),PERMANENT_FIELD_LABOR_HOURS)*PERMANENT_HOURLY_RATE-MAX(0,($D116+N$5)-PERMANENT_FIELD_LABOR_HOURS)*TEMP_HOURLY_RATE-FIXED_SEASON_COST)</f>
        <v>5457.03864312165</v>
      </c>
      <c r="O116" s="53" t="n">
        <f aca="false">IF(OR($A116&gt;TOMATO_BED_CAP,$B116&gt;CARROT_BED_CAP,O$4&gt;MESCLUN_BED_CAP,$A116+$B116+O$4&gt;TOTAL_BEDS_AVAILABLE,($D116+O$5)&gt;TOTAL_LABOR_HOURS_CAP,MAX(0,($D116+O$5)-PERMANENT_FIELD_LABOR_HOURS)&gt;TEMP_HOURS_CAP),"",$C116+O$6-MIN(($D116+O$5),PERMANENT_FIELD_LABOR_HOURS)*PERMANENT_HOURLY_RATE-MAX(0,($D116+O$5)-PERMANENT_FIELD_LABOR_HOURS)*TEMP_HOURLY_RATE-FIXED_SEASON_COST)</f>
        <v>6317.1463398764</v>
      </c>
      <c r="P116" s="53" t="n">
        <f aca="false">IF(OR($A116&gt;TOMATO_BED_CAP,$B116&gt;CARROT_BED_CAP,P$4&gt;MESCLUN_BED_CAP,$A116+$B116+P$4&gt;TOTAL_BEDS_AVAILABLE,($D116+P$5)&gt;TOTAL_LABOR_HOURS_CAP,MAX(0,($D116+P$5)-PERMANENT_FIELD_LABOR_HOURS)&gt;TEMP_HOURS_CAP),"",$C116+P$6-MIN(($D116+P$5),PERMANENT_FIELD_LABOR_HOURS)*PERMANENT_HOURLY_RATE-MAX(0,($D116+P$5)-PERMANENT_FIELD_LABOR_HOURS)*TEMP_HOURLY_RATE-FIXED_SEASON_COST)</f>
        <v>7154.33525972783</v>
      </c>
      <c r="Q116" s="53" t="n">
        <f aca="false">IF(OR($A116&gt;TOMATO_BED_CAP,$B116&gt;CARROT_BED_CAP,Q$4&gt;MESCLUN_BED_CAP,$A116+$B116+Q$4&gt;TOTAL_BEDS_AVAILABLE,($D116+Q$5)&gt;TOTAL_LABOR_HOURS_CAP,MAX(0,($D116+Q$5)-PERMANENT_FIELD_LABOR_HOURS)&gt;TEMP_HOURS_CAP),"",$C116+Q$6-MIN(($D116+Q$5),PERMANENT_FIELD_LABOR_HOURS)*PERMANENT_HOURLY_RATE-MAX(0,($D116+Q$5)-PERMANENT_FIELD_LABOR_HOURS)*TEMP_HOURLY_RATE-FIXED_SEASON_COST)</f>
        <v>7968.18241642573</v>
      </c>
      <c r="R116" s="53" t="n">
        <f aca="false">IF(OR($A116&gt;TOMATO_BED_CAP,$B116&gt;CARROT_BED_CAP,R$4&gt;MESCLUN_BED_CAP,$A116+$B116+R$4&gt;TOTAL_BEDS_AVAILABLE,($D116+R$5)&gt;TOTAL_LABOR_HOURS_CAP,MAX(0,($D116+R$5)-PERMANENT_FIELD_LABOR_HOURS)&gt;TEMP_HOURS_CAP),"",$C116+R$6-MIN(($D116+R$5),PERMANENT_FIELD_LABOR_HOURS)*PERMANENT_HOURLY_RATE-MAX(0,($D116+R$5)-PERMANENT_FIELD_LABOR_HOURS)*TEMP_HOURLY_RATE-FIXED_SEASON_COST)</f>
        <v>8758.25783012253</v>
      </c>
      <c r="S116" s="53" t="n">
        <f aca="false">IF(OR($A116&gt;TOMATO_BED_CAP,$B116&gt;CARROT_BED_CAP,S$4&gt;MESCLUN_BED_CAP,$A116+$B116+S$4&gt;TOTAL_BEDS_AVAILABLE,($D116+S$5)&gt;TOTAL_LABOR_HOURS_CAP,MAX(0,($D116+S$5)-PERMANENT_FIELD_LABOR_HOURS)&gt;TEMP_HOURS_CAP),"",$C116+S$6-MIN(($D116+S$5),PERMANENT_FIELD_LABOR_HOURS)*PERMANENT_HOURLY_RATE-MAX(0,($D116+S$5)-PERMANENT_FIELD_LABOR_HOURS)*TEMP_HOURLY_RATE-FIXED_SEASON_COST)</f>
        <v>9524.12441862498</v>
      </c>
      <c r="T116" s="53" t="n">
        <f aca="false">IF(OR($A116&gt;TOMATO_BED_CAP,$B116&gt;CARROT_BED_CAP,T$4&gt;MESCLUN_BED_CAP,$A116+$B116+T$4&gt;TOTAL_BEDS_AVAILABLE,($D116+T$5)&gt;TOTAL_LABOR_HOURS_CAP,MAX(0,($D116+T$5)-PERMANENT_FIELD_LABOR_HOURS)&gt;TEMP_HOURS_CAP),"",$C116+T$6-MIN(($D116+T$5),PERMANENT_FIELD_LABOR_HOURS)*PERMANENT_HOURLY_RATE-MAX(0,($D116+T$5)-PERMANENT_FIELD_LABOR_HOURS)*TEMP_HOURLY_RATE-FIXED_SEASON_COST)</f>
        <v>10265.3378870198</v>
      </c>
      <c r="U116" s="53" t="n">
        <f aca="false">IF(OR($A116&gt;TOMATO_BED_CAP,$B116&gt;CARROT_BED_CAP,U$4&gt;MESCLUN_BED_CAP,$A116+$B116+U$4&gt;TOTAL_BEDS_AVAILABLE,($D116+U$5)&gt;TOTAL_LABOR_HOURS_CAP,MAX(0,($D116+U$5)-PERMANENT_FIELD_LABOR_HOURS)&gt;TEMP_HOURS_CAP),"",$C116+U$6-MIN(($D116+U$5),PERMANENT_FIELD_LABOR_HOURS)*PERMANENT_HOURLY_RATE-MAX(0,($D116+U$5)-PERMANENT_FIELD_LABOR_HOURS)*TEMP_HOURLY_RATE-FIXED_SEASON_COST)</f>
        <v>10981.4466156499</v>
      </c>
      <c r="V116" s="53" t="n">
        <f aca="false">IF(OR($A116&gt;TOMATO_BED_CAP,$B116&gt;CARROT_BED_CAP,V$4&gt;MESCLUN_BED_CAP,$A116+$B116+V$4&gt;TOTAL_BEDS_AVAILABLE,($D116+V$5)&gt;TOTAL_LABOR_HOURS_CAP,MAX(0,($D116+V$5)-PERMANENT_FIELD_LABOR_HOURS)&gt;TEMP_HOURS_CAP),"",$C116+V$6-MIN(($D116+V$5),PERMANENT_FIELD_LABOR_HOURS)*PERMANENT_HOURLY_RATE-MAX(0,($D116+V$5)-PERMANENT_FIELD_LABOR_HOURS)*TEMP_HOURLY_RATE-FIXED_SEASON_COST)</f>
        <v>11671.9915464167</v>
      </c>
      <c r="W116" s="53" t="n">
        <f aca="false">IF(OR($A116&gt;TOMATO_BED_CAP,$B116&gt;CARROT_BED_CAP,W$4&gt;MESCLUN_BED_CAP,$A116+$B116+W$4&gt;TOTAL_BEDS_AVAILABLE,($D116+W$5)&gt;TOTAL_LABOR_HOURS_CAP,MAX(0,($D116+W$5)-PERMANENT_FIELD_LABOR_HOURS)&gt;TEMP_HOURS_CAP),"",$C116+W$6-MIN(($D116+W$5),PERMANENT_FIELD_LABOR_HOURS)*PERMANENT_HOURLY_RATE-MAX(0,($D116+W$5)-PERMANENT_FIELD_LABOR_HOURS)*TEMP_HOURLY_RATE-FIXED_SEASON_COST)</f>
        <v>12336.5060673848</v>
      </c>
      <c r="X116" s="53" t="n">
        <f aca="false">IF(OR($A116&gt;TOMATO_BED_CAP,$B116&gt;CARROT_BED_CAP,X$4&gt;MESCLUN_BED_CAP,$A116+$B116+X$4&gt;TOTAL_BEDS_AVAILABLE,($D116+X$5)&gt;TOTAL_LABOR_HOURS_CAP,MAX(0,($D116+X$5)-PERMANENT_FIELD_LABOR_HOURS)&gt;TEMP_HOURS_CAP),"",$C116+X$6-MIN(($D116+X$5),PERMANENT_FIELD_LABOR_HOURS)*PERMANENT_HOURLY_RATE-MAX(0,($D116+X$5)-PERMANENT_FIELD_LABOR_HOURS)*TEMP_HOURLY_RATE-FIXED_SEASON_COST)</f>
        <v>12974.5158956637</v>
      </c>
      <c r="Y116" s="53" t="n">
        <f aca="false">IF(OR($A116&gt;TOMATO_BED_CAP,$B116&gt;CARROT_BED_CAP,Y$4&gt;MESCLUN_BED_CAP,$A116+$B116+Y$4&gt;TOTAL_BEDS_AVAILABLE,($D116+Y$5)&gt;TOTAL_LABOR_HOURS_CAP,MAX(0,($D116+Y$5)-PERMANENT_FIELD_LABOR_HOURS)&gt;TEMP_HOURS_CAP),"",$C116+Y$6-MIN(($D116+Y$5),PERMANENT_FIELD_LABOR_HOURS)*PERMANENT_HOURLY_RATE-MAX(0,($D116+Y$5)-PERMANENT_FIELD_LABOR_HOURS)*TEMP_HOURLY_RATE-FIXED_SEASON_COST)</f>
        <v>13585.5389585424</v>
      </c>
      <c r="Z116" s="53" t="n">
        <f aca="false">IF(OR($A116&gt;TOMATO_BED_CAP,$B116&gt;CARROT_BED_CAP,Z$4&gt;MESCLUN_BED_CAP,$A116+$B116+Z$4&gt;TOTAL_BEDS_AVAILABLE,($D116+Z$5)&gt;TOTAL_LABOR_HOURS_CAP,MAX(0,($D116+Z$5)-PERMANENT_FIELD_LABOR_HOURS)&gt;TEMP_HOURS_CAP),"",$C116+Z$6-MIN(($D116+Z$5),PERMANENT_FIELD_LABOR_HOURS)*PERMANENT_HOURLY_RATE-MAX(0,($D116+Z$5)-PERMANENT_FIELD_LABOR_HOURS)*TEMP_HOURLY_RATE-FIXED_SEASON_COST)</f>
        <v>14169.0852728501</v>
      </c>
      <c r="AA116" s="53" t="n">
        <f aca="false">IF(OR($A116&gt;TOMATO_BED_CAP,$B116&gt;CARROT_BED_CAP,AA$4&gt;MESCLUN_BED_CAP,$A116+$B116+AA$4&gt;TOTAL_BEDS_AVAILABLE,($D116+AA$5)&gt;TOTAL_LABOR_HOURS_CAP,MAX(0,($D116+AA$5)-PERMANENT_FIELD_LABOR_HOURS)&gt;TEMP_HOURS_CAP),"",$C116+AA$6-MIN(($D116+AA$5),PERMANENT_FIELD_LABOR_HOURS)*PERMANENT_HOURLY_RATE-MAX(0,($D116+AA$5)-PERMANENT_FIELD_LABOR_HOURS)*TEMP_HOURLY_RATE-FIXED_SEASON_COST)</f>
        <v>14724.656822519</v>
      </c>
      <c r="AB116" s="53" t="n">
        <f aca="false">IF(OR($A116&gt;TOMATO_BED_CAP,$B116&gt;CARROT_BED_CAP,AB$4&gt;MESCLUN_BED_CAP,$A116+$B116+AB$4&gt;TOTAL_BEDS_AVAILABLE,($D116+AB$5)&gt;TOTAL_LABOR_HOURS_CAP,MAX(0,($D116+AB$5)-PERMANENT_FIELD_LABOR_HOURS)&gt;TEMP_HOURS_CAP),"",$C116+AB$6-MIN(($D116+AB$5),PERMANENT_FIELD_LABOR_HOURS)*PERMANENT_HOURLY_RATE-MAX(0,($D116+AB$5)-PERMANENT_FIELD_LABOR_HOURS)*TEMP_HOURLY_RATE-FIXED_SEASON_COST)</f>
        <v>15251.7474343216</v>
      </c>
      <c r="AC116" s="53" t="n">
        <f aca="false">IF(OR($A116&gt;TOMATO_BED_CAP,$B116&gt;CARROT_BED_CAP,AC$4&gt;MESCLUN_BED_CAP,$A116+$B116+AC$4&gt;TOTAL_BEDS_AVAILABLE,($D116+AC$5)&gt;TOTAL_LABOR_HOURS_CAP,MAX(0,($D116+AC$5)-PERMANENT_FIELD_LABOR_HOURS)&gt;TEMP_HOURS_CAP),"",$C116+AC$6-MIN(($D116+AC$5),PERMANENT_FIELD_LABOR_HOURS)*PERMANENT_HOURLY_RATE-MAX(0,($D116+AC$5)-PERMANENT_FIELD_LABOR_HOURS)*TEMP_HOURLY_RATE-FIXED_SEASON_COST)</f>
        <v>15749.8426517565</v>
      </c>
      <c r="AD116" s="53" t="n">
        <f aca="false">IF(OR($A116&gt;TOMATO_BED_CAP,$B116&gt;CARROT_BED_CAP,AD$4&gt;MESCLUN_BED_CAP,$A116+$B116+AD$4&gt;TOTAL_BEDS_AVAILABLE,($D116+AD$5)&gt;TOTAL_LABOR_HOURS_CAP,MAX(0,($D116+AD$5)-PERMANENT_FIELD_LABOR_HOURS)&gt;TEMP_HOURS_CAP),"",$C116+AD$6-MIN(($D116+AD$5),PERMANENT_FIELD_LABOR_HOURS)*PERMANENT_HOURLY_RATE-MAX(0,($D116+AD$5)-PERMANENT_FIELD_LABOR_HOURS)*TEMP_HOURLY_RATE-FIXED_SEASON_COST)</f>
        <v>16218.4196070564</v>
      </c>
      <c r="AE116" s="53" t="n">
        <f aca="false">IF(OR($A116&gt;TOMATO_BED_CAP,$B116&gt;CARROT_BED_CAP,AE$4&gt;MESCLUN_BED_CAP,$A116+$B116+AE$4&gt;TOTAL_BEDS_AVAILABLE,($D116+AE$5)&gt;TOTAL_LABOR_HOURS_CAP,MAX(0,($D116+AE$5)-PERMANENT_FIELD_LABOR_HOURS)&gt;TEMP_HOURS_CAP),"",$C116+AE$6-MIN(($D116+AE$5),PERMANENT_FIELD_LABOR_HOURS)*PERMANENT_HOURLY_RATE-MAX(0,($D116+AE$5)-PERMANENT_FIELD_LABOR_HOURS)*TEMP_HOURLY_RATE-FIXED_SEASON_COST)</f>
        <v>16656.9468912903</v>
      </c>
      <c r="AF116" s="53" t="n">
        <f aca="false">IF(OR($A116&gt;TOMATO_BED_CAP,$B116&gt;CARROT_BED_CAP,AF$4&gt;MESCLUN_BED_CAP,$A116+$B116+AF$4&gt;TOTAL_BEDS_AVAILABLE,($D116+AF$5)&gt;TOTAL_LABOR_HOURS_CAP,MAX(0,($D116+AF$5)-PERMANENT_FIELD_LABOR_HOURS)&gt;TEMP_HOURS_CAP),"",$C116+AF$6-MIN(($D116+AF$5),PERMANENT_FIELD_LABOR_HOURS)*PERMANENT_HOURLY_RATE-MAX(0,($D116+AF$5)-PERMANENT_FIELD_LABOR_HOURS)*TEMP_HOURLY_RATE-FIXED_SEASON_COST)</f>
        <v>17064.8844225323</v>
      </c>
      <c r="AG116" s="53" t="n">
        <f aca="false">IF(OR($A116&gt;TOMATO_BED_CAP,$B116&gt;CARROT_BED_CAP,AG$4&gt;MESCLUN_BED_CAP,$A116+$B116+AG$4&gt;TOTAL_BEDS_AVAILABLE,($D116+AG$5)&gt;TOTAL_LABOR_HOURS_CAP,MAX(0,($D116+AG$5)-PERMANENT_FIELD_LABOR_HOURS)&gt;TEMP_HOURS_CAP),"",$C116+AG$6-MIN(($D116+AG$5),PERMANENT_FIELD_LABOR_HOURS)*PERMANENT_HOURLY_RATE-MAX(0,($D116+AG$5)-PERMANENT_FIELD_LABOR_HOURS)*TEMP_HOURLY_RATE-FIXED_SEASON_COST)</f>
        <v>17441.6833120693</v>
      </c>
      <c r="AH116" s="53" t="n">
        <f aca="false">IF(OR($A116&gt;TOMATO_BED_CAP,$B116&gt;CARROT_BED_CAP,AH$4&gt;MESCLUN_BED_CAP,$A116+$B116+AH$4&gt;TOTAL_BEDS_AVAILABLE,($D116+AH$5)&gt;TOTAL_LABOR_HOURS_CAP,MAX(0,($D116+AH$5)-PERMANENT_FIELD_LABOR_HOURS)&gt;TEMP_HOURS_CAP),"",$C116+AH$6-MIN(($D116+AH$5),PERMANENT_FIELD_LABOR_HOURS)*PERMANENT_HOURLY_RATE-MAX(0,($D116+AH$5)-PERMANENT_FIELD_LABOR_HOURS)*TEMP_HOURLY_RATE-FIXED_SEASON_COST)</f>
        <v>17786.7857286195</v>
      </c>
      <c r="AI116" s="53" t="n">
        <f aca="false">IF(OR($A116&gt;TOMATO_BED_CAP,$B116&gt;CARROT_BED_CAP,AI$4&gt;MESCLUN_BED_CAP,$A116+$B116+AI$4&gt;TOTAL_BEDS_AVAILABLE,($D116+AI$5)&gt;TOTAL_LABOR_HOURS_CAP,MAX(0,($D116+AI$5)-PERMANENT_FIELD_LABOR_HOURS)&gt;TEMP_HOURS_CAP),"",$C116+AI$6-MIN(($D116+AI$5),PERMANENT_FIELD_LABOR_HOURS)*PERMANENT_HOURLY_RATE-MAX(0,($D116+AI$5)-PERMANENT_FIELD_LABOR_HOURS)*TEMP_HOURLY_RATE-FIXED_SEASON_COST)</f>
        <v>18099.6247605318</v>
      </c>
      <c r="AJ116" s="53" t="n">
        <f aca="false">IF(OR($A116&gt;TOMATO_BED_CAP,$B116&gt;CARROT_BED_CAP,AJ$4&gt;MESCLUN_BED_CAP,$A116+$B116+AJ$4&gt;TOTAL_BEDS_AVAILABLE,($D116+AJ$5)&gt;TOTAL_LABOR_HOURS_CAP,MAX(0,($D116+AJ$5)-PERMANENT_FIELD_LABOR_HOURS)&gt;TEMP_HOURS_CAP),"",$C116+AJ$6-MIN(($D116+AJ$5),PERMANENT_FIELD_LABOR_HOURS)*PERMANENT_HOURLY_RATE-MAX(0,($D116+AJ$5)-PERMANENT_FIELD_LABOR_HOURS)*TEMP_HOURLY_RATE-FIXED_SEASON_COST)</f>
        <v>18379.6242759375</v>
      </c>
    </row>
    <row r="117" customFormat="false" ht="15" hidden="false" customHeight="false" outlineLevel="0" collapsed="false">
      <c r="A117" s="21" t="n">
        <f aca="false">INT((ROW()-ROW($A$8))/(20+1))</f>
        <v>5</v>
      </c>
      <c r="B117" s="21" t="n">
        <f aca="false">MOD(ROW()-ROW($A$8),20+1)</f>
        <v>4</v>
      </c>
      <c r="C117" s="13" t="n">
        <f aca="false">A117*(TOMATO_REVENUE_PER_BED-TOMATO_FERTILIZER_PER_BED)+B117*(CARROT_REVENUE_PER_BED-CARROT_FERTILIZER_PER_BED)</f>
        <v>46216</v>
      </c>
      <c r="D117" s="14" t="n">
        <f aca="false">INDEX(TOMATO_SCHED_LABOR_HRS,A117+1)+INDEX(CARROT_SCHED_LABOR_HRS,B117+1)</f>
        <v>857.13406385625</v>
      </c>
      <c r="E117" s="13" t="n">
        <f aca="false">IF(COUNT(F117:AJ117)=0,"",MAX(F117:AJ117))</f>
        <v>19416.941946328</v>
      </c>
      <c r="F117" s="53" t="n">
        <f aca="false">IF(OR($A117&gt;TOMATO_BED_CAP,$B117&gt;CARROT_BED_CAP,F$4&gt;MESCLUN_BED_CAP,$A117+$B117+F$4&gt;TOTAL_BEDS_AVAILABLE,($D117+F$5)&gt;TOTAL_LABOR_HOURS_CAP,MAX(0,($D117+F$5)-PERMANENT_FIELD_LABOR_HOURS)&gt;TEMP_HOURS_CAP),"",$C117+F$6-MIN(($D117+F$5),PERMANENT_FIELD_LABOR_HOURS)*PERMANENT_HOURLY_RATE-MAX(0,($D117+F$5)-PERMANENT_FIELD_LABOR_HOURS)*TEMP_HOURLY_RATE-FIXED_SEASON_COST)</f>
        <v>-1163.0473485445</v>
      </c>
      <c r="G117" s="53" t="n">
        <f aca="false">IF(OR($A117&gt;TOMATO_BED_CAP,$B117&gt;CARROT_BED_CAP,G$4&gt;MESCLUN_BED_CAP,$A117+$B117+G$4&gt;TOTAL_BEDS_AVAILABLE,($D117+G$5)&gt;TOTAL_LABOR_HOURS_CAP,MAX(0,($D117+G$5)-PERMANENT_FIELD_LABOR_HOURS)&gt;TEMP_HOURS_CAP),"",$C117+G$6-MIN(($D117+G$5),PERMANENT_FIELD_LABOR_HOURS)*PERMANENT_HOURLY_RATE-MAX(0,($D117+G$5)-PERMANENT_FIELD_LABOR_HOURS)*TEMP_HOURLY_RATE-FIXED_SEASON_COST)</f>
        <v>-134.0123485445</v>
      </c>
      <c r="H117" s="53" t="n">
        <f aca="false">IF(OR($A117&gt;TOMATO_BED_CAP,$B117&gt;CARROT_BED_CAP,H$4&gt;MESCLUN_BED_CAP,$A117+$B117+H$4&gt;TOTAL_BEDS_AVAILABLE,($D117+H$5)&gt;TOTAL_LABOR_HOURS_CAP,MAX(0,($D117+H$5)-PERMANENT_FIELD_LABOR_HOURS)&gt;TEMP_HOURS_CAP),"",$C117+H$6-MIN(($D117+H$5),PERMANENT_FIELD_LABOR_HOURS)*PERMANENT_HOURLY_RATE-MAX(0,($D117+H$5)-PERMANENT_FIELD_LABOR_HOURS)*TEMP_HOURLY_RATE-FIXED_SEASON_COST)</f>
        <v>875.2485264555</v>
      </c>
      <c r="I117" s="53" t="n">
        <f aca="false">IF(OR($A117&gt;TOMATO_BED_CAP,$B117&gt;CARROT_BED_CAP,I$4&gt;MESCLUN_BED_CAP,$A117+$B117+I$4&gt;TOTAL_BEDS_AVAILABLE,($D117+I$5)&gt;TOTAL_LABOR_HOURS_CAP,MAX(0,($D117+I$5)-PERMANENT_FIELD_LABOR_HOURS)&gt;TEMP_HOURS_CAP),"",$C117+I$6-MIN(($D117+I$5),PERMANENT_FIELD_LABOR_HOURS)*PERMANENT_HOURLY_RATE-MAX(0,($D117+I$5)-PERMANENT_FIELD_LABOR_HOURS)*TEMP_HOURLY_RATE-FIXED_SEASON_COST)</f>
        <v>1864.36451161175</v>
      </c>
      <c r="J117" s="53" t="n">
        <f aca="false">IF(OR($A117&gt;TOMATO_BED_CAP,$B117&gt;CARROT_BED_CAP,J$4&gt;MESCLUN_BED_CAP,$A117+$B117+J$4&gt;TOTAL_BEDS_AVAILABLE,($D117+J$5)&gt;TOTAL_LABOR_HOURS_CAP,MAX(0,($D117+J$5)-PERMANENT_FIELD_LABOR_HOURS)&gt;TEMP_HOURS_CAP),"",$C117+J$6-MIN(($D117+J$5),PERMANENT_FIELD_LABOR_HOURS)*PERMANENT_HOURLY_RATE-MAX(0,($D117+J$5)-PERMANENT_FIELD_LABOR_HOURS)*TEMP_HOURLY_RATE-FIXED_SEASON_COST)</f>
        <v>2832.95866266644</v>
      </c>
      <c r="K117" s="53" t="n">
        <f aca="false">IF(OR($A117&gt;TOMATO_BED_CAP,$B117&gt;CARROT_BED_CAP,K$4&gt;MESCLUN_BED_CAP,$A117+$B117+K$4&gt;TOTAL_BEDS_AVAILABLE,($D117+K$5)&gt;TOTAL_LABOR_HOURS_CAP,MAX(0,($D117+K$5)-PERMANENT_FIELD_LABOR_HOURS)&gt;TEMP_HOURS_CAP),"",$C117+K$6-MIN(($D117+K$5),PERMANENT_FIELD_LABOR_HOURS)*PERMANENT_HOURLY_RATE-MAX(0,($D117+K$5)-PERMANENT_FIELD_LABOR_HOURS)*TEMP_HOURLY_RATE-FIXED_SEASON_COST)</f>
        <v>3780.64775939434</v>
      </c>
      <c r="L117" s="53" t="n">
        <f aca="false">IF(OR($A117&gt;TOMATO_BED_CAP,$B117&gt;CARROT_BED_CAP,L$4&gt;MESCLUN_BED_CAP,$A117+$B117+L$4&gt;TOTAL_BEDS_AVAILABLE,($D117+L$5)&gt;TOTAL_LABOR_HOURS_CAP,MAX(0,($D117+L$5)-PERMANENT_FIELD_LABOR_HOURS)&gt;TEMP_HOURS_CAP),"",$C117+L$6-MIN(($D117+L$5),PERMANENT_FIELD_LABOR_HOURS)*PERMANENT_HOURLY_RATE-MAX(0,($D117+L$5)-PERMANENT_FIELD_LABOR_HOURS)*TEMP_HOURLY_RATE-FIXED_SEASON_COST)</f>
        <v>4707.0422076012</v>
      </c>
      <c r="M117" s="53" t="n">
        <f aca="false">IF(OR($A117&gt;TOMATO_BED_CAP,$B117&gt;CARROT_BED_CAP,M$4&gt;MESCLUN_BED_CAP,$A117+$B117+M$4&gt;TOTAL_BEDS_AVAILABLE,($D117+M$5)&gt;TOTAL_LABOR_HOURS_CAP,MAX(0,($D117+M$5)-PERMANENT_FIELD_LABOR_HOURS)&gt;TEMP_HOURS_CAP),"",$C117+M$6-MIN(($D117+M$5),PERMANENT_FIELD_LABOR_HOURS)*PERMANENT_HOURLY_RATE-MAX(0,($D117+M$5)-PERMANENT_FIELD_LABOR_HOURS)*TEMP_HOURLY_RATE-FIXED_SEASON_COST)</f>
        <v>5611.7459396526</v>
      </c>
      <c r="N117" s="53" t="n">
        <f aca="false">IF(OR($A117&gt;TOMATO_BED_CAP,$B117&gt;CARROT_BED_CAP,N$4&gt;MESCLUN_BED_CAP,$A117+$B117+N$4&gt;TOTAL_BEDS_AVAILABLE,($D117+N$5)&gt;TOTAL_LABOR_HOURS_CAP,MAX(0,($D117+N$5)-PERMANENT_FIELD_LABOR_HOURS)&gt;TEMP_HOURS_CAP),"",$C117+N$6-MIN(($D117+N$5),PERMANENT_FIELD_LABOR_HOURS)*PERMANENT_HOURLY_RATE-MAX(0,($D117+N$5)-PERMANENT_FIELD_LABOR_HOURS)*TEMP_HOURLY_RATE-FIXED_SEASON_COST)</f>
        <v>6494.35631351215</v>
      </c>
      <c r="O117" s="53" t="n">
        <f aca="false">IF(OR($A117&gt;TOMATO_BED_CAP,$B117&gt;CARROT_BED_CAP,O$4&gt;MESCLUN_BED_CAP,$A117+$B117+O$4&gt;TOTAL_BEDS_AVAILABLE,($D117+O$5)&gt;TOTAL_LABOR_HOURS_CAP,MAX(0,($D117+O$5)-PERMANENT_FIELD_LABOR_HOURS)&gt;TEMP_HOURS_CAP),"",$C117+O$6-MIN(($D117+O$5),PERMANENT_FIELD_LABOR_HOURS)*PERMANENT_HOURLY_RATE-MAX(0,($D117+O$5)-PERMANENT_FIELD_LABOR_HOURS)*TEMP_HOURLY_RATE-FIXED_SEASON_COST)</f>
        <v>7354.4640102669</v>
      </c>
      <c r="P117" s="53" t="n">
        <f aca="false">IF(OR($A117&gt;TOMATO_BED_CAP,$B117&gt;CARROT_BED_CAP,P$4&gt;MESCLUN_BED_CAP,$A117+$B117+P$4&gt;TOTAL_BEDS_AVAILABLE,($D117+P$5)&gt;TOTAL_LABOR_HOURS_CAP,MAX(0,($D117+P$5)-PERMANENT_FIELD_LABOR_HOURS)&gt;TEMP_HOURS_CAP),"",$C117+P$6-MIN(($D117+P$5),PERMANENT_FIELD_LABOR_HOURS)*PERMANENT_HOURLY_RATE-MAX(0,($D117+P$5)-PERMANENT_FIELD_LABOR_HOURS)*TEMP_HOURLY_RATE-FIXED_SEASON_COST)</f>
        <v>8191.65293011833</v>
      </c>
      <c r="Q117" s="53" t="n">
        <f aca="false">IF(OR($A117&gt;TOMATO_BED_CAP,$B117&gt;CARROT_BED_CAP,Q$4&gt;MESCLUN_BED_CAP,$A117+$B117+Q$4&gt;TOTAL_BEDS_AVAILABLE,($D117+Q$5)&gt;TOTAL_LABOR_HOURS_CAP,MAX(0,($D117+Q$5)-PERMANENT_FIELD_LABOR_HOURS)&gt;TEMP_HOURS_CAP),"",$C117+Q$6-MIN(($D117+Q$5),PERMANENT_FIELD_LABOR_HOURS)*PERMANENT_HOURLY_RATE-MAX(0,($D117+Q$5)-PERMANENT_FIELD_LABOR_HOURS)*TEMP_HOURLY_RATE-FIXED_SEASON_COST)</f>
        <v>9005.50008681622</v>
      </c>
      <c r="R117" s="53" t="n">
        <f aca="false">IF(OR($A117&gt;TOMATO_BED_CAP,$B117&gt;CARROT_BED_CAP,R$4&gt;MESCLUN_BED_CAP,$A117+$B117+R$4&gt;TOTAL_BEDS_AVAILABLE,($D117+R$5)&gt;TOTAL_LABOR_HOURS_CAP,MAX(0,($D117+R$5)-PERMANENT_FIELD_LABOR_HOURS)&gt;TEMP_HOURS_CAP),"",$C117+R$6-MIN(($D117+R$5),PERMANENT_FIELD_LABOR_HOURS)*PERMANENT_HOURLY_RATE-MAX(0,($D117+R$5)-PERMANENT_FIELD_LABOR_HOURS)*TEMP_HOURLY_RATE-FIXED_SEASON_COST)</f>
        <v>9795.57550051303</v>
      </c>
      <c r="S117" s="53" t="n">
        <f aca="false">IF(OR($A117&gt;TOMATO_BED_CAP,$B117&gt;CARROT_BED_CAP,S$4&gt;MESCLUN_BED_CAP,$A117+$B117+S$4&gt;TOTAL_BEDS_AVAILABLE,($D117+S$5)&gt;TOTAL_LABOR_HOURS_CAP,MAX(0,($D117+S$5)-PERMANENT_FIELD_LABOR_HOURS)&gt;TEMP_HOURS_CAP),"",$C117+S$6-MIN(($D117+S$5),PERMANENT_FIELD_LABOR_HOURS)*PERMANENT_HOURLY_RATE-MAX(0,($D117+S$5)-PERMANENT_FIELD_LABOR_HOURS)*TEMP_HOURLY_RATE-FIXED_SEASON_COST)</f>
        <v>10561.4420890155</v>
      </c>
      <c r="T117" s="53" t="n">
        <f aca="false">IF(OR($A117&gt;TOMATO_BED_CAP,$B117&gt;CARROT_BED_CAP,T$4&gt;MESCLUN_BED_CAP,$A117+$B117+T$4&gt;TOTAL_BEDS_AVAILABLE,($D117+T$5)&gt;TOTAL_LABOR_HOURS_CAP,MAX(0,($D117+T$5)-PERMANENT_FIELD_LABOR_HOURS)&gt;TEMP_HOURS_CAP),"",$C117+T$6-MIN(($D117+T$5),PERMANENT_FIELD_LABOR_HOURS)*PERMANENT_HOURLY_RATE-MAX(0,($D117+T$5)-PERMANENT_FIELD_LABOR_HOURS)*TEMP_HOURLY_RATE-FIXED_SEASON_COST)</f>
        <v>11302.6555574103</v>
      </c>
      <c r="U117" s="53" t="n">
        <f aca="false">IF(OR($A117&gt;TOMATO_BED_CAP,$B117&gt;CARROT_BED_CAP,U$4&gt;MESCLUN_BED_CAP,$A117+$B117+U$4&gt;TOTAL_BEDS_AVAILABLE,($D117+U$5)&gt;TOTAL_LABOR_HOURS_CAP,MAX(0,($D117+U$5)-PERMANENT_FIELD_LABOR_HOURS)&gt;TEMP_HOURS_CAP),"",$C117+U$6-MIN(($D117+U$5),PERMANENT_FIELD_LABOR_HOURS)*PERMANENT_HOURLY_RATE-MAX(0,($D117+U$5)-PERMANENT_FIELD_LABOR_HOURS)*TEMP_HOURLY_RATE-FIXED_SEASON_COST)</f>
        <v>12018.7642860404</v>
      </c>
      <c r="V117" s="53" t="n">
        <f aca="false">IF(OR($A117&gt;TOMATO_BED_CAP,$B117&gt;CARROT_BED_CAP,V$4&gt;MESCLUN_BED_CAP,$A117+$B117+V$4&gt;TOTAL_BEDS_AVAILABLE,($D117+V$5)&gt;TOTAL_LABOR_HOURS_CAP,MAX(0,($D117+V$5)-PERMANENT_FIELD_LABOR_HOURS)&gt;TEMP_HOURS_CAP),"",$C117+V$6-MIN(($D117+V$5),PERMANENT_FIELD_LABOR_HOURS)*PERMANENT_HOURLY_RATE-MAX(0,($D117+V$5)-PERMANENT_FIELD_LABOR_HOURS)*TEMP_HOURLY_RATE-FIXED_SEASON_COST)</f>
        <v>12709.3092168072</v>
      </c>
      <c r="W117" s="53" t="n">
        <f aca="false">IF(OR($A117&gt;TOMATO_BED_CAP,$B117&gt;CARROT_BED_CAP,W$4&gt;MESCLUN_BED_CAP,$A117+$B117+W$4&gt;TOTAL_BEDS_AVAILABLE,($D117+W$5)&gt;TOTAL_LABOR_HOURS_CAP,MAX(0,($D117+W$5)-PERMANENT_FIELD_LABOR_HOURS)&gt;TEMP_HOURS_CAP),"",$C117+W$6-MIN(($D117+W$5),PERMANENT_FIELD_LABOR_HOURS)*PERMANENT_HOURLY_RATE-MAX(0,($D117+W$5)-PERMANENT_FIELD_LABOR_HOURS)*TEMP_HOURLY_RATE-FIXED_SEASON_COST)</f>
        <v>13373.8237377753</v>
      </c>
      <c r="X117" s="53" t="n">
        <f aca="false">IF(OR($A117&gt;TOMATO_BED_CAP,$B117&gt;CARROT_BED_CAP,X$4&gt;MESCLUN_BED_CAP,$A117+$B117+X$4&gt;TOTAL_BEDS_AVAILABLE,($D117+X$5)&gt;TOTAL_LABOR_HOURS_CAP,MAX(0,($D117+X$5)-PERMANENT_FIELD_LABOR_HOURS)&gt;TEMP_HOURS_CAP),"",$C117+X$6-MIN(($D117+X$5),PERMANENT_FIELD_LABOR_HOURS)*PERMANENT_HOURLY_RATE-MAX(0,($D117+X$5)-PERMANENT_FIELD_LABOR_HOURS)*TEMP_HOURLY_RATE-FIXED_SEASON_COST)</f>
        <v>14011.8335660542</v>
      </c>
      <c r="Y117" s="53" t="n">
        <f aca="false">IF(OR($A117&gt;TOMATO_BED_CAP,$B117&gt;CARROT_BED_CAP,Y$4&gt;MESCLUN_BED_CAP,$A117+$B117+Y$4&gt;TOTAL_BEDS_AVAILABLE,($D117+Y$5)&gt;TOTAL_LABOR_HOURS_CAP,MAX(0,($D117+Y$5)-PERMANENT_FIELD_LABOR_HOURS)&gt;TEMP_HOURS_CAP),"",$C117+Y$6-MIN(($D117+Y$5),PERMANENT_FIELD_LABOR_HOURS)*PERMANENT_HOURLY_RATE-MAX(0,($D117+Y$5)-PERMANENT_FIELD_LABOR_HOURS)*TEMP_HOURLY_RATE-FIXED_SEASON_COST)</f>
        <v>14622.8566289329</v>
      </c>
      <c r="Z117" s="53" t="n">
        <f aca="false">IF(OR($A117&gt;TOMATO_BED_CAP,$B117&gt;CARROT_BED_CAP,Z$4&gt;MESCLUN_BED_CAP,$A117+$B117+Z$4&gt;TOTAL_BEDS_AVAILABLE,($D117+Z$5)&gt;TOTAL_LABOR_HOURS_CAP,MAX(0,($D117+Z$5)-PERMANENT_FIELD_LABOR_HOURS)&gt;TEMP_HOURS_CAP),"",$C117+Z$6-MIN(($D117+Z$5),PERMANENT_FIELD_LABOR_HOURS)*PERMANENT_HOURLY_RATE-MAX(0,($D117+Z$5)-PERMANENT_FIELD_LABOR_HOURS)*TEMP_HOURLY_RATE-FIXED_SEASON_COST)</f>
        <v>15206.4029432406</v>
      </c>
      <c r="AA117" s="53" t="n">
        <f aca="false">IF(OR($A117&gt;TOMATO_BED_CAP,$B117&gt;CARROT_BED_CAP,AA$4&gt;MESCLUN_BED_CAP,$A117+$B117+AA$4&gt;TOTAL_BEDS_AVAILABLE,($D117+AA$5)&gt;TOTAL_LABOR_HOURS_CAP,MAX(0,($D117+AA$5)-PERMANENT_FIELD_LABOR_HOURS)&gt;TEMP_HOURS_CAP),"",$C117+AA$6-MIN(($D117+AA$5),PERMANENT_FIELD_LABOR_HOURS)*PERMANENT_HOURLY_RATE-MAX(0,($D117+AA$5)-PERMANENT_FIELD_LABOR_HOURS)*TEMP_HOURLY_RATE-FIXED_SEASON_COST)</f>
        <v>15761.9744929095</v>
      </c>
      <c r="AB117" s="53" t="n">
        <f aca="false">IF(OR($A117&gt;TOMATO_BED_CAP,$B117&gt;CARROT_BED_CAP,AB$4&gt;MESCLUN_BED_CAP,$A117+$B117+AB$4&gt;TOTAL_BEDS_AVAILABLE,($D117+AB$5)&gt;TOTAL_LABOR_HOURS_CAP,MAX(0,($D117+AB$5)-PERMANENT_FIELD_LABOR_HOURS)&gt;TEMP_HOURS_CAP),"",$C117+AB$6-MIN(($D117+AB$5),PERMANENT_FIELD_LABOR_HOURS)*PERMANENT_HOURLY_RATE-MAX(0,($D117+AB$5)-PERMANENT_FIELD_LABOR_HOURS)*TEMP_HOURLY_RATE-FIXED_SEASON_COST)</f>
        <v>16289.0651047121</v>
      </c>
      <c r="AC117" s="53" t="n">
        <f aca="false">IF(OR($A117&gt;TOMATO_BED_CAP,$B117&gt;CARROT_BED_CAP,AC$4&gt;MESCLUN_BED_CAP,$A117+$B117+AC$4&gt;TOTAL_BEDS_AVAILABLE,($D117+AC$5)&gt;TOTAL_LABOR_HOURS_CAP,MAX(0,($D117+AC$5)-PERMANENT_FIELD_LABOR_HOURS)&gt;TEMP_HOURS_CAP),"",$C117+AC$6-MIN(($D117+AC$5),PERMANENT_FIELD_LABOR_HOURS)*PERMANENT_HOURLY_RATE-MAX(0,($D117+AC$5)-PERMANENT_FIELD_LABOR_HOURS)*TEMP_HOURLY_RATE-FIXED_SEASON_COST)</f>
        <v>16787.160322147</v>
      </c>
      <c r="AD117" s="53" t="n">
        <f aca="false">IF(OR($A117&gt;TOMATO_BED_CAP,$B117&gt;CARROT_BED_CAP,AD$4&gt;MESCLUN_BED_CAP,$A117+$B117+AD$4&gt;TOTAL_BEDS_AVAILABLE,($D117+AD$5)&gt;TOTAL_LABOR_HOURS_CAP,MAX(0,($D117+AD$5)-PERMANENT_FIELD_LABOR_HOURS)&gt;TEMP_HOURS_CAP),"",$C117+AD$6-MIN(($D117+AD$5),PERMANENT_FIELD_LABOR_HOURS)*PERMANENT_HOURLY_RATE-MAX(0,($D117+AD$5)-PERMANENT_FIELD_LABOR_HOURS)*TEMP_HOURLY_RATE-FIXED_SEASON_COST)</f>
        <v>17255.7372774469</v>
      </c>
      <c r="AE117" s="53" t="n">
        <f aca="false">IF(OR($A117&gt;TOMATO_BED_CAP,$B117&gt;CARROT_BED_CAP,AE$4&gt;MESCLUN_BED_CAP,$A117+$B117+AE$4&gt;TOTAL_BEDS_AVAILABLE,($D117+AE$5)&gt;TOTAL_LABOR_HOURS_CAP,MAX(0,($D117+AE$5)-PERMANENT_FIELD_LABOR_HOURS)&gt;TEMP_HOURS_CAP),"",$C117+AE$6-MIN(($D117+AE$5),PERMANENT_FIELD_LABOR_HOURS)*PERMANENT_HOURLY_RATE-MAX(0,($D117+AE$5)-PERMANENT_FIELD_LABOR_HOURS)*TEMP_HOURLY_RATE-FIXED_SEASON_COST)</f>
        <v>17694.2645616808</v>
      </c>
      <c r="AF117" s="53" t="n">
        <f aca="false">IF(OR($A117&gt;TOMATO_BED_CAP,$B117&gt;CARROT_BED_CAP,AF$4&gt;MESCLUN_BED_CAP,$A117+$B117+AF$4&gt;TOTAL_BEDS_AVAILABLE,($D117+AF$5)&gt;TOTAL_LABOR_HOURS_CAP,MAX(0,($D117+AF$5)-PERMANENT_FIELD_LABOR_HOURS)&gt;TEMP_HOURS_CAP),"",$C117+AF$6-MIN(($D117+AF$5),PERMANENT_FIELD_LABOR_HOURS)*PERMANENT_HOURLY_RATE-MAX(0,($D117+AF$5)-PERMANENT_FIELD_LABOR_HOURS)*TEMP_HOURLY_RATE-FIXED_SEASON_COST)</f>
        <v>18102.2020929228</v>
      </c>
      <c r="AG117" s="53" t="n">
        <f aca="false">IF(OR($A117&gt;TOMATO_BED_CAP,$B117&gt;CARROT_BED_CAP,AG$4&gt;MESCLUN_BED_CAP,$A117+$B117+AG$4&gt;TOTAL_BEDS_AVAILABLE,($D117+AG$5)&gt;TOTAL_LABOR_HOURS_CAP,MAX(0,($D117+AG$5)-PERMANENT_FIELD_LABOR_HOURS)&gt;TEMP_HOURS_CAP),"",$C117+AG$6-MIN(($D117+AG$5),PERMANENT_FIELD_LABOR_HOURS)*PERMANENT_HOURLY_RATE-MAX(0,($D117+AG$5)-PERMANENT_FIELD_LABOR_HOURS)*TEMP_HOURLY_RATE-FIXED_SEASON_COST)</f>
        <v>18479.0009824598</v>
      </c>
      <c r="AH117" s="53" t="n">
        <f aca="false">IF(OR($A117&gt;TOMATO_BED_CAP,$B117&gt;CARROT_BED_CAP,AH$4&gt;MESCLUN_BED_CAP,$A117+$B117+AH$4&gt;TOTAL_BEDS_AVAILABLE,($D117+AH$5)&gt;TOTAL_LABOR_HOURS_CAP,MAX(0,($D117+AH$5)-PERMANENT_FIELD_LABOR_HOURS)&gt;TEMP_HOURS_CAP),"",$C117+AH$6-MIN(($D117+AH$5),PERMANENT_FIELD_LABOR_HOURS)*PERMANENT_HOURLY_RATE-MAX(0,($D117+AH$5)-PERMANENT_FIELD_LABOR_HOURS)*TEMP_HOURLY_RATE-FIXED_SEASON_COST)</f>
        <v>18824.10339901</v>
      </c>
      <c r="AI117" s="53" t="n">
        <f aca="false">IF(OR($A117&gt;TOMATO_BED_CAP,$B117&gt;CARROT_BED_CAP,AI$4&gt;MESCLUN_BED_CAP,$A117+$B117+AI$4&gt;TOTAL_BEDS_AVAILABLE,($D117+AI$5)&gt;TOTAL_LABOR_HOURS_CAP,MAX(0,($D117+AI$5)-PERMANENT_FIELD_LABOR_HOURS)&gt;TEMP_HOURS_CAP),"",$C117+AI$6-MIN(($D117+AI$5),PERMANENT_FIELD_LABOR_HOURS)*PERMANENT_HOURLY_RATE-MAX(0,($D117+AI$5)-PERMANENT_FIELD_LABOR_HOURS)*TEMP_HOURLY_RATE-FIXED_SEASON_COST)</f>
        <v>19136.9424309223</v>
      </c>
      <c r="AJ117" s="53" t="n">
        <f aca="false">IF(OR($A117&gt;TOMATO_BED_CAP,$B117&gt;CARROT_BED_CAP,AJ$4&gt;MESCLUN_BED_CAP,$A117+$B117+AJ$4&gt;TOTAL_BEDS_AVAILABLE,($D117+AJ$5)&gt;TOTAL_LABOR_HOURS_CAP,MAX(0,($D117+AJ$5)-PERMANENT_FIELD_LABOR_HOURS)&gt;TEMP_HOURS_CAP),"",$C117+AJ$6-MIN(($D117+AJ$5),PERMANENT_FIELD_LABOR_HOURS)*PERMANENT_HOURLY_RATE-MAX(0,($D117+AJ$5)-PERMANENT_FIELD_LABOR_HOURS)*TEMP_HOURLY_RATE-FIXED_SEASON_COST)</f>
        <v>19416.941946328</v>
      </c>
    </row>
    <row r="118" customFormat="false" ht="15" hidden="false" customHeight="false" outlineLevel="0" collapsed="false">
      <c r="A118" s="21" t="n">
        <f aca="false">INT((ROW()-ROW($A$8))/(20+1))</f>
        <v>5</v>
      </c>
      <c r="B118" s="21" t="n">
        <f aca="false">MOD(ROW()-ROW($A$8),20+1)</f>
        <v>5</v>
      </c>
      <c r="C118" s="13" t="n">
        <f aca="false">A118*(TOMATO_REVENUE_PER_BED-TOMATO_FERTILIZER_PER_BED)+B118*(CARROT_REVENUE_PER_BED-CARROT_FERTILIZER_PER_BED)</f>
        <v>47870</v>
      </c>
      <c r="D118" s="14" t="n">
        <f aca="false">INDEX(TOMATO_SCHED_LABOR_HRS,A118+1)+INDEX(CARROT_SCHED_LABOR_HRS,B118+1)</f>
        <v>894.372847440821</v>
      </c>
      <c r="E118" s="13" t="n">
        <f aca="false">IF(COUNT(F118:AJ118)=0,"",MAX(F118:AJ118))</f>
        <v>20424.4766632999</v>
      </c>
      <c r="F118" s="53" t="n">
        <f aca="false">IF(OR($A118&gt;TOMATO_BED_CAP,$B118&gt;CARROT_BED_CAP,F$4&gt;MESCLUN_BED_CAP,$A118+$B118+F$4&gt;TOTAL_BEDS_AVAILABLE,($D118+F$5)&gt;TOTAL_LABOR_HOURS_CAP,MAX(0,($D118+F$5)-PERMANENT_FIELD_LABOR_HOURS)&gt;TEMP_HOURS_CAP),"",$C118+F$6-MIN(($D118+F$5),PERMANENT_FIELD_LABOR_HOURS)*PERMANENT_HOURLY_RATE-MAX(0,($D118+F$5)-PERMANENT_FIELD_LABOR_HOURS)*TEMP_HOURLY_RATE-FIXED_SEASON_COST)</f>
        <v>-155.512631572641</v>
      </c>
      <c r="G118" s="53" t="n">
        <f aca="false">IF(OR($A118&gt;TOMATO_BED_CAP,$B118&gt;CARROT_BED_CAP,G$4&gt;MESCLUN_BED_CAP,$A118+$B118+G$4&gt;TOTAL_BEDS_AVAILABLE,($D118+G$5)&gt;TOTAL_LABOR_HOURS_CAP,MAX(0,($D118+G$5)-PERMANENT_FIELD_LABOR_HOURS)&gt;TEMP_HOURS_CAP),"",$C118+G$6-MIN(($D118+G$5),PERMANENT_FIELD_LABOR_HOURS)*PERMANENT_HOURLY_RATE-MAX(0,($D118+G$5)-PERMANENT_FIELD_LABOR_HOURS)*TEMP_HOURLY_RATE-FIXED_SEASON_COST)</f>
        <v>873.522368427359</v>
      </c>
      <c r="H118" s="53" t="n">
        <f aca="false">IF(OR($A118&gt;TOMATO_BED_CAP,$B118&gt;CARROT_BED_CAP,H$4&gt;MESCLUN_BED_CAP,$A118+$B118+H$4&gt;TOTAL_BEDS_AVAILABLE,($D118+H$5)&gt;TOTAL_LABOR_HOURS_CAP,MAX(0,($D118+H$5)-PERMANENT_FIELD_LABOR_HOURS)&gt;TEMP_HOURS_CAP),"",$C118+H$6-MIN(($D118+H$5),PERMANENT_FIELD_LABOR_HOURS)*PERMANENT_HOURLY_RATE-MAX(0,($D118+H$5)-PERMANENT_FIELD_LABOR_HOURS)*TEMP_HOURLY_RATE-FIXED_SEASON_COST)</f>
        <v>1882.78324342736</v>
      </c>
      <c r="I118" s="53" t="n">
        <f aca="false">IF(OR($A118&gt;TOMATO_BED_CAP,$B118&gt;CARROT_BED_CAP,I$4&gt;MESCLUN_BED_CAP,$A118+$B118+I$4&gt;TOTAL_BEDS_AVAILABLE,($D118+I$5)&gt;TOTAL_LABOR_HOURS_CAP,MAX(0,($D118+I$5)-PERMANENT_FIELD_LABOR_HOURS)&gt;TEMP_HOURS_CAP),"",$C118+I$6-MIN(($D118+I$5),PERMANENT_FIELD_LABOR_HOURS)*PERMANENT_HOURLY_RATE-MAX(0,($D118+I$5)-PERMANENT_FIELD_LABOR_HOURS)*TEMP_HOURLY_RATE-FIXED_SEASON_COST)</f>
        <v>2871.89922858361</v>
      </c>
      <c r="J118" s="53" t="n">
        <f aca="false">IF(OR($A118&gt;TOMATO_BED_CAP,$B118&gt;CARROT_BED_CAP,J$4&gt;MESCLUN_BED_CAP,$A118+$B118+J$4&gt;TOTAL_BEDS_AVAILABLE,($D118+J$5)&gt;TOTAL_LABOR_HOURS_CAP,MAX(0,($D118+J$5)-PERMANENT_FIELD_LABOR_HOURS)&gt;TEMP_HOURS_CAP),"",$C118+J$6-MIN(($D118+J$5),PERMANENT_FIELD_LABOR_HOURS)*PERMANENT_HOURLY_RATE-MAX(0,($D118+J$5)-PERMANENT_FIELD_LABOR_HOURS)*TEMP_HOURLY_RATE-FIXED_SEASON_COST)</f>
        <v>3840.4933796383</v>
      </c>
      <c r="K118" s="53" t="n">
        <f aca="false">IF(OR($A118&gt;TOMATO_BED_CAP,$B118&gt;CARROT_BED_CAP,K$4&gt;MESCLUN_BED_CAP,$A118+$B118+K$4&gt;TOTAL_BEDS_AVAILABLE,($D118+K$5)&gt;TOTAL_LABOR_HOURS_CAP,MAX(0,($D118+K$5)-PERMANENT_FIELD_LABOR_HOURS)&gt;TEMP_HOURS_CAP),"",$C118+K$6-MIN(($D118+K$5),PERMANENT_FIELD_LABOR_HOURS)*PERMANENT_HOURLY_RATE-MAX(0,($D118+K$5)-PERMANENT_FIELD_LABOR_HOURS)*TEMP_HOURLY_RATE-FIXED_SEASON_COST)</f>
        <v>4788.1824763662</v>
      </c>
      <c r="L118" s="53" t="n">
        <f aca="false">IF(OR($A118&gt;TOMATO_BED_CAP,$B118&gt;CARROT_BED_CAP,L$4&gt;MESCLUN_BED_CAP,$A118+$B118+L$4&gt;TOTAL_BEDS_AVAILABLE,($D118+L$5)&gt;TOTAL_LABOR_HOURS_CAP,MAX(0,($D118+L$5)-PERMANENT_FIELD_LABOR_HOURS)&gt;TEMP_HOURS_CAP),"",$C118+L$6-MIN(($D118+L$5),PERMANENT_FIELD_LABOR_HOURS)*PERMANENT_HOURLY_RATE-MAX(0,($D118+L$5)-PERMANENT_FIELD_LABOR_HOURS)*TEMP_HOURLY_RATE-FIXED_SEASON_COST)</f>
        <v>5714.57692457306</v>
      </c>
      <c r="M118" s="53" t="n">
        <f aca="false">IF(OR($A118&gt;TOMATO_BED_CAP,$B118&gt;CARROT_BED_CAP,M$4&gt;MESCLUN_BED_CAP,$A118+$B118+M$4&gt;TOTAL_BEDS_AVAILABLE,($D118+M$5)&gt;TOTAL_LABOR_HOURS_CAP,MAX(0,($D118+M$5)-PERMANENT_FIELD_LABOR_HOURS)&gt;TEMP_HOURS_CAP),"",$C118+M$6-MIN(($D118+M$5),PERMANENT_FIELD_LABOR_HOURS)*PERMANENT_HOURLY_RATE-MAX(0,($D118+M$5)-PERMANENT_FIELD_LABOR_HOURS)*TEMP_HOURLY_RATE-FIXED_SEASON_COST)</f>
        <v>6619.28065662447</v>
      </c>
      <c r="N118" s="53" t="n">
        <f aca="false">IF(OR($A118&gt;TOMATO_BED_CAP,$B118&gt;CARROT_BED_CAP,N$4&gt;MESCLUN_BED_CAP,$A118+$B118+N$4&gt;TOTAL_BEDS_AVAILABLE,($D118+N$5)&gt;TOTAL_LABOR_HOURS_CAP,MAX(0,($D118+N$5)-PERMANENT_FIELD_LABOR_HOURS)&gt;TEMP_HOURS_CAP),"",$C118+N$6-MIN(($D118+N$5),PERMANENT_FIELD_LABOR_HOURS)*PERMANENT_HOURLY_RATE-MAX(0,($D118+N$5)-PERMANENT_FIELD_LABOR_HOURS)*TEMP_HOURLY_RATE-FIXED_SEASON_COST)</f>
        <v>7501.89103048401</v>
      </c>
      <c r="O118" s="53" t="n">
        <f aca="false">IF(OR($A118&gt;TOMATO_BED_CAP,$B118&gt;CARROT_BED_CAP,O$4&gt;MESCLUN_BED_CAP,$A118+$B118+O$4&gt;TOTAL_BEDS_AVAILABLE,($D118+O$5)&gt;TOTAL_LABOR_HOURS_CAP,MAX(0,($D118+O$5)-PERMANENT_FIELD_LABOR_HOURS)&gt;TEMP_HOURS_CAP),"",$C118+O$6-MIN(($D118+O$5),PERMANENT_FIELD_LABOR_HOURS)*PERMANENT_HOURLY_RATE-MAX(0,($D118+O$5)-PERMANENT_FIELD_LABOR_HOURS)*TEMP_HOURLY_RATE-FIXED_SEASON_COST)</f>
        <v>8361.99872723877</v>
      </c>
      <c r="P118" s="53" t="n">
        <f aca="false">IF(OR($A118&gt;TOMATO_BED_CAP,$B118&gt;CARROT_BED_CAP,P$4&gt;MESCLUN_BED_CAP,$A118+$B118+P$4&gt;TOTAL_BEDS_AVAILABLE,($D118+P$5)&gt;TOTAL_LABOR_HOURS_CAP,MAX(0,($D118+P$5)-PERMANENT_FIELD_LABOR_HOURS)&gt;TEMP_HOURS_CAP),"",$C118+P$6-MIN(($D118+P$5),PERMANENT_FIELD_LABOR_HOURS)*PERMANENT_HOURLY_RATE-MAX(0,($D118+P$5)-PERMANENT_FIELD_LABOR_HOURS)*TEMP_HOURLY_RATE-FIXED_SEASON_COST)</f>
        <v>9199.18764709019</v>
      </c>
      <c r="Q118" s="53" t="n">
        <f aca="false">IF(OR($A118&gt;TOMATO_BED_CAP,$B118&gt;CARROT_BED_CAP,Q$4&gt;MESCLUN_BED_CAP,$A118+$B118+Q$4&gt;TOTAL_BEDS_AVAILABLE,($D118+Q$5)&gt;TOTAL_LABOR_HOURS_CAP,MAX(0,($D118+Q$5)-PERMANENT_FIELD_LABOR_HOURS)&gt;TEMP_HOURS_CAP),"",$C118+Q$6-MIN(($D118+Q$5),PERMANENT_FIELD_LABOR_HOURS)*PERMANENT_HOURLY_RATE-MAX(0,($D118+Q$5)-PERMANENT_FIELD_LABOR_HOURS)*TEMP_HOURLY_RATE-FIXED_SEASON_COST)</f>
        <v>10013.0348037881</v>
      </c>
      <c r="R118" s="53" t="n">
        <f aca="false">IF(OR($A118&gt;TOMATO_BED_CAP,$B118&gt;CARROT_BED_CAP,R$4&gt;MESCLUN_BED_CAP,$A118+$B118+R$4&gt;TOTAL_BEDS_AVAILABLE,($D118+R$5)&gt;TOTAL_LABOR_HOURS_CAP,MAX(0,($D118+R$5)-PERMANENT_FIELD_LABOR_HOURS)&gt;TEMP_HOURS_CAP),"",$C118+R$6-MIN(($D118+R$5),PERMANENT_FIELD_LABOR_HOURS)*PERMANENT_HOURLY_RATE-MAX(0,($D118+R$5)-PERMANENT_FIELD_LABOR_HOURS)*TEMP_HOURLY_RATE-FIXED_SEASON_COST)</f>
        <v>10803.1102174849</v>
      </c>
      <c r="S118" s="53" t="n">
        <f aca="false">IF(OR($A118&gt;TOMATO_BED_CAP,$B118&gt;CARROT_BED_CAP,S$4&gt;MESCLUN_BED_CAP,$A118+$B118+S$4&gt;TOTAL_BEDS_AVAILABLE,($D118+S$5)&gt;TOTAL_LABOR_HOURS_CAP,MAX(0,($D118+S$5)-PERMANENT_FIELD_LABOR_HOURS)&gt;TEMP_HOURS_CAP),"",$C118+S$6-MIN(($D118+S$5),PERMANENT_FIELD_LABOR_HOURS)*PERMANENT_HOURLY_RATE-MAX(0,($D118+S$5)-PERMANENT_FIELD_LABOR_HOURS)*TEMP_HOURLY_RATE-FIXED_SEASON_COST)</f>
        <v>11568.9768059873</v>
      </c>
      <c r="T118" s="53" t="n">
        <f aca="false">IF(OR($A118&gt;TOMATO_BED_CAP,$B118&gt;CARROT_BED_CAP,T$4&gt;MESCLUN_BED_CAP,$A118+$B118+T$4&gt;TOTAL_BEDS_AVAILABLE,($D118+T$5)&gt;TOTAL_LABOR_HOURS_CAP,MAX(0,($D118+T$5)-PERMANENT_FIELD_LABOR_HOURS)&gt;TEMP_HOURS_CAP),"",$C118+T$6-MIN(($D118+T$5),PERMANENT_FIELD_LABOR_HOURS)*PERMANENT_HOURLY_RATE-MAX(0,($D118+T$5)-PERMANENT_FIELD_LABOR_HOURS)*TEMP_HOURLY_RATE-FIXED_SEASON_COST)</f>
        <v>12310.1902743822</v>
      </c>
      <c r="U118" s="53" t="n">
        <f aca="false">IF(OR($A118&gt;TOMATO_BED_CAP,$B118&gt;CARROT_BED_CAP,U$4&gt;MESCLUN_BED_CAP,$A118+$B118+U$4&gt;TOTAL_BEDS_AVAILABLE,($D118+U$5)&gt;TOTAL_LABOR_HOURS_CAP,MAX(0,($D118+U$5)-PERMANENT_FIELD_LABOR_HOURS)&gt;TEMP_HOURS_CAP),"",$C118+U$6-MIN(($D118+U$5),PERMANENT_FIELD_LABOR_HOURS)*PERMANENT_HOURLY_RATE-MAX(0,($D118+U$5)-PERMANENT_FIELD_LABOR_HOURS)*TEMP_HOURLY_RATE-FIXED_SEASON_COST)</f>
        <v>13026.2990030123</v>
      </c>
      <c r="V118" s="53" t="n">
        <f aca="false">IF(OR($A118&gt;TOMATO_BED_CAP,$B118&gt;CARROT_BED_CAP,V$4&gt;MESCLUN_BED_CAP,$A118+$B118+V$4&gt;TOTAL_BEDS_AVAILABLE,($D118+V$5)&gt;TOTAL_LABOR_HOURS_CAP,MAX(0,($D118+V$5)-PERMANENT_FIELD_LABOR_HOURS)&gt;TEMP_HOURS_CAP),"",$C118+V$6-MIN(($D118+V$5),PERMANENT_FIELD_LABOR_HOURS)*PERMANENT_HOURLY_RATE-MAX(0,($D118+V$5)-PERMANENT_FIELD_LABOR_HOURS)*TEMP_HOURLY_RATE-FIXED_SEASON_COST)</f>
        <v>13716.8439337791</v>
      </c>
      <c r="W118" s="53" t="n">
        <f aca="false">IF(OR($A118&gt;TOMATO_BED_CAP,$B118&gt;CARROT_BED_CAP,W$4&gt;MESCLUN_BED_CAP,$A118+$B118+W$4&gt;TOTAL_BEDS_AVAILABLE,($D118+W$5)&gt;TOTAL_LABOR_HOURS_CAP,MAX(0,($D118+W$5)-PERMANENT_FIELD_LABOR_HOURS)&gt;TEMP_HOURS_CAP),"",$C118+W$6-MIN(($D118+W$5),PERMANENT_FIELD_LABOR_HOURS)*PERMANENT_HOURLY_RATE-MAX(0,($D118+W$5)-PERMANENT_FIELD_LABOR_HOURS)*TEMP_HOURLY_RATE-FIXED_SEASON_COST)</f>
        <v>14381.3584547471</v>
      </c>
      <c r="X118" s="53" t="n">
        <f aca="false">IF(OR($A118&gt;TOMATO_BED_CAP,$B118&gt;CARROT_BED_CAP,X$4&gt;MESCLUN_BED_CAP,$A118+$B118+X$4&gt;TOTAL_BEDS_AVAILABLE,($D118+X$5)&gt;TOTAL_LABOR_HOURS_CAP,MAX(0,($D118+X$5)-PERMANENT_FIELD_LABOR_HOURS)&gt;TEMP_HOURS_CAP),"",$C118+X$6-MIN(($D118+X$5),PERMANENT_FIELD_LABOR_HOURS)*PERMANENT_HOURLY_RATE-MAX(0,($D118+X$5)-PERMANENT_FIELD_LABOR_HOURS)*TEMP_HOURLY_RATE-FIXED_SEASON_COST)</f>
        <v>15019.3682830261</v>
      </c>
      <c r="Y118" s="53" t="n">
        <f aca="false">IF(OR($A118&gt;TOMATO_BED_CAP,$B118&gt;CARROT_BED_CAP,Y$4&gt;MESCLUN_BED_CAP,$A118+$B118+Y$4&gt;TOTAL_BEDS_AVAILABLE,($D118+Y$5)&gt;TOTAL_LABOR_HOURS_CAP,MAX(0,($D118+Y$5)-PERMANENT_FIELD_LABOR_HOURS)&gt;TEMP_HOURS_CAP),"",$C118+Y$6-MIN(($D118+Y$5),PERMANENT_FIELD_LABOR_HOURS)*PERMANENT_HOURLY_RATE-MAX(0,($D118+Y$5)-PERMANENT_FIELD_LABOR_HOURS)*TEMP_HOURLY_RATE-FIXED_SEASON_COST)</f>
        <v>15630.3913459047</v>
      </c>
      <c r="Z118" s="53" t="n">
        <f aca="false">IF(OR($A118&gt;TOMATO_BED_CAP,$B118&gt;CARROT_BED_CAP,Z$4&gt;MESCLUN_BED_CAP,$A118+$B118+Z$4&gt;TOTAL_BEDS_AVAILABLE,($D118+Z$5)&gt;TOTAL_LABOR_HOURS_CAP,MAX(0,($D118+Z$5)-PERMANENT_FIELD_LABOR_HOURS)&gt;TEMP_HOURS_CAP),"",$C118+Z$6-MIN(($D118+Z$5),PERMANENT_FIELD_LABOR_HOURS)*PERMANENT_HOURLY_RATE-MAX(0,($D118+Z$5)-PERMANENT_FIELD_LABOR_HOURS)*TEMP_HOURLY_RATE-FIXED_SEASON_COST)</f>
        <v>16213.9376602124</v>
      </c>
      <c r="AA118" s="53" t="n">
        <f aca="false">IF(OR($A118&gt;TOMATO_BED_CAP,$B118&gt;CARROT_BED_CAP,AA$4&gt;MESCLUN_BED_CAP,$A118+$B118+AA$4&gt;TOTAL_BEDS_AVAILABLE,($D118+AA$5)&gt;TOTAL_LABOR_HOURS_CAP,MAX(0,($D118+AA$5)-PERMANENT_FIELD_LABOR_HOURS)&gt;TEMP_HOURS_CAP),"",$C118+AA$6-MIN(($D118+AA$5),PERMANENT_FIELD_LABOR_HOURS)*PERMANENT_HOURLY_RATE-MAX(0,($D118+AA$5)-PERMANENT_FIELD_LABOR_HOURS)*TEMP_HOURLY_RATE-FIXED_SEASON_COST)</f>
        <v>16769.5092098814</v>
      </c>
      <c r="AB118" s="53" t="n">
        <f aca="false">IF(OR($A118&gt;TOMATO_BED_CAP,$B118&gt;CARROT_BED_CAP,AB$4&gt;MESCLUN_BED_CAP,$A118+$B118+AB$4&gt;TOTAL_BEDS_AVAILABLE,($D118+AB$5)&gt;TOTAL_LABOR_HOURS_CAP,MAX(0,($D118+AB$5)-PERMANENT_FIELD_LABOR_HOURS)&gt;TEMP_HOURS_CAP),"",$C118+AB$6-MIN(($D118+AB$5),PERMANENT_FIELD_LABOR_HOURS)*PERMANENT_HOURLY_RATE-MAX(0,($D118+AB$5)-PERMANENT_FIELD_LABOR_HOURS)*TEMP_HOURLY_RATE-FIXED_SEASON_COST)</f>
        <v>17296.5998216839</v>
      </c>
      <c r="AC118" s="53" t="n">
        <f aca="false">IF(OR($A118&gt;TOMATO_BED_CAP,$B118&gt;CARROT_BED_CAP,AC$4&gt;MESCLUN_BED_CAP,$A118+$B118+AC$4&gt;TOTAL_BEDS_AVAILABLE,($D118+AC$5)&gt;TOTAL_LABOR_HOURS_CAP,MAX(0,($D118+AC$5)-PERMANENT_FIELD_LABOR_HOURS)&gt;TEMP_HOURS_CAP),"",$C118+AC$6-MIN(($D118+AC$5),PERMANENT_FIELD_LABOR_HOURS)*PERMANENT_HOURLY_RATE-MAX(0,($D118+AC$5)-PERMANENT_FIELD_LABOR_HOURS)*TEMP_HOURLY_RATE-FIXED_SEASON_COST)</f>
        <v>17794.6950391188</v>
      </c>
      <c r="AD118" s="53" t="n">
        <f aca="false">IF(OR($A118&gt;TOMATO_BED_CAP,$B118&gt;CARROT_BED_CAP,AD$4&gt;MESCLUN_BED_CAP,$A118+$B118+AD$4&gt;TOTAL_BEDS_AVAILABLE,($D118+AD$5)&gt;TOTAL_LABOR_HOURS_CAP,MAX(0,($D118+AD$5)-PERMANENT_FIELD_LABOR_HOURS)&gt;TEMP_HOURS_CAP),"",$C118+AD$6-MIN(($D118+AD$5),PERMANENT_FIELD_LABOR_HOURS)*PERMANENT_HOURLY_RATE-MAX(0,($D118+AD$5)-PERMANENT_FIELD_LABOR_HOURS)*TEMP_HOURLY_RATE-FIXED_SEASON_COST)</f>
        <v>18263.2719944188</v>
      </c>
      <c r="AE118" s="53" t="n">
        <f aca="false">IF(OR($A118&gt;TOMATO_BED_CAP,$B118&gt;CARROT_BED_CAP,AE$4&gt;MESCLUN_BED_CAP,$A118+$B118+AE$4&gt;TOTAL_BEDS_AVAILABLE,($D118+AE$5)&gt;TOTAL_LABOR_HOURS_CAP,MAX(0,($D118+AE$5)-PERMANENT_FIELD_LABOR_HOURS)&gt;TEMP_HOURS_CAP),"",$C118+AE$6-MIN(($D118+AE$5),PERMANENT_FIELD_LABOR_HOURS)*PERMANENT_HOURLY_RATE-MAX(0,($D118+AE$5)-PERMANENT_FIELD_LABOR_HOURS)*TEMP_HOURLY_RATE-FIXED_SEASON_COST)</f>
        <v>18701.7992786527</v>
      </c>
      <c r="AF118" s="53" t="n">
        <f aca="false">IF(OR($A118&gt;TOMATO_BED_CAP,$B118&gt;CARROT_BED_CAP,AF$4&gt;MESCLUN_BED_CAP,$A118+$B118+AF$4&gt;TOTAL_BEDS_AVAILABLE,($D118+AF$5)&gt;TOTAL_LABOR_HOURS_CAP,MAX(0,($D118+AF$5)-PERMANENT_FIELD_LABOR_HOURS)&gt;TEMP_HOURS_CAP),"",$C118+AF$6-MIN(($D118+AF$5),PERMANENT_FIELD_LABOR_HOURS)*PERMANENT_HOURLY_RATE-MAX(0,($D118+AF$5)-PERMANENT_FIELD_LABOR_HOURS)*TEMP_HOURLY_RATE-FIXED_SEASON_COST)</f>
        <v>19109.7368098946</v>
      </c>
      <c r="AG118" s="53" t="n">
        <f aca="false">IF(OR($A118&gt;TOMATO_BED_CAP,$B118&gt;CARROT_BED_CAP,AG$4&gt;MESCLUN_BED_CAP,$A118+$B118+AG$4&gt;TOTAL_BEDS_AVAILABLE,($D118+AG$5)&gt;TOTAL_LABOR_HOURS_CAP,MAX(0,($D118+AG$5)-PERMANENT_FIELD_LABOR_HOURS)&gt;TEMP_HOURS_CAP),"",$C118+AG$6-MIN(($D118+AG$5),PERMANENT_FIELD_LABOR_HOURS)*PERMANENT_HOURLY_RATE-MAX(0,($D118+AG$5)-PERMANENT_FIELD_LABOR_HOURS)*TEMP_HOURLY_RATE-FIXED_SEASON_COST)</f>
        <v>19486.5356994317</v>
      </c>
      <c r="AH118" s="53" t="n">
        <f aca="false">IF(OR($A118&gt;TOMATO_BED_CAP,$B118&gt;CARROT_BED_CAP,AH$4&gt;MESCLUN_BED_CAP,$A118+$B118+AH$4&gt;TOTAL_BEDS_AVAILABLE,($D118+AH$5)&gt;TOTAL_LABOR_HOURS_CAP,MAX(0,($D118+AH$5)-PERMANENT_FIELD_LABOR_HOURS)&gt;TEMP_HOURS_CAP),"",$C118+AH$6-MIN(($D118+AH$5),PERMANENT_FIELD_LABOR_HOURS)*PERMANENT_HOURLY_RATE-MAX(0,($D118+AH$5)-PERMANENT_FIELD_LABOR_HOURS)*TEMP_HOURLY_RATE-FIXED_SEASON_COST)</f>
        <v>19831.6381159819</v>
      </c>
      <c r="AI118" s="53" t="n">
        <f aca="false">IF(OR($A118&gt;TOMATO_BED_CAP,$B118&gt;CARROT_BED_CAP,AI$4&gt;MESCLUN_BED_CAP,$A118+$B118+AI$4&gt;TOTAL_BEDS_AVAILABLE,($D118+AI$5)&gt;TOTAL_LABOR_HOURS_CAP,MAX(0,($D118+AI$5)-PERMANENT_FIELD_LABOR_HOURS)&gt;TEMP_HOURS_CAP),"",$C118+AI$6-MIN(($D118+AI$5),PERMANENT_FIELD_LABOR_HOURS)*PERMANENT_HOURLY_RATE-MAX(0,($D118+AI$5)-PERMANENT_FIELD_LABOR_HOURS)*TEMP_HOURLY_RATE-FIXED_SEASON_COST)</f>
        <v>20144.4771478941</v>
      </c>
      <c r="AJ118" s="53" t="n">
        <f aca="false">IF(OR($A118&gt;TOMATO_BED_CAP,$B118&gt;CARROT_BED_CAP,AJ$4&gt;MESCLUN_BED_CAP,$A118+$B118+AJ$4&gt;TOTAL_BEDS_AVAILABLE,($D118+AJ$5)&gt;TOTAL_LABOR_HOURS_CAP,MAX(0,($D118+AJ$5)-PERMANENT_FIELD_LABOR_HOURS)&gt;TEMP_HOURS_CAP),"",$C118+AJ$6-MIN(($D118+AJ$5),PERMANENT_FIELD_LABOR_HOURS)*PERMANENT_HOURLY_RATE-MAX(0,($D118+AJ$5)-PERMANENT_FIELD_LABOR_HOURS)*TEMP_HOURLY_RATE-FIXED_SEASON_COST)</f>
        <v>20424.4766632999</v>
      </c>
    </row>
    <row r="119" customFormat="false" ht="15" hidden="false" customHeight="false" outlineLevel="0" collapsed="false">
      <c r="A119" s="21" t="n">
        <f aca="false">INT((ROW()-ROW($A$8))/(20+1))</f>
        <v>5</v>
      </c>
      <c r="B119" s="21" t="n">
        <f aca="false">MOD(ROW()-ROW($A$8),20+1)</f>
        <v>6</v>
      </c>
      <c r="C119" s="13" t="n">
        <f aca="false">A119*(TOMATO_REVENUE_PER_BED-TOMATO_FERTILIZER_PER_BED)+B119*(CARROT_REVENUE_PER_BED-CARROT_FERTILIZER_PER_BED)</f>
        <v>49524</v>
      </c>
      <c r="D119" s="14" t="n">
        <f aca="false">INDEX(TOMATO_SCHED_LABOR_HRS,A119+1)+INDEX(CARROT_SCHED_LABOR_HRS,B119+1)</f>
        <v>933.390817352209</v>
      </c>
      <c r="E119" s="13" t="n">
        <f aca="false">IF(COUNT(F119:AJ119)=0,"",MAX(F119:AJ119))</f>
        <v>21401.1247056382</v>
      </c>
      <c r="F119" s="53" t="n">
        <f aca="false">IF(OR($A119&gt;TOMATO_BED_CAP,$B119&gt;CARROT_BED_CAP,F$4&gt;MESCLUN_BED_CAP,$A119+$B119+F$4&gt;TOTAL_BEDS_AVAILABLE,($D119+F$5)&gt;TOTAL_LABOR_HOURS_CAP,MAX(0,($D119+F$5)-PERMANENT_FIELD_LABOR_HOURS)&gt;TEMP_HOURS_CAP),"",$C119+F$6-MIN(($D119+F$5),PERMANENT_FIELD_LABOR_HOURS)*PERMANENT_HOURLY_RATE-MAX(0,($D119+F$5)-PERMANENT_FIELD_LABOR_HOURS)*TEMP_HOURLY_RATE-FIXED_SEASON_COST)</f>
        <v>821.135410765652</v>
      </c>
      <c r="G119" s="53" t="n">
        <f aca="false">IF(OR($A119&gt;TOMATO_BED_CAP,$B119&gt;CARROT_BED_CAP,G$4&gt;MESCLUN_BED_CAP,$A119+$B119+G$4&gt;TOTAL_BEDS_AVAILABLE,($D119+G$5)&gt;TOTAL_LABOR_HOURS_CAP,MAX(0,($D119+G$5)-PERMANENT_FIELD_LABOR_HOURS)&gt;TEMP_HOURS_CAP),"",$C119+G$6-MIN(($D119+G$5),PERMANENT_FIELD_LABOR_HOURS)*PERMANENT_HOURLY_RATE-MAX(0,($D119+G$5)-PERMANENT_FIELD_LABOR_HOURS)*TEMP_HOURLY_RATE-FIXED_SEASON_COST)</f>
        <v>1850.17041076566</v>
      </c>
      <c r="H119" s="53" t="n">
        <f aca="false">IF(OR($A119&gt;TOMATO_BED_CAP,$B119&gt;CARROT_BED_CAP,H$4&gt;MESCLUN_BED_CAP,$A119+$B119+H$4&gt;TOTAL_BEDS_AVAILABLE,($D119+H$5)&gt;TOTAL_LABOR_HOURS_CAP,MAX(0,($D119+H$5)-PERMANENT_FIELD_LABOR_HOURS)&gt;TEMP_HOURS_CAP),"",$C119+H$6-MIN(($D119+H$5),PERMANENT_FIELD_LABOR_HOURS)*PERMANENT_HOURLY_RATE-MAX(0,($D119+H$5)-PERMANENT_FIELD_LABOR_HOURS)*TEMP_HOURLY_RATE-FIXED_SEASON_COST)</f>
        <v>2859.43128576566</v>
      </c>
      <c r="I119" s="53" t="n">
        <f aca="false">IF(OR($A119&gt;TOMATO_BED_CAP,$B119&gt;CARROT_BED_CAP,I$4&gt;MESCLUN_BED_CAP,$A119+$B119+I$4&gt;TOTAL_BEDS_AVAILABLE,($D119+I$5)&gt;TOTAL_LABOR_HOURS_CAP,MAX(0,($D119+I$5)-PERMANENT_FIELD_LABOR_HOURS)&gt;TEMP_HOURS_CAP),"",$C119+I$6-MIN(($D119+I$5),PERMANENT_FIELD_LABOR_HOURS)*PERMANENT_HOURLY_RATE-MAX(0,($D119+I$5)-PERMANENT_FIELD_LABOR_HOURS)*TEMP_HOURLY_RATE-FIXED_SEASON_COST)</f>
        <v>3848.5472709219</v>
      </c>
      <c r="J119" s="53" t="n">
        <f aca="false">IF(OR($A119&gt;TOMATO_BED_CAP,$B119&gt;CARROT_BED_CAP,J$4&gt;MESCLUN_BED_CAP,$A119+$B119+J$4&gt;TOTAL_BEDS_AVAILABLE,($D119+J$5)&gt;TOTAL_LABOR_HOURS_CAP,MAX(0,($D119+J$5)-PERMANENT_FIELD_LABOR_HOURS)&gt;TEMP_HOURS_CAP),"",$C119+J$6-MIN(($D119+J$5),PERMANENT_FIELD_LABOR_HOURS)*PERMANENT_HOURLY_RATE-MAX(0,($D119+J$5)-PERMANENT_FIELD_LABOR_HOURS)*TEMP_HOURLY_RATE-FIXED_SEASON_COST)</f>
        <v>4817.14142197659</v>
      </c>
      <c r="K119" s="53" t="n">
        <f aca="false">IF(OR($A119&gt;TOMATO_BED_CAP,$B119&gt;CARROT_BED_CAP,K$4&gt;MESCLUN_BED_CAP,$A119+$B119+K$4&gt;TOTAL_BEDS_AVAILABLE,($D119+K$5)&gt;TOTAL_LABOR_HOURS_CAP,MAX(0,($D119+K$5)-PERMANENT_FIELD_LABOR_HOURS)&gt;TEMP_HOURS_CAP),"",$C119+K$6-MIN(($D119+K$5),PERMANENT_FIELD_LABOR_HOURS)*PERMANENT_HOURLY_RATE-MAX(0,($D119+K$5)-PERMANENT_FIELD_LABOR_HOURS)*TEMP_HOURLY_RATE-FIXED_SEASON_COST)</f>
        <v>5764.8305187045</v>
      </c>
      <c r="L119" s="53" t="n">
        <f aca="false">IF(OR($A119&gt;TOMATO_BED_CAP,$B119&gt;CARROT_BED_CAP,L$4&gt;MESCLUN_BED_CAP,$A119+$B119+L$4&gt;TOTAL_BEDS_AVAILABLE,($D119+L$5)&gt;TOTAL_LABOR_HOURS_CAP,MAX(0,($D119+L$5)-PERMANENT_FIELD_LABOR_HOURS)&gt;TEMP_HOURS_CAP),"",$C119+L$6-MIN(($D119+L$5),PERMANENT_FIELD_LABOR_HOURS)*PERMANENT_HOURLY_RATE-MAX(0,($D119+L$5)-PERMANENT_FIELD_LABOR_HOURS)*TEMP_HOURLY_RATE-FIXED_SEASON_COST)</f>
        <v>6691.22496691135</v>
      </c>
      <c r="M119" s="53" t="n">
        <f aca="false">IF(OR($A119&gt;TOMATO_BED_CAP,$B119&gt;CARROT_BED_CAP,M$4&gt;MESCLUN_BED_CAP,$A119+$B119+M$4&gt;TOTAL_BEDS_AVAILABLE,($D119+M$5)&gt;TOTAL_LABOR_HOURS_CAP,MAX(0,($D119+M$5)-PERMANENT_FIELD_LABOR_HOURS)&gt;TEMP_HOURS_CAP),"",$C119+M$6-MIN(($D119+M$5),PERMANENT_FIELD_LABOR_HOURS)*PERMANENT_HOURLY_RATE-MAX(0,($D119+M$5)-PERMANENT_FIELD_LABOR_HOURS)*TEMP_HOURLY_RATE-FIXED_SEASON_COST)</f>
        <v>7595.92869896276</v>
      </c>
      <c r="N119" s="53" t="n">
        <f aca="false">IF(OR($A119&gt;TOMATO_BED_CAP,$B119&gt;CARROT_BED_CAP,N$4&gt;MESCLUN_BED_CAP,$A119+$B119+N$4&gt;TOTAL_BEDS_AVAILABLE,($D119+N$5)&gt;TOTAL_LABOR_HOURS_CAP,MAX(0,($D119+N$5)-PERMANENT_FIELD_LABOR_HOURS)&gt;TEMP_HOURS_CAP),"",$C119+N$6-MIN(($D119+N$5),PERMANENT_FIELD_LABOR_HOURS)*PERMANENT_HOURLY_RATE-MAX(0,($D119+N$5)-PERMANENT_FIELD_LABOR_HOURS)*TEMP_HOURLY_RATE-FIXED_SEASON_COST)</f>
        <v>8478.5390728223</v>
      </c>
      <c r="O119" s="53" t="n">
        <f aca="false">IF(OR($A119&gt;TOMATO_BED_CAP,$B119&gt;CARROT_BED_CAP,O$4&gt;MESCLUN_BED_CAP,$A119+$B119+O$4&gt;TOTAL_BEDS_AVAILABLE,($D119+O$5)&gt;TOTAL_LABOR_HOURS_CAP,MAX(0,($D119+O$5)-PERMANENT_FIELD_LABOR_HOURS)&gt;TEMP_HOURS_CAP),"",$C119+O$6-MIN(($D119+O$5),PERMANENT_FIELD_LABOR_HOURS)*PERMANENT_HOURLY_RATE-MAX(0,($D119+O$5)-PERMANENT_FIELD_LABOR_HOURS)*TEMP_HOURLY_RATE-FIXED_SEASON_COST)</f>
        <v>9338.64676957706</v>
      </c>
      <c r="P119" s="53" t="n">
        <f aca="false">IF(OR($A119&gt;TOMATO_BED_CAP,$B119&gt;CARROT_BED_CAP,P$4&gt;MESCLUN_BED_CAP,$A119+$B119+P$4&gt;TOTAL_BEDS_AVAILABLE,($D119+P$5)&gt;TOTAL_LABOR_HOURS_CAP,MAX(0,($D119+P$5)-PERMANENT_FIELD_LABOR_HOURS)&gt;TEMP_HOURS_CAP),"",$C119+P$6-MIN(($D119+P$5),PERMANENT_FIELD_LABOR_HOURS)*PERMANENT_HOURLY_RATE-MAX(0,($D119+P$5)-PERMANENT_FIELD_LABOR_HOURS)*TEMP_HOURLY_RATE-FIXED_SEASON_COST)</f>
        <v>10175.8356894285</v>
      </c>
      <c r="Q119" s="53" t="n">
        <f aca="false">IF(OR($A119&gt;TOMATO_BED_CAP,$B119&gt;CARROT_BED_CAP,Q$4&gt;MESCLUN_BED_CAP,$A119+$B119+Q$4&gt;TOTAL_BEDS_AVAILABLE,($D119+Q$5)&gt;TOTAL_LABOR_HOURS_CAP,MAX(0,($D119+Q$5)-PERMANENT_FIELD_LABOR_HOURS)&gt;TEMP_HOURS_CAP),"",$C119+Q$6-MIN(($D119+Q$5),PERMANENT_FIELD_LABOR_HOURS)*PERMANENT_HOURLY_RATE-MAX(0,($D119+Q$5)-PERMANENT_FIELD_LABOR_HOURS)*TEMP_HOURLY_RATE-FIXED_SEASON_COST)</f>
        <v>10989.6828461264</v>
      </c>
      <c r="R119" s="53" t="n">
        <f aca="false">IF(OR($A119&gt;TOMATO_BED_CAP,$B119&gt;CARROT_BED_CAP,R$4&gt;MESCLUN_BED_CAP,$A119+$B119+R$4&gt;TOTAL_BEDS_AVAILABLE,($D119+R$5)&gt;TOTAL_LABOR_HOURS_CAP,MAX(0,($D119+R$5)-PERMANENT_FIELD_LABOR_HOURS)&gt;TEMP_HOURS_CAP),"",$C119+R$6-MIN(($D119+R$5),PERMANENT_FIELD_LABOR_HOURS)*PERMANENT_HOURLY_RATE-MAX(0,($D119+R$5)-PERMANENT_FIELD_LABOR_HOURS)*TEMP_HOURLY_RATE-FIXED_SEASON_COST)</f>
        <v>11779.7582598232</v>
      </c>
      <c r="S119" s="53" t="n">
        <f aca="false">IF(OR($A119&gt;TOMATO_BED_CAP,$B119&gt;CARROT_BED_CAP,S$4&gt;MESCLUN_BED_CAP,$A119+$B119+S$4&gt;TOTAL_BEDS_AVAILABLE,($D119+S$5)&gt;TOTAL_LABOR_HOURS_CAP,MAX(0,($D119+S$5)-PERMANENT_FIELD_LABOR_HOURS)&gt;TEMP_HOURS_CAP),"",$C119+S$6-MIN(($D119+S$5),PERMANENT_FIELD_LABOR_HOURS)*PERMANENT_HOURLY_RATE-MAX(0,($D119+S$5)-PERMANENT_FIELD_LABOR_HOURS)*TEMP_HOURLY_RATE-FIXED_SEASON_COST)</f>
        <v>12545.6248483256</v>
      </c>
      <c r="T119" s="53" t="n">
        <f aca="false">IF(OR($A119&gt;TOMATO_BED_CAP,$B119&gt;CARROT_BED_CAP,T$4&gt;MESCLUN_BED_CAP,$A119+$B119+T$4&gt;TOTAL_BEDS_AVAILABLE,($D119+T$5)&gt;TOTAL_LABOR_HOURS_CAP,MAX(0,($D119+T$5)-PERMANENT_FIELD_LABOR_HOURS)&gt;TEMP_HOURS_CAP),"",$C119+T$6-MIN(($D119+T$5),PERMANENT_FIELD_LABOR_HOURS)*PERMANENT_HOURLY_RATE-MAX(0,($D119+T$5)-PERMANENT_FIELD_LABOR_HOURS)*TEMP_HOURLY_RATE-FIXED_SEASON_COST)</f>
        <v>13286.8383167205</v>
      </c>
      <c r="U119" s="53" t="n">
        <f aca="false">IF(OR($A119&gt;TOMATO_BED_CAP,$B119&gt;CARROT_BED_CAP,U$4&gt;MESCLUN_BED_CAP,$A119+$B119+U$4&gt;TOTAL_BEDS_AVAILABLE,($D119+U$5)&gt;TOTAL_LABOR_HOURS_CAP,MAX(0,($D119+U$5)-PERMANENT_FIELD_LABOR_HOURS)&gt;TEMP_HOURS_CAP),"",$C119+U$6-MIN(($D119+U$5),PERMANENT_FIELD_LABOR_HOURS)*PERMANENT_HOURLY_RATE-MAX(0,($D119+U$5)-PERMANENT_FIELD_LABOR_HOURS)*TEMP_HOURLY_RATE-FIXED_SEASON_COST)</f>
        <v>14002.9470453506</v>
      </c>
      <c r="V119" s="53" t="n">
        <f aca="false">IF(OR($A119&gt;TOMATO_BED_CAP,$B119&gt;CARROT_BED_CAP,V$4&gt;MESCLUN_BED_CAP,$A119+$B119+V$4&gt;TOTAL_BEDS_AVAILABLE,($D119+V$5)&gt;TOTAL_LABOR_HOURS_CAP,MAX(0,($D119+V$5)-PERMANENT_FIELD_LABOR_HOURS)&gt;TEMP_HOURS_CAP),"",$C119+V$6-MIN(($D119+V$5),PERMANENT_FIELD_LABOR_HOURS)*PERMANENT_HOURLY_RATE-MAX(0,($D119+V$5)-PERMANENT_FIELD_LABOR_HOURS)*TEMP_HOURLY_RATE-FIXED_SEASON_COST)</f>
        <v>14693.4919761174</v>
      </c>
      <c r="W119" s="53" t="n">
        <f aca="false">IF(OR($A119&gt;TOMATO_BED_CAP,$B119&gt;CARROT_BED_CAP,W$4&gt;MESCLUN_BED_CAP,$A119+$B119+W$4&gt;TOTAL_BEDS_AVAILABLE,($D119+W$5)&gt;TOTAL_LABOR_HOURS_CAP,MAX(0,($D119+W$5)-PERMANENT_FIELD_LABOR_HOURS)&gt;TEMP_HOURS_CAP),"",$C119+W$6-MIN(($D119+W$5),PERMANENT_FIELD_LABOR_HOURS)*PERMANENT_HOURLY_RATE-MAX(0,($D119+W$5)-PERMANENT_FIELD_LABOR_HOURS)*TEMP_HOURLY_RATE-FIXED_SEASON_COST)</f>
        <v>15358.0064970854</v>
      </c>
      <c r="X119" s="53" t="n">
        <f aca="false">IF(OR($A119&gt;TOMATO_BED_CAP,$B119&gt;CARROT_BED_CAP,X$4&gt;MESCLUN_BED_CAP,$A119+$B119+X$4&gt;TOTAL_BEDS_AVAILABLE,($D119+X$5)&gt;TOTAL_LABOR_HOURS_CAP,MAX(0,($D119+X$5)-PERMANENT_FIELD_LABOR_HOURS)&gt;TEMP_HOURS_CAP),"",$C119+X$6-MIN(($D119+X$5),PERMANENT_FIELD_LABOR_HOURS)*PERMANENT_HOURLY_RATE-MAX(0,($D119+X$5)-PERMANENT_FIELD_LABOR_HOURS)*TEMP_HOURLY_RATE-FIXED_SEASON_COST)</f>
        <v>15996.0163253644</v>
      </c>
      <c r="Y119" s="53" t="n">
        <f aca="false">IF(OR($A119&gt;TOMATO_BED_CAP,$B119&gt;CARROT_BED_CAP,Y$4&gt;MESCLUN_BED_CAP,$A119+$B119+Y$4&gt;TOTAL_BEDS_AVAILABLE,($D119+Y$5)&gt;TOTAL_LABOR_HOURS_CAP,MAX(0,($D119+Y$5)-PERMANENT_FIELD_LABOR_HOURS)&gt;TEMP_HOURS_CAP),"",$C119+Y$6-MIN(($D119+Y$5),PERMANENT_FIELD_LABOR_HOURS)*PERMANENT_HOURLY_RATE-MAX(0,($D119+Y$5)-PERMANENT_FIELD_LABOR_HOURS)*TEMP_HOURLY_RATE-FIXED_SEASON_COST)</f>
        <v>16607.039388243</v>
      </c>
      <c r="Z119" s="53" t="n">
        <f aca="false">IF(OR($A119&gt;TOMATO_BED_CAP,$B119&gt;CARROT_BED_CAP,Z$4&gt;MESCLUN_BED_CAP,$A119+$B119+Z$4&gt;TOTAL_BEDS_AVAILABLE,($D119+Z$5)&gt;TOTAL_LABOR_HOURS_CAP,MAX(0,($D119+Z$5)-PERMANENT_FIELD_LABOR_HOURS)&gt;TEMP_HOURS_CAP),"",$C119+Z$6-MIN(($D119+Z$5),PERMANENT_FIELD_LABOR_HOURS)*PERMANENT_HOURLY_RATE-MAX(0,($D119+Z$5)-PERMANENT_FIELD_LABOR_HOURS)*TEMP_HOURLY_RATE-FIXED_SEASON_COST)</f>
        <v>17190.5857025507</v>
      </c>
      <c r="AA119" s="53" t="n">
        <f aca="false">IF(OR($A119&gt;TOMATO_BED_CAP,$B119&gt;CARROT_BED_CAP,AA$4&gt;MESCLUN_BED_CAP,$A119+$B119+AA$4&gt;TOTAL_BEDS_AVAILABLE,($D119+AA$5)&gt;TOTAL_LABOR_HOURS_CAP,MAX(0,($D119+AA$5)-PERMANENT_FIELD_LABOR_HOURS)&gt;TEMP_HOURS_CAP),"",$C119+AA$6-MIN(($D119+AA$5),PERMANENT_FIELD_LABOR_HOURS)*PERMANENT_HOURLY_RATE-MAX(0,($D119+AA$5)-PERMANENT_FIELD_LABOR_HOURS)*TEMP_HOURLY_RATE-FIXED_SEASON_COST)</f>
        <v>17746.1572522197</v>
      </c>
      <c r="AB119" s="53" t="n">
        <f aca="false">IF(OR($A119&gt;TOMATO_BED_CAP,$B119&gt;CARROT_BED_CAP,AB$4&gt;MESCLUN_BED_CAP,$A119+$B119+AB$4&gt;TOTAL_BEDS_AVAILABLE,($D119+AB$5)&gt;TOTAL_LABOR_HOURS_CAP,MAX(0,($D119+AB$5)-PERMANENT_FIELD_LABOR_HOURS)&gt;TEMP_HOURS_CAP),"",$C119+AB$6-MIN(($D119+AB$5),PERMANENT_FIELD_LABOR_HOURS)*PERMANENT_HOURLY_RATE-MAX(0,($D119+AB$5)-PERMANENT_FIELD_LABOR_HOURS)*TEMP_HOURLY_RATE-FIXED_SEASON_COST)</f>
        <v>18273.2478640222</v>
      </c>
      <c r="AC119" s="53" t="n">
        <f aca="false">IF(OR($A119&gt;TOMATO_BED_CAP,$B119&gt;CARROT_BED_CAP,AC$4&gt;MESCLUN_BED_CAP,$A119+$B119+AC$4&gt;TOTAL_BEDS_AVAILABLE,($D119+AC$5)&gt;TOTAL_LABOR_HOURS_CAP,MAX(0,($D119+AC$5)-PERMANENT_FIELD_LABOR_HOURS)&gt;TEMP_HOURS_CAP),"",$C119+AC$6-MIN(($D119+AC$5),PERMANENT_FIELD_LABOR_HOURS)*PERMANENT_HOURLY_RATE-MAX(0,($D119+AC$5)-PERMANENT_FIELD_LABOR_HOURS)*TEMP_HOURLY_RATE-FIXED_SEASON_COST)</f>
        <v>18771.3430814571</v>
      </c>
      <c r="AD119" s="53" t="n">
        <f aca="false">IF(OR($A119&gt;TOMATO_BED_CAP,$B119&gt;CARROT_BED_CAP,AD$4&gt;MESCLUN_BED_CAP,$A119+$B119+AD$4&gt;TOTAL_BEDS_AVAILABLE,($D119+AD$5)&gt;TOTAL_LABOR_HOURS_CAP,MAX(0,($D119+AD$5)-PERMANENT_FIELD_LABOR_HOURS)&gt;TEMP_HOURS_CAP),"",$C119+AD$6-MIN(($D119+AD$5),PERMANENT_FIELD_LABOR_HOURS)*PERMANENT_HOURLY_RATE-MAX(0,($D119+AD$5)-PERMANENT_FIELD_LABOR_HOURS)*TEMP_HOURLY_RATE-FIXED_SEASON_COST)</f>
        <v>19239.9200367571</v>
      </c>
      <c r="AE119" s="53" t="n">
        <f aca="false">IF(OR($A119&gt;TOMATO_BED_CAP,$B119&gt;CARROT_BED_CAP,AE$4&gt;MESCLUN_BED_CAP,$A119+$B119+AE$4&gt;TOTAL_BEDS_AVAILABLE,($D119+AE$5)&gt;TOTAL_LABOR_HOURS_CAP,MAX(0,($D119+AE$5)-PERMANENT_FIELD_LABOR_HOURS)&gt;TEMP_HOURS_CAP),"",$C119+AE$6-MIN(($D119+AE$5),PERMANENT_FIELD_LABOR_HOURS)*PERMANENT_HOURLY_RATE-MAX(0,($D119+AE$5)-PERMANENT_FIELD_LABOR_HOURS)*TEMP_HOURLY_RATE-FIXED_SEASON_COST)</f>
        <v>19678.447320991</v>
      </c>
      <c r="AF119" s="53" t="n">
        <f aca="false">IF(OR($A119&gt;TOMATO_BED_CAP,$B119&gt;CARROT_BED_CAP,AF$4&gt;MESCLUN_BED_CAP,$A119+$B119+AF$4&gt;TOTAL_BEDS_AVAILABLE,($D119+AF$5)&gt;TOTAL_LABOR_HOURS_CAP,MAX(0,($D119+AF$5)-PERMANENT_FIELD_LABOR_HOURS)&gt;TEMP_HOURS_CAP),"",$C119+AF$6-MIN(($D119+AF$5),PERMANENT_FIELD_LABOR_HOURS)*PERMANENT_HOURLY_RATE-MAX(0,($D119+AF$5)-PERMANENT_FIELD_LABOR_HOURS)*TEMP_HOURLY_RATE-FIXED_SEASON_COST)</f>
        <v>20086.3848522329</v>
      </c>
      <c r="AG119" s="53" t="n">
        <f aca="false">IF(OR($A119&gt;TOMATO_BED_CAP,$B119&gt;CARROT_BED_CAP,AG$4&gt;MESCLUN_BED_CAP,$A119+$B119+AG$4&gt;TOTAL_BEDS_AVAILABLE,($D119+AG$5)&gt;TOTAL_LABOR_HOURS_CAP,MAX(0,($D119+AG$5)-PERMANENT_FIELD_LABOR_HOURS)&gt;TEMP_HOURS_CAP),"",$C119+AG$6-MIN(($D119+AG$5),PERMANENT_FIELD_LABOR_HOURS)*PERMANENT_HOURLY_RATE-MAX(0,($D119+AG$5)-PERMANENT_FIELD_LABOR_HOURS)*TEMP_HOURLY_RATE-FIXED_SEASON_COST)</f>
        <v>20463.18374177</v>
      </c>
      <c r="AH119" s="53" t="n">
        <f aca="false">IF(OR($A119&gt;TOMATO_BED_CAP,$B119&gt;CARROT_BED_CAP,AH$4&gt;MESCLUN_BED_CAP,$A119+$B119+AH$4&gt;TOTAL_BEDS_AVAILABLE,($D119+AH$5)&gt;TOTAL_LABOR_HOURS_CAP,MAX(0,($D119+AH$5)-PERMANENT_FIELD_LABOR_HOURS)&gt;TEMP_HOURS_CAP),"",$C119+AH$6-MIN(($D119+AH$5),PERMANENT_FIELD_LABOR_HOURS)*PERMANENT_HOURLY_RATE-MAX(0,($D119+AH$5)-PERMANENT_FIELD_LABOR_HOURS)*TEMP_HOURLY_RATE-FIXED_SEASON_COST)</f>
        <v>20808.2861583202</v>
      </c>
      <c r="AI119" s="53" t="n">
        <f aca="false">IF(OR($A119&gt;TOMATO_BED_CAP,$B119&gt;CARROT_BED_CAP,AI$4&gt;MESCLUN_BED_CAP,$A119+$B119+AI$4&gt;TOTAL_BEDS_AVAILABLE,($D119+AI$5)&gt;TOTAL_LABOR_HOURS_CAP,MAX(0,($D119+AI$5)-PERMANENT_FIELD_LABOR_HOURS)&gt;TEMP_HOURS_CAP),"",$C119+AI$6-MIN(($D119+AI$5),PERMANENT_FIELD_LABOR_HOURS)*PERMANENT_HOURLY_RATE-MAX(0,($D119+AI$5)-PERMANENT_FIELD_LABOR_HOURS)*TEMP_HOURLY_RATE-FIXED_SEASON_COST)</f>
        <v>21121.1251902324</v>
      </c>
      <c r="AJ119" s="53" t="n">
        <f aca="false">IF(OR($A119&gt;TOMATO_BED_CAP,$B119&gt;CARROT_BED_CAP,AJ$4&gt;MESCLUN_BED_CAP,$A119+$B119+AJ$4&gt;TOTAL_BEDS_AVAILABLE,($D119+AJ$5)&gt;TOTAL_LABOR_HOURS_CAP,MAX(0,($D119+AJ$5)-PERMANENT_FIELD_LABOR_HOURS)&gt;TEMP_HOURS_CAP),"",$C119+AJ$6-MIN(($D119+AJ$5),PERMANENT_FIELD_LABOR_HOURS)*PERMANENT_HOURLY_RATE-MAX(0,($D119+AJ$5)-PERMANENT_FIELD_LABOR_HOURS)*TEMP_HOURLY_RATE-FIXED_SEASON_COST)</f>
        <v>21401.1247056382</v>
      </c>
    </row>
    <row r="120" customFormat="false" ht="15" hidden="false" customHeight="false" outlineLevel="0" collapsed="false">
      <c r="A120" s="21" t="n">
        <f aca="false">INT((ROW()-ROW($A$8))/(20+1))</f>
        <v>5</v>
      </c>
      <c r="B120" s="21" t="n">
        <f aca="false">MOD(ROW()-ROW($A$8),20+1)</f>
        <v>7</v>
      </c>
      <c r="C120" s="13" t="n">
        <f aca="false">A120*(TOMATO_REVENUE_PER_BED-TOMATO_FERTILIZER_PER_BED)+B120*(CARROT_REVENUE_PER_BED-CARROT_FERTILIZER_PER_BED)</f>
        <v>51178</v>
      </c>
      <c r="D120" s="14" t="n">
        <f aca="false">INDEX(TOMATO_SCHED_LABOR_HRS,A120+1)+INDEX(CARROT_SCHED_LABOR_HRS,B120+1)</f>
        <v>974.253658667017</v>
      </c>
      <c r="E120" s="13" t="n">
        <f aca="false">IF(COUNT(F120:AJ120)=0,"",MAX(F120:AJ120))</f>
        <v>22345.7457804131</v>
      </c>
      <c r="F120" s="53" t="n">
        <f aca="false">IF(OR($A120&gt;TOMATO_BED_CAP,$B120&gt;CARROT_BED_CAP,F$4&gt;MESCLUN_BED_CAP,$A120+$B120+F$4&gt;TOTAL_BEDS_AVAILABLE,($D120+F$5)&gt;TOTAL_LABOR_HOURS_CAP,MAX(0,($D120+F$5)-PERMANENT_FIELD_LABOR_HOURS)&gt;TEMP_HOURS_CAP),"",$C120+F$6-MIN(($D120+F$5),PERMANENT_FIELD_LABOR_HOURS)*PERMANENT_HOURLY_RATE-MAX(0,($D120+F$5)-PERMANENT_FIELD_LABOR_HOURS)*TEMP_HOURLY_RATE-FIXED_SEASON_COST)</f>
        <v>1765.75648554059</v>
      </c>
      <c r="G120" s="53" t="n">
        <f aca="false">IF(OR($A120&gt;TOMATO_BED_CAP,$B120&gt;CARROT_BED_CAP,G$4&gt;MESCLUN_BED_CAP,$A120+$B120+G$4&gt;TOTAL_BEDS_AVAILABLE,($D120+G$5)&gt;TOTAL_LABOR_HOURS_CAP,MAX(0,($D120+G$5)-PERMANENT_FIELD_LABOR_HOURS)&gt;TEMP_HOURS_CAP),"",$C120+G$6-MIN(($D120+G$5),PERMANENT_FIELD_LABOR_HOURS)*PERMANENT_HOURLY_RATE-MAX(0,($D120+G$5)-PERMANENT_FIELD_LABOR_HOURS)*TEMP_HOURLY_RATE-FIXED_SEASON_COST)</f>
        <v>2794.79148554059</v>
      </c>
      <c r="H120" s="53" t="n">
        <f aca="false">IF(OR($A120&gt;TOMATO_BED_CAP,$B120&gt;CARROT_BED_CAP,H$4&gt;MESCLUN_BED_CAP,$A120+$B120+H$4&gt;TOTAL_BEDS_AVAILABLE,($D120+H$5)&gt;TOTAL_LABOR_HOURS_CAP,MAX(0,($D120+H$5)-PERMANENT_FIELD_LABOR_HOURS)&gt;TEMP_HOURS_CAP),"",$C120+H$6-MIN(($D120+H$5),PERMANENT_FIELD_LABOR_HOURS)*PERMANENT_HOURLY_RATE-MAX(0,($D120+H$5)-PERMANENT_FIELD_LABOR_HOURS)*TEMP_HOURLY_RATE-FIXED_SEASON_COST)</f>
        <v>3804.05236054059</v>
      </c>
      <c r="I120" s="53" t="n">
        <f aca="false">IF(OR($A120&gt;TOMATO_BED_CAP,$B120&gt;CARROT_BED_CAP,I$4&gt;MESCLUN_BED_CAP,$A120+$B120+I$4&gt;TOTAL_BEDS_AVAILABLE,($D120+I$5)&gt;TOTAL_LABOR_HOURS_CAP,MAX(0,($D120+I$5)-PERMANENT_FIELD_LABOR_HOURS)&gt;TEMP_HOURS_CAP),"",$C120+I$6-MIN(($D120+I$5),PERMANENT_FIELD_LABOR_HOURS)*PERMANENT_HOURLY_RATE-MAX(0,($D120+I$5)-PERMANENT_FIELD_LABOR_HOURS)*TEMP_HOURLY_RATE-FIXED_SEASON_COST)</f>
        <v>4793.16834569684</v>
      </c>
      <c r="J120" s="53" t="n">
        <f aca="false">IF(OR($A120&gt;TOMATO_BED_CAP,$B120&gt;CARROT_BED_CAP,J$4&gt;MESCLUN_BED_CAP,$A120+$B120+J$4&gt;TOTAL_BEDS_AVAILABLE,($D120+J$5)&gt;TOTAL_LABOR_HOURS_CAP,MAX(0,($D120+J$5)-PERMANENT_FIELD_LABOR_HOURS)&gt;TEMP_HOURS_CAP),"",$C120+J$6-MIN(($D120+J$5),PERMANENT_FIELD_LABOR_HOURS)*PERMANENT_HOURLY_RATE-MAX(0,($D120+J$5)-PERMANENT_FIELD_LABOR_HOURS)*TEMP_HOURLY_RATE-FIXED_SEASON_COST)</f>
        <v>5761.76249675153</v>
      </c>
      <c r="K120" s="53" t="n">
        <f aca="false">IF(OR($A120&gt;TOMATO_BED_CAP,$B120&gt;CARROT_BED_CAP,K$4&gt;MESCLUN_BED_CAP,$A120+$B120+K$4&gt;TOTAL_BEDS_AVAILABLE,($D120+K$5)&gt;TOTAL_LABOR_HOURS_CAP,MAX(0,($D120+K$5)-PERMANENT_FIELD_LABOR_HOURS)&gt;TEMP_HOURS_CAP),"",$C120+K$6-MIN(($D120+K$5),PERMANENT_FIELD_LABOR_HOURS)*PERMANENT_HOURLY_RATE-MAX(0,($D120+K$5)-PERMANENT_FIELD_LABOR_HOURS)*TEMP_HOURLY_RATE-FIXED_SEASON_COST)</f>
        <v>6709.45159347944</v>
      </c>
      <c r="L120" s="53" t="n">
        <f aca="false">IF(OR($A120&gt;TOMATO_BED_CAP,$B120&gt;CARROT_BED_CAP,L$4&gt;MESCLUN_BED_CAP,$A120+$B120+L$4&gt;TOTAL_BEDS_AVAILABLE,($D120+L$5)&gt;TOTAL_LABOR_HOURS_CAP,MAX(0,($D120+L$5)-PERMANENT_FIELD_LABOR_HOURS)&gt;TEMP_HOURS_CAP),"",$C120+L$6-MIN(($D120+L$5),PERMANENT_FIELD_LABOR_HOURS)*PERMANENT_HOURLY_RATE-MAX(0,($D120+L$5)-PERMANENT_FIELD_LABOR_HOURS)*TEMP_HOURLY_RATE-FIXED_SEASON_COST)</f>
        <v>7635.84604168629</v>
      </c>
      <c r="M120" s="53" t="n">
        <f aca="false">IF(OR($A120&gt;TOMATO_BED_CAP,$B120&gt;CARROT_BED_CAP,M$4&gt;MESCLUN_BED_CAP,$A120+$B120+M$4&gt;TOTAL_BEDS_AVAILABLE,($D120+M$5)&gt;TOTAL_LABOR_HOURS_CAP,MAX(0,($D120+M$5)-PERMANENT_FIELD_LABOR_HOURS)&gt;TEMP_HOURS_CAP),"",$C120+M$6-MIN(($D120+M$5),PERMANENT_FIELD_LABOR_HOURS)*PERMANENT_HOURLY_RATE-MAX(0,($D120+M$5)-PERMANENT_FIELD_LABOR_HOURS)*TEMP_HOURLY_RATE-FIXED_SEASON_COST)</f>
        <v>8540.5497737377</v>
      </c>
      <c r="N120" s="53" t="n">
        <f aca="false">IF(OR($A120&gt;TOMATO_BED_CAP,$B120&gt;CARROT_BED_CAP,N$4&gt;MESCLUN_BED_CAP,$A120+$B120+N$4&gt;TOTAL_BEDS_AVAILABLE,($D120+N$5)&gt;TOTAL_LABOR_HOURS_CAP,MAX(0,($D120+N$5)-PERMANENT_FIELD_LABOR_HOURS)&gt;TEMP_HOURS_CAP),"",$C120+N$6-MIN(($D120+N$5),PERMANENT_FIELD_LABOR_HOURS)*PERMANENT_HOURLY_RATE-MAX(0,($D120+N$5)-PERMANENT_FIELD_LABOR_HOURS)*TEMP_HOURLY_RATE-FIXED_SEASON_COST)</f>
        <v>9423.16014759724</v>
      </c>
      <c r="O120" s="53" t="n">
        <f aca="false">IF(OR($A120&gt;TOMATO_BED_CAP,$B120&gt;CARROT_BED_CAP,O$4&gt;MESCLUN_BED_CAP,$A120+$B120+O$4&gt;TOTAL_BEDS_AVAILABLE,($D120+O$5)&gt;TOTAL_LABOR_HOURS_CAP,MAX(0,($D120+O$5)-PERMANENT_FIELD_LABOR_HOURS)&gt;TEMP_HOURS_CAP),"",$C120+O$6-MIN(($D120+O$5),PERMANENT_FIELD_LABOR_HOURS)*PERMANENT_HOURLY_RATE-MAX(0,($D120+O$5)-PERMANENT_FIELD_LABOR_HOURS)*TEMP_HOURLY_RATE-FIXED_SEASON_COST)</f>
        <v>10283.267844352</v>
      </c>
      <c r="P120" s="53" t="n">
        <f aca="false">IF(OR($A120&gt;TOMATO_BED_CAP,$B120&gt;CARROT_BED_CAP,P$4&gt;MESCLUN_BED_CAP,$A120+$B120+P$4&gt;TOTAL_BEDS_AVAILABLE,($D120+P$5)&gt;TOTAL_LABOR_HOURS_CAP,MAX(0,($D120+P$5)-PERMANENT_FIELD_LABOR_HOURS)&gt;TEMP_HOURS_CAP),"",$C120+P$6-MIN(($D120+P$5),PERMANENT_FIELD_LABOR_HOURS)*PERMANENT_HOURLY_RATE-MAX(0,($D120+P$5)-PERMANENT_FIELD_LABOR_HOURS)*TEMP_HOURLY_RATE-FIXED_SEASON_COST)</f>
        <v>11120.4567642034</v>
      </c>
      <c r="Q120" s="53" t="n">
        <f aca="false">IF(OR($A120&gt;TOMATO_BED_CAP,$B120&gt;CARROT_BED_CAP,Q$4&gt;MESCLUN_BED_CAP,$A120+$B120+Q$4&gt;TOTAL_BEDS_AVAILABLE,($D120+Q$5)&gt;TOTAL_LABOR_HOURS_CAP,MAX(0,($D120+Q$5)-PERMANENT_FIELD_LABOR_HOURS)&gt;TEMP_HOURS_CAP),"",$C120+Q$6-MIN(($D120+Q$5),PERMANENT_FIELD_LABOR_HOURS)*PERMANENT_HOURLY_RATE-MAX(0,($D120+Q$5)-PERMANENT_FIELD_LABOR_HOURS)*TEMP_HOURLY_RATE-FIXED_SEASON_COST)</f>
        <v>11934.3039209013</v>
      </c>
      <c r="R120" s="53" t="n">
        <f aca="false">IF(OR($A120&gt;TOMATO_BED_CAP,$B120&gt;CARROT_BED_CAP,R$4&gt;MESCLUN_BED_CAP,$A120+$B120+R$4&gt;TOTAL_BEDS_AVAILABLE,($D120+R$5)&gt;TOTAL_LABOR_HOURS_CAP,MAX(0,($D120+R$5)-PERMANENT_FIELD_LABOR_HOURS)&gt;TEMP_HOURS_CAP),"",$C120+R$6-MIN(($D120+R$5),PERMANENT_FIELD_LABOR_HOURS)*PERMANENT_HOURLY_RATE-MAX(0,($D120+R$5)-PERMANENT_FIELD_LABOR_HOURS)*TEMP_HOURLY_RATE-FIXED_SEASON_COST)</f>
        <v>12724.3793345981</v>
      </c>
      <c r="S120" s="53" t="n">
        <f aca="false">IF(OR($A120&gt;TOMATO_BED_CAP,$B120&gt;CARROT_BED_CAP,S$4&gt;MESCLUN_BED_CAP,$A120+$B120+S$4&gt;TOTAL_BEDS_AVAILABLE,($D120+S$5)&gt;TOTAL_LABOR_HOURS_CAP,MAX(0,($D120+S$5)-PERMANENT_FIELD_LABOR_HOURS)&gt;TEMP_HOURS_CAP),"",$C120+S$6-MIN(($D120+S$5),PERMANENT_FIELD_LABOR_HOURS)*PERMANENT_HOURLY_RATE-MAX(0,($D120+S$5)-PERMANENT_FIELD_LABOR_HOURS)*TEMP_HOURLY_RATE-FIXED_SEASON_COST)</f>
        <v>13490.2459231006</v>
      </c>
      <c r="T120" s="53" t="n">
        <f aca="false">IF(OR($A120&gt;TOMATO_BED_CAP,$B120&gt;CARROT_BED_CAP,T$4&gt;MESCLUN_BED_CAP,$A120+$B120+T$4&gt;TOTAL_BEDS_AVAILABLE,($D120+T$5)&gt;TOTAL_LABOR_HOURS_CAP,MAX(0,($D120+T$5)-PERMANENT_FIELD_LABOR_HOURS)&gt;TEMP_HOURS_CAP),"",$C120+T$6-MIN(($D120+T$5),PERMANENT_FIELD_LABOR_HOURS)*PERMANENT_HOURLY_RATE-MAX(0,($D120+T$5)-PERMANENT_FIELD_LABOR_HOURS)*TEMP_HOURLY_RATE-FIXED_SEASON_COST)</f>
        <v>14231.4593914954</v>
      </c>
      <c r="U120" s="53" t="n">
        <f aca="false">IF(OR($A120&gt;TOMATO_BED_CAP,$B120&gt;CARROT_BED_CAP,U$4&gt;MESCLUN_BED_CAP,$A120+$B120+U$4&gt;TOTAL_BEDS_AVAILABLE,($D120+U$5)&gt;TOTAL_LABOR_HOURS_CAP,MAX(0,($D120+U$5)-PERMANENT_FIELD_LABOR_HOURS)&gt;TEMP_HOURS_CAP),"",$C120+U$6-MIN(($D120+U$5),PERMANENT_FIELD_LABOR_HOURS)*PERMANENT_HOURLY_RATE-MAX(0,($D120+U$5)-PERMANENT_FIELD_LABOR_HOURS)*TEMP_HOURLY_RATE-FIXED_SEASON_COST)</f>
        <v>14947.5681201255</v>
      </c>
      <c r="V120" s="53" t="n">
        <f aca="false">IF(OR($A120&gt;TOMATO_BED_CAP,$B120&gt;CARROT_BED_CAP,V$4&gt;MESCLUN_BED_CAP,$A120+$B120+V$4&gt;TOTAL_BEDS_AVAILABLE,($D120+V$5)&gt;TOTAL_LABOR_HOURS_CAP,MAX(0,($D120+V$5)-PERMANENT_FIELD_LABOR_HOURS)&gt;TEMP_HOURS_CAP),"",$C120+V$6-MIN(($D120+V$5),PERMANENT_FIELD_LABOR_HOURS)*PERMANENT_HOURLY_RATE-MAX(0,($D120+V$5)-PERMANENT_FIELD_LABOR_HOURS)*TEMP_HOURLY_RATE-FIXED_SEASON_COST)</f>
        <v>15638.1130508923</v>
      </c>
      <c r="W120" s="53" t="n">
        <f aca="false">IF(OR($A120&gt;TOMATO_BED_CAP,$B120&gt;CARROT_BED_CAP,W$4&gt;MESCLUN_BED_CAP,$A120+$B120+W$4&gt;TOTAL_BEDS_AVAILABLE,($D120+W$5)&gt;TOTAL_LABOR_HOURS_CAP,MAX(0,($D120+W$5)-PERMANENT_FIELD_LABOR_HOURS)&gt;TEMP_HOURS_CAP),"",$C120+W$6-MIN(($D120+W$5),PERMANENT_FIELD_LABOR_HOURS)*PERMANENT_HOURLY_RATE-MAX(0,($D120+W$5)-PERMANENT_FIELD_LABOR_HOURS)*TEMP_HOURLY_RATE-FIXED_SEASON_COST)</f>
        <v>16302.6275718604</v>
      </c>
      <c r="X120" s="53" t="n">
        <f aca="false">IF(OR($A120&gt;TOMATO_BED_CAP,$B120&gt;CARROT_BED_CAP,X$4&gt;MESCLUN_BED_CAP,$A120+$B120+X$4&gt;TOTAL_BEDS_AVAILABLE,($D120+X$5)&gt;TOTAL_LABOR_HOURS_CAP,MAX(0,($D120+X$5)-PERMANENT_FIELD_LABOR_HOURS)&gt;TEMP_HOURS_CAP),"",$C120+X$6-MIN(($D120+X$5),PERMANENT_FIELD_LABOR_HOURS)*PERMANENT_HOURLY_RATE-MAX(0,($D120+X$5)-PERMANENT_FIELD_LABOR_HOURS)*TEMP_HOURLY_RATE-FIXED_SEASON_COST)</f>
        <v>16940.6374001393</v>
      </c>
      <c r="Y120" s="53" t="n">
        <f aca="false">IF(OR($A120&gt;TOMATO_BED_CAP,$B120&gt;CARROT_BED_CAP,Y$4&gt;MESCLUN_BED_CAP,$A120+$B120+Y$4&gt;TOTAL_BEDS_AVAILABLE,($D120+Y$5)&gt;TOTAL_LABOR_HOURS_CAP,MAX(0,($D120+Y$5)-PERMANENT_FIELD_LABOR_HOURS)&gt;TEMP_HOURS_CAP),"",$C120+Y$6-MIN(($D120+Y$5),PERMANENT_FIELD_LABOR_HOURS)*PERMANENT_HOURLY_RATE-MAX(0,($D120+Y$5)-PERMANENT_FIELD_LABOR_HOURS)*TEMP_HOURLY_RATE-FIXED_SEASON_COST)</f>
        <v>17551.660463018</v>
      </c>
      <c r="Z120" s="53" t="n">
        <f aca="false">IF(OR($A120&gt;TOMATO_BED_CAP,$B120&gt;CARROT_BED_CAP,Z$4&gt;MESCLUN_BED_CAP,$A120+$B120+Z$4&gt;TOTAL_BEDS_AVAILABLE,($D120+Z$5)&gt;TOTAL_LABOR_HOURS_CAP,MAX(0,($D120+Z$5)-PERMANENT_FIELD_LABOR_HOURS)&gt;TEMP_HOURS_CAP),"",$C120+Z$6-MIN(($D120+Z$5),PERMANENT_FIELD_LABOR_HOURS)*PERMANENT_HOURLY_RATE-MAX(0,($D120+Z$5)-PERMANENT_FIELD_LABOR_HOURS)*TEMP_HOURLY_RATE-FIXED_SEASON_COST)</f>
        <v>18135.2067773257</v>
      </c>
      <c r="AA120" s="53" t="n">
        <f aca="false">IF(OR($A120&gt;TOMATO_BED_CAP,$B120&gt;CARROT_BED_CAP,AA$4&gt;MESCLUN_BED_CAP,$A120+$B120+AA$4&gt;TOTAL_BEDS_AVAILABLE,($D120+AA$5)&gt;TOTAL_LABOR_HOURS_CAP,MAX(0,($D120+AA$5)-PERMANENT_FIELD_LABOR_HOURS)&gt;TEMP_HOURS_CAP),"",$C120+AA$6-MIN(($D120+AA$5),PERMANENT_FIELD_LABOR_HOURS)*PERMANENT_HOURLY_RATE-MAX(0,($D120+AA$5)-PERMANENT_FIELD_LABOR_HOURS)*TEMP_HOURLY_RATE-FIXED_SEASON_COST)</f>
        <v>18690.7783269946</v>
      </c>
      <c r="AB120" s="53" t="n">
        <f aca="false">IF(OR($A120&gt;TOMATO_BED_CAP,$B120&gt;CARROT_BED_CAP,AB$4&gt;MESCLUN_BED_CAP,$A120+$B120+AB$4&gt;TOTAL_BEDS_AVAILABLE,($D120+AB$5)&gt;TOTAL_LABOR_HOURS_CAP,MAX(0,($D120+AB$5)-PERMANENT_FIELD_LABOR_HOURS)&gt;TEMP_HOURS_CAP),"",$C120+AB$6-MIN(($D120+AB$5),PERMANENT_FIELD_LABOR_HOURS)*PERMANENT_HOURLY_RATE-MAX(0,($D120+AB$5)-PERMANENT_FIELD_LABOR_HOURS)*TEMP_HOURLY_RATE-FIXED_SEASON_COST)</f>
        <v>19217.8689387972</v>
      </c>
      <c r="AC120" s="53" t="n">
        <f aca="false">IF(OR($A120&gt;TOMATO_BED_CAP,$B120&gt;CARROT_BED_CAP,AC$4&gt;MESCLUN_BED_CAP,$A120+$B120+AC$4&gt;TOTAL_BEDS_AVAILABLE,($D120+AC$5)&gt;TOTAL_LABOR_HOURS_CAP,MAX(0,($D120+AC$5)-PERMANENT_FIELD_LABOR_HOURS)&gt;TEMP_HOURS_CAP),"",$C120+AC$6-MIN(($D120+AC$5),PERMANENT_FIELD_LABOR_HOURS)*PERMANENT_HOURLY_RATE-MAX(0,($D120+AC$5)-PERMANENT_FIELD_LABOR_HOURS)*TEMP_HOURLY_RATE-FIXED_SEASON_COST)</f>
        <v>19715.9641562321</v>
      </c>
      <c r="AD120" s="53" t="n">
        <f aca="false">IF(OR($A120&gt;TOMATO_BED_CAP,$B120&gt;CARROT_BED_CAP,AD$4&gt;MESCLUN_BED_CAP,$A120+$B120+AD$4&gt;TOTAL_BEDS_AVAILABLE,($D120+AD$5)&gt;TOTAL_LABOR_HOURS_CAP,MAX(0,($D120+AD$5)-PERMANENT_FIELD_LABOR_HOURS)&gt;TEMP_HOURS_CAP),"",$C120+AD$6-MIN(($D120+AD$5),PERMANENT_FIELD_LABOR_HOURS)*PERMANENT_HOURLY_RATE-MAX(0,($D120+AD$5)-PERMANENT_FIELD_LABOR_HOURS)*TEMP_HOURLY_RATE-FIXED_SEASON_COST)</f>
        <v>20184.541111532</v>
      </c>
      <c r="AE120" s="53" t="n">
        <f aca="false">IF(OR($A120&gt;TOMATO_BED_CAP,$B120&gt;CARROT_BED_CAP,AE$4&gt;MESCLUN_BED_CAP,$A120+$B120+AE$4&gt;TOTAL_BEDS_AVAILABLE,($D120+AE$5)&gt;TOTAL_LABOR_HOURS_CAP,MAX(0,($D120+AE$5)-PERMANENT_FIELD_LABOR_HOURS)&gt;TEMP_HOURS_CAP),"",$C120+AE$6-MIN(($D120+AE$5),PERMANENT_FIELD_LABOR_HOURS)*PERMANENT_HOURLY_RATE-MAX(0,($D120+AE$5)-PERMANENT_FIELD_LABOR_HOURS)*TEMP_HOURLY_RATE-FIXED_SEASON_COST)</f>
        <v>20623.0683957659</v>
      </c>
      <c r="AF120" s="53" t="n">
        <f aca="false">IF(OR($A120&gt;TOMATO_BED_CAP,$B120&gt;CARROT_BED_CAP,AF$4&gt;MESCLUN_BED_CAP,$A120+$B120+AF$4&gt;TOTAL_BEDS_AVAILABLE,($D120+AF$5)&gt;TOTAL_LABOR_HOURS_CAP,MAX(0,($D120+AF$5)-PERMANENT_FIELD_LABOR_HOURS)&gt;TEMP_HOURS_CAP),"",$C120+AF$6-MIN(($D120+AF$5),PERMANENT_FIELD_LABOR_HOURS)*PERMANENT_HOURLY_RATE-MAX(0,($D120+AF$5)-PERMANENT_FIELD_LABOR_HOURS)*TEMP_HOURLY_RATE-FIXED_SEASON_COST)</f>
        <v>21031.0059270079</v>
      </c>
      <c r="AG120" s="53" t="n">
        <f aca="false">IF(OR($A120&gt;TOMATO_BED_CAP,$B120&gt;CARROT_BED_CAP,AG$4&gt;MESCLUN_BED_CAP,$A120+$B120+AG$4&gt;TOTAL_BEDS_AVAILABLE,($D120+AG$5)&gt;TOTAL_LABOR_HOURS_CAP,MAX(0,($D120+AG$5)-PERMANENT_FIELD_LABOR_HOURS)&gt;TEMP_HOURS_CAP),"",$C120+AG$6-MIN(($D120+AG$5),PERMANENT_FIELD_LABOR_HOURS)*PERMANENT_HOURLY_RATE-MAX(0,($D120+AG$5)-PERMANENT_FIELD_LABOR_HOURS)*TEMP_HOURLY_RATE-FIXED_SEASON_COST)</f>
        <v>21407.8048165449</v>
      </c>
      <c r="AH120" s="53" t="n">
        <f aca="false">IF(OR($A120&gt;TOMATO_BED_CAP,$B120&gt;CARROT_BED_CAP,AH$4&gt;MESCLUN_BED_CAP,$A120+$B120+AH$4&gt;TOTAL_BEDS_AVAILABLE,($D120+AH$5)&gt;TOTAL_LABOR_HOURS_CAP,MAX(0,($D120+AH$5)-PERMANENT_FIELD_LABOR_HOURS)&gt;TEMP_HOURS_CAP),"",$C120+AH$6-MIN(($D120+AH$5),PERMANENT_FIELD_LABOR_HOURS)*PERMANENT_HOURLY_RATE-MAX(0,($D120+AH$5)-PERMANENT_FIELD_LABOR_HOURS)*TEMP_HOURLY_RATE-FIXED_SEASON_COST)</f>
        <v>21752.9072330951</v>
      </c>
      <c r="AI120" s="53" t="n">
        <f aca="false">IF(OR($A120&gt;TOMATO_BED_CAP,$B120&gt;CARROT_BED_CAP,AI$4&gt;MESCLUN_BED_CAP,$A120+$B120+AI$4&gt;TOTAL_BEDS_AVAILABLE,($D120+AI$5)&gt;TOTAL_LABOR_HOURS_CAP,MAX(0,($D120+AI$5)-PERMANENT_FIELD_LABOR_HOURS)&gt;TEMP_HOURS_CAP),"",$C120+AI$6-MIN(($D120+AI$5),PERMANENT_FIELD_LABOR_HOURS)*PERMANENT_HOURLY_RATE-MAX(0,($D120+AI$5)-PERMANENT_FIELD_LABOR_HOURS)*TEMP_HOURLY_RATE-FIXED_SEASON_COST)</f>
        <v>22065.7462650074</v>
      </c>
      <c r="AJ120" s="53" t="n">
        <f aca="false">IF(OR($A120&gt;TOMATO_BED_CAP,$B120&gt;CARROT_BED_CAP,AJ$4&gt;MESCLUN_BED_CAP,$A120+$B120+AJ$4&gt;TOTAL_BEDS_AVAILABLE,($D120+AJ$5)&gt;TOTAL_LABOR_HOURS_CAP,MAX(0,($D120+AJ$5)-PERMANENT_FIELD_LABOR_HOURS)&gt;TEMP_HOURS_CAP),"",$C120+AJ$6-MIN(($D120+AJ$5),PERMANENT_FIELD_LABOR_HOURS)*PERMANENT_HOURLY_RATE-MAX(0,($D120+AJ$5)-PERMANENT_FIELD_LABOR_HOURS)*TEMP_HOURLY_RATE-FIXED_SEASON_COST)</f>
        <v>22345.7457804131</v>
      </c>
    </row>
    <row r="121" customFormat="false" ht="15" hidden="false" customHeight="false" outlineLevel="0" collapsed="false">
      <c r="A121" s="21" t="n">
        <f aca="false">INT((ROW()-ROW($A$8))/(20+1))</f>
        <v>5</v>
      </c>
      <c r="B121" s="21" t="n">
        <f aca="false">MOD(ROW()-ROW($A$8),20+1)</f>
        <v>8</v>
      </c>
      <c r="C121" s="13" t="n">
        <f aca="false">A121*(TOMATO_REVENUE_PER_BED-TOMATO_FERTILIZER_PER_BED)+B121*(CARROT_REVENUE_PER_BED-CARROT_FERTILIZER_PER_BED)</f>
        <v>52832</v>
      </c>
      <c r="D121" s="14" t="n">
        <f aca="false">INDEX(TOMATO_SCHED_LABOR_HRS,A121+1)+INDEX(CARROT_SCHED_LABOR_HRS,B121+1)</f>
        <v>1017.02922872422</v>
      </c>
      <c r="E121" s="13" t="n">
        <f aca="false">IF(COUNT(F121:AJ121)=0,"",MAX(F121:AJ121))</f>
        <v>23257.1618842201</v>
      </c>
      <c r="F121" s="53" t="n">
        <f aca="false">IF(OR($A121&gt;TOMATO_BED_CAP,$B121&gt;CARROT_BED_CAP,F$4&gt;MESCLUN_BED_CAP,$A121+$B121+F$4&gt;TOTAL_BEDS_AVAILABLE,($D121+F$5)&gt;TOTAL_LABOR_HOURS_CAP,MAX(0,($D121+F$5)-PERMANENT_FIELD_LABOR_HOURS)&gt;TEMP_HOURS_CAP),"",$C121+F$6-MIN(($D121+F$5),PERMANENT_FIELD_LABOR_HOURS)*PERMANENT_HOURLY_RATE-MAX(0,($D121+F$5)-PERMANENT_FIELD_LABOR_HOURS)*TEMP_HOURLY_RATE-FIXED_SEASON_COST)</f>
        <v>2677.17258934755</v>
      </c>
      <c r="G121" s="53" t="n">
        <f aca="false">IF(OR($A121&gt;TOMATO_BED_CAP,$B121&gt;CARROT_BED_CAP,G$4&gt;MESCLUN_BED_CAP,$A121+$B121+G$4&gt;TOTAL_BEDS_AVAILABLE,($D121+G$5)&gt;TOTAL_LABOR_HOURS_CAP,MAX(0,($D121+G$5)-PERMANENT_FIELD_LABOR_HOURS)&gt;TEMP_HOURS_CAP),"",$C121+G$6-MIN(($D121+G$5),PERMANENT_FIELD_LABOR_HOURS)*PERMANENT_HOURLY_RATE-MAX(0,($D121+G$5)-PERMANENT_FIELD_LABOR_HOURS)*TEMP_HOURLY_RATE-FIXED_SEASON_COST)</f>
        <v>3706.20758934756</v>
      </c>
      <c r="H121" s="53" t="n">
        <f aca="false">IF(OR($A121&gt;TOMATO_BED_CAP,$B121&gt;CARROT_BED_CAP,H$4&gt;MESCLUN_BED_CAP,$A121+$B121+H$4&gt;TOTAL_BEDS_AVAILABLE,($D121+H$5)&gt;TOTAL_LABOR_HOURS_CAP,MAX(0,($D121+H$5)-PERMANENT_FIELD_LABOR_HOURS)&gt;TEMP_HOURS_CAP),"",$C121+H$6-MIN(($D121+H$5),PERMANENT_FIELD_LABOR_HOURS)*PERMANENT_HOURLY_RATE-MAX(0,($D121+H$5)-PERMANENT_FIELD_LABOR_HOURS)*TEMP_HOURLY_RATE-FIXED_SEASON_COST)</f>
        <v>4715.46846434756</v>
      </c>
      <c r="I121" s="53" t="n">
        <f aca="false">IF(OR($A121&gt;TOMATO_BED_CAP,$B121&gt;CARROT_BED_CAP,I$4&gt;MESCLUN_BED_CAP,$A121+$B121+I$4&gt;TOTAL_BEDS_AVAILABLE,($D121+I$5)&gt;TOTAL_LABOR_HOURS_CAP,MAX(0,($D121+I$5)-PERMANENT_FIELD_LABOR_HOURS)&gt;TEMP_HOURS_CAP),"",$C121+I$6-MIN(($D121+I$5),PERMANENT_FIELD_LABOR_HOURS)*PERMANENT_HOURLY_RATE-MAX(0,($D121+I$5)-PERMANENT_FIELD_LABOR_HOURS)*TEMP_HOURLY_RATE-FIXED_SEASON_COST)</f>
        <v>5704.58444950381</v>
      </c>
      <c r="J121" s="53" t="n">
        <f aca="false">IF(OR($A121&gt;TOMATO_BED_CAP,$B121&gt;CARROT_BED_CAP,J$4&gt;MESCLUN_BED_CAP,$A121+$B121+J$4&gt;TOTAL_BEDS_AVAILABLE,($D121+J$5)&gt;TOTAL_LABOR_HOURS_CAP,MAX(0,($D121+J$5)-PERMANENT_FIELD_LABOR_HOURS)&gt;TEMP_HOURS_CAP),"",$C121+J$6-MIN(($D121+J$5),PERMANENT_FIELD_LABOR_HOURS)*PERMANENT_HOURLY_RATE-MAX(0,($D121+J$5)-PERMANENT_FIELD_LABOR_HOURS)*TEMP_HOURLY_RATE-FIXED_SEASON_COST)</f>
        <v>6673.17860055849</v>
      </c>
      <c r="K121" s="53" t="n">
        <f aca="false">IF(OR($A121&gt;TOMATO_BED_CAP,$B121&gt;CARROT_BED_CAP,K$4&gt;MESCLUN_BED_CAP,$A121+$B121+K$4&gt;TOTAL_BEDS_AVAILABLE,($D121+K$5)&gt;TOTAL_LABOR_HOURS_CAP,MAX(0,($D121+K$5)-PERMANENT_FIELD_LABOR_HOURS)&gt;TEMP_HOURS_CAP),"",$C121+K$6-MIN(($D121+K$5),PERMANENT_FIELD_LABOR_HOURS)*PERMANENT_HOURLY_RATE-MAX(0,($D121+K$5)-PERMANENT_FIELD_LABOR_HOURS)*TEMP_HOURLY_RATE-FIXED_SEASON_COST)</f>
        <v>7620.8676972864</v>
      </c>
      <c r="L121" s="53" t="n">
        <f aca="false">IF(OR($A121&gt;TOMATO_BED_CAP,$B121&gt;CARROT_BED_CAP,L$4&gt;MESCLUN_BED_CAP,$A121+$B121+L$4&gt;TOTAL_BEDS_AVAILABLE,($D121+L$5)&gt;TOTAL_LABOR_HOURS_CAP,MAX(0,($D121+L$5)-PERMANENT_FIELD_LABOR_HOURS)&gt;TEMP_HOURS_CAP),"",$C121+L$6-MIN(($D121+L$5),PERMANENT_FIELD_LABOR_HOURS)*PERMANENT_HOURLY_RATE-MAX(0,($D121+L$5)-PERMANENT_FIELD_LABOR_HOURS)*TEMP_HOURLY_RATE-FIXED_SEASON_COST)</f>
        <v>8547.26214549325</v>
      </c>
      <c r="M121" s="53" t="n">
        <f aca="false">IF(OR($A121&gt;TOMATO_BED_CAP,$B121&gt;CARROT_BED_CAP,M$4&gt;MESCLUN_BED_CAP,$A121+$B121+M$4&gt;TOTAL_BEDS_AVAILABLE,($D121+M$5)&gt;TOTAL_LABOR_HOURS_CAP,MAX(0,($D121+M$5)-PERMANENT_FIELD_LABOR_HOURS)&gt;TEMP_HOURS_CAP),"",$C121+M$6-MIN(($D121+M$5),PERMANENT_FIELD_LABOR_HOURS)*PERMANENT_HOURLY_RATE-MAX(0,($D121+M$5)-PERMANENT_FIELD_LABOR_HOURS)*TEMP_HOURLY_RATE-FIXED_SEASON_COST)</f>
        <v>9451.96587754466</v>
      </c>
      <c r="N121" s="53" t="n">
        <f aca="false">IF(OR($A121&gt;TOMATO_BED_CAP,$B121&gt;CARROT_BED_CAP,N$4&gt;MESCLUN_BED_CAP,$A121+$B121+N$4&gt;TOTAL_BEDS_AVAILABLE,($D121+N$5)&gt;TOTAL_LABOR_HOURS_CAP,MAX(0,($D121+N$5)-PERMANENT_FIELD_LABOR_HOURS)&gt;TEMP_HOURS_CAP),"",$C121+N$6-MIN(($D121+N$5),PERMANENT_FIELD_LABOR_HOURS)*PERMANENT_HOURLY_RATE-MAX(0,($D121+N$5)-PERMANENT_FIELD_LABOR_HOURS)*TEMP_HOURLY_RATE-FIXED_SEASON_COST)</f>
        <v>10334.5762514042</v>
      </c>
      <c r="O121" s="53" t="n">
        <f aca="false">IF(OR($A121&gt;TOMATO_BED_CAP,$B121&gt;CARROT_BED_CAP,O$4&gt;MESCLUN_BED_CAP,$A121+$B121+O$4&gt;TOTAL_BEDS_AVAILABLE,($D121+O$5)&gt;TOTAL_LABOR_HOURS_CAP,MAX(0,($D121+O$5)-PERMANENT_FIELD_LABOR_HOURS)&gt;TEMP_HOURS_CAP),"",$C121+O$6-MIN(($D121+O$5),PERMANENT_FIELD_LABOR_HOURS)*PERMANENT_HOURLY_RATE-MAX(0,($D121+O$5)-PERMANENT_FIELD_LABOR_HOURS)*TEMP_HOURLY_RATE-FIXED_SEASON_COST)</f>
        <v>11194.683948159</v>
      </c>
      <c r="P121" s="53" t="n">
        <f aca="false">IF(OR($A121&gt;TOMATO_BED_CAP,$B121&gt;CARROT_BED_CAP,P$4&gt;MESCLUN_BED_CAP,$A121+$B121+P$4&gt;TOTAL_BEDS_AVAILABLE,($D121+P$5)&gt;TOTAL_LABOR_HOURS_CAP,MAX(0,($D121+P$5)-PERMANENT_FIELD_LABOR_HOURS)&gt;TEMP_HOURS_CAP),"",$C121+P$6-MIN(($D121+P$5),PERMANENT_FIELD_LABOR_HOURS)*PERMANENT_HOURLY_RATE-MAX(0,($D121+P$5)-PERMANENT_FIELD_LABOR_HOURS)*TEMP_HOURLY_RATE-FIXED_SEASON_COST)</f>
        <v>12031.8728680104</v>
      </c>
      <c r="Q121" s="53" t="n">
        <f aca="false">IF(OR($A121&gt;TOMATO_BED_CAP,$B121&gt;CARROT_BED_CAP,Q$4&gt;MESCLUN_BED_CAP,$A121+$B121+Q$4&gt;TOTAL_BEDS_AVAILABLE,($D121+Q$5)&gt;TOTAL_LABOR_HOURS_CAP,MAX(0,($D121+Q$5)-PERMANENT_FIELD_LABOR_HOURS)&gt;TEMP_HOURS_CAP),"",$C121+Q$6-MIN(($D121+Q$5),PERMANENT_FIELD_LABOR_HOURS)*PERMANENT_HOURLY_RATE-MAX(0,($D121+Q$5)-PERMANENT_FIELD_LABOR_HOURS)*TEMP_HOURLY_RATE-FIXED_SEASON_COST)</f>
        <v>12845.7200247083</v>
      </c>
      <c r="R121" s="53" t="n">
        <f aca="false">IF(OR($A121&gt;TOMATO_BED_CAP,$B121&gt;CARROT_BED_CAP,R$4&gt;MESCLUN_BED_CAP,$A121+$B121+R$4&gt;TOTAL_BEDS_AVAILABLE,($D121+R$5)&gt;TOTAL_LABOR_HOURS_CAP,MAX(0,($D121+R$5)-PERMANENT_FIELD_LABOR_HOURS)&gt;TEMP_HOURS_CAP),"",$C121+R$6-MIN(($D121+R$5),PERMANENT_FIELD_LABOR_HOURS)*PERMANENT_HOURLY_RATE-MAX(0,($D121+R$5)-PERMANENT_FIELD_LABOR_HOURS)*TEMP_HOURLY_RATE-FIXED_SEASON_COST)</f>
        <v>13635.7954384051</v>
      </c>
      <c r="S121" s="53" t="n">
        <f aca="false">IF(OR($A121&gt;TOMATO_BED_CAP,$B121&gt;CARROT_BED_CAP,S$4&gt;MESCLUN_BED_CAP,$A121+$B121+S$4&gt;TOTAL_BEDS_AVAILABLE,($D121+S$5)&gt;TOTAL_LABOR_HOURS_CAP,MAX(0,($D121+S$5)-PERMANENT_FIELD_LABOR_HOURS)&gt;TEMP_HOURS_CAP),"",$C121+S$6-MIN(($D121+S$5),PERMANENT_FIELD_LABOR_HOURS)*PERMANENT_HOURLY_RATE-MAX(0,($D121+S$5)-PERMANENT_FIELD_LABOR_HOURS)*TEMP_HOURLY_RATE-FIXED_SEASON_COST)</f>
        <v>14401.6620269075</v>
      </c>
      <c r="T121" s="53" t="n">
        <f aca="false">IF(OR($A121&gt;TOMATO_BED_CAP,$B121&gt;CARROT_BED_CAP,T$4&gt;MESCLUN_BED_CAP,$A121+$B121+T$4&gt;TOTAL_BEDS_AVAILABLE,($D121+T$5)&gt;TOTAL_LABOR_HOURS_CAP,MAX(0,($D121+T$5)-PERMANENT_FIELD_LABOR_HOURS)&gt;TEMP_HOURS_CAP),"",$C121+T$6-MIN(($D121+T$5),PERMANENT_FIELD_LABOR_HOURS)*PERMANENT_HOURLY_RATE-MAX(0,($D121+T$5)-PERMANENT_FIELD_LABOR_HOURS)*TEMP_HOURLY_RATE-FIXED_SEASON_COST)</f>
        <v>15142.8754953024</v>
      </c>
      <c r="U121" s="53" t="n">
        <f aca="false">IF(OR($A121&gt;TOMATO_BED_CAP,$B121&gt;CARROT_BED_CAP,U$4&gt;MESCLUN_BED_CAP,$A121+$B121+U$4&gt;TOTAL_BEDS_AVAILABLE,($D121+U$5)&gt;TOTAL_LABOR_HOURS_CAP,MAX(0,($D121+U$5)-PERMANENT_FIELD_LABOR_HOURS)&gt;TEMP_HOURS_CAP),"",$C121+U$6-MIN(($D121+U$5),PERMANENT_FIELD_LABOR_HOURS)*PERMANENT_HOURLY_RATE-MAX(0,($D121+U$5)-PERMANENT_FIELD_LABOR_HOURS)*TEMP_HOURLY_RATE-FIXED_SEASON_COST)</f>
        <v>15858.9842239325</v>
      </c>
      <c r="V121" s="53" t="n">
        <f aca="false">IF(OR($A121&gt;TOMATO_BED_CAP,$B121&gt;CARROT_BED_CAP,V$4&gt;MESCLUN_BED_CAP,$A121+$B121+V$4&gt;TOTAL_BEDS_AVAILABLE,($D121+V$5)&gt;TOTAL_LABOR_HOURS_CAP,MAX(0,($D121+V$5)-PERMANENT_FIELD_LABOR_HOURS)&gt;TEMP_HOURS_CAP),"",$C121+V$6-MIN(($D121+V$5),PERMANENT_FIELD_LABOR_HOURS)*PERMANENT_HOURLY_RATE-MAX(0,($D121+V$5)-PERMANENT_FIELD_LABOR_HOURS)*TEMP_HOURLY_RATE-FIXED_SEASON_COST)</f>
        <v>16549.5291546993</v>
      </c>
      <c r="W121" s="53" t="n">
        <f aca="false">IF(OR($A121&gt;TOMATO_BED_CAP,$B121&gt;CARROT_BED_CAP,W$4&gt;MESCLUN_BED_CAP,$A121+$B121+W$4&gt;TOTAL_BEDS_AVAILABLE,($D121+W$5)&gt;TOTAL_LABOR_HOURS_CAP,MAX(0,($D121+W$5)-PERMANENT_FIELD_LABOR_HOURS)&gt;TEMP_HOURS_CAP),"",$C121+W$6-MIN(($D121+W$5),PERMANENT_FIELD_LABOR_HOURS)*PERMANENT_HOURLY_RATE-MAX(0,($D121+W$5)-PERMANENT_FIELD_LABOR_HOURS)*TEMP_HOURLY_RATE-FIXED_SEASON_COST)</f>
        <v>17214.0436756673</v>
      </c>
      <c r="X121" s="53" t="n">
        <f aca="false">IF(OR($A121&gt;TOMATO_BED_CAP,$B121&gt;CARROT_BED_CAP,X$4&gt;MESCLUN_BED_CAP,$A121+$B121+X$4&gt;TOTAL_BEDS_AVAILABLE,($D121+X$5)&gt;TOTAL_LABOR_HOURS_CAP,MAX(0,($D121+X$5)-PERMANENT_FIELD_LABOR_HOURS)&gt;TEMP_HOURS_CAP),"",$C121+X$6-MIN(($D121+X$5),PERMANENT_FIELD_LABOR_HOURS)*PERMANENT_HOURLY_RATE-MAX(0,($D121+X$5)-PERMANENT_FIELD_LABOR_HOURS)*TEMP_HOURLY_RATE-FIXED_SEASON_COST)</f>
        <v>17852.0535039463</v>
      </c>
      <c r="Y121" s="53" t="n">
        <f aca="false">IF(OR($A121&gt;TOMATO_BED_CAP,$B121&gt;CARROT_BED_CAP,Y$4&gt;MESCLUN_BED_CAP,$A121+$B121+Y$4&gt;TOTAL_BEDS_AVAILABLE,($D121+Y$5)&gt;TOTAL_LABOR_HOURS_CAP,MAX(0,($D121+Y$5)-PERMANENT_FIELD_LABOR_HOURS)&gt;TEMP_HOURS_CAP),"",$C121+Y$6-MIN(($D121+Y$5),PERMANENT_FIELD_LABOR_HOURS)*PERMANENT_HOURLY_RATE-MAX(0,($D121+Y$5)-PERMANENT_FIELD_LABOR_HOURS)*TEMP_HOURLY_RATE-FIXED_SEASON_COST)</f>
        <v>18463.0765668249</v>
      </c>
      <c r="Z121" s="53" t="n">
        <f aca="false">IF(OR($A121&gt;TOMATO_BED_CAP,$B121&gt;CARROT_BED_CAP,Z$4&gt;MESCLUN_BED_CAP,$A121+$B121+Z$4&gt;TOTAL_BEDS_AVAILABLE,($D121+Z$5)&gt;TOTAL_LABOR_HOURS_CAP,MAX(0,($D121+Z$5)-PERMANENT_FIELD_LABOR_HOURS)&gt;TEMP_HOURS_CAP),"",$C121+Z$6-MIN(($D121+Z$5),PERMANENT_FIELD_LABOR_HOURS)*PERMANENT_HOURLY_RATE-MAX(0,($D121+Z$5)-PERMANENT_FIELD_LABOR_HOURS)*TEMP_HOURLY_RATE-FIXED_SEASON_COST)</f>
        <v>19046.6228811326</v>
      </c>
      <c r="AA121" s="53" t="n">
        <f aca="false">IF(OR($A121&gt;TOMATO_BED_CAP,$B121&gt;CARROT_BED_CAP,AA$4&gt;MESCLUN_BED_CAP,$A121+$B121+AA$4&gt;TOTAL_BEDS_AVAILABLE,($D121+AA$5)&gt;TOTAL_LABOR_HOURS_CAP,MAX(0,($D121+AA$5)-PERMANENT_FIELD_LABOR_HOURS)&gt;TEMP_HOURS_CAP),"",$C121+AA$6-MIN(($D121+AA$5),PERMANENT_FIELD_LABOR_HOURS)*PERMANENT_HOURLY_RATE-MAX(0,($D121+AA$5)-PERMANENT_FIELD_LABOR_HOURS)*TEMP_HOURLY_RATE-FIXED_SEASON_COST)</f>
        <v>19602.1944308016</v>
      </c>
      <c r="AB121" s="53" t="n">
        <f aca="false">IF(OR($A121&gt;TOMATO_BED_CAP,$B121&gt;CARROT_BED_CAP,AB$4&gt;MESCLUN_BED_CAP,$A121+$B121+AB$4&gt;TOTAL_BEDS_AVAILABLE,($D121+AB$5)&gt;TOTAL_LABOR_HOURS_CAP,MAX(0,($D121+AB$5)-PERMANENT_FIELD_LABOR_HOURS)&gt;TEMP_HOURS_CAP),"",$C121+AB$6-MIN(($D121+AB$5),PERMANENT_FIELD_LABOR_HOURS)*PERMANENT_HOURLY_RATE-MAX(0,($D121+AB$5)-PERMANENT_FIELD_LABOR_HOURS)*TEMP_HOURLY_RATE-FIXED_SEASON_COST)</f>
        <v>20129.2850426041</v>
      </c>
      <c r="AC121" s="53" t="n">
        <f aca="false">IF(OR($A121&gt;TOMATO_BED_CAP,$B121&gt;CARROT_BED_CAP,AC$4&gt;MESCLUN_BED_CAP,$A121+$B121+AC$4&gt;TOTAL_BEDS_AVAILABLE,($D121+AC$5)&gt;TOTAL_LABOR_HOURS_CAP,MAX(0,($D121+AC$5)-PERMANENT_FIELD_LABOR_HOURS)&gt;TEMP_HOURS_CAP),"",$C121+AC$6-MIN(($D121+AC$5),PERMANENT_FIELD_LABOR_HOURS)*PERMANENT_HOURLY_RATE-MAX(0,($D121+AC$5)-PERMANENT_FIELD_LABOR_HOURS)*TEMP_HOURLY_RATE-FIXED_SEASON_COST)</f>
        <v>20627.380260039</v>
      </c>
      <c r="AD121" s="53" t="n">
        <f aca="false">IF(OR($A121&gt;TOMATO_BED_CAP,$B121&gt;CARROT_BED_CAP,AD$4&gt;MESCLUN_BED_CAP,$A121+$B121+AD$4&gt;TOTAL_BEDS_AVAILABLE,($D121+AD$5)&gt;TOTAL_LABOR_HOURS_CAP,MAX(0,($D121+AD$5)-PERMANENT_FIELD_LABOR_HOURS)&gt;TEMP_HOURS_CAP),"",$C121+AD$6-MIN(($D121+AD$5),PERMANENT_FIELD_LABOR_HOURS)*PERMANENT_HOURLY_RATE-MAX(0,($D121+AD$5)-PERMANENT_FIELD_LABOR_HOURS)*TEMP_HOURLY_RATE-FIXED_SEASON_COST)</f>
        <v>21095.957215339</v>
      </c>
      <c r="AE121" s="53" t="n">
        <f aca="false">IF(OR($A121&gt;TOMATO_BED_CAP,$B121&gt;CARROT_BED_CAP,AE$4&gt;MESCLUN_BED_CAP,$A121+$B121+AE$4&gt;TOTAL_BEDS_AVAILABLE,($D121+AE$5)&gt;TOTAL_LABOR_HOURS_CAP,MAX(0,($D121+AE$5)-PERMANENT_FIELD_LABOR_HOURS)&gt;TEMP_HOURS_CAP),"",$C121+AE$6-MIN(($D121+AE$5),PERMANENT_FIELD_LABOR_HOURS)*PERMANENT_HOURLY_RATE-MAX(0,($D121+AE$5)-PERMANENT_FIELD_LABOR_HOURS)*TEMP_HOURLY_RATE-FIXED_SEASON_COST)</f>
        <v>21534.4844995729</v>
      </c>
      <c r="AF121" s="53" t="n">
        <f aca="false">IF(OR($A121&gt;TOMATO_BED_CAP,$B121&gt;CARROT_BED_CAP,AF$4&gt;MESCLUN_BED_CAP,$A121+$B121+AF$4&gt;TOTAL_BEDS_AVAILABLE,($D121+AF$5)&gt;TOTAL_LABOR_HOURS_CAP,MAX(0,($D121+AF$5)-PERMANENT_FIELD_LABOR_HOURS)&gt;TEMP_HOURS_CAP),"",$C121+AF$6-MIN(($D121+AF$5),PERMANENT_FIELD_LABOR_HOURS)*PERMANENT_HOURLY_RATE-MAX(0,($D121+AF$5)-PERMANENT_FIELD_LABOR_HOURS)*TEMP_HOURLY_RATE-FIXED_SEASON_COST)</f>
        <v>21942.4220308149</v>
      </c>
      <c r="AG121" s="53" t="n">
        <f aca="false">IF(OR($A121&gt;TOMATO_BED_CAP,$B121&gt;CARROT_BED_CAP,AG$4&gt;MESCLUN_BED_CAP,$A121+$B121+AG$4&gt;TOTAL_BEDS_AVAILABLE,($D121+AG$5)&gt;TOTAL_LABOR_HOURS_CAP,MAX(0,($D121+AG$5)-PERMANENT_FIELD_LABOR_HOURS)&gt;TEMP_HOURS_CAP),"",$C121+AG$6-MIN(($D121+AG$5),PERMANENT_FIELD_LABOR_HOURS)*PERMANENT_HOURLY_RATE-MAX(0,($D121+AG$5)-PERMANENT_FIELD_LABOR_HOURS)*TEMP_HOURLY_RATE-FIXED_SEASON_COST)</f>
        <v>22319.2209203519</v>
      </c>
      <c r="AH121" s="53" t="n">
        <f aca="false">IF(OR($A121&gt;TOMATO_BED_CAP,$B121&gt;CARROT_BED_CAP,AH$4&gt;MESCLUN_BED_CAP,$A121+$B121+AH$4&gt;TOTAL_BEDS_AVAILABLE,($D121+AH$5)&gt;TOTAL_LABOR_HOURS_CAP,MAX(0,($D121+AH$5)-PERMANENT_FIELD_LABOR_HOURS)&gt;TEMP_HOURS_CAP),"",$C121+AH$6-MIN(($D121+AH$5),PERMANENT_FIELD_LABOR_HOURS)*PERMANENT_HOURLY_RATE-MAX(0,($D121+AH$5)-PERMANENT_FIELD_LABOR_HOURS)*TEMP_HOURLY_RATE-FIXED_SEASON_COST)</f>
        <v>22664.3233369021</v>
      </c>
      <c r="AI121" s="53" t="n">
        <f aca="false">IF(OR($A121&gt;TOMATO_BED_CAP,$B121&gt;CARROT_BED_CAP,AI$4&gt;MESCLUN_BED_CAP,$A121+$B121+AI$4&gt;TOTAL_BEDS_AVAILABLE,($D121+AI$5)&gt;TOTAL_LABOR_HOURS_CAP,MAX(0,($D121+AI$5)-PERMANENT_FIELD_LABOR_HOURS)&gt;TEMP_HOURS_CAP),"",$C121+AI$6-MIN(($D121+AI$5),PERMANENT_FIELD_LABOR_HOURS)*PERMANENT_HOURLY_RATE-MAX(0,($D121+AI$5)-PERMANENT_FIELD_LABOR_HOURS)*TEMP_HOURLY_RATE-FIXED_SEASON_COST)</f>
        <v>22977.1623688143</v>
      </c>
      <c r="AJ121" s="53" t="n">
        <f aca="false">IF(OR($A121&gt;TOMATO_BED_CAP,$B121&gt;CARROT_BED_CAP,AJ$4&gt;MESCLUN_BED_CAP,$A121+$B121+AJ$4&gt;TOTAL_BEDS_AVAILABLE,($D121+AJ$5)&gt;TOTAL_LABOR_HOURS_CAP,MAX(0,($D121+AJ$5)-PERMANENT_FIELD_LABOR_HOURS)&gt;TEMP_HOURS_CAP),"",$C121+AJ$6-MIN(($D121+AJ$5),PERMANENT_FIELD_LABOR_HOURS)*PERMANENT_HOURLY_RATE-MAX(0,($D121+AJ$5)-PERMANENT_FIELD_LABOR_HOURS)*TEMP_HOURLY_RATE-FIXED_SEASON_COST)</f>
        <v>23257.1618842201</v>
      </c>
    </row>
    <row r="122" customFormat="false" ht="15" hidden="false" customHeight="false" outlineLevel="0" collapsed="false">
      <c r="A122" s="21" t="n">
        <f aca="false">INT((ROW()-ROW($A$8))/(20+1))</f>
        <v>5</v>
      </c>
      <c r="B122" s="21" t="n">
        <f aca="false">MOD(ROW()-ROW($A$8),20+1)</f>
        <v>9</v>
      </c>
      <c r="C122" s="13" t="n">
        <f aca="false">A122*(TOMATO_REVENUE_PER_BED-TOMATO_FERTILIZER_PER_BED)+B122*(CARROT_REVENUE_PER_BED-CARROT_FERTILIZER_PER_BED)</f>
        <v>54486</v>
      </c>
      <c r="D122" s="14" t="n">
        <f aca="false">INDEX(TOMATO_SCHED_LABOR_HRS,A122+1)+INDEX(CARROT_SCHED_LABOR_HRS,B122+1)</f>
        <v>1061.78762468512</v>
      </c>
      <c r="E122" s="13" t="n">
        <f aca="false">IF(COUNT(F122:AJ122)=0,"",MAX(F122:AJ122))</f>
        <v>24134.1561303389</v>
      </c>
      <c r="F122" s="53" t="n">
        <f aca="false">IF(OR($A122&gt;TOMATO_BED_CAP,$B122&gt;CARROT_BED_CAP,F$4&gt;MESCLUN_BED_CAP,$A122+$B122+F$4&gt;TOTAL_BEDS_AVAILABLE,($D122+F$5)&gt;TOTAL_LABOR_HOURS_CAP,MAX(0,($D122+F$5)-PERMANENT_FIELD_LABOR_HOURS)&gt;TEMP_HOURS_CAP),"",$C122+F$6-MIN(($D122+F$5),PERMANENT_FIELD_LABOR_HOURS)*PERMANENT_HOURLY_RATE-MAX(0,($D122+F$5)-PERMANENT_FIELD_LABOR_HOURS)*TEMP_HOURLY_RATE-FIXED_SEASON_COST)</f>
        <v>3554.1668354664</v>
      </c>
      <c r="G122" s="53" t="n">
        <f aca="false">IF(OR($A122&gt;TOMATO_BED_CAP,$B122&gt;CARROT_BED_CAP,G$4&gt;MESCLUN_BED_CAP,$A122+$B122+G$4&gt;TOTAL_BEDS_AVAILABLE,($D122+G$5)&gt;TOTAL_LABOR_HOURS_CAP,MAX(0,($D122+G$5)-PERMANENT_FIELD_LABOR_HOURS)&gt;TEMP_HOURS_CAP),"",$C122+G$6-MIN(($D122+G$5),PERMANENT_FIELD_LABOR_HOURS)*PERMANENT_HOURLY_RATE-MAX(0,($D122+G$5)-PERMANENT_FIELD_LABOR_HOURS)*TEMP_HOURLY_RATE-FIXED_SEASON_COST)</f>
        <v>4583.2018354664</v>
      </c>
      <c r="H122" s="53" t="n">
        <f aca="false">IF(OR($A122&gt;TOMATO_BED_CAP,$B122&gt;CARROT_BED_CAP,H$4&gt;MESCLUN_BED_CAP,$A122+$B122+H$4&gt;TOTAL_BEDS_AVAILABLE,($D122+H$5)&gt;TOTAL_LABOR_HOURS_CAP,MAX(0,($D122+H$5)-PERMANENT_FIELD_LABOR_HOURS)&gt;TEMP_HOURS_CAP),"",$C122+H$6-MIN(($D122+H$5),PERMANENT_FIELD_LABOR_HOURS)*PERMANENT_HOURLY_RATE-MAX(0,($D122+H$5)-PERMANENT_FIELD_LABOR_HOURS)*TEMP_HOURLY_RATE-FIXED_SEASON_COST)</f>
        <v>5592.4627104664</v>
      </c>
      <c r="I122" s="53" t="n">
        <f aca="false">IF(OR($A122&gt;TOMATO_BED_CAP,$B122&gt;CARROT_BED_CAP,I$4&gt;MESCLUN_BED_CAP,$A122+$B122+I$4&gt;TOTAL_BEDS_AVAILABLE,($D122+I$5)&gt;TOTAL_LABOR_HOURS_CAP,MAX(0,($D122+I$5)-PERMANENT_FIELD_LABOR_HOURS)&gt;TEMP_HOURS_CAP),"",$C122+I$6-MIN(($D122+I$5),PERMANENT_FIELD_LABOR_HOURS)*PERMANENT_HOURLY_RATE-MAX(0,($D122+I$5)-PERMANENT_FIELD_LABOR_HOURS)*TEMP_HOURLY_RATE-FIXED_SEASON_COST)</f>
        <v>6581.57869562265</v>
      </c>
      <c r="J122" s="53" t="n">
        <f aca="false">IF(OR($A122&gt;TOMATO_BED_CAP,$B122&gt;CARROT_BED_CAP,J$4&gt;MESCLUN_BED_CAP,$A122+$B122+J$4&gt;TOTAL_BEDS_AVAILABLE,($D122+J$5)&gt;TOTAL_LABOR_HOURS_CAP,MAX(0,($D122+J$5)-PERMANENT_FIELD_LABOR_HOURS)&gt;TEMP_HOURS_CAP),"",$C122+J$6-MIN(($D122+J$5),PERMANENT_FIELD_LABOR_HOURS)*PERMANENT_HOURLY_RATE-MAX(0,($D122+J$5)-PERMANENT_FIELD_LABOR_HOURS)*TEMP_HOURLY_RATE-FIXED_SEASON_COST)</f>
        <v>7550.17284667734</v>
      </c>
      <c r="K122" s="53" t="n">
        <f aca="false">IF(OR($A122&gt;TOMATO_BED_CAP,$B122&gt;CARROT_BED_CAP,K$4&gt;MESCLUN_BED_CAP,$A122+$B122+K$4&gt;TOTAL_BEDS_AVAILABLE,($D122+K$5)&gt;TOTAL_LABOR_HOURS_CAP,MAX(0,($D122+K$5)-PERMANENT_FIELD_LABOR_HOURS)&gt;TEMP_HOURS_CAP),"",$C122+K$6-MIN(($D122+K$5),PERMANENT_FIELD_LABOR_HOURS)*PERMANENT_HOURLY_RATE-MAX(0,($D122+K$5)-PERMANENT_FIELD_LABOR_HOURS)*TEMP_HOURLY_RATE-FIXED_SEASON_COST)</f>
        <v>8497.86194340525</v>
      </c>
      <c r="L122" s="53" t="n">
        <f aca="false">IF(OR($A122&gt;TOMATO_BED_CAP,$B122&gt;CARROT_BED_CAP,L$4&gt;MESCLUN_BED_CAP,$A122+$B122+L$4&gt;TOTAL_BEDS_AVAILABLE,($D122+L$5)&gt;TOTAL_LABOR_HOURS_CAP,MAX(0,($D122+L$5)-PERMANENT_FIELD_LABOR_HOURS)&gt;TEMP_HOURS_CAP),"",$C122+L$6-MIN(($D122+L$5),PERMANENT_FIELD_LABOR_HOURS)*PERMANENT_HOURLY_RATE-MAX(0,($D122+L$5)-PERMANENT_FIELD_LABOR_HOURS)*TEMP_HOURLY_RATE-FIXED_SEASON_COST)</f>
        <v>9424.2563916121</v>
      </c>
      <c r="M122" s="53" t="n">
        <f aca="false">IF(OR($A122&gt;TOMATO_BED_CAP,$B122&gt;CARROT_BED_CAP,M$4&gt;MESCLUN_BED_CAP,$A122+$B122+M$4&gt;TOTAL_BEDS_AVAILABLE,($D122+M$5)&gt;TOTAL_LABOR_HOURS_CAP,MAX(0,($D122+M$5)-PERMANENT_FIELD_LABOR_HOURS)&gt;TEMP_HOURS_CAP),"",$C122+M$6-MIN(($D122+M$5),PERMANENT_FIELD_LABOR_HOURS)*PERMANENT_HOURLY_RATE-MAX(0,($D122+M$5)-PERMANENT_FIELD_LABOR_HOURS)*TEMP_HOURLY_RATE-FIXED_SEASON_COST)</f>
        <v>10328.9601236635</v>
      </c>
      <c r="N122" s="53" t="n">
        <f aca="false">IF(OR($A122&gt;TOMATO_BED_CAP,$B122&gt;CARROT_BED_CAP,N$4&gt;MESCLUN_BED_CAP,$A122+$B122+N$4&gt;TOTAL_BEDS_AVAILABLE,($D122+N$5)&gt;TOTAL_LABOR_HOURS_CAP,MAX(0,($D122+N$5)-PERMANENT_FIELD_LABOR_HOURS)&gt;TEMP_HOURS_CAP),"",$C122+N$6-MIN(($D122+N$5),PERMANENT_FIELD_LABOR_HOURS)*PERMANENT_HOURLY_RATE-MAX(0,($D122+N$5)-PERMANENT_FIELD_LABOR_HOURS)*TEMP_HOURLY_RATE-FIXED_SEASON_COST)</f>
        <v>11211.570497523</v>
      </c>
      <c r="O122" s="53" t="n">
        <f aca="false">IF(OR($A122&gt;TOMATO_BED_CAP,$B122&gt;CARROT_BED_CAP,O$4&gt;MESCLUN_BED_CAP,$A122+$B122+O$4&gt;TOTAL_BEDS_AVAILABLE,($D122+O$5)&gt;TOTAL_LABOR_HOURS_CAP,MAX(0,($D122+O$5)-PERMANENT_FIELD_LABOR_HOURS)&gt;TEMP_HOURS_CAP),"",$C122+O$6-MIN(($D122+O$5),PERMANENT_FIELD_LABOR_HOURS)*PERMANENT_HOURLY_RATE-MAX(0,($D122+O$5)-PERMANENT_FIELD_LABOR_HOURS)*TEMP_HOURLY_RATE-FIXED_SEASON_COST)</f>
        <v>12071.6781942778</v>
      </c>
      <c r="P122" s="53" t="n">
        <f aca="false">IF(OR($A122&gt;TOMATO_BED_CAP,$B122&gt;CARROT_BED_CAP,P$4&gt;MESCLUN_BED_CAP,$A122+$B122+P$4&gt;TOTAL_BEDS_AVAILABLE,($D122+P$5)&gt;TOTAL_LABOR_HOURS_CAP,MAX(0,($D122+P$5)-PERMANENT_FIELD_LABOR_HOURS)&gt;TEMP_HOURS_CAP),"",$C122+P$6-MIN(($D122+P$5),PERMANENT_FIELD_LABOR_HOURS)*PERMANENT_HOURLY_RATE-MAX(0,($D122+P$5)-PERMANENT_FIELD_LABOR_HOURS)*TEMP_HOURLY_RATE-FIXED_SEASON_COST)</f>
        <v>12908.8671141292</v>
      </c>
      <c r="Q122" s="53" t="n">
        <f aca="false">IF(OR($A122&gt;TOMATO_BED_CAP,$B122&gt;CARROT_BED_CAP,Q$4&gt;MESCLUN_BED_CAP,$A122+$B122+Q$4&gt;TOTAL_BEDS_AVAILABLE,($D122+Q$5)&gt;TOTAL_LABOR_HOURS_CAP,MAX(0,($D122+Q$5)-PERMANENT_FIELD_LABOR_HOURS)&gt;TEMP_HOURS_CAP),"",$C122+Q$6-MIN(($D122+Q$5),PERMANENT_FIELD_LABOR_HOURS)*PERMANENT_HOURLY_RATE-MAX(0,($D122+Q$5)-PERMANENT_FIELD_LABOR_HOURS)*TEMP_HOURLY_RATE-FIXED_SEASON_COST)</f>
        <v>13722.7142708271</v>
      </c>
      <c r="R122" s="53" t="n">
        <f aca="false">IF(OR($A122&gt;TOMATO_BED_CAP,$B122&gt;CARROT_BED_CAP,R$4&gt;MESCLUN_BED_CAP,$A122+$B122+R$4&gt;TOTAL_BEDS_AVAILABLE,($D122+R$5)&gt;TOTAL_LABOR_HOURS_CAP,MAX(0,($D122+R$5)-PERMANENT_FIELD_LABOR_HOURS)&gt;TEMP_HOURS_CAP),"",$C122+R$6-MIN(($D122+R$5),PERMANENT_FIELD_LABOR_HOURS)*PERMANENT_HOURLY_RATE-MAX(0,($D122+R$5)-PERMANENT_FIELD_LABOR_HOURS)*TEMP_HOURLY_RATE-FIXED_SEASON_COST)</f>
        <v>14512.7896845239</v>
      </c>
      <c r="S122" s="53" t="n">
        <f aca="false">IF(OR($A122&gt;TOMATO_BED_CAP,$B122&gt;CARROT_BED_CAP,S$4&gt;MESCLUN_BED_CAP,$A122+$B122+S$4&gt;TOTAL_BEDS_AVAILABLE,($D122+S$5)&gt;TOTAL_LABOR_HOURS_CAP,MAX(0,($D122+S$5)-PERMANENT_FIELD_LABOR_HOURS)&gt;TEMP_HOURS_CAP),"",$C122+S$6-MIN(($D122+S$5),PERMANENT_FIELD_LABOR_HOURS)*PERMANENT_HOURLY_RATE-MAX(0,($D122+S$5)-PERMANENT_FIELD_LABOR_HOURS)*TEMP_HOURLY_RATE-FIXED_SEASON_COST)</f>
        <v>15278.6562730264</v>
      </c>
      <c r="T122" s="53" t="n">
        <f aca="false">IF(OR($A122&gt;TOMATO_BED_CAP,$B122&gt;CARROT_BED_CAP,T$4&gt;MESCLUN_BED_CAP,$A122+$B122+T$4&gt;TOTAL_BEDS_AVAILABLE,($D122+T$5)&gt;TOTAL_LABOR_HOURS_CAP,MAX(0,($D122+T$5)-PERMANENT_FIELD_LABOR_HOURS)&gt;TEMP_HOURS_CAP),"",$C122+T$6-MIN(($D122+T$5),PERMANENT_FIELD_LABOR_HOURS)*PERMANENT_HOURLY_RATE-MAX(0,($D122+T$5)-PERMANENT_FIELD_LABOR_HOURS)*TEMP_HOURLY_RATE-FIXED_SEASON_COST)</f>
        <v>16019.8697414212</v>
      </c>
      <c r="U122" s="53" t="n">
        <f aca="false">IF(OR($A122&gt;TOMATO_BED_CAP,$B122&gt;CARROT_BED_CAP,U$4&gt;MESCLUN_BED_CAP,$A122+$B122+U$4&gt;TOTAL_BEDS_AVAILABLE,($D122+U$5)&gt;TOTAL_LABOR_HOURS_CAP,MAX(0,($D122+U$5)-PERMANENT_FIELD_LABOR_HOURS)&gt;TEMP_HOURS_CAP),"",$C122+U$6-MIN(($D122+U$5),PERMANENT_FIELD_LABOR_HOURS)*PERMANENT_HOURLY_RATE-MAX(0,($D122+U$5)-PERMANENT_FIELD_LABOR_HOURS)*TEMP_HOURLY_RATE-FIXED_SEASON_COST)</f>
        <v>16735.9784700513</v>
      </c>
      <c r="V122" s="53" t="n">
        <f aca="false">IF(OR($A122&gt;TOMATO_BED_CAP,$B122&gt;CARROT_BED_CAP,V$4&gt;MESCLUN_BED_CAP,$A122+$B122+V$4&gt;TOTAL_BEDS_AVAILABLE,($D122+V$5)&gt;TOTAL_LABOR_HOURS_CAP,MAX(0,($D122+V$5)-PERMANENT_FIELD_LABOR_HOURS)&gt;TEMP_HOURS_CAP),"",$C122+V$6-MIN(($D122+V$5),PERMANENT_FIELD_LABOR_HOURS)*PERMANENT_HOURLY_RATE-MAX(0,($D122+V$5)-PERMANENT_FIELD_LABOR_HOURS)*TEMP_HOURLY_RATE-FIXED_SEASON_COST)</f>
        <v>17426.5234008181</v>
      </c>
      <c r="W122" s="53" t="n">
        <f aca="false">IF(OR($A122&gt;TOMATO_BED_CAP,$B122&gt;CARROT_BED_CAP,W$4&gt;MESCLUN_BED_CAP,$A122+$B122+W$4&gt;TOTAL_BEDS_AVAILABLE,($D122+W$5)&gt;TOTAL_LABOR_HOURS_CAP,MAX(0,($D122+W$5)-PERMANENT_FIELD_LABOR_HOURS)&gt;TEMP_HOURS_CAP),"",$C122+W$6-MIN(($D122+W$5),PERMANENT_FIELD_LABOR_HOURS)*PERMANENT_HOURLY_RATE-MAX(0,($D122+W$5)-PERMANENT_FIELD_LABOR_HOURS)*TEMP_HOURLY_RATE-FIXED_SEASON_COST)</f>
        <v>18091.0379217862</v>
      </c>
      <c r="X122" s="53" t="n">
        <f aca="false">IF(OR($A122&gt;TOMATO_BED_CAP,$B122&gt;CARROT_BED_CAP,X$4&gt;MESCLUN_BED_CAP,$A122+$B122+X$4&gt;TOTAL_BEDS_AVAILABLE,($D122+X$5)&gt;TOTAL_LABOR_HOURS_CAP,MAX(0,($D122+X$5)-PERMANENT_FIELD_LABOR_HOURS)&gt;TEMP_HOURS_CAP),"",$C122+X$6-MIN(($D122+X$5),PERMANENT_FIELD_LABOR_HOURS)*PERMANENT_HOURLY_RATE-MAX(0,($D122+X$5)-PERMANENT_FIELD_LABOR_HOURS)*TEMP_HOURLY_RATE-FIXED_SEASON_COST)</f>
        <v>18729.0477500651</v>
      </c>
      <c r="Y122" s="53" t="n">
        <f aca="false">IF(OR($A122&gt;TOMATO_BED_CAP,$B122&gt;CARROT_BED_CAP,Y$4&gt;MESCLUN_BED_CAP,$A122+$B122+Y$4&gt;TOTAL_BEDS_AVAILABLE,($D122+Y$5)&gt;TOTAL_LABOR_HOURS_CAP,MAX(0,($D122+Y$5)-PERMANENT_FIELD_LABOR_HOURS)&gt;TEMP_HOURS_CAP),"",$C122+Y$6-MIN(($D122+Y$5),PERMANENT_FIELD_LABOR_HOURS)*PERMANENT_HOURLY_RATE-MAX(0,($D122+Y$5)-PERMANENT_FIELD_LABOR_HOURS)*TEMP_HOURLY_RATE-FIXED_SEASON_COST)</f>
        <v>19340.0708129438</v>
      </c>
      <c r="Z122" s="53" t="n">
        <f aca="false">IF(OR($A122&gt;TOMATO_BED_CAP,$B122&gt;CARROT_BED_CAP,Z$4&gt;MESCLUN_BED_CAP,$A122+$B122+Z$4&gt;TOTAL_BEDS_AVAILABLE,($D122+Z$5)&gt;TOTAL_LABOR_HOURS_CAP,MAX(0,($D122+Z$5)-PERMANENT_FIELD_LABOR_HOURS)&gt;TEMP_HOURS_CAP),"",$C122+Z$6-MIN(($D122+Z$5),PERMANENT_FIELD_LABOR_HOURS)*PERMANENT_HOURLY_RATE-MAX(0,($D122+Z$5)-PERMANENT_FIELD_LABOR_HOURS)*TEMP_HOURLY_RATE-FIXED_SEASON_COST)</f>
        <v>19923.6171272515</v>
      </c>
      <c r="AA122" s="53" t="n">
        <f aca="false">IF(OR($A122&gt;TOMATO_BED_CAP,$B122&gt;CARROT_BED_CAP,AA$4&gt;MESCLUN_BED_CAP,$A122+$B122+AA$4&gt;TOTAL_BEDS_AVAILABLE,($D122+AA$5)&gt;TOTAL_LABOR_HOURS_CAP,MAX(0,($D122+AA$5)-PERMANENT_FIELD_LABOR_HOURS)&gt;TEMP_HOURS_CAP),"",$C122+AA$6-MIN(($D122+AA$5),PERMANENT_FIELD_LABOR_HOURS)*PERMANENT_HOURLY_RATE-MAX(0,($D122+AA$5)-PERMANENT_FIELD_LABOR_HOURS)*TEMP_HOURLY_RATE-FIXED_SEASON_COST)</f>
        <v>20479.1886769204</v>
      </c>
      <c r="AB122" s="53" t="n">
        <f aca="false">IF(OR($A122&gt;TOMATO_BED_CAP,$B122&gt;CARROT_BED_CAP,AB$4&gt;MESCLUN_BED_CAP,$A122+$B122+AB$4&gt;TOTAL_BEDS_AVAILABLE,($D122+AB$5)&gt;TOTAL_LABOR_HOURS_CAP,MAX(0,($D122+AB$5)-PERMANENT_FIELD_LABOR_HOURS)&gt;TEMP_HOURS_CAP),"",$C122+AB$6-MIN(($D122+AB$5),PERMANENT_FIELD_LABOR_HOURS)*PERMANENT_HOURLY_RATE-MAX(0,($D122+AB$5)-PERMANENT_FIELD_LABOR_HOURS)*TEMP_HOURLY_RATE-FIXED_SEASON_COST)</f>
        <v>21006.279288723</v>
      </c>
      <c r="AC122" s="53" t="n">
        <f aca="false">IF(OR($A122&gt;TOMATO_BED_CAP,$B122&gt;CARROT_BED_CAP,AC$4&gt;MESCLUN_BED_CAP,$A122+$B122+AC$4&gt;TOTAL_BEDS_AVAILABLE,($D122+AC$5)&gt;TOTAL_LABOR_HOURS_CAP,MAX(0,($D122+AC$5)-PERMANENT_FIELD_LABOR_HOURS)&gt;TEMP_HOURS_CAP),"",$C122+AC$6-MIN(($D122+AC$5),PERMANENT_FIELD_LABOR_HOURS)*PERMANENT_HOURLY_RATE-MAX(0,($D122+AC$5)-PERMANENT_FIELD_LABOR_HOURS)*TEMP_HOURLY_RATE-FIXED_SEASON_COST)</f>
        <v>21504.3745061579</v>
      </c>
      <c r="AD122" s="53" t="n">
        <f aca="false">IF(OR($A122&gt;TOMATO_BED_CAP,$B122&gt;CARROT_BED_CAP,AD$4&gt;MESCLUN_BED_CAP,$A122+$B122+AD$4&gt;TOTAL_BEDS_AVAILABLE,($D122+AD$5)&gt;TOTAL_LABOR_HOURS_CAP,MAX(0,($D122+AD$5)-PERMANENT_FIELD_LABOR_HOURS)&gt;TEMP_HOURS_CAP),"",$C122+AD$6-MIN(($D122+AD$5),PERMANENT_FIELD_LABOR_HOURS)*PERMANENT_HOURLY_RATE-MAX(0,($D122+AD$5)-PERMANENT_FIELD_LABOR_HOURS)*TEMP_HOURLY_RATE-FIXED_SEASON_COST)</f>
        <v>21972.9514614578</v>
      </c>
      <c r="AE122" s="53" t="n">
        <f aca="false">IF(OR($A122&gt;TOMATO_BED_CAP,$B122&gt;CARROT_BED_CAP,AE$4&gt;MESCLUN_BED_CAP,$A122+$B122+AE$4&gt;TOTAL_BEDS_AVAILABLE,($D122+AE$5)&gt;TOTAL_LABOR_HOURS_CAP,MAX(0,($D122+AE$5)-PERMANENT_FIELD_LABOR_HOURS)&gt;TEMP_HOURS_CAP),"",$C122+AE$6-MIN(($D122+AE$5),PERMANENT_FIELD_LABOR_HOURS)*PERMANENT_HOURLY_RATE-MAX(0,($D122+AE$5)-PERMANENT_FIELD_LABOR_HOURS)*TEMP_HOURLY_RATE-FIXED_SEASON_COST)</f>
        <v>22411.4787456917</v>
      </c>
      <c r="AF122" s="53" t="n">
        <f aca="false">IF(OR($A122&gt;TOMATO_BED_CAP,$B122&gt;CARROT_BED_CAP,AF$4&gt;MESCLUN_BED_CAP,$A122+$B122+AF$4&gt;TOTAL_BEDS_AVAILABLE,($D122+AF$5)&gt;TOTAL_LABOR_HOURS_CAP,MAX(0,($D122+AF$5)-PERMANENT_FIELD_LABOR_HOURS)&gt;TEMP_HOURS_CAP),"",$C122+AF$6-MIN(($D122+AF$5),PERMANENT_FIELD_LABOR_HOURS)*PERMANENT_HOURLY_RATE-MAX(0,($D122+AF$5)-PERMANENT_FIELD_LABOR_HOURS)*TEMP_HOURLY_RATE-FIXED_SEASON_COST)</f>
        <v>22819.4162769337</v>
      </c>
      <c r="AG122" s="53" t="n">
        <f aca="false">IF(OR($A122&gt;TOMATO_BED_CAP,$B122&gt;CARROT_BED_CAP,AG$4&gt;MESCLUN_BED_CAP,$A122+$B122+AG$4&gt;TOTAL_BEDS_AVAILABLE,($D122+AG$5)&gt;TOTAL_LABOR_HOURS_CAP,MAX(0,($D122+AG$5)-PERMANENT_FIELD_LABOR_HOURS)&gt;TEMP_HOURS_CAP),"",$C122+AG$6-MIN(($D122+AG$5),PERMANENT_FIELD_LABOR_HOURS)*PERMANENT_HOURLY_RATE-MAX(0,($D122+AG$5)-PERMANENT_FIELD_LABOR_HOURS)*TEMP_HOURLY_RATE-FIXED_SEASON_COST)</f>
        <v>23196.2151664707</v>
      </c>
      <c r="AH122" s="53" t="n">
        <f aca="false">IF(OR($A122&gt;TOMATO_BED_CAP,$B122&gt;CARROT_BED_CAP,AH$4&gt;MESCLUN_BED_CAP,$A122+$B122+AH$4&gt;TOTAL_BEDS_AVAILABLE,($D122+AH$5)&gt;TOTAL_LABOR_HOURS_CAP,MAX(0,($D122+AH$5)-PERMANENT_FIELD_LABOR_HOURS)&gt;TEMP_HOURS_CAP),"",$C122+AH$6-MIN(($D122+AH$5),PERMANENT_FIELD_LABOR_HOURS)*PERMANENT_HOURLY_RATE-MAX(0,($D122+AH$5)-PERMANENT_FIELD_LABOR_HOURS)*TEMP_HOURLY_RATE-FIXED_SEASON_COST)</f>
        <v>23541.3175830209</v>
      </c>
      <c r="AI122" s="53" t="n">
        <f aca="false">IF(OR($A122&gt;TOMATO_BED_CAP,$B122&gt;CARROT_BED_CAP,AI$4&gt;MESCLUN_BED_CAP,$A122+$B122+AI$4&gt;TOTAL_BEDS_AVAILABLE,($D122+AI$5)&gt;TOTAL_LABOR_HOURS_CAP,MAX(0,($D122+AI$5)-PERMANENT_FIELD_LABOR_HOURS)&gt;TEMP_HOURS_CAP),"",$C122+AI$6-MIN(($D122+AI$5),PERMANENT_FIELD_LABOR_HOURS)*PERMANENT_HOURLY_RATE-MAX(0,($D122+AI$5)-PERMANENT_FIELD_LABOR_HOURS)*TEMP_HOURLY_RATE-FIXED_SEASON_COST)</f>
        <v>23854.1566149332</v>
      </c>
      <c r="AJ122" s="53" t="n">
        <f aca="false">IF(OR($A122&gt;TOMATO_BED_CAP,$B122&gt;CARROT_BED_CAP,AJ$4&gt;MESCLUN_BED_CAP,$A122+$B122+AJ$4&gt;TOTAL_BEDS_AVAILABLE,($D122+AJ$5)&gt;TOTAL_LABOR_HOURS_CAP,MAX(0,($D122+AJ$5)-PERMANENT_FIELD_LABOR_HOURS)&gt;TEMP_HOURS_CAP),"",$C122+AJ$6-MIN(($D122+AJ$5),PERMANENT_FIELD_LABOR_HOURS)*PERMANENT_HOURLY_RATE-MAX(0,($D122+AJ$5)-PERMANENT_FIELD_LABOR_HOURS)*TEMP_HOURLY_RATE-FIXED_SEASON_COST)</f>
        <v>24134.1561303389</v>
      </c>
    </row>
    <row r="123" customFormat="false" ht="15" hidden="false" customHeight="false" outlineLevel="0" collapsed="false">
      <c r="A123" s="21" t="n">
        <f aca="false">INT((ROW()-ROW($A$8))/(20+1))</f>
        <v>5</v>
      </c>
      <c r="B123" s="21" t="n">
        <f aca="false">MOD(ROW()-ROW($A$8),20+1)</f>
        <v>10</v>
      </c>
      <c r="C123" s="13" t="n">
        <f aca="false">A123*(TOMATO_REVENUE_PER_BED-TOMATO_FERTILIZER_PER_BED)+B123*(CARROT_REVENUE_PER_BED-CARROT_FERTILIZER_PER_BED)</f>
        <v>56140</v>
      </c>
      <c r="D123" s="14" t="n">
        <f aca="false">INDEX(TOMATO_SCHED_LABOR_HRS,A123+1)+INDEX(CARROT_SCHED_LABOR_HRS,B123+1)</f>
        <v>1108.6012531136</v>
      </c>
      <c r="E123" s="13" t="n">
        <f aca="false">IF(COUNT(F123:AJ123)=0,"",MAX(F123:AJ123))</f>
        <v>24975.4715408204</v>
      </c>
      <c r="F123" s="53" t="n">
        <f aca="false">IF(OR($A123&gt;TOMATO_BED_CAP,$B123&gt;CARROT_BED_CAP,F$4&gt;MESCLUN_BED_CAP,$A123+$B123+F$4&gt;TOTAL_BEDS_AVAILABLE,($D123+F$5)&gt;TOTAL_LABOR_HOURS_CAP,MAX(0,($D123+F$5)-PERMANENT_FIELD_LABOR_HOURS)&gt;TEMP_HOURS_CAP),"",$C123+F$6-MIN(($D123+F$5),PERMANENT_FIELD_LABOR_HOURS)*PERMANENT_HOURLY_RATE-MAX(0,($D123+F$5)-PERMANENT_FIELD_LABOR_HOURS)*TEMP_HOURLY_RATE-FIXED_SEASON_COST)</f>
        <v>4395.48224594784</v>
      </c>
      <c r="G123" s="53" t="n">
        <f aca="false">IF(OR($A123&gt;TOMATO_BED_CAP,$B123&gt;CARROT_BED_CAP,G$4&gt;MESCLUN_BED_CAP,$A123+$B123+G$4&gt;TOTAL_BEDS_AVAILABLE,($D123+G$5)&gt;TOTAL_LABOR_HOURS_CAP,MAX(0,($D123+G$5)-PERMANENT_FIELD_LABOR_HOURS)&gt;TEMP_HOURS_CAP),"",$C123+G$6-MIN(($D123+G$5),PERMANENT_FIELD_LABOR_HOURS)*PERMANENT_HOURLY_RATE-MAX(0,($D123+G$5)-PERMANENT_FIELD_LABOR_HOURS)*TEMP_HOURLY_RATE-FIXED_SEASON_COST)</f>
        <v>5424.51724594785</v>
      </c>
      <c r="H123" s="53" t="n">
        <f aca="false">IF(OR($A123&gt;TOMATO_BED_CAP,$B123&gt;CARROT_BED_CAP,H$4&gt;MESCLUN_BED_CAP,$A123+$B123+H$4&gt;TOTAL_BEDS_AVAILABLE,($D123+H$5)&gt;TOTAL_LABOR_HOURS_CAP,MAX(0,($D123+H$5)-PERMANENT_FIELD_LABOR_HOURS)&gt;TEMP_HOURS_CAP),"",$C123+H$6-MIN(($D123+H$5),PERMANENT_FIELD_LABOR_HOURS)*PERMANENT_HOURLY_RATE-MAX(0,($D123+H$5)-PERMANENT_FIELD_LABOR_HOURS)*TEMP_HOURLY_RATE-FIXED_SEASON_COST)</f>
        <v>6433.77812094785</v>
      </c>
      <c r="I123" s="53" t="n">
        <f aca="false">IF(OR($A123&gt;TOMATO_BED_CAP,$B123&gt;CARROT_BED_CAP,I$4&gt;MESCLUN_BED_CAP,$A123+$B123+I$4&gt;TOTAL_BEDS_AVAILABLE,($D123+I$5)&gt;TOTAL_LABOR_HOURS_CAP,MAX(0,($D123+I$5)-PERMANENT_FIELD_LABOR_HOURS)&gt;TEMP_HOURS_CAP),"",$C123+I$6-MIN(($D123+I$5),PERMANENT_FIELD_LABOR_HOURS)*PERMANENT_HOURLY_RATE-MAX(0,($D123+I$5)-PERMANENT_FIELD_LABOR_HOURS)*TEMP_HOURLY_RATE-FIXED_SEASON_COST)</f>
        <v>7422.8941061041</v>
      </c>
      <c r="J123" s="53" t="n">
        <f aca="false">IF(OR($A123&gt;TOMATO_BED_CAP,$B123&gt;CARROT_BED_CAP,J$4&gt;MESCLUN_BED_CAP,$A123+$B123+J$4&gt;TOTAL_BEDS_AVAILABLE,($D123+J$5)&gt;TOTAL_LABOR_HOURS_CAP,MAX(0,($D123+J$5)-PERMANENT_FIELD_LABOR_HOURS)&gt;TEMP_HOURS_CAP),"",$C123+J$6-MIN(($D123+J$5),PERMANENT_FIELD_LABOR_HOURS)*PERMANENT_HOURLY_RATE-MAX(0,($D123+J$5)-PERMANENT_FIELD_LABOR_HOURS)*TEMP_HOURLY_RATE-FIXED_SEASON_COST)</f>
        <v>8391.48825715878</v>
      </c>
      <c r="K123" s="53" t="n">
        <f aca="false">IF(OR($A123&gt;TOMATO_BED_CAP,$B123&gt;CARROT_BED_CAP,K$4&gt;MESCLUN_BED_CAP,$A123+$B123+K$4&gt;TOTAL_BEDS_AVAILABLE,($D123+K$5)&gt;TOTAL_LABOR_HOURS_CAP,MAX(0,($D123+K$5)-PERMANENT_FIELD_LABOR_HOURS)&gt;TEMP_HOURS_CAP),"",$C123+K$6-MIN(($D123+K$5),PERMANENT_FIELD_LABOR_HOURS)*PERMANENT_HOURLY_RATE-MAX(0,($D123+K$5)-PERMANENT_FIELD_LABOR_HOURS)*TEMP_HOURLY_RATE-FIXED_SEASON_COST)</f>
        <v>9339.17735388669</v>
      </c>
      <c r="L123" s="53" t="n">
        <f aca="false">IF(OR($A123&gt;TOMATO_BED_CAP,$B123&gt;CARROT_BED_CAP,L$4&gt;MESCLUN_BED_CAP,$A123+$B123+L$4&gt;TOTAL_BEDS_AVAILABLE,($D123+L$5)&gt;TOTAL_LABOR_HOURS_CAP,MAX(0,($D123+L$5)-PERMANENT_FIELD_LABOR_HOURS)&gt;TEMP_HOURS_CAP),"",$C123+L$6-MIN(($D123+L$5),PERMANENT_FIELD_LABOR_HOURS)*PERMANENT_HOURLY_RATE-MAX(0,($D123+L$5)-PERMANENT_FIELD_LABOR_HOURS)*TEMP_HOURLY_RATE-FIXED_SEASON_COST)</f>
        <v>10265.5718020935</v>
      </c>
      <c r="M123" s="53" t="n">
        <f aca="false">IF(OR($A123&gt;TOMATO_BED_CAP,$B123&gt;CARROT_BED_CAP,M$4&gt;MESCLUN_BED_CAP,$A123+$B123+M$4&gt;TOTAL_BEDS_AVAILABLE,($D123+M$5)&gt;TOTAL_LABOR_HOURS_CAP,MAX(0,($D123+M$5)-PERMANENT_FIELD_LABOR_HOURS)&gt;TEMP_HOURS_CAP),"",$C123+M$6-MIN(($D123+M$5),PERMANENT_FIELD_LABOR_HOURS)*PERMANENT_HOURLY_RATE-MAX(0,($D123+M$5)-PERMANENT_FIELD_LABOR_HOURS)*TEMP_HOURLY_RATE-FIXED_SEASON_COST)</f>
        <v>11170.275534145</v>
      </c>
      <c r="N123" s="53" t="n">
        <f aca="false">IF(OR($A123&gt;TOMATO_BED_CAP,$B123&gt;CARROT_BED_CAP,N$4&gt;MESCLUN_BED_CAP,$A123+$B123+N$4&gt;TOTAL_BEDS_AVAILABLE,($D123+N$5)&gt;TOTAL_LABOR_HOURS_CAP,MAX(0,($D123+N$5)-PERMANENT_FIELD_LABOR_HOURS)&gt;TEMP_HOURS_CAP),"",$C123+N$6-MIN(($D123+N$5),PERMANENT_FIELD_LABOR_HOURS)*PERMANENT_HOURLY_RATE-MAX(0,($D123+N$5)-PERMANENT_FIELD_LABOR_HOURS)*TEMP_HOURLY_RATE-FIXED_SEASON_COST)</f>
        <v>12052.8859080045</v>
      </c>
      <c r="O123" s="53" t="n">
        <f aca="false">IF(OR($A123&gt;TOMATO_BED_CAP,$B123&gt;CARROT_BED_CAP,O$4&gt;MESCLUN_BED_CAP,$A123+$B123+O$4&gt;TOTAL_BEDS_AVAILABLE,($D123+O$5)&gt;TOTAL_LABOR_HOURS_CAP,MAX(0,($D123+O$5)-PERMANENT_FIELD_LABOR_HOURS)&gt;TEMP_HOURS_CAP),"",$C123+O$6-MIN(($D123+O$5),PERMANENT_FIELD_LABOR_HOURS)*PERMANENT_HOURLY_RATE-MAX(0,($D123+O$5)-PERMANENT_FIELD_LABOR_HOURS)*TEMP_HOURLY_RATE-FIXED_SEASON_COST)</f>
        <v>12912.9936047593</v>
      </c>
      <c r="P123" s="53" t="n">
        <f aca="false">IF(OR($A123&gt;TOMATO_BED_CAP,$B123&gt;CARROT_BED_CAP,P$4&gt;MESCLUN_BED_CAP,$A123+$B123+P$4&gt;TOTAL_BEDS_AVAILABLE,($D123+P$5)&gt;TOTAL_LABOR_HOURS_CAP,MAX(0,($D123+P$5)-PERMANENT_FIELD_LABOR_HOURS)&gt;TEMP_HOURS_CAP),"",$C123+P$6-MIN(($D123+P$5),PERMANENT_FIELD_LABOR_HOURS)*PERMANENT_HOURLY_RATE-MAX(0,($D123+P$5)-PERMANENT_FIELD_LABOR_HOURS)*TEMP_HOURLY_RATE-FIXED_SEASON_COST)</f>
        <v>13750.1825246107</v>
      </c>
      <c r="Q123" s="53" t="n">
        <f aca="false">IF(OR($A123&gt;TOMATO_BED_CAP,$B123&gt;CARROT_BED_CAP,Q$4&gt;MESCLUN_BED_CAP,$A123+$B123+Q$4&gt;TOTAL_BEDS_AVAILABLE,($D123+Q$5)&gt;TOTAL_LABOR_HOURS_CAP,MAX(0,($D123+Q$5)-PERMANENT_FIELD_LABOR_HOURS)&gt;TEMP_HOURS_CAP),"",$C123+Q$6-MIN(($D123+Q$5),PERMANENT_FIELD_LABOR_HOURS)*PERMANENT_HOURLY_RATE-MAX(0,($D123+Q$5)-PERMANENT_FIELD_LABOR_HOURS)*TEMP_HOURLY_RATE-FIXED_SEASON_COST)</f>
        <v>14564.0296813086</v>
      </c>
      <c r="R123" s="53" t="n">
        <f aca="false">IF(OR($A123&gt;TOMATO_BED_CAP,$B123&gt;CARROT_BED_CAP,R$4&gt;MESCLUN_BED_CAP,$A123+$B123+R$4&gt;TOTAL_BEDS_AVAILABLE,($D123+R$5)&gt;TOTAL_LABOR_HOURS_CAP,MAX(0,($D123+R$5)-PERMANENT_FIELD_LABOR_HOURS)&gt;TEMP_HOURS_CAP),"",$C123+R$6-MIN(($D123+R$5),PERMANENT_FIELD_LABOR_HOURS)*PERMANENT_HOURLY_RATE-MAX(0,($D123+R$5)-PERMANENT_FIELD_LABOR_HOURS)*TEMP_HOURLY_RATE-FIXED_SEASON_COST)</f>
        <v>15354.1050950054</v>
      </c>
      <c r="S123" s="53" t="n">
        <f aca="false">IF(OR($A123&gt;TOMATO_BED_CAP,$B123&gt;CARROT_BED_CAP,S$4&gt;MESCLUN_BED_CAP,$A123+$B123+S$4&gt;TOTAL_BEDS_AVAILABLE,($D123+S$5)&gt;TOTAL_LABOR_HOURS_CAP,MAX(0,($D123+S$5)-PERMANENT_FIELD_LABOR_HOURS)&gt;TEMP_HOURS_CAP),"",$C123+S$6-MIN(($D123+S$5),PERMANENT_FIELD_LABOR_HOURS)*PERMANENT_HOURLY_RATE-MAX(0,($D123+S$5)-PERMANENT_FIELD_LABOR_HOURS)*TEMP_HOURLY_RATE-FIXED_SEASON_COST)</f>
        <v>16119.9716835078</v>
      </c>
      <c r="T123" s="53" t="n">
        <f aca="false">IF(OR($A123&gt;TOMATO_BED_CAP,$B123&gt;CARROT_BED_CAP,T$4&gt;MESCLUN_BED_CAP,$A123+$B123+T$4&gt;TOTAL_BEDS_AVAILABLE,($D123+T$5)&gt;TOTAL_LABOR_HOURS_CAP,MAX(0,($D123+T$5)-PERMANENT_FIELD_LABOR_HOURS)&gt;TEMP_HOURS_CAP),"",$C123+T$6-MIN(($D123+T$5),PERMANENT_FIELD_LABOR_HOURS)*PERMANENT_HOURLY_RATE-MAX(0,($D123+T$5)-PERMANENT_FIELD_LABOR_HOURS)*TEMP_HOURLY_RATE-FIXED_SEASON_COST)</f>
        <v>16861.1851519027</v>
      </c>
      <c r="U123" s="53" t="n">
        <f aca="false">IF(OR($A123&gt;TOMATO_BED_CAP,$B123&gt;CARROT_BED_CAP,U$4&gt;MESCLUN_BED_CAP,$A123+$B123+U$4&gt;TOTAL_BEDS_AVAILABLE,($D123+U$5)&gt;TOTAL_LABOR_HOURS_CAP,MAX(0,($D123+U$5)-PERMANENT_FIELD_LABOR_HOURS)&gt;TEMP_HOURS_CAP),"",$C123+U$6-MIN(($D123+U$5),PERMANENT_FIELD_LABOR_HOURS)*PERMANENT_HOURLY_RATE-MAX(0,($D123+U$5)-PERMANENT_FIELD_LABOR_HOURS)*TEMP_HOURLY_RATE-FIXED_SEASON_COST)</f>
        <v>17577.2938805328</v>
      </c>
      <c r="V123" s="53" t="n">
        <f aca="false">IF(OR($A123&gt;TOMATO_BED_CAP,$B123&gt;CARROT_BED_CAP,V$4&gt;MESCLUN_BED_CAP,$A123+$B123+V$4&gt;TOTAL_BEDS_AVAILABLE,($D123+V$5)&gt;TOTAL_LABOR_HOURS_CAP,MAX(0,($D123+V$5)-PERMANENT_FIELD_LABOR_HOURS)&gt;TEMP_HOURS_CAP),"",$C123+V$6-MIN(($D123+V$5),PERMANENT_FIELD_LABOR_HOURS)*PERMANENT_HOURLY_RATE-MAX(0,($D123+V$5)-PERMANENT_FIELD_LABOR_HOURS)*TEMP_HOURLY_RATE-FIXED_SEASON_COST)</f>
        <v>18267.8388112996</v>
      </c>
      <c r="W123" s="53" t="n">
        <f aca="false">IF(OR($A123&gt;TOMATO_BED_CAP,$B123&gt;CARROT_BED_CAP,W$4&gt;MESCLUN_BED_CAP,$A123+$B123+W$4&gt;TOTAL_BEDS_AVAILABLE,($D123+W$5)&gt;TOTAL_LABOR_HOURS_CAP,MAX(0,($D123+W$5)-PERMANENT_FIELD_LABOR_HOURS)&gt;TEMP_HOURS_CAP),"",$C123+W$6-MIN(($D123+W$5),PERMANENT_FIELD_LABOR_HOURS)*PERMANENT_HOURLY_RATE-MAX(0,($D123+W$5)-PERMANENT_FIELD_LABOR_HOURS)*TEMP_HOURLY_RATE-FIXED_SEASON_COST)</f>
        <v>18932.3533322676</v>
      </c>
      <c r="X123" s="53" t="n">
        <f aca="false">IF(OR($A123&gt;TOMATO_BED_CAP,$B123&gt;CARROT_BED_CAP,X$4&gt;MESCLUN_BED_CAP,$A123+$B123+X$4&gt;TOTAL_BEDS_AVAILABLE,($D123+X$5)&gt;TOTAL_LABOR_HOURS_CAP,MAX(0,($D123+X$5)-PERMANENT_FIELD_LABOR_HOURS)&gt;TEMP_HOURS_CAP),"",$C123+X$6-MIN(($D123+X$5),PERMANENT_FIELD_LABOR_HOURS)*PERMANENT_HOURLY_RATE-MAX(0,($D123+X$5)-PERMANENT_FIELD_LABOR_HOURS)*TEMP_HOURLY_RATE-FIXED_SEASON_COST)</f>
        <v>19570.3631605465</v>
      </c>
      <c r="Y123" s="53" t="n">
        <f aca="false">IF(OR($A123&gt;TOMATO_BED_CAP,$B123&gt;CARROT_BED_CAP,Y$4&gt;MESCLUN_BED_CAP,$A123+$B123+Y$4&gt;TOTAL_BEDS_AVAILABLE,($D123+Y$5)&gt;TOTAL_LABOR_HOURS_CAP,MAX(0,($D123+Y$5)-PERMANENT_FIELD_LABOR_HOURS)&gt;TEMP_HOURS_CAP),"",$C123+Y$6-MIN(($D123+Y$5),PERMANENT_FIELD_LABOR_HOURS)*PERMANENT_HOURLY_RATE-MAX(0,($D123+Y$5)-PERMANENT_FIELD_LABOR_HOURS)*TEMP_HOURLY_RATE-FIXED_SEASON_COST)</f>
        <v>20181.3862234252</v>
      </c>
      <c r="Z123" s="53" t="n">
        <f aca="false">IF(OR($A123&gt;TOMATO_BED_CAP,$B123&gt;CARROT_BED_CAP,Z$4&gt;MESCLUN_BED_CAP,$A123+$B123+Z$4&gt;TOTAL_BEDS_AVAILABLE,($D123+Z$5)&gt;TOTAL_LABOR_HOURS_CAP,MAX(0,($D123+Z$5)-PERMANENT_FIELD_LABOR_HOURS)&gt;TEMP_HOURS_CAP),"",$C123+Z$6-MIN(($D123+Z$5),PERMANENT_FIELD_LABOR_HOURS)*PERMANENT_HOURLY_RATE-MAX(0,($D123+Z$5)-PERMANENT_FIELD_LABOR_HOURS)*TEMP_HOURLY_RATE-FIXED_SEASON_COST)</f>
        <v>20764.9325377329</v>
      </c>
      <c r="AA123" s="53" t="n">
        <f aca="false">IF(OR($A123&gt;TOMATO_BED_CAP,$B123&gt;CARROT_BED_CAP,AA$4&gt;MESCLUN_BED_CAP,$A123+$B123+AA$4&gt;TOTAL_BEDS_AVAILABLE,($D123+AA$5)&gt;TOTAL_LABOR_HOURS_CAP,MAX(0,($D123+AA$5)-PERMANENT_FIELD_LABOR_HOURS)&gt;TEMP_HOURS_CAP),"",$C123+AA$6-MIN(($D123+AA$5),PERMANENT_FIELD_LABOR_HOURS)*PERMANENT_HOURLY_RATE-MAX(0,($D123+AA$5)-PERMANENT_FIELD_LABOR_HOURS)*TEMP_HOURLY_RATE-FIXED_SEASON_COST)</f>
        <v>21320.5040874019</v>
      </c>
      <c r="AB123" s="53" t="n">
        <f aca="false">IF(OR($A123&gt;TOMATO_BED_CAP,$B123&gt;CARROT_BED_CAP,AB$4&gt;MESCLUN_BED_CAP,$A123+$B123+AB$4&gt;TOTAL_BEDS_AVAILABLE,($D123+AB$5)&gt;TOTAL_LABOR_HOURS_CAP,MAX(0,($D123+AB$5)-PERMANENT_FIELD_LABOR_HOURS)&gt;TEMP_HOURS_CAP),"",$C123+AB$6-MIN(($D123+AB$5),PERMANENT_FIELD_LABOR_HOURS)*PERMANENT_HOURLY_RATE-MAX(0,($D123+AB$5)-PERMANENT_FIELD_LABOR_HOURS)*TEMP_HOURLY_RATE-FIXED_SEASON_COST)</f>
        <v>21847.5946992044</v>
      </c>
      <c r="AC123" s="53" t="n">
        <f aca="false">IF(OR($A123&gt;TOMATO_BED_CAP,$B123&gt;CARROT_BED_CAP,AC$4&gt;MESCLUN_BED_CAP,$A123+$B123+AC$4&gt;TOTAL_BEDS_AVAILABLE,($D123+AC$5)&gt;TOTAL_LABOR_HOURS_CAP,MAX(0,($D123+AC$5)-PERMANENT_FIELD_LABOR_HOURS)&gt;TEMP_HOURS_CAP),"",$C123+AC$6-MIN(($D123+AC$5),PERMANENT_FIELD_LABOR_HOURS)*PERMANENT_HOURLY_RATE-MAX(0,($D123+AC$5)-PERMANENT_FIELD_LABOR_HOURS)*TEMP_HOURLY_RATE-FIXED_SEASON_COST)</f>
        <v>22345.6899166393</v>
      </c>
      <c r="AD123" s="53" t="n">
        <f aca="false">IF(OR($A123&gt;TOMATO_BED_CAP,$B123&gt;CARROT_BED_CAP,AD$4&gt;MESCLUN_BED_CAP,$A123+$B123+AD$4&gt;TOTAL_BEDS_AVAILABLE,($D123+AD$5)&gt;TOTAL_LABOR_HOURS_CAP,MAX(0,($D123+AD$5)-PERMANENT_FIELD_LABOR_HOURS)&gt;TEMP_HOURS_CAP),"",$C123+AD$6-MIN(($D123+AD$5),PERMANENT_FIELD_LABOR_HOURS)*PERMANENT_HOURLY_RATE-MAX(0,($D123+AD$5)-PERMANENT_FIELD_LABOR_HOURS)*TEMP_HOURLY_RATE-FIXED_SEASON_COST)</f>
        <v>22814.2668719393</v>
      </c>
      <c r="AE123" s="53" t="n">
        <f aca="false">IF(OR($A123&gt;TOMATO_BED_CAP,$B123&gt;CARROT_BED_CAP,AE$4&gt;MESCLUN_BED_CAP,$A123+$B123+AE$4&gt;TOTAL_BEDS_AVAILABLE,($D123+AE$5)&gt;TOTAL_LABOR_HOURS_CAP,MAX(0,($D123+AE$5)-PERMANENT_FIELD_LABOR_HOURS)&gt;TEMP_HOURS_CAP),"",$C123+AE$6-MIN(($D123+AE$5),PERMANENT_FIELD_LABOR_HOURS)*PERMANENT_HOURLY_RATE-MAX(0,($D123+AE$5)-PERMANENT_FIELD_LABOR_HOURS)*TEMP_HOURLY_RATE-FIXED_SEASON_COST)</f>
        <v>23252.7941561732</v>
      </c>
      <c r="AF123" s="53" t="n">
        <f aca="false">IF(OR($A123&gt;TOMATO_BED_CAP,$B123&gt;CARROT_BED_CAP,AF$4&gt;MESCLUN_BED_CAP,$A123+$B123+AF$4&gt;TOTAL_BEDS_AVAILABLE,($D123+AF$5)&gt;TOTAL_LABOR_HOURS_CAP,MAX(0,($D123+AF$5)-PERMANENT_FIELD_LABOR_HOURS)&gt;TEMP_HOURS_CAP),"",$C123+AF$6-MIN(($D123+AF$5),PERMANENT_FIELD_LABOR_HOURS)*PERMANENT_HOURLY_RATE-MAX(0,($D123+AF$5)-PERMANENT_FIELD_LABOR_HOURS)*TEMP_HOURLY_RATE-FIXED_SEASON_COST)</f>
        <v>23660.7316874151</v>
      </c>
      <c r="AG123" s="53" t="n">
        <f aca="false">IF(OR($A123&gt;TOMATO_BED_CAP,$B123&gt;CARROT_BED_CAP,AG$4&gt;MESCLUN_BED_CAP,$A123+$B123+AG$4&gt;TOTAL_BEDS_AVAILABLE,($D123+AG$5)&gt;TOTAL_LABOR_HOURS_CAP,MAX(0,($D123+AG$5)-PERMANENT_FIELD_LABOR_HOURS)&gt;TEMP_HOURS_CAP),"",$C123+AG$6-MIN(($D123+AG$5),PERMANENT_FIELD_LABOR_HOURS)*PERMANENT_HOURLY_RATE-MAX(0,($D123+AG$5)-PERMANENT_FIELD_LABOR_HOURS)*TEMP_HOURLY_RATE-FIXED_SEASON_COST)</f>
        <v>24037.5305769522</v>
      </c>
      <c r="AH123" s="53" t="n">
        <f aca="false">IF(OR($A123&gt;TOMATO_BED_CAP,$B123&gt;CARROT_BED_CAP,AH$4&gt;MESCLUN_BED_CAP,$A123+$B123+AH$4&gt;TOTAL_BEDS_AVAILABLE,($D123+AH$5)&gt;TOTAL_LABOR_HOURS_CAP,MAX(0,($D123+AH$5)-PERMANENT_FIELD_LABOR_HOURS)&gt;TEMP_HOURS_CAP),"",$C123+AH$6-MIN(($D123+AH$5),PERMANENT_FIELD_LABOR_HOURS)*PERMANENT_HOURLY_RATE-MAX(0,($D123+AH$5)-PERMANENT_FIELD_LABOR_HOURS)*TEMP_HOURLY_RATE-FIXED_SEASON_COST)</f>
        <v>24382.6329935024</v>
      </c>
      <c r="AI123" s="53" t="n">
        <f aca="false">IF(OR($A123&gt;TOMATO_BED_CAP,$B123&gt;CARROT_BED_CAP,AI$4&gt;MESCLUN_BED_CAP,$A123+$B123+AI$4&gt;TOTAL_BEDS_AVAILABLE,($D123+AI$5)&gt;TOTAL_LABOR_HOURS_CAP,MAX(0,($D123+AI$5)-PERMANENT_FIELD_LABOR_HOURS)&gt;TEMP_HOURS_CAP),"",$C123+AI$6-MIN(($D123+AI$5),PERMANENT_FIELD_LABOR_HOURS)*PERMANENT_HOURLY_RATE-MAX(0,($D123+AI$5)-PERMANENT_FIELD_LABOR_HOURS)*TEMP_HOURLY_RATE-FIXED_SEASON_COST)</f>
        <v>24695.4720254146</v>
      </c>
      <c r="AJ123" s="53" t="n">
        <f aca="false">IF(OR($A123&gt;TOMATO_BED_CAP,$B123&gt;CARROT_BED_CAP,AJ$4&gt;MESCLUN_BED_CAP,$A123+$B123+AJ$4&gt;TOTAL_BEDS_AVAILABLE,($D123+AJ$5)&gt;TOTAL_LABOR_HOURS_CAP,MAX(0,($D123+AJ$5)-PERMANENT_FIELD_LABOR_HOURS)&gt;TEMP_HOURS_CAP),"",$C123+AJ$6-MIN(($D123+AJ$5),PERMANENT_FIELD_LABOR_HOURS)*PERMANENT_HOURLY_RATE-MAX(0,($D123+AJ$5)-PERMANENT_FIELD_LABOR_HOURS)*TEMP_HOURLY_RATE-FIXED_SEASON_COST)</f>
        <v>24975.4715408204</v>
      </c>
    </row>
    <row r="124" customFormat="false" ht="15" hidden="false" customHeight="false" outlineLevel="0" collapsed="false">
      <c r="A124" s="21" t="n">
        <f aca="false">INT((ROW()-ROW($A$8))/(20+1))</f>
        <v>5</v>
      </c>
      <c r="B124" s="21" t="n">
        <f aca="false">MOD(ROW()-ROW($A$8),20+1)</f>
        <v>11</v>
      </c>
      <c r="C124" s="13" t="n">
        <f aca="false">A124*(TOMATO_REVENUE_PER_BED-TOMATO_FERTILIZER_PER_BED)+B124*(CARROT_REVENUE_PER_BED-CARROT_FERTILIZER_PER_BED)</f>
        <v>57794</v>
      </c>
      <c r="D124" s="14" t="n">
        <f aca="false">INDEX(TOMATO_SCHED_LABOR_HRS,A124+1)+INDEX(CARROT_SCHED_LABOR_HRS,B124+1)</f>
        <v>1157.54490163559</v>
      </c>
      <c r="E124" s="13" t="n">
        <f aca="false">IF(COUNT(F124:AJ124)=0,"",MAX(F124:AJ124))</f>
        <v>25779.8098024787</v>
      </c>
      <c r="F124" s="53" t="n">
        <f aca="false">IF(OR($A124&gt;TOMATO_BED_CAP,$B124&gt;CARROT_BED_CAP,F$4&gt;MESCLUN_BED_CAP,$A124+$B124+F$4&gt;TOTAL_BEDS_AVAILABLE,($D124+F$5)&gt;TOTAL_LABOR_HOURS_CAP,MAX(0,($D124+F$5)-PERMANENT_FIELD_LABOR_HOURS)&gt;TEMP_HOURS_CAP),"",$C124+F$6-MIN(($D124+F$5),PERMANENT_FIELD_LABOR_HOURS)*PERMANENT_HOURLY_RATE-MAX(0,($D124+F$5)-PERMANENT_FIELD_LABOR_HOURS)*TEMP_HOURLY_RATE-FIXED_SEASON_COST)</f>
        <v>5199.8205076062</v>
      </c>
      <c r="G124" s="53" t="n">
        <f aca="false">IF(OR($A124&gt;TOMATO_BED_CAP,$B124&gt;CARROT_BED_CAP,G$4&gt;MESCLUN_BED_CAP,$A124+$B124+G$4&gt;TOTAL_BEDS_AVAILABLE,($D124+G$5)&gt;TOTAL_LABOR_HOURS_CAP,MAX(0,($D124+G$5)-PERMANENT_FIELD_LABOR_HOURS)&gt;TEMP_HOURS_CAP),"",$C124+G$6-MIN(($D124+G$5),PERMANENT_FIELD_LABOR_HOURS)*PERMANENT_HOURLY_RATE-MAX(0,($D124+G$5)-PERMANENT_FIELD_LABOR_HOURS)*TEMP_HOURLY_RATE-FIXED_SEASON_COST)</f>
        <v>6228.8555076062</v>
      </c>
      <c r="H124" s="53" t="n">
        <f aca="false">IF(OR($A124&gt;TOMATO_BED_CAP,$B124&gt;CARROT_BED_CAP,H$4&gt;MESCLUN_BED_CAP,$A124+$B124+H$4&gt;TOTAL_BEDS_AVAILABLE,($D124+H$5)&gt;TOTAL_LABOR_HOURS_CAP,MAX(0,($D124+H$5)-PERMANENT_FIELD_LABOR_HOURS)&gt;TEMP_HOURS_CAP),"",$C124+H$6-MIN(($D124+H$5),PERMANENT_FIELD_LABOR_HOURS)*PERMANENT_HOURLY_RATE-MAX(0,($D124+H$5)-PERMANENT_FIELD_LABOR_HOURS)*TEMP_HOURLY_RATE-FIXED_SEASON_COST)</f>
        <v>7238.1163826062</v>
      </c>
      <c r="I124" s="53" t="n">
        <f aca="false">IF(OR($A124&gt;TOMATO_BED_CAP,$B124&gt;CARROT_BED_CAP,I$4&gt;MESCLUN_BED_CAP,$A124+$B124+I$4&gt;TOTAL_BEDS_AVAILABLE,($D124+I$5)&gt;TOTAL_LABOR_HOURS_CAP,MAX(0,($D124+I$5)-PERMANENT_FIELD_LABOR_HOURS)&gt;TEMP_HOURS_CAP),"",$C124+I$6-MIN(($D124+I$5),PERMANENT_FIELD_LABOR_HOURS)*PERMANENT_HOURLY_RATE-MAX(0,($D124+I$5)-PERMANENT_FIELD_LABOR_HOURS)*TEMP_HOURLY_RATE-FIXED_SEASON_COST)</f>
        <v>8227.23236776244</v>
      </c>
      <c r="J124" s="53" t="n">
        <f aca="false">IF(OR($A124&gt;TOMATO_BED_CAP,$B124&gt;CARROT_BED_CAP,J$4&gt;MESCLUN_BED_CAP,$A124+$B124+J$4&gt;TOTAL_BEDS_AVAILABLE,($D124+J$5)&gt;TOTAL_LABOR_HOURS_CAP,MAX(0,($D124+J$5)-PERMANENT_FIELD_LABOR_HOURS)&gt;TEMP_HOURS_CAP),"",$C124+J$6-MIN(($D124+J$5),PERMANENT_FIELD_LABOR_HOURS)*PERMANENT_HOURLY_RATE-MAX(0,($D124+J$5)-PERMANENT_FIELD_LABOR_HOURS)*TEMP_HOURLY_RATE-FIXED_SEASON_COST)</f>
        <v>9195.82651881714</v>
      </c>
      <c r="K124" s="53" t="n">
        <f aca="false">IF(OR($A124&gt;TOMATO_BED_CAP,$B124&gt;CARROT_BED_CAP,K$4&gt;MESCLUN_BED_CAP,$A124+$B124+K$4&gt;TOTAL_BEDS_AVAILABLE,($D124+K$5)&gt;TOTAL_LABOR_HOURS_CAP,MAX(0,($D124+K$5)-PERMANENT_FIELD_LABOR_HOURS)&gt;TEMP_HOURS_CAP),"",$C124+K$6-MIN(($D124+K$5),PERMANENT_FIELD_LABOR_HOURS)*PERMANENT_HOURLY_RATE-MAX(0,($D124+K$5)-PERMANENT_FIELD_LABOR_HOURS)*TEMP_HOURLY_RATE-FIXED_SEASON_COST)</f>
        <v>10143.515615545</v>
      </c>
      <c r="L124" s="53" t="n">
        <f aca="false">IF(OR($A124&gt;TOMATO_BED_CAP,$B124&gt;CARROT_BED_CAP,L$4&gt;MESCLUN_BED_CAP,$A124+$B124+L$4&gt;TOTAL_BEDS_AVAILABLE,($D124+L$5)&gt;TOTAL_LABOR_HOURS_CAP,MAX(0,($D124+L$5)-PERMANENT_FIELD_LABOR_HOURS)&gt;TEMP_HOURS_CAP),"",$C124+L$6-MIN(($D124+L$5),PERMANENT_FIELD_LABOR_HOURS)*PERMANENT_HOURLY_RATE-MAX(0,($D124+L$5)-PERMANENT_FIELD_LABOR_HOURS)*TEMP_HOURLY_RATE-FIXED_SEASON_COST)</f>
        <v>11069.9100637519</v>
      </c>
      <c r="M124" s="53" t="n">
        <f aca="false">IF(OR($A124&gt;TOMATO_BED_CAP,$B124&gt;CARROT_BED_CAP,M$4&gt;MESCLUN_BED_CAP,$A124+$B124+M$4&gt;TOTAL_BEDS_AVAILABLE,($D124+M$5)&gt;TOTAL_LABOR_HOURS_CAP,MAX(0,($D124+M$5)-PERMANENT_FIELD_LABOR_HOURS)&gt;TEMP_HOURS_CAP),"",$C124+M$6-MIN(($D124+M$5),PERMANENT_FIELD_LABOR_HOURS)*PERMANENT_HOURLY_RATE-MAX(0,($D124+M$5)-PERMANENT_FIELD_LABOR_HOURS)*TEMP_HOURLY_RATE-FIXED_SEASON_COST)</f>
        <v>11974.6137958033</v>
      </c>
      <c r="N124" s="53" t="n">
        <f aca="false">IF(OR($A124&gt;TOMATO_BED_CAP,$B124&gt;CARROT_BED_CAP,N$4&gt;MESCLUN_BED_CAP,$A124+$B124+N$4&gt;TOTAL_BEDS_AVAILABLE,($D124+N$5)&gt;TOTAL_LABOR_HOURS_CAP,MAX(0,($D124+N$5)-PERMANENT_FIELD_LABOR_HOURS)&gt;TEMP_HOURS_CAP),"",$C124+N$6-MIN(($D124+N$5),PERMANENT_FIELD_LABOR_HOURS)*PERMANENT_HOURLY_RATE-MAX(0,($D124+N$5)-PERMANENT_FIELD_LABOR_HOURS)*TEMP_HOURLY_RATE-FIXED_SEASON_COST)</f>
        <v>12857.2241696628</v>
      </c>
      <c r="O124" s="53" t="n">
        <f aca="false">IF(OR($A124&gt;TOMATO_BED_CAP,$B124&gt;CARROT_BED_CAP,O$4&gt;MESCLUN_BED_CAP,$A124+$B124+O$4&gt;TOTAL_BEDS_AVAILABLE,($D124+O$5)&gt;TOTAL_LABOR_HOURS_CAP,MAX(0,($D124+O$5)-PERMANENT_FIELD_LABOR_HOURS)&gt;TEMP_HOURS_CAP),"",$C124+O$6-MIN(($D124+O$5),PERMANENT_FIELD_LABOR_HOURS)*PERMANENT_HOURLY_RATE-MAX(0,($D124+O$5)-PERMANENT_FIELD_LABOR_HOURS)*TEMP_HOURLY_RATE-FIXED_SEASON_COST)</f>
        <v>13717.3318664176</v>
      </c>
      <c r="P124" s="53" t="n">
        <f aca="false">IF(OR($A124&gt;TOMATO_BED_CAP,$B124&gt;CARROT_BED_CAP,P$4&gt;MESCLUN_BED_CAP,$A124+$B124+P$4&gt;TOTAL_BEDS_AVAILABLE,($D124+P$5)&gt;TOTAL_LABOR_HOURS_CAP,MAX(0,($D124+P$5)-PERMANENT_FIELD_LABOR_HOURS)&gt;TEMP_HOURS_CAP),"",$C124+P$6-MIN(($D124+P$5),PERMANENT_FIELD_LABOR_HOURS)*PERMANENT_HOURLY_RATE-MAX(0,($D124+P$5)-PERMANENT_FIELD_LABOR_HOURS)*TEMP_HOURLY_RATE-FIXED_SEASON_COST)</f>
        <v>14554.520786269</v>
      </c>
      <c r="Q124" s="53" t="n">
        <f aca="false">IF(OR($A124&gt;TOMATO_BED_CAP,$B124&gt;CARROT_BED_CAP,Q$4&gt;MESCLUN_BED_CAP,$A124+$B124+Q$4&gt;TOTAL_BEDS_AVAILABLE,($D124+Q$5)&gt;TOTAL_LABOR_HOURS_CAP,MAX(0,($D124+Q$5)-PERMANENT_FIELD_LABOR_HOURS)&gt;TEMP_HOURS_CAP),"",$C124+Q$6-MIN(($D124+Q$5),PERMANENT_FIELD_LABOR_HOURS)*PERMANENT_HOURLY_RATE-MAX(0,($D124+Q$5)-PERMANENT_FIELD_LABOR_HOURS)*TEMP_HOURLY_RATE-FIXED_SEASON_COST)</f>
        <v>15368.3679429669</v>
      </c>
      <c r="R124" s="53" t="n">
        <f aca="false">IF(OR($A124&gt;TOMATO_BED_CAP,$B124&gt;CARROT_BED_CAP,R$4&gt;MESCLUN_BED_CAP,$A124+$B124+R$4&gt;TOTAL_BEDS_AVAILABLE,($D124+R$5)&gt;TOTAL_LABOR_HOURS_CAP,MAX(0,($D124+R$5)-PERMANENT_FIELD_LABOR_HOURS)&gt;TEMP_HOURS_CAP),"",$C124+R$6-MIN(($D124+R$5),PERMANENT_FIELD_LABOR_HOURS)*PERMANENT_HOURLY_RATE-MAX(0,($D124+R$5)-PERMANENT_FIELD_LABOR_HOURS)*TEMP_HOURLY_RATE-FIXED_SEASON_COST)</f>
        <v>16158.4433566637</v>
      </c>
      <c r="S124" s="53" t="n">
        <f aca="false">IF(OR($A124&gt;TOMATO_BED_CAP,$B124&gt;CARROT_BED_CAP,S$4&gt;MESCLUN_BED_CAP,$A124+$B124+S$4&gt;TOTAL_BEDS_AVAILABLE,($D124+S$5)&gt;TOTAL_LABOR_HOURS_CAP,MAX(0,($D124+S$5)-PERMANENT_FIELD_LABOR_HOURS)&gt;TEMP_HOURS_CAP),"",$C124+S$6-MIN(($D124+S$5),PERMANENT_FIELD_LABOR_HOURS)*PERMANENT_HOURLY_RATE-MAX(0,($D124+S$5)-PERMANENT_FIELD_LABOR_HOURS)*TEMP_HOURLY_RATE-FIXED_SEASON_COST)</f>
        <v>16924.3099451662</v>
      </c>
      <c r="T124" s="53" t="n">
        <f aca="false">IF(OR($A124&gt;TOMATO_BED_CAP,$B124&gt;CARROT_BED_CAP,T$4&gt;MESCLUN_BED_CAP,$A124+$B124+T$4&gt;TOTAL_BEDS_AVAILABLE,($D124+T$5)&gt;TOTAL_LABOR_HOURS_CAP,MAX(0,($D124+T$5)-PERMANENT_FIELD_LABOR_HOURS)&gt;TEMP_HOURS_CAP),"",$C124+T$6-MIN(($D124+T$5),PERMANENT_FIELD_LABOR_HOURS)*PERMANENT_HOURLY_RATE-MAX(0,($D124+T$5)-PERMANENT_FIELD_LABOR_HOURS)*TEMP_HOURLY_RATE-FIXED_SEASON_COST)</f>
        <v>17665.523413561</v>
      </c>
      <c r="U124" s="53" t="n">
        <f aca="false">IF(OR($A124&gt;TOMATO_BED_CAP,$B124&gt;CARROT_BED_CAP,U$4&gt;MESCLUN_BED_CAP,$A124+$B124+U$4&gt;TOTAL_BEDS_AVAILABLE,($D124+U$5)&gt;TOTAL_LABOR_HOURS_CAP,MAX(0,($D124+U$5)-PERMANENT_FIELD_LABOR_HOURS)&gt;TEMP_HOURS_CAP),"",$C124+U$6-MIN(($D124+U$5),PERMANENT_FIELD_LABOR_HOURS)*PERMANENT_HOURLY_RATE-MAX(0,($D124+U$5)-PERMANENT_FIELD_LABOR_HOURS)*TEMP_HOURLY_RATE-FIXED_SEASON_COST)</f>
        <v>18381.6321421911</v>
      </c>
      <c r="V124" s="53" t="n">
        <f aca="false">IF(OR($A124&gt;TOMATO_BED_CAP,$B124&gt;CARROT_BED_CAP,V$4&gt;MESCLUN_BED_CAP,$A124+$B124+V$4&gt;TOTAL_BEDS_AVAILABLE,($D124+V$5)&gt;TOTAL_LABOR_HOURS_CAP,MAX(0,($D124+V$5)-PERMANENT_FIELD_LABOR_HOURS)&gt;TEMP_HOURS_CAP),"",$C124+V$6-MIN(($D124+V$5),PERMANENT_FIELD_LABOR_HOURS)*PERMANENT_HOURLY_RATE-MAX(0,($D124+V$5)-PERMANENT_FIELD_LABOR_HOURS)*TEMP_HOURLY_RATE-FIXED_SEASON_COST)</f>
        <v>19072.1770729579</v>
      </c>
      <c r="W124" s="53" t="n">
        <f aca="false">IF(OR($A124&gt;TOMATO_BED_CAP,$B124&gt;CARROT_BED_CAP,W$4&gt;MESCLUN_BED_CAP,$A124+$B124+W$4&gt;TOTAL_BEDS_AVAILABLE,($D124+W$5)&gt;TOTAL_LABOR_HOURS_CAP,MAX(0,($D124+W$5)-PERMANENT_FIELD_LABOR_HOURS)&gt;TEMP_HOURS_CAP),"",$C124+W$6-MIN(($D124+W$5),PERMANENT_FIELD_LABOR_HOURS)*PERMANENT_HOURLY_RATE-MAX(0,($D124+W$5)-PERMANENT_FIELD_LABOR_HOURS)*TEMP_HOURLY_RATE-FIXED_SEASON_COST)</f>
        <v>19736.691593926</v>
      </c>
      <c r="X124" s="53" t="n">
        <f aca="false">IF(OR($A124&gt;TOMATO_BED_CAP,$B124&gt;CARROT_BED_CAP,X$4&gt;MESCLUN_BED_CAP,$A124+$B124+X$4&gt;TOTAL_BEDS_AVAILABLE,($D124+X$5)&gt;TOTAL_LABOR_HOURS_CAP,MAX(0,($D124+X$5)-PERMANENT_FIELD_LABOR_HOURS)&gt;TEMP_HOURS_CAP),"",$C124+X$6-MIN(($D124+X$5),PERMANENT_FIELD_LABOR_HOURS)*PERMANENT_HOURLY_RATE-MAX(0,($D124+X$5)-PERMANENT_FIELD_LABOR_HOURS)*TEMP_HOURLY_RATE-FIXED_SEASON_COST)</f>
        <v>20374.7014222049</v>
      </c>
      <c r="Y124" s="53" t="n">
        <f aca="false">IF(OR($A124&gt;TOMATO_BED_CAP,$B124&gt;CARROT_BED_CAP,Y$4&gt;MESCLUN_BED_CAP,$A124+$B124+Y$4&gt;TOTAL_BEDS_AVAILABLE,($D124+Y$5)&gt;TOTAL_LABOR_HOURS_CAP,MAX(0,($D124+Y$5)-PERMANENT_FIELD_LABOR_HOURS)&gt;TEMP_HOURS_CAP),"",$C124+Y$6-MIN(($D124+Y$5),PERMANENT_FIELD_LABOR_HOURS)*PERMANENT_HOURLY_RATE-MAX(0,($D124+Y$5)-PERMANENT_FIELD_LABOR_HOURS)*TEMP_HOURLY_RATE-FIXED_SEASON_COST)</f>
        <v>20985.7244850836</v>
      </c>
      <c r="Z124" s="53" t="n">
        <f aca="false">IF(OR($A124&gt;TOMATO_BED_CAP,$B124&gt;CARROT_BED_CAP,Z$4&gt;MESCLUN_BED_CAP,$A124+$B124+Z$4&gt;TOTAL_BEDS_AVAILABLE,($D124+Z$5)&gt;TOTAL_LABOR_HOURS_CAP,MAX(0,($D124+Z$5)-PERMANENT_FIELD_LABOR_HOURS)&gt;TEMP_HOURS_CAP),"",$C124+Z$6-MIN(($D124+Z$5),PERMANENT_FIELD_LABOR_HOURS)*PERMANENT_HOURLY_RATE-MAX(0,($D124+Z$5)-PERMANENT_FIELD_LABOR_HOURS)*TEMP_HOURLY_RATE-FIXED_SEASON_COST)</f>
        <v>21569.2707993913</v>
      </c>
      <c r="AA124" s="53" t="n">
        <f aca="false">IF(OR($A124&gt;TOMATO_BED_CAP,$B124&gt;CARROT_BED_CAP,AA$4&gt;MESCLUN_BED_CAP,$A124+$B124+AA$4&gt;TOTAL_BEDS_AVAILABLE,($D124+AA$5)&gt;TOTAL_LABOR_HOURS_CAP,MAX(0,($D124+AA$5)-PERMANENT_FIELD_LABOR_HOURS)&gt;TEMP_HOURS_CAP),"",$C124+AA$6-MIN(($D124+AA$5),PERMANENT_FIELD_LABOR_HOURS)*PERMANENT_HOURLY_RATE-MAX(0,($D124+AA$5)-PERMANENT_FIELD_LABOR_HOURS)*TEMP_HOURLY_RATE-FIXED_SEASON_COST)</f>
        <v>22124.8423490602</v>
      </c>
      <c r="AB124" s="53" t="n">
        <f aca="false">IF(OR($A124&gt;TOMATO_BED_CAP,$B124&gt;CARROT_BED_CAP,AB$4&gt;MESCLUN_BED_CAP,$A124+$B124+AB$4&gt;TOTAL_BEDS_AVAILABLE,($D124+AB$5)&gt;TOTAL_LABOR_HOURS_CAP,MAX(0,($D124+AB$5)-PERMANENT_FIELD_LABOR_HOURS)&gt;TEMP_HOURS_CAP),"",$C124+AB$6-MIN(($D124+AB$5),PERMANENT_FIELD_LABOR_HOURS)*PERMANENT_HOURLY_RATE-MAX(0,($D124+AB$5)-PERMANENT_FIELD_LABOR_HOURS)*TEMP_HOURLY_RATE-FIXED_SEASON_COST)</f>
        <v>22651.9329608628</v>
      </c>
      <c r="AC124" s="53" t="n">
        <f aca="false">IF(OR($A124&gt;TOMATO_BED_CAP,$B124&gt;CARROT_BED_CAP,AC$4&gt;MESCLUN_BED_CAP,$A124+$B124+AC$4&gt;TOTAL_BEDS_AVAILABLE,($D124+AC$5)&gt;TOTAL_LABOR_HOURS_CAP,MAX(0,($D124+AC$5)-PERMANENT_FIELD_LABOR_HOURS)&gt;TEMP_HOURS_CAP),"",$C124+AC$6-MIN(($D124+AC$5),PERMANENT_FIELD_LABOR_HOURS)*PERMANENT_HOURLY_RATE-MAX(0,($D124+AC$5)-PERMANENT_FIELD_LABOR_HOURS)*TEMP_HOURLY_RATE-FIXED_SEASON_COST)</f>
        <v>23150.0281782977</v>
      </c>
      <c r="AD124" s="53" t="n">
        <f aca="false">IF(OR($A124&gt;TOMATO_BED_CAP,$B124&gt;CARROT_BED_CAP,AD$4&gt;MESCLUN_BED_CAP,$A124+$B124+AD$4&gt;TOTAL_BEDS_AVAILABLE,($D124+AD$5)&gt;TOTAL_LABOR_HOURS_CAP,MAX(0,($D124+AD$5)-PERMANENT_FIELD_LABOR_HOURS)&gt;TEMP_HOURS_CAP),"",$C124+AD$6-MIN(($D124+AD$5),PERMANENT_FIELD_LABOR_HOURS)*PERMANENT_HOURLY_RATE-MAX(0,($D124+AD$5)-PERMANENT_FIELD_LABOR_HOURS)*TEMP_HOURLY_RATE-FIXED_SEASON_COST)</f>
        <v>23618.6051335976</v>
      </c>
      <c r="AE124" s="53" t="n">
        <f aca="false">IF(OR($A124&gt;TOMATO_BED_CAP,$B124&gt;CARROT_BED_CAP,AE$4&gt;MESCLUN_BED_CAP,$A124+$B124+AE$4&gt;TOTAL_BEDS_AVAILABLE,($D124+AE$5)&gt;TOTAL_LABOR_HOURS_CAP,MAX(0,($D124+AE$5)-PERMANENT_FIELD_LABOR_HOURS)&gt;TEMP_HOURS_CAP),"",$C124+AE$6-MIN(($D124+AE$5),PERMANENT_FIELD_LABOR_HOURS)*PERMANENT_HOURLY_RATE-MAX(0,($D124+AE$5)-PERMANENT_FIELD_LABOR_HOURS)*TEMP_HOURLY_RATE-FIXED_SEASON_COST)</f>
        <v>24057.1324178315</v>
      </c>
      <c r="AF124" s="53" t="n">
        <f aca="false">IF(OR($A124&gt;TOMATO_BED_CAP,$B124&gt;CARROT_BED_CAP,AF$4&gt;MESCLUN_BED_CAP,$A124+$B124+AF$4&gt;TOTAL_BEDS_AVAILABLE,($D124+AF$5)&gt;TOTAL_LABOR_HOURS_CAP,MAX(0,($D124+AF$5)-PERMANENT_FIELD_LABOR_HOURS)&gt;TEMP_HOURS_CAP),"",$C124+AF$6-MIN(($D124+AF$5),PERMANENT_FIELD_LABOR_HOURS)*PERMANENT_HOURLY_RATE-MAX(0,($D124+AF$5)-PERMANENT_FIELD_LABOR_HOURS)*TEMP_HOURLY_RATE-FIXED_SEASON_COST)</f>
        <v>24465.0699490735</v>
      </c>
      <c r="AG124" s="53" t="n">
        <f aca="false">IF(OR($A124&gt;TOMATO_BED_CAP,$B124&gt;CARROT_BED_CAP,AG$4&gt;MESCLUN_BED_CAP,$A124+$B124+AG$4&gt;TOTAL_BEDS_AVAILABLE,($D124+AG$5)&gt;TOTAL_LABOR_HOURS_CAP,MAX(0,($D124+AG$5)-PERMANENT_FIELD_LABOR_HOURS)&gt;TEMP_HOURS_CAP),"",$C124+AG$6-MIN(($D124+AG$5),PERMANENT_FIELD_LABOR_HOURS)*PERMANENT_HOURLY_RATE-MAX(0,($D124+AG$5)-PERMANENT_FIELD_LABOR_HOURS)*TEMP_HOURLY_RATE-FIXED_SEASON_COST)</f>
        <v>24841.8688386105</v>
      </c>
      <c r="AH124" s="53" t="n">
        <f aca="false">IF(OR($A124&gt;TOMATO_BED_CAP,$B124&gt;CARROT_BED_CAP,AH$4&gt;MESCLUN_BED_CAP,$A124+$B124+AH$4&gt;TOTAL_BEDS_AVAILABLE,($D124+AH$5)&gt;TOTAL_LABOR_HOURS_CAP,MAX(0,($D124+AH$5)-PERMANENT_FIELD_LABOR_HOURS)&gt;TEMP_HOURS_CAP),"",$C124+AH$6-MIN(($D124+AH$5),PERMANENT_FIELD_LABOR_HOURS)*PERMANENT_HOURLY_RATE-MAX(0,($D124+AH$5)-PERMANENT_FIELD_LABOR_HOURS)*TEMP_HOURLY_RATE-FIXED_SEASON_COST)</f>
        <v>25186.9712551607</v>
      </c>
      <c r="AI124" s="53" t="n">
        <f aca="false">IF(OR($A124&gt;TOMATO_BED_CAP,$B124&gt;CARROT_BED_CAP,AI$4&gt;MESCLUN_BED_CAP,$A124+$B124+AI$4&gt;TOTAL_BEDS_AVAILABLE,($D124+AI$5)&gt;TOTAL_LABOR_HOURS_CAP,MAX(0,($D124+AI$5)-PERMANENT_FIELD_LABOR_HOURS)&gt;TEMP_HOURS_CAP),"",$C124+AI$6-MIN(($D124+AI$5),PERMANENT_FIELD_LABOR_HOURS)*PERMANENT_HOURLY_RATE-MAX(0,($D124+AI$5)-PERMANENT_FIELD_LABOR_HOURS)*TEMP_HOURLY_RATE-FIXED_SEASON_COST)</f>
        <v>25499.810287073</v>
      </c>
      <c r="AJ124" s="53" t="n">
        <f aca="false">IF(OR($A124&gt;TOMATO_BED_CAP,$B124&gt;CARROT_BED_CAP,AJ$4&gt;MESCLUN_BED_CAP,$A124+$B124+AJ$4&gt;TOTAL_BEDS_AVAILABLE,($D124+AJ$5)&gt;TOTAL_LABOR_HOURS_CAP,MAX(0,($D124+AJ$5)-PERMANENT_FIELD_LABOR_HOURS)&gt;TEMP_HOURS_CAP),"",$C124+AJ$6-MIN(($D124+AJ$5),PERMANENT_FIELD_LABOR_HOURS)*PERMANENT_HOURLY_RATE-MAX(0,($D124+AJ$5)-PERMANENT_FIELD_LABOR_HOURS)*TEMP_HOURLY_RATE-FIXED_SEASON_COST)</f>
        <v>25779.8098024787</v>
      </c>
    </row>
    <row r="125" customFormat="false" ht="15" hidden="false" customHeight="false" outlineLevel="0" collapsed="false">
      <c r="A125" s="21" t="n">
        <f aca="false">INT((ROW()-ROW($A$8))/(20+1))</f>
        <v>5</v>
      </c>
      <c r="B125" s="21" t="n">
        <f aca="false">MOD(ROW()-ROW($A$8),20+1)</f>
        <v>12</v>
      </c>
      <c r="C125" s="13" t="n">
        <f aca="false">A125*(TOMATO_REVENUE_PER_BED-TOMATO_FERTILIZER_PER_BED)+B125*(CARROT_REVENUE_PER_BED-CARROT_FERTILIZER_PER_BED)</f>
        <v>59448</v>
      </c>
      <c r="D125" s="14" t="n">
        <f aca="false">INDEX(TOMATO_SCHED_LABOR_HRS,A125+1)+INDEX(CARROT_SCHED_LABOR_HRS,B125+1)</f>
        <v>1208.69581273798</v>
      </c>
      <c r="E125" s="13" t="n">
        <f aca="false">IF(COUNT(F125:AJ125)=0,"",MAX(F125:AJ125))</f>
        <v>26545.8299857413</v>
      </c>
      <c r="F125" s="53" t="n">
        <f aca="false">IF(OR($A125&gt;TOMATO_BED_CAP,$B125&gt;CARROT_BED_CAP,F$4&gt;MESCLUN_BED_CAP,$A125+$B125+F$4&gt;TOTAL_BEDS_AVAILABLE,($D125+F$5)&gt;TOTAL_LABOR_HOURS_CAP,MAX(0,($D125+F$5)-PERMANENT_FIELD_LABOR_HOURS)&gt;TEMP_HOURS_CAP),"",$C125+F$6-MIN(($D125+F$5),PERMANENT_FIELD_LABOR_HOURS)*PERMANENT_HOURLY_RATE-MAX(0,($D125+F$5)-PERMANENT_FIELD_LABOR_HOURS)*TEMP_HOURLY_RATE-FIXED_SEASON_COST)</f>
        <v>5965.84069086875</v>
      </c>
      <c r="G125" s="53" t="n">
        <f aca="false">IF(OR($A125&gt;TOMATO_BED_CAP,$B125&gt;CARROT_BED_CAP,G$4&gt;MESCLUN_BED_CAP,$A125+$B125+G$4&gt;TOTAL_BEDS_AVAILABLE,($D125+G$5)&gt;TOTAL_LABOR_HOURS_CAP,MAX(0,($D125+G$5)-PERMANENT_FIELD_LABOR_HOURS)&gt;TEMP_HOURS_CAP),"",$C125+G$6-MIN(($D125+G$5),PERMANENT_FIELD_LABOR_HOURS)*PERMANENT_HOURLY_RATE-MAX(0,($D125+G$5)-PERMANENT_FIELD_LABOR_HOURS)*TEMP_HOURLY_RATE-FIXED_SEASON_COST)</f>
        <v>6994.87569086875</v>
      </c>
      <c r="H125" s="53" t="n">
        <f aca="false">IF(OR($A125&gt;TOMATO_BED_CAP,$B125&gt;CARROT_BED_CAP,H$4&gt;MESCLUN_BED_CAP,$A125+$B125+H$4&gt;TOTAL_BEDS_AVAILABLE,($D125+H$5)&gt;TOTAL_LABOR_HOURS_CAP,MAX(0,($D125+H$5)-PERMANENT_FIELD_LABOR_HOURS)&gt;TEMP_HOURS_CAP),"",$C125+H$6-MIN(($D125+H$5),PERMANENT_FIELD_LABOR_HOURS)*PERMANENT_HOURLY_RATE-MAX(0,($D125+H$5)-PERMANENT_FIELD_LABOR_HOURS)*TEMP_HOURLY_RATE-FIXED_SEASON_COST)</f>
        <v>8004.13656586875</v>
      </c>
      <c r="I125" s="53" t="n">
        <f aca="false">IF(OR($A125&gt;TOMATO_BED_CAP,$B125&gt;CARROT_BED_CAP,I$4&gt;MESCLUN_BED_CAP,$A125+$B125+I$4&gt;TOTAL_BEDS_AVAILABLE,($D125+I$5)&gt;TOTAL_LABOR_HOURS_CAP,MAX(0,($D125+I$5)-PERMANENT_FIELD_LABOR_HOURS)&gt;TEMP_HOURS_CAP),"",$C125+I$6-MIN(($D125+I$5),PERMANENT_FIELD_LABOR_HOURS)*PERMANENT_HOURLY_RATE-MAX(0,($D125+I$5)-PERMANENT_FIELD_LABOR_HOURS)*TEMP_HOURLY_RATE-FIXED_SEASON_COST)</f>
        <v>8993.252551025</v>
      </c>
      <c r="J125" s="53" t="n">
        <f aca="false">IF(OR($A125&gt;TOMATO_BED_CAP,$B125&gt;CARROT_BED_CAP,J$4&gt;MESCLUN_BED_CAP,$A125+$B125+J$4&gt;TOTAL_BEDS_AVAILABLE,($D125+J$5)&gt;TOTAL_LABOR_HOURS_CAP,MAX(0,($D125+J$5)-PERMANENT_FIELD_LABOR_HOURS)&gt;TEMP_HOURS_CAP),"",$C125+J$6-MIN(($D125+J$5),PERMANENT_FIELD_LABOR_HOURS)*PERMANENT_HOURLY_RATE-MAX(0,($D125+J$5)-PERMANENT_FIELD_LABOR_HOURS)*TEMP_HOURLY_RATE-FIXED_SEASON_COST)</f>
        <v>9961.84670207968</v>
      </c>
      <c r="K125" s="53" t="n">
        <f aca="false">IF(OR($A125&gt;TOMATO_BED_CAP,$B125&gt;CARROT_BED_CAP,K$4&gt;MESCLUN_BED_CAP,$A125+$B125+K$4&gt;TOTAL_BEDS_AVAILABLE,($D125+K$5)&gt;TOTAL_LABOR_HOURS_CAP,MAX(0,($D125+K$5)-PERMANENT_FIELD_LABOR_HOURS)&gt;TEMP_HOURS_CAP),"",$C125+K$6-MIN(($D125+K$5),PERMANENT_FIELD_LABOR_HOURS)*PERMANENT_HOURLY_RATE-MAX(0,($D125+K$5)-PERMANENT_FIELD_LABOR_HOURS)*TEMP_HOURLY_RATE-FIXED_SEASON_COST)</f>
        <v>10909.5357988076</v>
      </c>
      <c r="L125" s="53" t="n">
        <f aca="false">IF(OR($A125&gt;TOMATO_BED_CAP,$B125&gt;CARROT_BED_CAP,L$4&gt;MESCLUN_BED_CAP,$A125+$B125+L$4&gt;TOTAL_BEDS_AVAILABLE,($D125+L$5)&gt;TOTAL_LABOR_HOURS_CAP,MAX(0,($D125+L$5)-PERMANENT_FIELD_LABOR_HOURS)&gt;TEMP_HOURS_CAP),"",$C125+L$6-MIN(($D125+L$5),PERMANENT_FIELD_LABOR_HOURS)*PERMANENT_HOURLY_RATE-MAX(0,($D125+L$5)-PERMANENT_FIELD_LABOR_HOURS)*TEMP_HOURLY_RATE-FIXED_SEASON_COST)</f>
        <v>11835.9302470144</v>
      </c>
      <c r="M125" s="53" t="n">
        <f aca="false">IF(OR($A125&gt;TOMATO_BED_CAP,$B125&gt;CARROT_BED_CAP,M$4&gt;MESCLUN_BED_CAP,$A125+$B125+M$4&gt;TOTAL_BEDS_AVAILABLE,($D125+M$5)&gt;TOTAL_LABOR_HOURS_CAP,MAX(0,($D125+M$5)-PERMANENT_FIELD_LABOR_HOURS)&gt;TEMP_HOURS_CAP),"",$C125+M$6-MIN(($D125+M$5),PERMANENT_FIELD_LABOR_HOURS)*PERMANENT_HOURLY_RATE-MAX(0,($D125+M$5)-PERMANENT_FIELD_LABOR_HOURS)*TEMP_HOURLY_RATE-FIXED_SEASON_COST)</f>
        <v>12740.6339790659</v>
      </c>
      <c r="N125" s="53" t="n">
        <f aca="false">IF(OR($A125&gt;TOMATO_BED_CAP,$B125&gt;CARROT_BED_CAP,N$4&gt;MESCLUN_BED_CAP,$A125+$B125+N$4&gt;TOTAL_BEDS_AVAILABLE,($D125+N$5)&gt;TOTAL_LABOR_HOURS_CAP,MAX(0,($D125+N$5)-PERMANENT_FIELD_LABOR_HOURS)&gt;TEMP_HOURS_CAP),"",$C125+N$6-MIN(($D125+N$5),PERMANENT_FIELD_LABOR_HOURS)*PERMANENT_HOURLY_RATE-MAX(0,($D125+N$5)-PERMANENT_FIELD_LABOR_HOURS)*TEMP_HOURLY_RATE-FIXED_SEASON_COST)</f>
        <v>13623.2443529254</v>
      </c>
      <c r="O125" s="53" t="n">
        <f aca="false">IF(OR($A125&gt;TOMATO_BED_CAP,$B125&gt;CARROT_BED_CAP,O$4&gt;MESCLUN_BED_CAP,$A125+$B125+O$4&gt;TOTAL_BEDS_AVAILABLE,($D125+O$5)&gt;TOTAL_LABOR_HOURS_CAP,MAX(0,($D125+O$5)-PERMANENT_FIELD_LABOR_HOURS)&gt;TEMP_HOURS_CAP),"",$C125+O$6-MIN(($D125+O$5),PERMANENT_FIELD_LABOR_HOURS)*PERMANENT_HOURLY_RATE-MAX(0,($D125+O$5)-PERMANENT_FIELD_LABOR_HOURS)*TEMP_HOURLY_RATE-FIXED_SEASON_COST)</f>
        <v>14483.3520496802</v>
      </c>
      <c r="P125" s="53" t="n">
        <f aca="false">IF(OR($A125&gt;TOMATO_BED_CAP,$B125&gt;CARROT_BED_CAP,P$4&gt;MESCLUN_BED_CAP,$A125+$B125+P$4&gt;TOTAL_BEDS_AVAILABLE,($D125+P$5)&gt;TOTAL_LABOR_HOURS_CAP,MAX(0,($D125+P$5)-PERMANENT_FIELD_LABOR_HOURS)&gt;TEMP_HOURS_CAP),"",$C125+P$6-MIN(($D125+P$5),PERMANENT_FIELD_LABOR_HOURS)*PERMANENT_HOURLY_RATE-MAX(0,($D125+P$5)-PERMANENT_FIELD_LABOR_HOURS)*TEMP_HOURLY_RATE-FIXED_SEASON_COST)</f>
        <v>15320.5409695316</v>
      </c>
      <c r="Q125" s="53" t="n">
        <f aca="false">IF(OR($A125&gt;TOMATO_BED_CAP,$B125&gt;CARROT_BED_CAP,Q$4&gt;MESCLUN_BED_CAP,$A125+$B125+Q$4&gt;TOTAL_BEDS_AVAILABLE,($D125+Q$5)&gt;TOTAL_LABOR_HOURS_CAP,MAX(0,($D125+Q$5)-PERMANENT_FIELD_LABOR_HOURS)&gt;TEMP_HOURS_CAP),"",$C125+Q$6-MIN(($D125+Q$5),PERMANENT_FIELD_LABOR_HOURS)*PERMANENT_HOURLY_RATE-MAX(0,($D125+Q$5)-PERMANENT_FIELD_LABOR_HOURS)*TEMP_HOURLY_RATE-FIXED_SEASON_COST)</f>
        <v>16134.3881262295</v>
      </c>
      <c r="R125" s="53" t="n">
        <f aca="false">IF(OR($A125&gt;TOMATO_BED_CAP,$B125&gt;CARROT_BED_CAP,R$4&gt;MESCLUN_BED_CAP,$A125+$B125+R$4&gt;TOTAL_BEDS_AVAILABLE,($D125+R$5)&gt;TOTAL_LABOR_HOURS_CAP,MAX(0,($D125+R$5)-PERMANENT_FIELD_LABOR_HOURS)&gt;TEMP_HOURS_CAP),"",$C125+R$6-MIN(($D125+R$5),PERMANENT_FIELD_LABOR_HOURS)*PERMANENT_HOURLY_RATE-MAX(0,($D125+R$5)-PERMANENT_FIELD_LABOR_HOURS)*TEMP_HOURLY_RATE-FIXED_SEASON_COST)</f>
        <v>16924.4635399263</v>
      </c>
      <c r="S125" s="53" t="n">
        <f aca="false">IF(OR($A125&gt;TOMATO_BED_CAP,$B125&gt;CARROT_BED_CAP,S$4&gt;MESCLUN_BED_CAP,$A125+$B125+S$4&gt;TOTAL_BEDS_AVAILABLE,($D125+S$5)&gt;TOTAL_LABOR_HOURS_CAP,MAX(0,($D125+S$5)-PERMANENT_FIELD_LABOR_HOURS)&gt;TEMP_HOURS_CAP),"",$C125+S$6-MIN(($D125+S$5),PERMANENT_FIELD_LABOR_HOURS)*PERMANENT_HOURLY_RATE-MAX(0,($D125+S$5)-PERMANENT_FIELD_LABOR_HOURS)*TEMP_HOURLY_RATE-FIXED_SEASON_COST)</f>
        <v>17690.3301284287</v>
      </c>
      <c r="T125" s="53" t="n">
        <f aca="false">IF(OR($A125&gt;TOMATO_BED_CAP,$B125&gt;CARROT_BED_CAP,T$4&gt;MESCLUN_BED_CAP,$A125+$B125+T$4&gt;TOTAL_BEDS_AVAILABLE,($D125+T$5)&gt;TOTAL_LABOR_HOURS_CAP,MAX(0,($D125+T$5)-PERMANENT_FIELD_LABOR_HOURS)&gt;TEMP_HOURS_CAP),"",$C125+T$6-MIN(($D125+T$5),PERMANENT_FIELD_LABOR_HOURS)*PERMANENT_HOURLY_RATE-MAX(0,($D125+T$5)-PERMANENT_FIELD_LABOR_HOURS)*TEMP_HOURLY_RATE-FIXED_SEASON_COST)</f>
        <v>18431.5435968236</v>
      </c>
      <c r="U125" s="53" t="n">
        <f aca="false">IF(OR($A125&gt;TOMATO_BED_CAP,$B125&gt;CARROT_BED_CAP,U$4&gt;MESCLUN_BED_CAP,$A125+$B125+U$4&gt;TOTAL_BEDS_AVAILABLE,($D125+U$5)&gt;TOTAL_LABOR_HOURS_CAP,MAX(0,($D125+U$5)-PERMANENT_FIELD_LABOR_HOURS)&gt;TEMP_HOURS_CAP),"",$C125+U$6-MIN(($D125+U$5),PERMANENT_FIELD_LABOR_HOURS)*PERMANENT_HOURLY_RATE-MAX(0,($D125+U$5)-PERMANENT_FIELD_LABOR_HOURS)*TEMP_HOURLY_RATE-FIXED_SEASON_COST)</f>
        <v>19147.6523254537</v>
      </c>
      <c r="V125" s="53" t="n">
        <f aca="false">IF(OR($A125&gt;TOMATO_BED_CAP,$B125&gt;CARROT_BED_CAP,V$4&gt;MESCLUN_BED_CAP,$A125+$B125+V$4&gt;TOTAL_BEDS_AVAILABLE,($D125+V$5)&gt;TOTAL_LABOR_HOURS_CAP,MAX(0,($D125+V$5)-PERMANENT_FIELD_LABOR_HOURS)&gt;TEMP_HOURS_CAP),"",$C125+V$6-MIN(($D125+V$5),PERMANENT_FIELD_LABOR_HOURS)*PERMANENT_HOURLY_RATE-MAX(0,($D125+V$5)-PERMANENT_FIELD_LABOR_HOURS)*TEMP_HOURLY_RATE-FIXED_SEASON_COST)</f>
        <v>19838.1972562205</v>
      </c>
      <c r="W125" s="53" t="n">
        <f aca="false">IF(OR($A125&gt;TOMATO_BED_CAP,$B125&gt;CARROT_BED_CAP,W$4&gt;MESCLUN_BED_CAP,$A125+$B125+W$4&gt;TOTAL_BEDS_AVAILABLE,($D125+W$5)&gt;TOTAL_LABOR_HOURS_CAP,MAX(0,($D125+W$5)-PERMANENT_FIELD_LABOR_HOURS)&gt;TEMP_HOURS_CAP),"",$C125+W$6-MIN(($D125+W$5),PERMANENT_FIELD_LABOR_HOURS)*PERMANENT_HOURLY_RATE-MAX(0,($D125+W$5)-PERMANENT_FIELD_LABOR_HOURS)*TEMP_HOURLY_RATE-FIXED_SEASON_COST)</f>
        <v>20502.7117771885</v>
      </c>
      <c r="X125" s="53" t="n">
        <f aca="false">IF(OR($A125&gt;TOMATO_BED_CAP,$B125&gt;CARROT_BED_CAP,X$4&gt;MESCLUN_BED_CAP,$A125+$B125+X$4&gt;TOTAL_BEDS_AVAILABLE,($D125+X$5)&gt;TOTAL_LABOR_HOURS_CAP,MAX(0,($D125+X$5)-PERMANENT_FIELD_LABOR_HOURS)&gt;TEMP_HOURS_CAP),"",$C125+X$6-MIN(($D125+X$5),PERMANENT_FIELD_LABOR_HOURS)*PERMANENT_HOURLY_RATE-MAX(0,($D125+X$5)-PERMANENT_FIELD_LABOR_HOURS)*TEMP_HOURLY_RATE-FIXED_SEASON_COST)</f>
        <v>21140.7216054675</v>
      </c>
      <c r="Y125" s="53" t="n">
        <f aca="false">IF(OR($A125&gt;TOMATO_BED_CAP,$B125&gt;CARROT_BED_CAP,Y$4&gt;MESCLUN_BED_CAP,$A125+$B125+Y$4&gt;TOTAL_BEDS_AVAILABLE,($D125+Y$5)&gt;TOTAL_LABOR_HOURS_CAP,MAX(0,($D125+Y$5)-PERMANENT_FIELD_LABOR_HOURS)&gt;TEMP_HOURS_CAP),"",$C125+Y$6-MIN(($D125+Y$5),PERMANENT_FIELD_LABOR_HOURS)*PERMANENT_HOURLY_RATE-MAX(0,($D125+Y$5)-PERMANENT_FIELD_LABOR_HOURS)*TEMP_HOURLY_RATE-FIXED_SEASON_COST)</f>
        <v>21751.7446683461</v>
      </c>
      <c r="Z125" s="53" t="n">
        <f aca="false">IF(OR($A125&gt;TOMATO_BED_CAP,$B125&gt;CARROT_BED_CAP,Z$4&gt;MESCLUN_BED_CAP,$A125+$B125+Z$4&gt;TOTAL_BEDS_AVAILABLE,($D125+Z$5)&gt;TOTAL_LABOR_HOURS_CAP,MAX(0,($D125+Z$5)-PERMANENT_FIELD_LABOR_HOURS)&gt;TEMP_HOURS_CAP),"",$C125+Z$6-MIN(($D125+Z$5),PERMANENT_FIELD_LABOR_HOURS)*PERMANENT_HOURLY_RATE-MAX(0,($D125+Z$5)-PERMANENT_FIELD_LABOR_HOURS)*TEMP_HOURLY_RATE-FIXED_SEASON_COST)</f>
        <v>22335.2909826538</v>
      </c>
      <c r="AA125" s="53" t="n">
        <f aca="false">IF(OR($A125&gt;TOMATO_BED_CAP,$B125&gt;CARROT_BED_CAP,AA$4&gt;MESCLUN_BED_CAP,$A125+$B125+AA$4&gt;TOTAL_BEDS_AVAILABLE,($D125+AA$5)&gt;TOTAL_LABOR_HOURS_CAP,MAX(0,($D125+AA$5)-PERMANENT_FIELD_LABOR_HOURS)&gt;TEMP_HOURS_CAP),"",$C125+AA$6-MIN(($D125+AA$5),PERMANENT_FIELD_LABOR_HOURS)*PERMANENT_HOURLY_RATE-MAX(0,($D125+AA$5)-PERMANENT_FIELD_LABOR_HOURS)*TEMP_HOURLY_RATE-FIXED_SEASON_COST)</f>
        <v>22890.8625323228</v>
      </c>
      <c r="AB125" s="53" t="n">
        <f aca="false">IF(OR($A125&gt;TOMATO_BED_CAP,$B125&gt;CARROT_BED_CAP,AB$4&gt;MESCLUN_BED_CAP,$A125+$B125+AB$4&gt;TOTAL_BEDS_AVAILABLE,($D125+AB$5)&gt;TOTAL_LABOR_HOURS_CAP,MAX(0,($D125+AB$5)-PERMANENT_FIELD_LABOR_HOURS)&gt;TEMP_HOURS_CAP),"",$C125+AB$6-MIN(($D125+AB$5),PERMANENT_FIELD_LABOR_HOURS)*PERMANENT_HOURLY_RATE-MAX(0,($D125+AB$5)-PERMANENT_FIELD_LABOR_HOURS)*TEMP_HOURLY_RATE-FIXED_SEASON_COST)</f>
        <v>23417.9531441253</v>
      </c>
      <c r="AC125" s="53" t="n">
        <f aca="false">IF(OR($A125&gt;TOMATO_BED_CAP,$B125&gt;CARROT_BED_CAP,AC$4&gt;MESCLUN_BED_CAP,$A125+$B125+AC$4&gt;TOTAL_BEDS_AVAILABLE,($D125+AC$5)&gt;TOTAL_LABOR_HOURS_CAP,MAX(0,($D125+AC$5)-PERMANENT_FIELD_LABOR_HOURS)&gt;TEMP_HOURS_CAP),"",$C125+AC$6-MIN(($D125+AC$5),PERMANENT_FIELD_LABOR_HOURS)*PERMANENT_HOURLY_RATE-MAX(0,($D125+AC$5)-PERMANENT_FIELD_LABOR_HOURS)*TEMP_HOURLY_RATE-FIXED_SEASON_COST)</f>
        <v>23916.0483615602</v>
      </c>
      <c r="AD125" s="53" t="n">
        <f aca="false">IF(OR($A125&gt;TOMATO_BED_CAP,$B125&gt;CARROT_BED_CAP,AD$4&gt;MESCLUN_BED_CAP,$A125+$B125+AD$4&gt;TOTAL_BEDS_AVAILABLE,($D125+AD$5)&gt;TOTAL_LABOR_HOURS_CAP,MAX(0,($D125+AD$5)-PERMANENT_FIELD_LABOR_HOURS)&gt;TEMP_HOURS_CAP),"",$C125+AD$6-MIN(($D125+AD$5),PERMANENT_FIELD_LABOR_HOURS)*PERMANENT_HOURLY_RATE-MAX(0,($D125+AD$5)-PERMANENT_FIELD_LABOR_HOURS)*TEMP_HOURLY_RATE-FIXED_SEASON_COST)</f>
        <v>24384.6253168602</v>
      </c>
      <c r="AE125" s="53" t="n">
        <f aca="false">IF(OR($A125&gt;TOMATO_BED_CAP,$B125&gt;CARROT_BED_CAP,AE$4&gt;MESCLUN_BED_CAP,$A125+$B125+AE$4&gt;TOTAL_BEDS_AVAILABLE,($D125+AE$5)&gt;TOTAL_LABOR_HOURS_CAP,MAX(0,($D125+AE$5)-PERMANENT_FIELD_LABOR_HOURS)&gt;TEMP_HOURS_CAP),"",$C125+AE$6-MIN(($D125+AE$5),PERMANENT_FIELD_LABOR_HOURS)*PERMANENT_HOURLY_RATE-MAX(0,($D125+AE$5)-PERMANENT_FIELD_LABOR_HOURS)*TEMP_HOURLY_RATE-FIXED_SEASON_COST)</f>
        <v>24823.1526010941</v>
      </c>
      <c r="AF125" s="53" t="n">
        <f aca="false">IF(OR($A125&gt;TOMATO_BED_CAP,$B125&gt;CARROT_BED_CAP,AF$4&gt;MESCLUN_BED_CAP,$A125+$B125+AF$4&gt;TOTAL_BEDS_AVAILABLE,($D125+AF$5)&gt;TOTAL_LABOR_HOURS_CAP,MAX(0,($D125+AF$5)-PERMANENT_FIELD_LABOR_HOURS)&gt;TEMP_HOURS_CAP),"",$C125+AF$6-MIN(($D125+AF$5),PERMANENT_FIELD_LABOR_HOURS)*PERMANENT_HOURLY_RATE-MAX(0,($D125+AF$5)-PERMANENT_FIELD_LABOR_HOURS)*TEMP_HOURLY_RATE-FIXED_SEASON_COST)</f>
        <v>25231.090132336</v>
      </c>
      <c r="AG125" s="53" t="n">
        <f aca="false">IF(OR($A125&gt;TOMATO_BED_CAP,$B125&gt;CARROT_BED_CAP,AG$4&gt;MESCLUN_BED_CAP,$A125+$B125+AG$4&gt;TOTAL_BEDS_AVAILABLE,($D125+AG$5)&gt;TOTAL_LABOR_HOURS_CAP,MAX(0,($D125+AG$5)-PERMANENT_FIELD_LABOR_HOURS)&gt;TEMP_HOURS_CAP),"",$C125+AG$6-MIN(($D125+AG$5),PERMANENT_FIELD_LABOR_HOURS)*PERMANENT_HOURLY_RATE-MAX(0,($D125+AG$5)-PERMANENT_FIELD_LABOR_HOURS)*TEMP_HOURLY_RATE-FIXED_SEASON_COST)</f>
        <v>25607.8890218731</v>
      </c>
      <c r="AH125" s="53" t="n">
        <f aca="false">IF(OR($A125&gt;TOMATO_BED_CAP,$B125&gt;CARROT_BED_CAP,AH$4&gt;MESCLUN_BED_CAP,$A125+$B125+AH$4&gt;TOTAL_BEDS_AVAILABLE,($D125+AH$5)&gt;TOTAL_LABOR_HOURS_CAP,MAX(0,($D125+AH$5)-PERMANENT_FIELD_LABOR_HOURS)&gt;TEMP_HOURS_CAP),"",$C125+AH$6-MIN(($D125+AH$5),PERMANENT_FIELD_LABOR_HOURS)*PERMANENT_HOURLY_RATE-MAX(0,($D125+AH$5)-PERMANENT_FIELD_LABOR_HOURS)*TEMP_HOURLY_RATE-FIXED_SEASON_COST)</f>
        <v>25952.9914384233</v>
      </c>
      <c r="AI125" s="53" t="n">
        <f aca="false">IF(OR($A125&gt;TOMATO_BED_CAP,$B125&gt;CARROT_BED_CAP,AI$4&gt;MESCLUN_BED_CAP,$A125+$B125+AI$4&gt;TOTAL_BEDS_AVAILABLE,($D125+AI$5)&gt;TOTAL_LABOR_HOURS_CAP,MAX(0,($D125+AI$5)-PERMANENT_FIELD_LABOR_HOURS)&gt;TEMP_HOURS_CAP),"",$C125+AI$6-MIN(($D125+AI$5),PERMANENT_FIELD_LABOR_HOURS)*PERMANENT_HOURLY_RATE-MAX(0,($D125+AI$5)-PERMANENT_FIELD_LABOR_HOURS)*TEMP_HOURLY_RATE-FIXED_SEASON_COST)</f>
        <v>26265.8304703355</v>
      </c>
      <c r="AJ125" s="53" t="n">
        <f aca="false">IF(OR($A125&gt;TOMATO_BED_CAP,$B125&gt;CARROT_BED_CAP,AJ$4&gt;MESCLUN_BED_CAP,$A125+$B125+AJ$4&gt;TOTAL_BEDS_AVAILABLE,($D125+AJ$5)&gt;TOTAL_LABOR_HOURS_CAP,MAX(0,($D125+AJ$5)-PERMANENT_FIELD_LABOR_HOURS)&gt;TEMP_HOURS_CAP),"",$C125+AJ$6-MIN(($D125+AJ$5),PERMANENT_FIELD_LABOR_HOURS)*PERMANENT_HOURLY_RATE-MAX(0,($D125+AJ$5)-PERMANENT_FIELD_LABOR_HOURS)*TEMP_HOURLY_RATE-FIXED_SEASON_COST)</f>
        <v>26545.8299857413</v>
      </c>
    </row>
    <row r="126" customFormat="false" ht="15" hidden="false" customHeight="false" outlineLevel="0" collapsed="false">
      <c r="A126" s="21" t="n">
        <f aca="false">INT((ROW()-ROW($A$8))/(20+1))</f>
        <v>5</v>
      </c>
      <c r="B126" s="21" t="n">
        <f aca="false">MOD(ROW()-ROW($A$8),20+1)</f>
        <v>13</v>
      </c>
      <c r="C126" s="13" t="n">
        <f aca="false">A126*(TOMATO_REVENUE_PER_BED-TOMATO_FERTILIZER_PER_BED)+B126*(CARROT_REVENUE_PER_BED-CARROT_FERTILIZER_PER_BED)</f>
        <v>61102</v>
      </c>
      <c r="D126" s="14" t="n">
        <f aca="false">INDEX(TOMATO_SCHED_LABOR_HRS,A126+1)+INDEX(CARROT_SCHED_LABOR_HRS,B126+1)</f>
        <v>1262.13375976946</v>
      </c>
      <c r="E126" s="13" t="n">
        <f aca="false">IF(COUNT(F126:AJ126)=0,"",MAX(F126:AJ126))</f>
        <v>27272.1472252747</v>
      </c>
      <c r="F126" s="53" t="n">
        <f aca="false">IF(OR($A126&gt;TOMATO_BED_CAP,$B126&gt;CARROT_BED_CAP,F$4&gt;MESCLUN_BED_CAP,$A126+$B126+F$4&gt;TOTAL_BEDS_AVAILABLE,($D126+F$5)&gt;TOTAL_LABOR_HOURS_CAP,MAX(0,($D126+F$5)-PERMANENT_FIELD_LABOR_HOURS)&gt;TEMP_HOURS_CAP),"",$C126+F$6-MIN(($D126+F$5),PERMANENT_FIELD_LABOR_HOURS)*PERMANENT_HOURLY_RATE-MAX(0,($D126+F$5)-PERMANENT_FIELD_LABOR_HOURS)*TEMP_HOURLY_RATE-FIXED_SEASON_COST)</f>
        <v>6692.15793040217</v>
      </c>
      <c r="G126" s="53" t="n">
        <f aca="false">IF(OR($A126&gt;TOMATO_BED_CAP,$B126&gt;CARROT_BED_CAP,G$4&gt;MESCLUN_BED_CAP,$A126+$B126+G$4&gt;TOTAL_BEDS_AVAILABLE,($D126+G$5)&gt;TOTAL_LABOR_HOURS_CAP,MAX(0,($D126+G$5)-PERMANENT_FIELD_LABOR_HOURS)&gt;TEMP_HOURS_CAP),"",$C126+G$6-MIN(($D126+G$5),PERMANENT_FIELD_LABOR_HOURS)*PERMANENT_HOURLY_RATE-MAX(0,($D126+G$5)-PERMANENT_FIELD_LABOR_HOURS)*TEMP_HOURLY_RATE-FIXED_SEASON_COST)</f>
        <v>7721.19293040218</v>
      </c>
      <c r="H126" s="53" t="n">
        <f aca="false">IF(OR($A126&gt;TOMATO_BED_CAP,$B126&gt;CARROT_BED_CAP,H$4&gt;MESCLUN_BED_CAP,$A126+$B126+H$4&gt;TOTAL_BEDS_AVAILABLE,($D126+H$5)&gt;TOTAL_LABOR_HOURS_CAP,MAX(0,($D126+H$5)-PERMANENT_FIELD_LABOR_HOURS)&gt;TEMP_HOURS_CAP),"",$C126+H$6-MIN(($D126+H$5),PERMANENT_FIELD_LABOR_HOURS)*PERMANENT_HOURLY_RATE-MAX(0,($D126+H$5)-PERMANENT_FIELD_LABOR_HOURS)*TEMP_HOURLY_RATE-FIXED_SEASON_COST)</f>
        <v>8730.45380540218</v>
      </c>
      <c r="I126" s="53" t="n">
        <f aca="false">IF(OR($A126&gt;TOMATO_BED_CAP,$B126&gt;CARROT_BED_CAP,I$4&gt;MESCLUN_BED_CAP,$A126+$B126+I$4&gt;TOTAL_BEDS_AVAILABLE,($D126+I$5)&gt;TOTAL_LABOR_HOURS_CAP,MAX(0,($D126+I$5)-PERMANENT_FIELD_LABOR_HOURS)&gt;TEMP_HOURS_CAP),"",$C126+I$6-MIN(($D126+I$5),PERMANENT_FIELD_LABOR_HOURS)*PERMANENT_HOURLY_RATE-MAX(0,($D126+I$5)-PERMANENT_FIELD_LABOR_HOURS)*TEMP_HOURLY_RATE-FIXED_SEASON_COST)</f>
        <v>9719.56979055842</v>
      </c>
      <c r="J126" s="53" t="n">
        <f aca="false">IF(OR($A126&gt;TOMATO_BED_CAP,$B126&gt;CARROT_BED_CAP,J$4&gt;MESCLUN_BED_CAP,$A126+$B126+J$4&gt;TOTAL_BEDS_AVAILABLE,($D126+J$5)&gt;TOTAL_LABOR_HOURS_CAP,MAX(0,($D126+J$5)-PERMANENT_FIELD_LABOR_HOURS)&gt;TEMP_HOURS_CAP),"",$C126+J$6-MIN(($D126+J$5),PERMANENT_FIELD_LABOR_HOURS)*PERMANENT_HOURLY_RATE-MAX(0,($D126+J$5)-PERMANENT_FIELD_LABOR_HOURS)*TEMP_HOURLY_RATE-FIXED_SEASON_COST)</f>
        <v>10688.1639416131</v>
      </c>
      <c r="K126" s="53" t="n">
        <f aca="false">IF(OR($A126&gt;TOMATO_BED_CAP,$B126&gt;CARROT_BED_CAP,K$4&gt;MESCLUN_BED_CAP,$A126+$B126+K$4&gt;TOTAL_BEDS_AVAILABLE,($D126+K$5)&gt;TOTAL_LABOR_HOURS_CAP,MAX(0,($D126+K$5)-PERMANENT_FIELD_LABOR_HOURS)&gt;TEMP_HOURS_CAP),"",$C126+K$6-MIN(($D126+K$5),PERMANENT_FIELD_LABOR_HOURS)*PERMANENT_HOURLY_RATE-MAX(0,($D126+K$5)-PERMANENT_FIELD_LABOR_HOURS)*TEMP_HOURLY_RATE-FIXED_SEASON_COST)</f>
        <v>11635.853038341</v>
      </c>
      <c r="L126" s="53" t="n">
        <f aca="false">IF(OR($A126&gt;TOMATO_BED_CAP,$B126&gt;CARROT_BED_CAP,L$4&gt;MESCLUN_BED_CAP,$A126+$B126+L$4&gt;TOTAL_BEDS_AVAILABLE,($D126+L$5)&gt;TOTAL_LABOR_HOURS_CAP,MAX(0,($D126+L$5)-PERMANENT_FIELD_LABOR_HOURS)&gt;TEMP_HOURS_CAP),"",$C126+L$6-MIN(($D126+L$5),PERMANENT_FIELD_LABOR_HOURS)*PERMANENT_HOURLY_RATE-MAX(0,($D126+L$5)-PERMANENT_FIELD_LABOR_HOURS)*TEMP_HOURLY_RATE-FIXED_SEASON_COST)</f>
        <v>12562.2474865479</v>
      </c>
      <c r="M126" s="53" t="n">
        <f aca="false">IF(OR($A126&gt;TOMATO_BED_CAP,$B126&gt;CARROT_BED_CAP,M$4&gt;MESCLUN_BED_CAP,$A126+$B126+M$4&gt;TOTAL_BEDS_AVAILABLE,($D126+M$5)&gt;TOTAL_LABOR_HOURS_CAP,MAX(0,($D126+M$5)-PERMANENT_FIELD_LABOR_HOURS)&gt;TEMP_HOURS_CAP),"",$C126+M$6-MIN(($D126+M$5),PERMANENT_FIELD_LABOR_HOURS)*PERMANENT_HOURLY_RATE-MAX(0,($D126+M$5)-PERMANENT_FIELD_LABOR_HOURS)*TEMP_HOURLY_RATE-FIXED_SEASON_COST)</f>
        <v>13466.9512185993</v>
      </c>
      <c r="N126" s="53" t="n">
        <f aca="false">IF(OR($A126&gt;TOMATO_BED_CAP,$B126&gt;CARROT_BED_CAP,N$4&gt;MESCLUN_BED_CAP,$A126+$B126+N$4&gt;TOTAL_BEDS_AVAILABLE,($D126+N$5)&gt;TOTAL_LABOR_HOURS_CAP,MAX(0,($D126+N$5)-PERMANENT_FIELD_LABOR_HOURS)&gt;TEMP_HOURS_CAP),"",$C126+N$6-MIN(($D126+N$5),PERMANENT_FIELD_LABOR_HOURS)*PERMANENT_HOURLY_RATE-MAX(0,($D126+N$5)-PERMANENT_FIELD_LABOR_HOURS)*TEMP_HOURLY_RATE-FIXED_SEASON_COST)</f>
        <v>14349.5615924588</v>
      </c>
      <c r="O126" s="53" t="n">
        <f aca="false">IF(OR($A126&gt;TOMATO_BED_CAP,$B126&gt;CARROT_BED_CAP,O$4&gt;MESCLUN_BED_CAP,$A126+$B126+O$4&gt;TOTAL_BEDS_AVAILABLE,($D126+O$5)&gt;TOTAL_LABOR_HOURS_CAP,MAX(0,($D126+O$5)-PERMANENT_FIELD_LABOR_HOURS)&gt;TEMP_HOURS_CAP),"",$C126+O$6-MIN(($D126+O$5),PERMANENT_FIELD_LABOR_HOURS)*PERMANENT_HOURLY_RATE-MAX(0,($D126+O$5)-PERMANENT_FIELD_LABOR_HOURS)*TEMP_HOURLY_RATE-FIXED_SEASON_COST)</f>
        <v>15209.6692892136</v>
      </c>
      <c r="P126" s="53" t="n">
        <f aca="false">IF(OR($A126&gt;TOMATO_BED_CAP,$B126&gt;CARROT_BED_CAP,P$4&gt;MESCLUN_BED_CAP,$A126+$B126+P$4&gt;TOTAL_BEDS_AVAILABLE,($D126+P$5)&gt;TOTAL_LABOR_HOURS_CAP,MAX(0,($D126+P$5)-PERMANENT_FIELD_LABOR_HOURS)&gt;TEMP_HOURS_CAP),"",$C126+P$6-MIN(($D126+P$5),PERMANENT_FIELD_LABOR_HOURS)*PERMANENT_HOURLY_RATE-MAX(0,($D126+P$5)-PERMANENT_FIELD_LABOR_HOURS)*TEMP_HOURLY_RATE-FIXED_SEASON_COST)</f>
        <v>16046.858209065</v>
      </c>
      <c r="Q126" s="53" t="n">
        <f aca="false">IF(OR($A126&gt;TOMATO_BED_CAP,$B126&gt;CARROT_BED_CAP,Q$4&gt;MESCLUN_BED_CAP,$A126+$B126+Q$4&gt;TOTAL_BEDS_AVAILABLE,($D126+Q$5)&gt;TOTAL_LABOR_HOURS_CAP,MAX(0,($D126+Q$5)-PERMANENT_FIELD_LABOR_HOURS)&gt;TEMP_HOURS_CAP),"",$C126+Q$6-MIN(($D126+Q$5),PERMANENT_FIELD_LABOR_HOURS)*PERMANENT_HOURLY_RATE-MAX(0,($D126+Q$5)-PERMANENT_FIELD_LABOR_HOURS)*TEMP_HOURLY_RATE-FIXED_SEASON_COST)</f>
        <v>16860.7053657629</v>
      </c>
      <c r="R126" s="53" t="n">
        <f aca="false">IF(OR($A126&gt;TOMATO_BED_CAP,$B126&gt;CARROT_BED_CAP,R$4&gt;MESCLUN_BED_CAP,$A126+$B126+R$4&gt;TOTAL_BEDS_AVAILABLE,($D126+R$5)&gt;TOTAL_LABOR_HOURS_CAP,MAX(0,($D126+R$5)-PERMANENT_FIELD_LABOR_HOURS)&gt;TEMP_HOURS_CAP),"",$C126+R$6-MIN(($D126+R$5),PERMANENT_FIELD_LABOR_HOURS)*PERMANENT_HOURLY_RATE-MAX(0,($D126+R$5)-PERMANENT_FIELD_LABOR_HOURS)*TEMP_HOURLY_RATE-FIXED_SEASON_COST)</f>
        <v>17650.7807794597</v>
      </c>
      <c r="S126" s="53" t="n">
        <f aca="false">IF(OR($A126&gt;TOMATO_BED_CAP,$B126&gt;CARROT_BED_CAP,S$4&gt;MESCLUN_BED_CAP,$A126+$B126+S$4&gt;TOTAL_BEDS_AVAILABLE,($D126+S$5)&gt;TOTAL_LABOR_HOURS_CAP,MAX(0,($D126+S$5)-PERMANENT_FIELD_LABOR_HOURS)&gt;TEMP_HOURS_CAP),"",$C126+S$6-MIN(($D126+S$5),PERMANENT_FIELD_LABOR_HOURS)*PERMANENT_HOURLY_RATE-MAX(0,($D126+S$5)-PERMANENT_FIELD_LABOR_HOURS)*TEMP_HOURLY_RATE-FIXED_SEASON_COST)</f>
        <v>18416.6473679622</v>
      </c>
      <c r="T126" s="53" t="n">
        <f aca="false">IF(OR($A126&gt;TOMATO_BED_CAP,$B126&gt;CARROT_BED_CAP,T$4&gt;MESCLUN_BED_CAP,$A126+$B126+T$4&gt;TOTAL_BEDS_AVAILABLE,($D126+T$5)&gt;TOTAL_LABOR_HOURS_CAP,MAX(0,($D126+T$5)-PERMANENT_FIELD_LABOR_HOURS)&gt;TEMP_HOURS_CAP),"",$C126+T$6-MIN(($D126+T$5),PERMANENT_FIELD_LABOR_HOURS)*PERMANENT_HOURLY_RATE-MAX(0,($D126+T$5)-PERMANENT_FIELD_LABOR_HOURS)*TEMP_HOURLY_RATE-FIXED_SEASON_COST)</f>
        <v>19157.860836357</v>
      </c>
      <c r="U126" s="53" t="n">
        <f aca="false">IF(OR($A126&gt;TOMATO_BED_CAP,$B126&gt;CARROT_BED_CAP,U$4&gt;MESCLUN_BED_CAP,$A126+$B126+U$4&gt;TOTAL_BEDS_AVAILABLE,($D126+U$5)&gt;TOTAL_LABOR_HOURS_CAP,MAX(0,($D126+U$5)-PERMANENT_FIELD_LABOR_HOURS)&gt;TEMP_HOURS_CAP),"",$C126+U$6-MIN(($D126+U$5),PERMANENT_FIELD_LABOR_HOURS)*PERMANENT_HOURLY_RATE-MAX(0,($D126+U$5)-PERMANENT_FIELD_LABOR_HOURS)*TEMP_HOURLY_RATE-FIXED_SEASON_COST)</f>
        <v>19873.9695649871</v>
      </c>
      <c r="V126" s="53" t="n">
        <f aca="false">IF(OR($A126&gt;TOMATO_BED_CAP,$B126&gt;CARROT_BED_CAP,V$4&gt;MESCLUN_BED_CAP,$A126+$B126+V$4&gt;TOTAL_BEDS_AVAILABLE,($D126+V$5)&gt;TOTAL_LABOR_HOURS_CAP,MAX(0,($D126+V$5)-PERMANENT_FIELD_LABOR_HOURS)&gt;TEMP_HOURS_CAP),"",$C126+V$6-MIN(($D126+V$5),PERMANENT_FIELD_LABOR_HOURS)*PERMANENT_HOURLY_RATE-MAX(0,($D126+V$5)-PERMANENT_FIELD_LABOR_HOURS)*TEMP_HOURLY_RATE-FIXED_SEASON_COST)</f>
        <v>20564.5144957539</v>
      </c>
      <c r="W126" s="53" t="n">
        <f aca="false">IF(OR($A126&gt;TOMATO_BED_CAP,$B126&gt;CARROT_BED_CAP,W$4&gt;MESCLUN_BED_CAP,$A126+$B126+W$4&gt;TOTAL_BEDS_AVAILABLE,($D126+W$5)&gt;TOTAL_LABOR_HOURS_CAP,MAX(0,($D126+W$5)-PERMANENT_FIELD_LABOR_HOURS)&gt;TEMP_HOURS_CAP),"",$C126+W$6-MIN(($D126+W$5),PERMANENT_FIELD_LABOR_HOURS)*PERMANENT_HOURLY_RATE-MAX(0,($D126+W$5)-PERMANENT_FIELD_LABOR_HOURS)*TEMP_HOURLY_RATE-FIXED_SEASON_COST)</f>
        <v>21229.029016722</v>
      </c>
      <c r="X126" s="53" t="n">
        <f aca="false">IF(OR($A126&gt;TOMATO_BED_CAP,$B126&gt;CARROT_BED_CAP,X$4&gt;MESCLUN_BED_CAP,$A126+$B126+X$4&gt;TOTAL_BEDS_AVAILABLE,($D126+X$5)&gt;TOTAL_LABOR_HOURS_CAP,MAX(0,($D126+X$5)-PERMANENT_FIELD_LABOR_HOURS)&gt;TEMP_HOURS_CAP),"",$C126+X$6-MIN(($D126+X$5),PERMANENT_FIELD_LABOR_HOURS)*PERMANENT_HOURLY_RATE-MAX(0,($D126+X$5)-PERMANENT_FIELD_LABOR_HOURS)*TEMP_HOURLY_RATE-FIXED_SEASON_COST)</f>
        <v>21867.0388450009</v>
      </c>
      <c r="Y126" s="53" t="n">
        <f aca="false">IF(OR($A126&gt;TOMATO_BED_CAP,$B126&gt;CARROT_BED_CAP,Y$4&gt;MESCLUN_BED_CAP,$A126+$B126+Y$4&gt;TOTAL_BEDS_AVAILABLE,($D126+Y$5)&gt;TOTAL_LABOR_HOURS_CAP,MAX(0,($D126+Y$5)-PERMANENT_FIELD_LABOR_HOURS)&gt;TEMP_HOURS_CAP),"",$C126+Y$6-MIN(($D126+Y$5),PERMANENT_FIELD_LABOR_HOURS)*PERMANENT_HOURLY_RATE-MAX(0,($D126+Y$5)-PERMANENT_FIELD_LABOR_HOURS)*TEMP_HOURLY_RATE-FIXED_SEASON_COST)</f>
        <v>22478.0619078795</v>
      </c>
      <c r="Z126" s="53" t="n">
        <f aca="false">IF(OR($A126&gt;TOMATO_BED_CAP,$B126&gt;CARROT_BED_CAP,Z$4&gt;MESCLUN_BED_CAP,$A126+$B126+Z$4&gt;TOTAL_BEDS_AVAILABLE,($D126+Z$5)&gt;TOTAL_LABOR_HOURS_CAP,MAX(0,($D126+Z$5)-PERMANENT_FIELD_LABOR_HOURS)&gt;TEMP_HOURS_CAP),"",$C126+Z$6-MIN(($D126+Z$5),PERMANENT_FIELD_LABOR_HOURS)*PERMANENT_HOURLY_RATE-MAX(0,($D126+Z$5)-PERMANENT_FIELD_LABOR_HOURS)*TEMP_HOURLY_RATE-FIXED_SEASON_COST)</f>
        <v>23061.6082221873</v>
      </c>
      <c r="AA126" s="53" t="n">
        <f aca="false">IF(OR($A126&gt;TOMATO_BED_CAP,$B126&gt;CARROT_BED_CAP,AA$4&gt;MESCLUN_BED_CAP,$A126+$B126+AA$4&gt;TOTAL_BEDS_AVAILABLE,($D126+AA$5)&gt;TOTAL_LABOR_HOURS_CAP,MAX(0,($D126+AA$5)-PERMANENT_FIELD_LABOR_HOURS)&gt;TEMP_HOURS_CAP),"",$C126+AA$6-MIN(($D126+AA$5),PERMANENT_FIELD_LABOR_HOURS)*PERMANENT_HOURLY_RATE-MAX(0,($D126+AA$5)-PERMANENT_FIELD_LABOR_HOURS)*TEMP_HOURLY_RATE-FIXED_SEASON_COST)</f>
        <v>23617.1797718562</v>
      </c>
      <c r="AB126" s="53" t="n">
        <f aca="false">IF(OR($A126&gt;TOMATO_BED_CAP,$B126&gt;CARROT_BED_CAP,AB$4&gt;MESCLUN_BED_CAP,$A126+$B126+AB$4&gt;TOTAL_BEDS_AVAILABLE,($D126+AB$5)&gt;TOTAL_LABOR_HOURS_CAP,MAX(0,($D126+AB$5)-PERMANENT_FIELD_LABOR_HOURS)&gt;TEMP_HOURS_CAP),"",$C126+AB$6-MIN(($D126+AB$5),PERMANENT_FIELD_LABOR_HOURS)*PERMANENT_HOURLY_RATE-MAX(0,($D126+AB$5)-PERMANENT_FIELD_LABOR_HOURS)*TEMP_HOURLY_RATE-FIXED_SEASON_COST)</f>
        <v>24144.2703836588</v>
      </c>
      <c r="AC126" s="53" t="n">
        <f aca="false">IF(OR($A126&gt;TOMATO_BED_CAP,$B126&gt;CARROT_BED_CAP,AC$4&gt;MESCLUN_BED_CAP,$A126+$B126+AC$4&gt;TOTAL_BEDS_AVAILABLE,($D126+AC$5)&gt;TOTAL_LABOR_HOURS_CAP,MAX(0,($D126+AC$5)-PERMANENT_FIELD_LABOR_HOURS)&gt;TEMP_HOURS_CAP),"",$C126+AC$6-MIN(($D126+AC$5),PERMANENT_FIELD_LABOR_HOURS)*PERMANENT_HOURLY_RATE-MAX(0,($D126+AC$5)-PERMANENT_FIELD_LABOR_HOURS)*TEMP_HOURLY_RATE-FIXED_SEASON_COST)</f>
        <v>24642.3656010937</v>
      </c>
      <c r="AD126" s="53" t="n">
        <f aca="false">IF(OR($A126&gt;TOMATO_BED_CAP,$B126&gt;CARROT_BED_CAP,AD$4&gt;MESCLUN_BED_CAP,$A126+$B126+AD$4&gt;TOTAL_BEDS_AVAILABLE,($D126+AD$5)&gt;TOTAL_LABOR_HOURS_CAP,MAX(0,($D126+AD$5)-PERMANENT_FIELD_LABOR_HOURS)&gt;TEMP_HOURS_CAP),"",$C126+AD$6-MIN(($D126+AD$5),PERMANENT_FIELD_LABOR_HOURS)*PERMANENT_HOURLY_RATE-MAX(0,($D126+AD$5)-PERMANENT_FIELD_LABOR_HOURS)*TEMP_HOURLY_RATE-FIXED_SEASON_COST)</f>
        <v>25110.9425563936</v>
      </c>
      <c r="AE126" s="53" t="n">
        <f aca="false">IF(OR($A126&gt;TOMATO_BED_CAP,$B126&gt;CARROT_BED_CAP,AE$4&gt;MESCLUN_BED_CAP,$A126+$B126+AE$4&gt;TOTAL_BEDS_AVAILABLE,($D126+AE$5)&gt;TOTAL_LABOR_HOURS_CAP,MAX(0,($D126+AE$5)-PERMANENT_FIELD_LABOR_HOURS)&gt;TEMP_HOURS_CAP),"",$C126+AE$6-MIN(($D126+AE$5),PERMANENT_FIELD_LABOR_HOURS)*PERMANENT_HOURLY_RATE-MAX(0,($D126+AE$5)-PERMANENT_FIELD_LABOR_HOURS)*TEMP_HOURLY_RATE-FIXED_SEASON_COST)</f>
        <v>25549.4698406275</v>
      </c>
      <c r="AF126" s="53" t="n">
        <f aca="false">IF(OR($A126&gt;TOMATO_BED_CAP,$B126&gt;CARROT_BED_CAP,AF$4&gt;MESCLUN_BED_CAP,$A126+$B126+AF$4&gt;TOTAL_BEDS_AVAILABLE,($D126+AF$5)&gt;TOTAL_LABOR_HOURS_CAP,MAX(0,($D126+AF$5)-PERMANENT_FIELD_LABOR_HOURS)&gt;TEMP_HOURS_CAP),"",$C126+AF$6-MIN(($D126+AF$5),PERMANENT_FIELD_LABOR_HOURS)*PERMANENT_HOURLY_RATE-MAX(0,($D126+AF$5)-PERMANENT_FIELD_LABOR_HOURS)*TEMP_HOURLY_RATE-FIXED_SEASON_COST)</f>
        <v>25957.4073718695</v>
      </c>
      <c r="AG126" s="53" t="n">
        <f aca="false">IF(OR($A126&gt;TOMATO_BED_CAP,$B126&gt;CARROT_BED_CAP,AG$4&gt;MESCLUN_BED_CAP,$A126+$B126+AG$4&gt;TOTAL_BEDS_AVAILABLE,($D126+AG$5)&gt;TOTAL_LABOR_HOURS_CAP,MAX(0,($D126+AG$5)-PERMANENT_FIELD_LABOR_HOURS)&gt;TEMP_HOURS_CAP),"",$C126+AG$6-MIN(($D126+AG$5),PERMANENT_FIELD_LABOR_HOURS)*PERMANENT_HOURLY_RATE-MAX(0,($D126+AG$5)-PERMANENT_FIELD_LABOR_HOURS)*TEMP_HOURLY_RATE-FIXED_SEASON_COST)</f>
        <v>26334.2062614065</v>
      </c>
      <c r="AH126" s="53" t="n">
        <f aca="false">IF(OR($A126&gt;TOMATO_BED_CAP,$B126&gt;CARROT_BED_CAP,AH$4&gt;MESCLUN_BED_CAP,$A126+$B126+AH$4&gt;TOTAL_BEDS_AVAILABLE,($D126+AH$5)&gt;TOTAL_LABOR_HOURS_CAP,MAX(0,($D126+AH$5)-PERMANENT_FIELD_LABOR_HOURS)&gt;TEMP_HOURS_CAP),"",$C126+AH$6-MIN(($D126+AH$5),PERMANENT_FIELD_LABOR_HOURS)*PERMANENT_HOURLY_RATE-MAX(0,($D126+AH$5)-PERMANENT_FIELD_LABOR_HOURS)*TEMP_HOURLY_RATE-FIXED_SEASON_COST)</f>
        <v>26679.3086779567</v>
      </c>
      <c r="AI126" s="53" t="n">
        <f aca="false">IF(OR($A126&gt;TOMATO_BED_CAP,$B126&gt;CARROT_BED_CAP,AI$4&gt;MESCLUN_BED_CAP,$A126+$B126+AI$4&gt;TOTAL_BEDS_AVAILABLE,($D126+AI$5)&gt;TOTAL_LABOR_HOURS_CAP,MAX(0,($D126+AI$5)-PERMANENT_FIELD_LABOR_HOURS)&gt;TEMP_HOURS_CAP),"",$C126+AI$6-MIN(($D126+AI$5),PERMANENT_FIELD_LABOR_HOURS)*PERMANENT_HOURLY_RATE-MAX(0,($D126+AI$5)-PERMANENT_FIELD_LABOR_HOURS)*TEMP_HOURLY_RATE-FIXED_SEASON_COST)</f>
        <v>26992.147709869</v>
      </c>
      <c r="AJ126" s="53" t="n">
        <f aca="false">IF(OR($A126&gt;TOMATO_BED_CAP,$B126&gt;CARROT_BED_CAP,AJ$4&gt;MESCLUN_BED_CAP,$A126+$B126+AJ$4&gt;TOTAL_BEDS_AVAILABLE,($D126+AJ$5)&gt;TOTAL_LABOR_HOURS_CAP,MAX(0,($D126+AJ$5)-PERMANENT_FIELD_LABOR_HOURS)&gt;TEMP_HOURS_CAP),"",$C126+AJ$6-MIN(($D126+AJ$5),PERMANENT_FIELD_LABOR_HOURS)*PERMANENT_HOURLY_RATE-MAX(0,($D126+AJ$5)-PERMANENT_FIELD_LABOR_HOURS)*TEMP_HOURLY_RATE-FIXED_SEASON_COST)</f>
        <v>27272.1472252747</v>
      </c>
    </row>
    <row r="127" customFormat="false" ht="15" hidden="false" customHeight="false" outlineLevel="0" collapsed="false">
      <c r="A127" s="21" t="n">
        <f aca="false">INT((ROW()-ROW($A$8))/(20+1))</f>
        <v>5</v>
      </c>
      <c r="B127" s="21" t="n">
        <f aca="false">MOD(ROW()-ROW($A$8),20+1)</f>
        <v>14</v>
      </c>
      <c r="C127" s="13" t="n">
        <f aca="false">A127*(TOMATO_REVENUE_PER_BED-TOMATO_FERTILIZER_PER_BED)+B127*(CARROT_REVENUE_PER_BED-CARROT_FERTILIZER_PER_BED)</f>
        <v>62756</v>
      </c>
      <c r="D127" s="14" t="n">
        <f aca="false">INDEX(TOMATO_SCHED_LABOR_HRS,A127+1)+INDEX(CARROT_SCHED_LABOR_HRS,B127+1)</f>
        <v>1317.94112520706</v>
      </c>
      <c r="E127" s="13" t="n">
        <f aca="false">IF(COUNT(F127:AJ127)=0,"",MAX(F127:AJ127))</f>
        <v>27957.331361278</v>
      </c>
      <c r="F127" s="53" t="n">
        <f aca="false">IF(OR($A127&gt;TOMATO_BED_CAP,$B127&gt;CARROT_BED_CAP,F$4&gt;MESCLUN_BED_CAP,$A127+$B127+F$4&gt;TOTAL_BEDS_AVAILABLE,($D127+F$5)&gt;TOTAL_LABOR_HOURS_CAP,MAX(0,($D127+F$5)-PERMANENT_FIELD_LABOR_HOURS)&gt;TEMP_HOURS_CAP),"",$C127+F$6-MIN(($D127+F$5),PERMANENT_FIELD_LABOR_HOURS)*PERMANENT_HOURLY_RATE-MAX(0,($D127+F$5)-PERMANENT_FIELD_LABOR_HOURS)*TEMP_HOURLY_RATE-FIXED_SEASON_COST)</f>
        <v>7377.34206640548</v>
      </c>
      <c r="G127" s="53" t="n">
        <f aca="false">IF(OR($A127&gt;TOMATO_BED_CAP,$B127&gt;CARROT_BED_CAP,G$4&gt;MESCLUN_BED_CAP,$A127+$B127+G$4&gt;TOTAL_BEDS_AVAILABLE,($D127+G$5)&gt;TOTAL_LABOR_HOURS_CAP,MAX(0,($D127+G$5)-PERMANENT_FIELD_LABOR_HOURS)&gt;TEMP_HOURS_CAP),"",$C127+G$6-MIN(($D127+G$5),PERMANENT_FIELD_LABOR_HOURS)*PERMANENT_HOURLY_RATE-MAX(0,($D127+G$5)-PERMANENT_FIELD_LABOR_HOURS)*TEMP_HOURLY_RATE-FIXED_SEASON_COST)</f>
        <v>8406.37706640548</v>
      </c>
      <c r="H127" s="53" t="n">
        <f aca="false">IF(OR($A127&gt;TOMATO_BED_CAP,$B127&gt;CARROT_BED_CAP,H$4&gt;MESCLUN_BED_CAP,$A127+$B127+H$4&gt;TOTAL_BEDS_AVAILABLE,($D127+H$5)&gt;TOTAL_LABOR_HOURS_CAP,MAX(0,($D127+H$5)-PERMANENT_FIELD_LABOR_HOURS)&gt;TEMP_HOURS_CAP),"",$C127+H$6-MIN(($D127+H$5),PERMANENT_FIELD_LABOR_HOURS)*PERMANENT_HOURLY_RATE-MAX(0,($D127+H$5)-PERMANENT_FIELD_LABOR_HOURS)*TEMP_HOURLY_RATE-FIXED_SEASON_COST)</f>
        <v>9415.63794140548</v>
      </c>
      <c r="I127" s="53" t="n">
        <f aca="false">IF(OR($A127&gt;TOMATO_BED_CAP,$B127&gt;CARROT_BED_CAP,I$4&gt;MESCLUN_BED_CAP,$A127+$B127+I$4&gt;TOTAL_BEDS_AVAILABLE,($D127+I$5)&gt;TOTAL_LABOR_HOURS_CAP,MAX(0,($D127+I$5)-PERMANENT_FIELD_LABOR_HOURS)&gt;TEMP_HOURS_CAP),"",$C127+I$6-MIN(($D127+I$5),PERMANENT_FIELD_LABOR_HOURS)*PERMANENT_HOURLY_RATE-MAX(0,($D127+I$5)-PERMANENT_FIELD_LABOR_HOURS)*TEMP_HOURLY_RATE-FIXED_SEASON_COST)</f>
        <v>10404.7539265617</v>
      </c>
      <c r="J127" s="53" t="n">
        <f aca="false">IF(OR($A127&gt;TOMATO_BED_CAP,$B127&gt;CARROT_BED_CAP,J$4&gt;MESCLUN_BED_CAP,$A127+$B127+J$4&gt;TOTAL_BEDS_AVAILABLE,($D127+J$5)&gt;TOTAL_LABOR_HOURS_CAP,MAX(0,($D127+J$5)-PERMANENT_FIELD_LABOR_HOURS)&gt;TEMP_HOURS_CAP),"",$C127+J$6-MIN(($D127+J$5),PERMANENT_FIELD_LABOR_HOURS)*PERMANENT_HOURLY_RATE-MAX(0,($D127+J$5)-PERMANENT_FIELD_LABOR_HOURS)*TEMP_HOURLY_RATE-FIXED_SEASON_COST)</f>
        <v>11373.3480776164</v>
      </c>
      <c r="K127" s="53" t="n">
        <f aca="false">IF(OR($A127&gt;TOMATO_BED_CAP,$B127&gt;CARROT_BED_CAP,K$4&gt;MESCLUN_BED_CAP,$A127+$B127+K$4&gt;TOTAL_BEDS_AVAILABLE,($D127+K$5)&gt;TOTAL_LABOR_HOURS_CAP,MAX(0,($D127+K$5)-PERMANENT_FIELD_LABOR_HOURS)&gt;TEMP_HOURS_CAP),"",$C127+K$6-MIN(($D127+K$5),PERMANENT_FIELD_LABOR_HOURS)*PERMANENT_HOURLY_RATE-MAX(0,($D127+K$5)-PERMANENT_FIELD_LABOR_HOURS)*TEMP_HOURLY_RATE-FIXED_SEASON_COST)</f>
        <v>12321.0371743443</v>
      </c>
      <c r="L127" s="53" t="n">
        <f aca="false">IF(OR($A127&gt;TOMATO_BED_CAP,$B127&gt;CARROT_BED_CAP,L$4&gt;MESCLUN_BED_CAP,$A127+$B127+L$4&gt;TOTAL_BEDS_AVAILABLE,($D127+L$5)&gt;TOTAL_LABOR_HOURS_CAP,MAX(0,($D127+L$5)-PERMANENT_FIELD_LABOR_HOURS)&gt;TEMP_HOURS_CAP),"",$C127+L$6-MIN(($D127+L$5),PERMANENT_FIELD_LABOR_HOURS)*PERMANENT_HOURLY_RATE-MAX(0,($D127+L$5)-PERMANENT_FIELD_LABOR_HOURS)*TEMP_HOURLY_RATE-FIXED_SEASON_COST)</f>
        <v>13247.4316225512</v>
      </c>
      <c r="M127" s="53" t="n">
        <f aca="false">IF(OR($A127&gt;TOMATO_BED_CAP,$B127&gt;CARROT_BED_CAP,M$4&gt;MESCLUN_BED_CAP,$A127+$B127+M$4&gt;TOTAL_BEDS_AVAILABLE,($D127+M$5)&gt;TOTAL_LABOR_HOURS_CAP,MAX(0,($D127+M$5)-PERMANENT_FIELD_LABOR_HOURS)&gt;TEMP_HOURS_CAP),"",$C127+M$6-MIN(($D127+M$5),PERMANENT_FIELD_LABOR_HOURS)*PERMANENT_HOURLY_RATE-MAX(0,($D127+M$5)-PERMANENT_FIELD_LABOR_HOURS)*TEMP_HOURLY_RATE-FIXED_SEASON_COST)</f>
        <v>14152.1353546026</v>
      </c>
      <c r="N127" s="53" t="n">
        <f aca="false">IF(OR($A127&gt;TOMATO_BED_CAP,$B127&gt;CARROT_BED_CAP,N$4&gt;MESCLUN_BED_CAP,$A127+$B127+N$4&gt;TOTAL_BEDS_AVAILABLE,($D127+N$5)&gt;TOTAL_LABOR_HOURS_CAP,MAX(0,($D127+N$5)-PERMANENT_FIELD_LABOR_HOURS)&gt;TEMP_HOURS_CAP),"",$C127+N$6-MIN(($D127+N$5),PERMANENT_FIELD_LABOR_HOURS)*PERMANENT_HOURLY_RATE-MAX(0,($D127+N$5)-PERMANENT_FIELD_LABOR_HOURS)*TEMP_HOURLY_RATE-FIXED_SEASON_COST)</f>
        <v>15034.7457284621</v>
      </c>
      <c r="O127" s="53" t="n">
        <f aca="false">IF(OR($A127&gt;TOMATO_BED_CAP,$B127&gt;CARROT_BED_CAP,O$4&gt;MESCLUN_BED_CAP,$A127+$B127+O$4&gt;TOTAL_BEDS_AVAILABLE,($D127+O$5)&gt;TOTAL_LABOR_HOURS_CAP,MAX(0,($D127+O$5)-PERMANENT_FIELD_LABOR_HOURS)&gt;TEMP_HOURS_CAP),"",$C127+O$6-MIN(($D127+O$5),PERMANENT_FIELD_LABOR_HOURS)*PERMANENT_HOURLY_RATE-MAX(0,($D127+O$5)-PERMANENT_FIELD_LABOR_HOURS)*TEMP_HOURLY_RATE-FIXED_SEASON_COST)</f>
        <v>15894.8534252169</v>
      </c>
      <c r="P127" s="53" t="n">
        <f aca="false">IF(OR($A127&gt;TOMATO_BED_CAP,$B127&gt;CARROT_BED_CAP,P$4&gt;MESCLUN_BED_CAP,$A127+$B127+P$4&gt;TOTAL_BEDS_AVAILABLE,($D127+P$5)&gt;TOTAL_LABOR_HOURS_CAP,MAX(0,($D127+P$5)-PERMANENT_FIELD_LABOR_HOURS)&gt;TEMP_HOURS_CAP),"",$C127+P$6-MIN(($D127+P$5),PERMANENT_FIELD_LABOR_HOURS)*PERMANENT_HOURLY_RATE-MAX(0,($D127+P$5)-PERMANENT_FIELD_LABOR_HOURS)*TEMP_HOURLY_RATE-FIXED_SEASON_COST)</f>
        <v>16732.0423450683</v>
      </c>
      <c r="Q127" s="53" t="n">
        <f aca="false">IF(OR($A127&gt;TOMATO_BED_CAP,$B127&gt;CARROT_BED_CAP,Q$4&gt;MESCLUN_BED_CAP,$A127+$B127+Q$4&gt;TOTAL_BEDS_AVAILABLE,($D127+Q$5)&gt;TOTAL_LABOR_HOURS_CAP,MAX(0,($D127+Q$5)-PERMANENT_FIELD_LABOR_HOURS)&gt;TEMP_HOURS_CAP),"",$C127+Q$6-MIN(($D127+Q$5),PERMANENT_FIELD_LABOR_HOURS)*PERMANENT_HOURLY_RATE-MAX(0,($D127+Q$5)-PERMANENT_FIELD_LABOR_HOURS)*TEMP_HOURLY_RATE-FIXED_SEASON_COST)</f>
        <v>17545.8895017662</v>
      </c>
      <c r="R127" s="53" t="n">
        <f aca="false">IF(OR($A127&gt;TOMATO_BED_CAP,$B127&gt;CARROT_BED_CAP,R$4&gt;MESCLUN_BED_CAP,$A127+$B127+R$4&gt;TOTAL_BEDS_AVAILABLE,($D127+R$5)&gt;TOTAL_LABOR_HOURS_CAP,MAX(0,($D127+R$5)-PERMANENT_FIELD_LABOR_HOURS)&gt;TEMP_HOURS_CAP),"",$C127+R$6-MIN(($D127+R$5),PERMANENT_FIELD_LABOR_HOURS)*PERMANENT_HOURLY_RATE-MAX(0,($D127+R$5)-PERMANENT_FIELD_LABOR_HOURS)*TEMP_HOURLY_RATE-FIXED_SEASON_COST)</f>
        <v>18335.964915463</v>
      </c>
      <c r="S127" s="53" t="n">
        <f aca="false">IF(OR($A127&gt;TOMATO_BED_CAP,$B127&gt;CARROT_BED_CAP,S$4&gt;MESCLUN_BED_CAP,$A127+$B127+S$4&gt;TOTAL_BEDS_AVAILABLE,($D127+S$5)&gt;TOTAL_LABOR_HOURS_CAP,MAX(0,($D127+S$5)-PERMANENT_FIELD_LABOR_HOURS)&gt;TEMP_HOURS_CAP),"",$C127+S$6-MIN(($D127+S$5),PERMANENT_FIELD_LABOR_HOURS)*PERMANENT_HOURLY_RATE-MAX(0,($D127+S$5)-PERMANENT_FIELD_LABOR_HOURS)*TEMP_HOURLY_RATE-FIXED_SEASON_COST)</f>
        <v>19101.8315039655</v>
      </c>
      <c r="T127" s="53" t="n">
        <f aca="false">IF(OR($A127&gt;TOMATO_BED_CAP,$B127&gt;CARROT_BED_CAP,T$4&gt;MESCLUN_BED_CAP,$A127+$B127+T$4&gt;TOTAL_BEDS_AVAILABLE,($D127+T$5)&gt;TOTAL_LABOR_HOURS_CAP,MAX(0,($D127+T$5)-PERMANENT_FIELD_LABOR_HOURS)&gt;TEMP_HOURS_CAP),"",$C127+T$6-MIN(($D127+T$5),PERMANENT_FIELD_LABOR_HOURS)*PERMANENT_HOURLY_RATE-MAX(0,($D127+T$5)-PERMANENT_FIELD_LABOR_HOURS)*TEMP_HOURLY_RATE-FIXED_SEASON_COST)</f>
        <v>19843.0449723603</v>
      </c>
      <c r="U127" s="53" t="n">
        <f aca="false">IF(OR($A127&gt;TOMATO_BED_CAP,$B127&gt;CARROT_BED_CAP,U$4&gt;MESCLUN_BED_CAP,$A127+$B127+U$4&gt;TOTAL_BEDS_AVAILABLE,($D127+U$5)&gt;TOTAL_LABOR_HOURS_CAP,MAX(0,($D127+U$5)-PERMANENT_FIELD_LABOR_HOURS)&gt;TEMP_HOURS_CAP),"",$C127+U$6-MIN(($D127+U$5),PERMANENT_FIELD_LABOR_HOURS)*PERMANENT_HOURLY_RATE-MAX(0,($D127+U$5)-PERMANENT_FIELD_LABOR_HOURS)*TEMP_HOURLY_RATE-FIXED_SEASON_COST)</f>
        <v>20559.1537009904</v>
      </c>
      <c r="V127" s="53" t="n">
        <f aca="false">IF(OR($A127&gt;TOMATO_BED_CAP,$B127&gt;CARROT_BED_CAP,V$4&gt;MESCLUN_BED_CAP,$A127+$B127+V$4&gt;TOTAL_BEDS_AVAILABLE,($D127+V$5)&gt;TOTAL_LABOR_HOURS_CAP,MAX(0,($D127+V$5)-PERMANENT_FIELD_LABOR_HOURS)&gt;TEMP_HOURS_CAP),"",$C127+V$6-MIN(($D127+V$5),PERMANENT_FIELD_LABOR_HOURS)*PERMANENT_HOURLY_RATE-MAX(0,($D127+V$5)-PERMANENT_FIELD_LABOR_HOURS)*TEMP_HOURLY_RATE-FIXED_SEASON_COST)</f>
        <v>21249.6986317572</v>
      </c>
      <c r="W127" s="53" t="n">
        <f aca="false">IF(OR($A127&gt;TOMATO_BED_CAP,$B127&gt;CARROT_BED_CAP,W$4&gt;MESCLUN_BED_CAP,$A127+$B127+W$4&gt;TOTAL_BEDS_AVAILABLE,($D127+W$5)&gt;TOTAL_LABOR_HOURS_CAP,MAX(0,($D127+W$5)-PERMANENT_FIELD_LABOR_HOURS)&gt;TEMP_HOURS_CAP),"",$C127+W$6-MIN(($D127+W$5),PERMANENT_FIELD_LABOR_HOURS)*PERMANENT_HOURLY_RATE-MAX(0,($D127+W$5)-PERMANENT_FIELD_LABOR_HOURS)*TEMP_HOURLY_RATE-FIXED_SEASON_COST)</f>
        <v>21914.2131527253</v>
      </c>
      <c r="X127" s="53" t="n">
        <f aca="false">IF(OR($A127&gt;TOMATO_BED_CAP,$B127&gt;CARROT_BED_CAP,X$4&gt;MESCLUN_BED_CAP,$A127+$B127+X$4&gt;TOTAL_BEDS_AVAILABLE,($D127+X$5)&gt;TOTAL_LABOR_HOURS_CAP,MAX(0,($D127+X$5)-PERMANENT_FIELD_LABOR_HOURS)&gt;TEMP_HOURS_CAP),"",$C127+X$6-MIN(($D127+X$5),PERMANENT_FIELD_LABOR_HOURS)*PERMANENT_HOURLY_RATE-MAX(0,($D127+X$5)-PERMANENT_FIELD_LABOR_HOURS)*TEMP_HOURLY_RATE-FIXED_SEASON_COST)</f>
        <v>22552.2229810042</v>
      </c>
      <c r="Y127" s="53" t="n">
        <f aca="false">IF(OR($A127&gt;TOMATO_BED_CAP,$B127&gt;CARROT_BED_CAP,Y$4&gt;MESCLUN_BED_CAP,$A127+$B127+Y$4&gt;TOTAL_BEDS_AVAILABLE,($D127+Y$5)&gt;TOTAL_LABOR_HOURS_CAP,MAX(0,($D127+Y$5)-PERMANENT_FIELD_LABOR_HOURS)&gt;TEMP_HOURS_CAP),"",$C127+Y$6-MIN(($D127+Y$5),PERMANENT_FIELD_LABOR_HOURS)*PERMANENT_HOURLY_RATE-MAX(0,($D127+Y$5)-PERMANENT_FIELD_LABOR_HOURS)*TEMP_HOURLY_RATE-FIXED_SEASON_COST)</f>
        <v>23163.2460438828</v>
      </c>
      <c r="Z127" s="53" t="n">
        <f aca="false">IF(OR($A127&gt;TOMATO_BED_CAP,$B127&gt;CARROT_BED_CAP,Z$4&gt;MESCLUN_BED_CAP,$A127+$B127+Z$4&gt;TOTAL_BEDS_AVAILABLE,($D127+Z$5)&gt;TOTAL_LABOR_HOURS_CAP,MAX(0,($D127+Z$5)-PERMANENT_FIELD_LABOR_HOURS)&gt;TEMP_HOURS_CAP),"",$C127+Z$6-MIN(($D127+Z$5),PERMANENT_FIELD_LABOR_HOURS)*PERMANENT_HOURLY_RATE-MAX(0,($D127+Z$5)-PERMANENT_FIELD_LABOR_HOURS)*TEMP_HOURLY_RATE-FIXED_SEASON_COST)</f>
        <v>23746.7923581906</v>
      </c>
      <c r="AA127" s="53" t="n">
        <f aca="false">IF(OR($A127&gt;TOMATO_BED_CAP,$B127&gt;CARROT_BED_CAP,AA$4&gt;MESCLUN_BED_CAP,$A127+$B127+AA$4&gt;TOTAL_BEDS_AVAILABLE,($D127+AA$5)&gt;TOTAL_LABOR_HOURS_CAP,MAX(0,($D127+AA$5)-PERMANENT_FIELD_LABOR_HOURS)&gt;TEMP_HOURS_CAP),"",$C127+AA$6-MIN(($D127+AA$5),PERMANENT_FIELD_LABOR_HOURS)*PERMANENT_HOURLY_RATE-MAX(0,($D127+AA$5)-PERMANENT_FIELD_LABOR_HOURS)*TEMP_HOURLY_RATE-FIXED_SEASON_COST)</f>
        <v>24302.3639078595</v>
      </c>
      <c r="AB127" s="53" t="n">
        <f aca="false">IF(OR($A127&gt;TOMATO_BED_CAP,$B127&gt;CARROT_BED_CAP,AB$4&gt;MESCLUN_BED_CAP,$A127+$B127+AB$4&gt;TOTAL_BEDS_AVAILABLE,($D127+AB$5)&gt;TOTAL_LABOR_HOURS_CAP,MAX(0,($D127+AB$5)-PERMANENT_FIELD_LABOR_HOURS)&gt;TEMP_HOURS_CAP),"",$C127+AB$6-MIN(($D127+AB$5),PERMANENT_FIELD_LABOR_HOURS)*PERMANENT_HOURLY_RATE-MAX(0,($D127+AB$5)-PERMANENT_FIELD_LABOR_HOURS)*TEMP_HOURLY_RATE-FIXED_SEASON_COST)</f>
        <v>24829.4545196621</v>
      </c>
      <c r="AC127" s="53" t="n">
        <f aca="false">IF(OR($A127&gt;TOMATO_BED_CAP,$B127&gt;CARROT_BED_CAP,AC$4&gt;MESCLUN_BED_CAP,$A127+$B127+AC$4&gt;TOTAL_BEDS_AVAILABLE,($D127+AC$5)&gt;TOTAL_LABOR_HOURS_CAP,MAX(0,($D127+AC$5)-PERMANENT_FIELD_LABOR_HOURS)&gt;TEMP_HOURS_CAP),"",$C127+AC$6-MIN(($D127+AC$5),PERMANENT_FIELD_LABOR_HOURS)*PERMANENT_HOURLY_RATE-MAX(0,($D127+AC$5)-PERMANENT_FIELD_LABOR_HOURS)*TEMP_HOURLY_RATE-FIXED_SEASON_COST)</f>
        <v>25327.549737097</v>
      </c>
      <c r="AD127" s="53" t="n">
        <f aca="false">IF(OR($A127&gt;TOMATO_BED_CAP,$B127&gt;CARROT_BED_CAP,AD$4&gt;MESCLUN_BED_CAP,$A127+$B127+AD$4&gt;TOTAL_BEDS_AVAILABLE,($D127+AD$5)&gt;TOTAL_LABOR_HOURS_CAP,MAX(0,($D127+AD$5)-PERMANENT_FIELD_LABOR_HOURS)&gt;TEMP_HOURS_CAP),"",$C127+AD$6-MIN(($D127+AD$5),PERMANENT_FIELD_LABOR_HOURS)*PERMANENT_HOURLY_RATE-MAX(0,($D127+AD$5)-PERMANENT_FIELD_LABOR_HOURS)*TEMP_HOURLY_RATE-FIXED_SEASON_COST)</f>
        <v>25796.1266923969</v>
      </c>
      <c r="AE127" s="53" t="n">
        <f aca="false">IF(OR($A127&gt;TOMATO_BED_CAP,$B127&gt;CARROT_BED_CAP,AE$4&gt;MESCLUN_BED_CAP,$A127+$B127+AE$4&gt;TOTAL_BEDS_AVAILABLE,($D127+AE$5)&gt;TOTAL_LABOR_HOURS_CAP,MAX(0,($D127+AE$5)-PERMANENT_FIELD_LABOR_HOURS)&gt;TEMP_HOURS_CAP),"",$C127+AE$6-MIN(($D127+AE$5),PERMANENT_FIELD_LABOR_HOURS)*PERMANENT_HOURLY_RATE-MAX(0,($D127+AE$5)-PERMANENT_FIELD_LABOR_HOURS)*TEMP_HOURLY_RATE-FIXED_SEASON_COST)</f>
        <v>26234.6539766308</v>
      </c>
      <c r="AF127" s="53" t="n">
        <f aca="false">IF(OR($A127&gt;TOMATO_BED_CAP,$B127&gt;CARROT_BED_CAP,AF$4&gt;MESCLUN_BED_CAP,$A127+$B127+AF$4&gt;TOTAL_BEDS_AVAILABLE,($D127+AF$5)&gt;TOTAL_LABOR_HOURS_CAP,MAX(0,($D127+AF$5)-PERMANENT_FIELD_LABOR_HOURS)&gt;TEMP_HOURS_CAP),"",$C127+AF$6-MIN(($D127+AF$5),PERMANENT_FIELD_LABOR_HOURS)*PERMANENT_HOURLY_RATE-MAX(0,($D127+AF$5)-PERMANENT_FIELD_LABOR_HOURS)*TEMP_HOURLY_RATE-FIXED_SEASON_COST)</f>
        <v>26642.5915078728</v>
      </c>
      <c r="AG127" s="53" t="n">
        <f aca="false">IF(OR($A127&gt;TOMATO_BED_CAP,$B127&gt;CARROT_BED_CAP,AG$4&gt;MESCLUN_BED_CAP,$A127+$B127+AG$4&gt;TOTAL_BEDS_AVAILABLE,($D127+AG$5)&gt;TOTAL_LABOR_HOURS_CAP,MAX(0,($D127+AG$5)-PERMANENT_FIELD_LABOR_HOURS)&gt;TEMP_HOURS_CAP),"",$C127+AG$6-MIN(($D127+AG$5),PERMANENT_FIELD_LABOR_HOURS)*PERMANENT_HOURLY_RATE-MAX(0,($D127+AG$5)-PERMANENT_FIELD_LABOR_HOURS)*TEMP_HOURLY_RATE-FIXED_SEASON_COST)</f>
        <v>27019.3903974098</v>
      </c>
      <c r="AH127" s="53" t="n">
        <f aca="false">IF(OR($A127&gt;TOMATO_BED_CAP,$B127&gt;CARROT_BED_CAP,AH$4&gt;MESCLUN_BED_CAP,$A127+$B127+AH$4&gt;TOTAL_BEDS_AVAILABLE,($D127+AH$5)&gt;TOTAL_LABOR_HOURS_CAP,MAX(0,($D127+AH$5)-PERMANENT_FIELD_LABOR_HOURS)&gt;TEMP_HOURS_CAP),"",$C127+AH$6-MIN(($D127+AH$5),PERMANENT_FIELD_LABOR_HOURS)*PERMANENT_HOURLY_RATE-MAX(0,($D127+AH$5)-PERMANENT_FIELD_LABOR_HOURS)*TEMP_HOURLY_RATE-FIXED_SEASON_COST)</f>
        <v>27364.49281396</v>
      </c>
      <c r="AI127" s="53" t="n">
        <f aca="false">IF(OR($A127&gt;TOMATO_BED_CAP,$B127&gt;CARROT_BED_CAP,AI$4&gt;MESCLUN_BED_CAP,$A127+$B127+AI$4&gt;TOTAL_BEDS_AVAILABLE,($D127+AI$5)&gt;TOTAL_LABOR_HOURS_CAP,MAX(0,($D127+AI$5)-PERMANENT_FIELD_LABOR_HOURS)&gt;TEMP_HOURS_CAP),"",$C127+AI$6-MIN(($D127+AI$5),PERMANENT_FIELD_LABOR_HOURS)*PERMANENT_HOURLY_RATE-MAX(0,($D127+AI$5)-PERMANENT_FIELD_LABOR_HOURS)*TEMP_HOURLY_RATE-FIXED_SEASON_COST)</f>
        <v>27677.3318458723</v>
      </c>
      <c r="AJ127" s="53" t="n">
        <f aca="false">IF(OR($A127&gt;TOMATO_BED_CAP,$B127&gt;CARROT_BED_CAP,AJ$4&gt;MESCLUN_BED_CAP,$A127+$B127+AJ$4&gt;TOTAL_BEDS_AVAILABLE,($D127+AJ$5)&gt;TOTAL_LABOR_HOURS_CAP,MAX(0,($D127+AJ$5)-PERMANENT_FIELD_LABOR_HOURS)&gt;TEMP_HOURS_CAP),"",$C127+AJ$6-MIN(($D127+AJ$5),PERMANENT_FIELD_LABOR_HOURS)*PERMANENT_HOURLY_RATE-MAX(0,($D127+AJ$5)-PERMANENT_FIELD_LABOR_HOURS)*TEMP_HOURLY_RATE-FIXED_SEASON_COST)</f>
        <v>27957.331361278</v>
      </c>
    </row>
    <row r="128" customFormat="false" ht="15" hidden="false" customHeight="false" outlineLevel="0" collapsed="false">
      <c r="A128" s="21" t="n">
        <f aca="false">INT((ROW()-ROW($A$8))/(20+1))</f>
        <v>5</v>
      </c>
      <c r="B128" s="21" t="n">
        <f aca="false">MOD(ROW()-ROW($A$8),20+1)</f>
        <v>15</v>
      </c>
      <c r="C128" s="13" t="n">
        <f aca="false">A128*(TOMATO_REVENUE_PER_BED-TOMATO_FERTILIZER_PER_BED)+B128*(CARROT_REVENUE_PER_BED-CARROT_FERTILIZER_PER_BED)</f>
        <v>64410</v>
      </c>
      <c r="D128" s="14" t="n">
        <f aca="false">INDEX(TOMATO_SCHED_LABOR_HRS,A128+1)+INDEX(CARROT_SCHED_LABOR_HRS,B128+1)</f>
        <v>1376.20298125418</v>
      </c>
      <c r="E128" s="13" t="n">
        <f aca="false">IF(COUNT(F128:AJ128)=0,"",MAX(F128:AJ128))</f>
        <v>28599.9055403</v>
      </c>
      <c r="F128" s="53" t="n">
        <f aca="false">IF(OR($A128&gt;TOMATO_BED_CAP,$B128&gt;CARROT_BED_CAP,F$4&gt;MESCLUN_BED_CAP,$A128+$B128+F$4&gt;TOTAL_BEDS_AVAILABLE,($D128+F$5)&gt;TOTAL_LABOR_HOURS_CAP,MAX(0,($D128+F$5)-PERMANENT_FIELD_LABOR_HOURS)&gt;TEMP_HOURS_CAP),"",$C128+F$6-MIN(($D128+F$5),PERMANENT_FIELD_LABOR_HOURS)*PERMANENT_HOURLY_RATE-MAX(0,($D128+F$5)-PERMANENT_FIELD_LABOR_HOURS)*TEMP_HOURLY_RATE-FIXED_SEASON_COST)</f>
        <v>8019.91624542744</v>
      </c>
      <c r="G128" s="53" t="n">
        <f aca="false">IF(OR($A128&gt;TOMATO_BED_CAP,$B128&gt;CARROT_BED_CAP,G$4&gt;MESCLUN_BED_CAP,$A128+$B128+G$4&gt;TOTAL_BEDS_AVAILABLE,($D128+G$5)&gt;TOTAL_LABOR_HOURS_CAP,MAX(0,($D128+G$5)-PERMANENT_FIELD_LABOR_HOURS)&gt;TEMP_HOURS_CAP),"",$C128+G$6-MIN(($D128+G$5),PERMANENT_FIELD_LABOR_HOURS)*PERMANENT_HOURLY_RATE-MAX(0,($D128+G$5)-PERMANENT_FIELD_LABOR_HOURS)*TEMP_HOURLY_RATE-FIXED_SEASON_COST)</f>
        <v>9048.95124542744</v>
      </c>
      <c r="H128" s="53" t="n">
        <f aca="false">IF(OR($A128&gt;TOMATO_BED_CAP,$B128&gt;CARROT_BED_CAP,H$4&gt;MESCLUN_BED_CAP,$A128+$B128+H$4&gt;TOTAL_BEDS_AVAILABLE,($D128+H$5)&gt;TOTAL_LABOR_HOURS_CAP,MAX(0,($D128+H$5)-PERMANENT_FIELD_LABOR_HOURS)&gt;TEMP_HOURS_CAP),"",$C128+H$6-MIN(($D128+H$5),PERMANENT_FIELD_LABOR_HOURS)*PERMANENT_HOURLY_RATE-MAX(0,($D128+H$5)-PERMANENT_FIELD_LABOR_HOURS)*TEMP_HOURLY_RATE-FIXED_SEASON_COST)</f>
        <v>10058.2121204274</v>
      </c>
      <c r="I128" s="53" t="n">
        <f aca="false">IF(OR($A128&gt;TOMATO_BED_CAP,$B128&gt;CARROT_BED_CAP,I$4&gt;MESCLUN_BED_CAP,$A128+$B128+I$4&gt;TOTAL_BEDS_AVAILABLE,($D128+I$5)&gt;TOTAL_LABOR_HOURS_CAP,MAX(0,($D128+I$5)-PERMANENT_FIELD_LABOR_HOURS)&gt;TEMP_HOURS_CAP),"",$C128+I$6-MIN(($D128+I$5),PERMANENT_FIELD_LABOR_HOURS)*PERMANENT_HOURLY_RATE-MAX(0,($D128+I$5)-PERMANENT_FIELD_LABOR_HOURS)*TEMP_HOURLY_RATE-FIXED_SEASON_COST)</f>
        <v>11047.3281055837</v>
      </c>
      <c r="J128" s="53" t="n">
        <f aca="false">IF(OR($A128&gt;TOMATO_BED_CAP,$B128&gt;CARROT_BED_CAP,J$4&gt;MESCLUN_BED_CAP,$A128+$B128+J$4&gt;TOTAL_BEDS_AVAILABLE,($D128+J$5)&gt;TOTAL_LABOR_HOURS_CAP,MAX(0,($D128+J$5)-PERMANENT_FIELD_LABOR_HOURS)&gt;TEMP_HOURS_CAP),"",$C128+J$6-MIN(($D128+J$5),PERMANENT_FIELD_LABOR_HOURS)*PERMANENT_HOURLY_RATE-MAX(0,($D128+J$5)-PERMANENT_FIELD_LABOR_HOURS)*TEMP_HOURLY_RATE-FIXED_SEASON_COST)</f>
        <v>12015.9222566384</v>
      </c>
      <c r="K128" s="53" t="n">
        <f aca="false">IF(OR($A128&gt;TOMATO_BED_CAP,$B128&gt;CARROT_BED_CAP,K$4&gt;MESCLUN_BED_CAP,$A128+$B128+K$4&gt;TOTAL_BEDS_AVAILABLE,($D128+K$5)&gt;TOTAL_LABOR_HOURS_CAP,MAX(0,($D128+K$5)-PERMANENT_FIELD_LABOR_HOURS)&gt;TEMP_HOURS_CAP),"",$C128+K$6-MIN(($D128+K$5),PERMANENT_FIELD_LABOR_HOURS)*PERMANENT_HOURLY_RATE-MAX(0,($D128+K$5)-PERMANENT_FIELD_LABOR_HOURS)*TEMP_HOURLY_RATE-FIXED_SEASON_COST)</f>
        <v>12963.6113533663</v>
      </c>
      <c r="L128" s="53" t="n">
        <f aca="false">IF(OR($A128&gt;TOMATO_BED_CAP,$B128&gt;CARROT_BED_CAP,L$4&gt;MESCLUN_BED_CAP,$A128+$B128+L$4&gt;TOTAL_BEDS_AVAILABLE,($D128+L$5)&gt;TOTAL_LABOR_HOURS_CAP,MAX(0,($D128+L$5)-PERMANENT_FIELD_LABOR_HOURS)&gt;TEMP_HOURS_CAP),"",$C128+L$6-MIN(($D128+L$5),PERMANENT_FIELD_LABOR_HOURS)*PERMANENT_HOURLY_RATE-MAX(0,($D128+L$5)-PERMANENT_FIELD_LABOR_HOURS)*TEMP_HOURLY_RATE-FIXED_SEASON_COST)</f>
        <v>13890.0058015731</v>
      </c>
      <c r="M128" s="53" t="n">
        <f aca="false">IF(OR($A128&gt;TOMATO_BED_CAP,$B128&gt;CARROT_BED_CAP,M$4&gt;MESCLUN_BED_CAP,$A128+$B128+M$4&gt;TOTAL_BEDS_AVAILABLE,($D128+M$5)&gt;TOTAL_LABOR_HOURS_CAP,MAX(0,($D128+M$5)-PERMANENT_FIELD_LABOR_HOURS)&gt;TEMP_HOURS_CAP),"",$C128+M$6-MIN(($D128+M$5),PERMANENT_FIELD_LABOR_HOURS)*PERMANENT_HOURLY_RATE-MAX(0,($D128+M$5)-PERMANENT_FIELD_LABOR_HOURS)*TEMP_HOURLY_RATE-FIXED_SEASON_COST)</f>
        <v>14794.7095336245</v>
      </c>
      <c r="N128" s="53" t="n">
        <f aca="false">IF(OR($A128&gt;TOMATO_BED_CAP,$B128&gt;CARROT_BED_CAP,N$4&gt;MESCLUN_BED_CAP,$A128+$B128+N$4&gt;TOTAL_BEDS_AVAILABLE,($D128+N$5)&gt;TOTAL_LABOR_HOURS_CAP,MAX(0,($D128+N$5)-PERMANENT_FIELD_LABOR_HOURS)&gt;TEMP_HOURS_CAP),"",$C128+N$6-MIN(($D128+N$5),PERMANENT_FIELD_LABOR_HOURS)*PERMANENT_HOURLY_RATE-MAX(0,($D128+N$5)-PERMANENT_FIELD_LABOR_HOURS)*TEMP_HOURLY_RATE-FIXED_SEASON_COST)</f>
        <v>15677.3199074841</v>
      </c>
      <c r="O128" s="53" t="n">
        <f aca="false">IF(OR($A128&gt;TOMATO_BED_CAP,$B128&gt;CARROT_BED_CAP,O$4&gt;MESCLUN_BED_CAP,$A128+$B128+O$4&gt;TOTAL_BEDS_AVAILABLE,($D128+O$5)&gt;TOTAL_LABOR_HOURS_CAP,MAX(0,($D128+O$5)-PERMANENT_FIELD_LABOR_HOURS)&gt;TEMP_HOURS_CAP),"",$C128+O$6-MIN(($D128+O$5),PERMANENT_FIELD_LABOR_HOURS)*PERMANENT_HOURLY_RATE-MAX(0,($D128+O$5)-PERMANENT_FIELD_LABOR_HOURS)*TEMP_HOURLY_RATE-FIXED_SEASON_COST)</f>
        <v>16537.4276042388</v>
      </c>
      <c r="P128" s="53" t="n">
        <f aca="false">IF(OR($A128&gt;TOMATO_BED_CAP,$B128&gt;CARROT_BED_CAP,P$4&gt;MESCLUN_BED_CAP,$A128+$B128+P$4&gt;TOTAL_BEDS_AVAILABLE,($D128+P$5)&gt;TOTAL_LABOR_HOURS_CAP,MAX(0,($D128+P$5)-PERMANENT_FIELD_LABOR_HOURS)&gt;TEMP_HOURS_CAP),"",$C128+P$6-MIN(($D128+P$5),PERMANENT_FIELD_LABOR_HOURS)*PERMANENT_HOURLY_RATE-MAX(0,($D128+P$5)-PERMANENT_FIELD_LABOR_HOURS)*TEMP_HOURLY_RATE-FIXED_SEASON_COST)</f>
        <v>17374.6165240903</v>
      </c>
      <c r="Q128" s="53" t="n">
        <f aca="false">IF(OR($A128&gt;TOMATO_BED_CAP,$B128&gt;CARROT_BED_CAP,Q$4&gt;MESCLUN_BED_CAP,$A128+$B128+Q$4&gt;TOTAL_BEDS_AVAILABLE,($D128+Q$5)&gt;TOTAL_LABOR_HOURS_CAP,MAX(0,($D128+Q$5)-PERMANENT_FIELD_LABOR_HOURS)&gt;TEMP_HOURS_CAP),"",$C128+Q$6-MIN(($D128+Q$5),PERMANENT_FIELD_LABOR_HOURS)*PERMANENT_HOURLY_RATE-MAX(0,($D128+Q$5)-PERMANENT_FIELD_LABOR_HOURS)*TEMP_HOURLY_RATE-FIXED_SEASON_COST)</f>
        <v>18188.4636807882</v>
      </c>
      <c r="R128" s="53" t="n">
        <f aca="false">IF(OR($A128&gt;TOMATO_BED_CAP,$B128&gt;CARROT_BED_CAP,R$4&gt;MESCLUN_BED_CAP,$A128+$B128+R$4&gt;TOTAL_BEDS_AVAILABLE,($D128+R$5)&gt;TOTAL_LABOR_HOURS_CAP,MAX(0,($D128+R$5)-PERMANENT_FIELD_LABOR_HOURS)&gt;TEMP_HOURS_CAP),"",$C128+R$6-MIN(($D128+R$5),PERMANENT_FIELD_LABOR_HOURS)*PERMANENT_HOURLY_RATE-MAX(0,($D128+R$5)-PERMANENT_FIELD_LABOR_HOURS)*TEMP_HOURLY_RATE-FIXED_SEASON_COST)</f>
        <v>18978.539094485</v>
      </c>
      <c r="S128" s="53" t="n">
        <f aca="false">IF(OR($A128&gt;TOMATO_BED_CAP,$B128&gt;CARROT_BED_CAP,S$4&gt;MESCLUN_BED_CAP,$A128+$B128+S$4&gt;TOTAL_BEDS_AVAILABLE,($D128+S$5)&gt;TOTAL_LABOR_HOURS_CAP,MAX(0,($D128+S$5)-PERMANENT_FIELD_LABOR_HOURS)&gt;TEMP_HOURS_CAP),"",$C128+S$6-MIN(($D128+S$5),PERMANENT_FIELD_LABOR_HOURS)*PERMANENT_HOURLY_RATE-MAX(0,($D128+S$5)-PERMANENT_FIELD_LABOR_HOURS)*TEMP_HOURLY_RATE-FIXED_SEASON_COST)</f>
        <v>19744.4056829874</v>
      </c>
      <c r="T128" s="53" t="n">
        <f aca="false">IF(OR($A128&gt;TOMATO_BED_CAP,$B128&gt;CARROT_BED_CAP,T$4&gt;MESCLUN_BED_CAP,$A128+$B128+T$4&gt;TOTAL_BEDS_AVAILABLE,($D128+T$5)&gt;TOTAL_LABOR_HOURS_CAP,MAX(0,($D128+T$5)-PERMANENT_FIELD_LABOR_HOURS)&gt;TEMP_HOURS_CAP),"",$C128+T$6-MIN(($D128+T$5),PERMANENT_FIELD_LABOR_HOURS)*PERMANENT_HOURLY_RATE-MAX(0,($D128+T$5)-PERMANENT_FIELD_LABOR_HOURS)*TEMP_HOURLY_RATE-FIXED_SEASON_COST)</f>
        <v>20485.6191513823</v>
      </c>
      <c r="U128" s="53" t="n">
        <f aca="false">IF(OR($A128&gt;TOMATO_BED_CAP,$B128&gt;CARROT_BED_CAP,U$4&gt;MESCLUN_BED_CAP,$A128+$B128+U$4&gt;TOTAL_BEDS_AVAILABLE,($D128+U$5)&gt;TOTAL_LABOR_HOURS_CAP,MAX(0,($D128+U$5)-PERMANENT_FIELD_LABOR_HOURS)&gt;TEMP_HOURS_CAP),"",$C128+U$6-MIN(($D128+U$5),PERMANENT_FIELD_LABOR_HOURS)*PERMANENT_HOURLY_RATE-MAX(0,($D128+U$5)-PERMANENT_FIELD_LABOR_HOURS)*TEMP_HOURLY_RATE-FIXED_SEASON_COST)</f>
        <v>21201.7278800124</v>
      </c>
      <c r="V128" s="53" t="n">
        <f aca="false">IF(OR($A128&gt;TOMATO_BED_CAP,$B128&gt;CARROT_BED_CAP,V$4&gt;MESCLUN_BED_CAP,$A128+$B128+V$4&gt;TOTAL_BEDS_AVAILABLE,($D128+V$5)&gt;TOTAL_LABOR_HOURS_CAP,MAX(0,($D128+V$5)-PERMANENT_FIELD_LABOR_HOURS)&gt;TEMP_HOURS_CAP),"",$C128+V$6-MIN(($D128+V$5),PERMANENT_FIELD_LABOR_HOURS)*PERMANENT_HOURLY_RATE-MAX(0,($D128+V$5)-PERMANENT_FIELD_LABOR_HOURS)*TEMP_HOURLY_RATE-FIXED_SEASON_COST)</f>
        <v>21892.2728107791</v>
      </c>
      <c r="W128" s="53" t="n">
        <f aca="false">IF(OR($A128&gt;TOMATO_BED_CAP,$B128&gt;CARROT_BED_CAP,W$4&gt;MESCLUN_BED_CAP,$A128+$B128+W$4&gt;TOTAL_BEDS_AVAILABLE,($D128+W$5)&gt;TOTAL_LABOR_HOURS_CAP,MAX(0,($D128+W$5)-PERMANENT_FIELD_LABOR_HOURS)&gt;TEMP_HOURS_CAP),"",$C128+W$6-MIN(($D128+W$5),PERMANENT_FIELD_LABOR_HOURS)*PERMANENT_HOURLY_RATE-MAX(0,($D128+W$5)-PERMANENT_FIELD_LABOR_HOURS)*TEMP_HOURLY_RATE-FIXED_SEASON_COST)</f>
        <v>22556.7873317472</v>
      </c>
      <c r="X128" s="53" t="n">
        <f aca="false">IF(OR($A128&gt;TOMATO_BED_CAP,$B128&gt;CARROT_BED_CAP,X$4&gt;MESCLUN_BED_CAP,$A128+$B128+X$4&gt;TOTAL_BEDS_AVAILABLE,($D128+X$5)&gt;TOTAL_LABOR_HOURS_CAP,MAX(0,($D128+X$5)-PERMANENT_FIELD_LABOR_HOURS)&gt;TEMP_HOURS_CAP),"",$C128+X$6-MIN(($D128+X$5),PERMANENT_FIELD_LABOR_HOURS)*PERMANENT_HOURLY_RATE-MAX(0,($D128+X$5)-PERMANENT_FIELD_LABOR_HOURS)*TEMP_HOURLY_RATE-FIXED_SEASON_COST)</f>
        <v>23194.7971600261</v>
      </c>
      <c r="Y128" s="53" t="n">
        <f aca="false">IF(OR($A128&gt;TOMATO_BED_CAP,$B128&gt;CARROT_BED_CAP,Y$4&gt;MESCLUN_BED_CAP,$A128+$B128+Y$4&gt;TOTAL_BEDS_AVAILABLE,($D128+Y$5)&gt;TOTAL_LABOR_HOURS_CAP,MAX(0,($D128+Y$5)-PERMANENT_FIELD_LABOR_HOURS)&gt;TEMP_HOURS_CAP),"",$C128+Y$6-MIN(($D128+Y$5),PERMANENT_FIELD_LABOR_HOURS)*PERMANENT_HOURLY_RATE-MAX(0,($D128+Y$5)-PERMANENT_FIELD_LABOR_HOURS)*TEMP_HOURLY_RATE-FIXED_SEASON_COST)</f>
        <v>23805.8202229048</v>
      </c>
      <c r="Z128" s="53" t="n">
        <f aca="false">IF(OR($A128&gt;TOMATO_BED_CAP,$B128&gt;CARROT_BED_CAP,Z$4&gt;MESCLUN_BED_CAP,$A128+$B128+Z$4&gt;TOTAL_BEDS_AVAILABLE,($D128+Z$5)&gt;TOTAL_LABOR_HOURS_CAP,MAX(0,($D128+Z$5)-PERMANENT_FIELD_LABOR_HOURS)&gt;TEMP_HOURS_CAP),"",$C128+Z$6-MIN(($D128+Z$5),PERMANENT_FIELD_LABOR_HOURS)*PERMANENT_HOURLY_RATE-MAX(0,($D128+Z$5)-PERMANENT_FIELD_LABOR_HOURS)*TEMP_HOURLY_RATE-FIXED_SEASON_COST)</f>
        <v>24389.3665372125</v>
      </c>
      <c r="AA128" s="53" t="n">
        <f aca="false">IF(OR($A128&gt;TOMATO_BED_CAP,$B128&gt;CARROT_BED_CAP,AA$4&gt;MESCLUN_BED_CAP,$A128+$B128+AA$4&gt;TOTAL_BEDS_AVAILABLE,($D128+AA$5)&gt;TOTAL_LABOR_HOURS_CAP,MAX(0,($D128+AA$5)-PERMANENT_FIELD_LABOR_HOURS)&gt;TEMP_HOURS_CAP),"",$C128+AA$6-MIN(($D128+AA$5),PERMANENT_FIELD_LABOR_HOURS)*PERMANENT_HOURLY_RATE-MAX(0,($D128+AA$5)-PERMANENT_FIELD_LABOR_HOURS)*TEMP_HOURLY_RATE-FIXED_SEASON_COST)</f>
        <v>24944.9380868814</v>
      </c>
      <c r="AB128" s="53" t="n">
        <f aca="false">IF(OR($A128&gt;TOMATO_BED_CAP,$B128&gt;CARROT_BED_CAP,AB$4&gt;MESCLUN_BED_CAP,$A128+$B128+AB$4&gt;TOTAL_BEDS_AVAILABLE,($D128+AB$5)&gt;TOTAL_LABOR_HOURS_CAP,MAX(0,($D128+AB$5)-PERMANENT_FIELD_LABOR_HOURS)&gt;TEMP_HOURS_CAP),"",$C128+AB$6-MIN(($D128+AB$5),PERMANENT_FIELD_LABOR_HOURS)*PERMANENT_HOURLY_RATE-MAX(0,($D128+AB$5)-PERMANENT_FIELD_LABOR_HOURS)*TEMP_HOURLY_RATE-FIXED_SEASON_COST)</f>
        <v>25472.028698684</v>
      </c>
      <c r="AC128" s="53" t="n">
        <f aca="false">IF(OR($A128&gt;TOMATO_BED_CAP,$B128&gt;CARROT_BED_CAP,AC$4&gt;MESCLUN_BED_CAP,$A128+$B128+AC$4&gt;TOTAL_BEDS_AVAILABLE,($D128+AC$5)&gt;TOTAL_LABOR_HOURS_CAP,MAX(0,($D128+AC$5)-PERMANENT_FIELD_LABOR_HOURS)&gt;TEMP_HOURS_CAP),"",$C128+AC$6-MIN(($D128+AC$5),PERMANENT_FIELD_LABOR_HOURS)*PERMANENT_HOURLY_RATE-MAX(0,($D128+AC$5)-PERMANENT_FIELD_LABOR_HOURS)*TEMP_HOURLY_RATE-FIXED_SEASON_COST)</f>
        <v>25970.1239161189</v>
      </c>
      <c r="AD128" s="53" t="n">
        <f aca="false">IF(OR($A128&gt;TOMATO_BED_CAP,$B128&gt;CARROT_BED_CAP,AD$4&gt;MESCLUN_BED_CAP,$A128+$B128+AD$4&gt;TOTAL_BEDS_AVAILABLE,($D128+AD$5)&gt;TOTAL_LABOR_HOURS_CAP,MAX(0,($D128+AD$5)-PERMANENT_FIELD_LABOR_HOURS)&gt;TEMP_HOURS_CAP),"",$C128+AD$6-MIN(($D128+AD$5),PERMANENT_FIELD_LABOR_HOURS)*PERMANENT_HOURLY_RATE-MAX(0,($D128+AD$5)-PERMANENT_FIELD_LABOR_HOURS)*TEMP_HOURLY_RATE-FIXED_SEASON_COST)</f>
        <v>26438.7008714189</v>
      </c>
      <c r="AE128" s="53" t="n">
        <f aca="false">IF(OR($A128&gt;TOMATO_BED_CAP,$B128&gt;CARROT_BED_CAP,AE$4&gt;MESCLUN_BED_CAP,$A128+$B128+AE$4&gt;TOTAL_BEDS_AVAILABLE,($D128+AE$5)&gt;TOTAL_LABOR_HOURS_CAP,MAX(0,($D128+AE$5)-PERMANENT_FIELD_LABOR_HOURS)&gt;TEMP_HOURS_CAP),"",$C128+AE$6-MIN(($D128+AE$5),PERMANENT_FIELD_LABOR_HOURS)*PERMANENT_HOURLY_RATE-MAX(0,($D128+AE$5)-PERMANENT_FIELD_LABOR_HOURS)*TEMP_HOURLY_RATE-FIXED_SEASON_COST)</f>
        <v>26877.2281556528</v>
      </c>
      <c r="AF128" s="53" t="n">
        <f aca="false">IF(OR($A128&gt;TOMATO_BED_CAP,$B128&gt;CARROT_BED_CAP,AF$4&gt;MESCLUN_BED_CAP,$A128+$B128+AF$4&gt;TOTAL_BEDS_AVAILABLE,($D128+AF$5)&gt;TOTAL_LABOR_HOURS_CAP,MAX(0,($D128+AF$5)-PERMANENT_FIELD_LABOR_HOURS)&gt;TEMP_HOURS_CAP),"",$C128+AF$6-MIN(($D128+AF$5),PERMANENT_FIELD_LABOR_HOURS)*PERMANENT_HOURLY_RATE-MAX(0,($D128+AF$5)-PERMANENT_FIELD_LABOR_HOURS)*TEMP_HOURLY_RATE-FIXED_SEASON_COST)</f>
        <v>27285.1656868947</v>
      </c>
      <c r="AG128" s="53" t="n">
        <f aca="false">IF(OR($A128&gt;TOMATO_BED_CAP,$B128&gt;CARROT_BED_CAP,AG$4&gt;MESCLUN_BED_CAP,$A128+$B128+AG$4&gt;TOTAL_BEDS_AVAILABLE,($D128+AG$5)&gt;TOTAL_LABOR_HOURS_CAP,MAX(0,($D128+AG$5)-PERMANENT_FIELD_LABOR_HOURS)&gt;TEMP_HOURS_CAP),"",$C128+AG$6-MIN(($D128+AG$5),PERMANENT_FIELD_LABOR_HOURS)*PERMANENT_HOURLY_RATE-MAX(0,($D128+AG$5)-PERMANENT_FIELD_LABOR_HOURS)*TEMP_HOURLY_RATE-FIXED_SEASON_COST)</f>
        <v>27661.9645764317</v>
      </c>
      <c r="AH128" s="53" t="n">
        <f aca="false">IF(OR($A128&gt;TOMATO_BED_CAP,$B128&gt;CARROT_BED_CAP,AH$4&gt;MESCLUN_BED_CAP,$A128+$B128+AH$4&gt;TOTAL_BEDS_AVAILABLE,($D128+AH$5)&gt;TOTAL_LABOR_HOURS_CAP,MAX(0,($D128+AH$5)-PERMANENT_FIELD_LABOR_HOURS)&gt;TEMP_HOURS_CAP),"",$C128+AH$6-MIN(($D128+AH$5),PERMANENT_FIELD_LABOR_HOURS)*PERMANENT_HOURLY_RATE-MAX(0,($D128+AH$5)-PERMANENT_FIELD_LABOR_HOURS)*TEMP_HOURLY_RATE-FIXED_SEASON_COST)</f>
        <v>28007.066992982</v>
      </c>
      <c r="AI128" s="53" t="n">
        <f aca="false">IF(OR($A128&gt;TOMATO_BED_CAP,$B128&gt;CARROT_BED_CAP,AI$4&gt;MESCLUN_BED_CAP,$A128+$B128+AI$4&gt;TOTAL_BEDS_AVAILABLE,($D128+AI$5)&gt;TOTAL_LABOR_HOURS_CAP,MAX(0,($D128+AI$5)-PERMANENT_FIELD_LABOR_HOURS)&gt;TEMP_HOURS_CAP),"",$C128+AI$6-MIN(($D128+AI$5),PERMANENT_FIELD_LABOR_HOURS)*PERMANENT_HOURLY_RATE-MAX(0,($D128+AI$5)-PERMANENT_FIELD_LABOR_HOURS)*TEMP_HOURLY_RATE-FIXED_SEASON_COST)</f>
        <v>28319.9060248942</v>
      </c>
      <c r="AJ128" s="53" t="n">
        <f aca="false">IF(OR($A128&gt;TOMATO_BED_CAP,$B128&gt;CARROT_BED_CAP,AJ$4&gt;MESCLUN_BED_CAP,$A128+$B128+AJ$4&gt;TOTAL_BEDS_AVAILABLE,($D128+AJ$5)&gt;TOTAL_LABOR_HOURS_CAP,MAX(0,($D128+AJ$5)-PERMANENT_FIELD_LABOR_HOURS)&gt;TEMP_HOURS_CAP),"",$C128+AJ$6-MIN(($D128+AJ$5),PERMANENT_FIELD_LABOR_HOURS)*PERMANENT_HOURLY_RATE-MAX(0,($D128+AJ$5)-PERMANENT_FIELD_LABOR_HOURS)*TEMP_HOURLY_RATE-FIXED_SEASON_COST)</f>
        <v>28599.9055403</v>
      </c>
    </row>
    <row r="129" customFormat="false" ht="15" hidden="false" customHeight="false" outlineLevel="0" collapsed="false">
      <c r="A129" s="21" t="n">
        <f aca="false">INT((ROW()-ROW($A$8))/(20+1))</f>
        <v>5</v>
      </c>
      <c r="B129" s="21" t="n">
        <f aca="false">MOD(ROW()-ROW($A$8),20+1)</f>
        <v>16</v>
      </c>
      <c r="C129" s="13" t="n">
        <f aca="false">A129*(TOMATO_REVENUE_PER_BED-TOMATO_FERTILIZER_PER_BED)+B129*(CARROT_REVENUE_PER_BED-CARROT_FERTILIZER_PER_BED)</f>
        <v>66064</v>
      </c>
      <c r="D129" s="14" t="n">
        <f aca="false">INDEX(TOMATO_SCHED_LABOR_HRS,A129+1)+INDEX(CARROT_SCHED_LABOR_HRS,B129+1)</f>
        <v>1437.0071728379</v>
      </c>
      <c r="E129" s="13" t="n">
        <f aca="false">IF(COUNT(F129:AJ129)=0,"",MAX(F129:AJ129))</f>
        <v>29198.3447744065</v>
      </c>
      <c r="F129" s="53" t="n">
        <f aca="false">IF(OR($A129&gt;TOMATO_BED_CAP,$B129&gt;CARROT_BED_CAP,F$4&gt;MESCLUN_BED_CAP,$A129+$B129+F$4&gt;TOTAL_BEDS_AVAILABLE,($D129+F$5)&gt;TOTAL_LABOR_HOURS_CAP,MAX(0,($D129+F$5)-PERMANENT_FIELD_LABOR_HOURS)&gt;TEMP_HOURS_CAP),"",$C129+F$6-MIN(($D129+F$5),PERMANENT_FIELD_LABOR_HOURS)*PERMANENT_HOURLY_RATE-MAX(0,($D129+F$5)-PERMANENT_FIELD_LABOR_HOURS)*TEMP_HOURLY_RATE-FIXED_SEASON_COST)</f>
        <v>8618.355479534</v>
      </c>
      <c r="G129" s="53" t="n">
        <f aca="false">IF(OR($A129&gt;TOMATO_BED_CAP,$B129&gt;CARROT_BED_CAP,G$4&gt;MESCLUN_BED_CAP,$A129+$B129+G$4&gt;TOTAL_BEDS_AVAILABLE,($D129+G$5)&gt;TOTAL_LABOR_HOURS_CAP,MAX(0,($D129+G$5)-PERMANENT_FIELD_LABOR_HOURS)&gt;TEMP_HOURS_CAP),"",$C129+G$6-MIN(($D129+G$5),PERMANENT_FIELD_LABOR_HOURS)*PERMANENT_HOURLY_RATE-MAX(0,($D129+G$5)-PERMANENT_FIELD_LABOR_HOURS)*TEMP_HOURLY_RATE-FIXED_SEASON_COST)</f>
        <v>9647.390479534</v>
      </c>
      <c r="H129" s="53" t="n">
        <f aca="false">IF(OR($A129&gt;TOMATO_BED_CAP,$B129&gt;CARROT_BED_CAP,H$4&gt;MESCLUN_BED_CAP,$A129+$B129+H$4&gt;TOTAL_BEDS_AVAILABLE,($D129+H$5)&gt;TOTAL_LABOR_HOURS_CAP,MAX(0,($D129+H$5)-PERMANENT_FIELD_LABOR_HOURS)&gt;TEMP_HOURS_CAP),"",$C129+H$6-MIN(($D129+H$5),PERMANENT_FIELD_LABOR_HOURS)*PERMANENT_HOURLY_RATE-MAX(0,($D129+H$5)-PERMANENT_FIELD_LABOR_HOURS)*TEMP_HOURLY_RATE-FIXED_SEASON_COST)</f>
        <v>10656.651354534</v>
      </c>
      <c r="I129" s="53" t="n">
        <f aca="false">IF(OR($A129&gt;TOMATO_BED_CAP,$B129&gt;CARROT_BED_CAP,I$4&gt;MESCLUN_BED_CAP,$A129+$B129+I$4&gt;TOTAL_BEDS_AVAILABLE,($D129+I$5)&gt;TOTAL_LABOR_HOURS_CAP,MAX(0,($D129+I$5)-PERMANENT_FIELD_LABOR_HOURS)&gt;TEMP_HOURS_CAP),"",$C129+I$6-MIN(($D129+I$5),PERMANENT_FIELD_LABOR_HOURS)*PERMANENT_HOURLY_RATE-MAX(0,($D129+I$5)-PERMANENT_FIELD_LABOR_HOURS)*TEMP_HOURLY_RATE-FIXED_SEASON_COST)</f>
        <v>11645.7673396903</v>
      </c>
      <c r="J129" s="53" t="n">
        <f aca="false">IF(OR($A129&gt;TOMATO_BED_CAP,$B129&gt;CARROT_BED_CAP,J$4&gt;MESCLUN_BED_CAP,$A129+$B129+J$4&gt;TOTAL_BEDS_AVAILABLE,($D129+J$5)&gt;TOTAL_LABOR_HOURS_CAP,MAX(0,($D129+J$5)-PERMANENT_FIELD_LABOR_HOURS)&gt;TEMP_HOURS_CAP),"",$C129+J$6-MIN(($D129+J$5),PERMANENT_FIELD_LABOR_HOURS)*PERMANENT_HOURLY_RATE-MAX(0,($D129+J$5)-PERMANENT_FIELD_LABOR_HOURS)*TEMP_HOURLY_RATE-FIXED_SEASON_COST)</f>
        <v>12614.3614907449</v>
      </c>
      <c r="K129" s="53" t="n">
        <f aca="false">IF(OR($A129&gt;TOMATO_BED_CAP,$B129&gt;CARROT_BED_CAP,K$4&gt;MESCLUN_BED_CAP,$A129+$B129+K$4&gt;TOTAL_BEDS_AVAILABLE,($D129+K$5)&gt;TOTAL_LABOR_HOURS_CAP,MAX(0,($D129+K$5)-PERMANENT_FIELD_LABOR_HOURS)&gt;TEMP_HOURS_CAP),"",$C129+K$6-MIN(($D129+K$5),PERMANENT_FIELD_LABOR_HOURS)*PERMANENT_HOURLY_RATE-MAX(0,($D129+K$5)-PERMANENT_FIELD_LABOR_HOURS)*TEMP_HOURLY_RATE-FIXED_SEASON_COST)</f>
        <v>13562.0505874728</v>
      </c>
      <c r="L129" s="53" t="n">
        <f aca="false">IF(OR($A129&gt;TOMATO_BED_CAP,$B129&gt;CARROT_BED_CAP,L$4&gt;MESCLUN_BED_CAP,$A129+$B129+L$4&gt;TOTAL_BEDS_AVAILABLE,($D129+L$5)&gt;TOTAL_LABOR_HOURS_CAP,MAX(0,($D129+L$5)-PERMANENT_FIELD_LABOR_HOURS)&gt;TEMP_HOURS_CAP),"",$C129+L$6-MIN(($D129+L$5),PERMANENT_FIELD_LABOR_HOURS)*PERMANENT_HOURLY_RATE-MAX(0,($D129+L$5)-PERMANENT_FIELD_LABOR_HOURS)*TEMP_HOURLY_RATE-FIXED_SEASON_COST)</f>
        <v>14488.4450356797</v>
      </c>
      <c r="M129" s="53" t="n">
        <f aca="false">IF(OR($A129&gt;TOMATO_BED_CAP,$B129&gt;CARROT_BED_CAP,M$4&gt;MESCLUN_BED_CAP,$A129+$B129+M$4&gt;TOTAL_BEDS_AVAILABLE,($D129+M$5)&gt;TOTAL_LABOR_HOURS_CAP,MAX(0,($D129+M$5)-PERMANENT_FIELD_LABOR_HOURS)&gt;TEMP_HOURS_CAP),"",$C129+M$6-MIN(($D129+M$5),PERMANENT_FIELD_LABOR_HOURS)*PERMANENT_HOURLY_RATE-MAX(0,($D129+M$5)-PERMANENT_FIELD_LABOR_HOURS)*TEMP_HOURLY_RATE-FIXED_SEASON_COST)</f>
        <v>15393.1487677311</v>
      </c>
      <c r="N129" s="53" t="n">
        <f aca="false">IF(OR($A129&gt;TOMATO_BED_CAP,$B129&gt;CARROT_BED_CAP,N$4&gt;MESCLUN_BED_CAP,$A129+$B129+N$4&gt;TOTAL_BEDS_AVAILABLE,($D129+N$5)&gt;TOTAL_LABOR_HOURS_CAP,MAX(0,($D129+N$5)-PERMANENT_FIELD_LABOR_HOURS)&gt;TEMP_HOURS_CAP),"",$C129+N$6-MIN(($D129+N$5),PERMANENT_FIELD_LABOR_HOURS)*PERMANENT_HOURLY_RATE-MAX(0,($D129+N$5)-PERMANENT_FIELD_LABOR_HOURS)*TEMP_HOURLY_RATE-FIXED_SEASON_COST)</f>
        <v>16275.7591415907</v>
      </c>
      <c r="O129" s="53" t="n">
        <f aca="false">IF(OR($A129&gt;TOMATO_BED_CAP,$B129&gt;CARROT_BED_CAP,O$4&gt;MESCLUN_BED_CAP,$A129+$B129+O$4&gt;TOTAL_BEDS_AVAILABLE,($D129+O$5)&gt;TOTAL_LABOR_HOURS_CAP,MAX(0,($D129+O$5)-PERMANENT_FIELD_LABOR_HOURS)&gt;TEMP_HOURS_CAP),"",$C129+O$6-MIN(($D129+O$5),PERMANENT_FIELD_LABOR_HOURS)*PERMANENT_HOURLY_RATE-MAX(0,($D129+O$5)-PERMANENT_FIELD_LABOR_HOURS)*TEMP_HOURLY_RATE-FIXED_SEASON_COST)</f>
        <v>17135.8668383454</v>
      </c>
      <c r="P129" s="53" t="n">
        <f aca="false">IF(OR($A129&gt;TOMATO_BED_CAP,$B129&gt;CARROT_BED_CAP,P$4&gt;MESCLUN_BED_CAP,$A129+$B129+P$4&gt;TOTAL_BEDS_AVAILABLE,($D129+P$5)&gt;TOTAL_LABOR_HOURS_CAP,MAX(0,($D129+P$5)-PERMANENT_FIELD_LABOR_HOURS)&gt;TEMP_HOURS_CAP),"",$C129+P$6-MIN(($D129+P$5),PERMANENT_FIELD_LABOR_HOURS)*PERMANENT_HOURLY_RATE-MAX(0,($D129+P$5)-PERMANENT_FIELD_LABOR_HOURS)*TEMP_HOURLY_RATE-FIXED_SEASON_COST)</f>
        <v>17973.0557581968</v>
      </c>
      <c r="Q129" s="53" t="n">
        <f aca="false">IF(OR($A129&gt;TOMATO_BED_CAP,$B129&gt;CARROT_BED_CAP,Q$4&gt;MESCLUN_BED_CAP,$A129+$B129+Q$4&gt;TOTAL_BEDS_AVAILABLE,($D129+Q$5)&gt;TOTAL_LABOR_HOURS_CAP,MAX(0,($D129+Q$5)-PERMANENT_FIELD_LABOR_HOURS)&gt;TEMP_HOURS_CAP),"",$C129+Q$6-MIN(($D129+Q$5),PERMANENT_FIELD_LABOR_HOURS)*PERMANENT_HOURLY_RATE-MAX(0,($D129+Q$5)-PERMANENT_FIELD_LABOR_HOURS)*TEMP_HOURLY_RATE-FIXED_SEASON_COST)</f>
        <v>18786.9029148947</v>
      </c>
      <c r="R129" s="53" t="n">
        <f aca="false">IF(OR($A129&gt;TOMATO_BED_CAP,$B129&gt;CARROT_BED_CAP,R$4&gt;MESCLUN_BED_CAP,$A129+$B129+R$4&gt;TOTAL_BEDS_AVAILABLE,($D129+R$5)&gt;TOTAL_LABOR_HOURS_CAP,MAX(0,($D129+R$5)-PERMANENT_FIELD_LABOR_HOURS)&gt;TEMP_HOURS_CAP),"",$C129+R$6-MIN(($D129+R$5),PERMANENT_FIELD_LABOR_HOURS)*PERMANENT_HOURLY_RATE-MAX(0,($D129+R$5)-PERMANENT_FIELD_LABOR_HOURS)*TEMP_HOURLY_RATE-FIXED_SEASON_COST)</f>
        <v>19576.9783285915</v>
      </c>
      <c r="S129" s="53" t="n">
        <f aca="false">IF(OR($A129&gt;TOMATO_BED_CAP,$B129&gt;CARROT_BED_CAP,S$4&gt;MESCLUN_BED_CAP,$A129+$B129+S$4&gt;TOTAL_BEDS_AVAILABLE,($D129+S$5)&gt;TOTAL_LABOR_HOURS_CAP,MAX(0,($D129+S$5)-PERMANENT_FIELD_LABOR_HOURS)&gt;TEMP_HOURS_CAP),"",$C129+S$6-MIN(($D129+S$5),PERMANENT_FIELD_LABOR_HOURS)*PERMANENT_HOURLY_RATE-MAX(0,($D129+S$5)-PERMANENT_FIELD_LABOR_HOURS)*TEMP_HOURLY_RATE-FIXED_SEASON_COST)</f>
        <v>20342.844917094</v>
      </c>
      <c r="T129" s="53" t="n">
        <f aca="false">IF(OR($A129&gt;TOMATO_BED_CAP,$B129&gt;CARROT_BED_CAP,T$4&gt;MESCLUN_BED_CAP,$A129+$B129+T$4&gt;TOTAL_BEDS_AVAILABLE,($D129+T$5)&gt;TOTAL_LABOR_HOURS_CAP,MAX(0,($D129+T$5)-PERMANENT_FIELD_LABOR_HOURS)&gt;TEMP_HOURS_CAP),"",$C129+T$6-MIN(($D129+T$5),PERMANENT_FIELD_LABOR_HOURS)*PERMANENT_HOURLY_RATE-MAX(0,($D129+T$5)-PERMANENT_FIELD_LABOR_HOURS)*TEMP_HOURLY_RATE-FIXED_SEASON_COST)</f>
        <v>21084.0583854888</v>
      </c>
      <c r="U129" s="53" t="n">
        <f aca="false">IF(OR($A129&gt;TOMATO_BED_CAP,$B129&gt;CARROT_BED_CAP,U$4&gt;MESCLUN_BED_CAP,$A129+$B129+U$4&gt;TOTAL_BEDS_AVAILABLE,($D129+U$5)&gt;TOTAL_LABOR_HOURS_CAP,MAX(0,($D129+U$5)-PERMANENT_FIELD_LABOR_HOURS)&gt;TEMP_HOURS_CAP),"",$C129+U$6-MIN(($D129+U$5),PERMANENT_FIELD_LABOR_HOURS)*PERMANENT_HOURLY_RATE-MAX(0,($D129+U$5)-PERMANENT_FIELD_LABOR_HOURS)*TEMP_HOURLY_RATE-FIXED_SEASON_COST)</f>
        <v>21800.1671141189</v>
      </c>
      <c r="V129" s="53" t="n">
        <f aca="false">IF(OR($A129&gt;TOMATO_BED_CAP,$B129&gt;CARROT_BED_CAP,V$4&gt;MESCLUN_BED_CAP,$A129+$B129+V$4&gt;TOTAL_BEDS_AVAILABLE,($D129+V$5)&gt;TOTAL_LABOR_HOURS_CAP,MAX(0,($D129+V$5)-PERMANENT_FIELD_LABOR_HOURS)&gt;TEMP_HOURS_CAP),"",$C129+V$6-MIN(($D129+V$5),PERMANENT_FIELD_LABOR_HOURS)*PERMANENT_HOURLY_RATE-MAX(0,($D129+V$5)-PERMANENT_FIELD_LABOR_HOURS)*TEMP_HOURLY_RATE-FIXED_SEASON_COST)</f>
        <v>22490.7120448857</v>
      </c>
      <c r="W129" s="53" t="n">
        <f aca="false">IF(OR($A129&gt;TOMATO_BED_CAP,$B129&gt;CARROT_BED_CAP,W$4&gt;MESCLUN_BED_CAP,$A129+$B129+W$4&gt;TOTAL_BEDS_AVAILABLE,($D129+W$5)&gt;TOTAL_LABOR_HOURS_CAP,MAX(0,($D129+W$5)-PERMANENT_FIELD_LABOR_HOURS)&gt;TEMP_HOURS_CAP),"",$C129+W$6-MIN(($D129+W$5),PERMANENT_FIELD_LABOR_HOURS)*PERMANENT_HOURLY_RATE-MAX(0,($D129+W$5)-PERMANENT_FIELD_LABOR_HOURS)*TEMP_HOURLY_RATE-FIXED_SEASON_COST)</f>
        <v>23155.2265658538</v>
      </c>
      <c r="X129" s="53" t="n">
        <f aca="false">IF(OR($A129&gt;TOMATO_BED_CAP,$B129&gt;CARROT_BED_CAP,X$4&gt;MESCLUN_BED_CAP,$A129+$B129+X$4&gt;TOTAL_BEDS_AVAILABLE,($D129+X$5)&gt;TOTAL_LABOR_HOURS_CAP,MAX(0,($D129+X$5)-PERMANENT_FIELD_LABOR_HOURS)&gt;TEMP_HOURS_CAP),"",$C129+X$6-MIN(($D129+X$5),PERMANENT_FIELD_LABOR_HOURS)*PERMANENT_HOURLY_RATE-MAX(0,($D129+X$5)-PERMANENT_FIELD_LABOR_HOURS)*TEMP_HOURLY_RATE-FIXED_SEASON_COST)</f>
        <v>23793.2363941327</v>
      </c>
      <c r="Y129" s="53" t="n">
        <f aca="false">IF(OR($A129&gt;TOMATO_BED_CAP,$B129&gt;CARROT_BED_CAP,Y$4&gt;MESCLUN_BED_CAP,$A129+$B129+Y$4&gt;TOTAL_BEDS_AVAILABLE,($D129+Y$5)&gt;TOTAL_LABOR_HOURS_CAP,MAX(0,($D129+Y$5)-PERMANENT_FIELD_LABOR_HOURS)&gt;TEMP_HOURS_CAP),"",$C129+Y$6-MIN(($D129+Y$5),PERMANENT_FIELD_LABOR_HOURS)*PERMANENT_HOURLY_RATE-MAX(0,($D129+Y$5)-PERMANENT_FIELD_LABOR_HOURS)*TEMP_HOURLY_RATE-FIXED_SEASON_COST)</f>
        <v>24404.2594570114</v>
      </c>
      <c r="Z129" s="53" t="n">
        <f aca="false">IF(OR($A129&gt;TOMATO_BED_CAP,$B129&gt;CARROT_BED_CAP,Z$4&gt;MESCLUN_BED_CAP,$A129+$B129+Z$4&gt;TOTAL_BEDS_AVAILABLE,($D129+Z$5)&gt;TOTAL_LABOR_HOURS_CAP,MAX(0,($D129+Z$5)-PERMANENT_FIELD_LABOR_HOURS)&gt;TEMP_HOURS_CAP),"",$C129+Z$6-MIN(($D129+Z$5),PERMANENT_FIELD_LABOR_HOURS)*PERMANENT_HOURLY_RATE-MAX(0,($D129+Z$5)-PERMANENT_FIELD_LABOR_HOURS)*TEMP_HOURLY_RATE-FIXED_SEASON_COST)</f>
        <v>24987.8057713191</v>
      </c>
      <c r="AA129" s="53" t="n">
        <f aca="false">IF(OR($A129&gt;TOMATO_BED_CAP,$B129&gt;CARROT_BED_CAP,AA$4&gt;MESCLUN_BED_CAP,$A129+$B129+AA$4&gt;TOTAL_BEDS_AVAILABLE,($D129+AA$5)&gt;TOTAL_LABOR_HOURS_CAP,MAX(0,($D129+AA$5)-PERMANENT_FIELD_LABOR_HOURS)&gt;TEMP_HOURS_CAP),"",$C129+AA$6-MIN(($D129+AA$5),PERMANENT_FIELD_LABOR_HOURS)*PERMANENT_HOURLY_RATE-MAX(0,($D129+AA$5)-PERMANENT_FIELD_LABOR_HOURS)*TEMP_HOURLY_RATE-FIXED_SEASON_COST)</f>
        <v>25543.377320988</v>
      </c>
      <c r="AB129" s="53" t="n">
        <f aca="false">IF(OR($A129&gt;TOMATO_BED_CAP,$B129&gt;CARROT_BED_CAP,AB$4&gt;MESCLUN_BED_CAP,$A129+$B129+AB$4&gt;TOTAL_BEDS_AVAILABLE,($D129+AB$5)&gt;TOTAL_LABOR_HOURS_CAP,MAX(0,($D129+AB$5)-PERMANENT_FIELD_LABOR_HOURS)&gt;TEMP_HOURS_CAP),"",$C129+AB$6-MIN(($D129+AB$5),PERMANENT_FIELD_LABOR_HOURS)*PERMANENT_HOURLY_RATE-MAX(0,($D129+AB$5)-PERMANENT_FIELD_LABOR_HOURS)*TEMP_HOURLY_RATE-FIXED_SEASON_COST)</f>
        <v>26070.4679327906</v>
      </c>
      <c r="AC129" s="53" t="n">
        <f aca="false">IF(OR($A129&gt;TOMATO_BED_CAP,$B129&gt;CARROT_BED_CAP,AC$4&gt;MESCLUN_BED_CAP,$A129+$B129+AC$4&gt;TOTAL_BEDS_AVAILABLE,($D129+AC$5)&gt;TOTAL_LABOR_HOURS_CAP,MAX(0,($D129+AC$5)-PERMANENT_FIELD_LABOR_HOURS)&gt;TEMP_HOURS_CAP),"",$C129+AC$6-MIN(($D129+AC$5),PERMANENT_FIELD_LABOR_HOURS)*PERMANENT_HOURLY_RATE-MAX(0,($D129+AC$5)-PERMANENT_FIELD_LABOR_HOURS)*TEMP_HOURLY_RATE-FIXED_SEASON_COST)</f>
        <v>26568.5631502255</v>
      </c>
      <c r="AD129" s="53" t="n">
        <f aca="false">IF(OR($A129&gt;TOMATO_BED_CAP,$B129&gt;CARROT_BED_CAP,AD$4&gt;MESCLUN_BED_CAP,$A129+$B129+AD$4&gt;TOTAL_BEDS_AVAILABLE,($D129+AD$5)&gt;TOTAL_LABOR_HOURS_CAP,MAX(0,($D129+AD$5)-PERMANENT_FIELD_LABOR_HOURS)&gt;TEMP_HOURS_CAP),"",$C129+AD$6-MIN(($D129+AD$5),PERMANENT_FIELD_LABOR_HOURS)*PERMANENT_HOURLY_RATE-MAX(0,($D129+AD$5)-PERMANENT_FIELD_LABOR_HOURS)*TEMP_HOURLY_RATE-FIXED_SEASON_COST)</f>
        <v>27037.1401055254</v>
      </c>
      <c r="AE129" s="53" t="n">
        <f aca="false">IF(OR($A129&gt;TOMATO_BED_CAP,$B129&gt;CARROT_BED_CAP,AE$4&gt;MESCLUN_BED_CAP,$A129+$B129+AE$4&gt;TOTAL_BEDS_AVAILABLE,($D129+AE$5)&gt;TOTAL_LABOR_HOURS_CAP,MAX(0,($D129+AE$5)-PERMANENT_FIELD_LABOR_HOURS)&gt;TEMP_HOURS_CAP),"",$C129+AE$6-MIN(($D129+AE$5),PERMANENT_FIELD_LABOR_HOURS)*PERMANENT_HOURLY_RATE-MAX(0,($D129+AE$5)-PERMANENT_FIELD_LABOR_HOURS)*TEMP_HOURLY_RATE-FIXED_SEASON_COST)</f>
        <v>27475.6673897593</v>
      </c>
      <c r="AF129" s="53" t="n">
        <f aca="false">IF(OR($A129&gt;TOMATO_BED_CAP,$B129&gt;CARROT_BED_CAP,AF$4&gt;MESCLUN_BED_CAP,$A129+$B129+AF$4&gt;TOTAL_BEDS_AVAILABLE,($D129+AF$5)&gt;TOTAL_LABOR_HOURS_CAP,MAX(0,($D129+AF$5)-PERMANENT_FIELD_LABOR_HOURS)&gt;TEMP_HOURS_CAP),"",$C129+AF$6-MIN(($D129+AF$5),PERMANENT_FIELD_LABOR_HOURS)*PERMANENT_HOURLY_RATE-MAX(0,($D129+AF$5)-PERMANENT_FIELD_LABOR_HOURS)*TEMP_HOURLY_RATE-FIXED_SEASON_COST)</f>
        <v>27883.6049210013</v>
      </c>
      <c r="AG129" s="53" t="n">
        <f aca="false">IF(OR($A129&gt;TOMATO_BED_CAP,$B129&gt;CARROT_BED_CAP,AG$4&gt;MESCLUN_BED_CAP,$A129+$B129+AG$4&gt;TOTAL_BEDS_AVAILABLE,($D129+AG$5)&gt;TOTAL_LABOR_HOURS_CAP,MAX(0,($D129+AG$5)-PERMANENT_FIELD_LABOR_HOURS)&gt;TEMP_HOURS_CAP),"",$C129+AG$6-MIN(($D129+AG$5),PERMANENT_FIELD_LABOR_HOURS)*PERMANENT_HOURLY_RATE-MAX(0,($D129+AG$5)-PERMANENT_FIELD_LABOR_HOURS)*TEMP_HOURLY_RATE-FIXED_SEASON_COST)</f>
        <v>28260.4038105383</v>
      </c>
      <c r="AH129" s="53" t="n">
        <f aca="false">IF(OR($A129&gt;TOMATO_BED_CAP,$B129&gt;CARROT_BED_CAP,AH$4&gt;MESCLUN_BED_CAP,$A129+$B129+AH$4&gt;TOTAL_BEDS_AVAILABLE,($D129+AH$5)&gt;TOTAL_LABOR_HOURS_CAP,MAX(0,($D129+AH$5)-PERMANENT_FIELD_LABOR_HOURS)&gt;TEMP_HOURS_CAP),"",$C129+AH$6-MIN(($D129+AH$5),PERMANENT_FIELD_LABOR_HOURS)*PERMANENT_HOURLY_RATE-MAX(0,($D129+AH$5)-PERMANENT_FIELD_LABOR_HOURS)*TEMP_HOURLY_RATE-FIXED_SEASON_COST)</f>
        <v>28605.5062270885</v>
      </c>
      <c r="AI129" s="53" t="n">
        <f aca="false">IF(OR($A129&gt;TOMATO_BED_CAP,$B129&gt;CARROT_BED_CAP,AI$4&gt;MESCLUN_BED_CAP,$A129+$B129+AI$4&gt;TOTAL_BEDS_AVAILABLE,($D129+AI$5)&gt;TOTAL_LABOR_HOURS_CAP,MAX(0,($D129+AI$5)-PERMANENT_FIELD_LABOR_HOURS)&gt;TEMP_HOURS_CAP),"",$C129+AI$6-MIN(($D129+AI$5),PERMANENT_FIELD_LABOR_HOURS)*PERMANENT_HOURLY_RATE-MAX(0,($D129+AI$5)-PERMANENT_FIELD_LABOR_HOURS)*TEMP_HOURLY_RATE-FIXED_SEASON_COST)</f>
        <v>28918.3452590008</v>
      </c>
      <c r="AJ129" s="53" t="n">
        <f aca="false">IF(OR($A129&gt;TOMATO_BED_CAP,$B129&gt;CARROT_BED_CAP,AJ$4&gt;MESCLUN_BED_CAP,$A129+$B129+AJ$4&gt;TOTAL_BEDS_AVAILABLE,($D129+AJ$5)&gt;TOTAL_LABOR_HOURS_CAP,MAX(0,($D129+AJ$5)-PERMANENT_FIELD_LABOR_HOURS)&gt;TEMP_HOURS_CAP),"",$C129+AJ$6-MIN(($D129+AJ$5),PERMANENT_FIELD_LABOR_HOURS)*PERMANENT_HOURLY_RATE-MAX(0,($D129+AJ$5)-PERMANENT_FIELD_LABOR_HOURS)*TEMP_HOURLY_RATE-FIXED_SEASON_COST)</f>
        <v>29198.3447744065</v>
      </c>
    </row>
    <row r="130" customFormat="false" ht="15" hidden="false" customHeight="false" outlineLevel="0" collapsed="false">
      <c r="A130" s="21" t="n">
        <f aca="false">INT((ROW()-ROW($A$8))/(20+1))</f>
        <v>5</v>
      </c>
      <c r="B130" s="21" t="n">
        <f aca="false">MOD(ROW()-ROW($A$8),20+1)</f>
        <v>17</v>
      </c>
      <c r="C130" s="13" t="n">
        <f aca="false">A130*(TOMATO_REVENUE_PER_BED-TOMATO_FERTILIZER_PER_BED)+B130*(CARROT_REVENUE_PER_BED-CARROT_FERTILIZER_PER_BED)</f>
        <v>67718</v>
      </c>
      <c r="D130" s="14" t="n">
        <f aca="false">INDEX(TOMATO_SCHED_LABOR_HRS,A130+1)+INDEX(CARROT_SCHED_LABOR_HRS,B130+1)</f>
        <v>1500.44440307503</v>
      </c>
      <c r="E130" s="13" t="n">
        <f aca="false">IF(COUNT(F130:AJ130)=0,"",MAX(F130:AJ130))</f>
        <v>29751.07445749</v>
      </c>
      <c r="F130" s="53" t="n">
        <f aca="false">IF(OR($A130&gt;TOMATO_BED_CAP,$B130&gt;CARROT_BED_CAP,F$4&gt;MESCLUN_BED_CAP,$A130+$B130+F$4&gt;TOTAL_BEDS_AVAILABLE,($D130+F$5)&gt;TOTAL_LABOR_HOURS_CAP,MAX(0,($D130+F$5)-PERMANENT_FIELD_LABOR_HOURS)&gt;TEMP_HOURS_CAP),"",$C130+F$6-MIN(($D130+F$5),PERMANENT_FIELD_LABOR_HOURS)*PERMANENT_HOURLY_RATE-MAX(0,($D130+F$5)-PERMANENT_FIELD_LABOR_HOURS)*TEMP_HOURLY_RATE-FIXED_SEASON_COST)</f>
        <v>9171.0851626175</v>
      </c>
      <c r="G130" s="53" t="n">
        <f aca="false">IF(OR($A130&gt;TOMATO_BED_CAP,$B130&gt;CARROT_BED_CAP,G$4&gt;MESCLUN_BED_CAP,$A130+$B130+G$4&gt;TOTAL_BEDS_AVAILABLE,($D130+G$5)&gt;TOTAL_LABOR_HOURS_CAP,MAX(0,($D130+G$5)-PERMANENT_FIELD_LABOR_HOURS)&gt;TEMP_HOURS_CAP),"",$C130+G$6-MIN(($D130+G$5),PERMANENT_FIELD_LABOR_HOURS)*PERMANENT_HOURLY_RATE-MAX(0,($D130+G$5)-PERMANENT_FIELD_LABOR_HOURS)*TEMP_HOURLY_RATE-FIXED_SEASON_COST)</f>
        <v>10200.1201626175</v>
      </c>
      <c r="H130" s="53" t="n">
        <f aca="false">IF(OR($A130&gt;TOMATO_BED_CAP,$B130&gt;CARROT_BED_CAP,H$4&gt;MESCLUN_BED_CAP,$A130+$B130+H$4&gt;TOTAL_BEDS_AVAILABLE,($D130+H$5)&gt;TOTAL_LABOR_HOURS_CAP,MAX(0,($D130+H$5)-PERMANENT_FIELD_LABOR_HOURS)&gt;TEMP_HOURS_CAP),"",$C130+H$6-MIN(($D130+H$5),PERMANENT_FIELD_LABOR_HOURS)*PERMANENT_HOURLY_RATE-MAX(0,($D130+H$5)-PERMANENT_FIELD_LABOR_HOURS)*TEMP_HOURLY_RATE-FIXED_SEASON_COST)</f>
        <v>11209.3810376175</v>
      </c>
      <c r="I130" s="53" t="n">
        <f aca="false">IF(OR($A130&gt;TOMATO_BED_CAP,$B130&gt;CARROT_BED_CAP,I$4&gt;MESCLUN_BED_CAP,$A130+$B130+I$4&gt;TOTAL_BEDS_AVAILABLE,($D130+I$5)&gt;TOTAL_LABOR_HOURS_CAP,MAX(0,($D130+I$5)-PERMANENT_FIELD_LABOR_HOURS)&gt;TEMP_HOURS_CAP),"",$C130+I$6-MIN(($D130+I$5),PERMANENT_FIELD_LABOR_HOURS)*PERMANENT_HOURLY_RATE-MAX(0,($D130+I$5)-PERMANENT_FIELD_LABOR_HOURS)*TEMP_HOURLY_RATE-FIXED_SEASON_COST)</f>
        <v>12198.4970227738</v>
      </c>
      <c r="J130" s="53" t="n">
        <f aca="false">IF(OR($A130&gt;TOMATO_BED_CAP,$B130&gt;CARROT_BED_CAP,J$4&gt;MESCLUN_BED_CAP,$A130+$B130+J$4&gt;TOTAL_BEDS_AVAILABLE,($D130+J$5)&gt;TOTAL_LABOR_HOURS_CAP,MAX(0,($D130+J$5)-PERMANENT_FIELD_LABOR_HOURS)&gt;TEMP_HOURS_CAP),"",$C130+J$6-MIN(($D130+J$5),PERMANENT_FIELD_LABOR_HOURS)*PERMANENT_HOURLY_RATE-MAX(0,($D130+J$5)-PERMANENT_FIELD_LABOR_HOURS)*TEMP_HOURLY_RATE-FIXED_SEASON_COST)</f>
        <v>13167.0911738284</v>
      </c>
      <c r="K130" s="53" t="n">
        <f aca="false">IF(OR($A130&gt;TOMATO_BED_CAP,$B130&gt;CARROT_BED_CAP,K$4&gt;MESCLUN_BED_CAP,$A130+$B130+K$4&gt;TOTAL_BEDS_AVAILABLE,($D130+K$5)&gt;TOTAL_LABOR_HOURS_CAP,MAX(0,($D130+K$5)-PERMANENT_FIELD_LABOR_HOURS)&gt;TEMP_HOURS_CAP),"",$C130+K$6-MIN(($D130+K$5),PERMANENT_FIELD_LABOR_HOURS)*PERMANENT_HOURLY_RATE-MAX(0,($D130+K$5)-PERMANENT_FIELD_LABOR_HOURS)*TEMP_HOURLY_RATE-FIXED_SEASON_COST)</f>
        <v>14114.7802705564</v>
      </c>
      <c r="L130" s="53" t="n">
        <f aca="false">IF(OR($A130&gt;TOMATO_BED_CAP,$B130&gt;CARROT_BED_CAP,L$4&gt;MESCLUN_BED_CAP,$A130+$B130+L$4&gt;TOTAL_BEDS_AVAILABLE,($D130+L$5)&gt;TOTAL_LABOR_HOURS_CAP,MAX(0,($D130+L$5)-PERMANENT_FIELD_LABOR_HOURS)&gt;TEMP_HOURS_CAP),"",$C130+L$6-MIN(($D130+L$5),PERMANENT_FIELD_LABOR_HOURS)*PERMANENT_HOURLY_RATE-MAX(0,($D130+L$5)-PERMANENT_FIELD_LABOR_HOURS)*TEMP_HOURLY_RATE-FIXED_SEASON_COST)</f>
        <v>15041.1747187632</v>
      </c>
      <c r="M130" s="53" t="n">
        <f aca="false">IF(OR($A130&gt;TOMATO_BED_CAP,$B130&gt;CARROT_BED_CAP,M$4&gt;MESCLUN_BED_CAP,$A130+$B130+M$4&gt;TOTAL_BEDS_AVAILABLE,($D130+M$5)&gt;TOTAL_LABOR_HOURS_CAP,MAX(0,($D130+M$5)-PERMANENT_FIELD_LABOR_HOURS)&gt;TEMP_HOURS_CAP),"",$C130+M$6-MIN(($D130+M$5),PERMANENT_FIELD_LABOR_HOURS)*PERMANENT_HOURLY_RATE-MAX(0,($D130+M$5)-PERMANENT_FIELD_LABOR_HOURS)*TEMP_HOURLY_RATE-FIXED_SEASON_COST)</f>
        <v>15945.8784508146</v>
      </c>
      <c r="N130" s="53" t="n">
        <f aca="false">IF(OR($A130&gt;TOMATO_BED_CAP,$B130&gt;CARROT_BED_CAP,N$4&gt;MESCLUN_BED_CAP,$A130+$B130+N$4&gt;TOTAL_BEDS_AVAILABLE,($D130+N$5)&gt;TOTAL_LABOR_HOURS_CAP,MAX(0,($D130+N$5)-PERMANENT_FIELD_LABOR_HOURS)&gt;TEMP_HOURS_CAP),"",$C130+N$6-MIN(($D130+N$5),PERMANENT_FIELD_LABOR_HOURS)*PERMANENT_HOURLY_RATE-MAX(0,($D130+N$5)-PERMANENT_FIELD_LABOR_HOURS)*TEMP_HOURLY_RATE-FIXED_SEASON_COST)</f>
        <v>16828.4888246741</v>
      </c>
      <c r="O130" s="53" t="n">
        <f aca="false">IF(OR($A130&gt;TOMATO_BED_CAP,$B130&gt;CARROT_BED_CAP,O$4&gt;MESCLUN_BED_CAP,$A130+$B130+O$4&gt;TOTAL_BEDS_AVAILABLE,($D130+O$5)&gt;TOTAL_LABOR_HOURS_CAP,MAX(0,($D130+O$5)-PERMANENT_FIELD_LABOR_HOURS)&gt;TEMP_HOURS_CAP),"",$C130+O$6-MIN(($D130+O$5),PERMANENT_FIELD_LABOR_HOURS)*PERMANENT_HOURLY_RATE-MAX(0,($D130+O$5)-PERMANENT_FIELD_LABOR_HOURS)*TEMP_HOURLY_RATE-FIXED_SEASON_COST)</f>
        <v>17688.5965214289</v>
      </c>
      <c r="P130" s="53" t="n">
        <f aca="false">IF(OR($A130&gt;TOMATO_BED_CAP,$B130&gt;CARROT_BED_CAP,P$4&gt;MESCLUN_BED_CAP,$A130+$B130+P$4&gt;TOTAL_BEDS_AVAILABLE,($D130+P$5)&gt;TOTAL_LABOR_HOURS_CAP,MAX(0,($D130+P$5)-PERMANENT_FIELD_LABOR_HOURS)&gt;TEMP_HOURS_CAP),"",$C130+P$6-MIN(($D130+P$5),PERMANENT_FIELD_LABOR_HOURS)*PERMANENT_HOURLY_RATE-MAX(0,($D130+P$5)-PERMANENT_FIELD_LABOR_HOURS)*TEMP_HOURLY_RATE-FIXED_SEASON_COST)</f>
        <v>18525.7854412803</v>
      </c>
      <c r="Q130" s="53" t="n">
        <f aca="false">IF(OR($A130&gt;TOMATO_BED_CAP,$B130&gt;CARROT_BED_CAP,Q$4&gt;MESCLUN_BED_CAP,$A130+$B130+Q$4&gt;TOTAL_BEDS_AVAILABLE,($D130+Q$5)&gt;TOTAL_LABOR_HOURS_CAP,MAX(0,($D130+Q$5)-PERMANENT_FIELD_LABOR_HOURS)&gt;TEMP_HOURS_CAP),"",$C130+Q$6-MIN(($D130+Q$5),PERMANENT_FIELD_LABOR_HOURS)*PERMANENT_HOURLY_RATE-MAX(0,($D130+Q$5)-PERMANENT_FIELD_LABOR_HOURS)*TEMP_HOURLY_RATE-FIXED_SEASON_COST)</f>
        <v>19339.6325979782</v>
      </c>
      <c r="R130" s="53" t="n">
        <f aca="false">IF(OR($A130&gt;TOMATO_BED_CAP,$B130&gt;CARROT_BED_CAP,R$4&gt;MESCLUN_BED_CAP,$A130+$B130+R$4&gt;TOTAL_BEDS_AVAILABLE,($D130+R$5)&gt;TOTAL_LABOR_HOURS_CAP,MAX(0,($D130+R$5)-PERMANENT_FIELD_LABOR_HOURS)&gt;TEMP_HOURS_CAP),"",$C130+R$6-MIN(($D130+R$5),PERMANENT_FIELD_LABOR_HOURS)*PERMANENT_HOURLY_RATE-MAX(0,($D130+R$5)-PERMANENT_FIELD_LABOR_HOURS)*TEMP_HOURLY_RATE-FIXED_SEASON_COST)</f>
        <v>20129.708011675</v>
      </c>
      <c r="S130" s="53" t="n">
        <f aca="false">IF(OR($A130&gt;TOMATO_BED_CAP,$B130&gt;CARROT_BED_CAP,S$4&gt;MESCLUN_BED_CAP,$A130+$B130+S$4&gt;TOTAL_BEDS_AVAILABLE,($D130+S$5)&gt;TOTAL_LABOR_HOURS_CAP,MAX(0,($D130+S$5)-PERMANENT_FIELD_LABOR_HOURS)&gt;TEMP_HOURS_CAP),"",$C130+S$6-MIN(($D130+S$5),PERMANENT_FIELD_LABOR_HOURS)*PERMANENT_HOURLY_RATE-MAX(0,($D130+S$5)-PERMANENT_FIELD_LABOR_HOURS)*TEMP_HOURLY_RATE-FIXED_SEASON_COST)</f>
        <v>20895.5746001775</v>
      </c>
      <c r="T130" s="53" t="n">
        <f aca="false">IF(OR($A130&gt;TOMATO_BED_CAP,$B130&gt;CARROT_BED_CAP,T$4&gt;MESCLUN_BED_CAP,$A130+$B130+T$4&gt;TOTAL_BEDS_AVAILABLE,($D130+T$5)&gt;TOTAL_LABOR_HOURS_CAP,MAX(0,($D130+T$5)-PERMANENT_FIELD_LABOR_HOURS)&gt;TEMP_HOURS_CAP),"",$C130+T$6-MIN(($D130+T$5),PERMANENT_FIELD_LABOR_HOURS)*PERMANENT_HOURLY_RATE-MAX(0,($D130+T$5)-PERMANENT_FIELD_LABOR_HOURS)*TEMP_HOURLY_RATE-FIXED_SEASON_COST)</f>
        <v>21636.7880685723</v>
      </c>
      <c r="U130" s="53" t="n">
        <f aca="false">IF(OR($A130&gt;TOMATO_BED_CAP,$B130&gt;CARROT_BED_CAP,U$4&gt;MESCLUN_BED_CAP,$A130+$B130+U$4&gt;TOTAL_BEDS_AVAILABLE,($D130+U$5)&gt;TOTAL_LABOR_HOURS_CAP,MAX(0,($D130+U$5)-PERMANENT_FIELD_LABOR_HOURS)&gt;TEMP_HOURS_CAP),"",$C130+U$6-MIN(($D130+U$5),PERMANENT_FIELD_LABOR_HOURS)*PERMANENT_HOURLY_RATE-MAX(0,($D130+U$5)-PERMANENT_FIELD_LABOR_HOURS)*TEMP_HOURLY_RATE-FIXED_SEASON_COST)</f>
        <v>22352.8967972024</v>
      </c>
      <c r="V130" s="53" t="n">
        <f aca="false">IF(OR($A130&gt;TOMATO_BED_CAP,$B130&gt;CARROT_BED_CAP,V$4&gt;MESCLUN_BED_CAP,$A130+$B130+V$4&gt;TOTAL_BEDS_AVAILABLE,($D130+V$5)&gt;TOTAL_LABOR_HOURS_CAP,MAX(0,($D130+V$5)-PERMANENT_FIELD_LABOR_HOURS)&gt;TEMP_HOURS_CAP),"",$C130+V$6-MIN(($D130+V$5),PERMANENT_FIELD_LABOR_HOURS)*PERMANENT_HOURLY_RATE-MAX(0,($D130+V$5)-PERMANENT_FIELD_LABOR_HOURS)*TEMP_HOURLY_RATE-FIXED_SEASON_COST)</f>
        <v>23043.4417279692</v>
      </c>
      <c r="W130" s="53" t="n">
        <f aca="false">IF(OR($A130&gt;TOMATO_BED_CAP,$B130&gt;CARROT_BED_CAP,W$4&gt;MESCLUN_BED_CAP,$A130+$B130+W$4&gt;TOTAL_BEDS_AVAILABLE,($D130+W$5)&gt;TOTAL_LABOR_HOURS_CAP,MAX(0,($D130+W$5)-PERMANENT_FIELD_LABOR_HOURS)&gt;TEMP_HOURS_CAP),"",$C130+W$6-MIN(($D130+W$5),PERMANENT_FIELD_LABOR_HOURS)*PERMANENT_HOURLY_RATE-MAX(0,($D130+W$5)-PERMANENT_FIELD_LABOR_HOURS)*TEMP_HOURLY_RATE-FIXED_SEASON_COST)</f>
        <v>23707.9562489373</v>
      </c>
      <c r="X130" s="53" t="n">
        <f aca="false">IF(OR($A130&gt;TOMATO_BED_CAP,$B130&gt;CARROT_BED_CAP,X$4&gt;MESCLUN_BED_CAP,$A130+$B130+X$4&gt;TOTAL_BEDS_AVAILABLE,($D130+X$5)&gt;TOTAL_LABOR_HOURS_CAP,MAX(0,($D130+X$5)-PERMANENT_FIELD_LABOR_HOURS)&gt;TEMP_HOURS_CAP),"",$C130+X$6-MIN(($D130+X$5),PERMANENT_FIELD_LABOR_HOURS)*PERMANENT_HOURLY_RATE-MAX(0,($D130+X$5)-PERMANENT_FIELD_LABOR_HOURS)*TEMP_HOURLY_RATE-FIXED_SEASON_COST)</f>
        <v>24345.9660772162</v>
      </c>
      <c r="Y130" s="53" t="n">
        <f aca="false">IF(OR($A130&gt;TOMATO_BED_CAP,$B130&gt;CARROT_BED_CAP,Y$4&gt;MESCLUN_BED_CAP,$A130+$B130+Y$4&gt;TOTAL_BEDS_AVAILABLE,($D130+Y$5)&gt;TOTAL_LABOR_HOURS_CAP,MAX(0,($D130+Y$5)-PERMANENT_FIELD_LABOR_HOURS)&gt;TEMP_HOURS_CAP),"",$C130+Y$6-MIN(($D130+Y$5),PERMANENT_FIELD_LABOR_HOURS)*PERMANENT_HOURLY_RATE-MAX(0,($D130+Y$5)-PERMANENT_FIELD_LABOR_HOURS)*TEMP_HOURLY_RATE-FIXED_SEASON_COST)</f>
        <v>24956.9891400949</v>
      </c>
      <c r="Z130" s="53" t="n">
        <f aca="false">IF(OR($A130&gt;TOMATO_BED_CAP,$B130&gt;CARROT_BED_CAP,Z$4&gt;MESCLUN_BED_CAP,$A130+$B130+Z$4&gt;TOTAL_BEDS_AVAILABLE,($D130+Z$5)&gt;TOTAL_LABOR_HOURS_CAP,MAX(0,($D130+Z$5)-PERMANENT_FIELD_LABOR_HOURS)&gt;TEMP_HOURS_CAP),"",$C130+Z$6-MIN(($D130+Z$5),PERMANENT_FIELD_LABOR_HOURS)*PERMANENT_HOURLY_RATE-MAX(0,($D130+Z$5)-PERMANENT_FIELD_LABOR_HOURS)*TEMP_HOURLY_RATE-FIXED_SEASON_COST)</f>
        <v>25540.5354544026</v>
      </c>
      <c r="AA130" s="53" t="n">
        <f aca="false">IF(OR($A130&gt;TOMATO_BED_CAP,$B130&gt;CARROT_BED_CAP,AA$4&gt;MESCLUN_BED_CAP,$A130+$B130+AA$4&gt;TOTAL_BEDS_AVAILABLE,($D130+AA$5)&gt;TOTAL_LABOR_HOURS_CAP,MAX(0,($D130+AA$5)-PERMANENT_FIELD_LABOR_HOURS)&gt;TEMP_HOURS_CAP),"",$C130+AA$6-MIN(($D130+AA$5),PERMANENT_FIELD_LABOR_HOURS)*PERMANENT_HOURLY_RATE-MAX(0,($D130+AA$5)-PERMANENT_FIELD_LABOR_HOURS)*TEMP_HOURLY_RATE-FIXED_SEASON_COST)</f>
        <v>26096.1070040715</v>
      </c>
      <c r="AB130" s="53" t="n">
        <f aca="false">IF(OR($A130&gt;TOMATO_BED_CAP,$B130&gt;CARROT_BED_CAP,AB$4&gt;MESCLUN_BED_CAP,$A130+$B130+AB$4&gt;TOTAL_BEDS_AVAILABLE,($D130+AB$5)&gt;TOTAL_LABOR_HOURS_CAP,MAX(0,($D130+AB$5)-PERMANENT_FIELD_LABOR_HOURS)&gt;TEMP_HOURS_CAP),"",$C130+AB$6-MIN(($D130+AB$5),PERMANENT_FIELD_LABOR_HOURS)*PERMANENT_HOURLY_RATE-MAX(0,($D130+AB$5)-PERMANENT_FIELD_LABOR_HOURS)*TEMP_HOURLY_RATE-FIXED_SEASON_COST)</f>
        <v>26623.1976158741</v>
      </c>
      <c r="AC130" s="53" t="n">
        <f aca="false">IF(OR($A130&gt;TOMATO_BED_CAP,$B130&gt;CARROT_BED_CAP,AC$4&gt;MESCLUN_BED_CAP,$A130+$B130+AC$4&gt;TOTAL_BEDS_AVAILABLE,($D130+AC$5)&gt;TOTAL_LABOR_HOURS_CAP,MAX(0,($D130+AC$5)-PERMANENT_FIELD_LABOR_HOURS)&gt;TEMP_HOURS_CAP),"",$C130+AC$6-MIN(($D130+AC$5),PERMANENT_FIELD_LABOR_HOURS)*PERMANENT_HOURLY_RATE-MAX(0,($D130+AC$5)-PERMANENT_FIELD_LABOR_HOURS)*TEMP_HOURLY_RATE-FIXED_SEASON_COST)</f>
        <v>27121.292833309</v>
      </c>
      <c r="AD130" s="53" t="n">
        <f aca="false">IF(OR($A130&gt;TOMATO_BED_CAP,$B130&gt;CARROT_BED_CAP,AD$4&gt;MESCLUN_BED_CAP,$A130+$B130+AD$4&gt;TOTAL_BEDS_AVAILABLE,($D130+AD$5)&gt;TOTAL_LABOR_HOURS_CAP,MAX(0,($D130+AD$5)-PERMANENT_FIELD_LABOR_HOURS)&gt;TEMP_HOURS_CAP),"",$C130+AD$6-MIN(($D130+AD$5),PERMANENT_FIELD_LABOR_HOURS)*PERMANENT_HOURLY_RATE-MAX(0,($D130+AD$5)-PERMANENT_FIELD_LABOR_HOURS)*TEMP_HOURLY_RATE-FIXED_SEASON_COST)</f>
        <v>27589.8697886089</v>
      </c>
      <c r="AE130" s="53" t="n">
        <f aca="false">IF(OR($A130&gt;TOMATO_BED_CAP,$B130&gt;CARROT_BED_CAP,AE$4&gt;MESCLUN_BED_CAP,$A130+$B130+AE$4&gt;TOTAL_BEDS_AVAILABLE,($D130+AE$5)&gt;TOTAL_LABOR_HOURS_CAP,MAX(0,($D130+AE$5)-PERMANENT_FIELD_LABOR_HOURS)&gt;TEMP_HOURS_CAP),"",$C130+AE$6-MIN(($D130+AE$5),PERMANENT_FIELD_LABOR_HOURS)*PERMANENT_HOURLY_RATE-MAX(0,($D130+AE$5)-PERMANENT_FIELD_LABOR_HOURS)*TEMP_HOURLY_RATE-FIXED_SEASON_COST)</f>
        <v>28028.3970728428</v>
      </c>
      <c r="AF130" s="53" t="n">
        <f aca="false">IF(OR($A130&gt;TOMATO_BED_CAP,$B130&gt;CARROT_BED_CAP,AF$4&gt;MESCLUN_BED_CAP,$A130+$B130+AF$4&gt;TOTAL_BEDS_AVAILABLE,($D130+AF$5)&gt;TOTAL_LABOR_HOURS_CAP,MAX(0,($D130+AF$5)-PERMANENT_FIELD_LABOR_HOURS)&gt;TEMP_HOURS_CAP),"",$C130+AF$6-MIN(($D130+AF$5),PERMANENT_FIELD_LABOR_HOURS)*PERMANENT_HOURLY_RATE-MAX(0,($D130+AF$5)-PERMANENT_FIELD_LABOR_HOURS)*TEMP_HOURLY_RATE-FIXED_SEASON_COST)</f>
        <v>28436.3346040848</v>
      </c>
      <c r="AG130" s="53" t="n">
        <f aca="false">IF(OR($A130&gt;TOMATO_BED_CAP,$B130&gt;CARROT_BED_CAP,AG$4&gt;MESCLUN_BED_CAP,$A130+$B130+AG$4&gt;TOTAL_BEDS_AVAILABLE,($D130+AG$5)&gt;TOTAL_LABOR_HOURS_CAP,MAX(0,($D130+AG$5)-PERMANENT_FIELD_LABOR_HOURS)&gt;TEMP_HOURS_CAP),"",$C130+AG$6-MIN(($D130+AG$5),PERMANENT_FIELD_LABOR_HOURS)*PERMANENT_HOURLY_RATE-MAX(0,($D130+AG$5)-PERMANENT_FIELD_LABOR_HOURS)*TEMP_HOURLY_RATE-FIXED_SEASON_COST)</f>
        <v>28813.1334936218</v>
      </c>
      <c r="AH130" s="53" t="n">
        <f aca="false">IF(OR($A130&gt;TOMATO_BED_CAP,$B130&gt;CARROT_BED_CAP,AH$4&gt;MESCLUN_BED_CAP,$A130+$B130+AH$4&gt;TOTAL_BEDS_AVAILABLE,($D130+AH$5)&gt;TOTAL_LABOR_HOURS_CAP,MAX(0,($D130+AH$5)-PERMANENT_FIELD_LABOR_HOURS)&gt;TEMP_HOURS_CAP),"",$C130+AH$6-MIN(($D130+AH$5),PERMANENT_FIELD_LABOR_HOURS)*PERMANENT_HOURLY_RATE-MAX(0,($D130+AH$5)-PERMANENT_FIELD_LABOR_HOURS)*TEMP_HOURLY_RATE-FIXED_SEASON_COST)</f>
        <v>29158.235910172</v>
      </c>
      <c r="AI130" s="53" t="n">
        <f aca="false">IF(OR($A130&gt;TOMATO_BED_CAP,$B130&gt;CARROT_BED_CAP,AI$4&gt;MESCLUN_BED_CAP,$A130+$B130+AI$4&gt;TOTAL_BEDS_AVAILABLE,($D130+AI$5)&gt;TOTAL_LABOR_HOURS_CAP,MAX(0,($D130+AI$5)-PERMANENT_FIELD_LABOR_HOURS)&gt;TEMP_HOURS_CAP),"",$C130+AI$6-MIN(($D130+AI$5),PERMANENT_FIELD_LABOR_HOURS)*PERMANENT_HOURLY_RATE-MAX(0,($D130+AI$5)-PERMANENT_FIELD_LABOR_HOURS)*TEMP_HOURLY_RATE-FIXED_SEASON_COST)</f>
        <v>29471.0749420843</v>
      </c>
      <c r="AJ130" s="53" t="n">
        <f aca="false">IF(OR($A130&gt;TOMATO_BED_CAP,$B130&gt;CARROT_BED_CAP,AJ$4&gt;MESCLUN_BED_CAP,$A130+$B130+AJ$4&gt;TOTAL_BEDS_AVAILABLE,($D130+AJ$5)&gt;TOTAL_LABOR_HOURS_CAP,MAX(0,($D130+AJ$5)-PERMANENT_FIELD_LABOR_HOURS)&gt;TEMP_HOURS_CAP),"",$C130+AJ$6-MIN(($D130+AJ$5),PERMANENT_FIELD_LABOR_HOURS)*PERMANENT_HOURLY_RATE-MAX(0,($D130+AJ$5)-PERMANENT_FIELD_LABOR_HOURS)*TEMP_HOURLY_RATE-FIXED_SEASON_COST)</f>
        <v>29751.07445749</v>
      </c>
    </row>
    <row r="131" customFormat="false" ht="15" hidden="false" customHeight="false" outlineLevel="0" collapsed="false">
      <c r="A131" s="21" t="n">
        <f aca="false">INT((ROW()-ROW($A$8))/(20+1))</f>
        <v>5</v>
      </c>
      <c r="B131" s="21" t="n">
        <f aca="false">MOD(ROW()-ROW($A$8),20+1)</f>
        <v>18</v>
      </c>
      <c r="C131" s="13" t="n">
        <f aca="false">A131*(TOMATO_REVENUE_PER_BED-TOMATO_FERTILIZER_PER_BED)+B131*(CARROT_REVENUE_PER_BED-CARROT_FERTILIZER_PER_BED)</f>
        <v>69372</v>
      </c>
      <c r="D131" s="14" t="n">
        <f aca="false">INDEX(TOMATO_SCHED_LABOR_HRS,A131+1)+INDEX(CARROT_SCHED_LABOR_HRS,B131+1)</f>
        <v>1566.60832127849</v>
      </c>
      <c r="E131" s="13" t="n">
        <f aca="false">IF(COUNT(F131:AJ131)=0,"",MAX(F131:AJ131))</f>
        <v>30256.468837478</v>
      </c>
      <c r="F131" s="53" t="n">
        <f aca="false">IF(OR($A131&gt;TOMATO_BED_CAP,$B131&gt;CARROT_BED_CAP,F$4&gt;MESCLUN_BED_CAP,$A131+$B131+F$4&gt;TOTAL_BEDS_AVAILABLE,($D131+F$5)&gt;TOTAL_LABOR_HOURS_CAP,MAX(0,($D131+F$5)-PERMANENT_FIELD_LABOR_HOURS)&gt;TEMP_HOURS_CAP),"",$C131+F$6-MIN(($D131+F$5),PERMANENT_FIELD_LABOR_HOURS)*PERMANENT_HOURLY_RATE-MAX(0,($D131+F$5)-PERMANENT_FIELD_LABOR_HOURS)*TEMP_HOURLY_RATE-FIXED_SEASON_COST)</f>
        <v>9676.47954260547</v>
      </c>
      <c r="G131" s="53" t="n">
        <f aca="false">IF(OR($A131&gt;TOMATO_BED_CAP,$B131&gt;CARROT_BED_CAP,G$4&gt;MESCLUN_BED_CAP,$A131+$B131+G$4&gt;TOTAL_BEDS_AVAILABLE,($D131+G$5)&gt;TOTAL_LABOR_HOURS_CAP,MAX(0,($D131+G$5)-PERMANENT_FIELD_LABOR_HOURS)&gt;TEMP_HOURS_CAP),"",$C131+G$6-MIN(($D131+G$5),PERMANENT_FIELD_LABOR_HOURS)*PERMANENT_HOURLY_RATE-MAX(0,($D131+G$5)-PERMANENT_FIELD_LABOR_HOURS)*TEMP_HOURLY_RATE-FIXED_SEASON_COST)</f>
        <v>10705.5145426055</v>
      </c>
      <c r="H131" s="53" t="n">
        <f aca="false">IF(OR($A131&gt;TOMATO_BED_CAP,$B131&gt;CARROT_BED_CAP,H$4&gt;MESCLUN_BED_CAP,$A131+$B131+H$4&gt;TOTAL_BEDS_AVAILABLE,($D131+H$5)&gt;TOTAL_LABOR_HOURS_CAP,MAX(0,($D131+H$5)-PERMANENT_FIELD_LABOR_HOURS)&gt;TEMP_HOURS_CAP),"",$C131+H$6-MIN(($D131+H$5),PERMANENT_FIELD_LABOR_HOURS)*PERMANENT_HOURLY_RATE-MAX(0,($D131+H$5)-PERMANENT_FIELD_LABOR_HOURS)*TEMP_HOURLY_RATE-FIXED_SEASON_COST)</f>
        <v>11714.7754176055</v>
      </c>
      <c r="I131" s="53" t="n">
        <f aca="false">IF(OR($A131&gt;TOMATO_BED_CAP,$B131&gt;CARROT_BED_CAP,I$4&gt;MESCLUN_BED_CAP,$A131+$B131+I$4&gt;TOTAL_BEDS_AVAILABLE,($D131+I$5)&gt;TOTAL_LABOR_HOURS_CAP,MAX(0,($D131+I$5)-PERMANENT_FIELD_LABOR_HOURS)&gt;TEMP_HOURS_CAP),"",$C131+I$6-MIN(($D131+I$5),PERMANENT_FIELD_LABOR_HOURS)*PERMANENT_HOURLY_RATE-MAX(0,($D131+I$5)-PERMANENT_FIELD_LABOR_HOURS)*TEMP_HOURLY_RATE-FIXED_SEASON_COST)</f>
        <v>12703.8914027617</v>
      </c>
      <c r="J131" s="53" t="n">
        <f aca="false">IF(OR($A131&gt;TOMATO_BED_CAP,$B131&gt;CARROT_BED_CAP,J$4&gt;MESCLUN_BED_CAP,$A131+$B131+J$4&gt;TOTAL_BEDS_AVAILABLE,($D131+J$5)&gt;TOTAL_LABOR_HOURS_CAP,MAX(0,($D131+J$5)-PERMANENT_FIELD_LABOR_HOURS)&gt;TEMP_HOURS_CAP),"",$C131+J$6-MIN(($D131+J$5),PERMANENT_FIELD_LABOR_HOURS)*PERMANENT_HOURLY_RATE-MAX(0,($D131+J$5)-PERMANENT_FIELD_LABOR_HOURS)*TEMP_HOURLY_RATE-FIXED_SEASON_COST)</f>
        <v>13672.4855538164</v>
      </c>
      <c r="K131" s="53" t="n">
        <f aca="false">IF(OR($A131&gt;TOMATO_BED_CAP,$B131&gt;CARROT_BED_CAP,K$4&gt;MESCLUN_BED_CAP,$A131+$B131+K$4&gt;TOTAL_BEDS_AVAILABLE,($D131+K$5)&gt;TOTAL_LABOR_HOURS_CAP,MAX(0,($D131+K$5)-PERMANENT_FIELD_LABOR_HOURS)&gt;TEMP_HOURS_CAP),"",$C131+K$6-MIN(($D131+K$5),PERMANENT_FIELD_LABOR_HOURS)*PERMANENT_HOURLY_RATE-MAX(0,($D131+K$5)-PERMANENT_FIELD_LABOR_HOURS)*TEMP_HOURLY_RATE-FIXED_SEASON_COST)</f>
        <v>14620.1746505443</v>
      </c>
      <c r="L131" s="53" t="n">
        <f aca="false">IF(OR($A131&gt;TOMATO_BED_CAP,$B131&gt;CARROT_BED_CAP,L$4&gt;MESCLUN_BED_CAP,$A131+$B131+L$4&gt;TOTAL_BEDS_AVAILABLE,($D131+L$5)&gt;TOTAL_LABOR_HOURS_CAP,MAX(0,($D131+L$5)-PERMANENT_FIELD_LABOR_HOURS)&gt;TEMP_HOURS_CAP),"",$C131+L$6-MIN(($D131+L$5),PERMANENT_FIELD_LABOR_HOURS)*PERMANENT_HOURLY_RATE-MAX(0,($D131+L$5)-PERMANENT_FIELD_LABOR_HOURS)*TEMP_HOURLY_RATE-FIXED_SEASON_COST)</f>
        <v>15546.5690987512</v>
      </c>
      <c r="M131" s="53" t="n">
        <f aca="false">IF(OR($A131&gt;TOMATO_BED_CAP,$B131&gt;CARROT_BED_CAP,M$4&gt;MESCLUN_BED_CAP,$A131+$B131+M$4&gt;TOTAL_BEDS_AVAILABLE,($D131+M$5)&gt;TOTAL_LABOR_HOURS_CAP,MAX(0,($D131+M$5)-PERMANENT_FIELD_LABOR_HOURS)&gt;TEMP_HOURS_CAP),"",$C131+M$6-MIN(($D131+M$5),PERMANENT_FIELD_LABOR_HOURS)*PERMANENT_HOURLY_RATE-MAX(0,($D131+M$5)-PERMANENT_FIELD_LABOR_HOURS)*TEMP_HOURLY_RATE-FIXED_SEASON_COST)</f>
        <v>16451.2728308026</v>
      </c>
      <c r="N131" s="53" t="n">
        <f aca="false">IF(OR($A131&gt;TOMATO_BED_CAP,$B131&gt;CARROT_BED_CAP,N$4&gt;MESCLUN_BED_CAP,$A131+$B131+N$4&gt;TOTAL_BEDS_AVAILABLE,($D131+N$5)&gt;TOTAL_LABOR_HOURS_CAP,MAX(0,($D131+N$5)-PERMANENT_FIELD_LABOR_HOURS)&gt;TEMP_HOURS_CAP),"",$C131+N$6-MIN(($D131+N$5),PERMANENT_FIELD_LABOR_HOURS)*PERMANENT_HOURLY_RATE-MAX(0,($D131+N$5)-PERMANENT_FIELD_LABOR_HOURS)*TEMP_HOURLY_RATE-FIXED_SEASON_COST)</f>
        <v>17333.8832046621</v>
      </c>
      <c r="O131" s="53" t="n">
        <f aca="false">IF(OR($A131&gt;TOMATO_BED_CAP,$B131&gt;CARROT_BED_CAP,O$4&gt;MESCLUN_BED_CAP,$A131+$B131+O$4&gt;TOTAL_BEDS_AVAILABLE,($D131+O$5)&gt;TOTAL_LABOR_HOURS_CAP,MAX(0,($D131+O$5)-PERMANENT_FIELD_LABOR_HOURS)&gt;TEMP_HOURS_CAP),"",$C131+O$6-MIN(($D131+O$5),PERMANENT_FIELD_LABOR_HOURS)*PERMANENT_HOURLY_RATE-MAX(0,($D131+O$5)-PERMANENT_FIELD_LABOR_HOURS)*TEMP_HOURLY_RATE-FIXED_SEASON_COST)</f>
        <v>18193.9909014169</v>
      </c>
      <c r="P131" s="53" t="n">
        <f aca="false">IF(OR($A131&gt;TOMATO_BED_CAP,$B131&gt;CARROT_BED_CAP,P$4&gt;MESCLUN_BED_CAP,$A131+$B131+P$4&gt;TOTAL_BEDS_AVAILABLE,($D131+P$5)&gt;TOTAL_LABOR_HOURS_CAP,MAX(0,($D131+P$5)-PERMANENT_FIELD_LABOR_HOURS)&gt;TEMP_HOURS_CAP),"",$C131+P$6-MIN(($D131+P$5),PERMANENT_FIELD_LABOR_HOURS)*PERMANENT_HOURLY_RATE-MAX(0,($D131+P$5)-PERMANENT_FIELD_LABOR_HOURS)*TEMP_HOURLY_RATE-FIXED_SEASON_COST)</f>
        <v>19031.1798212683</v>
      </c>
      <c r="Q131" s="53" t="n">
        <f aca="false">IF(OR($A131&gt;TOMATO_BED_CAP,$B131&gt;CARROT_BED_CAP,Q$4&gt;MESCLUN_BED_CAP,$A131+$B131+Q$4&gt;TOTAL_BEDS_AVAILABLE,($D131+Q$5)&gt;TOTAL_LABOR_HOURS_CAP,MAX(0,($D131+Q$5)-PERMANENT_FIELD_LABOR_HOURS)&gt;TEMP_HOURS_CAP),"",$C131+Q$6-MIN(($D131+Q$5),PERMANENT_FIELD_LABOR_HOURS)*PERMANENT_HOURLY_RATE-MAX(0,($D131+Q$5)-PERMANENT_FIELD_LABOR_HOURS)*TEMP_HOURLY_RATE-FIXED_SEASON_COST)</f>
        <v>19845.0269779662</v>
      </c>
      <c r="R131" s="53" t="n">
        <f aca="false">IF(OR($A131&gt;TOMATO_BED_CAP,$B131&gt;CARROT_BED_CAP,R$4&gt;MESCLUN_BED_CAP,$A131+$B131+R$4&gt;TOTAL_BEDS_AVAILABLE,($D131+R$5)&gt;TOTAL_LABOR_HOURS_CAP,MAX(0,($D131+R$5)-PERMANENT_FIELD_LABOR_HOURS)&gt;TEMP_HOURS_CAP),"",$C131+R$6-MIN(($D131+R$5),PERMANENT_FIELD_LABOR_HOURS)*PERMANENT_HOURLY_RATE-MAX(0,($D131+R$5)-PERMANENT_FIELD_LABOR_HOURS)*TEMP_HOURLY_RATE-FIXED_SEASON_COST)</f>
        <v>20635.102391663</v>
      </c>
      <c r="S131" s="53" t="n">
        <f aca="false">IF(OR($A131&gt;TOMATO_BED_CAP,$B131&gt;CARROT_BED_CAP,S$4&gt;MESCLUN_BED_CAP,$A131+$B131+S$4&gt;TOTAL_BEDS_AVAILABLE,($D131+S$5)&gt;TOTAL_LABOR_HOURS_CAP,MAX(0,($D131+S$5)-PERMANENT_FIELD_LABOR_HOURS)&gt;TEMP_HOURS_CAP),"",$C131+S$6-MIN(($D131+S$5),PERMANENT_FIELD_LABOR_HOURS)*PERMANENT_HOURLY_RATE-MAX(0,($D131+S$5)-PERMANENT_FIELD_LABOR_HOURS)*TEMP_HOURLY_RATE-FIXED_SEASON_COST)</f>
        <v>21400.9689801654</v>
      </c>
      <c r="T131" s="53" t="n">
        <f aca="false">IF(OR($A131&gt;TOMATO_BED_CAP,$B131&gt;CARROT_BED_CAP,T$4&gt;MESCLUN_BED_CAP,$A131+$B131+T$4&gt;TOTAL_BEDS_AVAILABLE,($D131+T$5)&gt;TOTAL_LABOR_HOURS_CAP,MAX(0,($D131+T$5)-PERMANENT_FIELD_LABOR_HOURS)&gt;TEMP_HOURS_CAP),"",$C131+T$6-MIN(($D131+T$5),PERMANENT_FIELD_LABOR_HOURS)*PERMANENT_HOURLY_RATE-MAX(0,($D131+T$5)-PERMANENT_FIELD_LABOR_HOURS)*TEMP_HOURLY_RATE-FIXED_SEASON_COST)</f>
        <v>22142.1824485603</v>
      </c>
      <c r="U131" s="53" t="n">
        <f aca="false">IF(OR($A131&gt;TOMATO_BED_CAP,$B131&gt;CARROT_BED_CAP,U$4&gt;MESCLUN_BED_CAP,$A131+$B131+U$4&gt;TOTAL_BEDS_AVAILABLE,($D131+U$5)&gt;TOTAL_LABOR_HOURS_CAP,MAX(0,($D131+U$5)-PERMANENT_FIELD_LABOR_HOURS)&gt;TEMP_HOURS_CAP),"",$C131+U$6-MIN(($D131+U$5),PERMANENT_FIELD_LABOR_HOURS)*PERMANENT_HOURLY_RATE-MAX(0,($D131+U$5)-PERMANENT_FIELD_LABOR_HOURS)*TEMP_HOURLY_RATE-FIXED_SEASON_COST)</f>
        <v>22858.2911771904</v>
      </c>
      <c r="V131" s="53" t="n">
        <f aca="false">IF(OR($A131&gt;TOMATO_BED_CAP,$B131&gt;CARROT_BED_CAP,V$4&gt;MESCLUN_BED_CAP,$A131+$B131+V$4&gt;TOTAL_BEDS_AVAILABLE,($D131+V$5)&gt;TOTAL_LABOR_HOURS_CAP,MAX(0,($D131+V$5)-PERMANENT_FIELD_LABOR_HOURS)&gt;TEMP_HOURS_CAP),"",$C131+V$6-MIN(($D131+V$5),PERMANENT_FIELD_LABOR_HOURS)*PERMANENT_HOURLY_RATE-MAX(0,($D131+V$5)-PERMANENT_FIELD_LABOR_HOURS)*TEMP_HOURLY_RATE-FIXED_SEASON_COST)</f>
        <v>23548.8361079572</v>
      </c>
      <c r="W131" s="53" t="n">
        <f aca="false">IF(OR($A131&gt;TOMATO_BED_CAP,$B131&gt;CARROT_BED_CAP,W$4&gt;MESCLUN_BED_CAP,$A131+$B131+W$4&gt;TOTAL_BEDS_AVAILABLE,($D131+W$5)&gt;TOTAL_LABOR_HOURS_CAP,MAX(0,($D131+W$5)-PERMANENT_FIELD_LABOR_HOURS)&gt;TEMP_HOURS_CAP),"",$C131+W$6-MIN(($D131+W$5),PERMANENT_FIELD_LABOR_HOURS)*PERMANENT_HOURLY_RATE-MAX(0,($D131+W$5)-PERMANENT_FIELD_LABOR_HOURS)*TEMP_HOURLY_RATE-FIXED_SEASON_COST)</f>
        <v>24213.3506289252</v>
      </c>
      <c r="X131" s="53" t="n">
        <f aca="false">IF(OR($A131&gt;TOMATO_BED_CAP,$B131&gt;CARROT_BED_CAP,X$4&gt;MESCLUN_BED_CAP,$A131+$B131+X$4&gt;TOTAL_BEDS_AVAILABLE,($D131+X$5)&gt;TOTAL_LABOR_HOURS_CAP,MAX(0,($D131+X$5)-PERMANENT_FIELD_LABOR_HOURS)&gt;TEMP_HOURS_CAP),"",$C131+X$6-MIN(($D131+X$5),PERMANENT_FIELD_LABOR_HOURS)*PERMANENT_HOURLY_RATE-MAX(0,($D131+X$5)-PERMANENT_FIELD_LABOR_HOURS)*TEMP_HOURLY_RATE-FIXED_SEASON_COST)</f>
        <v>24851.3604572042</v>
      </c>
      <c r="Y131" s="53" t="n">
        <f aca="false">IF(OR($A131&gt;TOMATO_BED_CAP,$B131&gt;CARROT_BED_CAP,Y$4&gt;MESCLUN_BED_CAP,$A131+$B131+Y$4&gt;TOTAL_BEDS_AVAILABLE,($D131+Y$5)&gt;TOTAL_LABOR_HOURS_CAP,MAX(0,($D131+Y$5)-PERMANENT_FIELD_LABOR_HOURS)&gt;TEMP_HOURS_CAP),"",$C131+Y$6-MIN(($D131+Y$5),PERMANENT_FIELD_LABOR_HOURS)*PERMANENT_HOURLY_RATE-MAX(0,($D131+Y$5)-PERMANENT_FIELD_LABOR_HOURS)*TEMP_HOURLY_RATE-FIXED_SEASON_COST)</f>
        <v>25462.3835200828</v>
      </c>
      <c r="Z131" s="53" t="n">
        <f aca="false">IF(OR($A131&gt;TOMATO_BED_CAP,$B131&gt;CARROT_BED_CAP,Z$4&gt;MESCLUN_BED_CAP,$A131+$B131+Z$4&gt;TOTAL_BEDS_AVAILABLE,($D131+Z$5)&gt;TOTAL_LABOR_HOURS_CAP,MAX(0,($D131+Z$5)-PERMANENT_FIELD_LABOR_HOURS)&gt;TEMP_HOURS_CAP),"",$C131+Z$6-MIN(($D131+Z$5),PERMANENT_FIELD_LABOR_HOURS)*PERMANENT_HOURLY_RATE-MAX(0,($D131+Z$5)-PERMANENT_FIELD_LABOR_HOURS)*TEMP_HOURLY_RATE-FIXED_SEASON_COST)</f>
        <v>26045.9298343905</v>
      </c>
      <c r="AA131" s="53" t="n">
        <f aca="false">IF(OR($A131&gt;TOMATO_BED_CAP,$B131&gt;CARROT_BED_CAP,AA$4&gt;MESCLUN_BED_CAP,$A131+$B131+AA$4&gt;TOTAL_BEDS_AVAILABLE,($D131+AA$5)&gt;TOTAL_LABOR_HOURS_CAP,MAX(0,($D131+AA$5)-PERMANENT_FIELD_LABOR_HOURS)&gt;TEMP_HOURS_CAP),"",$C131+AA$6-MIN(($D131+AA$5),PERMANENT_FIELD_LABOR_HOURS)*PERMANENT_HOURLY_RATE-MAX(0,($D131+AA$5)-PERMANENT_FIELD_LABOR_HOURS)*TEMP_HOURLY_RATE-FIXED_SEASON_COST)</f>
        <v>26601.5013840595</v>
      </c>
      <c r="AB131" s="53" t="n">
        <f aca="false">IF(OR($A131&gt;TOMATO_BED_CAP,$B131&gt;CARROT_BED_CAP,AB$4&gt;MESCLUN_BED_CAP,$A131+$B131+AB$4&gt;TOTAL_BEDS_AVAILABLE,($D131+AB$5)&gt;TOTAL_LABOR_HOURS_CAP,MAX(0,($D131+AB$5)-PERMANENT_FIELD_LABOR_HOURS)&gt;TEMP_HOURS_CAP),"",$C131+AB$6-MIN(($D131+AB$5),PERMANENT_FIELD_LABOR_HOURS)*PERMANENT_HOURLY_RATE-MAX(0,($D131+AB$5)-PERMANENT_FIELD_LABOR_HOURS)*TEMP_HOURLY_RATE-FIXED_SEASON_COST)</f>
        <v>27128.5919958621</v>
      </c>
      <c r="AC131" s="53" t="n">
        <f aca="false">IF(OR($A131&gt;TOMATO_BED_CAP,$B131&gt;CARROT_BED_CAP,AC$4&gt;MESCLUN_BED_CAP,$A131+$B131+AC$4&gt;TOTAL_BEDS_AVAILABLE,($D131+AC$5)&gt;TOTAL_LABOR_HOURS_CAP,MAX(0,($D131+AC$5)-PERMANENT_FIELD_LABOR_HOURS)&gt;TEMP_HOURS_CAP),"",$C131+AC$6-MIN(($D131+AC$5),PERMANENT_FIELD_LABOR_HOURS)*PERMANENT_HOURLY_RATE-MAX(0,($D131+AC$5)-PERMANENT_FIELD_LABOR_HOURS)*TEMP_HOURLY_RATE-FIXED_SEASON_COST)</f>
        <v>27626.687213297</v>
      </c>
      <c r="AD131" s="53" t="n">
        <f aca="false">IF(OR($A131&gt;TOMATO_BED_CAP,$B131&gt;CARROT_BED_CAP,AD$4&gt;MESCLUN_BED_CAP,$A131+$B131+AD$4&gt;TOTAL_BEDS_AVAILABLE,($D131+AD$5)&gt;TOTAL_LABOR_HOURS_CAP,MAX(0,($D131+AD$5)-PERMANENT_FIELD_LABOR_HOURS)&gt;TEMP_HOURS_CAP),"",$C131+AD$6-MIN(($D131+AD$5),PERMANENT_FIELD_LABOR_HOURS)*PERMANENT_HOURLY_RATE-MAX(0,($D131+AD$5)-PERMANENT_FIELD_LABOR_HOURS)*TEMP_HOURLY_RATE-FIXED_SEASON_COST)</f>
        <v>28095.2641685969</v>
      </c>
      <c r="AE131" s="53" t="n">
        <f aca="false">IF(OR($A131&gt;TOMATO_BED_CAP,$B131&gt;CARROT_BED_CAP,AE$4&gt;MESCLUN_BED_CAP,$A131+$B131+AE$4&gt;TOTAL_BEDS_AVAILABLE,($D131+AE$5)&gt;TOTAL_LABOR_HOURS_CAP,MAX(0,($D131+AE$5)-PERMANENT_FIELD_LABOR_HOURS)&gt;TEMP_HOURS_CAP),"",$C131+AE$6-MIN(($D131+AE$5),PERMANENT_FIELD_LABOR_HOURS)*PERMANENT_HOURLY_RATE-MAX(0,($D131+AE$5)-PERMANENT_FIELD_LABOR_HOURS)*TEMP_HOURLY_RATE-FIXED_SEASON_COST)</f>
        <v>28533.7914528308</v>
      </c>
      <c r="AF131" s="53" t="n">
        <f aca="false">IF(OR($A131&gt;TOMATO_BED_CAP,$B131&gt;CARROT_BED_CAP,AF$4&gt;MESCLUN_BED_CAP,$A131+$B131+AF$4&gt;TOTAL_BEDS_AVAILABLE,($D131+AF$5)&gt;TOTAL_LABOR_HOURS_CAP,MAX(0,($D131+AF$5)-PERMANENT_FIELD_LABOR_HOURS)&gt;TEMP_HOURS_CAP),"",$C131+AF$6-MIN(($D131+AF$5),PERMANENT_FIELD_LABOR_HOURS)*PERMANENT_HOURLY_RATE-MAX(0,($D131+AF$5)-PERMANENT_FIELD_LABOR_HOURS)*TEMP_HOURLY_RATE-FIXED_SEASON_COST)</f>
        <v>28941.7289840728</v>
      </c>
      <c r="AG131" s="53" t="n">
        <f aca="false">IF(OR($A131&gt;TOMATO_BED_CAP,$B131&gt;CARROT_BED_CAP,AG$4&gt;MESCLUN_BED_CAP,$A131+$B131+AG$4&gt;TOTAL_BEDS_AVAILABLE,($D131+AG$5)&gt;TOTAL_LABOR_HOURS_CAP,MAX(0,($D131+AG$5)-PERMANENT_FIELD_LABOR_HOURS)&gt;TEMP_HOURS_CAP),"",$C131+AG$6-MIN(($D131+AG$5),PERMANENT_FIELD_LABOR_HOURS)*PERMANENT_HOURLY_RATE-MAX(0,($D131+AG$5)-PERMANENT_FIELD_LABOR_HOURS)*TEMP_HOURLY_RATE-FIXED_SEASON_COST)</f>
        <v>29318.5278736098</v>
      </c>
      <c r="AH131" s="53" t="n">
        <f aca="false">IF(OR($A131&gt;TOMATO_BED_CAP,$B131&gt;CARROT_BED_CAP,AH$4&gt;MESCLUN_BED_CAP,$A131+$B131+AH$4&gt;TOTAL_BEDS_AVAILABLE,($D131+AH$5)&gt;TOTAL_LABOR_HOURS_CAP,MAX(0,($D131+AH$5)-PERMANENT_FIELD_LABOR_HOURS)&gt;TEMP_HOURS_CAP),"",$C131+AH$6-MIN(($D131+AH$5),PERMANENT_FIELD_LABOR_HOURS)*PERMANENT_HOURLY_RATE-MAX(0,($D131+AH$5)-PERMANENT_FIELD_LABOR_HOURS)*TEMP_HOURLY_RATE-FIXED_SEASON_COST)</f>
        <v>29663.63029016</v>
      </c>
      <c r="AI131" s="53" t="n">
        <f aca="false">IF(OR($A131&gt;TOMATO_BED_CAP,$B131&gt;CARROT_BED_CAP,AI$4&gt;MESCLUN_BED_CAP,$A131+$B131+AI$4&gt;TOTAL_BEDS_AVAILABLE,($D131+AI$5)&gt;TOTAL_LABOR_HOURS_CAP,MAX(0,($D131+AI$5)-PERMANENT_FIELD_LABOR_HOURS)&gt;TEMP_HOURS_CAP),"",$C131+AI$6-MIN(($D131+AI$5),PERMANENT_FIELD_LABOR_HOURS)*PERMANENT_HOURLY_RATE-MAX(0,($D131+AI$5)-PERMANENT_FIELD_LABOR_HOURS)*TEMP_HOURLY_RATE-FIXED_SEASON_COST)</f>
        <v>29976.4693220722</v>
      </c>
      <c r="AJ131" s="53" t="n">
        <f aca="false">IF(OR($A131&gt;TOMATO_BED_CAP,$B131&gt;CARROT_BED_CAP,AJ$4&gt;MESCLUN_BED_CAP,$A131+$B131+AJ$4&gt;TOTAL_BEDS_AVAILABLE,($D131+AJ$5)&gt;TOTAL_LABOR_HOURS_CAP,MAX(0,($D131+AJ$5)-PERMANENT_FIELD_LABOR_HOURS)&gt;TEMP_HOURS_CAP),"",$C131+AJ$6-MIN(($D131+AJ$5),PERMANENT_FIELD_LABOR_HOURS)*PERMANENT_HOURLY_RATE-MAX(0,($D131+AJ$5)-PERMANENT_FIELD_LABOR_HOURS)*TEMP_HOURLY_RATE-FIXED_SEASON_COST)</f>
        <v>30256.468837478</v>
      </c>
    </row>
    <row r="132" customFormat="false" ht="15" hidden="false" customHeight="false" outlineLevel="0" collapsed="false">
      <c r="A132" s="21" t="n">
        <f aca="false">INT((ROW()-ROW($A$8))/(20+1))</f>
        <v>5</v>
      </c>
      <c r="B132" s="21" t="n">
        <f aca="false">MOD(ROW()-ROW($A$8),20+1)</f>
        <v>19</v>
      </c>
      <c r="C132" s="13" t="n">
        <f aca="false">A132*(TOMATO_REVENUE_PER_BED-TOMATO_FERTILIZER_PER_BED)+B132*(CARROT_REVENUE_PER_BED-CARROT_FERTILIZER_PER_BED)</f>
        <v>71026</v>
      </c>
      <c r="D132" s="14" t="n">
        <f aca="false">INDEX(TOMATO_SCHED_LABOR_HRS,A132+1)+INDEX(CARROT_SCHED_LABOR_HRS,B132+1)</f>
        <v>1635.5956135777</v>
      </c>
      <c r="E132" s="13" t="n">
        <f aca="false">IF(COUNT(F132:AJ132)=0,"",MAX(F132:AJ132))</f>
        <v>30712.8494431637</v>
      </c>
      <c r="F132" s="53" t="n">
        <f aca="false">IF(OR($A132&gt;TOMATO_BED_CAP,$B132&gt;CARROT_BED_CAP,F$4&gt;MESCLUN_BED_CAP,$A132+$B132+F$4&gt;TOTAL_BEDS_AVAILABLE,($D132+F$5)&gt;TOTAL_LABOR_HOURS_CAP,MAX(0,($D132+F$5)-PERMANENT_FIELD_LABOR_HOURS)&gt;TEMP_HOURS_CAP),"",$C132+F$6-MIN(($D132+F$5),PERMANENT_FIELD_LABOR_HOURS)*PERMANENT_HOURLY_RATE-MAX(0,($D132+F$5)-PERMANENT_FIELD_LABOR_HOURS)*TEMP_HOURLY_RATE-FIXED_SEASON_COST)</f>
        <v>10132.8601482912</v>
      </c>
      <c r="G132" s="53" t="n">
        <f aca="false">IF(OR($A132&gt;TOMATO_BED_CAP,$B132&gt;CARROT_BED_CAP,G$4&gt;MESCLUN_BED_CAP,$A132+$B132+G$4&gt;TOTAL_BEDS_AVAILABLE,($D132+G$5)&gt;TOTAL_LABOR_HOURS_CAP,MAX(0,($D132+G$5)-PERMANENT_FIELD_LABOR_HOURS)&gt;TEMP_HOURS_CAP),"",$C132+G$6-MIN(($D132+G$5),PERMANENT_FIELD_LABOR_HOURS)*PERMANENT_HOURLY_RATE-MAX(0,($D132+G$5)-PERMANENT_FIELD_LABOR_HOURS)*TEMP_HOURLY_RATE-FIXED_SEASON_COST)</f>
        <v>11161.8951482912</v>
      </c>
      <c r="H132" s="53" t="n">
        <f aca="false">IF(OR($A132&gt;TOMATO_BED_CAP,$B132&gt;CARROT_BED_CAP,H$4&gt;MESCLUN_BED_CAP,$A132+$B132+H$4&gt;TOTAL_BEDS_AVAILABLE,($D132+H$5)&gt;TOTAL_LABOR_HOURS_CAP,MAX(0,($D132+H$5)-PERMANENT_FIELD_LABOR_HOURS)&gt;TEMP_HOURS_CAP),"",$C132+H$6-MIN(($D132+H$5),PERMANENT_FIELD_LABOR_HOURS)*PERMANENT_HOURLY_RATE-MAX(0,($D132+H$5)-PERMANENT_FIELD_LABOR_HOURS)*TEMP_HOURLY_RATE-FIXED_SEASON_COST)</f>
        <v>12171.1560232912</v>
      </c>
      <c r="I132" s="53" t="n">
        <f aca="false">IF(OR($A132&gt;TOMATO_BED_CAP,$B132&gt;CARROT_BED_CAP,I$4&gt;MESCLUN_BED_CAP,$A132+$B132+I$4&gt;TOTAL_BEDS_AVAILABLE,($D132+I$5)&gt;TOTAL_LABOR_HOURS_CAP,MAX(0,($D132+I$5)-PERMANENT_FIELD_LABOR_HOURS)&gt;TEMP_HOURS_CAP),"",$C132+I$6-MIN(($D132+I$5),PERMANENT_FIELD_LABOR_HOURS)*PERMANENT_HOURLY_RATE-MAX(0,($D132+I$5)-PERMANENT_FIELD_LABOR_HOURS)*TEMP_HOURLY_RATE-FIXED_SEASON_COST)</f>
        <v>13160.2720084474</v>
      </c>
      <c r="J132" s="53" t="n">
        <f aca="false">IF(OR($A132&gt;TOMATO_BED_CAP,$B132&gt;CARROT_BED_CAP,J$4&gt;MESCLUN_BED_CAP,$A132+$B132+J$4&gt;TOTAL_BEDS_AVAILABLE,($D132+J$5)&gt;TOTAL_LABOR_HOURS_CAP,MAX(0,($D132+J$5)-PERMANENT_FIELD_LABOR_HOURS)&gt;TEMP_HOURS_CAP),"",$C132+J$6-MIN(($D132+J$5),PERMANENT_FIELD_LABOR_HOURS)*PERMANENT_HOURLY_RATE-MAX(0,($D132+J$5)-PERMANENT_FIELD_LABOR_HOURS)*TEMP_HOURLY_RATE-FIXED_SEASON_COST)</f>
        <v>14128.8661595021</v>
      </c>
      <c r="K132" s="53" t="n">
        <f aca="false">IF(OR($A132&gt;TOMATO_BED_CAP,$B132&gt;CARROT_BED_CAP,K$4&gt;MESCLUN_BED_CAP,$A132+$B132+K$4&gt;TOTAL_BEDS_AVAILABLE,($D132+K$5)&gt;TOTAL_LABOR_HOURS_CAP,MAX(0,($D132+K$5)-PERMANENT_FIELD_LABOR_HOURS)&gt;TEMP_HOURS_CAP),"",$C132+K$6-MIN(($D132+K$5),PERMANENT_FIELD_LABOR_HOURS)*PERMANENT_HOURLY_RATE-MAX(0,($D132+K$5)-PERMANENT_FIELD_LABOR_HOURS)*TEMP_HOURLY_RATE-FIXED_SEASON_COST)</f>
        <v>15076.55525623</v>
      </c>
      <c r="L132" s="53" t="n">
        <f aca="false">IF(OR($A132&gt;TOMATO_BED_CAP,$B132&gt;CARROT_BED_CAP,L$4&gt;MESCLUN_BED_CAP,$A132+$B132+L$4&gt;TOTAL_BEDS_AVAILABLE,($D132+L$5)&gt;TOTAL_LABOR_HOURS_CAP,MAX(0,($D132+L$5)-PERMANENT_FIELD_LABOR_HOURS)&gt;TEMP_HOURS_CAP),"",$C132+L$6-MIN(($D132+L$5),PERMANENT_FIELD_LABOR_HOURS)*PERMANENT_HOURLY_RATE-MAX(0,($D132+L$5)-PERMANENT_FIELD_LABOR_HOURS)*TEMP_HOURLY_RATE-FIXED_SEASON_COST)</f>
        <v>16002.9497044369</v>
      </c>
      <c r="M132" s="53" t="n">
        <f aca="false">IF(OR($A132&gt;TOMATO_BED_CAP,$B132&gt;CARROT_BED_CAP,M$4&gt;MESCLUN_BED_CAP,$A132+$B132+M$4&gt;TOTAL_BEDS_AVAILABLE,($D132+M$5)&gt;TOTAL_LABOR_HOURS_CAP,MAX(0,($D132+M$5)-PERMANENT_FIELD_LABOR_HOURS)&gt;TEMP_HOURS_CAP),"",$C132+M$6-MIN(($D132+M$5),PERMANENT_FIELD_LABOR_HOURS)*PERMANENT_HOURLY_RATE-MAX(0,($D132+M$5)-PERMANENT_FIELD_LABOR_HOURS)*TEMP_HOURLY_RATE-FIXED_SEASON_COST)</f>
        <v>16907.6534364883</v>
      </c>
      <c r="N132" s="53" t="n">
        <f aca="false">IF(OR($A132&gt;TOMATO_BED_CAP,$B132&gt;CARROT_BED_CAP,N$4&gt;MESCLUN_BED_CAP,$A132+$B132+N$4&gt;TOTAL_BEDS_AVAILABLE,($D132+N$5)&gt;TOTAL_LABOR_HOURS_CAP,MAX(0,($D132+N$5)-PERMANENT_FIELD_LABOR_HOURS)&gt;TEMP_HOURS_CAP),"",$C132+N$6-MIN(($D132+N$5),PERMANENT_FIELD_LABOR_HOURS)*PERMANENT_HOURLY_RATE-MAX(0,($D132+N$5)-PERMANENT_FIELD_LABOR_HOURS)*TEMP_HOURLY_RATE-FIXED_SEASON_COST)</f>
        <v>17790.2638103478</v>
      </c>
      <c r="O132" s="53" t="n">
        <f aca="false">IF(OR($A132&gt;TOMATO_BED_CAP,$B132&gt;CARROT_BED_CAP,O$4&gt;MESCLUN_BED_CAP,$A132+$B132+O$4&gt;TOTAL_BEDS_AVAILABLE,($D132+O$5)&gt;TOTAL_LABOR_HOURS_CAP,MAX(0,($D132+O$5)-PERMANENT_FIELD_LABOR_HOURS)&gt;TEMP_HOURS_CAP),"",$C132+O$6-MIN(($D132+O$5),PERMANENT_FIELD_LABOR_HOURS)*PERMANENT_HOURLY_RATE-MAX(0,($D132+O$5)-PERMANENT_FIELD_LABOR_HOURS)*TEMP_HOURLY_RATE-FIXED_SEASON_COST)</f>
        <v>18650.3715071026</v>
      </c>
      <c r="P132" s="53" t="n">
        <f aca="false">IF(OR($A132&gt;TOMATO_BED_CAP,$B132&gt;CARROT_BED_CAP,P$4&gt;MESCLUN_BED_CAP,$A132+$B132+P$4&gt;TOTAL_BEDS_AVAILABLE,($D132+P$5)&gt;TOTAL_LABOR_HOURS_CAP,MAX(0,($D132+P$5)-PERMANENT_FIELD_LABOR_HOURS)&gt;TEMP_HOURS_CAP),"",$C132+P$6-MIN(($D132+P$5),PERMANENT_FIELD_LABOR_HOURS)*PERMANENT_HOURLY_RATE-MAX(0,($D132+P$5)-PERMANENT_FIELD_LABOR_HOURS)*TEMP_HOURLY_RATE-FIXED_SEASON_COST)</f>
        <v>19487.560426954</v>
      </c>
      <c r="Q132" s="53" t="n">
        <f aca="false">IF(OR($A132&gt;TOMATO_BED_CAP,$B132&gt;CARROT_BED_CAP,Q$4&gt;MESCLUN_BED_CAP,$A132+$B132+Q$4&gt;TOTAL_BEDS_AVAILABLE,($D132+Q$5)&gt;TOTAL_LABOR_HOURS_CAP,MAX(0,($D132+Q$5)-PERMANENT_FIELD_LABOR_HOURS)&gt;TEMP_HOURS_CAP),"",$C132+Q$6-MIN(($D132+Q$5),PERMANENT_FIELD_LABOR_HOURS)*PERMANENT_HOURLY_RATE-MAX(0,($D132+Q$5)-PERMANENT_FIELD_LABOR_HOURS)*TEMP_HOURLY_RATE-FIXED_SEASON_COST)</f>
        <v>20301.4075836519</v>
      </c>
      <c r="R132" s="53" t="n">
        <f aca="false">IF(OR($A132&gt;TOMATO_BED_CAP,$B132&gt;CARROT_BED_CAP,R$4&gt;MESCLUN_BED_CAP,$A132+$B132+R$4&gt;TOTAL_BEDS_AVAILABLE,($D132+R$5)&gt;TOTAL_LABOR_HOURS_CAP,MAX(0,($D132+R$5)-PERMANENT_FIELD_LABOR_HOURS)&gt;TEMP_HOURS_CAP),"",$C132+R$6-MIN(($D132+R$5),PERMANENT_FIELD_LABOR_HOURS)*PERMANENT_HOURLY_RATE-MAX(0,($D132+R$5)-PERMANENT_FIELD_LABOR_HOURS)*TEMP_HOURLY_RATE-FIXED_SEASON_COST)</f>
        <v>21091.4829973487</v>
      </c>
      <c r="S132" s="53" t="n">
        <f aca="false">IF(OR($A132&gt;TOMATO_BED_CAP,$B132&gt;CARROT_BED_CAP,S$4&gt;MESCLUN_BED_CAP,$A132+$B132+S$4&gt;TOTAL_BEDS_AVAILABLE,($D132+S$5)&gt;TOTAL_LABOR_HOURS_CAP,MAX(0,($D132+S$5)-PERMANENT_FIELD_LABOR_HOURS)&gt;TEMP_HOURS_CAP),"",$C132+S$6-MIN(($D132+S$5),PERMANENT_FIELD_LABOR_HOURS)*PERMANENT_HOURLY_RATE-MAX(0,($D132+S$5)-PERMANENT_FIELD_LABOR_HOURS)*TEMP_HOURLY_RATE-FIXED_SEASON_COST)</f>
        <v>21857.3495858512</v>
      </c>
      <c r="T132" s="53" t="n">
        <f aca="false">IF(OR($A132&gt;TOMATO_BED_CAP,$B132&gt;CARROT_BED_CAP,T$4&gt;MESCLUN_BED_CAP,$A132+$B132+T$4&gt;TOTAL_BEDS_AVAILABLE,($D132+T$5)&gt;TOTAL_LABOR_HOURS_CAP,MAX(0,($D132+T$5)-PERMANENT_FIELD_LABOR_HOURS)&gt;TEMP_HOURS_CAP),"",$C132+T$6-MIN(($D132+T$5),PERMANENT_FIELD_LABOR_HOURS)*PERMANENT_HOURLY_RATE-MAX(0,($D132+T$5)-PERMANENT_FIELD_LABOR_HOURS)*TEMP_HOURLY_RATE-FIXED_SEASON_COST)</f>
        <v>22598.563054246</v>
      </c>
      <c r="U132" s="53" t="n">
        <f aca="false">IF(OR($A132&gt;TOMATO_BED_CAP,$B132&gt;CARROT_BED_CAP,U$4&gt;MESCLUN_BED_CAP,$A132+$B132+U$4&gt;TOTAL_BEDS_AVAILABLE,($D132+U$5)&gt;TOTAL_LABOR_HOURS_CAP,MAX(0,($D132+U$5)-PERMANENT_FIELD_LABOR_HOURS)&gt;TEMP_HOURS_CAP),"",$C132+U$6-MIN(($D132+U$5),PERMANENT_FIELD_LABOR_HOURS)*PERMANENT_HOURLY_RATE-MAX(0,($D132+U$5)-PERMANENT_FIELD_LABOR_HOURS)*TEMP_HOURLY_RATE-FIXED_SEASON_COST)</f>
        <v>23314.6717828761</v>
      </c>
      <c r="V132" s="53" t="n">
        <f aca="false">IF(OR($A132&gt;TOMATO_BED_CAP,$B132&gt;CARROT_BED_CAP,V$4&gt;MESCLUN_BED_CAP,$A132+$B132+V$4&gt;TOTAL_BEDS_AVAILABLE,($D132+V$5)&gt;TOTAL_LABOR_HOURS_CAP,MAX(0,($D132+V$5)-PERMANENT_FIELD_LABOR_HOURS)&gt;TEMP_HOURS_CAP),"",$C132+V$6-MIN(($D132+V$5),PERMANENT_FIELD_LABOR_HOURS)*PERMANENT_HOURLY_RATE-MAX(0,($D132+V$5)-PERMANENT_FIELD_LABOR_HOURS)*TEMP_HOURLY_RATE-FIXED_SEASON_COST)</f>
        <v>24005.2167136429</v>
      </c>
      <c r="W132" s="53" t="n">
        <f aca="false">IF(OR($A132&gt;TOMATO_BED_CAP,$B132&gt;CARROT_BED_CAP,W$4&gt;MESCLUN_BED_CAP,$A132+$B132+W$4&gt;TOTAL_BEDS_AVAILABLE,($D132+W$5)&gt;TOTAL_LABOR_HOURS_CAP,MAX(0,($D132+W$5)-PERMANENT_FIELD_LABOR_HOURS)&gt;TEMP_HOURS_CAP),"",$C132+W$6-MIN(($D132+W$5),PERMANENT_FIELD_LABOR_HOURS)*PERMANENT_HOURLY_RATE-MAX(0,($D132+W$5)-PERMANENT_FIELD_LABOR_HOURS)*TEMP_HOURLY_RATE-FIXED_SEASON_COST)</f>
        <v>24669.731234611</v>
      </c>
      <c r="X132" s="53" t="n">
        <f aca="false">IF(OR($A132&gt;TOMATO_BED_CAP,$B132&gt;CARROT_BED_CAP,X$4&gt;MESCLUN_BED_CAP,$A132+$B132+X$4&gt;TOTAL_BEDS_AVAILABLE,($D132+X$5)&gt;TOTAL_LABOR_HOURS_CAP,MAX(0,($D132+X$5)-PERMANENT_FIELD_LABOR_HOURS)&gt;TEMP_HOURS_CAP),"",$C132+X$6-MIN(($D132+X$5),PERMANENT_FIELD_LABOR_HOURS)*PERMANENT_HOURLY_RATE-MAX(0,($D132+X$5)-PERMANENT_FIELD_LABOR_HOURS)*TEMP_HOURLY_RATE-FIXED_SEASON_COST)</f>
        <v>25307.7410628899</v>
      </c>
      <c r="Y132" s="53" t="n">
        <f aca="false">IF(OR($A132&gt;TOMATO_BED_CAP,$B132&gt;CARROT_BED_CAP,Y$4&gt;MESCLUN_BED_CAP,$A132+$B132+Y$4&gt;TOTAL_BEDS_AVAILABLE,($D132+Y$5)&gt;TOTAL_LABOR_HOURS_CAP,MAX(0,($D132+Y$5)-PERMANENT_FIELD_LABOR_HOURS)&gt;TEMP_HOURS_CAP),"",$C132+Y$6-MIN(($D132+Y$5),PERMANENT_FIELD_LABOR_HOURS)*PERMANENT_HOURLY_RATE-MAX(0,($D132+Y$5)-PERMANENT_FIELD_LABOR_HOURS)*TEMP_HOURLY_RATE-FIXED_SEASON_COST)</f>
        <v>25918.7641257686</v>
      </c>
      <c r="Z132" s="53" t="n">
        <f aca="false">IF(OR($A132&gt;TOMATO_BED_CAP,$B132&gt;CARROT_BED_CAP,Z$4&gt;MESCLUN_BED_CAP,$A132+$B132+Z$4&gt;TOTAL_BEDS_AVAILABLE,($D132+Z$5)&gt;TOTAL_LABOR_HOURS_CAP,MAX(0,($D132+Z$5)-PERMANENT_FIELD_LABOR_HOURS)&gt;TEMP_HOURS_CAP),"",$C132+Z$6-MIN(($D132+Z$5),PERMANENT_FIELD_LABOR_HOURS)*PERMANENT_HOURLY_RATE-MAX(0,($D132+Z$5)-PERMANENT_FIELD_LABOR_HOURS)*TEMP_HOURLY_RATE-FIXED_SEASON_COST)</f>
        <v>26502.3104400763</v>
      </c>
      <c r="AA132" s="53" t="n">
        <f aca="false">IF(OR($A132&gt;TOMATO_BED_CAP,$B132&gt;CARROT_BED_CAP,AA$4&gt;MESCLUN_BED_CAP,$A132+$B132+AA$4&gt;TOTAL_BEDS_AVAILABLE,($D132+AA$5)&gt;TOTAL_LABOR_HOURS_CAP,MAX(0,($D132+AA$5)-PERMANENT_FIELD_LABOR_HOURS)&gt;TEMP_HOURS_CAP),"",$C132+AA$6-MIN(($D132+AA$5),PERMANENT_FIELD_LABOR_HOURS)*PERMANENT_HOURLY_RATE-MAX(0,($D132+AA$5)-PERMANENT_FIELD_LABOR_HOURS)*TEMP_HOURLY_RATE-FIXED_SEASON_COST)</f>
        <v>27057.8819897452</v>
      </c>
      <c r="AB132" s="53" t="n">
        <f aca="false">IF(OR($A132&gt;TOMATO_BED_CAP,$B132&gt;CARROT_BED_CAP,AB$4&gt;MESCLUN_BED_CAP,$A132+$B132+AB$4&gt;TOTAL_BEDS_AVAILABLE,($D132+AB$5)&gt;TOTAL_LABOR_HOURS_CAP,MAX(0,($D132+AB$5)-PERMANENT_FIELD_LABOR_HOURS)&gt;TEMP_HOURS_CAP),"",$C132+AB$6-MIN(($D132+AB$5),PERMANENT_FIELD_LABOR_HOURS)*PERMANENT_HOURLY_RATE-MAX(0,($D132+AB$5)-PERMANENT_FIELD_LABOR_HOURS)*TEMP_HOURLY_RATE-FIXED_SEASON_COST)</f>
        <v>27584.9726015478</v>
      </c>
      <c r="AC132" s="53" t="n">
        <f aca="false">IF(OR($A132&gt;TOMATO_BED_CAP,$B132&gt;CARROT_BED_CAP,AC$4&gt;MESCLUN_BED_CAP,$A132+$B132+AC$4&gt;TOTAL_BEDS_AVAILABLE,($D132+AC$5)&gt;TOTAL_LABOR_HOURS_CAP,MAX(0,($D132+AC$5)-PERMANENT_FIELD_LABOR_HOURS)&gt;TEMP_HOURS_CAP),"",$C132+AC$6-MIN(($D132+AC$5),PERMANENT_FIELD_LABOR_HOURS)*PERMANENT_HOURLY_RATE-MAX(0,($D132+AC$5)-PERMANENT_FIELD_LABOR_HOURS)*TEMP_HOURLY_RATE-FIXED_SEASON_COST)</f>
        <v>28083.0678189827</v>
      </c>
      <c r="AD132" s="53" t="n">
        <f aca="false">IF(OR($A132&gt;TOMATO_BED_CAP,$B132&gt;CARROT_BED_CAP,AD$4&gt;MESCLUN_BED_CAP,$A132+$B132+AD$4&gt;TOTAL_BEDS_AVAILABLE,($D132+AD$5)&gt;TOTAL_LABOR_HOURS_CAP,MAX(0,($D132+AD$5)-PERMANENT_FIELD_LABOR_HOURS)&gt;TEMP_HOURS_CAP),"",$C132+AD$6-MIN(($D132+AD$5),PERMANENT_FIELD_LABOR_HOURS)*PERMANENT_HOURLY_RATE-MAX(0,($D132+AD$5)-PERMANENT_FIELD_LABOR_HOURS)*TEMP_HOURLY_RATE-FIXED_SEASON_COST)</f>
        <v>28551.6447742826</v>
      </c>
      <c r="AE132" s="53" t="n">
        <f aca="false">IF(OR($A132&gt;TOMATO_BED_CAP,$B132&gt;CARROT_BED_CAP,AE$4&gt;MESCLUN_BED_CAP,$A132+$B132+AE$4&gt;TOTAL_BEDS_AVAILABLE,($D132+AE$5)&gt;TOTAL_LABOR_HOURS_CAP,MAX(0,($D132+AE$5)-PERMANENT_FIELD_LABOR_HOURS)&gt;TEMP_HOURS_CAP),"",$C132+AE$6-MIN(($D132+AE$5),PERMANENT_FIELD_LABOR_HOURS)*PERMANENT_HOURLY_RATE-MAX(0,($D132+AE$5)-PERMANENT_FIELD_LABOR_HOURS)*TEMP_HOURLY_RATE-FIXED_SEASON_COST)</f>
        <v>28990.1720585165</v>
      </c>
      <c r="AF132" s="53" t="n">
        <f aca="false">IF(OR($A132&gt;TOMATO_BED_CAP,$B132&gt;CARROT_BED_CAP,AF$4&gt;MESCLUN_BED_CAP,$A132+$B132+AF$4&gt;TOTAL_BEDS_AVAILABLE,($D132+AF$5)&gt;TOTAL_LABOR_HOURS_CAP,MAX(0,($D132+AF$5)-PERMANENT_FIELD_LABOR_HOURS)&gt;TEMP_HOURS_CAP),"",$C132+AF$6-MIN(($D132+AF$5),PERMANENT_FIELD_LABOR_HOURS)*PERMANENT_HOURLY_RATE-MAX(0,($D132+AF$5)-PERMANENT_FIELD_LABOR_HOURS)*TEMP_HOURLY_RATE-FIXED_SEASON_COST)</f>
        <v>29398.1095897585</v>
      </c>
      <c r="AG132" s="53" t="n">
        <f aca="false">IF(OR($A132&gt;TOMATO_BED_CAP,$B132&gt;CARROT_BED_CAP,AG$4&gt;MESCLUN_BED_CAP,$A132+$B132+AG$4&gt;TOTAL_BEDS_AVAILABLE,($D132+AG$5)&gt;TOTAL_LABOR_HOURS_CAP,MAX(0,($D132+AG$5)-PERMANENT_FIELD_LABOR_HOURS)&gt;TEMP_HOURS_CAP),"",$C132+AG$6-MIN(($D132+AG$5),PERMANENT_FIELD_LABOR_HOURS)*PERMANENT_HOURLY_RATE-MAX(0,($D132+AG$5)-PERMANENT_FIELD_LABOR_HOURS)*TEMP_HOURLY_RATE-FIXED_SEASON_COST)</f>
        <v>29774.9084792955</v>
      </c>
      <c r="AH132" s="53" t="n">
        <f aca="false">IF(OR($A132&gt;TOMATO_BED_CAP,$B132&gt;CARROT_BED_CAP,AH$4&gt;MESCLUN_BED_CAP,$A132+$B132+AH$4&gt;TOTAL_BEDS_AVAILABLE,($D132+AH$5)&gt;TOTAL_LABOR_HOURS_CAP,MAX(0,($D132+AH$5)-PERMANENT_FIELD_LABOR_HOURS)&gt;TEMP_HOURS_CAP),"",$C132+AH$6-MIN(($D132+AH$5),PERMANENT_FIELD_LABOR_HOURS)*PERMANENT_HOURLY_RATE-MAX(0,($D132+AH$5)-PERMANENT_FIELD_LABOR_HOURS)*TEMP_HOURLY_RATE-FIXED_SEASON_COST)</f>
        <v>30120.0108958457</v>
      </c>
      <c r="AI132" s="53" t="n">
        <f aca="false">IF(OR($A132&gt;TOMATO_BED_CAP,$B132&gt;CARROT_BED_CAP,AI$4&gt;MESCLUN_BED_CAP,$A132+$B132+AI$4&gt;TOTAL_BEDS_AVAILABLE,($D132+AI$5)&gt;TOTAL_LABOR_HOURS_CAP,MAX(0,($D132+AI$5)-PERMANENT_FIELD_LABOR_HOURS)&gt;TEMP_HOURS_CAP),"",$C132+AI$6-MIN(($D132+AI$5),PERMANENT_FIELD_LABOR_HOURS)*PERMANENT_HOURLY_RATE-MAX(0,($D132+AI$5)-PERMANENT_FIELD_LABOR_HOURS)*TEMP_HOURLY_RATE-FIXED_SEASON_COST)</f>
        <v>30432.849927758</v>
      </c>
      <c r="AJ132" s="53" t="n">
        <f aca="false">IF(OR($A132&gt;TOMATO_BED_CAP,$B132&gt;CARROT_BED_CAP,AJ$4&gt;MESCLUN_BED_CAP,$A132+$B132+AJ$4&gt;TOTAL_BEDS_AVAILABLE,($D132+AJ$5)&gt;TOTAL_LABOR_HOURS_CAP,MAX(0,($D132+AJ$5)-PERMANENT_FIELD_LABOR_HOURS)&gt;TEMP_HOURS_CAP),"",$C132+AJ$6-MIN(($D132+AJ$5),PERMANENT_FIELD_LABOR_HOURS)*PERMANENT_HOURLY_RATE-MAX(0,($D132+AJ$5)-PERMANENT_FIELD_LABOR_HOURS)*TEMP_HOURLY_RATE-FIXED_SEASON_COST)</f>
        <v>30712.8494431637</v>
      </c>
    </row>
    <row r="133" customFormat="false" ht="15" hidden="false" customHeight="false" outlineLevel="0" collapsed="false">
      <c r="A133" s="21" t="n">
        <f aca="false">INT((ROW()-ROW($A$8))/(20+1))</f>
        <v>5</v>
      </c>
      <c r="B133" s="21" t="n">
        <f aca="false">MOD(ROW()-ROW($A$8),20+1)</f>
        <v>20</v>
      </c>
      <c r="C133" s="13" t="n">
        <f aca="false">A133*(TOMATO_REVENUE_PER_BED-TOMATO_FERTILIZER_PER_BED)+B133*(CARROT_REVENUE_PER_BED-CARROT_FERTILIZER_PER_BED)</f>
        <v>72680</v>
      </c>
      <c r="D133" s="14" t="n">
        <f aca="false">INDEX(TOMATO_SCHED_LABOR_HRS,A133+1)+INDEX(CARROT_SCHED_LABOR_HRS,B133+1)</f>
        <v>1707.50609622857</v>
      </c>
      <c r="E133" s="13" t="n">
        <f aca="false">IF(COUNT(F133:AJ133)=0,"",MAX(F133:AJ133))</f>
        <v>31118.4834643446</v>
      </c>
      <c r="F133" s="53" t="n">
        <f aca="false">IF(OR($A133&gt;TOMATO_BED_CAP,$B133&gt;CARROT_BED_CAP,F$4&gt;MESCLUN_BED_CAP,$A133+$B133+F$4&gt;TOTAL_BEDS_AVAILABLE,($D133+F$5)&gt;TOTAL_LABOR_HOURS_CAP,MAX(0,($D133+F$5)-PERMANENT_FIELD_LABOR_HOURS)&gt;TEMP_HOURS_CAP),"",$C133+F$6-MIN(($D133+F$5),PERMANENT_FIELD_LABOR_HOURS)*PERMANENT_HOURLY_RATE-MAX(0,($D133+F$5)-PERMANENT_FIELD_LABOR_HOURS)*TEMP_HOURLY_RATE-FIXED_SEASON_COST)</f>
        <v>10538.4941694721</v>
      </c>
      <c r="G133" s="53" t="n">
        <f aca="false">IF(OR($A133&gt;TOMATO_BED_CAP,$B133&gt;CARROT_BED_CAP,G$4&gt;MESCLUN_BED_CAP,$A133+$B133+G$4&gt;TOTAL_BEDS_AVAILABLE,($D133+G$5)&gt;TOTAL_LABOR_HOURS_CAP,MAX(0,($D133+G$5)-PERMANENT_FIELD_LABOR_HOURS)&gt;TEMP_HOURS_CAP),"",$C133+G$6-MIN(($D133+G$5),PERMANENT_FIELD_LABOR_HOURS)*PERMANENT_HOURLY_RATE-MAX(0,($D133+G$5)-PERMANENT_FIELD_LABOR_HOURS)*TEMP_HOURLY_RATE-FIXED_SEASON_COST)</f>
        <v>11567.5291694721</v>
      </c>
      <c r="H133" s="53" t="n">
        <f aca="false">IF(OR($A133&gt;TOMATO_BED_CAP,$B133&gt;CARROT_BED_CAP,H$4&gt;MESCLUN_BED_CAP,$A133+$B133+H$4&gt;TOTAL_BEDS_AVAILABLE,($D133+H$5)&gt;TOTAL_LABOR_HOURS_CAP,MAX(0,($D133+H$5)-PERMANENT_FIELD_LABOR_HOURS)&gt;TEMP_HOURS_CAP),"",$C133+H$6-MIN(($D133+H$5),PERMANENT_FIELD_LABOR_HOURS)*PERMANENT_HOURLY_RATE-MAX(0,($D133+H$5)-PERMANENT_FIELD_LABOR_HOURS)*TEMP_HOURLY_RATE-FIXED_SEASON_COST)</f>
        <v>12576.7900444721</v>
      </c>
      <c r="I133" s="53" t="n">
        <f aca="false">IF(OR($A133&gt;TOMATO_BED_CAP,$B133&gt;CARROT_BED_CAP,I$4&gt;MESCLUN_BED_CAP,$A133+$B133+I$4&gt;TOTAL_BEDS_AVAILABLE,($D133+I$5)&gt;TOTAL_LABOR_HOURS_CAP,MAX(0,($D133+I$5)-PERMANENT_FIELD_LABOR_HOURS)&gt;TEMP_HOURS_CAP),"",$C133+I$6-MIN(($D133+I$5),PERMANENT_FIELD_LABOR_HOURS)*PERMANENT_HOURLY_RATE-MAX(0,($D133+I$5)-PERMANENT_FIELD_LABOR_HOURS)*TEMP_HOURLY_RATE-FIXED_SEASON_COST)</f>
        <v>13565.9060296283</v>
      </c>
      <c r="J133" s="53" t="n">
        <f aca="false">IF(OR($A133&gt;TOMATO_BED_CAP,$B133&gt;CARROT_BED_CAP,J$4&gt;MESCLUN_BED_CAP,$A133+$B133+J$4&gt;TOTAL_BEDS_AVAILABLE,($D133+J$5)&gt;TOTAL_LABOR_HOURS_CAP,MAX(0,($D133+J$5)-PERMANENT_FIELD_LABOR_HOURS)&gt;TEMP_HOURS_CAP),"",$C133+J$6-MIN(($D133+J$5),PERMANENT_FIELD_LABOR_HOURS)*PERMANENT_HOURLY_RATE-MAX(0,($D133+J$5)-PERMANENT_FIELD_LABOR_HOURS)*TEMP_HOURLY_RATE-FIXED_SEASON_COST)</f>
        <v>14534.500180683</v>
      </c>
      <c r="K133" s="53" t="n">
        <f aca="false">IF(OR($A133&gt;TOMATO_BED_CAP,$B133&gt;CARROT_BED_CAP,K$4&gt;MESCLUN_BED_CAP,$A133+$B133+K$4&gt;TOTAL_BEDS_AVAILABLE,($D133+K$5)&gt;TOTAL_LABOR_HOURS_CAP,MAX(0,($D133+K$5)-PERMANENT_FIELD_LABOR_HOURS)&gt;TEMP_HOURS_CAP),"",$C133+K$6-MIN(($D133+K$5),PERMANENT_FIELD_LABOR_HOURS)*PERMANENT_HOURLY_RATE-MAX(0,($D133+K$5)-PERMANENT_FIELD_LABOR_HOURS)*TEMP_HOURLY_RATE-FIXED_SEASON_COST)</f>
        <v>15482.1892774109</v>
      </c>
      <c r="L133" s="53" t="n">
        <f aca="false">IF(OR($A133&gt;TOMATO_BED_CAP,$B133&gt;CARROT_BED_CAP,L$4&gt;MESCLUN_BED_CAP,$A133+$B133+L$4&gt;TOTAL_BEDS_AVAILABLE,($D133+L$5)&gt;TOTAL_LABOR_HOURS_CAP,MAX(0,($D133+L$5)-PERMANENT_FIELD_LABOR_HOURS)&gt;TEMP_HOURS_CAP),"",$C133+L$6-MIN(($D133+L$5),PERMANENT_FIELD_LABOR_HOURS)*PERMANENT_HOURLY_RATE-MAX(0,($D133+L$5)-PERMANENT_FIELD_LABOR_HOURS)*TEMP_HOURLY_RATE-FIXED_SEASON_COST)</f>
        <v>16408.5837256178</v>
      </c>
      <c r="M133" s="53" t="n">
        <f aca="false">IF(OR($A133&gt;TOMATO_BED_CAP,$B133&gt;CARROT_BED_CAP,M$4&gt;MESCLUN_BED_CAP,$A133+$B133+M$4&gt;TOTAL_BEDS_AVAILABLE,($D133+M$5)&gt;TOTAL_LABOR_HOURS_CAP,MAX(0,($D133+M$5)-PERMANENT_FIELD_LABOR_HOURS)&gt;TEMP_HOURS_CAP),"",$C133+M$6-MIN(($D133+M$5),PERMANENT_FIELD_LABOR_HOURS)*PERMANENT_HOURLY_RATE-MAX(0,($D133+M$5)-PERMANENT_FIELD_LABOR_HOURS)*TEMP_HOURLY_RATE-FIXED_SEASON_COST)</f>
        <v>17313.2874576692</v>
      </c>
      <c r="N133" s="53" t="n">
        <f aca="false">IF(OR($A133&gt;TOMATO_BED_CAP,$B133&gt;CARROT_BED_CAP,N$4&gt;MESCLUN_BED_CAP,$A133+$B133+N$4&gt;TOTAL_BEDS_AVAILABLE,($D133+N$5)&gt;TOTAL_LABOR_HOURS_CAP,MAX(0,($D133+N$5)-PERMANENT_FIELD_LABOR_HOURS)&gt;TEMP_HOURS_CAP),"",$C133+N$6-MIN(($D133+N$5),PERMANENT_FIELD_LABOR_HOURS)*PERMANENT_HOURLY_RATE-MAX(0,($D133+N$5)-PERMANENT_FIELD_LABOR_HOURS)*TEMP_HOURLY_RATE-FIXED_SEASON_COST)</f>
        <v>18195.8978315287</v>
      </c>
      <c r="O133" s="53" t="n">
        <f aca="false">IF(OR($A133&gt;TOMATO_BED_CAP,$B133&gt;CARROT_BED_CAP,O$4&gt;MESCLUN_BED_CAP,$A133+$B133+O$4&gt;TOTAL_BEDS_AVAILABLE,($D133+O$5)&gt;TOTAL_LABOR_HOURS_CAP,MAX(0,($D133+O$5)-PERMANENT_FIELD_LABOR_HOURS)&gt;TEMP_HOURS_CAP),"",$C133+O$6-MIN(($D133+O$5),PERMANENT_FIELD_LABOR_HOURS)*PERMANENT_HOURLY_RATE-MAX(0,($D133+O$5)-PERMANENT_FIELD_LABOR_HOURS)*TEMP_HOURLY_RATE-FIXED_SEASON_COST)</f>
        <v>19056.0055282835</v>
      </c>
      <c r="P133" s="53" t="n">
        <f aca="false">IF(OR($A133&gt;TOMATO_BED_CAP,$B133&gt;CARROT_BED_CAP,P$4&gt;MESCLUN_BED_CAP,$A133+$B133+P$4&gt;TOTAL_BEDS_AVAILABLE,($D133+P$5)&gt;TOTAL_LABOR_HOURS_CAP,MAX(0,($D133+P$5)-PERMANENT_FIELD_LABOR_HOURS)&gt;TEMP_HOURS_CAP),"",$C133+P$6-MIN(($D133+P$5),PERMANENT_FIELD_LABOR_HOURS)*PERMANENT_HOURLY_RATE-MAX(0,($D133+P$5)-PERMANENT_FIELD_LABOR_HOURS)*TEMP_HOURLY_RATE-FIXED_SEASON_COST)</f>
        <v>19893.1944481349</v>
      </c>
      <c r="Q133" s="53" t="n">
        <f aca="false">IF(OR($A133&gt;TOMATO_BED_CAP,$B133&gt;CARROT_BED_CAP,Q$4&gt;MESCLUN_BED_CAP,$A133+$B133+Q$4&gt;TOTAL_BEDS_AVAILABLE,($D133+Q$5)&gt;TOTAL_LABOR_HOURS_CAP,MAX(0,($D133+Q$5)-PERMANENT_FIELD_LABOR_HOURS)&gt;TEMP_HOURS_CAP),"",$C133+Q$6-MIN(($D133+Q$5),PERMANENT_FIELD_LABOR_HOURS)*PERMANENT_HOURLY_RATE-MAX(0,($D133+Q$5)-PERMANENT_FIELD_LABOR_HOURS)*TEMP_HOURLY_RATE-FIXED_SEASON_COST)</f>
        <v>20707.0416048328</v>
      </c>
      <c r="R133" s="53" t="n">
        <f aca="false">IF(OR($A133&gt;TOMATO_BED_CAP,$B133&gt;CARROT_BED_CAP,R$4&gt;MESCLUN_BED_CAP,$A133+$B133+R$4&gt;TOTAL_BEDS_AVAILABLE,($D133+R$5)&gt;TOTAL_LABOR_HOURS_CAP,MAX(0,($D133+R$5)-PERMANENT_FIELD_LABOR_HOURS)&gt;TEMP_HOURS_CAP),"",$C133+R$6-MIN(($D133+R$5),PERMANENT_FIELD_LABOR_HOURS)*PERMANENT_HOURLY_RATE-MAX(0,($D133+R$5)-PERMANENT_FIELD_LABOR_HOURS)*TEMP_HOURLY_RATE-FIXED_SEASON_COST)</f>
        <v>21497.1170185296</v>
      </c>
      <c r="S133" s="53" t="n">
        <f aca="false">IF(OR($A133&gt;TOMATO_BED_CAP,$B133&gt;CARROT_BED_CAP,S$4&gt;MESCLUN_BED_CAP,$A133+$B133+S$4&gt;TOTAL_BEDS_AVAILABLE,($D133+S$5)&gt;TOTAL_LABOR_HOURS_CAP,MAX(0,($D133+S$5)-PERMANENT_FIELD_LABOR_HOURS)&gt;TEMP_HOURS_CAP),"",$C133+S$6-MIN(($D133+S$5),PERMANENT_FIELD_LABOR_HOURS)*PERMANENT_HOURLY_RATE-MAX(0,($D133+S$5)-PERMANENT_FIELD_LABOR_HOURS)*TEMP_HOURLY_RATE-FIXED_SEASON_COST)</f>
        <v>22262.9836070321</v>
      </c>
      <c r="T133" s="53" t="n">
        <f aca="false">IF(OR($A133&gt;TOMATO_BED_CAP,$B133&gt;CARROT_BED_CAP,T$4&gt;MESCLUN_BED_CAP,$A133+$B133+T$4&gt;TOTAL_BEDS_AVAILABLE,($D133+T$5)&gt;TOTAL_LABOR_HOURS_CAP,MAX(0,($D133+T$5)-PERMANENT_FIELD_LABOR_HOURS)&gt;TEMP_HOURS_CAP),"",$C133+T$6-MIN(($D133+T$5),PERMANENT_FIELD_LABOR_HOURS)*PERMANENT_HOURLY_RATE-MAX(0,($D133+T$5)-PERMANENT_FIELD_LABOR_HOURS)*TEMP_HOURLY_RATE-FIXED_SEASON_COST)</f>
        <v>23004.1970754269</v>
      </c>
      <c r="U133" s="53" t="n">
        <f aca="false">IF(OR($A133&gt;TOMATO_BED_CAP,$B133&gt;CARROT_BED_CAP,U$4&gt;MESCLUN_BED_CAP,$A133+$B133+U$4&gt;TOTAL_BEDS_AVAILABLE,($D133+U$5)&gt;TOTAL_LABOR_HOURS_CAP,MAX(0,($D133+U$5)-PERMANENT_FIELD_LABOR_HOURS)&gt;TEMP_HOURS_CAP),"",$C133+U$6-MIN(($D133+U$5),PERMANENT_FIELD_LABOR_HOURS)*PERMANENT_HOURLY_RATE-MAX(0,($D133+U$5)-PERMANENT_FIELD_LABOR_HOURS)*TEMP_HOURLY_RATE-FIXED_SEASON_COST)</f>
        <v>23720.305804057</v>
      </c>
      <c r="V133" s="53" t="n">
        <f aca="false">IF(OR($A133&gt;TOMATO_BED_CAP,$B133&gt;CARROT_BED_CAP,V$4&gt;MESCLUN_BED_CAP,$A133+$B133+V$4&gt;TOTAL_BEDS_AVAILABLE,($D133+V$5)&gt;TOTAL_LABOR_HOURS_CAP,MAX(0,($D133+V$5)-PERMANENT_FIELD_LABOR_HOURS)&gt;TEMP_HOURS_CAP),"",$C133+V$6-MIN(($D133+V$5),PERMANENT_FIELD_LABOR_HOURS)*PERMANENT_HOURLY_RATE-MAX(0,($D133+V$5)-PERMANENT_FIELD_LABOR_HOURS)*TEMP_HOURLY_RATE-FIXED_SEASON_COST)</f>
        <v>24410.8507348238</v>
      </c>
      <c r="W133" s="53" t="n">
        <f aca="false">IF(OR($A133&gt;TOMATO_BED_CAP,$B133&gt;CARROT_BED_CAP,W$4&gt;MESCLUN_BED_CAP,$A133+$B133+W$4&gt;TOTAL_BEDS_AVAILABLE,($D133+W$5)&gt;TOTAL_LABOR_HOURS_CAP,MAX(0,($D133+W$5)-PERMANENT_FIELD_LABOR_HOURS)&gt;TEMP_HOURS_CAP),"",$C133+W$6-MIN(($D133+W$5),PERMANENT_FIELD_LABOR_HOURS)*PERMANENT_HOURLY_RATE-MAX(0,($D133+W$5)-PERMANENT_FIELD_LABOR_HOURS)*TEMP_HOURLY_RATE-FIXED_SEASON_COST)</f>
        <v>25075.3652557919</v>
      </c>
      <c r="X133" s="53" t="n">
        <f aca="false">IF(OR($A133&gt;TOMATO_BED_CAP,$B133&gt;CARROT_BED_CAP,X$4&gt;MESCLUN_BED_CAP,$A133+$B133+X$4&gt;TOTAL_BEDS_AVAILABLE,($D133+X$5)&gt;TOTAL_LABOR_HOURS_CAP,MAX(0,($D133+X$5)-PERMANENT_FIELD_LABOR_HOURS)&gt;TEMP_HOURS_CAP),"",$C133+X$6-MIN(($D133+X$5),PERMANENT_FIELD_LABOR_HOURS)*PERMANENT_HOURLY_RATE-MAX(0,($D133+X$5)-PERMANENT_FIELD_LABOR_HOURS)*TEMP_HOURLY_RATE-FIXED_SEASON_COST)</f>
        <v>25713.3750840708</v>
      </c>
      <c r="Y133" s="53" t="n">
        <f aca="false">IF(OR($A133&gt;TOMATO_BED_CAP,$B133&gt;CARROT_BED_CAP,Y$4&gt;MESCLUN_BED_CAP,$A133+$B133+Y$4&gt;TOTAL_BEDS_AVAILABLE,($D133+Y$5)&gt;TOTAL_LABOR_HOURS_CAP,MAX(0,($D133+Y$5)-PERMANENT_FIELD_LABOR_HOURS)&gt;TEMP_HOURS_CAP),"",$C133+Y$6-MIN(($D133+Y$5),PERMANENT_FIELD_LABOR_HOURS)*PERMANENT_HOURLY_RATE-MAX(0,($D133+Y$5)-PERMANENT_FIELD_LABOR_HOURS)*TEMP_HOURLY_RATE-FIXED_SEASON_COST)</f>
        <v>26324.3981469494</v>
      </c>
      <c r="Z133" s="53" t="n">
        <f aca="false">IF(OR($A133&gt;TOMATO_BED_CAP,$B133&gt;CARROT_BED_CAP,Z$4&gt;MESCLUN_BED_CAP,$A133+$B133+Z$4&gt;TOTAL_BEDS_AVAILABLE,($D133+Z$5)&gt;TOTAL_LABOR_HOURS_CAP,MAX(0,($D133+Z$5)-PERMANENT_FIELD_LABOR_HOURS)&gt;TEMP_HOURS_CAP),"",$C133+Z$6-MIN(($D133+Z$5),PERMANENT_FIELD_LABOR_HOURS)*PERMANENT_HOURLY_RATE-MAX(0,($D133+Z$5)-PERMANENT_FIELD_LABOR_HOURS)*TEMP_HOURLY_RATE-FIXED_SEASON_COST)</f>
        <v>26907.9444612572</v>
      </c>
      <c r="AA133" s="53" t="n">
        <f aca="false">IF(OR($A133&gt;TOMATO_BED_CAP,$B133&gt;CARROT_BED_CAP,AA$4&gt;MESCLUN_BED_CAP,$A133+$B133+AA$4&gt;TOTAL_BEDS_AVAILABLE,($D133+AA$5)&gt;TOTAL_LABOR_HOURS_CAP,MAX(0,($D133+AA$5)-PERMANENT_FIELD_LABOR_HOURS)&gt;TEMP_HOURS_CAP),"",$C133+AA$6-MIN(($D133+AA$5),PERMANENT_FIELD_LABOR_HOURS)*PERMANENT_HOURLY_RATE-MAX(0,($D133+AA$5)-PERMANENT_FIELD_LABOR_HOURS)*TEMP_HOURLY_RATE-FIXED_SEASON_COST)</f>
        <v>27463.5160109261</v>
      </c>
      <c r="AB133" s="53" t="n">
        <f aca="false">IF(OR($A133&gt;TOMATO_BED_CAP,$B133&gt;CARROT_BED_CAP,AB$4&gt;MESCLUN_BED_CAP,$A133+$B133+AB$4&gt;TOTAL_BEDS_AVAILABLE,($D133+AB$5)&gt;TOTAL_LABOR_HOURS_CAP,MAX(0,($D133+AB$5)-PERMANENT_FIELD_LABOR_HOURS)&gt;TEMP_HOURS_CAP),"",$C133+AB$6-MIN(($D133+AB$5),PERMANENT_FIELD_LABOR_HOURS)*PERMANENT_HOURLY_RATE-MAX(0,($D133+AB$5)-PERMANENT_FIELD_LABOR_HOURS)*TEMP_HOURLY_RATE-FIXED_SEASON_COST)</f>
        <v>27990.6066227287</v>
      </c>
      <c r="AC133" s="53" t="n">
        <f aca="false">IF(OR($A133&gt;TOMATO_BED_CAP,$B133&gt;CARROT_BED_CAP,AC$4&gt;MESCLUN_BED_CAP,$A133+$B133+AC$4&gt;TOTAL_BEDS_AVAILABLE,($D133+AC$5)&gt;TOTAL_LABOR_HOURS_CAP,MAX(0,($D133+AC$5)-PERMANENT_FIELD_LABOR_HOURS)&gt;TEMP_HOURS_CAP),"",$C133+AC$6-MIN(($D133+AC$5),PERMANENT_FIELD_LABOR_HOURS)*PERMANENT_HOURLY_RATE-MAX(0,($D133+AC$5)-PERMANENT_FIELD_LABOR_HOURS)*TEMP_HOURLY_RATE-FIXED_SEASON_COST)</f>
        <v>28488.7018401636</v>
      </c>
      <c r="AD133" s="53" t="n">
        <f aca="false">IF(OR($A133&gt;TOMATO_BED_CAP,$B133&gt;CARROT_BED_CAP,AD$4&gt;MESCLUN_BED_CAP,$A133+$B133+AD$4&gt;TOTAL_BEDS_AVAILABLE,($D133+AD$5)&gt;TOTAL_LABOR_HOURS_CAP,MAX(0,($D133+AD$5)-PERMANENT_FIELD_LABOR_HOURS)&gt;TEMP_HOURS_CAP),"",$C133+AD$6-MIN(($D133+AD$5),PERMANENT_FIELD_LABOR_HOURS)*PERMANENT_HOURLY_RATE-MAX(0,($D133+AD$5)-PERMANENT_FIELD_LABOR_HOURS)*TEMP_HOURLY_RATE-FIXED_SEASON_COST)</f>
        <v>28957.2787954635</v>
      </c>
      <c r="AE133" s="53" t="n">
        <f aca="false">IF(OR($A133&gt;TOMATO_BED_CAP,$B133&gt;CARROT_BED_CAP,AE$4&gt;MESCLUN_BED_CAP,$A133+$B133+AE$4&gt;TOTAL_BEDS_AVAILABLE,($D133+AE$5)&gt;TOTAL_LABOR_HOURS_CAP,MAX(0,($D133+AE$5)-PERMANENT_FIELD_LABOR_HOURS)&gt;TEMP_HOURS_CAP),"",$C133+AE$6-MIN(($D133+AE$5),PERMANENT_FIELD_LABOR_HOURS)*PERMANENT_HOURLY_RATE-MAX(0,($D133+AE$5)-PERMANENT_FIELD_LABOR_HOURS)*TEMP_HOURLY_RATE-FIXED_SEASON_COST)</f>
        <v>29395.8060796974</v>
      </c>
      <c r="AF133" s="53" t="n">
        <f aca="false">IF(OR($A133&gt;TOMATO_BED_CAP,$B133&gt;CARROT_BED_CAP,AF$4&gt;MESCLUN_BED_CAP,$A133+$B133+AF$4&gt;TOTAL_BEDS_AVAILABLE,($D133+AF$5)&gt;TOTAL_LABOR_HOURS_CAP,MAX(0,($D133+AF$5)-PERMANENT_FIELD_LABOR_HOURS)&gt;TEMP_HOURS_CAP),"",$C133+AF$6-MIN(($D133+AF$5),PERMANENT_FIELD_LABOR_HOURS)*PERMANENT_HOURLY_RATE-MAX(0,($D133+AF$5)-PERMANENT_FIELD_LABOR_HOURS)*TEMP_HOURLY_RATE-FIXED_SEASON_COST)</f>
        <v>29803.7436109394</v>
      </c>
      <c r="AG133" s="53" t="n">
        <f aca="false">IF(OR($A133&gt;TOMATO_BED_CAP,$B133&gt;CARROT_BED_CAP,AG$4&gt;MESCLUN_BED_CAP,$A133+$B133+AG$4&gt;TOTAL_BEDS_AVAILABLE,($D133+AG$5)&gt;TOTAL_LABOR_HOURS_CAP,MAX(0,($D133+AG$5)-PERMANENT_FIELD_LABOR_HOURS)&gt;TEMP_HOURS_CAP),"",$C133+AG$6-MIN(($D133+AG$5),PERMANENT_FIELD_LABOR_HOURS)*PERMANENT_HOURLY_RATE-MAX(0,($D133+AG$5)-PERMANENT_FIELD_LABOR_HOURS)*TEMP_HOURLY_RATE-FIXED_SEASON_COST)</f>
        <v>30180.5425004764</v>
      </c>
      <c r="AH133" s="53" t="n">
        <f aca="false">IF(OR($A133&gt;TOMATO_BED_CAP,$B133&gt;CARROT_BED_CAP,AH$4&gt;MESCLUN_BED_CAP,$A133+$B133+AH$4&gt;TOTAL_BEDS_AVAILABLE,($D133+AH$5)&gt;TOTAL_LABOR_HOURS_CAP,MAX(0,($D133+AH$5)-PERMANENT_FIELD_LABOR_HOURS)&gt;TEMP_HOURS_CAP),"",$C133+AH$6-MIN(($D133+AH$5),PERMANENT_FIELD_LABOR_HOURS)*PERMANENT_HOURLY_RATE-MAX(0,($D133+AH$5)-PERMANENT_FIELD_LABOR_HOURS)*TEMP_HOURLY_RATE-FIXED_SEASON_COST)</f>
        <v>30525.6449170266</v>
      </c>
      <c r="AI133" s="53" t="n">
        <f aca="false">IF(OR($A133&gt;TOMATO_BED_CAP,$B133&gt;CARROT_BED_CAP,AI$4&gt;MESCLUN_BED_CAP,$A133+$B133+AI$4&gt;TOTAL_BEDS_AVAILABLE,($D133+AI$5)&gt;TOTAL_LABOR_HOURS_CAP,MAX(0,($D133+AI$5)-PERMANENT_FIELD_LABOR_HOURS)&gt;TEMP_HOURS_CAP),"",$C133+AI$6-MIN(($D133+AI$5),PERMANENT_FIELD_LABOR_HOURS)*PERMANENT_HOURLY_RATE-MAX(0,($D133+AI$5)-PERMANENT_FIELD_LABOR_HOURS)*TEMP_HOURLY_RATE-FIXED_SEASON_COST)</f>
        <v>30838.4839489389</v>
      </c>
      <c r="AJ133" s="53" t="n">
        <f aca="false">IF(OR($A133&gt;TOMATO_BED_CAP,$B133&gt;CARROT_BED_CAP,AJ$4&gt;MESCLUN_BED_CAP,$A133+$B133+AJ$4&gt;TOTAL_BEDS_AVAILABLE,($D133+AJ$5)&gt;TOTAL_LABOR_HOURS_CAP,MAX(0,($D133+AJ$5)-PERMANENT_FIELD_LABOR_HOURS)&gt;TEMP_HOURS_CAP),"",$C133+AJ$6-MIN(($D133+AJ$5),PERMANENT_FIELD_LABOR_HOURS)*PERMANENT_HOURLY_RATE-MAX(0,($D133+AJ$5)-PERMANENT_FIELD_LABOR_HOURS)*TEMP_HOURLY_RATE-FIXED_SEASON_COST)</f>
        <v>31118.4834643446</v>
      </c>
    </row>
    <row r="134" customFormat="false" ht="15" hidden="false" customHeight="false" outlineLevel="0" collapsed="false">
      <c r="A134" s="21" t="n">
        <f aca="false">INT((ROW()-ROW($A$8))/(20+1))</f>
        <v>6</v>
      </c>
      <c r="B134" s="21" t="n">
        <f aca="false">MOD(ROW()-ROW($A$8),20+1)</f>
        <v>0</v>
      </c>
      <c r="C134" s="13" t="n">
        <f aca="false">A134*(TOMATO_REVENUE_PER_BED-TOMATO_FERTILIZER_PER_BED)+B134*(CARROT_REVENUE_PER_BED-CARROT_FERTILIZER_PER_BED)</f>
        <v>47520</v>
      </c>
      <c r="D134" s="14" t="n">
        <f aca="false">INDEX(TOMATO_SCHED_LABOR_HRS,A134+1)+INDEX(CARROT_SCHED_LABOR_HRS,B134+1)</f>
        <v>956.64294</v>
      </c>
      <c r="E134" s="13" t="n">
        <f aca="false">IF(COUNT(F134:AJ134)=0,"",MAX(F134:AJ134))</f>
        <v>18993.4678564725</v>
      </c>
      <c r="F134" s="53" t="n">
        <f aca="false">IF(OR($A134&gt;TOMATO_BED_CAP,$B134&gt;CARROT_BED_CAP,F$4&gt;MESCLUN_BED_CAP,$A134+$B134+F$4&gt;TOTAL_BEDS_AVAILABLE,($D134+F$5)&gt;TOTAL_LABOR_HOURS_CAP,MAX(0,($D134+F$5)-PERMANENT_FIELD_LABOR_HOURS)&gt;TEMP_HOURS_CAP),"",$C134+F$6-MIN(($D134+F$5),PERMANENT_FIELD_LABOR_HOURS)*PERMANENT_HOURLY_RATE-MAX(0,($D134+F$5)-PERMANENT_FIELD_LABOR_HOURS)*TEMP_HOURLY_RATE-FIXED_SEASON_COST)</f>
        <v>-1586.52143840001</v>
      </c>
      <c r="G134" s="53" t="n">
        <f aca="false">IF(OR($A134&gt;TOMATO_BED_CAP,$B134&gt;CARROT_BED_CAP,G$4&gt;MESCLUN_BED_CAP,$A134+$B134+G$4&gt;TOTAL_BEDS_AVAILABLE,($D134+G$5)&gt;TOTAL_LABOR_HOURS_CAP,MAX(0,($D134+G$5)-PERMANENT_FIELD_LABOR_HOURS)&gt;TEMP_HOURS_CAP),"",$C134+G$6-MIN(($D134+G$5),PERMANENT_FIELD_LABOR_HOURS)*PERMANENT_HOURLY_RATE-MAX(0,($D134+G$5)-PERMANENT_FIELD_LABOR_HOURS)*TEMP_HOURLY_RATE-FIXED_SEASON_COST)</f>
        <v>-557.486438400003</v>
      </c>
      <c r="H134" s="53" t="n">
        <f aca="false">IF(OR($A134&gt;TOMATO_BED_CAP,$B134&gt;CARROT_BED_CAP,H$4&gt;MESCLUN_BED_CAP,$A134+$B134+H$4&gt;TOTAL_BEDS_AVAILABLE,($D134+H$5)&gt;TOTAL_LABOR_HOURS_CAP,MAX(0,($D134+H$5)-PERMANENT_FIELD_LABOR_HOURS)&gt;TEMP_HOURS_CAP),"",$C134+H$6-MIN(($D134+H$5),PERMANENT_FIELD_LABOR_HOURS)*PERMANENT_HOURLY_RATE-MAX(0,($D134+H$5)-PERMANENT_FIELD_LABOR_HOURS)*TEMP_HOURLY_RATE-FIXED_SEASON_COST)</f>
        <v>451.774436599997</v>
      </c>
      <c r="I134" s="53" t="n">
        <f aca="false">IF(OR($A134&gt;TOMATO_BED_CAP,$B134&gt;CARROT_BED_CAP,I$4&gt;MESCLUN_BED_CAP,$A134+$B134+I$4&gt;TOTAL_BEDS_AVAILABLE,($D134+I$5)&gt;TOTAL_LABOR_HOURS_CAP,MAX(0,($D134+I$5)-PERMANENT_FIELD_LABOR_HOURS)&gt;TEMP_HOURS_CAP),"",$C134+I$6-MIN(($D134+I$5),PERMANENT_FIELD_LABOR_HOURS)*PERMANENT_HOURLY_RATE-MAX(0,($D134+I$5)-PERMANENT_FIELD_LABOR_HOURS)*TEMP_HOURLY_RATE-FIXED_SEASON_COST)</f>
        <v>1440.89042175625</v>
      </c>
      <c r="J134" s="53" t="n">
        <f aca="false">IF(OR($A134&gt;TOMATO_BED_CAP,$B134&gt;CARROT_BED_CAP,J$4&gt;MESCLUN_BED_CAP,$A134+$B134+J$4&gt;TOTAL_BEDS_AVAILABLE,($D134+J$5)&gt;TOTAL_LABOR_HOURS_CAP,MAX(0,($D134+J$5)-PERMANENT_FIELD_LABOR_HOURS)&gt;TEMP_HOURS_CAP),"",$C134+J$6-MIN(($D134+J$5),PERMANENT_FIELD_LABOR_HOURS)*PERMANENT_HOURLY_RATE-MAX(0,($D134+J$5)-PERMANENT_FIELD_LABOR_HOURS)*TEMP_HOURLY_RATE-FIXED_SEASON_COST)</f>
        <v>2409.48457281093</v>
      </c>
      <c r="K134" s="53" t="n">
        <f aca="false">IF(OR($A134&gt;TOMATO_BED_CAP,$B134&gt;CARROT_BED_CAP,K$4&gt;MESCLUN_BED_CAP,$A134+$B134+K$4&gt;TOTAL_BEDS_AVAILABLE,($D134+K$5)&gt;TOTAL_LABOR_HOURS_CAP,MAX(0,($D134+K$5)-PERMANENT_FIELD_LABOR_HOURS)&gt;TEMP_HOURS_CAP),"",$C134+K$6-MIN(($D134+K$5),PERMANENT_FIELD_LABOR_HOURS)*PERMANENT_HOURLY_RATE-MAX(0,($D134+K$5)-PERMANENT_FIELD_LABOR_HOURS)*TEMP_HOURLY_RATE-FIXED_SEASON_COST)</f>
        <v>3357.17366953884</v>
      </c>
      <c r="L134" s="53" t="n">
        <f aca="false">IF(OR($A134&gt;TOMATO_BED_CAP,$B134&gt;CARROT_BED_CAP,L$4&gt;MESCLUN_BED_CAP,$A134+$B134+L$4&gt;TOTAL_BEDS_AVAILABLE,($D134+L$5)&gt;TOTAL_LABOR_HOURS_CAP,MAX(0,($D134+L$5)-PERMANENT_FIELD_LABOR_HOURS)&gt;TEMP_HOURS_CAP),"",$C134+L$6-MIN(($D134+L$5),PERMANENT_FIELD_LABOR_HOURS)*PERMANENT_HOURLY_RATE-MAX(0,($D134+L$5)-PERMANENT_FIELD_LABOR_HOURS)*TEMP_HOURLY_RATE-FIXED_SEASON_COST)</f>
        <v>4283.56811774569</v>
      </c>
      <c r="M134" s="53" t="n">
        <f aca="false">IF(OR($A134&gt;TOMATO_BED_CAP,$B134&gt;CARROT_BED_CAP,M$4&gt;MESCLUN_BED_CAP,$A134+$B134+M$4&gt;TOTAL_BEDS_AVAILABLE,($D134+M$5)&gt;TOTAL_LABOR_HOURS_CAP,MAX(0,($D134+M$5)-PERMANENT_FIELD_LABOR_HOURS)&gt;TEMP_HOURS_CAP),"",$C134+M$6-MIN(($D134+M$5),PERMANENT_FIELD_LABOR_HOURS)*PERMANENT_HOURLY_RATE-MAX(0,($D134+M$5)-PERMANENT_FIELD_LABOR_HOURS)*TEMP_HOURLY_RATE-FIXED_SEASON_COST)</f>
        <v>5188.2718497971</v>
      </c>
      <c r="N134" s="53" t="n">
        <f aca="false">IF(OR($A134&gt;TOMATO_BED_CAP,$B134&gt;CARROT_BED_CAP,N$4&gt;MESCLUN_BED_CAP,$A134+$B134+N$4&gt;TOTAL_BEDS_AVAILABLE,($D134+N$5)&gt;TOTAL_LABOR_HOURS_CAP,MAX(0,($D134+N$5)-PERMANENT_FIELD_LABOR_HOURS)&gt;TEMP_HOURS_CAP),"",$C134+N$6-MIN(($D134+N$5),PERMANENT_FIELD_LABOR_HOURS)*PERMANENT_HOURLY_RATE-MAX(0,($D134+N$5)-PERMANENT_FIELD_LABOR_HOURS)*TEMP_HOURLY_RATE-FIXED_SEASON_COST)</f>
        <v>6070.88222365665</v>
      </c>
      <c r="O134" s="53" t="n">
        <f aca="false">IF(OR($A134&gt;TOMATO_BED_CAP,$B134&gt;CARROT_BED_CAP,O$4&gt;MESCLUN_BED_CAP,$A134+$B134+O$4&gt;TOTAL_BEDS_AVAILABLE,($D134+O$5)&gt;TOTAL_LABOR_HOURS_CAP,MAX(0,($D134+O$5)-PERMANENT_FIELD_LABOR_HOURS)&gt;TEMP_HOURS_CAP),"",$C134+O$6-MIN(($D134+O$5),PERMANENT_FIELD_LABOR_HOURS)*PERMANENT_HOURLY_RATE-MAX(0,($D134+O$5)-PERMANENT_FIELD_LABOR_HOURS)*TEMP_HOURLY_RATE-FIXED_SEASON_COST)</f>
        <v>6930.9899204114</v>
      </c>
      <c r="P134" s="53" t="n">
        <f aca="false">IF(OR($A134&gt;TOMATO_BED_CAP,$B134&gt;CARROT_BED_CAP,P$4&gt;MESCLUN_BED_CAP,$A134+$B134+P$4&gt;TOTAL_BEDS_AVAILABLE,($D134+P$5)&gt;TOTAL_LABOR_HOURS_CAP,MAX(0,($D134+P$5)-PERMANENT_FIELD_LABOR_HOURS)&gt;TEMP_HOURS_CAP),"",$C134+P$6-MIN(($D134+P$5),PERMANENT_FIELD_LABOR_HOURS)*PERMANENT_HOURLY_RATE-MAX(0,($D134+P$5)-PERMANENT_FIELD_LABOR_HOURS)*TEMP_HOURLY_RATE-FIXED_SEASON_COST)</f>
        <v>7768.17884026283</v>
      </c>
      <c r="Q134" s="53" t="n">
        <f aca="false">IF(OR($A134&gt;TOMATO_BED_CAP,$B134&gt;CARROT_BED_CAP,Q$4&gt;MESCLUN_BED_CAP,$A134+$B134+Q$4&gt;TOTAL_BEDS_AVAILABLE,($D134+Q$5)&gt;TOTAL_LABOR_HOURS_CAP,MAX(0,($D134+Q$5)-PERMANENT_FIELD_LABOR_HOURS)&gt;TEMP_HOURS_CAP),"",$C134+Q$6-MIN(($D134+Q$5),PERMANENT_FIELD_LABOR_HOURS)*PERMANENT_HOURLY_RATE-MAX(0,($D134+Q$5)-PERMANENT_FIELD_LABOR_HOURS)*TEMP_HOURLY_RATE-FIXED_SEASON_COST)</f>
        <v>8582.02599696072</v>
      </c>
      <c r="R134" s="53" t="n">
        <f aca="false">IF(OR($A134&gt;TOMATO_BED_CAP,$B134&gt;CARROT_BED_CAP,R$4&gt;MESCLUN_BED_CAP,$A134+$B134+R$4&gt;TOTAL_BEDS_AVAILABLE,($D134+R$5)&gt;TOTAL_LABOR_HOURS_CAP,MAX(0,($D134+R$5)-PERMANENT_FIELD_LABOR_HOURS)&gt;TEMP_HOURS_CAP),"",$C134+R$6-MIN(($D134+R$5),PERMANENT_FIELD_LABOR_HOURS)*PERMANENT_HOURLY_RATE-MAX(0,($D134+R$5)-PERMANENT_FIELD_LABOR_HOURS)*TEMP_HOURLY_RATE-FIXED_SEASON_COST)</f>
        <v>9372.10141065752</v>
      </c>
      <c r="S134" s="53" t="n">
        <f aca="false">IF(OR($A134&gt;TOMATO_BED_CAP,$B134&gt;CARROT_BED_CAP,S$4&gt;MESCLUN_BED_CAP,$A134+$B134+S$4&gt;TOTAL_BEDS_AVAILABLE,($D134+S$5)&gt;TOTAL_LABOR_HOURS_CAP,MAX(0,($D134+S$5)-PERMANENT_FIELD_LABOR_HOURS)&gt;TEMP_HOURS_CAP),"",$C134+S$6-MIN(($D134+S$5),PERMANENT_FIELD_LABOR_HOURS)*PERMANENT_HOURLY_RATE-MAX(0,($D134+S$5)-PERMANENT_FIELD_LABOR_HOURS)*TEMP_HOURLY_RATE-FIXED_SEASON_COST)</f>
        <v>10137.96799916</v>
      </c>
      <c r="T134" s="53" t="n">
        <f aca="false">IF(OR($A134&gt;TOMATO_BED_CAP,$B134&gt;CARROT_BED_CAP,T$4&gt;MESCLUN_BED_CAP,$A134+$B134+T$4&gt;TOTAL_BEDS_AVAILABLE,($D134+T$5)&gt;TOTAL_LABOR_HOURS_CAP,MAX(0,($D134+T$5)-PERMANENT_FIELD_LABOR_HOURS)&gt;TEMP_HOURS_CAP),"",$C134+T$6-MIN(($D134+T$5),PERMANENT_FIELD_LABOR_HOURS)*PERMANENT_HOURLY_RATE-MAX(0,($D134+T$5)-PERMANENT_FIELD_LABOR_HOURS)*TEMP_HOURLY_RATE-FIXED_SEASON_COST)</f>
        <v>10879.1814675548</v>
      </c>
      <c r="U134" s="53" t="n">
        <f aca="false">IF(OR($A134&gt;TOMATO_BED_CAP,$B134&gt;CARROT_BED_CAP,U$4&gt;MESCLUN_BED_CAP,$A134+$B134+U$4&gt;TOTAL_BEDS_AVAILABLE,($D134+U$5)&gt;TOTAL_LABOR_HOURS_CAP,MAX(0,($D134+U$5)-PERMANENT_FIELD_LABOR_HOURS)&gt;TEMP_HOURS_CAP),"",$C134+U$6-MIN(($D134+U$5),PERMANENT_FIELD_LABOR_HOURS)*PERMANENT_HOURLY_RATE-MAX(0,($D134+U$5)-PERMANENT_FIELD_LABOR_HOURS)*TEMP_HOURLY_RATE-FIXED_SEASON_COST)</f>
        <v>11595.2901961849</v>
      </c>
      <c r="V134" s="53" t="n">
        <f aca="false">IF(OR($A134&gt;TOMATO_BED_CAP,$B134&gt;CARROT_BED_CAP,V$4&gt;MESCLUN_BED_CAP,$A134+$B134+V$4&gt;TOTAL_BEDS_AVAILABLE,($D134+V$5)&gt;TOTAL_LABOR_HOURS_CAP,MAX(0,($D134+V$5)-PERMANENT_FIELD_LABOR_HOURS)&gt;TEMP_HOURS_CAP),"",$C134+V$6-MIN(($D134+V$5),PERMANENT_FIELD_LABOR_HOURS)*PERMANENT_HOURLY_RATE-MAX(0,($D134+V$5)-PERMANENT_FIELD_LABOR_HOURS)*TEMP_HOURLY_RATE-FIXED_SEASON_COST)</f>
        <v>12285.8351269517</v>
      </c>
      <c r="W134" s="53" t="n">
        <f aca="false">IF(OR($A134&gt;TOMATO_BED_CAP,$B134&gt;CARROT_BED_CAP,W$4&gt;MESCLUN_BED_CAP,$A134+$B134+W$4&gt;TOTAL_BEDS_AVAILABLE,($D134+W$5)&gt;TOTAL_LABOR_HOURS_CAP,MAX(0,($D134+W$5)-PERMANENT_FIELD_LABOR_HOURS)&gt;TEMP_HOURS_CAP),"",$C134+W$6-MIN(($D134+W$5),PERMANENT_FIELD_LABOR_HOURS)*PERMANENT_HOURLY_RATE-MAX(0,($D134+W$5)-PERMANENT_FIELD_LABOR_HOURS)*TEMP_HOURLY_RATE-FIXED_SEASON_COST)</f>
        <v>12950.3496479198</v>
      </c>
      <c r="X134" s="53" t="n">
        <f aca="false">IF(OR($A134&gt;TOMATO_BED_CAP,$B134&gt;CARROT_BED_CAP,X$4&gt;MESCLUN_BED_CAP,$A134+$B134+X$4&gt;TOTAL_BEDS_AVAILABLE,($D134+X$5)&gt;TOTAL_LABOR_HOURS_CAP,MAX(0,($D134+X$5)-PERMANENT_FIELD_LABOR_HOURS)&gt;TEMP_HOURS_CAP),"",$C134+X$6-MIN(($D134+X$5),PERMANENT_FIELD_LABOR_HOURS)*PERMANENT_HOURLY_RATE-MAX(0,($D134+X$5)-PERMANENT_FIELD_LABOR_HOURS)*TEMP_HOURLY_RATE-FIXED_SEASON_COST)</f>
        <v>13588.3594761987</v>
      </c>
      <c r="Y134" s="53" t="n">
        <f aca="false">IF(OR($A134&gt;TOMATO_BED_CAP,$B134&gt;CARROT_BED_CAP,Y$4&gt;MESCLUN_BED_CAP,$A134+$B134+Y$4&gt;TOTAL_BEDS_AVAILABLE,($D134+Y$5)&gt;TOTAL_LABOR_HOURS_CAP,MAX(0,($D134+Y$5)-PERMANENT_FIELD_LABOR_HOURS)&gt;TEMP_HOURS_CAP),"",$C134+Y$6-MIN(($D134+Y$5),PERMANENT_FIELD_LABOR_HOURS)*PERMANENT_HOURLY_RATE-MAX(0,($D134+Y$5)-PERMANENT_FIELD_LABOR_HOURS)*TEMP_HOURLY_RATE-FIXED_SEASON_COST)</f>
        <v>14199.3825390774</v>
      </c>
      <c r="Z134" s="53" t="n">
        <f aca="false">IF(OR($A134&gt;TOMATO_BED_CAP,$B134&gt;CARROT_BED_CAP,Z$4&gt;MESCLUN_BED_CAP,$A134+$B134+Z$4&gt;TOTAL_BEDS_AVAILABLE,($D134+Z$5)&gt;TOTAL_LABOR_HOURS_CAP,MAX(0,($D134+Z$5)-PERMANENT_FIELD_LABOR_HOURS)&gt;TEMP_HOURS_CAP),"",$C134+Z$6-MIN(($D134+Z$5),PERMANENT_FIELD_LABOR_HOURS)*PERMANENT_HOURLY_RATE-MAX(0,($D134+Z$5)-PERMANENT_FIELD_LABOR_HOURS)*TEMP_HOURLY_RATE-FIXED_SEASON_COST)</f>
        <v>14782.9288533851</v>
      </c>
      <c r="AA134" s="53" t="n">
        <f aca="false">IF(OR($A134&gt;TOMATO_BED_CAP,$B134&gt;CARROT_BED_CAP,AA$4&gt;MESCLUN_BED_CAP,$A134+$B134+AA$4&gt;TOTAL_BEDS_AVAILABLE,($D134+AA$5)&gt;TOTAL_LABOR_HOURS_CAP,MAX(0,($D134+AA$5)-PERMANENT_FIELD_LABOR_HOURS)&gt;TEMP_HOURS_CAP),"",$C134+AA$6-MIN(($D134+AA$5),PERMANENT_FIELD_LABOR_HOURS)*PERMANENT_HOURLY_RATE-MAX(0,($D134+AA$5)-PERMANENT_FIELD_LABOR_HOURS)*TEMP_HOURLY_RATE-FIXED_SEASON_COST)</f>
        <v>15338.500403054</v>
      </c>
      <c r="AB134" s="53" t="n">
        <f aca="false">IF(OR($A134&gt;TOMATO_BED_CAP,$B134&gt;CARROT_BED_CAP,AB$4&gt;MESCLUN_BED_CAP,$A134+$B134+AB$4&gt;TOTAL_BEDS_AVAILABLE,($D134+AB$5)&gt;TOTAL_LABOR_HOURS_CAP,MAX(0,($D134+AB$5)-PERMANENT_FIELD_LABOR_HOURS)&gt;TEMP_HOURS_CAP),"",$C134+AB$6-MIN(($D134+AB$5),PERMANENT_FIELD_LABOR_HOURS)*PERMANENT_HOURLY_RATE-MAX(0,($D134+AB$5)-PERMANENT_FIELD_LABOR_HOURS)*TEMP_HOURLY_RATE-FIXED_SEASON_COST)</f>
        <v>15865.5910148566</v>
      </c>
      <c r="AC134" s="53" t="n">
        <f aca="false">IF(OR($A134&gt;TOMATO_BED_CAP,$B134&gt;CARROT_BED_CAP,AC$4&gt;MESCLUN_BED_CAP,$A134+$B134+AC$4&gt;TOTAL_BEDS_AVAILABLE,($D134+AC$5)&gt;TOTAL_LABOR_HOURS_CAP,MAX(0,($D134+AC$5)-PERMANENT_FIELD_LABOR_HOURS)&gt;TEMP_HOURS_CAP),"",$C134+AC$6-MIN(($D134+AC$5),PERMANENT_FIELD_LABOR_HOURS)*PERMANENT_HOURLY_RATE-MAX(0,($D134+AC$5)-PERMANENT_FIELD_LABOR_HOURS)*TEMP_HOURLY_RATE-FIXED_SEASON_COST)</f>
        <v>16363.6862322915</v>
      </c>
      <c r="AD134" s="53" t="n">
        <f aca="false">IF(OR($A134&gt;TOMATO_BED_CAP,$B134&gt;CARROT_BED_CAP,AD$4&gt;MESCLUN_BED_CAP,$A134+$B134+AD$4&gt;TOTAL_BEDS_AVAILABLE,($D134+AD$5)&gt;TOTAL_LABOR_HOURS_CAP,MAX(0,($D134+AD$5)-PERMANENT_FIELD_LABOR_HOURS)&gt;TEMP_HOURS_CAP),"",$C134+AD$6-MIN(($D134+AD$5),PERMANENT_FIELD_LABOR_HOURS)*PERMANENT_HOURLY_RATE-MAX(0,($D134+AD$5)-PERMANENT_FIELD_LABOR_HOURS)*TEMP_HOURLY_RATE-FIXED_SEASON_COST)</f>
        <v>16832.2631875914</v>
      </c>
      <c r="AE134" s="53" t="n">
        <f aca="false">IF(OR($A134&gt;TOMATO_BED_CAP,$B134&gt;CARROT_BED_CAP,AE$4&gt;MESCLUN_BED_CAP,$A134+$B134+AE$4&gt;TOTAL_BEDS_AVAILABLE,($D134+AE$5)&gt;TOTAL_LABOR_HOURS_CAP,MAX(0,($D134+AE$5)-PERMANENT_FIELD_LABOR_HOURS)&gt;TEMP_HOURS_CAP),"",$C134+AE$6-MIN(($D134+AE$5),PERMANENT_FIELD_LABOR_HOURS)*PERMANENT_HOURLY_RATE-MAX(0,($D134+AE$5)-PERMANENT_FIELD_LABOR_HOURS)*TEMP_HOURLY_RATE-FIXED_SEASON_COST)</f>
        <v>17270.7904718253</v>
      </c>
      <c r="AF134" s="53" t="n">
        <f aca="false">IF(OR($A134&gt;TOMATO_BED_CAP,$B134&gt;CARROT_BED_CAP,AF$4&gt;MESCLUN_BED_CAP,$A134+$B134+AF$4&gt;TOTAL_BEDS_AVAILABLE,($D134+AF$5)&gt;TOTAL_LABOR_HOURS_CAP,MAX(0,($D134+AF$5)-PERMANENT_FIELD_LABOR_HOURS)&gt;TEMP_HOURS_CAP),"",$C134+AF$6-MIN(($D134+AF$5),PERMANENT_FIELD_LABOR_HOURS)*PERMANENT_HOURLY_RATE-MAX(0,($D134+AF$5)-PERMANENT_FIELD_LABOR_HOURS)*TEMP_HOURLY_RATE-FIXED_SEASON_COST)</f>
        <v>17678.7280030673</v>
      </c>
      <c r="AG134" s="53" t="n">
        <f aca="false">IF(OR($A134&gt;TOMATO_BED_CAP,$B134&gt;CARROT_BED_CAP,AG$4&gt;MESCLUN_BED_CAP,$A134+$B134+AG$4&gt;TOTAL_BEDS_AVAILABLE,($D134+AG$5)&gt;TOTAL_LABOR_HOURS_CAP,MAX(0,($D134+AG$5)-PERMANENT_FIELD_LABOR_HOURS)&gt;TEMP_HOURS_CAP),"",$C134+AG$6-MIN(($D134+AG$5),PERMANENT_FIELD_LABOR_HOURS)*PERMANENT_HOURLY_RATE-MAX(0,($D134+AG$5)-PERMANENT_FIELD_LABOR_HOURS)*TEMP_HOURLY_RATE-FIXED_SEASON_COST)</f>
        <v>18055.5268926043</v>
      </c>
      <c r="AH134" s="53" t="n">
        <f aca="false">IF(OR($A134&gt;TOMATO_BED_CAP,$B134&gt;CARROT_BED_CAP,AH$4&gt;MESCLUN_BED_CAP,$A134+$B134+AH$4&gt;TOTAL_BEDS_AVAILABLE,($D134+AH$5)&gt;TOTAL_LABOR_HOURS_CAP,MAX(0,($D134+AH$5)-PERMANENT_FIELD_LABOR_HOURS)&gt;TEMP_HOURS_CAP),"",$C134+AH$6-MIN(($D134+AH$5),PERMANENT_FIELD_LABOR_HOURS)*PERMANENT_HOURLY_RATE-MAX(0,($D134+AH$5)-PERMANENT_FIELD_LABOR_HOURS)*TEMP_HOURLY_RATE-FIXED_SEASON_COST)</f>
        <v>18400.6293091545</v>
      </c>
      <c r="AI134" s="53" t="n">
        <f aca="false">IF(OR($A134&gt;TOMATO_BED_CAP,$B134&gt;CARROT_BED_CAP,AI$4&gt;MESCLUN_BED_CAP,$A134+$B134+AI$4&gt;TOTAL_BEDS_AVAILABLE,($D134+AI$5)&gt;TOTAL_LABOR_HOURS_CAP,MAX(0,($D134+AI$5)-PERMANENT_FIELD_LABOR_HOURS)&gt;TEMP_HOURS_CAP),"",$C134+AI$6-MIN(($D134+AI$5),PERMANENT_FIELD_LABOR_HOURS)*PERMANENT_HOURLY_RATE-MAX(0,($D134+AI$5)-PERMANENT_FIELD_LABOR_HOURS)*TEMP_HOURLY_RATE-FIXED_SEASON_COST)</f>
        <v>18713.4683410668</v>
      </c>
      <c r="AJ134" s="53" t="n">
        <f aca="false">IF(OR($A134&gt;TOMATO_BED_CAP,$B134&gt;CARROT_BED_CAP,AJ$4&gt;MESCLUN_BED_CAP,$A134+$B134+AJ$4&gt;TOTAL_BEDS_AVAILABLE,($D134+AJ$5)&gt;TOTAL_LABOR_HOURS_CAP,MAX(0,($D134+AJ$5)-PERMANENT_FIELD_LABOR_HOURS)&gt;TEMP_HOURS_CAP),"",$C134+AJ$6-MIN(($D134+AJ$5),PERMANENT_FIELD_LABOR_HOURS)*PERMANENT_HOURLY_RATE-MAX(0,($D134+AJ$5)-PERMANENT_FIELD_LABOR_HOURS)*TEMP_HOURLY_RATE-FIXED_SEASON_COST)</f>
        <v>18993.4678564725</v>
      </c>
    </row>
    <row r="135" customFormat="false" ht="15" hidden="false" customHeight="false" outlineLevel="0" collapsed="false">
      <c r="A135" s="21" t="n">
        <f aca="false">INT((ROW()-ROW($A$8))/(20+1))</f>
        <v>6</v>
      </c>
      <c r="B135" s="21" t="n">
        <f aca="false">MOD(ROW()-ROW($A$8),20+1)</f>
        <v>1</v>
      </c>
      <c r="C135" s="13" t="n">
        <f aca="false">A135*(TOMATO_REVENUE_PER_BED-TOMATO_FERTILIZER_PER_BED)+B135*(CARROT_REVENUE_PER_BED-CARROT_FERTILIZER_PER_BED)</f>
        <v>49174</v>
      </c>
      <c r="D135" s="14" t="n">
        <f aca="false">INDEX(TOMATO_SCHED_LABOR_HRS,A135+1)+INDEX(CARROT_SCHED_LABOR_HRS,B135+1)</f>
        <v>987.38064</v>
      </c>
      <c r="E135" s="13" t="n">
        <f aca="false">IF(COUNT(F135:AJ135)=0,"",MAX(F135:AJ135))</f>
        <v>20113.8613844725</v>
      </c>
      <c r="F135" s="53" t="n">
        <f aca="false">IF(OR($A135&gt;TOMATO_BED_CAP,$B135&gt;CARROT_BED_CAP,F$4&gt;MESCLUN_BED_CAP,$A135+$B135+F$4&gt;TOTAL_BEDS_AVAILABLE,($D135+F$5)&gt;TOTAL_LABOR_HOURS_CAP,MAX(0,($D135+F$5)-PERMANENT_FIELD_LABOR_HOURS)&gt;TEMP_HOURS_CAP),"",$C135+F$6-MIN(($D135+F$5),PERMANENT_FIELD_LABOR_HOURS)*PERMANENT_HOURLY_RATE-MAX(0,($D135+F$5)-PERMANENT_FIELD_LABOR_HOURS)*TEMP_HOURLY_RATE-FIXED_SEASON_COST)</f>
        <v>-466.127910400006</v>
      </c>
      <c r="G135" s="53" t="n">
        <f aca="false">IF(OR($A135&gt;TOMATO_BED_CAP,$B135&gt;CARROT_BED_CAP,G$4&gt;MESCLUN_BED_CAP,$A135+$B135+G$4&gt;TOTAL_BEDS_AVAILABLE,($D135+G$5)&gt;TOTAL_LABOR_HOURS_CAP,MAX(0,($D135+G$5)-PERMANENT_FIELD_LABOR_HOURS)&gt;TEMP_HOURS_CAP),"",$C135+G$6-MIN(($D135+G$5),PERMANENT_FIELD_LABOR_HOURS)*PERMANENT_HOURLY_RATE-MAX(0,($D135+G$5)-PERMANENT_FIELD_LABOR_HOURS)*TEMP_HOURLY_RATE-FIXED_SEASON_COST)</f>
        <v>562.907089599998</v>
      </c>
      <c r="H135" s="53" t="n">
        <f aca="false">IF(OR($A135&gt;TOMATO_BED_CAP,$B135&gt;CARROT_BED_CAP,H$4&gt;MESCLUN_BED_CAP,$A135+$B135+H$4&gt;TOTAL_BEDS_AVAILABLE,($D135+H$5)&gt;TOTAL_LABOR_HOURS_CAP,MAX(0,($D135+H$5)-PERMANENT_FIELD_LABOR_HOURS)&gt;TEMP_HOURS_CAP),"",$C135+H$6-MIN(($D135+H$5),PERMANENT_FIELD_LABOR_HOURS)*PERMANENT_HOURLY_RATE-MAX(0,($D135+H$5)-PERMANENT_FIELD_LABOR_HOURS)*TEMP_HOURLY_RATE-FIXED_SEASON_COST)</f>
        <v>1572.16796459999</v>
      </c>
      <c r="I135" s="53" t="n">
        <f aca="false">IF(OR($A135&gt;TOMATO_BED_CAP,$B135&gt;CARROT_BED_CAP,I$4&gt;MESCLUN_BED_CAP,$A135+$B135+I$4&gt;TOTAL_BEDS_AVAILABLE,($D135+I$5)&gt;TOTAL_LABOR_HOURS_CAP,MAX(0,($D135+I$5)-PERMANENT_FIELD_LABOR_HOURS)&gt;TEMP_HOURS_CAP),"",$C135+I$6-MIN(($D135+I$5),PERMANENT_FIELD_LABOR_HOURS)*PERMANENT_HOURLY_RATE-MAX(0,($D135+I$5)-PERMANENT_FIELD_LABOR_HOURS)*TEMP_HOURLY_RATE-FIXED_SEASON_COST)</f>
        <v>2561.28394975625</v>
      </c>
      <c r="J135" s="53" t="n">
        <f aca="false">IF(OR($A135&gt;TOMATO_BED_CAP,$B135&gt;CARROT_BED_CAP,J$4&gt;MESCLUN_BED_CAP,$A135+$B135+J$4&gt;TOTAL_BEDS_AVAILABLE,($D135+J$5)&gt;TOTAL_LABOR_HOURS_CAP,MAX(0,($D135+J$5)-PERMANENT_FIELD_LABOR_HOURS)&gt;TEMP_HOURS_CAP),"",$C135+J$6-MIN(($D135+J$5),PERMANENT_FIELD_LABOR_HOURS)*PERMANENT_HOURLY_RATE-MAX(0,($D135+J$5)-PERMANENT_FIELD_LABOR_HOURS)*TEMP_HOURLY_RATE-FIXED_SEASON_COST)</f>
        <v>3529.87810081093</v>
      </c>
      <c r="K135" s="53" t="n">
        <f aca="false">IF(OR($A135&gt;TOMATO_BED_CAP,$B135&gt;CARROT_BED_CAP,K$4&gt;MESCLUN_BED_CAP,$A135+$B135+K$4&gt;TOTAL_BEDS_AVAILABLE,($D135+K$5)&gt;TOTAL_LABOR_HOURS_CAP,MAX(0,($D135+K$5)-PERMANENT_FIELD_LABOR_HOURS)&gt;TEMP_HOURS_CAP),"",$C135+K$6-MIN(($D135+K$5),PERMANENT_FIELD_LABOR_HOURS)*PERMANENT_HOURLY_RATE-MAX(0,($D135+K$5)-PERMANENT_FIELD_LABOR_HOURS)*TEMP_HOURLY_RATE-FIXED_SEASON_COST)</f>
        <v>4477.56719753884</v>
      </c>
      <c r="L135" s="53" t="n">
        <f aca="false">IF(OR($A135&gt;TOMATO_BED_CAP,$B135&gt;CARROT_BED_CAP,L$4&gt;MESCLUN_BED_CAP,$A135+$B135+L$4&gt;TOTAL_BEDS_AVAILABLE,($D135+L$5)&gt;TOTAL_LABOR_HOURS_CAP,MAX(0,($D135+L$5)-PERMANENT_FIELD_LABOR_HOURS)&gt;TEMP_HOURS_CAP),"",$C135+L$6-MIN(($D135+L$5),PERMANENT_FIELD_LABOR_HOURS)*PERMANENT_HOURLY_RATE-MAX(0,($D135+L$5)-PERMANENT_FIELD_LABOR_HOURS)*TEMP_HOURLY_RATE-FIXED_SEASON_COST)</f>
        <v>5403.9616457457</v>
      </c>
      <c r="M135" s="53" t="n">
        <f aca="false">IF(OR($A135&gt;TOMATO_BED_CAP,$B135&gt;CARROT_BED_CAP,M$4&gt;MESCLUN_BED_CAP,$A135+$B135+M$4&gt;TOTAL_BEDS_AVAILABLE,($D135+M$5)&gt;TOTAL_LABOR_HOURS_CAP,MAX(0,($D135+M$5)-PERMANENT_FIELD_LABOR_HOURS)&gt;TEMP_HOURS_CAP),"",$C135+M$6-MIN(($D135+M$5),PERMANENT_FIELD_LABOR_HOURS)*PERMANENT_HOURLY_RATE-MAX(0,($D135+M$5)-PERMANENT_FIELD_LABOR_HOURS)*TEMP_HOURLY_RATE-FIXED_SEASON_COST)</f>
        <v>6308.6653777971</v>
      </c>
      <c r="N135" s="53" t="n">
        <f aca="false">IF(OR($A135&gt;TOMATO_BED_CAP,$B135&gt;CARROT_BED_CAP,N$4&gt;MESCLUN_BED_CAP,$A135+$B135+N$4&gt;TOTAL_BEDS_AVAILABLE,($D135+N$5)&gt;TOTAL_LABOR_HOURS_CAP,MAX(0,($D135+N$5)-PERMANENT_FIELD_LABOR_HOURS)&gt;TEMP_HOURS_CAP),"",$C135+N$6-MIN(($D135+N$5),PERMANENT_FIELD_LABOR_HOURS)*PERMANENT_HOURLY_RATE-MAX(0,($D135+N$5)-PERMANENT_FIELD_LABOR_HOURS)*TEMP_HOURLY_RATE-FIXED_SEASON_COST)</f>
        <v>7191.27575165665</v>
      </c>
      <c r="O135" s="53" t="n">
        <f aca="false">IF(OR($A135&gt;TOMATO_BED_CAP,$B135&gt;CARROT_BED_CAP,O$4&gt;MESCLUN_BED_CAP,$A135+$B135+O$4&gt;TOTAL_BEDS_AVAILABLE,($D135+O$5)&gt;TOTAL_LABOR_HOURS_CAP,MAX(0,($D135+O$5)-PERMANENT_FIELD_LABOR_HOURS)&gt;TEMP_HOURS_CAP),"",$C135+O$6-MIN(($D135+O$5),PERMANENT_FIELD_LABOR_HOURS)*PERMANENT_HOURLY_RATE-MAX(0,($D135+O$5)-PERMANENT_FIELD_LABOR_HOURS)*TEMP_HOURLY_RATE-FIXED_SEASON_COST)</f>
        <v>8051.3834484114</v>
      </c>
      <c r="P135" s="53" t="n">
        <f aca="false">IF(OR($A135&gt;TOMATO_BED_CAP,$B135&gt;CARROT_BED_CAP,P$4&gt;MESCLUN_BED_CAP,$A135+$B135+P$4&gt;TOTAL_BEDS_AVAILABLE,($D135+P$5)&gt;TOTAL_LABOR_HOURS_CAP,MAX(0,($D135+P$5)-PERMANENT_FIELD_LABOR_HOURS)&gt;TEMP_HOURS_CAP),"",$C135+P$6-MIN(($D135+P$5),PERMANENT_FIELD_LABOR_HOURS)*PERMANENT_HOURLY_RATE-MAX(0,($D135+P$5)-PERMANENT_FIELD_LABOR_HOURS)*TEMP_HOURLY_RATE-FIXED_SEASON_COST)</f>
        <v>8888.57236826283</v>
      </c>
      <c r="Q135" s="53" t="n">
        <f aca="false">IF(OR($A135&gt;TOMATO_BED_CAP,$B135&gt;CARROT_BED_CAP,Q$4&gt;MESCLUN_BED_CAP,$A135+$B135+Q$4&gt;TOTAL_BEDS_AVAILABLE,($D135+Q$5)&gt;TOTAL_LABOR_HOURS_CAP,MAX(0,($D135+Q$5)-PERMANENT_FIELD_LABOR_HOURS)&gt;TEMP_HOURS_CAP),"",$C135+Q$6-MIN(($D135+Q$5),PERMANENT_FIELD_LABOR_HOURS)*PERMANENT_HOURLY_RATE-MAX(0,($D135+Q$5)-PERMANENT_FIELD_LABOR_HOURS)*TEMP_HOURLY_RATE-FIXED_SEASON_COST)</f>
        <v>9702.41952496072</v>
      </c>
      <c r="R135" s="53" t="n">
        <f aca="false">IF(OR($A135&gt;TOMATO_BED_CAP,$B135&gt;CARROT_BED_CAP,R$4&gt;MESCLUN_BED_CAP,$A135+$B135+R$4&gt;TOTAL_BEDS_AVAILABLE,($D135+R$5)&gt;TOTAL_LABOR_HOURS_CAP,MAX(0,($D135+R$5)-PERMANENT_FIELD_LABOR_HOURS)&gt;TEMP_HOURS_CAP),"",$C135+R$6-MIN(($D135+R$5),PERMANENT_FIELD_LABOR_HOURS)*PERMANENT_HOURLY_RATE-MAX(0,($D135+R$5)-PERMANENT_FIELD_LABOR_HOURS)*TEMP_HOURLY_RATE-FIXED_SEASON_COST)</f>
        <v>10492.4949386575</v>
      </c>
      <c r="S135" s="53" t="n">
        <f aca="false">IF(OR($A135&gt;TOMATO_BED_CAP,$B135&gt;CARROT_BED_CAP,S$4&gt;MESCLUN_BED_CAP,$A135+$B135+S$4&gt;TOTAL_BEDS_AVAILABLE,($D135+S$5)&gt;TOTAL_LABOR_HOURS_CAP,MAX(0,($D135+S$5)-PERMANENT_FIELD_LABOR_HOURS)&gt;TEMP_HOURS_CAP),"",$C135+S$6-MIN(($D135+S$5),PERMANENT_FIELD_LABOR_HOURS)*PERMANENT_HOURLY_RATE-MAX(0,($D135+S$5)-PERMANENT_FIELD_LABOR_HOURS)*TEMP_HOURLY_RATE-FIXED_SEASON_COST)</f>
        <v>11258.36152716</v>
      </c>
      <c r="T135" s="53" t="n">
        <f aca="false">IF(OR($A135&gt;TOMATO_BED_CAP,$B135&gt;CARROT_BED_CAP,T$4&gt;MESCLUN_BED_CAP,$A135+$B135+T$4&gt;TOTAL_BEDS_AVAILABLE,($D135+T$5)&gt;TOTAL_LABOR_HOURS_CAP,MAX(0,($D135+T$5)-PERMANENT_FIELD_LABOR_HOURS)&gt;TEMP_HOURS_CAP),"",$C135+T$6-MIN(($D135+T$5),PERMANENT_FIELD_LABOR_HOURS)*PERMANENT_HOURLY_RATE-MAX(0,($D135+T$5)-PERMANENT_FIELD_LABOR_HOURS)*TEMP_HOURLY_RATE-FIXED_SEASON_COST)</f>
        <v>11999.5749955548</v>
      </c>
      <c r="U135" s="53" t="n">
        <f aca="false">IF(OR($A135&gt;TOMATO_BED_CAP,$B135&gt;CARROT_BED_CAP,U$4&gt;MESCLUN_BED_CAP,$A135+$B135+U$4&gt;TOTAL_BEDS_AVAILABLE,($D135+U$5)&gt;TOTAL_LABOR_HOURS_CAP,MAX(0,($D135+U$5)-PERMANENT_FIELD_LABOR_HOURS)&gt;TEMP_HOURS_CAP),"",$C135+U$6-MIN(($D135+U$5),PERMANENT_FIELD_LABOR_HOURS)*PERMANENT_HOURLY_RATE-MAX(0,($D135+U$5)-PERMANENT_FIELD_LABOR_HOURS)*TEMP_HOURLY_RATE-FIXED_SEASON_COST)</f>
        <v>12715.6837241849</v>
      </c>
      <c r="V135" s="53" t="n">
        <f aca="false">IF(OR($A135&gt;TOMATO_BED_CAP,$B135&gt;CARROT_BED_CAP,V$4&gt;MESCLUN_BED_CAP,$A135+$B135+V$4&gt;TOTAL_BEDS_AVAILABLE,($D135+V$5)&gt;TOTAL_LABOR_HOURS_CAP,MAX(0,($D135+V$5)-PERMANENT_FIELD_LABOR_HOURS)&gt;TEMP_HOURS_CAP),"",$C135+V$6-MIN(($D135+V$5),PERMANENT_FIELD_LABOR_HOURS)*PERMANENT_HOURLY_RATE-MAX(0,($D135+V$5)-PERMANENT_FIELD_LABOR_HOURS)*TEMP_HOURLY_RATE-FIXED_SEASON_COST)</f>
        <v>13406.2286549517</v>
      </c>
      <c r="W135" s="53" t="n">
        <f aca="false">IF(OR($A135&gt;TOMATO_BED_CAP,$B135&gt;CARROT_BED_CAP,W$4&gt;MESCLUN_BED_CAP,$A135+$B135+W$4&gt;TOTAL_BEDS_AVAILABLE,($D135+W$5)&gt;TOTAL_LABOR_HOURS_CAP,MAX(0,($D135+W$5)-PERMANENT_FIELD_LABOR_HOURS)&gt;TEMP_HOURS_CAP),"",$C135+W$6-MIN(($D135+W$5),PERMANENT_FIELD_LABOR_HOURS)*PERMANENT_HOURLY_RATE-MAX(0,($D135+W$5)-PERMANENT_FIELD_LABOR_HOURS)*TEMP_HOURLY_RATE-FIXED_SEASON_COST)</f>
        <v>14070.7431759198</v>
      </c>
      <c r="X135" s="53" t="n">
        <f aca="false">IF(OR($A135&gt;TOMATO_BED_CAP,$B135&gt;CARROT_BED_CAP,X$4&gt;MESCLUN_BED_CAP,$A135+$B135+X$4&gt;TOTAL_BEDS_AVAILABLE,($D135+X$5)&gt;TOTAL_LABOR_HOURS_CAP,MAX(0,($D135+X$5)-PERMANENT_FIELD_LABOR_HOURS)&gt;TEMP_HOURS_CAP),"",$C135+X$6-MIN(($D135+X$5),PERMANENT_FIELD_LABOR_HOURS)*PERMANENT_HOURLY_RATE-MAX(0,($D135+X$5)-PERMANENT_FIELD_LABOR_HOURS)*TEMP_HOURLY_RATE-FIXED_SEASON_COST)</f>
        <v>14708.7530041987</v>
      </c>
      <c r="Y135" s="53" t="n">
        <f aca="false">IF(OR($A135&gt;TOMATO_BED_CAP,$B135&gt;CARROT_BED_CAP,Y$4&gt;MESCLUN_BED_CAP,$A135+$B135+Y$4&gt;TOTAL_BEDS_AVAILABLE,($D135+Y$5)&gt;TOTAL_LABOR_HOURS_CAP,MAX(0,($D135+Y$5)-PERMANENT_FIELD_LABOR_HOURS)&gt;TEMP_HOURS_CAP),"",$C135+Y$6-MIN(($D135+Y$5),PERMANENT_FIELD_LABOR_HOURS)*PERMANENT_HOURLY_RATE-MAX(0,($D135+Y$5)-PERMANENT_FIELD_LABOR_HOURS)*TEMP_HOURLY_RATE-FIXED_SEASON_COST)</f>
        <v>15319.7760670774</v>
      </c>
      <c r="Z135" s="53" t="n">
        <f aca="false">IF(OR($A135&gt;TOMATO_BED_CAP,$B135&gt;CARROT_BED_CAP,Z$4&gt;MESCLUN_BED_CAP,$A135+$B135+Z$4&gt;TOTAL_BEDS_AVAILABLE,($D135+Z$5)&gt;TOTAL_LABOR_HOURS_CAP,MAX(0,($D135+Z$5)-PERMANENT_FIELD_LABOR_HOURS)&gt;TEMP_HOURS_CAP),"",$C135+Z$6-MIN(($D135+Z$5),PERMANENT_FIELD_LABOR_HOURS)*PERMANENT_HOURLY_RATE-MAX(0,($D135+Z$5)-PERMANENT_FIELD_LABOR_HOURS)*TEMP_HOURLY_RATE-FIXED_SEASON_COST)</f>
        <v>15903.3223813851</v>
      </c>
      <c r="AA135" s="53" t="n">
        <f aca="false">IF(OR($A135&gt;TOMATO_BED_CAP,$B135&gt;CARROT_BED_CAP,AA$4&gt;MESCLUN_BED_CAP,$A135+$B135+AA$4&gt;TOTAL_BEDS_AVAILABLE,($D135+AA$5)&gt;TOTAL_LABOR_HOURS_CAP,MAX(0,($D135+AA$5)-PERMANENT_FIELD_LABOR_HOURS)&gt;TEMP_HOURS_CAP),"",$C135+AA$6-MIN(($D135+AA$5),PERMANENT_FIELD_LABOR_HOURS)*PERMANENT_HOURLY_RATE-MAX(0,($D135+AA$5)-PERMANENT_FIELD_LABOR_HOURS)*TEMP_HOURLY_RATE-FIXED_SEASON_COST)</f>
        <v>16458.893931054</v>
      </c>
      <c r="AB135" s="53" t="n">
        <f aca="false">IF(OR($A135&gt;TOMATO_BED_CAP,$B135&gt;CARROT_BED_CAP,AB$4&gt;MESCLUN_BED_CAP,$A135+$B135+AB$4&gt;TOTAL_BEDS_AVAILABLE,($D135+AB$5)&gt;TOTAL_LABOR_HOURS_CAP,MAX(0,($D135+AB$5)-PERMANENT_FIELD_LABOR_HOURS)&gt;TEMP_HOURS_CAP),"",$C135+AB$6-MIN(($D135+AB$5),PERMANENT_FIELD_LABOR_HOURS)*PERMANENT_HOURLY_RATE-MAX(0,($D135+AB$5)-PERMANENT_FIELD_LABOR_HOURS)*TEMP_HOURLY_RATE-FIXED_SEASON_COST)</f>
        <v>16985.9845428566</v>
      </c>
      <c r="AC135" s="53" t="n">
        <f aca="false">IF(OR($A135&gt;TOMATO_BED_CAP,$B135&gt;CARROT_BED_CAP,AC$4&gt;MESCLUN_BED_CAP,$A135+$B135+AC$4&gt;TOTAL_BEDS_AVAILABLE,($D135+AC$5)&gt;TOTAL_LABOR_HOURS_CAP,MAX(0,($D135+AC$5)-PERMANENT_FIELD_LABOR_HOURS)&gt;TEMP_HOURS_CAP),"",$C135+AC$6-MIN(($D135+AC$5),PERMANENT_FIELD_LABOR_HOURS)*PERMANENT_HOURLY_RATE-MAX(0,($D135+AC$5)-PERMANENT_FIELD_LABOR_HOURS)*TEMP_HOURLY_RATE-FIXED_SEASON_COST)</f>
        <v>17484.0797602915</v>
      </c>
      <c r="AD135" s="53" t="n">
        <f aca="false">IF(OR($A135&gt;TOMATO_BED_CAP,$B135&gt;CARROT_BED_CAP,AD$4&gt;MESCLUN_BED_CAP,$A135+$B135+AD$4&gt;TOTAL_BEDS_AVAILABLE,($D135+AD$5)&gt;TOTAL_LABOR_HOURS_CAP,MAX(0,($D135+AD$5)-PERMANENT_FIELD_LABOR_HOURS)&gt;TEMP_HOURS_CAP),"",$C135+AD$6-MIN(($D135+AD$5),PERMANENT_FIELD_LABOR_HOURS)*PERMANENT_HOURLY_RATE-MAX(0,($D135+AD$5)-PERMANENT_FIELD_LABOR_HOURS)*TEMP_HOURLY_RATE-FIXED_SEASON_COST)</f>
        <v>17952.6567155914</v>
      </c>
      <c r="AE135" s="53" t="n">
        <f aca="false">IF(OR($A135&gt;TOMATO_BED_CAP,$B135&gt;CARROT_BED_CAP,AE$4&gt;MESCLUN_BED_CAP,$A135+$B135+AE$4&gt;TOTAL_BEDS_AVAILABLE,($D135+AE$5)&gt;TOTAL_LABOR_HOURS_CAP,MAX(0,($D135+AE$5)-PERMANENT_FIELD_LABOR_HOURS)&gt;TEMP_HOURS_CAP),"",$C135+AE$6-MIN(($D135+AE$5),PERMANENT_FIELD_LABOR_HOURS)*PERMANENT_HOURLY_RATE-MAX(0,($D135+AE$5)-PERMANENT_FIELD_LABOR_HOURS)*TEMP_HOURLY_RATE-FIXED_SEASON_COST)</f>
        <v>18391.1839998253</v>
      </c>
      <c r="AF135" s="53" t="n">
        <f aca="false">IF(OR($A135&gt;TOMATO_BED_CAP,$B135&gt;CARROT_BED_CAP,AF$4&gt;MESCLUN_BED_CAP,$A135+$B135+AF$4&gt;TOTAL_BEDS_AVAILABLE,($D135+AF$5)&gt;TOTAL_LABOR_HOURS_CAP,MAX(0,($D135+AF$5)-PERMANENT_FIELD_LABOR_HOURS)&gt;TEMP_HOURS_CAP),"",$C135+AF$6-MIN(($D135+AF$5),PERMANENT_FIELD_LABOR_HOURS)*PERMANENT_HOURLY_RATE-MAX(0,($D135+AF$5)-PERMANENT_FIELD_LABOR_HOURS)*TEMP_HOURLY_RATE-FIXED_SEASON_COST)</f>
        <v>18799.1215310673</v>
      </c>
      <c r="AG135" s="53" t="n">
        <f aca="false">IF(OR($A135&gt;TOMATO_BED_CAP,$B135&gt;CARROT_BED_CAP,AG$4&gt;MESCLUN_BED_CAP,$A135+$B135+AG$4&gt;TOTAL_BEDS_AVAILABLE,($D135+AG$5)&gt;TOTAL_LABOR_HOURS_CAP,MAX(0,($D135+AG$5)-PERMANENT_FIELD_LABOR_HOURS)&gt;TEMP_HOURS_CAP),"",$C135+AG$6-MIN(($D135+AG$5),PERMANENT_FIELD_LABOR_HOURS)*PERMANENT_HOURLY_RATE-MAX(0,($D135+AG$5)-PERMANENT_FIELD_LABOR_HOURS)*TEMP_HOURLY_RATE-FIXED_SEASON_COST)</f>
        <v>19175.9204206043</v>
      </c>
      <c r="AH135" s="53" t="n">
        <f aca="false">IF(OR($A135&gt;TOMATO_BED_CAP,$B135&gt;CARROT_BED_CAP,AH$4&gt;MESCLUN_BED_CAP,$A135+$B135+AH$4&gt;TOTAL_BEDS_AVAILABLE,($D135+AH$5)&gt;TOTAL_LABOR_HOURS_CAP,MAX(0,($D135+AH$5)-PERMANENT_FIELD_LABOR_HOURS)&gt;TEMP_HOURS_CAP),"",$C135+AH$6-MIN(($D135+AH$5),PERMANENT_FIELD_LABOR_HOURS)*PERMANENT_HOURLY_RATE-MAX(0,($D135+AH$5)-PERMANENT_FIELD_LABOR_HOURS)*TEMP_HOURLY_RATE-FIXED_SEASON_COST)</f>
        <v>19521.0228371545</v>
      </c>
      <c r="AI135" s="53" t="n">
        <f aca="false">IF(OR($A135&gt;TOMATO_BED_CAP,$B135&gt;CARROT_BED_CAP,AI$4&gt;MESCLUN_BED_CAP,$A135+$B135+AI$4&gt;TOTAL_BEDS_AVAILABLE,($D135+AI$5)&gt;TOTAL_LABOR_HOURS_CAP,MAX(0,($D135+AI$5)-PERMANENT_FIELD_LABOR_HOURS)&gt;TEMP_HOURS_CAP),"",$C135+AI$6-MIN(($D135+AI$5),PERMANENT_FIELD_LABOR_HOURS)*PERMANENT_HOURLY_RATE-MAX(0,($D135+AI$5)-PERMANENT_FIELD_LABOR_HOURS)*TEMP_HOURLY_RATE-FIXED_SEASON_COST)</f>
        <v>19833.8618690668</v>
      </c>
      <c r="AJ135" s="53" t="n">
        <f aca="false">IF(OR($A135&gt;TOMATO_BED_CAP,$B135&gt;CARROT_BED_CAP,AJ$4&gt;MESCLUN_BED_CAP,$A135+$B135+AJ$4&gt;TOTAL_BEDS_AVAILABLE,($D135+AJ$5)&gt;TOTAL_LABOR_HOURS_CAP,MAX(0,($D135+AJ$5)-PERMANENT_FIELD_LABOR_HOURS)&gt;TEMP_HOURS_CAP),"",$C135+AJ$6-MIN(($D135+AJ$5),PERMANENT_FIELD_LABOR_HOURS)*PERMANENT_HOURLY_RATE-MAX(0,($D135+AJ$5)-PERMANENT_FIELD_LABOR_HOURS)*TEMP_HOURLY_RATE-FIXED_SEASON_COST)</f>
        <v>20113.8613844725</v>
      </c>
    </row>
    <row r="136" customFormat="false" ht="15" hidden="false" customHeight="false" outlineLevel="0" collapsed="false">
      <c r="A136" s="21" t="n">
        <f aca="false">INT((ROW()-ROW($A$8))/(20+1))</f>
        <v>6</v>
      </c>
      <c r="B136" s="21" t="n">
        <f aca="false">MOD(ROW()-ROW($A$8),20+1)</f>
        <v>2</v>
      </c>
      <c r="C136" s="13" t="n">
        <f aca="false">A136*(TOMATO_REVENUE_PER_BED-TOMATO_FERTILIZER_PER_BED)+B136*(CARROT_REVENUE_PER_BED-CARROT_FERTILIZER_PER_BED)</f>
        <v>50828</v>
      </c>
      <c r="D136" s="14" t="n">
        <f aca="false">INDEX(TOMATO_SCHED_LABOR_HRS,A136+1)+INDEX(CARROT_SCHED_LABOR_HRS,B136+1)</f>
        <v>1019.655225</v>
      </c>
      <c r="E136" s="13" t="n">
        <f aca="false">IF(COUNT(F136:AJ136)=0,"",MAX(F136:AJ136))</f>
        <v>21207.5745888725</v>
      </c>
      <c r="F136" s="53" t="n">
        <f aca="false">IF(OR($A136&gt;TOMATO_BED_CAP,$B136&gt;CARROT_BED_CAP,F$4&gt;MESCLUN_BED_CAP,$A136+$B136+F$4&gt;TOTAL_BEDS_AVAILABLE,($D136+F$5)&gt;TOTAL_LABOR_HOURS_CAP,MAX(0,($D136+F$5)-PERMANENT_FIELD_LABOR_HOURS)&gt;TEMP_HOURS_CAP),"",$C136+F$6-MIN(($D136+F$5),PERMANENT_FIELD_LABOR_HOURS)*PERMANENT_HOURLY_RATE-MAX(0,($D136+F$5)-PERMANENT_FIELD_LABOR_HOURS)*TEMP_HOURLY_RATE-FIXED_SEASON_COST)</f>
        <v>627.585293999997</v>
      </c>
      <c r="G136" s="53" t="n">
        <f aca="false">IF(OR($A136&gt;TOMATO_BED_CAP,$B136&gt;CARROT_BED_CAP,G$4&gt;MESCLUN_BED_CAP,$A136+$B136+G$4&gt;TOTAL_BEDS_AVAILABLE,($D136+G$5)&gt;TOTAL_LABOR_HOURS_CAP,MAX(0,($D136+G$5)-PERMANENT_FIELD_LABOR_HOURS)&gt;TEMP_HOURS_CAP),"",$C136+G$6-MIN(($D136+G$5),PERMANENT_FIELD_LABOR_HOURS)*PERMANENT_HOURLY_RATE-MAX(0,($D136+G$5)-PERMANENT_FIELD_LABOR_HOURS)*TEMP_HOURLY_RATE-FIXED_SEASON_COST)</f>
        <v>1656.62029399999</v>
      </c>
      <c r="H136" s="53" t="n">
        <f aca="false">IF(OR($A136&gt;TOMATO_BED_CAP,$B136&gt;CARROT_BED_CAP,H$4&gt;MESCLUN_BED_CAP,$A136+$B136+H$4&gt;TOTAL_BEDS_AVAILABLE,($D136+H$5)&gt;TOTAL_LABOR_HOURS_CAP,MAX(0,($D136+H$5)-PERMANENT_FIELD_LABOR_HOURS)&gt;TEMP_HOURS_CAP),"",$C136+H$6-MIN(($D136+H$5),PERMANENT_FIELD_LABOR_HOURS)*PERMANENT_HOURLY_RATE-MAX(0,($D136+H$5)-PERMANENT_FIELD_LABOR_HOURS)*TEMP_HOURLY_RATE-FIXED_SEASON_COST)</f>
        <v>2665.881169</v>
      </c>
      <c r="I136" s="53" t="n">
        <f aca="false">IF(OR($A136&gt;TOMATO_BED_CAP,$B136&gt;CARROT_BED_CAP,I$4&gt;MESCLUN_BED_CAP,$A136+$B136+I$4&gt;TOTAL_BEDS_AVAILABLE,($D136+I$5)&gt;TOTAL_LABOR_HOURS_CAP,MAX(0,($D136+I$5)-PERMANENT_FIELD_LABOR_HOURS)&gt;TEMP_HOURS_CAP),"",$C136+I$6-MIN(($D136+I$5),PERMANENT_FIELD_LABOR_HOURS)*PERMANENT_HOURLY_RATE-MAX(0,($D136+I$5)-PERMANENT_FIELD_LABOR_HOURS)*TEMP_HOURLY_RATE-FIXED_SEASON_COST)</f>
        <v>3654.99715415624</v>
      </c>
      <c r="J136" s="53" t="n">
        <f aca="false">IF(OR($A136&gt;TOMATO_BED_CAP,$B136&gt;CARROT_BED_CAP,J$4&gt;MESCLUN_BED_CAP,$A136+$B136+J$4&gt;TOTAL_BEDS_AVAILABLE,($D136+J$5)&gt;TOTAL_LABOR_HOURS_CAP,MAX(0,($D136+J$5)-PERMANENT_FIELD_LABOR_HOURS)&gt;TEMP_HOURS_CAP),"",$C136+J$6-MIN(($D136+J$5),PERMANENT_FIELD_LABOR_HOURS)*PERMANENT_HOURLY_RATE-MAX(0,($D136+J$5)-PERMANENT_FIELD_LABOR_HOURS)*TEMP_HOURLY_RATE-FIXED_SEASON_COST)</f>
        <v>4623.59130521094</v>
      </c>
      <c r="K136" s="53" t="n">
        <f aca="false">IF(OR($A136&gt;TOMATO_BED_CAP,$B136&gt;CARROT_BED_CAP,K$4&gt;MESCLUN_BED_CAP,$A136+$B136+K$4&gt;TOTAL_BEDS_AVAILABLE,($D136+K$5)&gt;TOTAL_LABOR_HOURS_CAP,MAX(0,($D136+K$5)-PERMANENT_FIELD_LABOR_HOURS)&gt;TEMP_HOURS_CAP),"",$C136+K$6-MIN(($D136+K$5),PERMANENT_FIELD_LABOR_HOURS)*PERMANENT_HOURLY_RATE-MAX(0,($D136+K$5)-PERMANENT_FIELD_LABOR_HOURS)*TEMP_HOURLY_RATE-FIXED_SEASON_COST)</f>
        <v>5571.28040193884</v>
      </c>
      <c r="L136" s="53" t="n">
        <f aca="false">IF(OR($A136&gt;TOMATO_BED_CAP,$B136&gt;CARROT_BED_CAP,L$4&gt;MESCLUN_BED_CAP,$A136+$B136+L$4&gt;TOTAL_BEDS_AVAILABLE,($D136+L$5)&gt;TOTAL_LABOR_HOURS_CAP,MAX(0,($D136+L$5)-PERMANENT_FIELD_LABOR_HOURS)&gt;TEMP_HOURS_CAP),"",$C136+L$6-MIN(($D136+L$5),PERMANENT_FIELD_LABOR_HOURS)*PERMANENT_HOURLY_RATE-MAX(0,($D136+L$5)-PERMANENT_FIELD_LABOR_HOURS)*TEMP_HOURLY_RATE-FIXED_SEASON_COST)</f>
        <v>6497.6748501457</v>
      </c>
      <c r="M136" s="53" t="n">
        <f aca="false">IF(OR($A136&gt;TOMATO_BED_CAP,$B136&gt;CARROT_BED_CAP,M$4&gt;MESCLUN_BED_CAP,$A136+$B136+M$4&gt;TOTAL_BEDS_AVAILABLE,($D136+M$5)&gt;TOTAL_LABOR_HOURS_CAP,MAX(0,($D136+M$5)-PERMANENT_FIELD_LABOR_HOURS)&gt;TEMP_HOURS_CAP),"",$C136+M$6-MIN(($D136+M$5),PERMANENT_FIELD_LABOR_HOURS)*PERMANENT_HOURLY_RATE-MAX(0,($D136+M$5)-PERMANENT_FIELD_LABOR_HOURS)*TEMP_HOURLY_RATE-FIXED_SEASON_COST)</f>
        <v>7402.3785821971</v>
      </c>
      <c r="N136" s="53" t="n">
        <f aca="false">IF(OR($A136&gt;TOMATO_BED_CAP,$B136&gt;CARROT_BED_CAP,N$4&gt;MESCLUN_BED_CAP,$A136+$B136+N$4&gt;TOTAL_BEDS_AVAILABLE,($D136+N$5)&gt;TOTAL_LABOR_HOURS_CAP,MAX(0,($D136+N$5)-PERMANENT_FIELD_LABOR_HOURS)&gt;TEMP_HOURS_CAP),"",$C136+N$6-MIN(($D136+N$5),PERMANENT_FIELD_LABOR_HOURS)*PERMANENT_HOURLY_RATE-MAX(0,($D136+N$5)-PERMANENT_FIELD_LABOR_HOURS)*TEMP_HOURLY_RATE-FIXED_SEASON_COST)</f>
        <v>8284.98895605664</v>
      </c>
      <c r="O136" s="53" t="n">
        <f aca="false">IF(OR($A136&gt;TOMATO_BED_CAP,$B136&gt;CARROT_BED_CAP,O$4&gt;MESCLUN_BED_CAP,$A136+$B136+O$4&gt;TOTAL_BEDS_AVAILABLE,($D136+O$5)&gt;TOTAL_LABOR_HOURS_CAP,MAX(0,($D136+O$5)-PERMANENT_FIELD_LABOR_HOURS)&gt;TEMP_HOURS_CAP),"",$C136+O$6-MIN(($D136+O$5),PERMANENT_FIELD_LABOR_HOURS)*PERMANENT_HOURLY_RATE-MAX(0,($D136+O$5)-PERMANENT_FIELD_LABOR_HOURS)*TEMP_HOURLY_RATE-FIXED_SEASON_COST)</f>
        <v>9145.0966528114</v>
      </c>
      <c r="P136" s="53" t="n">
        <f aca="false">IF(OR($A136&gt;TOMATO_BED_CAP,$B136&gt;CARROT_BED_CAP,P$4&gt;MESCLUN_BED_CAP,$A136+$B136+P$4&gt;TOTAL_BEDS_AVAILABLE,($D136+P$5)&gt;TOTAL_LABOR_HOURS_CAP,MAX(0,($D136+P$5)-PERMANENT_FIELD_LABOR_HOURS)&gt;TEMP_HOURS_CAP),"",$C136+P$6-MIN(($D136+P$5),PERMANENT_FIELD_LABOR_HOURS)*PERMANENT_HOURLY_RATE-MAX(0,($D136+P$5)-PERMANENT_FIELD_LABOR_HOURS)*TEMP_HOURLY_RATE-FIXED_SEASON_COST)</f>
        <v>9982.28557266283</v>
      </c>
      <c r="Q136" s="53" t="n">
        <f aca="false">IF(OR($A136&gt;TOMATO_BED_CAP,$B136&gt;CARROT_BED_CAP,Q$4&gt;MESCLUN_BED_CAP,$A136+$B136+Q$4&gt;TOTAL_BEDS_AVAILABLE,($D136+Q$5)&gt;TOTAL_LABOR_HOURS_CAP,MAX(0,($D136+Q$5)-PERMANENT_FIELD_LABOR_HOURS)&gt;TEMP_HOURS_CAP),"",$C136+Q$6-MIN(($D136+Q$5),PERMANENT_FIELD_LABOR_HOURS)*PERMANENT_HOURLY_RATE-MAX(0,($D136+Q$5)-PERMANENT_FIELD_LABOR_HOURS)*TEMP_HOURLY_RATE-FIXED_SEASON_COST)</f>
        <v>10796.1327293607</v>
      </c>
      <c r="R136" s="53" t="n">
        <f aca="false">IF(OR($A136&gt;TOMATO_BED_CAP,$B136&gt;CARROT_BED_CAP,R$4&gt;MESCLUN_BED_CAP,$A136+$B136+R$4&gt;TOTAL_BEDS_AVAILABLE,($D136+R$5)&gt;TOTAL_LABOR_HOURS_CAP,MAX(0,($D136+R$5)-PERMANENT_FIELD_LABOR_HOURS)&gt;TEMP_HOURS_CAP),"",$C136+R$6-MIN(($D136+R$5),PERMANENT_FIELD_LABOR_HOURS)*PERMANENT_HOURLY_RATE-MAX(0,($D136+R$5)-PERMANENT_FIELD_LABOR_HOURS)*TEMP_HOURLY_RATE-FIXED_SEASON_COST)</f>
        <v>11586.2081430575</v>
      </c>
      <c r="S136" s="53" t="n">
        <f aca="false">IF(OR($A136&gt;TOMATO_BED_CAP,$B136&gt;CARROT_BED_CAP,S$4&gt;MESCLUN_BED_CAP,$A136+$B136+S$4&gt;TOTAL_BEDS_AVAILABLE,($D136+S$5)&gt;TOTAL_LABOR_HOURS_CAP,MAX(0,($D136+S$5)-PERMANENT_FIELD_LABOR_HOURS)&gt;TEMP_HOURS_CAP),"",$C136+S$6-MIN(($D136+S$5),PERMANENT_FIELD_LABOR_HOURS)*PERMANENT_HOURLY_RATE-MAX(0,($D136+S$5)-PERMANENT_FIELD_LABOR_HOURS)*TEMP_HOURLY_RATE-FIXED_SEASON_COST)</f>
        <v>12352.07473156</v>
      </c>
      <c r="T136" s="53" t="n">
        <f aca="false">IF(OR($A136&gt;TOMATO_BED_CAP,$B136&gt;CARROT_BED_CAP,T$4&gt;MESCLUN_BED_CAP,$A136+$B136+T$4&gt;TOTAL_BEDS_AVAILABLE,($D136+T$5)&gt;TOTAL_LABOR_HOURS_CAP,MAX(0,($D136+T$5)-PERMANENT_FIELD_LABOR_HOURS)&gt;TEMP_HOURS_CAP),"",$C136+T$6-MIN(($D136+T$5),PERMANENT_FIELD_LABOR_HOURS)*PERMANENT_HOURLY_RATE-MAX(0,($D136+T$5)-PERMANENT_FIELD_LABOR_HOURS)*TEMP_HOURLY_RATE-FIXED_SEASON_COST)</f>
        <v>13093.2881999548</v>
      </c>
      <c r="U136" s="53" t="n">
        <f aca="false">IF(OR($A136&gt;TOMATO_BED_CAP,$B136&gt;CARROT_BED_CAP,U$4&gt;MESCLUN_BED_CAP,$A136+$B136+U$4&gt;TOTAL_BEDS_AVAILABLE,($D136+U$5)&gt;TOTAL_LABOR_HOURS_CAP,MAX(0,($D136+U$5)-PERMANENT_FIELD_LABOR_HOURS)&gt;TEMP_HOURS_CAP),"",$C136+U$6-MIN(($D136+U$5),PERMANENT_FIELD_LABOR_HOURS)*PERMANENT_HOURLY_RATE-MAX(0,($D136+U$5)-PERMANENT_FIELD_LABOR_HOURS)*TEMP_HOURLY_RATE-FIXED_SEASON_COST)</f>
        <v>13809.3969285849</v>
      </c>
      <c r="V136" s="53" t="n">
        <f aca="false">IF(OR($A136&gt;TOMATO_BED_CAP,$B136&gt;CARROT_BED_CAP,V$4&gt;MESCLUN_BED_CAP,$A136+$B136+V$4&gt;TOTAL_BEDS_AVAILABLE,($D136+V$5)&gt;TOTAL_LABOR_HOURS_CAP,MAX(0,($D136+V$5)-PERMANENT_FIELD_LABOR_HOURS)&gt;TEMP_HOURS_CAP),"",$C136+V$6-MIN(($D136+V$5),PERMANENT_FIELD_LABOR_HOURS)*PERMANENT_HOURLY_RATE-MAX(0,($D136+V$5)-PERMANENT_FIELD_LABOR_HOURS)*TEMP_HOURLY_RATE-FIXED_SEASON_COST)</f>
        <v>14499.9418593517</v>
      </c>
      <c r="W136" s="53" t="n">
        <f aca="false">IF(OR($A136&gt;TOMATO_BED_CAP,$B136&gt;CARROT_BED_CAP,W$4&gt;MESCLUN_BED_CAP,$A136+$B136+W$4&gt;TOTAL_BEDS_AVAILABLE,($D136+W$5)&gt;TOTAL_LABOR_HOURS_CAP,MAX(0,($D136+W$5)-PERMANENT_FIELD_LABOR_HOURS)&gt;TEMP_HOURS_CAP),"",$C136+W$6-MIN(($D136+W$5),PERMANENT_FIELD_LABOR_HOURS)*PERMANENT_HOURLY_RATE-MAX(0,($D136+W$5)-PERMANENT_FIELD_LABOR_HOURS)*TEMP_HOURLY_RATE-FIXED_SEASON_COST)</f>
        <v>15164.4563803198</v>
      </c>
      <c r="X136" s="53" t="n">
        <f aca="false">IF(OR($A136&gt;TOMATO_BED_CAP,$B136&gt;CARROT_BED_CAP,X$4&gt;MESCLUN_BED_CAP,$A136+$B136+X$4&gt;TOTAL_BEDS_AVAILABLE,($D136+X$5)&gt;TOTAL_LABOR_HOURS_CAP,MAX(0,($D136+X$5)-PERMANENT_FIELD_LABOR_HOURS)&gt;TEMP_HOURS_CAP),"",$C136+X$6-MIN(($D136+X$5),PERMANENT_FIELD_LABOR_HOURS)*PERMANENT_HOURLY_RATE-MAX(0,($D136+X$5)-PERMANENT_FIELD_LABOR_HOURS)*TEMP_HOURLY_RATE-FIXED_SEASON_COST)</f>
        <v>15802.4662085987</v>
      </c>
      <c r="Y136" s="53" t="n">
        <f aca="false">IF(OR($A136&gt;TOMATO_BED_CAP,$B136&gt;CARROT_BED_CAP,Y$4&gt;MESCLUN_BED_CAP,$A136+$B136+Y$4&gt;TOTAL_BEDS_AVAILABLE,($D136+Y$5)&gt;TOTAL_LABOR_HOURS_CAP,MAX(0,($D136+Y$5)-PERMANENT_FIELD_LABOR_HOURS)&gt;TEMP_HOURS_CAP),"",$C136+Y$6-MIN(($D136+Y$5),PERMANENT_FIELD_LABOR_HOURS)*PERMANENT_HOURLY_RATE-MAX(0,($D136+Y$5)-PERMANENT_FIELD_LABOR_HOURS)*TEMP_HOURLY_RATE-FIXED_SEASON_COST)</f>
        <v>16413.4892714774</v>
      </c>
      <c r="Z136" s="53" t="n">
        <f aca="false">IF(OR($A136&gt;TOMATO_BED_CAP,$B136&gt;CARROT_BED_CAP,Z$4&gt;MESCLUN_BED_CAP,$A136+$B136+Z$4&gt;TOTAL_BEDS_AVAILABLE,($D136+Z$5)&gt;TOTAL_LABOR_HOURS_CAP,MAX(0,($D136+Z$5)-PERMANENT_FIELD_LABOR_HOURS)&gt;TEMP_HOURS_CAP),"",$C136+Z$6-MIN(($D136+Z$5),PERMANENT_FIELD_LABOR_HOURS)*PERMANENT_HOURLY_RATE-MAX(0,($D136+Z$5)-PERMANENT_FIELD_LABOR_HOURS)*TEMP_HOURLY_RATE-FIXED_SEASON_COST)</f>
        <v>16997.0355857851</v>
      </c>
      <c r="AA136" s="53" t="n">
        <f aca="false">IF(OR($A136&gt;TOMATO_BED_CAP,$B136&gt;CARROT_BED_CAP,AA$4&gt;MESCLUN_BED_CAP,$A136+$B136+AA$4&gt;TOTAL_BEDS_AVAILABLE,($D136+AA$5)&gt;TOTAL_LABOR_HOURS_CAP,MAX(0,($D136+AA$5)-PERMANENT_FIELD_LABOR_HOURS)&gt;TEMP_HOURS_CAP),"",$C136+AA$6-MIN(($D136+AA$5),PERMANENT_FIELD_LABOR_HOURS)*PERMANENT_HOURLY_RATE-MAX(0,($D136+AA$5)-PERMANENT_FIELD_LABOR_HOURS)*TEMP_HOURLY_RATE-FIXED_SEASON_COST)</f>
        <v>17552.607135454</v>
      </c>
      <c r="AB136" s="53" t="n">
        <f aca="false">IF(OR($A136&gt;TOMATO_BED_CAP,$B136&gt;CARROT_BED_CAP,AB$4&gt;MESCLUN_BED_CAP,$A136+$B136+AB$4&gt;TOTAL_BEDS_AVAILABLE,($D136+AB$5)&gt;TOTAL_LABOR_HOURS_CAP,MAX(0,($D136+AB$5)-PERMANENT_FIELD_LABOR_HOURS)&gt;TEMP_HOURS_CAP),"",$C136+AB$6-MIN(($D136+AB$5),PERMANENT_FIELD_LABOR_HOURS)*PERMANENT_HOURLY_RATE-MAX(0,($D136+AB$5)-PERMANENT_FIELD_LABOR_HOURS)*TEMP_HOURLY_RATE-FIXED_SEASON_COST)</f>
        <v>18079.6977472566</v>
      </c>
      <c r="AC136" s="53" t="n">
        <f aca="false">IF(OR($A136&gt;TOMATO_BED_CAP,$B136&gt;CARROT_BED_CAP,AC$4&gt;MESCLUN_BED_CAP,$A136+$B136+AC$4&gt;TOTAL_BEDS_AVAILABLE,($D136+AC$5)&gt;TOTAL_LABOR_HOURS_CAP,MAX(0,($D136+AC$5)-PERMANENT_FIELD_LABOR_HOURS)&gt;TEMP_HOURS_CAP),"",$C136+AC$6-MIN(($D136+AC$5),PERMANENT_FIELD_LABOR_HOURS)*PERMANENT_HOURLY_RATE-MAX(0,($D136+AC$5)-PERMANENT_FIELD_LABOR_HOURS)*TEMP_HOURLY_RATE-FIXED_SEASON_COST)</f>
        <v>18577.7929646915</v>
      </c>
      <c r="AD136" s="53" t="n">
        <f aca="false">IF(OR($A136&gt;TOMATO_BED_CAP,$B136&gt;CARROT_BED_CAP,AD$4&gt;MESCLUN_BED_CAP,$A136+$B136+AD$4&gt;TOTAL_BEDS_AVAILABLE,($D136+AD$5)&gt;TOTAL_LABOR_HOURS_CAP,MAX(0,($D136+AD$5)-PERMANENT_FIELD_LABOR_HOURS)&gt;TEMP_HOURS_CAP),"",$C136+AD$6-MIN(($D136+AD$5),PERMANENT_FIELD_LABOR_HOURS)*PERMANENT_HOURLY_RATE-MAX(0,($D136+AD$5)-PERMANENT_FIELD_LABOR_HOURS)*TEMP_HOURLY_RATE-FIXED_SEASON_COST)</f>
        <v>19046.3699199914</v>
      </c>
      <c r="AE136" s="53" t="n">
        <f aca="false">IF(OR($A136&gt;TOMATO_BED_CAP,$B136&gt;CARROT_BED_CAP,AE$4&gt;MESCLUN_BED_CAP,$A136+$B136+AE$4&gt;TOTAL_BEDS_AVAILABLE,($D136+AE$5)&gt;TOTAL_LABOR_HOURS_CAP,MAX(0,($D136+AE$5)-PERMANENT_FIELD_LABOR_HOURS)&gt;TEMP_HOURS_CAP),"",$C136+AE$6-MIN(($D136+AE$5),PERMANENT_FIELD_LABOR_HOURS)*PERMANENT_HOURLY_RATE-MAX(0,($D136+AE$5)-PERMANENT_FIELD_LABOR_HOURS)*TEMP_HOURLY_RATE-FIXED_SEASON_COST)</f>
        <v>19484.8972042253</v>
      </c>
      <c r="AF136" s="53" t="n">
        <f aca="false">IF(OR($A136&gt;TOMATO_BED_CAP,$B136&gt;CARROT_BED_CAP,AF$4&gt;MESCLUN_BED_CAP,$A136+$B136+AF$4&gt;TOTAL_BEDS_AVAILABLE,($D136+AF$5)&gt;TOTAL_LABOR_HOURS_CAP,MAX(0,($D136+AF$5)-PERMANENT_FIELD_LABOR_HOURS)&gt;TEMP_HOURS_CAP),"",$C136+AF$6-MIN(($D136+AF$5),PERMANENT_FIELD_LABOR_HOURS)*PERMANENT_HOURLY_RATE-MAX(0,($D136+AF$5)-PERMANENT_FIELD_LABOR_HOURS)*TEMP_HOURLY_RATE-FIXED_SEASON_COST)</f>
        <v>19892.8347354673</v>
      </c>
      <c r="AG136" s="53" t="n">
        <f aca="false">IF(OR($A136&gt;TOMATO_BED_CAP,$B136&gt;CARROT_BED_CAP,AG$4&gt;MESCLUN_BED_CAP,$A136+$B136+AG$4&gt;TOTAL_BEDS_AVAILABLE,($D136+AG$5)&gt;TOTAL_LABOR_HOURS_CAP,MAX(0,($D136+AG$5)-PERMANENT_FIELD_LABOR_HOURS)&gt;TEMP_HOURS_CAP),"",$C136+AG$6-MIN(($D136+AG$5),PERMANENT_FIELD_LABOR_HOURS)*PERMANENT_HOURLY_RATE-MAX(0,($D136+AG$5)-PERMANENT_FIELD_LABOR_HOURS)*TEMP_HOURLY_RATE-FIXED_SEASON_COST)</f>
        <v>20269.6336250043</v>
      </c>
      <c r="AH136" s="53" t="n">
        <f aca="false">IF(OR($A136&gt;TOMATO_BED_CAP,$B136&gt;CARROT_BED_CAP,AH$4&gt;MESCLUN_BED_CAP,$A136+$B136+AH$4&gt;TOTAL_BEDS_AVAILABLE,($D136+AH$5)&gt;TOTAL_LABOR_HOURS_CAP,MAX(0,($D136+AH$5)-PERMANENT_FIELD_LABOR_HOURS)&gt;TEMP_HOURS_CAP),"",$C136+AH$6-MIN(($D136+AH$5),PERMANENT_FIELD_LABOR_HOURS)*PERMANENT_HOURLY_RATE-MAX(0,($D136+AH$5)-PERMANENT_FIELD_LABOR_HOURS)*TEMP_HOURLY_RATE-FIXED_SEASON_COST)</f>
        <v>20614.7360415545</v>
      </c>
      <c r="AI136" s="53" t="n">
        <f aca="false">IF(OR($A136&gt;TOMATO_BED_CAP,$B136&gt;CARROT_BED_CAP,AI$4&gt;MESCLUN_BED_CAP,$A136+$B136+AI$4&gt;TOTAL_BEDS_AVAILABLE,($D136+AI$5)&gt;TOTAL_LABOR_HOURS_CAP,MAX(0,($D136+AI$5)-PERMANENT_FIELD_LABOR_HOURS)&gt;TEMP_HOURS_CAP),"",$C136+AI$6-MIN(($D136+AI$5),PERMANENT_FIELD_LABOR_HOURS)*PERMANENT_HOURLY_RATE-MAX(0,($D136+AI$5)-PERMANENT_FIELD_LABOR_HOURS)*TEMP_HOURLY_RATE-FIXED_SEASON_COST)</f>
        <v>20927.5750734668</v>
      </c>
      <c r="AJ136" s="53" t="n">
        <f aca="false">IF(OR($A136&gt;TOMATO_BED_CAP,$B136&gt;CARROT_BED_CAP,AJ$4&gt;MESCLUN_BED_CAP,$A136+$B136+AJ$4&gt;TOTAL_BEDS_AVAILABLE,($D136+AJ$5)&gt;TOTAL_LABOR_HOURS_CAP,MAX(0,($D136+AJ$5)-PERMANENT_FIELD_LABOR_HOURS)&gt;TEMP_HOURS_CAP),"",$C136+AJ$6-MIN(($D136+AJ$5),PERMANENT_FIELD_LABOR_HOURS)*PERMANENT_HOURLY_RATE-MAX(0,($D136+AJ$5)-PERMANENT_FIELD_LABOR_HOURS)*TEMP_HOURLY_RATE-FIXED_SEASON_COST)</f>
        <v>21207.5745888725</v>
      </c>
    </row>
    <row r="137" customFormat="false" ht="15" hidden="false" customHeight="false" outlineLevel="0" collapsed="false">
      <c r="A137" s="21" t="n">
        <f aca="false">INT((ROW()-ROW($A$8))/(20+1))</f>
        <v>6</v>
      </c>
      <c r="B137" s="21" t="n">
        <f aca="false">MOD(ROW()-ROW($A$8),20+1)</f>
        <v>3</v>
      </c>
      <c r="C137" s="13" t="n">
        <f aca="false">A137*(TOMATO_REVENUE_PER_BED-TOMATO_FERTILIZER_PER_BED)+B137*(CARROT_REVENUE_PER_BED-CARROT_FERTILIZER_PER_BED)</f>
        <v>52482</v>
      </c>
      <c r="D137" s="14" t="n">
        <f aca="false">INDEX(TOMATO_SCHED_LABOR_HRS,A137+1)+INDEX(CARROT_SCHED_LABOR_HRS,B137+1)</f>
        <v>1053.5243281875</v>
      </c>
      <c r="E137" s="13" t="n">
        <f aca="false">IF(COUNT(F137:AJ137)=0,"",MAX(F137:AJ137))</f>
        <v>22273.6069575375</v>
      </c>
      <c r="F137" s="53" t="n">
        <f aca="false">IF(OR($A137&gt;TOMATO_BED_CAP,$B137&gt;CARROT_BED_CAP,F$4&gt;MESCLUN_BED_CAP,$A137+$B137+F$4&gt;TOTAL_BEDS_AVAILABLE,($D137+F$5)&gt;TOTAL_LABOR_HOURS_CAP,MAX(0,($D137+F$5)-PERMANENT_FIELD_LABOR_HOURS)&gt;TEMP_HOURS_CAP),"",$C137+F$6-MIN(($D137+F$5),PERMANENT_FIELD_LABOR_HOURS)*PERMANENT_HOURLY_RATE-MAX(0,($D137+F$5)-PERMANENT_FIELD_LABOR_HOURS)*TEMP_HOURLY_RATE-FIXED_SEASON_COST)</f>
        <v>1693.617662665</v>
      </c>
      <c r="G137" s="53" t="n">
        <f aca="false">IF(OR($A137&gt;TOMATO_BED_CAP,$B137&gt;CARROT_BED_CAP,G$4&gt;MESCLUN_BED_CAP,$A137+$B137+G$4&gt;TOTAL_BEDS_AVAILABLE,($D137+G$5)&gt;TOTAL_LABOR_HOURS_CAP,MAX(0,($D137+G$5)-PERMANENT_FIELD_LABOR_HOURS)&gt;TEMP_HOURS_CAP),"",$C137+G$6-MIN(($D137+G$5),PERMANENT_FIELD_LABOR_HOURS)*PERMANENT_HOURLY_RATE-MAX(0,($D137+G$5)-PERMANENT_FIELD_LABOR_HOURS)*TEMP_HOURLY_RATE-FIXED_SEASON_COST)</f>
        <v>2722.652662665</v>
      </c>
      <c r="H137" s="53" t="n">
        <f aca="false">IF(OR($A137&gt;TOMATO_BED_CAP,$B137&gt;CARROT_BED_CAP,H$4&gt;MESCLUN_BED_CAP,$A137+$B137+H$4&gt;TOTAL_BEDS_AVAILABLE,($D137+H$5)&gt;TOTAL_LABOR_HOURS_CAP,MAX(0,($D137+H$5)-PERMANENT_FIELD_LABOR_HOURS)&gt;TEMP_HOURS_CAP),"",$C137+H$6-MIN(($D137+H$5),PERMANENT_FIELD_LABOR_HOURS)*PERMANENT_HOURLY_RATE-MAX(0,($D137+H$5)-PERMANENT_FIELD_LABOR_HOURS)*TEMP_HOURLY_RATE-FIXED_SEASON_COST)</f>
        <v>3731.913537665</v>
      </c>
      <c r="I137" s="53" t="n">
        <f aca="false">IF(OR($A137&gt;TOMATO_BED_CAP,$B137&gt;CARROT_BED_CAP,I$4&gt;MESCLUN_BED_CAP,$A137+$B137+I$4&gt;TOTAL_BEDS_AVAILABLE,($D137+I$5)&gt;TOTAL_LABOR_HOURS_CAP,MAX(0,($D137+I$5)-PERMANENT_FIELD_LABOR_HOURS)&gt;TEMP_HOURS_CAP),"",$C137+I$6-MIN(($D137+I$5),PERMANENT_FIELD_LABOR_HOURS)*PERMANENT_HOURLY_RATE-MAX(0,($D137+I$5)-PERMANENT_FIELD_LABOR_HOURS)*TEMP_HOURLY_RATE-FIXED_SEASON_COST)</f>
        <v>4721.02952282125</v>
      </c>
      <c r="J137" s="53" t="n">
        <f aca="false">IF(OR($A137&gt;TOMATO_BED_CAP,$B137&gt;CARROT_BED_CAP,J$4&gt;MESCLUN_BED_CAP,$A137+$B137+J$4&gt;TOTAL_BEDS_AVAILABLE,($D137+J$5)&gt;TOTAL_LABOR_HOURS_CAP,MAX(0,($D137+J$5)-PERMANENT_FIELD_LABOR_HOURS)&gt;TEMP_HOURS_CAP),"",$C137+J$6-MIN(($D137+J$5),PERMANENT_FIELD_LABOR_HOURS)*PERMANENT_HOURLY_RATE-MAX(0,($D137+J$5)-PERMANENT_FIELD_LABOR_HOURS)*TEMP_HOURLY_RATE-FIXED_SEASON_COST)</f>
        <v>5689.62367387594</v>
      </c>
      <c r="K137" s="53" t="n">
        <f aca="false">IF(OR($A137&gt;TOMATO_BED_CAP,$B137&gt;CARROT_BED_CAP,K$4&gt;MESCLUN_BED_CAP,$A137+$B137+K$4&gt;TOTAL_BEDS_AVAILABLE,($D137+K$5)&gt;TOTAL_LABOR_HOURS_CAP,MAX(0,($D137+K$5)-PERMANENT_FIELD_LABOR_HOURS)&gt;TEMP_HOURS_CAP),"",$C137+K$6-MIN(($D137+K$5),PERMANENT_FIELD_LABOR_HOURS)*PERMANENT_HOURLY_RATE-MAX(0,($D137+K$5)-PERMANENT_FIELD_LABOR_HOURS)*TEMP_HOURLY_RATE-FIXED_SEASON_COST)</f>
        <v>6637.31277060384</v>
      </c>
      <c r="L137" s="53" t="n">
        <f aca="false">IF(OR($A137&gt;TOMATO_BED_CAP,$B137&gt;CARROT_BED_CAP,L$4&gt;MESCLUN_BED_CAP,$A137+$B137+L$4&gt;TOTAL_BEDS_AVAILABLE,($D137+L$5)&gt;TOTAL_LABOR_HOURS_CAP,MAX(0,($D137+L$5)-PERMANENT_FIELD_LABOR_HOURS)&gt;TEMP_HOURS_CAP),"",$C137+L$6-MIN(($D137+L$5),PERMANENT_FIELD_LABOR_HOURS)*PERMANENT_HOURLY_RATE-MAX(0,($D137+L$5)-PERMANENT_FIELD_LABOR_HOURS)*TEMP_HOURLY_RATE-FIXED_SEASON_COST)</f>
        <v>7563.7072188107</v>
      </c>
      <c r="M137" s="53" t="n">
        <f aca="false">IF(OR($A137&gt;TOMATO_BED_CAP,$B137&gt;CARROT_BED_CAP,M$4&gt;MESCLUN_BED_CAP,$A137+$B137+M$4&gt;TOTAL_BEDS_AVAILABLE,($D137+M$5)&gt;TOTAL_LABOR_HOURS_CAP,MAX(0,($D137+M$5)-PERMANENT_FIELD_LABOR_HOURS)&gt;TEMP_HOURS_CAP),"",$C137+M$6-MIN(($D137+M$5),PERMANENT_FIELD_LABOR_HOURS)*PERMANENT_HOURLY_RATE-MAX(0,($D137+M$5)-PERMANENT_FIELD_LABOR_HOURS)*TEMP_HOURLY_RATE-FIXED_SEASON_COST)</f>
        <v>8468.4109508621</v>
      </c>
      <c r="N137" s="53" t="n">
        <f aca="false">IF(OR($A137&gt;TOMATO_BED_CAP,$B137&gt;CARROT_BED_CAP,N$4&gt;MESCLUN_BED_CAP,$A137+$B137+N$4&gt;TOTAL_BEDS_AVAILABLE,($D137+N$5)&gt;TOTAL_LABOR_HOURS_CAP,MAX(0,($D137+N$5)-PERMANENT_FIELD_LABOR_HOURS)&gt;TEMP_HOURS_CAP),"",$C137+N$6-MIN(($D137+N$5),PERMANENT_FIELD_LABOR_HOURS)*PERMANENT_HOURLY_RATE-MAX(0,($D137+N$5)-PERMANENT_FIELD_LABOR_HOURS)*TEMP_HOURLY_RATE-FIXED_SEASON_COST)</f>
        <v>9351.02132472165</v>
      </c>
      <c r="O137" s="53" t="n">
        <f aca="false">IF(OR($A137&gt;TOMATO_BED_CAP,$B137&gt;CARROT_BED_CAP,O$4&gt;MESCLUN_BED_CAP,$A137+$B137+O$4&gt;TOTAL_BEDS_AVAILABLE,($D137+O$5)&gt;TOTAL_LABOR_HOURS_CAP,MAX(0,($D137+O$5)-PERMANENT_FIELD_LABOR_HOURS)&gt;TEMP_HOURS_CAP),"",$C137+O$6-MIN(($D137+O$5),PERMANENT_FIELD_LABOR_HOURS)*PERMANENT_HOURLY_RATE-MAX(0,($D137+O$5)-PERMANENT_FIELD_LABOR_HOURS)*TEMP_HOURLY_RATE-FIXED_SEASON_COST)</f>
        <v>10211.1290214764</v>
      </c>
      <c r="P137" s="53" t="n">
        <f aca="false">IF(OR($A137&gt;TOMATO_BED_CAP,$B137&gt;CARROT_BED_CAP,P$4&gt;MESCLUN_BED_CAP,$A137+$B137+P$4&gt;TOTAL_BEDS_AVAILABLE,($D137+P$5)&gt;TOTAL_LABOR_HOURS_CAP,MAX(0,($D137+P$5)-PERMANENT_FIELD_LABOR_HOURS)&gt;TEMP_HOURS_CAP),"",$C137+P$6-MIN(($D137+P$5),PERMANENT_FIELD_LABOR_HOURS)*PERMANENT_HOURLY_RATE-MAX(0,($D137+P$5)-PERMANENT_FIELD_LABOR_HOURS)*TEMP_HOURLY_RATE-FIXED_SEASON_COST)</f>
        <v>11048.3179413278</v>
      </c>
      <c r="Q137" s="53" t="n">
        <f aca="false">IF(OR($A137&gt;TOMATO_BED_CAP,$B137&gt;CARROT_BED_CAP,Q$4&gt;MESCLUN_BED_CAP,$A137+$B137+Q$4&gt;TOTAL_BEDS_AVAILABLE,($D137+Q$5)&gt;TOTAL_LABOR_HOURS_CAP,MAX(0,($D137+Q$5)-PERMANENT_FIELD_LABOR_HOURS)&gt;TEMP_HOURS_CAP),"",$C137+Q$6-MIN(($D137+Q$5),PERMANENT_FIELD_LABOR_HOURS)*PERMANENT_HOURLY_RATE-MAX(0,($D137+Q$5)-PERMANENT_FIELD_LABOR_HOURS)*TEMP_HOURLY_RATE-FIXED_SEASON_COST)</f>
        <v>11862.1650980257</v>
      </c>
      <c r="R137" s="53" t="n">
        <f aca="false">IF(OR($A137&gt;TOMATO_BED_CAP,$B137&gt;CARROT_BED_CAP,R$4&gt;MESCLUN_BED_CAP,$A137+$B137+R$4&gt;TOTAL_BEDS_AVAILABLE,($D137+R$5)&gt;TOTAL_LABOR_HOURS_CAP,MAX(0,($D137+R$5)-PERMANENT_FIELD_LABOR_HOURS)&gt;TEMP_HOURS_CAP),"",$C137+R$6-MIN(($D137+R$5),PERMANENT_FIELD_LABOR_HOURS)*PERMANENT_HOURLY_RATE-MAX(0,($D137+R$5)-PERMANENT_FIELD_LABOR_HOURS)*TEMP_HOURLY_RATE-FIXED_SEASON_COST)</f>
        <v>12652.2405117225</v>
      </c>
      <c r="S137" s="53" t="n">
        <f aca="false">IF(OR($A137&gt;TOMATO_BED_CAP,$B137&gt;CARROT_BED_CAP,S$4&gt;MESCLUN_BED_CAP,$A137+$B137+S$4&gt;TOTAL_BEDS_AVAILABLE,($D137+S$5)&gt;TOTAL_LABOR_HOURS_CAP,MAX(0,($D137+S$5)-PERMANENT_FIELD_LABOR_HOURS)&gt;TEMP_HOURS_CAP),"",$C137+S$6-MIN(($D137+S$5),PERMANENT_FIELD_LABOR_HOURS)*PERMANENT_HOURLY_RATE-MAX(0,($D137+S$5)-PERMANENT_FIELD_LABOR_HOURS)*TEMP_HOURLY_RATE-FIXED_SEASON_COST)</f>
        <v>13418.107100225</v>
      </c>
      <c r="T137" s="53" t="n">
        <f aca="false">IF(OR($A137&gt;TOMATO_BED_CAP,$B137&gt;CARROT_BED_CAP,T$4&gt;MESCLUN_BED_CAP,$A137+$B137+T$4&gt;TOTAL_BEDS_AVAILABLE,($D137+T$5)&gt;TOTAL_LABOR_HOURS_CAP,MAX(0,($D137+T$5)-PERMANENT_FIELD_LABOR_HOURS)&gt;TEMP_HOURS_CAP),"",$C137+T$6-MIN(($D137+T$5),PERMANENT_FIELD_LABOR_HOURS)*PERMANENT_HOURLY_RATE-MAX(0,($D137+T$5)-PERMANENT_FIELD_LABOR_HOURS)*TEMP_HOURLY_RATE-FIXED_SEASON_COST)</f>
        <v>14159.3205686198</v>
      </c>
      <c r="U137" s="53" t="n">
        <f aca="false">IF(OR($A137&gt;TOMATO_BED_CAP,$B137&gt;CARROT_BED_CAP,U$4&gt;MESCLUN_BED_CAP,$A137+$B137+U$4&gt;TOTAL_BEDS_AVAILABLE,($D137+U$5)&gt;TOTAL_LABOR_HOURS_CAP,MAX(0,($D137+U$5)-PERMANENT_FIELD_LABOR_HOURS)&gt;TEMP_HOURS_CAP),"",$C137+U$6-MIN(($D137+U$5),PERMANENT_FIELD_LABOR_HOURS)*PERMANENT_HOURLY_RATE-MAX(0,($D137+U$5)-PERMANENT_FIELD_LABOR_HOURS)*TEMP_HOURLY_RATE-FIXED_SEASON_COST)</f>
        <v>14875.4292972499</v>
      </c>
      <c r="V137" s="53" t="n">
        <f aca="false">IF(OR($A137&gt;TOMATO_BED_CAP,$B137&gt;CARROT_BED_CAP,V$4&gt;MESCLUN_BED_CAP,$A137+$B137+V$4&gt;TOTAL_BEDS_AVAILABLE,($D137+V$5)&gt;TOTAL_LABOR_HOURS_CAP,MAX(0,($D137+V$5)-PERMANENT_FIELD_LABOR_HOURS)&gt;TEMP_HOURS_CAP),"",$C137+V$6-MIN(($D137+V$5),PERMANENT_FIELD_LABOR_HOURS)*PERMANENT_HOURLY_RATE-MAX(0,($D137+V$5)-PERMANENT_FIELD_LABOR_HOURS)*TEMP_HOURLY_RATE-FIXED_SEASON_COST)</f>
        <v>15565.9742280167</v>
      </c>
      <c r="W137" s="53" t="n">
        <f aca="false">IF(OR($A137&gt;TOMATO_BED_CAP,$B137&gt;CARROT_BED_CAP,W$4&gt;MESCLUN_BED_CAP,$A137+$B137+W$4&gt;TOTAL_BEDS_AVAILABLE,($D137+W$5)&gt;TOTAL_LABOR_HOURS_CAP,MAX(0,($D137+W$5)-PERMANENT_FIELD_LABOR_HOURS)&gt;TEMP_HOURS_CAP),"",$C137+W$6-MIN(($D137+W$5),PERMANENT_FIELD_LABOR_HOURS)*PERMANENT_HOURLY_RATE-MAX(0,($D137+W$5)-PERMANENT_FIELD_LABOR_HOURS)*TEMP_HOURLY_RATE-FIXED_SEASON_COST)</f>
        <v>16230.4887489848</v>
      </c>
      <c r="X137" s="53" t="n">
        <f aca="false">IF(OR($A137&gt;TOMATO_BED_CAP,$B137&gt;CARROT_BED_CAP,X$4&gt;MESCLUN_BED_CAP,$A137+$B137+X$4&gt;TOTAL_BEDS_AVAILABLE,($D137+X$5)&gt;TOTAL_LABOR_HOURS_CAP,MAX(0,($D137+X$5)-PERMANENT_FIELD_LABOR_HOURS)&gt;TEMP_HOURS_CAP),"",$C137+X$6-MIN(($D137+X$5),PERMANENT_FIELD_LABOR_HOURS)*PERMANENT_HOURLY_RATE-MAX(0,($D137+X$5)-PERMANENT_FIELD_LABOR_HOURS)*TEMP_HOURLY_RATE-FIXED_SEASON_COST)</f>
        <v>16868.4985772637</v>
      </c>
      <c r="Y137" s="53" t="n">
        <f aca="false">IF(OR($A137&gt;TOMATO_BED_CAP,$B137&gt;CARROT_BED_CAP,Y$4&gt;MESCLUN_BED_CAP,$A137+$B137+Y$4&gt;TOTAL_BEDS_AVAILABLE,($D137+Y$5)&gt;TOTAL_LABOR_HOURS_CAP,MAX(0,($D137+Y$5)-PERMANENT_FIELD_LABOR_HOURS)&gt;TEMP_HOURS_CAP),"",$C137+Y$6-MIN(($D137+Y$5),PERMANENT_FIELD_LABOR_HOURS)*PERMANENT_HOURLY_RATE-MAX(0,($D137+Y$5)-PERMANENT_FIELD_LABOR_HOURS)*TEMP_HOURLY_RATE-FIXED_SEASON_COST)</f>
        <v>17479.5216401424</v>
      </c>
      <c r="Z137" s="53" t="n">
        <f aca="false">IF(OR($A137&gt;TOMATO_BED_CAP,$B137&gt;CARROT_BED_CAP,Z$4&gt;MESCLUN_BED_CAP,$A137+$B137+Z$4&gt;TOTAL_BEDS_AVAILABLE,($D137+Z$5)&gt;TOTAL_LABOR_HOURS_CAP,MAX(0,($D137+Z$5)-PERMANENT_FIELD_LABOR_HOURS)&gt;TEMP_HOURS_CAP),"",$C137+Z$6-MIN(($D137+Z$5),PERMANENT_FIELD_LABOR_HOURS)*PERMANENT_HOURLY_RATE-MAX(0,($D137+Z$5)-PERMANENT_FIELD_LABOR_HOURS)*TEMP_HOURLY_RATE-FIXED_SEASON_COST)</f>
        <v>18063.0679544501</v>
      </c>
      <c r="AA137" s="53" t="n">
        <f aca="false">IF(OR($A137&gt;TOMATO_BED_CAP,$B137&gt;CARROT_BED_CAP,AA$4&gt;MESCLUN_BED_CAP,$A137+$B137+AA$4&gt;TOTAL_BEDS_AVAILABLE,($D137+AA$5)&gt;TOTAL_LABOR_HOURS_CAP,MAX(0,($D137+AA$5)-PERMANENT_FIELD_LABOR_HOURS)&gt;TEMP_HOURS_CAP),"",$C137+AA$6-MIN(($D137+AA$5),PERMANENT_FIELD_LABOR_HOURS)*PERMANENT_HOURLY_RATE-MAX(0,($D137+AA$5)-PERMANENT_FIELD_LABOR_HOURS)*TEMP_HOURLY_RATE-FIXED_SEASON_COST)</f>
        <v>18618.639504119</v>
      </c>
      <c r="AB137" s="53" t="n">
        <f aca="false">IF(OR($A137&gt;TOMATO_BED_CAP,$B137&gt;CARROT_BED_CAP,AB$4&gt;MESCLUN_BED_CAP,$A137+$B137+AB$4&gt;TOTAL_BEDS_AVAILABLE,($D137+AB$5)&gt;TOTAL_LABOR_HOURS_CAP,MAX(0,($D137+AB$5)-PERMANENT_FIELD_LABOR_HOURS)&gt;TEMP_HOURS_CAP),"",$C137+AB$6-MIN(($D137+AB$5),PERMANENT_FIELD_LABOR_HOURS)*PERMANENT_HOURLY_RATE-MAX(0,($D137+AB$5)-PERMANENT_FIELD_LABOR_HOURS)*TEMP_HOURLY_RATE-FIXED_SEASON_COST)</f>
        <v>19145.7301159216</v>
      </c>
      <c r="AC137" s="53" t="n">
        <f aca="false">IF(OR($A137&gt;TOMATO_BED_CAP,$B137&gt;CARROT_BED_CAP,AC$4&gt;MESCLUN_BED_CAP,$A137+$B137+AC$4&gt;TOTAL_BEDS_AVAILABLE,($D137+AC$5)&gt;TOTAL_LABOR_HOURS_CAP,MAX(0,($D137+AC$5)-PERMANENT_FIELD_LABOR_HOURS)&gt;TEMP_HOURS_CAP),"",$C137+AC$6-MIN(($D137+AC$5),PERMANENT_FIELD_LABOR_HOURS)*PERMANENT_HOURLY_RATE-MAX(0,($D137+AC$5)-PERMANENT_FIELD_LABOR_HOURS)*TEMP_HOURLY_RATE-FIXED_SEASON_COST)</f>
        <v>19643.8253333565</v>
      </c>
      <c r="AD137" s="53" t="n">
        <f aca="false">IF(OR($A137&gt;TOMATO_BED_CAP,$B137&gt;CARROT_BED_CAP,AD$4&gt;MESCLUN_BED_CAP,$A137+$B137+AD$4&gt;TOTAL_BEDS_AVAILABLE,($D137+AD$5)&gt;TOTAL_LABOR_HOURS_CAP,MAX(0,($D137+AD$5)-PERMANENT_FIELD_LABOR_HOURS)&gt;TEMP_HOURS_CAP),"",$C137+AD$6-MIN(($D137+AD$5),PERMANENT_FIELD_LABOR_HOURS)*PERMANENT_HOURLY_RATE-MAX(0,($D137+AD$5)-PERMANENT_FIELD_LABOR_HOURS)*TEMP_HOURLY_RATE-FIXED_SEASON_COST)</f>
        <v>20112.4022886564</v>
      </c>
      <c r="AE137" s="53" t="n">
        <f aca="false">IF(OR($A137&gt;TOMATO_BED_CAP,$B137&gt;CARROT_BED_CAP,AE$4&gt;MESCLUN_BED_CAP,$A137+$B137+AE$4&gt;TOTAL_BEDS_AVAILABLE,($D137+AE$5)&gt;TOTAL_LABOR_HOURS_CAP,MAX(0,($D137+AE$5)-PERMANENT_FIELD_LABOR_HOURS)&gt;TEMP_HOURS_CAP),"",$C137+AE$6-MIN(($D137+AE$5),PERMANENT_FIELD_LABOR_HOURS)*PERMANENT_HOURLY_RATE-MAX(0,($D137+AE$5)-PERMANENT_FIELD_LABOR_HOURS)*TEMP_HOURLY_RATE-FIXED_SEASON_COST)</f>
        <v>20550.9295728903</v>
      </c>
      <c r="AF137" s="53" t="n">
        <f aca="false">IF(OR($A137&gt;TOMATO_BED_CAP,$B137&gt;CARROT_BED_CAP,AF$4&gt;MESCLUN_BED_CAP,$A137+$B137+AF$4&gt;TOTAL_BEDS_AVAILABLE,($D137+AF$5)&gt;TOTAL_LABOR_HOURS_CAP,MAX(0,($D137+AF$5)-PERMANENT_FIELD_LABOR_HOURS)&gt;TEMP_HOURS_CAP),"",$C137+AF$6-MIN(($D137+AF$5),PERMANENT_FIELD_LABOR_HOURS)*PERMANENT_HOURLY_RATE-MAX(0,($D137+AF$5)-PERMANENT_FIELD_LABOR_HOURS)*TEMP_HOURLY_RATE-FIXED_SEASON_COST)</f>
        <v>20958.8671041323</v>
      </c>
      <c r="AG137" s="53" t="n">
        <f aca="false">IF(OR($A137&gt;TOMATO_BED_CAP,$B137&gt;CARROT_BED_CAP,AG$4&gt;MESCLUN_BED_CAP,$A137+$B137+AG$4&gt;TOTAL_BEDS_AVAILABLE,($D137+AG$5)&gt;TOTAL_LABOR_HOURS_CAP,MAX(0,($D137+AG$5)-PERMANENT_FIELD_LABOR_HOURS)&gt;TEMP_HOURS_CAP),"",$C137+AG$6-MIN(($D137+AG$5),PERMANENT_FIELD_LABOR_HOURS)*PERMANENT_HOURLY_RATE-MAX(0,($D137+AG$5)-PERMANENT_FIELD_LABOR_HOURS)*TEMP_HOURLY_RATE-FIXED_SEASON_COST)</f>
        <v>21335.6659936693</v>
      </c>
      <c r="AH137" s="53" t="n">
        <f aca="false">IF(OR($A137&gt;TOMATO_BED_CAP,$B137&gt;CARROT_BED_CAP,AH$4&gt;MESCLUN_BED_CAP,$A137+$B137+AH$4&gt;TOTAL_BEDS_AVAILABLE,($D137+AH$5)&gt;TOTAL_LABOR_HOURS_CAP,MAX(0,($D137+AH$5)-PERMANENT_FIELD_LABOR_HOURS)&gt;TEMP_HOURS_CAP),"",$C137+AH$6-MIN(($D137+AH$5),PERMANENT_FIELD_LABOR_HOURS)*PERMANENT_HOURLY_RATE-MAX(0,($D137+AH$5)-PERMANENT_FIELD_LABOR_HOURS)*TEMP_HOURLY_RATE-FIXED_SEASON_COST)</f>
        <v>21680.7684102195</v>
      </c>
      <c r="AI137" s="53" t="n">
        <f aca="false">IF(OR($A137&gt;TOMATO_BED_CAP,$B137&gt;CARROT_BED_CAP,AI$4&gt;MESCLUN_BED_CAP,$A137+$B137+AI$4&gt;TOTAL_BEDS_AVAILABLE,($D137+AI$5)&gt;TOTAL_LABOR_HOURS_CAP,MAX(0,($D137+AI$5)-PERMANENT_FIELD_LABOR_HOURS)&gt;TEMP_HOURS_CAP),"",$C137+AI$6-MIN(($D137+AI$5),PERMANENT_FIELD_LABOR_HOURS)*PERMANENT_HOURLY_RATE-MAX(0,($D137+AI$5)-PERMANENT_FIELD_LABOR_HOURS)*TEMP_HOURLY_RATE-FIXED_SEASON_COST)</f>
        <v>21993.6074421318</v>
      </c>
      <c r="AJ137" s="53" t="n">
        <f aca="false">IF(OR($A137&gt;TOMATO_BED_CAP,$B137&gt;CARROT_BED_CAP,AJ$4&gt;MESCLUN_BED_CAP,$A137+$B137+AJ$4&gt;TOTAL_BEDS_AVAILABLE,($D137+AJ$5)&gt;TOTAL_LABOR_HOURS_CAP,MAX(0,($D137+AJ$5)-PERMANENT_FIELD_LABOR_HOURS)&gt;TEMP_HOURS_CAP),"",$C137+AJ$6-MIN(($D137+AJ$5),PERMANENT_FIELD_LABOR_HOURS)*PERMANENT_HOURLY_RATE-MAX(0,($D137+AJ$5)-PERMANENT_FIELD_LABOR_HOURS)*TEMP_HOURLY_RATE-FIXED_SEASON_COST)</f>
        <v>22273.6069575375</v>
      </c>
    </row>
    <row r="138" customFormat="false" ht="15" hidden="false" customHeight="false" outlineLevel="0" collapsed="false">
      <c r="A138" s="21" t="n">
        <f aca="false">INT((ROW()-ROW($A$8))/(20+1))</f>
        <v>6</v>
      </c>
      <c r="B138" s="21" t="n">
        <f aca="false">MOD(ROW()-ROW($A$8),20+1)</f>
        <v>4</v>
      </c>
      <c r="C138" s="13" t="n">
        <f aca="false">A138*(TOMATO_REVENUE_PER_BED-TOMATO_FERTILIZER_PER_BED)+B138*(CARROT_REVENUE_PER_BED-CARROT_FERTILIZER_PER_BED)</f>
        <v>54136</v>
      </c>
      <c r="D138" s="14" t="n">
        <f aca="false">INDEX(TOMATO_SCHED_LABOR_HRS,A138+1)+INDEX(CARROT_SCHED_LABOR_HRS,B138+1)</f>
        <v>1089.04750385625</v>
      </c>
      <c r="E138" s="13" t="n">
        <f aca="false">IF(COUNT(F138:AJ138)=0,"",MAX(F138:AJ138))</f>
        <v>23310.924627928</v>
      </c>
      <c r="F138" s="53" t="n">
        <f aca="false">IF(OR($A138&gt;TOMATO_BED_CAP,$B138&gt;CARROT_BED_CAP,F$4&gt;MESCLUN_BED_CAP,$A138+$B138+F$4&gt;TOTAL_BEDS_AVAILABLE,($D138+F$5)&gt;TOTAL_LABOR_HOURS_CAP,MAX(0,($D138+F$5)-PERMANENT_FIELD_LABOR_HOURS)&gt;TEMP_HOURS_CAP),"",$C138+F$6-MIN(($D138+F$5),PERMANENT_FIELD_LABOR_HOURS)*PERMANENT_HOURLY_RATE-MAX(0,($D138+F$5)-PERMANENT_FIELD_LABOR_HOURS)*TEMP_HOURLY_RATE-FIXED_SEASON_COST)</f>
        <v>2730.9353330555</v>
      </c>
      <c r="G138" s="53" t="n">
        <f aca="false">IF(OR($A138&gt;TOMATO_BED_CAP,$B138&gt;CARROT_BED_CAP,G$4&gt;MESCLUN_BED_CAP,$A138+$B138+G$4&gt;TOTAL_BEDS_AVAILABLE,($D138+G$5)&gt;TOTAL_LABOR_HOURS_CAP,MAX(0,($D138+G$5)-PERMANENT_FIELD_LABOR_HOURS)&gt;TEMP_HOURS_CAP),"",$C138+G$6-MIN(($D138+G$5),PERMANENT_FIELD_LABOR_HOURS)*PERMANENT_HOURLY_RATE-MAX(0,($D138+G$5)-PERMANENT_FIELD_LABOR_HOURS)*TEMP_HOURLY_RATE-FIXED_SEASON_COST)</f>
        <v>3759.9703330555</v>
      </c>
      <c r="H138" s="53" t="n">
        <f aca="false">IF(OR($A138&gt;TOMATO_BED_CAP,$B138&gt;CARROT_BED_CAP,H$4&gt;MESCLUN_BED_CAP,$A138+$B138+H$4&gt;TOTAL_BEDS_AVAILABLE,($D138+H$5)&gt;TOTAL_LABOR_HOURS_CAP,MAX(0,($D138+H$5)-PERMANENT_FIELD_LABOR_HOURS)&gt;TEMP_HOURS_CAP),"",$C138+H$6-MIN(($D138+H$5),PERMANENT_FIELD_LABOR_HOURS)*PERMANENT_HOURLY_RATE-MAX(0,($D138+H$5)-PERMANENT_FIELD_LABOR_HOURS)*TEMP_HOURLY_RATE-FIXED_SEASON_COST)</f>
        <v>4769.2312080555</v>
      </c>
      <c r="I138" s="53" t="n">
        <f aca="false">IF(OR($A138&gt;TOMATO_BED_CAP,$B138&gt;CARROT_BED_CAP,I$4&gt;MESCLUN_BED_CAP,$A138+$B138+I$4&gt;TOTAL_BEDS_AVAILABLE,($D138+I$5)&gt;TOTAL_LABOR_HOURS_CAP,MAX(0,($D138+I$5)-PERMANENT_FIELD_LABOR_HOURS)&gt;TEMP_HOURS_CAP),"",$C138+I$6-MIN(($D138+I$5),PERMANENT_FIELD_LABOR_HOURS)*PERMANENT_HOURLY_RATE-MAX(0,($D138+I$5)-PERMANENT_FIELD_LABOR_HOURS)*TEMP_HOURLY_RATE-FIXED_SEASON_COST)</f>
        <v>5758.34719321175</v>
      </c>
      <c r="J138" s="53" t="n">
        <f aca="false">IF(OR($A138&gt;TOMATO_BED_CAP,$B138&gt;CARROT_BED_CAP,J$4&gt;MESCLUN_BED_CAP,$A138+$B138+J$4&gt;TOTAL_BEDS_AVAILABLE,($D138+J$5)&gt;TOTAL_LABOR_HOURS_CAP,MAX(0,($D138+J$5)-PERMANENT_FIELD_LABOR_HOURS)&gt;TEMP_HOURS_CAP),"",$C138+J$6-MIN(($D138+J$5),PERMANENT_FIELD_LABOR_HOURS)*PERMANENT_HOURLY_RATE-MAX(0,($D138+J$5)-PERMANENT_FIELD_LABOR_HOURS)*TEMP_HOURLY_RATE-FIXED_SEASON_COST)</f>
        <v>6726.94134426644</v>
      </c>
      <c r="K138" s="53" t="n">
        <f aca="false">IF(OR($A138&gt;TOMATO_BED_CAP,$B138&gt;CARROT_BED_CAP,K$4&gt;MESCLUN_BED_CAP,$A138+$B138+K$4&gt;TOTAL_BEDS_AVAILABLE,($D138+K$5)&gt;TOTAL_LABOR_HOURS_CAP,MAX(0,($D138+K$5)-PERMANENT_FIELD_LABOR_HOURS)&gt;TEMP_HOURS_CAP),"",$C138+K$6-MIN(($D138+K$5),PERMANENT_FIELD_LABOR_HOURS)*PERMANENT_HOURLY_RATE-MAX(0,($D138+K$5)-PERMANENT_FIELD_LABOR_HOURS)*TEMP_HOURLY_RATE-FIXED_SEASON_COST)</f>
        <v>7674.63044099434</v>
      </c>
      <c r="L138" s="53" t="n">
        <f aca="false">IF(OR($A138&gt;TOMATO_BED_CAP,$B138&gt;CARROT_BED_CAP,L$4&gt;MESCLUN_BED_CAP,$A138+$B138+L$4&gt;TOTAL_BEDS_AVAILABLE,($D138+L$5)&gt;TOTAL_LABOR_HOURS_CAP,MAX(0,($D138+L$5)-PERMANENT_FIELD_LABOR_HOURS)&gt;TEMP_HOURS_CAP),"",$C138+L$6-MIN(($D138+L$5),PERMANENT_FIELD_LABOR_HOURS)*PERMANENT_HOURLY_RATE-MAX(0,($D138+L$5)-PERMANENT_FIELD_LABOR_HOURS)*TEMP_HOURLY_RATE-FIXED_SEASON_COST)</f>
        <v>8601.0248892012</v>
      </c>
      <c r="M138" s="53" t="n">
        <f aca="false">IF(OR($A138&gt;TOMATO_BED_CAP,$B138&gt;CARROT_BED_CAP,M$4&gt;MESCLUN_BED_CAP,$A138+$B138+M$4&gt;TOTAL_BEDS_AVAILABLE,($D138+M$5)&gt;TOTAL_LABOR_HOURS_CAP,MAX(0,($D138+M$5)-PERMANENT_FIELD_LABOR_HOURS)&gt;TEMP_HOURS_CAP),"",$C138+M$6-MIN(($D138+M$5),PERMANENT_FIELD_LABOR_HOURS)*PERMANENT_HOURLY_RATE-MAX(0,($D138+M$5)-PERMANENT_FIELD_LABOR_HOURS)*TEMP_HOURLY_RATE-FIXED_SEASON_COST)</f>
        <v>9505.7286212526</v>
      </c>
      <c r="N138" s="53" t="n">
        <f aca="false">IF(OR($A138&gt;TOMATO_BED_CAP,$B138&gt;CARROT_BED_CAP,N$4&gt;MESCLUN_BED_CAP,$A138+$B138+N$4&gt;TOTAL_BEDS_AVAILABLE,($D138+N$5)&gt;TOTAL_LABOR_HOURS_CAP,MAX(0,($D138+N$5)-PERMANENT_FIELD_LABOR_HOURS)&gt;TEMP_HOURS_CAP),"",$C138+N$6-MIN(($D138+N$5),PERMANENT_FIELD_LABOR_HOURS)*PERMANENT_HOURLY_RATE-MAX(0,($D138+N$5)-PERMANENT_FIELD_LABOR_HOURS)*TEMP_HOURLY_RATE-FIXED_SEASON_COST)</f>
        <v>10388.3389951121</v>
      </c>
      <c r="O138" s="53" t="n">
        <f aca="false">IF(OR($A138&gt;TOMATO_BED_CAP,$B138&gt;CARROT_BED_CAP,O$4&gt;MESCLUN_BED_CAP,$A138+$B138+O$4&gt;TOTAL_BEDS_AVAILABLE,($D138+O$5)&gt;TOTAL_LABOR_HOURS_CAP,MAX(0,($D138+O$5)-PERMANENT_FIELD_LABOR_HOURS)&gt;TEMP_HOURS_CAP),"",$C138+O$6-MIN(($D138+O$5),PERMANENT_FIELD_LABOR_HOURS)*PERMANENT_HOURLY_RATE-MAX(0,($D138+O$5)-PERMANENT_FIELD_LABOR_HOURS)*TEMP_HOURLY_RATE-FIXED_SEASON_COST)</f>
        <v>11248.4466918669</v>
      </c>
      <c r="P138" s="53" t="n">
        <f aca="false">IF(OR($A138&gt;TOMATO_BED_CAP,$B138&gt;CARROT_BED_CAP,P$4&gt;MESCLUN_BED_CAP,$A138+$B138+P$4&gt;TOTAL_BEDS_AVAILABLE,($D138+P$5)&gt;TOTAL_LABOR_HOURS_CAP,MAX(0,($D138+P$5)-PERMANENT_FIELD_LABOR_HOURS)&gt;TEMP_HOURS_CAP),"",$C138+P$6-MIN(($D138+P$5),PERMANENT_FIELD_LABOR_HOURS)*PERMANENT_HOURLY_RATE-MAX(0,($D138+P$5)-PERMANENT_FIELD_LABOR_HOURS)*TEMP_HOURLY_RATE-FIXED_SEASON_COST)</f>
        <v>12085.6356117183</v>
      </c>
      <c r="Q138" s="53" t="n">
        <f aca="false">IF(OR($A138&gt;TOMATO_BED_CAP,$B138&gt;CARROT_BED_CAP,Q$4&gt;MESCLUN_BED_CAP,$A138+$B138+Q$4&gt;TOTAL_BEDS_AVAILABLE,($D138+Q$5)&gt;TOTAL_LABOR_HOURS_CAP,MAX(0,($D138+Q$5)-PERMANENT_FIELD_LABOR_HOURS)&gt;TEMP_HOURS_CAP),"",$C138+Q$6-MIN(($D138+Q$5),PERMANENT_FIELD_LABOR_HOURS)*PERMANENT_HOURLY_RATE-MAX(0,($D138+Q$5)-PERMANENT_FIELD_LABOR_HOURS)*TEMP_HOURLY_RATE-FIXED_SEASON_COST)</f>
        <v>12899.4827684162</v>
      </c>
      <c r="R138" s="53" t="n">
        <f aca="false">IF(OR($A138&gt;TOMATO_BED_CAP,$B138&gt;CARROT_BED_CAP,R$4&gt;MESCLUN_BED_CAP,$A138+$B138+R$4&gt;TOTAL_BEDS_AVAILABLE,($D138+R$5)&gt;TOTAL_LABOR_HOURS_CAP,MAX(0,($D138+R$5)-PERMANENT_FIELD_LABOR_HOURS)&gt;TEMP_HOURS_CAP),"",$C138+R$6-MIN(($D138+R$5),PERMANENT_FIELD_LABOR_HOURS)*PERMANENT_HOURLY_RATE-MAX(0,($D138+R$5)-PERMANENT_FIELD_LABOR_HOURS)*TEMP_HOURLY_RATE-FIXED_SEASON_COST)</f>
        <v>13689.558182113</v>
      </c>
      <c r="S138" s="53" t="n">
        <f aca="false">IF(OR($A138&gt;TOMATO_BED_CAP,$B138&gt;CARROT_BED_CAP,S$4&gt;MESCLUN_BED_CAP,$A138+$B138+S$4&gt;TOTAL_BEDS_AVAILABLE,($D138+S$5)&gt;TOTAL_LABOR_HOURS_CAP,MAX(0,($D138+S$5)-PERMANENT_FIELD_LABOR_HOURS)&gt;TEMP_HOURS_CAP),"",$C138+S$6-MIN(($D138+S$5),PERMANENT_FIELD_LABOR_HOURS)*PERMANENT_HOURLY_RATE-MAX(0,($D138+S$5)-PERMANENT_FIELD_LABOR_HOURS)*TEMP_HOURLY_RATE-FIXED_SEASON_COST)</f>
        <v>14455.4247706155</v>
      </c>
      <c r="T138" s="53" t="n">
        <f aca="false">IF(OR($A138&gt;TOMATO_BED_CAP,$B138&gt;CARROT_BED_CAP,T$4&gt;MESCLUN_BED_CAP,$A138+$B138+T$4&gt;TOTAL_BEDS_AVAILABLE,($D138+T$5)&gt;TOTAL_LABOR_HOURS_CAP,MAX(0,($D138+T$5)-PERMANENT_FIELD_LABOR_HOURS)&gt;TEMP_HOURS_CAP),"",$C138+T$6-MIN(($D138+T$5),PERMANENT_FIELD_LABOR_HOURS)*PERMANENT_HOURLY_RATE-MAX(0,($D138+T$5)-PERMANENT_FIELD_LABOR_HOURS)*TEMP_HOURLY_RATE-FIXED_SEASON_COST)</f>
        <v>15196.6382390103</v>
      </c>
      <c r="U138" s="53" t="n">
        <f aca="false">IF(OR($A138&gt;TOMATO_BED_CAP,$B138&gt;CARROT_BED_CAP,U$4&gt;MESCLUN_BED_CAP,$A138+$B138+U$4&gt;TOTAL_BEDS_AVAILABLE,($D138+U$5)&gt;TOTAL_LABOR_HOURS_CAP,MAX(0,($D138+U$5)-PERMANENT_FIELD_LABOR_HOURS)&gt;TEMP_HOURS_CAP),"",$C138+U$6-MIN(($D138+U$5),PERMANENT_FIELD_LABOR_HOURS)*PERMANENT_HOURLY_RATE-MAX(0,($D138+U$5)-PERMANENT_FIELD_LABOR_HOURS)*TEMP_HOURLY_RATE-FIXED_SEASON_COST)</f>
        <v>15912.7469676404</v>
      </c>
      <c r="V138" s="53" t="n">
        <f aca="false">IF(OR($A138&gt;TOMATO_BED_CAP,$B138&gt;CARROT_BED_CAP,V$4&gt;MESCLUN_BED_CAP,$A138+$B138+V$4&gt;TOTAL_BEDS_AVAILABLE,($D138+V$5)&gt;TOTAL_LABOR_HOURS_CAP,MAX(0,($D138+V$5)-PERMANENT_FIELD_LABOR_HOURS)&gt;TEMP_HOURS_CAP),"",$C138+V$6-MIN(($D138+V$5),PERMANENT_FIELD_LABOR_HOURS)*PERMANENT_HOURLY_RATE-MAX(0,($D138+V$5)-PERMANENT_FIELD_LABOR_HOURS)*TEMP_HOURLY_RATE-FIXED_SEASON_COST)</f>
        <v>16603.2918984072</v>
      </c>
      <c r="W138" s="53" t="n">
        <f aca="false">IF(OR($A138&gt;TOMATO_BED_CAP,$B138&gt;CARROT_BED_CAP,W$4&gt;MESCLUN_BED_CAP,$A138+$B138+W$4&gt;TOTAL_BEDS_AVAILABLE,($D138+W$5)&gt;TOTAL_LABOR_HOURS_CAP,MAX(0,($D138+W$5)-PERMANENT_FIELD_LABOR_HOURS)&gt;TEMP_HOURS_CAP),"",$C138+W$6-MIN(($D138+W$5),PERMANENT_FIELD_LABOR_HOURS)*PERMANENT_HOURLY_RATE-MAX(0,($D138+W$5)-PERMANENT_FIELD_LABOR_HOURS)*TEMP_HOURLY_RATE-FIXED_SEASON_COST)</f>
        <v>17267.8064193753</v>
      </c>
      <c r="X138" s="53" t="n">
        <f aca="false">IF(OR($A138&gt;TOMATO_BED_CAP,$B138&gt;CARROT_BED_CAP,X$4&gt;MESCLUN_BED_CAP,$A138+$B138+X$4&gt;TOTAL_BEDS_AVAILABLE,($D138+X$5)&gt;TOTAL_LABOR_HOURS_CAP,MAX(0,($D138+X$5)-PERMANENT_FIELD_LABOR_HOURS)&gt;TEMP_HOURS_CAP),"",$C138+X$6-MIN(($D138+X$5),PERMANENT_FIELD_LABOR_HOURS)*PERMANENT_HOURLY_RATE-MAX(0,($D138+X$5)-PERMANENT_FIELD_LABOR_HOURS)*TEMP_HOURLY_RATE-FIXED_SEASON_COST)</f>
        <v>17905.8162476542</v>
      </c>
      <c r="Y138" s="53" t="n">
        <f aca="false">IF(OR($A138&gt;TOMATO_BED_CAP,$B138&gt;CARROT_BED_CAP,Y$4&gt;MESCLUN_BED_CAP,$A138+$B138+Y$4&gt;TOTAL_BEDS_AVAILABLE,($D138+Y$5)&gt;TOTAL_LABOR_HOURS_CAP,MAX(0,($D138+Y$5)-PERMANENT_FIELD_LABOR_HOURS)&gt;TEMP_HOURS_CAP),"",$C138+Y$6-MIN(($D138+Y$5),PERMANENT_FIELD_LABOR_HOURS)*PERMANENT_HOURLY_RATE-MAX(0,($D138+Y$5)-PERMANENT_FIELD_LABOR_HOURS)*TEMP_HOURLY_RATE-FIXED_SEASON_COST)</f>
        <v>18516.8393105329</v>
      </c>
      <c r="Z138" s="53" t="n">
        <f aca="false">IF(OR($A138&gt;TOMATO_BED_CAP,$B138&gt;CARROT_BED_CAP,Z$4&gt;MESCLUN_BED_CAP,$A138+$B138+Z$4&gt;TOTAL_BEDS_AVAILABLE,($D138+Z$5)&gt;TOTAL_LABOR_HOURS_CAP,MAX(0,($D138+Z$5)-PERMANENT_FIELD_LABOR_HOURS)&gt;TEMP_HOURS_CAP),"",$C138+Z$6-MIN(($D138+Z$5),PERMANENT_FIELD_LABOR_HOURS)*PERMANENT_HOURLY_RATE-MAX(0,($D138+Z$5)-PERMANENT_FIELD_LABOR_HOURS)*TEMP_HOURLY_RATE-FIXED_SEASON_COST)</f>
        <v>19100.3856248406</v>
      </c>
      <c r="AA138" s="53" t="n">
        <f aca="false">IF(OR($A138&gt;TOMATO_BED_CAP,$B138&gt;CARROT_BED_CAP,AA$4&gt;MESCLUN_BED_CAP,$A138+$B138+AA$4&gt;TOTAL_BEDS_AVAILABLE,($D138+AA$5)&gt;TOTAL_LABOR_HOURS_CAP,MAX(0,($D138+AA$5)-PERMANENT_FIELD_LABOR_HOURS)&gt;TEMP_HOURS_CAP),"",$C138+AA$6-MIN(($D138+AA$5),PERMANENT_FIELD_LABOR_HOURS)*PERMANENT_HOURLY_RATE-MAX(0,($D138+AA$5)-PERMANENT_FIELD_LABOR_HOURS)*TEMP_HOURLY_RATE-FIXED_SEASON_COST)</f>
        <v>19655.9571745095</v>
      </c>
      <c r="AB138" s="53" t="n">
        <f aca="false">IF(OR($A138&gt;TOMATO_BED_CAP,$B138&gt;CARROT_BED_CAP,AB$4&gt;MESCLUN_BED_CAP,$A138+$B138+AB$4&gt;TOTAL_BEDS_AVAILABLE,($D138+AB$5)&gt;TOTAL_LABOR_HOURS_CAP,MAX(0,($D138+AB$5)-PERMANENT_FIELD_LABOR_HOURS)&gt;TEMP_HOURS_CAP),"",$C138+AB$6-MIN(($D138+AB$5),PERMANENT_FIELD_LABOR_HOURS)*PERMANENT_HOURLY_RATE-MAX(0,($D138+AB$5)-PERMANENT_FIELD_LABOR_HOURS)*TEMP_HOURLY_RATE-FIXED_SEASON_COST)</f>
        <v>20183.0477863121</v>
      </c>
      <c r="AC138" s="53" t="n">
        <f aca="false">IF(OR($A138&gt;TOMATO_BED_CAP,$B138&gt;CARROT_BED_CAP,AC$4&gt;MESCLUN_BED_CAP,$A138+$B138+AC$4&gt;TOTAL_BEDS_AVAILABLE,($D138+AC$5)&gt;TOTAL_LABOR_HOURS_CAP,MAX(0,($D138+AC$5)-PERMANENT_FIELD_LABOR_HOURS)&gt;TEMP_HOURS_CAP),"",$C138+AC$6-MIN(($D138+AC$5),PERMANENT_FIELD_LABOR_HOURS)*PERMANENT_HOURLY_RATE-MAX(0,($D138+AC$5)-PERMANENT_FIELD_LABOR_HOURS)*TEMP_HOURLY_RATE-FIXED_SEASON_COST)</f>
        <v>20681.143003747</v>
      </c>
      <c r="AD138" s="53" t="n">
        <f aca="false">IF(OR($A138&gt;TOMATO_BED_CAP,$B138&gt;CARROT_BED_CAP,AD$4&gt;MESCLUN_BED_CAP,$A138+$B138+AD$4&gt;TOTAL_BEDS_AVAILABLE,($D138+AD$5)&gt;TOTAL_LABOR_HOURS_CAP,MAX(0,($D138+AD$5)-PERMANENT_FIELD_LABOR_HOURS)&gt;TEMP_HOURS_CAP),"",$C138+AD$6-MIN(($D138+AD$5),PERMANENT_FIELD_LABOR_HOURS)*PERMANENT_HOURLY_RATE-MAX(0,($D138+AD$5)-PERMANENT_FIELD_LABOR_HOURS)*TEMP_HOURLY_RATE-FIXED_SEASON_COST)</f>
        <v>21149.7199590469</v>
      </c>
      <c r="AE138" s="53" t="n">
        <f aca="false">IF(OR($A138&gt;TOMATO_BED_CAP,$B138&gt;CARROT_BED_CAP,AE$4&gt;MESCLUN_BED_CAP,$A138+$B138+AE$4&gt;TOTAL_BEDS_AVAILABLE,($D138+AE$5)&gt;TOTAL_LABOR_HOURS_CAP,MAX(0,($D138+AE$5)-PERMANENT_FIELD_LABOR_HOURS)&gt;TEMP_HOURS_CAP),"",$C138+AE$6-MIN(($D138+AE$5),PERMANENT_FIELD_LABOR_HOURS)*PERMANENT_HOURLY_RATE-MAX(0,($D138+AE$5)-PERMANENT_FIELD_LABOR_HOURS)*TEMP_HOURLY_RATE-FIXED_SEASON_COST)</f>
        <v>21588.2472432808</v>
      </c>
      <c r="AF138" s="53" t="n">
        <f aca="false">IF(OR($A138&gt;TOMATO_BED_CAP,$B138&gt;CARROT_BED_CAP,AF$4&gt;MESCLUN_BED_CAP,$A138+$B138+AF$4&gt;TOTAL_BEDS_AVAILABLE,($D138+AF$5)&gt;TOTAL_LABOR_HOURS_CAP,MAX(0,($D138+AF$5)-PERMANENT_FIELD_LABOR_HOURS)&gt;TEMP_HOURS_CAP),"",$C138+AF$6-MIN(($D138+AF$5),PERMANENT_FIELD_LABOR_HOURS)*PERMANENT_HOURLY_RATE-MAX(0,($D138+AF$5)-PERMANENT_FIELD_LABOR_HOURS)*TEMP_HOURLY_RATE-FIXED_SEASON_COST)</f>
        <v>21996.1847745228</v>
      </c>
      <c r="AG138" s="53" t="n">
        <f aca="false">IF(OR($A138&gt;TOMATO_BED_CAP,$B138&gt;CARROT_BED_CAP,AG$4&gt;MESCLUN_BED_CAP,$A138+$B138+AG$4&gt;TOTAL_BEDS_AVAILABLE,($D138+AG$5)&gt;TOTAL_LABOR_HOURS_CAP,MAX(0,($D138+AG$5)-PERMANENT_FIELD_LABOR_HOURS)&gt;TEMP_HOURS_CAP),"",$C138+AG$6-MIN(($D138+AG$5),PERMANENT_FIELD_LABOR_HOURS)*PERMANENT_HOURLY_RATE-MAX(0,($D138+AG$5)-PERMANENT_FIELD_LABOR_HOURS)*TEMP_HOURLY_RATE-FIXED_SEASON_COST)</f>
        <v>22372.9836640598</v>
      </c>
      <c r="AH138" s="53" t="n">
        <f aca="false">IF(OR($A138&gt;TOMATO_BED_CAP,$B138&gt;CARROT_BED_CAP,AH$4&gt;MESCLUN_BED_CAP,$A138+$B138+AH$4&gt;TOTAL_BEDS_AVAILABLE,($D138+AH$5)&gt;TOTAL_LABOR_HOURS_CAP,MAX(0,($D138+AH$5)-PERMANENT_FIELD_LABOR_HOURS)&gt;TEMP_HOURS_CAP),"",$C138+AH$6-MIN(($D138+AH$5),PERMANENT_FIELD_LABOR_HOURS)*PERMANENT_HOURLY_RATE-MAX(0,($D138+AH$5)-PERMANENT_FIELD_LABOR_HOURS)*TEMP_HOURLY_RATE-FIXED_SEASON_COST)</f>
        <v>22718.08608061</v>
      </c>
      <c r="AI138" s="53" t="n">
        <f aca="false">IF(OR($A138&gt;TOMATO_BED_CAP,$B138&gt;CARROT_BED_CAP,AI$4&gt;MESCLUN_BED_CAP,$A138+$B138+AI$4&gt;TOTAL_BEDS_AVAILABLE,($D138+AI$5)&gt;TOTAL_LABOR_HOURS_CAP,MAX(0,($D138+AI$5)-PERMANENT_FIELD_LABOR_HOURS)&gt;TEMP_HOURS_CAP),"",$C138+AI$6-MIN(($D138+AI$5),PERMANENT_FIELD_LABOR_HOURS)*PERMANENT_HOURLY_RATE-MAX(0,($D138+AI$5)-PERMANENT_FIELD_LABOR_HOURS)*TEMP_HOURLY_RATE-FIXED_SEASON_COST)</f>
        <v>23030.9251125223</v>
      </c>
      <c r="AJ138" s="53" t="n">
        <f aca="false">IF(OR($A138&gt;TOMATO_BED_CAP,$B138&gt;CARROT_BED_CAP,AJ$4&gt;MESCLUN_BED_CAP,$A138+$B138+AJ$4&gt;TOTAL_BEDS_AVAILABLE,($D138+AJ$5)&gt;TOTAL_LABOR_HOURS_CAP,MAX(0,($D138+AJ$5)-PERMANENT_FIELD_LABOR_HOURS)&gt;TEMP_HOURS_CAP),"",$C138+AJ$6-MIN(($D138+AJ$5),PERMANENT_FIELD_LABOR_HOURS)*PERMANENT_HOURLY_RATE-MAX(0,($D138+AJ$5)-PERMANENT_FIELD_LABOR_HOURS)*TEMP_HOURLY_RATE-FIXED_SEASON_COST)</f>
        <v>23310.924627928</v>
      </c>
    </row>
    <row r="139" customFormat="false" ht="15" hidden="false" customHeight="false" outlineLevel="0" collapsed="false">
      <c r="A139" s="21" t="n">
        <f aca="false">INT((ROW()-ROW($A$8))/(20+1))</f>
        <v>6</v>
      </c>
      <c r="B139" s="21" t="n">
        <f aca="false">MOD(ROW()-ROW($A$8),20+1)</f>
        <v>5</v>
      </c>
      <c r="C139" s="13" t="n">
        <f aca="false">A139*(TOMATO_REVENUE_PER_BED-TOMATO_FERTILIZER_PER_BED)+B139*(CARROT_REVENUE_PER_BED-CARROT_FERTILIZER_PER_BED)</f>
        <v>55790</v>
      </c>
      <c r="D139" s="14" t="n">
        <f aca="false">INDEX(TOMATO_SCHED_LABOR_HRS,A139+1)+INDEX(CARROT_SCHED_LABOR_HRS,B139+1)</f>
        <v>1126.28628744082</v>
      </c>
      <c r="E139" s="13" t="n">
        <f aca="false">IF(COUNT(F139:AJ139)=0,"",MAX(F139:AJ139))</f>
        <v>24318.4593448999</v>
      </c>
      <c r="F139" s="53" t="n">
        <f aca="false">IF(OR($A139&gt;TOMATO_BED_CAP,$B139&gt;CARROT_BED_CAP,F$4&gt;MESCLUN_BED_CAP,$A139+$B139+F$4&gt;TOTAL_BEDS_AVAILABLE,($D139+F$5)&gt;TOTAL_LABOR_HOURS_CAP,MAX(0,($D139+F$5)-PERMANENT_FIELD_LABOR_HOURS)&gt;TEMP_HOURS_CAP),"",$C139+F$6-MIN(($D139+F$5),PERMANENT_FIELD_LABOR_HOURS)*PERMANENT_HOURLY_RATE-MAX(0,($D139+F$5)-PERMANENT_FIELD_LABOR_HOURS)*TEMP_HOURLY_RATE-FIXED_SEASON_COST)</f>
        <v>3738.47005002736</v>
      </c>
      <c r="G139" s="53" t="n">
        <f aca="false">IF(OR($A139&gt;TOMATO_BED_CAP,$B139&gt;CARROT_BED_CAP,G$4&gt;MESCLUN_BED_CAP,$A139+$B139+G$4&gt;TOTAL_BEDS_AVAILABLE,($D139+G$5)&gt;TOTAL_LABOR_HOURS_CAP,MAX(0,($D139+G$5)-PERMANENT_FIELD_LABOR_HOURS)&gt;TEMP_HOURS_CAP),"",$C139+G$6-MIN(($D139+G$5),PERMANENT_FIELD_LABOR_HOURS)*PERMANENT_HOURLY_RATE-MAX(0,($D139+G$5)-PERMANENT_FIELD_LABOR_HOURS)*TEMP_HOURLY_RATE-FIXED_SEASON_COST)</f>
        <v>4767.50505002736</v>
      </c>
      <c r="H139" s="53" t="n">
        <f aca="false">IF(OR($A139&gt;TOMATO_BED_CAP,$B139&gt;CARROT_BED_CAP,H$4&gt;MESCLUN_BED_CAP,$A139+$B139+H$4&gt;TOTAL_BEDS_AVAILABLE,($D139+H$5)&gt;TOTAL_LABOR_HOURS_CAP,MAX(0,($D139+H$5)-PERMANENT_FIELD_LABOR_HOURS)&gt;TEMP_HOURS_CAP),"",$C139+H$6-MIN(($D139+H$5),PERMANENT_FIELD_LABOR_HOURS)*PERMANENT_HOURLY_RATE-MAX(0,($D139+H$5)-PERMANENT_FIELD_LABOR_HOURS)*TEMP_HOURLY_RATE-FIXED_SEASON_COST)</f>
        <v>5776.76592502736</v>
      </c>
      <c r="I139" s="53" t="n">
        <f aca="false">IF(OR($A139&gt;TOMATO_BED_CAP,$B139&gt;CARROT_BED_CAP,I$4&gt;MESCLUN_BED_CAP,$A139+$B139+I$4&gt;TOTAL_BEDS_AVAILABLE,($D139+I$5)&gt;TOTAL_LABOR_HOURS_CAP,MAX(0,($D139+I$5)-PERMANENT_FIELD_LABOR_HOURS)&gt;TEMP_HOURS_CAP),"",$C139+I$6-MIN(($D139+I$5),PERMANENT_FIELD_LABOR_HOURS)*PERMANENT_HOURLY_RATE-MAX(0,($D139+I$5)-PERMANENT_FIELD_LABOR_HOURS)*TEMP_HOURLY_RATE-FIXED_SEASON_COST)</f>
        <v>6765.88191018361</v>
      </c>
      <c r="J139" s="53" t="n">
        <f aca="false">IF(OR($A139&gt;TOMATO_BED_CAP,$B139&gt;CARROT_BED_CAP,J$4&gt;MESCLUN_BED_CAP,$A139+$B139+J$4&gt;TOTAL_BEDS_AVAILABLE,($D139+J$5)&gt;TOTAL_LABOR_HOURS_CAP,MAX(0,($D139+J$5)-PERMANENT_FIELD_LABOR_HOURS)&gt;TEMP_HOURS_CAP),"",$C139+J$6-MIN(($D139+J$5),PERMANENT_FIELD_LABOR_HOURS)*PERMANENT_HOURLY_RATE-MAX(0,($D139+J$5)-PERMANENT_FIELD_LABOR_HOURS)*TEMP_HOURLY_RATE-FIXED_SEASON_COST)</f>
        <v>7734.4760612383</v>
      </c>
      <c r="K139" s="53" t="n">
        <f aca="false">IF(OR($A139&gt;TOMATO_BED_CAP,$B139&gt;CARROT_BED_CAP,K$4&gt;MESCLUN_BED_CAP,$A139+$B139+K$4&gt;TOTAL_BEDS_AVAILABLE,($D139+K$5)&gt;TOTAL_LABOR_HOURS_CAP,MAX(0,($D139+K$5)-PERMANENT_FIELD_LABOR_HOURS)&gt;TEMP_HOURS_CAP),"",$C139+K$6-MIN(($D139+K$5),PERMANENT_FIELD_LABOR_HOURS)*PERMANENT_HOURLY_RATE-MAX(0,($D139+K$5)-PERMANENT_FIELD_LABOR_HOURS)*TEMP_HOURLY_RATE-FIXED_SEASON_COST)</f>
        <v>8682.1651579662</v>
      </c>
      <c r="L139" s="53" t="n">
        <f aca="false">IF(OR($A139&gt;TOMATO_BED_CAP,$B139&gt;CARROT_BED_CAP,L$4&gt;MESCLUN_BED_CAP,$A139+$B139+L$4&gt;TOTAL_BEDS_AVAILABLE,($D139+L$5)&gt;TOTAL_LABOR_HOURS_CAP,MAX(0,($D139+L$5)-PERMANENT_FIELD_LABOR_HOURS)&gt;TEMP_HOURS_CAP),"",$C139+L$6-MIN(($D139+L$5),PERMANENT_FIELD_LABOR_HOURS)*PERMANENT_HOURLY_RATE-MAX(0,($D139+L$5)-PERMANENT_FIELD_LABOR_HOURS)*TEMP_HOURLY_RATE-FIXED_SEASON_COST)</f>
        <v>9608.55960617305</v>
      </c>
      <c r="M139" s="53" t="n">
        <f aca="false">IF(OR($A139&gt;TOMATO_BED_CAP,$B139&gt;CARROT_BED_CAP,M$4&gt;MESCLUN_BED_CAP,$A139+$B139+M$4&gt;TOTAL_BEDS_AVAILABLE,($D139+M$5)&gt;TOTAL_LABOR_HOURS_CAP,MAX(0,($D139+M$5)-PERMANENT_FIELD_LABOR_HOURS)&gt;TEMP_HOURS_CAP),"",$C139+M$6-MIN(($D139+M$5),PERMANENT_FIELD_LABOR_HOURS)*PERMANENT_HOURLY_RATE-MAX(0,($D139+M$5)-PERMANENT_FIELD_LABOR_HOURS)*TEMP_HOURLY_RATE-FIXED_SEASON_COST)</f>
        <v>10513.2633382245</v>
      </c>
      <c r="N139" s="53" t="n">
        <f aca="false">IF(OR($A139&gt;TOMATO_BED_CAP,$B139&gt;CARROT_BED_CAP,N$4&gt;MESCLUN_BED_CAP,$A139+$B139+N$4&gt;TOTAL_BEDS_AVAILABLE,($D139+N$5)&gt;TOTAL_LABOR_HOURS_CAP,MAX(0,($D139+N$5)-PERMANENT_FIELD_LABOR_HOURS)&gt;TEMP_HOURS_CAP),"",$C139+N$6-MIN(($D139+N$5),PERMANENT_FIELD_LABOR_HOURS)*PERMANENT_HOURLY_RATE-MAX(0,($D139+N$5)-PERMANENT_FIELD_LABOR_HOURS)*TEMP_HOURLY_RATE-FIXED_SEASON_COST)</f>
        <v>11395.873712084</v>
      </c>
      <c r="O139" s="53" t="n">
        <f aca="false">IF(OR($A139&gt;TOMATO_BED_CAP,$B139&gt;CARROT_BED_CAP,O$4&gt;MESCLUN_BED_CAP,$A139+$B139+O$4&gt;TOTAL_BEDS_AVAILABLE,($D139+O$5)&gt;TOTAL_LABOR_HOURS_CAP,MAX(0,($D139+O$5)-PERMANENT_FIELD_LABOR_HOURS)&gt;TEMP_HOURS_CAP),"",$C139+O$6-MIN(($D139+O$5),PERMANENT_FIELD_LABOR_HOURS)*PERMANENT_HOURLY_RATE-MAX(0,($D139+O$5)-PERMANENT_FIELD_LABOR_HOURS)*TEMP_HOURLY_RATE-FIXED_SEASON_COST)</f>
        <v>12255.9814088388</v>
      </c>
      <c r="P139" s="53" t="n">
        <f aca="false">IF(OR($A139&gt;TOMATO_BED_CAP,$B139&gt;CARROT_BED_CAP,P$4&gt;MESCLUN_BED_CAP,$A139+$B139+P$4&gt;TOTAL_BEDS_AVAILABLE,($D139+P$5)&gt;TOTAL_LABOR_HOURS_CAP,MAX(0,($D139+P$5)-PERMANENT_FIELD_LABOR_HOURS)&gt;TEMP_HOURS_CAP),"",$C139+P$6-MIN(($D139+P$5),PERMANENT_FIELD_LABOR_HOURS)*PERMANENT_HOURLY_RATE-MAX(0,($D139+P$5)-PERMANENT_FIELD_LABOR_HOURS)*TEMP_HOURLY_RATE-FIXED_SEASON_COST)</f>
        <v>13093.1703286902</v>
      </c>
      <c r="Q139" s="53" t="n">
        <f aca="false">IF(OR($A139&gt;TOMATO_BED_CAP,$B139&gt;CARROT_BED_CAP,Q$4&gt;MESCLUN_BED_CAP,$A139+$B139+Q$4&gt;TOTAL_BEDS_AVAILABLE,($D139+Q$5)&gt;TOTAL_LABOR_HOURS_CAP,MAX(0,($D139+Q$5)-PERMANENT_FIELD_LABOR_HOURS)&gt;TEMP_HOURS_CAP),"",$C139+Q$6-MIN(($D139+Q$5),PERMANENT_FIELD_LABOR_HOURS)*PERMANENT_HOURLY_RATE-MAX(0,($D139+Q$5)-PERMANENT_FIELD_LABOR_HOURS)*TEMP_HOURLY_RATE-FIXED_SEASON_COST)</f>
        <v>13907.0174853881</v>
      </c>
      <c r="R139" s="53" t="n">
        <f aca="false">IF(OR($A139&gt;TOMATO_BED_CAP,$B139&gt;CARROT_BED_CAP,R$4&gt;MESCLUN_BED_CAP,$A139+$B139+R$4&gt;TOTAL_BEDS_AVAILABLE,($D139+R$5)&gt;TOTAL_LABOR_HOURS_CAP,MAX(0,($D139+R$5)-PERMANENT_FIELD_LABOR_HOURS)&gt;TEMP_HOURS_CAP),"",$C139+R$6-MIN(($D139+R$5),PERMANENT_FIELD_LABOR_HOURS)*PERMANENT_HOURLY_RATE-MAX(0,($D139+R$5)-PERMANENT_FIELD_LABOR_HOURS)*TEMP_HOURLY_RATE-FIXED_SEASON_COST)</f>
        <v>14697.0928990849</v>
      </c>
      <c r="S139" s="53" t="n">
        <f aca="false">IF(OR($A139&gt;TOMATO_BED_CAP,$B139&gt;CARROT_BED_CAP,S$4&gt;MESCLUN_BED_CAP,$A139+$B139+S$4&gt;TOTAL_BEDS_AVAILABLE,($D139+S$5)&gt;TOTAL_LABOR_HOURS_CAP,MAX(0,($D139+S$5)-PERMANENT_FIELD_LABOR_HOURS)&gt;TEMP_HOURS_CAP),"",$C139+S$6-MIN(($D139+S$5),PERMANENT_FIELD_LABOR_HOURS)*PERMANENT_HOURLY_RATE-MAX(0,($D139+S$5)-PERMANENT_FIELD_LABOR_HOURS)*TEMP_HOURLY_RATE-FIXED_SEASON_COST)</f>
        <v>15462.9594875873</v>
      </c>
      <c r="T139" s="53" t="n">
        <f aca="false">IF(OR($A139&gt;TOMATO_BED_CAP,$B139&gt;CARROT_BED_CAP,T$4&gt;MESCLUN_BED_CAP,$A139+$B139+T$4&gt;TOTAL_BEDS_AVAILABLE,($D139+T$5)&gt;TOTAL_LABOR_HOURS_CAP,MAX(0,($D139+T$5)-PERMANENT_FIELD_LABOR_HOURS)&gt;TEMP_HOURS_CAP),"",$C139+T$6-MIN(($D139+T$5),PERMANENT_FIELD_LABOR_HOURS)*PERMANENT_HOURLY_RATE-MAX(0,($D139+T$5)-PERMANENT_FIELD_LABOR_HOURS)*TEMP_HOURLY_RATE-FIXED_SEASON_COST)</f>
        <v>16204.1729559822</v>
      </c>
      <c r="U139" s="53" t="n">
        <f aca="false">IF(OR($A139&gt;TOMATO_BED_CAP,$B139&gt;CARROT_BED_CAP,U$4&gt;MESCLUN_BED_CAP,$A139+$B139+U$4&gt;TOTAL_BEDS_AVAILABLE,($D139+U$5)&gt;TOTAL_LABOR_HOURS_CAP,MAX(0,($D139+U$5)-PERMANENT_FIELD_LABOR_HOURS)&gt;TEMP_HOURS_CAP),"",$C139+U$6-MIN(($D139+U$5),PERMANENT_FIELD_LABOR_HOURS)*PERMANENT_HOURLY_RATE-MAX(0,($D139+U$5)-PERMANENT_FIELD_LABOR_HOURS)*TEMP_HOURLY_RATE-FIXED_SEASON_COST)</f>
        <v>16920.2816846123</v>
      </c>
      <c r="V139" s="53" t="n">
        <f aca="false">IF(OR($A139&gt;TOMATO_BED_CAP,$B139&gt;CARROT_BED_CAP,V$4&gt;MESCLUN_BED_CAP,$A139+$B139+V$4&gt;TOTAL_BEDS_AVAILABLE,($D139+V$5)&gt;TOTAL_LABOR_HOURS_CAP,MAX(0,($D139+V$5)-PERMANENT_FIELD_LABOR_HOURS)&gt;TEMP_HOURS_CAP),"",$C139+V$6-MIN(($D139+V$5),PERMANENT_FIELD_LABOR_HOURS)*PERMANENT_HOURLY_RATE-MAX(0,($D139+V$5)-PERMANENT_FIELD_LABOR_HOURS)*TEMP_HOURLY_RATE-FIXED_SEASON_COST)</f>
        <v>17610.8266153791</v>
      </c>
      <c r="W139" s="53" t="n">
        <f aca="false">IF(OR($A139&gt;TOMATO_BED_CAP,$B139&gt;CARROT_BED_CAP,W$4&gt;MESCLUN_BED_CAP,$A139+$B139+W$4&gt;TOTAL_BEDS_AVAILABLE,($D139+W$5)&gt;TOTAL_LABOR_HOURS_CAP,MAX(0,($D139+W$5)-PERMANENT_FIELD_LABOR_HOURS)&gt;TEMP_HOURS_CAP),"",$C139+W$6-MIN(($D139+W$5),PERMANENT_FIELD_LABOR_HOURS)*PERMANENT_HOURLY_RATE-MAX(0,($D139+W$5)-PERMANENT_FIELD_LABOR_HOURS)*TEMP_HOURLY_RATE-FIXED_SEASON_COST)</f>
        <v>18275.3411363471</v>
      </c>
      <c r="X139" s="53" t="n">
        <f aca="false">IF(OR($A139&gt;TOMATO_BED_CAP,$B139&gt;CARROT_BED_CAP,X$4&gt;MESCLUN_BED_CAP,$A139+$B139+X$4&gt;TOTAL_BEDS_AVAILABLE,($D139+X$5)&gt;TOTAL_LABOR_HOURS_CAP,MAX(0,($D139+X$5)-PERMANENT_FIELD_LABOR_HOURS)&gt;TEMP_HOURS_CAP),"",$C139+X$6-MIN(($D139+X$5),PERMANENT_FIELD_LABOR_HOURS)*PERMANENT_HOURLY_RATE-MAX(0,($D139+X$5)-PERMANENT_FIELD_LABOR_HOURS)*TEMP_HOURLY_RATE-FIXED_SEASON_COST)</f>
        <v>18913.3509646261</v>
      </c>
      <c r="Y139" s="53" t="n">
        <f aca="false">IF(OR($A139&gt;TOMATO_BED_CAP,$B139&gt;CARROT_BED_CAP,Y$4&gt;MESCLUN_BED_CAP,$A139+$B139+Y$4&gt;TOTAL_BEDS_AVAILABLE,($D139+Y$5)&gt;TOTAL_LABOR_HOURS_CAP,MAX(0,($D139+Y$5)-PERMANENT_FIELD_LABOR_HOURS)&gt;TEMP_HOURS_CAP),"",$C139+Y$6-MIN(($D139+Y$5),PERMANENT_FIELD_LABOR_HOURS)*PERMANENT_HOURLY_RATE-MAX(0,($D139+Y$5)-PERMANENT_FIELD_LABOR_HOURS)*TEMP_HOURLY_RATE-FIXED_SEASON_COST)</f>
        <v>19524.3740275047</v>
      </c>
      <c r="Z139" s="53" t="n">
        <f aca="false">IF(OR($A139&gt;TOMATO_BED_CAP,$B139&gt;CARROT_BED_CAP,Z$4&gt;MESCLUN_BED_CAP,$A139+$B139+Z$4&gt;TOTAL_BEDS_AVAILABLE,($D139+Z$5)&gt;TOTAL_LABOR_HOURS_CAP,MAX(0,($D139+Z$5)-PERMANENT_FIELD_LABOR_HOURS)&gt;TEMP_HOURS_CAP),"",$C139+Z$6-MIN(($D139+Z$5),PERMANENT_FIELD_LABOR_HOURS)*PERMANENT_HOURLY_RATE-MAX(0,($D139+Z$5)-PERMANENT_FIELD_LABOR_HOURS)*TEMP_HOURLY_RATE-FIXED_SEASON_COST)</f>
        <v>20107.9203418124</v>
      </c>
      <c r="AA139" s="53" t="n">
        <f aca="false">IF(OR($A139&gt;TOMATO_BED_CAP,$B139&gt;CARROT_BED_CAP,AA$4&gt;MESCLUN_BED_CAP,$A139+$B139+AA$4&gt;TOTAL_BEDS_AVAILABLE,($D139+AA$5)&gt;TOTAL_LABOR_HOURS_CAP,MAX(0,($D139+AA$5)-PERMANENT_FIELD_LABOR_HOURS)&gt;TEMP_HOURS_CAP),"",$C139+AA$6-MIN(($D139+AA$5),PERMANENT_FIELD_LABOR_HOURS)*PERMANENT_HOURLY_RATE-MAX(0,($D139+AA$5)-PERMANENT_FIELD_LABOR_HOURS)*TEMP_HOURLY_RATE-FIXED_SEASON_COST)</f>
        <v>20663.4918914814</v>
      </c>
      <c r="AB139" s="53" t="n">
        <f aca="false">IF(OR($A139&gt;TOMATO_BED_CAP,$B139&gt;CARROT_BED_CAP,AB$4&gt;MESCLUN_BED_CAP,$A139+$B139+AB$4&gt;TOTAL_BEDS_AVAILABLE,($D139+AB$5)&gt;TOTAL_LABOR_HOURS_CAP,MAX(0,($D139+AB$5)-PERMANENT_FIELD_LABOR_HOURS)&gt;TEMP_HOURS_CAP),"",$C139+AB$6-MIN(($D139+AB$5),PERMANENT_FIELD_LABOR_HOURS)*PERMANENT_HOURLY_RATE-MAX(0,($D139+AB$5)-PERMANENT_FIELD_LABOR_HOURS)*TEMP_HOURLY_RATE-FIXED_SEASON_COST)</f>
        <v>21190.5825032839</v>
      </c>
      <c r="AC139" s="53" t="n">
        <f aca="false">IF(OR($A139&gt;TOMATO_BED_CAP,$B139&gt;CARROT_BED_CAP,AC$4&gt;MESCLUN_BED_CAP,$A139+$B139+AC$4&gt;TOTAL_BEDS_AVAILABLE,($D139+AC$5)&gt;TOTAL_LABOR_HOURS_CAP,MAX(0,($D139+AC$5)-PERMANENT_FIELD_LABOR_HOURS)&gt;TEMP_HOURS_CAP),"",$C139+AC$6-MIN(($D139+AC$5),PERMANENT_FIELD_LABOR_HOURS)*PERMANENT_HOURLY_RATE-MAX(0,($D139+AC$5)-PERMANENT_FIELD_LABOR_HOURS)*TEMP_HOURLY_RATE-FIXED_SEASON_COST)</f>
        <v>21688.6777207188</v>
      </c>
      <c r="AD139" s="53" t="n">
        <f aca="false">IF(OR($A139&gt;TOMATO_BED_CAP,$B139&gt;CARROT_BED_CAP,AD$4&gt;MESCLUN_BED_CAP,$A139+$B139+AD$4&gt;TOTAL_BEDS_AVAILABLE,($D139+AD$5)&gt;TOTAL_LABOR_HOURS_CAP,MAX(0,($D139+AD$5)-PERMANENT_FIELD_LABOR_HOURS)&gt;TEMP_HOURS_CAP),"",$C139+AD$6-MIN(($D139+AD$5),PERMANENT_FIELD_LABOR_HOURS)*PERMANENT_HOURLY_RATE-MAX(0,($D139+AD$5)-PERMANENT_FIELD_LABOR_HOURS)*TEMP_HOURLY_RATE-FIXED_SEASON_COST)</f>
        <v>22157.2546760188</v>
      </c>
      <c r="AE139" s="53" t="n">
        <f aca="false">IF(OR($A139&gt;TOMATO_BED_CAP,$B139&gt;CARROT_BED_CAP,AE$4&gt;MESCLUN_BED_CAP,$A139+$B139+AE$4&gt;TOTAL_BEDS_AVAILABLE,($D139+AE$5)&gt;TOTAL_LABOR_HOURS_CAP,MAX(0,($D139+AE$5)-PERMANENT_FIELD_LABOR_HOURS)&gt;TEMP_HOURS_CAP),"",$C139+AE$6-MIN(($D139+AE$5),PERMANENT_FIELD_LABOR_HOURS)*PERMANENT_HOURLY_RATE-MAX(0,($D139+AE$5)-PERMANENT_FIELD_LABOR_HOURS)*TEMP_HOURLY_RATE-FIXED_SEASON_COST)</f>
        <v>22595.7819602527</v>
      </c>
      <c r="AF139" s="53" t="n">
        <f aca="false">IF(OR($A139&gt;TOMATO_BED_CAP,$B139&gt;CARROT_BED_CAP,AF$4&gt;MESCLUN_BED_CAP,$A139+$B139+AF$4&gt;TOTAL_BEDS_AVAILABLE,($D139+AF$5)&gt;TOTAL_LABOR_HOURS_CAP,MAX(0,($D139+AF$5)-PERMANENT_FIELD_LABOR_HOURS)&gt;TEMP_HOURS_CAP),"",$C139+AF$6-MIN(($D139+AF$5),PERMANENT_FIELD_LABOR_HOURS)*PERMANENT_HOURLY_RATE-MAX(0,($D139+AF$5)-PERMANENT_FIELD_LABOR_HOURS)*TEMP_HOURLY_RATE-FIXED_SEASON_COST)</f>
        <v>23003.7194914946</v>
      </c>
      <c r="AG139" s="53" t="n">
        <f aca="false">IF(OR($A139&gt;TOMATO_BED_CAP,$B139&gt;CARROT_BED_CAP,AG$4&gt;MESCLUN_BED_CAP,$A139+$B139+AG$4&gt;TOTAL_BEDS_AVAILABLE,($D139+AG$5)&gt;TOTAL_LABOR_HOURS_CAP,MAX(0,($D139+AG$5)-PERMANENT_FIELD_LABOR_HOURS)&gt;TEMP_HOURS_CAP),"",$C139+AG$6-MIN(($D139+AG$5),PERMANENT_FIELD_LABOR_HOURS)*PERMANENT_HOURLY_RATE-MAX(0,($D139+AG$5)-PERMANENT_FIELD_LABOR_HOURS)*TEMP_HOURLY_RATE-FIXED_SEASON_COST)</f>
        <v>23380.5183810317</v>
      </c>
      <c r="AH139" s="53" t="n">
        <f aca="false">IF(OR($A139&gt;TOMATO_BED_CAP,$B139&gt;CARROT_BED_CAP,AH$4&gt;MESCLUN_BED_CAP,$A139+$B139+AH$4&gt;TOTAL_BEDS_AVAILABLE,($D139+AH$5)&gt;TOTAL_LABOR_HOURS_CAP,MAX(0,($D139+AH$5)-PERMANENT_FIELD_LABOR_HOURS)&gt;TEMP_HOURS_CAP),"",$C139+AH$6-MIN(($D139+AH$5),PERMANENT_FIELD_LABOR_HOURS)*PERMANENT_HOURLY_RATE-MAX(0,($D139+AH$5)-PERMANENT_FIELD_LABOR_HOURS)*TEMP_HOURLY_RATE-FIXED_SEASON_COST)</f>
        <v>23725.6207975819</v>
      </c>
      <c r="AI139" s="53" t="n">
        <f aca="false">IF(OR($A139&gt;TOMATO_BED_CAP,$B139&gt;CARROT_BED_CAP,AI$4&gt;MESCLUN_BED_CAP,$A139+$B139+AI$4&gt;TOTAL_BEDS_AVAILABLE,($D139+AI$5)&gt;TOTAL_LABOR_HOURS_CAP,MAX(0,($D139+AI$5)-PERMANENT_FIELD_LABOR_HOURS)&gt;TEMP_HOURS_CAP),"",$C139+AI$6-MIN(($D139+AI$5),PERMANENT_FIELD_LABOR_HOURS)*PERMANENT_HOURLY_RATE-MAX(0,($D139+AI$5)-PERMANENT_FIELD_LABOR_HOURS)*TEMP_HOURLY_RATE-FIXED_SEASON_COST)</f>
        <v>24038.4598294941</v>
      </c>
      <c r="AJ139" s="53" t="n">
        <f aca="false">IF(OR($A139&gt;TOMATO_BED_CAP,$B139&gt;CARROT_BED_CAP,AJ$4&gt;MESCLUN_BED_CAP,$A139+$B139+AJ$4&gt;TOTAL_BEDS_AVAILABLE,($D139+AJ$5)&gt;TOTAL_LABOR_HOURS_CAP,MAX(0,($D139+AJ$5)-PERMANENT_FIELD_LABOR_HOURS)&gt;TEMP_HOURS_CAP),"",$C139+AJ$6-MIN(($D139+AJ$5),PERMANENT_FIELD_LABOR_HOURS)*PERMANENT_HOURLY_RATE-MAX(0,($D139+AJ$5)-PERMANENT_FIELD_LABOR_HOURS)*TEMP_HOURLY_RATE-FIXED_SEASON_COST)</f>
        <v>24318.4593448999</v>
      </c>
    </row>
    <row r="140" customFormat="false" ht="15" hidden="false" customHeight="false" outlineLevel="0" collapsed="false">
      <c r="A140" s="21" t="n">
        <f aca="false">INT((ROW()-ROW($A$8))/(20+1))</f>
        <v>6</v>
      </c>
      <c r="B140" s="21" t="n">
        <f aca="false">MOD(ROW()-ROW($A$8),20+1)</f>
        <v>6</v>
      </c>
      <c r="C140" s="13" t="n">
        <f aca="false">A140*(TOMATO_REVENUE_PER_BED-TOMATO_FERTILIZER_PER_BED)+B140*(CARROT_REVENUE_PER_BED-CARROT_FERTILIZER_PER_BED)</f>
        <v>57444</v>
      </c>
      <c r="D140" s="14" t="n">
        <f aca="false">INDEX(TOMATO_SCHED_LABOR_HRS,A140+1)+INDEX(CARROT_SCHED_LABOR_HRS,B140+1)</f>
        <v>1165.30425735221</v>
      </c>
      <c r="E140" s="13" t="n">
        <f aca="false">IF(COUNT(F140:AJ140)=0,"",MAX(F140:AJ140))</f>
        <v>25295.1073872382</v>
      </c>
      <c r="F140" s="53" t="n">
        <f aca="false">IF(OR($A140&gt;TOMATO_BED_CAP,$B140&gt;CARROT_BED_CAP,F$4&gt;MESCLUN_BED_CAP,$A140+$B140+F$4&gt;TOTAL_BEDS_AVAILABLE,($D140+F$5)&gt;TOTAL_LABOR_HOURS_CAP,MAX(0,($D140+F$5)-PERMANENT_FIELD_LABOR_HOURS)&gt;TEMP_HOURS_CAP),"",$C140+F$6-MIN(($D140+F$5),PERMANENT_FIELD_LABOR_HOURS)*PERMANENT_HOURLY_RATE-MAX(0,($D140+F$5)-PERMANENT_FIELD_LABOR_HOURS)*TEMP_HOURLY_RATE-FIXED_SEASON_COST)</f>
        <v>4715.11809236565</v>
      </c>
      <c r="G140" s="53" t="n">
        <f aca="false">IF(OR($A140&gt;TOMATO_BED_CAP,$B140&gt;CARROT_BED_CAP,G$4&gt;MESCLUN_BED_CAP,$A140+$B140+G$4&gt;TOTAL_BEDS_AVAILABLE,($D140+G$5)&gt;TOTAL_LABOR_HOURS_CAP,MAX(0,($D140+G$5)-PERMANENT_FIELD_LABOR_HOURS)&gt;TEMP_HOURS_CAP),"",$C140+G$6-MIN(($D140+G$5),PERMANENT_FIELD_LABOR_HOURS)*PERMANENT_HOURLY_RATE-MAX(0,($D140+G$5)-PERMANENT_FIELD_LABOR_HOURS)*TEMP_HOURLY_RATE-FIXED_SEASON_COST)</f>
        <v>5744.15309236565</v>
      </c>
      <c r="H140" s="53" t="n">
        <f aca="false">IF(OR($A140&gt;TOMATO_BED_CAP,$B140&gt;CARROT_BED_CAP,H$4&gt;MESCLUN_BED_CAP,$A140+$B140+H$4&gt;TOTAL_BEDS_AVAILABLE,($D140+H$5)&gt;TOTAL_LABOR_HOURS_CAP,MAX(0,($D140+H$5)-PERMANENT_FIELD_LABOR_HOURS)&gt;TEMP_HOURS_CAP),"",$C140+H$6-MIN(($D140+H$5),PERMANENT_FIELD_LABOR_HOURS)*PERMANENT_HOURLY_RATE-MAX(0,($D140+H$5)-PERMANENT_FIELD_LABOR_HOURS)*TEMP_HOURLY_RATE-FIXED_SEASON_COST)</f>
        <v>6753.41396736565</v>
      </c>
      <c r="I140" s="53" t="n">
        <f aca="false">IF(OR($A140&gt;TOMATO_BED_CAP,$B140&gt;CARROT_BED_CAP,I$4&gt;MESCLUN_BED_CAP,$A140+$B140+I$4&gt;TOTAL_BEDS_AVAILABLE,($D140+I$5)&gt;TOTAL_LABOR_HOURS_CAP,MAX(0,($D140+I$5)-PERMANENT_FIELD_LABOR_HOURS)&gt;TEMP_HOURS_CAP),"",$C140+I$6-MIN(($D140+I$5),PERMANENT_FIELD_LABOR_HOURS)*PERMANENT_HOURLY_RATE-MAX(0,($D140+I$5)-PERMANENT_FIELD_LABOR_HOURS)*TEMP_HOURLY_RATE-FIXED_SEASON_COST)</f>
        <v>7742.5299525219</v>
      </c>
      <c r="J140" s="53" t="n">
        <f aca="false">IF(OR($A140&gt;TOMATO_BED_CAP,$B140&gt;CARROT_BED_CAP,J$4&gt;MESCLUN_BED_CAP,$A140+$B140+J$4&gt;TOTAL_BEDS_AVAILABLE,($D140+J$5)&gt;TOTAL_LABOR_HOURS_CAP,MAX(0,($D140+J$5)-PERMANENT_FIELD_LABOR_HOURS)&gt;TEMP_HOURS_CAP),"",$C140+J$6-MIN(($D140+J$5),PERMANENT_FIELD_LABOR_HOURS)*PERMANENT_HOURLY_RATE-MAX(0,($D140+J$5)-PERMANENT_FIELD_LABOR_HOURS)*TEMP_HOURLY_RATE-FIXED_SEASON_COST)</f>
        <v>8711.12410357659</v>
      </c>
      <c r="K140" s="53" t="n">
        <f aca="false">IF(OR($A140&gt;TOMATO_BED_CAP,$B140&gt;CARROT_BED_CAP,K$4&gt;MESCLUN_BED_CAP,$A140+$B140+K$4&gt;TOTAL_BEDS_AVAILABLE,($D140+K$5)&gt;TOTAL_LABOR_HOURS_CAP,MAX(0,($D140+K$5)-PERMANENT_FIELD_LABOR_HOURS)&gt;TEMP_HOURS_CAP),"",$C140+K$6-MIN(($D140+K$5),PERMANENT_FIELD_LABOR_HOURS)*PERMANENT_HOURLY_RATE-MAX(0,($D140+K$5)-PERMANENT_FIELD_LABOR_HOURS)*TEMP_HOURLY_RATE-FIXED_SEASON_COST)</f>
        <v>9658.8132003045</v>
      </c>
      <c r="L140" s="53" t="n">
        <f aca="false">IF(OR($A140&gt;TOMATO_BED_CAP,$B140&gt;CARROT_BED_CAP,L$4&gt;MESCLUN_BED_CAP,$A140+$B140+L$4&gt;TOTAL_BEDS_AVAILABLE,($D140+L$5)&gt;TOTAL_LABOR_HOURS_CAP,MAX(0,($D140+L$5)-PERMANENT_FIELD_LABOR_HOURS)&gt;TEMP_HOURS_CAP),"",$C140+L$6-MIN(($D140+L$5),PERMANENT_FIELD_LABOR_HOURS)*PERMANENT_HOURLY_RATE-MAX(0,($D140+L$5)-PERMANENT_FIELD_LABOR_HOURS)*TEMP_HOURLY_RATE-FIXED_SEASON_COST)</f>
        <v>10585.2076485114</v>
      </c>
      <c r="M140" s="53" t="n">
        <f aca="false">IF(OR($A140&gt;TOMATO_BED_CAP,$B140&gt;CARROT_BED_CAP,M$4&gt;MESCLUN_BED_CAP,$A140+$B140+M$4&gt;TOTAL_BEDS_AVAILABLE,($D140+M$5)&gt;TOTAL_LABOR_HOURS_CAP,MAX(0,($D140+M$5)-PERMANENT_FIELD_LABOR_HOURS)&gt;TEMP_HOURS_CAP),"",$C140+M$6-MIN(($D140+M$5),PERMANENT_FIELD_LABOR_HOURS)*PERMANENT_HOURLY_RATE-MAX(0,($D140+M$5)-PERMANENT_FIELD_LABOR_HOURS)*TEMP_HOURLY_RATE-FIXED_SEASON_COST)</f>
        <v>11489.9113805628</v>
      </c>
      <c r="N140" s="53" t="n">
        <f aca="false">IF(OR($A140&gt;TOMATO_BED_CAP,$B140&gt;CARROT_BED_CAP,N$4&gt;MESCLUN_BED_CAP,$A140+$B140+N$4&gt;TOTAL_BEDS_AVAILABLE,($D140+N$5)&gt;TOTAL_LABOR_HOURS_CAP,MAX(0,($D140+N$5)-PERMANENT_FIELD_LABOR_HOURS)&gt;TEMP_HOURS_CAP),"",$C140+N$6-MIN(($D140+N$5),PERMANENT_FIELD_LABOR_HOURS)*PERMANENT_HOURLY_RATE-MAX(0,($D140+N$5)-PERMANENT_FIELD_LABOR_HOURS)*TEMP_HOURLY_RATE-FIXED_SEASON_COST)</f>
        <v>12372.5217544223</v>
      </c>
      <c r="O140" s="53" t="n">
        <f aca="false">IF(OR($A140&gt;TOMATO_BED_CAP,$B140&gt;CARROT_BED_CAP,O$4&gt;MESCLUN_BED_CAP,$A140+$B140+O$4&gt;TOTAL_BEDS_AVAILABLE,($D140+O$5)&gt;TOTAL_LABOR_HOURS_CAP,MAX(0,($D140+O$5)-PERMANENT_FIELD_LABOR_HOURS)&gt;TEMP_HOURS_CAP),"",$C140+O$6-MIN(($D140+O$5),PERMANENT_FIELD_LABOR_HOURS)*PERMANENT_HOURLY_RATE-MAX(0,($D140+O$5)-PERMANENT_FIELD_LABOR_HOURS)*TEMP_HOURLY_RATE-FIXED_SEASON_COST)</f>
        <v>13232.6294511771</v>
      </c>
      <c r="P140" s="53" t="n">
        <f aca="false">IF(OR($A140&gt;TOMATO_BED_CAP,$B140&gt;CARROT_BED_CAP,P$4&gt;MESCLUN_BED_CAP,$A140+$B140+P$4&gt;TOTAL_BEDS_AVAILABLE,($D140+P$5)&gt;TOTAL_LABOR_HOURS_CAP,MAX(0,($D140+P$5)-PERMANENT_FIELD_LABOR_HOURS)&gt;TEMP_HOURS_CAP),"",$C140+P$6-MIN(($D140+P$5),PERMANENT_FIELD_LABOR_HOURS)*PERMANENT_HOURLY_RATE-MAX(0,($D140+P$5)-PERMANENT_FIELD_LABOR_HOURS)*TEMP_HOURLY_RATE-FIXED_SEASON_COST)</f>
        <v>14069.8183710285</v>
      </c>
      <c r="Q140" s="53" t="n">
        <f aca="false">IF(OR($A140&gt;TOMATO_BED_CAP,$B140&gt;CARROT_BED_CAP,Q$4&gt;MESCLUN_BED_CAP,$A140+$B140+Q$4&gt;TOTAL_BEDS_AVAILABLE,($D140+Q$5)&gt;TOTAL_LABOR_HOURS_CAP,MAX(0,($D140+Q$5)-PERMANENT_FIELD_LABOR_HOURS)&gt;TEMP_HOURS_CAP),"",$C140+Q$6-MIN(($D140+Q$5),PERMANENT_FIELD_LABOR_HOURS)*PERMANENT_HOURLY_RATE-MAX(0,($D140+Q$5)-PERMANENT_FIELD_LABOR_HOURS)*TEMP_HOURLY_RATE-FIXED_SEASON_COST)</f>
        <v>14883.6655277264</v>
      </c>
      <c r="R140" s="53" t="n">
        <f aca="false">IF(OR($A140&gt;TOMATO_BED_CAP,$B140&gt;CARROT_BED_CAP,R$4&gt;MESCLUN_BED_CAP,$A140+$B140+R$4&gt;TOTAL_BEDS_AVAILABLE,($D140+R$5)&gt;TOTAL_LABOR_HOURS_CAP,MAX(0,($D140+R$5)-PERMANENT_FIELD_LABOR_HOURS)&gt;TEMP_HOURS_CAP),"",$C140+R$6-MIN(($D140+R$5),PERMANENT_FIELD_LABOR_HOURS)*PERMANENT_HOURLY_RATE-MAX(0,($D140+R$5)-PERMANENT_FIELD_LABOR_HOURS)*TEMP_HOURLY_RATE-FIXED_SEASON_COST)</f>
        <v>15673.7409414232</v>
      </c>
      <c r="S140" s="53" t="n">
        <f aca="false">IF(OR($A140&gt;TOMATO_BED_CAP,$B140&gt;CARROT_BED_CAP,S$4&gt;MESCLUN_BED_CAP,$A140+$B140+S$4&gt;TOTAL_BEDS_AVAILABLE,($D140+S$5)&gt;TOTAL_LABOR_HOURS_CAP,MAX(0,($D140+S$5)-PERMANENT_FIELD_LABOR_HOURS)&gt;TEMP_HOURS_CAP),"",$C140+S$6-MIN(($D140+S$5),PERMANENT_FIELD_LABOR_HOURS)*PERMANENT_HOURLY_RATE-MAX(0,($D140+S$5)-PERMANENT_FIELD_LABOR_HOURS)*TEMP_HOURLY_RATE-FIXED_SEASON_COST)</f>
        <v>16439.6075299256</v>
      </c>
      <c r="T140" s="53" t="n">
        <f aca="false">IF(OR($A140&gt;TOMATO_BED_CAP,$B140&gt;CARROT_BED_CAP,T$4&gt;MESCLUN_BED_CAP,$A140+$B140+T$4&gt;TOTAL_BEDS_AVAILABLE,($D140+T$5)&gt;TOTAL_LABOR_HOURS_CAP,MAX(0,($D140+T$5)-PERMANENT_FIELD_LABOR_HOURS)&gt;TEMP_HOURS_CAP),"",$C140+T$6-MIN(($D140+T$5),PERMANENT_FIELD_LABOR_HOURS)*PERMANENT_HOURLY_RATE-MAX(0,($D140+T$5)-PERMANENT_FIELD_LABOR_HOURS)*TEMP_HOURLY_RATE-FIXED_SEASON_COST)</f>
        <v>17180.8209983205</v>
      </c>
      <c r="U140" s="53" t="n">
        <f aca="false">IF(OR($A140&gt;TOMATO_BED_CAP,$B140&gt;CARROT_BED_CAP,U$4&gt;MESCLUN_BED_CAP,$A140+$B140+U$4&gt;TOTAL_BEDS_AVAILABLE,($D140+U$5)&gt;TOTAL_LABOR_HOURS_CAP,MAX(0,($D140+U$5)-PERMANENT_FIELD_LABOR_HOURS)&gt;TEMP_HOURS_CAP),"",$C140+U$6-MIN(($D140+U$5),PERMANENT_FIELD_LABOR_HOURS)*PERMANENT_HOURLY_RATE-MAX(0,($D140+U$5)-PERMANENT_FIELD_LABOR_HOURS)*TEMP_HOURLY_RATE-FIXED_SEASON_COST)</f>
        <v>17896.9297269506</v>
      </c>
      <c r="V140" s="53" t="n">
        <f aca="false">IF(OR($A140&gt;TOMATO_BED_CAP,$B140&gt;CARROT_BED_CAP,V$4&gt;MESCLUN_BED_CAP,$A140+$B140+V$4&gt;TOTAL_BEDS_AVAILABLE,($D140+V$5)&gt;TOTAL_LABOR_HOURS_CAP,MAX(0,($D140+V$5)-PERMANENT_FIELD_LABOR_HOURS)&gt;TEMP_HOURS_CAP),"",$C140+V$6-MIN(($D140+V$5),PERMANENT_FIELD_LABOR_HOURS)*PERMANENT_HOURLY_RATE-MAX(0,($D140+V$5)-PERMANENT_FIELD_LABOR_HOURS)*TEMP_HOURLY_RATE-FIXED_SEASON_COST)</f>
        <v>18587.4746577174</v>
      </c>
      <c r="W140" s="53" t="n">
        <f aca="false">IF(OR($A140&gt;TOMATO_BED_CAP,$B140&gt;CARROT_BED_CAP,W$4&gt;MESCLUN_BED_CAP,$A140+$B140+W$4&gt;TOTAL_BEDS_AVAILABLE,($D140+W$5)&gt;TOTAL_LABOR_HOURS_CAP,MAX(0,($D140+W$5)-PERMANENT_FIELD_LABOR_HOURS)&gt;TEMP_HOURS_CAP),"",$C140+W$6-MIN(($D140+W$5),PERMANENT_FIELD_LABOR_HOURS)*PERMANENT_HOURLY_RATE-MAX(0,($D140+W$5)-PERMANENT_FIELD_LABOR_HOURS)*TEMP_HOURLY_RATE-FIXED_SEASON_COST)</f>
        <v>19251.9891786854</v>
      </c>
      <c r="X140" s="53" t="n">
        <f aca="false">IF(OR($A140&gt;TOMATO_BED_CAP,$B140&gt;CARROT_BED_CAP,X$4&gt;MESCLUN_BED_CAP,$A140+$B140+X$4&gt;TOTAL_BEDS_AVAILABLE,($D140+X$5)&gt;TOTAL_LABOR_HOURS_CAP,MAX(0,($D140+X$5)-PERMANENT_FIELD_LABOR_HOURS)&gt;TEMP_HOURS_CAP),"",$C140+X$6-MIN(($D140+X$5),PERMANENT_FIELD_LABOR_HOURS)*PERMANENT_HOURLY_RATE-MAX(0,($D140+X$5)-PERMANENT_FIELD_LABOR_HOURS)*TEMP_HOURLY_RATE-FIXED_SEASON_COST)</f>
        <v>19889.9990069644</v>
      </c>
      <c r="Y140" s="53" t="n">
        <f aca="false">IF(OR($A140&gt;TOMATO_BED_CAP,$B140&gt;CARROT_BED_CAP,Y$4&gt;MESCLUN_BED_CAP,$A140+$B140+Y$4&gt;TOTAL_BEDS_AVAILABLE,($D140+Y$5)&gt;TOTAL_LABOR_HOURS_CAP,MAX(0,($D140+Y$5)-PERMANENT_FIELD_LABOR_HOURS)&gt;TEMP_HOURS_CAP),"",$C140+Y$6-MIN(($D140+Y$5),PERMANENT_FIELD_LABOR_HOURS)*PERMANENT_HOURLY_RATE-MAX(0,($D140+Y$5)-PERMANENT_FIELD_LABOR_HOURS)*TEMP_HOURLY_RATE-FIXED_SEASON_COST)</f>
        <v>20501.022069843</v>
      </c>
      <c r="Z140" s="53" t="n">
        <f aca="false">IF(OR($A140&gt;TOMATO_BED_CAP,$B140&gt;CARROT_BED_CAP,Z$4&gt;MESCLUN_BED_CAP,$A140+$B140+Z$4&gt;TOTAL_BEDS_AVAILABLE,($D140+Z$5)&gt;TOTAL_LABOR_HOURS_CAP,MAX(0,($D140+Z$5)-PERMANENT_FIELD_LABOR_HOURS)&gt;TEMP_HOURS_CAP),"",$C140+Z$6-MIN(($D140+Z$5),PERMANENT_FIELD_LABOR_HOURS)*PERMANENT_HOURLY_RATE-MAX(0,($D140+Z$5)-PERMANENT_FIELD_LABOR_HOURS)*TEMP_HOURLY_RATE-FIXED_SEASON_COST)</f>
        <v>21084.5683841507</v>
      </c>
      <c r="AA140" s="53" t="n">
        <f aca="false">IF(OR($A140&gt;TOMATO_BED_CAP,$B140&gt;CARROT_BED_CAP,AA$4&gt;MESCLUN_BED_CAP,$A140+$B140+AA$4&gt;TOTAL_BEDS_AVAILABLE,($D140+AA$5)&gt;TOTAL_LABOR_HOURS_CAP,MAX(0,($D140+AA$5)-PERMANENT_FIELD_LABOR_HOURS)&gt;TEMP_HOURS_CAP),"",$C140+AA$6-MIN(($D140+AA$5),PERMANENT_FIELD_LABOR_HOURS)*PERMANENT_HOURLY_RATE-MAX(0,($D140+AA$5)-PERMANENT_FIELD_LABOR_HOURS)*TEMP_HOURLY_RATE-FIXED_SEASON_COST)</f>
        <v>21640.1399338197</v>
      </c>
      <c r="AB140" s="53" t="n">
        <f aca="false">IF(OR($A140&gt;TOMATO_BED_CAP,$B140&gt;CARROT_BED_CAP,AB$4&gt;MESCLUN_BED_CAP,$A140+$B140+AB$4&gt;TOTAL_BEDS_AVAILABLE,($D140+AB$5)&gt;TOTAL_LABOR_HOURS_CAP,MAX(0,($D140+AB$5)-PERMANENT_FIELD_LABOR_HOURS)&gt;TEMP_HOURS_CAP),"",$C140+AB$6-MIN(($D140+AB$5),PERMANENT_FIELD_LABOR_HOURS)*PERMANENT_HOURLY_RATE-MAX(0,($D140+AB$5)-PERMANENT_FIELD_LABOR_HOURS)*TEMP_HOURLY_RATE-FIXED_SEASON_COST)</f>
        <v>22167.2305456222</v>
      </c>
      <c r="AC140" s="53" t="n">
        <f aca="false">IF(OR($A140&gt;TOMATO_BED_CAP,$B140&gt;CARROT_BED_CAP,AC$4&gt;MESCLUN_BED_CAP,$A140+$B140+AC$4&gt;TOTAL_BEDS_AVAILABLE,($D140+AC$5)&gt;TOTAL_LABOR_HOURS_CAP,MAX(0,($D140+AC$5)-PERMANENT_FIELD_LABOR_HOURS)&gt;TEMP_HOURS_CAP),"",$C140+AC$6-MIN(($D140+AC$5),PERMANENT_FIELD_LABOR_HOURS)*PERMANENT_HOURLY_RATE-MAX(0,($D140+AC$5)-PERMANENT_FIELD_LABOR_HOURS)*TEMP_HOURLY_RATE-FIXED_SEASON_COST)</f>
        <v>22665.3257630571</v>
      </c>
      <c r="AD140" s="53" t="n">
        <f aca="false">IF(OR($A140&gt;TOMATO_BED_CAP,$B140&gt;CARROT_BED_CAP,AD$4&gt;MESCLUN_BED_CAP,$A140+$B140+AD$4&gt;TOTAL_BEDS_AVAILABLE,($D140+AD$5)&gt;TOTAL_LABOR_HOURS_CAP,MAX(0,($D140+AD$5)-PERMANENT_FIELD_LABOR_HOURS)&gt;TEMP_HOURS_CAP),"",$C140+AD$6-MIN(($D140+AD$5),PERMANENT_FIELD_LABOR_HOURS)*PERMANENT_HOURLY_RATE-MAX(0,($D140+AD$5)-PERMANENT_FIELD_LABOR_HOURS)*TEMP_HOURLY_RATE-FIXED_SEASON_COST)</f>
        <v>23133.9027183571</v>
      </c>
      <c r="AE140" s="53" t="n">
        <f aca="false">IF(OR($A140&gt;TOMATO_BED_CAP,$B140&gt;CARROT_BED_CAP,AE$4&gt;MESCLUN_BED_CAP,$A140+$B140+AE$4&gt;TOTAL_BEDS_AVAILABLE,($D140+AE$5)&gt;TOTAL_LABOR_HOURS_CAP,MAX(0,($D140+AE$5)-PERMANENT_FIELD_LABOR_HOURS)&gt;TEMP_HOURS_CAP),"",$C140+AE$6-MIN(($D140+AE$5),PERMANENT_FIELD_LABOR_HOURS)*PERMANENT_HOURLY_RATE-MAX(0,($D140+AE$5)-PERMANENT_FIELD_LABOR_HOURS)*TEMP_HOURLY_RATE-FIXED_SEASON_COST)</f>
        <v>23572.430002591</v>
      </c>
      <c r="AF140" s="53" t="n">
        <f aca="false">IF(OR($A140&gt;TOMATO_BED_CAP,$B140&gt;CARROT_BED_CAP,AF$4&gt;MESCLUN_BED_CAP,$A140+$B140+AF$4&gt;TOTAL_BEDS_AVAILABLE,($D140+AF$5)&gt;TOTAL_LABOR_HOURS_CAP,MAX(0,($D140+AF$5)-PERMANENT_FIELD_LABOR_HOURS)&gt;TEMP_HOURS_CAP),"",$C140+AF$6-MIN(($D140+AF$5),PERMANENT_FIELD_LABOR_HOURS)*PERMANENT_HOURLY_RATE-MAX(0,($D140+AF$5)-PERMANENT_FIELD_LABOR_HOURS)*TEMP_HOURLY_RATE-FIXED_SEASON_COST)</f>
        <v>23980.3675338329</v>
      </c>
      <c r="AG140" s="53" t="n">
        <f aca="false">IF(OR($A140&gt;TOMATO_BED_CAP,$B140&gt;CARROT_BED_CAP,AG$4&gt;MESCLUN_BED_CAP,$A140+$B140+AG$4&gt;TOTAL_BEDS_AVAILABLE,($D140+AG$5)&gt;TOTAL_LABOR_HOURS_CAP,MAX(0,($D140+AG$5)-PERMANENT_FIELD_LABOR_HOURS)&gt;TEMP_HOURS_CAP),"",$C140+AG$6-MIN(($D140+AG$5),PERMANENT_FIELD_LABOR_HOURS)*PERMANENT_HOURLY_RATE-MAX(0,($D140+AG$5)-PERMANENT_FIELD_LABOR_HOURS)*TEMP_HOURLY_RATE-FIXED_SEASON_COST)</f>
        <v>24357.16642337</v>
      </c>
      <c r="AH140" s="53" t="n">
        <f aca="false">IF(OR($A140&gt;TOMATO_BED_CAP,$B140&gt;CARROT_BED_CAP,AH$4&gt;MESCLUN_BED_CAP,$A140+$B140+AH$4&gt;TOTAL_BEDS_AVAILABLE,($D140+AH$5)&gt;TOTAL_LABOR_HOURS_CAP,MAX(0,($D140+AH$5)-PERMANENT_FIELD_LABOR_HOURS)&gt;TEMP_HOURS_CAP),"",$C140+AH$6-MIN(($D140+AH$5),PERMANENT_FIELD_LABOR_HOURS)*PERMANENT_HOURLY_RATE-MAX(0,($D140+AH$5)-PERMANENT_FIELD_LABOR_HOURS)*TEMP_HOURLY_RATE-FIXED_SEASON_COST)</f>
        <v>24702.2688399202</v>
      </c>
      <c r="AI140" s="53" t="n">
        <f aca="false">IF(OR($A140&gt;TOMATO_BED_CAP,$B140&gt;CARROT_BED_CAP,AI$4&gt;MESCLUN_BED_CAP,$A140+$B140+AI$4&gt;TOTAL_BEDS_AVAILABLE,($D140+AI$5)&gt;TOTAL_LABOR_HOURS_CAP,MAX(0,($D140+AI$5)-PERMANENT_FIELD_LABOR_HOURS)&gt;TEMP_HOURS_CAP),"",$C140+AI$6-MIN(($D140+AI$5),PERMANENT_FIELD_LABOR_HOURS)*PERMANENT_HOURLY_RATE-MAX(0,($D140+AI$5)-PERMANENT_FIELD_LABOR_HOURS)*TEMP_HOURLY_RATE-FIXED_SEASON_COST)</f>
        <v>25015.1078718324</v>
      </c>
      <c r="AJ140" s="53" t="n">
        <f aca="false">IF(OR($A140&gt;TOMATO_BED_CAP,$B140&gt;CARROT_BED_CAP,AJ$4&gt;MESCLUN_BED_CAP,$A140+$B140+AJ$4&gt;TOTAL_BEDS_AVAILABLE,($D140+AJ$5)&gt;TOTAL_LABOR_HOURS_CAP,MAX(0,($D140+AJ$5)-PERMANENT_FIELD_LABOR_HOURS)&gt;TEMP_HOURS_CAP),"",$C140+AJ$6-MIN(($D140+AJ$5),PERMANENT_FIELD_LABOR_HOURS)*PERMANENT_HOURLY_RATE-MAX(0,($D140+AJ$5)-PERMANENT_FIELD_LABOR_HOURS)*TEMP_HOURLY_RATE-FIXED_SEASON_COST)</f>
        <v>25295.1073872382</v>
      </c>
    </row>
    <row r="141" customFormat="false" ht="15" hidden="false" customHeight="false" outlineLevel="0" collapsed="false">
      <c r="A141" s="21" t="n">
        <f aca="false">INT((ROW()-ROW($A$8))/(20+1))</f>
        <v>6</v>
      </c>
      <c r="B141" s="21" t="n">
        <f aca="false">MOD(ROW()-ROW($A$8),20+1)</f>
        <v>7</v>
      </c>
      <c r="C141" s="13" t="n">
        <f aca="false">A141*(TOMATO_REVENUE_PER_BED-TOMATO_FERTILIZER_PER_BED)+B141*(CARROT_REVENUE_PER_BED-CARROT_FERTILIZER_PER_BED)</f>
        <v>59098</v>
      </c>
      <c r="D141" s="14" t="n">
        <f aca="false">INDEX(TOMATO_SCHED_LABOR_HRS,A141+1)+INDEX(CARROT_SCHED_LABOR_HRS,B141+1)</f>
        <v>1206.16709866702</v>
      </c>
      <c r="E141" s="13" t="n">
        <f aca="false">IF(COUNT(F141:AJ141)=0,"",MAX(F141:AJ141))</f>
        <v>26239.7284620131</v>
      </c>
      <c r="F141" s="53" t="n">
        <f aca="false">IF(OR($A141&gt;TOMATO_BED_CAP,$B141&gt;CARROT_BED_CAP,F$4&gt;MESCLUN_BED_CAP,$A141+$B141+F$4&gt;TOTAL_BEDS_AVAILABLE,($D141+F$5)&gt;TOTAL_LABOR_HOURS_CAP,MAX(0,($D141+F$5)-PERMANENT_FIELD_LABOR_HOURS)&gt;TEMP_HOURS_CAP),"",$C141+F$6-MIN(($D141+F$5),PERMANENT_FIELD_LABOR_HOURS)*PERMANENT_HOURLY_RATE-MAX(0,($D141+F$5)-PERMANENT_FIELD_LABOR_HOURS)*TEMP_HOURLY_RATE-FIXED_SEASON_COST)</f>
        <v>5659.73916714059</v>
      </c>
      <c r="G141" s="53" t="n">
        <f aca="false">IF(OR($A141&gt;TOMATO_BED_CAP,$B141&gt;CARROT_BED_CAP,G$4&gt;MESCLUN_BED_CAP,$A141+$B141+G$4&gt;TOTAL_BEDS_AVAILABLE,($D141+G$5)&gt;TOTAL_LABOR_HOURS_CAP,MAX(0,($D141+G$5)-PERMANENT_FIELD_LABOR_HOURS)&gt;TEMP_HOURS_CAP),"",$C141+G$6-MIN(($D141+G$5),PERMANENT_FIELD_LABOR_HOURS)*PERMANENT_HOURLY_RATE-MAX(0,($D141+G$5)-PERMANENT_FIELD_LABOR_HOURS)*TEMP_HOURLY_RATE-FIXED_SEASON_COST)</f>
        <v>6688.77416714059</v>
      </c>
      <c r="H141" s="53" t="n">
        <f aca="false">IF(OR($A141&gt;TOMATO_BED_CAP,$B141&gt;CARROT_BED_CAP,H$4&gt;MESCLUN_BED_CAP,$A141+$B141+H$4&gt;TOTAL_BEDS_AVAILABLE,($D141+H$5)&gt;TOTAL_LABOR_HOURS_CAP,MAX(0,($D141+H$5)-PERMANENT_FIELD_LABOR_HOURS)&gt;TEMP_HOURS_CAP),"",$C141+H$6-MIN(($D141+H$5),PERMANENT_FIELD_LABOR_HOURS)*PERMANENT_HOURLY_RATE-MAX(0,($D141+H$5)-PERMANENT_FIELD_LABOR_HOURS)*TEMP_HOURLY_RATE-FIXED_SEASON_COST)</f>
        <v>7698.03504214059</v>
      </c>
      <c r="I141" s="53" t="n">
        <f aca="false">IF(OR($A141&gt;TOMATO_BED_CAP,$B141&gt;CARROT_BED_CAP,I$4&gt;MESCLUN_BED_CAP,$A141+$B141+I$4&gt;TOTAL_BEDS_AVAILABLE,($D141+I$5)&gt;TOTAL_LABOR_HOURS_CAP,MAX(0,($D141+I$5)-PERMANENT_FIELD_LABOR_HOURS)&gt;TEMP_HOURS_CAP),"",$C141+I$6-MIN(($D141+I$5),PERMANENT_FIELD_LABOR_HOURS)*PERMANENT_HOURLY_RATE-MAX(0,($D141+I$5)-PERMANENT_FIELD_LABOR_HOURS)*TEMP_HOURLY_RATE-FIXED_SEASON_COST)</f>
        <v>8687.15102729684</v>
      </c>
      <c r="J141" s="53" t="n">
        <f aca="false">IF(OR($A141&gt;TOMATO_BED_CAP,$B141&gt;CARROT_BED_CAP,J$4&gt;MESCLUN_BED_CAP,$A141+$B141+J$4&gt;TOTAL_BEDS_AVAILABLE,($D141+J$5)&gt;TOTAL_LABOR_HOURS_CAP,MAX(0,($D141+J$5)-PERMANENT_FIELD_LABOR_HOURS)&gt;TEMP_HOURS_CAP),"",$C141+J$6-MIN(($D141+J$5),PERMANENT_FIELD_LABOR_HOURS)*PERMANENT_HOURLY_RATE-MAX(0,($D141+J$5)-PERMANENT_FIELD_LABOR_HOURS)*TEMP_HOURLY_RATE-FIXED_SEASON_COST)</f>
        <v>9655.74517835153</v>
      </c>
      <c r="K141" s="53" t="n">
        <f aca="false">IF(OR($A141&gt;TOMATO_BED_CAP,$B141&gt;CARROT_BED_CAP,K$4&gt;MESCLUN_BED_CAP,$A141+$B141+K$4&gt;TOTAL_BEDS_AVAILABLE,($D141+K$5)&gt;TOTAL_LABOR_HOURS_CAP,MAX(0,($D141+K$5)-PERMANENT_FIELD_LABOR_HOURS)&gt;TEMP_HOURS_CAP),"",$C141+K$6-MIN(($D141+K$5),PERMANENT_FIELD_LABOR_HOURS)*PERMANENT_HOURLY_RATE-MAX(0,($D141+K$5)-PERMANENT_FIELD_LABOR_HOURS)*TEMP_HOURLY_RATE-FIXED_SEASON_COST)</f>
        <v>10603.4342750794</v>
      </c>
      <c r="L141" s="53" t="n">
        <f aca="false">IF(OR($A141&gt;TOMATO_BED_CAP,$B141&gt;CARROT_BED_CAP,L$4&gt;MESCLUN_BED_CAP,$A141+$B141+L$4&gt;TOTAL_BEDS_AVAILABLE,($D141+L$5)&gt;TOTAL_LABOR_HOURS_CAP,MAX(0,($D141+L$5)-PERMANENT_FIELD_LABOR_HOURS)&gt;TEMP_HOURS_CAP),"",$C141+L$6-MIN(($D141+L$5),PERMANENT_FIELD_LABOR_HOURS)*PERMANENT_HOURLY_RATE-MAX(0,($D141+L$5)-PERMANENT_FIELD_LABOR_HOURS)*TEMP_HOURLY_RATE-FIXED_SEASON_COST)</f>
        <v>11529.8287232863</v>
      </c>
      <c r="M141" s="53" t="n">
        <f aca="false">IF(OR($A141&gt;TOMATO_BED_CAP,$B141&gt;CARROT_BED_CAP,M$4&gt;MESCLUN_BED_CAP,$A141+$B141+M$4&gt;TOTAL_BEDS_AVAILABLE,($D141+M$5)&gt;TOTAL_LABOR_HOURS_CAP,MAX(0,($D141+M$5)-PERMANENT_FIELD_LABOR_HOURS)&gt;TEMP_HOURS_CAP),"",$C141+M$6-MIN(($D141+M$5),PERMANENT_FIELD_LABOR_HOURS)*PERMANENT_HOURLY_RATE-MAX(0,($D141+M$5)-PERMANENT_FIELD_LABOR_HOURS)*TEMP_HOURLY_RATE-FIXED_SEASON_COST)</f>
        <v>12434.5324553377</v>
      </c>
      <c r="N141" s="53" t="n">
        <f aca="false">IF(OR($A141&gt;TOMATO_BED_CAP,$B141&gt;CARROT_BED_CAP,N$4&gt;MESCLUN_BED_CAP,$A141+$B141+N$4&gt;TOTAL_BEDS_AVAILABLE,($D141+N$5)&gt;TOTAL_LABOR_HOURS_CAP,MAX(0,($D141+N$5)-PERMANENT_FIELD_LABOR_HOURS)&gt;TEMP_HOURS_CAP),"",$C141+N$6-MIN(($D141+N$5),PERMANENT_FIELD_LABOR_HOURS)*PERMANENT_HOURLY_RATE-MAX(0,($D141+N$5)-PERMANENT_FIELD_LABOR_HOURS)*TEMP_HOURLY_RATE-FIXED_SEASON_COST)</f>
        <v>13317.1428291972</v>
      </c>
      <c r="O141" s="53" t="n">
        <f aca="false">IF(OR($A141&gt;TOMATO_BED_CAP,$B141&gt;CARROT_BED_CAP,O$4&gt;MESCLUN_BED_CAP,$A141+$B141+O$4&gt;TOTAL_BEDS_AVAILABLE,($D141+O$5)&gt;TOTAL_LABOR_HOURS_CAP,MAX(0,($D141+O$5)-PERMANENT_FIELD_LABOR_HOURS)&gt;TEMP_HOURS_CAP),"",$C141+O$6-MIN(($D141+O$5),PERMANENT_FIELD_LABOR_HOURS)*PERMANENT_HOURLY_RATE-MAX(0,($D141+O$5)-PERMANENT_FIELD_LABOR_HOURS)*TEMP_HOURLY_RATE-FIXED_SEASON_COST)</f>
        <v>14177.250525952</v>
      </c>
      <c r="P141" s="53" t="n">
        <f aca="false">IF(OR($A141&gt;TOMATO_BED_CAP,$B141&gt;CARROT_BED_CAP,P$4&gt;MESCLUN_BED_CAP,$A141+$B141+P$4&gt;TOTAL_BEDS_AVAILABLE,($D141+P$5)&gt;TOTAL_LABOR_HOURS_CAP,MAX(0,($D141+P$5)-PERMANENT_FIELD_LABOR_HOURS)&gt;TEMP_HOURS_CAP),"",$C141+P$6-MIN(($D141+P$5),PERMANENT_FIELD_LABOR_HOURS)*PERMANENT_HOURLY_RATE-MAX(0,($D141+P$5)-PERMANENT_FIELD_LABOR_HOURS)*TEMP_HOURLY_RATE-FIXED_SEASON_COST)</f>
        <v>15014.4394458034</v>
      </c>
      <c r="Q141" s="53" t="n">
        <f aca="false">IF(OR($A141&gt;TOMATO_BED_CAP,$B141&gt;CARROT_BED_CAP,Q$4&gt;MESCLUN_BED_CAP,$A141+$B141+Q$4&gt;TOTAL_BEDS_AVAILABLE,($D141+Q$5)&gt;TOTAL_LABOR_HOURS_CAP,MAX(0,($D141+Q$5)-PERMANENT_FIELD_LABOR_HOURS)&gt;TEMP_HOURS_CAP),"",$C141+Q$6-MIN(($D141+Q$5),PERMANENT_FIELD_LABOR_HOURS)*PERMANENT_HOURLY_RATE-MAX(0,($D141+Q$5)-PERMANENT_FIELD_LABOR_HOURS)*TEMP_HOURLY_RATE-FIXED_SEASON_COST)</f>
        <v>15828.2866025013</v>
      </c>
      <c r="R141" s="53" t="n">
        <f aca="false">IF(OR($A141&gt;TOMATO_BED_CAP,$B141&gt;CARROT_BED_CAP,R$4&gt;MESCLUN_BED_CAP,$A141+$B141+R$4&gt;TOTAL_BEDS_AVAILABLE,($D141+R$5)&gt;TOTAL_LABOR_HOURS_CAP,MAX(0,($D141+R$5)-PERMANENT_FIELD_LABOR_HOURS)&gt;TEMP_HOURS_CAP),"",$C141+R$6-MIN(($D141+R$5),PERMANENT_FIELD_LABOR_HOURS)*PERMANENT_HOURLY_RATE-MAX(0,($D141+R$5)-PERMANENT_FIELD_LABOR_HOURS)*TEMP_HOURLY_RATE-FIXED_SEASON_COST)</f>
        <v>16618.3620161981</v>
      </c>
      <c r="S141" s="53" t="n">
        <f aca="false">IF(OR($A141&gt;TOMATO_BED_CAP,$B141&gt;CARROT_BED_CAP,S$4&gt;MESCLUN_BED_CAP,$A141+$B141+S$4&gt;TOTAL_BEDS_AVAILABLE,($D141+S$5)&gt;TOTAL_LABOR_HOURS_CAP,MAX(0,($D141+S$5)-PERMANENT_FIELD_LABOR_HOURS)&gt;TEMP_HOURS_CAP),"",$C141+S$6-MIN(($D141+S$5),PERMANENT_FIELD_LABOR_HOURS)*PERMANENT_HOURLY_RATE-MAX(0,($D141+S$5)-PERMANENT_FIELD_LABOR_HOURS)*TEMP_HOURLY_RATE-FIXED_SEASON_COST)</f>
        <v>17384.2286047006</v>
      </c>
      <c r="T141" s="53" t="n">
        <f aca="false">IF(OR($A141&gt;TOMATO_BED_CAP,$B141&gt;CARROT_BED_CAP,T$4&gt;MESCLUN_BED_CAP,$A141+$B141+T$4&gt;TOTAL_BEDS_AVAILABLE,($D141+T$5)&gt;TOTAL_LABOR_HOURS_CAP,MAX(0,($D141+T$5)-PERMANENT_FIELD_LABOR_HOURS)&gt;TEMP_HOURS_CAP),"",$C141+T$6-MIN(($D141+T$5),PERMANENT_FIELD_LABOR_HOURS)*PERMANENT_HOURLY_RATE-MAX(0,($D141+T$5)-PERMANENT_FIELD_LABOR_HOURS)*TEMP_HOURLY_RATE-FIXED_SEASON_COST)</f>
        <v>18125.4420730954</v>
      </c>
      <c r="U141" s="53" t="n">
        <f aca="false">IF(OR($A141&gt;TOMATO_BED_CAP,$B141&gt;CARROT_BED_CAP,U$4&gt;MESCLUN_BED_CAP,$A141+$B141+U$4&gt;TOTAL_BEDS_AVAILABLE,($D141+U$5)&gt;TOTAL_LABOR_HOURS_CAP,MAX(0,($D141+U$5)-PERMANENT_FIELD_LABOR_HOURS)&gt;TEMP_HOURS_CAP),"",$C141+U$6-MIN(($D141+U$5),PERMANENT_FIELD_LABOR_HOURS)*PERMANENT_HOURLY_RATE-MAX(0,($D141+U$5)-PERMANENT_FIELD_LABOR_HOURS)*TEMP_HOURLY_RATE-FIXED_SEASON_COST)</f>
        <v>18841.5508017255</v>
      </c>
      <c r="V141" s="53" t="n">
        <f aca="false">IF(OR($A141&gt;TOMATO_BED_CAP,$B141&gt;CARROT_BED_CAP,V$4&gt;MESCLUN_BED_CAP,$A141+$B141+V$4&gt;TOTAL_BEDS_AVAILABLE,($D141+V$5)&gt;TOTAL_LABOR_HOURS_CAP,MAX(0,($D141+V$5)-PERMANENT_FIELD_LABOR_HOURS)&gt;TEMP_HOURS_CAP),"",$C141+V$6-MIN(($D141+V$5),PERMANENT_FIELD_LABOR_HOURS)*PERMANENT_HOURLY_RATE-MAX(0,($D141+V$5)-PERMANENT_FIELD_LABOR_HOURS)*TEMP_HOURLY_RATE-FIXED_SEASON_COST)</f>
        <v>19532.0957324923</v>
      </c>
      <c r="W141" s="53" t="n">
        <f aca="false">IF(OR($A141&gt;TOMATO_BED_CAP,$B141&gt;CARROT_BED_CAP,W$4&gt;MESCLUN_BED_CAP,$A141+$B141+W$4&gt;TOTAL_BEDS_AVAILABLE,($D141+W$5)&gt;TOTAL_LABOR_HOURS_CAP,MAX(0,($D141+W$5)-PERMANENT_FIELD_LABOR_HOURS)&gt;TEMP_HOURS_CAP),"",$C141+W$6-MIN(($D141+W$5),PERMANENT_FIELD_LABOR_HOURS)*PERMANENT_HOURLY_RATE-MAX(0,($D141+W$5)-PERMANENT_FIELD_LABOR_HOURS)*TEMP_HOURLY_RATE-FIXED_SEASON_COST)</f>
        <v>20196.6102534604</v>
      </c>
      <c r="X141" s="53" t="n">
        <f aca="false">IF(OR($A141&gt;TOMATO_BED_CAP,$B141&gt;CARROT_BED_CAP,X$4&gt;MESCLUN_BED_CAP,$A141+$B141+X$4&gt;TOTAL_BEDS_AVAILABLE,($D141+X$5)&gt;TOTAL_LABOR_HOURS_CAP,MAX(0,($D141+X$5)-PERMANENT_FIELD_LABOR_HOURS)&gt;TEMP_HOURS_CAP),"",$C141+X$6-MIN(($D141+X$5),PERMANENT_FIELD_LABOR_HOURS)*PERMANENT_HOURLY_RATE-MAX(0,($D141+X$5)-PERMANENT_FIELD_LABOR_HOURS)*TEMP_HOURLY_RATE-FIXED_SEASON_COST)</f>
        <v>20834.6200817393</v>
      </c>
      <c r="Y141" s="53" t="n">
        <f aca="false">IF(OR($A141&gt;TOMATO_BED_CAP,$B141&gt;CARROT_BED_CAP,Y$4&gt;MESCLUN_BED_CAP,$A141+$B141+Y$4&gt;TOTAL_BEDS_AVAILABLE,($D141+Y$5)&gt;TOTAL_LABOR_HOURS_CAP,MAX(0,($D141+Y$5)-PERMANENT_FIELD_LABOR_HOURS)&gt;TEMP_HOURS_CAP),"",$C141+Y$6-MIN(($D141+Y$5),PERMANENT_FIELD_LABOR_HOURS)*PERMANENT_HOURLY_RATE-MAX(0,($D141+Y$5)-PERMANENT_FIELD_LABOR_HOURS)*TEMP_HOURLY_RATE-FIXED_SEASON_COST)</f>
        <v>21445.643144618</v>
      </c>
      <c r="Z141" s="53" t="n">
        <f aca="false">IF(OR($A141&gt;TOMATO_BED_CAP,$B141&gt;CARROT_BED_CAP,Z$4&gt;MESCLUN_BED_CAP,$A141+$B141+Z$4&gt;TOTAL_BEDS_AVAILABLE,($D141+Z$5)&gt;TOTAL_LABOR_HOURS_CAP,MAX(0,($D141+Z$5)-PERMANENT_FIELD_LABOR_HOURS)&gt;TEMP_HOURS_CAP),"",$C141+Z$6-MIN(($D141+Z$5),PERMANENT_FIELD_LABOR_HOURS)*PERMANENT_HOURLY_RATE-MAX(0,($D141+Z$5)-PERMANENT_FIELD_LABOR_HOURS)*TEMP_HOURLY_RATE-FIXED_SEASON_COST)</f>
        <v>22029.1894589257</v>
      </c>
      <c r="AA141" s="53" t="n">
        <f aca="false">IF(OR($A141&gt;TOMATO_BED_CAP,$B141&gt;CARROT_BED_CAP,AA$4&gt;MESCLUN_BED_CAP,$A141+$B141+AA$4&gt;TOTAL_BEDS_AVAILABLE,($D141+AA$5)&gt;TOTAL_LABOR_HOURS_CAP,MAX(0,($D141+AA$5)-PERMANENT_FIELD_LABOR_HOURS)&gt;TEMP_HOURS_CAP),"",$C141+AA$6-MIN(($D141+AA$5),PERMANENT_FIELD_LABOR_HOURS)*PERMANENT_HOURLY_RATE-MAX(0,($D141+AA$5)-PERMANENT_FIELD_LABOR_HOURS)*TEMP_HOURLY_RATE-FIXED_SEASON_COST)</f>
        <v>22584.7610085946</v>
      </c>
      <c r="AB141" s="53" t="n">
        <f aca="false">IF(OR($A141&gt;TOMATO_BED_CAP,$B141&gt;CARROT_BED_CAP,AB$4&gt;MESCLUN_BED_CAP,$A141+$B141+AB$4&gt;TOTAL_BEDS_AVAILABLE,($D141+AB$5)&gt;TOTAL_LABOR_HOURS_CAP,MAX(0,($D141+AB$5)-PERMANENT_FIELD_LABOR_HOURS)&gt;TEMP_HOURS_CAP),"",$C141+AB$6-MIN(($D141+AB$5),PERMANENT_FIELD_LABOR_HOURS)*PERMANENT_HOURLY_RATE-MAX(0,($D141+AB$5)-PERMANENT_FIELD_LABOR_HOURS)*TEMP_HOURLY_RATE-FIXED_SEASON_COST)</f>
        <v>23111.8516203972</v>
      </c>
      <c r="AC141" s="53" t="n">
        <f aca="false">IF(OR($A141&gt;TOMATO_BED_CAP,$B141&gt;CARROT_BED_CAP,AC$4&gt;MESCLUN_BED_CAP,$A141+$B141+AC$4&gt;TOTAL_BEDS_AVAILABLE,($D141+AC$5)&gt;TOTAL_LABOR_HOURS_CAP,MAX(0,($D141+AC$5)-PERMANENT_FIELD_LABOR_HOURS)&gt;TEMP_HOURS_CAP),"",$C141+AC$6-MIN(($D141+AC$5),PERMANENT_FIELD_LABOR_HOURS)*PERMANENT_HOURLY_RATE-MAX(0,($D141+AC$5)-PERMANENT_FIELD_LABOR_HOURS)*TEMP_HOURLY_RATE-FIXED_SEASON_COST)</f>
        <v>23609.9468378321</v>
      </c>
      <c r="AD141" s="53" t="n">
        <f aca="false">IF(OR($A141&gt;TOMATO_BED_CAP,$B141&gt;CARROT_BED_CAP,AD$4&gt;MESCLUN_BED_CAP,$A141+$B141+AD$4&gt;TOTAL_BEDS_AVAILABLE,($D141+AD$5)&gt;TOTAL_LABOR_HOURS_CAP,MAX(0,($D141+AD$5)-PERMANENT_FIELD_LABOR_HOURS)&gt;TEMP_HOURS_CAP),"",$C141+AD$6-MIN(($D141+AD$5),PERMANENT_FIELD_LABOR_HOURS)*PERMANENT_HOURLY_RATE-MAX(0,($D141+AD$5)-PERMANENT_FIELD_LABOR_HOURS)*TEMP_HOURLY_RATE-FIXED_SEASON_COST)</f>
        <v>24078.523793132</v>
      </c>
      <c r="AE141" s="53" t="n">
        <f aca="false">IF(OR($A141&gt;TOMATO_BED_CAP,$B141&gt;CARROT_BED_CAP,AE$4&gt;MESCLUN_BED_CAP,$A141+$B141+AE$4&gt;TOTAL_BEDS_AVAILABLE,($D141+AE$5)&gt;TOTAL_LABOR_HOURS_CAP,MAX(0,($D141+AE$5)-PERMANENT_FIELD_LABOR_HOURS)&gt;TEMP_HOURS_CAP),"",$C141+AE$6-MIN(($D141+AE$5),PERMANENT_FIELD_LABOR_HOURS)*PERMANENT_HOURLY_RATE-MAX(0,($D141+AE$5)-PERMANENT_FIELD_LABOR_HOURS)*TEMP_HOURLY_RATE-FIXED_SEASON_COST)</f>
        <v>24517.0510773659</v>
      </c>
      <c r="AF141" s="53" t="n">
        <f aca="false">IF(OR($A141&gt;TOMATO_BED_CAP,$B141&gt;CARROT_BED_CAP,AF$4&gt;MESCLUN_BED_CAP,$A141+$B141+AF$4&gt;TOTAL_BEDS_AVAILABLE,($D141+AF$5)&gt;TOTAL_LABOR_HOURS_CAP,MAX(0,($D141+AF$5)-PERMANENT_FIELD_LABOR_HOURS)&gt;TEMP_HOURS_CAP),"",$C141+AF$6-MIN(($D141+AF$5),PERMANENT_FIELD_LABOR_HOURS)*PERMANENT_HOURLY_RATE-MAX(0,($D141+AF$5)-PERMANENT_FIELD_LABOR_HOURS)*TEMP_HOURLY_RATE-FIXED_SEASON_COST)</f>
        <v>24924.9886086079</v>
      </c>
      <c r="AG141" s="53" t="n">
        <f aca="false">IF(OR($A141&gt;TOMATO_BED_CAP,$B141&gt;CARROT_BED_CAP,AG$4&gt;MESCLUN_BED_CAP,$A141+$B141+AG$4&gt;TOTAL_BEDS_AVAILABLE,($D141+AG$5)&gt;TOTAL_LABOR_HOURS_CAP,MAX(0,($D141+AG$5)-PERMANENT_FIELD_LABOR_HOURS)&gt;TEMP_HOURS_CAP),"",$C141+AG$6-MIN(($D141+AG$5),PERMANENT_FIELD_LABOR_HOURS)*PERMANENT_HOURLY_RATE-MAX(0,($D141+AG$5)-PERMANENT_FIELD_LABOR_HOURS)*TEMP_HOURLY_RATE-FIXED_SEASON_COST)</f>
        <v>25301.7874981449</v>
      </c>
      <c r="AH141" s="53" t="n">
        <f aca="false">IF(OR($A141&gt;TOMATO_BED_CAP,$B141&gt;CARROT_BED_CAP,AH$4&gt;MESCLUN_BED_CAP,$A141+$B141+AH$4&gt;TOTAL_BEDS_AVAILABLE,($D141+AH$5)&gt;TOTAL_LABOR_HOURS_CAP,MAX(0,($D141+AH$5)-PERMANENT_FIELD_LABOR_HOURS)&gt;TEMP_HOURS_CAP),"",$C141+AH$6-MIN(($D141+AH$5),PERMANENT_FIELD_LABOR_HOURS)*PERMANENT_HOURLY_RATE-MAX(0,($D141+AH$5)-PERMANENT_FIELD_LABOR_HOURS)*TEMP_HOURLY_RATE-FIXED_SEASON_COST)</f>
        <v>25646.8899146951</v>
      </c>
      <c r="AI141" s="53" t="n">
        <f aca="false">IF(OR($A141&gt;TOMATO_BED_CAP,$B141&gt;CARROT_BED_CAP,AI$4&gt;MESCLUN_BED_CAP,$A141+$B141+AI$4&gt;TOTAL_BEDS_AVAILABLE,($D141+AI$5)&gt;TOTAL_LABOR_HOURS_CAP,MAX(0,($D141+AI$5)-PERMANENT_FIELD_LABOR_HOURS)&gt;TEMP_HOURS_CAP),"",$C141+AI$6-MIN(($D141+AI$5),PERMANENT_FIELD_LABOR_HOURS)*PERMANENT_HOURLY_RATE-MAX(0,($D141+AI$5)-PERMANENT_FIELD_LABOR_HOURS)*TEMP_HOURLY_RATE-FIXED_SEASON_COST)</f>
        <v>25959.7289466074</v>
      </c>
      <c r="AJ141" s="53" t="n">
        <f aca="false">IF(OR($A141&gt;TOMATO_BED_CAP,$B141&gt;CARROT_BED_CAP,AJ$4&gt;MESCLUN_BED_CAP,$A141+$B141+AJ$4&gt;TOTAL_BEDS_AVAILABLE,($D141+AJ$5)&gt;TOTAL_LABOR_HOURS_CAP,MAX(0,($D141+AJ$5)-PERMANENT_FIELD_LABOR_HOURS)&gt;TEMP_HOURS_CAP),"",$C141+AJ$6-MIN(($D141+AJ$5),PERMANENT_FIELD_LABOR_HOURS)*PERMANENT_HOURLY_RATE-MAX(0,($D141+AJ$5)-PERMANENT_FIELD_LABOR_HOURS)*TEMP_HOURLY_RATE-FIXED_SEASON_COST)</f>
        <v>26239.7284620131</v>
      </c>
    </row>
    <row r="142" customFormat="false" ht="15" hidden="false" customHeight="false" outlineLevel="0" collapsed="false">
      <c r="A142" s="21" t="n">
        <f aca="false">INT((ROW()-ROW($A$8))/(20+1))</f>
        <v>6</v>
      </c>
      <c r="B142" s="21" t="n">
        <f aca="false">MOD(ROW()-ROW($A$8),20+1)</f>
        <v>8</v>
      </c>
      <c r="C142" s="13" t="n">
        <f aca="false">A142*(TOMATO_REVENUE_PER_BED-TOMATO_FERTILIZER_PER_BED)+B142*(CARROT_REVENUE_PER_BED-CARROT_FERTILIZER_PER_BED)</f>
        <v>60752</v>
      </c>
      <c r="D142" s="14" t="n">
        <f aca="false">INDEX(TOMATO_SCHED_LABOR_HRS,A142+1)+INDEX(CARROT_SCHED_LABOR_HRS,B142+1)</f>
        <v>1248.94266872422</v>
      </c>
      <c r="E142" s="13" t="n">
        <f aca="false">IF(COUNT(F142:AJ142)=0,"",MAX(F142:AJ142))</f>
        <v>27151.1445658201</v>
      </c>
      <c r="F142" s="53" t="n">
        <f aca="false">IF(OR($A142&gt;TOMATO_BED_CAP,$B142&gt;CARROT_BED_CAP,F$4&gt;MESCLUN_BED_CAP,$A142+$B142+F$4&gt;TOTAL_BEDS_AVAILABLE,($D142+F$5)&gt;TOTAL_LABOR_HOURS_CAP,MAX(0,($D142+F$5)-PERMANENT_FIELD_LABOR_HOURS)&gt;TEMP_HOURS_CAP),"",$C142+F$6-MIN(($D142+F$5),PERMANENT_FIELD_LABOR_HOURS)*PERMANENT_HOURLY_RATE-MAX(0,($D142+F$5)-PERMANENT_FIELD_LABOR_HOURS)*TEMP_HOURLY_RATE-FIXED_SEASON_COST)</f>
        <v>6571.15527094755</v>
      </c>
      <c r="G142" s="53" t="n">
        <f aca="false">IF(OR($A142&gt;TOMATO_BED_CAP,$B142&gt;CARROT_BED_CAP,G$4&gt;MESCLUN_BED_CAP,$A142+$B142+G$4&gt;TOTAL_BEDS_AVAILABLE,($D142+G$5)&gt;TOTAL_LABOR_HOURS_CAP,MAX(0,($D142+G$5)-PERMANENT_FIELD_LABOR_HOURS)&gt;TEMP_HOURS_CAP),"",$C142+G$6-MIN(($D142+G$5),PERMANENT_FIELD_LABOR_HOURS)*PERMANENT_HOURLY_RATE-MAX(0,($D142+G$5)-PERMANENT_FIELD_LABOR_HOURS)*TEMP_HOURLY_RATE-FIXED_SEASON_COST)</f>
        <v>7600.19027094755</v>
      </c>
      <c r="H142" s="53" t="n">
        <f aca="false">IF(OR($A142&gt;TOMATO_BED_CAP,$B142&gt;CARROT_BED_CAP,H$4&gt;MESCLUN_BED_CAP,$A142+$B142+H$4&gt;TOTAL_BEDS_AVAILABLE,($D142+H$5)&gt;TOTAL_LABOR_HOURS_CAP,MAX(0,($D142+H$5)-PERMANENT_FIELD_LABOR_HOURS)&gt;TEMP_HOURS_CAP),"",$C142+H$6-MIN(($D142+H$5),PERMANENT_FIELD_LABOR_HOURS)*PERMANENT_HOURLY_RATE-MAX(0,($D142+H$5)-PERMANENT_FIELD_LABOR_HOURS)*TEMP_HOURLY_RATE-FIXED_SEASON_COST)</f>
        <v>8609.45114594755</v>
      </c>
      <c r="I142" s="53" t="n">
        <f aca="false">IF(OR($A142&gt;TOMATO_BED_CAP,$B142&gt;CARROT_BED_CAP,I$4&gt;MESCLUN_BED_CAP,$A142+$B142+I$4&gt;TOTAL_BEDS_AVAILABLE,($D142+I$5)&gt;TOTAL_LABOR_HOURS_CAP,MAX(0,($D142+I$5)-PERMANENT_FIELD_LABOR_HOURS)&gt;TEMP_HOURS_CAP),"",$C142+I$6-MIN(($D142+I$5),PERMANENT_FIELD_LABOR_HOURS)*PERMANENT_HOURLY_RATE-MAX(0,($D142+I$5)-PERMANENT_FIELD_LABOR_HOURS)*TEMP_HOURLY_RATE-FIXED_SEASON_COST)</f>
        <v>9598.5671311038</v>
      </c>
      <c r="J142" s="53" t="n">
        <f aca="false">IF(OR($A142&gt;TOMATO_BED_CAP,$B142&gt;CARROT_BED_CAP,J$4&gt;MESCLUN_BED_CAP,$A142+$B142+J$4&gt;TOTAL_BEDS_AVAILABLE,($D142+J$5)&gt;TOTAL_LABOR_HOURS_CAP,MAX(0,($D142+J$5)-PERMANENT_FIELD_LABOR_HOURS)&gt;TEMP_HOURS_CAP),"",$C142+J$6-MIN(($D142+J$5),PERMANENT_FIELD_LABOR_HOURS)*PERMANENT_HOURLY_RATE-MAX(0,($D142+J$5)-PERMANENT_FIELD_LABOR_HOURS)*TEMP_HOURLY_RATE-FIXED_SEASON_COST)</f>
        <v>10567.1612821585</v>
      </c>
      <c r="K142" s="53" t="n">
        <f aca="false">IF(OR($A142&gt;TOMATO_BED_CAP,$B142&gt;CARROT_BED_CAP,K$4&gt;MESCLUN_BED_CAP,$A142+$B142+K$4&gt;TOTAL_BEDS_AVAILABLE,($D142+K$5)&gt;TOTAL_LABOR_HOURS_CAP,MAX(0,($D142+K$5)-PERMANENT_FIELD_LABOR_HOURS)&gt;TEMP_HOURS_CAP),"",$C142+K$6-MIN(($D142+K$5),PERMANENT_FIELD_LABOR_HOURS)*PERMANENT_HOURLY_RATE-MAX(0,($D142+K$5)-PERMANENT_FIELD_LABOR_HOURS)*TEMP_HOURLY_RATE-FIXED_SEASON_COST)</f>
        <v>11514.8503788864</v>
      </c>
      <c r="L142" s="53" t="n">
        <f aca="false">IF(OR($A142&gt;TOMATO_BED_CAP,$B142&gt;CARROT_BED_CAP,L$4&gt;MESCLUN_BED_CAP,$A142+$B142+L$4&gt;TOTAL_BEDS_AVAILABLE,($D142+L$5)&gt;TOTAL_LABOR_HOURS_CAP,MAX(0,($D142+L$5)-PERMANENT_FIELD_LABOR_HOURS)&gt;TEMP_HOURS_CAP),"",$C142+L$6-MIN(($D142+L$5),PERMANENT_FIELD_LABOR_HOURS)*PERMANENT_HOURLY_RATE-MAX(0,($D142+L$5)-PERMANENT_FIELD_LABOR_HOURS)*TEMP_HOURLY_RATE-FIXED_SEASON_COST)</f>
        <v>12441.2448270933</v>
      </c>
      <c r="M142" s="53" t="n">
        <f aca="false">IF(OR($A142&gt;TOMATO_BED_CAP,$B142&gt;CARROT_BED_CAP,M$4&gt;MESCLUN_BED_CAP,$A142+$B142+M$4&gt;TOTAL_BEDS_AVAILABLE,($D142+M$5)&gt;TOTAL_LABOR_HOURS_CAP,MAX(0,($D142+M$5)-PERMANENT_FIELD_LABOR_HOURS)&gt;TEMP_HOURS_CAP),"",$C142+M$6-MIN(($D142+M$5),PERMANENT_FIELD_LABOR_HOURS)*PERMANENT_HOURLY_RATE-MAX(0,($D142+M$5)-PERMANENT_FIELD_LABOR_HOURS)*TEMP_HOURLY_RATE-FIXED_SEASON_COST)</f>
        <v>13345.9485591447</v>
      </c>
      <c r="N142" s="53" t="n">
        <f aca="false">IF(OR($A142&gt;TOMATO_BED_CAP,$B142&gt;CARROT_BED_CAP,N$4&gt;MESCLUN_BED_CAP,$A142+$B142+N$4&gt;TOTAL_BEDS_AVAILABLE,($D142+N$5)&gt;TOTAL_LABOR_HOURS_CAP,MAX(0,($D142+N$5)-PERMANENT_FIELD_LABOR_HOURS)&gt;TEMP_HOURS_CAP),"",$C142+N$6-MIN(($D142+N$5),PERMANENT_FIELD_LABOR_HOURS)*PERMANENT_HOURLY_RATE-MAX(0,($D142+N$5)-PERMANENT_FIELD_LABOR_HOURS)*TEMP_HOURLY_RATE-FIXED_SEASON_COST)</f>
        <v>14228.5589330042</v>
      </c>
      <c r="O142" s="53" t="n">
        <f aca="false">IF(OR($A142&gt;TOMATO_BED_CAP,$B142&gt;CARROT_BED_CAP,O$4&gt;MESCLUN_BED_CAP,$A142+$B142+O$4&gt;TOTAL_BEDS_AVAILABLE,($D142+O$5)&gt;TOTAL_LABOR_HOURS_CAP,MAX(0,($D142+O$5)-PERMANENT_FIELD_LABOR_HOURS)&gt;TEMP_HOURS_CAP),"",$C142+O$6-MIN(($D142+O$5),PERMANENT_FIELD_LABOR_HOURS)*PERMANENT_HOURLY_RATE-MAX(0,($D142+O$5)-PERMANENT_FIELD_LABOR_HOURS)*TEMP_HOURLY_RATE-FIXED_SEASON_COST)</f>
        <v>15088.666629759</v>
      </c>
      <c r="P142" s="53" t="n">
        <f aca="false">IF(OR($A142&gt;TOMATO_BED_CAP,$B142&gt;CARROT_BED_CAP,P$4&gt;MESCLUN_BED_CAP,$A142+$B142+P$4&gt;TOTAL_BEDS_AVAILABLE,($D142+P$5)&gt;TOTAL_LABOR_HOURS_CAP,MAX(0,($D142+P$5)-PERMANENT_FIELD_LABOR_HOURS)&gt;TEMP_HOURS_CAP),"",$C142+P$6-MIN(($D142+P$5),PERMANENT_FIELD_LABOR_HOURS)*PERMANENT_HOURLY_RATE-MAX(0,($D142+P$5)-PERMANENT_FIELD_LABOR_HOURS)*TEMP_HOURLY_RATE-FIXED_SEASON_COST)</f>
        <v>15925.8555496104</v>
      </c>
      <c r="Q142" s="53" t="n">
        <f aca="false">IF(OR($A142&gt;TOMATO_BED_CAP,$B142&gt;CARROT_BED_CAP,Q$4&gt;MESCLUN_BED_CAP,$A142+$B142+Q$4&gt;TOTAL_BEDS_AVAILABLE,($D142+Q$5)&gt;TOTAL_LABOR_HOURS_CAP,MAX(0,($D142+Q$5)-PERMANENT_FIELD_LABOR_HOURS)&gt;TEMP_HOURS_CAP),"",$C142+Q$6-MIN(($D142+Q$5),PERMANENT_FIELD_LABOR_HOURS)*PERMANENT_HOURLY_RATE-MAX(0,($D142+Q$5)-PERMANENT_FIELD_LABOR_HOURS)*TEMP_HOURLY_RATE-FIXED_SEASON_COST)</f>
        <v>16739.7027063083</v>
      </c>
      <c r="R142" s="53" t="n">
        <f aca="false">IF(OR($A142&gt;TOMATO_BED_CAP,$B142&gt;CARROT_BED_CAP,R$4&gt;MESCLUN_BED_CAP,$A142+$B142+R$4&gt;TOTAL_BEDS_AVAILABLE,($D142+R$5)&gt;TOTAL_LABOR_HOURS_CAP,MAX(0,($D142+R$5)-PERMANENT_FIELD_LABOR_HOURS)&gt;TEMP_HOURS_CAP),"",$C142+R$6-MIN(($D142+R$5),PERMANENT_FIELD_LABOR_HOURS)*PERMANENT_HOURLY_RATE-MAX(0,($D142+R$5)-PERMANENT_FIELD_LABOR_HOURS)*TEMP_HOURLY_RATE-FIXED_SEASON_COST)</f>
        <v>17529.7781200051</v>
      </c>
      <c r="S142" s="53" t="n">
        <f aca="false">IF(OR($A142&gt;TOMATO_BED_CAP,$B142&gt;CARROT_BED_CAP,S$4&gt;MESCLUN_BED_CAP,$A142+$B142+S$4&gt;TOTAL_BEDS_AVAILABLE,($D142+S$5)&gt;TOTAL_LABOR_HOURS_CAP,MAX(0,($D142+S$5)-PERMANENT_FIELD_LABOR_HOURS)&gt;TEMP_HOURS_CAP),"",$C142+S$6-MIN(($D142+S$5),PERMANENT_FIELD_LABOR_HOURS)*PERMANENT_HOURLY_RATE-MAX(0,($D142+S$5)-PERMANENT_FIELD_LABOR_HOURS)*TEMP_HOURLY_RATE-FIXED_SEASON_COST)</f>
        <v>18295.6447085075</v>
      </c>
      <c r="T142" s="53" t="n">
        <f aca="false">IF(OR($A142&gt;TOMATO_BED_CAP,$B142&gt;CARROT_BED_CAP,T$4&gt;MESCLUN_BED_CAP,$A142+$B142+T$4&gt;TOTAL_BEDS_AVAILABLE,($D142+T$5)&gt;TOTAL_LABOR_HOURS_CAP,MAX(0,($D142+T$5)-PERMANENT_FIELD_LABOR_HOURS)&gt;TEMP_HOURS_CAP),"",$C142+T$6-MIN(($D142+T$5),PERMANENT_FIELD_LABOR_HOURS)*PERMANENT_HOURLY_RATE-MAX(0,($D142+T$5)-PERMANENT_FIELD_LABOR_HOURS)*TEMP_HOURLY_RATE-FIXED_SEASON_COST)</f>
        <v>19036.8581769024</v>
      </c>
      <c r="U142" s="53" t="n">
        <f aca="false">IF(OR($A142&gt;TOMATO_BED_CAP,$B142&gt;CARROT_BED_CAP,U$4&gt;MESCLUN_BED_CAP,$A142+$B142+U$4&gt;TOTAL_BEDS_AVAILABLE,($D142+U$5)&gt;TOTAL_LABOR_HOURS_CAP,MAX(0,($D142+U$5)-PERMANENT_FIELD_LABOR_HOURS)&gt;TEMP_HOURS_CAP),"",$C142+U$6-MIN(($D142+U$5),PERMANENT_FIELD_LABOR_HOURS)*PERMANENT_HOURLY_RATE-MAX(0,($D142+U$5)-PERMANENT_FIELD_LABOR_HOURS)*TEMP_HOURLY_RATE-FIXED_SEASON_COST)</f>
        <v>19752.9669055325</v>
      </c>
      <c r="V142" s="53" t="n">
        <f aca="false">IF(OR($A142&gt;TOMATO_BED_CAP,$B142&gt;CARROT_BED_CAP,V$4&gt;MESCLUN_BED_CAP,$A142+$B142+V$4&gt;TOTAL_BEDS_AVAILABLE,($D142+V$5)&gt;TOTAL_LABOR_HOURS_CAP,MAX(0,($D142+V$5)-PERMANENT_FIELD_LABOR_HOURS)&gt;TEMP_HOURS_CAP),"",$C142+V$6-MIN(($D142+V$5),PERMANENT_FIELD_LABOR_HOURS)*PERMANENT_HOURLY_RATE-MAX(0,($D142+V$5)-PERMANENT_FIELD_LABOR_HOURS)*TEMP_HOURLY_RATE-FIXED_SEASON_COST)</f>
        <v>20443.5118362993</v>
      </c>
      <c r="W142" s="53" t="n">
        <f aca="false">IF(OR($A142&gt;TOMATO_BED_CAP,$B142&gt;CARROT_BED_CAP,W$4&gt;MESCLUN_BED_CAP,$A142+$B142+W$4&gt;TOTAL_BEDS_AVAILABLE,($D142+W$5)&gt;TOTAL_LABOR_HOURS_CAP,MAX(0,($D142+W$5)-PERMANENT_FIELD_LABOR_HOURS)&gt;TEMP_HOURS_CAP),"",$C142+W$6-MIN(($D142+W$5),PERMANENT_FIELD_LABOR_HOURS)*PERMANENT_HOURLY_RATE-MAX(0,($D142+W$5)-PERMANENT_FIELD_LABOR_HOURS)*TEMP_HOURLY_RATE-FIXED_SEASON_COST)</f>
        <v>21108.0263572673</v>
      </c>
      <c r="X142" s="53" t="n">
        <f aca="false">IF(OR($A142&gt;TOMATO_BED_CAP,$B142&gt;CARROT_BED_CAP,X$4&gt;MESCLUN_BED_CAP,$A142+$B142+X$4&gt;TOTAL_BEDS_AVAILABLE,($D142+X$5)&gt;TOTAL_LABOR_HOURS_CAP,MAX(0,($D142+X$5)-PERMANENT_FIELD_LABOR_HOURS)&gt;TEMP_HOURS_CAP),"",$C142+X$6-MIN(($D142+X$5),PERMANENT_FIELD_LABOR_HOURS)*PERMANENT_HOURLY_RATE-MAX(0,($D142+X$5)-PERMANENT_FIELD_LABOR_HOURS)*TEMP_HOURLY_RATE-FIXED_SEASON_COST)</f>
        <v>21746.0361855462</v>
      </c>
      <c r="Y142" s="53" t="n">
        <f aca="false">IF(OR($A142&gt;TOMATO_BED_CAP,$B142&gt;CARROT_BED_CAP,Y$4&gt;MESCLUN_BED_CAP,$A142+$B142+Y$4&gt;TOTAL_BEDS_AVAILABLE,($D142+Y$5)&gt;TOTAL_LABOR_HOURS_CAP,MAX(0,($D142+Y$5)-PERMANENT_FIELD_LABOR_HOURS)&gt;TEMP_HOURS_CAP),"",$C142+Y$6-MIN(($D142+Y$5),PERMANENT_FIELD_LABOR_HOURS)*PERMANENT_HOURLY_RATE-MAX(0,($D142+Y$5)-PERMANENT_FIELD_LABOR_HOURS)*TEMP_HOURLY_RATE-FIXED_SEASON_COST)</f>
        <v>22357.0592484249</v>
      </c>
      <c r="Z142" s="53" t="n">
        <f aca="false">IF(OR($A142&gt;TOMATO_BED_CAP,$B142&gt;CARROT_BED_CAP,Z$4&gt;MESCLUN_BED_CAP,$A142+$B142+Z$4&gt;TOTAL_BEDS_AVAILABLE,($D142+Z$5)&gt;TOTAL_LABOR_HOURS_CAP,MAX(0,($D142+Z$5)-PERMANENT_FIELD_LABOR_HOURS)&gt;TEMP_HOURS_CAP),"",$C142+Z$6-MIN(($D142+Z$5),PERMANENT_FIELD_LABOR_HOURS)*PERMANENT_HOURLY_RATE-MAX(0,($D142+Z$5)-PERMANENT_FIELD_LABOR_HOURS)*TEMP_HOURLY_RATE-FIXED_SEASON_COST)</f>
        <v>22940.6055627326</v>
      </c>
      <c r="AA142" s="53" t="n">
        <f aca="false">IF(OR($A142&gt;TOMATO_BED_CAP,$B142&gt;CARROT_BED_CAP,AA$4&gt;MESCLUN_BED_CAP,$A142+$B142+AA$4&gt;TOTAL_BEDS_AVAILABLE,($D142+AA$5)&gt;TOTAL_LABOR_HOURS_CAP,MAX(0,($D142+AA$5)-PERMANENT_FIELD_LABOR_HOURS)&gt;TEMP_HOURS_CAP),"",$C142+AA$6-MIN(($D142+AA$5),PERMANENT_FIELD_LABOR_HOURS)*PERMANENT_HOURLY_RATE-MAX(0,($D142+AA$5)-PERMANENT_FIELD_LABOR_HOURS)*TEMP_HOURLY_RATE-FIXED_SEASON_COST)</f>
        <v>23496.1771124016</v>
      </c>
      <c r="AB142" s="53" t="n">
        <f aca="false">IF(OR($A142&gt;TOMATO_BED_CAP,$B142&gt;CARROT_BED_CAP,AB$4&gt;MESCLUN_BED_CAP,$A142+$B142+AB$4&gt;TOTAL_BEDS_AVAILABLE,($D142+AB$5)&gt;TOTAL_LABOR_HOURS_CAP,MAX(0,($D142+AB$5)-PERMANENT_FIELD_LABOR_HOURS)&gt;TEMP_HOURS_CAP),"",$C142+AB$6-MIN(($D142+AB$5),PERMANENT_FIELD_LABOR_HOURS)*PERMANENT_HOURLY_RATE-MAX(0,($D142+AB$5)-PERMANENT_FIELD_LABOR_HOURS)*TEMP_HOURLY_RATE-FIXED_SEASON_COST)</f>
        <v>24023.2677242041</v>
      </c>
      <c r="AC142" s="53" t="n">
        <f aca="false">IF(OR($A142&gt;TOMATO_BED_CAP,$B142&gt;CARROT_BED_CAP,AC$4&gt;MESCLUN_BED_CAP,$A142+$B142+AC$4&gt;TOTAL_BEDS_AVAILABLE,($D142+AC$5)&gt;TOTAL_LABOR_HOURS_CAP,MAX(0,($D142+AC$5)-PERMANENT_FIELD_LABOR_HOURS)&gt;TEMP_HOURS_CAP),"",$C142+AC$6-MIN(($D142+AC$5),PERMANENT_FIELD_LABOR_HOURS)*PERMANENT_HOURLY_RATE-MAX(0,($D142+AC$5)-PERMANENT_FIELD_LABOR_HOURS)*TEMP_HOURLY_RATE-FIXED_SEASON_COST)</f>
        <v>24521.362941639</v>
      </c>
      <c r="AD142" s="53" t="n">
        <f aca="false">IF(OR($A142&gt;TOMATO_BED_CAP,$B142&gt;CARROT_BED_CAP,AD$4&gt;MESCLUN_BED_CAP,$A142+$B142+AD$4&gt;TOTAL_BEDS_AVAILABLE,($D142+AD$5)&gt;TOTAL_LABOR_HOURS_CAP,MAX(0,($D142+AD$5)-PERMANENT_FIELD_LABOR_HOURS)&gt;TEMP_HOURS_CAP),"",$C142+AD$6-MIN(($D142+AD$5),PERMANENT_FIELD_LABOR_HOURS)*PERMANENT_HOURLY_RATE-MAX(0,($D142+AD$5)-PERMANENT_FIELD_LABOR_HOURS)*TEMP_HOURLY_RATE-FIXED_SEASON_COST)</f>
        <v>24989.939896939</v>
      </c>
      <c r="AE142" s="53" t="n">
        <f aca="false">IF(OR($A142&gt;TOMATO_BED_CAP,$B142&gt;CARROT_BED_CAP,AE$4&gt;MESCLUN_BED_CAP,$A142+$B142+AE$4&gt;TOTAL_BEDS_AVAILABLE,($D142+AE$5)&gt;TOTAL_LABOR_HOURS_CAP,MAX(0,($D142+AE$5)-PERMANENT_FIELD_LABOR_HOURS)&gt;TEMP_HOURS_CAP),"",$C142+AE$6-MIN(($D142+AE$5),PERMANENT_FIELD_LABOR_HOURS)*PERMANENT_HOURLY_RATE-MAX(0,($D142+AE$5)-PERMANENT_FIELD_LABOR_HOURS)*TEMP_HOURLY_RATE-FIXED_SEASON_COST)</f>
        <v>25428.4671811729</v>
      </c>
      <c r="AF142" s="53" t="n">
        <f aca="false">IF(OR($A142&gt;TOMATO_BED_CAP,$B142&gt;CARROT_BED_CAP,AF$4&gt;MESCLUN_BED_CAP,$A142+$B142+AF$4&gt;TOTAL_BEDS_AVAILABLE,($D142+AF$5)&gt;TOTAL_LABOR_HOURS_CAP,MAX(0,($D142+AF$5)-PERMANENT_FIELD_LABOR_HOURS)&gt;TEMP_HOURS_CAP),"",$C142+AF$6-MIN(($D142+AF$5),PERMANENT_FIELD_LABOR_HOURS)*PERMANENT_HOURLY_RATE-MAX(0,($D142+AF$5)-PERMANENT_FIELD_LABOR_HOURS)*TEMP_HOURLY_RATE-FIXED_SEASON_COST)</f>
        <v>25836.4047124148</v>
      </c>
      <c r="AG142" s="53" t="n">
        <f aca="false">IF(OR($A142&gt;TOMATO_BED_CAP,$B142&gt;CARROT_BED_CAP,AG$4&gt;MESCLUN_BED_CAP,$A142+$B142+AG$4&gt;TOTAL_BEDS_AVAILABLE,($D142+AG$5)&gt;TOTAL_LABOR_HOURS_CAP,MAX(0,($D142+AG$5)-PERMANENT_FIELD_LABOR_HOURS)&gt;TEMP_HOURS_CAP),"",$C142+AG$6-MIN(($D142+AG$5),PERMANENT_FIELD_LABOR_HOURS)*PERMANENT_HOURLY_RATE-MAX(0,($D142+AG$5)-PERMANENT_FIELD_LABOR_HOURS)*TEMP_HOURLY_RATE-FIXED_SEASON_COST)</f>
        <v>26213.2036019519</v>
      </c>
      <c r="AH142" s="53" t="n">
        <f aca="false">IF(OR($A142&gt;TOMATO_BED_CAP,$B142&gt;CARROT_BED_CAP,AH$4&gt;MESCLUN_BED_CAP,$A142+$B142+AH$4&gt;TOTAL_BEDS_AVAILABLE,($D142+AH$5)&gt;TOTAL_LABOR_HOURS_CAP,MAX(0,($D142+AH$5)-PERMANENT_FIELD_LABOR_HOURS)&gt;TEMP_HOURS_CAP),"",$C142+AH$6-MIN(($D142+AH$5),PERMANENT_FIELD_LABOR_HOURS)*PERMANENT_HOURLY_RATE-MAX(0,($D142+AH$5)-PERMANENT_FIELD_LABOR_HOURS)*TEMP_HOURLY_RATE-FIXED_SEASON_COST)</f>
        <v>26558.3060185021</v>
      </c>
      <c r="AI142" s="53" t="n">
        <f aca="false">IF(OR($A142&gt;TOMATO_BED_CAP,$B142&gt;CARROT_BED_CAP,AI$4&gt;MESCLUN_BED_CAP,$A142+$B142+AI$4&gt;TOTAL_BEDS_AVAILABLE,($D142+AI$5)&gt;TOTAL_LABOR_HOURS_CAP,MAX(0,($D142+AI$5)-PERMANENT_FIELD_LABOR_HOURS)&gt;TEMP_HOURS_CAP),"",$C142+AI$6-MIN(($D142+AI$5),PERMANENT_FIELD_LABOR_HOURS)*PERMANENT_HOURLY_RATE-MAX(0,($D142+AI$5)-PERMANENT_FIELD_LABOR_HOURS)*TEMP_HOURLY_RATE-FIXED_SEASON_COST)</f>
        <v>26871.1450504143</v>
      </c>
      <c r="AJ142" s="53" t="n">
        <f aca="false">IF(OR($A142&gt;TOMATO_BED_CAP,$B142&gt;CARROT_BED_CAP,AJ$4&gt;MESCLUN_BED_CAP,$A142+$B142+AJ$4&gt;TOTAL_BEDS_AVAILABLE,($D142+AJ$5)&gt;TOTAL_LABOR_HOURS_CAP,MAX(0,($D142+AJ$5)-PERMANENT_FIELD_LABOR_HOURS)&gt;TEMP_HOURS_CAP),"",$C142+AJ$6-MIN(($D142+AJ$5),PERMANENT_FIELD_LABOR_HOURS)*PERMANENT_HOURLY_RATE-MAX(0,($D142+AJ$5)-PERMANENT_FIELD_LABOR_HOURS)*TEMP_HOURLY_RATE-FIXED_SEASON_COST)</f>
        <v>27151.1445658201</v>
      </c>
    </row>
    <row r="143" customFormat="false" ht="15" hidden="false" customHeight="false" outlineLevel="0" collapsed="false">
      <c r="A143" s="21" t="n">
        <f aca="false">INT((ROW()-ROW($A$8))/(20+1))</f>
        <v>6</v>
      </c>
      <c r="B143" s="21" t="n">
        <f aca="false">MOD(ROW()-ROW($A$8),20+1)</f>
        <v>9</v>
      </c>
      <c r="C143" s="13" t="n">
        <f aca="false">A143*(TOMATO_REVENUE_PER_BED-TOMATO_FERTILIZER_PER_BED)+B143*(CARROT_REVENUE_PER_BED-CARROT_FERTILIZER_PER_BED)</f>
        <v>62406</v>
      </c>
      <c r="D143" s="14" t="n">
        <f aca="false">INDEX(TOMATO_SCHED_LABOR_HRS,A143+1)+INDEX(CARROT_SCHED_LABOR_HRS,B143+1)</f>
        <v>1293.70106468512</v>
      </c>
      <c r="E143" s="13" t="n">
        <f aca="false">IF(COUNT(F143:AJ143)=0,"",MAX(F143:AJ143))</f>
        <v>28028.1388119389</v>
      </c>
      <c r="F143" s="53" t="n">
        <f aca="false">IF(OR($A143&gt;TOMATO_BED_CAP,$B143&gt;CARROT_BED_CAP,F$4&gt;MESCLUN_BED_CAP,$A143+$B143+F$4&gt;TOTAL_BEDS_AVAILABLE,($D143+F$5)&gt;TOTAL_LABOR_HOURS_CAP,MAX(0,($D143+F$5)-PERMANENT_FIELD_LABOR_HOURS)&gt;TEMP_HOURS_CAP),"",$C143+F$6-MIN(($D143+F$5),PERMANENT_FIELD_LABOR_HOURS)*PERMANENT_HOURLY_RATE-MAX(0,($D143+F$5)-PERMANENT_FIELD_LABOR_HOURS)*TEMP_HOURLY_RATE-FIXED_SEASON_COST)</f>
        <v>7448.1495170664</v>
      </c>
      <c r="G143" s="53" t="n">
        <f aca="false">IF(OR($A143&gt;TOMATO_BED_CAP,$B143&gt;CARROT_BED_CAP,G$4&gt;MESCLUN_BED_CAP,$A143+$B143+G$4&gt;TOTAL_BEDS_AVAILABLE,($D143+G$5)&gt;TOTAL_LABOR_HOURS_CAP,MAX(0,($D143+G$5)-PERMANENT_FIELD_LABOR_HOURS)&gt;TEMP_HOURS_CAP),"",$C143+G$6-MIN(($D143+G$5),PERMANENT_FIELD_LABOR_HOURS)*PERMANENT_HOURLY_RATE-MAX(0,($D143+G$5)-PERMANENT_FIELD_LABOR_HOURS)*TEMP_HOURLY_RATE-FIXED_SEASON_COST)</f>
        <v>8477.1845170664</v>
      </c>
      <c r="H143" s="53" t="n">
        <f aca="false">IF(OR($A143&gt;TOMATO_BED_CAP,$B143&gt;CARROT_BED_CAP,H$4&gt;MESCLUN_BED_CAP,$A143+$B143+H$4&gt;TOTAL_BEDS_AVAILABLE,($D143+H$5)&gt;TOTAL_LABOR_HOURS_CAP,MAX(0,($D143+H$5)-PERMANENT_FIELD_LABOR_HOURS)&gt;TEMP_HOURS_CAP),"",$C143+H$6-MIN(($D143+H$5),PERMANENT_FIELD_LABOR_HOURS)*PERMANENT_HOURLY_RATE-MAX(0,($D143+H$5)-PERMANENT_FIELD_LABOR_HOURS)*TEMP_HOURLY_RATE-FIXED_SEASON_COST)</f>
        <v>9486.4453920664</v>
      </c>
      <c r="I143" s="53" t="n">
        <f aca="false">IF(OR($A143&gt;TOMATO_BED_CAP,$B143&gt;CARROT_BED_CAP,I$4&gt;MESCLUN_BED_CAP,$A143+$B143+I$4&gt;TOTAL_BEDS_AVAILABLE,($D143+I$5)&gt;TOTAL_LABOR_HOURS_CAP,MAX(0,($D143+I$5)-PERMANENT_FIELD_LABOR_HOURS)&gt;TEMP_HOURS_CAP),"",$C143+I$6-MIN(($D143+I$5),PERMANENT_FIELD_LABOR_HOURS)*PERMANENT_HOURLY_RATE-MAX(0,($D143+I$5)-PERMANENT_FIELD_LABOR_HOURS)*TEMP_HOURLY_RATE-FIXED_SEASON_COST)</f>
        <v>10475.5613772227</v>
      </c>
      <c r="J143" s="53" t="n">
        <f aca="false">IF(OR($A143&gt;TOMATO_BED_CAP,$B143&gt;CARROT_BED_CAP,J$4&gt;MESCLUN_BED_CAP,$A143+$B143+J$4&gt;TOTAL_BEDS_AVAILABLE,($D143+J$5)&gt;TOTAL_LABOR_HOURS_CAP,MAX(0,($D143+J$5)-PERMANENT_FIELD_LABOR_HOURS)&gt;TEMP_HOURS_CAP),"",$C143+J$6-MIN(($D143+J$5),PERMANENT_FIELD_LABOR_HOURS)*PERMANENT_HOURLY_RATE-MAX(0,($D143+J$5)-PERMANENT_FIELD_LABOR_HOURS)*TEMP_HOURLY_RATE-FIXED_SEASON_COST)</f>
        <v>11444.1555282773</v>
      </c>
      <c r="K143" s="53" t="n">
        <f aca="false">IF(OR($A143&gt;TOMATO_BED_CAP,$B143&gt;CARROT_BED_CAP,K$4&gt;MESCLUN_BED_CAP,$A143+$B143+K$4&gt;TOTAL_BEDS_AVAILABLE,($D143+K$5)&gt;TOTAL_LABOR_HOURS_CAP,MAX(0,($D143+K$5)-PERMANENT_FIELD_LABOR_HOURS)&gt;TEMP_HOURS_CAP),"",$C143+K$6-MIN(($D143+K$5),PERMANENT_FIELD_LABOR_HOURS)*PERMANENT_HOURLY_RATE-MAX(0,($D143+K$5)-PERMANENT_FIELD_LABOR_HOURS)*TEMP_HOURLY_RATE-FIXED_SEASON_COST)</f>
        <v>12391.8446250052</v>
      </c>
      <c r="L143" s="53" t="n">
        <f aca="false">IF(OR($A143&gt;TOMATO_BED_CAP,$B143&gt;CARROT_BED_CAP,L$4&gt;MESCLUN_BED_CAP,$A143+$B143+L$4&gt;TOTAL_BEDS_AVAILABLE,($D143+L$5)&gt;TOTAL_LABOR_HOURS_CAP,MAX(0,($D143+L$5)-PERMANENT_FIELD_LABOR_HOURS)&gt;TEMP_HOURS_CAP),"",$C143+L$6-MIN(($D143+L$5),PERMANENT_FIELD_LABOR_HOURS)*PERMANENT_HOURLY_RATE-MAX(0,($D143+L$5)-PERMANENT_FIELD_LABOR_HOURS)*TEMP_HOURLY_RATE-FIXED_SEASON_COST)</f>
        <v>13318.2390732121</v>
      </c>
      <c r="M143" s="53" t="n">
        <f aca="false">IF(OR($A143&gt;TOMATO_BED_CAP,$B143&gt;CARROT_BED_CAP,M$4&gt;MESCLUN_BED_CAP,$A143+$B143+M$4&gt;TOTAL_BEDS_AVAILABLE,($D143+M$5)&gt;TOTAL_LABOR_HOURS_CAP,MAX(0,($D143+M$5)-PERMANENT_FIELD_LABOR_HOURS)&gt;TEMP_HOURS_CAP),"",$C143+M$6-MIN(($D143+M$5),PERMANENT_FIELD_LABOR_HOURS)*PERMANENT_HOURLY_RATE-MAX(0,($D143+M$5)-PERMANENT_FIELD_LABOR_HOURS)*TEMP_HOURLY_RATE-FIXED_SEASON_COST)</f>
        <v>14222.9428052635</v>
      </c>
      <c r="N143" s="53" t="n">
        <f aca="false">IF(OR($A143&gt;TOMATO_BED_CAP,$B143&gt;CARROT_BED_CAP,N$4&gt;MESCLUN_BED_CAP,$A143+$B143+N$4&gt;TOTAL_BEDS_AVAILABLE,($D143+N$5)&gt;TOTAL_LABOR_HOURS_CAP,MAX(0,($D143+N$5)-PERMANENT_FIELD_LABOR_HOURS)&gt;TEMP_HOURS_CAP),"",$C143+N$6-MIN(($D143+N$5),PERMANENT_FIELD_LABOR_HOURS)*PERMANENT_HOURLY_RATE-MAX(0,($D143+N$5)-PERMANENT_FIELD_LABOR_HOURS)*TEMP_HOURLY_RATE-FIXED_SEASON_COST)</f>
        <v>15105.553179123</v>
      </c>
      <c r="O143" s="53" t="n">
        <f aca="false">IF(OR($A143&gt;TOMATO_BED_CAP,$B143&gt;CARROT_BED_CAP,O$4&gt;MESCLUN_BED_CAP,$A143+$B143+O$4&gt;TOTAL_BEDS_AVAILABLE,($D143+O$5)&gt;TOTAL_LABOR_HOURS_CAP,MAX(0,($D143+O$5)-PERMANENT_FIELD_LABOR_HOURS)&gt;TEMP_HOURS_CAP),"",$C143+O$6-MIN(($D143+O$5),PERMANENT_FIELD_LABOR_HOURS)*PERMANENT_HOURLY_RATE-MAX(0,($D143+O$5)-PERMANENT_FIELD_LABOR_HOURS)*TEMP_HOURLY_RATE-FIXED_SEASON_COST)</f>
        <v>15965.6608758778</v>
      </c>
      <c r="P143" s="53" t="n">
        <f aca="false">IF(OR($A143&gt;TOMATO_BED_CAP,$B143&gt;CARROT_BED_CAP,P$4&gt;MESCLUN_BED_CAP,$A143+$B143+P$4&gt;TOTAL_BEDS_AVAILABLE,($D143+P$5)&gt;TOTAL_LABOR_HOURS_CAP,MAX(0,($D143+P$5)-PERMANENT_FIELD_LABOR_HOURS)&gt;TEMP_HOURS_CAP),"",$C143+P$6-MIN(($D143+P$5),PERMANENT_FIELD_LABOR_HOURS)*PERMANENT_HOURLY_RATE-MAX(0,($D143+P$5)-PERMANENT_FIELD_LABOR_HOURS)*TEMP_HOURLY_RATE-FIXED_SEASON_COST)</f>
        <v>16802.8497957292</v>
      </c>
      <c r="Q143" s="53" t="n">
        <f aca="false">IF(OR($A143&gt;TOMATO_BED_CAP,$B143&gt;CARROT_BED_CAP,Q$4&gt;MESCLUN_BED_CAP,$A143+$B143+Q$4&gt;TOTAL_BEDS_AVAILABLE,($D143+Q$5)&gt;TOTAL_LABOR_HOURS_CAP,MAX(0,($D143+Q$5)-PERMANENT_FIELD_LABOR_HOURS)&gt;TEMP_HOURS_CAP),"",$C143+Q$6-MIN(($D143+Q$5),PERMANENT_FIELD_LABOR_HOURS)*PERMANENT_HOURLY_RATE-MAX(0,($D143+Q$5)-PERMANENT_FIELD_LABOR_HOURS)*TEMP_HOURLY_RATE-FIXED_SEASON_COST)</f>
        <v>17616.6969524271</v>
      </c>
      <c r="R143" s="53" t="n">
        <f aca="false">IF(OR($A143&gt;TOMATO_BED_CAP,$B143&gt;CARROT_BED_CAP,R$4&gt;MESCLUN_BED_CAP,$A143+$B143+R$4&gt;TOTAL_BEDS_AVAILABLE,($D143+R$5)&gt;TOTAL_LABOR_HOURS_CAP,MAX(0,($D143+R$5)-PERMANENT_FIELD_LABOR_HOURS)&gt;TEMP_HOURS_CAP),"",$C143+R$6-MIN(($D143+R$5),PERMANENT_FIELD_LABOR_HOURS)*PERMANENT_HOURLY_RATE-MAX(0,($D143+R$5)-PERMANENT_FIELD_LABOR_HOURS)*TEMP_HOURLY_RATE-FIXED_SEASON_COST)</f>
        <v>18406.7723661239</v>
      </c>
      <c r="S143" s="53" t="n">
        <f aca="false">IF(OR($A143&gt;TOMATO_BED_CAP,$B143&gt;CARROT_BED_CAP,S$4&gt;MESCLUN_BED_CAP,$A143+$B143+S$4&gt;TOTAL_BEDS_AVAILABLE,($D143+S$5)&gt;TOTAL_LABOR_HOURS_CAP,MAX(0,($D143+S$5)-PERMANENT_FIELD_LABOR_HOURS)&gt;TEMP_HOURS_CAP),"",$C143+S$6-MIN(($D143+S$5),PERMANENT_FIELD_LABOR_HOURS)*PERMANENT_HOURLY_RATE-MAX(0,($D143+S$5)-PERMANENT_FIELD_LABOR_HOURS)*TEMP_HOURLY_RATE-FIXED_SEASON_COST)</f>
        <v>19172.6389546264</v>
      </c>
      <c r="T143" s="53" t="n">
        <f aca="false">IF(OR($A143&gt;TOMATO_BED_CAP,$B143&gt;CARROT_BED_CAP,T$4&gt;MESCLUN_BED_CAP,$A143+$B143+T$4&gt;TOTAL_BEDS_AVAILABLE,($D143+T$5)&gt;TOTAL_LABOR_HOURS_CAP,MAX(0,($D143+T$5)-PERMANENT_FIELD_LABOR_HOURS)&gt;TEMP_HOURS_CAP),"",$C143+T$6-MIN(($D143+T$5),PERMANENT_FIELD_LABOR_HOURS)*PERMANENT_HOURLY_RATE-MAX(0,($D143+T$5)-PERMANENT_FIELD_LABOR_HOURS)*TEMP_HOURLY_RATE-FIXED_SEASON_COST)</f>
        <v>19913.8524230212</v>
      </c>
      <c r="U143" s="53" t="n">
        <f aca="false">IF(OR($A143&gt;TOMATO_BED_CAP,$B143&gt;CARROT_BED_CAP,U$4&gt;MESCLUN_BED_CAP,$A143+$B143+U$4&gt;TOTAL_BEDS_AVAILABLE,($D143+U$5)&gt;TOTAL_LABOR_HOURS_CAP,MAX(0,($D143+U$5)-PERMANENT_FIELD_LABOR_HOURS)&gt;TEMP_HOURS_CAP),"",$C143+U$6-MIN(($D143+U$5),PERMANENT_FIELD_LABOR_HOURS)*PERMANENT_HOURLY_RATE-MAX(0,($D143+U$5)-PERMANENT_FIELD_LABOR_HOURS)*TEMP_HOURLY_RATE-FIXED_SEASON_COST)</f>
        <v>20629.9611516513</v>
      </c>
      <c r="V143" s="53" t="n">
        <f aca="false">IF(OR($A143&gt;TOMATO_BED_CAP,$B143&gt;CARROT_BED_CAP,V$4&gt;MESCLUN_BED_CAP,$A143+$B143+V$4&gt;TOTAL_BEDS_AVAILABLE,($D143+V$5)&gt;TOTAL_LABOR_HOURS_CAP,MAX(0,($D143+V$5)-PERMANENT_FIELD_LABOR_HOURS)&gt;TEMP_HOURS_CAP),"",$C143+V$6-MIN(($D143+V$5),PERMANENT_FIELD_LABOR_HOURS)*PERMANENT_HOURLY_RATE-MAX(0,($D143+V$5)-PERMANENT_FIELD_LABOR_HOURS)*TEMP_HOURLY_RATE-FIXED_SEASON_COST)</f>
        <v>21320.5060824181</v>
      </c>
      <c r="W143" s="53" t="n">
        <f aca="false">IF(OR($A143&gt;TOMATO_BED_CAP,$B143&gt;CARROT_BED_CAP,W$4&gt;MESCLUN_BED_CAP,$A143+$B143+W$4&gt;TOTAL_BEDS_AVAILABLE,($D143+W$5)&gt;TOTAL_LABOR_HOURS_CAP,MAX(0,($D143+W$5)-PERMANENT_FIELD_LABOR_HOURS)&gt;TEMP_HOURS_CAP),"",$C143+W$6-MIN(($D143+W$5),PERMANENT_FIELD_LABOR_HOURS)*PERMANENT_HOURLY_RATE-MAX(0,($D143+W$5)-PERMANENT_FIELD_LABOR_HOURS)*TEMP_HOURLY_RATE-FIXED_SEASON_COST)</f>
        <v>21985.0206033862</v>
      </c>
      <c r="X143" s="53" t="n">
        <f aca="false">IF(OR($A143&gt;TOMATO_BED_CAP,$B143&gt;CARROT_BED_CAP,X$4&gt;MESCLUN_BED_CAP,$A143+$B143+X$4&gt;TOTAL_BEDS_AVAILABLE,($D143+X$5)&gt;TOTAL_LABOR_HOURS_CAP,MAX(0,($D143+X$5)-PERMANENT_FIELD_LABOR_HOURS)&gt;TEMP_HOURS_CAP),"",$C143+X$6-MIN(($D143+X$5),PERMANENT_FIELD_LABOR_HOURS)*PERMANENT_HOURLY_RATE-MAX(0,($D143+X$5)-PERMANENT_FIELD_LABOR_HOURS)*TEMP_HOURLY_RATE-FIXED_SEASON_COST)</f>
        <v>22623.0304316651</v>
      </c>
      <c r="Y143" s="53" t="n">
        <f aca="false">IF(OR($A143&gt;TOMATO_BED_CAP,$B143&gt;CARROT_BED_CAP,Y$4&gt;MESCLUN_BED_CAP,$A143+$B143+Y$4&gt;TOTAL_BEDS_AVAILABLE,($D143+Y$5)&gt;TOTAL_LABOR_HOURS_CAP,MAX(0,($D143+Y$5)-PERMANENT_FIELD_LABOR_HOURS)&gt;TEMP_HOURS_CAP),"",$C143+Y$6-MIN(($D143+Y$5),PERMANENT_FIELD_LABOR_HOURS)*PERMANENT_HOURLY_RATE-MAX(0,($D143+Y$5)-PERMANENT_FIELD_LABOR_HOURS)*TEMP_HOURLY_RATE-FIXED_SEASON_COST)</f>
        <v>23234.0534945438</v>
      </c>
      <c r="Z143" s="53" t="n">
        <f aca="false">IF(OR($A143&gt;TOMATO_BED_CAP,$B143&gt;CARROT_BED_CAP,Z$4&gt;MESCLUN_BED_CAP,$A143+$B143+Z$4&gt;TOTAL_BEDS_AVAILABLE,($D143+Z$5)&gt;TOTAL_LABOR_HOURS_CAP,MAX(0,($D143+Z$5)-PERMANENT_FIELD_LABOR_HOURS)&gt;TEMP_HOURS_CAP),"",$C143+Z$6-MIN(($D143+Z$5),PERMANENT_FIELD_LABOR_HOURS)*PERMANENT_HOURLY_RATE-MAX(0,($D143+Z$5)-PERMANENT_FIELD_LABOR_HOURS)*TEMP_HOURLY_RATE-FIXED_SEASON_COST)</f>
        <v>23817.5998088515</v>
      </c>
      <c r="AA143" s="53" t="n">
        <f aca="false">IF(OR($A143&gt;TOMATO_BED_CAP,$B143&gt;CARROT_BED_CAP,AA$4&gt;MESCLUN_BED_CAP,$A143+$B143+AA$4&gt;TOTAL_BEDS_AVAILABLE,($D143+AA$5)&gt;TOTAL_LABOR_HOURS_CAP,MAX(0,($D143+AA$5)-PERMANENT_FIELD_LABOR_HOURS)&gt;TEMP_HOURS_CAP),"",$C143+AA$6-MIN(($D143+AA$5),PERMANENT_FIELD_LABOR_HOURS)*PERMANENT_HOURLY_RATE-MAX(0,($D143+AA$5)-PERMANENT_FIELD_LABOR_HOURS)*TEMP_HOURLY_RATE-FIXED_SEASON_COST)</f>
        <v>24373.1713585204</v>
      </c>
      <c r="AB143" s="53" t="n">
        <f aca="false">IF(OR($A143&gt;TOMATO_BED_CAP,$B143&gt;CARROT_BED_CAP,AB$4&gt;MESCLUN_BED_CAP,$A143+$B143+AB$4&gt;TOTAL_BEDS_AVAILABLE,($D143+AB$5)&gt;TOTAL_LABOR_HOURS_CAP,MAX(0,($D143+AB$5)-PERMANENT_FIELD_LABOR_HOURS)&gt;TEMP_HOURS_CAP),"",$C143+AB$6-MIN(($D143+AB$5),PERMANENT_FIELD_LABOR_HOURS)*PERMANENT_HOURLY_RATE-MAX(0,($D143+AB$5)-PERMANENT_FIELD_LABOR_HOURS)*TEMP_HOURLY_RATE-FIXED_SEASON_COST)</f>
        <v>24900.261970323</v>
      </c>
      <c r="AC143" s="53" t="n">
        <f aca="false">IF(OR($A143&gt;TOMATO_BED_CAP,$B143&gt;CARROT_BED_CAP,AC$4&gt;MESCLUN_BED_CAP,$A143+$B143+AC$4&gt;TOTAL_BEDS_AVAILABLE,($D143+AC$5)&gt;TOTAL_LABOR_HOURS_CAP,MAX(0,($D143+AC$5)-PERMANENT_FIELD_LABOR_HOURS)&gt;TEMP_HOURS_CAP),"",$C143+AC$6-MIN(($D143+AC$5),PERMANENT_FIELD_LABOR_HOURS)*PERMANENT_HOURLY_RATE-MAX(0,($D143+AC$5)-PERMANENT_FIELD_LABOR_HOURS)*TEMP_HOURLY_RATE-FIXED_SEASON_COST)</f>
        <v>25398.3571877579</v>
      </c>
      <c r="AD143" s="53" t="n">
        <f aca="false">IF(OR($A143&gt;TOMATO_BED_CAP,$B143&gt;CARROT_BED_CAP,AD$4&gt;MESCLUN_BED_CAP,$A143+$B143+AD$4&gt;TOTAL_BEDS_AVAILABLE,($D143+AD$5)&gt;TOTAL_LABOR_HOURS_CAP,MAX(0,($D143+AD$5)-PERMANENT_FIELD_LABOR_HOURS)&gt;TEMP_HOURS_CAP),"",$C143+AD$6-MIN(($D143+AD$5),PERMANENT_FIELD_LABOR_HOURS)*PERMANENT_HOURLY_RATE-MAX(0,($D143+AD$5)-PERMANENT_FIELD_LABOR_HOURS)*TEMP_HOURLY_RATE-FIXED_SEASON_COST)</f>
        <v>25866.9341430578</v>
      </c>
      <c r="AE143" s="53" t="n">
        <f aca="false">IF(OR($A143&gt;TOMATO_BED_CAP,$B143&gt;CARROT_BED_CAP,AE$4&gt;MESCLUN_BED_CAP,$A143+$B143+AE$4&gt;TOTAL_BEDS_AVAILABLE,($D143+AE$5)&gt;TOTAL_LABOR_HOURS_CAP,MAX(0,($D143+AE$5)-PERMANENT_FIELD_LABOR_HOURS)&gt;TEMP_HOURS_CAP),"",$C143+AE$6-MIN(($D143+AE$5),PERMANENT_FIELD_LABOR_HOURS)*PERMANENT_HOURLY_RATE-MAX(0,($D143+AE$5)-PERMANENT_FIELD_LABOR_HOURS)*TEMP_HOURLY_RATE-FIXED_SEASON_COST)</f>
        <v>26305.4614272917</v>
      </c>
      <c r="AF143" s="53" t="n">
        <f aca="false">IF(OR($A143&gt;TOMATO_BED_CAP,$B143&gt;CARROT_BED_CAP,AF$4&gt;MESCLUN_BED_CAP,$A143+$B143+AF$4&gt;TOTAL_BEDS_AVAILABLE,($D143+AF$5)&gt;TOTAL_LABOR_HOURS_CAP,MAX(0,($D143+AF$5)-PERMANENT_FIELD_LABOR_HOURS)&gt;TEMP_HOURS_CAP),"",$C143+AF$6-MIN(($D143+AF$5),PERMANENT_FIELD_LABOR_HOURS)*PERMANENT_HOURLY_RATE-MAX(0,($D143+AF$5)-PERMANENT_FIELD_LABOR_HOURS)*TEMP_HOURLY_RATE-FIXED_SEASON_COST)</f>
        <v>26713.3989585337</v>
      </c>
      <c r="AG143" s="53" t="n">
        <f aca="false">IF(OR($A143&gt;TOMATO_BED_CAP,$B143&gt;CARROT_BED_CAP,AG$4&gt;MESCLUN_BED_CAP,$A143+$B143+AG$4&gt;TOTAL_BEDS_AVAILABLE,($D143+AG$5)&gt;TOTAL_LABOR_HOURS_CAP,MAX(0,($D143+AG$5)-PERMANENT_FIELD_LABOR_HOURS)&gt;TEMP_HOURS_CAP),"",$C143+AG$6-MIN(($D143+AG$5),PERMANENT_FIELD_LABOR_HOURS)*PERMANENT_HOURLY_RATE-MAX(0,($D143+AG$5)-PERMANENT_FIELD_LABOR_HOURS)*TEMP_HOURLY_RATE-FIXED_SEASON_COST)</f>
        <v>27090.1978480707</v>
      </c>
      <c r="AH143" s="53" t="n">
        <f aca="false">IF(OR($A143&gt;TOMATO_BED_CAP,$B143&gt;CARROT_BED_CAP,AH$4&gt;MESCLUN_BED_CAP,$A143+$B143+AH$4&gt;TOTAL_BEDS_AVAILABLE,($D143+AH$5)&gt;TOTAL_LABOR_HOURS_CAP,MAX(0,($D143+AH$5)-PERMANENT_FIELD_LABOR_HOURS)&gt;TEMP_HOURS_CAP),"",$C143+AH$6-MIN(($D143+AH$5),PERMANENT_FIELD_LABOR_HOURS)*PERMANENT_HOURLY_RATE-MAX(0,($D143+AH$5)-PERMANENT_FIELD_LABOR_HOURS)*TEMP_HOURLY_RATE-FIXED_SEASON_COST)</f>
        <v>27435.3002646209</v>
      </c>
      <c r="AI143" s="53" t="n">
        <f aca="false">IF(OR($A143&gt;TOMATO_BED_CAP,$B143&gt;CARROT_BED_CAP,AI$4&gt;MESCLUN_BED_CAP,$A143+$B143+AI$4&gt;TOTAL_BEDS_AVAILABLE,($D143+AI$5)&gt;TOTAL_LABOR_HOURS_CAP,MAX(0,($D143+AI$5)-PERMANENT_FIELD_LABOR_HOURS)&gt;TEMP_HOURS_CAP),"",$C143+AI$6-MIN(($D143+AI$5),PERMANENT_FIELD_LABOR_HOURS)*PERMANENT_HOURLY_RATE-MAX(0,($D143+AI$5)-PERMANENT_FIELD_LABOR_HOURS)*TEMP_HOURLY_RATE-FIXED_SEASON_COST)</f>
        <v>27748.1392965332</v>
      </c>
      <c r="AJ143" s="53" t="n">
        <f aca="false">IF(OR($A143&gt;TOMATO_BED_CAP,$B143&gt;CARROT_BED_CAP,AJ$4&gt;MESCLUN_BED_CAP,$A143+$B143+AJ$4&gt;TOTAL_BEDS_AVAILABLE,($D143+AJ$5)&gt;TOTAL_LABOR_HOURS_CAP,MAX(0,($D143+AJ$5)-PERMANENT_FIELD_LABOR_HOURS)&gt;TEMP_HOURS_CAP),"",$C143+AJ$6-MIN(($D143+AJ$5),PERMANENT_FIELD_LABOR_HOURS)*PERMANENT_HOURLY_RATE-MAX(0,($D143+AJ$5)-PERMANENT_FIELD_LABOR_HOURS)*TEMP_HOURLY_RATE-FIXED_SEASON_COST)</f>
        <v>28028.1388119389</v>
      </c>
    </row>
    <row r="144" customFormat="false" ht="15" hidden="false" customHeight="false" outlineLevel="0" collapsed="false">
      <c r="A144" s="21" t="n">
        <f aca="false">INT((ROW()-ROW($A$8))/(20+1))</f>
        <v>6</v>
      </c>
      <c r="B144" s="21" t="n">
        <f aca="false">MOD(ROW()-ROW($A$8),20+1)</f>
        <v>10</v>
      </c>
      <c r="C144" s="13" t="n">
        <f aca="false">A144*(TOMATO_REVENUE_PER_BED-TOMATO_FERTILIZER_PER_BED)+B144*(CARROT_REVENUE_PER_BED-CARROT_FERTILIZER_PER_BED)</f>
        <v>64060</v>
      </c>
      <c r="D144" s="14" t="n">
        <f aca="false">INDEX(TOMATO_SCHED_LABOR_HRS,A144+1)+INDEX(CARROT_SCHED_LABOR_HRS,B144+1)</f>
        <v>1340.5146931136</v>
      </c>
      <c r="E144" s="13" t="n">
        <f aca="false">IF(COUNT(F144:AJ144)=0,"",MAX(F144:AJ144))</f>
        <v>28869.4542224204</v>
      </c>
      <c r="F144" s="53" t="n">
        <f aca="false">IF(OR($A144&gt;TOMATO_BED_CAP,$B144&gt;CARROT_BED_CAP,F$4&gt;MESCLUN_BED_CAP,$A144+$B144+F$4&gt;TOTAL_BEDS_AVAILABLE,($D144+F$5)&gt;TOTAL_LABOR_HOURS_CAP,MAX(0,($D144+F$5)-PERMANENT_FIELD_LABOR_HOURS)&gt;TEMP_HOURS_CAP),"",$C144+F$6-MIN(($D144+F$5),PERMANENT_FIELD_LABOR_HOURS)*PERMANENT_HOURLY_RATE-MAX(0,($D144+F$5)-PERMANENT_FIELD_LABOR_HOURS)*TEMP_HOURLY_RATE-FIXED_SEASON_COST)</f>
        <v>8289.46492754784</v>
      </c>
      <c r="G144" s="53" t="n">
        <f aca="false">IF(OR($A144&gt;TOMATO_BED_CAP,$B144&gt;CARROT_BED_CAP,G$4&gt;MESCLUN_BED_CAP,$A144+$B144+G$4&gt;TOTAL_BEDS_AVAILABLE,($D144+G$5)&gt;TOTAL_LABOR_HOURS_CAP,MAX(0,($D144+G$5)-PERMANENT_FIELD_LABOR_HOURS)&gt;TEMP_HOURS_CAP),"",$C144+G$6-MIN(($D144+G$5),PERMANENT_FIELD_LABOR_HOURS)*PERMANENT_HOURLY_RATE-MAX(0,($D144+G$5)-PERMANENT_FIELD_LABOR_HOURS)*TEMP_HOURLY_RATE-FIXED_SEASON_COST)</f>
        <v>9318.49992754785</v>
      </c>
      <c r="H144" s="53" t="n">
        <f aca="false">IF(OR($A144&gt;TOMATO_BED_CAP,$B144&gt;CARROT_BED_CAP,H$4&gt;MESCLUN_BED_CAP,$A144+$B144+H$4&gt;TOTAL_BEDS_AVAILABLE,($D144+H$5)&gt;TOTAL_LABOR_HOURS_CAP,MAX(0,($D144+H$5)-PERMANENT_FIELD_LABOR_HOURS)&gt;TEMP_HOURS_CAP),"",$C144+H$6-MIN(($D144+H$5),PERMANENT_FIELD_LABOR_HOURS)*PERMANENT_HOURLY_RATE-MAX(0,($D144+H$5)-PERMANENT_FIELD_LABOR_HOURS)*TEMP_HOURLY_RATE-FIXED_SEASON_COST)</f>
        <v>10327.7608025478</v>
      </c>
      <c r="I144" s="53" t="n">
        <f aca="false">IF(OR($A144&gt;TOMATO_BED_CAP,$B144&gt;CARROT_BED_CAP,I$4&gt;MESCLUN_BED_CAP,$A144+$B144+I$4&gt;TOTAL_BEDS_AVAILABLE,($D144+I$5)&gt;TOTAL_LABOR_HOURS_CAP,MAX(0,($D144+I$5)-PERMANENT_FIELD_LABOR_HOURS)&gt;TEMP_HOURS_CAP),"",$C144+I$6-MIN(($D144+I$5),PERMANENT_FIELD_LABOR_HOURS)*PERMANENT_HOURLY_RATE-MAX(0,($D144+I$5)-PERMANENT_FIELD_LABOR_HOURS)*TEMP_HOURLY_RATE-FIXED_SEASON_COST)</f>
        <v>11316.8767877041</v>
      </c>
      <c r="J144" s="53" t="n">
        <f aca="false">IF(OR($A144&gt;TOMATO_BED_CAP,$B144&gt;CARROT_BED_CAP,J$4&gt;MESCLUN_BED_CAP,$A144+$B144+J$4&gt;TOTAL_BEDS_AVAILABLE,($D144+J$5)&gt;TOTAL_LABOR_HOURS_CAP,MAX(0,($D144+J$5)-PERMANENT_FIELD_LABOR_HOURS)&gt;TEMP_HOURS_CAP),"",$C144+J$6-MIN(($D144+J$5),PERMANENT_FIELD_LABOR_HOURS)*PERMANENT_HOURLY_RATE-MAX(0,($D144+J$5)-PERMANENT_FIELD_LABOR_HOURS)*TEMP_HOURLY_RATE-FIXED_SEASON_COST)</f>
        <v>12285.4709387588</v>
      </c>
      <c r="K144" s="53" t="n">
        <f aca="false">IF(OR($A144&gt;TOMATO_BED_CAP,$B144&gt;CARROT_BED_CAP,K$4&gt;MESCLUN_BED_CAP,$A144+$B144+K$4&gt;TOTAL_BEDS_AVAILABLE,($D144+K$5)&gt;TOTAL_LABOR_HOURS_CAP,MAX(0,($D144+K$5)-PERMANENT_FIELD_LABOR_HOURS)&gt;TEMP_HOURS_CAP),"",$C144+K$6-MIN(($D144+K$5),PERMANENT_FIELD_LABOR_HOURS)*PERMANENT_HOURLY_RATE-MAX(0,($D144+K$5)-PERMANENT_FIELD_LABOR_HOURS)*TEMP_HOURLY_RATE-FIXED_SEASON_COST)</f>
        <v>13233.1600354867</v>
      </c>
      <c r="L144" s="53" t="n">
        <f aca="false">IF(OR($A144&gt;TOMATO_BED_CAP,$B144&gt;CARROT_BED_CAP,L$4&gt;MESCLUN_BED_CAP,$A144+$B144+L$4&gt;TOTAL_BEDS_AVAILABLE,($D144+L$5)&gt;TOTAL_LABOR_HOURS_CAP,MAX(0,($D144+L$5)-PERMANENT_FIELD_LABOR_HOURS)&gt;TEMP_HOURS_CAP),"",$C144+L$6-MIN(($D144+L$5),PERMANENT_FIELD_LABOR_HOURS)*PERMANENT_HOURLY_RATE-MAX(0,($D144+L$5)-PERMANENT_FIELD_LABOR_HOURS)*TEMP_HOURLY_RATE-FIXED_SEASON_COST)</f>
        <v>14159.5544836935</v>
      </c>
      <c r="M144" s="53" t="n">
        <f aca="false">IF(OR($A144&gt;TOMATO_BED_CAP,$B144&gt;CARROT_BED_CAP,M$4&gt;MESCLUN_BED_CAP,$A144+$B144+M$4&gt;TOTAL_BEDS_AVAILABLE,($D144+M$5)&gt;TOTAL_LABOR_HOURS_CAP,MAX(0,($D144+M$5)-PERMANENT_FIELD_LABOR_HOURS)&gt;TEMP_HOURS_CAP),"",$C144+M$6-MIN(($D144+M$5),PERMANENT_FIELD_LABOR_HOURS)*PERMANENT_HOURLY_RATE-MAX(0,($D144+M$5)-PERMANENT_FIELD_LABOR_HOURS)*TEMP_HOURLY_RATE-FIXED_SEASON_COST)</f>
        <v>15064.258215745</v>
      </c>
      <c r="N144" s="53" t="n">
        <f aca="false">IF(OR($A144&gt;TOMATO_BED_CAP,$B144&gt;CARROT_BED_CAP,N$4&gt;MESCLUN_BED_CAP,$A144+$B144+N$4&gt;TOTAL_BEDS_AVAILABLE,($D144+N$5)&gt;TOTAL_LABOR_HOURS_CAP,MAX(0,($D144+N$5)-PERMANENT_FIELD_LABOR_HOURS)&gt;TEMP_HOURS_CAP),"",$C144+N$6-MIN(($D144+N$5),PERMANENT_FIELD_LABOR_HOURS)*PERMANENT_HOURLY_RATE-MAX(0,($D144+N$5)-PERMANENT_FIELD_LABOR_HOURS)*TEMP_HOURLY_RATE-FIXED_SEASON_COST)</f>
        <v>15946.8685896045</v>
      </c>
      <c r="O144" s="53" t="n">
        <f aca="false">IF(OR($A144&gt;TOMATO_BED_CAP,$B144&gt;CARROT_BED_CAP,O$4&gt;MESCLUN_BED_CAP,$A144+$B144+O$4&gt;TOTAL_BEDS_AVAILABLE,($D144+O$5)&gt;TOTAL_LABOR_HOURS_CAP,MAX(0,($D144+O$5)-PERMANENT_FIELD_LABOR_HOURS)&gt;TEMP_HOURS_CAP),"",$C144+O$6-MIN(($D144+O$5),PERMANENT_FIELD_LABOR_HOURS)*PERMANENT_HOURLY_RATE-MAX(0,($D144+O$5)-PERMANENT_FIELD_LABOR_HOURS)*TEMP_HOURLY_RATE-FIXED_SEASON_COST)</f>
        <v>16806.9762863592</v>
      </c>
      <c r="P144" s="53" t="n">
        <f aca="false">IF(OR($A144&gt;TOMATO_BED_CAP,$B144&gt;CARROT_BED_CAP,P$4&gt;MESCLUN_BED_CAP,$A144+$B144+P$4&gt;TOTAL_BEDS_AVAILABLE,($D144+P$5)&gt;TOTAL_LABOR_HOURS_CAP,MAX(0,($D144+P$5)-PERMANENT_FIELD_LABOR_HOURS)&gt;TEMP_HOURS_CAP),"",$C144+P$6-MIN(($D144+P$5),PERMANENT_FIELD_LABOR_HOURS)*PERMANENT_HOURLY_RATE-MAX(0,($D144+P$5)-PERMANENT_FIELD_LABOR_HOURS)*TEMP_HOURLY_RATE-FIXED_SEASON_COST)</f>
        <v>17644.1652062107</v>
      </c>
      <c r="Q144" s="53" t="n">
        <f aca="false">IF(OR($A144&gt;TOMATO_BED_CAP,$B144&gt;CARROT_BED_CAP,Q$4&gt;MESCLUN_BED_CAP,$A144+$B144+Q$4&gt;TOTAL_BEDS_AVAILABLE,($D144+Q$5)&gt;TOTAL_LABOR_HOURS_CAP,MAX(0,($D144+Q$5)-PERMANENT_FIELD_LABOR_HOURS)&gt;TEMP_HOURS_CAP),"",$C144+Q$6-MIN(($D144+Q$5),PERMANENT_FIELD_LABOR_HOURS)*PERMANENT_HOURLY_RATE-MAX(0,($D144+Q$5)-PERMANENT_FIELD_LABOR_HOURS)*TEMP_HOURLY_RATE-FIXED_SEASON_COST)</f>
        <v>18458.0123629086</v>
      </c>
      <c r="R144" s="53" t="n">
        <f aca="false">IF(OR($A144&gt;TOMATO_BED_CAP,$B144&gt;CARROT_BED_CAP,R$4&gt;MESCLUN_BED_CAP,$A144+$B144+R$4&gt;TOTAL_BEDS_AVAILABLE,($D144+R$5)&gt;TOTAL_LABOR_HOURS_CAP,MAX(0,($D144+R$5)-PERMANENT_FIELD_LABOR_HOURS)&gt;TEMP_HOURS_CAP),"",$C144+R$6-MIN(($D144+R$5),PERMANENT_FIELD_LABOR_HOURS)*PERMANENT_HOURLY_RATE-MAX(0,($D144+R$5)-PERMANENT_FIELD_LABOR_HOURS)*TEMP_HOURLY_RATE-FIXED_SEASON_COST)</f>
        <v>19248.0877766054</v>
      </c>
      <c r="S144" s="53" t="n">
        <f aca="false">IF(OR($A144&gt;TOMATO_BED_CAP,$B144&gt;CARROT_BED_CAP,S$4&gt;MESCLUN_BED_CAP,$A144+$B144+S$4&gt;TOTAL_BEDS_AVAILABLE,($D144+S$5)&gt;TOTAL_LABOR_HOURS_CAP,MAX(0,($D144+S$5)-PERMANENT_FIELD_LABOR_HOURS)&gt;TEMP_HOURS_CAP),"",$C144+S$6-MIN(($D144+S$5),PERMANENT_FIELD_LABOR_HOURS)*PERMANENT_HOURLY_RATE-MAX(0,($D144+S$5)-PERMANENT_FIELD_LABOR_HOURS)*TEMP_HOURLY_RATE-FIXED_SEASON_COST)</f>
        <v>20013.9543651078</v>
      </c>
      <c r="T144" s="53" t="n">
        <f aca="false">IF(OR($A144&gt;TOMATO_BED_CAP,$B144&gt;CARROT_BED_CAP,T$4&gt;MESCLUN_BED_CAP,$A144+$B144+T$4&gt;TOTAL_BEDS_AVAILABLE,($D144+T$5)&gt;TOTAL_LABOR_HOURS_CAP,MAX(0,($D144+T$5)-PERMANENT_FIELD_LABOR_HOURS)&gt;TEMP_HOURS_CAP),"",$C144+T$6-MIN(($D144+T$5),PERMANENT_FIELD_LABOR_HOURS)*PERMANENT_HOURLY_RATE-MAX(0,($D144+T$5)-PERMANENT_FIELD_LABOR_HOURS)*TEMP_HOURLY_RATE-FIXED_SEASON_COST)</f>
        <v>20755.1678335027</v>
      </c>
      <c r="U144" s="53" t="n">
        <f aca="false">IF(OR($A144&gt;TOMATO_BED_CAP,$B144&gt;CARROT_BED_CAP,U$4&gt;MESCLUN_BED_CAP,$A144+$B144+U$4&gt;TOTAL_BEDS_AVAILABLE,($D144+U$5)&gt;TOTAL_LABOR_HOURS_CAP,MAX(0,($D144+U$5)-PERMANENT_FIELD_LABOR_HOURS)&gt;TEMP_HOURS_CAP),"",$C144+U$6-MIN(($D144+U$5),PERMANENT_FIELD_LABOR_HOURS)*PERMANENT_HOURLY_RATE-MAX(0,($D144+U$5)-PERMANENT_FIELD_LABOR_HOURS)*TEMP_HOURLY_RATE-FIXED_SEASON_COST)</f>
        <v>21471.2765621328</v>
      </c>
      <c r="V144" s="53" t="n">
        <f aca="false">IF(OR($A144&gt;TOMATO_BED_CAP,$B144&gt;CARROT_BED_CAP,V$4&gt;MESCLUN_BED_CAP,$A144+$B144+V$4&gt;TOTAL_BEDS_AVAILABLE,($D144+V$5)&gt;TOTAL_LABOR_HOURS_CAP,MAX(0,($D144+V$5)-PERMANENT_FIELD_LABOR_HOURS)&gt;TEMP_HOURS_CAP),"",$C144+V$6-MIN(($D144+V$5),PERMANENT_FIELD_LABOR_HOURS)*PERMANENT_HOURLY_RATE-MAX(0,($D144+V$5)-PERMANENT_FIELD_LABOR_HOURS)*TEMP_HOURLY_RATE-FIXED_SEASON_COST)</f>
        <v>22161.8214928996</v>
      </c>
      <c r="W144" s="53" t="n">
        <f aca="false">IF(OR($A144&gt;TOMATO_BED_CAP,$B144&gt;CARROT_BED_CAP,W$4&gt;MESCLUN_BED_CAP,$A144+$B144+W$4&gt;TOTAL_BEDS_AVAILABLE,($D144+W$5)&gt;TOTAL_LABOR_HOURS_CAP,MAX(0,($D144+W$5)-PERMANENT_FIELD_LABOR_HOURS)&gt;TEMP_HOURS_CAP),"",$C144+W$6-MIN(($D144+W$5),PERMANENT_FIELD_LABOR_HOURS)*PERMANENT_HOURLY_RATE-MAX(0,($D144+W$5)-PERMANENT_FIELD_LABOR_HOURS)*TEMP_HOURLY_RATE-FIXED_SEASON_COST)</f>
        <v>22826.3360138676</v>
      </c>
      <c r="X144" s="53" t="n">
        <f aca="false">IF(OR($A144&gt;TOMATO_BED_CAP,$B144&gt;CARROT_BED_CAP,X$4&gt;MESCLUN_BED_CAP,$A144+$B144+X$4&gt;TOTAL_BEDS_AVAILABLE,($D144+X$5)&gt;TOTAL_LABOR_HOURS_CAP,MAX(0,($D144+X$5)-PERMANENT_FIELD_LABOR_HOURS)&gt;TEMP_HOURS_CAP),"",$C144+X$6-MIN(($D144+X$5),PERMANENT_FIELD_LABOR_HOURS)*PERMANENT_HOURLY_RATE-MAX(0,($D144+X$5)-PERMANENT_FIELD_LABOR_HOURS)*TEMP_HOURLY_RATE-FIXED_SEASON_COST)</f>
        <v>23464.3458421465</v>
      </c>
      <c r="Y144" s="53" t="n">
        <f aca="false">IF(OR($A144&gt;TOMATO_BED_CAP,$B144&gt;CARROT_BED_CAP,Y$4&gt;MESCLUN_BED_CAP,$A144+$B144+Y$4&gt;TOTAL_BEDS_AVAILABLE,($D144+Y$5)&gt;TOTAL_LABOR_HOURS_CAP,MAX(0,($D144+Y$5)-PERMANENT_FIELD_LABOR_HOURS)&gt;TEMP_HOURS_CAP),"",$C144+Y$6-MIN(($D144+Y$5),PERMANENT_FIELD_LABOR_HOURS)*PERMANENT_HOURLY_RATE-MAX(0,($D144+Y$5)-PERMANENT_FIELD_LABOR_HOURS)*TEMP_HOURLY_RATE-FIXED_SEASON_COST)</f>
        <v>24075.3689050252</v>
      </c>
      <c r="Z144" s="53" t="n">
        <f aca="false">IF(OR($A144&gt;TOMATO_BED_CAP,$B144&gt;CARROT_BED_CAP,Z$4&gt;MESCLUN_BED_CAP,$A144+$B144+Z$4&gt;TOTAL_BEDS_AVAILABLE,($D144+Z$5)&gt;TOTAL_LABOR_HOURS_CAP,MAX(0,($D144+Z$5)-PERMANENT_FIELD_LABOR_HOURS)&gt;TEMP_HOURS_CAP),"",$C144+Z$6-MIN(($D144+Z$5),PERMANENT_FIELD_LABOR_HOURS)*PERMANENT_HOURLY_RATE-MAX(0,($D144+Z$5)-PERMANENT_FIELD_LABOR_HOURS)*TEMP_HOURLY_RATE-FIXED_SEASON_COST)</f>
        <v>24658.9152193329</v>
      </c>
      <c r="AA144" s="53" t="n">
        <f aca="false">IF(OR($A144&gt;TOMATO_BED_CAP,$B144&gt;CARROT_BED_CAP,AA$4&gt;MESCLUN_BED_CAP,$A144+$B144+AA$4&gt;TOTAL_BEDS_AVAILABLE,($D144+AA$5)&gt;TOTAL_LABOR_HOURS_CAP,MAX(0,($D144+AA$5)-PERMANENT_FIELD_LABOR_HOURS)&gt;TEMP_HOURS_CAP),"",$C144+AA$6-MIN(($D144+AA$5),PERMANENT_FIELD_LABOR_HOURS)*PERMANENT_HOURLY_RATE-MAX(0,($D144+AA$5)-PERMANENT_FIELD_LABOR_HOURS)*TEMP_HOURLY_RATE-FIXED_SEASON_COST)</f>
        <v>25214.4867690019</v>
      </c>
      <c r="AB144" s="53" t="n">
        <f aca="false">IF(OR($A144&gt;TOMATO_BED_CAP,$B144&gt;CARROT_BED_CAP,AB$4&gt;MESCLUN_BED_CAP,$A144+$B144+AB$4&gt;TOTAL_BEDS_AVAILABLE,($D144+AB$5)&gt;TOTAL_LABOR_HOURS_CAP,MAX(0,($D144+AB$5)-PERMANENT_FIELD_LABOR_HOURS)&gt;TEMP_HOURS_CAP),"",$C144+AB$6-MIN(($D144+AB$5),PERMANENT_FIELD_LABOR_HOURS)*PERMANENT_HOURLY_RATE-MAX(0,($D144+AB$5)-PERMANENT_FIELD_LABOR_HOURS)*TEMP_HOURLY_RATE-FIXED_SEASON_COST)</f>
        <v>25741.5773808044</v>
      </c>
      <c r="AC144" s="53" t="n">
        <f aca="false">IF(OR($A144&gt;TOMATO_BED_CAP,$B144&gt;CARROT_BED_CAP,AC$4&gt;MESCLUN_BED_CAP,$A144+$B144+AC$4&gt;TOTAL_BEDS_AVAILABLE,($D144+AC$5)&gt;TOTAL_LABOR_HOURS_CAP,MAX(0,($D144+AC$5)-PERMANENT_FIELD_LABOR_HOURS)&gt;TEMP_HOURS_CAP),"",$C144+AC$6-MIN(($D144+AC$5),PERMANENT_FIELD_LABOR_HOURS)*PERMANENT_HOURLY_RATE-MAX(0,($D144+AC$5)-PERMANENT_FIELD_LABOR_HOURS)*TEMP_HOURLY_RATE-FIXED_SEASON_COST)</f>
        <v>26239.6725982393</v>
      </c>
      <c r="AD144" s="53" t="n">
        <f aca="false">IF(OR($A144&gt;TOMATO_BED_CAP,$B144&gt;CARROT_BED_CAP,AD$4&gt;MESCLUN_BED_CAP,$A144+$B144+AD$4&gt;TOTAL_BEDS_AVAILABLE,($D144+AD$5)&gt;TOTAL_LABOR_HOURS_CAP,MAX(0,($D144+AD$5)-PERMANENT_FIELD_LABOR_HOURS)&gt;TEMP_HOURS_CAP),"",$C144+AD$6-MIN(($D144+AD$5),PERMANENT_FIELD_LABOR_HOURS)*PERMANENT_HOURLY_RATE-MAX(0,($D144+AD$5)-PERMANENT_FIELD_LABOR_HOURS)*TEMP_HOURLY_RATE-FIXED_SEASON_COST)</f>
        <v>26708.2495535393</v>
      </c>
      <c r="AE144" s="53" t="n">
        <f aca="false">IF(OR($A144&gt;TOMATO_BED_CAP,$B144&gt;CARROT_BED_CAP,AE$4&gt;MESCLUN_BED_CAP,$A144+$B144+AE$4&gt;TOTAL_BEDS_AVAILABLE,($D144+AE$5)&gt;TOTAL_LABOR_HOURS_CAP,MAX(0,($D144+AE$5)-PERMANENT_FIELD_LABOR_HOURS)&gt;TEMP_HOURS_CAP),"",$C144+AE$6-MIN(($D144+AE$5),PERMANENT_FIELD_LABOR_HOURS)*PERMANENT_HOURLY_RATE-MAX(0,($D144+AE$5)-PERMANENT_FIELD_LABOR_HOURS)*TEMP_HOURLY_RATE-FIXED_SEASON_COST)</f>
        <v>27146.7768377732</v>
      </c>
      <c r="AF144" s="53" t="n">
        <f aca="false">IF(OR($A144&gt;TOMATO_BED_CAP,$B144&gt;CARROT_BED_CAP,AF$4&gt;MESCLUN_BED_CAP,$A144+$B144+AF$4&gt;TOTAL_BEDS_AVAILABLE,($D144+AF$5)&gt;TOTAL_LABOR_HOURS_CAP,MAX(0,($D144+AF$5)-PERMANENT_FIELD_LABOR_HOURS)&gt;TEMP_HOURS_CAP),"",$C144+AF$6-MIN(($D144+AF$5),PERMANENT_FIELD_LABOR_HOURS)*PERMANENT_HOURLY_RATE-MAX(0,($D144+AF$5)-PERMANENT_FIELD_LABOR_HOURS)*TEMP_HOURLY_RATE-FIXED_SEASON_COST)</f>
        <v>27554.7143690151</v>
      </c>
      <c r="AG144" s="53" t="n">
        <f aca="false">IF(OR($A144&gt;TOMATO_BED_CAP,$B144&gt;CARROT_BED_CAP,AG$4&gt;MESCLUN_BED_CAP,$A144+$B144+AG$4&gt;TOTAL_BEDS_AVAILABLE,($D144+AG$5)&gt;TOTAL_LABOR_HOURS_CAP,MAX(0,($D144+AG$5)-PERMANENT_FIELD_LABOR_HOURS)&gt;TEMP_HOURS_CAP),"",$C144+AG$6-MIN(($D144+AG$5),PERMANENT_FIELD_LABOR_HOURS)*PERMANENT_HOURLY_RATE-MAX(0,($D144+AG$5)-PERMANENT_FIELD_LABOR_HOURS)*TEMP_HOURLY_RATE-FIXED_SEASON_COST)</f>
        <v>27931.5132585522</v>
      </c>
      <c r="AH144" s="53" t="n">
        <f aca="false">IF(OR($A144&gt;TOMATO_BED_CAP,$B144&gt;CARROT_BED_CAP,AH$4&gt;MESCLUN_BED_CAP,$A144+$B144+AH$4&gt;TOTAL_BEDS_AVAILABLE,($D144+AH$5)&gt;TOTAL_LABOR_HOURS_CAP,MAX(0,($D144+AH$5)-PERMANENT_FIELD_LABOR_HOURS)&gt;TEMP_HOURS_CAP),"",$C144+AH$6-MIN(($D144+AH$5),PERMANENT_FIELD_LABOR_HOURS)*PERMANENT_HOURLY_RATE-MAX(0,($D144+AH$5)-PERMANENT_FIELD_LABOR_HOURS)*TEMP_HOURLY_RATE-FIXED_SEASON_COST)</f>
        <v>28276.6156751024</v>
      </c>
      <c r="AI144" s="53" t="n">
        <f aca="false">IF(OR($A144&gt;TOMATO_BED_CAP,$B144&gt;CARROT_BED_CAP,AI$4&gt;MESCLUN_BED_CAP,$A144+$B144+AI$4&gt;TOTAL_BEDS_AVAILABLE,($D144+AI$5)&gt;TOTAL_LABOR_HOURS_CAP,MAX(0,($D144+AI$5)-PERMANENT_FIELD_LABOR_HOURS)&gt;TEMP_HOURS_CAP),"",$C144+AI$6-MIN(($D144+AI$5),PERMANENT_FIELD_LABOR_HOURS)*PERMANENT_HOURLY_RATE-MAX(0,($D144+AI$5)-PERMANENT_FIELD_LABOR_HOURS)*TEMP_HOURLY_RATE-FIXED_SEASON_COST)</f>
        <v>28589.4547070146</v>
      </c>
      <c r="AJ144" s="53" t="n">
        <f aca="false">IF(OR($A144&gt;TOMATO_BED_CAP,$B144&gt;CARROT_BED_CAP,AJ$4&gt;MESCLUN_BED_CAP,$A144+$B144+AJ$4&gt;TOTAL_BEDS_AVAILABLE,($D144+AJ$5)&gt;TOTAL_LABOR_HOURS_CAP,MAX(0,($D144+AJ$5)-PERMANENT_FIELD_LABOR_HOURS)&gt;TEMP_HOURS_CAP),"",$C144+AJ$6-MIN(($D144+AJ$5),PERMANENT_FIELD_LABOR_HOURS)*PERMANENT_HOURLY_RATE-MAX(0,($D144+AJ$5)-PERMANENT_FIELD_LABOR_HOURS)*TEMP_HOURLY_RATE-FIXED_SEASON_COST)</f>
        <v>28869.4542224204</v>
      </c>
    </row>
    <row r="145" customFormat="false" ht="15" hidden="false" customHeight="false" outlineLevel="0" collapsed="false">
      <c r="A145" s="21" t="n">
        <f aca="false">INT((ROW()-ROW($A$8))/(20+1))</f>
        <v>6</v>
      </c>
      <c r="B145" s="21" t="n">
        <f aca="false">MOD(ROW()-ROW($A$8),20+1)</f>
        <v>11</v>
      </c>
      <c r="C145" s="13" t="n">
        <f aca="false">A145*(TOMATO_REVENUE_PER_BED-TOMATO_FERTILIZER_PER_BED)+B145*(CARROT_REVENUE_PER_BED-CARROT_FERTILIZER_PER_BED)</f>
        <v>65714</v>
      </c>
      <c r="D145" s="14" t="n">
        <f aca="false">INDEX(TOMATO_SCHED_LABOR_HRS,A145+1)+INDEX(CARROT_SCHED_LABOR_HRS,B145+1)</f>
        <v>1389.45834163559</v>
      </c>
      <c r="E145" s="13" t="n">
        <f aca="false">IF(COUNT(F145:AJ145)=0,"",MAX(F145:AJ145))</f>
        <v>29673.7924840787</v>
      </c>
      <c r="F145" s="53" t="n">
        <f aca="false">IF(OR($A145&gt;TOMATO_BED_CAP,$B145&gt;CARROT_BED_CAP,F$4&gt;MESCLUN_BED_CAP,$A145+$B145+F$4&gt;TOTAL_BEDS_AVAILABLE,($D145+F$5)&gt;TOTAL_LABOR_HOURS_CAP,MAX(0,($D145+F$5)-PERMANENT_FIELD_LABOR_HOURS)&gt;TEMP_HOURS_CAP),"",$C145+F$6-MIN(($D145+F$5),PERMANENT_FIELD_LABOR_HOURS)*PERMANENT_HOURLY_RATE-MAX(0,($D145+F$5)-PERMANENT_FIELD_LABOR_HOURS)*TEMP_HOURLY_RATE-FIXED_SEASON_COST)</f>
        <v>9093.80318920619</v>
      </c>
      <c r="G145" s="53" t="n">
        <f aca="false">IF(OR($A145&gt;TOMATO_BED_CAP,$B145&gt;CARROT_BED_CAP,G$4&gt;MESCLUN_BED_CAP,$A145+$B145+G$4&gt;TOTAL_BEDS_AVAILABLE,($D145+G$5)&gt;TOTAL_LABOR_HOURS_CAP,MAX(0,($D145+G$5)-PERMANENT_FIELD_LABOR_HOURS)&gt;TEMP_HOURS_CAP),"",$C145+G$6-MIN(($D145+G$5),PERMANENT_FIELD_LABOR_HOURS)*PERMANENT_HOURLY_RATE-MAX(0,($D145+G$5)-PERMANENT_FIELD_LABOR_HOURS)*TEMP_HOURLY_RATE-FIXED_SEASON_COST)</f>
        <v>10122.8381892062</v>
      </c>
      <c r="H145" s="53" t="n">
        <f aca="false">IF(OR($A145&gt;TOMATO_BED_CAP,$B145&gt;CARROT_BED_CAP,H$4&gt;MESCLUN_BED_CAP,$A145+$B145+H$4&gt;TOTAL_BEDS_AVAILABLE,($D145+H$5)&gt;TOTAL_LABOR_HOURS_CAP,MAX(0,($D145+H$5)-PERMANENT_FIELD_LABOR_HOURS)&gt;TEMP_HOURS_CAP),"",$C145+H$6-MIN(($D145+H$5),PERMANENT_FIELD_LABOR_HOURS)*PERMANENT_HOURLY_RATE-MAX(0,($D145+H$5)-PERMANENT_FIELD_LABOR_HOURS)*TEMP_HOURLY_RATE-FIXED_SEASON_COST)</f>
        <v>11132.0990642062</v>
      </c>
      <c r="I145" s="53" t="n">
        <f aca="false">IF(OR($A145&gt;TOMATO_BED_CAP,$B145&gt;CARROT_BED_CAP,I$4&gt;MESCLUN_BED_CAP,$A145+$B145+I$4&gt;TOTAL_BEDS_AVAILABLE,($D145+I$5)&gt;TOTAL_LABOR_HOURS_CAP,MAX(0,($D145+I$5)-PERMANENT_FIELD_LABOR_HOURS)&gt;TEMP_HOURS_CAP),"",$C145+I$6-MIN(($D145+I$5),PERMANENT_FIELD_LABOR_HOURS)*PERMANENT_HOURLY_RATE-MAX(0,($D145+I$5)-PERMANENT_FIELD_LABOR_HOURS)*TEMP_HOURLY_RATE-FIXED_SEASON_COST)</f>
        <v>12121.2150493624</v>
      </c>
      <c r="J145" s="53" t="n">
        <f aca="false">IF(OR($A145&gt;TOMATO_BED_CAP,$B145&gt;CARROT_BED_CAP,J$4&gt;MESCLUN_BED_CAP,$A145+$B145+J$4&gt;TOTAL_BEDS_AVAILABLE,($D145+J$5)&gt;TOTAL_LABOR_HOURS_CAP,MAX(0,($D145+J$5)-PERMANENT_FIELD_LABOR_HOURS)&gt;TEMP_HOURS_CAP),"",$C145+J$6-MIN(($D145+J$5),PERMANENT_FIELD_LABOR_HOURS)*PERMANENT_HOURLY_RATE-MAX(0,($D145+J$5)-PERMANENT_FIELD_LABOR_HOURS)*TEMP_HOURLY_RATE-FIXED_SEASON_COST)</f>
        <v>13089.8092004171</v>
      </c>
      <c r="K145" s="53" t="n">
        <f aca="false">IF(OR($A145&gt;TOMATO_BED_CAP,$B145&gt;CARROT_BED_CAP,K$4&gt;MESCLUN_BED_CAP,$A145+$B145+K$4&gt;TOTAL_BEDS_AVAILABLE,($D145+K$5)&gt;TOTAL_LABOR_HOURS_CAP,MAX(0,($D145+K$5)-PERMANENT_FIELD_LABOR_HOURS)&gt;TEMP_HOURS_CAP),"",$C145+K$6-MIN(($D145+K$5),PERMANENT_FIELD_LABOR_HOURS)*PERMANENT_HOURLY_RATE-MAX(0,($D145+K$5)-PERMANENT_FIELD_LABOR_HOURS)*TEMP_HOURLY_RATE-FIXED_SEASON_COST)</f>
        <v>14037.498297145</v>
      </c>
      <c r="L145" s="53" t="n">
        <f aca="false">IF(OR($A145&gt;TOMATO_BED_CAP,$B145&gt;CARROT_BED_CAP,L$4&gt;MESCLUN_BED_CAP,$A145+$B145+L$4&gt;TOTAL_BEDS_AVAILABLE,($D145+L$5)&gt;TOTAL_LABOR_HOURS_CAP,MAX(0,($D145+L$5)-PERMANENT_FIELD_LABOR_HOURS)&gt;TEMP_HOURS_CAP),"",$C145+L$6-MIN(($D145+L$5),PERMANENT_FIELD_LABOR_HOURS)*PERMANENT_HOURLY_RATE-MAX(0,($D145+L$5)-PERMANENT_FIELD_LABOR_HOURS)*TEMP_HOURLY_RATE-FIXED_SEASON_COST)</f>
        <v>14963.8927453519</v>
      </c>
      <c r="M145" s="53" t="n">
        <f aca="false">IF(OR($A145&gt;TOMATO_BED_CAP,$B145&gt;CARROT_BED_CAP,M$4&gt;MESCLUN_BED_CAP,$A145+$B145+M$4&gt;TOTAL_BEDS_AVAILABLE,($D145+M$5)&gt;TOTAL_LABOR_HOURS_CAP,MAX(0,($D145+M$5)-PERMANENT_FIELD_LABOR_HOURS)&gt;TEMP_HOURS_CAP),"",$C145+M$6-MIN(($D145+M$5),PERMANENT_FIELD_LABOR_HOURS)*PERMANENT_HOURLY_RATE-MAX(0,($D145+M$5)-PERMANENT_FIELD_LABOR_HOURS)*TEMP_HOURLY_RATE-FIXED_SEASON_COST)</f>
        <v>15868.5964774033</v>
      </c>
      <c r="N145" s="53" t="n">
        <f aca="false">IF(OR($A145&gt;TOMATO_BED_CAP,$B145&gt;CARROT_BED_CAP,N$4&gt;MESCLUN_BED_CAP,$A145+$B145+N$4&gt;TOTAL_BEDS_AVAILABLE,($D145+N$5)&gt;TOTAL_LABOR_HOURS_CAP,MAX(0,($D145+N$5)-PERMANENT_FIELD_LABOR_HOURS)&gt;TEMP_HOURS_CAP),"",$C145+N$6-MIN(($D145+N$5),PERMANENT_FIELD_LABOR_HOURS)*PERMANENT_HOURLY_RATE-MAX(0,($D145+N$5)-PERMANENT_FIELD_LABOR_HOURS)*TEMP_HOURLY_RATE-FIXED_SEASON_COST)</f>
        <v>16751.2068512628</v>
      </c>
      <c r="O145" s="53" t="n">
        <f aca="false">IF(OR($A145&gt;TOMATO_BED_CAP,$B145&gt;CARROT_BED_CAP,O$4&gt;MESCLUN_BED_CAP,$A145+$B145+O$4&gt;TOTAL_BEDS_AVAILABLE,($D145+O$5)&gt;TOTAL_LABOR_HOURS_CAP,MAX(0,($D145+O$5)-PERMANENT_FIELD_LABOR_HOURS)&gt;TEMP_HOURS_CAP),"",$C145+O$6-MIN(($D145+O$5),PERMANENT_FIELD_LABOR_HOURS)*PERMANENT_HOURLY_RATE-MAX(0,($D145+O$5)-PERMANENT_FIELD_LABOR_HOURS)*TEMP_HOURLY_RATE-FIXED_SEASON_COST)</f>
        <v>17611.3145480176</v>
      </c>
      <c r="P145" s="53" t="n">
        <f aca="false">IF(OR($A145&gt;TOMATO_BED_CAP,$B145&gt;CARROT_BED_CAP,P$4&gt;MESCLUN_BED_CAP,$A145+$B145+P$4&gt;TOTAL_BEDS_AVAILABLE,($D145+P$5)&gt;TOTAL_LABOR_HOURS_CAP,MAX(0,($D145+P$5)-PERMANENT_FIELD_LABOR_HOURS)&gt;TEMP_HOURS_CAP),"",$C145+P$6-MIN(($D145+P$5),PERMANENT_FIELD_LABOR_HOURS)*PERMANENT_HOURLY_RATE-MAX(0,($D145+P$5)-PERMANENT_FIELD_LABOR_HOURS)*TEMP_HOURLY_RATE-FIXED_SEASON_COST)</f>
        <v>18448.503467869</v>
      </c>
      <c r="Q145" s="53" t="n">
        <f aca="false">IF(OR($A145&gt;TOMATO_BED_CAP,$B145&gt;CARROT_BED_CAP,Q$4&gt;MESCLUN_BED_CAP,$A145+$B145+Q$4&gt;TOTAL_BEDS_AVAILABLE,($D145+Q$5)&gt;TOTAL_LABOR_HOURS_CAP,MAX(0,($D145+Q$5)-PERMANENT_FIELD_LABOR_HOURS)&gt;TEMP_HOURS_CAP),"",$C145+Q$6-MIN(($D145+Q$5),PERMANENT_FIELD_LABOR_HOURS)*PERMANENT_HOURLY_RATE-MAX(0,($D145+Q$5)-PERMANENT_FIELD_LABOR_HOURS)*TEMP_HOURLY_RATE-FIXED_SEASON_COST)</f>
        <v>19262.3506245669</v>
      </c>
      <c r="R145" s="53" t="n">
        <f aca="false">IF(OR($A145&gt;TOMATO_BED_CAP,$B145&gt;CARROT_BED_CAP,R$4&gt;MESCLUN_BED_CAP,$A145+$B145+R$4&gt;TOTAL_BEDS_AVAILABLE,($D145+R$5)&gt;TOTAL_LABOR_HOURS_CAP,MAX(0,($D145+R$5)-PERMANENT_FIELD_LABOR_HOURS)&gt;TEMP_HOURS_CAP),"",$C145+R$6-MIN(($D145+R$5),PERMANENT_FIELD_LABOR_HOURS)*PERMANENT_HOURLY_RATE-MAX(0,($D145+R$5)-PERMANENT_FIELD_LABOR_HOURS)*TEMP_HOURLY_RATE-FIXED_SEASON_COST)</f>
        <v>20052.4260382637</v>
      </c>
      <c r="S145" s="53" t="n">
        <f aca="false">IF(OR($A145&gt;TOMATO_BED_CAP,$B145&gt;CARROT_BED_CAP,S$4&gt;MESCLUN_BED_CAP,$A145+$B145+S$4&gt;TOTAL_BEDS_AVAILABLE,($D145+S$5)&gt;TOTAL_LABOR_HOURS_CAP,MAX(0,($D145+S$5)-PERMANENT_FIELD_LABOR_HOURS)&gt;TEMP_HOURS_CAP),"",$C145+S$6-MIN(($D145+S$5),PERMANENT_FIELD_LABOR_HOURS)*PERMANENT_HOURLY_RATE-MAX(0,($D145+S$5)-PERMANENT_FIELD_LABOR_HOURS)*TEMP_HOURLY_RATE-FIXED_SEASON_COST)</f>
        <v>20818.2926267662</v>
      </c>
      <c r="T145" s="53" t="n">
        <f aca="false">IF(OR($A145&gt;TOMATO_BED_CAP,$B145&gt;CARROT_BED_CAP,T$4&gt;MESCLUN_BED_CAP,$A145+$B145+T$4&gt;TOTAL_BEDS_AVAILABLE,($D145+T$5)&gt;TOTAL_LABOR_HOURS_CAP,MAX(0,($D145+T$5)-PERMANENT_FIELD_LABOR_HOURS)&gt;TEMP_HOURS_CAP),"",$C145+T$6-MIN(($D145+T$5),PERMANENT_FIELD_LABOR_HOURS)*PERMANENT_HOURLY_RATE-MAX(0,($D145+T$5)-PERMANENT_FIELD_LABOR_HOURS)*TEMP_HOURLY_RATE-FIXED_SEASON_COST)</f>
        <v>21559.506095161</v>
      </c>
      <c r="U145" s="53" t="n">
        <f aca="false">IF(OR($A145&gt;TOMATO_BED_CAP,$B145&gt;CARROT_BED_CAP,U$4&gt;MESCLUN_BED_CAP,$A145+$B145+U$4&gt;TOTAL_BEDS_AVAILABLE,($D145+U$5)&gt;TOTAL_LABOR_HOURS_CAP,MAX(0,($D145+U$5)-PERMANENT_FIELD_LABOR_HOURS)&gt;TEMP_HOURS_CAP),"",$C145+U$6-MIN(($D145+U$5),PERMANENT_FIELD_LABOR_HOURS)*PERMANENT_HOURLY_RATE-MAX(0,($D145+U$5)-PERMANENT_FIELD_LABOR_HOURS)*TEMP_HOURLY_RATE-FIXED_SEASON_COST)</f>
        <v>22275.6148237911</v>
      </c>
      <c r="V145" s="53" t="n">
        <f aca="false">IF(OR($A145&gt;TOMATO_BED_CAP,$B145&gt;CARROT_BED_CAP,V$4&gt;MESCLUN_BED_CAP,$A145+$B145+V$4&gt;TOTAL_BEDS_AVAILABLE,($D145+V$5)&gt;TOTAL_LABOR_HOURS_CAP,MAX(0,($D145+V$5)-PERMANENT_FIELD_LABOR_HOURS)&gt;TEMP_HOURS_CAP),"",$C145+V$6-MIN(($D145+V$5),PERMANENT_FIELD_LABOR_HOURS)*PERMANENT_HOURLY_RATE-MAX(0,($D145+V$5)-PERMANENT_FIELD_LABOR_HOURS)*TEMP_HOURLY_RATE-FIXED_SEASON_COST)</f>
        <v>22966.1597545579</v>
      </c>
      <c r="W145" s="53" t="n">
        <f aca="false">IF(OR($A145&gt;TOMATO_BED_CAP,$B145&gt;CARROT_BED_CAP,W$4&gt;MESCLUN_BED_CAP,$A145+$B145+W$4&gt;TOTAL_BEDS_AVAILABLE,($D145+W$5)&gt;TOTAL_LABOR_HOURS_CAP,MAX(0,($D145+W$5)-PERMANENT_FIELD_LABOR_HOURS)&gt;TEMP_HOURS_CAP),"",$C145+W$6-MIN(($D145+W$5),PERMANENT_FIELD_LABOR_HOURS)*PERMANENT_HOURLY_RATE-MAX(0,($D145+W$5)-PERMANENT_FIELD_LABOR_HOURS)*TEMP_HOURLY_RATE-FIXED_SEASON_COST)</f>
        <v>23630.674275526</v>
      </c>
      <c r="X145" s="53" t="n">
        <f aca="false">IF(OR($A145&gt;TOMATO_BED_CAP,$B145&gt;CARROT_BED_CAP,X$4&gt;MESCLUN_BED_CAP,$A145+$B145+X$4&gt;TOTAL_BEDS_AVAILABLE,($D145+X$5)&gt;TOTAL_LABOR_HOURS_CAP,MAX(0,($D145+X$5)-PERMANENT_FIELD_LABOR_HOURS)&gt;TEMP_HOURS_CAP),"",$C145+X$6-MIN(($D145+X$5),PERMANENT_FIELD_LABOR_HOURS)*PERMANENT_HOURLY_RATE-MAX(0,($D145+X$5)-PERMANENT_FIELD_LABOR_HOURS)*TEMP_HOURLY_RATE-FIXED_SEASON_COST)</f>
        <v>24268.6841038049</v>
      </c>
      <c r="Y145" s="53" t="n">
        <f aca="false">IF(OR($A145&gt;TOMATO_BED_CAP,$B145&gt;CARROT_BED_CAP,Y$4&gt;MESCLUN_BED_CAP,$A145+$B145+Y$4&gt;TOTAL_BEDS_AVAILABLE,($D145+Y$5)&gt;TOTAL_LABOR_HOURS_CAP,MAX(0,($D145+Y$5)-PERMANENT_FIELD_LABOR_HOURS)&gt;TEMP_HOURS_CAP),"",$C145+Y$6-MIN(($D145+Y$5),PERMANENT_FIELD_LABOR_HOURS)*PERMANENT_HOURLY_RATE-MAX(0,($D145+Y$5)-PERMANENT_FIELD_LABOR_HOURS)*TEMP_HOURLY_RATE-FIXED_SEASON_COST)</f>
        <v>24879.7071666835</v>
      </c>
      <c r="Z145" s="53" t="n">
        <f aca="false">IF(OR($A145&gt;TOMATO_BED_CAP,$B145&gt;CARROT_BED_CAP,Z$4&gt;MESCLUN_BED_CAP,$A145+$B145+Z$4&gt;TOTAL_BEDS_AVAILABLE,($D145+Z$5)&gt;TOTAL_LABOR_HOURS_CAP,MAX(0,($D145+Z$5)-PERMANENT_FIELD_LABOR_HOURS)&gt;TEMP_HOURS_CAP),"",$C145+Z$6-MIN(($D145+Z$5),PERMANENT_FIELD_LABOR_HOURS)*PERMANENT_HOURLY_RATE-MAX(0,($D145+Z$5)-PERMANENT_FIELD_LABOR_HOURS)*TEMP_HOURLY_RATE-FIXED_SEASON_COST)</f>
        <v>25463.2534809913</v>
      </c>
      <c r="AA145" s="53" t="n">
        <f aca="false">IF(OR($A145&gt;TOMATO_BED_CAP,$B145&gt;CARROT_BED_CAP,AA$4&gt;MESCLUN_BED_CAP,$A145+$B145+AA$4&gt;TOTAL_BEDS_AVAILABLE,($D145+AA$5)&gt;TOTAL_LABOR_HOURS_CAP,MAX(0,($D145+AA$5)-PERMANENT_FIELD_LABOR_HOURS)&gt;TEMP_HOURS_CAP),"",$C145+AA$6-MIN(($D145+AA$5),PERMANENT_FIELD_LABOR_HOURS)*PERMANENT_HOURLY_RATE-MAX(0,($D145+AA$5)-PERMANENT_FIELD_LABOR_HOURS)*TEMP_HOURLY_RATE-FIXED_SEASON_COST)</f>
        <v>26018.8250306602</v>
      </c>
      <c r="AB145" s="53" t="n">
        <f aca="false">IF(OR($A145&gt;TOMATO_BED_CAP,$B145&gt;CARROT_BED_CAP,AB$4&gt;MESCLUN_BED_CAP,$A145+$B145+AB$4&gt;TOTAL_BEDS_AVAILABLE,($D145+AB$5)&gt;TOTAL_LABOR_HOURS_CAP,MAX(0,($D145+AB$5)-PERMANENT_FIELD_LABOR_HOURS)&gt;TEMP_HOURS_CAP),"",$C145+AB$6-MIN(($D145+AB$5),PERMANENT_FIELD_LABOR_HOURS)*PERMANENT_HOURLY_RATE-MAX(0,($D145+AB$5)-PERMANENT_FIELD_LABOR_HOURS)*TEMP_HOURLY_RATE-FIXED_SEASON_COST)</f>
        <v>26545.9156424628</v>
      </c>
      <c r="AC145" s="53" t="n">
        <f aca="false">IF(OR($A145&gt;TOMATO_BED_CAP,$B145&gt;CARROT_BED_CAP,AC$4&gt;MESCLUN_BED_CAP,$A145+$B145+AC$4&gt;TOTAL_BEDS_AVAILABLE,($D145+AC$5)&gt;TOTAL_LABOR_HOURS_CAP,MAX(0,($D145+AC$5)-PERMANENT_FIELD_LABOR_HOURS)&gt;TEMP_HOURS_CAP),"",$C145+AC$6-MIN(($D145+AC$5),PERMANENT_FIELD_LABOR_HOURS)*PERMANENT_HOURLY_RATE-MAX(0,($D145+AC$5)-PERMANENT_FIELD_LABOR_HOURS)*TEMP_HOURLY_RATE-FIXED_SEASON_COST)</f>
        <v>27044.0108598977</v>
      </c>
      <c r="AD145" s="53" t="n">
        <f aca="false">IF(OR($A145&gt;TOMATO_BED_CAP,$B145&gt;CARROT_BED_CAP,AD$4&gt;MESCLUN_BED_CAP,$A145+$B145+AD$4&gt;TOTAL_BEDS_AVAILABLE,($D145+AD$5)&gt;TOTAL_LABOR_HOURS_CAP,MAX(0,($D145+AD$5)-PERMANENT_FIELD_LABOR_HOURS)&gt;TEMP_HOURS_CAP),"",$C145+AD$6-MIN(($D145+AD$5),PERMANENT_FIELD_LABOR_HOURS)*PERMANENT_HOURLY_RATE-MAX(0,($D145+AD$5)-PERMANENT_FIELD_LABOR_HOURS)*TEMP_HOURLY_RATE-FIXED_SEASON_COST)</f>
        <v>27512.5878151976</v>
      </c>
      <c r="AE145" s="53" t="n">
        <f aca="false">IF(OR($A145&gt;TOMATO_BED_CAP,$B145&gt;CARROT_BED_CAP,AE$4&gt;MESCLUN_BED_CAP,$A145+$B145+AE$4&gt;TOTAL_BEDS_AVAILABLE,($D145+AE$5)&gt;TOTAL_LABOR_HOURS_CAP,MAX(0,($D145+AE$5)-PERMANENT_FIELD_LABOR_HOURS)&gt;TEMP_HOURS_CAP),"",$C145+AE$6-MIN(($D145+AE$5),PERMANENT_FIELD_LABOR_HOURS)*PERMANENT_HOURLY_RATE-MAX(0,($D145+AE$5)-PERMANENT_FIELD_LABOR_HOURS)*TEMP_HOURLY_RATE-FIXED_SEASON_COST)</f>
        <v>27951.1150994315</v>
      </c>
      <c r="AF145" s="53" t="n">
        <f aca="false">IF(OR($A145&gt;TOMATO_BED_CAP,$B145&gt;CARROT_BED_CAP,AF$4&gt;MESCLUN_BED_CAP,$A145+$B145+AF$4&gt;TOTAL_BEDS_AVAILABLE,($D145+AF$5)&gt;TOTAL_LABOR_HOURS_CAP,MAX(0,($D145+AF$5)-PERMANENT_FIELD_LABOR_HOURS)&gt;TEMP_HOURS_CAP),"",$C145+AF$6-MIN(($D145+AF$5),PERMANENT_FIELD_LABOR_HOURS)*PERMANENT_HOURLY_RATE-MAX(0,($D145+AF$5)-PERMANENT_FIELD_LABOR_HOURS)*TEMP_HOURLY_RATE-FIXED_SEASON_COST)</f>
        <v>28359.0526306735</v>
      </c>
      <c r="AG145" s="53" t="n">
        <f aca="false">IF(OR($A145&gt;TOMATO_BED_CAP,$B145&gt;CARROT_BED_CAP,AG$4&gt;MESCLUN_BED_CAP,$A145+$B145+AG$4&gt;TOTAL_BEDS_AVAILABLE,($D145+AG$5)&gt;TOTAL_LABOR_HOURS_CAP,MAX(0,($D145+AG$5)-PERMANENT_FIELD_LABOR_HOURS)&gt;TEMP_HOURS_CAP),"",$C145+AG$6-MIN(($D145+AG$5),PERMANENT_FIELD_LABOR_HOURS)*PERMANENT_HOURLY_RATE-MAX(0,($D145+AG$5)-PERMANENT_FIELD_LABOR_HOURS)*TEMP_HOURLY_RATE-FIXED_SEASON_COST)</f>
        <v>28735.8515202105</v>
      </c>
      <c r="AH145" s="53" t="n">
        <f aca="false">IF(OR($A145&gt;TOMATO_BED_CAP,$B145&gt;CARROT_BED_CAP,AH$4&gt;MESCLUN_BED_CAP,$A145+$B145+AH$4&gt;TOTAL_BEDS_AVAILABLE,($D145+AH$5)&gt;TOTAL_LABOR_HOURS_CAP,MAX(0,($D145+AH$5)-PERMANENT_FIELD_LABOR_HOURS)&gt;TEMP_HOURS_CAP),"",$C145+AH$6-MIN(($D145+AH$5),PERMANENT_FIELD_LABOR_HOURS)*PERMANENT_HOURLY_RATE-MAX(0,($D145+AH$5)-PERMANENT_FIELD_LABOR_HOURS)*TEMP_HOURLY_RATE-FIXED_SEASON_COST)</f>
        <v>29080.9539367607</v>
      </c>
      <c r="AI145" s="53" t="n">
        <f aca="false">IF(OR($A145&gt;TOMATO_BED_CAP,$B145&gt;CARROT_BED_CAP,AI$4&gt;MESCLUN_BED_CAP,$A145+$B145+AI$4&gt;TOTAL_BEDS_AVAILABLE,($D145+AI$5)&gt;TOTAL_LABOR_HOURS_CAP,MAX(0,($D145+AI$5)-PERMANENT_FIELD_LABOR_HOURS)&gt;TEMP_HOURS_CAP),"",$C145+AI$6-MIN(($D145+AI$5),PERMANENT_FIELD_LABOR_HOURS)*PERMANENT_HOURLY_RATE-MAX(0,($D145+AI$5)-PERMANENT_FIELD_LABOR_HOURS)*TEMP_HOURLY_RATE-FIXED_SEASON_COST)</f>
        <v>29393.792968673</v>
      </c>
      <c r="AJ145" s="53" t="n">
        <f aca="false">IF(OR($A145&gt;TOMATO_BED_CAP,$B145&gt;CARROT_BED_CAP,AJ$4&gt;MESCLUN_BED_CAP,$A145+$B145+AJ$4&gt;TOTAL_BEDS_AVAILABLE,($D145+AJ$5)&gt;TOTAL_LABOR_HOURS_CAP,MAX(0,($D145+AJ$5)-PERMANENT_FIELD_LABOR_HOURS)&gt;TEMP_HOURS_CAP),"",$C145+AJ$6-MIN(($D145+AJ$5),PERMANENT_FIELD_LABOR_HOURS)*PERMANENT_HOURLY_RATE-MAX(0,($D145+AJ$5)-PERMANENT_FIELD_LABOR_HOURS)*TEMP_HOURLY_RATE-FIXED_SEASON_COST)</f>
        <v>29673.7924840787</v>
      </c>
    </row>
    <row r="146" customFormat="false" ht="15" hidden="false" customHeight="false" outlineLevel="0" collapsed="false">
      <c r="A146" s="21" t="n">
        <f aca="false">INT((ROW()-ROW($A$8))/(20+1))</f>
        <v>6</v>
      </c>
      <c r="B146" s="21" t="n">
        <f aca="false">MOD(ROW()-ROW($A$8),20+1)</f>
        <v>12</v>
      </c>
      <c r="C146" s="13" t="n">
        <f aca="false">A146*(TOMATO_REVENUE_PER_BED-TOMATO_FERTILIZER_PER_BED)+B146*(CARROT_REVENUE_PER_BED-CARROT_FERTILIZER_PER_BED)</f>
        <v>67368</v>
      </c>
      <c r="D146" s="14" t="n">
        <f aca="false">INDEX(TOMATO_SCHED_LABOR_HRS,A146+1)+INDEX(CARROT_SCHED_LABOR_HRS,B146+1)</f>
        <v>1440.60925273798</v>
      </c>
      <c r="E146" s="13" t="n">
        <f aca="false">IF(COUNT(F146:AJ146)=0,"",MAX(F146:AJ146))</f>
        <v>30439.8126673413</v>
      </c>
      <c r="F146" s="53" t="n">
        <f aca="false">IF(OR($A146&gt;TOMATO_BED_CAP,$B146&gt;CARROT_BED_CAP,F$4&gt;MESCLUN_BED_CAP,$A146+$B146+F$4&gt;TOTAL_BEDS_AVAILABLE,($D146+F$5)&gt;TOTAL_LABOR_HOURS_CAP,MAX(0,($D146+F$5)-PERMANENT_FIELD_LABOR_HOURS)&gt;TEMP_HOURS_CAP),"",$C146+F$6-MIN(($D146+F$5),PERMANENT_FIELD_LABOR_HOURS)*PERMANENT_HOURLY_RATE-MAX(0,($D146+F$5)-PERMANENT_FIELD_LABOR_HOURS)*TEMP_HOURLY_RATE-FIXED_SEASON_COST)</f>
        <v>9859.82337246875</v>
      </c>
      <c r="G146" s="53" t="n">
        <f aca="false">IF(OR($A146&gt;TOMATO_BED_CAP,$B146&gt;CARROT_BED_CAP,G$4&gt;MESCLUN_BED_CAP,$A146+$B146+G$4&gt;TOTAL_BEDS_AVAILABLE,($D146+G$5)&gt;TOTAL_LABOR_HOURS_CAP,MAX(0,($D146+G$5)-PERMANENT_FIELD_LABOR_HOURS)&gt;TEMP_HOURS_CAP),"",$C146+G$6-MIN(($D146+G$5),PERMANENT_FIELD_LABOR_HOURS)*PERMANENT_HOURLY_RATE-MAX(0,($D146+G$5)-PERMANENT_FIELD_LABOR_HOURS)*TEMP_HOURLY_RATE-FIXED_SEASON_COST)</f>
        <v>10888.8583724687</v>
      </c>
      <c r="H146" s="53" t="n">
        <f aca="false">IF(OR($A146&gt;TOMATO_BED_CAP,$B146&gt;CARROT_BED_CAP,H$4&gt;MESCLUN_BED_CAP,$A146+$B146+H$4&gt;TOTAL_BEDS_AVAILABLE,($D146+H$5)&gt;TOTAL_LABOR_HOURS_CAP,MAX(0,($D146+H$5)-PERMANENT_FIELD_LABOR_HOURS)&gt;TEMP_HOURS_CAP),"",$C146+H$6-MIN(($D146+H$5),PERMANENT_FIELD_LABOR_HOURS)*PERMANENT_HOURLY_RATE-MAX(0,($D146+H$5)-PERMANENT_FIELD_LABOR_HOURS)*TEMP_HOURLY_RATE-FIXED_SEASON_COST)</f>
        <v>11898.1192474687</v>
      </c>
      <c r="I146" s="53" t="n">
        <f aca="false">IF(OR($A146&gt;TOMATO_BED_CAP,$B146&gt;CARROT_BED_CAP,I$4&gt;MESCLUN_BED_CAP,$A146+$B146+I$4&gt;TOTAL_BEDS_AVAILABLE,($D146+I$5)&gt;TOTAL_LABOR_HOURS_CAP,MAX(0,($D146+I$5)-PERMANENT_FIELD_LABOR_HOURS)&gt;TEMP_HOURS_CAP),"",$C146+I$6-MIN(($D146+I$5),PERMANENT_FIELD_LABOR_HOURS)*PERMANENT_HOURLY_RATE-MAX(0,($D146+I$5)-PERMANENT_FIELD_LABOR_HOURS)*TEMP_HOURLY_RATE-FIXED_SEASON_COST)</f>
        <v>12887.235232625</v>
      </c>
      <c r="J146" s="53" t="n">
        <f aca="false">IF(OR($A146&gt;TOMATO_BED_CAP,$B146&gt;CARROT_BED_CAP,J$4&gt;MESCLUN_BED_CAP,$A146+$B146+J$4&gt;TOTAL_BEDS_AVAILABLE,($D146+J$5)&gt;TOTAL_LABOR_HOURS_CAP,MAX(0,($D146+J$5)-PERMANENT_FIELD_LABOR_HOURS)&gt;TEMP_HOURS_CAP),"",$C146+J$6-MIN(($D146+J$5),PERMANENT_FIELD_LABOR_HOURS)*PERMANENT_HOURLY_RATE-MAX(0,($D146+J$5)-PERMANENT_FIELD_LABOR_HOURS)*TEMP_HOURLY_RATE-FIXED_SEASON_COST)</f>
        <v>13855.8293836797</v>
      </c>
      <c r="K146" s="53" t="n">
        <f aca="false">IF(OR($A146&gt;TOMATO_BED_CAP,$B146&gt;CARROT_BED_CAP,K$4&gt;MESCLUN_BED_CAP,$A146+$B146+K$4&gt;TOTAL_BEDS_AVAILABLE,($D146+K$5)&gt;TOTAL_LABOR_HOURS_CAP,MAX(0,($D146+K$5)-PERMANENT_FIELD_LABOR_HOURS)&gt;TEMP_HOURS_CAP),"",$C146+K$6-MIN(($D146+K$5),PERMANENT_FIELD_LABOR_HOURS)*PERMANENT_HOURLY_RATE-MAX(0,($D146+K$5)-PERMANENT_FIELD_LABOR_HOURS)*TEMP_HOURLY_RATE-FIXED_SEASON_COST)</f>
        <v>14803.5184804076</v>
      </c>
      <c r="L146" s="53" t="n">
        <f aca="false">IF(OR($A146&gt;TOMATO_BED_CAP,$B146&gt;CARROT_BED_CAP,L$4&gt;MESCLUN_BED_CAP,$A146+$B146+L$4&gt;TOTAL_BEDS_AVAILABLE,($D146+L$5)&gt;TOTAL_LABOR_HOURS_CAP,MAX(0,($D146+L$5)-PERMANENT_FIELD_LABOR_HOURS)&gt;TEMP_HOURS_CAP),"",$C146+L$6-MIN(($D146+L$5),PERMANENT_FIELD_LABOR_HOURS)*PERMANENT_HOURLY_RATE-MAX(0,($D146+L$5)-PERMANENT_FIELD_LABOR_HOURS)*TEMP_HOURLY_RATE-FIXED_SEASON_COST)</f>
        <v>15729.9129286144</v>
      </c>
      <c r="M146" s="53" t="n">
        <f aca="false">IF(OR($A146&gt;TOMATO_BED_CAP,$B146&gt;CARROT_BED_CAP,M$4&gt;MESCLUN_BED_CAP,$A146+$B146+M$4&gt;TOTAL_BEDS_AVAILABLE,($D146+M$5)&gt;TOTAL_LABOR_HOURS_CAP,MAX(0,($D146+M$5)-PERMANENT_FIELD_LABOR_HOURS)&gt;TEMP_HOURS_CAP),"",$C146+M$6-MIN(($D146+M$5),PERMANENT_FIELD_LABOR_HOURS)*PERMANENT_HOURLY_RATE-MAX(0,($D146+M$5)-PERMANENT_FIELD_LABOR_HOURS)*TEMP_HOURLY_RATE-FIXED_SEASON_COST)</f>
        <v>16634.6166606659</v>
      </c>
      <c r="N146" s="53" t="n">
        <f aca="false">IF(OR($A146&gt;TOMATO_BED_CAP,$B146&gt;CARROT_BED_CAP,N$4&gt;MESCLUN_BED_CAP,$A146+$B146+N$4&gt;TOTAL_BEDS_AVAILABLE,($D146+N$5)&gt;TOTAL_LABOR_HOURS_CAP,MAX(0,($D146+N$5)-PERMANENT_FIELD_LABOR_HOURS)&gt;TEMP_HOURS_CAP),"",$C146+N$6-MIN(($D146+N$5),PERMANENT_FIELD_LABOR_HOURS)*PERMANENT_HOURLY_RATE-MAX(0,($D146+N$5)-PERMANENT_FIELD_LABOR_HOURS)*TEMP_HOURLY_RATE-FIXED_SEASON_COST)</f>
        <v>17517.2270345254</v>
      </c>
      <c r="O146" s="53" t="n">
        <f aca="false">IF(OR($A146&gt;TOMATO_BED_CAP,$B146&gt;CARROT_BED_CAP,O$4&gt;MESCLUN_BED_CAP,$A146+$B146+O$4&gt;TOTAL_BEDS_AVAILABLE,($D146+O$5)&gt;TOTAL_LABOR_HOURS_CAP,MAX(0,($D146+O$5)-PERMANENT_FIELD_LABOR_HOURS)&gt;TEMP_HOURS_CAP),"",$C146+O$6-MIN(($D146+O$5),PERMANENT_FIELD_LABOR_HOURS)*PERMANENT_HOURLY_RATE-MAX(0,($D146+O$5)-PERMANENT_FIELD_LABOR_HOURS)*TEMP_HOURLY_RATE-FIXED_SEASON_COST)</f>
        <v>18377.3347312802</v>
      </c>
      <c r="P146" s="53" t="n">
        <f aca="false">IF(OR($A146&gt;TOMATO_BED_CAP,$B146&gt;CARROT_BED_CAP,P$4&gt;MESCLUN_BED_CAP,$A146+$B146+P$4&gt;TOTAL_BEDS_AVAILABLE,($D146+P$5)&gt;TOTAL_LABOR_HOURS_CAP,MAX(0,($D146+P$5)-PERMANENT_FIELD_LABOR_HOURS)&gt;TEMP_HOURS_CAP),"",$C146+P$6-MIN(($D146+P$5),PERMANENT_FIELD_LABOR_HOURS)*PERMANENT_HOURLY_RATE-MAX(0,($D146+P$5)-PERMANENT_FIELD_LABOR_HOURS)*TEMP_HOURLY_RATE-FIXED_SEASON_COST)</f>
        <v>19214.5236511316</v>
      </c>
      <c r="Q146" s="53" t="n">
        <f aca="false">IF(OR($A146&gt;TOMATO_BED_CAP,$B146&gt;CARROT_BED_CAP,Q$4&gt;MESCLUN_BED_CAP,$A146+$B146+Q$4&gt;TOTAL_BEDS_AVAILABLE,($D146+Q$5)&gt;TOTAL_LABOR_HOURS_CAP,MAX(0,($D146+Q$5)-PERMANENT_FIELD_LABOR_HOURS)&gt;TEMP_HOURS_CAP),"",$C146+Q$6-MIN(($D146+Q$5),PERMANENT_FIELD_LABOR_HOURS)*PERMANENT_HOURLY_RATE-MAX(0,($D146+Q$5)-PERMANENT_FIELD_LABOR_HOURS)*TEMP_HOURLY_RATE-FIXED_SEASON_COST)</f>
        <v>20028.3708078295</v>
      </c>
      <c r="R146" s="53" t="n">
        <f aca="false">IF(OR($A146&gt;TOMATO_BED_CAP,$B146&gt;CARROT_BED_CAP,R$4&gt;MESCLUN_BED_CAP,$A146+$B146+R$4&gt;TOTAL_BEDS_AVAILABLE,($D146+R$5)&gt;TOTAL_LABOR_HOURS_CAP,MAX(0,($D146+R$5)-PERMANENT_FIELD_LABOR_HOURS)&gt;TEMP_HOURS_CAP),"",$C146+R$6-MIN(($D146+R$5),PERMANENT_FIELD_LABOR_HOURS)*PERMANENT_HOURLY_RATE-MAX(0,($D146+R$5)-PERMANENT_FIELD_LABOR_HOURS)*TEMP_HOURLY_RATE-FIXED_SEASON_COST)</f>
        <v>20818.4462215263</v>
      </c>
      <c r="S146" s="53" t="n">
        <f aca="false">IF(OR($A146&gt;TOMATO_BED_CAP,$B146&gt;CARROT_BED_CAP,S$4&gt;MESCLUN_BED_CAP,$A146+$B146+S$4&gt;TOTAL_BEDS_AVAILABLE,($D146+S$5)&gt;TOTAL_LABOR_HOURS_CAP,MAX(0,($D146+S$5)-PERMANENT_FIELD_LABOR_HOURS)&gt;TEMP_HOURS_CAP),"",$C146+S$6-MIN(($D146+S$5),PERMANENT_FIELD_LABOR_HOURS)*PERMANENT_HOURLY_RATE-MAX(0,($D146+S$5)-PERMANENT_FIELD_LABOR_HOURS)*TEMP_HOURLY_RATE-FIXED_SEASON_COST)</f>
        <v>21584.3128100287</v>
      </c>
      <c r="T146" s="53" t="n">
        <f aca="false">IF(OR($A146&gt;TOMATO_BED_CAP,$B146&gt;CARROT_BED_CAP,T$4&gt;MESCLUN_BED_CAP,$A146+$B146+T$4&gt;TOTAL_BEDS_AVAILABLE,($D146+T$5)&gt;TOTAL_LABOR_HOURS_CAP,MAX(0,($D146+T$5)-PERMANENT_FIELD_LABOR_HOURS)&gt;TEMP_HOURS_CAP),"",$C146+T$6-MIN(($D146+T$5),PERMANENT_FIELD_LABOR_HOURS)*PERMANENT_HOURLY_RATE-MAX(0,($D146+T$5)-PERMANENT_FIELD_LABOR_HOURS)*TEMP_HOURLY_RATE-FIXED_SEASON_COST)</f>
        <v>22325.5262784236</v>
      </c>
      <c r="U146" s="53" t="n">
        <f aca="false">IF(OR($A146&gt;TOMATO_BED_CAP,$B146&gt;CARROT_BED_CAP,U$4&gt;MESCLUN_BED_CAP,$A146+$B146+U$4&gt;TOTAL_BEDS_AVAILABLE,($D146+U$5)&gt;TOTAL_LABOR_HOURS_CAP,MAX(0,($D146+U$5)-PERMANENT_FIELD_LABOR_HOURS)&gt;TEMP_HOURS_CAP),"",$C146+U$6-MIN(($D146+U$5),PERMANENT_FIELD_LABOR_HOURS)*PERMANENT_HOURLY_RATE-MAX(0,($D146+U$5)-PERMANENT_FIELD_LABOR_HOURS)*TEMP_HOURLY_RATE-FIXED_SEASON_COST)</f>
        <v>23041.6350070537</v>
      </c>
      <c r="V146" s="53" t="n">
        <f aca="false">IF(OR($A146&gt;TOMATO_BED_CAP,$B146&gt;CARROT_BED_CAP,V$4&gt;MESCLUN_BED_CAP,$A146+$B146+V$4&gt;TOTAL_BEDS_AVAILABLE,($D146+V$5)&gt;TOTAL_LABOR_HOURS_CAP,MAX(0,($D146+V$5)-PERMANENT_FIELD_LABOR_HOURS)&gt;TEMP_HOURS_CAP),"",$C146+V$6-MIN(($D146+V$5),PERMANENT_FIELD_LABOR_HOURS)*PERMANENT_HOURLY_RATE-MAX(0,($D146+V$5)-PERMANENT_FIELD_LABOR_HOURS)*TEMP_HOURLY_RATE-FIXED_SEASON_COST)</f>
        <v>23732.1799378205</v>
      </c>
      <c r="W146" s="53" t="n">
        <f aca="false">IF(OR($A146&gt;TOMATO_BED_CAP,$B146&gt;CARROT_BED_CAP,W$4&gt;MESCLUN_BED_CAP,$A146+$B146+W$4&gt;TOTAL_BEDS_AVAILABLE,($D146+W$5)&gt;TOTAL_LABOR_HOURS_CAP,MAX(0,($D146+W$5)-PERMANENT_FIELD_LABOR_HOURS)&gt;TEMP_HOURS_CAP),"",$C146+W$6-MIN(($D146+W$5),PERMANENT_FIELD_LABOR_HOURS)*PERMANENT_HOURLY_RATE-MAX(0,($D146+W$5)-PERMANENT_FIELD_LABOR_HOURS)*TEMP_HOURLY_RATE-FIXED_SEASON_COST)</f>
        <v>24396.6944587885</v>
      </c>
      <c r="X146" s="53" t="n">
        <f aca="false">IF(OR($A146&gt;TOMATO_BED_CAP,$B146&gt;CARROT_BED_CAP,X$4&gt;MESCLUN_BED_CAP,$A146+$B146+X$4&gt;TOTAL_BEDS_AVAILABLE,($D146+X$5)&gt;TOTAL_LABOR_HOURS_CAP,MAX(0,($D146+X$5)-PERMANENT_FIELD_LABOR_HOURS)&gt;TEMP_HOURS_CAP),"",$C146+X$6-MIN(($D146+X$5),PERMANENT_FIELD_LABOR_HOURS)*PERMANENT_HOURLY_RATE-MAX(0,($D146+X$5)-PERMANENT_FIELD_LABOR_HOURS)*TEMP_HOURLY_RATE-FIXED_SEASON_COST)</f>
        <v>25034.7042870674</v>
      </c>
      <c r="Y146" s="53" t="n">
        <f aca="false">IF(OR($A146&gt;TOMATO_BED_CAP,$B146&gt;CARROT_BED_CAP,Y$4&gt;MESCLUN_BED_CAP,$A146+$B146+Y$4&gt;TOTAL_BEDS_AVAILABLE,($D146+Y$5)&gt;TOTAL_LABOR_HOURS_CAP,MAX(0,($D146+Y$5)-PERMANENT_FIELD_LABOR_HOURS)&gt;TEMP_HOURS_CAP),"",$C146+Y$6-MIN(($D146+Y$5),PERMANENT_FIELD_LABOR_HOURS)*PERMANENT_HOURLY_RATE-MAX(0,($D146+Y$5)-PERMANENT_FIELD_LABOR_HOURS)*TEMP_HOURLY_RATE-FIXED_SEASON_COST)</f>
        <v>25645.7273499461</v>
      </c>
      <c r="Z146" s="53" t="n">
        <f aca="false">IF(OR($A146&gt;TOMATO_BED_CAP,$B146&gt;CARROT_BED_CAP,Z$4&gt;MESCLUN_BED_CAP,$A146+$B146+Z$4&gt;TOTAL_BEDS_AVAILABLE,($D146+Z$5)&gt;TOTAL_LABOR_HOURS_CAP,MAX(0,($D146+Z$5)-PERMANENT_FIELD_LABOR_HOURS)&gt;TEMP_HOURS_CAP),"",$C146+Z$6-MIN(($D146+Z$5),PERMANENT_FIELD_LABOR_HOURS)*PERMANENT_HOURLY_RATE-MAX(0,($D146+Z$5)-PERMANENT_FIELD_LABOR_HOURS)*TEMP_HOURLY_RATE-FIXED_SEASON_COST)</f>
        <v>26229.2736642538</v>
      </c>
      <c r="AA146" s="53" t="n">
        <f aca="false">IF(OR($A146&gt;TOMATO_BED_CAP,$B146&gt;CARROT_BED_CAP,AA$4&gt;MESCLUN_BED_CAP,$A146+$B146+AA$4&gt;TOTAL_BEDS_AVAILABLE,($D146+AA$5)&gt;TOTAL_LABOR_HOURS_CAP,MAX(0,($D146+AA$5)-PERMANENT_FIELD_LABOR_HOURS)&gt;TEMP_HOURS_CAP),"",$C146+AA$6-MIN(($D146+AA$5),PERMANENT_FIELD_LABOR_HOURS)*PERMANENT_HOURLY_RATE-MAX(0,($D146+AA$5)-PERMANENT_FIELD_LABOR_HOURS)*TEMP_HOURLY_RATE-FIXED_SEASON_COST)</f>
        <v>26784.8452139228</v>
      </c>
      <c r="AB146" s="53" t="n">
        <f aca="false">IF(OR($A146&gt;TOMATO_BED_CAP,$B146&gt;CARROT_BED_CAP,AB$4&gt;MESCLUN_BED_CAP,$A146+$B146+AB$4&gt;TOTAL_BEDS_AVAILABLE,($D146+AB$5)&gt;TOTAL_LABOR_HOURS_CAP,MAX(0,($D146+AB$5)-PERMANENT_FIELD_LABOR_HOURS)&gt;TEMP_HOURS_CAP),"",$C146+AB$6-MIN(($D146+AB$5),PERMANENT_FIELD_LABOR_HOURS)*PERMANENT_HOURLY_RATE-MAX(0,($D146+AB$5)-PERMANENT_FIELD_LABOR_HOURS)*TEMP_HOURLY_RATE-FIXED_SEASON_COST)</f>
        <v>27311.9358257253</v>
      </c>
      <c r="AC146" s="53" t="n">
        <f aca="false">IF(OR($A146&gt;TOMATO_BED_CAP,$B146&gt;CARROT_BED_CAP,AC$4&gt;MESCLUN_BED_CAP,$A146+$B146+AC$4&gt;TOTAL_BEDS_AVAILABLE,($D146+AC$5)&gt;TOTAL_LABOR_HOURS_CAP,MAX(0,($D146+AC$5)-PERMANENT_FIELD_LABOR_HOURS)&gt;TEMP_HOURS_CAP),"",$C146+AC$6-MIN(($D146+AC$5),PERMANENT_FIELD_LABOR_HOURS)*PERMANENT_HOURLY_RATE-MAX(0,($D146+AC$5)-PERMANENT_FIELD_LABOR_HOURS)*TEMP_HOURLY_RATE-FIXED_SEASON_COST)</f>
        <v>27810.0310431602</v>
      </c>
      <c r="AD146" s="53" t="n">
        <f aca="false">IF(OR($A146&gt;TOMATO_BED_CAP,$B146&gt;CARROT_BED_CAP,AD$4&gt;MESCLUN_BED_CAP,$A146+$B146+AD$4&gt;TOTAL_BEDS_AVAILABLE,($D146+AD$5)&gt;TOTAL_LABOR_HOURS_CAP,MAX(0,($D146+AD$5)-PERMANENT_FIELD_LABOR_HOURS)&gt;TEMP_HOURS_CAP),"",$C146+AD$6-MIN(($D146+AD$5),PERMANENT_FIELD_LABOR_HOURS)*PERMANENT_HOURLY_RATE-MAX(0,($D146+AD$5)-PERMANENT_FIELD_LABOR_HOURS)*TEMP_HOURLY_RATE-FIXED_SEASON_COST)</f>
        <v>28278.6079984602</v>
      </c>
      <c r="AE146" s="53" t="n">
        <f aca="false">IF(OR($A146&gt;TOMATO_BED_CAP,$B146&gt;CARROT_BED_CAP,AE$4&gt;MESCLUN_BED_CAP,$A146+$B146+AE$4&gt;TOTAL_BEDS_AVAILABLE,($D146+AE$5)&gt;TOTAL_LABOR_HOURS_CAP,MAX(0,($D146+AE$5)-PERMANENT_FIELD_LABOR_HOURS)&gt;TEMP_HOURS_CAP),"",$C146+AE$6-MIN(($D146+AE$5),PERMANENT_FIELD_LABOR_HOURS)*PERMANENT_HOURLY_RATE-MAX(0,($D146+AE$5)-PERMANENT_FIELD_LABOR_HOURS)*TEMP_HOURLY_RATE-FIXED_SEASON_COST)</f>
        <v>28717.1352826941</v>
      </c>
      <c r="AF146" s="53" t="n">
        <f aca="false">IF(OR($A146&gt;TOMATO_BED_CAP,$B146&gt;CARROT_BED_CAP,AF$4&gt;MESCLUN_BED_CAP,$A146+$B146+AF$4&gt;TOTAL_BEDS_AVAILABLE,($D146+AF$5)&gt;TOTAL_LABOR_HOURS_CAP,MAX(0,($D146+AF$5)-PERMANENT_FIELD_LABOR_HOURS)&gt;TEMP_HOURS_CAP),"",$C146+AF$6-MIN(($D146+AF$5),PERMANENT_FIELD_LABOR_HOURS)*PERMANENT_HOURLY_RATE-MAX(0,($D146+AF$5)-PERMANENT_FIELD_LABOR_HOURS)*TEMP_HOURLY_RATE-FIXED_SEASON_COST)</f>
        <v>29125.072813936</v>
      </c>
      <c r="AG146" s="53" t="n">
        <f aca="false">IF(OR($A146&gt;TOMATO_BED_CAP,$B146&gt;CARROT_BED_CAP,AG$4&gt;MESCLUN_BED_CAP,$A146+$B146+AG$4&gt;TOTAL_BEDS_AVAILABLE,($D146+AG$5)&gt;TOTAL_LABOR_HOURS_CAP,MAX(0,($D146+AG$5)-PERMANENT_FIELD_LABOR_HOURS)&gt;TEMP_HOURS_CAP),"",$C146+AG$6-MIN(($D146+AG$5),PERMANENT_FIELD_LABOR_HOURS)*PERMANENT_HOURLY_RATE-MAX(0,($D146+AG$5)-PERMANENT_FIELD_LABOR_HOURS)*TEMP_HOURLY_RATE-FIXED_SEASON_COST)</f>
        <v>29501.8717034731</v>
      </c>
      <c r="AH146" s="53" t="n">
        <f aca="false">IF(OR($A146&gt;TOMATO_BED_CAP,$B146&gt;CARROT_BED_CAP,AH$4&gt;MESCLUN_BED_CAP,$A146+$B146+AH$4&gt;TOTAL_BEDS_AVAILABLE,($D146+AH$5)&gt;TOTAL_LABOR_HOURS_CAP,MAX(0,($D146+AH$5)-PERMANENT_FIELD_LABOR_HOURS)&gt;TEMP_HOURS_CAP),"",$C146+AH$6-MIN(($D146+AH$5),PERMANENT_FIELD_LABOR_HOURS)*PERMANENT_HOURLY_RATE-MAX(0,($D146+AH$5)-PERMANENT_FIELD_LABOR_HOURS)*TEMP_HOURLY_RATE-FIXED_SEASON_COST)</f>
        <v>29846.9741200233</v>
      </c>
      <c r="AI146" s="53" t="n">
        <f aca="false">IF(OR($A146&gt;TOMATO_BED_CAP,$B146&gt;CARROT_BED_CAP,AI$4&gt;MESCLUN_BED_CAP,$A146+$B146+AI$4&gt;TOTAL_BEDS_AVAILABLE,($D146+AI$5)&gt;TOTAL_LABOR_HOURS_CAP,MAX(0,($D146+AI$5)-PERMANENT_FIELD_LABOR_HOURS)&gt;TEMP_HOURS_CAP),"",$C146+AI$6-MIN(($D146+AI$5),PERMANENT_FIELD_LABOR_HOURS)*PERMANENT_HOURLY_RATE-MAX(0,($D146+AI$5)-PERMANENT_FIELD_LABOR_HOURS)*TEMP_HOURLY_RATE-FIXED_SEASON_COST)</f>
        <v>30159.8131519355</v>
      </c>
      <c r="AJ146" s="53" t="n">
        <f aca="false">IF(OR($A146&gt;TOMATO_BED_CAP,$B146&gt;CARROT_BED_CAP,AJ$4&gt;MESCLUN_BED_CAP,$A146+$B146+AJ$4&gt;TOTAL_BEDS_AVAILABLE,($D146+AJ$5)&gt;TOTAL_LABOR_HOURS_CAP,MAX(0,($D146+AJ$5)-PERMANENT_FIELD_LABOR_HOURS)&gt;TEMP_HOURS_CAP),"",$C146+AJ$6-MIN(($D146+AJ$5),PERMANENT_FIELD_LABOR_HOURS)*PERMANENT_HOURLY_RATE-MAX(0,($D146+AJ$5)-PERMANENT_FIELD_LABOR_HOURS)*TEMP_HOURLY_RATE-FIXED_SEASON_COST)</f>
        <v>30439.8126673413</v>
      </c>
    </row>
    <row r="147" customFormat="false" ht="15" hidden="false" customHeight="false" outlineLevel="0" collapsed="false">
      <c r="A147" s="21" t="n">
        <f aca="false">INT((ROW()-ROW($A$8))/(20+1))</f>
        <v>6</v>
      </c>
      <c r="B147" s="21" t="n">
        <f aca="false">MOD(ROW()-ROW($A$8),20+1)</f>
        <v>13</v>
      </c>
      <c r="C147" s="13" t="n">
        <f aca="false">A147*(TOMATO_REVENUE_PER_BED-TOMATO_FERTILIZER_PER_BED)+B147*(CARROT_REVENUE_PER_BED-CARROT_FERTILIZER_PER_BED)</f>
        <v>69022</v>
      </c>
      <c r="D147" s="14" t="n">
        <f aca="false">INDEX(TOMATO_SCHED_LABOR_HRS,A147+1)+INDEX(CARROT_SCHED_LABOR_HRS,B147+1)</f>
        <v>1494.04719976946</v>
      </c>
      <c r="E147" s="13" t="n">
        <f aca="false">IF(COUNT(F147:AJ147)=0,"",MAX(F147:AJ147))</f>
        <v>31166.1299068747</v>
      </c>
      <c r="F147" s="53" t="n">
        <f aca="false">IF(OR($A147&gt;TOMATO_BED_CAP,$B147&gt;CARROT_BED_CAP,F$4&gt;MESCLUN_BED_CAP,$A147+$B147+F$4&gt;TOTAL_BEDS_AVAILABLE,($D147+F$5)&gt;TOTAL_LABOR_HOURS_CAP,MAX(0,($D147+F$5)-PERMANENT_FIELD_LABOR_HOURS)&gt;TEMP_HOURS_CAP),"",$C147+F$6-MIN(($D147+F$5),PERMANENT_FIELD_LABOR_HOURS)*PERMANENT_HOURLY_RATE-MAX(0,($D147+F$5)-PERMANENT_FIELD_LABOR_HOURS)*TEMP_HOURLY_RATE-FIXED_SEASON_COST)</f>
        <v>10586.1406120022</v>
      </c>
      <c r="G147" s="53" t="n">
        <f aca="false">IF(OR($A147&gt;TOMATO_BED_CAP,$B147&gt;CARROT_BED_CAP,G$4&gt;MESCLUN_BED_CAP,$A147+$B147+G$4&gt;TOTAL_BEDS_AVAILABLE,($D147+G$5)&gt;TOTAL_LABOR_HOURS_CAP,MAX(0,($D147+G$5)-PERMANENT_FIELD_LABOR_HOURS)&gt;TEMP_HOURS_CAP),"",$C147+G$6-MIN(($D147+G$5),PERMANENT_FIELD_LABOR_HOURS)*PERMANENT_HOURLY_RATE-MAX(0,($D147+G$5)-PERMANENT_FIELD_LABOR_HOURS)*TEMP_HOURLY_RATE-FIXED_SEASON_COST)</f>
        <v>11615.1756120022</v>
      </c>
      <c r="H147" s="53" t="n">
        <f aca="false">IF(OR($A147&gt;TOMATO_BED_CAP,$B147&gt;CARROT_BED_CAP,H$4&gt;MESCLUN_BED_CAP,$A147+$B147+H$4&gt;TOTAL_BEDS_AVAILABLE,($D147+H$5)&gt;TOTAL_LABOR_HOURS_CAP,MAX(0,($D147+H$5)-PERMANENT_FIELD_LABOR_HOURS)&gt;TEMP_HOURS_CAP),"",$C147+H$6-MIN(($D147+H$5),PERMANENT_FIELD_LABOR_HOURS)*PERMANENT_HOURLY_RATE-MAX(0,($D147+H$5)-PERMANENT_FIELD_LABOR_HOURS)*TEMP_HOURLY_RATE-FIXED_SEASON_COST)</f>
        <v>12624.4364870022</v>
      </c>
      <c r="I147" s="53" t="n">
        <f aca="false">IF(OR($A147&gt;TOMATO_BED_CAP,$B147&gt;CARROT_BED_CAP,I$4&gt;MESCLUN_BED_CAP,$A147+$B147+I$4&gt;TOTAL_BEDS_AVAILABLE,($D147+I$5)&gt;TOTAL_LABOR_HOURS_CAP,MAX(0,($D147+I$5)-PERMANENT_FIELD_LABOR_HOURS)&gt;TEMP_HOURS_CAP),"",$C147+I$6-MIN(($D147+I$5),PERMANENT_FIELD_LABOR_HOURS)*PERMANENT_HOURLY_RATE-MAX(0,($D147+I$5)-PERMANENT_FIELD_LABOR_HOURS)*TEMP_HOURLY_RATE-FIXED_SEASON_COST)</f>
        <v>13613.5524721584</v>
      </c>
      <c r="J147" s="53" t="n">
        <f aca="false">IF(OR($A147&gt;TOMATO_BED_CAP,$B147&gt;CARROT_BED_CAP,J$4&gt;MESCLUN_BED_CAP,$A147+$B147+J$4&gt;TOTAL_BEDS_AVAILABLE,($D147+J$5)&gt;TOTAL_LABOR_HOURS_CAP,MAX(0,($D147+J$5)-PERMANENT_FIELD_LABOR_HOURS)&gt;TEMP_HOURS_CAP),"",$C147+J$6-MIN(($D147+J$5),PERMANENT_FIELD_LABOR_HOURS)*PERMANENT_HOURLY_RATE-MAX(0,($D147+J$5)-PERMANENT_FIELD_LABOR_HOURS)*TEMP_HOURLY_RATE-FIXED_SEASON_COST)</f>
        <v>14582.1466232131</v>
      </c>
      <c r="K147" s="53" t="n">
        <f aca="false">IF(OR($A147&gt;TOMATO_BED_CAP,$B147&gt;CARROT_BED_CAP,K$4&gt;MESCLUN_BED_CAP,$A147+$B147+K$4&gt;TOTAL_BEDS_AVAILABLE,($D147+K$5)&gt;TOTAL_LABOR_HOURS_CAP,MAX(0,($D147+K$5)-PERMANENT_FIELD_LABOR_HOURS)&gt;TEMP_HOURS_CAP),"",$C147+K$6-MIN(($D147+K$5),PERMANENT_FIELD_LABOR_HOURS)*PERMANENT_HOURLY_RATE-MAX(0,($D147+K$5)-PERMANENT_FIELD_LABOR_HOURS)*TEMP_HOURLY_RATE-FIXED_SEASON_COST)</f>
        <v>15529.835719941</v>
      </c>
      <c r="L147" s="53" t="n">
        <f aca="false">IF(OR($A147&gt;TOMATO_BED_CAP,$B147&gt;CARROT_BED_CAP,L$4&gt;MESCLUN_BED_CAP,$A147+$B147+L$4&gt;TOTAL_BEDS_AVAILABLE,($D147+L$5)&gt;TOTAL_LABOR_HOURS_CAP,MAX(0,($D147+L$5)-PERMANENT_FIELD_LABOR_HOURS)&gt;TEMP_HOURS_CAP),"",$C147+L$6-MIN(($D147+L$5),PERMANENT_FIELD_LABOR_HOURS)*PERMANENT_HOURLY_RATE-MAX(0,($D147+L$5)-PERMANENT_FIELD_LABOR_HOURS)*TEMP_HOURLY_RATE-FIXED_SEASON_COST)</f>
        <v>16456.2301681479</v>
      </c>
      <c r="M147" s="53" t="n">
        <f aca="false">IF(OR($A147&gt;TOMATO_BED_CAP,$B147&gt;CARROT_BED_CAP,M$4&gt;MESCLUN_BED_CAP,$A147+$B147+M$4&gt;TOTAL_BEDS_AVAILABLE,($D147+M$5)&gt;TOTAL_LABOR_HOURS_CAP,MAX(0,($D147+M$5)-PERMANENT_FIELD_LABOR_HOURS)&gt;TEMP_HOURS_CAP),"",$C147+M$6-MIN(($D147+M$5),PERMANENT_FIELD_LABOR_HOURS)*PERMANENT_HOURLY_RATE-MAX(0,($D147+M$5)-PERMANENT_FIELD_LABOR_HOURS)*TEMP_HOURLY_RATE-FIXED_SEASON_COST)</f>
        <v>17360.9339001993</v>
      </c>
      <c r="N147" s="53" t="n">
        <f aca="false">IF(OR($A147&gt;TOMATO_BED_CAP,$B147&gt;CARROT_BED_CAP,N$4&gt;MESCLUN_BED_CAP,$A147+$B147+N$4&gt;TOTAL_BEDS_AVAILABLE,($D147+N$5)&gt;TOTAL_LABOR_HOURS_CAP,MAX(0,($D147+N$5)-PERMANENT_FIELD_LABOR_HOURS)&gt;TEMP_HOURS_CAP),"",$C147+N$6-MIN(($D147+N$5),PERMANENT_FIELD_LABOR_HOURS)*PERMANENT_HOURLY_RATE-MAX(0,($D147+N$5)-PERMANENT_FIELD_LABOR_HOURS)*TEMP_HOURLY_RATE-FIXED_SEASON_COST)</f>
        <v>18243.5442740588</v>
      </c>
      <c r="O147" s="53" t="n">
        <f aca="false">IF(OR($A147&gt;TOMATO_BED_CAP,$B147&gt;CARROT_BED_CAP,O$4&gt;MESCLUN_BED_CAP,$A147+$B147+O$4&gt;TOTAL_BEDS_AVAILABLE,($D147+O$5)&gt;TOTAL_LABOR_HOURS_CAP,MAX(0,($D147+O$5)-PERMANENT_FIELD_LABOR_HOURS)&gt;TEMP_HOURS_CAP),"",$C147+O$6-MIN(($D147+O$5),PERMANENT_FIELD_LABOR_HOURS)*PERMANENT_HOURLY_RATE-MAX(0,($D147+O$5)-PERMANENT_FIELD_LABOR_HOURS)*TEMP_HOURLY_RATE-FIXED_SEASON_COST)</f>
        <v>19103.6519708136</v>
      </c>
      <c r="P147" s="53" t="n">
        <f aca="false">IF(OR($A147&gt;TOMATO_BED_CAP,$B147&gt;CARROT_BED_CAP,P$4&gt;MESCLUN_BED_CAP,$A147+$B147+P$4&gt;TOTAL_BEDS_AVAILABLE,($D147+P$5)&gt;TOTAL_LABOR_HOURS_CAP,MAX(0,($D147+P$5)-PERMANENT_FIELD_LABOR_HOURS)&gt;TEMP_HOURS_CAP),"",$C147+P$6-MIN(($D147+P$5),PERMANENT_FIELD_LABOR_HOURS)*PERMANENT_HOURLY_RATE-MAX(0,($D147+P$5)-PERMANENT_FIELD_LABOR_HOURS)*TEMP_HOURLY_RATE-FIXED_SEASON_COST)</f>
        <v>19940.840890665</v>
      </c>
      <c r="Q147" s="53" t="n">
        <f aca="false">IF(OR($A147&gt;TOMATO_BED_CAP,$B147&gt;CARROT_BED_CAP,Q$4&gt;MESCLUN_BED_CAP,$A147+$B147+Q$4&gt;TOTAL_BEDS_AVAILABLE,($D147+Q$5)&gt;TOTAL_LABOR_HOURS_CAP,MAX(0,($D147+Q$5)-PERMANENT_FIELD_LABOR_HOURS)&gt;TEMP_HOURS_CAP),"",$C147+Q$6-MIN(($D147+Q$5),PERMANENT_FIELD_LABOR_HOURS)*PERMANENT_HOURLY_RATE-MAX(0,($D147+Q$5)-PERMANENT_FIELD_LABOR_HOURS)*TEMP_HOURLY_RATE-FIXED_SEASON_COST)</f>
        <v>20754.6880473629</v>
      </c>
      <c r="R147" s="53" t="n">
        <f aca="false">IF(OR($A147&gt;TOMATO_BED_CAP,$B147&gt;CARROT_BED_CAP,R$4&gt;MESCLUN_BED_CAP,$A147+$B147+R$4&gt;TOTAL_BEDS_AVAILABLE,($D147+R$5)&gt;TOTAL_LABOR_HOURS_CAP,MAX(0,($D147+R$5)-PERMANENT_FIELD_LABOR_HOURS)&gt;TEMP_HOURS_CAP),"",$C147+R$6-MIN(($D147+R$5),PERMANENT_FIELD_LABOR_HOURS)*PERMANENT_HOURLY_RATE-MAX(0,($D147+R$5)-PERMANENT_FIELD_LABOR_HOURS)*TEMP_HOURLY_RATE-FIXED_SEASON_COST)</f>
        <v>21544.7634610597</v>
      </c>
      <c r="S147" s="53" t="n">
        <f aca="false">IF(OR($A147&gt;TOMATO_BED_CAP,$B147&gt;CARROT_BED_CAP,S$4&gt;MESCLUN_BED_CAP,$A147+$B147+S$4&gt;TOTAL_BEDS_AVAILABLE,($D147+S$5)&gt;TOTAL_LABOR_HOURS_CAP,MAX(0,($D147+S$5)-PERMANENT_FIELD_LABOR_HOURS)&gt;TEMP_HOURS_CAP),"",$C147+S$6-MIN(($D147+S$5),PERMANENT_FIELD_LABOR_HOURS)*PERMANENT_HOURLY_RATE-MAX(0,($D147+S$5)-PERMANENT_FIELD_LABOR_HOURS)*TEMP_HOURLY_RATE-FIXED_SEASON_COST)</f>
        <v>22310.6300495621</v>
      </c>
      <c r="T147" s="53" t="n">
        <f aca="false">IF(OR($A147&gt;TOMATO_BED_CAP,$B147&gt;CARROT_BED_CAP,T$4&gt;MESCLUN_BED_CAP,$A147+$B147+T$4&gt;TOTAL_BEDS_AVAILABLE,($D147+T$5)&gt;TOTAL_LABOR_HOURS_CAP,MAX(0,($D147+T$5)-PERMANENT_FIELD_LABOR_HOURS)&gt;TEMP_HOURS_CAP),"",$C147+T$6-MIN(($D147+T$5),PERMANENT_FIELD_LABOR_HOURS)*PERMANENT_HOURLY_RATE-MAX(0,($D147+T$5)-PERMANENT_FIELD_LABOR_HOURS)*TEMP_HOURLY_RATE-FIXED_SEASON_COST)</f>
        <v>23051.843517957</v>
      </c>
      <c r="U147" s="53" t="n">
        <f aca="false">IF(OR($A147&gt;TOMATO_BED_CAP,$B147&gt;CARROT_BED_CAP,U$4&gt;MESCLUN_BED_CAP,$A147+$B147+U$4&gt;TOTAL_BEDS_AVAILABLE,($D147+U$5)&gt;TOTAL_LABOR_HOURS_CAP,MAX(0,($D147+U$5)-PERMANENT_FIELD_LABOR_HOURS)&gt;TEMP_HOURS_CAP),"",$C147+U$6-MIN(($D147+U$5),PERMANENT_FIELD_LABOR_HOURS)*PERMANENT_HOURLY_RATE-MAX(0,($D147+U$5)-PERMANENT_FIELD_LABOR_HOURS)*TEMP_HOURLY_RATE-FIXED_SEASON_COST)</f>
        <v>23767.9522465871</v>
      </c>
      <c r="V147" s="53" t="n">
        <f aca="false">IF(OR($A147&gt;TOMATO_BED_CAP,$B147&gt;CARROT_BED_CAP,V$4&gt;MESCLUN_BED_CAP,$A147+$B147+V$4&gt;TOTAL_BEDS_AVAILABLE,($D147+V$5)&gt;TOTAL_LABOR_HOURS_CAP,MAX(0,($D147+V$5)-PERMANENT_FIELD_LABOR_HOURS)&gt;TEMP_HOURS_CAP),"",$C147+V$6-MIN(($D147+V$5),PERMANENT_FIELD_LABOR_HOURS)*PERMANENT_HOURLY_RATE-MAX(0,($D147+V$5)-PERMANENT_FIELD_LABOR_HOURS)*TEMP_HOURLY_RATE-FIXED_SEASON_COST)</f>
        <v>24458.4971773539</v>
      </c>
      <c r="W147" s="53" t="n">
        <f aca="false">IF(OR($A147&gt;TOMATO_BED_CAP,$B147&gt;CARROT_BED_CAP,W$4&gt;MESCLUN_BED_CAP,$A147+$B147+W$4&gt;TOTAL_BEDS_AVAILABLE,($D147+W$5)&gt;TOTAL_LABOR_HOURS_CAP,MAX(0,($D147+W$5)-PERMANENT_FIELD_LABOR_HOURS)&gt;TEMP_HOURS_CAP),"",$C147+W$6-MIN(($D147+W$5),PERMANENT_FIELD_LABOR_HOURS)*PERMANENT_HOURLY_RATE-MAX(0,($D147+W$5)-PERMANENT_FIELD_LABOR_HOURS)*TEMP_HOURLY_RATE-FIXED_SEASON_COST)</f>
        <v>25123.011698322</v>
      </c>
      <c r="X147" s="53" t="n">
        <f aca="false">IF(OR($A147&gt;TOMATO_BED_CAP,$B147&gt;CARROT_BED_CAP,X$4&gt;MESCLUN_BED_CAP,$A147+$B147+X$4&gt;TOTAL_BEDS_AVAILABLE,($D147+X$5)&gt;TOTAL_LABOR_HOURS_CAP,MAX(0,($D147+X$5)-PERMANENT_FIELD_LABOR_HOURS)&gt;TEMP_HOURS_CAP),"",$C147+X$6-MIN(($D147+X$5),PERMANENT_FIELD_LABOR_HOURS)*PERMANENT_HOURLY_RATE-MAX(0,($D147+X$5)-PERMANENT_FIELD_LABOR_HOURS)*TEMP_HOURLY_RATE-FIXED_SEASON_COST)</f>
        <v>25761.0215266009</v>
      </c>
      <c r="Y147" s="53" t="n">
        <f aca="false">IF(OR($A147&gt;TOMATO_BED_CAP,$B147&gt;CARROT_BED_CAP,Y$4&gt;MESCLUN_BED_CAP,$A147+$B147+Y$4&gt;TOTAL_BEDS_AVAILABLE,($D147+Y$5)&gt;TOTAL_LABOR_HOURS_CAP,MAX(0,($D147+Y$5)-PERMANENT_FIELD_LABOR_HOURS)&gt;TEMP_HOURS_CAP),"",$C147+Y$6-MIN(($D147+Y$5),PERMANENT_FIELD_LABOR_HOURS)*PERMANENT_HOURLY_RATE-MAX(0,($D147+Y$5)-PERMANENT_FIELD_LABOR_HOURS)*TEMP_HOURLY_RATE-FIXED_SEASON_COST)</f>
        <v>26372.0445894795</v>
      </c>
      <c r="Z147" s="53" t="n">
        <f aca="false">IF(OR($A147&gt;TOMATO_BED_CAP,$B147&gt;CARROT_BED_CAP,Z$4&gt;MESCLUN_BED_CAP,$A147+$B147+Z$4&gt;TOTAL_BEDS_AVAILABLE,($D147+Z$5)&gt;TOTAL_LABOR_HOURS_CAP,MAX(0,($D147+Z$5)-PERMANENT_FIELD_LABOR_HOURS)&gt;TEMP_HOURS_CAP),"",$C147+Z$6-MIN(($D147+Z$5),PERMANENT_FIELD_LABOR_HOURS)*PERMANENT_HOURLY_RATE-MAX(0,($D147+Z$5)-PERMANENT_FIELD_LABOR_HOURS)*TEMP_HOURLY_RATE-FIXED_SEASON_COST)</f>
        <v>26955.5909037873</v>
      </c>
      <c r="AA147" s="53" t="n">
        <f aca="false">IF(OR($A147&gt;TOMATO_BED_CAP,$B147&gt;CARROT_BED_CAP,AA$4&gt;MESCLUN_BED_CAP,$A147+$B147+AA$4&gt;TOTAL_BEDS_AVAILABLE,($D147+AA$5)&gt;TOTAL_LABOR_HOURS_CAP,MAX(0,($D147+AA$5)-PERMANENT_FIELD_LABOR_HOURS)&gt;TEMP_HOURS_CAP),"",$C147+AA$6-MIN(($D147+AA$5),PERMANENT_FIELD_LABOR_HOURS)*PERMANENT_HOURLY_RATE-MAX(0,($D147+AA$5)-PERMANENT_FIELD_LABOR_HOURS)*TEMP_HOURLY_RATE-FIXED_SEASON_COST)</f>
        <v>27511.1624534562</v>
      </c>
      <c r="AB147" s="53" t="n">
        <f aca="false">IF(OR($A147&gt;TOMATO_BED_CAP,$B147&gt;CARROT_BED_CAP,AB$4&gt;MESCLUN_BED_CAP,$A147+$B147+AB$4&gt;TOTAL_BEDS_AVAILABLE,($D147+AB$5)&gt;TOTAL_LABOR_HOURS_CAP,MAX(0,($D147+AB$5)-PERMANENT_FIELD_LABOR_HOURS)&gt;TEMP_HOURS_CAP),"",$C147+AB$6-MIN(($D147+AB$5),PERMANENT_FIELD_LABOR_HOURS)*PERMANENT_HOURLY_RATE-MAX(0,($D147+AB$5)-PERMANENT_FIELD_LABOR_HOURS)*TEMP_HOURLY_RATE-FIXED_SEASON_COST)</f>
        <v>28038.2530652588</v>
      </c>
      <c r="AC147" s="53" t="n">
        <f aca="false">IF(OR($A147&gt;TOMATO_BED_CAP,$B147&gt;CARROT_BED_CAP,AC$4&gt;MESCLUN_BED_CAP,$A147+$B147+AC$4&gt;TOTAL_BEDS_AVAILABLE,($D147+AC$5)&gt;TOTAL_LABOR_HOURS_CAP,MAX(0,($D147+AC$5)-PERMANENT_FIELD_LABOR_HOURS)&gt;TEMP_HOURS_CAP),"",$C147+AC$6-MIN(($D147+AC$5),PERMANENT_FIELD_LABOR_HOURS)*PERMANENT_HOURLY_RATE-MAX(0,($D147+AC$5)-PERMANENT_FIELD_LABOR_HOURS)*TEMP_HOURLY_RATE-FIXED_SEASON_COST)</f>
        <v>28536.3482826937</v>
      </c>
      <c r="AD147" s="53" t="n">
        <f aca="false">IF(OR($A147&gt;TOMATO_BED_CAP,$B147&gt;CARROT_BED_CAP,AD$4&gt;MESCLUN_BED_CAP,$A147+$B147+AD$4&gt;TOTAL_BEDS_AVAILABLE,($D147+AD$5)&gt;TOTAL_LABOR_HOURS_CAP,MAX(0,($D147+AD$5)-PERMANENT_FIELD_LABOR_HOURS)&gt;TEMP_HOURS_CAP),"",$C147+AD$6-MIN(($D147+AD$5),PERMANENT_FIELD_LABOR_HOURS)*PERMANENT_HOURLY_RATE-MAX(0,($D147+AD$5)-PERMANENT_FIELD_LABOR_HOURS)*TEMP_HOURLY_RATE-FIXED_SEASON_COST)</f>
        <v>29004.9252379936</v>
      </c>
      <c r="AE147" s="53" t="n">
        <f aca="false">IF(OR($A147&gt;TOMATO_BED_CAP,$B147&gt;CARROT_BED_CAP,AE$4&gt;MESCLUN_BED_CAP,$A147+$B147+AE$4&gt;TOTAL_BEDS_AVAILABLE,($D147+AE$5)&gt;TOTAL_LABOR_HOURS_CAP,MAX(0,($D147+AE$5)-PERMANENT_FIELD_LABOR_HOURS)&gt;TEMP_HOURS_CAP),"",$C147+AE$6-MIN(($D147+AE$5),PERMANENT_FIELD_LABOR_HOURS)*PERMANENT_HOURLY_RATE-MAX(0,($D147+AE$5)-PERMANENT_FIELD_LABOR_HOURS)*TEMP_HOURLY_RATE-FIXED_SEASON_COST)</f>
        <v>29443.4525222275</v>
      </c>
      <c r="AF147" s="53" t="n">
        <f aca="false">IF(OR($A147&gt;TOMATO_BED_CAP,$B147&gt;CARROT_BED_CAP,AF$4&gt;MESCLUN_BED_CAP,$A147+$B147+AF$4&gt;TOTAL_BEDS_AVAILABLE,($D147+AF$5)&gt;TOTAL_LABOR_HOURS_CAP,MAX(0,($D147+AF$5)-PERMANENT_FIELD_LABOR_HOURS)&gt;TEMP_HOURS_CAP),"",$C147+AF$6-MIN(($D147+AF$5),PERMANENT_FIELD_LABOR_HOURS)*PERMANENT_HOURLY_RATE-MAX(0,($D147+AF$5)-PERMANENT_FIELD_LABOR_HOURS)*TEMP_HOURLY_RATE-FIXED_SEASON_COST)</f>
        <v>29851.3900534695</v>
      </c>
      <c r="AG147" s="53" t="n">
        <f aca="false">IF(OR($A147&gt;TOMATO_BED_CAP,$B147&gt;CARROT_BED_CAP,AG$4&gt;MESCLUN_BED_CAP,$A147+$B147+AG$4&gt;TOTAL_BEDS_AVAILABLE,($D147+AG$5)&gt;TOTAL_LABOR_HOURS_CAP,MAX(0,($D147+AG$5)-PERMANENT_FIELD_LABOR_HOURS)&gt;TEMP_HOURS_CAP),"",$C147+AG$6-MIN(($D147+AG$5),PERMANENT_FIELD_LABOR_HOURS)*PERMANENT_HOURLY_RATE-MAX(0,($D147+AG$5)-PERMANENT_FIELD_LABOR_HOURS)*TEMP_HOURLY_RATE-FIXED_SEASON_COST)</f>
        <v>30228.1889430065</v>
      </c>
      <c r="AH147" s="53" t="n">
        <f aca="false">IF(OR($A147&gt;TOMATO_BED_CAP,$B147&gt;CARROT_BED_CAP,AH$4&gt;MESCLUN_BED_CAP,$A147+$B147+AH$4&gt;TOTAL_BEDS_AVAILABLE,($D147+AH$5)&gt;TOTAL_LABOR_HOURS_CAP,MAX(0,($D147+AH$5)-PERMANENT_FIELD_LABOR_HOURS)&gt;TEMP_HOURS_CAP),"",$C147+AH$6-MIN(($D147+AH$5),PERMANENT_FIELD_LABOR_HOURS)*PERMANENT_HOURLY_RATE-MAX(0,($D147+AH$5)-PERMANENT_FIELD_LABOR_HOURS)*TEMP_HOURLY_RATE-FIXED_SEASON_COST)</f>
        <v>30573.2913595567</v>
      </c>
      <c r="AI147" s="53" t="n">
        <f aca="false">IF(OR($A147&gt;TOMATO_BED_CAP,$B147&gt;CARROT_BED_CAP,AI$4&gt;MESCLUN_BED_CAP,$A147+$B147+AI$4&gt;TOTAL_BEDS_AVAILABLE,($D147+AI$5)&gt;TOTAL_LABOR_HOURS_CAP,MAX(0,($D147+AI$5)-PERMANENT_FIELD_LABOR_HOURS)&gt;TEMP_HOURS_CAP),"",$C147+AI$6-MIN(($D147+AI$5),PERMANENT_FIELD_LABOR_HOURS)*PERMANENT_HOURLY_RATE-MAX(0,($D147+AI$5)-PERMANENT_FIELD_LABOR_HOURS)*TEMP_HOURLY_RATE-FIXED_SEASON_COST)</f>
        <v>30886.130391469</v>
      </c>
      <c r="AJ147" s="53" t="n">
        <f aca="false">IF(OR($A147&gt;TOMATO_BED_CAP,$B147&gt;CARROT_BED_CAP,AJ$4&gt;MESCLUN_BED_CAP,$A147+$B147+AJ$4&gt;TOTAL_BEDS_AVAILABLE,($D147+AJ$5)&gt;TOTAL_LABOR_HOURS_CAP,MAX(0,($D147+AJ$5)-PERMANENT_FIELD_LABOR_HOURS)&gt;TEMP_HOURS_CAP),"",$C147+AJ$6-MIN(($D147+AJ$5),PERMANENT_FIELD_LABOR_HOURS)*PERMANENT_HOURLY_RATE-MAX(0,($D147+AJ$5)-PERMANENT_FIELD_LABOR_HOURS)*TEMP_HOURLY_RATE-FIXED_SEASON_COST)</f>
        <v>31166.1299068747</v>
      </c>
    </row>
    <row r="148" customFormat="false" ht="15" hidden="false" customHeight="false" outlineLevel="0" collapsed="false">
      <c r="A148" s="21" t="n">
        <f aca="false">INT((ROW()-ROW($A$8))/(20+1))</f>
        <v>6</v>
      </c>
      <c r="B148" s="21" t="n">
        <f aca="false">MOD(ROW()-ROW($A$8),20+1)</f>
        <v>14</v>
      </c>
      <c r="C148" s="13" t="n">
        <f aca="false">A148*(TOMATO_REVENUE_PER_BED-TOMATO_FERTILIZER_PER_BED)+B148*(CARROT_REVENUE_PER_BED-CARROT_FERTILIZER_PER_BED)</f>
        <v>70676</v>
      </c>
      <c r="D148" s="14" t="n">
        <f aca="false">INDEX(TOMATO_SCHED_LABOR_HRS,A148+1)+INDEX(CARROT_SCHED_LABOR_HRS,B148+1)</f>
        <v>1549.85456520706</v>
      </c>
      <c r="E148" s="13" t="n">
        <f aca="false">IF(COUNT(F148:AJ148)=0,"",MAX(F148:AJ148))</f>
        <v>31851.314042878</v>
      </c>
      <c r="F148" s="53" t="n">
        <f aca="false">IF(OR($A148&gt;TOMATO_BED_CAP,$B148&gt;CARROT_BED_CAP,F$4&gt;MESCLUN_BED_CAP,$A148+$B148+F$4&gt;TOTAL_BEDS_AVAILABLE,($D148+F$5)&gt;TOTAL_LABOR_HOURS_CAP,MAX(0,($D148+F$5)-PERMANENT_FIELD_LABOR_HOURS)&gt;TEMP_HOURS_CAP),"",$C148+F$6-MIN(($D148+F$5),PERMANENT_FIELD_LABOR_HOURS)*PERMANENT_HOURLY_RATE-MAX(0,($D148+F$5)-PERMANENT_FIELD_LABOR_HOURS)*TEMP_HOURLY_RATE-FIXED_SEASON_COST)</f>
        <v>11271.3247480055</v>
      </c>
      <c r="G148" s="53" t="n">
        <f aca="false">IF(OR($A148&gt;TOMATO_BED_CAP,$B148&gt;CARROT_BED_CAP,G$4&gt;MESCLUN_BED_CAP,$A148+$B148+G$4&gt;TOTAL_BEDS_AVAILABLE,($D148+G$5)&gt;TOTAL_LABOR_HOURS_CAP,MAX(0,($D148+G$5)-PERMANENT_FIELD_LABOR_HOURS)&gt;TEMP_HOURS_CAP),"",$C148+G$6-MIN(($D148+G$5),PERMANENT_FIELD_LABOR_HOURS)*PERMANENT_HOURLY_RATE-MAX(0,($D148+G$5)-PERMANENT_FIELD_LABOR_HOURS)*TEMP_HOURLY_RATE-FIXED_SEASON_COST)</f>
        <v>12300.3597480055</v>
      </c>
      <c r="H148" s="53" t="n">
        <f aca="false">IF(OR($A148&gt;TOMATO_BED_CAP,$B148&gt;CARROT_BED_CAP,H$4&gt;MESCLUN_BED_CAP,$A148+$B148+H$4&gt;TOTAL_BEDS_AVAILABLE,($D148+H$5)&gt;TOTAL_LABOR_HOURS_CAP,MAX(0,($D148+H$5)-PERMANENT_FIELD_LABOR_HOURS)&gt;TEMP_HOURS_CAP),"",$C148+H$6-MIN(($D148+H$5),PERMANENT_FIELD_LABOR_HOURS)*PERMANENT_HOURLY_RATE-MAX(0,($D148+H$5)-PERMANENT_FIELD_LABOR_HOURS)*TEMP_HOURLY_RATE-FIXED_SEASON_COST)</f>
        <v>13309.6206230055</v>
      </c>
      <c r="I148" s="53" t="n">
        <f aca="false">IF(OR($A148&gt;TOMATO_BED_CAP,$B148&gt;CARROT_BED_CAP,I$4&gt;MESCLUN_BED_CAP,$A148+$B148+I$4&gt;TOTAL_BEDS_AVAILABLE,($D148+I$5)&gt;TOTAL_LABOR_HOURS_CAP,MAX(0,($D148+I$5)-PERMANENT_FIELD_LABOR_HOURS)&gt;TEMP_HOURS_CAP),"",$C148+I$6-MIN(($D148+I$5),PERMANENT_FIELD_LABOR_HOURS)*PERMANENT_HOURLY_RATE-MAX(0,($D148+I$5)-PERMANENT_FIELD_LABOR_HOURS)*TEMP_HOURLY_RATE-FIXED_SEASON_COST)</f>
        <v>14298.7366081617</v>
      </c>
      <c r="J148" s="53" t="n">
        <f aca="false">IF(OR($A148&gt;TOMATO_BED_CAP,$B148&gt;CARROT_BED_CAP,J$4&gt;MESCLUN_BED_CAP,$A148+$B148+J$4&gt;TOTAL_BEDS_AVAILABLE,($D148+J$5)&gt;TOTAL_LABOR_HOURS_CAP,MAX(0,($D148+J$5)-PERMANENT_FIELD_LABOR_HOURS)&gt;TEMP_HOURS_CAP),"",$C148+J$6-MIN(($D148+J$5),PERMANENT_FIELD_LABOR_HOURS)*PERMANENT_HOURLY_RATE-MAX(0,($D148+J$5)-PERMANENT_FIELD_LABOR_HOURS)*TEMP_HOURLY_RATE-FIXED_SEASON_COST)</f>
        <v>15267.3307592164</v>
      </c>
      <c r="K148" s="53" t="n">
        <f aca="false">IF(OR($A148&gt;TOMATO_BED_CAP,$B148&gt;CARROT_BED_CAP,K$4&gt;MESCLUN_BED_CAP,$A148+$B148+K$4&gt;TOTAL_BEDS_AVAILABLE,($D148+K$5)&gt;TOTAL_LABOR_HOURS_CAP,MAX(0,($D148+K$5)-PERMANENT_FIELD_LABOR_HOURS)&gt;TEMP_HOURS_CAP),"",$C148+K$6-MIN(($D148+K$5),PERMANENT_FIELD_LABOR_HOURS)*PERMANENT_HOURLY_RATE-MAX(0,($D148+K$5)-PERMANENT_FIELD_LABOR_HOURS)*TEMP_HOURLY_RATE-FIXED_SEASON_COST)</f>
        <v>16215.0198559443</v>
      </c>
      <c r="L148" s="53" t="n">
        <f aca="false">IF(OR($A148&gt;TOMATO_BED_CAP,$B148&gt;CARROT_BED_CAP,L$4&gt;MESCLUN_BED_CAP,$A148+$B148+L$4&gt;TOTAL_BEDS_AVAILABLE,($D148+L$5)&gt;TOTAL_LABOR_HOURS_CAP,MAX(0,($D148+L$5)-PERMANENT_FIELD_LABOR_HOURS)&gt;TEMP_HOURS_CAP),"",$C148+L$6-MIN(($D148+L$5),PERMANENT_FIELD_LABOR_HOURS)*PERMANENT_HOURLY_RATE-MAX(0,($D148+L$5)-PERMANENT_FIELD_LABOR_HOURS)*TEMP_HOURLY_RATE-FIXED_SEASON_COST)</f>
        <v>17141.4143041512</v>
      </c>
      <c r="M148" s="53" t="n">
        <f aca="false">IF(OR($A148&gt;TOMATO_BED_CAP,$B148&gt;CARROT_BED_CAP,M$4&gt;MESCLUN_BED_CAP,$A148+$B148+M$4&gt;TOTAL_BEDS_AVAILABLE,($D148+M$5)&gt;TOTAL_LABOR_HOURS_CAP,MAX(0,($D148+M$5)-PERMANENT_FIELD_LABOR_HOURS)&gt;TEMP_HOURS_CAP),"",$C148+M$6-MIN(($D148+M$5),PERMANENT_FIELD_LABOR_HOURS)*PERMANENT_HOURLY_RATE-MAX(0,($D148+M$5)-PERMANENT_FIELD_LABOR_HOURS)*TEMP_HOURLY_RATE-FIXED_SEASON_COST)</f>
        <v>18046.1180362026</v>
      </c>
      <c r="N148" s="53" t="n">
        <f aca="false">IF(OR($A148&gt;TOMATO_BED_CAP,$B148&gt;CARROT_BED_CAP,N$4&gt;MESCLUN_BED_CAP,$A148+$B148+N$4&gt;TOTAL_BEDS_AVAILABLE,($D148+N$5)&gt;TOTAL_LABOR_HOURS_CAP,MAX(0,($D148+N$5)-PERMANENT_FIELD_LABOR_HOURS)&gt;TEMP_HOURS_CAP),"",$C148+N$6-MIN(($D148+N$5),PERMANENT_FIELD_LABOR_HOURS)*PERMANENT_HOURLY_RATE-MAX(0,($D148+N$5)-PERMANENT_FIELD_LABOR_HOURS)*TEMP_HOURLY_RATE-FIXED_SEASON_COST)</f>
        <v>18928.7284100621</v>
      </c>
      <c r="O148" s="53" t="n">
        <f aca="false">IF(OR($A148&gt;TOMATO_BED_CAP,$B148&gt;CARROT_BED_CAP,O$4&gt;MESCLUN_BED_CAP,$A148+$B148+O$4&gt;TOTAL_BEDS_AVAILABLE,($D148+O$5)&gt;TOTAL_LABOR_HOURS_CAP,MAX(0,($D148+O$5)-PERMANENT_FIELD_LABOR_HOURS)&gt;TEMP_HOURS_CAP),"",$C148+O$6-MIN(($D148+O$5),PERMANENT_FIELD_LABOR_HOURS)*PERMANENT_HOURLY_RATE-MAX(0,($D148+O$5)-PERMANENT_FIELD_LABOR_HOURS)*TEMP_HOURLY_RATE-FIXED_SEASON_COST)</f>
        <v>19788.8361068169</v>
      </c>
      <c r="P148" s="53" t="n">
        <f aca="false">IF(OR($A148&gt;TOMATO_BED_CAP,$B148&gt;CARROT_BED_CAP,P$4&gt;MESCLUN_BED_CAP,$A148+$B148+P$4&gt;TOTAL_BEDS_AVAILABLE,($D148+P$5)&gt;TOTAL_LABOR_HOURS_CAP,MAX(0,($D148+P$5)-PERMANENT_FIELD_LABOR_HOURS)&gt;TEMP_HOURS_CAP),"",$C148+P$6-MIN(($D148+P$5),PERMANENT_FIELD_LABOR_HOURS)*PERMANENT_HOURLY_RATE-MAX(0,($D148+P$5)-PERMANENT_FIELD_LABOR_HOURS)*TEMP_HOURLY_RATE-FIXED_SEASON_COST)</f>
        <v>20626.0250266683</v>
      </c>
      <c r="Q148" s="53" t="n">
        <f aca="false">IF(OR($A148&gt;TOMATO_BED_CAP,$B148&gt;CARROT_BED_CAP,Q$4&gt;MESCLUN_BED_CAP,$A148+$B148+Q$4&gt;TOTAL_BEDS_AVAILABLE,($D148+Q$5)&gt;TOTAL_LABOR_HOURS_CAP,MAX(0,($D148+Q$5)-PERMANENT_FIELD_LABOR_HOURS)&gt;TEMP_HOURS_CAP),"",$C148+Q$6-MIN(($D148+Q$5),PERMANENT_FIELD_LABOR_HOURS)*PERMANENT_HOURLY_RATE-MAX(0,($D148+Q$5)-PERMANENT_FIELD_LABOR_HOURS)*TEMP_HOURLY_RATE-FIXED_SEASON_COST)</f>
        <v>21439.8721833662</v>
      </c>
      <c r="R148" s="53" t="n">
        <f aca="false">IF(OR($A148&gt;TOMATO_BED_CAP,$B148&gt;CARROT_BED_CAP,R$4&gt;MESCLUN_BED_CAP,$A148+$B148+R$4&gt;TOTAL_BEDS_AVAILABLE,($D148+R$5)&gt;TOTAL_LABOR_HOURS_CAP,MAX(0,($D148+R$5)-PERMANENT_FIELD_LABOR_HOURS)&gt;TEMP_HOURS_CAP),"",$C148+R$6-MIN(($D148+R$5),PERMANENT_FIELD_LABOR_HOURS)*PERMANENT_HOURLY_RATE-MAX(0,($D148+R$5)-PERMANENT_FIELD_LABOR_HOURS)*TEMP_HOURLY_RATE-FIXED_SEASON_COST)</f>
        <v>22229.947597063</v>
      </c>
      <c r="S148" s="53" t="n">
        <f aca="false">IF(OR($A148&gt;TOMATO_BED_CAP,$B148&gt;CARROT_BED_CAP,S$4&gt;MESCLUN_BED_CAP,$A148+$B148+S$4&gt;TOTAL_BEDS_AVAILABLE,($D148+S$5)&gt;TOTAL_LABOR_HOURS_CAP,MAX(0,($D148+S$5)-PERMANENT_FIELD_LABOR_HOURS)&gt;TEMP_HOURS_CAP),"",$C148+S$6-MIN(($D148+S$5),PERMANENT_FIELD_LABOR_HOURS)*PERMANENT_HOURLY_RATE-MAX(0,($D148+S$5)-PERMANENT_FIELD_LABOR_HOURS)*TEMP_HOURLY_RATE-FIXED_SEASON_COST)</f>
        <v>22995.8141855654</v>
      </c>
      <c r="T148" s="53" t="n">
        <f aca="false">IF(OR($A148&gt;TOMATO_BED_CAP,$B148&gt;CARROT_BED_CAP,T$4&gt;MESCLUN_BED_CAP,$A148+$B148+T$4&gt;TOTAL_BEDS_AVAILABLE,($D148+T$5)&gt;TOTAL_LABOR_HOURS_CAP,MAX(0,($D148+T$5)-PERMANENT_FIELD_LABOR_HOURS)&gt;TEMP_HOURS_CAP),"",$C148+T$6-MIN(($D148+T$5),PERMANENT_FIELD_LABOR_HOURS)*PERMANENT_HOURLY_RATE-MAX(0,($D148+T$5)-PERMANENT_FIELD_LABOR_HOURS)*TEMP_HOURLY_RATE-FIXED_SEASON_COST)</f>
        <v>23737.0276539603</v>
      </c>
      <c r="U148" s="53" t="n">
        <f aca="false">IF(OR($A148&gt;TOMATO_BED_CAP,$B148&gt;CARROT_BED_CAP,U$4&gt;MESCLUN_BED_CAP,$A148+$B148+U$4&gt;TOTAL_BEDS_AVAILABLE,($D148+U$5)&gt;TOTAL_LABOR_HOURS_CAP,MAX(0,($D148+U$5)-PERMANENT_FIELD_LABOR_HOURS)&gt;TEMP_HOURS_CAP),"",$C148+U$6-MIN(($D148+U$5),PERMANENT_FIELD_LABOR_HOURS)*PERMANENT_HOURLY_RATE-MAX(0,($D148+U$5)-PERMANENT_FIELD_LABOR_HOURS)*TEMP_HOURLY_RATE-FIXED_SEASON_COST)</f>
        <v>24453.1363825904</v>
      </c>
      <c r="V148" s="53" t="n">
        <f aca="false">IF(OR($A148&gt;TOMATO_BED_CAP,$B148&gt;CARROT_BED_CAP,V$4&gt;MESCLUN_BED_CAP,$A148+$B148+V$4&gt;TOTAL_BEDS_AVAILABLE,($D148+V$5)&gt;TOTAL_LABOR_HOURS_CAP,MAX(0,($D148+V$5)-PERMANENT_FIELD_LABOR_HOURS)&gt;TEMP_HOURS_CAP),"",$C148+V$6-MIN(($D148+V$5),PERMANENT_FIELD_LABOR_HOURS)*PERMANENT_HOURLY_RATE-MAX(0,($D148+V$5)-PERMANENT_FIELD_LABOR_HOURS)*TEMP_HOURLY_RATE-FIXED_SEASON_COST)</f>
        <v>25143.6813133572</v>
      </c>
      <c r="W148" s="53" t="n">
        <f aca="false">IF(OR($A148&gt;TOMATO_BED_CAP,$B148&gt;CARROT_BED_CAP,W$4&gt;MESCLUN_BED_CAP,$A148+$B148+W$4&gt;TOTAL_BEDS_AVAILABLE,($D148+W$5)&gt;TOTAL_LABOR_HOURS_CAP,MAX(0,($D148+W$5)-PERMANENT_FIELD_LABOR_HOURS)&gt;TEMP_HOURS_CAP),"",$C148+W$6-MIN(($D148+W$5),PERMANENT_FIELD_LABOR_HOURS)*PERMANENT_HOURLY_RATE-MAX(0,($D148+W$5)-PERMANENT_FIELD_LABOR_HOURS)*TEMP_HOURLY_RATE-FIXED_SEASON_COST)</f>
        <v>25808.1958343252</v>
      </c>
      <c r="X148" s="53" t="n">
        <f aca="false">IF(OR($A148&gt;TOMATO_BED_CAP,$B148&gt;CARROT_BED_CAP,X$4&gt;MESCLUN_BED_CAP,$A148+$B148+X$4&gt;TOTAL_BEDS_AVAILABLE,($D148+X$5)&gt;TOTAL_LABOR_HOURS_CAP,MAX(0,($D148+X$5)-PERMANENT_FIELD_LABOR_HOURS)&gt;TEMP_HOURS_CAP),"",$C148+X$6-MIN(($D148+X$5),PERMANENT_FIELD_LABOR_HOURS)*PERMANENT_HOURLY_RATE-MAX(0,($D148+X$5)-PERMANENT_FIELD_LABOR_HOURS)*TEMP_HOURLY_RATE-FIXED_SEASON_COST)</f>
        <v>26446.2056626042</v>
      </c>
      <c r="Y148" s="53" t="n">
        <f aca="false">IF(OR($A148&gt;TOMATO_BED_CAP,$B148&gt;CARROT_BED_CAP,Y$4&gt;MESCLUN_BED_CAP,$A148+$B148+Y$4&gt;TOTAL_BEDS_AVAILABLE,($D148+Y$5)&gt;TOTAL_LABOR_HOURS_CAP,MAX(0,($D148+Y$5)-PERMANENT_FIELD_LABOR_HOURS)&gt;TEMP_HOURS_CAP),"",$C148+Y$6-MIN(($D148+Y$5),PERMANENT_FIELD_LABOR_HOURS)*PERMANENT_HOURLY_RATE-MAX(0,($D148+Y$5)-PERMANENT_FIELD_LABOR_HOURS)*TEMP_HOURLY_RATE-FIXED_SEASON_COST)</f>
        <v>27057.2287254828</v>
      </c>
      <c r="Z148" s="53" t="n">
        <f aca="false">IF(OR($A148&gt;TOMATO_BED_CAP,$B148&gt;CARROT_BED_CAP,Z$4&gt;MESCLUN_BED_CAP,$A148+$B148+Z$4&gt;TOTAL_BEDS_AVAILABLE,($D148+Z$5)&gt;TOTAL_LABOR_HOURS_CAP,MAX(0,($D148+Z$5)-PERMANENT_FIELD_LABOR_HOURS)&gt;TEMP_HOURS_CAP),"",$C148+Z$6-MIN(($D148+Z$5),PERMANENT_FIELD_LABOR_HOURS)*PERMANENT_HOURLY_RATE-MAX(0,($D148+Z$5)-PERMANENT_FIELD_LABOR_HOURS)*TEMP_HOURLY_RATE-FIXED_SEASON_COST)</f>
        <v>27640.7750397905</v>
      </c>
      <c r="AA148" s="53" t="n">
        <f aca="false">IF(OR($A148&gt;TOMATO_BED_CAP,$B148&gt;CARROT_BED_CAP,AA$4&gt;MESCLUN_BED_CAP,$A148+$B148+AA$4&gt;TOTAL_BEDS_AVAILABLE,($D148+AA$5)&gt;TOTAL_LABOR_HOURS_CAP,MAX(0,($D148+AA$5)-PERMANENT_FIELD_LABOR_HOURS)&gt;TEMP_HOURS_CAP),"",$C148+AA$6-MIN(($D148+AA$5),PERMANENT_FIELD_LABOR_HOURS)*PERMANENT_HOURLY_RATE-MAX(0,($D148+AA$5)-PERMANENT_FIELD_LABOR_HOURS)*TEMP_HOURLY_RATE-FIXED_SEASON_COST)</f>
        <v>28196.3465894595</v>
      </c>
      <c r="AB148" s="53" t="n">
        <f aca="false">IF(OR($A148&gt;TOMATO_BED_CAP,$B148&gt;CARROT_BED_CAP,AB$4&gt;MESCLUN_BED_CAP,$A148+$B148+AB$4&gt;TOTAL_BEDS_AVAILABLE,($D148+AB$5)&gt;TOTAL_LABOR_HOURS_CAP,MAX(0,($D148+AB$5)-PERMANENT_FIELD_LABOR_HOURS)&gt;TEMP_HOURS_CAP),"",$C148+AB$6-MIN(($D148+AB$5),PERMANENT_FIELD_LABOR_HOURS)*PERMANENT_HOURLY_RATE-MAX(0,($D148+AB$5)-PERMANENT_FIELD_LABOR_HOURS)*TEMP_HOURLY_RATE-FIXED_SEASON_COST)</f>
        <v>28723.4372012621</v>
      </c>
      <c r="AC148" s="53" t="n">
        <f aca="false">IF(OR($A148&gt;TOMATO_BED_CAP,$B148&gt;CARROT_BED_CAP,AC$4&gt;MESCLUN_BED_CAP,$A148+$B148+AC$4&gt;TOTAL_BEDS_AVAILABLE,($D148+AC$5)&gt;TOTAL_LABOR_HOURS_CAP,MAX(0,($D148+AC$5)-PERMANENT_FIELD_LABOR_HOURS)&gt;TEMP_HOURS_CAP),"",$C148+AC$6-MIN(($D148+AC$5),PERMANENT_FIELD_LABOR_HOURS)*PERMANENT_HOURLY_RATE-MAX(0,($D148+AC$5)-PERMANENT_FIELD_LABOR_HOURS)*TEMP_HOURLY_RATE-FIXED_SEASON_COST)</f>
        <v>29221.532418697</v>
      </c>
      <c r="AD148" s="53" t="n">
        <f aca="false">IF(OR($A148&gt;TOMATO_BED_CAP,$B148&gt;CARROT_BED_CAP,AD$4&gt;MESCLUN_BED_CAP,$A148+$B148+AD$4&gt;TOTAL_BEDS_AVAILABLE,($D148+AD$5)&gt;TOTAL_LABOR_HOURS_CAP,MAX(0,($D148+AD$5)-PERMANENT_FIELD_LABOR_HOURS)&gt;TEMP_HOURS_CAP),"",$C148+AD$6-MIN(($D148+AD$5),PERMANENT_FIELD_LABOR_HOURS)*PERMANENT_HOURLY_RATE-MAX(0,($D148+AD$5)-PERMANENT_FIELD_LABOR_HOURS)*TEMP_HOURLY_RATE-FIXED_SEASON_COST)</f>
        <v>29690.1093739969</v>
      </c>
      <c r="AE148" s="53" t="n">
        <f aca="false">IF(OR($A148&gt;TOMATO_BED_CAP,$B148&gt;CARROT_BED_CAP,AE$4&gt;MESCLUN_BED_CAP,$A148+$B148+AE$4&gt;TOTAL_BEDS_AVAILABLE,($D148+AE$5)&gt;TOTAL_LABOR_HOURS_CAP,MAX(0,($D148+AE$5)-PERMANENT_FIELD_LABOR_HOURS)&gt;TEMP_HOURS_CAP),"",$C148+AE$6-MIN(($D148+AE$5),PERMANENT_FIELD_LABOR_HOURS)*PERMANENT_HOURLY_RATE-MAX(0,($D148+AE$5)-PERMANENT_FIELD_LABOR_HOURS)*TEMP_HOURLY_RATE-FIXED_SEASON_COST)</f>
        <v>30128.6366582308</v>
      </c>
      <c r="AF148" s="53" t="n">
        <f aca="false">IF(OR($A148&gt;TOMATO_BED_CAP,$B148&gt;CARROT_BED_CAP,AF$4&gt;MESCLUN_BED_CAP,$A148+$B148+AF$4&gt;TOTAL_BEDS_AVAILABLE,($D148+AF$5)&gt;TOTAL_LABOR_HOURS_CAP,MAX(0,($D148+AF$5)-PERMANENT_FIELD_LABOR_HOURS)&gt;TEMP_HOURS_CAP),"",$C148+AF$6-MIN(($D148+AF$5),PERMANENT_FIELD_LABOR_HOURS)*PERMANENT_HOURLY_RATE-MAX(0,($D148+AF$5)-PERMANENT_FIELD_LABOR_HOURS)*TEMP_HOURLY_RATE-FIXED_SEASON_COST)</f>
        <v>30536.5741894728</v>
      </c>
      <c r="AG148" s="53" t="n">
        <f aca="false">IF(OR($A148&gt;TOMATO_BED_CAP,$B148&gt;CARROT_BED_CAP,AG$4&gt;MESCLUN_BED_CAP,$A148+$B148+AG$4&gt;TOTAL_BEDS_AVAILABLE,($D148+AG$5)&gt;TOTAL_LABOR_HOURS_CAP,MAX(0,($D148+AG$5)-PERMANENT_FIELD_LABOR_HOURS)&gt;TEMP_HOURS_CAP),"",$C148+AG$6-MIN(($D148+AG$5),PERMANENT_FIELD_LABOR_HOURS)*PERMANENT_HOURLY_RATE-MAX(0,($D148+AG$5)-PERMANENT_FIELD_LABOR_HOURS)*TEMP_HOURLY_RATE-FIXED_SEASON_COST)</f>
        <v>30913.3730790098</v>
      </c>
      <c r="AH148" s="53" t="n">
        <f aca="false">IF(OR($A148&gt;TOMATO_BED_CAP,$B148&gt;CARROT_BED_CAP,AH$4&gt;MESCLUN_BED_CAP,$A148+$B148+AH$4&gt;TOTAL_BEDS_AVAILABLE,($D148+AH$5)&gt;TOTAL_LABOR_HOURS_CAP,MAX(0,($D148+AH$5)-PERMANENT_FIELD_LABOR_HOURS)&gt;TEMP_HOURS_CAP),"",$C148+AH$6-MIN(($D148+AH$5),PERMANENT_FIELD_LABOR_HOURS)*PERMANENT_HOURLY_RATE-MAX(0,($D148+AH$5)-PERMANENT_FIELD_LABOR_HOURS)*TEMP_HOURLY_RATE-FIXED_SEASON_COST)</f>
        <v>31258.47549556</v>
      </c>
      <c r="AI148" s="53" t="n">
        <f aca="false">IF(OR($A148&gt;TOMATO_BED_CAP,$B148&gt;CARROT_BED_CAP,AI$4&gt;MESCLUN_BED_CAP,$A148+$B148+AI$4&gt;TOTAL_BEDS_AVAILABLE,($D148+AI$5)&gt;TOTAL_LABOR_HOURS_CAP,MAX(0,($D148+AI$5)-PERMANENT_FIELD_LABOR_HOURS)&gt;TEMP_HOURS_CAP),"",$C148+AI$6-MIN(($D148+AI$5),PERMANENT_FIELD_LABOR_HOURS)*PERMANENT_HOURLY_RATE-MAX(0,($D148+AI$5)-PERMANENT_FIELD_LABOR_HOURS)*TEMP_HOURLY_RATE-FIXED_SEASON_COST)</f>
        <v>31571.3145274723</v>
      </c>
      <c r="AJ148" s="53" t="n">
        <f aca="false">IF(OR($A148&gt;TOMATO_BED_CAP,$B148&gt;CARROT_BED_CAP,AJ$4&gt;MESCLUN_BED_CAP,$A148+$B148+AJ$4&gt;TOTAL_BEDS_AVAILABLE,($D148+AJ$5)&gt;TOTAL_LABOR_HOURS_CAP,MAX(0,($D148+AJ$5)-PERMANENT_FIELD_LABOR_HOURS)&gt;TEMP_HOURS_CAP),"",$C148+AJ$6-MIN(($D148+AJ$5),PERMANENT_FIELD_LABOR_HOURS)*PERMANENT_HOURLY_RATE-MAX(0,($D148+AJ$5)-PERMANENT_FIELD_LABOR_HOURS)*TEMP_HOURLY_RATE-FIXED_SEASON_COST)</f>
        <v>31851.314042878</v>
      </c>
    </row>
    <row r="149" customFormat="false" ht="15" hidden="false" customHeight="false" outlineLevel="0" collapsed="false">
      <c r="A149" s="21" t="n">
        <f aca="false">INT((ROW()-ROW($A$8))/(20+1))</f>
        <v>6</v>
      </c>
      <c r="B149" s="21" t="n">
        <f aca="false">MOD(ROW()-ROW($A$8),20+1)</f>
        <v>15</v>
      </c>
      <c r="C149" s="13" t="n">
        <f aca="false">A149*(TOMATO_REVENUE_PER_BED-TOMATO_FERTILIZER_PER_BED)+B149*(CARROT_REVENUE_PER_BED-CARROT_FERTILIZER_PER_BED)</f>
        <v>72330</v>
      </c>
      <c r="D149" s="14" t="n">
        <f aca="false">INDEX(TOMATO_SCHED_LABOR_HRS,A149+1)+INDEX(CARROT_SCHED_LABOR_HRS,B149+1)</f>
        <v>1608.11642125418</v>
      </c>
      <c r="E149" s="13" t="n">
        <f aca="false">IF(COUNT(F149:AJ149)=0,"",MAX(F149:AJ149))</f>
        <v>32493.8882219</v>
      </c>
      <c r="F149" s="53" t="n">
        <f aca="false">IF(OR($A149&gt;TOMATO_BED_CAP,$B149&gt;CARROT_BED_CAP,F$4&gt;MESCLUN_BED_CAP,$A149+$B149+F$4&gt;TOTAL_BEDS_AVAILABLE,($D149+F$5)&gt;TOTAL_LABOR_HOURS_CAP,MAX(0,($D149+F$5)-PERMANENT_FIELD_LABOR_HOURS)&gt;TEMP_HOURS_CAP),"",$C149+F$6-MIN(($D149+F$5),PERMANENT_FIELD_LABOR_HOURS)*PERMANENT_HOURLY_RATE-MAX(0,($D149+F$5)-PERMANENT_FIELD_LABOR_HOURS)*TEMP_HOURLY_RATE-FIXED_SEASON_COST)</f>
        <v>11913.8989270274</v>
      </c>
      <c r="G149" s="53" t="n">
        <f aca="false">IF(OR($A149&gt;TOMATO_BED_CAP,$B149&gt;CARROT_BED_CAP,G$4&gt;MESCLUN_BED_CAP,$A149+$B149+G$4&gt;TOTAL_BEDS_AVAILABLE,($D149+G$5)&gt;TOTAL_LABOR_HOURS_CAP,MAX(0,($D149+G$5)-PERMANENT_FIELD_LABOR_HOURS)&gt;TEMP_HOURS_CAP),"",$C149+G$6-MIN(($D149+G$5),PERMANENT_FIELD_LABOR_HOURS)*PERMANENT_HOURLY_RATE-MAX(0,($D149+G$5)-PERMANENT_FIELD_LABOR_HOURS)*TEMP_HOURLY_RATE-FIXED_SEASON_COST)</f>
        <v>12942.9339270274</v>
      </c>
      <c r="H149" s="53" t="n">
        <f aca="false">IF(OR($A149&gt;TOMATO_BED_CAP,$B149&gt;CARROT_BED_CAP,H$4&gt;MESCLUN_BED_CAP,$A149+$B149+H$4&gt;TOTAL_BEDS_AVAILABLE,($D149+H$5)&gt;TOTAL_LABOR_HOURS_CAP,MAX(0,($D149+H$5)-PERMANENT_FIELD_LABOR_HOURS)&gt;TEMP_HOURS_CAP),"",$C149+H$6-MIN(($D149+H$5),PERMANENT_FIELD_LABOR_HOURS)*PERMANENT_HOURLY_RATE-MAX(0,($D149+H$5)-PERMANENT_FIELD_LABOR_HOURS)*TEMP_HOURLY_RATE-FIXED_SEASON_COST)</f>
        <v>13952.1948020274</v>
      </c>
      <c r="I149" s="53" t="n">
        <f aca="false">IF(OR($A149&gt;TOMATO_BED_CAP,$B149&gt;CARROT_BED_CAP,I$4&gt;MESCLUN_BED_CAP,$A149+$B149+I$4&gt;TOTAL_BEDS_AVAILABLE,($D149+I$5)&gt;TOTAL_LABOR_HOURS_CAP,MAX(0,($D149+I$5)-PERMANENT_FIELD_LABOR_HOURS)&gt;TEMP_HOURS_CAP),"",$C149+I$6-MIN(($D149+I$5),PERMANENT_FIELD_LABOR_HOURS)*PERMANENT_HOURLY_RATE-MAX(0,($D149+I$5)-PERMANENT_FIELD_LABOR_HOURS)*TEMP_HOURLY_RATE-FIXED_SEASON_COST)</f>
        <v>14941.3107871837</v>
      </c>
      <c r="J149" s="53" t="n">
        <f aca="false">IF(OR($A149&gt;TOMATO_BED_CAP,$B149&gt;CARROT_BED_CAP,J$4&gt;MESCLUN_BED_CAP,$A149+$B149+J$4&gt;TOTAL_BEDS_AVAILABLE,($D149+J$5)&gt;TOTAL_LABOR_HOURS_CAP,MAX(0,($D149+J$5)-PERMANENT_FIELD_LABOR_HOURS)&gt;TEMP_HOURS_CAP),"",$C149+J$6-MIN(($D149+J$5),PERMANENT_FIELD_LABOR_HOURS)*PERMANENT_HOURLY_RATE-MAX(0,($D149+J$5)-PERMANENT_FIELD_LABOR_HOURS)*TEMP_HOURLY_RATE-FIXED_SEASON_COST)</f>
        <v>15909.9049382384</v>
      </c>
      <c r="K149" s="53" t="n">
        <f aca="false">IF(OR($A149&gt;TOMATO_BED_CAP,$B149&gt;CARROT_BED_CAP,K$4&gt;MESCLUN_BED_CAP,$A149+$B149+K$4&gt;TOTAL_BEDS_AVAILABLE,($D149+K$5)&gt;TOTAL_LABOR_HOURS_CAP,MAX(0,($D149+K$5)-PERMANENT_FIELD_LABOR_HOURS)&gt;TEMP_HOURS_CAP),"",$C149+K$6-MIN(($D149+K$5),PERMANENT_FIELD_LABOR_HOURS)*PERMANENT_HOURLY_RATE-MAX(0,($D149+K$5)-PERMANENT_FIELD_LABOR_HOURS)*TEMP_HOURLY_RATE-FIXED_SEASON_COST)</f>
        <v>16857.5940349663</v>
      </c>
      <c r="L149" s="53" t="n">
        <f aca="false">IF(OR($A149&gt;TOMATO_BED_CAP,$B149&gt;CARROT_BED_CAP,L$4&gt;MESCLUN_BED_CAP,$A149+$B149+L$4&gt;TOTAL_BEDS_AVAILABLE,($D149+L$5)&gt;TOTAL_LABOR_HOURS_CAP,MAX(0,($D149+L$5)-PERMANENT_FIELD_LABOR_HOURS)&gt;TEMP_HOURS_CAP),"",$C149+L$6-MIN(($D149+L$5),PERMANENT_FIELD_LABOR_HOURS)*PERMANENT_HOURLY_RATE-MAX(0,($D149+L$5)-PERMANENT_FIELD_LABOR_HOURS)*TEMP_HOURLY_RATE-FIXED_SEASON_COST)</f>
        <v>17783.9884831731</v>
      </c>
      <c r="M149" s="53" t="n">
        <f aca="false">IF(OR($A149&gt;TOMATO_BED_CAP,$B149&gt;CARROT_BED_CAP,M$4&gt;MESCLUN_BED_CAP,$A149+$B149+M$4&gt;TOTAL_BEDS_AVAILABLE,($D149+M$5)&gt;TOTAL_LABOR_HOURS_CAP,MAX(0,($D149+M$5)-PERMANENT_FIELD_LABOR_HOURS)&gt;TEMP_HOURS_CAP),"",$C149+M$6-MIN(($D149+M$5),PERMANENT_FIELD_LABOR_HOURS)*PERMANENT_HOURLY_RATE-MAX(0,($D149+M$5)-PERMANENT_FIELD_LABOR_HOURS)*TEMP_HOURLY_RATE-FIXED_SEASON_COST)</f>
        <v>18688.6922152245</v>
      </c>
      <c r="N149" s="53" t="n">
        <f aca="false">IF(OR($A149&gt;TOMATO_BED_CAP,$B149&gt;CARROT_BED_CAP,N$4&gt;MESCLUN_BED_CAP,$A149+$B149+N$4&gt;TOTAL_BEDS_AVAILABLE,($D149+N$5)&gt;TOTAL_LABOR_HOURS_CAP,MAX(0,($D149+N$5)-PERMANENT_FIELD_LABOR_HOURS)&gt;TEMP_HOURS_CAP),"",$C149+N$6-MIN(($D149+N$5),PERMANENT_FIELD_LABOR_HOURS)*PERMANENT_HOURLY_RATE-MAX(0,($D149+N$5)-PERMANENT_FIELD_LABOR_HOURS)*TEMP_HOURLY_RATE-FIXED_SEASON_COST)</f>
        <v>19571.3025890841</v>
      </c>
      <c r="O149" s="53" t="n">
        <f aca="false">IF(OR($A149&gt;TOMATO_BED_CAP,$B149&gt;CARROT_BED_CAP,O$4&gt;MESCLUN_BED_CAP,$A149+$B149+O$4&gt;TOTAL_BEDS_AVAILABLE,($D149+O$5)&gt;TOTAL_LABOR_HOURS_CAP,MAX(0,($D149+O$5)-PERMANENT_FIELD_LABOR_HOURS)&gt;TEMP_HOURS_CAP),"",$C149+O$6-MIN(($D149+O$5),PERMANENT_FIELD_LABOR_HOURS)*PERMANENT_HOURLY_RATE-MAX(0,($D149+O$5)-PERMANENT_FIELD_LABOR_HOURS)*TEMP_HOURLY_RATE-FIXED_SEASON_COST)</f>
        <v>20431.4102858388</v>
      </c>
      <c r="P149" s="53" t="n">
        <f aca="false">IF(OR($A149&gt;TOMATO_BED_CAP,$B149&gt;CARROT_BED_CAP,P$4&gt;MESCLUN_BED_CAP,$A149+$B149+P$4&gt;TOTAL_BEDS_AVAILABLE,($D149+P$5)&gt;TOTAL_LABOR_HOURS_CAP,MAX(0,($D149+P$5)-PERMANENT_FIELD_LABOR_HOURS)&gt;TEMP_HOURS_CAP),"",$C149+P$6-MIN(($D149+P$5),PERMANENT_FIELD_LABOR_HOURS)*PERMANENT_HOURLY_RATE-MAX(0,($D149+P$5)-PERMANENT_FIELD_LABOR_HOURS)*TEMP_HOURLY_RATE-FIXED_SEASON_COST)</f>
        <v>21268.5992056903</v>
      </c>
      <c r="Q149" s="53" t="n">
        <f aca="false">IF(OR($A149&gt;TOMATO_BED_CAP,$B149&gt;CARROT_BED_CAP,Q$4&gt;MESCLUN_BED_CAP,$A149+$B149+Q$4&gt;TOTAL_BEDS_AVAILABLE,($D149+Q$5)&gt;TOTAL_LABOR_HOURS_CAP,MAX(0,($D149+Q$5)-PERMANENT_FIELD_LABOR_HOURS)&gt;TEMP_HOURS_CAP),"",$C149+Q$6-MIN(($D149+Q$5),PERMANENT_FIELD_LABOR_HOURS)*PERMANENT_HOURLY_RATE-MAX(0,($D149+Q$5)-PERMANENT_FIELD_LABOR_HOURS)*TEMP_HOURLY_RATE-FIXED_SEASON_COST)</f>
        <v>22082.4463623882</v>
      </c>
      <c r="R149" s="53" t="n">
        <f aca="false">IF(OR($A149&gt;TOMATO_BED_CAP,$B149&gt;CARROT_BED_CAP,R$4&gt;MESCLUN_BED_CAP,$A149+$B149+R$4&gt;TOTAL_BEDS_AVAILABLE,($D149+R$5)&gt;TOTAL_LABOR_HOURS_CAP,MAX(0,($D149+R$5)-PERMANENT_FIELD_LABOR_HOURS)&gt;TEMP_HOURS_CAP),"",$C149+R$6-MIN(($D149+R$5),PERMANENT_FIELD_LABOR_HOURS)*PERMANENT_HOURLY_RATE-MAX(0,($D149+R$5)-PERMANENT_FIELD_LABOR_HOURS)*TEMP_HOURLY_RATE-FIXED_SEASON_COST)</f>
        <v>22872.521776085</v>
      </c>
      <c r="S149" s="53" t="n">
        <f aca="false">IF(OR($A149&gt;TOMATO_BED_CAP,$B149&gt;CARROT_BED_CAP,S$4&gt;MESCLUN_BED_CAP,$A149+$B149+S$4&gt;TOTAL_BEDS_AVAILABLE,($D149+S$5)&gt;TOTAL_LABOR_HOURS_CAP,MAX(0,($D149+S$5)-PERMANENT_FIELD_LABOR_HOURS)&gt;TEMP_HOURS_CAP),"",$C149+S$6-MIN(($D149+S$5),PERMANENT_FIELD_LABOR_HOURS)*PERMANENT_HOURLY_RATE-MAX(0,($D149+S$5)-PERMANENT_FIELD_LABOR_HOURS)*TEMP_HOURLY_RATE-FIXED_SEASON_COST)</f>
        <v>23638.3883645874</v>
      </c>
      <c r="T149" s="53" t="n">
        <f aca="false">IF(OR($A149&gt;TOMATO_BED_CAP,$B149&gt;CARROT_BED_CAP,T$4&gt;MESCLUN_BED_CAP,$A149+$B149+T$4&gt;TOTAL_BEDS_AVAILABLE,($D149+T$5)&gt;TOTAL_LABOR_HOURS_CAP,MAX(0,($D149+T$5)-PERMANENT_FIELD_LABOR_HOURS)&gt;TEMP_HOURS_CAP),"",$C149+T$6-MIN(($D149+T$5),PERMANENT_FIELD_LABOR_HOURS)*PERMANENT_HOURLY_RATE-MAX(0,($D149+T$5)-PERMANENT_FIELD_LABOR_HOURS)*TEMP_HOURLY_RATE-FIXED_SEASON_COST)</f>
        <v>24379.6018329823</v>
      </c>
      <c r="U149" s="53" t="n">
        <f aca="false">IF(OR($A149&gt;TOMATO_BED_CAP,$B149&gt;CARROT_BED_CAP,U$4&gt;MESCLUN_BED_CAP,$A149+$B149+U$4&gt;TOTAL_BEDS_AVAILABLE,($D149+U$5)&gt;TOTAL_LABOR_HOURS_CAP,MAX(0,($D149+U$5)-PERMANENT_FIELD_LABOR_HOURS)&gt;TEMP_HOURS_CAP),"",$C149+U$6-MIN(($D149+U$5),PERMANENT_FIELD_LABOR_HOURS)*PERMANENT_HOURLY_RATE-MAX(0,($D149+U$5)-PERMANENT_FIELD_LABOR_HOURS)*TEMP_HOURLY_RATE-FIXED_SEASON_COST)</f>
        <v>25095.7105616124</v>
      </c>
      <c r="V149" s="53" t="n">
        <f aca="false">IF(OR($A149&gt;TOMATO_BED_CAP,$B149&gt;CARROT_BED_CAP,V$4&gt;MESCLUN_BED_CAP,$A149+$B149+V$4&gt;TOTAL_BEDS_AVAILABLE,($D149+V$5)&gt;TOTAL_LABOR_HOURS_CAP,MAX(0,($D149+V$5)-PERMANENT_FIELD_LABOR_HOURS)&gt;TEMP_HOURS_CAP),"",$C149+V$6-MIN(($D149+V$5),PERMANENT_FIELD_LABOR_HOURS)*PERMANENT_HOURLY_RATE-MAX(0,($D149+V$5)-PERMANENT_FIELD_LABOR_HOURS)*TEMP_HOURLY_RATE-FIXED_SEASON_COST)</f>
        <v>25786.2554923791</v>
      </c>
      <c r="W149" s="53" t="n">
        <f aca="false">IF(OR($A149&gt;TOMATO_BED_CAP,$B149&gt;CARROT_BED_CAP,W$4&gt;MESCLUN_BED_CAP,$A149+$B149+W$4&gt;TOTAL_BEDS_AVAILABLE,($D149+W$5)&gt;TOTAL_LABOR_HOURS_CAP,MAX(0,($D149+W$5)-PERMANENT_FIELD_LABOR_HOURS)&gt;TEMP_HOURS_CAP),"",$C149+W$6-MIN(($D149+W$5),PERMANENT_FIELD_LABOR_HOURS)*PERMANENT_HOURLY_RATE-MAX(0,($D149+W$5)-PERMANENT_FIELD_LABOR_HOURS)*TEMP_HOURLY_RATE-FIXED_SEASON_COST)</f>
        <v>26450.7700133472</v>
      </c>
      <c r="X149" s="53" t="n">
        <f aca="false">IF(OR($A149&gt;TOMATO_BED_CAP,$B149&gt;CARROT_BED_CAP,X$4&gt;MESCLUN_BED_CAP,$A149+$B149+X$4&gt;TOTAL_BEDS_AVAILABLE,($D149+X$5)&gt;TOTAL_LABOR_HOURS_CAP,MAX(0,($D149+X$5)-PERMANENT_FIELD_LABOR_HOURS)&gt;TEMP_HOURS_CAP),"",$C149+X$6-MIN(($D149+X$5),PERMANENT_FIELD_LABOR_HOURS)*PERMANENT_HOURLY_RATE-MAX(0,($D149+X$5)-PERMANENT_FIELD_LABOR_HOURS)*TEMP_HOURLY_RATE-FIXED_SEASON_COST)</f>
        <v>27088.7798416261</v>
      </c>
      <c r="Y149" s="53" t="n">
        <f aca="false">IF(OR($A149&gt;TOMATO_BED_CAP,$B149&gt;CARROT_BED_CAP,Y$4&gt;MESCLUN_BED_CAP,$A149+$B149+Y$4&gt;TOTAL_BEDS_AVAILABLE,($D149+Y$5)&gt;TOTAL_LABOR_HOURS_CAP,MAX(0,($D149+Y$5)-PERMANENT_FIELD_LABOR_HOURS)&gt;TEMP_HOURS_CAP),"",$C149+Y$6-MIN(($D149+Y$5),PERMANENT_FIELD_LABOR_HOURS)*PERMANENT_HOURLY_RATE-MAX(0,($D149+Y$5)-PERMANENT_FIELD_LABOR_HOURS)*TEMP_HOURLY_RATE-FIXED_SEASON_COST)</f>
        <v>27699.8029045048</v>
      </c>
      <c r="Z149" s="53" t="n">
        <f aca="false">IF(OR($A149&gt;TOMATO_BED_CAP,$B149&gt;CARROT_BED_CAP,Z$4&gt;MESCLUN_BED_CAP,$A149+$B149+Z$4&gt;TOTAL_BEDS_AVAILABLE,($D149+Z$5)&gt;TOTAL_LABOR_HOURS_CAP,MAX(0,($D149+Z$5)-PERMANENT_FIELD_LABOR_HOURS)&gt;TEMP_HOURS_CAP),"",$C149+Z$6-MIN(($D149+Z$5),PERMANENT_FIELD_LABOR_HOURS)*PERMANENT_HOURLY_RATE-MAX(0,($D149+Z$5)-PERMANENT_FIELD_LABOR_HOURS)*TEMP_HOURLY_RATE-FIXED_SEASON_COST)</f>
        <v>28283.3492188125</v>
      </c>
      <c r="AA149" s="53" t="n">
        <f aca="false">IF(OR($A149&gt;TOMATO_BED_CAP,$B149&gt;CARROT_BED_CAP,AA$4&gt;MESCLUN_BED_CAP,$A149+$B149+AA$4&gt;TOTAL_BEDS_AVAILABLE,($D149+AA$5)&gt;TOTAL_LABOR_HOURS_CAP,MAX(0,($D149+AA$5)-PERMANENT_FIELD_LABOR_HOURS)&gt;TEMP_HOURS_CAP),"",$C149+AA$6-MIN(($D149+AA$5),PERMANENT_FIELD_LABOR_HOURS)*PERMANENT_HOURLY_RATE-MAX(0,($D149+AA$5)-PERMANENT_FIELD_LABOR_HOURS)*TEMP_HOURLY_RATE-FIXED_SEASON_COST)</f>
        <v>28838.9207684814</v>
      </c>
      <c r="AB149" s="53" t="n">
        <f aca="false">IF(OR($A149&gt;TOMATO_BED_CAP,$B149&gt;CARROT_BED_CAP,AB$4&gt;MESCLUN_BED_CAP,$A149+$B149+AB$4&gt;TOTAL_BEDS_AVAILABLE,($D149+AB$5)&gt;TOTAL_LABOR_HOURS_CAP,MAX(0,($D149+AB$5)-PERMANENT_FIELD_LABOR_HOURS)&gt;TEMP_HOURS_CAP),"",$C149+AB$6-MIN(($D149+AB$5),PERMANENT_FIELD_LABOR_HOURS)*PERMANENT_HOURLY_RATE-MAX(0,($D149+AB$5)-PERMANENT_FIELD_LABOR_HOURS)*TEMP_HOURLY_RATE-FIXED_SEASON_COST)</f>
        <v>29366.011380284</v>
      </c>
      <c r="AC149" s="53" t="n">
        <f aca="false">IF(OR($A149&gt;TOMATO_BED_CAP,$B149&gt;CARROT_BED_CAP,AC$4&gt;MESCLUN_BED_CAP,$A149+$B149+AC$4&gt;TOTAL_BEDS_AVAILABLE,($D149+AC$5)&gt;TOTAL_LABOR_HOURS_CAP,MAX(0,($D149+AC$5)-PERMANENT_FIELD_LABOR_HOURS)&gt;TEMP_HOURS_CAP),"",$C149+AC$6-MIN(($D149+AC$5),PERMANENT_FIELD_LABOR_HOURS)*PERMANENT_HOURLY_RATE-MAX(0,($D149+AC$5)-PERMANENT_FIELD_LABOR_HOURS)*TEMP_HOURLY_RATE-FIXED_SEASON_COST)</f>
        <v>29864.1065977189</v>
      </c>
      <c r="AD149" s="53" t="n">
        <f aca="false">IF(OR($A149&gt;TOMATO_BED_CAP,$B149&gt;CARROT_BED_CAP,AD$4&gt;MESCLUN_BED_CAP,$A149+$B149+AD$4&gt;TOTAL_BEDS_AVAILABLE,($D149+AD$5)&gt;TOTAL_LABOR_HOURS_CAP,MAX(0,($D149+AD$5)-PERMANENT_FIELD_LABOR_HOURS)&gt;TEMP_HOURS_CAP),"",$C149+AD$6-MIN(($D149+AD$5),PERMANENT_FIELD_LABOR_HOURS)*PERMANENT_HOURLY_RATE-MAX(0,($D149+AD$5)-PERMANENT_FIELD_LABOR_HOURS)*TEMP_HOURLY_RATE-FIXED_SEASON_COST)</f>
        <v>30332.6835530189</v>
      </c>
      <c r="AE149" s="53" t="n">
        <f aca="false">IF(OR($A149&gt;TOMATO_BED_CAP,$B149&gt;CARROT_BED_CAP,AE$4&gt;MESCLUN_BED_CAP,$A149+$B149+AE$4&gt;TOTAL_BEDS_AVAILABLE,($D149+AE$5)&gt;TOTAL_LABOR_HOURS_CAP,MAX(0,($D149+AE$5)-PERMANENT_FIELD_LABOR_HOURS)&gt;TEMP_HOURS_CAP),"",$C149+AE$6-MIN(($D149+AE$5),PERMANENT_FIELD_LABOR_HOURS)*PERMANENT_HOURLY_RATE-MAX(0,($D149+AE$5)-PERMANENT_FIELD_LABOR_HOURS)*TEMP_HOURLY_RATE-FIXED_SEASON_COST)</f>
        <v>30771.2108372528</v>
      </c>
      <c r="AF149" s="53" t="n">
        <f aca="false">IF(OR($A149&gt;TOMATO_BED_CAP,$B149&gt;CARROT_BED_CAP,AF$4&gt;MESCLUN_BED_CAP,$A149+$B149+AF$4&gt;TOTAL_BEDS_AVAILABLE,($D149+AF$5)&gt;TOTAL_LABOR_HOURS_CAP,MAX(0,($D149+AF$5)-PERMANENT_FIELD_LABOR_HOURS)&gt;TEMP_HOURS_CAP),"",$C149+AF$6-MIN(($D149+AF$5),PERMANENT_FIELD_LABOR_HOURS)*PERMANENT_HOURLY_RATE-MAX(0,($D149+AF$5)-PERMANENT_FIELD_LABOR_HOURS)*TEMP_HOURLY_RATE-FIXED_SEASON_COST)</f>
        <v>31179.1483684947</v>
      </c>
      <c r="AG149" s="53" t="n">
        <f aca="false">IF(OR($A149&gt;TOMATO_BED_CAP,$B149&gt;CARROT_BED_CAP,AG$4&gt;MESCLUN_BED_CAP,$A149+$B149+AG$4&gt;TOTAL_BEDS_AVAILABLE,($D149+AG$5)&gt;TOTAL_LABOR_HOURS_CAP,MAX(0,($D149+AG$5)-PERMANENT_FIELD_LABOR_HOURS)&gt;TEMP_HOURS_CAP),"",$C149+AG$6-MIN(($D149+AG$5),PERMANENT_FIELD_LABOR_HOURS)*PERMANENT_HOURLY_RATE-MAX(0,($D149+AG$5)-PERMANENT_FIELD_LABOR_HOURS)*TEMP_HOURLY_RATE-FIXED_SEASON_COST)</f>
        <v>31555.9472580317</v>
      </c>
      <c r="AH149" s="53" t="n">
        <f aca="false">IF(OR($A149&gt;TOMATO_BED_CAP,$B149&gt;CARROT_BED_CAP,AH$4&gt;MESCLUN_BED_CAP,$A149+$B149+AH$4&gt;TOTAL_BEDS_AVAILABLE,($D149+AH$5)&gt;TOTAL_LABOR_HOURS_CAP,MAX(0,($D149+AH$5)-PERMANENT_FIELD_LABOR_HOURS)&gt;TEMP_HOURS_CAP),"",$C149+AH$6-MIN(($D149+AH$5),PERMANENT_FIELD_LABOR_HOURS)*PERMANENT_HOURLY_RATE-MAX(0,($D149+AH$5)-PERMANENT_FIELD_LABOR_HOURS)*TEMP_HOURLY_RATE-FIXED_SEASON_COST)</f>
        <v>31901.049674582</v>
      </c>
      <c r="AI149" s="53" t="n">
        <f aca="false">IF(OR($A149&gt;TOMATO_BED_CAP,$B149&gt;CARROT_BED_CAP,AI$4&gt;MESCLUN_BED_CAP,$A149+$B149+AI$4&gt;TOTAL_BEDS_AVAILABLE,($D149+AI$5)&gt;TOTAL_LABOR_HOURS_CAP,MAX(0,($D149+AI$5)-PERMANENT_FIELD_LABOR_HOURS)&gt;TEMP_HOURS_CAP),"",$C149+AI$6-MIN(($D149+AI$5),PERMANENT_FIELD_LABOR_HOURS)*PERMANENT_HOURLY_RATE-MAX(0,($D149+AI$5)-PERMANENT_FIELD_LABOR_HOURS)*TEMP_HOURLY_RATE-FIXED_SEASON_COST)</f>
        <v>32213.8887064942</v>
      </c>
      <c r="AJ149" s="53" t="n">
        <f aca="false">IF(OR($A149&gt;TOMATO_BED_CAP,$B149&gt;CARROT_BED_CAP,AJ$4&gt;MESCLUN_BED_CAP,$A149+$B149+AJ$4&gt;TOTAL_BEDS_AVAILABLE,($D149+AJ$5)&gt;TOTAL_LABOR_HOURS_CAP,MAX(0,($D149+AJ$5)-PERMANENT_FIELD_LABOR_HOURS)&gt;TEMP_HOURS_CAP),"",$C149+AJ$6-MIN(($D149+AJ$5),PERMANENT_FIELD_LABOR_HOURS)*PERMANENT_HOURLY_RATE-MAX(0,($D149+AJ$5)-PERMANENT_FIELD_LABOR_HOURS)*TEMP_HOURLY_RATE-FIXED_SEASON_COST)</f>
        <v>32493.8882219</v>
      </c>
    </row>
    <row r="150" customFormat="false" ht="15" hidden="false" customHeight="false" outlineLevel="0" collapsed="false">
      <c r="A150" s="21" t="n">
        <f aca="false">INT((ROW()-ROW($A$8))/(20+1))</f>
        <v>6</v>
      </c>
      <c r="B150" s="21" t="n">
        <f aca="false">MOD(ROW()-ROW($A$8),20+1)</f>
        <v>16</v>
      </c>
      <c r="C150" s="13" t="n">
        <f aca="false">A150*(TOMATO_REVENUE_PER_BED-TOMATO_FERTILIZER_PER_BED)+B150*(CARROT_REVENUE_PER_BED-CARROT_FERTILIZER_PER_BED)</f>
        <v>73984</v>
      </c>
      <c r="D150" s="14" t="n">
        <f aca="false">INDEX(TOMATO_SCHED_LABOR_HRS,A150+1)+INDEX(CARROT_SCHED_LABOR_HRS,B150+1)</f>
        <v>1668.9206128379</v>
      </c>
      <c r="E150" s="13" t="n">
        <f aca="false">IF(COUNT(F150:AJ150)=0,"",MAX(F150:AJ150))</f>
        <v>33092.3274560065</v>
      </c>
      <c r="F150" s="53" t="n">
        <f aca="false">IF(OR($A150&gt;TOMATO_BED_CAP,$B150&gt;CARROT_BED_CAP,F$4&gt;MESCLUN_BED_CAP,$A150+$B150+F$4&gt;TOTAL_BEDS_AVAILABLE,($D150+F$5)&gt;TOTAL_LABOR_HOURS_CAP,MAX(0,($D150+F$5)-PERMANENT_FIELD_LABOR_HOURS)&gt;TEMP_HOURS_CAP),"",$C150+F$6-MIN(($D150+F$5),PERMANENT_FIELD_LABOR_HOURS)*PERMANENT_HOURLY_RATE-MAX(0,($D150+F$5)-PERMANENT_FIELD_LABOR_HOURS)*TEMP_HOURLY_RATE-FIXED_SEASON_COST)</f>
        <v>12512.338161134</v>
      </c>
      <c r="G150" s="53" t="n">
        <f aca="false">IF(OR($A150&gt;TOMATO_BED_CAP,$B150&gt;CARROT_BED_CAP,G$4&gt;MESCLUN_BED_CAP,$A150+$B150+G$4&gt;TOTAL_BEDS_AVAILABLE,($D150+G$5)&gt;TOTAL_LABOR_HOURS_CAP,MAX(0,($D150+G$5)-PERMANENT_FIELD_LABOR_HOURS)&gt;TEMP_HOURS_CAP),"",$C150+G$6-MIN(($D150+G$5),PERMANENT_FIELD_LABOR_HOURS)*PERMANENT_HOURLY_RATE-MAX(0,($D150+G$5)-PERMANENT_FIELD_LABOR_HOURS)*TEMP_HOURLY_RATE-FIXED_SEASON_COST)</f>
        <v>13541.373161134</v>
      </c>
      <c r="H150" s="53" t="n">
        <f aca="false">IF(OR($A150&gt;TOMATO_BED_CAP,$B150&gt;CARROT_BED_CAP,H$4&gt;MESCLUN_BED_CAP,$A150+$B150+H$4&gt;TOTAL_BEDS_AVAILABLE,($D150+H$5)&gt;TOTAL_LABOR_HOURS_CAP,MAX(0,($D150+H$5)-PERMANENT_FIELD_LABOR_HOURS)&gt;TEMP_HOURS_CAP),"",$C150+H$6-MIN(($D150+H$5),PERMANENT_FIELD_LABOR_HOURS)*PERMANENT_HOURLY_RATE-MAX(0,($D150+H$5)-PERMANENT_FIELD_LABOR_HOURS)*TEMP_HOURLY_RATE-FIXED_SEASON_COST)</f>
        <v>14550.634036134</v>
      </c>
      <c r="I150" s="53" t="n">
        <f aca="false">IF(OR($A150&gt;TOMATO_BED_CAP,$B150&gt;CARROT_BED_CAP,I$4&gt;MESCLUN_BED_CAP,$A150+$B150+I$4&gt;TOTAL_BEDS_AVAILABLE,($D150+I$5)&gt;TOTAL_LABOR_HOURS_CAP,MAX(0,($D150+I$5)-PERMANENT_FIELD_LABOR_HOURS)&gt;TEMP_HOURS_CAP),"",$C150+I$6-MIN(($D150+I$5),PERMANENT_FIELD_LABOR_HOURS)*PERMANENT_HOURLY_RATE-MAX(0,($D150+I$5)-PERMANENT_FIELD_LABOR_HOURS)*TEMP_HOURLY_RATE-FIXED_SEASON_COST)</f>
        <v>15539.7500212903</v>
      </c>
      <c r="J150" s="53" t="n">
        <f aca="false">IF(OR($A150&gt;TOMATO_BED_CAP,$B150&gt;CARROT_BED_CAP,J$4&gt;MESCLUN_BED_CAP,$A150+$B150+J$4&gt;TOTAL_BEDS_AVAILABLE,($D150+J$5)&gt;TOTAL_LABOR_HOURS_CAP,MAX(0,($D150+J$5)-PERMANENT_FIELD_LABOR_HOURS)&gt;TEMP_HOURS_CAP),"",$C150+J$6-MIN(($D150+J$5),PERMANENT_FIELD_LABOR_HOURS)*PERMANENT_HOURLY_RATE-MAX(0,($D150+J$5)-PERMANENT_FIELD_LABOR_HOURS)*TEMP_HOURLY_RATE-FIXED_SEASON_COST)</f>
        <v>16508.3441723449</v>
      </c>
      <c r="K150" s="53" t="n">
        <f aca="false">IF(OR($A150&gt;TOMATO_BED_CAP,$B150&gt;CARROT_BED_CAP,K$4&gt;MESCLUN_BED_CAP,$A150+$B150+K$4&gt;TOTAL_BEDS_AVAILABLE,($D150+K$5)&gt;TOTAL_LABOR_HOURS_CAP,MAX(0,($D150+K$5)-PERMANENT_FIELD_LABOR_HOURS)&gt;TEMP_HOURS_CAP),"",$C150+K$6-MIN(($D150+K$5),PERMANENT_FIELD_LABOR_HOURS)*PERMANENT_HOURLY_RATE-MAX(0,($D150+K$5)-PERMANENT_FIELD_LABOR_HOURS)*TEMP_HOURLY_RATE-FIXED_SEASON_COST)</f>
        <v>17456.0332690728</v>
      </c>
      <c r="L150" s="53" t="n">
        <f aca="false">IF(OR($A150&gt;TOMATO_BED_CAP,$B150&gt;CARROT_BED_CAP,L$4&gt;MESCLUN_BED_CAP,$A150+$B150+L$4&gt;TOTAL_BEDS_AVAILABLE,($D150+L$5)&gt;TOTAL_LABOR_HOURS_CAP,MAX(0,($D150+L$5)-PERMANENT_FIELD_LABOR_HOURS)&gt;TEMP_HOURS_CAP),"",$C150+L$6-MIN(($D150+L$5),PERMANENT_FIELD_LABOR_HOURS)*PERMANENT_HOURLY_RATE-MAX(0,($D150+L$5)-PERMANENT_FIELD_LABOR_HOURS)*TEMP_HOURLY_RATE-FIXED_SEASON_COST)</f>
        <v>18382.4277172797</v>
      </c>
      <c r="M150" s="53" t="n">
        <f aca="false">IF(OR($A150&gt;TOMATO_BED_CAP,$B150&gt;CARROT_BED_CAP,M$4&gt;MESCLUN_BED_CAP,$A150+$B150+M$4&gt;TOTAL_BEDS_AVAILABLE,($D150+M$5)&gt;TOTAL_LABOR_HOURS_CAP,MAX(0,($D150+M$5)-PERMANENT_FIELD_LABOR_HOURS)&gt;TEMP_HOURS_CAP),"",$C150+M$6-MIN(($D150+M$5),PERMANENT_FIELD_LABOR_HOURS)*PERMANENT_HOURLY_RATE-MAX(0,($D150+M$5)-PERMANENT_FIELD_LABOR_HOURS)*TEMP_HOURLY_RATE-FIXED_SEASON_COST)</f>
        <v>19287.1314493311</v>
      </c>
      <c r="N150" s="53" t="n">
        <f aca="false">IF(OR($A150&gt;TOMATO_BED_CAP,$B150&gt;CARROT_BED_CAP,N$4&gt;MESCLUN_BED_CAP,$A150+$B150+N$4&gt;TOTAL_BEDS_AVAILABLE,($D150+N$5)&gt;TOTAL_LABOR_HOURS_CAP,MAX(0,($D150+N$5)-PERMANENT_FIELD_LABOR_HOURS)&gt;TEMP_HOURS_CAP),"",$C150+N$6-MIN(($D150+N$5),PERMANENT_FIELD_LABOR_HOURS)*PERMANENT_HOURLY_RATE-MAX(0,($D150+N$5)-PERMANENT_FIELD_LABOR_HOURS)*TEMP_HOURLY_RATE-FIXED_SEASON_COST)</f>
        <v>20169.7418231907</v>
      </c>
      <c r="O150" s="53" t="n">
        <f aca="false">IF(OR($A150&gt;TOMATO_BED_CAP,$B150&gt;CARROT_BED_CAP,O$4&gt;MESCLUN_BED_CAP,$A150+$B150+O$4&gt;TOTAL_BEDS_AVAILABLE,($D150+O$5)&gt;TOTAL_LABOR_HOURS_CAP,MAX(0,($D150+O$5)-PERMANENT_FIELD_LABOR_HOURS)&gt;TEMP_HOURS_CAP),"",$C150+O$6-MIN(($D150+O$5),PERMANENT_FIELD_LABOR_HOURS)*PERMANENT_HOURLY_RATE-MAX(0,($D150+O$5)-PERMANENT_FIELD_LABOR_HOURS)*TEMP_HOURLY_RATE-FIXED_SEASON_COST)</f>
        <v>21029.8495199454</v>
      </c>
      <c r="P150" s="53" t="n">
        <f aca="false">IF(OR($A150&gt;TOMATO_BED_CAP,$B150&gt;CARROT_BED_CAP,P$4&gt;MESCLUN_BED_CAP,$A150+$B150+P$4&gt;TOTAL_BEDS_AVAILABLE,($D150+P$5)&gt;TOTAL_LABOR_HOURS_CAP,MAX(0,($D150+P$5)-PERMANENT_FIELD_LABOR_HOURS)&gt;TEMP_HOURS_CAP),"",$C150+P$6-MIN(($D150+P$5),PERMANENT_FIELD_LABOR_HOURS)*PERMANENT_HOURLY_RATE-MAX(0,($D150+P$5)-PERMANENT_FIELD_LABOR_HOURS)*TEMP_HOURLY_RATE-FIXED_SEASON_COST)</f>
        <v>21867.0384397968</v>
      </c>
      <c r="Q150" s="53" t="n">
        <f aca="false">IF(OR($A150&gt;TOMATO_BED_CAP,$B150&gt;CARROT_BED_CAP,Q$4&gt;MESCLUN_BED_CAP,$A150+$B150+Q$4&gt;TOTAL_BEDS_AVAILABLE,($D150+Q$5)&gt;TOTAL_LABOR_HOURS_CAP,MAX(0,($D150+Q$5)-PERMANENT_FIELD_LABOR_HOURS)&gt;TEMP_HOURS_CAP),"",$C150+Q$6-MIN(($D150+Q$5),PERMANENT_FIELD_LABOR_HOURS)*PERMANENT_HOURLY_RATE-MAX(0,($D150+Q$5)-PERMANENT_FIELD_LABOR_HOURS)*TEMP_HOURLY_RATE-FIXED_SEASON_COST)</f>
        <v>22680.8855964947</v>
      </c>
      <c r="R150" s="53" t="n">
        <f aca="false">IF(OR($A150&gt;TOMATO_BED_CAP,$B150&gt;CARROT_BED_CAP,R$4&gt;MESCLUN_BED_CAP,$A150+$B150+R$4&gt;TOTAL_BEDS_AVAILABLE,($D150+R$5)&gt;TOTAL_LABOR_HOURS_CAP,MAX(0,($D150+R$5)-PERMANENT_FIELD_LABOR_HOURS)&gt;TEMP_HOURS_CAP),"",$C150+R$6-MIN(($D150+R$5),PERMANENT_FIELD_LABOR_HOURS)*PERMANENT_HOURLY_RATE-MAX(0,($D150+R$5)-PERMANENT_FIELD_LABOR_HOURS)*TEMP_HOURLY_RATE-FIXED_SEASON_COST)</f>
        <v>23470.9610101915</v>
      </c>
      <c r="S150" s="53" t="n">
        <f aca="false">IF(OR($A150&gt;TOMATO_BED_CAP,$B150&gt;CARROT_BED_CAP,S$4&gt;MESCLUN_BED_CAP,$A150+$B150+S$4&gt;TOTAL_BEDS_AVAILABLE,($D150+S$5)&gt;TOTAL_LABOR_HOURS_CAP,MAX(0,($D150+S$5)-PERMANENT_FIELD_LABOR_HOURS)&gt;TEMP_HOURS_CAP),"",$C150+S$6-MIN(($D150+S$5),PERMANENT_FIELD_LABOR_HOURS)*PERMANENT_HOURLY_RATE-MAX(0,($D150+S$5)-PERMANENT_FIELD_LABOR_HOURS)*TEMP_HOURLY_RATE-FIXED_SEASON_COST)</f>
        <v>24236.827598694</v>
      </c>
      <c r="T150" s="53" t="n">
        <f aca="false">IF(OR($A150&gt;TOMATO_BED_CAP,$B150&gt;CARROT_BED_CAP,T$4&gt;MESCLUN_BED_CAP,$A150+$B150+T$4&gt;TOTAL_BEDS_AVAILABLE,($D150+T$5)&gt;TOTAL_LABOR_HOURS_CAP,MAX(0,($D150+T$5)-PERMANENT_FIELD_LABOR_HOURS)&gt;TEMP_HOURS_CAP),"",$C150+T$6-MIN(($D150+T$5),PERMANENT_FIELD_LABOR_HOURS)*PERMANENT_HOURLY_RATE-MAX(0,($D150+T$5)-PERMANENT_FIELD_LABOR_HOURS)*TEMP_HOURLY_RATE-FIXED_SEASON_COST)</f>
        <v>24978.0410670888</v>
      </c>
      <c r="U150" s="53" t="n">
        <f aca="false">IF(OR($A150&gt;TOMATO_BED_CAP,$B150&gt;CARROT_BED_CAP,U$4&gt;MESCLUN_BED_CAP,$A150+$B150+U$4&gt;TOTAL_BEDS_AVAILABLE,($D150+U$5)&gt;TOTAL_LABOR_HOURS_CAP,MAX(0,($D150+U$5)-PERMANENT_FIELD_LABOR_HOURS)&gt;TEMP_HOURS_CAP),"",$C150+U$6-MIN(($D150+U$5),PERMANENT_FIELD_LABOR_HOURS)*PERMANENT_HOURLY_RATE-MAX(0,($D150+U$5)-PERMANENT_FIELD_LABOR_HOURS)*TEMP_HOURLY_RATE-FIXED_SEASON_COST)</f>
        <v>25694.1497957189</v>
      </c>
      <c r="V150" s="53" t="n">
        <f aca="false">IF(OR($A150&gt;TOMATO_BED_CAP,$B150&gt;CARROT_BED_CAP,V$4&gt;MESCLUN_BED_CAP,$A150+$B150+V$4&gt;TOTAL_BEDS_AVAILABLE,($D150+V$5)&gt;TOTAL_LABOR_HOURS_CAP,MAX(0,($D150+V$5)-PERMANENT_FIELD_LABOR_HOURS)&gt;TEMP_HOURS_CAP),"",$C150+V$6-MIN(($D150+V$5),PERMANENT_FIELD_LABOR_HOURS)*PERMANENT_HOURLY_RATE-MAX(0,($D150+V$5)-PERMANENT_FIELD_LABOR_HOURS)*TEMP_HOURLY_RATE-FIXED_SEASON_COST)</f>
        <v>26384.6947264857</v>
      </c>
      <c r="W150" s="53" t="n">
        <f aca="false">IF(OR($A150&gt;TOMATO_BED_CAP,$B150&gt;CARROT_BED_CAP,W$4&gt;MESCLUN_BED_CAP,$A150+$B150+W$4&gt;TOTAL_BEDS_AVAILABLE,($D150+W$5)&gt;TOTAL_LABOR_HOURS_CAP,MAX(0,($D150+W$5)-PERMANENT_FIELD_LABOR_HOURS)&gt;TEMP_HOURS_CAP),"",$C150+W$6-MIN(($D150+W$5),PERMANENT_FIELD_LABOR_HOURS)*PERMANENT_HOURLY_RATE-MAX(0,($D150+W$5)-PERMANENT_FIELD_LABOR_HOURS)*TEMP_HOURLY_RATE-FIXED_SEASON_COST)</f>
        <v>27049.2092474538</v>
      </c>
      <c r="X150" s="53" t="n">
        <f aca="false">IF(OR($A150&gt;TOMATO_BED_CAP,$B150&gt;CARROT_BED_CAP,X$4&gt;MESCLUN_BED_CAP,$A150+$B150+X$4&gt;TOTAL_BEDS_AVAILABLE,($D150+X$5)&gt;TOTAL_LABOR_HOURS_CAP,MAX(0,($D150+X$5)-PERMANENT_FIELD_LABOR_HOURS)&gt;TEMP_HOURS_CAP),"",$C150+X$6-MIN(($D150+X$5),PERMANENT_FIELD_LABOR_HOURS)*PERMANENT_HOURLY_RATE-MAX(0,($D150+X$5)-PERMANENT_FIELD_LABOR_HOURS)*TEMP_HOURLY_RATE-FIXED_SEASON_COST)</f>
        <v>27687.2190757327</v>
      </c>
      <c r="Y150" s="53" t="n">
        <f aca="false">IF(OR($A150&gt;TOMATO_BED_CAP,$B150&gt;CARROT_BED_CAP,Y$4&gt;MESCLUN_BED_CAP,$A150+$B150+Y$4&gt;TOTAL_BEDS_AVAILABLE,($D150+Y$5)&gt;TOTAL_LABOR_HOURS_CAP,MAX(0,($D150+Y$5)-PERMANENT_FIELD_LABOR_HOURS)&gt;TEMP_HOURS_CAP),"",$C150+Y$6-MIN(($D150+Y$5),PERMANENT_FIELD_LABOR_HOURS)*PERMANENT_HOURLY_RATE-MAX(0,($D150+Y$5)-PERMANENT_FIELD_LABOR_HOURS)*TEMP_HOURLY_RATE-FIXED_SEASON_COST)</f>
        <v>28298.2421386114</v>
      </c>
      <c r="Z150" s="53" t="n">
        <f aca="false">IF(OR($A150&gt;TOMATO_BED_CAP,$B150&gt;CARROT_BED_CAP,Z$4&gt;MESCLUN_BED_CAP,$A150+$B150+Z$4&gt;TOTAL_BEDS_AVAILABLE,($D150+Z$5)&gt;TOTAL_LABOR_HOURS_CAP,MAX(0,($D150+Z$5)-PERMANENT_FIELD_LABOR_HOURS)&gt;TEMP_HOURS_CAP),"",$C150+Z$6-MIN(($D150+Z$5),PERMANENT_FIELD_LABOR_HOURS)*PERMANENT_HOURLY_RATE-MAX(0,($D150+Z$5)-PERMANENT_FIELD_LABOR_HOURS)*TEMP_HOURLY_RATE-FIXED_SEASON_COST)</f>
        <v>28881.7884529191</v>
      </c>
      <c r="AA150" s="53" t="n">
        <f aca="false">IF(OR($A150&gt;TOMATO_BED_CAP,$B150&gt;CARROT_BED_CAP,AA$4&gt;MESCLUN_BED_CAP,$A150+$B150+AA$4&gt;TOTAL_BEDS_AVAILABLE,($D150+AA$5)&gt;TOTAL_LABOR_HOURS_CAP,MAX(0,($D150+AA$5)-PERMANENT_FIELD_LABOR_HOURS)&gt;TEMP_HOURS_CAP),"",$C150+AA$6-MIN(($D150+AA$5),PERMANENT_FIELD_LABOR_HOURS)*PERMANENT_HOURLY_RATE-MAX(0,($D150+AA$5)-PERMANENT_FIELD_LABOR_HOURS)*TEMP_HOURLY_RATE-FIXED_SEASON_COST)</f>
        <v>29437.360002588</v>
      </c>
      <c r="AB150" s="53" t="n">
        <f aca="false">IF(OR($A150&gt;TOMATO_BED_CAP,$B150&gt;CARROT_BED_CAP,AB$4&gt;MESCLUN_BED_CAP,$A150+$B150+AB$4&gt;TOTAL_BEDS_AVAILABLE,($D150+AB$5)&gt;TOTAL_LABOR_HOURS_CAP,MAX(0,($D150+AB$5)-PERMANENT_FIELD_LABOR_HOURS)&gt;TEMP_HOURS_CAP),"",$C150+AB$6-MIN(($D150+AB$5),PERMANENT_FIELD_LABOR_HOURS)*PERMANENT_HOURLY_RATE-MAX(0,($D150+AB$5)-PERMANENT_FIELD_LABOR_HOURS)*TEMP_HOURLY_RATE-FIXED_SEASON_COST)</f>
        <v>29964.4506143906</v>
      </c>
      <c r="AC150" s="53" t="n">
        <f aca="false">IF(OR($A150&gt;TOMATO_BED_CAP,$B150&gt;CARROT_BED_CAP,AC$4&gt;MESCLUN_BED_CAP,$A150+$B150+AC$4&gt;TOTAL_BEDS_AVAILABLE,($D150+AC$5)&gt;TOTAL_LABOR_HOURS_CAP,MAX(0,($D150+AC$5)-PERMANENT_FIELD_LABOR_HOURS)&gt;TEMP_HOURS_CAP),"",$C150+AC$6-MIN(($D150+AC$5),PERMANENT_FIELD_LABOR_HOURS)*PERMANENT_HOURLY_RATE-MAX(0,($D150+AC$5)-PERMANENT_FIELD_LABOR_HOURS)*TEMP_HOURLY_RATE-FIXED_SEASON_COST)</f>
        <v>30462.5458318255</v>
      </c>
      <c r="AD150" s="53" t="n">
        <f aca="false">IF(OR($A150&gt;TOMATO_BED_CAP,$B150&gt;CARROT_BED_CAP,AD$4&gt;MESCLUN_BED_CAP,$A150+$B150+AD$4&gt;TOTAL_BEDS_AVAILABLE,($D150+AD$5)&gt;TOTAL_LABOR_HOURS_CAP,MAX(0,($D150+AD$5)-PERMANENT_FIELD_LABOR_HOURS)&gt;TEMP_HOURS_CAP),"",$C150+AD$6-MIN(($D150+AD$5),PERMANENT_FIELD_LABOR_HOURS)*PERMANENT_HOURLY_RATE-MAX(0,($D150+AD$5)-PERMANENT_FIELD_LABOR_HOURS)*TEMP_HOURLY_RATE-FIXED_SEASON_COST)</f>
        <v>30931.1227871254</v>
      </c>
      <c r="AE150" s="53" t="n">
        <f aca="false">IF(OR($A150&gt;TOMATO_BED_CAP,$B150&gt;CARROT_BED_CAP,AE$4&gt;MESCLUN_BED_CAP,$A150+$B150+AE$4&gt;TOTAL_BEDS_AVAILABLE,($D150+AE$5)&gt;TOTAL_LABOR_HOURS_CAP,MAX(0,($D150+AE$5)-PERMANENT_FIELD_LABOR_HOURS)&gt;TEMP_HOURS_CAP),"",$C150+AE$6-MIN(($D150+AE$5),PERMANENT_FIELD_LABOR_HOURS)*PERMANENT_HOURLY_RATE-MAX(0,($D150+AE$5)-PERMANENT_FIELD_LABOR_HOURS)*TEMP_HOURLY_RATE-FIXED_SEASON_COST)</f>
        <v>31369.6500713593</v>
      </c>
      <c r="AF150" s="53" t="n">
        <f aca="false">IF(OR($A150&gt;TOMATO_BED_CAP,$B150&gt;CARROT_BED_CAP,AF$4&gt;MESCLUN_BED_CAP,$A150+$B150+AF$4&gt;TOTAL_BEDS_AVAILABLE,($D150+AF$5)&gt;TOTAL_LABOR_HOURS_CAP,MAX(0,($D150+AF$5)-PERMANENT_FIELD_LABOR_HOURS)&gt;TEMP_HOURS_CAP),"",$C150+AF$6-MIN(($D150+AF$5),PERMANENT_FIELD_LABOR_HOURS)*PERMANENT_HOURLY_RATE-MAX(0,($D150+AF$5)-PERMANENT_FIELD_LABOR_HOURS)*TEMP_HOURLY_RATE-FIXED_SEASON_COST)</f>
        <v>31777.5876026013</v>
      </c>
      <c r="AG150" s="53" t="n">
        <f aca="false">IF(OR($A150&gt;TOMATO_BED_CAP,$B150&gt;CARROT_BED_CAP,AG$4&gt;MESCLUN_BED_CAP,$A150+$B150+AG$4&gt;TOTAL_BEDS_AVAILABLE,($D150+AG$5)&gt;TOTAL_LABOR_HOURS_CAP,MAX(0,($D150+AG$5)-PERMANENT_FIELD_LABOR_HOURS)&gt;TEMP_HOURS_CAP),"",$C150+AG$6-MIN(($D150+AG$5),PERMANENT_FIELD_LABOR_HOURS)*PERMANENT_HOURLY_RATE-MAX(0,($D150+AG$5)-PERMANENT_FIELD_LABOR_HOURS)*TEMP_HOURLY_RATE-FIXED_SEASON_COST)</f>
        <v>32154.3864921383</v>
      </c>
      <c r="AH150" s="53" t="n">
        <f aca="false">IF(OR($A150&gt;TOMATO_BED_CAP,$B150&gt;CARROT_BED_CAP,AH$4&gt;MESCLUN_BED_CAP,$A150+$B150+AH$4&gt;TOTAL_BEDS_AVAILABLE,($D150+AH$5)&gt;TOTAL_LABOR_HOURS_CAP,MAX(0,($D150+AH$5)-PERMANENT_FIELD_LABOR_HOURS)&gt;TEMP_HOURS_CAP),"",$C150+AH$6-MIN(($D150+AH$5),PERMANENT_FIELD_LABOR_HOURS)*PERMANENT_HOURLY_RATE-MAX(0,($D150+AH$5)-PERMANENT_FIELD_LABOR_HOURS)*TEMP_HOURLY_RATE-FIXED_SEASON_COST)</f>
        <v>32499.4889086885</v>
      </c>
      <c r="AI150" s="53" t="n">
        <f aca="false">IF(OR($A150&gt;TOMATO_BED_CAP,$B150&gt;CARROT_BED_CAP,AI$4&gt;MESCLUN_BED_CAP,$A150+$B150+AI$4&gt;TOTAL_BEDS_AVAILABLE,($D150+AI$5)&gt;TOTAL_LABOR_HOURS_CAP,MAX(0,($D150+AI$5)-PERMANENT_FIELD_LABOR_HOURS)&gt;TEMP_HOURS_CAP),"",$C150+AI$6-MIN(($D150+AI$5),PERMANENT_FIELD_LABOR_HOURS)*PERMANENT_HOURLY_RATE-MAX(0,($D150+AI$5)-PERMANENT_FIELD_LABOR_HOURS)*TEMP_HOURLY_RATE-FIXED_SEASON_COST)</f>
        <v>32812.3279406008</v>
      </c>
      <c r="AJ150" s="53" t="n">
        <f aca="false">IF(OR($A150&gt;TOMATO_BED_CAP,$B150&gt;CARROT_BED_CAP,AJ$4&gt;MESCLUN_BED_CAP,$A150+$B150+AJ$4&gt;TOTAL_BEDS_AVAILABLE,($D150+AJ$5)&gt;TOTAL_LABOR_HOURS_CAP,MAX(0,($D150+AJ$5)-PERMANENT_FIELD_LABOR_HOURS)&gt;TEMP_HOURS_CAP),"",$C150+AJ$6-MIN(($D150+AJ$5),PERMANENT_FIELD_LABOR_HOURS)*PERMANENT_HOURLY_RATE-MAX(0,($D150+AJ$5)-PERMANENT_FIELD_LABOR_HOURS)*TEMP_HOURLY_RATE-FIXED_SEASON_COST)</f>
        <v>33092.3274560065</v>
      </c>
    </row>
    <row r="151" customFormat="false" ht="15" hidden="false" customHeight="false" outlineLevel="0" collapsed="false">
      <c r="A151" s="21" t="n">
        <f aca="false">INT((ROW()-ROW($A$8))/(20+1))</f>
        <v>6</v>
      </c>
      <c r="B151" s="21" t="n">
        <f aca="false">MOD(ROW()-ROW($A$8),20+1)</f>
        <v>17</v>
      </c>
      <c r="C151" s="13" t="n">
        <f aca="false">A151*(TOMATO_REVENUE_PER_BED-TOMATO_FERTILIZER_PER_BED)+B151*(CARROT_REVENUE_PER_BED-CARROT_FERTILIZER_PER_BED)</f>
        <v>75638</v>
      </c>
      <c r="D151" s="14" t="n">
        <f aca="false">INDEX(TOMATO_SCHED_LABOR_HRS,A151+1)+INDEX(CARROT_SCHED_LABOR_HRS,B151+1)</f>
        <v>1732.35784307503</v>
      </c>
      <c r="E151" s="13" t="n">
        <f aca="false">IF(COUNT(F151:AJ151)=0,"",MAX(F151:AJ151))</f>
        <v>33645.05713909</v>
      </c>
      <c r="F151" s="53" t="n">
        <f aca="false">IF(OR($A151&gt;TOMATO_BED_CAP,$B151&gt;CARROT_BED_CAP,F$4&gt;MESCLUN_BED_CAP,$A151+$B151+F$4&gt;TOTAL_BEDS_AVAILABLE,($D151+F$5)&gt;TOTAL_LABOR_HOURS_CAP,MAX(0,($D151+F$5)-PERMANENT_FIELD_LABOR_HOURS)&gt;TEMP_HOURS_CAP),"",$C151+F$6-MIN(($D151+F$5),PERMANENT_FIELD_LABOR_HOURS)*PERMANENT_HOURLY_RATE-MAX(0,($D151+F$5)-PERMANENT_FIELD_LABOR_HOURS)*TEMP_HOURLY_RATE-FIXED_SEASON_COST)</f>
        <v>13065.0678442175</v>
      </c>
      <c r="G151" s="53" t="n">
        <f aca="false">IF(OR($A151&gt;TOMATO_BED_CAP,$B151&gt;CARROT_BED_CAP,G$4&gt;MESCLUN_BED_CAP,$A151+$B151+G$4&gt;TOTAL_BEDS_AVAILABLE,($D151+G$5)&gt;TOTAL_LABOR_HOURS_CAP,MAX(0,($D151+G$5)-PERMANENT_FIELD_LABOR_HOURS)&gt;TEMP_HOURS_CAP),"",$C151+G$6-MIN(($D151+G$5),PERMANENT_FIELD_LABOR_HOURS)*PERMANENT_HOURLY_RATE-MAX(0,($D151+G$5)-PERMANENT_FIELD_LABOR_HOURS)*TEMP_HOURLY_RATE-FIXED_SEASON_COST)</f>
        <v>14094.1028442175</v>
      </c>
      <c r="H151" s="53" t="n">
        <f aca="false">IF(OR($A151&gt;TOMATO_BED_CAP,$B151&gt;CARROT_BED_CAP,H$4&gt;MESCLUN_BED_CAP,$A151+$B151+H$4&gt;TOTAL_BEDS_AVAILABLE,($D151+H$5)&gt;TOTAL_LABOR_HOURS_CAP,MAX(0,($D151+H$5)-PERMANENT_FIELD_LABOR_HOURS)&gt;TEMP_HOURS_CAP),"",$C151+H$6-MIN(($D151+H$5),PERMANENT_FIELD_LABOR_HOURS)*PERMANENT_HOURLY_RATE-MAX(0,($D151+H$5)-PERMANENT_FIELD_LABOR_HOURS)*TEMP_HOURLY_RATE-FIXED_SEASON_COST)</f>
        <v>15103.3637192175</v>
      </c>
      <c r="I151" s="53" t="n">
        <f aca="false">IF(OR($A151&gt;TOMATO_BED_CAP,$B151&gt;CARROT_BED_CAP,I$4&gt;MESCLUN_BED_CAP,$A151+$B151+I$4&gt;TOTAL_BEDS_AVAILABLE,($D151+I$5)&gt;TOTAL_LABOR_HOURS_CAP,MAX(0,($D151+I$5)-PERMANENT_FIELD_LABOR_HOURS)&gt;TEMP_HOURS_CAP),"",$C151+I$6-MIN(($D151+I$5),PERMANENT_FIELD_LABOR_HOURS)*PERMANENT_HOURLY_RATE-MAX(0,($D151+I$5)-PERMANENT_FIELD_LABOR_HOURS)*TEMP_HOURLY_RATE-FIXED_SEASON_COST)</f>
        <v>16092.4797043737</v>
      </c>
      <c r="J151" s="53" t="n">
        <f aca="false">IF(OR($A151&gt;TOMATO_BED_CAP,$B151&gt;CARROT_BED_CAP,J$4&gt;MESCLUN_BED_CAP,$A151+$B151+J$4&gt;TOTAL_BEDS_AVAILABLE,($D151+J$5)&gt;TOTAL_LABOR_HOURS_CAP,MAX(0,($D151+J$5)-PERMANENT_FIELD_LABOR_HOURS)&gt;TEMP_HOURS_CAP),"",$C151+J$6-MIN(($D151+J$5),PERMANENT_FIELD_LABOR_HOURS)*PERMANENT_HOURLY_RATE-MAX(0,($D151+J$5)-PERMANENT_FIELD_LABOR_HOURS)*TEMP_HOURLY_RATE-FIXED_SEASON_COST)</f>
        <v>17061.0738554284</v>
      </c>
      <c r="K151" s="53" t="n">
        <f aca="false">IF(OR($A151&gt;TOMATO_BED_CAP,$B151&gt;CARROT_BED_CAP,K$4&gt;MESCLUN_BED_CAP,$A151+$B151+K$4&gt;TOTAL_BEDS_AVAILABLE,($D151+K$5)&gt;TOTAL_LABOR_HOURS_CAP,MAX(0,($D151+K$5)-PERMANENT_FIELD_LABOR_HOURS)&gt;TEMP_HOURS_CAP),"",$C151+K$6-MIN(($D151+K$5),PERMANENT_FIELD_LABOR_HOURS)*PERMANENT_HOURLY_RATE-MAX(0,($D151+K$5)-PERMANENT_FIELD_LABOR_HOURS)*TEMP_HOURLY_RATE-FIXED_SEASON_COST)</f>
        <v>18008.7629521564</v>
      </c>
      <c r="L151" s="53" t="n">
        <f aca="false">IF(OR($A151&gt;TOMATO_BED_CAP,$B151&gt;CARROT_BED_CAP,L$4&gt;MESCLUN_BED_CAP,$A151+$B151+L$4&gt;TOTAL_BEDS_AVAILABLE,($D151+L$5)&gt;TOTAL_LABOR_HOURS_CAP,MAX(0,($D151+L$5)-PERMANENT_FIELD_LABOR_HOURS)&gt;TEMP_HOURS_CAP),"",$C151+L$6-MIN(($D151+L$5),PERMANENT_FIELD_LABOR_HOURS)*PERMANENT_HOURLY_RATE-MAX(0,($D151+L$5)-PERMANENT_FIELD_LABOR_HOURS)*TEMP_HOURLY_RATE-FIXED_SEASON_COST)</f>
        <v>18935.1574003632</v>
      </c>
      <c r="M151" s="53" t="n">
        <f aca="false">IF(OR($A151&gt;TOMATO_BED_CAP,$B151&gt;CARROT_BED_CAP,M$4&gt;MESCLUN_BED_CAP,$A151+$B151+M$4&gt;TOTAL_BEDS_AVAILABLE,($D151+M$5)&gt;TOTAL_LABOR_HOURS_CAP,MAX(0,($D151+M$5)-PERMANENT_FIELD_LABOR_HOURS)&gt;TEMP_HOURS_CAP),"",$C151+M$6-MIN(($D151+M$5),PERMANENT_FIELD_LABOR_HOURS)*PERMANENT_HOURLY_RATE-MAX(0,($D151+M$5)-PERMANENT_FIELD_LABOR_HOURS)*TEMP_HOURLY_RATE-FIXED_SEASON_COST)</f>
        <v>19839.8611324146</v>
      </c>
      <c r="N151" s="53" t="n">
        <f aca="false">IF(OR($A151&gt;TOMATO_BED_CAP,$B151&gt;CARROT_BED_CAP,N$4&gt;MESCLUN_BED_CAP,$A151+$B151+N$4&gt;TOTAL_BEDS_AVAILABLE,($D151+N$5)&gt;TOTAL_LABOR_HOURS_CAP,MAX(0,($D151+N$5)-PERMANENT_FIELD_LABOR_HOURS)&gt;TEMP_HOURS_CAP),"",$C151+N$6-MIN(($D151+N$5),PERMANENT_FIELD_LABOR_HOURS)*PERMANENT_HOURLY_RATE-MAX(0,($D151+N$5)-PERMANENT_FIELD_LABOR_HOURS)*TEMP_HOURLY_RATE-FIXED_SEASON_COST)</f>
        <v>20722.4715062742</v>
      </c>
      <c r="O151" s="53" t="n">
        <f aca="false">IF(OR($A151&gt;TOMATO_BED_CAP,$B151&gt;CARROT_BED_CAP,O$4&gt;MESCLUN_BED_CAP,$A151+$B151+O$4&gt;TOTAL_BEDS_AVAILABLE,($D151+O$5)&gt;TOTAL_LABOR_HOURS_CAP,MAX(0,($D151+O$5)-PERMANENT_FIELD_LABOR_HOURS)&gt;TEMP_HOURS_CAP),"",$C151+O$6-MIN(($D151+O$5),PERMANENT_FIELD_LABOR_HOURS)*PERMANENT_HOURLY_RATE-MAX(0,($D151+O$5)-PERMANENT_FIELD_LABOR_HOURS)*TEMP_HOURLY_RATE-FIXED_SEASON_COST)</f>
        <v>21582.5792030289</v>
      </c>
      <c r="P151" s="53" t="n">
        <f aca="false">IF(OR($A151&gt;TOMATO_BED_CAP,$B151&gt;CARROT_BED_CAP,P$4&gt;MESCLUN_BED_CAP,$A151+$B151+P$4&gt;TOTAL_BEDS_AVAILABLE,($D151+P$5)&gt;TOTAL_LABOR_HOURS_CAP,MAX(0,($D151+P$5)-PERMANENT_FIELD_LABOR_HOURS)&gt;TEMP_HOURS_CAP),"",$C151+P$6-MIN(($D151+P$5),PERMANENT_FIELD_LABOR_HOURS)*PERMANENT_HOURLY_RATE-MAX(0,($D151+P$5)-PERMANENT_FIELD_LABOR_HOURS)*TEMP_HOURLY_RATE-FIXED_SEASON_COST)</f>
        <v>22419.7681228803</v>
      </c>
      <c r="Q151" s="53" t="n">
        <f aca="false">IF(OR($A151&gt;TOMATO_BED_CAP,$B151&gt;CARROT_BED_CAP,Q$4&gt;MESCLUN_BED_CAP,$A151+$B151+Q$4&gt;TOTAL_BEDS_AVAILABLE,($D151+Q$5)&gt;TOTAL_LABOR_HOURS_CAP,MAX(0,($D151+Q$5)-PERMANENT_FIELD_LABOR_HOURS)&gt;TEMP_HOURS_CAP),"",$C151+Q$6-MIN(($D151+Q$5),PERMANENT_FIELD_LABOR_HOURS)*PERMANENT_HOURLY_RATE-MAX(0,($D151+Q$5)-PERMANENT_FIELD_LABOR_HOURS)*TEMP_HOURLY_RATE-FIXED_SEASON_COST)</f>
        <v>23233.6152795782</v>
      </c>
      <c r="R151" s="53" t="n">
        <f aca="false">IF(OR($A151&gt;TOMATO_BED_CAP,$B151&gt;CARROT_BED_CAP,R$4&gt;MESCLUN_BED_CAP,$A151+$B151+R$4&gt;TOTAL_BEDS_AVAILABLE,($D151+R$5)&gt;TOTAL_LABOR_HOURS_CAP,MAX(0,($D151+R$5)-PERMANENT_FIELD_LABOR_HOURS)&gt;TEMP_HOURS_CAP),"",$C151+R$6-MIN(($D151+R$5),PERMANENT_FIELD_LABOR_HOURS)*PERMANENT_HOURLY_RATE-MAX(0,($D151+R$5)-PERMANENT_FIELD_LABOR_HOURS)*TEMP_HOURLY_RATE-FIXED_SEASON_COST)</f>
        <v>24023.690693275</v>
      </c>
      <c r="S151" s="53" t="n">
        <f aca="false">IF(OR($A151&gt;TOMATO_BED_CAP,$B151&gt;CARROT_BED_CAP,S$4&gt;MESCLUN_BED_CAP,$A151+$B151+S$4&gt;TOTAL_BEDS_AVAILABLE,($D151+S$5)&gt;TOTAL_LABOR_HOURS_CAP,MAX(0,($D151+S$5)-PERMANENT_FIELD_LABOR_HOURS)&gt;TEMP_HOURS_CAP),"",$C151+S$6-MIN(($D151+S$5),PERMANENT_FIELD_LABOR_HOURS)*PERMANENT_HOURLY_RATE-MAX(0,($D151+S$5)-PERMANENT_FIELD_LABOR_HOURS)*TEMP_HOURLY_RATE-FIXED_SEASON_COST)</f>
        <v>24789.5572817775</v>
      </c>
      <c r="T151" s="53" t="n">
        <f aca="false">IF(OR($A151&gt;TOMATO_BED_CAP,$B151&gt;CARROT_BED_CAP,T$4&gt;MESCLUN_BED_CAP,$A151+$B151+T$4&gt;TOTAL_BEDS_AVAILABLE,($D151+T$5)&gt;TOTAL_LABOR_HOURS_CAP,MAX(0,($D151+T$5)-PERMANENT_FIELD_LABOR_HOURS)&gt;TEMP_HOURS_CAP),"",$C151+T$6-MIN(($D151+T$5),PERMANENT_FIELD_LABOR_HOURS)*PERMANENT_HOURLY_RATE-MAX(0,($D151+T$5)-PERMANENT_FIELD_LABOR_HOURS)*TEMP_HOURLY_RATE-FIXED_SEASON_COST)</f>
        <v>25530.7707501723</v>
      </c>
      <c r="U151" s="53" t="n">
        <f aca="false">IF(OR($A151&gt;TOMATO_BED_CAP,$B151&gt;CARROT_BED_CAP,U$4&gt;MESCLUN_BED_CAP,$A151+$B151+U$4&gt;TOTAL_BEDS_AVAILABLE,($D151+U$5)&gt;TOTAL_LABOR_HOURS_CAP,MAX(0,($D151+U$5)-PERMANENT_FIELD_LABOR_HOURS)&gt;TEMP_HOURS_CAP),"",$C151+U$6-MIN(($D151+U$5),PERMANENT_FIELD_LABOR_HOURS)*PERMANENT_HOURLY_RATE-MAX(0,($D151+U$5)-PERMANENT_FIELD_LABOR_HOURS)*TEMP_HOURLY_RATE-FIXED_SEASON_COST)</f>
        <v>26246.8794788024</v>
      </c>
      <c r="V151" s="53" t="n">
        <f aca="false">IF(OR($A151&gt;TOMATO_BED_CAP,$B151&gt;CARROT_BED_CAP,V$4&gt;MESCLUN_BED_CAP,$A151+$B151+V$4&gt;TOTAL_BEDS_AVAILABLE,($D151+V$5)&gt;TOTAL_LABOR_HOURS_CAP,MAX(0,($D151+V$5)-PERMANENT_FIELD_LABOR_HOURS)&gt;TEMP_HOURS_CAP),"",$C151+V$6-MIN(($D151+V$5),PERMANENT_FIELD_LABOR_HOURS)*PERMANENT_HOURLY_RATE-MAX(0,($D151+V$5)-PERMANENT_FIELD_LABOR_HOURS)*TEMP_HOURLY_RATE-FIXED_SEASON_COST)</f>
        <v>26937.4244095692</v>
      </c>
      <c r="W151" s="53" t="n">
        <f aca="false">IF(OR($A151&gt;TOMATO_BED_CAP,$B151&gt;CARROT_BED_CAP,W$4&gt;MESCLUN_BED_CAP,$A151+$B151+W$4&gt;TOTAL_BEDS_AVAILABLE,($D151+W$5)&gt;TOTAL_LABOR_HOURS_CAP,MAX(0,($D151+W$5)-PERMANENT_FIELD_LABOR_HOURS)&gt;TEMP_HOURS_CAP),"",$C151+W$6-MIN(($D151+W$5),PERMANENT_FIELD_LABOR_HOURS)*PERMANENT_HOURLY_RATE-MAX(0,($D151+W$5)-PERMANENT_FIELD_LABOR_HOURS)*TEMP_HOURLY_RATE-FIXED_SEASON_COST)</f>
        <v>27601.9389305373</v>
      </c>
      <c r="X151" s="53" t="n">
        <f aca="false">IF(OR($A151&gt;TOMATO_BED_CAP,$B151&gt;CARROT_BED_CAP,X$4&gt;MESCLUN_BED_CAP,$A151+$B151+X$4&gt;TOTAL_BEDS_AVAILABLE,($D151+X$5)&gt;TOTAL_LABOR_HOURS_CAP,MAX(0,($D151+X$5)-PERMANENT_FIELD_LABOR_HOURS)&gt;TEMP_HOURS_CAP),"",$C151+X$6-MIN(($D151+X$5),PERMANENT_FIELD_LABOR_HOURS)*PERMANENT_HOURLY_RATE-MAX(0,($D151+X$5)-PERMANENT_FIELD_LABOR_HOURS)*TEMP_HOURLY_RATE-FIXED_SEASON_COST)</f>
        <v>28239.9487588162</v>
      </c>
      <c r="Y151" s="53" t="n">
        <f aca="false">IF(OR($A151&gt;TOMATO_BED_CAP,$B151&gt;CARROT_BED_CAP,Y$4&gt;MESCLUN_BED_CAP,$A151+$B151+Y$4&gt;TOTAL_BEDS_AVAILABLE,($D151+Y$5)&gt;TOTAL_LABOR_HOURS_CAP,MAX(0,($D151+Y$5)-PERMANENT_FIELD_LABOR_HOURS)&gt;TEMP_HOURS_CAP),"",$C151+Y$6-MIN(($D151+Y$5),PERMANENT_FIELD_LABOR_HOURS)*PERMANENT_HOURLY_RATE-MAX(0,($D151+Y$5)-PERMANENT_FIELD_LABOR_HOURS)*TEMP_HOURLY_RATE-FIXED_SEASON_COST)</f>
        <v>28850.9718216949</v>
      </c>
      <c r="Z151" s="53" t="n">
        <f aca="false">IF(OR($A151&gt;TOMATO_BED_CAP,$B151&gt;CARROT_BED_CAP,Z$4&gt;MESCLUN_BED_CAP,$A151+$B151+Z$4&gt;TOTAL_BEDS_AVAILABLE,($D151+Z$5)&gt;TOTAL_LABOR_HOURS_CAP,MAX(0,($D151+Z$5)-PERMANENT_FIELD_LABOR_HOURS)&gt;TEMP_HOURS_CAP),"",$C151+Z$6-MIN(($D151+Z$5),PERMANENT_FIELD_LABOR_HOURS)*PERMANENT_HOURLY_RATE-MAX(0,($D151+Z$5)-PERMANENT_FIELD_LABOR_HOURS)*TEMP_HOURLY_RATE-FIXED_SEASON_COST)</f>
        <v>29434.5181360026</v>
      </c>
      <c r="AA151" s="53" t="n">
        <f aca="false">IF(OR($A151&gt;TOMATO_BED_CAP,$B151&gt;CARROT_BED_CAP,AA$4&gt;MESCLUN_BED_CAP,$A151+$B151+AA$4&gt;TOTAL_BEDS_AVAILABLE,($D151+AA$5)&gt;TOTAL_LABOR_HOURS_CAP,MAX(0,($D151+AA$5)-PERMANENT_FIELD_LABOR_HOURS)&gt;TEMP_HOURS_CAP),"",$C151+AA$6-MIN(($D151+AA$5),PERMANENT_FIELD_LABOR_HOURS)*PERMANENT_HOURLY_RATE-MAX(0,($D151+AA$5)-PERMANENT_FIELD_LABOR_HOURS)*TEMP_HOURLY_RATE-FIXED_SEASON_COST)</f>
        <v>29990.0896856715</v>
      </c>
      <c r="AB151" s="53" t="n">
        <f aca="false">IF(OR($A151&gt;TOMATO_BED_CAP,$B151&gt;CARROT_BED_CAP,AB$4&gt;MESCLUN_BED_CAP,$A151+$B151+AB$4&gt;TOTAL_BEDS_AVAILABLE,($D151+AB$5)&gt;TOTAL_LABOR_HOURS_CAP,MAX(0,($D151+AB$5)-PERMANENT_FIELD_LABOR_HOURS)&gt;TEMP_HOURS_CAP),"",$C151+AB$6-MIN(($D151+AB$5),PERMANENT_FIELD_LABOR_HOURS)*PERMANENT_HOURLY_RATE-MAX(0,($D151+AB$5)-PERMANENT_FIELD_LABOR_HOURS)*TEMP_HOURLY_RATE-FIXED_SEASON_COST)</f>
        <v>30517.1802974741</v>
      </c>
      <c r="AC151" s="53" t="n">
        <f aca="false">IF(OR($A151&gt;TOMATO_BED_CAP,$B151&gt;CARROT_BED_CAP,AC$4&gt;MESCLUN_BED_CAP,$A151+$B151+AC$4&gt;TOTAL_BEDS_AVAILABLE,($D151+AC$5)&gt;TOTAL_LABOR_HOURS_CAP,MAX(0,($D151+AC$5)-PERMANENT_FIELD_LABOR_HOURS)&gt;TEMP_HOURS_CAP),"",$C151+AC$6-MIN(($D151+AC$5),PERMANENT_FIELD_LABOR_HOURS)*PERMANENT_HOURLY_RATE-MAX(0,($D151+AC$5)-PERMANENT_FIELD_LABOR_HOURS)*TEMP_HOURLY_RATE-FIXED_SEASON_COST)</f>
        <v>31015.275514909</v>
      </c>
      <c r="AD151" s="53" t="n">
        <f aca="false">IF(OR($A151&gt;TOMATO_BED_CAP,$B151&gt;CARROT_BED_CAP,AD$4&gt;MESCLUN_BED_CAP,$A151+$B151+AD$4&gt;TOTAL_BEDS_AVAILABLE,($D151+AD$5)&gt;TOTAL_LABOR_HOURS_CAP,MAX(0,($D151+AD$5)-PERMANENT_FIELD_LABOR_HOURS)&gt;TEMP_HOURS_CAP),"",$C151+AD$6-MIN(($D151+AD$5),PERMANENT_FIELD_LABOR_HOURS)*PERMANENT_HOURLY_RATE-MAX(0,($D151+AD$5)-PERMANENT_FIELD_LABOR_HOURS)*TEMP_HOURLY_RATE-FIXED_SEASON_COST)</f>
        <v>31483.8524702089</v>
      </c>
      <c r="AE151" s="53" t="n">
        <f aca="false">IF(OR($A151&gt;TOMATO_BED_CAP,$B151&gt;CARROT_BED_CAP,AE$4&gt;MESCLUN_BED_CAP,$A151+$B151+AE$4&gt;TOTAL_BEDS_AVAILABLE,($D151+AE$5)&gt;TOTAL_LABOR_HOURS_CAP,MAX(0,($D151+AE$5)-PERMANENT_FIELD_LABOR_HOURS)&gt;TEMP_HOURS_CAP),"",$C151+AE$6-MIN(($D151+AE$5),PERMANENT_FIELD_LABOR_HOURS)*PERMANENT_HOURLY_RATE-MAX(0,($D151+AE$5)-PERMANENT_FIELD_LABOR_HOURS)*TEMP_HOURLY_RATE-FIXED_SEASON_COST)</f>
        <v>31922.3797544429</v>
      </c>
      <c r="AF151" s="53" t="n">
        <f aca="false">IF(OR($A151&gt;TOMATO_BED_CAP,$B151&gt;CARROT_BED_CAP,AF$4&gt;MESCLUN_BED_CAP,$A151+$B151+AF$4&gt;TOTAL_BEDS_AVAILABLE,($D151+AF$5)&gt;TOTAL_LABOR_HOURS_CAP,MAX(0,($D151+AF$5)-PERMANENT_FIELD_LABOR_HOURS)&gt;TEMP_HOURS_CAP),"",$C151+AF$6-MIN(($D151+AF$5),PERMANENT_FIELD_LABOR_HOURS)*PERMANENT_HOURLY_RATE-MAX(0,($D151+AF$5)-PERMANENT_FIELD_LABOR_HOURS)*TEMP_HOURLY_RATE-FIXED_SEASON_COST)</f>
        <v>32330.3172856848</v>
      </c>
      <c r="AG151" s="53" t="n">
        <f aca="false">IF(OR($A151&gt;TOMATO_BED_CAP,$B151&gt;CARROT_BED_CAP,AG$4&gt;MESCLUN_BED_CAP,$A151+$B151+AG$4&gt;TOTAL_BEDS_AVAILABLE,($D151+AG$5)&gt;TOTAL_LABOR_HOURS_CAP,MAX(0,($D151+AG$5)-PERMANENT_FIELD_LABOR_HOURS)&gt;TEMP_HOURS_CAP),"",$C151+AG$6-MIN(($D151+AG$5),PERMANENT_FIELD_LABOR_HOURS)*PERMANENT_HOURLY_RATE-MAX(0,($D151+AG$5)-PERMANENT_FIELD_LABOR_HOURS)*TEMP_HOURLY_RATE-FIXED_SEASON_COST)</f>
        <v>32707.1161752218</v>
      </c>
      <c r="AH151" s="53" t="n">
        <f aca="false">IF(OR($A151&gt;TOMATO_BED_CAP,$B151&gt;CARROT_BED_CAP,AH$4&gt;MESCLUN_BED_CAP,$A151+$B151+AH$4&gt;TOTAL_BEDS_AVAILABLE,($D151+AH$5)&gt;TOTAL_LABOR_HOURS_CAP,MAX(0,($D151+AH$5)-PERMANENT_FIELD_LABOR_HOURS)&gt;TEMP_HOURS_CAP),"",$C151+AH$6-MIN(($D151+AH$5),PERMANENT_FIELD_LABOR_HOURS)*PERMANENT_HOURLY_RATE-MAX(0,($D151+AH$5)-PERMANENT_FIELD_LABOR_HOURS)*TEMP_HOURLY_RATE-FIXED_SEASON_COST)</f>
        <v>33052.218591772</v>
      </c>
      <c r="AI151" s="53" t="n">
        <f aca="false">IF(OR($A151&gt;TOMATO_BED_CAP,$B151&gt;CARROT_BED_CAP,AI$4&gt;MESCLUN_BED_CAP,$A151+$B151+AI$4&gt;TOTAL_BEDS_AVAILABLE,($D151+AI$5)&gt;TOTAL_LABOR_HOURS_CAP,MAX(0,($D151+AI$5)-PERMANENT_FIELD_LABOR_HOURS)&gt;TEMP_HOURS_CAP),"",$C151+AI$6-MIN(($D151+AI$5),PERMANENT_FIELD_LABOR_HOURS)*PERMANENT_HOURLY_RATE-MAX(0,($D151+AI$5)-PERMANENT_FIELD_LABOR_HOURS)*TEMP_HOURLY_RATE-FIXED_SEASON_COST)</f>
        <v>33365.0576236843</v>
      </c>
      <c r="AJ151" s="53" t="n">
        <f aca="false">IF(OR($A151&gt;TOMATO_BED_CAP,$B151&gt;CARROT_BED_CAP,AJ$4&gt;MESCLUN_BED_CAP,$A151+$B151+AJ$4&gt;TOTAL_BEDS_AVAILABLE,($D151+AJ$5)&gt;TOTAL_LABOR_HOURS_CAP,MAX(0,($D151+AJ$5)-PERMANENT_FIELD_LABOR_HOURS)&gt;TEMP_HOURS_CAP),"",$C151+AJ$6-MIN(($D151+AJ$5),PERMANENT_FIELD_LABOR_HOURS)*PERMANENT_HOURLY_RATE-MAX(0,($D151+AJ$5)-PERMANENT_FIELD_LABOR_HOURS)*TEMP_HOURLY_RATE-FIXED_SEASON_COST)</f>
        <v>33645.05713909</v>
      </c>
    </row>
    <row r="152" customFormat="false" ht="15" hidden="false" customHeight="false" outlineLevel="0" collapsed="false">
      <c r="A152" s="21" t="n">
        <f aca="false">INT((ROW()-ROW($A$8))/(20+1))</f>
        <v>6</v>
      </c>
      <c r="B152" s="21" t="n">
        <f aca="false">MOD(ROW()-ROW($A$8),20+1)</f>
        <v>18</v>
      </c>
      <c r="C152" s="13" t="n">
        <f aca="false">A152*(TOMATO_REVENUE_PER_BED-TOMATO_FERTILIZER_PER_BED)+B152*(CARROT_REVENUE_PER_BED-CARROT_FERTILIZER_PER_BED)</f>
        <v>77292</v>
      </c>
      <c r="D152" s="14" t="n">
        <f aca="false">INDEX(TOMATO_SCHED_LABOR_HRS,A152+1)+INDEX(CARROT_SCHED_LABOR_HRS,B152+1)</f>
        <v>1798.52176127849</v>
      </c>
      <c r="E152" s="13" t="n">
        <f aca="false">IF(COUNT(F152:AJ152)=0,"",MAX(F152:AJ152))</f>
        <v>34150.451519078</v>
      </c>
      <c r="F152" s="53" t="n">
        <f aca="false">IF(OR($A152&gt;TOMATO_BED_CAP,$B152&gt;CARROT_BED_CAP,F$4&gt;MESCLUN_BED_CAP,$A152+$B152+F$4&gt;TOTAL_BEDS_AVAILABLE,($D152+F$5)&gt;TOTAL_LABOR_HOURS_CAP,MAX(0,($D152+F$5)-PERMANENT_FIELD_LABOR_HOURS)&gt;TEMP_HOURS_CAP),"",$C152+F$6-MIN(($D152+F$5),PERMANENT_FIELD_LABOR_HOURS)*PERMANENT_HOURLY_RATE-MAX(0,($D152+F$5)-PERMANENT_FIELD_LABOR_HOURS)*TEMP_HOURLY_RATE-FIXED_SEASON_COST)</f>
        <v>13570.4622242055</v>
      </c>
      <c r="G152" s="53" t="n">
        <f aca="false">IF(OR($A152&gt;TOMATO_BED_CAP,$B152&gt;CARROT_BED_CAP,G$4&gt;MESCLUN_BED_CAP,$A152+$B152+G$4&gt;TOTAL_BEDS_AVAILABLE,($D152+G$5)&gt;TOTAL_LABOR_HOURS_CAP,MAX(0,($D152+G$5)-PERMANENT_FIELD_LABOR_HOURS)&gt;TEMP_HOURS_CAP),"",$C152+G$6-MIN(($D152+G$5),PERMANENT_FIELD_LABOR_HOURS)*PERMANENT_HOURLY_RATE-MAX(0,($D152+G$5)-PERMANENT_FIELD_LABOR_HOURS)*TEMP_HOURLY_RATE-FIXED_SEASON_COST)</f>
        <v>14599.4972242055</v>
      </c>
      <c r="H152" s="53" t="n">
        <f aca="false">IF(OR($A152&gt;TOMATO_BED_CAP,$B152&gt;CARROT_BED_CAP,H$4&gt;MESCLUN_BED_CAP,$A152+$B152+H$4&gt;TOTAL_BEDS_AVAILABLE,($D152+H$5)&gt;TOTAL_LABOR_HOURS_CAP,MAX(0,($D152+H$5)-PERMANENT_FIELD_LABOR_HOURS)&gt;TEMP_HOURS_CAP),"",$C152+H$6-MIN(($D152+H$5),PERMANENT_FIELD_LABOR_HOURS)*PERMANENT_HOURLY_RATE-MAX(0,($D152+H$5)-PERMANENT_FIELD_LABOR_HOURS)*TEMP_HOURLY_RATE-FIXED_SEASON_COST)</f>
        <v>15608.7580992055</v>
      </c>
      <c r="I152" s="53" t="n">
        <f aca="false">IF(OR($A152&gt;TOMATO_BED_CAP,$B152&gt;CARROT_BED_CAP,I$4&gt;MESCLUN_BED_CAP,$A152+$B152+I$4&gt;TOTAL_BEDS_AVAILABLE,($D152+I$5)&gt;TOTAL_LABOR_HOURS_CAP,MAX(0,($D152+I$5)-PERMANENT_FIELD_LABOR_HOURS)&gt;TEMP_HOURS_CAP),"",$C152+I$6-MIN(($D152+I$5),PERMANENT_FIELD_LABOR_HOURS)*PERMANENT_HOURLY_RATE-MAX(0,($D152+I$5)-PERMANENT_FIELD_LABOR_HOURS)*TEMP_HOURLY_RATE-FIXED_SEASON_COST)</f>
        <v>16597.8740843617</v>
      </c>
      <c r="J152" s="53" t="n">
        <f aca="false">IF(OR($A152&gt;TOMATO_BED_CAP,$B152&gt;CARROT_BED_CAP,J$4&gt;MESCLUN_BED_CAP,$A152+$B152+J$4&gt;TOTAL_BEDS_AVAILABLE,($D152+J$5)&gt;TOTAL_LABOR_HOURS_CAP,MAX(0,($D152+J$5)-PERMANENT_FIELD_LABOR_HOURS)&gt;TEMP_HOURS_CAP),"",$C152+J$6-MIN(($D152+J$5),PERMANENT_FIELD_LABOR_HOURS)*PERMANENT_HOURLY_RATE-MAX(0,($D152+J$5)-PERMANENT_FIELD_LABOR_HOURS)*TEMP_HOURLY_RATE-FIXED_SEASON_COST)</f>
        <v>17566.4682354164</v>
      </c>
      <c r="K152" s="53" t="n">
        <f aca="false">IF(OR($A152&gt;TOMATO_BED_CAP,$B152&gt;CARROT_BED_CAP,K$4&gt;MESCLUN_BED_CAP,$A152+$B152+K$4&gt;TOTAL_BEDS_AVAILABLE,($D152+K$5)&gt;TOTAL_LABOR_HOURS_CAP,MAX(0,($D152+K$5)-PERMANENT_FIELD_LABOR_HOURS)&gt;TEMP_HOURS_CAP),"",$C152+K$6-MIN(($D152+K$5),PERMANENT_FIELD_LABOR_HOURS)*PERMANENT_HOURLY_RATE-MAX(0,($D152+K$5)-PERMANENT_FIELD_LABOR_HOURS)*TEMP_HOURLY_RATE-FIXED_SEASON_COST)</f>
        <v>18514.1573321443</v>
      </c>
      <c r="L152" s="53" t="n">
        <f aca="false">IF(OR($A152&gt;TOMATO_BED_CAP,$B152&gt;CARROT_BED_CAP,L$4&gt;MESCLUN_BED_CAP,$A152+$B152+L$4&gt;TOTAL_BEDS_AVAILABLE,($D152+L$5)&gt;TOTAL_LABOR_HOURS_CAP,MAX(0,($D152+L$5)-PERMANENT_FIELD_LABOR_HOURS)&gt;TEMP_HOURS_CAP),"",$C152+L$6-MIN(($D152+L$5),PERMANENT_FIELD_LABOR_HOURS)*PERMANENT_HOURLY_RATE-MAX(0,($D152+L$5)-PERMANENT_FIELD_LABOR_HOURS)*TEMP_HOURLY_RATE-FIXED_SEASON_COST)</f>
        <v>19440.5517803512</v>
      </c>
      <c r="M152" s="53" t="n">
        <f aca="false">IF(OR($A152&gt;TOMATO_BED_CAP,$B152&gt;CARROT_BED_CAP,M$4&gt;MESCLUN_BED_CAP,$A152+$B152+M$4&gt;TOTAL_BEDS_AVAILABLE,($D152+M$5)&gt;TOTAL_LABOR_HOURS_CAP,MAX(0,($D152+M$5)-PERMANENT_FIELD_LABOR_HOURS)&gt;TEMP_HOURS_CAP),"",$C152+M$6-MIN(($D152+M$5),PERMANENT_FIELD_LABOR_HOURS)*PERMANENT_HOURLY_RATE-MAX(0,($D152+M$5)-PERMANENT_FIELD_LABOR_HOURS)*TEMP_HOURLY_RATE-FIXED_SEASON_COST)</f>
        <v>20345.2555124026</v>
      </c>
      <c r="N152" s="53" t="n">
        <f aca="false">IF(OR($A152&gt;TOMATO_BED_CAP,$B152&gt;CARROT_BED_CAP,N$4&gt;MESCLUN_BED_CAP,$A152+$B152+N$4&gt;TOTAL_BEDS_AVAILABLE,($D152+N$5)&gt;TOTAL_LABOR_HOURS_CAP,MAX(0,($D152+N$5)-PERMANENT_FIELD_LABOR_HOURS)&gt;TEMP_HOURS_CAP),"",$C152+N$6-MIN(($D152+N$5),PERMANENT_FIELD_LABOR_HOURS)*PERMANENT_HOURLY_RATE-MAX(0,($D152+N$5)-PERMANENT_FIELD_LABOR_HOURS)*TEMP_HOURLY_RATE-FIXED_SEASON_COST)</f>
        <v>21227.8658862621</v>
      </c>
      <c r="O152" s="53" t="n">
        <f aca="false">IF(OR($A152&gt;TOMATO_BED_CAP,$B152&gt;CARROT_BED_CAP,O$4&gt;MESCLUN_BED_CAP,$A152+$B152+O$4&gt;TOTAL_BEDS_AVAILABLE,($D152+O$5)&gt;TOTAL_LABOR_HOURS_CAP,MAX(0,($D152+O$5)-PERMANENT_FIELD_LABOR_HOURS)&gt;TEMP_HOURS_CAP),"",$C152+O$6-MIN(($D152+O$5),PERMANENT_FIELD_LABOR_HOURS)*PERMANENT_HOURLY_RATE-MAX(0,($D152+O$5)-PERMANENT_FIELD_LABOR_HOURS)*TEMP_HOURLY_RATE-FIXED_SEASON_COST)</f>
        <v>22087.9735830169</v>
      </c>
      <c r="P152" s="53" t="n">
        <f aca="false">IF(OR($A152&gt;TOMATO_BED_CAP,$B152&gt;CARROT_BED_CAP,P$4&gt;MESCLUN_BED_CAP,$A152+$B152+P$4&gt;TOTAL_BEDS_AVAILABLE,($D152+P$5)&gt;TOTAL_LABOR_HOURS_CAP,MAX(0,($D152+P$5)-PERMANENT_FIELD_LABOR_HOURS)&gt;TEMP_HOURS_CAP),"",$C152+P$6-MIN(($D152+P$5),PERMANENT_FIELD_LABOR_HOURS)*PERMANENT_HOURLY_RATE-MAX(0,($D152+P$5)-PERMANENT_FIELD_LABOR_HOURS)*TEMP_HOURLY_RATE-FIXED_SEASON_COST)</f>
        <v>22925.1625028683</v>
      </c>
      <c r="Q152" s="53" t="n">
        <f aca="false">IF(OR($A152&gt;TOMATO_BED_CAP,$B152&gt;CARROT_BED_CAP,Q$4&gt;MESCLUN_BED_CAP,$A152+$B152+Q$4&gt;TOTAL_BEDS_AVAILABLE,($D152+Q$5)&gt;TOTAL_LABOR_HOURS_CAP,MAX(0,($D152+Q$5)-PERMANENT_FIELD_LABOR_HOURS)&gt;TEMP_HOURS_CAP),"",$C152+Q$6-MIN(($D152+Q$5),PERMANENT_FIELD_LABOR_HOURS)*PERMANENT_HOURLY_RATE-MAX(0,($D152+Q$5)-PERMANENT_FIELD_LABOR_HOURS)*TEMP_HOURLY_RATE-FIXED_SEASON_COST)</f>
        <v>23739.0096595662</v>
      </c>
      <c r="R152" s="53" t="n">
        <f aca="false">IF(OR($A152&gt;TOMATO_BED_CAP,$B152&gt;CARROT_BED_CAP,R$4&gt;MESCLUN_BED_CAP,$A152+$B152+R$4&gt;TOTAL_BEDS_AVAILABLE,($D152+R$5)&gt;TOTAL_LABOR_HOURS_CAP,MAX(0,($D152+R$5)-PERMANENT_FIELD_LABOR_HOURS)&gt;TEMP_HOURS_CAP),"",$C152+R$6-MIN(($D152+R$5),PERMANENT_FIELD_LABOR_HOURS)*PERMANENT_HOURLY_RATE-MAX(0,($D152+R$5)-PERMANENT_FIELD_LABOR_HOURS)*TEMP_HOURLY_RATE-FIXED_SEASON_COST)</f>
        <v>24529.085073263</v>
      </c>
      <c r="S152" s="53" t="n">
        <f aca="false">IF(OR($A152&gt;TOMATO_BED_CAP,$B152&gt;CARROT_BED_CAP,S$4&gt;MESCLUN_BED_CAP,$A152+$B152+S$4&gt;TOTAL_BEDS_AVAILABLE,($D152+S$5)&gt;TOTAL_LABOR_HOURS_CAP,MAX(0,($D152+S$5)-PERMANENT_FIELD_LABOR_HOURS)&gt;TEMP_HOURS_CAP),"",$C152+S$6-MIN(($D152+S$5),PERMANENT_FIELD_LABOR_HOURS)*PERMANENT_HOURLY_RATE-MAX(0,($D152+S$5)-PERMANENT_FIELD_LABOR_HOURS)*TEMP_HOURLY_RATE-FIXED_SEASON_COST)</f>
        <v>25294.9516617654</v>
      </c>
      <c r="T152" s="53" t="n">
        <f aca="false">IF(OR($A152&gt;TOMATO_BED_CAP,$B152&gt;CARROT_BED_CAP,T$4&gt;MESCLUN_BED_CAP,$A152+$B152+T$4&gt;TOTAL_BEDS_AVAILABLE,($D152+T$5)&gt;TOTAL_LABOR_HOURS_CAP,MAX(0,($D152+T$5)-PERMANENT_FIELD_LABOR_HOURS)&gt;TEMP_HOURS_CAP),"",$C152+T$6-MIN(($D152+T$5),PERMANENT_FIELD_LABOR_HOURS)*PERMANENT_HOURLY_RATE-MAX(0,($D152+T$5)-PERMANENT_FIELD_LABOR_HOURS)*TEMP_HOURLY_RATE-FIXED_SEASON_COST)</f>
        <v>26036.1651301603</v>
      </c>
      <c r="U152" s="53" t="n">
        <f aca="false">IF(OR($A152&gt;TOMATO_BED_CAP,$B152&gt;CARROT_BED_CAP,U$4&gt;MESCLUN_BED_CAP,$A152+$B152+U$4&gt;TOTAL_BEDS_AVAILABLE,($D152+U$5)&gt;TOTAL_LABOR_HOURS_CAP,MAX(0,($D152+U$5)-PERMANENT_FIELD_LABOR_HOURS)&gt;TEMP_HOURS_CAP),"",$C152+U$6-MIN(($D152+U$5),PERMANENT_FIELD_LABOR_HOURS)*PERMANENT_HOURLY_RATE-MAX(0,($D152+U$5)-PERMANENT_FIELD_LABOR_HOURS)*TEMP_HOURLY_RATE-FIXED_SEASON_COST)</f>
        <v>26752.2738587904</v>
      </c>
      <c r="V152" s="53" t="n">
        <f aca="false">IF(OR($A152&gt;TOMATO_BED_CAP,$B152&gt;CARROT_BED_CAP,V$4&gt;MESCLUN_BED_CAP,$A152+$B152+V$4&gt;TOTAL_BEDS_AVAILABLE,($D152+V$5)&gt;TOTAL_LABOR_HOURS_CAP,MAX(0,($D152+V$5)-PERMANENT_FIELD_LABOR_HOURS)&gt;TEMP_HOURS_CAP),"",$C152+V$6-MIN(($D152+V$5),PERMANENT_FIELD_LABOR_HOURS)*PERMANENT_HOURLY_RATE-MAX(0,($D152+V$5)-PERMANENT_FIELD_LABOR_HOURS)*TEMP_HOURLY_RATE-FIXED_SEASON_COST)</f>
        <v>27442.8187895572</v>
      </c>
      <c r="W152" s="53" t="n">
        <f aca="false">IF(OR($A152&gt;TOMATO_BED_CAP,$B152&gt;CARROT_BED_CAP,W$4&gt;MESCLUN_BED_CAP,$A152+$B152+W$4&gt;TOTAL_BEDS_AVAILABLE,($D152+W$5)&gt;TOTAL_LABOR_HOURS_CAP,MAX(0,($D152+W$5)-PERMANENT_FIELD_LABOR_HOURS)&gt;TEMP_HOURS_CAP),"",$C152+W$6-MIN(($D152+W$5),PERMANENT_FIELD_LABOR_HOURS)*PERMANENT_HOURLY_RATE-MAX(0,($D152+W$5)-PERMANENT_FIELD_LABOR_HOURS)*TEMP_HOURLY_RATE-FIXED_SEASON_COST)</f>
        <v>28107.3333105252</v>
      </c>
      <c r="X152" s="53" t="n">
        <f aca="false">IF(OR($A152&gt;TOMATO_BED_CAP,$B152&gt;CARROT_BED_CAP,X$4&gt;MESCLUN_BED_CAP,$A152+$B152+X$4&gt;TOTAL_BEDS_AVAILABLE,($D152+X$5)&gt;TOTAL_LABOR_HOURS_CAP,MAX(0,($D152+X$5)-PERMANENT_FIELD_LABOR_HOURS)&gt;TEMP_HOURS_CAP),"",$C152+X$6-MIN(($D152+X$5),PERMANENT_FIELD_LABOR_HOURS)*PERMANENT_HOURLY_RATE-MAX(0,($D152+X$5)-PERMANENT_FIELD_LABOR_HOURS)*TEMP_HOURLY_RATE-FIXED_SEASON_COST)</f>
        <v>28745.3431388042</v>
      </c>
      <c r="Y152" s="53" t="n">
        <f aca="false">IF(OR($A152&gt;TOMATO_BED_CAP,$B152&gt;CARROT_BED_CAP,Y$4&gt;MESCLUN_BED_CAP,$A152+$B152+Y$4&gt;TOTAL_BEDS_AVAILABLE,($D152+Y$5)&gt;TOTAL_LABOR_HOURS_CAP,MAX(0,($D152+Y$5)-PERMANENT_FIELD_LABOR_HOURS)&gt;TEMP_HOURS_CAP),"",$C152+Y$6-MIN(($D152+Y$5),PERMANENT_FIELD_LABOR_HOURS)*PERMANENT_HOURLY_RATE-MAX(0,($D152+Y$5)-PERMANENT_FIELD_LABOR_HOURS)*TEMP_HOURLY_RATE-FIXED_SEASON_COST)</f>
        <v>29356.3662016828</v>
      </c>
      <c r="Z152" s="53" t="n">
        <f aca="false">IF(OR($A152&gt;TOMATO_BED_CAP,$B152&gt;CARROT_BED_CAP,Z$4&gt;MESCLUN_BED_CAP,$A152+$B152+Z$4&gt;TOTAL_BEDS_AVAILABLE,($D152+Z$5)&gt;TOTAL_LABOR_HOURS_CAP,MAX(0,($D152+Z$5)-PERMANENT_FIELD_LABOR_HOURS)&gt;TEMP_HOURS_CAP),"",$C152+Z$6-MIN(($D152+Z$5),PERMANENT_FIELD_LABOR_HOURS)*PERMANENT_HOURLY_RATE-MAX(0,($D152+Z$5)-PERMANENT_FIELD_LABOR_HOURS)*TEMP_HOURLY_RATE-FIXED_SEASON_COST)</f>
        <v>29939.9125159906</v>
      </c>
      <c r="AA152" s="53" t="n">
        <f aca="false">IF(OR($A152&gt;TOMATO_BED_CAP,$B152&gt;CARROT_BED_CAP,AA$4&gt;MESCLUN_BED_CAP,$A152+$B152+AA$4&gt;TOTAL_BEDS_AVAILABLE,($D152+AA$5)&gt;TOTAL_LABOR_HOURS_CAP,MAX(0,($D152+AA$5)-PERMANENT_FIELD_LABOR_HOURS)&gt;TEMP_HOURS_CAP),"",$C152+AA$6-MIN(($D152+AA$5),PERMANENT_FIELD_LABOR_HOURS)*PERMANENT_HOURLY_RATE-MAX(0,($D152+AA$5)-PERMANENT_FIELD_LABOR_HOURS)*TEMP_HOURLY_RATE-FIXED_SEASON_COST)</f>
        <v>30495.4840656595</v>
      </c>
      <c r="AB152" s="53" t="n">
        <f aca="false">IF(OR($A152&gt;TOMATO_BED_CAP,$B152&gt;CARROT_BED_CAP,AB$4&gt;MESCLUN_BED_CAP,$A152+$B152+AB$4&gt;TOTAL_BEDS_AVAILABLE,($D152+AB$5)&gt;TOTAL_LABOR_HOURS_CAP,MAX(0,($D152+AB$5)-PERMANENT_FIELD_LABOR_HOURS)&gt;TEMP_HOURS_CAP),"",$C152+AB$6-MIN(($D152+AB$5),PERMANENT_FIELD_LABOR_HOURS)*PERMANENT_HOURLY_RATE-MAX(0,($D152+AB$5)-PERMANENT_FIELD_LABOR_HOURS)*TEMP_HOURLY_RATE-FIXED_SEASON_COST)</f>
        <v>31022.574677462</v>
      </c>
      <c r="AC152" s="53" t="n">
        <f aca="false">IF(OR($A152&gt;TOMATO_BED_CAP,$B152&gt;CARROT_BED_CAP,AC$4&gt;MESCLUN_BED_CAP,$A152+$B152+AC$4&gt;TOTAL_BEDS_AVAILABLE,($D152+AC$5)&gt;TOTAL_LABOR_HOURS_CAP,MAX(0,($D152+AC$5)-PERMANENT_FIELD_LABOR_HOURS)&gt;TEMP_HOURS_CAP),"",$C152+AC$6-MIN(($D152+AC$5),PERMANENT_FIELD_LABOR_HOURS)*PERMANENT_HOURLY_RATE-MAX(0,($D152+AC$5)-PERMANENT_FIELD_LABOR_HOURS)*TEMP_HOURLY_RATE-FIXED_SEASON_COST)</f>
        <v>31520.6698948969</v>
      </c>
      <c r="AD152" s="53" t="n">
        <f aca="false">IF(OR($A152&gt;TOMATO_BED_CAP,$B152&gt;CARROT_BED_CAP,AD$4&gt;MESCLUN_BED_CAP,$A152+$B152+AD$4&gt;TOTAL_BEDS_AVAILABLE,($D152+AD$5)&gt;TOTAL_LABOR_HOURS_CAP,MAX(0,($D152+AD$5)-PERMANENT_FIELD_LABOR_HOURS)&gt;TEMP_HOURS_CAP),"",$C152+AD$6-MIN(($D152+AD$5),PERMANENT_FIELD_LABOR_HOURS)*PERMANENT_HOURLY_RATE-MAX(0,($D152+AD$5)-PERMANENT_FIELD_LABOR_HOURS)*TEMP_HOURLY_RATE-FIXED_SEASON_COST)</f>
        <v>31989.2468501969</v>
      </c>
      <c r="AE152" s="53" t="n">
        <f aca="false">IF(OR($A152&gt;TOMATO_BED_CAP,$B152&gt;CARROT_BED_CAP,AE$4&gt;MESCLUN_BED_CAP,$A152+$B152+AE$4&gt;TOTAL_BEDS_AVAILABLE,($D152+AE$5)&gt;TOTAL_LABOR_HOURS_CAP,MAX(0,($D152+AE$5)-PERMANENT_FIELD_LABOR_HOURS)&gt;TEMP_HOURS_CAP),"",$C152+AE$6-MIN(($D152+AE$5),PERMANENT_FIELD_LABOR_HOURS)*PERMANENT_HOURLY_RATE-MAX(0,($D152+AE$5)-PERMANENT_FIELD_LABOR_HOURS)*TEMP_HOURLY_RATE-FIXED_SEASON_COST)</f>
        <v>32427.7741344308</v>
      </c>
      <c r="AF152" s="53" t="n">
        <f aca="false">IF(OR($A152&gt;TOMATO_BED_CAP,$B152&gt;CARROT_BED_CAP,AF$4&gt;MESCLUN_BED_CAP,$A152+$B152+AF$4&gt;TOTAL_BEDS_AVAILABLE,($D152+AF$5)&gt;TOTAL_LABOR_HOURS_CAP,MAX(0,($D152+AF$5)-PERMANENT_FIELD_LABOR_HOURS)&gt;TEMP_HOURS_CAP),"",$C152+AF$6-MIN(($D152+AF$5),PERMANENT_FIELD_LABOR_HOURS)*PERMANENT_HOURLY_RATE-MAX(0,($D152+AF$5)-PERMANENT_FIELD_LABOR_HOURS)*TEMP_HOURLY_RATE-FIXED_SEASON_COST)</f>
        <v>32835.7116656728</v>
      </c>
      <c r="AG152" s="53" t="n">
        <f aca="false">IF(OR($A152&gt;TOMATO_BED_CAP,$B152&gt;CARROT_BED_CAP,AG$4&gt;MESCLUN_BED_CAP,$A152+$B152+AG$4&gt;TOTAL_BEDS_AVAILABLE,($D152+AG$5)&gt;TOTAL_LABOR_HOURS_CAP,MAX(0,($D152+AG$5)-PERMANENT_FIELD_LABOR_HOURS)&gt;TEMP_HOURS_CAP),"",$C152+AG$6-MIN(($D152+AG$5),PERMANENT_FIELD_LABOR_HOURS)*PERMANENT_HOURLY_RATE-MAX(0,($D152+AG$5)-PERMANENT_FIELD_LABOR_HOURS)*TEMP_HOURLY_RATE-FIXED_SEASON_COST)</f>
        <v>33212.5105552098</v>
      </c>
      <c r="AH152" s="53" t="n">
        <f aca="false">IF(OR($A152&gt;TOMATO_BED_CAP,$B152&gt;CARROT_BED_CAP,AH$4&gt;MESCLUN_BED_CAP,$A152+$B152+AH$4&gt;TOTAL_BEDS_AVAILABLE,($D152+AH$5)&gt;TOTAL_LABOR_HOURS_CAP,MAX(0,($D152+AH$5)-PERMANENT_FIELD_LABOR_HOURS)&gt;TEMP_HOURS_CAP),"",$C152+AH$6-MIN(($D152+AH$5),PERMANENT_FIELD_LABOR_HOURS)*PERMANENT_HOURLY_RATE-MAX(0,($D152+AH$5)-PERMANENT_FIELD_LABOR_HOURS)*TEMP_HOURLY_RATE-FIXED_SEASON_COST)</f>
        <v>33557.61297176</v>
      </c>
      <c r="AI152" s="53" t="n">
        <f aca="false">IF(OR($A152&gt;TOMATO_BED_CAP,$B152&gt;CARROT_BED_CAP,AI$4&gt;MESCLUN_BED_CAP,$A152+$B152+AI$4&gt;TOTAL_BEDS_AVAILABLE,($D152+AI$5)&gt;TOTAL_LABOR_HOURS_CAP,MAX(0,($D152+AI$5)-PERMANENT_FIELD_LABOR_HOURS)&gt;TEMP_HOURS_CAP),"",$C152+AI$6-MIN(($D152+AI$5),PERMANENT_FIELD_LABOR_HOURS)*PERMANENT_HOURLY_RATE-MAX(0,($D152+AI$5)-PERMANENT_FIELD_LABOR_HOURS)*TEMP_HOURLY_RATE-FIXED_SEASON_COST)</f>
        <v>33870.4520036723</v>
      </c>
      <c r="AJ152" s="53" t="n">
        <f aca="false">IF(OR($A152&gt;TOMATO_BED_CAP,$B152&gt;CARROT_BED_CAP,AJ$4&gt;MESCLUN_BED_CAP,$A152+$B152+AJ$4&gt;TOTAL_BEDS_AVAILABLE,($D152+AJ$5)&gt;TOTAL_LABOR_HOURS_CAP,MAX(0,($D152+AJ$5)-PERMANENT_FIELD_LABOR_HOURS)&gt;TEMP_HOURS_CAP),"",$C152+AJ$6-MIN(($D152+AJ$5),PERMANENT_FIELD_LABOR_HOURS)*PERMANENT_HOURLY_RATE-MAX(0,($D152+AJ$5)-PERMANENT_FIELD_LABOR_HOURS)*TEMP_HOURLY_RATE-FIXED_SEASON_COST)</f>
        <v>34150.451519078</v>
      </c>
    </row>
    <row r="153" customFormat="false" ht="15" hidden="false" customHeight="false" outlineLevel="0" collapsed="false">
      <c r="A153" s="21" t="n">
        <f aca="false">INT((ROW()-ROW($A$8))/(20+1))</f>
        <v>6</v>
      </c>
      <c r="B153" s="21" t="n">
        <f aca="false">MOD(ROW()-ROW($A$8),20+1)</f>
        <v>19</v>
      </c>
      <c r="C153" s="13" t="n">
        <f aca="false">A153*(TOMATO_REVENUE_PER_BED-TOMATO_FERTILIZER_PER_BED)+B153*(CARROT_REVENUE_PER_BED-CARROT_FERTILIZER_PER_BED)</f>
        <v>78946</v>
      </c>
      <c r="D153" s="14" t="n">
        <f aca="false">INDEX(TOMATO_SCHED_LABOR_HRS,A153+1)+INDEX(CARROT_SCHED_LABOR_HRS,B153+1)</f>
        <v>1867.5090535777</v>
      </c>
      <c r="E153" s="13" t="n">
        <f aca="false">IF(COUNT(F153:AJ153)=0,"",MAX(F153:AJ153))</f>
        <v>34606.8321247637</v>
      </c>
      <c r="F153" s="53" t="n">
        <f aca="false">IF(OR($A153&gt;TOMATO_BED_CAP,$B153&gt;CARROT_BED_CAP,F$4&gt;MESCLUN_BED_CAP,$A153+$B153+F$4&gt;TOTAL_BEDS_AVAILABLE,($D153+F$5)&gt;TOTAL_LABOR_HOURS_CAP,MAX(0,($D153+F$5)-PERMANENT_FIELD_LABOR_HOURS)&gt;TEMP_HOURS_CAP),"",$C153+F$6-MIN(($D153+F$5),PERMANENT_FIELD_LABOR_HOURS)*PERMANENT_HOURLY_RATE-MAX(0,($D153+F$5)-PERMANENT_FIELD_LABOR_HOURS)*TEMP_HOURLY_RATE-FIXED_SEASON_COST)</f>
        <v>14026.8428298912</v>
      </c>
      <c r="G153" s="53" t="n">
        <f aca="false">IF(OR($A153&gt;TOMATO_BED_CAP,$B153&gt;CARROT_BED_CAP,G$4&gt;MESCLUN_BED_CAP,$A153+$B153+G$4&gt;TOTAL_BEDS_AVAILABLE,($D153+G$5)&gt;TOTAL_LABOR_HOURS_CAP,MAX(0,($D153+G$5)-PERMANENT_FIELD_LABOR_HOURS)&gt;TEMP_HOURS_CAP),"",$C153+G$6-MIN(($D153+G$5),PERMANENT_FIELD_LABOR_HOURS)*PERMANENT_HOURLY_RATE-MAX(0,($D153+G$5)-PERMANENT_FIELD_LABOR_HOURS)*TEMP_HOURLY_RATE-FIXED_SEASON_COST)</f>
        <v>15055.8778298912</v>
      </c>
      <c r="H153" s="53" t="n">
        <f aca="false">IF(OR($A153&gt;TOMATO_BED_CAP,$B153&gt;CARROT_BED_CAP,H$4&gt;MESCLUN_BED_CAP,$A153+$B153+H$4&gt;TOTAL_BEDS_AVAILABLE,($D153+H$5)&gt;TOTAL_LABOR_HOURS_CAP,MAX(0,($D153+H$5)-PERMANENT_FIELD_LABOR_HOURS)&gt;TEMP_HOURS_CAP),"",$C153+H$6-MIN(($D153+H$5),PERMANENT_FIELD_LABOR_HOURS)*PERMANENT_HOURLY_RATE-MAX(0,($D153+H$5)-PERMANENT_FIELD_LABOR_HOURS)*TEMP_HOURLY_RATE-FIXED_SEASON_COST)</f>
        <v>16065.1387048912</v>
      </c>
      <c r="I153" s="53" t="n">
        <f aca="false">IF(OR($A153&gt;TOMATO_BED_CAP,$B153&gt;CARROT_BED_CAP,I$4&gt;MESCLUN_BED_CAP,$A153+$B153+I$4&gt;TOTAL_BEDS_AVAILABLE,($D153+I$5)&gt;TOTAL_LABOR_HOURS_CAP,MAX(0,($D153+I$5)-PERMANENT_FIELD_LABOR_HOURS)&gt;TEMP_HOURS_CAP),"",$C153+I$6-MIN(($D153+I$5),PERMANENT_FIELD_LABOR_HOURS)*PERMANENT_HOURLY_RATE-MAX(0,($D153+I$5)-PERMANENT_FIELD_LABOR_HOURS)*TEMP_HOURLY_RATE-FIXED_SEASON_COST)</f>
        <v>17054.2546900474</v>
      </c>
      <c r="J153" s="53" t="n">
        <f aca="false">IF(OR($A153&gt;TOMATO_BED_CAP,$B153&gt;CARROT_BED_CAP,J$4&gt;MESCLUN_BED_CAP,$A153+$B153+J$4&gt;TOTAL_BEDS_AVAILABLE,($D153+J$5)&gt;TOTAL_LABOR_HOURS_CAP,MAX(0,($D153+J$5)-PERMANENT_FIELD_LABOR_HOURS)&gt;TEMP_HOURS_CAP),"",$C153+J$6-MIN(($D153+J$5),PERMANENT_FIELD_LABOR_HOURS)*PERMANENT_HOURLY_RATE-MAX(0,($D153+J$5)-PERMANENT_FIELD_LABOR_HOURS)*TEMP_HOURLY_RATE-FIXED_SEASON_COST)</f>
        <v>18022.8488411021</v>
      </c>
      <c r="K153" s="53" t="n">
        <f aca="false">IF(OR($A153&gt;TOMATO_BED_CAP,$B153&gt;CARROT_BED_CAP,K$4&gt;MESCLUN_BED_CAP,$A153+$B153+K$4&gt;TOTAL_BEDS_AVAILABLE,($D153+K$5)&gt;TOTAL_LABOR_HOURS_CAP,MAX(0,($D153+K$5)-PERMANENT_FIELD_LABOR_HOURS)&gt;TEMP_HOURS_CAP),"",$C153+K$6-MIN(($D153+K$5),PERMANENT_FIELD_LABOR_HOURS)*PERMANENT_HOURLY_RATE-MAX(0,($D153+K$5)-PERMANENT_FIELD_LABOR_HOURS)*TEMP_HOURLY_RATE-FIXED_SEASON_COST)</f>
        <v>18970.53793783</v>
      </c>
      <c r="L153" s="53" t="n">
        <f aca="false">IF(OR($A153&gt;TOMATO_BED_CAP,$B153&gt;CARROT_BED_CAP,L$4&gt;MESCLUN_BED_CAP,$A153+$B153+L$4&gt;TOTAL_BEDS_AVAILABLE,($D153+L$5)&gt;TOTAL_LABOR_HOURS_CAP,MAX(0,($D153+L$5)-PERMANENT_FIELD_LABOR_HOURS)&gt;TEMP_HOURS_CAP),"",$C153+L$6-MIN(($D153+L$5),PERMANENT_FIELD_LABOR_HOURS)*PERMANENT_HOURLY_RATE-MAX(0,($D153+L$5)-PERMANENT_FIELD_LABOR_HOURS)*TEMP_HOURLY_RATE-FIXED_SEASON_COST)</f>
        <v>19896.9323860369</v>
      </c>
      <c r="M153" s="53" t="n">
        <f aca="false">IF(OR($A153&gt;TOMATO_BED_CAP,$B153&gt;CARROT_BED_CAP,M$4&gt;MESCLUN_BED_CAP,$A153+$B153+M$4&gt;TOTAL_BEDS_AVAILABLE,($D153+M$5)&gt;TOTAL_LABOR_HOURS_CAP,MAX(0,($D153+M$5)-PERMANENT_FIELD_LABOR_HOURS)&gt;TEMP_HOURS_CAP),"",$C153+M$6-MIN(($D153+M$5),PERMANENT_FIELD_LABOR_HOURS)*PERMANENT_HOURLY_RATE-MAX(0,($D153+M$5)-PERMANENT_FIELD_LABOR_HOURS)*TEMP_HOURLY_RATE-FIXED_SEASON_COST)</f>
        <v>20801.6361180883</v>
      </c>
      <c r="N153" s="53" t="n">
        <f aca="false">IF(OR($A153&gt;TOMATO_BED_CAP,$B153&gt;CARROT_BED_CAP,N$4&gt;MESCLUN_BED_CAP,$A153+$B153+N$4&gt;TOTAL_BEDS_AVAILABLE,($D153+N$5)&gt;TOTAL_LABOR_HOURS_CAP,MAX(0,($D153+N$5)-PERMANENT_FIELD_LABOR_HOURS)&gt;TEMP_HOURS_CAP),"",$C153+N$6-MIN(($D153+N$5),PERMANENT_FIELD_LABOR_HOURS)*PERMANENT_HOURLY_RATE-MAX(0,($D153+N$5)-PERMANENT_FIELD_LABOR_HOURS)*TEMP_HOURLY_RATE-FIXED_SEASON_COST)</f>
        <v>21684.2464919478</v>
      </c>
      <c r="O153" s="53" t="n">
        <f aca="false">IF(OR($A153&gt;TOMATO_BED_CAP,$B153&gt;CARROT_BED_CAP,O$4&gt;MESCLUN_BED_CAP,$A153+$B153+O$4&gt;TOTAL_BEDS_AVAILABLE,($D153+O$5)&gt;TOTAL_LABOR_HOURS_CAP,MAX(0,($D153+O$5)-PERMANENT_FIELD_LABOR_HOURS)&gt;TEMP_HOURS_CAP),"",$C153+O$6-MIN(($D153+O$5),PERMANENT_FIELD_LABOR_HOURS)*PERMANENT_HOURLY_RATE-MAX(0,($D153+O$5)-PERMANENT_FIELD_LABOR_HOURS)*TEMP_HOURLY_RATE-FIXED_SEASON_COST)</f>
        <v>22544.3541887026</v>
      </c>
      <c r="P153" s="53" t="n">
        <f aca="false">IF(OR($A153&gt;TOMATO_BED_CAP,$B153&gt;CARROT_BED_CAP,P$4&gt;MESCLUN_BED_CAP,$A153+$B153+P$4&gt;TOTAL_BEDS_AVAILABLE,($D153+P$5)&gt;TOTAL_LABOR_HOURS_CAP,MAX(0,($D153+P$5)-PERMANENT_FIELD_LABOR_HOURS)&gt;TEMP_HOURS_CAP),"",$C153+P$6-MIN(($D153+P$5),PERMANENT_FIELD_LABOR_HOURS)*PERMANENT_HOURLY_RATE-MAX(0,($D153+P$5)-PERMANENT_FIELD_LABOR_HOURS)*TEMP_HOURLY_RATE-FIXED_SEASON_COST)</f>
        <v>23381.543108554</v>
      </c>
      <c r="Q153" s="53" t="n">
        <f aca="false">IF(OR($A153&gt;TOMATO_BED_CAP,$B153&gt;CARROT_BED_CAP,Q$4&gt;MESCLUN_BED_CAP,$A153+$B153+Q$4&gt;TOTAL_BEDS_AVAILABLE,($D153+Q$5)&gt;TOTAL_LABOR_HOURS_CAP,MAX(0,($D153+Q$5)-PERMANENT_FIELD_LABOR_HOURS)&gt;TEMP_HOURS_CAP),"",$C153+Q$6-MIN(($D153+Q$5),PERMANENT_FIELD_LABOR_HOURS)*PERMANENT_HOURLY_RATE-MAX(0,($D153+Q$5)-PERMANENT_FIELD_LABOR_HOURS)*TEMP_HOURLY_RATE-FIXED_SEASON_COST)</f>
        <v>24195.3902652519</v>
      </c>
      <c r="R153" s="53" t="n">
        <f aca="false">IF(OR($A153&gt;TOMATO_BED_CAP,$B153&gt;CARROT_BED_CAP,R$4&gt;MESCLUN_BED_CAP,$A153+$B153+R$4&gt;TOTAL_BEDS_AVAILABLE,($D153+R$5)&gt;TOTAL_LABOR_HOURS_CAP,MAX(0,($D153+R$5)-PERMANENT_FIELD_LABOR_HOURS)&gt;TEMP_HOURS_CAP),"",$C153+R$6-MIN(($D153+R$5),PERMANENT_FIELD_LABOR_HOURS)*PERMANENT_HOURLY_RATE-MAX(0,($D153+R$5)-PERMANENT_FIELD_LABOR_HOURS)*TEMP_HOURLY_RATE-FIXED_SEASON_COST)</f>
        <v>24985.4656789487</v>
      </c>
      <c r="S153" s="53" t="n">
        <f aca="false">IF(OR($A153&gt;TOMATO_BED_CAP,$B153&gt;CARROT_BED_CAP,S$4&gt;MESCLUN_BED_CAP,$A153+$B153+S$4&gt;TOTAL_BEDS_AVAILABLE,($D153+S$5)&gt;TOTAL_LABOR_HOURS_CAP,MAX(0,($D153+S$5)-PERMANENT_FIELD_LABOR_HOURS)&gt;TEMP_HOURS_CAP),"",$C153+S$6-MIN(($D153+S$5),PERMANENT_FIELD_LABOR_HOURS)*PERMANENT_HOURLY_RATE-MAX(0,($D153+S$5)-PERMANENT_FIELD_LABOR_HOURS)*TEMP_HOURLY_RATE-FIXED_SEASON_COST)</f>
        <v>25751.3322674512</v>
      </c>
      <c r="T153" s="53" t="n">
        <f aca="false">IF(OR($A153&gt;TOMATO_BED_CAP,$B153&gt;CARROT_BED_CAP,T$4&gt;MESCLUN_BED_CAP,$A153+$B153+T$4&gt;TOTAL_BEDS_AVAILABLE,($D153+T$5)&gt;TOTAL_LABOR_HOURS_CAP,MAX(0,($D153+T$5)-PERMANENT_FIELD_LABOR_HOURS)&gt;TEMP_HOURS_CAP),"",$C153+T$6-MIN(($D153+T$5),PERMANENT_FIELD_LABOR_HOURS)*PERMANENT_HOURLY_RATE-MAX(0,($D153+T$5)-PERMANENT_FIELD_LABOR_HOURS)*TEMP_HOURLY_RATE-FIXED_SEASON_COST)</f>
        <v>26492.545735846</v>
      </c>
      <c r="U153" s="53" t="n">
        <f aca="false">IF(OR($A153&gt;TOMATO_BED_CAP,$B153&gt;CARROT_BED_CAP,U$4&gt;MESCLUN_BED_CAP,$A153+$B153+U$4&gt;TOTAL_BEDS_AVAILABLE,($D153+U$5)&gt;TOTAL_LABOR_HOURS_CAP,MAX(0,($D153+U$5)-PERMANENT_FIELD_LABOR_HOURS)&gt;TEMP_HOURS_CAP),"",$C153+U$6-MIN(($D153+U$5),PERMANENT_FIELD_LABOR_HOURS)*PERMANENT_HOURLY_RATE-MAX(0,($D153+U$5)-PERMANENT_FIELD_LABOR_HOURS)*TEMP_HOURLY_RATE-FIXED_SEASON_COST)</f>
        <v>27208.6544644761</v>
      </c>
      <c r="V153" s="53" t="n">
        <f aca="false">IF(OR($A153&gt;TOMATO_BED_CAP,$B153&gt;CARROT_BED_CAP,V$4&gt;MESCLUN_BED_CAP,$A153+$B153+V$4&gt;TOTAL_BEDS_AVAILABLE,($D153+V$5)&gt;TOTAL_LABOR_HOURS_CAP,MAX(0,($D153+V$5)-PERMANENT_FIELD_LABOR_HOURS)&gt;TEMP_HOURS_CAP),"",$C153+V$6-MIN(($D153+V$5),PERMANENT_FIELD_LABOR_HOURS)*PERMANENT_HOURLY_RATE-MAX(0,($D153+V$5)-PERMANENT_FIELD_LABOR_HOURS)*TEMP_HOURLY_RATE-FIXED_SEASON_COST)</f>
        <v>27899.1993952429</v>
      </c>
      <c r="W153" s="53" t="n">
        <f aca="false">IF(OR($A153&gt;TOMATO_BED_CAP,$B153&gt;CARROT_BED_CAP,W$4&gt;MESCLUN_BED_CAP,$A153+$B153+W$4&gt;TOTAL_BEDS_AVAILABLE,($D153+W$5)&gt;TOTAL_LABOR_HOURS_CAP,MAX(0,($D153+W$5)-PERMANENT_FIELD_LABOR_HOURS)&gt;TEMP_HOURS_CAP),"",$C153+W$6-MIN(($D153+W$5),PERMANENT_FIELD_LABOR_HOURS)*PERMANENT_HOURLY_RATE-MAX(0,($D153+W$5)-PERMANENT_FIELD_LABOR_HOURS)*TEMP_HOURLY_RATE-FIXED_SEASON_COST)</f>
        <v>28563.713916211</v>
      </c>
      <c r="X153" s="53" t="n">
        <f aca="false">IF(OR($A153&gt;TOMATO_BED_CAP,$B153&gt;CARROT_BED_CAP,X$4&gt;MESCLUN_BED_CAP,$A153+$B153+X$4&gt;TOTAL_BEDS_AVAILABLE,($D153+X$5)&gt;TOTAL_LABOR_HOURS_CAP,MAX(0,($D153+X$5)-PERMANENT_FIELD_LABOR_HOURS)&gt;TEMP_HOURS_CAP),"",$C153+X$6-MIN(($D153+X$5),PERMANENT_FIELD_LABOR_HOURS)*PERMANENT_HOURLY_RATE-MAX(0,($D153+X$5)-PERMANENT_FIELD_LABOR_HOURS)*TEMP_HOURLY_RATE-FIXED_SEASON_COST)</f>
        <v>29201.7237444899</v>
      </c>
      <c r="Y153" s="53" t="n">
        <f aca="false">IF(OR($A153&gt;TOMATO_BED_CAP,$B153&gt;CARROT_BED_CAP,Y$4&gt;MESCLUN_BED_CAP,$A153+$B153+Y$4&gt;TOTAL_BEDS_AVAILABLE,($D153+Y$5)&gt;TOTAL_LABOR_HOURS_CAP,MAX(0,($D153+Y$5)-PERMANENT_FIELD_LABOR_HOURS)&gt;TEMP_HOURS_CAP),"",$C153+Y$6-MIN(($D153+Y$5),PERMANENT_FIELD_LABOR_HOURS)*PERMANENT_HOURLY_RATE-MAX(0,($D153+Y$5)-PERMANENT_FIELD_LABOR_HOURS)*TEMP_HOURLY_RATE-FIXED_SEASON_COST)</f>
        <v>29812.7468073685</v>
      </c>
      <c r="Z153" s="53" t="n">
        <f aca="false">IF(OR($A153&gt;TOMATO_BED_CAP,$B153&gt;CARROT_BED_CAP,Z$4&gt;MESCLUN_BED_CAP,$A153+$B153+Z$4&gt;TOTAL_BEDS_AVAILABLE,($D153+Z$5)&gt;TOTAL_LABOR_HOURS_CAP,MAX(0,($D153+Z$5)-PERMANENT_FIELD_LABOR_HOURS)&gt;TEMP_HOURS_CAP),"",$C153+Z$6-MIN(($D153+Z$5),PERMANENT_FIELD_LABOR_HOURS)*PERMANENT_HOURLY_RATE-MAX(0,($D153+Z$5)-PERMANENT_FIELD_LABOR_HOURS)*TEMP_HOURLY_RATE-FIXED_SEASON_COST)</f>
        <v>30396.2931216763</v>
      </c>
      <c r="AA153" s="53" t="n">
        <f aca="false">IF(OR($A153&gt;TOMATO_BED_CAP,$B153&gt;CARROT_BED_CAP,AA$4&gt;MESCLUN_BED_CAP,$A153+$B153+AA$4&gt;TOTAL_BEDS_AVAILABLE,($D153+AA$5)&gt;TOTAL_LABOR_HOURS_CAP,MAX(0,($D153+AA$5)-PERMANENT_FIELD_LABOR_HOURS)&gt;TEMP_HOURS_CAP),"",$C153+AA$6-MIN(($D153+AA$5),PERMANENT_FIELD_LABOR_HOURS)*PERMANENT_HOURLY_RATE-MAX(0,($D153+AA$5)-PERMANENT_FIELD_LABOR_HOURS)*TEMP_HOURLY_RATE-FIXED_SEASON_COST)</f>
        <v>30951.8646713452</v>
      </c>
      <c r="AB153" s="53" t="n">
        <f aca="false">IF(OR($A153&gt;TOMATO_BED_CAP,$B153&gt;CARROT_BED_CAP,AB$4&gt;MESCLUN_BED_CAP,$A153+$B153+AB$4&gt;TOTAL_BEDS_AVAILABLE,($D153+AB$5)&gt;TOTAL_LABOR_HOURS_CAP,MAX(0,($D153+AB$5)-PERMANENT_FIELD_LABOR_HOURS)&gt;TEMP_HOURS_CAP),"",$C153+AB$6-MIN(($D153+AB$5),PERMANENT_FIELD_LABOR_HOURS)*PERMANENT_HOURLY_RATE-MAX(0,($D153+AB$5)-PERMANENT_FIELD_LABOR_HOURS)*TEMP_HOURLY_RATE-FIXED_SEASON_COST)</f>
        <v>31478.9552831478</v>
      </c>
      <c r="AC153" s="53" t="n">
        <f aca="false">IF(OR($A153&gt;TOMATO_BED_CAP,$B153&gt;CARROT_BED_CAP,AC$4&gt;MESCLUN_BED_CAP,$A153+$B153+AC$4&gt;TOTAL_BEDS_AVAILABLE,($D153+AC$5)&gt;TOTAL_LABOR_HOURS_CAP,MAX(0,($D153+AC$5)-PERMANENT_FIELD_LABOR_HOURS)&gt;TEMP_HOURS_CAP),"",$C153+AC$6-MIN(($D153+AC$5),PERMANENT_FIELD_LABOR_HOURS)*PERMANENT_HOURLY_RATE-MAX(0,($D153+AC$5)-PERMANENT_FIELD_LABOR_HOURS)*TEMP_HOURLY_RATE-FIXED_SEASON_COST)</f>
        <v>31977.0505005827</v>
      </c>
      <c r="AD153" s="53" t="n">
        <f aca="false">IF(OR($A153&gt;TOMATO_BED_CAP,$B153&gt;CARROT_BED_CAP,AD$4&gt;MESCLUN_BED_CAP,$A153+$B153+AD$4&gt;TOTAL_BEDS_AVAILABLE,($D153+AD$5)&gt;TOTAL_LABOR_HOURS_CAP,MAX(0,($D153+AD$5)-PERMANENT_FIELD_LABOR_HOURS)&gt;TEMP_HOURS_CAP),"",$C153+AD$6-MIN(($D153+AD$5),PERMANENT_FIELD_LABOR_HOURS)*PERMANENT_HOURLY_RATE-MAX(0,($D153+AD$5)-PERMANENT_FIELD_LABOR_HOURS)*TEMP_HOURLY_RATE-FIXED_SEASON_COST)</f>
        <v>32445.6274558826</v>
      </c>
      <c r="AE153" s="53" t="n">
        <f aca="false">IF(OR($A153&gt;TOMATO_BED_CAP,$B153&gt;CARROT_BED_CAP,AE$4&gt;MESCLUN_BED_CAP,$A153+$B153+AE$4&gt;TOTAL_BEDS_AVAILABLE,($D153+AE$5)&gt;TOTAL_LABOR_HOURS_CAP,MAX(0,($D153+AE$5)-PERMANENT_FIELD_LABOR_HOURS)&gt;TEMP_HOURS_CAP),"",$C153+AE$6-MIN(($D153+AE$5),PERMANENT_FIELD_LABOR_HOURS)*PERMANENT_HOURLY_RATE-MAX(0,($D153+AE$5)-PERMANENT_FIELD_LABOR_HOURS)*TEMP_HOURLY_RATE-FIXED_SEASON_COST)</f>
        <v>32884.1547401165</v>
      </c>
      <c r="AF153" s="53" t="n">
        <f aca="false">IF(OR($A153&gt;TOMATO_BED_CAP,$B153&gt;CARROT_BED_CAP,AF$4&gt;MESCLUN_BED_CAP,$A153+$B153+AF$4&gt;TOTAL_BEDS_AVAILABLE,($D153+AF$5)&gt;TOTAL_LABOR_HOURS_CAP,MAX(0,($D153+AF$5)-PERMANENT_FIELD_LABOR_HOURS)&gt;TEMP_HOURS_CAP),"",$C153+AF$6-MIN(($D153+AF$5),PERMANENT_FIELD_LABOR_HOURS)*PERMANENT_HOURLY_RATE-MAX(0,($D153+AF$5)-PERMANENT_FIELD_LABOR_HOURS)*TEMP_HOURLY_RATE-FIXED_SEASON_COST)</f>
        <v>33292.0922713585</v>
      </c>
      <c r="AG153" s="53" t="n">
        <f aca="false">IF(OR($A153&gt;TOMATO_BED_CAP,$B153&gt;CARROT_BED_CAP,AG$4&gt;MESCLUN_BED_CAP,$A153+$B153+AG$4&gt;TOTAL_BEDS_AVAILABLE,($D153+AG$5)&gt;TOTAL_LABOR_HOURS_CAP,MAX(0,($D153+AG$5)-PERMANENT_FIELD_LABOR_HOURS)&gt;TEMP_HOURS_CAP),"",$C153+AG$6-MIN(($D153+AG$5),PERMANENT_FIELD_LABOR_HOURS)*PERMANENT_HOURLY_RATE-MAX(0,($D153+AG$5)-PERMANENT_FIELD_LABOR_HOURS)*TEMP_HOURLY_RATE-FIXED_SEASON_COST)</f>
        <v>33668.8911608955</v>
      </c>
      <c r="AH153" s="53" t="n">
        <f aca="false">IF(OR($A153&gt;TOMATO_BED_CAP,$B153&gt;CARROT_BED_CAP,AH$4&gt;MESCLUN_BED_CAP,$A153+$B153+AH$4&gt;TOTAL_BEDS_AVAILABLE,($D153+AH$5)&gt;TOTAL_LABOR_HOURS_CAP,MAX(0,($D153+AH$5)-PERMANENT_FIELD_LABOR_HOURS)&gt;TEMP_HOURS_CAP),"",$C153+AH$6-MIN(($D153+AH$5),PERMANENT_FIELD_LABOR_HOURS)*PERMANENT_HOURLY_RATE-MAX(0,($D153+AH$5)-PERMANENT_FIELD_LABOR_HOURS)*TEMP_HOURLY_RATE-FIXED_SEASON_COST)</f>
        <v>34013.9935774457</v>
      </c>
      <c r="AI153" s="53" t="n">
        <f aca="false">IF(OR($A153&gt;TOMATO_BED_CAP,$B153&gt;CARROT_BED_CAP,AI$4&gt;MESCLUN_BED_CAP,$A153+$B153+AI$4&gt;TOTAL_BEDS_AVAILABLE,($D153+AI$5)&gt;TOTAL_LABOR_HOURS_CAP,MAX(0,($D153+AI$5)-PERMANENT_FIELD_LABOR_HOURS)&gt;TEMP_HOURS_CAP),"",$C153+AI$6-MIN(($D153+AI$5),PERMANENT_FIELD_LABOR_HOURS)*PERMANENT_HOURLY_RATE-MAX(0,($D153+AI$5)-PERMANENT_FIELD_LABOR_HOURS)*TEMP_HOURLY_RATE-FIXED_SEASON_COST)</f>
        <v>34326.832609358</v>
      </c>
      <c r="AJ153" s="53" t="n">
        <f aca="false">IF(OR($A153&gt;TOMATO_BED_CAP,$B153&gt;CARROT_BED_CAP,AJ$4&gt;MESCLUN_BED_CAP,$A153+$B153+AJ$4&gt;TOTAL_BEDS_AVAILABLE,($D153+AJ$5)&gt;TOTAL_LABOR_HOURS_CAP,MAX(0,($D153+AJ$5)-PERMANENT_FIELD_LABOR_HOURS)&gt;TEMP_HOURS_CAP),"",$C153+AJ$6-MIN(($D153+AJ$5),PERMANENT_FIELD_LABOR_HOURS)*PERMANENT_HOURLY_RATE-MAX(0,($D153+AJ$5)-PERMANENT_FIELD_LABOR_HOURS)*TEMP_HOURLY_RATE-FIXED_SEASON_COST)</f>
        <v>34606.8321247637</v>
      </c>
    </row>
    <row r="154" customFormat="false" ht="15" hidden="false" customHeight="false" outlineLevel="0" collapsed="false">
      <c r="A154" s="21" t="n">
        <f aca="false">INT((ROW()-ROW($A$8))/(20+1))</f>
        <v>6</v>
      </c>
      <c r="B154" s="21" t="n">
        <f aca="false">MOD(ROW()-ROW($A$8),20+1)</f>
        <v>20</v>
      </c>
      <c r="C154" s="13" t="n">
        <f aca="false">A154*(TOMATO_REVENUE_PER_BED-TOMATO_FERTILIZER_PER_BED)+B154*(CARROT_REVENUE_PER_BED-CARROT_FERTILIZER_PER_BED)</f>
        <v>80600</v>
      </c>
      <c r="D154" s="14" t="n">
        <f aca="false">INDEX(TOMATO_SCHED_LABOR_HRS,A154+1)+INDEX(CARROT_SCHED_LABOR_HRS,B154+1)</f>
        <v>1939.41953622857</v>
      </c>
      <c r="E154" s="13" t="n">
        <f aca="false">IF(COUNT(F154:AJ154)=0,"",MAX(F154:AJ154))</f>
        <v>35012.4661459446</v>
      </c>
      <c r="F154" s="53" t="n">
        <f aca="false">IF(OR($A154&gt;TOMATO_BED_CAP,$B154&gt;CARROT_BED_CAP,F$4&gt;MESCLUN_BED_CAP,$A154+$B154+F$4&gt;TOTAL_BEDS_AVAILABLE,($D154+F$5)&gt;TOTAL_LABOR_HOURS_CAP,MAX(0,($D154+F$5)-PERMANENT_FIELD_LABOR_HOURS)&gt;TEMP_HOURS_CAP),"",$C154+F$6-MIN(($D154+F$5),PERMANENT_FIELD_LABOR_HOURS)*PERMANENT_HOURLY_RATE-MAX(0,($D154+F$5)-PERMANENT_FIELD_LABOR_HOURS)*TEMP_HOURLY_RATE-FIXED_SEASON_COST)</f>
        <v>14432.4768510721</v>
      </c>
      <c r="G154" s="53" t="n">
        <f aca="false">IF(OR($A154&gt;TOMATO_BED_CAP,$B154&gt;CARROT_BED_CAP,G$4&gt;MESCLUN_BED_CAP,$A154+$B154+G$4&gt;TOTAL_BEDS_AVAILABLE,($D154+G$5)&gt;TOTAL_LABOR_HOURS_CAP,MAX(0,($D154+G$5)-PERMANENT_FIELD_LABOR_HOURS)&gt;TEMP_HOURS_CAP),"",$C154+G$6-MIN(($D154+G$5),PERMANENT_FIELD_LABOR_HOURS)*PERMANENT_HOURLY_RATE-MAX(0,($D154+G$5)-PERMANENT_FIELD_LABOR_HOURS)*TEMP_HOURLY_RATE-FIXED_SEASON_COST)</f>
        <v>15461.5118510721</v>
      </c>
      <c r="H154" s="53" t="n">
        <f aca="false">IF(OR($A154&gt;TOMATO_BED_CAP,$B154&gt;CARROT_BED_CAP,H$4&gt;MESCLUN_BED_CAP,$A154+$B154+H$4&gt;TOTAL_BEDS_AVAILABLE,($D154+H$5)&gt;TOTAL_LABOR_HOURS_CAP,MAX(0,($D154+H$5)-PERMANENT_FIELD_LABOR_HOURS)&gt;TEMP_HOURS_CAP),"",$C154+H$6-MIN(($D154+H$5),PERMANENT_FIELD_LABOR_HOURS)*PERMANENT_HOURLY_RATE-MAX(0,($D154+H$5)-PERMANENT_FIELD_LABOR_HOURS)*TEMP_HOURLY_RATE-FIXED_SEASON_COST)</f>
        <v>16470.7727260721</v>
      </c>
      <c r="I154" s="53" t="n">
        <f aca="false">IF(OR($A154&gt;TOMATO_BED_CAP,$B154&gt;CARROT_BED_CAP,I$4&gt;MESCLUN_BED_CAP,$A154+$B154+I$4&gt;TOTAL_BEDS_AVAILABLE,($D154+I$5)&gt;TOTAL_LABOR_HOURS_CAP,MAX(0,($D154+I$5)-PERMANENT_FIELD_LABOR_HOURS)&gt;TEMP_HOURS_CAP),"",$C154+I$6-MIN(($D154+I$5),PERMANENT_FIELD_LABOR_HOURS)*PERMANENT_HOURLY_RATE-MAX(0,($D154+I$5)-PERMANENT_FIELD_LABOR_HOURS)*TEMP_HOURLY_RATE-FIXED_SEASON_COST)</f>
        <v>17459.8887112283</v>
      </c>
      <c r="J154" s="53" t="n">
        <f aca="false">IF(OR($A154&gt;TOMATO_BED_CAP,$B154&gt;CARROT_BED_CAP,J$4&gt;MESCLUN_BED_CAP,$A154+$B154+J$4&gt;TOTAL_BEDS_AVAILABLE,($D154+J$5)&gt;TOTAL_LABOR_HOURS_CAP,MAX(0,($D154+J$5)-PERMANENT_FIELD_LABOR_HOURS)&gt;TEMP_HOURS_CAP),"",$C154+J$6-MIN(($D154+J$5),PERMANENT_FIELD_LABOR_HOURS)*PERMANENT_HOURLY_RATE-MAX(0,($D154+J$5)-PERMANENT_FIELD_LABOR_HOURS)*TEMP_HOURLY_RATE-FIXED_SEASON_COST)</f>
        <v>18428.482862283</v>
      </c>
      <c r="K154" s="53" t="n">
        <f aca="false">IF(OR($A154&gt;TOMATO_BED_CAP,$B154&gt;CARROT_BED_CAP,K$4&gt;MESCLUN_BED_CAP,$A154+$B154+K$4&gt;TOTAL_BEDS_AVAILABLE,($D154+K$5)&gt;TOTAL_LABOR_HOURS_CAP,MAX(0,($D154+K$5)-PERMANENT_FIELD_LABOR_HOURS)&gt;TEMP_HOURS_CAP),"",$C154+K$6-MIN(($D154+K$5),PERMANENT_FIELD_LABOR_HOURS)*PERMANENT_HOURLY_RATE-MAX(0,($D154+K$5)-PERMANENT_FIELD_LABOR_HOURS)*TEMP_HOURLY_RATE-FIXED_SEASON_COST)</f>
        <v>19376.1719590109</v>
      </c>
      <c r="L154" s="53" t="n">
        <f aca="false">IF(OR($A154&gt;TOMATO_BED_CAP,$B154&gt;CARROT_BED_CAP,L$4&gt;MESCLUN_BED_CAP,$A154+$B154+L$4&gt;TOTAL_BEDS_AVAILABLE,($D154+L$5)&gt;TOTAL_LABOR_HOURS_CAP,MAX(0,($D154+L$5)-PERMANENT_FIELD_LABOR_HOURS)&gt;TEMP_HOURS_CAP),"",$C154+L$6-MIN(($D154+L$5),PERMANENT_FIELD_LABOR_HOURS)*PERMANENT_HOURLY_RATE-MAX(0,($D154+L$5)-PERMANENT_FIELD_LABOR_HOURS)*TEMP_HOURLY_RATE-FIXED_SEASON_COST)</f>
        <v>20302.5664072178</v>
      </c>
      <c r="M154" s="53" t="n">
        <f aca="false">IF(OR($A154&gt;TOMATO_BED_CAP,$B154&gt;CARROT_BED_CAP,M$4&gt;MESCLUN_BED_CAP,$A154+$B154+M$4&gt;TOTAL_BEDS_AVAILABLE,($D154+M$5)&gt;TOTAL_LABOR_HOURS_CAP,MAX(0,($D154+M$5)-PERMANENT_FIELD_LABOR_HOURS)&gt;TEMP_HOURS_CAP),"",$C154+M$6-MIN(($D154+M$5),PERMANENT_FIELD_LABOR_HOURS)*PERMANENT_HOURLY_RATE-MAX(0,($D154+M$5)-PERMANENT_FIELD_LABOR_HOURS)*TEMP_HOURLY_RATE-FIXED_SEASON_COST)</f>
        <v>21207.2701392692</v>
      </c>
      <c r="N154" s="53" t="n">
        <f aca="false">IF(OR($A154&gt;TOMATO_BED_CAP,$B154&gt;CARROT_BED_CAP,N$4&gt;MESCLUN_BED_CAP,$A154+$B154+N$4&gt;TOTAL_BEDS_AVAILABLE,($D154+N$5)&gt;TOTAL_LABOR_HOURS_CAP,MAX(0,($D154+N$5)-PERMANENT_FIELD_LABOR_HOURS)&gt;TEMP_HOURS_CAP),"",$C154+N$6-MIN(($D154+N$5),PERMANENT_FIELD_LABOR_HOURS)*PERMANENT_HOURLY_RATE-MAX(0,($D154+N$5)-PERMANENT_FIELD_LABOR_HOURS)*TEMP_HOURLY_RATE-FIXED_SEASON_COST)</f>
        <v>22089.8805131287</v>
      </c>
      <c r="O154" s="53" t="n">
        <f aca="false">IF(OR($A154&gt;TOMATO_BED_CAP,$B154&gt;CARROT_BED_CAP,O$4&gt;MESCLUN_BED_CAP,$A154+$B154+O$4&gt;TOTAL_BEDS_AVAILABLE,($D154+O$5)&gt;TOTAL_LABOR_HOURS_CAP,MAX(0,($D154+O$5)-PERMANENT_FIELD_LABOR_HOURS)&gt;TEMP_HOURS_CAP),"",$C154+O$6-MIN(($D154+O$5),PERMANENT_FIELD_LABOR_HOURS)*PERMANENT_HOURLY_RATE-MAX(0,($D154+O$5)-PERMANENT_FIELD_LABOR_HOURS)*TEMP_HOURLY_RATE-FIXED_SEASON_COST)</f>
        <v>22949.9882098835</v>
      </c>
      <c r="P154" s="53" t="n">
        <f aca="false">IF(OR($A154&gt;TOMATO_BED_CAP,$B154&gt;CARROT_BED_CAP,P$4&gt;MESCLUN_BED_CAP,$A154+$B154+P$4&gt;TOTAL_BEDS_AVAILABLE,($D154+P$5)&gt;TOTAL_LABOR_HOURS_CAP,MAX(0,($D154+P$5)-PERMANENT_FIELD_LABOR_HOURS)&gt;TEMP_HOURS_CAP),"",$C154+P$6-MIN(($D154+P$5),PERMANENT_FIELD_LABOR_HOURS)*PERMANENT_HOURLY_RATE-MAX(0,($D154+P$5)-PERMANENT_FIELD_LABOR_HOURS)*TEMP_HOURLY_RATE-FIXED_SEASON_COST)</f>
        <v>23787.1771297349</v>
      </c>
      <c r="Q154" s="53" t="n">
        <f aca="false">IF(OR($A154&gt;TOMATO_BED_CAP,$B154&gt;CARROT_BED_CAP,Q$4&gt;MESCLUN_BED_CAP,$A154+$B154+Q$4&gt;TOTAL_BEDS_AVAILABLE,($D154+Q$5)&gt;TOTAL_LABOR_HOURS_CAP,MAX(0,($D154+Q$5)-PERMANENT_FIELD_LABOR_HOURS)&gt;TEMP_HOURS_CAP),"",$C154+Q$6-MIN(($D154+Q$5),PERMANENT_FIELD_LABOR_HOURS)*PERMANENT_HOURLY_RATE-MAX(0,($D154+Q$5)-PERMANENT_FIELD_LABOR_HOURS)*TEMP_HOURLY_RATE-FIXED_SEASON_COST)</f>
        <v>24601.0242864328</v>
      </c>
      <c r="R154" s="53" t="n">
        <f aca="false">IF(OR($A154&gt;TOMATO_BED_CAP,$B154&gt;CARROT_BED_CAP,R$4&gt;MESCLUN_BED_CAP,$A154+$B154+R$4&gt;TOTAL_BEDS_AVAILABLE,($D154+R$5)&gt;TOTAL_LABOR_HOURS_CAP,MAX(0,($D154+R$5)-PERMANENT_FIELD_LABOR_HOURS)&gt;TEMP_HOURS_CAP),"",$C154+R$6-MIN(($D154+R$5),PERMANENT_FIELD_LABOR_HOURS)*PERMANENT_HOURLY_RATE-MAX(0,($D154+R$5)-PERMANENT_FIELD_LABOR_HOURS)*TEMP_HOURLY_RATE-FIXED_SEASON_COST)</f>
        <v>25391.0997001296</v>
      </c>
      <c r="S154" s="53" t="n">
        <f aca="false">IF(OR($A154&gt;TOMATO_BED_CAP,$B154&gt;CARROT_BED_CAP,S$4&gt;MESCLUN_BED_CAP,$A154+$B154+S$4&gt;TOTAL_BEDS_AVAILABLE,($D154+S$5)&gt;TOTAL_LABOR_HOURS_CAP,MAX(0,($D154+S$5)-PERMANENT_FIELD_LABOR_HOURS)&gt;TEMP_HOURS_CAP),"",$C154+S$6-MIN(($D154+S$5),PERMANENT_FIELD_LABOR_HOURS)*PERMANENT_HOURLY_RATE-MAX(0,($D154+S$5)-PERMANENT_FIELD_LABOR_HOURS)*TEMP_HOURLY_RATE-FIXED_SEASON_COST)</f>
        <v>26156.9662886321</v>
      </c>
      <c r="T154" s="53" t="n">
        <f aca="false">IF(OR($A154&gt;TOMATO_BED_CAP,$B154&gt;CARROT_BED_CAP,T$4&gt;MESCLUN_BED_CAP,$A154+$B154+T$4&gt;TOTAL_BEDS_AVAILABLE,($D154+T$5)&gt;TOTAL_LABOR_HOURS_CAP,MAX(0,($D154+T$5)-PERMANENT_FIELD_LABOR_HOURS)&gt;TEMP_HOURS_CAP),"",$C154+T$6-MIN(($D154+T$5),PERMANENT_FIELD_LABOR_HOURS)*PERMANENT_HOURLY_RATE-MAX(0,($D154+T$5)-PERMANENT_FIELD_LABOR_HOURS)*TEMP_HOURLY_RATE-FIXED_SEASON_COST)</f>
        <v>26898.1797570269</v>
      </c>
      <c r="U154" s="53" t="n">
        <f aca="false">IF(OR($A154&gt;TOMATO_BED_CAP,$B154&gt;CARROT_BED_CAP,U$4&gt;MESCLUN_BED_CAP,$A154+$B154+U$4&gt;TOTAL_BEDS_AVAILABLE,($D154+U$5)&gt;TOTAL_LABOR_HOURS_CAP,MAX(0,($D154+U$5)-PERMANENT_FIELD_LABOR_HOURS)&gt;TEMP_HOURS_CAP),"",$C154+U$6-MIN(($D154+U$5),PERMANENT_FIELD_LABOR_HOURS)*PERMANENT_HOURLY_RATE-MAX(0,($D154+U$5)-PERMANENT_FIELD_LABOR_HOURS)*TEMP_HOURLY_RATE-FIXED_SEASON_COST)</f>
        <v>27614.288485657</v>
      </c>
      <c r="V154" s="53" t="n">
        <f aca="false">IF(OR($A154&gt;TOMATO_BED_CAP,$B154&gt;CARROT_BED_CAP,V$4&gt;MESCLUN_BED_CAP,$A154+$B154+V$4&gt;TOTAL_BEDS_AVAILABLE,($D154+V$5)&gt;TOTAL_LABOR_HOURS_CAP,MAX(0,($D154+V$5)-PERMANENT_FIELD_LABOR_HOURS)&gt;TEMP_HOURS_CAP),"",$C154+V$6-MIN(($D154+V$5),PERMANENT_FIELD_LABOR_HOURS)*PERMANENT_HOURLY_RATE-MAX(0,($D154+V$5)-PERMANENT_FIELD_LABOR_HOURS)*TEMP_HOURLY_RATE-FIXED_SEASON_COST)</f>
        <v>28304.8334164238</v>
      </c>
      <c r="W154" s="53" t="n">
        <f aca="false">IF(OR($A154&gt;TOMATO_BED_CAP,$B154&gt;CARROT_BED_CAP,W$4&gt;MESCLUN_BED_CAP,$A154+$B154+W$4&gt;TOTAL_BEDS_AVAILABLE,($D154+W$5)&gt;TOTAL_LABOR_HOURS_CAP,MAX(0,($D154+W$5)-PERMANENT_FIELD_LABOR_HOURS)&gt;TEMP_HOURS_CAP),"",$C154+W$6-MIN(($D154+W$5),PERMANENT_FIELD_LABOR_HOURS)*PERMANENT_HOURLY_RATE-MAX(0,($D154+W$5)-PERMANENT_FIELD_LABOR_HOURS)*TEMP_HOURLY_RATE-FIXED_SEASON_COST)</f>
        <v>28969.3479373919</v>
      </c>
      <c r="X154" s="53" t="n">
        <f aca="false">IF(OR($A154&gt;TOMATO_BED_CAP,$B154&gt;CARROT_BED_CAP,X$4&gt;MESCLUN_BED_CAP,$A154+$B154+X$4&gt;TOTAL_BEDS_AVAILABLE,($D154+X$5)&gt;TOTAL_LABOR_HOURS_CAP,MAX(0,($D154+X$5)-PERMANENT_FIELD_LABOR_HOURS)&gt;TEMP_HOURS_CAP),"",$C154+X$6-MIN(($D154+X$5),PERMANENT_FIELD_LABOR_HOURS)*PERMANENT_HOURLY_RATE-MAX(0,($D154+X$5)-PERMANENT_FIELD_LABOR_HOURS)*TEMP_HOURLY_RATE-FIXED_SEASON_COST)</f>
        <v>29607.3577656708</v>
      </c>
      <c r="Y154" s="53" t="n">
        <f aca="false">IF(OR($A154&gt;TOMATO_BED_CAP,$B154&gt;CARROT_BED_CAP,Y$4&gt;MESCLUN_BED_CAP,$A154+$B154+Y$4&gt;TOTAL_BEDS_AVAILABLE,($D154+Y$5)&gt;TOTAL_LABOR_HOURS_CAP,MAX(0,($D154+Y$5)-PERMANENT_FIELD_LABOR_HOURS)&gt;TEMP_HOURS_CAP),"",$C154+Y$6-MIN(($D154+Y$5),PERMANENT_FIELD_LABOR_HOURS)*PERMANENT_HOURLY_RATE-MAX(0,($D154+Y$5)-PERMANENT_FIELD_LABOR_HOURS)*TEMP_HOURLY_RATE-FIXED_SEASON_COST)</f>
        <v>30218.3808285494</v>
      </c>
      <c r="Z154" s="53" t="n">
        <f aca="false">IF(OR($A154&gt;TOMATO_BED_CAP,$B154&gt;CARROT_BED_CAP,Z$4&gt;MESCLUN_BED_CAP,$A154+$B154+Z$4&gt;TOTAL_BEDS_AVAILABLE,($D154+Z$5)&gt;TOTAL_LABOR_HOURS_CAP,MAX(0,($D154+Z$5)-PERMANENT_FIELD_LABOR_HOURS)&gt;TEMP_HOURS_CAP),"",$C154+Z$6-MIN(($D154+Z$5),PERMANENT_FIELD_LABOR_HOURS)*PERMANENT_HOURLY_RATE-MAX(0,($D154+Z$5)-PERMANENT_FIELD_LABOR_HOURS)*TEMP_HOURLY_RATE-FIXED_SEASON_COST)</f>
        <v>30801.9271428572</v>
      </c>
      <c r="AA154" s="53" t="n">
        <f aca="false">IF(OR($A154&gt;TOMATO_BED_CAP,$B154&gt;CARROT_BED_CAP,AA$4&gt;MESCLUN_BED_CAP,$A154+$B154+AA$4&gt;TOTAL_BEDS_AVAILABLE,($D154+AA$5)&gt;TOTAL_LABOR_HOURS_CAP,MAX(0,($D154+AA$5)-PERMANENT_FIELD_LABOR_HOURS)&gt;TEMP_HOURS_CAP),"",$C154+AA$6-MIN(($D154+AA$5),PERMANENT_FIELD_LABOR_HOURS)*PERMANENT_HOURLY_RATE-MAX(0,($D154+AA$5)-PERMANENT_FIELD_LABOR_HOURS)*TEMP_HOURLY_RATE-FIXED_SEASON_COST)</f>
        <v>31357.4986925261</v>
      </c>
      <c r="AB154" s="53" t="n">
        <f aca="false">IF(OR($A154&gt;TOMATO_BED_CAP,$B154&gt;CARROT_BED_CAP,AB$4&gt;MESCLUN_BED_CAP,$A154+$B154+AB$4&gt;TOTAL_BEDS_AVAILABLE,($D154+AB$5)&gt;TOTAL_LABOR_HOURS_CAP,MAX(0,($D154+AB$5)-PERMANENT_FIELD_LABOR_HOURS)&gt;TEMP_HOURS_CAP),"",$C154+AB$6-MIN(($D154+AB$5),PERMANENT_FIELD_LABOR_HOURS)*PERMANENT_HOURLY_RATE-MAX(0,($D154+AB$5)-PERMANENT_FIELD_LABOR_HOURS)*TEMP_HOURLY_RATE-FIXED_SEASON_COST)</f>
        <v>31884.5893043287</v>
      </c>
      <c r="AC154" s="53" t="n">
        <f aca="false">IF(OR($A154&gt;TOMATO_BED_CAP,$B154&gt;CARROT_BED_CAP,AC$4&gt;MESCLUN_BED_CAP,$A154+$B154+AC$4&gt;TOTAL_BEDS_AVAILABLE,($D154+AC$5)&gt;TOTAL_LABOR_HOURS_CAP,MAX(0,($D154+AC$5)-PERMANENT_FIELD_LABOR_HOURS)&gt;TEMP_HOURS_CAP),"",$C154+AC$6-MIN(($D154+AC$5),PERMANENT_FIELD_LABOR_HOURS)*PERMANENT_HOURLY_RATE-MAX(0,($D154+AC$5)-PERMANENT_FIELD_LABOR_HOURS)*TEMP_HOURLY_RATE-FIXED_SEASON_COST)</f>
        <v>32382.6845217636</v>
      </c>
      <c r="AD154" s="53" t="n">
        <f aca="false">IF(OR($A154&gt;TOMATO_BED_CAP,$B154&gt;CARROT_BED_CAP,AD$4&gt;MESCLUN_BED_CAP,$A154+$B154+AD$4&gt;TOTAL_BEDS_AVAILABLE,($D154+AD$5)&gt;TOTAL_LABOR_HOURS_CAP,MAX(0,($D154+AD$5)-PERMANENT_FIELD_LABOR_HOURS)&gt;TEMP_HOURS_CAP),"",$C154+AD$6-MIN(($D154+AD$5),PERMANENT_FIELD_LABOR_HOURS)*PERMANENT_HOURLY_RATE-MAX(0,($D154+AD$5)-PERMANENT_FIELD_LABOR_HOURS)*TEMP_HOURLY_RATE-FIXED_SEASON_COST)</f>
        <v>32851.2614770635</v>
      </c>
      <c r="AE154" s="53" t="n">
        <f aca="false">IF(OR($A154&gt;TOMATO_BED_CAP,$B154&gt;CARROT_BED_CAP,AE$4&gt;MESCLUN_BED_CAP,$A154+$B154+AE$4&gt;TOTAL_BEDS_AVAILABLE,($D154+AE$5)&gt;TOTAL_LABOR_HOURS_CAP,MAX(0,($D154+AE$5)-PERMANENT_FIELD_LABOR_HOURS)&gt;TEMP_HOURS_CAP),"",$C154+AE$6-MIN(($D154+AE$5),PERMANENT_FIELD_LABOR_HOURS)*PERMANENT_HOURLY_RATE-MAX(0,($D154+AE$5)-PERMANENT_FIELD_LABOR_HOURS)*TEMP_HOURLY_RATE-FIXED_SEASON_COST)</f>
        <v>33289.7887612974</v>
      </c>
      <c r="AF154" s="53" t="n">
        <f aca="false">IF(OR($A154&gt;TOMATO_BED_CAP,$B154&gt;CARROT_BED_CAP,AF$4&gt;MESCLUN_BED_CAP,$A154+$B154+AF$4&gt;TOTAL_BEDS_AVAILABLE,($D154+AF$5)&gt;TOTAL_LABOR_HOURS_CAP,MAX(0,($D154+AF$5)-PERMANENT_FIELD_LABOR_HOURS)&gt;TEMP_HOURS_CAP),"",$C154+AF$6-MIN(($D154+AF$5),PERMANENT_FIELD_LABOR_HOURS)*PERMANENT_HOURLY_RATE-MAX(0,($D154+AF$5)-PERMANENT_FIELD_LABOR_HOURS)*TEMP_HOURLY_RATE-FIXED_SEASON_COST)</f>
        <v>33697.7262925394</v>
      </c>
      <c r="AG154" s="53" t="n">
        <f aca="false">IF(OR($A154&gt;TOMATO_BED_CAP,$B154&gt;CARROT_BED_CAP,AG$4&gt;MESCLUN_BED_CAP,$A154+$B154+AG$4&gt;TOTAL_BEDS_AVAILABLE,($D154+AG$5)&gt;TOTAL_LABOR_HOURS_CAP,MAX(0,($D154+AG$5)-PERMANENT_FIELD_LABOR_HOURS)&gt;TEMP_HOURS_CAP),"",$C154+AG$6-MIN(($D154+AG$5),PERMANENT_FIELD_LABOR_HOURS)*PERMANENT_HOURLY_RATE-MAX(0,($D154+AG$5)-PERMANENT_FIELD_LABOR_HOURS)*TEMP_HOURLY_RATE-FIXED_SEASON_COST)</f>
        <v>34074.5251820764</v>
      </c>
      <c r="AH154" s="53" t="n">
        <f aca="false">IF(OR($A154&gt;TOMATO_BED_CAP,$B154&gt;CARROT_BED_CAP,AH$4&gt;MESCLUN_BED_CAP,$A154+$B154+AH$4&gt;TOTAL_BEDS_AVAILABLE,($D154+AH$5)&gt;TOTAL_LABOR_HOURS_CAP,MAX(0,($D154+AH$5)-PERMANENT_FIELD_LABOR_HOURS)&gt;TEMP_HOURS_CAP),"",$C154+AH$6-MIN(($D154+AH$5),PERMANENT_FIELD_LABOR_HOURS)*PERMANENT_HOURLY_RATE-MAX(0,($D154+AH$5)-PERMANENT_FIELD_LABOR_HOURS)*TEMP_HOURLY_RATE-FIXED_SEASON_COST)</f>
        <v>34419.6275986266</v>
      </c>
      <c r="AI154" s="53" t="n">
        <f aca="false">IF(OR($A154&gt;TOMATO_BED_CAP,$B154&gt;CARROT_BED_CAP,AI$4&gt;MESCLUN_BED_CAP,$A154+$B154+AI$4&gt;TOTAL_BEDS_AVAILABLE,($D154+AI$5)&gt;TOTAL_LABOR_HOURS_CAP,MAX(0,($D154+AI$5)-PERMANENT_FIELD_LABOR_HOURS)&gt;TEMP_HOURS_CAP),"",$C154+AI$6-MIN(($D154+AI$5),PERMANENT_FIELD_LABOR_HOURS)*PERMANENT_HOURLY_RATE-MAX(0,($D154+AI$5)-PERMANENT_FIELD_LABOR_HOURS)*TEMP_HOURLY_RATE-FIXED_SEASON_COST)</f>
        <v>34732.4666305389</v>
      </c>
      <c r="AJ154" s="53" t="n">
        <f aca="false">IF(OR($A154&gt;TOMATO_BED_CAP,$B154&gt;CARROT_BED_CAP,AJ$4&gt;MESCLUN_BED_CAP,$A154+$B154+AJ$4&gt;TOTAL_BEDS_AVAILABLE,($D154+AJ$5)&gt;TOTAL_LABOR_HOURS_CAP,MAX(0,($D154+AJ$5)-PERMANENT_FIELD_LABOR_HOURS)&gt;TEMP_HOURS_CAP),"",$C154+AJ$6-MIN(($D154+AJ$5),PERMANENT_FIELD_LABOR_HOURS)*PERMANENT_HOURLY_RATE-MAX(0,($D154+AJ$5)-PERMANENT_FIELD_LABOR_HOURS)*TEMP_HOURLY_RATE-FIXED_SEASON_COST)</f>
        <v>35012.4661459446</v>
      </c>
    </row>
    <row r="155" customFormat="false" ht="15" hidden="false" customHeight="false" outlineLevel="0" collapsed="false">
      <c r="A155" s="21" t="n">
        <f aca="false">INT((ROW()-ROW($A$8))/(20+1))</f>
        <v>7</v>
      </c>
      <c r="B155" s="21" t="n">
        <f aca="false">MOD(ROW()-ROW($A$8),20+1)</f>
        <v>0</v>
      </c>
      <c r="C155" s="13" t="n">
        <f aca="false">A155*(TOMATO_REVENUE_PER_BED-TOMATO_FERTILIZER_PER_BED)+B155*(CARROT_REVENUE_PER_BED-CARROT_FERTILIZER_PER_BED)</f>
        <v>55440</v>
      </c>
      <c r="D155" s="14" t="n">
        <f aca="false">INDEX(TOMATO_SCHED_LABOR_HRS,A155+1)+INDEX(CARROT_SCHED_LABOR_HRS,B155+1)</f>
        <v>1227.691773</v>
      </c>
      <c r="E155" s="13" t="n">
        <f aca="false">IF(COUNT(F155:AJ155)=0,"",MAX(F155:AJ155))</f>
        <v>22208.0601155925</v>
      </c>
      <c r="F155" s="53" t="n">
        <f aca="false">IF(OR($A155&gt;TOMATO_BED_CAP,$B155&gt;CARROT_BED_CAP,F$4&gt;MESCLUN_BED_CAP,$A155+$B155+F$4&gt;TOTAL_BEDS_AVAILABLE,($D155+F$5)&gt;TOTAL_LABOR_HOURS_CAP,MAX(0,($D155+F$5)-PERMANENT_FIELD_LABOR_HOURS)&gt;TEMP_HOURS_CAP),"",$C155+F$6-MIN(($D155+F$5),PERMANENT_FIELD_LABOR_HOURS)*PERMANENT_HOURLY_RATE-MAX(0,($D155+F$5)-PERMANENT_FIELD_LABOR_HOURS)*TEMP_HOURLY_RATE-FIXED_SEASON_COST)</f>
        <v>1628.07082071999</v>
      </c>
      <c r="G155" s="53" t="n">
        <f aca="false">IF(OR($A155&gt;TOMATO_BED_CAP,$B155&gt;CARROT_BED_CAP,G$4&gt;MESCLUN_BED_CAP,$A155+$B155+G$4&gt;TOTAL_BEDS_AVAILABLE,($D155+G$5)&gt;TOTAL_LABOR_HOURS_CAP,MAX(0,($D155+G$5)-PERMANENT_FIELD_LABOR_HOURS)&gt;TEMP_HOURS_CAP),"",$C155+G$6-MIN(($D155+G$5),PERMANENT_FIELD_LABOR_HOURS)*PERMANENT_HOURLY_RATE-MAX(0,($D155+G$5)-PERMANENT_FIELD_LABOR_HOURS)*TEMP_HOURLY_RATE-FIXED_SEASON_COST)</f>
        <v>2657.10582071999</v>
      </c>
      <c r="H155" s="53" t="n">
        <f aca="false">IF(OR($A155&gt;TOMATO_BED_CAP,$B155&gt;CARROT_BED_CAP,H$4&gt;MESCLUN_BED_CAP,$A155+$B155+H$4&gt;TOTAL_BEDS_AVAILABLE,($D155+H$5)&gt;TOTAL_LABOR_HOURS_CAP,MAX(0,($D155+H$5)-PERMANENT_FIELD_LABOR_HOURS)&gt;TEMP_HOURS_CAP),"",$C155+H$6-MIN(($D155+H$5),PERMANENT_FIELD_LABOR_HOURS)*PERMANENT_HOURLY_RATE-MAX(0,($D155+H$5)-PERMANENT_FIELD_LABOR_HOURS)*TEMP_HOURLY_RATE-FIXED_SEASON_COST)</f>
        <v>3666.36669572</v>
      </c>
      <c r="I155" s="53" t="n">
        <f aca="false">IF(OR($A155&gt;TOMATO_BED_CAP,$B155&gt;CARROT_BED_CAP,I$4&gt;MESCLUN_BED_CAP,$A155+$B155+I$4&gt;TOTAL_BEDS_AVAILABLE,($D155+I$5)&gt;TOTAL_LABOR_HOURS_CAP,MAX(0,($D155+I$5)-PERMANENT_FIELD_LABOR_HOURS)&gt;TEMP_HOURS_CAP),"",$C155+I$6-MIN(($D155+I$5),PERMANENT_FIELD_LABOR_HOURS)*PERMANENT_HOURLY_RATE-MAX(0,($D155+I$5)-PERMANENT_FIELD_LABOR_HOURS)*TEMP_HOURLY_RATE-FIXED_SEASON_COST)</f>
        <v>4655.48268087625</v>
      </c>
      <c r="J155" s="53" t="n">
        <f aca="false">IF(OR($A155&gt;TOMATO_BED_CAP,$B155&gt;CARROT_BED_CAP,J$4&gt;MESCLUN_BED_CAP,$A155+$B155+J$4&gt;TOTAL_BEDS_AVAILABLE,($D155+J$5)&gt;TOTAL_LABOR_HOURS_CAP,MAX(0,($D155+J$5)-PERMANENT_FIELD_LABOR_HOURS)&gt;TEMP_HOURS_CAP),"",$C155+J$6-MIN(($D155+J$5),PERMANENT_FIELD_LABOR_HOURS)*PERMANENT_HOURLY_RATE-MAX(0,($D155+J$5)-PERMANENT_FIELD_LABOR_HOURS)*TEMP_HOURLY_RATE-FIXED_SEASON_COST)</f>
        <v>5624.07683193093</v>
      </c>
      <c r="K155" s="53" t="n">
        <f aca="false">IF(OR($A155&gt;TOMATO_BED_CAP,$B155&gt;CARROT_BED_CAP,K$4&gt;MESCLUN_BED_CAP,$A155+$B155+K$4&gt;TOTAL_BEDS_AVAILABLE,($D155+K$5)&gt;TOTAL_LABOR_HOURS_CAP,MAX(0,($D155+K$5)-PERMANENT_FIELD_LABOR_HOURS)&gt;TEMP_HOURS_CAP),"",$C155+K$6-MIN(($D155+K$5),PERMANENT_FIELD_LABOR_HOURS)*PERMANENT_HOURLY_RATE-MAX(0,($D155+K$5)-PERMANENT_FIELD_LABOR_HOURS)*TEMP_HOURLY_RATE-FIXED_SEASON_COST)</f>
        <v>6571.76592865884</v>
      </c>
      <c r="L155" s="53" t="n">
        <f aca="false">IF(OR($A155&gt;TOMATO_BED_CAP,$B155&gt;CARROT_BED_CAP,L$4&gt;MESCLUN_BED_CAP,$A155+$B155+L$4&gt;TOTAL_BEDS_AVAILABLE,($D155+L$5)&gt;TOTAL_LABOR_HOURS_CAP,MAX(0,($D155+L$5)-PERMANENT_FIELD_LABOR_HOURS)&gt;TEMP_HOURS_CAP),"",$C155+L$6-MIN(($D155+L$5),PERMANENT_FIELD_LABOR_HOURS)*PERMANENT_HOURLY_RATE-MAX(0,($D155+L$5)-PERMANENT_FIELD_LABOR_HOURS)*TEMP_HOURLY_RATE-FIXED_SEASON_COST)</f>
        <v>7498.16037686569</v>
      </c>
      <c r="M155" s="53" t="n">
        <f aca="false">IF(OR($A155&gt;TOMATO_BED_CAP,$B155&gt;CARROT_BED_CAP,M$4&gt;MESCLUN_BED_CAP,$A155+$B155+M$4&gt;TOTAL_BEDS_AVAILABLE,($D155+M$5)&gt;TOTAL_LABOR_HOURS_CAP,MAX(0,($D155+M$5)-PERMANENT_FIELD_LABOR_HOURS)&gt;TEMP_HOURS_CAP),"",$C155+M$6-MIN(($D155+M$5),PERMANENT_FIELD_LABOR_HOURS)*PERMANENT_HOURLY_RATE-MAX(0,($D155+M$5)-PERMANENT_FIELD_LABOR_HOURS)*TEMP_HOURLY_RATE-FIXED_SEASON_COST)</f>
        <v>8402.8641089171</v>
      </c>
      <c r="N155" s="53" t="n">
        <f aca="false">IF(OR($A155&gt;TOMATO_BED_CAP,$B155&gt;CARROT_BED_CAP,N$4&gt;MESCLUN_BED_CAP,$A155+$B155+N$4&gt;TOTAL_BEDS_AVAILABLE,($D155+N$5)&gt;TOTAL_LABOR_HOURS_CAP,MAX(0,($D155+N$5)-PERMANENT_FIELD_LABOR_HOURS)&gt;TEMP_HOURS_CAP),"",$C155+N$6-MIN(($D155+N$5),PERMANENT_FIELD_LABOR_HOURS)*PERMANENT_HOURLY_RATE-MAX(0,($D155+N$5)-PERMANENT_FIELD_LABOR_HOURS)*TEMP_HOURLY_RATE-FIXED_SEASON_COST)</f>
        <v>9285.47448277664</v>
      </c>
      <c r="O155" s="53" t="n">
        <f aca="false">IF(OR($A155&gt;TOMATO_BED_CAP,$B155&gt;CARROT_BED_CAP,O$4&gt;MESCLUN_BED_CAP,$A155+$B155+O$4&gt;TOTAL_BEDS_AVAILABLE,($D155+O$5)&gt;TOTAL_LABOR_HOURS_CAP,MAX(0,($D155+O$5)-PERMANENT_FIELD_LABOR_HOURS)&gt;TEMP_HOURS_CAP),"",$C155+O$6-MIN(($D155+O$5),PERMANENT_FIELD_LABOR_HOURS)*PERMANENT_HOURLY_RATE-MAX(0,($D155+O$5)-PERMANENT_FIELD_LABOR_HOURS)*TEMP_HOURLY_RATE-FIXED_SEASON_COST)</f>
        <v>10145.5821795314</v>
      </c>
      <c r="P155" s="53" t="n">
        <f aca="false">IF(OR($A155&gt;TOMATO_BED_CAP,$B155&gt;CARROT_BED_CAP,P$4&gt;MESCLUN_BED_CAP,$A155+$B155+P$4&gt;TOTAL_BEDS_AVAILABLE,($D155+P$5)&gt;TOTAL_LABOR_HOURS_CAP,MAX(0,($D155+P$5)-PERMANENT_FIELD_LABOR_HOURS)&gt;TEMP_HOURS_CAP),"",$C155+P$6-MIN(($D155+P$5),PERMANENT_FIELD_LABOR_HOURS)*PERMANENT_HOURLY_RATE-MAX(0,($D155+P$5)-PERMANENT_FIELD_LABOR_HOURS)*TEMP_HOURLY_RATE-FIXED_SEASON_COST)</f>
        <v>10982.7710993828</v>
      </c>
      <c r="Q155" s="53" t="n">
        <f aca="false">IF(OR($A155&gt;TOMATO_BED_CAP,$B155&gt;CARROT_BED_CAP,Q$4&gt;MESCLUN_BED_CAP,$A155+$B155+Q$4&gt;TOTAL_BEDS_AVAILABLE,($D155+Q$5)&gt;TOTAL_LABOR_HOURS_CAP,MAX(0,($D155+Q$5)-PERMANENT_FIELD_LABOR_HOURS)&gt;TEMP_HOURS_CAP),"",$C155+Q$6-MIN(($D155+Q$5),PERMANENT_FIELD_LABOR_HOURS)*PERMANENT_HOURLY_RATE-MAX(0,($D155+Q$5)-PERMANENT_FIELD_LABOR_HOURS)*TEMP_HOURLY_RATE-FIXED_SEASON_COST)</f>
        <v>11796.6182560807</v>
      </c>
      <c r="R155" s="53" t="n">
        <f aca="false">IF(OR($A155&gt;TOMATO_BED_CAP,$B155&gt;CARROT_BED_CAP,R$4&gt;MESCLUN_BED_CAP,$A155+$B155+R$4&gt;TOTAL_BEDS_AVAILABLE,($D155+R$5)&gt;TOTAL_LABOR_HOURS_CAP,MAX(0,($D155+R$5)-PERMANENT_FIELD_LABOR_HOURS)&gt;TEMP_HOURS_CAP),"",$C155+R$6-MIN(($D155+R$5),PERMANENT_FIELD_LABOR_HOURS)*PERMANENT_HOURLY_RATE-MAX(0,($D155+R$5)-PERMANENT_FIELD_LABOR_HOURS)*TEMP_HOURLY_RATE-FIXED_SEASON_COST)</f>
        <v>12586.6936697775</v>
      </c>
      <c r="S155" s="53" t="n">
        <f aca="false">IF(OR($A155&gt;TOMATO_BED_CAP,$B155&gt;CARROT_BED_CAP,S$4&gt;MESCLUN_BED_CAP,$A155+$B155+S$4&gt;TOTAL_BEDS_AVAILABLE,($D155+S$5)&gt;TOTAL_LABOR_HOURS_CAP,MAX(0,($D155+S$5)-PERMANENT_FIELD_LABOR_HOURS)&gt;TEMP_HOURS_CAP),"",$C155+S$6-MIN(($D155+S$5),PERMANENT_FIELD_LABOR_HOURS)*PERMANENT_HOURLY_RATE-MAX(0,($D155+S$5)-PERMANENT_FIELD_LABOR_HOURS)*TEMP_HOURLY_RATE-FIXED_SEASON_COST)</f>
        <v>13352.56025828</v>
      </c>
      <c r="T155" s="53" t="n">
        <f aca="false">IF(OR($A155&gt;TOMATO_BED_CAP,$B155&gt;CARROT_BED_CAP,T$4&gt;MESCLUN_BED_CAP,$A155+$B155+T$4&gt;TOTAL_BEDS_AVAILABLE,($D155+T$5)&gt;TOTAL_LABOR_HOURS_CAP,MAX(0,($D155+T$5)-PERMANENT_FIELD_LABOR_HOURS)&gt;TEMP_HOURS_CAP),"",$C155+T$6-MIN(($D155+T$5),PERMANENT_FIELD_LABOR_HOURS)*PERMANENT_HOURLY_RATE-MAX(0,($D155+T$5)-PERMANENT_FIELD_LABOR_HOURS)*TEMP_HOURLY_RATE-FIXED_SEASON_COST)</f>
        <v>14093.7737266748</v>
      </c>
      <c r="U155" s="53" t="n">
        <f aca="false">IF(OR($A155&gt;TOMATO_BED_CAP,$B155&gt;CARROT_BED_CAP,U$4&gt;MESCLUN_BED_CAP,$A155+$B155+U$4&gt;TOTAL_BEDS_AVAILABLE,($D155+U$5)&gt;TOTAL_LABOR_HOURS_CAP,MAX(0,($D155+U$5)-PERMANENT_FIELD_LABOR_HOURS)&gt;TEMP_HOURS_CAP),"",$C155+U$6-MIN(($D155+U$5),PERMANENT_FIELD_LABOR_HOURS)*PERMANENT_HOURLY_RATE-MAX(0,($D155+U$5)-PERMANENT_FIELD_LABOR_HOURS)*TEMP_HOURLY_RATE-FIXED_SEASON_COST)</f>
        <v>14809.8824553049</v>
      </c>
      <c r="V155" s="53" t="n">
        <f aca="false">IF(OR($A155&gt;TOMATO_BED_CAP,$B155&gt;CARROT_BED_CAP,V$4&gt;MESCLUN_BED_CAP,$A155+$B155+V$4&gt;TOTAL_BEDS_AVAILABLE,($D155+V$5)&gt;TOTAL_LABOR_HOURS_CAP,MAX(0,($D155+V$5)-PERMANENT_FIELD_LABOR_HOURS)&gt;TEMP_HOURS_CAP),"",$C155+V$6-MIN(($D155+V$5),PERMANENT_FIELD_LABOR_HOURS)*PERMANENT_HOURLY_RATE-MAX(0,($D155+V$5)-PERMANENT_FIELD_LABOR_HOURS)*TEMP_HOURLY_RATE-FIXED_SEASON_COST)</f>
        <v>15500.4273860717</v>
      </c>
      <c r="W155" s="53" t="n">
        <f aca="false">IF(OR($A155&gt;TOMATO_BED_CAP,$B155&gt;CARROT_BED_CAP,W$4&gt;MESCLUN_BED_CAP,$A155+$B155+W$4&gt;TOTAL_BEDS_AVAILABLE,($D155+W$5)&gt;TOTAL_LABOR_HOURS_CAP,MAX(0,($D155+W$5)-PERMANENT_FIELD_LABOR_HOURS)&gt;TEMP_HOURS_CAP),"",$C155+W$6-MIN(($D155+W$5),PERMANENT_FIELD_LABOR_HOURS)*PERMANENT_HOURLY_RATE-MAX(0,($D155+W$5)-PERMANENT_FIELD_LABOR_HOURS)*TEMP_HOURLY_RATE-FIXED_SEASON_COST)</f>
        <v>16164.9419070398</v>
      </c>
      <c r="X155" s="53" t="n">
        <f aca="false">IF(OR($A155&gt;TOMATO_BED_CAP,$B155&gt;CARROT_BED_CAP,X$4&gt;MESCLUN_BED_CAP,$A155+$B155+X$4&gt;TOTAL_BEDS_AVAILABLE,($D155+X$5)&gt;TOTAL_LABOR_HOURS_CAP,MAX(0,($D155+X$5)-PERMANENT_FIELD_LABOR_HOURS)&gt;TEMP_HOURS_CAP),"",$C155+X$6-MIN(($D155+X$5),PERMANENT_FIELD_LABOR_HOURS)*PERMANENT_HOURLY_RATE-MAX(0,($D155+X$5)-PERMANENT_FIELD_LABOR_HOURS)*TEMP_HOURLY_RATE-FIXED_SEASON_COST)</f>
        <v>16802.9517353187</v>
      </c>
      <c r="Y155" s="53" t="n">
        <f aca="false">IF(OR($A155&gt;TOMATO_BED_CAP,$B155&gt;CARROT_BED_CAP,Y$4&gt;MESCLUN_BED_CAP,$A155+$B155+Y$4&gt;TOTAL_BEDS_AVAILABLE,($D155+Y$5)&gt;TOTAL_LABOR_HOURS_CAP,MAX(0,($D155+Y$5)-PERMANENT_FIELD_LABOR_HOURS)&gt;TEMP_HOURS_CAP),"",$C155+Y$6-MIN(($D155+Y$5),PERMANENT_FIELD_LABOR_HOURS)*PERMANENT_HOURLY_RATE-MAX(0,($D155+Y$5)-PERMANENT_FIELD_LABOR_HOURS)*TEMP_HOURLY_RATE-FIXED_SEASON_COST)</f>
        <v>17413.9747981974</v>
      </c>
      <c r="Z155" s="53" t="n">
        <f aca="false">IF(OR($A155&gt;TOMATO_BED_CAP,$B155&gt;CARROT_BED_CAP,Z$4&gt;MESCLUN_BED_CAP,$A155+$B155+Z$4&gt;TOTAL_BEDS_AVAILABLE,($D155+Z$5)&gt;TOTAL_LABOR_HOURS_CAP,MAX(0,($D155+Z$5)-PERMANENT_FIELD_LABOR_HOURS)&gt;TEMP_HOURS_CAP),"",$C155+Z$6-MIN(($D155+Z$5),PERMANENT_FIELD_LABOR_HOURS)*PERMANENT_HOURLY_RATE-MAX(0,($D155+Z$5)-PERMANENT_FIELD_LABOR_HOURS)*TEMP_HOURLY_RATE-FIXED_SEASON_COST)</f>
        <v>17997.5211125051</v>
      </c>
      <c r="AA155" s="53" t="n">
        <f aca="false">IF(OR($A155&gt;TOMATO_BED_CAP,$B155&gt;CARROT_BED_CAP,AA$4&gt;MESCLUN_BED_CAP,$A155+$B155+AA$4&gt;TOTAL_BEDS_AVAILABLE,($D155+AA$5)&gt;TOTAL_LABOR_HOURS_CAP,MAX(0,($D155+AA$5)-PERMANENT_FIELD_LABOR_HOURS)&gt;TEMP_HOURS_CAP),"",$C155+AA$6-MIN(($D155+AA$5),PERMANENT_FIELD_LABOR_HOURS)*PERMANENT_HOURLY_RATE-MAX(0,($D155+AA$5)-PERMANENT_FIELD_LABOR_HOURS)*TEMP_HOURLY_RATE-FIXED_SEASON_COST)</f>
        <v>18553.092662174</v>
      </c>
      <c r="AB155" s="53" t="n">
        <f aca="false">IF(OR($A155&gt;TOMATO_BED_CAP,$B155&gt;CARROT_BED_CAP,AB$4&gt;MESCLUN_BED_CAP,$A155+$B155+AB$4&gt;TOTAL_BEDS_AVAILABLE,($D155+AB$5)&gt;TOTAL_LABOR_HOURS_CAP,MAX(0,($D155+AB$5)-PERMANENT_FIELD_LABOR_HOURS)&gt;TEMP_HOURS_CAP),"",$C155+AB$6-MIN(($D155+AB$5),PERMANENT_FIELD_LABOR_HOURS)*PERMANENT_HOURLY_RATE-MAX(0,($D155+AB$5)-PERMANENT_FIELD_LABOR_HOURS)*TEMP_HOURLY_RATE-FIXED_SEASON_COST)</f>
        <v>19080.1832739766</v>
      </c>
      <c r="AC155" s="53" t="n">
        <f aca="false">IF(OR($A155&gt;TOMATO_BED_CAP,$B155&gt;CARROT_BED_CAP,AC$4&gt;MESCLUN_BED_CAP,$A155+$B155+AC$4&gt;TOTAL_BEDS_AVAILABLE,($D155+AC$5)&gt;TOTAL_LABOR_HOURS_CAP,MAX(0,($D155+AC$5)-PERMANENT_FIELD_LABOR_HOURS)&gt;TEMP_HOURS_CAP),"",$C155+AC$6-MIN(($D155+AC$5),PERMANENT_FIELD_LABOR_HOURS)*PERMANENT_HOURLY_RATE-MAX(0,($D155+AC$5)-PERMANENT_FIELD_LABOR_HOURS)*TEMP_HOURLY_RATE-FIXED_SEASON_COST)</f>
        <v>19578.2784914115</v>
      </c>
      <c r="AD155" s="53" t="n">
        <f aca="false">IF(OR($A155&gt;TOMATO_BED_CAP,$B155&gt;CARROT_BED_CAP,AD$4&gt;MESCLUN_BED_CAP,$A155+$B155+AD$4&gt;TOTAL_BEDS_AVAILABLE,($D155+AD$5)&gt;TOTAL_LABOR_HOURS_CAP,MAX(0,($D155+AD$5)-PERMANENT_FIELD_LABOR_HOURS)&gt;TEMP_HOURS_CAP),"",$C155+AD$6-MIN(($D155+AD$5),PERMANENT_FIELD_LABOR_HOURS)*PERMANENT_HOURLY_RATE-MAX(0,($D155+AD$5)-PERMANENT_FIELD_LABOR_HOURS)*TEMP_HOURLY_RATE-FIXED_SEASON_COST)</f>
        <v>20046.8554467114</v>
      </c>
      <c r="AE155" s="53" t="n">
        <f aca="false">IF(OR($A155&gt;TOMATO_BED_CAP,$B155&gt;CARROT_BED_CAP,AE$4&gt;MESCLUN_BED_CAP,$A155+$B155+AE$4&gt;TOTAL_BEDS_AVAILABLE,($D155+AE$5)&gt;TOTAL_LABOR_HOURS_CAP,MAX(0,($D155+AE$5)-PERMANENT_FIELD_LABOR_HOURS)&gt;TEMP_HOURS_CAP),"",$C155+AE$6-MIN(($D155+AE$5),PERMANENT_FIELD_LABOR_HOURS)*PERMANENT_HOURLY_RATE-MAX(0,($D155+AE$5)-PERMANENT_FIELD_LABOR_HOURS)*TEMP_HOURLY_RATE-FIXED_SEASON_COST)</f>
        <v>20485.3827309453</v>
      </c>
      <c r="AF155" s="53" t="n">
        <f aca="false">IF(OR($A155&gt;TOMATO_BED_CAP,$B155&gt;CARROT_BED_CAP,AF$4&gt;MESCLUN_BED_CAP,$A155+$B155+AF$4&gt;TOTAL_BEDS_AVAILABLE,($D155+AF$5)&gt;TOTAL_LABOR_HOURS_CAP,MAX(0,($D155+AF$5)-PERMANENT_FIELD_LABOR_HOURS)&gt;TEMP_HOURS_CAP),"",$C155+AF$6-MIN(($D155+AF$5),PERMANENT_FIELD_LABOR_HOURS)*PERMANENT_HOURLY_RATE-MAX(0,($D155+AF$5)-PERMANENT_FIELD_LABOR_HOURS)*TEMP_HOURLY_RATE-FIXED_SEASON_COST)</f>
        <v>20893.3202621873</v>
      </c>
      <c r="AG155" s="53" t="n">
        <f aca="false">IF(OR($A155&gt;TOMATO_BED_CAP,$B155&gt;CARROT_BED_CAP,AG$4&gt;MESCLUN_BED_CAP,$A155+$B155+AG$4&gt;TOTAL_BEDS_AVAILABLE,($D155+AG$5)&gt;TOTAL_LABOR_HOURS_CAP,MAX(0,($D155+AG$5)-PERMANENT_FIELD_LABOR_HOURS)&gt;TEMP_HOURS_CAP),"",$C155+AG$6-MIN(($D155+AG$5),PERMANENT_FIELD_LABOR_HOURS)*PERMANENT_HOURLY_RATE-MAX(0,($D155+AG$5)-PERMANENT_FIELD_LABOR_HOURS)*TEMP_HOURLY_RATE-FIXED_SEASON_COST)</f>
        <v>21270.1191517243</v>
      </c>
      <c r="AH155" s="53" t="n">
        <f aca="false">IF(OR($A155&gt;TOMATO_BED_CAP,$B155&gt;CARROT_BED_CAP,AH$4&gt;MESCLUN_BED_CAP,$A155+$B155+AH$4&gt;TOTAL_BEDS_AVAILABLE,($D155+AH$5)&gt;TOTAL_LABOR_HOURS_CAP,MAX(0,($D155+AH$5)-PERMANENT_FIELD_LABOR_HOURS)&gt;TEMP_HOURS_CAP),"",$C155+AH$6-MIN(($D155+AH$5),PERMANENT_FIELD_LABOR_HOURS)*PERMANENT_HOURLY_RATE-MAX(0,($D155+AH$5)-PERMANENT_FIELD_LABOR_HOURS)*TEMP_HOURLY_RATE-FIXED_SEASON_COST)</f>
        <v>21615.2215682745</v>
      </c>
      <c r="AI155" s="53" t="n">
        <f aca="false">IF(OR($A155&gt;TOMATO_BED_CAP,$B155&gt;CARROT_BED_CAP,AI$4&gt;MESCLUN_BED_CAP,$A155+$B155+AI$4&gt;TOTAL_BEDS_AVAILABLE,($D155+AI$5)&gt;TOTAL_LABOR_HOURS_CAP,MAX(0,($D155+AI$5)-PERMANENT_FIELD_LABOR_HOURS)&gt;TEMP_HOURS_CAP),"",$C155+AI$6-MIN(($D155+AI$5),PERMANENT_FIELD_LABOR_HOURS)*PERMANENT_HOURLY_RATE-MAX(0,($D155+AI$5)-PERMANENT_FIELD_LABOR_HOURS)*TEMP_HOURLY_RATE-FIXED_SEASON_COST)</f>
        <v>21928.0606001868</v>
      </c>
      <c r="AJ155" s="53" t="n">
        <f aca="false">IF(OR($A155&gt;TOMATO_BED_CAP,$B155&gt;CARROT_BED_CAP,AJ$4&gt;MESCLUN_BED_CAP,$A155+$B155+AJ$4&gt;TOTAL_BEDS_AVAILABLE,($D155+AJ$5)&gt;TOTAL_LABOR_HOURS_CAP,MAX(0,($D155+AJ$5)-PERMANENT_FIELD_LABOR_HOURS)&gt;TEMP_HOURS_CAP),"",$C155+AJ$6-MIN(($D155+AJ$5),PERMANENT_FIELD_LABOR_HOURS)*PERMANENT_HOURLY_RATE-MAX(0,($D155+AJ$5)-PERMANENT_FIELD_LABOR_HOURS)*TEMP_HOURLY_RATE-FIXED_SEASON_COST)</f>
        <v>22208.0601155925</v>
      </c>
    </row>
    <row r="156" customFormat="false" ht="15" hidden="false" customHeight="false" outlineLevel="0" collapsed="false">
      <c r="A156" s="21" t="n">
        <f aca="false">INT((ROW()-ROW($A$8))/(20+1))</f>
        <v>7</v>
      </c>
      <c r="B156" s="21" t="n">
        <f aca="false">MOD(ROW()-ROW($A$8),20+1)</f>
        <v>1</v>
      </c>
      <c r="C156" s="13" t="n">
        <f aca="false">A156*(TOMATO_REVENUE_PER_BED-TOMATO_FERTILIZER_PER_BED)+B156*(CARROT_REVENUE_PER_BED-CARROT_FERTILIZER_PER_BED)</f>
        <v>57094</v>
      </c>
      <c r="D156" s="14" t="n">
        <f aca="false">INDEX(TOMATO_SCHED_LABOR_HRS,A156+1)+INDEX(CARROT_SCHED_LABOR_HRS,B156+1)</f>
        <v>1258.429473</v>
      </c>
      <c r="E156" s="13" t="n">
        <f aca="false">IF(COUNT(F156:AJ156)=0,"",MAX(F156:AJ156))</f>
        <v>23328.4536435925</v>
      </c>
      <c r="F156" s="53" t="n">
        <f aca="false">IF(OR($A156&gt;TOMATO_BED_CAP,$B156&gt;CARROT_BED_CAP,F$4&gt;MESCLUN_BED_CAP,$A156+$B156+F$4&gt;TOTAL_BEDS_AVAILABLE,($D156+F$5)&gt;TOTAL_LABOR_HOURS_CAP,MAX(0,($D156+F$5)-PERMANENT_FIELD_LABOR_HOURS)&gt;TEMP_HOURS_CAP),"",$C156+F$6-MIN(($D156+F$5),PERMANENT_FIELD_LABOR_HOURS)*PERMANENT_HOURLY_RATE-MAX(0,($D156+F$5)-PERMANENT_FIELD_LABOR_HOURS)*TEMP_HOURLY_RATE-FIXED_SEASON_COST)</f>
        <v>2748.46434871999</v>
      </c>
      <c r="G156" s="53" t="n">
        <f aca="false">IF(OR($A156&gt;TOMATO_BED_CAP,$B156&gt;CARROT_BED_CAP,G$4&gt;MESCLUN_BED_CAP,$A156+$B156+G$4&gt;TOTAL_BEDS_AVAILABLE,($D156+G$5)&gt;TOTAL_LABOR_HOURS_CAP,MAX(0,($D156+G$5)-PERMANENT_FIELD_LABOR_HOURS)&gt;TEMP_HOURS_CAP),"",$C156+G$6-MIN(($D156+G$5),PERMANENT_FIELD_LABOR_HOURS)*PERMANENT_HOURLY_RATE-MAX(0,($D156+G$5)-PERMANENT_FIELD_LABOR_HOURS)*TEMP_HOURLY_RATE-FIXED_SEASON_COST)</f>
        <v>3777.49934872</v>
      </c>
      <c r="H156" s="53" t="n">
        <f aca="false">IF(OR($A156&gt;TOMATO_BED_CAP,$B156&gt;CARROT_BED_CAP,H$4&gt;MESCLUN_BED_CAP,$A156+$B156+H$4&gt;TOTAL_BEDS_AVAILABLE,($D156+H$5)&gt;TOTAL_LABOR_HOURS_CAP,MAX(0,($D156+H$5)-PERMANENT_FIELD_LABOR_HOURS)&gt;TEMP_HOURS_CAP),"",$C156+H$6-MIN(($D156+H$5),PERMANENT_FIELD_LABOR_HOURS)*PERMANENT_HOURLY_RATE-MAX(0,($D156+H$5)-PERMANENT_FIELD_LABOR_HOURS)*TEMP_HOURLY_RATE-FIXED_SEASON_COST)</f>
        <v>4786.76022372</v>
      </c>
      <c r="I156" s="53" t="n">
        <f aca="false">IF(OR($A156&gt;TOMATO_BED_CAP,$B156&gt;CARROT_BED_CAP,I$4&gt;MESCLUN_BED_CAP,$A156+$B156+I$4&gt;TOTAL_BEDS_AVAILABLE,($D156+I$5)&gt;TOTAL_LABOR_HOURS_CAP,MAX(0,($D156+I$5)-PERMANENT_FIELD_LABOR_HOURS)&gt;TEMP_HOURS_CAP),"",$C156+I$6-MIN(($D156+I$5),PERMANENT_FIELD_LABOR_HOURS)*PERMANENT_HOURLY_RATE-MAX(0,($D156+I$5)-PERMANENT_FIELD_LABOR_HOURS)*TEMP_HOURLY_RATE-FIXED_SEASON_COST)</f>
        <v>5775.87620887625</v>
      </c>
      <c r="J156" s="53" t="n">
        <f aca="false">IF(OR($A156&gt;TOMATO_BED_CAP,$B156&gt;CARROT_BED_CAP,J$4&gt;MESCLUN_BED_CAP,$A156+$B156+J$4&gt;TOTAL_BEDS_AVAILABLE,($D156+J$5)&gt;TOTAL_LABOR_HOURS_CAP,MAX(0,($D156+J$5)-PERMANENT_FIELD_LABOR_HOURS)&gt;TEMP_HOURS_CAP),"",$C156+J$6-MIN(($D156+J$5),PERMANENT_FIELD_LABOR_HOURS)*PERMANENT_HOURLY_RATE-MAX(0,($D156+J$5)-PERMANENT_FIELD_LABOR_HOURS)*TEMP_HOURLY_RATE-FIXED_SEASON_COST)</f>
        <v>6744.47035993093</v>
      </c>
      <c r="K156" s="53" t="n">
        <f aca="false">IF(OR($A156&gt;TOMATO_BED_CAP,$B156&gt;CARROT_BED_CAP,K$4&gt;MESCLUN_BED_CAP,$A156+$B156+K$4&gt;TOTAL_BEDS_AVAILABLE,($D156+K$5)&gt;TOTAL_LABOR_HOURS_CAP,MAX(0,($D156+K$5)-PERMANENT_FIELD_LABOR_HOURS)&gt;TEMP_HOURS_CAP),"",$C156+K$6-MIN(($D156+K$5),PERMANENT_FIELD_LABOR_HOURS)*PERMANENT_HOURLY_RATE-MAX(0,($D156+K$5)-PERMANENT_FIELD_LABOR_HOURS)*TEMP_HOURLY_RATE-FIXED_SEASON_COST)</f>
        <v>7692.15945665884</v>
      </c>
      <c r="L156" s="53" t="n">
        <f aca="false">IF(OR($A156&gt;TOMATO_BED_CAP,$B156&gt;CARROT_BED_CAP,L$4&gt;MESCLUN_BED_CAP,$A156+$B156+L$4&gt;TOTAL_BEDS_AVAILABLE,($D156+L$5)&gt;TOTAL_LABOR_HOURS_CAP,MAX(0,($D156+L$5)-PERMANENT_FIELD_LABOR_HOURS)&gt;TEMP_HOURS_CAP),"",$C156+L$6-MIN(($D156+L$5),PERMANENT_FIELD_LABOR_HOURS)*PERMANENT_HOURLY_RATE-MAX(0,($D156+L$5)-PERMANENT_FIELD_LABOR_HOURS)*TEMP_HOURLY_RATE-FIXED_SEASON_COST)</f>
        <v>8618.55390486569</v>
      </c>
      <c r="M156" s="53" t="n">
        <f aca="false">IF(OR($A156&gt;TOMATO_BED_CAP,$B156&gt;CARROT_BED_CAP,M$4&gt;MESCLUN_BED_CAP,$A156+$B156+M$4&gt;TOTAL_BEDS_AVAILABLE,($D156+M$5)&gt;TOTAL_LABOR_HOURS_CAP,MAX(0,($D156+M$5)-PERMANENT_FIELD_LABOR_HOURS)&gt;TEMP_HOURS_CAP),"",$C156+M$6-MIN(($D156+M$5),PERMANENT_FIELD_LABOR_HOURS)*PERMANENT_HOURLY_RATE-MAX(0,($D156+M$5)-PERMANENT_FIELD_LABOR_HOURS)*TEMP_HOURLY_RATE-FIXED_SEASON_COST)</f>
        <v>9523.2576369171</v>
      </c>
      <c r="N156" s="53" t="n">
        <f aca="false">IF(OR($A156&gt;TOMATO_BED_CAP,$B156&gt;CARROT_BED_CAP,N$4&gt;MESCLUN_BED_CAP,$A156+$B156+N$4&gt;TOTAL_BEDS_AVAILABLE,($D156+N$5)&gt;TOTAL_LABOR_HOURS_CAP,MAX(0,($D156+N$5)-PERMANENT_FIELD_LABOR_HOURS)&gt;TEMP_HOURS_CAP),"",$C156+N$6-MIN(($D156+N$5),PERMANENT_FIELD_LABOR_HOURS)*PERMANENT_HOURLY_RATE-MAX(0,($D156+N$5)-PERMANENT_FIELD_LABOR_HOURS)*TEMP_HOURLY_RATE-FIXED_SEASON_COST)</f>
        <v>10405.8680107766</v>
      </c>
      <c r="O156" s="53" t="n">
        <f aca="false">IF(OR($A156&gt;TOMATO_BED_CAP,$B156&gt;CARROT_BED_CAP,O$4&gt;MESCLUN_BED_CAP,$A156+$B156+O$4&gt;TOTAL_BEDS_AVAILABLE,($D156+O$5)&gt;TOTAL_LABOR_HOURS_CAP,MAX(0,($D156+O$5)-PERMANENT_FIELD_LABOR_HOURS)&gt;TEMP_HOURS_CAP),"",$C156+O$6-MIN(($D156+O$5),PERMANENT_FIELD_LABOR_HOURS)*PERMANENT_HOURLY_RATE-MAX(0,($D156+O$5)-PERMANENT_FIELD_LABOR_HOURS)*TEMP_HOURLY_RATE-FIXED_SEASON_COST)</f>
        <v>11265.9757075314</v>
      </c>
      <c r="P156" s="53" t="n">
        <f aca="false">IF(OR($A156&gt;TOMATO_BED_CAP,$B156&gt;CARROT_BED_CAP,P$4&gt;MESCLUN_BED_CAP,$A156+$B156+P$4&gt;TOTAL_BEDS_AVAILABLE,($D156+P$5)&gt;TOTAL_LABOR_HOURS_CAP,MAX(0,($D156+P$5)-PERMANENT_FIELD_LABOR_HOURS)&gt;TEMP_HOURS_CAP),"",$C156+P$6-MIN(($D156+P$5),PERMANENT_FIELD_LABOR_HOURS)*PERMANENT_HOURLY_RATE-MAX(0,($D156+P$5)-PERMANENT_FIELD_LABOR_HOURS)*TEMP_HOURLY_RATE-FIXED_SEASON_COST)</f>
        <v>12103.1646273828</v>
      </c>
      <c r="Q156" s="53" t="n">
        <f aca="false">IF(OR($A156&gt;TOMATO_BED_CAP,$B156&gt;CARROT_BED_CAP,Q$4&gt;MESCLUN_BED_CAP,$A156+$B156+Q$4&gt;TOTAL_BEDS_AVAILABLE,($D156+Q$5)&gt;TOTAL_LABOR_HOURS_CAP,MAX(0,($D156+Q$5)-PERMANENT_FIELD_LABOR_HOURS)&gt;TEMP_HOURS_CAP),"",$C156+Q$6-MIN(($D156+Q$5),PERMANENT_FIELD_LABOR_HOURS)*PERMANENT_HOURLY_RATE-MAX(0,($D156+Q$5)-PERMANENT_FIELD_LABOR_HOURS)*TEMP_HOURLY_RATE-FIXED_SEASON_COST)</f>
        <v>12917.0117840807</v>
      </c>
      <c r="R156" s="53" t="n">
        <f aca="false">IF(OR($A156&gt;TOMATO_BED_CAP,$B156&gt;CARROT_BED_CAP,R$4&gt;MESCLUN_BED_CAP,$A156+$B156+R$4&gt;TOTAL_BEDS_AVAILABLE,($D156+R$5)&gt;TOTAL_LABOR_HOURS_CAP,MAX(0,($D156+R$5)-PERMANENT_FIELD_LABOR_HOURS)&gt;TEMP_HOURS_CAP),"",$C156+R$6-MIN(($D156+R$5),PERMANENT_FIELD_LABOR_HOURS)*PERMANENT_HOURLY_RATE-MAX(0,($D156+R$5)-PERMANENT_FIELD_LABOR_HOURS)*TEMP_HOURLY_RATE-FIXED_SEASON_COST)</f>
        <v>13707.0871977775</v>
      </c>
      <c r="S156" s="53" t="n">
        <f aca="false">IF(OR($A156&gt;TOMATO_BED_CAP,$B156&gt;CARROT_BED_CAP,S$4&gt;MESCLUN_BED_CAP,$A156+$B156+S$4&gt;TOTAL_BEDS_AVAILABLE,($D156+S$5)&gt;TOTAL_LABOR_HOURS_CAP,MAX(0,($D156+S$5)-PERMANENT_FIELD_LABOR_HOURS)&gt;TEMP_HOURS_CAP),"",$C156+S$6-MIN(($D156+S$5),PERMANENT_FIELD_LABOR_HOURS)*PERMANENT_HOURLY_RATE-MAX(0,($D156+S$5)-PERMANENT_FIELD_LABOR_HOURS)*TEMP_HOURLY_RATE-FIXED_SEASON_COST)</f>
        <v>14472.95378628</v>
      </c>
      <c r="T156" s="53" t="n">
        <f aca="false">IF(OR($A156&gt;TOMATO_BED_CAP,$B156&gt;CARROT_BED_CAP,T$4&gt;MESCLUN_BED_CAP,$A156+$B156+T$4&gt;TOTAL_BEDS_AVAILABLE,($D156+T$5)&gt;TOTAL_LABOR_HOURS_CAP,MAX(0,($D156+T$5)-PERMANENT_FIELD_LABOR_HOURS)&gt;TEMP_HOURS_CAP),"",$C156+T$6-MIN(($D156+T$5),PERMANENT_FIELD_LABOR_HOURS)*PERMANENT_HOURLY_RATE-MAX(0,($D156+T$5)-PERMANENT_FIELD_LABOR_HOURS)*TEMP_HOURLY_RATE-FIXED_SEASON_COST)</f>
        <v>15214.1672546748</v>
      </c>
      <c r="U156" s="53" t="n">
        <f aca="false">IF(OR($A156&gt;TOMATO_BED_CAP,$B156&gt;CARROT_BED_CAP,U$4&gt;MESCLUN_BED_CAP,$A156+$B156+U$4&gt;TOTAL_BEDS_AVAILABLE,($D156+U$5)&gt;TOTAL_LABOR_HOURS_CAP,MAX(0,($D156+U$5)-PERMANENT_FIELD_LABOR_HOURS)&gt;TEMP_HOURS_CAP),"",$C156+U$6-MIN(($D156+U$5),PERMANENT_FIELD_LABOR_HOURS)*PERMANENT_HOURLY_RATE-MAX(0,($D156+U$5)-PERMANENT_FIELD_LABOR_HOURS)*TEMP_HOURLY_RATE-FIXED_SEASON_COST)</f>
        <v>15930.2759833049</v>
      </c>
      <c r="V156" s="53" t="n">
        <f aca="false">IF(OR($A156&gt;TOMATO_BED_CAP,$B156&gt;CARROT_BED_CAP,V$4&gt;MESCLUN_BED_CAP,$A156+$B156+V$4&gt;TOTAL_BEDS_AVAILABLE,($D156+V$5)&gt;TOTAL_LABOR_HOURS_CAP,MAX(0,($D156+V$5)-PERMANENT_FIELD_LABOR_HOURS)&gt;TEMP_HOURS_CAP),"",$C156+V$6-MIN(($D156+V$5),PERMANENT_FIELD_LABOR_HOURS)*PERMANENT_HOURLY_RATE-MAX(0,($D156+V$5)-PERMANENT_FIELD_LABOR_HOURS)*TEMP_HOURLY_RATE-FIXED_SEASON_COST)</f>
        <v>16620.8209140717</v>
      </c>
      <c r="W156" s="53" t="n">
        <f aca="false">IF(OR($A156&gt;TOMATO_BED_CAP,$B156&gt;CARROT_BED_CAP,W$4&gt;MESCLUN_BED_CAP,$A156+$B156+W$4&gt;TOTAL_BEDS_AVAILABLE,($D156+W$5)&gt;TOTAL_LABOR_HOURS_CAP,MAX(0,($D156+W$5)-PERMANENT_FIELD_LABOR_HOURS)&gt;TEMP_HOURS_CAP),"",$C156+W$6-MIN(($D156+W$5),PERMANENT_FIELD_LABOR_HOURS)*PERMANENT_HOURLY_RATE-MAX(0,($D156+W$5)-PERMANENT_FIELD_LABOR_HOURS)*TEMP_HOURLY_RATE-FIXED_SEASON_COST)</f>
        <v>17285.3354350398</v>
      </c>
      <c r="X156" s="53" t="n">
        <f aca="false">IF(OR($A156&gt;TOMATO_BED_CAP,$B156&gt;CARROT_BED_CAP,X$4&gt;MESCLUN_BED_CAP,$A156+$B156+X$4&gt;TOTAL_BEDS_AVAILABLE,($D156+X$5)&gt;TOTAL_LABOR_HOURS_CAP,MAX(0,($D156+X$5)-PERMANENT_FIELD_LABOR_HOURS)&gt;TEMP_HOURS_CAP),"",$C156+X$6-MIN(($D156+X$5),PERMANENT_FIELD_LABOR_HOURS)*PERMANENT_HOURLY_RATE-MAX(0,($D156+X$5)-PERMANENT_FIELD_LABOR_HOURS)*TEMP_HOURLY_RATE-FIXED_SEASON_COST)</f>
        <v>17923.3452633187</v>
      </c>
      <c r="Y156" s="53" t="n">
        <f aca="false">IF(OR($A156&gt;TOMATO_BED_CAP,$B156&gt;CARROT_BED_CAP,Y$4&gt;MESCLUN_BED_CAP,$A156+$B156+Y$4&gt;TOTAL_BEDS_AVAILABLE,($D156+Y$5)&gt;TOTAL_LABOR_HOURS_CAP,MAX(0,($D156+Y$5)-PERMANENT_FIELD_LABOR_HOURS)&gt;TEMP_HOURS_CAP),"",$C156+Y$6-MIN(($D156+Y$5),PERMANENT_FIELD_LABOR_HOURS)*PERMANENT_HOURLY_RATE-MAX(0,($D156+Y$5)-PERMANENT_FIELD_LABOR_HOURS)*TEMP_HOURLY_RATE-FIXED_SEASON_COST)</f>
        <v>18534.3683261974</v>
      </c>
      <c r="Z156" s="53" t="n">
        <f aca="false">IF(OR($A156&gt;TOMATO_BED_CAP,$B156&gt;CARROT_BED_CAP,Z$4&gt;MESCLUN_BED_CAP,$A156+$B156+Z$4&gt;TOTAL_BEDS_AVAILABLE,($D156+Z$5)&gt;TOTAL_LABOR_HOURS_CAP,MAX(0,($D156+Z$5)-PERMANENT_FIELD_LABOR_HOURS)&gt;TEMP_HOURS_CAP),"",$C156+Z$6-MIN(($D156+Z$5),PERMANENT_FIELD_LABOR_HOURS)*PERMANENT_HOURLY_RATE-MAX(0,($D156+Z$5)-PERMANENT_FIELD_LABOR_HOURS)*TEMP_HOURLY_RATE-FIXED_SEASON_COST)</f>
        <v>19117.9146405051</v>
      </c>
      <c r="AA156" s="53" t="n">
        <f aca="false">IF(OR($A156&gt;TOMATO_BED_CAP,$B156&gt;CARROT_BED_CAP,AA$4&gt;MESCLUN_BED_CAP,$A156+$B156+AA$4&gt;TOTAL_BEDS_AVAILABLE,($D156+AA$5)&gt;TOTAL_LABOR_HOURS_CAP,MAX(0,($D156+AA$5)-PERMANENT_FIELD_LABOR_HOURS)&gt;TEMP_HOURS_CAP),"",$C156+AA$6-MIN(($D156+AA$5),PERMANENT_FIELD_LABOR_HOURS)*PERMANENT_HOURLY_RATE-MAX(0,($D156+AA$5)-PERMANENT_FIELD_LABOR_HOURS)*TEMP_HOURLY_RATE-FIXED_SEASON_COST)</f>
        <v>19673.486190174</v>
      </c>
      <c r="AB156" s="53" t="n">
        <f aca="false">IF(OR($A156&gt;TOMATO_BED_CAP,$B156&gt;CARROT_BED_CAP,AB$4&gt;MESCLUN_BED_CAP,$A156+$B156+AB$4&gt;TOTAL_BEDS_AVAILABLE,($D156+AB$5)&gt;TOTAL_LABOR_HOURS_CAP,MAX(0,($D156+AB$5)-PERMANENT_FIELD_LABOR_HOURS)&gt;TEMP_HOURS_CAP),"",$C156+AB$6-MIN(($D156+AB$5),PERMANENT_FIELD_LABOR_HOURS)*PERMANENT_HOURLY_RATE-MAX(0,($D156+AB$5)-PERMANENT_FIELD_LABOR_HOURS)*TEMP_HOURLY_RATE-FIXED_SEASON_COST)</f>
        <v>20200.5768019766</v>
      </c>
      <c r="AC156" s="53" t="n">
        <f aca="false">IF(OR($A156&gt;TOMATO_BED_CAP,$B156&gt;CARROT_BED_CAP,AC$4&gt;MESCLUN_BED_CAP,$A156+$B156+AC$4&gt;TOTAL_BEDS_AVAILABLE,($D156+AC$5)&gt;TOTAL_LABOR_HOURS_CAP,MAX(0,($D156+AC$5)-PERMANENT_FIELD_LABOR_HOURS)&gt;TEMP_HOURS_CAP),"",$C156+AC$6-MIN(($D156+AC$5),PERMANENT_FIELD_LABOR_HOURS)*PERMANENT_HOURLY_RATE-MAX(0,($D156+AC$5)-PERMANENT_FIELD_LABOR_HOURS)*TEMP_HOURLY_RATE-FIXED_SEASON_COST)</f>
        <v>20698.6720194115</v>
      </c>
      <c r="AD156" s="53" t="n">
        <f aca="false">IF(OR($A156&gt;TOMATO_BED_CAP,$B156&gt;CARROT_BED_CAP,AD$4&gt;MESCLUN_BED_CAP,$A156+$B156+AD$4&gt;TOTAL_BEDS_AVAILABLE,($D156+AD$5)&gt;TOTAL_LABOR_HOURS_CAP,MAX(0,($D156+AD$5)-PERMANENT_FIELD_LABOR_HOURS)&gt;TEMP_HOURS_CAP),"",$C156+AD$6-MIN(($D156+AD$5),PERMANENT_FIELD_LABOR_HOURS)*PERMANENT_HOURLY_RATE-MAX(0,($D156+AD$5)-PERMANENT_FIELD_LABOR_HOURS)*TEMP_HOURLY_RATE-FIXED_SEASON_COST)</f>
        <v>21167.2489747114</v>
      </c>
      <c r="AE156" s="53" t="n">
        <f aca="false">IF(OR($A156&gt;TOMATO_BED_CAP,$B156&gt;CARROT_BED_CAP,AE$4&gt;MESCLUN_BED_CAP,$A156+$B156+AE$4&gt;TOTAL_BEDS_AVAILABLE,($D156+AE$5)&gt;TOTAL_LABOR_HOURS_CAP,MAX(0,($D156+AE$5)-PERMANENT_FIELD_LABOR_HOURS)&gt;TEMP_HOURS_CAP),"",$C156+AE$6-MIN(($D156+AE$5),PERMANENT_FIELD_LABOR_HOURS)*PERMANENT_HOURLY_RATE-MAX(0,($D156+AE$5)-PERMANENT_FIELD_LABOR_HOURS)*TEMP_HOURLY_RATE-FIXED_SEASON_COST)</f>
        <v>21605.7762589453</v>
      </c>
      <c r="AF156" s="53" t="n">
        <f aca="false">IF(OR($A156&gt;TOMATO_BED_CAP,$B156&gt;CARROT_BED_CAP,AF$4&gt;MESCLUN_BED_CAP,$A156+$B156+AF$4&gt;TOTAL_BEDS_AVAILABLE,($D156+AF$5)&gt;TOTAL_LABOR_HOURS_CAP,MAX(0,($D156+AF$5)-PERMANENT_FIELD_LABOR_HOURS)&gt;TEMP_HOURS_CAP),"",$C156+AF$6-MIN(($D156+AF$5),PERMANENT_FIELD_LABOR_HOURS)*PERMANENT_HOURLY_RATE-MAX(0,($D156+AF$5)-PERMANENT_FIELD_LABOR_HOURS)*TEMP_HOURLY_RATE-FIXED_SEASON_COST)</f>
        <v>22013.7137901873</v>
      </c>
      <c r="AG156" s="53" t="n">
        <f aca="false">IF(OR($A156&gt;TOMATO_BED_CAP,$B156&gt;CARROT_BED_CAP,AG$4&gt;MESCLUN_BED_CAP,$A156+$B156+AG$4&gt;TOTAL_BEDS_AVAILABLE,($D156+AG$5)&gt;TOTAL_LABOR_HOURS_CAP,MAX(0,($D156+AG$5)-PERMANENT_FIELD_LABOR_HOURS)&gt;TEMP_HOURS_CAP),"",$C156+AG$6-MIN(($D156+AG$5),PERMANENT_FIELD_LABOR_HOURS)*PERMANENT_HOURLY_RATE-MAX(0,($D156+AG$5)-PERMANENT_FIELD_LABOR_HOURS)*TEMP_HOURLY_RATE-FIXED_SEASON_COST)</f>
        <v>22390.5126797243</v>
      </c>
      <c r="AH156" s="53" t="n">
        <f aca="false">IF(OR($A156&gt;TOMATO_BED_CAP,$B156&gt;CARROT_BED_CAP,AH$4&gt;MESCLUN_BED_CAP,$A156+$B156+AH$4&gt;TOTAL_BEDS_AVAILABLE,($D156+AH$5)&gt;TOTAL_LABOR_HOURS_CAP,MAX(0,($D156+AH$5)-PERMANENT_FIELD_LABOR_HOURS)&gt;TEMP_HOURS_CAP),"",$C156+AH$6-MIN(($D156+AH$5),PERMANENT_FIELD_LABOR_HOURS)*PERMANENT_HOURLY_RATE-MAX(0,($D156+AH$5)-PERMANENT_FIELD_LABOR_HOURS)*TEMP_HOURLY_RATE-FIXED_SEASON_COST)</f>
        <v>22735.6150962745</v>
      </c>
      <c r="AI156" s="53" t="n">
        <f aca="false">IF(OR($A156&gt;TOMATO_BED_CAP,$B156&gt;CARROT_BED_CAP,AI$4&gt;MESCLUN_BED_CAP,$A156+$B156+AI$4&gt;TOTAL_BEDS_AVAILABLE,($D156+AI$5)&gt;TOTAL_LABOR_HOURS_CAP,MAX(0,($D156+AI$5)-PERMANENT_FIELD_LABOR_HOURS)&gt;TEMP_HOURS_CAP),"",$C156+AI$6-MIN(($D156+AI$5),PERMANENT_FIELD_LABOR_HOURS)*PERMANENT_HOURLY_RATE-MAX(0,($D156+AI$5)-PERMANENT_FIELD_LABOR_HOURS)*TEMP_HOURLY_RATE-FIXED_SEASON_COST)</f>
        <v>23048.4541281868</v>
      </c>
      <c r="AJ156" s="53" t="n">
        <f aca="false">IF(OR($A156&gt;TOMATO_BED_CAP,$B156&gt;CARROT_BED_CAP,AJ$4&gt;MESCLUN_BED_CAP,$A156+$B156+AJ$4&gt;TOTAL_BEDS_AVAILABLE,($D156+AJ$5)&gt;TOTAL_LABOR_HOURS_CAP,MAX(0,($D156+AJ$5)-PERMANENT_FIELD_LABOR_HOURS)&gt;TEMP_HOURS_CAP),"",$C156+AJ$6-MIN(($D156+AJ$5),PERMANENT_FIELD_LABOR_HOURS)*PERMANENT_HOURLY_RATE-MAX(0,($D156+AJ$5)-PERMANENT_FIELD_LABOR_HOURS)*TEMP_HOURLY_RATE-FIXED_SEASON_COST)</f>
        <v>23328.4536435925</v>
      </c>
    </row>
    <row r="157" customFormat="false" ht="15" hidden="false" customHeight="false" outlineLevel="0" collapsed="false">
      <c r="A157" s="21" t="n">
        <f aca="false">INT((ROW()-ROW($A$8))/(20+1))</f>
        <v>7</v>
      </c>
      <c r="B157" s="21" t="n">
        <f aca="false">MOD(ROW()-ROW($A$8),20+1)</f>
        <v>2</v>
      </c>
      <c r="C157" s="13" t="n">
        <f aca="false">A157*(TOMATO_REVENUE_PER_BED-TOMATO_FERTILIZER_PER_BED)+B157*(CARROT_REVENUE_PER_BED-CARROT_FERTILIZER_PER_BED)</f>
        <v>58748</v>
      </c>
      <c r="D157" s="14" t="n">
        <f aca="false">INDEX(TOMATO_SCHED_LABOR_HRS,A157+1)+INDEX(CARROT_SCHED_LABOR_HRS,B157+1)</f>
        <v>1290.704058</v>
      </c>
      <c r="E157" s="13" t="n">
        <f aca="false">IF(COUNT(F157:AJ157)=0,"",MAX(F157:AJ157))</f>
        <v>24422.1668479925</v>
      </c>
      <c r="F157" s="53" t="n">
        <f aca="false">IF(OR($A157&gt;TOMATO_BED_CAP,$B157&gt;CARROT_BED_CAP,F$4&gt;MESCLUN_BED_CAP,$A157+$B157+F$4&gt;TOTAL_BEDS_AVAILABLE,($D157+F$5)&gt;TOTAL_LABOR_HOURS_CAP,MAX(0,($D157+F$5)-PERMANENT_FIELD_LABOR_HOURS)&gt;TEMP_HOURS_CAP),"",$C157+F$6-MIN(($D157+F$5),PERMANENT_FIELD_LABOR_HOURS)*PERMANENT_HOURLY_RATE-MAX(0,($D157+F$5)-PERMANENT_FIELD_LABOR_HOURS)*TEMP_HOURLY_RATE-FIXED_SEASON_COST)</f>
        <v>3842.17755312</v>
      </c>
      <c r="G157" s="53" t="n">
        <f aca="false">IF(OR($A157&gt;TOMATO_BED_CAP,$B157&gt;CARROT_BED_CAP,G$4&gt;MESCLUN_BED_CAP,$A157+$B157+G$4&gt;TOTAL_BEDS_AVAILABLE,($D157+G$5)&gt;TOTAL_LABOR_HOURS_CAP,MAX(0,($D157+G$5)-PERMANENT_FIELD_LABOR_HOURS)&gt;TEMP_HOURS_CAP),"",$C157+G$6-MIN(($D157+G$5),PERMANENT_FIELD_LABOR_HOURS)*PERMANENT_HOURLY_RATE-MAX(0,($D157+G$5)-PERMANENT_FIELD_LABOR_HOURS)*TEMP_HOURLY_RATE-FIXED_SEASON_COST)</f>
        <v>4871.21255311999</v>
      </c>
      <c r="H157" s="53" t="n">
        <f aca="false">IF(OR($A157&gt;TOMATO_BED_CAP,$B157&gt;CARROT_BED_CAP,H$4&gt;MESCLUN_BED_CAP,$A157+$B157+H$4&gt;TOTAL_BEDS_AVAILABLE,($D157+H$5)&gt;TOTAL_LABOR_HOURS_CAP,MAX(0,($D157+H$5)-PERMANENT_FIELD_LABOR_HOURS)&gt;TEMP_HOURS_CAP),"",$C157+H$6-MIN(($D157+H$5),PERMANENT_FIELD_LABOR_HOURS)*PERMANENT_HOURLY_RATE-MAX(0,($D157+H$5)-PERMANENT_FIELD_LABOR_HOURS)*TEMP_HOURLY_RATE-FIXED_SEASON_COST)</f>
        <v>5880.47342812</v>
      </c>
      <c r="I157" s="53" t="n">
        <f aca="false">IF(OR($A157&gt;TOMATO_BED_CAP,$B157&gt;CARROT_BED_CAP,I$4&gt;MESCLUN_BED_CAP,$A157+$B157+I$4&gt;TOTAL_BEDS_AVAILABLE,($D157+I$5)&gt;TOTAL_LABOR_HOURS_CAP,MAX(0,($D157+I$5)-PERMANENT_FIELD_LABOR_HOURS)&gt;TEMP_HOURS_CAP),"",$C157+I$6-MIN(($D157+I$5),PERMANENT_FIELD_LABOR_HOURS)*PERMANENT_HOURLY_RATE-MAX(0,($D157+I$5)-PERMANENT_FIELD_LABOR_HOURS)*TEMP_HOURLY_RATE-FIXED_SEASON_COST)</f>
        <v>6869.58941327624</v>
      </c>
      <c r="J157" s="53" t="n">
        <f aca="false">IF(OR($A157&gt;TOMATO_BED_CAP,$B157&gt;CARROT_BED_CAP,J$4&gt;MESCLUN_BED_CAP,$A157+$B157+J$4&gt;TOTAL_BEDS_AVAILABLE,($D157+J$5)&gt;TOTAL_LABOR_HOURS_CAP,MAX(0,($D157+J$5)-PERMANENT_FIELD_LABOR_HOURS)&gt;TEMP_HOURS_CAP),"",$C157+J$6-MIN(($D157+J$5),PERMANENT_FIELD_LABOR_HOURS)*PERMANENT_HOURLY_RATE-MAX(0,($D157+J$5)-PERMANENT_FIELD_LABOR_HOURS)*TEMP_HOURLY_RATE-FIXED_SEASON_COST)</f>
        <v>7838.18356433093</v>
      </c>
      <c r="K157" s="53" t="n">
        <f aca="false">IF(OR($A157&gt;TOMATO_BED_CAP,$B157&gt;CARROT_BED_CAP,K$4&gt;MESCLUN_BED_CAP,$A157+$B157+K$4&gt;TOTAL_BEDS_AVAILABLE,($D157+K$5)&gt;TOTAL_LABOR_HOURS_CAP,MAX(0,($D157+K$5)-PERMANENT_FIELD_LABOR_HOURS)&gt;TEMP_HOURS_CAP),"",$C157+K$6-MIN(($D157+K$5),PERMANENT_FIELD_LABOR_HOURS)*PERMANENT_HOURLY_RATE-MAX(0,($D157+K$5)-PERMANENT_FIELD_LABOR_HOURS)*TEMP_HOURLY_RATE-FIXED_SEASON_COST)</f>
        <v>8785.87266105884</v>
      </c>
      <c r="L157" s="53" t="n">
        <f aca="false">IF(OR($A157&gt;TOMATO_BED_CAP,$B157&gt;CARROT_BED_CAP,L$4&gt;MESCLUN_BED_CAP,$A157+$B157+L$4&gt;TOTAL_BEDS_AVAILABLE,($D157+L$5)&gt;TOTAL_LABOR_HOURS_CAP,MAX(0,($D157+L$5)-PERMANENT_FIELD_LABOR_HOURS)&gt;TEMP_HOURS_CAP),"",$C157+L$6-MIN(($D157+L$5),PERMANENT_FIELD_LABOR_HOURS)*PERMANENT_HOURLY_RATE-MAX(0,($D157+L$5)-PERMANENT_FIELD_LABOR_HOURS)*TEMP_HOURLY_RATE-FIXED_SEASON_COST)</f>
        <v>9712.26710926569</v>
      </c>
      <c r="M157" s="53" t="n">
        <f aca="false">IF(OR($A157&gt;TOMATO_BED_CAP,$B157&gt;CARROT_BED_CAP,M$4&gt;MESCLUN_BED_CAP,$A157+$B157+M$4&gt;TOTAL_BEDS_AVAILABLE,($D157+M$5)&gt;TOTAL_LABOR_HOURS_CAP,MAX(0,($D157+M$5)-PERMANENT_FIELD_LABOR_HOURS)&gt;TEMP_HOURS_CAP),"",$C157+M$6-MIN(($D157+M$5),PERMANENT_FIELD_LABOR_HOURS)*PERMANENT_HOURLY_RATE-MAX(0,($D157+M$5)-PERMANENT_FIELD_LABOR_HOURS)*TEMP_HOURLY_RATE-FIXED_SEASON_COST)</f>
        <v>10616.9708413171</v>
      </c>
      <c r="N157" s="53" t="n">
        <f aca="false">IF(OR($A157&gt;TOMATO_BED_CAP,$B157&gt;CARROT_BED_CAP,N$4&gt;MESCLUN_BED_CAP,$A157+$B157+N$4&gt;TOTAL_BEDS_AVAILABLE,($D157+N$5)&gt;TOTAL_LABOR_HOURS_CAP,MAX(0,($D157+N$5)-PERMANENT_FIELD_LABOR_HOURS)&gt;TEMP_HOURS_CAP),"",$C157+N$6-MIN(($D157+N$5),PERMANENT_FIELD_LABOR_HOURS)*PERMANENT_HOURLY_RATE-MAX(0,($D157+N$5)-PERMANENT_FIELD_LABOR_HOURS)*TEMP_HOURLY_RATE-FIXED_SEASON_COST)</f>
        <v>11499.5812151766</v>
      </c>
      <c r="O157" s="53" t="n">
        <f aca="false">IF(OR($A157&gt;TOMATO_BED_CAP,$B157&gt;CARROT_BED_CAP,O$4&gt;MESCLUN_BED_CAP,$A157+$B157+O$4&gt;TOTAL_BEDS_AVAILABLE,($D157+O$5)&gt;TOTAL_LABOR_HOURS_CAP,MAX(0,($D157+O$5)-PERMANENT_FIELD_LABOR_HOURS)&gt;TEMP_HOURS_CAP),"",$C157+O$6-MIN(($D157+O$5),PERMANENT_FIELD_LABOR_HOURS)*PERMANENT_HOURLY_RATE-MAX(0,($D157+O$5)-PERMANENT_FIELD_LABOR_HOURS)*TEMP_HOURLY_RATE-FIXED_SEASON_COST)</f>
        <v>12359.6889119314</v>
      </c>
      <c r="P157" s="53" t="n">
        <f aca="false">IF(OR($A157&gt;TOMATO_BED_CAP,$B157&gt;CARROT_BED_CAP,P$4&gt;MESCLUN_BED_CAP,$A157+$B157+P$4&gt;TOTAL_BEDS_AVAILABLE,($D157+P$5)&gt;TOTAL_LABOR_HOURS_CAP,MAX(0,($D157+P$5)-PERMANENT_FIELD_LABOR_HOURS)&gt;TEMP_HOURS_CAP),"",$C157+P$6-MIN(($D157+P$5),PERMANENT_FIELD_LABOR_HOURS)*PERMANENT_HOURLY_RATE-MAX(0,($D157+P$5)-PERMANENT_FIELD_LABOR_HOURS)*TEMP_HOURLY_RATE-FIXED_SEASON_COST)</f>
        <v>13196.8778317828</v>
      </c>
      <c r="Q157" s="53" t="n">
        <f aca="false">IF(OR($A157&gt;TOMATO_BED_CAP,$B157&gt;CARROT_BED_CAP,Q$4&gt;MESCLUN_BED_CAP,$A157+$B157+Q$4&gt;TOTAL_BEDS_AVAILABLE,($D157+Q$5)&gt;TOTAL_LABOR_HOURS_CAP,MAX(0,($D157+Q$5)-PERMANENT_FIELD_LABOR_HOURS)&gt;TEMP_HOURS_CAP),"",$C157+Q$6-MIN(($D157+Q$5),PERMANENT_FIELD_LABOR_HOURS)*PERMANENT_HOURLY_RATE-MAX(0,($D157+Q$5)-PERMANENT_FIELD_LABOR_HOURS)*TEMP_HOURLY_RATE-FIXED_SEASON_COST)</f>
        <v>14010.7249884807</v>
      </c>
      <c r="R157" s="53" t="n">
        <f aca="false">IF(OR($A157&gt;TOMATO_BED_CAP,$B157&gt;CARROT_BED_CAP,R$4&gt;MESCLUN_BED_CAP,$A157+$B157+R$4&gt;TOTAL_BEDS_AVAILABLE,($D157+R$5)&gt;TOTAL_LABOR_HOURS_CAP,MAX(0,($D157+R$5)-PERMANENT_FIELD_LABOR_HOURS)&gt;TEMP_HOURS_CAP),"",$C157+R$6-MIN(($D157+R$5),PERMANENT_FIELD_LABOR_HOURS)*PERMANENT_HOURLY_RATE-MAX(0,($D157+R$5)-PERMANENT_FIELD_LABOR_HOURS)*TEMP_HOURLY_RATE-FIXED_SEASON_COST)</f>
        <v>14800.8004021775</v>
      </c>
      <c r="S157" s="53" t="n">
        <f aca="false">IF(OR($A157&gt;TOMATO_BED_CAP,$B157&gt;CARROT_BED_CAP,S$4&gt;MESCLUN_BED_CAP,$A157+$B157+S$4&gt;TOTAL_BEDS_AVAILABLE,($D157+S$5)&gt;TOTAL_LABOR_HOURS_CAP,MAX(0,($D157+S$5)-PERMANENT_FIELD_LABOR_HOURS)&gt;TEMP_HOURS_CAP),"",$C157+S$6-MIN(($D157+S$5),PERMANENT_FIELD_LABOR_HOURS)*PERMANENT_HOURLY_RATE-MAX(0,($D157+S$5)-PERMANENT_FIELD_LABOR_HOURS)*TEMP_HOURLY_RATE-FIXED_SEASON_COST)</f>
        <v>15566.66699068</v>
      </c>
      <c r="T157" s="53" t="n">
        <f aca="false">IF(OR($A157&gt;TOMATO_BED_CAP,$B157&gt;CARROT_BED_CAP,T$4&gt;MESCLUN_BED_CAP,$A157+$B157+T$4&gt;TOTAL_BEDS_AVAILABLE,($D157+T$5)&gt;TOTAL_LABOR_HOURS_CAP,MAX(0,($D157+T$5)-PERMANENT_FIELD_LABOR_HOURS)&gt;TEMP_HOURS_CAP),"",$C157+T$6-MIN(($D157+T$5),PERMANENT_FIELD_LABOR_HOURS)*PERMANENT_HOURLY_RATE-MAX(0,($D157+T$5)-PERMANENT_FIELD_LABOR_HOURS)*TEMP_HOURLY_RATE-FIXED_SEASON_COST)</f>
        <v>16307.8804590748</v>
      </c>
      <c r="U157" s="53" t="n">
        <f aca="false">IF(OR($A157&gt;TOMATO_BED_CAP,$B157&gt;CARROT_BED_CAP,U$4&gt;MESCLUN_BED_CAP,$A157+$B157+U$4&gt;TOTAL_BEDS_AVAILABLE,($D157+U$5)&gt;TOTAL_LABOR_HOURS_CAP,MAX(0,($D157+U$5)-PERMANENT_FIELD_LABOR_HOURS)&gt;TEMP_HOURS_CAP),"",$C157+U$6-MIN(($D157+U$5),PERMANENT_FIELD_LABOR_HOURS)*PERMANENT_HOURLY_RATE-MAX(0,($D157+U$5)-PERMANENT_FIELD_LABOR_HOURS)*TEMP_HOURLY_RATE-FIXED_SEASON_COST)</f>
        <v>17023.9891877049</v>
      </c>
      <c r="V157" s="53" t="n">
        <f aca="false">IF(OR($A157&gt;TOMATO_BED_CAP,$B157&gt;CARROT_BED_CAP,V$4&gt;MESCLUN_BED_CAP,$A157+$B157+V$4&gt;TOTAL_BEDS_AVAILABLE,($D157+V$5)&gt;TOTAL_LABOR_HOURS_CAP,MAX(0,($D157+V$5)-PERMANENT_FIELD_LABOR_HOURS)&gt;TEMP_HOURS_CAP),"",$C157+V$6-MIN(($D157+V$5),PERMANENT_FIELD_LABOR_HOURS)*PERMANENT_HOURLY_RATE-MAX(0,($D157+V$5)-PERMANENT_FIELD_LABOR_HOURS)*TEMP_HOURLY_RATE-FIXED_SEASON_COST)</f>
        <v>17714.5341184717</v>
      </c>
      <c r="W157" s="53" t="n">
        <f aca="false">IF(OR($A157&gt;TOMATO_BED_CAP,$B157&gt;CARROT_BED_CAP,W$4&gt;MESCLUN_BED_CAP,$A157+$B157+W$4&gt;TOTAL_BEDS_AVAILABLE,($D157+W$5)&gt;TOTAL_LABOR_HOURS_CAP,MAX(0,($D157+W$5)-PERMANENT_FIELD_LABOR_HOURS)&gt;TEMP_HOURS_CAP),"",$C157+W$6-MIN(($D157+W$5),PERMANENT_FIELD_LABOR_HOURS)*PERMANENT_HOURLY_RATE-MAX(0,($D157+W$5)-PERMANENT_FIELD_LABOR_HOURS)*TEMP_HOURLY_RATE-FIXED_SEASON_COST)</f>
        <v>18379.0486394398</v>
      </c>
      <c r="X157" s="53" t="n">
        <f aca="false">IF(OR($A157&gt;TOMATO_BED_CAP,$B157&gt;CARROT_BED_CAP,X$4&gt;MESCLUN_BED_CAP,$A157+$B157+X$4&gt;TOTAL_BEDS_AVAILABLE,($D157+X$5)&gt;TOTAL_LABOR_HOURS_CAP,MAX(0,($D157+X$5)-PERMANENT_FIELD_LABOR_HOURS)&gt;TEMP_HOURS_CAP),"",$C157+X$6-MIN(($D157+X$5),PERMANENT_FIELD_LABOR_HOURS)*PERMANENT_HOURLY_RATE-MAX(0,($D157+X$5)-PERMANENT_FIELD_LABOR_HOURS)*TEMP_HOURLY_RATE-FIXED_SEASON_COST)</f>
        <v>19017.0584677187</v>
      </c>
      <c r="Y157" s="53" t="n">
        <f aca="false">IF(OR($A157&gt;TOMATO_BED_CAP,$B157&gt;CARROT_BED_CAP,Y$4&gt;MESCLUN_BED_CAP,$A157+$B157+Y$4&gt;TOTAL_BEDS_AVAILABLE,($D157+Y$5)&gt;TOTAL_LABOR_HOURS_CAP,MAX(0,($D157+Y$5)-PERMANENT_FIELD_LABOR_HOURS)&gt;TEMP_HOURS_CAP),"",$C157+Y$6-MIN(($D157+Y$5),PERMANENT_FIELD_LABOR_HOURS)*PERMANENT_HOURLY_RATE-MAX(0,($D157+Y$5)-PERMANENT_FIELD_LABOR_HOURS)*TEMP_HOURLY_RATE-FIXED_SEASON_COST)</f>
        <v>19628.0815305974</v>
      </c>
      <c r="Z157" s="53" t="n">
        <f aca="false">IF(OR($A157&gt;TOMATO_BED_CAP,$B157&gt;CARROT_BED_CAP,Z$4&gt;MESCLUN_BED_CAP,$A157+$B157+Z$4&gt;TOTAL_BEDS_AVAILABLE,($D157+Z$5)&gt;TOTAL_LABOR_HOURS_CAP,MAX(0,($D157+Z$5)-PERMANENT_FIELD_LABOR_HOURS)&gt;TEMP_HOURS_CAP),"",$C157+Z$6-MIN(($D157+Z$5),PERMANENT_FIELD_LABOR_HOURS)*PERMANENT_HOURLY_RATE-MAX(0,($D157+Z$5)-PERMANENT_FIELD_LABOR_HOURS)*TEMP_HOURLY_RATE-FIXED_SEASON_COST)</f>
        <v>20211.6278449051</v>
      </c>
      <c r="AA157" s="53" t="n">
        <f aca="false">IF(OR($A157&gt;TOMATO_BED_CAP,$B157&gt;CARROT_BED_CAP,AA$4&gt;MESCLUN_BED_CAP,$A157+$B157+AA$4&gt;TOTAL_BEDS_AVAILABLE,($D157+AA$5)&gt;TOTAL_LABOR_HOURS_CAP,MAX(0,($D157+AA$5)-PERMANENT_FIELD_LABOR_HOURS)&gt;TEMP_HOURS_CAP),"",$C157+AA$6-MIN(($D157+AA$5),PERMANENT_FIELD_LABOR_HOURS)*PERMANENT_HOURLY_RATE-MAX(0,($D157+AA$5)-PERMANENT_FIELD_LABOR_HOURS)*TEMP_HOURLY_RATE-FIXED_SEASON_COST)</f>
        <v>20767.199394574</v>
      </c>
      <c r="AB157" s="53" t="n">
        <f aca="false">IF(OR($A157&gt;TOMATO_BED_CAP,$B157&gt;CARROT_BED_CAP,AB$4&gt;MESCLUN_BED_CAP,$A157+$B157+AB$4&gt;TOTAL_BEDS_AVAILABLE,($D157+AB$5)&gt;TOTAL_LABOR_HOURS_CAP,MAX(0,($D157+AB$5)-PERMANENT_FIELD_LABOR_HOURS)&gt;TEMP_HOURS_CAP),"",$C157+AB$6-MIN(($D157+AB$5),PERMANENT_FIELD_LABOR_HOURS)*PERMANENT_HOURLY_RATE-MAX(0,($D157+AB$5)-PERMANENT_FIELD_LABOR_HOURS)*TEMP_HOURLY_RATE-FIXED_SEASON_COST)</f>
        <v>21294.2900063766</v>
      </c>
      <c r="AC157" s="53" t="n">
        <f aca="false">IF(OR($A157&gt;TOMATO_BED_CAP,$B157&gt;CARROT_BED_CAP,AC$4&gt;MESCLUN_BED_CAP,$A157+$B157+AC$4&gt;TOTAL_BEDS_AVAILABLE,($D157+AC$5)&gt;TOTAL_LABOR_HOURS_CAP,MAX(0,($D157+AC$5)-PERMANENT_FIELD_LABOR_HOURS)&gt;TEMP_HOURS_CAP),"",$C157+AC$6-MIN(($D157+AC$5),PERMANENT_FIELD_LABOR_HOURS)*PERMANENT_HOURLY_RATE-MAX(0,($D157+AC$5)-PERMANENT_FIELD_LABOR_HOURS)*TEMP_HOURLY_RATE-FIXED_SEASON_COST)</f>
        <v>21792.3852238115</v>
      </c>
      <c r="AD157" s="53" t="n">
        <f aca="false">IF(OR($A157&gt;TOMATO_BED_CAP,$B157&gt;CARROT_BED_CAP,AD$4&gt;MESCLUN_BED_CAP,$A157+$B157+AD$4&gt;TOTAL_BEDS_AVAILABLE,($D157+AD$5)&gt;TOTAL_LABOR_HOURS_CAP,MAX(0,($D157+AD$5)-PERMANENT_FIELD_LABOR_HOURS)&gt;TEMP_HOURS_CAP),"",$C157+AD$6-MIN(($D157+AD$5),PERMANENT_FIELD_LABOR_HOURS)*PERMANENT_HOURLY_RATE-MAX(0,($D157+AD$5)-PERMANENT_FIELD_LABOR_HOURS)*TEMP_HOURLY_RATE-FIXED_SEASON_COST)</f>
        <v>22260.9621791114</v>
      </c>
      <c r="AE157" s="53" t="n">
        <f aca="false">IF(OR($A157&gt;TOMATO_BED_CAP,$B157&gt;CARROT_BED_CAP,AE$4&gt;MESCLUN_BED_CAP,$A157+$B157+AE$4&gt;TOTAL_BEDS_AVAILABLE,($D157+AE$5)&gt;TOTAL_LABOR_HOURS_CAP,MAX(0,($D157+AE$5)-PERMANENT_FIELD_LABOR_HOURS)&gt;TEMP_HOURS_CAP),"",$C157+AE$6-MIN(($D157+AE$5),PERMANENT_FIELD_LABOR_HOURS)*PERMANENT_HOURLY_RATE-MAX(0,($D157+AE$5)-PERMANENT_FIELD_LABOR_HOURS)*TEMP_HOURLY_RATE-FIXED_SEASON_COST)</f>
        <v>22699.4894633453</v>
      </c>
      <c r="AF157" s="53" t="n">
        <f aca="false">IF(OR($A157&gt;TOMATO_BED_CAP,$B157&gt;CARROT_BED_CAP,AF$4&gt;MESCLUN_BED_CAP,$A157+$B157+AF$4&gt;TOTAL_BEDS_AVAILABLE,($D157+AF$5)&gt;TOTAL_LABOR_HOURS_CAP,MAX(0,($D157+AF$5)-PERMANENT_FIELD_LABOR_HOURS)&gt;TEMP_HOURS_CAP),"",$C157+AF$6-MIN(($D157+AF$5),PERMANENT_FIELD_LABOR_HOURS)*PERMANENT_HOURLY_RATE-MAX(0,($D157+AF$5)-PERMANENT_FIELD_LABOR_HOURS)*TEMP_HOURLY_RATE-FIXED_SEASON_COST)</f>
        <v>23107.4269945873</v>
      </c>
      <c r="AG157" s="53" t="n">
        <f aca="false">IF(OR($A157&gt;TOMATO_BED_CAP,$B157&gt;CARROT_BED_CAP,AG$4&gt;MESCLUN_BED_CAP,$A157+$B157+AG$4&gt;TOTAL_BEDS_AVAILABLE,($D157+AG$5)&gt;TOTAL_LABOR_HOURS_CAP,MAX(0,($D157+AG$5)-PERMANENT_FIELD_LABOR_HOURS)&gt;TEMP_HOURS_CAP),"",$C157+AG$6-MIN(($D157+AG$5),PERMANENT_FIELD_LABOR_HOURS)*PERMANENT_HOURLY_RATE-MAX(0,($D157+AG$5)-PERMANENT_FIELD_LABOR_HOURS)*TEMP_HOURLY_RATE-FIXED_SEASON_COST)</f>
        <v>23484.2258841243</v>
      </c>
      <c r="AH157" s="53" t="n">
        <f aca="false">IF(OR($A157&gt;TOMATO_BED_CAP,$B157&gt;CARROT_BED_CAP,AH$4&gt;MESCLUN_BED_CAP,$A157+$B157+AH$4&gt;TOTAL_BEDS_AVAILABLE,($D157+AH$5)&gt;TOTAL_LABOR_HOURS_CAP,MAX(0,($D157+AH$5)-PERMANENT_FIELD_LABOR_HOURS)&gt;TEMP_HOURS_CAP),"",$C157+AH$6-MIN(($D157+AH$5),PERMANENT_FIELD_LABOR_HOURS)*PERMANENT_HOURLY_RATE-MAX(0,($D157+AH$5)-PERMANENT_FIELD_LABOR_HOURS)*TEMP_HOURLY_RATE-FIXED_SEASON_COST)</f>
        <v>23829.3283006745</v>
      </c>
      <c r="AI157" s="53" t="n">
        <f aca="false">IF(OR($A157&gt;TOMATO_BED_CAP,$B157&gt;CARROT_BED_CAP,AI$4&gt;MESCLUN_BED_CAP,$A157+$B157+AI$4&gt;TOTAL_BEDS_AVAILABLE,($D157+AI$5)&gt;TOTAL_LABOR_HOURS_CAP,MAX(0,($D157+AI$5)-PERMANENT_FIELD_LABOR_HOURS)&gt;TEMP_HOURS_CAP),"",$C157+AI$6-MIN(($D157+AI$5),PERMANENT_FIELD_LABOR_HOURS)*PERMANENT_HOURLY_RATE-MAX(0,($D157+AI$5)-PERMANENT_FIELD_LABOR_HOURS)*TEMP_HOURLY_RATE-FIXED_SEASON_COST)</f>
        <v>24142.1673325868</v>
      </c>
      <c r="AJ157" s="53" t="n">
        <f aca="false">IF(OR($A157&gt;TOMATO_BED_CAP,$B157&gt;CARROT_BED_CAP,AJ$4&gt;MESCLUN_BED_CAP,$A157+$B157+AJ$4&gt;TOTAL_BEDS_AVAILABLE,($D157+AJ$5)&gt;TOTAL_LABOR_HOURS_CAP,MAX(0,($D157+AJ$5)-PERMANENT_FIELD_LABOR_HOURS)&gt;TEMP_HOURS_CAP),"",$C157+AJ$6-MIN(($D157+AJ$5),PERMANENT_FIELD_LABOR_HOURS)*PERMANENT_HOURLY_RATE-MAX(0,($D157+AJ$5)-PERMANENT_FIELD_LABOR_HOURS)*TEMP_HOURLY_RATE-FIXED_SEASON_COST)</f>
        <v>24422.1668479925</v>
      </c>
    </row>
    <row r="158" customFormat="false" ht="15" hidden="false" customHeight="false" outlineLevel="0" collapsed="false">
      <c r="A158" s="21" t="n">
        <f aca="false">INT((ROW()-ROW($A$8))/(20+1))</f>
        <v>7</v>
      </c>
      <c r="B158" s="21" t="n">
        <f aca="false">MOD(ROW()-ROW($A$8),20+1)</f>
        <v>3</v>
      </c>
      <c r="C158" s="13" t="n">
        <f aca="false">A158*(TOMATO_REVENUE_PER_BED-TOMATO_FERTILIZER_PER_BED)+B158*(CARROT_REVENUE_PER_BED-CARROT_FERTILIZER_PER_BED)</f>
        <v>60402</v>
      </c>
      <c r="D158" s="14" t="n">
        <f aca="false">INDEX(TOMATO_SCHED_LABOR_HRS,A158+1)+INDEX(CARROT_SCHED_LABOR_HRS,B158+1)</f>
        <v>1324.5731611875</v>
      </c>
      <c r="E158" s="13" t="n">
        <f aca="false">IF(COUNT(F158:AJ158)=0,"",MAX(F158:AJ158))</f>
        <v>25488.1992166575</v>
      </c>
      <c r="F158" s="53" t="n">
        <f aca="false">IF(OR($A158&gt;TOMATO_BED_CAP,$B158&gt;CARROT_BED_CAP,F$4&gt;MESCLUN_BED_CAP,$A158+$B158+F$4&gt;TOTAL_BEDS_AVAILABLE,($D158+F$5)&gt;TOTAL_LABOR_HOURS_CAP,MAX(0,($D158+F$5)-PERMANENT_FIELD_LABOR_HOURS)&gt;TEMP_HOURS_CAP),"",$C158+F$6-MIN(($D158+F$5),PERMANENT_FIELD_LABOR_HOURS)*PERMANENT_HOURLY_RATE-MAX(0,($D158+F$5)-PERMANENT_FIELD_LABOR_HOURS)*TEMP_HOURLY_RATE-FIXED_SEASON_COST)</f>
        <v>4908.209921785</v>
      </c>
      <c r="G158" s="53" t="n">
        <f aca="false">IF(OR($A158&gt;TOMATO_BED_CAP,$B158&gt;CARROT_BED_CAP,G$4&gt;MESCLUN_BED_CAP,$A158+$B158+G$4&gt;TOTAL_BEDS_AVAILABLE,($D158+G$5)&gt;TOTAL_LABOR_HOURS_CAP,MAX(0,($D158+G$5)-PERMANENT_FIELD_LABOR_HOURS)&gt;TEMP_HOURS_CAP),"",$C158+G$6-MIN(($D158+G$5),PERMANENT_FIELD_LABOR_HOURS)*PERMANENT_HOURLY_RATE-MAX(0,($D158+G$5)-PERMANENT_FIELD_LABOR_HOURS)*TEMP_HOURLY_RATE-FIXED_SEASON_COST)</f>
        <v>5937.244921785</v>
      </c>
      <c r="H158" s="53" t="n">
        <f aca="false">IF(OR($A158&gt;TOMATO_BED_CAP,$B158&gt;CARROT_BED_CAP,H$4&gt;MESCLUN_BED_CAP,$A158+$B158+H$4&gt;TOTAL_BEDS_AVAILABLE,($D158+H$5)&gt;TOTAL_LABOR_HOURS_CAP,MAX(0,($D158+H$5)-PERMANENT_FIELD_LABOR_HOURS)&gt;TEMP_HOURS_CAP),"",$C158+H$6-MIN(($D158+H$5),PERMANENT_FIELD_LABOR_HOURS)*PERMANENT_HOURLY_RATE-MAX(0,($D158+H$5)-PERMANENT_FIELD_LABOR_HOURS)*TEMP_HOURLY_RATE-FIXED_SEASON_COST)</f>
        <v>6946.505796785</v>
      </c>
      <c r="I158" s="53" t="n">
        <f aca="false">IF(OR($A158&gt;TOMATO_BED_CAP,$B158&gt;CARROT_BED_CAP,I$4&gt;MESCLUN_BED_CAP,$A158+$B158+I$4&gt;TOTAL_BEDS_AVAILABLE,($D158+I$5)&gt;TOTAL_LABOR_HOURS_CAP,MAX(0,($D158+I$5)-PERMANENT_FIELD_LABOR_HOURS)&gt;TEMP_HOURS_CAP),"",$C158+I$6-MIN(($D158+I$5),PERMANENT_FIELD_LABOR_HOURS)*PERMANENT_HOURLY_RATE-MAX(0,($D158+I$5)-PERMANENT_FIELD_LABOR_HOURS)*TEMP_HOURLY_RATE-FIXED_SEASON_COST)</f>
        <v>7935.62178194125</v>
      </c>
      <c r="J158" s="53" t="n">
        <f aca="false">IF(OR($A158&gt;TOMATO_BED_CAP,$B158&gt;CARROT_BED_CAP,J$4&gt;MESCLUN_BED_CAP,$A158+$B158+J$4&gt;TOTAL_BEDS_AVAILABLE,($D158+J$5)&gt;TOTAL_LABOR_HOURS_CAP,MAX(0,($D158+J$5)-PERMANENT_FIELD_LABOR_HOURS)&gt;TEMP_HOURS_CAP),"",$C158+J$6-MIN(($D158+J$5),PERMANENT_FIELD_LABOR_HOURS)*PERMANENT_HOURLY_RATE-MAX(0,($D158+J$5)-PERMANENT_FIELD_LABOR_HOURS)*TEMP_HOURLY_RATE-FIXED_SEASON_COST)</f>
        <v>8904.21593299593</v>
      </c>
      <c r="K158" s="53" t="n">
        <f aca="false">IF(OR($A158&gt;TOMATO_BED_CAP,$B158&gt;CARROT_BED_CAP,K$4&gt;MESCLUN_BED_CAP,$A158+$B158+K$4&gt;TOTAL_BEDS_AVAILABLE,($D158+K$5)&gt;TOTAL_LABOR_HOURS_CAP,MAX(0,($D158+K$5)-PERMANENT_FIELD_LABOR_HOURS)&gt;TEMP_HOURS_CAP),"",$C158+K$6-MIN(($D158+K$5),PERMANENT_FIELD_LABOR_HOURS)*PERMANENT_HOURLY_RATE-MAX(0,($D158+K$5)-PERMANENT_FIELD_LABOR_HOURS)*TEMP_HOURLY_RATE-FIXED_SEASON_COST)</f>
        <v>9851.90502972384</v>
      </c>
      <c r="L158" s="53" t="n">
        <f aca="false">IF(OR($A158&gt;TOMATO_BED_CAP,$B158&gt;CARROT_BED_CAP,L$4&gt;MESCLUN_BED_CAP,$A158+$B158+L$4&gt;TOTAL_BEDS_AVAILABLE,($D158+L$5)&gt;TOTAL_LABOR_HOURS_CAP,MAX(0,($D158+L$5)-PERMANENT_FIELD_LABOR_HOURS)&gt;TEMP_HOURS_CAP),"",$C158+L$6-MIN(($D158+L$5),PERMANENT_FIELD_LABOR_HOURS)*PERMANENT_HOURLY_RATE-MAX(0,($D158+L$5)-PERMANENT_FIELD_LABOR_HOURS)*TEMP_HOURLY_RATE-FIXED_SEASON_COST)</f>
        <v>10778.2994779307</v>
      </c>
      <c r="M158" s="53" t="n">
        <f aca="false">IF(OR($A158&gt;TOMATO_BED_CAP,$B158&gt;CARROT_BED_CAP,M$4&gt;MESCLUN_BED_CAP,$A158+$B158+M$4&gt;TOTAL_BEDS_AVAILABLE,($D158+M$5)&gt;TOTAL_LABOR_HOURS_CAP,MAX(0,($D158+M$5)-PERMANENT_FIELD_LABOR_HOURS)&gt;TEMP_HOURS_CAP),"",$C158+M$6-MIN(($D158+M$5),PERMANENT_FIELD_LABOR_HOURS)*PERMANENT_HOURLY_RATE-MAX(0,($D158+M$5)-PERMANENT_FIELD_LABOR_HOURS)*TEMP_HOURLY_RATE-FIXED_SEASON_COST)</f>
        <v>11683.0032099821</v>
      </c>
      <c r="N158" s="53" t="n">
        <f aca="false">IF(OR($A158&gt;TOMATO_BED_CAP,$B158&gt;CARROT_BED_CAP,N$4&gt;MESCLUN_BED_CAP,$A158+$B158+N$4&gt;TOTAL_BEDS_AVAILABLE,($D158+N$5)&gt;TOTAL_LABOR_HOURS_CAP,MAX(0,($D158+N$5)-PERMANENT_FIELD_LABOR_HOURS)&gt;TEMP_HOURS_CAP),"",$C158+N$6-MIN(($D158+N$5),PERMANENT_FIELD_LABOR_HOURS)*PERMANENT_HOURLY_RATE-MAX(0,($D158+N$5)-PERMANENT_FIELD_LABOR_HOURS)*TEMP_HOURLY_RATE-FIXED_SEASON_COST)</f>
        <v>12565.6135838416</v>
      </c>
      <c r="O158" s="53" t="n">
        <f aca="false">IF(OR($A158&gt;TOMATO_BED_CAP,$B158&gt;CARROT_BED_CAP,O$4&gt;MESCLUN_BED_CAP,$A158+$B158+O$4&gt;TOTAL_BEDS_AVAILABLE,($D158+O$5)&gt;TOTAL_LABOR_HOURS_CAP,MAX(0,($D158+O$5)-PERMANENT_FIELD_LABOR_HOURS)&gt;TEMP_HOURS_CAP),"",$C158+O$6-MIN(($D158+O$5),PERMANENT_FIELD_LABOR_HOURS)*PERMANENT_HOURLY_RATE-MAX(0,($D158+O$5)-PERMANENT_FIELD_LABOR_HOURS)*TEMP_HOURLY_RATE-FIXED_SEASON_COST)</f>
        <v>13425.7212805964</v>
      </c>
      <c r="P158" s="53" t="n">
        <f aca="false">IF(OR($A158&gt;TOMATO_BED_CAP,$B158&gt;CARROT_BED_CAP,P$4&gt;MESCLUN_BED_CAP,$A158+$B158+P$4&gt;TOTAL_BEDS_AVAILABLE,($D158+P$5)&gt;TOTAL_LABOR_HOURS_CAP,MAX(0,($D158+P$5)-PERMANENT_FIELD_LABOR_HOURS)&gt;TEMP_HOURS_CAP),"",$C158+P$6-MIN(($D158+P$5),PERMANENT_FIELD_LABOR_HOURS)*PERMANENT_HOURLY_RATE-MAX(0,($D158+P$5)-PERMANENT_FIELD_LABOR_HOURS)*TEMP_HOURLY_RATE-FIXED_SEASON_COST)</f>
        <v>14262.9102004478</v>
      </c>
      <c r="Q158" s="53" t="n">
        <f aca="false">IF(OR($A158&gt;TOMATO_BED_CAP,$B158&gt;CARROT_BED_CAP,Q$4&gt;MESCLUN_BED_CAP,$A158+$B158+Q$4&gt;TOTAL_BEDS_AVAILABLE,($D158+Q$5)&gt;TOTAL_LABOR_HOURS_CAP,MAX(0,($D158+Q$5)-PERMANENT_FIELD_LABOR_HOURS)&gt;TEMP_HOURS_CAP),"",$C158+Q$6-MIN(($D158+Q$5),PERMANENT_FIELD_LABOR_HOURS)*PERMANENT_HOURLY_RATE-MAX(0,($D158+Q$5)-PERMANENT_FIELD_LABOR_HOURS)*TEMP_HOURLY_RATE-FIXED_SEASON_COST)</f>
        <v>15076.7573571457</v>
      </c>
      <c r="R158" s="53" t="n">
        <f aca="false">IF(OR($A158&gt;TOMATO_BED_CAP,$B158&gt;CARROT_BED_CAP,R$4&gt;MESCLUN_BED_CAP,$A158+$B158+R$4&gt;TOTAL_BEDS_AVAILABLE,($D158+R$5)&gt;TOTAL_LABOR_HOURS_CAP,MAX(0,($D158+R$5)-PERMANENT_FIELD_LABOR_HOURS)&gt;TEMP_HOURS_CAP),"",$C158+R$6-MIN(($D158+R$5),PERMANENT_FIELD_LABOR_HOURS)*PERMANENT_HOURLY_RATE-MAX(0,($D158+R$5)-PERMANENT_FIELD_LABOR_HOURS)*TEMP_HOURLY_RATE-FIXED_SEASON_COST)</f>
        <v>15866.8327708425</v>
      </c>
      <c r="S158" s="53" t="n">
        <f aca="false">IF(OR($A158&gt;TOMATO_BED_CAP,$B158&gt;CARROT_BED_CAP,S$4&gt;MESCLUN_BED_CAP,$A158+$B158+S$4&gt;TOTAL_BEDS_AVAILABLE,($D158+S$5)&gt;TOTAL_LABOR_HOURS_CAP,MAX(0,($D158+S$5)-PERMANENT_FIELD_LABOR_HOURS)&gt;TEMP_HOURS_CAP),"",$C158+S$6-MIN(($D158+S$5),PERMANENT_FIELD_LABOR_HOURS)*PERMANENT_HOURLY_RATE-MAX(0,($D158+S$5)-PERMANENT_FIELD_LABOR_HOURS)*TEMP_HOURLY_RATE-FIXED_SEASON_COST)</f>
        <v>16632.699359345</v>
      </c>
      <c r="T158" s="53" t="n">
        <f aca="false">IF(OR($A158&gt;TOMATO_BED_CAP,$B158&gt;CARROT_BED_CAP,T$4&gt;MESCLUN_BED_CAP,$A158+$B158+T$4&gt;TOTAL_BEDS_AVAILABLE,($D158+T$5)&gt;TOTAL_LABOR_HOURS_CAP,MAX(0,($D158+T$5)-PERMANENT_FIELD_LABOR_HOURS)&gt;TEMP_HOURS_CAP),"",$C158+T$6-MIN(($D158+T$5),PERMANENT_FIELD_LABOR_HOURS)*PERMANENT_HOURLY_RATE-MAX(0,($D158+T$5)-PERMANENT_FIELD_LABOR_HOURS)*TEMP_HOURLY_RATE-FIXED_SEASON_COST)</f>
        <v>17373.9128277398</v>
      </c>
      <c r="U158" s="53" t="n">
        <f aca="false">IF(OR($A158&gt;TOMATO_BED_CAP,$B158&gt;CARROT_BED_CAP,U$4&gt;MESCLUN_BED_CAP,$A158+$B158+U$4&gt;TOTAL_BEDS_AVAILABLE,($D158+U$5)&gt;TOTAL_LABOR_HOURS_CAP,MAX(0,($D158+U$5)-PERMANENT_FIELD_LABOR_HOURS)&gt;TEMP_HOURS_CAP),"",$C158+U$6-MIN(($D158+U$5),PERMANENT_FIELD_LABOR_HOURS)*PERMANENT_HOURLY_RATE-MAX(0,($D158+U$5)-PERMANENT_FIELD_LABOR_HOURS)*TEMP_HOURLY_RATE-FIXED_SEASON_COST)</f>
        <v>18090.0215563699</v>
      </c>
      <c r="V158" s="53" t="n">
        <f aca="false">IF(OR($A158&gt;TOMATO_BED_CAP,$B158&gt;CARROT_BED_CAP,V$4&gt;MESCLUN_BED_CAP,$A158+$B158+V$4&gt;TOTAL_BEDS_AVAILABLE,($D158+V$5)&gt;TOTAL_LABOR_HOURS_CAP,MAX(0,($D158+V$5)-PERMANENT_FIELD_LABOR_HOURS)&gt;TEMP_HOURS_CAP),"",$C158+V$6-MIN(($D158+V$5),PERMANENT_FIELD_LABOR_HOURS)*PERMANENT_HOURLY_RATE-MAX(0,($D158+V$5)-PERMANENT_FIELD_LABOR_HOURS)*TEMP_HOURLY_RATE-FIXED_SEASON_COST)</f>
        <v>18780.5664871367</v>
      </c>
      <c r="W158" s="53" t="n">
        <f aca="false">IF(OR($A158&gt;TOMATO_BED_CAP,$B158&gt;CARROT_BED_CAP,W$4&gt;MESCLUN_BED_CAP,$A158+$B158+W$4&gt;TOTAL_BEDS_AVAILABLE,($D158+W$5)&gt;TOTAL_LABOR_HOURS_CAP,MAX(0,($D158+W$5)-PERMANENT_FIELD_LABOR_HOURS)&gt;TEMP_HOURS_CAP),"",$C158+W$6-MIN(($D158+W$5),PERMANENT_FIELD_LABOR_HOURS)*PERMANENT_HOURLY_RATE-MAX(0,($D158+W$5)-PERMANENT_FIELD_LABOR_HOURS)*TEMP_HOURLY_RATE-FIXED_SEASON_COST)</f>
        <v>19445.0810081048</v>
      </c>
      <c r="X158" s="53" t="n">
        <f aca="false">IF(OR($A158&gt;TOMATO_BED_CAP,$B158&gt;CARROT_BED_CAP,X$4&gt;MESCLUN_BED_CAP,$A158+$B158+X$4&gt;TOTAL_BEDS_AVAILABLE,($D158+X$5)&gt;TOTAL_LABOR_HOURS_CAP,MAX(0,($D158+X$5)-PERMANENT_FIELD_LABOR_HOURS)&gt;TEMP_HOURS_CAP),"",$C158+X$6-MIN(($D158+X$5),PERMANENT_FIELD_LABOR_HOURS)*PERMANENT_HOURLY_RATE-MAX(0,($D158+X$5)-PERMANENT_FIELD_LABOR_HOURS)*TEMP_HOURLY_RATE-FIXED_SEASON_COST)</f>
        <v>20083.0908363837</v>
      </c>
      <c r="Y158" s="53" t="n">
        <f aca="false">IF(OR($A158&gt;TOMATO_BED_CAP,$B158&gt;CARROT_BED_CAP,Y$4&gt;MESCLUN_BED_CAP,$A158+$B158+Y$4&gt;TOTAL_BEDS_AVAILABLE,($D158+Y$5)&gt;TOTAL_LABOR_HOURS_CAP,MAX(0,($D158+Y$5)-PERMANENT_FIELD_LABOR_HOURS)&gt;TEMP_HOURS_CAP),"",$C158+Y$6-MIN(($D158+Y$5),PERMANENT_FIELD_LABOR_HOURS)*PERMANENT_HOURLY_RATE-MAX(0,($D158+Y$5)-PERMANENT_FIELD_LABOR_HOURS)*TEMP_HOURLY_RATE-FIXED_SEASON_COST)</f>
        <v>20694.1138992624</v>
      </c>
      <c r="Z158" s="53" t="n">
        <f aca="false">IF(OR($A158&gt;TOMATO_BED_CAP,$B158&gt;CARROT_BED_CAP,Z$4&gt;MESCLUN_BED_CAP,$A158+$B158+Z$4&gt;TOTAL_BEDS_AVAILABLE,($D158+Z$5)&gt;TOTAL_LABOR_HOURS_CAP,MAX(0,($D158+Z$5)-PERMANENT_FIELD_LABOR_HOURS)&gt;TEMP_HOURS_CAP),"",$C158+Z$6-MIN(($D158+Z$5),PERMANENT_FIELD_LABOR_HOURS)*PERMANENT_HOURLY_RATE-MAX(0,($D158+Z$5)-PERMANENT_FIELD_LABOR_HOURS)*TEMP_HOURLY_RATE-FIXED_SEASON_COST)</f>
        <v>21277.6602135701</v>
      </c>
      <c r="AA158" s="53" t="n">
        <f aca="false">IF(OR($A158&gt;TOMATO_BED_CAP,$B158&gt;CARROT_BED_CAP,AA$4&gt;MESCLUN_BED_CAP,$A158+$B158+AA$4&gt;TOTAL_BEDS_AVAILABLE,($D158+AA$5)&gt;TOTAL_LABOR_HOURS_CAP,MAX(0,($D158+AA$5)-PERMANENT_FIELD_LABOR_HOURS)&gt;TEMP_HOURS_CAP),"",$C158+AA$6-MIN(($D158+AA$5),PERMANENT_FIELD_LABOR_HOURS)*PERMANENT_HOURLY_RATE-MAX(0,($D158+AA$5)-PERMANENT_FIELD_LABOR_HOURS)*TEMP_HOURLY_RATE-FIXED_SEASON_COST)</f>
        <v>21833.231763239</v>
      </c>
      <c r="AB158" s="53" t="n">
        <f aca="false">IF(OR($A158&gt;TOMATO_BED_CAP,$B158&gt;CARROT_BED_CAP,AB$4&gt;MESCLUN_BED_CAP,$A158+$B158+AB$4&gt;TOTAL_BEDS_AVAILABLE,($D158+AB$5)&gt;TOTAL_LABOR_HOURS_CAP,MAX(0,($D158+AB$5)-PERMANENT_FIELD_LABOR_HOURS)&gt;TEMP_HOURS_CAP),"",$C158+AB$6-MIN(($D158+AB$5),PERMANENT_FIELD_LABOR_HOURS)*PERMANENT_HOURLY_RATE-MAX(0,($D158+AB$5)-PERMANENT_FIELD_LABOR_HOURS)*TEMP_HOURLY_RATE-FIXED_SEASON_COST)</f>
        <v>22360.3223750416</v>
      </c>
      <c r="AC158" s="53" t="n">
        <f aca="false">IF(OR($A158&gt;TOMATO_BED_CAP,$B158&gt;CARROT_BED_CAP,AC$4&gt;MESCLUN_BED_CAP,$A158+$B158+AC$4&gt;TOTAL_BEDS_AVAILABLE,($D158+AC$5)&gt;TOTAL_LABOR_HOURS_CAP,MAX(0,($D158+AC$5)-PERMANENT_FIELD_LABOR_HOURS)&gt;TEMP_HOURS_CAP),"",$C158+AC$6-MIN(($D158+AC$5),PERMANENT_FIELD_LABOR_HOURS)*PERMANENT_HOURLY_RATE-MAX(0,($D158+AC$5)-PERMANENT_FIELD_LABOR_HOURS)*TEMP_HOURLY_RATE-FIXED_SEASON_COST)</f>
        <v>22858.4175924765</v>
      </c>
      <c r="AD158" s="53" t="n">
        <f aca="false">IF(OR($A158&gt;TOMATO_BED_CAP,$B158&gt;CARROT_BED_CAP,AD$4&gt;MESCLUN_BED_CAP,$A158+$B158+AD$4&gt;TOTAL_BEDS_AVAILABLE,($D158+AD$5)&gt;TOTAL_LABOR_HOURS_CAP,MAX(0,($D158+AD$5)-PERMANENT_FIELD_LABOR_HOURS)&gt;TEMP_HOURS_CAP),"",$C158+AD$6-MIN(($D158+AD$5),PERMANENT_FIELD_LABOR_HOURS)*PERMANENT_HOURLY_RATE-MAX(0,($D158+AD$5)-PERMANENT_FIELD_LABOR_HOURS)*TEMP_HOURLY_RATE-FIXED_SEASON_COST)</f>
        <v>23326.9945477764</v>
      </c>
      <c r="AE158" s="53" t="n">
        <f aca="false">IF(OR($A158&gt;TOMATO_BED_CAP,$B158&gt;CARROT_BED_CAP,AE$4&gt;MESCLUN_BED_CAP,$A158+$B158+AE$4&gt;TOTAL_BEDS_AVAILABLE,($D158+AE$5)&gt;TOTAL_LABOR_HOURS_CAP,MAX(0,($D158+AE$5)-PERMANENT_FIELD_LABOR_HOURS)&gt;TEMP_HOURS_CAP),"",$C158+AE$6-MIN(($D158+AE$5),PERMANENT_FIELD_LABOR_HOURS)*PERMANENT_HOURLY_RATE-MAX(0,($D158+AE$5)-PERMANENT_FIELD_LABOR_HOURS)*TEMP_HOURLY_RATE-FIXED_SEASON_COST)</f>
        <v>23765.5218320103</v>
      </c>
      <c r="AF158" s="53" t="n">
        <f aca="false">IF(OR($A158&gt;TOMATO_BED_CAP,$B158&gt;CARROT_BED_CAP,AF$4&gt;MESCLUN_BED_CAP,$A158+$B158+AF$4&gt;TOTAL_BEDS_AVAILABLE,($D158+AF$5)&gt;TOTAL_LABOR_HOURS_CAP,MAX(0,($D158+AF$5)-PERMANENT_FIELD_LABOR_HOURS)&gt;TEMP_HOURS_CAP),"",$C158+AF$6-MIN(($D158+AF$5),PERMANENT_FIELD_LABOR_HOURS)*PERMANENT_HOURLY_RATE-MAX(0,($D158+AF$5)-PERMANENT_FIELD_LABOR_HOURS)*TEMP_HOURLY_RATE-FIXED_SEASON_COST)</f>
        <v>24173.4593632523</v>
      </c>
      <c r="AG158" s="53" t="n">
        <f aca="false">IF(OR($A158&gt;TOMATO_BED_CAP,$B158&gt;CARROT_BED_CAP,AG$4&gt;MESCLUN_BED_CAP,$A158+$B158+AG$4&gt;TOTAL_BEDS_AVAILABLE,($D158+AG$5)&gt;TOTAL_LABOR_HOURS_CAP,MAX(0,($D158+AG$5)-PERMANENT_FIELD_LABOR_HOURS)&gt;TEMP_HOURS_CAP),"",$C158+AG$6-MIN(($D158+AG$5),PERMANENT_FIELD_LABOR_HOURS)*PERMANENT_HOURLY_RATE-MAX(0,($D158+AG$5)-PERMANENT_FIELD_LABOR_HOURS)*TEMP_HOURLY_RATE-FIXED_SEASON_COST)</f>
        <v>24550.2582527893</v>
      </c>
      <c r="AH158" s="53" t="n">
        <f aca="false">IF(OR($A158&gt;TOMATO_BED_CAP,$B158&gt;CARROT_BED_CAP,AH$4&gt;MESCLUN_BED_CAP,$A158+$B158+AH$4&gt;TOTAL_BEDS_AVAILABLE,($D158+AH$5)&gt;TOTAL_LABOR_HOURS_CAP,MAX(0,($D158+AH$5)-PERMANENT_FIELD_LABOR_HOURS)&gt;TEMP_HOURS_CAP),"",$C158+AH$6-MIN(($D158+AH$5),PERMANENT_FIELD_LABOR_HOURS)*PERMANENT_HOURLY_RATE-MAX(0,($D158+AH$5)-PERMANENT_FIELD_LABOR_HOURS)*TEMP_HOURLY_RATE-FIXED_SEASON_COST)</f>
        <v>24895.3606693395</v>
      </c>
      <c r="AI158" s="53" t="n">
        <f aca="false">IF(OR($A158&gt;TOMATO_BED_CAP,$B158&gt;CARROT_BED_CAP,AI$4&gt;MESCLUN_BED_CAP,$A158+$B158+AI$4&gt;TOTAL_BEDS_AVAILABLE,($D158+AI$5)&gt;TOTAL_LABOR_HOURS_CAP,MAX(0,($D158+AI$5)-PERMANENT_FIELD_LABOR_HOURS)&gt;TEMP_HOURS_CAP),"",$C158+AI$6-MIN(($D158+AI$5),PERMANENT_FIELD_LABOR_HOURS)*PERMANENT_HOURLY_RATE-MAX(0,($D158+AI$5)-PERMANENT_FIELD_LABOR_HOURS)*TEMP_HOURLY_RATE-FIXED_SEASON_COST)</f>
        <v>25208.1997012518</v>
      </c>
      <c r="AJ158" s="53" t="n">
        <f aca="false">IF(OR($A158&gt;TOMATO_BED_CAP,$B158&gt;CARROT_BED_CAP,AJ$4&gt;MESCLUN_BED_CAP,$A158+$B158+AJ$4&gt;TOTAL_BEDS_AVAILABLE,($D158+AJ$5)&gt;TOTAL_LABOR_HOURS_CAP,MAX(0,($D158+AJ$5)-PERMANENT_FIELD_LABOR_HOURS)&gt;TEMP_HOURS_CAP),"",$C158+AJ$6-MIN(($D158+AJ$5),PERMANENT_FIELD_LABOR_HOURS)*PERMANENT_HOURLY_RATE-MAX(0,($D158+AJ$5)-PERMANENT_FIELD_LABOR_HOURS)*TEMP_HOURLY_RATE-FIXED_SEASON_COST)</f>
        <v>25488.1992166575</v>
      </c>
    </row>
    <row r="159" customFormat="false" ht="15" hidden="false" customHeight="false" outlineLevel="0" collapsed="false">
      <c r="A159" s="21" t="n">
        <f aca="false">INT((ROW()-ROW($A$8))/(20+1))</f>
        <v>7</v>
      </c>
      <c r="B159" s="21" t="n">
        <f aca="false">MOD(ROW()-ROW($A$8),20+1)</f>
        <v>4</v>
      </c>
      <c r="C159" s="13" t="n">
        <f aca="false">A159*(TOMATO_REVENUE_PER_BED-TOMATO_FERTILIZER_PER_BED)+B159*(CARROT_REVENUE_PER_BED-CARROT_FERTILIZER_PER_BED)</f>
        <v>62056</v>
      </c>
      <c r="D159" s="14" t="n">
        <f aca="false">INDEX(TOMATO_SCHED_LABOR_HRS,A159+1)+INDEX(CARROT_SCHED_LABOR_HRS,B159+1)</f>
        <v>1360.09633685625</v>
      </c>
      <c r="E159" s="13" t="n">
        <f aca="false">IF(COUNT(F159:AJ159)=0,"",MAX(F159:AJ159))</f>
        <v>26525.516887048</v>
      </c>
      <c r="F159" s="53" t="n">
        <f aca="false">IF(OR($A159&gt;TOMATO_BED_CAP,$B159&gt;CARROT_BED_CAP,F$4&gt;MESCLUN_BED_CAP,$A159+$B159+F$4&gt;TOTAL_BEDS_AVAILABLE,($D159+F$5)&gt;TOTAL_LABOR_HOURS_CAP,MAX(0,($D159+F$5)-PERMANENT_FIELD_LABOR_HOURS)&gt;TEMP_HOURS_CAP),"",$C159+F$6-MIN(($D159+F$5),PERMANENT_FIELD_LABOR_HOURS)*PERMANENT_HOURLY_RATE-MAX(0,($D159+F$5)-PERMANENT_FIELD_LABOR_HOURS)*TEMP_HOURLY_RATE-FIXED_SEASON_COST)</f>
        <v>5945.5275921755</v>
      </c>
      <c r="G159" s="53" t="n">
        <f aca="false">IF(OR($A159&gt;TOMATO_BED_CAP,$B159&gt;CARROT_BED_CAP,G$4&gt;MESCLUN_BED_CAP,$A159+$B159+G$4&gt;TOTAL_BEDS_AVAILABLE,($D159+G$5)&gt;TOTAL_LABOR_HOURS_CAP,MAX(0,($D159+G$5)-PERMANENT_FIELD_LABOR_HOURS)&gt;TEMP_HOURS_CAP),"",$C159+G$6-MIN(($D159+G$5),PERMANENT_FIELD_LABOR_HOURS)*PERMANENT_HOURLY_RATE-MAX(0,($D159+G$5)-PERMANENT_FIELD_LABOR_HOURS)*TEMP_HOURLY_RATE-FIXED_SEASON_COST)</f>
        <v>6974.56259217549</v>
      </c>
      <c r="H159" s="53" t="n">
        <f aca="false">IF(OR($A159&gt;TOMATO_BED_CAP,$B159&gt;CARROT_BED_CAP,H$4&gt;MESCLUN_BED_CAP,$A159+$B159+H$4&gt;TOTAL_BEDS_AVAILABLE,($D159+H$5)&gt;TOTAL_LABOR_HOURS_CAP,MAX(0,($D159+H$5)-PERMANENT_FIELD_LABOR_HOURS)&gt;TEMP_HOURS_CAP),"",$C159+H$6-MIN(($D159+H$5),PERMANENT_FIELD_LABOR_HOURS)*PERMANENT_HOURLY_RATE-MAX(0,($D159+H$5)-PERMANENT_FIELD_LABOR_HOURS)*TEMP_HOURLY_RATE-FIXED_SEASON_COST)</f>
        <v>7983.8234671755</v>
      </c>
      <c r="I159" s="53" t="n">
        <f aca="false">IF(OR($A159&gt;TOMATO_BED_CAP,$B159&gt;CARROT_BED_CAP,I$4&gt;MESCLUN_BED_CAP,$A159+$B159+I$4&gt;TOTAL_BEDS_AVAILABLE,($D159+I$5)&gt;TOTAL_LABOR_HOURS_CAP,MAX(0,($D159+I$5)-PERMANENT_FIELD_LABOR_HOURS)&gt;TEMP_HOURS_CAP),"",$C159+I$6-MIN(($D159+I$5),PERMANENT_FIELD_LABOR_HOURS)*PERMANENT_HOURLY_RATE-MAX(0,($D159+I$5)-PERMANENT_FIELD_LABOR_HOURS)*TEMP_HOURLY_RATE-FIXED_SEASON_COST)</f>
        <v>8972.93945233175</v>
      </c>
      <c r="J159" s="53" t="n">
        <f aca="false">IF(OR($A159&gt;TOMATO_BED_CAP,$B159&gt;CARROT_BED_CAP,J$4&gt;MESCLUN_BED_CAP,$A159+$B159+J$4&gt;TOTAL_BEDS_AVAILABLE,($D159+J$5)&gt;TOTAL_LABOR_HOURS_CAP,MAX(0,($D159+J$5)-PERMANENT_FIELD_LABOR_HOURS)&gt;TEMP_HOURS_CAP),"",$C159+J$6-MIN(($D159+J$5),PERMANENT_FIELD_LABOR_HOURS)*PERMANENT_HOURLY_RATE-MAX(0,($D159+J$5)-PERMANENT_FIELD_LABOR_HOURS)*TEMP_HOURLY_RATE-FIXED_SEASON_COST)</f>
        <v>9941.53360338643</v>
      </c>
      <c r="K159" s="53" t="n">
        <f aca="false">IF(OR($A159&gt;TOMATO_BED_CAP,$B159&gt;CARROT_BED_CAP,K$4&gt;MESCLUN_BED_CAP,$A159+$B159+K$4&gt;TOTAL_BEDS_AVAILABLE,($D159+K$5)&gt;TOTAL_LABOR_HOURS_CAP,MAX(0,($D159+K$5)-PERMANENT_FIELD_LABOR_HOURS)&gt;TEMP_HOURS_CAP),"",$C159+K$6-MIN(($D159+K$5),PERMANENT_FIELD_LABOR_HOURS)*PERMANENT_HOURLY_RATE-MAX(0,($D159+K$5)-PERMANENT_FIELD_LABOR_HOURS)*TEMP_HOURLY_RATE-FIXED_SEASON_COST)</f>
        <v>10889.2227001143</v>
      </c>
      <c r="L159" s="53" t="n">
        <f aca="false">IF(OR($A159&gt;TOMATO_BED_CAP,$B159&gt;CARROT_BED_CAP,L$4&gt;MESCLUN_BED_CAP,$A159+$B159+L$4&gt;TOTAL_BEDS_AVAILABLE,($D159+L$5)&gt;TOTAL_LABOR_HOURS_CAP,MAX(0,($D159+L$5)-PERMANENT_FIELD_LABOR_HOURS)&gt;TEMP_HOURS_CAP),"",$C159+L$6-MIN(($D159+L$5),PERMANENT_FIELD_LABOR_HOURS)*PERMANENT_HOURLY_RATE-MAX(0,($D159+L$5)-PERMANENT_FIELD_LABOR_HOURS)*TEMP_HOURLY_RATE-FIXED_SEASON_COST)</f>
        <v>11815.6171483212</v>
      </c>
      <c r="M159" s="53" t="n">
        <f aca="false">IF(OR($A159&gt;TOMATO_BED_CAP,$B159&gt;CARROT_BED_CAP,M$4&gt;MESCLUN_BED_CAP,$A159+$B159+M$4&gt;TOTAL_BEDS_AVAILABLE,($D159+M$5)&gt;TOTAL_LABOR_HOURS_CAP,MAX(0,($D159+M$5)-PERMANENT_FIELD_LABOR_HOURS)&gt;TEMP_HOURS_CAP),"",$C159+M$6-MIN(($D159+M$5),PERMANENT_FIELD_LABOR_HOURS)*PERMANENT_HOURLY_RATE-MAX(0,($D159+M$5)-PERMANENT_FIELD_LABOR_HOURS)*TEMP_HOURLY_RATE-FIXED_SEASON_COST)</f>
        <v>12720.3208803726</v>
      </c>
      <c r="N159" s="53" t="n">
        <f aca="false">IF(OR($A159&gt;TOMATO_BED_CAP,$B159&gt;CARROT_BED_CAP,N$4&gt;MESCLUN_BED_CAP,$A159+$B159+N$4&gt;TOTAL_BEDS_AVAILABLE,($D159+N$5)&gt;TOTAL_LABOR_HOURS_CAP,MAX(0,($D159+N$5)-PERMANENT_FIELD_LABOR_HOURS)&gt;TEMP_HOURS_CAP),"",$C159+N$6-MIN(($D159+N$5),PERMANENT_FIELD_LABOR_HOURS)*PERMANENT_HOURLY_RATE-MAX(0,($D159+N$5)-PERMANENT_FIELD_LABOR_HOURS)*TEMP_HOURLY_RATE-FIXED_SEASON_COST)</f>
        <v>13602.9312542321</v>
      </c>
      <c r="O159" s="53" t="n">
        <f aca="false">IF(OR($A159&gt;TOMATO_BED_CAP,$B159&gt;CARROT_BED_CAP,O$4&gt;MESCLUN_BED_CAP,$A159+$B159+O$4&gt;TOTAL_BEDS_AVAILABLE,($D159+O$5)&gt;TOTAL_LABOR_HOURS_CAP,MAX(0,($D159+O$5)-PERMANENT_FIELD_LABOR_HOURS)&gt;TEMP_HOURS_CAP),"",$C159+O$6-MIN(($D159+O$5),PERMANENT_FIELD_LABOR_HOURS)*PERMANENT_HOURLY_RATE-MAX(0,($D159+O$5)-PERMANENT_FIELD_LABOR_HOURS)*TEMP_HOURLY_RATE-FIXED_SEASON_COST)</f>
        <v>14463.0389509869</v>
      </c>
      <c r="P159" s="53" t="n">
        <f aca="false">IF(OR($A159&gt;TOMATO_BED_CAP,$B159&gt;CARROT_BED_CAP,P$4&gt;MESCLUN_BED_CAP,$A159+$B159+P$4&gt;TOTAL_BEDS_AVAILABLE,($D159+P$5)&gt;TOTAL_LABOR_HOURS_CAP,MAX(0,($D159+P$5)-PERMANENT_FIELD_LABOR_HOURS)&gt;TEMP_HOURS_CAP),"",$C159+P$6-MIN(($D159+P$5),PERMANENT_FIELD_LABOR_HOURS)*PERMANENT_HOURLY_RATE-MAX(0,($D159+P$5)-PERMANENT_FIELD_LABOR_HOURS)*TEMP_HOURLY_RATE-FIXED_SEASON_COST)</f>
        <v>15300.2278708383</v>
      </c>
      <c r="Q159" s="53" t="n">
        <f aca="false">IF(OR($A159&gt;TOMATO_BED_CAP,$B159&gt;CARROT_BED_CAP,Q$4&gt;MESCLUN_BED_CAP,$A159+$B159+Q$4&gt;TOTAL_BEDS_AVAILABLE,($D159+Q$5)&gt;TOTAL_LABOR_HOURS_CAP,MAX(0,($D159+Q$5)-PERMANENT_FIELD_LABOR_HOURS)&gt;TEMP_HOURS_CAP),"",$C159+Q$6-MIN(($D159+Q$5),PERMANENT_FIELD_LABOR_HOURS)*PERMANENT_HOURLY_RATE-MAX(0,($D159+Q$5)-PERMANENT_FIELD_LABOR_HOURS)*TEMP_HOURLY_RATE-FIXED_SEASON_COST)</f>
        <v>16114.0750275362</v>
      </c>
      <c r="R159" s="53" t="n">
        <f aca="false">IF(OR($A159&gt;TOMATO_BED_CAP,$B159&gt;CARROT_BED_CAP,R$4&gt;MESCLUN_BED_CAP,$A159+$B159+R$4&gt;TOTAL_BEDS_AVAILABLE,($D159+R$5)&gt;TOTAL_LABOR_HOURS_CAP,MAX(0,($D159+R$5)-PERMANENT_FIELD_LABOR_HOURS)&gt;TEMP_HOURS_CAP),"",$C159+R$6-MIN(($D159+R$5),PERMANENT_FIELD_LABOR_HOURS)*PERMANENT_HOURLY_RATE-MAX(0,($D159+R$5)-PERMANENT_FIELD_LABOR_HOURS)*TEMP_HOURLY_RATE-FIXED_SEASON_COST)</f>
        <v>16904.150441233</v>
      </c>
      <c r="S159" s="53" t="n">
        <f aca="false">IF(OR($A159&gt;TOMATO_BED_CAP,$B159&gt;CARROT_BED_CAP,S$4&gt;MESCLUN_BED_CAP,$A159+$B159+S$4&gt;TOTAL_BEDS_AVAILABLE,($D159+S$5)&gt;TOTAL_LABOR_HOURS_CAP,MAX(0,($D159+S$5)-PERMANENT_FIELD_LABOR_HOURS)&gt;TEMP_HOURS_CAP),"",$C159+S$6-MIN(($D159+S$5),PERMANENT_FIELD_LABOR_HOURS)*PERMANENT_HOURLY_RATE-MAX(0,($D159+S$5)-PERMANENT_FIELD_LABOR_HOURS)*TEMP_HOURLY_RATE-FIXED_SEASON_COST)</f>
        <v>17670.0170297355</v>
      </c>
      <c r="T159" s="53" t="n">
        <f aca="false">IF(OR($A159&gt;TOMATO_BED_CAP,$B159&gt;CARROT_BED_CAP,T$4&gt;MESCLUN_BED_CAP,$A159+$B159+T$4&gt;TOTAL_BEDS_AVAILABLE,($D159+T$5)&gt;TOTAL_LABOR_HOURS_CAP,MAX(0,($D159+T$5)-PERMANENT_FIELD_LABOR_HOURS)&gt;TEMP_HOURS_CAP),"",$C159+T$6-MIN(($D159+T$5),PERMANENT_FIELD_LABOR_HOURS)*PERMANENT_HOURLY_RATE-MAX(0,($D159+T$5)-PERMANENT_FIELD_LABOR_HOURS)*TEMP_HOURLY_RATE-FIXED_SEASON_COST)</f>
        <v>18411.2304981303</v>
      </c>
      <c r="U159" s="53" t="n">
        <f aca="false">IF(OR($A159&gt;TOMATO_BED_CAP,$B159&gt;CARROT_BED_CAP,U$4&gt;MESCLUN_BED_CAP,$A159+$B159+U$4&gt;TOTAL_BEDS_AVAILABLE,($D159+U$5)&gt;TOTAL_LABOR_HOURS_CAP,MAX(0,($D159+U$5)-PERMANENT_FIELD_LABOR_HOURS)&gt;TEMP_HOURS_CAP),"",$C159+U$6-MIN(($D159+U$5),PERMANENT_FIELD_LABOR_HOURS)*PERMANENT_HOURLY_RATE-MAX(0,($D159+U$5)-PERMANENT_FIELD_LABOR_HOURS)*TEMP_HOURLY_RATE-FIXED_SEASON_COST)</f>
        <v>19127.3392267604</v>
      </c>
      <c r="V159" s="53" t="n">
        <f aca="false">IF(OR($A159&gt;TOMATO_BED_CAP,$B159&gt;CARROT_BED_CAP,V$4&gt;MESCLUN_BED_CAP,$A159+$B159+V$4&gt;TOTAL_BEDS_AVAILABLE,($D159+V$5)&gt;TOTAL_LABOR_HOURS_CAP,MAX(0,($D159+V$5)-PERMANENT_FIELD_LABOR_HOURS)&gt;TEMP_HOURS_CAP),"",$C159+V$6-MIN(($D159+V$5),PERMANENT_FIELD_LABOR_HOURS)*PERMANENT_HOURLY_RATE-MAX(0,($D159+V$5)-PERMANENT_FIELD_LABOR_HOURS)*TEMP_HOURLY_RATE-FIXED_SEASON_COST)</f>
        <v>19817.8841575272</v>
      </c>
      <c r="W159" s="53" t="n">
        <f aca="false">IF(OR($A159&gt;TOMATO_BED_CAP,$B159&gt;CARROT_BED_CAP,W$4&gt;MESCLUN_BED_CAP,$A159+$B159+W$4&gt;TOTAL_BEDS_AVAILABLE,($D159+W$5)&gt;TOTAL_LABOR_HOURS_CAP,MAX(0,($D159+W$5)-PERMANENT_FIELD_LABOR_HOURS)&gt;TEMP_HOURS_CAP),"",$C159+W$6-MIN(($D159+W$5),PERMANENT_FIELD_LABOR_HOURS)*PERMANENT_HOURLY_RATE-MAX(0,($D159+W$5)-PERMANENT_FIELD_LABOR_HOURS)*TEMP_HOURLY_RATE-FIXED_SEASON_COST)</f>
        <v>20482.3986784953</v>
      </c>
      <c r="X159" s="53" t="n">
        <f aca="false">IF(OR($A159&gt;TOMATO_BED_CAP,$B159&gt;CARROT_BED_CAP,X$4&gt;MESCLUN_BED_CAP,$A159+$B159+X$4&gt;TOTAL_BEDS_AVAILABLE,($D159+X$5)&gt;TOTAL_LABOR_HOURS_CAP,MAX(0,($D159+X$5)-PERMANENT_FIELD_LABOR_HOURS)&gt;TEMP_HOURS_CAP),"",$C159+X$6-MIN(($D159+X$5),PERMANENT_FIELD_LABOR_HOURS)*PERMANENT_HOURLY_RATE-MAX(0,($D159+X$5)-PERMANENT_FIELD_LABOR_HOURS)*TEMP_HOURLY_RATE-FIXED_SEASON_COST)</f>
        <v>21120.4085067742</v>
      </c>
      <c r="Y159" s="53" t="n">
        <f aca="false">IF(OR($A159&gt;TOMATO_BED_CAP,$B159&gt;CARROT_BED_CAP,Y$4&gt;MESCLUN_BED_CAP,$A159+$B159+Y$4&gt;TOTAL_BEDS_AVAILABLE,($D159+Y$5)&gt;TOTAL_LABOR_HOURS_CAP,MAX(0,($D159+Y$5)-PERMANENT_FIELD_LABOR_HOURS)&gt;TEMP_HOURS_CAP),"",$C159+Y$6-MIN(($D159+Y$5),PERMANENT_FIELD_LABOR_HOURS)*PERMANENT_HOURLY_RATE-MAX(0,($D159+Y$5)-PERMANENT_FIELD_LABOR_HOURS)*TEMP_HOURLY_RATE-FIXED_SEASON_COST)</f>
        <v>21731.4315696529</v>
      </c>
      <c r="Z159" s="53" t="n">
        <f aca="false">IF(OR($A159&gt;TOMATO_BED_CAP,$B159&gt;CARROT_BED_CAP,Z$4&gt;MESCLUN_BED_CAP,$A159+$B159+Z$4&gt;TOTAL_BEDS_AVAILABLE,($D159+Z$5)&gt;TOTAL_LABOR_HOURS_CAP,MAX(0,($D159+Z$5)-PERMANENT_FIELD_LABOR_HOURS)&gt;TEMP_HOURS_CAP),"",$C159+Z$6-MIN(($D159+Z$5),PERMANENT_FIELD_LABOR_HOURS)*PERMANENT_HOURLY_RATE-MAX(0,($D159+Z$5)-PERMANENT_FIELD_LABOR_HOURS)*TEMP_HOURLY_RATE-FIXED_SEASON_COST)</f>
        <v>22314.9778839606</v>
      </c>
      <c r="AA159" s="53" t="n">
        <f aca="false">IF(OR($A159&gt;TOMATO_BED_CAP,$B159&gt;CARROT_BED_CAP,AA$4&gt;MESCLUN_BED_CAP,$A159+$B159+AA$4&gt;TOTAL_BEDS_AVAILABLE,($D159+AA$5)&gt;TOTAL_LABOR_HOURS_CAP,MAX(0,($D159+AA$5)-PERMANENT_FIELD_LABOR_HOURS)&gt;TEMP_HOURS_CAP),"",$C159+AA$6-MIN(($D159+AA$5),PERMANENT_FIELD_LABOR_HOURS)*PERMANENT_HOURLY_RATE-MAX(0,($D159+AA$5)-PERMANENT_FIELD_LABOR_HOURS)*TEMP_HOURLY_RATE-FIXED_SEASON_COST)</f>
        <v>22870.5494336295</v>
      </c>
      <c r="AB159" s="53" t="n">
        <f aca="false">IF(OR($A159&gt;TOMATO_BED_CAP,$B159&gt;CARROT_BED_CAP,AB$4&gt;MESCLUN_BED_CAP,$A159+$B159+AB$4&gt;TOTAL_BEDS_AVAILABLE,($D159+AB$5)&gt;TOTAL_LABOR_HOURS_CAP,MAX(0,($D159+AB$5)-PERMANENT_FIELD_LABOR_HOURS)&gt;TEMP_HOURS_CAP),"",$C159+AB$6-MIN(($D159+AB$5),PERMANENT_FIELD_LABOR_HOURS)*PERMANENT_HOURLY_RATE-MAX(0,($D159+AB$5)-PERMANENT_FIELD_LABOR_HOURS)*TEMP_HOURLY_RATE-FIXED_SEASON_COST)</f>
        <v>23397.6400454321</v>
      </c>
      <c r="AC159" s="53" t="n">
        <f aca="false">IF(OR($A159&gt;TOMATO_BED_CAP,$B159&gt;CARROT_BED_CAP,AC$4&gt;MESCLUN_BED_CAP,$A159+$B159+AC$4&gt;TOTAL_BEDS_AVAILABLE,($D159+AC$5)&gt;TOTAL_LABOR_HOURS_CAP,MAX(0,($D159+AC$5)-PERMANENT_FIELD_LABOR_HOURS)&gt;TEMP_HOURS_CAP),"",$C159+AC$6-MIN(($D159+AC$5),PERMANENT_FIELD_LABOR_HOURS)*PERMANENT_HOURLY_RATE-MAX(0,($D159+AC$5)-PERMANENT_FIELD_LABOR_HOURS)*TEMP_HOURLY_RATE-FIXED_SEASON_COST)</f>
        <v>23895.735262867</v>
      </c>
      <c r="AD159" s="53" t="n">
        <f aca="false">IF(OR($A159&gt;TOMATO_BED_CAP,$B159&gt;CARROT_BED_CAP,AD$4&gt;MESCLUN_BED_CAP,$A159+$B159+AD$4&gt;TOTAL_BEDS_AVAILABLE,($D159+AD$5)&gt;TOTAL_LABOR_HOURS_CAP,MAX(0,($D159+AD$5)-PERMANENT_FIELD_LABOR_HOURS)&gt;TEMP_HOURS_CAP),"",$C159+AD$6-MIN(($D159+AD$5),PERMANENT_FIELD_LABOR_HOURS)*PERMANENT_HOURLY_RATE-MAX(0,($D159+AD$5)-PERMANENT_FIELD_LABOR_HOURS)*TEMP_HOURLY_RATE-FIXED_SEASON_COST)</f>
        <v>24364.3122181669</v>
      </c>
      <c r="AE159" s="53" t="n">
        <f aca="false">IF(OR($A159&gt;TOMATO_BED_CAP,$B159&gt;CARROT_BED_CAP,AE$4&gt;MESCLUN_BED_CAP,$A159+$B159+AE$4&gt;TOTAL_BEDS_AVAILABLE,($D159+AE$5)&gt;TOTAL_LABOR_HOURS_CAP,MAX(0,($D159+AE$5)-PERMANENT_FIELD_LABOR_HOURS)&gt;TEMP_HOURS_CAP),"",$C159+AE$6-MIN(($D159+AE$5),PERMANENT_FIELD_LABOR_HOURS)*PERMANENT_HOURLY_RATE-MAX(0,($D159+AE$5)-PERMANENT_FIELD_LABOR_HOURS)*TEMP_HOURLY_RATE-FIXED_SEASON_COST)</f>
        <v>24802.8395024008</v>
      </c>
      <c r="AF159" s="53" t="n">
        <f aca="false">IF(OR($A159&gt;TOMATO_BED_CAP,$B159&gt;CARROT_BED_CAP,AF$4&gt;MESCLUN_BED_CAP,$A159+$B159+AF$4&gt;TOTAL_BEDS_AVAILABLE,($D159+AF$5)&gt;TOTAL_LABOR_HOURS_CAP,MAX(0,($D159+AF$5)-PERMANENT_FIELD_LABOR_HOURS)&gt;TEMP_HOURS_CAP),"",$C159+AF$6-MIN(($D159+AF$5),PERMANENT_FIELD_LABOR_HOURS)*PERMANENT_HOURLY_RATE-MAX(0,($D159+AF$5)-PERMANENT_FIELD_LABOR_HOURS)*TEMP_HOURLY_RATE-FIXED_SEASON_COST)</f>
        <v>25210.7770336428</v>
      </c>
      <c r="AG159" s="53" t="n">
        <f aca="false">IF(OR($A159&gt;TOMATO_BED_CAP,$B159&gt;CARROT_BED_CAP,AG$4&gt;MESCLUN_BED_CAP,$A159+$B159+AG$4&gt;TOTAL_BEDS_AVAILABLE,($D159+AG$5)&gt;TOTAL_LABOR_HOURS_CAP,MAX(0,($D159+AG$5)-PERMANENT_FIELD_LABOR_HOURS)&gt;TEMP_HOURS_CAP),"",$C159+AG$6-MIN(($D159+AG$5),PERMANENT_FIELD_LABOR_HOURS)*PERMANENT_HOURLY_RATE-MAX(0,($D159+AG$5)-PERMANENT_FIELD_LABOR_HOURS)*TEMP_HOURLY_RATE-FIXED_SEASON_COST)</f>
        <v>25587.5759231798</v>
      </c>
      <c r="AH159" s="53" t="n">
        <f aca="false">IF(OR($A159&gt;TOMATO_BED_CAP,$B159&gt;CARROT_BED_CAP,AH$4&gt;MESCLUN_BED_CAP,$A159+$B159+AH$4&gt;TOTAL_BEDS_AVAILABLE,($D159+AH$5)&gt;TOTAL_LABOR_HOURS_CAP,MAX(0,($D159+AH$5)-PERMANENT_FIELD_LABOR_HOURS)&gt;TEMP_HOURS_CAP),"",$C159+AH$6-MIN(($D159+AH$5),PERMANENT_FIELD_LABOR_HOURS)*PERMANENT_HOURLY_RATE-MAX(0,($D159+AH$5)-PERMANENT_FIELD_LABOR_HOURS)*TEMP_HOURLY_RATE-FIXED_SEASON_COST)</f>
        <v>25932.67833973</v>
      </c>
      <c r="AI159" s="53" t="n">
        <f aca="false">IF(OR($A159&gt;TOMATO_BED_CAP,$B159&gt;CARROT_BED_CAP,AI$4&gt;MESCLUN_BED_CAP,$A159+$B159+AI$4&gt;TOTAL_BEDS_AVAILABLE,($D159+AI$5)&gt;TOTAL_LABOR_HOURS_CAP,MAX(0,($D159+AI$5)-PERMANENT_FIELD_LABOR_HOURS)&gt;TEMP_HOURS_CAP),"",$C159+AI$6-MIN(($D159+AI$5),PERMANENT_FIELD_LABOR_HOURS)*PERMANENT_HOURLY_RATE-MAX(0,($D159+AI$5)-PERMANENT_FIELD_LABOR_HOURS)*TEMP_HOURLY_RATE-FIXED_SEASON_COST)</f>
        <v>26245.5173716423</v>
      </c>
      <c r="AJ159" s="53" t="n">
        <f aca="false">IF(OR($A159&gt;TOMATO_BED_CAP,$B159&gt;CARROT_BED_CAP,AJ$4&gt;MESCLUN_BED_CAP,$A159+$B159+AJ$4&gt;TOTAL_BEDS_AVAILABLE,($D159+AJ$5)&gt;TOTAL_LABOR_HOURS_CAP,MAX(0,($D159+AJ$5)-PERMANENT_FIELD_LABOR_HOURS)&gt;TEMP_HOURS_CAP),"",$C159+AJ$6-MIN(($D159+AJ$5),PERMANENT_FIELD_LABOR_HOURS)*PERMANENT_HOURLY_RATE-MAX(0,($D159+AJ$5)-PERMANENT_FIELD_LABOR_HOURS)*TEMP_HOURLY_RATE-FIXED_SEASON_COST)</f>
        <v>26525.516887048</v>
      </c>
    </row>
    <row r="160" customFormat="false" ht="15" hidden="false" customHeight="false" outlineLevel="0" collapsed="false">
      <c r="A160" s="21" t="n">
        <f aca="false">INT((ROW()-ROW($A$8))/(20+1))</f>
        <v>7</v>
      </c>
      <c r="B160" s="21" t="n">
        <f aca="false">MOD(ROW()-ROW($A$8),20+1)</f>
        <v>5</v>
      </c>
      <c r="C160" s="13" t="n">
        <f aca="false">A160*(TOMATO_REVENUE_PER_BED-TOMATO_FERTILIZER_PER_BED)+B160*(CARROT_REVENUE_PER_BED-CARROT_FERTILIZER_PER_BED)</f>
        <v>63710</v>
      </c>
      <c r="D160" s="14" t="n">
        <f aca="false">INDEX(TOMATO_SCHED_LABOR_HRS,A160+1)+INDEX(CARROT_SCHED_LABOR_HRS,B160+1)</f>
        <v>1397.33512044082</v>
      </c>
      <c r="E160" s="13" t="n">
        <f aca="false">IF(COUNT(F160:AJ160)=0,"",MAX(F160:AJ160))</f>
        <v>27533.0516040199</v>
      </c>
      <c r="F160" s="53" t="n">
        <f aca="false">IF(OR($A160&gt;TOMATO_BED_CAP,$B160&gt;CARROT_BED_CAP,F$4&gt;MESCLUN_BED_CAP,$A160+$B160+F$4&gt;TOTAL_BEDS_AVAILABLE,($D160+F$5)&gt;TOTAL_LABOR_HOURS_CAP,MAX(0,($D160+F$5)-PERMANENT_FIELD_LABOR_HOURS)&gt;TEMP_HOURS_CAP),"",$C160+F$6-MIN(($D160+F$5),PERMANENT_FIELD_LABOR_HOURS)*PERMANENT_HOURLY_RATE-MAX(0,($D160+F$5)-PERMANENT_FIELD_LABOR_HOURS)*TEMP_HOURLY_RATE-FIXED_SEASON_COST)</f>
        <v>6953.06230914735</v>
      </c>
      <c r="G160" s="53" t="n">
        <f aca="false">IF(OR($A160&gt;TOMATO_BED_CAP,$B160&gt;CARROT_BED_CAP,G$4&gt;MESCLUN_BED_CAP,$A160+$B160+G$4&gt;TOTAL_BEDS_AVAILABLE,($D160+G$5)&gt;TOTAL_LABOR_HOURS_CAP,MAX(0,($D160+G$5)-PERMANENT_FIELD_LABOR_HOURS)&gt;TEMP_HOURS_CAP),"",$C160+G$6-MIN(($D160+G$5),PERMANENT_FIELD_LABOR_HOURS)*PERMANENT_HOURLY_RATE-MAX(0,($D160+G$5)-PERMANENT_FIELD_LABOR_HOURS)*TEMP_HOURLY_RATE-FIXED_SEASON_COST)</f>
        <v>7982.09730914736</v>
      </c>
      <c r="H160" s="53" t="n">
        <f aca="false">IF(OR($A160&gt;TOMATO_BED_CAP,$B160&gt;CARROT_BED_CAP,H$4&gt;MESCLUN_BED_CAP,$A160+$B160+H$4&gt;TOTAL_BEDS_AVAILABLE,($D160+H$5)&gt;TOTAL_LABOR_HOURS_CAP,MAX(0,($D160+H$5)-PERMANENT_FIELD_LABOR_HOURS)&gt;TEMP_HOURS_CAP),"",$C160+H$6-MIN(($D160+H$5),PERMANENT_FIELD_LABOR_HOURS)*PERMANENT_HOURLY_RATE-MAX(0,($D160+H$5)-PERMANENT_FIELD_LABOR_HOURS)*TEMP_HOURLY_RATE-FIXED_SEASON_COST)</f>
        <v>8991.35818414736</v>
      </c>
      <c r="I160" s="53" t="n">
        <f aca="false">IF(OR($A160&gt;TOMATO_BED_CAP,$B160&gt;CARROT_BED_CAP,I$4&gt;MESCLUN_BED_CAP,$A160+$B160+I$4&gt;TOTAL_BEDS_AVAILABLE,($D160+I$5)&gt;TOTAL_LABOR_HOURS_CAP,MAX(0,($D160+I$5)-PERMANENT_FIELD_LABOR_HOURS)&gt;TEMP_HOURS_CAP),"",$C160+I$6-MIN(($D160+I$5),PERMANENT_FIELD_LABOR_HOURS)*PERMANENT_HOURLY_RATE-MAX(0,($D160+I$5)-PERMANENT_FIELD_LABOR_HOURS)*TEMP_HOURLY_RATE-FIXED_SEASON_COST)</f>
        <v>9980.47416930361</v>
      </c>
      <c r="J160" s="53" t="n">
        <f aca="false">IF(OR($A160&gt;TOMATO_BED_CAP,$B160&gt;CARROT_BED_CAP,J$4&gt;MESCLUN_BED_CAP,$A160+$B160+J$4&gt;TOTAL_BEDS_AVAILABLE,($D160+J$5)&gt;TOTAL_LABOR_HOURS_CAP,MAX(0,($D160+J$5)-PERMANENT_FIELD_LABOR_HOURS)&gt;TEMP_HOURS_CAP),"",$C160+J$6-MIN(($D160+J$5),PERMANENT_FIELD_LABOR_HOURS)*PERMANENT_HOURLY_RATE-MAX(0,($D160+J$5)-PERMANENT_FIELD_LABOR_HOURS)*TEMP_HOURLY_RATE-FIXED_SEASON_COST)</f>
        <v>10949.0683203583</v>
      </c>
      <c r="K160" s="53" t="n">
        <f aca="false">IF(OR($A160&gt;TOMATO_BED_CAP,$B160&gt;CARROT_BED_CAP,K$4&gt;MESCLUN_BED_CAP,$A160+$B160+K$4&gt;TOTAL_BEDS_AVAILABLE,($D160+K$5)&gt;TOTAL_LABOR_HOURS_CAP,MAX(0,($D160+K$5)-PERMANENT_FIELD_LABOR_HOURS)&gt;TEMP_HOURS_CAP),"",$C160+K$6-MIN(($D160+K$5),PERMANENT_FIELD_LABOR_HOURS)*PERMANENT_HOURLY_RATE-MAX(0,($D160+K$5)-PERMANENT_FIELD_LABOR_HOURS)*TEMP_HOURLY_RATE-FIXED_SEASON_COST)</f>
        <v>11896.7574170862</v>
      </c>
      <c r="L160" s="53" t="n">
        <f aca="false">IF(OR($A160&gt;TOMATO_BED_CAP,$B160&gt;CARROT_BED_CAP,L$4&gt;MESCLUN_BED_CAP,$A160+$B160+L$4&gt;TOTAL_BEDS_AVAILABLE,($D160+L$5)&gt;TOTAL_LABOR_HOURS_CAP,MAX(0,($D160+L$5)-PERMANENT_FIELD_LABOR_HOURS)&gt;TEMP_HOURS_CAP),"",$C160+L$6-MIN(($D160+L$5),PERMANENT_FIELD_LABOR_HOURS)*PERMANENT_HOURLY_RATE-MAX(0,($D160+L$5)-PERMANENT_FIELD_LABOR_HOURS)*TEMP_HOURLY_RATE-FIXED_SEASON_COST)</f>
        <v>12823.1518652931</v>
      </c>
      <c r="M160" s="53" t="n">
        <f aca="false">IF(OR($A160&gt;TOMATO_BED_CAP,$B160&gt;CARROT_BED_CAP,M$4&gt;MESCLUN_BED_CAP,$A160+$B160+M$4&gt;TOTAL_BEDS_AVAILABLE,($D160+M$5)&gt;TOTAL_LABOR_HOURS_CAP,MAX(0,($D160+M$5)-PERMANENT_FIELD_LABOR_HOURS)&gt;TEMP_HOURS_CAP),"",$C160+M$6-MIN(($D160+M$5),PERMANENT_FIELD_LABOR_HOURS)*PERMANENT_HOURLY_RATE-MAX(0,($D160+M$5)-PERMANENT_FIELD_LABOR_HOURS)*TEMP_HOURLY_RATE-FIXED_SEASON_COST)</f>
        <v>13727.8555973445</v>
      </c>
      <c r="N160" s="53" t="n">
        <f aca="false">IF(OR($A160&gt;TOMATO_BED_CAP,$B160&gt;CARROT_BED_CAP,N$4&gt;MESCLUN_BED_CAP,$A160+$B160+N$4&gt;TOTAL_BEDS_AVAILABLE,($D160+N$5)&gt;TOTAL_LABOR_HOURS_CAP,MAX(0,($D160+N$5)-PERMANENT_FIELD_LABOR_HOURS)&gt;TEMP_HOURS_CAP),"",$C160+N$6-MIN(($D160+N$5),PERMANENT_FIELD_LABOR_HOURS)*PERMANENT_HOURLY_RATE-MAX(0,($D160+N$5)-PERMANENT_FIELD_LABOR_HOURS)*TEMP_HOURLY_RATE-FIXED_SEASON_COST)</f>
        <v>14610.465971204</v>
      </c>
      <c r="O160" s="53" t="n">
        <f aca="false">IF(OR($A160&gt;TOMATO_BED_CAP,$B160&gt;CARROT_BED_CAP,O$4&gt;MESCLUN_BED_CAP,$A160+$B160+O$4&gt;TOTAL_BEDS_AVAILABLE,($D160+O$5)&gt;TOTAL_LABOR_HOURS_CAP,MAX(0,($D160+O$5)-PERMANENT_FIELD_LABOR_HOURS)&gt;TEMP_HOURS_CAP),"",$C160+O$6-MIN(($D160+O$5),PERMANENT_FIELD_LABOR_HOURS)*PERMANENT_HOURLY_RATE-MAX(0,($D160+O$5)-PERMANENT_FIELD_LABOR_HOURS)*TEMP_HOURLY_RATE-FIXED_SEASON_COST)</f>
        <v>15470.5736679588</v>
      </c>
      <c r="P160" s="53" t="n">
        <f aca="false">IF(OR($A160&gt;TOMATO_BED_CAP,$B160&gt;CARROT_BED_CAP,P$4&gt;MESCLUN_BED_CAP,$A160+$B160+P$4&gt;TOTAL_BEDS_AVAILABLE,($D160+P$5)&gt;TOTAL_LABOR_HOURS_CAP,MAX(0,($D160+P$5)-PERMANENT_FIELD_LABOR_HOURS)&gt;TEMP_HOURS_CAP),"",$C160+P$6-MIN(($D160+P$5),PERMANENT_FIELD_LABOR_HOURS)*PERMANENT_HOURLY_RATE-MAX(0,($D160+P$5)-PERMANENT_FIELD_LABOR_HOURS)*TEMP_HOURLY_RATE-FIXED_SEASON_COST)</f>
        <v>16307.7625878102</v>
      </c>
      <c r="Q160" s="53" t="n">
        <f aca="false">IF(OR($A160&gt;TOMATO_BED_CAP,$B160&gt;CARROT_BED_CAP,Q$4&gt;MESCLUN_BED_CAP,$A160+$B160+Q$4&gt;TOTAL_BEDS_AVAILABLE,($D160+Q$5)&gt;TOTAL_LABOR_HOURS_CAP,MAX(0,($D160+Q$5)-PERMANENT_FIELD_LABOR_HOURS)&gt;TEMP_HOURS_CAP),"",$C160+Q$6-MIN(($D160+Q$5),PERMANENT_FIELD_LABOR_HOURS)*PERMANENT_HOURLY_RATE-MAX(0,($D160+Q$5)-PERMANENT_FIELD_LABOR_HOURS)*TEMP_HOURLY_RATE-FIXED_SEASON_COST)</f>
        <v>17121.6097445081</v>
      </c>
      <c r="R160" s="53" t="n">
        <f aca="false">IF(OR($A160&gt;TOMATO_BED_CAP,$B160&gt;CARROT_BED_CAP,R$4&gt;MESCLUN_BED_CAP,$A160+$B160+R$4&gt;TOTAL_BEDS_AVAILABLE,($D160+R$5)&gt;TOTAL_LABOR_HOURS_CAP,MAX(0,($D160+R$5)-PERMANENT_FIELD_LABOR_HOURS)&gt;TEMP_HOURS_CAP),"",$C160+R$6-MIN(($D160+R$5),PERMANENT_FIELD_LABOR_HOURS)*PERMANENT_HOURLY_RATE-MAX(0,($D160+R$5)-PERMANENT_FIELD_LABOR_HOURS)*TEMP_HOURLY_RATE-FIXED_SEASON_COST)</f>
        <v>17911.6851582049</v>
      </c>
      <c r="S160" s="53" t="n">
        <f aca="false">IF(OR($A160&gt;TOMATO_BED_CAP,$B160&gt;CARROT_BED_CAP,S$4&gt;MESCLUN_BED_CAP,$A160+$B160+S$4&gt;TOTAL_BEDS_AVAILABLE,($D160+S$5)&gt;TOTAL_LABOR_HOURS_CAP,MAX(0,($D160+S$5)-PERMANENT_FIELD_LABOR_HOURS)&gt;TEMP_HOURS_CAP),"",$C160+S$6-MIN(($D160+S$5),PERMANENT_FIELD_LABOR_HOURS)*PERMANENT_HOURLY_RATE-MAX(0,($D160+S$5)-PERMANENT_FIELD_LABOR_HOURS)*TEMP_HOURLY_RATE-FIXED_SEASON_COST)</f>
        <v>18677.5517467073</v>
      </c>
      <c r="T160" s="53" t="n">
        <f aca="false">IF(OR($A160&gt;TOMATO_BED_CAP,$B160&gt;CARROT_BED_CAP,T$4&gt;MESCLUN_BED_CAP,$A160+$B160+T$4&gt;TOTAL_BEDS_AVAILABLE,($D160+T$5)&gt;TOTAL_LABOR_HOURS_CAP,MAX(0,($D160+T$5)-PERMANENT_FIELD_LABOR_HOURS)&gt;TEMP_HOURS_CAP),"",$C160+T$6-MIN(($D160+T$5),PERMANENT_FIELD_LABOR_HOURS)*PERMANENT_HOURLY_RATE-MAX(0,($D160+T$5)-PERMANENT_FIELD_LABOR_HOURS)*TEMP_HOURLY_RATE-FIXED_SEASON_COST)</f>
        <v>19418.7652151022</v>
      </c>
      <c r="U160" s="53" t="n">
        <f aca="false">IF(OR($A160&gt;TOMATO_BED_CAP,$B160&gt;CARROT_BED_CAP,U$4&gt;MESCLUN_BED_CAP,$A160+$B160+U$4&gt;TOTAL_BEDS_AVAILABLE,($D160+U$5)&gt;TOTAL_LABOR_HOURS_CAP,MAX(0,($D160+U$5)-PERMANENT_FIELD_LABOR_HOURS)&gt;TEMP_HOURS_CAP),"",$C160+U$6-MIN(($D160+U$5),PERMANENT_FIELD_LABOR_HOURS)*PERMANENT_HOURLY_RATE-MAX(0,($D160+U$5)-PERMANENT_FIELD_LABOR_HOURS)*TEMP_HOURLY_RATE-FIXED_SEASON_COST)</f>
        <v>20134.8739437323</v>
      </c>
      <c r="V160" s="53" t="n">
        <f aca="false">IF(OR($A160&gt;TOMATO_BED_CAP,$B160&gt;CARROT_BED_CAP,V$4&gt;MESCLUN_BED_CAP,$A160+$B160+V$4&gt;TOTAL_BEDS_AVAILABLE,($D160+V$5)&gt;TOTAL_LABOR_HOURS_CAP,MAX(0,($D160+V$5)-PERMANENT_FIELD_LABOR_HOURS)&gt;TEMP_HOURS_CAP),"",$C160+V$6-MIN(($D160+V$5),PERMANENT_FIELD_LABOR_HOURS)*PERMANENT_HOURLY_RATE-MAX(0,($D160+V$5)-PERMANENT_FIELD_LABOR_HOURS)*TEMP_HOURLY_RATE-FIXED_SEASON_COST)</f>
        <v>20825.4188744991</v>
      </c>
      <c r="W160" s="53" t="n">
        <f aca="false">IF(OR($A160&gt;TOMATO_BED_CAP,$B160&gt;CARROT_BED_CAP,W$4&gt;MESCLUN_BED_CAP,$A160+$B160+W$4&gt;TOTAL_BEDS_AVAILABLE,($D160+W$5)&gt;TOTAL_LABOR_HOURS_CAP,MAX(0,($D160+W$5)-PERMANENT_FIELD_LABOR_HOURS)&gt;TEMP_HOURS_CAP),"",$C160+W$6-MIN(($D160+W$5),PERMANENT_FIELD_LABOR_HOURS)*PERMANENT_HOURLY_RATE-MAX(0,($D160+W$5)-PERMANENT_FIELD_LABOR_HOURS)*TEMP_HOURLY_RATE-FIXED_SEASON_COST)</f>
        <v>21489.9333954671</v>
      </c>
      <c r="X160" s="53" t="n">
        <f aca="false">IF(OR($A160&gt;TOMATO_BED_CAP,$B160&gt;CARROT_BED_CAP,X$4&gt;MESCLUN_BED_CAP,$A160+$B160+X$4&gt;TOTAL_BEDS_AVAILABLE,($D160+X$5)&gt;TOTAL_LABOR_HOURS_CAP,MAX(0,($D160+X$5)-PERMANENT_FIELD_LABOR_HOURS)&gt;TEMP_HOURS_CAP),"",$C160+X$6-MIN(($D160+X$5),PERMANENT_FIELD_LABOR_HOURS)*PERMANENT_HOURLY_RATE-MAX(0,($D160+X$5)-PERMANENT_FIELD_LABOR_HOURS)*TEMP_HOURLY_RATE-FIXED_SEASON_COST)</f>
        <v>22127.9432237461</v>
      </c>
      <c r="Y160" s="53" t="n">
        <f aca="false">IF(OR($A160&gt;TOMATO_BED_CAP,$B160&gt;CARROT_BED_CAP,Y$4&gt;MESCLUN_BED_CAP,$A160+$B160+Y$4&gt;TOTAL_BEDS_AVAILABLE,($D160+Y$5)&gt;TOTAL_LABOR_HOURS_CAP,MAX(0,($D160+Y$5)-PERMANENT_FIELD_LABOR_HOURS)&gt;TEMP_HOURS_CAP),"",$C160+Y$6-MIN(($D160+Y$5),PERMANENT_FIELD_LABOR_HOURS)*PERMANENT_HOURLY_RATE-MAX(0,($D160+Y$5)-PERMANENT_FIELD_LABOR_HOURS)*TEMP_HOURLY_RATE-FIXED_SEASON_COST)</f>
        <v>22738.9662866247</v>
      </c>
      <c r="Z160" s="53" t="n">
        <f aca="false">IF(OR($A160&gt;TOMATO_BED_CAP,$B160&gt;CARROT_BED_CAP,Z$4&gt;MESCLUN_BED_CAP,$A160+$B160+Z$4&gt;TOTAL_BEDS_AVAILABLE,($D160+Z$5)&gt;TOTAL_LABOR_HOURS_CAP,MAX(0,($D160+Z$5)-PERMANENT_FIELD_LABOR_HOURS)&gt;TEMP_HOURS_CAP),"",$C160+Z$6-MIN(($D160+Z$5),PERMANENT_FIELD_LABOR_HOURS)*PERMANENT_HOURLY_RATE-MAX(0,($D160+Z$5)-PERMANENT_FIELD_LABOR_HOURS)*TEMP_HOURLY_RATE-FIXED_SEASON_COST)</f>
        <v>23322.5126009324</v>
      </c>
      <c r="AA160" s="53" t="n">
        <f aca="false">IF(OR($A160&gt;TOMATO_BED_CAP,$B160&gt;CARROT_BED_CAP,AA$4&gt;MESCLUN_BED_CAP,$A160+$B160+AA$4&gt;TOTAL_BEDS_AVAILABLE,($D160+AA$5)&gt;TOTAL_LABOR_HOURS_CAP,MAX(0,($D160+AA$5)-PERMANENT_FIELD_LABOR_HOURS)&gt;TEMP_HOURS_CAP),"",$C160+AA$6-MIN(($D160+AA$5),PERMANENT_FIELD_LABOR_HOURS)*PERMANENT_HOURLY_RATE-MAX(0,($D160+AA$5)-PERMANENT_FIELD_LABOR_HOURS)*TEMP_HOURLY_RATE-FIXED_SEASON_COST)</f>
        <v>23878.0841506014</v>
      </c>
      <c r="AB160" s="53" t="n">
        <f aca="false">IF(OR($A160&gt;TOMATO_BED_CAP,$B160&gt;CARROT_BED_CAP,AB$4&gt;MESCLUN_BED_CAP,$A160+$B160+AB$4&gt;TOTAL_BEDS_AVAILABLE,($D160+AB$5)&gt;TOTAL_LABOR_HOURS_CAP,MAX(0,($D160+AB$5)-PERMANENT_FIELD_LABOR_HOURS)&gt;TEMP_HOURS_CAP),"",$C160+AB$6-MIN(($D160+AB$5),PERMANENT_FIELD_LABOR_HOURS)*PERMANENT_HOURLY_RATE-MAX(0,($D160+AB$5)-PERMANENT_FIELD_LABOR_HOURS)*TEMP_HOURLY_RATE-FIXED_SEASON_COST)</f>
        <v>24405.1747624039</v>
      </c>
      <c r="AC160" s="53" t="n">
        <f aca="false">IF(OR($A160&gt;TOMATO_BED_CAP,$B160&gt;CARROT_BED_CAP,AC$4&gt;MESCLUN_BED_CAP,$A160+$B160+AC$4&gt;TOTAL_BEDS_AVAILABLE,($D160+AC$5)&gt;TOTAL_LABOR_HOURS_CAP,MAX(0,($D160+AC$5)-PERMANENT_FIELD_LABOR_HOURS)&gt;TEMP_HOURS_CAP),"",$C160+AC$6-MIN(($D160+AC$5),PERMANENT_FIELD_LABOR_HOURS)*PERMANENT_HOURLY_RATE-MAX(0,($D160+AC$5)-PERMANENT_FIELD_LABOR_HOURS)*TEMP_HOURLY_RATE-FIXED_SEASON_COST)</f>
        <v>24903.2699798388</v>
      </c>
      <c r="AD160" s="53" t="n">
        <f aca="false">IF(OR($A160&gt;TOMATO_BED_CAP,$B160&gt;CARROT_BED_CAP,AD$4&gt;MESCLUN_BED_CAP,$A160+$B160+AD$4&gt;TOTAL_BEDS_AVAILABLE,($D160+AD$5)&gt;TOTAL_LABOR_HOURS_CAP,MAX(0,($D160+AD$5)-PERMANENT_FIELD_LABOR_HOURS)&gt;TEMP_HOURS_CAP),"",$C160+AD$6-MIN(($D160+AD$5),PERMANENT_FIELD_LABOR_HOURS)*PERMANENT_HOURLY_RATE-MAX(0,($D160+AD$5)-PERMANENT_FIELD_LABOR_HOURS)*TEMP_HOURLY_RATE-FIXED_SEASON_COST)</f>
        <v>25371.8469351388</v>
      </c>
      <c r="AE160" s="53" t="n">
        <f aca="false">IF(OR($A160&gt;TOMATO_BED_CAP,$B160&gt;CARROT_BED_CAP,AE$4&gt;MESCLUN_BED_CAP,$A160+$B160+AE$4&gt;TOTAL_BEDS_AVAILABLE,($D160+AE$5)&gt;TOTAL_LABOR_HOURS_CAP,MAX(0,($D160+AE$5)-PERMANENT_FIELD_LABOR_HOURS)&gt;TEMP_HOURS_CAP),"",$C160+AE$6-MIN(($D160+AE$5),PERMANENT_FIELD_LABOR_HOURS)*PERMANENT_HOURLY_RATE-MAX(0,($D160+AE$5)-PERMANENT_FIELD_LABOR_HOURS)*TEMP_HOURLY_RATE-FIXED_SEASON_COST)</f>
        <v>25810.3742193727</v>
      </c>
      <c r="AF160" s="53" t="n">
        <f aca="false">IF(OR($A160&gt;TOMATO_BED_CAP,$B160&gt;CARROT_BED_CAP,AF$4&gt;MESCLUN_BED_CAP,$A160+$B160+AF$4&gt;TOTAL_BEDS_AVAILABLE,($D160+AF$5)&gt;TOTAL_LABOR_HOURS_CAP,MAX(0,($D160+AF$5)-PERMANENT_FIELD_LABOR_HOURS)&gt;TEMP_HOURS_CAP),"",$C160+AF$6-MIN(($D160+AF$5),PERMANENT_FIELD_LABOR_HOURS)*PERMANENT_HOURLY_RATE-MAX(0,($D160+AF$5)-PERMANENT_FIELD_LABOR_HOURS)*TEMP_HOURLY_RATE-FIXED_SEASON_COST)</f>
        <v>26218.3117506147</v>
      </c>
      <c r="AG160" s="53" t="n">
        <f aca="false">IF(OR($A160&gt;TOMATO_BED_CAP,$B160&gt;CARROT_BED_CAP,AG$4&gt;MESCLUN_BED_CAP,$A160+$B160+AG$4&gt;TOTAL_BEDS_AVAILABLE,($D160+AG$5)&gt;TOTAL_LABOR_HOURS_CAP,MAX(0,($D160+AG$5)-PERMANENT_FIELD_LABOR_HOURS)&gt;TEMP_HOURS_CAP),"",$C160+AG$6-MIN(($D160+AG$5),PERMANENT_FIELD_LABOR_HOURS)*PERMANENT_HOURLY_RATE-MAX(0,($D160+AG$5)-PERMANENT_FIELD_LABOR_HOURS)*TEMP_HOURLY_RATE-FIXED_SEASON_COST)</f>
        <v>26595.1106401517</v>
      </c>
      <c r="AH160" s="53" t="n">
        <f aca="false">IF(OR($A160&gt;TOMATO_BED_CAP,$B160&gt;CARROT_BED_CAP,AH$4&gt;MESCLUN_BED_CAP,$A160+$B160+AH$4&gt;TOTAL_BEDS_AVAILABLE,($D160+AH$5)&gt;TOTAL_LABOR_HOURS_CAP,MAX(0,($D160+AH$5)-PERMANENT_FIELD_LABOR_HOURS)&gt;TEMP_HOURS_CAP),"",$C160+AH$6-MIN(($D160+AH$5),PERMANENT_FIELD_LABOR_HOURS)*PERMANENT_HOURLY_RATE-MAX(0,($D160+AH$5)-PERMANENT_FIELD_LABOR_HOURS)*TEMP_HOURLY_RATE-FIXED_SEASON_COST)</f>
        <v>26940.2130567019</v>
      </c>
      <c r="AI160" s="53" t="n">
        <f aca="false">IF(OR($A160&gt;TOMATO_BED_CAP,$B160&gt;CARROT_BED_CAP,AI$4&gt;MESCLUN_BED_CAP,$A160+$B160+AI$4&gt;TOTAL_BEDS_AVAILABLE,($D160+AI$5)&gt;TOTAL_LABOR_HOURS_CAP,MAX(0,($D160+AI$5)-PERMANENT_FIELD_LABOR_HOURS)&gt;TEMP_HOURS_CAP),"",$C160+AI$6-MIN(($D160+AI$5),PERMANENT_FIELD_LABOR_HOURS)*PERMANENT_HOURLY_RATE-MAX(0,($D160+AI$5)-PERMANENT_FIELD_LABOR_HOURS)*TEMP_HOURLY_RATE-FIXED_SEASON_COST)</f>
        <v>27253.0520886141</v>
      </c>
      <c r="AJ160" s="53" t="n">
        <f aca="false">IF(OR($A160&gt;TOMATO_BED_CAP,$B160&gt;CARROT_BED_CAP,AJ$4&gt;MESCLUN_BED_CAP,$A160+$B160+AJ$4&gt;TOTAL_BEDS_AVAILABLE,($D160+AJ$5)&gt;TOTAL_LABOR_HOURS_CAP,MAX(0,($D160+AJ$5)-PERMANENT_FIELD_LABOR_HOURS)&gt;TEMP_HOURS_CAP),"",$C160+AJ$6-MIN(($D160+AJ$5),PERMANENT_FIELD_LABOR_HOURS)*PERMANENT_HOURLY_RATE-MAX(0,($D160+AJ$5)-PERMANENT_FIELD_LABOR_HOURS)*TEMP_HOURLY_RATE-FIXED_SEASON_COST)</f>
        <v>27533.0516040199</v>
      </c>
    </row>
    <row r="161" customFormat="false" ht="15" hidden="false" customHeight="false" outlineLevel="0" collapsed="false">
      <c r="A161" s="21" t="n">
        <f aca="false">INT((ROW()-ROW($A$8))/(20+1))</f>
        <v>7</v>
      </c>
      <c r="B161" s="21" t="n">
        <f aca="false">MOD(ROW()-ROW($A$8),20+1)</f>
        <v>6</v>
      </c>
      <c r="C161" s="13" t="n">
        <f aca="false">A161*(TOMATO_REVENUE_PER_BED-TOMATO_FERTILIZER_PER_BED)+B161*(CARROT_REVENUE_PER_BED-CARROT_FERTILIZER_PER_BED)</f>
        <v>65364</v>
      </c>
      <c r="D161" s="14" t="n">
        <f aca="false">INDEX(TOMATO_SCHED_LABOR_HRS,A161+1)+INDEX(CARROT_SCHED_LABOR_HRS,B161+1)</f>
        <v>1436.35309035221</v>
      </c>
      <c r="E161" s="13" t="n">
        <f aca="false">IF(COUNT(F161:AJ161)=0,"",MAX(F161:AJ161))</f>
        <v>28509.6996463582</v>
      </c>
      <c r="F161" s="53" t="n">
        <f aca="false">IF(OR($A161&gt;TOMATO_BED_CAP,$B161&gt;CARROT_BED_CAP,F$4&gt;MESCLUN_BED_CAP,$A161+$B161+F$4&gt;TOTAL_BEDS_AVAILABLE,($D161+F$5)&gt;TOTAL_LABOR_HOURS_CAP,MAX(0,($D161+F$5)-PERMANENT_FIELD_LABOR_HOURS)&gt;TEMP_HOURS_CAP),"",$C161+F$6-MIN(($D161+F$5),PERMANENT_FIELD_LABOR_HOURS)*PERMANENT_HOURLY_RATE-MAX(0,($D161+F$5)-PERMANENT_FIELD_LABOR_HOURS)*TEMP_HOURLY_RATE-FIXED_SEASON_COST)</f>
        <v>7929.71035148565</v>
      </c>
      <c r="G161" s="53" t="n">
        <f aca="false">IF(OR($A161&gt;TOMATO_BED_CAP,$B161&gt;CARROT_BED_CAP,G$4&gt;MESCLUN_BED_CAP,$A161+$B161+G$4&gt;TOTAL_BEDS_AVAILABLE,($D161+G$5)&gt;TOTAL_LABOR_HOURS_CAP,MAX(0,($D161+G$5)-PERMANENT_FIELD_LABOR_HOURS)&gt;TEMP_HOURS_CAP),"",$C161+G$6-MIN(($D161+G$5),PERMANENT_FIELD_LABOR_HOURS)*PERMANENT_HOURLY_RATE-MAX(0,($D161+G$5)-PERMANENT_FIELD_LABOR_HOURS)*TEMP_HOURLY_RATE-FIXED_SEASON_COST)</f>
        <v>8958.74535148565</v>
      </c>
      <c r="H161" s="53" t="n">
        <f aca="false">IF(OR($A161&gt;TOMATO_BED_CAP,$B161&gt;CARROT_BED_CAP,H$4&gt;MESCLUN_BED_CAP,$A161+$B161+H$4&gt;TOTAL_BEDS_AVAILABLE,($D161+H$5)&gt;TOTAL_LABOR_HOURS_CAP,MAX(0,($D161+H$5)-PERMANENT_FIELD_LABOR_HOURS)&gt;TEMP_HOURS_CAP),"",$C161+H$6-MIN(($D161+H$5),PERMANENT_FIELD_LABOR_HOURS)*PERMANENT_HOURLY_RATE-MAX(0,($D161+H$5)-PERMANENT_FIELD_LABOR_HOURS)*TEMP_HOURLY_RATE-FIXED_SEASON_COST)</f>
        <v>9968.00622648565</v>
      </c>
      <c r="I161" s="53" t="n">
        <f aca="false">IF(OR($A161&gt;TOMATO_BED_CAP,$B161&gt;CARROT_BED_CAP,I$4&gt;MESCLUN_BED_CAP,$A161+$B161+I$4&gt;TOTAL_BEDS_AVAILABLE,($D161+I$5)&gt;TOTAL_LABOR_HOURS_CAP,MAX(0,($D161+I$5)-PERMANENT_FIELD_LABOR_HOURS)&gt;TEMP_HOURS_CAP),"",$C161+I$6-MIN(($D161+I$5),PERMANENT_FIELD_LABOR_HOURS)*PERMANENT_HOURLY_RATE-MAX(0,($D161+I$5)-PERMANENT_FIELD_LABOR_HOURS)*TEMP_HOURLY_RATE-FIXED_SEASON_COST)</f>
        <v>10957.1222116419</v>
      </c>
      <c r="J161" s="53" t="n">
        <f aca="false">IF(OR($A161&gt;TOMATO_BED_CAP,$B161&gt;CARROT_BED_CAP,J$4&gt;MESCLUN_BED_CAP,$A161+$B161+J$4&gt;TOTAL_BEDS_AVAILABLE,($D161+J$5)&gt;TOTAL_LABOR_HOURS_CAP,MAX(0,($D161+J$5)-PERMANENT_FIELD_LABOR_HOURS)&gt;TEMP_HOURS_CAP),"",$C161+J$6-MIN(($D161+J$5),PERMANENT_FIELD_LABOR_HOURS)*PERMANENT_HOURLY_RATE-MAX(0,($D161+J$5)-PERMANENT_FIELD_LABOR_HOURS)*TEMP_HOURLY_RATE-FIXED_SEASON_COST)</f>
        <v>11925.7163626966</v>
      </c>
      <c r="K161" s="53" t="n">
        <f aca="false">IF(OR($A161&gt;TOMATO_BED_CAP,$B161&gt;CARROT_BED_CAP,K$4&gt;MESCLUN_BED_CAP,$A161+$B161+K$4&gt;TOTAL_BEDS_AVAILABLE,($D161+K$5)&gt;TOTAL_LABOR_HOURS_CAP,MAX(0,($D161+K$5)-PERMANENT_FIELD_LABOR_HOURS)&gt;TEMP_HOURS_CAP),"",$C161+K$6-MIN(($D161+K$5),PERMANENT_FIELD_LABOR_HOURS)*PERMANENT_HOURLY_RATE-MAX(0,($D161+K$5)-PERMANENT_FIELD_LABOR_HOURS)*TEMP_HOURLY_RATE-FIXED_SEASON_COST)</f>
        <v>12873.4054594245</v>
      </c>
      <c r="L161" s="53" t="n">
        <f aca="false">IF(OR($A161&gt;TOMATO_BED_CAP,$B161&gt;CARROT_BED_CAP,L$4&gt;MESCLUN_BED_CAP,$A161+$B161+L$4&gt;TOTAL_BEDS_AVAILABLE,($D161+L$5)&gt;TOTAL_LABOR_HOURS_CAP,MAX(0,($D161+L$5)-PERMANENT_FIELD_LABOR_HOURS)&gt;TEMP_HOURS_CAP),"",$C161+L$6-MIN(($D161+L$5),PERMANENT_FIELD_LABOR_HOURS)*PERMANENT_HOURLY_RATE-MAX(0,($D161+L$5)-PERMANENT_FIELD_LABOR_HOURS)*TEMP_HOURLY_RATE-FIXED_SEASON_COST)</f>
        <v>13799.7999076313</v>
      </c>
      <c r="M161" s="53" t="n">
        <f aca="false">IF(OR($A161&gt;TOMATO_BED_CAP,$B161&gt;CARROT_BED_CAP,M$4&gt;MESCLUN_BED_CAP,$A161+$B161+M$4&gt;TOTAL_BEDS_AVAILABLE,($D161+M$5)&gt;TOTAL_LABOR_HOURS_CAP,MAX(0,($D161+M$5)-PERMANENT_FIELD_LABOR_HOURS)&gt;TEMP_HOURS_CAP),"",$C161+M$6-MIN(($D161+M$5),PERMANENT_FIELD_LABOR_HOURS)*PERMANENT_HOURLY_RATE-MAX(0,($D161+M$5)-PERMANENT_FIELD_LABOR_HOURS)*TEMP_HOURLY_RATE-FIXED_SEASON_COST)</f>
        <v>14704.5036396827</v>
      </c>
      <c r="N161" s="53" t="n">
        <f aca="false">IF(OR($A161&gt;TOMATO_BED_CAP,$B161&gt;CARROT_BED_CAP,N$4&gt;MESCLUN_BED_CAP,$A161+$B161+N$4&gt;TOTAL_BEDS_AVAILABLE,($D161+N$5)&gt;TOTAL_LABOR_HOURS_CAP,MAX(0,($D161+N$5)-PERMANENT_FIELD_LABOR_HOURS)&gt;TEMP_HOURS_CAP),"",$C161+N$6-MIN(($D161+N$5),PERMANENT_FIELD_LABOR_HOURS)*PERMANENT_HOURLY_RATE-MAX(0,($D161+N$5)-PERMANENT_FIELD_LABOR_HOURS)*TEMP_HOURLY_RATE-FIXED_SEASON_COST)</f>
        <v>15587.1140135423</v>
      </c>
      <c r="O161" s="53" t="n">
        <f aca="false">IF(OR($A161&gt;TOMATO_BED_CAP,$B161&gt;CARROT_BED_CAP,O$4&gt;MESCLUN_BED_CAP,$A161+$B161+O$4&gt;TOTAL_BEDS_AVAILABLE,($D161+O$5)&gt;TOTAL_LABOR_HOURS_CAP,MAX(0,($D161+O$5)-PERMANENT_FIELD_LABOR_HOURS)&gt;TEMP_HOURS_CAP),"",$C161+O$6-MIN(($D161+O$5),PERMANENT_FIELD_LABOR_HOURS)*PERMANENT_HOURLY_RATE-MAX(0,($D161+O$5)-PERMANENT_FIELD_LABOR_HOURS)*TEMP_HOURLY_RATE-FIXED_SEASON_COST)</f>
        <v>16447.221710297</v>
      </c>
      <c r="P161" s="53" t="n">
        <f aca="false">IF(OR($A161&gt;TOMATO_BED_CAP,$B161&gt;CARROT_BED_CAP,P$4&gt;MESCLUN_BED_CAP,$A161+$B161+P$4&gt;TOTAL_BEDS_AVAILABLE,($D161+P$5)&gt;TOTAL_LABOR_HOURS_CAP,MAX(0,($D161+P$5)-PERMANENT_FIELD_LABOR_HOURS)&gt;TEMP_HOURS_CAP),"",$C161+P$6-MIN(($D161+P$5),PERMANENT_FIELD_LABOR_HOURS)*PERMANENT_HOURLY_RATE-MAX(0,($D161+P$5)-PERMANENT_FIELD_LABOR_HOURS)*TEMP_HOURLY_RATE-FIXED_SEASON_COST)</f>
        <v>17284.4106301485</v>
      </c>
      <c r="Q161" s="53" t="n">
        <f aca="false">IF(OR($A161&gt;TOMATO_BED_CAP,$B161&gt;CARROT_BED_CAP,Q$4&gt;MESCLUN_BED_CAP,$A161+$B161+Q$4&gt;TOTAL_BEDS_AVAILABLE,($D161+Q$5)&gt;TOTAL_LABOR_HOURS_CAP,MAX(0,($D161+Q$5)-PERMANENT_FIELD_LABOR_HOURS)&gt;TEMP_HOURS_CAP),"",$C161+Q$6-MIN(($D161+Q$5),PERMANENT_FIELD_LABOR_HOURS)*PERMANENT_HOURLY_RATE-MAX(0,($D161+Q$5)-PERMANENT_FIELD_LABOR_HOURS)*TEMP_HOURLY_RATE-FIXED_SEASON_COST)</f>
        <v>18098.2577868464</v>
      </c>
      <c r="R161" s="53" t="n">
        <f aca="false">IF(OR($A161&gt;TOMATO_BED_CAP,$B161&gt;CARROT_BED_CAP,R$4&gt;MESCLUN_BED_CAP,$A161+$B161+R$4&gt;TOTAL_BEDS_AVAILABLE,($D161+R$5)&gt;TOTAL_LABOR_HOURS_CAP,MAX(0,($D161+R$5)-PERMANENT_FIELD_LABOR_HOURS)&gt;TEMP_HOURS_CAP),"",$C161+R$6-MIN(($D161+R$5),PERMANENT_FIELD_LABOR_HOURS)*PERMANENT_HOURLY_RATE-MAX(0,($D161+R$5)-PERMANENT_FIELD_LABOR_HOURS)*TEMP_HOURLY_RATE-FIXED_SEASON_COST)</f>
        <v>18888.3332005432</v>
      </c>
      <c r="S161" s="53" t="n">
        <f aca="false">IF(OR($A161&gt;TOMATO_BED_CAP,$B161&gt;CARROT_BED_CAP,S$4&gt;MESCLUN_BED_CAP,$A161+$B161+S$4&gt;TOTAL_BEDS_AVAILABLE,($D161+S$5)&gt;TOTAL_LABOR_HOURS_CAP,MAX(0,($D161+S$5)-PERMANENT_FIELD_LABOR_HOURS)&gt;TEMP_HOURS_CAP),"",$C161+S$6-MIN(($D161+S$5),PERMANENT_FIELD_LABOR_HOURS)*PERMANENT_HOURLY_RATE-MAX(0,($D161+S$5)-PERMANENT_FIELD_LABOR_HOURS)*TEMP_HOURLY_RATE-FIXED_SEASON_COST)</f>
        <v>19654.1997890456</v>
      </c>
      <c r="T161" s="53" t="n">
        <f aca="false">IF(OR($A161&gt;TOMATO_BED_CAP,$B161&gt;CARROT_BED_CAP,T$4&gt;MESCLUN_BED_CAP,$A161+$B161+T$4&gt;TOTAL_BEDS_AVAILABLE,($D161+T$5)&gt;TOTAL_LABOR_HOURS_CAP,MAX(0,($D161+T$5)-PERMANENT_FIELD_LABOR_HOURS)&gt;TEMP_HOURS_CAP),"",$C161+T$6-MIN(($D161+T$5),PERMANENT_FIELD_LABOR_HOURS)*PERMANENT_HOURLY_RATE-MAX(0,($D161+T$5)-PERMANENT_FIELD_LABOR_HOURS)*TEMP_HOURLY_RATE-FIXED_SEASON_COST)</f>
        <v>20395.4132574405</v>
      </c>
      <c r="U161" s="53" t="n">
        <f aca="false">IF(OR($A161&gt;TOMATO_BED_CAP,$B161&gt;CARROT_BED_CAP,U$4&gt;MESCLUN_BED_CAP,$A161+$B161+U$4&gt;TOTAL_BEDS_AVAILABLE,($D161+U$5)&gt;TOTAL_LABOR_HOURS_CAP,MAX(0,($D161+U$5)-PERMANENT_FIELD_LABOR_HOURS)&gt;TEMP_HOURS_CAP),"",$C161+U$6-MIN(($D161+U$5),PERMANENT_FIELD_LABOR_HOURS)*PERMANENT_HOURLY_RATE-MAX(0,($D161+U$5)-PERMANENT_FIELD_LABOR_HOURS)*TEMP_HOURLY_RATE-FIXED_SEASON_COST)</f>
        <v>21111.5219860706</v>
      </c>
      <c r="V161" s="53" t="n">
        <f aca="false">IF(OR($A161&gt;TOMATO_BED_CAP,$B161&gt;CARROT_BED_CAP,V$4&gt;MESCLUN_BED_CAP,$A161+$B161+V$4&gt;TOTAL_BEDS_AVAILABLE,($D161+V$5)&gt;TOTAL_LABOR_HOURS_CAP,MAX(0,($D161+V$5)-PERMANENT_FIELD_LABOR_HOURS)&gt;TEMP_HOURS_CAP),"",$C161+V$6-MIN(($D161+V$5),PERMANENT_FIELD_LABOR_HOURS)*PERMANENT_HOURLY_RATE-MAX(0,($D161+V$5)-PERMANENT_FIELD_LABOR_HOURS)*TEMP_HOURLY_RATE-FIXED_SEASON_COST)</f>
        <v>21802.0669168374</v>
      </c>
      <c r="W161" s="53" t="n">
        <f aca="false">IF(OR($A161&gt;TOMATO_BED_CAP,$B161&gt;CARROT_BED_CAP,W$4&gt;MESCLUN_BED_CAP,$A161+$B161+W$4&gt;TOTAL_BEDS_AVAILABLE,($D161+W$5)&gt;TOTAL_LABOR_HOURS_CAP,MAX(0,($D161+W$5)-PERMANENT_FIELD_LABOR_HOURS)&gt;TEMP_HOURS_CAP),"",$C161+W$6-MIN(($D161+W$5),PERMANENT_FIELD_LABOR_HOURS)*PERMANENT_HOURLY_RATE-MAX(0,($D161+W$5)-PERMANENT_FIELD_LABOR_HOURS)*TEMP_HOURLY_RATE-FIXED_SEASON_COST)</f>
        <v>22466.5814378054</v>
      </c>
      <c r="X161" s="53" t="n">
        <f aca="false">IF(OR($A161&gt;TOMATO_BED_CAP,$B161&gt;CARROT_BED_CAP,X$4&gt;MESCLUN_BED_CAP,$A161+$B161+X$4&gt;TOTAL_BEDS_AVAILABLE,($D161+X$5)&gt;TOTAL_LABOR_HOURS_CAP,MAX(0,($D161+X$5)-PERMANENT_FIELD_LABOR_HOURS)&gt;TEMP_HOURS_CAP),"",$C161+X$6-MIN(($D161+X$5),PERMANENT_FIELD_LABOR_HOURS)*PERMANENT_HOURLY_RATE-MAX(0,($D161+X$5)-PERMANENT_FIELD_LABOR_HOURS)*TEMP_HOURLY_RATE-FIXED_SEASON_COST)</f>
        <v>23104.5912660843</v>
      </c>
      <c r="Y161" s="53" t="n">
        <f aca="false">IF(OR($A161&gt;TOMATO_BED_CAP,$B161&gt;CARROT_BED_CAP,Y$4&gt;MESCLUN_BED_CAP,$A161+$B161+Y$4&gt;TOTAL_BEDS_AVAILABLE,($D161+Y$5)&gt;TOTAL_LABOR_HOURS_CAP,MAX(0,($D161+Y$5)-PERMANENT_FIELD_LABOR_HOURS)&gt;TEMP_HOURS_CAP),"",$C161+Y$6-MIN(($D161+Y$5),PERMANENT_FIELD_LABOR_HOURS)*PERMANENT_HOURLY_RATE-MAX(0,($D161+Y$5)-PERMANENT_FIELD_LABOR_HOURS)*TEMP_HOURLY_RATE-FIXED_SEASON_COST)</f>
        <v>23715.614328963</v>
      </c>
      <c r="Z161" s="53" t="n">
        <f aca="false">IF(OR($A161&gt;TOMATO_BED_CAP,$B161&gt;CARROT_BED_CAP,Z$4&gt;MESCLUN_BED_CAP,$A161+$B161+Z$4&gt;TOTAL_BEDS_AVAILABLE,($D161+Z$5)&gt;TOTAL_LABOR_HOURS_CAP,MAX(0,($D161+Z$5)-PERMANENT_FIELD_LABOR_HOURS)&gt;TEMP_HOURS_CAP),"",$C161+Z$6-MIN(($D161+Z$5),PERMANENT_FIELD_LABOR_HOURS)*PERMANENT_HOURLY_RATE-MAX(0,($D161+Z$5)-PERMANENT_FIELD_LABOR_HOURS)*TEMP_HOURLY_RATE-FIXED_SEASON_COST)</f>
        <v>24299.1606432707</v>
      </c>
      <c r="AA161" s="53" t="n">
        <f aca="false">IF(OR($A161&gt;TOMATO_BED_CAP,$B161&gt;CARROT_BED_CAP,AA$4&gt;MESCLUN_BED_CAP,$A161+$B161+AA$4&gt;TOTAL_BEDS_AVAILABLE,($D161+AA$5)&gt;TOTAL_LABOR_HOURS_CAP,MAX(0,($D161+AA$5)-PERMANENT_FIELD_LABOR_HOURS)&gt;TEMP_HOURS_CAP),"",$C161+AA$6-MIN(($D161+AA$5),PERMANENT_FIELD_LABOR_HOURS)*PERMANENT_HOURLY_RATE-MAX(0,($D161+AA$5)-PERMANENT_FIELD_LABOR_HOURS)*TEMP_HOURLY_RATE-FIXED_SEASON_COST)</f>
        <v>24854.7321929397</v>
      </c>
      <c r="AB161" s="53" t="n">
        <f aca="false">IF(OR($A161&gt;TOMATO_BED_CAP,$B161&gt;CARROT_BED_CAP,AB$4&gt;MESCLUN_BED_CAP,$A161+$B161+AB$4&gt;TOTAL_BEDS_AVAILABLE,($D161+AB$5)&gt;TOTAL_LABOR_HOURS_CAP,MAX(0,($D161+AB$5)-PERMANENT_FIELD_LABOR_HOURS)&gt;TEMP_HOURS_CAP),"",$C161+AB$6-MIN(($D161+AB$5),PERMANENT_FIELD_LABOR_HOURS)*PERMANENT_HOURLY_RATE-MAX(0,($D161+AB$5)-PERMANENT_FIELD_LABOR_HOURS)*TEMP_HOURLY_RATE-FIXED_SEASON_COST)</f>
        <v>25381.8228047422</v>
      </c>
      <c r="AC161" s="53" t="n">
        <f aca="false">IF(OR($A161&gt;TOMATO_BED_CAP,$B161&gt;CARROT_BED_CAP,AC$4&gt;MESCLUN_BED_CAP,$A161+$B161+AC$4&gt;TOTAL_BEDS_AVAILABLE,($D161+AC$5)&gt;TOTAL_LABOR_HOURS_CAP,MAX(0,($D161+AC$5)-PERMANENT_FIELD_LABOR_HOURS)&gt;TEMP_HOURS_CAP),"",$C161+AC$6-MIN(($D161+AC$5),PERMANENT_FIELD_LABOR_HOURS)*PERMANENT_HOURLY_RATE-MAX(0,($D161+AC$5)-PERMANENT_FIELD_LABOR_HOURS)*TEMP_HOURLY_RATE-FIXED_SEASON_COST)</f>
        <v>25879.9180221771</v>
      </c>
      <c r="AD161" s="53" t="n">
        <f aca="false">IF(OR($A161&gt;TOMATO_BED_CAP,$B161&gt;CARROT_BED_CAP,AD$4&gt;MESCLUN_BED_CAP,$A161+$B161+AD$4&gt;TOTAL_BEDS_AVAILABLE,($D161+AD$5)&gt;TOTAL_LABOR_HOURS_CAP,MAX(0,($D161+AD$5)-PERMANENT_FIELD_LABOR_HOURS)&gt;TEMP_HOURS_CAP),"",$C161+AD$6-MIN(($D161+AD$5),PERMANENT_FIELD_LABOR_HOURS)*PERMANENT_HOURLY_RATE-MAX(0,($D161+AD$5)-PERMANENT_FIELD_LABOR_HOURS)*TEMP_HOURLY_RATE-FIXED_SEASON_COST)</f>
        <v>26348.4949774771</v>
      </c>
      <c r="AE161" s="53" t="n">
        <f aca="false">IF(OR($A161&gt;TOMATO_BED_CAP,$B161&gt;CARROT_BED_CAP,AE$4&gt;MESCLUN_BED_CAP,$A161+$B161+AE$4&gt;TOTAL_BEDS_AVAILABLE,($D161+AE$5)&gt;TOTAL_LABOR_HOURS_CAP,MAX(0,($D161+AE$5)-PERMANENT_FIELD_LABOR_HOURS)&gt;TEMP_HOURS_CAP),"",$C161+AE$6-MIN(($D161+AE$5),PERMANENT_FIELD_LABOR_HOURS)*PERMANENT_HOURLY_RATE-MAX(0,($D161+AE$5)-PERMANENT_FIELD_LABOR_HOURS)*TEMP_HOURLY_RATE-FIXED_SEASON_COST)</f>
        <v>26787.022261711</v>
      </c>
      <c r="AF161" s="53" t="n">
        <f aca="false">IF(OR($A161&gt;TOMATO_BED_CAP,$B161&gt;CARROT_BED_CAP,AF$4&gt;MESCLUN_BED_CAP,$A161+$B161+AF$4&gt;TOTAL_BEDS_AVAILABLE,($D161+AF$5)&gt;TOTAL_LABOR_HOURS_CAP,MAX(0,($D161+AF$5)-PERMANENT_FIELD_LABOR_HOURS)&gt;TEMP_HOURS_CAP),"",$C161+AF$6-MIN(($D161+AF$5),PERMANENT_FIELD_LABOR_HOURS)*PERMANENT_HOURLY_RATE-MAX(0,($D161+AF$5)-PERMANENT_FIELD_LABOR_HOURS)*TEMP_HOURLY_RATE-FIXED_SEASON_COST)</f>
        <v>27194.9597929529</v>
      </c>
      <c r="AG161" s="53" t="n">
        <f aca="false">IF(OR($A161&gt;TOMATO_BED_CAP,$B161&gt;CARROT_BED_CAP,AG$4&gt;MESCLUN_BED_CAP,$A161+$B161+AG$4&gt;TOTAL_BEDS_AVAILABLE,($D161+AG$5)&gt;TOTAL_LABOR_HOURS_CAP,MAX(0,($D161+AG$5)-PERMANENT_FIELD_LABOR_HOURS)&gt;TEMP_HOURS_CAP),"",$C161+AG$6-MIN(($D161+AG$5),PERMANENT_FIELD_LABOR_HOURS)*PERMANENT_HOURLY_RATE-MAX(0,($D161+AG$5)-PERMANENT_FIELD_LABOR_HOURS)*TEMP_HOURLY_RATE-FIXED_SEASON_COST)</f>
        <v>27571.75868249</v>
      </c>
      <c r="AH161" s="53" t="n">
        <f aca="false">IF(OR($A161&gt;TOMATO_BED_CAP,$B161&gt;CARROT_BED_CAP,AH$4&gt;MESCLUN_BED_CAP,$A161+$B161+AH$4&gt;TOTAL_BEDS_AVAILABLE,($D161+AH$5)&gt;TOTAL_LABOR_HOURS_CAP,MAX(0,($D161+AH$5)-PERMANENT_FIELD_LABOR_HOURS)&gt;TEMP_HOURS_CAP),"",$C161+AH$6-MIN(($D161+AH$5),PERMANENT_FIELD_LABOR_HOURS)*PERMANENT_HOURLY_RATE-MAX(0,($D161+AH$5)-PERMANENT_FIELD_LABOR_HOURS)*TEMP_HOURLY_RATE-FIXED_SEASON_COST)</f>
        <v>27916.8610990402</v>
      </c>
      <c r="AI161" s="53" t="n">
        <f aca="false">IF(OR($A161&gt;TOMATO_BED_CAP,$B161&gt;CARROT_BED_CAP,AI$4&gt;MESCLUN_BED_CAP,$A161+$B161+AI$4&gt;TOTAL_BEDS_AVAILABLE,($D161+AI$5)&gt;TOTAL_LABOR_HOURS_CAP,MAX(0,($D161+AI$5)-PERMANENT_FIELD_LABOR_HOURS)&gt;TEMP_HOURS_CAP),"",$C161+AI$6-MIN(($D161+AI$5),PERMANENT_FIELD_LABOR_HOURS)*PERMANENT_HOURLY_RATE-MAX(0,($D161+AI$5)-PERMANENT_FIELD_LABOR_HOURS)*TEMP_HOURLY_RATE-FIXED_SEASON_COST)</f>
        <v>28229.7001309524</v>
      </c>
      <c r="AJ161" s="53" t="n">
        <f aca="false">IF(OR($A161&gt;TOMATO_BED_CAP,$B161&gt;CARROT_BED_CAP,AJ$4&gt;MESCLUN_BED_CAP,$A161+$B161+AJ$4&gt;TOTAL_BEDS_AVAILABLE,($D161+AJ$5)&gt;TOTAL_LABOR_HOURS_CAP,MAX(0,($D161+AJ$5)-PERMANENT_FIELD_LABOR_HOURS)&gt;TEMP_HOURS_CAP),"",$C161+AJ$6-MIN(($D161+AJ$5),PERMANENT_FIELD_LABOR_HOURS)*PERMANENT_HOURLY_RATE-MAX(0,($D161+AJ$5)-PERMANENT_FIELD_LABOR_HOURS)*TEMP_HOURLY_RATE-FIXED_SEASON_COST)</f>
        <v>28509.6996463582</v>
      </c>
    </row>
    <row r="162" customFormat="false" ht="15" hidden="false" customHeight="false" outlineLevel="0" collapsed="false">
      <c r="A162" s="21" t="n">
        <f aca="false">INT((ROW()-ROW($A$8))/(20+1))</f>
        <v>7</v>
      </c>
      <c r="B162" s="21" t="n">
        <f aca="false">MOD(ROW()-ROW($A$8),20+1)</f>
        <v>7</v>
      </c>
      <c r="C162" s="13" t="n">
        <f aca="false">A162*(TOMATO_REVENUE_PER_BED-TOMATO_FERTILIZER_PER_BED)+B162*(CARROT_REVENUE_PER_BED-CARROT_FERTILIZER_PER_BED)</f>
        <v>67018</v>
      </c>
      <c r="D162" s="14" t="n">
        <f aca="false">INDEX(TOMATO_SCHED_LABOR_HRS,A162+1)+INDEX(CARROT_SCHED_LABOR_HRS,B162+1)</f>
        <v>1477.21593166702</v>
      </c>
      <c r="E162" s="13" t="n">
        <f aca="false">IF(COUNT(F162:AJ162)=0,"",MAX(F162:AJ162))</f>
        <v>29454.3207211331</v>
      </c>
      <c r="F162" s="53" t="n">
        <f aca="false">IF(OR($A162&gt;TOMATO_BED_CAP,$B162&gt;CARROT_BED_CAP,F$4&gt;MESCLUN_BED_CAP,$A162+$B162+F$4&gt;TOTAL_BEDS_AVAILABLE,($D162+F$5)&gt;TOTAL_LABOR_HOURS_CAP,MAX(0,($D162+F$5)-PERMANENT_FIELD_LABOR_HOURS)&gt;TEMP_HOURS_CAP),"",$C162+F$6-MIN(($D162+F$5),PERMANENT_FIELD_LABOR_HOURS)*PERMANENT_HOURLY_RATE-MAX(0,($D162+F$5)-PERMANENT_FIELD_LABOR_HOURS)*TEMP_HOURLY_RATE-FIXED_SEASON_COST)</f>
        <v>8874.33142626059</v>
      </c>
      <c r="G162" s="53" t="n">
        <f aca="false">IF(OR($A162&gt;TOMATO_BED_CAP,$B162&gt;CARROT_BED_CAP,G$4&gt;MESCLUN_BED_CAP,$A162+$B162+G$4&gt;TOTAL_BEDS_AVAILABLE,($D162+G$5)&gt;TOTAL_LABOR_HOURS_CAP,MAX(0,($D162+G$5)-PERMANENT_FIELD_LABOR_HOURS)&gt;TEMP_HOURS_CAP),"",$C162+G$6-MIN(($D162+G$5),PERMANENT_FIELD_LABOR_HOURS)*PERMANENT_HOURLY_RATE-MAX(0,($D162+G$5)-PERMANENT_FIELD_LABOR_HOURS)*TEMP_HOURLY_RATE-FIXED_SEASON_COST)</f>
        <v>9903.36642626059</v>
      </c>
      <c r="H162" s="53" t="n">
        <f aca="false">IF(OR($A162&gt;TOMATO_BED_CAP,$B162&gt;CARROT_BED_CAP,H$4&gt;MESCLUN_BED_CAP,$A162+$B162+H$4&gt;TOTAL_BEDS_AVAILABLE,($D162+H$5)&gt;TOTAL_LABOR_HOURS_CAP,MAX(0,($D162+H$5)-PERMANENT_FIELD_LABOR_HOURS)&gt;TEMP_HOURS_CAP),"",$C162+H$6-MIN(($D162+H$5),PERMANENT_FIELD_LABOR_HOURS)*PERMANENT_HOURLY_RATE-MAX(0,($D162+H$5)-PERMANENT_FIELD_LABOR_HOURS)*TEMP_HOURLY_RATE-FIXED_SEASON_COST)</f>
        <v>10912.6273012606</v>
      </c>
      <c r="I162" s="53" t="n">
        <f aca="false">IF(OR($A162&gt;TOMATO_BED_CAP,$B162&gt;CARROT_BED_CAP,I$4&gt;MESCLUN_BED_CAP,$A162+$B162+I$4&gt;TOTAL_BEDS_AVAILABLE,($D162+I$5)&gt;TOTAL_LABOR_HOURS_CAP,MAX(0,($D162+I$5)-PERMANENT_FIELD_LABOR_HOURS)&gt;TEMP_HOURS_CAP),"",$C162+I$6-MIN(($D162+I$5),PERMANENT_FIELD_LABOR_HOURS)*PERMANENT_HOURLY_RATE-MAX(0,($D162+I$5)-PERMANENT_FIELD_LABOR_HOURS)*TEMP_HOURLY_RATE-FIXED_SEASON_COST)</f>
        <v>11901.7432864168</v>
      </c>
      <c r="J162" s="53" t="n">
        <f aca="false">IF(OR($A162&gt;TOMATO_BED_CAP,$B162&gt;CARROT_BED_CAP,J$4&gt;MESCLUN_BED_CAP,$A162+$B162+J$4&gt;TOTAL_BEDS_AVAILABLE,($D162+J$5)&gt;TOTAL_LABOR_HOURS_CAP,MAX(0,($D162+J$5)-PERMANENT_FIELD_LABOR_HOURS)&gt;TEMP_HOURS_CAP),"",$C162+J$6-MIN(($D162+J$5),PERMANENT_FIELD_LABOR_HOURS)*PERMANENT_HOURLY_RATE-MAX(0,($D162+J$5)-PERMANENT_FIELD_LABOR_HOURS)*TEMP_HOURLY_RATE-FIXED_SEASON_COST)</f>
        <v>12870.3374374715</v>
      </c>
      <c r="K162" s="53" t="n">
        <f aca="false">IF(OR($A162&gt;TOMATO_BED_CAP,$B162&gt;CARROT_BED_CAP,K$4&gt;MESCLUN_BED_CAP,$A162+$B162+K$4&gt;TOTAL_BEDS_AVAILABLE,($D162+K$5)&gt;TOTAL_LABOR_HOURS_CAP,MAX(0,($D162+K$5)-PERMANENT_FIELD_LABOR_HOURS)&gt;TEMP_HOURS_CAP),"",$C162+K$6-MIN(($D162+K$5),PERMANENT_FIELD_LABOR_HOURS)*PERMANENT_HOURLY_RATE-MAX(0,($D162+K$5)-PERMANENT_FIELD_LABOR_HOURS)*TEMP_HOURLY_RATE-FIXED_SEASON_COST)</f>
        <v>13818.0265341994</v>
      </c>
      <c r="L162" s="53" t="n">
        <f aca="false">IF(OR($A162&gt;TOMATO_BED_CAP,$B162&gt;CARROT_BED_CAP,L$4&gt;MESCLUN_BED_CAP,$A162+$B162+L$4&gt;TOTAL_BEDS_AVAILABLE,($D162+L$5)&gt;TOTAL_LABOR_HOURS_CAP,MAX(0,($D162+L$5)-PERMANENT_FIELD_LABOR_HOURS)&gt;TEMP_HOURS_CAP),"",$C162+L$6-MIN(($D162+L$5),PERMANENT_FIELD_LABOR_HOURS)*PERMANENT_HOURLY_RATE-MAX(0,($D162+L$5)-PERMANENT_FIELD_LABOR_HOURS)*TEMP_HOURLY_RATE-FIXED_SEASON_COST)</f>
        <v>14744.4209824063</v>
      </c>
      <c r="M162" s="53" t="n">
        <f aca="false">IF(OR($A162&gt;TOMATO_BED_CAP,$B162&gt;CARROT_BED_CAP,M$4&gt;MESCLUN_BED_CAP,$A162+$B162+M$4&gt;TOTAL_BEDS_AVAILABLE,($D162+M$5)&gt;TOTAL_LABOR_HOURS_CAP,MAX(0,($D162+M$5)-PERMANENT_FIELD_LABOR_HOURS)&gt;TEMP_HOURS_CAP),"",$C162+M$6-MIN(($D162+M$5),PERMANENT_FIELD_LABOR_HOURS)*PERMANENT_HOURLY_RATE-MAX(0,($D162+M$5)-PERMANENT_FIELD_LABOR_HOURS)*TEMP_HOURLY_RATE-FIXED_SEASON_COST)</f>
        <v>15649.1247144577</v>
      </c>
      <c r="N162" s="53" t="n">
        <f aca="false">IF(OR($A162&gt;TOMATO_BED_CAP,$B162&gt;CARROT_BED_CAP,N$4&gt;MESCLUN_BED_CAP,$A162+$B162+N$4&gt;TOTAL_BEDS_AVAILABLE,($D162+N$5)&gt;TOTAL_LABOR_HOURS_CAP,MAX(0,($D162+N$5)-PERMANENT_FIELD_LABOR_HOURS)&gt;TEMP_HOURS_CAP),"",$C162+N$6-MIN(($D162+N$5),PERMANENT_FIELD_LABOR_HOURS)*PERMANENT_HOURLY_RATE-MAX(0,($D162+N$5)-PERMANENT_FIELD_LABOR_HOURS)*TEMP_HOURLY_RATE-FIXED_SEASON_COST)</f>
        <v>16531.7350883172</v>
      </c>
      <c r="O162" s="53" t="n">
        <f aca="false">IF(OR($A162&gt;TOMATO_BED_CAP,$B162&gt;CARROT_BED_CAP,O$4&gt;MESCLUN_BED_CAP,$A162+$B162+O$4&gt;TOTAL_BEDS_AVAILABLE,($D162+O$5)&gt;TOTAL_LABOR_HOURS_CAP,MAX(0,($D162+O$5)-PERMANENT_FIELD_LABOR_HOURS)&gt;TEMP_HOURS_CAP),"",$C162+O$6-MIN(($D162+O$5),PERMANENT_FIELD_LABOR_HOURS)*PERMANENT_HOURLY_RATE-MAX(0,($D162+O$5)-PERMANENT_FIELD_LABOR_HOURS)*TEMP_HOURLY_RATE-FIXED_SEASON_COST)</f>
        <v>17391.842785072</v>
      </c>
      <c r="P162" s="53" t="n">
        <f aca="false">IF(OR($A162&gt;TOMATO_BED_CAP,$B162&gt;CARROT_BED_CAP,P$4&gt;MESCLUN_BED_CAP,$A162+$B162+P$4&gt;TOTAL_BEDS_AVAILABLE,($D162+P$5)&gt;TOTAL_LABOR_HOURS_CAP,MAX(0,($D162+P$5)-PERMANENT_FIELD_LABOR_HOURS)&gt;TEMP_HOURS_CAP),"",$C162+P$6-MIN(($D162+P$5),PERMANENT_FIELD_LABOR_HOURS)*PERMANENT_HOURLY_RATE-MAX(0,($D162+P$5)-PERMANENT_FIELD_LABOR_HOURS)*TEMP_HOURLY_RATE-FIXED_SEASON_COST)</f>
        <v>18229.0317049234</v>
      </c>
      <c r="Q162" s="53" t="n">
        <f aca="false">IF(OR($A162&gt;TOMATO_BED_CAP,$B162&gt;CARROT_BED_CAP,Q$4&gt;MESCLUN_BED_CAP,$A162+$B162+Q$4&gt;TOTAL_BEDS_AVAILABLE,($D162+Q$5)&gt;TOTAL_LABOR_HOURS_CAP,MAX(0,($D162+Q$5)-PERMANENT_FIELD_LABOR_HOURS)&gt;TEMP_HOURS_CAP),"",$C162+Q$6-MIN(($D162+Q$5),PERMANENT_FIELD_LABOR_HOURS)*PERMANENT_HOURLY_RATE-MAX(0,($D162+Q$5)-PERMANENT_FIELD_LABOR_HOURS)*TEMP_HOURLY_RATE-FIXED_SEASON_COST)</f>
        <v>19042.8788616213</v>
      </c>
      <c r="R162" s="53" t="n">
        <f aca="false">IF(OR($A162&gt;TOMATO_BED_CAP,$B162&gt;CARROT_BED_CAP,R$4&gt;MESCLUN_BED_CAP,$A162+$B162+R$4&gt;TOTAL_BEDS_AVAILABLE,($D162+R$5)&gt;TOTAL_LABOR_HOURS_CAP,MAX(0,($D162+R$5)-PERMANENT_FIELD_LABOR_HOURS)&gt;TEMP_HOURS_CAP),"",$C162+R$6-MIN(($D162+R$5),PERMANENT_FIELD_LABOR_HOURS)*PERMANENT_HOURLY_RATE-MAX(0,($D162+R$5)-PERMANENT_FIELD_LABOR_HOURS)*TEMP_HOURLY_RATE-FIXED_SEASON_COST)</f>
        <v>19832.9542753181</v>
      </c>
      <c r="S162" s="53" t="n">
        <f aca="false">IF(OR($A162&gt;TOMATO_BED_CAP,$B162&gt;CARROT_BED_CAP,S$4&gt;MESCLUN_BED_CAP,$A162+$B162+S$4&gt;TOTAL_BEDS_AVAILABLE,($D162+S$5)&gt;TOTAL_LABOR_HOURS_CAP,MAX(0,($D162+S$5)-PERMANENT_FIELD_LABOR_HOURS)&gt;TEMP_HOURS_CAP),"",$C162+S$6-MIN(($D162+S$5),PERMANENT_FIELD_LABOR_HOURS)*PERMANENT_HOURLY_RATE-MAX(0,($D162+S$5)-PERMANENT_FIELD_LABOR_HOURS)*TEMP_HOURLY_RATE-FIXED_SEASON_COST)</f>
        <v>20598.8208638206</v>
      </c>
      <c r="T162" s="53" t="n">
        <f aca="false">IF(OR($A162&gt;TOMATO_BED_CAP,$B162&gt;CARROT_BED_CAP,T$4&gt;MESCLUN_BED_CAP,$A162+$B162+T$4&gt;TOTAL_BEDS_AVAILABLE,($D162+T$5)&gt;TOTAL_LABOR_HOURS_CAP,MAX(0,($D162+T$5)-PERMANENT_FIELD_LABOR_HOURS)&gt;TEMP_HOURS_CAP),"",$C162+T$6-MIN(($D162+T$5),PERMANENT_FIELD_LABOR_HOURS)*PERMANENT_HOURLY_RATE-MAX(0,($D162+T$5)-PERMANENT_FIELD_LABOR_HOURS)*TEMP_HOURLY_RATE-FIXED_SEASON_COST)</f>
        <v>21340.0343322154</v>
      </c>
      <c r="U162" s="53" t="n">
        <f aca="false">IF(OR($A162&gt;TOMATO_BED_CAP,$B162&gt;CARROT_BED_CAP,U$4&gt;MESCLUN_BED_CAP,$A162+$B162+U$4&gt;TOTAL_BEDS_AVAILABLE,($D162+U$5)&gt;TOTAL_LABOR_HOURS_CAP,MAX(0,($D162+U$5)-PERMANENT_FIELD_LABOR_HOURS)&gt;TEMP_HOURS_CAP),"",$C162+U$6-MIN(($D162+U$5),PERMANENT_FIELD_LABOR_HOURS)*PERMANENT_HOURLY_RATE-MAX(0,($D162+U$5)-PERMANENT_FIELD_LABOR_HOURS)*TEMP_HOURLY_RATE-FIXED_SEASON_COST)</f>
        <v>22056.1430608455</v>
      </c>
      <c r="V162" s="53" t="n">
        <f aca="false">IF(OR($A162&gt;TOMATO_BED_CAP,$B162&gt;CARROT_BED_CAP,V$4&gt;MESCLUN_BED_CAP,$A162+$B162+V$4&gt;TOTAL_BEDS_AVAILABLE,($D162+V$5)&gt;TOTAL_LABOR_HOURS_CAP,MAX(0,($D162+V$5)-PERMANENT_FIELD_LABOR_HOURS)&gt;TEMP_HOURS_CAP),"",$C162+V$6-MIN(($D162+V$5),PERMANENT_FIELD_LABOR_HOURS)*PERMANENT_HOURLY_RATE-MAX(0,($D162+V$5)-PERMANENT_FIELD_LABOR_HOURS)*TEMP_HOURLY_RATE-FIXED_SEASON_COST)</f>
        <v>22746.6879916123</v>
      </c>
      <c r="W162" s="53" t="n">
        <f aca="false">IF(OR($A162&gt;TOMATO_BED_CAP,$B162&gt;CARROT_BED_CAP,W$4&gt;MESCLUN_BED_CAP,$A162+$B162+W$4&gt;TOTAL_BEDS_AVAILABLE,($D162+W$5)&gt;TOTAL_LABOR_HOURS_CAP,MAX(0,($D162+W$5)-PERMANENT_FIELD_LABOR_HOURS)&gt;TEMP_HOURS_CAP),"",$C162+W$6-MIN(($D162+W$5),PERMANENT_FIELD_LABOR_HOURS)*PERMANENT_HOURLY_RATE-MAX(0,($D162+W$5)-PERMANENT_FIELD_LABOR_HOURS)*TEMP_HOURLY_RATE-FIXED_SEASON_COST)</f>
        <v>23411.2025125804</v>
      </c>
      <c r="X162" s="53" t="n">
        <f aca="false">IF(OR($A162&gt;TOMATO_BED_CAP,$B162&gt;CARROT_BED_CAP,X$4&gt;MESCLUN_BED_CAP,$A162+$B162+X$4&gt;TOTAL_BEDS_AVAILABLE,($D162+X$5)&gt;TOTAL_LABOR_HOURS_CAP,MAX(0,($D162+X$5)-PERMANENT_FIELD_LABOR_HOURS)&gt;TEMP_HOURS_CAP),"",$C162+X$6-MIN(($D162+X$5),PERMANENT_FIELD_LABOR_HOURS)*PERMANENT_HOURLY_RATE-MAX(0,($D162+X$5)-PERMANENT_FIELD_LABOR_HOURS)*TEMP_HOURLY_RATE-FIXED_SEASON_COST)</f>
        <v>24049.2123408593</v>
      </c>
      <c r="Y162" s="53" t="n">
        <f aca="false">IF(OR($A162&gt;TOMATO_BED_CAP,$B162&gt;CARROT_BED_CAP,Y$4&gt;MESCLUN_BED_CAP,$A162+$B162+Y$4&gt;TOTAL_BEDS_AVAILABLE,($D162+Y$5)&gt;TOTAL_LABOR_HOURS_CAP,MAX(0,($D162+Y$5)-PERMANENT_FIELD_LABOR_HOURS)&gt;TEMP_HOURS_CAP),"",$C162+Y$6-MIN(($D162+Y$5),PERMANENT_FIELD_LABOR_HOURS)*PERMANENT_HOURLY_RATE-MAX(0,($D162+Y$5)-PERMANENT_FIELD_LABOR_HOURS)*TEMP_HOURLY_RATE-FIXED_SEASON_COST)</f>
        <v>24660.2354037379</v>
      </c>
      <c r="Z162" s="53" t="n">
        <f aca="false">IF(OR($A162&gt;TOMATO_BED_CAP,$B162&gt;CARROT_BED_CAP,Z$4&gt;MESCLUN_BED_CAP,$A162+$B162+Z$4&gt;TOTAL_BEDS_AVAILABLE,($D162+Z$5)&gt;TOTAL_LABOR_HOURS_CAP,MAX(0,($D162+Z$5)-PERMANENT_FIELD_LABOR_HOURS)&gt;TEMP_HOURS_CAP),"",$C162+Z$6-MIN(($D162+Z$5),PERMANENT_FIELD_LABOR_HOURS)*PERMANENT_HOURLY_RATE-MAX(0,($D162+Z$5)-PERMANENT_FIELD_LABOR_HOURS)*TEMP_HOURLY_RATE-FIXED_SEASON_COST)</f>
        <v>25243.7817180457</v>
      </c>
      <c r="AA162" s="53" t="n">
        <f aca="false">IF(OR($A162&gt;TOMATO_BED_CAP,$B162&gt;CARROT_BED_CAP,AA$4&gt;MESCLUN_BED_CAP,$A162+$B162+AA$4&gt;TOTAL_BEDS_AVAILABLE,($D162+AA$5)&gt;TOTAL_LABOR_HOURS_CAP,MAX(0,($D162+AA$5)-PERMANENT_FIELD_LABOR_HOURS)&gt;TEMP_HOURS_CAP),"",$C162+AA$6-MIN(($D162+AA$5),PERMANENT_FIELD_LABOR_HOURS)*PERMANENT_HOURLY_RATE-MAX(0,($D162+AA$5)-PERMANENT_FIELD_LABOR_HOURS)*TEMP_HOURLY_RATE-FIXED_SEASON_COST)</f>
        <v>25799.3532677146</v>
      </c>
      <c r="AB162" s="53" t="n">
        <f aca="false">IF(OR($A162&gt;TOMATO_BED_CAP,$B162&gt;CARROT_BED_CAP,AB$4&gt;MESCLUN_BED_CAP,$A162+$B162+AB$4&gt;TOTAL_BEDS_AVAILABLE,($D162+AB$5)&gt;TOTAL_LABOR_HOURS_CAP,MAX(0,($D162+AB$5)-PERMANENT_FIELD_LABOR_HOURS)&gt;TEMP_HOURS_CAP),"",$C162+AB$6-MIN(($D162+AB$5),PERMANENT_FIELD_LABOR_HOURS)*PERMANENT_HOURLY_RATE-MAX(0,($D162+AB$5)-PERMANENT_FIELD_LABOR_HOURS)*TEMP_HOURLY_RATE-FIXED_SEASON_COST)</f>
        <v>26326.4438795172</v>
      </c>
      <c r="AC162" s="53" t="n">
        <f aca="false">IF(OR($A162&gt;TOMATO_BED_CAP,$B162&gt;CARROT_BED_CAP,AC$4&gt;MESCLUN_BED_CAP,$A162+$B162+AC$4&gt;TOTAL_BEDS_AVAILABLE,($D162+AC$5)&gt;TOTAL_LABOR_HOURS_CAP,MAX(0,($D162+AC$5)-PERMANENT_FIELD_LABOR_HOURS)&gt;TEMP_HOURS_CAP),"",$C162+AC$6-MIN(($D162+AC$5),PERMANENT_FIELD_LABOR_HOURS)*PERMANENT_HOURLY_RATE-MAX(0,($D162+AC$5)-PERMANENT_FIELD_LABOR_HOURS)*TEMP_HOURLY_RATE-FIXED_SEASON_COST)</f>
        <v>26824.5390969521</v>
      </c>
      <c r="AD162" s="53" t="n">
        <f aca="false">IF(OR($A162&gt;TOMATO_BED_CAP,$B162&gt;CARROT_BED_CAP,AD$4&gt;MESCLUN_BED_CAP,$A162+$B162+AD$4&gt;TOTAL_BEDS_AVAILABLE,($D162+AD$5)&gt;TOTAL_LABOR_HOURS_CAP,MAX(0,($D162+AD$5)-PERMANENT_FIELD_LABOR_HOURS)&gt;TEMP_HOURS_CAP),"",$C162+AD$6-MIN(($D162+AD$5),PERMANENT_FIELD_LABOR_HOURS)*PERMANENT_HOURLY_RATE-MAX(0,($D162+AD$5)-PERMANENT_FIELD_LABOR_HOURS)*TEMP_HOURLY_RATE-FIXED_SEASON_COST)</f>
        <v>27293.116052252</v>
      </c>
      <c r="AE162" s="53" t="n">
        <f aca="false">IF(OR($A162&gt;TOMATO_BED_CAP,$B162&gt;CARROT_BED_CAP,AE$4&gt;MESCLUN_BED_CAP,$A162+$B162+AE$4&gt;TOTAL_BEDS_AVAILABLE,($D162+AE$5)&gt;TOTAL_LABOR_HOURS_CAP,MAX(0,($D162+AE$5)-PERMANENT_FIELD_LABOR_HOURS)&gt;TEMP_HOURS_CAP),"",$C162+AE$6-MIN(($D162+AE$5),PERMANENT_FIELD_LABOR_HOURS)*PERMANENT_HOURLY_RATE-MAX(0,($D162+AE$5)-PERMANENT_FIELD_LABOR_HOURS)*TEMP_HOURLY_RATE-FIXED_SEASON_COST)</f>
        <v>27731.6433364859</v>
      </c>
      <c r="AF162" s="53" t="n">
        <f aca="false">IF(OR($A162&gt;TOMATO_BED_CAP,$B162&gt;CARROT_BED_CAP,AF$4&gt;MESCLUN_BED_CAP,$A162+$B162+AF$4&gt;TOTAL_BEDS_AVAILABLE,($D162+AF$5)&gt;TOTAL_LABOR_HOURS_CAP,MAX(0,($D162+AF$5)-PERMANENT_FIELD_LABOR_HOURS)&gt;TEMP_HOURS_CAP),"",$C162+AF$6-MIN(($D162+AF$5),PERMANENT_FIELD_LABOR_HOURS)*PERMANENT_HOURLY_RATE-MAX(0,($D162+AF$5)-PERMANENT_FIELD_LABOR_HOURS)*TEMP_HOURLY_RATE-FIXED_SEASON_COST)</f>
        <v>28139.5808677279</v>
      </c>
      <c r="AG162" s="53" t="n">
        <f aca="false">IF(OR($A162&gt;TOMATO_BED_CAP,$B162&gt;CARROT_BED_CAP,AG$4&gt;MESCLUN_BED_CAP,$A162+$B162+AG$4&gt;TOTAL_BEDS_AVAILABLE,($D162+AG$5)&gt;TOTAL_LABOR_HOURS_CAP,MAX(0,($D162+AG$5)-PERMANENT_FIELD_LABOR_HOURS)&gt;TEMP_HOURS_CAP),"",$C162+AG$6-MIN(($D162+AG$5),PERMANENT_FIELD_LABOR_HOURS)*PERMANENT_HOURLY_RATE-MAX(0,($D162+AG$5)-PERMANENT_FIELD_LABOR_HOURS)*TEMP_HOURLY_RATE-FIXED_SEASON_COST)</f>
        <v>28516.3797572649</v>
      </c>
      <c r="AH162" s="53" t="n">
        <f aca="false">IF(OR($A162&gt;TOMATO_BED_CAP,$B162&gt;CARROT_BED_CAP,AH$4&gt;MESCLUN_BED_CAP,$A162+$B162+AH$4&gt;TOTAL_BEDS_AVAILABLE,($D162+AH$5)&gt;TOTAL_LABOR_HOURS_CAP,MAX(0,($D162+AH$5)-PERMANENT_FIELD_LABOR_HOURS)&gt;TEMP_HOURS_CAP),"",$C162+AH$6-MIN(($D162+AH$5),PERMANENT_FIELD_LABOR_HOURS)*PERMANENT_HOURLY_RATE-MAX(0,($D162+AH$5)-PERMANENT_FIELD_LABOR_HOURS)*TEMP_HOURLY_RATE-FIXED_SEASON_COST)</f>
        <v>28861.4821738151</v>
      </c>
      <c r="AI162" s="53" t="n">
        <f aca="false">IF(OR($A162&gt;TOMATO_BED_CAP,$B162&gt;CARROT_BED_CAP,AI$4&gt;MESCLUN_BED_CAP,$A162+$B162+AI$4&gt;TOTAL_BEDS_AVAILABLE,($D162+AI$5)&gt;TOTAL_LABOR_HOURS_CAP,MAX(0,($D162+AI$5)-PERMANENT_FIELD_LABOR_HOURS)&gt;TEMP_HOURS_CAP),"",$C162+AI$6-MIN(($D162+AI$5),PERMANENT_FIELD_LABOR_HOURS)*PERMANENT_HOURLY_RATE-MAX(0,($D162+AI$5)-PERMANENT_FIELD_LABOR_HOURS)*TEMP_HOURLY_RATE-FIXED_SEASON_COST)</f>
        <v>29174.3212057274</v>
      </c>
      <c r="AJ162" s="53" t="n">
        <f aca="false">IF(OR($A162&gt;TOMATO_BED_CAP,$B162&gt;CARROT_BED_CAP,AJ$4&gt;MESCLUN_BED_CAP,$A162+$B162+AJ$4&gt;TOTAL_BEDS_AVAILABLE,($D162+AJ$5)&gt;TOTAL_LABOR_HOURS_CAP,MAX(0,($D162+AJ$5)-PERMANENT_FIELD_LABOR_HOURS)&gt;TEMP_HOURS_CAP),"",$C162+AJ$6-MIN(($D162+AJ$5),PERMANENT_FIELD_LABOR_HOURS)*PERMANENT_HOURLY_RATE-MAX(0,($D162+AJ$5)-PERMANENT_FIELD_LABOR_HOURS)*TEMP_HOURLY_RATE-FIXED_SEASON_COST)</f>
        <v>29454.3207211331</v>
      </c>
    </row>
    <row r="163" customFormat="false" ht="15" hidden="false" customHeight="false" outlineLevel="0" collapsed="false">
      <c r="A163" s="21" t="n">
        <f aca="false">INT((ROW()-ROW($A$8))/(20+1))</f>
        <v>7</v>
      </c>
      <c r="B163" s="21" t="n">
        <f aca="false">MOD(ROW()-ROW($A$8),20+1)</f>
        <v>8</v>
      </c>
      <c r="C163" s="13" t="n">
        <f aca="false">A163*(TOMATO_REVENUE_PER_BED-TOMATO_FERTILIZER_PER_BED)+B163*(CARROT_REVENUE_PER_BED-CARROT_FERTILIZER_PER_BED)</f>
        <v>68672</v>
      </c>
      <c r="D163" s="14" t="n">
        <f aca="false">INDEX(TOMATO_SCHED_LABOR_HRS,A163+1)+INDEX(CARROT_SCHED_LABOR_HRS,B163+1)</f>
        <v>1519.99150172422</v>
      </c>
      <c r="E163" s="13" t="n">
        <f aca="false">IF(COUNT(F163:AJ163)=0,"",MAX(F163:AJ163))</f>
        <v>30365.7368249401</v>
      </c>
      <c r="F163" s="53" t="n">
        <f aca="false">IF(OR($A163&gt;TOMATO_BED_CAP,$B163&gt;CARROT_BED_CAP,F$4&gt;MESCLUN_BED_CAP,$A163+$B163+F$4&gt;TOTAL_BEDS_AVAILABLE,($D163+F$5)&gt;TOTAL_LABOR_HOURS_CAP,MAX(0,($D163+F$5)-PERMANENT_FIELD_LABOR_HOURS)&gt;TEMP_HOURS_CAP),"",$C163+F$6-MIN(($D163+F$5),PERMANENT_FIELD_LABOR_HOURS)*PERMANENT_HOURLY_RATE-MAX(0,($D163+F$5)-PERMANENT_FIELD_LABOR_HOURS)*TEMP_HOURLY_RATE-FIXED_SEASON_COST)</f>
        <v>9785.74753006755</v>
      </c>
      <c r="G163" s="53" t="n">
        <f aca="false">IF(OR($A163&gt;TOMATO_BED_CAP,$B163&gt;CARROT_BED_CAP,G$4&gt;MESCLUN_BED_CAP,$A163+$B163+G$4&gt;TOTAL_BEDS_AVAILABLE,($D163+G$5)&gt;TOTAL_LABOR_HOURS_CAP,MAX(0,($D163+G$5)-PERMANENT_FIELD_LABOR_HOURS)&gt;TEMP_HOURS_CAP),"",$C163+G$6-MIN(($D163+G$5),PERMANENT_FIELD_LABOR_HOURS)*PERMANENT_HOURLY_RATE-MAX(0,($D163+G$5)-PERMANENT_FIELD_LABOR_HOURS)*TEMP_HOURLY_RATE-FIXED_SEASON_COST)</f>
        <v>10814.7825300675</v>
      </c>
      <c r="H163" s="53" t="n">
        <f aca="false">IF(OR($A163&gt;TOMATO_BED_CAP,$B163&gt;CARROT_BED_CAP,H$4&gt;MESCLUN_BED_CAP,$A163+$B163+H$4&gt;TOTAL_BEDS_AVAILABLE,($D163+H$5)&gt;TOTAL_LABOR_HOURS_CAP,MAX(0,($D163+H$5)-PERMANENT_FIELD_LABOR_HOURS)&gt;TEMP_HOURS_CAP),"",$C163+H$6-MIN(($D163+H$5),PERMANENT_FIELD_LABOR_HOURS)*PERMANENT_HOURLY_RATE-MAX(0,($D163+H$5)-PERMANENT_FIELD_LABOR_HOURS)*TEMP_HOURLY_RATE-FIXED_SEASON_COST)</f>
        <v>11824.0434050676</v>
      </c>
      <c r="I163" s="53" t="n">
        <f aca="false">IF(OR($A163&gt;TOMATO_BED_CAP,$B163&gt;CARROT_BED_CAP,I$4&gt;MESCLUN_BED_CAP,$A163+$B163+I$4&gt;TOTAL_BEDS_AVAILABLE,($D163+I$5)&gt;TOTAL_LABOR_HOURS_CAP,MAX(0,($D163+I$5)-PERMANENT_FIELD_LABOR_HOURS)&gt;TEMP_HOURS_CAP),"",$C163+I$6-MIN(($D163+I$5),PERMANENT_FIELD_LABOR_HOURS)*PERMANENT_HOURLY_RATE-MAX(0,($D163+I$5)-PERMANENT_FIELD_LABOR_HOURS)*TEMP_HOURLY_RATE-FIXED_SEASON_COST)</f>
        <v>12813.1593902238</v>
      </c>
      <c r="J163" s="53" t="n">
        <f aca="false">IF(OR($A163&gt;TOMATO_BED_CAP,$B163&gt;CARROT_BED_CAP,J$4&gt;MESCLUN_BED_CAP,$A163+$B163+J$4&gt;TOTAL_BEDS_AVAILABLE,($D163+J$5)&gt;TOTAL_LABOR_HOURS_CAP,MAX(0,($D163+J$5)-PERMANENT_FIELD_LABOR_HOURS)&gt;TEMP_HOURS_CAP),"",$C163+J$6-MIN(($D163+J$5),PERMANENT_FIELD_LABOR_HOURS)*PERMANENT_HOURLY_RATE-MAX(0,($D163+J$5)-PERMANENT_FIELD_LABOR_HOURS)*TEMP_HOURLY_RATE-FIXED_SEASON_COST)</f>
        <v>13781.7535412785</v>
      </c>
      <c r="K163" s="53" t="n">
        <f aca="false">IF(OR($A163&gt;TOMATO_BED_CAP,$B163&gt;CARROT_BED_CAP,K$4&gt;MESCLUN_BED_CAP,$A163+$B163+K$4&gt;TOTAL_BEDS_AVAILABLE,($D163+K$5)&gt;TOTAL_LABOR_HOURS_CAP,MAX(0,($D163+K$5)-PERMANENT_FIELD_LABOR_HOURS)&gt;TEMP_HOURS_CAP),"",$C163+K$6-MIN(($D163+K$5),PERMANENT_FIELD_LABOR_HOURS)*PERMANENT_HOURLY_RATE-MAX(0,($D163+K$5)-PERMANENT_FIELD_LABOR_HOURS)*TEMP_HOURLY_RATE-FIXED_SEASON_COST)</f>
        <v>14729.4426380064</v>
      </c>
      <c r="L163" s="53" t="n">
        <f aca="false">IF(OR($A163&gt;TOMATO_BED_CAP,$B163&gt;CARROT_BED_CAP,L$4&gt;MESCLUN_BED_CAP,$A163+$B163+L$4&gt;TOTAL_BEDS_AVAILABLE,($D163+L$5)&gt;TOTAL_LABOR_HOURS_CAP,MAX(0,($D163+L$5)-PERMANENT_FIELD_LABOR_HOURS)&gt;TEMP_HOURS_CAP),"",$C163+L$6-MIN(($D163+L$5),PERMANENT_FIELD_LABOR_HOURS)*PERMANENT_HOURLY_RATE-MAX(0,($D163+L$5)-PERMANENT_FIELD_LABOR_HOURS)*TEMP_HOURLY_RATE-FIXED_SEASON_COST)</f>
        <v>15655.8370862132</v>
      </c>
      <c r="M163" s="53" t="n">
        <f aca="false">IF(OR($A163&gt;TOMATO_BED_CAP,$B163&gt;CARROT_BED_CAP,M$4&gt;MESCLUN_BED_CAP,$A163+$B163+M$4&gt;TOTAL_BEDS_AVAILABLE,($D163+M$5)&gt;TOTAL_LABOR_HOURS_CAP,MAX(0,($D163+M$5)-PERMANENT_FIELD_LABOR_HOURS)&gt;TEMP_HOURS_CAP),"",$C163+M$6-MIN(($D163+M$5),PERMANENT_FIELD_LABOR_HOURS)*PERMANENT_HOURLY_RATE-MAX(0,($D163+M$5)-PERMANENT_FIELD_LABOR_HOURS)*TEMP_HOURLY_RATE-FIXED_SEASON_COST)</f>
        <v>16560.5408182647</v>
      </c>
      <c r="N163" s="53" t="n">
        <f aca="false">IF(OR($A163&gt;TOMATO_BED_CAP,$B163&gt;CARROT_BED_CAP,N$4&gt;MESCLUN_BED_CAP,$A163+$B163+N$4&gt;TOTAL_BEDS_AVAILABLE,($D163+N$5)&gt;TOTAL_LABOR_HOURS_CAP,MAX(0,($D163+N$5)-PERMANENT_FIELD_LABOR_HOURS)&gt;TEMP_HOURS_CAP),"",$C163+N$6-MIN(($D163+N$5),PERMANENT_FIELD_LABOR_HOURS)*PERMANENT_HOURLY_RATE-MAX(0,($D163+N$5)-PERMANENT_FIELD_LABOR_HOURS)*TEMP_HOURLY_RATE-FIXED_SEASON_COST)</f>
        <v>17443.1511921242</v>
      </c>
      <c r="O163" s="53" t="n">
        <f aca="false">IF(OR($A163&gt;TOMATO_BED_CAP,$B163&gt;CARROT_BED_CAP,O$4&gt;MESCLUN_BED_CAP,$A163+$B163+O$4&gt;TOTAL_BEDS_AVAILABLE,($D163+O$5)&gt;TOTAL_LABOR_HOURS_CAP,MAX(0,($D163+O$5)-PERMANENT_FIELD_LABOR_HOURS)&gt;TEMP_HOURS_CAP),"",$C163+O$6-MIN(($D163+O$5),PERMANENT_FIELD_LABOR_HOURS)*PERMANENT_HOURLY_RATE-MAX(0,($D163+O$5)-PERMANENT_FIELD_LABOR_HOURS)*TEMP_HOURLY_RATE-FIXED_SEASON_COST)</f>
        <v>18303.2588888789</v>
      </c>
      <c r="P163" s="53" t="n">
        <f aca="false">IF(OR($A163&gt;TOMATO_BED_CAP,$B163&gt;CARROT_BED_CAP,P$4&gt;MESCLUN_BED_CAP,$A163+$B163+P$4&gt;TOTAL_BEDS_AVAILABLE,($D163+P$5)&gt;TOTAL_LABOR_HOURS_CAP,MAX(0,($D163+P$5)-PERMANENT_FIELD_LABOR_HOURS)&gt;TEMP_HOURS_CAP),"",$C163+P$6-MIN(($D163+P$5),PERMANENT_FIELD_LABOR_HOURS)*PERMANENT_HOURLY_RATE-MAX(0,($D163+P$5)-PERMANENT_FIELD_LABOR_HOURS)*TEMP_HOURLY_RATE-FIXED_SEASON_COST)</f>
        <v>19140.4478087304</v>
      </c>
      <c r="Q163" s="53" t="n">
        <f aca="false">IF(OR($A163&gt;TOMATO_BED_CAP,$B163&gt;CARROT_BED_CAP,Q$4&gt;MESCLUN_BED_CAP,$A163+$B163+Q$4&gt;TOTAL_BEDS_AVAILABLE,($D163+Q$5)&gt;TOTAL_LABOR_HOURS_CAP,MAX(0,($D163+Q$5)-PERMANENT_FIELD_LABOR_HOURS)&gt;TEMP_HOURS_CAP),"",$C163+Q$6-MIN(($D163+Q$5),PERMANENT_FIELD_LABOR_HOURS)*PERMANENT_HOURLY_RATE-MAX(0,($D163+Q$5)-PERMANENT_FIELD_LABOR_HOURS)*TEMP_HOURLY_RATE-FIXED_SEASON_COST)</f>
        <v>19954.2949654283</v>
      </c>
      <c r="R163" s="53" t="n">
        <f aca="false">IF(OR($A163&gt;TOMATO_BED_CAP,$B163&gt;CARROT_BED_CAP,R$4&gt;MESCLUN_BED_CAP,$A163+$B163+R$4&gt;TOTAL_BEDS_AVAILABLE,($D163+R$5)&gt;TOTAL_LABOR_HOURS_CAP,MAX(0,($D163+R$5)-PERMANENT_FIELD_LABOR_HOURS)&gt;TEMP_HOURS_CAP),"",$C163+R$6-MIN(($D163+R$5),PERMANENT_FIELD_LABOR_HOURS)*PERMANENT_HOURLY_RATE-MAX(0,($D163+R$5)-PERMANENT_FIELD_LABOR_HOURS)*TEMP_HOURLY_RATE-FIXED_SEASON_COST)</f>
        <v>20744.3703791251</v>
      </c>
      <c r="S163" s="53" t="n">
        <f aca="false">IF(OR($A163&gt;TOMATO_BED_CAP,$B163&gt;CARROT_BED_CAP,S$4&gt;MESCLUN_BED_CAP,$A163+$B163+S$4&gt;TOTAL_BEDS_AVAILABLE,($D163+S$5)&gt;TOTAL_LABOR_HOURS_CAP,MAX(0,($D163+S$5)-PERMANENT_FIELD_LABOR_HOURS)&gt;TEMP_HOURS_CAP),"",$C163+S$6-MIN(($D163+S$5),PERMANENT_FIELD_LABOR_HOURS)*PERMANENT_HOURLY_RATE-MAX(0,($D163+S$5)-PERMANENT_FIELD_LABOR_HOURS)*TEMP_HOURLY_RATE-FIXED_SEASON_COST)</f>
        <v>21510.2369676275</v>
      </c>
      <c r="T163" s="53" t="n">
        <f aca="false">IF(OR($A163&gt;TOMATO_BED_CAP,$B163&gt;CARROT_BED_CAP,T$4&gt;MESCLUN_BED_CAP,$A163+$B163+T$4&gt;TOTAL_BEDS_AVAILABLE,($D163+T$5)&gt;TOTAL_LABOR_HOURS_CAP,MAX(0,($D163+T$5)-PERMANENT_FIELD_LABOR_HOURS)&gt;TEMP_HOURS_CAP),"",$C163+T$6-MIN(($D163+T$5),PERMANENT_FIELD_LABOR_HOURS)*PERMANENT_HOURLY_RATE-MAX(0,($D163+T$5)-PERMANENT_FIELD_LABOR_HOURS)*TEMP_HOURLY_RATE-FIXED_SEASON_COST)</f>
        <v>22251.4504360224</v>
      </c>
      <c r="U163" s="53" t="n">
        <f aca="false">IF(OR($A163&gt;TOMATO_BED_CAP,$B163&gt;CARROT_BED_CAP,U$4&gt;MESCLUN_BED_CAP,$A163+$B163+U$4&gt;TOTAL_BEDS_AVAILABLE,($D163+U$5)&gt;TOTAL_LABOR_HOURS_CAP,MAX(0,($D163+U$5)-PERMANENT_FIELD_LABOR_HOURS)&gt;TEMP_HOURS_CAP),"",$C163+U$6-MIN(($D163+U$5),PERMANENT_FIELD_LABOR_HOURS)*PERMANENT_HOURLY_RATE-MAX(0,($D163+U$5)-PERMANENT_FIELD_LABOR_HOURS)*TEMP_HOURLY_RATE-FIXED_SEASON_COST)</f>
        <v>22967.5591646525</v>
      </c>
      <c r="V163" s="53" t="n">
        <f aca="false">IF(OR($A163&gt;TOMATO_BED_CAP,$B163&gt;CARROT_BED_CAP,V$4&gt;MESCLUN_BED_CAP,$A163+$B163+V$4&gt;TOTAL_BEDS_AVAILABLE,($D163+V$5)&gt;TOTAL_LABOR_HOURS_CAP,MAX(0,($D163+V$5)-PERMANENT_FIELD_LABOR_HOURS)&gt;TEMP_HOURS_CAP),"",$C163+V$6-MIN(($D163+V$5),PERMANENT_FIELD_LABOR_HOURS)*PERMANENT_HOURLY_RATE-MAX(0,($D163+V$5)-PERMANENT_FIELD_LABOR_HOURS)*TEMP_HOURLY_RATE-FIXED_SEASON_COST)</f>
        <v>23658.1040954193</v>
      </c>
      <c r="W163" s="53" t="n">
        <f aca="false">IF(OR($A163&gt;TOMATO_BED_CAP,$B163&gt;CARROT_BED_CAP,W$4&gt;MESCLUN_BED_CAP,$A163+$B163+W$4&gt;TOTAL_BEDS_AVAILABLE,($D163+W$5)&gt;TOTAL_LABOR_HOURS_CAP,MAX(0,($D163+W$5)-PERMANENT_FIELD_LABOR_HOURS)&gt;TEMP_HOURS_CAP),"",$C163+W$6-MIN(($D163+W$5),PERMANENT_FIELD_LABOR_HOURS)*PERMANENT_HOURLY_RATE-MAX(0,($D163+W$5)-PERMANENT_FIELD_LABOR_HOURS)*TEMP_HOURLY_RATE-FIXED_SEASON_COST)</f>
        <v>24322.6186163873</v>
      </c>
      <c r="X163" s="53" t="n">
        <f aca="false">IF(OR($A163&gt;TOMATO_BED_CAP,$B163&gt;CARROT_BED_CAP,X$4&gt;MESCLUN_BED_CAP,$A163+$B163+X$4&gt;TOTAL_BEDS_AVAILABLE,($D163+X$5)&gt;TOTAL_LABOR_HOURS_CAP,MAX(0,($D163+X$5)-PERMANENT_FIELD_LABOR_HOURS)&gt;TEMP_HOURS_CAP),"",$C163+X$6-MIN(($D163+X$5),PERMANENT_FIELD_LABOR_HOURS)*PERMANENT_HOURLY_RATE-MAX(0,($D163+X$5)-PERMANENT_FIELD_LABOR_HOURS)*TEMP_HOURLY_RATE-FIXED_SEASON_COST)</f>
        <v>24960.6284446662</v>
      </c>
      <c r="Y163" s="53" t="n">
        <f aca="false">IF(OR($A163&gt;TOMATO_BED_CAP,$B163&gt;CARROT_BED_CAP,Y$4&gt;MESCLUN_BED_CAP,$A163+$B163+Y$4&gt;TOTAL_BEDS_AVAILABLE,($D163+Y$5)&gt;TOTAL_LABOR_HOURS_CAP,MAX(0,($D163+Y$5)-PERMANENT_FIELD_LABOR_HOURS)&gt;TEMP_HOURS_CAP),"",$C163+Y$6-MIN(($D163+Y$5),PERMANENT_FIELD_LABOR_HOURS)*PERMANENT_HOURLY_RATE-MAX(0,($D163+Y$5)-PERMANENT_FIELD_LABOR_HOURS)*TEMP_HOURLY_RATE-FIXED_SEASON_COST)</f>
        <v>25571.6515075449</v>
      </c>
      <c r="Z163" s="53" t="n">
        <f aca="false">IF(OR($A163&gt;TOMATO_BED_CAP,$B163&gt;CARROT_BED_CAP,Z$4&gt;MESCLUN_BED_CAP,$A163+$B163+Z$4&gt;TOTAL_BEDS_AVAILABLE,($D163+Z$5)&gt;TOTAL_LABOR_HOURS_CAP,MAX(0,($D163+Z$5)-PERMANENT_FIELD_LABOR_HOURS)&gt;TEMP_HOURS_CAP),"",$C163+Z$6-MIN(($D163+Z$5),PERMANENT_FIELD_LABOR_HOURS)*PERMANENT_HOURLY_RATE-MAX(0,($D163+Z$5)-PERMANENT_FIELD_LABOR_HOURS)*TEMP_HOURLY_RATE-FIXED_SEASON_COST)</f>
        <v>26155.1978218526</v>
      </c>
      <c r="AA163" s="53" t="n">
        <f aca="false">IF(OR($A163&gt;TOMATO_BED_CAP,$B163&gt;CARROT_BED_CAP,AA$4&gt;MESCLUN_BED_CAP,$A163+$B163+AA$4&gt;TOTAL_BEDS_AVAILABLE,($D163+AA$5)&gt;TOTAL_LABOR_HOURS_CAP,MAX(0,($D163+AA$5)-PERMANENT_FIELD_LABOR_HOURS)&gt;TEMP_HOURS_CAP),"",$C163+AA$6-MIN(($D163+AA$5),PERMANENT_FIELD_LABOR_HOURS)*PERMANENT_HOURLY_RATE-MAX(0,($D163+AA$5)-PERMANENT_FIELD_LABOR_HOURS)*TEMP_HOURLY_RATE-FIXED_SEASON_COST)</f>
        <v>26710.7693715216</v>
      </c>
      <c r="AB163" s="53" t="n">
        <f aca="false">IF(OR($A163&gt;TOMATO_BED_CAP,$B163&gt;CARROT_BED_CAP,AB$4&gt;MESCLUN_BED_CAP,$A163+$B163+AB$4&gt;TOTAL_BEDS_AVAILABLE,($D163+AB$5)&gt;TOTAL_LABOR_HOURS_CAP,MAX(0,($D163+AB$5)-PERMANENT_FIELD_LABOR_HOURS)&gt;TEMP_HOURS_CAP),"",$C163+AB$6-MIN(($D163+AB$5),PERMANENT_FIELD_LABOR_HOURS)*PERMANENT_HOURLY_RATE-MAX(0,($D163+AB$5)-PERMANENT_FIELD_LABOR_HOURS)*TEMP_HOURLY_RATE-FIXED_SEASON_COST)</f>
        <v>27237.8599833241</v>
      </c>
      <c r="AC163" s="53" t="n">
        <f aca="false">IF(OR($A163&gt;TOMATO_BED_CAP,$B163&gt;CARROT_BED_CAP,AC$4&gt;MESCLUN_BED_CAP,$A163+$B163+AC$4&gt;TOTAL_BEDS_AVAILABLE,($D163+AC$5)&gt;TOTAL_LABOR_HOURS_CAP,MAX(0,($D163+AC$5)-PERMANENT_FIELD_LABOR_HOURS)&gt;TEMP_HOURS_CAP),"",$C163+AC$6-MIN(($D163+AC$5),PERMANENT_FIELD_LABOR_HOURS)*PERMANENT_HOURLY_RATE-MAX(0,($D163+AC$5)-PERMANENT_FIELD_LABOR_HOURS)*TEMP_HOURLY_RATE-FIXED_SEASON_COST)</f>
        <v>27735.955200759</v>
      </c>
      <c r="AD163" s="53" t="n">
        <f aca="false">IF(OR($A163&gt;TOMATO_BED_CAP,$B163&gt;CARROT_BED_CAP,AD$4&gt;MESCLUN_BED_CAP,$A163+$B163+AD$4&gt;TOTAL_BEDS_AVAILABLE,($D163+AD$5)&gt;TOTAL_LABOR_HOURS_CAP,MAX(0,($D163+AD$5)-PERMANENT_FIELD_LABOR_HOURS)&gt;TEMP_HOURS_CAP),"",$C163+AD$6-MIN(($D163+AD$5),PERMANENT_FIELD_LABOR_HOURS)*PERMANENT_HOURLY_RATE-MAX(0,($D163+AD$5)-PERMANENT_FIELD_LABOR_HOURS)*TEMP_HOURLY_RATE-FIXED_SEASON_COST)</f>
        <v>28204.532156059</v>
      </c>
      <c r="AE163" s="53" t="n">
        <f aca="false">IF(OR($A163&gt;TOMATO_BED_CAP,$B163&gt;CARROT_BED_CAP,AE$4&gt;MESCLUN_BED_CAP,$A163+$B163+AE$4&gt;TOTAL_BEDS_AVAILABLE,($D163+AE$5)&gt;TOTAL_LABOR_HOURS_CAP,MAX(0,($D163+AE$5)-PERMANENT_FIELD_LABOR_HOURS)&gt;TEMP_HOURS_CAP),"",$C163+AE$6-MIN(($D163+AE$5),PERMANENT_FIELD_LABOR_HOURS)*PERMANENT_HOURLY_RATE-MAX(0,($D163+AE$5)-PERMANENT_FIELD_LABOR_HOURS)*TEMP_HOURLY_RATE-FIXED_SEASON_COST)</f>
        <v>28643.0594402929</v>
      </c>
      <c r="AF163" s="53" t="n">
        <f aca="false">IF(OR($A163&gt;TOMATO_BED_CAP,$B163&gt;CARROT_BED_CAP,AF$4&gt;MESCLUN_BED_CAP,$A163+$B163+AF$4&gt;TOTAL_BEDS_AVAILABLE,($D163+AF$5)&gt;TOTAL_LABOR_HOURS_CAP,MAX(0,($D163+AF$5)-PERMANENT_FIELD_LABOR_HOURS)&gt;TEMP_HOURS_CAP),"",$C163+AF$6-MIN(($D163+AF$5),PERMANENT_FIELD_LABOR_HOURS)*PERMANENT_HOURLY_RATE-MAX(0,($D163+AF$5)-PERMANENT_FIELD_LABOR_HOURS)*TEMP_HOURLY_RATE-FIXED_SEASON_COST)</f>
        <v>29050.9969715348</v>
      </c>
      <c r="AG163" s="53" t="n">
        <f aca="false">IF(OR($A163&gt;TOMATO_BED_CAP,$B163&gt;CARROT_BED_CAP,AG$4&gt;MESCLUN_BED_CAP,$A163+$B163+AG$4&gt;TOTAL_BEDS_AVAILABLE,($D163+AG$5)&gt;TOTAL_LABOR_HOURS_CAP,MAX(0,($D163+AG$5)-PERMANENT_FIELD_LABOR_HOURS)&gt;TEMP_HOURS_CAP),"",$C163+AG$6-MIN(($D163+AG$5),PERMANENT_FIELD_LABOR_HOURS)*PERMANENT_HOURLY_RATE-MAX(0,($D163+AG$5)-PERMANENT_FIELD_LABOR_HOURS)*TEMP_HOURLY_RATE-FIXED_SEASON_COST)</f>
        <v>29427.7958610719</v>
      </c>
      <c r="AH163" s="53" t="n">
        <f aca="false">IF(OR($A163&gt;TOMATO_BED_CAP,$B163&gt;CARROT_BED_CAP,AH$4&gt;MESCLUN_BED_CAP,$A163+$B163+AH$4&gt;TOTAL_BEDS_AVAILABLE,($D163+AH$5)&gt;TOTAL_LABOR_HOURS_CAP,MAX(0,($D163+AH$5)-PERMANENT_FIELD_LABOR_HOURS)&gt;TEMP_HOURS_CAP),"",$C163+AH$6-MIN(($D163+AH$5),PERMANENT_FIELD_LABOR_HOURS)*PERMANENT_HOURLY_RATE-MAX(0,($D163+AH$5)-PERMANENT_FIELD_LABOR_HOURS)*TEMP_HOURLY_RATE-FIXED_SEASON_COST)</f>
        <v>29772.8982776221</v>
      </c>
      <c r="AI163" s="53" t="n">
        <f aca="false">IF(OR($A163&gt;TOMATO_BED_CAP,$B163&gt;CARROT_BED_CAP,AI$4&gt;MESCLUN_BED_CAP,$A163+$B163+AI$4&gt;TOTAL_BEDS_AVAILABLE,($D163+AI$5)&gt;TOTAL_LABOR_HOURS_CAP,MAX(0,($D163+AI$5)-PERMANENT_FIELD_LABOR_HOURS)&gt;TEMP_HOURS_CAP),"",$C163+AI$6-MIN(($D163+AI$5),PERMANENT_FIELD_LABOR_HOURS)*PERMANENT_HOURLY_RATE-MAX(0,($D163+AI$5)-PERMANENT_FIELD_LABOR_HOURS)*TEMP_HOURLY_RATE-FIXED_SEASON_COST)</f>
        <v>30085.7373095343</v>
      </c>
      <c r="AJ163" s="53" t="n">
        <f aca="false">IF(OR($A163&gt;TOMATO_BED_CAP,$B163&gt;CARROT_BED_CAP,AJ$4&gt;MESCLUN_BED_CAP,$A163+$B163+AJ$4&gt;TOTAL_BEDS_AVAILABLE,($D163+AJ$5)&gt;TOTAL_LABOR_HOURS_CAP,MAX(0,($D163+AJ$5)-PERMANENT_FIELD_LABOR_HOURS)&gt;TEMP_HOURS_CAP),"",$C163+AJ$6-MIN(($D163+AJ$5),PERMANENT_FIELD_LABOR_HOURS)*PERMANENT_HOURLY_RATE-MAX(0,($D163+AJ$5)-PERMANENT_FIELD_LABOR_HOURS)*TEMP_HOURLY_RATE-FIXED_SEASON_COST)</f>
        <v>30365.7368249401</v>
      </c>
    </row>
    <row r="164" customFormat="false" ht="15" hidden="false" customHeight="false" outlineLevel="0" collapsed="false">
      <c r="A164" s="21" t="n">
        <f aca="false">INT((ROW()-ROW($A$8))/(20+1))</f>
        <v>7</v>
      </c>
      <c r="B164" s="21" t="n">
        <f aca="false">MOD(ROW()-ROW($A$8),20+1)</f>
        <v>9</v>
      </c>
      <c r="C164" s="13" t="n">
        <f aca="false">A164*(TOMATO_REVENUE_PER_BED-TOMATO_FERTILIZER_PER_BED)+B164*(CARROT_REVENUE_PER_BED-CARROT_FERTILIZER_PER_BED)</f>
        <v>70326</v>
      </c>
      <c r="D164" s="14" t="n">
        <f aca="false">INDEX(TOMATO_SCHED_LABOR_HRS,A164+1)+INDEX(CARROT_SCHED_LABOR_HRS,B164+1)</f>
        <v>1564.74989768512</v>
      </c>
      <c r="E164" s="13" t="n">
        <f aca="false">IF(COUNT(F164:AJ164)=0,"",MAX(F164:AJ164))</f>
        <v>31242.7310710589</v>
      </c>
      <c r="F164" s="53" t="n">
        <f aca="false">IF(OR($A164&gt;TOMATO_BED_CAP,$B164&gt;CARROT_BED_CAP,F$4&gt;MESCLUN_BED_CAP,$A164+$B164+F$4&gt;TOTAL_BEDS_AVAILABLE,($D164+F$5)&gt;TOTAL_LABOR_HOURS_CAP,MAX(0,($D164+F$5)-PERMANENT_FIELD_LABOR_HOURS)&gt;TEMP_HOURS_CAP),"",$C164+F$6-MIN(($D164+F$5),PERMANENT_FIELD_LABOR_HOURS)*PERMANENT_HOURLY_RATE-MAX(0,($D164+F$5)-PERMANENT_FIELD_LABOR_HOURS)*TEMP_HOURLY_RATE-FIXED_SEASON_COST)</f>
        <v>10662.7417761864</v>
      </c>
      <c r="G164" s="53" t="n">
        <f aca="false">IF(OR($A164&gt;TOMATO_BED_CAP,$B164&gt;CARROT_BED_CAP,G$4&gt;MESCLUN_BED_CAP,$A164+$B164+G$4&gt;TOTAL_BEDS_AVAILABLE,($D164+G$5)&gt;TOTAL_LABOR_HOURS_CAP,MAX(0,($D164+G$5)-PERMANENT_FIELD_LABOR_HOURS)&gt;TEMP_HOURS_CAP),"",$C164+G$6-MIN(($D164+G$5),PERMANENT_FIELD_LABOR_HOURS)*PERMANENT_HOURLY_RATE-MAX(0,($D164+G$5)-PERMANENT_FIELD_LABOR_HOURS)*TEMP_HOURLY_RATE-FIXED_SEASON_COST)</f>
        <v>11691.7767761864</v>
      </c>
      <c r="H164" s="53" t="n">
        <f aca="false">IF(OR($A164&gt;TOMATO_BED_CAP,$B164&gt;CARROT_BED_CAP,H$4&gt;MESCLUN_BED_CAP,$A164+$B164+H$4&gt;TOTAL_BEDS_AVAILABLE,($D164+H$5)&gt;TOTAL_LABOR_HOURS_CAP,MAX(0,($D164+H$5)-PERMANENT_FIELD_LABOR_HOURS)&gt;TEMP_HOURS_CAP),"",$C164+H$6-MIN(($D164+H$5),PERMANENT_FIELD_LABOR_HOURS)*PERMANENT_HOURLY_RATE-MAX(0,($D164+H$5)-PERMANENT_FIELD_LABOR_HOURS)*TEMP_HOURLY_RATE-FIXED_SEASON_COST)</f>
        <v>12701.0376511864</v>
      </c>
      <c r="I164" s="53" t="n">
        <f aca="false">IF(OR($A164&gt;TOMATO_BED_CAP,$B164&gt;CARROT_BED_CAP,I$4&gt;MESCLUN_BED_CAP,$A164+$B164+I$4&gt;TOTAL_BEDS_AVAILABLE,($D164+I$5)&gt;TOTAL_LABOR_HOURS_CAP,MAX(0,($D164+I$5)-PERMANENT_FIELD_LABOR_HOURS)&gt;TEMP_HOURS_CAP),"",$C164+I$6-MIN(($D164+I$5),PERMANENT_FIELD_LABOR_HOURS)*PERMANENT_HOURLY_RATE-MAX(0,($D164+I$5)-PERMANENT_FIELD_LABOR_HOURS)*TEMP_HOURLY_RATE-FIXED_SEASON_COST)</f>
        <v>13690.1536363426</v>
      </c>
      <c r="J164" s="53" t="n">
        <f aca="false">IF(OR($A164&gt;TOMATO_BED_CAP,$B164&gt;CARROT_BED_CAP,J$4&gt;MESCLUN_BED_CAP,$A164+$B164+J$4&gt;TOTAL_BEDS_AVAILABLE,($D164+J$5)&gt;TOTAL_LABOR_HOURS_CAP,MAX(0,($D164+J$5)-PERMANENT_FIELD_LABOR_HOURS)&gt;TEMP_HOURS_CAP),"",$C164+J$6-MIN(($D164+J$5),PERMANENT_FIELD_LABOR_HOURS)*PERMANENT_HOURLY_RATE-MAX(0,($D164+J$5)-PERMANENT_FIELD_LABOR_HOURS)*TEMP_HOURLY_RATE-FIXED_SEASON_COST)</f>
        <v>14658.7477873973</v>
      </c>
      <c r="K164" s="53" t="n">
        <f aca="false">IF(OR($A164&gt;TOMATO_BED_CAP,$B164&gt;CARROT_BED_CAP,K$4&gt;MESCLUN_BED_CAP,$A164+$B164+K$4&gt;TOTAL_BEDS_AVAILABLE,($D164+K$5)&gt;TOTAL_LABOR_HOURS_CAP,MAX(0,($D164+K$5)-PERMANENT_FIELD_LABOR_HOURS)&gt;TEMP_HOURS_CAP),"",$C164+K$6-MIN(($D164+K$5),PERMANENT_FIELD_LABOR_HOURS)*PERMANENT_HOURLY_RATE-MAX(0,($D164+K$5)-PERMANENT_FIELD_LABOR_HOURS)*TEMP_HOURLY_RATE-FIXED_SEASON_COST)</f>
        <v>15606.4368841252</v>
      </c>
      <c r="L164" s="53" t="n">
        <f aca="false">IF(OR($A164&gt;TOMATO_BED_CAP,$B164&gt;CARROT_BED_CAP,L$4&gt;MESCLUN_BED_CAP,$A164+$B164+L$4&gt;TOTAL_BEDS_AVAILABLE,($D164+L$5)&gt;TOTAL_LABOR_HOURS_CAP,MAX(0,($D164+L$5)-PERMANENT_FIELD_LABOR_HOURS)&gt;TEMP_HOURS_CAP),"",$C164+L$6-MIN(($D164+L$5),PERMANENT_FIELD_LABOR_HOURS)*PERMANENT_HOURLY_RATE-MAX(0,($D164+L$5)-PERMANENT_FIELD_LABOR_HOURS)*TEMP_HOURLY_RATE-FIXED_SEASON_COST)</f>
        <v>16532.8313323321</v>
      </c>
      <c r="M164" s="53" t="n">
        <f aca="false">IF(OR($A164&gt;TOMATO_BED_CAP,$B164&gt;CARROT_BED_CAP,M$4&gt;MESCLUN_BED_CAP,$A164+$B164+M$4&gt;TOTAL_BEDS_AVAILABLE,($D164+M$5)&gt;TOTAL_LABOR_HOURS_CAP,MAX(0,($D164+M$5)-PERMANENT_FIELD_LABOR_HOURS)&gt;TEMP_HOURS_CAP),"",$C164+M$6-MIN(($D164+M$5),PERMANENT_FIELD_LABOR_HOURS)*PERMANENT_HOURLY_RATE-MAX(0,($D164+M$5)-PERMANENT_FIELD_LABOR_HOURS)*TEMP_HOURLY_RATE-FIXED_SEASON_COST)</f>
        <v>17437.5350643835</v>
      </c>
      <c r="N164" s="53" t="n">
        <f aca="false">IF(OR($A164&gt;TOMATO_BED_CAP,$B164&gt;CARROT_BED_CAP,N$4&gt;MESCLUN_BED_CAP,$A164+$B164+N$4&gt;TOTAL_BEDS_AVAILABLE,($D164+N$5)&gt;TOTAL_LABOR_HOURS_CAP,MAX(0,($D164+N$5)-PERMANENT_FIELD_LABOR_HOURS)&gt;TEMP_HOURS_CAP),"",$C164+N$6-MIN(($D164+N$5),PERMANENT_FIELD_LABOR_HOURS)*PERMANENT_HOURLY_RATE-MAX(0,($D164+N$5)-PERMANENT_FIELD_LABOR_HOURS)*TEMP_HOURLY_RATE-FIXED_SEASON_COST)</f>
        <v>18320.145438243</v>
      </c>
      <c r="O164" s="53" t="n">
        <f aca="false">IF(OR($A164&gt;TOMATO_BED_CAP,$B164&gt;CARROT_BED_CAP,O$4&gt;MESCLUN_BED_CAP,$A164+$B164+O$4&gt;TOTAL_BEDS_AVAILABLE,($D164+O$5)&gt;TOTAL_LABOR_HOURS_CAP,MAX(0,($D164+O$5)-PERMANENT_FIELD_LABOR_HOURS)&gt;TEMP_HOURS_CAP),"",$C164+O$6-MIN(($D164+O$5),PERMANENT_FIELD_LABOR_HOURS)*PERMANENT_HOURLY_RATE-MAX(0,($D164+O$5)-PERMANENT_FIELD_LABOR_HOURS)*TEMP_HOURLY_RATE-FIXED_SEASON_COST)</f>
        <v>19180.2531349978</v>
      </c>
      <c r="P164" s="53" t="n">
        <f aca="false">IF(OR($A164&gt;TOMATO_BED_CAP,$B164&gt;CARROT_BED_CAP,P$4&gt;MESCLUN_BED_CAP,$A164+$B164+P$4&gt;TOTAL_BEDS_AVAILABLE,($D164+P$5)&gt;TOTAL_LABOR_HOURS_CAP,MAX(0,($D164+P$5)-PERMANENT_FIELD_LABOR_HOURS)&gt;TEMP_HOURS_CAP),"",$C164+P$6-MIN(($D164+P$5),PERMANENT_FIELD_LABOR_HOURS)*PERMANENT_HOURLY_RATE-MAX(0,($D164+P$5)-PERMANENT_FIELD_LABOR_HOURS)*TEMP_HOURLY_RATE-FIXED_SEASON_COST)</f>
        <v>20017.4420548492</v>
      </c>
      <c r="Q164" s="53" t="n">
        <f aca="false">IF(OR($A164&gt;TOMATO_BED_CAP,$B164&gt;CARROT_BED_CAP,Q$4&gt;MESCLUN_BED_CAP,$A164+$B164+Q$4&gt;TOTAL_BEDS_AVAILABLE,($D164+Q$5)&gt;TOTAL_LABOR_HOURS_CAP,MAX(0,($D164+Q$5)-PERMANENT_FIELD_LABOR_HOURS)&gt;TEMP_HOURS_CAP),"",$C164+Q$6-MIN(($D164+Q$5),PERMANENT_FIELD_LABOR_HOURS)*PERMANENT_HOURLY_RATE-MAX(0,($D164+Q$5)-PERMANENT_FIELD_LABOR_HOURS)*TEMP_HOURLY_RATE-FIXED_SEASON_COST)</f>
        <v>20831.2892115471</v>
      </c>
      <c r="R164" s="53" t="n">
        <f aca="false">IF(OR($A164&gt;TOMATO_BED_CAP,$B164&gt;CARROT_BED_CAP,R$4&gt;MESCLUN_BED_CAP,$A164+$B164+R$4&gt;TOTAL_BEDS_AVAILABLE,($D164+R$5)&gt;TOTAL_LABOR_HOURS_CAP,MAX(0,($D164+R$5)-PERMANENT_FIELD_LABOR_HOURS)&gt;TEMP_HOURS_CAP),"",$C164+R$6-MIN(($D164+R$5),PERMANENT_FIELD_LABOR_HOURS)*PERMANENT_HOURLY_RATE-MAX(0,($D164+R$5)-PERMANENT_FIELD_LABOR_HOURS)*TEMP_HOURLY_RATE-FIXED_SEASON_COST)</f>
        <v>21621.3646252439</v>
      </c>
      <c r="S164" s="53" t="n">
        <f aca="false">IF(OR($A164&gt;TOMATO_BED_CAP,$B164&gt;CARROT_BED_CAP,S$4&gt;MESCLUN_BED_CAP,$A164+$B164+S$4&gt;TOTAL_BEDS_AVAILABLE,($D164+S$5)&gt;TOTAL_LABOR_HOURS_CAP,MAX(0,($D164+S$5)-PERMANENT_FIELD_LABOR_HOURS)&gt;TEMP_HOURS_CAP),"",$C164+S$6-MIN(($D164+S$5),PERMANENT_FIELD_LABOR_HOURS)*PERMANENT_HOURLY_RATE-MAX(0,($D164+S$5)-PERMANENT_FIELD_LABOR_HOURS)*TEMP_HOURLY_RATE-FIXED_SEASON_COST)</f>
        <v>22387.2312137464</v>
      </c>
      <c r="T164" s="53" t="n">
        <f aca="false">IF(OR($A164&gt;TOMATO_BED_CAP,$B164&gt;CARROT_BED_CAP,T$4&gt;MESCLUN_BED_CAP,$A164+$B164+T$4&gt;TOTAL_BEDS_AVAILABLE,($D164+T$5)&gt;TOTAL_LABOR_HOURS_CAP,MAX(0,($D164+T$5)-PERMANENT_FIELD_LABOR_HOURS)&gt;TEMP_HOURS_CAP),"",$C164+T$6-MIN(($D164+T$5),PERMANENT_FIELD_LABOR_HOURS)*PERMANENT_HOURLY_RATE-MAX(0,($D164+T$5)-PERMANENT_FIELD_LABOR_HOURS)*TEMP_HOURLY_RATE-FIXED_SEASON_COST)</f>
        <v>23128.4446821412</v>
      </c>
      <c r="U164" s="53" t="n">
        <f aca="false">IF(OR($A164&gt;TOMATO_BED_CAP,$B164&gt;CARROT_BED_CAP,U$4&gt;MESCLUN_BED_CAP,$A164+$B164+U$4&gt;TOTAL_BEDS_AVAILABLE,($D164+U$5)&gt;TOTAL_LABOR_HOURS_CAP,MAX(0,($D164+U$5)-PERMANENT_FIELD_LABOR_HOURS)&gt;TEMP_HOURS_CAP),"",$C164+U$6-MIN(($D164+U$5),PERMANENT_FIELD_LABOR_HOURS)*PERMANENT_HOURLY_RATE-MAX(0,($D164+U$5)-PERMANENT_FIELD_LABOR_HOURS)*TEMP_HOURLY_RATE-FIXED_SEASON_COST)</f>
        <v>23844.5534107713</v>
      </c>
      <c r="V164" s="53" t="n">
        <f aca="false">IF(OR($A164&gt;TOMATO_BED_CAP,$B164&gt;CARROT_BED_CAP,V$4&gt;MESCLUN_BED_CAP,$A164+$B164+V$4&gt;TOTAL_BEDS_AVAILABLE,($D164+V$5)&gt;TOTAL_LABOR_HOURS_CAP,MAX(0,($D164+V$5)-PERMANENT_FIELD_LABOR_HOURS)&gt;TEMP_HOURS_CAP),"",$C164+V$6-MIN(($D164+V$5),PERMANENT_FIELD_LABOR_HOURS)*PERMANENT_HOURLY_RATE-MAX(0,($D164+V$5)-PERMANENT_FIELD_LABOR_HOURS)*TEMP_HOURLY_RATE-FIXED_SEASON_COST)</f>
        <v>24535.0983415381</v>
      </c>
      <c r="W164" s="53" t="n">
        <f aca="false">IF(OR($A164&gt;TOMATO_BED_CAP,$B164&gt;CARROT_BED_CAP,W$4&gt;MESCLUN_BED_CAP,$A164+$B164+W$4&gt;TOTAL_BEDS_AVAILABLE,($D164+W$5)&gt;TOTAL_LABOR_HOURS_CAP,MAX(0,($D164+W$5)-PERMANENT_FIELD_LABOR_HOURS)&gt;TEMP_HOURS_CAP),"",$C164+W$6-MIN(($D164+W$5),PERMANENT_FIELD_LABOR_HOURS)*PERMANENT_HOURLY_RATE-MAX(0,($D164+W$5)-PERMANENT_FIELD_LABOR_HOURS)*TEMP_HOURLY_RATE-FIXED_SEASON_COST)</f>
        <v>25199.6128625062</v>
      </c>
      <c r="X164" s="53" t="n">
        <f aca="false">IF(OR($A164&gt;TOMATO_BED_CAP,$B164&gt;CARROT_BED_CAP,X$4&gt;MESCLUN_BED_CAP,$A164+$B164+X$4&gt;TOTAL_BEDS_AVAILABLE,($D164+X$5)&gt;TOTAL_LABOR_HOURS_CAP,MAX(0,($D164+X$5)-PERMANENT_FIELD_LABOR_HOURS)&gt;TEMP_HOURS_CAP),"",$C164+X$6-MIN(($D164+X$5),PERMANENT_FIELD_LABOR_HOURS)*PERMANENT_HOURLY_RATE-MAX(0,($D164+X$5)-PERMANENT_FIELD_LABOR_HOURS)*TEMP_HOURLY_RATE-FIXED_SEASON_COST)</f>
        <v>25837.6226907851</v>
      </c>
      <c r="Y164" s="53" t="n">
        <f aca="false">IF(OR($A164&gt;TOMATO_BED_CAP,$B164&gt;CARROT_BED_CAP,Y$4&gt;MESCLUN_BED_CAP,$A164+$B164+Y$4&gt;TOTAL_BEDS_AVAILABLE,($D164+Y$5)&gt;TOTAL_LABOR_HOURS_CAP,MAX(0,($D164+Y$5)-PERMANENT_FIELD_LABOR_HOURS)&gt;TEMP_HOURS_CAP),"",$C164+Y$6-MIN(($D164+Y$5),PERMANENT_FIELD_LABOR_HOURS)*PERMANENT_HOURLY_RATE-MAX(0,($D164+Y$5)-PERMANENT_FIELD_LABOR_HOURS)*TEMP_HOURLY_RATE-FIXED_SEASON_COST)</f>
        <v>26448.6457536637</v>
      </c>
      <c r="Z164" s="53" t="n">
        <f aca="false">IF(OR($A164&gt;TOMATO_BED_CAP,$B164&gt;CARROT_BED_CAP,Z$4&gt;MESCLUN_BED_CAP,$A164+$B164+Z$4&gt;TOTAL_BEDS_AVAILABLE,($D164+Z$5)&gt;TOTAL_LABOR_HOURS_CAP,MAX(0,($D164+Z$5)-PERMANENT_FIELD_LABOR_HOURS)&gt;TEMP_HOURS_CAP),"",$C164+Z$6-MIN(($D164+Z$5),PERMANENT_FIELD_LABOR_HOURS)*PERMANENT_HOURLY_RATE-MAX(0,($D164+Z$5)-PERMANENT_FIELD_LABOR_HOURS)*TEMP_HOURLY_RATE-FIXED_SEASON_COST)</f>
        <v>27032.1920679715</v>
      </c>
      <c r="AA164" s="53" t="n">
        <f aca="false">IF(OR($A164&gt;TOMATO_BED_CAP,$B164&gt;CARROT_BED_CAP,AA$4&gt;MESCLUN_BED_CAP,$A164+$B164+AA$4&gt;TOTAL_BEDS_AVAILABLE,($D164+AA$5)&gt;TOTAL_LABOR_HOURS_CAP,MAX(0,($D164+AA$5)-PERMANENT_FIELD_LABOR_HOURS)&gt;TEMP_HOURS_CAP),"",$C164+AA$6-MIN(($D164+AA$5),PERMANENT_FIELD_LABOR_HOURS)*PERMANENT_HOURLY_RATE-MAX(0,($D164+AA$5)-PERMANENT_FIELD_LABOR_HOURS)*TEMP_HOURLY_RATE-FIXED_SEASON_COST)</f>
        <v>27587.7636176404</v>
      </c>
      <c r="AB164" s="53" t="n">
        <f aca="false">IF(OR($A164&gt;TOMATO_BED_CAP,$B164&gt;CARROT_BED_CAP,AB$4&gt;MESCLUN_BED_CAP,$A164+$B164+AB$4&gt;TOTAL_BEDS_AVAILABLE,($D164+AB$5)&gt;TOTAL_LABOR_HOURS_CAP,MAX(0,($D164+AB$5)-PERMANENT_FIELD_LABOR_HOURS)&gt;TEMP_HOURS_CAP),"",$C164+AB$6-MIN(($D164+AB$5),PERMANENT_FIELD_LABOR_HOURS)*PERMANENT_HOURLY_RATE-MAX(0,($D164+AB$5)-PERMANENT_FIELD_LABOR_HOURS)*TEMP_HOURLY_RATE-FIXED_SEASON_COST)</f>
        <v>28114.854229443</v>
      </c>
      <c r="AC164" s="53" t="n">
        <f aca="false">IF(OR($A164&gt;TOMATO_BED_CAP,$B164&gt;CARROT_BED_CAP,AC$4&gt;MESCLUN_BED_CAP,$A164+$B164+AC$4&gt;TOTAL_BEDS_AVAILABLE,($D164+AC$5)&gt;TOTAL_LABOR_HOURS_CAP,MAX(0,($D164+AC$5)-PERMANENT_FIELD_LABOR_HOURS)&gt;TEMP_HOURS_CAP),"",$C164+AC$6-MIN(($D164+AC$5),PERMANENT_FIELD_LABOR_HOURS)*PERMANENT_HOURLY_RATE-MAX(0,($D164+AC$5)-PERMANENT_FIELD_LABOR_HOURS)*TEMP_HOURLY_RATE-FIXED_SEASON_COST)</f>
        <v>28612.9494468779</v>
      </c>
      <c r="AD164" s="53" t="n">
        <f aca="false">IF(OR($A164&gt;TOMATO_BED_CAP,$B164&gt;CARROT_BED_CAP,AD$4&gt;MESCLUN_BED_CAP,$A164+$B164+AD$4&gt;TOTAL_BEDS_AVAILABLE,($D164+AD$5)&gt;TOTAL_LABOR_HOURS_CAP,MAX(0,($D164+AD$5)-PERMANENT_FIELD_LABOR_HOURS)&gt;TEMP_HOURS_CAP),"",$C164+AD$6-MIN(($D164+AD$5),PERMANENT_FIELD_LABOR_HOURS)*PERMANENT_HOURLY_RATE-MAX(0,($D164+AD$5)-PERMANENT_FIELD_LABOR_HOURS)*TEMP_HOURLY_RATE-FIXED_SEASON_COST)</f>
        <v>29081.5264021778</v>
      </c>
      <c r="AE164" s="53" t="n">
        <f aca="false">IF(OR($A164&gt;TOMATO_BED_CAP,$B164&gt;CARROT_BED_CAP,AE$4&gt;MESCLUN_BED_CAP,$A164+$B164+AE$4&gt;TOTAL_BEDS_AVAILABLE,($D164+AE$5)&gt;TOTAL_LABOR_HOURS_CAP,MAX(0,($D164+AE$5)-PERMANENT_FIELD_LABOR_HOURS)&gt;TEMP_HOURS_CAP),"",$C164+AE$6-MIN(($D164+AE$5),PERMANENT_FIELD_LABOR_HOURS)*PERMANENT_HOURLY_RATE-MAX(0,($D164+AE$5)-PERMANENT_FIELD_LABOR_HOURS)*TEMP_HOURLY_RATE-FIXED_SEASON_COST)</f>
        <v>29520.0536864117</v>
      </c>
      <c r="AF164" s="53" t="n">
        <f aca="false">IF(OR($A164&gt;TOMATO_BED_CAP,$B164&gt;CARROT_BED_CAP,AF$4&gt;MESCLUN_BED_CAP,$A164+$B164+AF$4&gt;TOTAL_BEDS_AVAILABLE,($D164+AF$5)&gt;TOTAL_LABOR_HOURS_CAP,MAX(0,($D164+AF$5)-PERMANENT_FIELD_LABOR_HOURS)&gt;TEMP_HOURS_CAP),"",$C164+AF$6-MIN(($D164+AF$5),PERMANENT_FIELD_LABOR_HOURS)*PERMANENT_HOURLY_RATE-MAX(0,($D164+AF$5)-PERMANENT_FIELD_LABOR_HOURS)*TEMP_HOURLY_RATE-FIXED_SEASON_COST)</f>
        <v>29927.9912176537</v>
      </c>
      <c r="AG164" s="53" t="n">
        <f aca="false">IF(OR($A164&gt;TOMATO_BED_CAP,$B164&gt;CARROT_BED_CAP,AG$4&gt;MESCLUN_BED_CAP,$A164+$B164+AG$4&gt;TOTAL_BEDS_AVAILABLE,($D164+AG$5)&gt;TOTAL_LABOR_HOURS_CAP,MAX(0,($D164+AG$5)-PERMANENT_FIELD_LABOR_HOURS)&gt;TEMP_HOURS_CAP),"",$C164+AG$6-MIN(($D164+AG$5),PERMANENT_FIELD_LABOR_HOURS)*PERMANENT_HOURLY_RATE-MAX(0,($D164+AG$5)-PERMANENT_FIELD_LABOR_HOURS)*TEMP_HOURLY_RATE-FIXED_SEASON_COST)</f>
        <v>30304.7901071907</v>
      </c>
      <c r="AH164" s="53" t="n">
        <f aca="false">IF(OR($A164&gt;TOMATO_BED_CAP,$B164&gt;CARROT_BED_CAP,AH$4&gt;MESCLUN_BED_CAP,$A164+$B164+AH$4&gt;TOTAL_BEDS_AVAILABLE,($D164+AH$5)&gt;TOTAL_LABOR_HOURS_CAP,MAX(0,($D164+AH$5)-PERMANENT_FIELD_LABOR_HOURS)&gt;TEMP_HOURS_CAP),"",$C164+AH$6-MIN(($D164+AH$5),PERMANENT_FIELD_LABOR_HOURS)*PERMANENT_HOURLY_RATE-MAX(0,($D164+AH$5)-PERMANENT_FIELD_LABOR_HOURS)*TEMP_HOURLY_RATE-FIXED_SEASON_COST)</f>
        <v>30649.8925237409</v>
      </c>
      <c r="AI164" s="53" t="n">
        <f aca="false">IF(OR($A164&gt;TOMATO_BED_CAP,$B164&gt;CARROT_BED_CAP,AI$4&gt;MESCLUN_BED_CAP,$A164+$B164+AI$4&gt;TOTAL_BEDS_AVAILABLE,($D164+AI$5)&gt;TOTAL_LABOR_HOURS_CAP,MAX(0,($D164+AI$5)-PERMANENT_FIELD_LABOR_HOURS)&gt;TEMP_HOURS_CAP),"",$C164+AI$6-MIN(($D164+AI$5),PERMANENT_FIELD_LABOR_HOURS)*PERMANENT_HOURLY_RATE-MAX(0,($D164+AI$5)-PERMANENT_FIELD_LABOR_HOURS)*TEMP_HOURLY_RATE-FIXED_SEASON_COST)</f>
        <v>30962.7315556532</v>
      </c>
      <c r="AJ164" s="53" t="n">
        <f aca="false">IF(OR($A164&gt;TOMATO_BED_CAP,$B164&gt;CARROT_BED_CAP,AJ$4&gt;MESCLUN_BED_CAP,$A164+$B164+AJ$4&gt;TOTAL_BEDS_AVAILABLE,($D164+AJ$5)&gt;TOTAL_LABOR_HOURS_CAP,MAX(0,($D164+AJ$5)-PERMANENT_FIELD_LABOR_HOURS)&gt;TEMP_HOURS_CAP),"",$C164+AJ$6-MIN(($D164+AJ$5),PERMANENT_FIELD_LABOR_HOURS)*PERMANENT_HOURLY_RATE-MAX(0,($D164+AJ$5)-PERMANENT_FIELD_LABOR_HOURS)*TEMP_HOURLY_RATE-FIXED_SEASON_COST)</f>
        <v>31242.7310710589</v>
      </c>
    </row>
    <row r="165" customFormat="false" ht="15" hidden="false" customHeight="false" outlineLevel="0" collapsed="false">
      <c r="A165" s="21" t="n">
        <f aca="false">INT((ROW()-ROW($A$8))/(20+1))</f>
        <v>7</v>
      </c>
      <c r="B165" s="21" t="n">
        <f aca="false">MOD(ROW()-ROW($A$8),20+1)</f>
        <v>10</v>
      </c>
      <c r="C165" s="13" t="n">
        <f aca="false">A165*(TOMATO_REVENUE_PER_BED-TOMATO_FERTILIZER_PER_BED)+B165*(CARROT_REVENUE_PER_BED-CARROT_FERTILIZER_PER_BED)</f>
        <v>71980</v>
      </c>
      <c r="D165" s="14" t="n">
        <f aca="false">INDEX(TOMATO_SCHED_LABOR_HRS,A165+1)+INDEX(CARROT_SCHED_LABOR_HRS,B165+1)</f>
        <v>1611.5635261136</v>
      </c>
      <c r="E165" s="13" t="n">
        <f aca="false">IF(COUNT(F165:AJ165)=0,"",MAX(F165:AJ165))</f>
        <v>32084.0464815404</v>
      </c>
      <c r="F165" s="53" t="n">
        <f aca="false">IF(OR($A165&gt;TOMATO_BED_CAP,$B165&gt;CARROT_BED_CAP,F$4&gt;MESCLUN_BED_CAP,$A165+$B165+F$4&gt;TOTAL_BEDS_AVAILABLE,($D165+F$5)&gt;TOTAL_LABOR_HOURS_CAP,MAX(0,($D165+F$5)-PERMANENT_FIELD_LABOR_HOURS)&gt;TEMP_HOURS_CAP),"",$C165+F$6-MIN(($D165+F$5),PERMANENT_FIELD_LABOR_HOURS)*PERMANENT_HOURLY_RATE-MAX(0,($D165+F$5)-PERMANENT_FIELD_LABOR_HOURS)*TEMP_HOURLY_RATE-FIXED_SEASON_COST)</f>
        <v>11504.0571866678</v>
      </c>
      <c r="G165" s="53" t="n">
        <f aca="false">IF(OR($A165&gt;TOMATO_BED_CAP,$B165&gt;CARROT_BED_CAP,G$4&gt;MESCLUN_BED_CAP,$A165+$B165+G$4&gt;TOTAL_BEDS_AVAILABLE,($D165+G$5)&gt;TOTAL_LABOR_HOURS_CAP,MAX(0,($D165+G$5)-PERMANENT_FIELD_LABOR_HOURS)&gt;TEMP_HOURS_CAP),"",$C165+G$6-MIN(($D165+G$5),PERMANENT_FIELD_LABOR_HOURS)*PERMANENT_HOURLY_RATE-MAX(0,($D165+G$5)-PERMANENT_FIELD_LABOR_HOURS)*TEMP_HOURLY_RATE-FIXED_SEASON_COST)</f>
        <v>12533.0921866678</v>
      </c>
      <c r="H165" s="53" t="n">
        <f aca="false">IF(OR($A165&gt;TOMATO_BED_CAP,$B165&gt;CARROT_BED_CAP,H$4&gt;MESCLUN_BED_CAP,$A165+$B165+H$4&gt;TOTAL_BEDS_AVAILABLE,($D165+H$5)&gt;TOTAL_LABOR_HOURS_CAP,MAX(0,($D165+H$5)-PERMANENT_FIELD_LABOR_HOURS)&gt;TEMP_HOURS_CAP),"",$C165+H$6-MIN(($D165+H$5),PERMANENT_FIELD_LABOR_HOURS)*PERMANENT_HOURLY_RATE-MAX(0,($D165+H$5)-PERMANENT_FIELD_LABOR_HOURS)*TEMP_HOURLY_RATE-FIXED_SEASON_COST)</f>
        <v>13542.3530616678</v>
      </c>
      <c r="I165" s="53" t="n">
        <f aca="false">IF(OR($A165&gt;TOMATO_BED_CAP,$B165&gt;CARROT_BED_CAP,I$4&gt;MESCLUN_BED_CAP,$A165+$B165+I$4&gt;TOTAL_BEDS_AVAILABLE,($D165+I$5)&gt;TOTAL_LABOR_HOURS_CAP,MAX(0,($D165+I$5)-PERMANENT_FIELD_LABOR_HOURS)&gt;TEMP_HOURS_CAP),"",$C165+I$6-MIN(($D165+I$5),PERMANENT_FIELD_LABOR_HOURS)*PERMANENT_HOURLY_RATE-MAX(0,($D165+I$5)-PERMANENT_FIELD_LABOR_HOURS)*TEMP_HOURLY_RATE-FIXED_SEASON_COST)</f>
        <v>14531.4690468241</v>
      </c>
      <c r="J165" s="53" t="n">
        <f aca="false">IF(OR($A165&gt;TOMATO_BED_CAP,$B165&gt;CARROT_BED_CAP,J$4&gt;MESCLUN_BED_CAP,$A165+$B165+J$4&gt;TOTAL_BEDS_AVAILABLE,($D165+J$5)&gt;TOTAL_LABOR_HOURS_CAP,MAX(0,($D165+J$5)-PERMANENT_FIELD_LABOR_HOURS)&gt;TEMP_HOURS_CAP),"",$C165+J$6-MIN(($D165+J$5),PERMANENT_FIELD_LABOR_HOURS)*PERMANENT_HOURLY_RATE-MAX(0,($D165+J$5)-PERMANENT_FIELD_LABOR_HOURS)*TEMP_HOURLY_RATE-FIXED_SEASON_COST)</f>
        <v>15500.0631978788</v>
      </c>
      <c r="K165" s="53" t="n">
        <f aca="false">IF(OR($A165&gt;TOMATO_BED_CAP,$B165&gt;CARROT_BED_CAP,K$4&gt;MESCLUN_BED_CAP,$A165+$B165+K$4&gt;TOTAL_BEDS_AVAILABLE,($D165+K$5)&gt;TOTAL_LABOR_HOURS_CAP,MAX(0,($D165+K$5)-PERMANENT_FIELD_LABOR_HOURS)&gt;TEMP_HOURS_CAP),"",$C165+K$6-MIN(($D165+K$5),PERMANENT_FIELD_LABOR_HOURS)*PERMANENT_HOURLY_RATE-MAX(0,($D165+K$5)-PERMANENT_FIELD_LABOR_HOURS)*TEMP_HOURLY_RATE-FIXED_SEASON_COST)</f>
        <v>16447.7522946067</v>
      </c>
      <c r="L165" s="53" t="n">
        <f aca="false">IF(OR($A165&gt;TOMATO_BED_CAP,$B165&gt;CARROT_BED_CAP,L$4&gt;MESCLUN_BED_CAP,$A165+$B165+L$4&gt;TOTAL_BEDS_AVAILABLE,($D165+L$5)&gt;TOTAL_LABOR_HOURS_CAP,MAX(0,($D165+L$5)-PERMANENT_FIELD_LABOR_HOURS)&gt;TEMP_HOURS_CAP),"",$C165+L$6-MIN(($D165+L$5),PERMANENT_FIELD_LABOR_HOURS)*PERMANENT_HOURLY_RATE-MAX(0,($D165+L$5)-PERMANENT_FIELD_LABOR_HOURS)*TEMP_HOURLY_RATE-FIXED_SEASON_COST)</f>
        <v>17374.1467428135</v>
      </c>
      <c r="M165" s="53" t="n">
        <f aca="false">IF(OR($A165&gt;TOMATO_BED_CAP,$B165&gt;CARROT_BED_CAP,M$4&gt;MESCLUN_BED_CAP,$A165+$B165+M$4&gt;TOTAL_BEDS_AVAILABLE,($D165+M$5)&gt;TOTAL_LABOR_HOURS_CAP,MAX(0,($D165+M$5)-PERMANENT_FIELD_LABOR_HOURS)&gt;TEMP_HOURS_CAP),"",$C165+M$6-MIN(($D165+M$5),PERMANENT_FIELD_LABOR_HOURS)*PERMANENT_HOURLY_RATE-MAX(0,($D165+M$5)-PERMANENT_FIELD_LABOR_HOURS)*TEMP_HOURLY_RATE-FIXED_SEASON_COST)</f>
        <v>18278.8504748649</v>
      </c>
      <c r="N165" s="53" t="n">
        <f aca="false">IF(OR($A165&gt;TOMATO_BED_CAP,$B165&gt;CARROT_BED_CAP,N$4&gt;MESCLUN_BED_CAP,$A165+$B165+N$4&gt;TOTAL_BEDS_AVAILABLE,($D165+N$5)&gt;TOTAL_LABOR_HOURS_CAP,MAX(0,($D165+N$5)-PERMANENT_FIELD_LABOR_HOURS)&gt;TEMP_HOURS_CAP),"",$C165+N$6-MIN(($D165+N$5),PERMANENT_FIELD_LABOR_HOURS)*PERMANENT_HOURLY_RATE-MAX(0,($D165+N$5)-PERMANENT_FIELD_LABOR_HOURS)*TEMP_HOURLY_RATE-FIXED_SEASON_COST)</f>
        <v>19161.4608487245</v>
      </c>
      <c r="O165" s="53" t="n">
        <f aca="false">IF(OR($A165&gt;TOMATO_BED_CAP,$B165&gt;CARROT_BED_CAP,O$4&gt;MESCLUN_BED_CAP,$A165+$B165+O$4&gt;TOTAL_BEDS_AVAILABLE,($D165+O$5)&gt;TOTAL_LABOR_HOURS_CAP,MAX(0,($D165+O$5)-PERMANENT_FIELD_LABOR_HOURS)&gt;TEMP_HOURS_CAP),"",$C165+O$6-MIN(($D165+O$5),PERMANENT_FIELD_LABOR_HOURS)*PERMANENT_HOURLY_RATE-MAX(0,($D165+O$5)-PERMANENT_FIELD_LABOR_HOURS)*TEMP_HOURLY_RATE-FIXED_SEASON_COST)</f>
        <v>20021.5685454792</v>
      </c>
      <c r="P165" s="53" t="n">
        <f aca="false">IF(OR($A165&gt;TOMATO_BED_CAP,$B165&gt;CARROT_BED_CAP,P$4&gt;MESCLUN_BED_CAP,$A165+$B165+P$4&gt;TOTAL_BEDS_AVAILABLE,($D165+P$5)&gt;TOTAL_LABOR_HOURS_CAP,MAX(0,($D165+P$5)-PERMANENT_FIELD_LABOR_HOURS)&gt;TEMP_HOURS_CAP),"",$C165+P$6-MIN(($D165+P$5),PERMANENT_FIELD_LABOR_HOURS)*PERMANENT_HOURLY_RATE-MAX(0,($D165+P$5)-PERMANENT_FIELD_LABOR_HOURS)*TEMP_HOURLY_RATE-FIXED_SEASON_COST)</f>
        <v>20858.7574653307</v>
      </c>
      <c r="Q165" s="53" t="n">
        <f aca="false">IF(OR($A165&gt;TOMATO_BED_CAP,$B165&gt;CARROT_BED_CAP,Q$4&gt;MESCLUN_BED_CAP,$A165+$B165+Q$4&gt;TOTAL_BEDS_AVAILABLE,($D165+Q$5)&gt;TOTAL_LABOR_HOURS_CAP,MAX(0,($D165+Q$5)-PERMANENT_FIELD_LABOR_HOURS)&gt;TEMP_HOURS_CAP),"",$C165+Q$6-MIN(($D165+Q$5),PERMANENT_FIELD_LABOR_HOURS)*PERMANENT_HOURLY_RATE-MAX(0,($D165+Q$5)-PERMANENT_FIELD_LABOR_HOURS)*TEMP_HOURLY_RATE-FIXED_SEASON_COST)</f>
        <v>21672.6046220286</v>
      </c>
      <c r="R165" s="53" t="n">
        <f aca="false">IF(OR($A165&gt;TOMATO_BED_CAP,$B165&gt;CARROT_BED_CAP,R$4&gt;MESCLUN_BED_CAP,$A165+$B165+R$4&gt;TOTAL_BEDS_AVAILABLE,($D165+R$5)&gt;TOTAL_LABOR_HOURS_CAP,MAX(0,($D165+R$5)-PERMANENT_FIELD_LABOR_HOURS)&gt;TEMP_HOURS_CAP),"",$C165+R$6-MIN(($D165+R$5),PERMANENT_FIELD_LABOR_HOURS)*PERMANENT_HOURLY_RATE-MAX(0,($D165+R$5)-PERMANENT_FIELD_LABOR_HOURS)*TEMP_HOURLY_RATE-FIXED_SEASON_COST)</f>
        <v>22462.6800357254</v>
      </c>
      <c r="S165" s="53" t="n">
        <f aca="false">IF(OR($A165&gt;TOMATO_BED_CAP,$B165&gt;CARROT_BED_CAP,S$4&gt;MESCLUN_BED_CAP,$A165+$B165+S$4&gt;TOTAL_BEDS_AVAILABLE,($D165+S$5)&gt;TOTAL_LABOR_HOURS_CAP,MAX(0,($D165+S$5)-PERMANENT_FIELD_LABOR_HOURS)&gt;TEMP_HOURS_CAP),"",$C165+S$6-MIN(($D165+S$5),PERMANENT_FIELD_LABOR_HOURS)*PERMANENT_HOURLY_RATE-MAX(0,($D165+S$5)-PERMANENT_FIELD_LABOR_HOURS)*TEMP_HOURLY_RATE-FIXED_SEASON_COST)</f>
        <v>23228.5466242278</v>
      </c>
      <c r="T165" s="53" t="n">
        <f aca="false">IF(OR($A165&gt;TOMATO_BED_CAP,$B165&gt;CARROT_BED_CAP,T$4&gt;MESCLUN_BED_CAP,$A165+$B165+T$4&gt;TOTAL_BEDS_AVAILABLE,($D165+T$5)&gt;TOTAL_LABOR_HOURS_CAP,MAX(0,($D165+T$5)-PERMANENT_FIELD_LABOR_HOURS)&gt;TEMP_HOURS_CAP),"",$C165+T$6-MIN(($D165+T$5),PERMANENT_FIELD_LABOR_HOURS)*PERMANENT_HOURLY_RATE-MAX(0,($D165+T$5)-PERMANENT_FIELD_LABOR_HOURS)*TEMP_HOURLY_RATE-FIXED_SEASON_COST)</f>
        <v>23969.7600926227</v>
      </c>
      <c r="U165" s="53" t="n">
        <f aca="false">IF(OR($A165&gt;TOMATO_BED_CAP,$B165&gt;CARROT_BED_CAP,U$4&gt;MESCLUN_BED_CAP,$A165+$B165+U$4&gt;TOTAL_BEDS_AVAILABLE,($D165+U$5)&gt;TOTAL_LABOR_HOURS_CAP,MAX(0,($D165+U$5)-PERMANENT_FIELD_LABOR_HOURS)&gt;TEMP_HOURS_CAP),"",$C165+U$6-MIN(($D165+U$5),PERMANENT_FIELD_LABOR_HOURS)*PERMANENT_HOURLY_RATE-MAX(0,($D165+U$5)-PERMANENT_FIELD_LABOR_HOURS)*TEMP_HOURLY_RATE-FIXED_SEASON_COST)</f>
        <v>24685.8688212528</v>
      </c>
      <c r="V165" s="53" t="n">
        <f aca="false">IF(OR($A165&gt;TOMATO_BED_CAP,$B165&gt;CARROT_BED_CAP,V$4&gt;MESCLUN_BED_CAP,$A165+$B165+V$4&gt;TOTAL_BEDS_AVAILABLE,($D165+V$5)&gt;TOTAL_LABOR_HOURS_CAP,MAX(0,($D165+V$5)-PERMANENT_FIELD_LABOR_HOURS)&gt;TEMP_HOURS_CAP),"",$C165+V$6-MIN(($D165+V$5),PERMANENT_FIELD_LABOR_HOURS)*PERMANENT_HOURLY_RATE-MAX(0,($D165+V$5)-PERMANENT_FIELD_LABOR_HOURS)*TEMP_HOURLY_RATE-FIXED_SEASON_COST)</f>
        <v>25376.4137520196</v>
      </c>
      <c r="W165" s="53" t="n">
        <f aca="false">IF(OR($A165&gt;TOMATO_BED_CAP,$B165&gt;CARROT_BED_CAP,W$4&gt;MESCLUN_BED_CAP,$A165+$B165+W$4&gt;TOTAL_BEDS_AVAILABLE,($D165+W$5)&gt;TOTAL_LABOR_HOURS_CAP,MAX(0,($D165+W$5)-PERMANENT_FIELD_LABOR_HOURS)&gt;TEMP_HOURS_CAP),"",$C165+W$6-MIN(($D165+W$5),PERMANENT_FIELD_LABOR_HOURS)*PERMANENT_HOURLY_RATE-MAX(0,($D165+W$5)-PERMANENT_FIELD_LABOR_HOURS)*TEMP_HOURLY_RATE-FIXED_SEASON_COST)</f>
        <v>26040.9282729876</v>
      </c>
      <c r="X165" s="53" t="n">
        <f aca="false">IF(OR($A165&gt;TOMATO_BED_CAP,$B165&gt;CARROT_BED_CAP,X$4&gt;MESCLUN_BED_CAP,$A165+$B165+X$4&gt;TOTAL_BEDS_AVAILABLE,($D165+X$5)&gt;TOTAL_LABOR_HOURS_CAP,MAX(0,($D165+X$5)-PERMANENT_FIELD_LABOR_HOURS)&gt;TEMP_HOURS_CAP),"",$C165+X$6-MIN(($D165+X$5),PERMANENT_FIELD_LABOR_HOURS)*PERMANENT_HOURLY_RATE-MAX(0,($D165+X$5)-PERMANENT_FIELD_LABOR_HOURS)*TEMP_HOURLY_RATE-FIXED_SEASON_COST)</f>
        <v>26678.9381012665</v>
      </c>
      <c r="Y165" s="53" t="n">
        <f aca="false">IF(OR($A165&gt;TOMATO_BED_CAP,$B165&gt;CARROT_BED_CAP,Y$4&gt;MESCLUN_BED_CAP,$A165+$B165+Y$4&gt;TOTAL_BEDS_AVAILABLE,($D165+Y$5)&gt;TOTAL_LABOR_HOURS_CAP,MAX(0,($D165+Y$5)-PERMANENT_FIELD_LABOR_HOURS)&gt;TEMP_HOURS_CAP),"",$C165+Y$6-MIN(($D165+Y$5),PERMANENT_FIELD_LABOR_HOURS)*PERMANENT_HOURLY_RATE-MAX(0,($D165+Y$5)-PERMANENT_FIELD_LABOR_HOURS)*TEMP_HOURLY_RATE-FIXED_SEASON_COST)</f>
        <v>27289.9611641452</v>
      </c>
      <c r="Z165" s="53" t="n">
        <f aca="false">IF(OR($A165&gt;TOMATO_BED_CAP,$B165&gt;CARROT_BED_CAP,Z$4&gt;MESCLUN_BED_CAP,$A165+$B165+Z$4&gt;TOTAL_BEDS_AVAILABLE,($D165+Z$5)&gt;TOTAL_LABOR_HOURS_CAP,MAX(0,($D165+Z$5)-PERMANENT_FIELD_LABOR_HOURS)&gt;TEMP_HOURS_CAP),"",$C165+Z$6-MIN(($D165+Z$5),PERMANENT_FIELD_LABOR_HOURS)*PERMANENT_HOURLY_RATE-MAX(0,($D165+Z$5)-PERMANENT_FIELD_LABOR_HOURS)*TEMP_HOURLY_RATE-FIXED_SEASON_COST)</f>
        <v>27873.5074784529</v>
      </c>
      <c r="AA165" s="53" t="n">
        <f aca="false">IF(OR($A165&gt;TOMATO_BED_CAP,$B165&gt;CARROT_BED_CAP,AA$4&gt;MESCLUN_BED_CAP,$A165+$B165+AA$4&gt;TOTAL_BEDS_AVAILABLE,($D165+AA$5)&gt;TOTAL_LABOR_HOURS_CAP,MAX(0,($D165+AA$5)-PERMANENT_FIELD_LABOR_HOURS)&gt;TEMP_HOURS_CAP),"",$C165+AA$6-MIN(($D165+AA$5),PERMANENT_FIELD_LABOR_HOURS)*PERMANENT_HOURLY_RATE-MAX(0,($D165+AA$5)-PERMANENT_FIELD_LABOR_HOURS)*TEMP_HOURLY_RATE-FIXED_SEASON_COST)</f>
        <v>28429.0790281219</v>
      </c>
      <c r="AB165" s="53" t="n">
        <f aca="false">IF(OR($A165&gt;TOMATO_BED_CAP,$B165&gt;CARROT_BED_CAP,AB$4&gt;MESCLUN_BED_CAP,$A165+$B165+AB$4&gt;TOTAL_BEDS_AVAILABLE,($D165+AB$5)&gt;TOTAL_LABOR_HOURS_CAP,MAX(0,($D165+AB$5)-PERMANENT_FIELD_LABOR_HOURS)&gt;TEMP_HOURS_CAP),"",$C165+AB$6-MIN(($D165+AB$5),PERMANENT_FIELD_LABOR_HOURS)*PERMANENT_HOURLY_RATE-MAX(0,($D165+AB$5)-PERMANENT_FIELD_LABOR_HOURS)*TEMP_HOURLY_RATE-FIXED_SEASON_COST)</f>
        <v>28956.1696399244</v>
      </c>
      <c r="AC165" s="53" t="n">
        <f aca="false">IF(OR($A165&gt;TOMATO_BED_CAP,$B165&gt;CARROT_BED_CAP,AC$4&gt;MESCLUN_BED_CAP,$A165+$B165+AC$4&gt;TOTAL_BEDS_AVAILABLE,($D165+AC$5)&gt;TOTAL_LABOR_HOURS_CAP,MAX(0,($D165+AC$5)-PERMANENT_FIELD_LABOR_HOURS)&gt;TEMP_HOURS_CAP),"",$C165+AC$6-MIN(($D165+AC$5),PERMANENT_FIELD_LABOR_HOURS)*PERMANENT_HOURLY_RATE-MAX(0,($D165+AC$5)-PERMANENT_FIELD_LABOR_HOURS)*TEMP_HOURLY_RATE-FIXED_SEASON_COST)</f>
        <v>29454.2648573593</v>
      </c>
      <c r="AD165" s="53" t="n">
        <f aca="false">IF(OR($A165&gt;TOMATO_BED_CAP,$B165&gt;CARROT_BED_CAP,AD$4&gt;MESCLUN_BED_CAP,$A165+$B165+AD$4&gt;TOTAL_BEDS_AVAILABLE,($D165+AD$5)&gt;TOTAL_LABOR_HOURS_CAP,MAX(0,($D165+AD$5)-PERMANENT_FIELD_LABOR_HOURS)&gt;TEMP_HOURS_CAP),"",$C165+AD$6-MIN(($D165+AD$5),PERMANENT_FIELD_LABOR_HOURS)*PERMANENT_HOURLY_RATE-MAX(0,($D165+AD$5)-PERMANENT_FIELD_LABOR_HOURS)*TEMP_HOURLY_RATE-FIXED_SEASON_COST)</f>
        <v>29922.8418126593</v>
      </c>
      <c r="AE165" s="53" t="n">
        <f aca="false">IF(OR($A165&gt;TOMATO_BED_CAP,$B165&gt;CARROT_BED_CAP,AE$4&gt;MESCLUN_BED_CAP,$A165+$B165+AE$4&gt;TOTAL_BEDS_AVAILABLE,($D165+AE$5)&gt;TOTAL_LABOR_HOURS_CAP,MAX(0,($D165+AE$5)-PERMANENT_FIELD_LABOR_HOURS)&gt;TEMP_HOURS_CAP),"",$C165+AE$6-MIN(($D165+AE$5),PERMANENT_FIELD_LABOR_HOURS)*PERMANENT_HOURLY_RATE-MAX(0,($D165+AE$5)-PERMANENT_FIELD_LABOR_HOURS)*TEMP_HOURLY_RATE-FIXED_SEASON_COST)</f>
        <v>30361.3690968932</v>
      </c>
      <c r="AF165" s="53" t="n">
        <f aca="false">IF(OR($A165&gt;TOMATO_BED_CAP,$B165&gt;CARROT_BED_CAP,AF$4&gt;MESCLUN_BED_CAP,$A165+$B165+AF$4&gt;TOTAL_BEDS_AVAILABLE,($D165+AF$5)&gt;TOTAL_LABOR_HOURS_CAP,MAX(0,($D165+AF$5)-PERMANENT_FIELD_LABOR_HOURS)&gt;TEMP_HOURS_CAP),"",$C165+AF$6-MIN(($D165+AF$5),PERMANENT_FIELD_LABOR_HOURS)*PERMANENT_HOURLY_RATE-MAX(0,($D165+AF$5)-PERMANENT_FIELD_LABOR_HOURS)*TEMP_HOURLY_RATE-FIXED_SEASON_COST)</f>
        <v>30769.3066281351</v>
      </c>
      <c r="AG165" s="53" t="n">
        <f aca="false">IF(OR($A165&gt;TOMATO_BED_CAP,$B165&gt;CARROT_BED_CAP,AG$4&gt;MESCLUN_BED_CAP,$A165+$B165+AG$4&gt;TOTAL_BEDS_AVAILABLE,($D165+AG$5)&gt;TOTAL_LABOR_HOURS_CAP,MAX(0,($D165+AG$5)-PERMANENT_FIELD_LABOR_HOURS)&gt;TEMP_HOURS_CAP),"",$C165+AG$6-MIN(($D165+AG$5),PERMANENT_FIELD_LABOR_HOURS)*PERMANENT_HOURLY_RATE-MAX(0,($D165+AG$5)-PERMANENT_FIELD_LABOR_HOURS)*TEMP_HOURLY_RATE-FIXED_SEASON_COST)</f>
        <v>31146.1055176722</v>
      </c>
      <c r="AH165" s="53" t="n">
        <f aca="false">IF(OR($A165&gt;TOMATO_BED_CAP,$B165&gt;CARROT_BED_CAP,AH$4&gt;MESCLUN_BED_CAP,$A165+$B165+AH$4&gt;TOTAL_BEDS_AVAILABLE,($D165+AH$5)&gt;TOTAL_LABOR_HOURS_CAP,MAX(0,($D165+AH$5)-PERMANENT_FIELD_LABOR_HOURS)&gt;TEMP_HOURS_CAP),"",$C165+AH$6-MIN(($D165+AH$5),PERMANENT_FIELD_LABOR_HOURS)*PERMANENT_HOURLY_RATE-MAX(0,($D165+AH$5)-PERMANENT_FIELD_LABOR_HOURS)*TEMP_HOURLY_RATE-FIXED_SEASON_COST)</f>
        <v>31491.2079342224</v>
      </c>
      <c r="AI165" s="53" t="n">
        <f aca="false">IF(OR($A165&gt;TOMATO_BED_CAP,$B165&gt;CARROT_BED_CAP,AI$4&gt;MESCLUN_BED_CAP,$A165+$B165+AI$4&gt;TOTAL_BEDS_AVAILABLE,($D165+AI$5)&gt;TOTAL_LABOR_HOURS_CAP,MAX(0,($D165+AI$5)-PERMANENT_FIELD_LABOR_HOURS)&gt;TEMP_HOURS_CAP),"",$C165+AI$6-MIN(($D165+AI$5),PERMANENT_FIELD_LABOR_HOURS)*PERMANENT_HOURLY_RATE-MAX(0,($D165+AI$5)-PERMANENT_FIELD_LABOR_HOURS)*TEMP_HOURLY_RATE-FIXED_SEASON_COST)</f>
        <v>31804.0469661346</v>
      </c>
      <c r="AJ165" s="53" t="n">
        <f aca="false">IF(OR($A165&gt;TOMATO_BED_CAP,$B165&gt;CARROT_BED_CAP,AJ$4&gt;MESCLUN_BED_CAP,$A165+$B165+AJ$4&gt;TOTAL_BEDS_AVAILABLE,($D165+AJ$5)&gt;TOTAL_LABOR_HOURS_CAP,MAX(0,($D165+AJ$5)-PERMANENT_FIELD_LABOR_HOURS)&gt;TEMP_HOURS_CAP),"",$C165+AJ$6-MIN(($D165+AJ$5),PERMANENT_FIELD_LABOR_HOURS)*PERMANENT_HOURLY_RATE-MAX(0,($D165+AJ$5)-PERMANENT_FIELD_LABOR_HOURS)*TEMP_HOURLY_RATE-FIXED_SEASON_COST)</f>
        <v>32084.0464815404</v>
      </c>
    </row>
    <row r="166" customFormat="false" ht="15" hidden="false" customHeight="false" outlineLevel="0" collapsed="false">
      <c r="A166" s="21" t="n">
        <f aca="false">INT((ROW()-ROW($A$8))/(20+1))</f>
        <v>7</v>
      </c>
      <c r="B166" s="21" t="n">
        <f aca="false">MOD(ROW()-ROW($A$8),20+1)</f>
        <v>11</v>
      </c>
      <c r="C166" s="13" t="n">
        <f aca="false">A166*(TOMATO_REVENUE_PER_BED-TOMATO_FERTILIZER_PER_BED)+B166*(CARROT_REVENUE_PER_BED-CARROT_FERTILIZER_PER_BED)</f>
        <v>73634</v>
      </c>
      <c r="D166" s="14" t="n">
        <f aca="false">INDEX(TOMATO_SCHED_LABOR_HRS,A166+1)+INDEX(CARROT_SCHED_LABOR_HRS,B166+1)</f>
        <v>1660.50717463559</v>
      </c>
      <c r="E166" s="13" t="n">
        <f aca="false">IF(COUNT(F166:AJ166)=0,"",MAX(F166:AJ166))</f>
        <v>32888.3847431987</v>
      </c>
      <c r="F166" s="53" t="n">
        <f aca="false">IF(OR($A166&gt;TOMATO_BED_CAP,$B166&gt;CARROT_BED_CAP,F$4&gt;MESCLUN_BED_CAP,$A166+$B166+F$4&gt;TOTAL_BEDS_AVAILABLE,($D166+F$5)&gt;TOTAL_LABOR_HOURS_CAP,MAX(0,($D166+F$5)-PERMANENT_FIELD_LABOR_HOURS)&gt;TEMP_HOURS_CAP),"",$C166+F$6-MIN(($D166+F$5),PERMANENT_FIELD_LABOR_HOURS)*PERMANENT_HOURLY_RATE-MAX(0,($D166+F$5)-PERMANENT_FIELD_LABOR_HOURS)*TEMP_HOURLY_RATE-FIXED_SEASON_COST)</f>
        <v>12308.3954483262</v>
      </c>
      <c r="G166" s="53" t="n">
        <f aca="false">IF(OR($A166&gt;TOMATO_BED_CAP,$B166&gt;CARROT_BED_CAP,G$4&gt;MESCLUN_BED_CAP,$A166+$B166+G$4&gt;TOTAL_BEDS_AVAILABLE,($D166+G$5)&gt;TOTAL_LABOR_HOURS_CAP,MAX(0,($D166+G$5)-PERMANENT_FIELD_LABOR_HOURS)&gt;TEMP_HOURS_CAP),"",$C166+G$6-MIN(($D166+G$5),PERMANENT_FIELD_LABOR_HOURS)*PERMANENT_HOURLY_RATE-MAX(0,($D166+G$5)-PERMANENT_FIELD_LABOR_HOURS)*TEMP_HOURLY_RATE-FIXED_SEASON_COST)</f>
        <v>13337.4304483262</v>
      </c>
      <c r="H166" s="53" t="n">
        <f aca="false">IF(OR($A166&gt;TOMATO_BED_CAP,$B166&gt;CARROT_BED_CAP,H$4&gt;MESCLUN_BED_CAP,$A166+$B166+H$4&gt;TOTAL_BEDS_AVAILABLE,($D166+H$5)&gt;TOTAL_LABOR_HOURS_CAP,MAX(0,($D166+H$5)-PERMANENT_FIELD_LABOR_HOURS)&gt;TEMP_HOURS_CAP),"",$C166+H$6-MIN(($D166+H$5),PERMANENT_FIELD_LABOR_HOURS)*PERMANENT_HOURLY_RATE-MAX(0,($D166+H$5)-PERMANENT_FIELD_LABOR_HOURS)*TEMP_HOURLY_RATE-FIXED_SEASON_COST)</f>
        <v>14346.6913233262</v>
      </c>
      <c r="I166" s="53" t="n">
        <f aca="false">IF(OR($A166&gt;TOMATO_BED_CAP,$B166&gt;CARROT_BED_CAP,I$4&gt;MESCLUN_BED_CAP,$A166+$B166+I$4&gt;TOTAL_BEDS_AVAILABLE,($D166+I$5)&gt;TOTAL_LABOR_HOURS_CAP,MAX(0,($D166+I$5)-PERMANENT_FIELD_LABOR_HOURS)&gt;TEMP_HOURS_CAP),"",$C166+I$6-MIN(($D166+I$5),PERMANENT_FIELD_LABOR_HOURS)*PERMANENT_HOURLY_RATE-MAX(0,($D166+I$5)-PERMANENT_FIELD_LABOR_HOURS)*TEMP_HOURLY_RATE-FIXED_SEASON_COST)</f>
        <v>15335.8073084824</v>
      </c>
      <c r="J166" s="53" t="n">
        <f aca="false">IF(OR($A166&gt;TOMATO_BED_CAP,$B166&gt;CARROT_BED_CAP,J$4&gt;MESCLUN_BED_CAP,$A166+$B166+J$4&gt;TOTAL_BEDS_AVAILABLE,($D166+J$5)&gt;TOTAL_LABOR_HOURS_CAP,MAX(0,($D166+J$5)-PERMANENT_FIELD_LABOR_HOURS)&gt;TEMP_HOURS_CAP),"",$C166+J$6-MIN(($D166+J$5),PERMANENT_FIELD_LABOR_HOURS)*PERMANENT_HOURLY_RATE-MAX(0,($D166+J$5)-PERMANENT_FIELD_LABOR_HOURS)*TEMP_HOURLY_RATE-FIXED_SEASON_COST)</f>
        <v>16304.4014595371</v>
      </c>
      <c r="K166" s="53" t="n">
        <f aca="false">IF(OR($A166&gt;TOMATO_BED_CAP,$B166&gt;CARROT_BED_CAP,K$4&gt;MESCLUN_BED_CAP,$A166+$B166+K$4&gt;TOTAL_BEDS_AVAILABLE,($D166+K$5)&gt;TOTAL_LABOR_HOURS_CAP,MAX(0,($D166+K$5)-PERMANENT_FIELD_LABOR_HOURS)&gt;TEMP_HOURS_CAP),"",$C166+K$6-MIN(($D166+K$5),PERMANENT_FIELD_LABOR_HOURS)*PERMANENT_HOURLY_RATE-MAX(0,($D166+K$5)-PERMANENT_FIELD_LABOR_HOURS)*TEMP_HOURLY_RATE-FIXED_SEASON_COST)</f>
        <v>17252.090556265</v>
      </c>
      <c r="L166" s="53" t="n">
        <f aca="false">IF(OR($A166&gt;TOMATO_BED_CAP,$B166&gt;CARROT_BED_CAP,L$4&gt;MESCLUN_BED_CAP,$A166+$B166+L$4&gt;TOTAL_BEDS_AVAILABLE,($D166+L$5)&gt;TOTAL_LABOR_HOURS_CAP,MAX(0,($D166+L$5)-PERMANENT_FIELD_LABOR_HOURS)&gt;TEMP_HOURS_CAP),"",$C166+L$6-MIN(($D166+L$5),PERMANENT_FIELD_LABOR_HOURS)*PERMANENT_HOURLY_RATE-MAX(0,($D166+L$5)-PERMANENT_FIELD_LABOR_HOURS)*TEMP_HOURLY_RATE-FIXED_SEASON_COST)</f>
        <v>18178.4850044719</v>
      </c>
      <c r="M166" s="53" t="n">
        <f aca="false">IF(OR($A166&gt;TOMATO_BED_CAP,$B166&gt;CARROT_BED_CAP,M$4&gt;MESCLUN_BED_CAP,$A166+$B166+M$4&gt;TOTAL_BEDS_AVAILABLE,($D166+M$5)&gt;TOTAL_LABOR_HOURS_CAP,MAX(0,($D166+M$5)-PERMANENT_FIELD_LABOR_HOURS)&gt;TEMP_HOURS_CAP),"",$C166+M$6-MIN(($D166+M$5),PERMANENT_FIELD_LABOR_HOURS)*PERMANENT_HOURLY_RATE-MAX(0,($D166+M$5)-PERMANENT_FIELD_LABOR_HOURS)*TEMP_HOURLY_RATE-FIXED_SEASON_COST)</f>
        <v>19083.1887365233</v>
      </c>
      <c r="N166" s="53" t="n">
        <f aca="false">IF(OR($A166&gt;TOMATO_BED_CAP,$B166&gt;CARROT_BED_CAP,N$4&gt;MESCLUN_BED_CAP,$A166+$B166+N$4&gt;TOTAL_BEDS_AVAILABLE,($D166+N$5)&gt;TOTAL_LABOR_HOURS_CAP,MAX(0,($D166+N$5)-PERMANENT_FIELD_LABOR_HOURS)&gt;TEMP_HOURS_CAP),"",$C166+N$6-MIN(($D166+N$5),PERMANENT_FIELD_LABOR_HOURS)*PERMANENT_HOURLY_RATE-MAX(0,($D166+N$5)-PERMANENT_FIELD_LABOR_HOURS)*TEMP_HOURLY_RATE-FIXED_SEASON_COST)</f>
        <v>19965.7991103828</v>
      </c>
      <c r="O166" s="53" t="n">
        <f aca="false">IF(OR($A166&gt;TOMATO_BED_CAP,$B166&gt;CARROT_BED_CAP,O$4&gt;MESCLUN_BED_CAP,$A166+$B166+O$4&gt;TOTAL_BEDS_AVAILABLE,($D166+O$5)&gt;TOTAL_LABOR_HOURS_CAP,MAX(0,($D166+O$5)-PERMANENT_FIELD_LABOR_HOURS)&gt;TEMP_HOURS_CAP),"",$C166+O$6-MIN(($D166+O$5),PERMANENT_FIELD_LABOR_HOURS)*PERMANENT_HOURLY_RATE-MAX(0,($D166+O$5)-PERMANENT_FIELD_LABOR_HOURS)*TEMP_HOURLY_RATE-FIXED_SEASON_COST)</f>
        <v>20825.9068071376</v>
      </c>
      <c r="P166" s="53" t="n">
        <f aca="false">IF(OR($A166&gt;TOMATO_BED_CAP,$B166&gt;CARROT_BED_CAP,P$4&gt;MESCLUN_BED_CAP,$A166+$B166+P$4&gt;TOTAL_BEDS_AVAILABLE,($D166+P$5)&gt;TOTAL_LABOR_HOURS_CAP,MAX(0,($D166+P$5)-PERMANENT_FIELD_LABOR_HOURS)&gt;TEMP_HOURS_CAP),"",$C166+P$6-MIN(($D166+P$5),PERMANENT_FIELD_LABOR_HOURS)*PERMANENT_HOURLY_RATE-MAX(0,($D166+P$5)-PERMANENT_FIELD_LABOR_HOURS)*TEMP_HOURLY_RATE-FIXED_SEASON_COST)</f>
        <v>21663.095726989</v>
      </c>
      <c r="Q166" s="53" t="n">
        <f aca="false">IF(OR($A166&gt;TOMATO_BED_CAP,$B166&gt;CARROT_BED_CAP,Q$4&gt;MESCLUN_BED_CAP,$A166+$B166+Q$4&gt;TOTAL_BEDS_AVAILABLE,($D166+Q$5)&gt;TOTAL_LABOR_HOURS_CAP,MAX(0,($D166+Q$5)-PERMANENT_FIELD_LABOR_HOURS)&gt;TEMP_HOURS_CAP),"",$C166+Q$6-MIN(($D166+Q$5),PERMANENT_FIELD_LABOR_HOURS)*PERMANENT_HOURLY_RATE-MAX(0,($D166+Q$5)-PERMANENT_FIELD_LABOR_HOURS)*TEMP_HOURLY_RATE-FIXED_SEASON_COST)</f>
        <v>22476.9428836869</v>
      </c>
      <c r="R166" s="53" t="n">
        <f aca="false">IF(OR($A166&gt;TOMATO_BED_CAP,$B166&gt;CARROT_BED_CAP,R$4&gt;MESCLUN_BED_CAP,$A166+$B166+R$4&gt;TOTAL_BEDS_AVAILABLE,($D166+R$5)&gt;TOTAL_LABOR_HOURS_CAP,MAX(0,($D166+R$5)-PERMANENT_FIELD_LABOR_HOURS)&gt;TEMP_HOURS_CAP),"",$C166+R$6-MIN(($D166+R$5),PERMANENT_FIELD_LABOR_HOURS)*PERMANENT_HOURLY_RATE-MAX(0,($D166+R$5)-PERMANENT_FIELD_LABOR_HOURS)*TEMP_HOURLY_RATE-FIXED_SEASON_COST)</f>
        <v>23267.0182973837</v>
      </c>
      <c r="S166" s="53" t="n">
        <f aca="false">IF(OR($A166&gt;TOMATO_BED_CAP,$B166&gt;CARROT_BED_CAP,S$4&gt;MESCLUN_BED_CAP,$A166+$B166+S$4&gt;TOTAL_BEDS_AVAILABLE,($D166+S$5)&gt;TOTAL_LABOR_HOURS_CAP,MAX(0,($D166+S$5)-PERMANENT_FIELD_LABOR_HOURS)&gt;TEMP_HOURS_CAP),"",$C166+S$6-MIN(($D166+S$5),PERMANENT_FIELD_LABOR_HOURS)*PERMANENT_HOURLY_RATE-MAX(0,($D166+S$5)-PERMANENT_FIELD_LABOR_HOURS)*TEMP_HOURLY_RATE-FIXED_SEASON_COST)</f>
        <v>24032.8848858862</v>
      </c>
      <c r="T166" s="53" t="n">
        <f aca="false">IF(OR($A166&gt;TOMATO_BED_CAP,$B166&gt;CARROT_BED_CAP,T$4&gt;MESCLUN_BED_CAP,$A166+$B166+T$4&gt;TOTAL_BEDS_AVAILABLE,($D166+T$5)&gt;TOTAL_LABOR_HOURS_CAP,MAX(0,($D166+T$5)-PERMANENT_FIELD_LABOR_HOURS)&gt;TEMP_HOURS_CAP),"",$C166+T$6-MIN(($D166+T$5),PERMANENT_FIELD_LABOR_HOURS)*PERMANENT_HOURLY_RATE-MAX(0,($D166+T$5)-PERMANENT_FIELD_LABOR_HOURS)*TEMP_HOURLY_RATE-FIXED_SEASON_COST)</f>
        <v>24774.098354281</v>
      </c>
      <c r="U166" s="53" t="n">
        <f aca="false">IF(OR($A166&gt;TOMATO_BED_CAP,$B166&gt;CARROT_BED_CAP,U$4&gt;MESCLUN_BED_CAP,$A166+$B166+U$4&gt;TOTAL_BEDS_AVAILABLE,($D166+U$5)&gt;TOTAL_LABOR_HOURS_CAP,MAX(0,($D166+U$5)-PERMANENT_FIELD_LABOR_HOURS)&gt;TEMP_HOURS_CAP),"",$C166+U$6-MIN(($D166+U$5),PERMANENT_FIELD_LABOR_HOURS)*PERMANENT_HOURLY_RATE-MAX(0,($D166+U$5)-PERMANENT_FIELD_LABOR_HOURS)*TEMP_HOURLY_RATE-FIXED_SEASON_COST)</f>
        <v>25490.2070829111</v>
      </c>
      <c r="V166" s="53" t="n">
        <f aca="false">IF(OR($A166&gt;TOMATO_BED_CAP,$B166&gt;CARROT_BED_CAP,V$4&gt;MESCLUN_BED_CAP,$A166+$B166+V$4&gt;TOTAL_BEDS_AVAILABLE,($D166+V$5)&gt;TOTAL_LABOR_HOURS_CAP,MAX(0,($D166+V$5)-PERMANENT_FIELD_LABOR_HOURS)&gt;TEMP_HOURS_CAP),"",$C166+V$6-MIN(($D166+V$5),PERMANENT_FIELD_LABOR_HOURS)*PERMANENT_HOURLY_RATE-MAX(0,($D166+V$5)-PERMANENT_FIELD_LABOR_HOURS)*TEMP_HOURLY_RATE-FIXED_SEASON_COST)</f>
        <v>26180.7520136779</v>
      </c>
      <c r="W166" s="53" t="n">
        <f aca="false">IF(OR($A166&gt;TOMATO_BED_CAP,$B166&gt;CARROT_BED_CAP,W$4&gt;MESCLUN_BED_CAP,$A166+$B166+W$4&gt;TOTAL_BEDS_AVAILABLE,($D166+W$5)&gt;TOTAL_LABOR_HOURS_CAP,MAX(0,($D166+W$5)-PERMANENT_FIELD_LABOR_HOURS)&gt;TEMP_HOURS_CAP),"",$C166+W$6-MIN(($D166+W$5),PERMANENT_FIELD_LABOR_HOURS)*PERMANENT_HOURLY_RATE-MAX(0,($D166+W$5)-PERMANENT_FIELD_LABOR_HOURS)*TEMP_HOURLY_RATE-FIXED_SEASON_COST)</f>
        <v>26845.266534646</v>
      </c>
      <c r="X166" s="53" t="n">
        <f aca="false">IF(OR($A166&gt;TOMATO_BED_CAP,$B166&gt;CARROT_BED_CAP,X$4&gt;MESCLUN_BED_CAP,$A166+$B166+X$4&gt;TOTAL_BEDS_AVAILABLE,($D166+X$5)&gt;TOTAL_LABOR_HOURS_CAP,MAX(0,($D166+X$5)-PERMANENT_FIELD_LABOR_HOURS)&gt;TEMP_HOURS_CAP),"",$C166+X$6-MIN(($D166+X$5),PERMANENT_FIELD_LABOR_HOURS)*PERMANENT_HOURLY_RATE-MAX(0,($D166+X$5)-PERMANENT_FIELD_LABOR_HOURS)*TEMP_HOURLY_RATE-FIXED_SEASON_COST)</f>
        <v>27483.2763629249</v>
      </c>
      <c r="Y166" s="53" t="n">
        <f aca="false">IF(OR($A166&gt;TOMATO_BED_CAP,$B166&gt;CARROT_BED_CAP,Y$4&gt;MESCLUN_BED_CAP,$A166+$B166+Y$4&gt;TOTAL_BEDS_AVAILABLE,($D166+Y$5)&gt;TOTAL_LABOR_HOURS_CAP,MAX(0,($D166+Y$5)-PERMANENT_FIELD_LABOR_HOURS)&gt;TEMP_HOURS_CAP),"",$C166+Y$6-MIN(($D166+Y$5),PERMANENT_FIELD_LABOR_HOURS)*PERMANENT_HOURLY_RATE-MAX(0,($D166+Y$5)-PERMANENT_FIELD_LABOR_HOURS)*TEMP_HOURLY_RATE-FIXED_SEASON_COST)</f>
        <v>28094.2994258035</v>
      </c>
      <c r="Z166" s="53" t="n">
        <f aca="false">IF(OR($A166&gt;TOMATO_BED_CAP,$B166&gt;CARROT_BED_CAP,Z$4&gt;MESCLUN_BED_CAP,$A166+$B166+Z$4&gt;TOTAL_BEDS_AVAILABLE,($D166+Z$5)&gt;TOTAL_LABOR_HOURS_CAP,MAX(0,($D166+Z$5)-PERMANENT_FIELD_LABOR_HOURS)&gt;TEMP_HOURS_CAP),"",$C166+Z$6-MIN(($D166+Z$5),PERMANENT_FIELD_LABOR_HOURS)*PERMANENT_HOURLY_RATE-MAX(0,($D166+Z$5)-PERMANENT_FIELD_LABOR_HOURS)*TEMP_HOURLY_RATE-FIXED_SEASON_COST)</f>
        <v>28677.8457401113</v>
      </c>
      <c r="AA166" s="53" t="n">
        <f aca="false">IF(OR($A166&gt;TOMATO_BED_CAP,$B166&gt;CARROT_BED_CAP,AA$4&gt;MESCLUN_BED_CAP,$A166+$B166+AA$4&gt;TOTAL_BEDS_AVAILABLE,($D166+AA$5)&gt;TOTAL_LABOR_HOURS_CAP,MAX(0,($D166+AA$5)-PERMANENT_FIELD_LABOR_HOURS)&gt;TEMP_HOURS_CAP),"",$C166+AA$6-MIN(($D166+AA$5),PERMANENT_FIELD_LABOR_HOURS)*PERMANENT_HOURLY_RATE-MAX(0,($D166+AA$5)-PERMANENT_FIELD_LABOR_HOURS)*TEMP_HOURLY_RATE-FIXED_SEASON_COST)</f>
        <v>29233.4172897802</v>
      </c>
      <c r="AB166" s="53" t="n">
        <f aca="false">IF(OR($A166&gt;TOMATO_BED_CAP,$B166&gt;CARROT_BED_CAP,AB$4&gt;MESCLUN_BED_CAP,$A166+$B166+AB$4&gt;TOTAL_BEDS_AVAILABLE,($D166+AB$5)&gt;TOTAL_LABOR_HOURS_CAP,MAX(0,($D166+AB$5)-PERMANENT_FIELD_LABOR_HOURS)&gt;TEMP_HOURS_CAP),"",$C166+AB$6-MIN(($D166+AB$5),PERMANENT_FIELD_LABOR_HOURS)*PERMANENT_HOURLY_RATE-MAX(0,($D166+AB$5)-PERMANENT_FIELD_LABOR_HOURS)*TEMP_HOURLY_RATE-FIXED_SEASON_COST)</f>
        <v>29760.5079015828</v>
      </c>
      <c r="AC166" s="53" t="n">
        <f aca="false">IF(OR($A166&gt;TOMATO_BED_CAP,$B166&gt;CARROT_BED_CAP,AC$4&gt;MESCLUN_BED_CAP,$A166+$B166+AC$4&gt;TOTAL_BEDS_AVAILABLE,($D166+AC$5)&gt;TOTAL_LABOR_HOURS_CAP,MAX(0,($D166+AC$5)-PERMANENT_FIELD_LABOR_HOURS)&gt;TEMP_HOURS_CAP),"",$C166+AC$6-MIN(($D166+AC$5),PERMANENT_FIELD_LABOR_HOURS)*PERMANENT_HOURLY_RATE-MAX(0,($D166+AC$5)-PERMANENT_FIELD_LABOR_HOURS)*TEMP_HOURLY_RATE-FIXED_SEASON_COST)</f>
        <v>30258.6031190177</v>
      </c>
      <c r="AD166" s="53" t="n">
        <f aca="false">IF(OR($A166&gt;TOMATO_BED_CAP,$B166&gt;CARROT_BED_CAP,AD$4&gt;MESCLUN_BED_CAP,$A166+$B166+AD$4&gt;TOTAL_BEDS_AVAILABLE,($D166+AD$5)&gt;TOTAL_LABOR_HOURS_CAP,MAX(0,($D166+AD$5)-PERMANENT_FIELD_LABOR_HOURS)&gt;TEMP_HOURS_CAP),"",$C166+AD$6-MIN(($D166+AD$5),PERMANENT_FIELD_LABOR_HOURS)*PERMANENT_HOURLY_RATE-MAX(0,($D166+AD$5)-PERMANENT_FIELD_LABOR_HOURS)*TEMP_HOURLY_RATE-FIXED_SEASON_COST)</f>
        <v>30727.1800743176</v>
      </c>
      <c r="AE166" s="53" t="n">
        <f aca="false">IF(OR($A166&gt;TOMATO_BED_CAP,$B166&gt;CARROT_BED_CAP,AE$4&gt;MESCLUN_BED_CAP,$A166+$B166+AE$4&gt;TOTAL_BEDS_AVAILABLE,($D166+AE$5)&gt;TOTAL_LABOR_HOURS_CAP,MAX(0,($D166+AE$5)-PERMANENT_FIELD_LABOR_HOURS)&gt;TEMP_HOURS_CAP),"",$C166+AE$6-MIN(($D166+AE$5),PERMANENT_FIELD_LABOR_HOURS)*PERMANENT_HOURLY_RATE-MAX(0,($D166+AE$5)-PERMANENT_FIELD_LABOR_HOURS)*TEMP_HOURLY_RATE-FIXED_SEASON_COST)</f>
        <v>31165.7073585515</v>
      </c>
      <c r="AF166" s="53" t="n">
        <f aca="false">IF(OR($A166&gt;TOMATO_BED_CAP,$B166&gt;CARROT_BED_CAP,AF$4&gt;MESCLUN_BED_CAP,$A166+$B166+AF$4&gt;TOTAL_BEDS_AVAILABLE,($D166+AF$5)&gt;TOTAL_LABOR_HOURS_CAP,MAX(0,($D166+AF$5)-PERMANENT_FIELD_LABOR_HOURS)&gt;TEMP_HOURS_CAP),"",$C166+AF$6-MIN(($D166+AF$5),PERMANENT_FIELD_LABOR_HOURS)*PERMANENT_HOURLY_RATE-MAX(0,($D166+AF$5)-PERMANENT_FIELD_LABOR_HOURS)*TEMP_HOURLY_RATE-FIXED_SEASON_COST)</f>
        <v>31573.6448897935</v>
      </c>
      <c r="AG166" s="53" t="n">
        <f aca="false">IF(OR($A166&gt;TOMATO_BED_CAP,$B166&gt;CARROT_BED_CAP,AG$4&gt;MESCLUN_BED_CAP,$A166+$B166+AG$4&gt;TOTAL_BEDS_AVAILABLE,($D166+AG$5)&gt;TOTAL_LABOR_HOURS_CAP,MAX(0,($D166+AG$5)-PERMANENT_FIELD_LABOR_HOURS)&gt;TEMP_HOURS_CAP),"",$C166+AG$6-MIN(($D166+AG$5),PERMANENT_FIELD_LABOR_HOURS)*PERMANENT_HOURLY_RATE-MAX(0,($D166+AG$5)-PERMANENT_FIELD_LABOR_HOURS)*TEMP_HOURLY_RATE-FIXED_SEASON_COST)</f>
        <v>31950.4437793305</v>
      </c>
      <c r="AH166" s="53" t="n">
        <f aca="false">IF(OR($A166&gt;TOMATO_BED_CAP,$B166&gt;CARROT_BED_CAP,AH$4&gt;MESCLUN_BED_CAP,$A166+$B166+AH$4&gt;TOTAL_BEDS_AVAILABLE,($D166+AH$5)&gt;TOTAL_LABOR_HOURS_CAP,MAX(0,($D166+AH$5)-PERMANENT_FIELD_LABOR_HOURS)&gt;TEMP_HOURS_CAP),"",$C166+AH$6-MIN(($D166+AH$5),PERMANENT_FIELD_LABOR_HOURS)*PERMANENT_HOURLY_RATE-MAX(0,($D166+AH$5)-PERMANENT_FIELD_LABOR_HOURS)*TEMP_HOURLY_RATE-FIXED_SEASON_COST)</f>
        <v>32295.5461958807</v>
      </c>
      <c r="AI166" s="53" t="n">
        <f aca="false">IF(OR($A166&gt;TOMATO_BED_CAP,$B166&gt;CARROT_BED_CAP,AI$4&gt;MESCLUN_BED_CAP,$A166+$B166+AI$4&gt;TOTAL_BEDS_AVAILABLE,($D166+AI$5)&gt;TOTAL_LABOR_HOURS_CAP,MAX(0,($D166+AI$5)-PERMANENT_FIELD_LABOR_HOURS)&gt;TEMP_HOURS_CAP),"",$C166+AI$6-MIN(($D166+AI$5),PERMANENT_FIELD_LABOR_HOURS)*PERMANENT_HOURLY_RATE-MAX(0,($D166+AI$5)-PERMANENT_FIELD_LABOR_HOURS)*TEMP_HOURLY_RATE-FIXED_SEASON_COST)</f>
        <v>32608.385227793</v>
      </c>
      <c r="AJ166" s="53" t="n">
        <f aca="false">IF(OR($A166&gt;TOMATO_BED_CAP,$B166&gt;CARROT_BED_CAP,AJ$4&gt;MESCLUN_BED_CAP,$A166+$B166+AJ$4&gt;TOTAL_BEDS_AVAILABLE,($D166+AJ$5)&gt;TOTAL_LABOR_HOURS_CAP,MAX(0,($D166+AJ$5)-PERMANENT_FIELD_LABOR_HOURS)&gt;TEMP_HOURS_CAP),"",$C166+AJ$6-MIN(($D166+AJ$5),PERMANENT_FIELD_LABOR_HOURS)*PERMANENT_HOURLY_RATE-MAX(0,($D166+AJ$5)-PERMANENT_FIELD_LABOR_HOURS)*TEMP_HOURLY_RATE-FIXED_SEASON_COST)</f>
        <v>32888.3847431987</v>
      </c>
    </row>
    <row r="167" customFormat="false" ht="15" hidden="false" customHeight="false" outlineLevel="0" collapsed="false">
      <c r="A167" s="21" t="n">
        <f aca="false">INT((ROW()-ROW($A$8))/(20+1))</f>
        <v>7</v>
      </c>
      <c r="B167" s="21" t="n">
        <f aca="false">MOD(ROW()-ROW($A$8),20+1)</f>
        <v>12</v>
      </c>
      <c r="C167" s="13" t="n">
        <f aca="false">A167*(TOMATO_REVENUE_PER_BED-TOMATO_FERTILIZER_PER_BED)+B167*(CARROT_REVENUE_PER_BED-CARROT_FERTILIZER_PER_BED)</f>
        <v>75288</v>
      </c>
      <c r="D167" s="14" t="n">
        <f aca="false">INDEX(TOMATO_SCHED_LABOR_HRS,A167+1)+INDEX(CARROT_SCHED_LABOR_HRS,B167+1)</f>
        <v>1711.65808573798</v>
      </c>
      <c r="E167" s="13" t="n">
        <f aca="false">IF(COUNT(F167:AJ167)=0,"",MAX(F167:AJ167))</f>
        <v>33654.4049264613</v>
      </c>
      <c r="F167" s="53" t="n">
        <f aca="false">IF(OR($A167&gt;TOMATO_BED_CAP,$B167&gt;CARROT_BED_CAP,F$4&gt;MESCLUN_BED_CAP,$A167+$B167+F$4&gt;TOTAL_BEDS_AVAILABLE,($D167+F$5)&gt;TOTAL_LABOR_HOURS_CAP,MAX(0,($D167+F$5)-PERMANENT_FIELD_LABOR_HOURS)&gt;TEMP_HOURS_CAP),"",$C167+F$6-MIN(($D167+F$5),PERMANENT_FIELD_LABOR_HOURS)*PERMANENT_HOURLY_RATE-MAX(0,($D167+F$5)-PERMANENT_FIELD_LABOR_HOURS)*TEMP_HOURLY_RATE-FIXED_SEASON_COST)</f>
        <v>13074.4156315887</v>
      </c>
      <c r="G167" s="53" t="n">
        <f aca="false">IF(OR($A167&gt;TOMATO_BED_CAP,$B167&gt;CARROT_BED_CAP,G$4&gt;MESCLUN_BED_CAP,$A167+$B167+G$4&gt;TOTAL_BEDS_AVAILABLE,($D167+G$5)&gt;TOTAL_LABOR_HOURS_CAP,MAX(0,($D167+G$5)-PERMANENT_FIELD_LABOR_HOURS)&gt;TEMP_HOURS_CAP),"",$C167+G$6-MIN(($D167+G$5),PERMANENT_FIELD_LABOR_HOURS)*PERMANENT_HOURLY_RATE-MAX(0,($D167+G$5)-PERMANENT_FIELD_LABOR_HOURS)*TEMP_HOURLY_RATE-FIXED_SEASON_COST)</f>
        <v>14103.4506315887</v>
      </c>
      <c r="H167" s="53" t="n">
        <f aca="false">IF(OR($A167&gt;TOMATO_BED_CAP,$B167&gt;CARROT_BED_CAP,H$4&gt;MESCLUN_BED_CAP,$A167+$B167+H$4&gt;TOTAL_BEDS_AVAILABLE,($D167+H$5)&gt;TOTAL_LABOR_HOURS_CAP,MAX(0,($D167+H$5)-PERMANENT_FIELD_LABOR_HOURS)&gt;TEMP_HOURS_CAP),"",$C167+H$6-MIN(($D167+H$5),PERMANENT_FIELD_LABOR_HOURS)*PERMANENT_HOURLY_RATE-MAX(0,($D167+H$5)-PERMANENT_FIELD_LABOR_HOURS)*TEMP_HOURLY_RATE-FIXED_SEASON_COST)</f>
        <v>15112.7115065887</v>
      </c>
      <c r="I167" s="53" t="n">
        <f aca="false">IF(OR($A167&gt;TOMATO_BED_CAP,$B167&gt;CARROT_BED_CAP,I$4&gt;MESCLUN_BED_CAP,$A167+$B167+I$4&gt;TOTAL_BEDS_AVAILABLE,($D167+I$5)&gt;TOTAL_LABOR_HOURS_CAP,MAX(0,($D167+I$5)-PERMANENT_FIELD_LABOR_HOURS)&gt;TEMP_HOURS_CAP),"",$C167+I$6-MIN(($D167+I$5),PERMANENT_FIELD_LABOR_HOURS)*PERMANENT_HOURLY_RATE-MAX(0,($D167+I$5)-PERMANENT_FIELD_LABOR_HOURS)*TEMP_HOURLY_RATE-FIXED_SEASON_COST)</f>
        <v>16101.827491745</v>
      </c>
      <c r="J167" s="53" t="n">
        <f aca="false">IF(OR($A167&gt;TOMATO_BED_CAP,$B167&gt;CARROT_BED_CAP,J$4&gt;MESCLUN_BED_CAP,$A167+$B167+J$4&gt;TOTAL_BEDS_AVAILABLE,($D167+J$5)&gt;TOTAL_LABOR_HOURS_CAP,MAX(0,($D167+J$5)-PERMANENT_FIELD_LABOR_HOURS)&gt;TEMP_HOURS_CAP),"",$C167+J$6-MIN(($D167+J$5),PERMANENT_FIELD_LABOR_HOURS)*PERMANENT_HOURLY_RATE-MAX(0,($D167+J$5)-PERMANENT_FIELD_LABOR_HOURS)*TEMP_HOURLY_RATE-FIXED_SEASON_COST)</f>
        <v>17070.4216427997</v>
      </c>
      <c r="K167" s="53" t="n">
        <f aca="false">IF(OR($A167&gt;TOMATO_BED_CAP,$B167&gt;CARROT_BED_CAP,K$4&gt;MESCLUN_BED_CAP,$A167+$B167+K$4&gt;TOTAL_BEDS_AVAILABLE,($D167+K$5)&gt;TOTAL_LABOR_HOURS_CAP,MAX(0,($D167+K$5)-PERMANENT_FIELD_LABOR_HOURS)&gt;TEMP_HOURS_CAP),"",$C167+K$6-MIN(($D167+K$5),PERMANENT_FIELD_LABOR_HOURS)*PERMANENT_HOURLY_RATE-MAX(0,($D167+K$5)-PERMANENT_FIELD_LABOR_HOURS)*TEMP_HOURLY_RATE-FIXED_SEASON_COST)</f>
        <v>18018.1107395276</v>
      </c>
      <c r="L167" s="53" t="n">
        <f aca="false">IF(OR($A167&gt;TOMATO_BED_CAP,$B167&gt;CARROT_BED_CAP,L$4&gt;MESCLUN_BED_CAP,$A167+$B167+L$4&gt;TOTAL_BEDS_AVAILABLE,($D167+L$5)&gt;TOTAL_LABOR_HOURS_CAP,MAX(0,($D167+L$5)-PERMANENT_FIELD_LABOR_HOURS)&gt;TEMP_HOURS_CAP),"",$C167+L$6-MIN(($D167+L$5),PERMANENT_FIELD_LABOR_HOURS)*PERMANENT_HOURLY_RATE-MAX(0,($D167+L$5)-PERMANENT_FIELD_LABOR_HOURS)*TEMP_HOURLY_RATE-FIXED_SEASON_COST)</f>
        <v>18944.5051877344</v>
      </c>
      <c r="M167" s="53" t="n">
        <f aca="false">IF(OR($A167&gt;TOMATO_BED_CAP,$B167&gt;CARROT_BED_CAP,M$4&gt;MESCLUN_BED_CAP,$A167+$B167+M$4&gt;TOTAL_BEDS_AVAILABLE,($D167+M$5)&gt;TOTAL_LABOR_HOURS_CAP,MAX(0,($D167+M$5)-PERMANENT_FIELD_LABOR_HOURS)&gt;TEMP_HOURS_CAP),"",$C167+M$6-MIN(($D167+M$5),PERMANENT_FIELD_LABOR_HOURS)*PERMANENT_HOURLY_RATE-MAX(0,($D167+M$5)-PERMANENT_FIELD_LABOR_HOURS)*TEMP_HOURLY_RATE-FIXED_SEASON_COST)</f>
        <v>19849.2089197858</v>
      </c>
      <c r="N167" s="53" t="n">
        <f aca="false">IF(OR($A167&gt;TOMATO_BED_CAP,$B167&gt;CARROT_BED_CAP,N$4&gt;MESCLUN_BED_CAP,$A167+$B167+N$4&gt;TOTAL_BEDS_AVAILABLE,($D167+N$5)&gt;TOTAL_LABOR_HOURS_CAP,MAX(0,($D167+N$5)-PERMANENT_FIELD_LABOR_HOURS)&gt;TEMP_HOURS_CAP),"",$C167+N$6-MIN(($D167+N$5),PERMANENT_FIELD_LABOR_HOURS)*PERMANENT_HOURLY_RATE-MAX(0,($D167+N$5)-PERMANENT_FIELD_LABOR_HOURS)*TEMP_HOURLY_RATE-FIXED_SEASON_COST)</f>
        <v>20731.8192936454</v>
      </c>
      <c r="O167" s="53" t="n">
        <f aca="false">IF(OR($A167&gt;TOMATO_BED_CAP,$B167&gt;CARROT_BED_CAP,O$4&gt;MESCLUN_BED_CAP,$A167+$B167+O$4&gt;TOTAL_BEDS_AVAILABLE,($D167+O$5)&gt;TOTAL_LABOR_HOURS_CAP,MAX(0,($D167+O$5)-PERMANENT_FIELD_LABOR_HOURS)&gt;TEMP_HOURS_CAP),"",$C167+O$6-MIN(($D167+O$5),PERMANENT_FIELD_LABOR_HOURS)*PERMANENT_HOURLY_RATE-MAX(0,($D167+O$5)-PERMANENT_FIELD_LABOR_HOURS)*TEMP_HOURLY_RATE-FIXED_SEASON_COST)</f>
        <v>21591.9269904001</v>
      </c>
      <c r="P167" s="53" t="n">
        <f aca="false">IF(OR($A167&gt;TOMATO_BED_CAP,$B167&gt;CARROT_BED_CAP,P$4&gt;MESCLUN_BED_CAP,$A167+$B167+P$4&gt;TOTAL_BEDS_AVAILABLE,($D167+P$5)&gt;TOTAL_LABOR_HOURS_CAP,MAX(0,($D167+P$5)-PERMANENT_FIELD_LABOR_HOURS)&gt;TEMP_HOURS_CAP),"",$C167+P$6-MIN(($D167+P$5),PERMANENT_FIELD_LABOR_HOURS)*PERMANENT_HOURLY_RATE-MAX(0,($D167+P$5)-PERMANENT_FIELD_LABOR_HOURS)*TEMP_HOURLY_RATE-FIXED_SEASON_COST)</f>
        <v>22429.1159102516</v>
      </c>
      <c r="Q167" s="53" t="n">
        <f aca="false">IF(OR($A167&gt;TOMATO_BED_CAP,$B167&gt;CARROT_BED_CAP,Q$4&gt;MESCLUN_BED_CAP,$A167+$B167+Q$4&gt;TOTAL_BEDS_AVAILABLE,($D167+Q$5)&gt;TOTAL_LABOR_HOURS_CAP,MAX(0,($D167+Q$5)-PERMANENT_FIELD_LABOR_HOURS)&gt;TEMP_HOURS_CAP),"",$C167+Q$6-MIN(($D167+Q$5),PERMANENT_FIELD_LABOR_HOURS)*PERMANENT_HOURLY_RATE-MAX(0,($D167+Q$5)-PERMANENT_FIELD_LABOR_HOURS)*TEMP_HOURLY_RATE-FIXED_SEASON_COST)</f>
        <v>23242.9630669495</v>
      </c>
      <c r="R167" s="53" t="n">
        <f aca="false">IF(OR($A167&gt;TOMATO_BED_CAP,$B167&gt;CARROT_BED_CAP,R$4&gt;MESCLUN_BED_CAP,$A167+$B167+R$4&gt;TOTAL_BEDS_AVAILABLE,($D167+R$5)&gt;TOTAL_LABOR_HOURS_CAP,MAX(0,($D167+R$5)-PERMANENT_FIELD_LABOR_HOURS)&gt;TEMP_HOURS_CAP),"",$C167+R$6-MIN(($D167+R$5),PERMANENT_FIELD_LABOR_HOURS)*PERMANENT_HOURLY_RATE-MAX(0,($D167+R$5)-PERMANENT_FIELD_LABOR_HOURS)*TEMP_HOURLY_RATE-FIXED_SEASON_COST)</f>
        <v>24033.0384806463</v>
      </c>
      <c r="S167" s="53" t="n">
        <f aca="false">IF(OR($A167&gt;TOMATO_BED_CAP,$B167&gt;CARROT_BED_CAP,S$4&gt;MESCLUN_BED_CAP,$A167+$B167+S$4&gt;TOTAL_BEDS_AVAILABLE,($D167+S$5)&gt;TOTAL_LABOR_HOURS_CAP,MAX(0,($D167+S$5)-PERMANENT_FIELD_LABOR_HOURS)&gt;TEMP_HOURS_CAP),"",$C167+S$6-MIN(($D167+S$5),PERMANENT_FIELD_LABOR_HOURS)*PERMANENT_HOURLY_RATE-MAX(0,($D167+S$5)-PERMANENT_FIELD_LABOR_HOURS)*TEMP_HOURLY_RATE-FIXED_SEASON_COST)</f>
        <v>24798.9050691487</v>
      </c>
      <c r="T167" s="53" t="n">
        <f aca="false">IF(OR($A167&gt;TOMATO_BED_CAP,$B167&gt;CARROT_BED_CAP,T$4&gt;MESCLUN_BED_CAP,$A167+$B167+T$4&gt;TOTAL_BEDS_AVAILABLE,($D167+T$5)&gt;TOTAL_LABOR_HOURS_CAP,MAX(0,($D167+T$5)-PERMANENT_FIELD_LABOR_HOURS)&gt;TEMP_HOURS_CAP),"",$C167+T$6-MIN(($D167+T$5),PERMANENT_FIELD_LABOR_HOURS)*PERMANENT_HOURLY_RATE-MAX(0,($D167+T$5)-PERMANENT_FIELD_LABOR_HOURS)*TEMP_HOURLY_RATE-FIXED_SEASON_COST)</f>
        <v>25540.1185375436</v>
      </c>
      <c r="U167" s="53" t="n">
        <f aca="false">IF(OR($A167&gt;TOMATO_BED_CAP,$B167&gt;CARROT_BED_CAP,U$4&gt;MESCLUN_BED_CAP,$A167+$B167+U$4&gt;TOTAL_BEDS_AVAILABLE,($D167+U$5)&gt;TOTAL_LABOR_HOURS_CAP,MAX(0,($D167+U$5)-PERMANENT_FIELD_LABOR_HOURS)&gt;TEMP_HOURS_CAP),"",$C167+U$6-MIN(($D167+U$5),PERMANENT_FIELD_LABOR_HOURS)*PERMANENT_HOURLY_RATE-MAX(0,($D167+U$5)-PERMANENT_FIELD_LABOR_HOURS)*TEMP_HOURLY_RATE-FIXED_SEASON_COST)</f>
        <v>26256.2272661737</v>
      </c>
      <c r="V167" s="53" t="n">
        <f aca="false">IF(OR($A167&gt;TOMATO_BED_CAP,$B167&gt;CARROT_BED_CAP,V$4&gt;MESCLUN_BED_CAP,$A167+$B167+V$4&gt;TOTAL_BEDS_AVAILABLE,($D167+V$5)&gt;TOTAL_LABOR_HOURS_CAP,MAX(0,($D167+V$5)-PERMANENT_FIELD_LABOR_HOURS)&gt;TEMP_HOURS_CAP),"",$C167+V$6-MIN(($D167+V$5),PERMANENT_FIELD_LABOR_HOURS)*PERMANENT_HOURLY_RATE-MAX(0,($D167+V$5)-PERMANENT_FIELD_LABOR_HOURS)*TEMP_HOURLY_RATE-FIXED_SEASON_COST)</f>
        <v>26946.7721969405</v>
      </c>
      <c r="W167" s="53" t="n">
        <f aca="false">IF(OR($A167&gt;TOMATO_BED_CAP,$B167&gt;CARROT_BED_CAP,W$4&gt;MESCLUN_BED_CAP,$A167+$B167+W$4&gt;TOTAL_BEDS_AVAILABLE,($D167+W$5)&gt;TOTAL_LABOR_HOURS_CAP,MAX(0,($D167+W$5)-PERMANENT_FIELD_LABOR_HOURS)&gt;TEMP_HOURS_CAP),"",$C167+W$6-MIN(($D167+W$5),PERMANENT_FIELD_LABOR_HOURS)*PERMANENT_HOURLY_RATE-MAX(0,($D167+W$5)-PERMANENT_FIELD_LABOR_HOURS)*TEMP_HOURLY_RATE-FIXED_SEASON_COST)</f>
        <v>27611.2867179085</v>
      </c>
      <c r="X167" s="53" t="n">
        <f aca="false">IF(OR($A167&gt;TOMATO_BED_CAP,$B167&gt;CARROT_BED_CAP,X$4&gt;MESCLUN_BED_CAP,$A167+$B167+X$4&gt;TOTAL_BEDS_AVAILABLE,($D167+X$5)&gt;TOTAL_LABOR_HOURS_CAP,MAX(0,($D167+X$5)-PERMANENT_FIELD_LABOR_HOURS)&gt;TEMP_HOURS_CAP),"",$C167+X$6-MIN(($D167+X$5),PERMANENT_FIELD_LABOR_HOURS)*PERMANENT_HOURLY_RATE-MAX(0,($D167+X$5)-PERMANENT_FIELD_LABOR_HOURS)*TEMP_HOURLY_RATE-FIXED_SEASON_COST)</f>
        <v>28249.2965461874</v>
      </c>
      <c r="Y167" s="53" t="n">
        <f aca="false">IF(OR($A167&gt;TOMATO_BED_CAP,$B167&gt;CARROT_BED_CAP,Y$4&gt;MESCLUN_BED_CAP,$A167+$B167+Y$4&gt;TOTAL_BEDS_AVAILABLE,($D167+Y$5)&gt;TOTAL_LABOR_HOURS_CAP,MAX(0,($D167+Y$5)-PERMANENT_FIELD_LABOR_HOURS)&gt;TEMP_HOURS_CAP),"",$C167+Y$6-MIN(($D167+Y$5),PERMANENT_FIELD_LABOR_HOURS)*PERMANENT_HOURLY_RATE-MAX(0,($D167+Y$5)-PERMANENT_FIELD_LABOR_HOURS)*TEMP_HOURLY_RATE-FIXED_SEASON_COST)</f>
        <v>28860.3196090661</v>
      </c>
      <c r="Z167" s="53" t="n">
        <f aca="false">IF(OR($A167&gt;TOMATO_BED_CAP,$B167&gt;CARROT_BED_CAP,Z$4&gt;MESCLUN_BED_CAP,$A167+$B167+Z$4&gt;TOTAL_BEDS_AVAILABLE,($D167+Z$5)&gt;TOTAL_LABOR_HOURS_CAP,MAX(0,($D167+Z$5)-PERMANENT_FIELD_LABOR_HOURS)&gt;TEMP_HOURS_CAP),"",$C167+Z$6-MIN(($D167+Z$5),PERMANENT_FIELD_LABOR_HOURS)*PERMANENT_HOURLY_RATE-MAX(0,($D167+Z$5)-PERMANENT_FIELD_LABOR_HOURS)*TEMP_HOURLY_RATE-FIXED_SEASON_COST)</f>
        <v>29443.8659233738</v>
      </c>
      <c r="AA167" s="53" t="n">
        <f aca="false">IF(OR($A167&gt;TOMATO_BED_CAP,$B167&gt;CARROT_BED_CAP,AA$4&gt;MESCLUN_BED_CAP,$A167+$B167+AA$4&gt;TOTAL_BEDS_AVAILABLE,($D167+AA$5)&gt;TOTAL_LABOR_HOURS_CAP,MAX(0,($D167+AA$5)-PERMANENT_FIELD_LABOR_HOURS)&gt;TEMP_HOURS_CAP),"",$C167+AA$6-MIN(($D167+AA$5),PERMANENT_FIELD_LABOR_HOURS)*PERMANENT_HOURLY_RATE-MAX(0,($D167+AA$5)-PERMANENT_FIELD_LABOR_HOURS)*TEMP_HOURLY_RATE-FIXED_SEASON_COST)</f>
        <v>29999.4374730428</v>
      </c>
      <c r="AB167" s="53" t="n">
        <f aca="false">IF(OR($A167&gt;TOMATO_BED_CAP,$B167&gt;CARROT_BED_CAP,AB$4&gt;MESCLUN_BED_CAP,$A167+$B167+AB$4&gt;TOTAL_BEDS_AVAILABLE,($D167+AB$5)&gt;TOTAL_LABOR_HOURS_CAP,MAX(0,($D167+AB$5)-PERMANENT_FIELD_LABOR_HOURS)&gt;TEMP_HOURS_CAP),"",$C167+AB$6-MIN(($D167+AB$5),PERMANENT_FIELD_LABOR_HOURS)*PERMANENT_HOURLY_RATE-MAX(0,($D167+AB$5)-PERMANENT_FIELD_LABOR_HOURS)*TEMP_HOURLY_RATE-FIXED_SEASON_COST)</f>
        <v>30526.5280848453</v>
      </c>
      <c r="AC167" s="53" t="n">
        <f aca="false">IF(OR($A167&gt;TOMATO_BED_CAP,$B167&gt;CARROT_BED_CAP,AC$4&gt;MESCLUN_BED_CAP,$A167+$B167+AC$4&gt;TOTAL_BEDS_AVAILABLE,($D167+AC$5)&gt;TOTAL_LABOR_HOURS_CAP,MAX(0,($D167+AC$5)-PERMANENT_FIELD_LABOR_HOURS)&gt;TEMP_HOURS_CAP),"",$C167+AC$6-MIN(($D167+AC$5),PERMANENT_FIELD_LABOR_HOURS)*PERMANENT_HOURLY_RATE-MAX(0,($D167+AC$5)-PERMANENT_FIELD_LABOR_HOURS)*TEMP_HOURLY_RATE-FIXED_SEASON_COST)</f>
        <v>31024.6233022802</v>
      </c>
      <c r="AD167" s="53" t="n">
        <f aca="false">IF(OR($A167&gt;TOMATO_BED_CAP,$B167&gt;CARROT_BED_CAP,AD$4&gt;MESCLUN_BED_CAP,$A167+$B167+AD$4&gt;TOTAL_BEDS_AVAILABLE,($D167+AD$5)&gt;TOTAL_LABOR_HOURS_CAP,MAX(0,($D167+AD$5)-PERMANENT_FIELD_LABOR_HOURS)&gt;TEMP_HOURS_CAP),"",$C167+AD$6-MIN(($D167+AD$5),PERMANENT_FIELD_LABOR_HOURS)*PERMANENT_HOURLY_RATE-MAX(0,($D167+AD$5)-PERMANENT_FIELD_LABOR_HOURS)*TEMP_HOURLY_RATE-FIXED_SEASON_COST)</f>
        <v>31493.2002575802</v>
      </c>
      <c r="AE167" s="53" t="n">
        <f aca="false">IF(OR($A167&gt;TOMATO_BED_CAP,$B167&gt;CARROT_BED_CAP,AE$4&gt;MESCLUN_BED_CAP,$A167+$B167+AE$4&gt;TOTAL_BEDS_AVAILABLE,($D167+AE$5)&gt;TOTAL_LABOR_HOURS_CAP,MAX(0,($D167+AE$5)-PERMANENT_FIELD_LABOR_HOURS)&gt;TEMP_HOURS_CAP),"",$C167+AE$6-MIN(($D167+AE$5),PERMANENT_FIELD_LABOR_HOURS)*PERMANENT_HOURLY_RATE-MAX(0,($D167+AE$5)-PERMANENT_FIELD_LABOR_HOURS)*TEMP_HOURLY_RATE-FIXED_SEASON_COST)</f>
        <v>31931.7275418141</v>
      </c>
      <c r="AF167" s="53" t="n">
        <f aca="false">IF(OR($A167&gt;TOMATO_BED_CAP,$B167&gt;CARROT_BED_CAP,AF$4&gt;MESCLUN_BED_CAP,$A167+$B167+AF$4&gt;TOTAL_BEDS_AVAILABLE,($D167+AF$5)&gt;TOTAL_LABOR_HOURS_CAP,MAX(0,($D167+AF$5)-PERMANENT_FIELD_LABOR_HOURS)&gt;TEMP_HOURS_CAP),"",$C167+AF$6-MIN(($D167+AF$5),PERMANENT_FIELD_LABOR_HOURS)*PERMANENT_HOURLY_RATE-MAX(0,($D167+AF$5)-PERMANENT_FIELD_LABOR_HOURS)*TEMP_HOURLY_RATE-FIXED_SEASON_COST)</f>
        <v>32339.665073056</v>
      </c>
      <c r="AG167" s="53" t="n">
        <f aca="false">IF(OR($A167&gt;TOMATO_BED_CAP,$B167&gt;CARROT_BED_CAP,AG$4&gt;MESCLUN_BED_CAP,$A167+$B167+AG$4&gt;TOTAL_BEDS_AVAILABLE,($D167+AG$5)&gt;TOTAL_LABOR_HOURS_CAP,MAX(0,($D167+AG$5)-PERMANENT_FIELD_LABOR_HOURS)&gt;TEMP_HOURS_CAP),"",$C167+AG$6-MIN(($D167+AG$5),PERMANENT_FIELD_LABOR_HOURS)*PERMANENT_HOURLY_RATE-MAX(0,($D167+AG$5)-PERMANENT_FIELD_LABOR_HOURS)*TEMP_HOURLY_RATE-FIXED_SEASON_COST)</f>
        <v>32716.463962593</v>
      </c>
      <c r="AH167" s="53" t="n">
        <f aca="false">IF(OR($A167&gt;TOMATO_BED_CAP,$B167&gt;CARROT_BED_CAP,AH$4&gt;MESCLUN_BED_CAP,$A167+$B167+AH$4&gt;TOTAL_BEDS_AVAILABLE,($D167+AH$5)&gt;TOTAL_LABOR_HOURS_CAP,MAX(0,($D167+AH$5)-PERMANENT_FIELD_LABOR_HOURS)&gt;TEMP_HOURS_CAP),"",$C167+AH$6-MIN(($D167+AH$5),PERMANENT_FIELD_LABOR_HOURS)*PERMANENT_HOURLY_RATE-MAX(0,($D167+AH$5)-PERMANENT_FIELD_LABOR_HOURS)*TEMP_HOURLY_RATE-FIXED_SEASON_COST)</f>
        <v>33061.5663791433</v>
      </c>
      <c r="AI167" s="53" t="n">
        <f aca="false">IF(OR($A167&gt;TOMATO_BED_CAP,$B167&gt;CARROT_BED_CAP,AI$4&gt;MESCLUN_BED_CAP,$A167+$B167+AI$4&gt;TOTAL_BEDS_AVAILABLE,($D167+AI$5)&gt;TOTAL_LABOR_HOURS_CAP,MAX(0,($D167+AI$5)-PERMANENT_FIELD_LABOR_HOURS)&gt;TEMP_HOURS_CAP),"",$C167+AI$6-MIN(($D167+AI$5),PERMANENT_FIELD_LABOR_HOURS)*PERMANENT_HOURLY_RATE-MAX(0,($D167+AI$5)-PERMANENT_FIELD_LABOR_HOURS)*TEMP_HOURLY_RATE-FIXED_SEASON_COST)</f>
        <v>33374.4054110555</v>
      </c>
      <c r="AJ167" s="53" t="n">
        <f aca="false">IF(OR($A167&gt;TOMATO_BED_CAP,$B167&gt;CARROT_BED_CAP,AJ$4&gt;MESCLUN_BED_CAP,$A167+$B167+AJ$4&gt;TOTAL_BEDS_AVAILABLE,($D167+AJ$5)&gt;TOTAL_LABOR_HOURS_CAP,MAX(0,($D167+AJ$5)-PERMANENT_FIELD_LABOR_HOURS)&gt;TEMP_HOURS_CAP),"",$C167+AJ$6-MIN(($D167+AJ$5),PERMANENT_FIELD_LABOR_HOURS)*PERMANENT_HOURLY_RATE-MAX(0,($D167+AJ$5)-PERMANENT_FIELD_LABOR_HOURS)*TEMP_HOURLY_RATE-FIXED_SEASON_COST)</f>
        <v>33654.4049264613</v>
      </c>
    </row>
    <row r="168" customFormat="false" ht="15" hidden="false" customHeight="false" outlineLevel="0" collapsed="false">
      <c r="A168" s="21" t="n">
        <f aca="false">INT((ROW()-ROW($A$8))/(20+1))</f>
        <v>7</v>
      </c>
      <c r="B168" s="21" t="n">
        <f aca="false">MOD(ROW()-ROW($A$8),20+1)</f>
        <v>13</v>
      </c>
      <c r="C168" s="13" t="n">
        <f aca="false">A168*(TOMATO_REVENUE_PER_BED-TOMATO_FERTILIZER_PER_BED)+B168*(CARROT_REVENUE_PER_BED-CARROT_FERTILIZER_PER_BED)</f>
        <v>76942</v>
      </c>
      <c r="D168" s="14" t="n">
        <f aca="false">INDEX(TOMATO_SCHED_LABOR_HRS,A168+1)+INDEX(CARROT_SCHED_LABOR_HRS,B168+1)</f>
        <v>1765.09603276946</v>
      </c>
      <c r="E168" s="13" t="n">
        <f aca="false">IF(COUNT(F168:AJ168)=0,"",MAX(F168:AJ168))</f>
        <v>34380.7221659947</v>
      </c>
      <c r="F168" s="53" t="n">
        <f aca="false">IF(OR($A168&gt;TOMATO_BED_CAP,$B168&gt;CARROT_BED_CAP,F$4&gt;MESCLUN_BED_CAP,$A168+$B168+F$4&gt;TOTAL_BEDS_AVAILABLE,($D168+F$5)&gt;TOTAL_LABOR_HOURS_CAP,MAX(0,($D168+F$5)-PERMANENT_FIELD_LABOR_HOURS)&gt;TEMP_HOURS_CAP),"",$C168+F$6-MIN(($D168+F$5),PERMANENT_FIELD_LABOR_HOURS)*PERMANENT_HOURLY_RATE-MAX(0,($D168+F$5)-PERMANENT_FIELD_LABOR_HOURS)*TEMP_HOURLY_RATE-FIXED_SEASON_COST)</f>
        <v>13800.7328711222</v>
      </c>
      <c r="G168" s="53" t="n">
        <f aca="false">IF(OR($A168&gt;TOMATO_BED_CAP,$B168&gt;CARROT_BED_CAP,G$4&gt;MESCLUN_BED_CAP,$A168+$B168+G$4&gt;TOTAL_BEDS_AVAILABLE,($D168+G$5)&gt;TOTAL_LABOR_HOURS_CAP,MAX(0,($D168+G$5)-PERMANENT_FIELD_LABOR_HOURS)&gt;TEMP_HOURS_CAP),"",$C168+G$6-MIN(($D168+G$5),PERMANENT_FIELD_LABOR_HOURS)*PERMANENT_HOURLY_RATE-MAX(0,($D168+G$5)-PERMANENT_FIELD_LABOR_HOURS)*TEMP_HOURLY_RATE-FIXED_SEASON_COST)</f>
        <v>14829.7678711222</v>
      </c>
      <c r="H168" s="53" t="n">
        <f aca="false">IF(OR($A168&gt;TOMATO_BED_CAP,$B168&gt;CARROT_BED_CAP,H$4&gt;MESCLUN_BED_CAP,$A168+$B168+H$4&gt;TOTAL_BEDS_AVAILABLE,($D168+H$5)&gt;TOTAL_LABOR_HOURS_CAP,MAX(0,($D168+H$5)-PERMANENT_FIELD_LABOR_HOURS)&gt;TEMP_HOURS_CAP),"",$C168+H$6-MIN(($D168+H$5),PERMANENT_FIELD_LABOR_HOURS)*PERMANENT_HOURLY_RATE-MAX(0,($D168+H$5)-PERMANENT_FIELD_LABOR_HOURS)*TEMP_HOURLY_RATE-FIXED_SEASON_COST)</f>
        <v>15839.0287461222</v>
      </c>
      <c r="I168" s="53" t="n">
        <f aca="false">IF(OR($A168&gt;TOMATO_BED_CAP,$B168&gt;CARROT_BED_CAP,I$4&gt;MESCLUN_BED_CAP,$A168+$B168+I$4&gt;TOTAL_BEDS_AVAILABLE,($D168+I$5)&gt;TOTAL_LABOR_HOURS_CAP,MAX(0,($D168+I$5)-PERMANENT_FIELD_LABOR_HOURS)&gt;TEMP_HOURS_CAP),"",$C168+I$6-MIN(($D168+I$5),PERMANENT_FIELD_LABOR_HOURS)*PERMANENT_HOURLY_RATE-MAX(0,($D168+I$5)-PERMANENT_FIELD_LABOR_HOURS)*TEMP_HOURLY_RATE-FIXED_SEASON_COST)</f>
        <v>16828.1447312784</v>
      </c>
      <c r="J168" s="53" t="n">
        <f aca="false">IF(OR($A168&gt;TOMATO_BED_CAP,$B168&gt;CARROT_BED_CAP,J$4&gt;MESCLUN_BED_CAP,$A168+$B168+J$4&gt;TOTAL_BEDS_AVAILABLE,($D168+J$5)&gt;TOTAL_LABOR_HOURS_CAP,MAX(0,($D168+J$5)-PERMANENT_FIELD_LABOR_HOURS)&gt;TEMP_HOURS_CAP),"",$C168+J$6-MIN(($D168+J$5),PERMANENT_FIELD_LABOR_HOURS)*PERMANENT_HOURLY_RATE-MAX(0,($D168+J$5)-PERMANENT_FIELD_LABOR_HOURS)*TEMP_HOURLY_RATE-FIXED_SEASON_COST)</f>
        <v>17796.7388823331</v>
      </c>
      <c r="K168" s="53" t="n">
        <f aca="false">IF(OR($A168&gt;TOMATO_BED_CAP,$B168&gt;CARROT_BED_CAP,K$4&gt;MESCLUN_BED_CAP,$A168+$B168+K$4&gt;TOTAL_BEDS_AVAILABLE,($D168+K$5)&gt;TOTAL_LABOR_HOURS_CAP,MAX(0,($D168+K$5)-PERMANENT_FIELD_LABOR_HOURS)&gt;TEMP_HOURS_CAP),"",$C168+K$6-MIN(($D168+K$5),PERMANENT_FIELD_LABOR_HOURS)*PERMANENT_HOURLY_RATE-MAX(0,($D168+K$5)-PERMANENT_FIELD_LABOR_HOURS)*TEMP_HOURLY_RATE-FIXED_SEASON_COST)</f>
        <v>18744.427979061</v>
      </c>
      <c r="L168" s="53" t="n">
        <f aca="false">IF(OR($A168&gt;TOMATO_BED_CAP,$B168&gt;CARROT_BED_CAP,L$4&gt;MESCLUN_BED_CAP,$A168+$B168+L$4&gt;TOTAL_BEDS_AVAILABLE,($D168+L$5)&gt;TOTAL_LABOR_HOURS_CAP,MAX(0,($D168+L$5)-PERMANENT_FIELD_LABOR_HOURS)&gt;TEMP_HOURS_CAP),"",$C168+L$6-MIN(($D168+L$5),PERMANENT_FIELD_LABOR_HOURS)*PERMANENT_HOURLY_RATE-MAX(0,($D168+L$5)-PERMANENT_FIELD_LABOR_HOURS)*TEMP_HOURLY_RATE-FIXED_SEASON_COST)</f>
        <v>19670.8224272679</v>
      </c>
      <c r="M168" s="53" t="n">
        <f aca="false">IF(OR($A168&gt;TOMATO_BED_CAP,$B168&gt;CARROT_BED_CAP,M$4&gt;MESCLUN_BED_CAP,$A168+$B168+M$4&gt;TOTAL_BEDS_AVAILABLE,($D168+M$5)&gt;TOTAL_LABOR_HOURS_CAP,MAX(0,($D168+M$5)-PERMANENT_FIELD_LABOR_HOURS)&gt;TEMP_HOURS_CAP),"",$C168+M$6-MIN(($D168+M$5),PERMANENT_FIELD_LABOR_HOURS)*PERMANENT_HOURLY_RATE-MAX(0,($D168+M$5)-PERMANENT_FIELD_LABOR_HOURS)*TEMP_HOURLY_RATE-FIXED_SEASON_COST)</f>
        <v>20575.5261593193</v>
      </c>
      <c r="N168" s="53" t="n">
        <f aca="false">IF(OR($A168&gt;TOMATO_BED_CAP,$B168&gt;CARROT_BED_CAP,N$4&gt;MESCLUN_BED_CAP,$A168+$B168+N$4&gt;TOTAL_BEDS_AVAILABLE,($D168+N$5)&gt;TOTAL_LABOR_HOURS_CAP,MAX(0,($D168+N$5)-PERMANENT_FIELD_LABOR_HOURS)&gt;TEMP_HOURS_CAP),"",$C168+N$6-MIN(($D168+N$5),PERMANENT_FIELD_LABOR_HOURS)*PERMANENT_HOURLY_RATE-MAX(0,($D168+N$5)-PERMANENT_FIELD_LABOR_HOURS)*TEMP_HOURLY_RATE-FIXED_SEASON_COST)</f>
        <v>21458.1365331788</v>
      </c>
      <c r="O168" s="53" t="n">
        <f aca="false">IF(OR($A168&gt;TOMATO_BED_CAP,$B168&gt;CARROT_BED_CAP,O$4&gt;MESCLUN_BED_CAP,$A168+$B168+O$4&gt;TOTAL_BEDS_AVAILABLE,($D168+O$5)&gt;TOTAL_LABOR_HOURS_CAP,MAX(0,($D168+O$5)-PERMANENT_FIELD_LABOR_HOURS)&gt;TEMP_HOURS_CAP),"",$C168+O$6-MIN(($D168+O$5),PERMANENT_FIELD_LABOR_HOURS)*PERMANENT_HOURLY_RATE-MAX(0,($D168+O$5)-PERMANENT_FIELD_LABOR_HOURS)*TEMP_HOURLY_RATE-FIXED_SEASON_COST)</f>
        <v>22318.2442299336</v>
      </c>
      <c r="P168" s="53" t="n">
        <f aca="false">IF(OR($A168&gt;TOMATO_BED_CAP,$B168&gt;CARROT_BED_CAP,P$4&gt;MESCLUN_BED_CAP,$A168+$B168+P$4&gt;TOTAL_BEDS_AVAILABLE,($D168+P$5)&gt;TOTAL_LABOR_HOURS_CAP,MAX(0,($D168+P$5)-PERMANENT_FIELD_LABOR_HOURS)&gt;TEMP_HOURS_CAP),"",$C168+P$6-MIN(($D168+P$5),PERMANENT_FIELD_LABOR_HOURS)*PERMANENT_HOURLY_RATE-MAX(0,($D168+P$5)-PERMANENT_FIELD_LABOR_HOURS)*TEMP_HOURLY_RATE-FIXED_SEASON_COST)</f>
        <v>23155.433149785</v>
      </c>
      <c r="Q168" s="53" t="n">
        <f aca="false">IF(OR($A168&gt;TOMATO_BED_CAP,$B168&gt;CARROT_BED_CAP,Q$4&gt;MESCLUN_BED_CAP,$A168+$B168+Q$4&gt;TOTAL_BEDS_AVAILABLE,($D168+Q$5)&gt;TOTAL_LABOR_HOURS_CAP,MAX(0,($D168+Q$5)-PERMANENT_FIELD_LABOR_HOURS)&gt;TEMP_HOURS_CAP),"",$C168+Q$6-MIN(($D168+Q$5),PERMANENT_FIELD_LABOR_HOURS)*PERMANENT_HOURLY_RATE-MAX(0,($D168+Q$5)-PERMANENT_FIELD_LABOR_HOURS)*TEMP_HOURLY_RATE-FIXED_SEASON_COST)</f>
        <v>23969.2803064829</v>
      </c>
      <c r="R168" s="53" t="n">
        <f aca="false">IF(OR($A168&gt;TOMATO_BED_CAP,$B168&gt;CARROT_BED_CAP,R$4&gt;MESCLUN_BED_CAP,$A168+$B168+R$4&gt;TOTAL_BEDS_AVAILABLE,($D168+R$5)&gt;TOTAL_LABOR_HOURS_CAP,MAX(0,($D168+R$5)-PERMANENT_FIELD_LABOR_HOURS)&gt;TEMP_HOURS_CAP),"",$C168+R$6-MIN(($D168+R$5),PERMANENT_FIELD_LABOR_HOURS)*PERMANENT_HOURLY_RATE-MAX(0,($D168+R$5)-PERMANENT_FIELD_LABOR_HOURS)*TEMP_HOURLY_RATE-FIXED_SEASON_COST)</f>
        <v>24759.3557201797</v>
      </c>
      <c r="S168" s="53" t="n">
        <f aca="false">IF(OR($A168&gt;TOMATO_BED_CAP,$B168&gt;CARROT_BED_CAP,S$4&gt;MESCLUN_BED_CAP,$A168+$B168+S$4&gt;TOTAL_BEDS_AVAILABLE,($D168+S$5)&gt;TOTAL_LABOR_HOURS_CAP,MAX(0,($D168+S$5)-PERMANENT_FIELD_LABOR_HOURS)&gt;TEMP_HOURS_CAP),"",$C168+S$6-MIN(($D168+S$5),PERMANENT_FIELD_LABOR_HOURS)*PERMANENT_HOURLY_RATE-MAX(0,($D168+S$5)-PERMANENT_FIELD_LABOR_HOURS)*TEMP_HOURLY_RATE-FIXED_SEASON_COST)</f>
        <v>25525.2223086821</v>
      </c>
      <c r="T168" s="53" t="n">
        <f aca="false">IF(OR($A168&gt;TOMATO_BED_CAP,$B168&gt;CARROT_BED_CAP,T$4&gt;MESCLUN_BED_CAP,$A168+$B168+T$4&gt;TOTAL_BEDS_AVAILABLE,($D168+T$5)&gt;TOTAL_LABOR_HOURS_CAP,MAX(0,($D168+T$5)-PERMANENT_FIELD_LABOR_HOURS)&gt;TEMP_HOURS_CAP),"",$C168+T$6-MIN(($D168+T$5),PERMANENT_FIELD_LABOR_HOURS)*PERMANENT_HOURLY_RATE-MAX(0,($D168+T$5)-PERMANENT_FIELD_LABOR_HOURS)*TEMP_HOURLY_RATE-FIXED_SEASON_COST)</f>
        <v>26266.435777077</v>
      </c>
      <c r="U168" s="53" t="n">
        <f aca="false">IF(OR($A168&gt;TOMATO_BED_CAP,$B168&gt;CARROT_BED_CAP,U$4&gt;MESCLUN_BED_CAP,$A168+$B168+U$4&gt;TOTAL_BEDS_AVAILABLE,($D168+U$5)&gt;TOTAL_LABOR_HOURS_CAP,MAX(0,($D168+U$5)-PERMANENT_FIELD_LABOR_HOURS)&gt;TEMP_HOURS_CAP),"",$C168+U$6-MIN(($D168+U$5),PERMANENT_FIELD_LABOR_HOURS)*PERMANENT_HOURLY_RATE-MAX(0,($D168+U$5)-PERMANENT_FIELD_LABOR_HOURS)*TEMP_HOURLY_RATE-FIXED_SEASON_COST)</f>
        <v>26982.5445057071</v>
      </c>
      <c r="V168" s="53" t="n">
        <f aca="false">IF(OR($A168&gt;TOMATO_BED_CAP,$B168&gt;CARROT_BED_CAP,V$4&gt;MESCLUN_BED_CAP,$A168+$B168+V$4&gt;TOTAL_BEDS_AVAILABLE,($D168+V$5)&gt;TOTAL_LABOR_HOURS_CAP,MAX(0,($D168+V$5)-PERMANENT_FIELD_LABOR_HOURS)&gt;TEMP_HOURS_CAP),"",$C168+V$6-MIN(($D168+V$5),PERMANENT_FIELD_LABOR_HOURS)*PERMANENT_HOURLY_RATE-MAX(0,($D168+V$5)-PERMANENT_FIELD_LABOR_HOURS)*TEMP_HOURLY_RATE-FIXED_SEASON_COST)</f>
        <v>27673.0894364739</v>
      </c>
      <c r="W168" s="53" t="n">
        <f aca="false">IF(OR($A168&gt;TOMATO_BED_CAP,$B168&gt;CARROT_BED_CAP,W$4&gt;MESCLUN_BED_CAP,$A168+$B168+W$4&gt;TOTAL_BEDS_AVAILABLE,($D168+W$5)&gt;TOTAL_LABOR_HOURS_CAP,MAX(0,($D168+W$5)-PERMANENT_FIELD_LABOR_HOURS)&gt;TEMP_HOURS_CAP),"",$C168+W$6-MIN(($D168+W$5),PERMANENT_FIELD_LABOR_HOURS)*PERMANENT_HOURLY_RATE-MAX(0,($D168+W$5)-PERMANENT_FIELD_LABOR_HOURS)*TEMP_HOURLY_RATE-FIXED_SEASON_COST)</f>
        <v>28337.6039574419</v>
      </c>
      <c r="X168" s="53" t="n">
        <f aca="false">IF(OR($A168&gt;TOMATO_BED_CAP,$B168&gt;CARROT_BED_CAP,X$4&gt;MESCLUN_BED_CAP,$A168+$B168+X$4&gt;TOTAL_BEDS_AVAILABLE,($D168+X$5)&gt;TOTAL_LABOR_HOURS_CAP,MAX(0,($D168+X$5)-PERMANENT_FIELD_LABOR_HOURS)&gt;TEMP_HOURS_CAP),"",$C168+X$6-MIN(($D168+X$5),PERMANENT_FIELD_LABOR_HOURS)*PERMANENT_HOURLY_RATE-MAX(0,($D168+X$5)-PERMANENT_FIELD_LABOR_HOURS)*TEMP_HOURLY_RATE-FIXED_SEASON_COST)</f>
        <v>28975.6137857209</v>
      </c>
      <c r="Y168" s="53" t="n">
        <f aca="false">IF(OR($A168&gt;TOMATO_BED_CAP,$B168&gt;CARROT_BED_CAP,Y$4&gt;MESCLUN_BED_CAP,$A168+$B168+Y$4&gt;TOTAL_BEDS_AVAILABLE,($D168+Y$5)&gt;TOTAL_LABOR_HOURS_CAP,MAX(0,($D168+Y$5)-PERMANENT_FIELD_LABOR_HOURS)&gt;TEMP_HOURS_CAP),"",$C168+Y$6-MIN(($D168+Y$5),PERMANENT_FIELD_LABOR_HOURS)*PERMANENT_HOURLY_RATE-MAX(0,($D168+Y$5)-PERMANENT_FIELD_LABOR_HOURS)*TEMP_HOURLY_RATE-FIXED_SEASON_COST)</f>
        <v>29586.6368485995</v>
      </c>
      <c r="Z168" s="53" t="n">
        <f aca="false">IF(OR($A168&gt;TOMATO_BED_CAP,$B168&gt;CARROT_BED_CAP,Z$4&gt;MESCLUN_BED_CAP,$A168+$B168+Z$4&gt;TOTAL_BEDS_AVAILABLE,($D168+Z$5)&gt;TOTAL_LABOR_HOURS_CAP,MAX(0,($D168+Z$5)-PERMANENT_FIELD_LABOR_HOURS)&gt;TEMP_HOURS_CAP),"",$C168+Z$6-MIN(($D168+Z$5),PERMANENT_FIELD_LABOR_HOURS)*PERMANENT_HOURLY_RATE-MAX(0,($D168+Z$5)-PERMANENT_FIELD_LABOR_HOURS)*TEMP_HOURLY_RATE-FIXED_SEASON_COST)</f>
        <v>30170.1831629072</v>
      </c>
      <c r="AA168" s="53" t="n">
        <f aca="false">IF(OR($A168&gt;TOMATO_BED_CAP,$B168&gt;CARROT_BED_CAP,AA$4&gt;MESCLUN_BED_CAP,$A168+$B168+AA$4&gt;TOTAL_BEDS_AVAILABLE,($D168+AA$5)&gt;TOTAL_LABOR_HOURS_CAP,MAX(0,($D168+AA$5)-PERMANENT_FIELD_LABOR_HOURS)&gt;TEMP_HOURS_CAP),"",$C168+AA$6-MIN(($D168+AA$5),PERMANENT_FIELD_LABOR_HOURS)*PERMANENT_HOURLY_RATE-MAX(0,($D168+AA$5)-PERMANENT_FIELD_LABOR_HOURS)*TEMP_HOURLY_RATE-FIXED_SEASON_COST)</f>
        <v>30725.7547125762</v>
      </c>
      <c r="AB168" s="53" t="n">
        <f aca="false">IF(OR($A168&gt;TOMATO_BED_CAP,$B168&gt;CARROT_BED_CAP,AB$4&gt;MESCLUN_BED_CAP,$A168+$B168+AB$4&gt;TOTAL_BEDS_AVAILABLE,($D168+AB$5)&gt;TOTAL_LABOR_HOURS_CAP,MAX(0,($D168+AB$5)-PERMANENT_FIELD_LABOR_HOURS)&gt;TEMP_HOURS_CAP),"",$C168+AB$6-MIN(($D168+AB$5),PERMANENT_FIELD_LABOR_HOURS)*PERMANENT_HOURLY_RATE-MAX(0,($D168+AB$5)-PERMANENT_FIELD_LABOR_HOURS)*TEMP_HOURLY_RATE-FIXED_SEASON_COST)</f>
        <v>31252.8453243787</v>
      </c>
      <c r="AC168" s="53" t="n">
        <f aca="false">IF(OR($A168&gt;TOMATO_BED_CAP,$B168&gt;CARROT_BED_CAP,AC$4&gt;MESCLUN_BED_CAP,$A168+$B168+AC$4&gt;TOTAL_BEDS_AVAILABLE,($D168+AC$5)&gt;TOTAL_LABOR_HOURS_CAP,MAX(0,($D168+AC$5)-PERMANENT_FIELD_LABOR_HOURS)&gt;TEMP_HOURS_CAP),"",$C168+AC$6-MIN(($D168+AC$5),PERMANENT_FIELD_LABOR_HOURS)*PERMANENT_HOURLY_RATE-MAX(0,($D168+AC$5)-PERMANENT_FIELD_LABOR_HOURS)*TEMP_HOURLY_RATE-FIXED_SEASON_COST)</f>
        <v>31750.9405418137</v>
      </c>
      <c r="AD168" s="53" t="n">
        <f aca="false">IF(OR($A168&gt;TOMATO_BED_CAP,$B168&gt;CARROT_BED_CAP,AD$4&gt;MESCLUN_BED_CAP,$A168+$B168+AD$4&gt;TOTAL_BEDS_AVAILABLE,($D168+AD$5)&gt;TOTAL_LABOR_HOURS_CAP,MAX(0,($D168+AD$5)-PERMANENT_FIELD_LABOR_HOURS)&gt;TEMP_HOURS_CAP),"",$C168+AD$6-MIN(($D168+AD$5),PERMANENT_FIELD_LABOR_HOURS)*PERMANENT_HOURLY_RATE-MAX(0,($D168+AD$5)-PERMANENT_FIELD_LABOR_HOURS)*TEMP_HOURLY_RATE-FIXED_SEASON_COST)</f>
        <v>32219.5174971136</v>
      </c>
      <c r="AE168" s="53" t="n">
        <f aca="false">IF(OR($A168&gt;TOMATO_BED_CAP,$B168&gt;CARROT_BED_CAP,AE$4&gt;MESCLUN_BED_CAP,$A168+$B168+AE$4&gt;TOTAL_BEDS_AVAILABLE,($D168+AE$5)&gt;TOTAL_LABOR_HOURS_CAP,MAX(0,($D168+AE$5)-PERMANENT_FIELD_LABOR_HOURS)&gt;TEMP_HOURS_CAP),"",$C168+AE$6-MIN(($D168+AE$5),PERMANENT_FIELD_LABOR_HOURS)*PERMANENT_HOURLY_RATE-MAX(0,($D168+AE$5)-PERMANENT_FIELD_LABOR_HOURS)*TEMP_HOURLY_RATE-FIXED_SEASON_COST)</f>
        <v>32658.0447813475</v>
      </c>
      <c r="AF168" s="53" t="n">
        <f aca="false">IF(OR($A168&gt;TOMATO_BED_CAP,$B168&gt;CARROT_BED_CAP,AF$4&gt;MESCLUN_BED_CAP,$A168+$B168+AF$4&gt;TOTAL_BEDS_AVAILABLE,($D168+AF$5)&gt;TOTAL_LABOR_HOURS_CAP,MAX(0,($D168+AF$5)-PERMANENT_FIELD_LABOR_HOURS)&gt;TEMP_HOURS_CAP),"",$C168+AF$6-MIN(($D168+AF$5),PERMANENT_FIELD_LABOR_HOURS)*PERMANENT_HOURLY_RATE-MAX(0,($D168+AF$5)-PERMANENT_FIELD_LABOR_HOURS)*TEMP_HOURLY_RATE-FIXED_SEASON_COST)</f>
        <v>33065.9823125895</v>
      </c>
      <c r="AG168" s="53" t="n">
        <f aca="false">IF(OR($A168&gt;TOMATO_BED_CAP,$B168&gt;CARROT_BED_CAP,AG$4&gt;MESCLUN_BED_CAP,$A168+$B168+AG$4&gt;TOTAL_BEDS_AVAILABLE,($D168+AG$5)&gt;TOTAL_LABOR_HOURS_CAP,MAX(0,($D168+AG$5)-PERMANENT_FIELD_LABOR_HOURS)&gt;TEMP_HOURS_CAP),"",$C168+AG$6-MIN(($D168+AG$5),PERMANENT_FIELD_LABOR_HOURS)*PERMANENT_HOURLY_RATE-MAX(0,($D168+AG$5)-PERMANENT_FIELD_LABOR_HOURS)*TEMP_HOURLY_RATE-FIXED_SEASON_COST)</f>
        <v>33442.7812021265</v>
      </c>
      <c r="AH168" s="53" t="n">
        <f aca="false">IF(OR($A168&gt;TOMATO_BED_CAP,$B168&gt;CARROT_BED_CAP,AH$4&gt;MESCLUN_BED_CAP,$A168+$B168+AH$4&gt;TOTAL_BEDS_AVAILABLE,($D168+AH$5)&gt;TOTAL_LABOR_HOURS_CAP,MAX(0,($D168+AH$5)-PERMANENT_FIELD_LABOR_HOURS)&gt;TEMP_HOURS_CAP),"",$C168+AH$6-MIN(($D168+AH$5),PERMANENT_FIELD_LABOR_HOURS)*PERMANENT_HOURLY_RATE-MAX(0,($D168+AH$5)-PERMANENT_FIELD_LABOR_HOURS)*TEMP_HOURLY_RATE-FIXED_SEASON_COST)</f>
        <v>33787.8836186767</v>
      </c>
      <c r="AI168" s="53" t="n">
        <f aca="false">IF(OR($A168&gt;TOMATO_BED_CAP,$B168&gt;CARROT_BED_CAP,AI$4&gt;MESCLUN_BED_CAP,$A168+$B168+AI$4&gt;TOTAL_BEDS_AVAILABLE,($D168+AI$5)&gt;TOTAL_LABOR_HOURS_CAP,MAX(0,($D168+AI$5)-PERMANENT_FIELD_LABOR_HOURS)&gt;TEMP_HOURS_CAP),"",$C168+AI$6-MIN(($D168+AI$5),PERMANENT_FIELD_LABOR_HOURS)*PERMANENT_HOURLY_RATE-MAX(0,($D168+AI$5)-PERMANENT_FIELD_LABOR_HOURS)*TEMP_HOURLY_RATE-FIXED_SEASON_COST)</f>
        <v>34100.722650589</v>
      </c>
      <c r="AJ168" s="53" t="n">
        <f aca="false">IF(OR($A168&gt;TOMATO_BED_CAP,$B168&gt;CARROT_BED_CAP,AJ$4&gt;MESCLUN_BED_CAP,$A168+$B168+AJ$4&gt;TOTAL_BEDS_AVAILABLE,($D168+AJ$5)&gt;TOTAL_LABOR_HOURS_CAP,MAX(0,($D168+AJ$5)-PERMANENT_FIELD_LABOR_HOURS)&gt;TEMP_HOURS_CAP),"",$C168+AJ$6-MIN(($D168+AJ$5),PERMANENT_FIELD_LABOR_HOURS)*PERMANENT_HOURLY_RATE-MAX(0,($D168+AJ$5)-PERMANENT_FIELD_LABOR_HOURS)*TEMP_HOURLY_RATE-FIXED_SEASON_COST)</f>
        <v>34380.7221659947</v>
      </c>
    </row>
    <row r="169" customFormat="false" ht="15" hidden="false" customHeight="false" outlineLevel="0" collapsed="false">
      <c r="A169" s="21" t="n">
        <f aca="false">INT((ROW()-ROW($A$8))/(20+1))</f>
        <v>7</v>
      </c>
      <c r="B169" s="21" t="n">
        <f aca="false">MOD(ROW()-ROW($A$8),20+1)</f>
        <v>14</v>
      </c>
      <c r="C169" s="13" t="n">
        <f aca="false">A169*(TOMATO_REVENUE_PER_BED-TOMATO_FERTILIZER_PER_BED)+B169*(CARROT_REVENUE_PER_BED-CARROT_FERTILIZER_PER_BED)</f>
        <v>78596</v>
      </c>
      <c r="D169" s="14" t="n">
        <f aca="false">INDEX(TOMATO_SCHED_LABOR_HRS,A169+1)+INDEX(CARROT_SCHED_LABOR_HRS,B169+1)</f>
        <v>1820.90339820706</v>
      </c>
      <c r="E169" s="13" t="n">
        <f aca="false">IF(COUNT(F169:AJ169)=0,"",MAX(F169:AJ169))</f>
        <v>35065.906301998</v>
      </c>
      <c r="F169" s="53" t="n">
        <f aca="false">IF(OR($A169&gt;TOMATO_BED_CAP,$B169&gt;CARROT_BED_CAP,F$4&gt;MESCLUN_BED_CAP,$A169+$B169+F$4&gt;TOTAL_BEDS_AVAILABLE,($D169+F$5)&gt;TOTAL_LABOR_HOURS_CAP,MAX(0,($D169+F$5)-PERMANENT_FIELD_LABOR_HOURS)&gt;TEMP_HOURS_CAP),"",$C169+F$6-MIN(($D169+F$5),PERMANENT_FIELD_LABOR_HOURS)*PERMANENT_HOURLY_RATE-MAX(0,($D169+F$5)-PERMANENT_FIELD_LABOR_HOURS)*TEMP_HOURLY_RATE-FIXED_SEASON_COST)</f>
        <v>14485.9170071255</v>
      </c>
      <c r="G169" s="53" t="n">
        <f aca="false">IF(OR($A169&gt;TOMATO_BED_CAP,$B169&gt;CARROT_BED_CAP,G$4&gt;MESCLUN_BED_CAP,$A169+$B169+G$4&gt;TOTAL_BEDS_AVAILABLE,($D169+G$5)&gt;TOTAL_LABOR_HOURS_CAP,MAX(0,($D169+G$5)-PERMANENT_FIELD_LABOR_HOURS)&gt;TEMP_HOURS_CAP),"",$C169+G$6-MIN(($D169+G$5),PERMANENT_FIELD_LABOR_HOURS)*PERMANENT_HOURLY_RATE-MAX(0,($D169+G$5)-PERMANENT_FIELD_LABOR_HOURS)*TEMP_HOURLY_RATE-FIXED_SEASON_COST)</f>
        <v>15514.9520071255</v>
      </c>
      <c r="H169" s="53" t="n">
        <f aca="false">IF(OR($A169&gt;TOMATO_BED_CAP,$B169&gt;CARROT_BED_CAP,H$4&gt;MESCLUN_BED_CAP,$A169+$B169+H$4&gt;TOTAL_BEDS_AVAILABLE,($D169+H$5)&gt;TOTAL_LABOR_HOURS_CAP,MAX(0,($D169+H$5)-PERMANENT_FIELD_LABOR_HOURS)&gt;TEMP_HOURS_CAP),"",$C169+H$6-MIN(($D169+H$5),PERMANENT_FIELD_LABOR_HOURS)*PERMANENT_HOURLY_RATE-MAX(0,($D169+H$5)-PERMANENT_FIELD_LABOR_HOURS)*TEMP_HOURLY_RATE-FIXED_SEASON_COST)</f>
        <v>16524.2128821255</v>
      </c>
      <c r="I169" s="53" t="n">
        <f aca="false">IF(OR($A169&gt;TOMATO_BED_CAP,$B169&gt;CARROT_BED_CAP,I$4&gt;MESCLUN_BED_CAP,$A169+$B169+I$4&gt;TOTAL_BEDS_AVAILABLE,($D169+I$5)&gt;TOTAL_LABOR_HOURS_CAP,MAX(0,($D169+I$5)-PERMANENT_FIELD_LABOR_HOURS)&gt;TEMP_HOURS_CAP),"",$C169+I$6-MIN(($D169+I$5),PERMANENT_FIELD_LABOR_HOURS)*PERMANENT_HOURLY_RATE-MAX(0,($D169+I$5)-PERMANENT_FIELD_LABOR_HOURS)*TEMP_HOURLY_RATE-FIXED_SEASON_COST)</f>
        <v>17513.3288672817</v>
      </c>
      <c r="J169" s="53" t="n">
        <f aca="false">IF(OR($A169&gt;TOMATO_BED_CAP,$B169&gt;CARROT_BED_CAP,J$4&gt;MESCLUN_BED_CAP,$A169+$B169+J$4&gt;TOTAL_BEDS_AVAILABLE,($D169+J$5)&gt;TOTAL_LABOR_HOURS_CAP,MAX(0,($D169+J$5)-PERMANENT_FIELD_LABOR_HOURS)&gt;TEMP_HOURS_CAP),"",$C169+J$6-MIN(($D169+J$5),PERMANENT_FIELD_LABOR_HOURS)*PERMANENT_HOURLY_RATE-MAX(0,($D169+J$5)-PERMANENT_FIELD_LABOR_HOURS)*TEMP_HOURLY_RATE-FIXED_SEASON_COST)</f>
        <v>18481.9230183364</v>
      </c>
      <c r="K169" s="53" t="n">
        <f aca="false">IF(OR($A169&gt;TOMATO_BED_CAP,$B169&gt;CARROT_BED_CAP,K$4&gt;MESCLUN_BED_CAP,$A169+$B169+K$4&gt;TOTAL_BEDS_AVAILABLE,($D169+K$5)&gt;TOTAL_LABOR_HOURS_CAP,MAX(0,($D169+K$5)-PERMANENT_FIELD_LABOR_HOURS)&gt;TEMP_HOURS_CAP),"",$C169+K$6-MIN(($D169+K$5),PERMANENT_FIELD_LABOR_HOURS)*PERMANENT_HOURLY_RATE-MAX(0,($D169+K$5)-PERMANENT_FIELD_LABOR_HOURS)*TEMP_HOURLY_RATE-FIXED_SEASON_COST)</f>
        <v>19429.6121150643</v>
      </c>
      <c r="L169" s="53" t="n">
        <f aca="false">IF(OR($A169&gt;TOMATO_BED_CAP,$B169&gt;CARROT_BED_CAP,L$4&gt;MESCLUN_BED_CAP,$A169+$B169+L$4&gt;TOTAL_BEDS_AVAILABLE,($D169+L$5)&gt;TOTAL_LABOR_HOURS_CAP,MAX(0,($D169+L$5)-PERMANENT_FIELD_LABOR_HOURS)&gt;TEMP_HOURS_CAP),"",$C169+L$6-MIN(($D169+L$5),PERMANENT_FIELD_LABOR_HOURS)*PERMANENT_HOURLY_RATE-MAX(0,($D169+L$5)-PERMANENT_FIELD_LABOR_HOURS)*TEMP_HOURLY_RATE-FIXED_SEASON_COST)</f>
        <v>20356.0065632712</v>
      </c>
      <c r="M169" s="53" t="n">
        <f aca="false">IF(OR($A169&gt;TOMATO_BED_CAP,$B169&gt;CARROT_BED_CAP,M$4&gt;MESCLUN_BED_CAP,$A169+$B169+M$4&gt;TOTAL_BEDS_AVAILABLE,($D169+M$5)&gt;TOTAL_LABOR_HOURS_CAP,MAX(0,($D169+M$5)-PERMANENT_FIELD_LABOR_HOURS)&gt;TEMP_HOURS_CAP),"",$C169+M$6-MIN(($D169+M$5),PERMANENT_FIELD_LABOR_HOURS)*PERMANENT_HOURLY_RATE-MAX(0,($D169+M$5)-PERMANENT_FIELD_LABOR_HOURS)*TEMP_HOURLY_RATE-FIXED_SEASON_COST)</f>
        <v>21260.7102953226</v>
      </c>
      <c r="N169" s="53" t="n">
        <f aca="false">IF(OR($A169&gt;TOMATO_BED_CAP,$B169&gt;CARROT_BED_CAP,N$4&gt;MESCLUN_BED_CAP,$A169+$B169+N$4&gt;TOTAL_BEDS_AVAILABLE,($D169+N$5)&gt;TOTAL_LABOR_HOURS_CAP,MAX(0,($D169+N$5)-PERMANENT_FIELD_LABOR_HOURS)&gt;TEMP_HOURS_CAP),"",$C169+N$6-MIN(($D169+N$5),PERMANENT_FIELD_LABOR_HOURS)*PERMANENT_HOURLY_RATE-MAX(0,($D169+N$5)-PERMANENT_FIELD_LABOR_HOURS)*TEMP_HOURLY_RATE-FIXED_SEASON_COST)</f>
        <v>22143.3206691821</v>
      </c>
      <c r="O169" s="53" t="n">
        <f aca="false">IF(OR($A169&gt;TOMATO_BED_CAP,$B169&gt;CARROT_BED_CAP,O$4&gt;MESCLUN_BED_CAP,$A169+$B169+O$4&gt;TOTAL_BEDS_AVAILABLE,($D169+O$5)&gt;TOTAL_LABOR_HOURS_CAP,MAX(0,($D169+O$5)-PERMANENT_FIELD_LABOR_HOURS)&gt;TEMP_HOURS_CAP),"",$C169+O$6-MIN(($D169+O$5),PERMANENT_FIELD_LABOR_HOURS)*PERMANENT_HOURLY_RATE-MAX(0,($D169+O$5)-PERMANENT_FIELD_LABOR_HOURS)*TEMP_HOURLY_RATE-FIXED_SEASON_COST)</f>
        <v>23003.4283659369</v>
      </c>
      <c r="P169" s="53" t="n">
        <f aca="false">IF(OR($A169&gt;TOMATO_BED_CAP,$B169&gt;CARROT_BED_CAP,P$4&gt;MESCLUN_BED_CAP,$A169+$B169+P$4&gt;TOTAL_BEDS_AVAILABLE,($D169+P$5)&gt;TOTAL_LABOR_HOURS_CAP,MAX(0,($D169+P$5)-PERMANENT_FIELD_LABOR_HOURS)&gt;TEMP_HOURS_CAP),"",$C169+P$6-MIN(($D169+P$5),PERMANENT_FIELD_LABOR_HOURS)*PERMANENT_HOURLY_RATE-MAX(0,($D169+P$5)-PERMANENT_FIELD_LABOR_HOURS)*TEMP_HOURLY_RATE-FIXED_SEASON_COST)</f>
        <v>23840.6172857883</v>
      </c>
      <c r="Q169" s="53" t="n">
        <f aca="false">IF(OR($A169&gt;TOMATO_BED_CAP,$B169&gt;CARROT_BED_CAP,Q$4&gt;MESCLUN_BED_CAP,$A169+$B169+Q$4&gt;TOTAL_BEDS_AVAILABLE,($D169+Q$5)&gt;TOTAL_LABOR_HOURS_CAP,MAX(0,($D169+Q$5)-PERMANENT_FIELD_LABOR_HOURS)&gt;TEMP_HOURS_CAP),"",$C169+Q$6-MIN(($D169+Q$5),PERMANENT_FIELD_LABOR_HOURS)*PERMANENT_HOURLY_RATE-MAX(0,($D169+Q$5)-PERMANENT_FIELD_LABOR_HOURS)*TEMP_HOURLY_RATE-FIXED_SEASON_COST)</f>
        <v>24654.4644424862</v>
      </c>
      <c r="R169" s="53" t="n">
        <f aca="false">IF(OR($A169&gt;TOMATO_BED_CAP,$B169&gt;CARROT_BED_CAP,R$4&gt;MESCLUN_BED_CAP,$A169+$B169+R$4&gt;TOTAL_BEDS_AVAILABLE,($D169+R$5)&gt;TOTAL_LABOR_HOURS_CAP,MAX(0,($D169+R$5)-PERMANENT_FIELD_LABOR_HOURS)&gt;TEMP_HOURS_CAP),"",$C169+R$6-MIN(($D169+R$5),PERMANENT_FIELD_LABOR_HOURS)*PERMANENT_HOURLY_RATE-MAX(0,($D169+R$5)-PERMANENT_FIELD_LABOR_HOURS)*TEMP_HOURLY_RATE-FIXED_SEASON_COST)</f>
        <v>25444.539856183</v>
      </c>
      <c r="S169" s="53" t="n">
        <f aca="false">IF(OR($A169&gt;TOMATO_BED_CAP,$B169&gt;CARROT_BED_CAP,S$4&gt;MESCLUN_BED_CAP,$A169+$B169+S$4&gt;TOTAL_BEDS_AVAILABLE,($D169+S$5)&gt;TOTAL_LABOR_HOURS_CAP,MAX(0,($D169+S$5)-PERMANENT_FIELD_LABOR_HOURS)&gt;TEMP_HOURS_CAP),"",$C169+S$6-MIN(($D169+S$5),PERMANENT_FIELD_LABOR_HOURS)*PERMANENT_HOURLY_RATE-MAX(0,($D169+S$5)-PERMANENT_FIELD_LABOR_HOURS)*TEMP_HOURLY_RATE-FIXED_SEASON_COST)</f>
        <v>26210.4064446854</v>
      </c>
      <c r="T169" s="53" t="n">
        <f aca="false">IF(OR($A169&gt;TOMATO_BED_CAP,$B169&gt;CARROT_BED_CAP,T$4&gt;MESCLUN_BED_CAP,$A169+$B169+T$4&gt;TOTAL_BEDS_AVAILABLE,($D169+T$5)&gt;TOTAL_LABOR_HOURS_CAP,MAX(0,($D169+T$5)-PERMANENT_FIELD_LABOR_HOURS)&gt;TEMP_HOURS_CAP),"",$C169+T$6-MIN(($D169+T$5),PERMANENT_FIELD_LABOR_HOURS)*PERMANENT_HOURLY_RATE-MAX(0,($D169+T$5)-PERMANENT_FIELD_LABOR_HOURS)*TEMP_HOURLY_RATE-FIXED_SEASON_COST)</f>
        <v>26951.6199130803</v>
      </c>
      <c r="U169" s="53" t="n">
        <f aca="false">IF(OR($A169&gt;TOMATO_BED_CAP,$B169&gt;CARROT_BED_CAP,U$4&gt;MESCLUN_BED_CAP,$A169+$B169+U$4&gt;TOTAL_BEDS_AVAILABLE,($D169+U$5)&gt;TOTAL_LABOR_HOURS_CAP,MAX(0,($D169+U$5)-PERMANENT_FIELD_LABOR_HOURS)&gt;TEMP_HOURS_CAP),"",$C169+U$6-MIN(($D169+U$5),PERMANENT_FIELD_LABOR_HOURS)*PERMANENT_HOURLY_RATE-MAX(0,($D169+U$5)-PERMANENT_FIELD_LABOR_HOURS)*TEMP_HOURLY_RATE-FIXED_SEASON_COST)</f>
        <v>27667.7286417104</v>
      </c>
      <c r="V169" s="53" t="n">
        <f aca="false">IF(OR($A169&gt;TOMATO_BED_CAP,$B169&gt;CARROT_BED_CAP,V$4&gt;MESCLUN_BED_CAP,$A169+$B169+V$4&gt;TOTAL_BEDS_AVAILABLE,($D169+V$5)&gt;TOTAL_LABOR_HOURS_CAP,MAX(0,($D169+V$5)-PERMANENT_FIELD_LABOR_HOURS)&gt;TEMP_HOURS_CAP),"",$C169+V$6-MIN(($D169+V$5),PERMANENT_FIELD_LABOR_HOURS)*PERMANENT_HOURLY_RATE-MAX(0,($D169+V$5)-PERMANENT_FIELD_LABOR_HOURS)*TEMP_HOURLY_RATE-FIXED_SEASON_COST)</f>
        <v>28358.2735724772</v>
      </c>
      <c r="W169" s="53" t="n">
        <f aca="false">IF(OR($A169&gt;TOMATO_BED_CAP,$B169&gt;CARROT_BED_CAP,W$4&gt;MESCLUN_BED_CAP,$A169+$B169+W$4&gt;TOTAL_BEDS_AVAILABLE,($D169+W$5)&gt;TOTAL_LABOR_HOURS_CAP,MAX(0,($D169+W$5)-PERMANENT_FIELD_LABOR_HOURS)&gt;TEMP_HOURS_CAP),"",$C169+W$6-MIN(($D169+W$5),PERMANENT_FIELD_LABOR_HOURS)*PERMANENT_HOURLY_RATE-MAX(0,($D169+W$5)-PERMANENT_FIELD_LABOR_HOURS)*TEMP_HOURLY_RATE-FIXED_SEASON_COST)</f>
        <v>29022.7880934452</v>
      </c>
      <c r="X169" s="53" t="n">
        <f aca="false">IF(OR($A169&gt;TOMATO_BED_CAP,$B169&gt;CARROT_BED_CAP,X$4&gt;MESCLUN_BED_CAP,$A169+$B169+X$4&gt;TOTAL_BEDS_AVAILABLE,($D169+X$5)&gt;TOTAL_LABOR_HOURS_CAP,MAX(0,($D169+X$5)-PERMANENT_FIELD_LABOR_HOURS)&gt;TEMP_HOURS_CAP),"",$C169+X$6-MIN(($D169+X$5),PERMANENT_FIELD_LABOR_HOURS)*PERMANENT_HOURLY_RATE-MAX(0,($D169+X$5)-PERMANENT_FIELD_LABOR_HOURS)*TEMP_HOURLY_RATE-FIXED_SEASON_COST)</f>
        <v>29660.7979217242</v>
      </c>
      <c r="Y169" s="53" t="n">
        <f aca="false">IF(OR($A169&gt;TOMATO_BED_CAP,$B169&gt;CARROT_BED_CAP,Y$4&gt;MESCLUN_BED_CAP,$A169+$B169+Y$4&gt;TOTAL_BEDS_AVAILABLE,($D169+Y$5)&gt;TOTAL_LABOR_HOURS_CAP,MAX(0,($D169+Y$5)-PERMANENT_FIELD_LABOR_HOURS)&gt;TEMP_HOURS_CAP),"",$C169+Y$6-MIN(($D169+Y$5),PERMANENT_FIELD_LABOR_HOURS)*PERMANENT_HOURLY_RATE-MAX(0,($D169+Y$5)-PERMANENT_FIELD_LABOR_HOURS)*TEMP_HOURLY_RATE-FIXED_SEASON_COST)</f>
        <v>30271.8209846028</v>
      </c>
      <c r="Z169" s="53" t="n">
        <f aca="false">IF(OR($A169&gt;TOMATO_BED_CAP,$B169&gt;CARROT_BED_CAP,Z$4&gt;MESCLUN_BED_CAP,$A169+$B169+Z$4&gt;TOTAL_BEDS_AVAILABLE,($D169+Z$5)&gt;TOTAL_LABOR_HOURS_CAP,MAX(0,($D169+Z$5)-PERMANENT_FIELD_LABOR_HOURS)&gt;TEMP_HOURS_CAP),"",$C169+Z$6-MIN(($D169+Z$5),PERMANENT_FIELD_LABOR_HOURS)*PERMANENT_HOURLY_RATE-MAX(0,($D169+Z$5)-PERMANENT_FIELD_LABOR_HOURS)*TEMP_HOURLY_RATE-FIXED_SEASON_COST)</f>
        <v>30855.3672989105</v>
      </c>
      <c r="AA169" s="53" t="n">
        <f aca="false">IF(OR($A169&gt;TOMATO_BED_CAP,$B169&gt;CARROT_BED_CAP,AA$4&gt;MESCLUN_BED_CAP,$A169+$B169+AA$4&gt;TOTAL_BEDS_AVAILABLE,($D169+AA$5)&gt;TOTAL_LABOR_HOURS_CAP,MAX(0,($D169+AA$5)-PERMANENT_FIELD_LABOR_HOURS)&gt;TEMP_HOURS_CAP),"",$C169+AA$6-MIN(($D169+AA$5),PERMANENT_FIELD_LABOR_HOURS)*PERMANENT_HOURLY_RATE-MAX(0,($D169+AA$5)-PERMANENT_FIELD_LABOR_HOURS)*TEMP_HOURLY_RATE-FIXED_SEASON_COST)</f>
        <v>31410.9388485795</v>
      </c>
      <c r="AB169" s="53" t="n">
        <f aca="false">IF(OR($A169&gt;TOMATO_BED_CAP,$B169&gt;CARROT_BED_CAP,AB$4&gt;MESCLUN_BED_CAP,$A169+$B169+AB$4&gt;TOTAL_BEDS_AVAILABLE,($D169+AB$5)&gt;TOTAL_LABOR_HOURS_CAP,MAX(0,($D169+AB$5)-PERMANENT_FIELD_LABOR_HOURS)&gt;TEMP_HOURS_CAP),"",$C169+AB$6-MIN(($D169+AB$5),PERMANENT_FIELD_LABOR_HOURS)*PERMANENT_HOURLY_RATE-MAX(0,($D169+AB$5)-PERMANENT_FIELD_LABOR_HOURS)*TEMP_HOURLY_RATE-FIXED_SEASON_COST)</f>
        <v>31938.029460382</v>
      </c>
      <c r="AC169" s="53" t="n">
        <f aca="false">IF(OR($A169&gt;TOMATO_BED_CAP,$B169&gt;CARROT_BED_CAP,AC$4&gt;MESCLUN_BED_CAP,$A169+$B169+AC$4&gt;TOTAL_BEDS_AVAILABLE,($D169+AC$5)&gt;TOTAL_LABOR_HOURS_CAP,MAX(0,($D169+AC$5)-PERMANENT_FIELD_LABOR_HOURS)&gt;TEMP_HOURS_CAP),"",$C169+AC$6-MIN(($D169+AC$5),PERMANENT_FIELD_LABOR_HOURS)*PERMANENT_HOURLY_RATE-MAX(0,($D169+AC$5)-PERMANENT_FIELD_LABOR_HOURS)*TEMP_HOURLY_RATE-FIXED_SEASON_COST)</f>
        <v>32436.1246778169</v>
      </c>
      <c r="AD169" s="53" t="n">
        <f aca="false">IF(OR($A169&gt;TOMATO_BED_CAP,$B169&gt;CARROT_BED_CAP,AD$4&gt;MESCLUN_BED_CAP,$A169+$B169+AD$4&gt;TOTAL_BEDS_AVAILABLE,($D169+AD$5)&gt;TOTAL_LABOR_HOURS_CAP,MAX(0,($D169+AD$5)-PERMANENT_FIELD_LABOR_HOURS)&gt;TEMP_HOURS_CAP),"",$C169+AD$6-MIN(($D169+AD$5),PERMANENT_FIELD_LABOR_HOURS)*PERMANENT_HOURLY_RATE-MAX(0,($D169+AD$5)-PERMANENT_FIELD_LABOR_HOURS)*TEMP_HOURLY_RATE-FIXED_SEASON_COST)</f>
        <v>32904.7016331169</v>
      </c>
      <c r="AE169" s="53" t="n">
        <f aca="false">IF(OR($A169&gt;TOMATO_BED_CAP,$B169&gt;CARROT_BED_CAP,AE$4&gt;MESCLUN_BED_CAP,$A169+$B169+AE$4&gt;TOTAL_BEDS_AVAILABLE,($D169+AE$5)&gt;TOTAL_LABOR_HOURS_CAP,MAX(0,($D169+AE$5)-PERMANENT_FIELD_LABOR_HOURS)&gt;TEMP_HOURS_CAP),"",$C169+AE$6-MIN(($D169+AE$5),PERMANENT_FIELD_LABOR_HOURS)*PERMANENT_HOURLY_RATE-MAX(0,($D169+AE$5)-PERMANENT_FIELD_LABOR_HOURS)*TEMP_HOURLY_RATE-FIXED_SEASON_COST)</f>
        <v>33343.2289173508</v>
      </c>
      <c r="AF169" s="53" t="n">
        <f aca="false">IF(OR($A169&gt;TOMATO_BED_CAP,$B169&gt;CARROT_BED_CAP,AF$4&gt;MESCLUN_BED_CAP,$A169+$B169+AF$4&gt;TOTAL_BEDS_AVAILABLE,($D169+AF$5)&gt;TOTAL_LABOR_HOURS_CAP,MAX(0,($D169+AF$5)-PERMANENT_FIELD_LABOR_HOURS)&gt;TEMP_HOURS_CAP),"",$C169+AF$6-MIN(($D169+AF$5),PERMANENT_FIELD_LABOR_HOURS)*PERMANENT_HOURLY_RATE-MAX(0,($D169+AF$5)-PERMANENT_FIELD_LABOR_HOURS)*TEMP_HOURLY_RATE-FIXED_SEASON_COST)</f>
        <v>33751.1664485928</v>
      </c>
      <c r="AG169" s="53" t="n">
        <f aca="false">IF(OR($A169&gt;TOMATO_BED_CAP,$B169&gt;CARROT_BED_CAP,AG$4&gt;MESCLUN_BED_CAP,$A169+$B169+AG$4&gt;TOTAL_BEDS_AVAILABLE,($D169+AG$5)&gt;TOTAL_LABOR_HOURS_CAP,MAX(0,($D169+AG$5)-PERMANENT_FIELD_LABOR_HOURS)&gt;TEMP_HOURS_CAP),"",$C169+AG$6-MIN(($D169+AG$5),PERMANENT_FIELD_LABOR_HOURS)*PERMANENT_HOURLY_RATE-MAX(0,($D169+AG$5)-PERMANENT_FIELD_LABOR_HOURS)*TEMP_HOURLY_RATE-FIXED_SEASON_COST)</f>
        <v>34127.9653381298</v>
      </c>
      <c r="AH169" s="53" t="n">
        <f aca="false">IF(OR($A169&gt;TOMATO_BED_CAP,$B169&gt;CARROT_BED_CAP,AH$4&gt;MESCLUN_BED_CAP,$A169+$B169+AH$4&gt;TOTAL_BEDS_AVAILABLE,($D169+AH$5)&gt;TOTAL_LABOR_HOURS_CAP,MAX(0,($D169+AH$5)-PERMANENT_FIELD_LABOR_HOURS)&gt;TEMP_HOURS_CAP),"",$C169+AH$6-MIN(($D169+AH$5),PERMANENT_FIELD_LABOR_HOURS)*PERMANENT_HOURLY_RATE-MAX(0,($D169+AH$5)-PERMANENT_FIELD_LABOR_HOURS)*TEMP_HOURLY_RATE-FIXED_SEASON_COST)</f>
        <v>34473.06775468</v>
      </c>
      <c r="AI169" s="53" t="n">
        <f aca="false">IF(OR($A169&gt;TOMATO_BED_CAP,$B169&gt;CARROT_BED_CAP,AI$4&gt;MESCLUN_BED_CAP,$A169+$B169+AI$4&gt;TOTAL_BEDS_AVAILABLE,($D169+AI$5)&gt;TOTAL_LABOR_HOURS_CAP,MAX(0,($D169+AI$5)-PERMANENT_FIELD_LABOR_HOURS)&gt;TEMP_HOURS_CAP),"",$C169+AI$6-MIN(($D169+AI$5),PERMANENT_FIELD_LABOR_HOURS)*PERMANENT_HOURLY_RATE-MAX(0,($D169+AI$5)-PERMANENT_FIELD_LABOR_HOURS)*TEMP_HOURLY_RATE-FIXED_SEASON_COST)</f>
        <v>34785.9067865923</v>
      </c>
      <c r="AJ169" s="53" t="n">
        <f aca="false">IF(OR($A169&gt;TOMATO_BED_CAP,$B169&gt;CARROT_BED_CAP,AJ$4&gt;MESCLUN_BED_CAP,$A169+$B169+AJ$4&gt;TOTAL_BEDS_AVAILABLE,($D169+AJ$5)&gt;TOTAL_LABOR_HOURS_CAP,MAX(0,($D169+AJ$5)-PERMANENT_FIELD_LABOR_HOURS)&gt;TEMP_HOURS_CAP),"",$C169+AJ$6-MIN(($D169+AJ$5),PERMANENT_FIELD_LABOR_HOURS)*PERMANENT_HOURLY_RATE-MAX(0,($D169+AJ$5)-PERMANENT_FIELD_LABOR_HOURS)*TEMP_HOURLY_RATE-FIXED_SEASON_COST)</f>
        <v>35065.906301998</v>
      </c>
    </row>
    <row r="170" customFormat="false" ht="15" hidden="false" customHeight="false" outlineLevel="0" collapsed="false">
      <c r="A170" s="21" t="n">
        <f aca="false">INT((ROW()-ROW($A$8))/(20+1))</f>
        <v>7</v>
      </c>
      <c r="B170" s="21" t="n">
        <f aca="false">MOD(ROW()-ROW($A$8),20+1)</f>
        <v>15</v>
      </c>
      <c r="C170" s="13" t="n">
        <f aca="false">A170*(TOMATO_REVENUE_PER_BED-TOMATO_FERTILIZER_PER_BED)+B170*(CARROT_REVENUE_PER_BED-CARROT_FERTILIZER_PER_BED)</f>
        <v>80250</v>
      </c>
      <c r="D170" s="14" t="n">
        <f aca="false">INDEX(TOMATO_SCHED_LABOR_HRS,A170+1)+INDEX(CARROT_SCHED_LABOR_HRS,B170+1)</f>
        <v>1879.16525425418</v>
      </c>
      <c r="E170" s="13" t="n">
        <f aca="false">IF(COUNT(F170:AJ170)=0,"",MAX(F170:AJ170))</f>
        <v>35708.48048102</v>
      </c>
      <c r="F170" s="53" t="n">
        <f aca="false">IF(OR($A170&gt;TOMATO_BED_CAP,$B170&gt;CARROT_BED_CAP,F$4&gt;MESCLUN_BED_CAP,$A170+$B170+F$4&gt;TOTAL_BEDS_AVAILABLE,($D170+F$5)&gt;TOTAL_LABOR_HOURS_CAP,MAX(0,($D170+F$5)-PERMANENT_FIELD_LABOR_HOURS)&gt;TEMP_HOURS_CAP),"",$C170+F$6-MIN(($D170+F$5),PERMANENT_FIELD_LABOR_HOURS)*PERMANENT_HOURLY_RATE-MAX(0,($D170+F$5)-PERMANENT_FIELD_LABOR_HOURS)*TEMP_HOURLY_RATE-FIXED_SEASON_COST)</f>
        <v>15128.4911861474</v>
      </c>
      <c r="G170" s="53" t="n">
        <f aca="false">IF(OR($A170&gt;TOMATO_BED_CAP,$B170&gt;CARROT_BED_CAP,G$4&gt;MESCLUN_BED_CAP,$A170+$B170+G$4&gt;TOTAL_BEDS_AVAILABLE,($D170+G$5)&gt;TOTAL_LABOR_HOURS_CAP,MAX(0,($D170+G$5)-PERMANENT_FIELD_LABOR_HOURS)&gt;TEMP_HOURS_CAP),"",$C170+G$6-MIN(($D170+G$5),PERMANENT_FIELD_LABOR_HOURS)*PERMANENT_HOURLY_RATE-MAX(0,($D170+G$5)-PERMANENT_FIELD_LABOR_HOURS)*TEMP_HOURLY_RATE-FIXED_SEASON_COST)</f>
        <v>16157.5261861474</v>
      </c>
      <c r="H170" s="53" t="n">
        <f aca="false">IF(OR($A170&gt;TOMATO_BED_CAP,$B170&gt;CARROT_BED_CAP,H$4&gt;MESCLUN_BED_CAP,$A170+$B170+H$4&gt;TOTAL_BEDS_AVAILABLE,($D170+H$5)&gt;TOTAL_LABOR_HOURS_CAP,MAX(0,($D170+H$5)-PERMANENT_FIELD_LABOR_HOURS)&gt;TEMP_HOURS_CAP),"",$C170+H$6-MIN(($D170+H$5),PERMANENT_FIELD_LABOR_HOURS)*PERMANENT_HOURLY_RATE-MAX(0,($D170+H$5)-PERMANENT_FIELD_LABOR_HOURS)*TEMP_HOURLY_RATE-FIXED_SEASON_COST)</f>
        <v>17166.7870611474</v>
      </c>
      <c r="I170" s="53" t="n">
        <f aca="false">IF(OR($A170&gt;TOMATO_BED_CAP,$B170&gt;CARROT_BED_CAP,I$4&gt;MESCLUN_BED_CAP,$A170+$B170+I$4&gt;TOTAL_BEDS_AVAILABLE,($D170+I$5)&gt;TOTAL_LABOR_HOURS_CAP,MAX(0,($D170+I$5)-PERMANENT_FIELD_LABOR_HOURS)&gt;TEMP_HOURS_CAP),"",$C170+I$6-MIN(($D170+I$5),PERMANENT_FIELD_LABOR_HOURS)*PERMANENT_HOURLY_RATE-MAX(0,($D170+I$5)-PERMANENT_FIELD_LABOR_HOURS)*TEMP_HOURLY_RATE-FIXED_SEASON_COST)</f>
        <v>18155.9030463037</v>
      </c>
      <c r="J170" s="53" t="n">
        <f aca="false">IF(OR($A170&gt;TOMATO_BED_CAP,$B170&gt;CARROT_BED_CAP,J$4&gt;MESCLUN_BED_CAP,$A170+$B170+J$4&gt;TOTAL_BEDS_AVAILABLE,($D170+J$5)&gt;TOTAL_LABOR_HOURS_CAP,MAX(0,($D170+J$5)-PERMANENT_FIELD_LABOR_HOURS)&gt;TEMP_HOURS_CAP),"",$C170+J$6-MIN(($D170+J$5),PERMANENT_FIELD_LABOR_HOURS)*PERMANENT_HOURLY_RATE-MAX(0,($D170+J$5)-PERMANENT_FIELD_LABOR_HOURS)*TEMP_HOURLY_RATE-FIXED_SEASON_COST)</f>
        <v>19124.4971973584</v>
      </c>
      <c r="K170" s="53" t="n">
        <f aca="false">IF(OR($A170&gt;TOMATO_BED_CAP,$B170&gt;CARROT_BED_CAP,K$4&gt;MESCLUN_BED_CAP,$A170+$B170+K$4&gt;TOTAL_BEDS_AVAILABLE,($D170+K$5)&gt;TOTAL_LABOR_HOURS_CAP,MAX(0,($D170+K$5)-PERMANENT_FIELD_LABOR_HOURS)&gt;TEMP_HOURS_CAP),"",$C170+K$6-MIN(($D170+K$5),PERMANENT_FIELD_LABOR_HOURS)*PERMANENT_HOURLY_RATE-MAX(0,($D170+K$5)-PERMANENT_FIELD_LABOR_HOURS)*TEMP_HOURLY_RATE-FIXED_SEASON_COST)</f>
        <v>20072.1862940863</v>
      </c>
      <c r="L170" s="53" t="n">
        <f aca="false">IF(OR($A170&gt;TOMATO_BED_CAP,$B170&gt;CARROT_BED_CAP,L$4&gt;MESCLUN_BED_CAP,$A170+$B170+L$4&gt;TOTAL_BEDS_AVAILABLE,($D170+L$5)&gt;TOTAL_LABOR_HOURS_CAP,MAX(0,($D170+L$5)-PERMANENT_FIELD_LABOR_HOURS)&gt;TEMP_HOURS_CAP),"",$C170+L$6-MIN(($D170+L$5),PERMANENT_FIELD_LABOR_HOURS)*PERMANENT_HOURLY_RATE-MAX(0,($D170+L$5)-PERMANENT_FIELD_LABOR_HOURS)*TEMP_HOURLY_RATE-FIXED_SEASON_COST)</f>
        <v>20998.5807422931</v>
      </c>
      <c r="M170" s="53" t="n">
        <f aca="false">IF(OR($A170&gt;TOMATO_BED_CAP,$B170&gt;CARROT_BED_CAP,M$4&gt;MESCLUN_BED_CAP,$A170+$B170+M$4&gt;TOTAL_BEDS_AVAILABLE,($D170+M$5)&gt;TOTAL_LABOR_HOURS_CAP,MAX(0,($D170+M$5)-PERMANENT_FIELD_LABOR_HOURS)&gt;TEMP_HOURS_CAP),"",$C170+M$6-MIN(($D170+M$5),PERMANENT_FIELD_LABOR_HOURS)*PERMANENT_HOURLY_RATE-MAX(0,($D170+M$5)-PERMANENT_FIELD_LABOR_HOURS)*TEMP_HOURLY_RATE-FIXED_SEASON_COST)</f>
        <v>21903.2844743445</v>
      </c>
      <c r="N170" s="53" t="n">
        <f aca="false">IF(OR($A170&gt;TOMATO_BED_CAP,$B170&gt;CARROT_BED_CAP,N$4&gt;MESCLUN_BED_CAP,$A170+$B170+N$4&gt;TOTAL_BEDS_AVAILABLE,($D170+N$5)&gt;TOTAL_LABOR_HOURS_CAP,MAX(0,($D170+N$5)-PERMANENT_FIELD_LABOR_HOURS)&gt;TEMP_HOURS_CAP),"",$C170+N$6-MIN(($D170+N$5),PERMANENT_FIELD_LABOR_HOURS)*PERMANENT_HOURLY_RATE-MAX(0,($D170+N$5)-PERMANENT_FIELD_LABOR_HOURS)*TEMP_HOURLY_RATE-FIXED_SEASON_COST)</f>
        <v>22785.8948482041</v>
      </c>
      <c r="O170" s="53" t="n">
        <f aca="false">IF(OR($A170&gt;TOMATO_BED_CAP,$B170&gt;CARROT_BED_CAP,O$4&gt;MESCLUN_BED_CAP,$A170+$B170+O$4&gt;TOTAL_BEDS_AVAILABLE,($D170+O$5)&gt;TOTAL_LABOR_HOURS_CAP,MAX(0,($D170+O$5)-PERMANENT_FIELD_LABOR_HOURS)&gt;TEMP_HOURS_CAP),"",$C170+O$6-MIN(($D170+O$5),PERMANENT_FIELD_LABOR_HOURS)*PERMANENT_HOURLY_RATE-MAX(0,($D170+O$5)-PERMANENT_FIELD_LABOR_HOURS)*TEMP_HOURLY_RATE-FIXED_SEASON_COST)</f>
        <v>23646.0025449588</v>
      </c>
      <c r="P170" s="53" t="n">
        <f aca="false">IF(OR($A170&gt;TOMATO_BED_CAP,$B170&gt;CARROT_BED_CAP,P$4&gt;MESCLUN_BED_CAP,$A170+$B170+P$4&gt;TOTAL_BEDS_AVAILABLE,($D170+P$5)&gt;TOTAL_LABOR_HOURS_CAP,MAX(0,($D170+P$5)-PERMANENT_FIELD_LABOR_HOURS)&gt;TEMP_HOURS_CAP),"",$C170+P$6-MIN(($D170+P$5),PERMANENT_FIELD_LABOR_HOURS)*PERMANENT_HOURLY_RATE-MAX(0,($D170+P$5)-PERMANENT_FIELD_LABOR_HOURS)*TEMP_HOURLY_RATE-FIXED_SEASON_COST)</f>
        <v>24483.1914648103</v>
      </c>
      <c r="Q170" s="53" t="n">
        <f aca="false">IF(OR($A170&gt;TOMATO_BED_CAP,$B170&gt;CARROT_BED_CAP,Q$4&gt;MESCLUN_BED_CAP,$A170+$B170+Q$4&gt;TOTAL_BEDS_AVAILABLE,($D170+Q$5)&gt;TOTAL_LABOR_HOURS_CAP,MAX(0,($D170+Q$5)-PERMANENT_FIELD_LABOR_HOURS)&gt;TEMP_HOURS_CAP),"",$C170+Q$6-MIN(($D170+Q$5),PERMANENT_FIELD_LABOR_HOURS)*PERMANENT_HOURLY_RATE-MAX(0,($D170+Q$5)-PERMANENT_FIELD_LABOR_HOURS)*TEMP_HOURLY_RATE-FIXED_SEASON_COST)</f>
        <v>25297.0386215082</v>
      </c>
      <c r="R170" s="53" t="n">
        <f aca="false">IF(OR($A170&gt;TOMATO_BED_CAP,$B170&gt;CARROT_BED_CAP,R$4&gt;MESCLUN_BED_CAP,$A170+$B170+R$4&gt;TOTAL_BEDS_AVAILABLE,($D170+R$5)&gt;TOTAL_LABOR_HOURS_CAP,MAX(0,($D170+R$5)-PERMANENT_FIELD_LABOR_HOURS)&gt;TEMP_HOURS_CAP),"",$C170+R$6-MIN(($D170+R$5),PERMANENT_FIELD_LABOR_HOURS)*PERMANENT_HOURLY_RATE-MAX(0,($D170+R$5)-PERMANENT_FIELD_LABOR_HOURS)*TEMP_HOURLY_RATE-FIXED_SEASON_COST)</f>
        <v>26087.114035205</v>
      </c>
      <c r="S170" s="53" t="n">
        <f aca="false">IF(OR($A170&gt;TOMATO_BED_CAP,$B170&gt;CARROT_BED_CAP,S$4&gt;MESCLUN_BED_CAP,$A170+$B170+S$4&gt;TOTAL_BEDS_AVAILABLE,($D170+S$5)&gt;TOTAL_LABOR_HOURS_CAP,MAX(0,($D170+S$5)-PERMANENT_FIELD_LABOR_HOURS)&gt;TEMP_HOURS_CAP),"",$C170+S$6-MIN(($D170+S$5),PERMANENT_FIELD_LABOR_HOURS)*PERMANENT_HOURLY_RATE-MAX(0,($D170+S$5)-PERMANENT_FIELD_LABOR_HOURS)*TEMP_HOURLY_RATE-FIXED_SEASON_COST)</f>
        <v>26852.9806237074</v>
      </c>
      <c r="T170" s="53" t="n">
        <f aca="false">IF(OR($A170&gt;TOMATO_BED_CAP,$B170&gt;CARROT_BED_CAP,T$4&gt;MESCLUN_BED_CAP,$A170+$B170+T$4&gt;TOTAL_BEDS_AVAILABLE,($D170+T$5)&gt;TOTAL_LABOR_HOURS_CAP,MAX(0,($D170+T$5)-PERMANENT_FIELD_LABOR_HOURS)&gt;TEMP_HOURS_CAP),"",$C170+T$6-MIN(($D170+T$5),PERMANENT_FIELD_LABOR_HOURS)*PERMANENT_HOURLY_RATE-MAX(0,($D170+T$5)-PERMANENT_FIELD_LABOR_HOURS)*TEMP_HOURLY_RATE-FIXED_SEASON_COST)</f>
        <v>27594.1940921023</v>
      </c>
      <c r="U170" s="53" t="n">
        <f aca="false">IF(OR($A170&gt;TOMATO_BED_CAP,$B170&gt;CARROT_BED_CAP,U$4&gt;MESCLUN_BED_CAP,$A170+$B170+U$4&gt;TOTAL_BEDS_AVAILABLE,($D170+U$5)&gt;TOTAL_LABOR_HOURS_CAP,MAX(0,($D170+U$5)-PERMANENT_FIELD_LABOR_HOURS)&gt;TEMP_HOURS_CAP),"",$C170+U$6-MIN(($D170+U$5),PERMANENT_FIELD_LABOR_HOURS)*PERMANENT_HOURLY_RATE-MAX(0,($D170+U$5)-PERMANENT_FIELD_LABOR_HOURS)*TEMP_HOURLY_RATE-FIXED_SEASON_COST)</f>
        <v>28310.3028207324</v>
      </c>
      <c r="V170" s="53" t="n">
        <f aca="false">IF(OR($A170&gt;TOMATO_BED_CAP,$B170&gt;CARROT_BED_CAP,V$4&gt;MESCLUN_BED_CAP,$A170+$B170+V$4&gt;TOTAL_BEDS_AVAILABLE,($D170+V$5)&gt;TOTAL_LABOR_HOURS_CAP,MAX(0,($D170+V$5)-PERMANENT_FIELD_LABOR_HOURS)&gt;TEMP_HOURS_CAP),"",$C170+V$6-MIN(($D170+V$5),PERMANENT_FIELD_LABOR_HOURS)*PERMANENT_HOURLY_RATE-MAX(0,($D170+V$5)-PERMANENT_FIELD_LABOR_HOURS)*TEMP_HOURLY_RATE-FIXED_SEASON_COST)</f>
        <v>29000.8477514991</v>
      </c>
      <c r="W170" s="53" t="n">
        <f aca="false">IF(OR($A170&gt;TOMATO_BED_CAP,$B170&gt;CARROT_BED_CAP,W$4&gt;MESCLUN_BED_CAP,$A170+$B170+W$4&gt;TOTAL_BEDS_AVAILABLE,($D170+W$5)&gt;TOTAL_LABOR_HOURS_CAP,MAX(0,($D170+W$5)-PERMANENT_FIELD_LABOR_HOURS)&gt;TEMP_HOURS_CAP),"",$C170+W$6-MIN(($D170+W$5),PERMANENT_FIELD_LABOR_HOURS)*PERMANENT_HOURLY_RATE-MAX(0,($D170+W$5)-PERMANENT_FIELD_LABOR_HOURS)*TEMP_HOURLY_RATE-FIXED_SEASON_COST)</f>
        <v>29665.3622724672</v>
      </c>
      <c r="X170" s="53" t="n">
        <f aca="false">IF(OR($A170&gt;TOMATO_BED_CAP,$B170&gt;CARROT_BED_CAP,X$4&gt;MESCLUN_BED_CAP,$A170+$B170+X$4&gt;TOTAL_BEDS_AVAILABLE,($D170+X$5)&gt;TOTAL_LABOR_HOURS_CAP,MAX(0,($D170+X$5)-PERMANENT_FIELD_LABOR_HOURS)&gt;TEMP_HOURS_CAP),"",$C170+X$6-MIN(($D170+X$5),PERMANENT_FIELD_LABOR_HOURS)*PERMANENT_HOURLY_RATE-MAX(0,($D170+X$5)-PERMANENT_FIELD_LABOR_HOURS)*TEMP_HOURLY_RATE-FIXED_SEASON_COST)</f>
        <v>30303.3721007461</v>
      </c>
      <c r="Y170" s="53" t="n">
        <f aca="false">IF(OR($A170&gt;TOMATO_BED_CAP,$B170&gt;CARROT_BED_CAP,Y$4&gt;MESCLUN_BED_CAP,$A170+$B170+Y$4&gt;TOTAL_BEDS_AVAILABLE,($D170+Y$5)&gt;TOTAL_LABOR_HOURS_CAP,MAX(0,($D170+Y$5)-PERMANENT_FIELD_LABOR_HOURS)&gt;TEMP_HOURS_CAP),"",$C170+Y$6-MIN(($D170+Y$5),PERMANENT_FIELD_LABOR_HOURS)*PERMANENT_HOURLY_RATE-MAX(0,($D170+Y$5)-PERMANENT_FIELD_LABOR_HOURS)*TEMP_HOURLY_RATE-FIXED_SEASON_COST)</f>
        <v>30914.3951636248</v>
      </c>
      <c r="Z170" s="53" t="n">
        <f aca="false">IF(OR($A170&gt;TOMATO_BED_CAP,$B170&gt;CARROT_BED_CAP,Z$4&gt;MESCLUN_BED_CAP,$A170+$B170+Z$4&gt;TOTAL_BEDS_AVAILABLE,($D170+Z$5)&gt;TOTAL_LABOR_HOURS_CAP,MAX(0,($D170+Z$5)-PERMANENT_FIELD_LABOR_HOURS)&gt;TEMP_HOURS_CAP),"",$C170+Z$6-MIN(($D170+Z$5),PERMANENT_FIELD_LABOR_HOURS)*PERMANENT_HOURLY_RATE-MAX(0,($D170+Z$5)-PERMANENT_FIELD_LABOR_HOURS)*TEMP_HOURLY_RATE-FIXED_SEASON_COST)</f>
        <v>31497.9414779325</v>
      </c>
      <c r="AA170" s="53" t="n">
        <f aca="false">IF(OR($A170&gt;TOMATO_BED_CAP,$B170&gt;CARROT_BED_CAP,AA$4&gt;MESCLUN_BED_CAP,$A170+$B170+AA$4&gt;TOTAL_BEDS_AVAILABLE,($D170+AA$5)&gt;TOTAL_LABOR_HOURS_CAP,MAX(0,($D170+AA$5)-PERMANENT_FIELD_LABOR_HOURS)&gt;TEMP_HOURS_CAP),"",$C170+AA$6-MIN(($D170+AA$5),PERMANENT_FIELD_LABOR_HOURS)*PERMANENT_HOURLY_RATE-MAX(0,($D170+AA$5)-PERMANENT_FIELD_LABOR_HOURS)*TEMP_HOURLY_RATE-FIXED_SEASON_COST)</f>
        <v>32053.5130276015</v>
      </c>
      <c r="AB170" s="53" t="n">
        <f aca="false">IF(OR($A170&gt;TOMATO_BED_CAP,$B170&gt;CARROT_BED_CAP,AB$4&gt;MESCLUN_BED_CAP,$A170+$B170+AB$4&gt;TOTAL_BEDS_AVAILABLE,($D170+AB$5)&gt;TOTAL_LABOR_HOURS_CAP,MAX(0,($D170+AB$5)-PERMANENT_FIELD_LABOR_HOURS)&gt;TEMP_HOURS_CAP),"",$C170+AB$6-MIN(($D170+AB$5),PERMANENT_FIELD_LABOR_HOURS)*PERMANENT_HOURLY_RATE-MAX(0,($D170+AB$5)-PERMANENT_FIELD_LABOR_HOURS)*TEMP_HOURLY_RATE-FIXED_SEASON_COST)</f>
        <v>32580.603639404</v>
      </c>
      <c r="AC170" s="53" t="n">
        <f aca="false">IF(OR($A170&gt;TOMATO_BED_CAP,$B170&gt;CARROT_BED_CAP,AC$4&gt;MESCLUN_BED_CAP,$A170+$B170+AC$4&gt;TOTAL_BEDS_AVAILABLE,($D170+AC$5)&gt;TOTAL_LABOR_HOURS_CAP,MAX(0,($D170+AC$5)-PERMANENT_FIELD_LABOR_HOURS)&gt;TEMP_HOURS_CAP),"",$C170+AC$6-MIN(($D170+AC$5),PERMANENT_FIELD_LABOR_HOURS)*PERMANENT_HOURLY_RATE-MAX(0,($D170+AC$5)-PERMANENT_FIELD_LABOR_HOURS)*TEMP_HOURLY_RATE-FIXED_SEASON_COST)</f>
        <v>33078.6988568389</v>
      </c>
      <c r="AD170" s="53" t="n">
        <f aca="false">IF(OR($A170&gt;TOMATO_BED_CAP,$B170&gt;CARROT_BED_CAP,AD$4&gt;MESCLUN_BED_CAP,$A170+$B170+AD$4&gt;TOTAL_BEDS_AVAILABLE,($D170+AD$5)&gt;TOTAL_LABOR_HOURS_CAP,MAX(0,($D170+AD$5)-PERMANENT_FIELD_LABOR_HOURS)&gt;TEMP_HOURS_CAP),"",$C170+AD$6-MIN(($D170+AD$5),PERMANENT_FIELD_LABOR_HOURS)*PERMANENT_HOURLY_RATE-MAX(0,($D170+AD$5)-PERMANENT_FIELD_LABOR_HOURS)*TEMP_HOURLY_RATE-FIXED_SEASON_COST)</f>
        <v>33547.2758121389</v>
      </c>
      <c r="AE170" s="53" t="n">
        <f aca="false">IF(OR($A170&gt;TOMATO_BED_CAP,$B170&gt;CARROT_BED_CAP,AE$4&gt;MESCLUN_BED_CAP,$A170+$B170+AE$4&gt;TOTAL_BEDS_AVAILABLE,($D170+AE$5)&gt;TOTAL_LABOR_HOURS_CAP,MAX(0,($D170+AE$5)-PERMANENT_FIELD_LABOR_HOURS)&gt;TEMP_HOURS_CAP),"",$C170+AE$6-MIN(($D170+AE$5),PERMANENT_FIELD_LABOR_HOURS)*PERMANENT_HOURLY_RATE-MAX(0,($D170+AE$5)-PERMANENT_FIELD_LABOR_HOURS)*TEMP_HOURLY_RATE-FIXED_SEASON_COST)</f>
        <v>33985.8030963728</v>
      </c>
      <c r="AF170" s="53" t="n">
        <f aca="false">IF(OR($A170&gt;TOMATO_BED_CAP,$B170&gt;CARROT_BED_CAP,AF$4&gt;MESCLUN_BED_CAP,$A170+$B170+AF$4&gt;TOTAL_BEDS_AVAILABLE,($D170+AF$5)&gt;TOTAL_LABOR_HOURS_CAP,MAX(0,($D170+AF$5)-PERMANENT_FIELD_LABOR_HOURS)&gt;TEMP_HOURS_CAP),"",$C170+AF$6-MIN(($D170+AF$5),PERMANENT_FIELD_LABOR_HOURS)*PERMANENT_HOURLY_RATE-MAX(0,($D170+AF$5)-PERMANENT_FIELD_LABOR_HOURS)*TEMP_HOURLY_RATE-FIXED_SEASON_COST)</f>
        <v>34393.7406276147</v>
      </c>
      <c r="AG170" s="53" t="n">
        <f aca="false">IF(OR($A170&gt;TOMATO_BED_CAP,$B170&gt;CARROT_BED_CAP,AG$4&gt;MESCLUN_BED_CAP,$A170+$B170+AG$4&gt;TOTAL_BEDS_AVAILABLE,($D170+AG$5)&gt;TOTAL_LABOR_HOURS_CAP,MAX(0,($D170+AG$5)-PERMANENT_FIELD_LABOR_HOURS)&gt;TEMP_HOURS_CAP),"",$C170+AG$6-MIN(($D170+AG$5),PERMANENT_FIELD_LABOR_HOURS)*PERMANENT_HOURLY_RATE-MAX(0,($D170+AG$5)-PERMANENT_FIELD_LABOR_HOURS)*TEMP_HOURLY_RATE-FIXED_SEASON_COST)</f>
        <v>34770.5395171517</v>
      </c>
      <c r="AH170" s="53" t="n">
        <f aca="false">IF(OR($A170&gt;TOMATO_BED_CAP,$B170&gt;CARROT_BED_CAP,AH$4&gt;MESCLUN_BED_CAP,$A170+$B170+AH$4&gt;TOTAL_BEDS_AVAILABLE,($D170+AH$5)&gt;TOTAL_LABOR_HOURS_CAP,MAX(0,($D170+AH$5)-PERMANENT_FIELD_LABOR_HOURS)&gt;TEMP_HOURS_CAP),"",$C170+AH$6-MIN(($D170+AH$5),PERMANENT_FIELD_LABOR_HOURS)*PERMANENT_HOURLY_RATE-MAX(0,($D170+AH$5)-PERMANENT_FIELD_LABOR_HOURS)*TEMP_HOURLY_RATE-FIXED_SEASON_COST)</f>
        <v>35115.641933702</v>
      </c>
      <c r="AI170" s="53" t="n">
        <f aca="false">IF(OR($A170&gt;TOMATO_BED_CAP,$B170&gt;CARROT_BED_CAP,AI$4&gt;MESCLUN_BED_CAP,$A170+$B170+AI$4&gt;TOTAL_BEDS_AVAILABLE,($D170+AI$5)&gt;TOTAL_LABOR_HOURS_CAP,MAX(0,($D170+AI$5)-PERMANENT_FIELD_LABOR_HOURS)&gt;TEMP_HOURS_CAP),"",$C170+AI$6-MIN(($D170+AI$5),PERMANENT_FIELD_LABOR_HOURS)*PERMANENT_HOURLY_RATE-MAX(0,($D170+AI$5)-PERMANENT_FIELD_LABOR_HOURS)*TEMP_HOURLY_RATE-FIXED_SEASON_COST)</f>
        <v>35428.4809656142</v>
      </c>
      <c r="AJ170" s="53" t="n">
        <f aca="false">IF(OR($A170&gt;TOMATO_BED_CAP,$B170&gt;CARROT_BED_CAP,AJ$4&gt;MESCLUN_BED_CAP,$A170+$B170+AJ$4&gt;TOTAL_BEDS_AVAILABLE,($D170+AJ$5)&gt;TOTAL_LABOR_HOURS_CAP,MAX(0,($D170+AJ$5)-PERMANENT_FIELD_LABOR_HOURS)&gt;TEMP_HOURS_CAP),"",$C170+AJ$6-MIN(($D170+AJ$5),PERMANENT_FIELD_LABOR_HOURS)*PERMANENT_HOURLY_RATE-MAX(0,($D170+AJ$5)-PERMANENT_FIELD_LABOR_HOURS)*TEMP_HOURLY_RATE-FIXED_SEASON_COST)</f>
        <v>35708.48048102</v>
      </c>
    </row>
    <row r="171" customFormat="false" ht="15" hidden="false" customHeight="false" outlineLevel="0" collapsed="false">
      <c r="A171" s="21" t="n">
        <f aca="false">INT((ROW()-ROW($A$8))/(20+1))</f>
        <v>7</v>
      </c>
      <c r="B171" s="21" t="n">
        <f aca="false">MOD(ROW()-ROW($A$8),20+1)</f>
        <v>16</v>
      </c>
      <c r="C171" s="13" t="n">
        <f aca="false">A171*(TOMATO_REVENUE_PER_BED-TOMATO_FERTILIZER_PER_BED)+B171*(CARROT_REVENUE_PER_BED-CARROT_FERTILIZER_PER_BED)</f>
        <v>81904</v>
      </c>
      <c r="D171" s="14" t="n">
        <f aca="false">INDEX(TOMATO_SCHED_LABOR_HRS,A171+1)+INDEX(CARROT_SCHED_LABOR_HRS,B171+1)</f>
        <v>1939.9694458379</v>
      </c>
      <c r="E171" s="13" t="n">
        <f aca="false">IF(COUNT(F171:AJ171)=0,"",MAX(F171:AJ171))</f>
        <v>36306.9197151265</v>
      </c>
      <c r="F171" s="53" t="n">
        <f aca="false">IF(OR($A171&gt;TOMATO_BED_CAP,$B171&gt;CARROT_BED_CAP,F$4&gt;MESCLUN_BED_CAP,$A171+$B171+F$4&gt;TOTAL_BEDS_AVAILABLE,($D171+F$5)&gt;TOTAL_LABOR_HOURS_CAP,MAX(0,($D171+F$5)-PERMANENT_FIELD_LABOR_HOURS)&gt;TEMP_HOURS_CAP),"",$C171+F$6-MIN(($D171+F$5),PERMANENT_FIELD_LABOR_HOURS)*PERMANENT_HOURLY_RATE-MAX(0,($D171+F$5)-PERMANENT_FIELD_LABOR_HOURS)*TEMP_HOURLY_RATE-FIXED_SEASON_COST)</f>
        <v>15726.930420254</v>
      </c>
      <c r="G171" s="53" t="n">
        <f aca="false">IF(OR($A171&gt;TOMATO_BED_CAP,$B171&gt;CARROT_BED_CAP,G$4&gt;MESCLUN_BED_CAP,$A171+$B171+G$4&gt;TOTAL_BEDS_AVAILABLE,($D171+G$5)&gt;TOTAL_LABOR_HOURS_CAP,MAX(0,($D171+G$5)-PERMANENT_FIELD_LABOR_HOURS)&gt;TEMP_HOURS_CAP),"",$C171+G$6-MIN(($D171+G$5),PERMANENT_FIELD_LABOR_HOURS)*PERMANENT_HOURLY_RATE-MAX(0,($D171+G$5)-PERMANENT_FIELD_LABOR_HOURS)*TEMP_HOURLY_RATE-FIXED_SEASON_COST)</f>
        <v>16755.965420254</v>
      </c>
      <c r="H171" s="53" t="n">
        <f aca="false">IF(OR($A171&gt;TOMATO_BED_CAP,$B171&gt;CARROT_BED_CAP,H$4&gt;MESCLUN_BED_CAP,$A171+$B171+H$4&gt;TOTAL_BEDS_AVAILABLE,($D171+H$5)&gt;TOTAL_LABOR_HOURS_CAP,MAX(0,($D171+H$5)-PERMANENT_FIELD_LABOR_HOURS)&gt;TEMP_HOURS_CAP),"",$C171+H$6-MIN(($D171+H$5),PERMANENT_FIELD_LABOR_HOURS)*PERMANENT_HOURLY_RATE-MAX(0,($D171+H$5)-PERMANENT_FIELD_LABOR_HOURS)*TEMP_HOURLY_RATE-FIXED_SEASON_COST)</f>
        <v>17765.226295254</v>
      </c>
      <c r="I171" s="53" t="n">
        <f aca="false">IF(OR($A171&gt;TOMATO_BED_CAP,$B171&gt;CARROT_BED_CAP,I$4&gt;MESCLUN_BED_CAP,$A171+$B171+I$4&gt;TOTAL_BEDS_AVAILABLE,($D171+I$5)&gt;TOTAL_LABOR_HOURS_CAP,MAX(0,($D171+I$5)-PERMANENT_FIELD_LABOR_HOURS)&gt;TEMP_HOURS_CAP),"",$C171+I$6-MIN(($D171+I$5),PERMANENT_FIELD_LABOR_HOURS)*PERMANENT_HOURLY_RATE-MAX(0,($D171+I$5)-PERMANENT_FIELD_LABOR_HOURS)*TEMP_HOURLY_RATE-FIXED_SEASON_COST)</f>
        <v>18754.3422804102</v>
      </c>
      <c r="J171" s="53" t="n">
        <f aca="false">IF(OR($A171&gt;TOMATO_BED_CAP,$B171&gt;CARROT_BED_CAP,J$4&gt;MESCLUN_BED_CAP,$A171+$B171+J$4&gt;TOTAL_BEDS_AVAILABLE,($D171+J$5)&gt;TOTAL_LABOR_HOURS_CAP,MAX(0,($D171+J$5)-PERMANENT_FIELD_LABOR_HOURS)&gt;TEMP_HOURS_CAP),"",$C171+J$6-MIN(($D171+J$5),PERMANENT_FIELD_LABOR_HOURS)*PERMANENT_HOURLY_RATE-MAX(0,($D171+J$5)-PERMANENT_FIELD_LABOR_HOURS)*TEMP_HOURLY_RATE-FIXED_SEASON_COST)</f>
        <v>19722.9364314649</v>
      </c>
      <c r="K171" s="53" t="n">
        <f aca="false">IF(OR($A171&gt;TOMATO_BED_CAP,$B171&gt;CARROT_BED_CAP,K$4&gt;MESCLUN_BED_CAP,$A171+$B171+K$4&gt;TOTAL_BEDS_AVAILABLE,($D171+K$5)&gt;TOTAL_LABOR_HOURS_CAP,MAX(0,($D171+K$5)-PERMANENT_FIELD_LABOR_HOURS)&gt;TEMP_HOURS_CAP),"",$C171+K$6-MIN(($D171+K$5),PERMANENT_FIELD_LABOR_HOURS)*PERMANENT_HOURLY_RATE-MAX(0,($D171+K$5)-PERMANENT_FIELD_LABOR_HOURS)*TEMP_HOURLY_RATE-FIXED_SEASON_COST)</f>
        <v>20670.6255281928</v>
      </c>
      <c r="L171" s="53" t="n">
        <f aca="false">IF(OR($A171&gt;TOMATO_BED_CAP,$B171&gt;CARROT_BED_CAP,L$4&gt;MESCLUN_BED_CAP,$A171+$B171+L$4&gt;TOTAL_BEDS_AVAILABLE,($D171+L$5)&gt;TOTAL_LABOR_HOURS_CAP,MAX(0,($D171+L$5)-PERMANENT_FIELD_LABOR_HOURS)&gt;TEMP_HOURS_CAP),"",$C171+L$6-MIN(($D171+L$5),PERMANENT_FIELD_LABOR_HOURS)*PERMANENT_HOURLY_RATE-MAX(0,($D171+L$5)-PERMANENT_FIELD_LABOR_HOURS)*TEMP_HOURLY_RATE-FIXED_SEASON_COST)</f>
        <v>21597.0199763997</v>
      </c>
      <c r="M171" s="53" t="n">
        <f aca="false">IF(OR($A171&gt;TOMATO_BED_CAP,$B171&gt;CARROT_BED_CAP,M$4&gt;MESCLUN_BED_CAP,$A171+$B171+M$4&gt;TOTAL_BEDS_AVAILABLE,($D171+M$5)&gt;TOTAL_LABOR_HOURS_CAP,MAX(0,($D171+M$5)-PERMANENT_FIELD_LABOR_HOURS)&gt;TEMP_HOURS_CAP),"",$C171+M$6-MIN(($D171+M$5),PERMANENT_FIELD_LABOR_HOURS)*PERMANENT_HOURLY_RATE-MAX(0,($D171+M$5)-PERMANENT_FIELD_LABOR_HOURS)*TEMP_HOURLY_RATE-FIXED_SEASON_COST)</f>
        <v>22501.7237084511</v>
      </c>
      <c r="N171" s="53" t="n">
        <f aca="false">IF(OR($A171&gt;TOMATO_BED_CAP,$B171&gt;CARROT_BED_CAP,N$4&gt;MESCLUN_BED_CAP,$A171+$B171+N$4&gt;TOTAL_BEDS_AVAILABLE,($D171+N$5)&gt;TOTAL_LABOR_HOURS_CAP,MAX(0,($D171+N$5)-PERMANENT_FIELD_LABOR_HOURS)&gt;TEMP_HOURS_CAP),"",$C171+N$6-MIN(($D171+N$5),PERMANENT_FIELD_LABOR_HOURS)*PERMANENT_HOURLY_RATE-MAX(0,($D171+N$5)-PERMANENT_FIELD_LABOR_HOURS)*TEMP_HOURLY_RATE-FIXED_SEASON_COST)</f>
        <v>23384.3340823106</v>
      </c>
      <c r="O171" s="53" t="n">
        <f aca="false">IF(OR($A171&gt;TOMATO_BED_CAP,$B171&gt;CARROT_BED_CAP,O$4&gt;MESCLUN_BED_CAP,$A171+$B171+O$4&gt;TOTAL_BEDS_AVAILABLE,($D171+O$5)&gt;TOTAL_LABOR_HOURS_CAP,MAX(0,($D171+O$5)-PERMANENT_FIELD_LABOR_HOURS)&gt;TEMP_HOURS_CAP),"",$C171+O$6-MIN(($D171+O$5),PERMANENT_FIELD_LABOR_HOURS)*PERMANENT_HOURLY_RATE-MAX(0,($D171+O$5)-PERMANENT_FIELD_LABOR_HOURS)*TEMP_HOURLY_RATE-FIXED_SEASON_COST)</f>
        <v>24244.4417790654</v>
      </c>
      <c r="P171" s="53" t="n">
        <f aca="false">IF(OR($A171&gt;TOMATO_BED_CAP,$B171&gt;CARROT_BED_CAP,P$4&gt;MESCLUN_BED_CAP,$A171+$B171+P$4&gt;TOTAL_BEDS_AVAILABLE,($D171+P$5)&gt;TOTAL_LABOR_HOURS_CAP,MAX(0,($D171+P$5)-PERMANENT_FIELD_LABOR_HOURS)&gt;TEMP_HOURS_CAP),"",$C171+P$6-MIN(($D171+P$5),PERMANENT_FIELD_LABOR_HOURS)*PERMANENT_HOURLY_RATE-MAX(0,($D171+P$5)-PERMANENT_FIELD_LABOR_HOURS)*TEMP_HOURLY_RATE-FIXED_SEASON_COST)</f>
        <v>25081.6306989168</v>
      </c>
      <c r="Q171" s="53" t="n">
        <f aca="false">IF(OR($A171&gt;TOMATO_BED_CAP,$B171&gt;CARROT_BED_CAP,Q$4&gt;MESCLUN_BED_CAP,$A171+$B171+Q$4&gt;TOTAL_BEDS_AVAILABLE,($D171+Q$5)&gt;TOTAL_LABOR_HOURS_CAP,MAX(0,($D171+Q$5)-PERMANENT_FIELD_LABOR_HOURS)&gt;TEMP_HOURS_CAP),"",$C171+Q$6-MIN(($D171+Q$5),PERMANENT_FIELD_LABOR_HOURS)*PERMANENT_HOURLY_RATE-MAX(0,($D171+Q$5)-PERMANENT_FIELD_LABOR_HOURS)*TEMP_HOURLY_RATE-FIXED_SEASON_COST)</f>
        <v>25895.4778556147</v>
      </c>
      <c r="R171" s="53" t="n">
        <f aca="false">IF(OR($A171&gt;TOMATO_BED_CAP,$B171&gt;CARROT_BED_CAP,R$4&gt;MESCLUN_BED_CAP,$A171+$B171+R$4&gt;TOTAL_BEDS_AVAILABLE,($D171+R$5)&gt;TOTAL_LABOR_HOURS_CAP,MAX(0,($D171+R$5)-PERMANENT_FIELD_LABOR_HOURS)&gt;TEMP_HOURS_CAP),"",$C171+R$6-MIN(($D171+R$5),PERMANENT_FIELD_LABOR_HOURS)*PERMANENT_HOURLY_RATE-MAX(0,($D171+R$5)-PERMANENT_FIELD_LABOR_HOURS)*TEMP_HOURLY_RATE-FIXED_SEASON_COST)</f>
        <v>26685.5532693115</v>
      </c>
      <c r="S171" s="53" t="n">
        <f aca="false">IF(OR($A171&gt;TOMATO_BED_CAP,$B171&gt;CARROT_BED_CAP,S$4&gt;MESCLUN_BED_CAP,$A171+$B171+S$4&gt;TOTAL_BEDS_AVAILABLE,($D171+S$5)&gt;TOTAL_LABOR_HOURS_CAP,MAX(0,($D171+S$5)-PERMANENT_FIELD_LABOR_HOURS)&gt;TEMP_HOURS_CAP),"",$C171+S$6-MIN(($D171+S$5),PERMANENT_FIELD_LABOR_HOURS)*PERMANENT_HOURLY_RATE-MAX(0,($D171+S$5)-PERMANENT_FIELD_LABOR_HOURS)*TEMP_HOURLY_RATE-FIXED_SEASON_COST)</f>
        <v>27451.419857814</v>
      </c>
      <c r="T171" s="53" t="n">
        <f aca="false">IF(OR($A171&gt;TOMATO_BED_CAP,$B171&gt;CARROT_BED_CAP,T$4&gt;MESCLUN_BED_CAP,$A171+$B171+T$4&gt;TOTAL_BEDS_AVAILABLE,($D171+T$5)&gt;TOTAL_LABOR_HOURS_CAP,MAX(0,($D171+T$5)-PERMANENT_FIELD_LABOR_HOURS)&gt;TEMP_HOURS_CAP),"",$C171+T$6-MIN(($D171+T$5),PERMANENT_FIELD_LABOR_HOURS)*PERMANENT_HOURLY_RATE-MAX(0,($D171+T$5)-PERMANENT_FIELD_LABOR_HOURS)*TEMP_HOURLY_RATE-FIXED_SEASON_COST)</f>
        <v>28192.6333262088</v>
      </c>
      <c r="U171" s="53" t="n">
        <f aca="false">IF(OR($A171&gt;TOMATO_BED_CAP,$B171&gt;CARROT_BED_CAP,U$4&gt;MESCLUN_BED_CAP,$A171+$B171+U$4&gt;TOTAL_BEDS_AVAILABLE,($D171+U$5)&gt;TOTAL_LABOR_HOURS_CAP,MAX(0,($D171+U$5)-PERMANENT_FIELD_LABOR_HOURS)&gt;TEMP_HOURS_CAP),"",$C171+U$6-MIN(($D171+U$5),PERMANENT_FIELD_LABOR_HOURS)*PERMANENT_HOURLY_RATE-MAX(0,($D171+U$5)-PERMANENT_FIELD_LABOR_HOURS)*TEMP_HOURLY_RATE-FIXED_SEASON_COST)</f>
        <v>28908.7420548389</v>
      </c>
      <c r="V171" s="53" t="n">
        <f aca="false">IF(OR($A171&gt;TOMATO_BED_CAP,$B171&gt;CARROT_BED_CAP,V$4&gt;MESCLUN_BED_CAP,$A171+$B171+V$4&gt;TOTAL_BEDS_AVAILABLE,($D171+V$5)&gt;TOTAL_LABOR_HOURS_CAP,MAX(0,($D171+V$5)-PERMANENT_FIELD_LABOR_HOURS)&gt;TEMP_HOURS_CAP),"",$C171+V$6-MIN(($D171+V$5),PERMANENT_FIELD_LABOR_HOURS)*PERMANENT_HOURLY_RATE-MAX(0,($D171+V$5)-PERMANENT_FIELD_LABOR_HOURS)*TEMP_HOURLY_RATE-FIXED_SEASON_COST)</f>
        <v>29599.2869856057</v>
      </c>
      <c r="W171" s="53" t="n">
        <f aca="false">IF(OR($A171&gt;TOMATO_BED_CAP,$B171&gt;CARROT_BED_CAP,W$4&gt;MESCLUN_BED_CAP,$A171+$B171+W$4&gt;TOTAL_BEDS_AVAILABLE,($D171+W$5)&gt;TOTAL_LABOR_HOURS_CAP,MAX(0,($D171+W$5)-PERMANENT_FIELD_LABOR_HOURS)&gt;TEMP_HOURS_CAP),"",$C171+W$6-MIN(($D171+W$5),PERMANENT_FIELD_LABOR_HOURS)*PERMANENT_HOURLY_RATE-MAX(0,($D171+W$5)-PERMANENT_FIELD_LABOR_HOURS)*TEMP_HOURLY_RATE-FIXED_SEASON_COST)</f>
        <v>30263.8015065738</v>
      </c>
      <c r="X171" s="53" t="n">
        <f aca="false">IF(OR($A171&gt;TOMATO_BED_CAP,$B171&gt;CARROT_BED_CAP,X$4&gt;MESCLUN_BED_CAP,$A171+$B171+X$4&gt;TOTAL_BEDS_AVAILABLE,($D171+X$5)&gt;TOTAL_LABOR_HOURS_CAP,MAX(0,($D171+X$5)-PERMANENT_FIELD_LABOR_HOURS)&gt;TEMP_HOURS_CAP),"",$C171+X$6-MIN(($D171+X$5),PERMANENT_FIELD_LABOR_HOURS)*PERMANENT_HOURLY_RATE-MAX(0,($D171+X$5)-PERMANENT_FIELD_LABOR_HOURS)*TEMP_HOURLY_RATE-FIXED_SEASON_COST)</f>
        <v>30901.8113348527</v>
      </c>
      <c r="Y171" s="53" t="n">
        <f aca="false">IF(OR($A171&gt;TOMATO_BED_CAP,$B171&gt;CARROT_BED_CAP,Y$4&gt;MESCLUN_BED_CAP,$A171+$B171+Y$4&gt;TOTAL_BEDS_AVAILABLE,($D171+Y$5)&gt;TOTAL_LABOR_HOURS_CAP,MAX(0,($D171+Y$5)-PERMANENT_FIELD_LABOR_HOURS)&gt;TEMP_HOURS_CAP),"",$C171+Y$6-MIN(($D171+Y$5),PERMANENT_FIELD_LABOR_HOURS)*PERMANENT_HOURLY_RATE-MAX(0,($D171+Y$5)-PERMANENT_FIELD_LABOR_HOURS)*TEMP_HOURLY_RATE-FIXED_SEASON_COST)</f>
        <v>31512.8343977314</v>
      </c>
      <c r="Z171" s="53" t="n">
        <f aca="false">IF(OR($A171&gt;TOMATO_BED_CAP,$B171&gt;CARROT_BED_CAP,Z$4&gt;MESCLUN_BED_CAP,$A171+$B171+Z$4&gt;TOTAL_BEDS_AVAILABLE,($D171+Z$5)&gt;TOTAL_LABOR_HOURS_CAP,MAX(0,($D171+Z$5)-PERMANENT_FIELD_LABOR_HOURS)&gt;TEMP_HOURS_CAP),"",$C171+Z$6-MIN(($D171+Z$5),PERMANENT_FIELD_LABOR_HOURS)*PERMANENT_HOURLY_RATE-MAX(0,($D171+Z$5)-PERMANENT_FIELD_LABOR_HOURS)*TEMP_HOURLY_RATE-FIXED_SEASON_COST)</f>
        <v>32096.3807120391</v>
      </c>
      <c r="AA171" s="53" t="n">
        <f aca="false">IF(OR($A171&gt;TOMATO_BED_CAP,$B171&gt;CARROT_BED_CAP,AA$4&gt;MESCLUN_BED_CAP,$A171+$B171+AA$4&gt;TOTAL_BEDS_AVAILABLE,($D171+AA$5)&gt;TOTAL_LABOR_HOURS_CAP,MAX(0,($D171+AA$5)-PERMANENT_FIELD_LABOR_HOURS)&gt;TEMP_HOURS_CAP),"",$C171+AA$6-MIN(($D171+AA$5),PERMANENT_FIELD_LABOR_HOURS)*PERMANENT_HOURLY_RATE-MAX(0,($D171+AA$5)-PERMANENT_FIELD_LABOR_HOURS)*TEMP_HOURLY_RATE-FIXED_SEASON_COST)</f>
        <v>32651.952261708</v>
      </c>
      <c r="AB171" s="53" t="n">
        <f aca="false">IF(OR($A171&gt;TOMATO_BED_CAP,$B171&gt;CARROT_BED_CAP,AB$4&gt;MESCLUN_BED_CAP,$A171+$B171+AB$4&gt;TOTAL_BEDS_AVAILABLE,($D171+AB$5)&gt;TOTAL_LABOR_HOURS_CAP,MAX(0,($D171+AB$5)-PERMANENT_FIELD_LABOR_HOURS)&gt;TEMP_HOURS_CAP),"",$C171+AB$6-MIN(($D171+AB$5),PERMANENT_FIELD_LABOR_HOURS)*PERMANENT_HOURLY_RATE-MAX(0,($D171+AB$5)-PERMANENT_FIELD_LABOR_HOURS)*TEMP_HOURLY_RATE-FIXED_SEASON_COST)</f>
        <v>33179.0428735106</v>
      </c>
      <c r="AC171" s="53" t="n">
        <f aca="false">IF(OR($A171&gt;TOMATO_BED_CAP,$B171&gt;CARROT_BED_CAP,AC$4&gt;MESCLUN_BED_CAP,$A171+$B171+AC$4&gt;TOTAL_BEDS_AVAILABLE,($D171+AC$5)&gt;TOTAL_LABOR_HOURS_CAP,MAX(0,($D171+AC$5)-PERMANENT_FIELD_LABOR_HOURS)&gt;TEMP_HOURS_CAP),"",$C171+AC$6-MIN(($D171+AC$5),PERMANENT_FIELD_LABOR_HOURS)*PERMANENT_HOURLY_RATE-MAX(0,($D171+AC$5)-PERMANENT_FIELD_LABOR_HOURS)*TEMP_HOURLY_RATE-FIXED_SEASON_COST)</f>
        <v>33677.1380909455</v>
      </c>
      <c r="AD171" s="53" t="n">
        <f aca="false">IF(OR($A171&gt;TOMATO_BED_CAP,$B171&gt;CARROT_BED_CAP,AD$4&gt;MESCLUN_BED_CAP,$A171+$B171+AD$4&gt;TOTAL_BEDS_AVAILABLE,($D171+AD$5)&gt;TOTAL_LABOR_HOURS_CAP,MAX(0,($D171+AD$5)-PERMANENT_FIELD_LABOR_HOURS)&gt;TEMP_HOURS_CAP),"",$C171+AD$6-MIN(($D171+AD$5),PERMANENT_FIELD_LABOR_HOURS)*PERMANENT_HOURLY_RATE-MAX(0,($D171+AD$5)-PERMANENT_FIELD_LABOR_HOURS)*TEMP_HOURLY_RATE-FIXED_SEASON_COST)</f>
        <v>34145.7150462454</v>
      </c>
      <c r="AE171" s="53" t="n">
        <f aca="false">IF(OR($A171&gt;TOMATO_BED_CAP,$B171&gt;CARROT_BED_CAP,AE$4&gt;MESCLUN_BED_CAP,$A171+$B171+AE$4&gt;TOTAL_BEDS_AVAILABLE,($D171+AE$5)&gt;TOTAL_LABOR_HOURS_CAP,MAX(0,($D171+AE$5)-PERMANENT_FIELD_LABOR_HOURS)&gt;TEMP_HOURS_CAP),"",$C171+AE$6-MIN(($D171+AE$5),PERMANENT_FIELD_LABOR_HOURS)*PERMANENT_HOURLY_RATE-MAX(0,($D171+AE$5)-PERMANENT_FIELD_LABOR_HOURS)*TEMP_HOURLY_RATE-FIXED_SEASON_COST)</f>
        <v>34584.2423304793</v>
      </c>
      <c r="AF171" s="53" t="n">
        <f aca="false">IF(OR($A171&gt;TOMATO_BED_CAP,$B171&gt;CARROT_BED_CAP,AF$4&gt;MESCLUN_BED_CAP,$A171+$B171+AF$4&gt;TOTAL_BEDS_AVAILABLE,($D171+AF$5)&gt;TOTAL_LABOR_HOURS_CAP,MAX(0,($D171+AF$5)-PERMANENT_FIELD_LABOR_HOURS)&gt;TEMP_HOURS_CAP),"",$C171+AF$6-MIN(($D171+AF$5),PERMANENT_FIELD_LABOR_HOURS)*PERMANENT_HOURLY_RATE-MAX(0,($D171+AF$5)-PERMANENT_FIELD_LABOR_HOURS)*TEMP_HOURLY_RATE-FIXED_SEASON_COST)</f>
        <v>34992.1798617213</v>
      </c>
      <c r="AG171" s="53" t="n">
        <f aca="false">IF(OR($A171&gt;TOMATO_BED_CAP,$B171&gt;CARROT_BED_CAP,AG$4&gt;MESCLUN_BED_CAP,$A171+$B171+AG$4&gt;TOTAL_BEDS_AVAILABLE,($D171+AG$5)&gt;TOTAL_LABOR_HOURS_CAP,MAX(0,($D171+AG$5)-PERMANENT_FIELD_LABOR_HOURS)&gt;TEMP_HOURS_CAP),"",$C171+AG$6-MIN(($D171+AG$5),PERMANENT_FIELD_LABOR_HOURS)*PERMANENT_HOURLY_RATE-MAX(0,($D171+AG$5)-PERMANENT_FIELD_LABOR_HOURS)*TEMP_HOURLY_RATE-FIXED_SEASON_COST)</f>
        <v>35368.9787512583</v>
      </c>
      <c r="AH171" s="53" t="n">
        <f aca="false">IF(OR($A171&gt;TOMATO_BED_CAP,$B171&gt;CARROT_BED_CAP,AH$4&gt;MESCLUN_BED_CAP,$A171+$B171+AH$4&gt;TOTAL_BEDS_AVAILABLE,($D171+AH$5)&gt;TOTAL_LABOR_HOURS_CAP,MAX(0,($D171+AH$5)-PERMANENT_FIELD_LABOR_HOURS)&gt;TEMP_HOURS_CAP),"",$C171+AH$6-MIN(($D171+AH$5),PERMANENT_FIELD_LABOR_HOURS)*PERMANENT_HOURLY_RATE-MAX(0,($D171+AH$5)-PERMANENT_FIELD_LABOR_HOURS)*TEMP_HOURLY_RATE-FIXED_SEASON_COST)</f>
        <v>35714.0811678085</v>
      </c>
      <c r="AI171" s="53" t="n">
        <f aca="false">IF(OR($A171&gt;TOMATO_BED_CAP,$B171&gt;CARROT_BED_CAP,AI$4&gt;MESCLUN_BED_CAP,$A171+$B171+AI$4&gt;TOTAL_BEDS_AVAILABLE,($D171+AI$5)&gt;TOTAL_LABOR_HOURS_CAP,MAX(0,($D171+AI$5)-PERMANENT_FIELD_LABOR_HOURS)&gt;TEMP_HOURS_CAP),"",$C171+AI$6-MIN(($D171+AI$5),PERMANENT_FIELD_LABOR_HOURS)*PERMANENT_HOURLY_RATE-MAX(0,($D171+AI$5)-PERMANENT_FIELD_LABOR_HOURS)*TEMP_HOURLY_RATE-FIXED_SEASON_COST)</f>
        <v>36026.9201997208</v>
      </c>
      <c r="AJ171" s="53" t="n">
        <f aca="false">IF(OR($A171&gt;TOMATO_BED_CAP,$B171&gt;CARROT_BED_CAP,AJ$4&gt;MESCLUN_BED_CAP,$A171+$B171+AJ$4&gt;TOTAL_BEDS_AVAILABLE,($D171+AJ$5)&gt;TOTAL_LABOR_HOURS_CAP,MAX(0,($D171+AJ$5)-PERMANENT_FIELD_LABOR_HOURS)&gt;TEMP_HOURS_CAP),"",$C171+AJ$6-MIN(($D171+AJ$5),PERMANENT_FIELD_LABOR_HOURS)*PERMANENT_HOURLY_RATE-MAX(0,($D171+AJ$5)-PERMANENT_FIELD_LABOR_HOURS)*TEMP_HOURLY_RATE-FIXED_SEASON_COST)</f>
        <v>36306.9197151265</v>
      </c>
    </row>
    <row r="172" customFormat="false" ht="15" hidden="false" customHeight="false" outlineLevel="0" collapsed="false">
      <c r="A172" s="21" t="n">
        <f aca="false">INT((ROW()-ROW($A$8))/(20+1))</f>
        <v>7</v>
      </c>
      <c r="B172" s="21" t="n">
        <f aca="false">MOD(ROW()-ROW($A$8),20+1)</f>
        <v>17</v>
      </c>
      <c r="C172" s="13" t="n">
        <f aca="false">A172*(TOMATO_REVENUE_PER_BED-TOMATO_FERTILIZER_PER_BED)+B172*(CARROT_REVENUE_PER_BED-CARROT_FERTILIZER_PER_BED)</f>
        <v>83558</v>
      </c>
      <c r="D172" s="14" t="n">
        <f aca="false">INDEX(TOMATO_SCHED_LABOR_HRS,A172+1)+INDEX(CARROT_SCHED_LABOR_HRS,B172+1)</f>
        <v>2003.40667607503</v>
      </c>
      <c r="E172" s="13" t="n">
        <f aca="false">IF(COUNT(F172:AJ172)=0,"",MAX(F172:AJ172))</f>
        <v>36859.64939821</v>
      </c>
      <c r="F172" s="53" t="n">
        <f aca="false">IF(OR($A172&gt;TOMATO_BED_CAP,$B172&gt;CARROT_BED_CAP,F$4&gt;MESCLUN_BED_CAP,$A172+$B172+F$4&gt;TOTAL_BEDS_AVAILABLE,($D172+F$5)&gt;TOTAL_LABOR_HOURS_CAP,MAX(0,($D172+F$5)-PERMANENT_FIELD_LABOR_HOURS)&gt;TEMP_HOURS_CAP),"",$C172+F$6-MIN(($D172+F$5),PERMANENT_FIELD_LABOR_HOURS)*PERMANENT_HOURLY_RATE-MAX(0,($D172+F$5)-PERMANENT_FIELD_LABOR_HOURS)*TEMP_HOURLY_RATE-FIXED_SEASON_COST)</f>
        <v>16279.6601033375</v>
      </c>
      <c r="G172" s="53" t="n">
        <f aca="false">IF(OR($A172&gt;TOMATO_BED_CAP,$B172&gt;CARROT_BED_CAP,G$4&gt;MESCLUN_BED_CAP,$A172+$B172+G$4&gt;TOTAL_BEDS_AVAILABLE,($D172+G$5)&gt;TOTAL_LABOR_HOURS_CAP,MAX(0,($D172+G$5)-PERMANENT_FIELD_LABOR_HOURS)&gt;TEMP_HOURS_CAP),"",$C172+G$6-MIN(($D172+G$5),PERMANENT_FIELD_LABOR_HOURS)*PERMANENT_HOURLY_RATE-MAX(0,($D172+G$5)-PERMANENT_FIELD_LABOR_HOURS)*TEMP_HOURLY_RATE-FIXED_SEASON_COST)</f>
        <v>17308.6951033375</v>
      </c>
      <c r="H172" s="53" t="n">
        <f aca="false">IF(OR($A172&gt;TOMATO_BED_CAP,$B172&gt;CARROT_BED_CAP,H$4&gt;MESCLUN_BED_CAP,$A172+$B172+H$4&gt;TOTAL_BEDS_AVAILABLE,($D172+H$5)&gt;TOTAL_LABOR_HOURS_CAP,MAX(0,($D172+H$5)-PERMANENT_FIELD_LABOR_HOURS)&gt;TEMP_HOURS_CAP),"",$C172+H$6-MIN(($D172+H$5),PERMANENT_FIELD_LABOR_HOURS)*PERMANENT_HOURLY_RATE-MAX(0,($D172+H$5)-PERMANENT_FIELD_LABOR_HOURS)*TEMP_HOURLY_RATE-FIXED_SEASON_COST)</f>
        <v>18317.9559783375</v>
      </c>
      <c r="I172" s="53" t="n">
        <f aca="false">IF(OR($A172&gt;TOMATO_BED_CAP,$B172&gt;CARROT_BED_CAP,I$4&gt;MESCLUN_BED_CAP,$A172+$B172+I$4&gt;TOTAL_BEDS_AVAILABLE,($D172+I$5)&gt;TOTAL_LABOR_HOURS_CAP,MAX(0,($D172+I$5)-PERMANENT_FIELD_LABOR_HOURS)&gt;TEMP_HOURS_CAP),"",$C172+I$6-MIN(($D172+I$5),PERMANENT_FIELD_LABOR_HOURS)*PERMANENT_HOURLY_RATE-MAX(0,($D172+I$5)-PERMANENT_FIELD_LABOR_HOURS)*TEMP_HOURLY_RATE-FIXED_SEASON_COST)</f>
        <v>19307.0719634938</v>
      </c>
      <c r="J172" s="53" t="n">
        <f aca="false">IF(OR($A172&gt;TOMATO_BED_CAP,$B172&gt;CARROT_BED_CAP,J$4&gt;MESCLUN_BED_CAP,$A172+$B172+J$4&gt;TOTAL_BEDS_AVAILABLE,($D172+J$5)&gt;TOTAL_LABOR_HOURS_CAP,MAX(0,($D172+J$5)-PERMANENT_FIELD_LABOR_HOURS)&gt;TEMP_HOURS_CAP),"",$C172+J$6-MIN(($D172+J$5),PERMANENT_FIELD_LABOR_HOURS)*PERMANENT_HOURLY_RATE-MAX(0,($D172+J$5)-PERMANENT_FIELD_LABOR_HOURS)*TEMP_HOURLY_RATE-FIXED_SEASON_COST)</f>
        <v>20275.6661145484</v>
      </c>
      <c r="K172" s="53" t="n">
        <f aca="false">IF(OR($A172&gt;TOMATO_BED_CAP,$B172&gt;CARROT_BED_CAP,K$4&gt;MESCLUN_BED_CAP,$A172+$B172+K$4&gt;TOTAL_BEDS_AVAILABLE,($D172+K$5)&gt;TOTAL_LABOR_HOURS_CAP,MAX(0,($D172+K$5)-PERMANENT_FIELD_LABOR_HOURS)&gt;TEMP_HOURS_CAP),"",$C172+K$6-MIN(($D172+K$5),PERMANENT_FIELD_LABOR_HOURS)*PERMANENT_HOURLY_RATE-MAX(0,($D172+K$5)-PERMANENT_FIELD_LABOR_HOURS)*TEMP_HOURLY_RATE-FIXED_SEASON_COST)</f>
        <v>21223.3552112763</v>
      </c>
      <c r="L172" s="53" t="n">
        <f aca="false">IF(OR($A172&gt;TOMATO_BED_CAP,$B172&gt;CARROT_BED_CAP,L$4&gt;MESCLUN_BED_CAP,$A172+$B172+L$4&gt;TOTAL_BEDS_AVAILABLE,($D172+L$5)&gt;TOTAL_LABOR_HOURS_CAP,MAX(0,($D172+L$5)-PERMANENT_FIELD_LABOR_HOURS)&gt;TEMP_HOURS_CAP),"",$C172+L$6-MIN(($D172+L$5),PERMANENT_FIELD_LABOR_HOURS)*PERMANENT_HOURLY_RATE-MAX(0,($D172+L$5)-PERMANENT_FIELD_LABOR_HOURS)*TEMP_HOURLY_RATE-FIXED_SEASON_COST)</f>
        <v>22149.7496594832</v>
      </c>
      <c r="M172" s="53" t="n">
        <f aca="false">IF(OR($A172&gt;TOMATO_BED_CAP,$B172&gt;CARROT_BED_CAP,M$4&gt;MESCLUN_BED_CAP,$A172+$B172+M$4&gt;TOTAL_BEDS_AVAILABLE,($D172+M$5)&gt;TOTAL_LABOR_HOURS_CAP,MAX(0,($D172+M$5)-PERMANENT_FIELD_LABOR_HOURS)&gt;TEMP_HOURS_CAP),"",$C172+M$6-MIN(($D172+M$5),PERMANENT_FIELD_LABOR_HOURS)*PERMANENT_HOURLY_RATE-MAX(0,($D172+M$5)-PERMANENT_FIELD_LABOR_HOURS)*TEMP_HOURLY_RATE-FIXED_SEASON_COST)</f>
        <v>23054.4533915346</v>
      </c>
      <c r="N172" s="53" t="n">
        <f aca="false">IF(OR($A172&gt;TOMATO_BED_CAP,$B172&gt;CARROT_BED_CAP,N$4&gt;MESCLUN_BED_CAP,$A172+$B172+N$4&gt;TOTAL_BEDS_AVAILABLE,($D172+N$5)&gt;TOTAL_LABOR_HOURS_CAP,MAX(0,($D172+N$5)-PERMANENT_FIELD_LABOR_HOURS)&gt;TEMP_HOURS_CAP),"",$C172+N$6-MIN(($D172+N$5),PERMANENT_FIELD_LABOR_HOURS)*PERMANENT_HOURLY_RATE-MAX(0,($D172+N$5)-PERMANENT_FIELD_LABOR_HOURS)*TEMP_HOURLY_RATE-FIXED_SEASON_COST)</f>
        <v>23937.0637653942</v>
      </c>
      <c r="O172" s="53" t="n">
        <f aca="false">IF(OR($A172&gt;TOMATO_BED_CAP,$B172&gt;CARROT_BED_CAP,O$4&gt;MESCLUN_BED_CAP,$A172+$B172+O$4&gt;TOTAL_BEDS_AVAILABLE,($D172+O$5)&gt;TOTAL_LABOR_HOURS_CAP,MAX(0,($D172+O$5)-PERMANENT_FIELD_LABOR_HOURS)&gt;TEMP_HOURS_CAP),"",$C172+O$6-MIN(($D172+O$5),PERMANENT_FIELD_LABOR_HOURS)*PERMANENT_HOURLY_RATE-MAX(0,($D172+O$5)-PERMANENT_FIELD_LABOR_HOURS)*TEMP_HOURLY_RATE-FIXED_SEASON_COST)</f>
        <v>24797.1714621489</v>
      </c>
      <c r="P172" s="53" t="n">
        <f aca="false">IF(OR($A172&gt;TOMATO_BED_CAP,$B172&gt;CARROT_BED_CAP,P$4&gt;MESCLUN_BED_CAP,$A172+$B172+P$4&gt;TOTAL_BEDS_AVAILABLE,($D172+P$5)&gt;TOTAL_LABOR_HOURS_CAP,MAX(0,($D172+P$5)-PERMANENT_FIELD_LABOR_HOURS)&gt;TEMP_HOURS_CAP),"",$C172+P$6-MIN(($D172+P$5),PERMANENT_FIELD_LABOR_HOURS)*PERMANENT_HOURLY_RATE-MAX(0,($D172+P$5)-PERMANENT_FIELD_LABOR_HOURS)*TEMP_HOURLY_RATE-FIXED_SEASON_COST)</f>
        <v>25634.3603820003</v>
      </c>
      <c r="Q172" s="53" t="n">
        <f aca="false">IF(OR($A172&gt;TOMATO_BED_CAP,$B172&gt;CARROT_BED_CAP,Q$4&gt;MESCLUN_BED_CAP,$A172+$B172+Q$4&gt;TOTAL_BEDS_AVAILABLE,($D172+Q$5)&gt;TOTAL_LABOR_HOURS_CAP,MAX(0,($D172+Q$5)-PERMANENT_FIELD_LABOR_HOURS)&gt;TEMP_HOURS_CAP),"",$C172+Q$6-MIN(($D172+Q$5),PERMANENT_FIELD_LABOR_HOURS)*PERMANENT_HOURLY_RATE-MAX(0,($D172+Q$5)-PERMANENT_FIELD_LABOR_HOURS)*TEMP_HOURLY_RATE-FIXED_SEASON_COST)</f>
        <v>26448.2075386982</v>
      </c>
      <c r="R172" s="53" t="n">
        <f aca="false">IF(OR($A172&gt;TOMATO_BED_CAP,$B172&gt;CARROT_BED_CAP,R$4&gt;MESCLUN_BED_CAP,$A172+$B172+R$4&gt;TOTAL_BEDS_AVAILABLE,($D172+R$5)&gt;TOTAL_LABOR_HOURS_CAP,MAX(0,($D172+R$5)-PERMANENT_FIELD_LABOR_HOURS)&gt;TEMP_HOURS_CAP),"",$C172+R$6-MIN(($D172+R$5),PERMANENT_FIELD_LABOR_HOURS)*PERMANENT_HOURLY_RATE-MAX(0,($D172+R$5)-PERMANENT_FIELD_LABOR_HOURS)*TEMP_HOURLY_RATE-FIXED_SEASON_COST)</f>
        <v>27238.282952395</v>
      </c>
      <c r="S172" s="53" t="n">
        <f aca="false">IF(OR($A172&gt;TOMATO_BED_CAP,$B172&gt;CARROT_BED_CAP,S$4&gt;MESCLUN_BED_CAP,$A172+$B172+S$4&gt;TOTAL_BEDS_AVAILABLE,($D172+S$5)&gt;TOTAL_LABOR_HOURS_CAP,MAX(0,($D172+S$5)-PERMANENT_FIELD_LABOR_HOURS)&gt;TEMP_HOURS_CAP),"",$C172+S$6-MIN(($D172+S$5),PERMANENT_FIELD_LABOR_HOURS)*PERMANENT_HOURLY_RATE-MAX(0,($D172+S$5)-PERMANENT_FIELD_LABOR_HOURS)*TEMP_HOURLY_RATE-FIXED_SEASON_COST)</f>
        <v>28004.1495408975</v>
      </c>
      <c r="T172" s="53" t="n">
        <f aca="false">IF(OR($A172&gt;TOMATO_BED_CAP,$B172&gt;CARROT_BED_CAP,T$4&gt;MESCLUN_BED_CAP,$A172+$B172+T$4&gt;TOTAL_BEDS_AVAILABLE,($D172+T$5)&gt;TOTAL_LABOR_HOURS_CAP,MAX(0,($D172+T$5)-PERMANENT_FIELD_LABOR_HOURS)&gt;TEMP_HOURS_CAP),"",$C172+T$6-MIN(($D172+T$5),PERMANENT_FIELD_LABOR_HOURS)*PERMANENT_HOURLY_RATE-MAX(0,($D172+T$5)-PERMANENT_FIELD_LABOR_HOURS)*TEMP_HOURLY_RATE-FIXED_SEASON_COST)</f>
        <v>28745.3630092923</v>
      </c>
      <c r="U172" s="53" t="n">
        <f aca="false">IF(OR($A172&gt;TOMATO_BED_CAP,$B172&gt;CARROT_BED_CAP,U$4&gt;MESCLUN_BED_CAP,$A172+$B172+U$4&gt;TOTAL_BEDS_AVAILABLE,($D172+U$5)&gt;TOTAL_LABOR_HOURS_CAP,MAX(0,($D172+U$5)-PERMANENT_FIELD_LABOR_HOURS)&gt;TEMP_HOURS_CAP),"",$C172+U$6-MIN(($D172+U$5),PERMANENT_FIELD_LABOR_HOURS)*PERMANENT_HOURLY_RATE-MAX(0,($D172+U$5)-PERMANENT_FIELD_LABOR_HOURS)*TEMP_HOURLY_RATE-FIXED_SEASON_COST)</f>
        <v>29461.4717379224</v>
      </c>
      <c r="V172" s="53" t="n">
        <f aca="false">IF(OR($A172&gt;TOMATO_BED_CAP,$B172&gt;CARROT_BED_CAP,V$4&gt;MESCLUN_BED_CAP,$A172+$B172+V$4&gt;TOTAL_BEDS_AVAILABLE,($D172+V$5)&gt;TOTAL_LABOR_HOURS_CAP,MAX(0,($D172+V$5)-PERMANENT_FIELD_LABOR_HOURS)&gt;TEMP_HOURS_CAP),"",$C172+V$6-MIN(($D172+V$5),PERMANENT_FIELD_LABOR_HOURS)*PERMANENT_HOURLY_RATE-MAX(0,($D172+V$5)-PERMANENT_FIELD_LABOR_HOURS)*TEMP_HOURLY_RATE-FIXED_SEASON_COST)</f>
        <v>30152.0166686892</v>
      </c>
      <c r="W172" s="53" t="n">
        <f aca="false">IF(OR($A172&gt;TOMATO_BED_CAP,$B172&gt;CARROT_BED_CAP,W$4&gt;MESCLUN_BED_CAP,$A172+$B172+W$4&gt;TOTAL_BEDS_AVAILABLE,($D172+W$5)&gt;TOTAL_LABOR_HOURS_CAP,MAX(0,($D172+W$5)-PERMANENT_FIELD_LABOR_HOURS)&gt;TEMP_HOURS_CAP),"",$C172+W$6-MIN(($D172+W$5),PERMANENT_FIELD_LABOR_HOURS)*PERMANENT_HOURLY_RATE-MAX(0,($D172+W$5)-PERMANENT_FIELD_LABOR_HOURS)*TEMP_HOURLY_RATE-FIXED_SEASON_COST)</f>
        <v>30816.5311896573</v>
      </c>
      <c r="X172" s="53" t="n">
        <f aca="false">IF(OR($A172&gt;TOMATO_BED_CAP,$B172&gt;CARROT_BED_CAP,X$4&gt;MESCLUN_BED_CAP,$A172+$B172+X$4&gt;TOTAL_BEDS_AVAILABLE,($D172+X$5)&gt;TOTAL_LABOR_HOURS_CAP,MAX(0,($D172+X$5)-PERMANENT_FIELD_LABOR_HOURS)&gt;TEMP_HOURS_CAP),"",$C172+X$6-MIN(($D172+X$5),PERMANENT_FIELD_LABOR_HOURS)*PERMANENT_HOURLY_RATE-MAX(0,($D172+X$5)-PERMANENT_FIELD_LABOR_HOURS)*TEMP_HOURLY_RATE-FIXED_SEASON_COST)</f>
        <v>31454.5410179362</v>
      </c>
      <c r="Y172" s="53" t="n">
        <f aca="false">IF(OR($A172&gt;TOMATO_BED_CAP,$B172&gt;CARROT_BED_CAP,Y$4&gt;MESCLUN_BED_CAP,$A172+$B172+Y$4&gt;TOTAL_BEDS_AVAILABLE,($D172+Y$5)&gt;TOTAL_LABOR_HOURS_CAP,MAX(0,($D172+Y$5)-PERMANENT_FIELD_LABOR_HOURS)&gt;TEMP_HOURS_CAP),"",$C172+Y$6-MIN(($D172+Y$5),PERMANENT_FIELD_LABOR_HOURS)*PERMANENT_HOURLY_RATE-MAX(0,($D172+Y$5)-PERMANENT_FIELD_LABOR_HOURS)*TEMP_HOURLY_RATE-FIXED_SEASON_COST)</f>
        <v>32065.5640808149</v>
      </c>
      <c r="Z172" s="53" t="n">
        <f aca="false">IF(OR($A172&gt;TOMATO_BED_CAP,$B172&gt;CARROT_BED_CAP,Z$4&gt;MESCLUN_BED_CAP,$A172+$B172+Z$4&gt;TOTAL_BEDS_AVAILABLE,($D172+Z$5)&gt;TOTAL_LABOR_HOURS_CAP,MAX(0,($D172+Z$5)-PERMANENT_FIELD_LABOR_HOURS)&gt;TEMP_HOURS_CAP),"",$C172+Z$6-MIN(($D172+Z$5),PERMANENT_FIELD_LABOR_HOURS)*PERMANENT_HOURLY_RATE-MAX(0,($D172+Z$5)-PERMANENT_FIELD_LABOR_HOURS)*TEMP_HOURLY_RATE-FIXED_SEASON_COST)</f>
        <v>32649.1103951226</v>
      </c>
      <c r="AA172" s="53" t="n">
        <f aca="false">IF(OR($A172&gt;TOMATO_BED_CAP,$B172&gt;CARROT_BED_CAP,AA$4&gt;MESCLUN_BED_CAP,$A172+$B172+AA$4&gt;TOTAL_BEDS_AVAILABLE,($D172+AA$5)&gt;TOTAL_LABOR_HOURS_CAP,MAX(0,($D172+AA$5)-PERMANENT_FIELD_LABOR_HOURS)&gt;TEMP_HOURS_CAP),"",$C172+AA$6-MIN(($D172+AA$5),PERMANENT_FIELD_LABOR_HOURS)*PERMANENT_HOURLY_RATE-MAX(0,($D172+AA$5)-PERMANENT_FIELD_LABOR_HOURS)*TEMP_HOURLY_RATE-FIXED_SEASON_COST)</f>
        <v>33204.6819447915</v>
      </c>
      <c r="AB172" s="53" t="n">
        <f aca="false">IF(OR($A172&gt;TOMATO_BED_CAP,$B172&gt;CARROT_BED_CAP,AB$4&gt;MESCLUN_BED_CAP,$A172+$B172+AB$4&gt;TOTAL_BEDS_AVAILABLE,($D172+AB$5)&gt;TOTAL_LABOR_HOURS_CAP,MAX(0,($D172+AB$5)-PERMANENT_FIELD_LABOR_HOURS)&gt;TEMP_HOURS_CAP),"",$C172+AB$6-MIN(($D172+AB$5),PERMANENT_FIELD_LABOR_HOURS)*PERMANENT_HOURLY_RATE-MAX(0,($D172+AB$5)-PERMANENT_FIELD_LABOR_HOURS)*TEMP_HOURLY_RATE-FIXED_SEASON_COST)</f>
        <v>33731.7725565941</v>
      </c>
      <c r="AC172" s="53" t="n">
        <f aca="false">IF(OR($A172&gt;TOMATO_BED_CAP,$B172&gt;CARROT_BED_CAP,AC$4&gt;MESCLUN_BED_CAP,$A172+$B172+AC$4&gt;TOTAL_BEDS_AVAILABLE,($D172+AC$5)&gt;TOTAL_LABOR_HOURS_CAP,MAX(0,($D172+AC$5)-PERMANENT_FIELD_LABOR_HOURS)&gt;TEMP_HOURS_CAP),"",$C172+AC$6-MIN(($D172+AC$5),PERMANENT_FIELD_LABOR_HOURS)*PERMANENT_HOURLY_RATE-MAX(0,($D172+AC$5)-PERMANENT_FIELD_LABOR_HOURS)*TEMP_HOURLY_RATE-FIXED_SEASON_COST)</f>
        <v>34229.867774029</v>
      </c>
      <c r="AD172" s="53" t="n">
        <f aca="false">IF(OR($A172&gt;TOMATO_BED_CAP,$B172&gt;CARROT_BED_CAP,AD$4&gt;MESCLUN_BED_CAP,$A172+$B172+AD$4&gt;TOTAL_BEDS_AVAILABLE,($D172+AD$5)&gt;TOTAL_LABOR_HOURS_CAP,MAX(0,($D172+AD$5)-PERMANENT_FIELD_LABOR_HOURS)&gt;TEMP_HOURS_CAP),"",$C172+AD$6-MIN(($D172+AD$5),PERMANENT_FIELD_LABOR_HOURS)*PERMANENT_HOURLY_RATE-MAX(0,($D172+AD$5)-PERMANENT_FIELD_LABOR_HOURS)*TEMP_HOURLY_RATE-FIXED_SEASON_COST)</f>
        <v>34698.4447293289</v>
      </c>
      <c r="AE172" s="53" t="n">
        <f aca="false">IF(OR($A172&gt;TOMATO_BED_CAP,$B172&gt;CARROT_BED_CAP,AE$4&gt;MESCLUN_BED_CAP,$A172+$B172+AE$4&gt;TOTAL_BEDS_AVAILABLE,($D172+AE$5)&gt;TOTAL_LABOR_HOURS_CAP,MAX(0,($D172+AE$5)-PERMANENT_FIELD_LABOR_HOURS)&gt;TEMP_HOURS_CAP),"",$C172+AE$6-MIN(($D172+AE$5),PERMANENT_FIELD_LABOR_HOURS)*PERMANENT_HOURLY_RATE-MAX(0,($D172+AE$5)-PERMANENT_FIELD_LABOR_HOURS)*TEMP_HOURLY_RATE-FIXED_SEASON_COST)</f>
        <v>35136.9720135628</v>
      </c>
      <c r="AF172" s="53" t="n">
        <f aca="false">IF(OR($A172&gt;TOMATO_BED_CAP,$B172&gt;CARROT_BED_CAP,AF$4&gt;MESCLUN_BED_CAP,$A172+$B172+AF$4&gt;TOTAL_BEDS_AVAILABLE,($D172+AF$5)&gt;TOTAL_LABOR_HOURS_CAP,MAX(0,($D172+AF$5)-PERMANENT_FIELD_LABOR_HOURS)&gt;TEMP_HOURS_CAP),"",$C172+AF$6-MIN(($D172+AF$5),PERMANENT_FIELD_LABOR_HOURS)*PERMANENT_HOURLY_RATE-MAX(0,($D172+AF$5)-PERMANENT_FIELD_LABOR_HOURS)*TEMP_HOURLY_RATE-FIXED_SEASON_COST)</f>
        <v>35544.9095448048</v>
      </c>
      <c r="AG172" s="53" t="n">
        <f aca="false">IF(OR($A172&gt;TOMATO_BED_CAP,$B172&gt;CARROT_BED_CAP,AG$4&gt;MESCLUN_BED_CAP,$A172+$B172+AG$4&gt;TOTAL_BEDS_AVAILABLE,($D172+AG$5)&gt;TOTAL_LABOR_HOURS_CAP,MAX(0,($D172+AG$5)-PERMANENT_FIELD_LABOR_HOURS)&gt;TEMP_HOURS_CAP),"",$C172+AG$6-MIN(($D172+AG$5),PERMANENT_FIELD_LABOR_HOURS)*PERMANENT_HOURLY_RATE-MAX(0,($D172+AG$5)-PERMANENT_FIELD_LABOR_HOURS)*TEMP_HOURLY_RATE-FIXED_SEASON_COST)</f>
        <v>35921.7084343418</v>
      </c>
      <c r="AH172" s="53" t="n">
        <f aca="false">IF(OR($A172&gt;TOMATO_BED_CAP,$B172&gt;CARROT_BED_CAP,AH$4&gt;MESCLUN_BED_CAP,$A172+$B172+AH$4&gt;TOTAL_BEDS_AVAILABLE,($D172+AH$5)&gt;TOTAL_LABOR_HOURS_CAP,MAX(0,($D172+AH$5)-PERMANENT_FIELD_LABOR_HOURS)&gt;TEMP_HOURS_CAP),"",$C172+AH$6-MIN(($D172+AH$5),PERMANENT_FIELD_LABOR_HOURS)*PERMANENT_HOURLY_RATE-MAX(0,($D172+AH$5)-PERMANENT_FIELD_LABOR_HOURS)*TEMP_HOURLY_RATE-FIXED_SEASON_COST)</f>
        <v>36266.810850892</v>
      </c>
      <c r="AI172" s="53" t="n">
        <f aca="false">IF(OR($A172&gt;TOMATO_BED_CAP,$B172&gt;CARROT_BED_CAP,AI$4&gt;MESCLUN_BED_CAP,$A172+$B172+AI$4&gt;TOTAL_BEDS_AVAILABLE,($D172+AI$5)&gt;TOTAL_LABOR_HOURS_CAP,MAX(0,($D172+AI$5)-PERMANENT_FIELD_LABOR_HOURS)&gt;TEMP_HOURS_CAP),"",$C172+AI$6-MIN(($D172+AI$5),PERMANENT_FIELD_LABOR_HOURS)*PERMANENT_HOURLY_RATE-MAX(0,($D172+AI$5)-PERMANENT_FIELD_LABOR_HOURS)*TEMP_HOURLY_RATE-FIXED_SEASON_COST)</f>
        <v>36579.6498828043</v>
      </c>
      <c r="AJ172" s="53" t="n">
        <f aca="false">IF(OR($A172&gt;TOMATO_BED_CAP,$B172&gt;CARROT_BED_CAP,AJ$4&gt;MESCLUN_BED_CAP,$A172+$B172+AJ$4&gt;TOTAL_BEDS_AVAILABLE,($D172+AJ$5)&gt;TOTAL_LABOR_HOURS_CAP,MAX(0,($D172+AJ$5)-PERMANENT_FIELD_LABOR_HOURS)&gt;TEMP_HOURS_CAP),"",$C172+AJ$6-MIN(($D172+AJ$5),PERMANENT_FIELD_LABOR_HOURS)*PERMANENT_HOURLY_RATE-MAX(0,($D172+AJ$5)-PERMANENT_FIELD_LABOR_HOURS)*TEMP_HOURLY_RATE-FIXED_SEASON_COST)</f>
        <v>36859.64939821</v>
      </c>
    </row>
    <row r="173" customFormat="false" ht="15" hidden="false" customHeight="false" outlineLevel="0" collapsed="false">
      <c r="A173" s="21" t="n">
        <f aca="false">INT((ROW()-ROW($A$8))/(20+1))</f>
        <v>7</v>
      </c>
      <c r="B173" s="21" t="n">
        <f aca="false">MOD(ROW()-ROW($A$8),20+1)</f>
        <v>18</v>
      </c>
      <c r="C173" s="13" t="n">
        <f aca="false">A173*(TOMATO_REVENUE_PER_BED-TOMATO_FERTILIZER_PER_BED)+B173*(CARROT_REVENUE_PER_BED-CARROT_FERTILIZER_PER_BED)</f>
        <v>85212</v>
      </c>
      <c r="D173" s="14" t="n">
        <f aca="false">INDEX(TOMATO_SCHED_LABOR_HRS,A173+1)+INDEX(CARROT_SCHED_LABOR_HRS,B173+1)</f>
        <v>2069.57059427849</v>
      </c>
      <c r="E173" s="13" t="n">
        <f aca="false">IF(COUNT(F173:AJ173)=0,"",MAX(F173:AJ173))</f>
        <v>37365.043778198</v>
      </c>
      <c r="F173" s="53" t="n">
        <f aca="false">IF(OR($A173&gt;TOMATO_BED_CAP,$B173&gt;CARROT_BED_CAP,F$4&gt;MESCLUN_BED_CAP,$A173+$B173+F$4&gt;TOTAL_BEDS_AVAILABLE,($D173+F$5)&gt;TOTAL_LABOR_HOURS_CAP,MAX(0,($D173+F$5)-PERMANENT_FIELD_LABOR_HOURS)&gt;TEMP_HOURS_CAP),"",$C173+F$6-MIN(($D173+F$5),PERMANENT_FIELD_LABOR_HOURS)*PERMANENT_HOURLY_RATE-MAX(0,($D173+F$5)-PERMANENT_FIELD_LABOR_HOURS)*TEMP_HOURLY_RATE-FIXED_SEASON_COST)</f>
        <v>16785.0544833255</v>
      </c>
      <c r="G173" s="53" t="n">
        <f aca="false">IF(OR($A173&gt;TOMATO_BED_CAP,$B173&gt;CARROT_BED_CAP,G$4&gt;MESCLUN_BED_CAP,$A173+$B173+G$4&gt;TOTAL_BEDS_AVAILABLE,($D173+G$5)&gt;TOTAL_LABOR_HOURS_CAP,MAX(0,($D173+G$5)-PERMANENT_FIELD_LABOR_HOURS)&gt;TEMP_HOURS_CAP),"",$C173+G$6-MIN(($D173+G$5),PERMANENT_FIELD_LABOR_HOURS)*PERMANENT_HOURLY_RATE-MAX(0,($D173+G$5)-PERMANENT_FIELD_LABOR_HOURS)*TEMP_HOURLY_RATE-FIXED_SEASON_COST)</f>
        <v>17814.0894833255</v>
      </c>
      <c r="H173" s="53" t="n">
        <f aca="false">IF(OR($A173&gt;TOMATO_BED_CAP,$B173&gt;CARROT_BED_CAP,H$4&gt;MESCLUN_BED_CAP,$A173+$B173+H$4&gt;TOTAL_BEDS_AVAILABLE,($D173+H$5)&gt;TOTAL_LABOR_HOURS_CAP,MAX(0,($D173+H$5)-PERMANENT_FIELD_LABOR_HOURS)&gt;TEMP_HOURS_CAP),"",$C173+H$6-MIN(($D173+H$5),PERMANENT_FIELD_LABOR_HOURS)*PERMANENT_HOURLY_RATE-MAX(0,($D173+H$5)-PERMANENT_FIELD_LABOR_HOURS)*TEMP_HOURLY_RATE-FIXED_SEASON_COST)</f>
        <v>18823.3503583255</v>
      </c>
      <c r="I173" s="53" t="n">
        <f aca="false">IF(OR($A173&gt;TOMATO_BED_CAP,$B173&gt;CARROT_BED_CAP,I$4&gt;MESCLUN_BED_CAP,$A173+$B173+I$4&gt;TOTAL_BEDS_AVAILABLE,($D173+I$5)&gt;TOTAL_LABOR_HOURS_CAP,MAX(0,($D173+I$5)-PERMANENT_FIELD_LABOR_HOURS)&gt;TEMP_HOURS_CAP),"",$C173+I$6-MIN(($D173+I$5),PERMANENT_FIELD_LABOR_HOURS)*PERMANENT_HOURLY_RATE-MAX(0,($D173+I$5)-PERMANENT_FIELD_LABOR_HOURS)*TEMP_HOURLY_RATE-FIXED_SEASON_COST)</f>
        <v>19812.4663434817</v>
      </c>
      <c r="J173" s="53" t="n">
        <f aca="false">IF(OR($A173&gt;TOMATO_BED_CAP,$B173&gt;CARROT_BED_CAP,J$4&gt;MESCLUN_BED_CAP,$A173+$B173+J$4&gt;TOTAL_BEDS_AVAILABLE,($D173+J$5)&gt;TOTAL_LABOR_HOURS_CAP,MAX(0,($D173+J$5)-PERMANENT_FIELD_LABOR_HOURS)&gt;TEMP_HOURS_CAP),"",$C173+J$6-MIN(($D173+J$5),PERMANENT_FIELD_LABOR_HOURS)*PERMANENT_HOURLY_RATE-MAX(0,($D173+J$5)-PERMANENT_FIELD_LABOR_HOURS)*TEMP_HOURLY_RATE-FIXED_SEASON_COST)</f>
        <v>20781.0604945364</v>
      </c>
      <c r="K173" s="53" t="n">
        <f aca="false">IF(OR($A173&gt;TOMATO_BED_CAP,$B173&gt;CARROT_BED_CAP,K$4&gt;MESCLUN_BED_CAP,$A173+$B173+K$4&gt;TOTAL_BEDS_AVAILABLE,($D173+K$5)&gt;TOTAL_LABOR_HOURS_CAP,MAX(0,($D173+K$5)-PERMANENT_FIELD_LABOR_HOURS)&gt;TEMP_HOURS_CAP),"",$C173+K$6-MIN(($D173+K$5),PERMANENT_FIELD_LABOR_HOURS)*PERMANENT_HOURLY_RATE-MAX(0,($D173+K$5)-PERMANENT_FIELD_LABOR_HOURS)*TEMP_HOURLY_RATE-FIXED_SEASON_COST)</f>
        <v>21728.7495912643</v>
      </c>
      <c r="L173" s="53" t="n">
        <f aca="false">IF(OR($A173&gt;TOMATO_BED_CAP,$B173&gt;CARROT_BED_CAP,L$4&gt;MESCLUN_BED_CAP,$A173+$B173+L$4&gt;TOTAL_BEDS_AVAILABLE,($D173+L$5)&gt;TOTAL_LABOR_HOURS_CAP,MAX(0,($D173+L$5)-PERMANENT_FIELD_LABOR_HOURS)&gt;TEMP_HOURS_CAP),"",$C173+L$6-MIN(($D173+L$5),PERMANENT_FIELD_LABOR_HOURS)*PERMANENT_HOURLY_RATE-MAX(0,($D173+L$5)-PERMANENT_FIELD_LABOR_HOURS)*TEMP_HOURLY_RATE-FIXED_SEASON_COST)</f>
        <v>22655.1440394712</v>
      </c>
      <c r="M173" s="53" t="n">
        <f aca="false">IF(OR($A173&gt;TOMATO_BED_CAP,$B173&gt;CARROT_BED_CAP,M$4&gt;MESCLUN_BED_CAP,$A173+$B173+M$4&gt;TOTAL_BEDS_AVAILABLE,($D173+M$5)&gt;TOTAL_LABOR_HOURS_CAP,MAX(0,($D173+M$5)-PERMANENT_FIELD_LABOR_HOURS)&gt;TEMP_HOURS_CAP),"",$C173+M$6-MIN(($D173+M$5),PERMANENT_FIELD_LABOR_HOURS)*PERMANENT_HOURLY_RATE-MAX(0,($D173+M$5)-PERMANENT_FIELD_LABOR_HOURS)*TEMP_HOURLY_RATE-FIXED_SEASON_COST)</f>
        <v>23559.8477715226</v>
      </c>
      <c r="N173" s="53" t="n">
        <f aca="false">IF(OR($A173&gt;TOMATO_BED_CAP,$B173&gt;CARROT_BED_CAP,N$4&gt;MESCLUN_BED_CAP,$A173+$B173+N$4&gt;TOTAL_BEDS_AVAILABLE,($D173+N$5)&gt;TOTAL_LABOR_HOURS_CAP,MAX(0,($D173+N$5)-PERMANENT_FIELD_LABOR_HOURS)&gt;TEMP_HOURS_CAP),"",$C173+N$6-MIN(($D173+N$5),PERMANENT_FIELD_LABOR_HOURS)*PERMANENT_HOURLY_RATE-MAX(0,($D173+N$5)-PERMANENT_FIELD_LABOR_HOURS)*TEMP_HOURLY_RATE-FIXED_SEASON_COST)</f>
        <v>24442.4581453821</v>
      </c>
      <c r="O173" s="53" t="n">
        <f aca="false">IF(OR($A173&gt;TOMATO_BED_CAP,$B173&gt;CARROT_BED_CAP,O$4&gt;MESCLUN_BED_CAP,$A173+$B173+O$4&gt;TOTAL_BEDS_AVAILABLE,($D173+O$5)&gt;TOTAL_LABOR_HOURS_CAP,MAX(0,($D173+O$5)-PERMANENT_FIELD_LABOR_HOURS)&gt;TEMP_HOURS_CAP),"",$C173+O$6-MIN(($D173+O$5),PERMANENT_FIELD_LABOR_HOURS)*PERMANENT_HOURLY_RATE-MAX(0,($D173+O$5)-PERMANENT_FIELD_LABOR_HOURS)*TEMP_HOURLY_RATE-FIXED_SEASON_COST)</f>
        <v>25302.5658421369</v>
      </c>
      <c r="P173" s="53" t="n">
        <f aca="false">IF(OR($A173&gt;TOMATO_BED_CAP,$B173&gt;CARROT_BED_CAP,P$4&gt;MESCLUN_BED_CAP,$A173+$B173+P$4&gt;TOTAL_BEDS_AVAILABLE,($D173+P$5)&gt;TOTAL_LABOR_HOURS_CAP,MAX(0,($D173+P$5)-PERMANENT_FIELD_LABOR_HOURS)&gt;TEMP_HOURS_CAP),"",$C173+P$6-MIN(($D173+P$5),PERMANENT_FIELD_LABOR_HOURS)*PERMANENT_HOURLY_RATE-MAX(0,($D173+P$5)-PERMANENT_FIELD_LABOR_HOURS)*TEMP_HOURLY_RATE-FIXED_SEASON_COST)</f>
        <v>26139.7547619883</v>
      </c>
      <c r="Q173" s="53" t="n">
        <f aca="false">IF(OR($A173&gt;TOMATO_BED_CAP,$B173&gt;CARROT_BED_CAP,Q$4&gt;MESCLUN_BED_CAP,$A173+$B173+Q$4&gt;TOTAL_BEDS_AVAILABLE,($D173+Q$5)&gt;TOTAL_LABOR_HOURS_CAP,MAX(0,($D173+Q$5)-PERMANENT_FIELD_LABOR_HOURS)&gt;TEMP_HOURS_CAP),"",$C173+Q$6-MIN(($D173+Q$5),PERMANENT_FIELD_LABOR_HOURS)*PERMANENT_HOURLY_RATE-MAX(0,($D173+Q$5)-PERMANENT_FIELD_LABOR_HOURS)*TEMP_HOURLY_RATE-FIXED_SEASON_COST)</f>
        <v>26953.6019186862</v>
      </c>
      <c r="R173" s="53" t="n">
        <f aca="false">IF(OR($A173&gt;TOMATO_BED_CAP,$B173&gt;CARROT_BED_CAP,R$4&gt;MESCLUN_BED_CAP,$A173+$B173+R$4&gt;TOTAL_BEDS_AVAILABLE,($D173+R$5)&gt;TOTAL_LABOR_HOURS_CAP,MAX(0,($D173+R$5)-PERMANENT_FIELD_LABOR_HOURS)&gt;TEMP_HOURS_CAP),"",$C173+R$6-MIN(($D173+R$5),PERMANENT_FIELD_LABOR_HOURS)*PERMANENT_HOURLY_RATE-MAX(0,($D173+R$5)-PERMANENT_FIELD_LABOR_HOURS)*TEMP_HOURLY_RATE-FIXED_SEASON_COST)</f>
        <v>27743.677332383</v>
      </c>
      <c r="S173" s="53" t="n">
        <f aca="false">IF(OR($A173&gt;TOMATO_BED_CAP,$B173&gt;CARROT_BED_CAP,S$4&gt;MESCLUN_BED_CAP,$A173+$B173+S$4&gt;TOTAL_BEDS_AVAILABLE,($D173+S$5)&gt;TOTAL_LABOR_HOURS_CAP,MAX(0,($D173+S$5)-PERMANENT_FIELD_LABOR_HOURS)&gt;TEMP_HOURS_CAP),"",$C173+S$6-MIN(($D173+S$5),PERMANENT_FIELD_LABOR_HOURS)*PERMANENT_HOURLY_RATE-MAX(0,($D173+S$5)-PERMANENT_FIELD_LABOR_HOURS)*TEMP_HOURLY_RATE-FIXED_SEASON_COST)</f>
        <v>28509.5439208854</v>
      </c>
      <c r="T173" s="53" t="n">
        <f aca="false">IF(OR($A173&gt;TOMATO_BED_CAP,$B173&gt;CARROT_BED_CAP,T$4&gt;MESCLUN_BED_CAP,$A173+$B173+T$4&gt;TOTAL_BEDS_AVAILABLE,($D173+T$5)&gt;TOTAL_LABOR_HOURS_CAP,MAX(0,($D173+T$5)-PERMANENT_FIELD_LABOR_HOURS)&gt;TEMP_HOURS_CAP),"",$C173+T$6-MIN(($D173+T$5),PERMANENT_FIELD_LABOR_HOURS)*PERMANENT_HOURLY_RATE-MAX(0,($D173+T$5)-PERMANENT_FIELD_LABOR_HOURS)*TEMP_HOURLY_RATE-FIXED_SEASON_COST)</f>
        <v>29250.7573892803</v>
      </c>
      <c r="U173" s="53" t="n">
        <f aca="false">IF(OR($A173&gt;TOMATO_BED_CAP,$B173&gt;CARROT_BED_CAP,U$4&gt;MESCLUN_BED_CAP,$A173+$B173+U$4&gt;TOTAL_BEDS_AVAILABLE,($D173+U$5)&gt;TOTAL_LABOR_HOURS_CAP,MAX(0,($D173+U$5)-PERMANENT_FIELD_LABOR_HOURS)&gt;TEMP_HOURS_CAP),"",$C173+U$6-MIN(($D173+U$5),PERMANENT_FIELD_LABOR_HOURS)*PERMANENT_HOURLY_RATE-MAX(0,($D173+U$5)-PERMANENT_FIELD_LABOR_HOURS)*TEMP_HOURLY_RATE-FIXED_SEASON_COST)</f>
        <v>29966.8661179104</v>
      </c>
      <c r="V173" s="53" t="n">
        <f aca="false">IF(OR($A173&gt;TOMATO_BED_CAP,$B173&gt;CARROT_BED_CAP,V$4&gt;MESCLUN_BED_CAP,$A173+$B173+V$4&gt;TOTAL_BEDS_AVAILABLE,($D173+V$5)&gt;TOTAL_LABOR_HOURS_CAP,MAX(0,($D173+V$5)-PERMANENT_FIELD_LABOR_HOURS)&gt;TEMP_HOURS_CAP),"",$C173+V$6-MIN(($D173+V$5),PERMANENT_FIELD_LABOR_HOURS)*PERMANENT_HOURLY_RATE-MAX(0,($D173+V$5)-PERMANENT_FIELD_LABOR_HOURS)*TEMP_HOURLY_RATE-FIXED_SEASON_COST)</f>
        <v>30657.4110486772</v>
      </c>
      <c r="W173" s="53" t="n">
        <f aca="false">IF(OR($A173&gt;TOMATO_BED_CAP,$B173&gt;CARROT_BED_CAP,W$4&gt;MESCLUN_BED_CAP,$A173+$B173+W$4&gt;TOTAL_BEDS_AVAILABLE,($D173+W$5)&gt;TOTAL_LABOR_HOURS_CAP,MAX(0,($D173+W$5)-PERMANENT_FIELD_LABOR_HOURS)&gt;TEMP_HOURS_CAP),"",$C173+W$6-MIN(($D173+W$5),PERMANENT_FIELD_LABOR_HOURS)*PERMANENT_HOURLY_RATE-MAX(0,($D173+W$5)-PERMANENT_FIELD_LABOR_HOURS)*TEMP_HOURLY_RATE-FIXED_SEASON_COST)</f>
        <v>31321.9255696452</v>
      </c>
      <c r="X173" s="53" t="n">
        <f aca="false">IF(OR($A173&gt;TOMATO_BED_CAP,$B173&gt;CARROT_BED_CAP,X$4&gt;MESCLUN_BED_CAP,$A173+$B173+X$4&gt;TOTAL_BEDS_AVAILABLE,($D173+X$5)&gt;TOTAL_LABOR_HOURS_CAP,MAX(0,($D173+X$5)-PERMANENT_FIELD_LABOR_HOURS)&gt;TEMP_HOURS_CAP),"",$C173+X$6-MIN(($D173+X$5),PERMANENT_FIELD_LABOR_HOURS)*PERMANENT_HOURLY_RATE-MAX(0,($D173+X$5)-PERMANENT_FIELD_LABOR_HOURS)*TEMP_HOURLY_RATE-FIXED_SEASON_COST)</f>
        <v>31959.9353979242</v>
      </c>
      <c r="Y173" s="53" t="n">
        <f aca="false">IF(OR($A173&gt;TOMATO_BED_CAP,$B173&gt;CARROT_BED_CAP,Y$4&gt;MESCLUN_BED_CAP,$A173+$B173+Y$4&gt;TOTAL_BEDS_AVAILABLE,($D173+Y$5)&gt;TOTAL_LABOR_HOURS_CAP,MAX(0,($D173+Y$5)-PERMANENT_FIELD_LABOR_HOURS)&gt;TEMP_HOURS_CAP),"",$C173+Y$6-MIN(($D173+Y$5),PERMANENT_FIELD_LABOR_HOURS)*PERMANENT_HOURLY_RATE-MAX(0,($D173+Y$5)-PERMANENT_FIELD_LABOR_HOURS)*TEMP_HOURLY_RATE-FIXED_SEASON_COST)</f>
        <v>32570.9584608028</v>
      </c>
      <c r="Z173" s="53" t="n">
        <f aca="false">IF(OR($A173&gt;TOMATO_BED_CAP,$B173&gt;CARROT_BED_CAP,Z$4&gt;MESCLUN_BED_CAP,$A173+$B173+Z$4&gt;TOTAL_BEDS_AVAILABLE,($D173+Z$5)&gt;TOTAL_LABOR_HOURS_CAP,MAX(0,($D173+Z$5)-PERMANENT_FIELD_LABOR_HOURS)&gt;TEMP_HOURS_CAP),"",$C173+Z$6-MIN(($D173+Z$5),PERMANENT_FIELD_LABOR_HOURS)*PERMANENT_HOURLY_RATE-MAX(0,($D173+Z$5)-PERMANENT_FIELD_LABOR_HOURS)*TEMP_HOURLY_RATE-FIXED_SEASON_COST)</f>
        <v>33154.5047751105</v>
      </c>
      <c r="AA173" s="53" t="n">
        <f aca="false">IF(OR($A173&gt;TOMATO_BED_CAP,$B173&gt;CARROT_BED_CAP,AA$4&gt;MESCLUN_BED_CAP,$A173+$B173+AA$4&gt;TOTAL_BEDS_AVAILABLE,($D173+AA$5)&gt;TOTAL_LABOR_HOURS_CAP,MAX(0,($D173+AA$5)-PERMANENT_FIELD_LABOR_HOURS)&gt;TEMP_HOURS_CAP),"",$C173+AA$6-MIN(($D173+AA$5),PERMANENT_FIELD_LABOR_HOURS)*PERMANENT_HOURLY_RATE-MAX(0,($D173+AA$5)-PERMANENT_FIELD_LABOR_HOURS)*TEMP_HOURLY_RATE-FIXED_SEASON_COST)</f>
        <v>33710.0763247795</v>
      </c>
      <c r="AB173" s="53" t="n">
        <f aca="false">IF(OR($A173&gt;TOMATO_BED_CAP,$B173&gt;CARROT_BED_CAP,AB$4&gt;MESCLUN_BED_CAP,$A173+$B173+AB$4&gt;TOTAL_BEDS_AVAILABLE,($D173+AB$5)&gt;TOTAL_LABOR_HOURS_CAP,MAX(0,($D173+AB$5)-PERMANENT_FIELD_LABOR_HOURS)&gt;TEMP_HOURS_CAP),"",$C173+AB$6-MIN(($D173+AB$5),PERMANENT_FIELD_LABOR_HOURS)*PERMANENT_HOURLY_RATE-MAX(0,($D173+AB$5)-PERMANENT_FIELD_LABOR_HOURS)*TEMP_HOURLY_RATE-FIXED_SEASON_COST)</f>
        <v>34237.166936582</v>
      </c>
      <c r="AC173" s="53" t="n">
        <f aca="false">IF(OR($A173&gt;TOMATO_BED_CAP,$B173&gt;CARROT_BED_CAP,AC$4&gt;MESCLUN_BED_CAP,$A173+$B173+AC$4&gt;TOTAL_BEDS_AVAILABLE,($D173+AC$5)&gt;TOTAL_LABOR_HOURS_CAP,MAX(0,($D173+AC$5)-PERMANENT_FIELD_LABOR_HOURS)&gt;TEMP_HOURS_CAP),"",$C173+AC$6-MIN(($D173+AC$5),PERMANENT_FIELD_LABOR_HOURS)*PERMANENT_HOURLY_RATE-MAX(0,($D173+AC$5)-PERMANENT_FIELD_LABOR_HOURS)*TEMP_HOURLY_RATE-FIXED_SEASON_COST)</f>
        <v>34735.262154017</v>
      </c>
      <c r="AD173" s="53" t="n">
        <f aca="false">IF(OR($A173&gt;TOMATO_BED_CAP,$B173&gt;CARROT_BED_CAP,AD$4&gt;MESCLUN_BED_CAP,$A173+$B173+AD$4&gt;TOTAL_BEDS_AVAILABLE,($D173+AD$5)&gt;TOTAL_LABOR_HOURS_CAP,MAX(0,($D173+AD$5)-PERMANENT_FIELD_LABOR_HOURS)&gt;TEMP_HOURS_CAP),"",$C173+AD$6-MIN(($D173+AD$5),PERMANENT_FIELD_LABOR_HOURS)*PERMANENT_HOURLY_RATE-MAX(0,($D173+AD$5)-PERMANENT_FIELD_LABOR_HOURS)*TEMP_HOURLY_RATE-FIXED_SEASON_COST)</f>
        <v>35203.8391093169</v>
      </c>
      <c r="AE173" s="53" t="n">
        <f aca="false">IF(OR($A173&gt;TOMATO_BED_CAP,$B173&gt;CARROT_BED_CAP,AE$4&gt;MESCLUN_BED_CAP,$A173+$B173+AE$4&gt;TOTAL_BEDS_AVAILABLE,($D173+AE$5)&gt;TOTAL_LABOR_HOURS_CAP,MAX(0,($D173+AE$5)-PERMANENT_FIELD_LABOR_HOURS)&gt;TEMP_HOURS_CAP),"",$C173+AE$6-MIN(($D173+AE$5),PERMANENT_FIELD_LABOR_HOURS)*PERMANENT_HOURLY_RATE-MAX(0,($D173+AE$5)-PERMANENT_FIELD_LABOR_HOURS)*TEMP_HOURLY_RATE-FIXED_SEASON_COST)</f>
        <v>35642.3663935508</v>
      </c>
      <c r="AF173" s="53" t="n">
        <f aca="false">IF(OR($A173&gt;TOMATO_BED_CAP,$B173&gt;CARROT_BED_CAP,AF$4&gt;MESCLUN_BED_CAP,$A173+$B173+AF$4&gt;TOTAL_BEDS_AVAILABLE,($D173+AF$5)&gt;TOTAL_LABOR_HOURS_CAP,MAX(0,($D173+AF$5)-PERMANENT_FIELD_LABOR_HOURS)&gt;TEMP_HOURS_CAP),"",$C173+AF$6-MIN(($D173+AF$5),PERMANENT_FIELD_LABOR_HOURS)*PERMANENT_HOURLY_RATE-MAX(0,($D173+AF$5)-PERMANENT_FIELD_LABOR_HOURS)*TEMP_HOURLY_RATE-FIXED_SEASON_COST)</f>
        <v>36050.3039247928</v>
      </c>
      <c r="AG173" s="53" t="n">
        <f aca="false">IF(OR($A173&gt;TOMATO_BED_CAP,$B173&gt;CARROT_BED_CAP,AG$4&gt;MESCLUN_BED_CAP,$A173+$B173+AG$4&gt;TOTAL_BEDS_AVAILABLE,($D173+AG$5)&gt;TOTAL_LABOR_HOURS_CAP,MAX(0,($D173+AG$5)-PERMANENT_FIELD_LABOR_HOURS)&gt;TEMP_HOURS_CAP),"",$C173+AG$6-MIN(($D173+AG$5),PERMANENT_FIELD_LABOR_HOURS)*PERMANENT_HOURLY_RATE-MAX(0,($D173+AG$5)-PERMANENT_FIELD_LABOR_HOURS)*TEMP_HOURLY_RATE-FIXED_SEASON_COST)</f>
        <v>36427.1028143298</v>
      </c>
      <c r="AH173" s="53" t="n">
        <f aca="false">IF(OR($A173&gt;TOMATO_BED_CAP,$B173&gt;CARROT_BED_CAP,AH$4&gt;MESCLUN_BED_CAP,$A173+$B173+AH$4&gt;TOTAL_BEDS_AVAILABLE,($D173+AH$5)&gt;TOTAL_LABOR_HOURS_CAP,MAX(0,($D173+AH$5)-PERMANENT_FIELD_LABOR_HOURS)&gt;TEMP_HOURS_CAP),"",$C173+AH$6-MIN(($D173+AH$5),PERMANENT_FIELD_LABOR_HOURS)*PERMANENT_HOURLY_RATE-MAX(0,($D173+AH$5)-PERMANENT_FIELD_LABOR_HOURS)*TEMP_HOURLY_RATE-FIXED_SEASON_COST)</f>
        <v>36772.20523088</v>
      </c>
      <c r="AI173" s="53" t="n">
        <f aca="false">IF(OR($A173&gt;TOMATO_BED_CAP,$B173&gt;CARROT_BED_CAP,AI$4&gt;MESCLUN_BED_CAP,$A173+$B173+AI$4&gt;TOTAL_BEDS_AVAILABLE,($D173+AI$5)&gt;TOTAL_LABOR_HOURS_CAP,MAX(0,($D173+AI$5)-PERMANENT_FIELD_LABOR_HOURS)&gt;TEMP_HOURS_CAP),"",$C173+AI$6-MIN(($D173+AI$5),PERMANENT_FIELD_LABOR_HOURS)*PERMANENT_HOURLY_RATE-MAX(0,($D173+AI$5)-PERMANENT_FIELD_LABOR_HOURS)*TEMP_HOURLY_RATE-FIXED_SEASON_COST)</f>
        <v>37085.0442627922</v>
      </c>
      <c r="AJ173" s="53" t="n">
        <f aca="false">IF(OR($A173&gt;TOMATO_BED_CAP,$B173&gt;CARROT_BED_CAP,AJ$4&gt;MESCLUN_BED_CAP,$A173+$B173+AJ$4&gt;TOTAL_BEDS_AVAILABLE,($D173+AJ$5)&gt;TOTAL_LABOR_HOURS_CAP,MAX(0,($D173+AJ$5)-PERMANENT_FIELD_LABOR_HOURS)&gt;TEMP_HOURS_CAP),"",$C173+AJ$6-MIN(($D173+AJ$5),PERMANENT_FIELD_LABOR_HOURS)*PERMANENT_HOURLY_RATE-MAX(0,($D173+AJ$5)-PERMANENT_FIELD_LABOR_HOURS)*TEMP_HOURLY_RATE-FIXED_SEASON_COST)</f>
        <v>37365.043778198</v>
      </c>
    </row>
    <row r="174" customFormat="false" ht="15" hidden="false" customHeight="false" outlineLevel="0" collapsed="false">
      <c r="A174" s="21" t="n">
        <f aca="false">INT((ROW()-ROW($A$8))/(20+1))</f>
        <v>7</v>
      </c>
      <c r="B174" s="21" t="n">
        <f aca="false">MOD(ROW()-ROW($A$8),20+1)</f>
        <v>19</v>
      </c>
      <c r="C174" s="13" t="n">
        <f aca="false">A174*(TOMATO_REVENUE_PER_BED-TOMATO_FERTILIZER_PER_BED)+B174*(CARROT_REVENUE_PER_BED-CARROT_FERTILIZER_PER_BED)</f>
        <v>86866</v>
      </c>
      <c r="D174" s="14" t="n">
        <f aca="false">INDEX(TOMATO_SCHED_LABOR_HRS,A174+1)+INDEX(CARROT_SCHED_LABOR_HRS,B174+1)</f>
        <v>2138.5578865777</v>
      </c>
      <c r="E174" s="13" t="n">
        <f aca="false">IF(COUNT(F174:AJ174)=0,"",MAX(F174:AJ174))</f>
        <v>37821.4243838837</v>
      </c>
      <c r="F174" s="53" t="n">
        <f aca="false">IF(OR($A174&gt;TOMATO_BED_CAP,$B174&gt;CARROT_BED_CAP,F$4&gt;MESCLUN_BED_CAP,$A174+$B174+F$4&gt;TOTAL_BEDS_AVAILABLE,($D174+F$5)&gt;TOTAL_LABOR_HOURS_CAP,MAX(0,($D174+F$5)-PERMANENT_FIELD_LABOR_HOURS)&gt;TEMP_HOURS_CAP),"",$C174+F$6-MIN(($D174+F$5),PERMANENT_FIELD_LABOR_HOURS)*PERMANENT_HOURLY_RATE-MAX(0,($D174+F$5)-PERMANENT_FIELD_LABOR_HOURS)*TEMP_HOURLY_RATE-FIXED_SEASON_COST)</f>
        <v>17241.4350890112</v>
      </c>
      <c r="G174" s="53" t="n">
        <f aca="false">IF(OR($A174&gt;TOMATO_BED_CAP,$B174&gt;CARROT_BED_CAP,G$4&gt;MESCLUN_BED_CAP,$A174+$B174+G$4&gt;TOTAL_BEDS_AVAILABLE,($D174+G$5)&gt;TOTAL_LABOR_HOURS_CAP,MAX(0,($D174+G$5)-PERMANENT_FIELD_LABOR_HOURS)&gt;TEMP_HOURS_CAP),"",$C174+G$6-MIN(($D174+G$5),PERMANENT_FIELD_LABOR_HOURS)*PERMANENT_HOURLY_RATE-MAX(0,($D174+G$5)-PERMANENT_FIELD_LABOR_HOURS)*TEMP_HOURLY_RATE-FIXED_SEASON_COST)</f>
        <v>18270.4700890112</v>
      </c>
      <c r="H174" s="53" t="n">
        <f aca="false">IF(OR($A174&gt;TOMATO_BED_CAP,$B174&gt;CARROT_BED_CAP,H$4&gt;MESCLUN_BED_CAP,$A174+$B174+H$4&gt;TOTAL_BEDS_AVAILABLE,($D174+H$5)&gt;TOTAL_LABOR_HOURS_CAP,MAX(0,($D174+H$5)-PERMANENT_FIELD_LABOR_HOURS)&gt;TEMP_HOURS_CAP),"",$C174+H$6-MIN(($D174+H$5),PERMANENT_FIELD_LABOR_HOURS)*PERMANENT_HOURLY_RATE-MAX(0,($D174+H$5)-PERMANENT_FIELD_LABOR_HOURS)*TEMP_HOURLY_RATE-FIXED_SEASON_COST)</f>
        <v>19279.7309640112</v>
      </c>
      <c r="I174" s="53" t="n">
        <f aca="false">IF(OR($A174&gt;TOMATO_BED_CAP,$B174&gt;CARROT_BED_CAP,I$4&gt;MESCLUN_BED_CAP,$A174+$B174+I$4&gt;TOTAL_BEDS_AVAILABLE,($D174+I$5)&gt;TOTAL_LABOR_HOURS_CAP,MAX(0,($D174+I$5)-PERMANENT_FIELD_LABOR_HOURS)&gt;TEMP_HOURS_CAP),"",$C174+I$6-MIN(($D174+I$5),PERMANENT_FIELD_LABOR_HOURS)*PERMANENT_HOURLY_RATE-MAX(0,($D174+I$5)-PERMANENT_FIELD_LABOR_HOURS)*TEMP_HOURLY_RATE-FIXED_SEASON_COST)</f>
        <v>20268.8469491674</v>
      </c>
      <c r="J174" s="53" t="n">
        <f aca="false">IF(OR($A174&gt;TOMATO_BED_CAP,$B174&gt;CARROT_BED_CAP,J$4&gt;MESCLUN_BED_CAP,$A174+$B174+J$4&gt;TOTAL_BEDS_AVAILABLE,($D174+J$5)&gt;TOTAL_LABOR_HOURS_CAP,MAX(0,($D174+J$5)-PERMANENT_FIELD_LABOR_HOURS)&gt;TEMP_HOURS_CAP),"",$C174+J$6-MIN(($D174+J$5),PERMANENT_FIELD_LABOR_HOURS)*PERMANENT_HOURLY_RATE-MAX(0,($D174+J$5)-PERMANENT_FIELD_LABOR_HOURS)*TEMP_HOURLY_RATE-FIXED_SEASON_COST)</f>
        <v>21237.4411002221</v>
      </c>
      <c r="K174" s="53" t="n">
        <f aca="false">IF(OR($A174&gt;TOMATO_BED_CAP,$B174&gt;CARROT_BED_CAP,K$4&gt;MESCLUN_BED_CAP,$A174+$B174+K$4&gt;TOTAL_BEDS_AVAILABLE,($D174+K$5)&gt;TOTAL_LABOR_HOURS_CAP,MAX(0,($D174+K$5)-PERMANENT_FIELD_LABOR_HOURS)&gt;TEMP_HOURS_CAP),"",$C174+K$6-MIN(($D174+K$5),PERMANENT_FIELD_LABOR_HOURS)*PERMANENT_HOURLY_RATE-MAX(0,($D174+K$5)-PERMANENT_FIELD_LABOR_HOURS)*TEMP_HOURLY_RATE-FIXED_SEASON_COST)</f>
        <v>22185.13019695</v>
      </c>
      <c r="L174" s="53" t="n">
        <f aca="false">IF(OR($A174&gt;TOMATO_BED_CAP,$B174&gt;CARROT_BED_CAP,L$4&gt;MESCLUN_BED_CAP,$A174+$B174+L$4&gt;TOTAL_BEDS_AVAILABLE,($D174+L$5)&gt;TOTAL_LABOR_HOURS_CAP,MAX(0,($D174+L$5)-PERMANENT_FIELD_LABOR_HOURS)&gt;TEMP_HOURS_CAP),"",$C174+L$6-MIN(($D174+L$5),PERMANENT_FIELD_LABOR_HOURS)*PERMANENT_HOURLY_RATE-MAX(0,($D174+L$5)-PERMANENT_FIELD_LABOR_HOURS)*TEMP_HOURLY_RATE-FIXED_SEASON_COST)</f>
        <v>23111.5246451569</v>
      </c>
      <c r="M174" s="53" t="n">
        <f aca="false">IF(OR($A174&gt;TOMATO_BED_CAP,$B174&gt;CARROT_BED_CAP,M$4&gt;MESCLUN_BED_CAP,$A174+$B174+M$4&gt;TOTAL_BEDS_AVAILABLE,($D174+M$5)&gt;TOTAL_LABOR_HOURS_CAP,MAX(0,($D174+M$5)-PERMANENT_FIELD_LABOR_HOURS)&gt;TEMP_HOURS_CAP),"",$C174+M$6-MIN(($D174+M$5),PERMANENT_FIELD_LABOR_HOURS)*PERMANENT_HOURLY_RATE-MAX(0,($D174+M$5)-PERMANENT_FIELD_LABOR_HOURS)*TEMP_HOURLY_RATE-FIXED_SEASON_COST)</f>
        <v>24016.2283772083</v>
      </c>
      <c r="N174" s="53" t="n">
        <f aca="false">IF(OR($A174&gt;TOMATO_BED_CAP,$B174&gt;CARROT_BED_CAP,N$4&gt;MESCLUN_BED_CAP,$A174+$B174+N$4&gt;TOTAL_BEDS_AVAILABLE,($D174+N$5)&gt;TOTAL_LABOR_HOURS_CAP,MAX(0,($D174+N$5)-PERMANENT_FIELD_LABOR_HOURS)&gt;TEMP_HOURS_CAP),"",$C174+N$6-MIN(($D174+N$5),PERMANENT_FIELD_LABOR_HOURS)*PERMANENT_HOURLY_RATE-MAX(0,($D174+N$5)-PERMANENT_FIELD_LABOR_HOURS)*TEMP_HOURLY_RATE-FIXED_SEASON_COST)</f>
        <v>24898.8387510678</v>
      </c>
      <c r="O174" s="53" t="n">
        <f aca="false">IF(OR($A174&gt;TOMATO_BED_CAP,$B174&gt;CARROT_BED_CAP,O$4&gt;MESCLUN_BED_CAP,$A174+$B174+O$4&gt;TOTAL_BEDS_AVAILABLE,($D174+O$5)&gt;TOTAL_LABOR_HOURS_CAP,MAX(0,($D174+O$5)-PERMANENT_FIELD_LABOR_HOURS)&gt;TEMP_HOURS_CAP),"",$C174+O$6-MIN(($D174+O$5),PERMANENT_FIELD_LABOR_HOURS)*PERMANENT_HOURLY_RATE-MAX(0,($D174+O$5)-PERMANENT_FIELD_LABOR_HOURS)*TEMP_HOURLY_RATE-FIXED_SEASON_COST)</f>
        <v>25758.9464478226</v>
      </c>
      <c r="P174" s="53" t="n">
        <f aca="false">IF(OR($A174&gt;TOMATO_BED_CAP,$B174&gt;CARROT_BED_CAP,P$4&gt;MESCLUN_BED_CAP,$A174+$B174+P$4&gt;TOTAL_BEDS_AVAILABLE,($D174+P$5)&gt;TOTAL_LABOR_HOURS_CAP,MAX(0,($D174+P$5)-PERMANENT_FIELD_LABOR_HOURS)&gt;TEMP_HOURS_CAP),"",$C174+P$6-MIN(($D174+P$5),PERMANENT_FIELD_LABOR_HOURS)*PERMANENT_HOURLY_RATE-MAX(0,($D174+P$5)-PERMANENT_FIELD_LABOR_HOURS)*TEMP_HOURLY_RATE-FIXED_SEASON_COST)</f>
        <v>26596.135367674</v>
      </c>
      <c r="Q174" s="53" t="n">
        <f aca="false">IF(OR($A174&gt;TOMATO_BED_CAP,$B174&gt;CARROT_BED_CAP,Q$4&gt;MESCLUN_BED_CAP,$A174+$B174+Q$4&gt;TOTAL_BEDS_AVAILABLE,($D174+Q$5)&gt;TOTAL_LABOR_HOURS_CAP,MAX(0,($D174+Q$5)-PERMANENT_FIELD_LABOR_HOURS)&gt;TEMP_HOURS_CAP),"",$C174+Q$6-MIN(($D174+Q$5),PERMANENT_FIELD_LABOR_HOURS)*PERMANENT_HOURLY_RATE-MAX(0,($D174+Q$5)-PERMANENT_FIELD_LABOR_HOURS)*TEMP_HOURLY_RATE-FIXED_SEASON_COST)</f>
        <v>27409.9825243719</v>
      </c>
      <c r="R174" s="53" t="n">
        <f aca="false">IF(OR($A174&gt;TOMATO_BED_CAP,$B174&gt;CARROT_BED_CAP,R$4&gt;MESCLUN_BED_CAP,$A174+$B174+R$4&gt;TOTAL_BEDS_AVAILABLE,($D174+R$5)&gt;TOTAL_LABOR_HOURS_CAP,MAX(0,($D174+R$5)-PERMANENT_FIELD_LABOR_HOURS)&gt;TEMP_HOURS_CAP),"",$C174+R$6-MIN(($D174+R$5),PERMANENT_FIELD_LABOR_HOURS)*PERMANENT_HOURLY_RATE-MAX(0,($D174+R$5)-PERMANENT_FIELD_LABOR_HOURS)*TEMP_HOURLY_RATE-FIXED_SEASON_COST)</f>
        <v>28200.0579380687</v>
      </c>
      <c r="S174" s="53" t="n">
        <f aca="false">IF(OR($A174&gt;TOMATO_BED_CAP,$B174&gt;CARROT_BED_CAP,S$4&gt;MESCLUN_BED_CAP,$A174+$B174+S$4&gt;TOTAL_BEDS_AVAILABLE,($D174+S$5)&gt;TOTAL_LABOR_HOURS_CAP,MAX(0,($D174+S$5)-PERMANENT_FIELD_LABOR_HOURS)&gt;TEMP_HOURS_CAP),"",$C174+S$6-MIN(($D174+S$5),PERMANENT_FIELD_LABOR_HOURS)*PERMANENT_HOURLY_RATE-MAX(0,($D174+S$5)-PERMANENT_FIELD_LABOR_HOURS)*TEMP_HOURLY_RATE-FIXED_SEASON_COST)</f>
        <v>28965.9245265712</v>
      </c>
      <c r="T174" s="53" t="n">
        <f aca="false">IF(OR($A174&gt;TOMATO_BED_CAP,$B174&gt;CARROT_BED_CAP,T$4&gt;MESCLUN_BED_CAP,$A174+$B174+T$4&gt;TOTAL_BEDS_AVAILABLE,($D174+T$5)&gt;TOTAL_LABOR_HOURS_CAP,MAX(0,($D174+T$5)-PERMANENT_FIELD_LABOR_HOURS)&gt;TEMP_HOURS_CAP),"",$C174+T$6-MIN(($D174+T$5),PERMANENT_FIELD_LABOR_HOURS)*PERMANENT_HOURLY_RATE-MAX(0,($D174+T$5)-PERMANENT_FIELD_LABOR_HOURS)*TEMP_HOURLY_RATE-FIXED_SEASON_COST)</f>
        <v>29707.137994966</v>
      </c>
      <c r="U174" s="53" t="n">
        <f aca="false">IF(OR($A174&gt;TOMATO_BED_CAP,$B174&gt;CARROT_BED_CAP,U$4&gt;MESCLUN_BED_CAP,$A174+$B174+U$4&gt;TOTAL_BEDS_AVAILABLE,($D174+U$5)&gt;TOTAL_LABOR_HOURS_CAP,MAX(0,($D174+U$5)-PERMANENT_FIELD_LABOR_HOURS)&gt;TEMP_HOURS_CAP),"",$C174+U$6-MIN(($D174+U$5),PERMANENT_FIELD_LABOR_HOURS)*PERMANENT_HOURLY_RATE-MAX(0,($D174+U$5)-PERMANENT_FIELD_LABOR_HOURS)*TEMP_HOURLY_RATE-FIXED_SEASON_COST)</f>
        <v>30423.2467235961</v>
      </c>
      <c r="V174" s="53" t="n">
        <f aca="false">IF(OR($A174&gt;TOMATO_BED_CAP,$B174&gt;CARROT_BED_CAP,V$4&gt;MESCLUN_BED_CAP,$A174+$B174+V$4&gt;TOTAL_BEDS_AVAILABLE,($D174+V$5)&gt;TOTAL_LABOR_HOURS_CAP,MAX(0,($D174+V$5)-PERMANENT_FIELD_LABOR_HOURS)&gt;TEMP_HOURS_CAP),"",$C174+V$6-MIN(($D174+V$5),PERMANENT_FIELD_LABOR_HOURS)*PERMANENT_HOURLY_RATE-MAX(0,($D174+V$5)-PERMANENT_FIELD_LABOR_HOURS)*TEMP_HOURLY_RATE-FIXED_SEASON_COST)</f>
        <v>31113.7916543629</v>
      </c>
      <c r="W174" s="53" t="n">
        <f aca="false">IF(OR($A174&gt;TOMATO_BED_CAP,$B174&gt;CARROT_BED_CAP,W$4&gt;MESCLUN_BED_CAP,$A174+$B174+W$4&gt;TOTAL_BEDS_AVAILABLE,($D174+W$5)&gt;TOTAL_LABOR_HOURS_CAP,MAX(0,($D174+W$5)-PERMANENT_FIELD_LABOR_HOURS)&gt;TEMP_HOURS_CAP),"",$C174+W$6-MIN(($D174+W$5),PERMANENT_FIELD_LABOR_HOURS)*PERMANENT_HOURLY_RATE-MAX(0,($D174+W$5)-PERMANENT_FIELD_LABOR_HOURS)*TEMP_HOURLY_RATE-FIXED_SEASON_COST)</f>
        <v>31778.306175331</v>
      </c>
      <c r="X174" s="53" t="n">
        <f aca="false">IF(OR($A174&gt;TOMATO_BED_CAP,$B174&gt;CARROT_BED_CAP,X$4&gt;MESCLUN_BED_CAP,$A174+$B174+X$4&gt;TOTAL_BEDS_AVAILABLE,($D174+X$5)&gt;TOTAL_LABOR_HOURS_CAP,MAX(0,($D174+X$5)-PERMANENT_FIELD_LABOR_HOURS)&gt;TEMP_HOURS_CAP),"",$C174+X$6-MIN(($D174+X$5),PERMANENT_FIELD_LABOR_HOURS)*PERMANENT_HOURLY_RATE-MAX(0,($D174+X$5)-PERMANENT_FIELD_LABOR_HOURS)*TEMP_HOURLY_RATE-FIXED_SEASON_COST)</f>
        <v>32416.3160036099</v>
      </c>
      <c r="Y174" s="53" t="n">
        <f aca="false">IF(OR($A174&gt;TOMATO_BED_CAP,$B174&gt;CARROT_BED_CAP,Y$4&gt;MESCLUN_BED_CAP,$A174+$B174+Y$4&gt;TOTAL_BEDS_AVAILABLE,($D174+Y$5)&gt;TOTAL_LABOR_HOURS_CAP,MAX(0,($D174+Y$5)-PERMANENT_FIELD_LABOR_HOURS)&gt;TEMP_HOURS_CAP),"",$C174+Y$6-MIN(($D174+Y$5),PERMANENT_FIELD_LABOR_HOURS)*PERMANENT_HOURLY_RATE-MAX(0,($D174+Y$5)-PERMANENT_FIELD_LABOR_HOURS)*TEMP_HOURLY_RATE-FIXED_SEASON_COST)</f>
        <v>33027.3390664885</v>
      </c>
      <c r="Z174" s="53" t="n">
        <f aca="false">IF(OR($A174&gt;TOMATO_BED_CAP,$B174&gt;CARROT_BED_CAP,Z$4&gt;MESCLUN_BED_CAP,$A174+$B174+Z$4&gt;TOTAL_BEDS_AVAILABLE,($D174+Z$5)&gt;TOTAL_LABOR_HOURS_CAP,MAX(0,($D174+Z$5)-PERMANENT_FIELD_LABOR_HOURS)&gt;TEMP_HOURS_CAP),"",$C174+Z$6-MIN(($D174+Z$5),PERMANENT_FIELD_LABOR_HOURS)*PERMANENT_HOURLY_RATE-MAX(0,($D174+Z$5)-PERMANENT_FIELD_LABOR_HOURS)*TEMP_HOURLY_RATE-FIXED_SEASON_COST)</f>
        <v>33610.8853807963</v>
      </c>
      <c r="AA174" s="53" t="n">
        <f aca="false">IF(OR($A174&gt;TOMATO_BED_CAP,$B174&gt;CARROT_BED_CAP,AA$4&gt;MESCLUN_BED_CAP,$A174+$B174+AA$4&gt;TOTAL_BEDS_AVAILABLE,($D174+AA$5)&gt;TOTAL_LABOR_HOURS_CAP,MAX(0,($D174+AA$5)-PERMANENT_FIELD_LABOR_HOURS)&gt;TEMP_HOURS_CAP),"",$C174+AA$6-MIN(($D174+AA$5),PERMANENT_FIELD_LABOR_HOURS)*PERMANENT_HOURLY_RATE-MAX(0,($D174+AA$5)-PERMANENT_FIELD_LABOR_HOURS)*TEMP_HOURLY_RATE-FIXED_SEASON_COST)</f>
        <v>34166.4569304652</v>
      </c>
      <c r="AB174" s="53" t="n">
        <f aca="false">IF(OR($A174&gt;TOMATO_BED_CAP,$B174&gt;CARROT_BED_CAP,AB$4&gt;MESCLUN_BED_CAP,$A174+$B174+AB$4&gt;TOTAL_BEDS_AVAILABLE,($D174+AB$5)&gt;TOTAL_LABOR_HOURS_CAP,MAX(0,($D174+AB$5)-PERMANENT_FIELD_LABOR_HOURS)&gt;TEMP_HOURS_CAP),"",$C174+AB$6-MIN(($D174+AB$5),PERMANENT_FIELD_LABOR_HOURS)*PERMANENT_HOURLY_RATE-MAX(0,($D174+AB$5)-PERMANENT_FIELD_LABOR_HOURS)*TEMP_HOURLY_RATE-FIXED_SEASON_COST)</f>
        <v>34693.5475422678</v>
      </c>
      <c r="AC174" s="53" t="n">
        <f aca="false">IF(OR($A174&gt;TOMATO_BED_CAP,$B174&gt;CARROT_BED_CAP,AC$4&gt;MESCLUN_BED_CAP,$A174+$B174+AC$4&gt;TOTAL_BEDS_AVAILABLE,($D174+AC$5)&gt;TOTAL_LABOR_HOURS_CAP,MAX(0,($D174+AC$5)-PERMANENT_FIELD_LABOR_HOURS)&gt;TEMP_HOURS_CAP),"",$C174+AC$6-MIN(($D174+AC$5),PERMANENT_FIELD_LABOR_HOURS)*PERMANENT_HOURLY_RATE-MAX(0,($D174+AC$5)-PERMANENT_FIELD_LABOR_HOURS)*TEMP_HOURLY_RATE-FIXED_SEASON_COST)</f>
        <v>35191.6427597027</v>
      </c>
      <c r="AD174" s="53" t="n">
        <f aca="false">IF(OR($A174&gt;TOMATO_BED_CAP,$B174&gt;CARROT_BED_CAP,AD$4&gt;MESCLUN_BED_CAP,$A174+$B174+AD$4&gt;TOTAL_BEDS_AVAILABLE,($D174+AD$5)&gt;TOTAL_LABOR_HOURS_CAP,MAX(0,($D174+AD$5)-PERMANENT_FIELD_LABOR_HOURS)&gt;TEMP_HOURS_CAP),"",$C174+AD$6-MIN(($D174+AD$5),PERMANENT_FIELD_LABOR_HOURS)*PERMANENT_HOURLY_RATE-MAX(0,($D174+AD$5)-PERMANENT_FIELD_LABOR_HOURS)*TEMP_HOURLY_RATE-FIXED_SEASON_COST)</f>
        <v>35660.2197150026</v>
      </c>
      <c r="AE174" s="53" t="n">
        <f aca="false">IF(OR($A174&gt;TOMATO_BED_CAP,$B174&gt;CARROT_BED_CAP,AE$4&gt;MESCLUN_BED_CAP,$A174+$B174+AE$4&gt;TOTAL_BEDS_AVAILABLE,($D174+AE$5)&gt;TOTAL_LABOR_HOURS_CAP,MAX(0,($D174+AE$5)-PERMANENT_FIELD_LABOR_HOURS)&gt;TEMP_HOURS_CAP),"",$C174+AE$6-MIN(($D174+AE$5),PERMANENT_FIELD_LABOR_HOURS)*PERMANENT_HOURLY_RATE-MAX(0,($D174+AE$5)-PERMANENT_FIELD_LABOR_HOURS)*TEMP_HOURLY_RATE-FIXED_SEASON_COST)</f>
        <v>36098.7469992365</v>
      </c>
      <c r="AF174" s="53" t="n">
        <f aca="false">IF(OR($A174&gt;TOMATO_BED_CAP,$B174&gt;CARROT_BED_CAP,AF$4&gt;MESCLUN_BED_CAP,$A174+$B174+AF$4&gt;TOTAL_BEDS_AVAILABLE,($D174+AF$5)&gt;TOTAL_LABOR_HOURS_CAP,MAX(0,($D174+AF$5)-PERMANENT_FIELD_LABOR_HOURS)&gt;TEMP_HOURS_CAP),"",$C174+AF$6-MIN(($D174+AF$5),PERMANENT_FIELD_LABOR_HOURS)*PERMANENT_HOURLY_RATE-MAX(0,($D174+AF$5)-PERMANENT_FIELD_LABOR_HOURS)*TEMP_HOURLY_RATE-FIXED_SEASON_COST)</f>
        <v>36506.6845304785</v>
      </c>
      <c r="AG174" s="53" t="n">
        <f aca="false">IF(OR($A174&gt;TOMATO_BED_CAP,$B174&gt;CARROT_BED_CAP,AG$4&gt;MESCLUN_BED_CAP,$A174+$B174+AG$4&gt;TOTAL_BEDS_AVAILABLE,($D174+AG$5)&gt;TOTAL_LABOR_HOURS_CAP,MAX(0,($D174+AG$5)-PERMANENT_FIELD_LABOR_HOURS)&gt;TEMP_HOURS_CAP),"",$C174+AG$6-MIN(($D174+AG$5),PERMANENT_FIELD_LABOR_HOURS)*PERMANENT_HOURLY_RATE-MAX(0,($D174+AG$5)-PERMANENT_FIELD_LABOR_HOURS)*TEMP_HOURLY_RATE-FIXED_SEASON_COST)</f>
        <v>36883.4834200155</v>
      </c>
      <c r="AH174" s="53" t="n">
        <f aca="false">IF(OR($A174&gt;TOMATO_BED_CAP,$B174&gt;CARROT_BED_CAP,AH$4&gt;MESCLUN_BED_CAP,$A174+$B174+AH$4&gt;TOTAL_BEDS_AVAILABLE,($D174+AH$5)&gt;TOTAL_LABOR_HOURS_CAP,MAX(0,($D174+AH$5)-PERMANENT_FIELD_LABOR_HOURS)&gt;TEMP_HOURS_CAP),"",$C174+AH$6-MIN(($D174+AH$5),PERMANENT_FIELD_LABOR_HOURS)*PERMANENT_HOURLY_RATE-MAX(0,($D174+AH$5)-PERMANENT_FIELD_LABOR_HOURS)*TEMP_HOURLY_RATE-FIXED_SEASON_COST)</f>
        <v>37228.5858365657</v>
      </c>
      <c r="AI174" s="53" t="n">
        <f aca="false">IF(OR($A174&gt;TOMATO_BED_CAP,$B174&gt;CARROT_BED_CAP,AI$4&gt;MESCLUN_BED_CAP,$A174+$B174+AI$4&gt;TOTAL_BEDS_AVAILABLE,($D174+AI$5)&gt;TOTAL_LABOR_HOURS_CAP,MAX(0,($D174+AI$5)-PERMANENT_FIELD_LABOR_HOURS)&gt;TEMP_HOURS_CAP),"",$C174+AI$6-MIN(($D174+AI$5),PERMANENT_FIELD_LABOR_HOURS)*PERMANENT_HOURLY_RATE-MAX(0,($D174+AI$5)-PERMANENT_FIELD_LABOR_HOURS)*TEMP_HOURLY_RATE-FIXED_SEASON_COST)</f>
        <v>37541.424868478</v>
      </c>
      <c r="AJ174" s="53" t="n">
        <f aca="false">IF(OR($A174&gt;TOMATO_BED_CAP,$B174&gt;CARROT_BED_CAP,AJ$4&gt;MESCLUN_BED_CAP,$A174+$B174+AJ$4&gt;TOTAL_BEDS_AVAILABLE,($D174+AJ$5)&gt;TOTAL_LABOR_HOURS_CAP,MAX(0,($D174+AJ$5)-PERMANENT_FIELD_LABOR_HOURS)&gt;TEMP_HOURS_CAP),"",$C174+AJ$6-MIN(($D174+AJ$5),PERMANENT_FIELD_LABOR_HOURS)*PERMANENT_HOURLY_RATE-MAX(0,($D174+AJ$5)-PERMANENT_FIELD_LABOR_HOURS)*TEMP_HOURLY_RATE-FIXED_SEASON_COST)</f>
        <v>37821.4243838837</v>
      </c>
    </row>
    <row r="175" customFormat="false" ht="15" hidden="false" customHeight="false" outlineLevel="0" collapsed="false">
      <c r="A175" s="21" t="n">
        <f aca="false">INT((ROW()-ROW($A$8))/(20+1))</f>
        <v>7</v>
      </c>
      <c r="B175" s="21" t="n">
        <f aca="false">MOD(ROW()-ROW($A$8),20+1)</f>
        <v>20</v>
      </c>
      <c r="C175" s="13" t="n">
        <f aca="false">A175*(TOMATO_REVENUE_PER_BED-TOMATO_FERTILIZER_PER_BED)+B175*(CARROT_REVENUE_PER_BED-CARROT_FERTILIZER_PER_BED)</f>
        <v>88520</v>
      </c>
      <c r="D175" s="14" t="n">
        <f aca="false">INDEX(TOMATO_SCHED_LABOR_HRS,A175+1)+INDEX(CARROT_SCHED_LABOR_HRS,B175+1)</f>
        <v>2210.46836922857</v>
      </c>
      <c r="E175" s="13" t="n">
        <f aca="false">IF(COUNT(F175:AJ175)=0,"",MAX(F175:AJ175))</f>
        <v>38227.0584050646</v>
      </c>
      <c r="F175" s="53" t="n">
        <f aca="false">IF(OR($A175&gt;TOMATO_BED_CAP,$B175&gt;CARROT_BED_CAP,F$4&gt;MESCLUN_BED_CAP,$A175+$B175+F$4&gt;TOTAL_BEDS_AVAILABLE,($D175+F$5)&gt;TOTAL_LABOR_HOURS_CAP,MAX(0,($D175+F$5)-PERMANENT_FIELD_LABOR_HOURS)&gt;TEMP_HOURS_CAP),"",$C175+F$6-MIN(($D175+F$5),PERMANENT_FIELD_LABOR_HOURS)*PERMANENT_HOURLY_RATE-MAX(0,($D175+F$5)-PERMANENT_FIELD_LABOR_HOURS)*TEMP_HOURLY_RATE-FIXED_SEASON_COST)</f>
        <v>17647.0691101921</v>
      </c>
      <c r="G175" s="53" t="n">
        <f aca="false">IF(OR($A175&gt;TOMATO_BED_CAP,$B175&gt;CARROT_BED_CAP,G$4&gt;MESCLUN_BED_CAP,$A175+$B175+G$4&gt;TOTAL_BEDS_AVAILABLE,($D175+G$5)&gt;TOTAL_LABOR_HOURS_CAP,MAX(0,($D175+G$5)-PERMANENT_FIELD_LABOR_HOURS)&gt;TEMP_HOURS_CAP),"",$C175+G$6-MIN(($D175+G$5),PERMANENT_FIELD_LABOR_HOURS)*PERMANENT_HOURLY_RATE-MAX(0,($D175+G$5)-PERMANENT_FIELD_LABOR_HOURS)*TEMP_HOURLY_RATE-FIXED_SEASON_COST)</f>
        <v>18676.1041101921</v>
      </c>
      <c r="H175" s="53" t="n">
        <f aca="false">IF(OR($A175&gt;TOMATO_BED_CAP,$B175&gt;CARROT_BED_CAP,H$4&gt;MESCLUN_BED_CAP,$A175+$B175+H$4&gt;TOTAL_BEDS_AVAILABLE,($D175+H$5)&gt;TOTAL_LABOR_HOURS_CAP,MAX(0,($D175+H$5)-PERMANENT_FIELD_LABOR_HOURS)&gt;TEMP_HOURS_CAP),"",$C175+H$6-MIN(($D175+H$5),PERMANENT_FIELD_LABOR_HOURS)*PERMANENT_HOURLY_RATE-MAX(0,($D175+H$5)-PERMANENT_FIELD_LABOR_HOURS)*TEMP_HOURLY_RATE-FIXED_SEASON_COST)</f>
        <v>19685.3649851921</v>
      </c>
      <c r="I175" s="53" t="n">
        <f aca="false">IF(OR($A175&gt;TOMATO_BED_CAP,$B175&gt;CARROT_BED_CAP,I$4&gt;MESCLUN_BED_CAP,$A175+$B175+I$4&gt;TOTAL_BEDS_AVAILABLE,($D175+I$5)&gt;TOTAL_LABOR_HOURS_CAP,MAX(0,($D175+I$5)-PERMANENT_FIELD_LABOR_HOURS)&gt;TEMP_HOURS_CAP),"",$C175+I$6-MIN(($D175+I$5),PERMANENT_FIELD_LABOR_HOURS)*PERMANENT_HOURLY_RATE-MAX(0,($D175+I$5)-PERMANENT_FIELD_LABOR_HOURS)*TEMP_HOURLY_RATE-FIXED_SEASON_COST)</f>
        <v>20674.4809703483</v>
      </c>
      <c r="J175" s="53" t="n">
        <f aca="false">IF(OR($A175&gt;TOMATO_BED_CAP,$B175&gt;CARROT_BED_CAP,J$4&gt;MESCLUN_BED_CAP,$A175+$B175+J$4&gt;TOTAL_BEDS_AVAILABLE,($D175+J$5)&gt;TOTAL_LABOR_HOURS_CAP,MAX(0,($D175+J$5)-PERMANENT_FIELD_LABOR_HOURS)&gt;TEMP_HOURS_CAP),"",$C175+J$6-MIN(($D175+J$5),PERMANENT_FIELD_LABOR_HOURS)*PERMANENT_HOURLY_RATE-MAX(0,($D175+J$5)-PERMANENT_FIELD_LABOR_HOURS)*TEMP_HOURLY_RATE-FIXED_SEASON_COST)</f>
        <v>21643.075121403</v>
      </c>
      <c r="K175" s="53" t="n">
        <f aca="false">IF(OR($A175&gt;TOMATO_BED_CAP,$B175&gt;CARROT_BED_CAP,K$4&gt;MESCLUN_BED_CAP,$A175+$B175+K$4&gt;TOTAL_BEDS_AVAILABLE,($D175+K$5)&gt;TOTAL_LABOR_HOURS_CAP,MAX(0,($D175+K$5)-PERMANENT_FIELD_LABOR_HOURS)&gt;TEMP_HOURS_CAP),"",$C175+K$6-MIN(($D175+K$5),PERMANENT_FIELD_LABOR_HOURS)*PERMANENT_HOURLY_RATE-MAX(0,($D175+K$5)-PERMANENT_FIELD_LABOR_HOURS)*TEMP_HOURLY_RATE-FIXED_SEASON_COST)</f>
        <v>22590.7642181309</v>
      </c>
      <c r="L175" s="53" t="n">
        <f aca="false">IF(OR($A175&gt;TOMATO_BED_CAP,$B175&gt;CARROT_BED_CAP,L$4&gt;MESCLUN_BED_CAP,$A175+$B175+L$4&gt;TOTAL_BEDS_AVAILABLE,($D175+L$5)&gt;TOTAL_LABOR_HOURS_CAP,MAX(0,($D175+L$5)-PERMANENT_FIELD_LABOR_HOURS)&gt;TEMP_HOURS_CAP),"",$C175+L$6-MIN(($D175+L$5),PERMANENT_FIELD_LABOR_HOURS)*PERMANENT_HOURLY_RATE-MAX(0,($D175+L$5)-PERMANENT_FIELD_LABOR_HOURS)*TEMP_HOURLY_RATE-FIXED_SEASON_COST)</f>
        <v>23517.1586663378</v>
      </c>
      <c r="M175" s="53" t="n">
        <f aca="false">IF(OR($A175&gt;TOMATO_BED_CAP,$B175&gt;CARROT_BED_CAP,M$4&gt;MESCLUN_BED_CAP,$A175+$B175+M$4&gt;TOTAL_BEDS_AVAILABLE,($D175+M$5)&gt;TOTAL_LABOR_HOURS_CAP,MAX(0,($D175+M$5)-PERMANENT_FIELD_LABOR_HOURS)&gt;TEMP_HOURS_CAP),"",$C175+M$6-MIN(($D175+M$5),PERMANENT_FIELD_LABOR_HOURS)*PERMANENT_HOURLY_RATE-MAX(0,($D175+M$5)-PERMANENT_FIELD_LABOR_HOURS)*TEMP_HOURLY_RATE-FIXED_SEASON_COST)</f>
        <v>24421.8623983892</v>
      </c>
      <c r="N175" s="53" t="n">
        <f aca="false">IF(OR($A175&gt;TOMATO_BED_CAP,$B175&gt;CARROT_BED_CAP,N$4&gt;MESCLUN_BED_CAP,$A175+$B175+N$4&gt;TOTAL_BEDS_AVAILABLE,($D175+N$5)&gt;TOTAL_LABOR_HOURS_CAP,MAX(0,($D175+N$5)-PERMANENT_FIELD_LABOR_HOURS)&gt;TEMP_HOURS_CAP),"",$C175+N$6-MIN(($D175+N$5),PERMANENT_FIELD_LABOR_HOURS)*PERMANENT_HOURLY_RATE-MAX(0,($D175+N$5)-PERMANENT_FIELD_LABOR_HOURS)*TEMP_HOURLY_RATE-FIXED_SEASON_COST)</f>
        <v>25304.4727722487</v>
      </c>
      <c r="O175" s="53" t="n">
        <f aca="false">IF(OR($A175&gt;TOMATO_BED_CAP,$B175&gt;CARROT_BED_CAP,O$4&gt;MESCLUN_BED_CAP,$A175+$B175+O$4&gt;TOTAL_BEDS_AVAILABLE,($D175+O$5)&gt;TOTAL_LABOR_HOURS_CAP,MAX(0,($D175+O$5)-PERMANENT_FIELD_LABOR_HOURS)&gt;TEMP_HOURS_CAP),"",$C175+O$6-MIN(($D175+O$5),PERMANENT_FIELD_LABOR_HOURS)*PERMANENT_HOURLY_RATE-MAX(0,($D175+O$5)-PERMANENT_FIELD_LABOR_HOURS)*TEMP_HOURLY_RATE-FIXED_SEASON_COST)</f>
        <v>26164.5804690035</v>
      </c>
      <c r="P175" s="53" t="n">
        <f aca="false">IF(OR($A175&gt;TOMATO_BED_CAP,$B175&gt;CARROT_BED_CAP,P$4&gt;MESCLUN_BED_CAP,$A175+$B175+P$4&gt;TOTAL_BEDS_AVAILABLE,($D175+P$5)&gt;TOTAL_LABOR_HOURS_CAP,MAX(0,($D175+P$5)-PERMANENT_FIELD_LABOR_HOURS)&gt;TEMP_HOURS_CAP),"",$C175+P$6-MIN(($D175+P$5),PERMANENT_FIELD_LABOR_HOURS)*PERMANENT_HOURLY_RATE-MAX(0,($D175+P$5)-PERMANENT_FIELD_LABOR_HOURS)*TEMP_HOURLY_RATE-FIXED_SEASON_COST)</f>
        <v>27001.7693888549</v>
      </c>
      <c r="Q175" s="53" t="n">
        <f aca="false">IF(OR($A175&gt;TOMATO_BED_CAP,$B175&gt;CARROT_BED_CAP,Q$4&gt;MESCLUN_BED_CAP,$A175+$B175+Q$4&gt;TOTAL_BEDS_AVAILABLE,($D175+Q$5)&gt;TOTAL_LABOR_HOURS_CAP,MAX(0,($D175+Q$5)-PERMANENT_FIELD_LABOR_HOURS)&gt;TEMP_HOURS_CAP),"",$C175+Q$6-MIN(($D175+Q$5),PERMANENT_FIELD_LABOR_HOURS)*PERMANENT_HOURLY_RATE-MAX(0,($D175+Q$5)-PERMANENT_FIELD_LABOR_HOURS)*TEMP_HOURLY_RATE-FIXED_SEASON_COST)</f>
        <v>27815.6165455528</v>
      </c>
      <c r="R175" s="53" t="n">
        <f aca="false">IF(OR($A175&gt;TOMATO_BED_CAP,$B175&gt;CARROT_BED_CAP,R$4&gt;MESCLUN_BED_CAP,$A175+$B175+R$4&gt;TOTAL_BEDS_AVAILABLE,($D175+R$5)&gt;TOTAL_LABOR_HOURS_CAP,MAX(0,($D175+R$5)-PERMANENT_FIELD_LABOR_HOURS)&gt;TEMP_HOURS_CAP),"",$C175+R$6-MIN(($D175+R$5),PERMANENT_FIELD_LABOR_HOURS)*PERMANENT_HOURLY_RATE-MAX(0,($D175+R$5)-PERMANENT_FIELD_LABOR_HOURS)*TEMP_HOURLY_RATE-FIXED_SEASON_COST)</f>
        <v>28605.6919592496</v>
      </c>
      <c r="S175" s="53" t="n">
        <f aca="false">IF(OR($A175&gt;TOMATO_BED_CAP,$B175&gt;CARROT_BED_CAP,S$4&gt;MESCLUN_BED_CAP,$A175+$B175+S$4&gt;TOTAL_BEDS_AVAILABLE,($D175+S$5)&gt;TOTAL_LABOR_HOURS_CAP,MAX(0,($D175+S$5)-PERMANENT_FIELD_LABOR_HOURS)&gt;TEMP_HOURS_CAP),"",$C175+S$6-MIN(($D175+S$5),PERMANENT_FIELD_LABOR_HOURS)*PERMANENT_HOURLY_RATE-MAX(0,($D175+S$5)-PERMANENT_FIELD_LABOR_HOURS)*TEMP_HOURLY_RATE-FIXED_SEASON_COST)</f>
        <v>29371.558547752</v>
      </c>
      <c r="T175" s="53" t="n">
        <f aca="false">IF(OR($A175&gt;TOMATO_BED_CAP,$B175&gt;CARROT_BED_CAP,T$4&gt;MESCLUN_BED_CAP,$A175+$B175+T$4&gt;TOTAL_BEDS_AVAILABLE,($D175+T$5)&gt;TOTAL_LABOR_HOURS_CAP,MAX(0,($D175+T$5)-PERMANENT_FIELD_LABOR_HOURS)&gt;TEMP_HOURS_CAP),"",$C175+T$6-MIN(($D175+T$5),PERMANENT_FIELD_LABOR_HOURS)*PERMANENT_HOURLY_RATE-MAX(0,($D175+T$5)-PERMANENT_FIELD_LABOR_HOURS)*TEMP_HOURLY_RATE-FIXED_SEASON_COST)</f>
        <v>30112.7720161469</v>
      </c>
      <c r="U175" s="53" t="n">
        <f aca="false">IF(OR($A175&gt;TOMATO_BED_CAP,$B175&gt;CARROT_BED_CAP,U$4&gt;MESCLUN_BED_CAP,$A175+$B175+U$4&gt;TOTAL_BEDS_AVAILABLE,($D175+U$5)&gt;TOTAL_LABOR_HOURS_CAP,MAX(0,($D175+U$5)-PERMANENT_FIELD_LABOR_HOURS)&gt;TEMP_HOURS_CAP),"",$C175+U$6-MIN(($D175+U$5),PERMANENT_FIELD_LABOR_HOURS)*PERMANENT_HOURLY_RATE-MAX(0,($D175+U$5)-PERMANENT_FIELD_LABOR_HOURS)*TEMP_HOURLY_RATE-FIXED_SEASON_COST)</f>
        <v>30828.880744777</v>
      </c>
      <c r="V175" s="53" t="n">
        <f aca="false">IF(OR($A175&gt;TOMATO_BED_CAP,$B175&gt;CARROT_BED_CAP,V$4&gt;MESCLUN_BED_CAP,$A175+$B175+V$4&gt;TOTAL_BEDS_AVAILABLE,($D175+V$5)&gt;TOTAL_LABOR_HOURS_CAP,MAX(0,($D175+V$5)-PERMANENT_FIELD_LABOR_HOURS)&gt;TEMP_HOURS_CAP),"",$C175+V$6-MIN(($D175+V$5),PERMANENT_FIELD_LABOR_HOURS)*PERMANENT_HOURLY_RATE-MAX(0,($D175+V$5)-PERMANENT_FIELD_LABOR_HOURS)*TEMP_HOURLY_RATE-FIXED_SEASON_COST)</f>
        <v>31519.4256755438</v>
      </c>
      <c r="W175" s="53" t="n">
        <f aca="false">IF(OR($A175&gt;TOMATO_BED_CAP,$B175&gt;CARROT_BED_CAP,W$4&gt;MESCLUN_BED_CAP,$A175+$B175+W$4&gt;TOTAL_BEDS_AVAILABLE,($D175+W$5)&gt;TOTAL_LABOR_HOURS_CAP,MAX(0,($D175+W$5)-PERMANENT_FIELD_LABOR_HOURS)&gt;TEMP_HOURS_CAP),"",$C175+W$6-MIN(($D175+W$5),PERMANENT_FIELD_LABOR_HOURS)*PERMANENT_HOURLY_RATE-MAX(0,($D175+W$5)-PERMANENT_FIELD_LABOR_HOURS)*TEMP_HOURLY_RATE-FIXED_SEASON_COST)</f>
        <v>32183.9401965118</v>
      </c>
      <c r="X175" s="53" t="n">
        <f aca="false">IF(OR($A175&gt;TOMATO_BED_CAP,$B175&gt;CARROT_BED_CAP,X$4&gt;MESCLUN_BED_CAP,$A175+$B175+X$4&gt;TOTAL_BEDS_AVAILABLE,($D175+X$5)&gt;TOTAL_LABOR_HOURS_CAP,MAX(0,($D175+X$5)-PERMANENT_FIELD_LABOR_HOURS)&gt;TEMP_HOURS_CAP),"",$C175+X$6-MIN(($D175+X$5),PERMANENT_FIELD_LABOR_HOURS)*PERMANENT_HOURLY_RATE-MAX(0,($D175+X$5)-PERMANENT_FIELD_LABOR_HOURS)*TEMP_HOURLY_RATE-FIXED_SEASON_COST)</f>
        <v>32821.9500247908</v>
      </c>
      <c r="Y175" s="53" t="n">
        <f aca="false">IF(OR($A175&gt;TOMATO_BED_CAP,$B175&gt;CARROT_BED_CAP,Y$4&gt;MESCLUN_BED_CAP,$A175+$B175+Y$4&gt;TOTAL_BEDS_AVAILABLE,($D175+Y$5)&gt;TOTAL_LABOR_HOURS_CAP,MAX(0,($D175+Y$5)-PERMANENT_FIELD_LABOR_HOURS)&gt;TEMP_HOURS_CAP),"",$C175+Y$6-MIN(($D175+Y$5),PERMANENT_FIELD_LABOR_HOURS)*PERMANENT_HOURLY_RATE-MAX(0,($D175+Y$5)-PERMANENT_FIELD_LABOR_HOURS)*TEMP_HOURLY_RATE-FIXED_SEASON_COST)</f>
        <v>33432.9730876694</v>
      </c>
      <c r="Z175" s="53" t="n">
        <f aca="false">IF(OR($A175&gt;TOMATO_BED_CAP,$B175&gt;CARROT_BED_CAP,Z$4&gt;MESCLUN_BED_CAP,$A175+$B175+Z$4&gt;TOTAL_BEDS_AVAILABLE,($D175+Z$5)&gt;TOTAL_LABOR_HOURS_CAP,MAX(0,($D175+Z$5)-PERMANENT_FIELD_LABOR_HOURS)&gt;TEMP_HOURS_CAP),"",$C175+Z$6-MIN(($D175+Z$5),PERMANENT_FIELD_LABOR_HOURS)*PERMANENT_HOURLY_RATE-MAX(0,($D175+Z$5)-PERMANENT_FIELD_LABOR_HOURS)*TEMP_HOURLY_RATE-FIXED_SEASON_COST)</f>
        <v>34016.5194019772</v>
      </c>
      <c r="AA175" s="53" t="n">
        <f aca="false">IF(OR($A175&gt;TOMATO_BED_CAP,$B175&gt;CARROT_BED_CAP,AA$4&gt;MESCLUN_BED_CAP,$A175+$B175+AA$4&gt;TOTAL_BEDS_AVAILABLE,($D175+AA$5)&gt;TOTAL_LABOR_HOURS_CAP,MAX(0,($D175+AA$5)-PERMANENT_FIELD_LABOR_HOURS)&gt;TEMP_HOURS_CAP),"",$C175+AA$6-MIN(($D175+AA$5),PERMANENT_FIELD_LABOR_HOURS)*PERMANENT_HOURLY_RATE-MAX(0,($D175+AA$5)-PERMANENT_FIELD_LABOR_HOURS)*TEMP_HOURLY_RATE-FIXED_SEASON_COST)</f>
        <v>34572.0909516461</v>
      </c>
      <c r="AB175" s="53" t="n">
        <f aca="false">IF(OR($A175&gt;TOMATO_BED_CAP,$B175&gt;CARROT_BED_CAP,AB$4&gt;MESCLUN_BED_CAP,$A175+$B175+AB$4&gt;TOTAL_BEDS_AVAILABLE,($D175+AB$5)&gt;TOTAL_LABOR_HOURS_CAP,MAX(0,($D175+AB$5)-PERMANENT_FIELD_LABOR_HOURS)&gt;TEMP_HOURS_CAP),"",$C175+AB$6-MIN(($D175+AB$5),PERMANENT_FIELD_LABOR_HOURS)*PERMANENT_HOURLY_RATE-MAX(0,($D175+AB$5)-PERMANENT_FIELD_LABOR_HOURS)*TEMP_HOURLY_RATE-FIXED_SEASON_COST)</f>
        <v>35099.1815634487</v>
      </c>
      <c r="AC175" s="53" t="n">
        <f aca="false">IF(OR($A175&gt;TOMATO_BED_CAP,$B175&gt;CARROT_BED_CAP,AC$4&gt;MESCLUN_BED_CAP,$A175+$B175+AC$4&gt;TOTAL_BEDS_AVAILABLE,($D175+AC$5)&gt;TOTAL_LABOR_HOURS_CAP,MAX(0,($D175+AC$5)-PERMANENT_FIELD_LABOR_HOURS)&gt;TEMP_HOURS_CAP),"",$C175+AC$6-MIN(($D175+AC$5),PERMANENT_FIELD_LABOR_HOURS)*PERMANENT_HOURLY_RATE-MAX(0,($D175+AC$5)-PERMANENT_FIELD_LABOR_HOURS)*TEMP_HOURLY_RATE-FIXED_SEASON_COST)</f>
        <v>35597.2767808836</v>
      </c>
      <c r="AD175" s="53" t="n">
        <f aca="false">IF(OR($A175&gt;TOMATO_BED_CAP,$B175&gt;CARROT_BED_CAP,AD$4&gt;MESCLUN_BED_CAP,$A175+$B175+AD$4&gt;TOTAL_BEDS_AVAILABLE,($D175+AD$5)&gt;TOTAL_LABOR_HOURS_CAP,MAX(0,($D175+AD$5)-PERMANENT_FIELD_LABOR_HOURS)&gt;TEMP_HOURS_CAP),"",$C175+AD$6-MIN(($D175+AD$5),PERMANENT_FIELD_LABOR_HOURS)*PERMANENT_HOURLY_RATE-MAX(0,($D175+AD$5)-PERMANENT_FIELD_LABOR_HOURS)*TEMP_HOURLY_RATE-FIXED_SEASON_COST)</f>
        <v>36065.8537361835</v>
      </c>
      <c r="AE175" s="53" t="n">
        <f aca="false">IF(OR($A175&gt;TOMATO_BED_CAP,$B175&gt;CARROT_BED_CAP,AE$4&gt;MESCLUN_BED_CAP,$A175+$B175+AE$4&gt;TOTAL_BEDS_AVAILABLE,($D175+AE$5)&gt;TOTAL_LABOR_HOURS_CAP,MAX(0,($D175+AE$5)-PERMANENT_FIELD_LABOR_HOURS)&gt;TEMP_HOURS_CAP),"",$C175+AE$6-MIN(($D175+AE$5),PERMANENT_FIELD_LABOR_HOURS)*PERMANENT_HOURLY_RATE-MAX(0,($D175+AE$5)-PERMANENT_FIELD_LABOR_HOURS)*TEMP_HOURLY_RATE-FIXED_SEASON_COST)</f>
        <v>36504.3810204174</v>
      </c>
      <c r="AF175" s="53" t="n">
        <f aca="false">IF(OR($A175&gt;TOMATO_BED_CAP,$B175&gt;CARROT_BED_CAP,AF$4&gt;MESCLUN_BED_CAP,$A175+$B175+AF$4&gt;TOTAL_BEDS_AVAILABLE,($D175+AF$5)&gt;TOTAL_LABOR_HOURS_CAP,MAX(0,($D175+AF$5)-PERMANENT_FIELD_LABOR_HOURS)&gt;TEMP_HOURS_CAP),"",$C175+AF$6-MIN(($D175+AF$5),PERMANENT_FIELD_LABOR_HOURS)*PERMANENT_HOURLY_RATE-MAX(0,($D175+AF$5)-PERMANENT_FIELD_LABOR_HOURS)*TEMP_HOURLY_RATE-FIXED_SEASON_COST)</f>
        <v>36912.3185516594</v>
      </c>
      <c r="AG175" s="53" t="n">
        <f aca="false">IF(OR($A175&gt;TOMATO_BED_CAP,$B175&gt;CARROT_BED_CAP,AG$4&gt;MESCLUN_BED_CAP,$A175+$B175+AG$4&gt;TOTAL_BEDS_AVAILABLE,($D175+AG$5)&gt;TOTAL_LABOR_HOURS_CAP,MAX(0,($D175+AG$5)-PERMANENT_FIELD_LABOR_HOURS)&gt;TEMP_HOURS_CAP),"",$C175+AG$6-MIN(($D175+AG$5),PERMANENT_FIELD_LABOR_HOURS)*PERMANENT_HOURLY_RATE-MAX(0,($D175+AG$5)-PERMANENT_FIELD_LABOR_HOURS)*TEMP_HOURLY_RATE-FIXED_SEASON_COST)</f>
        <v>37289.1174411964</v>
      </c>
      <c r="AH175" s="53" t="n">
        <f aca="false">IF(OR($A175&gt;TOMATO_BED_CAP,$B175&gt;CARROT_BED_CAP,AH$4&gt;MESCLUN_BED_CAP,$A175+$B175+AH$4&gt;TOTAL_BEDS_AVAILABLE,($D175+AH$5)&gt;TOTAL_LABOR_HOURS_CAP,MAX(0,($D175+AH$5)-PERMANENT_FIELD_LABOR_HOURS)&gt;TEMP_HOURS_CAP),"",$C175+AH$6-MIN(($D175+AH$5),PERMANENT_FIELD_LABOR_HOURS)*PERMANENT_HOURLY_RATE-MAX(0,($D175+AH$5)-PERMANENT_FIELD_LABOR_HOURS)*TEMP_HOURLY_RATE-FIXED_SEASON_COST)</f>
        <v>37634.2198577466</v>
      </c>
      <c r="AI175" s="53" t="n">
        <f aca="false">IF(OR($A175&gt;TOMATO_BED_CAP,$B175&gt;CARROT_BED_CAP,AI$4&gt;MESCLUN_BED_CAP,$A175+$B175+AI$4&gt;TOTAL_BEDS_AVAILABLE,($D175+AI$5)&gt;TOTAL_LABOR_HOURS_CAP,MAX(0,($D175+AI$5)-PERMANENT_FIELD_LABOR_HOURS)&gt;TEMP_HOURS_CAP),"",$C175+AI$6-MIN(($D175+AI$5),PERMANENT_FIELD_LABOR_HOURS)*PERMANENT_HOURLY_RATE-MAX(0,($D175+AI$5)-PERMANENT_FIELD_LABOR_HOURS)*TEMP_HOURLY_RATE-FIXED_SEASON_COST)</f>
        <v>37947.0588896589</v>
      </c>
      <c r="AJ175" s="53" t="n">
        <f aca="false">IF(OR($A175&gt;TOMATO_BED_CAP,$B175&gt;CARROT_BED_CAP,AJ$4&gt;MESCLUN_BED_CAP,$A175+$B175+AJ$4&gt;TOTAL_BEDS_AVAILABLE,($D175+AJ$5)&gt;TOTAL_LABOR_HOURS_CAP,MAX(0,($D175+AJ$5)-PERMANENT_FIELD_LABOR_HOURS)&gt;TEMP_HOURS_CAP),"",$C175+AJ$6-MIN(($D175+AJ$5),PERMANENT_FIELD_LABOR_HOURS)*PERMANENT_HOURLY_RATE-MAX(0,($D175+AJ$5)-PERMANENT_FIELD_LABOR_HOURS)*TEMP_HOURLY_RATE-FIXED_SEASON_COST)</f>
        <v>38227.0584050646</v>
      </c>
    </row>
    <row r="176" customFormat="false" ht="15" hidden="false" customHeight="false" outlineLevel="0" collapsed="false">
      <c r="A176" s="21" t="n">
        <f aca="false">INT((ROW()-ROW($A$8))/(20+1))</f>
        <v>8</v>
      </c>
      <c r="B176" s="21" t="n">
        <f aca="false">MOD(ROW()-ROW($A$8),20+1)</f>
        <v>0</v>
      </c>
      <c r="C176" s="13" t="n">
        <f aca="false">A176*(TOMATO_REVENUE_PER_BED-TOMATO_FERTILIZER_PER_BED)+B176*(CARROT_REVENUE_PER_BED-CARROT_FERTILIZER_PER_BED)</f>
        <v>63360</v>
      </c>
      <c r="D176" s="14" t="n">
        <f aca="false">INDEX(TOMATO_SCHED_LABOR_HRS,A176+1)+INDEX(CARROT_SCHED_LABOR_HRS,B176+1)</f>
        <v>1543.3839432</v>
      </c>
      <c r="E176" s="13" t="n">
        <f aca="false">IF(COUNT(F176:AJ176)=0,"",MAX(F176:AJ176))</f>
        <v>24647.6440409205</v>
      </c>
      <c r="F176" s="53" t="n">
        <f aca="false">IF(OR($A176&gt;TOMATO_BED_CAP,$B176&gt;CARROT_BED_CAP,F$4&gt;MESCLUN_BED_CAP,$A176+$B176+F$4&gt;TOTAL_BEDS_AVAILABLE,($D176+F$5)&gt;TOTAL_LABOR_HOURS_CAP,MAX(0,($D176+F$5)-PERMANENT_FIELD_LABOR_HOURS)&gt;TEMP_HOURS_CAP),"",$C176+F$6-MIN(($D176+F$5),PERMANENT_FIELD_LABOR_HOURS)*PERMANENT_HOURLY_RATE-MAX(0,($D176+F$5)-PERMANENT_FIELD_LABOR_HOURS)*TEMP_HOURLY_RATE-FIXED_SEASON_COST)</f>
        <v>4067.65474604799</v>
      </c>
      <c r="G176" s="53" t="n">
        <f aca="false">IF(OR($A176&gt;TOMATO_BED_CAP,$B176&gt;CARROT_BED_CAP,G$4&gt;MESCLUN_BED_CAP,$A176+$B176+G$4&gt;TOTAL_BEDS_AVAILABLE,($D176+G$5)&gt;TOTAL_LABOR_HOURS_CAP,MAX(0,($D176+G$5)-PERMANENT_FIELD_LABOR_HOURS)&gt;TEMP_HOURS_CAP),"",$C176+G$6-MIN(($D176+G$5),PERMANENT_FIELD_LABOR_HOURS)*PERMANENT_HOURLY_RATE-MAX(0,($D176+G$5)-PERMANENT_FIELD_LABOR_HOURS)*TEMP_HOURLY_RATE-FIXED_SEASON_COST)</f>
        <v>5096.68974604799</v>
      </c>
      <c r="H176" s="53" t="n">
        <f aca="false">IF(OR($A176&gt;TOMATO_BED_CAP,$B176&gt;CARROT_BED_CAP,H$4&gt;MESCLUN_BED_CAP,$A176+$B176+H$4&gt;TOTAL_BEDS_AVAILABLE,($D176+H$5)&gt;TOTAL_LABOR_HOURS_CAP,MAX(0,($D176+H$5)-PERMANENT_FIELD_LABOR_HOURS)&gt;TEMP_HOURS_CAP),"",$C176+H$6-MIN(($D176+H$5),PERMANENT_FIELD_LABOR_HOURS)*PERMANENT_HOURLY_RATE-MAX(0,($D176+H$5)-PERMANENT_FIELD_LABOR_HOURS)*TEMP_HOURLY_RATE-FIXED_SEASON_COST)</f>
        <v>6105.95062104799</v>
      </c>
      <c r="I176" s="53" t="n">
        <f aca="false">IF(OR($A176&gt;TOMATO_BED_CAP,$B176&gt;CARROT_BED_CAP,I$4&gt;MESCLUN_BED_CAP,$A176+$B176+I$4&gt;TOTAL_BEDS_AVAILABLE,($D176+I$5)&gt;TOTAL_LABOR_HOURS_CAP,MAX(0,($D176+I$5)-PERMANENT_FIELD_LABOR_HOURS)&gt;TEMP_HOURS_CAP),"",$C176+I$6-MIN(($D176+I$5),PERMANENT_FIELD_LABOR_HOURS)*PERMANENT_HOURLY_RATE-MAX(0,($D176+I$5)-PERMANENT_FIELD_LABOR_HOURS)*TEMP_HOURLY_RATE-FIXED_SEASON_COST)</f>
        <v>7095.06660620424</v>
      </c>
      <c r="J176" s="53" t="n">
        <f aca="false">IF(OR($A176&gt;TOMATO_BED_CAP,$B176&gt;CARROT_BED_CAP,J$4&gt;MESCLUN_BED_CAP,$A176+$B176+J$4&gt;TOTAL_BEDS_AVAILABLE,($D176+J$5)&gt;TOTAL_LABOR_HOURS_CAP,MAX(0,($D176+J$5)-PERMANENT_FIELD_LABOR_HOURS)&gt;TEMP_HOURS_CAP),"",$C176+J$6-MIN(($D176+J$5),PERMANENT_FIELD_LABOR_HOURS)*PERMANENT_HOURLY_RATE-MAX(0,($D176+J$5)-PERMANENT_FIELD_LABOR_HOURS)*TEMP_HOURLY_RATE-FIXED_SEASON_COST)</f>
        <v>8063.66075725892</v>
      </c>
      <c r="K176" s="53" t="n">
        <f aca="false">IF(OR($A176&gt;TOMATO_BED_CAP,$B176&gt;CARROT_BED_CAP,K$4&gt;MESCLUN_BED_CAP,$A176+$B176+K$4&gt;TOTAL_BEDS_AVAILABLE,($D176+K$5)&gt;TOTAL_LABOR_HOURS_CAP,MAX(0,($D176+K$5)-PERMANENT_FIELD_LABOR_HOURS)&gt;TEMP_HOURS_CAP),"",$C176+K$6-MIN(($D176+K$5),PERMANENT_FIELD_LABOR_HOURS)*PERMANENT_HOURLY_RATE-MAX(0,($D176+K$5)-PERMANENT_FIELD_LABOR_HOURS)*TEMP_HOURLY_RATE-FIXED_SEASON_COST)</f>
        <v>9011.34985398683</v>
      </c>
      <c r="L176" s="53" t="n">
        <f aca="false">IF(OR($A176&gt;TOMATO_BED_CAP,$B176&gt;CARROT_BED_CAP,L$4&gt;MESCLUN_BED_CAP,$A176+$B176+L$4&gt;TOTAL_BEDS_AVAILABLE,($D176+L$5)&gt;TOTAL_LABOR_HOURS_CAP,MAX(0,($D176+L$5)-PERMANENT_FIELD_LABOR_HOURS)&gt;TEMP_HOURS_CAP),"",$C176+L$6-MIN(($D176+L$5),PERMANENT_FIELD_LABOR_HOURS)*PERMANENT_HOURLY_RATE-MAX(0,($D176+L$5)-PERMANENT_FIELD_LABOR_HOURS)*TEMP_HOURLY_RATE-FIXED_SEASON_COST)</f>
        <v>9937.74430219368</v>
      </c>
      <c r="M176" s="53" t="n">
        <f aca="false">IF(OR($A176&gt;TOMATO_BED_CAP,$B176&gt;CARROT_BED_CAP,M$4&gt;MESCLUN_BED_CAP,$A176+$B176+M$4&gt;TOTAL_BEDS_AVAILABLE,($D176+M$5)&gt;TOTAL_LABOR_HOURS_CAP,MAX(0,($D176+M$5)-PERMANENT_FIELD_LABOR_HOURS)&gt;TEMP_HOURS_CAP),"",$C176+M$6-MIN(($D176+M$5),PERMANENT_FIELD_LABOR_HOURS)*PERMANENT_HOURLY_RATE-MAX(0,($D176+M$5)-PERMANENT_FIELD_LABOR_HOURS)*TEMP_HOURLY_RATE-FIXED_SEASON_COST)</f>
        <v>10842.4480342451</v>
      </c>
      <c r="N176" s="53" t="n">
        <f aca="false">IF(OR($A176&gt;TOMATO_BED_CAP,$B176&gt;CARROT_BED_CAP,N$4&gt;MESCLUN_BED_CAP,$A176+$B176+N$4&gt;TOTAL_BEDS_AVAILABLE,($D176+N$5)&gt;TOTAL_LABOR_HOURS_CAP,MAX(0,($D176+N$5)-PERMANENT_FIELD_LABOR_HOURS)&gt;TEMP_HOURS_CAP),"",$C176+N$6-MIN(($D176+N$5),PERMANENT_FIELD_LABOR_HOURS)*PERMANENT_HOURLY_RATE-MAX(0,($D176+N$5)-PERMANENT_FIELD_LABOR_HOURS)*TEMP_HOURLY_RATE-FIXED_SEASON_COST)</f>
        <v>11725.0584081046</v>
      </c>
      <c r="O176" s="53" t="n">
        <f aca="false">IF(OR($A176&gt;TOMATO_BED_CAP,$B176&gt;CARROT_BED_CAP,O$4&gt;MESCLUN_BED_CAP,$A176+$B176+O$4&gt;TOTAL_BEDS_AVAILABLE,($D176+O$5)&gt;TOTAL_LABOR_HOURS_CAP,MAX(0,($D176+O$5)-PERMANENT_FIELD_LABOR_HOURS)&gt;TEMP_HOURS_CAP),"",$C176+O$6-MIN(($D176+O$5),PERMANENT_FIELD_LABOR_HOURS)*PERMANENT_HOURLY_RATE-MAX(0,($D176+O$5)-PERMANENT_FIELD_LABOR_HOURS)*TEMP_HOURLY_RATE-FIXED_SEASON_COST)</f>
        <v>12585.1661048594</v>
      </c>
      <c r="P176" s="53" t="n">
        <f aca="false">IF(OR($A176&gt;TOMATO_BED_CAP,$B176&gt;CARROT_BED_CAP,P$4&gt;MESCLUN_BED_CAP,$A176+$B176+P$4&gt;TOTAL_BEDS_AVAILABLE,($D176+P$5)&gt;TOTAL_LABOR_HOURS_CAP,MAX(0,($D176+P$5)-PERMANENT_FIELD_LABOR_HOURS)&gt;TEMP_HOURS_CAP),"",$C176+P$6-MIN(($D176+P$5),PERMANENT_FIELD_LABOR_HOURS)*PERMANENT_HOURLY_RATE-MAX(0,($D176+P$5)-PERMANENT_FIELD_LABOR_HOURS)*TEMP_HOURLY_RATE-FIXED_SEASON_COST)</f>
        <v>13422.3550247108</v>
      </c>
      <c r="Q176" s="53" t="n">
        <f aca="false">IF(OR($A176&gt;TOMATO_BED_CAP,$B176&gt;CARROT_BED_CAP,Q$4&gt;MESCLUN_BED_CAP,$A176+$B176+Q$4&gt;TOTAL_BEDS_AVAILABLE,($D176+Q$5)&gt;TOTAL_LABOR_HOURS_CAP,MAX(0,($D176+Q$5)-PERMANENT_FIELD_LABOR_HOURS)&gt;TEMP_HOURS_CAP),"",$C176+Q$6-MIN(($D176+Q$5),PERMANENT_FIELD_LABOR_HOURS)*PERMANENT_HOURLY_RATE-MAX(0,($D176+Q$5)-PERMANENT_FIELD_LABOR_HOURS)*TEMP_HOURLY_RATE-FIXED_SEASON_COST)</f>
        <v>14236.2021814087</v>
      </c>
      <c r="R176" s="53" t="n">
        <f aca="false">IF(OR($A176&gt;TOMATO_BED_CAP,$B176&gt;CARROT_BED_CAP,R$4&gt;MESCLUN_BED_CAP,$A176+$B176+R$4&gt;TOTAL_BEDS_AVAILABLE,($D176+R$5)&gt;TOTAL_LABOR_HOURS_CAP,MAX(0,($D176+R$5)-PERMANENT_FIELD_LABOR_HOURS)&gt;TEMP_HOURS_CAP),"",$C176+R$6-MIN(($D176+R$5),PERMANENT_FIELD_LABOR_HOURS)*PERMANENT_HOURLY_RATE-MAX(0,($D176+R$5)-PERMANENT_FIELD_LABOR_HOURS)*TEMP_HOURLY_RATE-FIXED_SEASON_COST)</f>
        <v>15026.2775951055</v>
      </c>
      <c r="S176" s="53" t="n">
        <f aca="false">IF(OR($A176&gt;TOMATO_BED_CAP,$B176&gt;CARROT_BED_CAP,S$4&gt;MESCLUN_BED_CAP,$A176+$B176+S$4&gt;TOTAL_BEDS_AVAILABLE,($D176+S$5)&gt;TOTAL_LABOR_HOURS_CAP,MAX(0,($D176+S$5)-PERMANENT_FIELD_LABOR_HOURS)&gt;TEMP_HOURS_CAP),"",$C176+S$6-MIN(($D176+S$5),PERMANENT_FIELD_LABOR_HOURS)*PERMANENT_HOURLY_RATE-MAX(0,($D176+S$5)-PERMANENT_FIELD_LABOR_HOURS)*TEMP_HOURLY_RATE-FIXED_SEASON_COST)</f>
        <v>15792.144183608</v>
      </c>
      <c r="T176" s="53" t="n">
        <f aca="false">IF(OR($A176&gt;TOMATO_BED_CAP,$B176&gt;CARROT_BED_CAP,T$4&gt;MESCLUN_BED_CAP,$A176+$B176+T$4&gt;TOTAL_BEDS_AVAILABLE,($D176+T$5)&gt;TOTAL_LABOR_HOURS_CAP,MAX(0,($D176+T$5)-PERMANENT_FIELD_LABOR_HOURS)&gt;TEMP_HOURS_CAP),"",$C176+T$6-MIN(($D176+T$5),PERMANENT_FIELD_LABOR_HOURS)*PERMANENT_HOURLY_RATE-MAX(0,($D176+T$5)-PERMANENT_FIELD_LABOR_HOURS)*TEMP_HOURLY_RATE-FIXED_SEASON_COST)</f>
        <v>16533.3576520028</v>
      </c>
      <c r="U176" s="53" t="n">
        <f aca="false">IF(OR($A176&gt;TOMATO_BED_CAP,$B176&gt;CARROT_BED_CAP,U$4&gt;MESCLUN_BED_CAP,$A176+$B176+U$4&gt;TOTAL_BEDS_AVAILABLE,($D176+U$5)&gt;TOTAL_LABOR_HOURS_CAP,MAX(0,($D176+U$5)-PERMANENT_FIELD_LABOR_HOURS)&gt;TEMP_HOURS_CAP),"",$C176+U$6-MIN(($D176+U$5),PERMANENT_FIELD_LABOR_HOURS)*PERMANENT_HOURLY_RATE-MAX(0,($D176+U$5)-PERMANENT_FIELD_LABOR_HOURS)*TEMP_HOURLY_RATE-FIXED_SEASON_COST)</f>
        <v>17249.4663806329</v>
      </c>
      <c r="V176" s="53" t="n">
        <f aca="false">IF(OR($A176&gt;TOMATO_BED_CAP,$B176&gt;CARROT_BED_CAP,V$4&gt;MESCLUN_BED_CAP,$A176+$B176+V$4&gt;TOTAL_BEDS_AVAILABLE,($D176+V$5)&gt;TOTAL_LABOR_HOURS_CAP,MAX(0,($D176+V$5)-PERMANENT_FIELD_LABOR_HOURS)&gt;TEMP_HOURS_CAP),"",$C176+V$6-MIN(($D176+V$5),PERMANENT_FIELD_LABOR_HOURS)*PERMANENT_HOURLY_RATE-MAX(0,($D176+V$5)-PERMANENT_FIELD_LABOR_HOURS)*TEMP_HOURLY_RATE-FIXED_SEASON_COST)</f>
        <v>17940.0113113997</v>
      </c>
      <c r="W176" s="53" t="n">
        <f aca="false">IF(OR($A176&gt;TOMATO_BED_CAP,$B176&gt;CARROT_BED_CAP,W$4&gt;MESCLUN_BED_CAP,$A176+$B176+W$4&gt;TOTAL_BEDS_AVAILABLE,($D176+W$5)&gt;TOTAL_LABOR_HOURS_CAP,MAX(0,($D176+W$5)-PERMANENT_FIELD_LABOR_HOURS)&gt;TEMP_HOURS_CAP),"",$C176+W$6-MIN(($D176+W$5),PERMANENT_FIELD_LABOR_HOURS)*PERMANENT_HOURLY_RATE-MAX(0,($D176+W$5)-PERMANENT_FIELD_LABOR_HOURS)*TEMP_HOURLY_RATE-FIXED_SEASON_COST)</f>
        <v>18604.5258323678</v>
      </c>
      <c r="X176" s="53" t="n">
        <f aca="false">IF(OR($A176&gt;TOMATO_BED_CAP,$B176&gt;CARROT_BED_CAP,X$4&gt;MESCLUN_BED_CAP,$A176+$B176+X$4&gt;TOTAL_BEDS_AVAILABLE,($D176+X$5)&gt;TOTAL_LABOR_HOURS_CAP,MAX(0,($D176+X$5)-PERMANENT_FIELD_LABOR_HOURS)&gt;TEMP_HOURS_CAP),"",$C176+X$6-MIN(($D176+X$5),PERMANENT_FIELD_LABOR_HOURS)*PERMANENT_HOURLY_RATE-MAX(0,($D176+X$5)-PERMANENT_FIELD_LABOR_HOURS)*TEMP_HOURLY_RATE-FIXED_SEASON_COST)</f>
        <v>19242.5356606467</v>
      </c>
      <c r="Y176" s="53" t="n">
        <f aca="false">IF(OR($A176&gt;TOMATO_BED_CAP,$B176&gt;CARROT_BED_CAP,Y$4&gt;MESCLUN_BED_CAP,$A176+$B176+Y$4&gt;TOTAL_BEDS_AVAILABLE,($D176+Y$5)&gt;TOTAL_LABOR_HOURS_CAP,MAX(0,($D176+Y$5)-PERMANENT_FIELD_LABOR_HOURS)&gt;TEMP_HOURS_CAP),"",$C176+Y$6-MIN(($D176+Y$5),PERMANENT_FIELD_LABOR_HOURS)*PERMANENT_HOURLY_RATE-MAX(0,($D176+Y$5)-PERMANENT_FIELD_LABOR_HOURS)*TEMP_HOURLY_RATE-FIXED_SEASON_COST)</f>
        <v>19853.5587235253</v>
      </c>
      <c r="Z176" s="53" t="n">
        <f aca="false">IF(OR($A176&gt;TOMATO_BED_CAP,$B176&gt;CARROT_BED_CAP,Z$4&gt;MESCLUN_BED_CAP,$A176+$B176+Z$4&gt;TOTAL_BEDS_AVAILABLE,($D176+Z$5)&gt;TOTAL_LABOR_HOURS_CAP,MAX(0,($D176+Z$5)-PERMANENT_FIELD_LABOR_HOURS)&gt;TEMP_HOURS_CAP),"",$C176+Z$6-MIN(($D176+Z$5),PERMANENT_FIELD_LABOR_HOURS)*PERMANENT_HOURLY_RATE-MAX(0,($D176+Z$5)-PERMANENT_FIELD_LABOR_HOURS)*TEMP_HOURLY_RATE-FIXED_SEASON_COST)</f>
        <v>20437.1050378331</v>
      </c>
      <c r="AA176" s="53" t="n">
        <f aca="false">IF(OR($A176&gt;TOMATO_BED_CAP,$B176&gt;CARROT_BED_CAP,AA$4&gt;MESCLUN_BED_CAP,$A176+$B176+AA$4&gt;TOTAL_BEDS_AVAILABLE,($D176+AA$5)&gt;TOTAL_LABOR_HOURS_CAP,MAX(0,($D176+AA$5)-PERMANENT_FIELD_LABOR_HOURS)&gt;TEMP_HOURS_CAP),"",$C176+AA$6-MIN(($D176+AA$5),PERMANENT_FIELD_LABOR_HOURS)*PERMANENT_HOURLY_RATE-MAX(0,($D176+AA$5)-PERMANENT_FIELD_LABOR_HOURS)*TEMP_HOURLY_RATE-FIXED_SEASON_COST)</f>
        <v>20992.676587502</v>
      </c>
      <c r="AB176" s="53" t="n">
        <f aca="false">IF(OR($A176&gt;TOMATO_BED_CAP,$B176&gt;CARROT_BED_CAP,AB$4&gt;MESCLUN_BED_CAP,$A176+$B176+AB$4&gt;TOTAL_BEDS_AVAILABLE,($D176+AB$5)&gt;TOTAL_LABOR_HOURS_CAP,MAX(0,($D176+AB$5)-PERMANENT_FIELD_LABOR_HOURS)&gt;TEMP_HOURS_CAP),"",$C176+AB$6-MIN(($D176+AB$5),PERMANENT_FIELD_LABOR_HOURS)*PERMANENT_HOURLY_RATE-MAX(0,($D176+AB$5)-PERMANENT_FIELD_LABOR_HOURS)*TEMP_HOURLY_RATE-FIXED_SEASON_COST)</f>
        <v>21519.7671993046</v>
      </c>
      <c r="AC176" s="53" t="n">
        <f aca="false">IF(OR($A176&gt;TOMATO_BED_CAP,$B176&gt;CARROT_BED_CAP,AC$4&gt;MESCLUN_BED_CAP,$A176+$B176+AC$4&gt;TOTAL_BEDS_AVAILABLE,($D176+AC$5)&gt;TOTAL_LABOR_HOURS_CAP,MAX(0,($D176+AC$5)-PERMANENT_FIELD_LABOR_HOURS)&gt;TEMP_HOURS_CAP),"",$C176+AC$6-MIN(($D176+AC$5),PERMANENT_FIELD_LABOR_HOURS)*PERMANENT_HOURLY_RATE-MAX(0,($D176+AC$5)-PERMANENT_FIELD_LABOR_HOURS)*TEMP_HOURLY_RATE-FIXED_SEASON_COST)</f>
        <v>22017.8624167395</v>
      </c>
      <c r="AD176" s="53" t="n">
        <f aca="false">IF(OR($A176&gt;TOMATO_BED_CAP,$B176&gt;CARROT_BED_CAP,AD$4&gt;MESCLUN_BED_CAP,$A176+$B176+AD$4&gt;TOTAL_BEDS_AVAILABLE,($D176+AD$5)&gt;TOTAL_LABOR_HOURS_CAP,MAX(0,($D176+AD$5)-PERMANENT_FIELD_LABOR_HOURS)&gt;TEMP_HOURS_CAP),"",$C176+AD$6-MIN(($D176+AD$5),PERMANENT_FIELD_LABOR_HOURS)*PERMANENT_HOURLY_RATE-MAX(0,($D176+AD$5)-PERMANENT_FIELD_LABOR_HOURS)*TEMP_HOURLY_RATE-FIXED_SEASON_COST)</f>
        <v>22486.4393720394</v>
      </c>
      <c r="AE176" s="53" t="n">
        <f aca="false">IF(OR($A176&gt;TOMATO_BED_CAP,$B176&gt;CARROT_BED_CAP,AE$4&gt;MESCLUN_BED_CAP,$A176+$B176+AE$4&gt;TOTAL_BEDS_AVAILABLE,($D176+AE$5)&gt;TOTAL_LABOR_HOURS_CAP,MAX(0,($D176+AE$5)-PERMANENT_FIELD_LABOR_HOURS)&gt;TEMP_HOURS_CAP),"",$C176+AE$6-MIN(($D176+AE$5),PERMANENT_FIELD_LABOR_HOURS)*PERMANENT_HOURLY_RATE-MAX(0,($D176+AE$5)-PERMANENT_FIELD_LABOR_HOURS)*TEMP_HOURLY_RATE-FIXED_SEASON_COST)</f>
        <v>22924.9666562733</v>
      </c>
      <c r="AF176" s="53" t="n">
        <f aca="false">IF(OR($A176&gt;TOMATO_BED_CAP,$B176&gt;CARROT_BED_CAP,AF$4&gt;MESCLUN_BED_CAP,$A176+$B176+AF$4&gt;TOTAL_BEDS_AVAILABLE,($D176+AF$5)&gt;TOTAL_LABOR_HOURS_CAP,MAX(0,($D176+AF$5)-PERMANENT_FIELD_LABOR_HOURS)&gt;TEMP_HOURS_CAP),"",$C176+AF$6-MIN(($D176+AF$5),PERMANENT_FIELD_LABOR_HOURS)*PERMANENT_HOURLY_RATE-MAX(0,($D176+AF$5)-PERMANENT_FIELD_LABOR_HOURS)*TEMP_HOURLY_RATE-FIXED_SEASON_COST)</f>
        <v>23332.9041875153</v>
      </c>
      <c r="AG176" s="53" t="n">
        <f aca="false">IF(OR($A176&gt;TOMATO_BED_CAP,$B176&gt;CARROT_BED_CAP,AG$4&gt;MESCLUN_BED_CAP,$A176+$B176+AG$4&gt;TOTAL_BEDS_AVAILABLE,($D176+AG$5)&gt;TOTAL_LABOR_HOURS_CAP,MAX(0,($D176+AG$5)-PERMANENT_FIELD_LABOR_HOURS)&gt;TEMP_HOURS_CAP),"",$C176+AG$6-MIN(($D176+AG$5),PERMANENT_FIELD_LABOR_HOURS)*PERMANENT_HOURLY_RATE-MAX(0,($D176+AG$5)-PERMANENT_FIELD_LABOR_HOURS)*TEMP_HOURLY_RATE-FIXED_SEASON_COST)</f>
        <v>23709.7030770523</v>
      </c>
      <c r="AH176" s="53" t="n">
        <f aca="false">IF(OR($A176&gt;TOMATO_BED_CAP,$B176&gt;CARROT_BED_CAP,AH$4&gt;MESCLUN_BED_CAP,$A176+$B176+AH$4&gt;TOTAL_BEDS_AVAILABLE,($D176+AH$5)&gt;TOTAL_LABOR_HOURS_CAP,MAX(0,($D176+AH$5)-PERMANENT_FIELD_LABOR_HOURS)&gt;TEMP_HOURS_CAP),"",$C176+AH$6-MIN(($D176+AH$5),PERMANENT_FIELD_LABOR_HOURS)*PERMANENT_HOURLY_RATE-MAX(0,($D176+AH$5)-PERMANENT_FIELD_LABOR_HOURS)*TEMP_HOURLY_RATE-FIXED_SEASON_COST)</f>
        <v>24054.8054936025</v>
      </c>
      <c r="AI176" s="53" t="n">
        <f aca="false">IF(OR($A176&gt;TOMATO_BED_CAP,$B176&gt;CARROT_BED_CAP,AI$4&gt;MESCLUN_BED_CAP,$A176+$B176+AI$4&gt;TOTAL_BEDS_AVAILABLE,($D176+AI$5)&gt;TOTAL_LABOR_HOURS_CAP,MAX(0,($D176+AI$5)-PERMANENT_FIELD_LABOR_HOURS)&gt;TEMP_HOURS_CAP),"",$C176+AI$6-MIN(($D176+AI$5),PERMANENT_FIELD_LABOR_HOURS)*PERMANENT_HOURLY_RATE-MAX(0,($D176+AI$5)-PERMANENT_FIELD_LABOR_HOURS)*TEMP_HOURLY_RATE-FIXED_SEASON_COST)</f>
        <v>24367.6445255148</v>
      </c>
      <c r="AJ176" s="53" t="n">
        <f aca="false">IF(OR($A176&gt;TOMATO_BED_CAP,$B176&gt;CARROT_BED_CAP,AJ$4&gt;MESCLUN_BED_CAP,$A176+$B176+AJ$4&gt;TOTAL_BEDS_AVAILABLE,($D176+AJ$5)&gt;TOTAL_LABOR_HOURS_CAP,MAX(0,($D176+AJ$5)-PERMANENT_FIELD_LABOR_HOURS)&gt;TEMP_HOURS_CAP),"",$C176+AJ$6-MIN(($D176+AJ$5),PERMANENT_FIELD_LABOR_HOURS)*PERMANENT_HOURLY_RATE-MAX(0,($D176+AJ$5)-PERMANENT_FIELD_LABOR_HOURS)*TEMP_HOURLY_RATE-FIXED_SEASON_COST)</f>
        <v>24647.6440409205</v>
      </c>
    </row>
    <row r="177" customFormat="false" ht="15" hidden="false" customHeight="false" outlineLevel="0" collapsed="false">
      <c r="A177" s="21" t="n">
        <f aca="false">INT((ROW()-ROW($A$8))/(20+1))</f>
        <v>8</v>
      </c>
      <c r="B177" s="21" t="n">
        <f aca="false">MOD(ROW()-ROW($A$8),20+1)</f>
        <v>1</v>
      </c>
      <c r="C177" s="13" t="n">
        <f aca="false">A177*(TOMATO_REVENUE_PER_BED-TOMATO_FERTILIZER_PER_BED)+B177*(CARROT_REVENUE_PER_BED-CARROT_FERTILIZER_PER_BED)</f>
        <v>65014</v>
      </c>
      <c r="D177" s="14" t="n">
        <f aca="false">INDEX(TOMATO_SCHED_LABOR_HRS,A177+1)+INDEX(CARROT_SCHED_LABOR_HRS,B177+1)</f>
        <v>1574.1216432</v>
      </c>
      <c r="E177" s="13" t="n">
        <f aca="false">IF(COUNT(F177:AJ177)=0,"",MAX(F177:AJ177))</f>
        <v>25768.0375689205</v>
      </c>
      <c r="F177" s="53" t="n">
        <f aca="false">IF(OR($A177&gt;TOMATO_BED_CAP,$B177&gt;CARROT_BED_CAP,F$4&gt;MESCLUN_BED_CAP,$A177+$B177+F$4&gt;TOTAL_BEDS_AVAILABLE,($D177+F$5)&gt;TOTAL_LABOR_HOURS_CAP,MAX(0,($D177+F$5)-PERMANENT_FIELD_LABOR_HOURS)&gt;TEMP_HOURS_CAP),"",$C177+F$6-MIN(($D177+F$5),PERMANENT_FIELD_LABOR_HOURS)*PERMANENT_HOURLY_RATE-MAX(0,($D177+F$5)-PERMANENT_FIELD_LABOR_HOURS)*TEMP_HOURLY_RATE-FIXED_SEASON_COST)</f>
        <v>5188.04827404799</v>
      </c>
      <c r="G177" s="53" t="n">
        <f aca="false">IF(OR($A177&gt;TOMATO_BED_CAP,$B177&gt;CARROT_BED_CAP,G$4&gt;MESCLUN_BED_CAP,$A177+$B177+G$4&gt;TOTAL_BEDS_AVAILABLE,($D177+G$5)&gt;TOTAL_LABOR_HOURS_CAP,MAX(0,($D177+G$5)-PERMANENT_FIELD_LABOR_HOURS)&gt;TEMP_HOURS_CAP),"",$C177+G$6-MIN(($D177+G$5),PERMANENT_FIELD_LABOR_HOURS)*PERMANENT_HOURLY_RATE-MAX(0,($D177+G$5)-PERMANENT_FIELD_LABOR_HOURS)*TEMP_HOURLY_RATE-FIXED_SEASON_COST)</f>
        <v>6217.08327404799</v>
      </c>
      <c r="H177" s="53" t="n">
        <f aca="false">IF(OR($A177&gt;TOMATO_BED_CAP,$B177&gt;CARROT_BED_CAP,H$4&gt;MESCLUN_BED_CAP,$A177+$B177+H$4&gt;TOTAL_BEDS_AVAILABLE,($D177+H$5)&gt;TOTAL_LABOR_HOURS_CAP,MAX(0,($D177+H$5)-PERMANENT_FIELD_LABOR_HOURS)&gt;TEMP_HOURS_CAP),"",$C177+H$6-MIN(($D177+H$5),PERMANENT_FIELD_LABOR_HOURS)*PERMANENT_HOURLY_RATE-MAX(0,($D177+H$5)-PERMANENT_FIELD_LABOR_HOURS)*TEMP_HOURLY_RATE-FIXED_SEASON_COST)</f>
        <v>7226.34414904799</v>
      </c>
      <c r="I177" s="53" t="n">
        <f aca="false">IF(OR($A177&gt;TOMATO_BED_CAP,$B177&gt;CARROT_BED_CAP,I$4&gt;MESCLUN_BED_CAP,$A177+$B177+I$4&gt;TOTAL_BEDS_AVAILABLE,($D177+I$5)&gt;TOTAL_LABOR_HOURS_CAP,MAX(0,($D177+I$5)-PERMANENT_FIELD_LABOR_HOURS)&gt;TEMP_HOURS_CAP),"",$C177+I$6-MIN(($D177+I$5),PERMANENT_FIELD_LABOR_HOURS)*PERMANENT_HOURLY_RATE-MAX(0,($D177+I$5)-PERMANENT_FIELD_LABOR_HOURS)*TEMP_HOURLY_RATE-FIXED_SEASON_COST)</f>
        <v>8215.46013420424</v>
      </c>
      <c r="J177" s="53" t="n">
        <f aca="false">IF(OR($A177&gt;TOMATO_BED_CAP,$B177&gt;CARROT_BED_CAP,J$4&gt;MESCLUN_BED_CAP,$A177+$B177+J$4&gt;TOTAL_BEDS_AVAILABLE,($D177+J$5)&gt;TOTAL_LABOR_HOURS_CAP,MAX(0,($D177+J$5)-PERMANENT_FIELD_LABOR_HOURS)&gt;TEMP_HOURS_CAP),"",$C177+J$6-MIN(($D177+J$5),PERMANENT_FIELD_LABOR_HOURS)*PERMANENT_HOURLY_RATE-MAX(0,($D177+J$5)-PERMANENT_FIELD_LABOR_HOURS)*TEMP_HOURLY_RATE-FIXED_SEASON_COST)</f>
        <v>9184.05428525892</v>
      </c>
      <c r="K177" s="53" t="n">
        <f aca="false">IF(OR($A177&gt;TOMATO_BED_CAP,$B177&gt;CARROT_BED_CAP,K$4&gt;MESCLUN_BED_CAP,$A177+$B177+K$4&gt;TOTAL_BEDS_AVAILABLE,($D177+K$5)&gt;TOTAL_LABOR_HOURS_CAP,MAX(0,($D177+K$5)-PERMANENT_FIELD_LABOR_HOURS)&gt;TEMP_HOURS_CAP),"",$C177+K$6-MIN(($D177+K$5),PERMANENT_FIELD_LABOR_HOURS)*PERMANENT_HOURLY_RATE-MAX(0,($D177+K$5)-PERMANENT_FIELD_LABOR_HOURS)*TEMP_HOURLY_RATE-FIXED_SEASON_COST)</f>
        <v>10131.7433819868</v>
      </c>
      <c r="L177" s="53" t="n">
        <f aca="false">IF(OR($A177&gt;TOMATO_BED_CAP,$B177&gt;CARROT_BED_CAP,L$4&gt;MESCLUN_BED_CAP,$A177+$B177+L$4&gt;TOTAL_BEDS_AVAILABLE,($D177+L$5)&gt;TOTAL_LABOR_HOURS_CAP,MAX(0,($D177+L$5)-PERMANENT_FIELD_LABOR_HOURS)&gt;TEMP_HOURS_CAP),"",$C177+L$6-MIN(($D177+L$5),PERMANENT_FIELD_LABOR_HOURS)*PERMANENT_HOURLY_RATE-MAX(0,($D177+L$5)-PERMANENT_FIELD_LABOR_HOURS)*TEMP_HOURLY_RATE-FIXED_SEASON_COST)</f>
        <v>11058.1378301937</v>
      </c>
      <c r="M177" s="53" t="n">
        <f aca="false">IF(OR($A177&gt;TOMATO_BED_CAP,$B177&gt;CARROT_BED_CAP,M$4&gt;MESCLUN_BED_CAP,$A177+$B177+M$4&gt;TOTAL_BEDS_AVAILABLE,($D177+M$5)&gt;TOTAL_LABOR_HOURS_CAP,MAX(0,($D177+M$5)-PERMANENT_FIELD_LABOR_HOURS)&gt;TEMP_HOURS_CAP),"",$C177+M$6-MIN(($D177+M$5),PERMANENT_FIELD_LABOR_HOURS)*PERMANENT_HOURLY_RATE-MAX(0,($D177+M$5)-PERMANENT_FIELD_LABOR_HOURS)*TEMP_HOURLY_RATE-FIXED_SEASON_COST)</f>
        <v>11962.8415622451</v>
      </c>
      <c r="N177" s="53" t="n">
        <f aca="false">IF(OR($A177&gt;TOMATO_BED_CAP,$B177&gt;CARROT_BED_CAP,N$4&gt;MESCLUN_BED_CAP,$A177+$B177+N$4&gt;TOTAL_BEDS_AVAILABLE,($D177+N$5)&gt;TOTAL_LABOR_HOURS_CAP,MAX(0,($D177+N$5)-PERMANENT_FIELD_LABOR_HOURS)&gt;TEMP_HOURS_CAP),"",$C177+N$6-MIN(($D177+N$5),PERMANENT_FIELD_LABOR_HOURS)*PERMANENT_HOURLY_RATE-MAX(0,($D177+N$5)-PERMANENT_FIELD_LABOR_HOURS)*TEMP_HOURLY_RATE-FIXED_SEASON_COST)</f>
        <v>12845.4519361046</v>
      </c>
      <c r="O177" s="53" t="n">
        <f aca="false">IF(OR($A177&gt;TOMATO_BED_CAP,$B177&gt;CARROT_BED_CAP,O$4&gt;MESCLUN_BED_CAP,$A177+$B177+O$4&gt;TOTAL_BEDS_AVAILABLE,($D177+O$5)&gt;TOTAL_LABOR_HOURS_CAP,MAX(0,($D177+O$5)-PERMANENT_FIELD_LABOR_HOURS)&gt;TEMP_HOURS_CAP),"",$C177+O$6-MIN(($D177+O$5),PERMANENT_FIELD_LABOR_HOURS)*PERMANENT_HOURLY_RATE-MAX(0,($D177+O$5)-PERMANENT_FIELD_LABOR_HOURS)*TEMP_HOURLY_RATE-FIXED_SEASON_COST)</f>
        <v>13705.5596328594</v>
      </c>
      <c r="P177" s="53" t="n">
        <f aca="false">IF(OR($A177&gt;TOMATO_BED_CAP,$B177&gt;CARROT_BED_CAP,P$4&gt;MESCLUN_BED_CAP,$A177+$B177+P$4&gt;TOTAL_BEDS_AVAILABLE,($D177+P$5)&gt;TOTAL_LABOR_HOURS_CAP,MAX(0,($D177+P$5)-PERMANENT_FIELD_LABOR_HOURS)&gt;TEMP_HOURS_CAP),"",$C177+P$6-MIN(($D177+P$5),PERMANENT_FIELD_LABOR_HOURS)*PERMANENT_HOURLY_RATE-MAX(0,($D177+P$5)-PERMANENT_FIELD_LABOR_HOURS)*TEMP_HOURLY_RATE-FIXED_SEASON_COST)</f>
        <v>14542.7485527108</v>
      </c>
      <c r="Q177" s="53" t="n">
        <f aca="false">IF(OR($A177&gt;TOMATO_BED_CAP,$B177&gt;CARROT_BED_CAP,Q$4&gt;MESCLUN_BED_CAP,$A177+$B177+Q$4&gt;TOTAL_BEDS_AVAILABLE,($D177+Q$5)&gt;TOTAL_LABOR_HOURS_CAP,MAX(0,($D177+Q$5)-PERMANENT_FIELD_LABOR_HOURS)&gt;TEMP_HOURS_CAP),"",$C177+Q$6-MIN(($D177+Q$5),PERMANENT_FIELD_LABOR_HOURS)*PERMANENT_HOURLY_RATE-MAX(0,($D177+Q$5)-PERMANENT_FIELD_LABOR_HOURS)*TEMP_HOURLY_RATE-FIXED_SEASON_COST)</f>
        <v>15356.5957094087</v>
      </c>
      <c r="R177" s="53" t="n">
        <f aca="false">IF(OR($A177&gt;TOMATO_BED_CAP,$B177&gt;CARROT_BED_CAP,R$4&gt;MESCLUN_BED_CAP,$A177+$B177+R$4&gt;TOTAL_BEDS_AVAILABLE,($D177+R$5)&gt;TOTAL_LABOR_HOURS_CAP,MAX(0,($D177+R$5)-PERMANENT_FIELD_LABOR_HOURS)&gt;TEMP_HOURS_CAP),"",$C177+R$6-MIN(($D177+R$5),PERMANENT_FIELD_LABOR_HOURS)*PERMANENT_HOURLY_RATE-MAX(0,($D177+R$5)-PERMANENT_FIELD_LABOR_HOURS)*TEMP_HOURLY_RATE-FIXED_SEASON_COST)</f>
        <v>16146.6711231055</v>
      </c>
      <c r="S177" s="53" t="n">
        <f aca="false">IF(OR($A177&gt;TOMATO_BED_CAP,$B177&gt;CARROT_BED_CAP,S$4&gt;MESCLUN_BED_CAP,$A177+$B177+S$4&gt;TOTAL_BEDS_AVAILABLE,($D177+S$5)&gt;TOTAL_LABOR_HOURS_CAP,MAX(0,($D177+S$5)-PERMANENT_FIELD_LABOR_HOURS)&gt;TEMP_HOURS_CAP),"",$C177+S$6-MIN(($D177+S$5),PERMANENT_FIELD_LABOR_HOURS)*PERMANENT_HOURLY_RATE-MAX(0,($D177+S$5)-PERMANENT_FIELD_LABOR_HOURS)*TEMP_HOURLY_RATE-FIXED_SEASON_COST)</f>
        <v>16912.537711608</v>
      </c>
      <c r="T177" s="53" t="n">
        <f aca="false">IF(OR($A177&gt;TOMATO_BED_CAP,$B177&gt;CARROT_BED_CAP,T$4&gt;MESCLUN_BED_CAP,$A177+$B177+T$4&gt;TOTAL_BEDS_AVAILABLE,($D177+T$5)&gt;TOTAL_LABOR_HOURS_CAP,MAX(0,($D177+T$5)-PERMANENT_FIELD_LABOR_HOURS)&gt;TEMP_HOURS_CAP),"",$C177+T$6-MIN(($D177+T$5),PERMANENT_FIELD_LABOR_HOURS)*PERMANENT_HOURLY_RATE-MAX(0,($D177+T$5)-PERMANENT_FIELD_LABOR_HOURS)*TEMP_HOURLY_RATE-FIXED_SEASON_COST)</f>
        <v>17653.7511800028</v>
      </c>
      <c r="U177" s="53" t="n">
        <f aca="false">IF(OR($A177&gt;TOMATO_BED_CAP,$B177&gt;CARROT_BED_CAP,U$4&gt;MESCLUN_BED_CAP,$A177+$B177+U$4&gt;TOTAL_BEDS_AVAILABLE,($D177+U$5)&gt;TOTAL_LABOR_HOURS_CAP,MAX(0,($D177+U$5)-PERMANENT_FIELD_LABOR_HOURS)&gt;TEMP_HOURS_CAP),"",$C177+U$6-MIN(($D177+U$5),PERMANENT_FIELD_LABOR_HOURS)*PERMANENT_HOURLY_RATE-MAX(0,($D177+U$5)-PERMANENT_FIELD_LABOR_HOURS)*TEMP_HOURLY_RATE-FIXED_SEASON_COST)</f>
        <v>18369.8599086329</v>
      </c>
      <c r="V177" s="53" t="n">
        <f aca="false">IF(OR($A177&gt;TOMATO_BED_CAP,$B177&gt;CARROT_BED_CAP,V$4&gt;MESCLUN_BED_CAP,$A177+$B177+V$4&gt;TOTAL_BEDS_AVAILABLE,($D177+V$5)&gt;TOTAL_LABOR_HOURS_CAP,MAX(0,($D177+V$5)-PERMANENT_FIELD_LABOR_HOURS)&gt;TEMP_HOURS_CAP),"",$C177+V$6-MIN(($D177+V$5),PERMANENT_FIELD_LABOR_HOURS)*PERMANENT_HOURLY_RATE-MAX(0,($D177+V$5)-PERMANENT_FIELD_LABOR_HOURS)*TEMP_HOURLY_RATE-FIXED_SEASON_COST)</f>
        <v>19060.4048393997</v>
      </c>
      <c r="W177" s="53" t="n">
        <f aca="false">IF(OR($A177&gt;TOMATO_BED_CAP,$B177&gt;CARROT_BED_CAP,W$4&gt;MESCLUN_BED_CAP,$A177+$B177+W$4&gt;TOTAL_BEDS_AVAILABLE,($D177+W$5)&gt;TOTAL_LABOR_HOURS_CAP,MAX(0,($D177+W$5)-PERMANENT_FIELD_LABOR_HOURS)&gt;TEMP_HOURS_CAP),"",$C177+W$6-MIN(($D177+W$5),PERMANENT_FIELD_LABOR_HOURS)*PERMANENT_HOURLY_RATE-MAX(0,($D177+W$5)-PERMANENT_FIELD_LABOR_HOURS)*TEMP_HOURLY_RATE-FIXED_SEASON_COST)</f>
        <v>19724.9193603678</v>
      </c>
      <c r="X177" s="53" t="n">
        <f aca="false">IF(OR($A177&gt;TOMATO_BED_CAP,$B177&gt;CARROT_BED_CAP,X$4&gt;MESCLUN_BED_CAP,$A177+$B177+X$4&gt;TOTAL_BEDS_AVAILABLE,($D177+X$5)&gt;TOTAL_LABOR_HOURS_CAP,MAX(0,($D177+X$5)-PERMANENT_FIELD_LABOR_HOURS)&gt;TEMP_HOURS_CAP),"",$C177+X$6-MIN(($D177+X$5),PERMANENT_FIELD_LABOR_HOURS)*PERMANENT_HOURLY_RATE-MAX(0,($D177+X$5)-PERMANENT_FIELD_LABOR_HOURS)*TEMP_HOURLY_RATE-FIXED_SEASON_COST)</f>
        <v>20362.9291886467</v>
      </c>
      <c r="Y177" s="53" t="n">
        <f aca="false">IF(OR($A177&gt;TOMATO_BED_CAP,$B177&gt;CARROT_BED_CAP,Y$4&gt;MESCLUN_BED_CAP,$A177+$B177+Y$4&gt;TOTAL_BEDS_AVAILABLE,($D177+Y$5)&gt;TOTAL_LABOR_HOURS_CAP,MAX(0,($D177+Y$5)-PERMANENT_FIELD_LABOR_HOURS)&gt;TEMP_HOURS_CAP),"",$C177+Y$6-MIN(($D177+Y$5),PERMANENT_FIELD_LABOR_HOURS)*PERMANENT_HOURLY_RATE-MAX(0,($D177+Y$5)-PERMANENT_FIELD_LABOR_HOURS)*TEMP_HOURLY_RATE-FIXED_SEASON_COST)</f>
        <v>20973.9522515254</v>
      </c>
      <c r="Z177" s="53" t="n">
        <f aca="false">IF(OR($A177&gt;TOMATO_BED_CAP,$B177&gt;CARROT_BED_CAP,Z$4&gt;MESCLUN_BED_CAP,$A177+$B177+Z$4&gt;TOTAL_BEDS_AVAILABLE,($D177+Z$5)&gt;TOTAL_LABOR_HOURS_CAP,MAX(0,($D177+Z$5)-PERMANENT_FIELD_LABOR_HOURS)&gt;TEMP_HOURS_CAP),"",$C177+Z$6-MIN(($D177+Z$5),PERMANENT_FIELD_LABOR_HOURS)*PERMANENT_HOURLY_RATE-MAX(0,($D177+Z$5)-PERMANENT_FIELD_LABOR_HOURS)*TEMP_HOURLY_RATE-FIXED_SEASON_COST)</f>
        <v>21557.4985658331</v>
      </c>
      <c r="AA177" s="53" t="n">
        <f aca="false">IF(OR($A177&gt;TOMATO_BED_CAP,$B177&gt;CARROT_BED_CAP,AA$4&gt;MESCLUN_BED_CAP,$A177+$B177+AA$4&gt;TOTAL_BEDS_AVAILABLE,($D177+AA$5)&gt;TOTAL_LABOR_HOURS_CAP,MAX(0,($D177+AA$5)-PERMANENT_FIELD_LABOR_HOURS)&gt;TEMP_HOURS_CAP),"",$C177+AA$6-MIN(($D177+AA$5),PERMANENT_FIELD_LABOR_HOURS)*PERMANENT_HOURLY_RATE-MAX(0,($D177+AA$5)-PERMANENT_FIELD_LABOR_HOURS)*TEMP_HOURLY_RATE-FIXED_SEASON_COST)</f>
        <v>22113.070115502</v>
      </c>
      <c r="AB177" s="53" t="n">
        <f aca="false">IF(OR($A177&gt;TOMATO_BED_CAP,$B177&gt;CARROT_BED_CAP,AB$4&gt;MESCLUN_BED_CAP,$A177+$B177+AB$4&gt;TOTAL_BEDS_AVAILABLE,($D177+AB$5)&gt;TOTAL_LABOR_HOURS_CAP,MAX(0,($D177+AB$5)-PERMANENT_FIELD_LABOR_HOURS)&gt;TEMP_HOURS_CAP),"",$C177+AB$6-MIN(($D177+AB$5),PERMANENT_FIELD_LABOR_HOURS)*PERMANENT_HOURLY_RATE-MAX(0,($D177+AB$5)-PERMANENT_FIELD_LABOR_HOURS)*TEMP_HOURLY_RATE-FIXED_SEASON_COST)</f>
        <v>22640.1607273046</v>
      </c>
      <c r="AC177" s="53" t="n">
        <f aca="false">IF(OR($A177&gt;TOMATO_BED_CAP,$B177&gt;CARROT_BED_CAP,AC$4&gt;MESCLUN_BED_CAP,$A177+$B177+AC$4&gt;TOTAL_BEDS_AVAILABLE,($D177+AC$5)&gt;TOTAL_LABOR_HOURS_CAP,MAX(0,($D177+AC$5)-PERMANENT_FIELD_LABOR_HOURS)&gt;TEMP_HOURS_CAP),"",$C177+AC$6-MIN(($D177+AC$5),PERMANENT_FIELD_LABOR_HOURS)*PERMANENT_HOURLY_RATE-MAX(0,($D177+AC$5)-PERMANENT_FIELD_LABOR_HOURS)*TEMP_HOURLY_RATE-FIXED_SEASON_COST)</f>
        <v>23138.2559447395</v>
      </c>
      <c r="AD177" s="53" t="n">
        <f aca="false">IF(OR($A177&gt;TOMATO_BED_CAP,$B177&gt;CARROT_BED_CAP,AD$4&gt;MESCLUN_BED_CAP,$A177+$B177+AD$4&gt;TOTAL_BEDS_AVAILABLE,($D177+AD$5)&gt;TOTAL_LABOR_HOURS_CAP,MAX(0,($D177+AD$5)-PERMANENT_FIELD_LABOR_HOURS)&gt;TEMP_HOURS_CAP),"",$C177+AD$6-MIN(($D177+AD$5),PERMANENT_FIELD_LABOR_HOURS)*PERMANENT_HOURLY_RATE-MAX(0,($D177+AD$5)-PERMANENT_FIELD_LABOR_HOURS)*TEMP_HOURLY_RATE-FIXED_SEASON_COST)</f>
        <v>23606.8329000394</v>
      </c>
      <c r="AE177" s="53" t="n">
        <f aca="false">IF(OR($A177&gt;TOMATO_BED_CAP,$B177&gt;CARROT_BED_CAP,AE$4&gt;MESCLUN_BED_CAP,$A177+$B177+AE$4&gt;TOTAL_BEDS_AVAILABLE,($D177+AE$5)&gt;TOTAL_LABOR_HOURS_CAP,MAX(0,($D177+AE$5)-PERMANENT_FIELD_LABOR_HOURS)&gt;TEMP_HOURS_CAP),"",$C177+AE$6-MIN(($D177+AE$5),PERMANENT_FIELD_LABOR_HOURS)*PERMANENT_HOURLY_RATE-MAX(0,($D177+AE$5)-PERMANENT_FIELD_LABOR_HOURS)*TEMP_HOURLY_RATE-FIXED_SEASON_COST)</f>
        <v>24045.3601842733</v>
      </c>
      <c r="AF177" s="53" t="n">
        <f aca="false">IF(OR($A177&gt;TOMATO_BED_CAP,$B177&gt;CARROT_BED_CAP,AF$4&gt;MESCLUN_BED_CAP,$A177+$B177+AF$4&gt;TOTAL_BEDS_AVAILABLE,($D177+AF$5)&gt;TOTAL_LABOR_HOURS_CAP,MAX(0,($D177+AF$5)-PERMANENT_FIELD_LABOR_HOURS)&gt;TEMP_HOURS_CAP),"",$C177+AF$6-MIN(($D177+AF$5),PERMANENT_FIELD_LABOR_HOURS)*PERMANENT_HOURLY_RATE-MAX(0,($D177+AF$5)-PERMANENT_FIELD_LABOR_HOURS)*TEMP_HOURLY_RATE-FIXED_SEASON_COST)</f>
        <v>24453.2977155153</v>
      </c>
      <c r="AG177" s="53" t="n">
        <f aca="false">IF(OR($A177&gt;TOMATO_BED_CAP,$B177&gt;CARROT_BED_CAP,AG$4&gt;MESCLUN_BED_CAP,$A177+$B177+AG$4&gt;TOTAL_BEDS_AVAILABLE,($D177+AG$5)&gt;TOTAL_LABOR_HOURS_CAP,MAX(0,($D177+AG$5)-PERMANENT_FIELD_LABOR_HOURS)&gt;TEMP_HOURS_CAP),"",$C177+AG$6-MIN(($D177+AG$5),PERMANENT_FIELD_LABOR_HOURS)*PERMANENT_HOURLY_RATE-MAX(0,($D177+AG$5)-PERMANENT_FIELD_LABOR_HOURS)*TEMP_HOURLY_RATE-FIXED_SEASON_COST)</f>
        <v>24830.0966050523</v>
      </c>
      <c r="AH177" s="53" t="n">
        <f aca="false">IF(OR($A177&gt;TOMATO_BED_CAP,$B177&gt;CARROT_BED_CAP,AH$4&gt;MESCLUN_BED_CAP,$A177+$B177+AH$4&gt;TOTAL_BEDS_AVAILABLE,($D177+AH$5)&gt;TOTAL_LABOR_HOURS_CAP,MAX(0,($D177+AH$5)-PERMANENT_FIELD_LABOR_HOURS)&gt;TEMP_HOURS_CAP),"",$C177+AH$6-MIN(($D177+AH$5),PERMANENT_FIELD_LABOR_HOURS)*PERMANENT_HOURLY_RATE-MAX(0,($D177+AH$5)-PERMANENT_FIELD_LABOR_HOURS)*TEMP_HOURLY_RATE-FIXED_SEASON_COST)</f>
        <v>25175.1990216025</v>
      </c>
      <c r="AI177" s="53" t="n">
        <f aca="false">IF(OR($A177&gt;TOMATO_BED_CAP,$B177&gt;CARROT_BED_CAP,AI$4&gt;MESCLUN_BED_CAP,$A177+$B177+AI$4&gt;TOTAL_BEDS_AVAILABLE,($D177+AI$5)&gt;TOTAL_LABOR_HOURS_CAP,MAX(0,($D177+AI$5)-PERMANENT_FIELD_LABOR_HOURS)&gt;TEMP_HOURS_CAP),"",$C177+AI$6-MIN(($D177+AI$5),PERMANENT_FIELD_LABOR_HOURS)*PERMANENT_HOURLY_RATE-MAX(0,($D177+AI$5)-PERMANENT_FIELD_LABOR_HOURS)*TEMP_HOURLY_RATE-FIXED_SEASON_COST)</f>
        <v>25488.0380535148</v>
      </c>
      <c r="AJ177" s="53" t="n">
        <f aca="false">IF(OR($A177&gt;TOMATO_BED_CAP,$B177&gt;CARROT_BED_CAP,AJ$4&gt;MESCLUN_BED_CAP,$A177+$B177+AJ$4&gt;TOTAL_BEDS_AVAILABLE,($D177+AJ$5)&gt;TOTAL_LABOR_HOURS_CAP,MAX(0,($D177+AJ$5)-PERMANENT_FIELD_LABOR_HOURS)&gt;TEMP_HOURS_CAP),"",$C177+AJ$6-MIN(($D177+AJ$5),PERMANENT_FIELD_LABOR_HOURS)*PERMANENT_HOURLY_RATE-MAX(0,($D177+AJ$5)-PERMANENT_FIELD_LABOR_HOURS)*TEMP_HOURLY_RATE-FIXED_SEASON_COST)</f>
        <v>25768.0375689205</v>
      </c>
    </row>
    <row r="178" customFormat="false" ht="15" hidden="false" customHeight="false" outlineLevel="0" collapsed="false">
      <c r="A178" s="21" t="n">
        <f aca="false">INT((ROW()-ROW($A$8))/(20+1))</f>
        <v>8</v>
      </c>
      <c r="B178" s="21" t="n">
        <f aca="false">MOD(ROW()-ROW($A$8),20+1)</f>
        <v>2</v>
      </c>
      <c r="C178" s="13" t="n">
        <f aca="false">A178*(TOMATO_REVENUE_PER_BED-TOMATO_FERTILIZER_PER_BED)+B178*(CARROT_REVENUE_PER_BED-CARROT_FERTILIZER_PER_BED)</f>
        <v>66668</v>
      </c>
      <c r="D178" s="14" t="n">
        <f aca="false">INDEX(TOMATO_SCHED_LABOR_HRS,A178+1)+INDEX(CARROT_SCHED_LABOR_HRS,B178+1)</f>
        <v>1606.3962282</v>
      </c>
      <c r="E178" s="13" t="n">
        <f aca="false">IF(COUNT(F178:AJ178)=0,"",MAX(F178:AJ178))</f>
        <v>26861.7507733205</v>
      </c>
      <c r="F178" s="53" t="n">
        <f aca="false">IF(OR($A178&gt;TOMATO_BED_CAP,$B178&gt;CARROT_BED_CAP,F$4&gt;MESCLUN_BED_CAP,$A178+$B178+F$4&gt;TOTAL_BEDS_AVAILABLE,($D178+F$5)&gt;TOTAL_LABOR_HOURS_CAP,MAX(0,($D178+F$5)-PERMANENT_FIELD_LABOR_HOURS)&gt;TEMP_HOURS_CAP),"",$C178+F$6-MIN(($D178+F$5),PERMANENT_FIELD_LABOR_HOURS)*PERMANENT_HOURLY_RATE-MAX(0,($D178+F$5)-PERMANENT_FIELD_LABOR_HOURS)*TEMP_HOURLY_RATE-FIXED_SEASON_COST)</f>
        <v>6281.76147844799</v>
      </c>
      <c r="G178" s="53" t="n">
        <f aca="false">IF(OR($A178&gt;TOMATO_BED_CAP,$B178&gt;CARROT_BED_CAP,G$4&gt;MESCLUN_BED_CAP,$A178+$B178+G$4&gt;TOTAL_BEDS_AVAILABLE,($D178+G$5)&gt;TOTAL_LABOR_HOURS_CAP,MAX(0,($D178+G$5)-PERMANENT_FIELD_LABOR_HOURS)&gt;TEMP_HOURS_CAP),"",$C178+G$6-MIN(($D178+G$5),PERMANENT_FIELD_LABOR_HOURS)*PERMANENT_HOURLY_RATE-MAX(0,($D178+G$5)-PERMANENT_FIELD_LABOR_HOURS)*TEMP_HOURLY_RATE-FIXED_SEASON_COST)</f>
        <v>7310.79647844799</v>
      </c>
      <c r="H178" s="53" t="n">
        <f aca="false">IF(OR($A178&gt;TOMATO_BED_CAP,$B178&gt;CARROT_BED_CAP,H$4&gt;MESCLUN_BED_CAP,$A178+$B178+H$4&gt;TOTAL_BEDS_AVAILABLE,($D178+H$5)&gt;TOTAL_LABOR_HOURS_CAP,MAX(0,($D178+H$5)-PERMANENT_FIELD_LABOR_HOURS)&gt;TEMP_HOURS_CAP),"",$C178+H$6-MIN(($D178+H$5),PERMANENT_FIELD_LABOR_HOURS)*PERMANENT_HOURLY_RATE-MAX(0,($D178+H$5)-PERMANENT_FIELD_LABOR_HOURS)*TEMP_HOURLY_RATE-FIXED_SEASON_COST)</f>
        <v>8320.05735344799</v>
      </c>
      <c r="I178" s="53" t="n">
        <f aca="false">IF(OR($A178&gt;TOMATO_BED_CAP,$B178&gt;CARROT_BED_CAP,I$4&gt;MESCLUN_BED_CAP,$A178+$B178+I$4&gt;TOTAL_BEDS_AVAILABLE,($D178+I$5)&gt;TOTAL_LABOR_HOURS_CAP,MAX(0,($D178+I$5)-PERMANENT_FIELD_LABOR_HOURS)&gt;TEMP_HOURS_CAP),"",$C178+I$6-MIN(($D178+I$5),PERMANENT_FIELD_LABOR_HOURS)*PERMANENT_HOURLY_RATE-MAX(0,($D178+I$5)-PERMANENT_FIELD_LABOR_HOURS)*TEMP_HOURLY_RATE-FIXED_SEASON_COST)</f>
        <v>9309.17333860424</v>
      </c>
      <c r="J178" s="53" t="n">
        <f aca="false">IF(OR($A178&gt;TOMATO_BED_CAP,$B178&gt;CARROT_BED_CAP,J$4&gt;MESCLUN_BED_CAP,$A178+$B178+J$4&gt;TOTAL_BEDS_AVAILABLE,($D178+J$5)&gt;TOTAL_LABOR_HOURS_CAP,MAX(0,($D178+J$5)-PERMANENT_FIELD_LABOR_HOURS)&gt;TEMP_HOURS_CAP),"",$C178+J$6-MIN(($D178+J$5),PERMANENT_FIELD_LABOR_HOURS)*PERMANENT_HOURLY_RATE-MAX(0,($D178+J$5)-PERMANENT_FIELD_LABOR_HOURS)*TEMP_HOURLY_RATE-FIXED_SEASON_COST)</f>
        <v>10277.7674896589</v>
      </c>
      <c r="K178" s="53" t="n">
        <f aca="false">IF(OR($A178&gt;TOMATO_BED_CAP,$B178&gt;CARROT_BED_CAP,K$4&gt;MESCLUN_BED_CAP,$A178+$B178+K$4&gt;TOTAL_BEDS_AVAILABLE,($D178+K$5)&gt;TOTAL_LABOR_HOURS_CAP,MAX(0,($D178+K$5)-PERMANENT_FIELD_LABOR_HOURS)&gt;TEMP_HOURS_CAP),"",$C178+K$6-MIN(($D178+K$5),PERMANENT_FIELD_LABOR_HOURS)*PERMANENT_HOURLY_RATE-MAX(0,($D178+K$5)-PERMANENT_FIELD_LABOR_HOURS)*TEMP_HOURLY_RATE-FIXED_SEASON_COST)</f>
        <v>11225.4565863868</v>
      </c>
      <c r="L178" s="53" t="n">
        <f aca="false">IF(OR($A178&gt;TOMATO_BED_CAP,$B178&gt;CARROT_BED_CAP,L$4&gt;MESCLUN_BED_CAP,$A178+$B178+L$4&gt;TOTAL_BEDS_AVAILABLE,($D178+L$5)&gt;TOTAL_LABOR_HOURS_CAP,MAX(0,($D178+L$5)-PERMANENT_FIELD_LABOR_HOURS)&gt;TEMP_HOURS_CAP),"",$C178+L$6-MIN(($D178+L$5),PERMANENT_FIELD_LABOR_HOURS)*PERMANENT_HOURLY_RATE-MAX(0,($D178+L$5)-PERMANENT_FIELD_LABOR_HOURS)*TEMP_HOURLY_RATE-FIXED_SEASON_COST)</f>
        <v>12151.8510345937</v>
      </c>
      <c r="M178" s="53" t="n">
        <f aca="false">IF(OR($A178&gt;TOMATO_BED_CAP,$B178&gt;CARROT_BED_CAP,M$4&gt;MESCLUN_BED_CAP,$A178+$B178+M$4&gt;TOTAL_BEDS_AVAILABLE,($D178+M$5)&gt;TOTAL_LABOR_HOURS_CAP,MAX(0,($D178+M$5)-PERMANENT_FIELD_LABOR_HOURS)&gt;TEMP_HOURS_CAP),"",$C178+M$6-MIN(($D178+M$5),PERMANENT_FIELD_LABOR_HOURS)*PERMANENT_HOURLY_RATE-MAX(0,($D178+M$5)-PERMANENT_FIELD_LABOR_HOURS)*TEMP_HOURLY_RATE-FIXED_SEASON_COST)</f>
        <v>13056.5547666451</v>
      </c>
      <c r="N178" s="53" t="n">
        <f aca="false">IF(OR($A178&gt;TOMATO_BED_CAP,$B178&gt;CARROT_BED_CAP,N$4&gt;MESCLUN_BED_CAP,$A178+$B178+N$4&gt;TOTAL_BEDS_AVAILABLE,($D178+N$5)&gt;TOTAL_LABOR_HOURS_CAP,MAX(0,($D178+N$5)-PERMANENT_FIELD_LABOR_HOURS)&gt;TEMP_HOURS_CAP),"",$C178+N$6-MIN(($D178+N$5),PERMANENT_FIELD_LABOR_HOURS)*PERMANENT_HOURLY_RATE-MAX(0,($D178+N$5)-PERMANENT_FIELD_LABOR_HOURS)*TEMP_HOURLY_RATE-FIXED_SEASON_COST)</f>
        <v>13939.1651405046</v>
      </c>
      <c r="O178" s="53" t="n">
        <f aca="false">IF(OR($A178&gt;TOMATO_BED_CAP,$B178&gt;CARROT_BED_CAP,O$4&gt;MESCLUN_BED_CAP,$A178+$B178+O$4&gt;TOTAL_BEDS_AVAILABLE,($D178+O$5)&gt;TOTAL_LABOR_HOURS_CAP,MAX(0,($D178+O$5)-PERMANENT_FIELD_LABOR_HOURS)&gt;TEMP_HOURS_CAP),"",$C178+O$6-MIN(($D178+O$5),PERMANENT_FIELD_LABOR_HOURS)*PERMANENT_HOURLY_RATE-MAX(0,($D178+O$5)-PERMANENT_FIELD_LABOR_HOURS)*TEMP_HOURLY_RATE-FIXED_SEASON_COST)</f>
        <v>14799.2728372594</v>
      </c>
      <c r="P178" s="53" t="n">
        <f aca="false">IF(OR($A178&gt;TOMATO_BED_CAP,$B178&gt;CARROT_BED_CAP,P$4&gt;MESCLUN_BED_CAP,$A178+$B178+P$4&gt;TOTAL_BEDS_AVAILABLE,($D178+P$5)&gt;TOTAL_LABOR_HOURS_CAP,MAX(0,($D178+P$5)-PERMANENT_FIELD_LABOR_HOURS)&gt;TEMP_HOURS_CAP),"",$C178+P$6-MIN(($D178+P$5),PERMANENT_FIELD_LABOR_HOURS)*PERMANENT_HOURLY_RATE-MAX(0,($D178+P$5)-PERMANENT_FIELD_LABOR_HOURS)*TEMP_HOURLY_RATE-FIXED_SEASON_COST)</f>
        <v>15636.4617571108</v>
      </c>
      <c r="Q178" s="53" t="n">
        <f aca="false">IF(OR($A178&gt;TOMATO_BED_CAP,$B178&gt;CARROT_BED_CAP,Q$4&gt;MESCLUN_BED_CAP,$A178+$B178+Q$4&gt;TOTAL_BEDS_AVAILABLE,($D178+Q$5)&gt;TOTAL_LABOR_HOURS_CAP,MAX(0,($D178+Q$5)-PERMANENT_FIELD_LABOR_HOURS)&gt;TEMP_HOURS_CAP),"",$C178+Q$6-MIN(($D178+Q$5),PERMANENT_FIELD_LABOR_HOURS)*PERMANENT_HOURLY_RATE-MAX(0,($D178+Q$5)-PERMANENT_FIELD_LABOR_HOURS)*TEMP_HOURLY_RATE-FIXED_SEASON_COST)</f>
        <v>16450.3089138087</v>
      </c>
      <c r="R178" s="53" t="n">
        <f aca="false">IF(OR($A178&gt;TOMATO_BED_CAP,$B178&gt;CARROT_BED_CAP,R$4&gt;MESCLUN_BED_CAP,$A178+$B178+R$4&gt;TOTAL_BEDS_AVAILABLE,($D178+R$5)&gt;TOTAL_LABOR_HOURS_CAP,MAX(0,($D178+R$5)-PERMANENT_FIELD_LABOR_HOURS)&gt;TEMP_HOURS_CAP),"",$C178+R$6-MIN(($D178+R$5),PERMANENT_FIELD_LABOR_HOURS)*PERMANENT_HOURLY_RATE-MAX(0,($D178+R$5)-PERMANENT_FIELD_LABOR_HOURS)*TEMP_HOURLY_RATE-FIXED_SEASON_COST)</f>
        <v>17240.3843275055</v>
      </c>
      <c r="S178" s="53" t="n">
        <f aca="false">IF(OR($A178&gt;TOMATO_BED_CAP,$B178&gt;CARROT_BED_CAP,S$4&gt;MESCLUN_BED_CAP,$A178+$B178+S$4&gt;TOTAL_BEDS_AVAILABLE,($D178+S$5)&gt;TOTAL_LABOR_HOURS_CAP,MAX(0,($D178+S$5)-PERMANENT_FIELD_LABOR_HOURS)&gt;TEMP_HOURS_CAP),"",$C178+S$6-MIN(($D178+S$5),PERMANENT_FIELD_LABOR_HOURS)*PERMANENT_HOURLY_RATE-MAX(0,($D178+S$5)-PERMANENT_FIELD_LABOR_HOURS)*TEMP_HOURLY_RATE-FIXED_SEASON_COST)</f>
        <v>18006.250916008</v>
      </c>
      <c r="T178" s="53" t="n">
        <f aca="false">IF(OR($A178&gt;TOMATO_BED_CAP,$B178&gt;CARROT_BED_CAP,T$4&gt;MESCLUN_BED_CAP,$A178+$B178+T$4&gt;TOTAL_BEDS_AVAILABLE,($D178+T$5)&gt;TOTAL_LABOR_HOURS_CAP,MAX(0,($D178+T$5)-PERMANENT_FIELD_LABOR_HOURS)&gt;TEMP_HOURS_CAP),"",$C178+T$6-MIN(($D178+T$5),PERMANENT_FIELD_LABOR_HOURS)*PERMANENT_HOURLY_RATE-MAX(0,($D178+T$5)-PERMANENT_FIELD_LABOR_HOURS)*TEMP_HOURLY_RATE-FIXED_SEASON_COST)</f>
        <v>18747.4643844028</v>
      </c>
      <c r="U178" s="53" t="n">
        <f aca="false">IF(OR($A178&gt;TOMATO_BED_CAP,$B178&gt;CARROT_BED_CAP,U$4&gt;MESCLUN_BED_CAP,$A178+$B178+U$4&gt;TOTAL_BEDS_AVAILABLE,($D178+U$5)&gt;TOTAL_LABOR_HOURS_CAP,MAX(0,($D178+U$5)-PERMANENT_FIELD_LABOR_HOURS)&gt;TEMP_HOURS_CAP),"",$C178+U$6-MIN(($D178+U$5),PERMANENT_FIELD_LABOR_HOURS)*PERMANENT_HOURLY_RATE-MAX(0,($D178+U$5)-PERMANENT_FIELD_LABOR_HOURS)*TEMP_HOURLY_RATE-FIXED_SEASON_COST)</f>
        <v>19463.5731130329</v>
      </c>
      <c r="V178" s="53" t="n">
        <f aca="false">IF(OR($A178&gt;TOMATO_BED_CAP,$B178&gt;CARROT_BED_CAP,V$4&gt;MESCLUN_BED_CAP,$A178+$B178+V$4&gt;TOTAL_BEDS_AVAILABLE,($D178+V$5)&gt;TOTAL_LABOR_HOURS_CAP,MAX(0,($D178+V$5)-PERMANENT_FIELD_LABOR_HOURS)&gt;TEMP_HOURS_CAP),"",$C178+V$6-MIN(($D178+V$5),PERMANENT_FIELD_LABOR_HOURS)*PERMANENT_HOURLY_RATE-MAX(0,($D178+V$5)-PERMANENT_FIELD_LABOR_HOURS)*TEMP_HOURLY_RATE-FIXED_SEASON_COST)</f>
        <v>20154.1180437997</v>
      </c>
      <c r="W178" s="53" t="n">
        <f aca="false">IF(OR($A178&gt;TOMATO_BED_CAP,$B178&gt;CARROT_BED_CAP,W$4&gt;MESCLUN_BED_CAP,$A178+$B178+W$4&gt;TOTAL_BEDS_AVAILABLE,($D178+W$5)&gt;TOTAL_LABOR_HOURS_CAP,MAX(0,($D178+W$5)-PERMANENT_FIELD_LABOR_HOURS)&gt;TEMP_HOURS_CAP),"",$C178+W$6-MIN(($D178+W$5),PERMANENT_FIELD_LABOR_HOURS)*PERMANENT_HOURLY_RATE-MAX(0,($D178+W$5)-PERMANENT_FIELD_LABOR_HOURS)*TEMP_HOURLY_RATE-FIXED_SEASON_COST)</f>
        <v>20818.6325647678</v>
      </c>
      <c r="X178" s="53" t="n">
        <f aca="false">IF(OR($A178&gt;TOMATO_BED_CAP,$B178&gt;CARROT_BED_CAP,X$4&gt;MESCLUN_BED_CAP,$A178+$B178+X$4&gt;TOTAL_BEDS_AVAILABLE,($D178+X$5)&gt;TOTAL_LABOR_HOURS_CAP,MAX(0,($D178+X$5)-PERMANENT_FIELD_LABOR_HOURS)&gt;TEMP_HOURS_CAP),"",$C178+X$6-MIN(($D178+X$5),PERMANENT_FIELD_LABOR_HOURS)*PERMANENT_HOURLY_RATE-MAX(0,($D178+X$5)-PERMANENT_FIELD_LABOR_HOURS)*TEMP_HOURLY_RATE-FIXED_SEASON_COST)</f>
        <v>21456.6423930467</v>
      </c>
      <c r="Y178" s="53" t="n">
        <f aca="false">IF(OR($A178&gt;TOMATO_BED_CAP,$B178&gt;CARROT_BED_CAP,Y$4&gt;MESCLUN_BED_CAP,$A178+$B178+Y$4&gt;TOTAL_BEDS_AVAILABLE,($D178+Y$5)&gt;TOTAL_LABOR_HOURS_CAP,MAX(0,($D178+Y$5)-PERMANENT_FIELD_LABOR_HOURS)&gt;TEMP_HOURS_CAP),"",$C178+Y$6-MIN(($D178+Y$5),PERMANENT_FIELD_LABOR_HOURS)*PERMANENT_HOURLY_RATE-MAX(0,($D178+Y$5)-PERMANENT_FIELD_LABOR_HOURS)*TEMP_HOURLY_RATE-FIXED_SEASON_COST)</f>
        <v>22067.6654559253</v>
      </c>
      <c r="Z178" s="53" t="n">
        <f aca="false">IF(OR($A178&gt;TOMATO_BED_CAP,$B178&gt;CARROT_BED_CAP,Z$4&gt;MESCLUN_BED_CAP,$A178+$B178+Z$4&gt;TOTAL_BEDS_AVAILABLE,($D178+Z$5)&gt;TOTAL_LABOR_HOURS_CAP,MAX(0,($D178+Z$5)-PERMANENT_FIELD_LABOR_HOURS)&gt;TEMP_HOURS_CAP),"",$C178+Z$6-MIN(($D178+Z$5),PERMANENT_FIELD_LABOR_HOURS)*PERMANENT_HOURLY_RATE-MAX(0,($D178+Z$5)-PERMANENT_FIELD_LABOR_HOURS)*TEMP_HOURLY_RATE-FIXED_SEASON_COST)</f>
        <v>22651.2117702331</v>
      </c>
      <c r="AA178" s="53" t="n">
        <f aca="false">IF(OR($A178&gt;TOMATO_BED_CAP,$B178&gt;CARROT_BED_CAP,AA$4&gt;MESCLUN_BED_CAP,$A178+$B178+AA$4&gt;TOTAL_BEDS_AVAILABLE,($D178+AA$5)&gt;TOTAL_LABOR_HOURS_CAP,MAX(0,($D178+AA$5)-PERMANENT_FIELD_LABOR_HOURS)&gt;TEMP_HOURS_CAP),"",$C178+AA$6-MIN(($D178+AA$5),PERMANENT_FIELD_LABOR_HOURS)*PERMANENT_HOURLY_RATE-MAX(0,($D178+AA$5)-PERMANENT_FIELD_LABOR_HOURS)*TEMP_HOURLY_RATE-FIXED_SEASON_COST)</f>
        <v>23206.783319902</v>
      </c>
      <c r="AB178" s="53" t="n">
        <f aca="false">IF(OR($A178&gt;TOMATO_BED_CAP,$B178&gt;CARROT_BED_CAP,AB$4&gt;MESCLUN_BED_CAP,$A178+$B178+AB$4&gt;TOTAL_BEDS_AVAILABLE,($D178+AB$5)&gt;TOTAL_LABOR_HOURS_CAP,MAX(0,($D178+AB$5)-PERMANENT_FIELD_LABOR_HOURS)&gt;TEMP_HOURS_CAP),"",$C178+AB$6-MIN(($D178+AB$5),PERMANENT_FIELD_LABOR_HOURS)*PERMANENT_HOURLY_RATE-MAX(0,($D178+AB$5)-PERMANENT_FIELD_LABOR_HOURS)*TEMP_HOURLY_RATE-FIXED_SEASON_COST)</f>
        <v>23733.8739317046</v>
      </c>
      <c r="AC178" s="53" t="n">
        <f aca="false">IF(OR($A178&gt;TOMATO_BED_CAP,$B178&gt;CARROT_BED_CAP,AC$4&gt;MESCLUN_BED_CAP,$A178+$B178+AC$4&gt;TOTAL_BEDS_AVAILABLE,($D178+AC$5)&gt;TOTAL_LABOR_HOURS_CAP,MAX(0,($D178+AC$5)-PERMANENT_FIELD_LABOR_HOURS)&gt;TEMP_HOURS_CAP),"",$C178+AC$6-MIN(($D178+AC$5),PERMANENT_FIELD_LABOR_HOURS)*PERMANENT_HOURLY_RATE-MAX(0,($D178+AC$5)-PERMANENT_FIELD_LABOR_HOURS)*TEMP_HOURLY_RATE-FIXED_SEASON_COST)</f>
        <v>24231.9691491395</v>
      </c>
      <c r="AD178" s="53" t="n">
        <f aca="false">IF(OR($A178&gt;TOMATO_BED_CAP,$B178&gt;CARROT_BED_CAP,AD$4&gt;MESCLUN_BED_CAP,$A178+$B178+AD$4&gt;TOTAL_BEDS_AVAILABLE,($D178+AD$5)&gt;TOTAL_LABOR_HOURS_CAP,MAX(0,($D178+AD$5)-PERMANENT_FIELD_LABOR_HOURS)&gt;TEMP_HOURS_CAP),"",$C178+AD$6-MIN(($D178+AD$5),PERMANENT_FIELD_LABOR_HOURS)*PERMANENT_HOURLY_RATE-MAX(0,($D178+AD$5)-PERMANENT_FIELD_LABOR_HOURS)*TEMP_HOURLY_RATE-FIXED_SEASON_COST)</f>
        <v>24700.5461044394</v>
      </c>
      <c r="AE178" s="53" t="n">
        <f aca="false">IF(OR($A178&gt;TOMATO_BED_CAP,$B178&gt;CARROT_BED_CAP,AE$4&gt;MESCLUN_BED_CAP,$A178+$B178+AE$4&gt;TOTAL_BEDS_AVAILABLE,($D178+AE$5)&gt;TOTAL_LABOR_HOURS_CAP,MAX(0,($D178+AE$5)-PERMANENT_FIELD_LABOR_HOURS)&gt;TEMP_HOURS_CAP),"",$C178+AE$6-MIN(($D178+AE$5),PERMANENT_FIELD_LABOR_HOURS)*PERMANENT_HOURLY_RATE-MAX(0,($D178+AE$5)-PERMANENT_FIELD_LABOR_HOURS)*TEMP_HOURLY_RATE-FIXED_SEASON_COST)</f>
        <v>25139.0733886733</v>
      </c>
      <c r="AF178" s="53" t="n">
        <f aca="false">IF(OR($A178&gt;TOMATO_BED_CAP,$B178&gt;CARROT_BED_CAP,AF$4&gt;MESCLUN_BED_CAP,$A178+$B178+AF$4&gt;TOTAL_BEDS_AVAILABLE,($D178+AF$5)&gt;TOTAL_LABOR_HOURS_CAP,MAX(0,($D178+AF$5)-PERMANENT_FIELD_LABOR_HOURS)&gt;TEMP_HOURS_CAP),"",$C178+AF$6-MIN(($D178+AF$5),PERMANENT_FIELD_LABOR_HOURS)*PERMANENT_HOURLY_RATE-MAX(0,($D178+AF$5)-PERMANENT_FIELD_LABOR_HOURS)*TEMP_HOURLY_RATE-FIXED_SEASON_COST)</f>
        <v>25547.0109199153</v>
      </c>
      <c r="AG178" s="53" t="n">
        <f aca="false">IF(OR($A178&gt;TOMATO_BED_CAP,$B178&gt;CARROT_BED_CAP,AG$4&gt;MESCLUN_BED_CAP,$A178+$B178+AG$4&gt;TOTAL_BEDS_AVAILABLE,($D178+AG$5)&gt;TOTAL_LABOR_HOURS_CAP,MAX(0,($D178+AG$5)-PERMANENT_FIELD_LABOR_HOURS)&gt;TEMP_HOURS_CAP),"",$C178+AG$6-MIN(($D178+AG$5),PERMANENT_FIELD_LABOR_HOURS)*PERMANENT_HOURLY_RATE-MAX(0,($D178+AG$5)-PERMANENT_FIELD_LABOR_HOURS)*TEMP_HOURLY_RATE-FIXED_SEASON_COST)</f>
        <v>25923.8098094523</v>
      </c>
      <c r="AH178" s="53" t="n">
        <f aca="false">IF(OR($A178&gt;TOMATO_BED_CAP,$B178&gt;CARROT_BED_CAP,AH$4&gt;MESCLUN_BED_CAP,$A178+$B178+AH$4&gt;TOTAL_BEDS_AVAILABLE,($D178+AH$5)&gt;TOTAL_LABOR_HOURS_CAP,MAX(0,($D178+AH$5)-PERMANENT_FIELD_LABOR_HOURS)&gt;TEMP_HOURS_CAP),"",$C178+AH$6-MIN(($D178+AH$5),PERMANENT_FIELD_LABOR_HOURS)*PERMANENT_HOURLY_RATE-MAX(0,($D178+AH$5)-PERMANENT_FIELD_LABOR_HOURS)*TEMP_HOURLY_RATE-FIXED_SEASON_COST)</f>
        <v>26268.9122260025</v>
      </c>
      <c r="AI178" s="53" t="n">
        <f aca="false">IF(OR($A178&gt;TOMATO_BED_CAP,$B178&gt;CARROT_BED_CAP,AI$4&gt;MESCLUN_BED_CAP,$A178+$B178+AI$4&gt;TOTAL_BEDS_AVAILABLE,($D178+AI$5)&gt;TOTAL_LABOR_HOURS_CAP,MAX(0,($D178+AI$5)-PERMANENT_FIELD_LABOR_HOURS)&gt;TEMP_HOURS_CAP),"",$C178+AI$6-MIN(($D178+AI$5),PERMANENT_FIELD_LABOR_HOURS)*PERMANENT_HOURLY_RATE-MAX(0,($D178+AI$5)-PERMANENT_FIELD_LABOR_HOURS)*TEMP_HOURLY_RATE-FIXED_SEASON_COST)</f>
        <v>26581.7512579148</v>
      </c>
      <c r="AJ178" s="53" t="n">
        <f aca="false">IF(OR($A178&gt;TOMATO_BED_CAP,$B178&gt;CARROT_BED_CAP,AJ$4&gt;MESCLUN_BED_CAP,$A178+$B178+AJ$4&gt;TOTAL_BEDS_AVAILABLE,($D178+AJ$5)&gt;TOTAL_LABOR_HOURS_CAP,MAX(0,($D178+AJ$5)-PERMANENT_FIELD_LABOR_HOURS)&gt;TEMP_HOURS_CAP),"",$C178+AJ$6-MIN(($D178+AJ$5),PERMANENT_FIELD_LABOR_HOURS)*PERMANENT_HOURLY_RATE-MAX(0,($D178+AJ$5)-PERMANENT_FIELD_LABOR_HOURS)*TEMP_HOURLY_RATE-FIXED_SEASON_COST)</f>
        <v>26861.7507733205</v>
      </c>
    </row>
    <row r="179" customFormat="false" ht="15" hidden="false" customHeight="false" outlineLevel="0" collapsed="false">
      <c r="A179" s="21" t="n">
        <f aca="false">INT((ROW()-ROW($A$8))/(20+1))</f>
        <v>8</v>
      </c>
      <c r="B179" s="21" t="n">
        <f aca="false">MOD(ROW()-ROW($A$8),20+1)</f>
        <v>3</v>
      </c>
      <c r="C179" s="13" t="n">
        <f aca="false">A179*(TOMATO_REVENUE_PER_BED-TOMATO_FERTILIZER_PER_BED)+B179*(CARROT_REVENUE_PER_BED-CARROT_FERTILIZER_PER_BED)</f>
        <v>68322</v>
      </c>
      <c r="D179" s="14" t="n">
        <f aca="false">INDEX(TOMATO_SCHED_LABOR_HRS,A179+1)+INDEX(CARROT_SCHED_LABOR_HRS,B179+1)</f>
        <v>1640.2653313875</v>
      </c>
      <c r="E179" s="13" t="n">
        <f aca="false">IF(COUNT(F179:AJ179)=0,"",MAX(F179:AJ179))</f>
        <v>27927.7831419855</v>
      </c>
      <c r="F179" s="53" t="n">
        <f aca="false">IF(OR($A179&gt;TOMATO_BED_CAP,$B179&gt;CARROT_BED_CAP,F$4&gt;MESCLUN_BED_CAP,$A179+$B179+F$4&gt;TOTAL_BEDS_AVAILABLE,($D179+F$5)&gt;TOTAL_LABOR_HOURS_CAP,MAX(0,($D179+F$5)-PERMANENT_FIELD_LABOR_HOURS)&gt;TEMP_HOURS_CAP),"",$C179+F$6-MIN(($D179+F$5),PERMANENT_FIELD_LABOR_HOURS)*PERMANENT_HOURLY_RATE-MAX(0,($D179+F$5)-PERMANENT_FIELD_LABOR_HOURS)*TEMP_HOURLY_RATE-FIXED_SEASON_COST)</f>
        <v>7347.79384711299</v>
      </c>
      <c r="G179" s="53" t="n">
        <f aca="false">IF(OR($A179&gt;TOMATO_BED_CAP,$B179&gt;CARROT_BED_CAP,G$4&gt;MESCLUN_BED_CAP,$A179+$B179+G$4&gt;TOTAL_BEDS_AVAILABLE,($D179+G$5)&gt;TOTAL_LABOR_HOURS_CAP,MAX(0,($D179+G$5)-PERMANENT_FIELD_LABOR_HOURS)&gt;TEMP_HOURS_CAP),"",$C179+G$6-MIN(($D179+G$5),PERMANENT_FIELD_LABOR_HOURS)*PERMANENT_HOURLY_RATE-MAX(0,($D179+G$5)-PERMANENT_FIELD_LABOR_HOURS)*TEMP_HOURLY_RATE-FIXED_SEASON_COST)</f>
        <v>8376.82884711299</v>
      </c>
      <c r="H179" s="53" t="n">
        <f aca="false">IF(OR($A179&gt;TOMATO_BED_CAP,$B179&gt;CARROT_BED_CAP,H$4&gt;MESCLUN_BED_CAP,$A179+$B179+H$4&gt;TOTAL_BEDS_AVAILABLE,($D179+H$5)&gt;TOTAL_LABOR_HOURS_CAP,MAX(0,($D179+H$5)-PERMANENT_FIELD_LABOR_HOURS)&gt;TEMP_HOURS_CAP),"",$C179+H$6-MIN(($D179+H$5),PERMANENT_FIELD_LABOR_HOURS)*PERMANENT_HOURLY_RATE-MAX(0,($D179+H$5)-PERMANENT_FIELD_LABOR_HOURS)*TEMP_HOURLY_RATE-FIXED_SEASON_COST)</f>
        <v>9386.08972211299</v>
      </c>
      <c r="I179" s="53" t="n">
        <f aca="false">IF(OR($A179&gt;TOMATO_BED_CAP,$B179&gt;CARROT_BED_CAP,I$4&gt;MESCLUN_BED_CAP,$A179+$B179+I$4&gt;TOTAL_BEDS_AVAILABLE,($D179+I$5)&gt;TOTAL_LABOR_HOURS_CAP,MAX(0,($D179+I$5)-PERMANENT_FIELD_LABOR_HOURS)&gt;TEMP_HOURS_CAP),"",$C179+I$6-MIN(($D179+I$5),PERMANENT_FIELD_LABOR_HOURS)*PERMANENT_HOURLY_RATE-MAX(0,($D179+I$5)-PERMANENT_FIELD_LABOR_HOURS)*TEMP_HOURLY_RATE-FIXED_SEASON_COST)</f>
        <v>10375.2057072692</v>
      </c>
      <c r="J179" s="53" t="n">
        <f aca="false">IF(OR($A179&gt;TOMATO_BED_CAP,$B179&gt;CARROT_BED_CAP,J$4&gt;MESCLUN_BED_CAP,$A179+$B179+J$4&gt;TOTAL_BEDS_AVAILABLE,($D179+J$5)&gt;TOTAL_LABOR_HOURS_CAP,MAX(0,($D179+J$5)-PERMANENT_FIELD_LABOR_HOURS)&gt;TEMP_HOURS_CAP),"",$C179+J$6-MIN(($D179+J$5),PERMANENT_FIELD_LABOR_HOURS)*PERMANENT_HOURLY_RATE-MAX(0,($D179+J$5)-PERMANENT_FIELD_LABOR_HOURS)*TEMP_HOURLY_RATE-FIXED_SEASON_COST)</f>
        <v>11343.7998583239</v>
      </c>
      <c r="K179" s="53" t="n">
        <f aca="false">IF(OR($A179&gt;TOMATO_BED_CAP,$B179&gt;CARROT_BED_CAP,K$4&gt;MESCLUN_BED_CAP,$A179+$B179+K$4&gt;TOTAL_BEDS_AVAILABLE,($D179+K$5)&gt;TOTAL_LABOR_HOURS_CAP,MAX(0,($D179+K$5)-PERMANENT_FIELD_LABOR_HOURS)&gt;TEMP_HOURS_CAP),"",$C179+K$6-MIN(($D179+K$5),PERMANENT_FIELD_LABOR_HOURS)*PERMANENT_HOURLY_RATE-MAX(0,($D179+K$5)-PERMANENT_FIELD_LABOR_HOURS)*TEMP_HOURLY_RATE-FIXED_SEASON_COST)</f>
        <v>12291.4889550518</v>
      </c>
      <c r="L179" s="53" t="n">
        <f aca="false">IF(OR($A179&gt;TOMATO_BED_CAP,$B179&gt;CARROT_BED_CAP,L$4&gt;MESCLUN_BED_CAP,$A179+$B179+L$4&gt;TOTAL_BEDS_AVAILABLE,($D179+L$5)&gt;TOTAL_LABOR_HOURS_CAP,MAX(0,($D179+L$5)-PERMANENT_FIELD_LABOR_HOURS)&gt;TEMP_HOURS_CAP),"",$C179+L$6-MIN(($D179+L$5),PERMANENT_FIELD_LABOR_HOURS)*PERMANENT_HOURLY_RATE-MAX(0,($D179+L$5)-PERMANENT_FIELD_LABOR_HOURS)*TEMP_HOURLY_RATE-FIXED_SEASON_COST)</f>
        <v>13217.8834032587</v>
      </c>
      <c r="M179" s="53" t="n">
        <f aca="false">IF(OR($A179&gt;TOMATO_BED_CAP,$B179&gt;CARROT_BED_CAP,M$4&gt;MESCLUN_BED_CAP,$A179+$B179+M$4&gt;TOTAL_BEDS_AVAILABLE,($D179+M$5)&gt;TOTAL_LABOR_HOURS_CAP,MAX(0,($D179+M$5)-PERMANENT_FIELD_LABOR_HOURS)&gt;TEMP_HOURS_CAP),"",$C179+M$6-MIN(($D179+M$5),PERMANENT_FIELD_LABOR_HOURS)*PERMANENT_HOURLY_RATE-MAX(0,($D179+M$5)-PERMANENT_FIELD_LABOR_HOURS)*TEMP_HOURLY_RATE-FIXED_SEASON_COST)</f>
        <v>14122.5871353101</v>
      </c>
      <c r="N179" s="53" t="n">
        <f aca="false">IF(OR($A179&gt;TOMATO_BED_CAP,$B179&gt;CARROT_BED_CAP,N$4&gt;MESCLUN_BED_CAP,$A179+$B179+N$4&gt;TOTAL_BEDS_AVAILABLE,($D179+N$5)&gt;TOTAL_LABOR_HOURS_CAP,MAX(0,($D179+N$5)-PERMANENT_FIELD_LABOR_HOURS)&gt;TEMP_HOURS_CAP),"",$C179+N$6-MIN(($D179+N$5),PERMANENT_FIELD_LABOR_HOURS)*PERMANENT_HOURLY_RATE-MAX(0,($D179+N$5)-PERMANENT_FIELD_LABOR_HOURS)*TEMP_HOURLY_RATE-FIXED_SEASON_COST)</f>
        <v>15005.1975091696</v>
      </c>
      <c r="O179" s="53" t="n">
        <f aca="false">IF(OR($A179&gt;TOMATO_BED_CAP,$B179&gt;CARROT_BED_CAP,O$4&gt;MESCLUN_BED_CAP,$A179+$B179+O$4&gt;TOTAL_BEDS_AVAILABLE,($D179+O$5)&gt;TOTAL_LABOR_HOURS_CAP,MAX(0,($D179+O$5)-PERMANENT_FIELD_LABOR_HOURS)&gt;TEMP_HOURS_CAP),"",$C179+O$6-MIN(($D179+O$5),PERMANENT_FIELD_LABOR_HOURS)*PERMANENT_HOURLY_RATE-MAX(0,($D179+O$5)-PERMANENT_FIELD_LABOR_HOURS)*TEMP_HOURLY_RATE-FIXED_SEASON_COST)</f>
        <v>15865.3052059244</v>
      </c>
      <c r="P179" s="53" t="n">
        <f aca="false">IF(OR($A179&gt;TOMATO_BED_CAP,$B179&gt;CARROT_BED_CAP,P$4&gt;MESCLUN_BED_CAP,$A179+$B179+P$4&gt;TOTAL_BEDS_AVAILABLE,($D179+P$5)&gt;TOTAL_LABOR_HOURS_CAP,MAX(0,($D179+P$5)-PERMANENT_FIELD_LABOR_HOURS)&gt;TEMP_HOURS_CAP),"",$C179+P$6-MIN(($D179+P$5),PERMANENT_FIELD_LABOR_HOURS)*PERMANENT_HOURLY_RATE-MAX(0,($D179+P$5)-PERMANENT_FIELD_LABOR_HOURS)*TEMP_HOURLY_RATE-FIXED_SEASON_COST)</f>
        <v>16702.4941257758</v>
      </c>
      <c r="Q179" s="53" t="n">
        <f aca="false">IF(OR($A179&gt;TOMATO_BED_CAP,$B179&gt;CARROT_BED_CAP,Q$4&gt;MESCLUN_BED_CAP,$A179+$B179+Q$4&gt;TOTAL_BEDS_AVAILABLE,($D179+Q$5)&gt;TOTAL_LABOR_HOURS_CAP,MAX(0,($D179+Q$5)-PERMANENT_FIELD_LABOR_HOURS)&gt;TEMP_HOURS_CAP),"",$C179+Q$6-MIN(($D179+Q$5),PERMANENT_FIELD_LABOR_HOURS)*PERMANENT_HOURLY_RATE-MAX(0,($D179+Q$5)-PERMANENT_FIELD_LABOR_HOURS)*TEMP_HOURLY_RATE-FIXED_SEASON_COST)</f>
        <v>17516.3412824737</v>
      </c>
      <c r="R179" s="53" t="n">
        <f aca="false">IF(OR($A179&gt;TOMATO_BED_CAP,$B179&gt;CARROT_BED_CAP,R$4&gt;MESCLUN_BED_CAP,$A179+$B179+R$4&gt;TOTAL_BEDS_AVAILABLE,($D179+R$5)&gt;TOTAL_LABOR_HOURS_CAP,MAX(0,($D179+R$5)-PERMANENT_FIELD_LABOR_HOURS)&gt;TEMP_HOURS_CAP),"",$C179+R$6-MIN(($D179+R$5),PERMANENT_FIELD_LABOR_HOURS)*PERMANENT_HOURLY_RATE-MAX(0,($D179+R$5)-PERMANENT_FIELD_LABOR_HOURS)*TEMP_HOURLY_RATE-FIXED_SEASON_COST)</f>
        <v>18306.4166961705</v>
      </c>
      <c r="S179" s="53" t="n">
        <f aca="false">IF(OR($A179&gt;TOMATO_BED_CAP,$B179&gt;CARROT_BED_CAP,S$4&gt;MESCLUN_BED_CAP,$A179+$B179+S$4&gt;TOTAL_BEDS_AVAILABLE,($D179+S$5)&gt;TOTAL_LABOR_HOURS_CAP,MAX(0,($D179+S$5)-PERMANENT_FIELD_LABOR_HOURS)&gt;TEMP_HOURS_CAP),"",$C179+S$6-MIN(($D179+S$5),PERMANENT_FIELD_LABOR_HOURS)*PERMANENT_HOURLY_RATE-MAX(0,($D179+S$5)-PERMANENT_FIELD_LABOR_HOURS)*TEMP_HOURLY_RATE-FIXED_SEASON_COST)</f>
        <v>19072.283284673</v>
      </c>
      <c r="T179" s="53" t="n">
        <f aca="false">IF(OR($A179&gt;TOMATO_BED_CAP,$B179&gt;CARROT_BED_CAP,T$4&gt;MESCLUN_BED_CAP,$A179+$B179+T$4&gt;TOTAL_BEDS_AVAILABLE,($D179+T$5)&gt;TOTAL_LABOR_HOURS_CAP,MAX(0,($D179+T$5)-PERMANENT_FIELD_LABOR_HOURS)&gt;TEMP_HOURS_CAP),"",$C179+T$6-MIN(($D179+T$5),PERMANENT_FIELD_LABOR_HOURS)*PERMANENT_HOURLY_RATE-MAX(0,($D179+T$5)-PERMANENT_FIELD_LABOR_HOURS)*TEMP_HOURLY_RATE-FIXED_SEASON_COST)</f>
        <v>19813.4967530678</v>
      </c>
      <c r="U179" s="53" t="n">
        <f aca="false">IF(OR($A179&gt;TOMATO_BED_CAP,$B179&gt;CARROT_BED_CAP,U$4&gt;MESCLUN_BED_CAP,$A179+$B179+U$4&gt;TOTAL_BEDS_AVAILABLE,($D179+U$5)&gt;TOTAL_LABOR_HOURS_CAP,MAX(0,($D179+U$5)-PERMANENT_FIELD_LABOR_HOURS)&gt;TEMP_HOURS_CAP),"",$C179+U$6-MIN(($D179+U$5),PERMANENT_FIELD_LABOR_HOURS)*PERMANENT_HOURLY_RATE-MAX(0,($D179+U$5)-PERMANENT_FIELD_LABOR_HOURS)*TEMP_HOURLY_RATE-FIXED_SEASON_COST)</f>
        <v>20529.6054816979</v>
      </c>
      <c r="V179" s="53" t="n">
        <f aca="false">IF(OR($A179&gt;TOMATO_BED_CAP,$B179&gt;CARROT_BED_CAP,V$4&gt;MESCLUN_BED_CAP,$A179+$B179+V$4&gt;TOTAL_BEDS_AVAILABLE,($D179+V$5)&gt;TOTAL_LABOR_HOURS_CAP,MAX(0,($D179+V$5)-PERMANENT_FIELD_LABOR_HOURS)&gt;TEMP_HOURS_CAP),"",$C179+V$6-MIN(($D179+V$5),PERMANENT_FIELD_LABOR_HOURS)*PERMANENT_HOURLY_RATE-MAX(0,($D179+V$5)-PERMANENT_FIELD_LABOR_HOURS)*TEMP_HOURLY_RATE-FIXED_SEASON_COST)</f>
        <v>21220.1504124647</v>
      </c>
      <c r="W179" s="53" t="n">
        <f aca="false">IF(OR($A179&gt;TOMATO_BED_CAP,$B179&gt;CARROT_BED_CAP,W$4&gt;MESCLUN_BED_CAP,$A179+$B179+W$4&gt;TOTAL_BEDS_AVAILABLE,($D179+W$5)&gt;TOTAL_LABOR_HOURS_CAP,MAX(0,($D179+W$5)-PERMANENT_FIELD_LABOR_HOURS)&gt;TEMP_HOURS_CAP),"",$C179+W$6-MIN(($D179+W$5),PERMANENT_FIELD_LABOR_HOURS)*PERMANENT_HOURLY_RATE-MAX(0,($D179+W$5)-PERMANENT_FIELD_LABOR_HOURS)*TEMP_HOURLY_RATE-FIXED_SEASON_COST)</f>
        <v>21884.6649334328</v>
      </c>
      <c r="X179" s="53" t="n">
        <f aca="false">IF(OR($A179&gt;TOMATO_BED_CAP,$B179&gt;CARROT_BED_CAP,X$4&gt;MESCLUN_BED_CAP,$A179+$B179+X$4&gt;TOTAL_BEDS_AVAILABLE,($D179+X$5)&gt;TOTAL_LABOR_HOURS_CAP,MAX(0,($D179+X$5)-PERMANENT_FIELD_LABOR_HOURS)&gt;TEMP_HOURS_CAP),"",$C179+X$6-MIN(($D179+X$5),PERMANENT_FIELD_LABOR_HOURS)*PERMANENT_HOURLY_RATE-MAX(0,($D179+X$5)-PERMANENT_FIELD_LABOR_HOURS)*TEMP_HOURLY_RATE-FIXED_SEASON_COST)</f>
        <v>22522.6747617117</v>
      </c>
      <c r="Y179" s="53" t="n">
        <f aca="false">IF(OR($A179&gt;TOMATO_BED_CAP,$B179&gt;CARROT_BED_CAP,Y$4&gt;MESCLUN_BED_CAP,$A179+$B179+Y$4&gt;TOTAL_BEDS_AVAILABLE,($D179+Y$5)&gt;TOTAL_LABOR_HOURS_CAP,MAX(0,($D179+Y$5)-PERMANENT_FIELD_LABOR_HOURS)&gt;TEMP_HOURS_CAP),"",$C179+Y$6-MIN(($D179+Y$5),PERMANENT_FIELD_LABOR_HOURS)*PERMANENT_HOURLY_RATE-MAX(0,($D179+Y$5)-PERMANENT_FIELD_LABOR_HOURS)*TEMP_HOURLY_RATE-FIXED_SEASON_COST)</f>
        <v>23133.6978245903</v>
      </c>
      <c r="Z179" s="53" t="n">
        <f aca="false">IF(OR($A179&gt;TOMATO_BED_CAP,$B179&gt;CARROT_BED_CAP,Z$4&gt;MESCLUN_BED_CAP,$A179+$B179+Z$4&gt;TOTAL_BEDS_AVAILABLE,($D179+Z$5)&gt;TOTAL_LABOR_HOURS_CAP,MAX(0,($D179+Z$5)-PERMANENT_FIELD_LABOR_HOURS)&gt;TEMP_HOURS_CAP),"",$C179+Z$6-MIN(($D179+Z$5),PERMANENT_FIELD_LABOR_HOURS)*PERMANENT_HOURLY_RATE-MAX(0,($D179+Z$5)-PERMANENT_FIELD_LABOR_HOURS)*TEMP_HOURLY_RATE-FIXED_SEASON_COST)</f>
        <v>23717.2441388981</v>
      </c>
      <c r="AA179" s="53" t="n">
        <f aca="false">IF(OR($A179&gt;TOMATO_BED_CAP,$B179&gt;CARROT_BED_CAP,AA$4&gt;MESCLUN_BED_CAP,$A179+$B179+AA$4&gt;TOTAL_BEDS_AVAILABLE,($D179+AA$5)&gt;TOTAL_LABOR_HOURS_CAP,MAX(0,($D179+AA$5)-PERMANENT_FIELD_LABOR_HOURS)&gt;TEMP_HOURS_CAP),"",$C179+AA$6-MIN(($D179+AA$5),PERMANENT_FIELD_LABOR_HOURS)*PERMANENT_HOURLY_RATE-MAX(0,($D179+AA$5)-PERMANENT_FIELD_LABOR_HOURS)*TEMP_HOURLY_RATE-FIXED_SEASON_COST)</f>
        <v>24272.815688567</v>
      </c>
      <c r="AB179" s="53" t="n">
        <f aca="false">IF(OR($A179&gt;TOMATO_BED_CAP,$B179&gt;CARROT_BED_CAP,AB$4&gt;MESCLUN_BED_CAP,$A179+$B179+AB$4&gt;TOTAL_BEDS_AVAILABLE,($D179+AB$5)&gt;TOTAL_LABOR_HOURS_CAP,MAX(0,($D179+AB$5)-PERMANENT_FIELD_LABOR_HOURS)&gt;TEMP_HOURS_CAP),"",$C179+AB$6-MIN(($D179+AB$5),PERMANENT_FIELD_LABOR_HOURS)*PERMANENT_HOURLY_RATE-MAX(0,($D179+AB$5)-PERMANENT_FIELD_LABOR_HOURS)*TEMP_HOURLY_RATE-FIXED_SEASON_COST)</f>
        <v>24799.9063003696</v>
      </c>
      <c r="AC179" s="53" t="n">
        <f aca="false">IF(OR($A179&gt;TOMATO_BED_CAP,$B179&gt;CARROT_BED_CAP,AC$4&gt;MESCLUN_BED_CAP,$A179+$B179+AC$4&gt;TOTAL_BEDS_AVAILABLE,($D179+AC$5)&gt;TOTAL_LABOR_HOURS_CAP,MAX(0,($D179+AC$5)-PERMANENT_FIELD_LABOR_HOURS)&gt;TEMP_HOURS_CAP),"",$C179+AC$6-MIN(($D179+AC$5),PERMANENT_FIELD_LABOR_HOURS)*PERMANENT_HOURLY_RATE-MAX(0,($D179+AC$5)-PERMANENT_FIELD_LABOR_HOURS)*TEMP_HOURLY_RATE-FIXED_SEASON_COST)</f>
        <v>25298.0015178045</v>
      </c>
      <c r="AD179" s="53" t="n">
        <f aca="false">IF(OR($A179&gt;TOMATO_BED_CAP,$B179&gt;CARROT_BED_CAP,AD$4&gt;MESCLUN_BED_CAP,$A179+$B179+AD$4&gt;TOTAL_BEDS_AVAILABLE,($D179+AD$5)&gt;TOTAL_LABOR_HOURS_CAP,MAX(0,($D179+AD$5)-PERMANENT_FIELD_LABOR_HOURS)&gt;TEMP_HOURS_CAP),"",$C179+AD$6-MIN(($D179+AD$5),PERMANENT_FIELD_LABOR_HOURS)*PERMANENT_HOURLY_RATE-MAX(0,($D179+AD$5)-PERMANENT_FIELD_LABOR_HOURS)*TEMP_HOURLY_RATE-FIXED_SEASON_COST)</f>
        <v>25766.5784731044</v>
      </c>
      <c r="AE179" s="53" t="n">
        <f aca="false">IF(OR($A179&gt;TOMATO_BED_CAP,$B179&gt;CARROT_BED_CAP,AE$4&gt;MESCLUN_BED_CAP,$A179+$B179+AE$4&gt;TOTAL_BEDS_AVAILABLE,($D179+AE$5)&gt;TOTAL_LABOR_HOURS_CAP,MAX(0,($D179+AE$5)-PERMANENT_FIELD_LABOR_HOURS)&gt;TEMP_HOURS_CAP),"",$C179+AE$6-MIN(($D179+AE$5),PERMANENT_FIELD_LABOR_HOURS)*PERMANENT_HOURLY_RATE-MAX(0,($D179+AE$5)-PERMANENT_FIELD_LABOR_HOURS)*TEMP_HOURLY_RATE-FIXED_SEASON_COST)</f>
        <v>26205.1057573383</v>
      </c>
      <c r="AF179" s="53" t="n">
        <f aca="false">IF(OR($A179&gt;TOMATO_BED_CAP,$B179&gt;CARROT_BED_CAP,AF$4&gt;MESCLUN_BED_CAP,$A179+$B179+AF$4&gt;TOTAL_BEDS_AVAILABLE,($D179+AF$5)&gt;TOTAL_LABOR_HOURS_CAP,MAX(0,($D179+AF$5)-PERMANENT_FIELD_LABOR_HOURS)&gt;TEMP_HOURS_CAP),"",$C179+AF$6-MIN(($D179+AF$5),PERMANENT_FIELD_LABOR_HOURS)*PERMANENT_HOURLY_RATE-MAX(0,($D179+AF$5)-PERMANENT_FIELD_LABOR_HOURS)*TEMP_HOURLY_RATE-FIXED_SEASON_COST)</f>
        <v>26613.0432885803</v>
      </c>
      <c r="AG179" s="53" t="n">
        <f aca="false">IF(OR($A179&gt;TOMATO_BED_CAP,$B179&gt;CARROT_BED_CAP,AG$4&gt;MESCLUN_BED_CAP,$A179+$B179+AG$4&gt;TOTAL_BEDS_AVAILABLE,($D179+AG$5)&gt;TOTAL_LABOR_HOURS_CAP,MAX(0,($D179+AG$5)-PERMANENT_FIELD_LABOR_HOURS)&gt;TEMP_HOURS_CAP),"",$C179+AG$6-MIN(($D179+AG$5),PERMANENT_FIELD_LABOR_HOURS)*PERMANENT_HOURLY_RATE-MAX(0,($D179+AG$5)-PERMANENT_FIELD_LABOR_HOURS)*TEMP_HOURLY_RATE-FIXED_SEASON_COST)</f>
        <v>26989.8421781173</v>
      </c>
      <c r="AH179" s="53" t="n">
        <f aca="false">IF(OR($A179&gt;TOMATO_BED_CAP,$B179&gt;CARROT_BED_CAP,AH$4&gt;MESCLUN_BED_CAP,$A179+$B179+AH$4&gt;TOTAL_BEDS_AVAILABLE,($D179+AH$5)&gt;TOTAL_LABOR_HOURS_CAP,MAX(0,($D179+AH$5)-PERMANENT_FIELD_LABOR_HOURS)&gt;TEMP_HOURS_CAP),"",$C179+AH$6-MIN(($D179+AH$5),PERMANENT_FIELD_LABOR_HOURS)*PERMANENT_HOURLY_RATE-MAX(0,($D179+AH$5)-PERMANENT_FIELD_LABOR_HOURS)*TEMP_HOURLY_RATE-FIXED_SEASON_COST)</f>
        <v>27334.9445946675</v>
      </c>
      <c r="AI179" s="53" t="n">
        <f aca="false">IF(OR($A179&gt;TOMATO_BED_CAP,$B179&gt;CARROT_BED_CAP,AI$4&gt;MESCLUN_BED_CAP,$A179+$B179+AI$4&gt;TOTAL_BEDS_AVAILABLE,($D179+AI$5)&gt;TOTAL_LABOR_HOURS_CAP,MAX(0,($D179+AI$5)-PERMANENT_FIELD_LABOR_HOURS)&gt;TEMP_HOURS_CAP),"",$C179+AI$6-MIN(($D179+AI$5),PERMANENT_FIELD_LABOR_HOURS)*PERMANENT_HOURLY_RATE-MAX(0,($D179+AI$5)-PERMANENT_FIELD_LABOR_HOURS)*TEMP_HOURLY_RATE-FIXED_SEASON_COST)</f>
        <v>27647.7836265798</v>
      </c>
      <c r="AJ179" s="53" t="n">
        <f aca="false">IF(OR($A179&gt;TOMATO_BED_CAP,$B179&gt;CARROT_BED_CAP,AJ$4&gt;MESCLUN_BED_CAP,$A179+$B179+AJ$4&gt;TOTAL_BEDS_AVAILABLE,($D179+AJ$5)&gt;TOTAL_LABOR_HOURS_CAP,MAX(0,($D179+AJ$5)-PERMANENT_FIELD_LABOR_HOURS)&gt;TEMP_HOURS_CAP),"",$C179+AJ$6-MIN(($D179+AJ$5),PERMANENT_FIELD_LABOR_HOURS)*PERMANENT_HOURLY_RATE-MAX(0,($D179+AJ$5)-PERMANENT_FIELD_LABOR_HOURS)*TEMP_HOURLY_RATE-FIXED_SEASON_COST)</f>
        <v>27927.7831419855</v>
      </c>
    </row>
    <row r="180" customFormat="false" ht="15" hidden="false" customHeight="false" outlineLevel="0" collapsed="false">
      <c r="A180" s="21" t="n">
        <f aca="false">INT((ROW()-ROW($A$8))/(20+1))</f>
        <v>8</v>
      </c>
      <c r="B180" s="21" t="n">
        <f aca="false">MOD(ROW()-ROW($A$8),20+1)</f>
        <v>4</v>
      </c>
      <c r="C180" s="13" t="n">
        <f aca="false">A180*(TOMATO_REVENUE_PER_BED-TOMATO_FERTILIZER_PER_BED)+B180*(CARROT_REVENUE_PER_BED-CARROT_FERTILIZER_PER_BED)</f>
        <v>69976</v>
      </c>
      <c r="D180" s="14" t="n">
        <f aca="false">INDEX(TOMATO_SCHED_LABOR_HRS,A180+1)+INDEX(CARROT_SCHED_LABOR_HRS,B180+1)</f>
        <v>1675.78850705625</v>
      </c>
      <c r="E180" s="13" t="n">
        <f aca="false">IF(COUNT(F180:AJ180)=0,"",MAX(F180:AJ180))</f>
        <v>28965.100812376</v>
      </c>
      <c r="F180" s="53" t="n">
        <f aca="false">IF(OR($A180&gt;TOMATO_BED_CAP,$B180&gt;CARROT_BED_CAP,F$4&gt;MESCLUN_BED_CAP,$A180+$B180+F$4&gt;TOTAL_BEDS_AVAILABLE,($D180+F$5)&gt;TOTAL_LABOR_HOURS_CAP,MAX(0,($D180+F$5)-PERMANENT_FIELD_LABOR_HOURS)&gt;TEMP_HOURS_CAP),"",$C180+F$6-MIN(($D180+F$5),PERMANENT_FIELD_LABOR_HOURS)*PERMANENT_HOURLY_RATE-MAX(0,($D180+F$5)-PERMANENT_FIELD_LABOR_HOURS)*TEMP_HOURLY_RATE-FIXED_SEASON_COST)</f>
        <v>8385.11151750349</v>
      </c>
      <c r="G180" s="53" t="n">
        <f aca="false">IF(OR($A180&gt;TOMATO_BED_CAP,$B180&gt;CARROT_BED_CAP,G$4&gt;MESCLUN_BED_CAP,$A180+$B180+G$4&gt;TOTAL_BEDS_AVAILABLE,($D180+G$5)&gt;TOTAL_LABOR_HOURS_CAP,MAX(0,($D180+G$5)-PERMANENT_FIELD_LABOR_HOURS)&gt;TEMP_HOURS_CAP),"",$C180+G$6-MIN(($D180+G$5),PERMANENT_FIELD_LABOR_HOURS)*PERMANENT_HOURLY_RATE-MAX(0,($D180+G$5)-PERMANENT_FIELD_LABOR_HOURS)*TEMP_HOURLY_RATE-FIXED_SEASON_COST)</f>
        <v>9414.14651750349</v>
      </c>
      <c r="H180" s="53" t="n">
        <f aca="false">IF(OR($A180&gt;TOMATO_BED_CAP,$B180&gt;CARROT_BED_CAP,H$4&gt;MESCLUN_BED_CAP,$A180+$B180+H$4&gt;TOTAL_BEDS_AVAILABLE,($D180+H$5)&gt;TOTAL_LABOR_HOURS_CAP,MAX(0,($D180+H$5)-PERMANENT_FIELD_LABOR_HOURS)&gt;TEMP_HOURS_CAP),"",$C180+H$6-MIN(($D180+H$5),PERMANENT_FIELD_LABOR_HOURS)*PERMANENT_HOURLY_RATE-MAX(0,($D180+H$5)-PERMANENT_FIELD_LABOR_HOURS)*TEMP_HOURLY_RATE-FIXED_SEASON_COST)</f>
        <v>10423.4073925035</v>
      </c>
      <c r="I180" s="53" t="n">
        <f aca="false">IF(OR($A180&gt;TOMATO_BED_CAP,$B180&gt;CARROT_BED_CAP,I$4&gt;MESCLUN_BED_CAP,$A180+$B180+I$4&gt;TOTAL_BEDS_AVAILABLE,($D180+I$5)&gt;TOTAL_LABOR_HOURS_CAP,MAX(0,($D180+I$5)-PERMANENT_FIELD_LABOR_HOURS)&gt;TEMP_HOURS_CAP),"",$C180+I$6-MIN(($D180+I$5),PERMANENT_FIELD_LABOR_HOURS)*PERMANENT_HOURLY_RATE-MAX(0,($D180+I$5)-PERMANENT_FIELD_LABOR_HOURS)*TEMP_HOURLY_RATE-FIXED_SEASON_COST)</f>
        <v>11412.5233776597</v>
      </c>
      <c r="J180" s="53" t="n">
        <f aca="false">IF(OR($A180&gt;TOMATO_BED_CAP,$B180&gt;CARROT_BED_CAP,J$4&gt;MESCLUN_BED_CAP,$A180+$B180+J$4&gt;TOTAL_BEDS_AVAILABLE,($D180+J$5)&gt;TOTAL_LABOR_HOURS_CAP,MAX(0,($D180+J$5)-PERMANENT_FIELD_LABOR_HOURS)&gt;TEMP_HOURS_CAP),"",$C180+J$6-MIN(($D180+J$5),PERMANENT_FIELD_LABOR_HOURS)*PERMANENT_HOURLY_RATE-MAX(0,($D180+J$5)-PERMANENT_FIELD_LABOR_HOURS)*TEMP_HOURLY_RATE-FIXED_SEASON_COST)</f>
        <v>12381.1175287144</v>
      </c>
      <c r="K180" s="53" t="n">
        <f aca="false">IF(OR($A180&gt;TOMATO_BED_CAP,$B180&gt;CARROT_BED_CAP,K$4&gt;MESCLUN_BED_CAP,$A180+$B180+K$4&gt;TOTAL_BEDS_AVAILABLE,($D180+K$5)&gt;TOTAL_LABOR_HOURS_CAP,MAX(0,($D180+K$5)-PERMANENT_FIELD_LABOR_HOURS)&gt;TEMP_HOURS_CAP),"",$C180+K$6-MIN(($D180+K$5),PERMANENT_FIELD_LABOR_HOURS)*PERMANENT_HOURLY_RATE-MAX(0,($D180+K$5)-PERMANENT_FIELD_LABOR_HOURS)*TEMP_HOURLY_RATE-FIXED_SEASON_COST)</f>
        <v>13328.8066254423</v>
      </c>
      <c r="L180" s="53" t="n">
        <f aca="false">IF(OR($A180&gt;TOMATO_BED_CAP,$B180&gt;CARROT_BED_CAP,L$4&gt;MESCLUN_BED_CAP,$A180+$B180+L$4&gt;TOTAL_BEDS_AVAILABLE,($D180+L$5)&gt;TOTAL_LABOR_HOURS_CAP,MAX(0,($D180+L$5)-PERMANENT_FIELD_LABOR_HOURS)&gt;TEMP_HOURS_CAP),"",$C180+L$6-MIN(($D180+L$5),PERMANENT_FIELD_LABOR_HOURS)*PERMANENT_HOURLY_RATE-MAX(0,($D180+L$5)-PERMANENT_FIELD_LABOR_HOURS)*TEMP_HOURLY_RATE-FIXED_SEASON_COST)</f>
        <v>14255.2010736492</v>
      </c>
      <c r="M180" s="53" t="n">
        <f aca="false">IF(OR($A180&gt;TOMATO_BED_CAP,$B180&gt;CARROT_BED_CAP,M$4&gt;MESCLUN_BED_CAP,$A180+$B180+M$4&gt;TOTAL_BEDS_AVAILABLE,($D180+M$5)&gt;TOTAL_LABOR_HOURS_CAP,MAX(0,($D180+M$5)-PERMANENT_FIELD_LABOR_HOURS)&gt;TEMP_HOURS_CAP),"",$C180+M$6-MIN(($D180+M$5),PERMANENT_FIELD_LABOR_HOURS)*PERMANENT_HOURLY_RATE-MAX(0,($D180+M$5)-PERMANENT_FIELD_LABOR_HOURS)*TEMP_HOURLY_RATE-FIXED_SEASON_COST)</f>
        <v>15159.9048057006</v>
      </c>
      <c r="N180" s="53" t="n">
        <f aca="false">IF(OR($A180&gt;TOMATO_BED_CAP,$B180&gt;CARROT_BED_CAP,N$4&gt;MESCLUN_BED_CAP,$A180+$B180+N$4&gt;TOTAL_BEDS_AVAILABLE,($D180+N$5)&gt;TOTAL_LABOR_HOURS_CAP,MAX(0,($D180+N$5)-PERMANENT_FIELD_LABOR_HOURS)&gt;TEMP_HOURS_CAP),"",$C180+N$6-MIN(($D180+N$5),PERMANENT_FIELD_LABOR_HOURS)*PERMANENT_HOURLY_RATE-MAX(0,($D180+N$5)-PERMANENT_FIELD_LABOR_HOURS)*TEMP_HOURLY_RATE-FIXED_SEASON_COST)</f>
        <v>16042.5151795601</v>
      </c>
      <c r="O180" s="53" t="n">
        <f aca="false">IF(OR($A180&gt;TOMATO_BED_CAP,$B180&gt;CARROT_BED_CAP,O$4&gt;MESCLUN_BED_CAP,$A180+$B180+O$4&gt;TOTAL_BEDS_AVAILABLE,($D180+O$5)&gt;TOTAL_LABOR_HOURS_CAP,MAX(0,($D180+O$5)-PERMANENT_FIELD_LABOR_HOURS)&gt;TEMP_HOURS_CAP),"",$C180+O$6-MIN(($D180+O$5),PERMANENT_FIELD_LABOR_HOURS)*PERMANENT_HOURLY_RATE-MAX(0,($D180+O$5)-PERMANENT_FIELD_LABOR_HOURS)*TEMP_HOURLY_RATE-FIXED_SEASON_COST)</f>
        <v>16902.6228763149</v>
      </c>
      <c r="P180" s="53" t="n">
        <f aca="false">IF(OR($A180&gt;TOMATO_BED_CAP,$B180&gt;CARROT_BED_CAP,P$4&gt;MESCLUN_BED_CAP,$A180+$B180+P$4&gt;TOTAL_BEDS_AVAILABLE,($D180+P$5)&gt;TOTAL_LABOR_HOURS_CAP,MAX(0,($D180+P$5)-PERMANENT_FIELD_LABOR_HOURS)&gt;TEMP_HOURS_CAP),"",$C180+P$6-MIN(($D180+P$5),PERMANENT_FIELD_LABOR_HOURS)*PERMANENT_HOURLY_RATE-MAX(0,($D180+P$5)-PERMANENT_FIELD_LABOR_HOURS)*TEMP_HOURLY_RATE-FIXED_SEASON_COST)</f>
        <v>17739.8117961663</v>
      </c>
      <c r="Q180" s="53" t="n">
        <f aca="false">IF(OR($A180&gt;TOMATO_BED_CAP,$B180&gt;CARROT_BED_CAP,Q$4&gt;MESCLUN_BED_CAP,$A180+$B180+Q$4&gt;TOTAL_BEDS_AVAILABLE,($D180+Q$5)&gt;TOTAL_LABOR_HOURS_CAP,MAX(0,($D180+Q$5)-PERMANENT_FIELD_LABOR_HOURS)&gt;TEMP_HOURS_CAP),"",$C180+Q$6-MIN(($D180+Q$5),PERMANENT_FIELD_LABOR_HOURS)*PERMANENT_HOURLY_RATE-MAX(0,($D180+Q$5)-PERMANENT_FIELD_LABOR_HOURS)*TEMP_HOURLY_RATE-FIXED_SEASON_COST)</f>
        <v>18553.6589528642</v>
      </c>
      <c r="R180" s="53" t="n">
        <f aca="false">IF(OR($A180&gt;TOMATO_BED_CAP,$B180&gt;CARROT_BED_CAP,R$4&gt;MESCLUN_BED_CAP,$A180+$B180+R$4&gt;TOTAL_BEDS_AVAILABLE,($D180+R$5)&gt;TOTAL_LABOR_HOURS_CAP,MAX(0,($D180+R$5)-PERMANENT_FIELD_LABOR_HOURS)&gt;TEMP_HOURS_CAP),"",$C180+R$6-MIN(($D180+R$5),PERMANENT_FIELD_LABOR_HOURS)*PERMANENT_HOURLY_RATE-MAX(0,($D180+R$5)-PERMANENT_FIELD_LABOR_HOURS)*TEMP_HOURLY_RATE-FIXED_SEASON_COST)</f>
        <v>19343.734366561</v>
      </c>
      <c r="S180" s="53" t="n">
        <f aca="false">IF(OR($A180&gt;TOMATO_BED_CAP,$B180&gt;CARROT_BED_CAP,S$4&gt;MESCLUN_BED_CAP,$A180+$B180+S$4&gt;TOTAL_BEDS_AVAILABLE,($D180+S$5)&gt;TOTAL_LABOR_HOURS_CAP,MAX(0,($D180+S$5)-PERMANENT_FIELD_LABOR_HOURS)&gt;TEMP_HOURS_CAP),"",$C180+S$6-MIN(($D180+S$5),PERMANENT_FIELD_LABOR_HOURS)*PERMANENT_HOURLY_RATE-MAX(0,($D180+S$5)-PERMANENT_FIELD_LABOR_HOURS)*TEMP_HOURLY_RATE-FIXED_SEASON_COST)</f>
        <v>20109.6009550635</v>
      </c>
      <c r="T180" s="53" t="n">
        <f aca="false">IF(OR($A180&gt;TOMATO_BED_CAP,$B180&gt;CARROT_BED_CAP,T$4&gt;MESCLUN_BED_CAP,$A180+$B180+T$4&gt;TOTAL_BEDS_AVAILABLE,($D180+T$5)&gt;TOTAL_LABOR_HOURS_CAP,MAX(0,($D180+T$5)-PERMANENT_FIELD_LABOR_HOURS)&gt;TEMP_HOURS_CAP),"",$C180+T$6-MIN(($D180+T$5),PERMANENT_FIELD_LABOR_HOURS)*PERMANENT_HOURLY_RATE-MAX(0,($D180+T$5)-PERMANENT_FIELD_LABOR_HOURS)*TEMP_HOURLY_RATE-FIXED_SEASON_COST)</f>
        <v>20850.8144234583</v>
      </c>
      <c r="U180" s="53" t="n">
        <f aca="false">IF(OR($A180&gt;TOMATO_BED_CAP,$B180&gt;CARROT_BED_CAP,U$4&gt;MESCLUN_BED_CAP,$A180+$B180+U$4&gt;TOTAL_BEDS_AVAILABLE,($D180+U$5)&gt;TOTAL_LABOR_HOURS_CAP,MAX(0,($D180+U$5)-PERMANENT_FIELD_LABOR_HOURS)&gt;TEMP_HOURS_CAP),"",$C180+U$6-MIN(($D180+U$5),PERMANENT_FIELD_LABOR_HOURS)*PERMANENT_HOURLY_RATE-MAX(0,($D180+U$5)-PERMANENT_FIELD_LABOR_HOURS)*TEMP_HOURLY_RATE-FIXED_SEASON_COST)</f>
        <v>21566.9231520884</v>
      </c>
      <c r="V180" s="53" t="n">
        <f aca="false">IF(OR($A180&gt;TOMATO_BED_CAP,$B180&gt;CARROT_BED_CAP,V$4&gt;MESCLUN_BED_CAP,$A180+$B180+V$4&gt;TOTAL_BEDS_AVAILABLE,($D180+V$5)&gt;TOTAL_LABOR_HOURS_CAP,MAX(0,($D180+V$5)-PERMANENT_FIELD_LABOR_HOURS)&gt;TEMP_HOURS_CAP),"",$C180+V$6-MIN(($D180+V$5),PERMANENT_FIELD_LABOR_HOURS)*PERMANENT_HOURLY_RATE-MAX(0,($D180+V$5)-PERMANENT_FIELD_LABOR_HOURS)*TEMP_HOURLY_RATE-FIXED_SEASON_COST)</f>
        <v>22257.4680828552</v>
      </c>
      <c r="W180" s="53" t="n">
        <f aca="false">IF(OR($A180&gt;TOMATO_BED_CAP,$B180&gt;CARROT_BED_CAP,W$4&gt;MESCLUN_BED_CAP,$A180+$B180+W$4&gt;TOTAL_BEDS_AVAILABLE,($D180+W$5)&gt;TOTAL_LABOR_HOURS_CAP,MAX(0,($D180+W$5)-PERMANENT_FIELD_LABOR_HOURS)&gt;TEMP_HOURS_CAP),"",$C180+W$6-MIN(($D180+W$5),PERMANENT_FIELD_LABOR_HOURS)*PERMANENT_HOURLY_RATE-MAX(0,($D180+W$5)-PERMANENT_FIELD_LABOR_HOURS)*TEMP_HOURLY_RATE-FIXED_SEASON_COST)</f>
        <v>22921.9826038233</v>
      </c>
      <c r="X180" s="53" t="n">
        <f aca="false">IF(OR($A180&gt;TOMATO_BED_CAP,$B180&gt;CARROT_BED_CAP,X$4&gt;MESCLUN_BED_CAP,$A180+$B180+X$4&gt;TOTAL_BEDS_AVAILABLE,($D180+X$5)&gt;TOTAL_LABOR_HOURS_CAP,MAX(0,($D180+X$5)-PERMANENT_FIELD_LABOR_HOURS)&gt;TEMP_HOURS_CAP),"",$C180+X$6-MIN(($D180+X$5),PERMANENT_FIELD_LABOR_HOURS)*PERMANENT_HOURLY_RATE-MAX(0,($D180+X$5)-PERMANENT_FIELD_LABOR_HOURS)*TEMP_HOURLY_RATE-FIXED_SEASON_COST)</f>
        <v>23559.9924321022</v>
      </c>
      <c r="Y180" s="53" t="n">
        <f aca="false">IF(OR($A180&gt;TOMATO_BED_CAP,$B180&gt;CARROT_BED_CAP,Y$4&gt;MESCLUN_BED_CAP,$A180+$B180+Y$4&gt;TOTAL_BEDS_AVAILABLE,($D180+Y$5)&gt;TOTAL_LABOR_HOURS_CAP,MAX(0,($D180+Y$5)-PERMANENT_FIELD_LABOR_HOURS)&gt;TEMP_HOURS_CAP),"",$C180+Y$6-MIN(($D180+Y$5),PERMANENT_FIELD_LABOR_HOURS)*PERMANENT_HOURLY_RATE-MAX(0,($D180+Y$5)-PERMANENT_FIELD_LABOR_HOURS)*TEMP_HOURLY_RATE-FIXED_SEASON_COST)</f>
        <v>24171.0154949808</v>
      </c>
      <c r="Z180" s="53" t="n">
        <f aca="false">IF(OR($A180&gt;TOMATO_BED_CAP,$B180&gt;CARROT_BED_CAP,Z$4&gt;MESCLUN_BED_CAP,$A180+$B180+Z$4&gt;TOTAL_BEDS_AVAILABLE,($D180+Z$5)&gt;TOTAL_LABOR_HOURS_CAP,MAX(0,($D180+Z$5)-PERMANENT_FIELD_LABOR_HOURS)&gt;TEMP_HOURS_CAP),"",$C180+Z$6-MIN(($D180+Z$5),PERMANENT_FIELD_LABOR_HOURS)*PERMANENT_HOURLY_RATE-MAX(0,($D180+Z$5)-PERMANENT_FIELD_LABOR_HOURS)*TEMP_HOURLY_RATE-FIXED_SEASON_COST)</f>
        <v>24754.5618092886</v>
      </c>
      <c r="AA180" s="53" t="n">
        <f aca="false">IF(OR($A180&gt;TOMATO_BED_CAP,$B180&gt;CARROT_BED_CAP,AA$4&gt;MESCLUN_BED_CAP,$A180+$B180+AA$4&gt;TOTAL_BEDS_AVAILABLE,($D180+AA$5)&gt;TOTAL_LABOR_HOURS_CAP,MAX(0,($D180+AA$5)-PERMANENT_FIELD_LABOR_HOURS)&gt;TEMP_HOURS_CAP),"",$C180+AA$6-MIN(($D180+AA$5),PERMANENT_FIELD_LABOR_HOURS)*PERMANENT_HOURLY_RATE-MAX(0,($D180+AA$5)-PERMANENT_FIELD_LABOR_HOURS)*TEMP_HOURLY_RATE-FIXED_SEASON_COST)</f>
        <v>25310.1333589575</v>
      </c>
      <c r="AB180" s="53" t="n">
        <f aca="false">IF(OR($A180&gt;TOMATO_BED_CAP,$B180&gt;CARROT_BED_CAP,AB$4&gt;MESCLUN_BED_CAP,$A180+$B180+AB$4&gt;TOTAL_BEDS_AVAILABLE,($D180+AB$5)&gt;TOTAL_LABOR_HOURS_CAP,MAX(0,($D180+AB$5)-PERMANENT_FIELD_LABOR_HOURS)&gt;TEMP_HOURS_CAP),"",$C180+AB$6-MIN(($D180+AB$5),PERMANENT_FIELD_LABOR_HOURS)*PERMANENT_HOURLY_RATE-MAX(0,($D180+AB$5)-PERMANENT_FIELD_LABOR_HOURS)*TEMP_HOURLY_RATE-FIXED_SEASON_COST)</f>
        <v>25837.2239707601</v>
      </c>
      <c r="AC180" s="53" t="n">
        <f aca="false">IF(OR($A180&gt;TOMATO_BED_CAP,$B180&gt;CARROT_BED_CAP,AC$4&gt;MESCLUN_BED_CAP,$A180+$B180+AC$4&gt;TOTAL_BEDS_AVAILABLE,($D180+AC$5)&gt;TOTAL_LABOR_HOURS_CAP,MAX(0,($D180+AC$5)-PERMANENT_FIELD_LABOR_HOURS)&gt;TEMP_HOURS_CAP),"",$C180+AC$6-MIN(($D180+AC$5),PERMANENT_FIELD_LABOR_HOURS)*PERMANENT_HOURLY_RATE-MAX(0,($D180+AC$5)-PERMANENT_FIELD_LABOR_HOURS)*TEMP_HOURLY_RATE-FIXED_SEASON_COST)</f>
        <v>26335.319188195</v>
      </c>
      <c r="AD180" s="53" t="n">
        <f aca="false">IF(OR($A180&gt;TOMATO_BED_CAP,$B180&gt;CARROT_BED_CAP,AD$4&gt;MESCLUN_BED_CAP,$A180+$B180+AD$4&gt;TOTAL_BEDS_AVAILABLE,($D180+AD$5)&gt;TOTAL_LABOR_HOURS_CAP,MAX(0,($D180+AD$5)-PERMANENT_FIELD_LABOR_HOURS)&gt;TEMP_HOURS_CAP),"",$C180+AD$6-MIN(($D180+AD$5),PERMANENT_FIELD_LABOR_HOURS)*PERMANENT_HOURLY_RATE-MAX(0,($D180+AD$5)-PERMANENT_FIELD_LABOR_HOURS)*TEMP_HOURLY_RATE-FIXED_SEASON_COST)</f>
        <v>26803.8961434949</v>
      </c>
      <c r="AE180" s="53" t="n">
        <f aca="false">IF(OR($A180&gt;TOMATO_BED_CAP,$B180&gt;CARROT_BED_CAP,AE$4&gt;MESCLUN_BED_CAP,$A180+$B180+AE$4&gt;TOTAL_BEDS_AVAILABLE,($D180+AE$5)&gt;TOTAL_LABOR_HOURS_CAP,MAX(0,($D180+AE$5)-PERMANENT_FIELD_LABOR_HOURS)&gt;TEMP_HOURS_CAP),"",$C180+AE$6-MIN(($D180+AE$5),PERMANENT_FIELD_LABOR_HOURS)*PERMANENT_HOURLY_RATE-MAX(0,($D180+AE$5)-PERMANENT_FIELD_LABOR_HOURS)*TEMP_HOURLY_RATE-FIXED_SEASON_COST)</f>
        <v>27242.4234277288</v>
      </c>
      <c r="AF180" s="53" t="n">
        <f aca="false">IF(OR($A180&gt;TOMATO_BED_CAP,$B180&gt;CARROT_BED_CAP,AF$4&gt;MESCLUN_BED_CAP,$A180+$B180+AF$4&gt;TOTAL_BEDS_AVAILABLE,($D180+AF$5)&gt;TOTAL_LABOR_HOURS_CAP,MAX(0,($D180+AF$5)-PERMANENT_FIELD_LABOR_HOURS)&gt;TEMP_HOURS_CAP),"",$C180+AF$6-MIN(($D180+AF$5),PERMANENT_FIELD_LABOR_HOURS)*PERMANENT_HOURLY_RATE-MAX(0,($D180+AF$5)-PERMANENT_FIELD_LABOR_HOURS)*TEMP_HOURLY_RATE-FIXED_SEASON_COST)</f>
        <v>27650.3609589708</v>
      </c>
      <c r="AG180" s="53" t="n">
        <f aca="false">IF(OR($A180&gt;TOMATO_BED_CAP,$B180&gt;CARROT_BED_CAP,AG$4&gt;MESCLUN_BED_CAP,$A180+$B180+AG$4&gt;TOTAL_BEDS_AVAILABLE,($D180+AG$5)&gt;TOTAL_LABOR_HOURS_CAP,MAX(0,($D180+AG$5)-PERMANENT_FIELD_LABOR_HOURS)&gt;TEMP_HOURS_CAP),"",$C180+AG$6-MIN(($D180+AG$5),PERMANENT_FIELD_LABOR_HOURS)*PERMANENT_HOURLY_RATE-MAX(0,($D180+AG$5)-PERMANENT_FIELD_LABOR_HOURS)*TEMP_HOURLY_RATE-FIXED_SEASON_COST)</f>
        <v>28027.1598485078</v>
      </c>
      <c r="AH180" s="53" t="n">
        <f aca="false">IF(OR($A180&gt;TOMATO_BED_CAP,$B180&gt;CARROT_BED_CAP,AH$4&gt;MESCLUN_BED_CAP,$A180+$B180+AH$4&gt;TOTAL_BEDS_AVAILABLE,($D180+AH$5)&gt;TOTAL_LABOR_HOURS_CAP,MAX(0,($D180+AH$5)-PERMANENT_FIELD_LABOR_HOURS)&gt;TEMP_HOURS_CAP),"",$C180+AH$6-MIN(($D180+AH$5),PERMANENT_FIELD_LABOR_HOURS)*PERMANENT_HOURLY_RATE-MAX(0,($D180+AH$5)-PERMANENT_FIELD_LABOR_HOURS)*TEMP_HOURLY_RATE-FIXED_SEASON_COST)</f>
        <v>28372.262265058</v>
      </c>
      <c r="AI180" s="53" t="n">
        <f aca="false">IF(OR($A180&gt;TOMATO_BED_CAP,$B180&gt;CARROT_BED_CAP,AI$4&gt;MESCLUN_BED_CAP,$A180+$B180+AI$4&gt;TOTAL_BEDS_AVAILABLE,($D180+AI$5)&gt;TOTAL_LABOR_HOURS_CAP,MAX(0,($D180+AI$5)-PERMANENT_FIELD_LABOR_HOURS)&gt;TEMP_HOURS_CAP),"",$C180+AI$6-MIN(($D180+AI$5),PERMANENT_FIELD_LABOR_HOURS)*PERMANENT_HOURLY_RATE-MAX(0,($D180+AI$5)-PERMANENT_FIELD_LABOR_HOURS)*TEMP_HOURLY_RATE-FIXED_SEASON_COST)</f>
        <v>28685.1012969703</v>
      </c>
      <c r="AJ180" s="53" t="n">
        <f aca="false">IF(OR($A180&gt;TOMATO_BED_CAP,$B180&gt;CARROT_BED_CAP,AJ$4&gt;MESCLUN_BED_CAP,$A180+$B180+AJ$4&gt;TOTAL_BEDS_AVAILABLE,($D180+AJ$5)&gt;TOTAL_LABOR_HOURS_CAP,MAX(0,($D180+AJ$5)-PERMANENT_FIELD_LABOR_HOURS)&gt;TEMP_HOURS_CAP),"",$C180+AJ$6-MIN(($D180+AJ$5),PERMANENT_FIELD_LABOR_HOURS)*PERMANENT_HOURLY_RATE-MAX(0,($D180+AJ$5)-PERMANENT_FIELD_LABOR_HOURS)*TEMP_HOURLY_RATE-FIXED_SEASON_COST)</f>
        <v>28965.100812376</v>
      </c>
    </row>
    <row r="181" customFormat="false" ht="15" hidden="false" customHeight="false" outlineLevel="0" collapsed="false">
      <c r="A181" s="21" t="n">
        <f aca="false">INT((ROW()-ROW($A$8))/(20+1))</f>
        <v>8</v>
      </c>
      <c r="B181" s="21" t="n">
        <f aca="false">MOD(ROW()-ROW($A$8),20+1)</f>
        <v>5</v>
      </c>
      <c r="C181" s="13" t="n">
        <f aca="false">A181*(TOMATO_REVENUE_PER_BED-TOMATO_FERTILIZER_PER_BED)+B181*(CARROT_REVENUE_PER_BED-CARROT_FERTILIZER_PER_BED)</f>
        <v>71630</v>
      </c>
      <c r="D181" s="14" t="n">
        <f aca="false">INDEX(TOMATO_SCHED_LABOR_HRS,A181+1)+INDEX(CARROT_SCHED_LABOR_HRS,B181+1)</f>
        <v>1713.02729064082</v>
      </c>
      <c r="E181" s="13" t="n">
        <f aca="false">IF(COUNT(F181:AJ181)=0,"",MAX(F181:AJ181))</f>
        <v>29972.6355293479</v>
      </c>
      <c r="F181" s="53" t="n">
        <f aca="false">IF(OR($A181&gt;TOMATO_BED_CAP,$B181&gt;CARROT_BED_CAP,F$4&gt;MESCLUN_BED_CAP,$A181+$B181+F$4&gt;TOTAL_BEDS_AVAILABLE,($D181+F$5)&gt;TOTAL_LABOR_HOURS_CAP,MAX(0,($D181+F$5)-PERMANENT_FIELD_LABOR_HOURS)&gt;TEMP_HOURS_CAP),"",$C181+F$6-MIN(($D181+F$5),PERMANENT_FIELD_LABOR_HOURS)*PERMANENT_HOURLY_RATE-MAX(0,($D181+F$5)-PERMANENT_FIELD_LABOR_HOURS)*TEMP_HOURLY_RATE-FIXED_SEASON_COST)</f>
        <v>9392.64623447535</v>
      </c>
      <c r="G181" s="53" t="n">
        <f aca="false">IF(OR($A181&gt;TOMATO_BED_CAP,$B181&gt;CARROT_BED_CAP,G$4&gt;MESCLUN_BED_CAP,$A181+$B181+G$4&gt;TOTAL_BEDS_AVAILABLE,($D181+G$5)&gt;TOTAL_LABOR_HOURS_CAP,MAX(0,($D181+G$5)-PERMANENT_FIELD_LABOR_HOURS)&gt;TEMP_HOURS_CAP),"",$C181+G$6-MIN(($D181+G$5),PERMANENT_FIELD_LABOR_HOURS)*PERMANENT_HOURLY_RATE-MAX(0,($D181+G$5)-PERMANENT_FIELD_LABOR_HOURS)*TEMP_HOURLY_RATE-FIXED_SEASON_COST)</f>
        <v>10421.6812344753</v>
      </c>
      <c r="H181" s="53" t="n">
        <f aca="false">IF(OR($A181&gt;TOMATO_BED_CAP,$B181&gt;CARROT_BED_CAP,H$4&gt;MESCLUN_BED_CAP,$A181+$B181+H$4&gt;TOTAL_BEDS_AVAILABLE,($D181+H$5)&gt;TOTAL_LABOR_HOURS_CAP,MAX(0,($D181+H$5)-PERMANENT_FIELD_LABOR_HOURS)&gt;TEMP_HOURS_CAP),"",$C181+H$6-MIN(($D181+H$5),PERMANENT_FIELD_LABOR_HOURS)*PERMANENT_HOURLY_RATE-MAX(0,($D181+H$5)-PERMANENT_FIELD_LABOR_HOURS)*TEMP_HOURLY_RATE-FIXED_SEASON_COST)</f>
        <v>11430.9421094753</v>
      </c>
      <c r="I181" s="53" t="n">
        <f aca="false">IF(OR($A181&gt;TOMATO_BED_CAP,$B181&gt;CARROT_BED_CAP,I$4&gt;MESCLUN_BED_CAP,$A181+$B181+I$4&gt;TOTAL_BEDS_AVAILABLE,($D181+I$5)&gt;TOTAL_LABOR_HOURS_CAP,MAX(0,($D181+I$5)-PERMANENT_FIELD_LABOR_HOURS)&gt;TEMP_HOURS_CAP),"",$C181+I$6-MIN(($D181+I$5),PERMANENT_FIELD_LABOR_HOURS)*PERMANENT_HOURLY_RATE-MAX(0,($D181+I$5)-PERMANENT_FIELD_LABOR_HOURS)*TEMP_HOURLY_RATE-FIXED_SEASON_COST)</f>
        <v>12420.0580946316</v>
      </c>
      <c r="J181" s="53" t="n">
        <f aca="false">IF(OR($A181&gt;TOMATO_BED_CAP,$B181&gt;CARROT_BED_CAP,J$4&gt;MESCLUN_BED_CAP,$A181+$B181+J$4&gt;TOTAL_BEDS_AVAILABLE,($D181+J$5)&gt;TOTAL_LABOR_HOURS_CAP,MAX(0,($D181+J$5)-PERMANENT_FIELD_LABOR_HOURS)&gt;TEMP_HOURS_CAP),"",$C181+J$6-MIN(($D181+J$5),PERMANENT_FIELD_LABOR_HOURS)*PERMANENT_HOURLY_RATE-MAX(0,($D181+J$5)-PERMANENT_FIELD_LABOR_HOURS)*TEMP_HOURLY_RATE-FIXED_SEASON_COST)</f>
        <v>13388.6522456863</v>
      </c>
      <c r="K181" s="53" t="n">
        <f aca="false">IF(OR($A181&gt;TOMATO_BED_CAP,$B181&gt;CARROT_BED_CAP,K$4&gt;MESCLUN_BED_CAP,$A181+$B181+K$4&gt;TOTAL_BEDS_AVAILABLE,($D181+K$5)&gt;TOTAL_LABOR_HOURS_CAP,MAX(0,($D181+K$5)-PERMANENT_FIELD_LABOR_HOURS)&gt;TEMP_HOURS_CAP),"",$C181+K$6-MIN(($D181+K$5),PERMANENT_FIELD_LABOR_HOURS)*PERMANENT_HOURLY_RATE-MAX(0,($D181+K$5)-PERMANENT_FIELD_LABOR_HOURS)*TEMP_HOURLY_RATE-FIXED_SEASON_COST)</f>
        <v>14336.3413424142</v>
      </c>
      <c r="L181" s="53" t="n">
        <f aca="false">IF(OR($A181&gt;TOMATO_BED_CAP,$B181&gt;CARROT_BED_CAP,L$4&gt;MESCLUN_BED_CAP,$A181+$B181+L$4&gt;TOTAL_BEDS_AVAILABLE,($D181+L$5)&gt;TOTAL_LABOR_HOURS_CAP,MAX(0,($D181+L$5)-PERMANENT_FIELD_LABOR_HOURS)&gt;TEMP_HOURS_CAP),"",$C181+L$6-MIN(($D181+L$5),PERMANENT_FIELD_LABOR_HOURS)*PERMANENT_HOURLY_RATE-MAX(0,($D181+L$5)-PERMANENT_FIELD_LABOR_HOURS)*TEMP_HOURLY_RATE-FIXED_SEASON_COST)</f>
        <v>15262.735790621</v>
      </c>
      <c r="M181" s="53" t="n">
        <f aca="false">IF(OR($A181&gt;TOMATO_BED_CAP,$B181&gt;CARROT_BED_CAP,M$4&gt;MESCLUN_BED_CAP,$A181+$B181+M$4&gt;TOTAL_BEDS_AVAILABLE,($D181+M$5)&gt;TOTAL_LABOR_HOURS_CAP,MAX(0,($D181+M$5)-PERMANENT_FIELD_LABOR_HOURS)&gt;TEMP_HOURS_CAP),"",$C181+M$6-MIN(($D181+M$5),PERMANENT_FIELD_LABOR_HOURS)*PERMANENT_HOURLY_RATE-MAX(0,($D181+M$5)-PERMANENT_FIELD_LABOR_HOURS)*TEMP_HOURLY_RATE-FIXED_SEASON_COST)</f>
        <v>16167.4395226725</v>
      </c>
      <c r="N181" s="53" t="n">
        <f aca="false">IF(OR($A181&gt;TOMATO_BED_CAP,$B181&gt;CARROT_BED_CAP,N$4&gt;MESCLUN_BED_CAP,$A181+$B181+N$4&gt;TOTAL_BEDS_AVAILABLE,($D181+N$5)&gt;TOTAL_LABOR_HOURS_CAP,MAX(0,($D181+N$5)-PERMANENT_FIELD_LABOR_HOURS)&gt;TEMP_HOURS_CAP),"",$C181+N$6-MIN(($D181+N$5),PERMANENT_FIELD_LABOR_HOURS)*PERMANENT_HOURLY_RATE-MAX(0,($D181+N$5)-PERMANENT_FIELD_LABOR_HOURS)*TEMP_HOURLY_RATE-FIXED_SEASON_COST)</f>
        <v>17050.049896532</v>
      </c>
      <c r="O181" s="53" t="n">
        <f aca="false">IF(OR($A181&gt;TOMATO_BED_CAP,$B181&gt;CARROT_BED_CAP,O$4&gt;MESCLUN_BED_CAP,$A181+$B181+O$4&gt;TOTAL_BEDS_AVAILABLE,($D181+O$5)&gt;TOTAL_LABOR_HOURS_CAP,MAX(0,($D181+O$5)-PERMANENT_FIELD_LABOR_HOURS)&gt;TEMP_HOURS_CAP),"",$C181+O$6-MIN(($D181+O$5),PERMANENT_FIELD_LABOR_HOURS)*PERMANENT_HOURLY_RATE-MAX(0,($D181+O$5)-PERMANENT_FIELD_LABOR_HOURS)*TEMP_HOURLY_RATE-FIXED_SEASON_COST)</f>
        <v>17910.1575932868</v>
      </c>
      <c r="P181" s="53" t="n">
        <f aca="false">IF(OR($A181&gt;TOMATO_BED_CAP,$B181&gt;CARROT_BED_CAP,P$4&gt;MESCLUN_BED_CAP,$A181+$B181+P$4&gt;TOTAL_BEDS_AVAILABLE,($D181+P$5)&gt;TOTAL_LABOR_HOURS_CAP,MAX(0,($D181+P$5)-PERMANENT_FIELD_LABOR_HOURS)&gt;TEMP_HOURS_CAP),"",$C181+P$6-MIN(($D181+P$5),PERMANENT_FIELD_LABOR_HOURS)*PERMANENT_HOURLY_RATE-MAX(0,($D181+P$5)-PERMANENT_FIELD_LABOR_HOURS)*TEMP_HOURLY_RATE-FIXED_SEASON_COST)</f>
        <v>18747.3465131382</v>
      </c>
      <c r="Q181" s="53" t="n">
        <f aca="false">IF(OR($A181&gt;TOMATO_BED_CAP,$B181&gt;CARROT_BED_CAP,Q$4&gt;MESCLUN_BED_CAP,$A181+$B181+Q$4&gt;TOTAL_BEDS_AVAILABLE,($D181+Q$5)&gt;TOTAL_LABOR_HOURS_CAP,MAX(0,($D181+Q$5)-PERMANENT_FIELD_LABOR_HOURS)&gt;TEMP_HOURS_CAP),"",$C181+Q$6-MIN(($D181+Q$5),PERMANENT_FIELD_LABOR_HOURS)*PERMANENT_HOURLY_RATE-MAX(0,($D181+Q$5)-PERMANENT_FIELD_LABOR_HOURS)*TEMP_HOURLY_RATE-FIXED_SEASON_COST)</f>
        <v>19561.1936698361</v>
      </c>
      <c r="R181" s="53" t="n">
        <f aca="false">IF(OR($A181&gt;TOMATO_BED_CAP,$B181&gt;CARROT_BED_CAP,R$4&gt;MESCLUN_BED_CAP,$A181+$B181+R$4&gt;TOTAL_BEDS_AVAILABLE,($D181+R$5)&gt;TOTAL_LABOR_HOURS_CAP,MAX(0,($D181+R$5)-PERMANENT_FIELD_LABOR_HOURS)&gt;TEMP_HOURS_CAP),"",$C181+R$6-MIN(($D181+R$5),PERMANENT_FIELD_LABOR_HOURS)*PERMANENT_HOURLY_RATE-MAX(0,($D181+R$5)-PERMANENT_FIELD_LABOR_HOURS)*TEMP_HOURLY_RATE-FIXED_SEASON_COST)</f>
        <v>20351.2690835329</v>
      </c>
      <c r="S181" s="53" t="n">
        <f aca="false">IF(OR($A181&gt;TOMATO_BED_CAP,$B181&gt;CARROT_BED_CAP,S$4&gt;MESCLUN_BED_CAP,$A181+$B181+S$4&gt;TOTAL_BEDS_AVAILABLE,($D181+S$5)&gt;TOTAL_LABOR_HOURS_CAP,MAX(0,($D181+S$5)-PERMANENT_FIELD_LABOR_HOURS)&gt;TEMP_HOURS_CAP),"",$C181+S$6-MIN(($D181+S$5),PERMANENT_FIELD_LABOR_HOURS)*PERMANENT_HOURLY_RATE-MAX(0,($D181+S$5)-PERMANENT_FIELD_LABOR_HOURS)*TEMP_HOURLY_RATE-FIXED_SEASON_COST)</f>
        <v>21117.1356720353</v>
      </c>
      <c r="T181" s="53" t="n">
        <f aca="false">IF(OR($A181&gt;TOMATO_BED_CAP,$B181&gt;CARROT_BED_CAP,T$4&gt;MESCLUN_BED_CAP,$A181+$B181+T$4&gt;TOTAL_BEDS_AVAILABLE,($D181+T$5)&gt;TOTAL_LABOR_HOURS_CAP,MAX(0,($D181+T$5)-PERMANENT_FIELD_LABOR_HOURS)&gt;TEMP_HOURS_CAP),"",$C181+T$6-MIN(($D181+T$5),PERMANENT_FIELD_LABOR_HOURS)*PERMANENT_HOURLY_RATE-MAX(0,($D181+T$5)-PERMANENT_FIELD_LABOR_HOURS)*TEMP_HOURLY_RATE-FIXED_SEASON_COST)</f>
        <v>21858.3491404302</v>
      </c>
      <c r="U181" s="53" t="n">
        <f aca="false">IF(OR($A181&gt;TOMATO_BED_CAP,$B181&gt;CARROT_BED_CAP,U$4&gt;MESCLUN_BED_CAP,$A181+$B181+U$4&gt;TOTAL_BEDS_AVAILABLE,($D181+U$5)&gt;TOTAL_LABOR_HOURS_CAP,MAX(0,($D181+U$5)-PERMANENT_FIELD_LABOR_HOURS)&gt;TEMP_HOURS_CAP),"",$C181+U$6-MIN(($D181+U$5),PERMANENT_FIELD_LABOR_HOURS)*PERMANENT_HOURLY_RATE-MAX(0,($D181+U$5)-PERMANENT_FIELD_LABOR_HOURS)*TEMP_HOURLY_RATE-FIXED_SEASON_COST)</f>
        <v>22574.4578690603</v>
      </c>
      <c r="V181" s="53" t="n">
        <f aca="false">IF(OR($A181&gt;TOMATO_BED_CAP,$B181&gt;CARROT_BED_CAP,V$4&gt;MESCLUN_BED_CAP,$A181+$B181+V$4&gt;TOTAL_BEDS_AVAILABLE,($D181+V$5)&gt;TOTAL_LABOR_HOURS_CAP,MAX(0,($D181+V$5)-PERMANENT_FIELD_LABOR_HOURS)&gt;TEMP_HOURS_CAP),"",$C181+V$6-MIN(($D181+V$5),PERMANENT_FIELD_LABOR_HOURS)*PERMANENT_HOURLY_RATE-MAX(0,($D181+V$5)-PERMANENT_FIELD_LABOR_HOURS)*TEMP_HOURLY_RATE-FIXED_SEASON_COST)</f>
        <v>23265.0027998271</v>
      </c>
      <c r="W181" s="53" t="n">
        <f aca="false">IF(OR($A181&gt;TOMATO_BED_CAP,$B181&gt;CARROT_BED_CAP,W$4&gt;MESCLUN_BED_CAP,$A181+$B181+W$4&gt;TOTAL_BEDS_AVAILABLE,($D181+W$5)&gt;TOTAL_LABOR_HOURS_CAP,MAX(0,($D181+W$5)-PERMANENT_FIELD_LABOR_HOURS)&gt;TEMP_HOURS_CAP),"",$C181+W$6-MIN(($D181+W$5),PERMANENT_FIELD_LABOR_HOURS)*PERMANENT_HOURLY_RATE-MAX(0,($D181+W$5)-PERMANENT_FIELD_LABOR_HOURS)*TEMP_HOURLY_RATE-FIXED_SEASON_COST)</f>
        <v>23929.5173207951</v>
      </c>
      <c r="X181" s="53" t="n">
        <f aca="false">IF(OR($A181&gt;TOMATO_BED_CAP,$B181&gt;CARROT_BED_CAP,X$4&gt;MESCLUN_BED_CAP,$A181+$B181+X$4&gt;TOTAL_BEDS_AVAILABLE,($D181+X$5)&gt;TOTAL_LABOR_HOURS_CAP,MAX(0,($D181+X$5)-PERMANENT_FIELD_LABOR_HOURS)&gt;TEMP_HOURS_CAP),"",$C181+X$6-MIN(($D181+X$5),PERMANENT_FIELD_LABOR_HOURS)*PERMANENT_HOURLY_RATE-MAX(0,($D181+X$5)-PERMANENT_FIELD_LABOR_HOURS)*TEMP_HOURLY_RATE-FIXED_SEASON_COST)</f>
        <v>24567.5271490741</v>
      </c>
      <c r="Y181" s="53" t="n">
        <f aca="false">IF(OR($A181&gt;TOMATO_BED_CAP,$B181&gt;CARROT_BED_CAP,Y$4&gt;MESCLUN_BED_CAP,$A181+$B181+Y$4&gt;TOTAL_BEDS_AVAILABLE,($D181+Y$5)&gt;TOTAL_LABOR_HOURS_CAP,MAX(0,($D181+Y$5)-PERMANENT_FIELD_LABOR_HOURS)&gt;TEMP_HOURS_CAP),"",$C181+Y$6-MIN(($D181+Y$5),PERMANENT_FIELD_LABOR_HOURS)*PERMANENT_HOURLY_RATE-MAX(0,($D181+Y$5)-PERMANENT_FIELD_LABOR_HOURS)*TEMP_HOURLY_RATE-FIXED_SEASON_COST)</f>
        <v>25178.5502119527</v>
      </c>
      <c r="Z181" s="53" t="n">
        <f aca="false">IF(OR($A181&gt;TOMATO_BED_CAP,$B181&gt;CARROT_BED_CAP,Z$4&gt;MESCLUN_BED_CAP,$A181+$B181+Z$4&gt;TOTAL_BEDS_AVAILABLE,($D181+Z$5)&gt;TOTAL_LABOR_HOURS_CAP,MAX(0,($D181+Z$5)-PERMANENT_FIELD_LABOR_HOURS)&gt;TEMP_HOURS_CAP),"",$C181+Z$6-MIN(($D181+Z$5),PERMANENT_FIELD_LABOR_HOURS)*PERMANENT_HOURLY_RATE-MAX(0,($D181+Z$5)-PERMANENT_FIELD_LABOR_HOURS)*TEMP_HOURLY_RATE-FIXED_SEASON_COST)</f>
        <v>25762.0965262604</v>
      </c>
      <c r="AA181" s="53" t="n">
        <f aca="false">IF(OR($A181&gt;TOMATO_BED_CAP,$B181&gt;CARROT_BED_CAP,AA$4&gt;MESCLUN_BED_CAP,$A181+$B181+AA$4&gt;TOTAL_BEDS_AVAILABLE,($D181+AA$5)&gt;TOTAL_LABOR_HOURS_CAP,MAX(0,($D181+AA$5)-PERMANENT_FIELD_LABOR_HOURS)&gt;TEMP_HOURS_CAP),"",$C181+AA$6-MIN(($D181+AA$5),PERMANENT_FIELD_LABOR_HOURS)*PERMANENT_HOURLY_RATE-MAX(0,($D181+AA$5)-PERMANENT_FIELD_LABOR_HOURS)*TEMP_HOURLY_RATE-FIXED_SEASON_COST)</f>
        <v>26317.6680759294</v>
      </c>
      <c r="AB181" s="53" t="n">
        <f aca="false">IF(OR($A181&gt;TOMATO_BED_CAP,$B181&gt;CARROT_BED_CAP,AB$4&gt;MESCLUN_BED_CAP,$A181+$B181+AB$4&gt;TOTAL_BEDS_AVAILABLE,($D181+AB$5)&gt;TOTAL_LABOR_HOURS_CAP,MAX(0,($D181+AB$5)-PERMANENT_FIELD_LABOR_HOURS)&gt;TEMP_HOURS_CAP),"",$C181+AB$6-MIN(($D181+AB$5),PERMANENT_FIELD_LABOR_HOURS)*PERMANENT_HOURLY_RATE-MAX(0,($D181+AB$5)-PERMANENT_FIELD_LABOR_HOURS)*TEMP_HOURLY_RATE-FIXED_SEASON_COST)</f>
        <v>26844.7586877319</v>
      </c>
      <c r="AC181" s="53" t="n">
        <f aca="false">IF(OR($A181&gt;TOMATO_BED_CAP,$B181&gt;CARROT_BED_CAP,AC$4&gt;MESCLUN_BED_CAP,$A181+$B181+AC$4&gt;TOTAL_BEDS_AVAILABLE,($D181+AC$5)&gt;TOTAL_LABOR_HOURS_CAP,MAX(0,($D181+AC$5)-PERMANENT_FIELD_LABOR_HOURS)&gt;TEMP_HOURS_CAP),"",$C181+AC$6-MIN(($D181+AC$5),PERMANENT_FIELD_LABOR_HOURS)*PERMANENT_HOURLY_RATE-MAX(0,($D181+AC$5)-PERMANENT_FIELD_LABOR_HOURS)*TEMP_HOURLY_RATE-FIXED_SEASON_COST)</f>
        <v>27342.8539051668</v>
      </c>
      <c r="AD181" s="53" t="n">
        <f aca="false">IF(OR($A181&gt;TOMATO_BED_CAP,$B181&gt;CARROT_BED_CAP,AD$4&gt;MESCLUN_BED_CAP,$A181+$B181+AD$4&gt;TOTAL_BEDS_AVAILABLE,($D181+AD$5)&gt;TOTAL_LABOR_HOURS_CAP,MAX(0,($D181+AD$5)-PERMANENT_FIELD_LABOR_HOURS)&gt;TEMP_HOURS_CAP),"",$C181+AD$6-MIN(($D181+AD$5),PERMANENT_FIELD_LABOR_HOURS)*PERMANENT_HOURLY_RATE-MAX(0,($D181+AD$5)-PERMANENT_FIELD_LABOR_HOURS)*TEMP_HOURLY_RATE-FIXED_SEASON_COST)</f>
        <v>27811.4308604668</v>
      </c>
      <c r="AE181" s="53" t="n">
        <f aca="false">IF(OR($A181&gt;TOMATO_BED_CAP,$B181&gt;CARROT_BED_CAP,AE$4&gt;MESCLUN_BED_CAP,$A181+$B181+AE$4&gt;TOTAL_BEDS_AVAILABLE,($D181+AE$5)&gt;TOTAL_LABOR_HOURS_CAP,MAX(0,($D181+AE$5)-PERMANENT_FIELD_LABOR_HOURS)&gt;TEMP_HOURS_CAP),"",$C181+AE$6-MIN(($D181+AE$5),PERMANENT_FIELD_LABOR_HOURS)*PERMANENT_HOURLY_RATE-MAX(0,($D181+AE$5)-PERMANENT_FIELD_LABOR_HOURS)*TEMP_HOURLY_RATE-FIXED_SEASON_COST)</f>
        <v>28249.9581447007</v>
      </c>
      <c r="AF181" s="53" t="n">
        <f aca="false">IF(OR($A181&gt;TOMATO_BED_CAP,$B181&gt;CARROT_BED_CAP,AF$4&gt;MESCLUN_BED_CAP,$A181+$B181+AF$4&gt;TOTAL_BEDS_AVAILABLE,($D181+AF$5)&gt;TOTAL_LABOR_HOURS_CAP,MAX(0,($D181+AF$5)-PERMANENT_FIELD_LABOR_HOURS)&gt;TEMP_HOURS_CAP),"",$C181+AF$6-MIN(($D181+AF$5),PERMANENT_FIELD_LABOR_HOURS)*PERMANENT_HOURLY_RATE-MAX(0,($D181+AF$5)-PERMANENT_FIELD_LABOR_HOURS)*TEMP_HOURLY_RATE-FIXED_SEASON_COST)</f>
        <v>28657.8956759426</v>
      </c>
      <c r="AG181" s="53" t="n">
        <f aca="false">IF(OR($A181&gt;TOMATO_BED_CAP,$B181&gt;CARROT_BED_CAP,AG$4&gt;MESCLUN_BED_CAP,$A181+$B181+AG$4&gt;TOTAL_BEDS_AVAILABLE,($D181+AG$5)&gt;TOTAL_LABOR_HOURS_CAP,MAX(0,($D181+AG$5)-PERMANENT_FIELD_LABOR_HOURS)&gt;TEMP_HOURS_CAP),"",$C181+AG$6-MIN(($D181+AG$5),PERMANENT_FIELD_LABOR_HOURS)*PERMANENT_HOURLY_RATE-MAX(0,($D181+AG$5)-PERMANENT_FIELD_LABOR_HOURS)*TEMP_HOURLY_RATE-FIXED_SEASON_COST)</f>
        <v>29034.6945654797</v>
      </c>
      <c r="AH181" s="53" t="n">
        <f aca="false">IF(OR($A181&gt;TOMATO_BED_CAP,$B181&gt;CARROT_BED_CAP,AH$4&gt;MESCLUN_BED_CAP,$A181+$B181+AH$4&gt;TOTAL_BEDS_AVAILABLE,($D181+AH$5)&gt;TOTAL_LABOR_HOURS_CAP,MAX(0,($D181+AH$5)-PERMANENT_FIELD_LABOR_HOURS)&gt;TEMP_HOURS_CAP),"",$C181+AH$6-MIN(($D181+AH$5),PERMANENT_FIELD_LABOR_HOURS)*PERMANENT_HOURLY_RATE-MAX(0,($D181+AH$5)-PERMANENT_FIELD_LABOR_HOURS)*TEMP_HOURLY_RATE-FIXED_SEASON_COST)</f>
        <v>29379.7969820299</v>
      </c>
      <c r="AI181" s="53" t="n">
        <f aca="false">IF(OR($A181&gt;TOMATO_BED_CAP,$B181&gt;CARROT_BED_CAP,AI$4&gt;MESCLUN_BED_CAP,$A181+$B181+AI$4&gt;TOTAL_BEDS_AVAILABLE,($D181+AI$5)&gt;TOTAL_LABOR_HOURS_CAP,MAX(0,($D181+AI$5)-PERMANENT_FIELD_LABOR_HOURS)&gt;TEMP_HOURS_CAP),"",$C181+AI$6-MIN(($D181+AI$5),PERMANENT_FIELD_LABOR_HOURS)*PERMANENT_HOURLY_RATE-MAX(0,($D181+AI$5)-PERMANENT_FIELD_LABOR_HOURS)*TEMP_HOURLY_RATE-FIXED_SEASON_COST)</f>
        <v>29692.6360139421</v>
      </c>
      <c r="AJ181" s="53" t="n">
        <f aca="false">IF(OR($A181&gt;TOMATO_BED_CAP,$B181&gt;CARROT_BED_CAP,AJ$4&gt;MESCLUN_BED_CAP,$A181+$B181+AJ$4&gt;TOTAL_BEDS_AVAILABLE,($D181+AJ$5)&gt;TOTAL_LABOR_HOURS_CAP,MAX(0,($D181+AJ$5)-PERMANENT_FIELD_LABOR_HOURS)&gt;TEMP_HOURS_CAP),"",$C181+AJ$6-MIN(($D181+AJ$5),PERMANENT_FIELD_LABOR_HOURS)*PERMANENT_HOURLY_RATE-MAX(0,($D181+AJ$5)-PERMANENT_FIELD_LABOR_HOURS)*TEMP_HOURLY_RATE-FIXED_SEASON_COST)</f>
        <v>29972.6355293479</v>
      </c>
    </row>
    <row r="182" customFormat="false" ht="15" hidden="false" customHeight="false" outlineLevel="0" collapsed="false">
      <c r="A182" s="21" t="n">
        <f aca="false">INT((ROW()-ROW($A$8))/(20+1))</f>
        <v>8</v>
      </c>
      <c r="B182" s="21" t="n">
        <f aca="false">MOD(ROW()-ROW($A$8),20+1)</f>
        <v>6</v>
      </c>
      <c r="C182" s="13" t="n">
        <f aca="false">A182*(TOMATO_REVENUE_PER_BED-TOMATO_FERTILIZER_PER_BED)+B182*(CARROT_REVENUE_PER_BED-CARROT_FERTILIZER_PER_BED)</f>
        <v>73284</v>
      </c>
      <c r="D182" s="14" t="n">
        <f aca="false">INDEX(TOMATO_SCHED_LABOR_HRS,A182+1)+INDEX(CARROT_SCHED_LABOR_HRS,B182+1)</f>
        <v>1752.04526055221</v>
      </c>
      <c r="E182" s="13" t="n">
        <f aca="false">IF(COUNT(F182:AJ182)=0,"",MAX(F182:AJ182))</f>
        <v>30949.2835716862</v>
      </c>
      <c r="F182" s="53" t="n">
        <f aca="false">IF(OR($A182&gt;TOMATO_BED_CAP,$B182&gt;CARROT_BED_CAP,F$4&gt;MESCLUN_BED_CAP,$A182+$B182+F$4&gt;TOTAL_BEDS_AVAILABLE,($D182+F$5)&gt;TOTAL_LABOR_HOURS_CAP,MAX(0,($D182+F$5)-PERMANENT_FIELD_LABOR_HOURS)&gt;TEMP_HOURS_CAP),"",$C182+F$6-MIN(($D182+F$5),PERMANENT_FIELD_LABOR_HOURS)*PERMANENT_HOURLY_RATE-MAX(0,($D182+F$5)-PERMANENT_FIELD_LABOR_HOURS)*TEMP_HOURLY_RATE-FIXED_SEASON_COST)</f>
        <v>10369.2942768136</v>
      </c>
      <c r="G182" s="53" t="n">
        <f aca="false">IF(OR($A182&gt;TOMATO_BED_CAP,$B182&gt;CARROT_BED_CAP,G$4&gt;MESCLUN_BED_CAP,$A182+$B182+G$4&gt;TOTAL_BEDS_AVAILABLE,($D182+G$5)&gt;TOTAL_LABOR_HOURS_CAP,MAX(0,($D182+G$5)-PERMANENT_FIELD_LABOR_HOURS)&gt;TEMP_HOURS_CAP),"",$C182+G$6-MIN(($D182+G$5),PERMANENT_FIELD_LABOR_HOURS)*PERMANENT_HOURLY_RATE-MAX(0,($D182+G$5)-PERMANENT_FIELD_LABOR_HOURS)*TEMP_HOURLY_RATE-FIXED_SEASON_COST)</f>
        <v>11398.3292768136</v>
      </c>
      <c r="H182" s="53" t="n">
        <f aca="false">IF(OR($A182&gt;TOMATO_BED_CAP,$B182&gt;CARROT_BED_CAP,H$4&gt;MESCLUN_BED_CAP,$A182+$B182+H$4&gt;TOTAL_BEDS_AVAILABLE,($D182+H$5)&gt;TOTAL_LABOR_HOURS_CAP,MAX(0,($D182+H$5)-PERMANENT_FIELD_LABOR_HOURS)&gt;TEMP_HOURS_CAP),"",$C182+H$6-MIN(($D182+H$5),PERMANENT_FIELD_LABOR_HOURS)*PERMANENT_HOURLY_RATE-MAX(0,($D182+H$5)-PERMANENT_FIELD_LABOR_HOURS)*TEMP_HOURLY_RATE-FIXED_SEASON_COST)</f>
        <v>12407.5901518136</v>
      </c>
      <c r="I182" s="53" t="n">
        <f aca="false">IF(OR($A182&gt;TOMATO_BED_CAP,$B182&gt;CARROT_BED_CAP,I$4&gt;MESCLUN_BED_CAP,$A182+$B182+I$4&gt;TOTAL_BEDS_AVAILABLE,($D182+I$5)&gt;TOTAL_LABOR_HOURS_CAP,MAX(0,($D182+I$5)-PERMANENT_FIELD_LABOR_HOURS)&gt;TEMP_HOURS_CAP),"",$C182+I$6-MIN(($D182+I$5),PERMANENT_FIELD_LABOR_HOURS)*PERMANENT_HOURLY_RATE-MAX(0,($D182+I$5)-PERMANENT_FIELD_LABOR_HOURS)*TEMP_HOURLY_RATE-FIXED_SEASON_COST)</f>
        <v>13396.7061369699</v>
      </c>
      <c r="J182" s="53" t="n">
        <f aca="false">IF(OR($A182&gt;TOMATO_BED_CAP,$B182&gt;CARROT_BED_CAP,J$4&gt;MESCLUN_BED_CAP,$A182+$B182+J$4&gt;TOTAL_BEDS_AVAILABLE,($D182+J$5)&gt;TOTAL_LABOR_HOURS_CAP,MAX(0,($D182+J$5)-PERMANENT_FIELD_LABOR_HOURS)&gt;TEMP_HOURS_CAP),"",$C182+J$6-MIN(($D182+J$5),PERMANENT_FIELD_LABOR_HOURS)*PERMANENT_HOURLY_RATE-MAX(0,($D182+J$5)-PERMANENT_FIELD_LABOR_HOURS)*TEMP_HOURLY_RATE-FIXED_SEASON_COST)</f>
        <v>14365.3002880246</v>
      </c>
      <c r="K182" s="53" t="n">
        <f aca="false">IF(OR($A182&gt;TOMATO_BED_CAP,$B182&gt;CARROT_BED_CAP,K$4&gt;MESCLUN_BED_CAP,$A182+$B182+K$4&gt;TOTAL_BEDS_AVAILABLE,($D182+K$5)&gt;TOTAL_LABOR_HOURS_CAP,MAX(0,($D182+K$5)-PERMANENT_FIELD_LABOR_HOURS)&gt;TEMP_HOURS_CAP),"",$C182+K$6-MIN(($D182+K$5),PERMANENT_FIELD_LABOR_HOURS)*PERMANENT_HOURLY_RATE-MAX(0,($D182+K$5)-PERMANENT_FIELD_LABOR_HOURS)*TEMP_HOURLY_RATE-FIXED_SEASON_COST)</f>
        <v>15312.9893847525</v>
      </c>
      <c r="L182" s="53" t="n">
        <f aca="false">IF(OR($A182&gt;TOMATO_BED_CAP,$B182&gt;CARROT_BED_CAP,L$4&gt;MESCLUN_BED_CAP,$A182+$B182+L$4&gt;TOTAL_BEDS_AVAILABLE,($D182+L$5)&gt;TOTAL_LABOR_HOURS_CAP,MAX(0,($D182+L$5)-PERMANENT_FIELD_LABOR_HOURS)&gt;TEMP_HOURS_CAP),"",$C182+L$6-MIN(($D182+L$5),PERMANENT_FIELD_LABOR_HOURS)*PERMANENT_HOURLY_RATE-MAX(0,($D182+L$5)-PERMANENT_FIELD_LABOR_HOURS)*TEMP_HOURLY_RATE-FIXED_SEASON_COST)</f>
        <v>16239.3838329593</v>
      </c>
      <c r="M182" s="53" t="n">
        <f aca="false">IF(OR($A182&gt;TOMATO_BED_CAP,$B182&gt;CARROT_BED_CAP,M$4&gt;MESCLUN_BED_CAP,$A182+$B182+M$4&gt;TOTAL_BEDS_AVAILABLE,($D182+M$5)&gt;TOTAL_LABOR_HOURS_CAP,MAX(0,($D182+M$5)-PERMANENT_FIELD_LABOR_HOURS)&gt;TEMP_HOURS_CAP),"",$C182+M$6-MIN(($D182+M$5),PERMANENT_FIELD_LABOR_HOURS)*PERMANENT_HOURLY_RATE-MAX(0,($D182+M$5)-PERMANENT_FIELD_LABOR_HOURS)*TEMP_HOURLY_RATE-FIXED_SEASON_COST)</f>
        <v>17144.0875650108</v>
      </c>
      <c r="N182" s="53" t="n">
        <f aca="false">IF(OR($A182&gt;TOMATO_BED_CAP,$B182&gt;CARROT_BED_CAP,N$4&gt;MESCLUN_BED_CAP,$A182+$B182+N$4&gt;TOTAL_BEDS_AVAILABLE,($D182+N$5)&gt;TOTAL_LABOR_HOURS_CAP,MAX(0,($D182+N$5)-PERMANENT_FIELD_LABOR_HOURS)&gt;TEMP_HOURS_CAP),"",$C182+N$6-MIN(($D182+N$5),PERMANENT_FIELD_LABOR_HOURS)*PERMANENT_HOURLY_RATE-MAX(0,($D182+N$5)-PERMANENT_FIELD_LABOR_HOURS)*TEMP_HOURLY_RATE-FIXED_SEASON_COST)</f>
        <v>18026.6979388703</v>
      </c>
      <c r="O182" s="53" t="n">
        <f aca="false">IF(OR($A182&gt;TOMATO_BED_CAP,$B182&gt;CARROT_BED_CAP,O$4&gt;MESCLUN_BED_CAP,$A182+$B182+O$4&gt;TOTAL_BEDS_AVAILABLE,($D182+O$5)&gt;TOTAL_LABOR_HOURS_CAP,MAX(0,($D182+O$5)-PERMANENT_FIELD_LABOR_HOURS)&gt;TEMP_HOURS_CAP),"",$C182+O$6-MIN(($D182+O$5),PERMANENT_FIELD_LABOR_HOURS)*PERMANENT_HOURLY_RATE-MAX(0,($D182+O$5)-PERMANENT_FIELD_LABOR_HOURS)*TEMP_HOURLY_RATE-FIXED_SEASON_COST)</f>
        <v>18886.805635625</v>
      </c>
      <c r="P182" s="53" t="n">
        <f aca="false">IF(OR($A182&gt;TOMATO_BED_CAP,$B182&gt;CARROT_BED_CAP,P$4&gt;MESCLUN_BED_CAP,$A182+$B182+P$4&gt;TOTAL_BEDS_AVAILABLE,($D182+P$5)&gt;TOTAL_LABOR_HOURS_CAP,MAX(0,($D182+P$5)-PERMANENT_FIELD_LABOR_HOURS)&gt;TEMP_HOURS_CAP),"",$C182+P$6-MIN(($D182+P$5),PERMANENT_FIELD_LABOR_HOURS)*PERMANENT_HOURLY_RATE-MAX(0,($D182+P$5)-PERMANENT_FIELD_LABOR_HOURS)*TEMP_HOURLY_RATE-FIXED_SEASON_COST)</f>
        <v>19723.9945554765</v>
      </c>
      <c r="Q182" s="53" t="n">
        <f aca="false">IF(OR($A182&gt;TOMATO_BED_CAP,$B182&gt;CARROT_BED_CAP,Q$4&gt;MESCLUN_BED_CAP,$A182+$B182+Q$4&gt;TOTAL_BEDS_AVAILABLE,($D182+Q$5)&gt;TOTAL_LABOR_HOURS_CAP,MAX(0,($D182+Q$5)-PERMANENT_FIELD_LABOR_HOURS)&gt;TEMP_HOURS_CAP),"",$C182+Q$6-MIN(($D182+Q$5),PERMANENT_FIELD_LABOR_HOURS)*PERMANENT_HOURLY_RATE-MAX(0,($D182+Q$5)-PERMANENT_FIELD_LABOR_HOURS)*TEMP_HOURLY_RATE-FIXED_SEASON_COST)</f>
        <v>20537.8417121744</v>
      </c>
      <c r="R182" s="53" t="n">
        <f aca="false">IF(OR($A182&gt;TOMATO_BED_CAP,$B182&gt;CARROT_BED_CAP,R$4&gt;MESCLUN_BED_CAP,$A182+$B182+R$4&gt;TOTAL_BEDS_AVAILABLE,($D182+R$5)&gt;TOTAL_LABOR_HOURS_CAP,MAX(0,($D182+R$5)-PERMANENT_FIELD_LABOR_HOURS)&gt;TEMP_HOURS_CAP),"",$C182+R$6-MIN(($D182+R$5),PERMANENT_FIELD_LABOR_HOURS)*PERMANENT_HOURLY_RATE-MAX(0,($D182+R$5)-PERMANENT_FIELD_LABOR_HOURS)*TEMP_HOURLY_RATE-FIXED_SEASON_COST)</f>
        <v>21327.9171258712</v>
      </c>
      <c r="S182" s="53" t="n">
        <f aca="false">IF(OR($A182&gt;TOMATO_BED_CAP,$B182&gt;CARROT_BED_CAP,S$4&gt;MESCLUN_BED_CAP,$A182+$B182+S$4&gt;TOTAL_BEDS_AVAILABLE,($D182+S$5)&gt;TOTAL_LABOR_HOURS_CAP,MAX(0,($D182+S$5)-PERMANENT_FIELD_LABOR_HOURS)&gt;TEMP_HOURS_CAP),"",$C182+S$6-MIN(($D182+S$5),PERMANENT_FIELD_LABOR_HOURS)*PERMANENT_HOURLY_RATE-MAX(0,($D182+S$5)-PERMANENT_FIELD_LABOR_HOURS)*TEMP_HOURLY_RATE-FIXED_SEASON_COST)</f>
        <v>22093.7837143736</v>
      </c>
      <c r="T182" s="53" t="n">
        <f aca="false">IF(OR($A182&gt;TOMATO_BED_CAP,$B182&gt;CARROT_BED_CAP,T$4&gt;MESCLUN_BED_CAP,$A182+$B182+T$4&gt;TOTAL_BEDS_AVAILABLE,($D182+T$5)&gt;TOTAL_LABOR_HOURS_CAP,MAX(0,($D182+T$5)-PERMANENT_FIELD_LABOR_HOURS)&gt;TEMP_HOURS_CAP),"",$C182+T$6-MIN(($D182+T$5),PERMANENT_FIELD_LABOR_HOURS)*PERMANENT_HOURLY_RATE-MAX(0,($D182+T$5)-PERMANENT_FIELD_LABOR_HOURS)*TEMP_HOURLY_RATE-FIXED_SEASON_COST)</f>
        <v>22834.9971827685</v>
      </c>
      <c r="U182" s="53" t="n">
        <f aca="false">IF(OR($A182&gt;TOMATO_BED_CAP,$B182&gt;CARROT_BED_CAP,U$4&gt;MESCLUN_BED_CAP,$A182+$B182+U$4&gt;TOTAL_BEDS_AVAILABLE,($D182+U$5)&gt;TOTAL_LABOR_HOURS_CAP,MAX(0,($D182+U$5)-PERMANENT_FIELD_LABOR_HOURS)&gt;TEMP_HOURS_CAP),"",$C182+U$6-MIN(($D182+U$5),PERMANENT_FIELD_LABOR_HOURS)*PERMANENT_HOURLY_RATE-MAX(0,($D182+U$5)-PERMANENT_FIELD_LABOR_HOURS)*TEMP_HOURLY_RATE-FIXED_SEASON_COST)</f>
        <v>23551.1059113986</v>
      </c>
      <c r="V182" s="53" t="n">
        <f aca="false">IF(OR($A182&gt;TOMATO_BED_CAP,$B182&gt;CARROT_BED_CAP,V$4&gt;MESCLUN_BED_CAP,$A182+$B182+V$4&gt;TOTAL_BEDS_AVAILABLE,($D182+V$5)&gt;TOTAL_LABOR_HOURS_CAP,MAX(0,($D182+V$5)-PERMANENT_FIELD_LABOR_HOURS)&gt;TEMP_HOURS_CAP),"",$C182+V$6-MIN(($D182+V$5),PERMANENT_FIELD_LABOR_HOURS)*PERMANENT_HOURLY_RATE-MAX(0,($D182+V$5)-PERMANENT_FIELD_LABOR_HOURS)*TEMP_HOURLY_RATE-FIXED_SEASON_COST)</f>
        <v>24241.6508421654</v>
      </c>
      <c r="W182" s="53" t="n">
        <f aca="false">IF(OR($A182&gt;TOMATO_BED_CAP,$B182&gt;CARROT_BED_CAP,W$4&gt;MESCLUN_BED_CAP,$A182+$B182+W$4&gt;TOTAL_BEDS_AVAILABLE,($D182+W$5)&gt;TOTAL_LABOR_HOURS_CAP,MAX(0,($D182+W$5)-PERMANENT_FIELD_LABOR_HOURS)&gt;TEMP_HOURS_CAP),"",$C182+W$6-MIN(($D182+W$5),PERMANENT_FIELD_LABOR_HOURS)*PERMANENT_HOURLY_RATE-MAX(0,($D182+W$5)-PERMANENT_FIELD_LABOR_HOURS)*TEMP_HOURLY_RATE-FIXED_SEASON_COST)</f>
        <v>24906.1653631334</v>
      </c>
      <c r="X182" s="53" t="n">
        <f aca="false">IF(OR($A182&gt;TOMATO_BED_CAP,$B182&gt;CARROT_BED_CAP,X$4&gt;MESCLUN_BED_CAP,$A182+$B182+X$4&gt;TOTAL_BEDS_AVAILABLE,($D182+X$5)&gt;TOTAL_LABOR_HOURS_CAP,MAX(0,($D182+X$5)-PERMANENT_FIELD_LABOR_HOURS)&gt;TEMP_HOURS_CAP),"",$C182+X$6-MIN(($D182+X$5),PERMANENT_FIELD_LABOR_HOURS)*PERMANENT_HOURLY_RATE-MAX(0,($D182+X$5)-PERMANENT_FIELD_LABOR_HOURS)*TEMP_HOURLY_RATE-FIXED_SEASON_COST)</f>
        <v>25544.1751914123</v>
      </c>
      <c r="Y182" s="53" t="n">
        <f aca="false">IF(OR($A182&gt;TOMATO_BED_CAP,$B182&gt;CARROT_BED_CAP,Y$4&gt;MESCLUN_BED_CAP,$A182+$B182+Y$4&gt;TOTAL_BEDS_AVAILABLE,($D182+Y$5)&gt;TOTAL_LABOR_HOURS_CAP,MAX(0,($D182+Y$5)-PERMANENT_FIELD_LABOR_HOURS)&gt;TEMP_HOURS_CAP),"",$C182+Y$6-MIN(($D182+Y$5),PERMANENT_FIELD_LABOR_HOURS)*PERMANENT_HOURLY_RATE-MAX(0,($D182+Y$5)-PERMANENT_FIELD_LABOR_HOURS)*TEMP_HOURLY_RATE-FIXED_SEASON_COST)</f>
        <v>26155.198254291</v>
      </c>
      <c r="Z182" s="53" t="n">
        <f aca="false">IF(OR($A182&gt;TOMATO_BED_CAP,$B182&gt;CARROT_BED_CAP,Z$4&gt;MESCLUN_BED_CAP,$A182+$B182+Z$4&gt;TOTAL_BEDS_AVAILABLE,($D182+Z$5)&gt;TOTAL_LABOR_HOURS_CAP,MAX(0,($D182+Z$5)-PERMANENT_FIELD_LABOR_HOURS)&gt;TEMP_HOURS_CAP),"",$C182+Z$6-MIN(($D182+Z$5),PERMANENT_FIELD_LABOR_HOURS)*PERMANENT_HOURLY_RATE-MAX(0,($D182+Z$5)-PERMANENT_FIELD_LABOR_HOURS)*TEMP_HOURLY_RATE-FIXED_SEASON_COST)</f>
        <v>26738.7445685987</v>
      </c>
      <c r="AA182" s="53" t="n">
        <f aca="false">IF(OR($A182&gt;TOMATO_BED_CAP,$B182&gt;CARROT_BED_CAP,AA$4&gt;MESCLUN_BED_CAP,$A182+$B182+AA$4&gt;TOTAL_BEDS_AVAILABLE,($D182+AA$5)&gt;TOTAL_LABOR_HOURS_CAP,MAX(0,($D182+AA$5)-PERMANENT_FIELD_LABOR_HOURS)&gt;TEMP_HOURS_CAP),"",$C182+AA$6-MIN(($D182+AA$5),PERMANENT_FIELD_LABOR_HOURS)*PERMANENT_HOURLY_RATE-MAX(0,($D182+AA$5)-PERMANENT_FIELD_LABOR_HOURS)*TEMP_HOURLY_RATE-FIXED_SEASON_COST)</f>
        <v>27294.3161182677</v>
      </c>
      <c r="AB182" s="53" t="n">
        <f aca="false">IF(OR($A182&gt;TOMATO_BED_CAP,$B182&gt;CARROT_BED_CAP,AB$4&gt;MESCLUN_BED_CAP,$A182+$B182+AB$4&gt;TOTAL_BEDS_AVAILABLE,($D182+AB$5)&gt;TOTAL_LABOR_HOURS_CAP,MAX(0,($D182+AB$5)-PERMANENT_FIELD_LABOR_HOURS)&gt;TEMP_HOURS_CAP),"",$C182+AB$6-MIN(($D182+AB$5),PERMANENT_FIELD_LABOR_HOURS)*PERMANENT_HOURLY_RATE-MAX(0,($D182+AB$5)-PERMANENT_FIELD_LABOR_HOURS)*TEMP_HOURLY_RATE-FIXED_SEASON_COST)</f>
        <v>27821.4067300702</v>
      </c>
      <c r="AC182" s="53" t="n">
        <f aca="false">IF(OR($A182&gt;TOMATO_BED_CAP,$B182&gt;CARROT_BED_CAP,AC$4&gt;MESCLUN_BED_CAP,$A182+$B182+AC$4&gt;TOTAL_BEDS_AVAILABLE,($D182+AC$5)&gt;TOTAL_LABOR_HOURS_CAP,MAX(0,($D182+AC$5)-PERMANENT_FIELD_LABOR_HOURS)&gt;TEMP_HOURS_CAP),"",$C182+AC$6-MIN(($D182+AC$5),PERMANENT_FIELD_LABOR_HOURS)*PERMANENT_HOURLY_RATE-MAX(0,($D182+AC$5)-PERMANENT_FIELD_LABOR_HOURS)*TEMP_HOURLY_RATE-FIXED_SEASON_COST)</f>
        <v>28319.5019475051</v>
      </c>
      <c r="AD182" s="53" t="n">
        <f aca="false">IF(OR($A182&gt;TOMATO_BED_CAP,$B182&gt;CARROT_BED_CAP,AD$4&gt;MESCLUN_BED_CAP,$A182+$B182+AD$4&gt;TOTAL_BEDS_AVAILABLE,($D182+AD$5)&gt;TOTAL_LABOR_HOURS_CAP,MAX(0,($D182+AD$5)-PERMANENT_FIELD_LABOR_HOURS)&gt;TEMP_HOURS_CAP),"",$C182+AD$6-MIN(($D182+AD$5),PERMANENT_FIELD_LABOR_HOURS)*PERMANENT_HOURLY_RATE-MAX(0,($D182+AD$5)-PERMANENT_FIELD_LABOR_HOURS)*TEMP_HOURLY_RATE-FIXED_SEASON_COST)</f>
        <v>28788.0789028051</v>
      </c>
      <c r="AE182" s="53" t="n">
        <f aca="false">IF(OR($A182&gt;TOMATO_BED_CAP,$B182&gt;CARROT_BED_CAP,AE$4&gt;MESCLUN_BED_CAP,$A182+$B182+AE$4&gt;TOTAL_BEDS_AVAILABLE,($D182+AE$5)&gt;TOTAL_LABOR_HOURS_CAP,MAX(0,($D182+AE$5)-PERMANENT_FIELD_LABOR_HOURS)&gt;TEMP_HOURS_CAP),"",$C182+AE$6-MIN(($D182+AE$5),PERMANENT_FIELD_LABOR_HOURS)*PERMANENT_HOURLY_RATE-MAX(0,($D182+AE$5)-PERMANENT_FIELD_LABOR_HOURS)*TEMP_HOURLY_RATE-FIXED_SEASON_COST)</f>
        <v>29226.606187039</v>
      </c>
      <c r="AF182" s="53" t="n">
        <f aca="false">IF(OR($A182&gt;TOMATO_BED_CAP,$B182&gt;CARROT_BED_CAP,AF$4&gt;MESCLUN_BED_CAP,$A182+$B182+AF$4&gt;TOTAL_BEDS_AVAILABLE,($D182+AF$5)&gt;TOTAL_LABOR_HOURS_CAP,MAX(0,($D182+AF$5)-PERMANENT_FIELD_LABOR_HOURS)&gt;TEMP_HOURS_CAP),"",$C182+AF$6-MIN(($D182+AF$5),PERMANENT_FIELD_LABOR_HOURS)*PERMANENT_HOURLY_RATE-MAX(0,($D182+AF$5)-PERMANENT_FIELD_LABOR_HOURS)*TEMP_HOURLY_RATE-FIXED_SEASON_COST)</f>
        <v>29634.5437182809</v>
      </c>
      <c r="AG182" s="53" t="n">
        <f aca="false">IF(OR($A182&gt;TOMATO_BED_CAP,$B182&gt;CARROT_BED_CAP,AG$4&gt;MESCLUN_BED_CAP,$A182+$B182+AG$4&gt;TOTAL_BEDS_AVAILABLE,($D182+AG$5)&gt;TOTAL_LABOR_HOURS_CAP,MAX(0,($D182+AG$5)-PERMANENT_FIELD_LABOR_HOURS)&gt;TEMP_HOURS_CAP),"",$C182+AG$6-MIN(($D182+AG$5),PERMANENT_FIELD_LABOR_HOURS)*PERMANENT_HOURLY_RATE-MAX(0,($D182+AG$5)-PERMANENT_FIELD_LABOR_HOURS)*TEMP_HOURLY_RATE-FIXED_SEASON_COST)</f>
        <v>30011.3426078179</v>
      </c>
      <c r="AH182" s="53" t="n">
        <f aca="false">IF(OR($A182&gt;TOMATO_BED_CAP,$B182&gt;CARROT_BED_CAP,AH$4&gt;MESCLUN_BED_CAP,$A182+$B182+AH$4&gt;TOTAL_BEDS_AVAILABLE,($D182+AH$5)&gt;TOTAL_LABOR_HOURS_CAP,MAX(0,($D182+AH$5)-PERMANENT_FIELD_LABOR_HOURS)&gt;TEMP_HOURS_CAP),"",$C182+AH$6-MIN(($D182+AH$5),PERMANENT_FIELD_LABOR_HOURS)*PERMANENT_HOURLY_RATE-MAX(0,($D182+AH$5)-PERMANENT_FIELD_LABOR_HOURS)*TEMP_HOURLY_RATE-FIXED_SEASON_COST)</f>
        <v>30356.4450243682</v>
      </c>
      <c r="AI182" s="53" t="n">
        <f aca="false">IF(OR($A182&gt;TOMATO_BED_CAP,$B182&gt;CARROT_BED_CAP,AI$4&gt;MESCLUN_BED_CAP,$A182+$B182+AI$4&gt;TOTAL_BEDS_AVAILABLE,($D182+AI$5)&gt;TOTAL_LABOR_HOURS_CAP,MAX(0,($D182+AI$5)-PERMANENT_FIELD_LABOR_HOURS)&gt;TEMP_HOURS_CAP),"",$C182+AI$6-MIN(($D182+AI$5),PERMANENT_FIELD_LABOR_HOURS)*PERMANENT_HOURLY_RATE-MAX(0,($D182+AI$5)-PERMANENT_FIELD_LABOR_HOURS)*TEMP_HOURLY_RATE-FIXED_SEASON_COST)</f>
        <v>30669.2840562804</v>
      </c>
      <c r="AJ182" s="53" t="n">
        <f aca="false">IF(OR($A182&gt;TOMATO_BED_CAP,$B182&gt;CARROT_BED_CAP,AJ$4&gt;MESCLUN_BED_CAP,$A182+$B182+AJ$4&gt;TOTAL_BEDS_AVAILABLE,($D182+AJ$5)&gt;TOTAL_LABOR_HOURS_CAP,MAX(0,($D182+AJ$5)-PERMANENT_FIELD_LABOR_HOURS)&gt;TEMP_HOURS_CAP),"",$C182+AJ$6-MIN(($D182+AJ$5),PERMANENT_FIELD_LABOR_HOURS)*PERMANENT_HOURLY_RATE-MAX(0,($D182+AJ$5)-PERMANENT_FIELD_LABOR_HOURS)*TEMP_HOURLY_RATE-FIXED_SEASON_COST)</f>
        <v>30949.2835716862</v>
      </c>
    </row>
    <row r="183" customFormat="false" ht="15" hidden="false" customHeight="false" outlineLevel="0" collapsed="false">
      <c r="A183" s="21" t="n">
        <f aca="false">INT((ROW()-ROW($A$8))/(20+1))</f>
        <v>8</v>
      </c>
      <c r="B183" s="21" t="n">
        <f aca="false">MOD(ROW()-ROW($A$8),20+1)</f>
        <v>7</v>
      </c>
      <c r="C183" s="13" t="n">
        <f aca="false">A183*(TOMATO_REVENUE_PER_BED-TOMATO_FERTILIZER_PER_BED)+B183*(CARROT_REVENUE_PER_BED-CARROT_FERTILIZER_PER_BED)</f>
        <v>74938</v>
      </c>
      <c r="D183" s="14" t="n">
        <f aca="false">INDEX(TOMATO_SCHED_LABOR_HRS,A183+1)+INDEX(CARROT_SCHED_LABOR_HRS,B183+1)</f>
        <v>1792.90810186702</v>
      </c>
      <c r="E183" s="13" t="n">
        <f aca="false">IF(COUNT(F183:AJ183)=0,"",MAX(F183:AJ183))</f>
        <v>31893.9046464611</v>
      </c>
      <c r="F183" s="53" t="n">
        <f aca="false">IF(OR($A183&gt;TOMATO_BED_CAP,$B183&gt;CARROT_BED_CAP,F$4&gt;MESCLUN_BED_CAP,$A183+$B183+F$4&gt;TOTAL_BEDS_AVAILABLE,($D183+F$5)&gt;TOTAL_LABOR_HOURS_CAP,MAX(0,($D183+F$5)-PERMANENT_FIELD_LABOR_HOURS)&gt;TEMP_HOURS_CAP),"",$C183+F$6-MIN(($D183+F$5),PERMANENT_FIELD_LABOR_HOURS)*PERMANENT_HOURLY_RATE-MAX(0,($D183+F$5)-PERMANENT_FIELD_LABOR_HOURS)*TEMP_HOURLY_RATE-FIXED_SEASON_COST)</f>
        <v>11313.9153515886</v>
      </c>
      <c r="G183" s="53" t="n">
        <f aca="false">IF(OR($A183&gt;TOMATO_BED_CAP,$B183&gt;CARROT_BED_CAP,G$4&gt;MESCLUN_BED_CAP,$A183+$B183+G$4&gt;TOTAL_BEDS_AVAILABLE,($D183+G$5)&gt;TOTAL_LABOR_HOURS_CAP,MAX(0,($D183+G$5)-PERMANENT_FIELD_LABOR_HOURS)&gt;TEMP_HOURS_CAP),"",$C183+G$6-MIN(($D183+G$5),PERMANENT_FIELD_LABOR_HOURS)*PERMANENT_HOURLY_RATE-MAX(0,($D183+G$5)-PERMANENT_FIELD_LABOR_HOURS)*TEMP_HOURLY_RATE-FIXED_SEASON_COST)</f>
        <v>12342.9503515886</v>
      </c>
      <c r="H183" s="53" t="n">
        <f aca="false">IF(OR($A183&gt;TOMATO_BED_CAP,$B183&gt;CARROT_BED_CAP,H$4&gt;MESCLUN_BED_CAP,$A183+$B183+H$4&gt;TOTAL_BEDS_AVAILABLE,($D183+H$5)&gt;TOTAL_LABOR_HOURS_CAP,MAX(0,($D183+H$5)-PERMANENT_FIELD_LABOR_HOURS)&gt;TEMP_HOURS_CAP),"",$C183+H$6-MIN(($D183+H$5),PERMANENT_FIELD_LABOR_HOURS)*PERMANENT_HOURLY_RATE-MAX(0,($D183+H$5)-PERMANENT_FIELD_LABOR_HOURS)*TEMP_HOURLY_RATE-FIXED_SEASON_COST)</f>
        <v>13352.2112265886</v>
      </c>
      <c r="I183" s="53" t="n">
        <f aca="false">IF(OR($A183&gt;TOMATO_BED_CAP,$B183&gt;CARROT_BED_CAP,I$4&gt;MESCLUN_BED_CAP,$A183+$B183+I$4&gt;TOTAL_BEDS_AVAILABLE,($D183+I$5)&gt;TOTAL_LABOR_HOURS_CAP,MAX(0,($D183+I$5)-PERMANENT_FIELD_LABOR_HOURS)&gt;TEMP_HOURS_CAP),"",$C183+I$6-MIN(($D183+I$5),PERMANENT_FIELD_LABOR_HOURS)*PERMANENT_HOURLY_RATE-MAX(0,($D183+I$5)-PERMANENT_FIELD_LABOR_HOURS)*TEMP_HOURLY_RATE-FIXED_SEASON_COST)</f>
        <v>14341.3272117448</v>
      </c>
      <c r="J183" s="53" t="n">
        <f aca="false">IF(OR($A183&gt;TOMATO_BED_CAP,$B183&gt;CARROT_BED_CAP,J$4&gt;MESCLUN_BED_CAP,$A183+$B183+J$4&gt;TOTAL_BEDS_AVAILABLE,($D183+J$5)&gt;TOTAL_LABOR_HOURS_CAP,MAX(0,($D183+J$5)-PERMANENT_FIELD_LABOR_HOURS)&gt;TEMP_HOURS_CAP),"",$C183+J$6-MIN(($D183+J$5),PERMANENT_FIELD_LABOR_HOURS)*PERMANENT_HOURLY_RATE-MAX(0,($D183+J$5)-PERMANENT_FIELD_LABOR_HOURS)*TEMP_HOURLY_RATE-FIXED_SEASON_COST)</f>
        <v>15309.9213627995</v>
      </c>
      <c r="K183" s="53" t="n">
        <f aca="false">IF(OR($A183&gt;TOMATO_BED_CAP,$B183&gt;CARROT_BED_CAP,K$4&gt;MESCLUN_BED_CAP,$A183+$B183+K$4&gt;TOTAL_BEDS_AVAILABLE,($D183+K$5)&gt;TOTAL_LABOR_HOURS_CAP,MAX(0,($D183+K$5)-PERMANENT_FIELD_LABOR_HOURS)&gt;TEMP_HOURS_CAP),"",$C183+K$6-MIN(($D183+K$5),PERMANENT_FIELD_LABOR_HOURS)*PERMANENT_HOURLY_RATE-MAX(0,($D183+K$5)-PERMANENT_FIELD_LABOR_HOURS)*TEMP_HOURLY_RATE-FIXED_SEASON_COST)</f>
        <v>16257.6104595274</v>
      </c>
      <c r="L183" s="53" t="n">
        <f aca="false">IF(OR($A183&gt;TOMATO_BED_CAP,$B183&gt;CARROT_BED_CAP,L$4&gt;MESCLUN_BED_CAP,$A183+$B183+L$4&gt;TOTAL_BEDS_AVAILABLE,($D183+L$5)&gt;TOTAL_LABOR_HOURS_CAP,MAX(0,($D183+L$5)-PERMANENT_FIELD_LABOR_HOURS)&gt;TEMP_HOURS_CAP),"",$C183+L$6-MIN(($D183+L$5),PERMANENT_FIELD_LABOR_HOURS)*PERMANENT_HOURLY_RATE-MAX(0,($D183+L$5)-PERMANENT_FIELD_LABOR_HOURS)*TEMP_HOURLY_RATE-FIXED_SEASON_COST)</f>
        <v>17184.0049077343</v>
      </c>
      <c r="M183" s="53" t="n">
        <f aca="false">IF(OR($A183&gt;TOMATO_BED_CAP,$B183&gt;CARROT_BED_CAP,M$4&gt;MESCLUN_BED_CAP,$A183+$B183+M$4&gt;TOTAL_BEDS_AVAILABLE,($D183+M$5)&gt;TOTAL_LABOR_HOURS_CAP,MAX(0,($D183+M$5)-PERMANENT_FIELD_LABOR_HOURS)&gt;TEMP_HOURS_CAP),"",$C183+M$6-MIN(($D183+M$5),PERMANENT_FIELD_LABOR_HOURS)*PERMANENT_HOURLY_RATE-MAX(0,($D183+M$5)-PERMANENT_FIELD_LABOR_HOURS)*TEMP_HOURLY_RATE-FIXED_SEASON_COST)</f>
        <v>18088.7086397857</v>
      </c>
      <c r="N183" s="53" t="n">
        <f aca="false">IF(OR($A183&gt;TOMATO_BED_CAP,$B183&gt;CARROT_BED_CAP,N$4&gt;MESCLUN_BED_CAP,$A183+$B183+N$4&gt;TOTAL_BEDS_AVAILABLE,($D183+N$5)&gt;TOTAL_LABOR_HOURS_CAP,MAX(0,($D183+N$5)-PERMANENT_FIELD_LABOR_HOURS)&gt;TEMP_HOURS_CAP),"",$C183+N$6-MIN(($D183+N$5),PERMANENT_FIELD_LABOR_HOURS)*PERMANENT_HOURLY_RATE-MAX(0,($D183+N$5)-PERMANENT_FIELD_LABOR_HOURS)*TEMP_HOURLY_RATE-FIXED_SEASON_COST)</f>
        <v>18971.3190136452</v>
      </c>
      <c r="O183" s="53" t="n">
        <f aca="false">IF(OR($A183&gt;TOMATO_BED_CAP,$B183&gt;CARROT_BED_CAP,O$4&gt;MESCLUN_BED_CAP,$A183+$B183+O$4&gt;TOTAL_BEDS_AVAILABLE,($D183+O$5)&gt;TOTAL_LABOR_HOURS_CAP,MAX(0,($D183+O$5)-PERMANENT_FIELD_LABOR_HOURS)&gt;TEMP_HOURS_CAP),"",$C183+O$6-MIN(($D183+O$5),PERMANENT_FIELD_LABOR_HOURS)*PERMANENT_HOURLY_RATE-MAX(0,($D183+O$5)-PERMANENT_FIELD_LABOR_HOURS)*TEMP_HOURLY_RATE-FIXED_SEASON_COST)</f>
        <v>19831.4267104</v>
      </c>
      <c r="P183" s="53" t="n">
        <f aca="false">IF(OR($A183&gt;TOMATO_BED_CAP,$B183&gt;CARROT_BED_CAP,P$4&gt;MESCLUN_BED_CAP,$A183+$B183+P$4&gt;TOTAL_BEDS_AVAILABLE,($D183+P$5)&gt;TOTAL_LABOR_HOURS_CAP,MAX(0,($D183+P$5)-PERMANENT_FIELD_LABOR_HOURS)&gt;TEMP_HOURS_CAP),"",$C183+P$6-MIN(($D183+P$5),PERMANENT_FIELD_LABOR_HOURS)*PERMANENT_HOURLY_RATE-MAX(0,($D183+P$5)-PERMANENT_FIELD_LABOR_HOURS)*TEMP_HOURLY_RATE-FIXED_SEASON_COST)</f>
        <v>20668.6156302514</v>
      </c>
      <c r="Q183" s="53" t="n">
        <f aca="false">IF(OR($A183&gt;TOMATO_BED_CAP,$B183&gt;CARROT_BED_CAP,Q$4&gt;MESCLUN_BED_CAP,$A183+$B183+Q$4&gt;TOTAL_BEDS_AVAILABLE,($D183+Q$5)&gt;TOTAL_LABOR_HOURS_CAP,MAX(0,($D183+Q$5)-PERMANENT_FIELD_LABOR_HOURS)&gt;TEMP_HOURS_CAP),"",$C183+Q$6-MIN(($D183+Q$5),PERMANENT_FIELD_LABOR_HOURS)*PERMANENT_HOURLY_RATE-MAX(0,($D183+Q$5)-PERMANENT_FIELD_LABOR_HOURS)*TEMP_HOURLY_RATE-FIXED_SEASON_COST)</f>
        <v>21482.4627869493</v>
      </c>
      <c r="R183" s="53" t="n">
        <f aca="false">IF(OR($A183&gt;TOMATO_BED_CAP,$B183&gt;CARROT_BED_CAP,R$4&gt;MESCLUN_BED_CAP,$A183+$B183+R$4&gt;TOTAL_BEDS_AVAILABLE,($D183+R$5)&gt;TOTAL_LABOR_HOURS_CAP,MAX(0,($D183+R$5)-PERMANENT_FIELD_LABOR_HOURS)&gt;TEMP_HOURS_CAP),"",$C183+R$6-MIN(($D183+R$5),PERMANENT_FIELD_LABOR_HOURS)*PERMANENT_HOURLY_RATE-MAX(0,($D183+R$5)-PERMANENT_FIELD_LABOR_HOURS)*TEMP_HOURLY_RATE-FIXED_SEASON_COST)</f>
        <v>22272.5382006461</v>
      </c>
      <c r="S183" s="53" t="n">
        <f aca="false">IF(OR($A183&gt;TOMATO_BED_CAP,$B183&gt;CARROT_BED_CAP,S$4&gt;MESCLUN_BED_CAP,$A183+$B183+S$4&gt;TOTAL_BEDS_AVAILABLE,($D183+S$5)&gt;TOTAL_LABOR_HOURS_CAP,MAX(0,($D183+S$5)-PERMANENT_FIELD_LABOR_HOURS)&gt;TEMP_HOURS_CAP),"",$C183+S$6-MIN(($D183+S$5),PERMANENT_FIELD_LABOR_HOURS)*PERMANENT_HOURLY_RATE-MAX(0,($D183+S$5)-PERMANENT_FIELD_LABOR_HOURS)*TEMP_HOURLY_RATE-FIXED_SEASON_COST)</f>
        <v>23038.4047891486</v>
      </c>
      <c r="T183" s="53" t="n">
        <f aca="false">IF(OR($A183&gt;TOMATO_BED_CAP,$B183&gt;CARROT_BED_CAP,T$4&gt;MESCLUN_BED_CAP,$A183+$B183+T$4&gt;TOTAL_BEDS_AVAILABLE,($D183+T$5)&gt;TOTAL_LABOR_HOURS_CAP,MAX(0,($D183+T$5)-PERMANENT_FIELD_LABOR_HOURS)&gt;TEMP_HOURS_CAP),"",$C183+T$6-MIN(($D183+T$5),PERMANENT_FIELD_LABOR_HOURS)*PERMANENT_HOURLY_RATE-MAX(0,($D183+T$5)-PERMANENT_FIELD_LABOR_HOURS)*TEMP_HOURLY_RATE-FIXED_SEASON_COST)</f>
        <v>23779.6182575434</v>
      </c>
      <c r="U183" s="53" t="n">
        <f aca="false">IF(OR($A183&gt;TOMATO_BED_CAP,$B183&gt;CARROT_BED_CAP,U$4&gt;MESCLUN_BED_CAP,$A183+$B183+U$4&gt;TOTAL_BEDS_AVAILABLE,($D183+U$5)&gt;TOTAL_LABOR_HOURS_CAP,MAX(0,($D183+U$5)-PERMANENT_FIELD_LABOR_HOURS)&gt;TEMP_HOURS_CAP),"",$C183+U$6-MIN(($D183+U$5),PERMANENT_FIELD_LABOR_HOURS)*PERMANENT_HOURLY_RATE-MAX(0,($D183+U$5)-PERMANENT_FIELD_LABOR_HOURS)*TEMP_HOURLY_RATE-FIXED_SEASON_COST)</f>
        <v>24495.7269861735</v>
      </c>
      <c r="V183" s="53" t="n">
        <f aca="false">IF(OR($A183&gt;TOMATO_BED_CAP,$B183&gt;CARROT_BED_CAP,V$4&gt;MESCLUN_BED_CAP,$A183+$B183+V$4&gt;TOTAL_BEDS_AVAILABLE,($D183+V$5)&gt;TOTAL_LABOR_HOURS_CAP,MAX(0,($D183+V$5)-PERMANENT_FIELD_LABOR_HOURS)&gt;TEMP_HOURS_CAP),"",$C183+V$6-MIN(($D183+V$5),PERMANENT_FIELD_LABOR_HOURS)*PERMANENT_HOURLY_RATE-MAX(0,($D183+V$5)-PERMANENT_FIELD_LABOR_HOURS)*TEMP_HOURLY_RATE-FIXED_SEASON_COST)</f>
        <v>25186.2719169403</v>
      </c>
      <c r="W183" s="53" t="n">
        <f aca="false">IF(OR($A183&gt;TOMATO_BED_CAP,$B183&gt;CARROT_BED_CAP,W$4&gt;MESCLUN_BED_CAP,$A183+$B183+W$4&gt;TOTAL_BEDS_AVAILABLE,($D183+W$5)&gt;TOTAL_LABOR_HOURS_CAP,MAX(0,($D183+W$5)-PERMANENT_FIELD_LABOR_HOURS)&gt;TEMP_HOURS_CAP),"",$C183+W$6-MIN(($D183+W$5),PERMANENT_FIELD_LABOR_HOURS)*PERMANENT_HOURLY_RATE-MAX(0,($D183+W$5)-PERMANENT_FIELD_LABOR_HOURS)*TEMP_HOURLY_RATE-FIXED_SEASON_COST)</f>
        <v>25850.7864379084</v>
      </c>
      <c r="X183" s="53" t="n">
        <f aca="false">IF(OR($A183&gt;TOMATO_BED_CAP,$B183&gt;CARROT_BED_CAP,X$4&gt;MESCLUN_BED_CAP,$A183+$B183+X$4&gt;TOTAL_BEDS_AVAILABLE,($D183+X$5)&gt;TOTAL_LABOR_HOURS_CAP,MAX(0,($D183+X$5)-PERMANENT_FIELD_LABOR_HOURS)&gt;TEMP_HOURS_CAP),"",$C183+X$6-MIN(($D183+X$5),PERMANENT_FIELD_LABOR_HOURS)*PERMANENT_HOURLY_RATE-MAX(0,($D183+X$5)-PERMANENT_FIELD_LABOR_HOURS)*TEMP_HOURLY_RATE-FIXED_SEASON_COST)</f>
        <v>26488.7962661873</v>
      </c>
      <c r="Y183" s="53" t="n">
        <f aca="false">IF(OR($A183&gt;TOMATO_BED_CAP,$B183&gt;CARROT_BED_CAP,Y$4&gt;MESCLUN_BED_CAP,$A183+$B183+Y$4&gt;TOTAL_BEDS_AVAILABLE,($D183+Y$5)&gt;TOTAL_LABOR_HOURS_CAP,MAX(0,($D183+Y$5)-PERMANENT_FIELD_LABOR_HOURS)&gt;TEMP_HOURS_CAP),"",$C183+Y$6-MIN(($D183+Y$5),PERMANENT_FIELD_LABOR_HOURS)*PERMANENT_HOURLY_RATE-MAX(0,($D183+Y$5)-PERMANENT_FIELD_LABOR_HOURS)*TEMP_HOURLY_RATE-FIXED_SEASON_COST)</f>
        <v>27099.8193290659</v>
      </c>
      <c r="Z183" s="53" t="n">
        <f aca="false">IF(OR($A183&gt;TOMATO_BED_CAP,$B183&gt;CARROT_BED_CAP,Z$4&gt;MESCLUN_BED_CAP,$A183+$B183+Z$4&gt;TOTAL_BEDS_AVAILABLE,($D183+Z$5)&gt;TOTAL_LABOR_HOURS_CAP,MAX(0,($D183+Z$5)-PERMANENT_FIELD_LABOR_HOURS)&gt;TEMP_HOURS_CAP),"",$C183+Z$6-MIN(($D183+Z$5),PERMANENT_FIELD_LABOR_HOURS)*PERMANENT_HOURLY_RATE-MAX(0,($D183+Z$5)-PERMANENT_FIELD_LABOR_HOURS)*TEMP_HOURLY_RATE-FIXED_SEASON_COST)</f>
        <v>27683.3656433737</v>
      </c>
      <c r="AA183" s="53" t="n">
        <f aca="false">IF(OR($A183&gt;TOMATO_BED_CAP,$B183&gt;CARROT_BED_CAP,AA$4&gt;MESCLUN_BED_CAP,$A183+$B183+AA$4&gt;TOTAL_BEDS_AVAILABLE,($D183+AA$5)&gt;TOTAL_LABOR_HOURS_CAP,MAX(0,($D183+AA$5)-PERMANENT_FIELD_LABOR_HOURS)&gt;TEMP_HOURS_CAP),"",$C183+AA$6-MIN(($D183+AA$5),PERMANENT_FIELD_LABOR_HOURS)*PERMANENT_HOURLY_RATE-MAX(0,($D183+AA$5)-PERMANENT_FIELD_LABOR_HOURS)*TEMP_HOURLY_RATE-FIXED_SEASON_COST)</f>
        <v>28238.9371930426</v>
      </c>
      <c r="AB183" s="53" t="n">
        <f aca="false">IF(OR($A183&gt;TOMATO_BED_CAP,$B183&gt;CARROT_BED_CAP,AB$4&gt;MESCLUN_BED_CAP,$A183+$B183+AB$4&gt;TOTAL_BEDS_AVAILABLE,($D183+AB$5)&gt;TOTAL_LABOR_HOURS_CAP,MAX(0,($D183+AB$5)-PERMANENT_FIELD_LABOR_HOURS)&gt;TEMP_HOURS_CAP),"",$C183+AB$6-MIN(($D183+AB$5),PERMANENT_FIELD_LABOR_HOURS)*PERMANENT_HOURLY_RATE-MAX(0,($D183+AB$5)-PERMANENT_FIELD_LABOR_HOURS)*TEMP_HOURLY_RATE-FIXED_SEASON_COST)</f>
        <v>28766.0278048452</v>
      </c>
      <c r="AC183" s="53" t="n">
        <f aca="false">IF(OR($A183&gt;TOMATO_BED_CAP,$B183&gt;CARROT_BED_CAP,AC$4&gt;MESCLUN_BED_CAP,$A183+$B183+AC$4&gt;TOTAL_BEDS_AVAILABLE,($D183+AC$5)&gt;TOTAL_LABOR_HOURS_CAP,MAX(0,($D183+AC$5)-PERMANENT_FIELD_LABOR_HOURS)&gt;TEMP_HOURS_CAP),"",$C183+AC$6-MIN(($D183+AC$5),PERMANENT_FIELD_LABOR_HOURS)*PERMANENT_HOURLY_RATE-MAX(0,($D183+AC$5)-PERMANENT_FIELD_LABOR_HOURS)*TEMP_HOURLY_RATE-FIXED_SEASON_COST)</f>
        <v>29264.1230222801</v>
      </c>
      <c r="AD183" s="53" t="n">
        <f aca="false">IF(OR($A183&gt;TOMATO_BED_CAP,$B183&gt;CARROT_BED_CAP,AD$4&gt;MESCLUN_BED_CAP,$A183+$B183+AD$4&gt;TOTAL_BEDS_AVAILABLE,($D183+AD$5)&gt;TOTAL_LABOR_HOURS_CAP,MAX(0,($D183+AD$5)-PERMANENT_FIELD_LABOR_HOURS)&gt;TEMP_HOURS_CAP),"",$C183+AD$6-MIN(($D183+AD$5),PERMANENT_FIELD_LABOR_HOURS)*PERMANENT_HOURLY_RATE-MAX(0,($D183+AD$5)-PERMANENT_FIELD_LABOR_HOURS)*TEMP_HOURLY_RATE-FIXED_SEASON_COST)</f>
        <v>29732.69997758</v>
      </c>
      <c r="AE183" s="53" t="n">
        <f aca="false">IF(OR($A183&gt;TOMATO_BED_CAP,$B183&gt;CARROT_BED_CAP,AE$4&gt;MESCLUN_BED_CAP,$A183+$B183+AE$4&gt;TOTAL_BEDS_AVAILABLE,($D183+AE$5)&gt;TOTAL_LABOR_HOURS_CAP,MAX(0,($D183+AE$5)-PERMANENT_FIELD_LABOR_HOURS)&gt;TEMP_HOURS_CAP),"",$C183+AE$6-MIN(($D183+AE$5),PERMANENT_FIELD_LABOR_HOURS)*PERMANENT_HOURLY_RATE-MAX(0,($D183+AE$5)-PERMANENT_FIELD_LABOR_HOURS)*TEMP_HOURLY_RATE-FIXED_SEASON_COST)</f>
        <v>30171.2272618139</v>
      </c>
      <c r="AF183" s="53" t="n">
        <f aca="false">IF(OR($A183&gt;TOMATO_BED_CAP,$B183&gt;CARROT_BED_CAP,AF$4&gt;MESCLUN_BED_CAP,$A183+$B183+AF$4&gt;TOTAL_BEDS_AVAILABLE,($D183+AF$5)&gt;TOTAL_LABOR_HOURS_CAP,MAX(0,($D183+AF$5)-PERMANENT_FIELD_LABOR_HOURS)&gt;TEMP_HOURS_CAP),"",$C183+AF$6-MIN(($D183+AF$5),PERMANENT_FIELD_LABOR_HOURS)*PERMANENT_HOURLY_RATE-MAX(0,($D183+AF$5)-PERMANENT_FIELD_LABOR_HOURS)*TEMP_HOURLY_RATE-FIXED_SEASON_COST)</f>
        <v>30579.1647930559</v>
      </c>
      <c r="AG183" s="53" t="n">
        <f aca="false">IF(OR($A183&gt;TOMATO_BED_CAP,$B183&gt;CARROT_BED_CAP,AG$4&gt;MESCLUN_BED_CAP,$A183+$B183+AG$4&gt;TOTAL_BEDS_AVAILABLE,($D183+AG$5)&gt;TOTAL_LABOR_HOURS_CAP,MAX(0,($D183+AG$5)-PERMANENT_FIELD_LABOR_HOURS)&gt;TEMP_HOURS_CAP),"",$C183+AG$6-MIN(($D183+AG$5),PERMANENT_FIELD_LABOR_HOURS)*PERMANENT_HOURLY_RATE-MAX(0,($D183+AG$5)-PERMANENT_FIELD_LABOR_HOURS)*TEMP_HOURLY_RATE-FIXED_SEASON_COST)</f>
        <v>30955.9636825929</v>
      </c>
      <c r="AH183" s="53" t="n">
        <f aca="false">IF(OR($A183&gt;TOMATO_BED_CAP,$B183&gt;CARROT_BED_CAP,AH$4&gt;MESCLUN_BED_CAP,$A183+$B183+AH$4&gt;TOTAL_BEDS_AVAILABLE,($D183+AH$5)&gt;TOTAL_LABOR_HOURS_CAP,MAX(0,($D183+AH$5)-PERMANENT_FIELD_LABOR_HOURS)&gt;TEMP_HOURS_CAP),"",$C183+AH$6-MIN(($D183+AH$5),PERMANENT_FIELD_LABOR_HOURS)*PERMANENT_HOURLY_RATE-MAX(0,($D183+AH$5)-PERMANENT_FIELD_LABOR_HOURS)*TEMP_HOURLY_RATE-FIXED_SEASON_COST)</f>
        <v>31301.0660991431</v>
      </c>
      <c r="AI183" s="53" t="n">
        <f aca="false">IF(OR($A183&gt;TOMATO_BED_CAP,$B183&gt;CARROT_BED_CAP,AI$4&gt;MESCLUN_BED_CAP,$A183+$B183+AI$4&gt;TOTAL_BEDS_AVAILABLE,($D183+AI$5)&gt;TOTAL_LABOR_HOURS_CAP,MAX(0,($D183+AI$5)-PERMANENT_FIELD_LABOR_HOURS)&gt;TEMP_HOURS_CAP),"",$C183+AI$6-MIN(($D183+AI$5),PERMANENT_FIELD_LABOR_HOURS)*PERMANENT_HOURLY_RATE-MAX(0,($D183+AI$5)-PERMANENT_FIELD_LABOR_HOURS)*TEMP_HOURLY_RATE-FIXED_SEASON_COST)</f>
        <v>31613.9051310554</v>
      </c>
      <c r="AJ183" s="53" t="n">
        <f aca="false">IF(OR($A183&gt;TOMATO_BED_CAP,$B183&gt;CARROT_BED_CAP,AJ$4&gt;MESCLUN_BED_CAP,$A183+$B183+AJ$4&gt;TOTAL_BEDS_AVAILABLE,($D183+AJ$5)&gt;TOTAL_LABOR_HOURS_CAP,MAX(0,($D183+AJ$5)-PERMANENT_FIELD_LABOR_HOURS)&gt;TEMP_HOURS_CAP),"",$C183+AJ$6-MIN(($D183+AJ$5),PERMANENT_FIELD_LABOR_HOURS)*PERMANENT_HOURLY_RATE-MAX(0,($D183+AJ$5)-PERMANENT_FIELD_LABOR_HOURS)*TEMP_HOURLY_RATE-FIXED_SEASON_COST)</f>
        <v>31893.9046464611</v>
      </c>
    </row>
    <row r="184" customFormat="false" ht="15" hidden="false" customHeight="false" outlineLevel="0" collapsed="false">
      <c r="A184" s="21" t="n">
        <f aca="false">INT((ROW()-ROW($A$8))/(20+1))</f>
        <v>8</v>
      </c>
      <c r="B184" s="21" t="n">
        <f aca="false">MOD(ROW()-ROW($A$8),20+1)</f>
        <v>8</v>
      </c>
      <c r="C184" s="13" t="n">
        <f aca="false">A184*(TOMATO_REVENUE_PER_BED-TOMATO_FERTILIZER_PER_BED)+B184*(CARROT_REVENUE_PER_BED-CARROT_FERTILIZER_PER_BED)</f>
        <v>76592</v>
      </c>
      <c r="D184" s="14" t="n">
        <f aca="false">INDEX(TOMATO_SCHED_LABOR_HRS,A184+1)+INDEX(CARROT_SCHED_LABOR_HRS,B184+1)</f>
        <v>1835.68367192422</v>
      </c>
      <c r="E184" s="13" t="n">
        <f aca="false">IF(COUNT(F184:AJ184)=0,"",MAX(F184:AJ184))</f>
        <v>32805.3207502681</v>
      </c>
      <c r="F184" s="53" t="n">
        <f aca="false">IF(OR($A184&gt;TOMATO_BED_CAP,$B184&gt;CARROT_BED_CAP,F$4&gt;MESCLUN_BED_CAP,$A184+$B184+F$4&gt;TOTAL_BEDS_AVAILABLE,($D184+F$5)&gt;TOTAL_LABOR_HOURS_CAP,MAX(0,($D184+F$5)-PERMANENT_FIELD_LABOR_HOURS)&gt;TEMP_HOURS_CAP),"",$C184+F$6-MIN(($D184+F$5),PERMANENT_FIELD_LABOR_HOURS)*PERMANENT_HOURLY_RATE-MAX(0,($D184+F$5)-PERMANENT_FIELD_LABOR_HOURS)*TEMP_HOURLY_RATE-FIXED_SEASON_COST)</f>
        <v>12225.3314553955</v>
      </c>
      <c r="G184" s="53" t="n">
        <f aca="false">IF(OR($A184&gt;TOMATO_BED_CAP,$B184&gt;CARROT_BED_CAP,G$4&gt;MESCLUN_BED_CAP,$A184+$B184+G$4&gt;TOTAL_BEDS_AVAILABLE,($D184+G$5)&gt;TOTAL_LABOR_HOURS_CAP,MAX(0,($D184+G$5)-PERMANENT_FIELD_LABOR_HOURS)&gt;TEMP_HOURS_CAP),"",$C184+G$6-MIN(($D184+G$5),PERMANENT_FIELD_LABOR_HOURS)*PERMANENT_HOURLY_RATE-MAX(0,($D184+G$5)-PERMANENT_FIELD_LABOR_HOURS)*TEMP_HOURLY_RATE-FIXED_SEASON_COST)</f>
        <v>13254.3664553955</v>
      </c>
      <c r="H184" s="53" t="n">
        <f aca="false">IF(OR($A184&gt;TOMATO_BED_CAP,$B184&gt;CARROT_BED_CAP,H$4&gt;MESCLUN_BED_CAP,$A184+$B184+H$4&gt;TOTAL_BEDS_AVAILABLE,($D184+H$5)&gt;TOTAL_LABOR_HOURS_CAP,MAX(0,($D184+H$5)-PERMANENT_FIELD_LABOR_HOURS)&gt;TEMP_HOURS_CAP),"",$C184+H$6-MIN(($D184+H$5),PERMANENT_FIELD_LABOR_HOURS)*PERMANENT_HOURLY_RATE-MAX(0,($D184+H$5)-PERMANENT_FIELD_LABOR_HOURS)*TEMP_HOURLY_RATE-FIXED_SEASON_COST)</f>
        <v>14263.6273303955</v>
      </c>
      <c r="I184" s="53" t="n">
        <f aca="false">IF(OR($A184&gt;TOMATO_BED_CAP,$B184&gt;CARROT_BED_CAP,I$4&gt;MESCLUN_BED_CAP,$A184+$B184+I$4&gt;TOTAL_BEDS_AVAILABLE,($D184+I$5)&gt;TOTAL_LABOR_HOURS_CAP,MAX(0,($D184+I$5)-PERMANENT_FIELD_LABOR_HOURS)&gt;TEMP_HOURS_CAP),"",$C184+I$6-MIN(($D184+I$5),PERMANENT_FIELD_LABOR_HOURS)*PERMANENT_HOURLY_RATE-MAX(0,($D184+I$5)-PERMANENT_FIELD_LABOR_HOURS)*TEMP_HOURLY_RATE-FIXED_SEASON_COST)</f>
        <v>15252.7433155518</v>
      </c>
      <c r="J184" s="53" t="n">
        <f aca="false">IF(OR($A184&gt;TOMATO_BED_CAP,$B184&gt;CARROT_BED_CAP,J$4&gt;MESCLUN_BED_CAP,$A184+$B184+J$4&gt;TOTAL_BEDS_AVAILABLE,($D184+J$5)&gt;TOTAL_LABOR_HOURS_CAP,MAX(0,($D184+J$5)-PERMANENT_FIELD_LABOR_HOURS)&gt;TEMP_HOURS_CAP),"",$C184+J$6-MIN(($D184+J$5),PERMANENT_FIELD_LABOR_HOURS)*PERMANENT_HOURLY_RATE-MAX(0,($D184+J$5)-PERMANENT_FIELD_LABOR_HOURS)*TEMP_HOURLY_RATE-FIXED_SEASON_COST)</f>
        <v>16221.3374666065</v>
      </c>
      <c r="K184" s="53" t="n">
        <f aca="false">IF(OR($A184&gt;TOMATO_BED_CAP,$B184&gt;CARROT_BED_CAP,K$4&gt;MESCLUN_BED_CAP,$A184+$B184+K$4&gt;TOTAL_BEDS_AVAILABLE,($D184+K$5)&gt;TOTAL_LABOR_HOURS_CAP,MAX(0,($D184+K$5)-PERMANENT_FIELD_LABOR_HOURS)&gt;TEMP_HOURS_CAP),"",$C184+K$6-MIN(($D184+K$5),PERMANENT_FIELD_LABOR_HOURS)*PERMANENT_HOURLY_RATE-MAX(0,($D184+K$5)-PERMANENT_FIELD_LABOR_HOURS)*TEMP_HOURLY_RATE-FIXED_SEASON_COST)</f>
        <v>17169.0265633344</v>
      </c>
      <c r="L184" s="53" t="n">
        <f aca="false">IF(OR($A184&gt;TOMATO_BED_CAP,$B184&gt;CARROT_BED_CAP,L$4&gt;MESCLUN_BED_CAP,$A184+$B184+L$4&gt;TOTAL_BEDS_AVAILABLE,($D184+L$5)&gt;TOTAL_LABOR_HOURS_CAP,MAX(0,($D184+L$5)-PERMANENT_FIELD_LABOR_HOURS)&gt;TEMP_HOURS_CAP),"",$C184+L$6-MIN(($D184+L$5),PERMANENT_FIELD_LABOR_HOURS)*PERMANENT_HOURLY_RATE-MAX(0,($D184+L$5)-PERMANENT_FIELD_LABOR_HOURS)*TEMP_HOURLY_RATE-FIXED_SEASON_COST)</f>
        <v>18095.4210115412</v>
      </c>
      <c r="M184" s="53" t="n">
        <f aca="false">IF(OR($A184&gt;TOMATO_BED_CAP,$B184&gt;CARROT_BED_CAP,M$4&gt;MESCLUN_BED_CAP,$A184+$B184+M$4&gt;TOTAL_BEDS_AVAILABLE,($D184+M$5)&gt;TOTAL_LABOR_HOURS_CAP,MAX(0,($D184+M$5)-PERMANENT_FIELD_LABOR_HOURS)&gt;TEMP_HOURS_CAP),"",$C184+M$6-MIN(($D184+M$5),PERMANENT_FIELD_LABOR_HOURS)*PERMANENT_HOURLY_RATE-MAX(0,($D184+M$5)-PERMANENT_FIELD_LABOR_HOURS)*TEMP_HOURLY_RATE-FIXED_SEASON_COST)</f>
        <v>19000.1247435926</v>
      </c>
      <c r="N184" s="53" t="n">
        <f aca="false">IF(OR($A184&gt;TOMATO_BED_CAP,$B184&gt;CARROT_BED_CAP,N$4&gt;MESCLUN_BED_CAP,$A184+$B184+N$4&gt;TOTAL_BEDS_AVAILABLE,($D184+N$5)&gt;TOTAL_LABOR_HOURS_CAP,MAX(0,($D184+N$5)-PERMANENT_FIELD_LABOR_HOURS)&gt;TEMP_HOURS_CAP),"",$C184+N$6-MIN(($D184+N$5),PERMANENT_FIELD_LABOR_HOURS)*PERMANENT_HOURLY_RATE-MAX(0,($D184+N$5)-PERMANENT_FIELD_LABOR_HOURS)*TEMP_HOURLY_RATE-FIXED_SEASON_COST)</f>
        <v>19882.7351174522</v>
      </c>
      <c r="O184" s="53" t="n">
        <f aca="false">IF(OR($A184&gt;TOMATO_BED_CAP,$B184&gt;CARROT_BED_CAP,O$4&gt;MESCLUN_BED_CAP,$A184+$B184+O$4&gt;TOTAL_BEDS_AVAILABLE,($D184+O$5)&gt;TOTAL_LABOR_HOURS_CAP,MAX(0,($D184+O$5)-PERMANENT_FIELD_LABOR_HOURS)&gt;TEMP_HOURS_CAP),"",$C184+O$6-MIN(($D184+O$5),PERMANENT_FIELD_LABOR_HOURS)*PERMANENT_HOURLY_RATE-MAX(0,($D184+O$5)-PERMANENT_FIELD_LABOR_HOURS)*TEMP_HOURLY_RATE-FIXED_SEASON_COST)</f>
        <v>20742.8428142069</v>
      </c>
      <c r="P184" s="53" t="n">
        <f aca="false">IF(OR($A184&gt;TOMATO_BED_CAP,$B184&gt;CARROT_BED_CAP,P$4&gt;MESCLUN_BED_CAP,$A184+$B184+P$4&gt;TOTAL_BEDS_AVAILABLE,($D184+P$5)&gt;TOTAL_LABOR_HOURS_CAP,MAX(0,($D184+P$5)-PERMANENT_FIELD_LABOR_HOURS)&gt;TEMP_HOURS_CAP),"",$C184+P$6-MIN(($D184+P$5),PERMANENT_FIELD_LABOR_HOURS)*PERMANENT_HOURLY_RATE-MAX(0,($D184+P$5)-PERMANENT_FIELD_LABOR_HOURS)*TEMP_HOURLY_RATE-FIXED_SEASON_COST)</f>
        <v>21580.0317340584</v>
      </c>
      <c r="Q184" s="53" t="n">
        <f aca="false">IF(OR($A184&gt;TOMATO_BED_CAP,$B184&gt;CARROT_BED_CAP,Q$4&gt;MESCLUN_BED_CAP,$A184+$B184+Q$4&gt;TOTAL_BEDS_AVAILABLE,($D184+Q$5)&gt;TOTAL_LABOR_HOURS_CAP,MAX(0,($D184+Q$5)-PERMANENT_FIELD_LABOR_HOURS)&gt;TEMP_HOURS_CAP),"",$C184+Q$6-MIN(($D184+Q$5),PERMANENT_FIELD_LABOR_HOURS)*PERMANENT_HOURLY_RATE-MAX(0,($D184+Q$5)-PERMANENT_FIELD_LABOR_HOURS)*TEMP_HOURLY_RATE-FIXED_SEASON_COST)</f>
        <v>22393.8788907563</v>
      </c>
      <c r="R184" s="53" t="n">
        <f aca="false">IF(OR($A184&gt;TOMATO_BED_CAP,$B184&gt;CARROT_BED_CAP,R$4&gt;MESCLUN_BED_CAP,$A184+$B184+R$4&gt;TOTAL_BEDS_AVAILABLE,($D184+R$5)&gt;TOTAL_LABOR_HOURS_CAP,MAX(0,($D184+R$5)-PERMANENT_FIELD_LABOR_HOURS)&gt;TEMP_HOURS_CAP),"",$C184+R$6-MIN(($D184+R$5),PERMANENT_FIELD_LABOR_HOURS)*PERMANENT_HOURLY_RATE-MAX(0,($D184+R$5)-PERMANENT_FIELD_LABOR_HOURS)*TEMP_HOURLY_RATE-FIXED_SEASON_COST)</f>
        <v>23183.9543044531</v>
      </c>
      <c r="S184" s="53" t="n">
        <f aca="false">IF(OR($A184&gt;TOMATO_BED_CAP,$B184&gt;CARROT_BED_CAP,S$4&gt;MESCLUN_BED_CAP,$A184+$B184+S$4&gt;TOTAL_BEDS_AVAILABLE,($D184+S$5)&gt;TOTAL_LABOR_HOURS_CAP,MAX(0,($D184+S$5)-PERMANENT_FIELD_LABOR_HOURS)&gt;TEMP_HOURS_CAP),"",$C184+S$6-MIN(($D184+S$5),PERMANENT_FIELD_LABOR_HOURS)*PERMANENT_HOURLY_RATE-MAX(0,($D184+S$5)-PERMANENT_FIELD_LABOR_HOURS)*TEMP_HOURLY_RATE-FIXED_SEASON_COST)</f>
        <v>23949.8208929555</v>
      </c>
      <c r="T184" s="53" t="n">
        <f aca="false">IF(OR($A184&gt;TOMATO_BED_CAP,$B184&gt;CARROT_BED_CAP,T$4&gt;MESCLUN_BED_CAP,$A184+$B184+T$4&gt;TOTAL_BEDS_AVAILABLE,($D184+T$5)&gt;TOTAL_LABOR_HOURS_CAP,MAX(0,($D184+T$5)-PERMANENT_FIELD_LABOR_HOURS)&gt;TEMP_HOURS_CAP),"",$C184+T$6-MIN(($D184+T$5),PERMANENT_FIELD_LABOR_HOURS)*PERMANENT_HOURLY_RATE-MAX(0,($D184+T$5)-PERMANENT_FIELD_LABOR_HOURS)*TEMP_HOURLY_RATE-FIXED_SEASON_COST)</f>
        <v>24691.0343613504</v>
      </c>
      <c r="U184" s="53" t="n">
        <f aca="false">IF(OR($A184&gt;TOMATO_BED_CAP,$B184&gt;CARROT_BED_CAP,U$4&gt;MESCLUN_BED_CAP,$A184+$B184+U$4&gt;TOTAL_BEDS_AVAILABLE,($D184+U$5)&gt;TOTAL_LABOR_HOURS_CAP,MAX(0,($D184+U$5)-PERMANENT_FIELD_LABOR_HOURS)&gt;TEMP_HOURS_CAP),"",$C184+U$6-MIN(($D184+U$5),PERMANENT_FIELD_LABOR_HOURS)*PERMANENT_HOURLY_RATE-MAX(0,($D184+U$5)-PERMANENT_FIELD_LABOR_HOURS)*TEMP_HOURLY_RATE-FIXED_SEASON_COST)</f>
        <v>25407.1430899805</v>
      </c>
      <c r="V184" s="53" t="n">
        <f aca="false">IF(OR($A184&gt;TOMATO_BED_CAP,$B184&gt;CARROT_BED_CAP,V$4&gt;MESCLUN_BED_CAP,$A184+$B184+V$4&gt;TOTAL_BEDS_AVAILABLE,($D184+V$5)&gt;TOTAL_LABOR_HOURS_CAP,MAX(0,($D184+V$5)-PERMANENT_FIELD_LABOR_HOURS)&gt;TEMP_HOURS_CAP),"",$C184+V$6-MIN(($D184+V$5),PERMANENT_FIELD_LABOR_HOURS)*PERMANENT_HOURLY_RATE-MAX(0,($D184+V$5)-PERMANENT_FIELD_LABOR_HOURS)*TEMP_HOURLY_RATE-FIXED_SEASON_COST)</f>
        <v>26097.6880207473</v>
      </c>
      <c r="W184" s="53" t="n">
        <f aca="false">IF(OR($A184&gt;TOMATO_BED_CAP,$B184&gt;CARROT_BED_CAP,W$4&gt;MESCLUN_BED_CAP,$A184+$B184+W$4&gt;TOTAL_BEDS_AVAILABLE,($D184+W$5)&gt;TOTAL_LABOR_HOURS_CAP,MAX(0,($D184+W$5)-PERMANENT_FIELD_LABOR_HOURS)&gt;TEMP_HOURS_CAP),"",$C184+W$6-MIN(($D184+W$5),PERMANENT_FIELD_LABOR_HOURS)*PERMANENT_HOURLY_RATE-MAX(0,($D184+W$5)-PERMANENT_FIELD_LABOR_HOURS)*TEMP_HOURLY_RATE-FIXED_SEASON_COST)</f>
        <v>26762.2025417153</v>
      </c>
      <c r="X184" s="53" t="n">
        <f aca="false">IF(OR($A184&gt;TOMATO_BED_CAP,$B184&gt;CARROT_BED_CAP,X$4&gt;MESCLUN_BED_CAP,$A184+$B184+X$4&gt;TOTAL_BEDS_AVAILABLE,($D184+X$5)&gt;TOTAL_LABOR_HOURS_CAP,MAX(0,($D184+X$5)-PERMANENT_FIELD_LABOR_HOURS)&gt;TEMP_HOURS_CAP),"",$C184+X$6-MIN(($D184+X$5),PERMANENT_FIELD_LABOR_HOURS)*PERMANENT_HOURLY_RATE-MAX(0,($D184+X$5)-PERMANENT_FIELD_LABOR_HOURS)*TEMP_HOURLY_RATE-FIXED_SEASON_COST)</f>
        <v>27400.2123699942</v>
      </c>
      <c r="Y184" s="53" t="n">
        <f aca="false">IF(OR($A184&gt;TOMATO_BED_CAP,$B184&gt;CARROT_BED_CAP,Y$4&gt;MESCLUN_BED_CAP,$A184+$B184+Y$4&gt;TOTAL_BEDS_AVAILABLE,($D184+Y$5)&gt;TOTAL_LABOR_HOURS_CAP,MAX(0,($D184+Y$5)-PERMANENT_FIELD_LABOR_HOURS)&gt;TEMP_HOURS_CAP),"",$C184+Y$6-MIN(($D184+Y$5),PERMANENT_FIELD_LABOR_HOURS)*PERMANENT_HOURLY_RATE-MAX(0,($D184+Y$5)-PERMANENT_FIELD_LABOR_HOURS)*TEMP_HOURLY_RATE-FIXED_SEASON_COST)</f>
        <v>28011.2354328729</v>
      </c>
      <c r="Z184" s="53" t="n">
        <f aca="false">IF(OR($A184&gt;TOMATO_BED_CAP,$B184&gt;CARROT_BED_CAP,Z$4&gt;MESCLUN_BED_CAP,$A184+$B184+Z$4&gt;TOTAL_BEDS_AVAILABLE,($D184+Z$5)&gt;TOTAL_LABOR_HOURS_CAP,MAX(0,($D184+Z$5)-PERMANENT_FIELD_LABOR_HOURS)&gt;TEMP_HOURS_CAP),"",$C184+Z$6-MIN(($D184+Z$5),PERMANENT_FIELD_LABOR_HOURS)*PERMANENT_HOURLY_RATE-MAX(0,($D184+Z$5)-PERMANENT_FIELD_LABOR_HOURS)*TEMP_HOURLY_RATE-FIXED_SEASON_COST)</f>
        <v>28594.7817471806</v>
      </c>
      <c r="AA184" s="53" t="n">
        <f aca="false">IF(OR($A184&gt;TOMATO_BED_CAP,$B184&gt;CARROT_BED_CAP,AA$4&gt;MESCLUN_BED_CAP,$A184+$B184+AA$4&gt;TOTAL_BEDS_AVAILABLE,($D184+AA$5)&gt;TOTAL_LABOR_HOURS_CAP,MAX(0,($D184+AA$5)-PERMANENT_FIELD_LABOR_HOURS)&gt;TEMP_HOURS_CAP),"",$C184+AA$6-MIN(($D184+AA$5),PERMANENT_FIELD_LABOR_HOURS)*PERMANENT_HOURLY_RATE-MAX(0,($D184+AA$5)-PERMANENT_FIELD_LABOR_HOURS)*TEMP_HOURLY_RATE-FIXED_SEASON_COST)</f>
        <v>29150.3532968496</v>
      </c>
      <c r="AB184" s="53" t="n">
        <f aca="false">IF(OR($A184&gt;TOMATO_BED_CAP,$B184&gt;CARROT_BED_CAP,AB$4&gt;MESCLUN_BED_CAP,$A184+$B184+AB$4&gt;TOTAL_BEDS_AVAILABLE,($D184+AB$5)&gt;TOTAL_LABOR_HOURS_CAP,MAX(0,($D184+AB$5)-PERMANENT_FIELD_LABOR_HOURS)&gt;TEMP_HOURS_CAP),"",$C184+AB$6-MIN(($D184+AB$5),PERMANENT_FIELD_LABOR_HOURS)*PERMANENT_HOURLY_RATE-MAX(0,($D184+AB$5)-PERMANENT_FIELD_LABOR_HOURS)*TEMP_HOURLY_RATE-FIXED_SEASON_COST)</f>
        <v>29677.4439086521</v>
      </c>
      <c r="AC184" s="53" t="n">
        <f aca="false">IF(OR($A184&gt;TOMATO_BED_CAP,$B184&gt;CARROT_BED_CAP,AC$4&gt;MESCLUN_BED_CAP,$A184+$B184+AC$4&gt;TOTAL_BEDS_AVAILABLE,($D184+AC$5)&gt;TOTAL_LABOR_HOURS_CAP,MAX(0,($D184+AC$5)-PERMANENT_FIELD_LABOR_HOURS)&gt;TEMP_HOURS_CAP),"",$C184+AC$6-MIN(($D184+AC$5),PERMANENT_FIELD_LABOR_HOURS)*PERMANENT_HOURLY_RATE-MAX(0,($D184+AC$5)-PERMANENT_FIELD_LABOR_HOURS)*TEMP_HOURLY_RATE-FIXED_SEASON_COST)</f>
        <v>30175.539126087</v>
      </c>
      <c r="AD184" s="53" t="n">
        <f aca="false">IF(OR($A184&gt;TOMATO_BED_CAP,$B184&gt;CARROT_BED_CAP,AD$4&gt;MESCLUN_BED_CAP,$A184+$B184+AD$4&gt;TOTAL_BEDS_AVAILABLE,($D184+AD$5)&gt;TOTAL_LABOR_HOURS_CAP,MAX(0,($D184+AD$5)-PERMANENT_FIELD_LABOR_HOURS)&gt;TEMP_HOURS_CAP),"",$C184+AD$6-MIN(($D184+AD$5),PERMANENT_FIELD_LABOR_HOURS)*PERMANENT_HOURLY_RATE-MAX(0,($D184+AD$5)-PERMANENT_FIELD_LABOR_HOURS)*TEMP_HOURLY_RATE-FIXED_SEASON_COST)</f>
        <v>30644.116081387</v>
      </c>
      <c r="AE184" s="53" t="n">
        <f aca="false">IF(OR($A184&gt;TOMATO_BED_CAP,$B184&gt;CARROT_BED_CAP,AE$4&gt;MESCLUN_BED_CAP,$A184+$B184+AE$4&gt;TOTAL_BEDS_AVAILABLE,($D184+AE$5)&gt;TOTAL_LABOR_HOURS_CAP,MAX(0,($D184+AE$5)-PERMANENT_FIELD_LABOR_HOURS)&gt;TEMP_HOURS_CAP),"",$C184+AE$6-MIN(($D184+AE$5),PERMANENT_FIELD_LABOR_HOURS)*PERMANENT_HOURLY_RATE-MAX(0,($D184+AE$5)-PERMANENT_FIELD_LABOR_HOURS)*TEMP_HOURLY_RATE-FIXED_SEASON_COST)</f>
        <v>31082.6433656209</v>
      </c>
      <c r="AF184" s="53" t="n">
        <f aca="false">IF(OR($A184&gt;TOMATO_BED_CAP,$B184&gt;CARROT_BED_CAP,AF$4&gt;MESCLUN_BED_CAP,$A184+$B184+AF$4&gt;TOTAL_BEDS_AVAILABLE,($D184+AF$5)&gt;TOTAL_LABOR_HOURS_CAP,MAX(0,($D184+AF$5)-PERMANENT_FIELD_LABOR_HOURS)&gt;TEMP_HOURS_CAP),"",$C184+AF$6-MIN(($D184+AF$5),PERMANENT_FIELD_LABOR_HOURS)*PERMANENT_HOURLY_RATE-MAX(0,($D184+AF$5)-PERMANENT_FIELD_LABOR_HOURS)*TEMP_HOURLY_RATE-FIXED_SEASON_COST)</f>
        <v>31490.5808968628</v>
      </c>
      <c r="AG184" s="53" t="n">
        <f aca="false">IF(OR($A184&gt;TOMATO_BED_CAP,$B184&gt;CARROT_BED_CAP,AG$4&gt;MESCLUN_BED_CAP,$A184+$B184+AG$4&gt;TOTAL_BEDS_AVAILABLE,($D184+AG$5)&gt;TOTAL_LABOR_HOURS_CAP,MAX(0,($D184+AG$5)-PERMANENT_FIELD_LABOR_HOURS)&gt;TEMP_HOURS_CAP),"",$C184+AG$6-MIN(($D184+AG$5),PERMANENT_FIELD_LABOR_HOURS)*PERMANENT_HOURLY_RATE-MAX(0,($D184+AG$5)-PERMANENT_FIELD_LABOR_HOURS)*TEMP_HOURLY_RATE-FIXED_SEASON_COST)</f>
        <v>31867.3797863998</v>
      </c>
      <c r="AH184" s="53" t="n">
        <f aca="false">IF(OR($A184&gt;TOMATO_BED_CAP,$B184&gt;CARROT_BED_CAP,AH$4&gt;MESCLUN_BED_CAP,$A184+$B184+AH$4&gt;TOTAL_BEDS_AVAILABLE,($D184+AH$5)&gt;TOTAL_LABOR_HOURS_CAP,MAX(0,($D184+AH$5)-PERMANENT_FIELD_LABOR_HOURS)&gt;TEMP_HOURS_CAP),"",$C184+AH$6-MIN(($D184+AH$5),PERMANENT_FIELD_LABOR_HOURS)*PERMANENT_HOURLY_RATE-MAX(0,($D184+AH$5)-PERMANENT_FIELD_LABOR_HOURS)*TEMP_HOURLY_RATE-FIXED_SEASON_COST)</f>
        <v>32212.4822029501</v>
      </c>
      <c r="AI184" s="53" t="n">
        <f aca="false">IF(OR($A184&gt;TOMATO_BED_CAP,$B184&gt;CARROT_BED_CAP,AI$4&gt;MESCLUN_BED_CAP,$A184+$B184+AI$4&gt;TOTAL_BEDS_AVAILABLE,($D184+AI$5)&gt;TOTAL_LABOR_HOURS_CAP,MAX(0,($D184+AI$5)-PERMANENT_FIELD_LABOR_HOURS)&gt;TEMP_HOURS_CAP),"",$C184+AI$6-MIN(($D184+AI$5),PERMANENT_FIELD_LABOR_HOURS)*PERMANENT_HOURLY_RATE-MAX(0,($D184+AI$5)-PERMANENT_FIELD_LABOR_HOURS)*TEMP_HOURLY_RATE-FIXED_SEASON_COST)</f>
        <v>32525.3212348623</v>
      </c>
      <c r="AJ184" s="53" t="n">
        <f aca="false">IF(OR($A184&gt;TOMATO_BED_CAP,$B184&gt;CARROT_BED_CAP,AJ$4&gt;MESCLUN_BED_CAP,$A184+$B184+AJ$4&gt;TOTAL_BEDS_AVAILABLE,($D184+AJ$5)&gt;TOTAL_LABOR_HOURS_CAP,MAX(0,($D184+AJ$5)-PERMANENT_FIELD_LABOR_HOURS)&gt;TEMP_HOURS_CAP),"",$C184+AJ$6-MIN(($D184+AJ$5),PERMANENT_FIELD_LABOR_HOURS)*PERMANENT_HOURLY_RATE-MAX(0,($D184+AJ$5)-PERMANENT_FIELD_LABOR_HOURS)*TEMP_HOURLY_RATE-FIXED_SEASON_COST)</f>
        <v>32805.3207502681</v>
      </c>
    </row>
    <row r="185" customFormat="false" ht="15" hidden="false" customHeight="false" outlineLevel="0" collapsed="false">
      <c r="A185" s="21" t="n">
        <f aca="false">INT((ROW()-ROW($A$8))/(20+1))</f>
        <v>8</v>
      </c>
      <c r="B185" s="21" t="n">
        <f aca="false">MOD(ROW()-ROW($A$8),20+1)</f>
        <v>9</v>
      </c>
      <c r="C185" s="13" t="n">
        <f aca="false">A185*(TOMATO_REVENUE_PER_BED-TOMATO_FERTILIZER_PER_BED)+B185*(CARROT_REVENUE_PER_BED-CARROT_FERTILIZER_PER_BED)</f>
        <v>78246</v>
      </c>
      <c r="D185" s="14" t="n">
        <f aca="false">INDEX(TOMATO_SCHED_LABOR_HRS,A185+1)+INDEX(CARROT_SCHED_LABOR_HRS,B185+1)</f>
        <v>1880.44206788512</v>
      </c>
      <c r="E185" s="13" t="n">
        <f aca="false">IF(COUNT(F185:AJ185)=0,"",MAX(F185:AJ185))</f>
        <v>33682.3149963869</v>
      </c>
      <c r="F185" s="53" t="n">
        <f aca="false">IF(OR($A185&gt;TOMATO_BED_CAP,$B185&gt;CARROT_BED_CAP,F$4&gt;MESCLUN_BED_CAP,$A185+$B185+F$4&gt;TOTAL_BEDS_AVAILABLE,($D185+F$5)&gt;TOTAL_LABOR_HOURS_CAP,MAX(0,($D185+F$5)-PERMANENT_FIELD_LABOR_HOURS)&gt;TEMP_HOURS_CAP),"",$C185+F$6-MIN(($D185+F$5),PERMANENT_FIELD_LABOR_HOURS)*PERMANENT_HOURLY_RATE-MAX(0,($D185+F$5)-PERMANENT_FIELD_LABOR_HOURS)*TEMP_HOURLY_RATE-FIXED_SEASON_COST)</f>
        <v>13102.3257015144</v>
      </c>
      <c r="G185" s="53" t="n">
        <f aca="false">IF(OR($A185&gt;TOMATO_BED_CAP,$B185&gt;CARROT_BED_CAP,G$4&gt;MESCLUN_BED_CAP,$A185+$B185+G$4&gt;TOTAL_BEDS_AVAILABLE,($D185+G$5)&gt;TOTAL_LABOR_HOURS_CAP,MAX(0,($D185+G$5)-PERMANENT_FIELD_LABOR_HOURS)&gt;TEMP_HOURS_CAP),"",$C185+G$6-MIN(($D185+G$5),PERMANENT_FIELD_LABOR_HOURS)*PERMANENT_HOURLY_RATE-MAX(0,($D185+G$5)-PERMANENT_FIELD_LABOR_HOURS)*TEMP_HOURLY_RATE-FIXED_SEASON_COST)</f>
        <v>14131.3607015144</v>
      </c>
      <c r="H185" s="53" t="n">
        <f aca="false">IF(OR($A185&gt;TOMATO_BED_CAP,$B185&gt;CARROT_BED_CAP,H$4&gt;MESCLUN_BED_CAP,$A185+$B185+H$4&gt;TOTAL_BEDS_AVAILABLE,($D185+H$5)&gt;TOTAL_LABOR_HOURS_CAP,MAX(0,($D185+H$5)-PERMANENT_FIELD_LABOR_HOURS)&gt;TEMP_HOURS_CAP),"",$C185+H$6-MIN(($D185+H$5),PERMANENT_FIELD_LABOR_HOURS)*PERMANENT_HOURLY_RATE-MAX(0,($D185+H$5)-PERMANENT_FIELD_LABOR_HOURS)*TEMP_HOURLY_RATE-FIXED_SEASON_COST)</f>
        <v>15140.6215765144</v>
      </c>
      <c r="I185" s="53" t="n">
        <f aca="false">IF(OR($A185&gt;TOMATO_BED_CAP,$B185&gt;CARROT_BED_CAP,I$4&gt;MESCLUN_BED_CAP,$A185+$B185+I$4&gt;TOTAL_BEDS_AVAILABLE,($D185+I$5)&gt;TOTAL_LABOR_HOURS_CAP,MAX(0,($D185+I$5)-PERMANENT_FIELD_LABOR_HOURS)&gt;TEMP_HOURS_CAP),"",$C185+I$6-MIN(($D185+I$5),PERMANENT_FIELD_LABOR_HOURS)*PERMANENT_HOURLY_RATE-MAX(0,($D185+I$5)-PERMANENT_FIELD_LABOR_HOURS)*TEMP_HOURLY_RATE-FIXED_SEASON_COST)</f>
        <v>16129.7375616706</v>
      </c>
      <c r="J185" s="53" t="n">
        <f aca="false">IF(OR($A185&gt;TOMATO_BED_CAP,$B185&gt;CARROT_BED_CAP,J$4&gt;MESCLUN_BED_CAP,$A185+$B185+J$4&gt;TOTAL_BEDS_AVAILABLE,($D185+J$5)&gt;TOTAL_LABOR_HOURS_CAP,MAX(0,($D185+J$5)-PERMANENT_FIELD_LABOR_HOURS)&gt;TEMP_HOURS_CAP),"",$C185+J$6-MIN(($D185+J$5),PERMANENT_FIELD_LABOR_HOURS)*PERMANENT_HOURLY_RATE-MAX(0,($D185+J$5)-PERMANENT_FIELD_LABOR_HOURS)*TEMP_HOURLY_RATE-FIXED_SEASON_COST)</f>
        <v>17098.3317127253</v>
      </c>
      <c r="K185" s="53" t="n">
        <f aca="false">IF(OR($A185&gt;TOMATO_BED_CAP,$B185&gt;CARROT_BED_CAP,K$4&gt;MESCLUN_BED_CAP,$A185+$B185+K$4&gt;TOTAL_BEDS_AVAILABLE,($D185+K$5)&gt;TOTAL_LABOR_HOURS_CAP,MAX(0,($D185+K$5)-PERMANENT_FIELD_LABOR_HOURS)&gt;TEMP_HOURS_CAP),"",$C185+K$6-MIN(($D185+K$5),PERMANENT_FIELD_LABOR_HOURS)*PERMANENT_HOURLY_RATE-MAX(0,($D185+K$5)-PERMANENT_FIELD_LABOR_HOURS)*TEMP_HOURLY_RATE-FIXED_SEASON_COST)</f>
        <v>18046.0208094532</v>
      </c>
      <c r="L185" s="53" t="n">
        <f aca="false">IF(OR($A185&gt;TOMATO_BED_CAP,$B185&gt;CARROT_BED_CAP,L$4&gt;MESCLUN_BED_CAP,$A185+$B185+L$4&gt;TOTAL_BEDS_AVAILABLE,($D185+L$5)&gt;TOTAL_LABOR_HOURS_CAP,MAX(0,($D185+L$5)-PERMANENT_FIELD_LABOR_HOURS)&gt;TEMP_HOURS_CAP),"",$C185+L$6-MIN(($D185+L$5),PERMANENT_FIELD_LABOR_HOURS)*PERMANENT_HOURLY_RATE-MAX(0,($D185+L$5)-PERMANENT_FIELD_LABOR_HOURS)*TEMP_HOURLY_RATE-FIXED_SEASON_COST)</f>
        <v>18972.4152576601</v>
      </c>
      <c r="M185" s="53" t="n">
        <f aca="false">IF(OR($A185&gt;TOMATO_BED_CAP,$B185&gt;CARROT_BED_CAP,M$4&gt;MESCLUN_BED_CAP,$A185+$B185+M$4&gt;TOTAL_BEDS_AVAILABLE,($D185+M$5)&gt;TOTAL_LABOR_HOURS_CAP,MAX(0,($D185+M$5)-PERMANENT_FIELD_LABOR_HOURS)&gt;TEMP_HOURS_CAP),"",$C185+M$6-MIN(($D185+M$5),PERMANENT_FIELD_LABOR_HOURS)*PERMANENT_HOURLY_RATE-MAX(0,($D185+M$5)-PERMANENT_FIELD_LABOR_HOURS)*TEMP_HOURLY_RATE-FIXED_SEASON_COST)</f>
        <v>19877.1189897115</v>
      </c>
      <c r="N185" s="53" t="n">
        <f aca="false">IF(OR($A185&gt;TOMATO_BED_CAP,$B185&gt;CARROT_BED_CAP,N$4&gt;MESCLUN_BED_CAP,$A185+$B185+N$4&gt;TOTAL_BEDS_AVAILABLE,($D185+N$5)&gt;TOTAL_LABOR_HOURS_CAP,MAX(0,($D185+N$5)-PERMANENT_FIELD_LABOR_HOURS)&gt;TEMP_HOURS_CAP),"",$C185+N$6-MIN(($D185+N$5),PERMANENT_FIELD_LABOR_HOURS)*PERMANENT_HOURLY_RATE-MAX(0,($D185+N$5)-PERMANENT_FIELD_LABOR_HOURS)*TEMP_HOURLY_RATE-FIXED_SEASON_COST)</f>
        <v>20759.729363571</v>
      </c>
      <c r="O185" s="53" t="n">
        <f aca="false">IF(OR($A185&gt;TOMATO_BED_CAP,$B185&gt;CARROT_BED_CAP,O$4&gt;MESCLUN_BED_CAP,$A185+$B185+O$4&gt;TOTAL_BEDS_AVAILABLE,($D185+O$5)&gt;TOTAL_LABOR_HOURS_CAP,MAX(0,($D185+O$5)-PERMANENT_FIELD_LABOR_HOURS)&gt;TEMP_HOURS_CAP),"",$C185+O$6-MIN(($D185+O$5),PERMANENT_FIELD_LABOR_HOURS)*PERMANENT_HOURLY_RATE-MAX(0,($D185+O$5)-PERMANENT_FIELD_LABOR_HOURS)*TEMP_HOURLY_RATE-FIXED_SEASON_COST)</f>
        <v>21619.8370603258</v>
      </c>
      <c r="P185" s="53" t="n">
        <f aca="false">IF(OR($A185&gt;TOMATO_BED_CAP,$B185&gt;CARROT_BED_CAP,P$4&gt;MESCLUN_BED_CAP,$A185+$B185+P$4&gt;TOTAL_BEDS_AVAILABLE,($D185+P$5)&gt;TOTAL_LABOR_HOURS_CAP,MAX(0,($D185+P$5)-PERMANENT_FIELD_LABOR_HOURS)&gt;TEMP_HOURS_CAP),"",$C185+P$6-MIN(($D185+P$5),PERMANENT_FIELD_LABOR_HOURS)*PERMANENT_HOURLY_RATE-MAX(0,($D185+P$5)-PERMANENT_FIELD_LABOR_HOURS)*TEMP_HOURLY_RATE-FIXED_SEASON_COST)</f>
        <v>22457.0259801772</v>
      </c>
      <c r="Q185" s="53" t="n">
        <f aca="false">IF(OR($A185&gt;TOMATO_BED_CAP,$B185&gt;CARROT_BED_CAP,Q$4&gt;MESCLUN_BED_CAP,$A185+$B185+Q$4&gt;TOTAL_BEDS_AVAILABLE,($D185+Q$5)&gt;TOTAL_LABOR_HOURS_CAP,MAX(0,($D185+Q$5)-PERMANENT_FIELD_LABOR_HOURS)&gt;TEMP_HOURS_CAP),"",$C185+Q$6-MIN(($D185+Q$5),PERMANENT_FIELD_LABOR_HOURS)*PERMANENT_HOURLY_RATE-MAX(0,($D185+Q$5)-PERMANENT_FIELD_LABOR_HOURS)*TEMP_HOURLY_RATE-FIXED_SEASON_COST)</f>
        <v>23270.8731368751</v>
      </c>
      <c r="R185" s="53" t="n">
        <f aca="false">IF(OR($A185&gt;TOMATO_BED_CAP,$B185&gt;CARROT_BED_CAP,R$4&gt;MESCLUN_BED_CAP,$A185+$B185+R$4&gt;TOTAL_BEDS_AVAILABLE,($D185+R$5)&gt;TOTAL_LABOR_HOURS_CAP,MAX(0,($D185+R$5)-PERMANENT_FIELD_LABOR_HOURS)&gt;TEMP_HOURS_CAP),"",$C185+R$6-MIN(($D185+R$5),PERMANENT_FIELD_LABOR_HOURS)*PERMANENT_HOURLY_RATE-MAX(0,($D185+R$5)-PERMANENT_FIELD_LABOR_HOURS)*TEMP_HOURLY_RATE-FIXED_SEASON_COST)</f>
        <v>24060.9485505719</v>
      </c>
      <c r="S185" s="53" t="n">
        <f aca="false">IF(OR($A185&gt;TOMATO_BED_CAP,$B185&gt;CARROT_BED_CAP,S$4&gt;MESCLUN_BED_CAP,$A185+$B185+S$4&gt;TOTAL_BEDS_AVAILABLE,($D185+S$5)&gt;TOTAL_LABOR_HOURS_CAP,MAX(0,($D185+S$5)-PERMANENT_FIELD_LABOR_HOURS)&gt;TEMP_HOURS_CAP),"",$C185+S$6-MIN(($D185+S$5),PERMANENT_FIELD_LABOR_HOURS)*PERMANENT_HOURLY_RATE-MAX(0,($D185+S$5)-PERMANENT_FIELD_LABOR_HOURS)*TEMP_HOURLY_RATE-FIXED_SEASON_COST)</f>
        <v>24826.8151390744</v>
      </c>
      <c r="T185" s="53" t="n">
        <f aca="false">IF(OR($A185&gt;TOMATO_BED_CAP,$B185&gt;CARROT_BED_CAP,T$4&gt;MESCLUN_BED_CAP,$A185+$B185+T$4&gt;TOTAL_BEDS_AVAILABLE,($D185+T$5)&gt;TOTAL_LABOR_HOURS_CAP,MAX(0,($D185+T$5)-PERMANENT_FIELD_LABOR_HOURS)&gt;TEMP_HOURS_CAP),"",$C185+T$6-MIN(($D185+T$5),PERMANENT_FIELD_LABOR_HOURS)*PERMANENT_HOURLY_RATE-MAX(0,($D185+T$5)-PERMANENT_FIELD_LABOR_HOURS)*TEMP_HOURLY_RATE-FIXED_SEASON_COST)</f>
        <v>25568.0286074692</v>
      </c>
      <c r="U185" s="53" t="n">
        <f aca="false">IF(OR($A185&gt;TOMATO_BED_CAP,$B185&gt;CARROT_BED_CAP,U$4&gt;MESCLUN_BED_CAP,$A185+$B185+U$4&gt;TOTAL_BEDS_AVAILABLE,($D185+U$5)&gt;TOTAL_LABOR_HOURS_CAP,MAX(0,($D185+U$5)-PERMANENT_FIELD_LABOR_HOURS)&gt;TEMP_HOURS_CAP),"",$C185+U$6-MIN(($D185+U$5),PERMANENT_FIELD_LABOR_HOURS)*PERMANENT_HOURLY_RATE-MAX(0,($D185+U$5)-PERMANENT_FIELD_LABOR_HOURS)*TEMP_HOURLY_RATE-FIXED_SEASON_COST)</f>
        <v>26284.1373360993</v>
      </c>
      <c r="V185" s="53" t="n">
        <f aca="false">IF(OR($A185&gt;TOMATO_BED_CAP,$B185&gt;CARROT_BED_CAP,V$4&gt;MESCLUN_BED_CAP,$A185+$B185+V$4&gt;TOTAL_BEDS_AVAILABLE,($D185+V$5)&gt;TOTAL_LABOR_HOURS_CAP,MAX(0,($D185+V$5)-PERMANENT_FIELD_LABOR_HOURS)&gt;TEMP_HOURS_CAP),"",$C185+V$6-MIN(($D185+V$5),PERMANENT_FIELD_LABOR_HOURS)*PERMANENT_HOURLY_RATE-MAX(0,($D185+V$5)-PERMANENT_FIELD_LABOR_HOURS)*TEMP_HOURLY_RATE-FIXED_SEASON_COST)</f>
        <v>26974.6822668661</v>
      </c>
      <c r="W185" s="53" t="n">
        <f aca="false">IF(OR($A185&gt;TOMATO_BED_CAP,$B185&gt;CARROT_BED_CAP,W$4&gt;MESCLUN_BED_CAP,$A185+$B185+W$4&gt;TOTAL_BEDS_AVAILABLE,($D185+W$5)&gt;TOTAL_LABOR_HOURS_CAP,MAX(0,($D185+W$5)-PERMANENT_FIELD_LABOR_HOURS)&gt;TEMP_HOURS_CAP),"",$C185+W$6-MIN(($D185+W$5),PERMANENT_FIELD_LABOR_HOURS)*PERMANENT_HOURLY_RATE-MAX(0,($D185+W$5)-PERMANENT_FIELD_LABOR_HOURS)*TEMP_HOURLY_RATE-FIXED_SEASON_COST)</f>
        <v>27639.1967878342</v>
      </c>
      <c r="X185" s="53" t="n">
        <f aca="false">IF(OR($A185&gt;TOMATO_BED_CAP,$B185&gt;CARROT_BED_CAP,X$4&gt;MESCLUN_BED_CAP,$A185+$B185+X$4&gt;TOTAL_BEDS_AVAILABLE,($D185+X$5)&gt;TOTAL_LABOR_HOURS_CAP,MAX(0,($D185+X$5)-PERMANENT_FIELD_LABOR_HOURS)&gt;TEMP_HOURS_CAP),"",$C185+X$6-MIN(($D185+X$5),PERMANENT_FIELD_LABOR_HOURS)*PERMANENT_HOURLY_RATE-MAX(0,($D185+X$5)-PERMANENT_FIELD_LABOR_HOURS)*TEMP_HOURLY_RATE-FIXED_SEASON_COST)</f>
        <v>28277.2066161131</v>
      </c>
      <c r="Y185" s="53" t="n">
        <f aca="false">IF(OR($A185&gt;TOMATO_BED_CAP,$B185&gt;CARROT_BED_CAP,Y$4&gt;MESCLUN_BED_CAP,$A185+$B185+Y$4&gt;TOTAL_BEDS_AVAILABLE,($D185+Y$5)&gt;TOTAL_LABOR_HOURS_CAP,MAX(0,($D185+Y$5)-PERMANENT_FIELD_LABOR_HOURS)&gt;TEMP_HOURS_CAP),"",$C185+Y$6-MIN(($D185+Y$5),PERMANENT_FIELD_LABOR_HOURS)*PERMANENT_HOURLY_RATE-MAX(0,($D185+Y$5)-PERMANENT_FIELD_LABOR_HOURS)*TEMP_HOURLY_RATE-FIXED_SEASON_COST)</f>
        <v>28888.2296789917</v>
      </c>
      <c r="Z185" s="53" t="n">
        <f aca="false">IF(OR($A185&gt;TOMATO_BED_CAP,$B185&gt;CARROT_BED_CAP,Z$4&gt;MESCLUN_BED_CAP,$A185+$B185+Z$4&gt;TOTAL_BEDS_AVAILABLE,($D185+Z$5)&gt;TOTAL_LABOR_HOURS_CAP,MAX(0,($D185+Z$5)-PERMANENT_FIELD_LABOR_HOURS)&gt;TEMP_HOURS_CAP),"",$C185+Z$6-MIN(($D185+Z$5),PERMANENT_FIELD_LABOR_HOURS)*PERMANENT_HOURLY_RATE-MAX(0,($D185+Z$5)-PERMANENT_FIELD_LABOR_HOURS)*TEMP_HOURLY_RATE-FIXED_SEASON_COST)</f>
        <v>29471.7759932995</v>
      </c>
      <c r="AA185" s="53" t="n">
        <f aca="false">IF(OR($A185&gt;TOMATO_BED_CAP,$B185&gt;CARROT_BED_CAP,AA$4&gt;MESCLUN_BED_CAP,$A185+$B185+AA$4&gt;TOTAL_BEDS_AVAILABLE,($D185+AA$5)&gt;TOTAL_LABOR_HOURS_CAP,MAX(0,($D185+AA$5)-PERMANENT_FIELD_LABOR_HOURS)&gt;TEMP_HOURS_CAP),"",$C185+AA$6-MIN(($D185+AA$5),PERMANENT_FIELD_LABOR_HOURS)*PERMANENT_HOURLY_RATE-MAX(0,($D185+AA$5)-PERMANENT_FIELD_LABOR_HOURS)*TEMP_HOURLY_RATE-FIXED_SEASON_COST)</f>
        <v>30027.3475429684</v>
      </c>
      <c r="AB185" s="53" t="n">
        <f aca="false">IF(OR($A185&gt;TOMATO_BED_CAP,$B185&gt;CARROT_BED_CAP,AB$4&gt;MESCLUN_BED_CAP,$A185+$B185+AB$4&gt;TOTAL_BEDS_AVAILABLE,($D185+AB$5)&gt;TOTAL_LABOR_HOURS_CAP,MAX(0,($D185+AB$5)-PERMANENT_FIELD_LABOR_HOURS)&gt;TEMP_HOURS_CAP),"",$C185+AB$6-MIN(($D185+AB$5),PERMANENT_FIELD_LABOR_HOURS)*PERMANENT_HOURLY_RATE-MAX(0,($D185+AB$5)-PERMANENT_FIELD_LABOR_HOURS)*TEMP_HOURLY_RATE-FIXED_SEASON_COST)</f>
        <v>30554.438154771</v>
      </c>
      <c r="AC185" s="53" t="n">
        <f aca="false">IF(OR($A185&gt;TOMATO_BED_CAP,$B185&gt;CARROT_BED_CAP,AC$4&gt;MESCLUN_BED_CAP,$A185+$B185+AC$4&gt;TOTAL_BEDS_AVAILABLE,($D185+AC$5)&gt;TOTAL_LABOR_HOURS_CAP,MAX(0,($D185+AC$5)-PERMANENT_FIELD_LABOR_HOURS)&gt;TEMP_HOURS_CAP),"",$C185+AC$6-MIN(($D185+AC$5),PERMANENT_FIELD_LABOR_HOURS)*PERMANENT_HOURLY_RATE-MAX(0,($D185+AC$5)-PERMANENT_FIELD_LABOR_HOURS)*TEMP_HOURLY_RATE-FIXED_SEASON_COST)</f>
        <v>31052.5333722059</v>
      </c>
      <c r="AD185" s="53" t="n">
        <f aca="false">IF(OR($A185&gt;TOMATO_BED_CAP,$B185&gt;CARROT_BED_CAP,AD$4&gt;MESCLUN_BED_CAP,$A185+$B185+AD$4&gt;TOTAL_BEDS_AVAILABLE,($D185+AD$5)&gt;TOTAL_LABOR_HOURS_CAP,MAX(0,($D185+AD$5)-PERMANENT_FIELD_LABOR_HOURS)&gt;TEMP_HOURS_CAP),"",$C185+AD$6-MIN(($D185+AD$5),PERMANENT_FIELD_LABOR_HOURS)*PERMANENT_HOURLY_RATE-MAX(0,($D185+AD$5)-PERMANENT_FIELD_LABOR_HOURS)*TEMP_HOURLY_RATE-FIXED_SEASON_COST)</f>
        <v>31521.1103275058</v>
      </c>
      <c r="AE185" s="53" t="n">
        <f aca="false">IF(OR($A185&gt;TOMATO_BED_CAP,$B185&gt;CARROT_BED_CAP,AE$4&gt;MESCLUN_BED_CAP,$A185+$B185+AE$4&gt;TOTAL_BEDS_AVAILABLE,($D185+AE$5)&gt;TOTAL_LABOR_HOURS_CAP,MAX(0,($D185+AE$5)-PERMANENT_FIELD_LABOR_HOURS)&gt;TEMP_HOURS_CAP),"",$C185+AE$6-MIN(($D185+AE$5),PERMANENT_FIELD_LABOR_HOURS)*PERMANENT_HOURLY_RATE-MAX(0,($D185+AE$5)-PERMANENT_FIELD_LABOR_HOURS)*TEMP_HOURLY_RATE-FIXED_SEASON_COST)</f>
        <v>31959.6376117397</v>
      </c>
      <c r="AF185" s="53" t="n">
        <f aca="false">IF(OR($A185&gt;TOMATO_BED_CAP,$B185&gt;CARROT_BED_CAP,AF$4&gt;MESCLUN_BED_CAP,$A185+$B185+AF$4&gt;TOTAL_BEDS_AVAILABLE,($D185+AF$5)&gt;TOTAL_LABOR_HOURS_CAP,MAX(0,($D185+AF$5)-PERMANENT_FIELD_LABOR_HOURS)&gt;TEMP_HOURS_CAP),"",$C185+AF$6-MIN(($D185+AF$5),PERMANENT_FIELD_LABOR_HOURS)*PERMANENT_HOURLY_RATE-MAX(0,($D185+AF$5)-PERMANENT_FIELD_LABOR_HOURS)*TEMP_HOURLY_RATE-FIXED_SEASON_COST)</f>
        <v>32367.5751429817</v>
      </c>
      <c r="AG185" s="53" t="n">
        <f aca="false">IF(OR($A185&gt;TOMATO_BED_CAP,$B185&gt;CARROT_BED_CAP,AG$4&gt;MESCLUN_BED_CAP,$A185+$B185+AG$4&gt;TOTAL_BEDS_AVAILABLE,($D185+AG$5)&gt;TOTAL_LABOR_HOURS_CAP,MAX(0,($D185+AG$5)-PERMANENT_FIELD_LABOR_HOURS)&gt;TEMP_HOURS_CAP),"",$C185+AG$6-MIN(($D185+AG$5),PERMANENT_FIELD_LABOR_HOURS)*PERMANENT_HOURLY_RATE-MAX(0,($D185+AG$5)-PERMANENT_FIELD_LABOR_HOURS)*TEMP_HOURLY_RATE-FIXED_SEASON_COST)</f>
        <v>32744.3740325187</v>
      </c>
      <c r="AH185" s="53" t="n">
        <f aca="false">IF(OR($A185&gt;TOMATO_BED_CAP,$B185&gt;CARROT_BED_CAP,AH$4&gt;MESCLUN_BED_CAP,$A185+$B185+AH$4&gt;TOTAL_BEDS_AVAILABLE,($D185+AH$5)&gt;TOTAL_LABOR_HOURS_CAP,MAX(0,($D185+AH$5)-PERMANENT_FIELD_LABOR_HOURS)&gt;TEMP_HOURS_CAP),"",$C185+AH$6-MIN(($D185+AH$5),PERMANENT_FIELD_LABOR_HOURS)*PERMANENT_HOURLY_RATE-MAX(0,($D185+AH$5)-PERMANENT_FIELD_LABOR_HOURS)*TEMP_HOURLY_RATE-FIXED_SEASON_COST)</f>
        <v>33089.4764490689</v>
      </c>
      <c r="AI185" s="53" t="n">
        <f aca="false">IF(OR($A185&gt;TOMATO_BED_CAP,$B185&gt;CARROT_BED_CAP,AI$4&gt;MESCLUN_BED_CAP,$A185+$B185+AI$4&gt;TOTAL_BEDS_AVAILABLE,($D185+AI$5)&gt;TOTAL_LABOR_HOURS_CAP,MAX(0,($D185+AI$5)-PERMANENT_FIELD_LABOR_HOURS)&gt;TEMP_HOURS_CAP),"",$C185+AI$6-MIN(($D185+AI$5),PERMANENT_FIELD_LABOR_HOURS)*PERMANENT_HOURLY_RATE-MAX(0,($D185+AI$5)-PERMANENT_FIELD_LABOR_HOURS)*TEMP_HOURLY_RATE-FIXED_SEASON_COST)</f>
        <v>33402.3154809812</v>
      </c>
      <c r="AJ185" s="53" t="n">
        <f aca="false">IF(OR($A185&gt;TOMATO_BED_CAP,$B185&gt;CARROT_BED_CAP,AJ$4&gt;MESCLUN_BED_CAP,$A185+$B185+AJ$4&gt;TOTAL_BEDS_AVAILABLE,($D185+AJ$5)&gt;TOTAL_LABOR_HOURS_CAP,MAX(0,($D185+AJ$5)-PERMANENT_FIELD_LABOR_HOURS)&gt;TEMP_HOURS_CAP),"",$C185+AJ$6-MIN(($D185+AJ$5),PERMANENT_FIELD_LABOR_HOURS)*PERMANENT_HOURLY_RATE-MAX(0,($D185+AJ$5)-PERMANENT_FIELD_LABOR_HOURS)*TEMP_HOURLY_RATE-FIXED_SEASON_COST)</f>
        <v>33682.3149963869</v>
      </c>
    </row>
    <row r="186" customFormat="false" ht="15" hidden="false" customHeight="false" outlineLevel="0" collapsed="false">
      <c r="A186" s="21" t="n">
        <f aca="false">INT((ROW()-ROW($A$8))/(20+1))</f>
        <v>8</v>
      </c>
      <c r="B186" s="21" t="n">
        <f aca="false">MOD(ROW()-ROW($A$8),20+1)</f>
        <v>10</v>
      </c>
      <c r="C186" s="13" t="n">
        <f aca="false">A186*(TOMATO_REVENUE_PER_BED-TOMATO_FERTILIZER_PER_BED)+B186*(CARROT_REVENUE_PER_BED-CARROT_FERTILIZER_PER_BED)</f>
        <v>79900</v>
      </c>
      <c r="D186" s="14" t="n">
        <f aca="false">INDEX(TOMATO_SCHED_LABOR_HRS,A186+1)+INDEX(CARROT_SCHED_LABOR_HRS,B186+1)</f>
        <v>1927.2556963136</v>
      </c>
      <c r="E186" s="13" t="n">
        <f aca="false">IF(COUNT(F186:AJ186)=0,"",MAX(F186:AJ186))</f>
        <v>34523.6304068684</v>
      </c>
      <c r="F186" s="53" t="n">
        <f aca="false">IF(OR($A186&gt;TOMATO_BED_CAP,$B186&gt;CARROT_BED_CAP,F$4&gt;MESCLUN_BED_CAP,$A186+$B186+F$4&gt;TOTAL_BEDS_AVAILABLE,($D186+F$5)&gt;TOTAL_LABOR_HOURS_CAP,MAX(0,($D186+F$5)-PERMANENT_FIELD_LABOR_HOURS)&gt;TEMP_HOURS_CAP),"",$C186+F$6-MIN(($D186+F$5),PERMANENT_FIELD_LABOR_HOURS)*PERMANENT_HOURLY_RATE-MAX(0,($D186+F$5)-PERMANENT_FIELD_LABOR_HOURS)*TEMP_HOURLY_RATE-FIXED_SEASON_COST)</f>
        <v>13943.6411119958</v>
      </c>
      <c r="G186" s="53" t="n">
        <f aca="false">IF(OR($A186&gt;TOMATO_BED_CAP,$B186&gt;CARROT_BED_CAP,G$4&gt;MESCLUN_BED_CAP,$A186+$B186+G$4&gt;TOTAL_BEDS_AVAILABLE,($D186+G$5)&gt;TOTAL_LABOR_HOURS_CAP,MAX(0,($D186+G$5)-PERMANENT_FIELD_LABOR_HOURS)&gt;TEMP_HOURS_CAP),"",$C186+G$6-MIN(($D186+G$5),PERMANENT_FIELD_LABOR_HOURS)*PERMANENT_HOURLY_RATE-MAX(0,($D186+G$5)-PERMANENT_FIELD_LABOR_HOURS)*TEMP_HOURLY_RATE-FIXED_SEASON_COST)</f>
        <v>14972.6761119958</v>
      </c>
      <c r="H186" s="53" t="n">
        <f aca="false">IF(OR($A186&gt;TOMATO_BED_CAP,$B186&gt;CARROT_BED_CAP,H$4&gt;MESCLUN_BED_CAP,$A186+$B186+H$4&gt;TOTAL_BEDS_AVAILABLE,($D186+H$5)&gt;TOTAL_LABOR_HOURS_CAP,MAX(0,($D186+H$5)-PERMANENT_FIELD_LABOR_HOURS)&gt;TEMP_HOURS_CAP),"",$C186+H$6-MIN(($D186+H$5),PERMANENT_FIELD_LABOR_HOURS)*PERMANENT_HOURLY_RATE-MAX(0,($D186+H$5)-PERMANENT_FIELD_LABOR_HOURS)*TEMP_HOURLY_RATE-FIXED_SEASON_COST)</f>
        <v>15981.9369869958</v>
      </c>
      <c r="I186" s="53" t="n">
        <f aca="false">IF(OR($A186&gt;TOMATO_BED_CAP,$B186&gt;CARROT_BED_CAP,I$4&gt;MESCLUN_BED_CAP,$A186+$B186+I$4&gt;TOTAL_BEDS_AVAILABLE,($D186+I$5)&gt;TOTAL_LABOR_HOURS_CAP,MAX(0,($D186+I$5)-PERMANENT_FIELD_LABOR_HOURS)&gt;TEMP_HOURS_CAP),"",$C186+I$6-MIN(($D186+I$5),PERMANENT_FIELD_LABOR_HOURS)*PERMANENT_HOURLY_RATE-MAX(0,($D186+I$5)-PERMANENT_FIELD_LABOR_HOURS)*TEMP_HOURLY_RATE-FIXED_SEASON_COST)</f>
        <v>16971.0529721521</v>
      </c>
      <c r="J186" s="53" t="n">
        <f aca="false">IF(OR($A186&gt;TOMATO_BED_CAP,$B186&gt;CARROT_BED_CAP,J$4&gt;MESCLUN_BED_CAP,$A186+$B186+J$4&gt;TOTAL_BEDS_AVAILABLE,($D186+J$5)&gt;TOTAL_LABOR_HOURS_CAP,MAX(0,($D186+J$5)-PERMANENT_FIELD_LABOR_HOURS)&gt;TEMP_HOURS_CAP),"",$C186+J$6-MIN(($D186+J$5),PERMANENT_FIELD_LABOR_HOURS)*PERMANENT_HOURLY_RATE-MAX(0,($D186+J$5)-PERMANENT_FIELD_LABOR_HOURS)*TEMP_HOURLY_RATE-FIXED_SEASON_COST)</f>
        <v>17939.6471232068</v>
      </c>
      <c r="K186" s="53" t="n">
        <f aca="false">IF(OR($A186&gt;TOMATO_BED_CAP,$B186&gt;CARROT_BED_CAP,K$4&gt;MESCLUN_BED_CAP,$A186+$B186+K$4&gt;TOTAL_BEDS_AVAILABLE,($D186+K$5)&gt;TOTAL_LABOR_HOURS_CAP,MAX(0,($D186+K$5)-PERMANENT_FIELD_LABOR_HOURS)&gt;TEMP_HOURS_CAP),"",$C186+K$6-MIN(($D186+K$5),PERMANENT_FIELD_LABOR_HOURS)*PERMANENT_HOURLY_RATE-MAX(0,($D186+K$5)-PERMANENT_FIELD_LABOR_HOURS)*TEMP_HOURLY_RATE-FIXED_SEASON_COST)</f>
        <v>18887.3362199347</v>
      </c>
      <c r="L186" s="53" t="n">
        <f aca="false">IF(OR($A186&gt;TOMATO_BED_CAP,$B186&gt;CARROT_BED_CAP,L$4&gt;MESCLUN_BED_CAP,$A186+$B186+L$4&gt;TOTAL_BEDS_AVAILABLE,($D186+L$5)&gt;TOTAL_LABOR_HOURS_CAP,MAX(0,($D186+L$5)-PERMANENT_FIELD_LABOR_HOURS)&gt;TEMP_HOURS_CAP),"",$C186+L$6-MIN(($D186+L$5),PERMANENT_FIELD_LABOR_HOURS)*PERMANENT_HOURLY_RATE-MAX(0,($D186+L$5)-PERMANENT_FIELD_LABOR_HOURS)*TEMP_HOURLY_RATE-FIXED_SEASON_COST)</f>
        <v>19813.7306681415</v>
      </c>
      <c r="M186" s="53" t="n">
        <f aca="false">IF(OR($A186&gt;TOMATO_BED_CAP,$B186&gt;CARROT_BED_CAP,M$4&gt;MESCLUN_BED_CAP,$A186+$B186+M$4&gt;TOTAL_BEDS_AVAILABLE,($D186+M$5)&gt;TOTAL_LABOR_HOURS_CAP,MAX(0,($D186+M$5)-PERMANENT_FIELD_LABOR_HOURS)&gt;TEMP_HOURS_CAP),"",$C186+M$6-MIN(($D186+M$5),PERMANENT_FIELD_LABOR_HOURS)*PERMANENT_HOURLY_RATE-MAX(0,($D186+M$5)-PERMANENT_FIELD_LABOR_HOURS)*TEMP_HOURLY_RATE-FIXED_SEASON_COST)</f>
        <v>20718.4344001929</v>
      </c>
      <c r="N186" s="53" t="n">
        <f aca="false">IF(OR($A186&gt;TOMATO_BED_CAP,$B186&gt;CARROT_BED_CAP,N$4&gt;MESCLUN_BED_CAP,$A186+$B186+N$4&gt;TOTAL_BEDS_AVAILABLE,($D186+N$5)&gt;TOTAL_LABOR_HOURS_CAP,MAX(0,($D186+N$5)-PERMANENT_FIELD_LABOR_HOURS)&gt;TEMP_HOURS_CAP),"",$C186+N$6-MIN(($D186+N$5),PERMANENT_FIELD_LABOR_HOURS)*PERMANENT_HOURLY_RATE-MAX(0,($D186+N$5)-PERMANENT_FIELD_LABOR_HOURS)*TEMP_HOURLY_RATE-FIXED_SEASON_COST)</f>
        <v>21601.0447740525</v>
      </c>
      <c r="O186" s="53" t="n">
        <f aca="false">IF(OR($A186&gt;TOMATO_BED_CAP,$B186&gt;CARROT_BED_CAP,O$4&gt;MESCLUN_BED_CAP,$A186+$B186+O$4&gt;TOTAL_BEDS_AVAILABLE,($D186+O$5)&gt;TOTAL_LABOR_HOURS_CAP,MAX(0,($D186+O$5)-PERMANENT_FIELD_LABOR_HOURS)&gt;TEMP_HOURS_CAP),"",$C186+O$6-MIN(($D186+O$5),PERMANENT_FIELD_LABOR_HOURS)*PERMANENT_HOURLY_RATE-MAX(0,($D186+O$5)-PERMANENT_FIELD_LABOR_HOURS)*TEMP_HOURLY_RATE-FIXED_SEASON_COST)</f>
        <v>22461.1524708072</v>
      </c>
      <c r="P186" s="53" t="n">
        <f aca="false">IF(OR($A186&gt;TOMATO_BED_CAP,$B186&gt;CARROT_BED_CAP,P$4&gt;MESCLUN_BED_CAP,$A186+$B186+P$4&gt;TOTAL_BEDS_AVAILABLE,($D186+P$5)&gt;TOTAL_LABOR_HOURS_CAP,MAX(0,($D186+P$5)-PERMANENT_FIELD_LABOR_HOURS)&gt;TEMP_HOURS_CAP),"",$C186+P$6-MIN(($D186+P$5),PERMANENT_FIELD_LABOR_HOURS)*PERMANENT_HOURLY_RATE-MAX(0,($D186+P$5)-PERMANENT_FIELD_LABOR_HOURS)*TEMP_HOURLY_RATE-FIXED_SEASON_COST)</f>
        <v>23298.3413906587</v>
      </c>
      <c r="Q186" s="53" t="n">
        <f aca="false">IF(OR($A186&gt;TOMATO_BED_CAP,$B186&gt;CARROT_BED_CAP,Q$4&gt;MESCLUN_BED_CAP,$A186+$B186+Q$4&gt;TOTAL_BEDS_AVAILABLE,($D186+Q$5)&gt;TOTAL_LABOR_HOURS_CAP,MAX(0,($D186+Q$5)-PERMANENT_FIELD_LABOR_HOURS)&gt;TEMP_HOURS_CAP),"",$C186+Q$6-MIN(($D186+Q$5),PERMANENT_FIELD_LABOR_HOURS)*PERMANENT_HOURLY_RATE-MAX(0,($D186+Q$5)-PERMANENT_FIELD_LABOR_HOURS)*TEMP_HOURLY_RATE-FIXED_SEASON_COST)</f>
        <v>24112.1885473566</v>
      </c>
      <c r="R186" s="53" t="n">
        <f aca="false">IF(OR($A186&gt;TOMATO_BED_CAP,$B186&gt;CARROT_BED_CAP,R$4&gt;MESCLUN_BED_CAP,$A186+$B186+R$4&gt;TOTAL_BEDS_AVAILABLE,($D186+R$5)&gt;TOTAL_LABOR_HOURS_CAP,MAX(0,($D186+R$5)-PERMANENT_FIELD_LABOR_HOURS)&gt;TEMP_HOURS_CAP),"",$C186+R$6-MIN(($D186+R$5),PERMANENT_FIELD_LABOR_HOURS)*PERMANENT_HOURLY_RATE-MAX(0,($D186+R$5)-PERMANENT_FIELD_LABOR_HOURS)*TEMP_HOURLY_RATE-FIXED_SEASON_COST)</f>
        <v>24902.2639610534</v>
      </c>
      <c r="S186" s="53" t="n">
        <f aca="false">IF(OR($A186&gt;TOMATO_BED_CAP,$B186&gt;CARROT_BED_CAP,S$4&gt;MESCLUN_BED_CAP,$A186+$B186+S$4&gt;TOTAL_BEDS_AVAILABLE,($D186+S$5)&gt;TOTAL_LABOR_HOURS_CAP,MAX(0,($D186+S$5)-PERMANENT_FIELD_LABOR_HOURS)&gt;TEMP_HOURS_CAP),"",$C186+S$6-MIN(($D186+S$5),PERMANENT_FIELD_LABOR_HOURS)*PERMANENT_HOURLY_RATE-MAX(0,($D186+S$5)-PERMANENT_FIELD_LABOR_HOURS)*TEMP_HOURLY_RATE-FIXED_SEASON_COST)</f>
        <v>25668.1305495558</v>
      </c>
      <c r="T186" s="53" t="n">
        <f aca="false">IF(OR($A186&gt;TOMATO_BED_CAP,$B186&gt;CARROT_BED_CAP,T$4&gt;MESCLUN_BED_CAP,$A186+$B186+T$4&gt;TOTAL_BEDS_AVAILABLE,($D186+T$5)&gt;TOTAL_LABOR_HOURS_CAP,MAX(0,($D186+T$5)-PERMANENT_FIELD_LABOR_HOURS)&gt;TEMP_HOURS_CAP),"",$C186+T$6-MIN(($D186+T$5),PERMANENT_FIELD_LABOR_HOURS)*PERMANENT_HOURLY_RATE-MAX(0,($D186+T$5)-PERMANENT_FIELD_LABOR_HOURS)*TEMP_HOURLY_RATE-FIXED_SEASON_COST)</f>
        <v>26409.3440179507</v>
      </c>
      <c r="U186" s="53" t="n">
        <f aca="false">IF(OR($A186&gt;TOMATO_BED_CAP,$B186&gt;CARROT_BED_CAP,U$4&gt;MESCLUN_BED_CAP,$A186+$B186+U$4&gt;TOTAL_BEDS_AVAILABLE,($D186+U$5)&gt;TOTAL_LABOR_HOURS_CAP,MAX(0,($D186+U$5)-PERMANENT_FIELD_LABOR_HOURS)&gt;TEMP_HOURS_CAP),"",$C186+U$6-MIN(($D186+U$5),PERMANENT_FIELD_LABOR_HOURS)*PERMANENT_HOURLY_RATE-MAX(0,($D186+U$5)-PERMANENT_FIELD_LABOR_HOURS)*TEMP_HOURLY_RATE-FIXED_SEASON_COST)</f>
        <v>27125.4527465808</v>
      </c>
      <c r="V186" s="53" t="n">
        <f aca="false">IF(OR($A186&gt;TOMATO_BED_CAP,$B186&gt;CARROT_BED_CAP,V$4&gt;MESCLUN_BED_CAP,$A186+$B186+V$4&gt;TOTAL_BEDS_AVAILABLE,($D186+V$5)&gt;TOTAL_LABOR_HOURS_CAP,MAX(0,($D186+V$5)-PERMANENT_FIELD_LABOR_HOURS)&gt;TEMP_HOURS_CAP),"",$C186+V$6-MIN(($D186+V$5),PERMANENT_FIELD_LABOR_HOURS)*PERMANENT_HOURLY_RATE-MAX(0,($D186+V$5)-PERMANENT_FIELD_LABOR_HOURS)*TEMP_HOURLY_RATE-FIXED_SEASON_COST)</f>
        <v>27815.9976773475</v>
      </c>
      <c r="W186" s="53" t="n">
        <f aca="false">IF(OR($A186&gt;TOMATO_BED_CAP,$B186&gt;CARROT_BED_CAP,W$4&gt;MESCLUN_BED_CAP,$A186+$B186+W$4&gt;TOTAL_BEDS_AVAILABLE,($D186+W$5)&gt;TOTAL_LABOR_HOURS_CAP,MAX(0,($D186+W$5)-PERMANENT_FIELD_LABOR_HOURS)&gt;TEMP_HOURS_CAP),"",$C186+W$6-MIN(($D186+W$5),PERMANENT_FIELD_LABOR_HOURS)*PERMANENT_HOURLY_RATE-MAX(0,($D186+W$5)-PERMANENT_FIELD_LABOR_HOURS)*TEMP_HOURLY_RATE-FIXED_SEASON_COST)</f>
        <v>28480.5121983156</v>
      </c>
      <c r="X186" s="53" t="n">
        <f aca="false">IF(OR($A186&gt;TOMATO_BED_CAP,$B186&gt;CARROT_BED_CAP,X$4&gt;MESCLUN_BED_CAP,$A186+$B186+X$4&gt;TOTAL_BEDS_AVAILABLE,($D186+X$5)&gt;TOTAL_LABOR_HOURS_CAP,MAX(0,($D186+X$5)-PERMANENT_FIELD_LABOR_HOURS)&gt;TEMP_HOURS_CAP),"",$C186+X$6-MIN(($D186+X$5),PERMANENT_FIELD_LABOR_HOURS)*PERMANENT_HOURLY_RATE-MAX(0,($D186+X$5)-PERMANENT_FIELD_LABOR_HOURS)*TEMP_HOURLY_RATE-FIXED_SEASON_COST)</f>
        <v>29118.5220265945</v>
      </c>
      <c r="Y186" s="53" t="n">
        <f aca="false">IF(OR($A186&gt;TOMATO_BED_CAP,$B186&gt;CARROT_BED_CAP,Y$4&gt;MESCLUN_BED_CAP,$A186+$B186+Y$4&gt;TOTAL_BEDS_AVAILABLE,($D186+Y$5)&gt;TOTAL_LABOR_HOURS_CAP,MAX(0,($D186+Y$5)-PERMANENT_FIELD_LABOR_HOURS)&gt;TEMP_HOURS_CAP),"",$C186+Y$6-MIN(($D186+Y$5),PERMANENT_FIELD_LABOR_HOURS)*PERMANENT_HOURLY_RATE-MAX(0,($D186+Y$5)-PERMANENT_FIELD_LABOR_HOURS)*TEMP_HOURLY_RATE-FIXED_SEASON_COST)</f>
        <v>29729.5450894732</v>
      </c>
      <c r="Z186" s="53" t="n">
        <f aca="false">IF(OR($A186&gt;TOMATO_BED_CAP,$B186&gt;CARROT_BED_CAP,Z$4&gt;MESCLUN_BED_CAP,$A186+$B186+Z$4&gt;TOTAL_BEDS_AVAILABLE,($D186+Z$5)&gt;TOTAL_LABOR_HOURS_CAP,MAX(0,($D186+Z$5)-PERMANENT_FIELD_LABOR_HOURS)&gt;TEMP_HOURS_CAP),"",$C186+Z$6-MIN(($D186+Z$5),PERMANENT_FIELD_LABOR_HOURS)*PERMANENT_HOURLY_RATE-MAX(0,($D186+Z$5)-PERMANENT_FIELD_LABOR_HOURS)*TEMP_HOURLY_RATE-FIXED_SEASON_COST)</f>
        <v>30313.0914037809</v>
      </c>
      <c r="AA186" s="53" t="n">
        <f aca="false">IF(OR($A186&gt;TOMATO_BED_CAP,$B186&gt;CARROT_BED_CAP,AA$4&gt;MESCLUN_BED_CAP,$A186+$B186+AA$4&gt;TOTAL_BEDS_AVAILABLE,($D186+AA$5)&gt;TOTAL_LABOR_HOURS_CAP,MAX(0,($D186+AA$5)-PERMANENT_FIELD_LABOR_HOURS)&gt;TEMP_HOURS_CAP),"",$C186+AA$6-MIN(($D186+AA$5),PERMANENT_FIELD_LABOR_HOURS)*PERMANENT_HOURLY_RATE-MAX(0,($D186+AA$5)-PERMANENT_FIELD_LABOR_HOURS)*TEMP_HOURLY_RATE-FIXED_SEASON_COST)</f>
        <v>30868.6629534498</v>
      </c>
      <c r="AB186" s="53" t="n">
        <f aca="false">IF(OR($A186&gt;TOMATO_BED_CAP,$B186&gt;CARROT_BED_CAP,AB$4&gt;MESCLUN_BED_CAP,$A186+$B186+AB$4&gt;TOTAL_BEDS_AVAILABLE,($D186+AB$5)&gt;TOTAL_LABOR_HOURS_CAP,MAX(0,($D186+AB$5)-PERMANENT_FIELD_LABOR_HOURS)&gt;TEMP_HOURS_CAP),"",$C186+AB$6-MIN(($D186+AB$5),PERMANENT_FIELD_LABOR_HOURS)*PERMANENT_HOURLY_RATE-MAX(0,($D186+AB$5)-PERMANENT_FIELD_LABOR_HOURS)*TEMP_HOURLY_RATE-FIXED_SEASON_COST)</f>
        <v>31395.7535652524</v>
      </c>
      <c r="AC186" s="53" t="n">
        <f aca="false">IF(OR($A186&gt;TOMATO_BED_CAP,$B186&gt;CARROT_BED_CAP,AC$4&gt;MESCLUN_BED_CAP,$A186+$B186+AC$4&gt;TOTAL_BEDS_AVAILABLE,($D186+AC$5)&gt;TOTAL_LABOR_HOURS_CAP,MAX(0,($D186+AC$5)-PERMANENT_FIELD_LABOR_HOURS)&gt;TEMP_HOURS_CAP),"",$C186+AC$6-MIN(($D186+AC$5),PERMANENT_FIELD_LABOR_HOURS)*PERMANENT_HOURLY_RATE-MAX(0,($D186+AC$5)-PERMANENT_FIELD_LABOR_HOURS)*TEMP_HOURLY_RATE-FIXED_SEASON_COST)</f>
        <v>31893.8487826873</v>
      </c>
      <c r="AD186" s="53" t="n">
        <f aca="false">IF(OR($A186&gt;TOMATO_BED_CAP,$B186&gt;CARROT_BED_CAP,AD$4&gt;MESCLUN_BED_CAP,$A186+$B186+AD$4&gt;TOTAL_BEDS_AVAILABLE,($D186+AD$5)&gt;TOTAL_LABOR_HOURS_CAP,MAX(0,($D186+AD$5)-PERMANENT_FIELD_LABOR_HOURS)&gt;TEMP_HOURS_CAP),"",$C186+AD$6-MIN(($D186+AD$5),PERMANENT_FIELD_LABOR_HOURS)*PERMANENT_HOURLY_RATE-MAX(0,($D186+AD$5)-PERMANENT_FIELD_LABOR_HOURS)*TEMP_HOURLY_RATE-FIXED_SEASON_COST)</f>
        <v>32362.4257379873</v>
      </c>
      <c r="AE186" s="53" t="n">
        <f aca="false">IF(OR($A186&gt;TOMATO_BED_CAP,$B186&gt;CARROT_BED_CAP,AE$4&gt;MESCLUN_BED_CAP,$A186+$B186+AE$4&gt;TOTAL_BEDS_AVAILABLE,($D186+AE$5)&gt;TOTAL_LABOR_HOURS_CAP,MAX(0,($D186+AE$5)-PERMANENT_FIELD_LABOR_HOURS)&gt;TEMP_HOURS_CAP),"",$C186+AE$6-MIN(($D186+AE$5),PERMANENT_FIELD_LABOR_HOURS)*PERMANENT_HOURLY_RATE-MAX(0,($D186+AE$5)-PERMANENT_FIELD_LABOR_HOURS)*TEMP_HOURLY_RATE-FIXED_SEASON_COST)</f>
        <v>32800.9530222212</v>
      </c>
      <c r="AF186" s="53" t="n">
        <f aca="false">IF(OR($A186&gt;TOMATO_BED_CAP,$B186&gt;CARROT_BED_CAP,AF$4&gt;MESCLUN_BED_CAP,$A186+$B186+AF$4&gt;TOTAL_BEDS_AVAILABLE,($D186+AF$5)&gt;TOTAL_LABOR_HOURS_CAP,MAX(0,($D186+AF$5)-PERMANENT_FIELD_LABOR_HOURS)&gt;TEMP_HOURS_CAP),"",$C186+AF$6-MIN(($D186+AF$5),PERMANENT_FIELD_LABOR_HOURS)*PERMANENT_HOURLY_RATE-MAX(0,($D186+AF$5)-PERMANENT_FIELD_LABOR_HOURS)*TEMP_HOURLY_RATE-FIXED_SEASON_COST)</f>
        <v>33208.8905534631</v>
      </c>
      <c r="AG186" s="53" t="n">
        <f aca="false">IF(OR($A186&gt;TOMATO_BED_CAP,$B186&gt;CARROT_BED_CAP,AG$4&gt;MESCLUN_BED_CAP,$A186+$B186+AG$4&gt;TOTAL_BEDS_AVAILABLE,($D186+AG$5)&gt;TOTAL_LABOR_HOURS_CAP,MAX(0,($D186+AG$5)-PERMANENT_FIELD_LABOR_HOURS)&gt;TEMP_HOURS_CAP),"",$C186+AG$6-MIN(($D186+AG$5),PERMANENT_FIELD_LABOR_HOURS)*PERMANENT_HOURLY_RATE-MAX(0,($D186+AG$5)-PERMANENT_FIELD_LABOR_HOURS)*TEMP_HOURLY_RATE-FIXED_SEASON_COST)</f>
        <v>33585.6894430001</v>
      </c>
      <c r="AH186" s="53" t="n">
        <f aca="false">IF(OR($A186&gt;TOMATO_BED_CAP,$B186&gt;CARROT_BED_CAP,AH$4&gt;MESCLUN_BED_CAP,$A186+$B186+AH$4&gt;TOTAL_BEDS_AVAILABLE,($D186+AH$5)&gt;TOTAL_LABOR_HOURS_CAP,MAX(0,($D186+AH$5)-PERMANENT_FIELD_LABOR_HOURS)&gt;TEMP_HOURS_CAP),"",$C186+AH$6-MIN(($D186+AH$5),PERMANENT_FIELD_LABOR_HOURS)*PERMANENT_HOURLY_RATE-MAX(0,($D186+AH$5)-PERMANENT_FIELD_LABOR_HOURS)*TEMP_HOURLY_RATE-FIXED_SEASON_COST)</f>
        <v>33930.7918595504</v>
      </c>
      <c r="AI186" s="53" t="n">
        <f aca="false">IF(OR($A186&gt;TOMATO_BED_CAP,$B186&gt;CARROT_BED_CAP,AI$4&gt;MESCLUN_BED_CAP,$A186+$B186+AI$4&gt;TOTAL_BEDS_AVAILABLE,($D186+AI$5)&gt;TOTAL_LABOR_HOURS_CAP,MAX(0,($D186+AI$5)-PERMANENT_FIELD_LABOR_HOURS)&gt;TEMP_HOURS_CAP),"",$C186+AI$6-MIN(($D186+AI$5),PERMANENT_FIELD_LABOR_HOURS)*PERMANENT_HOURLY_RATE-MAX(0,($D186+AI$5)-PERMANENT_FIELD_LABOR_HOURS)*TEMP_HOURLY_RATE-FIXED_SEASON_COST)</f>
        <v>34243.6308914626</v>
      </c>
      <c r="AJ186" s="53" t="n">
        <f aca="false">IF(OR($A186&gt;TOMATO_BED_CAP,$B186&gt;CARROT_BED_CAP,AJ$4&gt;MESCLUN_BED_CAP,$A186+$B186+AJ$4&gt;TOTAL_BEDS_AVAILABLE,($D186+AJ$5)&gt;TOTAL_LABOR_HOURS_CAP,MAX(0,($D186+AJ$5)-PERMANENT_FIELD_LABOR_HOURS)&gt;TEMP_HOURS_CAP),"",$C186+AJ$6-MIN(($D186+AJ$5),PERMANENT_FIELD_LABOR_HOURS)*PERMANENT_HOURLY_RATE-MAX(0,($D186+AJ$5)-PERMANENT_FIELD_LABOR_HOURS)*TEMP_HOURLY_RATE-FIXED_SEASON_COST)</f>
        <v>34523.6304068684</v>
      </c>
    </row>
    <row r="187" customFormat="false" ht="15" hidden="false" customHeight="false" outlineLevel="0" collapsed="false">
      <c r="A187" s="21" t="n">
        <f aca="false">INT((ROW()-ROW($A$8))/(20+1))</f>
        <v>8</v>
      </c>
      <c r="B187" s="21" t="n">
        <f aca="false">MOD(ROW()-ROW($A$8),20+1)</f>
        <v>11</v>
      </c>
      <c r="C187" s="13" t="n">
        <f aca="false">A187*(TOMATO_REVENUE_PER_BED-TOMATO_FERTILIZER_PER_BED)+B187*(CARROT_REVENUE_PER_BED-CARROT_FERTILIZER_PER_BED)</f>
        <v>81554</v>
      </c>
      <c r="D187" s="14" t="n">
        <f aca="false">INDEX(TOMATO_SCHED_LABOR_HRS,A187+1)+INDEX(CARROT_SCHED_LABOR_HRS,B187+1)</f>
        <v>1976.19934483559</v>
      </c>
      <c r="E187" s="13" t="n">
        <f aca="false">IF(COUNT(F187:AJ187)=0,"",MAX(F187:AJ187))</f>
        <v>35327.9686685267</v>
      </c>
      <c r="F187" s="53" t="n">
        <f aca="false">IF(OR($A187&gt;TOMATO_BED_CAP,$B187&gt;CARROT_BED_CAP,F$4&gt;MESCLUN_BED_CAP,$A187+$B187+F$4&gt;TOTAL_BEDS_AVAILABLE,($D187+F$5)&gt;TOTAL_LABOR_HOURS_CAP,MAX(0,($D187+F$5)-PERMANENT_FIELD_LABOR_HOURS)&gt;TEMP_HOURS_CAP),"",$C187+F$6-MIN(($D187+F$5),PERMANENT_FIELD_LABOR_HOURS)*PERMANENT_HOURLY_RATE-MAX(0,($D187+F$5)-PERMANENT_FIELD_LABOR_HOURS)*TEMP_HOURLY_RATE-FIXED_SEASON_COST)</f>
        <v>14747.9793736542</v>
      </c>
      <c r="G187" s="53" t="n">
        <f aca="false">IF(OR($A187&gt;TOMATO_BED_CAP,$B187&gt;CARROT_BED_CAP,G$4&gt;MESCLUN_BED_CAP,$A187+$B187+G$4&gt;TOTAL_BEDS_AVAILABLE,($D187+G$5)&gt;TOTAL_LABOR_HOURS_CAP,MAX(0,($D187+G$5)-PERMANENT_FIELD_LABOR_HOURS)&gt;TEMP_HOURS_CAP),"",$C187+G$6-MIN(($D187+G$5),PERMANENT_FIELD_LABOR_HOURS)*PERMANENT_HOURLY_RATE-MAX(0,($D187+G$5)-PERMANENT_FIELD_LABOR_HOURS)*TEMP_HOURLY_RATE-FIXED_SEASON_COST)</f>
        <v>15777.0143736542</v>
      </c>
      <c r="H187" s="53" t="n">
        <f aca="false">IF(OR($A187&gt;TOMATO_BED_CAP,$B187&gt;CARROT_BED_CAP,H$4&gt;MESCLUN_BED_CAP,$A187+$B187+H$4&gt;TOTAL_BEDS_AVAILABLE,($D187+H$5)&gt;TOTAL_LABOR_HOURS_CAP,MAX(0,($D187+H$5)-PERMANENT_FIELD_LABOR_HOURS)&gt;TEMP_HOURS_CAP),"",$C187+H$6-MIN(($D187+H$5),PERMANENT_FIELD_LABOR_HOURS)*PERMANENT_HOURLY_RATE-MAX(0,($D187+H$5)-PERMANENT_FIELD_LABOR_HOURS)*TEMP_HOURLY_RATE-FIXED_SEASON_COST)</f>
        <v>16786.2752486542</v>
      </c>
      <c r="I187" s="53" t="n">
        <f aca="false">IF(OR($A187&gt;TOMATO_BED_CAP,$B187&gt;CARROT_BED_CAP,I$4&gt;MESCLUN_BED_CAP,$A187+$B187+I$4&gt;TOTAL_BEDS_AVAILABLE,($D187+I$5)&gt;TOTAL_LABOR_HOURS_CAP,MAX(0,($D187+I$5)-PERMANENT_FIELD_LABOR_HOURS)&gt;TEMP_HOURS_CAP),"",$C187+I$6-MIN(($D187+I$5),PERMANENT_FIELD_LABOR_HOURS)*PERMANENT_HOURLY_RATE-MAX(0,($D187+I$5)-PERMANENT_FIELD_LABOR_HOURS)*TEMP_HOURLY_RATE-FIXED_SEASON_COST)</f>
        <v>17775.3912338104</v>
      </c>
      <c r="J187" s="53" t="n">
        <f aca="false">IF(OR($A187&gt;TOMATO_BED_CAP,$B187&gt;CARROT_BED_CAP,J$4&gt;MESCLUN_BED_CAP,$A187+$B187+J$4&gt;TOTAL_BEDS_AVAILABLE,($D187+J$5)&gt;TOTAL_LABOR_HOURS_CAP,MAX(0,($D187+J$5)-PERMANENT_FIELD_LABOR_HOURS)&gt;TEMP_HOURS_CAP),"",$C187+J$6-MIN(($D187+J$5),PERMANENT_FIELD_LABOR_HOURS)*PERMANENT_HOURLY_RATE-MAX(0,($D187+J$5)-PERMANENT_FIELD_LABOR_HOURS)*TEMP_HOURLY_RATE-FIXED_SEASON_COST)</f>
        <v>18743.9853848651</v>
      </c>
      <c r="K187" s="53" t="n">
        <f aca="false">IF(OR($A187&gt;TOMATO_BED_CAP,$B187&gt;CARROT_BED_CAP,K$4&gt;MESCLUN_BED_CAP,$A187+$B187+K$4&gt;TOTAL_BEDS_AVAILABLE,($D187+K$5)&gt;TOTAL_LABOR_HOURS_CAP,MAX(0,($D187+K$5)-PERMANENT_FIELD_LABOR_HOURS)&gt;TEMP_HOURS_CAP),"",$C187+K$6-MIN(($D187+K$5),PERMANENT_FIELD_LABOR_HOURS)*PERMANENT_HOURLY_RATE-MAX(0,($D187+K$5)-PERMANENT_FIELD_LABOR_HOURS)*TEMP_HOURLY_RATE-FIXED_SEASON_COST)</f>
        <v>19691.674481593</v>
      </c>
      <c r="L187" s="53" t="n">
        <f aca="false">IF(OR($A187&gt;TOMATO_BED_CAP,$B187&gt;CARROT_BED_CAP,L$4&gt;MESCLUN_BED_CAP,$A187+$B187+L$4&gt;TOTAL_BEDS_AVAILABLE,($D187+L$5)&gt;TOTAL_LABOR_HOURS_CAP,MAX(0,($D187+L$5)-PERMANENT_FIELD_LABOR_HOURS)&gt;TEMP_HOURS_CAP),"",$C187+L$6-MIN(($D187+L$5),PERMANENT_FIELD_LABOR_HOURS)*PERMANENT_HOURLY_RATE-MAX(0,($D187+L$5)-PERMANENT_FIELD_LABOR_HOURS)*TEMP_HOURLY_RATE-FIXED_SEASON_COST)</f>
        <v>20618.0689297999</v>
      </c>
      <c r="M187" s="53" t="n">
        <f aca="false">IF(OR($A187&gt;TOMATO_BED_CAP,$B187&gt;CARROT_BED_CAP,M$4&gt;MESCLUN_BED_CAP,$A187+$B187+M$4&gt;TOTAL_BEDS_AVAILABLE,($D187+M$5)&gt;TOTAL_LABOR_HOURS_CAP,MAX(0,($D187+M$5)-PERMANENT_FIELD_LABOR_HOURS)&gt;TEMP_HOURS_CAP),"",$C187+M$6-MIN(($D187+M$5),PERMANENT_FIELD_LABOR_HOURS)*PERMANENT_HOURLY_RATE-MAX(0,($D187+M$5)-PERMANENT_FIELD_LABOR_HOURS)*TEMP_HOURLY_RATE-FIXED_SEASON_COST)</f>
        <v>21522.7726618513</v>
      </c>
      <c r="N187" s="53" t="n">
        <f aca="false">IF(OR($A187&gt;TOMATO_BED_CAP,$B187&gt;CARROT_BED_CAP,N$4&gt;MESCLUN_BED_CAP,$A187+$B187+N$4&gt;TOTAL_BEDS_AVAILABLE,($D187+N$5)&gt;TOTAL_LABOR_HOURS_CAP,MAX(0,($D187+N$5)-PERMANENT_FIELD_LABOR_HOURS)&gt;TEMP_HOURS_CAP),"",$C187+N$6-MIN(($D187+N$5),PERMANENT_FIELD_LABOR_HOURS)*PERMANENT_HOURLY_RATE-MAX(0,($D187+N$5)-PERMANENT_FIELD_LABOR_HOURS)*TEMP_HOURLY_RATE-FIXED_SEASON_COST)</f>
        <v>22405.3830357108</v>
      </c>
      <c r="O187" s="53" t="n">
        <f aca="false">IF(OR($A187&gt;TOMATO_BED_CAP,$B187&gt;CARROT_BED_CAP,O$4&gt;MESCLUN_BED_CAP,$A187+$B187+O$4&gt;TOTAL_BEDS_AVAILABLE,($D187+O$5)&gt;TOTAL_LABOR_HOURS_CAP,MAX(0,($D187+O$5)-PERMANENT_FIELD_LABOR_HOURS)&gt;TEMP_HOURS_CAP),"",$C187+O$6-MIN(($D187+O$5),PERMANENT_FIELD_LABOR_HOURS)*PERMANENT_HOURLY_RATE-MAX(0,($D187+O$5)-PERMANENT_FIELD_LABOR_HOURS)*TEMP_HOURLY_RATE-FIXED_SEASON_COST)</f>
        <v>23265.4907324656</v>
      </c>
      <c r="P187" s="53" t="n">
        <f aca="false">IF(OR($A187&gt;TOMATO_BED_CAP,$B187&gt;CARROT_BED_CAP,P$4&gt;MESCLUN_BED_CAP,$A187+$B187+P$4&gt;TOTAL_BEDS_AVAILABLE,($D187+P$5)&gt;TOTAL_LABOR_HOURS_CAP,MAX(0,($D187+P$5)-PERMANENT_FIELD_LABOR_HOURS)&gt;TEMP_HOURS_CAP),"",$C187+P$6-MIN(($D187+P$5),PERMANENT_FIELD_LABOR_HOURS)*PERMANENT_HOURLY_RATE-MAX(0,($D187+P$5)-PERMANENT_FIELD_LABOR_HOURS)*TEMP_HOURLY_RATE-FIXED_SEASON_COST)</f>
        <v>24102.679652317</v>
      </c>
      <c r="Q187" s="53" t="n">
        <f aca="false">IF(OR($A187&gt;TOMATO_BED_CAP,$B187&gt;CARROT_BED_CAP,Q$4&gt;MESCLUN_BED_CAP,$A187+$B187+Q$4&gt;TOTAL_BEDS_AVAILABLE,($D187+Q$5)&gt;TOTAL_LABOR_HOURS_CAP,MAX(0,($D187+Q$5)-PERMANENT_FIELD_LABOR_HOURS)&gt;TEMP_HOURS_CAP),"",$C187+Q$6-MIN(($D187+Q$5),PERMANENT_FIELD_LABOR_HOURS)*PERMANENT_HOURLY_RATE-MAX(0,($D187+Q$5)-PERMANENT_FIELD_LABOR_HOURS)*TEMP_HOURLY_RATE-FIXED_SEASON_COST)</f>
        <v>24916.5268090149</v>
      </c>
      <c r="R187" s="53" t="n">
        <f aca="false">IF(OR($A187&gt;TOMATO_BED_CAP,$B187&gt;CARROT_BED_CAP,R$4&gt;MESCLUN_BED_CAP,$A187+$B187+R$4&gt;TOTAL_BEDS_AVAILABLE,($D187+R$5)&gt;TOTAL_LABOR_HOURS_CAP,MAX(0,($D187+R$5)-PERMANENT_FIELD_LABOR_HOURS)&gt;TEMP_HOURS_CAP),"",$C187+R$6-MIN(($D187+R$5),PERMANENT_FIELD_LABOR_HOURS)*PERMANENT_HOURLY_RATE-MAX(0,($D187+R$5)-PERMANENT_FIELD_LABOR_HOURS)*TEMP_HOURLY_RATE-FIXED_SEASON_COST)</f>
        <v>25706.6022227117</v>
      </c>
      <c r="S187" s="53" t="n">
        <f aca="false">IF(OR($A187&gt;TOMATO_BED_CAP,$B187&gt;CARROT_BED_CAP,S$4&gt;MESCLUN_BED_CAP,$A187+$B187+S$4&gt;TOTAL_BEDS_AVAILABLE,($D187+S$5)&gt;TOTAL_LABOR_HOURS_CAP,MAX(0,($D187+S$5)-PERMANENT_FIELD_LABOR_HOURS)&gt;TEMP_HOURS_CAP),"",$C187+S$6-MIN(($D187+S$5),PERMANENT_FIELD_LABOR_HOURS)*PERMANENT_HOURLY_RATE-MAX(0,($D187+S$5)-PERMANENT_FIELD_LABOR_HOURS)*TEMP_HOURLY_RATE-FIXED_SEASON_COST)</f>
        <v>26472.4688112142</v>
      </c>
      <c r="T187" s="53" t="n">
        <f aca="false">IF(OR($A187&gt;TOMATO_BED_CAP,$B187&gt;CARROT_BED_CAP,T$4&gt;MESCLUN_BED_CAP,$A187+$B187+T$4&gt;TOTAL_BEDS_AVAILABLE,($D187+T$5)&gt;TOTAL_LABOR_HOURS_CAP,MAX(0,($D187+T$5)-PERMANENT_FIELD_LABOR_HOURS)&gt;TEMP_HOURS_CAP),"",$C187+T$6-MIN(($D187+T$5),PERMANENT_FIELD_LABOR_HOURS)*PERMANENT_HOURLY_RATE-MAX(0,($D187+T$5)-PERMANENT_FIELD_LABOR_HOURS)*TEMP_HOURLY_RATE-FIXED_SEASON_COST)</f>
        <v>27213.682279609</v>
      </c>
      <c r="U187" s="53" t="n">
        <f aca="false">IF(OR($A187&gt;TOMATO_BED_CAP,$B187&gt;CARROT_BED_CAP,U$4&gt;MESCLUN_BED_CAP,$A187+$B187+U$4&gt;TOTAL_BEDS_AVAILABLE,($D187+U$5)&gt;TOTAL_LABOR_HOURS_CAP,MAX(0,($D187+U$5)-PERMANENT_FIELD_LABOR_HOURS)&gt;TEMP_HOURS_CAP),"",$C187+U$6-MIN(($D187+U$5),PERMANENT_FIELD_LABOR_HOURS)*PERMANENT_HOURLY_RATE-MAX(0,($D187+U$5)-PERMANENT_FIELD_LABOR_HOURS)*TEMP_HOURLY_RATE-FIXED_SEASON_COST)</f>
        <v>27929.7910082391</v>
      </c>
      <c r="V187" s="53" t="n">
        <f aca="false">IF(OR($A187&gt;TOMATO_BED_CAP,$B187&gt;CARROT_BED_CAP,V$4&gt;MESCLUN_BED_CAP,$A187+$B187+V$4&gt;TOTAL_BEDS_AVAILABLE,($D187+V$5)&gt;TOTAL_LABOR_HOURS_CAP,MAX(0,($D187+V$5)-PERMANENT_FIELD_LABOR_HOURS)&gt;TEMP_HOURS_CAP),"",$C187+V$6-MIN(($D187+V$5),PERMANENT_FIELD_LABOR_HOURS)*PERMANENT_HOURLY_RATE-MAX(0,($D187+V$5)-PERMANENT_FIELD_LABOR_HOURS)*TEMP_HOURLY_RATE-FIXED_SEASON_COST)</f>
        <v>28620.3359390059</v>
      </c>
      <c r="W187" s="53" t="n">
        <f aca="false">IF(OR($A187&gt;TOMATO_BED_CAP,$B187&gt;CARROT_BED_CAP,W$4&gt;MESCLUN_BED_CAP,$A187+$B187+W$4&gt;TOTAL_BEDS_AVAILABLE,($D187+W$5)&gt;TOTAL_LABOR_HOURS_CAP,MAX(0,($D187+W$5)-PERMANENT_FIELD_LABOR_HOURS)&gt;TEMP_HOURS_CAP),"",$C187+W$6-MIN(($D187+W$5),PERMANENT_FIELD_LABOR_HOURS)*PERMANENT_HOURLY_RATE-MAX(0,($D187+W$5)-PERMANENT_FIELD_LABOR_HOURS)*TEMP_HOURLY_RATE-FIXED_SEASON_COST)</f>
        <v>29284.850459974</v>
      </c>
      <c r="X187" s="53" t="n">
        <f aca="false">IF(OR($A187&gt;TOMATO_BED_CAP,$B187&gt;CARROT_BED_CAP,X$4&gt;MESCLUN_BED_CAP,$A187+$B187+X$4&gt;TOTAL_BEDS_AVAILABLE,($D187+X$5)&gt;TOTAL_LABOR_HOURS_CAP,MAX(0,($D187+X$5)-PERMANENT_FIELD_LABOR_HOURS)&gt;TEMP_HOURS_CAP),"",$C187+X$6-MIN(($D187+X$5),PERMANENT_FIELD_LABOR_HOURS)*PERMANENT_HOURLY_RATE-MAX(0,($D187+X$5)-PERMANENT_FIELD_LABOR_HOURS)*TEMP_HOURLY_RATE-FIXED_SEASON_COST)</f>
        <v>29922.8602882529</v>
      </c>
      <c r="Y187" s="53" t="n">
        <f aca="false">IF(OR($A187&gt;TOMATO_BED_CAP,$B187&gt;CARROT_BED_CAP,Y$4&gt;MESCLUN_BED_CAP,$A187+$B187+Y$4&gt;TOTAL_BEDS_AVAILABLE,($D187+Y$5)&gt;TOTAL_LABOR_HOURS_CAP,MAX(0,($D187+Y$5)-PERMANENT_FIELD_LABOR_HOURS)&gt;TEMP_HOURS_CAP),"",$C187+Y$6-MIN(($D187+Y$5),PERMANENT_FIELD_LABOR_HOURS)*PERMANENT_HOURLY_RATE-MAX(0,($D187+Y$5)-PERMANENT_FIELD_LABOR_HOURS)*TEMP_HOURLY_RATE-FIXED_SEASON_COST)</f>
        <v>30533.8833511315</v>
      </c>
      <c r="Z187" s="53" t="n">
        <f aca="false">IF(OR($A187&gt;TOMATO_BED_CAP,$B187&gt;CARROT_BED_CAP,Z$4&gt;MESCLUN_BED_CAP,$A187+$B187+Z$4&gt;TOTAL_BEDS_AVAILABLE,($D187+Z$5)&gt;TOTAL_LABOR_HOURS_CAP,MAX(0,($D187+Z$5)-PERMANENT_FIELD_LABOR_HOURS)&gt;TEMP_HOURS_CAP),"",$C187+Z$6-MIN(($D187+Z$5),PERMANENT_FIELD_LABOR_HOURS)*PERMANENT_HOURLY_RATE-MAX(0,($D187+Z$5)-PERMANENT_FIELD_LABOR_HOURS)*TEMP_HOURLY_RATE-FIXED_SEASON_COST)</f>
        <v>31117.4296654393</v>
      </c>
      <c r="AA187" s="53" t="n">
        <f aca="false">IF(OR($A187&gt;TOMATO_BED_CAP,$B187&gt;CARROT_BED_CAP,AA$4&gt;MESCLUN_BED_CAP,$A187+$B187+AA$4&gt;TOTAL_BEDS_AVAILABLE,($D187+AA$5)&gt;TOTAL_LABOR_HOURS_CAP,MAX(0,($D187+AA$5)-PERMANENT_FIELD_LABOR_HOURS)&gt;TEMP_HOURS_CAP),"",$C187+AA$6-MIN(($D187+AA$5),PERMANENT_FIELD_LABOR_HOURS)*PERMANENT_HOURLY_RATE-MAX(0,($D187+AA$5)-PERMANENT_FIELD_LABOR_HOURS)*TEMP_HOURLY_RATE-FIXED_SEASON_COST)</f>
        <v>31673.0012151082</v>
      </c>
      <c r="AB187" s="53" t="n">
        <f aca="false">IF(OR($A187&gt;TOMATO_BED_CAP,$B187&gt;CARROT_BED_CAP,AB$4&gt;MESCLUN_BED_CAP,$A187+$B187+AB$4&gt;TOTAL_BEDS_AVAILABLE,($D187+AB$5)&gt;TOTAL_LABOR_HOURS_CAP,MAX(0,($D187+AB$5)-PERMANENT_FIELD_LABOR_HOURS)&gt;TEMP_HOURS_CAP),"",$C187+AB$6-MIN(($D187+AB$5),PERMANENT_FIELD_LABOR_HOURS)*PERMANENT_HOURLY_RATE-MAX(0,($D187+AB$5)-PERMANENT_FIELD_LABOR_HOURS)*TEMP_HOURLY_RATE-FIXED_SEASON_COST)</f>
        <v>32200.0918269108</v>
      </c>
      <c r="AC187" s="53" t="n">
        <f aca="false">IF(OR($A187&gt;TOMATO_BED_CAP,$B187&gt;CARROT_BED_CAP,AC$4&gt;MESCLUN_BED_CAP,$A187+$B187+AC$4&gt;TOTAL_BEDS_AVAILABLE,($D187+AC$5)&gt;TOTAL_LABOR_HOURS_CAP,MAX(0,($D187+AC$5)-PERMANENT_FIELD_LABOR_HOURS)&gt;TEMP_HOURS_CAP),"",$C187+AC$6-MIN(($D187+AC$5),PERMANENT_FIELD_LABOR_HOURS)*PERMANENT_HOURLY_RATE-MAX(0,($D187+AC$5)-PERMANENT_FIELD_LABOR_HOURS)*TEMP_HOURLY_RATE-FIXED_SEASON_COST)</f>
        <v>32698.1870443457</v>
      </c>
      <c r="AD187" s="53" t="n">
        <f aca="false">IF(OR($A187&gt;TOMATO_BED_CAP,$B187&gt;CARROT_BED_CAP,AD$4&gt;MESCLUN_BED_CAP,$A187+$B187+AD$4&gt;TOTAL_BEDS_AVAILABLE,($D187+AD$5)&gt;TOTAL_LABOR_HOURS_CAP,MAX(0,($D187+AD$5)-PERMANENT_FIELD_LABOR_HOURS)&gt;TEMP_HOURS_CAP),"",$C187+AD$6-MIN(($D187+AD$5),PERMANENT_FIELD_LABOR_HOURS)*PERMANENT_HOURLY_RATE-MAX(0,($D187+AD$5)-PERMANENT_FIELD_LABOR_HOURS)*TEMP_HOURLY_RATE-FIXED_SEASON_COST)</f>
        <v>33166.7639996456</v>
      </c>
      <c r="AE187" s="53" t="n">
        <f aca="false">IF(OR($A187&gt;TOMATO_BED_CAP,$B187&gt;CARROT_BED_CAP,AE$4&gt;MESCLUN_BED_CAP,$A187+$B187+AE$4&gt;TOTAL_BEDS_AVAILABLE,($D187+AE$5)&gt;TOTAL_LABOR_HOURS_CAP,MAX(0,($D187+AE$5)-PERMANENT_FIELD_LABOR_HOURS)&gt;TEMP_HOURS_CAP),"",$C187+AE$6-MIN(($D187+AE$5),PERMANENT_FIELD_LABOR_HOURS)*PERMANENT_HOURLY_RATE-MAX(0,($D187+AE$5)-PERMANENT_FIELD_LABOR_HOURS)*TEMP_HOURLY_RATE-FIXED_SEASON_COST)</f>
        <v>33605.2912838795</v>
      </c>
      <c r="AF187" s="53" t="n">
        <f aca="false">IF(OR($A187&gt;TOMATO_BED_CAP,$B187&gt;CARROT_BED_CAP,AF$4&gt;MESCLUN_BED_CAP,$A187+$B187+AF$4&gt;TOTAL_BEDS_AVAILABLE,($D187+AF$5)&gt;TOTAL_LABOR_HOURS_CAP,MAX(0,($D187+AF$5)-PERMANENT_FIELD_LABOR_HOURS)&gt;TEMP_HOURS_CAP),"",$C187+AF$6-MIN(($D187+AF$5),PERMANENT_FIELD_LABOR_HOURS)*PERMANENT_HOURLY_RATE-MAX(0,($D187+AF$5)-PERMANENT_FIELD_LABOR_HOURS)*TEMP_HOURLY_RATE-FIXED_SEASON_COST)</f>
        <v>34013.2288151215</v>
      </c>
      <c r="AG187" s="53" t="n">
        <f aca="false">IF(OR($A187&gt;TOMATO_BED_CAP,$B187&gt;CARROT_BED_CAP,AG$4&gt;MESCLUN_BED_CAP,$A187+$B187+AG$4&gt;TOTAL_BEDS_AVAILABLE,($D187+AG$5)&gt;TOTAL_LABOR_HOURS_CAP,MAX(0,($D187+AG$5)-PERMANENT_FIELD_LABOR_HOURS)&gt;TEMP_HOURS_CAP),"",$C187+AG$6-MIN(($D187+AG$5),PERMANENT_FIELD_LABOR_HOURS)*PERMANENT_HOURLY_RATE-MAX(0,($D187+AG$5)-PERMANENT_FIELD_LABOR_HOURS)*TEMP_HOURLY_RATE-FIXED_SEASON_COST)</f>
        <v>34390.0277046585</v>
      </c>
      <c r="AH187" s="53" t="n">
        <f aca="false">IF(OR($A187&gt;TOMATO_BED_CAP,$B187&gt;CARROT_BED_CAP,AH$4&gt;MESCLUN_BED_CAP,$A187+$B187+AH$4&gt;TOTAL_BEDS_AVAILABLE,($D187+AH$5)&gt;TOTAL_LABOR_HOURS_CAP,MAX(0,($D187+AH$5)-PERMANENT_FIELD_LABOR_HOURS)&gt;TEMP_HOURS_CAP),"",$C187+AH$6-MIN(($D187+AH$5),PERMANENT_FIELD_LABOR_HOURS)*PERMANENT_HOURLY_RATE-MAX(0,($D187+AH$5)-PERMANENT_FIELD_LABOR_HOURS)*TEMP_HOURLY_RATE-FIXED_SEASON_COST)</f>
        <v>34735.1301212087</v>
      </c>
      <c r="AI187" s="53" t="n">
        <f aca="false">IF(OR($A187&gt;TOMATO_BED_CAP,$B187&gt;CARROT_BED_CAP,AI$4&gt;MESCLUN_BED_CAP,$A187+$B187+AI$4&gt;TOTAL_BEDS_AVAILABLE,($D187+AI$5)&gt;TOTAL_LABOR_HOURS_CAP,MAX(0,($D187+AI$5)-PERMANENT_FIELD_LABOR_HOURS)&gt;TEMP_HOURS_CAP),"",$C187+AI$6-MIN(($D187+AI$5),PERMANENT_FIELD_LABOR_HOURS)*PERMANENT_HOURLY_RATE-MAX(0,($D187+AI$5)-PERMANENT_FIELD_LABOR_HOURS)*TEMP_HOURLY_RATE-FIXED_SEASON_COST)</f>
        <v>35047.969153121</v>
      </c>
      <c r="AJ187" s="53" t="n">
        <f aca="false">IF(OR($A187&gt;TOMATO_BED_CAP,$B187&gt;CARROT_BED_CAP,AJ$4&gt;MESCLUN_BED_CAP,$A187+$B187+AJ$4&gt;TOTAL_BEDS_AVAILABLE,($D187+AJ$5)&gt;TOTAL_LABOR_HOURS_CAP,MAX(0,($D187+AJ$5)-PERMANENT_FIELD_LABOR_HOURS)&gt;TEMP_HOURS_CAP),"",$C187+AJ$6-MIN(($D187+AJ$5),PERMANENT_FIELD_LABOR_HOURS)*PERMANENT_HOURLY_RATE-MAX(0,($D187+AJ$5)-PERMANENT_FIELD_LABOR_HOURS)*TEMP_HOURLY_RATE-FIXED_SEASON_COST)</f>
        <v>35327.9686685267</v>
      </c>
    </row>
    <row r="188" customFormat="false" ht="15" hidden="false" customHeight="false" outlineLevel="0" collapsed="false">
      <c r="A188" s="21" t="n">
        <f aca="false">INT((ROW()-ROW($A$8))/(20+1))</f>
        <v>8</v>
      </c>
      <c r="B188" s="21" t="n">
        <f aca="false">MOD(ROW()-ROW($A$8),20+1)</f>
        <v>12</v>
      </c>
      <c r="C188" s="13" t="n">
        <f aca="false">A188*(TOMATO_REVENUE_PER_BED-TOMATO_FERTILIZER_PER_BED)+B188*(CARROT_REVENUE_PER_BED-CARROT_FERTILIZER_PER_BED)</f>
        <v>83208</v>
      </c>
      <c r="D188" s="14" t="n">
        <f aca="false">INDEX(TOMATO_SCHED_LABOR_HRS,A188+1)+INDEX(CARROT_SCHED_LABOR_HRS,B188+1)</f>
        <v>2027.35025593798</v>
      </c>
      <c r="E188" s="13" t="n">
        <f aca="false">IF(COUNT(F188:AJ188)=0,"",MAX(F188:AJ188))</f>
        <v>36093.9888517893</v>
      </c>
      <c r="F188" s="53" t="n">
        <f aca="false">IF(OR($A188&gt;TOMATO_BED_CAP,$B188&gt;CARROT_BED_CAP,F$4&gt;MESCLUN_BED_CAP,$A188+$B188+F$4&gt;TOTAL_BEDS_AVAILABLE,($D188+F$5)&gt;TOTAL_LABOR_HOURS_CAP,MAX(0,($D188+F$5)-PERMANENT_FIELD_LABOR_HOURS)&gt;TEMP_HOURS_CAP),"",$C188+F$6-MIN(($D188+F$5),PERMANENT_FIELD_LABOR_HOURS)*PERMANENT_HOURLY_RATE-MAX(0,($D188+F$5)-PERMANENT_FIELD_LABOR_HOURS)*TEMP_HOURLY_RATE-FIXED_SEASON_COST)</f>
        <v>15513.9995569167</v>
      </c>
      <c r="G188" s="53" t="n">
        <f aca="false">IF(OR($A188&gt;TOMATO_BED_CAP,$B188&gt;CARROT_BED_CAP,G$4&gt;MESCLUN_BED_CAP,$A188+$B188+G$4&gt;TOTAL_BEDS_AVAILABLE,($D188+G$5)&gt;TOTAL_LABOR_HOURS_CAP,MAX(0,($D188+G$5)-PERMANENT_FIELD_LABOR_HOURS)&gt;TEMP_HOURS_CAP),"",$C188+G$6-MIN(($D188+G$5),PERMANENT_FIELD_LABOR_HOURS)*PERMANENT_HOURLY_RATE-MAX(0,($D188+G$5)-PERMANENT_FIELD_LABOR_HOURS)*TEMP_HOURLY_RATE-FIXED_SEASON_COST)</f>
        <v>16543.0345569167</v>
      </c>
      <c r="H188" s="53" t="n">
        <f aca="false">IF(OR($A188&gt;TOMATO_BED_CAP,$B188&gt;CARROT_BED_CAP,H$4&gt;MESCLUN_BED_CAP,$A188+$B188+H$4&gt;TOTAL_BEDS_AVAILABLE,($D188+H$5)&gt;TOTAL_LABOR_HOURS_CAP,MAX(0,($D188+H$5)-PERMANENT_FIELD_LABOR_HOURS)&gt;TEMP_HOURS_CAP),"",$C188+H$6-MIN(($D188+H$5),PERMANENT_FIELD_LABOR_HOURS)*PERMANENT_HOURLY_RATE-MAX(0,($D188+H$5)-PERMANENT_FIELD_LABOR_HOURS)*TEMP_HOURLY_RATE-FIXED_SEASON_COST)</f>
        <v>17552.2954319167</v>
      </c>
      <c r="I188" s="53" t="n">
        <f aca="false">IF(OR($A188&gt;TOMATO_BED_CAP,$B188&gt;CARROT_BED_CAP,I$4&gt;MESCLUN_BED_CAP,$A188+$B188+I$4&gt;TOTAL_BEDS_AVAILABLE,($D188+I$5)&gt;TOTAL_LABOR_HOURS_CAP,MAX(0,($D188+I$5)-PERMANENT_FIELD_LABOR_HOURS)&gt;TEMP_HOURS_CAP),"",$C188+I$6-MIN(($D188+I$5),PERMANENT_FIELD_LABOR_HOURS)*PERMANENT_HOURLY_RATE-MAX(0,($D188+I$5)-PERMANENT_FIELD_LABOR_HOURS)*TEMP_HOURLY_RATE-FIXED_SEASON_COST)</f>
        <v>18541.411417073</v>
      </c>
      <c r="J188" s="53" t="n">
        <f aca="false">IF(OR($A188&gt;TOMATO_BED_CAP,$B188&gt;CARROT_BED_CAP,J$4&gt;MESCLUN_BED_CAP,$A188+$B188+J$4&gt;TOTAL_BEDS_AVAILABLE,($D188+J$5)&gt;TOTAL_LABOR_HOURS_CAP,MAX(0,($D188+J$5)-PERMANENT_FIELD_LABOR_HOURS)&gt;TEMP_HOURS_CAP),"",$C188+J$6-MIN(($D188+J$5),PERMANENT_FIELD_LABOR_HOURS)*PERMANENT_HOURLY_RATE-MAX(0,($D188+J$5)-PERMANENT_FIELD_LABOR_HOURS)*TEMP_HOURLY_RATE-FIXED_SEASON_COST)</f>
        <v>19510.0055681277</v>
      </c>
      <c r="K188" s="53" t="n">
        <f aca="false">IF(OR($A188&gt;TOMATO_BED_CAP,$B188&gt;CARROT_BED_CAP,K$4&gt;MESCLUN_BED_CAP,$A188+$B188+K$4&gt;TOTAL_BEDS_AVAILABLE,($D188+K$5)&gt;TOTAL_LABOR_HOURS_CAP,MAX(0,($D188+K$5)-PERMANENT_FIELD_LABOR_HOURS)&gt;TEMP_HOURS_CAP),"",$C188+K$6-MIN(($D188+K$5),PERMANENT_FIELD_LABOR_HOURS)*PERMANENT_HOURLY_RATE-MAX(0,($D188+K$5)-PERMANENT_FIELD_LABOR_HOURS)*TEMP_HOURLY_RATE-FIXED_SEASON_COST)</f>
        <v>20457.6946648556</v>
      </c>
      <c r="L188" s="53" t="n">
        <f aca="false">IF(OR($A188&gt;TOMATO_BED_CAP,$B188&gt;CARROT_BED_CAP,L$4&gt;MESCLUN_BED_CAP,$A188+$B188+L$4&gt;TOTAL_BEDS_AVAILABLE,($D188+L$5)&gt;TOTAL_LABOR_HOURS_CAP,MAX(0,($D188+L$5)-PERMANENT_FIELD_LABOR_HOURS)&gt;TEMP_HOURS_CAP),"",$C188+L$6-MIN(($D188+L$5),PERMANENT_FIELD_LABOR_HOURS)*PERMANENT_HOURLY_RATE-MAX(0,($D188+L$5)-PERMANENT_FIELD_LABOR_HOURS)*TEMP_HOURLY_RATE-FIXED_SEASON_COST)</f>
        <v>21384.0891130624</v>
      </c>
      <c r="M188" s="53" t="n">
        <f aca="false">IF(OR($A188&gt;TOMATO_BED_CAP,$B188&gt;CARROT_BED_CAP,M$4&gt;MESCLUN_BED_CAP,$A188+$B188+M$4&gt;TOTAL_BEDS_AVAILABLE,($D188+M$5)&gt;TOTAL_LABOR_HOURS_CAP,MAX(0,($D188+M$5)-PERMANENT_FIELD_LABOR_HOURS)&gt;TEMP_HOURS_CAP),"",$C188+M$6-MIN(($D188+M$5),PERMANENT_FIELD_LABOR_HOURS)*PERMANENT_HOURLY_RATE-MAX(0,($D188+M$5)-PERMANENT_FIELD_LABOR_HOURS)*TEMP_HOURLY_RATE-FIXED_SEASON_COST)</f>
        <v>22288.7928451138</v>
      </c>
      <c r="N188" s="53" t="n">
        <f aca="false">IF(OR($A188&gt;TOMATO_BED_CAP,$B188&gt;CARROT_BED_CAP,N$4&gt;MESCLUN_BED_CAP,$A188+$B188+N$4&gt;TOTAL_BEDS_AVAILABLE,($D188+N$5)&gt;TOTAL_LABOR_HOURS_CAP,MAX(0,($D188+N$5)-PERMANENT_FIELD_LABOR_HOURS)&gt;TEMP_HOURS_CAP),"",$C188+N$6-MIN(($D188+N$5),PERMANENT_FIELD_LABOR_HOURS)*PERMANENT_HOURLY_RATE-MAX(0,($D188+N$5)-PERMANENT_FIELD_LABOR_HOURS)*TEMP_HOURLY_RATE-FIXED_SEASON_COST)</f>
        <v>23171.4032189734</v>
      </c>
      <c r="O188" s="53" t="n">
        <f aca="false">IF(OR($A188&gt;TOMATO_BED_CAP,$B188&gt;CARROT_BED_CAP,O$4&gt;MESCLUN_BED_CAP,$A188+$B188+O$4&gt;TOTAL_BEDS_AVAILABLE,($D188+O$5)&gt;TOTAL_LABOR_HOURS_CAP,MAX(0,($D188+O$5)-PERMANENT_FIELD_LABOR_HOURS)&gt;TEMP_HOURS_CAP),"",$C188+O$6-MIN(($D188+O$5),PERMANENT_FIELD_LABOR_HOURS)*PERMANENT_HOURLY_RATE-MAX(0,($D188+O$5)-PERMANENT_FIELD_LABOR_HOURS)*TEMP_HOURLY_RATE-FIXED_SEASON_COST)</f>
        <v>24031.5109157281</v>
      </c>
      <c r="P188" s="53" t="n">
        <f aca="false">IF(OR($A188&gt;TOMATO_BED_CAP,$B188&gt;CARROT_BED_CAP,P$4&gt;MESCLUN_BED_CAP,$A188+$B188+P$4&gt;TOTAL_BEDS_AVAILABLE,($D188+P$5)&gt;TOTAL_LABOR_HOURS_CAP,MAX(0,($D188+P$5)-PERMANENT_FIELD_LABOR_HOURS)&gt;TEMP_HOURS_CAP),"",$C188+P$6-MIN(($D188+P$5),PERMANENT_FIELD_LABOR_HOURS)*PERMANENT_HOURLY_RATE-MAX(0,($D188+P$5)-PERMANENT_FIELD_LABOR_HOURS)*TEMP_HOURLY_RATE-FIXED_SEASON_COST)</f>
        <v>24868.6998355796</v>
      </c>
      <c r="Q188" s="53" t="n">
        <f aca="false">IF(OR($A188&gt;TOMATO_BED_CAP,$B188&gt;CARROT_BED_CAP,Q$4&gt;MESCLUN_BED_CAP,$A188+$B188+Q$4&gt;TOTAL_BEDS_AVAILABLE,($D188+Q$5)&gt;TOTAL_LABOR_HOURS_CAP,MAX(0,($D188+Q$5)-PERMANENT_FIELD_LABOR_HOURS)&gt;TEMP_HOURS_CAP),"",$C188+Q$6-MIN(($D188+Q$5),PERMANENT_FIELD_LABOR_HOURS)*PERMANENT_HOURLY_RATE-MAX(0,($D188+Q$5)-PERMANENT_FIELD_LABOR_HOURS)*TEMP_HOURLY_RATE-FIXED_SEASON_COST)</f>
        <v>25682.5469922775</v>
      </c>
      <c r="R188" s="53" t="n">
        <f aca="false">IF(OR($A188&gt;TOMATO_BED_CAP,$B188&gt;CARROT_BED_CAP,R$4&gt;MESCLUN_BED_CAP,$A188+$B188+R$4&gt;TOTAL_BEDS_AVAILABLE,($D188+R$5)&gt;TOTAL_LABOR_HOURS_CAP,MAX(0,($D188+R$5)-PERMANENT_FIELD_LABOR_HOURS)&gt;TEMP_HOURS_CAP),"",$C188+R$6-MIN(($D188+R$5),PERMANENT_FIELD_LABOR_HOURS)*PERMANENT_HOURLY_RATE-MAX(0,($D188+R$5)-PERMANENT_FIELD_LABOR_HOURS)*TEMP_HOURLY_RATE-FIXED_SEASON_COST)</f>
        <v>26472.6224059743</v>
      </c>
      <c r="S188" s="53" t="n">
        <f aca="false">IF(OR($A188&gt;TOMATO_BED_CAP,$B188&gt;CARROT_BED_CAP,S$4&gt;MESCLUN_BED_CAP,$A188+$B188+S$4&gt;TOTAL_BEDS_AVAILABLE,($D188+S$5)&gt;TOTAL_LABOR_HOURS_CAP,MAX(0,($D188+S$5)-PERMANENT_FIELD_LABOR_HOURS)&gt;TEMP_HOURS_CAP),"",$C188+S$6-MIN(($D188+S$5),PERMANENT_FIELD_LABOR_HOURS)*PERMANENT_HOURLY_RATE-MAX(0,($D188+S$5)-PERMANENT_FIELD_LABOR_HOURS)*TEMP_HOURLY_RATE-FIXED_SEASON_COST)</f>
        <v>27238.4889944767</v>
      </c>
      <c r="T188" s="53" t="n">
        <f aca="false">IF(OR($A188&gt;TOMATO_BED_CAP,$B188&gt;CARROT_BED_CAP,T$4&gt;MESCLUN_BED_CAP,$A188+$B188+T$4&gt;TOTAL_BEDS_AVAILABLE,($D188+T$5)&gt;TOTAL_LABOR_HOURS_CAP,MAX(0,($D188+T$5)-PERMANENT_FIELD_LABOR_HOURS)&gt;TEMP_HOURS_CAP),"",$C188+T$6-MIN(($D188+T$5),PERMANENT_FIELD_LABOR_HOURS)*PERMANENT_HOURLY_RATE-MAX(0,($D188+T$5)-PERMANENT_FIELD_LABOR_HOURS)*TEMP_HOURLY_RATE-FIXED_SEASON_COST)</f>
        <v>27979.7024628716</v>
      </c>
      <c r="U188" s="53" t="n">
        <f aca="false">IF(OR($A188&gt;TOMATO_BED_CAP,$B188&gt;CARROT_BED_CAP,U$4&gt;MESCLUN_BED_CAP,$A188+$B188+U$4&gt;TOTAL_BEDS_AVAILABLE,($D188+U$5)&gt;TOTAL_LABOR_HOURS_CAP,MAX(0,($D188+U$5)-PERMANENT_FIELD_LABOR_HOURS)&gt;TEMP_HOURS_CAP),"",$C188+U$6-MIN(($D188+U$5),PERMANENT_FIELD_LABOR_HOURS)*PERMANENT_HOURLY_RATE-MAX(0,($D188+U$5)-PERMANENT_FIELD_LABOR_HOURS)*TEMP_HOURLY_RATE-FIXED_SEASON_COST)</f>
        <v>28695.8111915017</v>
      </c>
      <c r="V188" s="53" t="n">
        <f aca="false">IF(OR($A188&gt;TOMATO_BED_CAP,$B188&gt;CARROT_BED_CAP,V$4&gt;MESCLUN_BED_CAP,$A188+$B188+V$4&gt;TOTAL_BEDS_AVAILABLE,($D188+V$5)&gt;TOTAL_LABOR_HOURS_CAP,MAX(0,($D188+V$5)-PERMANENT_FIELD_LABOR_HOURS)&gt;TEMP_HOURS_CAP),"",$C188+V$6-MIN(($D188+V$5),PERMANENT_FIELD_LABOR_HOURS)*PERMANENT_HOURLY_RATE-MAX(0,($D188+V$5)-PERMANENT_FIELD_LABOR_HOURS)*TEMP_HOURLY_RATE-FIXED_SEASON_COST)</f>
        <v>29386.3561222685</v>
      </c>
      <c r="W188" s="53" t="n">
        <f aca="false">IF(OR($A188&gt;TOMATO_BED_CAP,$B188&gt;CARROT_BED_CAP,W$4&gt;MESCLUN_BED_CAP,$A188+$B188+W$4&gt;TOTAL_BEDS_AVAILABLE,($D188+W$5)&gt;TOTAL_LABOR_HOURS_CAP,MAX(0,($D188+W$5)-PERMANENT_FIELD_LABOR_HOURS)&gt;TEMP_HOURS_CAP),"",$C188+W$6-MIN(($D188+W$5),PERMANENT_FIELD_LABOR_HOURS)*PERMANENT_HOURLY_RATE-MAX(0,($D188+W$5)-PERMANENT_FIELD_LABOR_HOURS)*TEMP_HOURLY_RATE-FIXED_SEASON_COST)</f>
        <v>30050.8706432365</v>
      </c>
      <c r="X188" s="53" t="n">
        <f aca="false">IF(OR($A188&gt;TOMATO_BED_CAP,$B188&gt;CARROT_BED_CAP,X$4&gt;MESCLUN_BED_CAP,$A188+$B188+X$4&gt;TOTAL_BEDS_AVAILABLE,($D188+X$5)&gt;TOTAL_LABOR_HOURS_CAP,MAX(0,($D188+X$5)-PERMANENT_FIELD_LABOR_HOURS)&gt;TEMP_HOURS_CAP),"",$C188+X$6-MIN(($D188+X$5),PERMANENT_FIELD_LABOR_HOURS)*PERMANENT_HOURLY_RATE-MAX(0,($D188+X$5)-PERMANENT_FIELD_LABOR_HOURS)*TEMP_HOURLY_RATE-FIXED_SEASON_COST)</f>
        <v>30688.8804715154</v>
      </c>
      <c r="Y188" s="53" t="n">
        <f aca="false">IF(OR($A188&gt;TOMATO_BED_CAP,$B188&gt;CARROT_BED_CAP,Y$4&gt;MESCLUN_BED_CAP,$A188+$B188+Y$4&gt;TOTAL_BEDS_AVAILABLE,($D188+Y$5)&gt;TOTAL_LABOR_HOURS_CAP,MAX(0,($D188+Y$5)-PERMANENT_FIELD_LABOR_HOURS)&gt;TEMP_HOURS_CAP),"",$C188+Y$6-MIN(($D188+Y$5),PERMANENT_FIELD_LABOR_HOURS)*PERMANENT_HOURLY_RATE-MAX(0,($D188+Y$5)-PERMANENT_FIELD_LABOR_HOURS)*TEMP_HOURLY_RATE-FIXED_SEASON_COST)</f>
        <v>31299.9035343941</v>
      </c>
      <c r="Z188" s="53" t="n">
        <f aca="false">IF(OR($A188&gt;TOMATO_BED_CAP,$B188&gt;CARROT_BED_CAP,Z$4&gt;MESCLUN_BED_CAP,$A188+$B188+Z$4&gt;TOTAL_BEDS_AVAILABLE,($D188+Z$5)&gt;TOTAL_LABOR_HOURS_CAP,MAX(0,($D188+Z$5)-PERMANENT_FIELD_LABOR_HOURS)&gt;TEMP_HOURS_CAP),"",$C188+Z$6-MIN(($D188+Z$5),PERMANENT_FIELD_LABOR_HOURS)*PERMANENT_HOURLY_RATE-MAX(0,($D188+Z$5)-PERMANENT_FIELD_LABOR_HOURS)*TEMP_HOURLY_RATE-FIXED_SEASON_COST)</f>
        <v>31883.4498487018</v>
      </c>
      <c r="AA188" s="53" t="n">
        <f aca="false">IF(OR($A188&gt;TOMATO_BED_CAP,$B188&gt;CARROT_BED_CAP,AA$4&gt;MESCLUN_BED_CAP,$A188+$B188+AA$4&gt;TOTAL_BEDS_AVAILABLE,($D188+AA$5)&gt;TOTAL_LABOR_HOURS_CAP,MAX(0,($D188+AA$5)-PERMANENT_FIELD_LABOR_HOURS)&gt;TEMP_HOURS_CAP),"",$C188+AA$6-MIN(($D188+AA$5),PERMANENT_FIELD_LABOR_HOURS)*PERMANENT_HOURLY_RATE-MAX(0,($D188+AA$5)-PERMANENT_FIELD_LABOR_HOURS)*TEMP_HOURLY_RATE-FIXED_SEASON_COST)</f>
        <v>32439.0213983708</v>
      </c>
      <c r="AB188" s="53" t="n">
        <f aca="false">IF(OR($A188&gt;TOMATO_BED_CAP,$B188&gt;CARROT_BED_CAP,AB$4&gt;MESCLUN_BED_CAP,$A188+$B188+AB$4&gt;TOTAL_BEDS_AVAILABLE,($D188+AB$5)&gt;TOTAL_LABOR_HOURS_CAP,MAX(0,($D188+AB$5)-PERMANENT_FIELD_LABOR_HOURS)&gt;TEMP_HOURS_CAP),"",$C188+AB$6-MIN(($D188+AB$5),PERMANENT_FIELD_LABOR_HOURS)*PERMANENT_HOURLY_RATE-MAX(0,($D188+AB$5)-PERMANENT_FIELD_LABOR_HOURS)*TEMP_HOURLY_RATE-FIXED_SEASON_COST)</f>
        <v>32966.1120101733</v>
      </c>
      <c r="AC188" s="53" t="n">
        <f aca="false">IF(OR($A188&gt;TOMATO_BED_CAP,$B188&gt;CARROT_BED_CAP,AC$4&gt;MESCLUN_BED_CAP,$A188+$B188+AC$4&gt;TOTAL_BEDS_AVAILABLE,($D188+AC$5)&gt;TOTAL_LABOR_HOURS_CAP,MAX(0,($D188+AC$5)-PERMANENT_FIELD_LABOR_HOURS)&gt;TEMP_HOURS_CAP),"",$C188+AC$6-MIN(($D188+AC$5),PERMANENT_FIELD_LABOR_HOURS)*PERMANENT_HOURLY_RATE-MAX(0,($D188+AC$5)-PERMANENT_FIELD_LABOR_HOURS)*TEMP_HOURLY_RATE-FIXED_SEASON_COST)</f>
        <v>33464.2072276082</v>
      </c>
      <c r="AD188" s="53" t="n">
        <f aca="false">IF(OR($A188&gt;TOMATO_BED_CAP,$B188&gt;CARROT_BED_CAP,AD$4&gt;MESCLUN_BED_CAP,$A188+$B188+AD$4&gt;TOTAL_BEDS_AVAILABLE,($D188+AD$5)&gt;TOTAL_LABOR_HOURS_CAP,MAX(0,($D188+AD$5)-PERMANENT_FIELD_LABOR_HOURS)&gt;TEMP_HOURS_CAP),"",$C188+AD$6-MIN(($D188+AD$5),PERMANENT_FIELD_LABOR_HOURS)*PERMANENT_HOURLY_RATE-MAX(0,($D188+AD$5)-PERMANENT_FIELD_LABOR_HOURS)*TEMP_HOURLY_RATE-FIXED_SEASON_COST)</f>
        <v>33932.7841829082</v>
      </c>
      <c r="AE188" s="53" t="n">
        <f aca="false">IF(OR($A188&gt;TOMATO_BED_CAP,$B188&gt;CARROT_BED_CAP,AE$4&gt;MESCLUN_BED_CAP,$A188+$B188+AE$4&gt;TOTAL_BEDS_AVAILABLE,($D188+AE$5)&gt;TOTAL_LABOR_HOURS_CAP,MAX(0,($D188+AE$5)-PERMANENT_FIELD_LABOR_HOURS)&gt;TEMP_HOURS_CAP),"",$C188+AE$6-MIN(($D188+AE$5),PERMANENT_FIELD_LABOR_HOURS)*PERMANENT_HOURLY_RATE-MAX(0,($D188+AE$5)-PERMANENT_FIELD_LABOR_HOURS)*TEMP_HOURLY_RATE-FIXED_SEASON_COST)</f>
        <v>34371.3114671421</v>
      </c>
      <c r="AF188" s="53" t="n">
        <f aca="false">IF(OR($A188&gt;TOMATO_BED_CAP,$B188&gt;CARROT_BED_CAP,AF$4&gt;MESCLUN_BED_CAP,$A188+$B188+AF$4&gt;TOTAL_BEDS_AVAILABLE,($D188+AF$5)&gt;TOTAL_LABOR_HOURS_CAP,MAX(0,($D188+AF$5)-PERMANENT_FIELD_LABOR_HOURS)&gt;TEMP_HOURS_CAP),"",$C188+AF$6-MIN(($D188+AF$5),PERMANENT_FIELD_LABOR_HOURS)*PERMANENT_HOURLY_RATE-MAX(0,($D188+AF$5)-PERMANENT_FIELD_LABOR_HOURS)*TEMP_HOURLY_RATE-FIXED_SEASON_COST)</f>
        <v>34779.248998384</v>
      </c>
      <c r="AG188" s="53" t="n">
        <f aca="false">IF(OR($A188&gt;TOMATO_BED_CAP,$B188&gt;CARROT_BED_CAP,AG$4&gt;MESCLUN_BED_CAP,$A188+$B188+AG$4&gt;TOTAL_BEDS_AVAILABLE,($D188+AG$5)&gt;TOTAL_LABOR_HOURS_CAP,MAX(0,($D188+AG$5)-PERMANENT_FIELD_LABOR_HOURS)&gt;TEMP_HOURS_CAP),"",$C188+AG$6-MIN(($D188+AG$5),PERMANENT_FIELD_LABOR_HOURS)*PERMANENT_HOURLY_RATE-MAX(0,($D188+AG$5)-PERMANENT_FIELD_LABOR_HOURS)*TEMP_HOURLY_RATE-FIXED_SEASON_COST)</f>
        <v>35156.047887921</v>
      </c>
      <c r="AH188" s="53" t="n">
        <f aca="false">IF(OR($A188&gt;TOMATO_BED_CAP,$B188&gt;CARROT_BED_CAP,AH$4&gt;MESCLUN_BED_CAP,$A188+$B188+AH$4&gt;TOTAL_BEDS_AVAILABLE,($D188+AH$5)&gt;TOTAL_LABOR_HOURS_CAP,MAX(0,($D188+AH$5)-PERMANENT_FIELD_LABOR_HOURS)&gt;TEMP_HOURS_CAP),"",$C188+AH$6-MIN(($D188+AH$5),PERMANENT_FIELD_LABOR_HOURS)*PERMANENT_HOURLY_RATE-MAX(0,($D188+AH$5)-PERMANENT_FIELD_LABOR_HOURS)*TEMP_HOURLY_RATE-FIXED_SEASON_COST)</f>
        <v>35501.1503044713</v>
      </c>
      <c r="AI188" s="53" t="n">
        <f aca="false">IF(OR($A188&gt;TOMATO_BED_CAP,$B188&gt;CARROT_BED_CAP,AI$4&gt;MESCLUN_BED_CAP,$A188+$B188+AI$4&gt;TOTAL_BEDS_AVAILABLE,($D188+AI$5)&gt;TOTAL_LABOR_HOURS_CAP,MAX(0,($D188+AI$5)-PERMANENT_FIELD_LABOR_HOURS)&gt;TEMP_HOURS_CAP),"",$C188+AI$6-MIN(($D188+AI$5),PERMANENT_FIELD_LABOR_HOURS)*PERMANENT_HOURLY_RATE-MAX(0,($D188+AI$5)-PERMANENT_FIELD_LABOR_HOURS)*TEMP_HOURLY_RATE-FIXED_SEASON_COST)</f>
        <v>35813.9893363835</v>
      </c>
      <c r="AJ188" s="53" t="n">
        <f aca="false">IF(OR($A188&gt;TOMATO_BED_CAP,$B188&gt;CARROT_BED_CAP,AJ$4&gt;MESCLUN_BED_CAP,$A188+$B188+AJ$4&gt;TOTAL_BEDS_AVAILABLE,($D188+AJ$5)&gt;TOTAL_LABOR_HOURS_CAP,MAX(0,($D188+AJ$5)-PERMANENT_FIELD_LABOR_HOURS)&gt;TEMP_HOURS_CAP),"",$C188+AJ$6-MIN(($D188+AJ$5),PERMANENT_FIELD_LABOR_HOURS)*PERMANENT_HOURLY_RATE-MAX(0,($D188+AJ$5)-PERMANENT_FIELD_LABOR_HOURS)*TEMP_HOURLY_RATE-FIXED_SEASON_COST)</f>
        <v>36093.9888517893</v>
      </c>
    </row>
    <row r="189" customFormat="false" ht="15" hidden="false" customHeight="false" outlineLevel="0" collapsed="false">
      <c r="A189" s="21" t="n">
        <f aca="false">INT((ROW()-ROW($A$8))/(20+1))</f>
        <v>8</v>
      </c>
      <c r="B189" s="21" t="n">
        <f aca="false">MOD(ROW()-ROW($A$8),20+1)</f>
        <v>13</v>
      </c>
      <c r="C189" s="13" t="n">
        <f aca="false">A189*(TOMATO_REVENUE_PER_BED-TOMATO_FERTILIZER_PER_BED)+B189*(CARROT_REVENUE_PER_BED-CARROT_FERTILIZER_PER_BED)</f>
        <v>84862</v>
      </c>
      <c r="D189" s="14" t="n">
        <f aca="false">INDEX(TOMATO_SCHED_LABOR_HRS,A189+1)+INDEX(CARROT_SCHED_LABOR_HRS,B189+1)</f>
        <v>2080.78820296946</v>
      </c>
      <c r="E189" s="13" t="n">
        <f aca="false">IF(COUNT(F189:AJ189)=0,"",MAX(F189:AJ189))</f>
        <v>36820.3060913227</v>
      </c>
      <c r="F189" s="53" t="n">
        <f aca="false">IF(OR($A189&gt;TOMATO_BED_CAP,$B189&gt;CARROT_BED_CAP,F$4&gt;MESCLUN_BED_CAP,$A189+$B189+F$4&gt;TOTAL_BEDS_AVAILABLE,($D189+F$5)&gt;TOTAL_LABOR_HOURS_CAP,MAX(0,($D189+F$5)-PERMANENT_FIELD_LABOR_HOURS)&gt;TEMP_HOURS_CAP),"",$C189+F$6-MIN(($D189+F$5),PERMANENT_FIELD_LABOR_HOURS)*PERMANENT_HOURLY_RATE-MAX(0,($D189+F$5)-PERMANENT_FIELD_LABOR_HOURS)*TEMP_HOURLY_RATE-FIXED_SEASON_COST)</f>
        <v>16240.3167964502</v>
      </c>
      <c r="G189" s="53" t="n">
        <f aca="false">IF(OR($A189&gt;TOMATO_BED_CAP,$B189&gt;CARROT_BED_CAP,G$4&gt;MESCLUN_BED_CAP,$A189+$B189+G$4&gt;TOTAL_BEDS_AVAILABLE,($D189+G$5)&gt;TOTAL_LABOR_HOURS_CAP,MAX(0,($D189+G$5)-PERMANENT_FIELD_LABOR_HOURS)&gt;TEMP_HOURS_CAP),"",$C189+G$6-MIN(($D189+G$5),PERMANENT_FIELD_LABOR_HOURS)*PERMANENT_HOURLY_RATE-MAX(0,($D189+G$5)-PERMANENT_FIELD_LABOR_HOURS)*TEMP_HOURLY_RATE-FIXED_SEASON_COST)</f>
        <v>17269.3517964502</v>
      </c>
      <c r="H189" s="53" t="n">
        <f aca="false">IF(OR($A189&gt;TOMATO_BED_CAP,$B189&gt;CARROT_BED_CAP,H$4&gt;MESCLUN_BED_CAP,$A189+$B189+H$4&gt;TOTAL_BEDS_AVAILABLE,($D189+H$5)&gt;TOTAL_LABOR_HOURS_CAP,MAX(0,($D189+H$5)-PERMANENT_FIELD_LABOR_HOURS)&gt;TEMP_HOURS_CAP),"",$C189+H$6-MIN(($D189+H$5),PERMANENT_FIELD_LABOR_HOURS)*PERMANENT_HOURLY_RATE-MAX(0,($D189+H$5)-PERMANENT_FIELD_LABOR_HOURS)*TEMP_HOURLY_RATE-FIXED_SEASON_COST)</f>
        <v>18278.6126714502</v>
      </c>
      <c r="I189" s="53" t="n">
        <f aca="false">IF(OR($A189&gt;TOMATO_BED_CAP,$B189&gt;CARROT_BED_CAP,I$4&gt;MESCLUN_BED_CAP,$A189+$B189+I$4&gt;TOTAL_BEDS_AVAILABLE,($D189+I$5)&gt;TOTAL_LABOR_HOURS_CAP,MAX(0,($D189+I$5)-PERMANENT_FIELD_LABOR_HOURS)&gt;TEMP_HOURS_CAP),"",$C189+I$6-MIN(($D189+I$5),PERMANENT_FIELD_LABOR_HOURS)*PERMANENT_HOURLY_RATE-MAX(0,($D189+I$5)-PERMANENT_FIELD_LABOR_HOURS)*TEMP_HOURLY_RATE-FIXED_SEASON_COST)</f>
        <v>19267.7286566064</v>
      </c>
      <c r="J189" s="53" t="n">
        <f aca="false">IF(OR($A189&gt;TOMATO_BED_CAP,$B189&gt;CARROT_BED_CAP,J$4&gt;MESCLUN_BED_CAP,$A189+$B189+J$4&gt;TOTAL_BEDS_AVAILABLE,($D189+J$5)&gt;TOTAL_LABOR_HOURS_CAP,MAX(0,($D189+J$5)-PERMANENT_FIELD_LABOR_HOURS)&gt;TEMP_HOURS_CAP),"",$C189+J$6-MIN(($D189+J$5),PERMANENT_FIELD_LABOR_HOURS)*PERMANENT_HOURLY_RATE-MAX(0,($D189+J$5)-PERMANENT_FIELD_LABOR_HOURS)*TEMP_HOURLY_RATE-FIXED_SEASON_COST)</f>
        <v>20236.3228076611</v>
      </c>
      <c r="K189" s="53" t="n">
        <f aca="false">IF(OR($A189&gt;TOMATO_BED_CAP,$B189&gt;CARROT_BED_CAP,K$4&gt;MESCLUN_BED_CAP,$A189+$B189+K$4&gt;TOTAL_BEDS_AVAILABLE,($D189+K$5)&gt;TOTAL_LABOR_HOURS_CAP,MAX(0,($D189+K$5)-PERMANENT_FIELD_LABOR_HOURS)&gt;TEMP_HOURS_CAP),"",$C189+K$6-MIN(($D189+K$5),PERMANENT_FIELD_LABOR_HOURS)*PERMANENT_HOURLY_RATE-MAX(0,($D189+K$5)-PERMANENT_FIELD_LABOR_HOURS)*TEMP_HOURLY_RATE-FIXED_SEASON_COST)</f>
        <v>21184.011904389</v>
      </c>
      <c r="L189" s="53" t="n">
        <f aca="false">IF(OR($A189&gt;TOMATO_BED_CAP,$B189&gt;CARROT_BED_CAP,L$4&gt;MESCLUN_BED_CAP,$A189+$B189+L$4&gt;TOTAL_BEDS_AVAILABLE,($D189+L$5)&gt;TOTAL_LABOR_HOURS_CAP,MAX(0,($D189+L$5)-PERMANENT_FIELD_LABOR_HOURS)&gt;TEMP_HOURS_CAP),"",$C189+L$6-MIN(($D189+L$5),PERMANENT_FIELD_LABOR_HOURS)*PERMANENT_HOURLY_RATE-MAX(0,($D189+L$5)-PERMANENT_FIELD_LABOR_HOURS)*TEMP_HOURLY_RATE-FIXED_SEASON_COST)</f>
        <v>22110.4063525959</v>
      </c>
      <c r="M189" s="53" t="n">
        <f aca="false">IF(OR($A189&gt;TOMATO_BED_CAP,$B189&gt;CARROT_BED_CAP,M$4&gt;MESCLUN_BED_CAP,$A189+$B189+M$4&gt;TOTAL_BEDS_AVAILABLE,($D189+M$5)&gt;TOTAL_LABOR_HOURS_CAP,MAX(0,($D189+M$5)-PERMANENT_FIELD_LABOR_HOURS)&gt;TEMP_HOURS_CAP),"",$C189+M$6-MIN(($D189+M$5),PERMANENT_FIELD_LABOR_HOURS)*PERMANENT_HOURLY_RATE-MAX(0,($D189+M$5)-PERMANENT_FIELD_LABOR_HOURS)*TEMP_HOURLY_RATE-FIXED_SEASON_COST)</f>
        <v>23015.1100846473</v>
      </c>
      <c r="N189" s="53" t="n">
        <f aca="false">IF(OR($A189&gt;TOMATO_BED_CAP,$B189&gt;CARROT_BED_CAP,N$4&gt;MESCLUN_BED_CAP,$A189+$B189+N$4&gt;TOTAL_BEDS_AVAILABLE,($D189+N$5)&gt;TOTAL_LABOR_HOURS_CAP,MAX(0,($D189+N$5)-PERMANENT_FIELD_LABOR_HOURS)&gt;TEMP_HOURS_CAP),"",$C189+N$6-MIN(($D189+N$5),PERMANENT_FIELD_LABOR_HOURS)*PERMANENT_HOURLY_RATE-MAX(0,($D189+N$5)-PERMANENT_FIELD_LABOR_HOURS)*TEMP_HOURLY_RATE-FIXED_SEASON_COST)</f>
        <v>23897.7204585068</v>
      </c>
      <c r="O189" s="53" t="n">
        <f aca="false">IF(OR($A189&gt;TOMATO_BED_CAP,$B189&gt;CARROT_BED_CAP,O$4&gt;MESCLUN_BED_CAP,$A189+$B189+O$4&gt;TOTAL_BEDS_AVAILABLE,($D189+O$5)&gt;TOTAL_LABOR_HOURS_CAP,MAX(0,($D189+O$5)-PERMANENT_FIELD_LABOR_HOURS)&gt;TEMP_HOURS_CAP),"",$C189+O$6-MIN(($D189+O$5),PERMANENT_FIELD_LABOR_HOURS)*PERMANENT_HOURLY_RATE-MAX(0,($D189+O$5)-PERMANENT_FIELD_LABOR_HOURS)*TEMP_HOURLY_RATE-FIXED_SEASON_COST)</f>
        <v>24757.8281552616</v>
      </c>
      <c r="P189" s="53" t="n">
        <f aca="false">IF(OR($A189&gt;TOMATO_BED_CAP,$B189&gt;CARROT_BED_CAP,P$4&gt;MESCLUN_BED_CAP,$A189+$B189+P$4&gt;TOTAL_BEDS_AVAILABLE,($D189+P$5)&gt;TOTAL_LABOR_HOURS_CAP,MAX(0,($D189+P$5)-PERMANENT_FIELD_LABOR_HOURS)&gt;TEMP_HOURS_CAP),"",$C189+P$6-MIN(($D189+P$5),PERMANENT_FIELD_LABOR_HOURS)*PERMANENT_HOURLY_RATE-MAX(0,($D189+P$5)-PERMANENT_FIELD_LABOR_HOURS)*TEMP_HOURLY_RATE-FIXED_SEASON_COST)</f>
        <v>25595.017075113</v>
      </c>
      <c r="Q189" s="53" t="n">
        <f aca="false">IF(OR($A189&gt;TOMATO_BED_CAP,$B189&gt;CARROT_BED_CAP,Q$4&gt;MESCLUN_BED_CAP,$A189+$B189+Q$4&gt;TOTAL_BEDS_AVAILABLE,($D189+Q$5)&gt;TOTAL_LABOR_HOURS_CAP,MAX(0,($D189+Q$5)-PERMANENT_FIELD_LABOR_HOURS)&gt;TEMP_HOURS_CAP),"",$C189+Q$6-MIN(($D189+Q$5),PERMANENT_FIELD_LABOR_HOURS)*PERMANENT_HOURLY_RATE-MAX(0,($D189+Q$5)-PERMANENT_FIELD_LABOR_HOURS)*TEMP_HOURLY_RATE-FIXED_SEASON_COST)</f>
        <v>26408.8642318109</v>
      </c>
      <c r="R189" s="53" t="n">
        <f aca="false">IF(OR($A189&gt;TOMATO_BED_CAP,$B189&gt;CARROT_BED_CAP,R$4&gt;MESCLUN_BED_CAP,$A189+$B189+R$4&gt;TOTAL_BEDS_AVAILABLE,($D189+R$5)&gt;TOTAL_LABOR_HOURS_CAP,MAX(0,($D189+R$5)-PERMANENT_FIELD_LABOR_HOURS)&gt;TEMP_HOURS_CAP),"",$C189+R$6-MIN(($D189+R$5),PERMANENT_FIELD_LABOR_HOURS)*PERMANENT_HOURLY_RATE-MAX(0,($D189+R$5)-PERMANENT_FIELD_LABOR_HOURS)*TEMP_HOURLY_RATE-FIXED_SEASON_COST)</f>
        <v>27198.9396455077</v>
      </c>
      <c r="S189" s="53" t="n">
        <f aca="false">IF(OR($A189&gt;TOMATO_BED_CAP,$B189&gt;CARROT_BED_CAP,S$4&gt;MESCLUN_BED_CAP,$A189+$B189+S$4&gt;TOTAL_BEDS_AVAILABLE,($D189+S$5)&gt;TOTAL_LABOR_HOURS_CAP,MAX(0,($D189+S$5)-PERMANENT_FIELD_LABOR_HOURS)&gt;TEMP_HOURS_CAP),"",$C189+S$6-MIN(($D189+S$5),PERMANENT_FIELD_LABOR_HOURS)*PERMANENT_HOURLY_RATE-MAX(0,($D189+S$5)-PERMANENT_FIELD_LABOR_HOURS)*TEMP_HOURLY_RATE-FIXED_SEASON_COST)</f>
        <v>27964.8062340101</v>
      </c>
      <c r="T189" s="53" t="n">
        <f aca="false">IF(OR($A189&gt;TOMATO_BED_CAP,$B189&gt;CARROT_BED_CAP,T$4&gt;MESCLUN_BED_CAP,$A189+$B189+T$4&gt;TOTAL_BEDS_AVAILABLE,($D189+T$5)&gt;TOTAL_LABOR_HOURS_CAP,MAX(0,($D189+T$5)-PERMANENT_FIELD_LABOR_HOURS)&gt;TEMP_HOURS_CAP),"",$C189+T$6-MIN(($D189+T$5),PERMANENT_FIELD_LABOR_HOURS)*PERMANENT_HOURLY_RATE-MAX(0,($D189+T$5)-PERMANENT_FIELD_LABOR_HOURS)*TEMP_HOURLY_RATE-FIXED_SEASON_COST)</f>
        <v>28706.019702405</v>
      </c>
      <c r="U189" s="53" t="n">
        <f aca="false">IF(OR($A189&gt;TOMATO_BED_CAP,$B189&gt;CARROT_BED_CAP,U$4&gt;MESCLUN_BED_CAP,$A189+$B189+U$4&gt;TOTAL_BEDS_AVAILABLE,($D189+U$5)&gt;TOTAL_LABOR_HOURS_CAP,MAX(0,($D189+U$5)-PERMANENT_FIELD_LABOR_HOURS)&gt;TEMP_HOURS_CAP),"",$C189+U$6-MIN(($D189+U$5),PERMANENT_FIELD_LABOR_HOURS)*PERMANENT_HOURLY_RATE-MAX(0,($D189+U$5)-PERMANENT_FIELD_LABOR_HOURS)*TEMP_HOURLY_RATE-FIXED_SEASON_COST)</f>
        <v>29422.1284310351</v>
      </c>
      <c r="V189" s="53" t="n">
        <f aca="false">IF(OR($A189&gt;TOMATO_BED_CAP,$B189&gt;CARROT_BED_CAP,V$4&gt;MESCLUN_BED_CAP,$A189+$B189+V$4&gt;TOTAL_BEDS_AVAILABLE,($D189+V$5)&gt;TOTAL_LABOR_HOURS_CAP,MAX(0,($D189+V$5)-PERMANENT_FIELD_LABOR_HOURS)&gt;TEMP_HOURS_CAP),"",$C189+V$6-MIN(($D189+V$5),PERMANENT_FIELD_LABOR_HOURS)*PERMANENT_HOURLY_RATE-MAX(0,($D189+V$5)-PERMANENT_FIELD_LABOR_HOURS)*TEMP_HOURLY_RATE-FIXED_SEASON_COST)</f>
        <v>30112.6733618019</v>
      </c>
      <c r="W189" s="53" t="n">
        <f aca="false">IF(OR($A189&gt;TOMATO_BED_CAP,$B189&gt;CARROT_BED_CAP,W$4&gt;MESCLUN_BED_CAP,$A189+$B189+W$4&gt;TOTAL_BEDS_AVAILABLE,($D189+W$5)&gt;TOTAL_LABOR_HOURS_CAP,MAX(0,($D189+W$5)-PERMANENT_FIELD_LABOR_HOURS)&gt;TEMP_HOURS_CAP),"",$C189+W$6-MIN(($D189+W$5),PERMANENT_FIELD_LABOR_HOURS)*PERMANENT_HOURLY_RATE-MAX(0,($D189+W$5)-PERMANENT_FIELD_LABOR_HOURS)*TEMP_HOURLY_RATE-FIXED_SEASON_COST)</f>
        <v>30777.1878827699</v>
      </c>
      <c r="X189" s="53" t="n">
        <f aca="false">IF(OR($A189&gt;TOMATO_BED_CAP,$B189&gt;CARROT_BED_CAP,X$4&gt;MESCLUN_BED_CAP,$A189+$B189+X$4&gt;TOTAL_BEDS_AVAILABLE,($D189+X$5)&gt;TOTAL_LABOR_HOURS_CAP,MAX(0,($D189+X$5)-PERMANENT_FIELD_LABOR_HOURS)&gt;TEMP_HOURS_CAP),"",$C189+X$6-MIN(($D189+X$5),PERMANENT_FIELD_LABOR_HOURS)*PERMANENT_HOURLY_RATE-MAX(0,($D189+X$5)-PERMANENT_FIELD_LABOR_HOURS)*TEMP_HOURLY_RATE-FIXED_SEASON_COST)</f>
        <v>31415.1977110489</v>
      </c>
      <c r="Y189" s="53" t="n">
        <f aca="false">IF(OR($A189&gt;TOMATO_BED_CAP,$B189&gt;CARROT_BED_CAP,Y$4&gt;MESCLUN_BED_CAP,$A189+$B189+Y$4&gt;TOTAL_BEDS_AVAILABLE,($D189+Y$5)&gt;TOTAL_LABOR_HOURS_CAP,MAX(0,($D189+Y$5)-PERMANENT_FIELD_LABOR_HOURS)&gt;TEMP_HOURS_CAP),"",$C189+Y$6-MIN(($D189+Y$5),PERMANENT_FIELD_LABOR_HOURS)*PERMANENT_HOURLY_RATE-MAX(0,($D189+Y$5)-PERMANENT_FIELD_LABOR_HOURS)*TEMP_HOURLY_RATE-FIXED_SEASON_COST)</f>
        <v>32026.2207739275</v>
      </c>
      <c r="Z189" s="53" t="n">
        <f aca="false">IF(OR($A189&gt;TOMATO_BED_CAP,$B189&gt;CARROT_BED_CAP,Z$4&gt;MESCLUN_BED_CAP,$A189+$B189+Z$4&gt;TOTAL_BEDS_AVAILABLE,($D189+Z$5)&gt;TOTAL_LABOR_HOURS_CAP,MAX(0,($D189+Z$5)-PERMANENT_FIELD_LABOR_HOURS)&gt;TEMP_HOURS_CAP),"",$C189+Z$6-MIN(($D189+Z$5),PERMANENT_FIELD_LABOR_HOURS)*PERMANENT_HOURLY_RATE-MAX(0,($D189+Z$5)-PERMANENT_FIELD_LABOR_HOURS)*TEMP_HOURLY_RATE-FIXED_SEASON_COST)</f>
        <v>32609.7670882352</v>
      </c>
      <c r="AA189" s="53" t="n">
        <f aca="false">IF(OR($A189&gt;TOMATO_BED_CAP,$B189&gt;CARROT_BED_CAP,AA$4&gt;MESCLUN_BED_CAP,$A189+$B189+AA$4&gt;TOTAL_BEDS_AVAILABLE,($D189+AA$5)&gt;TOTAL_LABOR_HOURS_CAP,MAX(0,($D189+AA$5)-PERMANENT_FIELD_LABOR_HOURS)&gt;TEMP_HOURS_CAP),"",$C189+AA$6-MIN(($D189+AA$5),PERMANENT_FIELD_LABOR_HOURS)*PERMANENT_HOURLY_RATE-MAX(0,($D189+AA$5)-PERMANENT_FIELD_LABOR_HOURS)*TEMP_HOURLY_RATE-FIXED_SEASON_COST)</f>
        <v>33165.3386379042</v>
      </c>
      <c r="AB189" s="53" t="n">
        <f aca="false">IF(OR($A189&gt;TOMATO_BED_CAP,$B189&gt;CARROT_BED_CAP,AB$4&gt;MESCLUN_BED_CAP,$A189+$B189+AB$4&gt;TOTAL_BEDS_AVAILABLE,($D189+AB$5)&gt;TOTAL_LABOR_HOURS_CAP,MAX(0,($D189+AB$5)-PERMANENT_FIELD_LABOR_HOURS)&gt;TEMP_HOURS_CAP),"",$C189+AB$6-MIN(($D189+AB$5),PERMANENT_FIELD_LABOR_HOURS)*PERMANENT_HOURLY_RATE-MAX(0,($D189+AB$5)-PERMANENT_FIELD_LABOR_HOURS)*TEMP_HOURLY_RATE-FIXED_SEASON_COST)</f>
        <v>33692.4292497067</v>
      </c>
      <c r="AC189" s="53" t="n">
        <f aca="false">IF(OR($A189&gt;TOMATO_BED_CAP,$B189&gt;CARROT_BED_CAP,AC$4&gt;MESCLUN_BED_CAP,$A189+$B189+AC$4&gt;TOTAL_BEDS_AVAILABLE,($D189+AC$5)&gt;TOTAL_LABOR_HOURS_CAP,MAX(0,($D189+AC$5)-PERMANENT_FIELD_LABOR_HOURS)&gt;TEMP_HOURS_CAP),"",$C189+AC$6-MIN(($D189+AC$5),PERMANENT_FIELD_LABOR_HOURS)*PERMANENT_HOURLY_RATE-MAX(0,($D189+AC$5)-PERMANENT_FIELD_LABOR_HOURS)*TEMP_HOURLY_RATE-FIXED_SEASON_COST)</f>
        <v>34190.5244671416</v>
      </c>
      <c r="AD189" s="53" t="n">
        <f aca="false">IF(OR($A189&gt;TOMATO_BED_CAP,$B189&gt;CARROT_BED_CAP,AD$4&gt;MESCLUN_BED_CAP,$A189+$B189+AD$4&gt;TOTAL_BEDS_AVAILABLE,($D189+AD$5)&gt;TOTAL_LABOR_HOURS_CAP,MAX(0,($D189+AD$5)-PERMANENT_FIELD_LABOR_HOURS)&gt;TEMP_HOURS_CAP),"",$C189+AD$6-MIN(($D189+AD$5),PERMANENT_FIELD_LABOR_HOURS)*PERMANENT_HOURLY_RATE-MAX(0,($D189+AD$5)-PERMANENT_FIELD_LABOR_HOURS)*TEMP_HOURLY_RATE-FIXED_SEASON_COST)</f>
        <v>34659.1014224416</v>
      </c>
      <c r="AE189" s="53" t="n">
        <f aca="false">IF(OR($A189&gt;TOMATO_BED_CAP,$B189&gt;CARROT_BED_CAP,AE$4&gt;MESCLUN_BED_CAP,$A189+$B189+AE$4&gt;TOTAL_BEDS_AVAILABLE,($D189+AE$5)&gt;TOTAL_LABOR_HOURS_CAP,MAX(0,($D189+AE$5)-PERMANENT_FIELD_LABOR_HOURS)&gt;TEMP_HOURS_CAP),"",$C189+AE$6-MIN(($D189+AE$5),PERMANENT_FIELD_LABOR_HOURS)*PERMANENT_HOURLY_RATE-MAX(0,($D189+AE$5)-PERMANENT_FIELD_LABOR_HOURS)*TEMP_HOURLY_RATE-FIXED_SEASON_COST)</f>
        <v>35097.6287066755</v>
      </c>
      <c r="AF189" s="53" t="n">
        <f aca="false">IF(OR($A189&gt;TOMATO_BED_CAP,$B189&gt;CARROT_BED_CAP,AF$4&gt;MESCLUN_BED_CAP,$A189+$B189+AF$4&gt;TOTAL_BEDS_AVAILABLE,($D189+AF$5)&gt;TOTAL_LABOR_HOURS_CAP,MAX(0,($D189+AF$5)-PERMANENT_FIELD_LABOR_HOURS)&gt;TEMP_HOURS_CAP),"",$C189+AF$6-MIN(($D189+AF$5),PERMANENT_FIELD_LABOR_HOURS)*PERMANENT_HOURLY_RATE-MAX(0,($D189+AF$5)-PERMANENT_FIELD_LABOR_HOURS)*TEMP_HOURLY_RATE-FIXED_SEASON_COST)</f>
        <v>35505.5662379175</v>
      </c>
      <c r="AG189" s="53" t="n">
        <f aca="false">IF(OR($A189&gt;TOMATO_BED_CAP,$B189&gt;CARROT_BED_CAP,AG$4&gt;MESCLUN_BED_CAP,$A189+$B189+AG$4&gt;TOTAL_BEDS_AVAILABLE,($D189+AG$5)&gt;TOTAL_LABOR_HOURS_CAP,MAX(0,($D189+AG$5)-PERMANENT_FIELD_LABOR_HOURS)&gt;TEMP_HOURS_CAP),"",$C189+AG$6-MIN(($D189+AG$5),PERMANENT_FIELD_LABOR_HOURS)*PERMANENT_HOURLY_RATE-MAX(0,($D189+AG$5)-PERMANENT_FIELD_LABOR_HOURS)*TEMP_HOURLY_RATE-FIXED_SEASON_COST)</f>
        <v>35882.3651274545</v>
      </c>
      <c r="AH189" s="53" t="n">
        <f aca="false">IF(OR($A189&gt;TOMATO_BED_CAP,$B189&gt;CARROT_BED_CAP,AH$4&gt;MESCLUN_BED_CAP,$A189+$B189+AH$4&gt;TOTAL_BEDS_AVAILABLE,($D189+AH$5)&gt;TOTAL_LABOR_HOURS_CAP,MAX(0,($D189+AH$5)-PERMANENT_FIELD_LABOR_HOURS)&gt;TEMP_HOURS_CAP),"",$C189+AH$6-MIN(($D189+AH$5),PERMANENT_FIELD_LABOR_HOURS)*PERMANENT_HOURLY_RATE-MAX(0,($D189+AH$5)-PERMANENT_FIELD_LABOR_HOURS)*TEMP_HOURLY_RATE-FIXED_SEASON_COST)</f>
        <v>36227.4675440047</v>
      </c>
      <c r="AI189" s="53" t="n">
        <f aca="false">IF(OR($A189&gt;TOMATO_BED_CAP,$B189&gt;CARROT_BED_CAP,AI$4&gt;MESCLUN_BED_CAP,$A189+$B189+AI$4&gt;TOTAL_BEDS_AVAILABLE,($D189+AI$5)&gt;TOTAL_LABOR_HOURS_CAP,MAX(0,($D189+AI$5)-PERMANENT_FIELD_LABOR_HOURS)&gt;TEMP_HOURS_CAP),"",$C189+AI$6-MIN(($D189+AI$5),PERMANENT_FIELD_LABOR_HOURS)*PERMANENT_HOURLY_RATE-MAX(0,($D189+AI$5)-PERMANENT_FIELD_LABOR_HOURS)*TEMP_HOURLY_RATE-FIXED_SEASON_COST)</f>
        <v>36540.306575917</v>
      </c>
      <c r="AJ189" s="53" t="n">
        <f aca="false">IF(OR($A189&gt;TOMATO_BED_CAP,$B189&gt;CARROT_BED_CAP,AJ$4&gt;MESCLUN_BED_CAP,$A189+$B189+AJ$4&gt;TOTAL_BEDS_AVAILABLE,($D189+AJ$5)&gt;TOTAL_LABOR_HOURS_CAP,MAX(0,($D189+AJ$5)-PERMANENT_FIELD_LABOR_HOURS)&gt;TEMP_HOURS_CAP),"",$C189+AJ$6-MIN(($D189+AJ$5),PERMANENT_FIELD_LABOR_HOURS)*PERMANENT_HOURLY_RATE-MAX(0,($D189+AJ$5)-PERMANENT_FIELD_LABOR_HOURS)*TEMP_HOURLY_RATE-FIXED_SEASON_COST)</f>
        <v>36820.3060913227</v>
      </c>
    </row>
    <row r="190" customFormat="false" ht="15" hidden="false" customHeight="false" outlineLevel="0" collapsed="false">
      <c r="A190" s="21" t="n">
        <f aca="false">INT((ROW()-ROW($A$8))/(20+1))</f>
        <v>8</v>
      </c>
      <c r="B190" s="21" t="n">
        <f aca="false">MOD(ROW()-ROW($A$8),20+1)</f>
        <v>14</v>
      </c>
      <c r="C190" s="13" t="n">
        <f aca="false">A190*(TOMATO_REVENUE_PER_BED-TOMATO_FERTILIZER_PER_BED)+B190*(CARROT_REVENUE_PER_BED-CARROT_FERTILIZER_PER_BED)</f>
        <v>86516</v>
      </c>
      <c r="D190" s="14" t="n">
        <f aca="false">INDEX(TOMATO_SCHED_LABOR_HRS,A190+1)+INDEX(CARROT_SCHED_LABOR_HRS,B190+1)</f>
        <v>2136.59556840706</v>
      </c>
      <c r="E190" s="13" t="n">
        <f aca="false">IF(COUNT(F190:AJ190)=0,"",MAX(F190:AJ190))</f>
        <v>37505.490227326</v>
      </c>
      <c r="F190" s="53" t="n">
        <f aca="false">IF(OR($A190&gt;TOMATO_BED_CAP,$B190&gt;CARROT_BED_CAP,F$4&gt;MESCLUN_BED_CAP,$A190+$B190+F$4&gt;TOTAL_BEDS_AVAILABLE,($D190+F$5)&gt;TOTAL_LABOR_HOURS_CAP,MAX(0,($D190+F$5)-PERMANENT_FIELD_LABOR_HOURS)&gt;TEMP_HOURS_CAP),"",$C190+F$6-MIN(($D190+F$5),PERMANENT_FIELD_LABOR_HOURS)*PERMANENT_HOURLY_RATE-MAX(0,($D190+F$5)-PERMANENT_FIELD_LABOR_HOURS)*TEMP_HOURLY_RATE-FIXED_SEASON_COST)</f>
        <v>16925.5009324535</v>
      </c>
      <c r="G190" s="53" t="n">
        <f aca="false">IF(OR($A190&gt;TOMATO_BED_CAP,$B190&gt;CARROT_BED_CAP,G$4&gt;MESCLUN_BED_CAP,$A190+$B190+G$4&gt;TOTAL_BEDS_AVAILABLE,($D190+G$5)&gt;TOTAL_LABOR_HOURS_CAP,MAX(0,($D190+G$5)-PERMANENT_FIELD_LABOR_HOURS)&gt;TEMP_HOURS_CAP),"",$C190+G$6-MIN(($D190+G$5),PERMANENT_FIELD_LABOR_HOURS)*PERMANENT_HOURLY_RATE-MAX(0,($D190+G$5)-PERMANENT_FIELD_LABOR_HOURS)*TEMP_HOURLY_RATE-FIXED_SEASON_COST)</f>
        <v>17954.5359324535</v>
      </c>
      <c r="H190" s="53" t="n">
        <f aca="false">IF(OR($A190&gt;TOMATO_BED_CAP,$B190&gt;CARROT_BED_CAP,H$4&gt;MESCLUN_BED_CAP,$A190+$B190+H$4&gt;TOTAL_BEDS_AVAILABLE,($D190+H$5)&gt;TOTAL_LABOR_HOURS_CAP,MAX(0,($D190+H$5)-PERMANENT_FIELD_LABOR_HOURS)&gt;TEMP_HOURS_CAP),"",$C190+H$6-MIN(($D190+H$5),PERMANENT_FIELD_LABOR_HOURS)*PERMANENT_HOURLY_RATE-MAX(0,($D190+H$5)-PERMANENT_FIELD_LABOR_HOURS)*TEMP_HOURLY_RATE-FIXED_SEASON_COST)</f>
        <v>18963.7968074535</v>
      </c>
      <c r="I190" s="53" t="n">
        <f aca="false">IF(OR($A190&gt;TOMATO_BED_CAP,$B190&gt;CARROT_BED_CAP,I$4&gt;MESCLUN_BED_CAP,$A190+$B190+I$4&gt;TOTAL_BEDS_AVAILABLE,($D190+I$5)&gt;TOTAL_LABOR_HOURS_CAP,MAX(0,($D190+I$5)-PERMANENT_FIELD_LABOR_HOURS)&gt;TEMP_HOURS_CAP),"",$C190+I$6-MIN(($D190+I$5),PERMANENT_FIELD_LABOR_HOURS)*PERMANENT_HOURLY_RATE-MAX(0,($D190+I$5)-PERMANENT_FIELD_LABOR_HOURS)*TEMP_HOURLY_RATE-FIXED_SEASON_COST)</f>
        <v>19952.9127926097</v>
      </c>
      <c r="J190" s="53" t="n">
        <f aca="false">IF(OR($A190&gt;TOMATO_BED_CAP,$B190&gt;CARROT_BED_CAP,J$4&gt;MESCLUN_BED_CAP,$A190+$B190+J$4&gt;TOTAL_BEDS_AVAILABLE,($D190+J$5)&gt;TOTAL_LABOR_HOURS_CAP,MAX(0,($D190+J$5)-PERMANENT_FIELD_LABOR_HOURS)&gt;TEMP_HOURS_CAP),"",$C190+J$6-MIN(($D190+J$5),PERMANENT_FIELD_LABOR_HOURS)*PERMANENT_HOURLY_RATE-MAX(0,($D190+J$5)-PERMANENT_FIELD_LABOR_HOURS)*TEMP_HOURLY_RATE-FIXED_SEASON_COST)</f>
        <v>20921.5069436644</v>
      </c>
      <c r="K190" s="53" t="n">
        <f aca="false">IF(OR($A190&gt;TOMATO_BED_CAP,$B190&gt;CARROT_BED_CAP,K$4&gt;MESCLUN_BED_CAP,$A190+$B190+K$4&gt;TOTAL_BEDS_AVAILABLE,($D190+K$5)&gt;TOTAL_LABOR_HOURS_CAP,MAX(0,($D190+K$5)-PERMANENT_FIELD_LABOR_HOURS)&gt;TEMP_HOURS_CAP),"",$C190+K$6-MIN(($D190+K$5),PERMANENT_FIELD_LABOR_HOURS)*PERMANENT_HOURLY_RATE-MAX(0,($D190+K$5)-PERMANENT_FIELD_LABOR_HOURS)*TEMP_HOURLY_RATE-FIXED_SEASON_COST)</f>
        <v>21869.1960403923</v>
      </c>
      <c r="L190" s="53" t="n">
        <f aca="false">IF(OR($A190&gt;TOMATO_BED_CAP,$B190&gt;CARROT_BED_CAP,L$4&gt;MESCLUN_BED_CAP,$A190+$B190+L$4&gt;TOTAL_BEDS_AVAILABLE,($D190+L$5)&gt;TOTAL_LABOR_HOURS_CAP,MAX(0,($D190+L$5)-PERMANENT_FIELD_LABOR_HOURS)&gt;TEMP_HOURS_CAP),"",$C190+L$6-MIN(($D190+L$5),PERMANENT_FIELD_LABOR_HOURS)*PERMANENT_HOURLY_RATE-MAX(0,($D190+L$5)-PERMANENT_FIELD_LABOR_HOURS)*TEMP_HOURLY_RATE-FIXED_SEASON_COST)</f>
        <v>22795.5904885992</v>
      </c>
      <c r="M190" s="53" t="n">
        <f aca="false">IF(OR($A190&gt;TOMATO_BED_CAP,$B190&gt;CARROT_BED_CAP,M$4&gt;MESCLUN_BED_CAP,$A190+$B190+M$4&gt;TOTAL_BEDS_AVAILABLE,($D190+M$5)&gt;TOTAL_LABOR_HOURS_CAP,MAX(0,($D190+M$5)-PERMANENT_FIELD_LABOR_HOURS)&gt;TEMP_HOURS_CAP),"",$C190+M$6-MIN(($D190+M$5),PERMANENT_FIELD_LABOR_HOURS)*PERMANENT_HOURLY_RATE-MAX(0,($D190+M$5)-PERMANENT_FIELD_LABOR_HOURS)*TEMP_HOURLY_RATE-FIXED_SEASON_COST)</f>
        <v>23700.2942206506</v>
      </c>
      <c r="N190" s="53" t="n">
        <f aca="false">IF(OR($A190&gt;TOMATO_BED_CAP,$B190&gt;CARROT_BED_CAP,N$4&gt;MESCLUN_BED_CAP,$A190+$B190+N$4&gt;TOTAL_BEDS_AVAILABLE,($D190+N$5)&gt;TOTAL_LABOR_HOURS_CAP,MAX(0,($D190+N$5)-PERMANENT_FIELD_LABOR_HOURS)&gt;TEMP_HOURS_CAP),"",$C190+N$6-MIN(($D190+N$5),PERMANENT_FIELD_LABOR_HOURS)*PERMANENT_HOURLY_RATE-MAX(0,($D190+N$5)-PERMANENT_FIELD_LABOR_HOURS)*TEMP_HOURLY_RATE-FIXED_SEASON_COST)</f>
        <v>24582.9045945101</v>
      </c>
      <c r="O190" s="53" t="n">
        <f aca="false">IF(OR($A190&gt;TOMATO_BED_CAP,$B190&gt;CARROT_BED_CAP,O$4&gt;MESCLUN_BED_CAP,$A190+$B190+O$4&gt;TOTAL_BEDS_AVAILABLE,($D190+O$5)&gt;TOTAL_LABOR_HOURS_CAP,MAX(0,($D190+O$5)-PERMANENT_FIELD_LABOR_HOURS)&gt;TEMP_HOURS_CAP),"",$C190+O$6-MIN(($D190+O$5),PERMANENT_FIELD_LABOR_HOURS)*PERMANENT_HOURLY_RATE-MAX(0,($D190+O$5)-PERMANENT_FIELD_LABOR_HOURS)*TEMP_HOURLY_RATE-FIXED_SEASON_COST)</f>
        <v>25443.0122912649</v>
      </c>
      <c r="P190" s="53" t="n">
        <f aca="false">IF(OR($A190&gt;TOMATO_BED_CAP,$B190&gt;CARROT_BED_CAP,P$4&gt;MESCLUN_BED_CAP,$A190+$B190+P$4&gt;TOTAL_BEDS_AVAILABLE,($D190+P$5)&gt;TOTAL_LABOR_HOURS_CAP,MAX(0,($D190+P$5)-PERMANENT_FIELD_LABOR_HOURS)&gt;TEMP_HOURS_CAP),"",$C190+P$6-MIN(($D190+P$5),PERMANENT_FIELD_LABOR_HOURS)*PERMANENT_HOURLY_RATE-MAX(0,($D190+P$5)-PERMANENT_FIELD_LABOR_HOURS)*TEMP_HOURLY_RATE-FIXED_SEASON_COST)</f>
        <v>26280.2012111163</v>
      </c>
      <c r="Q190" s="53" t="n">
        <f aca="false">IF(OR($A190&gt;TOMATO_BED_CAP,$B190&gt;CARROT_BED_CAP,Q$4&gt;MESCLUN_BED_CAP,$A190+$B190+Q$4&gt;TOTAL_BEDS_AVAILABLE,($D190+Q$5)&gt;TOTAL_LABOR_HOURS_CAP,MAX(0,($D190+Q$5)-PERMANENT_FIELD_LABOR_HOURS)&gt;TEMP_HOURS_CAP),"",$C190+Q$6-MIN(($D190+Q$5),PERMANENT_FIELD_LABOR_HOURS)*PERMANENT_HOURLY_RATE-MAX(0,($D190+Q$5)-PERMANENT_FIELD_LABOR_HOURS)*TEMP_HOURLY_RATE-FIXED_SEASON_COST)</f>
        <v>27094.0483678142</v>
      </c>
      <c r="R190" s="53" t="n">
        <f aca="false">IF(OR($A190&gt;TOMATO_BED_CAP,$B190&gt;CARROT_BED_CAP,R$4&gt;MESCLUN_BED_CAP,$A190+$B190+R$4&gt;TOTAL_BEDS_AVAILABLE,($D190+R$5)&gt;TOTAL_LABOR_HOURS_CAP,MAX(0,($D190+R$5)-PERMANENT_FIELD_LABOR_HOURS)&gt;TEMP_HOURS_CAP),"",$C190+R$6-MIN(($D190+R$5),PERMANENT_FIELD_LABOR_HOURS)*PERMANENT_HOURLY_RATE-MAX(0,($D190+R$5)-PERMANENT_FIELD_LABOR_HOURS)*TEMP_HOURLY_RATE-FIXED_SEASON_COST)</f>
        <v>27884.123781511</v>
      </c>
      <c r="S190" s="53" t="n">
        <f aca="false">IF(OR($A190&gt;TOMATO_BED_CAP,$B190&gt;CARROT_BED_CAP,S$4&gt;MESCLUN_BED_CAP,$A190+$B190+S$4&gt;TOTAL_BEDS_AVAILABLE,($D190+S$5)&gt;TOTAL_LABOR_HOURS_CAP,MAX(0,($D190+S$5)-PERMANENT_FIELD_LABOR_HOURS)&gt;TEMP_HOURS_CAP),"",$C190+S$6-MIN(($D190+S$5),PERMANENT_FIELD_LABOR_HOURS)*PERMANENT_HOURLY_RATE-MAX(0,($D190+S$5)-PERMANENT_FIELD_LABOR_HOURS)*TEMP_HOURLY_RATE-FIXED_SEASON_COST)</f>
        <v>28649.9903700134</v>
      </c>
      <c r="T190" s="53" t="n">
        <f aca="false">IF(OR($A190&gt;TOMATO_BED_CAP,$B190&gt;CARROT_BED_CAP,T$4&gt;MESCLUN_BED_CAP,$A190+$B190+T$4&gt;TOTAL_BEDS_AVAILABLE,($D190+T$5)&gt;TOTAL_LABOR_HOURS_CAP,MAX(0,($D190+T$5)-PERMANENT_FIELD_LABOR_HOURS)&gt;TEMP_HOURS_CAP),"",$C190+T$6-MIN(($D190+T$5),PERMANENT_FIELD_LABOR_HOURS)*PERMANENT_HOURLY_RATE-MAX(0,($D190+T$5)-PERMANENT_FIELD_LABOR_HOURS)*TEMP_HOURLY_RATE-FIXED_SEASON_COST)</f>
        <v>29391.2038384083</v>
      </c>
      <c r="U190" s="53" t="n">
        <f aca="false">IF(OR($A190&gt;TOMATO_BED_CAP,$B190&gt;CARROT_BED_CAP,U$4&gt;MESCLUN_BED_CAP,$A190+$B190+U$4&gt;TOTAL_BEDS_AVAILABLE,($D190+U$5)&gt;TOTAL_LABOR_HOURS_CAP,MAX(0,($D190+U$5)-PERMANENT_FIELD_LABOR_HOURS)&gt;TEMP_HOURS_CAP),"",$C190+U$6-MIN(($D190+U$5),PERMANENT_FIELD_LABOR_HOURS)*PERMANENT_HOURLY_RATE-MAX(0,($D190+U$5)-PERMANENT_FIELD_LABOR_HOURS)*TEMP_HOURLY_RATE-FIXED_SEASON_COST)</f>
        <v>30107.3125670384</v>
      </c>
      <c r="V190" s="53" t="n">
        <f aca="false">IF(OR($A190&gt;TOMATO_BED_CAP,$B190&gt;CARROT_BED_CAP,V$4&gt;MESCLUN_BED_CAP,$A190+$B190+V$4&gt;TOTAL_BEDS_AVAILABLE,($D190+V$5)&gt;TOTAL_LABOR_HOURS_CAP,MAX(0,($D190+V$5)-PERMANENT_FIELD_LABOR_HOURS)&gt;TEMP_HOURS_CAP),"",$C190+V$6-MIN(($D190+V$5),PERMANENT_FIELD_LABOR_HOURS)*PERMANENT_HOURLY_RATE-MAX(0,($D190+V$5)-PERMANENT_FIELD_LABOR_HOURS)*TEMP_HOURLY_RATE-FIXED_SEASON_COST)</f>
        <v>30797.8574978052</v>
      </c>
      <c r="W190" s="53" t="n">
        <f aca="false">IF(OR($A190&gt;TOMATO_BED_CAP,$B190&gt;CARROT_BED_CAP,W$4&gt;MESCLUN_BED_CAP,$A190+$B190+W$4&gt;TOTAL_BEDS_AVAILABLE,($D190+W$5)&gt;TOTAL_LABOR_HOURS_CAP,MAX(0,($D190+W$5)-PERMANENT_FIELD_LABOR_HOURS)&gt;TEMP_HOURS_CAP),"",$C190+W$6-MIN(($D190+W$5),PERMANENT_FIELD_LABOR_HOURS)*PERMANENT_HOURLY_RATE-MAX(0,($D190+W$5)-PERMANENT_FIELD_LABOR_HOURS)*TEMP_HOURLY_RATE-FIXED_SEASON_COST)</f>
        <v>31462.3720187732</v>
      </c>
      <c r="X190" s="53" t="n">
        <f aca="false">IF(OR($A190&gt;TOMATO_BED_CAP,$B190&gt;CARROT_BED_CAP,X$4&gt;MESCLUN_BED_CAP,$A190+$B190+X$4&gt;TOTAL_BEDS_AVAILABLE,($D190+X$5)&gt;TOTAL_LABOR_HOURS_CAP,MAX(0,($D190+X$5)-PERMANENT_FIELD_LABOR_HOURS)&gt;TEMP_HOURS_CAP),"",$C190+X$6-MIN(($D190+X$5),PERMANENT_FIELD_LABOR_HOURS)*PERMANENT_HOURLY_RATE-MAX(0,($D190+X$5)-PERMANENT_FIELD_LABOR_HOURS)*TEMP_HOURLY_RATE-FIXED_SEASON_COST)</f>
        <v>32100.3818470522</v>
      </c>
      <c r="Y190" s="53" t="n">
        <f aca="false">IF(OR($A190&gt;TOMATO_BED_CAP,$B190&gt;CARROT_BED_CAP,Y$4&gt;MESCLUN_BED_CAP,$A190+$B190+Y$4&gt;TOTAL_BEDS_AVAILABLE,($D190+Y$5)&gt;TOTAL_LABOR_HOURS_CAP,MAX(0,($D190+Y$5)-PERMANENT_FIELD_LABOR_HOURS)&gt;TEMP_HOURS_CAP),"",$C190+Y$6-MIN(($D190+Y$5),PERMANENT_FIELD_LABOR_HOURS)*PERMANENT_HOURLY_RATE-MAX(0,($D190+Y$5)-PERMANENT_FIELD_LABOR_HOURS)*TEMP_HOURLY_RATE-FIXED_SEASON_COST)</f>
        <v>32711.4049099308</v>
      </c>
      <c r="Z190" s="53" t="n">
        <f aca="false">IF(OR($A190&gt;TOMATO_BED_CAP,$B190&gt;CARROT_BED_CAP,Z$4&gt;MESCLUN_BED_CAP,$A190+$B190+Z$4&gt;TOTAL_BEDS_AVAILABLE,($D190+Z$5)&gt;TOTAL_LABOR_HOURS_CAP,MAX(0,($D190+Z$5)-PERMANENT_FIELD_LABOR_HOURS)&gt;TEMP_HOURS_CAP),"",$C190+Z$6-MIN(($D190+Z$5),PERMANENT_FIELD_LABOR_HOURS)*PERMANENT_HOURLY_RATE-MAX(0,($D190+Z$5)-PERMANENT_FIELD_LABOR_HOURS)*TEMP_HOURLY_RATE-FIXED_SEASON_COST)</f>
        <v>33294.9512242385</v>
      </c>
      <c r="AA190" s="53" t="n">
        <f aca="false">IF(OR($A190&gt;TOMATO_BED_CAP,$B190&gt;CARROT_BED_CAP,AA$4&gt;MESCLUN_BED_CAP,$A190+$B190+AA$4&gt;TOTAL_BEDS_AVAILABLE,($D190+AA$5)&gt;TOTAL_LABOR_HOURS_CAP,MAX(0,($D190+AA$5)-PERMANENT_FIELD_LABOR_HOURS)&gt;TEMP_HOURS_CAP),"",$C190+AA$6-MIN(($D190+AA$5),PERMANENT_FIELD_LABOR_HOURS)*PERMANENT_HOURLY_RATE-MAX(0,($D190+AA$5)-PERMANENT_FIELD_LABOR_HOURS)*TEMP_HOURLY_RATE-FIXED_SEASON_COST)</f>
        <v>33850.5227739075</v>
      </c>
      <c r="AB190" s="53" t="n">
        <f aca="false">IF(OR($A190&gt;TOMATO_BED_CAP,$B190&gt;CARROT_BED_CAP,AB$4&gt;MESCLUN_BED_CAP,$A190+$B190+AB$4&gt;TOTAL_BEDS_AVAILABLE,($D190+AB$5)&gt;TOTAL_LABOR_HOURS_CAP,MAX(0,($D190+AB$5)-PERMANENT_FIELD_LABOR_HOURS)&gt;TEMP_HOURS_CAP),"",$C190+AB$6-MIN(($D190+AB$5),PERMANENT_FIELD_LABOR_HOURS)*PERMANENT_HOURLY_RATE-MAX(0,($D190+AB$5)-PERMANENT_FIELD_LABOR_HOURS)*TEMP_HOURLY_RATE-FIXED_SEASON_COST)</f>
        <v>34377.61338571</v>
      </c>
      <c r="AC190" s="53" t="n">
        <f aca="false">IF(OR($A190&gt;TOMATO_BED_CAP,$B190&gt;CARROT_BED_CAP,AC$4&gt;MESCLUN_BED_CAP,$A190+$B190+AC$4&gt;TOTAL_BEDS_AVAILABLE,($D190+AC$5)&gt;TOTAL_LABOR_HOURS_CAP,MAX(0,($D190+AC$5)-PERMANENT_FIELD_LABOR_HOURS)&gt;TEMP_HOURS_CAP),"",$C190+AC$6-MIN(($D190+AC$5),PERMANENT_FIELD_LABOR_HOURS)*PERMANENT_HOURLY_RATE-MAX(0,($D190+AC$5)-PERMANENT_FIELD_LABOR_HOURS)*TEMP_HOURLY_RATE-FIXED_SEASON_COST)</f>
        <v>34875.7086031449</v>
      </c>
      <c r="AD190" s="53" t="n">
        <f aca="false">IF(OR($A190&gt;TOMATO_BED_CAP,$B190&gt;CARROT_BED_CAP,AD$4&gt;MESCLUN_BED_CAP,$A190+$B190+AD$4&gt;TOTAL_BEDS_AVAILABLE,($D190+AD$5)&gt;TOTAL_LABOR_HOURS_CAP,MAX(0,($D190+AD$5)-PERMANENT_FIELD_LABOR_HOURS)&gt;TEMP_HOURS_CAP),"",$C190+AD$6-MIN(($D190+AD$5),PERMANENT_FIELD_LABOR_HOURS)*PERMANENT_HOURLY_RATE-MAX(0,($D190+AD$5)-PERMANENT_FIELD_LABOR_HOURS)*TEMP_HOURLY_RATE-FIXED_SEASON_COST)</f>
        <v>35344.2855584449</v>
      </c>
      <c r="AE190" s="53" t="n">
        <f aca="false">IF(OR($A190&gt;TOMATO_BED_CAP,$B190&gt;CARROT_BED_CAP,AE$4&gt;MESCLUN_BED_CAP,$A190+$B190+AE$4&gt;TOTAL_BEDS_AVAILABLE,($D190+AE$5)&gt;TOTAL_LABOR_HOURS_CAP,MAX(0,($D190+AE$5)-PERMANENT_FIELD_LABOR_HOURS)&gt;TEMP_HOURS_CAP),"",$C190+AE$6-MIN(($D190+AE$5),PERMANENT_FIELD_LABOR_HOURS)*PERMANENT_HOURLY_RATE-MAX(0,($D190+AE$5)-PERMANENT_FIELD_LABOR_HOURS)*TEMP_HOURLY_RATE-FIXED_SEASON_COST)</f>
        <v>35782.8128426788</v>
      </c>
      <c r="AF190" s="53" t="n">
        <f aca="false">IF(OR($A190&gt;TOMATO_BED_CAP,$B190&gt;CARROT_BED_CAP,AF$4&gt;MESCLUN_BED_CAP,$A190+$B190+AF$4&gt;TOTAL_BEDS_AVAILABLE,($D190+AF$5)&gt;TOTAL_LABOR_HOURS_CAP,MAX(0,($D190+AF$5)-PERMANENT_FIELD_LABOR_HOURS)&gt;TEMP_HOURS_CAP),"",$C190+AF$6-MIN(($D190+AF$5),PERMANENT_FIELD_LABOR_HOURS)*PERMANENT_HOURLY_RATE-MAX(0,($D190+AF$5)-PERMANENT_FIELD_LABOR_HOURS)*TEMP_HOURLY_RATE-FIXED_SEASON_COST)</f>
        <v>36190.7503739207</v>
      </c>
      <c r="AG190" s="53" t="n">
        <f aca="false">IF(OR($A190&gt;TOMATO_BED_CAP,$B190&gt;CARROT_BED_CAP,AG$4&gt;MESCLUN_BED_CAP,$A190+$B190+AG$4&gt;TOTAL_BEDS_AVAILABLE,($D190+AG$5)&gt;TOTAL_LABOR_HOURS_CAP,MAX(0,($D190+AG$5)-PERMANENT_FIELD_LABOR_HOURS)&gt;TEMP_HOURS_CAP),"",$C190+AG$6-MIN(($D190+AG$5),PERMANENT_FIELD_LABOR_HOURS)*PERMANENT_HOURLY_RATE-MAX(0,($D190+AG$5)-PERMANENT_FIELD_LABOR_HOURS)*TEMP_HOURLY_RATE-FIXED_SEASON_COST)</f>
        <v>36567.5492634578</v>
      </c>
      <c r="AH190" s="53" t="n">
        <f aca="false">IF(OR($A190&gt;TOMATO_BED_CAP,$B190&gt;CARROT_BED_CAP,AH$4&gt;MESCLUN_BED_CAP,$A190+$B190+AH$4&gt;TOTAL_BEDS_AVAILABLE,($D190+AH$5)&gt;TOTAL_LABOR_HOURS_CAP,MAX(0,($D190+AH$5)-PERMANENT_FIELD_LABOR_HOURS)&gt;TEMP_HOURS_CAP),"",$C190+AH$6-MIN(($D190+AH$5),PERMANENT_FIELD_LABOR_HOURS)*PERMANENT_HOURLY_RATE-MAX(0,($D190+AH$5)-PERMANENT_FIELD_LABOR_HOURS)*TEMP_HOURLY_RATE-FIXED_SEASON_COST)</f>
        <v>36912.651680008</v>
      </c>
      <c r="AI190" s="53" t="n">
        <f aca="false">IF(OR($A190&gt;TOMATO_BED_CAP,$B190&gt;CARROT_BED_CAP,AI$4&gt;MESCLUN_BED_CAP,$A190+$B190+AI$4&gt;TOTAL_BEDS_AVAILABLE,($D190+AI$5)&gt;TOTAL_LABOR_HOURS_CAP,MAX(0,($D190+AI$5)-PERMANENT_FIELD_LABOR_HOURS)&gt;TEMP_HOURS_CAP),"",$C190+AI$6-MIN(($D190+AI$5),PERMANENT_FIELD_LABOR_HOURS)*PERMANENT_HOURLY_RATE-MAX(0,($D190+AI$5)-PERMANENT_FIELD_LABOR_HOURS)*TEMP_HOURLY_RATE-FIXED_SEASON_COST)</f>
        <v>37225.4907119203</v>
      </c>
      <c r="AJ190" s="53" t="n">
        <f aca="false">IF(OR($A190&gt;TOMATO_BED_CAP,$B190&gt;CARROT_BED_CAP,AJ$4&gt;MESCLUN_BED_CAP,$A190+$B190+AJ$4&gt;TOTAL_BEDS_AVAILABLE,($D190+AJ$5)&gt;TOTAL_LABOR_HOURS_CAP,MAX(0,($D190+AJ$5)-PERMANENT_FIELD_LABOR_HOURS)&gt;TEMP_HOURS_CAP),"",$C190+AJ$6-MIN(($D190+AJ$5),PERMANENT_FIELD_LABOR_HOURS)*PERMANENT_HOURLY_RATE-MAX(0,($D190+AJ$5)-PERMANENT_FIELD_LABOR_HOURS)*TEMP_HOURLY_RATE-FIXED_SEASON_COST)</f>
        <v>37505.490227326</v>
      </c>
    </row>
    <row r="191" customFormat="false" ht="15" hidden="false" customHeight="false" outlineLevel="0" collapsed="false">
      <c r="A191" s="21" t="n">
        <f aca="false">INT((ROW()-ROW($A$8))/(20+1))</f>
        <v>8</v>
      </c>
      <c r="B191" s="21" t="n">
        <f aca="false">MOD(ROW()-ROW($A$8),20+1)</f>
        <v>15</v>
      </c>
      <c r="C191" s="13" t="n">
        <f aca="false">A191*(TOMATO_REVENUE_PER_BED-TOMATO_FERTILIZER_PER_BED)+B191*(CARROT_REVENUE_PER_BED-CARROT_FERTILIZER_PER_BED)</f>
        <v>88170</v>
      </c>
      <c r="D191" s="14" t="n">
        <f aca="false">INDEX(TOMATO_SCHED_LABOR_HRS,A191+1)+INDEX(CARROT_SCHED_LABOR_HRS,B191+1)</f>
        <v>2194.85742445418</v>
      </c>
      <c r="E191" s="13" t="n">
        <f aca="false">IF(COUNT(F191:AJ191)=0,"",MAX(F191:AJ191))</f>
        <v>38148.064406348</v>
      </c>
      <c r="F191" s="53" t="n">
        <f aca="false">IF(OR($A191&gt;TOMATO_BED_CAP,$B191&gt;CARROT_BED_CAP,F$4&gt;MESCLUN_BED_CAP,$A191+$B191+F$4&gt;TOTAL_BEDS_AVAILABLE,($D191+F$5)&gt;TOTAL_LABOR_HOURS_CAP,MAX(0,($D191+F$5)-PERMANENT_FIELD_LABOR_HOURS)&gt;TEMP_HOURS_CAP),"",$C191+F$6-MIN(($D191+F$5),PERMANENT_FIELD_LABOR_HOURS)*PERMANENT_HOURLY_RATE-MAX(0,($D191+F$5)-PERMANENT_FIELD_LABOR_HOURS)*TEMP_HOURLY_RATE-FIXED_SEASON_COST)</f>
        <v>17568.0751114754</v>
      </c>
      <c r="G191" s="53" t="n">
        <f aca="false">IF(OR($A191&gt;TOMATO_BED_CAP,$B191&gt;CARROT_BED_CAP,G$4&gt;MESCLUN_BED_CAP,$A191+$B191+G$4&gt;TOTAL_BEDS_AVAILABLE,($D191+G$5)&gt;TOTAL_LABOR_HOURS_CAP,MAX(0,($D191+G$5)-PERMANENT_FIELD_LABOR_HOURS)&gt;TEMP_HOURS_CAP),"",$C191+G$6-MIN(($D191+G$5),PERMANENT_FIELD_LABOR_HOURS)*PERMANENT_HOURLY_RATE-MAX(0,($D191+G$5)-PERMANENT_FIELD_LABOR_HOURS)*TEMP_HOURLY_RATE-FIXED_SEASON_COST)</f>
        <v>18597.1101114754</v>
      </c>
      <c r="H191" s="53" t="n">
        <f aca="false">IF(OR($A191&gt;TOMATO_BED_CAP,$B191&gt;CARROT_BED_CAP,H$4&gt;MESCLUN_BED_CAP,$A191+$B191+H$4&gt;TOTAL_BEDS_AVAILABLE,($D191+H$5)&gt;TOTAL_LABOR_HOURS_CAP,MAX(0,($D191+H$5)-PERMANENT_FIELD_LABOR_HOURS)&gt;TEMP_HOURS_CAP),"",$C191+H$6-MIN(($D191+H$5),PERMANENT_FIELD_LABOR_HOURS)*PERMANENT_HOURLY_RATE-MAX(0,($D191+H$5)-PERMANENT_FIELD_LABOR_HOURS)*TEMP_HOURLY_RATE-FIXED_SEASON_COST)</f>
        <v>19606.3709864754</v>
      </c>
      <c r="I191" s="53" t="n">
        <f aca="false">IF(OR($A191&gt;TOMATO_BED_CAP,$B191&gt;CARROT_BED_CAP,I$4&gt;MESCLUN_BED_CAP,$A191+$B191+I$4&gt;TOTAL_BEDS_AVAILABLE,($D191+I$5)&gt;TOTAL_LABOR_HOURS_CAP,MAX(0,($D191+I$5)-PERMANENT_FIELD_LABOR_HOURS)&gt;TEMP_HOURS_CAP),"",$C191+I$6-MIN(($D191+I$5),PERMANENT_FIELD_LABOR_HOURS)*PERMANENT_HOURLY_RATE-MAX(0,($D191+I$5)-PERMANENT_FIELD_LABOR_HOURS)*TEMP_HOURLY_RATE-FIXED_SEASON_COST)</f>
        <v>20595.4869716317</v>
      </c>
      <c r="J191" s="53" t="n">
        <f aca="false">IF(OR($A191&gt;TOMATO_BED_CAP,$B191&gt;CARROT_BED_CAP,J$4&gt;MESCLUN_BED_CAP,$A191+$B191+J$4&gt;TOTAL_BEDS_AVAILABLE,($D191+J$5)&gt;TOTAL_LABOR_HOURS_CAP,MAX(0,($D191+J$5)-PERMANENT_FIELD_LABOR_HOURS)&gt;TEMP_HOURS_CAP),"",$C191+J$6-MIN(($D191+J$5),PERMANENT_FIELD_LABOR_HOURS)*PERMANENT_HOURLY_RATE-MAX(0,($D191+J$5)-PERMANENT_FIELD_LABOR_HOURS)*TEMP_HOURLY_RATE-FIXED_SEASON_COST)</f>
        <v>21564.0811226864</v>
      </c>
      <c r="K191" s="53" t="n">
        <f aca="false">IF(OR($A191&gt;TOMATO_BED_CAP,$B191&gt;CARROT_BED_CAP,K$4&gt;MESCLUN_BED_CAP,$A191+$B191+K$4&gt;TOTAL_BEDS_AVAILABLE,($D191+K$5)&gt;TOTAL_LABOR_HOURS_CAP,MAX(0,($D191+K$5)-PERMANENT_FIELD_LABOR_HOURS)&gt;TEMP_HOURS_CAP),"",$C191+K$6-MIN(($D191+K$5),PERMANENT_FIELD_LABOR_HOURS)*PERMANENT_HOURLY_RATE-MAX(0,($D191+K$5)-PERMANENT_FIELD_LABOR_HOURS)*TEMP_HOURLY_RATE-FIXED_SEASON_COST)</f>
        <v>22511.7702194143</v>
      </c>
      <c r="L191" s="53" t="n">
        <f aca="false">IF(OR($A191&gt;TOMATO_BED_CAP,$B191&gt;CARROT_BED_CAP,L$4&gt;MESCLUN_BED_CAP,$A191+$B191+L$4&gt;TOTAL_BEDS_AVAILABLE,($D191+L$5)&gt;TOTAL_LABOR_HOURS_CAP,MAX(0,($D191+L$5)-PERMANENT_FIELD_LABOR_HOURS)&gt;TEMP_HOURS_CAP),"",$C191+L$6-MIN(($D191+L$5),PERMANENT_FIELD_LABOR_HOURS)*PERMANENT_HOURLY_RATE-MAX(0,($D191+L$5)-PERMANENT_FIELD_LABOR_HOURS)*TEMP_HOURLY_RATE-FIXED_SEASON_COST)</f>
        <v>23438.1646676211</v>
      </c>
      <c r="M191" s="53" t="n">
        <f aca="false">IF(OR($A191&gt;TOMATO_BED_CAP,$B191&gt;CARROT_BED_CAP,M$4&gt;MESCLUN_BED_CAP,$A191+$B191+M$4&gt;TOTAL_BEDS_AVAILABLE,($D191+M$5)&gt;TOTAL_LABOR_HOURS_CAP,MAX(0,($D191+M$5)-PERMANENT_FIELD_LABOR_HOURS)&gt;TEMP_HOURS_CAP),"",$C191+M$6-MIN(($D191+M$5),PERMANENT_FIELD_LABOR_HOURS)*PERMANENT_HOURLY_RATE-MAX(0,($D191+M$5)-PERMANENT_FIELD_LABOR_HOURS)*TEMP_HOURLY_RATE-FIXED_SEASON_COST)</f>
        <v>24342.8683996725</v>
      </c>
      <c r="N191" s="53" t="n">
        <f aca="false">IF(OR($A191&gt;TOMATO_BED_CAP,$B191&gt;CARROT_BED_CAP,N$4&gt;MESCLUN_BED_CAP,$A191+$B191+N$4&gt;TOTAL_BEDS_AVAILABLE,($D191+N$5)&gt;TOTAL_LABOR_HOURS_CAP,MAX(0,($D191+N$5)-PERMANENT_FIELD_LABOR_HOURS)&gt;TEMP_HOURS_CAP),"",$C191+N$6-MIN(($D191+N$5),PERMANENT_FIELD_LABOR_HOURS)*PERMANENT_HOURLY_RATE-MAX(0,($D191+N$5)-PERMANENT_FIELD_LABOR_HOURS)*TEMP_HOURLY_RATE-FIXED_SEASON_COST)</f>
        <v>25225.4787735321</v>
      </c>
      <c r="O191" s="53" t="n">
        <f aca="false">IF(OR($A191&gt;TOMATO_BED_CAP,$B191&gt;CARROT_BED_CAP,O$4&gt;MESCLUN_BED_CAP,$A191+$B191+O$4&gt;TOTAL_BEDS_AVAILABLE,($D191+O$5)&gt;TOTAL_LABOR_HOURS_CAP,MAX(0,($D191+O$5)-PERMANENT_FIELD_LABOR_HOURS)&gt;TEMP_HOURS_CAP),"",$C191+O$6-MIN(($D191+O$5),PERMANENT_FIELD_LABOR_HOURS)*PERMANENT_HOURLY_RATE-MAX(0,($D191+O$5)-PERMANENT_FIELD_LABOR_HOURS)*TEMP_HOURLY_RATE-FIXED_SEASON_COST)</f>
        <v>26085.5864702868</v>
      </c>
      <c r="P191" s="53" t="n">
        <f aca="false">IF(OR($A191&gt;TOMATO_BED_CAP,$B191&gt;CARROT_BED_CAP,P$4&gt;MESCLUN_BED_CAP,$A191+$B191+P$4&gt;TOTAL_BEDS_AVAILABLE,($D191+P$5)&gt;TOTAL_LABOR_HOURS_CAP,MAX(0,($D191+P$5)-PERMANENT_FIELD_LABOR_HOURS)&gt;TEMP_HOURS_CAP),"",$C191+P$6-MIN(($D191+P$5),PERMANENT_FIELD_LABOR_HOURS)*PERMANENT_HOURLY_RATE-MAX(0,($D191+P$5)-PERMANENT_FIELD_LABOR_HOURS)*TEMP_HOURLY_RATE-FIXED_SEASON_COST)</f>
        <v>26922.7753901383</v>
      </c>
      <c r="Q191" s="53" t="n">
        <f aca="false">IF(OR($A191&gt;TOMATO_BED_CAP,$B191&gt;CARROT_BED_CAP,Q$4&gt;MESCLUN_BED_CAP,$A191+$B191+Q$4&gt;TOTAL_BEDS_AVAILABLE,($D191+Q$5)&gt;TOTAL_LABOR_HOURS_CAP,MAX(0,($D191+Q$5)-PERMANENT_FIELD_LABOR_HOURS)&gt;TEMP_HOURS_CAP),"",$C191+Q$6-MIN(($D191+Q$5),PERMANENT_FIELD_LABOR_HOURS)*PERMANENT_HOURLY_RATE-MAX(0,($D191+Q$5)-PERMANENT_FIELD_LABOR_HOURS)*TEMP_HOURLY_RATE-FIXED_SEASON_COST)</f>
        <v>27736.6225468362</v>
      </c>
      <c r="R191" s="53" t="n">
        <f aca="false">IF(OR($A191&gt;TOMATO_BED_CAP,$B191&gt;CARROT_BED_CAP,R$4&gt;MESCLUN_BED_CAP,$A191+$B191+R$4&gt;TOTAL_BEDS_AVAILABLE,($D191+R$5)&gt;TOTAL_LABOR_HOURS_CAP,MAX(0,($D191+R$5)-PERMANENT_FIELD_LABOR_HOURS)&gt;TEMP_HOURS_CAP),"",$C191+R$6-MIN(($D191+R$5),PERMANENT_FIELD_LABOR_HOURS)*PERMANENT_HOURLY_RATE-MAX(0,($D191+R$5)-PERMANENT_FIELD_LABOR_HOURS)*TEMP_HOURLY_RATE-FIXED_SEASON_COST)</f>
        <v>28526.697960533</v>
      </c>
      <c r="S191" s="53" t="n">
        <f aca="false">IF(OR($A191&gt;TOMATO_BED_CAP,$B191&gt;CARROT_BED_CAP,S$4&gt;MESCLUN_BED_CAP,$A191+$B191+S$4&gt;TOTAL_BEDS_AVAILABLE,($D191+S$5)&gt;TOTAL_LABOR_HOURS_CAP,MAX(0,($D191+S$5)-PERMANENT_FIELD_LABOR_HOURS)&gt;TEMP_HOURS_CAP),"",$C191+S$6-MIN(($D191+S$5),PERMANENT_FIELD_LABOR_HOURS)*PERMANENT_HOURLY_RATE-MAX(0,($D191+S$5)-PERMANENT_FIELD_LABOR_HOURS)*TEMP_HOURLY_RATE-FIXED_SEASON_COST)</f>
        <v>29292.5645490354</v>
      </c>
      <c r="T191" s="53" t="n">
        <f aca="false">IF(OR($A191&gt;TOMATO_BED_CAP,$B191&gt;CARROT_BED_CAP,T$4&gt;MESCLUN_BED_CAP,$A191+$B191+T$4&gt;TOTAL_BEDS_AVAILABLE,($D191+T$5)&gt;TOTAL_LABOR_HOURS_CAP,MAX(0,($D191+T$5)-PERMANENT_FIELD_LABOR_HOURS)&gt;TEMP_HOURS_CAP),"",$C191+T$6-MIN(($D191+T$5),PERMANENT_FIELD_LABOR_HOURS)*PERMANENT_HOURLY_RATE-MAX(0,($D191+T$5)-PERMANENT_FIELD_LABOR_HOURS)*TEMP_HOURLY_RATE-FIXED_SEASON_COST)</f>
        <v>30033.7780174302</v>
      </c>
      <c r="U191" s="53" t="n">
        <f aca="false">IF(OR($A191&gt;TOMATO_BED_CAP,$B191&gt;CARROT_BED_CAP,U$4&gt;MESCLUN_BED_CAP,$A191+$B191+U$4&gt;TOTAL_BEDS_AVAILABLE,($D191+U$5)&gt;TOTAL_LABOR_HOURS_CAP,MAX(0,($D191+U$5)-PERMANENT_FIELD_LABOR_HOURS)&gt;TEMP_HOURS_CAP),"",$C191+U$6-MIN(($D191+U$5),PERMANENT_FIELD_LABOR_HOURS)*PERMANENT_HOURLY_RATE-MAX(0,($D191+U$5)-PERMANENT_FIELD_LABOR_HOURS)*TEMP_HOURLY_RATE-FIXED_SEASON_COST)</f>
        <v>30749.8867460604</v>
      </c>
      <c r="V191" s="53" t="n">
        <f aca="false">IF(OR($A191&gt;TOMATO_BED_CAP,$B191&gt;CARROT_BED_CAP,V$4&gt;MESCLUN_BED_CAP,$A191+$B191+V$4&gt;TOTAL_BEDS_AVAILABLE,($D191+V$5)&gt;TOTAL_LABOR_HOURS_CAP,MAX(0,($D191+V$5)-PERMANENT_FIELD_LABOR_HOURS)&gt;TEMP_HOURS_CAP),"",$C191+V$6-MIN(($D191+V$5),PERMANENT_FIELD_LABOR_HOURS)*PERMANENT_HOURLY_RATE-MAX(0,($D191+V$5)-PERMANENT_FIELD_LABOR_HOURS)*TEMP_HOURLY_RATE-FIXED_SEASON_COST)</f>
        <v>31440.4316768271</v>
      </c>
      <c r="W191" s="53" t="n">
        <f aca="false">IF(OR($A191&gt;TOMATO_BED_CAP,$B191&gt;CARROT_BED_CAP,W$4&gt;MESCLUN_BED_CAP,$A191+$B191+W$4&gt;TOTAL_BEDS_AVAILABLE,($D191+W$5)&gt;TOTAL_LABOR_HOURS_CAP,MAX(0,($D191+W$5)-PERMANENT_FIELD_LABOR_HOURS)&gt;TEMP_HOURS_CAP),"",$C191+W$6-MIN(($D191+W$5),PERMANENT_FIELD_LABOR_HOURS)*PERMANENT_HOURLY_RATE-MAX(0,($D191+W$5)-PERMANENT_FIELD_LABOR_HOURS)*TEMP_HOURLY_RATE-FIXED_SEASON_COST)</f>
        <v>32104.9461977952</v>
      </c>
      <c r="X191" s="53" t="n">
        <f aca="false">IF(OR($A191&gt;TOMATO_BED_CAP,$B191&gt;CARROT_BED_CAP,X$4&gt;MESCLUN_BED_CAP,$A191+$B191+X$4&gt;TOTAL_BEDS_AVAILABLE,($D191+X$5)&gt;TOTAL_LABOR_HOURS_CAP,MAX(0,($D191+X$5)-PERMANENT_FIELD_LABOR_HOURS)&gt;TEMP_HOURS_CAP),"",$C191+X$6-MIN(($D191+X$5),PERMANENT_FIELD_LABOR_HOURS)*PERMANENT_HOURLY_RATE-MAX(0,($D191+X$5)-PERMANENT_FIELD_LABOR_HOURS)*TEMP_HOURLY_RATE-FIXED_SEASON_COST)</f>
        <v>32742.9560260741</v>
      </c>
      <c r="Y191" s="53" t="n">
        <f aca="false">IF(OR($A191&gt;TOMATO_BED_CAP,$B191&gt;CARROT_BED_CAP,Y$4&gt;MESCLUN_BED_CAP,$A191+$B191+Y$4&gt;TOTAL_BEDS_AVAILABLE,($D191+Y$5)&gt;TOTAL_LABOR_HOURS_CAP,MAX(0,($D191+Y$5)-PERMANENT_FIELD_LABOR_HOURS)&gt;TEMP_HOURS_CAP),"",$C191+Y$6-MIN(($D191+Y$5),PERMANENT_FIELD_LABOR_HOURS)*PERMANENT_HOURLY_RATE-MAX(0,($D191+Y$5)-PERMANENT_FIELD_LABOR_HOURS)*TEMP_HOURLY_RATE-FIXED_SEASON_COST)</f>
        <v>33353.9790889528</v>
      </c>
      <c r="Z191" s="53" t="n">
        <f aca="false">IF(OR($A191&gt;TOMATO_BED_CAP,$B191&gt;CARROT_BED_CAP,Z$4&gt;MESCLUN_BED_CAP,$A191+$B191+Z$4&gt;TOTAL_BEDS_AVAILABLE,($D191+Z$5)&gt;TOTAL_LABOR_HOURS_CAP,MAX(0,($D191+Z$5)-PERMANENT_FIELD_LABOR_HOURS)&gt;TEMP_HOURS_CAP),"",$C191+Z$6-MIN(($D191+Z$5),PERMANENT_FIELD_LABOR_HOURS)*PERMANENT_HOURLY_RATE-MAX(0,($D191+Z$5)-PERMANENT_FIELD_LABOR_HOURS)*TEMP_HOURLY_RATE-FIXED_SEASON_COST)</f>
        <v>33937.5254032605</v>
      </c>
      <c r="AA191" s="53" t="n">
        <f aca="false">IF(OR($A191&gt;TOMATO_BED_CAP,$B191&gt;CARROT_BED_CAP,AA$4&gt;MESCLUN_BED_CAP,$A191+$B191+AA$4&gt;TOTAL_BEDS_AVAILABLE,($D191+AA$5)&gt;TOTAL_LABOR_HOURS_CAP,MAX(0,($D191+AA$5)-PERMANENT_FIELD_LABOR_HOURS)&gt;TEMP_HOURS_CAP),"",$C191+AA$6-MIN(($D191+AA$5),PERMANENT_FIELD_LABOR_HOURS)*PERMANENT_HOURLY_RATE-MAX(0,($D191+AA$5)-PERMANENT_FIELD_LABOR_HOURS)*TEMP_HOURLY_RATE-FIXED_SEASON_COST)</f>
        <v>34493.0969529294</v>
      </c>
      <c r="AB191" s="53" t="n">
        <f aca="false">IF(OR($A191&gt;TOMATO_BED_CAP,$B191&gt;CARROT_BED_CAP,AB$4&gt;MESCLUN_BED_CAP,$A191+$B191+AB$4&gt;TOTAL_BEDS_AVAILABLE,($D191+AB$5)&gt;TOTAL_LABOR_HOURS_CAP,MAX(0,($D191+AB$5)-PERMANENT_FIELD_LABOR_HOURS)&gt;TEMP_HOURS_CAP),"",$C191+AB$6-MIN(($D191+AB$5),PERMANENT_FIELD_LABOR_HOURS)*PERMANENT_HOURLY_RATE-MAX(0,($D191+AB$5)-PERMANENT_FIELD_LABOR_HOURS)*TEMP_HOURLY_RATE-FIXED_SEASON_COST)</f>
        <v>35020.187564732</v>
      </c>
      <c r="AC191" s="53" t="n">
        <f aca="false">IF(OR($A191&gt;TOMATO_BED_CAP,$B191&gt;CARROT_BED_CAP,AC$4&gt;MESCLUN_BED_CAP,$A191+$B191+AC$4&gt;TOTAL_BEDS_AVAILABLE,($D191+AC$5)&gt;TOTAL_LABOR_HOURS_CAP,MAX(0,($D191+AC$5)-PERMANENT_FIELD_LABOR_HOURS)&gt;TEMP_HOURS_CAP),"",$C191+AC$6-MIN(($D191+AC$5),PERMANENT_FIELD_LABOR_HOURS)*PERMANENT_HOURLY_RATE-MAX(0,($D191+AC$5)-PERMANENT_FIELD_LABOR_HOURS)*TEMP_HOURLY_RATE-FIXED_SEASON_COST)</f>
        <v>35518.2827821669</v>
      </c>
      <c r="AD191" s="53" t="n">
        <f aca="false">IF(OR($A191&gt;TOMATO_BED_CAP,$B191&gt;CARROT_BED_CAP,AD$4&gt;MESCLUN_BED_CAP,$A191+$B191+AD$4&gt;TOTAL_BEDS_AVAILABLE,($D191+AD$5)&gt;TOTAL_LABOR_HOURS_CAP,MAX(0,($D191+AD$5)-PERMANENT_FIELD_LABOR_HOURS)&gt;TEMP_HOURS_CAP),"",$C191+AD$6-MIN(($D191+AD$5),PERMANENT_FIELD_LABOR_HOURS)*PERMANENT_HOURLY_RATE-MAX(0,($D191+AD$5)-PERMANENT_FIELD_LABOR_HOURS)*TEMP_HOURLY_RATE-FIXED_SEASON_COST)</f>
        <v>35986.8597374669</v>
      </c>
      <c r="AE191" s="53" t="n">
        <f aca="false">IF(OR($A191&gt;TOMATO_BED_CAP,$B191&gt;CARROT_BED_CAP,AE$4&gt;MESCLUN_BED_CAP,$A191+$B191+AE$4&gt;TOTAL_BEDS_AVAILABLE,($D191+AE$5)&gt;TOTAL_LABOR_HOURS_CAP,MAX(0,($D191+AE$5)-PERMANENT_FIELD_LABOR_HOURS)&gt;TEMP_HOURS_CAP),"",$C191+AE$6-MIN(($D191+AE$5),PERMANENT_FIELD_LABOR_HOURS)*PERMANENT_HOURLY_RATE-MAX(0,($D191+AE$5)-PERMANENT_FIELD_LABOR_HOURS)*TEMP_HOURLY_RATE-FIXED_SEASON_COST)</f>
        <v>36425.3870217008</v>
      </c>
      <c r="AF191" s="53" t="n">
        <f aca="false">IF(OR($A191&gt;TOMATO_BED_CAP,$B191&gt;CARROT_BED_CAP,AF$4&gt;MESCLUN_BED_CAP,$A191+$B191+AF$4&gt;TOTAL_BEDS_AVAILABLE,($D191+AF$5)&gt;TOTAL_LABOR_HOURS_CAP,MAX(0,($D191+AF$5)-PERMANENT_FIELD_LABOR_HOURS)&gt;TEMP_HOURS_CAP),"",$C191+AF$6-MIN(($D191+AF$5),PERMANENT_FIELD_LABOR_HOURS)*PERMANENT_HOURLY_RATE-MAX(0,($D191+AF$5)-PERMANENT_FIELD_LABOR_HOURS)*TEMP_HOURLY_RATE-FIXED_SEASON_COST)</f>
        <v>36833.3245529427</v>
      </c>
      <c r="AG191" s="53" t="n">
        <f aca="false">IF(OR($A191&gt;TOMATO_BED_CAP,$B191&gt;CARROT_BED_CAP,AG$4&gt;MESCLUN_BED_CAP,$A191+$B191+AG$4&gt;TOTAL_BEDS_AVAILABLE,($D191+AG$5)&gt;TOTAL_LABOR_HOURS_CAP,MAX(0,($D191+AG$5)-PERMANENT_FIELD_LABOR_HOURS)&gt;TEMP_HOURS_CAP),"",$C191+AG$6-MIN(($D191+AG$5),PERMANENT_FIELD_LABOR_HOURS)*PERMANENT_HOURLY_RATE-MAX(0,($D191+AG$5)-PERMANENT_FIELD_LABOR_HOURS)*TEMP_HOURLY_RATE-FIXED_SEASON_COST)</f>
        <v>37210.1234424797</v>
      </c>
      <c r="AH191" s="53" t="n">
        <f aca="false">IF(OR($A191&gt;TOMATO_BED_CAP,$B191&gt;CARROT_BED_CAP,AH$4&gt;MESCLUN_BED_CAP,$A191+$B191+AH$4&gt;TOTAL_BEDS_AVAILABLE,($D191+AH$5)&gt;TOTAL_LABOR_HOURS_CAP,MAX(0,($D191+AH$5)-PERMANENT_FIELD_LABOR_HOURS)&gt;TEMP_HOURS_CAP),"",$C191+AH$6-MIN(($D191+AH$5),PERMANENT_FIELD_LABOR_HOURS)*PERMANENT_HOURLY_RATE-MAX(0,($D191+AH$5)-PERMANENT_FIELD_LABOR_HOURS)*TEMP_HOURLY_RATE-FIXED_SEASON_COST)</f>
        <v>37555.22585903</v>
      </c>
      <c r="AI191" s="53" t="n">
        <f aca="false">IF(OR($A191&gt;TOMATO_BED_CAP,$B191&gt;CARROT_BED_CAP,AI$4&gt;MESCLUN_BED_CAP,$A191+$B191+AI$4&gt;TOTAL_BEDS_AVAILABLE,($D191+AI$5)&gt;TOTAL_LABOR_HOURS_CAP,MAX(0,($D191+AI$5)-PERMANENT_FIELD_LABOR_HOURS)&gt;TEMP_HOURS_CAP),"",$C191+AI$6-MIN(($D191+AI$5),PERMANENT_FIELD_LABOR_HOURS)*PERMANENT_HOURLY_RATE-MAX(0,($D191+AI$5)-PERMANENT_FIELD_LABOR_HOURS)*TEMP_HOURLY_RATE-FIXED_SEASON_COST)</f>
        <v>37868.0648909422</v>
      </c>
      <c r="AJ191" s="53" t="n">
        <f aca="false">IF(OR($A191&gt;TOMATO_BED_CAP,$B191&gt;CARROT_BED_CAP,AJ$4&gt;MESCLUN_BED_CAP,$A191+$B191+AJ$4&gt;TOTAL_BEDS_AVAILABLE,($D191+AJ$5)&gt;TOTAL_LABOR_HOURS_CAP,MAX(0,($D191+AJ$5)-PERMANENT_FIELD_LABOR_HOURS)&gt;TEMP_HOURS_CAP),"",$C191+AJ$6-MIN(($D191+AJ$5),PERMANENT_FIELD_LABOR_HOURS)*PERMANENT_HOURLY_RATE-MAX(0,($D191+AJ$5)-PERMANENT_FIELD_LABOR_HOURS)*TEMP_HOURLY_RATE-FIXED_SEASON_COST)</f>
        <v>38148.064406348</v>
      </c>
    </row>
    <row r="192" customFormat="false" ht="15" hidden="false" customHeight="false" outlineLevel="0" collapsed="false">
      <c r="A192" s="21" t="n">
        <f aca="false">INT((ROW()-ROW($A$8))/(20+1))</f>
        <v>8</v>
      </c>
      <c r="B192" s="21" t="n">
        <f aca="false">MOD(ROW()-ROW($A$8),20+1)</f>
        <v>16</v>
      </c>
      <c r="C192" s="13" t="n">
        <f aca="false">A192*(TOMATO_REVENUE_PER_BED-TOMATO_FERTILIZER_PER_BED)+B192*(CARROT_REVENUE_PER_BED-CARROT_FERTILIZER_PER_BED)</f>
        <v>89824</v>
      </c>
      <c r="D192" s="14" t="n">
        <f aca="false">INDEX(TOMATO_SCHED_LABOR_HRS,A192+1)+INDEX(CARROT_SCHED_LABOR_HRS,B192+1)</f>
        <v>2255.6616160379</v>
      </c>
      <c r="E192" s="13" t="n">
        <f aca="false">IF(COUNT(F192:AJ192)=0,"",MAX(F192:AJ192))</f>
        <v>38746.5036404545</v>
      </c>
      <c r="F192" s="53" t="n">
        <f aca="false">IF(OR($A192&gt;TOMATO_BED_CAP,$B192&gt;CARROT_BED_CAP,F$4&gt;MESCLUN_BED_CAP,$A192+$B192+F$4&gt;TOTAL_BEDS_AVAILABLE,($D192+F$5)&gt;TOTAL_LABOR_HOURS_CAP,MAX(0,($D192+F$5)-PERMANENT_FIELD_LABOR_HOURS)&gt;TEMP_HOURS_CAP),"",$C192+F$6-MIN(($D192+F$5),PERMANENT_FIELD_LABOR_HOURS)*PERMANENT_HOURLY_RATE-MAX(0,($D192+F$5)-PERMANENT_FIELD_LABOR_HOURS)*TEMP_HOURLY_RATE-FIXED_SEASON_COST)</f>
        <v>18166.514345582</v>
      </c>
      <c r="G192" s="53" t="n">
        <f aca="false">IF(OR($A192&gt;TOMATO_BED_CAP,$B192&gt;CARROT_BED_CAP,G$4&gt;MESCLUN_BED_CAP,$A192+$B192+G$4&gt;TOTAL_BEDS_AVAILABLE,($D192+G$5)&gt;TOTAL_LABOR_HOURS_CAP,MAX(0,($D192+G$5)-PERMANENT_FIELD_LABOR_HOURS)&gt;TEMP_HOURS_CAP),"",$C192+G$6-MIN(($D192+G$5),PERMANENT_FIELD_LABOR_HOURS)*PERMANENT_HOURLY_RATE-MAX(0,($D192+G$5)-PERMANENT_FIELD_LABOR_HOURS)*TEMP_HOURLY_RATE-FIXED_SEASON_COST)</f>
        <v>19195.549345582</v>
      </c>
      <c r="H192" s="53" t="n">
        <f aca="false">IF(OR($A192&gt;TOMATO_BED_CAP,$B192&gt;CARROT_BED_CAP,H$4&gt;MESCLUN_BED_CAP,$A192+$B192+H$4&gt;TOTAL_BEDS_AVAILABLE,($D192+H$5)&gt;TOTAL_LABOR_HOURS_CAP,MAX(0,($D192+H$5)-PERMANENT_FIELD_LABOR_HOURS)&gt;TEMP_HOURS_CAP),"",$C192+H$6-MIN(($D192+H$5),PERMANENT_FIELD_LABOR_HOURS)*PERMANENT_HOURLY_RATE-MAX(0,($D192+H$5)-PERMANENT_FIELD_LABOR_HOURS)*TEMP_HOURLY_RATE-FIXED_SEASON_COST)</f>
        <v>20204.810220582</v>
      </c>
      <c r="I192" s="53" t="n">
        <f aca="false">IF(OR($A192&gt;TOMATO_BED_CAP,$B192&gt;CARROT_BED_CAP,I$4&gt;MESCLUN_BED_CAP,$A192+$B192+I$4&gt;TOTAL_BEDS_AVAILABLE,($D192+I$5)&gt;TOTAL_LABOR_HOURS_CAP,MAX(0,($D192+I$5)-PERMANENT_FIELD_LABOR_HOURS)&gt;TEMP_HOURS_CAP),"",$C192+I$6-MIN(($D192+I$5),PERMANENT_FIELD_LABOR_HOURS)*PERMANENT_HOURLY_RATE-MAX(0,($D192+I$5)-PERMANENT_FIELD_LABOR_HOURS)*TEMP_HOURLY_RATE-FIXED_SEASON_COST)</f>
        <v>21193.9262057382</v>
      </c>
      <c r="J192" s="53" t="n">
        <f aca="false">IF(OR($A192&gt;TOMATO_BED_CAP,$B192&gt;CARROT_BED_CAP,J$4&gt;MESCLUN_BED_CAP,$A192+$B192+J$4&gt;TOTAL_BEDS_AVAILABLE,($D192+J$5)&gt;TOTAL_LABOR_HOURS_CAP,MAX(0,($D192+J$5)-PERMANENT_FIELD_LABOR_HOURS)&gt;TEMP_HOURS_CAP),"",$C192+J$6-MIN(($D192+J$5),PERMANENT_FIELD_LABOR_HOURS)*PERMANENT_HOURLY_RATE-MAX(0,($D192+J$5)-PERMANENT_FIELD_LABOR_HOURS)*TEMP_HOURLY_RATE-FIXED_SEASON_COST)</f>
        <v>22162.5203567929</v>
      </c>
      <c r="K192" s="53" t="n">
        <f aca="false">IF(OR($A192&gt;TOMATO_BED_CAP,$B192&gt;CARROT_BED_CAP,K$4&gt;MESCLUN_BED_CAP,$A192+$B192+K$4&gt;TOTAL_BEDS_AVAILABLE,($D192+K$5)&gt;TOTAL_LABOR_HOURS_CAP,MAX(0,($D192+K$5)-PERMANENT_FIELD_LABOR_HOURS)&gt;TEMP_HOURS_CAP),"",$C192+K$6-MIN(($D192+K$5),PERMANENT_FIELD_LABOR_HOURS)*PERMANENT_HOURLY_RATE-MAX(0,($D192+K$5)-PERMANENT_FIELD_LABOR_HOURS)*TEMP_HOURLY_RATE-FIXED_SEASON_COST)</f>
        <v>23110.2094535208</v>
      </c>
      <c r="L192" s="53" t="n">
        <f aca="false">IF(OR($A192&gt;TOMATO_BED_CAP,$B192&gt;CARROT_BED_CAP,L$4&gt;MESCLUN_BED_CAP,$A192+$B192+L$4&gt;TOTAL_BEDS_AVAILABLE,($D192+L$5)&gt;TOTAL_LABOR_HOURS_CAP,MAX(0,($D192+L$5)-PERMANENT_FIELD_LABOR_HOURS)&gt;TEMP_HOURS_CAP),"",$C192+L$6-MIN(($D192+L$5),PERMANENT_FIELD_LABOR_HOURS)*PERMANENT_HOURLY_RATE-MAX(0,($D192+L$5)-PERMANENT_FIELD_LABOR_HOURS)*TEMP_HOURLY_RATE-FIXED_SEASON_COST)</f>
        <v>24036.6039017277</v>
      </c>
      <c r="M192" s="53" t="n">
        <f aca="false">IF(OR($A192&gt;TOMATO_BED_CAP,$B192&gt;CARROT_BED_CAP,M$4&gt;MESCLUN_BED_CAP,$A192+$B192+M$4&gt;TOTAL_BEDS_AVAILABLE,($D192+M$5)&gt;TOTAL_LABOR_HOURS_CAP,MAX(0,($D192+M$5)-PERMANENT_FIELD_LABOR_HOURS)&gt;TEMP_HOURS_CAP),"",$C192+M$6-MIN(($D192+M$5),PERMANENT_FIELD_LABOR_HOURS)*PERMANENT_HOURLY_RATE-MAX(0,($D192+M$5)-PERMANENT_FIELD_LABOR_HOURS)*TEMP_HOURLY_RATE-FIXED_SEASON_COST)</f>
        <v>24941.3076337791</v>
      </c>
      <c r="N192" s="53" t="n">
        <f aca="false">IF(OR($A192&gt;TOMATO_BED_CAP,$B192&gt;CARROT_BED_CAP,N$4&gt;MESCLUN_BED_CAP,$A192+$B192+N$4&gt;TOTAL_BEDS_AVAILABLE,($D192+N$5)&gt;TOTAL_LABOR_HOURS_CAP,MAX(0,($D192+N$5)-PERMANENT_FIELD_LABOR_HOURS)&gt;TEMP_HOURS_CAP),"",$C192+N$6-MIN(($D192+N$5),PERMANENT_FIELD_LABOR_HOURS)*PERMANENT_HOURLY_RATE-MAX(0,($D192+N$5)-PERMANENT_FIELD_LABOR_HOURS)*TEMP_HOURLY_RATE-FIXED_SEASON_COST)</f>
        <v>25823.9180076386</v>
      </c>
      <c r="O192" s="53" t="n">
        <f aca="false">IF(OR($A192&gt;TOMATO_BED_CAP,$B192&gt;CARROT_BED_CAP,O$4&gt;MESCLUN_BED_CAP,$A192+$B192+O$4&gt;TOTAL_BEDS_AVAILABLE,($D192+O$5)&gt;TOTAL_LABOR_HOURS_CAP,MAX(0,($D192+O$5)-PERMANENT_FIELD_LABOR_HOURS)&gt;TEMP_HOURS_CAP),"",$C192+O$6-MIN(($D192+O$5),PERMANENT_FIELD_LABOR_HOURS)*PERMANENT_HOURLY_RATE-MAX(0,($D192+O$5)-PERMANENT_FIELD_LABOR_HOURS)*TEMP_HOURLY_RATE-FIXED_SEASON_COST)</f>
        <v>26684.0257043934</v>
      </c>
      <c r="P192" s="53" t="n">
        <f aca="false">IF(OR($A192&gt;TOMATO_BED_CAP,$B192&gt;CARROT_BED_CAP,P$4&gt;MESCLUN_BED_CAP,$A192+$B192+P$4&gt;TOTAL_BEDS_AVAILABLE,($D192+P$5)&gt;TOTAL_LABOR_HOURS_CAP,MAX(0,($D192+P$5)-PERMANENT_FIELD_LABOR_HOURS)&gt;TEMP_HOURS_CAP),"",$C192+P$6-MIN(($D192+P$5),PERMANENT_FIELD_LABOR_HOURS)*PERMANENT_HOURLY_RATE-MAX(0,($D192+P$5)-PERMANENT_FIELD_LABOR_HOURS)*TEMP_HOURLY_RATE-FIXED_SEASON_COST)</f>
        <v>27521.2146242448</v>
      </c>
      <c r="Q192" s="53" t="n">
        <f aca="false">IF(OR($A192&gt;TOMATO_BED_CAP,$B192&gt;CARROT_BED_CAP,Q$4&gt;MESCLUN_BED_CAP,$A192+$B192+Q$4&gt;TOTAL_BEDS_AVAILABLE,($D192+Q$5)&gt;TOTAL_LABOR_HOURS_CAP,MAX(0,($D192+Q$5)-PERMANENT_FIELD_LABOR_HOURS)&gt;TEMP_HOURS_CAP),"",$C192+Q$6-MIN(($D192+Q$5),PERMANENT_FIELD_LABOR_HOURS)*PERMANENT_HOURLY_RATE-MAX(0,($D192+Q$5)-PERMANENT_FIELD_LABOR_HOURS)*TEMP_HOURLY_RATE-FIXED_SEASON_COST)</f>
        <v>28335.0617809427</v>
      </c>
      <c r="R192" s="53" t="n">
        <f aca="false">IF(OR($A192&gt;TOMATO_BED_CAP,$B192&gt;CARROT_BED_CAP,R$4&gt;MESCLUN_BED_CAP,$A192+$B192+R$4&gt;TOTAL_BEDS_AVAILABLE,($D192+R$5)&gt;TOTAL_LABOR_HOURS_CAP,MAX(0,($D192+R$5)-PERMANENT_FIELD_LABOR_HOURS)&gt;TEMP_HOURS_CAP),"",$C192+R$6-MIN(($D192+R$5),PERMANENT_FIELD_LABOR_HOURS)*PERMANENT_HOURLY_RATE-MAX(0,($D192+R$5)-PERMANENT_FIELD_LABOR_HOURS)*TEMP_HOURLY_RATE-FIXED_SEASON_COST)</f>
        <v>29125.1371946395</v>
      </c>
      <c r="S192" s="53" t="n">
        <f aca="false">IF(OR($A192&gt;TOMATO_BED_CAP,$B192&gt;CARROT_BED_CAP,S$4&gt;MESCLUN_BED_CAP,$A192+$B192+S$4&gt;TOTAL_BEDS_AVAILABLE,($D192+S$5)&gt;TOTAL_LABOR_HOURS_CAP,MAX(0,($D192+S$5)-PERMANENT_FIELD_LABOR_HOURS)&gt;TEMP_HOURS_CAP),"",$C192+S$6-MIN(($D192+S$5),PERMANENT_FIELD_LABOR_HOURS)*PERMANENT_HOURLY_RATE-MAX(0,($D192+S$5)-PERMANENT_FIELD_LABOR_HOURS)*TEMP_HOURLY_RATE-FIXED_SEASON_COST)</f>
        <v>29891.003783142</v>
      </c>
      <c r="T192" s="53" t="n">
        <f aca="false">IF(OR($A192&gt;TOMATO_BED_CAP,$B192&gt;CARROT_BED_CAP,T$4&gt;MESCLUN_BED_CAP,$A192+$B192+T$4&gt;TOTAL_BEDS_AVAILABLE,($D192+T$5)&gt;TOTAL_LABOR_HOURS_CAP,MAX(0,($D192+T$5)-PERMANENT_FIELD_LABOR_HOURS)&gt;TEMP_HOURS_CAP),"",$C192+T$6-MIN(($D192+T$5),PERMANENT_FIELD_LABOR_HOURS)*PERMANENT_HOURLY_RATE-MAX(0,($D192+T$5)-PERMANENT_FIELD_LABOR_HOURS)*TEMP_HOURLY_RATE-FIXED_SEASON_COST)</f>
        <v>30632.2172515368</v>
      </c>
      <c r="U192" s="53" t="n">
        <f aca="false">IF(OR($A192&gt;TOMATO_BED_CAP,$B192&gt;CARROT_BED_CAP,U$4&gt;MESCLUN_BED_CAP,$A192+$B192+U$4&gt;TOTAL_BEDS_AVAILABLE,($D192+U$5)&gt;TOTAL_LABOR_HOURS_CAP,MAX(0,($D192+U$5)-PERMANENT_FIELD_LABOR_HOURS)&gt;TEMP_HOURS_CAP),"",$C192+U$6-MIN(($D192+U$5),PERMANENT_FIELD_LABOR_HOURS)*PERMANENT_HOURLY_RATE-MAX(0,($D192+U$5)-PERMANENT_FIELD_LABOR_HOURS)*TEMP_HOURLY_RATE-FIXED_SEASON_COST)</f>
        <v>31348.3259801669</v>
      </c>
      <c r="V192" s="53" t="n">
        <f aca="false">IF(OR($A192&gt;TOMATO_BED_CAP,$B192&gt;CARROT_BED_CAP,V$4&gt;MESCLUN_BED_CAP,$A192+$B192+V$4&gt;TOTAL_BEDS_AVAILABLE,($D192+V$5)&gt;TOTAL_LABOR_HOURS_CAP,MAX(0,($D192+V$5)-PERMANENT_FIELD_LABOR_HOURS)&gt;TEMP_HOURS_CAP),"",$C192+V$6-MIN(($D192+V$5),PERMANENT_FIELD_LABOR_HOURS)*PERMANENT_HOURLY_RATE-MAX(0,($D192+V$5)-PERMANENT_FIELD_LABOR_HOURS)*TEMP_HOURLY_RATE-FIXED_SEASON_COST)</f>
        <v>32038.8709109337</v>
      </c>
      <c r="W192" s="53" t="n">
        <f aca="false">IF(OR($A192&gt;TOMATO_BED_CAP,$B192&gt;CARROT_BED_CAP,W$4&gt;MESCLUN_BED_CAP,$A192+$B192+W$4&gt;TOTAL_BEDS_AVAILABLE,($D192+W$5)&gt;TOTAL_LABOR_HOURS_CAP,MAX(0,($D192+W$5)-PERMANENT_FIELD_LABOR_HOURS)&gt;TEMP_HOURS_CAP),"",$C192+W$6-MIN(($D192+W$5),PERMANENT_FIELD_LABOR_HOURS)*PERMANENT_HOURLY_RATE-MAX(0,($D192+W$5)-PERMANENT_FIELD_LABOR_HOURS)*TEMP_HOURLY_RATE-FIXED_SEASON_COST)</f>
        <v>32703.3854319018</v>
      </c>
      <c r="X192" s="53" t="n">
        <f aca="false">IF(OR($A192&gt;TOMATO_BED_CAP,$B192&gt;CARROT_BED_CAP,X$4&gt;MESCLUN_BED_CAP,$A192+$B192+X$4&gt;TOTAL_BEDS_AVAILABLE,($D192+X$5)&gt;TOTAL_LABOR_HOURS_CAP,MAX(0,($D192+X$5)-PERMANENT_FIELD_LABOR_HOURS)&gt;TEMP_HOURS_CAP),"",$C192+X$6-MIN(($D192+X$5),PERMANENT_FIELD_LABOR_HOURS)*PERMANENT_HOURLY_RATE-MAX(0,($D192+X$5)-PERMANENT_FIELD_LABOR_HOURS)*TEMP_HOURLY_RATE-FIXED_SEASON_COST)</f>
        <v>33341.3952601807</v>
      </c>
      <c r="Y192" s="53" t="n">
        <f aca="false">IF(OR($A192&gt;TOMATO_BED_CAP,$B192&gt;CARROT_BED_CAP,Y$4&gt;MESCLUN_BED_CAP,$A192+$B192+Y$4&gt;TOTAL_BEDS_AVAILABLE,($D192+Y$5)&gt;TOTAL_LABOR_HOURS_CAP,MAX(0,($D192+Y$5)-PERMANENT_FIELD_LABOR_HOURS)&gt;TEMP_HOURS_CAP),"",$C192+Y$6-MIN(($D192+Y$5),PERMANENT_FIELD_LABOR_HOURS)*PERMANENT_HOURLY_RATE-MAX(0,($D192+Y$5)-PERMANENT_FIELD_LABOR_HOURS)*TEMP_HOURLY_RATE-FIXED_SEASON_COST)</f>
        <v>33952.4183230593</v>
      </c>
      <c r="Z192" s="53" t="n">
        <f aca="false">IF(OR($A192&gt;TOMATO_BED_CAP,$B192&gt;CARROT_BED_CAP,Z$4&gt;MESCLUN_BED_CAP,$A192+$B192+Z$4&gt;TOTAL_BEDS_AVAILABLE,($D192+Z$5)&gt;TOTAL_LABOR_HOURS_CAP,MAX(0,($D192+Z$5)-PERMANENT_FIELD_LABOR_HOURS)&gt;TEMP_HOURS_CAP),"",$C192+Z$6-MIN(($D192+Z$5),PERMANENT_FIELD_LABOR_HOURS)*PERMANENT_HOURLY_RATE-MAX(0,($D192+Z$5)-PERMANENT_FIELD_LABOR_HOURS)*TEMP_HOURLY_RATE-FIXED_SEASON_COST)</f>
        <v>34535.9646373671</v>
      </c>
      <c r="AA192" s="53" t="n">
        <f aca="false">IF(OR($A192&gt;TOMATO_BED_CAP,$B192&gt;CARROT_BED_CAP,AA$4&gt;MESCLUN_BED_CAP,$A192+$B192+AA$4&gt;TOTAL_BEDS_AVAILABLE,($D192+AA$5)&gt;TOTAL_LABOR_HOURS_CAP,MAX(0,($D192+AA$5)-PERMANENT_FIELD_LABOR_HOURS)&gt;TEMP_HOURS_CAP),"",$C192+AA$6-MIN(($D192+AA$5),PERMANENT_FIELD_LABOR_HOURS)*PERMANENT_HOURLY_RATE-MAX(0,($D192+AA$5)-PERMANENT_FIELD_LABOR_HOURS)*TEMP_HOURLY_RATE-FIXED_SEASON_COST)</f>
        <v>35091.536187036</v>
      </c>
      <c r="AB192" s="53" t="n">
        <f aca="false">IF(OR($A192&gt;TOMATO_BED_CAP,$B192&gt;CARROT_BED_CAP,AB$4&gt;MESCLUN_BED_CAP,$A192+$B192+AB$4&gt;TOTAL_BEDS_AVAILABLE,($D192+AB$5)&gt;TOTAL_LABOR_HOURS_CAP,MAX(0,($D192+AB$5)-PERMANENT_FIELD_LABOR_HOURS)&gt;TEMP_HOURS_CAP),"",$C192+AB$6-MIN(($D192+AB$5),PERMANENT_FIELD_LABOR_HOURS)*PERMANENT_HOURLY_RATE-MAX(0,($D192+AB$5)-PERMANENT_FIELD_LABOR_HOURS)*TEMP_HOURLY_RATE-FIXED_SEASON_COST)</f>
        <v>35618.6267988386</v>
      </c>
      <c r="AC192" s="53" t="n">
        <f aca="false">IF(OR($A192&gt;TOMATO_BED_CAP,$B192&gt;CARROT_BED_CAP,AC$4&gt;MESCLUN_BED_CAP,$A192+$B192+AC$4&gt;TOTAL_BEDS_AVAILABLE,($D192+AC$5)&gt;TOTAL_LABOR_HOURS_CAP,MAX(0,($D192+AC$5)-PERMANENT_FIELD_LABOR_HOURS)&gt;TEMP_HOURS_CAP),"",$C192+AC$6-MIN(($D192+AC$5),PERMANENT_FIELD_LABOR_HOURS)*PERMANENT_HOURLY_RATE-MAX(0,($D192+AC$5)-PERMANENT_FIELD_LABOR_HOURS)*TEMP_HOURLY_RATE-FIXED_SEASON_COST)</f>
        <v>36116.7220162735</v>
      </c>
      <c r="AD192" s="53" t="n">
        <f aca="false">IF(OR($A192&gt;TOMATO_BED_CAP,$B192&gt;CARROT_BED_CAP,AD$4&gt;MESCLUN_BED_CAP,$A192+$B192+AD$4&gt;TOTAL_BEDS_AVAILABLE,($D192+AD$5)&gt;TOTAL_LABOR_HOURS_CAP,MAX(0,($D192+AD$5)-PERMANENT_FIELD_LABOR_HOURS)&gt;TEMP_HOURS_CAP),"",$C192+AD$6-MIN(($D192+AD$5),PERMANENT_FIELD_LABOR_HOURS)*PERMANENT_HOURLY_RATE-MAX(0,($D192+AD$5)-PERMANENT_FIELD_LABOR_HOURS)*TEMP_HOURLY_RATE-FIXED_SEASON_COST)</f>
        <v>36585.2989715734</v>
      </c>
      <c r="AE192" s="53" t="n">
        <f aca="false">IF(OR($A192&gt;TOMATO_BED_CAP,$B192&gt;CARROT_BED_CAP,AE$4&gt;MESCLUN_BED_CAP,$A192+$B192+AE$4&gt;TOTAL_BEDS_AVAILABLE,($D192+AE$5)&gt;TOTAL_LABOR_HOURS_CAP,MAX(0,($D192+AE$5)-PERMANENT_FIELD_LABOR_HOURS)&gt;TEMP_HOURS_CAP),"",$C192+AE$6-MIN(($D192+AE$5),PERMANENT_FIELD_LABOR_HOURS)*PERMANENT_HOURLY_RATE-MAX(0,($D192+AE$5)-PERMANENT_FIELD_LABOR_HOURS)*TEMP_HOURLY_RATE-FIXED_SEASON_COST)</f>
        <v>37023.8262558073</v>
      </c>
      <c r="AF192" s="53" t="n">
        <f aca="false">IF(OR($A192&gt;TOMATO_BED_CAP,$B192&gt;CARROT_BED_CAP,AF$4&gt;MESCLUN_BED_CAP,$A192+$B192+AF$4&gt;TOTAL_BEDS_AVAILABLE,($D192+AF$5)&gt;TOTAL_LABOR_HOURS_CAP,MAX(0,($D192+AF$5)-PERMANENT_FIELD_LABOR_HOURS)&gt;TEMP_HOURS_CAP),"",$C192+AF$6-MIN(($D192+AF$5),PERMANENT_FIELD_LABOR_HOURS)*PERMANENT_HOURLY_RATE-MAX(0,($D192+AF$5)-PERMANENT_FIELD_LABOR_HOURS)*TEMP_HOURLY_RATE-FIXED_SEASON_COST)</f>
        <v>37431.7637870493</v>
      </c>
      <c r="AG192" s="53" t="n">
        <f aca="false">IF(OR($A192&gt;TOMATO_BED_CAP,$B192&gt;CARROT_BED_CAP,AG$4&gt;MESCLUN_BED_CAP,$A192+$B192+AG$4&gt;TOTAL_BEDS_AVAILABLE,($D192+AG$5)&gt;TOTAL_LABOR_HOURS_CAP,MAX(0,($D192+AG$5)-PERMANENT_FIELD_LABOR_HOURS)&gt;TEMP_HOURS_CAP),"",$C192+AG$6-MIN(($D192+AG$5),PERMANENT_FIELD_LABOR_HOURS)*PERMANENT_HOURLY_RATE-MAX(0,($D192+AG$5)-PERMANENT_FIELD_LABOR_HOURS)*TEMP_HOURLY_RATE-FIXED_SEASON_COST)</f>
        <v>37808.5626765863</v>
      </c>
      <c r="AH192" s="53" t="n">
        <f aca="false">IF(OR($A192&gt;TOMATO_BED_CAP,$B192&gt;CARROT_BED_CAP,AH$4&gt;MESCLUN_BED_CAP,$A192+$B192+AH$4&gt;TOTAL_BEDS_AVAILABLE,($D192+AH$5)&gt;TOTAL_LABOR_HOURS_CAP,MAX(0,($D192+AH$5)-PERMANENT_FIELD_LABOR_HOURS)&gt;TEMP_HOURS_CAP),"",$C192+AH$6-MIN(($D192+AH$5),PERMANENT_FIELD_LABOR_HOURS)*PERMANENT_HOURLY_RATE-MAX(0,($D192+AH$5)-PERMANENT_FIELD_LABOR_HOURS)*TEMP_HOURLY_RATE-FIXED_SEASON_COST)</f>
        <v>38153.6650931365</v>
      </c>
      <c r="AI192" s="53" t="n">
        <f aca="false">IF(OR($A192&gt;TOMATO_BED_CAP,$B192&gt;CARROT_BED_CAP,AI$4&gt;MESCLUN_BED_CAP,$A192+$B192+AI$4&gt;TOTAL_BEDS_AVAILABLE,($D192+AI$5)&gt;TOTAL_LABOR_HOURS_CAP,MAX(0,($D192+AI$5)-PERMANENT_FIELD_LABOR_HOURS)&gt;TEMP_HOURS_CAP),"",$C192+AI$6-MIN(($D192+AI$5),PERMANENT_FIELD_LABOR_HOURS)*PERMANENT_HOURLY_RATE-MAX(0,($D192+AI$5)-PERMANENT_FIELD_LABOR_HOURS)*TEMP_HOURLY_RATE-FIXED_SEASON_COST)</f>
        <v>38466.5041250488</v>
      </c>
      <c r="AJ192" s="53" t="n">
        <f aca="false">IF(OR($A192&gt;TOMATO_BED_CAP,$B192&gt;CARROT_BED_CAP,AJ$4&gt;MESCLUN_BED_CAP,$A192+$B192+AJ$4&gt;TOTAL_BEDS_AVAILABLE,($D192+AJ$5)&gt;TOTAL_LABOR_HOURS_CAP,MAX(0,($D192+AJ$5)-PERMANENT_FIELD_LABOR_HOURS)&gt;TEMP_HOURS_CAP),"",$C192+AJ$6-MIN(($D192+AJ$5),PERMANENT_FIELD_LABOR_HOURS)*PERMANENT_HOURLY_RATE-MAX(0,($D192+AJ$5)-PERMANENT_FIELD_LABOR_HOURS)*TEMP_HOURLY_RATE-FIXED_SEASON_COST)</f>
        <v>38746.5036404545</v>
      </c>
    </row>
    <row r="193" customFormat="false" ht="15" hidden="false" customHeight="false" outlineLevel="0" collapsed="false">
      <c r="A193" s="21" t="n">
        <f aca="false">INT((ROW()-ROW($A$8))/(20+1))</f>
        <v>8</v>
      </c>
      <c r="B193" s="21" t="n">
        <f aca="false">MOD(ROW()-ROW($A$8),20+1)</f>
        <v>17</v>
      </c>
      <c r="C193" s="13" t="n">
        <f aca="false">A193*(TOMATO_REVENUE_PER_BED-TOMATO_FERTILIZER_PER_BED)+B193*(CARROT_REVENUE_PER_BED-CARROT_FERTILIZER_PER_BED)</f>
        <v>91478</v>
      </c>
      <c r="D193" s="14" t="n">
        <f aca="false">INDEX(TOMATO_SCHED_LABOR_HRS,A193+1)+INDEX(CARROT_SCHED_LABOR_HRS,B193+1)</f>
        <v>2319.09884627503</v>
      </c>
      <c r="E193" s="13" t="n">
        <f aca="false">IF(COUNT(F193:AJ193)=0,"",MAX(F193:AJ193))</f>
        <v>39299.233323538</v>
      </c>
      <c r="F193" s="53" t="n">
        <f aca="false">IF(OR($A193&gt;TOMATO_BED_CAP,$B193&gt;CARROT_BED_CAP,F$4&gt;MESCLUN_BED_CAP,$A193+$B193+F$4&gt;TOTAL_BEDS_AVAILABLE,($D193+F$5)&gt;TOTAL_LABOR_HOURS_CAP,MAX(0,($D193+F$5)-PERMANENT_FIELD_LABOR_HOURS)&gt;TEMP_HOURS_CAP),"",$C193+F$6-MIN(($D193+F$5),PERMANENT_FIELD_LABOR_HOURS)*PERMANENT_HOURLY_RATE-MAX(0,($D193+F$5)-PERMANENT_FIELD_LABOR_HOURS)*TEMP_HOURLY_RATE-FIXED_SEASON_COST)</f>
        <v>18719.2440286655</v>
      </c>
      <c r="G193" s="53" t="n">
        <f aca="false">IF(OR($A193&gt;TOMATO_BED_CAP,$B193&gt;CARROT_BED_CAP,G$4&gt;MESCLUN_BED_CAP,$A193+$B193+G$4&gt;TOTAL_BEDS_AVAILABLE,($D193+G$5)&gt;TOTAL_LABOR_HOURS_CAP,MAX(0,($D193+G$5)-PERMANENT_FIELD_LABOR_HOURS)&gt;TEMP_HOURS_CAP),"",$C193+G$6-MIN(($D193+G$5),PERMANENT_FIELD_LABOR_HOURS)*PERMANENT_HOURLY_RATE-MAX(0,($D193+G$5)-PERMANENT_FIELD_LABOR_HOURS)*TEMP_HOURLY_RATE-FIXED_SEASON_COST)</f>
        <v>19748.2790286655</v>
      </c>
      <c r="H193" s="53" t="n">
        <f aca="false">IF(OR($A193&gt;TOMATO_BED_CAP,$B193&gt;CARROT_BED_CAP,H$4&gt;MESCLUN_BED_CAP,$A193+$B193+H$4&gt;TOTAL_BEDS_AVAILABLE,($D193+H$5)&gt;TOTAL_LABOR_HOURS_CAP,MAX(0,($D193+H$5)-PERMANENT_FIELD_LABOR_HOURS)&gt;TEMP_HOURS_CAP),"",$C193+H$6-MIN(($D193+H$5),PERMANENT_FIELD_LABOR_HOURS)*PERMANENT_HOURLY_RATE-MAX(0,($D193+H$5)-PERMANENT_FIELD_LABOR_HOURS)*TEMP_HOURLY_RATE-FIXED_SEASON_COST)</f>
        <v>20757.5399036655</v>
      </c>
      <c r="I193" s="53" t="n">
        <f aca="false">IF(OR($A193&gt;TOMATO_BED_CAP,$B193&gt;CARROT_BED_CAP,I$4&gt;MESCLUN_BED_CAP,$A193+$B193+I$4&gt;TOTAL_BEDS_AVAILABLE,($D193+I$5)&gt;TOTAL_LABOR_HOURS_CAP,MAX(0,($D193+I$5)-PERMANENT_FIELD_LABOR_HOURS)&gt;TEMP_HOURS_CAP),"",$C193+I$6-MIN(($D193+I$5),PERMANENT_FIELD_LABOR_HOURS)*PERMANENT_HOURLY_RATE-MAX(0,($D193+I$5)-PERMANENT_FIELD_LABOR_HOURS)*TEMP_HOURLY_RATE-FIXED_SEASON_COST)</f>
        <v>21746.6558888217</v>
      </c>
      <c r="J193" s="53" t="n">
        <f aca="false">IF(OR($A193&gt;TOMATO_BED_CAP,$B193&gt;CARROT_BED_CAP,J$4&gt;MESCLUN_BED_CAP,$A193+$B193+J$4&gt;TOTAL_BEDS_AVAILABLE,($D193+J$5)&gt;TOTAL_LABOR_HOURS_CAP,MAX(0,($D193+J$5)-PERMANENT_FIELD_LABOR_HOURS)&gt;TEMP_HOURS_CAP),"",$C193+J$6-MIN(($D193+J$5),PERMANENT_FIELD_LABOR_HOURS)*PERMANENT_HOURLY_RATE-MAX(0,($D193+J$5)-PERMANENT_FIELD_LABOR_HOURS)*TEMP_HOURLY_RATE-FIXED_SEASON_COST)</f>
        <v>22715.2500398764</v>
      </c>
      <c r="K193" s="53" t="n">
        <f aca="false">IF(OR($A193&gt;TOMATO_BED_CAP,$B193&gt;CARROT_BED_CAP,K$4&gt;MESCLUN_BED_CAP,$A193+$B193+K$4&gt;TOTAL_BEDS_AVAILABLE,($D193+K$5)&gt;TOTAL_LABOR_HOURS_CAP,MAX(0,($D193+K$5)-PERMANENT_FIELD_LABOR_HOURS)&gt;TEMP_HOURS_CAP),"",$C193+K$6-MIN(($D193+K$5),PERMANENT_FIELD_LABOR_HOURS)*PERMANENT_HOURLY_RATE-MAX(0,($D193+K$5)-PERMANENT_FIELD_LABOR_HOURS)*TEMP_HOURLY_RATE-FIXED_SEASON_COST)</f>
        <v>23662.9391366043</v>
      </c>
      <c r="L193" s="53" t="n">
        <f aca="false">IF(OR($A193&gt;TOMATO_BED_CAP,$B193&gt;CARROT_BED_CAP,L$4&gt;MESCLUN_BED_CAP,$A193+$B193+L$4&gt;TOTAL_BEDS_AVAILABLE,($D193+L$5)&gt;TOTAL_LABOR_HOURS_CAP,MAX(0,($D193+L$5)-PERMANENT_FIELD_LABOR_HOURS)&gt;TEMP_HOURS_CAP),"",$C193+L$6-MIN(($D193+L$5),PERMANENT_FIELD_LABOR_HOURS)*PERMANENT_HOURLY_RATE-MAX(0,($D193+L$5)-PERMANENT_FIELD_LABOR_HOURS)*TEMP_HOURLY_RATE-FIXED_SEASON_COST)</f>
        <v>24589.3335848112</v>
      </c>
      <c r="M193" s="53" t="n">
        <f aca="false">IF(OR($A193&gt;TOMATO_BED_CAP,$B193&gt;CARROT_BED_CAP,M$4&gt;MESCLUN_BED_CAP,$A193+$B193+M$4&gt;TOTAL_BEDS_AVAILABLE,($D193+M$5)&gt;TOTAL_LABOR_HOURS_CAP,MAX(0,($D193+M$5)-PERMANENT_FIELD_LABOR_HOURS)&gt;TEMP_HOURS_CAP),"",$C193+M$6-MIN(($D193+M$5),PERMANENT_FIELD_LABOR_HOURS)*PERMANENT_HOURLY_RATE-MAX(0,($D193+M$5)-PERMANENT_FIELD_LABOR_HOURS)*TEMP_HOURLY_RATE-FIXED_SEASON_COST)</f>
        <v>25494.0373168626</v>
      </c>
      <c r="N193" s="53" t="n">
        <f aca="false">IF(OR($A193&gt;TOMATO_BED_CAP,$B193&gt;CARROT_BED_CAP,N$4&gt;MESCLUN_BED_CAP,$A193+$B193+N$4&gt;TOTAL_BEDS_AVAILABLE,($D193+N$5)&gt;TOTAL_LABOR_HOURS_CAP,MAX(0,($D193+N$5)-PERMANENT_FIELD_LABOR_HOURS)&gt;TEMP_HOURS_CAP),"",$C193+N$6-MIN(($D193+N$5),PERMANENT_FIELD_LABOR_HOURS)*PERMANENT_HOURLY_RATE-MAX(0,($D193+N$5)-PERMANENT_FIELD_LABOR_HOURS)*TEMP_HOURLY_RATE-FIXED_SEASON_COST)</f>
        <v>26376.6476907221</v>
      </c>
      <c r="O193" s="53" t="n">
        <f aca="false">IF(OR($A193&gt;TOMATO_BED_CAP,$B193&gt;CARROT_BED_CAP,O$4&gt;MESCLUN_BED_CAP,$A193+$B193+O$4&gt;TOTAL_BEDS_AVAILABLE,($D193+O$5)&gt;TOTAL_LABOR_HOURS_CAP,MAX(0,($D193+O$5)-PERMANENT_FIELD_LABOR_HOURS)&gt;TEMP_HOURS_CAP),"",$C193+O$6-MIN(($D193+O$5),PERMANENT_FIELD_LABOR_HOURS)*PERMANENT_HOURLY_RATE-MAX(0,($D193+O$5)-PERMANENT_FIELD_LABOR_HOURS)*TEMP_HOURLY_RATE-FIXED_SEASON_COST)</f>
        <v>27236.7553874769</v>
      </c>
      <c r="P193" s="53" t="n">
        <f aca="false">IF(OR($A193&gt;TOMATO_BED_CAP,$B193&gt;CARROT_BED_CAP,P$4&gt;MESCLUN_BED_CAP,$A193+$B193+P$4&gt;TOTAL_BEDS_AVAILABLE,($D193+P$5)&gt;TOTAL_LABOR_HOURS_CAP,MAX(0,($D193+P$5)-PERMANENT_FIELD_LABOR_HOURS)&gt;TEMP_HOURS_CAP),"",$C193+P$6-MIN(($D193+P$5),PERMANENT_FIELD_LABOR_HOURS)*PERMANENT_HOURLY_RATE-MAX(0,($D193+P$5)-PERMANENT_FIELD_LABOR_HOURS)*TEMP_HOURLY_RATE-FIXED_SEASON_COST)</f>
        <v>28073.9443073283</v>
      </c>
      <c r="Q193" s="53" t="n">
        <f aca="false">IF(OR($A193&gt;TOMATO_BED_CAP,$B193&gt;CARROT_BED_CAP,Q$4&gt;MESCLUN_BED_CAP,$A193+$B193+Q$4&gt;TOTAL_BEDS_AVAILABLE,($D193+Q$5)&gt;TOTAL_LABOR_HOURS_CAP,MAX(0,($D193+Q$5)-PERMANENT_FIELD_LABOR_HOURS)&gt;TEMP_HOURS_CAP),"",$C193+Q$6-MIN(($D193+Q$5),PERMANENT_FIELD_LABOR_HOURS)*PERMANENT_HOURLY_RATE-MAX(0,($D193+Q$5)-PERMANENT_FIELD_LABOR_HOURS)*TEMP_HOURLY_RATE-FIXED_SEASON_COST)</f>
        <v>28887.7914640262</v>
      </c>
      <c r="R193" s="53" t="n">
        <f aca="false">IF(OR($A193&gt;TOMATO_BED_CAP,$B193&gt;CARROT_BED_CAP,R$4&gt;MESCLUN_BED_CAP,$A193+$B193+R$4&gt;TOTAL_BEDS_AVAILABLE,($D193+R$5)&gt;TOTAL_LABOR_HOURS_CAP,MAX(0,($D193+R$5)-PERMANENT_FIELD_LABOR_HOURS)&gt;TEMP_HOURS_CAP),"",$C193+R$6-MIN(($D193+R$5),PERMANENT_FIELD_LABOR_HOURS)*PERMANENT_HOURLY_RATE-MAX(0,($D193+R$5)-PERMANENT_FIELD_LABOR_HOURS)*TEMP_HOURLY_RATE-FIXED_SEASON_COST)</f>
        <v>29677.866877723</v>
      </c>
      <c r="S193" s="53" t="n">
        <f aca="false">IF(OR($A193&gt;TOMATO_BED_CAP,$B193&gt;CARROT_BED_CAP,S$4&gt;MESCLUN_BED_CAP,$A193+$B193+S$4&gt;TOTAL_BEDS_AVAILABLE,($D193+S$5)&gt;TOTAL_LABOR_HOURS_CAP,MAX(0,($D193+S$5)-PERMANENT_FIELD_LABOR_HOURS)&gt;TEMP_HOURS_CAP),"",$C193+S$6-MIN(($D193+S$5),PERMANENT_FIELD_LABOR_HOURS)*PERMANENT_HOURLY_RATE-MAX(0,($D193+S$5)-PERMANENT_FIELD_LABOR_HOURS)*TEMP_HOURLY_RATE-FIXED_SEASON_COST)</f>
        <v>30443.7334662255</v>
      </c>
      <c r="T193" s="53" t="n">
        <f aca="false">IF(OR($A193&gt;TOMATO_BED_CAP,$B193&gt;CARROT_BED_CAP,T$4&gt;MESCLUN_BED_CAP,$A193+$B193+T$4&gt;TOTAL_BEDS_AVAILABLE,($D193+T$5)&gt;TOTAL_LABOR_HOURS_CAP,MAX(0,($D193+T$5)-PERMANENT_FIELD_LABOR_HOURS)&gt;TEMP_HOURS_CAP),"",$C193+T$6-MIN(($D193+T$5),PERMANENT_FIELD_LABOR_HOURS)*PERMANENT_HOURLY_RATE-MAX(0,($D193+T$5)-PERMANENT_FIELD_LABOR_HOURS)*TEMP_HOURLY_RATE-FIXED_SEASON_COST)</f>
        <v>31184.9469346203</v>
      </c>
      <c r="U193" s="53" t="n">
        <f aca="false">IF(OR($A193&gt;TOMATO_BED_CAP,$B193&gt;CARROT_BED_CAP,U$4&gt;MESCLUN_BED_CAP,$A193+$B193+U$4&gt;TOTAL_BEDS_AVAILABLE,($D193+U$5)&gt;TOTAL_LABOR_HOURS_CAP,MAX(0,($D193+U$5)-PERMANENT_FIELD_LABOR_HOURS)&gt;TEMP_HOURS_CAP),"",$C193+U$6-MIN(($D193+U$5),PERMANENT_FIELD_LABOR_HOURS)*PERMANENT_HOURLY_RATE-MAX(0,($D193+U$5)-PERMANENT_FIELD_LABOR_HOURS)*TEMP_HOURLY_RATE-FIXED_SEASON_COST)</f>
        <v>31901.0556632504</v>
      </c>
      <c r="V193" s="53" t="n">
        <f aca="false">IF(OR($A193&gt;TOMATO_BED_CAP,$B193&gt;CARROT_BED_CAP,V$4&gt;MESCLUN_BED_CAP,$A193+$B193+V$4&gt;TOTAL_BEDS_AVAILABLE,($D193+V$5)&gt;TOTAL_LABOR_HOURS_CAP,MAX(0,($D193+V$5)-PERMANENT_FIELD_LABOR_HOURS)&gt;TEMP_HOURS_CAP),"",$C193+V$6-MIN(($D193+V$5),PERMANENT_FIELD_LABOR_HOURS)*PERMANENT_HOURLY_RATE-MAX(0,($D193+V$5)-PERMANENT_FIELD_LABOR_HOURS)*TEMP_HOURLY_RATE-FIXED_SEASON_COST)</f>
        <v>32591.6005940172</v>
      </c>
      <c r="W193" s="53" t="n">
        <f aca="false">IF(OR($A193&gt;TOMATO_BED_CAP,$B193&gt;CARROT_BED_CAP,W$4&gt;MESCLUN_BED_CAP,$A193+$B193+W$4&gt;TOTAL_BEDS_AVAILABLE,($D193+W$5)&gt;TOTAL_LABOR_HOURS_CAP,MAX(0,($D193+W$5)-PERMANENT_FIELD_LABOR_HOURS)&gt;TEMP_HOURS_CAP),"",$C193+W$6-MIN(($D193+W$5),PERMANENT_FIELD_LABOR_HOURS)*PERMANENT_HOURLY_RATE-MAX(0,($D193+W$5)-PERMANENT_FIELD_LABOR_HOURS)*TEMP_HOURLY_RATE-FIXED_SEASON_COST)</f>
        <v>33256.1151149853</v>
      </c>
      <c r="X193" s="53" t="n">
        <f aca="false">IF(OR($A193&gt;TOMATO_BED_CAP,$B193&gt;CARROT_BED_CAP,X$4&gt;MESCLUN_BED_CAP,$A193+$B193+X$4&gt;TOTAL_BEDS_AVAILABLE,($D193+X$5)&gt;TOTAL_LABOR_HOURS_CAP,MAX(0,($D193+X$5)-PERMANENT_FIELD_LABOR_HOURS)&gt;TEMP_HOURS_CAP),"",$C193+X$6-MIN(($D193+X$5),PERMANENT_FIELD_LABOR_HOURS)*PERMANENT_HOURLY_RATE-MAX(0,($D193+X$5)-PERMANENT_FIELD_LABOR_HOURS)*TEMP_HOURLY_RATE-FIXED_SEASON_COST)</f>
        <v>33894.1249432642</v>
      </c>
      <c r="Y193" s="53" t="n">
        <f aca="false">IF(OR($A193&gt;TOMATO_BED_CAP,$B193&gt;CARROT_BED_CAP,Y$4&gt;MESCLUN_BED_CAP,$A193+$B193+Y$4&gt;TOTAL_BEDS_AVAILABLE,($D193+Y$5)&gt;TOTAL_LABOR_HOURS_CAP,MAX(0,($D193+Y$5)-PERMANENT_FIELD_LABOR_HOURS)&gt;TEMP_HOURS_CAP),"",$C193+Y$6-MIN(($D193+Y$5),PERMANENT_FIELD_LABOR_HOURS)*PERMANENT_HOURLY_RATE-MAX(0,($D193+Y$5)-PERMANENT_FIELD_LABOR_HOURS)*TEMP_HOURLY_RATE-FIXED_SEASON_COST)</f>
        <v>34505.1480061428</v>
      </c>
      <c r="Z193" s="53" t="n">
        <f aca="false">IF(OR($A193&gt;TOMATO_BED_CAP,$B193&gt;CARROT_BED_CAP,Z$4&gt;MESCLUN_BED_CAP,$A193+$B193+Z$4&gt;TOTAL_BEDS_AVAILABLE,($D193+Z$5)&gt;TOTAL_LABOR_HOURS_CAP,MAX(0,($D193+Z$5)-PERMANENT_FIELD_LABOR_HOURS)&gt;TEMP_HOURS_CAP),"",$C193+Z$6-MIN(($D193+Z$5),PERMANENT_FIELD_LABOR_HOURS)*PERMANENT_HOURLY_RATE-MAX(0,($D193+Z$5)-PERMANENT_FIELD_LABOR_HOURS)*TEMP_HOURLY_RATE-FIXED_SEASON_COST)</f>
        <v>35088.6943204506</v>
      </c>
      <c r="AA193" s="53" t="n">
        <f aca="false">IF(OR($A193&gt;TOMATO_BED_CAP,$B193&gt;CARROT_BED_CAP,AA$4&gt;MESCLUN_BED_CAP,$A193+$B193+AA$4&gt;TOTAL_BEDS_AVAILABLE,($D193+AA$5)&gt;TOTAL_LABOR_HOURS_CAP,MAX(0,($D193+AA$5)-PERMANENT_FIELD_LABOR_HOURS)&gt;TEMP_HOURS_CAP),"",$C193+AA$6-MIN(($D193+AA$5),PERMANENT_FIELD_LABOR_HOURS)*PERMANENT_HOURLY_RATE-MAX(0,($D193+AA$5)-PERMANENT_FIELD_LABOR_HOURS)*TEMP_HOURLY_RATE-FIXED_SEASON_COST)</f>
        <v>35644.2658701195</v>
      </c>
      <c r="AB193" s="53" t="n">
        <f aca="false">IF(OR($A193&gt;TOMATO_BED_CAP,$B193&gt;CARROT_BED_CAP,AB$4&gt;MESCLUN_BED_CAP,$A193+$B193+AB$4&gt;TOTAL_BEDS_AVAILABLE,($D193+AB$5)&gt;TOTAL_LABOR_HOURS_CAP,MAX(0,($D193+AB$5)-PERMANENT_FIELD_LABOR_HOURS)&gt;TEMP_HOURS_CAP),"",$C193+AB$6-MIN(($D193+AB$5),PERMANENT_FIELD_LABOR_HOURS)*PERMANENT_HOURLY_RATE-MAX(0,($D193+AB$5)-PERMANENT_FIELD_LABOR_HOURS)*TEMP_HOURLY_RATE-FIXED_SEASON_COST)</f>
        <v>36171.3564819221</v>
      </c>
      <c r="AC193" s="53" t="n">
        <f aca="false">IF(OR($A193&gt;TOMATO_BED_CAP,$B193&gt;CARROT_BED_CAP,AC$4&gt;MESCLUN_BED_CAP,$A193+$B193+AC$4&gt;TOTAL_BEDS_AVAILABLE,($D193+AC$5)&gt;TOTAL_LABOR_HOURS_CAP,MAX(0,($D193+AC$5)-PERMANENT_FIELD_LABOR_HOURS)&gt;TEMP_HOURS_CAP),"",$C193+AC$6-MIN(($D193+AC$5),PERMANENT_FIELD_LABOR_HOURS)*PERMANENT_HOURLY_RATE-MAX(0,($D193+AC$5)-PERMANENT_FIELD_LABOR_HOURS)*TEMP_HOURLY_RATE-FIXED_SEASON_COST)</f>
        <v>36669.451699357</v>
      </c>
      <c r="AD193" s="53" t="n">
        <f aca="false">IF(OR($A193&gt;TOMATO_BED_CAP,$B193&gt;CARROT_BED_CAP,AD$4&gt;MESCLUN_BED_CAP,$A193+$B193+AD$4&gt;TOTAL_BEDS_AVAILABLE,($D193+AD$5)&gt;TOTAL_LABOR_HOURS_CAP,MAX(0,($D193+AD$5)-PERMANENT_FIELD_LABOR_HOURS)&gt;TEMP_HOURS_CAP),"",$C193+AD$6-MIN(($D193+AD$5),PERMANENT_FIELD_LABOR_HOURS)*PERMANENT_HOURLY_RATE-MAX(0,($D193+AD$5)-PERMANENT_FIELD_LABOR_HOURS)*TEMP_HOURLY_RATE-FIXED_SEASON_COST)</f>
        <v>37138.0286546569</v>
      </c>
      <c r="AE193" s="53" t="n">
        <f aca="false">IF(OR($A193&gt;TOMATO_BED_CAP,$B193&gt;CARROT_BED_CAP,AE$4&gt;MESCLUN_BED_CAP,$A193+$B193+AE$4&gt;TOTAL_BEDS_AVAILABLE,($D193+AE$5)&gt;TOTAL_LABOR_HOURS_CAP,MAX(0,($D193+AE$5)-PERMANENT_FIELD_LABOR_HOURS)&gt;TEMP_HOURS_CAP),"",$C193+AE$6-MIN(($D193+AE$5),PERMANENT_FIELD_LABOR_HOURS)*PERMANENT_HOURLY_RATE-MAX(0,($D193+AE$5)-PERMANENT_FIELD_LABOR_HOURS)*TEMP_HOURLY_RATE-FIXED_SEASON_COST)</f>
        <v>37576.5559388908</v>
      </c>
      <c r="AF193" s="53" t="n">
        <f aca="false">IF(OR($A193&gt;TOMATO_BED_CAP,$B193&gt;CARROT_BED_CAP,AF$4&gt;MESCLUN_BED_CAP,$A193+$B193+AF$4&gt;TOTAL_BEDS_AVAILABLE,($D193+AF$5)&gt;TOTAL_LABOR_HOURS_CAP,MAX(0,($D193+AF$5)-PERMANENT_FIELD_LABOR_HOURS)&gt;TEMP_HOURS_CAP),"",$C193+AF$6-MIN(($D193+AF$5),PERMANENT_FIELD_LABOR_HOURS)*PERMANENT_HOURLY_RATE-MAX(0,($D193+AF$5)-PERMANENT_FIELD_LABOR_HOURS)*TEMP_HOURLY_RATE-FIXED_SEASON_COST)</f>
        <v>37984.4934701328</v>
      </c>
      <c r="AG193" s="53" t="n">
        <f aca="false">IF(OR($A193&gt;TOMATO_BED_CAP,$B193&gt;CARROT_BED_CAP,AG$4&gt;MESCLUN_BED_CAP,$A193+$B193+AG$4&gt;TOTAL_BEDS_AVAILABLE,($D193+AG$5)&gt;TOTAL_LABOR_HOURS_CAP,MAX(0,($D193+AG$5)-PERMANENT_FIELD_LABOR_HOURS)&gt;TEMP_HOURS_CAP),"",$C193+AG$6-MIN(($D193+AG$5),PERMANENT_FIELD_LABOR_HOURS)*PERMANENT_HOURLY_RATE-MAX(0,($D193+AG$5)-PERMANENT_FIELD_LABOR_HOURS)*TEMP_HOURLY_RATE-FIXED_SEASON_COST)</f>
        <v>38361.2923596698</v>
      </c>
      <c r="AH193" s="53" t="n">
        <f aca="false">IF(OR($A193&gt;TOMATO_BED_CAP,$B193&gt;CARROT_BED_CAP,AH$4&gt;MESCLUN_BED_CAP,$A193+$B193+AH$4&gt;TOTAL_BEDS_AVAILABLE,($D193+AH$5)&gt;TOTAL_LABOR_HOURS_CAP,MAX(0,($D193+AH$5)-PERMANENT_FIELD_LABOR_HOURS)&gt;TEMP_HOURS_CAP),"",$C193+AH$6-MIN(($D193+AH$5),PERMANENT_FIELD_LABOR_HOURS)*PERMANENT_HOURLY_RATE-MAX(0,($D193+AH$5)-PERMANENT_FIELD_LABOR_HOURS)*TEMP_HOURLY_RATE-FIXED_SEASON_COST)</f>
        <v>38706.39477622</v>
      </c>
      <c r="AI193" s="53" t="n">
        <f aca="false">IF(OR($A193&gt;TOMATO_BED_CAP,$B193&gt;CARROT_BED_CAP,AI$4&gt;MESCLUN_BED_CAP,$A193+$B193+AI$4&gt;TOTAL_BEDS_AVAILABLE,($D193+AI$5)&gt;TOTAL_LABOR_HOURS_CAP,MAX(0,($D193+AI$5)-PERMANENT_FIELD_LABOR_HOURS)&gt;TEMP_HOURS_CAP),"",$C193+AI$6-MIN(($D193+AI$5),PERMANENT_FIELD_LABOR_HOURS)*PERMANENT_HOURLY_RATE-MAX(0,($D193+AI$5)-PERMANENT_FIELD_LABOR_HOURS)*TEMP_HOURLY_RATE-FIXED_SEASON_COST)</f>
        <v>39019.2338081323</v>
      </c>
      <c r="AJ193" s="53" t="n">
        <f aca="false">IF(OR($A193&gt;TOMATO_BED_CAP,$B193&gt;CARROT_BED_CAP,AJ$4&gt;MESCLUN_BED_CAP,$A193+$B193+AJ$4&gt;TOTAL_BEDS_AVAILABLE,($D193+AJ$5)&gt;TOTAL_LABOR_HOURS_CAP,MAX(0,($D193+AJ$5)-PERMANENT_FIELD_LABOR_HOURS)&gt;TEMP_HOURS_CAP),"",$C193+AJ$6-MIN(($D193+AJ$5),PERMANENT_FIELD_LABOR_HOURS)*PERMANENT_HOURLY_RATE-MAX(0,($D193+AJ$5)-PERMANENT_FIELD_LABOR_HOURS)*TEMP_HOURLY_RATE-FIXED_SEASON_COST)</f>
        <v>39299.233323538</v>
      </c>
    </row>
    <row r="194" customFormat="false" ht="15" hidden="false" customHeight="false" outlineLevel="0" collapsed="false">
      <c r="A194" s="21" t="n">
        <f aca="false">INT((ROW()-ROW($A$8))/(20+1))</f>
        <v>8</v>
      </c>
      <c r="B194" s="21" t="n">
        <f aca="false">MOD(ROW()-ROW($A$8),20+1)</f>
        <v>18</v>
      </c>
      <c r="C194" s="13" t="n">
        <f aca="false">A194*(TOMATO_REVENUE_PER_BED-TOMATO_FERTILIZER_PER_BED)+B194*(CARROT_REVENUE_PER_BED-CARROT_FERTILIZER_PER_BED)</f>
        <v>93132</v>
      </c>
      <c r="D194" s="14" t="n">
        <f aca="false">INDEX(TOMATO_SCHED_LABOR_HRS,A194+1)+INDEX(CARROT_SCHED_LABOR_HRS,B194+1)</f>
        <v>2385.26276447849</v>
      </c>
      <c r="E194" s="13" t="n">
        <f aca="false">IF(COUNT(F194:AJ194)=0,"",MAX(F194:AJ194))</f>
        <v>39804.627703526</v>
      </c>
      <c r="F194" s="53" t="n">
        <f aca="false">IF(OR($A194&gt;TOMATO_BED_CAP,$B194&gt;CARROT_BED_CAP,F$4&gt;MESCLUN_BED_CAP,$A194+$B194+F$4&gt;TOTAL_BEDS_AVAILABLE,($D194+F$5)&gt;TOTAL_LABOR_HOURS_CAP,MAX(0,($D194+F$5)-PERMANENT_FIELD_LABOR_HOURS)&gt;TEMP_HOURS_CAP),"",$C194+F$6-MIN(($D194+F$5),PERMANENT_FIELD_LABOR_HOURS)*PERMANENT_HOURLY_RATE-MAX(0,($D194+F$5)-PERMANENT_FIELD_LABOR_HOURS)*TEMP_HOURLY_RATE-FIXED_SEASON_COST)</f>
        <v>19224.6384086535</v>
      </c>
      <c r="G194" s="53" t="n">
        <f aca="false">IF(OR($A194&gt;TOMATO_BED_CAP,$B194&gt;CARROT_BED_CAP,G$4&gt;MESCLUN_BED_CAP,$A194+$B194+G$4&gt;TOTAL_BEDS_AVAILABLE,($D194+G$5)&gt;TOTAL_LABOR_HOURS_CAP,MAX(0,($D194+G$5)-PERMANENT_FIELD_LABOR_HOURS)&gt;TEMP_HOURS_CAP),"",$C194+G$6-MIN(($D194+G$5),PERMANENT_FIELD_LABOR_HOURS)*PERMANENT_HOURLY_RATE-MAX(0,($D194+G$5)-PERMANENT_FIELD_LABOR_HOURS)*TEMP_HOURLY_RATE-FIXED_SEASON_COST)</f>
        <v>20253.6734086535</v>
      </c>
      <c r="H194" s="53" t="n">
        <f aca="false">IF(OR($A194&gt;TOMATO_BED_CAP,$B194&gt;CARROT_BED_CAP,H$4&gt;MESCLUN_BED_CAP,$A194+$B194+H$4&gt;TOTAL_BEDS_AVAILABLE,($D194+H$5)&gt;TOTAL_LABOR_HOURS_CAP,MAX(0,($D194+H$5)-PERMANENT_FIELD_LABOR_HOURS)&gt;TEMP_HOURS_CAP),"",$C194+H$6-MIN(($D194+H$5),PERMANENT_FIELD_LABOR_HOURS)*PERMANENT_HOURLY_RATE-MAX(0,($D194+H$5)-PERMANENT_FIELD_LABOR_HOURS)*TEMP_HOURLY_RATE-FIXED_SEASON_COST)</f>
        <v>21262.9342836535</v>
      </c>
      <c r="I194" s="53" t="n">
        <f aca="false">IF(OR($A194&gt;TOMATO_BED_CAP,$B194&gt;CARROT_BED_CAP,I$4&gt;MESCLUN_BED_CAP,$A194+$B194+I$4&gt;TOTAL_BEDS_AVAILABLE,($D194+I$5)&gt;TOTAL_LABOR_HOURS_CAP,MAX(0,($D194+I$5)-PERMANENT_FIELD_LABOR_HOURS)&gt;TEMP_HOURS_CAP),"",$C194+I$6-MIN(($D194+I$5),PERMANENT_FIELD_LABOR_HOURS)*PERMANENT_HOURLY_RATE-MAX(0,($D194+I$5)-PERMANENT_FIELD_LABOR_HOURS)*TEMP_HOURLY_RATE-FIXED_SEASON_COST)</f>
        <v>22252.0502688097</v>
      </c>
      <c r="J194" s="53" t="n">
        <f aca="false">IF(OR($A194&gt;TOMATO_BED_CAP,$B194&gt;CARROT_BED_CAP,J$4&gt;MESCLUN_BED_CAP,$A194+$B194+J$4&gt;TOTAL_BEDS_AVAILABLE,($D194+J$5)&gt;TOTAL_LABOR_HOURS_CAP,MAX(0,($D194+J$5)-PERMANENT_FIELD_LABOR_HOURS)&gt;TEMP_HOURS_CAP),"",$C194+J$6-MIN(($D194+J$5),PERMANENT_FIELD_LABOR_HOURS)*PERMANENT_HOURLY_RATE-MAX(0,($D194+J$5)-PERMANENT_FIELD_LABOR_HOURS)*TEMP_HOURLY_RATE-FIXED_SEASON_COST)</f>
        <v>23220.6444198644</v>
      </c>
      <c r="K194" s="53" t="n">
        <f aca="false">IF(OR($A194&gt;TOMATO_BED_CAP,$B194&gt;CARROT_BED_CAP,K$4&gt;MESCLUN_BED_CAP,$A194+$B194+K$4&gt;TOTAL_BEDS_AVAILABLE,($D194+K$5)&gt;TOTAL_LABOR_HOURS_CAP,MAX(0,($D194+K$5)-PERMANENT_FIELD_LABOR_HOURS)&gt;TEMP_HOURS_CAP),"",$C194+K$6-MIN(($D194+K$5),PERMANENT_FIELD_LABOR_HOURS)*PERMANENT_HOURLY_RATE-MAX(0,($D194+K$5)-PERMANENT_FIELD_LABOR_HOURS)*TEMP_HOURLY_RATE-FIXED_SEASON_COST)</f>
        <v>24168.3335165923</v>
      </c>
      <c r="L194" s="53" t="n">
        <f aca="false">IF(OR($A194&gt;TOMATO_BED_CAP,$B194&gt;CARROT_BED_CAP,L$4&gt;MESCLUN_BED_CAP,$A194+$B194+L$4&gt;TOTAL_BEDS_AVAILABLE,($D194+L$5)&gt;TOTAL_LABOR_HOURS_CAP,MAX(0,($D194+L$5)-PERMANENT_FIELD_LABOR_HOURS)&gt;TEMP_HOURS_CAP),"",$C194+L$6-MIN(($D194+L$5),PERMANENT_FIELD_LABOR_HOURS)*PERMANENT_HOURLY_RATE-MAX(0,($D194+L$5)-PERMANENT_FIELD_LABOR_HOURS)*TEMP_HOURLY_RATE-FIXED_SEASON_COST)</f>
        <v>25094.7279647992</v>
      </c>
      <c r="M194" s="53" t="n">
        <f aca="false">IF(OR($A194&gt;TOMATO_BED_CAP,$B194&gt;CARROT_BED_CAP,M$4&gt;MESCLUN_BED_CAP,$A194+$B194+M$4&gt;TOTAL_BEDS_AVAILABLE,($D194+M$5)&gt;TOTAL_LABOR_HOURS_CAP,MAX(0,($D194+M$5)-PERMANENT_FIELD_LABOR_HOURS)&gt;TEMP_HOURS_CAP),"",$C194+M$6-MIN(($D194+M$5),PERMANENT_FIELD_LABOR_HOURS)*PERMANENT_HOURLY_RATE-MAX(0,($D194+M$5)-PERMANENT_FIELD_LABOR_HOURS)*TEMP_HOURLY_RATE-FIXED_SEASON_COST)</f>
        <v>25999.4316968506</v>
      </c>
      <c r="N194" s="53" t="n">
        <f aca="false">IF(OR($A194&gt;TOMATO_BED_CAP,$B194&gt;CARROT_BED_CAP,N$4&gt;MESCLUN_BED_CAP,$A194+$B194+N$4&gt;TOTAL_BEDS_AVAILABLE,($D194+N$5)&gt;TOTAL_LABOR_HOURS_CAP,MAX(0,($D194+N$5)-PERMANENT_FIELD_LABOR_HOURS)&gt;TEMP_HOURS_CAP),"",$C194+N$6-MIN(($D194+N$5),PERMANENT_FIELD_LABOR_HOURS)*PERMANENT_HOURLY_RATE-MAX(0,($D194+N$5)-PERMANENT_FIELD_LABOR_HOURS)*TEMP_HOURLY_RATE-FIXED_SEASON_COST)</f>
        <v>26882.0420707101</v>
      </c>
      <c r="O194" s="53" t="n">
        <f aca="false">IF(OR($A194&gt;TOMATO_BED_CAP,$B194&gt;CARROT_BED_CAP,O$4&gt;MESCLUN_BED_CAP,$A194+$B194+O$4&gt;TOTAL_BEDS_AVAILABLE,($D194+O$5)&gt;TOTAL_LABOR_HOURS_CAP,MAX(0,($D194+O$5)-PERMANENT_FIELD_LABOR_HOURS)&gt;TEMP_HOURS_CAP),"",$C194+O$6-MIN(($D194+O$5),PERMANENT_FIELD_LABOR_HOURS)*PERMANENT_HOURLY_RATE-MAX(0,($D194+O$5)-PERMANENT_FIELD_LABOR_HOURS)*TEMP_HOURLY_RATE-FIXED_SEASON_COST)</f>
        <v>27742.1497674649</v>
      </c>
      <c r="P194" s="53" t="n">
        <f aca="false">IF(OR($A194&gt;TOMATO_BED_CAP,$B194&gt;CARROT_BED_CAP,P$4&gt;MESCLUN_BED_CAP,$A194+$B194+P$4&gt;TOTAL_BEDS_AVAILABLE,($D194+P$5)&gt;TOTAL_LABOR_HOURS_CAP,MAX(0,($D194+P$5)-PERMANENT_FIELD_LABOR_HOURS)&gt;TEMP_HOURS_CAP),"",$C194+P$6-MIN(($D194+P$5),PERMANENT_FIELD_LABOR_HOURS)*PERMANENT_HOURLY_RATE-MAX(0,($D194+P$5)-PERMANENT_FIELD_LABOR_HOURS)*TEMP_HOURLY_RATE-FIXED_SEASON_COST)</f>
        <v>28579.3386873163</v>
      </c>
      <c r="Q194" s="53" t="n">
        <f aca="false">IF(OR($A194&gt;TOMATO_BED_CAP,$B194&gt;CARROT_BED_CAP,Q$4&gt;MESCLUN_BED_CAP,$A194+$B194+Q$4&gt;TOTAL_BEDS_AVAILABLE,($D194+Q$5)&gt;TOTAL_LABOR_HOURS_CAP,MAX(0,($D194+Q$5)-PERMANENT_FIELD_LABOR_HOURS)&gt;TEMP_HOURS_CAP),"",$C194+Q$6-MIN(($D194+Q$5),PERMANENT_FIELD_LABOR_HOURS)*PERMANENT_HOURLY_RATE-MAX(0,($D194+Q$5)-PERMANENT_FIELD_LABOR_HOURS)*TEMP_HOURLY_RATE-FIXED_SEASON_COST)</f>
        <v>29393.1858440142</v>
      </c>
      <c r="R194" s="53" t="n">
        <f aca="false">IF(OR($A194&gt;TOMATO_BED_CAP,$B194&gt;CARROT_BED_CAP,R$4&gt;MESCLUN_BED_CAP,$A194+$B194+R$4&gt;TOTAL_BEDS_AVAILABLE,($D194+R$5)&gt;TOTAL_LABOR_HOURS_CAP,MAX(0,($D194+R$5)-PERMANENT_FIELD_LABOR_HOURS)&gt;TEMP_HOURS_CAP),"",$C194+R$6-MIN(($D194+R$5),PERMANENT_FIELD_LABOR_HOURS)*PERMANENT_HOURLY_RATE-MAX(0,($D194+R$5)-PERMANENT_FIELD_LABOR_HOURS)*TEMP_HOURLY_RATE-FIXED_SEASON_COST)</f>
        <v>30183.261257711</v>
      </c>
      <c r="S194" s="53" t="n">
        <f aca="false">IF(OR($A194&gt;TOMATO_BED_CAP,$B194&gt;CARROT_BED_CAP,S$4&gt;MESCLUN_BED_CAP,$A194+$B194+S$4&gt;TOTAL_BEDS_AVAILABLE,($D194+S$5)&gt;TOTAL_LABOR_HOURS_CAP,MAX(0,($D194+S$5)-PERMANENT_FIELD_LABOR_HOURS)&gt;TEMP_HOURS_CAP),"",$C194+S$6-MIN(($D194+S$5),PERMANENT_FIELD_LABOR_HOURS)*PERMANENT_HOURLY_RATE-MAX(0,($D194+S$5)-PERMANENT_FIELD_LABOR_HOURS)*TEMP_HOURLY_RATE-FIXED_SEASON_COST)</f>
        <v>30949.1278462134</v>
      </c>
      <c r="T194" s="53" t="n">
        <f aca="false">IF(OR($A194&gt;TOMATO_BED_CAP,$B194&gt;CARROT_BED_CAP,T$4&gt;MESCLUN_BED_CAP,$A194+$B194+T$4&gt;TOTAL_BEDS_AVAILABLE,($D194+T$5)&gt;TOTAL_LABOR_HOURS_CAP,MAX(0,($D194+T$5)-PERMANENT_FIELD_LABOR_HOURS)&gt;TEMP_HOURS_CAP),"",$C194+T$6-MIN(($D194+T$5),PERMANENT_FIELD_LABOR_HOURS)*PERMANENT_HOURLY_RATE-MAX(0,($D194+T$5)-PERMANENT_FIELD_LABOR_HOURS)*TEMP_HOURLY_RATE-FIXED_SEASON_COST)</f>
        <v>31690.3413146083</v>
      </c>
      <c r="U194" s="53" t="n">
        <f aca="false">IF(OR($A194&gt;TOMATO_BED_CAP,$B194&gt;CARROT_BED_CAP,U$4&gt;MESCLUN_BED_CAP,$A194+$B194+U$4&gt;TOTAL_BEDS_AVAILABLE,($D194+U$5)&gt;TOTAL_LABOR_HOURS_CAP,MAX(0,($D194+U$5)-PERMANENT_FIELD_LABOR_HOURS)&gt;TEMP_HOURS_CAP),"",$C194+U$6-MIN(($D194+U$5),PERMANENT_FIELD_LABOR_HOURS)*PERMANENT_HOURLY_RATE-MAX(0,($D194+U$5)-PERMANENT_FIELD_LABOR_HOURS)*TEMP_HOURLY_RATE-FIXED_SEASON_COST)</f>
        <v>32406.4500432384</v>
      </c>
      <c r="V194" s="53" t="n">
        <f aca="false">IF(OR($A194&gt;TOMATO_BED_CAP,$B194&gt;CARROT_BED_CAP,V$4&gt;MESCLUN_BED_CAP,$A194+$B194+V$4&gt;TOTAL_BEDS_AVAILABLE,($D194+V$5)&gt;TOTAL_LABOR_HOURS_CAP,MAX(0,($D194+V$5)-PERMANENT_FIELD_LABOR_HOURS)&gt;TEMP_HOURS_CAP),"",$C194+V$6-MIN(($D194+V$5),PERMANENT_FIELD_LABOR_HOURS)*PERMANENT_HOURLY_RATE-MAX(0,($D194+V$5)-PERMANENT_FIELD_LABOR_HOURS)*TEMP_HOURLY_RATE-FIXED_SEASON_COST)</f>
        <v>33096.9949740052</v>
      </c>
      <c r="W194" s="53" t="n">
        <f aca="false">IF(OR($A194&gt;TOMATO_BED_CAP,$B194&gt;CARROT_BED_CAP,W$4&gt;MESCLUN_BED_CAP,$A194+$B194+W$4&gt;TOTAL_BEDS_AVAILABLE,($D194+W$5)&gt;TOTAL_LABOR_HOURS_CAP,MAX(0,($D194+W$5)-PERMANENT_FIELD_LABOR_HOURS)&gt;TEMP_HOURS_CAP),"",$C194+W$6-MIN(($D194+W$5),PERMANENT_FIELD_LABOR_HOURS)*PERMANENT_HOURLY_RATE-MAX(0,($D194+W$5)-PERMANENT_FIELD_LABOR_HOURS)*TEMP_HOURLY_RATE-FIXED_SEASON_COST)</f>
        <v>33761.5094949732</v>
      </c>
      <c r="X194" s="53" t="n">
        <f aca="false">IF(OR($A194&gt;TOMATO_BED_CAP,$B194&gt;CARROT_BED_CAP,X$4&gt;MESCLUN_BED_CAP,$A194+$B194+X$4&gt;TOTAL_BEDS_AVAILABLE,($D194+X$5)&gt;TOTAL_LABOR_HOURS_CAP,MAX(0,($D194+X$5)-PERMANENT_FIELD_LABOR_HOURS)&gt;TEMP_HOURS_CAP),"",$C194+X$6-MIN(($D194+X$5),PERMANENT_FIELD_LABOR_HOURS)*PERMANENT_HOURLY_RATE-MAX(0,($D194+X$5)-PERMANENT_FIELD_LABOR_HOURS)*TEMP_HOURLY_RATE-FIXED_SEASON_COST)</f>
        <v>34399.5193232522</v>
      </c>
      <c r="Y194" s="53" t="n">
        <f aca="false">IF(OR($A194&gt;TOMATO_BED_CAP,$B194&gt;CARROT_BED_CAP,Y$4&gt;MESCLUN_BED_CAP,$A194+$B194+Y$4&gt;TOTAL_BEDS_AVAILABLE,($D194+Y$5)&gt;TOTAL_LABOR_HOURS_CAP,MAX(0,($D194+Y$5)-PERMANENT_FIELD_LABOR_HOURS)&gt;TEMP_HOURS_CAP),"",$C194+Y$6-MIN(($D194+Y$5),PERMANENT_FIELD_LABOR_HOURS)*PERMANENT_HOURLY_RATE-MAX(0,($D194+Y$5)-PERMANENT_FIELD_LABOR_HOURS)*TEMP_HOURLY_RATE-FIXED_SEASON_COST)</f>
        <v>35010.5423861308</v>
      </c>
      <c r="Z194" s="53" t="n">
        <f aca="false">IF(OR($A194&gt;TOMATO_BED_CAP,$B194&gt;CARROT_BED_CAP,Z$4&gt;MESCLUN_BED_CAP,$A194+$B194+Z$4&gt;TOTAL_BEDS_AVAILABLE,($D194+Z$5)&gt;TOTAL_LABOR_HOURS_CAP,MAX(0,($D194+Z$5)-PERMANENT_FIELD_LABOR_HOURS)&gt;TEMP_HOURS_CAP),"",$C194+Z$6-MIN(($D194+Z$5),PERMANENT_FIELD_LABOR_HOURS)*PERMANENT_HOURLY_RATE-MAX(0,($D194+Z$5)-PERMANENT_FIELD_LABOR_HOURS)*TEMP_HOURLY_RATE-FIXED_SEASON_COST)</f>
        <v>35594.0887004385</v>
      </c>
      <c r="AA194" s="53" t="n">
        <f aca="false">IF(OR($A194&gt;TOMATO_BED_CAP,$B194&gt;CARROT_BED_CAP,AA$4&gt;MESCLUN_BED_CAP,$A194+$B194+AA$4&gt;TOTAL_BEDS_AVAILABLE,($D194+AA$5)&gt;TOTAL_LABOR_HOURS_CAP,MAX(0,($D194+AA$5)-PERMANENT_FIELD_LABOR_HOURS)&gt;TEMP_HOURS_CAP),"",$C194+AA$6-MIN(($D194+AA$5),PERMANENT_FIELD_LABOR_HOURS)*PERMANENT_HOURLY_RATE-MAX(0,($D194+AA$5)-PERMANENT_FIELD_LABOR_HOURS)*TEMP_HOURLY_RATE-FIXED_SEASON_COST)</f>
        <v>36149.6602501075</v>
      </c>
      <c r="AB194" s="53" t="n">
        <f aca="false">IF(OR($A194&gt;TOMATO_BED_CAP,$B194&gt;CARROT_BED_CAP,AB$4&gt;MESCLUN_BED_CAP,$A194+$B194+AB$4&gt;TOTAL_BEDS_AVAILABLE,($D194+AB$5)&gt;TOTAL_LABOR_HOURS_CAP,MAX(0,($D194+AB$5)-PERMANENT_FIELD_LABOR_HOURS)&gt;TEMP_HOURS_CAP),"",$C194+AB$6-MIN(($D194+AB$5),PERMANENT_FIELD_LABOR_HOURS)*PERMANENT_HOURLY_RATE-MAX(0,($D194+AB$5)-PERMANENT_FIELD_LABOR_HOURS)*TEMP_HOURLY_RATE-FIXED_SEASON_COST)</f>
        <v>36676.75086191</v>
      </c>
      <c r="AC194" s="53" t="n">
        <f aca="false">IF(OR($A194&gt;TOMATO_BED_CAP,$B194&gt;CARROT_BED_CAP,AC$4&gt;MESCLUN_BED_CAP,$A194+$B194+AC$4&gt;TOTAL_BEDS_AVAILABLE,($D194+AC$5)&gt;TOTAL_LABOR_HOURS_CAP,MAX(0,($D194+AC$5)-PERMANENT_FIELD_LABOR_HOURS)&gt;TEMP_HOURS_CAP),"",$C194+AC$6-MIN(($D194+AC$5),PERMANENT_FIELD_LABOR_HOURS)*PERMANENT_HOURLY_RATE-MAX(0,($D194+AC$5)-PERMANENT_FIELD_LABOR_HOURS)*TEMP_HOURLY_RATE-FIXED_SEASON_COST)</f>
        <v>37174.8460793449</v>
      </c>
      <c r="AD194" s="53" t="n">
        <f aca="false">IF(OR($A194&gt;TOMATO_BED_CAP,$B194&gt;CARROT_BED_CAP,AD$4&gt;MESCLUN_BED_CAP,$A194+$B194+AD$4&gt;TOTAL_BEDS_AVAILABLE,($D194+AD$5)&gt;TOTAL_LABOR_HOURS_CAP,MAX(0,($D194+AD$5)-PERMANENT_FIELD_LABOR_HOURS)&gt;TEMP_HOURS_CAP),"",$C194+AD$6-MIN(($D194+AD$5),PERMANENT_FIELD_LABOR_HOURS)*PERMANENT_HOURLY_RATE-MAX(0,($D194+AD$5)-PERMANENT_FIELD_LABOR_HOURS)*TEMP_HOURLY_RATE-FIXED_SEASON_COST)</f>
        <v>37643.4230346449</v>
      </c>
      <c r="AE194" s="53" t="n">
        <f aca="false">IF(OR($A194&gt;TOMATO_BED_CAP,$B194&gt;CARROT_BED_CAP,AE$4&gt;MESCLUN_BED_CAP,$A194+$B194+AE$4&gt;TOTAL_BEDS_AVAILABLE,($D194+AE$5)&gt;TOTAL_LABOR_HOURS_CAP,MAX(0,($D194+AE$5)-PERMANENT_FIELD_LABOR_HOURS)&gt;TEMP_HOURS_CAP),"",$C194+AE$6-MIN(($D194+AE$5),PERMANENT_FIELD_LABOR_HOURS)*PERMANENT_HOURLY_RATE-MAX(0,($D194+AE$5)-PERMANENT_FIELD_LABOR_HOURS)*TEMP_HOURLY_RATE-FIXED_SEASON_COST)</f>
        <v>38081.9503188788</v>
      </c>
      <c r="AF194" s="53" t="n">
        <f aca="false">IF(OR($A194&gt;TOMATO_BED_CAP,$B194&gt;CARROT_BED_CAP,AF$4&gt;MESCLUN_BED_CAP,$A194+$B194+AF$4&gt;TOTAL_BEDS_AVAILABLE,($D194+AF$5)&gt;TOTAL_LABOR_HOURS_CAP,MAX(0,($D194+AF$5)-PERMANENT_FIELD_LABOR_HOURS)&gt;TEMP_HOURS_CAP),"",$C194+AF$6-MIN(($D194+AF$5),PERMANENT_FIELD_LABOR_HOURS)*PERMANENT_HOURLY_RATE-MAX(0,($D194+AF$5)-PERMANENT_FIELD_LABOR_HOURS)*TEMP_HOURLY_RATE-FIXED_SEASON_COST)</f>
        <v>38489.8878501208</v>
      </c>
      <c r="AG194" s="53" t="n">
        <f aca="false">IF(OR($A194&gt;TOMATO_BED_CAP,$B194&gt;CARROT_BED_CAP,AG$4&gt;MESCLUN_BED_CAP,$A194+$B194+AG$4&gt;TOTAL_BEDS_AVAILABLE,($D194+AG$5)&gt;TOTAL_LABOR_HOURS_CAP,MAX(0,($D194+AG$5)-PERMANENT_FIELD_LABOR_HOURS)&gt;TEMP_HOURS_CAP),"",$C194+AG$6-MIN(($D194+AG$5),PERMANENT_FIELD_LABOR_HOURS)*PERMANENT_HOURLY_RATE-MAX(0,($D194+AG$5)-PERMANENT_FIELD_LABOR_HOURS)*TEMP_HOURLY_RATE-FIXED_SEASON_COST)</f>
        <v>38866.6867396578</v>
      </c>
      <c r="AH194" s="53" t="n">
        <f aca="false">IF(OR($A194&gt;TOMATO_BED_CAP,$B194&gt;CARROT_BED_CAP,AH$4&gt;MESCLUN_BED_CAP,$A194+$B194+AH$4&gt;TOTAL_BEDS_AVAILABLE,($D194+AH$5)&gt;TOTAL_LABOR_HOURS_CAP,MAX(0,($D194+AH$5)-PERMANENT_FIELD_LABOR_HOURS)&gt;TEMP_HOURS_CAP),"",$C194+AH$6-MIN(($D194+AH$5),PERMANENT_FIELD_LABOR_HOURS)*PERMANENT_HOURLY_RATE-MAX(0,($D194+AH$5)-PERMANENT_FIELD_LABOR_HOURS)*TEMP_HOURLY_RATE-FIXED_SEASON_COST)</f>
        <v>39211.789156208</v>
      </c>
      <c r="AI194" s="53" t="n">
        <f aca="false">IF(OR($A194&gt;TOMATO_BED_CAP,$B194&gt;CARROT_BED_CAP,AI$4&gt;MESCLUN_BED_CAP,$A194+$B194+AI$4&gt;TOTAL_BEDS_AVAILABLE,($D194+AI$5)&gt;TOTAL_LABOR_HOURS_CAP,MAX(0,($D194+AI$5)-PERMANENT_FIELD_LABOR_HOURS)&gt;TEMP_HOURS_CAP),"",$C194+AI$6-MIN(($D194+AI$5),PERMANENT_FIELD_LABOR_HOURS)*PERMANENT_HOURLY_RATE-MAX(0,($D194+AI$5)-PERMANENT_FIELD_LABOR_HOURS)*TEMP_HOURLY_RATE-FIXED_SEASON_COST)</f>
        <v>39524.6281881202</v>
      </c>
      <c r="AJ194" s="53" t="n">
        <f aca="false">IF(OR($A194&gt;TOMATO_BED_CAP,$B194&gt;CARROT_BED_CAP,AJ$4&gt;MESCLUN_BED_CAP,$A194+$B194+AJ$4&gt;TOTAL_BEDS_AVAILABLE,($D194+AJ$5)&gt;TOTAL_LABOR_HOURS_CAP,MAX(0,($D194+AJ$5)-PERMANENT_FIELD_LABOR_HOURS)&gt;TEMP_HOURS_CAP),"",$C194+AJ$6-MIN(($D194+AJ$5),PERMANENT_FIELD_LABOR_HOURS)*PERMANENT_HOURLY_RATE-MAX(0,($D194+AJ$5)-PERMANENT_FIELD_LABOR_HOURS)*TEMP_HOURLY_RATE-FIXED_SEASON_COST)</f>
        <v>39804.627703526</v>
      </c>
    </row>
    <row r="195" customFormat="false" ht="15" hidden="false" customHeight="false" outlineLevel="0" collapsed="false">
      <c r="A195" s="21" t="n">
        <f aca="false">INT((ROW()-ROW($A$8))/(20+1))</f>
        <v>8</v>
      </c>
      <c r="B195" s="21" t="n">
        <f aca="false">MOD(ROW()-ROW($A$8),20+1)</f>
        <v>19</v>
      </c>
      <c r="C195" s="13" t="n">
        <f aca="false">A195*(TOMATO_REVENUE_PER_BED-TOMATO_FERTILIZER_PER_BED)+B195*(CARROT_REVENUE_PER_BED-CARROT_FERTILIZER_PER_BED)</f>
        <v>94786</v>
      </c>
      <c r="D195" s="14" t="n">
        <f aca="false">INDEX(TOMATO_SCHED_LABOR_HRS,A195+1)+INDEX(CARROT_SCHED_LABOR_HRS,B195+1)</f>
        <v>2454.2500567777</v>
      </c>
      <c r="E195" s="13" t="n">
        <f aca="false">IF(COUNT(F195:AJ195)=0,"",MAX(F195:AJ195))</f>
        <v>40261.0083092117</v>
      </c>
      <c r="F195" s="53" t="n">
        <f aca="false">IF(OR($A195&gt;TOMATO_BED_CAP,$B195&gt;CARROT_BED_CAP,F$4&gt;MESCLUN_BED_CAP,$A195+$B195+F$4&gt;TOTAL_BEDS_AVAILABLE,($D195+F$5)&gt;TOTAL_LABOR_HOURS_CAP,MAX(0,($D195+F$5)-PERMANENT_FIELD_LABOR_HOURS)&gt;TEMP_HOURS_CAP),"",$C195+F$6-MIN(($D195+F$5),PERMANENT_FIELD_LABOR_HOURS)*PERMANENT_HOURLY_RATE-MAX(0,($D195+F$5)-PERMANENT_FIELD_LABOR_HOURS)*TEMP_HOURLY_RATE-FIXED_SEASON_COST)</f>
        <v>19681.0190143392</v>
      </c>
      <c r="G195" s="53" t="n">
        <f aca="false">IF(OR($A195&gt;TOMATO_BED_CAP,$B195&gt;CARROT_BED_CAP,G$4&gt;MESCLUN_BED_CAP,$A195+$B195+G$4&gt;TOTAL_BEDS_AVAILABLE,($D195+G$5)&gt;TOTAL_LABOR_HOURS_CAP,MAX(0,($D195+G$5)-PERMANENT_FIELD_LABOR_HOURS)&gt;TEMP_HOURS_CAP),"",$C195+G$6-MIN(($D195+G$5),PERMANENT_FIELD_LABOR_HOURS)*PERMANENT_HOURLY_RATE-MAX(0,($D195+G$5)-PERMANENT_FIELD_LABOR_HOURS)*TEMP_HOURLY_RATE-FIXED_SEASON_COST)</f>
        <v>20710.0540143392</v>
      </c>
      <c r="H195" s="53" t="n">
        <f aca="false">IF(OR($A195&gt;TOMATO_BED_CAP,$B195&gt;CARROT_BED_CAP,H$4&gt;MESCLUN_BED_CAP,$A195+$B195+H$4&gt;TOTAL_BEDS_AVAILABLE,($D195+H$5)&gt;TOTAL_LABOR_HOURS_CAP,MAX(0,($D195+H$5)-PERMANENT_FIELD_LABOR_HOURS)&gt;TEMP_HOURS_CAP),"",$C195+H$6-MIN(($D195+H$5),PERMANENT_FIELD_LABOR_HOURS)*PERMANENT_HOURLY_RATE-MAX(0,($D195+H$5)-PERMANENT_FIELD_LABOR_HOURS)*TEMP_HOURLY_RATE-FIXED_SEASON_COST)</f>
        <v>21719.3148893392</v>
      </c>
      <c r="I195" s="53" t="n">
        <f aca="false">IF(OR($A195&gt;TOMATO_BED_CAP,$B195&gt;CARROT_BED_CAP,I$4&gt;MESCLUN_BED_CAP,$A195+$B195+I$4&gt;TOTAL_BEDS_AVAILABLE,($D195+I$5)&gt;TOTAL_LABOR_HOURS_CAP,MAX(0,($D195+I$5)-PERMANENT_FIELD_LABOR_HOURS)&gt;TEMP_HOURS_CAP),"",$C195+I$6-MIN(($D195+I$5),PERMANENT_FIELD_LABOR_HOURS)*PERMANENT_HOURLY_RATE-MAX(0,($D195+I$5)-PERMANENT_FIELD_LABOR_HOURS)*TEMP_HOURLY_RATE-FIXED_SEASON_COST)</f>
        <v>22708.4308744954</v>
      </c>
      <c r="J195" s="53" t="n">
        <f aca="false">IF(OR($A195&gt;TOMATO_BED_CAP,$B195&gt;CARROT_BED_CAP,J$4&gt;MESCLUN_BED_CAP,$A195+$B195+J$4&gt;TOTAL_BEDS_AVAILABLE,($D195+J$5)&gt;TOTAL_LABOR_HOURS_CAP,MAX(0,($D195+J$5)-PERMANENT_FIELD_LABOR_HOURS)&gt;TEMP_HOURS_CAP),"",$C195+J$6-MIN(($D195+J$5),PERMANENT_FIELD_LABOR_HOURS)*PERMANENT_HOURLY_RATE-MAX(0,($D195+J$5)-PERMANENT_FIELD_LABOR_HOURS)*TEMP_HOURLY_RATE-FIXED_SEASON_COST)</f>
        <v>23677.0250255501</v>
      </c>
      <c r="K195" s="53" t="n">
        <f aca="false">IF(OR($A195&gt;TOMATO_BED_CAP,$B195&gt;CARROT_BED_CAP,K$4&gt;MESCLUN_BED_CAP,$A195+$B195+K$4&gt;TOTAL_BEDS_AVAILABLE,($D195+K$5)&gt;TOTAL_LABOR_HOURS_CAP,MAX(0,($D195+K$5)-PERMANENT_FIELD_LABOR_HOURS)&gt;TEMP_HOURS_CAP),"",$C195+K$6-MIN(($D195+K$5),PERMANENT_FIELD_LABOR_HOURS)*PERMANENT_HOURLY_RATE-MAX(0,($D195+K$5)-PERMANENT_FIELD_LABOR_HOURS)*TEMP_HOURLY_RATE-FIXED_SEASON_COST)</f>
        <v>24624.714122278</v>
      </c>
      <c r="L195" s="53" t="n">
        <f aca="false">IF(OR($A195&gt;TOMATO_BED_CAP,$B195&gt;CARROT_BED_CAP,L$4&gt;MESCLUN_BED_CAP,$A195+$B195+L$4&gt;TOTAL_BEDS_AVAILABLE,($D195+L$5)&gt;TOTAL_LABOR_HOURS_CAP,MAX(0,($D195+L$5)-PERMANENT_FIELD_LABOR_HOURS)&gt;TEMP_HOURS_CAP),"",$C195+L$6-MIN(($D195+L$5),PERMANENT_FIELD_LABOR_HOURS)*PERMANENT_HOURLY_RATE-MAX(0,($D195+L$5)-PERMANENT_FIELD_LABOR_HOURS)*TEMP_HOURLY_RATE-FIXED_SEASON_COST)</f>
        <v>25551.1085704849</v>
      </c>
      <c r="M195" s="53" t="n">
        <f aca="false">IF(OR($A195&gt;TOMATO_BED_CAP,$B195&gt;CARROT_BED_CAP,M$4&gt;MESCLUN_BED_CAP,$A195+$B195+M$4&gt;TOTAL_BEDS_AVAILABLE,($D195+M$5)&gt;TOTAL_LABOR_HOURS_CAP,MAX(0,($D195+M$5)-PERMANENT_FIELD_LABOR_HOURS)&gt;TEMP_HOURS_CAP),"",$C195+M$6-MIN(($D195+M$5),PERMANENT_FIELD_LABOR_HOURS)*PERMANENT_HOURLY_RATE-MAX(0,($D195+M$5)-PERMANENT_FIELD_LABOR_HOURS)*TEMP_HOURLY_RATE-FIXED_SEASON_COST)</f>
        <v>26455.8123025363</v>
      </c>
      <c r="N195" s="53" t="n">
        <f aca="false">IF(OR($A195&gt;TOMATO_BED_CAP,$B195&gt;CARROT_BED_CAP,N$4&gt;MESCLUN_BED_CAP,$A195+$B195+N$4&gt;TOTAL_BEDS_AVAILABLE,($D195+N$5)&gt;TOTAL_LABOR_HOURS_CAP,MAX(0,($D195+N$5)-PERMANENT_FIELD_LABOR_HOURS)&gt;TEMP_HOURS_CAP),"",$C195+N$6-MIN(($D195+N$5),PERMANENT_FIELD_LABOR_HOURS)*PERMANENT_HOURLY_RATE-MAX(0,($D195+N$5)-PERMANENT_FIELD_LABOR_HOURS)*TEMP_HOURLY_RATE-FIXED_SEASON_COST)</f>
        <v>27338.4226763958</v>
      </c>
      <c r="O195" s="53" t="n">
        <f aca="false">IF(OR($A195&gt;TOMATO_BED_CAP,$B195&gt;CARROT_BED_CAP,O$4&gt;MESCLUN_BED_CAP,$A195+$B195+O$4&gt;TOTAL_BEDS_AVAILABLE,($D195+O$5)&gt;TOTAL_LABOR_HOURS_CAP,MAX(0,($D195+O$5)-PERMANENT_FIELD_LABOR_HOURS)&gt;TEMP_HOURS_CAP),"",$C195+O$6-MIN(($D195+O$5),PERMANENT_FIELD_LABOR_HOURS)*PERMANENT_HOURLY_RATE-MAX(0,($D195+O$5)-PERMANENT_FIELD_LABOR_HOURS)*TEMP_HOURLY_RATE-FIXED_SEASON_COST)</f>
        <v>28198.5303731506</v>
      </c>
      <c r="P195" s="53" t="n">
        <f aca="false">IF(OR($A195&gt;TOMATO_BED_CAP,$B195&gt;CARROT_BED_CAP,P$4&gt;MESCLUN_BED_CAP,$A195+$B195+P$4&gt;TOTAL_BEDS_AVAILABLE,($D195+P$5)&gt;TOTAL_LABOR_HOURS_CAP,MAX(0,($D195+P$5)-PERMANENT_FIELD_LABOR_HOURS)&gt;TEMP_HOURS_CAP),"",$C195+P$6-MIN(($D195+P$5),PERMANENT_FIELD_LABOR_HOURS)*PERMANENT_HOURLY_RATE-MAX(0,($D195+P$5)-PERMANENT_FIELD_LABOR_HOURS)*TEMP_HOURLY_RATE-FIXED_SEASON_COST)</f>
        <v>29035.719293002</v>
      </c>
      <c r="Q195" s="53" t="n">
        <f aca="false">IF(OR($A195&gt;TOMATO_BED_CAP,$B195&gt;CARROT_BED_CAP,Q$4&gt;MESCLUN_BED_CAP,$A195+$B195+Q$4&gt;TOTAL_BEDS_AVAILABLE,($D195+Q$5)&gt;TOTAL_LABOR_HOURS_CAP,MAX(0,($D195+Q$5)-PERMANENT_FIELD_LABOR_HOURS)&gt;TEMP_HOURS_CAP),"",$C195+Q$6-MIN(($D195+Q$5),PERMANENT_FIELD_LABOR_HOURS)*PERMANENT_HOURLY_RATE-MAX(0,($D195+Q$5)-PERMANENT_FIELD_LABOR_HOURS)*TEMP_HOURLY_RATE-FIXED_SEASON_COST)</f>
        <v>29849.5664496999</v>
      </c>
      <c r="R195" s="53" t="n">
        <f aca="false">IF(OR($A195&gt;TOMATO_BED_CAP,$B195&gt;CARROT_BED_CAP,R$4&gt;MESCLUN_BED_CAP,$A195+$B195+R$4&gt;TOTAL_BEDS_AVAILABLE,($D195+R$5)&gt;TOTAL_LABOR_HOURS_CAP,MAX(0,($D195+R$5)-PERMANENT_FIELD_LABOR_HOURS)&gt;TEMP_HOURS_CAP),"",$C195+R$6-MIN(($D195+R$5),PERMANENT_FIELD_LABOR_HOURS)*PERMANENT_HOURLY_RATE-MAX(0,($D195+R$5)-PERMANENT_FIELD_LABOR_HOURS)*TEMP_HOURLY_RATE-FIXED_SEASON_COST)</f>
        <v>30639.6418633967</v>
      </c>
      <c r="S195" s="53" t="n">
        <f aca="false">IF(OR($A195&gt;TOMATO_BED_CAP,$B195&gt;CARROT_BED_CAP,S$4&gt;MESCLUN_BED_CAP,$A195+$B195+S$4&gt;TOTAL_BEDS_AVAILABLE,($D195+S$5)&gt;TOTAL_LABOR_HOURS_CAP,MAX(0,($D195+S$5)-PERMANENT_FIELD_LABOR_HOURS)&gt;TEMP_HOURS_CAP),"",$C195+S$6-MIN(($D195+S$5),PERMANENT_FIELD_LABOR_HOURS)*PERMANENT_HOURLY_RATE-MAX(0,($D195+S$5)-PERMANENT_FIELD_LABOR_HOURS)*TEMP_HOURLY_RATE-FIXED_SEASON_COST)</f>
        <v>31405.5084518992</v>
      </c>
      <c r="T195" s="53" t="n">
        <f aca="false">IF(OR($A195&gt;TOMATO_BED_CAP,$B195&gt;CARROT_BED_CAP,T$4&gt;MESCLUN_BED_CAP,$A195+$B195+T$4&gt;TOTAL_BEDS_AVAILABLE,($D195+T$5)&gt;TOTAL_LABOR_HOURS_CAP,MAX(0,($D195+T$5)-PERMANENT_FIELD_LABOR_HOURS)&gt;TEMP_HOURS_CAP),"",$C195+T$6-MIN(($D195+T$5),PERMANENT_FIELD_LABOR_HOURS)*PERMANENT_HOURLY_RATE-MAX(0,($D195+T$5)-PERMANENT_FIELD_LABOR_HOURS)*TEMP_HOURLY_RATE-FIXED_SEASON_COST)</f>
        <v>32146.721920294</v>
      </c>
      <c r="U195" s="53" t="n">
        <f aca="false">IF(OR($A195&gt;TOMATO_BED_CAP,$B195&gt;CARROT_BED_CAP,U$4&gt;MESCLUN_BED_CAP,$A195+$B195+U$4&gt;TOTAL_BEDS_AVAILABLE,($D195+U$5)&gt;TOTAL_LABOR_HOURS_CAP,MAX(0,($D195+U$5)-PERMANENT_FIELD_LABOR_HOURS)&gt;TEMP_HOURS_CAP),"",$C195+U$6-MIN(($D195+U$5),PERMANENT_FIELD_LABOR_HOURS)*PERMANENT_HOURLY_RATE-MAX(0,($D195+U$5)-PERMANENT_FIELD_LABOR_HOURS)*TEMP_HOURLY_RATE-FIXED_SEASON_COST)</f>
        <v>32862.8306489241</v>
      </c>
      <c r="V195" s="53" t="n">
        <f aca="false">IF(OR($A195&gt;TOMATO_BED_CAP,$B195&gt;CARROT_BED_CAP,V$4&gt;MESCLUN_BED_CAP,$A195+$B195+V$4&gt;TOTAL_BEDS_AVAILABLE,($D195+V$5)&gt;TOTAL_LABOR_HOURS_CAP,MAX(0,($D195+V$5)-PERMANENT_FIELD_LABOR_HOURS)&gt;TEMP_HOURS_CAP),"",$C195+V$6-MIN(($D195+V$5),PERMANENT_FIELD_LABOR_HOURS)*PERMANENT_HOURLY_RATE-MAX(0,($D195+V$5)-PERMANENT_FIELD_LABOR_HOURS)*TEMP_HOURLY_RATE-FIXED_SEASON_COST)</f>
        <v>33553.3755796909</v>
      </c>
      <c r="W195" s="53" t="n">
        <f aca="false">IF(OR($A195&gt;TOMATO_BED_CAP,$B195&gt;CARROT_BED_CAP,W$4&gt;MESCLUN_BED_CAP,$A195+$B195+W$4&gt;TOTAL_BEDS_AVAILABLE,($D195+W$5)&gt;TOTAL_LABOR_HOURS_CAP,MAX(0,($D195+W$5)-PERMANENT_FIELD_LABOR_HOURS)&gt;TEMP_HOURS_CAP),"",$C195+W$6-MIN(($D195+W$5),PERMANENT_FIELD_LABOR_HOURS)*PERMANENT_HOURLY_RATE-MAX(0,($D195+W$5)-PERMANENT_FIELD_LABOR_HOURS)*TEMP_HOURLY_RATE-FIXED_SEASON_COST)</f>
        <v>34217.8901006589</v>
      </c>
      <c r="X195" s="53" t="n">
        <f aca="false">IF(OR($A195&gt;TOMATO_BED_CAP,$B195&gt;CARROT_BED_CAP,X$4&gt;MESCLUN_BED_CAP,$A195+$B195+X$4&gt;TOTAL_BEDS_AVAILABLE,($D195+X$5)&gt;TOTAL_LABOR_HOURS_CAP,MAX(0,($D195+X$5)-PERMANENT_FIELD_LABOR_HOURS)&gt;TEMP_HOURS_CAP),"",$C195+X$6-MIN(($D195+X$5),PERMANENT_FIELD_LABOR_HOURS)*PERMANENT_HOURLY_RATE-MAX(0,($D195+X$5)-PERMANENT_FIELD_LABOR_HOURS)*TEMP_HOURLY_RATE-FIXED_SEASON_COST)</f>
        <v>34855.8999289379</v>
      </c>
      <c r="Y195" s="53" t="n">
        <f aca="false">IF(OR($A195&gt;TOMATO_BED_CAP,$B195&gt;CARROT_BED_CAP,Y$4&gt;MESCLUN_BED_CAP,$A195+$B195+Y$4&gt;TOTAL_BEDS_AVAILABLE,($D195+Y$5)&gt;TOTAL_LABOR_HOURS_CAP,MAX(0,($D195+Y$5)-PERMANENT_FIELD_LABOR_HOURS)&gt;TEMP_HOURS_CAP),"",$C195+Y$6-MIN(($D195+Y$5),PERMANENT_FIELD_LABOR_HOURS)*PERMANENT_HOURLY_RATE-MAX(0,($D195+Y$5)-PERMANENT_FIELD_LABOR_HOURS)*TEMP_HOURLY_RATE-FIXED_SEASON_COST)</f>
        <v>35466.9229918165</v>
      </c>
      <c r="Z195" s="53" t="n">
        <f aca="false">IF(OR($A195&gt;TOMATO_BED_CAP,$B195&gt;CARROT_BED_CAP,Z$4&gt;MESCLUN_BED_CAP,$A195+$B195+Z$4&gt;TOTAL_BEDS_AVAILABLE,($D195+Z$5)&gt;TOTAL_LABOR_HOURS_CAP,MAX(0,($D195+Z$5)-PERMANENT_FIELD_LABOR_HOURS)&gt;TEMP_HOURS_CAP),"",$C195+Z$6-MIN(($D195+Z$5),PERMANENT_FIELD_LABOR_HOURS)*PERMANENT_HOURLY_RATE-MAX(0,($D195+Z$5)-PERMANENT_FIELD_LABOR_HOURS)*TEMP_HOURLY_RATE-FIXED_SEASON_COST)</f>
        <v>36050.4693061243</v>
      </c>
      <c r="AA195" s="53" t="n">
        <f aca="false">IF(OR($A195&gt;TOMATO_BED_CAP,$B195&gt;CARROT_BED_CAP,AA$4&gt;MESCLUN_BED_CAP,$A195+$B195+AA$4&gt;TOTAL_BEDS_AVAILABLE,($D195+AA$5)&gt;TOTAL_LABOR_HOURS_CAP,MAX(0,($D195+AA$5)-PERMANENT_FIELD_LABOR_HOURS)&gt;TEMP_HOURS_CAP),"",$C195+AA$6-MIN(($D195+AA$5),PERMANENT_FIELD_LABOR_HOURS)*PERMANENT_HOURLY_RATE-MAX(0,($D195+AA$5)-PERMANENT_FIELD_LABOR_HOURS)*TEMP_HOURLY_RATE-FIXED_SEASON_COST)</f>
        <v>36606.0408557932</v>
      </c>
      <c r="AB195" s="53" t="n">
        <f aca="false">IF(OR($A195&gt;TOMATO_BED_CAP,$B195&gt;CARROT_BED_CAP,AB$4&gt;MESCLUN_BED_CAP,$A195+$B195+AB$4&gt;TOTAL_BEDS_AVAILABLE,($D195+AB$5)&gt;TOTAL_LABOR_HOURS_CAP,MAX(0,($D195+AB$5)-PERMANENT_FIELD_LABOR_HOURS)&gt;TEMP_HOURS_CAP),"",$C195+AB$6-MIN(($D195+AB$5),PERMANENT_FIELD_LABOR_HOURS)*PERMANENT_HOURLY_RATE-MAX(0,($D195+AB$5)-PERMANENT_FIELD_LABOR_HOURS)*TEMP_HOURLY_RATE-FIXED_SEASON_COST)</f>
        <v>37133.1314675958</v>
      </c>
      <c r="AC195" s="53" t="n">
        <f aca="false">IF(OR($A195&gt;TOMATO_BED_CAP,$B195&gt;CARROT_BED_CAP,AC$4&gt;MESCLUN_BED_CAP,$A195+$B195+AC$4&gt;TOTAL_BEDS_AVAILABLE,($D195+AC$5)&gt;TOTAL_LABOR_HOURS_CAP,MAX(0,($D195+AC$5)-PERMANENT_FIELD_LABOR_HOURS)&gt;TEMP_HOURS_CAP),"",$C195+AC$6-MIN(($D195+AC$5),PERMANENT_FIELD_LABOR_HOURS)*PERMANENT_HOURLY_RATE-MAX(0,($D195+AC$5)-PERMANENT_FIELD_LABOR_HOURS)*TEMP_HOURLY_RATE-FIXED_SEASON_COST)</f>
        <v>37631.2266850307</v>
      </c>
      <c r="AD195" s="53" t="n">
        <f aca="false">IF(OR($A195&gt;TOMATO_BED_CAP,$B195&gt;CARROT_BED_CAP,AD$4&gt;MESCLUN_BED_CAP,$A195+$B195+AD$4&gt;TOTAL_BEDS_AVAILABLE,($D195+AD$5)&gt;TOTAL_LABOR_HOURS_CAP,MAX(0,($D195+AD$5)-PERMANENT_FIELD_LABOR_HOURS)&gt;TEMP_HOURS_CAP),"",$C195+AD$6-MIN(($D195+AD$5),PERMANENT_FIELD_LABOR_HOURS)*PERMANENT_HOURLY_RATE-MAX(0,($D195+AD$5)-PERMANENT_FIELD_LABOR_HOURS)*TEMP_HOURLY_RATE-FIXED_SEASON_COST)</f>
        <v>38099.8036403306</v>
      </c>
      <c r="AE195" s="53" t="n">
        <f aca="false">IF(OR($A195&gt;TOMATO_BED_CAP,$B195&gt;CARROT_BED_CAP,AE$4&gt;MESCLUN_BED_CAP,$A195+$B195+AE$4&gt;TOTAL_BEDS_AVAILABLE,($D195+AE$5)&gt;TOTAL_LABOR_HOURS_CAP,MAX(0,($D195+AE$5)-PERMANENT_FIELD_LABOR_HOURS)&gt;TEMP_HOURS_CAP),"",$C195+AE$6-MIN(($D195+AE$5),PERMANENT_FIELD_LABOR_HOURS)*PERMANENT_HOURLY_RATE-MAX(0,($D195+AE$5)-PERMANENT_FIELD_LABOR_HOURS)*TEMP_HOURLY_RATE-FIXED_SEASON_COST)</f>
        <v>38538.3309245645</v>
      </c>
      <c r="AF195" s="53" t="n">
        <f aca="false">IF(OR($A195&gt;TOMATO_BED_CAP,$B195&gt;CARROT_BED_CAP,AF$4&gt;MESCLUN_BED_CAP,$A195+$B195+AF$4&gt;TOTAL_BEDS_AVAILABLE,($D195+AF$5)&gt;TOTAL_LABOR_HOURS_CAP,MAX(0,($D195+AF$5)-PERMANENT_FIELD_LABOR_HOURS)&gt;TEMP_HOURS_CAP),"",$C195+AF$6-MIN(($D195+AF$5),PERMANENT_FIELD_LABOR_HOURS)*PERMANENT_HOURLY_RATE-MAX(0,($D195+AF$5)-PERMANENT_FIELD_LABOR_HOURS)*TEMP_HOURLY_RATE-FIXED_SEASON_COST)</f>
        <v>38946.2684558065</v>
      </c>
      <c r="AG195" s="53" t="n">
        <f aca="false">IF(OR($A195&gt;TOMATO_BED_CAP,$B195&gt;CARROT_BED_CAP,AG$4&gt;MESCLUN_BED_CAP,$A195+$B195+AG$4&gt;TOTAL_BEDS_AVAILABLE,($D195+AG$5)&gt;TOTAL_LABOR_HOURS_CAP,MAX(0,($D195+AG$5)-PERMANENT_FIELD_LABOR_HOURS)&gt;TEMP_HOURS_CAP),"",$C195+AG$6-MIN(($D195+AG$5),PERMANENT_FIELD_LABOR_HOURS)*PERMANENT_HOURLY_RATE-MAX(0,($D195+AG$5)-PERMANENT_FIELD_LABOR_HOURS)*TEMP_HOURLY_RATE-FIXED_SEASON_COST)</f>
        <v>39323.0673453435</v>
      </c>
      <c r="AH195" s="53" t="n">
        <f aca="false">IF(OR($A195&gt;TOMATO_BED_CAP,$B195&gt;CARROT_BED_CAP,AH$4&gt;MESCLUN_BED_CAP,$A195+$B195+AH$4&gt;TOTAL_BEDS_AVAILABLE,($D195+AH$5)&gt;TOTAL_LABOR_HOURS_CAP,MAX(0,($D195+AH$5)-PERMANENT_FIELD_LABOR_HOURS)&gt;TEMP_HOURS_CAP),"",$C195+AH$6-MIN(($D195+AH$5),PERMANENT_FIELD_LABOR_HOURS)*PERMANENT_HOURLY_RATE-MAX(0,($D195+AH$5)-PERMANENT_FIELD_LABOR_HOURS)*TEMP_HOURLY_RATE-FIXED_SEASON_COST)</f>
        <v>39668.1697618937</v>
      </c>
      <c r="AI195" s="53" t="n">
        <f aca="false">IF(OR($A195&gt;TOMATO_BED_CAP,$B195&gt;CARROT_BED_CAP,AI$4&gt;MESCLUN_BED_CAP,$A195+$B195+AI$4&gt;TOTAL_BEDS_AVAILABLE,($D195+AI$5)&gt;TOTAL_LABOR_HOURS_CAP,MAX(0,($D195+AI$5)-PERMANENT_FIELD_LABOR_HOURS)&gt;TEMP_HOURS_CAP),"",$C195+AI$6-MIN(($D195+AI$5),PERMANENT_FIELD_LABOR_HOURS)*PERMANENT_HOURLY_RATE-MAX(0,($D195+AI$5)-PERMANENT_FIELD_LABOR_HOURS)*TEMP_HOURLY_RATE-FIXED_SEASON_COST)</f>
        <v>39981.008793806</v>
      </c>
      <c r="AJ195" s="53" t="n">
        <f aca="false">IF(OR($A195&gt;TOMATO_BED_CAP,$B195&gt;CARROT_BED_CAP,AJ$4&gt;MESCLUN_BED_CAP,$A195+$B195+AJ$4&gt;TOTAL_BEDS_AVAILABLE,($D195+AJ$5)&gt;TOTAL_LABOR_HOURS_CAP,MAX(0,($D195+AJ$5)-PERMANENT_FIELD_LABOR_HOURS)&gt;TEMP_HOURS_CAP),"",$C195+AJ$6-MIN(($D195+AJ$5),PERMANENT_FIELD_LABOR_HOURS)*PERMANENT_HOURLY_RATE-MAX(0,($D195+AJ$5)-PERMANENT_FIELD_LABOR_HOURS)*TEMP_HOURLY_RATE-FIXED_SEASON_COST)</f>
        <v>40261.0083092117</v>
      </c>
    </row>
    <row r="196" customFormat="false" ht="15" hidden="false" customHeight="false" outlineLevel="0" collapsed="false">
      <c r="A196" s="21" t="n">
        <f aca="false">INT((ROW()-ROW($A$8))/(20+1))</f>
        <v>8</v>
      </c>
      <c r="B196" s="21" t="n">
        <f aca="false">MOD(ROW()-ROW($A$8),20+1)</f>
        <v>20</v>
      </c>
      <c r="C196" s="13" t="n">
        <f aca="false">A196*(TOMATO_REVENUE_PER_BED-TOMATO_FERTILIZER_PER_BED)+B196*(CARROT_REVENUE_PER_BED-CARROT_FERTILIZER_PER_BED)</f>
        <v>96440</v>
      </c>
      <c r="D196" s="14" t="n">
        <f aca="false">INDEX(TOMATO_SCHED_LABOR_HRS,A196+1)+INDEX(CARROT_SCHED_LABOR_HRS,B196+1)</f>
        <v>2526.16053942857</v>
      </c>
      <c r="E196" s="13" t="n">
        <f aca="false">IF(COUNT(F196:AJ196)=0,"",MAX(F196:AJ196))</f>
        <v>40666.6423303926</v>
      </c>
      <c r="F196" s="53" t="n">
        <f aca="false">IF(OR($A196&gt;TOMATO_BED_CAP,$B196&gt;CARROT_BED_CAP,F$4&gt;MESCLUN_BED_CAP,$A196+$B196+F$4&gt;TOTAL_BEDS_AVAILABLE,($D196+F$5)&gt;TOTAL_LABOR_HOURS_CAP,MAX(0,($D196+F$5)-PERMANENT_FIELD_LABOR_HOURS)&gt;TEMP_HOURS_CAP),"",$C196+F$6-MIN(($D196+F$5),PERMANENT_FIELD_LABOR_HOURS)*PERMANENT_HOURLY_RATE-MAX(0,($D196+F$5)-PERMANENT_FIELD_LABOR_HOURS)*TEMP_HOURLY_RATE-FIXED_SEASON_COST)</f>
        <v>20086.6530355201</v>
      </c>
      <c r="G196" s="53" t="n">
        <f aca="false">IF(OR($A196&gt;TOMATO_BED_CAP,$B196&gt;CARROT_BED_CAP,G$4&gt;MESCLUN_BED_CAP,$A196+$B196+G$4&gt;TOTAL_BEDS_AVAILABLE,($D196+G$5)&gt;TOTAL_LABOR_HOURS_CAP,MAX(0,($D196+G$5)-PERMANENT_FIELD_LABOR_HOURS)&gt;TEMP_HOURS_CAP),"",$C196+G$6-MIN(($D196+G$5),PERMANENT_FIELD_LABOR_HOURS)*PERMANENT_HOURLY_RATE-MAX(0,($D196+G$5)-PERMANENT_FIELD_LABOR_HOURS)*TEMP_HOURLY_RATE-FIXED_SEASON_COST)</f>
        <v>21115.6880355201</v>
      </c>
      <c r="H196" s="53" t="n">
        <f aca="false">IF(OR($A196&gt;TOMATO_BED_CAP,$B196&gt;CARROT_BED_CAP,H$4&gt;MESCLUN_BED_CAP,$A196+$B196+H$4&gt;TOTAL_BEDS_AVAILABLE,($D196+H$5)&gt;TOTAL_LABOR_HOURS_CAP,MAX(0,($D196+H$5)-PERMANENT_FIELD_LABOR_HOURS)&gt;TEMP_HOURS_CAP),"",$C196+H$6-MIN(($D196+H$5),PERMANENT_FIELD_LABOR_HOURS)*PERMANENT_HOURLY_RATE-MAX(0,($D196+H$5)-PERMANENT_FIELD_LABOR_HOURS)*TEMP_HOURLY_RATE-FIXED_SEASON_COST)</f>
        <v>22124.9489105201</v>
      </c>
      <c r="I196" s="53" t="n">
        <f aca="false">IF(OR($A196&gt;TOMATO_BED_CAP,$B196&gt;CARROT_BED_CAP,I$4&gt;MESCLUN_BED_CAP,$A196+$B196+I$4&gt;TOTAL_BEDS_AVAILABLE,($D196+I$5)&gt;TOTAL_LABOR_HOURS_CAP,MAX(0,($D196+I$5)-PERMANENT_FIELD_LABOR_HOURS)&gt;TEMP_HOURS_CAP),"",$C196+I$6-MIN(($D196+I$5),PERMANENT_FIELD_LABOR_HOURS)*PERMANENT_HOURLY_RATE-MAX(0,($D196+I$5)-PERMANENT_FIELD_LABOR_HOURS)*TEMP_HOURLY_RATE-FIXED_SEASON_COST)</f>
        <v>23114.0648956763</v>
      </c>
      <c r="J196" s="53" t="n">
        <f aca="false">IF(OR($A196&gt;TOMATO_BED_CAP,$B196&gt;CARROT_BED_CAP,J$4&gt;MESCLUN_BED_CAP,$A196+$B196+J$4&gt;TOTAL_BEDS_AVAILABLE,($D196+J$5)&gt;TOTAL_LABOR_HOURS_CAP,MAX(0,($D196+J$5)-PERMANENT_FIELD_LABOR_HOURS)&gt;TEMP_HOURS_CAP),"",$C196+J$6-MIN(($D196+J$5),PERMANENT_FIELD_LABOR_HOURS)*PERMANENT_HOURLY_RATE-MAX(0,($D196+J$5)-PERMANENT_FIELD_LABOR_HOURS)*TEMP_HOURLY_RATE-FIXED_SEASON_COST)</f>
        <v>24082.659046731</v>
      </c>
      <c r="K196" s="53" t="n">
        <f aca="false">IF(OR($A196&gt;TOMATO_BED_CAP,$B196&gt;CARROT_BED_CAP,K$4&gt;MESCLUN_BED_CAP,$A196+$B196+K$4&gt;TOTAL_BEDS_AVAILABLE,($D196+K$5)&gt;TOTAL_LABOR_HOURS_CAP,MAX(0,($D196+K$5)-PERMANENT_FIELD_LABOR_HOURS)&gt;TEMP_HOURS_CAP),"",$C196+K$6-MIN(($D196+K$5),PERMANENT_FIELD_LABOR_HOURS)*PERMANENT_HOURLY_RATE-MAX(0,($D196+K$5)-PERMANENT_FIELD_LABOR_HOURS)*TEMP_HOURLY_RATE-FIXED_SEASON_COST)</f>
        <v>25030.3481434589</v>
      </c>
      <c r="L196" s="53" t="n">
        <f aca="false">IF(OR($A196&gt;TOMATO_BED_CAP,$B196&gt;CARROT_BED_CAP,L$4&gt;MESCLUN_BED_CAP,$A196+$B196+L$4&gt;TOTAL_BEDS_AVAILABLE,($D196+L$5)&gt;TOTAL_LABOR_HOURS_CAP,MAX(0,($D196+L$5)-PERMANENT_FIELD_LABOR_HOURS)&gt;TEMP_HOURS_CAP),"",$C196+L$6-MIN(($D196+L$5),PERMANENT_FIELD_LABOR_HOURS)*PERMANENT_HOURLY_RATE-MAX(0,($D196+L$5)-PERMANENT_FIELD_LABOR_HOURS)*TEMP_HOURLY_RATE-FIXED_SEASON_COST)</f>
        <v>25956.7425916658</v>
      </c>
      <c r="M196" s="53" t="n">
        <f aca="false">IF(OR($A196&gt;TOMATO_BED_CAP,$B196&gt;CARROT_BED_CAP,M$4&gt;MESCLUN_BED_CAP,$A196+$B196+M$4&gt;TOTAL_BEDS_AVAILABLE,($D196+M$5)&gt;TOTAL_LABOR_HOURS_CAP,MAX(0,($D196+M$5)-PERMANENT_FIELD_LABOR_HOURS)&gt;TEMP_HOURS_CAP),"",$C196+M$6-MIN(($D196+M$5),PERMANENT_FIELD_LABOR_HOURS)*PERMANENT_HOURLY_RATE-MAX(0,($D196+M$5)-PERMANENT_FIELD_LABOR_HOURS)*TEMP_HOURLY_RATE-FIXED_SEASON_COST)</f>
        <v>26861.4463237172</v>
      </c>
      <c r="N196" s="53" t="n">
        <f aca="false">IF(OR($A196&gt;TOMATO_BED_CAP,$B196&gt;CARROT_BED_CAP,N$4&gt;MESCLUN_BED_CAP,$A196+$B196+N$4&gt;TOTAL_BEDS_AVAILABLE,($D196+N$5)&gt;TOTAL_LABOR_HOURS_CAP,MAX(0,($D196+N$5)-PERMANENT_FIELD_LABOR_HOURS)&gt;TEMP_HOURS_CAP),"",$C196+N$6-MIN(($D196+N$5),PERMANENT_FIELD_LABOR_HOURS)*PERMANENT_HOURLY_RATE-MAX(0,($D196+N$5)-PERMANENT_FIELD_LABOR_HOURS)*TEMP_HOURLY_RATE-FIXED_SEASON_COST)</f>
        <v>27744.0566975767</v>
      </c>
      <c r="O196" s="53" t="n">
        <f aca="false">IF(OR($A196&gt;TOMATO_BED_CAP,$B196&gt;CARROT_BED_CAP,O$4&gt;MESCLUN_BED_CAP,$A196+$B196+O$4&gt;TOTAL_BEDS_AVAILABLE,($D196+O$5)&gt;TOTAL_LABOR_HOURS_CAP,MAX(0,($D196+O$5)-PERMANENT_FIELD_LABOR_HOURS)&gt;TEMP_HOURS_CAP),"",$C196+O$6-MIN(($D196+O$5),PERMANENT_FIELD_LABOR_HOURS)*PERMANENT_HOURLY_RATE-MAX(0,($D196+O$5)-PERMANENT_FIELD_LABOR_HOURS)*TEMP_HOURLY_RATE-FIXED_SEASON_COST)</f>
        <v>28604.1643943315</v>
      </c>
      <c r="P196" s="53" t="n">
        <f aca="false">IF(OR($A196&gt;TOMATO_BED_CAP,$B196&gt;CARROT_BED_CAP,P$4&gt;MESCLUN_BED_CAP,$A196+$B196+P$4&gt;TOTAL_BEDS_AVAILABLE,($D196+P$5)&gt;TOTAL_LABOR_HOURS_CAP,MAX(0,($D196+P$5)-PERMANENT_FIELD_LABOR_HOURS)&gt;TEMP_HOURS_CAP),"",$C196+P$6-MIN(($D196+P$5),PERMANENT_FIELD_LABOR_HOURS)*PERMANENT_HOURLY_RATE-MAX(0,($D196+P$5)-PERMANENT_FIELD_LABOR_HOURS)*TEMP_HOURLY_RATE-FIXED_SEASON_COST)</f>
        <v>29441.3533141829</v>
      </c>
      <c r="Q196" s="53" t="n">
        <f aca="false">IF(OR($A196&gt;TOMATO_BED_CAP,$B196&gt;CARROT_BED_CAP,Q$4&gt;MESCLUN_BED_CAP,$A196+$B196+Q$4&gt;TOTAL_BEDS_AVAILABLE,($D196+Q$5)&gt;TOTAL_LABOR_HOURS_CAP,MAX(0,($D196+Q$5)-PERMANENT_FIELD_LABOR_HOURS)&gt;TEMP_HOURS_CAP),"",$C196+Q$6-MIN(($D196+Q$5),PERMANENT_FIELD_LABOR_HOURS)*PERMANENT_HOURLY_RATE-MAX(0,($D196+Q$5)-PERMANENT_FIELD_LABOR_HOURS)*TEMP_HOURLY_RATE-FIXED_SEASON_COST)</f>
        <v>30255.2004708808</v>
      </c>
      <c r="R196" s="53" t="n">
        <f aca="false">IF(OR($A196&gt;TOMATO_BED_CAP,$B196&gt;CARROT_BED_CAP,R$4&gt;MESCLUN_BED_CAP,$A196+$B196+R$4&gt;TOTAL_BEDS_AVAILABLE,($D196+R$5)&gt;TOTAL_LABOR_HOURS_CAP,MAX(0,($D196+R$5)-PERMANENT_FIELD_LABOR_HOURS)&gt;TEMP_HOURS_CAP),"",$C196+R$6-MIN(($D196+R$5),PERMANENT_FIELD_LABOR_HOURS)*PERMANENT_HOURLY_RATE-MAX(0,($D196+R$5)-PERMANENT_FIELD_LABOR_HOURS)*TEMP_HOURLY_RATE-FIXED_SEASON_COST)</f>
        <v>31045.2758845776</v>
      </c>
      <c r="S196" s="53" t="n">
        <f aca="false">IF(OR($A196&gt;TOMATO_BED_CAP,$B196&gt;CARROT_BED_CAP,S$4&gt;MESCLUN_BED_CAP,$A196+$B196+S$4&gt;TOTAL_BEDS_AVAILABLE,($D196+S$5)&gt;TOTAL_LABOR_HOURS_CAP,MAX(0,($D196+S$5)-PERMANENT_FIELD_LABOR_HOURS)&gt;TEMP_HOURS_CAP),"",$C196+S$6-MIN(($D196+S$5),PERMANENT_FIELD_LABOR_HOURS)*PERMANENT_HOURLY_RATE-MAX(0,($D196+S$5)-PERMANENT_FIELD_LABOR_HOURS)*TEMP_HOURLY_RATE-FIXED_SEASON_COST)</f>
        <v>31811.14247308</v>
      </c>
      <c r="T196" s="53" t="n">
        <f aca="false">IF(OR($A196&gt;TOMATO_BED_CAP,$B196&gt;CARROT_BED_CAP,T$4&gt;MESCLUN_BED_CAP,$A196+$B196+T$4&gt;TOTAL_BEDS_AVAILABLE,($D196+T$5)&gt;TOTAL_LABOR_HOURS_CAP,MAX(0,($D196+T$5)-PERMANENT_FIELD_LABOR_HOURS)&gt;TEMP_HOURS_CAP),"",$C196+T$6-MIN(($D196+T$5),PERMANENT_FIELD_LABOR_HOURS)*PERMANENT_HOURLY_RATE-MAX(0,($D196+T$5)-PERMANENT_FIELD_LABOR_HOURS)*TEMP_HOURLY_RATE-FIXED_SEASON_COST)</f>
        <v>32552.3559414749</v>
      </c>
      <c r="U196" s="53" t="n">
        <f aca="false">IF(OR($A196&gt;TOMATO_BED_CAP,$B196&gt;CARROT_BED_CAP,U$4&gt;MESCLUN_BED_CAP,$A196+$B196+U$4&gt;TOTAL_BEDS_AVAILABLE,($D196+U$5)&gt;TOTAL_LABOR_HOURS_CAP,MAX(0,($D196+U$5)-PERMANENT_FIELD_LABOR_HOURS)&gt;TEMP_HOURS_CAP),"",$C196+U$6-MIN(($D196+U$5),PERMANENT_FIELD_LABOR_HOURS)*PERMANENT_HOURLY_RATE-MAX(0,($D196+U$5)-PERMANENT_FIELD_LABOR_HOURS)*TEMP_HOURLY_RATE-FIXED_SEASON_COST)</f>
        <v>33268.464670105</v>
      </c>
      <c r="V196" s="53" t="n">
        <f aca="false">IF(OR($A196&gt;TOMATO_BED_CAP,$B196&gt;CARROT_BED_CAP,V$4&gt;MESCLUN_BED_CAP,$A196+$B196+V$4&gt;TOTAL_BEDS_AVAILABLE,($D196+V$5)&gt;TOTAL_LABOR_HOURS_CAP,MAX(0,($D196+V$5)-PERMANENT_FIELD_LABOR_HOURS)&gt;TEMP_HOURS_CAP),"",$C196+V$6-MIN(($D196+V$5),PERMANENT_FIELD_LABOR_HOURS)*PERMANENT_HOURLY_RATE-MAX(0,($D196+V$5)-PERMANENT_FIELD_LABOR_HOURS)*TEMP_HOURLY_RATE-FIXED_SEASON_COST)</f>
        <v>33959.0096008718</v>
      </c>
      <c r="W196" s="53" t="n">
        <f aca="false">IF(OR($A196&gt;TOMATO_BED_CAP,$B196&gt;CARROT_BED_CAP,W$4&gt;MESCLUN_BED_CAP,$A196+$B196+W$4&gt;TOTAL_BEDS_AVAILABLE,($D196+W$5)&gt;TOTAL_LABOR_HOURS_CAP,MAX(0,($D196+W$5)-PERMANENT_FIELD_LABOR_HOURS)&gt;TEMP_HOURS_CAP),"",$C196+W$6-MIN(($D196+W$5),PERMANENT_FIELD_LABOR_HOURS)*PERMANENT_HOURLY_RATE-MAX(0,($D196+W$5)-PERMANENT_FIELD_LABOR_HOURS)*TEMP_HOURLY_RATE-FIXED_SEASON_COST)</f>
        <v>34623.5241218398</v>
      </c>
      <c r="X196" s="53" t="n">
        <f aca="false">IF(OR($A196&gt;TOMATO_BED_CAP,$B196&gt;CARROT_BED_CAP,X$4&gt;MESCLUN_BED_CAP,$A196+$B196+X$4&gt;TOTAL_BEDS_AVAILABLE,($D196+X$5)&gt;TOTAL_LABOR_HOURS_CAP,MAX(0,($D196+X$5)-PERMANENT_FIELD_LABOR_HOURS)&gt;TEMP_HOURS_CAP),"",$C196+X$6-MIN(($D196+X$5),PERMANENT_FIELD_LABOR_HOURS)*PERMANENT_HOURLY_RATE-MAX(0,($D196+X$5)-PERMANENT_FIELD_LABOR_HOURS)*TEMP_HOURLY_RATE-FIXED_SEASON_COST)</f>
        <v>35261.5339501188</v>
      </c>
      <c r="Y196" s="53" t="n">
        <f aca="false">IF(OR($A196&gt;TOMATO_BED_CAP,$B196&gt;CARROT_BED_CAP,Y$4&gt;MESCLUN_BED_CAP,$A196+$B196+Y$4&gt;TOTAL_BEDS_AVAILABLE,($D196+Y$5)&gt;TOTAL_LABOR_HOURS_CAP,MAX(0,($D196+Y$5)-PERMANENT_FIELD_LABOR_HOURS)&gt;TEMP_HOURS_CAP),"",$C196+Y$6-MIN(($D196+Y$5),PERMANENT_FIELD_LABOR_HOURS)*PERMANENT_HOURLY_RATE-MAX(0,($D196+Y$5)-PERMANENT_FIELD_LABOR_HOURS)*TEMP_HOURLY_RATE-FIXED_SEASON_COST)</f>
        <v>35872.5570129974</v>
      </c>
      <c r="Z196" s="53" t="n">
        <f aca="false">IF(OR($A196&gt;TOMATO_BED_CAP,$B196&gt;CARROT_BED_CAP,Z$4&gt;MESCLUN_BED_CAP,$A196+$B196+Z$4&gt;TOTAL_BEDS_AVAILABLE,($D196+Z$5)&gt;TOTAL_LABOR_HOURS_CAP,MAX(0,($D196+Z$5)-PERMANENT_FIELD_LABOR_HOURS)&gt;TEMP_HOURS_CAP),"",$C196+Z$6-MIN(($D196+Z$5),PERMANENT_FIELD_LABOR_HOURS)*PERMANENT_HOURLY_RATE-MAX(0,($D196+Z$5)-PERMANENT_FIELD_LABOR_HOURS)*TEMP_HOURLY_RATE-FIXED_SEASON_COST)</f>
        <v>36456.1033273052</v>
      </c>
      <c r="AA196" s="53" t="n">
        <f aca="false">IF(OR($A196&gt;TOMATO_BED_CAP,$B196&gt;CARROT_BED_CAP,AA$4&gt;MESCLUN_BED_CAP,$A196+$B196+AA$4&gt;TOTAL_BEDS_AVAILABLE,($D196+AA$5)&gt;TOTAL_LABOR_HOURS_CAP,MAX(0,($D196+AA$5)-PERMANENT_FIELD_LABOR_HOURS)&gt;TEMP_HOURS_CAP),"",$C196+AA$6-MIN(($D196+AA$5),PERMANENT_FIELD_LABOR_HOURS)*PERMANENT_HOURLY_RATE-MAX(0,($D196+AA$5)-PERMANENT_FIELD_LABOR_HOURS)*TEMP_HOURLY_RATE-FIXED_SEASON_COST)</f>
        <v>37011.6748769741</v>
      </c>
      <c r="AB196" s="53" t="n">
        <f aca="false">IF(OR($A196&gt;TOMATO_BED_CAP,$B196&gt;CARROT_BED_CAP,AB$4&gt;MESCLUN_BED_CAP,$A196+$B196+AB$4&gt;TOTAL_BEDS_AVAILABLE,($D196+AB$5)&gt;TOTAL_LABOR_HOURS_CAP,MAX(0,($D196+AB$5)-PERMANENT_FIELD_LABOR_HOURS)&gt;TEMP_HOURS_CAP),"",$C196+AB$6-MIN(($D196+AB$5),PERMANENT_FIELD_LABOR_HOURS)*PERMANENT_HOURLY_RATE-MAX(0,($D196+AB$5)-PERMANENT_FIELD_LABOR_HOURS)*TEMP_HOURLY_RATE-FIXED_SEASON_COST)</f>
        <v>37538.7654887766</v>
      </c>
      <c r="AC196" s="53" t="n">
        <f aca="false">IF(OR($A196&gt;TOMATO_BED_CAP,$B196&gt;CARROT_BED_CAP,AC$4&gt;MESCLUN_BED_CAP,$A196+$B196+AC$4&gt;TOTAL_BEDS_AVAILABLE,($D196+AC$5)&gt;TOTAL_LABOR_HOURS_CAP,MAX(0,($D196+AC$5)-PERMANENT_FIELD_LABOR_HOURS)&gt;TEMP_HOURS_CAP),"",$C196+AC$6-MIN(($D196+AC$5),PERMANENT_FIELD_LABOR_HOURS)*PERMANENT_HOURLY_RATE-MAX(0,($D196+AC$5)-PERMANENT_FIELD_LABOR_HOURS)*TEMP_HOURLY_RATE-FIXED_SEASON_COST)</f>
        <v>38036.8607062115</v>
      </c>
      <c r="AD196" s="53" t="n">
        <f aca="false">IF(OR($A196&gt;TOMATO_BED_CAP,$B196&gt;CARROT_BED_CAP,AD$4&gt;MESCLUN_BED_CAP,$A196+$B196+AD$4&gt;TOTAL_BEDS_AVAILABLE,($D196+AD$5)&gt;TOTAL_LABOR_HOURS_CAP,MAX(0,($D196+AD$5)-PERMANENT_FIELD_LABOR_HOURS)&gt;TEMP_HOURS_CAP),"",$C196+AD$6-MIN(($D196+AD$5),PERMANENT_FIELD_LABOR_HOURS)*PERMANENT_HOURLY_RATE-MAX(0,($D196+AD$5)-PERMANENT_FIELD_LABOR_HOURS)*TEMP_HOURLY_RATE-FIXED_SEASON_COST)</f>
        <v>38505.4376615115</v>
      </c>
      <c r="AE196" s="53" t="n">
        <f aca="false">IF(OR($A196&gt;TOMATO_BED_CAP,$B196&gt;CARROT_BED_CAP,AE$4&gt;MESCLUN_BED_CAP,$A196+$B196+AE$4&gt;TOTAL_BEDS_AVAILABLE,($D196+AE$5)&gt;TOTAL_LABOR_HOURS_CAP,MAX(0,($D196+AE$5)-PERMANENT_FIELD_LABOR_HOURS)&gt;TEMP_HOURS_CAP),"",$C196+AE$6-MIN(($D196+AE$5),PERMANENT_FIELD_LABOR_HOURS)*PERMANENT_HOURLY_RATE-MAX(0,($D196+AE$5)-PERMANENT_FIELD_LABOR_HOURS)*TEMP_HOURLY_RATE-FIXED_SEASON_COST)</f>
        <v>38943.9649457454</v>
      </c>
      <c r="AF196" s="53" t="n">
        <f aca="false">IF(OR($A196&gt;TOMATO_BED_CAP,$B196&gt;CARROT_BED_CAP,AF$4&gt;MESCLUN_BED_CAP,$A196+$B196+AF$4&gt;TOTAL_BEDS_AVAILABLE,($D196+AF$5)&gt;TOTAL_LABOR_HOURS_CAP,MAX(0,($D196+AF$5)-PERMANENT_FIELD_LABOR_HOURS)&gt;TEMP_HOURS_CAP),"",$C196+AF$6-MIN(($D196+AF$5),PERMANENT_FIELD_LABOR_HOURS)*PERMANENT_HOURLY_RATE-MAX(0,($D196+AF$5)-PERMANENT_FIELD_LABOR_HOURS)*TEMP_HOURLY_RATE-FIXED_SEASON_COST)</f>
        <v>39351.9024769874</v>
      </c>
      <c r="AG196" s="53" t="n">
        <f aca="false">IF(OR($A196&gt;TOMATO_BED_CAP,$B196&gt;CARROT_BED_CAP,AG$4&gt;MESCLUN_BED_CAP,$A196+$B196+AG$4&gt;TOTAL_BEDS_AVAILABLE,($D196+AG$5)&gt;TOTAL_LABOR_HOURS_CAP,MAX(0,($D196+AG$5)-PERMANENT_FIELD_LABOR_HOURS)&gt;TEMP_HOURS_CAP),"",$C196+AG$6-MIN(($D196+AG$5),PERMANENT_FIELD_LABOR_HOURS)*PERMANENT_HOURLY_RATE-MAX(0,($D196+AG$5)-PERMANENT_FIELD_LABOR_HOURS)*TEMP_HOURLY_RATE-FIXED_SEASON_COST)</f>
        <v>39728.7013665244</v>
      </c>
      <c r="AH196" s="53" t="n">
        <f aca="false">IF(OR($A196&gt;TOMATO_BED_CAP,$B196&gt;CARROT_BED_CAP,AH$4&gt;MESCLUN_BED_CAP,$A196+$B196+AH$4&gt;TOTAL_BEDS_AVAILABLE,($D196+AH$5)&gt;TOTAL_LABOR_HOURS_CAP,MAX(0,($D196+AH$5)-PERMANENT_FIELD_LABOR_HOURS)&gt;TEMP_HOURS_CAP),"",$C196+AH$6-MIN(($D196+AH$5),PERMANENT_FIELD_LABOR_HOURS)*PERMANENT_HOURLY_RATE-MAX(0,($D196+AH$5)-PERMANENT_FIELD_LABOR_HOURS)*TEMP_HOURLY_RATE-FIXED_SEASON_COST)</f>
        <v>40073.8037830746</v>
      </c>
      <c r="AI196" s="53" t="n">
        <f aca="false">IF(OR($A196&gt;TOMATO_BED_CAP,$B196&gt;CARROT_BED_CAP,AI$4&gt;MESCLUN_BED_CAP,$A196+$B196+AI$4&gt;TOTAL_BEDS_AVAILABLE,($D196+AI$5)&gt;TOTAL_LABOR_HOURS_CAP,MAX(0,($D196+AI$5)-PERMANENT_FIELD_LABOR_HOURS)&gt;TEMP_HOURS_CAP),"",$C196+AI$6-MIN(($D196+AI$5),PERMANENT_FIELD_LABOR_HOURS)*PERMANENT_HOURLY_RATE-MAX(0,($D196+AI$5)-PERMANENT_FIELD_LABOR_HOURS)*TEMP_HOURLY_RATE-FIXED_SEASON_COST)</f>
        <v>40386.6428149868</v>
      </c>
      <c r="AJ196" s="53" t="n">
        <f aca="false">IF(OR($A196&gt;TOMATO_BED_CAP,$B196&gt;CARROT_BED_CAP,AJ$4&gt;MESCLUN_BED_CAP,$A196+$B196+AJ$4&gt;TOTAL_BEDS_AVAILABLE,($D196+AJ$5)&gt;TOTAL_LABOR_HOURS_CAP,MAX(0,($D196+AJ$5)-PERMANENT_FIELD_LABOR_HOURS)&gt;TEMP_HOURS_CAP),"",$C196+AJ$6-MIN(($D196+AJ$5),PERMANENT_FIELD_LABOR_HOURS)*PERMANENT_HOURLY_RATE-MAX(0,($D196+AJ$5)-PERMANENT_FIELD_LABOR_HOURS)*TEMP_HOURLY_RATE-FIXED_SEASON_COST)</f>
        <v>40666.6423303926</v>
      </c>
    </row>
    <row r="197" customFormat="false" ht="15" hidden="false" customHeight="false" outlineLevel="0" collapsed="false">
      <c r="A197" s="21" t="n">
        <f aca="false">INT((ROW()-ROW($A$8))/(20+1))</f>
        <v>9</v>
      </c>
      <c r="B197" s="21" t="n">
        <f aca="false">MOD(ROW()-ROW($A$8),20+1)</f>
        <v>0</v>
      </c>
      <c r="C197" s="13" t="n">
        <f aca="false">A197*(TOMATO_REVENUE_PER_BED-TOMATO_FERTILIZER_PER_BED)+B197*(CARROT_REVENUE_PER_BED-CARROT_FERTILIZER_PER_BED)</f>
        <v>71280</v>
      </c>
      <c r="D197" s="14" t="n">
        <f aca="false">INDEX(TOMATO_SCHED_LABOR_HRS,A197+1)+INDEX(CARROT_SCHED_LABOR_HRS,B197+1)</f>
        <v>1909.93762971</v>
      </c>
      <c r="E197" s="13" t="n">
        <f aca="false">IF(COUNT(F197:AJ197)=0,"",MAX(F197:AJ197))</f>
        <v>26204.2720431069</v>
      </c>
      <c r="F197" s="53" t="n">
        <f aca="false">IF(OR($A197&gt;TOMATO_BED_CAP,$B197&gt;CARROT_BED_CAP,F$4&gt;MESCLUN_BED_CAP,$A197+$B197+F$4&gt;TOTAL_BEDS_AVAILABLE,($D197+F$5)&gt;TOTAL_LABOR_HOURS_CAP,MAX(0,($D197+F$5)-PERMANENT_FIELD_LABOR_HOURS)&gt;TEMP_HOURS_CAP),"",$C197+F$6-MIN(($D197+F$5),PERMANENT_FIELD_LABOR_HOURS)*PERMANENT_HOURLY_RATE-MAX(0,($D197+F$5)-PERMANENT_FIELD_LABOR_HOURS)*TEMP_HOURLY_RATE-FIXED_SEASON_COST)</f>
        <v>5624.28274823438</v>
      </c>
      <c r="G197" s="53" t="n">
        <f aca="false">IF(OR($A197&gt;TOMATO_BED_CAP,$B197&gt;CARROT_BED_CAP,G$4&gt;MESCLUN_BED_CAP,$A197+$B197+G$4&gt;TOTAL_BEDS_AVAILABLE,($D197+G$5)&gt;TOTAL_LABOR_HOURS_CAP,MAX(0,($D197+G$5)-PERMANENT_FIELD_LABOR_HOURS)&gt;TEMP_HOURS_CAP),"",$C197+G$6-MIN(($D197+G$5),PERMANENT_FIELD_LABOR_HOURS)*PERMANENT_HOURLY_RATE-MAX(0,($D197+G$5)-PERMANENT_FIELD_LABOR_HOURS)*TEMP_HOURLY_RATE-FIXED_SEASON_COST)</f>
        <v>6653.31774823438</v>
      </c>
      <c r="H197" s="53" t="n">
        <f aca="false">IF(OR($A197&gt;TOMATO_BED_CAP,$B197&gt;CARROT_BED_CAP,H$4&gt;MESCLUN_BED_CAP,$A197+$B197+H$4&gt;TOTAL_BEDS_AVAILABLE,($D197+H$5)&gt;TOTAL_LABOR_HOURS_CAP,MAX(0,($D197+H$5)-PERMANENT_FIELD_LABOR_HOURS)&gt;TEMP_HOURS_CAP),"",$C197+H$6-MIN(($D197+H$5),PERMANENT_FIELD_LABOR_HOURS)*PERMANENT_HOURLY_RATE-MAX(0,($D197+H$5)-PERMANENT_FIELD_LABOR_HOURS)*TEMP_HOURLY_RATE-FIXED_SEASON_COST)</f>
        <v>7662.57862323438</v>
      </c>
      <c r="I197" s="53" t="n">
        <f aca="false">IF(OR($A197&gt;TOMATO_BED_CAP,$B197&gt;CARROT_BED_CAP,I$4&gt;MESCLUN_BED_CAP,$A197+$B197+I$4&gt;TOTAL_BEDS_AVAILABLE,($D197+I$5)&gt;TOTAL_LABOR_HOURS_CAP,MAX(0,($D197+I$5)-PERMANENT_FIELD_LABOR_HOURS)&gt;TEMP_HOURS_CAP),"",$C197+I$6-MIN(($D197+I$5),PERMANENT_FIELD_LABOR_HOURS)*PERMANENT_HOURLY_RATE-MAX(0,($D197+I$5)-PERMANENT_FIELD_LABOR_HOURS)*TEMP_HOURLY_RATE-FIXED_SEASON_COST)</f>
        <v>8651.69460839063</v>
      </c>
      <c r="J197" s="53" t="n">
        <f aca="false">IF(OR($A197&gt;TOMATO_BED_CAP,$B197&gt;CARROT_BED_CAP,J$4&gt;MESCLUN_BED_CAP,$A197+$B197+J$4&gt;TOTAL_BEDS_AVAILABLE,($D197+J$5)&gt;TOTAL_LABOR_HOURS_CAP,MAX(0,($D197+J$5)-PERMANENT_FIELD_LABOR_HOURS)&gt;TEMP_HOURS_CAP),"",$C197+J$6-MIN(($D197+J$5),PERMANENT_FIELD_LABOR_HOURS)*PERMANENT_HOURLY_RATE-MAX(0,($D197+J$5)-PERMANENT_FIELD_LABOR_HOURS)*TEMP_HOURLY_RATE-FIXED_SEASON_COST)</f>
        <v>9620.28875944532</v>
      </c>
      <c r="K197" s="53" t="n">
        <f aca="false">IF(OR($A197&gt;TOMATO_BED_CAP,$B197&gt;CARROT_BED_CAP,K$4&gt;MESCLUN_BED_CAP,$A197+$B197+K$4&gt;TOTAL_BEDS_AVAILABLE,($D197+K$5)&gt;TOTAL_LABOR_HOURS_CAP,MAX(0,($D197+K$5)-PERMANENT_FIELD_LABOR_HOURS)&gt;TEMP_HOURS_CAP),"",$C197+K$6-MIN(($D197+K$5),PERMANENT_FIELD_LABOR_HOURS)*PERMANENT_HOURLY_RATE-MAX(0,($D197+K$5)-PERMANENT_FIELD_LABOR_HOURS)*TEMP_HOURLY_RATE-FIXED_SEASON_COST)</f>
        <v>10567.9778561732</v>
      </c>
      <c r="L197" s="53" t="n">
        <f aca="false">IF(OR($A197&gt;TOMATO_BED_CAP,$B197&gt;CARROT_BED_CAP,L$4&gt;MESCLUN_BED_CAP,$A197+$B197+L$4&gt;TOTAL_BEDS_AVAILABLE,($D197+L$5)&gt;TOTAL_LABOR_HOURS_CAP,MAX(0,($D197+L$5)-PERMANENT_FIELD_LABOR_HOURS)&gt;TEMP_HOURS_CAP),"",$C197+L$6-MIN(($D197+L$5),PERMANENT_FIELD_LABOR_HOURS)*PERMANENT_HOURLY_RATE-MAX(0,($D197+L$5)-PERMANENT_FIELD_LABOR_HOURS)*TEMP_HOURLY_RATE-FIXED_SEASON_COST)</f>
        <v>11494.3723043801</v>
      </c>
      <c r="M197" s="53" t="n">
        <f aca="false">IF(OR($A197&gt;TOMATO_BED_CAP,$B197&gt;CARROT_BED_CAP,M$4&gt;MESCLUN_BED_CAP,$A197+$B197+M$4&gt;TOTAL_BEDS_AVAILABLE,($D197+M$5)&gt;TOTAL_LABOR_HOURS_CAP,MAX(0,($D197+M$5)-PERMANENT_FIELD_LABOR_HOURS)&gt;TEMP_HOURS_CAP),"",$C197+M$6-MIN(($D197+M$5),PERMANENT_FIELD_LABOR_HOURS)*PERMANENT_HOURLY_RATE-MAX(0,($D197+M$5)-PERMANENT_FIELD_LABOR_HOURS)*TEMP_HOURLY_RATE-FIXED_SEASON_COST)</f>
        <v>12399.0760364315</v>
      </c>
      <c r="N197" s="53" t="n">
        <f aca="false">IF(OR($A197&gt;TOMATO_BED_CAP,$B197&gt;CARROT_BED_CAP,N$4&gt;MESCLUN_BED_CAP,$A197+$B197+N$4&gt;TOTAL_BEDS_AVAILABLE,($D197+N$5)&gt;TOTAL_LABOR_HOURS_CAP,MAX(0,($D197+N$5)-PERMANENT_FIELD_LABOR_HOURS)&gt;TEMP_HOURS_CAP),"",$C197+N$6-MIN(($D197+N$5),PERMANENT_FIELD_LABOR_HOURS)*PERMANENT_HOURLY_RATE-MAX(0,($D197+N$5)-PERMANENT_FIELD_LABOR_HOURS)*TEMP_HOURLY_RATE-FIXED_SEASON_COST)</f>
        <v>13281.686410291</v>
      </c>
      <c r="O197" s="53" t="n">
        <f aca="false">IF(OR($A197&gt;TOMATO_BED_CAP,$B197&gt;CARROT_BED_CAP,O$4&gt;MESCLUN_BED_CAP,$A197+$B197+O$4&gt;TOTAL_BEDS_AVAILABLE,($D197+O$5)&gt;TOTAL_LABOR_HOURS_CAP,MAX(0,($D197+O$5)-PERMANENT_FIELD_LABOR_HOURS)&gt;TEMP_HOURS_CAP),"",$C197+O$6-MIN(($D197+O$5),PERMANENT_FIELD_LABOR_HOURS)*PERMANENT_HOURLY_RATE-MAX(0,($D197+O$5)-PERMANENT_FIELD_LABOR_HOURS)*TEMP_HOURLY_RATE-FIXED_SEASON_COST)</f>
        <v>14141.7941070458</v>
      </c>
      <c r="P197" s="53" t="n">
        <f aca="false">IF(OR($A197&gt;TOMATO_BED_CAP,$B197&gt;CARROT_BED_CAP,P$4&gt;MESCLUN_BED_CAP,$A197+$B197+P$4&gt;TOTAL_BEDS_AVAILABLE,($D197+P$5)&gt;TOTAL_LABOR_HOURS_CAP,MAX(0,($D197+P$5)-PERMANENT_FIELD_LABOR_HOURS)&gt;TEMP_HOURS_CAP),"",$C197+P$6-MIN(($D197+P$5),PERMANENT_FIELD_LABOR_HOURS)*PERMANENT_HOURLY_RATE-MAX(0,($D197+P$5)-PERMANENT_FIELD_LABOR_HOURS)*TEMP_HOURLY_RATE-FIXED_SEASON_COST)</f>
        <v>14978.9830268972</v>
      </c>
      <c r="Q197" s="53" t="n">
        <f aca="false">IF(OR($A197&gt;TOMATO_BED_CAP,$B197&gt;CARROT_BED_CAP,Q$4&gt;MESCLUN_BED_CAP,$A197+$B197+Q$4&gt;TOTAL_BEDS_AVAILABLE,($D197+Q$5)&gt;TOTAL_LABOR_HOURS_CAP,MAX(0,($D197+Q$5)-PERMANENT_FIELD_LABOR_HOURS)&gt;TEMP_HOURS_CAP),"",$C197+Q$6-MIN(($D197+Q$5),PERMANENT_FIELD_LABOR_HOURS)*PERMANENT_HOURLY_RATE-MAX(0,($D197+Q$5)-PERMANENT_FIELD_LABOR_HOURS)*TEMP_HOURLY_RATE-FIXED_SEASON_COST)</f>
        <v>15792.8301835951</v>
      </c>
      <c r="R197" s="53" t="n">
        <f aca="false">IF(OR($A197&gt;TOMATO_BED_CAP,$B197&gt;CARROT_BED_CAP,R$4&gt;MESCLUN_BED_CAP,$A197+$B197+R$4&gt;TOTAL_BEDS_AVAILABLE,($D197+R$5)&gt;TOTAL_LABOR_HOURS_CAP,MAX(0,($D197+R$5)-PERMANENT_FIELD_LABOR_HOURS)&gt;TEMP_HOURS_CAP),"",$C197+R$6-MIN(($D197+R$5),PERMANENT_FIELD_LABOR_HOURS)*PERMANENT_HOURLY_RATE-MAX(0,($D197+R$5)-PERMANENT_FIELD_LABOR_HOURS)*TEMP_HOURLY_RATE-FIXED_SEASON_COST)</f>
        <v>16582.9055972919</v>
      </c>
      <c r="S197" s="53" t="n">
        <f aca="false">IF(OR($A197&gt;TOMATO_BED_CAP,$B197&gt;CARROT_BED_CAP,S$4&gt;MESCLUN_BED_CAP,$A197+$B197+S$4&gt;TOTAL_BEDS_AVAILABLE,($D197+S$5)&gt;TOTAL_LABOR_HOURS_CAP,MAX(0,($D197+S$5)-PERMANENT_FIELD_LABOR_HOURS)&gt;TEMP_HOURS_CAP),"",$C197+S$6-MIN(($D197+S$5),PERMANENT_FIELD_LABOR_HOURS)*PERMANENT_HOURLY_RATE-MAX(0,($D197+S$5)-PERMANENT_FIELD_LABOR_HOURS)*TEMP_HOURLY_RATE-FIXED_SEASON_COST)</f>
        <v>17348.7721857944</v>
      </c>
      <c r="T197" s="53" t="n">
        <f aca="false">IF(OR($A197&gt;TOMATO_BED_CAP,$B197&gt;CARROT_BED_CAP,T$4&gt;MESCLUN_BED_CAP,$A197+$B197+T$4&gt;TOTAL_BEDS_AVAILABLE,($D197+T$5)&gt;TOTAL_LABOR_HOURS_CAP,MAX(0,($D197+T$5)-PERMANENT_FIELD_LABOR_HOURS)&gt;TEMP_HOURS_CAP),"",$C197+T$6-MIN(($D197+T$5),PERMANENT_FIELD_LABOR_HOURS)*PERMANENT_HOURLY_RATE-MAX(0,($D197+T$5)-PERMANENT_FIELD_LABOR_HOURS)*TEMP_HOURLY_RATE-FIXED_SEASON_COST)</f>
        <v>18089.9856541892</v>
      </c>
      <c r="U197" s="53" t="n">
        <f aca="false">IF(OR($A197&gt;TOMATO_BED_CAP,$B197&gt;CARROT_BED_CAP,U$4&gt;MESCLUN_BED_CAP,$A197+$B197+U$4&gt;TOTAL_BEDS_AVAILABLE,($D197+U$5)&gt;TOTAL_LABOR_HOURS_CAP,MAX(0,($D197+U$5)-PERMANENT_FIELD_LABOR_HOURS)&gt;TEMP_HOURS_CAP),"",$C197+U$6-MIN(($D197+U$5),PERMANENT_FIELD_LABOR_HOURS)*PERMANENT_HOURLY_RATE-MAX(0,($D197+U$5)-PERMANENT_FIELD_LABOR_HOURS)*TEMP_HOURLY_RATE-FIXED_SEASON_COST)</f>
        <v>18806.0943828193</v>
      </c>
      <c r="V197" s="53" t="n">
        <f aca="false">IF(OR($A197&gt;TOMATO_BED_CAP,$B197&gt;CARROT_BED_CAP,V$4&gt;MESCLUN_BED_CAP,$A197+$B197+V$4&gt;TOTAL_BEDS_AVAILABLE,($D197+V$5)&gt;TOTAL_LABOR_HOURS_CAP,MAX(0,($D197+V$5)-PERMANENT_FIELD_LABOR_HOURS)&gt;TEMP_HOURS_CAP),"",$C197+V$6-MIN(($D197+V$5),PERMANENT_FIELD_LABOR_HOURS)*PERMANENT_HOURLY_RATE-MAX(0,($D197+V$5)-PERMANENT_FIELD_LABOR_HOURS)*TEMP_HOURLY_RATE-FIXED_SEASON_COST)</f>
        <v>19496.6393135861</v>
      </c>
      <c r="W197" s="53" t="n">
        <f aca="false">IF(OR($A197&gt;TOMATO_BED_CAP,$B197&gt;CARROT_BED_CAP,W$4&gt;MESCLUN_BED_CAP,$A197+$B197+W$4&gt;TOTAL_BEDS_AVAILABLE,($D197+W$5)&gt;TOTAL_LABOR_HOURS_CAP,MAX(0,($D197+W$5)-PERMANENT_FIELD_LABOR_HOURS)&gt;TEMP_HOURS_CAP),"",$C197+W$6-MIN(($D197+W$5),PERMANENT_FIELD_LABOR_HOURS)*PERMANENT_HOURLY_RATE-MAX(0,($D197+W$5)-PERMANENT_FIELD_LABOR_HOURS)*TEMP_HOURLY_RATE-FIXED_SEASON_COST)</f>
        <v>20161.1538345542</v>
      </c>
      <c r="X197" s="53" t="n">
        <f aca="false">IF(OR($A197&gt;TOMATO_BED_CAP,$B197&gt;CARROT_BED_CAP,X$4&gt;MESCLUN_BED_CAP,$A197+$B197+X$4&gt;TOTAL_BEDS_AVAILABLE,($D197+X$5)&gt;TOTAL_LABOR_HOURS_CAP,MAX(0,($D197+X$5)-PERMANENT_FIELD_LABOR_HOURS)&gt;TEMP_HOURS_CAP),"",$C197+X$6-MIN(($D197+X$5),PERMANENT_FIELD_LABOR_HOURS)*PERMANENT_HOURLY_RATE-MAX(0,($D197+X$5)-PERMANENT_FIELD_LABOR_HOURS)*TEMP_HOURLY_RATE-FIXED_SEASON_COST)</f>
        <v>20799.1636628331</v>
      </c>
      <c r="Y197" s="53" t="n">
        <f aca="false">IF(OR($A197&gt;TOMATO_BED_CAP,$B197&gt;CARROT_BED_CAP,Y$4&gt;MESCLUN_BED_CAP,$A197+$B197+Y$4&gt;TOTAL_BEDS_AVAILABLE,($D197+Y$5)&gt;TOTAL_LABOR_HOURS_CAP,MAX(0,($D197+Y$5)-PERMANENT_FIELD_LABOR_HOURS)&gt;TEMP_HOURS_CAP),"",$C197+Y$6-MIN(($D197+Y$5),PERMANENT_FIELD_LABOR_HOURS)*PERMANENT_HOURLY_RATE-MAX(0,($D197+Y$5)-PERMANENT_FIELD_LABOR_HOURS)*TEMP_HOURLY_RATE-FIXED_SEASON_COST)</f>
        <v>21410.1867257117</v>
      </c>
      <c r="Z197" s="53" t="n">
        <f aca="false">IF(OR($A197&gt;TOMATO_BED_CAP,$B197&gt;CARROT_BED_CAP,Z$4&gt;MESCLUN_BED_CAP,$A197+$B197+Z$4&gt;TOTAL_BEDS_AVAILABLE,($D197+Z$5)&gt;TOTAL_LABOR_HOURS_CAP,MAX(0,($D197+Z$5)-PERMANENT_FIELD_LABOR_HOURS)&gt;TEMP_HOURS_CAP),"",$C197+Z$6-MIN(($D197+Z$5),PERMANENT_FIELD_LABOR_HOURS)*PERMANENT_HOURLY_RATE-MAX(0,($D197+Z$5)-PERMANENT_FIELD_LABOR_HOURS)*TEMP_HOURLY_RATE-FIXED_SEASON_COST)</f>
        <v>21993.7330400195</v>
      </c>
      <c r="AA197" s="53" t="n">
        <f aca="false">IF(OR($A197&gt;TOMATO_BED_CAP,$B197&gt;CARROT_BED_CAP,AA$4&gt;MESCLUN_BED_CAP,$A197+$B197+AA$4&gt;TOTAL_BEDS_AVAILABLE,($D197+AA$5)&gt;TOTAL_LABOR_HOURS_CAP,MAX(0,($D197+AA$5)-PERMANENT_FIELD_LABOR_HOURS)&gt;TEMP_HOURS_CAP),"",$C197+AA$6-MIN(($D197+AA$5),PERMANENT_FIELD_LABOR_HOURS)*PERMANENT_HOURLY_RATE-MAX(0,($D197+AA$5)-PERMANENT_FIELD_LABOR_HOURS)*TEMP_HOURLY_RATE-FIXED_SEASON_COST)</f>
        <v>22549.3045896884</v>
      </c>
      <c r="AB197" s="53" t="n">
        <f aca="false">IF(OR($A197&gt;TOMATO_BED_CAP,$B197&gt;CARROT_BED_CAP,AB$4&gt;MESCLUN_BED_CAP,$A197+$B197+AB$4&gt;TOTAL_BEDS_AVAILABLE,($D197+AB$5)&gt;TOTAL_LABOR_HOURS_CAP,MAX(0,($D197+AB$5)-PERMANENT_FIELD_LABOR_HOURS)&gt;TEMP_HOURS_CAP),"",$C197+AB$6-MIN(($D197+AB$5),PERMANENT_FIELD_LABOR_HOURS)*PERMANENT_HOURLY_RATE-MAX(0,($D197+AB$5)-PERMANENT_FIELD_LABOR_HOURS)*TEMP_HOURLY_RATE-FIXED_SEASON_COST)</f>
        <v>23076.395201491</v>
      </c>
      <c r="AC197" s="53" t="n">
        <f aca="false">IF(OR($A197&gt;TOMATO_BED_CAP,$B197&gt;CARROT_BED_CAP,AC$4&gt;MESCLUN_BED_CAP,$A197+$B197+AC$4&gt;TOTAL_BEDS_AVAILABLE,($D197+AC$5)&gt;TOTAL_LABOR_HOURS_CAP,MAX(0,($D197+AC$5)-PERMANENT_FIELD_LABOR_HOURS)&gt;TEMP_HOURS_CAP),"",$C197+AC$6-MIN(($D197+AC$5),PERMANENT_FIELD_LABOR_HOURS)*PERMANENT_HOURLY_RATE-MAX(0,($D197+AC$5)-PERMANENT_FIELD_LABOR_HOURS)*TEMP_HOURLY_RATE-FIXED_SEASON_COST)</f>
        <v>23574.4904189259</v>
      </c>
      <c r="AD197" s="53" t="n">
        <f aca="false">IF(OR($A197&gt;TOMATO_BED_CAP,$B197&gt;CARROT_BED_CAP,AD$4&gt;MESCLUN_BED_CAP,$A197+$B197+AD$4&gt;TOTAL_BEDS_AVAILABLE,($D197+AD$5)&gt;TOTAL_LABOR_HOURS_CAP,MAX(0,($D197+AD$5)-PERMANENT_FIELD_LABOR_HOURS)&gt;TEMP_HOURS_CAP),"",$C197+AD$6-MIN(($D197+AD$5),PERMANENT_FIELD_LABOR_HOURS)*PERMANENT_HOURLY_RATE-MAX(0,($D197+AD$5)-PERMANENT_FIELD_LABOR_HOURS)*TEMP_HOURLY_RATE-FIXED_SEASON_COST)</f>
        <v>24043.0673742258</v>
      </c>
      <c r="AE197" s="53" t="n">
        <f aca="false">IF(OR($A197&gt;TOMATO_BED_CAP,$B197&gt;CARROT_BED_CAP,AE$4&gt;MESCLUN_BED_CAP,$A197+$B197+AE$4&gt;TOTAL_BEDS_AVAILABLE,($D197+AE$5)&gt;TOTAL_LABOR_HOURS_CAP,MAX(0,($D197+AE$5)-PERMANENT_FIELD_LABOR_HOURS)&gt;TEMP_HOURS_CAP),"",$C197+AE$6-MIN(($D197+AE$5),PERMANENT_FIELD_LABOR_HOURS)*PERMANENT_HOURLY_RATE-MAX(0,($D197+AE$5)-PERMANENT_FIELD_LABOR_HOURS)*TEMP_HOURLY_RATE-FIXED_SEASON_COST)</f>
        <v>24481.5946584597</v>
      </c>
      <c r="AF197" s="53" t="n">
        <f aca="false">IF(OR($A197&gt;TOMATO_BED_CAP,$B197&gt;CARROT_BED_CAP,AF$4&gt;MESCLUN_BED_CAP,$A197+$B197+AF$4&gt;TOTAL_BEDS_AVAILABLE,($D197+AF$5)&gt;TOTAL_LABOR_HOURS_CAP,MAX(0,($D197+AF$5)-PERMANENT_FIELD_LABOR_HOURS)&gt;TEMP_HOURS_CAP),"",$C197+AF$6-MIN(($D197+AF$5),PERMANENT_FIELD_LABOR_HOURS)*PERMANENT_HOURLY_RATE-MAX(0,($D197+AF$5)-PERMANENT_FIELD_LABOR_HOURS)*TEMP_HOURLY_RATE-FIXED_SEASON_COST)</f>
        <v>24889.5321897017</v>
      </c>
      <c r="AG197" s="53" t="n">
        <f aca="false">IF(OR($A197&gt;TOMATO_BED_CAP,$B197&gt;CARROT_BED_CAP,AG$4&gt;MESCLUN_BED_CAP,$A197+$B197+AG$4&gt;TOTAL_BEDS_AVAILABLE,($D197+AG$5)&gt;TOTAL_LABOR_HOURS_CAP,MAX(0,($D197+AG$5)-PERMANENT_FIELD_LABOR_HOURS)&gt;TEMP_HOURS_CAP),"",$C197+AG$6-MIN(($D197+AG$5),PERMANENT_FIELD_LABOR_HOURS)*PERMANENT_HOURLY_RATE-MAX(0,($D197+AG$5)-PERMANENT_FIELD_LABOR_HOURS)*TEMP_HOURLY_RATE-FIXED_SEASON_COST)</f>
        <v>25266.3310792387</v>
      </c>
      <c r="AH197" s="53" t="n">
        <f aca="false">IF(OR($A197&gt;TOMATO_BED_CAP,$B197&gt;CARROT_BED_CAP,AH$4&gt;MESCLUN_BED_CAP,$A197+$B197+AH$4&gt;TOTAL_BEDS_AVAILABLE,($D197+AH$5)&gt;TOTAL_LABOR_HOURS_CAP,MAX(0,($D197+AH$5)-PERMANENT_FIELD_LABOR_HOURS)&gt;TEMP_HOURS_CAP),"",$C197+AH$6-MIN(($D197+AH$5),PERMANENT_FIELD_LABOR_HOURS)*PERMANENT_HOURLY_RATE-MAX(0,($D197+AH$5)-PERMANENT_FIELD_LABOR_HOURS)*TEMP_HOURLY_RATE-FIXED_SEASON_COST)</f>
        <v>25611.4334957889</v>
      </c>
      <c r="AI197" s="53" t="n">
        <f aca="false">IF(OR($A197&gt;TOMATO_BED_CAP,$B197&gt;CARROT_BED_CAP,AI$4&gt;MESCLUN_BED_CAP,$A197+$B197+AI$4&gt;TOTAL_BEDS_AVAILABLE,($D197+AI$5)&gt;TOTAL_LABOR_HOURS_CAP,MAX(0,($D197+AI$5)-PERMANENT_FIELD_LABOR_HOURS)&gt;TEMP_HOURS_CAP),"",$C197+AI$6-MIN(($D197+AI$5),PERMANENT_FIELD_LABOR_HOURS)*PERMANENT_HOURLY_RATE-MAX(0,($D197+AI$5)-PERMANENT_FIELD_LABOR_HOURS)*TEMP_HOURLY_RATE-FIXED_SEASON_COST)</f>
        <v>25924.2725277012</v>
      </c>
      <c r="AJ197" s="53" t="n">
        <f aca="false">IF(OR($A197&gt;TOMATO_BED_CAP,$B197&gt;CARROT_BED_CAP,AJ$4&gt;MESCLUN_BED_CAP,$A197+$B197+AJ$4&gt;TOTAL_BEDS_AVAILABLE,($D197+AJ$5)&gt;TOTAL_LABOR_HOURS_CAP,MAX(0,($D197+AJ$5)-PERMANENT_FIELD_LABOR_HOURS)&gt;TEMP_HOURS_CAP),"",$C197+AJ$6-MIN(($D197+AJ$5),PERMANENT_FIELD_LABOR_HOURS)*PERMANENT_HOURLY_RATE-MAX(0,($D197+AJ$5)-PERMANENT_FIELD_LABOR_HOURS)*TEMP_HOURLY_RATE-FIXED_SEASON_COST)</f>
        <v>26204.2720431069</v>
      </c>
    </row>
    <row r="198" customFormat="false" ht="15" hidden="false" customHeight="false" outlineLevel="0" collapsed="false">
      <c r="A198" s="21" t="n">
        <f aca="false">INT((ROW()-ROW($A$8))/(20+1))</f>
        <v>9</v>
      </c>
      <c r="B198" s="21" t="n">
        <f aca="false">MOD(ROW()-ROW($A$8),20+1)</f>
        <v>1</v>
      </c>
      <c r="C198" s="13" t="n">
        <f aca="false">A198*(TOMATO_REVENUE_PER_BED-TOMATO_FERTILIZER_PER_BED)+B198*(CARROT_REVENUE_PER_BED-CARROT_FERTILIZER_PER_BED)</f>
        <v>72934</v>
      </c>
      <c r="D198" s="14" t="n">
        <f aca="false">INDEX(TOMATO_SCHED_LABOR_HRS,A198+1)+INDEX(CARROT_SCHED_LABOR_HRS,B198+1)</f>
        <v>1940.67532971</v>
      </c>
      <c r="E198" s="13" t="n">
        <f aca="false">IF(COUNT(F198:AJ198)=0,"",MAX(F198:AJ198))</f>
        <v>27324.6655711069</v>
      </c>
      <c r="F198" s="53" t="n">
        <f aca="false">IF(OR($A198&gt;TOMATO_BED_CAP,$B198&gt;CARROT_BED_CAP,F$4&gt;MESCLUN_BED_CAP,$A198+$B198+F$4&gt;TOTAL_BEDS_AVAILABLE,($D198+F$5)&gt;TOTAL_LABOR_HOURS_CAP,MAX(0,($D198+F$5)-PERMANENT_FIELD_LABOR_HOURS)&gt;TEMP_HOURS_CAP),"",$C198+F$6-MIN(($D198+F$5),PERMANENT_FIELD_LABOR_HOURS)*PERMANENT_HOURLY_RATE-MAX(0,($D198+F$5)-PERMANENT_FIELD_LABOR_HOURS)*TEMP_HOURLY_RATE-FIXED_SEASON_COST)</f>
        <v>6744.67627623438</v>
      </c>
      <c r="G198" s="53" t="n">
        <f aca="false">IF(OR($A198&gt;TOMATO_BED_CAP,$B198&gt;CARROT_BED_CAP,G$4&gt;MESCLUN_BED_CAP,$A198+$B198+G$4&gt;TOTAL_BEDS_AVAILABLE,($D198+G$5)&gt;TOTAL_LABOR_HOURS_CAP,MAX(0,($D198+G$5)-PERMANENT_FIELD_LABOR_HOURS)&gt;TEMP_HOURS_CAP),"",$C198+G$6-MIN(($D198+G$5),PERMANENT_FIELD_LABOR_HOURS)*PERMANENT_HOURLY_RATE-MAX(0,($D198+G$5)-PERMANENT_FIELD_LABOR_HOURS)*TEMP_HOURLY_RATE-FIXED_SEASON_COST)</f>
        <v>7773.71127623438</v>
      </c>
      <c r="H198" s="53" t="n">
        <f aca="false">IF(OR($A198&gt;TOMATO_BED_CAP,$B198&gt;CARROT_BED_CAP,H$4&gt;MESCLUN_BED_CAP,$A198+$B198+H$4&gt;TOTAL_BEDS_AVAILABLE,($D198+H$5)&gt;TOTAL_LABOR_HOURS_CAP,MAX(0,($D198+H$5)-PERMANENT_FIELD_LABOR_HOURS)&gt;TEMP_HOURS_CAP),"",$C198+H$6-MIN(($D198+H$5),PERMANENT_FIELD_LABOR_HOURS)*PERMANENT_HOURLY_RATE-MAX(0,($D198+H$5)-PERMANENT_FIELD_LABOR_HOURS)*TEMP_HOURLY_RATE-FIXED_SEASON_COST)</f>
        <v>8782.97215123438</v>
      </c>
      <c r="I198" s="53" t="n">
        <f aca="false">IF(OR($A198&gt;TOMATO_BED_CAP,$B198&gt;CARROT_BED_CAP,I$4&gt;MESCLUN_BED_CAP,$A198+$B198+I$4&gt;TOTAL_BEDS_AVAILABLE,($D198+I$5)&gt;TOTAL_LABOR_HOURS_CAP,MAX(0,($D198+I$5)-PERMANENT_FIELD_LABOR_HOURS)&gt;TEMP_HOURS_CAP),"",$C198+I$6-MIN(($D198+I$5),PERMANENT_FIELD_LABOR_HOURS)*PERMANENT_HOURLY_RATE-MAX(0,($D198+I$5)-PERMANENT_FIELD_LABOR_HOURS)*TEMP_HOURLY_RATE-FIXED_SEASON_COST)</f>
        <v>9772.08813639063</v>
      </c>
      <c r="J198" s="53" t="n">
        <f aca="false">IF(OR($A198&gt;TOMATO_BED_CAP,$B198&gt;CARROT_BED_CAP,J$4&gt;MESCLUN_BED_CAP,$A198+$B198+J$4&gt;TOTAL_BEDS_AVAILABLE,($D198+J$5)&gt;TOTAL_LABOR_HOURS_CAP,MAX(0,($D198+J$5)-PERMANENT_FIELD_LABOR_HOURS)&gt;TEMP_HOURS_CAP),"",$C198+J$6-MIN(($D198+J$5),PERMANENT_FIELD_LABOR_HOURS)*PERMANENT_HOURLY_RATE-MAX(0,($D198+J$5)-PERMANENT_FIELD_LABOR_HOURS)*TEMP_HOURLY_RATE-FIXED_SEASON_COST)</f>
        <v>10740.6822874453</v>
      </c>
      <c r="K198" s="53" t="n">
        <f aca="false">IF(OR($A198&gt;TOMATO_BED_CAP,$B198&gt;CARROT_BED_CAP,K$4&gt;MESCLUN_BED_CAP,$A198+$B198+K$4&gt;TOTAL_BEDS_AVAILABLE,($D198+K$5)&gt;TOTAL_LABOR_HOURS_CAP,MAX(0,($D198+K$5)-PERMANENT_FIELD_LABOR_HOURS)&gt;TEMP_HOURS_CAP),"",$C198+K$6-MIN(($D198+K$5),PERMANENT_FIELD_LABOR_HOURS)*PERMANENT_HOURLY_RATE-MAX(0,($D198+K$5)-PERMANENT_FIELD_LABOR_HOURS)*TEMP_HOURLY_RATE-FIXED_SEASON_COST)</f>
        <v>11688.3713841732</v>
      </c>
      <c r="L198" s="53" t="n">
        <f aca="false">IF(OR($A198&gt;TOMATO_BED_CAP,$B198&gt;CARROT_BED_CAP,L$4&gt;MESCLUN_BED_CAP,$A198+$B198+L$4&gt;TOTAL_BEDS_AVAILABLE,($D198+L$5)&gt;TOTAL_LABOR_HOURS_CAP,MAX(0,($D198+L$5)-PERMANENT_FIELD_LABOR_HOURS)&gt;TEMP_HOURS_CAP),"",$C198+L$6-MIN(($D198+L$5),PERMANENT_FIELD_LABOR_HOURS)*PERMANENT_HOURLY_RATE-MAX(0,($D198+L$5)-PERMANENT_FIELD_LABOR_HOURS)*TEMP_HOURLY_RATE-FIXED_SEASON_COST)</f>
        <v>12614.7658323801</v>
      </c>
      <c r="M198" s="53" t="n">
        <f aca="false">IF(OR($A198&gt;TOMATO_BED_CAP,$B198&gt;CARROT_BED_CAP,M$4&gt;MESCLUN_BED_CAP,$A198+$B198+M$4&gt;TOTAL_BEDS_AVAILABLE,($D198+M$5)&gt;TOTAL_LABOR_HOURS_CAP,MAX(0,($D198+M$5)-PERMANENT_FIELD_LABOR_HOURS)&gt;TEMP_HOURS_CAP),"",$C198+M$6-MIN(($D198+M$5),PERMANENT_FIELD_LABOR_HOURS)*PERMANENT_HOURLY_RATE-MAX(0,($D198+M$5)-PERMANENT_FIELD_LABOR_HOURS)*TEMP_HOURLY_RATE-FIXED_SEASON_COST)</f>
        <v>13519.4695644315</v>
      </c>
      <c r="N198" s="53" t="n">
        <f aca="false">IF(OR($A198&gt;TOMATO_BED_CAP,$B198&gt;CARROT_BED_CAP,N$4&gt;MESCLUN_BED_CAP,$A198+$B198+N$4&gt;TOTAL_BEDS_AVAILABLE,($D198+N$5)&gt;TOTAL_LABOR_HOURS_CAP,MAX(0,($D198+N$5)-PERMANENT_FIELD_LABOR_HOURS)&gt;TEMP_HOURS_CAP),"",$C198+N$6-MIN(($D198+N$5),PERMANENT_FIELD_LABOR_HOURS)*PERMANENT_HOURLY_RATE-MAX(0,($D198+N$5)-PERMANENT_FIELD_LABOR_HOURS)*TEMP_HOURLY_RATE-FIXED_SEASON_COST)</f>
        <v>14402.079938291</v>
      </c>
      <c r="O198" s="53" t="n">
        <f aca="false">IF(OR($A198&gt;TOMATO_BED_CAP,$B198&gt;CARROT_BED_CAP,O$4&gt;MESCLUN_BED_CAP,$A198+$B198+O$4&gt;TOTAL_BEDS_AVAILABLE,($D198+O$5)&gt;TOTAL_LABOR_HOURS_CAP,MAX(0,($D198+O$5)-PERMANENT_FIELD_LABOR_HOURS)&gt;TEMP_HOURS_CAP),"",$C198+O$6-MIN(($D198+O$5),PERMANENT_FIELD_LABOR_HOURS)*PERMANENT_HOURLY_RATE-MAX(0,($D198+O$5)-PERMANENT_FIELD_LABOR_HOURS)*TEMP_HOURLY_RATE-FIXED_SEASON_COST)</f>
        <v>15262.1876350458</v>
      </c>
      <c r="P198" s="53" t="n">
        <f aca="false">IF(OR($A198&gt;TOMATO_BED_CAP,$B198&gt;CARROT_BED_CAP,P$4&gt;MESCLUN_BED_CAP,$A198+$B198+P$4&gt;TOTAL_BEDS_AVAILABLE,($D198+P$5)&gt;TOTAL_LABOR_HOURS_CAP,MAX(0,($D198+P$5)-PERMANENT_FIELD_LABOR_HOURS)&gt;TEMP_HOURS_CAP),"",$C198+P$6-MIN(($D198+P$5),PERMANENT_FIELD_LABOR_HOURS)*PERMANENT_HOURLY_RATE-MAX(0,($D198+P$5)-PERMANENT_FIELD_LABOR_HOURS)*TEMP_HOURLY_RATE-FIXED_SEASON_COST)</f>
        <v>16099.3765548972</v>
      </c>
      <c r="Q198" s="53" t="n">
        <f aca="false">IF(OR($A198&gt;TOMATO_BED_CAP,$B198&gt;CARROT_BED_CAP,Q$4&gt;MESCLUN_BED_CAP,$A198+$B198+Q$4&gt;TOTAL_BEDS_AVAILABLE,($D198+Q$5)&gt;TOTAL_LABOR_HOURS_CAP,MAX(0,($D198+Q$5)-PERMANENT_FIELD_LABOR_HOURS)&gt;TEMP_HOURS_CAP),"",$C198+Q$6-MIN(($D198+Q$5),PERMANENT_FIELD_LABOR_HOURS)*PERMANENT_HOURLY_RATE-MAX(0,($D198+Q$5)-PERMANENT_FIELD_LABOR_HOURS)*TEMP_HOURLY_RATE-FIXED_SEASON_COST)</f>
        <v>16913.2237115951</v>
      </c>
      <c r="R198" s="53" t="n">
        <f aca="false">IF(OR($A198&gt;TOMATO_BED_CAP,$B198&gt;CARROT_BED_CAP,R$4&gt;MESCLUN_BED_CAP,$A198+$B198+R$4&gt;TOTAL_BEDS_AVAILABLE,($D198+R$5)&gt;TOTAL_LABOR_HOURS_CAP,MAX(0,($D198+R$5)-PERMANENT_FIELD_LABOR_HOURS)&gt;TEMP_HOURS_CAP),"",$C198+R$6-MIN(($D198+R$5),PERMANENT_FIELD_LABOR_HOURS)*PERMANENT_HOURLY_RATE-MAX(0,($D198+R$5)-PERMANENT_FIELD_LABOR_HOURS)*TEMP_HOURLY_RATE-FIXED_SEASON_COST)</f>
        <v>17703.2991252919</v>
      </c>
      <c r="S198" s="53" t="n">
        <f aca="false">IF(OR($A198&gt;TOMATO_BED_CAP,$B198&gt;CARROT_BED_CAP,S$4&gt;MESCLUN_BED_CAP,$A198+$B198+S$4&gt;TOTAL_BEDS_AVAILABLE,($D198+S$5)&gt;TOTAL_LABOR_HOURS_CAP,MAX(0,($D198+S$5)-PERMANENT_FIELD_LABOR_HOURS)&gt;TEMP_HOURS_CAP),"",$C198+S$6-MIN(($D198+S$5),PERMANENT_FIELD_LABOR_HOURS)*PERMANENT_HOURLY_RATE-MAX(0,($D198+S$5)-PERMANENT_FIELD_LABOR_HOURS)*TEMP_HOURLY_RATE-FIXED_SEASON_COST)</f>
        <v>18469.1657137944</v>
      </c>
      <c r="T198" s="53" t="n">
        <f aca="false">IF(OR($A198&gt;TOMATO_BED_CAP,$B198&gt;CARROT_BED_CAP,T$4&gt;MESCLUN_BED_CAP,$A198+$B198+T$4&gt;TOTAL_BEDS_AVAILABLE,($D198+T$5)&gt;TOTAL_LABOR_HOURS_CAP,MAX(0,($D198+T$5)-PERMANENT_FIELD_LABOR_HOURS)&gt;TEMP_HOURS_CAP),"",$C198+T$6-MIN(($D198+T$5),PERMANENT_FIELD_LABOR_HOURS)*PERMANENT_HOURLY_RATE-MAX(0,($D198+T$5)-PERMANENT_FIELD_LABOR_HOURS)*TEMP_HOURLY_RATE-FIXED_SEASON_COST)</f>
        <v>19210.3791821892</v>
      </c>
      <c r="U198" s="53" t="n">
        <f aca="false">IF(OR($A198&gt;TOMATO_BED_CAP,$B198&gt;CARROT_BED_CAP,U$4&gt;MESCLUN_BED_CAP,$A198+$B198+U$4&gt;TOTAL_BEDS_AVAILABLE,($D198+U$5)&gt;TOTAL_LABOR_HOURS_CAP,MAX(0,($D198+U$5)-PERMANENT_FIELD_LABOR_HOURS)&gt;TEMP_HOURS_CAP),"",$C198+U$6-MIN(($D198+U$5),PERMANENT_FIELD_LABOR_HOURS)*PERMANENT_HOURLY_RATE-MAX(0,($D198+U$5)-PERMANENT_FIELD_LABOR_HOURS)*TEMP_HOURLY_RATE-FIXED_SEASON_COST)</f>
        <v>19926.4879108193</v>
      </c>
      <c r="V198" s="53" t="n">
        <f aca="false">IF(OR($A198&gt;TOMATO_BED_CAP,$B198&gt;CARROT_BED_CAP,V$4&gt;MESCLUN_BED_CAP,$A198+$B198+V$4&gt;TOTAL_BEDS_AVAILABLE,($D198+V$5)&gt;TOTAL_LABOR_HOURS_CAP,MAX(0,($D198+V$5)-PERMANENT_FIELD_LABOR_HOURS)&gt;TEMP_HOURS_CAP),"",$C198+V$6-MIN(($D198+V$5),PERMANENT_FIELD_LABOR_HOURS)*PERMANENT_HOURLY_RATE-MAX(0,($D198+V$5)-PERMANENT_FIELD_LABOR_HOURS)*TEMP_HOURLY_RATE-FIXED_SEASON_COST)</f>
        <v>20617.0328415861</v>
      </c>
      <c r="W198" s="53" t="n">
        <f aca="false">IF(OR($A198&gt;TOMATO_BED_CAP,$B198&gt;CARROT_BED_CAP,W$4&gt;MESCLUN_BED_CAP,$A198+$B198+W$4&gt;TOTAL_BEDS_AVAILABLE,($D198+W$5)&gt;TOTAL_LABOR_HOURS_CAP,MAX(0,($D198+W$5)-PERMANENT_FIELD_LABOR_HOURS)&gt;TEMP_HOURS_CAP),"",$C198+W$6-MIN(($D198+W$5),PERMANENT_FIELD_LABOR_HOURS)*PERMANENT_HOURLY_RATE-MAX(0,($D198+W$5)-PERMANENT_FIELD_LABOR_HOURS)*TEMP_HOURLY_RATE-FIXED_SEASON_COST)</f>
        <v>21281.5473625542</v>
      </c>
      <c r="X198" s="53" t="n">
        <f aca="false">IF(OR($A198&gt;TOMATO_BED_CAP,$B198&gt;CARROT_BED_CAP,X$4&gt;MESCLUN_BED_CAP,$A198+$B198+X$4&gt;TOTAL_BEDS_AVAILABLE,($D198+X$5)&gt;TOTAL_LABOR_HOURS_CAP,MAX(0,($D198+X$5)-PERMANENT_FIELD_LABOR_HOURS)&gt;TEMP_HOURS_CAP),"",$C198+X$6-MIN(($D198+X$5),PERMANENT_FIELD_LABOR_HOURS)*PERMANENT_HOURLY_RATE-MAX(0,($D198+X$5)-PERMANENT_FIELD_LABOR_HOURS)*TEMP_HOURLY_RATE-FIXED_SEASON_COST)</f>
        <v>21919.5571908331</v>
      </c>
      <c r="Y198" s="53" t="n">
        <f aca="false">IF(OR($A198&gt;TOMATO_BED_CAP,$B198&gt;CARROT_BED_CAP,Y$4&gt;MESCLUN_BED_CAP,$A198+$B198+Y$4&gt;TOTAL_BEDS_AVAILABLE,($D198+Y$5)&gt;TOTAL_LABOR_HOURS_CAP,MAX(0,($D198+Y$5)-PERMANENT_FIELD_LABOR_HOURS)&gt;TEMP_HOURS_CAP),"",$C198+Y$6-MIN(($D198+Y$5),PERMANENT_FIELD_LABOR_HOURS)*PERMANENT_HOURLY_RATE-MAX(0,($D198+Y$5)-PERMANENT_FIELD_LABOR_HOURS)*TEMP_HOURLY_RATE-FIXED_SEASON_COST)</f>
        <v>22530.5802537117</v>
      </c>
      <c r="Z198" s="53" t="n">
        <f aca="false">IF(OR($A198&gt;TOMATO_BED_CAP,$B198&gt;CARROT_BED_CAP,Z$4&gt;MESCLUN_BED_CAP,$A198+$B198+Z$4&gt;TOTAL_BEDS_AVAILABLE,($D198+Z$5)&gt;TOTAL_LABOR_HOURS_CAP,MAX(0,($D198+Z$5)-PERMANENT_FIELD_LABOR_HOURS)&gt;TEMP_HOURS_CAP),"",$C198+Z$6-MIN(($D198+Z$5),PERMANENT_FIELD_LABOR_HOURS)*PERMANENT_HOURLY_RATE-MAX(0,($D198+Z$5)-PERMANENT_FIELD_LABOR_HOURS)*TEMP_HOURLY_RATE-FIXED_SEASON_COST)</f>
        <v>23114.1265680195</v>
      </c>
      <c r="AA198" s="53" t="n">
        <f aca="false">IF(OR($A198&gt;TOMATO_BED_CAP,$B198&gt;CARROT_BED_CAP,AA$4&gt;MESCLUN_BED_CAP,$A198+$B198+AA$4&gt;TOTAL_BEDS_AVAILABLE,($D198+AA$5)&gt;TOTAL_LABOR_HOURS_CAP,MAX(0,($D198+AA$5)-PERMANENT_FIELD_LABOR_HOURS)&gt;TEMP_HOURS_CAP),"",$C198+AA$6-MIN(($D198+AA$5),PERMANENT_FIELD_LABOR_HOURS)*PERMANENT_HOURLY_RATE-MAX(0,($D198+AA$5)-PERMANENT_FIELD_LABOR_HOURS)*TEMP_HOURLY_RATE-FIXED_SEASON_COST)</f>
        <v>23669.6981176884</v>
      </c>
      <c r="AB198" s="53" t="n">
        <f aca="false">IF(OR($A198&gt;TOMATO_BED_CAP,$B198&gt;CARROT_BED_CAP,AB$4&gt;MESCLUN_BED_CAP,$A198+$B198+AB$4&gt;TOTAL_BEDS_AVAILABLE,($D198+AB$5)&gt;TOTAL_LABOR_HOURS_CAP,MAX(0,($D198+AB$5)-PERMANENT_FIELD_LABOR_HOURS)&gt;TEMP_HOURS_CAP),"",$C198+AB$6-MIN(($D198+AB$5),PERMANENT_FIELD_LABOR_HOURS)*PERMANENT_HOURLY_RATE-MAX(0,($D198+AB$5)-PERMANENT_FIELD_LABOR_HOURS)*TEMP_HOURLY_RATE-FIXED_SEASON_COST)</f>
        <v>24196.788729491</v>
      </c>
      <c r="AC198" s="53" t="n">
        <f aca="false">IF(OR($A198&gt;TOMATO_BED_CAP,$B198&gt;CARROT_BED_CAP,AC$4&gt;MESCLUN_BED_CAP,$A198+$B198+AC$4&gt;TOTAL_BEDS_AVAILABLE,($D198+AC$5)&gt;TOTAL_LABOR_HOURS_CAP,MAX(0,($D198+AC$5)-PERMANENT_FIELD_LABOR_HOURS)&gt;TEMP_HOURS_CAP),"",$C198+AC$6-MIN(($D198+AC$5),PERMANENT_FIELD_LABOR_HOURS)*PERMANENT_HOURLY_RATE-MAX(0,($D198+AC$5)-PERMANENT_FIELD_LABOR_HOURS)*TEMP_HOURLY_RATE-FIXED_SEASON_COST)</f>
        <v>24694.8839469259</v>
      </c>
      <c r="AD198" s="53" t="n">
        <f aca="false">IF(OR($A198&gt;TOMATO_BED_CAP,$B198&gt;CARROT_BED_CAP,AD$4&gt;MESCLUN_BED_CAP,$A198+$B198+AD$4&gt;TOTAL_BEDS_AVAILABLE,($D198+AD$5)&gt;TOTAL_LABOR_HOURS_CAP,MAX(0,($D198+AD$5)-PERMANENT_FIELD_LABOR_HOURS)&gt;TEMP_HOURS_CAP),"",$C198+AD$6-MIN(($D198+AD$5),PERMANENT_FIELD_LABOR_HOURS)*PERMANENT_HOURLY_RATE-MAX(0,($D198+AD$5)-PERMANENT_FIELD_LABOR_HOURS)*TEMP_HOURLY_RATE-FIXED_SEASON_COST)</f>
        <v>25163.4609022258</v>
      </c>
      <c r="AE198" s="53" t="n">
        <f aca="false">IF(OR($A198&gt;TOMATO_BED_CAP,$B198&gt;CARROT_BED_CAP,AE$4&gt;MESCLUN_BED_CAP,$A198+$B198+AE$4&gt;TOTAL_BEDS_AVAILABLE,($D198+AE$5)&gt;TOTAL_LABOR_HOURS_CAP,MAX(0,($D198+AE$5)-PERMANENT_FIELD_LABOR_HOURS)&gt;TEMP_HOURS_CAP),"",$C198+AE$6-MIN(($D198+AE$5),PERMANENT_FIELD_LABOR_HOURS)*PERMANENT_HOURLY_RATE-MAX(0,($D198+AE$5)-PERMANENT_FIELD_LABOR_HOURS)*TEMP_HOURLY_RATE-FIXED_SEASON_COST)</f>
        <v>25601.9881864597</v>
      </c>
      <c r="AF198" s="53" t="n">
        <f aca="false">IF(OR($A198&gt;TOMATO_BED_CAP,$B198&gt;CARROT_BED_CAP,AF$4&gt;MESCLUN_BED_CAP,$A198+$B198+AF$4&gt;TOTAL_BEDS_AVAILABLE,($D198+AF$5)&gt;TOTAL_LABOR_HOURS_CAP,MAX(0,($D198+AF$5)-PERMANENT_FIELD_LABOR_HOURS)&gt;TEMP_HOURS_CAP),"",$C198+AF$6-MIN(($D198+AF$5),PERMANENT_FIELD_LABOR_HOURS)*PERMANENT_HOURLY_RATE-MAX(0,($D198+AF$5)-PERMANENT_FIELD_LABOR_HOURS)*TEMP_HOURLY_RATE-FIXED_SEASON_COST)</f>
        <v>26009.9257177017</v>
      </c>
      <c r="AG198" s="53" t="n">
        <f aca="false">IF(OR($A198&gt;TOMATO_BED_CAP,$B198&gt;CARROT_BED_CAP,AG$4&gt;MESCLUN_BED_CAP,$A198+$B198+AG$4&gt;TOTAL_BEDS_AVAILABLE,($D198+AG$5)&gt;TOTAL_LABOR_HOURS_CAP,MAX(0,($D198+AG$5)-PERMANENT_FIELD_LABOR_HOURS)&gt;TEMP_HOURS_CAP),"",$C198+AG$6-MIN(($D198+AG$5),PERMANENT_FIELD_LABOR_HOURS)*PERMANENT_HOURLY_RATE-MAX(0,($D198+AG$5)-PERMANENT_FIELD_LABOR_HOURS)*TEMP_HOURLY_RATE-FIXED_SEASON_COST)</f>
        <v>26386.7246072387</v>
      </c>
      <c r="AH198" s="53" t="n">
        <f aca="false">IF(OR($A198&gt;TOMATO_BED_CAP,$B198&gt;CARROT_BED_CAP,AH$4&gt;MESCLUN_BED_CAP,$A198+$B198+AH$4&gt;TOTAL_BEDS_AVAILABLE,($D198+AH$5)&gt;TOTAL_LABOR_HOURS_CAP,MAX(0,($D198+AH$5)-PERMANENT_FIELD_LABOR_HOURS)&gt;TEMP_HOURS_CAP),"",$C198+AH$6-MIN(($D198+AH$5),PERMANENT_FIELD_LABOR_HOURS)*PERMANENT_HOURLY_RATE-MAX(0,($D198+AH$5)-PERMANENT_FIELD_LABOR_HOURS)*TEMP_HOURLY_RATE-FIXED_SEASON_COST)</f>
        <v>26731.8270237889</v>
      </c>
      <c r="AI198" s="53" t="n">
        <f aca="false">IF(OR($A198&gt;TOMATO_BED_CAP,$B198&gt;CARROT_BED_CAP,AI$4&gt;MESCLUN_BED_CAP,$A198+$B198+AI$4&gt;TOTAL_BEDS_AVAILABLE,($D198+AI$5)&gt;TOTAL_LABOR_HOURS_CAP,MAX(0,($D198+AI$5)-PERMANENT_FIELD_LABOR_HOURS)&gt;TEMP_HOURS_CAP),"",$C198+AI$6-MIN(($D198+AI$5),PERMANENT_FIELD_LABOR_HOURS)*PERMANENT_HOURLY_RATE-MAX(0,($D198+AI$5)-PERMANENT_FIELD_LABOR_HOURS)*TEMP_HOURLY_RATE-FIXED_SEASON_COST)</f>
        <v>27044.6660557012</v>
      </c>
      <c r="AJ198" s="53" t="n">
        <f aca="false">IF(OR($A198&gt;TOMATO_BED_CAP,$B198&gt;CARROT_BED_CAP,AJ$4&gt;MESCLUN_BED_CAP,$A198+$B198+AJ$4&gt;TOTAL_BEDS_AVAILABLE,($D198+AJ$5)&gt;TOTAL_LABOR_HOURS_CAP,MAX(0,($D198+AJ$5)-PERMANENT_FIELD_LABOR_HOURS)&gt;TEMP_HOURS_CAP),"",$C198+AJ$6-MIN(($D198+AJ$5),PERMANENT_FIELD_LABOR_HOURS)*PERMANENT_HOURLY_RATE-MAX(0,($D198+AJ$5)-PERMANENT_FIELD_LABOR_HOURS)*TEMP_HOURLY_RATE-FIXED_SEASON_COST)</f>
        <v>27324.6655711069</v>
      </c>
    </row>
    <row r="199" customFormat="false" ht="15" hidden="false" customHeight="false" outlineLevel="0" collapsed="false">
      <c r="A199" s="21" t="n">
        <f aca="false">INT((ROW()-ROW($A$8))/(20+1))</f>
        <v>9</v>
      </c>
      <c r="B199" s="21" t="n">
        <f aca="false">MOD(ROW()-ROW($A$8),20+1)</f>
        <v>2</v>
      </c>
      <c r="C199" s="13" t="n">
        <f aca="false">A199*(TOMATO_REVENUE_PER_BED-TOMATO_FERTILIZER_PER_BED)+B199*(CARROT_REVENUE_PER_BED-CARROT_FERTILIZER_PER_BED)</f>
        <v>74588</v>
      </c>
      <c r="D199" s="14" t="n">
        <f aca="false">INDEX(TOMATO_SCHED_LABOR_HRS,A199+1)+INDEX(CARROT_SCHED_LABOR_HRS,B199+1)</f>
        <v>1972.94991471</v>
      </c>
      <c r="E199" s="13" t="n">
        <f aca="false">IF(COUNT(F199:AJ199)=0,"",MAX(F199:AJ199))</f>
        <v>28418.3787755069</v>
      </c>
      <c r="F199" s="53" t="n">
        <f aca="false">IF(OR($A199&gt;TOMATO_BED_CAP,$B199&gt;CARROT_BED_CAP,F$4&gt;MESCLUN_BED_CAP,$A199+$B199+F$4&gt;TOTAL_BEDS_AVAILABLE,($D199+F$5)&gt;TOTAL_LABOR_HOURS_CAP,MAX(0,($D199+F$5)-PERMANENT_FIELD_LABOR_HOURS)&gt;TEMP_HOURS_CAP),"",$C199+F$6-MIN(($D199+F$5),PERMANENT_FIELD_LABOR_HOURS)*PERMANENT_HOURLY_RATE-MAX(0,($D199+F$5)-PERMANENT_FIELD_LABOR_HOURS)*TEMP_HOURLY_RATE-FIXED_SEASON_COST)</f>
        <v>7838.38948063438</v>
      </c>
      <c r="G199" s="53" t="n">
        <f aca="false">IF(OR($A199&gt;TOMATO_BED_CAP,$B199&gt;CARROT_BED_CAP,G$4&gt;MESCLUN_BED_CAP,$A199+$B199+G$4&gt;TOTAL_BEDS_AVAILABLE,($D199+G$5)&gt;TOTAL_LABOR_HOURS_CAP,MAX(0,($D199+G$5)-PERMANENT_FIELD_LABOR_HOURS)&gt;TEMP_HOURS_CAP),"",$C199+G$6-MIN(($D199+G$5),PERMANENT_FIELD_LABOR_HOURS)*PERMANENT_HOURLY_RATE-MAX(0,($D199+G$5)-PERMANENT_FIELD_LABOR_HOURS)*TEMP_HOURLY_RATE-FIXED_SEASON_COST)</f>
        <v>8867.42448063438</v>
      </c>
      <c r="H199" s="53" t="n">
        <f aca="false">IF(OR($A199&gt;TOMATO_BED_CAP,$B199&gt;CARROT_BED_CAP,H$4&gt;MESCLUN_BED_CAP,$A199+$B199+H$4&gt;TOTAL_BEDS_AVAILABLE,($D199+H$5)&gt;TOTAL_LABOR_HOURS_CAP,MAX(0,($D199+H$5)-PERMANENT_FIELD_LABOR_HOURS)&gt;TEMP_HOURS_CAP),"",$C199+H$6-MIN(($D199+H$5),PERMANENT_FIELD_LABOR_HOURS)*PERMANENT_HOURLY_RATE-MAX(0,($D199+H$5)-PERMANENT_FIELD_LABOR_HOURS)*TEMP_HOURLY_RATE-FIXED_SEASON_COST)</f>
        <v>9876.68535563438</v>
      </c>
      <c r="I199" s="53" t="n">
        <f aca="false">IF(OR($A199&gt;TOMATO_BED_CAP,$B199&gt;CARROT_BED_CAP,I$4&gt;MESCLUN_BED_CAP,$A199+$B199+I$4&gt;TOTAL_BEDS_AVAILABLE,($D199+I$5)&gt;TOTAL_LABOR_HOURS_CAP,MAX(0,($D199+I$5)-PERMANENT_FIELD_LABOR_HOURS)&gt;TEMP_HOURS_CAP),"",$C199+I$6-MIN(($D199+I$5),PERMANENT_FIELD_LABOR_HOURS)*PERMANENT_HOURLY_RATE-MAX(0,($D199+I$5)-PERMANENT_FIELD_LABOR_HOURS)*TEMP_HOURLY_RATE-FIXED_SEASON_COST)</f>
        <v>10865.8013407906</v>
      </c>
      <c r="J199" s="53" t="n">
        <f aca="false">IF(OR($A199&gt;TOMATO_BED_CAP,$B199&gt;CARROT_BED_CAP,J$4&gt;MESCLUN_BED_CAP,$A199+$B199+J$4&gt;TOTAL_BEDS_AVAILABLE,($D199+J$5)&gt;TOTAL_LABOR_HOURS_CAP,MAX(0,($D199+J$5)-PERMANENT_FIELD_LABOR_HOURS)&gt;TEMP_HOURS_CAP),"",$C199+J$6-MIN(($D199+J$5),PERMANENT_FIELD_LABOR_HOURS)*PERMANENT_HOURLY_RATE-MAX(0,($D199+J$5)-PERMANENT_FIELD_LABOR_HOURS)*TEMP_HOURLY_RATE-FIXED_SEASON_COST)</f>
        <v>11834.3954918453</v>
      </c>
      <c r="K199" s="53" t="n">
        <f aca="false">IF(OR($A199&gt;TOMATO_BED_CAP,$B199&gt;CARROT_BED_CAP,K$4&gt;MESCLUN_BED_CAP,$A199+$B199+K$4&gt;TOTAL_BEDS_AVAILABLE,($D199+K$5)&gt;TOTAL_LABOR_HOURS_CAP,MAX(0,($D199+K$5)-PERMANENT_FIELD_LABOR_HOURS)&gt;TEMP_HOURS_CAP),"",$C199+K$6-MIN(($D199+K$5),PERMANENT_FIELD_LABOR_HOURS)*PERMANENT_HOURLY_RATE-MAX(0,($D199+K$5)-PERMANENT_FIELD_LABOR_HOURS)*TEMP_HOURLY_RATE-FIXED_SEASON_COST)</f>
        <v>12782.0845885732</v>
      </c>
      <c r="L199" s="53" t="n">
        <f aca="false">IF(OR($A199&gt;TOMATO_BED_CAP,$B199&gt;CARROT_BED_CAP,L$4&gt;MESCLUN_BED_CAP,$A199+$B199+L$4&gt;TOTAL_BEDS_AVAILABLE,($D199+L$5)&gt;TOTAL_LABOR_HOURS_CAP,MAX(0,($D199+L$5)-PERMANENT_FIELD_LABOR_HOURS)&gt;TEMP_HOURS_CAP),"",$C199+L$6-MIN(($D199+L$5),PERMANENT_FIELD_LABOR_HOURS)*PERMANENT_HOURLY_RATE-MAX(0,($D199+L$5)-PERMANENT_FIELD_LABOR_HOURS)*TEMP_HOURLY_RATE-FIXED_SEASON_COST)</f>
        <v>13708.4790367801</v>
      </c>
      <c r="M199" s="53" t="n">
        <f aca="false">IF(OR($A199&gt;TOMATO_BED_CAP,$B199&gt;CARROT_BED_CAP,M$4&gt;MESCLUN_BED_CAP,$A199+$B199+M$4&gt;TOTAL_BEDS_AVAILABLE,($D199+M$5)&gt;TOTAL_LABOR_HOURS_CAP,MAX(0,($D199+M$5)-PERMANENT_FIELD_LABOR_HOURS)&gt;TEMP_HOURS_CAP),"",$C199+M$6-MIN(($D199+M$5),PERMANENT_FIELD_LABOR_HOURS)*PERMANENT_HOURLY_RATE-MAX(0,($D199+M$5)-PERMANENT_FIELD_LABOR_HOURS)*TEMP_HOURLY_RATE-FIXED_SEASON_COST)</f>
        <v>14613.1827688315</v>
      </c>
      <c r="N199" s="53" t="n">
        <f aca="false">IF(OR($A199&gt;TOMATO_BED_CAP,$B199&gt;CARROT_BED_CAP,N$4&gt;MESCLUN_BED_CAP,$A199+$B199+N$4&gt;TOTAL_BEDS_AVAILABLE,($D199+N$5)&gt;TOTAL_LABOR_HOURS_CAP,MAX(0,($D199+N$5)-PERMANENT_FIELD_LABOR_HOURS)&gt;TEMP_HOURS_CAP),"",$C199+N$6-MIN(($D199+N$5),PERMANENT_FIELD_LABOR_HOURS)*PERMANENT_HOURLY_RATE-MAX(0,($D199+N$5)-PERMANENT_FIELD_LABOR_HOURS)*TEMP_HOURLY_RATE-FIXED_SEASON_COST)</f>
        <v>15495.793142691</v>
      </c>
      <c r="O199" s="53" t="n">
        <f aca="false">IF(OR($A199&gt;TOMATO_BED_CAP,$B199&gt;CARROT_BED_CAP,O$4&gt;MESCLUN_BED_CAP,$A199+$B199+O$4&gt;TOTAL_BEDS_AVAILABLE,($D199+O$5)&gt;TOTAL_LABOR_HOURS_CAP,MAX(0,($D199+O$5)-PERMANENT_FIELD_LABOR_HOURS)&gt;TEMP_HOURS_CAP),"",$C199+O$6-MIN(($D199+O$5),PERMANENT_FIELD_LABOR_HOURS)*PERMANENT_HOURLY_RATE-MAX(0,($D199+O$5)-PERMANENT_FIELD_LABOR_HOURS)*TEMP_HOURLY_RATE-FIXED_SEASON_COST)</f>
        <v>16355.9008394458</v>
      </c>
      <c r="P199" s="53" t="n">
        <f aca="false">IF(OR($A199&gt;TOMATO_BED_CAP,$B199&gt;CARROT_BED_CAP,P$4&gt;MESCLUN_BED_CAP,$A199+$B199+P$4&gt;TOTAL_BEDS_AVAILABLE,($D199+P$5)&gt;TOTAL_LABOR_HOURS_CAP,MAX(0,($D199+P$5)-PERMANENT_FIELD_LABOR_HOURS)&gt;TEMP_HOURS_CAP),"",$C199+P$6-MIN(($D199+P$5),PERMANENT_FIELD_LABOR_HOURS)*PERMANENT_HOURLY_RATE-MAX(0,($D199+P$5)-PERMANENT_FIELD_LABOR_HOURS)*TEMP_HOURLY_RATE-FIXED_SEASON_COST)</f>
        <v>17193.0897592972</v>
      </c>
      <c r="Q199" s="53" t="n">
        <f aca="false">IF(OR($A199&gt;TOMATO_BED_CAP,$B199&gt;CARROT_BED_CAP,Q$4&gt;MESCLUN_BED_CAP,$A199+$B199+Q$4&gt;TOTAL_BEDS_AVAILABLE,($D199+Q$5)&gt;TOTAL_LABOR_HOURS_CAP,MAX(0,($D199+Q$5)-PERMANENT_FIELD_LABOR_HOURS)&gt;TEMP_HOURS_CAP),"",$C199+Q$6-MIN(($D199+Q$5),PERMANENT_FIELD_LABOR_HOURS)*PERMANENT_HOURLY_RATE-MAX(0,($D199+Q$5)-PERMANENT_FIELD_LABOR_HOURS)*TEMP_HOURLY_RATE-FIXED_SEASON_COST)</f>
        <v>18006.9369159951</v>
      </c>
      <c r="R199" s="53" t="n">
        <f aca="false">IF(OR($A199&gt;TOMATO_BED_CAP,$B199&gt;CARROT_BED_CAP,R$4&gt;MESCLUN_BED_CAP,$A199+$B199+R$4&gt;TOTAL_BEDS_AVAILABLE,($D199+R$5)&gt;TOTAL_LABOR_HOURS_CAP,MAX(0,($D199+R$5)-PERMANENT_FIELD_LABOR_HOURS)&gt;TEMP_HOURS_CAP),"",$C199+R$6-MIN(($D199+R$5),PERMANENT_FIELD_LABOR_HOURS)*PERMANENT_HOURLY_RATE-MAX(0,($D199+R$5)-PERMANENT_FIELD_LABOR_HOURS)*TEMP_HOURLY_RATE-FIXED_SEASON_COST)</f>
        <v>18797.0123296919</v>
      </c>
      <c r="S199" s="53" t="n">
        <f aca="false">IF(OR($A199&gt;TOMATO_BED_CAP,$B199&gt;CARROT_BED_CAP,S$4&gt;MESCLUN_BED_CAP,$A199+$B199+S$4&gt;TOTAL_BEDS_AVAILABLE,($D199+S$5)&gt;TOTAL_LABOR_HOURS_CAP,MAX(0,($D199+S$5)-PERMANENT_FIELD_LABOR_HOURS)&gt;TEMP_HOURS_CAP),"",$C199+S$6-MIN(($D199+S$5),PERMANENT_FIELD_LABOR_HOURS)*PERMANENT_HOURLY_RATE-MAX(0,($D199+S$5)-PERMANENT_FIELD_LABOR_HOURS)*TEMP_HOURLY_RATE-FIXED_SEASON_COST)</f>
        <v>19562.8789181944</v>
      </c>
      <c r="T199" s="53" t="n">
        <f aca="false">IF(OR($A199&gt;TOMATO_BED_CAP,$B199&gt;CARROT_BED_CAP,T$4&gt;MESCLUN_BED_CAP,$A199+$B199+T$4&gt;TOTAL_BEDS_AVAILABLE,($D199+T$5)&gt;TOTAL_LABOR_HOURS_CAP,MAX(0,($D199+T$5)-PERMANENT_FIELD_LABOR_HOURS)&gt;TEMP_HOURS_CAP),"",$C199+T$6-MIN(($D199+T$5),PERMANENT_FIELD_LABOR_HOURS)*PERMANENT_HOURLY_RATE-MAX(0,($D199+T$5)-PERMANENT_FIELD_LABOR_HOURS)*TEMP_HOURLY_RATE-FIXED_SEASON_COST)</f>
        <v>20304.0923865892</v>
      </c>
      <c r="U199" s="53" t="n">
        <f aca="false">IF(OR($A199&gt;TOMATO_BED_CAP,$B199&gt;CARROT_BED_CAP,U$4&gt;MESCLUN_BED_CAP,$A199+$B199+U$4&gt;TOTAL_BEDS_AVAILABLE,($D199+U$5)&gt;TOTAL_LABOR_HOURS_CAP,MAX(0,($D199+U$5)-PERMANENT_FIELD_LABOR_HOURS)&gt;TEMP_HOURS_CAP),"",$C199+U$6-MIN(($D199+U$5),PERMANENT_FIELD_LABOR_HOURS)*PERMANENT_HOURLY_RATE-MAX(0,($D199+U$5)-PERMANENT_FIELD_LABOR_HOURS)*TEMP_HOURLY_RATE-FIXED_SEASON_COST)</f>
        <v>21020.2011152193</v>
      </c>
      <c r="V199" s="53" t="n">
        <f aca="false">IF(OR($A199&gt;TOMATO_BED_CAP,$B199&gt;CARROT_BED_CAP,V$4&gt;MESCLUN_BED_CAP,$A199+$B199+V$4&gt;TOTAL_BEDS_AVAILABLE,($D199+V$5)&gt;TOTAL_LABOR_HOURS_CAP,MAX(0,($D199+V$5)-PERMANENT_FIELD_LABOR_HOURS)&gt;TEMP_HOURS_CAP),"",$C199+V$6-MIN(($D199+V$5),PERMANENT_FIELD_LABOR_HOURS)*PERMANENT_HOURLY_RATE-MAX(0,($D199+V$5)-PERMANENT_FIELD_LABOR_HOURS)*TEMP_HOURLY_RATE-FIXED_SEASON_COST)</f>
        <v>21710.7460459861</v>
      </c>
      <c r="W199" s="53" t="n">
        <f aca="false">IF(OR($A199&gt;TOMATO_BED_CAP,$B199&gt;CARROT_BED_CAP,W$4&gt;MESCLUN_BED_CAP,$A199+$B199+W$4&gt;TOTAL_BEDS_AVAILABLE,($D199+W$5)&gt;TOTAL_LABOR_HOURS_CAP,MAX(0,($D199+W$5)-PERMANENT_FIELD_LABOR_HOURS)&gt;TEMP_HOURS_CAP),"",$C199+W$6-MIN(($D199+W$5),PERMANENT_FIELD_LABOR_HOURS)*PERMANENT_HOURLY_RATE-MAX(0,($D199+W$5)-PERMANENT_FIELD_LABOR_HOURS)*TEMP_HOURLY_RATE-FIXED_SEASON_COST)</f>
        <v>22375.2605669542</v>
      </c>
      <c r="X199" s="53" t="n">
        <f aca="false">IF(OR($A199&gt;TOMATO_BED_CAP,$B199&gt;CARROT_BED_CAP,X$4&gt;MESCLUN_BED_CAP,$A199+$B199+X$4&gt;TOTAL_BEDS_AVAILABLE,($D199+X$5)&gt;TOTAL_LABOR_HOURS_CAP,MAX(0,($D199+X$5)-PERMANENT_FIELD_LABOR_HOURS)&gt;TEMP_HOURS_CAP),"",$C199+X$6-MIN(($D199+X$5),PERMANENT_FIELD_LABOR_HOURS)*PERMANENT_HOURLY_RATE-MAX(0,($D199+X$5)-PERMANENT_FIELD_LABOR_HOURS)*TEMP_HOURLY_RATE-FIXED_SEASON_COST)</f>
        <v>23013.2703952331</v>
      </c>
      <c r="Y199" s="53" t="n">
        <f aca="false">IF(OR($A199&gt;TOMATO_BED_CAP,$B199&gt;CARROT_BED_CAP,Y$4&gt;MESCLUN_BED_CAP,$A199+$B199+Y$4&gt;TOTAL_BEDS_AVAILABLE,($D199+Y$5)&gt;TOTAL_LABOR_HOURS_CAP,MAX(0,($D199+Y$5)-PERMANENT_FIELD_LABOR_HOURS)&gt;TEMP_HOURS_CAP),"",$C199+Y$6-MIN(($D199+Y$5),PERMANENT_FIELD_LABOR_HOURS)*PERMANENT_HOURLY_RATE-MAX(0,($D199+Y$5)-PERMANENT_FIELD_LABOR_HOURS)*TEMP_HOURLY_RATE-FIXED_SEASON_COST)</f>
        <v>23624.2934581117</v>
      </c>
      <c r="Z199" s="53" t="n">
        <f aca="false">IF(OR($A199&gt;TOMATO_BED_CAP,$B199&gt;CARROT_BED_CAP,Z$4&gt;MESCLUN_BED_CAP,$A199+$B199+Z$4&gt;TOTAL_BEDS_AVAILABLE,($D199+Z$5)&gt;TOTAL_LABOR_HOURS_CAP,MAX(0,($D199+Z$5)-PERMANENT_FIELD_LABOR_HOURS)&gt;TEMP_HOURS_CAP),"",$C199+Z$6-MIN(($D199+Z$5),PERMANENT_FIELD_LABOR_HOURS)*PERMANENT_HOURLY_RATE-MAX(0,($D199+Z$5)-PERMANENT_FIELD_LABOR_HOURS)*TEMP_HOURLY_RATE-FIXED_SEASON_COST)</f>
        <v>24207.8397724195</v>
      </c>
      <c r="AA199" s="53" t="n">
        <f aca="false">IF(OR($A199&gt;TOMATO_BED_CAP,$B199&gt;CARROT_BED_CAP,AA$4&gt;MESCLUN_BED_CAP,$A199+$B199+AA$4&gt;TOTAL_BEDS_AVAILABLE,($D199+AA$5)&gt;TOTAL_LABOR_HOURS_CAP,MAX(0,($D199+AA$5)-PERMANENT_FIELD_LABOR_HOURS)&gt;TEMP_HOURS_CAP),"",$C199+AA$6-MIN(($D199+AA$5),PERMANENT_FIELD_LABOR_HOURS)*PERMANENT_HOURLY_RATE-MAX(0,($D199+AA$5)-PERMANENT_FIELD_LABOR_HOURS)*TEMP_HOURLY_RATE-FIXED_SEASON_COST)</f>
        <v>24763.4113220884</v>
      </c>
      <c r="AB199" s="53" t="n">
        <f aca="false">IF(OR($A199&gt;TOMATO_BED_CAP,$B199&gt;CARROT_BED_CAP,AB$4&gt;MESCLUN_BED_CAP,$A199+$B199+AB$4&gt;TOTAL_BEDS_AVAILABLE,($D199+AB$5)&gt;TOTAL_LABOR_HOURS_CAP,MAX(0,($D199+AB$5)-PERMANENT_FIELD_LABOR_HOURS)&gt;TEMP_HOURS_CAP),"",$C199+AB$6-MIN(($D199+AB$5),PERMANENT_FIELD_LABOR_HOURS)*PERMANENT_HOURLY_RATE-MAX(0,($D199+AB$5)-PERMANENT_FIELD_LABOR_HOURS)*TEMP_HOURLY_RATE-FIXED_SEASON_COST)</f>
        <v>25290.501933891</v>
      </c>
      <c r="AC199" s="53" t="n">
        <f aca="false">IF(OR($A199&gt;TOMATO_BED_CAP,$B199&gt;CARROT_BED_CAP,AC$4&gt;MESCLUN_BED_CAP,$A199+$B199+AC$4&gt;TOTAL_BEDS_AVAILABLE,($D199+AC$5)&gt;TOTAL_LABOR_HOURS_CAP,MAX(0,($D199+AC$5)-PERMANENT_FIELD_LABOR_HOURS)&gt;TEMP_HOURS_CAP),"",$C199+AC$6-MIN(($D199+AC$5),PERMANENT_FIELD_LABOR_HOURS)*PERMANENT_HOURLY_RATE-MAX(0,($D199+AC$5)-PERMANENT_FIELD_LABOR_HOURS)*TEMP_HOURLY_RATE-FIXED_SEASON_COST)</f>
        <v>25788.5971513259</v>
      </c>
      <c r="AD199" s="53" t="n">
        <f aca="false">IF(OR($A199&gt;TOMATO_BED_CAP,$B199&gt;CARROT_BED_CAP,AD$4&gt;MESCLUN_BED_CAP,$A199+$B199+AD$4&gt;TOTAL_BEDS_AVAILABLE,($D199+AD$5)&gt;TOTAL_LABOR_HOURS_CAP,MAX(0,($D199+AD$5)-PERMANENT_FIELD_LABOR_HOURS)&gt;TEMP_HOURS_CAP),"",$C199+AD$6-MIN(($D199+AD$5),PERMANENT_FIELD_LABOR_HOURS)*PERMANENT_HOURLY_RATE-MAX(0,($D199+AD$5)-PERMANENT_FIELD_LABOR_HOURS)*TEMP_HOURLY_RATE-FIXED_SEASON_COST)</f>
        <v>26257.1741066258</v>
      </c>
      <c r="AE199" s="53" t="n">
        <f aca="false">IF(OR($A199&gt;TOMATO_BED_CAP,$B199&gt;CARROT_BED_CAP,AE$4&gt;MESCLUN_BED_CAP,$A199+$B199+AE$4&gt;TOTAL_BEDS_AVAILABLE,($D199+AE$5)&gt;TOTAL_LABOR_HOURS_CAP,MAX(0,($D199+AE$5)-PERMANENT_FIELD_LABOR_HOURS)&gt;TEMP_HOURS_CAP),"",$C199+AE$6-MIN(($D199+AE$5),PERMANENT_FIELD_LABOR_HOURS)*PERMANENT_HOURLY_RATE-MAX(0,($D199+AE$5)-PERMANENT_FIELD_LABOR_HOURS)*TEMP_HOURLY_RATE-FIXED_SEASON_COST)</f>
        <v>26695.7013908597</v>
      </c>
      <c r="AF199" s="53" t="n">
        <f aca="false">IF(OR($A199&gt;TOMATO_BED_CAP,$B199&gt;CARROT_BED_CAP,AF$4&gt;MESCLUN_BED_CAP,$A199+$B199+AF$4&gt;TOTAL_BEDS_AVAILABLE,($D199+AF$5)&gt;TOTAL_LABOR_HOURS_CAP,MAX(0,($D199+AF$5)-PERMANENT_FIELD_LABOR_HOURS)&gt;TEMP_HOURS_CAP),"",$C199+AF$6-MIN(($D199+AF$5),PERMANENT_FIELD_LABOR_HOURS)*PERMANENT_HOURLY_RATE-MAX(0,($D199+AF$5)-PERMANENT_FIELD_LABOR_HOURS)*TEMP_HOURLY_RATE-FIXED_SEASON_COST)</f>
        <v>27103.6389221017</v>
      </c>
      <c r="AG199" s="53" t="n">
        <f aca="false">IF(OR($A199&gt;TOMATO_BED_CAP,$B199&gt;CARROT_BED_CAP,AG$4&gt;MESCLUN_BED_CAP,$A199+$B199+AG$4&gt;TOTAL_BEDS_AVAILABLE,($D199+AG$5)&gt;TOTAL_LABOR_HOURS_CAP,MAX(0,($D199+AG$5)-PERMANENT_FIELD_LABOR_HOURS)&gt;TEMP_HOURS_CAP),"",$C199+AG$6-MIN(($D199+AG$5),PERMANENT_FIELD_LABOR_HOURS)*PERMANENT_HOURLY_RATE-MAX(0,($D199+AG$5)-PERMANENT_FIELD_LABOR_HOURS)*TEMP_HOURLY_RATE-FIXED_SEASON_COST)</f>
        <v>27480.4378116387</v>
      </c>
      <c r="AH199" s="53" t="n">
        <f aca="false">IF(OR($A199&gt;TOMATO_BED_CAP,$B199&gt;CARROT_BED_CAP,AH$4&gt;MESCLUN_BED_CAP,$A199+$B199+AH$4&gt;TOTAL_BEDS_AVAILABLE,($D199+AH$5)&gt;TOTAL_LABOR_HOURS_CAP,MAX(0,($D199+AH$5)-PERMANENT_FIELD_LABOR_HOURS)&gt;TEMP_HOURS_CAP),"",$C199+AH$6-MIN(($D199+AH$5),PERMANENT_FIELD_LABOR_HOURS)*PERMANENT_HOURLY_RATE-MAX(0,($D199+AH$5)-PERMANENT_FIELD_LABOR_HOURS)*TEMP_HOURLY_RATE-FIXED_SEASON_COST)</f>
        <v>27825.5402281889</v>
      </c>
      <c r="AI199" s="53" t="n">
        <f aca="false">IF(OR($A199&gt;TOMATO_BED_CAP,$B199&gt;CARROT_BED_CAP,AI$4&gt;MESCLUN_BED_CAP,$A199+$B199+AI$4&gt;TOTAL_BEDS_AVAILABLE,($D199+AI$5)&gt;TOTAL_LABOR_HOURS_CAP,MAX(0,($D199+AI$5)-PERMANENT_FIELD_LABOR_HOURS)&gt;TEMP_HOURS_CAP),"",$C199+AI$6-MIN(($D199+AI$5),PERMANENT_FIELD_LABOR_HOURS)*PERMANENT_HOURLY_RATE-MAX(0,($D199+AI$5)-PERMANENT_FIELD_LABOR_HOURS)*TEMP_HOURLY_RATE-FIXED_SEASON_COST)</f>
        <v>28138.3792601012</v>
      </c>
      <c r="AJ199" s="53" t="n">
        <f aca="false">IF(OR($A199&gt;TOMATO_BED_CAP,$B199&gt;CARROT_BED_CAP,AJ$4&gt;MESCLUN_BED_CAP,$A199+$B199+AJ$4&gt;TOTAL_BEDS_AVAILABLE,($D199+AJ$5)&gt;TOTAL_LABOR_HOURS_CAP,MAX(0,($D199+AJ$5)-PERMANENT_FIELD_LABOR_HOURS)&gt;TEMP_HOURS_CAP),"",$C199+AJ$6-MIN(($D199+AJ$5),PERMANENT_FIELD_LABOR_HOURS)*PERMANENT_HOURLY_RATE-MAX(0,($D199+AJ$5)-PERMANENT_FIELD_LABOR_HOURS)*TEMP_HOURLY_RATE-FIXED_SEASON_COST)</f>
        <v>28418.3787755069</v>
      </c>
    </row>
    <row r="200" customFormat="false" ht="15" hidden="false" customHeight="false" outlineLevel="0" collapsed="false">
      <c r="A200" s="21" t="n">
        <f aca="false">INT((ROW()-ROW($A$8))/(20+1))</f>
        <v>9</v>
      </c>
      <c r="B200" s="21" t="n">
        <f aca="false">MOD(ROW()-ROW($A$8),20+1)</f>
        <v>3</v>
      </c>
      <c r="C200" s="13" t="n">
        <f aca="false">A200*(TOMATO_REVENUE_PER_BED-TOMATO_FERTILIZER_PER_BED)+B200*(CARROT_REVENUE_PER_BED-CARROT_FERTILIZER_PER_BED)</f>
        <v>76242</v>
      </c>
      <c r="D200" s="14" t="n">
        <f aca="false">INDEX(TOMATO_SCHED_LABOR_HRS,A200+1)+INDEX(CARROT_SCHED_LABOR_HRS,B200+1)</f>
        <v>2006.8190178975</v>
      </c>
      <c r="E200" s="13" t="n">
        <f aca="false">IF(COUNT(F200:AJ200)=0,"",MAX(F200:AJ200))</f>
        <v>29484.4111441719</v>
      </c>
      <c r="F200" s="53" t="n">
        <f aca="false">IF(OR($A200&gt;TOMATO_BED_CAP,$B200&gt;CARROT_BED_CAP,F$4&gt;MESCLUN_BED_CAP,$A200+$B200+F$4&gt;TOTAL_BEDS_AVAILABLE,($D200+F$5)&gt;TOTAL_LABOR_HOURS_CAP,MAX(0,($D200+F$5)-PERMANENT_FIELD_LABOR_HOURS)&gt;TEMP_HOURS_CAP),"",$C200+F$6-MIN(($D200+F$5),PERMANENT_FIELD_LABOR_HOURS)*PERMANENT_HOURLY_RATE-MAX(0,($D200+F$5)-PERMANENT_FIELD_LABOR_HOURS)*TEMP_HOURLY_RATE-FIXED_SEASON_COST)</f>
        <v>8904.42184929938</v>
      </c>
      <c r="G200" s="53" t="n">
        <f aca="false">IF(OR($A200&gt;TOMATO_BED_CAP,$B200&gt;CARROT_BED_CAP,G$4&gt;MESCLUN_BED_CAP,$A200+$B200+G$4&gt;TOTAL_BEDS_AVAILABLE,($D200+G$5)&gt;TOTAL_LABOR_HOURS_CAP,MAX(0,($D200+G$5)-PERMANENT_FIELD_LABOR_HOURS)&gt;TEMP_HOURS_CAP),"",$C200+G$6-MIN(($D200+G$5),PERMANENT_FIELD_LABOR_HOURS)*PERMANENT_HOURLY_RATE-MAX(0,($D200+G$5)-PERMANENT_FIELD_LABOR_HOURS)*TEMP_HOURLY_RATE-FIXED_SEASON_COST)</f>
        <v>9933.45684929938</v>
      </c>
      <c r="H200" s="53" t="n">
        <f aca="false">IF(OR($A200&gt;TOMATO_BED_CAP,$B200&gt;CARROT_BED_CAP,H$4&gt;MESCLUN_BED_CAP,$A200+$B200+H$4&gt;TOTAL_BEDS_AVAILABLE,($D200+H$5)&gt;TOTAL_LABOR_HOURS_CAP,MAX(0,($D200+H$5)-PERMANENT_FIELD_LABOR_HOURS)&gt;TEMP_HOURS_CAP),"",$C200+H$6-MIN(($D200+H$5),PERMANENT_FIELD_LABOR_HOURS)*PERMANENT_HOURLY_RATE-MAX(0,($D200+H$5)-PERMANENT_FIELD_LABOR_HOURS)*TEMP_HOURLY_RATE-FIXED_SEASON_COST)</f>
        <v>10942.7177242994</v>
      </c>
      <c r="I200" s="53" t="n">
        <f aca="false">IF(OR($A200&gt;TOMATO_BED_CAP,$B200&gt;CARROT_BED_CAP,I$4&gt;MESCLUN_BED_CAP,$A200+$B200+I$4&gt;TOTAL_BEDS_AVAILABLE,($D200+I$5)&gt;TOTAL_LABOR_HOURS_CAP,MAX(0,($D200+I$5)-PERMANENT_FIELD_LABOR_HOURS)&gt;TEMP_HOURS_CAP),"",$C200+I$6-MIN(($D200+I$5),PERMANENT_FIELD_LABOR_HOURS)*PERMANENT_HOURLY_RATE-MAX(0,($D200+I$5)-PERMANENT_FIELD_LABOR_HOURS)*TEMP_HOURLY_RATE-FIXED_SEASON_COST)</f>
        <v>11931.8337094556</v>
      </c>
      <c r="J200" s="53" t="n">
        <f aca="false">IF(OR($A200&gt;TOMATO_BED_CAP,$B200&gt;CARROT_BED_CAP,J$4&gt;MESCLUN_BED_CAP,$A200+$B200+J$4&gt;TOTAL_BEDS_AVAILABLE,($D200+J$5)&gt;TOTAL_LABOR_HOURS_CAP,MAX(0,($D200+J$5)-PERMANENT_FIELD_LABOR_HOURS)&gt;TEMP_HOURS_CAP),"",$C200+J$6-MIN(($D200+J$5),PERMANENT_FIELD_LABOR_HOURS)*PERMANENT_HOURLY_RATE-MAX(0,($D200+J$5)-PERMANENT_FIELD_LABOR_HOURS)*TEMP_HOURLY_RATE-FIXED_SEASON_COST)</f>
        <v>12900.4278605103</v>
      </c>
      <c r="K200" s="53" t="n">
        <f aca="false">IF(OR($A200&gt;TOMATO_BED_CAP,$B200&gt;CARROT_BED_CAP,K$4&gt;MESCLUN_BED_CAP,$A200+$B200+K$4&gt;TOTAL_BEDS_AVAILABLE,($D200+K$5)&gt;TOTAL_LABOR_HOURS_CAP,MAX(0,($D200+K$5)-PERMANENT_FIELD_LABOR_HOURS)&gt;TEMP_HOURS_CAP),"",$C200+K$6-MIN(($D200+K$5),PERMANENT_FIELD_LABOR_HOURS)*PERMANENT_HOURLY_RATE-MAX(0,($D200+K$5)-PERMANENT_FIELD_LABOR_HOURS)*TEMP_HOURLY_RATE-FIXED_SEASON_COST)</f>
        <v>13848.1169572382</v>
      </c>
      <c r="L200" s="53" t="n">
        <f aca="false">IF(OR($A200&gt;TOMATO_BED_CAP,$B200&gt;CARROT_BED_CAP,L$4&gt;MESCLUN_BED_CAP,$A200+$B200+L$4&gt;TOTAL_BEDS_AVAILABLE,($D200+L$5)&gt;TOTAL_LABOR_HOURS_CAP,MAX(0,($D200+L$5)-PERMANENT_FIELD_LABOR_HOURS)&gt;TEMP_HOURS_CAP),"",$C200+L$6-MIN(($D200+L$5),PERMANENT_FIELD_LABOR_HOURS)*PERMANENT_HOURLY_RATE-MAX(0,($D200+L$5)-PERMANENT_FIELD_LABOR_HOURS)*TEMP_HOURLY_RATE-FIXED_SEASON_COST)</f>
        <v>14774.5114054451</v>
      </c>
      <c r="M200" s="53" t="n">
        <f aca="false">IF(OR($A200&gt;TOMATO_BED_CAP,$B200&gt;CARROT_BED_CAP,M$4&gt;MESCLUN_BED_CAP,$A200+$B200+M$4&gt;TOTAL_BEDS_AVAILABLE,($D200+M$5)&gt;TOTAL_LABOR_HOURS_CAP,MAX(0,($D200+M$5)-PERMANENT_FIELD_LABOR_HOURS)&gt;TEMP_HOURS_CAP),"",$C200+M$6-MIN(($D200+M$5),PERMANENT_FIELD_LABOR_HOURS)*PERMANENT_HOURLY_RATE-MAX(0,($D200+M$5)-PERMANENT_FIELD_LABOR_HOURS)*TEMP_HOURLY_RATE-FIXED_SEASON_COST)</f>
        <v>15679.2151374965</v>
      </c>
      <c r="N200" s="53" t="n">
        <f aca="false">IF(OR($A200&gt;TOMATO_BED_CAP,$B200&gt;CARROT_BED_CAP,N$4&gt;MESCLUN_BED_CAP,$A200+$B200+N$4&gt;TOTAL_BEDS_AVAILABLE,($D200+N$5)&gt;TOTAL_LABOR_HOURS_CAP,MAX(0,($D200+N$5)-PERMANENT_FIELD_LABOR_HOURS)&gt;TEMP_HOURS_CAP),"",$C200+N$6-MIN(($D200+N$5),PERMANENT_FIELD_LABOR_HOURS)*PERMANENT_HOURLY_RATE-MAX(0,($D200+N$5)-PERMANENT_FIELD_LABOR_HOURS)*TEMP_HOURLY_RATE-FIXED_SEASON_COST)</f>
        <v>16561.825511356</v>
      </c>
      <c r="O200" s="53" t="n">
        <f aca="false">IF(OR($A200&gt;TOMATO_BED_CAP,$B200&gt;CARROT_BED_CAP,O$4&gt;MESCLUN_BED_CAP,$A200+$B200+O$4&gt;TOTAL_BEDS_AVAILABLE,($D200+O$5)&gt;TOTAL_LABOR_HOURS_CAP,MAX(0,($D200+O$5)-PERMANENT_FIELD_LABOR_HOURS)&gt;TEMP_HOURS_CAP),"",$C200+O$6-MIN(($D200+O$5),PERMANENT_FIELD_LABOR_HOURS)*PERMANENT_HOURLY_RATE-MAX(0,($D200+O$5)-PERMANENT_FIELD_LABOR_HOURS)*TEMP_HOURLY_RATE-FIXED_SEASON_COST)</f>
        <v>17421.9332081108</v>
      </c>
      <c r="P200" s="53" t="n">
        <f aca="false">IF(OR($A200&gt;TOMATO_BED_CAP,$B200&gt;CARROT_BED_CAP,P$4&gt;MESCLUN_BED_CAP,$A200+$B200+P$4&gt;TOTAL_BEDS_AVAILABLE,($D200+P$5)&gt;TOTAL_LABOR_HOURS_CAP,MAX(0,($D200+P$5)-PERMANENT_FIELD_LABOR_HOURS)&gt;TEMP_HOURS_CAP),"",$C200+P$6-MIN(($D200+P$5),PERMANENT_FIELD_LABOR_HOURS)*PERMANENT_HOURLY_RATE-MAX(0,($D200+P$5)-PERMANENT_FIELD_LABOR_HOURS)*TEMP_HOURLY_RATE-FIXED_SEASON_COST)</f>
        <v>18259.1221279622</v>
      </c>
      <c r="Q200" s="53" t="n">
        <f aca="false">IF(OR($A200&gt;TOMATO_BED_CAP,$B200&gt;CARROT_BED_CAP,Q$4&gt;MESCLUN_BED_CAP,$A200+$B200+Q$4&gt;TOTAL_BEDS_AVAILABLE,($D200+Q$5)&gt;TOTAL_LABOR_HOURS_CAP,MAX(0,($D200+Q$5)-PERMANENT_FIELD_LABOR_HOURS)&gt;TEMP_HOURS_CAP),"",$C200+Q$6-MIN(($D200+Q$5),PERMANENT_FIELD_LABOR_HOURS)*PERMANENT_HOURLY_RATE-MAX(0,($D200+Q$5)-PERMANENT_FIELD_LABOR_HOURS)*TEMP_HOURLY_RATE-FIXED_SEASON_COST)</f>
        <v>19072.9692846601</v>
      </c>
      <c r="R200" s="53" t="n">
        <f aca="false">IF(OR($A200&gt;TOMATO_BED_CAP,$B200&gt;CARROT_BED_CAP,R$4&gt;MESCLUN_BED_CAP,$A200+$B200+R$4&gt;TOTAL_BEDS_AVAILABLE,($D200+R$5)&gt;TOTAL_LABOR_HOURS_CAP,MAX(0,($D200+R$5)-PERMANENT_FIELD_LABOR_HOURS)&gt;TEMP_HOURS_CAP),"",$C200+R$6-MIN(($D200+R$5),PERMANENT_FIELD_LABOR_HOURS)*PERMANENT_HOURLY_RATE-MAX(0,($D200+R$5)-PERMANENT_FIELD_LABOR_HOURS)*TEMP_HOURLY_RATE-FIXED_SEASON_COST)</f>
        <v>19863.0446983569</v>
      </c>
      <c r="S200" s="53" t="n">
        <f aca="false">IF(OR($A200&gt;TOMATO_BED_CAP,$B200&gt;CARROT_BED_CAP,S$4&gt;MESCLUN_BED_CAP,$A200+$B200+S$4&gt;TOTAL_BEDS_AVAILABLE,($D200+S$5)&gt;TOTAL_LABOR_HOURS_CAP,MAX(0,($D200+S$5)-PERMANENT_FIELD_LABOR_HOURS)&gt;TEMP_HOURS_CAP),"",$C200+S$6-MIN(($D200+S$5),PERMANENT_FIELD_LABOR_HOURS)*PERMANENT_HOURLY_RATE-MAX(0,($D200+S$5)-PERMANENT_FIELD_LABOR_HOURS)*TEMP_HOURLY_RATE-FIXED_SEASON_COST)</f>
        <v>20628.9112868594</v>
      </c>
      <c r="T200" s="53" t="n">
        <f aca="false">IF(OR($A200&gt;TOMATO_BED_CAP,$B200&gt;CARROT_BED_CAP,T$4&gt;MESCLUN_BED_CAP,$A200+$B200+T$4&gt;TOTAL_BEDS_AVAILABLE,($D200+T$5)&gt;TOTAL_LABOR_HOURS_CAP,MAX(0,($D200+T$5)-PERMANENT_FIELD_LABOR_HOURS)&gt;TEMP_HOURS_CAP),"",$C200+T$6-MIN(($D200+T$5),PERMANENT_FIELD_LABOR_HOURS)*PERMANENT_HOURLY_RATE-MAX(0,($D200+T$5)-PERMANENT_FIELD_LABOR_HOURS)*TEMP_HOURLY_RATE-FIXED_SEASON_COST)</f>
        <v>21370.1247552542</v>
      </c>
      <c r="U200" s="53" t="n">
        <f aca="false">IF(OR($A200&gt;TOMATO_BED_CAP,$B200&gt;CARROT_BED_CAP,U$4&gt;MESCLUN_BED_CAP,$A200+$B200+U$4&gt;TOTAL_BEDS_AVAILABLE,($D200+U$5)&gt;TOTAL_LABOR_HOURS_CAP,MAX(0,($D200+U$5)-PERMANENT_FIELD_LABOR_HOURS)&gt;TEMP_HOURS_CAP),"",$C200+U$6-MIN(($D200+U$5),PERMANENT_FIELD_LABOR_HOURS)*PERMANENT_HOURLY_RATE-MAX(0,($D200+U$5)-PERMANENT_FIELD_LABOR_HOURS)*TEMP_HOURLY_RATE-FIXED_SEASON_COST)</f>
        <v>22086.2334838843</v>
      </c>
      <c r="V200" s="53" t="n">
        <f aca="false">IF(OR($A200&gt;TOMATO_BED_CAP,$B200&gt;CARROT_BED_CAP,V$4&gt;MESCLUN_BED_CAP,$A200+$B200+V$4&gt;TOTAL_BEDS_AVAILABLE,($D200+V$5)&gt;TOTAL_LABOR_HOURS_CAP,MAX(0,($D200+V$5)-PERMANENT_FIELD_LABOR_HOURS)&gt;TEMP_HOURS_CAP),"",$C200+V$6-MIN(($D200+V$5),PERMANENT_FIELD_LABOR_HOURS)*PERMANENT_HOURLY_RATE-MAX(0,($D200+V$5)-PERMANENT_FIELD_LABOR_HOURS)*TEMP_HOURLY_RATE-FIXED_SEASON_COST)</f>
        <v>22776.7784146511</v>
      </c>
      <c r="W200" s="53" t="n">
        <f aca="false">IF(OR($A200&gt;TOMATO_BED_CAP,$B200&gt;CARROT_BED_CAP,W$4&gt;MESCLUN_BED_CAP,$A200+$B200+W$4&gt;TOTAL_BEDS_AVAILABLE,($D200+W$5)&gt;TOTAL_LABOR_HOURS_CAP,MAX(0,($D200+W$5)-PERMANENT_FIELD_LABOR_HOURS)&gt;TEMP_HOURS_CAP),"",$C200+W$6-MIN(($D200+W$5),PERMANENT_FIELD_LABOR_HOURS)*PERMANENT_HOURLY_RATE-MAX(0,($D200+W$5)-PERMANENT_FIELD_LABOR_HOURS)*TEMP_HOURLY_RATE-FIXED_SEASON_COST)</f>
        <v>23441.2929356191</v>
      </c>
      <c r="X200" s="53" t="n">
        <f aca="false">IF(OR($A200&gt;TOMATO_BED_CAP,$B200&gt;CARROT_BED_CAP,X$4&gt;MESCLUN_BED_CAP,$A200+$B200+X$4&gt;TOTAL_BEDS_AVAILABLE,($D200+X$5)&gt;TOTAL_LABOR_HOURS_CAP,MAX(0,($D200+X$5)-PERMANENT_FIELD_LABOR_HOURS)&gt;TEMP_HOURS_CAP),"",$C200+X$6-MIN(($D200+X$5),PERMANENT_FIELD_LABOR_HOURS)*PERMANENT_HOURLY_RATE-MAX(0,($D200+X$5)-PERMANENT_FIELD_LABOR_HOURS)*TEMP_HOURLY_RATE-FIXED_SEASON_COST)</f>
        <v>24079.3027638981</v>
      </c>
      <c r="Y200" s="53" t="n">
        <f aca="false">IF(OR($A200&gt;TOMATO_BED_CAP,$B200&gt;CARROT_BED_CAP,Y$4&gt;MESCLUN_BED_CAP,$A200+$B200+Y$4&gt;TOTAL_BEDS_AVAILABLE,($D200+Y$5)&gt;TOTAL_LABOR_HOURS_CAP,MAX(0,($D200+Y$5)-PERMANENT_FIELD_LABOR_HOURS)&gt;TEMP_HOURS_CAP),"",$C200+Y$6-MIN(($D200+Y$5),PERMANENT_FIELD_LABOR_HOURS)*PERMANENT_HOURLY_RATE-MAX(0,($D200+Y$5)-PERMANENT_FIELD_LABOR_HOURS)*TEMP_HOURLY_RATE-FIXED_SEASON_COST)</f>
        <v>24690.3258267767</v>
      </c>
      <c r="Z200" s="53" t="n">
        <f aca="false">IF(OR($A200&gt;TOMATO_BED_CAP,$B200&gt;CARROT_BED_CAP,Z$4&gt;MESCLUN_BED_CAP,$A200+$B200+Z$4&gt;TOTAL_BEDS_AVAILABLE,($D200+Z$5)&gt;TOTAL_LABOR_HOURS_CAP,MAX(0,($D200+Z$5)-PERMANENT_FIELD_LABOR_HOURS)&gt;TEMP_HOURS_CAP),"",$C200+Z$6-MIN(($D200+Z$5),PERMANENT_FIELD_LABOR_HOURS)*PERMANENT_HOURLY_RATE-MAX(0,($D200+Z$5)-PERMANENT_FIELD_LABOR_HOURS)*TEMP_HOURLY_RATE-FIXED_SEASON_COST)</f>
        <v>25273.8721410845</v>
      </c>
      <c r="AA200" s="53" t="n">
        <f aca="false">IF(OR($A200&gt;TOMATO_BED_CAP,$B200&gt;CARROT_BED_CAP,AA$4&gt;MESCLUN_BED_CAP,$A200+$B200+AA$4&gt;TOTAL_BEDS_AVAILABLE,($D200+AA$5)&gt;TOTAL_LABOR_HOURS_CAP,MAX(0,($D200+AA$5)-PERMANENT_FIELD_LABOR_HOURS)&gt;TEMP_HOURS_CAP),"",$C200+AA$6-MIN(($D200+AA$5),PERMANENT_FIELD_LABOR_HOURS)*PERMANENT_HOURLY_RATE-MAX(0,($D200+AA$5)-PERMANENT_FIELD_LABOR_HOURS)*TEMP_HOURLY_RATE-FIXED_SEASON_COST)</f>
        <v>25829.4436907534</v>
      </c>
      <c r="AB200" s="53" t="n">
        <f aca="false">IF(OR($A200&gt;TOMATO_BED_CAP,$B200&gt;CARROT_BED_CAP,AB$4&gt;MESCLUN_BED_CAP,$A200+$B200+AB$4&gt;TOTAL_BEDS_AVAILABLE,($D200+AB$5)&gt;TOTAL_LABOR_HOURS_CAP,MAX(0,($D200+AB$5)-PERMANENT_FIELD_LABOR_HOURS)&gt;TEMP_HOURS_CAP),"",$C200+AB$6-MIN(($D200+AB$5),PERMANENT_FIELD_LABOR_HOURS)*PERMANENT_HOURLY_RATE-MAX(0,($D200+AB$5)-PERMANENT_FIELD_LABOR_HOURS)*TEMP_HOURLY_RATE-FIXED_SEASON_COST)</f>
        <v>26356.534302556</v>
      </c>
      <c r="AC200" s="53" t="n">
        <f aca="false">IF(OR($A200&gt;TOMATO_BED_CAP,$B200&gt;CARROT_BED_CAP,AC$4&gt;MESCLUN_BED_CAP,$A200+$B200+AC$4&gt;TOTAL_BEDS_AVAILABLE,($D200+AC$5)&gt;TOTAL_LABOR_HOURS_CAP,MAX(0,($D200+AC$5)-PERMANENT_FIELD_LABOR_HOURS)&gt;TEMP_HOURS_CAP),"",$C200+AC$6-MIN(($D200+AC$5),PERMANENT_FIELD_LABOR_HOURS)*PERMANENT_HOURLY_RATE-MAX(0,($D200+AC$5)-PERMANENT_FIELD_LABOR_HOURS)*TEMP_HOURLY_RATE-FIXED_SEASON_COST)</f>
        <v>26854.6295199909</v>
      </c>
      <c r="AD200" s="53" t="n">
        <f aca="false">IF(OR($A200&gt;TOMATO_BED_CAP,$B200&gt;CARROT_BED_CAP,AD$4&gt;MESCLUN_BED_CAP,$A200+$B200+AD$4&gt;TOTAL_BEDS_AVAILABLE,($D200+AD$5)&gt;TOTAL_LABOR_HOURS_CAP,MAX(0,($D200+AD$5)-PERMANENT_FIELD_LABOR_HOURS)&gt;TEMP_HOURS_CAP),"",$C200+AD$6-MIN(($D200+AD$5),PERMANENT_FIELD_LABOR_HOURS)*PERMANENT_HOURLY_RATE-MAX(0,($D200+AD$5)-PERMANENT_FIELD_LABOR_HOURS)*TEMP_HOURLY_RATE-FIXED_SEASON_COST)</f>
        <v>27323.2064752908</v>
      </c>
      <c r="AE200" s="53" t="n">
        <f aca="false">IF(OR($A200&gt;TOMATO_BED_CAP,$B200&gt;CARROT_BED_CAP,AE$4&gt;MESCLUN_BED_CAP,$A200+$B200+AE$4&gt;TOTAL_BEDS_AVAILABLE,($D200+AE$5)&gt;TOTAL_LABOR_HOURS_CAP,MAX(0,($D200+AE$5)-PERMANENT_FIELD_LABOR_HOURS)&gt;TEMP_HOURS_CAP),"",$C200+AE$6-MIN(($D200+AE$5),PERMANENT_FIELD_LABOR_HOURS)*PERMANENT_HOURLY_RATE-MAX(0,($D200+AE$5)-PERMANENT_FIELD_LABOR_HOURS)*TEMP_HOURLY_RATE-FIXED_SEASON_COST)</f>
        <v>27761.7337595247</v>
      </c>
      <c r="AF200" s="53" t="n">
        <f aca="false">IF(OR($A200&gt;TOMATO_BED_CAP,$B200&gt;CARROT_BED_CAP,AF$4&gt;MESCLUN_BED_CAP,$A200+$B200+AF$4&gt;TOTAL_BEDS_AVAILABLE,($D200+AF$5)&gt;TOTAL_LABOR_HOURS_CAP,MAX(0,($D200+AF$5)-PERMANENT_FIELD_LABOR_HOURS)&gt;TEMP_HOURS_CAP),"",$C200+AF$6-MIN(($D200+AF$5),PERMANENT_FIELD_LABOR_HOURS)*PERMANENT_HOURLY_RATE-MAX(0,($D200+AF$5)-PERMANENT_FIELD_LABOR_HOURS)*TEMP_HOURLY_RATE-FIXED_SEASON_COST)</f>
        <v>28169.6712907667</v>
      </c>
      <c r="AG200" s="53" t="n">
        <f aca="false">IF(OR($A200&gt;TOMATO_BED_CAP,$B200&gt;CARROT_BED_CAP,AG$4&gt;MESCLUN_BED_CAP,$A200+$B200+AG$4&gt;TOTAL_BEDS_AVAILABLE,($D200+AG$5)&gt;TOTAL_LABOR_HOURS_CAP,MAX(0,($D200+AG$5)-PERMANENT_FIELD_LABOR_HOURS)&gt;TEMP_HOURS_CAP),"",$C200+AG$6-MIN(($D200+AG$5),PERMANENT_FIELD_LABOR_HOURS)*PERMANENT_HOURLY_RATE-MAX(0,($D200+AG$5)-PERMANENT_FIELD_LABOR_HOURS)*TEMP_HOURLY_RATE-FIXED_SEASON_COST)</f>
        <v>28546.4701803037</v>
      </c>
      <c r="AH200" s="53" t="n">
        <f aca="false">IF(OR($A200&gt;TOMATO_BED_CAP,$B200&gt;CARROT_BED_CAP,AH$4&gt;MESCLUN_BED_CAP,$A200+$B200+AH$4&gt;TOTAL_BEDS_AVAILABLE,($D200+AH$5)&gt;TOTAL_LABOR_HOURS_CAP,MAX(0,($D200+AH$5)-PERMANENT_FIELD_LABOR_HOURS)&gt;TEMP_HOURS_CAP),"",$C200+AH$6-MIN(($D200+AH$5),PERMANENT_FIELD_LABOR_HOURS)*PERMANENT_HOURLY_RATE-MAX(0,($D200+AH$5)-PERMANENT_FIELD_LABOR_HOURS)*TEMP_HOURLY_RATE-FIXED_SEASON_COST)</f>
        <v>28891.5725968539</v>
      </c>
      <c r="AI200" s="53" t="n">
        <f aca="false">IF(OR($A200&gt;TOMATO_BED_CAP,$B200&gt;CARROT_BED_CAP,AI$4&gt;MESCLUN_BED_CAP,$A200+$B200+AI$4&gt;TOTAL_BEDS_AVAILABLE,($D200+AI$5)&gt;TOTAL_LABOR_HOURS_CAP,MAX(0,($D200+AI$5)-PERMANENT_FIELD_LABOR_HOURS)&gt;TEMP_HOURS_CAP),"",$C200+AI$6-MIN(($D200+AI$5),PERMANENT_FIELD_LABOR_HOURS)*PERMANENT_HOURLY_RATE-MAX(0,($D200+AI$5)-PERMANENT_FIELD_LABOR_HOURS)*TEMP_HOURLY_RATE-FIXED_SEASON_COST)</f>
        <v>29204.4116287662</v>
      </c>
      <c r="AJ200" s="53" t="n">
        <f aca="false">IF(OR($A200&gt;TOMATO_BED_CAP,$B200&gt;CARROT_BED_CAP,AJ$4&gt;MESCLUN_BED_CAP,$A200+$B200+AJ$4&gt;TOTAL_BEDS_AVAILABLE,($D200+AJ$5)&gt;TOTAL_LABOR_HOURS_CAP,MAX(0,($D200+AJ$5)-PERMANENT_FIELD_LABOR_HOURS)&gt;TEMP_HOURS_CAP),"",$C200+AJ$6-MIN(($D200+AJ$5),PERMANENT_FIELD_LABOR_HOURS)*PERMANENT_HOURLY_RATE-MAX(0,($D200+AJ$5)-PERMANENT_FIELD_LABOR_HOURS)*TEMP_HOURLY_RATE-FIXED_SEASON_COST)</f>
        <v>29484.4111441719</v>
      </c>
    </row>
    <row r="201" customFormat="false" ht="15" hidden="false" customHeight="false" outlineLevel="0" collapsed="false">
      <c r="A201" s="21" t="n">
        <f aca="false">INT((ROW()-ROW($A$8))/(20+1))</f>
        <v>9</v>
      </c>
      <c r="B201" s="21" t="n">
        <f aca="false">MOD(ROW()-ROW($A$8),20+1)</f>
        <v>4</v>
      </c>
      <c r="C201" s="13" t="n">
        <f aca="false">A201*(TOMATO_REVENUE_PER_BED-TOMATO_FERTILIZER_PER_BED)+B201*(CARROT_REVENUE_PER_BED-CARROT_FERTILIZER_PER_BED)</f>
        <v>77896</v>
      </c>
      <c r="D201" s="14" t="n">
        <f aca="false">INDEX(TOMATO_SCHED_LABOR_HRS,A201+1)+INDEX(CARROT_SCHED_LABOR_HRS,B201+1)</f>
        <v>2042.34219356625</v>
      </c>
      <c r="E201" s="13" t="n">
        <f aca="false">IF(COUNT(F201:AJ201)=0,"",MAX(F201:AJ201))</f>
        <v>30521.7288145624</v>
      </c>
      <c r="F201" s="53" t="n">
        <f aca="false">IF(OR($A201&gt;TOMATO_BED_CAP,$B201&gt;CARROT_BED_CAP,F$4&gt;MESCLUN_BED_CAP,$A201+$B201+F$4&gt;TOTAL_BEDS_AVAILABLE,($D201+F$5)&gt;TOTAL_LABOR_HOURS_CAP,MAX(0,($D201+F$5)-PERMANENT_FIELD_LABOR_HOURS)&gt;TEMP_HOURS_CAP),"",$C201+F$6-MIN(($D201+F$5),PERMANENT_FIELD_LABOR_HOURS)*PERMANENT_HOURLY_RATE-MAX(0,($D201+F$5)-PERMANENT_FIELD_LABOR_HOURS)*TEMP_HOURLY_RATE-FIXED_SEASON_COST)</f>
        <v>9941.73951968988</v>
      </c>
      <c r="G201" s="53" t="n">
        <f aca="false">IF(OR($A201&gt;TOMATO_BED_CAP,$B201&gt;CARROT_BED_CAP,G$4&gt;MESCLUN_BED_CAP,$A201+$B201+G$4&gt;TOTAL_BEDS_AVAILABLE,($D201+G$5)&gt;TOTAL_LABOR_HOURS_CAP,MAX(0,($D201+G$5)-PERMANENT_FIELD_LABOR_HOURS)&gt;TEMP_HOURS_CAP),"",$C201+G$6-MIN(($D201+G$5),PERMANENT_FIELD_LABOR_HOURS)*PERMANENT_HOURLY_RATE-MAX(0,($D201+G$5)-PERMANENT_FIELD_LABOR_HOURS)*TEMP_HOURLY_RATE-FIXED_SEASON_COST)</f>
        <v>10970.7745196899</v>
      </c>
      <c r="H201" s="53" t="n">
        <f aca="false">IF(OR($A201&gt;TOMATO_BED_CAP,$B201&gt;CARROT_BED_CAP,H$4&gt;MESCLUN_BED_CAP,$A201+$B201+H$4&gt;TOTAL_BEDS_AVAILABLE,($D201+H$5)&gt;TOTAL_LABOR_HOURS_CAP,MAX(0,($D201+H$5)-PERMANENT_FIELD_LABOR_HOURS)&gt;TEMP_HOURS_CAP),"",$C201+H$6-MIN(($D201+H$5),PERMANENT_FIELD_LABOR_HOURS)*PERMANENT_HOURLY_RATE-MAX(0,($D201+H$5)-PERMANENT_FIELD_LABOR_HOURS)*TEMP_HOURLY_RATE-FIXED_SEASON_COST)</f>
        <v>11980.0353946899</v>
      </c>
      <c r="I201" s="53" t="n">
        <f aca="false">IF(OR($A201&gt;TOMATO_BED_CAP,$B201&gt;CARROT_BED_CAP,I$4&gt;MESCLUN_BED_CAP,$A201+$B201+I$4&gt;TOTAL_BEDS_AVAILABLE,($D201+I$5)&gt;TOTAL_LABOR_HOURS_CAP,MAX(0,($D201+I$5)-PERMANENT_FIELD_LABOR_HOURS)&gt;TEMP_HOURS_CAP),"",$C201+I$6-MIN(($D201+I$5),PERMANENT_FIELD_LABOR_HOURS)*PERMANENT_HOURLY_RATE-MAX(0,($D201+I$5)-PERMANENT_FIELD_LABOR_HOURS)*TEMP_HOURLY_RATE-FIXED_SEASON_COST)</f>
        <v>12969.1513798461</v>
      </c>
      <c r="J201" s="53" t="n">
        <f aca="false">IF(OR($A201&gt;TOMATO_BED_CAP,$B201&gt;CARROT_BED_CAP,J$4&gt;MESCLUN_BED_CAP,$A201+$B201+J$4&gt;TOTAL_BEDS_AVAILABLE,($D201+J$5)&gt;TOTAL_LABOR_HOURS_CAP,MAX(0,($D201+J$5)-PERMANENT_FIELD_LABOR_HOURS)&gt;TEMP_HOURS_CAP),"",$C201+J$6-MIN(($D201+J$5),PERMANENT_FIELD_LABOR_HOURS)*PERMANENT_HOURLY_RATE-MAX(0,($D201+J$5)-PERMANENT_FIELD_LABOR_HOURS)*TEMP_HOURLY_RATE-FIXED_SEASON_COST)</f>
        <v>13937.7455309008</v>
      </c>
      <c r="K201" s="53" t="n">
        <f aca="false">IF(OR($A201&gt;TOMATO_BED_CAP,$B201&gt;CARROT_BED_CAP,K$4&gt;MESCLUN_BED_CAP,$A201+$B201+K$4&gt;TOTAL_BEDS_AVAILABLE,($D201+K$5)&gt;TOTAL_LABOR_HOURS_CAP,MAX(0,($D201+K$5)-PERMANENT_FIELD_LABOR_HOURS)&gt;TEMP_HOURS_CAP),"",$C201+K$6-MIN(($D201+K$5),PERMANENT_FIELD_LABOR_HOURS)*PERMANENT_HOURLY_RATE-MAX(0,($D201+K$5)-PERMANENT_FIELD_LABOR_HOURS)*TEMP_HOURLY_RATE-FIXED_SEASON_COST)</f>
        <v>14885.4346276287</v>
      </c>
      <c r="L201" s="53" t="n">
        <f aca="false">IF(OR($A201&gt;TOMATO_BED_CAP,$B201&gt;CARROT_BED_CAP,L$4&gt;MESCLUN_BED_CAP,$A201+$B201+L$4&gt;TOTAL_BEDS_AVAILABLE,($D201+L$5)&gt;TOTAL_LABOR_HOURS_CAP,MAX(0,($D201+L$5)-PERMANENT_FIELD_LABOR_HOURS)&gt;TEMP_HOURS_CAP),"",$C201+L$6-MIN(($D201+L$5),PERMANENT_FIELD_LABOR_HOURS)*PERMANENT_HOURLY_RATE-MAX(0,($D201+L$5)-PERMANENT_FIELD_LABOR_HOURS)*TEMP_HOURLY_RATE-FIXED_SEASON_COST)</f>
        <v>15811.8290758356</v>
      </c>
      <c r="M201" s="53" t="n">
        <f aca="false">IF(OR($A201&gt;TOMATO_BED_CAP,$B201&gt;CARROT_BED_CAP,M$4&gt;MESCLUN_BED_CAP,$A201+$B201+M$4&gt;TOTAL_BEDS_AVAILABLE,($D201+M$5)&gt;TOTAL_LABOR_HOURS_CAP,MAX(0,($D201+M$5)-PERMANENT_FIELD_LABOR_HOURS)&gt;TEMP_HOURS_CAP),"",$C201+M$6-MIN(($D201+M$5),PERMANENT_FIELD_LABOR_HOURS)*PERMANENT_HOURLY_RATE-MAX(0,($D201+M$5)-PERMANENT_FIELD_LABOR_HOURS)*TEMP_HOURLY_RATE-FIXED_SEASON_COST)</f>
        <v>16716.532807887</v>
      </c>
      <c r="N201" s="53" t="n">
        <f aca="false">IF(OR($A201&gt;TOMATO_BED_CAP,$B201&gt;CARROT_BED_CAP,N$4&gt;MESCLUN_BED_CAP,$A201+$B201+N$4&gt;TOTAL_BEDS_AVAILABLE,($D201+N$5)&gt;TOTAL_LABOR_HOURS_CAP,MAX(0,($D201+N$5)-PERMANENT_FIELD_LABOR_HOURS)&gt;TEMP_HOURS_CAP),"",$C201+N$6-MIN(($D201+N$5),PERMANENT_FIELD_LABOR_HOURS)*PERMANENT_HOURLY_RATE-MAX(0,($D201+N$5)-PERMANENT_FIELD_LABOR_HOURS)*TEMP_HOURLY_RATE-FIXED_SEASON_COST)</f>
        <v>17599.1431817465</v>
      </c>
      <c r="O201" s="53" t="n">
        <f aca="false">IF(OR($A201&gt;TOMATO_BED_CAP,$B201&gt;CARROT_BED_CAP,O$4&gt;MESCLUN_BED_CAP,$A201+$B201+O$4&gt;TOTAL_BEDS_AVAILABLE,($D201+O$5)&gt;TOTAL_LABOR_HOURS_CAP,MAX(0,($D201+O$5)-PERMANENT_FIELD_LABOR_HOURS)&gt;TEMP_HOURS_CAP),"",$C201+O$6-MIN(($D201+O$5),PERMANENT_FIELD_LABOR_HOURS)*PERMANENT_HOURLY_RATE-MAX(0,($D201+O$5)-PERMANENT_FIELD_LABOR_HOURS)*TEMP_HOURLY_RATE-FIXED_SEASON_COST)</f>
        <v>18459.2508785013</v>
      </c>
      <c r="P201" s="53" t="n">
        <f aca="false">IF(OR($A201&gt;TOMATO_BED_CAP,$B201&gt;CARROT_BED_CAP,P$4&gt;MESCLUN_BED_CAP,$A201+$B201+P$4&gt;TOTAL_BEDS_AVAILABLE,($D201+P$5)&gt;TOTAL_LABOR_HOURS_CAP,MAX(0,($D201+P$5)-PERMANENT_FIELD_LABOR_HOURS)&gt;TEMP_HOURS_CAP),"",$C201+P$6-MIN(($D201+P$5),PERMANENT_FIELD_LABOR_HOURS)*PERMANENT_HOURLY_RATE-MAX(0,($D201+P$5)-PERMANENT_FIELD_LABOR_HOURS)*TEMP_HOURLY_RATE-FIXED_SEASON_COST)</f>
        <v>19296.4397983527</v>
      </c>
      <c r="Q201" s="53" t="n">
        <f aca="false">IF(OR($A201&gt;TOMATO_BED_CAP,$B201&gt;CARROT_BED_CAP,Q$4&gt;MESCLUN_BED_CAP,$A201+$B201+Q$4&gt;TOTAL_BEDS_AVAILABLE,($D201+Q$5)&gt;TOTAL_LABOR_HOURS_CAP,MAX(0,($D201+Q$5)-PERMANENT_FIELD_LABOR_HOURS)&gt;TEMP_HOURS_CAP),"",$C201+Q$6-MIN(($D201+Q$5),PERMANENT_FIELD_LABOR_HOURS)*PERMANENT_HOURLY_RATE-MAX(0,($D201+Q$5)-PERMANENT_FIELD_LABOR_HOURS)*TEMP_HOURLY_RATE-FIXED_SEASON_COST)</f>
        <v>20110.2869550506</v>
      </c>
      <c r="R201" s="53" t="n">
        <f aca="false">IF(OR($A201&gt;TOMATO_BED_CAP,$B201&gt;CARROT_BED_CAP,R$4&gt;MESCLUN_BED_CAP,$A201+$B201+R$4&gt;TOTAL_BEDS_AVAILABLE,($D201+R$5)&gt;TOTAL_LABOR_HOURS_CAP,MAX(0,($D201+R$5)-PERMANENT_FIELD_LABOR_HOURS)&gt;TEMP_HOURS_CAP),"",$C201+R$6-MIN(($D201+R$5),PERMANENT_FIELD_LABOR_HOURS)*PERMANENT_HOURLY_RATE-MAX(0,($D201+R$5)-PERMANENT_FIELD_LABOR_HOURS)*TEMP_HOURLY_RATE-FIXED_SEASON_COST)</f>
        <v>20900.3623687474</v>
      </c>
      <c r="S201" s="53" t="n">
        <f aca="false">IF(OR($A201&gt;TOMATO_BED_CAP,$B201&gt;CARROT_BED_CAP,S$4&gt;MESCLUN_BED_CAP,$A201+$B201+S$4&gt;TOTAL_BEDS_AVAILABLE,($D201+S$5)&gt;TOTAL_LABOR_HOURS_CAP,MAX(0,($D201+S$5)-PERMANENT_FIELD_LABOR_HOURS)&gt;TEMP_HOURS_CAP),"",$C201+S$6-MIN(($D201+S$5),PERMANENT_FIELD_LABOR_HOURS)*PERMANENT_HOURLY_RATE-MAX(0,($D201+S$5)-PERMANENT_FIELD_LABOR_HOURS)*TEMP_HOURLY_RATE-FIXED_SEASON_COST)</f>
        <v>21666.2289572499</v>
      </c>
      <c r="T201" s="53" t="n">
        <f aca="false">IF(OR($A201&gt;TOMATO_BED_CAP,$B201&gt;CARROT_BED_CAP,T$4&gt;MESCLUN_BED_CAP,$A201+$B201+T$4&gt;TOTAL_BEDS_AVAILABLE,($D201+T$5)&gt;TOTAL_LABOR_HOURS_CAP,MAX(0,($D201+T$5)-PERMANENT_FIELD_LABOR_HOURS)&gt;TEMP_HOURS_CAP),"",$C201+T$6-MIN(($D201+T$5),PERMANENT_FIELD_LABOR_HOURS)*PERMANENT_HOURLY_RATE-MAX(0,($D201+T$5)-PERMANENT_FIELD_LABOR_HOURS)*TEMP_HOURLY_RATE-FIXED_SEASON_COST)</f>
        <v>22407.4424256447</v>
      </c>
      <c r="U201" s="53" t="n">
        <f aca="false">IF(OR($A201&gt;TOMATO_BED_CAP,$B201&gt;CARROT_BED_CAP,U$4&gt;MESCLUN_BED_CAP,$A201+$B201+U$4&gt;TOTAL_BEDS_AVAILABLE,($D201+U$5)&gt;TOTAL_LABOR_HOURS_CAP,MAX(0,($D201+U$5)-PERMANENT_FIELD_LABOR_HOURS)&gt;TEMP_HOURS_CAP),"",$C201+U$6-MIN(($D201+U$5),PERMANENT_FIELD_LABOR_HOURS)*PERMANENT_HOURLY_RATE-MAX(0,($D201+U$5)-PERMANENT_FIELD_LABOR_HOURS)*TEMP_HOURLY_RATE-FIXED_SEASON_COST)</f>
        <v>23123.5511542748</v>
      </c>
      <c r="V201" s="53" t="n">
        <f aca="false">IF(OR($A201&gt;TOMATO_BED_CAP,$B201&gt;CARROT_BED_CAP,V$4&gt;MESCLUN_BED_CAP,$A201+$B201+V$4&gt;TOTAL_BEDS_AVAILABLE,($D201+V$5)&gt;TOTAL_LABOR_HOURS_CAP,MAX(0,($D201+V$5)-PERMANENT_FIELD_LABOR_HOURS)&gt;TEMP_HOURS_CAP),"",$C201+V$6-MIN(($D201+V$5),PERMANENT_FIELD_LABOR_HOURS)*PERMANENT_HOURLY_RATE-MAX(0,($D201+V$5)-PERMANENT_FIELD_LABOR_HOURS)*TEMP_HOURLY_RATE-FIXED_SEASON_COST)</f>
        <v>23814.0960850416</v>
      </c>
      <c r="W201" s="53" t="n">
        <f aca="false">IF(OR($A201&gt;TOMATO_BED_CAP,$B201&gt;CARROT_BED_CAP,W$4&gt;MESCLUN_BED_CAP,$A201+$B201+W$4&gt;TOTAL_BEDS_AVAILABLE,($D201+W$5)&gt;TOTAL_LABOR_HOURS_CAP,MAX(0,($D201+W$5)-PERMANENT_FIELD_LABOR_HOURS)&gt;TEMP_HOURS_CAP),"",$C201+W$6-MIN(($D201+W$5),PERMANENT_FIELD_LABOR_HOURS)*PERMANENT_HOURLY_RATE-MAX(0,($D201+W$5)-PERMANENT_FIELD_LABOR_HOURS)*TEMP_HOURLY_RATE-FIXED_SEASON_COST)</f>
        <v>24478.6106060097</v>
      </c>
      <c r="X201" s="53" t="n">
        <f aca="false">IF(OR($A201&gt;TOMATO_BED_CAP,$B201&gt;CARROT_BED_CAP,X$4&gt;MESCLUN_BED_CAP,$A201+$B201+X$4&gt;TOTAL_BEDS_AVAILABLE,($D201+X$5)&gt;TOTAL_LABOR_HOURS_CAP,MAX(0,($D201+X$5)-PERMANENT_FIELD_LABOR_HOURS)&gt;TEMP_HOURS_CAP),"",$C201+X$6-MIN(($D201+X$5),PERMANENT_FIELD_LABOR_HOURS)*PERMANENT_HOURLY_RATE-MAX(0,($D201+X$5)-PERMANENT_FIELD_LABOR_HOURS)*TEMP_HOURLY_RATE-FIXED_SEASON_COST)</f>
        <v>25116.6204342886</v>
      </c>
      <c r="Y201" s="53" t="n">
        <f aca="false">IF(OR($A201&gt;TOMATO_BED_CAP,$B201&gt;CARROT_BED_CAP,Y$4&gt;MESCLUN_BED_CAP,$A201+$B201+Y$4&gt;TOTAL_BEDS_AVAILABLE,($D201+Y$5)&gt;TOTAL_LABOR_HOURS_CAP,MAX(0,($D201+Y$5)-PERMANENT_FIELD_LABOR_HOURS)&gt;TEMP_HOURS_CAP),"",$C201+Y$6-MIN(($D201+Y$5),PERMANENT_FIELD_LABOR_HOURS)*PERMANENT_HOURLY_RATE-MAX(0,($D201+Y$5)-PERMANENT_FIELD_LABOR_HOURS)*TEMP_HOURLY_RATE-FIXED_SEASON_COST)</f>
        <v>25727.6434971672</v>
      </c>
      <c r="Z201" s="53" t="n">
        <f aca="false">IF(OR($A201&gt;TOMATO_BED_CAP,$B201&gt;CARROT_BED_CAP,Z$4&gt;MESCLUN_BED_CAP,$A201+$B201+Z$4&gt;TOTAL_BEDS_AVAILABLE,($D201+Z$5)&gt;TOTAL_LABOR_HOURS_CAP,MAX(0,($D201+Z$5)-PERMANENT_FIELD_LABOR_HOURS)&gt;TEMP_HOURS_CAP),"",$C201+Z$6-MIN(($D201+Z$5),PERMANENT_FIELD_LABOR_HOURS)*PERMANENT_HOURLY_RATE-MAX(0,($D201+Z$5)-PERMANENT_FIELD_LABOR_HOURS)*TEMP_HOURLY_RATE-FIXED_SEASON_COST)</f>
        <v>26311.189811475</v>
      </c>
      <c r="AA201" s="53" t="n">
        <f aca="false">IF(OR($A201&gt;TOMATO_BED_CAP,$B201&gt;CARROT_BED_CAP,AA$4&gt;MESCLUN_BED_CAP,$A201+$B201+AA$4&gt;TOTAL_BEDS_AVAILABLE,($D201+AA$5)&gt;TOTAL_LABOR_HOURS_CAP,MAX(0,($D201+AA$5)-PERMANENT_FIELD_LABOR_HOURS)&gt;TEMP_HOURS_CAP),"",$C201+AA$6-MIN(($D201+AA$5),PERMANENT_FIELD_LABOR_HOURS)*PERMANENT_HOURLY_RATE-MAX(0,($D201+AA$5)-PERMANENT_FIELD_LABOR_HOURS)*TEMP_HOURLY_RATE-FIXED_SEASON_COST)</f>
        <v>26866.7613611439</v>
      </c>
      <c r="AB201" s="53" t="n">
        <f aca="false">IF(OR($A201&gt;TOMATO_BED_CAP,$B201&gt;CARROT_BED_CAP,AB$4&gt;MESCLUN_BED_CAP,$A201+$B201+AB$4&gt;TOTAL_BEDS_AVAILABLE,($D201+AB$5)&gt;TOTAL_LABOR_HOURS_CAP,MAX(0,($D201+AB$5)-PERMANENT_FIELD_LABOR_HOURS)&gt;TEMP_HOURS_CAP),"",$C201+AB$6-MIN(($D201+AB$5),PERMANENT_FIELD_LABOR_HOURS)*PERMANENT_HOURLY_RATE-MAX(0,($D201+AB$5)-PERMANENT_FIELD_LABOR_HOURS)*TEMP_HOURLY_RATE-FIXED_SEASON_COST)</f>
        <v>27393.8519729465</v>
      </c>
      <c r="AC201" s="53" t="n">
        <f aca="false">IF(OR($A201&gt;TOMATO_BED_CAP,$B201&gt;CARROT_BED_CAP,AC$4&gt;MESCLUN_BED_CAP,$A201+$B201+AC$4&gt;TOTAL_BEDS_AVAILABLE,($D201+AC$5)&gt;TOTAL_LABOR_HOURS_CAP,MAX(0,($D201+AC$5)-PERMANENT_FIELD_LABOR_HOURS)&gt;TEMP_HOURS_CAP),"",$C201+AC$6-MIN(($D201+AC$5),PERMANENT_FIELD_LABOR_HOURS)*PERMANENT_HOURLY_RATE-MAX(0,($D201+AC$5)-PERMANENT_FIELD_LABOR_HOURS)*TEMP_HOURLY_RATE-FIXED_SEASON_COST)</f>
        <v>27891.9471903814</v>
      </c>
      <c r="AD201" s="53" t="n">
        <f aca="false">IF(OR($A201&gt;TOMATO_BED_CAP,$B201&gt;CARROT_BED_CAP,AD$4&gt;MESCLUN_BED_CAP,$A201+$B201+AD$4&gt;TOTAL_BEDS_AVAILABLE,($D201+AD$5)&gt;TOTAL_LABOR_HOURS_CAP,MAX(0,($D201+AD$5)-PERMANENT_FIELD_LABOR_HOURS)&gt;TEMP_HOURS_CAP),"",$C201+AD$6-MIN(($D201+AD$5),PERMANENT_FIELD_LABOR_HOURS)*PERMANENT_HOURLY_RATE-MAX(0,($D201+AD$5)-PERMANENT_FIELD_LABOR_HOURS)*TEMP_HOURLY_RATE-FIXED_SEASON_COST)</f>
        <v>28360.5241456813</v>
      </c>
      <c r="AE201" s="53" t="n">
        <f aca="false">IF(OR($A201&gt;TOMATO_BED_CAP,$B201&gt;CARROT_BED_CAP,AE$4&gt;MESCLUN_BED_CAP,$A201+$B201+AE$4&gt;TOTAL_BEDS_AVAILABLE,($D201+AE$5)&gt;TOTAL_LABOR_HOURS_CAP,MAX(0,($D201+AE$5)-PERMANENT_FIELD_LABOR_HOURS)&gt;TEMP_HOURS_CAP),"",$C201+AE$6-MIN(($D201+AE$5),PERMANENT_FIELD_LABOR_HOURS)*PERMANENT_HOURLY_RATE-MAX(0,($D201+AE$5)-PERMANENT_FIELD_LABOR_HOURS)*TEMP_HOURLY_RATE-FIXED_SEASON_COST)</f>
        <v>28799.0514299152</v>
      </c>
      <c r="AF201" s="53" t="n">
        <f aca="false">IF(OR($A201&gt;TOMATO_BED_CAP,$B201&gt;CARROT_BED_CAP,AF$4&gt;MESCLUN_BED_CAP,$A201+$B201+AF$4&gt;TOTAL_BEDS_AVAILABLE,($D201+AF$5)&gt;TOTAL_LABOR_HOURS_CAP,MAX(0,($D201+AF$5)-PERMANENT_FIELD_LABOR_HOURS)&gt;TEMP_HOURS_CAP),"",$C201+AF$6-MIN(($D201+AF$5),PERMANENT_FIELD_LABOR_HOURS)*PERMANENT_HOURLY_RATE-MAX(0,($D201+AF$5)-PERMANENT_FIELD_LABOR_HOURS)*TEMP_HOURLY_RATE-FIXED_SEASON_COST)</f>
        <v>29206.9889611572</v>
      </c>
      <c r="AG201" s="53" t="n">
        <f aca="false">IF(OR($A201&gt;TOMATO_BED_CAP,$B201&gt;CARROT_BED_CAP,AG$4&gt;MESCLUN_BED_CAP,$A201+$B201+AG$4&gt;TOTAL_BEDS_AVAILABLE,($D201+AG$5)&gt;TOTAL_LABOR_HOURS_CAP,MAX(0,($D201+AG$5)-PERMANENT_FIELD_LABOR_HOURS)&gt;TEMP_HOURS_CAP),"",$C201+AG$6-MIN(($D201+AG$5),PERMANENT_FIELD_LABOR_HOURS)*PERMANENT_HOURLY_RATE-MAX(0,($D201+AG$5)-PERMANENT_FIELD_LABOR_HOURS)*TEMP_HOURLY_RATE-FIXED_SEASON_COST)</f>
        <v>29583.7878506942</v>
      </c>
      <c r="AH201" s="53" t="n">
        <f aca="false">IF(OR($A201&gt;TOMATO_BED_CAP,$B201&gt;CARROT_BED_CAP,AH$4&gt;MESCLUN_BED_CAP,$A201+$B201+AH$4&gt;TOTAL_BEDS_AVAILABLE,($D201+AH$5)&gt;TOTAL_LABOR_HOURS_CAP,MAX(0,($D201+AH$5)-PERMANENT_FIELD_LABOR_HOURS)&gt;TEMP_HOURS_CAP),"",$C201+AH$6-MIN(($D201+AH$5),PERMANENT_FIELD_LABOR_HOURS)*PERMANENT_HOURLY_RATE-MAX(0,($D201+AH$5)-PERMANENT_FIELD_LABOR_HOURS)*TEMP_HOURLY_RATE-FIXED_SEASON_COST)</f>
        <v>29928.8902672444</v>
      </c>
      <c r="AI201" s="53" t="n">
        <f aca="false">IF(OR($A201&gt;TOMATO_BED_CAP,$B201&gt;CARROT_BED_CAP,AI$4&gt;MESCLUN_BED_CAP,$A201+$B201+AI$4&gt;TOTAL_BEDS_AVAILABLE,($D201+AI$5)&gt;TOTAL_LABOR_HOURS_CAP,MAX(0,($D201+AI$5)-PERMANENT_FIELD_LABOR_HOURS)&gt;TEMP_HOURS_CAP),"",$C201+AI$6-MIN(($D201+AI$5),PERMANENT_FIELD_LABOR_HOURS)*PERMANENT_HOURLY_RATE-MAX(0,($D201+AI$5)-PERMANENT_FIELD_LABOR_HOURS)*TEMP_HOURLY_RATE-FIXED_SEASON_COST)</f>
        <v>30241.7292991567</v>
      </c>
      <c r="AJ201" s="53" t="n">
        <f aca="false">IF(OR($A201&gt;TOMATO_BED_CAP,$B201&gt;CARROT_BED_CAP,AJ$4&gt;MESCLUN_BED_CAP,$A201+$B201+AJ$4&gt;TOTAL_BEDS_AVAILABLE,($D201+AJ$5)&gt;TOTAL_LABOR_HOURS_CAP,MAX(0,($D201+AJ$5)-PERMANENT_FIELD_LABOR_HOURS)&gt;TEMP_HOURS_CAP),"",$C201+AJ$6-MIN(($D201+AJ$5),PERMANENT_FIELD_LABOR_HOURS)*PERMANENT_HOURLY_RATE-MAX(0,($D201+AJ$5)-PERMANENT_FIELD_LABOR_HOURS)*TEMP_HOURLY_RATE-FIXED_SEASON_COST)</f>
        <v>30521.7288145624</v>
      </c>
    </row>
    <row r="202" customFormat="false" ht="15" hidden="false" customHeight="false" outlineLevel="0" collapsed="false">
      <c r="A202" s="21" t="n">
        <f aca="false">INT((ROW()-ROW($A$8))/(20+1))</f>
        <v>9</v>
      </c>
      <c r="B202" s="21" t="n">
        <f aca="false">MOD(ROW()-ROW($A$8),20+1)</f>
        <v>5</v>
      </c>
      <c r="C202" s="13" t="n">
        <f aca="false">A202*(TOMATO_REVENUE_PER_BED-TOMATO_FERTILIZER_PER_BED)+B202*(CARROT_REVENUE_PER_BED-CARROT_FERTILIZER_PER_BED)</f>
        <v>79550</v>
      </c>
      <c r="D202" s="14" t="n">
        <f aca="false">INDEX(TOMATO_SCHED_LABOR_HRS,A202+1)+INDEX(CARROT_SCHED_LABOR_HRS,B202+1)</f>
        <v>2079.58097715082</v>
      </c>
      <c r="E202" s="13" t="n">
        <f aca="false">IF(COUNT(F202:AJ202)=0,"",MAX(F202:AJ202))</f>
        <v>31529.2635315343</v>
      </c>
      <c r="F202" s="53" t="n">
        <f aca="false">IF(OR($A202&gt;TOMATO_BED_CAP,$B202&gt;CARROT_BED_CAP,F$4&gt;MESCLUN_BED_CAP,$A202+$B202+F$4&gt;TOTAL_BEDS_AVAILABLE,($D202+F$5)&gt;TOTAL_LABOR_HOURS_CAP,MAX(0,($D202+F$5)-PERMANENT_FIELD_LABOR_HOURS)&gt;TEMP_HOURS_CAP),"",$C202+F$6-MIN(($D202+F$5),PERMANENT_FIELD_LABOR_HOURS)*PERMANENT_HOURLY_RATE-MAX(0,($D202+F$5)-PERMANENT_FIELD_LABOR_HOURS)*TEMP_HOURLY_RATE-FIXED_SEASON_COST)</f>
        <v>10949.2742366617</v>
      </c>
      <c r="G202" s="53" t="n">
        <f aca="false">IF(OR($A202&gt;TOMATO_BED_CAP,$B202&gt;CARROT_BED_CAP,G$4&gt;MESCLUN_BED_CAP,$A202+$B202+G$4&gt;TOTAL_BEDS_AVAILABLE,($D202+G$5)&gt;TOTAL_LABOR_HOURS_CAP,MAX(0,($D202+G$5)-PERMANENT_FIELD_LABOR_HOURS)&gt;TEMP_HOURS_CAP),"",$C202+G$6-MIN(($D202+G$5),PERMANENT_FIELD_LABOR_HOURS)*PERMANENT_HOURLY_RATE-MAX(0,($D202+G$5)-PERMANENT_FIELD_LABOR_HOURS)*TEMP_HOURLY_RATE-FIXED_SEASON_COST)</f>
        <v>11978.3092366617</v>
      </c>
      <c r="H202" s="53" t="n">
        <f aca="false">IF(OR($A202&gt;TOMATO_BED_CAP,$B202&gt;CARROT_BED_CAP,H$4&gt;MESCLUN_BED_CAP,$A202+$B202+H$4&gt;TOTAL_BEDS_AVAILABLE,($D202+H$5)&gt;TOTAL_LABOR_HOURS_CAP,MAX(0,($D202+H$5)-PERMANENT_FIELD_LABOR_HOURS)&gt;TEMP_HOURS_CAP),"",$C202+H$6-MIN(($D202+H$5),PERMANENT_FIELD_LABOR_HOURS)*PERMANENT_HOURLY_RATE-MAX(0,($D202+H$5)-PERMANENT_FIELD_LABOR_HOURS)*TEMP_HOURLY_RATE-FIXED_SEASON_COST)</f>
        <v>12987.5701116617</v>
      </c>
      <c r="I202" s="53" t="n">
        <f aca="false">IF(OR($A202&gt;TOMATO_BED_CAP,$B202&gt;CARROT_BED_CAP,I$4&gt;MESCLUN_BED_CAP,$A202+$B202+I$4&gt;TOTAL_BEDS_AVAILABLE,($D202+I$5)&gt;TOTAL_LABOR_HOURS_CAP,MAX(0,($D202+I$5)-PERMANENT_FIELD_LABOR_HOURS)&gt;TEMP_HOURS_CAP),"",$C202+I$6-MIN(($D202+I$5),PERMANENT_FIELD_LABOR_HOURS)*PERMANENT_HOURLY_RATE-MAX(0,($D202+I$5)-PERMANENT_FIELD_LABOR_HOURS)*TEMP_HOURLY_RATE-FIXED_SEASON_COST)</f>
        <v>13976.686096818</v>
      </c>
      <c r="J202" s="53" t="n">
        <f aca="false">IF(OR($A202&gt;TOMATO_BED_CAP,$B202&gt;CARROT_BED_CAP,J$4&gt;MESCLUN_BED_CAP,$A202+$B202+J$4&gt;TOTAL_BEDS_AVAILABLE,($D202+J$5)&gt;TOTAL_LABOR_HOURS_CAP,MAX(0,($D202+J$5)-PERMANENT_FIELD_LABOR_HOURS)&gt;TEMP_HOURS_CAP),"",$C202+J$6-MIN(($D202+J$5),PERMANENT_FIELD_LABOR_HOURS)*PERMANENT_HOURLY_RATE-MAX(0,($D202+J$5)-PERMANENT_FIELD_LABOR_HOURS)*TEMP_HOURLY_RATE-FIXED_SEASON_COST)</f>
        <v>14945.2802478727</v>
      </c>
      <c r="K202" s="53" t="n">
        <f aca="false">IF(OR($A202&gt;TOMATO_BED_CAP,$B202&gt;CARROT_BED_CAP,K$4&gt;MESCLUN_BED_CAP,$A202+$B202+K$4&gt;TOTAL_BEDS_AVAILABLE,($D202+K$5)&gt;TOTAL_LABOR_HOURS_CAP,MAX(0,($D202+K$5)-PERMANENT_FIELD_LABOR_HOURS)&gt;TEMP_HOURS_CAP),"",$C202+K$6-MIN(($D202+K$5),PERMANENT_FIELD_LABOR_HOURS)*PERMANENT_HOURLY_RATE-MAX(0,($D202+K$5)-PERMANENT_FIELD_LABOR_HOURS)*TEMP_HOURLY_RATE-FIXED_SEASON_COST)</f>
        <v>15892.9693446006</v>
      </c>
      <c r="L202" s="53" t="n">
        <f aca="false">IF(OR($A202&gt;TOMATO_BED_CAP,$B202&gt;CARROT_BED_CAP,L$4&gt;MESCLUN_BED_CAP,$A202+$B202+L$4&gt;TOTAL_BEDS_AVAILABLE,($D202+L$5)&gt;TOTAL_LABOR_HOURS_CAP,MAX(0,($D202+L$5)-PERMANENT_FIELD_LABOR_HOURS)&gt;TEMP_HOURS_CAP),"",$C202+L$6-MIN(($D202+L$5),PERMANENT_FIELD_LABOR_HOURS)*PERMANENT_HOURLY_RATE-MAX(0,($D202+L$5)-PERMANENT_FIELD_LABOR_HOURS)*TEMP_HOURLY_RATE-FIXED_SEASON_COST)</f>
        <v>16819.3637928074</v>
      </c>
      <c r="M202" s="53" t="n">
        <f aca="false">IF(OR($A202&gt;TOMATO_BED_CAP,$B202&gt;CARROT_BED_CAP,M$4&gt;MESCLUN_BED_CAP,$A202+$B202+M$4&gt;TOTAL_BEDS_AVAILABLE,($D202+M$5)&gt;TOTAL_LABOR_HOURS_CAP,MAX(0,($D202+M$5)-PERMANENT_FIELD_LABOR_HOURS)&gt;TEMP_HOURS_CAP),"",$C202+M$6-MIN(($D202+M$5),PERMANENT_FIELD_LABOR_HOURS)*PERMANENT_HOURLY_RATE-MAX(0,($D202+M$5)-PERMANENT_FIELD_LABOR_HOURS)*TEMP_HOURLY_RATE-FIXED_SEASON_COST)</f>
        <v>17724.0675248588</v>
      </c>
      <c r="N202" s="53" t="n">
        <f aca="false">IF(OR($A202&gt;TOMATO_BED_CAP,$B202&gt;CARROT_BED_CAP,N$4&gt;MESCLUN_BED_CAP,$A202+$B202+N$4&gt;TOTAL_BEDS_AVAILABLE,($D202+N$5)&gt;TOTAL_LABOR_HOURS_CAP,MAX(0,($D202+N$5)-PERMANENT_FIELD_LABOR_HOURS)&gt;TEMP_HOURS_CAP),"",$C202+N$6-MIN(($D202+N$5),PERMANENT_FIELD_LABOR_HOURS)*PERMANENT_HOURLY_RATE-MAX(0,($D202+N$5)-PERMANENT_FIELD_LABOR_HOURS)*TEMP_HOURLY_RATE-FIXED_SEASON_COST)</f>
        <v>18606.6778987184</v>
      </c>
      <c r="O202" s="53" t="n">
        <f aca="false">IF(OR($A202&gt;TOMATO_BED_CAP,$B202&gt;CARROT_BED_CAP,O$4&gt;MESCLUN_BED_CAP,$A202+$B202+O$4&gt;TOTAL_BEDS_AVAILABLE,($D202+O$5)&gt;TOTAL_LABOR_HOURS_CAP,MAX(0,($D202+O$5)-PERMANENT_FIELD_LABOR_HOURS)&gt;TEMP_HOURS_CAP),"",$C202+O$6-MIN(($D202+O$5),PERMANENT_FIELD_LABOR_HOURS)*PERMANENT_HOURLY_RATE-MAX(0,($D202+O$5)-PERMANENT_FIELD_LABOR_HOURS)*TEMP_HOURLY_RATE-FIXED_SEASON_COST)</f>
        <v>19466.7855954731</v>
      </c>
      <c r="P202" s="53" t="n">
        <f aca="false">IF(OR($A202&gt;TOMATO_BED_CAP,$B202&gt;CARROT_BED_CAP,P$4&gt;MESCLUN_BED_CAP,$A202+$B202+P$4&gt;TOTAL_BEDS_AVAILABLE,($D202+P$5)&gt;TOTAL_LABOR_HOURS_CAP,MAX(0,($D202+P$5)-PERMANENT_FIELD_LABOR_HOURS)&gt;TEMP_HOURS_CAP),"",$C202+P$6-MIN(($D202+P$5),PERMANENT_FIELD_LABOR_HOURS)*PERMANENT_HOURLY_RATE-MAX(0,($D202+P$5)-PERMANENT_FIELD_LABOR_HOURS)*TEMP_HOURLY_RATE-FIXED_SEASON_COST)</f>
        <v>20303.9745153246</v>
      </c>
      <c r="Q202" s="53" t="n">
        <f aca="false">IF(OR($A202&gt;TOMATO_BED_CAP,$B202&gt;CARROT_BED_CAP,Q$4&gt;MESCLUN_BED_CAP,$A202+$B202+Q$4&gt;TOTAL_BEDS_AVAILABLE,($D202+Q$5)&gt;TOTAL_LABOR_HOURS_CAP,MAX(0,($D202+Q$5)-PERMANENT_FIELD_LABOR_HOURS)&gt;TEMP_HOURS_CAP),"",$C202+Q$6-MIN(($D202+Q$5),PERMANENT_FIELD_LABOR_HOURS)*PERMANENT_HOURLY_RATE-MAX(0,($D202+Q$5)-PERMANENT_FIELD_LABOR_HOURS)*TEMP_HOURLY_RATE-FIXED_SEASON_COST)</f>
        <v>21117.8216720225</v>
      </c>
      <c r="R202" s="53" t="n">
        <f aca="false">IF(OR($A202&gt;TOMATO_BED_CAP,$B202&gt;CARROT_BED_CAP,R$4&gt;MESCLUN_BED_CAP,$A202+$B202+R$4&gt;TOTAL_BEDS_AVAILABLE,($D202+R$5)&gt;TOTAL_LABOR_HOURS_CAP,MAX(0,($D202+R$5)-PERMANENT_FIELD_LABOR_HOURS)&gt;TEMP_HOURS_CAP),"",$C202+R$6-MIN(($D202+R$5),PERMANENT_FIELD_LABOR_HOURS)*PERMANENT_HOURLY_RATE-MAX(0,($D202+R$5)-PERMANENT_FIELD_LABOR_HOURS)*TEMP_HOURLY_RATE-FIXED_SEASON_COST)</f>
        <v>21907.8970857193</v>
      </c>
      <c r="S202" s="53" t="n">
        <f aca="false">IF(OR($A202&gt;TOMATO_BED_CAP,$B202&gt;CARROT_BED_CAP,S$4&gt;MESCLUN_BED_CAP,$A202+$B202+S$4&gt;TOTAL_BEDS_AVAILABLE,($D202+S$5)&gt;TOTAL_LABOR_HOURS_CAP,MAX(0,($D202+S$5)-PERMANENT_FIELD_LABOR_HOURS)&gt;TEMP_HOURS_CAP),"",$C202+S$6-MIN(($D202+S$5),PERMANENT_FIELD_LABOR_HOURS)*PERMANENT_HOURLY_RATE-MAX(0,($D202+S$5)-PERMANENT_FIELD_LABOR_HOURS)*TEMP_HOURLY_RATE-FIXED_SEASON_COST)</f>
        <v>22673.7636742217</v>
      </c>
      <c r="T202" s="53" t="n">
        <f aca="false">IF(OR($A202&gt;TOMATO_BED_CAP,$B202&gt;CARROT_BED_CAP,T$4&gt;MESCLUN_BED_CAP,$A202+$B202+T$4&gt;TOTAL_BEDS_AVAILABLE,($D202+T$5)&gt;TOTAL_LABOR_HOURS_CAP,MAX(0,($D202+T$5)-PERMANENT_FIELD_LABOR_HOURS)&gt;TEMP_HOURS_CAP),"",$C202+T$6-MIN(($D202+T$5),PERMANENT_FIELD_LABOR_HOURS)*PERMANENT_HOURLY_RATE-MAX(0,($D202+T$5)-PERMANENT_FIELD_LABOR_HOURS)*TEMP_HOURLY_RATE-FIXED_SEASON_COST)</f>
        <v>23414.9771426166</v>
      </c>
      <c r="U202" s="53" t="n">
        <f aca="false">IF(OR($A202&gt;TOMATO_BED_CAP,$B202&gt;CARROT_BED_CAP,U$4&gt;MESCLUN_BED_CAP,$A202+$B202+U$4&gt;TOTAL_BEDS_AVAILABLE,($D202+U$5)&gt;TOTAL_LABOR_HOURS_CAP,MAX(0,($D202+U$5)-PERMANENT_FIELD_LABOR_HOURS)&gt;TEMP_HOURS_CAP),"",$C202+U$6-MIN(($D202+U$5),PERMANENT_FIELD_LABOR_HOURS)*PERMANENT_HOURLY_RATE-MAX(0,($D202+U$5)-PERMANENT_FIELD_LABOR_HOURS)*TEMP_HOURLY_RATE-FIXED_SEASON_COST)</f>
        <v>24131.0858712467</v>
      </c>
      <c r="V202" s="53" t="n">
        <f aca="false">IF(OR($A202&gt;TOMATO_BED_CAP,$B202&gt;CARROT_BED_CAP,V$4&gt;MESCLUN_BED_CAP,$A202+$B202+V$4&gt;TOTAL_BEDS_AVAILABLE,($D202+V$5)&gt;TOTAL_LABOR_HOURS_CAP,MAX(0,($D202+V$5)-PERMANENT_FIELD_LABOR_HOURS)&gt;TEMP_HOURS_CAP),"",$C202+V$6-MIN(($D202+V$5),PERMANENT_FIELD_LABOR_HOURS)*PERMANENT_HOURLY_RATE-MAX(0,($D202+V$5)-PERMANENT_FIELD_LABOR_HOURS)*TEMP_HOURLY_RATE-FIXED_SEASON_COST)</f>
        <v>24821.6308020134</v>
      </c>
      <c r="W202" s="53" t="n">
        <f aca="false">IF(OR($A202&gt;TOMATO_BED_CAP,$B202&gt;CARROT_BED_CAP,W$4&gt;MESCLUN_BED_CAP,$A202+$B202+W$4&gt;TOTAL_BEDS_AVAILABLE,($D202+W$5)&gt;TOTAL_LABOR_HOURS_CAP,MAX(0,($D202+W$5)-PERMANENT_FIELD_LABOR_HOURS)&gt;TEMP_HOURS_CAP),"",$C202+W$6-MIN(($D202+W$5),PERMANENT_FIELD_LABOR_HOURS)*PERMANENT_HOURLY_RATE-MAX(0,($D202+W$5)-PERMANENT_FIELD_LABOR_HOURS)*TEMP_HOURLY_RATE-FIXED_SEASON_COST)</f>
        <v>25486.1453229815</v>
      </c>
      <c r="X202" s="53" t="n">
        <f aca="false">IF(OR($A202&gt;TOMATO_BED_CAP,$B202&gt;CARROT_BED_CAP,X$4&gt;MESCLUN_BED_CAP,$A202+$B202+X$4&gt;TOTAL_BEDS_AVAILABLE,($D202+X$5)&gt;TOTAL_LABOR_HOURS_CAP,MAX(0,($D202+X$5)-PERMANENT_FIELD_LABOR_HOURS)&gt;TEMP_HOURS_CAP),"",$C202+X$6-MIN(($D202+X$5),PERMANENT_FIELD_LABOR_HOURS)*PERMANENT_HOURLY_RATE-MAX(0,($D202+X$5)-PERMANENT_FIELD_LABOR_HOURS)*TEMP_HOURLY_RATE-FIXED_SEASON_COST)</f>
        <v>26124.1551512604</v>
      </c>
      <c r="Y202" s="53" t="n">
        <f aca="false">IF(OR($A202&gt;TOMATO_BED_CAP,$B202&gt;CARROT_BED_CAP,Y$4&gt;MESCLUN_BED_CAP,$A202+$B202+Y$4&gt;TOTAL_BEDS_AVAILABLE,($D202+Y$5)&gt;TOTAL_LABOR_HOURS_CAP,MAX(0,($D202+Y$5)-PERMANENT_FIELD_LABOR_HOURS)&gt;TEMP_HOURS_CAP),"",$C202+Y$6-MIN(($D202+Y$5),PERMANENT_FIELD_LABOR_HOURS)*PERMANENT_HOURLY_RATE-MAX(0,($D202+Y$5)-PERMANENT_FIELD_LABOR_HOURS)*TEMP_HOURLY_RATE-FIXED_SEASON_COST)</f>
        <v>26735.1782141391</v>
      </c>
      <c r="Z202" s="53" t="n">
        <f aca="false">IF(OR($A202&gt;TOMATO_BED_CAP,$B202&gt;CARROT_BED_CAP,Z$4&gt;MESCLUN_BED_CAP,$A202+$B202+Z$4&gt;TOTAL_BEDS_AVAILABLE,($D202+Z$5)&gt;TOTAL_LABOR_HOURS_CAP,MAX(0,($D202+Z$5)-PERMANENT_FIELD_LABOR_HOURS)&gt;TEMP_HOURS_CAP),"",$C202+Z$6-MIN(($D202+Z$5),PERMANENT_FIELD_LABOR_HOURS)*PERMANENT_HOURLY_RATE-MAX(0,($D202+Z$5)-PERMANENT_FIELD_LABOR_HOURS)*TEMP_HOURLY_RATE-FIXED_SEASON_COST)</f>
        <v>27318.7245284468</v>
      </c>
      <c r="AA202" s="53" t="n">
        <f aca="false">IF(OR($A202&gt;TOMATO_BED_CAP,$B202&gt;CARROT_BED_CAP,AA$4&gt;MESCLUN_BED_CAP,$A202+$B202+AA$4&gt;TOTAL_BEDS_AVAILABLE,($D202+AA$5)&gt;TOTAL_LABOR_HOURS_CAP,MAX(0,($D202+AA$5)-PERMANENT_FIELD_LABOR_HOURS)&gt;TEMP_HOURS_CAP),"",$C202+AA$6-MIN(($D202+AA$5),PERMANENT_FIELD_LABOR_HOURS)*PERMANENT_HOURLY_RATE-MAX(0,($D202+AA$5)-PERMANENT_FIELD_LABOR_HOURS)*TEMP_HOURLY_RATE-FIXED_SEASON_COST)</f>
        <v>27874.2960781157</v>
      </c>
      <c r="AB202" s="53" t="n">
        <f aca="false">IF(OR($A202&gt;TOMATO_BED_CAP,$B202&gt;CARROT_BED_CAP,AB$4&gt;MESCLUN_BED_CAP,$A202+$B202+AB$4&gt;TOTAL_BEDS_AVAILABLE,($D202+AB$5)&gt;TOTAL_LABOR_HOURS_CAP,MAX(0,($D202+AB$5)-PERMANENT_FIELD_LABOR_HOURS)&gt;TEMP_HOURS_CAP),"",$C202+AB$6-MIN(($D202+AB$5),PERMANENT_FIELD_LABOR_HOURS)*PERMANENT_HOURLY_RATE-MAX(0,($D202+AB$5)-PERMANENT_FIELD_LABOR_HOURS)*TEMP_HOURLY_RATE-FIXED_SEASON_COST)</f>
        <v>28401.3866899183</v>
      </c>
      <c r="AC202" s="53" t="n">
        <f aca="false">IF(OR($A202&gt;TOMATO_BED_CAP,$B202&gt;CARROT_BED_CAP,AC$4&gt;MESCLUN_BED_CAP,$A202+$B202+AC$4&gt;TOTAL_BEDS_AVAILABLE,($D202+AC$5)&gt;TOTAL_LABOR_HOURS_CAP,MAX(0,($D202+AC$5)-PERMANENT_FIELD_LABOR_HOURS)&gt;TEMP_HOURS_CAP),"",$C202+AC$6-MIN(($D202+AC$5),PERMANENT_FIELD_LABOR_HOURS)*PERMANENT_HOURLY_RATE-MAX(0,($D202+AC$5)-PERMANENT_FIELD_LABOR_HOURS)*TEMP_HOURLY_RATE-FIXED_SEASON_COST)</f>
        <v>28899.4819073532</v>
      </c>
      <c r="AD202" s="53" t="n">
        <f aca="false">IF(OR($A202&gt;TOMATO_BED_CAP,$B202&gt;CARROT_BED_CAP,AD$4&gt;MESCLUN_BED_CAP,$A202+$B202+AD$4&gt;TOTAL_BEDS_AVAILABLE,($D202+AD$5)&gt;TOTAL_LABOR_HOURS_CAP,MAX(0,($D202+AD$5)-PERMANENT_FIELD_LABOR_HOURS)&gt;TEMP_HOURS_CAP),"",$C202+AD$6-MIN(($D202+AD$5),PERMANENT_FIELD_LABOR_HOURS)*PERMANENT_HOURLY_RATE-MAX(0,($D202+AD$5)-PERMANENT_FIELD_LABOR_HOURS)*TEMP_HOURLY_RATE-FIXED_SEASON_COST)</f>
        <v>29368.0588626532</v>
      </c>
      <c r="AE202" s="53" t="n">
        <f aca="false">IF(OR($A202&gt;TOMATO_BED_CAP,$B202&gt;CARROT_BED_CAP,AE$4&gt;MESCLUN_BED_CAP,$A202+$B202+AE$4&gt;TOTAL_BEDS_AVAILABLE,($D202+AE$5)&gt;TOTAL_LABOR_HOURS_CAP,MAX(0,($D202+AE$5)-PERMANENT_FIELD_LABOR_HOURS)&gt;TEMP_HOURS_CAP),"",$C202+AE$6-MIN(($D202+AE$5),PERMANENT_FIELD_LABOR_HOURS)*PERMANENT_HOURLY_RATE-MAX(0,($D202+AE$5)-PERMANENT_FIELD_LABOR_HOURS)*TEMP_HOURLY_RATE-FIXED_SEASON_COST)</f>
        <v>29806.5861468871</v>
      </c>
      <c r="AF202" s="53" t="n">
        <f aca="false">IF(OR($A202&gt;TOMATO_BED_CAP,$B202&gt;CARROT_BED_CAP,AF$4&gt;MESCLUN_BED_CAP,$A202+$B202+AF$4&gt;TOTAL_BEDS_AVAILABLE,($D202+AF$5)&gt;TOTAL_LABOR_HOURS_CAP,MAX(0,($D202+AF$5)-PERMANENT_FIELD_LABOR_HOURS)&gt;TEMP_HOURS_CAP),"",$C202+AF$6-MIN(($D202+AF$5),PERMANENT_FIELD_LABOR_HOURS)*PERMANENT_HOURLY_RATE-MAX(0,($D202+AF$5)-PERMANENT_FIELD_LABOR_HOURS)*TEMP_HOURLY_RATE-FIXED_SEASON_COST)</f>
        <v>30214.523678129</v>
      </c>
      <c r="AG202" s="53" t="n">
        <f aca="false">IF(OR($A202&gt;TOMATO_BED_CAP,$B202&gt;CARROT_BED_CAP,AG$4&gt;MESCLUN_BED_CAP,$A202+$B202+AG$4&gt;TOTAL_BEDS_AVAILABLE,($D202+AG$5)&gt;TOTAL_LABOR_HOURS_CAP,MAX(0,($D202+AG$5)-PERMANENT_FIELD_LABOR_HOURS)&gt;TEMP_HOURS_CAP),"",$C202+AG$6-MIN(($D202+AG$5),PERMANENT_FIELD_LABOR_HOURS)*PERMANENT_HOURLY_RATE-MAX(0,($D202+AG$5)-PERMANENT_FIELD_LABOR_HOURS)*TEMP_HOURLY_RATE-FIXED_SEASON_COST)</f>
        <v>30591.322567666</v>
      </c>
      <c r="AH202" s="53" t="n">
        <f aca="false">IF(OR($A202&gt;TOMATO_BED_CAP,$B202&gt;CARROT_BED_CAP,AH$4&gt;MESCLUN_BED_CAP,$A202+$B202+AH$4&gt;TOTAL_BEDS_AVAILABLE,($D202+AH$5)&gt;TOTAL_LABOR_HOURS_CAP,MAX(0,($D202+AH$5)-PERMANENT_FIELD_LABOR_HOURS)&gt;TEMP_HOURS_CAP),"",$C202+AH$6-MIN(($D202+AH$5),PERMANENT_FIELD_LABOR_HOURS)*PERMANENT_HOURLY_RATE-MAX(0,($D202+AH$5)-PERMANENT_FIELD_LABOR_HOURS)*TEMP_HOURLY_RATE-FIXED_SEASON_COST)</f>
        <v>30936.4249842163</v>
      </c>
      <c r="AI202" s="53" t="n">
        <f aca="false">IF(OR($A202&gt;TOMATO_BED_CAP,$B202&gt;CARROT_BED_CAP,AI$4&gt;MESCLUN_BED_CAP,$A202+$B202+AI$4&gt;TOTAL_BEDS_AVAILABLE,($D202+AI$5)&gt;TOTAL_LABOR_HOURS_CAP,MAX(0,($D202+AI$5)-PERMANENT_FIELD_LABOR_HOURS)&gt;TEMP_HOURS_CAP),"",$C202+AI$6-MIN(($D202+AI$5),PERMANENT_FIELD_LABOR_HOURS)*PERMANENT_HOURLY_RATE-MAX(0,($D202+AI$5)-PERMANENT_FIELD_LABOR_HOURS)*TEMP_HOURLY_RATE-FIXED_SEASON_COST)</f>
        <v>31249.2640161285</v>
      </c>
      <c r="AJ202" s="53" t="n">
        <f aca="false">IF(OR($A202&gt;TOMATO_BED_CAP,$B202&gt;CARROT_BED_CAP,AJ$4&gt;MESCLUN_BED_CAP,$A202+$B202+AJ$4&gt;TOTAL_BEDS_AVAILABLE,($D202+AJ$5)&gt;TOTAL_LABOR_HOURS_CAP,MAX(0,($D202+AJ$5)-PERMANENT_FIELD_LABOR_HOURS)&gt;TEMP_HOURS_CAP),"",$C202+AJ$6-MIN(($D202+AJ$5),PERMANENT_FIELD_LABOR_HOURS)*PERMANENT_HOURLY_RATE-MAX(0,($D202+AJ$5)-PERMANENT_FIELD_LABOR_HOURS)*TEMP_HOURLY_RATE-FIXED_SEASON_COST)</f>
        <v>31529.2635315343</v>
      </c>
    </row>
    <row r="203" customFormat="false" ht="15" hidden="false" customHeight="false" outlineLevel="0" collapsed="false">
      <c r="A203" s="21" t="n">
        <f aca="false">INT((ROW()-ROW($A$8))/(20+1))</f>
        <v>9</v>
      </c>
      <c r="B203" s="21" t="n">
        <f aca="false">MOD(ROW()-ROW($A$8),20+1)</f>
        <v>6</v>
      </c>
      <c r="C203" s="13" t="n">
        <f aca="false">A203*(TOMATO_REVENUE_PER_BED-TOMATO_FERTILIZER_PER_BED)+B203*(CARROT_REVENUE_PER_BED-CARROT_FERTILIZER_PER_BED)</f>
        <v>81204</v>
      </c>
      <c r="D203" s="14" t="n">
        <f aca="false">INDEX(TOMATO_SCHED_LABOR_HRS,A203+1)+INDEX(CARROT_SCHED_LABOR_HRS,B203+1)</f>
        <v>2118.59894706221</v>
      </c>
      <c r="E203" s="13" t="n">
        <f aca="false">IF(COUNT(F203:AJ203)=0,"",MAX(F203:AJ203))</f>
        <v>32505.9115738726</v>
      </c>
      <c r="F203" s="53" t="n">
        <f aca="false">IF(OR($A203&gt;TOMATO_BED_CAP,$B203&gt;CARROT_BED_CAP,F$4&gt;MESCLUN_BED_CAP,$A203+$B203+F$4&gt;TOTAL_BEDS_AVAILABLE,($D203+F$5)&gt;TOTAL_LABOR_HOURS_CAP,MAX(0,($D203+F$5)-PERMANENT_FIELD_LABOR_HOURS)&gt;TEMP_HOURS_CAP),"",$C203+F$6-MIN(($D203+F$5),PERMANENT_FIELD_LABOR_HOURS)*PERMANENT_HOURLY_RATE-MAX(0,($D203+F$5)-PERMANENT_FIELD_LABOR_HOURS)*TEMP_HOURLY_RATE-FIXED_SEASON_COST)</f>
        <v>11925.922279</v>
      </c>
      <c r="G203" s="53" t="n">
        <f aca="false">IF(OR($A203&gt;TOMATO_BED_CAP,$B203&gt;CARROT_BED_CAP,G$4&gt;MESCLUN_BED_CAP,$A203+$B203+G$4&gt;TOTAL_BEDS_AVAILABLE,($D203+G$5)&gt;TOTAL_LABOR_HOURS_CAP,MAX(0,($D203+G$5)-PERMANENT_FIELD_LABOR_HOURS)&gt;TEMP_HOURS_CAP),"",$C203+G$6-MIN(($D203+G$5),PERMANENT_FIELD_LABOR_HOURS)*PERMANENT_HOURLY_RATE-MAX(0,($D203+G$5)-PERMANENT_FIELD_LABOR_HOURS)*TEMP_HOURLY_RATE-FIXED_SEASON_COST)</f>
        <v>12954.957279</v>
      </c>
      <c r="H203" s="53" t="n">
        <f aca="false">IF(OR($A203&gt;TOMATO_BED_CAP,$B203&gt;CARROT_BED_CAP,H$4&gt;MESCLUN_BED_CAP,$A203+$B203+H$4&gt;TOTAL_BEDS_AVAILABLE,($D203+H$5)&gt;TOTAL_LABOR_HOURS_CAP,MAX(0,($D203+H$5)-PERMANENT_FIELD_LABOR_HOURS)&gt;TEMP_HOURS_CAP),"",$C203+H$6-MIN(($D203+H$5),PERMANENT_FIELD_LABOR_HOURS)*PERMANENT_HOURLY_RATE-MAX(0,($D203+H$5)-PERMANENT_FIELD_LABOR_HOURS)*TEMP_HOURLY_RATE-FIXED_SEASON_COST)</f>
        <v>13964.218154</v>
      </c>
      <c r="I203" s="53" t="n">
        <f aca="false">IF(OR($A203&gt;TOMATO_BED_CAP,$B203&gt;CARROT_BED_CAP,I$4&gt;MESCLUN_BED_CAP,$A203+$B203+I$4&gt;TOTAL_BEDS_AVAILABLE,($D203+I$5)&gt;TOTAL_LABOR_HOURS_CAP,MAX(0,($D203+I$5)-PERMANENT_FIELD_LABOR_HOURS)&gt;TEMP_HOURS_CAP),"",$C203+I$6-MIN(($D203+I$5),PERMANENT_FIELD_LABOR_HOURS)*PERMANENT_HOURLY_RATE-MAX(0,($D203+I$5)-PERMANENT_FIELD_LABOR_HOURS)*TEMP_HOURLY_RATE-FIXED_SEASON_COST)</f>
        <v>14953.3341391563</v>
      </c>
      <c r="J203" s="53" t="n">
        <f aca="false">IF(OR($A203&gt;TOMATO_BED_CAP,$B203&gt;CARROT_BED_CAP,J$4&gt;MESCLUN_BED_CAP,$A203+$B203+J$4&gt;TOTAL_BEDS_AVAILABLE,($D203+J$5)&gt;TOTAL_LABOR_HOURS_CAP,MAX(0,($D203+J$5)-PERMANENT_FIELD_LABOR_HOURS)&gt;TEMP_HOURS_CAP),"",$C203+J$6-MIN(($D203+J$5),PERMANENT_FIELD_LABOR_HOURS)*PERMANENT_HOURLY_RATE-MAX(0,($D203+J$5)-PERMANENT_FIELD_LABOR_HOURS)*TEMP_HOURLY_RATE-FIXED_SEASON_COST)</f>
        <v>15921.928290211</v>
      </c>
      <c r="K203" s="53" t="n">
        <f aca="false">IF(OR($A203&gt;TOMATO_BED_CAP,$B203&gt;CARROT_BED_CAP,K$4&gt;MESCLUN_BED_CAP,$A203+$B203+K$4&gt;TOTAL_BEDS_AVAILABLE,($D203+K$5)&gt;TOTAL_LABOR_HOURS_CAP,MAX(0,($D203+K$5)-PERMANENT_FIELD_LABOR_HOURS)&gt;TEMP_HOURS_CAP),"",$C203+K$6-MIN(($D203+K$5),PERMANENT_FIELD_LABOR_HOURS)*PERMANENT_HOURLY_RATE-MAX(0,($D203+K$5)-PERMANENT_FIELD_LABOR_HOURS)*TEMP_HOURLY_RATE-FIXED_SEASON_COST)</f>
        <v>16869.6173869389</v>
      </c>
      <c r="L203" s="53" t="n">
        <f aca="false">IF(OR($A203&gt;TOMATO_BED_CAP,$B203&gt;CARROT_BED_CAP,L$4&gt;MESCLUN_BED_CAP,$A203+$B203+L$4&gt;TOTAL_BEDS_AVAILABLE,($D203+L$5)&gt;TOTAL_LABOR_HOURS_CAP,MAX(0,($D203+L$5)-PERMANENT_FIELD_LABOR_HOURS)&gt;TEMP_HOURS_CAP),"",$C203+L$6-MIN(($D203+L$5),PERMANENT_FIELD_LABOR_HOURS)*PERMANENT_HOURLY_RATE-MAX(0,($D203+L$5)-PERMANENT_FIELD_LABOR_HOURS)*TEMP_HOURLY_RATE-FIXED_SEASON_COST)</f>
        <v>17796.0118351457</v>
      </c>
      <c r="M203" s="53" t="n">
        <f aca="false">IF(OR($A203&gt;TOMATO_BED_CAP,$B203&gt;CARROT_BED_CAP,M$4&gt;MESCLUN_BED_CAP,$A203+$B203+M$4&gt;TOTAL_BEDS_AVAILABLE,($D203+M$5)&gt;TOTAL_LABOR_HOURS_CAP,MAX(0,($D203+M$5)-PERMANENT_FIELD_LABOR_HOURS)&gt;TEMP_HOURS_CAP),"",$C203+M$6-MIN(($D203+M$5),PERMANENT_FIELD_LABOR_HOURS)*PERMANENT_HOURLY_RATE-MAX(0,($D203+M$5)-PERMANENT_FIELD_LABOR_HOURS)*TEMP_HOURLY_RATE-FIXED_SEASON_COST)</f>
        <v>18700.7155671971</v>
      </c>
      <c r="N203" s="53" t="n">
        <f aca="false">IF(OR($A203&gt;TOMATO_BED_CAP,$B203&gt;CARROT_BED_CAP,N$4&gt;MESCLUN_BED_CAP,$A203+$B203+N$4&gt;TOTAL_BEDS_AVAILABLE,($D203+N$5)&gt;TOTAL_LABOR_HOURS_CAP,MAX(0,($D203+N$5)-PERMANENT_FIELD_LABOR_HOURS)&gt;TEMP_HOURS_CAP),"",$C203+N$6-MIN(($D203+N$5),PERMANENT_FIELD_LABOR_HOURS)*PERMANENT_HOURLY_RATE-MAX(0,($D203+N$5)-PERMANENT_FIELD_LABOR_HOURS)*TEMP_HOURLY_RATE-FIXED_SEASON_COST)</f>
        <v>19583.3259410567</v>
      </c>
      <c r="O203" s="53" t="n">
        <f aca="false">IF(OR($A203&gt;TOMATO_BED_CAP,$B203&gt;CARROT_BED_CAP,O$4&gt;MESCLUN_BED_CAP,$A203+$B203+O$4&gt;TOTAL_BEDS_AVAILABLE,($D203+O$5)&gt;TOTAL_LABOR_HOURS_CAP,MAX(0,($D203+O$5)-PERMANENT_FIELD_LABOR_HOURS)&gt;TEMP_HOURS_CAP),"",$C203+O$6-MIN(($D203+O$5),PERMANENT_FIELD_LABOR_HOURS)*PERMANENT_HOURLY_RATE-MAX(0,($D203+O$5)-PERMANENT_FIELD_LABOR_HOURS)*TEMP_HOURLY_RATE-FIXED_SEASON_COST)</f>
        <v>20443.4336378114</v>
      </c>
      <c r="P203" s="53" t="n">
        <f aca="false">IF(OR($A203&gt;TOMATO_BED_CAP,$B203&gt;CARROT_BED_CAP,P$4&gt;MESCLUN_BED_CAP,$A203+$B203+P$4&gt;TOTAL_BEDS_AVAILABLE,($D203+P$5)&gt;TOTAL_LABOR_HOURS_CAP,MAX(0,($D203+P$5)-PERMANENT_FIELD_LABOR_HOURS)&gt;TEMP_HOURS_CAP),"",$C203+P$6-MIN(($D203+P$5),PERMANENT_FIELD_LABOR_HOURS)*PERMANENT_HOURLY_RATE-MAX(0,($D203+P$5)-PERMANENT_FIELD_LABOR_HOURS)*TEMP_HOURLY_RATE-FIXED_SEASON_COST)</f>
        <v>21280.6225576629</v>
      </c>
      <c r="Q203" s="53" t="n">
        <f aca="false">IF(OR($A203&gt;TOMATO_BED_CAP,$B203&gt;CARROT_BED_CAP,Q$4&gt;MESCLUN_BED_CAP,$A203+$B203+Q$4&gt;TOTAL_BEDS_AVAILABLE,($D203+Q$5)&gt;TOTAL_LABOR_HOURS_CAP,MAX(0,($D203+Q$5)-PERMANENT_FIELD_LABOR_HOURS)&gt;TEMP_HOURS_CAP),"",$C203+Q$6-MIN(($D203+Q$5),PERMANENT_FIELD_LABOR_HOURS)*PERMANENT_HOURLY_RATE-MAX(0,($D203+Q$5)-PERMANENT_FIELD_LABOR_HOURS)*TEMP_HOURLY_RATE-FIXED_SEASON_COST)</f>
        <v>22094.4697143608</v>
      </c>
      <c r="R203" s="53" t="n">
        <f aca="false">IF(OR($A203&gt;TOMATO_BED_CAP,$B203&gt;CARROT_BED_CAP,R$4&gt;MESCLUN_BED_CAP,$A203+$B203+R$4&gt;TOTAL_BEDS_AVAILABLE,($D203+R$5)&gt;TOTAL_LABOR_HOURS_CAP,MAX(0,($D203+R$5)-PERMANENT_FIELD_LABOR_HOURS)&gt;TEMP_HOURS_CAP),"",$C203+R$6-MIN(($D203+R$5),PERMANENT_FIELD_LABOR_HOURS)*PERMANENT_HOURLY_RATE-MAX(0,($D203+R$5)-PERMANENT_FIELD_LABOR_HOURS)*TEMP_HOURLY_RATE-FIXED_SEASON_COST)</f>
        <v>22884.5451280576</v>
      </c>
      <c r="S203" s="53" t="n">
        <f aca="false">IF(OR($A203&gt;TOMATO_BED_CAP,$B203&gt;CARROT_BED_CAP,S$4&gt;MESCLUN_BED_CAP,$A203+$B203+S$4&gt;TOTAL_BEDS_AVAILABLE,($D203+S$5)&gt;TOTAL_LABOR_HOURS_CAP,MAX(0,($D203+S$5)-PERMANENT_FIELD_LABOR_HOURS)&gt;TEMP_HOURS_CAP),"",$C203+S$6-MIN(($D203+S$5),PERMANENT_FIELD_LABOR_HOURS)*PERMANENT_HOURLY_RATE-MAX(0,($D203+S$5)-PERMANENT_FIELD_LABOR_HOURS)*TEMP_HOURLY_RATE-FIXED_SEASON_COST)</f>
        <v>23650.41171656</v>
      </c>
      <c r="T203" s="53" t="n">
        <f aca="false">IF(OR($A203&gt;TOMATO_BED_CAP,$B203&gt;CARROT_BED_CAP,T$4&gt;MESCLUN_BED_CAP,$A203+$B203+T$4&gt;TOTAL_BEDS_AVAILABLE,($D203+T$5)&gt;TOTAL_LABOR_HOURS_CAP,MAX(0,($D203+T$5)-PERMANENT_FIELD_LABOR_HOURS)&gt;TEMP_HOURS_CAP),"",$C203+T$6-MIN(($D203+T$5),PERMANENT_FIELD_LABOR_HOURS)*PERMANENT_HOURLY_RATE-MAX(0,($D203+T$5)-PERMANENT_FIELD_LABOR_HOURS)*TEMP_HOURLY_RATE-FIXED_SEASON_COST)</f>
        <v>24391.6251849549</v>
      </c>
      <c r="U203" s="53" t="n">
        <f aca="false">IF(OR($A203&gt;TOMATO_BED_CAP,$B203&gt;CARROT_BED_CAP,U$4&gt;MESCLUN_BED_CAP,$A203+$B203+U$4&gt;TOTAL_BEDS_AVAILABLE,($D203+U$5)&gt;TOTAL_LABOR_HOURS_CAP,MAX(0,($D203+U$5)-PERMANENT_FIELD_LABOR_HOURS)&gt;TEMP_HOURS_CAP),"",$C203+U$6-MIN(($D203+U$5),PERMANENT_FIELD_LABOR_HOURS)*PERMANENT_HOURLY_RATE-MAX(0,($D203+U$5)-PERMANENT_FIELD_LABOR_HOURS)*TEMP_HOURLY_RATE-FIXED_SEASON_COST)</f>
        <v>25107.733913585</v>
      </c>
      <c r="V203" s="53" t="n">
        <f aca="false">IF(OR($A203&gt;TOMATO_BED_CAP,$B203&gt;CARROT_BED_CAP,V$4&gt;MESCLUN_BED_CAP,$A203+$B203+V$4&gt;TOTAL_BEDS_AVAILABLE,($D203+V$5)&gt;TOTAL_LABOR_HOURS_CAP,MAX(0,($D203+V$5)-PERMANENT_FIELD_LABOR_HOURS)&gt;TEMP_HOURS_CAP),"",$C203+V$6-MIN(($D203+V$5),PERMANENT_FIELD_LABOR_HOURS)*PERMANENT_HOURLY_RATE-MAX(0,($D203+V$5)-PERMANENT_FIELD_LABOR_HOURS)*TEMP_HOURLY_RATE-FIXED_SEASON_COST)</f>
        <v>25798.2788443518</v>
      </c>
      <c r="W203" s="53" t="n">
        <f aca="false">IF(OR($A203&gt;TOMATO_BED_CAP,$B203&gt;CARROT_BED_CAP,W$4&gt;MESCLUN_BED_CAP,$A203+$B203+W$4&gt;TOTAL_BEDS_AVAILABLE,($D203+W$5)&gt;TOTAL_LABOR_HOURS_CAP,MAX(0,($D203+W$5)-PERMANENT_FIELD_LABOR_HOURS)&gt;TEMP_HOURS_CAP),"",$C203+W$6-MIN(($D203+W$5),PERMANENT_FIELD_LABOR_HOURS)*PERMANENT_HOURLY_RATE-MAX(0,($D203+W$5)-PERMANENT_FIELD_LABOR_HOURS)*TEMP_HOURLY_RATE-FIXED_SEASON_COST)</f>
        <v>26462.7933653198</v>
      </c>
      <c r="X203" s="53" t="n">
        <f aca="false">IF(OR($A203&gt;TOMATO_BED_CAP,$B203&gt;CARROT_BED_CAP,X$4&gt;MESCLUN_BED_CAP,$A203+$B203+X$4&gt;TOTAL_BEDS_AVAILABLE,($D203+X$5)&gt;TOTAL_LABOR_HOURS_CAP,MAX(0,($D203+X$5)-PERMANENT_FIELD_LABOR_HOURS)&gt;TEMP_HOURS_CAP),"",$C203+X$6-MIN(($D203+X$5),PERMANENT_FIELD_LABOR_HOURS)*PERMANENT_HOURLY_RATE-MAX(0,($D203+X$5)-PERMANENT_FIELD_LABOR_HOURS)*TEMP_HOURLY_RATE-FIXED_SEASON_COST)</f>
        <v>27100.8031935987</v>
      </c>
      <c r="Y203" s="53" t="n">
        <f aca="false">IF(OR($A203&gt;TOMATO_BED_CAP,$B203&gt;CARROT_BED_CAP,Y$4&gt;MESCLUN_BED_CAP,$A203+$B203+Y$4&gt;TOTAL_BEDS_AVAILABLE,($D203+Y$5)&gt;TOTAL_LABOR_HOURS_CAP,MAX(0,($D203+Y$5)-PERMANENT_FIELD_LABOR_HOURS)&gt;TEMP_HOURS_CAP),"",$C203+Y$6-MIN(($D203+Y$5),PERMANENT_FIELD_LABOR_HOURS)*PERMANENT_HOURLY_RATE-MAX(0,($D203+Y$5)-PERMANENT_FIELD_LABOR_HOURS)*TEMP_HOURLY_RATE-FIXED_SEASON_COST)</f>
        <v>27711.8262564774</v>
      </c>
      <c r="Z203" s="53" t="n">
        <f aca="false">IF(OR($A203&gt;TOMATO_BED_CAP,$B203&gt;CARROT_BED_CAP,Z$4&gt;MESCLUN_BED_CAP,$A203+$B203+Z$4&gt;TOTAL_BEDS_AVAILABLE,($D203+Z$5)&gt;TOTAL_LABOR_HOURS_CAP,MAX(0,($D203+Z$5)-PERMANENT_FIELD_LABOR_HOURS)&gt;TEMP_HOURS_CAP),"",$C203+Z$6-MIN(($D203+Z$5),PERMANENT_FIELD_LABOR_HOURS)*PERMANENT_HOURLY_RATE-MAX(0,($D203+Z$5)-PERMANENT_FIELD_LABOR_HOURS)*TEMP_HOURLY_RATE-FIXED_SEASON_COST)</f>
        <v>28295.3725707851</v>
      </c>
      <c r="AA203" s="53" t="n">
        <f aca="false">IF(OR($A203&gt;TOMATO_BED_CAP,$B203&gt;CARROT_BED_CAP,AA$4&gt;MESCLUN_BED_CAP,$A203+$B203+AA$4&gt;TOTAL_BEDS_AVAILABLE,($D203+AA$5)&gt;TOTAL_LABOR_HOURS_CAP,MAX(0,($D203+AA$5)-PERMANENT_FIELD_LABOR_HOURS)&gt;TEMP_HOURS_CAP),"",$C203+AA$6-MIN(($D203+AA$5),PERMANENT_FIELD_LABOR_HOURS)*PERMANENT_HOURLY_RATE-MAX(0,($D203+AA$5)-PERMANENT_FIELD_LABOR_HOURS)*TEMP_HOURLY_RATE-FIXED_SEASON_COST)</f>
        <v>28850.9441204541</v>
      </c>
      <c r="AB203" s="53" t="n">
        <f aca="false">IF(OR($A203&gt;TOMATO_BED_CAP,$B203&gt;CARROT_BED_CAP,AB$4&gt;MESCLUN_BED_CAP,$A203+$B203+AB$4&gt;TOTAL_BEDS_AVAILABLE,($D203+AB$5)&gt;TOTAL_LABOR_HOURS_CAP,MAX(0,($D203+AB$5)-PERMANENT_FIELD_LABOR_HOURS)&gt;TEMP_HOURS_CAP),"",$C203+AB$6-MIN(($D203+AB$5),PERMANENT_FIELD_LABOR_HOURS)*PERMANENT_HOURLY_RATE-MAX(0,($D203+AB$5)-PERMANENT_FIELD_LABOR_HOURS)*TEMP_HOURLY_RATE-FIXED_SEASON_COST)</f>
        <v>29378.0347322566</v>
      </c>
      <c r="AC203" s="53" t="n">
        <f aca="false">IF(OR($A203&gt;TOMATO_BED_CAP,$B203&gt;CARROT_BED_CAP,AC$4&gt;MESCLUN_BED_CAP,$A203+$B203+AC$4&gt;TOTAL_BEDS_AVAILABLE,($D203+AC$5)&gt;TOTAL_LABOR_HOURS_CAP,MAX(0,($D203+AC$5)-PERMANENT_FIELD_LABOR_HOURS)&gt;TEMP_HOURS_CAP),"",$C203+AC$6-MIN(($D203+AC$5),PERMANENT_FIELD_LABOR_HOURS)*PERMANENT_HOURLY_RATE-MAX(0,($D203+AC$5)-PERMANENT_FIELD_LABOR_HOURS)*TEMP_HOURLY_RATE-FIXED_SEASON_COST)</f>
        <v>29876.1299496915</v>
      </c>
      <c r="AD203" s="53" t="n">
        <f aca="false">IF(OR($A203&gt;TOMATO_BED_CAP,$B203&gt;CARROT_BED_CAP,AD$4&gt;MESCLUN_BED_CAP,$A203+$B203+AD$4&gt;TOTAL_BEDS_AVAILABLE,($D203+AD$5)&gt;TOTAL_LABOR_HOURS_CAP,MAX(0,($D203+AD$5)-PERMANENT_FIELD_LABOR_HOURS)&gt;TEMP_HOURS_CAP),"",$C203+AD$6-MIN(($D203+AD$5),PERMANENT_FIELD_LABOR_HOURS)*PERMANENT_HOURLY_RATE-MAX(0,($D203+AD$5)-PERMANENT_FIELD_LABOR_HOURS)*TEMP_HOURLY_RATE-FIXED_SEASON_COST)</f>
        <v>30344.7069049915</v>
      </c>
      <c r="AE203" s="53" t="n">
        <f aca="false">IF(OR($A203&gt;TOMATO_BED_CAP,$B203&gt;CARROT_BED_CAP,AE$4&gt;MESCLUN_BED_CAP,$A203+$B203+AE$4&gt;TOTAL_BEDS_AVAILABLE,($D203+AE$5)&gt;TOTAL_LABOR_HOURS_CAP,MAX(0,($D203+AE$5)-PERMANENT_FIELD_LABOR_HOURS)&gt;TEMP_HOURS_CAP),"",$C203+AE$6-MIN(($D203+AE$5),PERMANENT_FIELD_LABOR_HOURS)*PERMANENT_HOURLY_RATE-MAX(0,($D203+AE$5)-PERMANENT_FIELD_LABOR_HOURS)*TEMP_HOURLY_RATE-FIXED_SEASON_COST)</f>
        <v>30783.2341892254</v>
      </c>
      <c r="AF203" s="53" t="n">
        <f aca="false">IF(OR($A203&gt;TOMATO_BED_CAP,$B203&gt;CARROT_BED_CAP,AF$4&gt;MESCLUN_BED_CAP,$A203+$B203+AF$4&gt;TOTAL_BEDS_AVAILABLE,($D203+AF$5)&gt;TOTAL_LABOR_HOURS_CAP,MAX(0,($D203+AF$5)-PERMANENT_FIELD_LABOR_HOURS)&gt;TEMP_HOURS_CAP),"",$C203+AF$6-MIN(($D203+AF$5),PERMANENT_FIELD_LABOR_HOURS)*PERMANENT_HOURLY_RATE-MAX(0,($D203+AF$5)-PERMANENT_FIELD_LABOR_HOURS)*TEMP_HOURLY_RATE-FIXED_SEASON_COST)</f>
        <v>31191.1717204673</v>
      </c>
      <c r="AG203" s="53" t="n">
        <f aca="false">IF(OR($A203&gt;TOMATO_BED_CAP,$B203&gt;CARROT_BED_CAP,AG$4&gt;MESCLUN_BED_CAP,$A203+$B203+AG$4&gt;TOTAL_BEDS_AVAILABLE,($D203+AG$5)&gt;TOTAL_LABOR_HOURS_CAP,MAX(0,($D203+AG$5)-PERMANENT_FIELD_LABOR_HOURS)&gt;TEMP_HOURS_CAP),"",$C203+AG$6-MIN(($D203+AG$5),PERMANENT_FIELD_LABOR_HOURS)*PERMANENT_HOURLY_RATE-MAX(0,($D203+AG$5)-PERMANENT_FIELD_LABOR_HOURS)*TEMP_HOURLY_RATE-FIXED_SEASON_COST)</f>
        <v>31567.9706100043</v>
      </c>
      <c r="AH203" s="53" t="n">
        <f aca="false">IF(OR($A203&gt;TOMATO_BED_CAP,$B203&gt;CARROT_BED_CAP,AH$4&gt;MESCLUN_BED_CAP,$A203+$B203+AH$4&gt;TOTAL_BEDS_AVAILABLE,($D203+AH$5)&gt;TOTAL_LABOR_HOURS_CAP,MAX(0,($D203+AH$5)-PERMANENT_FIELD_LABOR_HOURS)&gt;TEMP_HOURS_CAP),"",$C203+AH$6-MIN(($D203+AH$5),PERMANENT_FIELD_LABOR_HOURS)*PERMANENT_HOURLY_RATE-MAX(0,($D203+AH$5)-PERMANENT_FIELD_LABOR_HOURS)*TEMP_HOURLY_RATE-FIXED_SEASON_COST)</f>
        <v>31913.0730265546</v>
      </c>
      <c r="AI203" s="53" t="n">
        <f aca="false">IF(OR($A203&gt;TOMATO_BED_CAP,$B203&gt;CARROT_BED_CAP,AI$4&gt;MESCLUN_BED_CAP,$A203+$B203+AI$4&gt;TOTAL_BEDS_AVAILABLE,($D203+AI$5)&gt;TOTAL_LABOR_HOURS_CAP,MAX(0,($D203+AI$5)-PERMANENT_FIELD_LABOR_HOURS)&gt;TEMP_HOURS_CAP),"",$C203+AI$6-MIN(($D203+AI$5),PERMANENT_FIELD_LABOR_HOURS)*PERMANENT_HOURLY_RATE-MAX(0,($D203+AI$5)-PERMANENT_FIELD_LABOR_HOURS)*TEMP_HOURLY_RATE-FIXED_SEASON_COST)</f>
        <v>32225.9120584668</v>
      </c>
      <c r="AJ203" s="53" t="n">
        <f aca="false">IF(OR($A203&gt;TOMATO_BED_CAP,$B203&gt;CARROT_BED_CAP,AJ$4&gt;MESCLUN_BED_CAP,$A203+$B203+AJ$4&gt;TOTAL_BEDS_AVAILABLE,($D203+AJ$5)&gt;TOTAL_LABOR_HOURS_CAP,MAX(0,($D203+AJ$5)-PERMANENT_FIELD_LABOR_HOURS)&gt;TEMP_HOURS_CAP),"",$C203+AJ$6-MIN(($D203+AJ$5),PERMANENT_FIELD_LABOR_HOURS)*PERMANENT_HOURLY_RATE-MAX(0,($D203+AJ$5)-PERMANENT_FIELD_LABOR_HOURS)*TEMP_HOURLY_RATE-FIXED_SEASON_COST)</f>
        <v>32505.9115738726</v>
      </c>
    </row>
    <row r="204" customFormat="false" ht="15" hidden="false" customHeight="false" outlineLevel="0" collapsed="false">
      <c r="A204" s="21" t="n">
        <f aca="false">INT((ROW()-ROW($A$8))/(20+1))</f>
        <v>9</v>
      </c>
      <c r="B204" s="21" t="n">
        <f aca="false">MOD(ROW()-ROW($A$8),20+1)</f>
        <v>7</v>
      </c>
      <c r="C204" s="13" t="n">
        <f aca="false">A204*(TOMATO_REVENUE_PER_BED-TOMATO_FERTILIZER_PER_BED)+B204*(CARROT_REVENUE_PER_BED-CARROT_FERTILIZER_PER_BED)</f>
        <v>82858</v>
      </c>
      <c r="D204" s="14" t="n">
        <f aca="false">INDEX(TOMATO_SCHED_LABOR_HRS,A204+1)+INDEX(CARROT_SCHED_LABOR_HRS,B204+1)</f>
        <v>2159.46178837702</v>
      </c>
      <c r="E204" s="13" t="n">
        <f aca="false">IF(COUNT(F204:AJ204)=0,"",MAX(F204:AJ204))</f>
        <v>33450.5326486475</v>
      </c>
      <c r="F204" s="53" t="n">
        <f aca="false">IF(OR($A204&gt;TOMATO_BED_CAP,$B204&gt;CARROT_BED_CAP,F$4&gt;MESCLUN_BED_CAP,$A204+$B204+F$4&gt;TOTAL_BEDS_AVAILABLE,($D204+F$5)&gt;TOTAL_LABOR_HOURS_CAP,MAX(0,($D204+F$5)-PERMANENT_FIELD_LABOR_HOURS)&gt;TEMP_HOURS_CAP),"",$C204+F$6-MIN(($D204+F$5),PERMANENT_FIELD_LABOR_HOURS)*PERMANENT_HOURLY_RATE-MAX(0,($D204+F$5)-PERMANENT_FIELD_LABOR_HOURS)*TEMP_HOURLY_RATE-FIXED_SEASON_COST)</f>
        <v>12870.543353775</v>
      </c>
      <c r="G204" s="53" t="n">
        <f aca="false">IF(OR($A204&gt;TOMATO_BED_CAP,$B204&gt;CARROT_BED_CAP,G$4&gt;MESCLUN_BED_CAP,$A204+$B204+G$4&gt;TOTAL_BEDS_AVAILABLE,($D204+G$5)&gt;TOTAL_LABOR_HOURS_CAP,MAX(0,($D204+G$5)-PERMANENT_FIELD_LABOR_HOURS)&gt;TEMP_HOURS_CAP),"",$C204+G$6-MIN(($D204+G$5),PERMANENT_FIELD_LABOR_HOURS)*PERMANENT_HOURLY_RATE-MAX(0,($D204+G$5)-PERMANENT_FIELD_LABOR_HOURS)*TEMP_HOURLY_RATE-FIXED_SEASON_COST)</f>
        <v>13899.578353775</v>
      </c>
      <c r="H204" s="53" t="n">
        <f aca="false">IF(OR($A204&gt;TOMATO_BED_CAP,$B204&gt;CARROT_BED_CAP,H$4&gt;MESCLUN_BED_CAP,$A204+$B204+H$4&gt;TOTAL_BEDS_AVAILABLE,($D204+H$5)&gt;TOTAL_LABOR_HOURS_CAP,MAX(0,($D204+H$5)-PERMANENT_FIELD_LABOR_HOURS)&gt;TEMP_HOURS_CAP),"",$C204+H$6-MIN(($D204+H$5),PERMANENT_FIELD_LABOR_HOURS)*PERMANENT_HOURLY_RATE-MAX(0,($D204+H$5)-PERMANENT_FIELD_LABOR_HOURS)*TEMP_HOURLY_RATE-FIXED_SEASON_COST)</f>
        <v>14908.839228775</v>
      </c>
      <c r="I204" s="53" t="n">
        <f aca="false">IF(OR($A204&gt;TOMATO_BED_CAP,$B204&gt;CARROT_BED_CAP,I$4&gt;MESCLUN_BED_CAP,$A204+$B204+I$4&gt;TOTAL_BEDS_AVAILABLE,($D204+I$5)&gt;TOTAL_LABOR_HOURS_CAP,MAX(0,($D204+I$5)-PERMANENT_FIELD_LABOR_HOURS)&gt;TEMP_HOURS_CAP),"",$C204+I$6-MIN(($D204+I$5),PERMANENT_FIELD_LABOR_HOURS)*PERMANENT_HOURLY_RATE-MAX(0,($D204+I$5)-PERMANENT_FIELD_LABOR_HOURS)*TEMP_HOURLY_RATE-FIXED_SEASON_COST)</f>
        <v>15897.9552139312</v>
      </c>
      <c r="J204" s="53" t="n">
        <f aca="false">IF(OR($A204&gt;TOMATO_BED_CAP,$B204&gt;CARROT_BED_CAP,J$4&gt;MESCLUN_BED_CAP,$A204+$B204+J$4&gt;TOTAL_BEDS_AVAILABLE,($D204+J$5)&gt;TOTAL_LABOR_HOURS_CAP,MAX(0,($D204+J$5)-PERMANENT_FIELD_LABOR_HOURS)&gt;TEMP_HOURS_CAP),"",$C204+J$6-MIN(($D204+J$5),PERMANENT_FIELD_LABOR_HOURS)*PERMANENT_HOURLY_RATE-MAX(0,($D204+J$5)-PERMANENT_FIELD_LABOR_HOURS)*TEMP_HOURLY_RATE-FIXED_SEASON_COST)</f>
        <v>16866.5493649859</v>
      </c>
      <c r="K204" s="53" t="n">
        <f aca="false">IF(OR($A204&gt;TOMATO_BED_CAP,$B204&gt;CARROT_BED_CAP,K$4&gt;MESCLUN_BED_CAP,$A204+$B204+K$4&gt;TOTAL_BEDS_AVAILABLE,($D204+K$5)&gt;TOTAL_LABOR_HOURS_CAP,MAX(0,($D204+K$5)-PERMANENT_FIELD_LABOR_HOURS)&gt;TEMP_HOURS_CAP),"",$C204+K$6-MIN(($D204+K$5),PERMANENT_FIELD_LABOR_HOURS)*PERMANENT_HOURLY_RATE-MAX(0,($D204+K$5)-PERMANENT_FIELD_LABOR_HOURS)*TEMP_HOURLY_RATE-FIXED_SEASON_COST)</f>
        <v>17814.2384617138</v>
      </c>
      <c r="L204" s="53" t="n">
        <f aca="false">IF(OR($A204&gt;TOMATO_BED_CAP,$B204&gt;CARROT_BED_CAP,L$4&gt;MESCLUN_BED_CAP,$A204+$B204+L$4&gt;TOTAL_BEDS_AVAILABLE,($D204+L$5)&gt;TOTAL_LABOR_HOURS_CAP,MAX(0,($D204+L$5)-PERMANENT_FIELD_LABOR_HOURS)&gt;TEMP_HOURS_CAP),"",$C204+L$6-MIN(($D204+L$5),PERMANENT_FIELD_LABOR_HOURS)*PERMANENT_HOURLY_RATE-MAX(0,($D204+L$5)-PERMANENT_FIELD_LABOR_HOURS)*TEMP_HOURLY_RATE-FIXED_SEASON_COST)</f>
        <v>18740.6329099207</v>
      </c>
      <c r="M204" s="53" t="n">
        <f aca="false">IF(OR($A204&gt;TOMATO_BED_CAP,$B204&gt;CARROT_BED_CAP,M$4&gt;MESCLUN_BED_CAP,$A204+$B204+M$4&gt;TOTAL_BEDS_AVAILABLE,($D204+M$5)&gt;TOTAL_LABOR_HOURS_CAP,MAX(0,($D204+M$5)-PERMANENT_FIELD_LABOR_HOURS)&gt;TEMP_HOURS_CAP),"",$C204+M$6-MIN(($D204+M$5),PERMANENT_FIELD_LABOR_HOURS)*PERMANENT_HOURLY_RATE-MAX(0,($D204+M$5)-PERMANENT_FIELD_LABOR_HOURS)*TEMP_HOURLY_RATE-FIXED_SEASON_COST)</f>
        <v>19645.3366419721</v>
      </c>
      <c r="N204" s="53" t="n">
        <f aca="false">IF(OR($A204&gt;TOMATO_BED_CAP,$B204&gt;CARROT_BED_CAP,N$4&gt;MESCLUN_BED_CAP,$A204+$B204+N$4&gt;TOTAL_BEDS_AVAILABLE,($D204+N$5)&gt;TOTAL_LABOR_HOURS_CAP,MAX(0,($D204+N$5)-PERMANENT_FIELD_LABOR_HOURS)&gt;TEMP_HOURS_CAP),"",$C204+N$6-MIN(($D204+N$5),PERMANENT_FIELD_LABOR_HOURS)*PERMANENT_HOURLY_RATE-MAX(0,($D204+N$5)-PERMANENT_FIELD_LABOR_HOURS)*TEMP_HOURLY_RATE-FIXED_SEASON_COST)</f>
        <v>20527.9470158316</v>
      </c>
      <c r="O204" s="53" t="n">
        <f aca="false">IF(OR($A204&gt;TOMATO_BED_CAP,$B204&gt;CARROT_BED_CAP,O$4&gt;MESCLUN_BED_CAP,$A204+$B204+O$4&gt;TOTAL_BEDS_AVAILABLE,($D204+O$5)&gt;TOTAL_LABOR_HOURS_CAP,MAX(0,($D204+O$5)-PERMANENT_FIELD_LABOR_HOURS)&gt;TEMP_HOURS_CAP),"",$C204+O$6-MIN(($D204+O$5),PERMANENT_FIELD_LABOR_HOURS)*PERMANENT_HOURLY_RATE-MAX(0,($D204+O$5)-PERMANENT_FIELD_LABOR_HOURS)*TEMP_HOURLY_RATE-FIXED_SEASON_COST)</f>
        <v>21388.0547125864</v>
      </c>
      <c r="P204" s="53" t="n">
        <f aca="false">IF(OR($A204&gt;TOMATO_BED_CAP,$B204&gt;CARROT_BED_CAP,P$4&gt;MESCLUN_BED_CAP,$A204+$B204+P$4&gt;TOTAL_BEDS_AVAILABLE,($D204+P$5)&gt;TOTAL_LABOR_HOURS_CAP,MAX(0,($D204+P$5)-PERMANENT_FIELD_LABOR_HOURS)&gt;TEMP_HOURS_CAP),"",$C204+P$6-MIN(($D204+P$5),PERMANENT_FIELD_LABOR_HOURS)*PERMANENT_HOURLY_RATE-MAX(0,($D204+P$5)-PERMANENT_FIELD_LABOR_HOURS)*TEMP_HOURLY_RATE-FIXED_SEASON_COST)</f>
        <v>22225.2436324378</v>
      </c>
      <c r="Q204" s="53" t="n">
        <f aca="false">IF(OR($A204&gt;TOMATO_BED_CAP,$B204&gt;CARROT_BED_CAP,Q$4&gt;MESCLUN_BED_CAP,$A204+$B204+Q$4&gt;TOTAL_BEDS_AVAILABLE,($D204+Q$5)&gt;TOTAL_LABOR_HOURS_CAP,MAX(0,($D204+Q$5)-PERMANENT_FIELD_LABOR_HOURS)&gt;TEMP_HOURS_CAP),"",$C204+Q$6-MIN(($D204+Q$5),PERMANENT_FIELD_LABOR_HOURS)*PERMANENT_HOURLY_RATE-MAX(0,($D204+Q$5)-PERMANENT_FIELD_LABOR_HOURS)*TEMP_HOURLY_RATE-FIXED_SEASON_COST)</f>
        <v>23039.0907891357</v>
      </c>
      <c r="R204" s="53" t="n">
        <f aca="false">IF(OR($A204&gt;TOMATO_BED_CAP,$B204&gt;CARROT_BED_CAP,R$4&gt;MESCLUN_BED_CAP,$A204+$B204+R$4&gt;TOTAL_BEDS_AVAILABLE,($D204+R$5)&gt;TOTAL_LABOR_HOURS_CAP,MAX(0,($D204+R$5)-PERMANENT_FIELD_LABOR_HOURS)&gt;TEMP_HOURS_CAP),"",$C204+R$6-MIN(($D204+R$5),PERMANENT_FIELD_LABOR_HOURS)*PERMANENT_HOURLY_RATE-MAX(0,($D204+R$5)-PERMANENT_FIELD_LABOR_HOURS)*TEMP_HOURLY_RATE-FIXED_SEASON_COST)</f>
        <v>23829.1662028325</v>
      </c>
      <c r="S204" s="53" t="n">
        <f aca="false">IF(OR($A204&gt;TOMATO_BED_CAP,$B204&gt;CARROT_BED_CAP,S$4&gt;MESCLUN_BED_CAP,$A204+$B204+S$4&gt;TOTAL_BEDS_AVAILABLE,($D204+S$5)&gt;TOTAL_LABOR_HOURS_CAP,MAX(0,($D204+S$5)-PERMANENT_FIELD_LABOR_HOURS)&gt;TEMP_HOURS_CAP),"",$C204+S$6-MIN(($D204+S$5),PERMANENT_FIELD_LABOR_HOURS)*PERMANENT_HOURLY_RATE-MAX(0,($D204+S$5)-PERMANENT_FIELD_LABOR_HOURS)*TEMP_HOURLY_RATE-FIXED_SEASON_COST)</f>
        <v>24595.0327913349</v>
      </c>
      <c r="T204" s="53" t="n">
        <f aca="false">IF(OR($A204&gt;TOMATO_BED_CAP,$B204&gt;CARROT_BED_CAP,T$4&gt;MESCLUN_BED_CAP,$A204+$B204+T$4&gt;TOTAL_BEDS_AVAILABLE,($D204+T$5)&gt;TOTAL_LABOR_HOURS_CAP,MAX(0,($D204+T$5)-PERMANENT_FIELD_LABOR_HOURS)&gt;TEMP_HOURS_CAP),"",$C204+T$6-MIN(($D204+T$5),PERMANENT_FIELD_LABOR_HOURS)*PERMANENT_HOURLY_RATE-MAX(0,($D204+T$5)-PERMANENT_FIELD_LABOR_HOURS)*TEMP_HOURLY_RATE-FIXED_SEASON_COST)</f>
        <v>25336.2462597298</v>
      </c>
      <c r="U204" s="53" t="n">
        <f aca="false">IF(OR($A204&gt;TOMATO_BED_CAP,$B204&gt;CARROT_BED_CAP,U$4&gt;MESCLUN_BED_CAP,$A204+$B204+U$4&gt;TOTAL_BEDS_AVAILABLE,($D204+U$5)&gt;TOTAL_LABOR_HOURS_CAP,MAX(0,($D204+U$5)-PERMANENT_FIELD_LABOR_HOURS)&gt;TEMP_HOURS_CAP),"",$C204+U$6-MIN(($D204+U$5),PERMANENT_FIELD_LABOR_HOURS)*PERMANENT_HOURLY_RATE-MAX(0,($D204+U$5)-PERMANENT_FIELD_LABOR_HOURS)*TEMP_HOURLY_RATE-FIXED_SEASON_COST)</f>
        <v>26052.3549883599</v>
      </c>
      <c r="V204" s="53" t="n">
        <f aca="false">IF(OR($A204&gt;TOMATO_BED_CAP,$B204&gt;CARROT_BED_CAP,V$4&gt;MESCLUN_BED_CAP,$A204+$B204+V$4&gt;TOTAL_BEDS_AVAILABLE,($D204+V$5)&gt;TOTAL_LABOR_HOURS_CAP,MAX(0,($D204+V$5)-PERMANENT_FIELD_LABOR_HOURS)&gt;TEMP_HOURS_CAP),"",$C204+V$6-MIN(($D204+V$5),PERMANENT_FIELD_LABOR_HOURS)*PERMANENT_HOURLY_RATE-MAX(0,($D204+V$5)-PERMANENT_FIELD_LABOR_HOURS)*TEMP_HOURLY_RATE-FIXED_SEASON_COST)</f>
        <v>26742.8999191267</v>
      </c>
      <c r="W204" s="53" t="n">
        <f aca="false">IF(OR($A204&gt;TOMATO_BED_CAP,$B204&gt;CARROT_BED_CAP,W$4&gt;MESCLUN_BED_CAP,$A204+$B204+W$4&gt;TOTAL_BEDS_AVAILABLE,($D204+W$5)&gt;TOTAL_LABOR_HOURS_CAP,MAX(0,($D204+W$5)-PERMANENT_FIELD_LABOR_HOURS)&gt;TEMP_HOURS_CAP),"",$C204+W$6-MIN(($D204+W$5),PERMANENT_FIELD_LABOR_HOURS)*PERMANENT_HOURLY_RATE-MAX(0,($D204+W$5)-PERMANENT_FIELD_LABOR_HOURS)*TEMP_HOURLY_RATE-FIXED_SEASON_COST)</f>
        <v>27407.4144400947</v>
      </c>
      <c r="X204" s="53" t="n">
        <f aca="false">IF(OR($A204&gt;TOMATO_BED_CAP,$B204&gt;CARROT_BED_CAP,X$4&gt;MESCLUN_BED_CAP,$A204+$B204+X$4&gt;TOTAL_BEDS_AVAILABLE,($D204+X$5)&gt;TOTAL_LABOR_HOURS_CAP,MAX(0,($D204+X$5)-PERMANENT_FIELD_LABOR_HOURS)&gt;TEMP_HOURS_CAP),"",$C204+X$6-MIN(($D204+X$5),PERMANENT_FIELD_LABOR_HOURS)*PERMANENT_HOURLY_RATE-MAX(0,($D204+X$5)-PERMANENT_FIELD_LABOR_HOURS)*TEMP_HOURLY_RATE-FIXED_SEASON_COST)</f>
        <v>28045.4242683737</v>
      </c>
      <c r="Y204" s="53" t="n">
        <f aca="false">IF(OR($A204&gt;TOMATO_BED_CAP,$B204&gt;CARROT_BED_CAP,Y$4&gt;MESCLUN_BED_CAP,$A204+$B204+Y$4&gt;TOTAL_BEDS_AVAILABLE,($D204+Y$5)&gt;TOTAL_LABOR_HOURS_CAP,MAX(0,($D204+Y$5)-PERMANENT_FIELD_LABOR_HOURS)&gt;TEMP_HOURS_CAP),"",$C204+Y$6-MIN(($D204+Y$5),PERMANENT_FIELD_LABOR_HOURS)*PERMANENT_HOURLY_RATE-MAX(0,($D204+Y$5)-PERMANENT_FIELD_LABOR_HOURS)*TEMP_HOURLY_RATE-FIXED_SEASON_COST)</f>
        <v>28656.4473312523</v>
      </c>
      <c r="Z204" s="53" t="n">
        <f aca="false">IF(OR($A204&gt;TOMATO_BED_CAP,$B204&gt;CARROT_BED_CAP,Z$4&gt;MESCLUN_BED_CAP,$A204+$B204+Z$4&gt;TOTAL_BEDS_AVAILABLE,($D204+Z$5)&gt;TOTAL_LABOR_HOURS_CAP,MAX(0,($D204+Z$5)-PERMANENT_FIELD_LABOR_HOURS)&gt;TEMP_HOURS_CAP),"",$C204+Z$6-MIN(($D204+Z$5),PERMANENT_FIELD_LABOR_HOURS)*PERMANENT_HOURLY_RATE-MAX(0,($D204+Z$5)-PERMANENT_FIELD_LABOR_HOURS)*TEMP_HOURLY_RATE-FIXED_SEASON_COST)</f>
        <v>29239.9936455601</v>
      </c>
      <c r="AA204" s="53" t="n">
        <f aca="false">IF(OR($A204&gt;TOMATO_BED_CAP,$B204&gt;CARROT_BED_CAP,AA$4&gt;MESCLUN_BED_CAP,$A204+$B204+AA$4&gt;TOTAL_BEDS_AVAILABLE,($D204+AA$5)&gt;TOTAL_LABOR_HOURS_CAP,MAX(0,($D204+AA$5)-PERMANENT_FIELD_LABOR_HOURS)&gt;TEMP_HOURS_CAP),"",$C204+AA$6-MIN(($D204+AA$5),PERMANENT_FIELD_LABOR_HOURS)*PERMANENT_HOURLY_RATE-MAX(0,($D204+AA$5)-PERMANENT_FIELD_LABOR_HOURS)*TEMP_HOURLY_RATE-FIXED_SEASON_COST)</f>
        <v>29795.565195229</v>
      </c>
      <c r="AB204" s="53" t="n">
        <f aca="false">IF(OR($A204&gt;TOMATO_BED_CAP,$B204&gt;CARROT_BED_CAP,AB$4&gt;MESCLUN_BED_CAP,$A204+$B204+AB$4&gt;TOTAL_BEDS_AVAILABLE,($D204+AB$5)&gt;TOTAL_LABOR_HOURS_CAP,MAX(0,($D204+AB$5)-PERMANENT_FIELD_LABOR_HOURS)&gt;TEMP_HOURS_CAP),"",$C204+AB$6-MIN(($D204+AB$5),PERMANENT_FIELD_LABOR_HOURS)*PERMANENT_HOURLY_RATE-MAX(0,($D204+AB$5)-PERMANENT_FIELD_LABOR_HOURS)*TEMP_HOURLY_RATE-FIXED_SEASON_COST)</f>
        <v>30322.6558070316</v>
      </c>
      <c r="AC204" s="53" t="n">
        <f aca="false">IF(OR($A204&gt;TOMATO_BED_CAP,$B204&gt;CARROT_BED_CAP,AC$4&gt;MESCLUN_BED_CAP,$A204+$B204+AC$4&gt;TOTAL_BEDS_AVAILABLE,($D204+AC$5)&gt;TOTAL_LABOR_HOURS_CAP,MAX(0,($D204+AC$5)-PERMANENT_FIELD_LABOR_HOURS)&gt;TEMP_HOURS_CAP),"",$C204+AC$6-MIN(($D204+AC$5),PERMANENT_FIELD_LABOR_HOURS)*PERMANENT_HOURLY_RATE-MAX(0,($D204+AC$5)-PERMANENT_FIELD_LABOR_HOURS)*TEMP_HOURLY_RATE-FIXED_SEASON_COST)</f>
        <v>30820.7510244665</v>
      </c>
      <c r="AD204" s="53" t="n">
        <f aca="false">IF(OR($A204&gt;TOMATO_BED_CAP,$B204&gt;CARROT_BED_CAP,AD$4&gt;MESCLUN_BED_CAP,$A204+$B204+AD$4&gt;TOTAL_BEDS_AVAILABLE,($D204+AD$5)&gt;TOTAL_LABOR_HOURS_CAP,MAX(0,($D204+AD$5)-PERMANENT_FIELD_LABOR_HOURS)&gt;TEMP_HOURS_CAP),"",$C204+AD$6-MIN(($D204+AD$5),PERMANENT_FIELD_LABOR_HOURS)*PERMANENT_HOURLY_RATE-MAX(0,($D204+AD$5)-PERMANENT_FIELD_LABOR_HOURS)*TEMP_HOURLY_RATE-FIXED_SEASON_COST)</f>
        <v>31289.3279797664</v>
      </c>
      <c r="AE204" s="53" t="n">
        <f aca="false">IF(OR($A204&gt;TOMATO_BED_CAP,$B204&gt;CARROT_BED_CAP,AE$4&gt;MESCLUN_BED_CAP,$A204+$B204+AE$4&gt;TOTAL_BEDS_AVAILABLE,($D204+AE$5)&gt;TOTAL_LABOR_HOURS_CAP,MAX(0,($D204+AE$5)-PERMANENT_FIELD_LABOR_HOURS)&gt;TEMP_HOURS_CAP),"",$C204+AE$6-MIN(($D204+AE$5),PERMANENT_FIELD_LABOR_HOURS)*PERMANENT_HOURLY_RATE-MAX(0,($D204+AE$5)-PERMANENT_FIELD_LABOR_HOURS)*TEMP_HOURLY_RATE-FIXED_SEASON_COST)</f>
        <v>31727.8552640003</v>
      </c>
      <c r="AF204" s="53" t="n">
        <f aca="false">IF(OR($A204&gt;TOMATO_BED_CAP,$B204&gt;CARROT_BED_CAP,AF$4&gt;MESCLUN_BED_CAP,$A204+$B204+AF$4&gt;TOTAL_BEDS_AVAILABLE,($D204+AF$5)&gt;TOTAL_LABOR_HOURS_CAP,MAX(0,($D204+AF$5)-PERMANENT_FIELD_LABOR_HOURS)&gt;TEMP_HOURS_CAP),"",$C204+AF$6-MIN(($D204+AF$5),PERMANENT_FIELD_LABOR_HOURS)*PERMANENT_HOURLY_RATE-MAX(0,($D204+AF$5)-PERMANENT_FIELD_LABOR_HOURS)*TEMP_HOURLY_RATE-FIXED_SEASON_COST)</f>
        <v>32135.7927952423</v>
      </c>
      <c r="AG204" s="53" t="n">
        <f aca="false">IF(OR($A204&gt;TOMATO_BED_CAP,$B204&gt;CARROT_BED_CAP,AG$4&gt;MESCLUN_BED_CAP,$A204+$B204+AG$4&gt;TOTAL_BEDS_AVAILABLE,($D204+AG$5)&gt;TOTAL_LABOR_HOURS_CAP,MAX(0,($D204+AG$5)-PERMANENT_FIELD_LABOR_HOURS)&gt;TEMP_HOURS_CAP),"",$C204+AG$6-MIN(($D204+AG$5),PERMANENT_FIELD_LABOR_HOURS)*PERMANENT_HOURLY_RATE-MAX(0,($D204+AG$5)-PERMANENT_FIELD_LABOR_HOURS)*TEMP_HOURLY_RATE-FIXED_SEASON_COST)</f>
        <v>32512.5916847793</v>
      </c>
      <c r="AH204" s="53" t="n">
        <f aca="false">IF(OR($A204&gt;TOMATO_BED_CAP,$B204&gt;CARROT_BED_CAP,AH$4&gt;MESCLUN_BED_CAP,$A204+$B204+AH$4&gt;TOTAL_BEDS_AVAILABLE,($D204+AH$5)&gt;TOTAL_LABOR_HOURS_CAP,MAX(0,($D204+AH$5)-PERMANENT_FIELD_LABOR_HOURS)&gt;TEMP_HOURS_CAP),"",$C204+AH$6-MIN(($D204+AH$5),PERMANENT_FIELD_LABOR_HOURS)*PERMANENT_HOURLY_RATE-MAX(0,($D204+AH$5)-PERMANENT_FIELD_LABOR_HOURS)*TEMP_HOURLY_RATE-FIXED_SEASON_COST)</f>
        <v>32857.6941013295</v>
      </c>
      <c r="AI204" s="53" t="n">
        <f aca="false">IF(OR($A204&gt;TOMATO_BED_CAP,$B204&gt;CARROT_BED_CAP,AI$4&gt;MESCLUN_BED_CAP,$A204+$B204+AI$4&gt;TOTAL_BEDS_AVAILABLE,($D204+AI$5)&gt;TOTAL_LABOR_HOURS_CAP,MAX(0,($D204+AI$5)-PERMANENT_FIELD_LABOR_HOURS)&gt;TEMP_HOURS_CAP),"",$C204+AI$6-MIN(($D204+AI$5),PERMANENT_FIELD_LABOR_HOURS)*PERMANENT_HOURLY_RATE-MAX(0,($D204+AI$5)-PERMANENT_FIELD_LABOR_HOURS)*TEMP_HOURLY_RATE-FIXED_SEASON_COST)</f>
        <v>33170.5331332418</v>
      </c>
      <c r="AJ204" s="53" t="n">
        <f aca="false">IF(OR($A204&gt;TOMATO_BED_CAP,$B204&gt;CARROT_BED_CAP,AJ$4&gt;MESCLUN_BED_CAP,$A204+$B204+AJ$4&gt;TOTAL_BEDS_AVAILABLE,($D204+AJ$5)&gt;TOTAL_LABOR_HOURS_CAP,MAX(0,($D204+AJ$5)-PERMANENT_FIELD_LABOR_HOURS)&gt;TEMP_HOURS_CAP),"",$C204+AJ$6-MIN(($D204+AJ$5),PERMANENT_FIELD_LABOR_HOURS)*PERMANENT_HOURLY_RATE-MAX(0,($D204+AJ$5)-PERMANENT_FIELD_LABOR_HOURS)*TEMP_HOURLY_RATE-FIXED_SEASON_COST)</f>
        <v>33450.5326486475</v>
      </c>
    </row>
    <row r="205" customFormat="false" ht="15" hidden="false" customHeight="false" outlineLevel="0" collapsed="false">
      <c r="A205" s="21" t="n">
        <f aca="false">INT((ROW()-ROW($A$8))/(20+1))</f>
        <v>9</v>
      </c>
      <c r="B205" s="21" t="n">
        <f aca="false">MOD(ROW()-ROW($A$8),20+1)</f>
        <v>8</v>
      </c>
      <c r="C205" s="13" t="n">
        <f aca="false">A205*(TOMATO_REVENUE_PER_BED-TOMATO_FERTILIZER_PER_BED)+B205*(CARROT_REVENUE_PER_BED-CARROT_FERTILIZER_PER_BED)</f>
        <v>84512</v>
      </c>
      <c r="D205" s="14" t="n">
        <f aca="false">INDEX(TOMATO_SCHED_LABOR_HRS,A205+1)+INDEX(CARROT_SCHED_LABOR_HRS,B205+1)</f>
        <v>2202.23735843422</v>
      </c>
      <c r="E205" s="13" t="n">
        <f aca="false">IF(COUNT(F205:AJ205)=0,"",MAX(F205:AJ205))</f>
        <v>34361.9487524545</v>
      </c>
      <c r="F205" s="53" t="n">
        <f aca="false">IF(OR($A205&gt;TOMATO_BED_CAP,$B205&gt;CARROT_BED_CAP,F$4&gt;MESCLUN_BED_CAP,$A205+$B205+F$4&gt;TOTAL_BEDS_AVAILABLE,($D205+F$5)&gt;TOTAL_LABOR_HOURS_CAP,MAX(0,($D205+F$5)-PERMANENT_FIELD_LABOR_HOURS)&gt;TEMP_HOURS_CAP),"",$C205+F$6-MIN(($D205+F$5),PERMANENT_FIELD_LABOR_HOURS)*PERMANENT_HOURLY_RATE-MAX(0,($D205+F$5)-PERMANENT_FIELD_LABOR_HOURS)*TEMP_HOURLY_RATE-FIXED_SEASON_COST)</f>
        <v>13781.9594575819</v>
      </c>
      <c r="G205" s="53" t="n">
        <f aca="false">IF(OR($A205&gt;TOMATO_BED_CAP,$B205&gt;CARROT_BED_CAP,G$4&gt;MESCLUN_BED_CAP,$A205+$B205+G$4&gt;TOTAL_BEDS_AVAILABLE,($D205+G$5)&gt;TOTAL_LABOR_HOURS_CAP,MAX(0,($D205+G$5)-PERMANENT_FIELD_LABOR_HOURS)&gt;TEMP_HOURS_CAP),"",$C205+G$6-MIN(($D205+G$5),PERMANENT_FIELD_LABOR_HOURS)*PERMANENT_HOURLY_RATE-MAX(0,($D205+G$5)-PERMANENT_FIELD_LABOR_HOURS)*TEMP_HOURLY_RATE-FIXED_SEASON_COST)</f>
        <v>14810.9944575819</v>
      </c>
      <c r="H205" s="53" t="n">
        <f aca="false">IF(OR($A205&gt;TOMATO_BED_CAP,$B205&gt;CARROT_BED_CAP,H$4&gt;MESCLUN_BED_CAP,$A205+$B205+H$4&gt;TOTAL_BEDS_AVAILABLE,($D205+H$5)&gt;TOTAL_LABOR_HOURS_CAP,MAX(0,($D205+H$5)-PERMANENT_FIELD_LABOR_HOURS)&gt;TEMP_HOURS_CAP),"",$C205+H$6-MIN(($D205+H$5),PERMANENT_FIELD_LABOR_HOURS)*PERMANENT_HOURLY_RATE-MAX(0,($D205+H$5)-PERMANENT_FIELD_LABOR_HOURS)*TEMP_HOURLY_RATE-FIXED_SEASON_COST)</f>
        <v>15820.2553325819</v>
      </c>
      <c r="I205" s="53" t="n">
        <f aca="false">IF(OR($A205&gt;TOMATO_BED_CAP,$B205&gt;CARROT_BED_CAP,I$4&gt;MESCLUN_BED_CAP,$A205+$B205+I$4&gt;TOTAL_BEDS_AVAILABLE,($D205+I$5)&gt;TOTAL_LABOR_HOURS_CAP,MAX(0,($D205+I$5)-PERMANENT_FIELD_LABOR_HOURS)&gt;TEMP_HOURS_CAP),"",$C205+I$6-MIN(($D205+I$5),PERMANENT_FIELD_LABOR_HOURS)*PERMANENT_HOURLY_RATE-MAX(0,($D205+I$5)-PERMANENT_FIELD_LABOR_HOURS)*TEMP_HOURLY_RATE-FIXED_SEASON_COST)</f>
        <v>16809.3713177382</v>
      </c>
      <c r="J205" s="53" t="n">
        <f aca="false">IF(OR($A205&gt;TOMATO_BED_CAP,$B205&gt;CARROT_BED_CAP,J$4&gt;MESCLUN_BED_CAP,$A205+$B205+J$4&gt;TOTAL_BEDS_AVAILABLE,($D205+J$5)&gt;TOTAL_LABOR_HOURS_CAP,MAX(0,($D205+J$5)-PERMANENT_FIELD_LABOR_HOURS)&gt;TEMP_HOURS_CAP),"",$C205+J$6-MIN(($D205+J$5),PERMANENT_FIELD_LABOR_HOURS)*PERMANENT_HOURLY_RATE-MAX(0,($D205+J$5)-PERMANENT_FIELD_LABOR_HOURS)*TEMP_HOURLY_RATE-FIXED_SEASON_COST)</f>
        <v>17777.9654687929</v>
      </c>
      <c r="K205" s="53" t="n">
        <f aca="false">IF(OR($A205&gt;TOMATO_BED_CAP,$B205&gt;CARROT_BED_CAP,K$4&gt;MESCLUN_BED_CAP,$A205+$B205+K$4&gt;TOTAL_BEDS_AVAILABLE,($D205+K$5)&gt;TOTAL_LABOR_HOURS_CAP,MAX(0,($D205+K$5)-PERMANENT_FIELD_LABOR_HOURS)&gt;TEMP_HOURS_CAP),"",$C205+K$6-MIN(($D205+K$5),PERMANENT_FIELD_LABOR_HOURS)*PERMANENT_HOURLY_RATE-MAX(0,($D205+K$5)-PERMANENT_FIELD_LABOR_HOURS)*TEMP_HOURLY_RATE-FIXED_SEASON_COST)</f>
        <v>18725.6545655208</v>
      </c>
      <c r="L205" s="53" t="n">
        <f aca="false">IF(OR($A205&gt;TOMATO_BED_CAP,$B205&gt;CARROT_BED_CAP,L$4&gt;MESCLUN_BED_CAP,$A205+$B205+L$4&gt;TOTAL_BEDS_AVAILABLE,($D205+L$5)&gt;TOTAL_LABOR_HOURS_CAP,MAX(0,($D205+L$5)-PERMANENT_FIELD_LABOR_HOURS)&gt;TEMP_HOURS_CAP),"",$C205+L$6-MIN(($D205+L$5),PERMANENT_FIELD_LABOR_HOURS)*PERMANENT_HOURLY_RATE-MAX(0,($D205+L$5)-PERMANENT_FIELD_LABOR_HOURS)*TEMP_HOURLY_RATE-FIXED_SEASON_COST)</f>
        <v>19652.0490137276</v>
      </c>
      <c r="M205" s="53" t="n">
        <f aca="false">IF(OR($A205&gt;TOMATO_BED_CAP,$B205&gt;CARROT_BED_CAP,M$4&gt;MESCLUN_BED_CAP,$A205+$B205+M$4&gt;TOTAL_BEDS_AVAILABLE,($D205+M$5)&gt;TOTAL_LABOR_HOURS_CAP,MAX(0,($D205+M$5)-PERMANENT_FIELD_LABOR_HOURS)&gt;TEMP_HOURS_CAP),"",$C205+M$6-MIN(($D205+M$5),PERMANENT_FIELD_LABOR_HOURS)*PERMANENT_HOURLY_RATE-MAX(0,($D205+M$5)-PERMANENT_FIELD_LABOR_HOURS)*TEMP_HOURLY_RATE-FIXED_SEASON_COST)</f>
        <v>20556.752745779</v>
      </c>
      <c r="N205" s="53" t="n">
        <f aca="false">IF(OR($A205&gt;TOMATO_BED_CAP,$B205&gt;CARROT_BED_CAP,N$4&gt;MESCLUN_BED_CAP,$A205+$B205+N$4&gt;TOTAL_BEDS_AVAILABLE,($D205+N$5)&gt;TOTAL_LABOR_HOURS_CAP,MAX(0,($D205+N$5)-PERMANENT_FIELD_LABOR_HOURS)&gt;TEMP_HOURS_CAP),"",$C205+N$6-MIN(($D205+N$5),PERMANENT_FIELD_LABOR_HOURS)*PERMANENT_HOURLY_RATE-MAX(0,($D205+N$5)-PERMANENT_FIELD_LABOR_HOURS)*TEMP_HOURLY_RATE-FIXED_SEASON_COST)</f>
        <v>21439.3631196386</v>
      </c>
      <c r="O205" s="53" t="n">
        <f aca="false">IF(OR($A205&gt;TOMATO_BED_CAP,$B205&gt;CARROT_BED_CAP,O$4&gt;MESCLUN_BED_CAP,$A205+$B205+O$4&gt;TOTAL_BEDS_AVAILABLE,($D205+O$5)&gt;TOTAL_LABOR_HOURS_CAP,MAX(0,($D205+O$5)-PERMANENT_FIELD_LABOR_HOURS)&gt;TEMP_HOURS_CAP),"",$C205+O$6-MIN(($D205+O$5),PERMANENT_FIELD_LABOR_HOURS)*PERMANENT_HOURLY_RATE-MAX(0,($D205+O$5)-PERMANENT_FIELD_LABOR_HOURS)*TEMP_HOURLY_RATE-FIXED_SEASON_COST)</f>
        <v>22299.4708163933</v>
      </c>
      <c r="P205" s="53" t="n">
        <f aca="false">IF(OR($A205&gt;TOMATO_BED_CAP,$B205&gt;CARROT_BED_CAP,P$4&gt;MESCLUN_BED_CAP,$A205+$B205+P$4&gt;TOTAL_BEDS_AVAILABLE,($D205+P$5)&gt;TOTAL_LABOR_HOURS_CAP,MAX(0,($D205+P$5)-PERMANENT_FIELD_LABOR_HOURS)&gt;TEMP_HOURS_CAP),"",$C205+P$6-MIN(($D205+P$5),PERMANENT_FIELD_LABOR_HOURS)*PERMANENT_HOURLY_RATE-MAX(0,($D205+P$5)-PERMANENT_FIELD_LABOR_HOURS)*TEMP_HOURLY_RATE-FIXED_SEASON_COST)</f>
        <v>23136.6597362448</v>
      </c>
      <c r="Q205" s="53" t="n">
        <f aca="false">IF(OR($A205&gt;TOMATO_BED_CAP,$B205&gt;CARROT_BED_CAP,Q$4&gt;MESCLUN_BED_CAP,$A205+$B205+Q$4&gt;TOTAL_BEDS_AVAILABLE,($D205+Q$5)&gt;TOTAL_LABOR_HOURS_CAP,MAX(0,($D205+Q$5)-PERMANENT_FIELD_LABOR_HOURS)&gt;TEMP_HOURS_CAP),"",$C205+Q$6-MIN(($D205+Q$5),PERMANENT_FIELD_LABOR_HOURS)*PERMANENT_HOURLY_RATE-MAX(0,($D205+Q$5)-PERMANENT_FIELD_LABOR_HOURS)*TEMP_HOURLY_RATE-FIXED_SEASON_COST)</f>
        <v>23950.5068929427</v>
      </c>
      <c r="R205" s="53" t="n">
        <f aca="false">IF(OR($A205&gt;TOMATO_BED_CAP,$B205&gt;CARROT_BED_CAP,R$4&gt;MESCLUN_BED_CAP,$A205+$B205+R$4&gt;TOTAL_BEDS_AVAILABLE,($D205+R$5)&gt;TOTAL_LABOR_HOURS_CAP,MAX(0,($D205+R$5)-PERMANENT_FIELD_LABOR_HOURS)&gt;TEMP_HOURS_CAP),"",$C205+R$6-MIN(($D205+R$5),PERMANENT_FIELD_LABOR_HOURS)*PERMANENT_HOURLY_RATE-MAX(0,($D205+R$5)-PERMANENT_FIELD_LABOR_HOURS)*TEMP_HOURLY_RATE-FIXED_SEASON_COST)</f>
        <v>24740.5823066395</v>
      </c>
      <c r="S205" s="53" t="n">
        <f aca="false">IF(OR($A205&gt;TOMATO_BED_CAP,$B205&gt;CARROT_BED_CAP,S$4&gt;MESCLUN_BED_CAP,$A205+$B205+S$4&gt;TOTAL_BEDS_AVAILABLE,($D205+S$5)&gt;TOTAL_LABOR_HOURS_CAP,MAX(0,($D205+S$5)-PERMANENT_FIELD_LABOR_HOURS)&gt;TEMP_HOURS_CAP),"",$C205+S$6-MIN(($D205+S$5),PERMANENT_FIELD_LABOR_HOURS)*PERMANENT_HOURLY_RATE-MAX(0,($D205+S$5)-PERMANENT_FIELD_LABOR_HOURS)*TEMP_HOURLY_RATE-FIXED_SEASON_COST)</f>
        <v>25506.4488951419</v>
      </c>
      <c r="T205" s="53" t="n">
        <f aca="false">IF(OR($A205&gt;TOMATO_BED_CAP,$B205&gt;CARROT_BED_CAP,T$4&gt;MESCLUN_BED_CAP,$A205+$B205+T$4&gt;TOTAL_BEDS_AVAILABLE,($D205+T$5)&gt;TOTAL_LABOR_HOURS_CAP,MAX(0,($D205+T$5)-PERMANENT_FIELD_LABOR_HOURS)&gt;TEMP_HOURS_CAP),"",$C205+T$6-MIN(($D205+T$5),PERMANENT_FIELD_LABOR_HOURS)*PERMANENT_HOURLY_RATE-MAX(0,($D205+T$5)-PERMANENT_FIELD_LABOR_HOURS)*TEMP_HOURLY_RATE-FIXED_SEASON_COST)</f>
        <v>26247.6623635368</v>
      </c>
      <c r="U205" s="53" t="n">
        <f aca="false">IF(OR($A205&gt;TOMATO_BED_CAP,$B205&gt;CARROT_BED_CAP,U$4&gt;MESCLUN_BED_CAP,$A205+$B205+U$4&gt;TOTAL_BEDS_AVAILABLE,($D205+U$5)&gt;TOTAL_LABOR_HOURS_CAP,MAX(0,($D205+U$5)-PERMANENT_FIELD_LABOR_HOURS)&gt;TEMP_HOURS_CAP),"",$C205+U$6-MIN(($D205+U$5),PERMANENT_FIELD_LABOR_HOURS)*PERMANENT_HOURLY_RATE-MAX(0,($D205+U$5)-PERMANENT_FIELD_LABOR_HOURS)*TEMP_HOURLY_RATE-FIXED_SEASON_COST)</f>
        <v>26963.7710921669</v>
      </c>
      <c r="V205" s="53" t="n">
        <f aca="false">IF(OR($A205&gt;TOMATO_BED_CAP,$B205&gt;CARROT_BED_CAP,V$4&gt;MESCLUN_BED_CAP,$A205+$B205+V$4&gt;TOTAL_BEDS_AVAILABLE,($D205+V$5)&gt;TOTAL_LABOR_HOURS_CAP,MAX(0,($D205+V$5)-PERMANENT_FIELD_LABOR_HOURS)&gt;TEMP_HOURS_CAP),"",$C205+V$6-MIN(($D205+V$5),PERMANENT_FIELD_LABOR_HOURS)*PERMANENT_HOURLY_RATE-MAX(0,($D205+V$5)-PERMANENT_FIELD_LABOR_HOURS)*TEMP_HOURLY_RATE-FIXED_SEASON_COST)</f>
        <v>27654.3160229336</v>
      </c>
      <c r="W205" s="53" t="n">
        <f aca="false">IF(OR($A205&gt;TOMATO_BED_CAP,$B205&gt;CARROT_BED_CAP,W$4&gt;MESCLUN_BED_CAP,$A205+$B205+W$4&gt;TOTAL_BEDS_AVAILABLE,($D205+W$5)&gt;TOTAL_LABOR_HOURS_CAP,MAX(0,($D205+W$5)-PERMANENT_FIELD_LABOR_HOURS)&gt;TEMP_HOURS_CAP),"",$C205+W$6-MIN(($D205+W$5),PERMANENT_FIELD_LABOR_HOURS)*PERMANENT_HOURLY_RATE-MAX(0,($D205+W$5)-PERMANENT_FIELD_LABOR_HOURS)*TEMP_HOURLY_RATE-FIXED_SEASON_COST)</f>
        <v>28318.8305439017</v>
      </c>
      <c r="X205" s="53" t="n">
        <f aca="false">IF(OR($A205&gt;TOMATO_BED_CAP,$B205&gt;CARROT_BED_CAP,X$4&gt;MESCLUN_BED_CAP,$A205+$B205+X$4&gt;TOTAL_BEDS_AVAILABLE,($D205+X$5)&gt;TOTAL_LABOR_HOURS_CAP,MAX(0,($D205+X$5)-PERMANENT_FIELD_LABOR_HOURS)&gt;TEMP_HOURS_CAP),"",$C205+X$6-MIN(($D205+X$5),PERMANENT_FIELD_LABOR_HOURS)*PERMANENT_HOURLY_RATE-MAX(0,($D205+X$5)-PERMANENT_FIELD_LABOR_HOURS)*TEMP_HOURLY_RATE-FIXED_SEASON_COST)</f>
        <v>28956.8403721806</v>
      </c>
      <c r="Y205" s="53" t="n">
        <f aca="false">IF(OR($A205&gt;TOMATO_BED_CAP,$B205&gt;CARROT_BED_CAP,Y$4&gt;MESCLUN_BED_CAP,$A205+$B205+Y$4&gt;TOTAL_BEDS_AVAILABLE,($D205+Y$5)&gt;TOTAL_LABOR_HOURS_CAP,MAX(0,($D205+Y$5)-PERMANENT_FIELD_LABOR_HOURS)&gt;TEMP_HOURS_CAP),"",$C205+Y$6-MIN(($D205+Y$5),PERMANENT_FIELD_LABOR_HOURS)*PERMANENT_HOURLY_RATE-MAX(0,($D205+Y$5)-PERMANENT_FIELD_LABOR_HOURS)*TEMP_HOURLY_RATE-FIXED_SEASON_COST)</f>
        <v>29567.8634350593</v>
      </c>
      <c r="Z205" s="53" t="n">
        <f aca="false">IF(OR($A205&gt;TOMATO_BED_CAP,$B205&gt;CARROT_BED_CAP,Z$4&gt;MESCLUN_BED_CAP,$A205+$B205+Z$4&gt;TOTAL_BEDS_AVAILABLE,($D205+Z$5)&gt;TOTAL_LABOR_HOURS_CAP,MAX(0,($D205+Z$5)-PERMANENT_FIELD_LABOR_HOURS)&gt;TEMP_HOURS_CAP),"",$C205+Z$6-MIN(($D205+Z$5),PERMANENT_FIELD_LABOR_HOURS)*PERMANENT_HOURLY_RATE-MAX(0,($D205+Z$5)-PERMANENT_FIELD_LABOR_HOURS)*TEMP_HOURLY_RATE-FIXED_SEASON_COST)</f>
        <v>30151.409749367</v>
      </c>
      <c r="AA205" s="53" t="n">
        <f aca="false">IF(OR($A205&gt;TOMATO_BED_CAP,$B205&gt;CARROT_BED_CAP,AA$4&gt;MESCLUN_BED_CAP,$A205+$B205+AA$4&gt;TOTAL_BEDS_AVAILABLE,($D205+AA$5)&gt;TOTAL_LABOR_HOURS_CAP,MAX(0,($D205+AA$5)-PERMANENT_FIELD_LABOR_HOURS)&gt;TEMP_HOURS_CAP),"",$C205+AA$6-MIN(($D205+AA$5),PERMANENT_FIELD_LABOR_HOURS)*PERMANENT_HOURLY_RATE-MAX(0,($D205+AA$5)-PERMANENT_FIELD_LABOR_HOURS)*TEMP_HOURLY_RATE-FIXED_SEASON_COST)</f>
        <v>30706.9812990359</v>
      </c>
      <c r="AB205" s="53" t="n">
        <f aca="false">IF(OR($A205&gt;TOMATO_BED_CAP,$B205&gt;CARROT_BED_CAP,AB$4&gt;MESCLUN_BED_CAP,$A205+$B205+AB$4&gt;TOTAL_BEDS_AVAILABLE,($D205+AB$5)&gt;TOTAL_LABOR_HOURS_CAP,MAX(0,($D205+AB$5)-PERMANENT_FIELD_LABOR_HOURS)&gt;TEMP_HOURS_CAP),"",$C205+AB$6-MIN(($D205+AB$5),PERMANENT_FIELD_LABOR_HOURS)*PERMANENT_HOURLY_RATE-MAX(0,($D205+AB$5)-PERMANENT_FIELD_LABOR_HOURS)*TEMP_HOURLY_RATE-FIXED_SEASON_COST)</f>
        <v>31234.0719108385</v>
      </c>
      <c r="AC205" s="53" t="n">
        <f aca="false">IF(OR($A205&gt;TOMATO_BED_CAP,$B205&gt;CARROT_BED_CAP,AC$4&gt;MESCLUN_BED_CAP,$A205+$B205+AC$4&gt;TOTAL_BEDS_AVAILABLE,($D205+AC$5)&gt;TOTAL_LABOR_HOURS_CAP,MAX(0,($D205+AC$5)-PERMANENT_FIELD_LABOR_HOURS)&gt;TEMP_HOURS_CAP),"",$C205+AC$6-MIN(($D205+AC$5),PERMANENT_FIELD_LABOR_HOURS)*PERMANENT_HOURLY_RATE-MAX(0,($D205+AC$5)-PERMANENT_FIELD_LABOR_HOURS)*TEMP_HOURLY_RATE-FIXED_SEASON_COST)</f>
        <v>31732.1671282734</v>
      </c>
      <c r="AD205" s="53" t="n">
        <f aca="false">IF(OR($A205&gt;TOMATO_BED_CAP,$B205&gt;CARROT_BED_CAP,AD$4&gt;MESCLUN_BED_CAP,$A205+$B205+AD$4&gt;TOTAL_BEDS_AVAILABLE,($D205+AD$5)&gt;TOTAL_LABOR_HOURS_CAP,MAX(0,($D205+AD$5)-PERMANENT_FIELD_LABOR_HOURS)&gt;TEMP_HOURS_CAP),"",$C205+AD$6-MIN(($D205+AD$5),PERMANENT_FIELD_LABOR_HOURS)*PERMANENT_HOURLY_RATE-MAX(0,($D205+AD$5)-PERMANENT_FIELD_LABOR_HOURS)*TEMP_HOURLY_RATE-FIXED_SEASON_COST)</f>
        <v>32200.7440835734</v>
      </c>
      <c r="AE205" s="53" t="n">
        <f aca="false">IF(OR($A205&gt;TOMATO_BED_CAP,$B205&gt;CARROT_BED_CAP,AE$4&gt;MESCLUN_BED_CAP,$A205+$B205+AE$4&gt;TOTAL_BEDS_AVAILABLE,($D205+AE$5)&gt;TOTAL_LABOR_HOURS_CAP,MAX(0,($D205+AE$5)-PERMANENT_FIELD_LABOR_HOURS)&gt;TEMP_HOURS_CAP),"",$C205+AE$6-MIN(($D205+AE$5),PERMANENT_FIELD_LABOR_HOURS)*PERMANENT_HOURLY_RATE-MAX(0,($D205+AE$5)-PERMANENT_FIELD_LABOR_HOURS)*TEMP_HOURLY_RATE-FIXED_SEASON_COST)</f>
        <v>32639.2713678073</v>
      </c>
      <c r="AF205" s="53" t="n">
        <f aca="false">IF(OR($A205&gt;TOMATO_BED_CAP,$B205&gt;CARROT_BED_CAP,AF$4&gt;MESCLUN_BED_CAP,$A205+$B205+AF$4&gt;TOTAL_BEDS_AVAILABLE,($D205+AF$5)&gt;TOTAL_LABOR_HOURS_CAP,MAX(0,($D205+AF$5)-PERMANENT_FIELD_LABOR_HOURS)&gt;TEMP_HOURS_CAP),"",$C205+AF$6-MIN(($D205+AF$5),PERMANENT_FIELD_LABOR_HOURS)*PERMANENT_HOURLY_RATE-MAX(0,($D205+AF$5)-PERMANENT_FIELD_LABOR_HOURS)*TEMP_HOURLY_RATE-FIXED_SEASON_COST)</f>
        <v>33047.2088990492</v>
      </c>
      <c r="AG205" s="53" t="n">
        <f aca="false">IF(OR($A205&gt;TOMATO_BED_CAP,$B205&gt;CARROT_BED_CAP,AG$4&gt;MESCLUN_BED_CAP,$A205+$B205+AG$4&gt;TOTAL_BEDS_AVAILABLE,($D205+AG$5)&gt;TOTAL_LABOR_HOURS_CAP,MAX(0,($D205+AG$5)-PERMANENT_FIELD_LABOR_HOURS)&gt;TEMP_HOURS_CAP),"",$C205+AG$6-MIN(($D205+AG$5),PERMANENT_FIELD_LABOR_HOURS)*PERMANENT_HOURLY_RATE-MAX(0,($D205+AG$5)-PERMANENT_FIELD_LABOR_HOURS)*TEMP_HOURLY_RATE-FIXED_SEASON_COST)</f>
        <v>33424.0077885862</v>
      </c>
      <c r="AH205" s="53" t="n">
        <f aca="false">IF(OR($A205&gt;TOMATO_BED_CAP,$B205&gt;CARROT_BED_CAP,AH$4&gt;MESCLUN_BED_CAP,$A205+$B205+AH$4&gt;TOTAL_BEDS_AVAILABLE,($D205+AH$5)&gt;TOTAL_LABOR_HOURS_CAP,MAX(0,($D205+AH$5)-PERMANENT_FIELD_LABOR_HOURS)&gt;TEMP_HOURS_CAP),"",$C205+AH$6-MIN(($D205+AH$5),PERMANENT_FIELD_LABOR_HOURS)*PERMANENT_HOURLY_RATE-MAX(0,($D205+AH$5)-PERMANENT_FIELD_LABOR_HOURS)*TEMP_HOURLY_RATE-FIXED_SEASON_COST)</f>
        <v>33769.1102051365</v>
      </c>
      <c r="AI205" s="53" t="n">
        <f aca="false">IF(OR($A205&gt;TOMATO_BED_CAP,$B205&gt;CARROT_BED_CAP,AI$4&gt;MESCLUN_BED_CAP,$A205+$B205+AI$4&gt;TOTAL_BEDS_AVAILABLE,($D205+AI$5)&gt;TOTAL_LABOR_HOURS_CAP,MAX(0,($D205+AI$5)-PERMANENT_FIELD_LABOR_HOURS)&gt;TEMP_HOURS_CAP),"",$C205+AI$6-MIN(($D205+AI$5),PERMANENT_FIELD_LABOR_HOURS)*PERMANENT_HOURLY_RATE-MAX(0,($D205+AI$5)-PERMANENT_FIELD_LABOR_HOURS)*TEMP_HOURLY_RATE-FIXED_SEASON_COST)</f>
        <v>34081.9492370487</v>
      </c>
      <c r="AJ205" s="53" t="n">
        <f aca="false">IF(OR($A205&gt;TOMATO_BED_CAP,$B205&gt;CARROT_BED_CAP,AJ$4&gt;MESCLUN_BED_CAP,$A205+$B205+AJ$4&gt;TOTAL_BEDS_AVAILABLE,($D205+AJ$5)&gt;TOTAL_LABOR_HOURS_CAP,MAX(0,($D205+AJ$5)-PERMANENT_FIELD_LABOR_HOURS)&gt;TEMP_HOURS_CAP),"",$C205+AJ$6-MIN(($D205+AJ$5),PERMANENT_FIELD_LABOR_HOURS)*PERMANENT_HOURLY_RATE-MAX(0,($D205+AJ$5)-PERMANENT_FIELD_LABOR_HOURS)*TEMP_HOURLY_RATE-FIXED_SEASON_COST)</f>
        <v>34361.9487524545</v>
      </c>
    </row>
    <row r="206" customFormat="false" ht="15" hidden="false" customHeight="false" outlineLevel="0" collapsed="false">
      <c r="A206" s="21" t="n">
        <f aca="false">INT((ROW()-ROW($A$8))/(20+1))</f>
        <v>9</v>
      </c>
      <c r="B206" s="21" t="n">
        <f aca="false">MOD(ROW()-ROW($A$8),20+1)</f>
        <v>9</v>
      </c>
      <c r="C206" s="13" t="n">
        <f aca="false">A206*(TOMATO_REVENUE_PER_BED-TOMATO_FERTILIZER_PER_BED)+B206*(CARROT_REVENUE_PER_BED-CARROT_FERTILIZER_PER_BED)</f>
        <v>86166</v>
      </c>
      <c r="D206" s="14" t="n">
        <f aca="false">INDEX(TOMATO_SCHED_LABOR_HRS,A206+1)+INDEX(CARROT_SCHED_LABOR_HRS,B206+1)</f>
        <v>2246.99575439512</v>
      </c>
      <c r="E206" s="13" t="n">
        <f aca="false">IF(COUNT(F206:AJ206)=0,"",MAX(F206:AJ206))</f>
        <v>35238.9429985733</v>
      </c>
      <c r="F206" s="53" t="n">
        <f aca="false">IF(OR($A206&gt;TOMATO_BED_CAP,$B206&gt;CARROT_BED_CAP,F$4&gt;MESCLUN_BED_CAP,$A206+$B206+F$4&gt;TOTAL_BEDS_AVAILABLE,($D206+F$5)&gt;TOTAL_LABOR_HOURS_CAP,MAX(0,($D206+F$5)-PERMANENT_FIELD_LABOR_HOURS)&gt;TEMP_HOURS_CAP),"",$C206+F$6-MIN(($D206+F$5),PERMANENT_FIELD_LABOR_HOURS)*PERMANENT_HOURLY_RATE-MAX(0,($D206+F$5)-PERMANENT_FIELD_LABOR_HOURS)*TEMP_HOURLY_RATE-FIXED_SEASON_COST)</f>
        <v>14658.9537037008</v>
      </c>
      <c r="G206" s="53" t="n">
        <f aca="false">IF(OR($A206&gt;TOMATO_BED_CAP,$B206&gt;CARROT_BED_CAP,G$4&gt;MESCLUN_BED_CAP,$A206+$B206+G$4&gt;TOTAL_BEDS_AVAILABLE,($D206+G$5)&gt;TOTAL_LABOR_HOURS_CAP,MAX(0,($D206+G$5)-PERMANENT_FIELD_LABOR_HOURS)&gt;TEMP_HOURS_CAP),"",$C206+G$6-MIN(($D206+G$5),PERMANENT_FIELD_LABOR_HOURS)*PERMANENT_HOURLY_RATE-MAX(0,($D206+G$5)-PERMANENT_FIELD_LABOR_HOURS)*TEMP_HOURLY_RATE-FIXED_SEASON_COST)</f>
        <v>15687.9887037008</v>
      </c>
      <c r="H206" s="53" t="n">
        <f aca="false">IF(OR($A206&gt;TOMATO_BED_CAP,$B206&gt;CARROT_BED_CAP,H$4&gt;MESCLUN_BED_CAP,$A206+$B206+H$4&gt;TOTAL_BEDS_AVAILABLE,($D206+H$5)&gt;TOTAL_LABOR_HOURS_CAP,MAX(0,($D206+H$5)-PERMANENT_FIELD_LABOR_HOURS)&gt;TEMP_HOURS_CAP),"",$C206+H$6-MIN(($D206+H$5),PERMANENT_FIELD_LABOR_HOURS)*PERMANENT_HOURLY_RATE-MAX(0,($D206+H$5)-PERMANENT_FIELD_LABOR_HOURS)*TEMP_HOURLY_RATE-FIXED_SEASON_COST)</f>
        <v>16697.2495787008</v>
      </c>
      <c r="I206" s="53" t="n">
        <f aca="false">IF(OR($A206&gt;TOMATO_BED_CAP,$B206&gt;CARROT_BED_CAP,I$4&gt;MESCLUN_BED_CAP,$A206+$B206+I$4&gt;TOTAL_BEDS_AVAILABLE,($D206+I$5)&gt;TOTAL_LABOR_HOURS_CAP,MAX(0,($D206+I$5)-PERMANENT_FIELD_LABOR_HOURS)&gt;TEMP_HOURS_CAP),"",$C206+I$6-MIN(($D206+I$5),PERMANENT_FIELD_LABOR_HOURS)*PERMANENT_HOURLY_RATE-MAX(0,($D206+I$5)-PERMANENT_FIELD_LABOR_HOURS)*TEMP_HOURLY_RATE-FIXED_SEASON_COST)</f>
        <v>17686.365563857</v>
      </c>
      <c r="J206" s="53" t="n">
        <f aca="false">IF(OR($A206&gt;TOMATO_BED_CAP,$B206&gt;CARROT_BED_CAP,J$4&gt;MESCLUN_BED_CAP,$A206+$B206+J$4&gt;TOTAL_BEDS_AVAILABLE,($D206+J$5)&gt;TOTAL_LABOR_HOURS_CAP,MAX(0,($D206+J$5)-PERMANENT_FIELD_LABOR_HOURS)&gt;TEMP_HOURS_CAP),"",$C206+J$6-MIN(($D206+J$5),PERMANENT_FIELD_LABOR_HOURS)*PERMANENT_HOURLY_RATE-MAX(0,($D206+J$5)-PERMANENT_FIELD_LABOR_HOURS)*TEMP_HOURLY_RATE-FIXED_SEASON_COST)</f>
        <v>18654.9597149117</v>
      </c>
      <c r="K206" s="53" t="n">
        <f aca="false">IF(OR($A206&gt;TOMATO_BED_CAP,$B206&gt;CARROT_BED_CAP,K$4&gt;MESCLUN_BED_CAP,$A206+$B206+K$4&gt;TOTAL_BEDS_AVAILABLE,($D206+K$5)&gt;TOTAL_LABOR_HOURS_CAP,MAX(0,($D206+K$5)-PERMANENT_FIELD_LABOR_HOURS)&gt;TEMP_HOURS_CAP),"",$C206+K$6-MIN(($D206+K$5),PERMANENT_FIELD_LABOR_HOURS)*PERMANENT_HOURLY_RATE-MAX(0,($D206+K$5)-PERMANENT_FIELD_LABOR_HOURS)*TEMP_HOURLY_RATE-FIXED_SEASON_COST)</f>
        <v>19602.6488116396</v>
      </c>
      <c r="L206" s="53" t="n">
        <f aca="false">IF(OR($A206&gt;TOMATO_BED_CAP,$B206&gt;CARROT_BED_CAP,L$4&gt;MESCLUN_BED_CAP,$A206+$B206+L$4&gt;TOTAL_BEDS_AVAILABLE,($D206+L$5)&gt;TOTAL_LABOR_HOURS_CAP,MAX(0,($D206+L$5)-PERMANENT_FIELD_LABOR_HOURS)&gt;TEMP_HOURS_CAP),"",$C206+L$6-MIN(($D206+L$5),PERMANENT_FIELD_LABOR_HOURS)*PERMANENT_HOURLY_RATE-MAX(0,($D206+L$5)-PERMANENT_FIELD_LABOR_HOURS)*TEMP_HOURLY_RATE-FIXED_SEASON_COST)</f>
        <v>20529.0432598465</v>
      </c>
      <c r="M206" s="53" t="n">
        <f aca="false">IF(OR($A206&gt;TOMATO_BED_CAP,$B206&gt;CARROT_BED_CAP,M$4&gt;MESCLUN_BED_CAP,$A206+$B206+M$4&gt;TOTAL_BEDS_AVAILABLE,($D206+M$5)&gt;TOTAL_LABOR_HOURS_CAP,MAX(0,($D206+M$5)-PERMANENT_FIELD_LABOR_HOURS)&gt;TEMP_HOURS_CAP),"",$C206+M$6-MIN(($D206+M$5),PERMANENT_FIELD_LABOR_HOURS)*PERMANENT_HOURLY_RATE-MAX(0,($D206+M$5)-PERMANENT_FIELD_LABOR_HOURS)*TEMP_HOURLY_RATE-FIXED_SEASON_COST)</f>
        <v>21433.7469918979</v>
      </c>
      <c r="N206" s="53" t="n">
        <f aca="false">IF(OR($A206&gt;TOMATO_BED_CAP,$B206&gt;CARROT_BED_CAP,N$4&gt;MESCLUN_BED_CAP,$A206+$B206+N$4&gt;TOTAL_BEDS_AVAILABLE,($D206+N$5)&gt;TOTAL_LABOR_HOURS_CAP,MAX(0,($D206+N$5)-PERMANENT_FIELD_LABOR_HOURS)&gt;TEMP_HOURS_CAP),"",$C206+N$6-MIN(($D206+N$5),PERMANENT_FIELD_LABOR_HOURS)*PERMANENT_HOURLY_RATE-MAX(0,($D206+N$5)-PERMANENT_FIELD_LABOR_HOURS)*TEMP_HOURLY_RATE-FIXED_SEASON_COST)</f>
        <v>22316.3573657574</v>
      </c>
      <c r="O206" s="53" t="n">
        <f aca="false">IF(OR($A206&gt;TOMATO_BED_CAP,$B206&gt;CARROT_BED_CAP,O$4&gt;MESCLUN_BED_CAP,$A206+$B206+O$4&gt;TOTAL_BEDS_AVAILABLE,($D206+O$5)&gt;TOTAL_LABOR_HOURS_CAP,MAX(0,($D206+O$5)-PERMANENT_FIELD_LABOR_HOURS)&gt;TEMP_HOURS_CAP),"",$C206+O$6-MIN(($D206+O$5),PERMANENT_FIELD_LABOR_HOURS)*PERMANENT_HOURLY_RATE-MAX(0,($D206+O$5)-PERMANENT_FIELD_LABOR_HOURS)*TEMP_HOURLY_RATE-FIXED_SEASON_COST)</f>
        <v>23176.4650625122</v>
      </c>
      <c r="P206" s="53" t="n">
        <f aca="false">IF(OR($A206&gt;TOMATO_BED_CAP,$B206&gt;CARROT_BED_CAP,P$4&gt;MESCLUN_BED_CAP,$A206+$B206+P$4&gt;TOTAL_BEDS_AVAILABLE,($D206+P$5)&gt;TOTAL_LABOR_HOURS_CAP,MAX(0,($D206+P$5)-PERMANENT_FIELD_LABOR_HOURS)&gt;TEMP_HOURS_CAP),"",$C206+P$6-MIN(($D206+P$5),PERMANENT_FIELD_LABOR_HOURS)*PERMANENT_HOURLY_RATE-MAX(0,($D206+P$5)-PERMANENT_FIELD_LABOR_HOURS)*TEMP_HOURLY_RATE-FIXED_SEASON_COST)</f>
        <v>24013.6539823636</v>
      </c>
      <c r="Q206" s="53" t="n">
        <f aca="false">IF(OR($A206&gt;TOMATO_BED_CAP,$B206&gt;CARROT_BED_CAP,Q$4&gt;MESCLUN_BED_CAP,$A206+$B206+Q$4&gt;TOTAL_BEDS_AVAILABLE,($D206+Q$5)&gt;TOTAL_LABOR_HOURS_CAP,MAX(0,($D206+Q$5)-PERMANENT_FIELD_LABOR_HOURS)&gt;TEMP_HOURS_CAP),"",$C206+Q$6-MIN(($D206+Q$5),PERMANENT_FIELD_LABOR_HOURS)*PERMANENT_HOURLY_RATE-MAX(0,($D206+Q$5)-PERMANENT_FIELD_LABOR_HOURS)*TEMP_HOURLY_RATE-FIXED_SEASON_COST)</f>
        <v>24827.5011390615</v>
      </c>
      <c r="R206" s="53" t="n">
        <f aca="false">IF(OR($A206&gt;TOMATO_BED_CAP,$B206&gt;CARROT_BED_CAP,R$4&gt;MESCLUN_BED_CAP,$A206+$B206+R$4&gt;TOTAL_BEDS_AVAILABLE,($D206+R$5)&gt;TOTAL_LABOR_HOURS_CAP,MAX(0,($D206+R$5)-PERMANENT_FIELD_LABOR_HOURS)&gt;TEMP_HOURS_CAP),"",$C206+R$6-MIN(($D206+R$5),PERMANENT_FIELD_LABOR_HOURS)*PERMANENT_HOURLY_RATE-MAX(0,($D206+R$5)-PERMANENT_FIELD_LABOR_HOURS)*TEMP_HOURLY_RATE-FIXED_SEASON_COST)</f>
        <v>25617.5765527583</v>
      </c>
      <c r="S206" s="53" t="n">
        <f aca="false">IF(OR($A206&gt;TOMATO_BED_CAP,$B206&gt;CARROT_BED_CAP,S$4&gt;MESCLUN_BED_CAP,$A206+$B206+S$4&gt;TOTAL_BEDS_AVAILABLE,($D206+S$5)&gt;TOTAL_LABOR_HOURS_CAP,MAX(0,($D206+S$5)-PERMANENT_FIELD_LABOR_HOURS)&gt;TEMP_HOURS_CAP),"",$C206+S$6-MIN(($D206+S$5),PERMANENT_FIELD_LABOR_HOURS)*PERMANENT_HOURLY_RATE-MAX(0,($D206+S$5)-PERMANENT_FIELD_LABOR_HOURS)*TEMP_HOURLY_RATE-FIXED_SEASON_COST)</f>
        <v>26383.4431412608</v>
      </c>
      <c r="T206" s="53" t="n">
        <f aca="false">IF(OR($A206&gt;TOMATO_BED_CAP,$B206&gt;CARROT_BED_CAP,T$4&gt;MESCLUN_BED_CAP,$A206+$B206+T$4&gt;TOTAL_BEDS_AVAILABLE,($D206+T$5)&gt;TOTAL_LABOR_HOURS_CAP,MAX(0,($D206+T$5)-PERMANENT_FIELD_LABOR_HOURS)&gt;TEMP_HOURS_CAP),"",$C206+T$6-MIN(($D206+T$5),PERMANENT_FIELD_LABOR_HOURS)*PERMANENT_HOURLY_RATE-MAX(0,($D206+T$5)-PERMANENT_FIELD_LABOR_HOURS)*TEMP_HOURLY_RATE-FIXED_SEASON_COST)</f>
        <v>27124.6566096556</v>
      </c>
      <c r="U206" s="53" t="n">
        <f aca="false">IF(OR($A206&gt;TOMATO_BED_CAP,$B206&gt;CARROT_BED_CAP,U$4&gt;MESCLUN_BED_CAP,$A206+$B206+U$4&gt;TOTAL_BEDS_AVAILABLE,($D206+U$5)&gt;TOTAL_LABOR_HOURS_CAP,MAX(0,($D206+U$5)-PERMANENT_FIELD_LABOR_HOURS)&gt;TEMP_HOURS_CAP),"",$C206+U$6-MIN(($D206+U$5),PERMANENT_FIELD_LABOR_HOURS)*PERMANENT_HOURLY_RATE-MAX(0,($D206+U$5)-PERMANENT_FIELD_LABOR_HOURS)*TEMP_HOURLY_RATE-FIXED_SEASON_COST)</f>
        <v>27840.7653382857</v>
      </c>
      <c r="V206" s="53" t="n">
        <f aca="false">IF(OR($A206&gt;TOMATO_BED_CAP,$B206&gt;CARROT_BED_CAP,V$4&gt;MESCLUN_BED_CAP,$A206+$B206+V$4&gt;TOTAL_BEDS_AVAILABLE,($D206+V$5)&gt;TOTAL_LABOR_HOURS_CAP,MAX(0,($D206+V$5)-PERMANENT_FIELD_LABOR_HOURS)&gt;TEMP_HOURS_CAP),"",$C206+V$6-MIN(($D206+V$5),PERMANENT_FIELD_LABOR_HOURS)*PERMANENT_HOURLY_RATE-MAX(0,($D206+V$5)-PERMANENT_FIELD_LABOR_HOURS)*TEMP_HOURLY_RATE-FIXED_SEASON_COST)</f>
        <v>28531.3102690525</v>
      </c>
      <c r="W206" s="53" t="n">
        <f aca="false">IF(OR($A206&gt;TOMATO_BED_CAP,$B206&gt;CARROT_BED_CAP,W$4&gt;MESCLUN_BED_CAP,$A206+$B206+W$4&gt;TOTAL_BEDS_AVAILABLE,($D206+W$5)&gt;TOTAL_LABOR_HOURS_CAP,MAX(0,($D206+W$5)-PERMANENT_FIELD_LABOR_HOURS)&gt;TEMP_HOURS_CAP),"",$C206+W$6-MIN(($D206+W$5),PERMANENT_FIELD_LABOR_HOURS)*PERMANENT_HOURLY_RATE-MAX(0,($D206+W$5)-PERMANENT_FIELD_LABOR_HOURS)*TEMP_HOURLY_RATE-FIXED_SEASON_COST)</f>
        <v>29195.8247900206</v>
      </c>
      <c r="X206" s="53" t="n">
        <f aca="false">IF(OR($A206&gt;TOMATO_BED_CAP,$B206&gt;CARROT_BED_CAP,X$4&gt;MESCLUN_BED_CAP,$A206+$B206+X$4&gt;TOTAL_BEDS_AVAILABLE,($D206+X$5)&gt;TOTAL_LABOR_HOURS_CAP,MAX(0,($D206+X$5)-PERMANENT_FIELD_LABOR_HOURS)&gt;TEMP_HOURS_CAP),"",$C206+X$6-MIN(($D206+X$5),PERMANENT_FIELD_LABOR_HOURS)*PERMANENT_HOURLY_RATE-MAX(0,($D206+X$5)-PERMANENT_FIELD_LABOR_HOURS)*TEMP_HOURLY_RATE-FIXED_SEASON_COST)</f>
        <v>29833.8346182995</v>
      </c>
      <c r="Y206" s="53" t="n">
        <f aca="false">IF(OR($A206&gt;TOMATO_BED_CAP,$B206&gt;CARROT_BED_CAP,Y$4&gt;MESCLUN_BED_CAP,$A206+$B206+Y$4&gt;TOTAL_BEDS_AVAILABLE,($D206+Y$5)&gt;TOTAL_LABOR_HOURS_CAP,MAX(0,($D206+Y$5)-PERMANENT_FIELD_LABOR_HOURS)&gt;TEMP_HOURS_CAP),"",$C206+Y$6-MIN(($D206+Y$5),PERMANENT_FIELD_LABOR_HOURS)*PERMANENT_HOURLY_RATE-MAX(0,($D206+Y$5)-PERMANENT_FIELD_LABOR_HOURS)*TEMP_HOURLY_RATE-FIXED_SEASON_COST)</f>
        <v>30444.8576811781</v>
      </c>
      <c r="Z206" s="53" t="n">
        <f aca="false">IF(OR($A206&gt;TOMATO_BED_CAP,$B206&gt;CARROT_BED_CAP,Z$4&gt;MESCLUN_BED_CAP,$A206+$B206+Z$4&gt;TOTAL_BEDS_AVAILABLE,($D206+Z$5)&gt;TOTAL_LABOR_HOURS_CAP,MAX(0,($D206+Z$5)-PERMANENT_FIELD_LABOR_HOURS)&gt;TEMP_HOURS_CAP),"",$C206+Z$6-MIN(($D206+Z$5),PERMANENT_FIELD_LABOR_HOURS)*PERMANENT_HOURLY_RATE-MAX(0,($D206+Z$5)-PERMANENT_FIELD_LABOR_HOURS)*TEMP_HOURLY_RATE-FIXED_SEASON_COST)</f>
        <v>31028.4039954859</v>
      </c>
      <c r="AA206" s="53" t="n">
        <f aca="false">IF(OR($A206&gt;TOMATO_BED_CAP,$B206&gt;CARROT_BED_CAP,AA$4&gt;MESCLUN_BED_CAP,$A206+$B206+AA$4&gt;TOTAL_BEDS_AVAILABLE,($D206+AA$5)&gt;TOTAL_LABOR_HOURS_CAP,MAX(0,($D206+AA$5)-PERMANENT_FIELD_LABOR_HOURS)&gt;TEMP_HOURS_CAP),"",$C206+AA$6-MIN(($D206+AA$5),PERMANENT_FIELD_LABOR_HOURS)*PERMANENT_HOURLY_RATE-MAX(0,($D206+AA$5)-PERMANENT_FIELD_LABOR_HOURS)*TEMP_HOURLY_RATE-FIXED_SEASON_COST)</f>
        <v>31583.9755451548</v>
      </c>
      <c r="AB206" s="53" t="n">
        <f aca="false">IF(OR($A206&gt;TOMATO_BED_CAP,$B206&gt;CARROT_BED_CAP,AB$4&gt;MESCLUN_BED_CAP,$A206+$B206+AB$4&gt;TOTAL_BEDS_AVAILABLE,($D206+AB$5)&gt;TOTAL_LABOR_HOURS_CAP,MAX(0,($D206+AB$5)-PERMANENT_FIELD_LABOR_HOURS)&gt;TEMP_HOURS_CAP),"",$C206+AB$6-MIN(($D206+AB$5),PERMANENT_FIELD_LABOR_HOURS)*PERMANENT_HOURLY_RATE-MAX(0,($D206+AB$5)-PERMANENT_FIELD_LABOR_HOURS)*TEMP_HOURLY_RATE-FIXED_SEASON_COST)</f>
        <v>32111.0661569574</v>
      </c>
      <c r="AC206" s="53" t="n">
        <f aca="false">IF(OR($A206&gt;TOMATO_BED_CAP,$B206&gt;CARROT_BED_CAP,AC$4&gt;MESCLUN_BED_CAP,$A206+$B206+AC$4&gt;TOTAL_BEDS_AVAILABLE,($D206+AC$5)&gt;TOTAL_LABOR_HOURS_CAP,MAX(0,($D206+AC$5)-PERMANENT_FIELD_LABOR_HOURS)&gt;TEMP_HOURS_CAP),"",$C206+AC$6-MIN(($D206+AC$5),PERMANENT_FIELD_LABOR_HOURS)*PERMANENT_HOURLY_RATE-MAX(0,($D206+AC$5)-PERMANENT_FIELD_LABOR_HOURS)*TEMP_HOURLY_RATE-FIXED_SEASON_COST)</f>
        <v>32609.1613743923</v>
      </c>
      <c r="AD206" s="53" t="n">
        <f aca="false">IF(OR($A206&gt;TOMATO_BED_CAP,$B206&gt;CARROT_BED_CAP,AD$4&gt;MESCLUN_BED_CAP,$A206+$B206+AD$4&gt;TOTAL_BEDS_AVAILABLE,($D206+AD$5)&gt;TOTAL_LABOR_HOURS_CAP,MAX(0,($D206+AD$5)-PERMANENT_FIELD_LABOR_HOURS)&gt;TEMP_HOURS_CAP),"",$C206+AD$6-MIN(($D206+AD$5),PERMANENT_FIELD_LABOR_HOURS)*PERMANENT_HOURLY_RATE-MAX(0,($D206+AD$5)-PERMANENT_FIELD_LABOR_HOURS)*TEMP_HOURLY_RATE-FIXED_SEASON_COST)</f>
        <v>33077.7383296922</v>
      </c>
      <c r="AE206" s="53" t="n">
        <f aca="false">IF(OR($A206&gt;TOMATO_BED_CAP,$B206&gt;CARROT_BED_CAP,AE$4&gt;MESCLUN_BED_CAP,$A206+$B206+AE$4&gt;TOTAL_BEDS_AVAILABLE,($D206+AE$5)&gt;TOTAL_LABOR_HOURS_CAP,MAX(0,($D206+AE$5)-PERMANENT_FIELD_LABOR_HOURS)&gt;TEMP_HOURS_CAP),"",$C206+AE$6-MIN(($D206+AE$5),PERMANENT_FIELD_LABOR_HOURS)*PERMANENT_HOURLY_RATE-MAX(0,($D206+AE$5)-PERMANENT_FIELD_LABOR_HOURS)*TEMP_HOURLY_RATE-FIXED_SEASON_COST)</f>
        <v>33516.2656139261</v>
      </c>
      <c r="AF206" s="53" t="n">
        <f aca="false">IF(OR($A206&gt;TOMATO_BED_CAP,$B206&gt;CARROT_BED_CAP,AF$4&gt;MESCLUN_BED_CAP,$A206+$B206+AF$4&gt;TOTAL_BEDS_AVAILABLE,($D206+AF$5)&gt;TOTAL_LABOR_HOURS_CAP,MAX(0,($D206+AF$5)-PERMANENT_FIELD_LABOR_HOURS)&gt;TEMP_HOURS_CAP),"",$C206+AF$6-MIN(($D206+AF$5),PERMANENT_FIELD_LABOR_HOURS)*PERMANENT_HOURLY_RATE-MAX(0,($D206+AF$5)-PERMANENT_FIELD_LABOR_HOURS)*TEMP_HOURLY_RATE-FIXED_SEASON_COST)</f>
        <v>33924.2031451681</v>
      </c>
      <c r="AG206" s="53" t="n">
        <f aca="false">IF(OR($A206&gt;TOMATO_BED_CAP,$B206&gt;CARROT_BED_CAP,AG$4&gt;MESCLUN_BED_CAP,$A206+$B206+AG$4&gt;TOTAL_BEDS_AVAILABLE,($D206+AG$5)&gt;TOTAL_LABOR_HOURS_CAP,MAX(0,($D206+AG$5)-PERMANENT_FIELD_LABOR_HOURS)&gt;TEMP_HOURS_CAP),"",$C206+AG$6-MIN(($D206+AG$5),PERMANENT_FIELD_LABOR_HOURS)*PERMANENT_HOURLY_RATE-MAX(0,($D206+AG$5)-PERMANENT_FIELD_LABOR_HOURS)*TEMP_HOURLY_RATE-FIXED_SEASON_COST)</f>
        <v>34301.0020347051</v>
      </c>
      <c r="AH206" s="53" t="n">
        <f aca="false">IF(OR($A206&gt;TOMATO_BED_CAP,$B206&gt;CARROT_BED_CAP,AH$4&gt;MESCLUN_BED_CAP,$A206+$B206+AH$4&gt;TOTAL_BEDS_AVAILABLE,($D206+AH$5)&gt;TOTAL_LABOR_HOURS_CAP,MAX(0,($D206+AH$5)-PERMANENT_FIELD_LABOR_HOURS)&gt;TEMP_HOURS_CAP),"",$C206+AH$6-MIN(($D206+AH$5),PERMANENT_FIELD_LABOR_HOURS)*PERMANENT_HOURLY_RATE-MAX(0,($D206+AH$5)-PERMANENT_FIELD_LABOR_HOURS)*TEMP_HOURLY_RATE-FIXED_SEASON_COST)</f>
        <v>34646.1044512553</v>
      </c>
      <c r="AI206" s="53" t="n">
        <f aca="false">IF(OR($A206&gt;TOMATO_BED_CAP,$B206&gt;CARROT_BED_CAP,AI$4&gt;MESCLUN_BED_CAP,$A206+$B206+AI$4&gt;TOTAL_BEDS_AVAILABLE,($D206+AI$5)&gt;TOTAL_LABOR_HOURS_CAP,MAX(0,($D206+AI$5)-PERMANENT_FIELD_LABOR_HOURS)&gt;TEMP_HOURS_CAP),"",$C206+AI$6-MIN(($D206+AI$5),PERMANENT_FIELD_LABOR_HOURS)*PERMANENT_HOURLY_RATE-MAX(0,($D206+AI$5)-PERMANENT_FIELD_LABOR_HOURS)*TEMP_HOURLY_RATE-FIXED_SEASON_COST)</f>
        <v>34958.9434831676</v>
      </c>
      <c r="AJ206" s="53" t="n">
        <f aca="false">IF(OR($A206&gt;TOMATO_BED_CAP,$B206&gt;CARROT_BED_CAP,AJ$4&gt;MESCLUN_BED_CAP,$A206+$B206+AJ$4&gt;TOTAL_BEDS_AVAILABLE,($D206+AJ$5)&gt;TOTAL_LABOR_HOURS_CAP,MAX(0,($D206+AJ$5)-PERMANENT_FIELD_LABOR_HOURS)&gt;TEMP_HOURS_CAP),"",$C206+AJ$6-MIN(($D206+AJ$5),PERMANENT_FIELD_LABOR_HOURS)*PERMANENT_HOURLY_RATE-MAX(0,($D206+AJ$5)-PERMANENT_FIELD_LABOR_HOURS)*TEMP_HOURLY_RATE-FIXED_SEASON_COST)</f>
        <v>35238.9429985733</v>
      </c>
    </row>
    <row r="207" customFormat="false" ht="15" hidden="false" customHeight="false" outlineLevel="0" collapsed="false">
      <c r="A207" s="21" t="n">
        <f aca="false">INT((ROW()-ROW($A$8))/(20+1))</f>
        <v>9</v>
      </c>
      <c r="B207" s="21" t="n">
        <f aca="false">MOD(ROW()-ROW($A$8),20+1)</f>
        <v>10</v>
      </c>
      <c r="C207" s="13" t="n">
        <f aca="false">A207*(TOMATO_REVENUE_PER_BED-TOMATO_FERTILIZER_PER_BED)+B207*(CARROT_REVENUE_PER_BED-CARROT_FERTILIZER_PER_BED)</f>
        <v>87820</v>
      </c>
      <c r="D207" s="14" t="n">
        <f aca="false">INDEX(TOMATO_SCHED_LABOR_HRS,A207+1)+INDEX(CARROT_SCHED_LABOR_HRS,B207+1)</f>
        <v>2293.80938282361</v>
      </c>
      <c r="E207" s="13" t="n">
        <f aca="false">IF(COUNT(F207:AJ207)=0,"",MAX(F207:AJ207))</f>
        <v>36080.2584090548</v>
      </c>
      <c r="F207" s="53" t="n">
        <f aca="false">IF(OR($A207&gt;TOMATO_BED_CAP,$B207&gt;CARROT_BED_CAP,F$4&gt;MESCLUN_BED_CAP,$A207+$B207+F$4&gt;TOTAL_BEDS_AVAILABLE,($D207+F$5)&gt;TOTAL_LABOR_HOURS_CAP,MAX(0,($D207+F$5)-PERMANENT_FIELD_LABOR_HOURS)&gt;TEMP_HOURS_CAP),"",$C207+F$6-MIN(($D207+F$5),PERMANENT_FIELD_LABOR_HOURS)*PERMANENT_HOURLY_RATE-MAX(0,($D207+F$5)-PERMANENT_FIELD_LABOR_HOURS)*TEMP_HOURLY_RATE-FIXED_SEASON_COST)</f>
        <v>15500.2691141822</v>
      </c>
      <c r="G207" s="53" t="n">
        <f aca="false">IF(OR($A207&gt;TOMATO_BED_CAP,$B207&gt;CARROT_BED_CAP,G$4&gt;MESCLUN_BED_CAP,$A207+$B207+G$4&gt;TOTAL_BEDS_AVAILABLE,($D207+G$5)&gt;TOTAL_LABOR_HOURS_CAP,MAX(0,($D207+G$5)-PERMANENT_FIELD_LABOR_HOURS)&gt;TEMP_HOURS_CAP),"",$C207+G$6-MIN(($D207+G$5),PERMANENT_FIELD_LABOR_HOURS)*PERMANENT_HOURLY_RATE-MAX(0,($D207+G$5)-PERMANENT_FIELD_LABOR_HOURS)*TEMP_HOURLY_RATE-FIXED_SEASON_COST)</f>
        <v>16529.3041141822</v>
      </c>
      <c r="H207" s="53" t="n">
        <f aca="false">IF(OR($A207&gt;TOMATO_BED_CAP,$B207&gt;CARROT_BED_CAP,H$4&gt;MESCLUN_BED_CAP,$A207+$B207+H$4&gt;TOTAL_BEDS_AVAILABLE,($D207+H$5)&gt;TOTAL_LABOR_HOURS_CAP,MAX(0,($D207+H$5)-PERMANENT_FIELD_LABOR_HOURS)&gt;TEMP_HOURS_CAP),"",$C207+H$6-MIN(($D207+H$5),PERMANENT_FIELD_LABOR_HOURS)*PERMANENT_HOURLY_RATE-MAX(0,($D207+H$5)-PERMANENT_FIELD_LABOR_HOURS)*TEMP_HOURLY_RATE-FIXED_SEASON_COST)</f>
        <v>17538.5649891822</v>
      </c>
      <c r="I207" s="53" t="n">
        <f aca="false">IF(OR($A207&gt;TOMATO_BED_CAP,$B207&gt;CARROT_BED_CAP,I$4&gt;MESCLUN_BED_CAP,$A207+$B207+I$4&gt;TOTAL_BEDS_AVAILABLE,($D207+I$5)&gt;TOTAL_LABOR_HOURS_CAP,MAX(0,($D207+I$5)-PERMANENT_FIELD_LABOR_HOURS)&gt;TEMP_HOURS_CAP),"",$C207+I$6-MIN(($D207+I$5),PERMANENT_FIELD_LABOR_HOURS)*PERMANENT_HOURLY_RATE-MAX(0,($D207+I$5)-PERMANENT_FIELD_LABOR_HOURS)*TEMP_HOURLY_RATE-FIXED_SEASON_COST)</f>
        <v>18527.6809743385</v>
      </c>
      <c r="J207" s="53" t="n">
        <f aca="false">IF(OR($A207&gt;TOMATO_BED_CAP,$B207&gt;CARROT_BED_CAP,J$4&gt;MESCLUN_BED_CAP,$A207+$B207+J$4&gt;TOTAL_BEDS_AVAILABLE,($D207+J$5)&gt;TOTAL_LABOR_HOURS_CAP,MAX(0,($D207+J$5)-PERMANENT_FIELD_LABOR_HOURS)&gt;TEMP_HOURS_CAP),"",$C207+J$6-MIN(($D207+J$5),PERMANENT_FIELD_LABOR_HOURS)*PERMANENT_HOURLY_RATE-MAX(0,($D207+J$5)-PERMANENT_FIELD_LABOR_HOURS)*TEMP_HOURLY_RATE-FIXED_SEASON_COST)</f>
        <v>19496.2751253932</v>
      </c>
      <c r="K207" s="53" t="n">
        <f aca="false">IF(OR($A207&gt;TOMATO_BED_CAP,$B207&gt;CARROT_BED_CAP,K$4&gt;MESCLUN_BED_CAP,$A207+$B207+K$4&gt;TOTAL_BEDS_AVAILABLE,($D207+K$5)&gt;TOTAL_LABOR_HOURS_CAP,MAX(0,($D207+K$5)-PERMANENT_FIELD_LABOR_HOURS)&gt;TEMP_HOURS_CAP),"",$C207+K$6-MIN(($D207+K$5),PERMANENT_FIELD_LABOR_HOURS)*PERMANENT_HOURLY_RATE-MAX(0,($D207+K$5)-PERMANENT_FIELD_LABOR_HOURS)*TEMP_HOURLY_RATE-FIXED_SEASON_COST)</f>
        <v>20443.9642221211</v>
      </c>
      <c r="L207" s="53" t="n">
        <f aca="false">IF(OR($A207&gt;TOMATO_BED_CAP,$B207&gt;CARROT_BED_CAP,L$4&gt;MESCLUN_BED_CAP,$A207+$B207+L$4&gt;TOTAL_BEDS_AVAILABLE,($D207+L$5)&gt;TOTAL_LABOR_HOURS_CAP,MAX(0,($D207+L$5)-PERMANENT_FIELD_LABOR_HOURS)&gt;TEMP_HOURS_CAP),"",$C207+L$6-MIN(($D207+L$5),PERMANENT_FIELD_LABOR_HOURS)*PERMANENT_HOURLY_RATE-MAX(0,($D207+L$5)-PERMANENT_FIELD_LABOR_HOURS)*TEMP_HOURLY_RATE-FIXED_SEASON_COST)</f>
        <v>21370.3586703279</v>
      </c>
      <c r="M207" s="53" t="n">
        <f aca="false">IF(OR($A207&gt;TOMATO_BED_CAP,$B207&gt;CARROT_BED_CAP,M$4&gt;MESCLUN_BED_CAP,$A207+$B207+M$4&gt;TOTAL_BEDS_AVAILABLE,($D207+M$5)&gt;TOTAL_LABOR_HOURS_CAP,MAX(0,($D207+M$5)-PERMANENT_FIELD_LABOR_HOURS)&gt;TEMP_HOURS_CAP),"",$C207+M$6-MIN(($D207+M$5),PERMANENT_FIELD_LABOR_HOURS)*PERMANENT_HOURLY_RATE-MAX(0,($D207+M$5)-PERMANENT_FIELD_LABOR_HOURS)*TEMP_HOURLY_RATE-FIXED_SEASON_COST)</f>
        <v>22275.0624023793</v>
      </c>
      <c r="N207" s="53" t="n">
        <f aca="false">IF(OR($A207&gt;TOMATO_BED_CAP,$B207&gt;CARROT_BED_CAP,N$4&gt;MESCLUN_BED_CAP,$A207+$B207+N$4&gt;TOTAL_BEDS_AVAILABLE,($D207+N$5)&gt;TOTAL_LABOR_HOURS_CAP,MAX(0,($D207+N$5)-PERMANENT_FIELD_LABOR_HOURS)&gt;TEMP_HOURS_CAP),"",$C207+N$6-MIN(($D207+N$5),PERMANENT_FIELD_LABOR_HOURS)*PERMANENT_HOURLY_RATE-MAX(0,($D207+N$5)-PERMANENT_FIELD_LABOR_HOURS)*TEMP_HOURLY_RATE-FIXED_SEASON_COST)</f>
        <v>23157.6727762389</v>
      </c>
      <c r="O207" s="53" t="n">
        <f aca="false">IF(OR($A207&gt;TOMATO_BED_CAP,$B207&gt;CARROT_BED_CAP,O$4&gt;MESCLUN_BED_CAP,$A207+$B207+O$4&gt;TOTAL_BEDS_AVAILABLE,($D207+O$5)&gt;TOTAL_LABOR_HOURS_CAP,MAX(0,($D207+O$5)-PERMANENT_FIELD_LABOR_HOURS)&gt;TEMP_HOURS_CAP),"",$C207+O$6-MIN(($D207+O$5),PERMANENT_FIELD_LABOR_HOURS)*PERMANENT_HOURLY_RATE-MAX(0,($D207+O$5)-PERMANENT_FIELD_LABOR_HOURS)*TEMP_HOURLY_RATE-FIXED_SEASON_COST)</f>
        <v>24017.7804729936</v>
      </c>
      <c r="P207" s="53" t="n">
        <f aca="false">IF(OR($A207&gt;TOMATO_BED_CAP,$B207&gt;CARROT_BED_CAP,P$4&gt;MESCLUN_BED_CAP,$A207+$B207+P$4&gt;TOTAL_BEDS_AVAILABLE,($D207+P$5)&gt;TOTAL_LABOR_HOURS_CAP,MAX(0,($D207+P$5)-PERMANENT_FIELD_LABOR_HOURS)&gt;TEMP_HOURS_CAP),"",$C207+P$6-MIN(($D207+P$5),PERMANENT_FIELD_LABOR_HOURS)*PERMANENT_HOURLY_RATE-MAX(0,($D207+P$5)-PERMANENT_FIELD_LABOR_HOURS)*TEMP_HOURLY_RATE-FIXED_SEASON_COST)</f>
        <v>24854.9693928451</v>
      </c>
      <c r="Q207" s="53" t="n">
        <f aca="false">IF(OR($A207&gt;TOMATO_BED_CAP,$B207&gt;CARROT_BED_CAP,Q$4&gt;MESCLUN_BED_CAP,$A207+$B207+Q$4&gt;TOTAL_BEDS_AVAILABLE,($D207+Q$5)&gt;TOTAL_LABOR_HOURS_CAP,MAX(0,($D207+Q$5)-PERMANENT_FIELD_LABOR_HOURS)&gt;TEMP_HOURS_CAP),"",$C207+Q$6-MIN(($D207+Q$5),PERMANENT_FIELD_LABOR_HOURS)*PERMANENT_HOURLY_RATE-MAX(0,($D207+Q$5)-PERMANENT_FIELD_LABOR_HOURS)*TEMP_HOURLY_RATE-FIXED_SEASON_COST)</f>
        <v>25668.8165495429</v>
      </c>
      <c r="R207" s="53" t="n">
        <f aca="false">IF(OR($A207&gt;TOMATO_BED_CAP,$B207&gt;CARROT_BED_CAP,R$4&gt;MESCLUN_BED_CAP,$A207+$B207+R$4&gt;TOTAL_BEDS_AVAILABLE,($D207+R$5)&gt;TOTAL_LABOR_HOURS_CAP,MAX(0,($D207+R$5)-PERMANENT_FIELD_LABOR_HOURS)&gt;TEMP_HOURS_CAP),"",$C207+R$6-MIN(($D207+R$5),PERMANENT_FIELD_LABOR_HOURS)*PERMANENT_HOURLY_RATE-MAX(0,($D207+R$5)-PERMANENT_FIELD_LABOR_HOURS)*TEMP_HOURLY_RATE-FIXED_SEASON_COST)</f>
        <v>26458.8919632398</v>
      </c>
      <c r="S207" s="53" t="n">
        <f aca="false">IF(OR($A207&gt;TOMATO_BED_CAP,$B207&gt;CARROT_BED_CAP,S$4&gt;MESCLUN_BED_CAP,$A207+$B207+S$4&gt;TOTAL_BEDS_AVAILABLE,($D207+S$5)&gt;TOTAL_LABOR_HOURS_CAP,MAX(0,($D207+S$5)-PERMANENT_FIELD_LABOR_HOURS)&gt;TEMP_HOURS_CAP),"",$C207+S$6-MIN(($D207+S$5),PERMANENT_FIELD_LABOR_HOURS)*PERMANENT_HOURLY_RATE-MAX(0,($D207+S$5)-PERMANENT_FIELD_LABOR_HOURS)*TEMP_HOURLY_RATE-FIXED_SEASON_COST)</f>
        <v>27224.7585517422</v>
      </c>
      <c r="T207" s="53" t="n">
        <f aca="false">IF(OR($A207&gt;TOMATO_BED_CAP,$B207&gt;CARROT_BED_CAP,T$4&gt;MESCLUN_BED_CAP,$A207+$B207+T$4&gt;TOTAL_BEDS_AVAILABLE,($D207+T$5)&gt;TOTAL_LABOR_HOURS_CAP,MAX(0,($D207+T$5)-PERMANENT_FIELD_LABOR_HOURS)&gt;TEMP_HOURS_CAP),"",$C207+T$6-MIN(($D207+T$5),PERMANENT_FIELD_LABOR_HOURS)*PERMANENT_HOURLY_RATE-MAX(0,($D207+T$5)-PERMANENT_FIELD_LABOR_HOURS)*TEMP_HOURLY_RATE-FIXED_SEASON_COST)</f>
        <v>27965.972020137</v>
      </c>
      <c r="U207" s="53" t="n">
        <f aca="false">IF(OR($A207&gt;TOMATO_BED_CAP,$B207&gt;CARROT_BED_CAP,U$4&gt;MESCLUN_BED_CAP,$A207+$B207+U$4&gt;TOTAL_BEDS_AVAILABLE,($D207+U$5)&gt;TOTAL_LABOR_HOURS_CAP,MAX(0,($D207+U$5)-PERMANENT_FIELD_LABOR_HOURS)&gt;TEMP_HOURS_CAP),"",$C207+U$6-MIN(($D207+U$5),PERMANENT_FIELD_LABOR_HOURS)*PERMANENT_HOURLY_RATE-MAX(0,($D207+U$5)-PERMANENT_FIELD_LABOR_HOURS)*TEMP_HOURLY_RATE-FIXED_SEASON_COST)</f>
        <v>28682.0807487671</v>
      </c>
      <c r="V207" s="53" t="n">
        <f aca="false">IF(OR($A207&gt;TOMATO_BED_CAP,$B207&gt;CARROT_BED_CAP,V$4&gt;MESCLUN_BED_CAP,$A207+$B207+V$4&gt;TOTAL_BEDS_AVAILABLE,($D207+V$5)&gt;TOTAL_LABOR_HOURS_CAP,MAX(0,($D207+V$5)-PERMANENT_FIELD_LABOR_HOURS)&gt;TEMP_HOURS_CAP),"",$C207+V$6-MIN(($D207+V$5),PERMANENT_FIELD_LABOR_HOURS)*PERMANENT_HOURLY_RATE-MAX(0,($D207+V$5)-PERMANENT_FIELD_LABOR_HOURS)*TEMP_HOURLY_RATE-FIXED_SEASON_COST)</f>
        <v>29372.6256795339</v>
      </c>
      <c r="W207" s="53" t="n">
        <f aca="false">IF(OR($A207&gt;TOMATO_BED_CAP,$B207&gt;CARROT_BED_CAP,W$4&gt;MESCLUN_BED_CAP,$A207+$B207+W$4&gt;TOTAL_BEDS_AVAILABLE,($D207+W$5)&gt;TOTAL_LABOR_HOURS_CAP,MAX(0,($D207+W$5)-PERMANENT_FIELD_LABOR_HOURS)&gt;TEMP_HOURS_CAP),"",$C207+W$6-MIN(($D207+W$5),PERMANENT_FIELD_LABOR_HOURS)*PERMANENT_HOURLY_RATE-MAX(0,($D207+W$5)-PERMANENT_FIELD_LABOR_HOURS)*TEMP_HOURLY_RATE-FIXED_SEASON_COST)</f>
        <v>30037.140200502</v>
      </c>
      <c r="X207" s="53" t="n">
        <f aca="false">IF(OR($A207&gt;TOMATO_BED_CAP,$B207&gt;CARROT_BED_CAP,X$4&gt;MESCLUN_BED_CAP,$A207+$B207+X$4&gt;TOTAL_BEDS_AVAILABLE,($D207+X$5)&gt;TOTAL_LABOR_HOURS_CAP,MAX(0,($D207+X$5)-PERMANENT_FIELD_LABOR_HOURS)&gt;TEMP_HOURS_CAP),"",$C207+X$6-MIN(($D207+X$5),PERMANENT_FIELD_LABOR_HOURS)*PERMANENT_HOURLY_RATE-MAX(0,($D207+X$5)-PERMANENT_FIELD_LABOR_HOURS)*TEMP_HOURLY_RATE-FIXED_SEASON_COST)</f>
        <v>30675.1500287809</v>
      </c>
      <c r="Y207" s="53" t="n">
        <f aca="false">IF(OR($A207&gt;TOMATO_BED_CAP,$B207&gt;CARROT_BED_CAP,Y$4&gt;MESCLUN_BED_CAP,$A207+$B207+Y$4&gt;TOTAL_BEDS_AVAILABLE,($D207+Y$5)&gt;TOTAL_LABOR_HOURS_CAP,MAX(0,($D207+Y$5)-PERMANENT_FIELD_LABOR_HOURS)&gt;TEMP_HOURS_CAP),"",$C207+Y$6-MIN(($D207+Y$5),PERMANENT_FIELD_LABOR_HOURS)*PERMANENT_HOURLY_RATE-MAX(0,($D207+Y$5)-PERMANENT_FIELD_LABOR_HOURS)*TEMP_HOURLY_RATE-FIXED_SEASON_COST)</f>
        <v>31286.1730916596</v>
      </c>
      <c r="Z207" s="53" t="n">
        <f aca="false">IF(OR($A207&gt;TOMATO_BED_CAP,$B207&gt;CARROT_BED_CAP,Z$4&gt;MESCLUN_BED_CAP,$A207+$B207+Z$4&gt;TOTAL_BEDS_AVAILABLE,($D207+Z$5)&gt;TOTAL_LABOR_HOURS_CAP,MAX(0,($D207+Z$5)-PERMANENT_FIELD_LABOR_HOURS)&gt;TEMP_HOURS_CAP),"",$C207+Z$6-MIN(($D207+Z$5),PERMANENT_FIELD_LABOR_HOURS)*PERMANENT_HOURLY_RATE-MAX(0,($D207+Z$5)-PERMANENT_FIELD_LABOR_HOURS)*TEMP_HOURLY_RATE-FIXED_SEASON_COST)</f>
        <v>31869.7194059673</v>
      </c>
      <c r="AA207" s="53" t="n">
        <f aca="false">IF(OR($A207&gt;TOMATO_BED_CAP,$B207&gt;CARROT_BED_CAP,AA$4&gt;MESCLUN_BED_CAP,$A207+$B207+AA$4&gt;TOTAL_BEDS_AVAILABLE,($D207+AA$5)&gt;TOTAL_LABOR_HOURS_CAP,MAX(0,($D207+AA$5)-PERMANENT_FIELD_LABOR_HOURS)&gt;TEMP_HOURS_CAP),"",$C207+AA$6-MIN(($D207+AA$5),PERMANENT_FIELD_LABOR_HOURS)*PERMANENT_HOURLY_RATE-MAX(0,($D207+AA$5)-PERMANENT_FIELD_LABOR_HOURS)*TEMP_HOURLY_RATE-FIXED_SEASON_COST)</f>
        <v>32425.2909556362</v>
      </c>
      <c r="AB207" s="53" t="n">
        <f aca="false">IF(OR($A207&gt;TOMATO_BED_CAP,$B207&gt;CARROT_BED_CAP,AB$4&gt;MESCLUN_BED_CAP,$A207+$B207+AB$4&gt;TOTAL_BEDS_AVAILABLE,($D207+AB$5)&gt;TOTAL_LABOR_HOURS_CAP,MAX(0,($D207+AB$5)-PERMANENT_FIELD_LABOR_HOURS)&gt;TEMP_HOURS_CAP),"",$C207+AB$6-MIN(($D207+AB$5),PERMANENT_FIELD_LABOR_HOURS)*PERMANENT_HOURLY_RATE-MAX(0,($D207+AB$5)-PERMANENT_FIELD_LABOR_HOURS)*TEMP_HOURLY_RATE-FIXED_SEASON_COST)</f>
        <v>32952.3815674388</v>
      </c>
      <c r="AC207" s="53" t="n">
        <f aca="false">IF(OR($A207&gt;TOMATO_BED_CAP,$B207&gt;CARROT_BED_CAP,AC$4&gt;MESCLUN_BED_CAP,$A207+$B207+AC$4&gt;TOTAL_BEDS_AVAILABLE,($D207+AC$5)&gt;TOTAL_LABOR_HOURS_CAP,MAX(0,($D207+AC$5)-PERMANENT_FIELD_LABOR_HOURS)&gt;TEMP_HOURS_CAP),"",$C207+AC$6-MIN(($D207+AC$5),PERMANENT_FIELD_LABOR_HOURS)*PERMANENT_HOURLY_RATE-MAX(0,($D207+AC$5)-PERMANENT_FIELD_LABOR_HOURS)*TEMP_HOURLY_RATE-FIXED_SEASON_COST)</f>
        <v>33450.4767848737</v>
      </c>
      <c r="AD207" s="53" t="n">
        <f aca="false">IF(OR($A207&gt;TOMATO_BED_CAP,$B207&gt;CARROT_BED_CAP,AD$4&gt;MESCLUN_BED_CAP,$A207+$B207+AD$4&gt;TOTAL_BEDS_AVAILABLE,($D207+AD$5)&gt;TOTAL_LABOR_HOURS_CAP,MAX(0,($D207+AD$5)-PERMANENT_FIELD_LABOR_HOURS)&gt;TEMP_HOURS_CAP),"",$C207+AD$6-MIN(($D207+AD$5),PERMANENT_FIELD_LABOR_HOURS)*PERMANENT_HOURLY_RATE-MAX(0,($D207+AD$5)-PERMANENT_FIELD_LABOR_HOURS)*TEMP_HOURLY_RATE-FIXED_SEASON_COST)</f>
        <v>33919.0537401737</v>
      </c>
      <c r="AE207" s="53" t="n">
        <f aca="false">IF(OR($A207&gt;TOMATO_BED_CAP,$B207&gt;CARROT_BED_CAP,AE$4&gt;MESCLUN_BED_CAP,$A207+$B207+AE$4&gt;TOTAL_BEDS_AVAILABLE,($D207+AE$5)&gt;TOTAL_LABOR_HOURS_CAP,MAX(0,($D207+AE$5)-PERMANENT_FIELD_LABOR_HOURS)&gt;TEMP_HOURS_CAP),"",$C207+AE$6-MIN(($D207+AE$5),PERMANENT_FIELD_LABOR_HOURS)*PERMANENT_HOURLY_RATE-MAX(0,($D207+AE$5)-PERMANENT_FIELD_LABOR_HOURS)*TEMP_HOURLY_RATE-FIXED_SEASON_COST)</f>
        <v>34357.5810244076</v>
      </c>
      <c r="AF207" s="53" t="n">
        <f aca="false">IF(OR($A207&gt;TOMATO_BED_CAP,$B207&gt;CARROT_BED_CAP,AF$4&gt;MESCLUN_BED_CAP,$A207+$B207+AF$4&gt;TOTAL_BEDS_AVAILABLE,($D207+AF$5)&gt;TOTAL_LABOR_HOURS_CAP,MAX(0,($D207+AF$5)-PERMANENT_FIELD_LABOR_HOURS)&gt;TEMP_HOURS_CAP),"",$C207+AF$6-MIN(($D207+AF$5),PERMANENT_FIELD_LABOR_HOURS)*PERMANENT_HOURLY_RATE-MAX(0,($D207+AF$5)-PERMANENT_FIELD_LABOR_HOURS)*TEMP_HOURLY_RATE-FIXED_SEASON_COST)</f>
        <v>34765.5185556495</v>
      </c>
      <c r="AG207" s="53" t="n">
        <f aca="false">IF(OR($A207&gt;TOMATO_BED_CAP,$B207&gt;CARROT_BED_CAP,AG$4&gt;MESCLUN_BED_CAP,$A207+$B207+AG$4&gt;TOTAL_BEDS_AVAILABLE,($D207+AG$5)&gt;TOTAL_LABOR_HOURS_CAP,MAX(0,($D207+AG$5)-PERMANENT_FIELD_LABOR_HOURS)&gt;TEMP_HOURS_CAP),"",$C207+AG$6-MIN(($D207+AG$5),PERMANENT_FIELD_LABOR_HOURS)*PERMANENT_HOURLY_RATE-MAX(0,($D207+AG$5)-PERMANENT_FIELD_LABOR_HOURS)*TEMP_HOURLY_RATE-FIXED_SEASON_COST)</f>
        <v>35142.3174451865</v>
      </c>
      <c r="AH207" s="53" t="n">
        <f aca="false">IF(OR($A207&gt;TOMATO_BED_CAP,$B207&gt;CARROT_BED_CAP,AH$4&gt;MESCLUN_BED_CAP,$A207+$B207+AH$4&gt;TOTAL_BEDS_AVAILABLE,($D207+AH$5)&gt;TOTAL_LABOR_HOURS_CAP,MAX(0,($D207+AH$5)-PERMANENT_FIELD_LABOR_HOURS)&gt;TEMP_HOURS_CAP),"",$C207+AH$6-MIN(($D207+AH$5),PERMANENT_FIELD_LABOR_HOURS)*PERMANENT_HOURLY_RATE-MAX(0,($D207+AH$5)-PERMANENT_FIELD_LABOR_HOURS)*TEMP_HOURLY_RATE-FIXED_SEASON_COST)</f>
        <v>35487.4198617367</v>
      </c>
      <c r="AI207" s="53" t="n">
        <f aca="false">IF(OR($A207&gt;TOMATO_BED_CAP,$B207&gt;CARROT_BED_CAP,AI$4&gt;MESCLUN_BED_CAP,$A207+$B207+AI$4&gt;TOTAL_BEDS_AVAILABLE,($D207+AI$5)&gt;TOTAL_LABOR_HOURS_CAP,MAX(0,($D207+AI$5)-PERMANENT_FIELD_LABOR_HOURS)&gt;TEMP_HOURS_CAP),"",$C207+AI$6-MIN(($D207+AI$5),PERMANENT_FIELD_LABOR_HOURS)*PERMANENT_HOURLY_RATE-MAX(0,($D207+AI$5)-PERMANENT_FIELD_LABOR_HOURS)*TEMP_HOURLY_RATE-FIXED_SEASON_COST)</f>
        <v>35800.258893649</v>
      </c>
      <c r="AJ207" s="53" t="n">
        <f aca="false">IF(OR($A207&gt;TOMATO_BED_CAP,$B207&gt;CARROT_BED_CAP,AJ$4&gt;MESCLUN_BED_CAP,$A207+$B207+AJ$4&gt;TOTAL_BEDS_AVAILABLE,($D207+AJ$5)&gt;TOTAL_LABOR_HOURS_CAP,MAX(0,($D207+AJ$5)-PERMANENT_FIELD_LABOR_HOURS)&gt;TEMP_HOURS_CAP),"",$C207+AJ$6-MIN(($D207+AJ$5),PERMANENT_FIELD_LABOR_HOURS)*PERMANENT_HOURLY_RATE-MAX(0,($D207+AJ$5)-PERMANENT_FIELD_LABOR_HOURS)*TEMP_HOURLY_RATE-FIXED_SEASON_COST)</f>
        <v>36080.2584090548</v>
      </c>
    </row>
    <row r="208" customFormat="false" ht="15" hidden="false" customHeight="false" outlineLevel="0" collapsed="false">
      <c r="A208" s="21" t="n">
        <f aca="false">INT((ROW()-ROW($A$8))/(20+1))</f>
        <v>9</v>
      </c>
      <c r="B208" s="21" t="n">
        <f aca="false">MOD(ROW()-ROW($A$8),20+1)</f>
        <v>11</v>
      </c>
      <c r="C208" s="13" t="n">
        <f aca="false">A208*(TOMATO_REVENUE_PER_BED-TOMATO_FERTILIZER_PER_BED)+B208*(CARROT_REVENUE_PER_BED-CARROT_FERTILIZER_PER_BED)</f>
        <v>89474</v>
      </c>
      <c r="D208" s="14" t="n">
        <f aca="false">INDEX(TOMATO_SCHED_LABOR_HRS,A208+1)+INDEX(CARROT_SCHED_LABOR_HRS,B208+1)</f>
        <v>2342.75303134559</v>
      </c>
      <c r="E208" s="13" t="n">
        <f aca="false">IF(COUNT(F208:AJ208)=0,"",MAX(F208:AJ208))</f>
        <v>36884.5966707131</v>
      </c>
      <c r="F208" s="53" t="n">
        <f aca="false">IF(OR($A208&gt;TOMATO_BED_CAP,$B208&gt;CARROT_BED_CAP,F$4&gt;MESCLUN_BED_CAP,$A208+$B208+F$4&gt;TOTAL_BEDS_AVAILABLE,($D208+F$5)&gt;TOTAL_LABOR_HOURS_CAP,MAX(0,($D208+F$5)-PERMANENT_FIELD_LABOR_HOURS)&gt;TEMP_HOURS_CAP),"",$C208+F$6-MIN(($D208+F$5),PERMANENT_FIELD_LABOR_HOURS)*PERMANENT_HOURLY_RATE-MAX(0,($D208+F$5)-PERMANENT_FIELD_LABOR_HOURS)*TEMP_HOURLY_RATE-FIXED_SEASON_COST)</f>
        <v>16304.6073758406</v>
      </c>
      <c r="G208" s="53" t="n">
        <f aca="false">IF(OR($A208&gt;TOMATO_BED_CAP,$B208&gt;CARROT_BED_CAP,G$4&gt;MESCLUN_BED_CAP,$A208+$B208+G$4&gt;TOTAL_BEDS_AVAILABLE,($D208+G$5)&gt;TOTAL_LABOR_HOURS_CAP,MAX(0,($D208+G$5)-PERMANENT_FIELD_LABOR_HOURS)&gt;TEMP_HOURS_CAP),"",$C208+G$6-MIN(($D208+G$5),PERMANENT_FIELD_LABOR_HOURS)*PERMANENT_HOURLY_RATE-MAX(0,($D208+G$5)-PERMANENT_FIELD_LABOR_HOURS)*TEMP_HOURLY_RATE-FIXED_SEASON_COST)</f>
        <v>17333.6423758406</v>
      </c>
      <c r="H208" s="53" t="n">
        <f aca="false">IF(OR($A208&gt;TOMATO_BED_CAP,$B208&gt;CARROT_BED_CAP,H$4&gt;MESCLUN_BED_CAP,$A208+$B208+H$4&gt;TOTAL_BEDS_AVAILABLE,($D208+H$5)&gt;TOTAL_LABOR_HOURS_CAP,MAX(0,($D208+H$5)-PERMANENT_FIELD_LABOR_HOURS)&gt;TEMP_HOURS_CAP),"",$C208+H$6-MIN(($D208+H$5),PERMANENT_FIELD_LABOR_HOURS)*PERMANENT_HOURLY_RATE-MAX(0,($D208+H$5)-PERMANENT_FIELD_LABOR_HOURS)*TEMP_HOURLY_RATE-FIXED_SEASON_COST)</f>
        <v>18342.9032508406</v>
      </c>
      <c r="I208" s="53" t="n">
        <f aca="false">IF(OR($A208&gt;TOMATO_BED_CAP,$B208&gt;CARROT_BED_CAP,I$4&gt;MESCLUN_BED_CAP,$A208+$B208+I$4&gt;TOTAL_BEDS_AVAILABLE,($D208+I$5)&gt;TOTAL_LABOR_HOURS_CAP,MAX(0,($D208+I$5)-PERMANENT_FIELD_LABOR_HOURS)&gt;TEMP_HOURS_CAP),"",$C208+I$6-MIN(($D208+I$5),PERMANENT_FIELD_LABOR_HOURS)*PERMANENT_HOURLY_RATE-MAX(0,($D208+I$5)-PERMANENT_FIELD_LABOR_HOURS)*TEMP_HOURLY_RATE-FIXED_SEASON_COST)</f>
        <v>19332.0192359968</v>
      </c>
      <c r="J208" s="53" t="n">
        <f aca="false">IF(OR($A208&gt;TOMATO_BED_CAP,$B208&gt;CARROT_BED_CAP,J$4&gt;MESCLUN_BED_CAP,$A208+$B208+J$4&gt;TOTAL_BEDS_AVAILABLE,($D208+J$5)&gt;TOTAL_LABOR_HOURS_CAP,MAX(0,($D208+J$5)-PERMANENT_FIELD_LABOR_HOURS)&gt;TEMP_HOURS_CAP),"",$C208+J$6-MIN(($D208+J$5),PERMANENT_FIELD_LABOR_HOURS)*PERMANENT_HOURLY_RATE-MAX(0,($D208+J$5)-PERMANENT_FIELD_LABOR_HOURS)*TEMP_HOURLY_RATE-FIXED_SEASON_COST)</f>
        <v>20300.6133870515</v>
      </c>
      <c r="K208" s="53" t="n">
        <f aca="false">IF(OR($A208&gt;TOMATO_BED_CAP,$B208&gt;CARROT_BED_CAP,K$4&gt;MESCLUN_BED_CAP,$A208+$B208+K$4&gt;TOTAL_BEDS_AVAILABLE,($D208+K$5)&gt;TOTAL_LABOR_HOURS_CAP,MAX(0,($D208+K$5)-PERMANENT_FIELD_LABOR_HOURS)&gt;TEMP_HOURS_CAP),"",$C208+K$6-MIN(($D208+K$5),PERMANENT_FIELD_LABOR_HOURS)*PERMANENT_HOURLY_RATE-MAX(0,($D208+K$5)-PERMANENT_FIELD_LABOR_HOURS)*TEMP_HOURLY_RATE-FIXED_SEASON_COST)</f>
        <v>21248.3024837794</v>
      </c>
      <c r="L208" s="53" t="n">
        <f aca="false">IF(OR($A208&gt;TOMATO_BED_CAP,$B208&gt;CARROT_BED_CAP,L$4&gt;MESCLUN_BED_CAP,$A208+$B208+L$4&gt;TOTAL_BEDS_AVAILABLE,($D208+L$5)&gt;TOTAL_LABOR_HOURS_CAP,MAX(0,($D208+L$5)-PERMANENT_FIELD_LABOR_HOURS)&gt;TEMP_HOURS_CAP),"",$C208+L$6-MIN(($D208+L$5),PERMANENT_FIELD_LABOR_HOURS)*PERMANENT_HOURLY_RATE-MAX(0,($D208+L$5)-PERMANENT_FIELD_LABOR_HOURS)*TEMP_HOURLY_RATE-FIXED_SEASON_COST)</f>
        <v>22174.6969319863</v>
      </c>
      <c r="M208" s="53" t="n">
        <f aca="false">IF(OR($A208&gt;TOMATO_BED_CAP,$B208&gt;CARROT_BED_CAP,M$4&gt;MESCLUN_BED_CAP,$A208+$B208+M$4&gt;TOTAL_BEDS_AVAILABLE,($D208+M$5)&gt;TOTAL_LABOR_HOURS_CAP,MAX(0,($D208+M$5)-PERMANENT_FIELD_LABOR_HOURS)&gt;TEMP_HOURS_CAP),"",$C208+M$6-MIN(($D208+M$5),PERMANENT_FIELD_LABOR_HOURS)*PERMANENT_HOURLY_RATE-MAX(0,($D208+M$5)-PERMANENT_FIELD_LABOR_HOURS)*TEMP_HOURLY_RATE-FIXED_SEASON_COST)</f>
        <v>23079.4006640377</v>
      </c>
      <c r="N208" s="53" t="n">
        <f aca="false">IF(OR($A208&gt;TOMATO_BED_CAP,$B208&gt;CARROT_BED_CAP,N$4&gt;MESCLUN_BED_CAP,$A208+$B208+N$4&gt;TOTAL_BEDS_AVAILABLE,($D208+N$5)&gt;TOTAL_LABOR_HOURS_CAP,MAX(0,($D208+N$5)-PERMANENT_FIELD_LABOR_HOURS)&gt;TEMP_HOURS_CAP),"",$C208+N$6-MIN(($D208+N$5),PERMANENT_FIELD_LABOR_HOURS)*PERMANENT_HOURLY_RATE-MAX(0,($D208+N$5)-PERMANENT_FIELD_LABOR_HOURS)*TEMP_HOURLY_RATE-FIXED_SEASON_COST)</f>
        <v>23962.0110378972</v>
      </c>
      <c r="O208" s="53" t="n">
        <f aca="false">IF(OR($A208&gt;TOMATO_BED_CAP,$B208&gt;CARROT_BED_CAP,O$4&gt;MESCLUN_BED_CAP,$A208+$B208+O$4&gt;TOTAL_BEDS_AVAILABLE,($D208+O$5)&gt;TOTAL_LABOR_HOURS_CAP,MAX(0,($D208+O$5)-PERMANENT_FIELD_LABOR_HOURS)&gt;TEMP_HOURS_CAP),"",$C208+O$6-MIN(($D208+O$5),PERMANENT_FIELD_LABOR_HOURS)*PERMANENT_HOURLY_RATE-MAX(0,($D208+O$5)-PERMANENT_FIELD_LABOR_HOURS)*TEMP_HOURLY_RATE-FIXED_SEASON_COST)</f>
        <v>24822.118734652</v>
      </c>
      <c r="P208" s="53" t="n">
        <f aca="false">IF(OR($A208&gt;TOMATO_BED_CAP,$B208&gt;CARROT_BED_CAP,P$4&gt;MESCLUN_BED_CAP,$A208+$B208+P$4&gt;TOTAL_BEDS_AVAILABLE,($D208+P$5)&gt;TOTAL_LABOR_HOURS_CAP,MAX(0,($D208+P$5)-PERMANENT_FIELD_LABOR_HOURS)&gt;TEMP_HOURS_CAP),"",$C208+P$6-MIN(($D208+P$5),PERMANENT_FIELD_LABOR_HOURS)*PERMANENT_HOURLY_RATE-MAX(0,($D208+P$5)-PERMANENT_FIELD_LABOR_HOURS)*TEMP_HOURLY_RATE-FIXED_SEASON_COST)</f>
        <v>25659.3076545034</v>
      </c>
      <c r="Q208" s="53" t="n">
        <f aca="false">IF(OR($A208&gt;TOMATO_BED_CAP,$B208&gt;CARROT_BED_CAP,Q$4&gt;MESCLUN_BED_CAP,$A208+$B208+Q$4&gt;TOTAL_BEDS_AVAILABLE,($D208+Q$5)&gt;TOTAL_LABOR_HOURS_CAP,MAX(0,($D208+Q$5)-PERMANENT_FIELD_LABOR_HOURS)&gt;TEMP_HOURS_CAP),"",$C208+Q$6-MIN(($D208+Q$5),PERMANENT_FIELD_LABOR_HOURS)*PERMANENT_HOURLY_RATE-MAX(0,($D208+Q$5)-PERMANENT_FIELD_LABOR_HOURS)*TEMP_HOURLY_RATE-FIXED_SEASON_COST)</f>
        <v>26473.1548112013</v>
      </c>
      <c r="R208" s="53" t="n">
        <f aca="false">IF(OR($A208&gt;TOMATO_BED_CAP,$B208&gt;CARROT_BED_CAP,R$4&gt;MESCLUN_BED_CAP,$A208+$B208+R$4&gt;TOTAL_BEDS_AVAILABLE,($D208+R$5)&gt;TOTAL_LABOR_HOURS_CAP,MAX(0,($D208+R$5)-PERMANENT_FIELD_LABOR_HOURS)&gt;TEMP_HOURS_CAP),"",$C208+R$6-MIN(($D208+R$5),PERMANENT_FIELD_LABOR_HOURS)*PERMANENT_HOURLY_RATE-MAX(0,($D208+R$5)-PERMANENT_FIELD_LABOR_HOURS)*TEMP_HOURLY_RATE-FIXED_SEASON_COST)</f>
        <v>27263.2302248981</v>
      </c>
      <c r="S208" s="53" t="n">
        <f aca="false">IF(OR($A208&gt;TOMATO_BED_CAP,$B208&gt;CARROT_BED_CAP,S$4&gt;MESCLUN_BED_CAP,$A208+$B208+S$4&gt;TOTAL_BEDS_AVAILABLE,($D208+S$5)&gt;TOTAL_LABOR_HOURS_CAP,MAX(0,($D208+S$5)-PERMANENT_FIELD_LABOR_HOURS)&gt;TEMP_HOURS_CAP),"",$C208+S$6-MIN(($D208+S$5),PERMANENT_FIELD_LABOR_HOURS)*PERMANENT_HOURLY_RATE-MAX(0,($D208+S$5)-PERMANENT_FIELD_LABOR_HOURS)*TEMP_HOURLY_RATE-FIXED_SEASON_COST)</f>
        <v>28029.0968134005</v>
      </c>
      <c r="T208" s="53" t="n">
        <f aca="false">IF(OR($A208&gt;TOMATO_BED_CAP,$B208&gt;CARROT_BED_CAP,T$4&gt;MESCLUN_BED_CAP,$A208+$B208+T$4&gt;TOTAL_BEDS_AVAILABLE,($D208+T$5)&gt;TOTAL_LABOR_HOURS_CAP,MAX(0,($D208+T$5)-PERMANENT_FIELD_LABOR_HOURS)&gt;TEMP_HOURS_CAP),"",$C208+T$6-MIN(($D208+T$5),PERMANENT_FIELD_LABOR_HOURS)*PERMANENT_HOURLY_RATE-MAX(0,($D208+T$5)-PERMANENT_FIELD_LABOR_HOURS)*TEMP_HOURLY_RATE-FIXED_SEASON_COST)</f>
        <v>28770.3102817954</v>
      </c>
      <c r="U208" s="53" t="n">
        <f aca="false">IF(OR($A208&gt;TOMATO_BED_CAP,$B208&gt;CARROT_BED_CAP,U$4&gt;MESCLUN_BED_CAP,$A208+$B208+U$4&gt;TOTAL_BEDS_AVAILABLE,($D208+U$5)&gt;TOTAL_LABOR_HOURS_CAP,MAX(0,($D208+U$5)-PERMANENT_FIELD_LABOR_HOURS)&gt;TEMP_HOURS_CAP),"",$C208+U$6-MIN(($D208+U$5),PERMANENT_FIELD_LABOR_HOURS)*PERMANENT_HOURLY_RATE-MAX(0,($D208+U$5)-PERMANENT_FIELD_LABOR_HOURS)*TEMP_HOURLY_RATE-FIXED_SEASON_COST)</f>
        <v>29486.4190104255</v>
      </c>
      <c r="V208" s="53" t="n">
        <f aca="false">IF(OR($A208&gt;TOMATO_BED_CAP,$B208&gt;CARROT_BED_CAP,V$4&gt;MESCLUN_BED_CAP,$A208+$B208+V$4&gt;TOTAL_BEDS_AVAILABLE,($D208+V$5)&gt;TOTAL_LABOR_HOURS_CAP,MAX(0,($D208+V$5)-PERMANENT_FIELD_LABOR_HOURS)&gt;TEMP_HOURS_CAP),"",$C208+V$6-MIN(($D208+V$5),PERMANENT_FIELD_LABOR_HOURS)*PERMANENT_HOURLY_RATE-MAX(0,($D208+V$5)-PERMANENT_FIELD_LABOR_HOURS)*TEMP_HOURLY_RATE-FIXED_SEASON_COST)</f>
        <v>30176.9639411923</v>
      </c>
      <c r="W208" s="53" t="n">
        <f aca="false">IF(OR($A208&gt;TOMATO_BED_CAP,$B208&gt;CARROT_BED_CAP,W$4&gt;MESCLUN_BED_CAP,$A208+$B208+W$4&gt;TOTAL_BEDS_AVAILABLE,($D208+W$5)&gt;TOTAL_LABOR_HOURS_CAP,MAX(0,($D208+W$5)-PERMANENT_FIELD_LABOR_HOURS)&gt;TEMP_HOURS_CAP),"",$C208+W$6-MIN(($D208+W$5),PERMANENT_FIELD_LABOR_HOURS)*PERMANENT_HOURLY_RATE-MAX(0,($D208+W$5)-PERMANENT_FIELD_LABOR_HOURS)*TEMP_HOURLY_RATE-FIXED_SEASON_COST)</f>
        <v>30841.4784621603</v>
      </c>
      <c r="X208" s="53" t="n">
        <f aca="false">IF(OR($A208&gt;TOMATO_BED_CAP,$B208&gt;CARROT_BED_CAP,X$4&gt;MESCLUN_BED_CAP,$A208+$B208+X$4&gt;TOTAL_BEDS_AVAILABLE,($D208+X$5)&gt;TOTAL_LABOR_HOURS_CAP,MAX(0,($D208+X$5)-PERMANENT_FIELD_LABOR_HOURS)&gt;TEMP_HOURS_CAP),"",$C208+X$6-MIN(($D208+X$5),PERMANENT_FIELD_LABOR_HOURS)*PERMANENT_HOURLY_RATE-MAX(0,($D208+X$5)-PERMANENT_FIELD_LABOR_HOURS)*TEMP_HOURLY_RATE-FIXED_SEASON_COST)</f>
        <v>31479.4882904393</v>
      </c>
      <c r="Y208" s="53" t="n">
        <f aca="false">IF(OR($A208&gt;TOMATO_BED_CAP,$B208&gt;CARROT_BED_CAP,Y$4&gt;MESCLUN_BED_CAP,$A208+$B208+Y$4&gt;TOTAL_BEDS_AVAILABLE,($D208+Y$5)&gt;TOTAL_LABOR_HOURS_CAP,MAX(0,($D208+Y$5)-PERMANENT_FIELD_LABOR_HOURS)&gt;TEMP_HOURS_CAP),"",$C208+Y$6-MIN(($D208+Y$5),PERMANENT_FIELD_LABOR_HOURS)*PERMANENT_HOURLY_RATE-MAX(0,($D208+Y$5)-PERMANENT_FIELD_LABOR_HOURS)*TEMP_HOURLY_RATE-FIXED_SEASON_COST)</f>
        <v>32090.5113533179</v>
      </c>
      <c r="Z208" s="53" t="n">
        <f aca="false">IF(OR($A208&gt;TOMATO_BED_CAP,$B208&gt;CARROT_BED_CAP,Z$4&gt;MESCLUN_BED_CAP,$A208+$B208+Z$4&gt;TOTAL_BEDS_AVAILABLE,($D208+Z$5)&gt;TOTAL_LABOR_HOURS_CAP,MAX(0,($D208+Z$5)-PERMANENT_FIELD_LABOR_HOURS)&gt;TEMP_HOURS_CAP),"",$C208+Z$6-MIN(($D208+Z$5),PERMANENT_FIELD_LABOR_HOURS)*PERMANENT_HOURLY_RATE-MAX(0,($D208+Z$5)-PERMANENT_FIELD_LABOR_HOURS)*TEMP_HOURLY_RATE-FIXED_SEASON_COST)</f>
        <v>32674.0576676256</v>
      </c>
      <c r="AA208" s="53" t="n">
        <f aca="false">IF(OR($A208&gt;TOMATO_BED_CAP,$B208&gt;CARROT_BED_CAP,AA$4&gt;MESCLUN_BED_CAP,$A208+$B208+AA$4&gt;TOTAL_BEDS_AVAILABLE,($D208+AA$5)&gt;TOTAL_LABOR_HOURS_CAP,MAX(0,($D208+AA$5)-PERMANENT_FIELD_LABOR_HOURS)&gt;TEMP_HOURS_CAP),"",$C208+AA$6-MIN(($D208+AA$5),PERMANENT_FIELD_LABOR_HOURS)*PERMANENT_HOURLY_RATE-MAX(0,($D208+AA$5)-PERMANENT_FIELD_LABOR_HOURS)*TEMP_HOURLY_RATE-FIXED_SEASON_COST)</f>
        <v>33229.6292172946</v>
      </c>
      <c r="AB208" s="53" t="n">
        <f aca="false">IF(OR($A208&gt;TOMATO_BED_CAP,$B208&gt;CARROT_BED_CAP,AB$4&gt;MESCLUN_BED_CAP,$A208+$B208+AB$4&gt;TOTAL_BEDS_AVAILABLE,($D208+AB$5)&gt;TOTAL_LABOR_HOURS_CAP,MAX(0,($D208+AB$5)-PERMANENT_FIELD_LABOR_HOURS)&gt;TEMP_HOURS_CAP),"",$C208+AB$6-MIN(($D208+AB$5),PERMANENT_FIELD_LABOR_HOURS)*PERMANENT_HOURLY_RATE-MAX(0,($D208+AB$5)-PERMANENT_FIELD_LABOR_HOURS)*TEMP_HOURLY_RATE-FIXED_SEASON_COST)</f>
        <v>33756.7198290972</v>
      </c>
      <c r="AC208" s="53" t="n">
        <f aca="false">IF(OR($A208&gt;TOMATO_BED_CAP,$B208&gt;CARROT_BED_CAP,AC$4&gt;MESCLUN_BED_CAP,$A208+$B208+AC$4&gt;TOTAL_BEDS_AVAILABLE,($D208+AC$5)&gt;TOTAL_LABOR_HOURS_CAP,MAX(0,($D208+AC$5)-PERMANENT_FIELD_LABOR_HOURS)&gt;TEMP_HOURS_CAP),"",$C208+AC$6-MIN(($D208+AC$5),PERMANENT_FIELD_LABOR_HOURS)*PERMANENT_HOURLY_RATE-MAX(0,($D208+AC$5)-PERMANENT_FIELD_LABOR_HOURS)*TEMP_HOURLY_RATE-FIXED_SEASON_COST)</f>
        <v>34254.8150465321</v>
      </c>
      <c r="AD208" s="53" t="n">
        <f aca="false">IF(OR($A208&gt;TOMATO_BED_CAP,$B208&gt;CARROT_BED_CAP,AD$4&gt;MESCLUN_BED_CAP,$A208+$B208+AD$4&gt;TOTAL_BEDS_AVAILABLE,($D208+AD$5)&gt;TOTAL_LABOR_HOURS_CAP,MAX(0,($D208+AD$5)-PERMANENT_FIELD_LABOR_HOURS)&gt;TEMP_HOURS_CAP),"",$C208+AD$6-MIN(($D208+AD$5),PERMANENT_FIELD_LABOR_HOURS)*PERMANENT_HOURLY_RATE-MAX(0,($D208+AD$5)-PERMANENT_FIELD_LABOR_HOURS)*TEMP_HOURLY_RATE-FIXED_SEASON_COST)</f>
        <v>34723.392001832</v>
      </c>
      <c r="AE208" s="53" t="n">
        <f aca="false">IF(OR($A208&gt;TOMATO_BED_CAP,$B208&gt;CARROT_BED_CAP,AE$4&gt;MESCLUN_BED_CAP,$A208+$B208+AE$4&gt;TOTAL_BEDS_AVAILABLE,($D208+AE$5)&gt;TOTAL_LABOR_HOURS_CAP,MAX(0,($D208+AE$5)-PERMANENT_FIELD_LABOR_HOURS)&gt;TEMP_HOURS_CAP),"",$C208+AE$6-MIN(($D208+AE$5),PERMANENT_FIELD_LABOR_HOURS)*PERMANENT_HOURLY_RATE-MAX(0,($D208+AE$5)-PERMANENT_FIELD_LABOR_HOURS)*TEMP_HOURLY_RATE-FIXED_SEASON_COST)</f>
        <v>35161.9192860659</v>
      </c>
      <c r="AF208" s="53" t="n">
        <f aca="false">IF(OR($A208&gt;TOMATO_BED_CAP,$B208&gt;CARROT_BED_CAP,AF$4&gt;MESCLUN_BED_CAP,$A208+$B208+AF$4&gt;TOTAL_BEDS_AVAILABLE,($D208+AF$5)&gt;TOTAL_LABOR_HOURS_CAP,MAX(0,($D208+AF$5)-PERMANENT_FIELD_LABOR_HOURS)&gt;TEMP_HOURS_CAP),"",$C208+AF$6-MIN(($D208+AF$5),PERMANENT_FIELD_LABOR_HOURS)*PERMANENT_HOURLY_RATE-MAX(0,($D208+AF$5)-PERMANENT_FIELD_LABOR_HOURS)*TEMP_HOURLY_RATE-FIXED_SEASON_COST)</f>
        <v>35569.8568173079</v>
      </c>
      <c r="AG208" s="53" t="n">
        <f aca="false">IF(OR($A208&gt;TOMATO_BED_CAP,$B208&gt;CARROT_BED_CAP,AG$4&gt;MESCLUN_BED_CAP,$A208+$B208+AG$4&gt;TOTAL_BEDS_AVAILABLE,($D208+AG$5)&gt;TOTAL_LABOR_HOURS_CAP,MAX(0,($D208+AG$5)-PERMANENT_FIELD_LABOR_HOURS)&gt;TEMP_HOURS_CAP),"",$C208+AG$6-MIN(($D208+AG$5),PERMANENT_FIELD_LABOR_HOURS)*PERMANENT_HOURLY_RATE-MAX(0,($D208+AG$5)-PERMANENT_FIELD_LABOR_HOURS)*TEMP_HOURLY_RATE-FIXED_SEASON_COST)</f>
        <v>35946.6557068449</v>
      </c>
      <c r="AH208" s="53" t="n">
        <f aca="false">IF(OR($A208&gt;TOMATO_BED_CAP,$B208&gt;CARROT_BED_CAP,AH$4&gt;MESCLUN_BED_CAP,$A208+$B208+AH$4&gt;TOTAL_BEDS_AVAILABLE,($D208+AH$5)&gt;TOTAL_LABOR_HOURS_CAP,MAX(0,($D208+AH$5)-PERMANENT_FIELD_LABOR_HOURS)&gt;TEMP_HOURS_CAP),"",$C208+AH$6-MIN(($D208+AH$5),PERMANENT_FIELD_LABOR_HOURS)*PERMANENT_HOURLY_RATE-MAX(0,($D208+AH$5)-PERMANENT_FIELD_LABOR_HOURS)*TEMP_HOURLY_RATE-FIXED_SEASON_COST)</f>
        <v>36291.7581233951</v>
      </c>
      <c r="AI208" s="53" t="n">
        <f aca="false">IF(OR($A208&gt;TOMATO_BED_CAP,$B208&gt;CARROT_BED_CAP,AI$4&gt;MESCLUN_BED_CAP,$A208+$B208+AI$4&gt;TOTAL_BEDS_AVAILABLE,($D208+AI$5)&gt;TOTAL_LABOR_HOURS_CAP,MAX(0,($D208+AI$5)-PERMANENT_FIELD_LABOR_HOURS)&gt;TEMP_HOURS_CAP),"",$C208+AI$6-MIN(($D208+AI$5),PERMANENT_FIELD_LABOR_HOURS)*PERMANENT_HOURLY_RATE-MAX(0,($D208+AI$5)-PERMANENT_FIELD_LABOR_HOURS)*TEMP_HOURLY_RATE-FIXED_SEASON_COST)</f>
        <v>36604.5971553074</v>
      </c>
      <c r="AJ208" s="53" t="n">
        <f aca="false">IF(OR($A208&gt;TOMATO_BED_CAP,$B208&gt;CARROT_BED_CAP,AJ$4&gt;MESCLUN_BED_CAP,$A208+$B208+AJ$4&gt;TOTAL_BEDS_AVAILABLE,($D208+AJ$5)&gt;TOTAL_LABOR_HOURS_CAP,MAX(0,($D208+AJ$5)-PERMANENT_FIELD_LABOR_HOURS)&gt;TEMP_HOURS_CAP),"",$C208+AJ$6-MIN(($D208+AJ$5),PERMANENT_FIELD_LABOR_HOURS)*PERMANENT_HOURLY_RATE-MAX(0,($D208+AJ$5)-PERMANENT_FIELD_LABOR_HOURS)*TEMP_HOURLY_RATE-FIXED_SEASON_COST)</f>
        <v>36884.5966707131</v>
      </c>
    </row>
    <row r="209" customFormat="false" ht="15" hidden="false" customHeight="false" outlineLevel="0" collapsed="false">
      <c r="A209" s="21" t="n">
        <f aca="false">INT((ROW()-ROW($A$8))/(20+1))</f>
        <v>9</v>
      </c>
      <c r="B209" s="21" t="n">
        <f aca="false">MOD(ROW()-ROW($A$8),20+1)</f>
        <v>12</v>
      </c>
      <c r="C209" s="13" t="n">
        <f aca="false">A209*(TOMATO_REVENUE_PER_BED-TOMATO_FERTILIZER_PER_BED)+B209*(CARROT_REVENUE_PER_BED-CARROT_FERTILIZER_PER_BED)</f>
        <v>91128</v>
      </c>
      <c r="D209" s="14" t="n">
        <f aca="false">INDEX(TOMATO_SCHED_LABOR_HRS,A209+1)+INDEX(CARROT_SCHED_LABOR_HRS,B209+1)</f>
        <v>2393.90394244798</v>
      </c>
      <c r="E209" s="13" t="n">
        <f aca="false">IF(COUNT(F209:AJ209)=0,"",MAX(F209:AJ209))</f>
        <v>37650.6168539757</v>
      </c>
      <c r="F209" s="53" t="n">
        <f aca="false">IF(OR($A209&gt;TOMATO_BED_CAP,$B209&gt;CARROT_BED_CAP,F$4&gt;MESCLUN_BED_CAP,$A209+$B209+F$4&gt;TOTAL_BEDS_AVAILABLE,($D209+F$5)&gt;TOTAL_LABOR_HOURS_CAP,MAX(0,($D209+F$5)-PERMANENT_FIELD_LABOR_HOURS)&gt;TEMP_HOURS_CAP),"",$C209+F$6-MIN(($D209+F$5),PERMANENT_FIELD_LABOR_HOURS)*PERMANENT_HOURLY_RATE-MAX(0,($D209+F$5)-PERMANENT_FIELD_LABOR_HOURS)*TEMP_HOURLY_RATE-FIXED_SEASON_COST)</f>
        <v>17070.6275591031</v>
      </c>
      <c r="G209" s="53" t="n">
        <f aca="false">IF(OR($A209&gt;TOMATO_BED_CAP,$B209&gt;CARROT_BED_CAP,G$4&gt;MESCLUN_BED_CAP,$A209+$B209+G$4&gt;TOTAL_BEDS_AVAILABLE,($D209+G$5)&gt;TOTAL_LABOR_HOURS_CAP,MAX(0,($D209+G$5)-PERMANENT_FIELD_LABOR_HOURS)&gt;TEMP_HOURS_CAP),"",$C209+G$6-MIN(($D209+G$5),PERMANENT_FIELD_LABOR_HOURS)*PERMANENT_HOURLY_RATE-MAX(0,($D209+G$5)-PERMANENT_FIELD_LABOR_HOURS)*TEMP_HOURLY_RATE-FIXED_SEASON_COST)</f>
        <v>18099.6625591031</v>
      </c>
      <c r="H209" s="53" t="n">
        <f aca="false">IF(OR($A209&gt;TOMATO_BED_CAP,$B209&gt;CARROT_BED_CAP,H$4&gt;MESCLUN_BED_CAP,$A209+$B209+H$4&gt;TOTAL_BEDS_AVAILABLE,($D209+H$5)&gt;TOTAL_LABOR_HOURS_CAP,MAX(0,($D209+H$5)-PERMANENT_FIELD_LABOR_HOURS)&gt;TEMP_HOURS_CAP),"",$C209+H$6-MIN(($D209+H$5),PERMANENT_FIELD_LABOR_HOURS)*PERMANENT_HOURLY_RATE-MAX(0,($D209+H$5)-PERMANENT_FIELD_LABOR_HOURS)*TEMP_HOURLY_RATE-FIXED_SEASON_COST)</f>
        <v>19108.9234341031</v>
      </c>
      <c r="I209" s="53" t="n">
        <f aca="false">IF(OR($A209&gt;TOMATO_BED_CAP,$B209&gt;CARROT_BED_CAP,I$4&gt;MESCLUN_BED_CAP,$A209+$B209+I$4&gt;TOTAL_BEDS_AVAILABLE,($D209+I$5)&gt;TOTAL_LABOR_HOURS_CAP,MAX(0,($D209+I$5)-PERMANENT_FIELD_LABOR_HOURS)&gt;TEMP_HOURS_CAP),"",$C209+I$6-MIN(($D209+I$5),PERMANENT_FIELD_LABOR_HOURS)*PERMANENT_HOURLY_RATE-MAX(0,($D209+I$5)-PERMANENT_FIELD_LABOR_HOURS)*TEMP_HOURLY_RATE-FIXED_SEASON_COST)</f>
        <v>20098.0394192594</v>
      </c>
      <c r="J209" s="53" t="n">
        <f aca="false">IF(OR($A209&gt;TOMATO_BED_CAP,$B209&gt;CARROT_BED_CAP,J$4&gt;MESCLUN_BED_CAP,$A209+$B209+J$4&gt;TOTAL_BEDS_AVAILABLE,($D209+J$5)&gt;TOTAL_LABOR_HOURS_CAP,MAX(0,($D209+J$5)-PERMANENT_FIELD_LABOR_HOURS)&gt;TEMP_HOURS_CAP),"",$C209+J$6-MIN(($D209+J$5),PERMANENT_FIELD_LABOR_HOURS)*PERMANENT_HOURLY_RATE-MAX(0,($D209+J$5)-PERMANENT_FIELD_LABOR_HOURS)*TEMP_HOURLY_RATE-FIXED_SEASON_COST)</f>
        <v>21066.6335703141</v>
      </c>
      <c r="K209" s="53" t="n">
        <f aca="false">IF(OR($A209&gt;TOMATO_BED_CAP,$B209&gt;CARROT_BED_CAP,K$4&gt;MESCLUN_BED_CAP,$A209+$B209+K$4&gt;TOTAL_BEDS_AVAILABLE,($D209+K$5)&gt;TOTAL_LABOR_HOURS_CAP,MAX(0,($D209+K$5)-PERMANENT_FIELD_LABOR_HOURS)&gt;TEMP_HOURS_CAP),"",$C209+K$6-MIN(($D209+K$5),PERMANENT_FIELD_LABOR_HOURS)*PERMANENT_HOURLY_RATE-MAX(0,($D209+K$5)-PERMANENT_FIELD_LABOR_HOURS)*TEMP_HOURLY_RATE-FIXED_SEASON_COST)</f>
        <v>22014.322667042</v>
      </c>
      <c r="L209" s="53" t="n">
        <f aca="false">IF(OR($A209&gt;TOMATO_BED_CAP,$B209&gt;CARROT_BED_CAP,L$4&gt;MESCLUN_BED_CAP,$A209+$B209+L$4&gt;TOTAL_BEDS_AVAILABLE,($D209+L$5)&gt;TOTAL_LABOR_HOURS_CAP,MAX(0,($D209+L$5)-PERMANENT_FIELD_LABOR_HOURS)&gt;TEMP_HOURS_CAP),"",$C209+L$6-MIN(($D209+L$5),PERMANENT_FIELD_LABOR_HOURS)*PERMANENT_HOURLY_RATE-MAX(0,($D209+L$5)-PERMANENT_FIELD_LABOR_HOURS)*TEMP_HOURLY_RATE-FIXED_SEASON_COST)</f>
        <v>22940.7171152488</v>
      </c>
      <c r="M209" s="53" t="n">
        <f aca="false">IF(OR($A209&gt;TOMATO_BED_CAP,$B209&gt;CARROT_BED_CAP,M$4&gt;MESCLUN_BED_CAP,$A209+$B209+M$4&gt;TOTAL_BEDS_AVAILABLE,($D209+M$5)&gt;TOTAL_LABOR_HOURS_CAP,MAX(0,($D209+M$5)-PERMANENT_FIELD_LABOR_HOURS)&gt;TEMP_HOURS_CAP),"",$C209+M$6-MIN(($D209+M$5),PERMANENT_FIELD_LABOR_HOURS)*PERMANENT_HOURLY_RATE-MAX(0,($D209+M$5)-PERMANENT_FIELD_LABOR_HOURS)*TEMP_HOURLY_RATE-FIXED_SEASON_COST)</f>
        <v>23845.4208473002</v>
      </c>
      <c r="N209" s="53" t="n">
        <f aca="false">IF(OR($A209&gt;TOMATO_BED_CAP,$B209&gt;CARROT_BED_CAP,N$4&gt;MESCLUN_BED_CAP,$A209+$B209+N$4&gt;TOTAL_BEDS_AVAILABLE,($D209+N$5)&gt;TOTAL_LABOR_HOURS_CAP,MAX(0,($D209+N$5)-PERMANENT_FIELD_LABOR_HOURS)&gt;TEMP_HOURS_CAP),"",$C209+N$6-MIN(($D209+N$5),PERMANENT_FIELD_LABOR_HOURS)*PERMANENT_HOURLY_RATE-MAX(0,($D209+N$5)-PERMANENT_FIELD_LABOR_HOURS)*TEMP_HOURLY_RATE-FIXED_SEASON_COST)</f>
        <v>24728.0312211598</v>
      </c>
      <c r="O209" s="53" t="n">
        <f aca="false">IF(OR($A209&gt;TOMATO_BED_CAP,$B209&gt;CARROT_BED_CAP,O$4&gt;MESCLUN_BED_CAP,$A209+$B209+O$4&gt;TOTAL_BEDS_AVAILABLE,($D209+O$5)&gt;TOTAL_LABOR_HOURS_CAP,MAX(0,($D209+O$5)-PERMANENT_FIELD_LABOR_HOURS)&gt;TEMP_HOURS_CAP),"",$C209+O$6-MIN(($D209+O$5),PERMANENT_FIELD_LABOR_HOURS)*PERMANENT_HOURLY_RATE-MAX(0,($D209+O$5)-PERMANENT_FIELD_LABOR_HOURS)*TEMP_HOURLY_RATE-FIXED_SEASON_COST)</f>
        <v>25588.1389179145</v>
      </c>
      <c r="P209" s="53" t="n">
        <f aca="false">IF(OR($A209&gt;TOMATO_BED_CAP,$B209&gt;CARROT_BED_CAP,P$4&gt;MESCLUN_BED_CAP,$A209+$B209+P$4&gt;TOTAL_BEDS_AVAILABLE,($D209+P$5)&gt;TOTAL_LABOR_HOURS_CAP,MAX(0,($D209+P$5)-PERMANENT_FIELD_LABOR_HOURS)&gt;TEMP_HOURS_CAP),"",$C209+P$6-MIN(($D209+P$5),PERMANENT_FIELD_LABOR_HOURS)*PERMANENT_HOURLY_RATE-MAX(0,($D209+P$5)-PERMANENT_FIELD_LABOR_HOURS)*TEMP_HOURLY_RATE-FIXED_SEASON_COST)</f>
        <v>26425.327837766</v>
      </c>
      <c r="Q209" s="53" t="n">
        <f aca="false">IF(OR($A209&gt;TOMATO_BED_CAP,$B209&gt;CARROT_BED_CAP,Q$4&gt;MESCLUN_BED_CAP,$A209+$B209+Q$4&gt;TOTAL_BEDS_AVAILABLE,($D209+Q$5)&gt;TOTAL_LABOR_HOURS_CAP,MAX(0,($D209+Q$5)-PERMANENT_FIELD_LABOR_HOURS)&gt;TEMP_HOURS_CAP),"",$C209+Q$6-MIN(($D209+Q$5),PERMANENT_FIELD_LABOR_HOURS)*PERMANENT_HOURLY_RATE-MAX(0,($D209+Q$5)-PERMANENT_FIELD_LABOR_HOURS)*TEMP_HOURLY_RATE-FIXED_SEASON_COST)</f>
        <v>27239.1749944638</v>
      </c>
      <c r="R209" s="53" t="n">
        <f aca="false">IF(OR($A209&gt;TOMATO_BED_CAP,$B209&gt;CARROT_BED_CAP,R$4&gt;MESCLUN_BED_CAP,$A209+$B209+R$4&gt;TOTAL_BEDS_AVAILABLE,($D209+R$5)&gt;TOTAL_LABOR_HOURS_CAP,MAX(0,($D209+R$5)-PERMANENT_FIELD_LABOR_HOURS)&gt;TEMP_HOURS_CAP),"",$C209+R$6-MIN(($D209+R$5),PERMANENT_FIELD_LABOR_HOURS)*PERMANENT_HOURLY_RATE-MAX(0,($D209+R$5)-PERMANENT_FIELD_LABOR_HOURS)*TEMP_HOURLY_RATE-FIXED_SEASON_COST)</f>
        <v>28029.2504081607</v>
      </c>
      <c r="S209" s="53" t="n">
        <f aca="false">IF(OR($A209&gt;TOMATO_BED_CAP,$B209&gt;CARROT_BED_CAP,S$4&gt;MESCLUN_BED_CAP,$A209+$B209+S$4&gt;TOTAL_BEDS_AVAILABLE,($D209+S$5)&gt;TOTAL_LABOR_HOURS_CAP,MAX(0,($D209+S$5)-PERMANENT_FIELD_LABOR_HOURS)&gt;TEMP_HOURS_CAP),"",$C209+S$6-MIN(($D209+S$5),PERMANENT_FIELD_LABOR_HOURS)*PERMANENT_HOURLY_RATE-MAX(0,($D209+S$5)-PERMANENT_FIELD_LABOR_HOURS)*TEMP_HOURLY_RATE-FIXED_SEASON_COST)</f>
        <v>28795.1169966631</v>
      </c>
      <c r="T209" s="53" t="n">
        <f aca="false">IF(OR($A209&gt;TOMATO_BED_CAP,$B209&gt;CARROT_BED_CAP,T$4&gt;MESCLUN_BED_CAP,$A209+$B209+T$4&gt;TOTAL_BEDS_AVAILABLE,($D209+T$5)&gt;TOTAL_LABOR_HOURS_CAP,MAX(0,($D209+T$5)-PERMANENT_FIELD_LABOR_HOURS)&gt;TEMP_HOURS_CAP),"",$C209+T$6-MIN(($D209+T$5),PERMANENT_FIELD_LABOR_HOURS)*PERMANENT_HOURLY_RATE-MAX(0,($D209+T$5)-PERMANENT_FIELD_LABOR_HOURS)*TEMP_HOURLY_RATE-FIXED_SEASON_COST)</f>
        <v>29536.3304650579</v>
      </c>
      <c r="U209" s="53" t="n">
        <f aca="false">IF(OR($A209&gt;TOMATO_BED_CAP,$B209&gt;CARROT_BED_CAP,U$4&gt;MESCLUN_BED_CAP,$A209+$B209+U$4&gt;TOTAL_BEDS_AVAILABLE,($D209+U$5)&gt;TOTAL_LABOR_HOURS_CAP,MAX(0,($D209+U$5)-PERMANENT_FIELD_LABOR_HOURS)&gt;TEMP_HOURS_CAP),"",$C209+U$6-MIN(($D209+U$5),PERMANENT_FIELD_LABOR_HOURS)*PERMANENT_HOURLY_RATE-MAX(0,($D209+U$5)-PERMANENT_FIELD_LABOR_HOURS)*TEMP_HOURLY_RATE-FIXED_SEASON_COST)</f>
        <v>30252.4391936881</v>
      </c>
      <c r="V209" s="53" t="n">
        <f aca="false">IF(OR($A209&gt;TOMATO_BED_CAP,$B209&gt;CARROT_BED_CAP,V$4&gt;MESCLUN_BED_CAP,$A209+$B209+V$4&gt;TOTAL_BEDS_AVAILABLE,($D209+V$5)&gt;TOTAL_LABOR_HOURS_CAP,MAX(0,($D209+V$5)-PERMANENT_FIELD_LABOR_HOURS)&gt;TEMP_HOURS_CAP),"",$C209+V$6-MIN(($D209+V$5),PERMANENT_FIELD_LABOR_HOURS)*PERMANENT_HOURLY_RATE-MAX(0,($D209+V$5)-PERMANENT_FIELD_LABOR_HOURS)*TEMP_HOURLY_RATE-FIXED_SEASON_COST)</f>
        <v>30942.9841244548</v>
      </c>
      <c r="W209" s="53" t="n">
        <f aca="false">IF(OR($A209&gt;TOMATO_BED_CAP,$B209&gt;CARROT_BED_CAP,W$4&gt;MESCLUN_BED_CAP,$A209+$B209+W$4&gt;TOTAL_BEDS_AVAILABLE,($D209+W$5)&gt;TOTAL_LABOR_HOURS_CAP,MAX(0,($D209+W$5)-PERMANENT_FIELD_LABOR_HOURS)&gt;TEMP_HOURS_CAP),"",$C209+W$6-MIN(($D209+W$5),PERMANENT_FIELD_LABOR_HOURS)*PERMANENT_HOURLY_RATE-MAX(0,($D209+W$5)-PERMANENT_FIELD_LABOR_HOURS)*TEMP_HOURLY_RATE-FIXED_SEASON_COST)</f>
        <v>31607.4986454229</v>
      </c>
      <c r="X209" s="53" t="n">
        <f aca="false">IF(OR($A209&gt;TOMATO_BED_CAP,$B209&gt;CARROT_BED_CAP,X$4&gt;MESCLUN_BED_CAP,$A209+$B209+X$4&gt;TOTAL_BEDS_AVAILABLE,($D209+X$5)&gt;TOTAL_LABOR_HOURS_CAP,MAX(0,($D209+X$5)-PERMANENT_FIELD_LABOR_HOURS)&gt;TEMP_HOURS_CAP),"",$C209+X$6-MIN(($D209+X$5),PERMANENT_FIELD_LABOR_HOURS)*PERMANENT_HOURLY_RATE-MAX(0,($D209+X$5)-PERMANENT_FIELD_LABOR_HOURS)*TEMP_HOURLY_RATE-FIXED_SEASON_COST)</f>
        <v>32245.5084737018</v>
      </c>
      <c r="Y209" s="53" t="n">
        <f aca="false">IF(OR($A209&gt;TOMATO_BED_CAP,$B209&gt;CARROT_BED_CAP,Y$4&gt;MESCLUN_BED_CAP,$A209+$B209+Y$4&gt;TOTAL_BEDS_AVAILABLE,($D209+Y$5)&gt;TOTAL_LABOR_HOURS_CAP,MAX(0,($D209+Y$5)-PERMANENT_FIELD_LABOR_HOURS)&gt;TEMP_HOURS_CAP),"",$C209+Y$6-MIN(($D209+Y$5),PERMANENT_FIELD_LABOR_HOURS)*PERMANENT_HOURLY_RATE-MAX(0,($D209+Y$5)-PERMANENT_FIELD_LABOR_HOURS)*TEMP_HOURLY_RATE-FIXED_SEASON_COST)</f>
        <v>32856.5315365805</v>
      </c>
      <c r="Z209" s="53" t="n">
        <f aca="false">IF(OR($A209&gt;TOMATO_BED_CAP,$B209&gt;CARROT_BED_CAP,Z$4&gt;MESCLUN_BED_CAP,$A209+$B209+Z$4&gt;TOTAL_BEDS_AVAILABLE,($D209+Z$5)&gt;TOTAL_LABOR_HOURS_CAP,MAX(0,($D209+Z$5)-PERMANENT_FIELD_LABOR_HOURS)&gt;TEMP_HOURS_CAP),"",$C209+Z$6-MIN(($D209+Z$5),PERMANENT_FIELD_LABOR_HOURS)*PERMANENT_HOURLY_RATE-MAX(0,($D209+Z$5)-PERMANENT_FIELD_LABOR_HOURS)*TEMP_HOURLY_RATE-FIXED_SEASON_COST)</f>
        <v>33440.0778508882</v>
      </c>
      <c r="AA209" s="53" t="n">
        <f aca="false">IF(OR($A209&gt;TOMATO_BED_CAP,$B209&gt;CARROT_BED_CAP,AA$4&gt;MESCLUN_BED_CAP,$A209+$B209+AA$4&gt;TOTAL_BEDS_AVAILABLE,($D209+AA$5)&gt;TOTAL_LABOR_HOURS_CAP,MAX(0,($D209+AA$5)-PERMANENT_FIELD_LABOR_HOURS)&gt;TEMP_HOURS_CAP),"",$C209+AA$6-MIN(($D209+AA$5),PERMANENT_FIELD_LABOR_HOURS)*PERMANENT_HOURLY_RATE-MAX(0,($D209+AA$5)-PERMANENT_FIELD_LABOR_HOURS)*TEMP_HOURLY_RATE-FIXED_SEASON_COST)</f>
        <v>33995.6494005571</v>
      </c>
      <c r="AB209" s="53" t="n">
        <f aca="false">IF(OR($A209&gt;TOMATO_BED_CAP,$B209&gt;CARROT_BED_CAP,AB$4&gt;MESCLUN_BED_CAP,$A209+$B209+AB$4&gt;TOTAL_BEDS_AVAILABLE,($D209+AB$5)&gt;TOTAL_LABOR_HOURS_CAP,MAX(0,($D209+AB$5)-PERMANENT_FIELD_LABOR_HOURS)&gt;TEMP_HOURS_CAP),"",$C209+AB$6-MIN(($D209+AB$5),PERMANENT_FIELD_LABOR_HOURS)*PERMANENT_HOURLY_RATE-MAX(0,($D209+AB$5)-PERMANENT_FIELD_LABOR_HOURS)*TEMP_HOURLY_RATE-FIXED_SEASON_COST)</f>
        <v>34522.7400123597</v>
      </c>
      <c r="AC209" s="53" t="n">
        <f aca="false">IF(OR($A209&gt;TOMATO_BED_CAP,$B209&gt;CARROT_BED_CAP,AC$4&gt;MESCLUN_BED_CAP,$A209+$B209+AC$4&gt;TOTAL_BEDS_AVAILABLE,($D209+AC$5)&gt;TOTAL_LABOR_HOURS_CAP,MAX(0,($D209+AC$5)-PERMANENT_FIELD_LABOR_HOURS)&gt;TEMP_HOURS_CAP),"",$C209+AC$6-MIN(($D209+AC$5),PERMANENT_FIELD_LABOR_HOURS)*PERMANENT_HOURLY_RATE-MAX(0,($D209+AC$5)-PERMANENT_FIELD_LABOR_HOURS)*TEMP_HOURLY_RATE-FIXED_SEASON_COST)</f>
        <v>35020.8352297946</v>
      </c>
      <c r="AD209" s="53" t="n">
        <f aca="false">IF(OR($A209&gt;TOMATO_BED_CAP,$B209&gt;CARROT_BED_CAP,AD$4&gt;MESCLUN_BED_CAP,$A209+$B209+AD$4&gt;TOTAL_BEDS_AVAILABLE,($D209+AD$5)&gt;TOTAL_LABOR_HOURS_CAP,MAX(0,($D209+AD$5)-PERMANENT_FIELD_LABOR_HOURS)&gt;TEMP_HOURS_CAP),"",$C209+AD$6-MIN(($D209+AD$5),PERMANENT_FIELD_LABOR_HOURS)*PERMANENT_HOURLY_RATE-MAX(0,($D209+AD$5)-PERMANENT_FIELD_LABOR_HOURS)*TEMP_HOURLY_RATE-FIXED_SEASON_COST)</f>
        <v>35489.4121850946</v>
      </c>
      <c r="AE209" s="53" t="n">
        <f aca="false">IF(OR($A209&gt;TOMATO_BED_CAP,$B209&gt;CARROT_BED_CAP,AE$4&gt;MESCLUN_BED_CAP,$A209+$B209+AE$4&gt;TOTAL_BEDS_AVAILABLE,($D209+AE$5)&gt;TOTAL_LABOR_HOURS_CAP,MAX(0,($D209+AE$5)-PERMANENT_FIELD_LABOR_HOURS)&gt;TEMP_HOURS_CAP),"",$C209+AE$6-MIN(($D209+AE$5),PERMANENT_FIELD_LABOR_HOURS)*PERMANENT_HOURLY_RATE-MAX(0,($D209+AE$5)-PERMANENT_FIELD_LABOR_HOURS)*TEMP_HOURLY_RATE-FIXED_SEASON_COST)</f>
        <v>35927.9394693285</v>
      </c>
      <c r="AF209" s="53" t="n">
        <f aca="false">IF(OR($A209&gt;TOMATO_BED_CAP,$B209&gt;CARROT_BED_CAP,AF$4&gt;MESCLUN_BED_CAP,$A209+$B209+AF$4&gt;TOTAL_BEDS_AVAILABLE,($D209+AF$5)&gt;TOTAL_LABOR_HOURS_CAP,MAX(0,($D209+AF$5)-PERMANENT_FIELD_LABOR_HOURS)&gt;TEMP_HOURS_CAP),"",$C209+AF$6-MIN(($D209+AF$5),PERMANENT_FIELD_LABOR_HOURS)*PERMANENT_HOURLY_RATE-MAX(0,($D209+AF$5)-PERMANENT_FIELD_LABOR_HOURS)*TEMP_HOURLY_RATE-FIXED_SEASON_COST)</f>
        <v>36335.8770005704</v>
      </c>
      <c r="AG209" s="53" t="n">
        <f aca="false">IF(OR($A209&gt;TOMATO_BED_CAP,$B209&gt;CARROT_BED_CAP,AG$4&gt;MESCLUN_BED_CAP,$A209+$B209+AG$4&gt;TOTAL_BEDS_AVAILABLE,($D209+AG$5)&gt;TOTAL_LABOR_HOURS_CAP,MAX(0,($D209+AG$5)-PERMANENT_FIELD_LABOR_HOURS)&gt;TEMP_HOURS_CAP),"",$C209+AG$6-MIN(($D209+AG$5),PERMANENT_FIELD_LABOR_HOURS)*PERMANENT_HOURLY_RATE-MAX(0,($D209+AG$5)-PERMANENT_FIELD_LABOR_HOURS)*TEMP_HOURLY_RATE-FIXED_SEASON_COST)</f>
        <v>36712.6758901074</v>
      </c>
      <c r="AH209" s="53" t="n">
        <f aca="false">IF(OR($A209&gt;TOMATO_BED_CAP,$B209&gt;CARROT_BED_CAP,AH$4&gt;MESCLUN_BED_CAP,$A209+$B209+AH$4&gt;TOTAL_BEDS_AVAILABLE,($D209+AH$5)&gt;TOTAL_LABOR_HOURS_CAP,MAX(0,($D209+AH$5)-PERMANENT_FIELD_LABOR_HOURS)&gt;TEMP_HOURS_CAP),"",$C209+AH$6-MIN(($D209+AH$5),PERMANENT_FIELD_LABOR_HOURS)*PERMANENT_HOURLY_RATE-MAX(0,($D209+AH$5)-PERMANENT_FIELD_LABOR_HOURS)*TEMP_HOURLY_RATE-FIXED_SEASON_COST)</f>
        <v>37057.7783066577</v>
      </c>
      <c r="AI209" s="53" t="n">
        <f aca="false">IF(OR($A209&gt;TOMATO_BED_CAP,$B209&gt;CARROT_BED_CAP,AI$4&gt;MESCLUN_BED_CAP,$A209+$B209+AI$4&gt;TOTAL_BEDS_AVAILABLE,($D209+AI$5)&gt;TOTAL_LABOR_HOURS_CAP,MAX(0,($D209+AI$5)-PERMANENT_FIELD_LABOR_HOURS)&gt;TEMP_HOURS_CAP),"",$C209+AI$6-MIN(($D209+AI$5),PERMANENT_FIELD_LABOR_HOURS)*PERMANENT_HOURLY_RATE-MAX(0,($D209+AI$5)-PERMANENT_FIELD_LABOR_HOURS)*TEMP_HOURLY_RATE-FIXED_SEASON_COST)</f>
        <v>37370.6173385699</v>
      </c>
      <c r="AJ209" s="53" t="n">
        <f aca="false">IF(OR($A209&gt;TOMATO_BED_CAP,$B209&gt;CARROT_BED_CAP,AJ$4&gt;MESCLUN_BED_CAP,$A209+$B209+AJ$4&gt;TOTAL_BEDS_AVAILABLE,($D209+AJ$5)&gt;TOTAL_LABOR_HOURS_CAP,MAX(0,($D209+AJ$5)-PERMANENT_FIELD_LABOR_HOURS)&gt;TEMP_HOURS_CAP),"",$C209+AJ$6-MIN(($D209+AJ$5),PERMANENT_FIELD_LABOR_HOURS)*PERMANENT_HOURLY_RATE-MAX(0,($D209+AJ$5)-PERMANENT_FIELD_LABOR_HOURS)*TEMP_HOURLY_RATE-FIXED_SEASON_COST)</f>
        <v>37650.6168539757</v>
      </c>
    </row>
    <row r="210" customFormat="false" ht="15" hidden="false" customHeight="false" outlineLevel="0" collapsed="false">
      <c r="A210" s="21" t="n">
        <f aca="false">INT((ROW()-ROW($A$8))/(20+1))</f>
        <v>9</v>
      </c>
      <c r="B210" s="21" t="n">
        <f aca="false">MOD(ROW()-ROW($A$8),20+1)</f>
        <v>13</v>
      </c>
      <c r="C210" s="13" t="n">
        <f aca="false">A210*(TOMATO_REVENUE_PER_BED-TOMATO_FERTILIZER_PER_BED)+B210*(CARROT_REVENUE_PER_BED-CARROT_FERTILIZER_PER_BED)</f>
        <v>92782</v>
      </c>
      <c r="D210" s="14" t="n">
        <f aca="false">INDEX(TOMATO_SCHED_LABOR_HRS,A210+1)+INDEX(CARROT_SCHED_LABOR_HRS,B210+1)</f>
        <v>2447.34188947946</v>
      </c>
      <c r="E210" s="13" t="n">
        <f aca="false">IF(COUNT(F210:AJ210)=0,"",MAX(F210:AJ210))</f>
        <v>38376.9340935091</v>
      </c>
      <c r="F210" s="53" t="n">
        <f aca="false">IF(OR($A210&gt;TOMATO_BED_CAP,$B210&gt;CARROT_BED_CAP,F$4&gt;MESCLUN_BED_CAP,$A210+$B210+F$4&gt;TOTAL_BEDS_AVAILABLE,($D210+F$5)&gt;TOTAL_LABOR_HOURS_CAP,MAX(0,($D210+F$5)-PERMANENT_FIELD_LABOR_HOURS)&gt;TEMP_HOURS_CAP),"",$C210+F$6-MIN(($D210+F$5),PERMANENT_FIELD_LABOR_HOURS)*PERMANENT_HOURLY_RATE-MAX(0,($D210+F$5)-PERMANENT_FIELD_LABOR_HOURS)*TEMP_HOURLY_RATE-FIXED_SEASON_COST)</f>
        <v>17796.9447986366</v>
      </c>
      <c r="G210" s="53" t="n">
        <f aca="false">IF(OR($A210&gt;TOMATO_BED_CAP,$B210&gt;CARROT_BED_CAP,G$4&gt;MESCLUN_BED_CAP,$A210+$B210+G$4&gt;TOTAL_BEDS_AVAILABLE,($D210+G$5)&gt;TOTAL_LABOR_HOURS_CAP,MAX(0,($D210+G$5)-PERMANENT_FIELD_LABOR_HOURS)&gt;TEMP_HOURS_CAP),"",$C210+G$6-MIN(($D210+G$5),PERMANENT_FIELD_LABOR_HOURS)*PERMANENT_HOURLY_RATE-MAX(0,($D210+G$5)-PERMANENT_FIELD_LABOR_HOURS)*TEMP_HOURLY_RATE-FIXED_SEASON_COST)</f>
        <v>18825.9797986366</v>
      </c>
      <c r="H210" s="53" t="n">
        <f aca="false">IF(OR($A210&gt;TOMATO_BED_CAP,$B210&gt;CARROT_BED_CAP,H$4&gt;MESCLUN_BED_CAP,$A210+$B210+H$4&gt;TOTAL_BEDS_AVAILABLE,($D210+H$5)&gt;TOTAL_LABOR_HOURS_CAP,MAX(0,($D210+H$5)-PERMANENT_FIELD_LABOR_HOURS)&gt;TEMP_HOURS_CAP),"",$C210+H$6-MIN(($D210+H$5),PERMANENT_FIELD_LABOR_HOURS)*PERMANENT_HOURLY_RATE-MAX(0,($D210+H$5)-PERMANENT_FIELD_LABOR_HOURS)*TEMP_HOURLY_RATE-FIXED_SEASON_COST)</f>
        <v>19835.2406736366</v>
      </c>
      <c r="I210" s="53" t="n">
        <f aca="false">IF(OR($A210&gt;TOMATO_BED_CAP,$B210&gt;CARROT_BED_CAP,I$4&gt;MESCLUN_BED_CAP,$A210+$B210+I$4&gt;TOTAL_BEDS_AVAILABLE,($D210+I$5)&gt;TOTAL_LABOR_HOURS_CAP,MAX(0,($D210+I$5)-PERMANENT_FIELD_LABOR_HOURS)&gt;TEMP_HOURS_CAP),"",$C210+I$6-MIN(($D210+I$5),PERMANENT_FIELD_LABOR_HOURS)*PERMANENT_HOURLY_RATE-MAX(0,($D210+I$5)-PERMANENT_FIELD_LABOR_HOURS)*TEMP_HOURLY_RATE-FIXED_SEASON_COST)</f>
        <v>20824.3566587928</v>
      </c>
      <c r="J210" s="53" t="n">
        <f aca="false">IF(OR($A210&gt;TOMATO_BED_CAP,$B210&gt;CARROT_BED_CAP,J$4&gt;MESCLUN_BED_CAP,$A210+$B210+J$4&gt;TOTAL_BEDS_AVAILABLE,($D210+J$5)&gt;TOTAL_LABOR_HOURS_CAP,MAX(0,($D210+J$5)-PERMANENT_FIELD_LABOR_HOURS)&gt;TEMP_HOURS_CAP),"",$C210+J$6-MIN(($D210+J$5),PERMANENT_FIELD_LABOR_HOURS)*PERMANENT_HOURLY_RATE-MAX(0,($D210+J$5)-PERMANENT_FIELD_LABOR_HOURS)*TEMP_HOURLY_RATE-FIXED_SEASON_COST)</f>
        <v>21792.9508098475</v>
      </c>
      <c r="K210" s="53" t="n">
        <f aca="false">IF(OR($A210&gt;TOMATO_BED_CAP,$B210&gt;CARROT_BED_CAP,K$4&gt;MESCLUN_BED_CAP,$A210+$B210+K$4&gt;TOTAL_BEDS_AVAILABLE,($D210+K$5)&gt;TOTAL_LABOR_HOURS_CAP,MAX(0,($D210+K$5)-PERMANENT_FIELD_LABOR_HOURS)&gt;TEMP_HOURS_CAP),"",$C210+K$6-MIN(($D210+K$5),PERMANENT_FIELD_LABOR_HOURS)*PERMANENT_HOURLY_RATE-MAX(0,($D210+K$5)-PERMANENT_FIELD_LABOR_HOURS)*TEMP_HOURLY_RATE-FIXED_SEASON_COST)</f>
        <v>22740.6399065754</v>
      </c>
      <c r="L210" s="53" t="n">
        <f aca="false">IF(OR($A210&gt;TOMATO_BED_CAP,$B210&gt;CARROT_BED_CAP,L$4&gt;MESCLUN_BED_CAP,$A210+$B210+L$4&gt;TOTAL_BEDS_AVAILABLE,($D210+L$5)&gt;TOTAL_LABOR_HOURS_CAP,MAX(0,($D210+L$5)-PERMANENT_FIELD_LABOR_HOURS)&gt;TEMP_HOURS_CAP),"",$C210+L$6-MIN(($D210+L$5),PERMANENT_FIELD_LABOR_HOURS)*PERMANENT_HOURLY_RATE-MAX(0,($D210+L$5)-PERMANENT_FIELD_LABOR_HOURS)*TEMP_HOURLY_RATE-FIXED_SEASON_COST)</f>
        <v>23667.0343547823</v>
      </c>
      <c r="M210" s="53" t="n">
        <f aca="false">IF(OR($A210&gt;TOMATO_BED_CAP,$B210&gt;CARROT_BED_CAP,M$4&gt;MESCLUN_BED_CAP,$A210+$B210+M$4&gt;TOTAL_BEDS_AVAILABLE,($D210+M$5)&gt;TOTAL_LABOR_HOURS_CAP,MAX(0,($D210+M$5)-PERMANENT_FIELD_LABOR_HOURS)&gt;TEMP_HOURS_CAP),"",$C210+M$6-MIN(($D210+M$5),PERMANENT_FIELD_LABOR_HOURS)*PERMANENT_HOURLY_RATE-MAX(0,($D210+M$5)-PERMANENT_FIELD_LABOR_HOURS)*TEMP_HOURLY_RATE-FIXED_SEASON_COST)</f>
        <v>24571.7380868337</v>
      </c>
      <c r="N210" s="53" t="n">
        <f aca="false">IF(OR($A210&gt;TOMATO_BED_CAP,$B210&gt;CARROT_BED_CAP,N$4&gt;MESCLUN_BED_CAP,$A210+$B210+N$4&gt;TOTAL_BEDS_AVAILABLE,($D210+N$5)&gt;TOTAL_LABOR_HOURS_CAP,MAX(0,($D210+N$5)-PERMANENT_FIELD_LABOR_HOURS)&gt;TEMP_HOURS_CAP),"",$C210+N$6-MIN(($D210+N$5),PERMANENT_FIELD_LABOR_HOURS)*PERMANENT_HOURLY_RATE-MAX(0,($D210+N$5)-PERMANENT_FIELD_LABOR_HOURS)*TEMP_HOURLY_RATE-FIXED_SEASON_COST)</f>
        <v>25454.3484606932</v>
      </c>
      <c r="O210" s="53" t="n">
        <f aca="false">IF(OR($A210&gt;TOMATO_BED_CAP,$B210&gt;CARROT_BED_CAP,O$4&gt;MESCLUN_BED_CAP,$A210+$B210+O$4&gt;TOTAL_BEDS_AVAILABLE,($D210+O$5)&gt;TOTAL_LABOR_HOURS_CAP,MAX(0,($D210+O$5)-PERMANENT_FIELD_LABOR_HOURS)&gt;TEMP_HOURS_CAP),"",$C210+O$6-MIN(($D210+O$5),PERMANENT_FIELD_LABOR_HOURS)*PERMANENT_HOURLY_RATE-MAX(0,($D210+O$5)-PERMANENT_FIELD_LABOR_HOURS)*TEMP_HOURLY_RATE-FIXED_SEASON_COST)</f>
        <v>26314.456157448</v>
      </c>
      <c r="P210" s="53" t="n">
        <f aca="false">IF(OR($A210&gt;TOMATO_BED_CAP,$B210&gt;CARROT_BED_CAP,P$4&gt;MESCLUN_BED_CAP,$A210+$B210+P$4&gt;TOTAL_BEDS_AVAILABLE,($D210+P$5)&gt;TOTAL_LABOR_HOURS_CAP,MAX(0,($D210+P$5)-PERMANENT_FIELD_LABOR_HOURS)&gt;TEMP_HOURS_CAP),"",$C210+P$6-MIN(($D210+P$5),PERMANENT_FIELD_LABOR_HOURS)*PERMANENT_HOURLY_RATE-MAX(0,($D210+P$5)-PERMANENT_FIELD_LABOR_HOURS)*TEMP_HOURLY_RATE-FIXED_SEASON_COST)</f>
        <v>27151.6450772994</v>
      </c>
      <c r="Q210" s="53" t="n">
        <f aca="false">IF(OR($A210&gt;TOMATO_BED_CAP,$B210&gt;CARROT_BED_CAP,Q$4&gt;MESCLUN_BED_CAP,$A210+$B210+Q$4&gt;TOTAL_BEDS_AVAILABLE,($D210+Q$5)&gt;TOTAL_LABOR_HOURS_CAP,MAX(0,($D210+Q$5)-PERMANENT_FIELD_LABOR_HOURS)&gt;TEMP_HOURS_CAP),"",$C210+Q$6-MIN(($D210+Q$5),PERMANENT_FIELD_LABOR_HOURS)*PERMANENT_HOURLY_RATE-MAX(0,($D210+Q$5)-PERMANENT_FIELD_LABOR_HOURS)*TEMP_HOURLY_RATE-FIXED_SEASON_COST)</f>
        <v>27965.4922339973</v>
      </c>
      <c r="R210" s="53" t="n">
        <f aca="false">IF(OR($A210&gt;TOMATO_BED_CAP,$B210&gt;CARROT_BED_CAP,R$4&gt;MESCLUN_BED_CAP,$A210+$B210+R$4&gt;TOTAL_BEDS_AVAILABLE,($D210+R$5)&gt;TOTAL_LABOR_HOURS_CAP,MAX(0,($D210+R$5)-PERMANENT_FIELD_LABOR_HOURS)&gt;TEMP_HOURS_CAP),"",$C210+R$6-MIN(($D210+R$5),PERMANENT_FIELD_LABOR_HOURS)*PERMANENT_HOURLY_RATE-MAX(0,($D210+R$5)-PERMANENT_FIELD_LABOR_HOURS)*TEMP_HOURLY_RATE-FIXED_SEASON_COST)</f>
        <v>28755.5676476941</v>
      </c>
      <c r="S210" s="53" t="n">
        <f aca="false">IF(OR($A210&gt;TOMATO_BED_CAP,$B210&gt;CARROT_BED_CAP,S$4&gt;MESCLUN_BED_CAP,$A210+$B210+S$4&gt;TOTAL_BEDS_AVAILABLE,($D210+S$5)&gt;TOTAL_LABOR_HOURS_CAP,MAX(0,($D210+S$5)-PERMANENT_FIELD_LABOR_HOURS)&gt;TEMP_HOURS_CAP),"",$C210+S$6-MIN(($D210+S$5),PERMANENT_FIELD_LABOR_HOURS)*PERMANENT_HOURLY_RATE-MAX(0,($D210+S$5)-PERMANENT_FIELD_LABOR_HOURS)*TEMP_HOURLY_RATE-FIXED_SEASON_COST)</f>
        <v>29521.4342361965</v>
      </c>
      <c r="T210" s="53" t="n">
        <f aca="false">IF(OR($A210&gt;TOMATO_BED_CAP,$B210&gt;CARROT_BED_CAP,T$4&gt;MESCLUN_BED_CAP,$A210+$B210+T$4&gt;TOTAL_BEDS_AVAILABLE,($D210+T$5)&gt;TOTAL_LABOR_HOURS_CAP,MAX(0,($D210+T$5)-PERMANENT_FIELD_LABOR_HOURS)&gt;TEMP_HOURS_CAP),"",$C210+T$6-MIN(($D210+T$5),PERMANENT_FIELD_LABOR_HOURS)*PERMANENT_HOURLY_RATE-MAX(0,($D210+T$5)-PERMANENT_FIELD_LABOR_HOURS)*TEMP_HOURLY_RATE-FIXED_SEASON_COST)</f>
        <v>30262.6477045914</v>
      </c>
      <c r="U210" s="53" t="n">
        <f aca="false">IF(OR($A210&gt;TOMATO_BED_CAP,$B210&gt;CARROT_BED_CAP,U$4&gt;MESCLUN_BED_CAP,$A210+$B210+U$4&gt;TOTAL_BEDS_AVAILABLE,($D210+U$5)&gt;TOTAL_LABOR_HOURS_CAP,MAX(0,($D210+U$5)-PERMANENT_FIELD_LABOR_HOURS)&gt;TEMP_HOURS_CAP),"",$C210+U$6-MIN(($D210+U$5),PERMANENT_FIELD_LABOR_HOURS)*PERMANENT_HOURLY_RATE-MAX(0,($D210+U$5)-PERMANENT_FIELD_LABOR_HOURS)*TEMP_HOURLY_RATE-FIXED_SEASON_COST)</f>
        <v>30978.7564332215</v>
      </c>
      <c r="V210" s="53" t="n">
        <f aca="false">IF(OR($A210&gt;TOMATO_BED_CAP,$B210&gt;CARROT_BED_CAP,V$4&gt;MESCLUN_BED_CAP,$A210+$B210+V$4&gt;TOTAL_BEDS_AVAILABLE,($D210+V$5)&gt;TOTAL_LABOR_HOURS_CAP,MAX(0,($D210+V$5)-PERMANENT_FIELD_LABOR_HOURS)&gt;TEMP_HOURS_CAP),"",$C210+V$6-MIN(($D210+V$5),PERMANENT_FIELD_LABOR_HOURS)*PERMANENT_HOURLY_RATE-MAX(0,($D210+V$5)-PERMANENT_FIELD_LABOR_HOURS)*TEMP_HOURLY_RATE-FIXED_SEASON_COST)</f>
        <v>31669.3013639883</v>
      </c>
      <c r="W210" s="53" t="n">
        <f aca="false">IF(OR($A210&gt;TOMATO_BED_CAP,$B210&gt;CARROT_BED_CAP,W$4&gt;MESCLUN_BED_CAP,$A210+$B210+W$4&gt;TOTAL_BEDS_AVAILABLE,($D210+W$5)&gt;TOTAL_LABOR_HOURS_CAP,MAX(0,($D210+W$5)-PERMANENT_FIELD_LABOR_HOURS)&gt;TEMP_HOURS_CAP),"",$C210+W$6-MIN(($D210+W$5),PERMANENT_FIELD_LABOR_HOURS)*PERMANENT_HOURLY_RATE-MAX(0,($D210+W$5)-PERMANENT_FIELD_LABOR_HOURS)*TEMP_HOURLY_RATE-FIXED_SEASON_COST)</f>
        <v>32333.8158849563</v>
      </c>
      <c r="X210" s="53" t="n">
        <f aca="false">IF(OR($A210&gt;TOMATO_BED_CAP,$B210&gt;CARROT_BED_CAP,X$4&gt;MESCLUN_BED_CAP,$A210+$B210+X$4&gt;TOTAL_BEDS_AVAILABLE,($D210+X$5)&gt;TOTAL_LABOR_HOURS_CAP,MAX(0,($D210+X$5)-PERMANENT_FIELD_LABOR_HOURS)&gt;TEMP_HOURS_CAP),"",$C210+X$6-MIN(($D210+X$5),PERMANENT_FIELD_LABOR_HOURS)*PERMANENT_HOURLY_RATE-MAX(0,($D210+X$5)-PERMANENT_FIELD_LABOR_HOURS)*TEMP_HOURLY_RATE-FIXED_SEASON_COST)</f>
        <v>32971.8257132353</v>
      </c>
      <c r="Y210" s="53" t="n">
        <f aca="false">IF(OR($A210&gt;TOMATO_BED_CAP,$B210&gt;CARROT_BED_CAP,Y$4&gt;MESCLUN_BED_CAP,$A210+$B210+Y$4&gt;TOTAL_BEDS_AVAILABLE,($D210+Y$5)&gt;TOTAL_LABOR_HOURS_CAP,MAX(0,($D210+Y$5)-PERMANENT_FIELD_LABOR_HOURS)&gt;TEMP_HOURS_CAP),"",$C210+Y$6-MIN(($D210+Y$5),PERMANENT_FIELD_LABOR_HOURS)*PERMANENT_HOURLY_RATE-MAX(0,($D210+Y$5)-PERMANENT_FIELD_LABOR_HOURS)*TEMP_HOURLY_RATE-FIXED_SEASON_COST)</f>
        <v>33582.8487761139</v>
      </c>
      <c r="Z210" s="53" t="n">
        <f aca="false">IF(OR($A210&gt;TOMATO_BED_CAP,$B210&gt;CARROT_BED_CAP,Z$4&gt;MESCLUN_BED_CAP,$A210+$B210+Z$4&gt;TOTAL_BEDS_AVAILABLE,($D210+Z$5)&gt;TOTAL_LABOR_HOURS_CAP,MAX(0,($D210+Z$5)-PERMANENT_FIELD_LABOR_HOURS)&gt;TEMP_HOURS_CAP),"",$C210+Z$6-MIN(($D210+Z$5),PERMANENT_FIELD_LABOR_HOURS)*PERMANENT_HOURLY_RATE-MAX(0,($D210+Z$5)-PERMANENT_FIELD_LABOR_HOURS)*TEMP_HOURLY_RATE-FIXED_SEASON_COST)</f>
        <v>34166.3950904216</v>
      </c>
      <c r="AA210" s="53" t="n">
        <f aca="false">IF(OR($A210&gt;TOMATO_BED_CAP,$B210&gt;CARROT_BED_CAP,AA$4&gt;MESCLUN_BED_CAP,$A210+$B210+AA$4&gt;TOTAL_BEDS_AVAILABLE,($D210+AA$5)&gt;TOTAL_LABOR_HOURS_CAP,MAX(0,($D210+AA$5)-PERMANENT_FIELD_LABOR_HOURS)&gt;TEMP_HOURS_CAP),"",$C210+AA$6-MIN(($D210+AA$5),PERMANENT_FIELD_LABOR_HOURS)*PERMANENT_HOURLY_RATE-MAX(0,($D210+AA$5)-PERMANENT_FIELD_LABOR_HOURS)*TEMP_HOURLY_RATE-FIXED_SEASON_COST)</f>
        <v>34721.9666400906</v>
      </c>
      <c r="AB210" s="53" t="n">
        <f aca="false">IF(OR($A210&gt;TOMATO_BED_CAP,$B210&gt;CARROT_BED_CAP,AB$4&gt;MESCLUN_BED_CAP,$A210+$B210+AB$4&gt;TOTAL_BEDS_AVAILABLE,($D210+AB$5)&gt;TOTAL_LABOR_HOURS_CAP,MAX(0,($D210+AB$5)-PERMANENT_FIELD_LABOR_HOURS)&gt;TEMP_HOURS_CAP),"",$C210+AB$6-MIN(($D210+AB$5),PERMANENT_FIELD_LABOR_HOURS)*PERMANENT_HOURLY_RATE-MAX(0,($D210+AB$5)-PERMANENT_FIELD_LABOR_HOURS)*TEMP_HOURLY_RATE-FIXED_SEASON_COST)</f>
        <v>35249.0572518931</v>
      </c>
      <c r="AC210" s="53" t="n">
        <f aca="false">IF(OR($A210&gt;TOMATO_BED_CAP,$B210&gt;CARROT_BED_CAP,AC$4&gt;MESCLUN_BED_CAP,$A210+$B210+AC$4&gt;TOTAL_BEDS_AVAILABLE,($D210+AC$5)&gt;TOTAL_LABOR_HOURS_CAP,MAX(0,($D210+AC$5)-PERMANENT_FIELD_LABOR_HOURS)&gt;TEMP_HOURS_CAP),"",$C210+AC$6-MIN(($D210+AC$5),PERMANENT_FIELD_LABOR_HOURS)*PERMANENT_HOURLY_RATE-MAX(0,($D210+AC$5)-PERMANENT_FIELD_LABOR_HOURS)*TEMP_HOURLY_RATE-FIXED_SEASON_COST)</f>
        <v>35747.152469328</v>
      </c>
      <c r="AD210" s="53" t="n">
        <f aca="false">IF(OR($A210&gt;TOMATO_BED_CAP,$B210&gt;CARROT_BED_CAP,AD$4&gt;MESCLUN_BED_CAP,$A210+$B210+AD$4&gt;TOTAL_BEDS_AVAILABLE,($D210+AD$5)&gt;TOTAL_LABOR_HOURS_CAP,MAX(0,($D210+AD$5)-PERMANENT_FIELD_LABOR_HOURS)&gt;TEMP_HOURS_CAP),"",$C210+AD$6-MIN(($D210+AD$5),PERMANENT_FIELD_LABOR_HOURS)*PERMANENT_HOURLY_RATE-MAX(0,($D210+AD$5)-PERMANENT_FIELD_LABOR_HOURS)*TEMP_HOURLY_RATE-FIXED_SEASON_COST)</f>
        <v>36215.729424628</v>
      </c>
      <c r="AE210" s="53" t="n">
        <f aca="false">IF(OR($A210&gt;TOMATO_BED_CAP,$B210&gt;CARROT_BED_CAP,AE$4&gt;MESCLUN_BED_CAP,$A210+$B210+AE$4&gt;TOTAL_BEDS_AVAILABLE,($D210+AE$5)&gt;TOTAL_LABOR_HOURS_CAP,MAX(0,($D210+AE$5)-PERMANENT_FIELD_LABOR_HOURS)&gt;TEMP_HOURS_CAP),"",$C210+AE$6-MIN(($D210+AE$5),PERMANENT_FIELD_LABOR_HOURS)*PERMANENT_HOURLY_RATE-MAX(0,($D210+AE$5)-PERMANENT_FIELD_LABOR_HOURS)*TEMP_HOURLY_RATE-FIXED_SEASON_COST)</f>
        <v>36654.2567088619</v>
      </c>
      <c r="AF210" s="53" t="n">
        <f aca="false">IF(OR($A210&gt;TOMATO_BED_CAP,$B210&gt;CARROT_BED_CAP,AF$4&gt;MESCLUN_BED_CAP,$A210+$B210+AF$4&gt;TOTAL_BEDS_AVAILABLE,($D210+AF$5)&gt;TOTAL_LABOR_HOURS_CAP,MAX(0,($D210+AF$5)-PERMANENT_FIELD_LABOR_HOURS)&gt;TEMP_HOURS_CAP),"",$C210+AF$6-MIN(($D210+AF$5),PERMANENT_FIELD_LABOR_HOURS)*PERMANENT_HOURLY_RATE-MAX(0,($D210+AF$5)-PERMANENT_FIELD_LABOR_HOURS)*TEMP_HOURLY_RATE-FIXED_SEASON_COST)</f>
        <v>37062.1942401038</v>
      </c>
      <c r="AG210" s="53" t="n">
        <f aca="false">IF(OR($A210&gt;TOMATO_BED_CAP,$B210&gt;CARROT_BED_CAP,AG$4&gt;MESCLUN_BED_CAP,$A210+$B210+AG$4&gt;TOTAL_BEDS_AVAILABLE,($D210+AG$5)&gt;TOTAL_LABOR_HOURS_CAP,MAX(0,($D210+AG$5)-PERMANENT_FIELD_LABOR_HOURS)&gt;TEMP_HOURS_CAP),"",$C210+AG$6-MIN(($D210+AG$5),PERMANENT_FIELD_LABOR_HOURS)*PERMANENT_HOURLY_RATE-MAX(0,($D210+AG$5)-PERMANENT_FIELD_LABOR_HOURS)*TEMP_HOURLY_RATE-FIXED_SEASON_COST)</f>
        <v>37438.9931296409</v>
      </c>
      <c r="AH210" s="53" t="n">
        <f aca="false">IF(OR($A210&gt;TOMATO_BED_CAP,$B210&gt;CARROT_BED_CAP,AH$4&gt;MESCLUN_BED_CAP,$A210+$B210+AH$4&gt;TOTAL_BEDS_AVAILABLE,($D210+AH$5)&gt;TOTAL_LABOR_HOURS_CAP,MAX(0,($D210+AH$5)-PERMANENT_FIELD_LABOR_HOURS)&gt;TEMP_HOURS_CAP),"",$C210+AH$6-MIN(($D210+AH$5),PERMANENT_FIELD_LABOR_HOURS)*PERMANENT_HOURLY_RATE-MAX(0,($D210+AH$5)-PERMANENT_FIELD_LABOR_HOURS)*TEMP_HOURLY_RATE-FIXED_SEASON_COST)</f>
        <v>37784.0955461911</v>
      </c>
      <c r="AI210" s="53" t="n">
        <f aca="false">IF(OR($A210&gt;TOMATO_BED_CAP,$B210&gt;CARROT_BED_CAP,AI$4&gt;MESCLUN_BED_CAP,$A210+$B210+AI$4&gt;TOTAL_BEDS_AVAILABLE,($D210+AI$5)&gt;TOTAL_LABOR_HOURS_CAP,MAX(0,($D210+AI$5)-PERMANENT_FIELD_LABOR_HOURS)&gt;TEMP_HOURS_CAP),"",$C210+AI$6-MIN(($D210+AI$5),PERMANENT_FIELD_LABOR_HOURS)*PERMANENT_HOURLY_RATE-MAX(0,($D210+AI$5)-PERMANENT_FIELD_LABOR_HOURS)*TEMP_HOURLY_RATE-FIXED_SEASON_COST)</f>
        <v>38096.9345781033</v>
      </c>
      <c r="AJ210" s="53" t="n">
        <f aca="false">IF(OR($A210&gt;TOMATO_BED_CAP,$B210&gt;CARROT_BED_CAP,AJ$4&gt;MESCLUN_BED_CAP,$A210+$B210+AJ$4&gt;TOTAL_BEDS_AVAILABLE,($D210+AJ$5)&gt;TOTAL_LABOR_HOURS_CAP,MAX(0,($D210+AJ$5)-PERMANENT_FIELD_LABOR_HOURS)&gt;TEMP_HOURS_CAP),"",$C210+AJ$6-MIN(($D210+AJ$5),PERMANENT_FIELD_LABOR_HOURS)*PERMANENT_HOURLY_RATE-MAX(0,($D210+AJ$5)-PERMANENT_FIELD_LABOR_HOURS)*TEMP_HOURLY_RATE-FIXED_SEASON_COST)</f>
        <v>38376.9340935091</v>
      </c>
    </row>
    <row r="211" customFormat="false" ht="15" hidden="false" customHeight="false" outlineLevel="0" collapsed="false">
      <c r="A211" s="21" t="n">
        <f aca="false">INT((ROW()-ROW($A$8))/(20+1))</f>
        <v>9</v>
      </c>
      <c r="B211" s="21" t="n">
        <f aca="false">MOD(ROW()-ROW($A$8),20+1)</f>
        <v>14</v>
      </c>
      <c r="C211" s="13" t="n">
        <f aca="false">A211*(TOMATO_REVENUE_PER_BED-TOMATO_FERTILIZER_PER_BED)+B211*(CARROT_REVENUE_PER_BED-CARROT_FERTILIZER_PER_BED)</f>
        <v>94436</v>
      </c>
      <c r="D211" s="14" t="n">
        <f aca="false">INDEX(TOMATO_SCHED_LABOR_HRS,A211+1)+INDEX(CARROT_SCHED_LABOR_HRS,B211+1)</f>
        <v>2503.14925491706</v>
      </c>
      <c r="E211" s="13" t="n">
        <f aca="false">IF(COUNT(F211:AJ211)=0,"",MAX(F211:AJ211))</f>
        <v>39062.1182295124</v>
      </c>
      <c r="F211" s="53" t="n">
        <f aca="false">IF(OR($A211&gt;TOMATO_BED_CAP,$B211&gt;CARROT_BED_CAP,F$4&gt;MESCLUN_BED_CAP,$A211+$B211+F$4&gt;TOTAL_BEDS_AVAILABLE,($D211+F$5)&gt;TOTAL_LABOR_HOURS_CAP,MAX(0,($D211+F$5)-PERMANENT_FIELD_LABOR_HOURS)&gt;TEMP_HOURS_CAP),"",$C211+F$6-MIN(($D211+F$5),PERMANENT_FIELD_LABOR_HOURS)*PERMANENT_HOURLY_RATE-MAX(0,($D211+F$5)-PERMANENT_FIELD_LABOR_HOURS)*TEMP_HOURLY_RATE-FIXED_SEASON_COST)</f>
        <v>18482.1289346398</v>
      </c>
      <c r="G211" s="53" t="n">
        <f aca="false">IF(OR($A211&gt;TOMATO_BED_CAP,$B211&gt;CARROT_BED_CAP,G$4&gt;MESCLUN_BED_CAP,$A211+$B211+G$4&gt;TOTAL_BEDS_AVAILABLE,($D211+G$5)&gt;TOTAL_LABOR_HOURS_CAP,MAX(0,($D211+G$5)-PERMANENT_FIELD_LABOR_HOURS)&gt;TEMP_HOURS_CAP),"",$C211+G$6-MIN(($D211+G$5),PERMANENT_FIELD_LABOR_HOURS)*PERMANENT_HOURLY_RATE-MAX(0,($D211+G$5)-PERMANENT_FIELD_LABOR_HOURS)*TEMP_HOURLY_RATE-FIXED_SEASON_COST)</f>
        <v>19511.1639346398</v>
      </c>
      <c r="H211" s="53" t="n">
        <f aca="false">IF(OR($A211&gt;TOMATO_BED_CAP,$B211&gt;CARROT_BED_CAP,H$4&gt;MESCLUN_BED_CAP,$A211+$B211+H$4&gt;TOTAL_BEDS_AVAILABLE,($D211+H$5)&gt;TOTAL_LABOR_HOURS_CAP,MAX(0,($D211+H$5)-PERMANENT_FIELD_LABOR_HOURS)&gt;TEMP_HOURS_CAP),"",$C211+H$6-MIN(($D211+H$5),PERMANENT_FIELD_LABOR_HOURS)*PERMANENT_HOURLY_RATE-MAX(0,($D211+H$5)-PERMANENT_FIELD_LABOR_HOURS)*TEMP_HOURLY_RATE-FIXED_SEASON_COST)</f>
        <v>20520.4248096399</v>
      </c>
      <c r="I211" s="53" t="n">
        <f aca="false">IF(OR($A211&gt;TOMATO_BED_CAP,$B211&gt;CARROT_BED_CAP,I$4&gt;MESCLUN_BED_CAP,$A211+$B211+I$4&gt;TOTAL_BEDS_AVAILABLE,($D211+I$5)&gt;TOTAL_LABOR_HOURS_CAP,MAX(0,($D211+I$5)-PERMANENT_FIELD_LABOR_HOURS)&gt;TEMP_HOURS_CAP),"",$C211+I$6-MIN(($D211+I$5),PERMANENT_FIELD_LABOR_HOURS)*PERMANENT_HOURLY_RATE-MAX(0,($D211+I$5)-PERMANENT_FIELD_LABOR_HOURS)*TEMP_HOURLY_RATE-FIXED_SEASON_COST)</f>
        <v>21509.5407947961</v>
      </c>
      <c r="J211" s="53" t="n">
        <f aca="false">IF(OR($A211&gt;TOMATO_BED_CAP,$B211&gt;CARROT_BED_CAP,J$4&gt;MESCLUN_BED_CAP,$A211+$B211+J$4&gt;TOTAL_BEDS_AVAILABLE,($D211+J$5)&gt;TOTAL_LABOR_HOURS_CAP,MAX(0,($D211+J$5)-PERMANENT_FIELD_LABOR_HOURS)&gt;TEMP_HOURS_CAP),"",$C211+J$6-MIN(($D211+J$5),PERMANENT_FIELD_LABOR_HOURS)*PERMANENT_HOURLY_RATE-MAX(0,($D211+J$5)-PERMANENT_FIELD_LABOR_HOURS)*TEMP_HOURLY_RATE-FIXED_SEASON_COST)</f>
        <v>22478.1349458508</v>
      </c>
      <c r="K211" s="53" t="n">
        <f aca="false">IF(OR($A211&gt;TOMATO_BED_CAP,$B211&gt;CARROT_BED_CAP,K$4&gt;MESCLUN_BED_CAP,$A211+$B211+K$4&gt;TOTAL_BEDS_AVAILABLE,($D211+K$5)&gt;TOTAL_LABOR_HOURS_CAP,MAX(0,($D211+K$5)-PERMANENT_FIELD_LABOR_HOURS)&gt;TEMP_HOURS_CAP),"",$C211+K$6-MIN(($D211+K$5),PERMANENT_FIELD_LABOR_HOURS)*PERMANENT_HOURLY_RATE-MAX(0,($D211+K$5)-PERMANENT_FIELD_LABOR_HOURS)*TEMP_HOURLY_RATE-FIXED_SEASON_COST)</f>
        <v>23425.8240425787</v>
      </c>
      <c r="L211" s="53" t="n">
        <f aca="false">IF(OR($A211&gt;TOMATO_BED_CAP,$B211&gt;CARROT_BED_CAP,L$4&gt;MESCLUN_BED_CAP,$A211+$B211+L$4&gt;TOTAL_BEDS_AVAILABLE,($D211+L$5)&gt;TOTAL_LABOR_HOURS_CAP,MAX(0,($D211+L$5)-PERMANENT_FIELD_LABOR_HOURS)&gt;TEMP_HOURS_CAP),"",$C211+L$6-MIN(($D211+L$5),PERMANENT_FIELD_LABOR_HOURS)*PERMANENT_HOURLY_RATE-MAX(0,($D211+L$5)-PERMANENT_FIELD_LABOR_HOURS)*TEMP_HOURLY_RATE-FIXED_SEASON_COST)</f>
        <v>24352.2184907855</v>
      </c>
      <c r="M211" s="53" t="n">
        <f aca="false">IF(OR($A211&gt;TOMATO_BED_CAP,$B211&gt;CARROT_BED_CAP,M$4&gt;MESCLUN_BED_CAP,$A211+$B211+M$4&gt;TOTAL_BEDS_AVAILABLE,($D211+M$5)&gt;TOTAL_LABOR_HOURS_CAP,MAX(0,($D211+M$5)-PERMANENT_FIELD_LABOR_HOURS)&gt;TEMP_HOURS_CAP),"",$C211+M$6-MIN(($D211+M$5),PERMANENT_FIELD_LABOR_HOURS)*PERMANENT_HOURLY_RATE-MAX(0,($D211+M$5)-PERMANENT_FIELD_LABOR_HOURS)*TEMP_HOURLY_RATE-FIXED_SEASON_COST)</f>
        <v>25256.922222837</v>
      </c>
      <c r="N211" s="53" t="n">
        <f aca="false">IF(OR($A211&gt;TOMATO_BED_CAP,$B211&gt;CARROT_BED_CAP,N$4&gt;MESCLUN_BED_CAP,$A211+$B211+N$4&gt;TOTAL_BEDS_AVAILABLE,($D211+N$5)&gt;TOTAL_LABOR_HOURS_CAP,MAX(0,($D211+N$5)-PERMANENT_FIELD_LABOR_HOURS)&gt;TEMP_HOURS_CAP),"",$C211+N$6-MIN(($D211+N$5),PERMANENT_FIELD_LABOR_HOURS)*PERMANENT_HOURLY_RATE-MAX(0,($D211+N$5)-PERMANENT_FIELD_LABOR_HOURS)*TEMP_HOURLY_RATE-FIXED_SEASON_COST)</f>
        <v>26139.5325966965</v>
      </c>
      <c r="O211" s="53" t="n">
        <f aca="false">IF(OR($A211&gt;TOMATO_BED_CAP,$B211&gt;CARROT_BED_CAP,O$4&gt;MESCLUN_BED_CAP,$A211+$B211+O$4&gt;TOTAL_BEDS_AVAILABLE,($D211+O$5)&gt;TOTAL_LABOR_HOURS_CAP,MAX(0,($D211+O$5)-PERMANENT_FIELD_LABOR_HOURS)&gt;TEMP_HOURS_CAP),"",$C211+O$6-MIN(($D211+O$5),PERMANENT_FIELD_LABOR_HOURS)*PERMANENT_HOURLY_RATE-MAX(0,($D211+O$5)-PERMANENT_FIELD_LABOR_HOURS)*TEMP_HOURLY_RATE-FIXED_SEASON_COST)</f>
        <v>26999.6402934513</v>
      </c>
      <c r="P211" s="53" t="n">
        <f aca="false">IF(OR($A211&gt;TOMATO_BED_CAP,$B211&gt;CARROT_BED_CAP,P$4&gt;MESCLUN_BED_CAP,$A211+$B211+P$4&gt;TOTAL_BEDS_AVAILABLE,($D211+P$5)&gt;TOTAL_LABOR_HOURS_CAP,MAX(0,($D211+P$5)-PERMANENT_FIELD_LABOR_HOURS)&gt;TEMP_HOURS_CAP),"",$C211+P$6-MIN(($D211+P$5),PERMANENT_FIELD_LABOR_HOURS)*PERMANENT_HOURLY_RATE-MAX(0,($D211+P$5)-PERMANENT_FIELD_LABOR_HOURS)*TEMP_HOURLY_RATE-FIXED_SEASON_COST)</f>
        <v>27836.8292133027</v>
      </c>
      <c r="Q211" s="53" t="n">
        <f aca="false">IF(OR($A211&gt;TOMATO_BED_CAP,$B211&gt;CARROT_BED_CAP,Q$4&gt;MESCLUN_BED_CAP,$A211+$B211+Q$4&gt;TOTAL_BEDS_AVAILABLE,($D211+Q$5)&gt;TOTAL_LABOR_HOURS_CAP,MAX(0,($D211+Q$5)-PERMANENT_FIELD_LABOR_HOURS)&gt;TEMP_HOURS_CAP),"",$C211+Q$6-MIN(($D211+Q$5),PERMANENT_FIELD_LABOR_HOURS)*PERMANENT_HOURLY_RATE-MAX(0,($D211+Q$5)-PERMANENT_FIELD_LABOR_HOURS)*TEMP_HOURLY_RATE-FIXED_SEASON_COST)</f>
        <v>28650.6763700006</v>
      </c>
      <c r="R211" s="53" t="n">
        <f aca="false">IF(OR($A211&gt;TOMATO_BED_CAP,$B211&gt;CARROT_BED_CAP,R$4&gt;MESCLUN_BED_CAP,$A211+$B211+R$4&gt;TOTAL_BEDS_AVAILABLE,($D211+R$5)&gt;TOTAL_LABOR_HOURS_CAP,MAX(0,($D211+R$5)-PERMANENT_FIELD_LABOR_HOURS)&gt;TEMP_HOURS_CAP),"",$C211+R$6-MIN(($D211+R$5),PERMANENT_FIELD_LABOR_HOURS)*PERMANENT_HOURLY_RATE-MAX(0,($D211+R$5)-PERMANENT_FIELD_LABOR_HOURS)*TEMP_HOURLY_RATE-FIXED_SEASON_COST)</f>
        <v>29440.7517836974</v>
      </c>
      <c r="S211" s="53" t="n">
        <f aca="false">IF(OR($A211&gt;TOMATO_BED_CAP,$B211&gt;CARROT_BED_CAP,S$4&gt;MESCLUN_BED_CAP,$A211+$B211+S$4&gt;TOTAL_BEDS_AVAILABLE,($D211+S$5)&gt;TOTAL_LABOR_HOURS_CAP,MAX(0,($D211+S$5)-PERMANENT_FIELD_LABOR_HOURS)&gt;TEMP_HOURS_CAP),"",$C211+S$6-MIN(($D211+S$5),PERMANENT_FIELD_LABOR_HOURS)*PERMANENT_HOURLY_RATE-MAX(0,($D211+S$5)-PERMANENT_FIELD_LABOR_HOURS)*TEMP_HOURLY_RATE-FIXED_SEASON_COST)</f>
        <v>30206.6183721998</v>
      </c>
      <c r="T211" s="53" t="n">
        <f aca="false">IF(OR($A211&gt;TOMATO_BED_CAP,$B211&gt;CARROT_BED_CAP,T$4&gt;MESCLUN_BED_CAP,$A211+$B211+T$4&gt;TOTAL_BEDS_AVAILABLE,($D211+T$5)&gt;TOTAL_LABOR_HOURS_CAP,MAX(0,($D211+T$5)-PERMANENT_FIELD_LABOR_HOURS)&gt;TEMP_HOURS_CAP),"",$C211+T$6-MIN(($D211+T$5),PERMANENT_FIELD_LABOR_HOURS)*PERMANENT_HOURLY_RATE-MAX(0,($D211+T$5)-PERMANENT_FIELD_LABOR_HOURS)*TEMP_HOURLY_RATE-FIXED_SEASON_COST)</f>
        <v>30947.8318405947</v>
      </c>
      <c r="U211" s="53" t="n">
        <f aca="false">IF(OR($A211&gt;TOMATO_BED_CAP,$B211&gt;CARROT_BED_CAP,U$4&gt;MESCLUN_BED_CAP,$A211+$B211+U$4&gt;TOTAL_BEDS_AVAILABLE,($D211+U$5)&gt;TOTAL_LABOR_HOURS_CAP,MAX(0,($D211+U$5)-PERMANENT_FIELD_LABOR_HOURS)&gt;TEMP_HOURS_CAP),"",$C211+U$6-MIN(($D211+U$5),PERMANENT_FIELD_LABOR_HOURS)*PERMANENT_HOURLY_RATE-MAX(0,($D211+U$5)-PERMANENT_FIELD_LABOR_HOURS)*TEMP_HOURLY_RATE-FIXED_SEASON_COST)</f>
        <v>31663.9405692248</v>
      </c>
      <c r="V211" s="53" t="n">
        <f aca="false">IF(OR($A211&gt;TOMATO_BED_CAP,$B211&gt;CARROT_BED_CAP,V$4&gt;MESCLUN_BED_CAP,$A211+$B211+V$4&gt;TOTAL_BEDS_AVAILABLE,($D211+V$5)&gt;TOTAL_LABOR_HOURS_CAP,MAX(0,($D211+V$5)-PERMANENT_FIELD_LABOR_HOURS)&gt;TEMP_HOURS_CAP),"",$C211+V$6-MIN(($D211+V$5),PERMANENT_FIELD_LABOR_HOURS)*PERMANENT_HOURLY_RATE-MAX(0,($D211+V$5)-PERMANENT_FIELD_LABOR_HOURS)*TEMP_HOURLY_RATE-FIXED_SEASON_COST)</f>
        <v>32354.4854999916</v>
      </c>
      <c r="W211" s="53" t="n">
        <f aca="false">IF(OR($A211&gt;TOMATO_BED_CAP,$B211&gt;CARROT_BED_CAP,W$4&gt;MESCLUN_BED_CAP,$A211+$B211+W$4&gt;TOTAL_BEDS_AVAILABLE,($D211+W$5)&gt;TOTAL_LABOR_HOURS_CAP,MAX(0,($D211+W$5)-PERMANENT_FIELD_LABOR_HOURS)&gt;TEMP_HOURS_CAP),"",$C211+W$6-MIN(($D211+W$5),PERMANENT_FIELD_LABOR_HOURS)*PERMANENT_HOURLY_RATE-MAX(0,($D211+W$5)-PERMANENT_FIELD_LABOR_HOURS)*TEMP_HOURLY_RATE-FIXED_SEASON_COST)</f>
        <v>33019.0000209596</v>
      </c>
      <c r="X211" s="53" t="n">
        <f aca="false">IF(OR($A211&gt;TOMATO_BED_CAP,$B211&gt;CARROT_BED_CAP,X$4&gt;MESCLUN_BED_CAP,$A211+$B211+X$4&gt;TOTAL_BEDS_AVAILABLE,($D211+X$5)&gt;TOTAL_LABOR_HOURS_CAP,MAX(0,($D211+X$5)-PERMANENT_FIELD_LABOR_HOURS)&gt;TEMP_HOURS_CAP),"",$C211+X$6-MIN(($D211+X$5),PERMANENT_FIELD_LABOR_HOURS)*PERMANENT_HOURLY_RATE-MAX(0,($D211+X$5)-PERMANENT_FIELD_LABOR_HOURS)*TEMP_HOURLY_RATE-FIXED_SEASON_COST)</f>
        <v>33657.0098492385</v>
      </c>
      <c r="Y211" s="53" t="n">
        <f aca="false">IF(OR($A211&gt;TOMATO_BED_CAP,$B211&gt;CARROT_BED_CAP,Y$4&gt;MESCLUN_BED_CAP,$A211+$B211+Y$4&gt;TOTAL_BEDS_AVAILABLE,($D211+Y$5)&gt;TOTAL_LABOR_HOURS_CAP,MAX(0,($D211+Y$5)-PERMANENT_FIELD_LABOR_HOURS)&gt;TEMP_HOURS_CAP),"",$C211+Y$6-MIN(($D211+Y$5),PERMANENT_FIELD_LABOR_HOURS)*PERMANENT_HOURLY_RATE-MAX(0,($D211+Y$5)-PERMANENT_FIELD_LABOR_HOURS)*TEMP_HOURLY_RATE-FIXED_SEASON_COST)</f>
        <v>34268.0329121172</v>
      </c>
      <c r="Z211" s="53" t="n">
        <f aca="false">IF(OR($A211&gt;TOMATO_BED_CAP,$B211&gt;CARROT_BED_CAP,Z$4&gt;MESCLUN_BED_CAP,$A211+$B211+Z$4&gt;TOTAL_BEDS_AVAILABLE,($D211+Z$5)&gt;TOTAL_LABOR_HOURS_CAP,MAX(0,($D211+Z$5)-PERMANENT_FIELD_LABOR_HOURS)&gt;TEMP_HOURS_CAP),"",$C211+Z$6-MIN(($D211+Z$5),PERMANENT_FIELD_LABOR_HOURS)*PERMANENT_HOURLY_RATE-MAX(0,($D211+Z$5)-PERMANENT_FIELD_LABOR_HOURS)*TEMP_HOURLY_RATE-FIXED_SEASON_COST)</f>
        <v>34851.5792264249</v>
      </c>
      <c r="AA211" s="53" t="n">
        <f aca="false">IF(OR($A211&gt;TOMATO_BED_CAP,$B211&gt;CARROT_BED_CAP,AA$4&gt;MESCLUN_BED_CAP,$A211+$B211+AA$4&gt;TOTAL_BEDS_AVAILABLE,($D211+AA$5)&gt;TOTAL_LABOR_HOURS_CAP,MAX(0,($D211+AA$5)-PERMANENT_FIELD_LABOR_HOURS)&gt;TEMP_HOURS_CAP),"",$C211+AA$6-MIN(($D211+AA$5),PERMANENT_FIELD_LABOR_HOURS)*PERMANENT_HOURLY_RATE-MAX(0,($D211+AA$5)-PERMANENT_FIELD_LABOR_HOURS)*TEMP_HOURLY_RATE-FIXED_SEASON_COST)</f>
        <v>35407.1507760939</v>
      </c>
      <c r="AB211" s="53" t="n">
        <f aca="false">IF(OR($A211&gt;TOMATO_BED_CAP,$B211&gt;CARROT_BED_CAP,AB$4&gt;MESCLUN_BED_CAP,$A211+$B211+AB$4&gt;TOTAL_BEDS_AVAILABLE,($D211+AB$5)&gt;TOTAL_LABOR_HOURS_CAP,MAX(0,($D211+AB$5)-PERMANENT_FIELD_LABOR_HOURS)&gt;TEMP_HOURS_CAP),"",$C211+AB$6-MIN(($D211+AB$5),PERMANENT_FIELD_LABOR_HOURS)*PERMANENT_HOURLY_RATE-MAX(0,($D211+AB$5)-PERMANENT_FIELD_LABOR_HOURS)*TEMP_HOURLY_RATE-FIXED_SEASON_COST)</f>
        <v>35934.2413878964</v>
      </c>
      <c r="AC211" s="53" t="n">
        <f aca="false">IF(OR($A211&gt;TOMATO_BED_CAP,$B211&gt;CARROT_BED_CAP,AC$4&gt;MESCLUN_BED_CAP,$A211+$B211+AC$4&gt;TOTAL_BEDS_AVAILABLE,($D211+AC$5)&gt;TOTAL_LABOR_HOURS_CAP,MAX(0,($D211+AC$5)-PERMANENT_FIELD_LABOR_HOURS)&gt;TEMP_HOURS_CAP),"",$C211+AC$6-MIN(($D211+AC$5),PERMANENT_FIELD_LABOR_HOURS)*PERMANENT_HOURLY_RATE-MAX(0,($D211+AC$5)-PERMANENT_FIELD_LABOR_HOURS)*TEMP_HOURLY_RATE-FIXED_SEASON_COST)</f>
        <v>36432.3366053313</v>
      </c>
      <c r="AD211" s="53" t="n">
        <f aca="false">IF(OR($A211&gt;TOMATO_BED_CAP,$B211&gt;CARROT_BED_CAP,AD$4&gt;MESCLUN_BED_CAP,$A211+$B211+AD$4&gt;TOTAL_BEDS_AVAILABLE,($D211+AD$5)&gt;TOTAL_LABOR_HOURS_CAP,MAX(0,($D211+AD$5)-PERMANENT_FIELD_LABOR_HOURS)&gt;TEMP_HOURS_CAP),"",$C211+AD$6-MIN(($D211+AD$5),PERMANENT_FIELD_LABOR_HOURS)*PERMANENT_HOURLY_RATE-MAX(0,($D211+AD$5)-PERMANENT_FIELD_LABOR_HOURS)*TEMP_HOURLY_RATE-FIXED_SEASON_COST)</f>
        <v>36900.9135606313</v>
      </c>
      <c r="AE211" s="53" t="n">
        <f aca="false">IF(OR($A211&gt;TOMATO_BED_CAP,$B211&gt;CARROT_BED_CAP,AE$4&gt;MESCLUN_BED_CAP,$A211+$B211+AE$4&gt;TOTAL_BEDS_AVAILABLE,($D211+AE$5)&gt;TOTAL_LABOR_HOURS_CAP,MAX(0,($D211+AE$5)-PERMANENT_FIELD_LABOR_HOURS)&gt;TEMP_HOURS_CAP),"",$C211+AE$6-MIN(($D211+AE$5),PERMANENT_FIELD_LABOR_HOURS)*PERMANENT_HOURLY_RATE-MAX(0,($D211+AE$5)-PERMANENT_FIELD_LABOR_HOURS)*TEMP_HOURLY_RATE-FIXED_SEASON_COST)</f>
        <v>37339.4408448652</v>
      </c>
      <c r="AF211" s="53" t="n">
        <f aca="false">IF(OR($A211&gt;TOMATO_BED_CAP,$B211&gt;CARROT_BED_CAP,AF$4&gt;MESCLUN_BED_CAP,$A211+$B211+AF$4&gt;TOTAL_BEDS_AVAILABLE,($D211+AF$5)&gt;TOTAL_LABOR_HOURS_CAP,MAX(0,($D211+AF$5)-PERMANENT_FIELD_LABOR_HOURS)&gt;TEMP_HOURS_CAP),"",$C211+AF$6-MIN(($D211+AF$5),PERMANENT_FIELD_LABOR_HOURS)*PERMANENT_HOURLY_RATE-MAX(0,($D211+AF$5)-PERMANENT_FIELD_LABOR_HOURS)*TEMP_HOURLY_RATE-FIXED_SEASON_COST)</f>
        <v>37747.3783761071</v>
      </c>
      <c r="AG211" s="53" t="n">
        <f aca="false">IF(OR($A211&gt;TOMATO_BED_CAP,$B211&gt;CARROT_BED_CAP,AG$4&gt;MESCLUN_BED_CAP,$A211+$B211+AG$4&gt;TOTAL_BEDS_AVAILABLE,($D211+AG$5)&gt;TOTAL_LABOR_HOURS_CAP,MAX(0,($D211+AG$5)-PERMANENT_FIELD_LABOR_HOURS)&gt;TEMP_HOURS_CAP),"",$C211+AG$6-MIN(($D211+AG$5),PERMANENT_FIELD_LABOR_HOURS)*PERMANENT_HOURLY_RATE-MAX(0,($D211+AG$5)-PERMANENT_FIELD_LABOR_HOURS)*TEMP_HOURLY_RATE-FIXED_SEASON_COST)</f>
        <v>38124.1772656442</v>
      </c>
      <c r="AH211" s="53" t="n">
        <f aca="false">IF(OR($A211&gt;TOMATO_BED_CAP,$B211&gt;CARROT_BED_CAP,AH$4&gt;MESCLUN_BED_CAP,$A211+$B211+AH$4&gt;TOTAL_BEDS_AVAILABLE,($D211+AH$5)&gt;TOTAL_LABOR_HOURS_CAP,MAX(0,($D211+AH$5)-PERMANENT_FIELD_LABOR_HOURS)&gt;TEMP_HOURS_CAP),"",$C211+AH$6-MIN(($D211+AH$5),PERMANENT_FIELD_LABOR_HOURS)*PERMANENT_HOURLY_RATE-MAX(0,($D211+AH$5)-PERMANENT_FIELD_LABOR_HOURS)*TEMP_HOURLY_RATE-FIXED_SEASON_COST)</f>
        <v>38469.2796821944</v>
      </c>
      <c r="AI211" s="53" t="n">
        <f aca="false">IF(OR($A211&gt;TOMATO_BED_CAP,$B211&gt;CARROT_BED_CAP,AI$4&gt;MESCLUN_BED_CAP,$A211+$B211+AI$4&gt;TOTAL_BEDS_AVAILABLE,($D211+AI$5)&gt;TOTAL_LABOR_HOURS_CAP,MAX(0,($D211+AI$5)-PERMANENT_FIELD_LABOR_HOURS)&gt;TEMP_HOURS_CAP),"",$C211+AI$6-MIN(($D211+AI$5),PERMANENT_FIELD_LABOR_HOURS)*PERMANENT_HOURLY_RATE-MAX(0,($D211+AI$5)-PERMANENT_FIELD_LABOR_HOURS)*TEMP_HOURLY_RATE-FIXED_SEASON_COST)</f>
        <v>38782.1187141066</v>
      </c>
      <c r="AJ211" s="53" t="n">
        <f aca="false">IF(OR($A211&gt;TOMATO_BED_CAP,$B211&gt;CARROT_BED_CAP,AJ$4&gt;MESCLUN_BED_CAP,$A211+$B211+AJ$4&gt;TOTAL_BEDS_AVAILABLE,($D211+AJ$5)&gt;TOTAL_LABOR_HOURS_CAP,MAX(0,($D211+AJ$5)-PERMANENT_FIELD_LABOR_HOURS)&gt;TEMP_HOURS_CAP),"",$C211+AJ$6-MIN(($D211+AJ$5),PERMANENT_FIELD_LABOR_HOURS)*PERMANENT_HOURLY_RATE-MAX(0,($D211+AJ$5)-PERMANENT_FIELD_LABOR_HOURS)*TEMP_HOURLY_RATE-FIXED_SEASON_COST)</f>
        <v>39062.1182295124</v>
      </c>
    </row>
    <row r="212" customFormat="false" ht="15" hidden="false" customHeight="false" outlineLevel="0" collapsed="false">
      <c r="A212" s="21" t="n">
        <f aca="false">INT((ROW()-ROW($A$8))/(20+1))</f>
        <v>9</v>
      </c>
      <c r="B212" s="21" t="n">
        <f aca="false">MOD(ROW()-ROW($A$8),20+1)</f>
        <v>15</v>
      </c>
      <c r="C212" s="13" t="n">
        <f aca="false">A212*(TOMATO_REVENUE_PER_BED-TOMATO_FERTILIZER_PER_BED)+B212*(CARROT_REVENUE_PER_BED-CARROT_FERTILIZER_PER_BED)</f>
        <v>96090</v>
      </c>
      <c r="D212" s="14" t="n">
        <f aca="false">INDEX(TOMATO_SCHED_LABOR_HRS,A212+1)+INDEX(CARROT_SCHED_LABOR_HRS,B212+1)</f>
        <v>2561.41111096418</v>
      </c>
      <c r="E212" s="13" t="n">
        <f aca="false">IF(COUNT(F212:AJ212)=0,"",MAX(F212:AJ212))</f>
        <v>39704.6924085344</v>
      </c>
      <c r="F212" s="53" t="n">
        <f aca="false">IF(OR($A212&gt;TOMATO_BED_CAP,$B212&gt;CARROT_BED_CAP,F$4&gt;MESCLUN_BED_CAP,$A212+$B212+F$4&gt;TOTAL_BEDS_AVAILABLE,($D212+F$5)&gt;TOTAL_LABOR_HOURS_CAP,MAX(0,($D212+F$5)-PERMANENT_FIELD_LABOR_HOURS)&gt;TEMP_HOURS_CAP),"",$C212+F$6-MIN(($D212+F$5),PERMANENT_FIELD_LABOR_HOURS)*PERMANENT_HOURLY_RATE-MAX(0,($D212+F$5)-PERMANENT_FIELD_LABOR_HOURS)*TEMP_HOURLY_RATE-FIXED_SEASON_COST)</f>
        <v>19124.7031136618</v>
      </c>
      <c r="G212" s="53" t="n">
        <f aca="false">IF(OR($A212&gt;TOMATO_BED_CAP,$B212&gt;CARROT_BED_CAP,G$4&gt;MESCLUN_BED_CAP,$A212+$B212+G$4&gt;TOTAL_BEDS_AVAILABLE,($D212+G$5)&gt;TOTAL_LABOR_HOURS_CAP,MAX(0,($D212+G$5)-PERMANENT_FIELD_LABOR_HOURS)&gt;TEMP_HOURS_CAP),"",$C212+G$6-MIN(($D212+G$5),PERMANENT_FIELD_LABOR_HOURS)*PERMANENT_HOURLY_RATE-MAX(0,($D212+G$5)-PERMANENT_FIELD_LABOR_HOURS)*TEMP_HOURLY_RATE-FIXED_SEASON_COST)</f>
        <v>20153.7381136618</v>
      </c>
      <c r="H212" s="53" t="n">
        <f aca="false">IF(OR($A212&gt;TOMATO_BED_CAP,$B212&gt;CARROT_BED_CAP,H$4&gt;MESCLUN_BED_CAP,$A212+$B212+H$4&gt;TOTAL_BEDS_AVAILABLE,($D212+H$5)&gt;TOTAL_LABOR_HOURS_CAP,MAX(0,($D212+H$5)-PERMANENT_FIELD_LABOR_HOURS)&gt;TEMP_HOURS_CAP),"",$C212+H$6-MIN(($D212+H$5),PERMANENT_FIELD_LABOR_HOURS)*PERMANENT_HOURLY_RATE-MAX(0,($D212+H$5)-PERMANENT_FIELD_LABOR_HOURS)*TEMP_HOURLY_RATE-FIXED_SEASON_COST)</f>
        <v>21162.9989886618</v>
      </c>
      <c r="I212" s="53" t="n">
        <f aca="false">IF(OR($A212&gt;TOMATO_BED_CAP,$B212&gt;CARROT_BED_CAP,I$4&gt;MESCLUN_BED_CAP,$A212+$B212+I$4&gt;TOTAL_BEDS_AVAILABLE,($D212+I$5)&gt;TOTAL_LABOR_HOURS_CAP,MAX(0,($D212+I$5)-PERMANENT_FIELD_LABOR_HOURS)&gt;TEMP_HOURS_CAP),"",$C212+I$6-MIN(($D212+I$5),PERMANENT_FIELD_LABOR_HOURS)*PERMANENT_HOURLY_RATE-MAX(0,($D212+I$5)-PERMANENT_FIELD_LABOR_HOURS)*TEMP_HOURLY_RATE-FIXED_SEASON_COST)</f>
        <v>22152.1149738181</v>
      </c>
      <c r="J212" s="53" t="n">
        <f aca="false">IF(OR($A212&gt;TOMATO_BED_CAP,$B212&gt;CARROT_BED_CAP,J$4&gt;MESCLUN_BED_CAP,$A212+$B212+J$4&gt;TOTAL_BEDS_AVAILABLE,($D212+J$5)&gt;TOTAL_LABOR_HOURS_CAP,MAX(0,($D212+J$5)-PERMANENT_FIELD_LABOR_HOURS)&gt;TEMP_HOURS_CAP),"",$C212+J$6-MIN(($D212+J$5),PERMANENT_FIELD_LABOR_HOURS)*PERMANENT_HOURLY_RATE-MAX(0,($D212+J$5)-PERMANENT_FIELD_LABOR_HOURS)*TEMP_HOURLY_RATE-FIXED_SEASON_COST)</f>
        <v>23120.7091248728</v>
      </c>
      <c r="K212" s="53" t="n">
        <f aca="false">IF(OR($A212&gt;TOMATO_BED_CAP,$B212&gt;CARROT_BED_CAP,K$4&gt;MESCLUN_BED_CAP,$A212+$B212+K$4&gt;TOTAL_BEDS_AVAILABLE,($D212+K$5)&gt;TOTAL_LABOR_HOURS_CAP,MAX(0,($D212+K$5)-PERMANENT_FIELD_LABOR_HOURS)&gt;TEMP_HOURS_CAP),"",$C212+K$6-MIN(($D212+K$5),PERMANENT_FIELD_LABOR_HOURS)*PERMANENT_HOURLY_RATE-MAX(0,($D212+K$5)-PERMANENT_FIELD_LABOR_HOURS)*TEMP_HOURLY_RATE-FIXED_SEASON_COST)</f>
        <v>24068.3982216007</v>
      </c>
      <c r="L212" s="53" t="n">
        <f aca="false">IF(OR($A212&gt;TOMATO_BED_CAP,$B212&gt;CARROT_BED_CAP,L$4&gt;MESCLUN_BED_CAP,$A212+$B212+L$4&gt;TOTAL_BEDS_AVAILABLE,($D212+L$5)&gt;TOTAL_LABOR_HOURS_CAP,MAX(0,($D212+L$5)-PERMANENT_FIELD_LABOR_HOURS)&gt;TEMP_HOURS_CAP),"",$C212+L$6-MIN(($D212+L$5),PERMANENT_FIELD_LABOR_HOURS)*PERMANENT_HOURLY_RATE-MAX(0,($D212+L$5)-PERMANENT_FIELD_LABOR_HOURS)*TEMP_HOURLY_RATE-FIXED_SEASON_COST)</f>
        <v>24994.7926698075</v>
      </c>
      <c r="M212" s="53" t="n">
        <f aca="false">IF(OR($A212&gt;TOMATO_BED_CAP,$B212&gt;CARROT_BED_CAP,M$4&gt;MESCLUN_BED_CAP,$A212+$B212+M$4&gt;TOTAL_BEDS_AVAILABLE,($D212+M$5)&gt;TOTAL_LABOR_HOURS_CAP,MAX(0,($D212+M$5)-PERMANENT_FIELD_LABOR_HOURS)&gt;TEMP_HOURS_CAP),"",$C212+M$6-MIN(($D212+M$5),PERMANENT_FIELD_LABOR_HOURS)*PERMANENT_HOURLY_RATE-MAX(0,($D212+M$5)-PERMANENT_FIELD_LABOR_HOURS)*TEMP_HOURLY_RATE-FIXED_SEASON_COST)</f>
        <v>25899.4964018589</v>
      </c>
      <c r="N212" s="53" t="n">
        <f aca="false">IF(OR($A212&gt;TOMATO_BED_CAP,$B212&gt;CARROT_BED_CAP,N$4&gt;MESCLUN_BED_CAP,$A212+$B212+N$4&gt;TOTAL_BEDS_AVAILABLE,($D212+N$5)&gt;TOTAL_LABOR_HOURS_CAP,MAX(0,($D212+N$5)-PERMANENT_FIELD_LABOR_HOURS)&gt;TEMP_HOURS_CAP),"",$C212+N$6-MIN(($D212+N$5),PERMANENT_FIELD_LABOR_HOURS)*PERMANENT_HOURLY_RATE-MAX(0,($D212+N$5)-PERMANENT_FIELD_LABOR_HOURS)*TEMP_HOURLY_RATE-FIXED_SEASON_COST)</f>
        <v>26782.1067757185</v>
      </c>
      <c r="O212" s="53" t="n">
        <f aca="false">IF(OR($A212&gt;TOMATO_BED_CAP,$B212&gt;CARROT_BED_CAP,O$4&gt;MESCLUN_BED_CAP,$A212+$B212+O$4&gt;TOTAL_BEDS_AVAILABLE,($D212+O$5)&gt;TOTAL_LABOR_HOURS_CAP,MAX(0,($D212+O$5)-PERMANENT_FIELD_LABOR_HOURS)&gt;TEMP_HOURS_CAP),"",$C212+O$6-MIN(($D212+O$5),PERMANENT_FIELD_LABOR_HOURS)*PERMANENT_HOURLY_RATE-MAX(0,($D212+O$5)-PERMANENT_FIELD_LABOR_HOURS)*TEMP_HOURLY_RATE-FIXED_SEASON_COST)</f>
        <v>27642.2144724732</v>
      </c>
      <c r="P212" s="53" t="n">
        <f aca="false">IF(OR($A212&gt;TOMATO_BED_CAP,$B212&gt;CARROT_BED_CAP,P$4&gt;MESCLUN_BED_CAP,$A212+$B212+P$4&gt;TOTAL_BEDS_AVAILABLE,($D212+P$5)&gt;TOTAL_LABOR_HOURS_CAP,MAX(0,($D212+P$5)-PERMANENT_FIELD_LABOR_HOURS)&gt;TEMP_HOURS_CAP),"",$C212+P$6-MIN(($D212+P$5),PERMANENT_FIELD_LABOR_HOURS)*PERMANENT_HOURLY_RATE-MAX(0,($D212+P$5)-PERMANENT_FIELD_LABOR_HOURS)*TEMP_HOURLY_RATE-FIXED_SEASON_COST)</f>
        <v>28479.4033923246</v>
      </c>
      <c r="Q212" s="53" t="n">
        <f aca="false">IF(OR($A212&gt;TOMATO_BED_CAP,$B212&gt;CARROT_BED_CAP,Q$4&gt;MESCLUN_BED_CAP,$A212+$B212+Q$4&gt;TOTAL_BEDS_AVAILABLE,($D212+Q$5)&gt;TOTAL_LABOR_HOURS_CAP,MAX(0,($D212+Q$5)-PERMANENT_FIELD_LABOR_HOURS)&gt;TEMP_HOURS_CAP),"",$C212+Q$6-MIN(($D212+Q$5),PERMANENT_FIELD_LABOR_HOURS)*PERMANENT_HOURLY_RATE-MAX(0,($D212+Q$5)-PERMANENT_FIELD_LABOR_HOURS)*TEMP_HOURLY_RATE-FIXED_SEASON_COST)</f>
        <v>29293.2505490225</v>
      </c>
      <c r="R212" s="53" t="n">
        <f aca="false">IF(OR($A212&gt;TOMATO_BED_CAP,$B212&gt;CARROT_BED_CAP,R$4&gt;MESCLUN_BED_CAP,$A212+$B212+R$4&gt;TOTAL_BEDS_AVAILABLE,($D212+R$5)&gt;TOTAL_LABOR_HOURS_CAP,MAX(0,($D212+R$5)-PERMANENT_FIELD_LABOR_HOURS)&gt;TEMP_HOURS_CAP),"",$C212+R$6-MIN(($D212+R$5),PERMANENT_FIELD_LABOR_HOURS)*PERMANENT_HOURLY_RATE-MAX(0,($D212+R$5)-PERMANENT_FIELD_LABOR_HOURS)*TEMP_HOURLY_RATE-FIXED_SEASON_COST)</f>
        <v>30083.3259627193</v>
      </c>
      <c r="S212" s="53" t="n">
        <f aca="false">IF(OR($A212&gt;TOMATO_BED_CAP,$B212&gt;CARROT_BED_CAP,S$4&gt;MESCLUN_BED_CAP,$A212+$B212+S$4&gt;TOTAL_BEDS_AVAILABLE,($D212+S$5)&gt;TOTAL_LABOR_HOURS_CAP,MAX(0,($D212+S$5)-PERMANENT_FIELD_LABOR_HOURS)&gt;TEMP_HOURS_CAP),"",$C212+S$6-MIN(($D212+S$5),PERMANENT_FIELD_LABOR_HOURS)*PERMANENT_HOURLY_RATE-MAX(0,($D212+S$5)-PERMANENT_FIELD_LABOR_HOURS)*TEMP_HOURLY_RATE-FIXED_SEASON_COST)</f>
        <v>30849.1925512218</v>
      </c>
      <c r="T212" s="53" t="n">
        <f aca="false">IF(OR($A212&gt;TOMATO_BED_CAP,$B212&gt;CARROT_BED_CAP,T$4&gt;MESCLUN_BED_CAP,$A212+$B212+T$4&gt;TOTAL_BEDS_AVAILABLE,($D212+T$5)&gt;TOTAL_LABOR_HOURS_CAP,MAX(0,($D212+T$5)-PERMANENT_FIELD_LABOR_HOURS)&gt;TEMP_HOURS_CAP),"",$C212+T$6-MIN(($D212+T$5),PERMANENT_FIELD_LABOR_HOURS)*PERMANENT_HOURLY_RATE-MAX(0,($D212+T$5)-PERMANENT_FIELD_LABOR_HOURS)*TEMP_HOURLY_RATE-FIXED_SEASON_COST)</f>
        <v>31590.4060196166</v>
      </c>
      <c r="U212" s="53" t="n">
        <f aca="false">IF(OR($A212&gt;TOMATO_BED_CAP,$B212&gt;CARROT_BED_CAP,U$4&gt;MESCLUN_BED_CAP,$A212+$B212+U$4&gt;TOTAL_BEDS_AVAILABLE,($D212+U$5)&gt;TOTAL_LABOR_HOURS_CAP,MAX(0,($D212+U$5)-PERMANENT_FIELD_LABOR_HOURS)&gt;TEMP_HOURS_CAP),"",$C212+U$6-MIN(($D212+U$5),PERMANENT_FIELD_LABOR_HOURS)*PERMANENT_HOURLY_RATE-MAX(0,($D212+U$5)-PERMANENT_FIELD_LABOR_HOURS)*TEMP_HOURLY_RATE-FIXED_SEASON_COST)</f>
        <v>32306.5147482467</v>
      </c>
      <c r="V212" s="53" t="n">
        <f aca="false">IF(OR($A212&gt;TOMATO_BED_CAP,$B212&gt;CARROT_BED_CAP,V$4&gt;MESCLUN_BED_CAP,$A212+$B212+V$4&gt;TOTAL_BEDS_AVAILABLE,($D212+V$5)&gt;TOTAL_LABOR_HOURS_CAP,MAX(0,($D212+V$5)-PERMANENT_FIELD_LABOR_HOURS)&gt;TEMP_HOURS_CAP),"",$C212+V$6-MIN(($D212+V$5),PERMANENT_FIELD_LABOR_HOURS)*PERMANENT_HOURLY_RATE-MAX(0,($D212+V$5)-PERMANENT_FIELD_LABOR_HOURS)*TEMP_HOURLY_RATE-FIXED_SEASON_COST)</f>
        <v>32997.0596790135</v>
      </c>
      <c r="W212" s="53" t="n">
        <f aca="false">IF(OR($A212&gt;TOMATO_BED_CAP,$B212&gt;CARROT_BED_CAP,W$4&gt;MESCLUN_BED_CAP,$A212+$B212+W$4&gt;TOTAL_BEDS_AVAILABLE,($D212+W$5)&gt;TOTAL_LABOR_HOURS_CAP,MAX(0,($D212+W$5)-PERMANENT_FIELD_LABOR_HOURS)&gt;TEMP_HOURS_CAP),"",$C212+W$6-MIN(($D212+W$5),PERMANENT_FIELD_LABOR_HOURS)*PERMANENT_HOURLY_RATE-MAX(0,($D212+W$5)-PERMANENT_FIELD_LABOR_HOURS)*TEMP_HOURLY_RATE-FIXED_SEASON_COST)</f>
        <v>33661.5741999816</v>
      </c>
      <c r="X212" s="53" t="n">
        <f aca="false">IF(OR($A212&gt;TOMATO_BED_CAP,$B212&gt;CARROT_BED_CAP,X$4&gt;MESCLUN_BED_CAP,$A212+$B212+X$4&gt;TOTAL_BEDS_AVAILABLE,($D212+X$5)&gt;TOTAL_LABOR_HOURS_CAP,MAX(0,($D212+X$5)-PERMANENT_FIELD_LABOR_HOURS)&gt;TEMP_HOURS_CAP),"",$C212+X$6-MIN(($D212+X$5),PERMANENT_FIELD_LABOR_HOURS)*PERMANENT_HOURLY_RATE-MAX(0,($D212+X$5)-PERMANENT_FIELD_LABOR_HOURS)*TEMP_HOURLY_RATE-FIXED_SEASON_COST)</f>
        <v>34299.5840282605</v>
      </c>
      <c r="Y212" s="53" t="n">
        <f aca="false">IF(OR($A212&gt;TOMATO_BED_CAP,$B212&gt;CARROT_BED_CAP,Y$4&gt;MESCLUN_BED_CAP,$A212+$B212+Y$4&gt;TOTAL_BEDS_AVAILABLE,($D212+Y$5)&gt;TOTAL_LABOR_HOURS_CAP,MAX(0,($D212+Y$5)-PERMANENT_FIELD_LABOR_HOURS)&gt;TEMP_HOURS_CAP),"",$C212+Y$6-MIN(($D212+Y$5),PERMANENT_FIELD_LABOR_HOURS)*PERMANENT_HOURLY_RATE-MAX(0,($D212+Y$5)-PERMANENT_FIELD_LABOR_HOURS)*TEMP_HOURLY_RATE-FIXED_SEASON_COST)</f>
        <v>34910.6070911392</v>
      </c>
      <c r="Z212" s="53" t="n">
        <f aca="false">IF(OR($A212&gt;TOMATO_BED_CAP,$B212&gt;CARROT_BED_CAP,Z$4&gt;MESCLUN_BED_CAP,$A212+$B212+Z$4&gt;TOTAL_BEDS_AVAILABLE,($D212+Z$5)&gt;TOTAL_LABOR_HOURS_CAP,MAX(0,($D212+Z$5)-PERMANENT_FIELD_LABOR_HOURS)&gt;TEMP_HOURS_CAP),"",$C212+Z$6-MIN(($D212+Z$5),PERMANENT_FIELD_LABOR_HOURS)*PERMANENT_HOURLY_RATE-MAX(0,($D212+Z$5)-PERMANENT_FIELD_LABOR_HOURS)*TEMP_HOURLY_RATE-FIXED_SEASON_COST)</f>
        <v>35494.1534054469</v>
      </c>
      <c r="AA212" s="53" t="n">
        <f aca="false">IF(OR($A212&gt;TOMATO_BED_CAP,$B212&gt;CARROT_BED_CAP,AA$4&gt;MESCLUN_BED_CAP,$A212+$B212+AA$4&gt;TOTAL_BEDS_AVAILABLE,($D212+AA$5)&gt;TOTAL_LABOR_HOURS_CAP,MAX(0,($D212+AA$5)-PERMANENT_FIELD_LABOR_HOURS)&gt;TEMP_HOURS_CAP),"",$C212+AA$6-MIN(($D212+AA$5),PERMANENT_FIELD_LABOR_HOURS)*PERMANENT_HOURLY_RATE-MAX(0,($D212+AA$5)-PERMANENT_FIELD_LABOR_HOURS)*TEMP_HOURLY_RATE-FIXED_SEASON_COST)</f>
        <v>36049.7249551158</v>
      </c>
      <c r="AB212" s="53" t="n">
        <f aca="false">IF(OR($A212&gt;TOMATO_BED_CAP,$B212&gt;CARROT_BED_CAP,AB$4&gt;MESCLUN_BED_CAP,$A212+$B212+AB$4&gt;TOTAL_BEDS_AVAILABLE,($D212+AB$5)&gt;TOTAL_LABOR_HOURS_CAP,MAX(0,($D212+AB$5)-PERMANENT_FIELD_LABOR_HOURS)&gt;TEMP_HOURS_CAP),"",$C212+AB$6-MIN(($D212+AB$5),PERMANENT_FIELD_LABOR_HOURS)*PERMANENT_HOURLY_RATE-MAX(0,($D212+AB$5)-PERMANENT_FIELD_LABOR_HOURS)*TEMP_HOURLY_RATE-FIXED_SEASON_COST)</f>
        <v>36576.8155669184</v>
      </c>
      <c r="AC212" s="53" t="n">
        <f aca="false">IF(OR($A212&gt;TOMATO_BED_CAP,$B212&gt;CARROT_BED_CAP,AC$4&gt;MESCLUN_BED_CAP,$A212+$B212+AC$4&gt;TOTAL_BEDS_AVAILABLE,($D212+AC$5)&gt;TOTAL_LABOR_HOURS_CAP,MAX(0,($D212+AC$5)-PERMANENT_FIELD_LABOR_HOURS)&gt;TEMP_HOURS_CAP),"",$C212+AC$6-MIN(($D212+AC$5),PERMANENT_FIELD_LABOR_HOURS)*PERMANENT_HOURLY_RATE-MAX(0,($D212+AC$5)-PERMANENT_FIELD_LABOR_HOURS)*TEMP_HOURLY_RATE-FIXED_SEASON_COST)</f>
        <v>37074.9107843533</v>
      </c>
      <c r="AD212" s="53" t="n">
        <f aca="false">IF(OR($A212&gt;TOMATO_BED_CAP,$B212&gt;CARROT_BED_CAP,AD$4&gt;MESCLUN_BED_CAP,$A212+$B212+AD$4&gt;TOTAL_BEDS_AVAILABLE,($D212+AD$5)&gt;TOTAL_LABOR_HOURS_CAP,MAX(0,($D212+AD$5)-PERMANENT_FIELD_LABOR_HOURS)&gt;TEMP_HOURS_CAP),"",$C212+AD$6-MIN(($D212+AD$5),PERMANENT_FIELD_LABOR_HOURS)*PERMANENT_HOURLY_RATE-MAX(0,($D212+AD$5)-PERMANENT_FIELD_LABOR_HOURS)*TEMP_HOURLY_RATE-FIXED_SEASON_COST)</f>
        <v>37543.4877396533</v>
      </c>
      <c r="AE212" s="53" t="n">
        <f aca="false">IF(OR($A212&gt;TOMATO_BED_CAP,$B212&gt;CARROT_BED_CAP,AE$4&gt;MESCLUN_BED_CAP,$A212+$B212+AE$4&gt;TOTAL_BEDS_AVAILABLE,($D212+AE$5)&gt;TOTAL_LABOR_HOURS_CAP,MAX(0,($D212+AE$5)-PERMANENT_FIELD_LABOR_HOURS)&gt;TEMP_HOURS_CAP),"",$C212+AE$6-MIN(($D212+AE$5),PERMANENT_FIELD_LABOR_HOURS)*PERMANENT_HOURLY_RATE-MAX(0,($D212+AE$5)-PERMANENT_FIELD_LABOR_HOURS)*TEMP_HOURLY_RATE-FIXED_SEASON_COST)</f>
        <v>37982.0150238872</v>
      </c>
      <c r="AF212" s="53" t="n">
        <f aca="false">IF(OR($A212&gt;TOMATO_BED_CAP,$B212&gt;CARROT_BED_CAP,AF$4&gt;MESCLUN_BED_CAP,$A212+$B212+AF$4&gt;TOTAL_BEDS_AVAILABLE,($D212+AF$5)&gt;TOTAL_LABOR_HOURS_CAP,MAX(0,($D212+AF$5)-PERMANENT_FIELD_LABOR_HOURS)&gt;TEMP_HOURS_CAP),"",$C212+AF$6-MIN(($D212+AF$5),PERMANENT_FIELD_LABOR_HOURS)*PERMANENT_HOURLY_RATE-MAX(0,($D212+AF$5)-PERMANENT_FIELD_LABOR_HOURS)*TEMP_HOURLY_RATE-FIXED_SEASON_COST)</f>
        <v>38389.9525551291</v>
      </c>
      <c r="AG212" s="53" t="n">
        <f aca="false">IF(OR($A212&gt;TOMATO_BED_CAP,$B212&gt;CARROT_BED_CAP,AG$4&gt;MESCLUN_BED_CAP,$A212+$B212+AG$4&gt;TOTAL_BEDS_AVAILABLE,($D212+AG$5)&gt;TOTAL_LABOR_HOURS_CAP,MAX(0,($D212+AG$5)-PERMANENT_FIELD_LABOR_HOURS)&gt;TEMP_HOURS_CAP),"",$C212+AG$6-MIN(($D212+AG$5),PERMANENT_FIELD_LABOR_HOURS)*PERMANENT_HOURLY_RATE-MAX(0,($D212+AG$5)-PERMANENT_FIELD_LABOR_HOURS)*TEMP_HOURLY_RATE-FIXED_SEASON_COST)</f>
        <v>38766.7514446661</v>
      </c>
      <c r="AH212" s="53" t="n">
        <f aca="false">IF(OR($A212&gt;TOMATO_BED_CAP,$B212&gt;CARROT_BED_CAP,AH$4&gt;MESCLUN_BED_CAP,$A212+$B212+AH$4&gt;TOTAL_BEDS_AVAILABLE,($D212+AH$5)&gt;TOTAL_LABOR_HOURS_CAP,MAX(0,($D212+AH$5)-PERMANENT_FIELD_LABOR_HOURS)&gt;TEMP_HOURS_CAP),"",$C212+AH$6-MIN(($D212+AH$5),PERMANENT_FIELD_LABOR_HOURS)*PERMANENT_HOURLY_RATE-MAX(0,($D212+AH$5)-PERMANENT_FIELD_LABOR_HOURS)*TEMP_HOURLY_RATE-FIXED_SEASON_COST)</f>
        <v>39111.8538612163</v>
      </c>
      <c r="AI212" s="53" t="n">
        <f aca="false">IF(OR($A212&gt;TOMATO_BED_CAP,$B212&gt;CARROT_BED_CAP,AI$4&gt;MESCLUN_BED_CAP,$A212+$B212+AI$4&gt;TOTAL_BEDS_AVAILABLE,($D212+AI$5)&gt;TOTAL_LABOR_HOURS_CAP,MAX(0,($D212+AI$5)-PERMANENT_FIELD_LABOR_HOURS)&gt;TEMP_HOURS_CAP),"",$C212+AI$6-MIN(($D212+AI$5),PERMANENT_FIELD_LABOR_HOURS)*PERMANENT_HOURLY_RATE-MAX(0,($D212+AI$5)-PERMANENT_FIELD_LABOR_HOURS)*TEMP_HOURLY_RATE-FIXED_SEASON_COST)</f>
        <v>39424.6928931286</v>
      </c>
      <c r="AJ212" s="53" t="n">
        <f aca="false">IF(OR($A212&gt;TOMATO_BED_CAP,$B212&gt;CARROT_BED_CAP,AJ$4&gt;MESCLUN_BED_CAP,$A212+$B212+AJ$4&gt;TOTAL_BEDS_AVAILABLE,($D212+AJ$5)&gt;TOTAL_LABOR_HOURS_CAP,MAX(0,($D212+AJ$5)-PERMANENT_FIELD_LABOR_HOURS)&gt;TEMP_HOURS_CAP),"",$C212+AJ$6-MIN(($D212+AJ$5),PERMANENT_FIELD_LABOR_HOURS)*PERMANENT_HOURLY_RATE-MAX(0,($D212+AJ$5)-PERMANENT_FIELD_LABOR_HOURS)*TEMP_HOURLY_RATE-FIXED_SEASON_COST)</f>
        <v>39704.6924085344</v>
      </c>
    </row>
    <row r="213" customFormat="false" ht="15" hidden="false" customHeight="false" outlineLevel="0" collapsed="false">
      <c r="A213" s="21" t="n">
        <f aca="false">INT((ROW()-ROW($A$8))/(20+1))</f>
        <v>9</v>
      </c>
      <c r="B213" s="21" t="n">
        <f aca="false">MOD(ROW()-ROW($A$8),20+1)</f>
        <v>16</v>
      </c>
      <c r="C213" s="13" t="n">
        <f aca="false">A213*(TOMATO_REVENUE_PER_BED-TOMATO_FERTILIZER_PER_BED)+B213*(CARROT_REVENUE_PER_BED-CARROT_FERTILIZER_PER_BED)</f>
        <v>97744</v>
      </c>
      <c r="D213" s="14" t="n">
        <f aca="false">INDEX(TOMATO_SCHED_LABOR_HRS,A213+1)+INDEX(CARROT_SCHED_LABOR_HRS,B213+1)</f>
        <v>2622.2153025479</v>
      </c>
      <c r="E213" s="13" t="n">
        <f aca="false">IF(COUNT(F213:AJ213)=0,"",MAX(F213:AJ213))</f>
        <v>40303.1316426409</v>
      </c>
      <c r="F213" s="53" t="n">
        <f aca="false">IF(OR($A213&gt;TOMATO_BED_CAP,$B213&gt;CARROT_BED_CAP,F$4&gt;MESCLUN_BED_CAP,$A213+$B213+F$4&gt;TOTAL_BEDS_AVAILABLE,($D213+F$5)&gt;TOTAL_LABOR_HOURS_CAP,MAX(0,($D213+F$5)-PERMANENT_FIELD_LABOR_HOURS)&gt;TEMP_HOURS_CAP),"",$C213+F$6-MIN(($D213+F$5),PERMANENT_FIELD_LABOR_HOURS)*PERMANENT_HOURLY_RATE-MAX(0,($D213+F$5)-PERMANENT_FIELD_LABOR_HOURS)*TEMP_HOURLY_RATE-FIXED_SEASON_COST)</f>
        <v>19723.1423477684</v>
      </c>
      <c r="G213" s="53" t="n">
        <f aca="false">IF(OR($A213&gt;TOMATO_BED_CAP,$B213&gt;CARROT_BED_CAP,G$4&gt;MESCLUN_BED_CAP,$A213+$B213+G$4&gt;TOTAL_BEDS_AVAILABLE,($D213+G$5)&gt;TOTAL_LABOR_HOURS_CAP,MAX(0,($D213+G$5)-PERMANENT_FIELD_LABOR_HOURS)&gt;TEMP_HOURS_CAP),"",$C213+G$6-MIN(($D213+G$5),PERMANENT_FIELD_LABOR_HOURS)*PERMANENT_HOURLY_RATE-MAX(0,($D213+G$5)-PERMANENT_FIELD_LABOR_HOURS)*TEMP_HOURLY_RATE-FIXED_SEASON_COST)</f>
        <v>20752.1773477684</v>
      </c>
      <c r="H213" s="53" t="n">
        <f aca="false">IF(OR($A213&gt;TOMATO_BED_CAP,$B213&gt;CARROT_BED_CAP,H$4&gt;MESCLUN_BED_CAP,$A213+$B213+H$4&gt;TOTAL_BEDS_AVAILABLE,($D213+H$5)&gt;TOTAL_LABOR_HOURS_CAP,MAX(0,($D213+H$5)-PERMANENT_FIELD_LABOR_HOURS)&gt;TEMP_HOURS_CAP),"",$C213+H$6-MIN(($D213+H$5),PERMANENT_FIELD_LABOR_HOURS)*PERMANENT_HOURLY_RATE-MAX(0,($D213+H$5)-PERMANENT_FIELD_LABOR_HOURS)*TEMP_HOURLY_RATE-FIXED_SEASON_COST)</f>
        <v>21761.4382227684</v>
      </c>
      <c r="I213" s="53" t="n">
        <f aca="false">IF(OR($A213&gt;TOMATO_BED_CAP,$B213&gt;CARROT_BED_CAP,I$4&gt;MESCLUN_BED_CAP,$A213+$B213+I$4&gt;TOTAL_BEDS_AVAILABLE,($D213+I$5)&gt;TOTAL_LABOR_HOURS_CAP,MAX(0,($D213+I$5)-PERMANENT_FIELD_LABOR_HOURS)&gt;TEMP_HOURS_CAP),"",$C213+I$6-MIN(($D213+I$5),PERMANENT_FIELD_LABOR_HOURS)*PERMANENT_HOURLY_RATE-MAX(0,($D213+I$5)-PERMANENT_FIELD_LABOR_HOURS)*TEMP_HOURLY_RATE-FIXED_SEASON_COST)</f>
        <v>22750.5542079246</v>
      </c>
      <c r="J213" s="53" t="n">
        <f aca="false">IF(OR($A213&gt;TOMATO_BED_CAP,$B213&gt;CARROT_BED_CAP,J$4&gt;MESCLUN_BED_CAP,$A213+$B213+J$4&gt;TOTAL_BEDS_AVAILABLE,($D213+J$5)&gt;TOTAL_LABOR_HOURS_CAP,MAX(0,($D213+J$5)-PERMANENT_FIELD_LABOR_HOURS)&gt;TEMP_HOURS_CAP),"",$C213+J$6-MIN(($D213+J$5),PERMANENT_FIELD_LABOR_HOURS)*PERMANENT_HOURLY_RATE-MAX(0,($D213+J$5)-PERMANENT_FIELD_LABOR_HOURS)*TEMP_HOURLY_RATE-FIXED_SEASON_COST)</f>
        <v>23719.1483589793</v>
      </c>
      <c r="K213" s="53" t="n">
        <f aca="false">IF(OR($A213&gt;TOMATO_BED_CAP,$B213&gt;CARROT_BED_CAP,K$4&gt;MESCLUN_BED_CAP,$A213+$B213+K$4&gt;TOTAL_BEDS_AVAILABLE,($D213+K$5)&gt;TOTAL_LABOR_HOURS_CAP,MAX(0,($D213+K$5)-PERMANENT_FIELD_LABOR_HOURS)&gt;TEMP_HOURS_CAP),"",$C213+K$6-MIN(($D213+K$5),PERMANENT_FIELD_LABOR_HOURS)*PERMANENT_HOURLY_RATE-MAX(0,($D213+K$5)-PERMANENT_FIELD_LABOR_HOURS)*TEMP_HOURLY_RATE-FIXED_SEASON_COST)</f>
        <v>24666.8374557072</v>
      </c>
      <c r="L213" s="53" t="n">
        <f aca="false">IF(OR($A213&gt;TOMATO_BED_CAP,$B213&gt;CARROT_BED_CAP,L$4&gt;MESCLUN_BED_CAP,$A213+$B213+L$4&gt;TOTAL_BEDS_AVAILABLE,($D213+L$5)&gt;TOTAL_LABOR_HOURS_CAP,MAX(0,($D213+L$5)-PERMANENT_FIELD_LABOR_HOURS)&gt;TEMP_HOURS_CAP),"",$C213+L$6-MIN(($D213+L$5),PERMANENT_FIELD_LABOR_HOURS)*PERMANENT_HOURLY_RATE-MAX(0,($D213+L$5)-PERMANENT_FIELD_LABOR_HOURS)*TEMP_HOURLY_RATE-FIXED_SEASON_COST)</f>
        <v>25593.2319039141</v>
      </c>
      <c r="M213" s="53" t="n">
        <f aca="false">IF(OR($A213&gt;TOMATO_BED_CAP,$B213&gt;CARROT_BED_CAP,M$4&gt;MESCLUN_BED_CAP,$A213+$B213+M$4&gt;TOTAL_BEDS_AVAILABLE,($D213+M$5)&gt;TOTAL_LABOR_HOURS_CAP,MAX(0,($D213+M$5)-PERMANENT_FIELD_LABOR_HOURS)&gt;TEMP_HOURS_CAP),"",$C213+M$6-MIN(($D213+M$5),PERMANENT_FIELD_LABOR_HOURS)*PERMANENT_HOURLY_RATE-MAX(0,($D213+M$5)-PERMANENT_FIELD_LABOR_HOURS)*TEMP_HOURLY_RATE-FIXED_SEASON_COST)</f>
        <v>26497.9356359655</v>
      </c>
      <c r="N213" s="53" t="n">
        <f aca="false">IF(OR($A213&gt;TOMATO_BED_CAP,$B213&gt;CARROT_BED_CAP,N$4&gt;MESCLUN_BED_CAP,$A213+$B213+N$4&gt;TOTAL_BEDS_AVAILABLE,($D213+N$5)&gt;TOTAL_LABOR_HOURS_CAP,MAX(0,($D213+N$5)-PERMANENT_FIELD_LABOR_HOURS)&gt;TEMP_HOURS_CAP),"",$C213+N$6-MIN(($D213+N$5),PERMANENT_FIELD_LABOR_HOURS)*PERMANENT_HOURLY_RATE-MAX(0,($D213+N$5)-PERMANENT_FIELD_LABOR_HOURS)*TEMP_HOURLY_RATE-FIXED_SEASON_COST)</f>
        <v>27380.546009825</v>
      </c>
      <c r="O213" s="53" t="n">
        <f aca="false">IF(OR($A213&gt;TOMATO_BED_CAP,$B213&gt;CARROT_BED_CAP,O$4&gt;MESCLUN_BED_CAP,$A213+$B213+O$4&gt;TOTAL_BEDS_AVAILABLE,($D213+O$5)&gt;TOTAL_LABOR_HOURS_CAP,MAX(0,($D213+O$5)-PERMANENT_FIELD_LABOR_HOURS)&gt;TEMP_HOURS_CAP),"",$C213+O$6-MIN(($D213+O$5),PERMANENT_FIELD_LABOR_HOURS)*PERMANENT_HOURLY_RATE-MAX(0,($D213+O$5)-PERMANENT_FIELD_LABOR_HOURS)*TEMP_HOURLY_RATE-FIXED_SEASON_COST)</f>
        <v>28240.6537065798</v>
      </c>
      <c r="P213" s="53" t="n">
        <f aca="false">IF(OR($A213&gt;TOMATO_BED_CAP,$B213&gt;CARROT_BED_CAP,P$4&gt;MESCLUN_BED_CAP,$A213+$B213+P$4&gt;TOTAL_BEDS_AVAILABLE,($D213+P$5)&gt;TOTAL_LABOR_HOURS_CAP,MAX(0,($D213+P$5)-PERMANENT_FIELD_LABOR_HOURS)&gt;TEMP_HOURS_CAP),"",$C213+P$6-MIN(($D213+P$5),PERMANENT_FIELD_LABOR_HOURS)*PERMANENT_HOURLY_RATE-MAX(0,($D213+P$5)-PERMANENT_FIELD_LABOR_HOURS)*TEMP_HOURLY_RATE-FIXED_SEASON_COST)</f>
        <v>29077.8426264312</v>
      </c>
      <c r="Q213" s="53" t="n">
        <f aca="false">IF(OR($A213&gt;TOMATO_BED_CAP,$B213&gt;CARROT_BED_CAP,Q$4&gt;MESCLUN_BED_CAP,$A213+$B213+Q$4&gt;TOTAL_BEDS_AVAILABLE,($D213+Q$5)&gt;TOTAL_LABOR_HOURS_CAP,MAX(0,($D213+Q$5)-PERMANENT_FIELD_LABOR_HOURS)&gt;TEMP_HOURS_CAP),"",$C213+Q$6-MIN(($D213+Q$5),PERMANENT_FIELD_LABOR_HOURS)*PERMANENT_HOURLY_RATE-MAX(0,($D213+Q$5)-PERMANENT_FIELD_LABOR_HOURS)*TEMP_HOURLY_RATE-FIXED_SEASON_COST)</f>
        <v>29891.6897831291</v>
      </c>
      <c r="R213" s="53" t="n">
        <f aca="false">IF(OR($A213&gt;TOMATO_BED_CAP,$B213&gt;CARROT_BED_CAP,R$4&gt;MESCLUN_BED_CAP,$A213+$B213+R$4&gt;TOTAL_BEDS_AVAILABLE,($D213+R$5)&gt;TOTAL_LABOR_HOURS_CAP,MAX(0,($D213+R$5)-PERMANENT_FIELD_LABOR_HOURS)&gt;TEMP_HOURS_CAP),"",$C213+R$6-MIN(($D213+R$5),PERMANENT_FIELD_LABOR_HOURS)*PERMANENT_HOURLY_RATE-MAX(0,($D213+R$5)-PERMANENT_FIELD_LABOR_HOURS)*TEMP_HOURLY_RATE-FIXED_SEASON_COST)</f>
        <v>30681.7651968259</v>
      </c>
      <c r="S213" s="53" t="n">
        <f aca="false">IF(OR($A213&gt;TOMATO_BED_CAP,$B213&gt;CARROT_BED_CAP,S$4&gt;MESCLUN_BED_CAP,$A213+$B213+S$4&gt;TOTAL_BEDS_AVAILABLE,($D213+S$5)&gt;TOTAL_LABOR_HOURS_CAP,MAX(0,($D213+S$5)-PERMANENT_FIELD_LABOR_HOURS)&gt;TEMP_HOURS_CAP),"",$C213+S$6-MIN(($D213+S$5),PERMANENT_FIELD_LABOR_HOURS)*PERMANENT_HOURLY_RATE-MAX(0,($D213+S$5)-PERMANENT_FIELD_LABOR_HOURS)*TEMP_HOURLY_RATE-FIXED_SEASON_COST)</f>
        <v>31447.6317853284</v>
      </c>
      <c r="T213" s="53" t="n">
        <f aca="false">IF(OR($A213&gt;TOMATO_BED_CAP,$B213&gt;CARROT_BED_CAP,T$4&gt;MESCLUN_BED_CAP,$A213+$B213+T$4&gt;TOTAL_BEDS_AVAILABLE,($D213+T$5)&gt;TOTAL_LABOR_HOURS_CAP,MAX(0,($D213+T$5)-PERMANENT_FIELD_LABOR_HOURS)&gt;TEMP_HOURS_CAP),"",$C213+T$6-MIN(($D213+T$5),PERMANENT_FIELD_LABOR_HOURS)*PERMANENT_HOURLY_RATE-MAX(0,($D213+T$5)-PERMANENT_FIELD_LABOR_HOURS)*TEMP_HOURLY_RATE-FIXED_SEASON_COST)</f>
        <v>32188.8452537232</v>
      </c>
      <c r="U213" s="53" t="n">
        <f aca="false">IF(OR($A213&gt;TOMATO_BED_CAP,$B213&gt;CARROT_BED_CAP,U$4&gt;MESCLUN_BED_CAP,$A213+$B213+U$4&gt;TOTAL_BEDS_AVAILABLE,($D213+U$5)&gt;TOTAL_LABOR_HOURS_CAP,MAX(0,($D213+U$5)-PERMANENT_FIELD_LABOR_HOURS)&gt;TEMP_HOURS_CAP),"",$C213+U$6-MIN(($D213+U$5),PERMANENT_FIELD_LABOR_HOURS)*PERMANENT_HOURLY_RATE-MAX(0,($D213+U$5)-PERMANENT_FIELD_LABOR_HOURS)*TEMP_HOURLY_RATE-FIXED_SEASON_COST)</f>
        <v>32904.9539823533</v>
      </c>
      <c r="V213" s="53" t="n">
        <f aca="false">IF(OR($A213&gt;TOMATO_BED_CAP,$B213&gt;CARROT_BED_CAP,V$4&gt;MESCLUN_BED_CAP,$A213+$B213+V$4&gt;TOTAL_BEDS_AVAILABLE,($D213+V$5)&gt;TOTAL_LABOR_HOURS_CAP,MAX(0,($D213+V$5)-PERMANENT_FIELD_LABOR_HOURS)&gt;TEMP_HOURS_CAP),"",$C213+V$6-MIN(($D213+V$5),PERMANENT_FIELD_LABOR_HOURS)*PERMANENT_HOURLY_RATE-MAX(0,($D213+V$5)-PERMANENT_FIELD_LABOR_HOURS)*TEMP_HOURLY_RATE-FIXED_SEASON_COST)</f>
        <v>33595.4989131201</v>
      </c>
      <c r="W213" s="53" t="n">
        <f aca="false">IF(OR($A213&gt;TOMATO_BED_CAP,$B213&gt;CARROT_BED_CAP,W$4&gt;MESCLUN_BED_CAP,$A213+$B213+W$4&gt;TOTAL_BEDS_AVAILABLE,($D213+W$5)&gt;TOTAL_LABOR_HOURS_CAP,MAX(0,($D213+W$5)-PERMANENT_FIELD_LABOR_HOURS)&gt;TEMP_HOURS_CAP),"",$C213+W$6-MIN(($D213+W$5),PERMANENT_FIELD_LABOR_HOURS)*PERMANENT_HOURLY_RATE-MAX(0,($D213+W$5)-PERMANENT_FIELD_LABOR_HOURS)*TEMP_HOURLY_RATE-FIXED_SEASON_COST)</f>
        <v>34260.0134340882</v>
      </c>
      <c r="X213" s="53" t="n">
        <f aca="false">IF(OR($A213&gt;TOMATO_BED_CAP,$B213&gt;CARROT_BED_CAP,X$4&gt;MESCLUN_BED_CAP,$A213+$B213+X$4&gt;TOTAL_BEDS_AVAILABLE,($D213+X$5)&gt;TOTAL_LABOR_HOURS_CAP,MAX(0,($D213+X$5)-PERMANENT_FIELD_LABOR_HOURS)&gt;TEMP_HOURS_CAP),"",$C213+X$6-MIN(($D213+X$5),PERMANENT_FIELD_LABOR_HOURS)*PERMANENT_HOURLY_RATE-MAX(0,($D213+X$5)-PERMANENT_FIELD_LABOR_HOURS)*TEMP_HOURLY_RATE-FIXED_SEASON_COST)</f>
        <v>34898.0232623671</v>
      </c>
      <c r="Y213" s="53" t="n">
        <f aca="false">IF(OR($A213&gt;TOMATO_BED_CAP,$B213&gt;CARROT_BED_CAP,Y$4&gt;MESCLUN_BED_CAP,$A213+$B213+Y$4&gt;TOTAL_BEDS_AVAILABLE,($D213+Y$5)&gt;TOTAL_LABOR_HOURS_CAP,MAX(0,($D213+Y$5)-PERMANENT_FIELD_LABOR_HOURS)&gt;TEMP_HOURS_CAP),"",$C213+Y$6-MIN(($D213+Y$5),PERMANENT_FIELD_LABOR_HOURS)*PERMANENT_HOURLY_RATE-MAX(0,($D213+Y$5)-PERMANENT_FIELD_LABOR_HOURS)*TEMP_HOURLY_RATE-FIXED_SEASON_COST)</f>
        <v>35509.0463252457</v>
      </c>
      <c r="Z213" s="53" t="n">
        <f aca="false">IF(OR($A213&gt;TOMATO_BED_CAP,$B213&gt;CARROT_BED_CAP,Z$4&gt;MESCLUN_BED_CAP,$A213+$B213+Z$4&gt;TOTAL_BEDS_AVAILABLE,($D213+Z$5)&gt;TOTAL_LABOR_HOURS_CAP,MAX(0,($D213+Z$5)-PERMANENT_FIELD_LABOR_HOURS)&gt;TEMP_HOURS_CAP),"",$C213+Z$6-MIN(($D213+Z$5),PERMANENT_FIELD_LABOR_HOURS)*PERMANENT_HOURLY_RATE-MAX(0,($D213+Z$5)-PERMANENT_FIELD_LABOR_HOURS)*TEMP_HOURLY_RATE-FIXED_SEASON_COST)</f>
        <v>36092.5926395535</v>
      </c>
      <c r="AA213" s="53" t="n">
        <f aca="false">IF(OR($A213&gt;TOMATO_BED_CAP,$B213&gt;CARROT_BED_CAP,AA$4&gt;MESCLUN_BED_CAP,$A213+$B213+AA$4&gt;TOTAL_BEDS_AVAILABLE,($D213+AA$5)&gt;TOTAL_LABOR_HOURS_CAP,MAX(0,($D213+AA$5)-PERMANENT_FIELD_LABOR_HOURS)&gt;TEMP_HOURS_CAP),"",$C213+AA$6-MIN(($D213+AA$5),PERMANENT_FIELD_LABOR_HOURS)*PERMANENT_HOURLY_RATE-MAX(0,($D213+AA$5)-PERMANENT_FIELD_LABOR_HOURS)*TEMP_HOURLY_RATE-FIXED_SEASON_COST)</f>
        <v>36648.1641892224</v>
      </c>
      <c r="AB213" s="53" t="n">
        <f aca="false">IF(OR($A213&gt;TOMATO_BED_CAP,$B213&gt;CARROT_BED_CAP,AB$4&gt;MESCLUN_BED_CAP,$A213+$B213+AB$4&gt;TOTAL_BEDS_AVAILABLE,($D213+AB$5)&gt;TOTAL_LABOR_HOURS_CAP,MAX(0,($D213+AB$5)-PERMANENT_FIELD_LABOR_HOURS)&gt;TEMP_HOURS_CAP),"",$C213+AB$6-MIN(($D213+AB$5),PERMANENT_FIELD_LABOR_HOURS)*PERMANENT_HOURLY_RATE-MAX(0,($D213+AB$5)-PERMANENT_FIELD_LABOR_HOURS)*TEMP_HOURLY_RATE-FIXED_SEASON_COST)</f>
        <v>37175.254801025</v>
      </c>
      <c r="AC213" s="53" t="n">
        <f aca="false">IF(OR($A213&gt;TOMATO_BED_CAP,$B213&gt;CARROT_BED_CAP,AC$4&gt;MESCLUN_BED_CAP,$A213+$B213+AC$4&gt;TOTAL_BEDS_AVAILABLE,($D213+AC$5)&gt;TOTAL_LABOR_HOURS_CAP,MAX(0,($D213+AC$5)-PERMANENT_FIELD_LABOR_HOURS)&gt;TEMP_HOURS_CAP),"",$C213+AC$6-MIN(($D213+AC$5),PERMANENT_FIELD_LABOR_HOURS)*PERMANENT_HOURLY_RATE-MAX(0,($D213+AC$5)-PERMANENT_FIELD_LABOR_HOURS)*TEMP_HOURLY_RATE-FIXED_SEASON_COST)</f>
        <v>37673.3500184599</v>
      </c>
      <c r="AD213" s="53" t="n">
        <f aca="false">IF(OR($A213&gt;TOMATO_BED_CAP,$B213&gt;CARROT_BED_CAP,AD$4&gt;MESCLUN_BED_CAP,$A213+$B213+AD$4&gt;TOTAL_BEDS_AVAILABLE,($D213+AD$5)&gt;TOTAL_LABOR_HOURS_CAP,MAX(0,($D213+AD$5)-PERMANENT_FIELD_LABOR_HOURS)&gt;TEMP_HOURS_CAP),"",$C213+AD$6-MIN(($D213+AD$5),PERMANENT_FIELD_LABOR_HOURS)*PERMANENT_HOURLY_RATE-MAX(0,($D213+AD$5)-PERMANENT_FIELD_LABOR_HOURS)*TEMP_HOURLY_RATE-FIXED_SEASON_COST)</f>
        <v>38141.9269737598</v>
      </c>
      <c r="AE213" s="53" t="n">
        <f aca="false">IF(OR($A213&gt;TOMATO_BED_CAP,$B213&gt;CARROT_BED_CAP,AE$4&gt;MESCLUN_BED_CAP,$A213+$B213+AE$4&gt;TOTAL_BEDS_AVAILABLE,($D213+AE$5)&gt;TOTAL_LABOR_HOURS_CAP,MAX(0,($D213+AE$5)-PERMANENT_FIELD_LABOR_HOURS)&gt;TEMP_HOURS_CAP),"",$C213+AE$6-MIN(($D213+AE$5),PERMANENT_FIELD_LABOR_HOURS)*PERMANENT_HOURLY_RATE-MAX(0,($D213+AE$5)-PERMANENT_FIELD_LABOR_HOURS)*TEMP_HOURLY_RATE-FIXED_SEASON_COST)</f>
        <v>38580.4542579937</v>
      </c>
      <c r="AF213" s="53" t="n">
        <f aca="false">IF(OR($A213&gt;TOMATO_BED_CAP,$B213&gt;CARROT_BED_CAP,AF$4&gt;MESCLUN_BED_CAP,$A213+$B213+AF$4&gt;TOTAL_BEDS_AVAILABLE,($D213+AF$5)&gt;TOTAL_LABOR_HOURS_CAP,MAX(0,($D213+AF$5)-PERMANENT_FIELD_LABOR_HOURS)&gt;TEMP_HOURS_CAP),"",$C213+AF$6-MIN(($D213+AF$5),PERMANENT_FIELD_LABOR_HOURS)*PERMANENT_HOURLY_RATE-MAX(0,($D213+AF$5)-PERMANENT_FIELD_LABOR_HOURS)*TEMP_HOURLY_RATE-FIXED_SEASON_COST)</f>
        <v>38988.3917892357</v>
      </c>
      <c r="AG213" s="53" t="n">
        <f aca="false">IF(OR($A213&gt;TOMATO_BED_CAP,$B213&gt;CARROT_BED_CAP,AG$4&gt;MESCLUN_BED_CAP,$A213+$B213+AG$4&gt;TOTAL_BEDS_AVAILABLE,($D213+AG$5)&gt;TOTAL_LABOR_HOURS_CAP,MAX(0,($D213+AG$5)-PERMANENT_FIELD_LABOR_HOURS)&gt;TEMP_HOURS_CAP),"",$C213+AG$6-MIN(($D213+AG$5),PERMANENT_FIELD_LABOR_HOURS)*PERMANENT_HOURLY_RATE-MAX(0,($D213+AG$5)-PERMANENT_FIELD_LABOR_HOURS)*TEMP_HOURLY_RATE-FIXED_SEASON_COST)</f>
        <v>39365.1906787727</v>
      </c>
      <c r="AH213" s="53" t="n">
        <f aca="false">IF(OR($A213&gt;TOMATO_BED_CAP,$B213&gt;CARROT_BED_CAP,AH$4&gt;MESCLUN_BED_CAP,$A213+$B213+AH$4&gt;TOTAL_BEDS_AVAILABLE,($D213+AH$5)&gt;TOTAL_LABOR_HOURS_CAP,MAX(0,($D213+AH$5)-PERMANENT_FIELD_LABOR_HOURS)&gt;TEMP_HOURS_CAP),"",$C213+AH$6-MIN(($D213+AH$5),PERMANENT_FIELD_LABOR_HOURS)*PERMANENT_HOURLY_RATE-MAX(0,($D213+AH$5)-PERMANENT_FIELD_LABOR_HOURS)*TEMP_HOURLY_RATE-FIXED_SEASON_COST)</f>
        <v>39710.2930953229</v>
      </c>
      <c r="AI213" s="53" t="n">
        <f aca="false">IF(OR($A213&gt;TOMATO_BED_CAP,$B213&gt;CARROT_BED_CAP,AI$4&gt;MESCLUN_BED_CAP,$A213+$B213+AI$4&gt;TOTAL_BEDS_AVAILABLE,($D213+AI$5)&gt;TOTAL_LABOR_HOURS_CAP,MAX(0,($D213+AI$5)-PERMANENT_FIELD_LABOR_HOURS)&gt;TEMP_HOURS_CAP),"",$C213+AI$6-MIN(($D213+AI$5),PERMANENT_FIELD_LABOR_HOURS)*PERMANENT_HOURLY_RATE-MAX(0,($D213+AI$5)-PERMANENT_FIELD_LABOR_HOURS)*TEMP_HOURLY_RATE-FIXED_SEASON_COST)</f>
        <v>40023.1321272352</v>
      </c>
      <c r="AJ213" s="53" t="n">
        <f aca="false">IF(OR($A213&gt;TOMATO_BED_CAP,$B213&gt;CARROT_BED_CAP,AJ$4&gt;MESCLUN_BED_CAP,$A213+$B213+AJ$4&gt;TOTAL_BEDS_AVAILABLE,($D213+AJ$5)&gt;TOTAL_LABOR_HOURS_CAP,MAX(0,($D213+AJ$5)-PERMANENT_FIELD_LABOR_HOURS)&gt;TEMP_HOURS_CAP),"",$C213+AJ$6-MIN(($D213+AJ$5),PERMANENT_FIELD_LABOR_HOURS)*PERMANENT_HOURLY_RATE-MAX(0,($D213+AJ$5)-PERMANENT_FIELD_LABOR_HOURS)*TEMP_HOURLY_RATE-FIXED_SEASON_COST)</f>
        <v>40303.1316426409</v>
      </c>
    </row>
    <row r="214" customFormat="false" ht="15" hidden="false" customHeight="false" outlineLevel="0" collapsed="false">
      <c r="A214" s="21" t="n">
        <f aca="false">INT((ROW()-ROW($A$8))/(20+1))</f>
        <v>9</v>
      </c>
      <c r="B214" s="21" t="n">
        <f aca="false">MOD(ROW()-ROW($A$8),20+1)</f>
        <v>17</v>
      </c>
      <c r="C214" s="13" t="n">
        <f aca="false">A214*(TOMATO_REVENUE_PER_BED-TOMATO_FERTILIZER_PER_BED)+B214*(CARROT_REVENUE_PER_BED-CARROT_FERTILIZER_PER_BED)</f>
        <v>99398</v>
      </c>
      <c r="D214" s="14" t="n">
        <f aca="false">INDEX(TOMATO_SCHED_LABOR_HRS,A214+1)+INDEX(CARROT_SCHED_LABOR_HRS,B214+1)</f>
        <v>2685.65253278503</v>
      </c>
      <c r="E214" s="13" t="n">
        <f aca="false">IF(COUNT(F214:AJ214)=0,"",MAX(F214:AJ214))</f>
        <v>40855.8613257244</v>
      </c>
      <c r="F214" s="53" t="n">
        <f aca="false">IF(OR($A214&gt;TOMATO_BED_CAP,$B214&gt;CARROT_BED_CAP,F$4&gt;MESCLUN_BED_CAP,$A214+$B214+F$4&gt;TOTAL_BEDS_AVAILABLE,($D214+F$5)&gt;TOTAL_LABOR_HOURS_CAP,MAX(0,($D214+F$5)-PERMANENT_FIELD_LABOR_HOURS)&gt;TEMP_HOURS_CAP),"",$C214+F$6-MIN(($D214+F$5),PERMANENT_FIELD_LABOR_HOURS)*PERMANENT_HOURLY_RATE-MAX(0,($D214+F$5)-PERMANENT_FIELD_LABOR_HOURS)*TEMP_HOURLY_RATE-FIXED_SEASON_COST)</f>
        <v>20275.8720308519</v>
      </c>
      <c r="G214" s="53" t="n">
        <f aca="false">IF(OR($A214&gt;TOMATO_BED_CAP,$B214&gt;CARROT_BED_CAP,G$4&gt;MESCLUN_BED_CAP,$A214+$B214+G$4&gt;TOTAL_BEDS_AVAILABLE,($D214+G$5)&gt;TOTAL_LABOR_HOURS_CAP,MAX(0,($D214+G$5)-PERMANENT_FIELD_LABOR_HOURS)&gt;TEMP_HOURS_CAP),"",$C214+G$6-MIN(($D214+G$5),PERMANENT_FIELD_LABOR_HOURS)*PERMANENT_HOURLY_RATE-MAX(0,($D214+G$5)-PERMANENT_FIELD_LABOR_HOURS)*TEMP_HOURLY_RATE-FIXED_SEASON_COST)</f>
        <v>21304.9070308519</v>
      </c>
      <c r="H214" s="53" t="n">
        <f aca="false">IF(OR($A214&gt;TOMATO_BED_CAP,$B214&gt;CARROT_BED_CAP,H$4&gt;MESCLUN_BED_CAP,$A214+$B214+H$4&gt;TOTAL_BEDS_AVAILABLE,($D214+H$5)&gt;TOTAL_LABOR_HOURS_CAP,MAX(0,($D214+H$5)-PERMANENT_FIELD_LABOR_HOURS)&gt;TEMP_HOURS_CAP),"",$C214+H$6-MIN(($D214+H$5),PERMANENT_FIELD_LABOR_HOURS)*PERMANENT_HOURLY_RATE-MAX(0,($D214+H$5)-PERMANENT_FIELD_LABOR_HOURS)*TEMP_HOURLY_RATE-FIXED_SEASON_COST)</f>
        <v>22314.1679058519</v>
      </c>
      <c r="I214" s="53" t="n">
        <f aca="false">IF(OR($A214&gt;TOMATO_BED_CAP,$B214&gt;CARROT_BED_CAP,I$4&gt;MESCLUN_BED_CAP,$A214+$B214+I$4&gt;TOTAL_BEDS_AVAILABLE,($D214+I$5)&gt;TOTAL_LABOR_HOURS_CAP,MAX(0,($D214+I$5)-PERMANENT_FIELD_LABOR_HOURS)&gt;TEMP_HOURS_CAP),"",$C214+I$6-MIN(($D214+I$5),PERMANENT_FIELD_LABOR_HOURS)*PERMANENT_HOURLY_RATE-MAX(0,($D214+I$5)-PERMANENT_FIELD_LABOR_HOURS)*TEMP_HOURLY_RATE-FIXED_SEASON_COST)</f>
        <v>23303.2838910081</v>
      </c>
      <c r="J214" s="53" t="n">
        <f aca="false">IF(OR($A214&gt;TOMATO_BED_CAP,$B214&gt;CARROT_BED_CAP,J$4&gt;MESCLUN_BED_CAP,$A214+$B214+J$4&gt;TOTAL_BEDS_AVAILABLE,($D214+J$5)&gt;TOTAL_LABOR_HOURS_CAP,MAX(0,($D214+J$5)-PERMANENT_FIELD_LABOR_HOURS)&gt;TEMP_HOURS_CAP),"",$C214+J$6-MIN(($D214+J$5),PERMANENT_FIELD_LABOR_HOURS)*PERMANENT_HOURLY_RATE-MAX(0,($D214+J$5)-PERMANENT_FIELD_LABOR_HOURS)*TEMP_HOURLY_RATE-FIXED_SEASON_COST)</f>
        <v>24271.8780420628</v>
      </c>
      <c r="K214" s="53" t="n">
        <f aca="false">IF(OR($A214&gt;TOMATO_BED_CAP,$B214&gt;CARROT_BED_CAP,K$4&gt;MESCLUN_BED_CAP,$A214+$B214+K$4&gt;TOTAL_BEDS_AVAILABLE,($D214+K$5)&gt;TOTAL_LABOR_HOURS_CAP,MAX(0,($D214+K$5)-PERMANENT_FIELD_LABOR_HOURS)&gt;TEMP_HOURS_CAP),"",$C214+K$6-MIN(($D214+K$5),PERMANENT_FIELD_LABOR_HOURS)*PERMANENT_HOURLY_RATE-MAX(0,($D214+K$5)-PERMANENT_FIELD_LABOR_HOURS)*TEMP_HOURLY_RATE-FIXED_SEASON_COST)</f>
        <v>25219.5671387907</v>
      </c>
      <c r="L214" s="53" t="n">
        <f aca="false">IF(OR($A214&gt;TOMATO_BED_CAP,$B214&gt;CARROT_BED_CAP,L$4&gt;MESCLUN_BED_CAP,$A214+$B214+L$4&gt;TOTAL_BEDS_AVAILABLE,($D214+L$5)&gt;TOTAL_LABOR_HOURS_CAP,MAX(0,($D214+L$5)-PERMANENT_FIELD_LABOR_HOURS)&gt;TEMP_HOURS_CAP),"",$C214+L$6-MIN(($D214+L$5),PERMANENT_FIELD_LABOR_HOURS)*PERMANENT_HOURLY_RATE-MAX(0,($D214+L$5)-PERMANENT_FIELD_LABOR_HOURS)*TEMP_HOURLY_RATE-FIXED_SEASON_COST)</f>
        <v>26145.9615869976</v>
      </c>
      <c r="M214" s="53" t="n">
        <f aca="false">IF(OR($A214&gt;TOMATO_BED_CAP,$B214&gt;CARROT_BED_CAP,M$4&gt;MESCLUN_BED_CAP,$A214+$B214+M$4&gt;TOTAL_BEDS_AVAILABLE,($D214+M$5)&gt;TOTAL_LABOR_HOURS_CAP,MAX(0,($D214+M$5)-PERMANENT_FIELD_LABOR_HOURS)&gt;TEMP_HOURS_CAP),"",$C214+M$6-MIN(($D214+M$5),PERMANENT_FIELD_LABOR_HOURS)*PERMANENT_HOURLY_RATE-MAX(0,($D214+M$5)-PERMANENT_FIELD_LABOR_HOURS)*TEMP_HOURLY_RATE-FIXED_SEASON_COST)</f>
        <v>27050.665319049</v>
      </c>
      <c r="N214" s="53" t="n">
        <f aca="false">IF(OR($A214&gt;TOMATO_BED_CAP,$B214&gt;CARROT_BED_CAP,N$4&gt;MESCLUN_BED_CAP,$A214+$B214+N$4&gt;TOTAL_BEDS_AVAILABLE,($D214+N$5)&gt;TOTAL_LABOR_HOURS_CAP,MAX(0,($D214+N$5)-PERMANENT_FIELD_LABOR_HOURS)&gt;TEMP_HOURS_CAP),"",$C214+N$6-MIN(($D214+N$5),PERMANENT_FIELD_LABOR_HOURS)*PERMANENT_HOURLY_RATE-MAX(0,($D214+N$5)-PERMANENT_FIELD_LABOR_HOURS)*TEMP_HOURLY_RATE-FIXED_SEASON_COST)</f>
        <v>27933.2756929085</v>
      </c>
      <c r="O214" s="53" t="n">
        <f aca="false">IF(OR($A214&gt;TOMATO_BED_CAP,$B214&gt;CARROT_BED_CAP,O$4&gt;MESCLUN_BED_CAP,$A214+$B214+O$4&gt;TOTAL_BEDS_AVAILABLE,($D214+O$5)&gt;TOTAL_LABOR_HOURS_CAP,MAX(0,($D214+O$5)-PERMANENT_FIELD_LABOR_HOURS)&gt;TEMP_HOURS_CAP),"",$C214+O$6-MIN(($D214+O$5),PERMANENT_FIELD_LABOR_HOURS)*PERMANENT_HOURLY_RATE-MAX(0,($D214+O$5)-PERMANENT_FIELD_LABOR_HOURS)*TEMP_HOURLY_RATE-FIXED_SEASON_COST)</f>
        <v>28793.3833896633</v>
      </c>
      <c r="P214" s="53" t="n">
        <f aca="false">IF(OR($A214&gt;TOMATO_BED_CAP,$B214&gt;CARROT_BED_CAP,P$4&gt;MESCLUN_BED_CAP,$A214+$B214+P$4&gt;TOTAL_BEDS_AVAILABLE,($D214+P$5)&gt;TOTAL_LABOR_HOURS_CAP,MAX(0,($D214+P$5)-PERMANENT_FIELD_LABOR_HOURS)&gt;TEMP_HOURS_CAP),"",$C214+P$6-MIN(($D214+P$5),PERMANENT_FIELD_LABOR_HOURS)*PERMANENT_HOURLY_RATE-MAX(0,($D214+P$5)-PERMANENT_FIELD_LABOR_HOURS)*TEMP_HOURLY_RATE-FIXED_SEASON_COST)</f>
        <v>29630.5723095147</v>
      </c>
      <c r="Q214" s="53" t="n">
        <f aca="false">IF(OR($A214&gt;TOMATO_BED_CAP,$B214&gt;CARROT_BED_CAP,Q$4&gt;MESCLUN_BED_CAP,$A214+$B214+Q$4&gt;TOTAL_BEDS_AVAILABLE,($D214+Q$5)&gt;TOTAL_LABOR_HOURS_CAP,MAX(0,($D214+Q$5)-PERMANENT_FIELD_LABOR_HOURS)&gt;TEMP_HOURS_CAP),"",$C214+Q$6-MIN(($D214+Q$5),PERMANENT_FIELD_LABOR_HOURS)*PERMANENT_HOURLY_RATE-MAX(0,($D214+Q$5)-PERMANENT_FIELD_LABOR_HOURS)*TEMP_HOURLY_RATE-FIXED_SEASON_COST)</f>
        <v>30444.4194662126</v>
      </c>
      <c r="R214" s="53" t="n">
        <f aca="false">IF(OR($A214&gt;TOMATO_BED_CAP,$B214&gt;CARROT_BED_CAP,R$4&gt;MESCLUN_BED_CAP,$A214+$B214+R$4&gt;TOTAL_BEDS_AVAILABLE,($D214+R$5)&gt;TOTAL_LABOR_HOURS_CAP,MAX(0,($D214+R$5)-PERMANENT_FIELD_LABOR_HOURS)&gt;TEMP_HOURS_CAP),"",$C214+R$6-MIN(($D214+R$5),PERMANENT_FIELD_LABOR_HOURS)*PERMANENT_HOURLY_RATE-MAX(0,($D214+R$5)-PERMANENT_FIELD_LABOR_HOURS)*TEMP_HOURLY_RATE-FIXED_SEASON_COST)</f>
        <v>31234.4948799094</v>
      </c>
      <c r="S214" s="53" t="n">
        <f aca="false">IF(OR($A214&gt;TOMATO_BED_CAP,$B214&gt;CARROT_BED_CAP,S$4&gt;MESCLUN_BED_CAP,$A214+$B214+S$4&gt;TOTAL_BEDS_AVAILABLE,($D214+S$5)&gt;TOTAL_LABOR_HOURS_CAP,MAX(0,($D214+S$5)-PERMANENT_FIELD_LABOR_HOURS)&gt;TEMP_HOURS_CAP),"",$C214+S$6-MIN(($D214+S$5),PERMANENT_FIELD_LABOR_HOURS)*PERMANENT_HOURLY_RATE-MAX(0,($D214+S$5)-PERMANENT_FIELD_LABOR_HOURS)*TEMP_HOURLY_RATE-FIXED_SEASON_COST)</f>
        <v>32000.3614684119</v>
      </c>
      <c r="T214" s="53" t="n">
        <f aca="false">IF(OR($A214&gt;TOMATO_BED_CAP,$B214&gt;CARROT_BED_CAP,T$4&gt;MESCLUN_BED_CAP,$A214+$B214+T$4&gt;TOTAL_BEDS_AVAILABLE,($D214+T$5)&gt;TOTAL_LABOR_HOURS_CAP,MAX(0,($D214+T$5)-PERMANENT_FIELD_LABOR_HOURS)&gt;TEMP_HOURS_CAP),"",$C214+T$6-MIN(($D214+T$5),PERMANENT_FIELD_LABOR_HOURS)*PERMANENT_HOURLY_RATE-MAX(0,($D214+T$5)-PERMANENT_FIELD_LABOR_HOURS)*TEMP_HOURLY_RATE-FIXED_SEASON_COST)</f>
        <v>32741.5749368067</v>
      </c>
      <c r="U214" s="53" t="n">
        <f aca="false">IF(OR($A214&gt;TOMATO_BED_CAP,$B214&gt;CARROT_BED_CAP,U$4&gt;MESCLUN_BED_CAP,$A214+$B214+U$4&gt;TOTAL_BEDS_AVAILABLE,($D214+U$5)&gt;TOTAL_LABOR_HOURS_CAP,MAX(0,($D214+U$5)-PERMANENT_FIELD_LABOR_HOURS)&gt;TEMP_HOURS_CAP),"",$C214+U$6-MIN(($D214+U$5),PERMANENT_FIELD_LABOR_HOURS)*PERMANENT_HOURLY_RATE-MAX(0,($D214+U$5)-PERMANENT_FIELD_LABOR_HOURS)*TEMP_HOURLY_RATE-FIXED_SEASON_COST)</f>
        <v>33457.6836654368</v>
      </c>
      <c r="V214" s="53" t="n">
        <f aca="false">IF(OR($A214&gt;TOMATO_BED_CAP,$B214&gt;CARROT_BED_CAP,V$4&gt;MESCLUN_BED_CAP,$A214+$B214+V$4&gt;TOTAL_BEDS_AVAILABLE,($D214+V$5)&gt;TOTAL_LABOR_HOURS_CAP,MAX(0,($D214+V$5)-PERMANENT_FIELD_LABOR_HOURS)&gt;TEMP_HOURS_CAP),"",$C214+V$6-MIN(($D214+V$5),PERMANENT_FIELD_LABOR_HOURS)*PERMANENT_HOURLY_RATE-MAX(0,($D214+V$5)-PERMANENT_FIELD_LABOR_HOURS)*TEMP_HOURLY_RATE-FIXED_SEASON_COST)</f>
        <v>34148.2285962036</v>
      </c>
      <c r="W214" s="53" t="n">
        <f aca="false">IF(OR($A214&gt;TOMATO_BED_CAP,$B214&gt;CARROT_BED_CAP,W$4&gt;MESCLUN_BED_CAP,$A214+$B214+W$4&gt;TOTAL_BEDS_AVAILABLE,($D214+W$5)&gt;TOTAL_LABOR_HOURS_CAP,MAX(0,($D214+W$5)-PERMANENT_FIELD_LABOR_HOURS)&gt;TEMP_HOURS_CAP),"",$C214+W$6-MIN(($D214+W$5),PERMANENT_FIELD_LABOR_HOURS)*PERMANENT_HOURLY_RATE-MAX(0,($D214+W$5)-PERMANENT_FIELD_LABOR_HOURS)*TEMP_HOURLY_RATE-FIXED_SEASON_COST)</f>
        <v>34812.7431171717</v>
      </c>
      <c r="X214" s="53" t="n">
        <f aca="false">IF(OR($A214&gt;TOMATO_BED_CAP,$B214&gt;CARROT_BED_CAP,X$4&gt;MESCLUN_BED_CAP,$A214+$B214+X$4&gt;TOTAL_BEDS_AVAILABLE,($D214+X$5)&gt;TOTAL_LABOR_HOURS_CAP,MAX(0,($D214+X$5)-PERMANENT_FIELD_LABOR_HOURS)&gt;TEMP_HOURS_CAP),"",$C214+X$6-MIN(($D214+X$5),PERMANENT_FIELD_LABOR_HOURS)*PERMANENT_HOURLY_RATE-MAX(0,($D214+X$5)-PERMANENT_FIELD_LABOR_HOURS)*TEMP_HOURLY_RATE-FIXED_SEASON_COST)</f>
        <v>35450.7529454506</v>
      </c>
      <c r="Y214" s="53" t="n">
        <f aca="false">IF(OR($A214&gt;TOMATO_BED_CAP,$B214&gt;CARROT_BED_CAP,Y$4&gt;MESCLUN_BED_CAP,$A214+$B214+Y$4&gt;TOTAL_BEDS_AVAILABLE,($D214+Y$5)&gt;TOTAL_LABOR_HOURS_CAP,MAX(0,($D214+Y$5)-PERMANENT_FIELD_LABOR_HOURS)&gt;TEMP_HOURS_CAP),"",$C214+Y$6-MIN(($D214+Y$5),PERMANENT_FIELD_LABOR_HOURS)*PERMANENT_HOURLY_RATE-MAX(0,($D214+Y$5)-PERMANENT_FIELD_LABOR_HOURS)*TEMP_HOURLY_RATE-FIXED_SEASON_COST)</f>
        <v>36061.7760083292</v>
      </c>
      <c r="Z214" s="53" t="n">
        <f aca="false">IF(OR($A214&gt;TOMATO_BED_CAP,$B214&gt;CARROT_BED_CAP,Z$4&gt;MESCLUN_BED_CAP,$A214+$B214+Z$4&gt;TOTAL_BEDS_AVAILABLE,($D214+Z$5)&gt;TOTAL_LABOR_HOURS_CAP,MAX(0,($D214+Z$5)-PERMANENT_FIELD_LABOR_HOURS)&gt;TEMP_HOURS_CAP),"",$C214+Z$6-MIN(($D214+Z$5),PERMANENT_FIELD_LABOR_HOURS)*PERMANENT_HOURLY_RATE-MAX(0,($D214+Z$5)-PERMANENT_FIELD_LABOR_HOURS)*TEMP_HOURLY_RATE-FIXED_SEASON_COST)</f>
        <v>36645.322322637</v>
      </c>
      <c r="AA214" s="53" t="n">
        <f aca="false">IF(OR($A214&gt;TOMATO_BED_CAP,$B214&gt;CARROT_BED_CAP,AA$4&gt;MESCLUN_BED_CAP,$A214+$B214+AA$4&gt;TOTAL_BEDS_AVAILABLE,($D214+AA$5)&gt;TOTAL_LABOR_HOURS_CAP,MAX(0,($D214+AA$5)-PERMANENT_FIELD_LABOR_HOURS)&gt;TEMP_HOURS_CAP),"",$C214+AA$6-MIN(($D214+AA$5),PERMANENT_FIELD_LABOR_HOURS)*PERMANENT_HOURLY_RATE-MAX(0,($D214+AA$5)-PERMANENT_FIELD_LABOR_HOURS)*TEMP_HOURLY_RATE-FIXED_SEASON_COST)</f>
        <v>37200.8938723059</v>
      </c>
      <c r="AB214" s="53" t="n">
        <f aca="false">IF(OR($A214&gt;TOMATO_BED_CAP,$B214&gt;CARROT_BED_CAP,AB$4&gt;MESCLUN_BED_CAP,$A214+$B214+AB$4&gt;TOTAL_BEDS_AVAILABLE,($D214+AB$5)&gt;TOTAL_LABOR_HOURS_CAP,MAX(0,($D214+AB$5)-PERMANENT_FIELD_LABOR_HOURS)&gt;TEMP_HOURS_CAP),"",$C214+AB$6-MIN(($D214+AB$5),PERMANENT_FIELD_LABOR_HOURS)*PERMANENT_HOURLY_RATE-MAX(0,($D214+AB$5)-PERMANENT_FIELD_LABOR_HOURS)*TEMP_HOURLY_RATE-FIXED_SEASON_COST)</f>
        <v>37727.9844841085</v>
      </c>
      <c r="AC214" s="53" t="n">
        <f aca="false">IF(OR($A214&gt;TOMATO_BED_CAP,$B214&gt;CARROT_BED_CAP,AC$4&gt;MESCLUN_BED_CAP,$A214+$B214+AC$4&gt;TOTAL_BEDS_AVAILABLE,($D214+AC$5)&gt;TOTAL_LABOR_HOURS_CAP,MAX(0,($D214+AC$5)-PERMANENT_FIELD_LABOR_HOURS)&gt;TEMP_HOURS_CAP),"",$C214+AC$6-MIN(($D214+AC$5),PERMANENT_FIELD_LABOR_HOURS)*PERMANENT_HOURLY_RATE-MAX(0,($D214+AC$5)-PERMANENT_FIELD_LABOR_HOURS)*TEMP_HOURLY_RATE-FIXED_SEASON_COST)</f>
        <v>38226.0797015434</v>
      </c>
      <c r="AD214" s="53" t="n">
        <f aca="false">IF(OR($A214&gt;TOMATO_BED_CAP,$B214&gt;CARROT_BED_CAP,AD$4&gt;MESCLUN_BED_CAP,$A214+$B214+AD$4&gt;TOTAL_BEDS_AVAILABLE,($D214+AD$5)&gt;TOTAL_LABOR_HOURS_CAP,MAX(0,($D214+AD$5)-PERMANENT_FIELD_LABOR_HOURS)&gt;TEMP_HOURS_CAP),"",$C214+AD$6-MIN(($D214+AD$5),PERMANENT_FIELD_LABOR_HOURS)*PERMANENT_HOURLY_RATE-MAX(0,($D214+AD$5)-PERMANENT_FIELD_LABOR_HOURS)*TEMP_HOURLY_RATE-FIXED_SEASON_COST)</f>
        <v>38694.6566568433</v>
      </c>
      <c r="AE214" s="53" t="n">
        <f aca="false">IF(OR($A214&gt;TOMATO_BED_CAP,$B214&gt;CARROT_BED_CAP,AE$4&gt;MESCLUN_BED_CAP,$A214+$B214+AE$4&gt;TOTAL_BEDS_AVAILABLE,($D214+AE$5)&gt;TOTAL_LABOR_HOURS_CAP,MAX(0,($D214+AE$5)-PERMANENT_FIELD_LABOR_HOURS)&gt;TEMP_HOURS_CAP),"",$C214+AE$6-MIN(($D214+AE$5),PERMANENT_FIELD_LABOR_HOURS)*PERMANENT_HOURLY_RATE-MAX(0,($D214+AE$5)-PERMANENT_FIELD_LABOR_HOURS)*TEMP_HOURLY_RATE-FIXED_SEASON_COST)</f>
        <v>39133.1839410772</v>
      </c>
      <c r="AF214" s="53" t="n">
        <f aca="false">IF(OR($A214&gt;TOMATO_BED_CAP,$B214&gt;CARROT_BED_CAP,AF$4&gt;MESCLUN_BED_CAP,$A214+$B214+AF$4&gt;TOTAL_BEDS_AVAILABLE,($D214+AF$5)&gt;TOTAL_LABOR_HOURS_CAP,MAX(0,($D214+AF$5)-PERMANENT_FIELD_LABOR_HOURS)&gt;TEMP_HOURS_CAP),"",$C214+AF$6-MIN(($D214+AF$5),PERMANENT_FIELD_LABOR_HOURS)*PERMANENT_HOURLY_RATE-MAX(0,($D214+AF$5)-PERMANENT_FIELD_LABOR_HOURS)*TEMP_HOURLY_RATE-FIXED_SEASON_COST)</f>
        <v>39541.1214723192</v>
      </c>
      <c r="AG214" s="53" t="n">
        <f aca="false">IF(OR($A214&gt;TOMATO_BED_CAP,$B214&gt;CARROT_BED_CAP,AG$4&gt;MESCLUN_BED_CAP,$A214+$B214+AG$4&gt;TOTAL_BEDS_AVAILABLE,($D214+AG$5)&gt;TOTAL_LABOR_HOURS_CAP,MAX(0,($D214+AG$5)-PERMANENT_FIELD_LABOR_HOURS)&gt;TEMP_HOURS_CAP),"",$C214+AG$6-MIN(($D214+AG$5),PERMANENT_FIELD_LABOR_HOURS)*PERMANENT_HOURLY_RATE-MAX(0,($D214+AG$5)-PERMANENT_FIELD_LABOR_HOURS)*TEMP_HOURLY_RATE-FIXED_SEASON_COST)</f>
        <v>39917.9203618562</v>
      </c>
      <c r="AH214" s="53" t="n">
        <f aca="false">IF(OR($A214&gt;TOMATO_BED_CAP,$B214&gt;CARROT_BED_CAP,AH$4&gt;MESCLUN_BED_CAP,$A214+$B214+AH$4&gt;TOTAL_BEDS_AVAILABLE,($D214+AH$5)&gt;TOTAL_LABOR_HOURS_CAP,MAX(0,($D214+AH$5)-PERMANENT_FIELD_LABOR_HOURS)&gt;TEMP_HOURS_CAP),"",$C214+AH$6-MIN(($D214+AH$5),PERMANENT_FIELD_LABOR_HOURS)*PERMANENT_HOURLY_RATE-MAX(0,($D214+AH$5)-PERMANENT_FIELD_LABOR_HOURS)*TEMP_HOURLY_RATE-FIXED_SEASON_COST)</f>
        <v>40263.0227784064</v>
      </c>
      <c r="AI214" s="53" t="n">
        <f aca="false">IF(OR($A214&gt;TOMATO_BED_CAP,$B214&gt;CARROT_BED_CAP,AI$4&gt;MESCLUN_BED_CAP,$A214+$B214+AI$4&gt;TOTAL_BEDS_AVAILABLE,($D214+AI$5)&gt;TOTAL_LABOR_HOURS_CAP,MAX(0,($D214+AI$5)-PERMANENT_FIELD_LABOR_HOURS)&gt;TEMP_HOURS_CAP),"",$C214+AI$6-MIN(($D214+AI$5),PERMANENT_FIELD_LABOR_HOURS)*PERMANENT_HOURLY_RATE-MAX(0,($D214+AI$5)-PERMANENT_FIELD_LABOR_HOURS)*TEMP_HOURLY_RATE-FIXED_SEASON_COST)</f>
        <v>40575.8618103187</v>
      </c>
      <c r="AJ214" s="53" t="n">
        <f aca="false">IF(OR($A214&gt;TOMATO_BED_CAP,$B214&gt;CARROT_BED_CAP,AJ$4&gt;MESCLUN_BED_CAP,$A214+$B214+AJ$4&gt;TOTAL_BEDS_AVAILABLE,($D214+AJ$5)&gt;TOTAL_LABOR_HOURS_CAP,MAX(0,($D214+AJ$5)-PERMANENT_FIELD_LABOR_HOURS)&gt;TEMP_HOURS_CAP),"",$C214+AJ$6-MIN(($D214+AJ$5),PERMANENT_FIELD_LABOR_HOURS)*PERMANENT_HOURLY_RATE-MAX(0,($D214+AJ$5)-PERMANENT_FIELD_LABOR_HOURS)*TEMP_HOURLY_RATE-FIXED_SEASON_COST)</f>
        <v>40855.8613257244</v>
      </c>
    </row>
    <row r="215" customFormat="false" ht="15" hidden="false" customHeight="false" outlineLevel="0" collapsed="false">
      <c r="A215" s="21" t="n">
        <f aca="false">INT((ROW()-ROW($A$8))/(20+1))</f>
        <v>9</v>
      </c>
      <c r="B215" s="21" t="n">
        <f aca="false">MOD(ROW()-ROW($A$8),20+1)</f>
        <v>18</v>
      </c>
      <c r="C215" s="13" t="n">
        <f aca="false">A215*(TOMATO_REVENUE_PER_BED-TOMATO_FERTILIZER_PER_BED)+B215*(CARROT_REVENUE_PER_BED-CARROT_FERTILIZER_PER_BED)</f>
        <v>101052</v>
      </c>
      <c r="D215" s="14" t="n">
        <f aca="false">INDEX(TOMATO_SCHED_LABOR_HRS,A215+1)+INDEX(CARROT_SCHED_LABOR_HRS,B215+1)</f>
        <v>2751.81645098849</v>
      </c>
      <c r="E215" s="13" t="n">
        <f aca="false">IF(COUNT(F215:AJ215)=0,"",MAX(F215:AJ215))</f>
        <v>41361.2557057124</v>
      </c>
      <c r="F215" s="53" t="n">
        <f aca="false">IF(OR($A215&gt;TOMATO_BED_CAP,$B215&gt;CARROT_BED_CAP,F$4&gt;MESCLUN_BED_CAP,$A215+$B215+F$4&gt;TOTAL_BEDS_AVAILABLE,($D215+F$5)&gt;TOTAL_LABOR_HOURS_CAP,MAX(0,($D215+F$5)-PERMANENT_FIELD_LABOR_HOURS)&gt;TEMP_HOURS_CAP),"",$C215+F$6-MIN(($D215+F$5),PERMANENT_FIELD_LABOR_HOURS)*PERMANENT_HOURLY_RATE-MAX(0,($D215+F$5)-PERMANENT_FIELD_LABOR_HOURS)*TEMP_HOURLY_RATE-FIXED_SEASON_COST)</f>
        <v>20781.2664108398</v>
      </c>
      <c r="G215" s="53" t="n">
        <f aca="false">IF(OR($A215&gt;TOMATO_BED_CAP,$B215&gt;CARROT_BED_CAP,G$4&gt;MESCLUN_BED_CAP,$A215+$B215+G$4&gt;TOTAL_BEDS_AVAILABLE,($D215+G$5)&gt;TOTAL_LABOR_HOURS_CAP,MAX(0,($D215+G$5)-PERMANENT_FIELD_LABOR_HOURS)&gt;TEMP_HOURS_CAP),"",$C215+G$6-MIN(($D215+G$5),PERMANENT_FIELD_LABOR_HOURS)*PERMANENT_HOURLY_RATE-MAX(0,($D215+G$5)-PERMANENT_FIELD_LABOR_HOURS)*TEMP_HOURLY_RATE-FIXED_SEASON_COST)</f>
        <v>21810.3014108398</v>
      </c>
      <c r="H215" s="53" t="n">
        <f aca="false">IF(OR($A215&gt;TOMATO_BED_CAP,$B215&gt;CARROT_BED_CAP,H$4&gt;MESCLUN_BED_CAP,$A215+$B215+H$4&gt;TOTAL_BEDS_AVAILABLE,($D215+H$5)&gt;TOTAL_LABOR_HOURS_CAP,MAX(0,($D215+H$5)-PERMANENT_FIELD_LABOR_HOURS)&gt;TEMP_HOURS_CAP),"",$C215+H$6-MIN(($D215+H$5),PERMANENT_FIELD_LABOR_HOURS)*PERMANENT_HOURLY_RATE-MAX(0,($D215+H$5)-PERMANENT_FIELD_LABOR_HOURS)*TEMP_HOURLY_RATE-FIXED_SEASON_COST)</f>
        <v>22819.5622858398</v>
      </c>
      <c r="I215" s="53" t="n">
        <f aca="false">IF(OR($A215&gt;TOMATO_BED_CAP,$B215&gt;CARROT_BED_CAP,I$4&gt;MESCLUN_BED_CAP,$A215+$B215+I$4&gt;TOTAL_BEDS_AVAILABLE,($D215+I$5)&gt;TOTAL_LABOR_HOURS_CAP,MAX(0,($D215+I$5)-PERMANENT_FIELD_LABOR_HOURS)&gt;TEMP_HOURS_CAP),"",$C215+I$6-MIN(($D215+I$5),PERMANENT_FIELD_LABOR_HOURS)*PERMANENT_HOURLY_RATE-MAX(0,($D215+I$5)-PERMANENT_FIELD_LABOR_HOURS)*TEMP_HOURLY_RATE-FIXED_SEASON_COST)</f>
        <v>23808.6782709961</v>
      </c>
      <c r="J215" s="53" t="n">
        <f aca="false">IF(OR($A215&gt;TOMATO_BED_CAP,$B215&gt;CARROT_BED_CAP,J$4&gt;MESCLUN_BED_CAP,$A215+$B215+J$4&gt;TOTAL_BEDS_AVAILABLE,($D215+J$5)&gt;TOTAL_LABOR_HOURS_CAP,MAX(0,($D215+J$5)-PERMANENT_FIELD_LABOR_HOURS)&gt;TEMP_HOURS_CAP),"",$C215+J$6-MIN(($D215+J$5),PERMANENT_FIELD_LABOR_HOURS)*PERMANENT_HOURLY_RATE-MAX(0,($D215+J$5)-PERMANENT_FIELD_LABOR_HOURS)*TEMP_HOURLY_RATE-FIXED_SEASON_COST)</f>
        <v>24777.2724220508</v>
      </c>
      <c r="K215" s="53" t="n">
        <f aca="false">IF(OR($A215&gt;TOMATO_BED_CAP,$B215&gt;CARROT_BED_CAP,K$4&gt;MESCLUN_BED_CAP,$A215+$B215+K$4&gt;TOTAL_BEDS_AVAILABLE,($D215+K$5)&gt;TOTAL_LABOR_HOURS_CAP,MAX(0,($D215+K$5)-PERMANENT_FIELD_LABOR_HOURS)&gt;TEMP_HOURS_CAP),"",$C215+K$6-MIN(($D215+K$5),PERMANENT_FIELD_LABOR_HOURS)*PERMANENT_HOURLY_RATE-MAX(0,($D215+K$5)-PERMANENT_FIELD_LABOR_HOURS)*TEMP_HOURLY_RATE-FIXED_SEASON_COST)</f>
        <v>25724.9615187787</v>
      </c>
      <c r="L215" s="53" t="n">
        <f aca="false">IF(OR($A215&gt;TOMATO_BED_CAP,$B215&gt;CARROT_BED_CAP,L$4&gt;MESCLUN_BED_CAP,$A215+$B215+L$4&gt;TOTAL_BEDS_AVAILABLE,($D215+L$5)&gt;TOTAL_LABOR_HOURS_CAP,MAX(0,($D215+L$5)-PERMANENT_FIELD_LABOR_HOURS)&gt;TEMP_HOURS_CAP),"",$C215+L$6-MIN(($D215+L$5),PERMANENT_FIELD_LABOR_HOURS)*PERMANENT_HOURLY_RATE-MAX(0,($D215+L$5)-PERMANENT_FIELD_LABOR_HOURS)*TEMP_HOURLY_RATE-FIXED_SEASON_COST)</f>
        <v>26651.3559669855</v>
      </c>
      <c r="M215" s="53" t="n">
        <f aca="false">IF(OR($A215&gt;TOMATO_BED_CAP,$B215&gt;CARROT_BED_CAP,M$4&gt;MESCLUN_BED_CAP,$A215+$B215+M$4&gt;TOTAL_BEDS_AVAILABLE,($D215+M$5)&gt;TOTAL_LABOR_HOURS_CAP,MAX(0,($D215+M$5)-PERMANENT_FIELD_LABOR_HOURS)&gt;TEMP_HOURS_CAP),"",$C215+M$6-MIN(($D215+M$5),PERMANENT_FIELD_LABOR_HOURS)*PERMANENT_HOURLY_RATE-MAX(0,($D215+M$5)-PERMANENT_FIELD_LABOR_HOURS)*TEMP_HOURLY_RATE-FIXED_SEASON_COST)</f>
        <v>27556.0596990369</v>
      </c>
      <c r="N215" s="53" t="n">
        <f aca="false">IF(OR($A215&gt;TOMATO_BED_CAP,$B215&gt;CARROT_BED_CAP,N$4&gt;MESCLUN_BED_CAP,$A215+$B215+N$4&gt;TOTAL_BEDS_AVAILABLE,($D215+N$5)&gt;TOTAL_LABOR_HOURS_CAP,MAX(0,($D215+N$5)-PERMANENT_FIELD_LABOR_HOURS)&gt;TEMP_HOURS_CAP),"",$C215+N$6-MIN(($D215+N$5),PERMANENT_FIELD_LABOR_HOURS)*PERMANENT_HOURLY_RATE-MAX(0,($D215+N$5)-PERMANENT_FIELD_LABOR_HOURS)*TEMP_HOURLY_RATE-FIXED_SEASON_COST)</f>
        <v>28438.6700728965</v>
      </c>
      <c r="O215" s="53" t="n">
        <f aca="false">IF(OR($A215&gt;TOMATO_BED_CAP,$B215&gt;CARROT_BED_CAP,O$4&gt;MESCLUN_BED_CAP,$A215+$B215+O$4&gt;TOTAL_BEDS_AVAILABLE,($D215+O$5)&gt;TOTAL_LABOR_HOURS_CAP,MAX(0,($D215+O$5)-PERMANENT_FIELD_LABOR_HOURS)&gt;TEMP_HOURS_CAP),"",$C215+O$6-MIN(($D215+O$5),PERMANENT_FIELD_LABOR_HOURS)*PERMANENT_HOURLY_RATE-MAX(0,($D215+O$5)-PERMANENT_FIELD_LABOR_HOURS)*TEMP_HOURLY_RATE-FIXED_SEASON_COST)</f>
        <v>29298.7777696513</v>
      </c>
      <c r="P215" s="53" t="n">
        <f aca="false">IF(OR($A215&gt;TOMATO_BED_CAP,$B215&gt;CARROT_BED_CAP,P$4&gt;MESCLUN_BED_CAP,$A215+$B215+P$4&gt;TOTAL_BEDS_AVAILABLE,($D215+P$5)&gt;TOTAL_LABOR_HOURS_CAP,MAX(0,($D215+P$5)-PERMANENT_FIELD_LABOR_HOURS)&gt;TEMP_HOURS_CAP),"",$C215+P$6-MIN(($D215+P$5),PERMANENT_FIELD_LABOR_HOURS)*PERMANENT_HOURLY_RATE-MAX(0,($D215+P$5)-PERMANENT_FIELD_LABOR_HOURS)*TEMP_HOURLY_RATE-FIXED_SEASON_COST)</f>
        <v>30135.9666895027</v>
      </c>
      <c r="Q215" s="53" t="n">
        <f aca="false">IF(OR($A215&gt;TOMATO_BED_CAP,$B215&gt;CARROT_BED_CAP,Q$4&gt;MESCLUN_BED_CAP,$A215+$B215+Q$4&gt;TOTAL_BEDS_AVAILABLE,($D215+Q$5)&gt;TOTAL_LABOR_HOURS_CAP,MAX(0,($D215+Q$5)-PERMANENT_FIELD_LABOR_HOURS)&gt;TEMP_HOURS_CAP),"",$C215+Q$6-MIN(($D215+Q$5),PERMANENT_FIELD_LABOR_HOURS)*PERMANENT_HOURLY_RATE-MAX(0,($D215+Q$5)-PERMANENT_FIELD_LABOR_HOURS)*TEMP_HOURLY_RATE-FIXED_SEASON_COST)</f>
        <v>30949.8138462006</v>
      </c>
      <c r="R215" s="53" t="n">
        <f aca="false">IF(OR($A215&gt;TOMATO_BED_CAP,$B215&gt;CARROT_BED_CAP,R$4&gt;MESCLUN_BED_CAP,$A215+$B215+R$4&gt;TOTAL_BEDS_AVAILABLE,($D215+R$5)&gt;TOTAL_LABOR_HOURS_CAP,MAX(0,($D215+R$5)-PERMANENT_FIELD_LABOR_HOURS)&gt;TEMP_HOURS_CAP),"",$C215+R$6-MIN(($D215+R$5),PERMANENT_FIELD_LABOR_HOURS)*PERMANENT_HOURLY_RATE-MAX(0,($D215+R$5)-PERMANENT_FIELD_LABOR_HOURS)*TEMP_HOURLY_RATE-FIXED_SEASON_COST)</f>
        <v>31739.8892598974</v>
      </c>
      <c r="S215" s="53" t="n">
        <f aca="false">IF(OR($A215&gt;TOMATO_BED_CAP,$B215&gt;CARROT_BED_CAP,S$4&gt;MESCLUN_BED_CAP,$A215+$B215+S$4&gt;TOTAL_BEDS_AVAILABLE,($D215+S$5)&gt;TOTAL_LABOR_HOURS_CAP,MAX(0,($D215+S$5)-PERMANENT_FIELD_LABOR_HOURS)&gt;TEMP_HOURS_CAP),"",$C215+S$6-MIN(($D215+S$5),PERMANENT_FIELD_LABOR_HOURS)*PERMANENT_HOURLY_RATE-MAX(0,($D215+S$5)-PERMANENT_FIELD_LABOR_HOURS)*TEMP_HOURLY_RATE-FIXED_SEASON_COST)</f>
        <v>32505.7558483998</v>
      </c>
      <c r="T215" s="53" t="n">
        <f aca="false">IF(OR($A215&gt;TOMATO_BED_CAP,$B215&gt;CARROT_BED_CAP,T$4&gt;MESCLUN_BED_CAP,$A215+$B215+T$4&gt;TOTAL_BEDS_AVAILABLE,($D215+T$5)&gt;TOTAL_LABOR_HOURS_CAP,MAX(0,($D215+T$5)-PERMANENT_FIELD_LABOR_HOURS)&gt;TEMP_HOURS_CAP),"",$C215+T$6-MIN(($D215+T$5),PERMANENT_FIELD_LABOR_HOURS)*PERMANENT_HOURLY_RATE-MAX(0,($D215+T$5)-PERMANENT_FIELD_LABOR_HOURS)*TEMP_HOURLY_RATE-FIXED_SEASON_COST)</f>
        <v>33246.9693167947</v>
      </c>
      <c r="U215" s="53" t="n">
        <f aca="false">IF(OR($A215&gt;TOMATO_BED_CAP,$B215&gt;CARROT_BED_CAP,U$4&gt;MESCLUN_BED_CAP,$A215+$B215+U$4&gt;TOTAL_BEDS_AVAILABLE,($D215+U$5)&gt;TOTAL_LABOR_HOURS_CAP,MAX(0,($D215+U$5)-PERMANENT_FIELD_LABOR_HOURS)&gt;TEMP_HOURS_CAP),"",$C215+U$6-MIN(($D215+U$5),PERMANENT_FIELD_LABOR_HOURS)*PERMANENT_HOURLY_RATE-MAX(0,($D215+U$5)-PERMANENT_FIELD_LABOR_HOURS)*TEMP_HOURLY_RATE-FIXED_SEASON_COST)</f>
        <v>33963.0780454248</v>
      </c>
      <c r="V215" s="53" t="n">
        <f aca="false">IF(OR($A215&gt;TOMATO_BED_CAP,$B215&gt;CARROT_BED_CAP,V$4&gt;MESCLUN_BED_CAP,$A215+$B215+V$4&gt;TOTAL_BEDS_AVAILABLE,($D215+V$5)&gt;TOTAL_LABOR_HOURS_CAP,MAX(0,($D215+V$5)-PERMANENT_FIELD_LABOR_HOURS)&gt;TEMP_HOURS_CAP),"",$C215+V$6-MIN(($D215+V$5),PERMANENT_FIELD_LABOR_HOURS)*PERMANENT_HOURLY_RATE-MAX(0,($D215+V$5)-PERMANENT_FIELD_LABOR_HOURS)*TEMP_HOURLY_RATE-FIXED_SEASON_COST)</f>
        <v>34653.6229761916</v>
      </c>
      <c r="W215" s="53" t="n">
        <f aca="false">IF(OR($A215&gt;TOMATO_BED_CAP,$B215&gt;CARROT_BED_CAP,W$4&gt;MESCLUN_BED_CAP,$A215+$B215+W$4&gt;TOTAL_BEDS_AVAILABLE,($D215+W$5)&gt;TOTAL_LABOR_HOURS_CAP,MAX(0,($D215+W$5)-PERMANENT_FIELD_LABOR_HOURS)&gt;TEMP_HOURS_CAP),"",$C215+W$6-MIN(($D215+W$5),PERMANENT_FIELD_LABOR_HOURS)*PERMANENT_HOURLY_RATE-MAX(0,($D215+W$5)-PERMANENT_FIELD_LABOR_HOURS)*TEMP_HOURLY_RATE-FIXED_SEASON_COST)</f>
        <v>35318.1374971596</v>
      </c>
      <c r="X215" s="53" t="n">
        <f aca="false">IF(OR($A215&gt;TOMATO_BED_CAP,$B215&gt;CARROT_BED_CAP,X$4&gt;MESCLUN_BED_CAP,$A215+$B215+X$4&gt;TOTAL_BEDS_AVAILABLE,($D215+X$5)&gt;TOTAL_LABOR_HOURS_CAP,MAX(0,($D215+X$5)-PERMANENT_FIELD_LABOR_HOURS)&gt;TEMP_HOURS_CAP),"",$C215+X$6-MIN(($D215+X$5),PERMANENT_FIELD_LABOR_HOURS)*PERMANENT_HOURLY_RATE-MAX(0,($D215+X$5)-PERMANENT_FIELD_LABOR_HOURS)*TEMP_HOURLY_RATE-FIXED_SEASON_COST)</f>
        <v>35956.1473254385</v>
      </c>
      <c r="Y215" s="53" t="n">
        <f aca="false">IF(OR($A215&gt;TOMATO_BED_CAP,$B215&gt;CARROT_BED_CAP,Y$4&gt;MESCLUN_BED_CAP,$A215+$B215+Y$4&gt;TOTAL_BEDS_AVAILABLE,($D215+Y$5)&gt;TOTAL_LABOR_HOURS_CAP,MAX(0,($D215+Y$5)-PERMANENT_FIELD_LABOR_HOURS)&gt;TEMP_HOURS_CAP),"",$C215+Y$6-MIN(($D215+Y$5),PERMANENT_FIELD_LABOR_HOURS)*PERMANENT_HOURLY_RATE-MAX(0,($D215+Y$5)-PERMANENT_FIELD_LABOR_HOURS)*TEMP_HOURLY_RATE-FIXED_SEASON_COST)</f>
        <v>36567.1703883172</v>
      </c>
      <c r="Z215" s="53" t="n">
        <f aca="false">IF(OR($A215&gt;TOMATO_BED_CAP,$B215&gt;CARROT_BED_CAP,Z$4&gt;MESCLUN_BED_CAP,$A215+$B215+Z$4&gt;TOTAL_BEDS_AVAILABLE,($D215+Z$5)&gt;TOTAL_LABOR_HOURS_CAP,MAX(0,($D215+Z$5)-PERMANENT_FIELD_LABOR_HOURS)&gt;TEMP_HOURS_CAP),"",$C215+Z$6-MIN(($D215+Z$5),PERMANENT_FIELD_LABOR_HOURS)*PERMANENT_HOURLY_RATE-MAX(0,($D215+Z$5)-PERMANENT_FIELD_LABOR_HOURS)*TEMP_HOURLY_RATE-FIXED_SEASON_COST)</f>
        <v>37150.7167026249</v>
      </c>
      <c r="AA215" s="53" t="n">
        <f aca="false">IF(OR($A215&gt;TOMATO_BED_CAP,$B215&gt;CARROT_BED_CAP,AA$4&gt;MESCLUN_BED_CAP,$A215+$B215+AA$4&gt;TOTAL_BEDS_AVAILABLE,($D215+AA$5)&gt;TOTAL_LABOR_HOURS_CAP,MAX(0,($D215+AA$5)-PERMANENT_FIELD_LABOR_HOURS)&gt;TEMP_HOURS_CAP),"",$C215+AA$6-MIN(($D215+AA$5),PERMANENT_FIELD_LABOR_HOURS)*PERMANENT_HOURLY_RATE-MAX(0,($D215+AA$5)-PERMANENT_FIELD_LABOR_HOURS)*TEMP_HOURLY_RATE-FIXED_SEASON_COST)</f>
        <v>37706.2882522939</v>
      </c>
      <c r="AB215" s="53" t="n">
        <f aca="false">IF(OR($A215&gt;TOMATO_BED_CAP,$B215&gt;CARROT_BED_CAP,AB$4&gt;MESCLUN_BED_CAP,$A215+$B215+AB$4&gt;TOTAL_BEDS_AVAILABLE,($D215+AB$5)&gt;TOTAL_LABOR_HOURS_CAP,MAX(0,($D215+AB$5)-PERMANENT_FIELD_LABOR_HOURS)&gt;TEMP_HOURS_CAP),"",$C215+AB$6-MIN(($D215+AB$5),PERMANENT_FIELD_LABOR_HOURS)*PERMANENT_HOURLY_RATE-MAX(0,($D215+AB$5)-PERMANENT_FIELD_LABOR_HOURS)*TEMP_HOURLY_RATE-FIXED_SEASON_COST)</f>
        <v>38233.3788640964</v>
      </c>
      <c r="AC215" s="53" t="n">
        <f aca="false">IF(OR($A215&gt;TOMATO_BED_CAP,$B215&gt;CARROT_BED_CAP,AC$4&gt;MESCLUN_BED_CAP,$A215+$B215+AC$4&gt;TOTAL_BEDS_AVAILABLE,($D215+AC$5)&gt;TOTAL_LABOR_HOURS_CAP,MAX(0,($D215+AC$5)-PERMANENT_FIELD_LABOR_HOURS)&gt;TEMP_HOURS_CAP),"",$C215+AC$6-MIN(($D215+AC$5),PERMANENT_FIELD_LABOR_HOURS)*PERMANENT_HOURLY_RATE-MAX(0,($D215+AC$5)-PERMANENT_FIELD_LABOR_HOURS)*TEMP_HOURLY_RATE-FIXED_SEASON_COST)</f>
        <v>38731.4740815313</v>
      </c>
      <c r="AD215" s="53" t="n">
        <f aca="false">IF(OR($A215&gt;TOMATO_BED_CAP,$B215&gt;CARROT_BED_CAP,AD$4&gt;MESCLUN_BED_CAP,$A215+$B215+AD$4&gt;TOTAL_BEDS_AVAILABLE,($D215+AD$5)&gt;TOTAL_LABOR_HOURS_CAP,MAX(0,($D215+AD$5)-PERMANENT_FIELD_LABOR_HOURS)&gt;TEMP_HOURS_CAP),"",$C215+AD$6-MIN(($D215+AD$5),PERMANENT_FIELD_LABOR_HOURS)*PERMANENT_HOURLY_RATE-MAX(0,($D215+AD$5)-PERMANENT_FIELD_LABOR_HOURS)*TEMP_HOURLY_RATE-FIXED_SEASON_COST)</f>
        <v>39200.0510368313</v>
      </c>
      <c r="AE215" s="53" t="n">
        <f aca="false">IF(OR($A215&gt;TOMATO_BED_CAP,$B215&gt;CARROT_BED_CAP,AE$4&gt;MESCLUN_BED_CAP,$A215+$B215+AE$4&gt;TOTAL_BEDS_AVAILABLE,($D215+AE$5)&gt;TOTAL_LABOR_HOURS_CAP,MAX(0,($D215+AE$5)-PERMANENT_FIELD_LABOR_HOURS)&gt;TEMP_HOURS_CAP),"",$C215+AE$6-MIN(($D215+AE$5),PERMANENT_FIELD_LABOR_HOURS)*PERMANENT_HOURLY_RATE-MAX(0,($D215+AE$5)-PERMANENT_FIELD_LABOR_HOURS)*TEMP_HOURLY_RATE-FIXED_SEASON_COST)</f>
        <v>39638.5783210652</v>
      </c>
      <c r="AF215" s="53" t="n">
        <f aca="false">IF(OR($A215&gt;TOMATO_BED_CAP,$B215&gt;CARROT_BED_CAP,AF$4&gt;MESCLUN_BED_CAP,$A215+$B215+AF$4&gt;TOTAL_BEDS_AVAILABLE,($D215+AF$5)&gt;TOTAL_LABOR_HOURS_CAP,MAX(0,($D215+AF$5)-PERMANENT_FIELD_LABOR_HOURS)&gt;TEMP_HOURS_CAP),"",$C215+AF$6-MIN(($D215+AF$5),PERMANENT_FIELD_LABOR_HOURS)*PERMANENT_HOURLY_RATE-MAX(0,($D215+AF$5)-PERMANENT_FIELD_LABOR_HOURS)*TEMP_HOURLY_RATE-FIXED_SEASON_COST)</f>
        <v>40046.5158523071</v>
      </c>
      <c r="AG215" s="53" t="n">
        <f aca="false">IF(OR($A215&gt;TOMATO_BED_CAP,$B215&gt;CARROT_BED_CAP,AG$4&gt;MESCLUN_BED_CAP,$A215+$B215+AG$4&gt;TOTAL_BEDS_AVAILABLE,($D215+AG$5)&gt;TOTAL_LABOR_HOURS_CAP,MAX(0,($D215+AG$5)-PERMANENT_FIELD_LABOR_HOURS)&gt;TEMP_HOURS_CAP),"",$C215+AG$6-MIN(($D215+AG$5),PERMANENT_FIELD_LABOR_HOURS)*PERMANENT_HOURLY_RATE-MAX(0,($D215+AG$5)-PERMANENT_FIELD_LABOR_HOURS)*TEMP_HOURLY_RATE-FIXED_SEASON_COST)</f>
        <v>40423.3147418442</v>
      </c>
      <c r="AH215" s="53" t="n">
        <f aca="false">IF(OR($A215&gt;TOMATO_BED_CAP,$B215&gt;CARROT_BED_CAP,AH$4&gt;MESCLUN_BED_CAP,$A215+$B215+AH$4&gt;TOTAL_BEDS_AVAILABLE,($D215+AH$5)&gt;TOTAL_LABOR_HOURS_CAP,MAX(0,($D215+AH$5)-PERMANENT_FIELD_LABOR_HOURS)&gt;TEMP_HOURS_CAP),"",$C215+AH$6-MIN(($D215+AH$5),PERMANENT_FIELD_LABOR_HOURS)*PERMANENT_HOURLY_RATE-MAX(0,($D215+AH$5)-PERMANENT_FIELD_LABOR_HOURS)*TEMP_HOURLY_RATE-FIXED_SEASON_COST)</f>
        <v>40768.4171583944</v>
      </c>
      <c r="AI215" s="53" t="n">
        <f aca="false">IF(OR($A215&gt;TOMATO_BED_CAP,$B215&gt;CARROT_BED_CAP,AI$4&gt;MESCLUN_BED_CAP,$A215+$B215+AI$4&gt;TOTAL_BEDS_AVAILABLE,($D215+AI$5)&gt;TOTAL_LABOR_HOURS_CAP,MAX(0,($D215+AI$5)-PERMANENT_FIELD_LABOR_HOURS)&gt;TEMP_HOURS_CAP),"",$C215+AI$6-MIN(($D215+AI$5),PERMANENT_FIELD_LABOR_HOURS)*PERMANENT_HOURLY_RATE-MAX(0,($D215+AI$5)-PERMANENT_FIELD_LABOR_HOURS)*TEMP_HOURLY_RATE-FIXED_SEASON_COST)</f>
        <v>41081.2561903066</v>
      </c>
      <c r="AJ215" s="53" t="n">
        <f aca="false">IF(OR($A215&gt;TOMATO_BED_CAP,$B215&gt;CARROT_BED_CAP,AJ$4&gt;MESCLUN_BED_CAP,$A215+$B215+AJ$4&gt;TOTAL_BEDS_AVAILABLE,($D215+AJ$5)&gt;TOTAL_LABOR_HOURS_CAP,MAX(0,($D215+AJ$5)-PERMANENT_FIELD_LABOR_HOURS)&gt;TEMP_HOURS_CAP),"",$C215+AJ$6-MIN(($D215+AJ$5),PERMANENT_FIELD_LABOR_HOURS)*PERMANENT_HOURLY_RATE-MAX(0,($D215+AJ$5)-PERMANENT_FIELD_LABOR_HOURS)*TEMP_HOURLY_RATE-FIXED_SEASON_COST)</f>
        <v>41361.2557057124</v>
      </c>
    </row>
    <row r="216" customFormat="false" ht="15" hidden="false" customHeight="false" outlineLevel="0" collapsed="false">
      <c r="A216" s="21" t="n">
        <f aca="false">INT((ROW()-ROW($A$8))/(20+1))</f>
        <v>9</v>
      </c>
      <c r="B216" s="21" t="n">
        <f aca="false">MOD(ROW()-ROW($A$8),20+1)</f>
        <v>19</v>
      </c>
      <c r="C216" s="13" t="n">
        <f aca="false">A216*(TOMATO_REVENUE_PER_BED-TOMATO_FERTILIZER_PER_BED)+B216*(CARROT_REVENUE_PER_BED-CARROT_FERTILIZER_PER_BED)</f>
        <v>102706</v>
      </c>
      <c r="D216" s="14" t="n">
        <f aca="false">INDEX(TOMATO_SCHED_LABOR_HRS,A216+1)+INDEX(CARROT_SCHED_LABOR_HRS,B216+1)</f>
        <v>2820.8037432877</v>
      </c>
      <c r="E216" s="13" t="n">
        <f aca="false">IF(COUNT(F216:AJ216)=0,"",MAX(F216:AJ216))</f>
        <v>41817.6363113981</v>
      </c>
      <c r="F216" s="53" t="n">
        <f aca="false">IF(OR($A216&gt;TOMATO_BED_CAP,$B216&gt;CARROT_BED_CAP,F$4&gt;MESCLUN_BED_CAP,$A216+$B216+F$4&gt;TOTAL_BEDS_AVAILABLE,($D216+F$5)&gt;TOTAL_LABOR_HOURS_CAP,MAX(0,($D216+F$5)-PERMANENT_FIELD_LABOR_HOURS)&gt;TEMP_HOURS_CAP),"",$C216+F$6-MIN(($D216+F$5),PERMANENT_FIELD_LABOR_HOURS)*PERMANENT_HOURLY_RATE-MAX(0,($D216+F$5)-PERMANENT_FIELD_LABOR_HOURS)*TEMP_HOURLY_RATE-FIXED_SEASON_COST)</f>
        <v>21237.6470165256</v>
      </c>
      <c r="G216" s="53" t="n">
        <f aca="false">IF(OR($A216&gt;TOMATO_BED_CAP,$B216&gt;CARROT_BED_CAP,G$4&gt;MESCLUN_BED_CAP,$A216+$B216+G$4&gt;TOTAL_BEDS_AVAILABLE,($D216+G$5)&gt;TOTAL_LABOR_HOURS_CAP,MAX(0,($D216+G$5)-PERMANENT_FIELD_LABOR_HOURS)&gt;TEMP_HOURS_CAP),"",$C216+G$6-MIN(($D216+G$5),PERMANENT_FIELD_LABOR_HOURS)*PERMANENT_HOURLY_RATE-MAX(0,($D216+G$5)-PERMANENT_FIELD_LABOR_HOURS)*TEMP_HOURLY_RATE-FIXED_SEASON_COST)</f>
        <v>22266.6820165256</v>
      </c>
      <c r="H216" s="53" t="n">
        <f aca="false">IF(OR($A216&gt;TOMATO_BED_CAP,$B216&gt;CARROT_BED_CAP,H$4&gt;MESCLUN_BED_CAP,$A216+$B216+H$4&gt;TOTAL_BEDS_AVAILABLE,($D216+H$5)&gt;TOTAL_LABOR_HOURS_CAP,MAX(0,($D216+H$5)-PERMANENT_FIELD_LABOR_HOURS)&gt;TEMP_HOURS_CAP),"",$C216+H$6-MIN(($D216+H$5),PERMANENT_FIELD_LABOR_HOURS)*PERMANENT_HOURLY_RATE-MAX(0,($D216+H$5)-PERMANENT_FIELD_LABOR_HOURS)*TEMP_HOURLY_RATE-FIXED_SEASON_COST)</f>
        <v>23275.9428915256</v>
      </c>
      <c r="I216" s="53" t="n">
        <f aca="false">IF(OR($A216&gt;TOMATO_BED_CAP,$B216&gt;CARROT_BED_CAP,I$4&gt;MESCLUN_BED_CAP,$A216+$B216+I$4&gt;TOTAL_BEDS_AVAILABLE,($D216+I$5)&gt;TOTAL_LABOR_HOURS_CAP,MAX(0,($D216+I$5)-PERMANENT_FIELD_LABOR_HOURS)&gt;TEMP_HOURS_CAP),"",$C216+I$6-MIN(($D216+I$5),PERMANENT_FIELD_LABOR_HOURS)*PERMANENT_HOURLY_RATE-MAX(0,($D216+I$5)-PERMANENT_FIELD_LABOR_HOURS)*TEMP_HOURLY_RATE-FIXED_SEASON_COST)</f>
        <v>24265.0588766818</v>
      </c>
      <c r="J216" s="53" t="n">
        <f aca="false">IF(OR($A216&gt;TOMATO_BED_CAP,$B216&gt;CARROT_BED_CAP,J$4&gt;MESCLUN_BED_CAP,$A216+$B216+J$4&gt;TOTAL_BEDS_AVAILABLE,($D216+J$5)&gt;TOTAL_LABOR_HOURS_CAP,MAX(0,($D216+J$5)-PERMANENT_FIELD_LABOR_HOURS)&gt;TEMP_HOURS_CAP),"",$C216+J$6-MIN(($D216+J$5),PERMANENT_FIELD_LABOR_HOURS)*PERMANENT_HOURLY_RATE-MAX(0,($D216+J$5)-PERMANENT_FIELD_LABOR_HOURS)*TEMP_HOURLY_RATE-FIXED_SEASON_COST)</f>
        <v>25233.6530277365</v>
      </c>
      <c r="K216" s="53" t="n">
        <f aca="false">IF(OR($A216&gt;TOMATO_BED_CAP,$B216&gt;CARROT_BED_CAP,K$4&gt;MESCLUN_BED_CAP,$A216+$B216+K$4&gt;TOTAL_BEDS_AVAILABLE,($D216+K$5)&gt;TOTAL_LABOR_HOURS_CAP,MAX(0,($D216+K$5)-PERMANENT_FIELD_LABOR_HOURS)&gt;TEMP_HOURS_CAP),"",$C216+K$6-MIN(($D216+K$5),PERMANENT_FIELD_LABOR_HOURS)*PERMANENT_HOURLY_RATE-MAX(0,($D216+K$5)-PERMANENT_FIELD_LABOR_HOURS)*TEMP_HOURLY_RATE-FIXED_SEASON_COST)</f>
        <v>26181.3421244644</v>
      </c>
      <c r="L216" s="53" t="n">
        <f aca="false">IF(OR($A216&gt;TOMATO_BED_CAP,$B216&gt;CARROT_BED_CAP,L$4&gt;MESCLUN_BED_CAP,$A216+$B216+L$4&gt;TOTAL_BEDS_AVAILABLE,($D216+L$5)&gt;TOTAL_LABOR_HOURS_CAP,MAX(0,($D216+L$5)-PERMANENT_FIELD_LABOR_HOURS)&gt;TEMP_HOURS_CAP),"",$C216+L$6-MIN(($D216+L$5),PERMANENT_FIELD_LABOR_HOURS)*PERMANENT_HOURLY_RATE-MAX(0,($D216+L$5)-PERMANENT_FIELD_LABOR_HOURS)*TEMP_HOURLY_RATE-FIXED_SEASON_COST)</f>
        <v>27107.7365726713</v>
      </c>
      <c r="M216" s="53" t="n">
        <f aca="false">IF(OR($A216&gt;TOMATO_BED_CAP,$B216&gt;CARROT_BED_CAP,M$4&gt;MESCLUN_BED_CAP,$A216+$B216+M$4&gt;TOTAL_BEDS_AVAILABLE,($D216+M$5)&gt;TOTAL_LABOR_HOURS_CAP,MAX(0,($D216+M$5)-PERMANENT_FIELD_LABOR_HOURS)&gt;TEMP_HOURS_CAP),"",$C216+M$6-MIN(($D216+M$5),PERMANENT_FIELD_LABOR_HOURS)*PERMANENT_HOURLY_RATE-MAX(0,($D216+M$5)-PERMANENT_FIELD_LABOR_HOURS)*TEMP_HOURLY_RATE-FIXED_SEASON_COST)</f>
        <v>28012.4403047227</v>
      </c>
      <c r="N216" s="53" t="n">
        <f aca="false">IF(OR($A216&gt;TOMATO_BED_CAP,$B216&gt;CARROT_BED_CAP,N$4&gt;MESCLUN_BED_CAP,$A216+$B216+N$4&gt;TOTAL_BEDS_AVAILABLE,($D216+N$5)&gt;TOTAL_LABOR_HOURS_CAP,MAX(0,($D216+N$5)-PERMANENT_FIELD_LABOR_HOURS)&gt;TEMP_HOURS_CAP),"",$C216+N$6-MIN(($D216+N$5),PERMANENT_FIELD_LABOR_HOURS)*PERMANENT_HOURLY_RATE-MAX(0,($D216+N$5)-PERMANENT_FIELD_LABOR_HOURS)*TEMP_HOURLY_RATE-FIXED_SEASON_COST)</f>
        <v>28895.0506785822</v>
      </c>
      <c r="O216" s="53" t="n">
        <f aca="false">IF(OR($A216&gt;TOMATO_BED_CAP,$B216&gt;CARROT_BED_CAP,O$4&gt;MESCLUN_BED_CAP,$A216+$B216+O$4&gt;TOTAL_BEDS_AVAILABLE,($D216+O$5)&gt;TOTAL_LABOR_HOURS_CAP,MAX(0,($D216+O$5)-PERMANENT_FIELD_LABOR_HOURS)&gt;TEMP_HOURS_CAP),"",$C216+O$6-MIN(($D216+O$5),PERMANENT_FIELD_LABOR_HOURS)*PERMANENT_HOURLY_RATE-MAX(0,($D216+O$5)-PERMANENT_FIELD_LABOR_HOURS)*TEMP_HOURLY_RATE-FIXED_SEASON_COST)</f>
        <v>29755.158375337</v>
      </c>
      <c r="P216" s="53" t="n">
        <f aca="false">IF(OR($A216&gt;TOMATO_BED_CAP,$B216&gt;CARROT_BED_CAP,P$4&gt;MESCLUN_BED_CAP,$A216+$B216+P$4&gt;TOTAL_BEDS_AVAILABLE,($D216+P$5)&gt;TOTAL_LABOR_HOURS_CAP,MAX(0,($D216+P$5)-PERMANENT_FIELD_LABOR_HOURS)&gt;TEMP_HOURS_CAP),"",$C216+P$6-MIN(($D216+P$5),PERMANENT_FIELD_LABOR_HOURS)*PERMANENT_HOURLY_RATE-MAX(0,($D216+P$5)-PERMANENT_FIELD_LABOR_HOURS)*TEMP_HOURLY_RATE-FIXED_SEASON_COST)</f>
        <v>30592.3472951884</v>
      </c>
      <c r="Q216" s="53" t="n">
        <f aca="false">IF(OR($A216&gt;TOMATO_BED_CAP,$B216&gt;CARROT_BED_CAP,Q$4&gt;MESCLUN_BED_CAP,$A216+$B216+Q$4&gt;TOTAL_BEDS_AVAILABLE,($D216+Q$5)&gt;TOTAL_LABOR_HOURS_CAP,MAX(0,($D216+Q$5)-PERMANENT_FIELD_LABOR_HOURS)&gt;TEMP_HOURS_CAP),"",$C216+Q$6-MIN(($D216+Q$5),PERMANENT_FIELD_LABOR_HOURS)*PERMANENT_HOURLY_RATE-MAX(0,($D216+Q$5)-PERMANENT_FIELD_LABOR_HOURS)*TEMP_HOURLY_RATE-FIXED_SEASON_COST)</f>
        <v>31406.1944518863</v>
      </c>
      <c r="R216" s="53" t="n">
        <f aca="false">IF(OR($A216&gt;TOMATO_BED_CAP,$B216&gt;CARROT_BED_CAP,R$4&gt;MESCLUN_BED_CAP,$A216+$B216+R$4&gt;TOTAL_BEDS_AVAILABLE,($D216+R$5)&gt;TOTAL_LABOR_HOURS_CAP,MAX(0,($D216+R$5)-PERMANENT_FIELD_LABOR_HOURS)&gt;TEMP_HOURS_CAP),"",$C216+R$6-MIN(($D216+R$5),PERMANENT_FIELD_LABOR_HOURS)*PERMANENT_HOURLY_RATE-MAX(0,($D216+R$5)-PERMANENT_FIELD_LABOR_HOURS)*TEMP_HOURLY_RATE-FIXED_SEASON_COST)</f>
        <v>32196.2698655831</v>
      </c>
      <c r="S216" s="53" t="n">
        <f aca="false">IF(OR($A216&gt;TOMATO_BED_CAP,$B216&gt;CARROT_BED_CAP,S$4&gt;MESCLUN_BED_CAP,$A216+$B216+S$4&gt;TOTAL_BEDS_AVAILABLE,($D216+S$5)&gt;TOTAL_LABOR_HOURS_CAP,MAX(0,($D216+S$5)-PERMANENT_FIELD_LABOR_HOURS)&gt;TEMP_HOURS_CAP),"",$C216+S$6-MIN(($D216+S$5),PERMANENT_FIELD_LABOR_HOURS)*PERMANENT_HOURLY_RATE-MAX(0,($D216+S$5)-PERMANENT_FIELD_LABOR_HOURS)*TEMP_HOURLY_RATE-FIXED_SEASON_COST)</f>
        <v>32962.1364540855</v>
      </c>
      <c r="T216" s="53" t="n">
        <f aca="false">IF(OR($A216&gt;TOMATO_BED_CAP,$B216&gt;CARROT_BED_CAP,T$4&gt;MESCLUN_BED_CAP,$A216+$B216+T$4&gt;TOTAL_BEDS_AVAILABLE,($D216+T$5)&gt;TOTAL_LABOR_HOURS_CAP,MAX(0,($D216+T$5)-PERMANENT_FIELD_LABOR_HOURS)&gt;TEMP_HOURS_CAP),"",$C216+T$6-MIN(($D216+T$5),PERMANENT_FIELD_LABOR_HOURS)*PERMANENT_HOURLY_RATE-MAX(0,($D216+T$5)-PERMANENT_FIELD_LABOR_HOURS)*TEMP_HOURLY_RATE-FIXED_SEASON_COST)</f>
        <v>33703.3499224804</v>
      </c>
      <c r="U216" s="53" t="n">
        <f aca="false">IF(OR($A216&gt;TOMATO_BED_CAP,$B216&gt;CARROT_BED_CAP,U$4&gt;MESCLUN_BED_CAP,$A216+$B216+U$4&gt;TOTAL_BEDS_AVAILABLE,($D216+U$5)&gt;TOTAL_LABOR_HOURS_CAP,MAX(0,($D216+U$5)-PERMANENT_FIELD_LABOR_HOURS)&gt;TEMP_HOURS_CAP),"",$C216+U$6-MIN(($D216+U$5),PERMANENT_FIELD_LABOR_HOURS)*PERMANENT_HOURLY_RATE-MAX(0,($D216+U$5)-PERMANENT_FIELD_LABOR_HOURS)*TEMP_HOURLY_RATE-FIXED_SEASON_COST)</f>
        <v>34419.4586511105</v>
      </c>
      <c r="V216" s="53" t="n">
        <f aca="false">IF(OR($A216&gt;TOMATO_BED_CAP,$B216&gt;CARROT_BED_CAP,V$4&gt;MESCLUN_BED_CAP,$A216+$B216+V$4&gt;TOTAL_BEDS_AVAILABLE,($D216+V$5)&gt;TOTAL_LABOR_HOURS_CAP,MAX(0,($D216+V$5)-PERMANENT_FIELD_LABOR_HOURS)&gt;TEMP_HOURS_CAP),"",$C216+V$6-MIN(($D216+V$5),PERMANENT_FIELD_LABOR_HOURS)*PERMANENT_HOURLY_RATE-MAX(0,($D216+V$5)-PERMANENT_FIELD_LABOR_HOURS)*TEMP_HOURLY_RATE-FIXED_SEASON_COST)</f>
        <v>35110.0035818773</v>
      </c>
      <c r="W216" s="53" t="n">
        <f aca="false">IF(OR($A216&gt;TOMATO_BED_CAP,$B216&gt;CARROT_BED_CAP,W$4&gt;MESCLUN_BED_CAP,$A216+$B216+W$4&gt;TOTAL_BEDS_AVAILABLE,($D216+W$5)&gt;TOTAL_LABOR_HOURS_CAP,MAX(0,($D216+W$5)-PERMANENT_FIELD_LABOR_HOURS)&gt;TEMP_HOURS_CAP),"",$C216+W$6-MIN(($D216+W$5),PERMANENT_FIELD_LABOR_HOURS)*PERMANENT_HOURLY_RATE-MAX(0,($D216+W$5)-PERMANENT_FIELD_LABOR_HOURS)*TEMP_HOURLY_RATE-FIXED_SEASON_COST)</f>
        <v>35774.5181028453</v>
      </c>
      <c r="X216" s="53" t="n">
        <f aca="false">IF(OR($A216&gt;TOMATO_BED_CAP,$B216&gt;CARROT_BED_CAP,X$4&gt;MESCLUN_BED_CAP,$A216+$B216+X$4&gt;TOTAL_BEDS_AVAILABLE,($D216+X$5)&gt;TOTAL_LABOR_HOURS_CAP,MAX(0,($D216+X$5)-PERMANENT_FIELD_LABOR_HOURS)&gt;TEMP_HOURS_CAP),"",$C216+X$6-MIN(($D216+X$5),PERMANENT_FIELD_LABOR_HOURS)*PERMANENT_HOURLY_RATE-MAX(0,($D216+X$5)-PERMANENT_FIELD_LABOR_HOURS)*TEMP_HOURLY_RATE-FIXED_SEASON_COST)</f>
        <v>36412.5279311243</v>
      </c>
      <c r="Y216" s="53" t="n">
        <f aca="false">IF(OR($A216&gt;TOMATO_BED_CAP,$B216&gt;CARROT_BED_CAP,Y$4&gt;MESCLUN_BED_CAP,$A216+$B216+Y$4&gt;TOTAL_BEDS_AVAILABLE,($D216+Y$5)&gt;TOTAL_LABOR_HOURS_CAP,MAX(0,($D216+Y$5)-PERMANENT_FIELD_LABOR_HOURS)&gt;TEMP_HOURS_CAP),"",$C216+Y$6-MIN(($D216+Y$5),PERMANENT_FIELD_LABOR_HOURS)*PERMANENT_HOURLY_RATE-MAX(0,($D216+Y$5)-PERMANENT_FIELD_LABOR_HOURS)*TEMP_HOURLY_RATE-FIXED_SEASON_COST)</f>
        <v>37023.5509940029</v>
      </c>
      <c r="Z216" s="53" t="n">
        <f aca="false">IF(OR($A216&gt;TOMATO_BED_CAP,$B216&gt;CARROT_BED_CAP,Z$4&gt;MESCLUN_BED_CAP,$A216+$B216+Z$4&gt;TOTAL_BEDS_AVAILABLE,($D216+Z$5)&gt;TOTAL_LABOR_HOURS_CAP,MAX(0,($D216+Z$5)-PERMANENT_FIELD_LABOR_HOURS)&gt;TEMP_HOURS_CAP),"",$C216+Z$6-MIN(($D216+Z$5),PERMANENT_FIELD_LABOR_HOURS)*PERMANENT_HOURLY_RATE-MAX(0,($D216+Z$5)-PERMANENT_FIELD_LABOR_HOURS)*TEMP_HOURLY_RATE-FIXED_SEASON_COST)</f>
        <v>37607.0973083107</v>
      </c>
      <c r="AA216" s="53" t="n">
        <f aca="false">IF(OR($A216&gt;TOMATO_BED_CAP,$B216&gt;CARROT_BED_CAP,AA$4&gt;MESCLUN_BED_CAP,$A216+$B216+AA$4&gt;TOTAL_BEDS_AVAILABLE,($D216+AA$5)&gt;TOTAL_LABOR_HOURS_CAP,MAX(0,($D216+AA$5)-PERMANENT_FIELD_LABOR_HOURS)&gt;TEMP_HOURS_CAP),"",$C216+AA$6-MIN(($D216+AA$5),PERMANENT_FIELD_LABOR_HOURS)*PERMANENT_HOURLY_RATE-MAX(0,($D216+AA$5)-PERMANENT_FIELD_LABOR_HOURS)*TEMP_HOURLY_RATE-FIXED_SEASON_COST)</f>
        <v>38162.6688579796</v>
      </c>
      <c r="AB216" s="53" t="n">
        <f aca="false">IF(OR($A216&gt;TOMATO_BED_CAP,$B216&gt;CARROT_BED_CAP,AB$4&gt;MESCLUN_BED_CAP,$A216+$B216+AB$4&gt;TOTAL_BEDS_AVAILABLE,($D216+AB$5)&gt;TOTAL_LABOR_HOURS_CAP,MAX(0,($D216+AB$5)-PERMANENT_FIELD_LABOR_HOURS)&gt;TEMP_HOURS_CAP),"",$C216+AB$6-MIN(($D216+AB$5),PERMANENT_FIELD_LABOR_HOURS)*PERMANENT_HOURLY_RATE-MAX(0,($D216+AB$5)-PERMANENT_FIELD_LABOR_HOURS)*TEMP_HOURLY_RATE-FIXED_SEASON_COST)</f>
        <v>38689.7594697822</v>
      </c>
      <c r="AC216" s="53" t="n">
        <f aca="false">IF(OR($A216&gt;TOMATO_BED_CAP,$B216&gt;CARROT_BED_CAP,AC$4&gt;MESCLUN_BED_CAP,$A216+$B216+AC$4&gt;TOTAL_BEDS_AVAILABLE,($D216+AC$5)&gt;TOTAL_LABOR_HOURS_CAP,MAX(0,($D216+AC$5)-PERMANENT_FIELD_LABOR_HOURS)&gt;TEMP_HOURS_CAP),"",$C216+AC$6-MIN(($D216+AC$5),PERMANENT_FIELD_LABOR_HOURS)*PERMANENT_HOURLY_RATE-MAX(0,($D216+AC$5)-PERMANENT_FIELD_LABOR_HOURS)*TEMP_HOURLY_RATE-FIXED_SEASON_COST)</f>
        <v>39187.854687217</v>
      </c>
      <c r="AD216" s="53" t="n">
        <f aca="false">IF(OR($A216&gt;TOMATO_BED_CAP,$B216&gt;CARROT_BED_CAP,AD$4&gt;MESCLUN_BED_CAP,$A216+$B216+AD$4&gt;TOTAL_BEDS_AVAILABLE,($D216+AD$5)&gt;TOTAL_LABOR_HOURS_CAP,MAX(0,($D216+AD$5)-PERMANENT_FIELD_LABOR_HOURS)&gt;TEMP_HOURS_CAP),"",$C216+AD$6-MIN(($D216+AD$5),PERMANENT_FIELD_LABOR_HOURS)*PERMANENT_HOURLY_RATE-MAX(0,($D216+AD$5)-PERMANENT_FIELD_LABOR_HOURS)*TEMP_HOURLY_RATE-FIXED_SEASON_COST)</f>
        <v>39656.431642517</v>
      </c>
      <c r="AE216" s="53" t="n">
        <f aca="false">IF(OR($A216&gt;TOMATO_BED_CAP,$B216&gt;CARROT_BED_CAP,AE$4&gt;MESCLUN_BED_CAP,$A216+$B216+AE$4&gt;TOTAL_BEDS_AVAILABLE,($D216+AE$5)&gt;TOTAL_LABOR_HOURS_CAP,MAX(0,($D216+AE$5)-PERMANENT_FIELD_LABOR_HOURS)&gt;TEMP_HOURS_CAP),"",$C216+AE$6-MIN(($D216+AE$5),PERMANENT_FIELD_LABOR_HOURS)*PERMANENT_HOURLY_RATE-MAX(0,($D216+AE$5)-PERMANENT_FIELD_LABOR_HOURS)*TEMP_HOURLY_RATE-FIXED_SEASON_COST)</f>
        <v>40094.9589267509</v>
      </c>
      <c r="AF216" s="53" t="n">
        <f aca="false">IF(OR($A216&gt;TOMATO_BED_CAP,$B216&gt;CARROT_BED_CAP,AF$4&gt;MESCLUN_BED_CAP,$A216+$B216+AF$4&gt;TOTAL_BEDS_AVAILABLE,($D216+AF$5)&gt;TOTAL_LABOR_HOURS_CAP,MAX(0,($D216+AF$5)-PERMANENT_FIELD_LABOR_HOURS)&gt;TEMP_HOURS_CAP),"",$C216+AF$6-MIN(($D216+AF$5),PERMANENT_FIELD_LABOR_HOURS)*PERMANENT_HOURLY_RATE-MAX(0,($D216+AF$5)-PERMANENT_FIELD_LABOR_HOURS)*TEMP_HOURLY_RATE-FIXED_SEASON_COST)</f>
        <v>40502.8964579929</v>
      </c>
      <c r="AG216" s="53" t="n">
        <f aca="false">IF(OR($A216&gt;TOMATO_BED_CAP,$B216&gt;CARROT_BED_CAP,AG$4&gt;MESCLUN_BED_CAP,$A216+$B216+AG$4&gt;TOTAL_BEDS_AVAILABLE,($D216+AG$5)&gt;TOTAL_LABOR_HOURS_CAP,MAX(0,($D216+AG$5)-PERMANENT_FIELD_LABOR_HOURS)&gt;TEMP_HOURS_CAP),"",$C216+AG$6-MIN(($D216+AG$5),PERMANENT_FIELD_LABOR_HOURS)*PERMANENT_HOURLY_RATE-MAX(0,($D216+AG$5)-PERMANENT_FIELD_LABOR_HOURS)*TEMP_HOURLY_RATE-FIXED_SEASON_COST)</f>
        <v>40879.6953475299</v>
      </c>
      <c r="AH216" s="53" t="n">
        <f aca="false">IF(OR($A216&gt;TOMATO_BED_CAP,$B216&gt;CARROT_BED_CAP,AH$4&gt;MESCLUN_BED_CAP,$A216+$B216+AH$4&gt;TOTAL_BEDS_AVAILABLE,($D216+AH$5)&gt;TOTAL_LABOR_HOURS_CAP,MAX(0,($D216+AH$5)-PERMANENT_FIELD_LABOR_HOURS)&gt;TEMP_HOURS_CAP),"",$C216+AH$6-MIN(($D216+AH$5),PERMANENT_FIELD_LABOR_HOURS)*PERMANENT_HOURLY_RATE-MAX(0,($D216+AH$5)-PERMANENT_FIELD_LABOR_HOURS)*TEMP_HOURLY_RATE-FIXED_SEASON_COST)</f>
        <v>41224.7977640801</v>
      </c>
      <c r="AI216" s="53" t="n">
        <f aca="false">IF(OR($A216&gt;TOMATO_BED_CAP,$B216&gt;CARROT_BED_CAP,AI$4&gt;MESCLUN_BED_CAP,$A216+$B216+AI$4&gt;TOTAL_BEDS_AVAILABLE,($D216+AI$5)&gt;TOTAL_LABOR_HOURS_CAP,MAX(0,($D216+AI$5)-PERMANENT_FIELD_LABOR_HOURS)&gt;TEMP_HOURS_CAP),"",$C216+AI$6-MIN(($D216+AI$5),PERMANENT_FIELD_LABOR_HOURS)*PERMANENT_HOURLY_RATE-MAX(0,($D216+AI$5)-PERMANENT_FIELD_LABOR_HOURS)*TEMP_HOURLY_RATE-FIXED_SEASON_COST)</f>
        <v>41537.6367959923</v>
      </c>
      <c r="AJ216" s="53" t="n">
        <f aca="false">IF(OR($A216&gt;TOMATO_BED_CAP,$B216&gt;CARROT_BED_CAP,AJ$4&gt;MESCLUN_BED_CAP,$A216+$B216+AJ$4&gt;TOTAL_BEDS_AVAILABLE,($D216+AJ$5)&gt;TOTAL_LABOR_HOURS_CAP,MAX(0,($D216+AJ$5)-PERMANENT_FIELD_LABOR_HOURS)&gt;TEMP_HOURS_CAP),"",$C216+AJ$6-MIN(($D216+AJ$5),PERMANENT_FIELD_LABOR_HOURS)*PERMANENT_HOURLY_RATE-MAX(0,($D216+AJ$5)-PERMANENT_FIELD_LABOR_HOURS)*TEMP_HOURLY_RATE-FIXED_SEASON_COST)</f>
        <v>41817.6363113981</v>
      </c>
    </row>
    <row r="217" customFormat="false" ht="15" hidden="false" customHeight="false" outlineLevel="0" collapsed="false">
      <c r="A217" s="21" t="n">
        <f aca="false">INT((ROW()-ROW($A$8))/(20+1))</f>
        <v>9</v>
      </c>
      <c r="B217" s="21" t="n">
        <f aca="false">MOD(ROW()-ROW($A$8),20+1)</f>
        <v>20</v>
      </c>
      <c r="C217" s="13" t="n">
        <f aca="false">A217*(TOMATO_REVENUE_PER_BED-TOMATO_FERTILIZER_PER_BED)+B217*(CARROT_REVENUE_PER_BED-CARROT_FERTILIZER_PER_BED)</f>
        <v>104360</v>
      </c>
      <c r="D217" s="14" t="n">
        <f aca="false">INDEX(TOMATO_SCHED_LABOR_HRS,A217+1)+INDEX(CARROT_SCHED_LABOR_HRS,B217+1)</f>
        <v>2892.71422593857</v>
      </c>
      <c r="E217" s="13" t="n">
        <f aca="false">IF(COUNT(F217:AJ217)=0,"",MAX(F217:AJ217))</f>
        <v>42223.270332579</v>
      </c>
      <c r="F217" s="53" t="n">
        <f aca="false">IF(OR($A217&gt;TOMATO_BED_CAP,$B217&gt;CARROT_BED_CAP,F$4&gt;MESCLUN_BED_CAP,$A217+$B217+F$4&gt;TOTAL_BEDS_AVAILABLE,($D217+F$5)&gt;TOTAL_LABOR_HOURS_CAP,MAX(0,($D217+F$5)-PERMANENT_FIELD_LABOR_HOURS)&gt;TEMP_HOURS_CAP),"",$C217+F$6-MIN(($D217+F$5),PERMANENT_FIELD_LABOR_HOURS)*PERMANENT_HOURLY_RATE-MAX(0,($D217+F$5)-PERMANENT_FIELD_LABOR_HOURS)*TEMP_HOURLY_RATE-FIXED_SEASON_COST)</f>
        <v>21643.2810377065</v>
      </c>
      <c r="G217" s="53" t="n">
        <f aca="false">IF(OR($A217&gt;TOMATO_BED_CAP,$B217&gt;CARROT_BED_CAP,G$4&gt;MESCLUN_BED_CAP,$A217+$B217+G$4&gt;TOTAL_BEDS_AVAILABLE,($D217+G$5)&gt;TOTAL_LABOR_HOURS_CAP,MAX(0,($D217+G$5)-PERMANENT_FIELD_LABOR_HOURS)&gt;TEMP_HOURS_CAP),"",$C217+G$6-MIN(($D217+G$5),PERMANENT_FIELD_LABOR_HOURS)*PERMANENT_HOURLY_RATE-MAX(0,($D217+G$5)-PERMANENT_FIELD_LABOR_HOURS)*TEMP_HOURLY_RATE-FIXED_SEASON_COST)</f>
        <v>22672.3160377065</v>
      </c>
      <c r="H217" s="53" t="n">
        <f aca="false">IF(OR($A217&gt;TOMATO_BED_CAP,$B217&gt;CARROT_BED_CAP,H$4&gt;MESCLUN_BED_CAP,$A217+$B217+H$4&gt;TOTAL_BEDS_AVAILABLE,($D217+H$5)&gt;TOTAL_LABOR_HOURS_CAP,MAX(0,($D217+H$5)-PERMANENT_FIELD_LABOR_HOURS)&gt;TEMP_HOURS_CAP),"",$C217+H$6-MIN(($D217+H$5),PERMANENT_FIELD_LABOR_HOURS)*PERMANENT_HOURLY_RATE-MAX(0,($D217+H$5)-PERMANENT_FIELD_LABOR_HOURS)*TEMP_HOURLY_RATE-FIXED_SEASON_COST)</f>
        <v>23681.5769127065</v>
      </c>
      <c r="I217" s="53" t="n">
        <f aca="false">IF(OR($A217&gt;TOMATO_BED_CAP,$B217&gt;CARROT_BED_CAP,I$4&gt;MESCLUN_BED_CAP,$A217+$B217+I$4&gt;TOTAL_BEDS_AVAILABLE,($D217+I$5)&gt;TOTAL_LABOR_HOURS_CAP,MAX(0,($D217+I$5)-PERMANENT_FIELD_LABOR_HOURS)&gt;TEMP_HOURS_CAP),"",$C217+I$6-MIN(($D217+I$5),PERMANENT_FIELD_LABOR_HOURS)*PERMANENT_HOURLY_RATE-MAX(0,($D217+I$5)-PERMANENT_FIELD_LABOR_HOURS)*TEMP_HOURLY_RATE-FIXED_SEASON_COST)</f>
        <v>24670.6928978627</v>
      </c>
      <c r="J217" s="53" t="n">
        <f aca="false">IF(OR($A217&gt;TOMATO_BED_CAP,$B217&gt;CARROT_BED_CAP,J$4&gt;MESCLUN_BED_CAP,$A217+$B217+J$4&gt;TOTAL_BEDS_AVAILABLE,($D217+J$5)&gt;TOTAL_LABOR_HOURS_CAP,MAX(0,($D217+J$5)-PERMANENT_FIELD_LABOR_HOURS)&gt;TEMP_HOURS_CAP),"",$C217+J$6-MIN(($D217+J$5),PERMANENT_FIELD_LABOR_HOURS)*PERMANENT_HOURLY_RATE-MAX(0,($D217+J$5)-PERMANENT_FIELD_LABOR_HOURS)*TEMP_HOURLY_RATE-FIXED_SEASON_COST)</f>
        <v>25639.2870489174</v>
      </c>
      <c r="K217" s="53" t="n">
        <f aca="false">IF(OR($A217&gt;TOMATO_BED_CAP,$B217&gt;CARROT_BED_CAP,K$4&gt;MESCLUN_BED_CAP,$A217+$B217+K$4&gt;TOTAL_BEDS_AVAILABLE,($D217+K$5)&gt;TOTAL_LABOR_HOURS_CAP,MAX(0,($D217+K$5)-PERMANENT_FIELD_LABOR_HOURS)&gt;TEMP_HOURS_CAP),"",$C217+K$6-MIN(($D217+K$5),PERMANENT_FIELD_LABOR_HOURS)*PERMANENT_HOURLY_RATE-MAX(0,($D217+K$5)-PERMANENT_FIELD_LABOR_HOURS)*TEMP_HOURLY_RATE-FIXED_SEASON_COST)</f>
        <v>26586.9761456453</v>
      </c>
      <c r="L217" s="53" t="n">
        <f aca="false">IF(OR($A217&gt;TOMATO_BED_CAP,$B217&gt;CARROT_BED_CAP,L$4&gt;MESCLUN_BED_CAP,$A217+$B217+L$4&gt;TOTAL_BEDS_AVAILABLE,($D217+L$5)&gt;TOTAL_LABOR_HOURS_CAP,MAX(0,($D217+L$5)-PERMANENT_FIELD_LABOR_HOURS)&gt;TEMP_HOURS_CAP),"",$C217+L$6-MIN(($D217+L$5),PERMANENT_FIELD_LABOR_HOURS)*PERMANENT_HOURLY_RATE-MAX(0,($D217+L$5)-PERMANENT_FIELD_LABOR_HOURS)*TEMP_HOURLY_RATE-FIXED_SEASON_COST)</f>
        <v>27513.3705938522</v>
      </c>
      <c r="M217" s="53" t="n">
        <f aca="false">IF(OR($A217&gt;TOMATO_BED_CAP,$B217&gt;CARROT_BED_CAP,M$4&gt;MESCLUN_BED_CAP,$A217+$B217+M$4&gt;TOTAL_BEDS_AVAILABLE,($D217+M$5)&gt;TOTAL_LABOR_HOURS_CAP,MAX(0,($D217+M$5)-PERMANENT_FIELD_LABOR_HOURS)&gt;TEMP_HOURS_CAP),"",$C217+M$6-MIN(($D217+M$5),PERMANENT_FIELD_LABOR_HOURS)*PERMANENT_HOURLY_RATE-MAX(0,($D217+M$5)-PERMANENT_FIELD_LABOR_HOURS)*TEMP_HOURLY_RATE-FIXED_SEASON_COST)</f>
        <v>28418.0743259036</v>
      </c>
      <c r="N217" s="53" t="n">
        <f aca="false">IF(OR($A217&gt;TOMATO_BED_CAP,$B217&gt;CARROT_BED_CAP,N$4&gt;MESCLUN_BED_CAP,$A217+$B217+N$4&gt;TOTAL_BEDS_AVAILABLE,($D217+N$5)&gt;TOTAL_LABOR_HOURS_CAP,MAX(0,($D217+N$5)-PERMANENT_FIELD_LABOR_HOURS)&gt;TEMP_HOURS_CAP),"",$C217+N$6-MIN(($D217+N$5),PERMANENT_FIELD_LABOR_HOURS)*PERMANENT_HOURLY_RATE-MAX(0,($D217+N$5)-PERMANENT_FIELD_LABOR_HOURS)*TEMP_HOURLY_RATE-FIXED_SEASON_COST)</f>
        <v>29300.6846997631</v>
      </c>
      <c r="O217" s="53" t="n">
        <f aca="false">IF(OR($A217&gt;TOMATO_BED_CAP,$B217&gt;CARROT_BED_CAP,O$4&gt;MESCLUN_BED_CAP,$A217+$B217+O$4&gt;TOTAL_BEDS_AVAILABLE,($D217+O$5)&gt;TOTAL_LABOR_HOURS_CAP,MAX(0,($D217+O$5)-PERMANENT_FIELD_LABOR_HOURS)&gt;TEMP_HOURS_CAP),"",$C217+O$6-MIN(($D217+O$5),PERMANENT_FIELD_LABOR_HOURS)*PERMANENT_HOURLY_RATE-MAX(0,($D217+O$5)-PERMANENT_FIELD_LABOR_HOURS)*TEMP_HOURLY_RATE-FIXED_SEASON_COST)</f>
        <v>30160.7923965179</v>
      </c>
      <c r="P217" s="53" t="n">
        <f aca="false">IF(OR($A217&gt;TOMATO_BED_CAP,$B217&gt;CARROT_BED_CAP,P$4&gt;MESCLUN_BED_CAP,$A217+$B217+P$4&gt;TOTAL_BEDS_AVAILABLE,($D217+P$5)&gt;TOTAL_LABOR_HOURS_CAP,MAX(0,($D217+P$5)-PERMANENT_FIELD_LABOR_HOURS)&gt;TEMP_HOURS_CAP),"",$C217+P$6-MIN(($D217+P$5),PERMANENT_FIELD_LABOR_HOURS)*PERMANENT_HOURLY_RATE-MAX(0,($D217+P$5)-PERMANENT_FIELD_LABOR_HOURS)*TEMP_HOURLY_RATE-FIXED_SEASON_COST)</f>
        <v>30997.9813163693</v>
      </c>
      <c r="Q217" s="53" t="n">
        <f aca="false">IF(OR($A217&gt;TOMATO_BED_CAP,$B217&gt;CARROT_BED_CAP,Q$4&gt;MESCLUN_BED_CAP,$A217+$B217+Q$4&gt;TOTAL_BEDS_AVAILABLE,($D217+Q$5)&gt;TOTAL_LABOR_HOURS_CAP,MAX(0,($D217+Q$5)-PERMANENT_FIELD_LABOR_HOURS)&gt;TEMP_HOURS_CAP),"",$C217+Q$6-MIN(($D217+Q$5),PERMANENT_FIELD_LABOR_HOURS)*PERMANENT_HOURLY_RATE-MAX(0,($D217+Q$5)-PERMANENT_FIELD_LABOR_HOURS)*TEMP_HOURLY_RATE-FIXED_SEASON_COST)</f>
        <v>31811.8284730672</v>
      </c>
      <c r="R217" s="53" t="n">
        <f aca="false">IF(OR($A217&gt;TOMATO_BED_CAP,$B217&gt;CARROT_BED_CAP,R$4&gt;MESCLUN_BED_CAP,$A217+$B217+R$4&gt;TOTAL_BEDS_AVAILABLE,($D217+R$5)&gt;TOTAL_LABOR_HOURS_CAP,MAX(0,($D217+R$5)-PERMANENT_FIELD_LABOR_HOURS)&gt;TEMP_HOURS_CAP),"",$C217+R$6-MIN(($D217+R$5),PERMANENT_FIELD_LABOR_HOURS)*PERMANENT_HOURLY_RATE-MAX(0,($D217+R$5)-PERMANENT_FIELD_LABOR_HOURS)*TEMP_HOURLY_RATE-FIXED_SEASON_COST)</f>
        <v>32601.903886764</v>
      </c>
      <c r="S217" s="53" t="n">
        <f aca="false">IF(OR($A217&gt;TOMATO_BED_CAP,$B217&gt;CARROT_BED_CAP,S$4&gt;MESCLUN_BED_CAP,$A217+$B217+S$4&gt;TOTAL_BEDS_AVAILABLE,($D217+S$5)&gt;TOTAL_LABOR_HOURS_CAP,MAX(0,($D217+S$5)-PERMANENT_FIELD_LABOR_HOURS)&gt;TEMP_HOURS_CAP),"",$C217+S$6-MIN(($D217+S$5),PERMANENT_FIELD_LABOR_HOURS)*PERMANENT_HOURLY_RATE-MAX(0,($D217+S$5)-PERMANENT_FIELD_LABOR_HOURS)*TEMP_HOURLY_RATE-FIXED_SEASON_COST)</f>
        <v>33367.7704752664</v>
      </c>
      <c r="T217" s="53" t="n">
        <f aca="false">IF(OR($A217&gt;TOMATO_BED_CAP,$B217&gt;CARROT_BED_CAP,T$4&gt;MESCLUN_BED_CAP,$A217+$B217+T$4&gt;TOTAL_BEDS_AVAILABLE,($D217+T$5)&gt;TOTAL_LABOR_HOURS_CAP,MAX(0,($D217+T$5)-PERMANENT_FIELD_LABOR_HOURS)&gt;TEMP_HOURS_CAP),"",$C217+T$6-MIN(($D217+T$5),PERMANENT_FIELD_LABOR_HOURS)*PERMANENT_HOURLY_RATE-MAX(0,($D217+T$5)-PERMANENT_FIELD_LABOR_HOURS)*TEMP_HOURLY_RATE-FIXED_SEASON_COST)</f>
        <v>34108.9839436613</v>
      </c>
      <c r="U217" s="53" t="n">
        <f aca="false">IF(OR($A217&gt;TOMATO_BED_CAP,$B217&gt;CARROT_BED_CAP,U$4&gt;MESCLUN_BED_CAP,$A217+$B217+U$4&gt;TOTAL_BEDS_AVAILABLE,($D217+U$5)&gt;TOTAL_LABOR_HOURS_CAP,MAX(0,($D217+U$5)-PERMANENT_FIELD_LABOR_HOURS)&gt;TEMP_HOURS_CAP),"",$C217+U$6-MIN(($D217+U$5),PERMANENT_FIELD_LABOR_HOURS)*PERMANENT_HOURLY_RATE-MAX(0,($D217+U$5)-PERMANENT_FIELD_LABOR_HOURS)*TEMP_HOURLY_RATE-FIXED_SEASON_COST)</f>
        <v>34825.0926722914</v>
      </c>
      <c r="V217" s="53" t="n">
        <f aca="false">IF(OR($A217&gt;TOMATO_BED_CAP,$B217&gt;CARROT_BED_CAP,V$4&gt;MESCLUN_BED_CAP,$A217+$B217+V$4&gt;TOTAL_BEDS_AVAILABLE,($D217+V$5)&gt;TOTAL_LABOR_HOURS_CAP,MAX(0,($D217+V$5)-PERMANENT_FIELD_LABOR_HOURS)&gt;TEMP_HOURS_CAP),"",$C217+V$6-MIN(($D217+V$5),PERMANENT_FIELD_LABOR_HOURS)*PERMANENT_HOURLY_RATE-MAX(0,($D217+V$5)-PERMANENT_FIELD_LABOR_HOURS)*TEMP_HOURLY_RATE-FIXED_SEASON_COST)</f>
        <v>35515.6376030582</v>
      </c>
      <c r="W217" s="53" t="n">
        <f aca="false">IF(OR($A217&gt;TOMATO_BED_CAP,$B217&gt;CARROT_BED_CAP,W$4&gt;MESCLUN_BED_CAP,$A217+$B217+W$4&gt;TOTAL_BEDS_AVAILABLE,($D217+W$5)&gt;TOTAL_LABOR_HOURS_CAP,MAX(0,($D217+W$5)-PERMANENT_FIELD_LABOR_HOURS)&gt;TEMP_HOURS_CAP),"",$C217+W$6-MIN(($D217+W$5),PERMANENT_FIELD_LABOR_HOURS)*PERMANENT_HOURLY_RATE-MAX(0,($D217+W$5)-PERMANENT_FIELD_LABOR_HOURS)*TEMP_HOURLY_RATE-FIXED_SEASON_COST)</f>
        <v>36180.1521240262</v>
      </c>
      <c r="X217" s="53" t="n">
        <f aca="false">IF(OR($A217&gt;TOMATO_BED_CAP,$B217&gt;CARROT_BED_CAP,X$4&gt;MESCLUN_BED_CAP,$A217+$B217+X$4&gt;TOTAL_BEDS_AVAILABLE,($D217+X$5)&gt;TOTAL_LABOR_HOURS_CAP,MAX(0,($D217+X$5)-PERMANENT_FIELD_LABOR_HOURS)&gt;TEMP_HOURS_CAP),"",$C217+X$6-MIN(($D217+X$5),PERMANENT_FIELD_LABOR_HOURS)*PERMANENT_HOURLY_RATE-MAX(0,($D217+X$5)-PERMANENT_FIELD_LABOR_HOURS)*TEMP_HOURLY_RATE-FIXED_SEASON_COST)</f>
        <v>36818.1619523052</v>
      </c>
      <c r="Y217" s="53" t="n">
        <f aca="false">IF(OR($A217&gt;TOMATO_BED_CAP,$B217&gt;CARROT_BED_CAP,Y$4&gt;MESCLUN_BED_CAP,$A217+$B217+Y$4&gt;TOTAL_BEDS_AVAILABLE,($D217+Y$5)&gt;TOTAL_LABOR_HOURS_CAP,MAX(0,($D217+Y$5)-PERMANENT_FIELD_LABOR_HOURS)&gt;TEMP_HOURS_CAP),"",$C217+Y$6-MIN(($D217+Y$5),PERMANENT_FIELD_LABOR_HOURS)*PERMANENT_HOURLY_RATE-MAX(0,($D217+Y$5)-PERMANENT_FIELD_LABOR_HOURS)*TEMP_HOURLY_RATE-FIXED_SEASON_COST)</f>
        <v>37429.1850151838</v>
      </c>
      <c r="Z217" s="53" t="n">
        <f aca="false">IF(OR($A217&gt;TOMATO_BED_CAP,$B217&gt;CARROT_BED_CAP,Z$4&gt;MESCLUN_BED_CAP,$A217+$B217+Z$4&gt;TOTAL_BEDS_AVAILABLE,($D217+Z$5)&gt;TOTAL_LABOR_HOURS_CAP,MAX(0,($D217+Z$5)-PERMANENT_FIELD_LABOR_HOURS)&gt;TEMP_HOURS_CAP),"",$C217+Z$6-MIN(($D217+Z$5),PERMANENT_FIELD_LABOR_HOURS)*PERMANENT_HOURLY_RATE-MAX(0,($D217+Z$5)-PERMANENT_FIELD_LABOR_HOURS)*TEMP_HOURLY_RATE-FIXED_SEASON_COST)</f>
        <v>38012.7313294915</v>
      </c>
      <c r="AA217" s="53" t="n">
        <f aca="false">IF(OR($A217&gt;TOMATO_BED_CAP,$B217&gt;CARROT_BED_CAP,AA$4&gt;MESCLUN_BED_CAP,$A217+$B217+AA$4&gt;TOTAL_BEDS_AVAILABLE,($D217+AA$5)&gt;TOTAL_LABOR_HOURS_CAP,MAX(0,($D217+AA$5)-PERMANENT_FIELD_LABOR_HOURS)&gt;TEMP_HOURS_CAP),"",$C217+AA$6-MIN(($D217+AA$5),PERMANENT_FIELD_LABOR_HOURS)*PERMANENT_HOURLY_RATE-MAX(0,($D217+AA$5)-PERMANENT_FIELD_LABOR_HOURS)*TEMP_HOURLY_RATE-FIXED_SEASON_COST)</f>
        <v>38568.3028791605</v>
      </c>
      <c r="AB217" s="53" t="n">
        <f aca="false">IF(OR($A217&gt;TOMATO_BED_CAP,$B217&gt;CARROT_BED_CAP,AB$4&gt;MESCLUN_BED_CAP,$A217+$B217+AB$4&gt;TOTAL_BEDS_AVAILABLE,($D217+AB$5)&gt;TOTAL_LABOR_HOURS_CAP,MAX(0,($D217+AB$5)-PERMANENT_FIELD_LABOR_HOURS)&gt;TEMP_HOURS_CAP),"",$C217+AB$6-MIN(($D217+AB$5),PERMANENT_FIELD_LABOR_HOURS)*PERMANENT_HOURLY_RATE-MAX(0,($D217+AB$5)-PERMANENT_FIELD_LABOR_HOURS)*TEMP_HOURLY_RATE-FIXED_SEASON_COST)</f>
        <v>39095.393490963</v>
      </c>
      <c r="AC217" s="53" t="n">
        <f aca="false">IF(OR($A217&gt;TOMATO_BED_CAP,$B217&gt;CARROT_BED_CAP,AC$4&gt;MESCLUN_BED_CAP,$A217+$B217+AC$4&gt;TOTAL_BEDS_AVAILABLE,($D217+AC$5)&gt;TOTAL_LABOR_HOURS_CAP,MAX(0,($D217+AC$5)-PERMANENT_FIELD_LABOR_HOURS)&gt;TEMP_HOURS_CAP),"",$C217+AC$6-MIN(($D217+AC$5),PERMANENT_FIELD_LABOR_HOURS)*PERMANENT_HOURLY_RATE-MAX(0,($D217+AC$5)-PERMANENT_FIELD_LABOR_HOURS)*TEMP_HOURLY_RATE-FIXED_SEASON_COST)</f>
        <v>39593.4887083979</v>
      </c>
      <c r="AD217" s="53" t="n">
        <f aca="false">IF(OR($A217&gt;TOMATO_BED_CAP,$B217&gt;CARROT_BED_CAP,AD$4&gt;MESCLUN_BED_CAP,$A217+$B217+AD$4&gt;TOTAL_BEDS_AVAILABLE,($D217+AD$5)&gt;TOTAL_LABOR_HOURS_CAP,MAX(0,($D217+AD$5)-PERMANENT_FIELD_LABOR_HOURS)&gt;TEMP_HOURS_CAP),"",$C217+AD$6-MIN(($D217+AD$5),PERMANENT_FIELD_LABOR_HOURS)*PERMANENT_HOURLY_RATE-MAX(0,($D217+AD$5)-PERMANENT_FIELD_LABOR_HOURS)*TEMP_HOURLY_RATE-FIXED_SEASON_COST)</f>
        <v>40062.0656636979</v>
      </c>
      <c r="AE217" s="53" t="n">
        <f aca="false">IF(OR($A217&gt;TOMATO_BED_CAP,$B217&gt;CARROT_BED_CAP,AE$4&gt;MESCLUN_BED_CAP,$A217+$B217+AE$4&gt;TOTAL_BEDS_AVAILABLE,($D217+AE$5)&gt;TOTAL_LABOR_HOURS_CAP,MAX(0,($D217+AE$5)-PERMANENT_FIELD_LABOR_HOURS)&gt;TEMP_HOURS_CAP),"",$C217+AE$6-MIN(($D217+AE$5),PERMANENT_FIELD_LABOR_HOURS)*PERMANENT_HOURLY_RATE-MAX(0,($D217+AE$5)-PERMANENT_FIELD_LABOR_HOURS)*TEMP_HOURLY_RATE-FIXED_SEASON_COST)</f>
        <v>40500.5929479318</v>
      </c>
      <c r="AF217" s="53" t="n">
        <f aca="false">IF(OR($A217&gt;TOMATO_BED_CAP,$B217&gt;CARROT_BED_CAP,AF$4&gt;MESCLUN_BED_CAP,$A217+$B217+AF$4&gt;TOTAL_BEDS_AVAILABLE,($D217+AF$5)&gt;TOTAL_LABOR_HOURS_CAP,MAX(0,($D217+AF$5)-PERMANENT_FIELD_LABOR_HOURS)&gt;TEMP_HOURS_CAP),"",$C217+AF$6-MIN(($D217+AF$5),PERMANENT_FIELD_LABOR_HOURS)*PERMANENT_HOURLY_RATE-MAX(0,($D217+AF$5)-PERMANENT_FIELD_LABOR_HOURS)*TEMP_HOURLY_RATE-FIXED_SEASON_COST)</f>
        <v>40908.5304791738</v>
      </c>
      <c r="AG217" s="53" t="n">
        <f aca="false">IF(OR($A217&gt;TOMATO_BED_CAP,$B217&gt;CARROT_BED_CAP,AG$4&gt;MESCLUN_BED_CAP,$A217+$B217+AG$4&gt;TOTAL_BEDS_AVAILABLE,($D217+AG$5)&gt;TOTAL_LABOR_HOURS_CAP,MAX(0,($D217+AG$5)-PERMANENT_FIELD_LABOR_HOURS)&gt;TEMP_HOURS_CAP),"",$C217+AG$6-MIN(($D217+AG$5),PERMANENT_FIELD_LABOR_HOURS)*PERMANENT_HOURLY_RATE-MAX(0,($D217+AG$5)-PERMANENT_FIELD_LABOR_HOURS)*TEMP_HOURLY_RATE-FIXED_SEASON_COST)</f>
        <v>41285.3293687108</v>
      </c>
      <c r="AH217" s="53" t="n">
        <f aca="false">IF(OR($A217&gt;TOMATO_BED_CAP,$B217&gt;CARROT_BED_CAP,AH$4&gt;MESCLUN_BED_CAP,$A217+$B217+AH$4&gt;TOTAL_BEDS_AVAILABLE,($D217+AH$5)&gt;TOTAL_LABOR_HOURS_CAP,MAX(0,($D217+AH$5)-PERMANENT_FIELD_LABOR_HOURS)&gt;TEMP_HOURS_CAP),"",$C217+AH$6-MIN(($D217+AH$5),PERMANENT_FIELD_LABOR_HOURS)*PERMANENT_HOURLY_RATE-MAX(0,($D217+AH$5)-PERMANENT_FIELD_LABOR_HOURS)*TEMP_HOURLY_RATE-FIXED_SEASON_COST)</f>
        <v>41630.431785261</v>
      </c>
      <c r="AI217" s="53" t="n">
        <f aca="false">IF(OR($A217&gt;TOMATO_BED_CAP,$B217&gt;CARROT_BED_CAP,AI$4&gt;MESCLUN_BED_CAP,$A217+$B217+AI$4&gt;TOTAL_BEDS_AVAILABLE,($D217+AI$5)&gt;TOTAL_LABOR_HOURS_CAP,MAX(0,($D217+AI$5)-PERMANENT_FIELD_LABOR_HOURS)&gt;TEMP_HOURS_CAP),"",$C217+AI$6-MIN(($D217+AI$5),PERMANENT_FIELD_LABOR_HOURS)*PERMANENT_HOURLY_RATE-MAX(0,($D217+AI$5)-PERMANENT_FIELD_LABOR_HOURS)*TEMP_HOURLY_RATE-FIXED_SEASON_COST)</f>
        <v>41943.2708171732</v>
      </c>
      <c r="AJ217" s="53" t="n">
        <f aca="false">IF(OR($A217&gt;TOMATO_BED_CAP,$B217&gt;CARROT_BED_CAP,AJ$4&gt;MESCLUN_BED_CAP,$A217+$B217+AJ$4&gt;TOTAL_BEDS_AVAILABLE,($D217+AJ$5)&gt;TOTAL_LABOR_HOURS_CAP,MAX(0,($D217+AJ$5)-PERMANENT_FIELD_LABOR_HOURS)&gt;TEMP_HOURS_CAP),"",$C217+AJ$6-MIN(($D217+AJ$5),PERMANENT_FIELD_LABOR_HOURS)*PERMANENT_HOURLY_RATE-MAX(0,($D217+AJ$5)-PERMANENT_FIELD_LABOR_HOURS)*TEMP_HOURLY_RATE-FIXED_SEASON_COST)</f>
        <v>42223.270332579</v>
      </c>
    </row>
    <row r="218" customFormat="false" ht="15" hidden="false" customHeight="false" outlineLevel="0" collapsed="false">
      <c r="A218" s="21" t="n">
        <f aca="false">INT((ROW()-ROW($A$8))/(20+1))</f>
        <v>10</v>
      </c>
      <c r="B218" s="21" t="n">
        <f aca="false">MOD(ROW()-ROW($A$8),20+1)</f>
        <v>0</v>
      </c>
      <c r="C218" s="13" t="n">
        <f aca="false">A218*(TOMATO_REVENUE_PER_BED-TOMATO_FERTILIZER_PER_BED)+B218*(CARROT_REVENUE_PER_BED-CARROT_FERTILIZER_PER_BED)</f>
        <v>79200</v>
      </c>
      <c r="D218" s="14" t="n">
        <f aca="false">INDEX(TOMATO_SCHED_LABOR_HRS,A218+1)+INDEX(CARROT_SCHED_LABOR_HRS,B218+1)</f>
        <v>2334.36821409</v>
      </c>
      <c r="E218" s="13" t="n">
        <f aca="false">IF(COUNT(F218:AJ218)=0,"",MAX(F218:AJ218))</f>
        <v>26756.1570982701</v>
      </c>
      <c r="F218" s="53" t="n">
        <f aca="false">IF(OR($A218&gt;TOMATO_BED_CAP,$B218&gt;CARROT_BED_CAP,F$4&gt;MESCLUN_BED_CAP,$A218+$B218+F$4&gt;TOTAL_BEDS_AVAILABLE,($D218+F$5)&gt;TOTAL_LABOR_HOURS_CAP,MAX(0,($D218+F$5)-PERMANENT_FIELD_LABOR_HOURS)&gt;TEMP_HOURS_CAP),"",$C218+F$6-MIN(($D218+F$5),PERMANENT_FIELD_LABOR_HOURS)*PERMANENT_HOURLY_RATE-MAX(0,($D218+F$5)-PERMANENT_FIELD_LABOR_HOURS)*TEMP_HOURLY_RATE-FIXED_SEASON_COST)</f>
        <v>6176.16780339757</v>
      </c>
      <c r="G218" s="53" t="n">
        <f aca="false">IF(OR($A218&gt;TOMATO_BED_CAP,$B218&gt;CARROT_BED_CAP,G$4&gt;MESCLUN_BED_CAP,$A218+$B218+G$4&gt;TOTAL_BEDS_AVAILABLE,($D218+G$5)&gt;TOTAL_LABOR_HOURS_CAP,MAX(0,($D218+G$5)-PERMANENT_FIELD_LABOR_HOURS)&gt;TEMP_HOURS_CAP),"",$C218+G$6-MIN(($D218+G$5),PERMANENT_FIELD_LABOR_HOURS)*PERMANENT_HOURLY_RATE-MAX(0,($D218+G$5)-PERMANENT_FIELD_LABOR_HOURS)*TEMP_HOURLY_RATE-FIXED_SEASON_COST)</f>
        <v>7205.20280339757</v>
      </c>
      <c r="H218" s="53" t="n">
        <f aca="false">IF(OR($A218&gt;TOMATO_BED_CAP,$B218&gt;CARROT_BED_CAP,H$4&gt;MESCLUN_BED_CAP,$A218+$B218+H$4&gt;TOTAL_BEDS_AVAILABLE,($D218+H$5)&gt;TOTAL_LABOR_HOURS_CAP,MAX(0,($D218+H$5)-PERMANENT_FIELD_LABOR_HOURS)&gt;TEMP_HOURS_CAP),"",$C218+H$6-MIN(($D218+H$5),PERMANENT_FIELD_LABOR_HOURS)*PERMANENT_HOURLY_RATE-MAX(0,($D218+H$5)-PERMANENT_FIELD_LABOR_HOURS)*TEMP_HOURLY_RATE-FIXED_SEASON_COST)</f>
        <v>8214.46367839758</v>
      </c>
      <c r="I218" s="53" t="n">
        <f aca="false">IF(OR($A218&gt;TOMATO_BED_CAP,$B218&gt;CARROT_BED_CAP,I$4&gt;MESCLUN_BED_CAP,$A218+$B218+I$4&gt;TOTAL_BEDS_AVAILABLE,($D218+I$5)&gt;TOTAL_LABOR_HOURS_CAP,MAX(0,($D218+I$5)-PERMANENT_FIELD_LABOR_HOURS)&gt;TEMP_HOURS_CAP),"",$C218+I$6-MIN(($D218+I$5),PERMANENT_FIELD_LABOR_HOURS)*PERMANENT_HOURLY_RATE-MAX(0,($D218+I$5)-PERMANENT_FIELD_LABOR_HOURS)*TEMP_HOURLY_RATE-FIXED_SEASON_COST)</f>
        <v>9203.57966355383</v>
      </c>
      <c r="J218" s="53" t="n">
        <f aca="false">IF(OR($A218&gt;TOMATO_BED_CAP,$B218&gt;CARROT_BED_CAP,J$4&gt;MESCLUN_BED_CAP,$A218+$B218+J$4&gt;TOTAL_BEDS_AVAILABLE,($D218+J$5)&gt;TOTAL_LABOR_HOURS_CAP,MAX(0,($D218+J$5)-PERMANENT_FIELD_LABOR_HOURS)&gt;TEMP_HOURS_CAP),"",$C218+J$6-MIN(($D218+J$5),PERMANENT_FIELD_LABOR_HOURS)*PERMANENT_HOURLY_RATE-MAX(0,($D218+J$5)-PERMANENT_FIELD_LABOR_HOURS)*TEMP_HOURLY_RATE-FIXED_SEASON_COST)</f>
        <v>10172.1738146085</v>
      </c>
      <c r="K218" s="53" t="n">
        <f aca="false">IF(OR($A218&gt;TOMATO_BED_CAP,$B218&gt;CARROT_BED_CAP,K$4&gt;MESCLUN_BED_CAP,$A218+$B218+K$4&gt;TOTAL_BEDS_AVAILABLE,($D218+K$5)&gt;TOTAL_LABOR_HOURS_CAP,MAX(0,($D218+K$5)-PERMANENT_FIELD_LABOR_HOURS)&gt;TEMP_HOURS_CAP),"",$C218+K$6-MIN(($D218+K$5),PERMANENT_FIELD_LABOR_HOURS)*PERMANENT_HOURLY_RATE-MAX(0,($D218+K$5)-PERMANENT_FIELD_LABOR_HOURS)*TEMP_HOURLY_RATE-FIXED_SEASON_COST)</f>
        <v>11119.8629113364</v>
      </c>
      <c r="L218" s="53" t="n">
        <f aca="false">IF(OR($A218&gt;TOMATO_BED_CAP,$B218&gt;CARROT_BED_CAP,L$4&gt;MESCLUN_BED_CAP,$A218+$B218+L$4&gt;TOTAL_BEDS_AVAILABLE,($D218+L$5)&gt;TOTAL_LABOR_HOURS_CAP,MAX(0,($D218+L$5)-PERMANENT_FIELD_LABOR_HOURS)&gt;TEMP_HOURS_CAP),"",$C218+L$6-MIN(($D218+L$5),PERMANENT_FIELD_LABOR_HOURS)*PERMANENT_HOURLY_RATE-MAX(0,($D218+L$5)-PERMANENT_FIELD_LABOR_HOURS)*TEMP_HOURLY_RATE-FIXED_SEASON_COST)</f>
        <v>12046.2573595433</v>
      </c>
      <c r="M218" s="53" t="n">
        <f aca="false">IF(OR($A218&gt;TOMATO_BED_CAP,$B218&gt;CARROT_BED_CAP,M$4&gt;MESCLUN_BED_CAP,$A218+$B218+M$4&gt;TOTAL_BEDS_AVAILABLE,($D218+M$5)&gt;TOTAL_LABOR_HOURS_CAP,MAX(0,($D218+M$5)-PERMANENT_FIELD_LABOR_HOURS)&gt;TEMP_HOURS_CAP),"",$C218+M$6-MIN(($D218+M$5),PERMANENT_FIELD_LABOR_HOURS)*PERMANENT_HOURLY_RATE-MAX(0,($D218+M$5)-PERMANENT_FIELD_LABOR_HOURS)*TEMP_HOURLY_RATE-FIXED_SEASON_COST)</f>
        <v>12950.9610915947</v>
      </c>
      <c r="N218" s="53" t="n">
        <f aca="false">IF(OR($A218&gt;TOMATO_BED_CAP,$B218&gt;CARROT_BED_CAP,N$4&gt;MESCLUN_BED_CAP,$A218+$B218+N$4&gt;TOTAL_BEDS_AVAILABLE,($D218+N$5)&gt;TOTAL_LABOR_HOURS_CAP,MAX(0,($D218+N$5)-PERMANENT_FIELD_LABOR_HOURS)&gt;TEMP_HOURS_CAP),"",$C218+N$6-MIN(($D218+N$5),PERMANENT_FIELD_LABOR_HOURS)*PERMANENT_HOURLY_RATE-MAX(0,($D218+N$5)-PERMANENT_FIELD_LABOR_HOURS)*TEMP_HOURLY_RATE-FIXED_SEASON_COST)</f>
        <v>13833.5714654542</v>
      </c>
      <c r="O218" s="53" t="n">
        <f aca="false">IF(OR($A218&gt;TOMATO_BED_CAP,$B218&gt;CARROT_BED_CAP,O$4&gt;MESCLUN_BED_CAP,$A218+$B218+O$4&gt;TOTAL_BEDS_AVAILABLE,($D218+O$5)&gt;TOTAL_LABOR_HOURS_CAP,MAX(0,($D218+O$5)-PERMANENT_FIELD_LABOR_HOURS)&gt;TEMP_HOURS_CAP),"",$C218+O$6-MIN(($D218+O$5),PERMANENT_FIELD_LABOR_HOURS)*PERMANENT_HOURLY_RATE-MAX(0,($D218+O$5)-PERMANENT_FIELD_LABOR_HOURS)*TEMP_HOURLY_RATE-FIXED_SEASON_COST)</f>
        <v>14693.679162209</v>
      </c>
      <c r="P218" s="53" t="n">
        <f aca="false">IF(OR($A218&gt;TOMATO_BED_CAP,$B218&gt;CARROT_BED_CAP,P$4&gt;MESCLUN_BED_CAP,$A218+$B218+P$4&gt;TOTAL_BEDS_AVAILABLE,($D218+P$5)&gt;TOTAL_LABOR_HOURS_CAP,MAX(0,($D218+P$5)-PERMANENT_FIELD_LABOR_HOURS)&gt;TEMP_HOURS_CAP),"",$C218+P$6-MIN(($D218+P$5),PERMANENT_FIELD_LABOR_HOURS)*PERMANENT_HOURLY_RATE-MAX(0,($D218+P$5)-PERMANENT_FIELD_LABOR_HOURS)*TEMP_HOURLY_RATE-FIXED_SEASON_COST)</f>
        <v>15530.8680820604</v>
      </c>
      <c r="Q218" s="53" t="n">
        <f aca="false">IF(OR($A218&gt;TOMATO_BED_CAP,$B218&gt;CARROT_BED_CAP,Q$4&gt;MESCLUN_BED_CAP,$A218+$B218+Q$4&gt;TOTAL_BEDS_AVAILABLE,($D218+Q$5)&gt;TOTAL_LABOR_HOURS_CAP,MAX(0,($D218+Q$5)-PERMANENT_FIELD_LABOR_HOURS)&gt;TEMP_HOURS_CAP),"",$C218+Q$6-MIN(($D218+Q$5),PERMANENT_FIELD_LABOR_HOURS)*PERMANENT_HOURLY_RATE-MAX(0,($D218+Q$5)-PERMANENT_FIELD_LABOR_HOURS)*TEMP_HOURLY_RATE-FIXED_SEASON_COST)</f>
        <v>16344.7152387583</v>
      </c>
      <c r="R218" s="53" t="n">
        <f aca="false">IF(OR($A218&gt;TOMATO_BED_CAP,$B218&gt;CARROT_BED_CAP,R$4&gt;MESCLUN_BED_CAP,$A218+$B218+R$4&gt;TOTAL_BEDS_AVAILABLE,($D218+R$5)&gt;TOTAL_LABOR_HOURS_CAP,MAX(0,($D218+R$5)-PERMANENT_FIELD_LABOR_HOURS)&gt;TEMP_HOURS_CAP),"",$C218+R$6-MIN(($D218+R$5),PERMANENT_FIELD_LABOR_HOURS)*PERMANENT_HOURLY_RATE-MAX(0,($D218+R$5)-PERMANENT_FIELD_LABOR_HOURS)*TEMP_HOURLY_RATE-FIXED_SEASON_COST)</f>
        <v>17134.7906524551</v>
      </c>
      <c r="S218" s="53" t="n">
        <f aca="false">IF(OR($A218&gt;TOMATO_BED_CAP,$B218&gt;CARROT_BED_CAP,S$4&gt;MESCLUN_BED_CAP,$A218+$B218+S$4&gt;TOTAL_BEDS_AVAILABLE,($D218+S$5)&gt;TOTAL_LABOR_HOURS_CAP,MAX(0,($D218+S$5)-PERMANENT_FIELD_LABOR_HOURS)&gt;TEMP_HOURS_CAP),"",$C218+S$6-MIN(($D218+S$5),PERMANENT_FIELD_LABOR_HOURS)*PERMANENT_HOURLY_RATE-MAX(0,($D218+S$5)-PERMANENT_FIELD_LABOR_HOURS)*TEMP_HOURLY_RATE-FIXED_SEASON_COST)</f>
        <v>17900.6572409575</v>
      </c>
      <c r="T218" s="53" t="n">
        <f aca="false">IF(OR($A218&gt;TOMATO_BED_CAP,$B218&gt;CARROT_BED_CAP,T$4&gt;MESCLUN_BED_CAP,$A218+$B218+T$4&gt;TOTAL_BEDS_AVAILABLE,($D218+T$5)&gt;TOTAL_LABOR_HOURS_CAP,MAX(0,($D218+T$5)-PERMANENT_FIELD_LABOR_HOURS)&gt;TEMP_HOURS_CAP),"",$C218+T$6-MIN(($D218+T$5),PERMANENT_FIELD_LABOR_HOURS)*PERMANENT_HOURLY_RATE-MAX(0,($D218+T$5)-PERMANENT_FIELD_LABOR_HOURS)*TEMP_HOURLY_RATE-FIXED_SEASON_COST)</f>
        <v>18641.8707093524</v>
      </c>
      <c r="U218" s="53" t="n">
        <f aca="false">IF(OR($A218&gt;TOMATO_BED_CAP,$B218&gt;CARROT_BED_CAP,U$4&gt;MESCLUN_BED_CAP,$A218+$B218+U$4&gt;TOTAL_BEDS_AVAILABLE,($D218+U$5)&gt;TOTAL_LABOR_HOURS_CAP,MAX(0,($D218+U$5)-PERMANENT_FIELD_LABOR_HOURS)&gt;TEMP_HOURS_CAP),"",$C218+U$6-MIN(($D218+U$5),PERMANENT_FIELD_LABOR_HOURS)*PERMANENT_HOURLY_RATE-MAX(0,($D218+U$5)-PERMANENT_FIELD_LABOR_HOURS)*TEMP_HOURLY_RATE-FIXED_SEASON_COST)</f>
        <v>19357.9794379825</v>
      </c>
      <c r="V218" s="53" t="n">
        <f aca="false">IF(OR($A218&gt;TOMATO_BED_CAP,$B218&gt;CARROT_BED_CAP,V$4&gt;MESCLUN_BED_CAP,$A218+$B218+V$4&gt;TOTAL_BEDS_AVAILABLE,($D218+V$5)&gt;TOTAL_LABOR_HOURS_CAP,MAX(0,($D218+V$5)-PERMANENT_FIELD_LABOR_HOURS)&gt;TEMP_HOURS_CAP),"",$C218+V$6-MIN(($D218+V$5),PERMANENT_FIELD_LABOR_HOURS)*PERMANENT_HOURLY_RATE-MAX(0,($D218+V$5)-PERMANENT_FIELD_LABOR_HOURS)*TEMP_HOURLY_RATE-FIXED_SEASON_COST)</f>
        <v>20048.5243687493</v>
      </c>
      <c r="W218" s="53" t="n">
        <f aca="false">IF(OR($A218&gt;TOMATO_BED_CAP,$B218&gt;CARROT_BED_CAP,W$4&gt;MESCLUN_BED_CAP,$A218+$B218+W$4&gt;TOTAL_BEDS_AVAILABLE,($D218+W$5)&gt;TOTAL_LABOR_HOURS_CAP,MAX(0,($D218+W$5)-PERMANENT_FIELD_LABOR_HOURS)&gt;TEMP_HOURS_CAP),"",$C218+W$6-MIN(($D218+W$5),PERMANENT_FIELD_LABOR_HOURS)*PERMANENT_HOURLY_RATE-MAX(0,($D218+W$5)-PERMANENT_FIELD_LABOR_HOURS)*TEMP_HOURLY_RATE-FIXED_SEASON_COST)</f>
        <v>20713.0388897173</v>
      </c>
      <c r="X218" s="53" t="n">
        <f aca="false">IF(OR($A218&gt;TOMATO_BED_CAP,$B218&gt;CARROT_BED_CAP,X$4&gt;MESCLUN_BED_CAP,$A218+$B218+X$4&gt;TOTAL_BEDS_AVAILABLE,($D218+X$5)&gt;TOTAL_LABOR_HOURS_CAP,MAX(0,($D218+X$5)-PERMANENT_FIELD_LABOR_HOURS)&gt;TEMP_HOURS_CAP),"",$C218+X$6-MIN(($D218+X$5),PERMANENT_FIELD_LABOR_HOURS)*PERMANENT_HOURLY_RATE-MAX(0,($D218+X$5)-PERMANENT_FIELD_LABOR_HOURS)*TEMP_HOURLY_RATE-FIXED_SEASON_COST)</f>
        <v>21351.0487179963</v>
      </c>
      <c r="Y218" s="53" t="n">
        <f aca="false">IF(OR($A218&gt;TOMATO_BED_CAP,$B218&gt;CARROT_BED_CAP,Y$4&gt;MESCLUN_BED_CAP,$A218+$B218+Y$4&gt;TOTAL_BEDS_AVAILABLE,($D218+Y$5)&gt;TOTAL_LABOR_HOURS_CAP,MAX(0,($D218+Y$5)-PERMANENT_FIELD_LABOR_HOURS)&gt;TEMP_HOURS_CAP),"",$C218+Y$6-MIN(($D218+Y$5),PERMANENT_FIELD_LABOR_HOURS)*PERMANENT_HOURLY_RATE-MAX(0,($D218+Y$5)-PERMANENT_FIELD_LABOR_HOURS)*TEMP_HOURLY_RATE-FIXED_SEASON_COST)</f>
        <v>21962.0717808749</v>
      </c>
      <c r="Z218" s="53" t="n">
        <f aca="false">IF(OR($A218&gt;TOMATO_BED_CAP,$B218&gt;CARROT_BED_CAP,Z$4&gt;MESCLUN_BED_CAP,$A218+$B218+Z$4&gt;TOTAL_BEDS_AVAILABLE,($D218+Z$5)&gt;TOTAL_LABOR_HOURS_CAP,MAX(0,($D218+Z$5)-PERMANENT_FIELD_LABOR_HOURS)&gt;TEMP_HOURS_CAP),"",$C218+Z$6-MIN(($D218+Z$5),PERMANENT_FIELD_LABOR_HOURS)*PERMANENT_HOURLY_RATE-MAX(0,($D218+Z$5)-PERMANENT_FIELD_LABOR_HOURS)*TEMP_HOURLY_RATE-FIXED_SEASON_COST)</f>
        <v>22545.6180951827</v>
      </c>
      <c r="AA218" s="53" t="n">
        <f aca="false">IF(OR($A218&gt;TOMATO_BED_CAP,$B218&gt;CARROT_BED_CAP,AA$4&gt;MESCLUN_BED_CAP,$A218+$B218+AA$4&gt;TOTAL_BEDS_AVAILABLE,($D218+AA$5)&gt;TOTAL_LABOR_HOURS_CAP,MAX(0,($D218+AA$5)-PERMANENT_FIELD_LABOR_HOURS)&gt;TEMP_HOURS_CAP),"",$C218+AA$6-MIN(($D218+AA$5),PERMANENT_FIELD_LABOR_HOURS)*PERMANENT_HOURLY_RATE-MAX(0,($D218+AA$5)-PERMANENT_FIELD_LABOR_HOURS)*TEMP_HOURLY_RATE-FIXED_SEASON_COST)</f>
        <v>23101.1896448516</v>
      </c>
      <c r="AB218" s="53" t="n">
        <f aca="false">IF(OR($A218&gt;TOMATO_BED_CAP,$B218&gt;CARROT_BED_CAP,AB$4&gt;MESCLUN_BED_CAP,$A218+$B218+AB$4&gt;TOTAL_BEDS_AVAILABLE,($D218+AB$5)&gt;TOTAL_LABOR_HOURS_CAP,MAX(0,($D218+AB$5)-PERMANENT_FIELD_LABOR_HOURS)&gt;TEMP_HOURS_CAP),"",$C218+AB$6-MIN(($D218+AB$5),PERMANENT_FIELD_LABOR_HOURS)*PERMANENT_HOURLY_RATE-MAX(0,($D218+AB$5)-PERMANENT_FIELD_LABOR_HOURS)*TEMP_HOURLY_RATE-FIXED_SEASON_COST)</f>
        <v>23628.2802566542</v>
      </c>
      <c r="AC218" s="53" t="n">
        <f aca="false">IF(OR($A218&gt;TOMATO_BED_CAP,$B218&gt;CARROT_BED_CAP,AC$4&gt;MESCLUN_BED_CAP,$A218+$B218+AC$4&gt;TOTAL_BEDS_AVAILABLE,($D218+AC$5)&gt;TOTAL_LABOR_HOURS_CAP,MAX(0,($D218+AC$5)-PERMANENT_FIELD_LABOR_HOURS)&gt;TEMP_HOURS_CAP),"",$C218+AC$6-MIN(($D218+AC$5),PERMANENT_FIELD_LABOR_HOURS)*PERMANENT_HOURLY_RATE-MAX(0,($D218+AC$5)-PERMANENT_FIELD_LABOR_HOURS)*TEMP_HOURLY_RATE-FIXED_SEASON_COST)</f>
        <v>24126.3754740891</v>
      </c>
      <c r="AD218" s="53" t="n">
        <f aca="false">IF(OR($A218&gt;TOMATO_BED_CAP,$B218&gt;CARROT_BED_CAP,AD$4&gt;MESCLUN_BED_CAP,$A218+$B218+AD$4&gt;TOTAL_BEDS_AVAILABLE,($D218+AD$5)&gt;TOTAL_LABOR_HOURS_CAP,MAX(0,($D218+AD$5)-PERMANENT_FIELD_LABOR_HOURS)&gt;TEMP_HOURS_CAP),"",$C218+AD$6-MIN(($D218+AD$5),PERMANENT_FIELD_LABOR_HOURS)*PERMANENT_HOURLY_RATE-MAX(0,($D218+AD$5)-PERMANENT_FIELD_LABOR_HOURS)*TEMP_HOURLY_RATE-FIXED_SEASON_COST)</f>
        <v>24594.952429389</v>
      </c>
      <c r="AE218" s="53" t="n">
        <f aca="false">IF(OR($A218&gt;TOMATO_BED_CAP,$B218&gt;CARROT_BED_CAP,AE$4&gt;MESCLUN_BED_CAP,$A218+$B218+AE$4&gt;TOTAL_BEDS_AVAILABLE,($D218+AE$5)&gt;TOTAL_LABOR_HOURS_CAP,MAX(0,($D218+AE$5)-PERMANENT_FIELD_LABOR_HOURS)&gt;TEMP_HOURS_CAP),"",$C218+AE$6-MIN(($D218+AE$5),PERMANENT_FIELD_LABOR_HOURS)*PERMANENT_HOURLY_RATE-MAX(0,($D218+AE$5)-PERMANENT_FIELD_LABOR_HOURS)*TEMP_HOURLY_RATE-FIXED_SEASON_COST)</f>
        <v>25033.4797136229</v>
      </c>
      <c r="AF218" s="53" t="n">
        <f aca="false">IF(OR($A218&gt;TOMATO_BED_CAP,$B218&gt;CARROT_BED_CAP,AF$4&gt;MESCLUN_BED_CAP,$A218+$B218+AF$4&gt;TOTAL_BEDS_AVAILABLE,($D218+AF$5)&gt;TOTAL_LABOR_HOURS_CAP,MAX(0,($D218+AF$5)-PERMANENT_FIELD_LABOR_HOURS)&gt;TEMP_HOURS_CAP),"",$C218+AF$6-MIN(($D218+AF$5),PERMANENT_FIELD_LABOR_HOURS)*PERMANENT_HOURLY_RATE-MAX(0,($D218+AF$5)-PERMANENT_FIELD_LABOR_HOURS)*TEMP_HOURLY_RATE-FIXED_SEASON_COST)</f>
        <v>25441.4172448649</v>
      </c>
      <c r="AG218" s="53" t="n">
        <f aca="false">IF(OR($A218&gt;TOMATO_BED_CAP,$B218&gt;CARROT_BED_CAP,AG$4&gt;MESCLUN_BED_CAP,$A218+$B218+AG$4&gt;TOTAL_BEDS_AVAILABLE,($D218+AG$5)&gt;TOTAL_LABOR_HOURS_CAP,MAX(0,($D218+AG$5)-PERMANENT_FIELD_LABOR_HOURS)&gt;TEMP_HOURS_CAP),"",$C218+AG$6-MIN(($D218+AG$5),PERMANENT_FIELD_LABOR_HOURS)*PERMANENT_HOURLY_RATE-MAX(0,($D218+AG$5)-PERMANENT_FIELD_LABOR_HOURS)*TEMP_HOURLY_RATE-FIXED_SEASON_COST)</f>
        <v>25818.2161344019</v>
      </c>
      <c r="AH218" s="53" t="n">
        <f aca="false">IF(OR($A218&gt;TOMATO_BED_CAP,$B218&gt;CARROT_BED_CAP,AH$4&gt;MESCLUN_BED_CAP,$A218+$B218+AH$4&gt;TOTAL_BEDS_AVAILABLE,($D218+AH$5)&gt;TOTAL_LABOR_HOURS_CAP,MAX(0,($D218+AH$5)-PERMANENT_FIELD_LABOR_HOURS)&gt;TEMP_HOURS_CAP),"",$C218+AH$6-MIN(($D218+AH$5),PERMANENT_FIELD_LABOR_HOURS)*PERMANENT_HOURLY_RATE-MAX(0,($D218+AH$5)-PERMANENT_FIELD_LABOR_HOURS)*TEMP_HOURLY_RATE-FIXED_SEASON_COST)</f>
        <v>26163.3185509521</v>
      </c>
      <c r="AI218" s="53" t="n">
        <f aca="false">IF(OR($A218&gt;TOMATO_BED_CAP,$B218&gt;CARROT_BED_CAP,AI$4&gt;MESCLUN_BED_CAP,$A218+$B218+AI$4&gt;TOTAL_BEDS_AVAILABLE,($D218+AI$5)&gt;TOTAL_LABOR_HOURS_CAP,MAX(0,($D218+AI$5)-PERMANENT_FIELD_LABOR_HOURS)&gt;TEMP_HOURS_CAP),"",$C218+AI$6-MIN(($D218+AI$5),PERMANENT_FIELD_LABOR_HOURS)*PERMANENT_HOURLY_RATE-MAX(0,($D218+AI$5)-PERMANENT_FIELD_LABOR_HOURS)*TEMP_HOURLY_RATE-FIXED_SEASON_COST)</f>
        <v>26476.1575828644</v>
      </c>
      <c r="AJ218" s="53" t="n">
        <f aca="false">IF(OR($A218&gt;TOMATO_BED_CAP,$B218&gt;CARROT_BED_CAP,AJ$4&gt;MESCLUN_BED_CAP,$A218+$B218+AJ$4&gt;TOTAL_BEDS_AVAILABLE,($D218+AJ$5)&gt;TOTAL_LABOR_HOURS_CAP,MAX(0,($D218+AJ$5)-PERMANENT_FIELD_LABOR_HOURS)&gt;TEMP_HOURS_CAP),"",$C218+AJ$6-MIN(($D218+AJ$5),PERMANENT_FIELD_LABOR_HOURS)*PERMANENT_HOURLY_RATE-MAX(0,($D218+AJ$5)-PERMANENT_FIELD_LABOR_HOURS)*TEMP_HOURLY_RATE-FIXED_SEASON_COST)</f>
        <v>26756.1570982701</v>
      </c>
    </row>
    <row r="219" customFormat="false" ht="15" hidden="false" customHeight="false" outlineLevel="0" collapsed="false">
      <c r="A219" s="21" t="n">
        <f aca="false">INT((ROW()-ROW($A$8))/(20+1))</f>
        <v>10</v>
      </c>
      <c r="B219" s="21" t="n">
        <f aca="false">MOD(ROW()-ROW($A$8),20+1)</f>
        <v>1</v>
      </c>
      <c r="C219" s="13" t="n">
        <f aca="false">A219*(TOMATO_REVENUE_PER_BED-TOMATO_FERTILIZER_PER_BED)+B219*(CARROT_REVENUE_PER_BED-CARROT_FERTILIZER_PER_BED)</f>
        <v>80854</v>
      </c>
      <c r="D219" s="14" t="n">
        <f aca="false">INDEX(TOMATO_SCHED_LABOR_HRS,A219+1)+INDEX(CARROT_SCHED_LABOR_HRS,B219+1)</f>
        <v>2365.10591409</v>
      </c>
      <c r="E219" s="13" t="n">
        <f aca="false">IF(COUNT(F219:AJ219)=0,"",MAX(F219:AJ219))</f>
        <v>27876.5506262701</v>
      </c>
      <c r="F219" s="53" t="n">
        <f aca="false">IF(OR($A219&gt;TOMATO_BED_CAP,$B219&gt;CARROT_BED_CAP,F$4&gt;MESCLUN_BED_CAP,$A219+$B219+F$4&gt;TOTAL_BEDS_AVAILABLE,($D219+F$5)&gt;TOTAL_LABOR_HOURS_CAP,MAX(0,($D219+F$5)-PERMANENT_FIELD_LABOR_HOURS)&gt;TEMP_HOURS_CAP),"",$C219+F$6-MIN(($D219+F$5),PERMANENT_FIELD_LABOR_HOURS)*PERMANENT_HOURLY_RATE-MAX(0,($D219+F$5)-PERMANENT_FIELD_LABOR_HOURS)*TEMP_HOURLY_RATE-FIXED_SEASON_COST)</f>
        <v>7296.56133139757</v>
      </c>
      <c r="G219" s="53" t="n">
        <f aca="false">IF(OR($A219&gt;TOMATO_BED_CAP,$B219&gt;CARROT_BED_CAP,G$4&gt;MESCLUN_BED_CAP,$A219+$B219+G$4&gt;TOTAL_BEDS_AVAILABLE,($D219+G$5)&gt;TOTAL_LABOR_HOURS_CAP,MAX(0,($D219+G$5)-PERMANENT_FIELD_LABOR_HOURS)&gt;TEMP_HOURS_CAP),"",$C219+G$6-MIN(($D219+G$5),PERMANENT_FIELD_LABOR_HOURS)*PERMANENT_HOURLY_RATE-MAX(0,($D219+G$5)-PERMANENT_FIELD_LABOR_HOURS)*TEMP_HOURLY_RATE-FIXED_SEASON_COST)</f>
        <v>8325.59633139757</v>
      </c>
      <c r="H219" s="53" t="n">
        <f aca="false">IF(OR($A219&gt;TOMATO_BED_CAP,$B219&gt;CARROT_BED_CAP,H$4&gt;MESCLUN_BED_CAP,$A219+$B219+H$4&gt;TOTAL_BEDS_AVAILABLE,($D219+H$5)&gt;TOTAL_LABOR_HOURS_CAP,MAX(0,($D219+H$5)-PERMANENT_FIELD_LABOR_HOURS)&gt;TEMP_HOURS_CAP),"",$C219+H$6-MIN(($D219+H$5),PERMANENT_FIELD_LABOR_HOURS)*PERMANENT_HOURLY_RATE-MAX(0,($D219+H$5)-PERMANENT_FIELD_LABOR_HOURS)*TEMP_HOURLY_RATE-FIXED_SEASON_COST)</f>
        <v>9334.85720639757</v>
      </c>
      <c r="I219" s="53" t="n">
        <f aca="false">IF(OR($A219&gt;TOMATO_BED_CAP,$B219&gt;CARROT_BED_CAP,I$4&gt;MESCLUN_BED_CAP,$A219+$B219+I$4&gt;TOTAL_BEDS_AVAILABLE,($D219+I$5)&gt;TOTAL_LABOR_HOURS_CAP,MAX(0,($D219+I$5)-PERMANENT_FIELD_LABOR_HOURS)&gt;TEMP_HOURS_CAP),"",$C219+I$6-MIN(($D219+I$5),PERMANENT_FIELD_LABOR_HOURS)*PERMANENT_HOURLY_RATE-MAX(0,($D219+I$5)-PERMANENT_FIELD_LABOR_HOURS)*TEMP_HOURLY_RATE-FIXED_SEASON_COST)</f>
        <v>10323.9731915538</v>
      </c>
      <c r="J219" s="53" t="n">
        <f aca="false">IF(OR($A219&gt;TOMATO_BED_CAP,$B219&gt;CARROT_BED_CAP,J$4&gt;MESCLUN_BED_CAP,$A219+$B219+J$4&gt;TOTAL_BEDS_AVAILABLE,($D219+J$5)&gt;TOTAL_LABOR_HOURS_CAP,MAX(0,($D219+J$5)-PERMANENT_FIELD_LABOR_HOURS)&gt;TEMP_HOURS_CAP),"",$C219+J$6-MIN(($D219+J$5),PERMANENT_FIELD_LABOR_HOURS)*PERMANENT_HOURLY_RATE-MAX(0,($D219+J$5)-PERMANENT_FIELD_LABOR_HOURS)*TEMP_HOURLY_RATE-FIXED_SEASON_COST)</f>
        <v>11292.5673426085</v>
      </c>
      <c r="K219" s="53" t="n">
        <f aca="false">IF(OR($A219&gt;TOMATO_BED_CAP,$B219&gt;CARROT_BED_CAP,K$4&gt;MESCLUN_BED_CAP,$A219+$B219+K$4&gt;TOTAL_BEDS_AVAILABLE,($D219+K$5)&gt;TOTAL_LABOR_HOURS_CAP,MAX(0,($D219+K$5)-PERMANENT_FIELD_LABOR_HOURS)&gt;TEMP_HOURS_CAP),"",$C219+K$6-MIN(($D219+K$5),PERMANENT_FIELD_LABOR_HOURS)*PERMANENT_HOURLY_RATE-MAX(0,($D219+K$5)-PERMANENT_FIELD_LABOR_HOURS)*TEMP_HOURLY_RATE-FIXED_SEASON_COST)</f>
        <v>12240.2564393364</v>
      </c>
      <c r="L219" s="53" t="n">
        <f aca="false">IF(OR($A219&gt;TOMATO_BED_CAP,$B219&gt;CARROT_BED_CAP,L$4&gt;MESCLUN_BED_CAP,$A219+$B219+L$4&gt;TOTAL_BEDS_AVAILABLE,($D219+L$5)&gt;TOTAL_LABOR_HOURS_CAP,MAX(0,($D219+L$5)-PERMANENT_FIELD_LABOR_HOURS)&gt;TEMP_HOURS_CAP),"",$C219+L$6-MIN(($D219+L$5),PERMANENT_FIELD_LABOR_HOURS)*PERMANENT_HOURLY_RATE-MAX(0,($D219+L$5)-PERMANENT_FIELD_LABOR_HOURS)*TEMP_HOURLY_RATE-FIXED_SEASON_COST)</f>
        <v>13166.6508875433</v>
      </c>
      <c r="M219" s="53" t="n">
        <f aca="false">IF(OR($A219&gt;TOMATO_BED_CAP,$B219&gt;CARROT_BED_CAP,M$4&gt;MESCLUN_BED_CAP,$A219+$B219+M$4&gt;TOTAL_BEDS_AVAILABLE,($D219+M$5)&gt;TOTAL_LABOR_HOURS_CAP,MAX(0,($D219+M$5)-PERMANENT_FIELD_LABOR_HOURS)&gt;TEMP_HOURS_CAP),"",$C219+M$6-MIN(($D219+M$5),PERMANENT_FIELD_LABOR_HOURS)*PERMANENT_HOURLY_RATE-MAX(0,($D219+M$5)-PERMANENT_FIELD_LABOR_HOURS)*TEMP_HOURLY_RATE-FIXED_SEASON_COST)</f>
        <v>14071.3546195947</v>
      </c>
      <c r="N219" s="53" t="n">
        <f aca="false">IF(OR($A219&gt;TOMATO_BED_CAP,$B219&gt;CARROT_BED_CAP,N$4&gt;MESCLUN_BED_CAP,$A219+$B219+N$4&gt;TOTAL_BEDS_AVAILABLE,($D219+N$5)&gt;TOTAL_LABOR_HOURS_CAP,MAX(0,($D219+N$5)-PERMANENT_FIELD_LABOR_HOURS)&gt;TEMP_HOURS_CAP),"",$C219+N$6-MIN(($D219+N$5),PERMANENT_FIELD_LABOR_HOURS)*PERMANENT_HOURLY_RATE-MAX(0,($D219+N$5)-PERMANENT_FIELD_LABOR_HOURS)*TEMP_HOURLY_RATE-FIXED_SEASON_COST)</f>
        <v>14953.9649934542</v>
      </c>
      <c r="O219" s="53" t="n">
        <f aca="false">IF(OR($A219&gt;TOMATO_BED_CAP,$B219&gt;CARROT_BED_CAP,O$4&gt;MESCLUN_BED_CAP,$A219+$B219+O$4&gt;TOTAL_BEDS_AVAILABLE,($D219+O$5)&gt;TOTAL_LABOR_HOURS_CAP,MAX(0,($D219+O$5)-PERMANENT_FIELD_LABOR_HOURS)&gt;TEMP_HOURS_CAP),"",$C219+O$6-MIN(($D219+O$5),PERMANENT_FIELD_LABOR_HOURS)*PERMANENT_HOURLY_RATE-MAX(0,($D219+O$5)-PERMANENT_FIELD_LABOR_HOURS)*TEMP_HOURLY_RATE-FIXED_SEASON_COST)</f>
        <v>15814.072690209</v>
      </c>
      <c r="P219" s="53" t="n">
        <f aca="false">IF(OR($A219&gt;TOMATO_BED_CAP,$B219&gt;CARROT_BED_CAP,P$4&gt;MESCLUN_BED_CAP,$A219+$B219+P$4&gt;TOTAL_BEDS_AVAILABLE,($D219+P$5)&gt;TOTAL_LABOR_HOURS_CAP,MAX(0,($D219+P$5)-PERMANENT_FIELD_LABOR_HOURS)&gt;TEMP_HOURS_CAP),"",$C219+P$6-MIN(($D219+P$5),PERMANENT_FIELD_LABOR_HOURS)*PERMANENT_HOURLY_RATE-MAX(0,($D219+P$5)-PERMANENT_FIELD_LABOR_HOURS)*TEMP_HOURLY_RATE-FIXED_SEASON_COST)</f>
        <v>16651.2616100604</v>
      </c>
      <c r="Q219" s="53" t="n">
        <f aca="false">IF(OR($A219&gt;TOMATO_BED_CAP,$B219&gt;CARROT_BED_CAP,Q$4&gt;MESCLUN_BED_CAP,$A219+$B219+Q$4&gt;TOTAL_BEDS_AVAILABLE,($D219+Q$5)&gt;TOTAL_LABOR_HOURS_CAP,MAX(0,($D219+Q$5)-PERMANENT_FIELD_LABOR_HOURS)&gt;TEMP_HOURS_CAP),"",$C219+Q$6-MIN(($D219+Q$5),PERMANENT_FIELD_LABOR_HOURS)*PERMANENT_HOURLY_RATE-MAX(0,($D219+Q$5)-PERMANENT_FIELD_LABOR_HOURS)*TEMP_HOURLY_RATE-FIXED_SEASON_COST)</f>
        <v>17465.1087667583</v>
      </c>
      <c r="R219" s="53" t="n">
        <f aca="false">IF(OR($A219&gt;TOMATO_BED_CAP,$B219&gt;CARROT_BED_CAP,R$4&gt;MESCLUN_BED_CAP,$A219+$B219+R$4&gt;TOTAL_BEDS_AVAILABLE,($D219+R$5)&gt;TOTAL_LABOR_HOURS_CAP,MAX(0,($D219+R$5)-PERMANENT_FIELD_LABOR_HOURS)&gt;TEMP_HOURS_CAP),"",$C219+R$6-MIN(($D219+R$5),PERMANENT_FIELD_LABOR_HOURS)*PERMANENT_HOURLY_RATE-MAX(0,($D219+R$5)-PERMANENT_FIELD_LABOR_HOURS)*TEMP_HOURLY_RATE-FIXED_SEASON_COST)</f>
        <v>18255.1841804551</v>
      </c>
      <c r="S219" s="53" t="n">
        <f aca="false">IF(OR($A219&gt;TOMATO_BED_CAP,$B219&gt;CARROT_BED_CAP,S$4&gt;MESCLUN_BED_CAP,$A219+$B219+S$4&gt;TOTAL_BEDS_AVAILABLE,($D219+S$5)&gt;TOTAL_LABOR_HOURS_CAP,MAX(0,($D219+S$5)-PERMANENT_FIELD_LABOR_HOURS)&gt;TEMP_HOURS_CAP),"",$C219+S$6-MIN(($D219+S$5),PERMANENT_FIELD_LABOR_HOURS)*PERMANENT_HOURLY_RATE-MAX(0,($D219+S$5)-PERMANENT_FIELD_LABOR_HOURS)*TEMP_HOURLY_RATE-FIXED_SEASON_COST)</f>
        <v>19021.0507689575</v>
      </c>
      <c r="T219" s="53" t="n">
        <f aca="false">IF(OR($A219&gt;TOMATO_BED_CAP,$B219&gt;CARROT_BED_CAP,T$4&gt;MESCLUN_BED_CAP,$A219+$B219+T$4&gt;TOTAL_BEDS_AVAILABLE,($D219+T$5)&gt;TOTAL_LABOR_HOURS_CAP,MAX(0,($D219+T$5)-PERMANENT_FIELD_LABOR_HOURS)&gt;TEMP_HOURS_CAP),"",$C219+T$6-MIN(($D219+T$5),PERMANENT_FIELD_LABOR_HOURS)*PERMANENT_HOURLY_RATE-MAX(0,($D219+T$5)-PERMANENT_FIELD_LABOR_HOURS)*TEMP_HOURLY_RATE-FIXED_SEASON_COST)</f>
        <v>19762.2642373524</v>
      </c>
      <c r="U219" s="53" t="n">
        <f aca="false">IF(OR($A219&gt;TOMATO_BED_CAP,$B219&gt;CARROT_BED_CAP,U$4&gt;MESCLUN_BED_CAP,$A219+$B219+U$4&gt;TOTAL_BEDS_AVAILABLE,($D219+U$5)&gt;TOTAL_LABOR_HOURS_CAP,MAX(0,($D219+U$5)-PERMANENT_FIELD_LABOR_HOURS)&gt;TEMP_HOURS_CAP),"",$C219+U$6-MIN(($D219+U$5),PERMANENT_FIELD_LABOR_HOURS)*PERMANENT_HOURLY_RATE-MAX(0,($D219+U$5)-PERMANENT_FIELD_LABOR_HOURS)*TEMP_HOURLY_RATE-FIXED_SEASON_COST)</f>
        <v>20478.3729659825</v>
      </c>
      <c r="V219" s="53" t="n">
        <f aca="false">IF(OR($A219&gt;TOMATO_BED_CAP,$B219&gt;CARROT_BED_CAP,V$4&gt;MESCLUN_BED_CAP,$A219+$B219+V$4&gt;TOTAL_BEDS_AVAILABLE,($D219+V$5)&gt;TOTAL_LABOR_HOURS_CAP,MAX(0,($D219+V$5)-PERMANENT_FIELD_LABOR_HOURS)&gt;TEMP_HOURS_CAP),"",$C219+V$6-MIN(($D219+V$5),PERMANENT_FIELD_LABOR_HOURS)*PERMANENT_HOURLY_RATE-MAX(0,($D219+V$5)-PERMANENT_FIELD_LABOR_HOURS)*TEMP_HOURLY_RATE-FIXED_SEASON_COST)</f>
        <v>21168.9178967493</v>
      </c>
      <c r="W219" s="53" t="n">
        <f aca="false">IF(OR($A219&gt;TOMATO_BED_CAP,$B219&gt;CARROT_BED_CAP,W$4&gt;MESCLUN_BED_CAP,$A219+$B219+W$4&gt;TOTAL_BEDS_AVAILABLE,($D219+W$5)&gt;TOTAL_LABOR_HOURS_CAP,MAX(0,($D219+W$5)-PERMANENT_FIELD_LABOR_HOURS)&gt;TEMP_HOURS_CAP),"",$C219+W$6-MIN(($D219+W$5),PERMANENT_FIELD_LABOR_HOURS)*PERMANENT_HOURLY_RATE-MAX(0,($D219+W$5)-PERMANENT_FIELD_LABOR_HOURS)*TEMP_HOURLY_RATE-FIXED_SEASON_COST)</f>
        <v>21833.4324177173</v>
      </c>
      <c r="X219" s="53" t="n">
        <f aca="false">IF(OR($A219&gt;TOMATO_BED_CAP,$B219&gt;CARROT_BED_CAP,X$4&gt;MESCLUN_BED_CAP,$A219+$B219+X$4&gt;TOTAL_BEDS_AVAILABLE,($D219+X$5)&gt;TOTAL_LABOR_HOURS_CAP,MAX(0,($D219+X$5)-PERMANENT_FIELD_LABOR_HOURS)&gt;TEMP_HOURS_CAP),"",$C219+X$6-MIN(($D219+X$5),PERMANENT_FIELD_LABOR_HOURS)*PERMANENT_HOURLY_RATE-MAX(0,($D219+X$5)-PERMANENT_FIELD_LABOR_HOURS)*TEMP_HOURLY_RATE-FIXED_SEASON_COST)</f>
        <v>22471.4422459963</v>
      </c>
      <c r="Y219" s="53" t="n">
        <f aca="false">IF(OR($A219&gt;TOMATO_BED_CAP,$B219&gt;CARROT_BED_CAP,Y$4&gt;MESCLUN_BED_CAP,$A219+$B219+Y$4&gt;TOTAL_BEDS_AVAILABLE,($D219+Y$5)&gt;TOTAL_LABOR_HOURS_CAP,MAX(0,($D219+Y$5)-PERMANENT_FIELD_LABOR_HOURS)&gt;TEMP_HOURS_CAP),"",$C219+Y$6-MIN(($D219+Y$5),PERMANENT_FIELD_LABOR_HOURS)*PERMANENT_HOURLY_RATE-MAX(0,($D219+Y$5)-PERMANENT_FIELD_LABOR_HOURS)*TEMP_HOURLY_RATE-FIXED_SEASON_COST)</f>
        <v>23082.4653088749</v>
      </c>
      <c r="Z219" s="53" t="n">
        <f aca="false">IF(OR($A219&gt;TOMATO_BED_CAP,$B219&gt;CARROT_BED_CAP,Z$4&gt;MESCLUN_BED_CAP,$A219+$B219+Z$4&gt;TOTAL_BEDS_AVAILABLE,($D219+Z$5)&gt;TOTAL_LABOR_HOURS_CAP,MAX(0,($D219+Z$5)-PERMANENT_FIELD_LABOR_HOURS)&gt;TEMP_HOURS_CAP),"",$C219+Z$6-MIN(($D219+Z$5),PERMANENT_FIELD_LABOR_HOURS)*PERMANENT_HOURLY_RATE-MAX(0,($D219+Z$5)-PERMANENT_FIELD_LABOR_HOURS)*TEMP_HOURLY_RATE-FIXED_SEASON_COST)</f>
        <v>23666.0116231826</v>
      </c>
      <c r="AA219" s="53" t="n">
        <f aca="false">IF(OR($A219&gt;TOMATO_BED_CAP,$B219&gt;CARROT_BED_CAP,AA$4&gt;MESCLUN_BED_CAP,$A219+$B219+AA$4&gt;TOTAL_BEDS_AVAILABLE,($D219+AA$5)&gt;TOTAL_LABOR_HOURS_CAP,MAX(0,($D219+AA$5)-PERMANENT_FIELD_LABOR_HOURS)&gt;TEMP_HOURS_CAP),"",$C219+AA$6-MIN(($D219+AA$5),PERMANENT_FIELD_LABOR_HOURS)*PERMANENT_HOURLY_RATE-MAX(0,($D219+AA$5)-PERMANENT_FIELD_LABOR_HOURS)*TEMP_HOURLY_RATE-FIXED_SEASON_COST)</f>
        <v>24221.5831728516</v>
      </c>
      <c r="AB219" s="53" t="n">
        <f aca="false">IF(OR($A219&gt;TOMATO_BED_CAP,$B219&gt;CARROT_BED_CAP,AB$4&gt;MESCLUN_BED_CAP,$A219+$B219+AB$4&gt;TOTAL_BEDS_AVAILABLE,($D219+AB$5)&gt;TOTAL_LABOR_HOURS_CAP,MAX(0,($D219+AB$5)-PERMANENT_FIELD_LABOR_HOURS)&gt;TEMP_HOURS_CAP),"",$C219+AB$6-MIN(($D219+AB$5),PERMANENT_FIELD_LABOR_HOURS)*PERMANENT_HOURLY_RATE-MAX(0,($D219+AB$5)-PERMANENT_FIELD_LABOR_HOURS)*TEMP_HOURLY_RATE-FIXED_SEASON_COST)</f>
        <v>24748.6737846542</v>
      </c>
      <c r="AC219" s="53" t="n">
        <f aca="false">IF(OR($A219&gt;TOMATO_BED_CAP,$B219&gt;CARROT_BED_CAP,AC$4&gt;MESCLUN_BED_CAP,$A219+$B219+AC$4&gt;TOTAL_BEDS_AVAILABLE,($D219+AC$5)&gt;TOTAL_LABOR_HOURS_CAP,MAX(0,($D219+AC$5)-PERMANENT_FIELD_LABOR_HOURS)&gt;TEMP_HOURS_CAP),"",$C219+AC$6-MIN(($D219+AC$5),PERMANENT_FIELD_LABOR_HOURS)*PERMANENT_HOURLY_RATE-MAX(0,($D219+AC$5)-PERMANENT_FIELD_LABOR_HOURS)*TEMP_HOURLY_RATE-FIXED_SEASON_COST)</f>
        <v>25246.7690020891</v>
      </c>
      <c r="AD219" s="53" t="n">
        <f aca="false">IF(OR($A219&gt;TOMATO_BED_CAP,$B219&gt;CARROT_BED_CAP,AD$4&gt;MESCLUN_BED_CAP,$A219+$B219+AD$4&gt;TOTAL_BEDS_AVAILABLE,($D219+AD$5)&gt;TOTAL_LABOR_HOURS_CAP,MAX(0,($D219+AD$5)-PERMANENT_FIELD_LABOR_HOURS)&gt;TEMP_HOURS_CAP),"",$C219+AD$6-MIN(($D219+AD$5),PERMANENT_FIELD_LABOR_HOURS)*PERMANENT_HOURLY_RATE-MAX(0,($D219+AD$5)-PERMANENT_FIELD_LABOR_HOURS)*TEMP_HOURLY_RATE-FIXED_SEASON_COST)</f>
        <v>25715.345957389</v>
      </c>
      <c r="AE219" s="53" t="n">
        <f aca="false">IF(OR($A219&gt;TOMATO_BED_CAP,$B219&gt;CARROT_BED_CAP,AE$4&gt;MESCLUN_BED_CAP,$A219+$B219+AE$4&gt;TOTAL_BEDS_AVAILABLE,($D219+AE$5)&gt;TOTAL_LABOR_HOURS_CAP,MAX(0,($D219+AE$5)-PERMANENT_FIELD_LABOR_HOURS)&gt;TEMP_HOURS_CAP),"",$C219+AE$6-MIN(($D219+AE$5),PERMANENT_FIELD_LABOR_HOURS)*PERMANENT_HOURLY_RATE-MAX(0,($D219+AE$5)-PERMANENT_FIELD_LABOR_HOURS)*TEMP_HOURLY_RATE-FIXED_SEASON_COST)</f>
        <v>26153.8732416229</v>
      </c>
      <c r="AF219" s="53" t="n">
        <f aca="false">IF(OR($A219&gt;TOMATO_BED_CAP,$B219&gt;CARROT_BED_CAP,AF$4&gt;MESCLUN_BED_CAP,$A219+$B219+AF$4&gt;TOTAL_BEDS_AVAILABLE,($D219+AF$5)&gt;TOTAL_LABOR_HOURS_CAP,MAX(0,($D219+AF$5)-PERMANENT_FIELD_LABOR_HOURS)&gt;TEMP_HOURS_CAP),"",$C219+AF$6-MIN(($D219+AF$5),PERMANENT_FIELD_LABOR_HOURS)*PERMANENT_HOURLY_RATE-MAX(0,($D219+AF$5)-PERMANENT_FIELD_LABOR_HOURS)*TEMP_HOURLY_RATE-FIXED_SEASON_COST)</f>
        <v>26561.8107728649</v>
      </c>
      <c r="AG219" s="53" t="n">
        <f aca="false">IF(OR($A219&gt;TOMATO_BED_CAP,$B219&gt;CARROT_BED_CAP,AG$4&gt;MESCLUN_BED_CAP,$A219+$B219+AG$4&gt;TOTAL_BEDS_AVAILABLE,($D219+AG$5)&gt;TOTAL_LABOR_HOURS_CAP,MAX(0,($D219+AG$5)-PERMANENT_FIELD_LABOR_HOURS)&gt;TEMP_HOURS_CAP),"",$C219+AG$6-MIN(($D219+AG$5),PERMANENT_FIELD_LABOR_HOURS)*PERMANENT_HOURLY_RATE-MAX(0,($D219+AG$5)-PERMANENT_FIELD_LABOR_HOURS)*TEMP_HOURLY_RATE-FIXED_SEASON_COST)</f>
        <v>26938.6096624019</v>
      </c>
      <c r="AH219" s="53" t="n">
        <f aca="false">IF(OR($A219&gt;TOMATO_BED_CAP,$B219&gt;CARROT_BED_CAP,AH$4&gt;MESCLUN_BED_CAP,$A219+$B219+AH$4&gt;TOTAL_BEDS_AVAILABLE,($D219+AH$5)&gt;TOTAL_LABOR_HOURS_CAP,MAX(0,($D219+AH$5)-PERMANENT_FIELD_LABOR_HOURS)&gt;TEMP_HOURS_CAP),"",$C219+AH$6-MIN(($D219+AH$5),PERMANENT_FIELD_LABOR_HOURS)*PERMANENT_HOURLY_RATE-MAX(0,($D219+AH$5)-PERMANENT_FIELD_LABOR_HOURS)*TEMP_HOURLY_RATE-FIXED_SEASON_COST)</f>
        <v>27283.7120789521</v>
      </c>
      <c r="AI219" s="53" t="n">
        <f aca="false">IF(OR($A219&gt;TOMATO_BED_CAP,$B219&gt;CARROT_BED_CAP,AI$4&gt;MESCLUN_BED_CAP,$A219+$B219+AI$4&gt;TOTAL_BEDS_AVAILABLE,($D219+AI$5)&gt;TOTAL_LABOR_HOURS_CAP,MAX(0,($D219+AI$5)-PERMANENT_FIELD_LABOR_HOURS)&gt;TEMP_HOURS_CAP),"",$C219+AI$6-MIN(($D219+AI$5),PERMANENT_FIELD_LABOR_HOURS)*PERMANENT_HOURLY_RATE-MAX(0,($D219+AI$5)-PERMANENT_FIELD_LABOR_HOURS)*TEMP_HOURLY_RATE-FIXED_SEASON_COST)</f>
        <v>27596.5511108644</v>
      </c>
      <c r="AJ219" s="53" t="n">
        <f aca="false">IF(OR($A219&gt;TOMATO_BED_CAP,$B219&gt;CARROT_BED_CAP,AJ$4&gt;MESCLUN_BED_CAP,$A219+$B219+AJ$4&gt;TOTAL_BEDS_AVAILABLE,($D219+AJ$5)&gt;TOTAL_LABOR_HOURS_CAP,MAX(0,($D219+AJ$5)-PERMANENT_FIELD_LABOR_HOURS)&gt;TEMP_HOURS_CAP),"",$C219+AJ$6-MIN(($D219+AJ$5),PERMANENT_FIELD_LABOR_HOURS)*PERMANENT_HOURLY_RATE-MAX(0,($D219+AJ$5)-PERMANENT_FIELD_LABOR_HOURS)*TEMP_HOURLY_RATE-FIXED_SEASON_COST)</f>
        <v>27876.5506262701</v>
      </c>
    </row>
    <row r="220" customFormat="false" ht="15" hidden="false" customHeight="false" outlineLevel="0" collapsed="false">
      <c r="A220" s="21" t="n">
        <f aca="false">INT((ROW()-ROW($A$8))/(20+1))</f>
        <v>10</v>
      </c>
      <c r="B220" s="21" t="n">
        <f aca="false">MOD(ROW()-ROW($A$8),20+1)</f>
        <v>2</v>
      </c>
      <c r="C220" s="13" t="n">
        <f aca="false">A220*(TOMATO_REVENUE_PER_BED-TOMATO_FERTILIZER_PER_BED)+B220*(CARROT_REVENUE_PER_BED-CARROT_FERTILIZER_PER_BED)</f>
        <v>82508</v>
      </c>
      <c r="D220" s="14" t="n">
        <f aca="false">INDEX(TOMATO_SCHED_LABOR_HRS,A220+1)+INDEX(CARROT_SCHED_LABOR_HRS,B220+1)</f>
        <v>2397.38049909</v>
      </c>
      <c r="E220" s="13" t="n">
        <f aca="false">IF(COUNT(F220:AJ220)=0,"",MAX(F220:AJ220))</f>
        <v>28970.2638306701</v>
      </c>
      <c r="F220" s="53" t="n">
        <f aca="false">IF(OR($A220&gt;TOMATO_BED_CAP,$B220&gt;CARROT_BED_CAP,F$4&gt;MESCLUN_BED_CAP,$A220+$B220+F$4&gt;TOTAL_BEDS_AVAILABLE,($D220+F$5)&gt;TOTAL_LABOR_HOURS_CAP,MAX(0,($D220+F$5)-PERMANENT_FIELD_LABOR_HOURS)&gt;TEMP_HOURS_CAP),"",$C220+F$6-MIN(($D220+F$5),PERMANENT_FIELD_LABOR_HOURS)*PERMANENT_HOURLY_RATE-MAX(0,($D220+F$5)-PERMANENT_FIELD_LABOR_HOURS)*TEMP_HOURLY_RATE-FIXED_SEASON_COST)</f>
        <v>8390.27453579758</v>
      </c>
      <c r="G220" s="53" t="n">
        <f aca="false">IF(OR($A220&gt;TOMATO_BED_CAP,$B220&gt;CARROT_BED_CAP,G$4&gt;MESCLUN_BED_CAP,$A220+$B220+G$4&gt;TOTAL_BEDS_AVAILABLE,($D220+G$5)&gt;TOTAL_LABOR_HOURS_CAP,MAX(0,($D220+G$5)-PERMANENT_FIELD_LABOR_HOURS)&gt;TEMP_HOURS_CAP),"",$C220+G$6-MIN(($D220+G$5),PERMANENT_FIELD_LABOR_HOURS)*PERMANENT_HOURLY_RATE-MAX(0,($D220+G$5)-PERMANENT_FIELD_LABOR_HOURS)*TEMP_HOURLY_RATE-FIXED_SEASON_COST)</f>
        <v>9419.30953579758</v>
      </c>
      <c r="H220" s="53" t="n">
        <f aca="false">IF(OR($A220&gt;TOMATO_BED_CAP,$B220&gt;CARROT_BED_CAP,H$4&gt;MESCLUN_BED_CAP,$A220+$B220+H$4&gt;TOTAL_BEDS_AVAILABLE,($D220+H$5)&gt;TOTAL_LABOR_HOURS_CAP,MAX(0,($D220+H$5)-PERMANENT_FIELD_LABOR_HOURS)&gt;TEMP_HOURS_CAP),"",$C220+H$6-MIN(($D220+H$5),PERMANENT_FIELD_LABOR_HOURS)*PERMANENT_HOURLY_RATE-MAX(0,($D220+H$5)-PERMANENT_FIELD_LABOR_HOURS)*TEMP_HOURLY_RATE-FIXED_SEASON_COST)</f>
        <v>10428.5704107976</v>
      </c>
      <c r="I220" s="53" t="n">
        <f aca="false">IF(OR($A220&gt;TOMATO_BED_CAP,$B220&gt;CARROT_BED_CAP,I$4&gt;MESCLUN_BED_CAP,$A220+$B220+I$4&gt;TOTAL_BEDS_AVAILABLE,($D220+I$5)&gt;TOTAL_LABOR_HOURS_CAP,MAX(0,($D220+I$5)-PERMANENT_FIELD_LABOR_HOURS)&gt;TEMP_HOURS_CAP),"",$C220+I$6-MIN(($D220+I$5),PERMANENT_FIELD_LABOR_HOURS)*PERMANENT_HOURLY_RATE-MAX(0,($D220+I$5)-PERMANENT_FIELD_LABOR_HOURS)*TEMP_HOURLY_RATE-FIXED_SEASON_COST)</f>
        <v>11417.6863959538</v>
      </c>
      <c r="J220" s="53" t="n">
        <f aca="false">IF(OR($A220&gt;TOMATO_BED_CAP,$B220&gt;CARROT_BED_CAP,J$4&gt;MESCLUN_BED_CAP,$A220+$B220+J$4&gt;TOTAL_BEDS_AVAILABLE,($D220+J$5)&gt;TOTAL_LABOR_HOURS_CAP,MAX(0,($D220+J$5)-PERMANENT_FIELD_LABOR_HOURS)&gt;TEMP_HOURS_CAP),"",$C220+J$6-MIN(($D220+J$5),PERMANENT_FIELD_LABOR_HOURS)*PERMANENT_HOURLY_RATE-MAX(0,($D220+J$5)-PERMANENT_FIELD_LABOR_HOURS)*TEMP_HOURLY_RATE-FIXED_SEASON_COST)</f>
        <v>12386.2805470085</v>
      </c>
      <c r="K220" s="53" t="n">
        <f aca="false">IF(OR($A220&gt;TOMATO_BED_CAP,$B220&gt;CARROT_BED_CAP,K$4&gt;MESCLUN_BED_CAP,$A220+$B220+K$4&gt;TOTAL_BEDS_AVAILABLE,($D220+K$5)&gt;TOTAL_LABOR_HOURS_CAP,MAX(0,($D220+K$5)-PERMANENT_FIELD_LABOR_HOURS)&gt;TEMP_HOURS_CAP),"",$C220+K$6-MIN(($D220+K$5),PERMANENT_FIELD_LABOR_HOURS)*PERMANENT_HOURLY_RATE-MAX(0,($D220+K$5)-PERMANENT_FIELD_LABOR_HOURS)*TEMP_HOURLY_RATE-FIXED_SEASON_COST)</f>
        <v>13333.9696437364</v>
      </c>
      <c r="L220" s="53" t="n">
        <f aca="false">IF(OR($A220&gt;TOMATO_BED_CAP,$B220&gt;CARROT_BED_CAP,L$4&gt;MESCLUN_BED_CAP,$A220+$B220+L$4&gt;TOTAL_BEDS_AVAILABLE,($D220+L$5)&gt;TOTAL_LABOR_HOURS_CAP,MAX(0,($D220+L$5)-PERMANENT_FIELD_LABOR_HOURS)&gt;TEMP_HOURS_CAP),"",$C220+L$6-MIN(($D220+L$5),PERMANENT_FIELD_LABOR_HOURS)*PERMANENT_HOURLY_RATE-MAX(0,($D220+L$5)-PERMANENT_FIELD_LABOR_HOURS)*TEMP_HOURLY_RATE-FIXED_SEASON_COST)</f>
        <v>14260.3640919433</v>
      </c>
      <c r="M220" s="53" t="n">
        <f aca="false">IF(OR($A220&gt;TOMATO_BED_CAP,$B220&gt;CARROT_BED_CAP,M$4&gt;MESCLUN_BED_CAP,$A220+$B220+M$4&gt;TOTAL_BEDS_AVAILABLE,($D220+M$5)&gt;TOTAL_LABOR_HOURS_CAP,MAX(0,($D220+M$5)-PERMANENT_FIELD_LABOR_HOURS)&gt;TEMP_HOURS_CAP),"",$C220+M$6-MIN(($D220+M$5),PERMANENT_FIELD_LABOR_HOURS)*PERMANENT_HOURLY_RATE-MAX(0,($D220+M$5)-PERMANENT_FIELD_LABOR_HOURS)*TEMP_HOURLY_RATE-FIXED_SEASON_COST)</f>
        <v>15165.0678239947</v>
      </c>
      <c r="N220" s="53" t="n">
        <f aca="false">IF(OR($A220&gt;TOMATO_BED_CAP,$B220&gt;CARROT_BED_CAP,N$4&gt;MESCLUN_BED_CAP,$A220+$B220+N$4&gt;TOTAL_BEDS_AVAILABLE,($D220+N$5)&gt;TOTAL_LABOR_HOURS_CAP,MAX(0,($D220+N$5)-PERMANENT_FIELD_LABOR_HOURS)&gt;TEMP_HOURS_CAP),"",$C220+N$6-MIN(($D220+N$5),PERMANENT_FIELD_LABOR_HOURS)*PERMANENT_HOURLY_RATE-MAX(0,($D220+N$5)-PERMANENT_FIELD_LABOR_HOURS)*TEMP_HOURLY_RATE-FIXED_SEASON_COST)</f>
        <v>16047.6781978542</v>
      </c>
      <c r="O220" s="53" t="n">
        <f aca="false">IF(OR($A220&gt;TOMATO_BED_CAP,$B220&gt;CARROT_BED_CAP,O$4&gt;MESCLUN_BED_CAP,$A220+$B220+O$4&gt;TOTAL_BEDS_AVAILABLE,($D220+O$5)&gt;TOTAL_LABOR_HOURS_CAP,MAX(0,($D220+O$5)-PERMANENT_FIELD_LABOR_HOURS)&gt;TEMP_HOURS_CAP),"",$C220+O$6-MIN(($D220+O$5),PERMANENT_FIELD_LABOR_HOURS)*PERMANENT_HOURLY_RATE-MAX(0,($D220+O$5)-PERMANENT_FIELD_LABOR_HOURS)*TEMP_HOURLY_RATE-FIXED_SEASON_COST)</f>
        <v>16907.785894609</v>
      </c>
      <c r="P220" s="53" t="n">
        <f aca="false">IF(OR($A220&gt;TOMATO_BED_CAP,$B220&gt;CARROT_BED_CAP,P$4&gt;MESCLUN_BED_CAP,$A220+$B220+P$4&gt;TOTAL_BEDS_AVAILABLE,($D220+P$5)&gt;TOTAL_LABOR_HOURS_CAP,MAX(0,($D220+P$5)-PERMANENT_FIELD_LABOR_HOURS)&gt;TEMP_HOURS_CAP),"",$C220+P$6-MIN(($D220+P$5),PERMANENT_FIELD_LABOR_HOURS)*PERMANENT_HOURLY_RATE-MAX(0,($D220+P$5)-PERMANENT_FIELD_LABOR_HOURS)*TEMP_HOURLY_RATE-FIXED_SEASON_COST)</f>
        <v>17744.9748144604</v>
      </c>
      <c r="Q220" s="53" t="n">
        <f aca="false">IF(OR($A220&gt;TOMATO_BED_CAP,$B220&gt;CARROT_BED_CAP,Q$4&gt;MESCLUN_BED_CAP,$A220+$B220+Q$4&gt;TOTAL_BEDS_AVAILABLE,($D220+Q$5)&gt;TOTAL_LABOR_HOURS_CAP,MAX(0,($D220+Q$5)-PERMANENT_FIELD_LABOR_HOURS)&gt;TEMP_HOURS_CAP),"",$C220+Q$6-MIN(($D220+Q$5),PERMANENT_FIELD_LABOR_HOURS)*PERMANENT_HOURLY_RATE-MAX(0,($D220+Q$5)-PERMANENT_FIELD_LABOR_HOURS)*TEMP_HOURLY_RATE-FIXED_SEASON_COST)</f>
        <v>18558.8219711583</v>
      </c>
      <c r="R220" s="53" t="n">
        <f aca="false">IF(OR($A220&gt;TOMATO_BED_CAP,$B220&gt;CARROT_BED_CAP,R$4&gt;MESCLUN_BED_CAP,$A220+$B220+R$4&gt;TOTAL_BEDS_AVAILABLE,($D220+R$5)&gt;TOTAL_LABOR_HOURS_CAP,MAX(0,($D220+R$5)-PERMANENT_FIELD_LABOR_HOURS)&gt;TEMP_HOURS_CAP),"",$C220+R$6-MIN(($D220+R$5),PERMANENT_FIELD_LABOR_HOURS)*PERMANENT_HOURLY_RATE-MAX(0,($D220+R$5)-PERMANENT_FIELD_LABOR_HOURS)*TEMP_HOURLY_RATE-FIXED_SEASON_COST)</f>
        <v>19348.8973848551</v>
      </c>
      <c r="S220" s="53" t="n">
        <f aca="false">IF(OR($A220&gt;TOMATO_BED_CAP,$B220&gt;CARROT_BED_CAP,S$4&gt;MESCLUN_BED_CAP,$A220+$B220+S$4&gt;TOTAL_BEDS_AVAILABLE,($D220+S$5)&gt;TOTAL_LABOR_HOURS_CAP,MAX(0,($D220+S$5)-PERMANENT_FIELD_LABOR_HOURS)&gt;TEMP_HOURS_CAP),"",$C220+S$6-MIN(($D220+S$5),PERMANENT_FIELD_LABOR_HOURS)*PERMANENT_HOURLY_RATE-MAX(0,($D220+S$5)-PERMANENT_FIELD_LABOR_HOURS)*TEMP_HOURLY_RATE-FIXED_SEASON_COST)</f>
        <v>20114.7639733576</v>
      </c>
      <c r="T220" s="53" t="n">
        <f aca="false">IF(OR($A220&gt;TOMATO_BED_CAP,$B220&gt;CARROT_BED_CAP,T$4&gt;MESCLUN_BED_CAP,$A220+$B220+T$4&gt;TOTAL_BEDS_AVAILABLE,($D220+T$5)&gt;TOTAL_LABOR_HOURS_CAP,MAX(0,($D220+T$5)-PERMANENT_FIELD_LABOR_HOURS)&gt;TEMP_HOURS_CAP),"",$C220+T$6-MIN(($D220+T$5),PERMANENT_FIELD_LABOR_HOURS)*PERMANENT_HOURLY_RATE-MAX(0,($D220+T$5)-PERMANENT_FIELD_LABOR_HOURS)*TEMP_HOURLY_RATE-FIXED_SEASON_COST)</f>
        <v>20855.9774417524</v>
      </c>
      <c r="U220" s="53" t="n">
        <f aca="false">IF(OR($A220&gt;TOMATO_BED_CAP,$B220&gt;CARROT_BED_CAP,U$4&gt;MESCLUN_BED_CAP,$A220+$B220+U$4&gt;TOTAL_BEDS_AVAILABLE,($D220+U$5)&gt;TOTAL_LABOR_HOURS_CAP,MAX(0,($D220+U$5)-PERMANENT_FIELD_LABOR_HOURS)&gt;TEMP_HOURS_CAP),"",$C220+U$6-MIN(($D220+U$5),PERMANENT_FIELD_LABOR_HOURS)*PERMANENT_HOURLY_RATE-MAX(0,($D220+U$5)-PERMANENT_FIELD_LABOR_HOURS)*TEMP_HOURLY_RATE-FIXED_SEASON_COST)</f>
        <v>21572.0861703825</v>
      </c>
      <c r="V220" s="53" t="n">
        <f aca="false">IF(OR($A220&gt;TOMATO_BED_CAP,$B220&gt;CARROT_BED_CAP,V$4&gt;MESCLUN_BED_CAP,$A220+$B220+V$4&gt;TOTAL_BEDS_AVAILABLE,($D220+V$5)&gt;TOTAL_LABOR_HOURS_CAP,MAX(0,($D220+V$5)-PERMANENT_FIELD_LABOR_HOURS)&gt;TEMP_HOURS_CAP),"",$C220+V$6-MIN(($D220+V$5),PERMANENT_FIELD_LABOR_HOURS)*PERMANENT_HOURLY_RATE-MAX(0,($D220+V$5)-PERMANENT_FIELD_LABOR_HOURS)*TEMP_HOURLY_RATE-FIXED_SEASON_COST)</f>
        <v>22262.6311011493</v>
      </c>
      <c r="W220" s="53" t="n">
        <f aca="false">IF(OR($A220&gt;TOMATO_BED_CAP,$B220&gt;CARROT_BED_CAP,W$4&gt;MESCLUN_BED_CAP,$A220+$B220+W$4&gt;TOTAL_BEDS_AVAILABLE,($D220+W$5)&gt;TOTAL_LABOR_HOURS_CAP,MAX(0,($D220+W$5)-PERMANENT_FIELD_LABOR_HOURS)&gt;TEMP_HOURS_CAP),"",$C220+W$6-MIN(($D220+W$5),PERMANENT_FIELD_LABOR_HOURS)*PERMANENT_HOURLY_RATE-MAX(0,($D220+W$5)-PERMANENT_FIELD_LABOR_HOURS)*TEMP_HOURLY_RATE-FIXED_SEASON_COST)</f>
        <v>22927.1456221174</v>
      </c>
      <c r="X220" s="53" t="n">
        <f aca="false">IF(OR($A220&gt;TOMATO_BED_CAP,$B220&gt;CARROT_BED_CAP,X$4&gt;MESCLUN_BED_CAP,$A220+$B220+X$4&gt;TOTAL_BEDS_AVAILABLE,($D220+X$5)&gt;TOTAL_LABOR_HOURS_CAP,MAX(0,($D220+X$5)-PERMANENT_FIELD_LABOR_HOURS)&gt;TEMP_HOURS_CAP),"",$C220+X$6-MIN(($D220+X$5),PERMANENT_FIELD_LABOR_HOURS)*PERMANENT_HOURLY_RATE-MAX(0,($D220+X$5)-PERMANENT_FIELD_LABOR_HOURS)*TEMP_HOURLY_RATE-FIXED_SEASON_COST)</f>
        <v>23565.1554503963</v>
      </c>
      <c r="Y220" s="53" t="n">
        <f aca="false">IF(OR($A220&gt;TOMATO_BED_CAP,$B220&gt;CARROT_BED_CAP,Y$4&gt;MESCLUN_BED_CAP,$A220+$B220+Y$4&gt;TOTAL_BEDS_AVAILABLE,($D220+Y$5)&gt;TOTAL_LABOR_HOURS_CAP,MAX(0,($D220+Y$5)-PERMANENT_FIELD_LABOR_HOURS)&gt;TEMP_HOURS_CAP),"",$C220+Y$6-MIN(($D220+Y$5),PERMANENT_FIELD_LABOR_HOURS)*PERMANENT_HOURLY_RATE-MAX(0,($D220+Y$5)-PERMANENT_FIELD_LABOR_HOURS)*TEMP_HOURLY_RATE-FIXED_SEASON_COST)</f>
        <v>24176.1785132749</v>
      </c>
      <c r="Z220" s="53" t="n">
        <f aca="false">IF(OR($A220&gt;TOMATO_BED_CAP,$B220&gt;CARROT_BED_CAP,Z$4&gt;MESCLUN_BED_CAP,$A220+$B220+Z$4&gt;TOTAL_BEDS_AVAILABLE,($D220+Z$5)&gt;TOTAL_LABOR_HOURS_CAP,MAX(0,($D220+Z$5)-PERMANENT_FIELD_LABOR_HOURS)&gt;TEMP_HOURS_CAP),"",$C220+Z$6-MIN(($D220+Z$5),PERMANENT_FIELD_LABOR_HOURS)*PERMANENT_HOURLY_RATE-MAX(0,($D220+Z$5)-PERMANENT_FIELD_LABOR_HOURS)*TEMP_HOURLY_RATE-FIXED_SEASON_COST)</f>
        <v>24759.7248275827</v>
      </c>
      <c r="AA220" s="53" t="n">
        <f aca="false">IF(OR($A220&gt;TOMATO_BED_CAP,$B220&gt;CARROT_BED_CAP,AA$4&gt;MESCLUN_BED_CAP,$A220+$B220+AA$4&gt;TOTAL_BEDS_AVAILABLE,($D220+AA$5)&gt;TOTAL_LABOR_HOURS_CAP,MAX(0,($D220+AA$5)-PERMANENT_FIELD_LABOR_HOURS)&gt;TEMP_HOURS_CAP),"",$C220+AA$6-MIN(($D220+AA$5),PERMANENT_FIELD_LABOR_HOURS)*PERMANENT_HOURLY_RATE-MAX(0,($D220+AA$5)-PERMANENT_FIELD_LABOR_HOURS)*TEMP_HOURLY_RATE-FIXED_SEASON_COST)</f>
        <v>25315.2963772516</v>
      </c>
      <c r="AB220" s="53" t="n">
        <f aca="false">IF(OR($A220&gt;TOMATO_BED_CAP,$B220&gt;CARROT_BED_CAP,AB$4&gt;MESCLUN_BED_CAP,$A220+$B220+AB$4&gt;TOTAL_BEDS_AVAILABLE,($D220+AB$5)&gt;TOTAL_LABOR_HOURS_CAP,MAX(0,($D220+AB$5)-PERMANENT_FIELD_LABOR_HOURS)&gt;TEMP_HOURS_CAP),"",$C220+AB$6-MIN(($D220+AB$5),PERMANENT_FIELD_LABOR_HOURS)*PERMANENT_HOURLY_RATE-MAX(0,($D220+AB$5)-PERMANENT_FIELD_LABOR_HOURS)*TEMP_HOURLY_RATE-FIXED_SEASON_COST)</f>
        <v>25842.3869890542</v>
      </c>
      <c r="AC220" s="53" t="n">
        <f aca="false">IF(OR($A220&gt;TOMATO_BED_CAP,$B220&gt;CARROT_BED_CAP,AC$4&gt;MESCLUN_BED_CAP,$A220+$B220+AC$4&gt;TOTAL_BEDS_AVAILABLE,($D220+AC$5)&gt;TOTAL_LABOR_HOURS_CAP,MAX(0,($D220+AC$5)-PERMANENT_FIELD_LABOR_HOURS)&gt;TEMP_HOURS_CAP),"",$C220+AC$6-MIN(($D220+AC$5),PERMANENT_FIELD_LABOR_HOURS)*PERMANENT_HOURLY_RATE-MAX(0,($D220+AC$5)-PERMANENT_FIELD_LABOR_HOURS)*TEMP_HOURLY_RATE-FIXED_SEASON_COST)</f>
        <v>26340.4822064891</v>
      </c>
      <c r="AD220" s="53" t="n">
        <f aca="false">IF(OR($A220&gt;TOMATO_BED_CAP,$B220&gt;CARROT_BED_CAP,AD$4&gt;MESCLUN_BED_CAP,$A220+$B220+AD$4&gt;TOTAL_BEDS_AVAILABLE,($D220+AD$5)&gt;TOTAL_LABOR_HOURS_CAP,MAX(0,($D220+AD$5)-PERMANENT_FIELD_LABOR_HOURS)&gt;TEMP_HOURS_CAP),"",$C220+AD$6-MIN(($D220+AD$5),PERMANENT_FIELD_LABOR_HOURS)*PERMANENT_HOURLY_RATE-MAX(0,($D220+AD$5)-PERMANENT_FIELD_LABOR_HOURS)*TEMP_HOURLY_RATE-FIXED_SEASON_COST)</f>
        <v>26809.059161789</v>
      </c>
      <c r="AE220" s="53" t="n">
        <f aca="false">IF(OR($A220&gt;TOMATO_BED_CAP,$B220&gt;CARROT_BED_CAP,AE$4&gt;MESCLUN_BED_CAP,$A220+$B220+AE$4&gt;TOTAL_BEDS_AVAILABLE,($D220+AE$5)&gt;TOTAL_LABOR_HOURS_CAP,MAX(0,($D220+AE$5)-PERMANENT_FIELD_LABOR_HOURS)&gt;TEMP_HOURS_CAP),"",$C220+AE$6-MIN(($D220+AE$5),PERMANENT_FIELD_LABOR_HOURS)*PERMANENT_HOURLY_RATE-MAX(0,($D220+AE$5)-PERMANENT_FIELD_LABOR_HOURS)*TEMP_HOURLY_RATE-FIXED_SEASON_COST)</f>
        <v>27247.5864460229</v>
      </c>
      <c r="AF220" s="53" t="n">
        <f aca="false">IF(OR($A220&gt;TOMATO_BED_CAP,$B220&gt;CARROT_BED_CAP,AF$4&gt;MESCLUN_BED_CAP,$A220+$B220+AF$4&gt;TOTAL_BEDS_AVAILABLE,($D220+AF$5)&gt;TOTAL_LABOR_HOURS_CAP,MAX(0,($D220+AF$5)-PERMANENT_FIELD_LABOR_HOURS)&gt;TEMP_HOURS_CAP),"",$C220+AF$6-MIN(($D220+AF$5),PERMANENT_FIELD_LABOR_HOURS)*PERMANENT_HOURLY_RATE-MAX(0,($D220+AF$5)-PERMANENT_FIELD_LABOR_HOURS)*TEMP_HOURLY_RATE-FIXED_SEASON_COST)</f>
        <v>27655.5239772649</v>
      </c>
      <c r="AG220" s="53" t="n">
        <f aca="false">IF(OR($A220&gt;TOMATO_BED_CAP,$B220&gt;CARROT_BED_CAP,AG$4&gt;MESCLUN_BED_CAP,$A220+$B220+AG$4&gt;TOTAL_BEDS_AVAILABLE,($D220+AG$5)&gt;TOTAL_LABOR_HOURS_CAP,MAX(0,($D220+AG$5)-PERMANENT_FIELD_LABOR_HOURS)&gt;TEMP_HOURS_CAP),"",$C220+AG$6-MIN(($D220+AG$5),PERMANENT_FIELD_LABOR_HOURS)*PERMANENT_HOURLY_RATE-MAX(0,($D220+AG$5)-PERMANENT_FIELD_LABOR_HOURS)*TEMP_HOURLY_RATE-FIXED_SEASON_COST)</f>
        <v>28032.3228668019</v>
      </c>
      <c r="AH220" s="53" t="n">
        <f aca="false">IF(OR($A220&gt;TOMATO_BED_CAP,$B220&gt;CARROT_BED_CAP,AH$4&gt;MESCLUN_BED_CAP,$A220+$B220+AH$4&gt;TOTAL_BEDS_AVAILABLE,($D220+AH$5)&gt;TOTAL_LABOR_HOURS_CAP,MAX(0,($D220+AH$5)-PERMANENT_FIELD_LABOR_HOURS)&gt;TEMP_HOURS_CAP),"",$C220+AH$6-MIN(($D220+AH$5),PERMANENT_FIELD_LABOR_HOURS)*PERMANENT_HOURLY_RATE-MAX(0,($D220+AH$5)-PERMANENT_FIELD_LABOR_HOURS)*TEMP_HOURLY_RATE-FIXED_SEASON_COST)</f>
        <v>28377.4252833521</v>
      </c>
      <c r="AI220" s="53" t="n">
        <f aca="false">IF(OR($A220&gt;TOMATO_BED_CAP,$B220&gt;CARROT_BED_CAP,AI$4&gt;MESCLUN_BED_CAP,$A220+$B220+AI$4&gt;TOTAL_BEDS_AVAILABLE,($D220+AI$5)&gt;TOTAL_LABOR_HOURS_CAP,MAX(0,($D220+AI$5)-PERMANENT_FIELD_LABOR_HOURS)&gt;TEMP_HOURS_CAP),"",$C220+AI$6-MIN(($D220+AI$5),PERMANENT_FIELD_LABOR_HOURS)*PERMANENT_HOURLY_RATE-MAX(0,($D220+AI$5)-PERMANENT_FIELD_LABOR_HOURS)*TEMP_HOURLY_RATE-FIXED_SEASON_COST)</f>
        <v>28690.2643152644</v>
      </c>
      <c r="AJ220" s="53" t="n">
        <f aca="false">IF(OR($A220&gt;TOMATO_BED_CAP,$B220&gt;CARROT_BED_CAP,AJ$4&gt;MESCLUN_BED_CAP,$A220+$B220+AJ$4&gt;TOTAL_BEDS_AVAILABLE,($D220+AJ$5)&gt;TOTAL_LABOR_HOURS_CAP,MAX(0,($D220+AJ$5)-PERMANENT_FIELD_LABOR_HOURS)&gt;TEMP_HOURS_CAP),"",$C220+AJ$6-MIN(($D220+AJ$5),PERMANENT_FIELD_LABOR_HOURS)*PERMANENT_HOURLY_RATE-MAX(0,($D220+AJ$5)-PERMANENT_FIELD_LABOR_HOURS)*TEMP_HOURLY_RATE-FIXED_SEASON_COST)</f>
        <v>28970.2638306701</v>
      </c>
    </row>
    <row r="221" customFormat="false" ht="15" hidden="false" customHeight="false" outlineLevel="0" collapsed="false">
      <c r="A221" s="21" t="n">
        <f aca="false">INT((ROW()-ROW($A$8))/(20+1))</f>
        <v>10</v>
      </c>
      <c r="B221" s="21" t="n">
        <f aca="false">MOD(ROW()-ROW($A$8),20+1)</f>
        <v>3</v>
      </c>
      <c r="C221" s="13" t="n">
        <f aca="false">A221*(TOMATO_REVENUE_PER_BED-TOMATO_FERTILIZER_PER_BED)+B221*(CARROT_REVENUE_PER_BED-CARROT_FERTILIZER_PER_BED)</f>
        <v>84162</v>
      </c>
      <c r="D221" s="14" t="n">
        <f aca="false">INDEX(TOMATO_SCHED_LABOR_HRS,A221+1)+INDEX(CARROT_SCHED_LABOR_HRS,B221+1)</f>
        <v>2431.2496022775</v>
      </c>
      <c r="E221" s="13" t="n">
        <f aca="false">IF(COUNT(F221:AJ221)=0,"",MAX(F221:AJ221))</f>
        <v>30036.2961993351</v>
      </c>
      <c r="F221" s="53" t="n">
        <f aca="false">IF(OR($A221&gt;TOMATO_BED_CAP,$B221&gt;CARROT_BED_CAP,F$4&gt;MESCLUN_BED_CAP,$A221+$B221+F$4&gt;TOTAL_BEDS_AVAILABLE,($D221+F$5)&gt;TOTAL_LABOR_HOURS_CAP,MAX(0,($D221+F$5)-PERMANENT_FIELD_LABOR_HOURS)&gt;TEMP_HOURS_CAP),"",$C221+F$6-MIN(($D221+F$5),PERMANENT_FIELD_LABOR_HOURS)*PERMANENT_HOURLY_RATE-MAX(0,($D221+F$5)-PERMANENT_FIELD_LABOR_HOURS)*TEMP_HOURLY_RATE-FIXED_SEASON_COST)</f>
        <v>9456.30690446258</v>
      </c>
      <c r="G221" s="53" t="n">
        <f aca="false">IF(OR($A221&gt;TOMATO_BED_CAP,$B221&gt;CARROT_BED_CAP,G$4&gt;MESCLUN_BED_CAP,$A221+$B221+G$4&gt;TOTAL_BEDS_AVAILABLE,($D221+G$5)&gt;TOTAL_LABOR_HOURS_CAP,MAX(0,($D221+G$5)-PERMANENT_FIELD_LABOR_HOURS)&gt;TEMP_HOURS_CAP),"",$C221+G$6-MIN(($D221+G$5),PERMANENT_FIELD_LABOR_HOURS)*PERMANENT_HOURLY_RATE-MAX(0,($D221+G$5)-PERMANENT_FIELD_LABOR_HOURS)*TEMP_HOURLY_RATE-FIXED_SEASON_COST)</f>
        <v>10485.3419044626</v>
      </c>
      <c r="H221" s="53" t="n">
        <f aca="false">IF(OR($A221&gt;TOMATO_BED_CAP,$B221&gt;CARROT_BED_CAP,H$4&gt;MESCLUN_BED_CAP,$A221+$B221+H$4&gt;TOTAL_BEDS_AVAILABLE,($D221+H$5)&gt;TOTAL_LABOR_HOURS_CAP,MAX(0,($D221+H$5)-PERMANENT_FIELD_LABOR_HOURS)&gt;TEMP_HOURS_CAP),"",$C221+H$6-MIN(($D221+H$5),PERMANENT_FIELD_LABOR_HOURS)*PERMANENT_HOURLY_RATE-MAX(0,($D221+H$5)-PERMANENT_FIELD_LABOR_HOURS)*TEMP_HOURLY_RATE-FIXED_SEASON_COST)</f>
        <v>11494.6027794626</v>
      </c>
      <c r="I221" s="53" t="n">
        <f aca="false">IF(OR($A221&gt;TOMATO_BED_CAP,$B221&gt;CARROT_BED_CAP,I$4&gt;MESCLUN_BED_CAP,$A221+$B221+I$4&gt;TOTAL_BEDS_AVAILABLE,($D221+I$5)&gt;TOTAL_LABOR_HOURS_CAP,MAX(0,($D221+I$5)-PERMANENT_FIELD_LABOR_HOURS)&gt;TEMP_HOURS_CAP),"",$C221+I$6-MIN(($D221+I$5),PERMANENT_FIELD_LABOR_HOURS)*PERMANENT_HOURLY_RATE-MAX(0,($D221+I$5)-PERMANENT_FIELD_LABOR_HOURS)*TEMP_HOURLY_RATE-FIXED_SEASON_COST)</f>
        <v>12483.7187646188</v>
      </c>
      <c r="J221" s="53" t="n">
        <f aca="false">IF(OR($A221&gt;TOMATO_BED_CAP,$B221&gt;CARROT_BED_CAP,J$4&gt;MESCLUN_BED_CAP,$A221+$B221+J$4&gt;TOTAL_BEDS_AVAILABLE,($D221+J$5)&gt;TOTAL_LABOR_HOURS_CAP,MAX(0,($D221+J$5)-PERMANENT_FIELD_LABOR_HOURS)&gt;TEMP_HOURS_CAP),"",$C221+J$6-MIN(($D221+J$5),PERMANENT_FIELD_LABOR_HOURS)*PERMANENT_HOURLY_RATE-MAX(0,($D221+J$5)-PERMANENT_FIELD_LABOR_HOURS)*TEMP_HOURLY_RATE-FIXED_SEASON_COST)</f>
        <v>13452.3129156735</v>
      </c>
      <c r="K221" s="53" t="n">
        <f aca="false">IF(OR($A221&gt;TOMATO_BED_CAP,$B221&gt;CARROT_BED_CAP,K$4&gt;MESCLUN_BED_CAP,$A221+$B221+K$4&gt;TOTAL_BEDS_AVAILABLE,($D221+K$5)&gt;TOTAL_LABOR_HOURS_CAP,MAX(0,($D221+K$5)-PERMANENT_FIELD_LABOR_HOURS)&gt;TEMP_HOURS_CAP),"",$C221+K$6-MIN(($D221+K$5),PERMANENT_FIELD_LABOR_HOURS)*PERMANENT_HOURLY_RATE-MAX(0,($D221+K$5)-PERMANENT_FIELD_LABOR_HOURS)*TEMP_HOURLY_RATE-FIXED_SEASON_COST)</f>
        <v>14400.0020124014</v>
      </c>
      <c r="L221" s="53" t="n">
        <f aca="false">IF(OR($A221&gt;TOMATO_BED_CAP,$B221&gt;CARROT_BED_CAP,L$4&gt;MESCLUN_BED_CAP,$A221+$B221+L$4&gt;TOTAL_BEDS_AVAILABLE,($D221+L$5)&gt;TOTAL_LABOR_HOURS_CAP,MAX(0,($D221+L$5)-PERMANENT_FIELD_LABOR_HOURS)&gt;TEMP_HOURS_CAP),"",$C221+L$6-MIN(($D221+L$5),PERMANENT_FIELD_LABOR_HOURS)*PERMANENT_HOURLY_RATE-MAX(0,($D221+L$5)-PERMANENT_FIELD_LABOR_HOURS)*TEMP_HOURLY_RATE-FIXED_SEASON_COST)</f>
        <v>15326.3964606083</v>
      </c>
      <c r="M221" s="53" t="n">
        <f aca="false">IF(OR($A221&gt;TOMATO_BED_CAP,$B221&gt;CARROT_BED_CAP,M$4&gt;MESCLUN_BED_CAP,$A221+$B221+M$4&gt;TOTAL_BEDS_AVAILABLE,($D221+M$5)&gt;TOTAL_LABOR_HOURS_CAP,MAX(0,($D221+M$5)-PERMANENT_FIELD_LABOR_HOURS)&gt;TEMP_HOURS_CAP),"",$C221+M$6-MIN(($D221+M$5),PERMANENT_FIELD_LABOR_HOURS)*PERMANENT_HOURLY_RATE-MAX(0,($D221+M$5)-PERMANENT_FIELD_LABOR_HOURS)*TEMP_HOURLY_RATE-FIXED_SEASON_COST)</f>
        <v>16231.1001926597</v>
      </c>
      <c r="N221" s="53" t="n">
        <f aca="false">IF(OR($A221&gt;TOMATO_BED_CAP,$B221&gt;CARROT_BED_CAP,N$4&gt;MESCLUN_BED_CAP,$A221+$B221+N$4&gt;TOTAL_BEDS_AVAILABLE,($D221+N$5)&gt;TOTAL_LABOR_HOURS_CAP,MAX(0,($D221+N$5)-PERMANENT_FIELD_LABOR_HOURS)&gt;TEMP_HOURS_CAP),"",$C221+N$6-MIN(($D221+N$5),PERMANENT_FIELD_LABOR_HOURS)*PERMANENT_HOURLY_RATE-MAX(0,($D221+N$5)-PERMANENT_FIELD_LABOR_HOURS)*TEMP_HOURLY_RATE-FIXED_SEASON_COST)</f>
        <v>17113.7105665192</v>
      </c>
      <c r="O221" s="53" t="n">
        <f aca="false">IF(OR($A221&gt;TOMATO_BED_CAP,$B221&gt;CARROT_BED_CAP,O$4&gt;MESCLUN_BED_CAP,$A221+$B221+O$4&gt;TOTAL_BEDS_AVAILABLE,($D221+O$5)&gt;TOTAL_LABOR_HOURS_CAP,MAX(0,($D221+O$5)-PERMANENT_FIELD_LABOR_HOURS)&gt;TEMP_HOURS_CAP),"",$C221+O$6-MIN(($D221+O$5),PERMANENT_FIELD_LABOR_HOURS)*PERMANENT_HOURLY_RATE-MAX(0,($D221+O$5)-PERMANENT_FIELD_LABOR_HOURS)*TEMP_HOURLY_RATE-FIXED_SEASON_COST)</f>
        <v>17973.818263274</v>
      </c>
      <c r="P221" s="53" t="n">
        <f aca="false">IF(OR($A221&gt;TOMATO_BED_CAP,$B221&gt;CARROT_BED_CAP,P$4&gt;MESCLUN_BED_CAP,$A221+$B221+P$4&gt;TOTAL_BEDS_AVAILABLE,($D221+P$5)&gt;TOTAL_LABOR_HOURS_CAP,MAX(0,($D221+P$5)-PERMANENT_FIELD_LABOR_HOURS)&gt;TEMP_HOURS_CAP),"",$C221+P$6-MIN(($D221+P$5),PERMANENT_FIELD_LABOR_HOURS)*PERMANENT_HOURLY_RATE-MAX(0,($D221+P$5)-PERMANENT_FIELD_LABOR_HOURS)*TEMP_HOURLY_RATE-FIXED_SEASON_COST)</f>
        <v>18811.0071831254</v>
      </c>
      <c r="Q221" s="53" t="n">
        <f aca="false">IF(OR($A221&gt;TOMATO_BED_CAP,$B221&gt;CARROT_BED_CAP,Q$4&gt;MESCLUN_BED_CAP,$A221+$B221+Q$4&gt;TOTAL_BEDS_AVAILABLE,($D221+Q$5)&gt;TOTAL_LABOR_HOURS_CAP,MAX(0,($D221+Q$5)-PERMANENT_FIELD_LABOR_HOURS)&gt;TEMP_HOURS_CAP),"",$C221+Q$6-MIN(($D221+Q$5),PERMANENT_FIELD_LABOR_HOURS)*PERMANENT_HOURLY_RATE-MAX(0,($D221+Q$5)-PERMANENT_FIELD_LABOR_HOURS)*TEMP_HOURLY_RATE-FIXED_SEASON_COST)</f>
        <v>19624.8543398233</v>
      </c>
      <c r="R221" s="53" t="n">
        <f aca="false">IF(OR($A221&gt;TOMATO_BED_CAP,$B221&gt;CARROT_BED_CAP,R$4&gt;MESCLUN_BED_CAP,$A221+$B221+R$4&gt;TOTAL_BEDS_AVAILABLE,($D221+R$5)&gt;TOTAL_LABOR_HOURS_CAP,MAX(0,($D221+R$5)-PERMANENT_FIELD_LABOR_HOURS)&gt;TEMP_HOURS_CAP),"",$C221+R$6-MIN(($D221+R$5),PERMANENT_FIELD_LABOR_HOURS)*PERMANENT_HOURLY_RATE-MAX(0,($D221+R$5)-PERMANENT_FIELD_LABOR_HOURS)*TEMP_HOURLY_RATE-FIXED_SEASON_COST)</f>
        <v>20414.9297535201</v>
      </c>
      <c r="S221" s="53" t="n">
        <f aca="false">IF(OR($A221&gt;TOMATO_BED_CAP,$B221&gt;CARROT_BED_CAP,S$4&gt;MESCLUN_BED_CAP,$A221+$B221+S$4&gt;TOTAL_BEDS_AVAILABLE,($D221+S$5)&gt;TOTAL_LABOR_HOURS_CAP,MAX(0,($D221+S$5)-PERMANENT_FIELD_LABOR_HOURS)&gt;TEMP_HOURS_CAP),"",$C221+S$6-MIN(($D221+S$5),PERMANENT_FIELD_LABOR_HOURS)*PERMANENT_HOURLY_RATE-MAX(0,($D221+S$5)-PERMANENT_FIELD_LABOR_HOURS)*TEMP_HOURLY_RATE-FIXED_SEASON_COST)</f>
        <v>21180.7963420226</v>
      </c>
      <c r="T221" s="53" t="n">
        <f aca="false">IF(OR($A221&gt;TOMATO_BED_CAP,$B221&gt;CARROT_BED_CAP,T$4&gt;MESCLUN_BED_CAP,$A221+$B221+T$4&gt;TOTAL_BEDS_AVAILABLE,($D221+T$5)&gt;TOTAL_LABOR_HOURS_CAP,MAX(0,($D221+T$5)-PERMANENT_FIELD_LABOR_HOURS)&gt;TEMP_HOURS_CAP),"",$C221+T$6-MIN(($D221+T$5),PERMANENT_FIELD_LABOR_HOURS)*PERMANENT_HOURLY_RATE-MAX(0,($D221+T$5)-PERMANENT_FIELD_LABOR_HOURS)*TEMP_HOURLY_RATE-FIXED_SEASON_COST)</f>
        <v>21922.0098104174</v>
      </c>
      <c r="U221" s="53" t="n">
        <f aca="false">IF(OR($A221&gt;TOMATO_BED_CAP,$B221&gt;CARROT_BED_CAP,U$4&gt;MESCLUN_BED_CAP,$A221+$B221+U$4&gt;TOTAL_BEDS_AVAILABLE,($D221+U$5)&gt;TOTAL_LABOR_HOURS_CAP,MAX(0,($D221+U$5)-PERMANENT_FIELD_LABOR_HOURS)&gt;TEMP_HOURS_CAP),"",$C221+U$6-MIN(($D221+U$5),PERMANENT_FIELD_LABOR_HOURS)*PERMANENT_HOURLY_RATE-MAX(0,($D221+U$5)-PERMANENT_FIELD_LABOR_HOURS)*TEMP_HOURLY_RATE-FIXED_SEASON_COST)</f>
        <v>22638.1185390475</v>
      </c>
      <c r="V221" s="53" t="n">
        <f aca="false">IF(OR($A221&gt;TOMATO_BED_CAP,$B221&gt;CARROT_BED_CAP,V$4&gt;MESCLUN_BED_CAP,$A221+$B221+V$4&gt;TOTAL_BEDS_AVAILABLE,($D221+V$5)&gt;TOTAL_LABOR_HOURS_CAP,MAX(0,($D221+V$5)-PERMANENT_FIELD_LABOR_HOURS)&gt;TEMP_HOURS_CAP),"",$C221+V$6-MIN(($D221+V$5),PERMANENT_FIELD_LABOR_HOURS)*PERMANENT_HOURLY_RATE-MAX(0,($D221+V$5)-PERMANENT_FIELD_LABOR_HOURS)*TEMP_HOURLY_RATE-FIXED_SEASON_COST)</f>
        <v>23328.6634698143</v>
      </c>
      <c r="W221" s="53" t="n">
        <f aca="false">IF(OR($A221&gt;TOMATO_BED_CAP,$B221&gt;CARROT_BED_CAP,W$4&gt;MESCLUN_BED_CAP,$A221+$B221+W$4&gt;TOTAL_BEDS_AVAILABLE,($D221+W$5)&gt;TOTAL_LABOR_HOURS_CAP,MAX(0,($D221+W$5)-PERMANENT_FIELD_LABOR_HOURS)&gt;TEMP_HOURS_CAP),"",$C221+W$6-MIN(($D221+W$5),PERMANENT_FIELD_LABOR_HOURS)*PERMANENT_HOURLY_RATE-MAX(0,($D221+W$5)-PERMANENT_FIELD_LABOR_HOURS)*TEMP_HOURLY_RATE-FIXED_SEASON_COST)</f>
        <v>23993.1779907823</v>
      </c>
      <c r="X221" s="53" t="n">
        <f aca="false">IF(OR($A221&gt;TOMATO_BED_CAP,$B221&gt;CARROT_BED_CAP,X$4&gt;MESCLUN_BED_CAP,$A221+$B221+X$4&gt;TOTAL_BEDS_AVAILABLE,($D221+X$5)&gt;TOTAL_LABOR_HOURS_CAP,MAX(0,($D221+X$5)-PERMANENT_FIELD_LABOR_HOURS)&gt;TEMP_HOURS_CAP),"",$C221+X$6-MIN(($D221+X$5),PERMANENT_FIELD_LABOR_HOURS)*PERMANENT_HOURLY_RATE-MAX(0,($D221+X$5)-PERMANENT_FIELD_LABOR_HOURS)*TEMP_HOURLY_RATE-FIXED_SEASON_COST)</f>
        <v>24631.1878190613</v>
      </c>
      <c r="Y221" s="53" t="n">
        <f aca="false">IF(OR($A221&gt;TOMATO_BED_CAP,$B221&gt;CARROT_BED_CAP,Y$4&gt;MESCLUN_BED_CAP,$A221+$B221+Y$4&gt;TOTAL_BEDS_AVAILABLE,($D221+Y$5)&gt;TOTAL_LABOR_HOURS_CAP,MAX(0,($D221+Y$5)-PERMANENT_FIELD_LABOR_HOURS)&gt;TEMP_HOURS_CAP),"",$C221+Y$6-MIN(($D221+Y$5),PERMANENT_FIELD_LABOR_HOURS)*PERMANENT_HOURLY_RATE-MAX(0,($D221+Y$5)-PERMANENT_FIELD_LABOR_HOURS)*TEMP_HOURLY_RATE-FIXED_SEASON_COST)</f>
        <v>25242.2108819399</v>
      </c>
      <c r="Z221" s="53" t="n">
        <f aca="false">IF(OR($A221&gt;TOMATO_BED_CAP,$B221&gt;CARROT_BED_CAP,Z$4&gt;MESCLUN_BED_CAP,$A221+$B221+Z$4&gt;TOTAL_BEDS_AVAILABLE,($D221+Z$5)&gt;TOTAL_LABOR_HOURS_CAP,MAX(0,($D221+Z$5)-PERMANENT_FIELD_LABOR_HOURS)&gt;TEMP_HOURS_CAP),"",$C221+Z$6-MIN(($D221+Z$5),PERMANENT_FIELD_LABOR_HOURS)*PERMANENT_HOURLY_RATE-MAX(0,($D221+Z$5)-PERMANENT_FIELD_LABOR_HOURS)*TEMP_HOURLY_RATE-FIXED_SEASON_COST)</f>
        <v>25825.7571962477</v>
      </c>
      <c r="AA221" s="53" t="n">
        <f aca="false">IF(OR($A221&gt;TOMATO_BED_CAP,$B221&gt;CARROT_BED_CAP,AA$4&gt;MESCLUN_BED_CAP,$A221+$B221+AA$4&gt;TOTAL_BEDS_AVAILABLE,($D221+AA$5)&gt;TOTAL_LABOR_HOURS_CAP,MAX(0,($D221+AA$5)-PERMANENT_FIELD_LABOR_HOURS)&gt;TEMP_HOURS_CAP),"",$C221+AA$6-MIN(($D221+AA$5),PERMANENT_FIELD_LABOR_HOURS)*PERMANENT_HOURLY_RATE-MAX(0,($D221+AA$5)-PERMANENT_FIELD_LABOR_HOURS)*TEMP_HOURLY_RATE-FIXED_SEASON_COST)</f>
        <v>26381.3287459166</v>
      </c>
      <c r="AB221" s="53" t="n">
        <f aca="false">IF(OR($A221&gt;TOMATO_BED_CAP,$B221&gt;CARROT_BED_CAP,AB$4&gt;MESCLUN_BED_CAP,$A221+$B221+AB$4&gt;TOTAL_BEDS_AVAILABLE,($D221+AB$5)&gt;TOTAL_LABOR_HOURS_CAP,MAX(0,($D221+AB$5)-PERMANENT_FIELD_LABOR_HOURS)&gt;TEMP_HOURS_CAP),"",$C221+AB$6-MIN(($D221+AB$5),PERMANENT_FIELD_LABOR_HOURS)*PERMANENT_HOURLY_RATE-MAX(0,($D221+AB$5)-PERMANENT_FIELD_LABOR_HOURS)*TEMP_HOURLY_RATE-FIXED_SEASON_COST)</f>
        <v>26908.4193577192</v>
      </c>
      <c r="AC221" s="53" t="n">
        <f aca="false">IF(OR($A221&gt;TOMATO_BED_CAP,$B221&gt;CARROT_BED_CAP,AC$4&gt;MESCLUN_BED_CAP,$A221+$B221+AC$4&gt;TOTAL_BEDS_AVAILABLE,($D221+AC$5)&gt;TOTAL_LABOR_HOURS_CAP,MAX(0,($D221+AC$5)-PERMANENT_FIELD_LABOR_HOURS)&gt;TEMP_HOURS_CAP),"",$C221+AC$6-MIN(($D221+AC$5),PERMANENT_FIELD_LABOR_HOURS)*PERMANENT_HOURLY_RATE-MAX(0,($D221+AC$5)-PERMANENT_FIELD_LABOR_HOURS)*TEMP_HOURLY_RATE-FIXED_SEASON_COST)</f>
        <v>27406.5145751541</v>
      </c>
      <c r="AD221" s="53" t="n">
        <f aca="false">IF(OR($A221&gt;TOMATO_BED_CAP,$B221&gt;CARROT_BED_CAP,AD$4&gt;MESCLUN_BED_CAP,$A221+$B221+AD$4&gt;TOTAL_BEDS_AVAILABLE,($D221+AD$5)&gt;TOTAL_LABOR_HOURS_CAP,MAX(0,($D221+AD$5)-PERMANENT_FIELD_LABOR_HOURS)&gt;TEMP_HOURS_CAP),"",$C221+AD$6-MIN(($D221+AD$5),PERMANENT_FIELD_LABOR_HOURS)*PERMANENT_HOURLY_RATE-MAX(0,($D221+AD$5)-PERMANENT_FIELD_LABOR_HOURS)*TEMP_HOURLY_RATE-FIXED_SEASON_COST)</f>
        <v>27875.091530454</v>
      </c>
      <c r="AE221" s="53" t="n">
        <f aca="false">IF(OR($A221&gt;TOMATO_BED_CAP,$B221&gt;CARROT_BED_CAP,AE$4&gt;MESCLUN_BED_CAP,$A221+$B221+AE$4&gt;TOTAL_BEDS_AVAILABLE,($D221+AE$5)&gt;TOTAL_LABOR_HOURS_CAP,MAX(0,($D221+AE$5)-PERMANENT_FIELD_LABOR_HOURS)&gt;TEMP_HOURS_CAP),"",$C221+AE$6-MIN(($D221+AE$5),PERMANENT_FIELD_LABOR_HOURS)*PERMANENT_HOURLY_RATE-MAX(0,($D221+AE$5)-PERMANENT_FIELD_LABOR_HOURS)*TEMP_HOURLY_RATE-FIXED_SEASON_COST)</f>
        <v>28313.6188146879</v>
      </c>
      <c r="AF221" s="53" t="n">
        <f aca="false">IF(OR($A221&gt;TOMATO_BED_CAP,$B221&gt;CARROT_BED_CAP,AF$4&gt;MESCLUN_BED_CAP,$A221+$B221+AF$4&gt;TOTAL_BEDS_AVAILABLE,($D221+AF$5)&gt;TOTAL_LABOR_HOURS_CAP,MAX(0,($D221+AF$5)-PERMANENT_FIELD_LABOR_HOURS)&gt;TEMP_HOURS_CAP),"",$C221+AF$6-MIN(($D221+AF$5),PERMANENT_FIELD_LABOR_HOURS)*PERMANENT_HOURLY_RATE-MAX(0,($D221+AF$5)-PERMANENT_FIELD_LABOR_HOURS)*TEMP_HOURLY_RATE-FIXED_SEASON_COST)</f>
        <v>28721.5563459299</v>
      </c>
      <c r="AG221" s="53" t="n">
        <f aca="false">IF(OR($A221&gt;TOMATO_BED_CAP,$B221&gt;CARROT_BED_CAP,AG$4&gt;MESCLUN_BED_CAP,$A221+$B221+AG$4&gt;TOTAL_BEDS_AVAILABLE,($D221+AG$5)&gt;TOTAL_LABOR_HOURS_CAP,MAX(0,($D221+AG$5)-PERMANENT_FIELD_LABOR_HOURS)&gt;TEMP_HOURS_CAP),"",$C221+AG$6-MIN(($D221+AG$5),PERMANENT_FIELD_LABOR_HOURS)*PERMANENT_HOURLY_RATE-MAX(0,($D221+AG$5)-PERMANENT_FIELD_LABOR_HOURS)*TEMP_HOURLY_RATE-FIXED_SEASON_COST)</f>
        <v>29098.3552354669</v>
      </c>
      <c r="AH221" s="53" t="n">
        <f aca="false">IF(OR($A221&gt;TOMATO_BED_CAP,$B221&gt;CARROT_BED_CAP,AH$4&gt;MESCLUN_BED_CAP,$A221+$B221+AH$4&gt;TOTAL_BEDS_AVAILABLE,($D221+AH$5)&gt;TOTAL_LABOR_HOURS_CAP,MAX(0,($D221+AH$5)-PERMANENT_FIELD_LABOR_HOURS)&gt;TEMP_HOURS_CAP),"",$C221+AH$6-MIN(($D221+AH$5),PERMANENT_FIELD_LABOR_HOURS)*PERMANENT_HOURLY_RATE-MAX(0,($D221+AH$5)-PERMANENT_FIELD_LABOR_HOURS)*TEMP_HOURLY_RATE-FIXED_SEASON_COST)</f>
        <v>29443.4576520171</v>
      </c>
      <c r="AI221" s="53" t="n">
        <f aca="false">IF(OR($A221&gt;TOMATO_BED_CAP,$B221&gt;CARROT_BED_CAP,AI$4&gt;MESCLUN_BED_CAP,$A221+$B221+AI$4&gt;TOTAL_BEDS_AVAILABLE,($D221+AI$5)&gt;TOTAL_LABOR_HOURS_CAP,MAX(0,($D221+AI$5)-PERMANENT_FIELD_LABOR_HOURS)&gt;TEMP_HOURS_CAP),"",$C221+AI$6-MIN(($D221+AI$5),PERMANENT_FIELD_LABOR_HOURS)*PERMANENT_HOURLY_RATE-MAX(0,($D221+AI$5)-PERMANENT_FIELD_LABOR_HOURS)*TEMP_HOURLY_RATE-FIXED_SEASON_COST)</f>
        <v>29756.2966839294</v>
      </c>
      <c r="AJ221" s="53" t="n">
        <f aca="false">IF(OR($A221&gt;TOMATO_BED_CAP,$B221&gt;CARROT_BED_CAP,AJ$4&gt;MESCLUN_BED_CAP,$A221+$B221+AJ$4&gt;TOTAL_BEDS_AVAILABLE,($D221+AJ$5)&gt;TOTAL_LABOR_HOURS_CAP,MAX(0,($D221+AJ$5)-PERMANENT_FIELD_LABOR_HOURS)&gt;TEMP_HOURS_CAP),"",$C221+AJ$6-MIN(($D221+AJ$5),PERMANENT_FIELD_LABOR_HOURS)*PERMANENT_HOURLY_RATE-MAX(0,($D221+AJ$5)-PERMANENT_FIELD_LABOR_HOURS)*TEMP_HOURLY_RATE-FIXED_SEASON_COST)</f>
        <v>30036.2961993351</v>
      </c>
    </row>
    <row r="222" customFormat="false" ht="15" hidden="false" customHeight="false" outlineLevel="0" collapsed="false">
      <c r="A222" s="21" t="n">
        <f aca="false">INT((ROW()-ROW($A$8))/(20+1))</f>
        <v>10</v>
      </c>
      <c r="B222" s="21" t="n">
        <f aca="false">MOD(ROW()-ROW($A$8),20+1)</f>
        <v>4</v>
      </c>
      <c r="C222" s="13" t="n">
        <f aca="false">A222*(TOMATO_REVENUE_PER_BED-TOMATO_FERTILIZER_PER_BED)+B222*(CARROT_REVENUE_PER_BED-CARROT_FERTILIZER_PER_BED)</f>
        <v>85816</v>
      </c>
      <c r="D222" s="14" t="n">
        <f aca="false">INDEX(TOMATO_SCHED_LABOR_HRS,A222+1)+INDEX(CARROT_SCHED_LABOR_HRS,B222+1)</f>
        <v>2466.77277794625</v>
      </c>
      <c r="E222" s="13" t="n">
        <f aca="false">IF(COUNT(F222:AJ222)=0,"",MAX(F222:AJ222))</f>
        <v>31073.6138697256</v>
      </c>
      <c r="F222" s="53" t="n">
        <f aca="false">IF(OR($A222&gt;TOMATO_BED_CAP,$B222&gt;CARROT_BED_CAP,F$4&gt;MESCLUN_BED_CAP,$A222+$B222+F$4&gt;TOTAL_BEDS_AVAILABLE,($D222+F$5)&gt;TOTAL_LABOR_HOURS_CAP,MAX(0,($D222+F$5)-PERMANENT_FIELD_LABOR_HOURS)&gt;TEMP_HOURS_CAP),"",$C222+F$6-MIN(($D222+F$5),PERMANENT_FIELD_LABOR_HOURS)*PERMANENT_HOURLY_RATE-MAX(0,($D222+F$5)-PERMANENT_FIELD_LABOR_HOURS)*TEMP_HOURLY_RATE-FIXED_SEASON_COST)</f>
        <v>10493.6245748531</v>
      </c>
      <c r="G222" s="53" t="n">
        <f aca="false">IF(OR($A222&gt;TOMATO_BED_CAP,$B222&gt;CARROT_BED_CAP,G$4&gt;MESCLUN_BED_CAP,$A222+$B222+G$4&gt;TOTAL_BEDS_AVAILABLE,($D222+G$5)&gt;TOTAL_LABOR_HOURS_CAP,MAX(0,($D222+G$5)-PERMANENT_FIELD_LABOR_HOURS)&gt;TEMP_HOURS_CAP),"",$C222+G$6-MIN(($D222+G$5),PERMANENT_FIELD_LABOR_HOURS)*PERMANENT_HOURLY_RATE-MAX(0,($D222+G$5)-PERMANENT_FIELD_LABOR_HOURS)*TEMP_HOURLY_RATE-FIXED_SEASON_COST)</f>
        <v>11522.6595748531</v>
      </c>
      <c r="H222" s="53" t="n">
        <f aca="false">IF(OR($A222&gt;TOMATO_BED_CAP,$B222&gt;CARROT_BED_CAP,H$4&gt;MESCLUN_BED_CAP,$A222+$B222+H$4&gt;TOTAL_BEDS_AVAILABLE,($D222+H$5)&gt;TOTAL_LABOR_HOURS_CAP,MAX(0,($D222+H$5)-PERMANENT_FIELD_LABOR_HOURS)&gt;TEMP_HOURS_CAP),"",$C222+H$6-MIN(($D222+H$5),PERMANENT_FIELD_LABOR_HOURS)*PERMANENT_HOURLY_RATE-MAX(0,($D222+H$5)-PERMANENT_FIELD_LABOR_HOURS)*TEMP_HOURLY_RATE-FIXED_SEASON_COST)</f>
        <v>12531.9204498531</v>
      </c>
      <c r="I222" s="53" t="n">
        <f aca="false">IF(OR($A222&gt;TOMATO_BED_CAP,$B222&gt;CARROT_BED_CAP,I$4&gt;MESCLUN_BED_CAP,$A222+$B222+I$4&gt;TOTAL_BEDS_AVAILABLE,($D222+I$5)&gt;TOTAL_LABOR_HOURS_CAP,MAX(0,($D222+I$5)-PERMANENT_FIELD_LABOR_HOURS)&gt;TEMP_HOURS_CAP),"",$C222+I$6-MIN(($D222+I$5),PERMANENT_FIELD_LABOR_HOURS)*PERMANENT_HOURLY_RATE-MAX(0,($D222+I$5)-PERMANENT_FIELD_LABOR_HOURS)*TEMP_HOURLY_RATE-FIXED_SEASON_COST)</f>
        <v>13521.0364350093</v>
      </c>
      <c r="J222" s="53" t="n">
        <f aca="false">IF(OR($A222&gt;TOMATO_BED_CAP,$B222&gt;CARROT_BED_CAP,J$4&gt;MESCLUN_BED_CAP,$A222+$B222+J$4&gt;TOTAL_BEDS_AVAILABLE,($D222+J$5)&gt;TOTAL_LABOR_HOURS_CAP,MAX(0,($D222+J$5)-PERMANENT_FIELD_LABOR_HOURS)&gt;TEMP_HOURS_CAP),"",$C222+J$6-MIN(($D222+J$5),PERMANENT_FIELD_LABOR_HOURS)*PERMANENT_HOURLY_RATE-MAX(0,($D222+J$5)-PERMANENT_FIELD_LABOR_HOURS)*TEMP_HOURLY_RATE-FIXED_SEASON_COST)</f>
        <v>14489.630586064</v>
      </c>
      <c r="K222" s="53" t="n">
        <f aca="false">IF(OR($A222&gt;TOMATO_BED_CAP,$B222&gt;CARROT_BED_CAP,K$4&gt;MESCLUN_BED_CAP,$A222+$B222+K$4&gt;TOTAL_BEDS_AVAILABLE,($D222+K$5)&gt;TOTAL_LABOR_HOURS_CAP,MAX(0,($D222+K$5)-PERMANENT_FIELD_LABOR_HOURS)&gt;TEMP_HOURS_CAP),"",$C222+K$6-MIN(($D222+K$5),PERMANENT_FIELD_LABOR_HOURS)*PERMANENT_HOURLY_RATE-MAX(0,($D222+K$5)-PERMANENT_FIELD_LABOR_HOURS)*TEMP_HOURLY_RATE-FIXED_SEASON_COST)</f>
        <v>15437.3196827919</v>
      </c>
      <c r="L222" s="53" t="n">
        <f aca="false">IF(OR($A222&gt;TOMATO_BED_CAP,$B222&gt;CARROT_BED_CAP,L$4&gt;MESCLUN_BED_CAP,$A222+$B222+L$4&gt;TOTAL_BEDS_AVAILABLE,($D222+L$5)&gt;TOTAL_LABOR_HOURS_CAP,MAX(0,($D222+L$5)-PERMANENT_FIELD_LABOR_HOURS)&gt;TEMP_HOURS_CAP),"",$C222+L$6-MIN(($D222+L$5),PERMANENT_FIELD_LABOR_HOURS)*PERMANENT_HOURLY_RATE-MAX(0,($D222+L$5)-PERMANENT_FIELD_LABOR_HOURS)*TEMP_HOURLY_RATE-FIXED_SEASON_COST)</f>
        <v>16363.7141309988</v>
      </c>
      <c r="M222" s="53" t="n">
        <f aca="false">IF(OR($A222&gt;TOMATO_BED_CAP,$B222&gt;CARROT_BED_CAP,M$4&gt;MESCLUN_BED_CAP,$A222+$B222+M$4&gt;TOTAL_BEDS_AVAILABLE,($D222+M$5)&gt;TOTAL_LABOR_HOURS_CAP,MAX(0,($D222+M$5)-PERMANENT_FIELD_LABOR_HOURS)&gt;TEMP_HOURS_CAP),"",$C222+M$6-MIN(($D222+M$5),PERMANENT_FIELD_LABOR_HOURS)*PERMANENT_HOURLY_RATE-MAX(0,($D222+M$5)-PERMANENT_FIELD_LABOR_HOURS)*TEMP_HOURLY_RATE-FIXED_SEASON_COST)</f>
        <v>17268.4178630502</v>
      </c>
      <c r="N222" s="53" t="n">
        <f aca="false">IF(OR($A222&gt;TOMATO_BED_CAP,$B222&gt;CARROT_BED_CAP,N$4&gt;MESCLUN_BED_CAP,$A222+$B222+N$4&gt;TOTAL_BEDS_AVAILABLE,($D222+N$5)&gt;TOTAL_LABOR_HOURS_CAP,MAX(0,($D222+N$5)-PERMANENT_FIELD_LABOR_HOURS)&gt;TEMP_HOURS_CAP),"",$C222+N$6-MIN(($D222+N$5),PERMANENT_FIELD_LABOR_HOURS)*PERMANENT_HOURLY_RATE-MAX(0,($D222+N$5)-PERMANENT_FIELD_LABOR_HOURS)*TEMP_HOURLY_RATE-FIXED_SEASON_COST)</f>
        <v>18151.0282369097</v>
      </c>
      <c r="O222" s="53" t="n">
        <f aca="false">IF(OR($A222&gt;TOMATO_BED_CAP,$B222&gt;CARROT_BED_CAP,O$4&gt;MESCLUN_BED_CAP,$A222+$B222+O$4&gt;TOTAL_BEDS_AVAILABLE,($D222+O$5)&gt;TOTAL_LABOR_HOURS_CAP,MAX(0,($D222+O$5)-PERMANENT_FIELD_LABOR_HOURS)&gt;TEMP_HOURS_CAP),"",$C222+O$6-MIN(($D222+O$5),PERMANENT_FIELD_LABOR_HOURS)*PERMANENT_HOURLY_RATE-MAX(0,($D222+O$5)-PERMANENT_FIELD_LABOR_HOURS)*TEMP_HOURLY_RATE-FIXED_SEASON_COST)</f>
        <v>19011.1359336645</v>
      </c>
      <c r="P222" s="53" t="n">
        <f aca="false">IF(OR($A222&gt;TOMATO_BED_CAP,$B222&gt;CARROT_BED_CAP,P$4&gt;MESCLUN_BED_CAP,$A222+$B222+P$4&gt;TOTAL_BEDS_AVAILABLE,($D222+P$5)&gt;TOTAL_LABOR_HOURS_CAP,MAX(0,($D222+P$5)-PERMANENT_FIELD_LABOR_HOURS)&gt;TEMP_HOURS_CAP),"",$C222+P$6-MIN(($D222+P$5),PERMANENT_FIELD_LABOR_HOURS)*PERMANENT_HOURLY_RATE-MAX(0,($D222+P$5)-PERMANENT_FIELD_LABOR_HOURS)*TEMP_HOURLY_RATE-FIXED_SEASON_COST)</f>
        <v>19848.3248535159</v>
      </c>
      <c r="Q222" s="53" t="n">
        <f aca="false">IF(OR($A222&gt;TOMATO_BED_CAP,$B222&gt;CARROT_BED_CAP,Q$4&gt;MESCLUN_BED_CAP,$A222+$B222+Q$4&gt;TOTAL_BEDS_AVAILABLE,($D222+Q$5)&gt;TOTAL_LABOR_HOURS_CAP,MAX(0,($D222+Q$5)-PERMANENT_FIELD_LABOR_HOURS)&gt;TEMP_HOURS_CAP),"",$C222+Q$6-MIN(($D222+Q$5),PERMANENT_FIELD_LABOR_HOURS)*PERMANENT_HOURLY_RATE-MAX(0,($D222+Q$5)-PERMANENT_FIELD_LABOR_HOURS)*TEMP_HOURLY_RATE-FIXED_SEASON_COST)</f>
        <v>20662.1720102138</v>
      </c>
      <c r="R222" s="53" t="n">
        <f aca="false">IF(OR($A222&gt;TOMATO_BED_CAP,$B222&gt;CARROT_BED_CAP,R$4&gt;MESCLUN_BED_CAP,$A222+$B222+R$4&gt;TOTAL_BEDS_AVAILABLE,($D222+R$5)&gt;TOTAL_LABOR_HOURS_CAP,MAX(0,($D222+R$5)-PERMANENT_FIELD_LABOR_HOURS)&gt;TEMP_HOURS_CAP),"",$C222+R$6-MIN(($D222+R$5),PERMANENT_FIELD_LABOR_HOURS)*PERMANENT_HOURLY_RATE-MAX(0,($D222+R$5)-PERMANENT_FIELD_LABOR_HOURS)*TEMP_HOURLY_RATE-FIXED_SEASON_COST)</f>
        <v>21452.2474239106</v>
      </c>
      <c r="S222" s="53" t="n">
        <f aca="false">IF(OR($A222&gt;TOMATO_BED_CAP,$B222&gt;CARROT_BED_CAP,S$4&gt;MESCLUN_BED_CAP,$A222+$B222+S$4&gt;TOTAL_BEDS_AVAILABLE,($D222+S$5)&gt;TOTAL_LABOR_HOURS_CAP,MAX(0,($D222+S$5)-PERMANENT_FIELD_LABOR_HOURS)&gt;TEMP_HOURS_CAP),"",$C222+S$6-MIN(($D222+S$5),PERMANENT_FIELD_LABOR_HOURS)*PERMANENT_HOURLY_RATE-MAX(0,($D222+S$5)-PERMANENT_FIELD_LABOR_HOURS)*TEMP_HOURLY_RATE-FIXED_SEASON_COST)</f>
        <v>22218.1140124131</v>
      </c>
      <c r="T222" s="53" t="n">
        <f aca="false">IF(OR($A222&gt;TOMATO_BED_CAP,$B222&gt;CARROT_BED_CAP,T$4&gt;MESCLUN_BED_CAP,$A222+$B222+T$4&gt;TOTAL_BEDS_AVAILABLE,($D222+T$5)&gt;TOTAL_LABOR_HOURS_CAP,MAX(0,($D222+T$5)-PERMANENT_FIELD_LABOR_HOURS)&gt;TEMP_HOURS_CAP),"",$C222+T$6-MIN(($D222+T$5),PERMANENT_FIELD_LABOR_HOURS)*PERMANENT_HOURLY_RATE-MAX(0,($D222+T$5)-PERMANENT_FIELD_LABOR_HOURS)*TEMP_HOURLY_RATE-FIXED_SEASON_COST)</f>
        <v>22959.3274808079</v>
      </c>
      <c r="U222" s="53" t="n">
        <f aca="false">IF(OR($A222&gt;TOMATO_BED_CAP,$B222&gt;CARROT_BED_CAP,U$4&gt;MESCLUN_BED_CAP,$A222+$B222+U$4&gt;TOTAL_BEDS_AVAILABLE,($D222+U$5)&gt;TOTAL_LABOR_HOURS_CAP,MAX(0,($D222+U$5)-PERMANENT_FIELD_LABOR_HOURS)&gt;TEMP_HOURS_CAP),"",$C222+U$6-MIN(($D222+U$5),PERMANENT_FIELD_LABOR_HOURS)*PERMANENT_HOURLY_RATE-MAX(0,($D222+U$5)-PERMANENT_FIELD_LABOR_HOURS)*TEMP_HOURLY_RATE-FIXED_SEASON_COST)</f>
        <v>23675.436209438</v>
      </c>
      <c r="V222" s="53" t="n">
        <f aca="false">IF(OR($A222&gt;TOMATO_BED_CAP,$B222&gt;CARROT_BED_CAP,V$4&gt;MESCLUN_BED_CAP,$A222+$B222+V$4&gt;TOTAL_BEDS_AVAILABLE,($D222+V$5)&gt;TOTAL_LABOR_HOURS_CAP,MAX(0,($D222+V$5)-PERMANENT_FIELD_LABOR_HOURS)&gt;TEMP_HOURS_CAP),"",$C222+V$6-MIN(($D222+V$5),PERMANENT_FIELD_LABOR_HOURS)*PERMANENT_HOURLY_RATE-MAX(0,($D222+V$5)-PERMANENT_FIELD_LABOR_HOURS)*TEMP_HOURLY_RATE-FIXED_SEASON_COST)</f>
        <v>24365.9811402048</v>
      </c>
      <c r="W222" s="53" t="n">
        <f aca="false">IF(OR($A222&gt;TOMATO_BED_CAP,$B222&gt;CARROT_BED_CAP,W$4&gt;MESCLUN_BED_CAP,$A222+$B222+W$4&gt;TOTAL_BEDS_AVAILABLE,($D222+W$5)&gt;TOTAL_LABOR_HOURS_CAP,MAX(0,($D222+W$5)-PERMANENT_FIELD_LABOR_HOURS)&gt;TEMP_HOURS_CAP),"",$C222+W$6-MIN(($D222+W$5),PERMANENT_FIELD_LABOR_HOURS)*PERMANENT_HOURLY_RATE-MAX(0,($D222+W$5)-PERMANENT_FIELD_LABOR_HOURS)*TEMP_HOURLY_RATE-FIXED_SEASON_COST)</f>
        <v>25030.4956611729</v>
      </c>
      <c r="X222" s="53" t="n">
        <f aca="false">IF(OR($A222&gt;TOMATO_BED_CAP,$B222&gt;CARROT_BED_CAP,X$4&gt;MESCLUN_BED_CAP,$A222+$B222+X$4&gt;TOTAL_BEDS_AVAILABLE,($D222+X$5)&gt;TOTAL_LABOR_HOURS_CAP,MAX(0,($D222+X$5)-PERMANENT_FIELD_LABOR_HOURS)&gt;TEMP_HOURS_CAP),"",$C222+X$6-MIN(($D222+X$5),PERMANENT_FIELD_LABOR_HOURS)*PERMANENT_HOURLY_RATE-MAX(0,($D222+X$5)-PERMANENT_FIELD_LABOR_HOURS)*TEMP_HOURLY_RATE-FIXED_SEASON_COST)</f>
        <v>25668.5054894518</v>
      </c>
      <c r="Y222" s="53" t="n">
        <f aca="false">IF(OR($A222&gt;TOMATO_BED_CAP,$B222&gt;CARROT_BED_CAP,Y$4&gt;MESCLUN_BED_CAP,$A222+$B222+Y$4&gt;TOTAL_BEDS_AVAILABLE,($D222+Y$5)&gt;TOTAL_LABOR_HOURS_CAP,MAX(0,($D222+Y$5)-PERMANENT_FIELD_LABOR_HOURS)&gt;TEMP_HOURS_CAP),"",$C222+Y$6-MIN(($D222+Y$5),PERMANENT_FIELD_LABOR_HOURS)*PERMANENT_HOURLY_RATE-MAX(0,($D222+Y$5)-PERMANENT_FIELD_LABOR_HOURS)*TEMP_HOURLY_RATE-FIXED_SEASON_COST)</f>
        <v>26279.5285523304</v>
      </c>
      <c r="Z222" s="53" t="n">
        <f aca="false">IF(OR($A222&gt;TOMATO_BED_CAP,$B222&gt;CARROT_BED_CAP,Z$4&gt;MESCLUN_BED_CAP,$A222+$B222+Z$4&gt;TOTAL_BEDS_AVAILABLE,($D222+Z$5)&gt;TOTAL_LABOR_HOURS_CAP,MAX(0,($D222+Z$5)-PERMANENT_FIELD_LABOR_HOURS)&gt;TEMP_HOURS_CAP),"",$C222+Z$6-MIN(($D222+Z$5),PERMANENT_FIELD_LABOR_HOURS)*PERMANENT_HOURLY_RATE-MAX(0,($D222+Z$5)-PERMANENT_FIELD_LABOR_HOURS)*TEMP_HOURLY_RATE-FIXED_SEASON_COST)</f>
        <v>26863.0748666382</v>
      </c>
      <c r="AA222" s="53" t="n">
        <f aca="false">IF(OR($A222&gt;TOMATO_BED_CAP,$B222&gt;CARROT_BED_CAP,AA$4&gt;MESCLUN_BED_CAP,$A222+$B222+AA$4&gt;TOTAL_BEDS_AVAILABLE,($D222+AA$5)&gt;TOTAL_LABOR_HOURS_CAP,MAX(0,($D222+AA$5)-PERMANENT_FIELD_LABOR_HOURS)&gt;TEMP_HOURS_CAP),"",$C222+AA$6-MIN(($D222+AA$5),PERMANENT_FIELD_LABOR_HOURS)*PERMANENT_HOURLY_RATE-MAX(0,($D222+AA$5)-PERMANENT_FIELD_LABOR_HOURS)*TEMP_HOURLY_RATE-FIXED_SEASON_COST)</f>
        <v>27418.6464163071</v>
      </c>
      <c r="AB222" s="53" t="n">
        <f aca="false">IF(OR($A222&gt;TOMATO_BED_CAP,$B222&gt;CARROT_BED_CAP,AB$4&gt;MESCLUN_BED_CAP,$A222+$B222+AB$4&gt;TOTAL_BEDS_AVAILABLE,($D222+AB$5)&gt;TOTAL_LABOR_HOURS_CAP,MAX(0,($D222+AB$5)-PERMANENT_FIELD_LABOR_HOURS)&gt;TEMP_HOURS_CAP),"",$C222+AB$6-MIN(($D222+AB$5),PERMANENT_FIELD_LABOR_HOURS)*PERMANENT_HOURLY_RATE-MAX(0,($D222+AB$5)-PERMANENT_FIELD_LABOR_HOURS)*TEMP_HOURLY_RATE-FIXED_SEASON_COST)</f>
        <v>27945.7370281097</v>
      </c>
      <c r="AC222" s="53" t="n">
        <f aca="false">IF(OR($A222&gt;TOMATO_BED_CAP,$B222&gt;CARROT_BED_CAP,AC$4&gt;MESCLUN_BED_CAP,$A222+$B222+AC$4&gt;TOTAL_BEDS_AVAILABLE,($D222+AC$5)&gt;TOTAL_LABOR_HOURS_CAP,MAX(0,($D222+AC$5)-PERMANENT_FIELD_LABOR_HOURS)&gt;TEMP_HOURS_CAP),"",$C222+AC$6-MIN(($D222+AC$5),PERMANENT_FIELD_LABOR_HOURS)*PERMANENT_HOURLY_RATE-MAX(0,($D222+AC$5)-PERMANENT_FIELD_LABOR_HOURS)*TEMP_HOURLY_RATE-FIXED_SEASON_COST)</f>
        <v>28443.8322455446</v>
      </c>
      <c r="AD222" s="53" t="n">
        <f aca="false">IF(OR($A222&gt;TOMATO_BED_CAP,$B222&gt;CARROT_BED_CAP,AD$4&gt;MESCLUN_BED_CAP,$A222+$B222+AD$4&gt;TOTAL_BEDS_AVAILABLE,($D222+AD$5)&gt;TOTAL_LABOR_HOURS_CAP,MAX(0,($D222+AD$5)-PERMANENT_FIELD_LABOR_HOURS)&gt;TEMP_HOURS_CAP),"",$C222+AD$6-MIN(($D222+AD$5),PERMANENT_FIELD_LABOR_HOURS)*PERMANENT_HOURLY_RATE-MAX(0,($D222+AD$5)-PERMANENT_FIELD_LABOR_HOURS)*TEMP_HOURLY_RATE-FIXED_SEASON_COST)</f>
        <v>28912.4092008445</v>
      </c>
      <c r="AE222" s="53" t="n">
        <f aca="false">IF(OR($A222&gt;TOMATO_BED_CAP,$B222&gt;CARROT_BED_CAP,AE$4&gt;MESCLUN_BED_CAP,$A222+$B222+AE$4&gt;TOTAL_BEDS_AVAILABLE,($D222+AE$5)&gt;TOTAL_LABOR_HOURS_CAP,MAX(0,($D222+AE$5)-PERMANENT_FIELD_LABOR_HOURS)&gt;TEMP_HOURS_CAP),"",$C222+AE$6-MIN(($D222+AE$5),PERMANENT_FIELD_LABOR_HOURS)*PERMANENT_HOURLY_RATE-MAX(0,($D222+AE$5)-PERMANENT_FIELD_LABOR_HOURS)*TEMP_HOURLY_RATE-FIXED_SEASON_COST)</f>
        <v>29350.9364850784</v>
      </c>
      <c r="AF222" s="53" t="n">
        <f aca="false">IF(OR($A222&gt;TOMATO_BED_CAP,$B222&gt;CARROT_BED_CAP,AF$4&gt;MESCLUN_BED_CAP,$A222+$B222+AF$4&gt;TOTAL_BEDS_AVAILABLE,($D222+AF$5)&gt;TOTAL_LABOR_HOURS_CAP,MAX(0,($D222+AF$5)-PERMANENT_FIELD_LABOR_HOURS)&gt;TEMP_HOURS_CAP),"",$C222+AF$6-MIN(($D222+AF$5),PERMANENT_FIELD_LABOR_HOURS)*PERMANENT_HOURLY_RATE-MAX(0,($D222+AF$5)-PERMANENT_FIELD_LABOR_HOURS)*TEMP_HOURLY_RATE-FIXED_SEASON_COST)</f>
        <v>29758.8740163204</v>
      </c>
      <c r="AG222" s="53" t="n">
        <f aca="false">IF(OR($A222&gt;TOMATO_BED_CAP,$B222&gt;CARROT_BED_CAP,AG$4&gt;MESCLUN_BED_CAP,$A222+$B222+AG$4&gt;TOTAL_BEDS_AVAILABLE,($D222+AG$5)&gt;TOTAL_LABOR_HOURS_CAP,MAX(0,($D222+AG$5)-PERMANENT_FIELD_LABOR_HOURS)&gt;TEMP_HOURS_CAP),"",$C222+AG$6-MIN(($D222+AG$5),PERMANENT_FIELD_LABOR_HOURS)*PERMANENT_HOURLY_RATE-MAX(0,($D222+AG$5)-PERMANENT_FIELD_LABOR_HOURS)*TEMP_HOURLY_RATE-FIXED_SEASON_COST)</f>
        <v>30135.6729058574</v>
      </c>
      <c r="AH222" s="53" t="n">
        <f aca="false">IF(OR($A222&gt;TOMATO_BED_CAP,$B222&gt;CARROT_BED_CAP,AH$4&gt;MESCLUN_BED_CAP,$A222+$B222+AH$4&gt;TOTAL_BEDS_AVAILABLE,($D222+AH$5)&gt;TOTAL_LABOR_HOURS_CAP,MAX(0,($D222+AH$5)-PERMANENT_FIELD_LABOR_HOURS)&gt;TEMP_HOURS_CAP),"",$C222+AH$6-MIN(($D222+AH$5),PERMANENT_FIELD_LABOR_HOURS)*PERMANENT_HOURLY_RATE-MAX(0,($D222+AH$5)-PERMANENT_FIELD_LABOR_HOURS)*TEMP_HOURLY_RATE-FIXED_SEASON_COST)</f>
        <v>30480.7753224076</v>
      </c>
      <c r="AI222" s="53" t="n">
        <f aca="false">IF(OR($A222&gt;TOMATO_BED_CAP,$B222&gt;CARROT_BED_CAP,AI$4&gt;MESCLUN_BED_CAP,$A222+$B222+AI$4&gt;TOTAL_BEDS_AVAILABLE,($D222+AI$5)&gt;TOTAL_LABOR_HOURS_CAP,MAX(0,($D222+AI$5)-PERMANENT_FIELD_LABOR_HOURS)&gt;TEMP_HOURS_CAP),"",$C222+AI$6-MIN(($D222+AI$5),PERMANENT_FIELD_LABOR_HOURS)*PERMANENT_HOURLY_RATE-MAX(0,($D222+AI$5)-PERMANENT_FIELD_LABOR_HOURS)*TEMP_HOURLY_RATE-FIXED_SEASON_COST)</f>
        <v>30793.6143543199</v>
      </c>
      <c r="AJ222" s="53" t="n">
        <f aca="false">IF(OR($A222&gt;TOMATO_BED_CAP,$B222&gt;CARROT_BED_CAP,AJ$4&gt;MESCLUN_BED_CAP,$A222+$B222+AJ$4&gt;TOTAL_BEDS_AVAILABLE,($D222+AJ$5)&gt;TOTAL_LABOR_HOURS_CAP,MAX(0,($D222+AJ$5)-PERMANENT_FIELD_LABOR_HOURS)&gt;TEMP_HOURS_CAP),"",$C222+AJ$6-MIN(($D222+AJ$5),PERMANENT_FIELD_LABOR_HOURS)*PERMANENT_HOURLY_RATE-MAX(0,($D222+AJ$5)-PERMANENT_FIELD_LABOR_HOURS)*TEMP_HOURLY_RATE-FIXED_SEASON_COST)</f>
        <v>31073.6138697256</v>
      </c>
    </row>
    <row r="223" customFormat="false" ht="15" hidden="false" customHeight="false" outlineLevel="0" collapsed="false">
      <c r="A223" s="21" t="n">
        <f aca="false">INT((ROW()-ROW($A$8))/(20+1))</f>
        <v>10</v>
      </c>
      <c r="B223" s="21" t="n">
        <f aca="false">MOD(ROW()-ROW($A$8),20+1)</f>
        <v>5</v>
      </c>
      <c r="C223" s="13" t="n">
        <f aca="false">A223*(TOMATO_REVENUE_PER_BED-TOMATO_FERTILIZER_PER_BED)+B223*(CARROT_REVENUE_PER_BED-CARROT_FERTILIZER_PER_BED)</f>
        <v>87470</v>
      </c>
      <c r="D223" s="14" t="n">
        <f aca="false">INDEX(TOMATO_SCHED_LABOR_HRS,A223+1)+INDEX(CARROT_SCHED_LABOR_HRS,B223+1)</f>
        <v>2504.01156153082</v>
      </c>
      <c r="E223" s="13" t="n">
        <f aca="false">IF(COUNT(F223:AJ223)=0,"",MAX(F223:AJ223))</f>
        <v>32081.1485866975</v>
      </c>
      <c r="F223" s="53" t="n">
        <f aca="false">IF(OR($A223&gt;TOMATO_BED_CAP,$B223&gt;CARROT_BED_CAP,F$4&gt;MESCLUN_BED_CAP,$A223+$B223+F$4&gt;TOTAL_BEDS_AVAILABLE,($D223+F$5)&gt;TOTAL_LABOR_HOURS_CAP,MAX(0,($D223+F$5)-PERMANENT_FIELD_LABOR_HOURS)&gt;TEMP_HOURS_CAP),"",$C223+F$6-MIN(($D223+F$5),PERMANENT_FIELD_LABOR_HOURS)*PERMANENT_HOURLY_RATE-MAX(0,($D223+F$5)-PERMANENT_FIELD_LABOR_HOURS)*TEMP_HOURLY_RATE-FIXED_SEASON_COST)</f>
        <v>11501.1592918249</v>
      </c>
      <c r="G223" s="53" t="n">
        <f aca="false">IF(OR($A223&gt;TOMATO_BED_CAP,$B223&gt;CARROT_BED_CAP,G$4&gt;MESCLUN_BED_CAP,$A223+$B223+G$4&gt;TOTAL_BEDS_AVAILABLE,($D223+G$5)&gt;TOTAL_LABOR_HOURS_CAP,MAX(0,($D223+G$5)-PERMANENT_FIELD_LABOR_HOURS)&gt;TEMP_HOURS_CAP),"",$C223+G$6-MIN(($D223+G$5),PERMANENT_FIELD_LABOR_HOURS)*PERMANENT_HOURLY_RATE-MAX(0,($D223+G$5)-PERMANENT_FIELD_LABOR_HOURS)*TEMP_HOURLY_RATE-FIXED_SEASON_COST)</f>
        <v>12530.1942918249</v>
      </c>
      <c r="H223" s="53" t="n">
        <f aca="false">IF(OR($A223&gt;TOMATO_BED_CAP,$B223&gt;CARROT_BED_CAP,H$4&gt;MESCLUN_BED_CAP,$A223+$B223+H$4&gt;TOTAL_BEDS_AVAILABLE,($D223+H$5)&gt;TOTAL_LABOR_HOURS_CAP,MAX(0,($D223+H$5)-PERMANENT_FIELD_LABOR_HOURS)&gt;TEMP_HOURS_CAP),"",$C223+H$6-MIN(($D223+H$5),PERMANENT_FIELD_LABOR_HOURS)*PERMANENT_HOURLY_RATE-MAX(0,($D223+H$5)-PERMANENT_FIELD_LABOR_HOURS)*TEMP_HOURLY_RATE-FIXED_SEASON_COST)</f>
        <v>13539.4551668249</v>
      </c>
      <c r="I223" s="53" t="n">
        <f aca="false">IF(OR($A223&gt;TOMATO_BED_CAP,$B223&gt;CARROT_BED_CAP,I$4&gt;MESCLUN_BED_CAP,$A223+$B223+I$4&gt;TOTAL_BEDS_AVAILABLE,($D223+I$5)&gt;TOTAL_LABOR_HOURS_CAP,MAX(0,($D223+I$5)-PERMANENT_FIELD_LABOR_HOURS)&gt;TEMP_HOURS_CAP),"",$C223+I$6-MIN(($D223+I$5),PERMANENT_FIELD_LABOR_HOURS)*PERMANENT_HOURLY_RATE-MAX(0,($D223+I$5)-PERMANENT_FIELD_LABOR_HOURS)*TEMP_HOURLY_RATE-FIXED_SEASON_COST)</f>
        <v>14528.5711519812</v>
      </c>
      <c r="J223" s="53" t="n">
        <f aca="false">IF(OR($A223&gt;TOMATO_BED_CAP,$B223&gt;CARROT_BED_CAP,J$4&gt;MESCLUN_BED_CAP,$A223+$B223+J$4&gt;TOTAL_BEDS_AVAILABLE,($D223+J$5)&gt;TOTAL_LABOR_HOURS_CAP,MAX(0,($D223+J$5)-PERMANENT_FIELD_LABOR_HOURS)&gt;TEMP_HOURS_CAP),"",$C223+J$6-MIN(($D223+J$5),PERMANENT_FIELD_LABOR_HOURS)*PERMANENT_HOURLY_RATE-MAX(0,($D223+J$5)-PERMANENT_FIELD_LABOR_HOURS)*TEMP_HOURLY_RATE-FIXED_SEASON_COST)</f>
        <v>15497.1653030359</v>
      </c>
      <c r="K223" s="53" t="n">
        <f aca="false">IF(OR($A223&gt;TOMATO_BED_CAP,$B223&gt;CARROT_BED_CAP,K$4&gt;MESCLUN_BED_CAP,$A223+$B223+K$4&gt;TOTAL_BEDS_AVAILABLE,($D223+K$5)&gt;TOTAL_LABOR_HOURS_CAP,MAX(0,($D223+K$5)-PERMANENT_FIELD_LABOR_HOURS)&gt;TEMP_HOURS_CAP),"",$C223+K$6-MIN(($D223+K$5),PERMANENT_FIELD_LABOR_HOURS)*PERMANENT_HOURLY_RATE-MAX(0,($D223+K$5)-PERMANENT_FIELD_LABOR_HOURS)*TEMP_HOURLY_RATE-FIXED_SEASON_COST)</f>
        <v>16444.8543997638</v>
      </c>
      <c r="L223" s="53" t="n">
        <f aca="false">IF(OR($A223&gt;TOMATO_BED_CAP,$B223&gt;CARROT_BED_CAP,L$4&gt;MESCLUN_BED_CAP,$A223+$B223+L$4&gt;TOTAL_BEDS_AVAILABLE,($D223+L$5)&gt;TOTAL_LABOR_HOURS_CAP,MAX(0,($D223+L$5)-PERMANENT_FIELD_LABOR_HOURS)&gt;TEMP_HOURS_CAP),"",$C223+L$6-MIN(($D223+L$5),PERMANENT_FIELD_LABOR_HOURS)*PERMANENT_HOURLY_RATE-MAX(0,($D223+L$5)-PERMANENT_FIELD_LABOR_HOURS)*TEMP_HOURLY_RATE-FIXED_SEASON_COST)</f>
        <v>17371.2488479706</v>
      </c>
      <c r="M223" s="53" t="n">
        <f aca="false">IF(OR($A223&gt;TOMATO_BED_CAP,$B223&gt;CARROT_BED_CAP,M$4&gt;MESCLUN_BED_CAP,$A223+$B223+M$4&gt;TOTAL_BEDS_AVAILABLE,($D223+M$5)&gt;TOTAL_LABOR_HOURS_CAP,MAX(0,($D223+M$5)-PERMANENT_FIELD_LABOR_HOURS)&gt;TEMP_HOURS_CAP),"",$C223+M$6-MIN(($D223+M$5),PERMANENT_FIELD_LABOR_HOURS)*PERMANENT_HOURLY_RATE-MAX(0,($D223+M$5)-PERMANENT_FIELD_LABOR_HOURS)*TEMP_HOURLY_RATE-FIXED_SEASON_COST)</f>
        <v>18275.952580022</v>
      </c>
      <c r="N223" s="53" t="n">
        <f aca="false">IF(OR($A223&gt;TOMATO_BED_CAP,$B223&gt;CARROT_BED_CAP,N$4&gt;MESCLUN_BED_CAP,$A223+$B223+N$4&gt;TOTAL_BEDS_AVAILABLE,($D223+N$5)&gt;TOTAL_LABOR_HOURS_CAP,MAX(0,($D223+N$5)-PERMANENT_FIELD_LABOR_HOURS)&gt;TEMP_HOURS_CAP),"",$C223+N$6-MIN(($D223+N$5),PERMANENT_FIELD_LABOR_HOURS)*PERMANENT_HOURLY_RATE-MAX(0,($D223+N$5)-PERMANENT_FIELD_LABOR_HOURS)*TEMP_HOURLY_RATE-FIXED_SEASON_COST)</f>
        <v>19158.5629538816</v>
      </c>
      <c r="O223" s="53" t="n">
        <f aca="false">IF(OR($A223&gt;TOMATO_BED_CAP,$B223&gt;CARROT_BED_CAP,O$4&gt;MESCLUN_BED_CAP,$A223+$B223+O$4&gt;TOTAL_BEDS_AVAILABLE,($D223+O$5)&gt;TOTAL_LABOR_HOURS_CAP,MAX(0,($D223+O$5)-PERMANENT_FIELD_LABOR_HOURS)&gt;TEMP_HOURS_CAP),"",$C223+O$6-MIN(($D223+O$5),PERMANENT_FIELD_LABOR_HOURS)*PERMANENT_HOURLY_RATE-MAX(0,($D223+O$5)-PERMANENT_FIELD_LABOR_HOURS)*TEMP_HOURLY_RATE-FIXED_SEASON_COST)</f>
        <v>20018.6706506363</v>
      </c>
      <c r="P223" s="53" t="n">
        <f aca="false">IF(OR($A223&gt;TOMATO_BED_CAP,$B223&gt;CARROT_BED_CAP,P$4&gt;MESCLUN_BED_CAP,$A223+$B223+P$4&gt;TOTAL_BEDS_AVAILABLE,($D223+P$5)&gt;TOTAL_LABOR_HOURS_CAP,MAX(0,($D223+P$5)-PERMANENT_FIELD_LABOR_HOURS)&gt;TEMP_HOURS_CAP),"",$C223+P$6-MIN(($D223+P$5),PERMANENT_FIELD_LABOR_HOURS)*PERMANENT_HOURLY_RATE-MAX(0,($D223+P$5)-PERMANENT_FIELD_LABOR_HOURS)*TEMP_HOURLY_RATE-FIXED_SEASON_COST)</f>
        <v>20855.8595704878</v>
      </c>
      <c r="Q223" s="53" t="n">
        <f aca="false">IF(OR($A223&gt;TOMATO_BED_CAP,$B223&gt;CARROT_BED_CAP,Q$4&gt;MESCLUN_BED_CAP,$A223+$B223+Q$4&gt;TOTAL_BEDS_AVAILABLE,($D223+Q$5)&gt;TOTAL_LABOR_HOURS_CAP,MAX(0,($D223+Q$5)-PERMANENT_FIELD_LABOR_HOURS)&gt;TEMP_HOURS_CAP),"",$C223+Q$6-MIN(($D223+Q$5),PERMANENT_FIELD_LABOR_HOURS)*PERMANENT_HOURLY_RATE-MAX(0,($D223+Q$5)-PERMANENT_FIELD_LABOR_HOURS)*TEMP_HOURLY_RATE-FIXED_SEASON_COST)</f>
        <v>21669.7067271857</v>
      </c>
      <c r="R223" s="53" t="n">
        <f aca="false">IF(OR($A223&gt;TOMATO_BED_CAP,$B223&gt;CARROT_BED_CAP,R$4&gt;MESCLUN_BED_CAP,$A223+$B223+R$4&gt;TOTAL_BEDS_AVAILABLE,($D223+R$5)&gt;TOTAL_LABOR_HOURS_CAP,MAX(0,($D223+R$5)-PERMANENT_FIELD_LABOR_HOURS)&gt;TEMP_HOURS_CAP),"",$C223+R$6-MIN(($D223+R$5),PERMANENT_FIELD_LABOR_HOURS)*PERMANENT_HOURLY_RATE-MAX(0,($D223+R$5)-PERMANENT_FIELD_LABOR_HOURS)*TEMP_HOURLY_RATE-FIXED_SEASON_COST)</f>
        <v>22459.7821408825</v>
      </c>
      <c r="S223" s="53" t="n">
        <f aca="false">IF(OR($A223&gt;TOMATO_BED_CAP,$B223&gt;CARROT_BED_CAP,S$4&gt;MESCLUN_BED_CAP,$A223+$B223+S$4&gt;TOTAL_BEDS_AVAILABLE,($D223+S$5)&gt;TOTAL_LABOR_HOURS_CAP,MAX(0,($D223+S$5)-PERMANENT_FIELD_LABOR_HOURS)&gt;TEMP_HOURS_CAP),"",$C223+S$6-MIN(($D223+S$5),PERMANENT_FIELD_LABOR_HOURS)*PERMANENT_HOURLY_RATE-MAX(0,($D223+S$5)-PERMANENT_FIELD_LABOR_HOURS)*TEMP_HOURLY_RATE-FIXED_SEASON_COST)</f>
        <v>23225.6487293849</v>
      </c>
      <c r="T223" s="53" t="n">
        <f aca="false">IF(OR($A223&gt;TOMATO_BED_CAP,$B223&gt;CARROT_BED_CAP,T$4&gt;MESCLUN_BED_CAP,$A223+$B223+T$4&gt;TOTAL_BEDS_AVAILABLE,($D223+T$5)&gt;TOTAL_LABOR_HOURS_CAP,MAX(0,($D223+T$5)-PERMANENT_FIELD_LABOR_HOURS)&gt;TEMP_HOURS_CAP),"",$C223+T$6-MIN(($D223+T$5),PERMANENT_FIELD_LABOR_HOURS)*PERMANENT_HOURLY_RATE-MAX(0,($D223+T$5)-PERMANENT_FIELD_LABOR_HOURS)*TEMP_HOURLY_RATE-FIXED_SEASON_COST)</f>
        <v>23966.8621977798</v>
      </c>
      <c r="U223" s="53" t="n">
        <f aca="false">IF(OR($A223&gt;TOMATO_BED_CAP,$B223&gt;CARROT_BED_CAP,U$4&gt;MESCLUN_BED_CAP,$A223+$B223+U$4&gt;TOTAL_BEDS_AVAILABLE,($D223+U$5)&gt;TOTAL_LABOR_HOURS_CAP,MAX(0,($D223+U$5)-PERMANENT_FIELD_LABOR_HOURS)&gt;TEMP_HOURS_CAP),"",$C223+U$6-MIN(($D223+U$5),PERMANENT_FIELD_LABOR_HOURS)*PERMANENT_HOURLY_RATE-MAX(0,($D223+U$5)-PERMANENT_FIELD_LABOR_HOURS)*TEMP_HOURLY_RATE-FIXED_SEASON_COST)</f>
        <v>24682.9709264099</v>
      </c>
      <c r="V223" s="53" t="n">
        <f aca="false">IF(OR($A223&gt;TOMATO_BED_CAP,$B223&gt;CARROT_BED_CAP,V$4&gt;MESCLUN_BED_CAP,$A223+$B223+V$4&gt;TOTAL_BEDS_AVAILABLE,($D223+V$5)&gt;TOTAL_LABOR_HOURS_CAP,MAX(0,($D223+V$5)-PERMANENT_FIELD_LABOR_HOURS)&gt;TEMP_HOURS_CAP),"",$C223+V$6-MIN(($D223+V$5),PERMANENT_FIELD_LABOR_HOURS)*PERMANENT_HOURLY_RATE-MAX(0,($D223+V$5)-PERMANENT_FIELD_LABOR_HOURS)*TEMP_HOURLY_RATE-FIXED_SEASON_COST)</f>
        <v>25373.5158571766</v>
      </c>
      <c r="W223" s="53" t="n">
        <f aca="false">IF(OR($A223&gt;TOMATO_BED_CAP,$B223&gt;CARROT_BED_CAP,W$4&gt;MESCLUN_BED_CAP,$A223+$B223+W$4&gt;TOTAL_BEDS_AVAILABLE,($D223+W$5)&gt;TOTAL_LABOR_HOURS_CAP,MAX(0,($D223+W$5)-PERMANENT_FIELD_LABOR_HOURS)&gt;TEMP_HOURS_CAP),"",$C223+W$6-MIN(($D223+W$5),PERMANENT_FIELD_LABOR_HOURS)*PERMANENT_HOURLY_RATE-MAX(0,($D223+W$5)-PERMANENT_FIELD_LABOR_HOURS)*TEMP_HOURLY_RATE-FIXED_SEASON_COST)</f>
        <v>26038.0303781447</v>
      </c>
      <c r="X223" s="53" t="n">
        <f aca="false">IF(OR($A223&gt;TOMATO_BED_CAP,$B223&gt;CARROT_BED_CAP,X$4&gt;MESCLUN_BED_CAP,$A223+$B223+X$4&gt;TOTAL_BEDS_AVAILABLE,($D223+X$5)&gt;TOTAL_LABOR_HOURS_CAP,MAX(0,($D223+X$5)-PERMANENT_FIELD_LABOR_HOURS)&gt;TEMP_HOURS_CAP),"",$C223+X$6-MIN(($D223+X$5),PERMANENT_FIELD_LABOR_HOURS)*PERMANENT_HOURLY_RATE-MAX(0,($D223+X$5)-PERMANENT_FIELD_LABOR_HOURS)*TEMP_HOURLY_RATE-FIXED_SEASON_COST)</f>
        <v>26676.0402064236</v>
      </c>
      <c r="Y223" s="53" t="n">
        <f aca="false">IF(OR($A223&gt;TOMATO_BED_CAP,$B223&gt;CARROT_BED_CAP,Y$4&gt;MESCLUN_BED_CAP,$A223+$B223+Y$4&gt;TOTAL_BEDS_AVAILABLE,($D223+Y$5)&gt;TOTAL_LABOR_HOURS_CAP,MAX(0,($D223+Y$5)-PERMANENT_FIELD_LABOR_HOURS)&gt;TEMP_HOURS_CAP),"",$C223+Y$6-MIN(($D223+Y$5),PERMANENT_FIELD_LABOR_HOURS)*PERMANENT_HOURLY_RATE-MAX(0,($D223+Y$5)-PERMANENT_FIELD_LABOR_HOURS)*TEMP_HOURLY_RATE-FIXED_SEASON_COST)</f>
        <v>27287.0632693023</v>
      </c>
      <c r="Z223" s="53" t="n">
        <f aca="false">IF(OR($A223&gt;TOMATO_BED_CAP,$B223&gt;CARROT_BED_CAP,Z$4&gt;MESCLUN_BED_CAP,$A223+$B223+Z$4&gt;TOTAL_BEDS_AVAILABLE,($D223+Z$5)&gt;TOTAL_LABOR_HOURS_CAP,MAX(0,($D223+Z$5)-PERMANENT_FIELD_LABOR_HOURS)&gt;TEMP_HOURS_CAP),"",$C223+Z$6-MIN(($D223+Z$5),PERMANENT_FIELD_LABOR_HOURS)*PERMANENT_HOURLY_RATE-MAX(0,($D223+Z$5)-PERMANENT_FIELD_LABOR_HOURS)*TEMP_HOURLY_RATE-FIXED_SEASON_COST)</f>
        <v>27870.60958361</v>
      </c>
      <c r="AA223" s="53" t="n">
        <f aca="false">IF(OR($A223&gt;TOMATO_BED_CAP,$B223&gt;CARROT_BED_CAP,AA$4&gt;MESCLUN_BED_CAP,$A223+$B223+AA$4&gt;TOTAL_BEDS_AVAILABLE,($D223+AA$5)&gt;TOTAL_LABOR_HOURS_CAP,MAX(0,($D223+AA$5)-PERMANENT_FIELD_LABOR_HOURS)&gt;TEMP_HOURS_CAP),"",$C223+AA$6-MIN(($D223+AA$5),PERMANENT_FIELD_LABOR_HOURS)*PERMANENT_HOURLY_RATE-MAX(0,($D223+AA$5)-PERMANENT_FIELD_LABOR_HOURS)*TEMP_HOURLY_RATE-FIXED_SEASON_COST)</f>
        <v>28426.1811332789</v>
      </c>
      <c r="AB223" s="53" t="n">
        <f aca="false">IF(OR($A223&gt;TOMATO_BED_CAP,$B223&gt;CARROT_BED_CAP,AB$4&gt;MESCLUN_BED_CAP,$A223+$B223+AB$4&gt;TOTAL_BEDS_AVAILABLE,($D223+AB$5)&gt;TOTAL_LABOR_HOURS_CAP,MAX(0,($D223+AB$5)-PERMANENT_FIELD_LABOR_HOURS)&gt;TEMP_HOURS_CAP),"",$C223+AB$6-MIN(($D223+AB$5),PERMANENT_FIELD_LABOR_HOURS)*PERMANENT_HOURLY_RATE-MAX(0,($D223+AB$5)-PERMANENT_FIELD_LABOR_HOURS)*TEMP_HOURLY_RATE-FIXED_SEASON_COST)</f>
        <v>28953.2717450815</v>
      </c>
      <c r="AC223" s="53" t="n">
        <f aca="false">IF(OR($A223&gt;TOMATO_BED_CAP,$B223&gt;CARROT_BED_CAP,AC$4&gt;MESCLUN_BED_CAP,$A223+$B223+AC$4&gt;TOTAL_BEDS_AVAILABLE,($D223+AC$5)&gt;TOTAL_LABOR_HOURS_CAP,MAX(0,($D223+AC$5)-PERMANENT_FIELD_LABOR_HOURS)&gt;TEMP_HOURS_CAP),"",$C223+AC$6-MIN(($D223+AC$5),PERMANENT_FIELD_LABOR_HOURS)*PERMANENT_HOURLY_RATE-MAX(0,($D223+AC$5)-PERMANENT_FIELD_LABOR_HOURS)*TEMP_HOURLY_RATE-FIXED_SEASON_COST)</f>
        <v>29451.3669625164</v>
      </c>
      <c r="AD223" s="53" t="n">
        <f aca="false">IF(OR($A223&gt;TOMATO_BED_CAP,$B223&gt;CARROT_BED_CAP,AD$4&gt;MESCLUN_BED_CAP,$A223+$B223+AD$4&gt;TOTAL_BEDS_AVAILABLE,($D223+AD$5)&gt;TOTAL_LABOR_HOURS_CAP,MAX(0,($D223+AD$5)-PERMANENT_FIELD_LABOR_HOURS)&gt;TEMP_HOURS_CAP),"",$C223+AD$6-MIN(($D223+AD$5),PERMANENT_FIELD_LABOR_HOURS)*PERMANENT_HOURLY_RATE-MAX(0,($D223+AD$5)-PERMANENT_FIELD_LABOR_HOURS)*TEMP_HOURLY_RATE-FIXED_SEASON_COST)</f>
        <v>29919.9439178164</v>
      </c>
      <c r="AE223" s="53" t="n">
        <f aca="false">IF(OR($A223&gt;TOMATO_BED_CAP,$B223&gt;CARROT_BED_CAP,AE$4&gt;MESCLUN_BED_CAP,$A223+$B223+AE$4&gt;TOTAL_BEDS_AVAILABLE,($D223+AE$5)&gt;TOTAL_LABOR_HOURS_CAP,MAX(0,($D223+AE$5)-PERMANENT_FIELD_LABOR_HOURS)&gt;TEMP_HOURS_CAP),"",$C223+AE$6-MIN(($D223+AE$5),PERMANENT_FIELD_LABOR_HOURS)*PERMANENT_HOURLY_RATE-MAX(0,($D223+AE$5)-PERMANENT_FIELD_LABOR_HOURS)*TEMP_HOURLY_RATE-FIXED_SEASON_COST)</f>
        <v>30358.4712020503</v>
      </c>
      <c r="AF223" s="53" t="n">
        <f aca="false">IF(OR($A223&gt;TOMATO_BED_CAP,$B223&gt;CARROT_BED_CAP,AF$4&gt;MESCLUN_BED_CAP,$A223+$B223+AF$4&gt;TOTAL_BEDS_AVAILABLE,($D223+AF$5)&gt;TOTAL_LABOR_HOURS_CAP,MAX(0,($D223+AF$5)-PERMANENT_FIELD_LABOR_HOURS)&gt;TEMP_HOURS_CAP),"",$C223+AF$6-MIN(($D223+AF$5),PERMANENT_FIELD_LABOR_HOURS)*PERMANENT_HOURLY_RATE-MAX(0,($D223+AF$5)-PERMANENT_FIELD_LABOR_HOURS)*TEMP_HOURLY_RATE-FIXED_SEASON_COST)</f>
        <v>30766.4087332922</v>
      </c>
      <c r="AG223" s="53" t="n">
        <f aca="false">IF(OR($A223&gt;TOMATO_BED_CAP,$B223&gt;CARROT_BED_CAP,AG$4&gt;MESCLUN_BED_CAP,$A223+$B223+AG$4&gt;TOTAL_BEDS_AVAILABLE,($D223+AG$5)&gt;TOTAL_LABOR_HOURS_CAP,MAX(0,($D223+AG$5)-PERMANENT_FIELD_LABOR_HOURS)&gt;TEMP_HOURS_CAP),"",$C223+AG$6-MIN(($D223+AG$5),PERMANENT_FIELD_LABOR_HOURS)*PERMANENT_HOURLY_RATE-MAX(0,($D223+AG$5)-PERMANENT_FIELD_LABOR_HOURS)*TEMP_HOURLY_RATE-FIXED_SEASON_COST)</f>
        <v>31143.2076228292</v>
      </c>
      <c r="AH223" s="53" t="n">
        <f aca="false">IF(OR($A223&gt;TOMATO_BED_CAP,$B223&gt;CARROT_BED_CAP,AH$4&gt;MESCLUN_BED_CAP,$A223+$B223+AH$4&gt;TOTAL_BEDS_AVAILABLE,($D223+AH$5)&gt;TOTAL_LABOR_HOURS_CAP,MAX(0,($D223+AH$5)-PERMANENT_FIELD_LABOR_HOURS)&gt;TEMP_HOURS_CAP),"",$C223+AH$6-MIN(($D223+AH$5),PERMANENT_FIELD_LABOR_HOURS)*PERMANENT_HOURLY_RATE-MAX(0,($D223+AH$5)-PERMANENT_FIELD_LABOR_HOURS)*TEMP_HOURLY_RATE-FIXED_SEASON_COST)</f>
        <v>31488.3100393795</v>
      </c>
      <c r="AI223" s="53" t="n">
        <f aca="false">IF(OR($A223&gt;TOMATO_BED_CAP,$B223&gt;CARROT_BED_CAP,AI$4&gt;MESCLUN_BED_CAP,$A223+$B223+AI$4&gt;TOTAL_BEDS_AVAILABLE,($D223+AI$5)&gt;TOTAL_LABOR_HOURS_CAP,MAX(0,($D223+AI$5)-PERMANENT_FIELD_LABOR_HOURS)&gt;TEMP_HOURS_CAP),"",$C223+AI$6-MIN(($D223+AI$5),PERMANENT_FIELD_LABOR_HOURS)*PERMANENT_HOURLY_RATE-MAX(0,($D223+AI$5)-PERMANENT_FIELD_LABOR_HOURS)*TEMP_HOURLY_RATE-FIXED_SEASON_COST)</f>
        <v>31801.1490712917</v>
      </c>
      <c r="AJ223" s="53" t="n">
        <f aca="false">IF(OR($A223&gt;TOMATO_BED_CAP,$B223&gt;CARROT_BED_CAP,AJ$4&gt;MESCLUN_BED_CAP,$A223+$B223+AJ$4&gt;TOTAL_BEDS_AVAILABLE,($D223+AJ$5)&gt;TOTAL_LABOR_HOURS_CAP,MAX(0,($D223+AJ$5)-PERMANENT_FIELD_LABOR_HOURS)&gt;TEMP_HOURS_CAP),"",$C223+AJ$6-MIN(($D223+AJ$5),PERMANENT_FIELD_LABOR_HOURS)*PERMANENT_HOURLY_RATE-MAX(0,($D223+AJ$5)-PERMANENT_FIELD_LABOR_HOURS)*TEMP_HOURLY_RATE-FIXED_SEASON_COST)</f>
        <v>32081.1485866975</v>
      </c>
    </row>
    <row r="224" customFormat="false" ht="15" hidden="false" customHeight="false" outlineLevel="0" collapsed="false">
      <c r="A224" s="21" t="n">
        <f aca="false">INT((ROW()-ROW($A$8))/(20+1))</f>
        <v>10</v>
      </c>
      <c r="B224" s="21" t="n">
        <f aca="false">MOD(ROW()-ROW($A$8),20+1)</f>
        <v>6</v>
      </c>
      <c r="C224" s="13" t="n">
        <f aca="false">A224*(TOMATO_REVENUE_PER_BED-TOMATO_FERTILIZER_PER_BED)+B224*(CARROT_REVENUE_PER_BED-CARROT_FERTILIZER_PER_BED)</f>
        <v>89124</v>
      </c>
      <c r="D224" s="14" t="n">
        <f aca="false">INDEX(TOMATO_SCHED_LABOR_HRS,A224+1)+INDEX(CARROT_SCHED_LABOR_HRS,B224+1)</f>
        <v>2543.02953144221</v>
      </c>
      <c r="E224" s="13" t="n">
        <f aca="false">IF(COUNT(F224:AJ224)=0,"",MAX(F224:AJ224))</f>
        <v>33057.7966290358</v>
      </c>
      <c r="F224" s="53" t="n">
        <f aca="false">IF(OR($A224&gt;TOMATO_BED_CAP,$B224&gt;CARROT_BED_CAP,F$4&gt;MESCLUN_BED_CAP,$A224+$B224+F$4&gt;TOTAL_BEDS_AVAILABLE,($D224+F$5)&gt;TOTAL_LABOR_HOURS_CAP,MAX(0,($D224+F$5)-PERMANENT_FIELD_LABOR_HOURS)&gt;TEMP_HOURS_CAP),"",$C224+F$6-MIN(($D224+F$5),PERMANENT_FIELD_LABOR_HOURS)*PERMANENT_HOURLY_RATE-MAX(0,($D224+F$5)-PERMANENT_FIELD_LABOR_HOURS)*TEMP_HOURLY_RATE-FIXED_SEASON_COST)</f>
        <v>12477.8073341632</v>
      </c>
      <c r="G224" s="53" t="n">
        <f aca="false">IF(OR($A224&gt;TOMATO_BED_CAP,$B224&gt;CARROT_BED_CAP,G$4&gt;MESCLUN_BED_CAP,$A224+$B224+G$4&gt;TOTAL_BEDS_AVAILABLE,($D224+G$5)&gt;TOTAL_LABOR_HOURS_CAP,MAX(0,($D224+G$5)-PERMANENT_FIELD_LABOR_HOURS)&gt;TEMP_HOURS_CAP),"",$C224+G$6-MIN(($D224+G$5),PERMANENT_FIELD_LABOR_HOURS)*PERMANENT_HOURLY_RATE-MAX(0,($D224+G$5)-PERMANENT_FIELD_LABOR_HOURS)*TEMP_HOURLY_RATE-FIXED_SEASON_COST)</f>
        <v>13506.8423341632</v>
      </c>
      <c r="H224" s="53" t="n">
        <f aca="false">IF(OR($A224&gt;TOMATO_BED_CAP,$B224&gt;CARROT_BED_CAP,H$4&gt;MESCLUN_BED_CAP,$A224+$B224+H$4&gt;TOTAL_BEDS_AVAILABLE,($D224+H$5)&gt;TOTAL_LABOR_HOURS_CAP,MAX(0,($D224+H$5)-PERMANENT_FIELD_LABOR_HOURS)&gt;TEMP_HOURS_CAP),"",$C224+H$6-MIN(($D224+H$5),PERMANENT_FIELD_LABOR_HOURS)*PERMANENT_HOURLY_RATE-MAX(0,($D224+H$5)-PERMANENT_FIELD_LABOR_HOURS)*TEMP_HOURLY_RATE-FIXED_SEASON_COST)</f>
        <v>14516.1032091632</v>
      </c>
      <c r="I224" s="53" t="n">
        <f aca="false">IF(OR($A224&gt;TOMATO_BED_CAP,$B224&gt;CARROT_BED_CAP,I$4&gt;MESCLUN_BED_CAP,$A224+$B224+I$4&gt;TOTAL_BEDS_AVAILABLE,($D224+I$5)&gt;TOTAL_LABOR_HOURS_CAP,MAX(0,($D224+I$5)-PERMANENT_FIELD_LABOR_HOURS)&gt;TEMP_HOURS_CAP),"",$C224+I$6-MIN(($D224+I$5),PERMANENT_FIELD_LABOR_HOURS)*PERMANENT_HOURLY_RATE-MAX(0,($D224+I$5)-PERMANENT_FIELD_LABOR_HOURS)*TEMP_HOURLY_RATE-FIXED_SEASON_COST)</f>
        <v>15505.2191943195</v>
      </c>
      <c r="J224" s="53" t="n">
        <f aca="false">IF(OR($A224&gt;TOMATO_BED_CAP,$B224&gt;CARROT_BED_CAP,J$4&gt;MESCLUN_BED_CAP,$A224+$B224+J$4&gt;TOTAL_BEDS_AVAILABLE,($D224+J$5)&gt;TOTAL_LABOR_HOURS_CAP,MAX(0,($D224+J$5)-PERMANENT_FIELD_LABOR_HOURS)&gt;TEMP_HOURS_CAP),"",$C224+J$6-MIN(($D224+J$5),PERMANENT_FIELD_LABOR_HOURS)*PERMANENT_HOURLY_RATE-MAX(0,($D224+J$5)-PERMANENT_FIELD_LABOR_HOURS)*TEMP_HOURLY_RATE-FIXED_SEASON_COST)</f>
        <v>16473.8133453742</v>
      </c>
      <c r="K224" s="53" t="n">
        <f aca="false">IF(OR($A224&gt;TOMATO_BED_CAP,$B224&gt;CARROT_BED_CAP,K$4&gt;MESCLUN_BED_CAP,$A224+$B224+K$4&gt;TOTAL_BEDS_AVAILABLE,($D224+K$5)&gt;TOTAL_LABOR_HOURS_CAP,MAX(0,($D224+K$5)-PERMANENT_FIELD_LABOR_HOURS)&gt;TEMP_HOURS_CAP),"",$C224+K$6-MIN(($D224+K$5),PERMANENT_FIELD_LABOR_HOURS)*PERMANENT_HOURLY_RATE-MAX(0,($D224+K$5)-PERMANENT_FIELD_LABOR_HOURS)*TEMP_HOURLY_RATE-FIXED_SEASON_COST)</f>
        <v>17421.5024421021</v>
      </c>
      <c r="L224" s="53" t="n">
        <f aca="false">IF(OR($A224&gt;TOMATO_BED_CAP,$B224&gt;CARROT_BED_CAP,L$4&gt;MESCLUN_BED_CAP,$A224+$B224+L$4&gt;TOTAL_BEDS_AVAILABLE,($D224+L$5)&gt;TOTAL_LABOR_HOURS_CAP,MAX(0,($D224+L$5)-PERMANENT_FIELD_LABOR_HOURS)&gt;TEMP_HOURS_CAP),"",$C224+L$6-MIN(($D224+L$5),PERMANENT_FIELD_LABOR_HOURS)*PERMANENT_HOURLY_RATE-MAX(0,($D224+L$5)-PERMANENT_FIELD_LABOR_HOURS)*TEMP_HOURLY_RATE-FIXED_SEASON_COST)</f>
        <v>18347.8968903089</v>
      </c>
      <c r="M224" s="53" t="n">
        <f aca="false">IF(OR($A224&gt;TOMATO_BED_CAP,$B224&gt;CARROT_BED_CAP,M$4&gt;MESCLUN_BED_CAP,$A224+$B224+M$4&gt;TOTAL_BEDS_AVAILABLE,($D224+M$5)&gt;TOTAL_LABOR_HOURS_CAP,MAX(0,($D224+M$5)-PERMANENT_FIELD_LABOR_HOURS)&gt;TEMP_HOURS_CAP),"",$C224+M$6-MIN(($D224+M$5),PERMANENT_FIELD_LABOR_HOURS)*PERMANENT_HOURLY_RATE-MAX(0,($D224+M$5)-PERMANENT_FIELD_LABOR_HOURS)*TEMP_HOURLY_RATE-FIXED_SEASON_COST)</f>
        <v>19252.6006223603</v>
      </c>
      <c r="N224" s="53" t="n">
        <f aca="false">IF(OR($A224&gt;TOMATO_BED_CAP,$B224&gt;CARROT_BED_CAP,N$4&gt;MESCLUN_BED_CAP,$A224+$B224+N$4&gt;TOTAL_BEDS_AVAILABLE,($D224+N$5)&gt;TOTAL_LABOR_HOURS_CAP,MAX(0,($D224+N$5)-PERMANENT_FIELD_LABOR_HOURS)&gt;TEMP_HOURS_CAP),"",$C224+N$6-MIN(($D224+N$5),PERMANENT_FIELD_LABOR_HOURS)*PERMANENT_HOURLY_RATE-MAX(0,($D224+N$5)-PERMANENT_FIELD_LABOR_HOURS)*TEMP_HOURLY_RATE-FIXED_SEASON_COST)</f>
        <v>20135.2109962199</v>
      </c>
      <c r="O224" s="53" t="n">
        <f aca="false">IF(OR($A224&gt;TOMATO_BED_CAP,$B224&gt;CARROT_BED_CAP,O$4&gt;MESCLUN_BED_CAP,$A224+$B224+O$4&gt;TOTAL_BEDS_AVAILABLE,($D224+O$5)&gt;TOTAL_LABOR_HOURS_CAP,MAX(0,($D224+O$5)-PERMANENT_FIELD_LABOR_HOURS)&gt;TEMP_HOURS_CAP),"",$C224+O$6-MIN(($D224+O$5),PERMANENT_FIELD_LABOR_HOURS)*PERMANENT_HOURLY_RATE-MAX(0,($D224+O$5)-PERMANENT_FIELD_LABOR_HOURS)*TEMP_HOURLY_RATE-FIXED_SEASON_COST)</f>
        <v>20995.3186929746</v>
      </c>
      <c r="P224" s="53" t="n">
        <f aca="false">IF(OR($A224&gt;TOMATO_BED_CAP,$B224&gt;CARROT_BED_CAP,P$4&gt;MESCLUN_BED_CAP,$A224+$B224+P$4&gt;TOTAL_BEDS_AVAILABLE,($D224+P$5)&gt;TOTAL_LABOR_HOURS_CAP,MAX(0,($D224+P$5)-PERMANENT_FIELD_LABOR_HOURS)&gt;TEMP_HOURS_CAP),"",$C224+P$6-MIN(($D224+P$5),PERMANENT_FIELD_LABOR_HOURS)*PERMANENT_HOURLY_RATE-MAX(0,($D224+P$5)-PERMANENT_FIELD_LABOR_HOURS)*TEMP_HOURLY_RATE-FIXED_SEASON_COST)</f>
        <v>21832.5076128261</v>
      </c>
      <c r="Q224" s="53" t="n">
        <f aca="false">IF(OR($A224&gt;TOMATO_BED_CAP,$B224&gt;CARROT_BED_CAP,Q$4&gt;MESCLUN_BED_CAP,$A224+$B224+Q$4&gt;TOTAL_BEDS_AVAILABLE,($D224+Q$5)&gt;TOTAL_LABOR_HOURS_CAP,MAX(0,($D224+Q$5)-PERMANENT_FIELD_LABOR_HOURS)&gt;TEMP_HOURS_CAP),"",$C224+Q$6-MIN(($D224+Q$5),PERMANENT_FIELD_LABOR_HOURS)*PERMANENT_HOURLY_RATE-MAX(0,($D224+Q$5)-PERMANENT_FIELD_LABOR_HOURS)*TEMP_HOURLY_RATE-FIXED_SEASON_COST)</f>
        <v>22646.354769524</v>
      </c>
      <c r="R224" s="53" t="n">
        <f aca="false">IF(OR($A224&gt;TOMATO_BED_CAP,$B224&gt;CARROT_BED_CAP,R$4&gt;MESCLUN_BED_CAP,$A224+$B224+R$4&gt;TOTAL_BEDS_AVAILABLE,($D224+R$5)&gt;TOTAL_LABOR_HOURS_CAP,MAX(0,($D224+R$5)-PERMANENT_FIELD_LABOR_HOURS)&gt;TEMP_HOURS_CAP),"",$C224+R$6-MIN(($D224+R$5),PERMANENT_FIELD_LABOR_HOURS)*PERMANENT_HOURLY_RATE-MAX(0,($D224+R$5)-PERMANENT_FIELD_LABOR_HOURS)*TEMP_HOURLY_RATE-FIXED_SEASON_COST)</f>
        <v>23436.4301832208</v>
      </c>
      <c r="S224" s="53" t="n">
        <f aca="false">IF(OR($A224&gt;TOMATO_BED_CAP,$B224&gt;CARROT_BED_CAP,S$4&gt;MESCLUN_BED_CAP,$A224+$B224+S$4&gt;TOTAL_BEDS_AVAILABLE,($D224+S$5)&gt;TOTAL_LABOR_HOURS_CAP,MAX(0,($D224+S$5)-PERMANENT_FIELD_LABOR_HOURS)&gt;TEMP_HOURS_CAP),"",$C224+S$6-MIN(($D224+S$5),PERMANENT_FIELD_LABOR_HOURS)*PERMANENT_HOURLY_RATE-MAX(0,($D224+S$5)-PERMANENT_FIELD_LABOR_HOURS)*TEMP_HOURLY_RATE-FIXED_SEASON_COST)</f>
        <v>24202.2967717232</v>
      </c>
      <c r="T224" s="53" t="n">
        <f aca="false">IF(OR($A224&gt;TOMATO_BED_CAP,$B224&gt;CARROT_BED_CAP,T$4&gt;MESCLUN_BED_CAP,$A224+$B224+T$4&gt;TOTAL_BEDS_AVAILABLE,($D224+T$5)&gt;TOTAL_LABOR_HOURS_CAP,MAX(0,($D224+T$5)-PERMANENT_FIELD_LABOR_HOURS)&gt;TEMP_HOURS_CAP),"",$C224+T$6-MIN(($D224+T$5),PERMANENT_FIELD_LABOR_HOURS)*PERMANENT_HOURLY_RATE-MAX(0,($D224+T$5)-PERMANENT_FIELD_LABOR_HOURS)*TEMP_HOURLY_RATE-FIXED_SEASON_COST)</f>
        <v>24943.5102401181</v>
      </c>
      <c r="U224" s="53" t="n">
        <f aca="false">IF(OR($A224&gt;TOMATO_BED_CAP,$B224&gt;CARROT_BED_CAP,U$4&gt;MESCLUN_BED_CAP,$A224+$B224+U$4&gt;TOTAL_BEDS_AVAILABLE,($D224+U$5)&gt;TOTAL_LABOR_HOURS_CAP,MAX(0,($D224+U$5)-PERMANENT_FIELD_LABOR_HOURS)&gt;TEMP_HOURS_CAP),"",$C224+U$6-MIN(($D224+U$5),PERMANENT_FIELD_LABOR_HOURS)*PERMANENT_HOURLY_RATE-MAX(0,($D224+U$5)-PERMANENT_FIELD_LABOR_HOURS)*TEMP_HOURLY_RATE-FIXED_SEASON_COST)</f>
        <v>25659.6189687482</v>
      </c>
      <c r="V224" s="53" t="n">
        <f aca="false">IF(OR($A224&gt;TOMATO_BED_CAP,$B224&gt;CARROT_BED_CAP,V$4&gt;MESCLUN_BED_CAP,$A224+$B224+V$4&gt;TOTAL_BEDS_AVAILABLE,($D224+V$5)&gt;TOTAL_LABOR_HOURS_CAP,MAX(0,($D224+V$5)-PERMANENT_FIELD_LABOR_HOURS)&gt;TEMP_HOURS_CAP),"",$C224+V$6-MIN(($D224+V$5),PERMANENT_FIELD_LABOR_HOURS)*PERMANENT_HOURLY_RATE-MAX(0,($D224+V$5)-PERMANENT_FIELD_LABOR_HOURS)*TEMP_HOURLY_RATE-FIXED_SEASON_COST)</f>
        <v>26350.1638995149</v>
      </c>
      <c r="W224" s="53" t="n">
        <f aca="false">IF(OR($A224&gt;TOMATO_BED_CAP,$B224&gt;CARROT_BED_CAP,W$4&gt;MESCLUN_BED_CAP,$A224+$B224+W$4&gt;TOTAL_BEDS_AVAILABLE,($D224+W$5)&gt;TOTAL_LABOR_HOURS_CAP,MAX(0,($D224+W$5)-PERMANENT_FIELD_LABOR_HOURS)&gt;TEMP_HOURS_CAP),"",$C224+W$6-MIN(($D224+W$5),PERMANENT_FIELD_LABOR_HOURS)*PERMANENT_HOURLY_RATE-MAX(0,($D224+W$5)-PERMANENT_FIELD_LABOR_HOURS)*TEMP_HOURLY_RATE-FIXED_SEASON_COST)</f>
        <v>27014.678420483</v>
      </c>
      <c r="X224" s="53" t="n">
        <f aca="false">IF(OR($A224&gt;TOMATO_BED_CAP,$B224&gt;CARROT_BED_CAP,X$4&gt;MESCLUN_BED_CAP,$A224+$B224+X$4&gt;TOTAL_BEDS_AVAILABLE,($D224+X$5)&gt;TOTAL_LABOR_HOURS_CAP,MAX(0,($D224+X$5)-PERMANENT_FIELD_LABOR_HOURS)&gt;TEMP_HOURS_CAP),"",$C224+X$6-MIN(($D224+X$5),PERMANENT_FIELD_LABOR_HOURS)*PERMANENT_HOURLY_RATE-MAX(0,($D224+X$5)-PERMANENT_FIELD_LABOR_HOURS)*TEMP_HOURLY_RATE-FIXED_SEASON_COST)</f>
        <v>27652.6882487619</v>
      </c>
      <c r="Y224" s="53" t="n">
        <f aca="false">IF(OR($A224&gt;TOMATO_BED_CAP,$B224&gt;CARROT_BED_CAP,Y$4&gt;MESCLUN_BED_CAP,$A224+$B224+Y$4&gt;TOTAL_BEDS_AVAILABLE,($D224+Y$5)&gt;TOTAL_LABOR_HOURS_CAP,MAX(0,($D224+Y$5)-PERMANENT_FIELD_LABOR_HOURS)&gt;TEMP_HOURS_CAP),"",$C224+Y$6-MIN(($D224+Y$5),PERMANENT_FIELD_LABOR_HOURS)*PERMANENT_HOURLY_RATE-MAX(0,($D224+Y$5)-PERMANENT_FIELD_LABOR_HOURS)*TEMP_HOURLY_RATE-FIXED_SEASON_COST)</f>
        <v>28263.7113116406</v>
      </c>
      <c r="Z224" s="53" t="n">
        <f aca="false">IF(OR($A224&gt;TOMATO_BED_CAP,$B224&gt;CARROT_BED_CAP,Z$4&gt;MESCLUN_BED_CAP,$A224+$B224+Z$4&gt;TOTAL_BEDS_AVAILABLE,($D224+Z$5)&gt;TOTAL_LABOR_HOURS_CAP,MAX(0,($D224+Z$5)-PERMANENT_FIELD_LABOR_HOURS)&gt;TEMP_HOURS_CAP),"",$C224+Z$6-MIN(($D224+Z$5),PERMANENT_FIELD_LABOR_HOURS)*PERMANENT_HOURLY_RATE-MAX(0,($D224+Z$5)-PERMANENT_FIELD_LABOR_HOURS)*TEMP_HOURLY_RATE-FIXED_SEASON_COST)</f>
        <v>28847.2576259483</v>
      </c>
      <c r="AA224" s="53" t="n">
        <f aca="false">IF(OR($A224&gt;TOMATO_BED_CAP,$B224&gt;CARROT_BED_CAP,AA$4&gt;MESCLUN_BED_CAP,$A224+$B224+AA$4&gt;TOTAL_BEDS_AVAILABLE,($D224+AA$5)&gt;TOTAL_LABOR_HOURS_CAP,MAX(0,($D224+AA$5)-PERMANENT_FIELD_LABOR_HOURS)&gt;TEMP_HOURS_CAP),"",$C224+AA$6-MIN(($D224+AA$5),PERMANENT_FIELD_LABOR_HOURS)*PERMANENT_HOURLY_RATE-MAX(0,($D224+AA$5)-PERMANENT_FIELD_LABOR_HOURS)*TEMP_HOURLY_RATE-FIXED_SEASON_COST)</f>
        <v>29402.8291756172</v>
      </c>
      <c r="AB224" s="53" t="n">
        <f aca="false">IF(OR($A224&gt;TOMATO_BED_CAP,$B224&gt;CARROT_BED_CAP,AB$4&gt;MESCLUN_BED_CAP,$A224+$B224+AB$4&gt;TOTAL_BEDS_AVAILABLE,($D224+AB$5)&gt;TOTAL_LABOR_HOURS_CAP,MAX(0,($D224+AB$5)-PERMANENT_FIELD_LABOR_HOURS)&gt;TEMP_HOURS_CAP),"",$C224+AB$6-MIN(($D224+AB$5),PERMANENT_FIELD_LABOR_HOURS)*PERMANENT_HOURLY_RATE-MAX(0,($D224+AB$5)-PERMANENT_FIELD_LABOR_HOURS)*TEMP_HOURLY_RATE-FIXED_SEASON_COST)</f>
        <v>29929.9197874198</v>
      </c>
      <c r="AC224" s="53" t="n">
        <f aca="false">IF(OR($A224&gt;TOMATO_BED_CAP,$B224&gt;CARROT_BED_CAP,AC$4&gt;MESCLUN_BED_CAP,$A224+$B224+AC$4&gt;TOTAL_BEDS_AVAILABLE,($D224+AC$5)&gt;TOTAL_LABOR_HOURS_CAP,MAX(0,($D224+AC$5)-PERMANENT_FIELD_LABOR_HOURS)&gt;TEMP_HOURS_CAP),"",$C224+AC$6-MIN(($D224+AC$5),PERMANENT_FIELD_LABOR_HOURS)*PERMANENT_HOURLY_RATE-MAX(0,($D224+AC$5)-PERMANENT_FIELD_LABOR_HOURS)*TEMP_HOURLY_RATE-FIXED_SEASON_COST)</f>
        <v>30428.0150048547</v>
      </c>
      <c r="AD224" s="53" t="n">
        <f aca="false">IF(OR($A224&gt;TOMATO_BED_CAP,$B224&gt;CARROT_BED_CAP,AD$4&gt;MESCLUN_BED_CAP,$A224+$B224+AD$4&gt;TOTAL_BEDS_AVAILABLE,($D224+AD$5)&gt;TOTAL_LABOR_HOURS_CAP,MAX(0,($D224+AD$5)-PERMANENT_FIELD_LABOR_HOURS)&gt;TEMP_HOURS_CAP),"",$C224+AD$6-MIN(($D224+AD$5),PERMANENT_FIELD_LABOR_HOURS)*PERMANENT_HOURLY_RATE-MAX(0,($D224+AD$5)-PERMANENT_FIELD_LABOR_HOURS)*TEMP_HOURLY_RATE-FIXED_SEASON_COST)</f>
        <v>30896.5919601547</v>
      </c>
      <c r="AE224" s="53" t="n">
        <f aca="false">IF(OR($A224&gt;TOMATO_BED_CAP,$B224&gt;CARROT_BED_CAP,AE$4&gt;MESCLUN_BED_CAP,$A224+$B224+AE$4&gt;TOTAL_BEDS_AVAILABLE,($D224+AE$5)&gt;TOTAL_LABOR_HOURS_CAP,MAX(0,($D224+AE$5)-PERMANENT_FIELD_LABOR_HOURS)&gt;TEMP_HOURS_CAP),"",$C224+AE$6-MIN(($D224+AE$5),PERMANENT_FIELD_LABOR_HOURS)*PERMANENT_HOURLY_RATE-MAX(0,($D224+AE$5)-PERMANENT_FIELD_LABOR_HOURS)*TEMP_HOURLY_RATE-FIXED_SEASON_COST)</f>
        <v>31335.1192443886</v>
      </c>
      <c r="AF224" s="53" t="n">
        <f aca="false">IF(OR($A224&gt;TOMATO_BED_CAP,$B224&gt;CARROT_BED_CAP,AF$4&gt;MESCLUN_BED_CAP,$A224+$B224+AF$4&gt;TOTAL_BEDS_AVAILABLE,($D224+AF$5)&gt;TOTAL_LABOR_HOURS_CAP,MAX(0,($D224+AF$5)-PERMANENT_FIELD_LABOR_HOURS)&gt;TEMP_HOURS_CAP),"",$C224+AF$6-MIN(($D224+AF$5),PERMANENT_FIELD_LABOR_HOURS)*PERMANENT_HOURLY_RATE-MAX(0,($D224+AF$5)-PERMANENT_FIELD_LABOR_HOURS)*TEMP_HOURLY_RATE-FIXED_SEASON_COST)</f>
        <v>31743.0567756305</v>
      </c>
      <c r="AG224" s="53" t="n">
        <f aca="false">IF(OR($A224&gt;TOMATO_BED_CAP,$B224&gt;CARROT_BED_CAP,AG$4&gt;MESCLUN_BED_CAP,$A224+$B224+AG$4&gt;TOTAL_BEDS_AVAILABLE,($D224+AG$5)&gt;TOTAL_LABOR_HOURS_CAP,MAX(0,($D224+AG$5)-PERMANENT_FIELD_LABOR_HOURS)&gt;TEMP_HOURS_CAP),"",$C224+AG$6-MIN(($D224+AG$5),PERMANENT_FIELD_LABOR_HOURS)*PERMANENT_HOURLY_RATE-MAX(0,($D224+AG$5)-PERMANENT_FIELD_LABOR_HOURS)*TEMP_HOURLY_RATE-FIXED_SEASON_COST)</f>
        <v>32119.8556651675</v>
      </c>
      <c r="AH224" s="53" t="n">
        <f aca="false">IF(OR($A224&gt;TOMATO_BED_CAP,$B224&gt;CARROT_BED_CAP,AH$4&gt;MESCLUN_BED_CAP,$A224+$B224+AH$4&gt;TOTAL_BEDS_AVAILABLE,($D224+AH$5)&gt;TOTAL_LABOR_HOURS_CAP,MAX(0,($D224+AH$5)-PERMANENT_FIELD_LABOR_HOURS)&gt;TEMP_HOURS_CAP),"",$C224+AH$6-MIN(($D224+AH$5),PERMANENT_FIELD_LABOR_HOURS)*PERMANENT_HOURLY_RATE-MAX(0,($D224+AH$5)-PERMANENT_FIELD_LABOR_HOURS)*TEMP_HOURLY_RATE-FIXED_SEASON_COST)</f>
        <v>32464.9580817178</v>
      </c>
      <c r="AI224" s="53" t="n">
        <f aca="false">IF(OR($A224&gt;TOMATO_BED_CAP,$B224&gt;CARROT_BED_CAP,AI$4&gt;MESCLUN_BED_CAP,$A224+$B224+AI$4&gt;TOTAL_BEDS_AVAILABLE,($D224+AI$5)&gt;TOTAL_LABOR_HOURS_CAP,MAX(0,($D224+AI$5)-PERMANENT_FIELD_LABOR_HOURS)&gt;TEMP_HOURS_CAP),"",$C224+AI$6-MIN(($D224+AI$5),PERMANENT_FIELD_LABOR_HOURS)*PERMANENT_HOURLY_RATE-MAX(0,($D224+AI$5)-PERMANENT_FIELD_LABOR_HOURS)*TEMP_HOURLY_RATE-FIXED_SEASON_COST)</f>
        <v>32777.79711363</v>
      </c>
      <c r="AJ224" s="53" t="n">
        <f aca="false">IF(OR($A224&gt;TOMATO_BED_CAP,$B224&gt;CARROT_BED_CAP,AJ$4&gt;MESCLUN_BED_CAP,$A224+$B224+AJ$4&gt;TOTAL_BEDS_AVAILABLE,($D224+AJ$5)&gt;TOTAL_LABOR_HOURS_CAP,MAX(0,($D224+AJ$5)-PERMANENT_FIELD_LABOR_HOURS)&gt;TEMP_HOURS_CAP),"",$C224+AJ$6-MIN(($D224+AJ$5),PERMANENT_FIELD_LABOR_HOURS)*PERMANENT_HOURLY_RATE-MAX(0,($D224+AJ$5)-PERMANENT_FIELD_LABOR_HOURS)*TEMP_HOURLY_RATE-FIXED_SEASON_COST)</f>
        <v>33057.7966290358</v>
      </c>
    </row>
    <row r="225" customFormat="false" ht="15" hidden="false" customHeight="false" outlineLevel="0" collapsed="false">
      <c r="A225" s="21" t="n">
        <f aca="false">INT((ROW()-ROW($A$8))/(20+1))</f>
        <v>10</v>
      </c>
      <c r="B225" s="21" t="n">
        <f aca="false">MOD(ROW()-ROW($A$8),20+1)</f>
        <v>7</v>
      </c>
      <c r="C225" s="13" t="n">
        <f aca="false">A225*(TOMATO_REVENUE_PER_BED-TOMATO_FERTILIZER_PER_BED)+B225*(CARROT_REVENUE_PER_BED-CARROT_FERTILIZER_PER_BED)</f>
        <v>90778</v>
      </c>
      <c r="D225" s="14" t="n">
        <f aca="false">INDEX(TOMATO_SCHED_LABOR_HRS,A225+1)+INDEX(CARROT_SCHED_LABOR_HRS,B225+1)</f>
        <v>2583.89237275702</v>
      </c>
      <c r="E225" s="13" t="n">
        <f aca="false">IF(COUNT(F225:AJ225)=0,"",MAX(F225:AJ225))</f>
        <v>34002.4177038107</v>
      </c>
      <c r="F225" s="53" t="n">
        <f aca="false">IF(OR($A225&gt;TOMATO_BED_CAP,$B225&gt;CARROT_BED_CAP,F$4&gt;MESCLUN_BED_CAP,$A225+$B225+F$4&gt;TOTAL_BEDS_AVAILABLE,($D225+F$5)&gt;TOTAL_LABOR_HOURS_CAP,MAX(0,($D225+F$5)-PERMANENT_FIELD_LABOR_HOURS)&gt;TEMP_HOURS_CAP),"",$C225+F$6-MIN(($D225+F$5),PERMANENT_FIELD_LABOR_HOURS)*PERMANENT_HOURLY_RATE-MAX(0,($D225+F$5)-PERMANENT_FIELD_LABOR_HOURS)*TEMP_HOURLY_RATE-FIXED_SEASON_COST)</f>
        <v>13422.4284089382</v>
      </c>
      <c r="G225" s="53" t="n">
        <f aca="false">IF(OR($A225&gt;TOMATO_BED_CAP,$B225&gt;CARROT_BED_CAP,G$4&gt;MESCLUN_BED_CAP,$A225+$B225+G$4&gt;TOTAL_BEDS_AVAILABLE,($D225+G$5)&gt;TOTAL_LABOR_HOURS_CAP,MAX(0,($D225+G$5)-PERMANENT_FIELD_LABOR_HOURS)&gt;TEMP_HOURS_CAP),"",$C225+G$6-MIN(($D225+G$5),PERMANENT_FIELD_LABOR_HOURS)*PERMANENT_HOURLY_RATE-MAX(0,($D225+G$5)-PERMANENT_FIELD_LABOR_HOURS)*TEMP_HOURLY_RATE-FIXED_SEASON_COST)</f>
        <v>14451.4634089382</v>
      </c>
      <c r="H225" s="53" t="n">
        <f aca="false">IF(OR($A225&gt;TOMATO_BED_CAP,$B225&gt;CARROT_BED_CAP,H$4&gt;MESCLUN_BED_CAP,$A225+$B225+H$4&gt;TOTAL_BEDS_AVAILABLE,($D225+H$5)&gt;TOTAL_LABOR_HOURS_CAP,MAX(0,($D225+H$5)-PERMANENT_FIELD_LABOR_HOURS)&gt;TEMP_HOURS_CAP),"",$C225+H$6-MIN(($D225+H$5),PERMANENT_FIELD_LABOR_HOURS)*PERMANENT_HOURLY_RATE-MAX(0,($D225+H$5)-PERMANENT_FIELD_LABOR_HOURS)*TEMP_HOURLY_RATE-FIXED_SEASON_COST)</f>
        <v>15460.7242839382</v>
      </c>
      <c r="I225" s="53" t="n">
        <f aca="false">IF(OR($A225&gt;TOMATO_BED_CAP,$B225&gt;CARROT_BED_CAP,I$4&gt;MESCLUN_BED_CAP,$A225+$B225+I$4&gt;TOTAL_BEDS_AVAILABLE,($D225+I$5)&gt;TOTAL_LABOR_HOURS_CAP,MAX(0,($D225+I$5)-PERMANENT_FIELD_LABOR_HOURS)&gt;TEMP_HOURS_CAP),"",$C225+I$6-MIN(($D225+I$5),PERMANENT_FIELD_LABOR_HOURS)*PERMANENT_HOURLY_RATE-MAX(0,($D225+I$5)-PERMANENT_FIELD_LABOR_HOURS)*TEMP_HOURLY_RATE-FIXED_SEASON_COST)</f>
        <v>16449.8402690944</v>
      </c>
      <c r="J225" s="53" t="n">
        <f aca="false">IF(OR($A225&gt;TOMATO_BED_CAP,$B225&gt;CARROT_BED_CAP,J$4&gt;MESCLUN_BED_CAP,$A225+$B225+J$4&gt;TOTAL_BEDS_AVAILABLE,($D225+J$5)&gt;TOTAL_LABOR_HOURS_CAP,MAX(0,($D225+J$5)-PERMANENT_FIELD_LABOR_HOURS)&gt;TEMP_HOURS_CAP),"",$C225+J$6-MIN(($D225+J$5),PERMANENT_FIELD_LABOR_HOURS)*PERMANENT_HOURLY_RATE-MAX(0,($D225+J$5)-PERMANENT_FIELD_LABOR_HOURS)*TEMP_HOURLY_RATE-FIXED_SEASON_COST)</f>
        <v>17418.4344201491</v>
      </c>
      <c r="K225" s="53" t="n">
        <f aca="false">IF(OR($A225&gt;TOMATO_BED_CAP,$B225&gt;CARROT_BED_CAP,K$4&gt;MESCLUN_BED_CAP,$A225+$B225+K$4&gt;TOTAL_BEDS_AVAILABLE,($D225+K$5)&gt;TOTAL_LABOR_HOURS_CAP,MAX(0,($D225+K$5)-PERMANENT_FIELD_LABOR_HOURS)&gt;TEMP_HOURS_CAP),"",$C225+K$6-MIN(($D225+K$5),PERMANENT_FIELD_LABOR_HOURS)*PERMANENT_HOURLY_RATE-MAX(0,($D225+K$5)-PERMANENT_FIELD_LABOR_HOURS)*TEMP_HOURLY_RATE-FIXED_SEASON_COST)</f>
        <v>18366.123516877</v>
      </c>
      <c r="L225" s="53" t="n">
        <f aca="false">IF(OR($A225&gt;TOMATO_BED_CAP,$B225&gt;CARROT_BED_CAP,L$4&gt;MESCLUN_BED_CAP,$A225+$B225+L$4&gt;TOTAL_BEDS_AVAILABLE,($D225+L$5)&gt;TOTAL_LABOR_HOURS_CAP,MAX(0,($D225+L$5)-PERMANENT_FIELD_LABOR_HOURS)&gt;TEMP_HOURS_CAP),"",$C225+L$6-MIN(($D225+L$5),PERMANENT_FIELD_LABOR_HOURS)*PERMANENT_HOURLY_RATE-MAX(0,($D225+L$5)-PERMANENT_FIELD_LABOR_HOURS)*TEMP_HOURLY_RATE-FIXED_SEASON_COST)</f>
        <v>19292.5179650839</v>
      </c>
      <c r="M225" s="53" t="n">
        <f aca="false">IF(OR($A225&gt;TOMATO_BED_CAP,$B225&gt;CARROT_BED_CAP,M$4&gt;MESCLUN_BED_CAP,$A225+$B225+M$4&gt;TOTAL_BEDS_AVAILABLE,($D225+M$5)&gt;TOTAL_LABOR_HOURS_CAP,MAX(0,($D225+M$5)-PERMANENT_FIELD_LABOR_HOURS)&gt;TEMP_HOURS_CAP),"",$C225+M$6-MIN(($D225+M$5),PERMANENT_FIELD_LABOR_HOURS)*PERMANENT_HOURLY_RATE-MAX(0,($D225+M$5)-PERMANENT_FIELD_LABOR_HOURS)*TEMP_HOURLY_RATE-FIXED_SEASON_COST)</f>
        <v>20197.2216971353</v>
      </c>
      <c r="N225" s="53" t="n">
        <f aca="false">IF(OR($A225&gt;TOMATO_BED_CAP,$B225&gt;CARROT_BED_CAP,N$4&gt;MESCLUN_BED_CAP,$A225+$B225+N$4&gt;TOTAL_BEDS_AVAILABLE,($D225+N$5)&gt;TOTAL_LABOR_HOURS_CAP,MAX(0,($D225+N$5)-PERMANENT_FIELD_LABOR_HOURS)&gt;TEMP_HOURS_CAP),"",$C225+N$6-MIN(($D225+N$5),PERMANENT_FIELD_LABOR_HOURS)*PERMANENT_HOURLY_RATE-MAX(0,($D225+N$5)-PERMANENT_FIELD_LABOR_HOURS)*TEMP_HOURLY_RATE-FIXED_SEASON_COST)</f>
        <v>21079.8320709948</v>
      </c>
      <c r="O225" s="53" t="n">
        <f aca="false">IF(OR($A225&gt;TOMATO_BED_CAP,$B225&gt;CARROT_BED_CAP,O$4&gt;MESCLUN_BED_CAP,$A225+$B225+O$4&gt;TOTAL_BEDS_AVAILABLE,($D225+O$5)&gt;TOTAL_LABOR_HOURS_CAP,MAX(0,($D225+O$5)-PERMANENT_FIELD_LABOR_HOURS)&gt;TEMP_HOURS_CAP),"",$C225+O$6-MIN(($D225+O$5),PERMANENT_FIELD_LABOR_HOURS)*PERMANENT_HOURLY_RATE-MAX(0,($D225+O$5)-PERMANENT_FIELD_LABOR_HOURS)*TEMP_HOURLY_RATE-FIXED_SEASON_COST)</f>
        <v>21939.9397677496</v>
      </c>
      <c r="P225" s="53" t="n">
        <f aca="false">IF(OR($A225&gt;TOMATO_BED_CAP,$B225&gt;CARROT_BED_CAP,P$4&gt;MESCLUN_BED_CAP,$A225+$B225+P$4&gt;TOTAL_BEDS_AVAILABLE,($D225+P$5)&gt;TOTAL_LABOR_HOURS_CAP,MAX(0,($D225+P$5)-PERMANENT_FIELD_LABOR_HOURS)&gt;TEMP_HOURS_CAP),"",$C225+P$6-MIN(($D225+P$5),PERMANENT_FIELD_LABOR_HOURS)*PERMANENT_HOURLY_RATE-MAX(0,($D225+P$5)-PERMANENT_FIELD_LABOR_HOURS)*TEMP_HOURLY_RATE-FIXED_SEASON_COST)</f>
        <v>22777.128687601</v>
      </c>
      <c r="Q225" s="53" t="n">
        <f aca="false">IF(OR($A225&gt;TOMATO_BED_CAP,$B225&gt;CARROT_BED_CAP,Q$4&gt;MESCLUN_BED_CAP,$A225+$B225+Q$4&gt;TOTAL_BEDS_AVAILABLE,($D225+Q$5)&gt;TOTAL_LABOR_HOURS_CAP,MAX(0,($D225+Q$5)-PERMANENT_FIELD_LABOR_HOURS)&gt;TEMP_HOURS_CAP),"",$C225+Q$6-MIN(($D225+Q$5),PERMANENT_FIELD_LABOR_HOURS)*PERMANENT_HOURLY_RATE-MAX(0,($D225+Q$5)-PERMANENT_FIELD_LABOR_HOURS)*TEMP_HOURLY_RATE-FIXED_SEASON_COST)</f>
        <v>23590.9758442989</v>
      </c>
      <c r="R225" s="53" t="n">
        <f aca="false">IF(OR($A225&gt;TOMATO_BED_CAP,$B225&gt;CARROT_BED_CAP,R$4&gt;MESCLUN_BED_CAP,$A225+$B225+R$4&gt;TOTAL_BEDS_AVAILABLE,($D225+R$5)&gt;TOTAL_LABOR_HOURS_CAP,MAX(0,($D225+R$5)-PERMANENT_FIELD_LABOR_HOURS)&gt;TEMP_HOURS_CAP),"",$C225+R$6-MIN(($D225+R$5),PERMANENT_FIELD_LABOR_HOURS)*PERMANENT_HOURLY_RATE-MAX(0,($D225+R$5)-PERMANENT_FIELD_LABOR_HOURS)*TEMP_HOURLY_RATE-FIXED_SEASON_COST)</f>
        <v>24381.0512579957</v>
      </c>
      <c r="S225" s="53" t="n">
        <f aca="false">IF(OR($A225&gt;TOMATO_BED_CAP,$B225&gt;CARROT_BED_CAP,S$4&gt;MESCLUN_BED_CAP,$A225+$B225+S$4&gt;TOTAL_BEDS_AVAILABLE,($D225+S$5)&gt;TOTAL_LABOR_HOURS_CAP,MAX(0,($D225+S$5)-PERMANENT_FIELD_LABOR_HOURS)&gt;TEMP_HOURS_CAP),"",$C225+S$6-MIN(($D225+S$5),PERMANENT_FIELD_LABOR_HOURS)*PERMANENT_HOURLY_RATE-MAX(0,($D225+S$5)-PERMANENT_FIELD_LABOR_HOURS)*TEMP_HOURLY_RATE-FIXED_SEASON_COST)</f>
        <v>25146.9178464981</v>
      </c>
      <c r="T225" s="53" t="n">
        <f aca="false">IF(OR($A225&gt;TOMATO_BED_CAP,$B225&gt;CARROT_BED_CAP,T$4&gt;MESCLUN_BED_CAP,$A225+$B225+T$4&gt;TOTAL_BEDS_AVAILABLE,($D225+T$5)&gt;TOTAL_LABOR_HOURS_CAP,MAX(0,($D225+T$5)-PERMANENT_FIELD_LABOR_HOURS)&gt;TEMP_HOURS_CAP),"",$C225+T$6-MIN(($D225+T$5),PERMANENT_FIELD_LABOR_HOURS)*PERMANENT_HOURLY_RATE-MAX(0,($D225+T$5)-PERMANENT_FIELD_LABOR_HOURS)*TEMP_HOURLY_RATE-FIXED_SEASON_COST)</f>
        <v>25888.131314893</v>
      </c>
      <c r="U225" s="53" t="n">
        <f aca="false">IF(OR($A225&gt;TOMATO_BED_CAP,$B225&gt;CARROT_BED_CAP,U$4&gt;MESCLUN_BED_CAP,$A225+$B225+U$4&gt;TOTAL_BEDS_AVAILABLE,($D225+U$5)&gt;TOTAL_LABOR_HOURS_CAP,MAX(0,($D225+U$5)-PERMANENT_FIELD_LABOR_HOURS)&gt;TEMP_HOURS_CAP),"",$C225+U$6-MIN(($D225+U$5),PERMANENT_FIELD_LABOR_HOURS)*PERMANENT_HOURLY_RATE-MAX(0,($D225+U$5)-PERMANENT_FIELD_LABOR_HOURS)*TEMP_HOURLY_RATE-FIXED_SEASON_COST)</f>
        <v>26604.2400435231</v>
      </c>
      <c r="V225" s="53" t="n">
        <f aca="false">IF(OR($A225&gt;TOMATO_BED_CAP,$B225&gt;CARROT_BED_CAP,V$4&gt;MESCLUN_BED_CAP,$A225+$B225+V$4&gt;TOTAL_BEDS_AVAILABLE,($D225+V$5)&gt;TOTAL_LABOR_HOURS_CAP,MAX(0,($D225+V$5)-PERMANENT_FIELD_LABOR_HOURS)&gt;TEMP_HOURS_CAP),"",$C225+V$6-MIN(($D225+V$5),PERMANENT_FIELD_LABOR_HOURS)*PERMANENT_HOURLY_RATE-MAX(0,($D225+V$5)-PERMANENT_FIELD_LABOR_HOURS)*TEMP_HOURLY_RATE-FIXED_SEASON_COST)</f>
        <v>27294.7849742899</v>
      </c>
      <c r="W225" s="53" t="n">
        <f aca="false">IF(OR($A225&gt;TOMATO_BED_CAP,$B225&gt;CARROT_BED_CAP,W$4&gt;MESCLUN_BED_CAP,$A225+$B225+W$4&gt;TOTAL_BEDS_AVAILABLE,($D225+W$5)&gt;TOTAL_LABOR_HOURS_CAP,MAX(0,($D225+W$5)-PERMANENT_FIELD_LABOR_HOURS)&gt;TEMP_HOURS_CAP),"",$C225+W$6-MIN(($D225+W$5),PERMANENT_FIELD_LABOR_HOURS)*PERMANENT_HOURLY_RATE-MAX(0,($D225+W$5)-PERMANENT_FIELD_LABOR_HOURS)*TEMP_HOURLY_RATE-FIXED_SEASON_COST)</f>
        <v>27959.2994952579</v>
      </c>
      <c r="X225" s="53" t="n">
        <f aca="false">IF(OR($A225&gt;TOMATO_BED_CAP,$B225&gt;CARROT_BED_CAP,X$4&gt;MESCLUN_BED_CAP,$A225+$B225+X$4&gt;TOTAL_BEDS_AVAILABLE,($D225+X$5)&gt;TOTAL_LABOR_HOURS_CAP,MAX(0,($D225+X$5)-PERMANENT_FIELD_LABOR_HOURS)&gt;TEMP_HOURS_CAP),"",$C225+X$6-MIN(($D225+X$5),PERMANENT_FIELD_LABOR_HOURS)*PERMANENT_HOURLY_RATE-MAX(0,($D225+X$5)-PERMANENT_FIELD_LABOR_HOURS)*TEMP_HOURLY_RATE-FIXED_SEASON_COST)</f>
        <v>28597.3093235369</v>
      </c>
      <c r="Y225" s="53" t="n">
        <f aca="false">IF(OR($A225&gt;TOMATO_BED_CAP,$B225&gt;CARROT_BED_CAP,Y$4&gt;MESCLUN_BED_CAP,$A225+$B225+Y$4&gt;TOTAL_BEDS_AVAILABLE,($D225+Y$5)&gt;TOTAL_LABOR_HOURS_CAP,MAX(0,($D225+Y$5)-PERMANENT_FIELD_LABOR_HOURS)&gt;TEMP_HOURS_CAP),"",$C225+Y$6-MIN(($D225+Y$5),PERMANENT_FIELD_LABOR_HOURS)*PERMANENT_HOURLY_RATE-MAX(0,($D225+Y$5)-PERMANENT_FIELD_LABOR_HOURS)*TEMP_HOURLY_RATE-FIXED_SEASON_COST)</f>
        <v>29208.3323864155</v>
      </c>
      <c r="Z225" s="53" t="n">
        <f aca="false">IF(OR($A225&gt;TOMATO_BED_CAP,$B225&gt;CARROT_BED_CAP,Z$4&gt;MESCLUN_BED_CAP,$A225+$B225+Z$4&gt;TOTAL_BEDS_AVAILABLE,($D225+Z$5)&gt;TOTAL_LABOR_HOURS_CAP,MAX(0,($D225+Z$5)-PERMANENT_FIELD_LABOR_HOURS)&gt;TEMP_HOURS_CAP),"",$C225+Z$6-MIN(($D225+Z$5),PERMANENT_FIELD_LABOR_HOURS)*PERMANENT_HOURLY_RATE-MAX(0,($D225+Z$5)-PERMANENT_FIELD_LABOR_HOURS)*TEMP_HOURLY_RATE-FIXED_SEASON_COST)</f>
        <v>29791.8787007233</v>
      </c>
      <c r="AA225" s="53" t="n">
        <f aca="false">IF(OR($A225&gt;TOMATO_BED_CAP,$B225&gt;CARROT_BED_CAP,AA$4&gt;MESCLUN_BED_CAP,$A225+$B225+AA$4&gt;TOTAL_BEDS_AVAILABLE,($D225+AA$5)&gt;TOTAL_LABOR_HOURS_CAP,MAX(0,($D225+AA$5)-PERMANENT_FIELD_LABOR_HOURS)&gt;TEMP_HOURS_CAP),"",$C225+AA$6-MIN(($D225+AA$5),PERMANENT_FIELD_LABOR_HOURS)*PERMANENT_HOURLY_RATE-MAX(0,($D225+AA$5)-PERMANENT_FIELD_LABOR_HOURS)*TEMP_HOURLY_RATE-FIXED_SEASON_COST)</f>
        <v>30347.4502503922</v>
      </c>
      <c r="AB225" s="53" t="n">
        <f aca="false">IF(OR($A225&gt;TOMATO_BED_CAP,$B225&gt;CARROT_BED_CAP,AB$4&gt;MESCLUN_BED_CAP,$A225+$B225+AB$4&gt;TOTAL_BEDS_AVAILABLE,($D225+AB$5)&gt;TOTAL_LABOR_HOURS_CAP,MAX(0,($D225+AB$5)-PERMANENT_FIELD_LABOR_HOURS)&gt;TEMP_HOURS_CAP),"",$C225+AB$6-MIN(($D225+AB$5),PERMANENT_FIELD_LABOR_HOURS)*PERMANENT_HOURLY_RATE-MAX(0,($D225+AB$5)-PERMANENT_FIELD_LABOR_HOURS)*TEMP_HOURLY_RATE-FIXED_SEASON_COST)</f>
        <v>30874.5408621948</v>
      </c>
      <c r="AC225" s="53" t="n">
        <f aca="false">IF(OR($A225&gt;TOMATO_BED_CAP,$B225&gt;CARROT_BED_CAP,AC$4&gt;MESCLUN_BED_CAP,$A225+$B225+AC$4&gt;TOTAL_BEDS_AVAILABLE,($D225+AC$5)&gt;TOTAL_LABOR_HOURS_CAP,MAX(0,($D225+AC$5)-PERMANENT_FIELD_LABOR_HOURS)&gt;TEMP_HOURS_CAP),"",$C225+AC$6-MIN(($D225+AC$5),PERMANENT_FIELD_LABOR_HOURS)*PERMANENT_HOURLY_RATE-MAX(0,($D225+AC$5)-PERMANENT_FIELD_LABOR_HOURS)*TEMP_HOURLY_RATE-FIXED_SEASON_COST)</f>
        <v>31372.6360796297</v>
      </c>
      <c r="AD225" s="53" t="n">
        <f aca="false">IF(OR($A225&gt;TOMATO_BED_CAP,$B225&gt;CARROT_BED_CAP,AD$4&gt;MESCLUN_BED_CAP,$A225+$B225+AD$4&gt;TOTAL_BEDS_AVAILABLE,($D225+AD$5)&gt;TOTAL_LABOR_HOURS_CAP,MAX(0,($D225+AD$5)-PERMANENT_FIELD_LABOR_HOURS)&gt;TEMP_HOURS_CAP),"",$C225+AD$6-MIN(($D225+AD$5),PERMANENT_FIELD_LABOR_HOURS)*PERMANENT_HOURLY_RATE-MAX(0,($D225+AD$5)-PERMANENT_FIELD_LABOR_HOURS)*TEMP_HOURLY_RATE-FIXED_SEASON_COST)</f>
        <v>31841.2130349296</v>
      </c>
      <c r="AE225" s="53" t="n">
        <f aca="false">IF(OR($A225&gt;TOMATO_BED_CAP,$B225&gt;CARROT_BED_CAP,AE$4&gt;MESCLUN_BED_CAP,$A225+$B225+AE$4&gt;TOTAL_BEDS_AVAILABLE,($D225+AE$5)&gt;TOTAL_LABOR_HOURS_CAP,MAX(0,($D225+AE$5)-PERMANENT_FIELD_LABOR_HOURS)&gt;TEMP_HOURS_CAP),"",$C225+AE$6-MIN(($D225+AE$5),PERMANENT_FIELD_LABOR_HOURS)*PERMANENT_HOURLY_RATE-MAX(0,($D225+AE$5)-PERMANENT_FIELD_LABOR_HOURS)*TEMP_HOURLY_RATE-FIXED_SEASON_COST)</f>
        <v>32279.7403191635</v>
      </c>
      <c r="AF225" s="53" t="n">
        <f aca="false">IF(OR($A225&gt;TOMATO_BED_CAP,$B225&gt;CARROT_BED_CAP,AF$4&gt;MESCLUN_BED_CAP,$A225+$B225+AF$4&gt;TOTAL_BEDS_AVAILABLE,($D225+AF$5)&gt;TOTAL_LABOR_HOURS_CAP,MAX(0,($D225+AF$5)-PERMANENT_FIELD_LABOR_HOURS)&gt;TEMP_HOURS_CAP),"",$C225+AF$6-MIN(($D225+AF$5),PERMANENT_FIELD_LABOR_HOURS)*PERMANENT_HOURLY_RATE-MAX(0,($D225+AF$5)-PERMANENT_FIELD_LABOR_HOURS)*TEMP_HOURLY_RATE-FIXED_SEASON_COST)</f>
        <v>32687.6778504055</v>
      </c>
      <c r="AG225" s="53" t="n">
        <f aca="false">IF(OR($A225&gt;TOMATO_BED_CAP,$B225&gt;CARROT_BED_CAP,AG$4&gt;MESCLUN_BED_CAP,$A225+$B225+AG$4&gt;TOTAL_BEDS_AVAILABLE,($D225+AG$5)&gt;TOTAL_LABOR_HOURS_CAP,MAX(0,($D225+AG$5)-PERMANENT_FIELD_LABOR_HOURS)&gt;TEMP_HOURS_CAP),"",$C225+AG$6-MIN(($D225+AG$5),PERMANENT_FIELD_LABOR_HOURS)*PERMANENT_HOURLY_RATE-MAX(0,($D225+AG$5)-PERMANENT_FIELD_LABOR_HOURS)*TEMP_HOURLY_RATE-FIXED_SEASON_COST)</f>
        <v>33064.4767399425</v>
      </c>
      <c r="AH225" s="53" t="n">
        <f aca="false">IF(OR($A225&gt;TOMATO_BED_CAP,$B225&gt;CARROT_BED_CAP,AH$4&gt;MESCLUN_BED_CAP,$A225+$B225+AH$4&gt;TOTAL_BEDS_AVAILABLE,($D225+AH$5)&gt;TOTAL_LABOR_HOURS_CAP,MAX(0,($D225+AH$5)-PERMANENT_FIELD_LABOR_HOURS)&gt;TEMP_HOURS_CAP),"",$C225+AH$6-MIN(($D225+AH$5),PERMANENT_FIELD_LABOR_HOURS)*PERMANENT_HOURLY_RATE-MAX(0,($D225+AH$5)-PERMANENT_FIELD_LABOR_HOURS)*TEMP_HOURLY_RATE-FIXED_SEASON_COST)</f>
        <v>33409.5791564927</v>
      </c>
      <c r="AI225" s="53" t="n">
        <f aca="false">IF(OR($A225&gt;TOMATO_BED_CAP,$B225&gt;CARROT_BED_CAP,AI$4&gt;MESCLUN_BED_CAP,$A225+$B225+AI$4&gt;TOTAL_BEDS_AVAILABLE,($D225+AI$5)&gt;TOTAL_LABOR_HOURS_CAP,MAX(0,($D225+AI$5)-PERMANENT_FIELD_LABOR_HOURS)&gt;TEMP_HOURS_CAP),"",$C225+AI$6-MIN(($D225+AI$5),PERMANENT_FIELD_LABOR_HOURS)*PERMANENT_HOURLY_RATE-MAX(0,($D225+AI$5)-PERMANENT_FIELD_LABOR_HOURS)*TEMP_HOURLY_RATE-FIXED_SEASON_COST)</f>
        <v>33722.418188405</v>
      </c>
      <c r="AJ225" s="53" t="n">
        <f aca="false">IF(OR($A225&gt;TOMATO_BED_CAP,$B225&gt;CARROT_BED_CAP,AJ$4&gt;MESCLUN_BED_CAP,$A225+$B225+AJ$4&gt;TOTAL_BEDS_AVAILABLE,($D225+AJ$5)&gt;TOTAL_LABOR_HOURS_CAP,MAX(0,($D225+AJ$5)-PERMANENT_FIELD_LABOR_HOURS)&gt;TEMP_HOURS_CAP),"",$C225+AJ$6-MIN(($D225+AJ$5),PERMANENT_FIELD_LABOR_HOURS)*PERMANENT_HOURLY_RATE-MAX(0,($D225+AJ$5)-PERMANENT_FIELD_LABOR_HOURS)*TEMP_HOURLY_RATE-FIXED_SEASON_COST)</f>
        <v>34002.4177038107</v>
      </c>
    </row>
    <row r="226" customFormat="false" ht="15" hidden="false" customHeight="false" outlineLevel="0" collapsed="false">
      <c r="A226" s="21" t="n">
        <f aca="false">INT((ROW()-ROW($A$8))/(20+1))</f>
        <v>10</v>
      </c>
      <c r="B226" s="21" t="n">
        <f aca="false">MOD(ROW()-ROW($A$8),20+1)</f>
        <v>8</v>
      </c>
      <c r="C226" s="13" t="n">
        <f aca="false">A226*(TOMATO_REVENUE_PER_BED-TOMATO_FERTILIZER_PER_BED)+B226*(CARROT_REVENUE_PER_BED-CARROT_FERTILIZER_PER_BED)</f>
        <v>92432</v>
      </c>
      <c r="D226" s="14" t="n">
        <f aca="false">INDEX(TOMATO_SCHED_LABOR_HRS,A226+1)+INDEX(CARROT_SCHED_LABOR_HRS,B226+1)</f>
        <v>2626.66794281422</v>
      </c>
      <c r="E226" s="13" t="n">
        <f aca="false">IF(COUNT(F226:AJ226)=0,"",MAX(F226:AJ226))</f>
        <v>34913.8338076177</v>
      </c>
      <c r="F226" s="53" t="n">
        <f aca="false">IF(OR($A226&gt;TOMATO_BED_CAP,$B226&gt;CARROT_BED_CAP,F$4&gt;MESCLUN_BED_CAP,$A226+$B226+F$4&gt;TOTAL_BEDS_AVAILABLE,($D226+F$5)&gt;TOTAL_LABOR_HOURS_CAP,MAX(0,($D226+F$5)-PERMANENT_FIELD_LABOR_HOURS)&gt;TEMP_HOURS_CAP),"",$C226+F$6-MIN(($D226+F$5),PERMANENT_FIELD_LABOR_HOURS)*PERMANENT_HOURLY_RATE-MAX(0,($D226+F$5)-PERMANENT_FIELD_LABOR_HOURS)*TEMP_HOURLY_RATE-FIXED_SEASON_COST)</f>
        <v>14333.8445127451</v>
      </c>
      <c r="G226" s="53" t="n">
        <f aca="false">IF(OR($A226&gt;TOMATO_BED_CAP,$B226&gt;CARROT_BED_CAP,G$4&gt;MESCLUN_BED_CAP,$A226+$B226+G$4&gt;TOTAL_BEDS_AVAILABLE,($D226+G$5)&gt;TOTAL_LABOR_HOURS_CAP,MAX(0,($D226+G$5)-PERMANENT_FIELD_LABOR_HOURS)&gt;TEMP_HOURS_CAP),"",$C226+G$6-MIN(($D226+G$5),PERMANENT_FIELD_LABOR_HOURS)*PERMANENT_HOURLY_RATE-MAX(0,($D226+G$5)-PERMANENT_FIELD_LABOR_HOURS)*TEMP_HOURLY_RATE-FIXED_SEASON_COST)</f>
        <v>15362.8795127451</v>
      </c>
      <c r="H226" s="53" t="n">
        <f aca="false">IF(OR($A226&gt;TOMATO_BED_CAP,$B226&gt;CARROT_BED_CAP,H$4&gt;MESCLUN_BED_CAP,$A226+$B226+H$4&gt;TOTAL_BEDS_AVAILABLE,($D226+H$5)&gt;TOTAL_LABOR_HOURS_CAP,MAX(0,($D226+H$5)-PERMANENT_FIELD_LABOR_HOURS)&gt;TEMP_HOURS_CAP),"",$C226+H$6-MIN(($D226+H$5),PERMANENT_FIELD_LABOR_HOURS)*PERMANENT_HOURLY_RATE-MAX(0,($D226+H$5)-PERMANENT_FIELD_LABOR_HOURS)*TEMP_HOURLY_RATE-FIXED_SEASON_COST)</f>
        <v>16372.1403877451</v>
      </c>
      <c r="I226" s="53" t="n">
        <f aca="false">IF(OR($A226&gt;TOMATO_BED_CAP,$B226&gt;CARROT_BED_CAP,I$4&gt;MESCLUN_BED_CAP,$A226+$B226+I$4&gt;TOTAL_BEDS_AVAILABLE,($D226+I$5)&gt;TOTAL_LABOR_HOURS_CAP,MAX(0,($D226+I$5)-PERMANENT_FIELD_LABOR_HOURS)&gt;TEMP_HOURS_CAP),"",$C226+I$6-MIN(($D226+I$5),PERMANENT_FIELD_LABOR_HOURS)*PERMANENT_HOURLY_RATE-MAX(0,($D226+I$5)-PERMANENT_FIELD_LABOR_HOURS)*TEMP_HOURLY_RATE-FIXED_SEASON_COST)</f>
        <v>17361.2563729014</v>
      </c>
      <c r="J226" s="53" t="n">
        <f aca="false">IF(OR($A226&gt;TOMATO_BED_CAP,$B226&gt;CARROT_BED_CAP,J$4&gt;MESCLUN_BED_CAP,$A226+$B226+J$4&gt;TOTAL_BEDS_AVAILABLE,($D226+J$5)&gt;TOTAL_LABOR_HOURS_CAP,MAX(0,($D226+J$5)-PERMANENT_FIELD_LABOR_HOURS)&gt;TEMP_HOURS_CAP),"",$C226+J$6-MIN(($D226+J$5),PERMANENT_FIELD_LABOR_HOURS)*PERMANENT_HOURLY_RATE-MAX(0,($D226+J$5)-PERMANENT_FIELD_LABOR_HOURS)*TEMP_HOURLY_RATE-FIXED_SEASON_COST)</f>
        <v>18329.8505239561</v>
      </c>
      <c r="K226" s="53" t="n">
        <f aca="false">IF(OR($A226&gt;TOMATO_BED_CAP,$B226&gt;CARROT_BED_CAP,K$4&gt;MESCLUN_BED_CAP,$A226+$B226+K$4&gt;TOTAL_BEDS_AVAILABLE,($D226+K$5)&gt;TOTAL_LABOR_HOURS_CAP,MAX(0,($D226+K$5)-PERMANENT_FIELD_LABOR_HOURS)&gt;TEMP_HOURS_CAP),"",$C226+K$6-MIN(($D226+K$5),PERMANENT_FIELD_LABOR_HOURS)*PERMANENT_HOURLY_RATE-MAX(0,($D226+K$5)-PERMANENT_FIELD_LABOR_HOURS)*TEMP_HOURLY_RATE-FIXED_SEASON_COST)</f>
        <v>19277.539620684</v>
      </c>
      <c r="L226" s="53" t="n">
        <f aca="false">IF(OR($A226&gt;TOMATO_BED_CAP,$B226&gt;CARROT_BED_CAP,L$4&gt;MESCLUN_BED_CAP,$A226+$B226+L$4&gt;TOTAL_BEDS_AVAILABLE,($D226+L$5)&gt;TOTAL_LABOR_HOURS_CAP,MAX(0,($D226+L$5)-PERMANENT_FIELD_LABOR_HOURS)&gt;TEMP_HOURS_CAP),"",$C226+L$6-MIN(($D226+L$5),PERMANENT_FIELD_LABOR_HOURS)*PERMANENT_HOURLY_RATE-MAX(0,($D226+L$5)-PERMANENT_FIELD_LABOR_HOURS)*TEMP_HOURLY_RATE-FIXED_SEASON_COST)</f>
        <v>20203.9340688908</v>
      </c>
      <c r="M226" s="53" t="n">
        <f aca="false">IF(OR($A226&gt;TOMATO_BED_CAP,$B226&gt;CARROT_BED_CAP,M$4&gt;MESCLUN_BED_CAP,$A226+$B226+M$4&gt;TOTAL_BEDS_AVAILABLE,($D226+M$5)&gt;TOTAL_LABOR_HOURS_CAP,MAX(0,($D226+M$5)-PERMANENT_FIELD_LABOR_HOURS)&gt;TEMP_HOURS_CAP),"",$C226+M$6-MIN(($D226+M$5),PERMANENT_FIELD_LABOR_HOURS)*PERMANENT_HOURLY_RATE-MAX(0,($D226+M$5)-PERMANENT_FIELD_LABOR_HOURS)*TEMP_HOURLY_RATE-FIXED_SEASON_COST)</f>
        <v>21108.6378009422</v>
      </c>
      <c r="N226" s="53" t="n">
        <f aca="false">IF(OR($A226&gt;TOMATO_BED_CAP,$B226&gt;CARROT_BED_CAP,N$4&gt;MESCLUN_BED_CAP,$A226+$B226+N$4&gt;TOTAL_BEDS_AVAILABLE,($D226+N$5)&gt;TOTAL_LABOR_HOURS_CAP,MAX(0,($D226+N$5)-PERMANENT_FIELD_LABOR_HOURS)&gt;TEMP_HOURS_CAP),"",$C226+N$6-MIN(($D226+N$5),PERMANENT_FIELD_LABOR_HOURS)*PERMANENT_HOURLY_RATE-MAX(0,($D226+N$5)-PERMANENT_FIELD_LABOR_HOURS)*TEMP_HOURLY_RATE-FIXED_SEASON_COST)</f>
        <v>21991.2481748018</v>
      </c>
      <c r="O226" s="53" t="n">
        <f aca="false">IF(OR($A226&gt;TOMATO_BED_CAP,$B226&gt;CARROT_BED_CAP,O$4&gt;MESCLUN_BED_CAP,$A226+$B226+O$4&gt;TOTAL_BEDS_AVAILABLE,($D226+O$5)&gt;TOTAL_LABOR_HOURS_CAP,MAX(0,($D226+O$5)-PERMANENT_FIELD_LABOR_HOURS)&gt;TEMP_HOURS_CAP),"",$C226+O$6-MIN(($D226+O$5),PERMANENT_FIELD_LABOR_HOURS)*PERMANENT_HOURLY_RATE-MAX(0,($D226+O$5)-PERMANENT_FIELD_LABOR_HOURS)*TEMP_HOURLY_RATE-FIXED_SEASON_COST)</f>
        <v>22851.3558715565</v>
      </c>
      <c r="P226" s="53" t="n">
        <f aca="false">IF(OR($A226&gt;TOMATO_BED_CAP,$B226&gt;CARROT_BED_CAP,P$4&gt;MESCLUN_BED_CAP,$A226+$B226+P$4&gt;TOTAL_BEDS_AVAILABLE,($D226+P$5)&gt;TOTAL_LABOR_HOURS_CAP,MAX(0,($D226+P$5)-PERMANENT_FIELD_LABOR_HOURS)&gt;TEMP_HOURS_CAP),"",$C226+P$6-MIN(($D226+P$5),PERMANENT_FIELD_LABOR_HOURS)*PERMANENT_HOURLY_RATE-MAX(0,($D226+P$5)-PERMANENT_FIELD_LABOR_HOURS)*TEMP_HOURLY_RATE-FIXED_SEASON_COST)</f>
        <v>23688.544791408</v>
      </c>
      <c r="Q226" s="53" t="n">
        <f aca="false">IF(OR($A226&gt;TOMATO_BED_CAP,$B226&gt;CARROT_BED_CAP,Q$4&gt;MESCLUN_BED_CAP,$A226+$B226+Q$4&gt;TOTAL_BEDS_AVAILABLE,($D226+Q$5)&gt;TOTAL_LABOR_HOURS_CAP,MAX(0,($D226+Q$5)-PERMANENT_FIELD_LABOR_HOURS)&gt;TEMP_HOURS_CAP),"",$C226+Q$6-MIN(($D226+Q$5),PERMANENT_FIELD_LABOR_HOURS)*PERMANENT_HOURLY_RATE-MAX(0,($D226+Q$5)-PERMANENT_FIELD_LABOR_HOURS)*TEMP_HOURLY_RATE-FIXED_SEASON_COST)</f>
        <v>24502.3919481059</v>
      </c>
      <c r="R226" s="53" t="n">
        <f aca="false">IF(OR($A226&gt;TOMATO_BED_CAP,$B226&gt;CARROT_BED_CAP,R$4&gt;MESCLUN_BED_CAP,$A226+$B226+R$4&gt;TOTAL_BEDS_AVAILABLE,($D226+R$5)&gt;TOTAL_LABOR_HOURS_CAP,MAX(0,($D226+R$5)-PERMANENT_FIELD_LABOR_HOURS)&gt;TEMP_HOURS_CAP),"",$C226+R$6-MIN(($D226+R$5),PERMANENT_FIELD_LABOR_HOURS)*PERMANENT_HOURLY_RATE-MAX(0,($D226+R$5)-PERMANENT_FIELD_LABOR_HOURS)*TEMP_HOURLY_RATE-FIXED_SEASON_COST)</f>
        <v>25292.4673618027</v>
      </c>
      <c r="S226" s="53" t="n">
        <f aca="false">IF(OR($A226&gt;TOMATO_BED_CAP,$B226&gt;CARROT_BED_CAP,S$4&gt;MESCLUN_BED_CAP,$A226+$B226+S$4&gt;TOTAL_BEDS_AVAILABLE,($D226+S$5)&gt;TOTAL_LABOR_HOURS_CAP,MAX(0,($D226+S$5)-PERMANENT_FIELD_LABOR_HOURS)&gt;TEMP_HOURS_CAP),"",$C226+S$6-MIN(($D226+S$5),PERMANENT_FIELD_LABOR_HOURS)*PERMANENT_HOURLY_RATE-MAX(0,($D226+S$5)-PERMANENT_FIELD_LABOR_HOURS)*TEMP_HOURLY_RATE-FIXED_SEASON_COST)</f>
        <v>26058.3339503051</v>
      </c>
      <c r="T226" s="53" t="n">
        <f aca="false">IF(OR($A226&gt;TOMATO_BED_CAP,$B226&gt;CARROT_BED_CAP,T$4&gt;MESCLUN_BED_CAP,$A226+$B226+T$4&gt;TOTAL_BEDS_AVAILABLE,($D226+T$5)&gt;TOTAL_LABOR_HOURS_CAP,MAX(0,($D226+T$5)-PERMANENT_FIELD_LABOR_HOURS)&gt;TEMP_HOURS_CAP),"",$C226+T$6-MIN(($D226+T$5),PERMANENT_FIELD_LABOR_HOURS)*PERMANENT_HOURLY_RATE-MAX(0,($D226+T$5)-PERMANENT_FIELD_LABOR_HOURS)*TEMP_HOURLY_RATE-FIXED_SEASON_COST)</f>
        <v>26799.5474187</v>
      </c>
      <c r="U226" s="53" t="n">
        <f aca="false">IF(OR($A226&gt;TOMATO_BED_CAP,$B226&gt;CARROT_BED_CAP,U$4&gt;MESCLUN_BED_CAP,$A226+$B226+U$4&gt;TOTAL_BEDS_AVAILABLE,($D226+U$5)&gt;TOTAL_LABOR_HOURS_CAP,MAX(0,($D226+U$5)-PERMANENT_FIELD_LABOR_HOURS)&gt;TEMP_HOURS_CAP),"",$C226+U$6-MIN(($D226+U$5),PERMANENT_FIELD_LABOR_HOURS)*PERMANENT_HOURLY_RATE-MAX(0,($D226+U$5)-PERMANENT_FIELD_LABOR_HOURS)*TEMP_HOURLY_RATE-FIXED_SEASON_COST)</f>
        <v>27515.65614733</v>
      </c>
      <c r="V226" s="53" t="n">
        <f aca="false">IF(OR($A226&gt;TOMATO_BED_CAP,$B226&gt;CARROT_BED_CAP,V$4&gt;MESCLUN_BED_CAP,$A226+$B226+V$4&gt;TOTAL_BEDS_AVAILABLE,($D226+V$5)&gt;TOTAL_LABOR_HOURS_CAP,MAX(0,($D226+V$5)-PERMANENT_FIELD_LABOR_HOURS)&gt;TEMP_HOURS_CAP),"",$C226+V$6-MIN(($D226+V$5),PERMANENT_FIELD_LABOR_HOURS)*PERMANENT_HOURLY_RATE-MAX(0,($D226+V$5)-PERMANENT_FIELD_LABOR_HOURS)*TEMP_HOURLY_RATE-FIXED_SEASON_COST)</f>
        <v>28206.2010780968</v>
      </c>
      <c r="W226" s="53" t="n">
        <f aca="false">IF(OR($A226&gt;TOMATO_BED_CAP,$B226&gt;CARROT_BED_CAP,W$4&gt;MESCLUN_BED_CAP,$A226+$B226+W$4&gt;TOTAL_BEDS_AVAILABLE,($D226+W$5)&gt;TOTAL_LABOR_HOURS_CAP,MAX(0,($D226+W$5)-PERMANENT_FIELD_LABOR_HOURS)&gt;TEMP_HOURS_CAP),"",$C226+W$6-MIN(($D226+W$5),PERMANENT_FIELD_LABOR_HOURS)*PERMANENT_HOURLY_RATE-MAX(0,($D226+W$5)-PERMANENT_FIELD_LABOR_HOURS)*TEMP_HOURLY_RATE-FIXED_SEASON_COST)</f>
        <v>28870.7155990649</v>
      </c>
      <c r="X226" s="53" t="n">
        <f aca="false">IF(OR($A226&gt;TOMATO_BED_CAP,$B226&gt;CARROT_BED_CAP,X$4&gt;MESCLUN_BED_CAP,$A226+$B226+X$4&gt;TOTAL_BEDS_AVAILABLE,($D226+X$5)&gt;TOTAL_LABOR_HOURS_CAP,MAX(0,($D226+X$5)-PERMANENT_FIELD_LABOR_HOURS)&gt;TEMP_HOURS_CAP),"",$C226+X$6-MIN(($D226+X$5),PERMANENT_FIELD_LABOR_HOURS)*PERMANENT_HOURLY_RATE-MAX(0,($D226+X$5)-PERMANENT_FIELD_LABOR_HOURS)*TEMP_HOURLY_RATE-FIXED_SEASON_COST)</f>
        <v>29508.7254273438</v>
      </c>
      <c r="Y226" s="53" t="n">
        <f aca="false">IF(OR($A226&gt;TOMATO_BED_CAP,$B226&gt;CARROT_BED_CAP,Y$4&gt;MESCLUN_BED_CAP,$A226+$B226+Y$4&gt;TOTAL_BEDS_AVAILABLE,($D226+Y$5)&gt;TOTAL_LABOR_HOURS_CAP,MAX(0,($D226+Y$5)-PERMANENT_FIELD_LABOR_HOURS)&gt;TEMP_HOURS_CAP),"",$C226+Y$6-MIN(($D226+Y$5),PERMANENT_FIELD_LABOR_HOURS)*PERMANENT_HOURLY_RATE-MAX(0,($D226+Y$5)-PERMANENT_FIELD_LABOR_HOURS)*TEMP_HOURLY_RATE-FIXED_SEASON_COST)</f>
        <v>30119.7484902225</v>
      </c>
      <c r="Z226" s="53" t="n">
        <f aca="false">IF(OR($A226&gt;TOMATO_BED_CAP,$B226&gt;CARROT_BED_CAP,Z$4&gt;MESCLUN_BED_CAP,$A226+$B226+Z$4&gt;TOTAL_BEDS_AVAILABLE,($D226+Z$5)&gt;TOTAL_LABOR_HOURS_CAP,MAX(0,($D226+Z$5)-PERMANENT_FIELD_LABOR_HOURS)&gt;TEMP_HOURS_CAP),"",$C226+Z$6-MIN(($D226+Z$5),PERMANENT_FIELD_LABOR_HOURS)*PERMANENT_HOURLY_RATE-MAX(0,($D226+Z$5)-PERMANENT_FIELD_LABOR_HOURS)*TEMP_HOURLY_RATE-FIXED_SEASON_COST)</f>
        <v>30703.2948045302</v>
      </c>
      <c r="AA226" s="53" t="n">
        <f aca="false">IF(OR($A226&gt;TOMATO_BED_CAP,$B226&gt;CARROT_BED_CAP,AA$4&gt;MESCLUN_BED_CAP,$A226+$B226+AA$4&gt;TOTAL_BEDS_AVAILABLE,($D226+AA$5)&gt;TOTAL_LABOR_HOURS_CAP,MAX(0,($D226+AA$5)-PERMANENT_FIELD_LABOR_HOURS)&gt;TEMP_HOURS_CAP),"",$C226+AA$6-MIN(($D226+AA$5),PERMANENT_FIELD_LABOR_HOURS)*PERMANENT_HOURLY_RATE-MAX(0,($D226+AA$5)-PERMANENT_FIELD_LABOR_HOURS)*TEMP_HOURLY_RATE-FIXED_SEASON_COST)</f>
        <v>31258.8663541991</v>
      </c>
      <c r="AB226" s="53" t="n">
        <f aca="false">IF(OR($A226&gt;TOMATO_BED_CAP,$B226&gt;CARROT_BED_CAP,AB$4&gt;MESCLUN_BED_CAP,$A226+$B226+AB$4&gt;TOTAL_BEDS_AVAILABLE,($D226+AB$5)&gt;TOTAL_LABOR_HOURS_CAP,MAX(0,($D226+AB$5)-PERMANENT_FIELD_LABOR_HOURS)&gt;TEMP_HOURS_CAP),"",$C226+AB$6-MIN(($D226+AB$5),PERMANENT_FIELD_LABOR_HOURS)*PERMANENT_HOURLY_RATE-MAX(0,($D226+AB$5)-PERMANENT_FIELD_LABOR_HOURS)*TEMP_HOURLY_RATE-FIXED_SEASON_COST)</f>
        <v>31785.9569660017</v>
      </c>
      <c r="AC226" s="53" t="n">
        <f aca="false">IF(OR($A226&gt;TOMATO_BED_CAP,$B226&gt;CARROT_BED_CAP,AC$4&gt;MESCLUN_BED_CAP,$A226+$B226+AC$4&gt;TOTAL_BEDS_AVAILABLE,($D226+AC$5)&gt;TOTAL_LABOR_HOURS_CAP,MAX(0,($D226+AC$5)-PERMANENT_FIELD_LABOR_HOURS)&gt;TEMP_HOURS_CAP),"",$C226+AC$6-MIN(($D226+AC$5),PERMANENT_FIELD_LABOR_HOURS)*PERMANENT_HOURLY_RATE-MAX(0,($D226+AC$5)-PERMANENT_FIELD_LABOR_HOURS)*TEMP_HOURLY_RATE-FIXED_SEASON_COST)</f>
        <v>32284.0521834366</v>
      </c>
      <c r="AD226" s="53" t="n">
        <f aca="false">IF(OR($A226&gt;TOMATO_BED_CAP,$B226&gt;CARROT_BED_CAP,AD$4&gt;MESCLUN_BED_CAP,$A226+$B226+AD$4&gt;TOTAL_BEDS_AVAILABLE,($D226+AD$5)&gt;TOTAL_LABOR_HOURS_CAP,MAX(0,($D226+AD$5)-PERMANENT_FIELD_LABOR_HOURS)&gt;TEMP_HOURS_CAP),"",$C226+AD$6-MIN(($D226+AD$5),PERMANENT_FIELD_LABOR_HOURS)*PERMANENT_HOURLY_RATE-MAX(0,($D226+AD$5)-PERMANENT_FIELD_LABOR_HOURS)*TEMP_HOURLY_RATE-FIXED_SEASON_COST)</f>
        <v>32752.6291387366</v>
      </c>
      <c r="AE226" s="53" t="n">
        <f aca="false">IF(OR($A226&gt;TOMATO_BED_CAP,$B226&gt;CARROT_BED_CAP,AE$4&gt;MESCLUN_BED_CAP,$A226+$B226+AE$4&gt;TOTAL_BEDS_AVAILABLE,($D226+AE$5)&gt;TOTAL_LABOR_HOURS_CAP,MAX(0,($D226+AE$5)-PERMANENT_FIELD_LABOR_HOURS)&gt;TEMP_HOURS_CAP),"",$C226+AE$6-MIN(($D226+AE$5),PERMANENT_FIELD_LABOR_HOURS)*PERMANENT_HOURLY_RATE-MAX(0,($D226+AE$5)-PERMANENT_FIELD_LABOR_HOURS)*TEMP_HOURLY_RATE-FIXED_SEASON_COST)</f>
        <v>33191.1564229705</v>
      </c>
      <c r="AF226" s="53" t="n">
        <f aca="false">IF(OR($A226&gt;TOMATO_BED_CAP,$B226&gt;CARROT_BED_CAP,AF$4&gt;MESCLUN_BED_CAP,$A226+$B226+AF$4&gt;TOTAL_BEDS_AVAILABLE,($D226+AF$5)&gt;TOTAL_LABOR_HOURS_CAP,MAX(0,($D226+AF$5)-PERMANENT_FIELD_LABOR_HOURS)&gt;TEMP_HOURS_CAP),"",$C226+AF$6-MIN(($D226+AF$5),PERMANENT_FIELD_LABOR_HOURS)*PERMANENT_HOURLY_RATE-MAX(0,($D226+AF$5)-PERMANENT_FIELD_LABOR_HOURS)*TEMP_HOURLY_RATE-FIXED_SEASON_COST)</f>
        <v>33599.0939542124</v>
      </c>
      <c r="AG226" s="53" t="n">
        <f aca="false">IF(OR($A226&gt;TOMATO_BED_CAP,$B226&gt;CARROT_BED_CAP,AG$4&gt;MESCLUN_BED_CAP,$A226+$B226+AG$4&gt;TOTAL_BEDS_AVAILABLE,($D226+AG$5)&gt;TOTAL_LABOR_HOURS_CAP,MAX(0,($D226+AG$5)-PERMANENT_FIELD_LABOR_HOURS)&gt;TEMP_HOURS_CAP),"",$C226+AG$6-MIN(($D226+AG$5),PERMANENT_FIELD_LABOR_HOURS)*PERMANENT_HOURLY_RATE-MAX(0,($D226+AG$5)-PERMANENT_FIELD_LABOR_HOURS)*TEMP_HOURLY_RATE-FIXED_SEASON_COST)</f>
        <v>33975.8928437494</v>
      </c>
      <c r="AH226" s="53" t="n">
        <f aca="false">IF(OR($A226&gt;TOMATO_BED_CAP,$B226&gt;CARROT_BED_CAP,AH$4&gt;MESCLUN_BED_CAP,$A226+$B226+AH$4&gt;TOTAL_BEDS_AVAILABLE,($D226+AH$5)&gt;TOTAL_LABOR_HOURS_CAP,MAX(0,($D226+AH$5)-PERMANENT_FIELD_LABOR_HOURS)&gt;TEMP_HOURS_CAP),"",$C226+AH$6-MIN(($D226+AH$5),PERMANENT_FIELD_LABOR_HOURS)*PERMANENT_HOURLY_RATE-MAX(0,($D226+AH$5)-PERMANENT_FIELD_LABOR_HOURS)*TEMP_HOURLY_RATE-FIXED_SEASON_COST)</f>
        <v>34320.9952602997</v>
      </c>
      <c r="AI226" s="53" t="n">
        <f aca="false">IF(OR($A226&gt;TOMATO_BED_CAP,$B226&gt;CARROT_BED_CAP,AI$4&gt;MESCLUN_BED_CAP,$A226+$B226+AI$4&gt;TOTAL_BEDS_AVAILABLE,($D226+AI$5)&gt;TOTAL_LABOR_HOURS_CAP,MAX(0,($D226+AI$5)-PERMANENT_FIELD_LABOR_HOURS)&gt;TEMP_HOURS_CAP),"",$C226+AI$6-MIN(($D226+AI$5),PERMANENT_FIELD_LABOR_HOURS)*PERMANENT_HOURLY_RATE-MAX(0,($D226+AI$5)-PERMANENT_FIELD_LABOR_HOURS)*TEMP_HOURLY_RATE-FIXED_SEASON_COST)</f>
        <v>34633.8342922119</v>
      </c>
      <c r="AJ226" s="53" t="n">
        <f aca="false">IF(OR($A226&gt;TOMATO_BED_CAP,$B226&gt;CARROT_BED_CAP,AJ$4&gt;MESCLUN_BED_CAP,$A226+$B226+AJ$4&gt;TOTAL_BEDS_AVAILABLE,($D226+AJ$5)&gt;TOTAL_LABOR_HOURS_CAP,MAX(0,($D226+AJ$5)-PERMANENT_FIELD_LABOR_HOURS)&gt;TEMP_HOURS_CAP),"",$C226+AJ$6-MIN(($D226+AJ$5),PERMANENT_FIELD_LABOR_HOURS)*PERMANENT_HOURLY_RATE-MAX(0,($D226+AJ$5)-PERMANENT_FIELD_LABOR_HOURS)*TEMP_HOURLY_RATE-FIXED_SEASON_COST)</f>
        <v>34913.8338076177</v>
      </c>
    </row>
    <row r="227" customFormat="false" ht="15" hidden="false" customHeight="false" outlineLevel="0" collapsed="false">
      <c r="A227" s="21" t="n">
        <f aca="false">INT((ROW()-ROW($A$8))/(20+1))</f>
        <v>10</v>
      </c>
      <c r="B227" s="21" t="n">
        <f aca="false">MOD(ROW()-ROW($A$8),20+1)</f>
        <v>9</v>
      </c>
      <c r="C227" s="13" t="n">
        <f aca="false">A227*(TOMATO_REVENUE_PER_BED-TOMATO_FERTILIZER_PER_BED)+B227*(CARROT_REVENUE_PER_BED-CARROT_FERTILIZER_PER_BED)</f>
        <v>94086</v>
      </c>
      <c r="D227" s="14" t="n">
        <f aca="false">INDEX(TOMATO_SCHED_LABOR_HRS,A227+1)+INDEX(CARROT_SCHED_LABOR_HRS,B227+1)</f>
        <v>2671.42633877512</v>
      </c>
      <c r="E227" s="13" t="n">
        <f aca="false">IF(COUNT(F227:AJ227)=0,"",MAX(F227:AJ227))</f>
        <v>35790.8280537365</v>
      </c>
      <c r="F227" s="53" t="n">
        <f aca="false">IF(OR($A227&gt;TOMATO_BED_CAP,$B227&gt;CARROT_BED_CAP,F$4&gt;MESCLUN_BED_CAP,$A227+$B227+F$4&gt;TOTAL_BEDS_AVAILABLE,($D227+F$5)&gt;TOTAL_LABOR_HOURS_CAP,MAX(0,($D227+F$5)-PERMANENT_FIELD_LABOR_HOURS)&gt;TEMP_HOURS_CAP),"",$C227+F$6-MIN(($D227+F$5),PERMANENT_FIELD_LABOR_HOURS)*PERMANENT_HOURLY_RATE-MAX(0,($D227+F$5)-PERMANENT_FIELD_LABOR_HOURS)*TEMP_HOURLY_RATE-FIXED_SEASON_COST)</f>
        <v>15210.838758864</v>
      </c>
      <c r="G227" s="53" t="n">
        <f aca="false">IF(OR($A227&gt;TOMATO_BED_CAP,$B227&gt;CARROT_BED_CAP,G$4&gt;MESCLUN_BED_CAP,$A227+$B227+G$4&gt;TOTAL_BEDS_AVAILABLE,($D227+G$5)&gt;TOTAL_LABOR_HOURS_CAP,MAX(0,($D227+G$5)-PERMANENT_FIELD_LABOR_HOURS)&gt;TEMP_HOURS_CAP),"",$C227+G$6-MIN(($D227+G$5),PERMANENT_FIELD_LABOR_HOURS)*PERMANENT_HOURLY_RATE-MAX(0,($D227+G$5)-PERMANENT_FIELD_LABOR_HOURS)*TEMP_HOURLY_RATE-FIXED_SEASON_COST)</f>
        <v>16239.873758864</v>
      </c>
      <c r="H227" s="53" t="n">
        <f aca="false">IF(OR($A227&gt;TOMATO_BED_CAP,$B227&gt;CARROT_BED_CAP,H$4&gt;MESCLUN_BED_CAP,$A227+$B227+H$4&gt;TOTAL_BEDS_AVAILABLE,($D227+H$5)&gt;TOTAL_LABOR_HOURS_CAP,MAX(0,($D227+H$5)-PERMANENT_FIELD_LABOR_HOURS)&gt;TEMP_HOURS_CAP),"",$C227+H$6-MIN(($D227+H$5),PERMANENT_FIELD_LABOR_HOURS)*PERMANENT_HOURLY_RATE-MAX(0,($D227+H$5)-PERMANENT_FIELD_LABOR_HOURS)*TEMP_HOURLY_RATE-FIXED_SEASON_COST)</f>
        <v>17249.134633864</v>
      </c>
      <c r="I227" s="53" t="n">
        <f aca="false">IF(OR($A227&gt;TOMATO_BED_CAP,$B227&gt;CARROT_BED_CAP,I$4&gt;MESCLUN_BED_CAP,$A227+$B227+I$4&gt;TOTAL_BEDS_AVAILABLE,($D227+I$5)&gt;TOTAL_LABOR_HOURS_CAP,MAX(0,($D227+I$5)-PERMANENT_FIELD_LABOR_HOURS)&gt;TEMP_HOURS_CAP),"",$C227+I$6-MIN(($D227+I$5),PERMANENT_FIELD_LABOR_HOURS)*PERMANENT_HOURLY_RATE-MAX(0,($D227+I$5)-PERMANENT_FIELD_LABOR_HOURS)*TEMP_HOURLY_RATE-FIXED_SEASON_COST)</f>
        <v>18238.2506190202</v>
      </c>
      <c r="J227" s="53" t="n">
        <f aca="false">IF(OR($A227&gt;TOMATO_BED_CAP,$B227&gt;CARROT_BED_CAP,J$4&gt;MESCLUN_BED_CAP,$A227+$B227+J$4&gt;TOTAL_BEDS_AVAILABLE,($D227+J$5)&gt;TOTAL_LABOR_HOURS_CAP,MAX(0,($D227+J$5)-PERMANENT_FIELD_LABOR_HOURS)&gt;TEMP_HOURS_CAP),"",$C227+J$6-MIN(($D227+J$5),PERMANENT_FIELD_LABOR_HOURS)*PERMANENT_HOURLY_RATE-MAX(0,($D227+J$5)-PERMANENT_FIELD_LABOR_HOURS)*TEMP_HOURLY_RATE-FIXED_SEASON_COST)</f>
        <v>19206.8447700749</v>
      </c>
      <c r="K227" s="53" t="n">
        <f aca="false">IF(OR($A227&gt;TOMATO_BED_CAP,$B227&gt;CARROT_BED_CAP,K$4&gt;MESCLUN_BED_CAP,$A227+$B227+K$4&gt;TOTAL_BEDS_AVAILABLE,($D227+K$5)&gt;TOTAL_LABOR_HOURS_CAP,MAX(0,($D227+K$5)-PERMANENT_FIELD_LABOR_HOURS)&gt;TEMP_HOURS_CAP),"",$C227+K$6-MIN(($D227+K$5),PERMANENT_FIELD_LABOR_HOURS)*PERMANENT_HOURLY_RATE-MAX(0,($D227+K$5)-PERMANENT_FIELD_LABOR_HOURS)*TEMP_HOURLY_RATE-FIXED_SEASON_COST)</f>
        <v>20154.5338668028</v>
      </c>
      <c r="L227" s="53" t="n">
        <f aca="false">IF(OR($A227&gt;TOMATO_BED_CAP,$B227&gt;CARROT_BED_CAP,L$4&gt;MESCLUN_BED_CAP,$A227+$B227+L$4&gt;TOTAL_BEDS_AVAILABLE,($D227+L$5)&gt;TOTAL_LABOR_HOURS_CAP,MAX(0,($D227+L$5)-PERMANENT_FIELD_LABOR_HOURS)&gt;TEMP_HOURS_CAP),"",$C227+L$6-MIN(($D227+L$5),PERMANENT_FIELD_LABOR_HOURS)*PERMANENT_HOURLY_RATE-MAX(0,($D227+L$5)-PERMANENT_FIELD_LABOR_HOURS)*TEMP_HOURLY_RATE-FIXED_SEASON_COST)</f>
        <v>21080.9283150097</v>
      </c>
      <c r="M227" s="53" t="n">
        <f aca="false">IF(OR($A227&gt;TOMATO_BED_CAP,$B227&gt;CARROT_BED_CAP,M$4&gt;MESCLUN_BED_CAP,$A227+$B227+M$4&gt;TOTAL_BEDS_AVAILABLE,($D227+M$5)&gt;TOTAL_LABOR_HOURS_CAP,MAX(0,($D227+M$5)-PERMANENT_FIELD_LABOR_HOURS)&gt;TEMP_HOURS_CAP),"",$C227+M$6-MIN(($D227+M$5),PERMANENT_FIELD_LABOR_HOURS)*PERMANENT_HOURLY_RATE-MAX(0,($D227+M$5)-PERMANENT_FIELD_LABOR_HOURS)*TEMP_HOURLY_RATE-FIXED_SEASON_COST)</f>
        <v>21985.6320470611</v>
      </c>
      <c r="N227" s="53" t="n">
        <f aca="false">IF(OR($A227&gt;TOMATO_BED_CAP,$B227&gt;CARROT_BED_CAP,N$4&gt;MESCLUN_BED_CAP,$A227+$B227+N$4&gt;TOTAL_BEDS_AVAILABLE,($D227+N$5)&gt;TOTAL_LABOR_HOURS_CAP,MAX(0,($D227+N$5)-PERMANENT_FIELD_LABOR_HOURS)&gt;TEMP_HOURS_CAP),"",$C227+N$6-MIN(($D227+N$5),PERMANENT_FIELD_LABOR_HOURS)*PERMANENT_HOURLY_RATE-MAX(0,($D227+N$5)-PERMANENT_FIELD_LABOR_HOURS)*TEMP_HOURLY_RATE-FIXED_SEASON_COST)</f>
        <v>22868.2424209206</v>
      </c>
      <c r="O227" s="53" t="n">
        <f aca="false">IF(OR($A227&gt;TOMATO_BED_CAP,$B227&gt;CARROT_BED_CAP,O$4&gt;MESCLUN_BED_CAP,$A227+$B227+O$4&gt;TOTAL_BEDS_AVAILABLE,($D227+O$5)&gt;TOTAL_LABOR_HOURS_CAP,MAX(0,($D227+O$5)-PERMANENT_FIELD_LABOR_HOURS)&gt;TEMP_HOURS_CAP),"",$C227+O$6-MIN(($D227+O$5),PERMANENT_FIELD_LABOR_HOURS)*PERMANENT_HOURLY_RATE-MAX(0,($D227+O$5)-PERMANENT_FIELD_LABOR_HOURS)*TEMP_HOURLY_RATE-FIXED_SEASON_COST)</f>
        <v>23728.3501176754</v>
      </c>
      <c r="P227" s="53" t="n">
        <f aca="false">IF(OR($A227&gt;TOMATO_BED_CAP,$B227&gt;CARROT_BED_CAP,P$4&gt;MESCLUN_BED_CAP,$A227+$B227+P$4&gt;TOTAL_BEDS_AVAILABLE,($D227+P$5)&gt;TOTAL_LABOR_HOURS_CAP,MAX(0,($D227+P$5)-PERMANENT_FIELD_LABOR_HOURS)&gt;TEMP_HOURS_CAP),"",$C227+P$6-MIN(($D227+P$5),PERMANENT_FIELD_LABOR_HOURS)*PERMANENT_HOURLY_RATE-MAX(0,($D227+P$5)-PERMANENT_FIELD_LABOR_HOURS)*TEMP_HOURLY_RATE-FIXED_SEASON_COST)</f>
        <v>24565.5390375268</v>
      </c>
      <c r="Q227" s="53" t="n">
        <f aca="false">IF(OR($A227&gt;TOMATO_BED_CAP,$B227&gt;CARROT_BED_CAP,Q$4&gt;MESCLUN_BED_CAP,$A227+$B227+Q$4&gt;TOTAL_BEDS_AVAILABLE,($D227+Q$5)&gt;TOTAL_LABOR_HOURS_CAP,MAX(0,($D227+Q$5)-PERMANENT_FIELD_LABOR_HOURS)&gt;TEMP_HOURS_CAP),"",$C227+Q$6-MIN(($D227+Q$5),PERMANENT_FIELD_LABOR_HOURS)*PERMANENT_HOURLY_RATE-MAX(0,($D227+Q$5)-PERMANENT_FIELD_LABOR_HOURS)*TEMP_HOURLY_RATE-FIXED_SEASON_COST)</f>
        <v>25379.3861942247</v>
      </c>
      <c r="R227" s="53" t="n">
        <f aca="false">IF(OR($A227&gt;TOMATO_BED_CAP,$B227&gt;CARROT_BED_CAP,R$4&gt;MESCLUN_BED_CAP,$A227+$B227+R$4&gt;TOTAL_BEDS_AVAILABLE,($D227+R$5)&gt;TOTAL_LABOR_HOURS_CAP,MAX(0,($D227+R$5)-PERMANENT_FIELD_LABOR_HOURS)&gt;TEMP_HOURS_CAP),"",$C227+R$6-MIN(($D227+R$5),PERMANENT_FIELD_LABOR_HOURS)*PERMANENT_HOURLY_RATE-MAX(0,($D227+R$5)-PERMANENT_FIELD_LABOR_HOURS)*TEMP_HOURLY_RATE-FIXED_SEASON_COST)</f>
        <v>26169.4616079215</v>
      </c>
      <c r="S227" s="53" t="n">
        <f aca="false">IF(OR($A227&gt;TOMATO_BED_CAP,$B227&gt;CARROT_BED_CAP,S$4&gt;MESCLUN_BED_CAP,$A227+$B227+S$4&gt;TOTAL_BEDS_AVAILABLE,($D227+S$5)&gt;TOTAL_LABOR_HOURS_CAP,MAX(0,($D227+S$5)-PERMANENT_FIELD_LABOR_HOURS)&gt;TEMP_HOURS_CAP),"",$C227+S$6-MIN(($D227+S$5),PERMANENT_FIELD_LABOR_HOURS)*PERMANENT_HOURLY_RATE-MAX(0,($D227+S$5)-PERMANENT_FIELD_LABOR_HOURS)*TEMP_HOURLY_RATE-FIXED_SEASON_COST)</f>
        <v>26935.328196424</v>
      </c>
      <c r="T227" s="53" t="n">
        <f aca="false">IF(OR($A227&gt;TOMATO_BED_CAP,$B227&gt;CARROT_BED_CAP,T$4&gt;MESCLUN_BED_CAP,$A227+$B227+T$4&gt;TOTAL_BEDS_AVAILABLE,($D227+T$5)&gt;TOTAL_LABOR_HOURS_CAP,MAX(0,($D227+T$5)-PERMANENT_FIELD_LABOR_HOURS)&gt;TEMP_HOURS_CAP),"",$C227+T$6-MIN(($D227+T$5),PERMANENT_FIELD_LABOR_HOURS)*PERMANENT_HOURLY_RATE-MAX(0,($D227+T$5)-PERMANENT_FIELD_LABOR_HOURS)*TEMP_HOURLY_RATE-FIXED_SEASON_COST)</f>
        <v>27676.5416648188</v>
      </c>
      <c r="U227" s="53" t="n">
        <f aca="false">IF(OR($A227&gt;TOMATO_BED_CAP,$B227&gt;CARROT_BED_CAP,U$4&gt;MESCLUN_BED_CAP,$A227+$B227+U$4&gt;TOTAL_BEDS_AVAILABLE,($D227+U$5)&gt;TOTAL_LABOR_HOURS_CAP,MAX(0,($D227+U$5)-PERMANENT_FIELD_LABOR_HOURS)&gt;TEMP_HOURS_CAP),"",$C227+U$6-MIN(($D227+U$5),PERMANENT_FIELD_LABOR_HOURS)*PERMANENT_HOURLY_RATE-MAX(0,($D227+U$5)-PERMANENT_FIELD_LABOR_HOURS)*TEMP_HOURLY_RATE-FIXED_SEASON_COST)</f>
        <v>28392.6503934489</v>
      </c>
      <c r="V227" s="53" t="n">
        <f aca="false">IF(OR($A227&gt;TOMATO_BED_CAP,$B227&gt;CARROT_BED_CAP,V$4&gt;MESCLUN_BED_CAP,$A227+$B227+V$4&gt;TOTAL_BEDS_AVAILABLE,($D227+V$5)&gt;TOTAL_LABOR_HOURS_CAP,MAX(0,($D227+V$5)-PERMANENT_FIELD_LABOR_HOURS)&gt;TEMP_HOURS_CAP),"",$C227+V$6-MIN(($D227+V$5),PERMANENT_FIELD_LABOR_HOURS)*PERMANENT_HOURLY_RATE-MAX(0,($D227+V$5)-PERMANENT_FIELD_LABOR_HOURS)*TEMP_HOURLY_RATE-FIXED_SEASON_COST)</f>
        <v>29083.1953242157</v>
      </c>
      <c r="W227" s="53" t="n">
        <f aca="false">IF(OR($A227&gt;TOMATO_BED_CAP,$B227&gt;CARROT_BED_CAP,W$4&gt;MESCLUN_BED_CAP,$A227+$B227+W$4&gt;TOTAL_BEDS_AVAILABLE,($D227+W$5)&gt;TOTAL_LABOR_HOURS_CAP,MAX(0,($D227+W$5)-PERMANENT_FIELD_LABOR_HOURS)&gt;TEMP_HOURS_CAP),"",$C227+W$6-MIN(($D227+W$5),PERMANENT_FIELD_LABOR_HOURS)*PERMANENT_HOURLY_RATE-MAX(0,($D227+W$5)-PERMANENT_FIELD_LABOR_HOURS)*TEMP_HOURLY_RATE-FIXED_SEASON_COST)</f>
        <v>29747.7098451838</v>
      </c>
      <c r="X227" s="53" t="n">
        <f aca="false">IF(OR($A227&gt;TOMATO_BED_CAP,$B227&gt;CARROT_BED_CAP,X$4&gt;MESCLUN_BED_CAP,$A227+$B227+X$4&gt;TOTAL_BEDS_AVAILABLE,($D227+X$5)&gt;TOTAL_LABOR_HOURS_CAP,MAX(0,($D227+X$5)-PERMANENT_FIELD_LABOR_HOURS)&gt;TEMP_HOURS_CAP),"",$C227+X$6-MIN(($D227+X$5),PERMANENT_FIELD_LABOR_HOURS)*PERMANENT_HOURLY_RATE-MAX(0,($D227+X$5)-PERMANENT_FIELD_LABOR_HOURS)*TEMP_HOURLY_RATE-FIXED_SEASON_COST)</f>
        <v>30385.7196734627</v>
      </c>
      <c r="Y227" s="53" t="n">
        <f aca="false">IF(OR($A227&gt;TOMATO_BED_CAP,$B227&gt;CARROT_BED_CAP,Y$4&gt;MESCLUN_BED_CAP,$A227+$B227+Y$4&gt;TOTAL_BEDS_AVAILABLE,($D227+Y$5)&gt;TOTAL_LABOR_HOURS_CAP,MAX(0,($D227+Y$5)-PERMANENT_FIELD_LABOR_HOURS)&gt;TEMP_HOURS_CAP),"",$C227+Y$6-MIN(($D227+Y$5),PERMANENT_FIELD_LABOR_HOURS)*PERMANENT_HOURLY_RATE-MAX(0,($D227+Y$5)-PERMANENT_FIELD_LABOR_HOURS)*TEMP_HOURLY_RATE-FIXED_SEASON_COST)</f>
        <v>30996.7427363413</v>
      </c>
      <c r="Z227" s="53" t="n">
        <f aca="false">IF(OR($A227&gt;TOMATO_BED_CAP,$B227&gt;CARROT_BED_CAP,Z$4&gt;MESCLUN_BED_CAP,$A227+$B227+Z$4&gt;TOTAL_BEDS_AVAILABLE,($D227+Z$5)&gt;TOTAL_LABOR_HOURS_CAP,MAX(0,($D227+Z$5)-PERMANENT_FIELD_LABOR_HOURS)&gt;TEMP_HOURS_CAP),"",$C227+Z$6-MIN(($D227+Z$5),PERMANENT_FIELD_LABOR_HOURS)*PERMANENT_HOURLY_RATE-MAX(0,($D227+Z$5)-PERMANENT_FIELD_LABOR_HOURS)*TEMP_HOURLY_RATE-FIXED_SEASON_COST)</f>
        <v>31580.2890506491</v>
      </c>
      <c r="AA227" s="53" t="n">
        <f aca="false">IF(OR($A227&gt;TOMATO_BED_CAP,$B227&gt;CARROT_BED_CAP,AA$4&gt;MESCLUN_BED_CAP,$A227+$B227+AA$4&gt;TOTAL_BEDS_AVAILABLE,($D227+AA$5)&gt;TOTAL_LABOR_HOURS_CAP,MAX(0,($D227+AA$5)-PERMANENT_FIELD_LABOR_HOURS)&gt;TEMP_HOURS_CAP),"",$C227+AA$6-MIN(($D227+AA$5),PERMANENT_FIELD_LABOR_HOURS)*PERMANENT_HOURLY_RATE-MAX(0,($D227+AA$5)-PERMANENT_FIELD_LABOR_HOURS)*TEMP_HOURLY_RATE-FIXED_SEASON_COST)</f>
        <v>32135.860600318</v>
      </c>
      <c r="AB227" s="53" t="n">
        <f aca="false">IF(OR($A227&gt;TOMATO_BED_CAP,$B227&gt;CARROT_BED_CAP,AB$4&gt;MESCLUN_BED_CAP,$A227+$B227+AB$4&gt;TOTAL_BEDS_AVAILABLE,($D227+AB$5)&gt;TOTAL_LABOR_HOURS_CAP,MAX(0,($D227+AB$5)-PERMANENT_FIELD_LABOR_HOURS)&gt;TEMP_HOURS_CAP),"",$C227+AB$6-MIN(($D227+AB$5),PERMANENT_FIELD_LABOR_HOURS)*PERMANENT_HOURLY_RATE-MAX(0,($D227+AB$5)-PERMANENT_FIELD_LABOR_HOURS)*TEMP_HOURLY_RATE-FIXED_SEASON_COST)</f>
        <v>32662.9512121205</v>
      </c>
      <c r="AC227" s="53" t="n">
        <f aca="false">IF(OR($A227&gt;TOMATO_BED_CAP,$B227&gt;CARROT_BED_CAP,AC$4&gt;MESCLUN_BED_CAP,$A227+$B227+AC$4&gt;TOTAL_BEDS_AVAILABLE,($D227+AC$5)&gt;TOTAL_LABOR_HOURS_CAP,MAX(0,($D227+AC$5)-PERMANENT_FIELD_LABOR_HOURS)&gt;TEMP_HOURS_CAP),"",$C227+AC$6-MIN(($D227+AC$5),PERMANENT_FIELD_LABOR_HOURS)*PERMANENT_HOURLY_RATE-MAX(0,($D227+AC$5)-PERMANENT_FIELD_LABOR_HOURS)*TEMP_HOURLY_RATE-FIXED_SEASON_COST)</f>
        <v>33161.0464295555</v>
      </c>
      <c r="AD227" s="53" t="n">
        <f aca="false">IF(OR($A227&gt;TOMATO_BED_CAP,$B227&gt;CARROT_BED_CAP,AD$4&gt;MESCLUN_BED_CAP,$A227+$B227+AD$4&gt;TOTAL_BEDS_AVAILABLE,($D227+AD$5)&gt;TOTAL_LABOR_HOURS_CAP,MAX(0,($D227+AD$5)-PERMANENT_FIELD_LABOR_HOURS)&gt;TEMP_HOURS_CAP),"",$C227+AD$6-MIN(($D227+AD$5),PERMANENT_FIELD_LABOR_HOURS)*PERMANENT_HOURLY_RATE-MAX(0,($D227+AD$5)-PERMANENT_FIELD_LABOR_HOURS)*TEMP_HOURLY_RATE-FIXED_SEASON_COST)</f>
        <v>33629.6233848554</v>
      </c>
      <c r="AE227" s="53" t="n">
        <f aca="false">IF(OR($A227&gt;TOMATO_BED_CAP,$B227&gt;CARROT_BED_CAP,AE$4&gt;MESCLUN_BED_CAP,$A227+$B227+AE$4&gt;TOTAL_BEDS_AVAILABLE,($D227+AE$5)&gt;TOTAL_LABOR_HOURS_CAP,MAX(0,($D227+AE$5)-PERMANENT_FIELD_LABOR_HOURS)&gt;TEMP_HOURS_CAP),"",$C227+AE$6-MIN(($D227+AE$5),PERMANENT_FIELD_LABOR_HOURS)*PERMANENT_HOURLY_RATE-MAX(0,($D227+AE$5)-PERMANENT_FIELD_LABOR_HOURS)*TEMP_HOURLY_RATE-FIXED_SEASON_COST)</f>
        <v>34068.1506690893</v>
      </c>
      <c r="AF227" s="53" t="n">
        <f aca="false">IF(OR($A227&gt;TOMATO_BED_CAP,$B227&gt;CARROT_BED_CAP,AF$4&gt;MESCLUN_BED_CAP,$A227+$B227+AF$4&gt;TOTAL_BEDS_AVAILABLE,($D227+AF$5)&gt;TOTAL_LABOR_HOURS_CAP,MAX(0,($D227+AF$5)-PERMANENT_FIELD_LABOR_HOURS)&gt;TEMP_HOURS_CAP),"",$C227+AF$6-MIN(($D227+AF$5),PERMANENT_FIELD_LABOR_HOURS)*PERMANENT_HOURLY_RATE-MAX(0,($D227+AF$5)-PERMANENT_FIELD_LABOR_HOURS)*TEMP_HOURLY_RATE-FIXED_SEASON_COST)</f>
        <v>34476.0882003313</v>
      </c>
      <c r="AG227" s="53" t="n">
        <f aca="false">IF(OR($A227&gt;TOMATO_BED_CAP,$B227&gt;CARROT_BED_CAP,AG$4&gt;MESCLUN_BED_CAP,$A227+$B227+AG$4&gt;TOTAL_BEDS_AVAILABLE,($D227+AG$5)&gt;TOTAL_LABOR_HOURS_CAP,MAX(0,($D227+AG$5)-PERMANENT_FIELD_LABOR_HOURS)&gt;TEMP_HOURS_CAP),"",$C227+AG$6-MIN(($D227+AG$5),PERMANENT_FIELD_LABOR_HOURS)*PERMANENT_HOURLY_RATE-MAX(0,($D227+AG$5)-PERMANENT_FIELD_LABOR_HOURS)*TEMP_HOURLY_RATE-FIXED_SEASON_COST)</f>
        <v>34852.8870898683</v>
      </c>
      <c r="AH227" s="53" t="n">
        <f aca="false">IF(OR($A227&gt;TOMATO_BED_CAP,$B227&gt;CARROT_BED_CAP,AH$4&gt;MESCLUN_BED_CAP,$A227+$B227+AH$4&gt;TOTAL_BEDS_AVAILABLE,($D227+AH$5)&gt;TOTAL_LABOR_HOURS_CAP,MAX(0,($D227+AH$5)-PERMANENT_FIELD_LABOR_HOURS)&gt;TEMP_HOURS_CAP),"",$C227+AH$6-MIN(($D227+AH$5),PERMANENT_FIELD_LABOR_HOURS)*PERMANENT_HOURLY_RATE-MAX(0,($D227+AH$5)-PERMANENT_FIELD_LABOR_HOURS)*TEMP_HOURLY_RATE-FIXED_SEASON_COST)</f>
        <v>35197.9895064185</v>
      </c>
      <c r="AI227" s="53" t="n">
        <f aca="false">IF(OR($A227&gt;TOMATO_BED_CAP,$B227&gt;CARROT_BED_CAP,AI$4&gt;MESCLUN_BED_CAP,$A227+$B227+AI$4&gt;TOTAL_BEDS_AVAILABLE,($D227+AI$5)&gt;TOTAL_LABOR_HOURS_CAP,MAX(0,($D227+AI$5)-PERMANENT_FIELD_LABOR_HOURS)&gt;TEMP_HOURS_CAP),"",$C227+AI$6-MIN(($D227+AI$5),PERMANENT_FIELD_LABOR_HOURS)*PERMANENT_HOURLY_RATE-MAX(0,($D227+AI$5)-PERMANENT_FIELD_LABOR_HOURS)*TEMP_HOURLY_RATE-FIXED_SEASON_COST)</f>
        <v>35510.8285383308</v>
      </c>
      <c r="AJ227" s="53" t="n">
        <f aca="false">IF(OR($A227&gt;TOMATO_BED_CAP,$B227&gt;CARROT_BED_CAP,AJ$4&gt;MESCLUN_BED_CAP,$A227+$B227+AJ$4&gt;TOTAL_BEDS_AVAILABLE,($D227+AJ$5)&gt;TOTAL_LABOR_HOURS_CAP,MAX(0,($D227+AJ$5)-PERMANENT_FIELD_LABOR_HOURS)&gt;TEMP_HOURS_CAP),"",$C227+AJ$6-MIN(($D227+AJ$5),PERMANENT_FIELD_LABOR_HOURS)*PERMANENT_HOURLY_RATE-MAX(0,($D227+AJ$5)-PERMANENT_FIELD_LABOR_HOURS)*TEMP_HOURLY_RATE-FIXED_SEASON_COST)</f>
        <v>35790.8280537365</v>
      </c>
    </row>
    <row r="228" customFormat="false" ht="15" hidden="false" customHeight="false" outlineLevel="0" collapsed="false">
      <c r="A228" s="21" t="n">
        <f aca="false">INT((ROW()-ROW($A$8))/(20+1))</f>
        <v>10</v>
      </c>
      <c r="B228" s="21" t="n">
        <f aca="false">MOD(ROW()-ROW($A$8),20+1)</f>
        <v>10</v>
      </c>
      <c r="C228" s="13" t="n">
        <f aca="false">A228*(TOMATO_REVENUE_PER_BED-TOMATO_FERTILIZER_PER_BED)+B228*(CARROT_REVENUE_PER_BED-CARROT_FERTILIZER_PER_BED)</f>
        <v>95740</v>
      </c>
      <c r="D228" s="14" t="n">
        <f aca="false">INDEX(TOMATO_SCHED_LABOR_HRS,A228+1)+INDEX(CARROT_SCHED_LABOR_HRS,B228+1)</f>
        <v>2718.23996720361</v>
      </c>
      <c r="E228" s="13" t="n">
        <f aca="false">IF(COUNT(F228:AJ228)=0,"",MAX(F228:AJ228))</f>
        <v>36632.143464218</v>
      </c>
      <c r="F228" s="53" t="n">
        <f aca="false">IF(OR($A228&gt;TOMATO_BED_CAP,$B228&gt;CARROT_BED_CAP,F$4&gt;MESCLUN_BED_CAP,$A228+$B228+F$4&gt;TOTAL_BEDS_AVAILABLE,($D228+F$5)&gt;TOTAL_LABOR_HOURS_CAP,MAX(0,($D228+F$5)-PERMANENT_FIELD_LABOR_HOURS)&gt;TEMP_HOURS_CAP),"",$C228+F$6-MIN(($D228+F$5),PERMANENT_FIELD_LABOR_HOURS)*PERMANENT_HOURLY_RATE-MAX(0,($D228+F$5)-PERMANENT_FIELD_LABOR_HOURS)*TEMP_HOURLY_RATE-FIXED_SEASON_COST)</f>
        <v>16052.1541693454</v>
      </c>
      <c r="G228" s="53" t="n">
        <f aca="false">IF(OR($A228&gt;TOMATO_BED_CAP,$B228&gt;CARROT_BED_CAP,G$4&gt;MESCLUN_BED_CAP,$A228+$B228+G$4&gt;TOTAL_BEDS_AVAILABLE,($D228+G$5)&gt;TOTAL_LABOR_HOURS_CAP,MAX(0,($D228+G$5)-PERMANENT_FIELD_LABOR_HOURS)&gt;TEMP_HOURS_CAP),"",$C228+G$6-MIN(($D228+G$5),PERMANENT_FIELD_LABOR_HOURS)*PERMANENT_HOURLY_RATE-MAX(0,($D228+G$5)-PERMANENT_FIELD_LABOR_HOURS)*TEMP_HOURLY_RATE-FIXED_SEASON_COST)</f>
        <v>17081.1891693454</v>
      </c>
      <c r="H228" s="53" t="n">
        <f aca="false">IF(OR($A228&gt;TOMATO_BED_CAP,$B228&gt;CARROT_BED_CAP,H$4&gt;MESCLUN_BED_CAP,$A228+$B228+H$4&gt;TOTAL_BEDS_AVAILABLE,($D228+H$5)&gt;TOTAL_LABOR_HOURS_CAP,MAX(0,($D228+H$5)-PERMANENT_FIELD_LABOR_HOURS)&gt;TEMP_HOURS_CAP),"",$C228+H$6-MIN(($D228+H$5),PERMANENT_FIELD_LABOR_HOURS)*PERMANENT_HOURLY_RATE-MAX(0,($D228+H$5)-PERMANENT_FIELD_LABOR_HOURS)*TEMP_HOURLY_RATE-FIXED_SEASON_COST)</f>
        <v>18090.4500443454</v>
      </c>
      <c r="I228" s="53" t="n">
        <f aca="false">IF(OR($A228&gt;TOMATO_BED_CAP,$B228&gt;CARROT_BED_CAP,I$4&gt;MESCLUN_BED_CAP,$A228+$B228+I$4&gt;TOTAL_BEDS_AVAILABLE,($D228+I$5)&gt;TOTAL_LABOR_HOURS_CAP,MAX(0,($D228+I$5)-PERMANENT_FIELD_LABOR_HOURS)&gt;TEMP_HOURS_CAP),"",$C228+I$6-MIN(($D228+I$5),PERMANENT_FIELD_LABOR_HOURS)*PERMANENT_HOURLY_RATE-MAX(0,($D228+I$5)-PERMANENT_FIELD_LABOR_HOURS)*TEMP_HOURLY_RATE-FIXED_SEASON_COST)</f>
        <v>19079.5660295017</v>
      </c>
      <c r="J228" s="53" t="n">
        <f aca="false">IF(OR($A228&gt;TOMATO_BED_CAP,$B228&gt;CARROT_BED_CAP,J$4&gt;MESCLUN_BED_CAP,$A228+$B228+J$4&gt;TOTAL_BEDS_AVAILABLE,($D228+J$5)&gt;TOTAL_LABOR_HOURS_CAP,MAX(0,($D228+J$5)-PERMANENT_FIELD_LABOR_HOURS)&gt;TEMP_HOURS_CAP),"",$C228+J$6-MIN(($D228+J$5),PERMANENT_FIELD_LABOR_HOURS)*PERMANENT_HOURLY_RATE-MAX(0,($D228+J$5)-PERMANENT_FIELD_LABOR_HOURS)*TEMP_HOURLY_RATE-FIXED_SEASON_COST)</f>
        <v>20048.1601805564</v>
      </c>
      <c r="K228" s="53" t="n">
        <f aca="false">IF(OR($A228&gt;TOMATO_BED_CAP,$B228&gt;CARROT_BED_CAP,K$4&gt;MESCLUN_BED_CAP,$A228+$B228+K$4&gt;TOTAL_BEDS_AVAILABLE,($D228+K$5)&gt;TOTAL_LABOR_HOURS_CAP,MAX(0,($D228+K$5)-PERMANENT_FIELD_LABOR_HOURS)&gt;TEMP_HOURS_CAP),"",$C228+K$6-MIN(($D228+K$5),PERMANENT_FIELD_LABOR_HOURS)*PERMANENT_HOURLY_RATE-MAX(0,($D228+K$5)-PERMANENT_FIELD_LABOR_HOURS)*TEMP_HOURLY_RATE-FIXED_SEASON_COST)</f>
        <v>20995.8492772843</v>
      </c>
      <c r="L228" s="53" t="n">
        <f aca="false">IF(OR($A228&gt;TOMATO_BED_CAP,$B228&gt;CARROT_BED_CAP,L$4&gt;MESCLUN_BED_CAP,$A228+$B228+L$4&gt;TOTAL_BEDS_AVAILABLE,($D228+L$5)&gt;TOTAL_LABOR_HOURS_CAP,MAX(0,($D228+L$5)-PERMANENT_FIELD_LABOR_HOURS)&gt;TEMP_HOURS_CAP),"",$C228+L$6-MIN(($D228+L$5),PERMANENT_FIELD_LABOR_HOURS)*PERMANENT_HOURLY_RATE-MAX(0,($D228+L$5)-PERMANENT_FIELD_LABOR_HOURS)*TEMP_HOURLY_RATE-FIXED_SEASON_COST)</f>
        <v>21922.2437254911</v>
      </c>
      <c r="M228" s="53" t="n">
        <f aca="false">IF(OR($A228&gt;TOMATO_BED_CAP,$B228&gt;CARROT_BED_CAP,M$4&gt;MESCLUN_BED_CAP,$A228+$B228+M$4&gt;TOTAL_BEDS_AVAILABLE,($D228+M$5)&gt;TOTAL_LABOR_HOURS_CAP,MAX(0,($D228+M$5)-PERMANENT_FIELD_LABOR_HOURS)&gt;TEMP_HOURS_CAP),"",$C228+M$6-MIN(($D228+M$5),PERMANENT_FIELD_LABOR_HOURS)*PERMANENT_HOURLY_RATE-MAX(0,($D228+M$5)-PERMANENT_FIELD_LABOR_HOURS)*TEMP_HOURLY_RATE-FIXED_SEASON_COST)</f>
        <v>22826.9474575425</v>
      </c>
      <c r="N228" s="53" t="n">
        <f aca="false">IF(OR($A228&gt;TOMATO_BED_CAP,$B228&gt;CARROT_BED_CAP,N$4&gt;MESCLUN_BED_CAP,$A228+$B228+N$4&gt;TOTAL_BEDS_AVAILABLE,($D228+N$5)&gt;TOTAL_LABOR_HOURS_CAP,MAX(0,($D228+N$5)-PERMANENT_FIELD_LABOR_HOURS)&gt;TEMP_HOURS_CAP),"",$C228+N$6-MIN(($D228+N$5),PERMANENT_FIELD_LABOR_HOURS)*PERMANENT_HOURLY_RATE-MAX(0,($D228+N$5)-PERMANENT_FIELD_LABOR_HOURS)*TEMP_HOURLY_RATE-FIXED_SEASON_COST)</f>
        <v>23709.5578314021</v>
      </c>
      <c r="O228" s="53" t="n">
        <f aca="false">IF(OR($A228&gt;TOMATO_BED_CAP,$B228&gt;CARROT_BED_CAP,O$4&gt;MESCLUN_BED_CAP,$A228+$B228+O$4&gt;TOTAL_BEDS_AVAILABLE,($D228+O$5)&gt;TOTAL_LABOR_HOURS_CAP,MAX(0,($D228+O$5)-PERMANENT_FIELD_LABOR_HOURS)&gt;TEMP_HOURS_CAP),"",$C228+O$6-MIN(($D228+O$5),PERMANENT_FIELD_LABOR_HOURS)*PERMANENT_HOURLY_RATE-MAX(0,($D228+O$5)-PERMANENT_FIELD_LABOR_HOURS)*TEMP_HOURLY_RATE-FIXED_SEASON_COST)</f>
        <v>24569.6655281568</v>
      </c>
      <c r="P228" s="53" t="n">
        <f aca="false">IF(OR($A228&gt;TOMATO_BED_CAP,$B228&gt;CARROT_BED_CAP,P$4&gt;MESCLUN_BED_CAP,$A228+$B228+P$4&gt;TOTAL_BEDS_AVAILABLE,($D228+P$5)&gt;TOTAL_LABOR_HOURS_CAP,MAX(0,($D228+P$5)-PERMANENT_FIELD_LABOR_HOURS)&gt;TEMP_HOURS_CAP),"",$C228+P$6-MIN(($D228+P$5),PERMANENT_FIELD_LABOR_HOURS)*PERMANENT_HOURLY_RATE-MAX(0,($D228+P$5)-PERMANENT_FIELD_LABOR_HOURS)*TEMP_HOURLY_RATE-FIXED_SEASON_COST)</f>
        <v>25406.8544480082</v>
      </c>
      <c r="Q228" s="53" t="n">
        <f aca="false">IF(OR($A228&gt;TOMATO_BED_CAP,$B228&gt;CARROT_BED_CAP,Q$4&gt;MESCLUN_BED_CAP,$A228+$B228+Q$4&gt;TOTAL_BEDS_AVAILABLE,($D228+Q$5)&gt;TOTAL_LABOR_HOURS_CAP,MAX(0,($D228+Q$5)-PERMANENT_FIELD_LABOR_HOURS)&gt;TEMP_HOURS_CAP),"",$C228+Q$6-MIN(($D228+Q$5),PERMANENT_FIELD_LABOR_HOURS)*PERMANENT_HOURLY_RATE-MAX(0,($D228+Q$5)-PERMANENT_FIELD_LABOR_HOURS)*TEMP_HOURLY_RATE-FIXED_SEASON_COST)</f>
        <v>26220.7016047061</v>
      </c>
      <c r="R228" s="53" t="n">
        <f aca="false">IF(OR($A228&gt;TOMATO_BED_CAP,$B228&gt;CARROT_BED_CAP,R$4&gt;MESCLUN_BED_CAP,$A228+$B228+R$4&gt;TOTAL_BEDS_AVAILABLE,($D228+R$5)&gt;TOTAL_LABOR_HOURS_CAP,MAX(0,($D228+R$5)-PERMANENT_FIELD_LABOR_HOURS)&gt;TEMP_HOURS_CAP),"",$C228+R$6-MIN(($D228+R$5),PERMANENT_FIELD_LABOR_HOURS)*PERMANENT_HOURLY_RATE-MAX(0,($D228+R$5)-PERMANENT_FIELD_LABOR_HOURS)*TEMP_HOURLY_RATE-FIXED_SEASON_COST)</f>
        <v>27010.7770184029</v>
      </c>
      <c r="S228" s="53" t="n">
        <f aca="false">IF(OR($A228&gt;TOMATO_BED_CAP,$B228&gt;CARROT_BED_CAP,S$4&gt;MESCLUN_BED_CAP,$A228+$B228+S$4&gt;TOTAL_BEDS_AVAILABLE,($D228+S$5)&gt;TOTAL_LABOR_HOURS_CAP,MAX(0,($D228+S$5)-PERMANENT_FIELD_LABOR_HOURS)&gt;TEMP_HOURS_CAP),"",$C228+S$6-MIN(($D228+S$5),PERMANENT_FIELD_LABOR_HOURS)*PERMANENT_HOURLY_RATE-MAX(0,($D228+S$5)-PERMANENT_FIELD_LABOR_HOURS)*TEMP_HOURLY_RATE-FIXED_SEASON_COST)</f>
        <v>27776.6436069054</v>
      </c>
      <c r="T228" s="53" t="n">
        <f aca="false">IF(OR($A228&gt;TOMATO_BED_CAP,$B228&gt;CARROT_BED_CAP,T$4&gt;MESCLUN_BED_CAP,$A228+$B228+T$4&gt;TOTAL_BEDS_AVAILABLE,($D228+T$5)&gt;TOTAL_LABOR_HOURS_CAP,MAX(0,($D228+T$5)-PERMANENT_FIELD_LABOR_HOURS)&gt;TEMP_HOURS_CAP),"",$C228+T$6-MIN(($D228+T$5),PERMANENT_FIELD_LABOR_HOURS)*PERMANENT_HOURLY_RATE-MAX(0,($D228+T$5)-PERMANENT_FIELD_LABOR_HOURS)*TEMP_HOURLY_RATE-FIXED_SEASON_COST)</f>
        <v>28517.8570753002</v>
      </c>
      <c r="U228" s="53" t="n">
        <f aca="false">IF(OR($A228&gt;TOMATO_BED_CAP,$B228&gt;CARROT_BED_CAP,U$4&gt;MESCLUN_BED_CAP,$A228+$B228+U$4&gt;TOTAL_BEDS_AVAILABLE,($D228+U$5)&gt;TOTAL_LABOR_HOURS_CAP,MAX(0,($D228+U$5)-PERMANENT_FIELD_LABOR_HOURS)&gt;TEMP_HOURS_CAP),"",$C228+U$6-MIN(($D228+U$5),PERMANENT_FIELD_LABOR_HOURS)*PERMANENT_HOURLY_RATE-MAX(0,($D228+U$5)-PERMANENT_FIELD_LABOR_HOURS)*TEMP_HOURLY_RATE-FIXED_SEASON_COST)</f>
        <v>29233.9658039303</v>
      </c>
      <c r="V228" s="53" t="n">
        <f aca="false">IF(OR($A228&gt;TOMATO_BED_CAP,$B228&gt;CARROT_BED_CAP,V$4&gt;MESCLUN_BED_CAP,$A228+$B228+V$4&gt;TOTAL_BEDS_AVAILABLE,($D228+V$5)&gt;TOTAL_LABOR_HOURS_CAP,MAX(0,($D228+V$5)-PERMANENT_FIELD_LABOR_HOURS)&gt;TEMP_HOURS_CAP),"",$C228+V$6-MIN(($D228+V$5),PERMANENT_FIELD_LABOR_HOURS)*PERMANENT_HOURLY_RATE-MAX(0,($D228+V$5)-PERMANENT_FIELD_LABOR_HOURS)*TEMP_HOURLY_RATE-FIXED_SEASON_COST)</f>
        <v>29924.5107346971</v>
      </c>
      <c r="W228" s="53" t="n">
        <f aca="false">IF(OR($A228&gt;TOMATO_BED_CAP,$B228&gt;CARROT_BED_CAP,W$4&gt;MESCLUN_BED_CAP,$A228+$B228+W$4&gt;TOTAL_BEDS_AVAILABLE,($D228+W$5)&gt;TOTAL_LABOR_HOURS_CAP,MAX(0,($D228+W$5)-PERMANENT_FIELD_LABOR_HOURS)&gt;TEMP_HOURS_CAP),"",$C228+W$6-MIN(($D228+W$5),PERMANENT_FIELD_LABOR_HOURS)*PERMANENT_HOURLY_RATE-MAX(0,($D228+W$5)-PERMANENT_FIELD_LABOR_HOURS)*TEMP_HOURLY_RATE-FIXED_SEASON_COST)</f>
        <v>30589.0252556652</v>
      </c>
      <c r="X228" s="53" t="n">
        <f aca="false">IF(OR($A228&gt;TOMATO_BED_CAP,$B228&gt;CARROT_BED_CAP,X$4&gt;MESCLUN_BED_CAP,$A228+$B228+X$4&gt;TOTAL_BEDS_AVAILABLE,($D228+X$5)&gt;TOTAL_LABOR_HOURS_CAP,MAX(0,($D228+X$5)-PERMANENT_FIELD_LABOR_HOURS)&gt;TEMP_HOURS_CAP),"",$C228+X$6-MIN(($D228+X$5),PERMANENT_FIELD_LABOR_HOURS)*PERMANENT_HOURLY_RATE-MAX(0,($D228+X$5)-PERMANENT_FIELD_LABOR_HOURS)*TEMP_HOURLY_RATE-FIXED_SEASON_COST)</f>
        <v>31227.0350839441</v>
      </c>
      <c r="Y228" s="53" t="n">
        <f aca="false">IF(OR($A228&gt;TOMATO_BED_CAP,$B228&gt;CARROT_BED_CAP,Y$4&gt;MESCLUN_BED_CAP,$A228+$B228+Y$4&gt;TOTAL_BEDS_AVAILABLE,($D228+Y$5)&gt;TOTAL_LABOR_HOURS_CAP,MAX(0,($D228+Y$5)-PERMANENT_FIELD_LABOR_HOURS)&gt;TEMP_HOURS_CAP),"",$C228+Y$6-MIN(($D228+Y$5),PERMANENT_FIELD_LABOR_HOURS)*PERMANENT_HOURLY_RATE-MAX(0,($D228+Y$5)-PERMANENT_FIELD_LABOR_HOURS)*TEMP_HOURLY_RATE-FIXED_SEASON_COST)</f>
        <v>31838.0581468228</v>
      </c>
      <c r="Z228" s="53" t="n">
        <f aca="false">IF(OR($A228&gt;TOMATO_BED_CAP,$B228&gt;CARROT_BED_CAP,Z$4&gt;MESCLUN_BED_CAP,$A228+$B228+Z$4&gt;TOTAL_BEDS_AVAILABLE,($D228+Z$5)&gt;TOTAL_LABOR_HOURS_CAP,MAX(0,($D228+Z$5)-PERMANENT_FIELD_LABOR_HOURS)&gt;TEMP_HOURS_CAP),"",$C228+Z$6-MIN(($D228+Z$5),PERMANENT_FIELD_LABOR_HOURS)*PERMANENT_HOURLY_RATE-MAX(0,($D228+Z$5)-PERMANENT_FIELD_LABOR_HOURS)*TEMP_HOURLY_RATE-FIXED_SEASON_COST)</f>
        <v>32421.6044611305</v>
      </c>
      <c r="AA228" s="53" t="n">
        <f aca="false">IF(OR($A228&gt;TOMATO_BED_CAP,$B228&gt;CARROT_BED_CAP,AA$4&gt;MESCLUN_BED_CAP,$A228+$B228+AA$4&gt;TOTAL_BEDS_AVAILABLE,($D228+AA$5)&gt;TOTAL_LABOR_HOURS_CAP,MAX(0,($D228+AA$5)-PERMANENT_FIELD_LABOR_HOURS)&gt;TEMP_HOURS_CAP),"",$C228+AA$6-MIN(($D228+AA$5),PERMANENT_FIELD_LABOR_HOURS)*PERMANENT_HOURLY_RATE-MAX(0,($D228+AA$5)-PERMANENT_FIELD_LABOR_HOURS)*TEMP_HOURLY_RATE-FIXED_SEASON_COST)</f>
        <v>32977.1760107994</v>
      </c>
      <c r="AB228" s="53" t="n">
        <f aca="false">IF(OR($A228&gt;TOMATO_BED_CAP,$B228&gt;CARROT_BED_CAP,AB$4&gt;MESCLUN_BED_CAP,$A228+$B228+AB$4&gt;TOTAL_BEDS_AVAILABLE,($D228+AB$5)&gt;TOTAL_LABOR_HOURS_CAP,MAX(0,($D228+AB$5)-PERMANENT_FIELD_LABOR_HOURS)&gt;TEMP_HOURS_CAP),"",$C228+AB$6-MIN(($D228+AB$5),PERMANENT_FIELD_LABOR_HOURS)*PERMANENT_HOURLY_RATE-MAX(0,($D228+AB$5)-PERMANENT_FIELD_LABOR_HOURS)*TEMP_HOURLY_RATE-FIXED_SEASON_COST)</f>
        <v>33504.266622602</v>
      </c>
      <c r="AC228" s="53" t="n">
        <f aca="false">IF(OR($A228&gt;TOMATO_BED_CAP,$B228&gt;CARROT_BED_CAP,AC$4&gt;MESCLUN_BED_CAP,$A228+$B228+AC$4&gt;TOTAL_BEDS_AVAILABLE,($D228+AC$5)&gt;TOTAL_LABOR_HOURS_CAP,MAX(0,($D228+AC$5)-PERMANENT_FIELD_LABOR_HOURS)&gt;TEMP_HOURS_CAP),"",$C228+AC$6-MIN(($D228+AC$5),PERMANENT_FIELD_LABOR_HOURS)*PERMANENT_HOURLY_RATE-MAX(0,($D228+AC$5)-PERMANENT_FIELD_LABOR_HOURS)*TEMP_HOURLY_RATE-FIXED_SEASON_COST)</f>
        <v>34002.3618400369</v>
      </c>
      <c r="AD228" s="53" t="n">
        <f aca="false">IF(OR($A228&gt;TOMATO_BED_CAP,$B228&gt;CARROT_BED_CAP,AD$4&gt;MESCLUN_BED_CAP,$A228+$B228+AD$4&gt;TOTAL_BEDS_AVAILABLE,($D228+AD$5)&gt;TOTAL_LABOR_HOURS_CAP,MAX(0,($D228+AD$5)-PERMANENT_FIELD_LABOR_HOURS)&gt;TEMP_HOURS_CAP),"",$C228+AD$6-MIN(($D228+AD$5),PERMANENT_FIELD_LABOR_HOURS)*PERMANENT_HOURLY_RATE-MAX(0,($D228+AD$5)-PERMANENT_FIELD_LABOR_HOURS)*TEMP_HOURLY_RATE-FIXED_SEASON_COST)</f>
        <v>34470.9387953369</v>
      </c>
      <c r="AE228" s="53" t="n">
        <f aca="false">IF(OR($A228&gt;TOMATO_BED_CAP,$B228&gt;CARROT_BED_CAP,AE$4&gt;MESCLUN_BED_CAP,$A228+$B228+AE$4&gt;TOTAL_BEDS_AVAILABLE,($D228+AE$5)&gt;TOTAL_LABOR_HOURS_CAP,MAX(0,($D228+AE$5)-PERMANENT_FIELD_LABOR_HOURS)&gt;TEMP_HOURS_CAP),"",$C228+AE$6-MIN(($D228+AE$5),PERMANENT_FIELD_LABOR_HOURS)*PERMANENT_HOURLY_RATE-MAX(0,($D228+AE$5)-PERMANENT_FIELD_LABOR_HOURS)*TEMP_HOURLY_RATE-FIXED_SEASON_COST)</f>
        <v>34909.4660795708</v>
      </c>
      <c r="AF228" s="53" t="n">
        <f aca="false">IF(OR($A228&gt;TOMATO_BED_CAP,$B228&gt;CARROT_BED_CAP,AF$4&gt;MESCLUN_BED_CAP,$A228+$B228+AF$4&gt;TOTAL_BEDS_AVAILABLE,($D228+AF$5)&gt;TOTAL_LABOR_HOURS_CAP,MAX(0,($D228+AF$5)-PERMANENT_FIELD_LABOR_HOURS)&gt;TEMP_HOURS_CAP),"",$C228+AF$6-MIN(($D228+AF$5),PERMANENT_FIELD_LABOR_HOURS)*PERMANENT_HOURLY_RATE-MAX(0,($D228+AF$5)-PERMANENT_FIELD_LABOR_HOURS)*TEMP_HOURLY_RATE-FIXED_SEASON_COST)</f>
        <v>35317.4036108127</v>
      </c>
      <c r="AG228" s="53" t="n">
        <f aca="false">IF(OR($A228&gt;TOMATO_BED_CAP,$B228&gt;CARROT_BED_CAP,AG$4&gt;MESCLUN_BED_CAP,$A228+$B228+AG$4&gt;TOTAL_BEDS_AVAILABLE,($D228+AG$5)&gt;TOTAL_LABOR_HOURS_CAP,MAX(0,($D228+AG$5)-PERMANENT_FIELD_LABOR_HOURS)&gt;TEMP_HOURS_CAP),"",$C228+AG$6-MIN(($D228+AG$5),PERMANENT_FIELD_LABOR_HOURS)*PERMANENT_HOURLY_RATE-MAX(0,($D228+AG$5)-PERMANENT_FIELD_LABOR_HOURS)*TEMP_HOURLY_RATE-FIXED_SEASON_COST)</f>
        <v>35694.2025003497</v>
      </c>
      <c r="AH228" s="53" t="n">
        <f aca="false">IF(OR($A228&gt;TOMATO_BED_CAP,$B228&gt;CARROT_BED_CAP,AH$4&gt;MESCLUN_BED_CAP,$A228+$B228+AH$4&gt;TOTAL_BEDS_AVAILABLE,($D228+AH$5)&gt;TOTAL_LABOR_HOURS_CAP,MAX(0,($D228+AH$5)-PERMANENT_FIELD_LABOR_HOURS)&gt;TEMP_HOURS_CAP),"",$C228+AH$6-MIN(($D228+AH$5),PERMANENT_FIELD_LABOR_HOURS)*PERMANENT_HOURLY_RATE-MAX(0,($D228+AH$5)-PERMANENT_FIELD_LABOR_HOURS)*TEMP_HOURLY_RATE-FIXED_SEASON_COST)</f>
        <v>36039.3049168999</v>
      </c>
      <c r="AI228" s="53" t="n">
        <f aca="false">IF(OR($A228&gt;TOMATO_BED_CAP,$B228&gt;CARROT_BED_CAP,AI$4&gt;MESCLUN_BED_CAP,$A228+$B228+AI$4&gt;TOTAL_BEDS_AVAILABLE,($D228+AI$5)&gt;TOTAL_LABOR_HOURS_CAP,MAX(0,($D228+AI$5)-PERMANENT_FIELD_LABOR_HOURS)&gt;TEMP_HOURS_CAP),"",$C228+AI$6-MIN(($D228+AI$5),PERMANENT_FIELD_LABOR_HOURS)*PERMANENT_HOURLY_RATE-MAX(0,($D228+AI$5)-PERMANENT_FIELD_LABOR_HOURS)*TEMP_HOURLY_RATE-FIXED_SEASON_COST)</f>
        <v>36352.1439488122</v>
      </c>
      <c r="AJ228" s="53" t="n">
        <f aca="false">IF(OR($A228&gt;TOMATO_BED_CAP,$B228&gt;CARROT_BED_CAP,AJ$4&gt;MESCLUN_BED_CAP,$A228+$B228+AJ$4&gt;TOTAL_BEDS_AVAILABLE,($D228+AJ$5)&gt;TOTAL_LABOR_HOURS_CAP,MAX(0,($D228+AJ$5)-PERMANENT_FIELD_LABOR_HOURS)&gt;TEMP_HOURS_CAP),"",$C228+AJ$6-MIN(($D228+AJ$5),PERMANENT_FIELD_LABOR_HOURS)*PERMANENT_HOURLY_RATE-MAX(0,($D228+AJ$5)-PERMANENT_FIELD_LABOR_HOURS)*TEMP_HOURLY_RATE-FIXED_SEASON_COST)</f>
        <v>36632.143464218</v>
      </c>
    </row>
    <row r="229" customFormat="false" ht="15" hidden="false" customHeight="false" outlineLevel="0" collapsed="false">
      <c r="A229" s="21" t="n">
        <f aca="false">INT((ROW()-ROW($A$8))/(20+1))</f>
        <v>10</v>
      </c>
      <c r="B229" s="21" t="n">
        <f aca="false">MOD(ROW()-ROW($A$8),20+1)</f>
        <v>11</v>
      </c>
      <c r="C229" s="13" t="n">
        <f aca="false">A229*(TOMATO_REVENUE_PER_BED-TOMATO_FERTILIZER_PER_BED)+B229*(CARROT_REVENUE_PER_BED-CARROT_FERTILIZER_PER_BED)</f>
        <v>97394</v>
      </c>
      <c r="D229" s="14" t="n">
        <f aca="false">INDEX(TOMATO_SCHED_LABOR_HRS,A229+1)+INDEX(CARROT_SCHED_LABOR_HRS,B229+1)</f>
        <v>2767.18361572559</v>
      </c>
      <c r="E229" s="13" t="n">
        <f aca="false">IF(COUNT(F229:AJ229)=0,"",MAX(F229:AJ229))</f>
        <v>37436.4817258763</v>
      </c>
      <c r="F229" s="53" t="n">
        <f aca="false">IF(OR($A229&gt;TOMATO_BED_CAP,$B229&gt;CARROT_BED_CAP,F$4&gt;MESCLUN_BED_CAP,$A229+$B229+F$4&gt;TOTAL_BEDS_AVAILABLE,($D229+F$5)&gt;TOTAL_LABOR_HOURS_CAP,MAX(0,($D229+F$5)-PERMANENT_FIELD_LABOR_HOURS)&gt;TEMP_HOURS_CAP),"",$C229+F$6-MIN(($D229+F$5),PERMANENT_FIELD_LABOR_HOURS)*PERMANENT_HOURLY_RATE-MAX(0,($D229+F$5)-PERMANENT_FIELD_LABOR_HOURS)*TEMP_HOURLY_RATE-FIXED_SEASON_COST)</f>
        <v>16856.4924310038</v>
      </c>
      <c r="G229" s="53" t="n">
        <f aca="false">IF(OR($A229&gt;TOMATO_BED_CAP,$B229&gt;CARROT_BED_CAP,G$4&gt;MESCLUN_BED_CAP,$A229+$B229+G$4&gt;TOTAL_BEDS_AVAILABLE,($D229+G$5)&gt;TOTAL_LABOR_HOURS_CAP,MAX(0,($D229+G$5)-PERMANENT_FIELD_LABOR_HOURS)&gt;TEMP_HOURS_CAP),"",$C229+G$6-MIN(($D229+G$5),PERMANENT_FIELD_LABOR_HOURS)*PERMANENT_HOURLY_RATE-MAX(0,($D229+G$5)-PERMANENT_FIELD_LABOR_HOURS)*TEMP_HOURLY_RATE-FIXED_SEASON_COST)</f>
        <v>17885.5274310038</v>
      </c>
      <c r="H229" s="53" t="n">
        <f aca="false">IF(OR($A229&gt;TOMATO_BED_CAP,$B229&gt;CARROT_BED_CAP,H$4&gt;MESCLUN_BED_CAP,$A229+$B229+H$4&gt;TOTAL_BEDS_AVAILABLE,($D229+H$5)&gt;TOTAL_LABOR_HOURS_CAP,MAX(0,($D229+H$5)-PERMANENT_FIELD_LABOR_HOURS)&gt;TEMP_HOURS_CAP),"",$C229+H$6-MIN(($D229+H$5),PERMANENT_FIELD_LABOR_HOURS)*PERMANENT_HOURLY_RATE-MAX(0,($D229+H$5)-PERMANENT_FIELD_LABOR_HOURS)*TEMP_HOURLY_RATE-FIXED_SEASON_COST)</f>
        <v>18894.7883060038</v>
      </c>
      <c r="I229" s="53" t="n">
        <f aca="false">IF(OR($A229&gt;TOMATO_BED_CAP,$B229&gt;CARROT_BED_CAP,I$4&gt;MESCLUN_BED_CAP,$A229+$B229+I$4&gt;TOTAL_BEDS_AVAILABLE,($D229+I$5)&gt;TOTAL_LABOR_HOURS_CAP,MAX(0,($D229+I$5)-PERMANENT_FIELD_LABOR_HOURS)&gt;TEMP_HOURS_CAP),"",$C229+I$6-MIN(($D229+I$5),PERMANENT_FIELD_LABOR_HOURS)*PERMANENT_HOURLY_RATE-MAX(0,($D229+I$5)-PERMANENT_FIELD_LABOR_HOURS)*TEMP_HOURLY_RATE-FIXED_SEASON_COST)</f>
        <v>19883.90429116</v>
      </c>
      <c r="J229" s="53" t="n">
        <f aca="false">IF(OR($A229&gt;TOMATO_BED_CAP,$B229&gt;CARROT_BED_CAP,J$4&gt;MESCLUN_BED_CAP,$A229+$B229+J$4&gt;TOTAL_BEDS_AVAILABLE,($D229+J$5)&gt;TOTAL_LABOR_HOURS_CAP,MAX(0,($D229+J$5)-PERMANENT_FIELD_LABOR_HOURS)&gt;TEMP_HOURS_CAP),"",$C229+J$6-MIN(($D229+J$5),PERMANENT_FIELD_LABOR_HOURS)*PERMANENT_HOURLY_RATE-MAX(0,($D229+J$5)-PERMANENT_FIELD_LABOR_HOURS)*TEMP_HOURLY_RATE-FIXED_SEASON_COST)</f>
        <v>20852.4984422147</v>
      </c>
      <c r="K229" s="53" t="n">
        <f aca="false">IF(OR($A229&gt;TOMATO_BED_CAP,$B229&gt;CARROT_BED_CAP,K$4&gt;MESCLUN_BED_CAP,$A229+$B229+K$4&gt;TOTAL_BEDS_AVAILABLE,($D229+K$5)&gt;TOTAL_LABOR_HOURS_CAP,MAX(0,($D229+K$5)-PERMANENT_FIELD_LABOR_HOURS)&gt;TEMP_HOURS_CAP),"",$C229+K$6-MIN(($D229+K$5),PERMANENT_FIELD_LABOR_HOURS)*PERMANENT_HOURLY_RATE-MAX(0,($D229+K$5)-PERMANENT_FIELD_LABOR_HOURS)*TEMP_HOURLY_RATE-FIXED_SEASON_COST)</f>
        <v>21800.1875389426</v>
      </c>
      <c r="L229" s="53" t="n">
        <f aca="false">IF(OR($A229&gt;TOMATO_BED_CAP,$B229&gt;CARROT_BED_CAP,L$4&gt;MESCLUN_BED_CAP,$A229+$B229+L$4&gt;TOTAL_BEDS_AVAILABLE,($D229+L$5)&gt;TOTAL_LABOR_HOURS_CAP,MAX(0,($D229+L$5)-PERMANENT_FIELD_LABOR_HOURS)&gt;TEMP_HOURS_CAP),"",$C229+L$6-MIN(($D229+L$5),PERMANENT_FIELD_LABOR_HOURS)*PERMANENT_HOURLY_RATE-MAX(0,($D229+L$5)-PERMANENT_FIELD_LABOR_HOURS)*TEMP_HOURLY_RATE-FIXED_SEASON_COST)</f>
        <v>22726.5819871495</v>
      </c>
      <c r="M229" s="53" t="n">
        <f aca="false">IF(OR($A229&gt;TOMATO_BED_CAP,$B229&gt;CARROT_BED_CAP,M$4&gt;MESCLUN_BED_CAP,$A229+$B229+M$4&gt;TOTAL_BEDS_AVAILABLE,($D229+M$5)&gt;TOTAL_LABOR_HOURS_CAP,MAX(0,($D229+M$5)-PERMANENT_FIELD_LABOR_HOURS)&gt;TEMP_HOURS_CAP),"",$C229+M$6-MIN(($D229+M$5),PERMANENT_FIELD_LABOR_HOURS)*PERMANENT_HOURLY_RATE-MAX(0,($D229+M$5)-PERMANENT_FIELD_LABOR_HOURS)*TEMP_HOURLY_RATE-FIXED_SEASON_COST)</f>
        <v>23631.2857192009</v>
      </c>
      <c r="N229" s="53" t="n">
        <f aca="false">IF(OR($A229&gt;TOMATO_BED_CAP,$B229&gt;CARROT_BED_CAP,N$4&gt;MESCLUN_BED_CAP,$A229+$B229+N$4&gt;TOTAL_BEDS_AVAILABLE,($D229+N$5)&gt;TOTAL_LABOR_HOURS_CAP,MAX(0,($D229+N$5)-PERMANENT_FIELD_LABOR_HOURS)&gt;TEMP_HOURS_CAP),"",$C229+N$6-MIN(($D229+N$5),PERMANENT_FIELD_LABOR_HOURS)*PERMANENT_HOURLY_RATE-MAX(0,($D229+N$5)-PERMANENT_FIELD_LABOR_HOURS)*TEMP_HOURLY_RATE-FIXED_SEASON_COST)</f>
        <v>24513.8960930604</v>
      </c>
      <c r="O229" s="53" t="n">
        <f aca="false">IF(OR($A229&gt;TOMATO_BED_CAP,$B229&gt;CARROT_BED_CAP,O$4&gt;MESCLUN_BED_CAP,$A229+$B229+O$4&gt;TOTAL_BEDS_AVAILABLE,($D229+O$5)&gt;TOTAL_LABOR_HOURS_CAP,MAX(0,($D229+O$5)-PERMANENT_FIELD_LABOR_HOURS)&gt;TEMP_HOURS_CAP),"",$C229+O$6-MIN(($D229+O$5),PERMANENT_FIELD_LABOR_HOURS)*PERMANENT_HOURLY_RATE-MAX(0,($D229+O$5)-PERMANENT_FIELD_LABOR_HOURS)*TEMP_HOURLY_RATE-FIXED_SEASON_COST)</f>
        <v>25374.0037898152</v>
      </c>
      <c r="P229" s="53" t="n">
        <f aca="false">IF(OR($A229&gt;TOMATO_BED_CAP,$B229&gt;CARROT_BED_CAP,P$4&gt;MESCLUN_BED_CAP,$A229+$B229+P$4&gt;TOTAL_BEDS_AVAILABLE,($D229+P$5)&gt;TOTAL_LABOR_HOURS_CAP,MAX(0,($D229+P$5)-PERMANENT_FIELD_LABOR_HOURS)&gt;TEMP_HOURS_CAP),"",$C229+P$6-MIN(($D229+P$5),PERMANENT_FIELD_LABOR_HOURS)*PERMANENT_HOURLY_RATE-MAX(0,($D229+P$5)-PERMANENT_FIELD_LABOR_HOURS)*TEMP_HOURLY_RATE-FIXED_SEASON_COST)</f>
        <v>26211.1927096666</v>
      </c>
      <c r="Q229" s="53" t="n">
        <f aca="false">IF(OR($A229&gt;TOMATO_BED_CAP,$B229&gt;CARROT_BED_CAP,Q$4&gt;MESCLUN_BED_CAP,$A229+$B229+Q$4&gt;TOTAL_BEDS_AVAILABLE,($D229+Q$5)&gt;TOTAL_LABOR_HOURS_CAP,MAX(0,($D229+Q$5)-PERMANENT_FIELD_LABOR_HOURS)&gt;TEMP_HOURS_CAP),"",$C229+Q$6-MIN(($D229+Q$5),PERMANENT_FIELD_LABOR_HOURS)*PERMANENT_HOURLY_RATE-MAX(0,($D229+Q$5)-PERMANENT_FIELD_LABOR_HOURS)*TEMP_HOURLY_RATE-FIXED_SEASON_COST)</f>
        <v>27025.0398663645</v>
      </c>
      <c r="R229" s="53" t="n">
        <f aca="false">IF(OR($A229&gt;TOMATO_BED_CAP,$B229&gt;CARROT_BED_CAP,R$4&gt;MESCLUN_BED_CAP,$A229+$B229+R$4&gt;TOTAL_BEDS_AVAILABLE,($D229+R$5)&gt;TOTAL_LABOR_HOURS_CAP,MAX(0,($D229+R$5)-PERMANENT_FIELD_LABOR_HOURS)&gt;TEMP_HOURS_CAP),"",$C229+R$6-MIN(($D229+R$5),PERMANENT_FIELD_LABOR_HOURS)*PERMANENT_HOURLY_RATE-MAX(0,($D229+R$5)-PERMANENT_FIELD_LABOR_HOURS)*TEMP_HOURLY_RATE-FIXED_SEASON_COST)</f>
        <v>27815.1152800613</v>
      </c>
      <c r="S229" s="53" t="n">
        <f aca="false">IF(OR($A229&gt;TOMATO_BED_CAP,$B229&gt;CARROT_BED_CAP,S$4&gt;MESCLUN_BED_CAP,$A229+$B229+S$4&gt;TOTAL_BEDS_AVAILABLE,($D229+S$5)&gt;TOTAL_LABOR_HOURS_CAP,MAX(0,($D229+S$5)-PERMANENT_FIELD_LABOR_HOURS)&gt;TEMP_HOURS_CAP),"",$C229+S$6-MIN(($D229+S$5),PERMANENT_FIELD_LABOR_HOURS)*PERMANENT_HOURLY_RATE-MAX(0,($D229+S$5)-PERMANENT_FIELD_LABOR_HOURS)*TEMP_HOURLY_RATE-FIXED_SEASON_COST)</f>
        <v>28580.9818685637</v>
      </c>
      <c r="T229" s="53" t="n">
        <f aca="false">IF(OR($A229&gt;TOMATO_BED_CAP,$B229&gt;CARROT_BED_CAP,T$4&gt;MESCLUN_BED_CAP,$A229+$B229+T$4&gt;TOTAL_BEDS_AVAILABLE,($D229+T$5)&gt;TOTAL_LABOR_HOURS_CAP,MAX(0,($D229+T$5)-PERMANENT_FIELD_LABOR_HOURS)&gt;TEMP_HOURS_CAP),"",$C229+T$6-MIN(($D229+T$5),PERMANENT_FIELD_LABOR_HOURS)*PERMANENT_HOURLY_RATE-MAX(0,($D229+T$5)-PERMANENT_FIELD_LABOR_HOURS)*TEMP_HOURLY_RATE-FIXED_SEASON_COST)</f>
        <v>29322.1953369586</v>
      </c>
      <c r="U229" s="53" t="n">
        <f aca="false">IF(OR($A229&gt;TOMATO_BED_CAP,$B229&gt;CARROT_BED_CAP,U$4&gt;MESCLUN_BED_CAP,$A229+$B229+U$4&gt;TOTAL_BEDS_AVAILABLE,($D229+U$5)&gt;TOTAL_LABOR_HOURS_CAP,MAX(0,($D229+U$5)-PERMANENT_FIELD_LABOR_HOURS)&gt;TEMP_HOURS_CAP),"",$C229+U$6-MIN(($D229+U$5),PERMANENT_FIELD_LABOR_HOURS)*PERMANENT_HOURLY_RATE-MAX(0,($D229+U$5)-PERMANENT_FIELD_LABOR_HOURS)*TEMP_HOURLY_RATE-FIXED_SEASON_COST)</f>
        <v>30038.3040655887</v>
      </c>
      <c r="V229" s="53" t="n">
        <f aca="false">IF(OR($A229&gt;TOMATO_BED_CAP,$B229&gt;CARROT_BED_CAP,V$4&gt;MESCLUN_BED_CAP,$A229+$B229+V$4&gt;TOTAL_BEDS_AVAILABLE,($D229+V$5)&gt;TOTAL_LABOR_HOURS_CAP,MAX(0,($D229+V$5)-PERMANENT_FIELD_LABOR_HOURS)&gt;TEMP_HOURS_CAP),"",$C229+V$6-MIN(($D229+V$5),PERMANENT_FIELD_LABOR_HOURS)*PERMANENT_HOURLY_RATE-MAX(0,($D229+V$5)-PERMANENT_FIELD_LABOR_HOURS)*TEMP_HOURLY_RATE-FIXED_SEASON_COST)</f>
        <v>30728.8489963555</v>
      </c>
      <c r="W229" s="53" t="n">
        <f aca="false">IF(OR($A229&gt;TOMATO_BED_CAP,$B229&gt;CARROT_BED_CAP,W$4&gt;MESCLUN_BED_CAP,$A229+$B229+W$4&gt;TOTAL_BEDS_AVAILABLE,($D229+W$5)&gt;TOTAL_LABOR_HOURS_CAP,MAX(0,($D229+W$5)-PERMANENT_FIELD_LABOR_HOURS)&gt;TEMP_HOURS_CAP),"",$C229+W$6-MIN(($D229+W$5),PERMANENT_FIELD_LABOR_HOURS)*PERMANENT_HOURLY_RATE-MAX(0,($D229+W$5)-PERMANENT_FIELD_LABOR_HOURS)*TEMP_HOURLY_RATE-FIXED_SEASON_COST)</f>
        <v>31393.3635173235</v>
      </c>
      <c r="X229" s="53" t="n">
        <f aca="false">IF(OR($A229&gt;TOMATO_BED_CAP,$B229&gt;CARROT_BED_CAP,X$4&gt;MESCLUN_BED_CAP,$A229+$B229+X$4&gt;TOTAL_BEDS_AVAILABLE,($D229+X$5)&gt;TOTAL_LABOR_HOURS_CAP,MAX(0,($D229+X$5)-PERMANENT_FIELD_LABOR_HOURS)&gt;TEMP_HOURS_CAP),"",$C229+X$6-MIN(($D229+X$5),PERMANENT_FIELD_LABOR_HOURS)*PERMANENT_HOURLY_RATE-MAX(0,($D229+X$5)-PERMANENT_FIELD_LABOR_HOURS)*TEMP_HOURLY_RATE-FIXED_SEASON_COST)</f>
        <v>32031.3733456025</v>
      </c>
      <c r="Y229" s="53" t="n">
        <f aca="false">IF(OR($A229&gt;TOMATO_BED_CAP,$B229&gt;CARROT_BED_CAP,Y$4&gt;MESCLUN_BED_CAP,$A229+$B229+Y$4&gt;TOTAL_BEDS_AVAILABLE,($D229+Y$5)&gt;TOTAL_LABOR_HOURS_CAP,MAX(0,($D229+Y$5)-PERMANENT_FIELD_LABOR_HOURS)&gt;TEMP_HOURS_CAP),"",$C229+Y$6-MIN(($D229+Y$5),PERMANENT_FIELD_LABOR_HOURS)*PERMANENT_HOURLY_RATE-MAX(0,($D229+Y$5)-PERMANENT_FIELD_LABOR_HOURS)*TEMP_HOURLY_RATE-FIXED_SEASON_COST)</f>
        <v>32642.3964084811</v>
      </c>
      <c r="Z229" s="53" t="n">
        <f aca="false">IF(OR($A229&gt;TOMATO_BED_CAP,$B229&gt;CARROT_BED_CAP,Z$4&gt;MESCLUN_BED_CAP,$A229+$B229+Z$4&gt;TOTAL_BEDS_AVAILABLE,($D229+Z$5)&gt;TOTAL_LABOR_HOURS_CAP,MAX(0,($D229+Z$5)-PERMANENT_FIELD_LABOR_HOURS)&gt;TEMP_HOURS_CAP),"",$C229+Z$6-MIN(($D229+Z$5),PERMANENT_FIELD_LABOR_HOURS)*PERMANENT_HOURLY_RATE-MAX(0,($D229+Z$5)-PERMANENT_FIELD_LABOR_HOURS)*TEMP_HOURLY_RATE-FIXED_SEASON_COST)</f>
        <v>33225.9427227888</v>
      </c>
      <c r="AA229" s="53" t="n">
        <f aca="false">IF(OR($A229&gt;TOMATO_BED_CAP,$B229&gt;CARROT_BED_CAP,AA$4&gt;MESCLUN_BED_CAP,$A229+$B229+AA$4&gt;TOTAL_BEDS_AVAILABLE,($D229+AA$5)&gt;TOTAL_LABOR_HOURS_CAP,MAX(0,($D229+AA$5)-PERMANENT_FIELD_LABOR_HOURS)&gt;TEMP_HOURS_CAP),"",$C229+AA$6-MIN(($D229+AA$5),PERMANENT_FIELD_LABOR_HOURS)*PERMANENT_HOURLY_RATE-MAX(0,($D229+AA$5)-PERMANENT_FIELD_LABOR_HOURS)*TEMP_HOURLY_RATE-FIXED_SEASON_COST)</f>
        <v>33781.5142724578</v>
      </c>
      <c r="AB229" s="53" t="n">
        <f aca="false">IF(OR($A229&gt;TOMATO_BED_CAP,$B229&gt;CARROT_BED_CAP,AB$4&gt;MESCLUN_BED_CAP,$A229+$B229+AB$4&gt;TOTAL_BEDS_AVAILABLE,($D229+AB$5)&gt;TOTAL_LABOR_HOURS_CAP,MAX(0,($D229+AB$5)-PERMANENT_FIELD_LABOR_HOURS)&gt;TEMP_HOURS_CAP),"",$C229+AB$6-MIN(($D229+AB$5),PERMANENT_FIELD_LABOR_HOURS)*PERMANENT_HOURLY_RATE-MAX(0,($D229+AB$5)-PERMANENT_FIELD_LABOR_HOURS)*TEMP_HOURLY_RATE-FIXED_SEASON_COST)</f>
        <v>34308.6048842604</v>
      </c>
      <c r="AC229" s="53" t="n">
        <f aca="false">IF(OR($A229&gt;TOMATO_BED_CAP,$B229&gt;CARROT_BED_CAP,AC$4&gt;MESCLUN_BED_CAP,$A229+$B229+AC$4&gt;TOTAL_BEDS_AVAILABLE,($D229+AC$5)&gt;TOTAL_LABOR_HOURS_CAP,MAX(0,($D229+AC$5)-PERMANENT_FIELD_LABOR_HOURS)&gt;TEMP_HOURS_CAP),"",$C229+AC$6-MIN(($D229+AC$5),PERMANENT_FIELD_LABOR_HOURS)*PERMANENT_HOURLY_RATE-MAX(0,($D229+AC$5)-PERMANENT_FIELD_LABOR_HOURS)*TEMP_HOURLY_RATE-FIXED_SEASON_COST)</f>
        <v>34806.7001016953</v>
      </c>
      <c r="AD229" s="53" t="n">
        <f aca="false">IF(OR($A229&gt;TOMATO_BED_CAP,$B229&gt;CARROT_BED_CAP,AD$4&gt;MESCLUN_BED_CAP,$A229+$B229+AD$4&gt;TOTAL_BEDS_AVAILABLE,($D229+AD$5)&gt;TOTAL_LABOR_HOURS_CAP,MAX(0,($D229+AD$5)-PERMANENT_FIELD_LABOR_HOURS)&gt;TEMP_HOURS_CAP),"",$C229+AD$6-MIN(($D229+AD$5),PERMANENT_FIELD_LABOR_HOURS)*PERMANENT_HOURLY_RATE-MAX(0,($D229+AD$5)-PERMANENT_FIELD_LABOR_HOURS)*TEMP_HOURLY_RATE-FIXED_SEASON_COST)</f>
        <v>35275.2770569952</v>
      </c>
      <c r="AE229" s="53" t="n">
        <f aca="false">IF(OR($A229&gt;TOMATO_BED_CAP,$B229&gt;CARROT_BED_CAP,AE$4&gt;MESCLUN_BED_CAP,$A229+$B229+AE$4&gt;TOTAL_BEDS_AVAILABLE,($D229+AE$5)&gt;TOTAL_LABOR_HOURS_CAP,MAX(0,($D229+AE$5)-PERMANENT_FIELD_LABOR_HOURS)&gt;TEMP_HOURS_CAP),"",$C229+AE$6-MIN(($D229+AE$5),PERMANENT_FIELD_LABOR_HOURS)*PERMANENT_HOURLY_RATE-MAX(0,($D229+AE$5)-PERMANENT_FIELD_LABOR_HOURS)*TEMP_HOURLY_RATE-FIXED_SEASON_COST)</f>
        <v>35713.8043412291</v>
      </c>
      <c r="AF229" s="53" t="n">
        <f aca="false">IF(OR($A229&gt;TOMATO_BED_CAP,$B229&gt;CARROT_BED_CAP,AF$4&gt;MESCLUN_BED_CAP,$A229+$B229+AF$4&gt;TOTAL_BEDS_AVAILABLE,($D229+AF$5)&gt;TOTAL_LABOR_HOURS_CAP,MAX(0,($D229+AF$5)-PERMANENT_FIELD_LABOR_HOURS)&gt;TEMP_HOURS_CAP),"",$C229+AF$6-MIN(($D229+AF$5),PERMANENT_FIELD_LABOR_HOURS)*PERMANENT_HOURLY_RATE-MAX(0,($D229+AF$5)-PERMANENT_FIELD_LABOR_HOURS)*TEMP_HOURLY_RATE-FIXED_SEASON_COST)</f>
        <v>36121.7418724711</v>
      </c>
      <c r="AG229" s="53" t="n">
        <f aca="false">IF(OR($A229&gt;TOMATO_BED_CAP,$B229&gt;CARROT_BED_CAP,AG$4&gt;MESCLUN_BED_CAP,$A229+$B229+AG$4&gt;TOTAL_BEDS_AVAILABLE,($D229+AG$5)&gt;TOTAL_LABOR_HOURS_CAP,MAX(0,($D229+AG$5)-PERMANENT_FIELD_LABOR_HOURS)&gt;TEMP_HOURS_CAP),"",$C229+AG$6-MIN(($D229+AG$5),PERMANENT_FIELD_LABOR_HOURS)*PERMANENT_HOURLY_RATE-MAX(0,($D229+AG$5)-PERMANENT_FIELD_LABOR_HOURS)*TEMP_HOURLY_RATE-FIXED_SEASON_COST)</f>
        <v>36498.5407620081</v>
      </c>
      <c r="AH229" s="53" t="n">
        <f aca="false">IF(OR($A229&gt;TOMATO_BED_CAP,$B229&gt;CARROT_BED_CAP,AH$4&gt;MESCLUN_BED_CAP,$A229+$B229+AH$4&gt;TOTAL_BEDS_AVAILABLE,($D229+AH$5)&gt;TOTAL_LABOR_HOURS_CAP,MAX(0,($D229+AH$5)-PERMANENT_FIELD_LABOR_HOURS)&gt;TEMP_HOURS_CAP),"",$C229+AH$6-MIN(($D229+AH$5),PERMANENT_FIELD_LABOR_HOURS)*PERMANENT_HOURLY_RATE-MAX(0,($D229+AH$5)-PERMANENT_FIELD_LABOR_HOURS)*TEMP_HOURLY_RATE-FIXED_SEASON_COST)</f>
        <v>36843.6431785583</v>
      </c>
      <c r="AI229" s="53" t="n">
        <f aca="false">IF(OR($A229&gt;TOMATO_BED_CAP,$B229&gt;CARROT_BED_CAP,AI$4&gt;MESCLUN_BED_CAP,$A229+$B229+AI$4&gt;TOTAL_BEDS_AVAILABLE,($D229+AI$5)&gt;TOTAL_LABOR_HOURS_CAP,MAX(0,($D229+AI$5)-PERMANENT_FIELD_LABOR_HOURS)&gt;TEMP_HOURS_CAP),"",$C229+AI$6-MIN(($D229+AI$5),PERMANENT_FIELD_LABOR_HOURS)*PERMANENT_HOURLY_RATE-MAX(0,($D229+AI$5)-PERMANENT_FIELD_LABOR_HOURS)*TEMP_HOURLY_RATE-FIXED_SEASON_COST)</f>
        <v>37156.4822104706</v>
      </c>
      <c r="AJ229" s="53" t="n">
        <f aca="false">IF(OR($A229&gt;TOMATO_BED_CAP,$B229&gt;CARROT_BED_CAP,AJ$4&gt;MESCLUN_BED_CAP,$A229+$B229+AJ$4&gt;TOTAL_BEDS_AVAILABLE,($D229+AJ$5)&gt;TOTAL_LABOR_HOURS_CAP,MAX(0,($D229+AJ$5)-PERMANENT_FIELD_LABOR_HOURS)&gt;TEMP_HOURS_CAP),"",$C229+AJ$6-MIN(($D229+AJ$5),PERMANENT_FIELD_LABOR_HOURS)*PERMANENT_HOURLY_RATE-MAX(0,($D229+AJ$5)-PERMANENT_FIELD_LABOR_HOURS)*TEMP_HOURLY_RATE-FIXED_SEASON_COST)</f>
        <v>37436.4817258763</v>
      </c>
    </row>
    <row r="230" customFormat="false" ht="15" hidden="false" customHeight="false" outlineLevel="0" collapsed="false">
      <c r="A230" s="21" t="n">
        <f aca="false">INT((ROW()-ROW($A$8))/(20+1))</f>
        <v>10</v>
      </c>
      <c r="B230" s="21" t="n">
        <f aca="false">MOD(ROW()-ROW($A$8),20+1)</f>
        <v>12</v>
      </c>
      <c r="C230" s="13" t="n">
        <f aca="false">A230*(TOMATO_REVENUE_PER_BED-TOMATO_FERTILIZER_PER_BED)+B230*(CARROT_REVENUE_PER_BED-CARROT_FERTILIZER_PER_BED)</f>
        <v>99048</v>
      </c>
      <c r="D230" s="14" t="n">
        <f aca="false">INDEX(TOMATO_SCHED_LABOR_HRS,A230+1)+INDEX(CARROT_SCHED_LABOR_HRS,B230+1)</f>
        <v>2818.33452682798</v>
      </c>
      <c r="E230" s="13" t="n">
        <f aca="false">IF(COUNT(F230:AJ230)=0,"",MAX(F230:AJ230))</f>
        <v>38202.5019091389</v>
      </c>
      <c r="F230" s="53" t="n">
        <f aca="false">IF(OR($A230&gt;TOMATO_BED_CAP,$B230&gt;CARROT_BED_CAP,F$4&gt;MESCLUN_BED_CAP,$A230+$B230+F$4&gt;TOTAL_BEDS_AVAILABLE,($D230+F$5)&gt;TOTAL_LABOR_HOURS_CAP,MAX(0,($D230+F$5)-PERMANENT_FIELD_LABOR_HOURS)&gt;TEMP_HOURS_CAP),"",$C230+F$6-MIN(($D230+F$5),PERMANENT_FIELD_LABOR_HOURS)*PERMANENT_HOURLY_RATE-MAX(0,($D230+F$5)-PERMANENT_FIELD_LABOR_HOURS)*TEMP_HOURLY_RATE-FIXED_SEASON_COST)</f>
        <v>17622.5126142663</v>
      </c>
      <c r="G230" s="53" t="n">
        <f aca="false">IF(OR($A230&gt;TOMATO_BED_CAP,$B230&gt;CARROT_BED_CAP,G$4&gt;MESCLUN_BED_CAP,$A230+$B230+G$4&gt;TOTAL_BEDS_AVAILABLE,($D230+G$5)&gt;TOTAL_LABOR_HOURS_CAP,MAX(0,($D230+G$5)-PERMANENT_FIELD_LABOR_HOURS)&gt;TEMP_HOURS_CAP),"",$C230+G$6-MIN(($D230+G$5),PERMANENT_FIELD_LABOR_HOURS)*PERMANENT_HOURLY_RATE-MAX(0,($D230+G$5)-PERMANENT_FIELD_LABOR_HOURS)*TEMP_HOURLY_RATE-FIXED_SEASON_COST)</f>
        <v>18651.5476142663</v>
      </c>
      <c r="H230" s="53" t="n">
        <f aca="false">IF(OR($A230&gt;TOMATO_BED_CAP,$B230&gt;CARROT_BED_CAP,H$4&gt;MESCLUN_BED_CAP,$A230+$B230+H$4&gt;TOTAL_BEDS_AVAILABLE,($D230+H$5)&gt;TOTAL_LABOR_HOURS_CAP,MAX(0,($D230+H$5)-PERMANENT_FIELD_LABOR_HOURS)&gt;TEMP_HOURS_CAP),"",$C230+H$6-MIN(($D230+H$5),PERMANENT_FIELD_LABOR_HOURS)*PERMANENT_HOURLY_RATE-MAX(0,($D230+H$5)-PERMANENT_FIELD_LABOR_HOURS)*TEMP_HOURLY_RATE-FIXED_SEASON_COST)</f>
        <v>19660.8084892663</v>
      </c>
      <c r="I230" s="53" t="n">
        <f aca="false">IF(OR($A230&gt;TOMATO_BED_CAP,$B230&gt;CARROT_BED_CAP,I$4&gt;MESCLUN_BED_CAP,$A230+$B230+I$4&gt;TOTAL_BEDS_AVAILABLE,($D230+I$5)&gt;TOTAL_LABOR_HOURS_CAP,MAX(0,($D230+I$5)-PERMANENT_FIELD_LABOR_HOURS)&gt;TEMP_HOURS_CAP),"",$C230+I$6-MIN(($D230+I$5),PERMANENT_FIELD_LABOR_HOURS)*PERMANENT_HOURLY_RATE-MAX(0,($D230+I$5)-PERMANENT_FIELD_LABOR_HOURS)*TEMP_HOURLY_RATE-FIXED_SEASON_COST)</f>
        <v>20649.9244744226</v>
      </c>
      <c r="J230" s="53" t="n">
        <f aca="false">IF(OR($A230&gt;TOMATO_BED_CAP,$B230&gt;CARROT_BED_CAP,J$4&gt;MESCLUN_BED_CAP,$A230+$B230+J$4&gt;TOTAL_BEDS_AVAILABLE,($D230+J$5)&gt;TOTAL_LABOR_HOURS_CAP,MAX(0,($D230+J$5)-PERMANENT_FIELD_LABOR_HOURS)&gt;TEMP_HOURS_CAP),"",$C230+J$6-MIN(($D230+J$5),PERMANENT_FIELD_LABOR_HOURS)*PERMANENT_HOURLY_RATE-MAX(0,($D230+J$5)-PERMANENT_FIELD_LABOR_HOURS)*TEMP_HOURLY_RATE-FIXED_SEASON_COST)</f>
        <v>21618.5186254773</v>
      </c>
      <c r="K230" s="53" t="n">
        <f aca="false">IF(OR($A230&gt;TOMATO_BED_CAP,$B230&gt;CARROT_BED_CAP,K$4&gt;MESCLUN_BED_CAP,$A230+$B230+K$4&gt;TOTAL_BEDS_AVAILABLE,($D230+K$5)&gt;TOTAL_LABOR_HOURS_CAP,MAX(0,($D230+K$5)-PERMANENT_FIELD_LABOR_HOURS)&gt;TEMP_HOURS_CAP),"",$C230+K$6-MIN(($D230+K$5),PERMANENT_FIELD_LABOR_HOURS)*PERMANENT_HOURLY_RATE-MAX(0,($D230+K$5)-PERMANENT_FIELD_LABOR_HOURS)*TEMP_HOURLY_RATE-FIXED_SEASON_COST)</f>
        <v>22566.2077222052</v>
      </c>
      <c r="L230" s="53" t="n">
        <f aca="false">IF(OR($A230&gt;TOMATO_BED_CAP,$B230&gt;CARROT_BED_CAP,L$4&gt;MESCLUN_BED_CAP,$A230+$B230+L$4&gt;TOTAL_BEDS_AVAILABLE,($D230+L$5)&gt;TOTAL_LABOR_HOURS_CAP,MAX(0,($D230+L$5)-PERMANENT_FIELD_LABOR_HOURS)&gt;TEMP_HOURS_CAP),"",$C230+L$6-MIN(($D230+L$5),PERMANENT_FIELD_LABOR_HOURS)*PERMANENT_HOURLY_RATE-MAX(0,($D230+L$5)-PERMANENT_FIELD_LABOR_HOURS)*TEMP_HOURLY_RATE-FIXED_SEASON_COST)</f>
        <v>23492.602170412</v>
      </c>
      <c r="M230" s="53" t="n">
        <f aca="false">IF(OR($A230&gt;TOMATO_BED_CAP,$B230&gt;CARROT_BED_CAP,M$4&gt;MESCLUN_BED_CAP,$A230+$B230+M$4&gt;TOTAL_BEDS_AVAILABLE,($D230+M$5)&gt;TOTAL_LABOR_HOURS_CAP,MAX(0,($D230+M$5)-PERMANENT_FIELD_LABOR_HOURS)&gt;TEMP_HOURS_CAP),"",$C230+M$6-MIN(($D230+M$5),PERMANENT_FIELD_LABOR_HOURS)*PERMANENT_HOURLY_RATE-MAX(0,($D230+M$5)-PERMANENT_FIELD_LABOR_HOURS)*TEMP_HOURLY_RATE-FIXED_SEASON_COST)</f>
        <v>24397.3059024634</v>
      </c>
      <c r="N230" s="53" t="n">
        <f aca="false">IF(OR($A230&gt;TOMATO_BED_CAP,$B230&gt;CARROT_BED_CAP,N$4&gt;MESCLUN_BED_CAP,$A230+$B230+N$4&gt;TOTAL_BEDS_AVAILABLE,($D230+N$5)&gt;TOTAL_LABOR_HOURS_CAP,MAX(0,($D230+N$5)-PERMANENT_FIELD_LABOR_HOURS)&gt;TEMP_HOURS_CAP),"",$C230+N$6-MIN(($D230+N$5),PERMANENT_FIELD_LABOR_HOURS)*PERMANENT_HOURLY_RATE-MAX(0,($D230+N$5)-PERMANENT_FIELD_LABOR_HOURS)*TEMP_HOURLY_RATE-FIXED_SEASON_COST)</f>
        <v>25279.916276323</v>
      </c>
      <c r="O230" s="53" t="n">
        <f aca="false">IF(OR($A230&gt;TOMATO_BED_CAP,$B230&gt;CARROT_BED_CAP,O$4&gt;MESCLUN_BED_CAP,$A230+$B230+O$4&gt;TOTAL_BEDS_AVAILABLE,($D230+O$5)&gt;TOTAL_LABOR_HOURS_CAP,MAX(0,($D230+O$5)-PERMANENT_FIELD_LABOR_HOURS)&gt;TEMP_HOURS_CAP),"",$C230+O$6-MIN(($D230+O$5),PERMANENT_FIELD_LABOR_HOURS)*PERMANENT_HOURLY_RATE-MAX(0,($D230+O$5)-PERMANENT_FIELD_LABOR_HOURS)*TEMP_HOURLY_RATE-FIXED_SEASON_COST)</f>
        <v>26140.0239730777</v>
      </c>
      <c r="P230" s="53" t="n">
        <f aca="false">IF(OR($A230&gt;TOMATO_BED_CAP,$B230&gt;CARROT_BED_CAP,P$4&gt;MESCLUN_BED_CAP,$A230+$B230+P$4&gt;TOTAL_BEDS_AVAILABLE,($D230+P$5)&gt;TOTAL_LABOR_HOURS_CAP,MAX(0,($D230+P$5)-PERMANENT_FIELD_LABOR_HOURS)&gt;TEMP_HOURS_CAP),"",$C230+P$6-MIN(($D230+P$5),PERMANENT_FIELD_LABOR_HOURS)*PERMANENT_HOURLY_RATE-MAX(0,($D230+P$5)-PERMANENT_FIELD_LABOR_HOURS)*TEMP_HOURLY_RATE-FIXED_SEASON_COST)</f>
        <v>26977.2128929292</v>
      </c>
      <c r="Q230" s="53" t="n">
        <f aca="false">IF(OR($A230&gt;TOMATO_BED_CAP,$B230&gt;CARROT_BED_CAP,Q$4&gt;MESCLUN_BED_CAP,$A230+$B230+Q$4&gt;TOTAL_BEDS_AVAILABLE,($D230+Q$5)&gt;TOTAL_LABOR_HOURS_CAP,MAX(0,($D230+Q$5)-PERMANENT_FIELD_LABOR_HOURS)&gt;TEMP_HOURS_CAP),"",$C230+Q$6-MIN(($D230+Q$5),PERMANENT_FIELD_LABOR_HOURS)*PERMANENT_HOURLY_RATE-MAX(0,($D230+Q$5)-PERMANENT_FIELD_LABOR_HOURS)*TEMP_HOURLY_RATE-FIXED_SEASON_COST)</f>
        <v>27791.060049627</v>
      </c>
      <c r="R230" s="53" t="n">
        <f aca="false">IF(OR($A230&gt;TOMATO_BED_CAP,$B230&gt;CARROT_BED_CAP,R$4&gt;MESCLUN_BED_CAP,$A230+$B230+R$4&gt;TOTAL_BEDS_AVAILABLE,($D230+R$5)&gt;TOTAL_LABOR_HOURS_CAP,MAX(0,($D230+R$5)-PERMANENT_FIELD_LABOR_HOURS)&gt;TEMP_HOURS_CAP),"",$C230+R$6-MIN(($D230+R$5),PERMANENT_FIELD_LABOR_HOURS)*PERMANENT_HOURLY_RATE-MAX(0,($D230+R$5)-PERMANENT_FIELD_LABOR_HOURS)*TEMP_HOURLY_RATE-FIXED_SEASON_COST)</f>
        <v>28581.1354633239</v>
      </c>
      <c r="S230" s="53" t="n">
        <f aca="false">IF(OR($A230&gt;TOMATO_BED_CAP,$B230&gt;CARROT_BED_CAP,S$4&gt;MESCLUN_BED_CAP,$A230+$B230+S$4&gt;TOTAL_BEDS_AVAILABLE,($D230+S$5)&gt;TOTAL_LABOR_HOURS_CAP,MAX(0,($D230+S$5)-PERMANENT_FIELD_LABOR_HOURS)&gt;TEMP_HOURS_CAP),"",$C230+S$6-MIN(($D230+S$5),PERMANENT_FIELD_LABOR_HOURS)*PERMANENT_HOURLY_RATE-MAX(0,($D230+S$5)-PERMANENT_FIELD_LABOR_HOURS)*TEMP_HOURLY_RATE-FIXED_SEASON_COST)</f>
        <v>29347.0020518263</v>
      </c>
      <c r="T230" s="53" t="n">
        <f aca="false">IF(OR($A230&gt;TOMATO_BED_CAP,$B230&gt;CARROT_BED_CAP,T$4&gt;MESCLUN_BED_CAP,$A230+$B230+T$4&gt;TOTAL_BEDS_AVAILABLE,($D230+T$5)&gt;TOTAL_LABOR_HOURS_CAP,MAX(0,($D230+T$5)-PERMANENT_FIELD_LABOR_HOURS)&gt;TEMP_HOURS_CAP),"",$C230+T$6-MIN(($D230+T$5),PERMANENT_FIELD_LABOR_HOURS)*PERMANENT_HOURLY_RATE-MAX(0,($D230+T$5)-PERMANENT_FIELD_LABOR_HOURS)*TEMP_HOURLY_RATE-FIXED_SEASON_COST)</f>
        <v>30088.2155202211</v>
      </c>
      <c r="U230" s="53" t="n">
        <f aca="false">IF(OR($A230&gt;TOMATO_BED_CAP,$B230&gt;CARROT_BED_CAP,U$4&gt;MESCLUN_BED_CAP,$A230+$B230+U$4&gt;TOTAL_BEDS_AVAILABLE,($D230+U$5)&gt;TOTAL_LABOR_HOURS_CAP,MAX(0,($D230+U$5)-PERMANENT_FIELD_LABOR_HOURS)&gt;TEMP_HOURS_CAP),"",$C230+U$6-MIN(($D230+U$5),PERMANENT_FIELD_LABOR_HOURS)*PERMANENT_HOURLY_RATE-MAX(0,($D230+U$5)-PERMANENT_FIELD_LABOR_HOURS)*TEMP_HOURLY_RATE-FIXED_SEASON_COST)</f>
        <v>30804.3242488512</v>
      </c>
      <c r="V230" s="53" t="n">
        <f aca="false">IF(OR($A230&gt;TOMATO_BED_CAP,$B230&gt;CARROT_BED_CAP,V$4&gt;MESCLUN_BED_CAP,$A230+$B230+V$4&gt;TOTAL_BEDS_AVAILABLE,($D230+V$5)&gt;TOTAL_LABOR_HOURS_CAP,MAX(0,($D230+V$5)-PERMANENT_FIELD_LABOR_HOURS)&gt;TEMP_HOURS_CAP),"",$C230+V$6-MIN(($D230+V$5),PERMANENT_FIELD_LABOR_HOURS)*PERMANENT_HOURLY_RATE-MAX(0,($D230+V$5)-PERMANENT_FIELD_LABOR_HOURS)*TEMP_HOURLY_RATE-FIXED_SEASON_COST)</f>
        <v>31494.869179618</v>
      </c>
      <c r="W230" s="53" t="n">
        <f aca="false">IF(OR($A230&gt;TOMATO_BED_CAP,$B230&gt;CARROT_BED_CAP,W$4&gt;MESCLUN_BED_CAP,$A230+$B230+W$4&gt;TOTAL_BEDS_AVAILABLE,($D230+W$5)&gt;TOTAL_LABOR_HOURS_CAP,MAX(0,($D230+W$5)-PERMANENT_FIELD_LABOR_HOURS)&gt;TEMP_HOURS_CAP),"",$C230+W$6-MIN(($D230+W$5),PERMANENT_FIELD_LABOR_HOURS)*PERMANENT_HOURLY_RATE-MAX(0,($D230+W$5)-PERMANENT_FIELD_LABOR_HOURS)*TEMP_HOURLY_RATE-FIXED_SEASON_COST)</f>
        <v>32159.3837005861</v>
      </c>
      <c r="X230" s="53" t="n">
        <f aca="false">IF(OR($A230&gt;TOMATO_BED_CAP,$B230&gt;CARROT_BED_CAP,X$4&gt;MESCLUN_BED_CAP,$A230+$B230+X$4&gt;TOTAL_BEDS_AVAILABLE,($D230+X$5)&gt;TOTAL_LABOR_HOURS_CAP,MAX(0,($D230+X$5)-PERMANENT_FIELD_LABOR_HOURS)&gt;TEMP_HOURS_CAP),"",$C230+X$6-MIN(($D230+X$5),PERMANENT_FIELD_LABOR_HOURS)*PERMANENT_HOURLY_RATE-MAX(0,($D230+X$5)-PERMANENT_FIELD_LABOR_HOURS)*TEMP_HOURLY_RATE-FIXED_SEASON_COST)</f>
        <v>32797.393528865</v>
      </c>
      <c r="Y230" s="53" t="n">
        <f aca="false">IF(OR($A230&gt;TOMATO_BED_CAP,$B230&gt;CARROT_BED_CAP,Y$4&gt;MESCLUN_BED_CAP,$A230+$B230+Y$4&gt;TOTAL_BEDS_AVAILABLE,($D230+Y$5)&gt;TOTAL_LABOR_HOURS_CAP,MAX(0,($D230+Y$5)-PERMANENT_FIELD_LABOR_HOURS)&gt;TEMP_HOURS_CAP),"",$C230+Y$6-MIN(($D230+Y$5),PERMANENT_FIELD_LABOR_HOURS)*PERMANENT_HOURLY_RATE-MAX(0,($D230+Y$5)-PERMANENT_FIELD_LABOR_HOURS)*TEMP_HOURLY_RATE-FIXED_SEASON_COST)</f>
        <v>33408.4165917437</v>
      </c>
      <c r="Z230" s="53" t="n">
        <f aca="false">IF(OR($A230&gt;TOMATO_BED_CAP,$B230&gt;CARROT_BED_CAP,Z$4&gt;MESCLUN_BED_CAP,$A230+$B230+Z$4&gt;TOTAL_BEDS_AVAILABLE,($D230+Z$5)&gt;TOTAL_LABOR_HOURS_CAP,MAX(0,($D230+Z$5)-PERMANENT_FIELD_LABOR_HOURS)&gt;TEMP_HOURS_CAP),"",$C230+Z$6-MIN(($D230+Z$5),PERMANENT_FIELD_LABOR_HOURS)*PERMANENT_HOURLY_RATE-MAX(0,($D230+Z$5)-PERMANENT_FIELD_LABOR_HOURS)*TEMP_HOURLY_RATE-FIXED_SEASON_COST)</f>
        <v>33991.9629060514</v>
      </c>
      <c r="AA230" s="53" t="n">
        <f aca="false">IF(OR($A230&gt;TOMATO_BED_CAP,$B230&gt;CARROT_BED_CAP,AA$4&gt;MESCLUN_BED_CAP,$A230+$B230+AA$4&gt;TOTAL_BEDS_AVAILABLE,($D230+AA$5)&gt;TOTAL_LABOR_HOURS_CAP,MAX(0,($D230+AA$5)-PERMANENT_FIELD_LABOR_HOURS)&gt;TEMP_HOURS_CAP),"",$C230+AA$6-MIN(($D230+AA$5),PERMANENT_FIELD_LABOR_HOURS)*PERMANENT_HOURLY_RATE-MAX(0,($D230+AA$5)-PERMANENT_FIELD_LABOR_HOURS)*TEMP_HOURLY_RATE-FIXED_SEASON_COST)</f>
        <v>34547.5344557203</v>
      </c>
      <c r="AB230" s="53" t="n">
        <f aca="false">IF(OR($A230&gt;TOMATO_BED_CAP,$B230&gt;CARROT_BED_CAP,AB$4&gt;MESCLUN_BED_CAP,$A230+$B230+AB$4&gt;TOTAL_BEDS_AVAILABLE,($D230+AB$5)&gt;TOTAL_LABOR_HOURS_CAP,MAX(0,($D230+AB$5)-PERMANENT_FIELD_LABOR_HOURS)&gt;TEMP_HOURS_CAP),"",$C230+AB$6-MIN(($D230+AB$5),PERMANENT_FIELD_LABOR_HOURS)*PERMANENT_HOURLY_RATE-MAX(0,($D230+AB$5)-PERMANENT_FIELD_LABOR_HOURS)*TEMP_HOURLY_RATE-FIXED_SEASON_COST)</f>
        <v>35074.6250675229</v>
      </c>
      <c r="AC230" s="53" t="n">
        <f aca="false">IF(OR($A230&gt;TOMATO_BED_CAP,$B230&gt;CARROT_BED_CAP,AC$4&gt;MESCLUN_BED_CAP,$A230+$B230+AC$4&gt;TOTAL_BEDS_AVAILABLE,($D230+AC$5)&gt;TOTAL_LABOR_HOURS_CAP,MAX(0,($D230+AC$5)-PERMANENT_FIELD_LABOR_HOURS)&gt;TEMP_HOURS_CAP),"",$C230+AC$6-MIN(($D230+AC$5),PERMANENT_FIELD_LABOR_HOURS)*PERMANENT_HOURLY_RATE-MAX(0,($D230+AC$5)-PERMANENT_FIELD_LABOR_HOURS)*TEMP_HOURLY_RATE-FIXED_SEASON_COST)</f>
        <v>35572.7202849578</v>
      </c>
      <c r="AD230" s="53" t="n">
        <f aca="false">IF(OR($A230&gt;TOMATO_BED_CAP,$B230&gt;CARROT_BED_CAP,AD$4&gt;MESCLUN_BED_CAP,$A230+$B230+AD$4&gt;TOTAL_BEDS_AVAILABLE,($D230+AD$5)&gt;TOTAL_LABOR_HOURS_CAP,MAX(0,($D230+AD$5)-PERMANENT_FIELD_LABOR_HOURS)&gt;TEMP_HOURS_CAP),"",$C230+AD$6-MIN(($D230+AD$5),PERMANENT_FIELD_LABOR_HOURS)*PERMANENT_HOURLY_RATE-MAX(0,($D230+AD$5)-PERMANENT_FIELD_LABOR_HOURS)*TEMP_HOURLY_RATE-FIXED_SEASON_COST)</f>
        <v>36041.2972402578</v>
      </c>
      <c r="AE230" s="53" t="n">
        <f aca="false">IF(OR($A230&gt;TOMATO_BED_CAP,$B230&gt;CARROT_BED_CAP,AE$4&gt;MESCLUN_BED_CAP,$A230+$B230+AE$4&gt;TOTAL_BEDS_AVAILABLE,($D230+AE$5)&gt;TOTAL_LABOR_HOURS_CAP,MAX(0,($D230+AE$5)-PERMANENT_FIELD_LABOR_HOURS)&gt;TEMP_HOURS_CAP),"",$C230+AE$6-MIN(($D230+AE$5),PERMANENT_FIELD_LABOR_HOURS)*PERMANENT_HOURLY_RATE-MAX(0,($D230+AE$5)-PERMANENT_FIELD_LABOR_HOURS)*TEMP_HOURLY_RATE-FIXED_SEASON_COST)</f>
        <v>36479.8245244917</v>
      </c>
      <c r="AF230" s="53" t="n">
        <f aca="false">IF(OR($A230&gt;TOMATO_BED_CAP,$B230&gt;CARROT_BED_CAP,AF$4&gt;MESCLUN_BED_CAP,$A230+$B230+AF$4&gt;TOTAL_BEDS_AVAILABLE,($D230+AF$5)&gt;TOTAL_LABOR_HOURS_CAP,MAX(0,($D230+AF$5)-PERMANENT_FIELD_LABOR_HOURS)&gt;TEMP_HOURS_CAP),"",$C230+AF$6-MIN(($D230+AF$5),PERMANENT_FIELD_LABOR_HOURS)*PERMANENT_HOURLY_RATE-MAX(0,($D230+AF$5)-PERMANENT_FIELD_LABOR_HOURS)*TEMP_HOURLY_RATE-FIXED_SEASON_COST)</f>
        <v>36887.7620557336</v>
      </c>
      <c r="AG230" s="53" t="n">
        <f aca="false">IF(OR($A230&gt;TOMATO_BED_CAP,$B230&gt;CARROT_BED_CAP,AG$4&gt;MESCLUN_BED_CAP,$A230+$B230+AG$4&gt;TOTAL_BEDS_AVAILABLE,($D230+AG$5)&gt;TOTAL_LABOR_HOURS_CAP,MAX(0,($D230+AG$5)-PERMANENT_FIELD_LABOR_HOURS)&gt;TEMP_HOURS_CAP),"",$C230+AG$6-MIN(($D230+AG$5),PERMANENT_FIELD_LABOR_HOURS)*PERMANENT_HOURLY_RATE-MAX(0,($D230+AG$5)-PERMANENT_FIELD_LABOR_HOURS)*TEMP_HOURLY_RATE-FIXED_SEASON_COST)</f>
        <v>37264.5609452706</v>
      </c>
      <c r="AH230" s="53" t="n">
        <f aca="false">IF(OR($A230&gt;TOMATO_BED_CAP,$B230&gt;CARROT_BED_CAP,AH$4&gt;MESCLUN_BED_CAP,$A230+$B230+AH$4&gt;TOTAL_BEDS_AVAILABLE,($D230+AH$5)&gt;TOTAL_LABOR_HOURS_CAP,MAX(0,($D230+AH$5)-PERMANENT_FIELD_LABOR_HOURS)&gt;TEMP_HOURS_CAP),"",$C230+AH$6-MIN(($D230+AH$5),PERMANENT_FIELD_LABOR_HOURS)*PERMANENT_HOURLY_RATE-MAX(0,($D230+AH$5)-PERMANENT_FIELD_LABOR_HOURS)*TEMP_HOURLY_RATE-FIXED_SEASON_COST)</f>
        <v>37609.6633618208</v>
      </c>
      <c r="AI230" s="53" t="n">
        <f aca="false">IF(OR($A230&gt;TOMATO_BED_CAP,$B230&gt;CARROT_BED_CAP,AI$4&gt;MESCLUN_BED_CAP,$A230+$B230+AI$4&gt;TOTAL_BEDS_AVAILABLE,($D230+AI$5)&gt;TOTAL_LABOR_HOURS_CAP,MAX(0,($D230+AI$5)-PERMANENT_FIELD_LABOR_HOURS)&gt;TEMP_HOURS_CAP),"",$C230+AI$6-MIN(($D230+AI$5),PERMANENT_FIELD_LABOR_HOURS)*PERMANENT_HOURLY_RATE-MAX(0,($D230+AI$5)-PERMANENT_FIELD_LABOR_HOURS)*TEMP_HOURLY_RATE-FIXED_SEASON_COST)</f>
        <v>37922.5023937331</v>
      </c>
      <c r="AJ230" s="53" t="n">
        <f aca="false">IF(OR($A230&gt;TOMATO_BED_CAP,$B230&gt;CARROT_BED_CAP,AJ$4&gt;MESCLUN_BED_CAP,$A230+$B230+AJ$4&gt;TOTAL_BEDS_AVAILABLE,($D230+AJ$5)&gt;TOTAL_LABOR_HOURS_CAP,MAX(0,($D230+AJ$5)-PERMANENT_FIELD_LABOR_HOURS)&gt;TEMP_HOURS_CAP),"",$C230+AJ$6-MIN(($D230+AJ$5),PERMANENT_FIELD_LABOR_HOURS)*PERMANENT_HOURLY_RATE-MAX(0,($D230+AJ$5)-PERMANENT_FIELD_LABOR_HOURS)*TEMP_HOURLY_RATE-FIXED_SEASON_COST)</f>
        <v>38202.5019091389</v>
      </c>
    </row>
    <row r="231" customFormat="false" ht="15" hidden="false" customHeight="false" outlineLevel="0" collapsed="false">
      <c r="A231" s="21" t="n">
        <f aca="false">INT((ROW()-ROW($A$8))/(20+1))</f>
        <v>10</v>
      </c>
      <c r="B231" s="21" t="n">
        <f aca="false">MOD(ROW()-ROW($A$8),20+1)</f>
        <v>13</v>
      </c>
      <c r="C231" s="13" t="n">
        <f aca="false">A231*(TOMATO_REVENUE_PER_BED-TOMATO_FERTILIZER_PER_BED)+B231*(CARROT_REVENUE_PER_BED-CARROT_FERTILIZER_PER_BED)</f>
        <v>100702</v>
      </c>
      <c r="D231" s="14" t="n">
        <f aca="false">INDEX(TOMATO_SCHED_LABOR_HRS,A231+1)+INDEX(CARROT_SCHED_LABOR_HRS,B231+1)</f>
        <v>2871.77247385946</v>
      </c>
      <c r="E231" s="13" t="n">
        <f aca="false">IF(COUNT(F231:AJ231)=0,"",MAX(F231:AJ231))</f>
        <v>38928.8191486723</v>
      </c>
      <c r="F231" s="53" t="n">
        <f aca="false">IF(OR($A231&gt;TOMATO_BED_CAP,$B231&gt;CARROT_BED_CAP,F$4&gt;MESCLUN_BED_CAP,$A231+$B231+F$4&gt;TOTAL_BEDS_AVAILABLE,($D231+F$5)&gt;TOTAL_LABOR_HOURS_CAP,MAX(0,($D231+F$5)-PERMANENT_FIELD_LABOR_HOURS)&gt;TEMP_HOURS_CAP),"",$C231+F$6-MIN(($D231+F$5),PERMANENT_FIELD_LABOR_HOURS)*PERMANENT_HOURLY_RATE-MAX(0,($D231+F$5)-PERMANENT_FIELD_LABOR_HOURS)*TEMP_HOURLY_RATE-FIXED_SEASON_COST)</f>
        <v>18348.8298537997</v>
      </c>
      <c r="G231" s="53" t="n">
        <f aca="false">IF(OR($A231&gt;TOMATO_BED_CAP,$B231&gt;CARROT_BED_CAP,G$4&gt;MESCLUN_BED_CAP,$A231+$B231+G$4&gt;TOTAL_BEDS_AVAILABLE,($D231+G$5)&gt;TOTAL_LABOR_HOURS_CAP,MAX(0,($D231+G$5)-PERMANENT_FIELD_LABOR_HOURS)&gt;TEMP_HOURS_CAP),"",$C231+G$6-MIN(($D231+G$5),PERMANENT_FIELD_LABOR_HOURS)*PERMANENT_HOURLY_RATE-MAX(0,($D231+G$5)-PERMANENT_FIELD_LABOR_HOURS)*TEMP_HOURLY_RATE-FIXED_SEASON_COST)</f>
        <v>19377.8648537997</v>
      </c>
      <c r="H231" s="53" t="n">
        <f aca="false">IF(OR($A231&gt;TOMATO_BED_CAP,$B231&gt;CARROT_BED_CAP,H$4&gt;MESCLUN_BED_CAP,$A231+$B231+H$4&gt;TOTAL_BEDS_AVAILABLE,($D231+H$5)&gt;TOTAL_LABOR_HOURS_CAP,MAX(0,($D231+H$5)-PERMANENT_FIELD_LABOR_HOURS)&gt;TEMP_HOURS_CAP),"",$C231+H$6-MIN(($D231+H$5),PERMANENT_FIELD_LABOR_HOURS)*PERMANENT_HOURLY_RATE-MAX(0,($D231+H$5)-PERMANENT_FIELD_LABOR_HOURS)*TEMP_HOURLY_RATE-FIXED_SEASON_COST)</f>
        <v>20387.1257287998</v>
      </c>
      <c r="I231" s="53" t="n">
        <f aca="false">IF(OR($A231&gt;TOMATO_BED_CAP,$B231&gt;CARROT_BED_CAP,I$4&gt;MESCLUN_BED_CAP,$A231+$B231+I$4&gt;TOTAL_BEDS_AVAILABLE,($D231+I$5)&gt;TOTAL_LABOR_HOURS_CAP,MAX(0,($D231+I$5)-PERMANENT_FIELD_LABOR_HOURS)&gt;TEMP_HOURS_CAP),"",$C231+I$6-MIN(($D231+I$5),PERMANENT_FIELD_LABOR_HOURS)*PERMANENT_HOURLY_RATE-MAX(0,($D231+I$5)-PERMANENT_FIELD_LABOR_HOURS)*TEMP_HOURLY_RATE-FIXED_SEASON_COST)</f>
        <v>21376.241713956</v>
      </c>
      <c r="J231" s="53" t="n">
        <f aca="false">IF(OR($A231&gt;TOMATO_BED_CAP,$B231&gt;CARROT_BED_CAP,J$4&gt;MESCLUN_BED_CAP,$A231+$B231+J$4&gt;TOTAL_BEDS_AVAILABLE,($D231+J$5)&gt;TOTAL_LABOR_HOURS_CAP,MAX(0,($D231+J$5)-PERMANENT_FIELD_LABOR_HOURS)&gt;TEMP_HOURS_CAP),"",$C231+J$6-MIN(($D231+J$5),PERMANENT_FIELD_LABOR_HOURS)*PERMANENT_HOURLY_RATE-MAX(0,($D231+J$5)-PERMANENT_FIELD_LABOR_HOURS)*TEMP_HOURLY_RATE-FIXED_SEASON_COST)</f>
        <v>22344.8358650107</v>
      </c>
      <c r="K231" s="53" t="n">
        <f aca="false">IF(OR($A231&gt;TOMATO_BED_CAP,$B231&gt;CARROT_BED_CAP,K$4&gt;MESCLUN_BED_CAP,$A231+$B231+K$4&gt;TOTAL_BEDS_AVAILABLE,($D231+K$5)&gt;TOTAL_LABOR_HOURS_CAP,MAX(0,($D231+K$5)-PERMANENT_FIELD_LABOR_HOURS)&gt;TEMP_HOURS_CAP),"",$C231+K$6-MIN(($D231+K$5),PERMANENT_FIELD_LABOR_HOURS)*PERMANENT_HOURLY_RATE-MAX(0,($D231+K$5)-PERMANENT_FIELD_LABOR_HOURS)*TEMP_HOURLY_RATE-FIXED_SEASON_COST)</f>
        <v>23292.5249617386</v>
      </c>
      <c r="L231" s="53" t="n">
        <f aca="false">IF(OR($A231&gt;TOMATO_BED_CAP,$B231&gt;CARROT_BED_CAP,L$4&gt;MESCLUN_BED_CAP,$A231+$B231+L$4&gt;TOTAL_BEDS_AVAILABLE,($D231+L$5)&gt;TOTAL_LABOR_HOURS_CAP,MAX(0,($D231+L$5)-PERMANENT_FIELD_LABOR_HOURS)&gt;TEMP_HOURS_CAP),"",$C231+L$6-MIN(($D231+L$5),PERMANENT_FIELD_LABOR_HOURS)*PERMANENT_HOURLY_RATE-MAX(0,($D231+L$5)-PERMANENT_FIELD_LABOR_HOURS)*TEMP_HOURLY_RATE-FIXED_SEASON_COST)</f>
        <v>24218.9194099454</v>
      </c>
      <c r="M231" s="53" t="n">
        <f aca="false">IF(OR($A231&gt;TOMATO_BED_CAP,$B231&gt;CARROT_BED_CAP,M$4&gt;MESCLUN_BED_CAP,$A231+$B231+M$4&gt;TOTAL_BEDS_AVAILABLE,($D231+M$5)&gt;TOTAL_LABOR_HOURS_CAP,MAX(0,($D231+M$5)-PERMANENT_FIELD_LABOR_HOURS)&gt;TEMP_HOURS_CAP),"",$C231+M$6-MIN(($D231+M$5),PERMANENT_FIELD_LABOR_HOURS)*PERMANENT_HOURLY_RATE-MAX(0,($D231+M$5)-PERMANENT_FIELD_LABOR_HOURS)*TEMP_HOURLY_RATE-FIXED_SEASON_COST)</f>
        <v>25123.6231419969</v>
      </c>
      <c r="N231" s="53" t="n">
        <f aca="false">IF(OR($A231&gt;TOMATO_BED_CAP,$B231&gt;CARROT_BED_CAP,N$4&gt;MESCLUN_BED_CAP,$A231+$B231+N$4&gt;TOTAL_BEDS_AVAILABLE,($D231+N$5)&gt;TOTAL_LABOR_HOURS_CAP,MAX(0,($D231+N$5)-PERMANENT_FIELD_LABOR_HOURS)&gt;TEMP_HOURS_CAP),"",$C231+N$6-MIN(($D231+N$5),PERMANENT_FIELD_LABOR_HOURS)*PERMANENT_HOURLY_RATE-MAX(0,($D231+N$5)-PERMANENT_FIELD_LABOR_HOURS)*TEMP_HOURLY_RATE-FIXED_SEASON_COST)</f>
        <v>26006.2335158564</v>
      </c>
      <c r="O231" s="53" t="n">
        <f aca="false">IF(OR($A231&gt;TOMATO_BED_CAP,$B231&gt;CARROT_BED_CAP,O$4&gt;MESCLUN_BED_CAP,$A231+$B231+O$4&gt;TOTAL_BEDS_AVAILABLE,($D231+O$5)&gt;TOTAL_LABOR_HOURS_CAP,MAX(0,($D231+O$5)-PERMANENT_FIELD_LABOR_HOURS)&gt;TEMP_HOURS_CAP),"",$C231+O$6-MIN(($D231+O$5),PERMANENT_FIELD_LABOR_HOURS)*PERMANENT_HOURLY_RATE-MAX(0,($D231+O$5)-PERMANENT_FIELD_LABOR_HOURS)*TEMP_HOURLY_RATE-FIXED_SEASON_COST)</f>
        <v>26866.3412126112</v>
      </c>
      <c r="P231" s="53" t="n">
        <f aca="false">IF(OR($A231&gt;TOMATO_BED_CAP,$B231&gt;CARROT_BED_CAP,P$4&gt;MESCLUN_BED_CAP,$A231+$B231+P$4&gt;TOTAL_BEDS_AVAILABLE,($D231+P$5)&gt;TOTAL_LABOR_HOURS_CAP,MAX(0,($D231+P$5)-PERMANENT_FIELD_LABOR_HOURS)&gt;TEMP_HOURS_CAP),"",$C231+P$6-MIN(($D231+P$5),PERMANENT_FIELD_LABOR_HOURS)*PERMANENT_HOURLY_RATE-MAX(0,($D231+P$5)-PERMANENT_FIELD_LABOR_HOURS)*TEMP_HOURLY_RATE-FIXED_SEASON_COST)</f>
        <v>27703.5301324626</v>
      </c>
      <c r="Q231" s="53" t="n">
        <f aca="false">IF(OR($A231&gt;TOMATO_BED_CAP,$B231&gt;CARROT_BED_CAP,Q$4&gt;MESCLUN_BED_CAP,$A231+$B231+Q$4&gt;TOTAL_BEDS_AVAILABLE,($D231+Q$5)&gt;TOTAL_LABOR_HOURS_CAP,MAX(0,($D231+Q$5)-PERMANENT_FIELD_LABOR_HOURS)&gt;TEMP_HOURS_CAP),"",$C231+Q$6-MIN(($D231+Q$5),PERMANENT_FIELD_LABOR_HOURS)*PERMANENT_HOURLY_RATE-MAX(0,($D231+Q$5)-PERMANENT_FIELD_LABOR_HOURS)*TEMP_HOURLY_RATE-FIXED_SEASON_COST)</f>
        <v>28517.3772891605</v>
      </c>
      <c r="R231" s="53" t="n">
        <f aca="false">IF(OR($A231&gt;TOMATO_BED_CAP,$B231&gt;CARROT_BED_CAP,R$4&gt;MESCLUN_BED_CAP,$A231+$B231+R$4&gt;TOTAL_BEDS_AVAILABLE,($D231+R$5)&gt;TOTAL_LABOR_HOURS_CAP,MAX(0,($D231+R$5)-PERMANENT_FIELD_LABOR_HOURS)&gt;TEMP_HOURS_CAP),"",$C231+R$6-MIN(($D231+R$5),PERMANENT_FIELD_LABOR_HOURS)*PERMANENT_HOURLY_RATE-MAX(0,($D231+R$5)-PERMANENT_FIELD_LABOR_HOURS)*TEMP_HOURLY_RATE-FIXED_SEASON_COST)</f>
        <v>29307.4527028573</v>
      </c>
      <c r="S231" s="53" t="n">
        <f aca="false">IF(OR($A231&gt;TOMATO_BED_CAP,$B231&gt;CARROT_BED_CAP,S$4&gt;MESCLUN_BED_CAP,$A231+$B231+S$4&gt;TOTAL_BEDS_AVAILABLE,($D231+S$5)&gt;TOTAL_LABOR_HOURS_CAP,MAX(0,($D231+S$5)-PERMANENT_FIELD_LABOR_HOURS)&gt;TEMP_HOURS_CAP),"",$C231+S$6-MIN(($D231+S$5),PERMANENT_FIELD_LABOR_HOURS)*PERMANENT_HOURLY_RATE-MAX(0,($D231+S$5)-PERMANENT_FIELD_LABOR_HOURS)*TEMP_HOURLY_RATE-FIXED_SEASON_COST)</f>
        <v>30073.3192913597</v>
      </c>
      <c r="T231" s="53" t="n">
        <f aca="false">IF(OR($A231&gt;TOMATO_BED_CAP,$B231&gt;CARROT_BED_CAP,T$4&gt;MESCLUN_BED_CAP,$A231+$B231+T$4&gt;TOTAL_BEDS_AVAILABLE,($D231+T$5)&gt;TOTAL_LABOR_HOURS_CAP,MAX(0,($D231+T$5)-PERMANENT_FIELD_LABOR_HOURS)&gt;TEMP_HOURS_CAP),"",$C231+T$6-MIN(($D231+T$5),PERMANENT_FIELD_LABOR_HOURS)*PERMANENT_HOURLY_RATE-MAX(0,($D231+T$5)-PERMANENT_FIELD_LABOR_HOURS)*TEMP_HOURLY_RATE-FIXED_SEASON_COST)</f>
        <v>30814.5327597546</v>
      </c>
      <c r="U231" s="53" t="n">
        <f aca="false">IF(OR($A231&gt;TOMATO_BED_CAP,$B231&gt;CARROT_BED_CAP,U$4&gt;MESCLUN_BED_CAP,$A231+$B231+U$4&gt;TOTAL_BEDS_AVAILABLE,($D231+U$5)&gt;TOTAL_LABOR_HOURS_CAP,MAX(0,($D231+U$5)-PERMANENT_FIELD_LABOR_HOURS)&gt;TEMP_HOURS_CAP),"",$C231+U$6-MIN(($D231+U$5),PERMANENT_FIELD_LABOR_HOURS)*PERMANENT_HOURLY_RATE-MAX(0,($D231+U$5)-PERMANENT_FIELD_LABOR_HOURS)*TEMP_HOURLY_RATE-FIXED_SEASON_COST)</f>
        <v>31530.6414883847</v>
      </c>
      <c r="V231" s="53" t="n">
        <f aca="false">IF(OR($A231&gt;TOMATO_BED_CAP,$B231&gt;CARROT_BED_CAP,V$4&gt;MESCLUN_BED_CAP,$A231+$B231+V$4&gt;TOTAL_BEDS_AVAILABLE,($D231+V$5)&gt;TOTAL_LABOR_HOURS_CAP,MAX(0,($D231+V$5)-PERMANENT_FIELD_LABOR_HOURS)&gt;TEMP_HOURS_CAP),"",$C231+V$6-MIN(($D231+V$5),PERMANENT_FIELD_LABOR_HOURS)*PERMANENT_HOURLY_RATE-MAX(0,($D231+V$5)-PERMANENT_FIELD_LABOR_HOURS)*TEMP_HOURLY_RATE-FIXED_SEASON_COST)</f>
        <v>32221.1864191515</v>
      </c>
      <c r="W231" s="53" t="n">
        <f aca="false">IF(OR($A231&gt;TOMATO_BED_CAP,$B231&gt;CARROT_BED_CAP,W$4&gt;MESCLUN_BED_CAP,$A231+$B231+W$4&gt;TOTAL_BEDS_AVAILABLE,($D231+W$5)&gt;TOTAL_LABOR_HOURS_CAP,MAX(0,($D231+W$5)-PERMANENT_FIELD_LABOR_HOURS)&gt;TEMP_HOURS_CAP),"",$C231+W$6-MIN(($D231+W$5),PERMANENT_FIELD_LABOR_HOURS)*PERMANENT_HOURLY_RATE-MAX(0,($D231+W$5)-PERMANENT_FIELD_LABOR_HOURS)*TEMP_HOURLY_RATE-FIXED_SEASON_COST)</f>
        <v>32885.7009401195</v>
      </c>
      <c r="X231" s="53" t="n">
        <f aca="false">IF(OR($A231&gt;TOMATO_BED_CAP,$B231&gt;CARROT_BED_CAP,X$4&gt;MESCLUN_BED_CAP,$A231+$B231+X$4&gt;TOTAL_BEDS_AVAILABLE,($D231+X$5)&gt;TOTAL_LABOR_HOURS_CAP,MAX(0,($D231+X$5)-PERMANENT_FIELD_LABOR_HOURS)&gt;TEMP_HOURS_CAP),"",$C231+X$6-MIN(($D231+X$5),PERMANENT_FIELD_LABOR_HOURS)*PERMANENT_HOURLY_RATE-MAX(0,($D231+X$5)-PERMANENT_FIELD_LABOR_HOURS)*TEMP_HOURLY_RATE-FIXED_SEASON_COST)</f>
        <v>33523.7107683984</v>
      </c>
      <c r="Y231" s="53" t="n">
        <f aca="false">IF(OR($A231&gt;TOMATO_BED_CAP,$B231&gt;CARROT_BED_CAP,Y$4&gt;MESCLUN_BED_CAP,$A231+$B231+Y$4&gt;TOTAL_BEDS_AVAILABLE,($D231+Y$5)&gt;TOTAL_LABOR_HOURS_CAP,MAX(0,($D231+Y$5)-PERMANENT_FIELD_LABOR_HOURS)&gt;TEMP_HOURS_CAP),"",$C231+Y$6-MIN(($D231+Y$5),PERMANENT_FIELD_LABOR_HOURS)*PERMANENT_HOURLY_RATE-MAX(0,($D231+Y$5)-PERMANENT_FIELD_LABOR_HOURS)*TEMP_HOURLY_RATE-FIXED_SEASON_COST)</f>
        <v>34134.7338312771</v>
      </c>
      <c r="Z231" s="53" t="n">
        <f aca="false">IF(OR($A231&gt;TOMATO_BED_CAP,$B231&gt;CARROT_BED_CAP,Z$4&gt;MESCLUN_BED_CAP,$A231+$B231+Z$4&gt;TOTAL_BEDS_AVAILABLE,($D231+Z$5)&gt;TOTAL_LABOR_HOURS_CAP,MAX(0,($D231+Z$5)-PERMANENT_FIELD_LABOR_HOURS)&gt;TEMP_HOURS_CAP),"",$C231+Z$6-MIN(($D231+Z$5),PERMANENT_FIELD_LABOR_HOURS)*PERMANENT_HOURLY_RATE-MAX(0,($D231+Z$5)-PERMANENT_FIELD_LABOR_HOURS)*TEMP_HOURLY_RATE-FIXED_SEASON_COST)</f>
        <v>34718.2801455848</v>
      </c>
      <c r="AA231" s="53" t="n">
        <f aca="false">IF(OR($A231&gt;TOMATO_BED_CAP,$B231&gt;CARROT_BED_CAP,AA$4&gt;MESCLUN_BED_CAP,$A231+$B231+AA$4&gt;TOTAL_BEDS_AVAILABLE,($D231+AA$5)&gt;TOTAL_LABOR_HOURS_CAP,MAX(0,($D231+AA$5)-PERMANENT_FIELD_LABOR_HOURS)&gt;TEMP_HOURS_CAP),"",$C231+AA$6-MIN(($D231+AA$5),PERMANENT_FIELD_LABOR_HOURS)*PERMANENT_HOURLY_RATE-MAX(0,($D231+AA$5)-PERMANENT_FIELD_LABOR_HOURS)*TEMP_HOURLY_RATE-FIXED_SEASON_COST)</f>
        <v>35273.8516952538</v>
      </c>
      <c r="AB231" s="53" t="n">
        <f aca="false">IF(OR($A231&gt;TOMATO_BED_CAP,$B231&gt;CARROT_BED_CAP,AB$4&gt;MESCLUN_BED_CAP,$A231+$B231+AB$4&gt;TOTAL_BEDS_AVAILABLE,($D231+AB$5)&gt;TOTAL_LABOR_HOURS_CAP,MAX(0,($D231+AB$5)-PERMANENT_FIELD_LABOR_HOURS)&gt;TEMP_HOURS_CAP),"",$C231+AB$6-MIN(($D231+AB$5),PERMANENT_FIELD_LABOR_HOURS)*PERMANENT_HOURLY_RATE-MAX(0,($D231+AB$5)-PERMANENT_FIELD_LABOR_HOURS)*TEMP_HOURLY_RATE-FIXED_SEASON_COST)</f>
        <v>35800.9423070563</v>
      </c>
      <c r="AC231" s="53" t="n">
        <f aca="false">IF(OR($A231&gt;TOMATO_BED_CAP,$B231&gt;CARROT_BED_CAP,AC$4&gt;MESCLUN_BED_CAP,$A231+$B231+AC$4&gt;TOTAL_BEDS_AVAILABLE,($D231+AC$5)&gt;TOTAL_LABOR_HOURS_CAP,MAX(0,($D231+AC$5)-PERMANENT_FIELD_LABOR_HOURS)&gt;TEMP_HOURS_CAP),"",$C231+AC$6-MIN(($D231+AC$5),PERMANENT_FIELD_LABOR_HOURS)*PERMANENT_HOURLY_RATE-MAX(0,($D231+AC$5)-PERMANENT_FIELD_LABOR_HOURS)*TEMP_HOURLY_RATE-FIXED_SEASON_COST)</f>
        <v>36299.0375244912</v>
      </c>
      <c r="AD231" s="53" t="n">
        <f aca="false">IF(OR($A231&gt;TOMATO_BED_CAP,$B231&gt;CARROT_BED_CAP,AD$4&gt;MESCLUN_BED_CAP,$A231+$B231+AD$4&gt;TOTAL_BEDS_AVAILABLE,($D231+AD$5)&gt;TOTAL_LABOR_HOURS_CAP,MAX(0,($D231+AD$5)-PERMANENT_FIELD_LABOR_HOURS)&gt;TEMP_HOURS_CAP),"",$C231+AD$6-MIN(($D231+AD$5),PERMANENT_FIELD_LABOR_HOURS)*PERMANENT_HOURLY_RATE-MAX(0,($D231+AD$5)-PERMANENT_FIELD_LABOR_HOURS)*TEMP_HOURLY_RATE-FIXED_SEASON_COST)</f>
        <v>36767.6144797912</v>
      </c>
      <c r="AE231" s="53" t="n">
        <f aca="false">IF(OR($A231&gt;TOMATO_BED_CAP,$B231&gt;CARROT_BED_CAP,AE$4&gt;MESCLUN_BED_CAP,$A231+$B231+AE$4&gt;TOTAL_BEDS_AVAILABLE,($D231+AE$5)&gt;TOTAL_LABOR_HOURS_CAP,MAX(0,($D231+AE$5)-PERMANENT_FIELD_LABOR_HOURS)&gt;TEMP_HOURS_CAP),"",$C231+AE$6-MIN(($D231+AE$5),PERMANENT_FIELD_LABOR_HOURS)*PERMANENT_HOURLY_RATE-MAX(0,($D231+AE$5)-PERMANENT_FIELD_LABOR_HOURS)*TEMP_HOURLY_RATE-FIXED_SEASON_COST)</f>
        <v>37206.1417640251</v>
      </c>
      <c r="AF231" s="53" t="n">
        <f aca="false">IF(OR($A231&gt;TOMATO_BED_CAP,$B231&gt;CARROT_BED_CAP,AF$4&gt;MESCLUN_BED_CAP,$A231+$B231+AF$4&gt;TOTAL_BEDS_AVAILABLE,($D231+AF$5)&gt;TOTAL_LABOR_HOURS_CAP,MAX(0,($D231+AF$5)-PERMANENT_FIELD_LABOR_HOURS)&gt;TEMP_HOURS_CAP),"",$C231+AF$6-MIN(($D231+AF$5),PERMANENT_FIELD_LABOR_HOURS)*PERMANENT_HOURLY_RATE-MAX(0,($D231+AF$5)-PERMANENT_FIELD_LABOR_HOURS)*TEMP_HOURLY_RATE-FIXED_SEASON_COST)</f>
        <v>37614.079295267</v>
      </c>
      <c r="AG231" s="53" t="n">
        <f aca="false">IF(OR($A231&gt;TOMATO_BED_CAP,$B231&gt;CARROT_BED_CAP,AG$4&gt;MESCLUN_BED_CAP,$A231+$B231+AG$4&gt;TOTAL_BEDS_AVAILABLE,($D231+AG$5)&gt;TOTAL_LABOR_HOURS_CAP,MAX(0,($D231+AG$5)-PERMANENT_FIELD_LABOR_HOURS)&gt;TEMP_HOURS_CAP),"",$C231+AG$6-MIN(($D231+AG$5),PERMANENT_FIELD_LABOR_HOURS)*PERMANENT_HOURLY_RATE-MAX(0,($D231+AG$5)-PERMANENT_FIELD_LABOR_HOURS)*TEMP_HOURLY_RATE-FIXED_SEASON_COST)</f>
        <v>37990.8781848041</v>
      </c>
      <c r="AH231" s="53" t="n">
        <f aca="false">IF(OR($A231&gt;TOMATO_BED_CAP,$B231&gt;CARROT_BED_CAP,AH$4&gt;MESCLUN_BED_CAP,$A231+$B231+AH$4&gt;TOTAL_BEDS_AVAILABLE,($D231+AH$5)&gt;TOTAL_LABOR_HOURS_CAP,MAX(0,($D231+AH$5)-PERMANENT_FIELD_LABOR_HOURS)&gt;TEMP_HOURS_CAP),"",$C231+AH$6-MIN(($D231+AH$5),PERMANENT_FIELD_LABOR_HOURS)*PERMANENT_HOURLY_RATE-MAX(0,($D231+AH$5)-PERMANENT_FIELD_LABOR_HOURS)*TEMP_HOURLY_RATE-FIXED_SEASON_COST)</f>
        <v>38335.9806013543</v>
      </c>
      <c r="AI231" s="53" t="n">
        <f aca="false">IF(OR($A231&gt;TOMATO_BED_CAP,$B231&gt;CARROT_BED_CAP,AI$4&gt;MESCLUN_BED_CAP,$A231+$B231+AI$4&gt;TOTAL_BEDS_AVAILABLE,($D231+AI$5)&gt;TOTAL_LABOR_HOURS_CAP,MAX(0,($D231+AI$5)-PERMANENT_FIELD_LABOR_HOURS)&gt;TEMP_HOURS_CAP),"",$C231+AI$6-MIN(($D231+AI$5),PERMANENT_FIELD_LABOR_HOURS)*PERMANENT_HOURLY_RATE-MAX(0,($D231+AI$5)-PERMANENT_FIELD_LABOR_HOURS)*TEMP_HOURLY_RATE-FIXED_SEASON_COST)</f>
        <v>38648.8196332665</v>
      </c>
      <c r="AJ231" s="53" t="n">
        <f aca="false">IF(OR($A231&gt;TOMATO_BED_CAP,$B231&gt;CARROT_BED_CAP,AJ$4&gt;MESCLUN_BED_CAP,$A231+$B231+AJ$4&gt;TOTAL_BEDS_AVAILABLE,($D231+AJ$5)&gt;TOTAL_LABOR_HOURS_CAP,MAX(0,($D231+AJ$5)-PERMANENT_FIELD_LABOR_HOURS)&gt;TEMP_HOURS_CAP),"",$C231+AJ$6-MIN(($D231+AJ$5),PERMANENT_FIELD_LABOR_HOURS)*PERMANENT_HOURLY_RATE-MAX(0,($D231+AJ$5)-PERMANENT_FIELD_LABOR_HOURS)*TEMP_HOURLY_RATE-FIXED_SEASON_COST)</f>
        <v>38928.8191486723</v>
      </c>
    </row>
    <row r="232" customFormat="false" ht="15" hidden="false" customHeight="false" outlineLevel="0" collapsed="false">
      <c r="A232" s="21" t="n">
        <f aca="false">INT((ROW()-ROW($A$8))/(20+1))</f>
        <v>10</v>
      </c>
      <c r="B232" s="21" t="n">
        <f aca="false">MOD(ROW()-ROW($A$8),20+1)</f>
        <v>14</v>
      </c>
      <c r="C232" s="13" t="n">
        <f aca="false">A232*(TOMATO_REVENUE_PER_BED-TOMATO_FERTILIZER_PER_BED)+B232*(CARROT_REVENUE_PER_BED-CARROT_FERTILIZER_PER_BED)</f>
        <v>102356</v>
      </c>
      <c r="D232" s="14" t="n">
        <f aca="false">INDEX(TOMATO_SCHED_LABOR_HRS,A232+1)+INDEX(CARROT_SCHED_LABOR_HRS,B232+1)</f>
        <v>2927.57983929706</v>
      </c>
      <c r="E232" s="13" t="n">
        <f aca="false">IF(COUNT(F232:AJ232)=0,"",MAX(F232:AJ232))</f>
        <v>39614.0032846756</v>
      </c>
      <c r="F232" s="53" t="n">
        <f aca="false">IF(OR($A232&gt;TOMATO_BED_CAP,$B232&gt;CARROT_BED_CAP,F$4&gt;MESCLUN_BED_CAP,$A232+$B232+F$4&gt;TOTAL_BEDS_AVAILABLE,($D232+F$5)&gt;TOTAL_LABOR_HOURS_CAP,MAX(0,($D232+F$5)-PERMANENT_FIELD_LABOR_HOURS)&gt;TEMP_HOURS_CAP),"",$C232+F$6-MIN(($D232+F$5),PERMANENT_FIELD_LABOR_HOURS)*PERMANENT_HOURLY_RATE-MAX(0,($D232+F$5)-PERMANENT_FIELD_LABOR_HOURS)*TEMP_HOURLY_RATE-FIXED_SEASON_COST)</f>
        <v>19034.013989803</v>
      </c>
      <c r="G232" s="53" t="n">
        <f aca="false">IF(OR($A232&gt;TOMATO_BED_CAP,$B232&gt;CARROT_BED_CAP,G$4&gt;MESCLUN_BED_CAP,$A232+$B232+G$4&gt;TOTAL_BEDS_AVAILABLE,($D232+G$5)&gt;TOTAL_LABOR_HOURS_CAP,MAX(0,($D232+G$5)-PERMANENT_FIELD_LABOR_HOURS)&gt;TEMP_HOURS_CAP),"",$C232+G$6-MIN(($D232+G$5),PERMANENT_FIELD_LABOR_HOURS)*PERMANENT_HOURLY_RATE-MAX(0,($D232+G$5)-PERMANENT_FIELD_LABOR_HOURS)*TEMP_HOURLY_RATE-FIXED_SEASON_COST)</f>
        <v>20063.048989803</v>
      </c>
      <c r="H232" s="53" t="n">
        <f aca="false">IF(OR($A232&gt;TOMATO_BED_CAP,$B232&gt;CARROT_BED_CAP,H$4&gt;MESCLUN_BED_CAP,$A232+$B232+H$4&gt;TOTAL_BEDS_AVAILABLE,($D232+H$5)&gt;TOTAL_LABOR_HOURS_CAP,MAX(0,($D232+H$5)-PERMANENT_FIELD_LABOR_HOURS)&gt;TEMP_HOURS_CAP),"",$C232+H$6-MIN(($D232+H$5),PERMANENT_FIELD_LABOR_HOURS)*PERMANENT_HOURLY_RATE-MAX(0,($D232+H$5)-PERMANENT_FIELD_LABOR_HOURS)*TEMP_HOURLY_RATE-FIXED_SEASON_COST)</f>
        <v>21072.309864803</v>
      </c>
      <c r="I232" s="53" t="n">
        <f aca="false">IF(OR($A232&gt;TOMATO_BED_CAP,$B232&gt;CARROT_BED_CAP,I$4&gt;MESCLUN_BED_CAP,$A232+$B232+I$4&gt;TOTAL_BEDS_AVAILABLE,($D232+I$5)&gt;TOTAL_LABOR_HOURS_CAP,MAX(0,($D232+I$5)-PERMANENT_FIELD_LABOR_HOURS)&gt;TEMP_HOURS_CAP),"",$C232+I$6-MIN(($D232+I$5),PERMANENT_FIELD_LABOR_HOURS)*PERMANENT_HOURLY_RATE-MAX(0,($D232+I$5)-PERMANENT_FIELD_LABOR_HOURS)*TEMP_HOURLY_RATE-FIXED_SEASON_COST)</f>
        <v>22061.4258499593</v>
      </c>
      <c r="J232" s="53" t="n">
        <f aca="false">IF(OR($A232&gt;TOMATO_BED_CAP,$B232&gt;CARROT_BED_CAP,J$4&gt;MESCLUN_BED_CAP,$A232+$B232+J$4&gt;TOTAL_BEDS_AVAILABLE,($D232+J$5)&gt;TOTAL_LABOR_HOURS_CAP,MAX(0,($D232+J$5)-PERMANENT_FIELD_LABOR_HOURS)&gt;TEMP_HOURS_CAP),"",$C232+J$6-MIN(($D232+J$5),PERMANENT_FIELD_LABOR_HOURS)*PERMANENT_HOURLY_RATE-MAX(0,($D232+J$5)-PERMANENT_FIELD_LABOR_HOURS)*TEMP_HOURLY_RATE-FIXED_SEASON_COST)</f>
        <v>23030.020001014</v>
      </c>
      <c r="K232" s="53" t="n">
        <f aca="false">IF(OR($A232&gt;TOMATO_BED_CAP,$B232&gt;CARROT_BED_CAP,K$4&gt;MESCLUN_BED_CAP,$A232+$B232+K$4&gt;TOTAL_BEDS_AVAILABLE,($D232+K$5)&gt;TOTAL_LABOR_HOURS_CAP,MAX(0,($D232+K$5)-PERMANENT_FIELD_LABOR_HOURS)&gt;TEMP_HOURS_CAP),"",$C232+K$6-MIN(($D232+K$5),PERMANENT_FIELD_LABOR_HOURS)*PERMANENT_HOURLY_RATE-MAX(0,($D232+K$5)-PERMANENT_FIELD_LABOR_HOURS)*TEMP_HOURLY_RATE-FIXED_SEASON_COST)</f>
        <v>23977.7090977419</v>
      </c>
      <c r="L232" s="53" t="n">
        <f aca="false">IF(OR($A232&gt;TOMATO_BED_CAP,$B232&gt;CARROT_BED_CAP,L$4&gt;MESCLUN_BED_CAP,$A232+$B232+L$4&gt;TOTAL_BEDS_AVAILABLE,($D232+L$5)&gt;TOTAL_LABOR_HOURS_CAP,MAX(0,($D232+L$5)-PERMANENT_FIELD_LABOR_HOURS)&gt;TEMP_HOURS_CAP),"",$C232+L$6-MIN(($D232+L$5),PERMANENT_FIELD_LABOR_HOURS)*PERMANENT_HOURLY_RATE-MAX(0,($D232+L$5)-PERMANENT_FIELD_LABOR_HOURS)*TEMP_HOURLY_RATE-FIXED_SEASON_COST)</f>
        <v>24904.1035459487</v>
      </c>
      <c r="M232" s="53" t="n">
        <f aca="false">IF(OR($A232&gt;TOMATO_BED_CAP,$B232&gt;CARROT_BED_CAP,M$4&gt;MESCLUN_BED_CAP,$A232+$B232+M$4&gt;TOTAL_BEDS_AVAILABLE,($D232+M$5)&gt;TOTAL_LABOR_HOURS_CAP,MAX(0,($D232+M$5)-PERMANENT_FIELD_LABOR_HOURS)&gt;TEMP_HOURS_CAP),"",$C232+M$6-MIN(($D232+M$5),PERMANENT_FIELD_LABOR_HOURS)*PERMANENT_HOURLY_RATE-MAX(0,($D232+M$5)-PERMANENT_FIELD_LABOR_HOURS)*TEMP_HOURLY_RATE-FIXED_SEASON_COST)</f>
        <v>25808.8072780001</v>
      </c>
      <c r="N232" s="53" t="n">
        <f aca="false">IF(OR($A232&gt;TOMATO_BED_CAP,$B232&gt;CARROT_BED_CAP,N$4&gt;MESCLUN_BED_CAP,$A232+$B232+N$4&gt;TOTAL_BEDS_AVAILABLE,($D232+N$5)&gt;TOTAL_LABOR_HOURS_CAP,MAX(0,($D232+N$5)-PERMANENT_FIELD_LABOR_HOURS)&gt;TEMP_HOURS_CAP),"",$C232+N$6-MIN(($D232+N$5),PERMANENT_FIELD_LABOR_HOURS)*PERMANENT_HOURLY_RATE-MAX(0,($D232+N$5)-PERMANENT_FIELD_LABOR_HOURS)*TEMP_HOURLY_RATE-FIXED_SEASON_COST)</f>
        <v>26691.4176518597</v>
      </c>
      <c r="O232" s="53" t="n">
        <f aca="false">IF(OR($A232&gt;TOMATO_BED_CAP,$B232&gt;CARROT_BED_CAP,O$4&gt;MESCLUN_BED_CAP,$A232+$B232+O$4&gt;TOTAL_BEDS_AVAILABLE,($D232+O$5)&gt;TOTAL_LABOR_HOURS_CAP,MAX(0,($D232+O$5)-PERMANENT_FIELD_LABOR_HOURS)&gt;TEMP_HOURS_CAP),"",$C232+O$6-MIN(($D232+O$5),PERMANENT_FIELD_LABOR_HOURS)*PERMANENT_HOURLY_RATE-MAX(0,($D232+O$5)-PERMANENT_FIELD_LABOR_HOURS)*TEMP_HOURLY_RATE-FIXED_SEASON_COST)</f>
        <v>27551.5253486145</v>
      </c>
      <c r="P232" s="53" t="n">
        <f aca="false">IF(OR($A232&gt;TOMATO_BED_CAP,$B232&gt;CARROT_BED_CAP,P$4&gt;MESCLUN_BED_CAP,$A232+$B232+P$4&gt;TOTAL_BEDS_AVAILABLE,($D232+P$5)&gt;TOTAL_LABOR_HOURS_CAP,MAX(0,($D232+P$5)-PERMANENT_FIELD_LABOR_HOURS)&gt;TEMP_HOURS_CAP),"",$C232+P$6-MIN(($D232+P$5),PERMANENT_FIELD_LABOR_HOURS)*PERMANENT_HOURLY_RATE-MAX(0,($D232+P$5)-PERMANENT_FIELD_LABOR_HOURS)*TEMP_HOURLY_RATE-FIXED_SEASON_COST)</f>
        <v>28388.7142684659</v>
      </c>
      <c r="Q232" s="53" t="n">
        <f aca="false">IF(OR($A232&gt;TOMATO_BED_CAP,$B232&gt;CARROT_BED_CAP,Q$4&gt;MESCLUN_BED_CAP,$A232+$B232+Q$4&gt;TOTAL_BEDS_AVAILABLE,($D232+Q$5)&gt;TOTAL_LABOR_HOURS_CAP,MAX(0,($D232+Q$5)-PERMANENT_FIELD_LABOR_HOURS)&gt;TEMP_HOURS_CAP),"",$C232+Q$6-MIN(($D232+Q$5),PERMANENT_FIELD_LABOR_HOURS)*PERMANENT_HOURLY_RATE-MAX(0,($D232+Q$5)-PERMANENT_FIELD_LABOR_HOURS)*TEMP_HOURLY_RATE-FIXED_SEASON_COST)</f>
        <v>29202.5614251638</v>
      </c>
      <c r="R232" s="53" t="n">
        <f aca="false">IF(OR($A232&gt;TOMATO_BED_CAP,$B232&gt;CARROT_BED_CAP,R$4&gt;MESCLUN_BED_CAP,$A232+$B232+R$4&gt;TOTAL_BEDS_AVAILABLE,($D232+R$5)&gt;TOTAL_LABOR_HOURS_CAP,MAX(0,($D232+R$5)-PERMANENT_FIELD_LABOR_HOURS)&gt;TEMP_HOURS_CAP),"",$C232+R$6-MIN(($D232+R$5),PERMANENT_FIELD_LABOR_HOURS)*PERMANENT_HOURLY_RATE-MAX(0,($D232+R$5)-PERMANENT_FIELD_LABOR_HOURS)*TEMP_HOURLY_RATE-FIXED_SEASON_COST)</f>
        <v>29992.6368388606</v>
      </c>
      <c r="S232" s="53" t="n">
        <f aca="false">IF(OR($A232&gt;TOMATO_BED_CAP,$B232&gt;CARROT_BED_CAP,S$4&gt;MESCLUN_BED_CAP,$A232+$B232+S$4&gt;TOTAL_BEDS_AVAILABLE,($D232+S$5)&gt;TOTAL_LABOR_HOURS_CAP,MAX(0,($D232+S$5)-PERMANENT_FIELD_LABOR_HOURS)&gt;TEMP_HOURS_CAP),"",$C232+S$6-MIN(($D232+S$5),PERMANENT_FIELD_LABOR_HOURS)*PERMANENT_HOURLY_RATE-MAX(0,($D232+S$5)-PERMANENT_FIELD_LABOR_HOURS)*TEMP_HOURLY_RATE-FIXED_SEASON_COST)</f>
        <v>30758.503427363</v>
      </c>
      <c r="T232" s="53" t="n">
        <f aca="false">IF(OR($A232&gt;TOMATO_BED_CAP,$B232&gt;CARROT_BED_CAP,T$4&gt;MESCLUN_BED_CAP,$A232+$B232+T$4&gt;TOTAL_BEDS_AVAILABLE,($D232+T$5)&gt;TOTAL_LABOR_HOURS_CAP,MAX(0,($D232+T$5)-PERMANENT_FIELD_LABOR_HOURS)&gt;TEMP_HOURS_CAP),"",$C232+T$6-MIN(($D232+T$5),PERMANENT_FIELD_LABOR_HOURS)*PERMANENT_HOURLY_RATE-MAX(0,($D232+T$5)-PERMANENT_FIELD_LABOR_HOURS)*TEMP_HOURLY_RATE-FIXED_SEASON_COST)</f>
        <v>31499.7168957579</v>
      </c>
      <c r="U232" s="53" t="n">
        <f aca="false">IF(OR($A232&gt;TOMATO_BED_CAP,$B232&gt;CARROT_BED_CAP,U$4&gt;MESCLUN_BED_CAP,$A232+$B232+U$4&gt;TOTAL_BEDS_AVAILABLE,($D232+U$5)&gt;TOTAL_LABOR_HOURS_CAP,MAX(0,($D232+U$5)-PERMANENT_FIELD_LABOR_HOURS)&gt;TEMP_HOURS_CAP),"",$C232+U$6-MIN(($D232+U$5),PERMANENT_FIELD_LABOR_HOURS)*PERMANENT_HOURLY_RATE-MAX(0,($D232+U$5)-PERMANENT_FIELD_LABOR_HOURS)*TEMP_HOURLY_RATE-FIXED_SEASON_COST)</f>
        <v>32215.825624388</v>
      </c>
      <c r="V232" s="53" t="n">
        <f aca="false">IF(OR($A232&gt;TOMATO_BED_CAP,$B232&gt;CARROT_BED_CAP,V$4&gt;MESCLUN_BED_CAP,$A232+$B232+V$4&gt;TOTAL_BEDS_AVAILABLE,($D232+V$5)&gt;TOTAL_LABOR_HOURS_CAP,MAX(0,($D232+V$5)-PERMANENT_FIELD_LABOR_HOURS)&gt;TEMP_HOURS_CAP),"",$C232+V$6-MIN(($D232+V$5),PERMANENT_FIELD_LABOR_HOURS)*PERMANENT_HOURLY_RATE-MAX(0,($D232+V$5)-PERMANENT_FIELD_LABOR_HOURS)*TEMP_HOURLY_RATE-FIXED_SEASON_COST)</f>
        <v>32906.3705551548</v>
      </c>
      <c r="W232" s="53" t="n">
        <f aca="false">IF(OR($A232&gt;TOMATO_BED_CAP,$B232&gt;CARROT_BED_CAP,W$4&gt;MESCLUN_BED_CAP,$A232+$B232+W$4&gt;TOTAL_BEDS_AVAILABLE,($D232+W$5)&gt;TOTAL_LABOR_HOURS_CAP,MAX(0,($D232+W$5)-PERMANENT_FIELD_LABOR_HOURS)&gt;TEMP_HOURS_CAP),"",$C232+W$6-MIN(($D232+W$5),PERMANENT_FIELD_LABOR_HOURS)*PERMANENT_HOURLY_RATE-MAX(0,($D232+W$5)-PERMANENT_FIELD_LABOR_HOURS)*TEMP_HOURLY_RATE-FIXED_SEASON_COST)</f>
        <v>33570.8850761228</v>
      </c>
      <c r="X232" s="53" t="n">
        <f aca="false">IF(OR($A232&gt;TOMATO_BED_CAP,$B232&gt;CARROT_BED_CAP,X$4&gt;MESCLUN_BED_CAP,$A232+$B232+X$4&gt;TOTAL_BEDS_AVAILABLE,($D232+X$5)&gt;TOTAL_LABOR_HOURS_CAP,MAX(0,($D232+X$5)-PERMANENT_FIELD_LABOR_HOURS)&gt;TEMP_HOURS_CAP),"",$C232+X$6-MIN(($D232+X$5),PERMANENT_FIELD_LABOR_HOURS)*PERMANENT_HOURLY_RATE-MAX(0,($D232+X$5)-PERMANENT_FIELD_LABOR_HOURS)*TEMP_HOURLY_RATE-FIXED_SEASON_COST)</f>
        <v>34208.8949044017</v>
      </c>
      <c r="Y232" s="53" t="n">
        <f aca="false">IF(OR($A232&gt;TOMATO_BED_CAP,$B232&gt;CARROT_BED_CAP,Y$4&gt;MESCLUN_BED_CAP,$A232+$B232+Y$4&gt;TOTAL_BEDS_AVAILABLE,($D232+Y$5)&gt;TOTAL_LABOR_HOURS_CAP,MAX(0,($D232+Y$5)-PERMANENT_FIELD_LABOR_HOURS)&gt;TEMP_HOURS_CAP),"",$C232+Y$6-MIN(($D232+Y$5),PERMANENT_FIELD_LABOR_HOURS)*PERMANENT_HOURLY_RATE-MAX(0,($D232+Y$5)-PERMANENT_FIELD_LABOR_HOURS)*TEMP_HOURLY_RATE-FIXED_SEASON_COST)</f>
        <v>34819.9179672804</v>
      </c>
      <c r="Z232" s="53" t="n">
        <f aca="false">IF(OR($A232&gt;TOMATO_BED_CAP,$B232&gt;CARROT_BED_CAP,Z$4&gt;MESCLUN_BED_CAP,$A232+$B232+Z$4&gt;TOTAL_BEDS_AVAILABLE,($D232+Z$5)&gt;TOTAL_LABOR_HOURS_CAP,MAX(0,($D232+Z$5)-PERMANENT_FIELD_LABOR_HOURS)&gt;TEMP_HOURS_CAP),"",$C232+Z$6-MIN(($D232+Z$5),PERMANENT_FIELD_LABOR_HOURS)*PERMANENT_HOURLY_RATE-MAX(0,($D232+Z$5)-PERMANENT_FIELD_LABOR_HOURS)*TEMP_HOURLY_RATE-FIXED_SEASON_COST)</f>
        <v>35403.4642815881</v>
      </c>
      <c r="AA232" s="53" t="n">
        <f aca="false">IF(OR($A232&gt;TOMATO_BED_CAP,$B232&gt;CARROT_BED_CAP,AA$4&gt;MESCLUN_BED_CAP,$A232+$B232+AA$4&gt;TOTAL_BEDS_AVAILABLE,($D232+AA$5)&gt;TOTAL_LABOR_HOURS_CAP,MAX(0,($D232+AA$5)-PERMANENT_FIELD_LABOR_HOURS)&gt;TEMP_HOURS_CAP),"",$C232+AA$6-MIN(($D232+AA$5),PERMANENT_FIELD_LABOR_HOURS)*PERMANENT_HOURLY_RATE-MAX(0,($D232+AA$5)-PERMANENT_FIELD_LABOR_HOURS)*TEMP_HOURLY_RATE-FIXED_SEASON_COST)</f>
        <v>35959.0358312571</v>
      </c>
      <c r="AB232" s="53" t="n">
        <f aca="false">IF(OR($A232&gt;TOMATO_BED_CAP,$B232&gt;CARROT_BED_CAP,AB$4&gt;MESCLUN_BED_CAP,$A232+$B232+AB$4&gt;TOTAL_BEDS_AVAILABLE,($D232+AB$5)&gt;TOTAL_LABOR_HOURS_CAP,MAX(0,($D232+AB$5)-PERMANENT_FIELD_LABOR_HOURS)&gt;TEMP_HOURS_CAP),"",$C232+AB$6-MIN(($D232+AB$5),PERMANENT_FIELD_LABOR_HOURS)*PERMANENT_HOURLY_RATE-MAX(0,($D232+AB$5)-PERMANENT_FIELD_LABOR_HOURS)*TEMP_HOURLY_RATE-FIXED_SEASON_COST)</f>
        <v>36486.1264430596</v>
      </c>
      <c r="AC232" s="53" t="n">
        <f aca="false">IF(OR($A232&gt;TOMATO_BED_CAP,$B232&gt;CARROT_BED_CAP,AC$4&gt;MESCLUN_BED_CAP,$A232+$B232+AC$4&gt;TOTAL_BEDS_AVAILABLE,($D232+AC$5)&gt;TOTAL_LABOR_HOURS_CAP,MAX(0,($D232+AC$5)-PERMANENT_FIELD_LABOR_HOURS)&gt;TEMP_HOURS_CAP),"",$C232+AC$6-MIN(($D232+AC$5),PERMANENT_FIELD_LABOR_HOURS)*PERMANENT_HOURLY_RATE-MAX(0,($D232+AC$5)-PERMANENT_FIELD_LABOR_HOURS)*TEMP_HOURLY_RATE-FIXED_SEASON_COST)</f>
        <v>36984.2216604945</v>
      </c>
      <c r="AD232" s="53" t="n">
        <f aca="false">IF(OR($A232&gt;TOMATO_BED_CAP,$B232&gt;CARROT_BED_CAP,AD$4&gt;MESCLUN_BED_CAP,$A232+$B232+AD$4&gt;TOTAL_BEDS_AVAILABLE,($D232+AD$5)&gt;TOTAL_LABOR_HOURS_CAP,MAX(0,($D232+AD$5)-PERMANENT_FIELD_LABOR_HOURS)&gt;TEMP_HOURS_CAP),"",$C232+AD$6-MIN(($D232+AD$5),PERMANENT_FIELD_LABOR_HOURS)*PERMANENT_HOURLY_RATE-MAX(0,($D232+AD$5)-PERMANENT_FIELD_LABOR_HOURS)*TEMP_HOURLY_RATE-FIXED_SEASON_COST)</f>
        <v>37452.7986157945</v>
      </c>
      <c r="AE232" s="53" t="n">
        <f aca="false">IF(OR($A232&gt;TOMATO_BED_CAP,$B232&gt;CARROT_BED_CAP,AE$4&gt;MESCLUN_BED_CAP,$A232+$B232+AE$4&gt;TOTAL_BEDS_AVAILABLE,($D232+AE$5)&gt;TOTAL_LABOR_HOURS_CAP,MAX(0,($D232+AE$5)-PERMANENT_FIELD_LABOR_HOURS)&gt;TEMP_HOURS_CAP),"",$C232+AE$6-MIN(($D232+AE$5),PERMANENT_FIELD_LABOR_HOURS)*PERMANENT_HOURLY_RATE-MAX(0,($D232+AE$5)-PERMANENT_FIELD_LABOR_HOURS)*TEMP_HOURLY_RATE-FIXED_SEASON_COST)</f>
        <v>37891.3259000284</v>
      </c>
      <c r="AF232" s="53" t="n">
        <f aca="false">IF(OR($A232&gt;TOMATO_BED_CAP,$B232&gt;CARROT_BED_CAP,AF$4&gt;MESCLUN_BED_CAP,$A232+$B232+AF$4&gt;TOTAL_BEDS_AVAILABLE,($D232+AF$5)&gt;TOTAL_LABOR_HOURS_CAP,MAX(0,($D232+AF$5)-PERMANENT_FIELD_LABOR_HOURS)&gt;TEMP_HOURS_CAP),"",$C232+AF$6-MIN(($D232+AF$5),PERMANENT_FIELD_LABOR_HOURS)*PERMANENT_HOURLY_RATE-MAX(0,($D232+AF$5)-PERMANENT_FIELD_LABOR_HOURS)*TEMP_HOURLY_RATE-FIXED_SEASON_COST)</f>
        <v>38299.2634312703</v>
      </c>
      <c r="AG232" s="53" t="n">
        <f aca="false">IF(OR($A232&gt;TOMATO_BED_CAP,$B232&gt;CARROT_BED_CAP,AG$4&gt;MESCLUN_BED_CAP,$A232+$B232+AG$4&gt;TOTAL_BEDS_AVAILABLE,($D232+AG$5)&gt;TOTAL_LABOR_HOURS_CAP,MAX(0,($D232+AG$5)-PERMANENT_FIELD_LABOR_HOURS)&gt;TEMP_HOURS_CAP),"",$C232+AG$6-MIN(($D232+AG$5),PERMANENT_FIELD_LABOR_HOURS)*PERMANENT_HOURLY_RATE-MAX(0,($D232+AG$5)-PERMANENT_FIELD_LABOR_HOURS)*TEMP_HOURLY_RATE-FIXED_SEASON_COST)</f>
        <v>38676.0623208073</v>
      </c>
      <c r="AH232" s="53" t="n">
        <f aca="false">IF(OR($A232&gt;TOMATO_BED_CAP,$B232&gt;CARROT_BED_CAP,AH$4&gt;MESCLUN_BED_CAP,$A232+$B232+AH$4&gt;TOTAL_BEDS_AVAILABLE,($D232+AH$5)&gt;TOTAL_LABOR_HOURS_CAP,MAX(0,($D232+AH$5)-PERMANENT_FIELD_LABOR_HOURS)&gt;TEMP_HOURS_CAP),"",$C232+AH$6-MIN(($D232+AH$5),PERMANENT_FIELD_LABOR_HOURS)*PERMANENT_HOURLY_RATE-MAX(0,($D232+AH$5)-PERMANENT_FIELD_LABOR_HOURS)*TEMP_HOURLY_RATE-FIXED_SEASON_COST)</f>
        <v>39021.1647373576</v>
      </c>
      <c r="AI232" s="53" t="n">
        <f aca="false">IF(OR($A232&gt;TOMATO_BED_CAP,$B232&gt;CARROT_BED_CAP,AI$4&gt;MESCLUN_BED_CAP,$A232+$B232+AI$4&gt;TOTAL_BEDS_AVAILABLE,($D232+AI$5)&gt;TOTAL_LABOR_HOURS_CAP,MAX(0,($D232+AI$5)-PERMANENT_FIELD_LABOR_HOURS)&gt;TEMP_HOURS_CAP),"",$C232+AI$6-MIN(($D232+AI$5),PERMANENT_FIELD_LABOR_HOURS)*PERMANENT_HOURLY_RATE-MAX(0,($D232+AI$5)-PERMANENT_FIELD_LABOR_HOURS)*TEMP_HOURLY_RATE-FIXED_SEASON_COST)</f>
        <v>39334.0037692698</v>
      </c>
      <c r="AJ232" s="53" t="n">
        <f aca="false">IF(OR($A232&gt;TOMATO_BED_CAP,$B232&gt;CARROT_BED_CAP,AJ$4&gt;MESCLUN_BED_CAP,$A232+$B232+AJ$4&gt;TOTAL_BEDS_AVAILABLE,($D232+AJ$5)&gt;TOTAL_LABOR_HOURS_CAP,MAX(0,($D232+AJ$5)-PERMANENT_FIELD_LABOR_HOURS)&gt;TEMP_HOURS_CAP),"",$C232+AJ$6-MIN(($D232+AJ$5),PERMANENT_FIELD_LABOR_HOURS)*PERMANENT_HOURLY_RATE-MAX(0,($D232+AJ$5)-PERMANENT_FIELD_LABOR_HOURS)*TEMP_HOURLY_RATE-FIXED_SEASON_COST)</f>
        <v>39614.0032846756</v>
      </c>
    </row>
    <row r="233" customFormat="false" ht="15" hidden="false" customHeight="false" outlineLevel="0" collapsed="false">
      <c r="A233" s="21" t="n">
        <f aca="false">INT((ROW()-ROW($A$8))/(20+1))</f>
        <v>10</v>
      </c>
      <c r="B233" s="21" t="n">
        <f aca="false">MOD(ROW()-ROW($A$8),20+1)</f>
        <v>15</v>
      </c>
      <c r="C233" s="13" t="n">
        <f aca="false">A233*(TOMATO_REVENUE_PER_BED-TOMATO_FERTILIZER_PER_BED)+B233*(CARROT_REVENUE_PER_BED-CARROT_FERTILIZER_PER_BED)</f>
        <v>104010</v>
      </c>
      <c r="D233" s="14" t="n">
        <f aca="false">INDEX(TOMATO_SCHED_LABOR_HRS,A233+1)+INDEX(CARROT_SCHED_LABOR_HRS,B233+1)</f>
        <v>2985.84169534418</v>
      </c>
      <c r="E233" s="13" t="n">
        <f aca="false">IF(COUNT(F233:AJ233)=0,"",MAX(F233:AJ233))</f>
        <v>40256.5774636976</v>
      </c>
      <c r="F233" s="53" t="n">
        <f aca="false">IF(OR($A233&gt;TOMATO_BED_CAP,$B233&gt;CARROT_BED_CAP,F$4&gt;MESCLUN_BED_CAP,$A233+$B233+F$4&gt;TOTAL_BEDS_AVAILABLE,($D233+F$5)&gt;TOTAL_LABOR_HOURS_CAP,MAX(0,($D233+F$5)-PERMANENT_FIELD_LABOR_HOURS)&gt;TEMP_HOURS_CAP),"",$C233+F$6-MIN(($D233+F$5),PERMANENT_FIELD_LABOR_HOURS)*PERMANENT_HOURLY_RATE-MAX(0,($D233+F$5)-PERMANENT_FIELD_LABOR_HOURS)*TEMP_HOURLY_RATE-FIXED_SEASON_COST)</f>
        <v>19676.588168825</v>
      </c>
      <c r="G233" s="53" t="n">
        <f aca="false">IF(OR($A233&gt;TOMATO_BED_CAP,$B233&gt;CARROT_BED_CAP,G$4&gt;MESCLUN_BED_CAP,$A233+$B233+G$4&gt;TOTAL_BEDS_AVAILABLE,($D233+G$5)&gt;TOTAL_LABOR_HOURS_CAP,MAX(0,($D233+G$5)-PERMANENT_FIELD_LABOR_HOURS)&gt;TEMP_HOURS_CAP),"",$C233+G$6-MIN(($D233+G$5),PERMANENT_FIELD_LABOR_HOURS)*PERMANENT_HOURLY_RATE-MAX(0,($D233+G$5)-PERMANENT_FIELD_LABOR_HOURS)*TEMP_HOURLY_RATE-FIXED_SEASON_COST)</f>
        <v>20705.623168825</v>
      </c>
      <c r="H233" s="53" t="n">
        <f aca="false">IF(OR($A233&gt;TOMATO_BED_CAP,$B233&gt;CARROT_BED_CAP,H$4&gt;MESCLUN_BED_CAP,$A233+$B233+H$4&gt;TOTAL_BEDS_AVAILABLE,($D233+H$5)&gt;TOTAL_LABOR_HOURS_CAP,MAX(0,($D233+H$5)-PERMANENT_FIELD_LABOR_HOURS)&gt;TEMP_HOURS_CAP),"",$C233+H$6-MIN(($D233+H$5),PERMANENT_FIELD_LABOR_HOURS)*PERMANENT_HOURLY_RATE-MAX(0,($D233+H$5)-PERMANENT_FIELD_LABOR_HOURS)*TEMP_HOURLY_RATE-FIXED_SEASON_COST)</f>
        <v>21714.884043825</v>
      </c>
      <c r="I233" s="53" t="n">
        <f aca="false">IF(OR($A233&gt;TOMATO_BED_CAP,$B233&gt;CARROT_BED_CAP,I$4&gt;MESCLUN_BED_CAP,$A233+$B233+I$4&gt;TOTAL_BEDS_AVAILABLE,($D233+I$5)&gt;TOTAL_LABOR_HOURS_CAP,MAX(0,($D233+I$5)-PERMANENT_FIELD_LABOR_HOURS)&gt;TEMP_HOURS_CAP),"",$C233+I$6-MIN(($D233+I$5),PERMANENT_FIELD_LABOR_HOURS)*PERMANENT_HOURLY_RATE-MAX(0,($D233+I$5)-PERMANENT_FIELD_LABOR_HOURS)*TEMP_HOURLY_RATE-FIXED_SEASON_COST)</f>
        <v>22704.0000289813</v>
      </c>
      <c r="J233" s="53" t="n">
        <f aca="false">IF(OR($A233&gt;TOMATO_BED_CAP,$B233&gt;CARROT_BED_CAP,J$4&gt;MESCLUN_BED_CAP,$A233+$B233+J$4&gt;TOTAL_BEDS_AVAILABLE,($D233+J$5)&gt;TOTAL_LABOR_HOURS_CAP,MAX(0,($D233+J$5)-PERMANENT_FIELD_LABOR_HOURS)&gt;TEMP_HOURS_CAP),"",$C233+J$6-MIN(($D233+J$5),PERMANENT_FIELD_LABOR_HOURS)*PERMANENT_HOURLY_RATE-MAX(0,($D233+J$5)-PERMANENT_FIELD_LABOR_HOURS)*TEMP_HOURLY_RATE-FIXED_SEASON_COST)</f>
        <v>23672.594180036</v>
      </c>
      <c r="K233" s="53" t="n">
        <f aca="false">IF(OR($A233&gt;TOMATO_BED_CAP,$B233&gt;CARROT_BED_CAP,K$4&gt;MESCLUN_BED_CAP,$A233+$B233+K$4&gt;TOTAL_BEDS_AVAILABLE,($D233+K$5)&gt;TOTAL_LABOR_HOURS_CAP,MAX(0,($D233+K$5)-PERMANENT_FIELD_LABOR_HOURS)&gt;TEMP_HOURS_CAP),"",$C233+K$6-MIN(($D233+K$5),PERMANENT_FIELD_LABOR_HOURS)*PERMANENT_HOURLY_RATE-MAX(0,($D233+K$5)-PERMANENT_FIELD_LABOR_HOURS)*TEMP_HOURLY_RATE-FIXED_SEASON_COST)</f>
        <v>24620.2832767639</v>
      </c>
      <c r="L233" s="53" t="n">
        <f aca="false">IF(OR($A233&gt;TOMATO_BED_CAP,$B233&gt;CARROT_BED_CAP,L$4&gt;MESCLUN_BED_CAP,$A233+$B233+L$4&gt;TOTAL_BEDS_AVAILABLE,($D233+L$5)&gt;TOTAL_LABOR_HOURS_CAP,MAX(0,($D233+L$5)-PERMANENT_FIELD_LABOR_HOURS)&gt;TEMP_HOURS_CAP),"",$C233+L$6-MIN(($D233+L$5),PERMANENT_FIELD_LABOR_HOURS)*PERMANENT_HOURLY_RATE-MAX(0,($D233+L$5)-PERMANENT_FIELD_LABOR_HOURS)*TEMP_HOURLY_RATE-FIXED_SEASON_COST)</f>
        <v>25546.6777249707</v>
      </c>
      <c r="M233" s="53" t="n">
        <f aca="false">IF(OR($A233&gt;TOMATO_BED_CAP,$B233&gt;CARROT_BED_CAP,M$4&gt;MESCLUN_BED_CAP,$A233+$B233+M$4&gt;TOTAL_BEDS_AVAILABLE,($D233+M$5)&gt;TOTAL_LABOR_HOURS_CAP,MAX(0,($D233+M$5)-PERMANENT_FIELD_LABOR_HOURS)&gt;TEMP_HOURS_CAP),"",$C233+M$6-MIN(($D233+M$5),PERMANENT_FIELD_LABOR_HOURS)*PERMANENT_HOURLY_RATE-MAX(0,($D233+M$5)-PERMANENT_FIELD_LABOR_HOURS)*TEMP_HOURLY_RATE-FIXED_SEASON_COST)</f>
        <v>26451.3814570221</v>
      </c>
      <c r="N233" s="53" t="n">
        <f aca="false">IF(OR($A233&gt;TOMATO_BED_CAP,$B233&gt;CARROT_BED_CAP,N$4&gt;MESCLUN_BED_CAP,$A233+$B233+N$4&gt;TOTAL_BEDS_AVAILABLE,($D233+N$5)&gt;TOTAL_LABOR_HOURS_CAP,MAX(0,($D233+N$5)-PERMANENT_FIELD_LABOR_HOURS)&gt;TEMP_HOURS_CAP),"",$C233+N$6-MIN(($D233+N$5),PERMANENT_FIELD_LABOR_HOURS)*PERMANENT_HOURLY_RATE-MAX(0,($D233+N$5)-PERMANENT_FIELD_LABOR_HOURS)*TEMP_HOURLY_RATE-FIXED_SEASON_COST)</f>
        <v>27333.9918308817</v>
      </c>
      <c r="O233" s="53" t="n">
        <f aca="false">IF(OR($A233&gt;TOMATO_BED_CAP,$B233&gt;CARROT_BED_CAP,O$4&gt;MESCLUN_BED_CAP,$A233+$B233+O$4&gt;TOTAL_BEDS_AVAILABLE,($D233+O$5)&gt;TOTAL_LABOR_HOURS_CAP,MAX(0,($D233+O$5)-PERMANENT_FIELD_LABOR_HOURS)&gt;TEMP_HOURS_CAP),"",$C233+O$6-MIN(($D233+O$5),PERMANENT_FIELD_LABOR_HOURS)*PERMANENT_HOURLY_RATE-MAX(0,($D233+O$5)-PERMANENT_FIELD_LABOR_HOURS)*TEMP_HOURLY_RATE-FIXED_SEASON_COST)</f>
        <v>28194.0995276364</v>
      </c>
      <c r="P233" s="53" t="n">
        <f aca="false">IF(OR($A233&gt;TOMATO_BED_CAP,$B233&gt;CARROT_BED_CAP,P$4&gt;MESCLUN_BED_CAP,$A233+$B233+P$4&gt;TOTAL_BEDS_AVAILABLE,($D233+P$5)&gt;TOTAL_LABOR_HOURS_CAP,MAX(0,($D233+P$5)-PERMANENT_FIELD_LABOR_HOURS)&gt;TEMP_HOURS_CAP),"",$C233+P$6-MIN(($D233+P$5),PERMANENT_FIELD_LABOR_HOURS)*PERMANENT_HOURLY_RATE-MAX(0,($D233+P$5)-PERMANENT_FIELD_LABOR_HOURS)*TEMP_HOURLY_RATE-FIXED_SEASON_COST)</f>
        <v>29031.2884474878</v>
      </c>
      <c r="Q233" s="53" t="n">
        <f aca="false">IF(OR($A233&gt;TOMATO_BED_CAP,$B233&gt;CARROT_BED_CAP,Q$4&gt;MESCLUN_BED_CAP,$A233+$B233+Q$4&gt;TOTAL_BEDS_AVAILABLE,($D233+Q$5)&gt;TOTAL_LABOR_HOURS_CAP,MAX(0,($D233+Q$5)-PERMANENT_FIELD_LABOR_HOURS)&gt;TEMP_HOURS_CAP),"",$C233+Q$6-MIN(($D233+Q$5),PERMANENT_FIELD_LABOR_HOURS)*PERMANENT_HOURLY_RATE-MAX(0,($D233+Q$5)-PERMANENT_FIELD_LABOR_HOURS)*TEMP_HOURLY_RATE-FIXED_SEASON_COST)</f>
        <v>29845.1356041857</v>
      </c>
      <c r="R233" s="53" t="n">
        <f aca="false">IF(OR($A233&gt;TOMATO_BED_CAP,$B233&gt;CARROT_BED_CAP,R$4&gt;MESCLUN_BED_CAP,$A233+$B233+R$4&gt;TOTAL_BEDS_AVAILABLE,($D233+R$5)&gt;TOTAL_LABOR_HOURS_CAP,MAX(0,($D233+R$5)-PERMANENT_FIELD_LABOR_HOURS)&gt;TEMP_HOURS_CAP),"",$C233+R$6-MIN(($D233+R$5),PERMANENT_FIELD_LABOR_HOURS)*PERMANENT_HOURLY_RATE-MAX(0,($D233+R$5)-PERMANENT_FIELD_LABOR_HOURS)*TEMP_HOURLY_RATE-FIXED_SEASON_COST)</f>
        <v>30635.2110178825</v>
      </c>
      <c r="S233" s="53" t="n">
        <f aca="false">IF(OR($A233&gt;TOMATO_BED_CAP,$B233&gt;CARROT_BED_CAP,S$4&gt;MESCLUN_BED_CAP,$A233+$B233+S$4&gt;TOTAL_BEDS_AVAILABLE,($D233+S$5)&gt;TOTAL_LABOR_HOURS_CAP,MAX(0,($D233+S$5)-PERMANENT_FIELD_LABOR_HOURS)&gt;TEMP_HOURS_CAP),"",$C233+S$6-MIN(($D233+S$5),PERMANENT_FIELD_LABOR_HOURS)*PERMANENT_HOURLY_RATE-MAX(0,($D233+S$5)-PERMANENT_FIELD_LABOR_HOURS)*TEMP_HOURLY_RATE-FIXED_SEASON_COST)</f>
        <v>31401.077606385</v>
      </c>
      <c r="T233" s="53" t="n">
        <f aca="false">IF(OR($A233&gt;TOMATO_BED_CAP,$B233&gt;CARROT_BED_CAP,T$4&gt;MESCLUN_BED_CAP,$A233+$B233+T$4&gt;TOTAL_BEDS_AVAILABLE,($D233+T$5)&gt;TOTAL_LABOR_HOURS_CAP,MAX(0,($D233+T$5)-PERMANENT_FIELD_LABOR_HOURS)&gt;TEMP_HOURS_CAP),"",$C233+T$6-MIN(($D233+T$5),PERMANENT_FIELD_LABOR_HOURS)*PERMANENT_HOURLY_RATE-MAX(0,($D233+T$5)-PERMANENT_FIELD_LABOR_HOURS)*TEMP_HOURLY_RATE-FIXED_SEASON_COST)</f>
        <v>32142.2910747798</v>
      </c>
      <c r="U233" s="53" t="n">
        <f aca="false">IF(OR($A233&gt;TOMATO_BED_CAP,$B233&gt;CARROT_BED_CAP,U$4&gt;MESCLUN_BED_CAP,$A233+$B233+U$4&gt;TOTAL_BEDS_AVAILABLE,($D233+U$5)&gt;TOTAL_LABOR_HOURS_CAP,MAX(0,($D233+U$5)-PERMANENT_FIELD_LABOR_HOURS)&gt;TEMP_HOURS_CAP),"",$C233+U$6-MIN(($D233+U$5),PERMANENT_FIELD_LABOR_HOURS)*PERMANENT_HOURLY_RATE-MAX(0,($D233+U$5)-PERMANENT_FIELD_LABOR_HOURS)*TEMP_HOURLY_RATE-FIXED_SEASON_COST)</f>
        <v>32858.3998034099</v>
      </c>
      <c r="V233" s="53" t="n">
        <f aca="false">IF(OR($A233&gt;TOMATO_BED_CAP,$B233&gt;CARROT_BED_CAP,V$4&gt;MESCLUN_BED_CAP,$A233+$B233+V$4&gt;TOTAL_BEDS_AVAILABLE,($D233+V$5)&gt;TOTAL_LABOR_HOURS_CAP,MAX(0,($D233+V$5)-PERMANENT_FIELD_LABOR_HOURS)&gt;TEMP_HOURS_CAP),"",$C233+V$6-MIN(($D233+V$5),PERMANENT_FIELD_LABOR_HOURS)*PERMANENT_HOURLY_RATE-MAX(0,($D233+V$5)-PERMANENT_FIELD_LABOR_HOURS)*TEMP_HOURLY_RATE-FIXED_SEASON_COST)</f>
        <v>33548.9447341767</v>
      </c>
      <c r="W233" s="53" t="n">
        <f aca="false">IF(OR($A233&gt;TOMATO_BED_CAP,$B233&gt;CARROT_BED_CAP,W$4&gt;MESCLUN_BED_CAP,$A233+$B233+W$4&gt;TOTAL_BEDS_AVAILABLE,($D233+W$5)&gt;TOTAL_LABOR_HOURS_CAP,MAX(0,($D233+W$5)-PERMANENT_FIELD_LABOR_HOURS)&gt;TEMP_HOURS_CAP),"",$C233+W$6-MIN(($D233+W$5),PERMANENT_FIELD_LABOR_HOURS)*PERMANENT_HOURLY_RATE-MAX(0,($D233+W$5)-PERMANENT_FIELD_LABOR_HOURS)*TEMP_HOURLY_RATE-FIXED_SEASON_COST)</f>
        <v>34213.4592551448</v>
      </c>
      <c r="X233" s="53" t="n">
        <f aca="false">IF(OR($A233&gt;TOMATO_BED_CAP,$B233&gt;CARROT_BED_CAP,X$4&gt;MESCLUN_BED_CAP,$A233+$B233+X$4&gt;TOTAL_BEDS_AVAILABLE,($D233+X$5)&gt;TOTAL_LABOR_HOURS_CAP,MAX(0,($D233+X$5)-PERMANENT_FIELD_LABOR_HOURS)&gt;TEMP_HOURS_CAP),"",$C233+X$6-MIN(($D233+X$5),PERMANENT_FIELD_LABOR_HOURS)*PERMANENT_HOURLY_RATE-MAX(0,($D233+X$5)-PERMANENT_FIELD_LABOR_HOURS)*TEMP_HOURLY_RATE-FIXED_SEASON_COST)</f>
        <v>34851.4690834237</v>
      </c>
      <c r="Y233" s="53" t="n">
        <f aca="false">IF(OR($A233&gt;TOMATO_BED_CAP,$B233&gt;CARROT_BED_CAP,Y$4&gt;MESCLUN_BED_CAP,$A233+$B233+Y$4&gt;TOTAL_BEDS_AVAILABLE,($D233+Y$5)&gt;TOTAL_LABOR_HOURS_CAP,MAX(0,($D233+Y$5)-PERMANENT_FIELD_LABOR_HOURS)&gt;TEMP_HOURS_CAP),"",$C233+Y$6-MIN(($D233+Y$5),PERMANENT_FIELD_LABOR_HOURS)*PERMANENT_HOURLY_RATE-MAX(0,($D233+Y$5)-PERMANENT_FIELD_LABOR_HOURS)*TEMP_HOURLY_RATE-FIXED_SEASON_COST)</f>
        <v>35462.4921463024</v>
      </c>
      <c r="Z233" s="53" t="n">
        <f aca="false">IF(OR($A233&gt;TOMATO_BED_CAP,$B233&gt;CARROT_BED_CAP,Z$4&gt;MESCLUN_BED_CAP,$A233+$B233+Z$4&gt;TOTAL_BEDS_AVAILABLE,($D233+Z$5)&gt;TOTAL_LABOR_HOURS_CAP,MAX(0,($D233+Z$5)-PERMANENT_FIELD_LABOR_HOURS)&gt;TEMP_HOURS_CAP),"",$C233+Z$6-MIN(($D233+Z$5),PERMANENT_FIELD_LABOR_HOURS)*PERMANENT_HOURLY_RATE-MAX(0,($D233+Z$5)-PERMANENT_FIELD_LABOR_HOURS)*TEMP_HOURLY_RATE-FIXED_SEASON_COST)</f>
        <v>36046.0384606101</v>
      </c>
      <c r="AA233" s="53" t="n">
        <f aca="false">IF(OR($A233&gt;TOMATO_BED_CAP,$B233&gt;CARROT_BED_CAP,AA$4&gt;MESCLUN_BED_CAP,$A233+$B233+AA$4&gt;TOTAL_BEDS_AVAILABLE,($D233+AA$5)&gt;TOTAL_LABOR_HOURS_CAP,MAX(0,($D233+AA$5)-PERMANENT_FIELD_LABOR_HOURS)&gt;TEMP_HOURS_CAP),"",$C233+AA$6-MIN(($D233+AA$5),PERMANENT_FIELD_LABOR_HOURS)*PERMANENT_HOURLY_RATE-MAX(0,($D233+AA$5)-PERMANENT_FIELD_LABOR_HOURS)*TEMP_HOURLY_RATE-FIXED_SEASON_COST)</f>
        <v>36601.610010279</v>
      </c>
      <c r="AB233" s="53" t="n">
        <f aca="false">IF(OR($A233&gt;TOMATO_BED_CAP,$B233&gt;CARROT_BED_CAP,AB$4&gt;MESCLUN_BED_CAP,$A233+$B233+AB$4&gt;TOTAL_BEDS_AVAILABLE,($D233+AB$5)&gt;TOTAL_LABOR_HOURS_CAP,MAX(0,($D233+AB$5)-PERMANENT_FIELD_LABOR_HOURS)&gt;TEMP_HOURS_CAP),"",$C233+AB$6-MIN(($D233+AB$5),PERMANENT_FIELD_LABOR_HOURS)*PERMANENT_HOURLY_RATE-MAX(0,($D233+AB$5)-PERMANENT_FIELD_LABOR_HOURS)*TEMP_HOURLY_RATE-FIXED_SEASON_COST)</f>
        <v>37128.7006220816</v>
      </c>
      <c r="AC233" s="53" t="n">
        <f aca="false">IF(OR($A233&gt;TOMATO_BED_CAP,$B233&gt;CARROT_BED_CAP,AC$4&gt;MESCLUN_BED_CAP,$A233+$B233+AC$4&gt;TOTAL_BEDS_AVAILABLE,($D233+AC$5)&gt;TOTAL_LABOR_HOURS_CAP,MAX(0,($D233+AC$5)-PERMANENT_FIELD_LABOR_HOURS)&gt;TEMP_HOURS_CAP),"",$C233+AC$6-MIN(($D233+AC$5),PERMANENT_FIELD_LABOR_HOURS)*PERMANENT_HOURLY_RATE-MAX(0,($D233+AC$5)-PERMANENT_FIELD_LABOR_HOURS)*TEMP_HOURLY_RATE-FIXED_SEASON_COST)</f>
        <v>37626.7958395165</v>
      </c>
      <c r="AD233" s="53" t="n">
        <f aca="false">IF(OR($A233&gt;TOMATO_BED_CAP,$B233&gt;CARROT_BED_CAP,AD$4&gt;MESCLUN_BED_CAP,$A233+$B233+AD$4&gt;TOTAL_BEDS_AVAILABLE,($D233+AD$5)&gt;TOTAL_LABOR_HOURS_CAP,MAX(0,($D233+AD$5)-PERMANENT_FIELD_LABOR_HOURS)&gt;TEMP_HOURS_CAP),"",$C233+AD$6-MIN(($D233+AD$5),PERMANENT_FIELD_LABOR_HOURS)*PERMANENT_HOURLY_RATE-MAX(0,($D233+AD$5)-PERMANENT_FIELD_LABOR_HOURS)*TEMP_HOURLY_RATE-FIXED_SEASON_COST)</f>
        <v>38095.3727948164</v>
      </c>
      <c r="AE233" s="53" t="n">
        <f aca="false">IF(OR($A233&gt;TOMATO_BED_CAP,$B233&gt;CARROT_BED_CAP,AE$4&gt;MESCLUN_BED_CAP,$A233+$B233+AE$4&gt;TOTAL_BEDS_AVAILABLE,($D233+AE$5)&gt;TOTAL_LABOR_HOURS_CAP,MAX(0,($D233+AE$5)-PERMANENT_FIELD_LABOR_HOURS)&gt;TEMP_HOURS_CAP),"",$C233+AE$6-MIN(($D233+AE$5),PERMANENT_FIELD_LABOR_HOURS)*PERMANENT_HOURLY_RATE-MAX(0,($D233+AE$5)-PERMANENT_FIELD_LABOR_HOURS)*TEMP_HOURLY_RATE-FIXED_SEASON_COST)</f>
        <v>38533.9000790504</v>
      </c>
      <c r="AF233" s="53" t="n">
        <f aca="false">IF(OR($A233&gt;TOMATO_BED_CAP,$B233&gt;CARROT_BED_CAP,AF$4&gt;MESCLUN_BED_CAP,$A233+$B233+AF$4&gt;TOTAL_BEDS_AVAILABLE,($D233+AF$5)&gt;TOTAL_LABOR_HOURS_CAP,MAX(0,($D233+AF$5)-PERMANENT_FIELD_LABOR_HOURS)&gt;TEMP_HOURS_CAP),"",$C233+AF$6-MIN(($D233+AF$5),PERMANENT_FIELD_LABOR_HOURS)*PERMANENT_HOURLY_RATE-MAX(0,($D233+AF$5)-PERMANENT_FIELD_LABOR_HOURS)*TEMP_HOURLY_RATE-FIXED_SEASON_COST)</f>
        <v>38941.8376102923</v>
      </c>
      <c r="AG233" s="53" t="n">
        <f aca="false">IF(OR($A233&gt;TOMATO_BED_CAP,$B233&gt;CARROT_BED_CAP,AG$4&gt;MESCLUN_BED_CAP,$A233+$B233+AG$4&gt;TOTAL_BEDS_AVAILABLE,($D233+AG$5)&gt;TOTAL_LABOR_HOURS_CAP,MAX(0,($D233+AG$5)-PERMANENT_FIELD_LABOR_HOURS)&gt;TEMP_HOURS_CAP),"",$C233+AG$6-MIN(($D233+AG$5),PERMANENT_FIELD_LABOR_HOURS)*PERMANENT_HOURLY_RATE-MAX(0,($D233+AG$5)-PERMANENT_FIELD_LABOR_HOURS)*TEMP_HOURLY_RATE-FIXED_SEASON_COST)</f>
        <v>39318.6364998293</v>
      </c>
      <c r="AH233" s="53" t="n">
        <f aca="false">IF(OR($A233&gt;TOMATO_BED_CAP,$B233&gt;CARROT_BED_CAP,AH$4&gt;MESCLUN_BED_CAP,$A233+$B233+AH$4&gt;TOTAL_BEDS_AVAILABLE,($D233+AH$5)&gt;TOTAL_LABOR_HOURS_CAP,MAX(0,($D233+AH$5)-PERMANENT_FIELD_LABOR_HOURS)&gt;TEMP_HOURS_CAP),"",$C233+AH$6-MIN(($D233+AH$5),PERMANENT_FIELD_LABOR_HOURS)*PERMANENT_HOURLY_RATE-MAX(0,($D233+AH$5)-PERMANENT_FIELD_LABOR_HOURS)*TEMP_HOURLY_RATE-FIXED_SEASON_COST)</f>
        <v>39663.7389163795</v>
      </c>
      <c r="AI233" s="53" t="n">
        <f aca="false">IF(OR($A233&gt;TOMATO_BED_CAP,$B233&gt;CARROT_BED_CAP,AI$4&gt;MESCLUN_BED_CAP,$A233+$B233+AI$4&gt;TOTAL_BEDS_AVAILABLE,($D233+AI$5)&gt;TOTAL_LABOR_HOURS_CAP,MAX(0,($D233+AI$5)-PERMANENT_FIELD_LABOR_HOURS)&gt;TEMP_HOURS_CAP),"",$C233+AI$6-MIN(($D233+AI$5),PERMANENT_FIELD_LABOR_HOURS)*PERMANENT_HOURLY_RATE-MAX(0,($D233+AI$5)-PERMANENT_FIELD_LABOR_HOURS)*TEMP_HOURLY_RATE-FIXED_SEASON_COST)</f>
        <v>39976.5779482918</v>
      </c>
      <c r="AJ233" s="53" t="n">
        <f aca="false">IF(OR($A233&gt;TOMATO_BED_CAP,$B233&gt;CARROT_BED_CAP,AJ$4&gt;MESCLUN_BED_CAP,$A233+$B233+AJ$4&gt;TOTAL_BEDS_AVAILABLE,($D233+AJ$5)&gt;TOTAL_LABOR_HOURS_CAP,MAX(0,($D233+AJ$5)-PERMANENT_FIELD_LABOR_HOURS)&gt;TEMP_HOURS_CAP),"",$C233+AJ$6-MIN(($D233+AJ$5),PERMANENT_FIELD_LABOR_HOURS)*PERMANENT_HOURLY_RATE-MAX(0,($D233+AJ$5)-PERMANENT_FIELD_LABOR_HOURS)*TEMP_HOURLY_RATE-FIXED_SEASON_COST)</f>
        <v>40256.5774636976</v>
      </c>
    </row>
    <row r="234" customFormat="false" ht="15" hidden="false" customHeight="false" outlineLevel="0" collapsed="false">
      <c r="A234" s="21" t="n">
        <f aca="false">INT((ROW()-ROW($A$8))/(20+1))</f>
        <v>10</v>
      </c>
      <c r="B234" s="21" t="n">
        <f aca="false">MOD(ROW()-ROW($A$8),20+1)</f>
        <v>16</v>
      </c>
      <c r="C234" s="13" t="n">
        <f aca="false">A234*(TOMATO_REVENUE_PER_BED-TOMATO_FERTILIZER_PER_BED)+B234*(CARROT_REVENUE_PER_BED-CARROT_FERTILIZER_PER_BED)</f>
        <v>105664</v>
      </c>
      <c r="D234" s="14" t="n">
        <f aca="false">INDEX(TOMATO_SCHED_LABOR_HRS,A234+1)+INDEX(CARROT_SCHED_LABOR_HRS,B234+1)</f>
        <v>3046.64588692791</v>
      </c>
      <c r="E234" s="13" t="n">
        <f aca="false">IF(COUNT(F234:AJ234)=0,"",MAX(F234:AJ234))</f>
        <v>40855.0166978041</v>
      </c>
      <c r="F234" s="53" t="n">
        <f aca="false">IF(OR($A234&gt;TOMATO_BED_CAP,$B234&gt;CARROT_BED_CAP,F$4&gt;MESCLUN_BED_CAP,$A234+$B234+F$4&gt;TOTAL_BEDS_AVAILABLE,($D234+F$5)&gt;TOTAL_LABOR_HOURS_CAP,MAX(0,($D234+F$5)-PERMANENT_FIELD_LABOR_HOURS)&gt;TEMP_HOURS_CAP),"",$C234+F$6-MIN(($D234+F$5),PERMANENT_FIELD_LABOR_HOURS)*PERMANENT_HOURLY_RATE-MAX(0,($D234+F$5)-PERMANENT_FIELD_LABOR_HOURS)*TEMP_HOURLY_RATE-FIXED_SEASON_COST)</f>
        <v>20275.0274029316</v>
      </c>
      <c r="G234" s="53" t="n">
        <f aca="false">IF(OR($A234&gt;TOMATO_BED_CAP,$B234&gt;CARROT_BED_CAP,G$4&gt;MESCLUN_BED_CAP,$A234+$B234+G$4&gt;TOTAL_BEDS_AVAILABLE,($D234+G$5)&gt;TOTAL_LABOR_HOURS_CAP,MAX(0,($D234+G$5)-PERMANENT_FIELD_LABOR_HOURS)&gt;TEMP_HOURS_CAP),"",$C234+G$6-MIN(($D234+G$5),PERMANENT_FIELD_LABOR_HOURS)*PERMANENT_HOURLY_RATE-MAX(0,($D234+G$5)-PERMANENT_FIELD_LABOR_HOURS)*TEMP_HOURLY_RATE-FIXED_SEASON_COST)</f>
        <v>21304.0624029316</v>
      </c>
      <c r="H234" s="53" t="n">
        <f aca="false">IF(OR($A234&gt;TOMATO_BED_CAP,$B234&gt;CARROT_BED_CAP,H$4&gt;MESCLUN_BED_CAP,$A234+$B234+H$4&gt;TOTAL_BEDS_AVAILABLE,($D234+H$5)&gt;TOTAL_LABOR_HOURS_CAP,MAX(0,($D234+H$5)-PERMANENT_FIELD_LABOR_HOURS)&gt;TEMP_HOURS_CAP),"",$C234+H$6-MIN(($D234+H$5),PERMANENT_FIELD_LABOR_HOURS)*PERMANENT_HOURLY_RATE-MAX(0,($D234+H$5)-PERMANENT_FIELD_LABOR_HOURS)*TEMP_HOURLY_RATE-FIXED_SEASON_COST)</f>
        <v>22313.3232779316</v>
      </c>
      <c r="I234" s="53" t="n">
        <f aca="false">IF(OR($A234&gt;TOMATO_BED_CAP,$B234&gt;CARROT_BED_CAP,I$4&gt;MESCLUN_BED_CAP,$A234+$B234+I$4&gt;TOTAL_BEDS_AVAILABLE,($D234+I$5)&gt;TOTAL_LABOR_HOURS_CAP,MAX(0,($D234+I$5)-PERMANENT_FIELD_LABOR_HOURS)&gt;TEMP_HOURS_CAP),"",$C234+I$6-MIN(($D234+I$5),PERMANENT_FIELD_LABOR_HOURS)*PERMANENT_HOURLY_RATE-MAX(0,($D234+I$5)-PERMANENT_FIELD_LABOR_HOURS)*TEMP_HOURLY_RATE-FIXED_SEASON_COST)</f>
        <v>23302.4392630878</v>
      </c>
      <c r="J234" s="53" t="n">
        <f aca="false">IF(OR($A234&gt;TOMATO_BED_CAP,$B234&gt;CARROT_BED_CAP,J$4&gt;MESCLUN_BED_CAP,$A234+$B234+J$4&gt;TOTAL_BEDS_AVAILABLE,($D234+J$5)&gt;TOTAL_LABOR_HOURS_CAP,MAX(0,($D234+J$5)-PERMANENT_FIELD_LABOR_HOURS)&gt;TEMP_HOURS_CAP),"",$C234+J$6-MIN(($D234+J$5),PERMANENT_FIELD_LABOR_HOURS)*PERMANENT_HOURLY_RATE-MAX(0,($D234+J$5)-PERMANENT_FIELD_LABOR_HOURS)*TEMP_HOURLY_RATE-FIXED_SEASON_COST)</f>
        <v>24271.0334141425</v>
      </c>
      <c r="K234" s="53" t="n">
        <f aca="false">IF(OR($A234&gt;TOMATO_BED_CAP,$B234&gt;CARROT_BED_CAP,K$4&gt;MESCLUN_BED_CAP,$A234+$B234+K$4&gt;TOTAL_BEDS_AVAILABLE,($D234+K$5)&gt;TOTAL_LABOR_HOURS_CAP,MAX(0,($D234+K$5)-PERMANENT_FIELD_LABOR_HOURS)&gt;TEMP_HOURS_CAP),"",$C234+K$6-MIN(($D234+K$5),PERMANENT_FIELD_LABOR_HOURS)*PERMANENT_HOURLY_RATE-MAX(0,($D234+K$5)-PERMANENT_FIELD_LABOR_HOURS)*TEMP_HOURLY_RATE-FIXED_SEASON_COST)</f>
        <v>25218.7225108704</v>
      </c>
      <c r="L234" s="53" t="n">
        <f aca="false">IF(OR($A234&gt;TOMATO_BED_CAP,$B234&gt;CARROT_BED_CAP,L$4&gt;MESCLUN_BED_CAP,$A234+$B234+L$4&gt;TOTAL_BEDS_AVAILABLE,($D234+L$5)&gt;TOTAL_LABOR_HOURS_CAP,MAX(0,($D234+L$5)-PERMANENT_FIELD_LABOR_HOURS)&gt;TEMP_HOURS_CAP),"",$C234+L$6-MIN(($D234+L$5),PERMANENT_FIELD_LABOR_HOURS)*PERMANENT_HOURLY_RATE-MAX(0,($D234+L$5)-PERMANENT_FIELD_LABOR_HOURS)*TEMP_HOURLY_RATE-FIXED_SEASON_COST)</f>
        <v>26145.1169590773</v>
      </c>
      <c r="M234" s="53" t="n">
        <f aca="false">IF(OR($A234&gt;TOMATO_BED_CAP,$B234&gt;CARROT_BED_CAP,M$4&gt;MESCLUN_BED_CAP,$A234+$B234+M$4&gt;TOTAL_BEDS_AVAILABLE,($D234+M$5)&gt;TOTAL_LABOR_HOURS_CAP,MAX(0,($D234+M$5)-PERMANENT_FIELD_LABOR_HOURS)&gt;TEMP_HOURS_CAP),"",$C234+M$6-MIN(($D234+M$5),PERMANENT_FIELD_LABOR_HOURS)*PERMANENT_HOURLY_RATE-MAX(0,($D234+M$5)-PERMANENT_FIELD_LABOR_HOURS)*TEMP_HOURLY_RATE-FIXED_SEASON_COST)</f>
        <v>27049.8206911287</v>
      </c>
      <c r="N234" s="53" t="n">
        <f aca="false">IF(OR($A234&gt;TOMATO_BED_CAP,$B234&gt;CARROT_BED_CAP,N$4&gt;MESCLUN_BED_CAP,$A234+$B234+N$4&gt;TOTAL_BEDS_AVAILABLE,($D234+N$5)&gt;TOTAL_LABOR_HOURS_CAP,MAX(0,($D234+N$5)-PERMANENT_FIELD_LABOR_HOURS)&gt;TEMP_HOURS_CAP),"",$C234+N$6-MIN(($D234+N$5),PERMANENT_FIELD_LABOR_HOURS)*PERMANENT_HOURLY_RATE-MAX(0,($D234+N$5)-PERMANENT_FIELD_LABOR_HOURS)*TEMP_HOURLY_RATE-FIXED_SEASON_COST)</f>
        <v>27932.4310649882</v>
      </c>
      <c r="O234" s="53" t="n">
        <f aca="false">IF(OR($A234&gt;TOMATO_BED_CAP,$B234&gt;CARROT_BED_CAP,O$4&gt;MESCLUN_BED_CAP,$A234+$B234+O$4&gt;TOTAL_BEDS_AVAILABLE,($D234+O$5)&gt;TOTAL_LABOR_HOURS_CAP,MAX(0,($D234+O$5)-PERMANENT_FIELD_LABOR_HOURS)&gt;TEMP_HOURS_CAP),"",$C234+O$6-MIN(($D234+O$5),PERMANENT_FIELD_LABOR_HOURS)*PERMANENT_HOURLY_RATE-MAX(0,($D234+O$5)-PERMANENT_FIELD_LABOR_HOURS)*TEMP_HOURLY_RATE-FIXED_SEASON_COST)</f>
        <v>28792.538761743</v>
      </c>
      <c r="P234" s="53" t="n">
        <f aca="false">IF(OR($A234&gt;TOMATO_BED_CAP,$B234&gt;CARROT_BED_CAP,P$4&gt;MESCLUN_BED_CAP,$A234+$B234+P$4&gt;TOTAL_BEDS_AVAILABLE,($D234+P$5)&gt;TOTAL_LABOR_HOURS_CAP,MAX(0,($D234+P$5)-PERMANENT_FIELD_LABOR_HOURS)&gt;TEMP_HOURS_CAP),"",$C234+P$6-MIN(($D234+P$5),PERMANENT_FIELD_LABOR_HOURS)*PERMANENT_HOURLY_RATE-MAX(0,($D234+P$5)-PERMANENT_FIELD_LABOR_HOURS)*TEMP_HOURLY_RATE-FIXED_SEASON_COST)</f>
        <v>29629.7276815944</v>
      </c>
      <c r="Q234" s="53" t="n">
        <f aca="false">IF(OR($A234&gt;TOMATO_BED_CAP,$B234&gt;CARROT_BED_CAP,Q$4&gt;MESCLUN_BED_CAP,$A234+$B234+Q$4&gt;TOTAL_BEDS_AVAILABLE,($D234+Q$5)&gt;TOTAL_LABOR_HOURS_CAP,MAX(0,($D234+Q$5)-PERMANENT_FIELD_LABOR_HOURS)&gt;TEMP_HOURS_CAP),"",$C234+Q$6-MIN(($D234+Q$5),PERMANENT_FIELD_LABOR_HOURS)*PERMANENT_HOURLY_RATE-MAX(0,($D234+Q$5)-PERMANENT_FIELD_LABOR_HOURS)*TEMP_HOURLY_RATE-FIXED_SEASON_COST)</f>
        <v>30443.5748382923</v>
      </c>
      <c r="R234" s="53" t="n">
        <f aca="false">IF(OR($A234&gt;TOMATO_BED_CAP,$B234&gt;CARROT_BED_CAP,R$4&gt;MESCLUN_BED_CAP,$A234+$B234+R$4&gt;TOTAL_BEDS_AVAILABLE,($D234+R$5)&gt;TOTAL_LABOR_HOURS_CAP,MAX(0,($D234+R$5)-PERMANENT_FIELD_LABOR_HOURS)&gt;TEMP_HOURS_CAP),"",$C234+R$6-MIN(($D234+R$5),PERMANENT_FIELD_LABOR_HOURS)*PERMANENT_HOURLY_RATE-MAX(0,($D234+R$5)-PERMANENT_FIELD_LABOR_HOURS)*TEMP_HOURLY_RATE-FIXED_SEASON_COST)</f>
        <v>31233.6502519891</v>
      </c>
      <c r="S234" s="53" t="n">
        <f aca="false">IF(OR($A234&gt;TOMATO_BED_CAP,$B234&gt;CARROT_BED_CAP,S$4&gt;MESCLUN_BED_CAP,$A234+$B234+S$4&gt;TOTAL_BEDS_AVAILABLE,($D234+S$5)&gt;TOTAL_LABOR_HOURS_CAP,MAX(0,($D234+S$5)-PERMANENT_FIELD_LABOR_HOURS)&gt;TEMP_HOURS_CAP),"",$C234+S$6-MIN(($D234+S$5),PERMANENT_FIELD_LABOR_HOURS)*PERMANENT_HOURLY_RATE-MAX(0,($D234+S$5)-PERMANENT_FIELD_LABOR_HOURS)*TEMP_HOURLY_RATE-FIXED_SEASON_COST)</f>
        <v>31999.5168404916</v>
      </c>
      <c r="T234" s="53" t="n">
        <f aca="false">IF(OR($A234&gt;TOMATO_BED_CAP,$B234&gt;CARROT_BED_CAP,T$4&gt;MESCLUN_BED_CAP,$A234+$B234+T$4&gt;TOTAL_BEDS_AVAILABLE,($D234+T$5)&gt;TOTAL_LABOR_HOURS_CAP,MAX(0,($D234+T$5)-PERMANENT_FIELD_LABOR_HOURS)&gt;TEMP_HOURS_CAP),"",$C234+T$6-MIN(($D234+T$5),PERMANENT_FIELD_LABOR_HOURS)*PERMANENT_HOURLY_RATE-MAX(0,($D234+T$5)-PERMANENT_FIELD_LABOR_HOURS)*TEMP_HOURLY_RATE-FIXED_SEASON_COST)</f>
        <v>32740.7303088864</v>
      </c>
      <c r="U234" s="53" t="n">
        <f aca="false">IF(OR($A234&gt;TOMATO_BED_CAP,$B234&gt;CARROT_BED_CAP,U$4&gt;MESCLUN_BED_CAP,$A234+$B234+U$4&gt;TOTAL_BEDS_AVAILABLE,($D234+U$5)&gt;TOTAL_LABOR_HOURS_CAP,MAX(0,($D234+U$5)-PERMANENT_FIELD_LABOR_HOURS)&gt;TEMP_HOURS_CAP),"",$C234+U$6-MIN(($D234+U$5),PERMANENT_FIELD_LABOR_HOURS)*PERMANENT_HOURLY_RATE-MAX(0,($D234+U$5)-PERMANENT_FIELD_LABOR_HOURS)*TEMP_HOURLY_RATE-FIXED_SEASON_COST)</f>
        <v>33456.8390375165</v>
      </c>
      <c r="V234" s="53" t="n">
        <f aca="false">IF(OR($A234&gt;TOMATO_BED_CAP,$B234&gt;CARROT_BED_CAP,V$4&gt;MESCLUN_BED_CAP,$A234+$B234+V$4&gt;TOTAL_BEDS_AVAILABLE,($D234+V$5)&gt;TOTAL_LABOR_HOURS_CAP,MAX(0,($D234+V$5)-PERMANENT_FIELD_LABOR_HOURS)&gt;TEMP_HOURS_CAP),"",$C234+V$6-MIN(($D234+V$5),PERMANENT_FIELD_LABOR_HOURS)*PERMANENT_HOURLY_RATE-MAX(0,($D234+V$5)-PERMANENT_FIELD_LABOR_HOURS)*TEMP_HOURLY_RATE-FIXED_SEASON_COST)</f>
        <v>34147.3839682833</v>
      </c>
      <c r="W234" s="53" t="n">
        <f aca="false">IF(OR($A234&gt;TOMATO_BED_CAP,$B234&gt;CARROT_BED_CAP,W$4&gt;MESCLUN_BED_CAP,$A234+$B234+W$4&gt;TOTAL_BEDS_AVAILABLE,($D234+W$5)&gt;TOTAL_LABOR_HOURS_CAP,MAX(0,($D234+W$5)-PERMANENT_FIELD_LABOR_HOURS)&gt;TEMP_HOURS_CAP),"",$C234+W$6-MIN(($D234+W$5),PERMANENT_FIELD_LABOR_HOURS)*PERMANENT_HOURLY_RATE-MAX(0,($D234+W$5)-PERMANENT_FIELD_LABOR_HOURS)*TEMP_HOURLY_RATE-FIXED_SEASON_COST)</f>
        <v>34811.8984892514</v>
      </c>
      <c r="X234" s="53" t="n">
        <f aca="false">IF(OR($A234&gt;TOMATO_BED_CAP,$B234&gt;CARROT_BED_CAP,X$4&gt;MESCLUN_BED_CAP,$A234+$B234+X$4&gt;TOTAL_BEDS_AVAILABLE,($D234+X$5)&gt;TOTAL_LABOR_HOURS_CAP,MAX(0,($D234+X$5)-PERMANENT_FIELD_LABOR_HOURS)&gt;TEMP_HOURS_CAP),"",$C234+X$6-MIN(($D234+X$5),PERMANENT_FIELD_LABOR_HOURS)*PERMANENT_HOURLY_RATE-MAX(0,($D234+X$5)-PERMANENT_FIELD_LABOR_HOURS)*TEMP_HOURLY_RATE-FIXED_SEASON_COST)</f>
        <v>35449.9083175303</v>
      </c>
      <c r="Y234" s="53" t="n">
        <f aca="false">IF(OR($A234&gt;TOMATO_BED_CAP,$B234&gt;CARROT_BED_CAP,Y$4&gt;MESCLUN_BED_CAP,$A234+$B234+Y$4&gt;TOTAL_BEDS_AVAILABLE,($D234+Y$5)&gt;TOTAL_LABOR_HOURS_CAP,MAX(0,($D234+Y$5)-PERMANENT_FIELD_LABOR_HOURS)&gt;TEMP_HOURS_CAP),"",$C234+Y$6-MIN(($D234+Y$5),PERMANENT_FIELD_LABOR_HOURS)*PERMANENT_HOURLY_RATE-MAX(0,($D234+Y$5)-PERMANENT_FIELD_LABOR_HOURS)*TEMP_HOURLY_RATE-FIXED_SEASON_COST)</f>
        <v>36060.9313804089</v>
      </c>
      <c r="Z234" s="53" t="n">
        <f aca="false">IF(OR($A234&gt;TOMATO_BED_CAP,$B234&gt;CARROT_BED_CAP,Z$4&gt;MESCLUN_BED_CAP,$A234+$B234+Z$4&gt;TOTAL_BEDS_AVAILABLE,($D234+Z$5)&gt;TOTAL_LABOR_HOURS_CAP,MAX(0,($D234+Z$5)-PERMANENT_FIELD_LABOR_HOURS)&gt;TEMP_HOURS_CAP),"",$C234+Z$6-MIN(($D234+Z$5),PERMANENT_FIELD_LABOR_HOURS)*PERMANENT_HOURLY_RATE-MAX(0,($D234+Z$5)-PERMANENT_FIELD_LABOR_HOURS)*TEMP_HOURLY_RATE-FIXED_SEASON_COST)</f>
        <v>36644.4776947167</v>
      </c>
      <c r="AA234" s="53" t="n">
        <f aca="false">IF(OR($A234&gt;TOMATO_BED_CAP,$B234&gt;CARROT_BED_CAP,AA$4&gt;MESCLUN_BED_CAP,$A234+$B234+AA$4&gt;TOTAL_BEDS_AVAILABLE,($D234+AA$5)&gt;TOTAL_LABOR_HOURS_CAP,MAX(0,($D234+AA$5)-PERMANENT_FIELD_LABOR_HOURS)&gt;TEMP_HOURS_CAP),"",$C234+AA$6-MIN(($D234+AA$5),PERMANENT_FIELD_LABOR_HOURS)*PERMANENT_HOURLY_RATE-MAX(0,($D234+AA$5)-PERMANENT_FIELD_LABOR_HOURS)*TEMP_HOURLY_RATE-FIXED_SEASON_COST)</f>
        <v>37200.0492443856</v>
      </c>
      <c r="AB234" s="53" t="n">
        <f aca="false">IF(OR($A234&gt;TOMATO_BED_CAP,$B234&gt;CARROT_BED_CAP,AB$4&gt;MESCLUN_BED_CAP,$A234+$B234+AB$4&gt;TOTAL_BEDS_AVAILABLE,($D234+AB$5)&gt;TOTAL_LABOR_HOURS_CAP,MAX(0,($D234+AB$5)-PERMANENT_FIELD_LABOR_HOURS)&gt;TEMP_HOURS_CAP),"",$C234+AB$6-MIN(($D234+AB$5),PERMANENT_FIELD_LABOR_HOURS)*PERMANENT_HOURLY_RATE-MAX(0,($D234+AB$5)-PERMANENT_FIELD_LABOR_HOURS)*TEMP_HOURLY_RATE-FIXED_SEASON_COST)</f>
        <v>37727.1398561882</v>
      </c>
      <c r="AC234" s="53" t="n">
        <f aca="false">IF(OR($A234&gt;TOMATO_BED_CAP,$B234&gt;CARROT_BED_CAP,AC$4&gt;MESCLUN_BED_CAP,$A234+$B234+AC$4&gt;TOTAL_BEDS_AVAILABLE,($D234+AC$5)&gt;TOTAL_LABOR_HOURS_CAP,MAX(0,($D234+AC$5)-PERMANENT_FIELD_LABOR_HOURS)&gt;TEMP_HOURS_CAP),"",$C234+AC$6-MIN(($D234+AC$5),PERMANENT_FIELD_LABOR_HOURS)*PERMANENT_HOURLY_RATE-MAX(0,($D234+AC$5)-PERMANENT_FIELD_LABOR_HOURS)*TEMP_HOURLY_RATE-FIXED_SEASON_COST)</f>
        <v>38225.2350736231</v>
      </c>
      <c r="AD234" s="53" t="n">
        <f aca="false">IF(OR($A234&gt;TOMATO_BED_CAP,$B234&gt;CARROT_BED_CAP,AD$4&gt;MESCLUN_BED_CAP,$A234+$B234+AD$4&gt;TOTAL_BEDS_AVAILABLE,($D234+AD$5)&gt;TOTAL_LABOR_HOURS_CAP,MAX(0,($D234+AD$5)-PERMANENT_FIELD_LABOR_HOURS)&gt;TEMP_HOURS_CAP),"",$C234+AD$6-MIN(($D234+AD$5),PERMANENT_FIELD_LABOR_HOURS)*PERMANENT_HOURLY_RATE-MAX(0,($D234+AD$5)-PERMANENT_FIELD_LABOR_HOURS)*TEMP_HOURLY_RATE-FIXED_SEASON_COST)</f>
        <v>38693.812028923</v>
      </c>
      <c r="AE234" s="53" t="n">
        <f aca="false">IF(OR($A234&gt;TOMATO_BED_CAP,$B234&gt;CARROT_BED_CAP,AE$4&gt;MESCLUN_BED_CAP,$A234+$B234+AE$4&gt;TOTAL_BEDS_AVAILABLE,($D234+AE$5)&gt;TOTAL_LABOR_HOURS_CAP,MAX(0,($D234+AE$5)-PERMANENT_FIELD_LABOR_HOURS)&gt;TEMP_HOURS_CAP),"",$C234+AE$6-MIN(($D234+AE$5),PERMANENT_FIELD_LABOR_HOURS)*PERMANENT_HOURLY_RATE-MAX(0,($D234+AE$5)-PERMANENT_FIELD_LABOR_HOURS)*TEMP_HOURLY_RATE-FIXED_SEASON_COST)</f>
        <v>39132.3393131569</v>
      </c>
      <c r="AF234" s="53" t="n">
        <f aca="false">IF(OR($A234&gt;TOMATO_BED_CAP,$B234&gt;CARROT_BED_CAP,AF$4&gt;MESCLUN_BED_CAP,$A234+$B234+AF$4&gt;TOTAL_BEDS_AVAILABLE,($D234+AF$5)&gt;TOTAL_LABOR_HOURS_CAP,MAX(0,($D234+AF$5)-PERMANENT_FIELD_LABOR_HOURS)&gt;TEMP_HOURS_CAP),"",$C234+AF$6-MIN(($D234+AF$5),PERMANENT_FIELD_LABOR_HOURS)*PERMANENT_HOURLY_RATE-MAX(0,($D234+AF$5)-PERMANENT_FIELD_LABOR_HOURS)*TEMP_HOURLY_RATE-FIXED_SEASON_COST)</f>
        <v>39540.2768443989</v>
      </c>
      <c r="AG234" s="53" t="n">
        <f aca="false">IF(OR($A234&gt;TOMATO_BED_CAP,$B234&gt;CARROT_BED_CAP,AG$4&gt;MESCLUN_BED_CAP,$A234+$B234+AG$4&gt;TOTAL_BEDS_AVAILABLE,($D234+AG$5)&gt;TOTAL_LABOR_HOURS_CAP,MAX(0,($D234+AG$5)-PERMANENT_FIELD_LABOR_HOURS)&gt;TEMP_HOURS_CAP),"",$C234+AG$6-MIN(($D234+AG$5),PERMANENT_FIELD_LABOR_HOURS)*PERMANENT_HOURLY_RATE-MAX(0,($D234+AG$5)-PERMANENT_FIELD_LABOR_HOURS)*TEMP_HOURLY_RATE-FIXED_SEASON_COST)</f>
        <v>39917.0757339359</v>
      </c>
      <c r="AH234" s="53" t="n">
        <f aca="false">IF(OR($A234&gt;TOMATO_BED_CAP,$B234&gt;CARROT_BED_CAP,AH$4&gt;MESCLUN_BED_CAP,$A234+$B234+AH$4&gt;TOTAL_BEDS_AVAILABLE,($D234+AH$5)&gt;TOTAL_LABOR_HOURS_CAP,MAX(0,($D234+AH$5)-PERMANENT_FIELD_LABOR_HOURS)&gt;TEMP_HOURS_CAP),"",$C234+AH$6-MIN(($D234+AH$5),PERMANENT_FIELD_LABOR_HOURS)*PERMANENT_HOURLY_RATE-MAX(0,($D234+AH$5)-PERMANENT_FIELD_LABOR_HOURS)*TEMP_HOURLY_RATE-FIXED_SEASON_COST)</f>
        <v>40262.1781504861</v>
      </c>
      <c r="AI234" s="53" t="n">
        <f aca="false">IF(OR($A234&gt;TOMATO_BED_CAP,$B234&gt;CARROT_BED_CAP,AI$4&gt;MESCLUN_BED_CAP,$A234+$B234+AI$4&gt;TOTAL_BEDS_AVAILABLE,($D234+AI$5)&gt;TOTAL_LABOR_HOURS_CAP,MAX(0,($D234+AI$5)-PERMANENT_FIELD_LABOR_HOURS)&gt;TEMP_HOURS_CAP),"",$C234+AI$6-MIN(($D234+AI$5),PERMANENT_FIELD_LABOR_HOURS)*PERMANENT_HOURLY_RATE-MAX(0,($D234+AI$5)-PERMANENT_FIELD_LABOR_HOURS)*TEMP_HOURLY_RATE-FIXED_SEASON_COST)</f>
        <v>40575.0171823984</v>
      </c>
      <c r="AJ234" s="53" t="n">
        <f aca="false">IF(OR($A234&gt;TOMATO_BED_CAP,$B234&gt;CARROT_BED_CAP,AJ$4&gt;MESCLUN_BED_CAP,$A234+$B234+AJ$4&gt;TOTAL_BEDS_AVAILABLE,($D234+AJ$5)&gt;TOTAL_LABOR_HOURS_CAP,MAX(0,($D234+AJ$5)-PERMANENT_FIELD_LABOR_HOURS)&gt;TEMP_HOURS_CAP),"",$C234+AJ$6-MIN(($D234+AJ$5),PERMANENT_FIELD_LABOR_HOURS)*PERMANENT_HOURLY_RATE-MAX(0,($D234+AJ$5)-PERMANENT_FIELD_LABOR_HOURS)*TEMP_HOURLY_RATE-FIXED_SEASON_COST)</f>
        <v>40855.0166978041</v>
      </c>
    </row>
    <row r="235" customFormat="false" ht="15" hidden="false" customHeight="false" outlineLevel="0" collapsed="false">
      <c r="A235" s="21" t="n">
        <f aca="false">INT((ROW()-ROW($A$8))/(20+1))</f>
        <v>10</v>
      </c>
      <c r="B235" s="21" t="n">
        <f aca="false">MOD(ROW()-ROW($A$8),20+1)</f>
        <v>17</v>
      </c>
      <c r="C235" s="13" t="n">
        <f aca="false">A235*(TOMATO_REVENUE_PER_BED-TOMATO_FERTILIZER_PER_BED)+B235*(CARROT_REVENUE_PER_BED-CARROT_FERTILIZER_PER_BED)</f>
        <v>107318</v>
      </c>
      <c r="D235" s="14" t="n">
        <f aca="false">INDEX(TOMATO_SCHED_LABOR_HRS,A235+1)+INDEX(CARROT_SCHED_LABOR_HRS,B235+1)</f>
        <v>3110.08311716503</v>
      </c>
      <c r="E235" s="13" t="n">
        <f aca="false">IF(COUNT(F235:AJ235)=0,"",MAX(F235:AJ235))</f>
        <v>41407.7463808876</v>
      </c>
      <c r="F235" s="53" t="n">
        <f aca="false">IF(OR($A235&gt;TOMATO_BED_CAP,$B235&gt;CARROT_BED_CAP,F$4&gt;MESCLUN_BED_CAP,$A235+$B235+F$4&gt;TOTAL_BEDS_AVAILABLE,($D235+F$5)&gt;TOTAL_LABOR_HOURS_CAP,MAX(0,($D235+F$5)-PERMANENT_FIELD_LABOR_HOURS)&gt;TEMP_HOURS_CAP),"",$C235+F$6-MIN(($D235+F$5),PERMANENT_FIELD_LABOR_HOURS)*PERMANENT_HOURLY_RATE-MAX(0,($D235+F$5)-PERMANENT_FIELD_LABOR_HOURS)*TEMP_HOURLY_RATE-FIXED_SEASON_COST)</f>
        <v>20827.7570860151</v>
      </c>
      <c r="G235" s="53" t="n">
        <f aca="false">IF(OR($A235&gt;TOMATO_BED_CAP,$B235&gt;CARROT_BED_CAP,G$4&gt;MESCLUN_BED_CAP,$A235+$B235+G$4&gt;TOTAL_BEDS_AVAILABLE,($D235+G$5)&gt;TOTAL_LABOR_HOURS_CAP,MAX(0,($D235+G$5)-PERMANENT_FIELD_LABOR_HOURS)&gt;TEMP_HOURS_CAP),"",$C235+G$6-MIN(($D235+G$5),PERMANENT_FIELD_LABOR_HOURS)*PERMANENT_HOURLY_RATE-MAX(0,($D235+G$5)-PERMANENT_FIELD_LABOR_HOURS)*TEMP_HOURLY_RATE-FIXED_SEASON_COST)</f>
        <v>21856.7920860151</v>
      </c>
      <c r="H235" s="53" t="n">
        <f aca="false">IF(OR($A235&gt;TOMATO_BED_CAP,$B235&gt;CARROT_BED_CAP,H$4&gt;MESCLUN_BED_CAP,$A235+$B235+H$4&gt;TOTAL_BEDS_AVAILABLE,($D235+H$5)&gt;TOTAL_LABOR_HOURS_CAP,MAX(0,($D235+H$5)-PERMANENT_FIELD_LABOR_HOURS)&gt;TEMP_HOURS_CAP),"",$C235+H$6-MIN(($D235+H$5),PERMANENT_FIELD_LABOR_HOURS)*PERMANENT_HOURLY_RATE-MAX(0,($D235+H$5)-PERMANENT_FIELD_LABOR_HOURS)*TEMP_HOURLY_RATE-FIXED_SEASON_COST)</f>
        <v>22866.0529610151</v>
      </c>
      <c r="I235" s="53" t="n">
        <f aca="false">IF(OR($A235&gt;TOMATO_BED_CAP,$B235&gt;CARROT_BED_CAP,I$4&gt;MESCLUN_BED_CAP,$A235+$B235+I$4&gt;TOTAL_BEDS_AVAILABLE,($D235+I$5)&gt;TOTAL_LABOR_HOURS_CAP,MAX(0,($D235+I$5)-PERMANENT_FIELD_LABOR_HOURS)&gt;TEMP_HOURS_CAP),"",$C235+I$6-MIN(($D235+I$5),PERMANENT_FIELD_LABOR_HOURS)*PERMANENT_HOURLY_RATE-MAX(0,($D235+I$5)-PERMANENT_FIELD_LABOR_HOURS)*TEMP_HOURLY_RATE-FIXED_SEASON_COST)</f>
        <v>23855.1689461713</v>
      </c>
      <c r="J235" s="53" t="n">
        <f aca="false">IF(OR($A235&gt;TOMATO_BED_CAP,$B235&gt;CARROT_BED_CAP,J$4&gt;MESCLUN_BED_CAP,$A235+$B235+J$4&gt;TOTAL_BEDS_AVAILABLE,($D235+J$5)&gt;TOTAL_LABOR_HOURS_CAP,MAX(0,($D235+J$5)-PERMANENT_FIELD_LABOR_HOURS)&gt;TEMP_HOURS_CAP),"",$C235+J$6-MIN(($D235+J$5),PERMANENT_FIELD_LABOR_HOURS)*PERMANENT_HOURLY_RATE-MAX(0,($D235+J$5)-PERMANENT_FIELD_LABOR_HOURS)*TEMP_HOURLY_RATE-FIXED_SEASON_COST)</f>
        <v>24823.763097226</v>
      </c>
      <c r="K235" s="53" t="n">
        <f aca="false">IF(OR($A235&gt;TOMATO_BED_CAP,$B235&gt;CARROT_BED_CAP,K$4&gt;MESCLUN_BED_CAP,$A235+$B235+K$4&gt;TOTAL_BEDS_AVAILABLE,($D235+K$5)&gt;TOTAL_LABOR_HOURS_CAP,MAX(0,($D235+K$5)-PERMANENT_FIELD_LABOR_HOURS)&gt;TEMP_HOURS_CAP),"",$C235+K$6-MIN(($D235+K$5),PERMANENT_FIELD_LABOR_HOURS)*PERMANENT_HOURLY_RATE-MAX(0,($D235+K$5)-PERMANENT_FIELD_LABOR_HOURS)*TEMP_HOURLY_RATE-FIXED_SEASON_COST)</f>
        <v>25771.4521939539</v>
      </c>
      <c r="L235" s="53" t="n">
        <f aca="false">IF(OR($A235&gt;TOMATO_BED_CAP,$B235&gt;CARROT_BED_CAP,L$4&gt;MESCLUN_BED_CAP,$A235+$B235+L$4&gt;TOTAL_BEDS_AVAILABLE,($D235+L$5)&gt;TOTAL_LABOR_HOURS_CAP,MAX(0,($D235+L$5)-PERMANENT_FIELD_LABOR_HOURS)&gt;TEMP_HOURS_CAP),"",$C235+L$6-MIN(($D235+L$5),PERMANENT_FIELD_LABOR_HOURS)*PERMANENT_HOURLY_RATE-MAX(0,($D235+L$5)-PERMANENT_FIELD_LABOR_HOURS)*TEMP_HOURLY_RATE-FIXED_SEASON_COST)</f>
        <v>26697.8466421608</v>
      </c>
      <c r="M235" s="53" t="n">
        <f aca="false">IF(OR($A235&gt;TOMATO_BED_CAP,$B235&gt;CARROT_BED_CAP,M$4&gt;MESCLUN_BED_CAP,$A235+$B235+M$4&gt;TOTAL_BEDS_AVAILABLE,($D235+M$5)&gt;TOTAL_LABOR_HOURS_CAP,MAX(0,($D235+M$5)-PERMANENT_FIELD_LABOR_HOURS)&gt;TEMP_HOURS_CAP),"",$C235+M$6-MIN(($D235+M$5),PERMANENT_FIELD_LABOR_HOURS)*PERMANENT_HOURLY_RATE-MAX(0,($D235+M$5)-PERMANENT_FIELD_LABOR_HOURS)*TEMP_HOURLY_RATE-FIXED_SEASON_COST)</f>
        <v>27602.5503742122</v>
      </c>
      <c r="N235" s="53" t="n">
        <f aca="false">IF(OR($A235&gt;TOMATO_BED_CAP,$B235&gt;CARROT_BED_CAP,N$4&gt;MESCLUN_BED_CAP,$A235+$B235+N$4&gt;TOTAL_BEDS_AVAILABLE,($D235+N$5)&gt;TOTAL_LABOR_HOURS_CAP,MAX(0,($D235+N$5)-PERMANENT_FIELD_LABOR_HOURS)&gt;TEMP_HOURS_CAP),"",$C235+N$6-MIN(($D235+N$5),PERMANENT_FIELD_LABOR_HOURS)*PERMANENT_HOURLY_RATE-MAX(0,($D235+N$5)-PERMANENT_FIELD_LABOR_HOURS)*TEMP_HOURLY_RATE-FIXED_SEASON_COST)</f>
        <v>28485.1607480717</v>
      </c>
      <c r="O235" s="53" t="n">
        <f aca="false">IF(OR($A235&gt;TOMATO_BED_CAP,$B235&gt;CARROT_BED_CAP,O$4&gt;MESCLUN_BED_CAP,$A235+$B235+O$4&gt;TOTAL_BEDS_AVAILABLE,($D235+O$5)&gt;TOTAL_LABOR_HOURS_CAP,MAX(0,($D235+O$5)-PERMANENT_FIELD_LABOR_HOURS)&gt;TEMP_HOURS_CAP),"",$C235+O$6-MIN(($D235+O$5),PERMANENT_FIELD_LABOR_HOURS)*PERMANENT_HOURLY_RATE-MAX(0,($D235+O$5)-PERMANENT_FIELD_LABOR_HOURS)*TEMP_HOURLY_RATE-FIXED_SEASON_COST)</f>
        <v>29345.2684448265</v>
      </c>
      <c r="P235" s="53" t="n">
        <f aca="false">IF(OR($A235&gt;TOMATO_BED_CAP,$B235&gt;CARROT_BED_CAP,P$4&gt;MESCLUN_BED_CAP,$A235+$B235+P$4&gt;TOTAL_BEDS_AVAILABLE,($D235+P$5)&gt;TOTAL_LABOR_HOURS_CAP,MAX(0,($D235+P$5)-PERMANENT_FIELD_LABOR_HOURS)&gt;TEMP_HOURS_CAP),"",$C235+P$6-MIN(($D235+P$5),PERMANENT_FIELD_LABOR_HOURS)*PERMANENT_HOURLY_RATE-MAX(0,($D235+P$5)-PERMANENT_FIELD_LABOR_HOURS)*TEMP_HOURLY_RATE-FIXED_SEASON_COST)</f>
        <v>30182.4573646779</v>
      </c>
      <c r="Q235" s="53" t="n">
        <f aca="false">IF(OR($A235&gt;TOMATO_BED_CAP,$B235&gt;CARROT_BED_CAP,Q$4&gt;MESCLUN_BED_CAP,$A235+$B235+Q$4&gt;TOTAL_BEDS_AVAILABLE,($D235+Q$5)&gt;TOTAL_LABOR_HOURS_CAP,MAX(0,($D235+Q$5)-PERMANENT_FIELD_LABOR_HOURS)&gt;TEMP_HOURS_CAP),"",$C235+Q$6-MIN(($D235+Q$5),PERMANENT_FIELD_LABOR_HOURS)*PERMANENT_HOURLY_RATE-MAX(0,($D235+Q$5)-PERMANENT_FIELD_LABOR_HOURS)*TEMP_HOURLY_RATE-FIXED_SEASON_COST)</f>
        <v>30996.3045213758</v>
      </c>
      <c r="R235" s="53" t="n">
        <f aca="false">IF(OR($A235&gt;TOMATO_BED_CAP,$B235&gt;CARROT_BED_CAP,R$4&gt;MESCLUN_BED_CAP,$A235+$B235+R$4&gt;TOTAL_BEDS_AVAILABLE,($D235+R$5)&gt;TOTAL_LABOR_HOURS_CAP,MAX(0,($D235+R$5)-PERMANENT_FIELD_LABOR_HOURS)&gt;TEMP_HOURS_CAP),"",$C235+R$6-MIN(($D235+R$5),PERMANENT_FIELD_LABOR_HOURS)*PERMANENT_HOURLY_RATE-MAX(0,($D235+R$5)-PERMANENT_FIELD_LABOR_HOURS)*TEMP_HOURLY_RATE-FIXED_SEASON_COST)</f>
        <v>31786.3799350726</v>
      </c>
      <c r="S235" s="53" t="n">
        <f aca="false">IF(OR($A235&gt;TOMATO_BED_CAP,$B235&gt;CARROT_BED_CAP,S$4&gt;MESCLUN_BED_CAP,$A235+$B235+S$4&gt;TOTAL_BEDS_AVAILABLE,($D235+S$5)&gt;TOTAL_LABOR_HOURS_CAP,MAX(0,($D235+S$5)-PERMANENT_FIELD_LABOR_HOURS)&gt;TEMP_HOURS_CAP),"",$C235+S$6-MIN(($D235+S$5),PERMANENT_FIELD_LABOR_HOURS)*PERMANENT_HOURLY_RATE-MAX(0,($D235+S$5)-PERMANENT_FIELD_LABOR_HOURS)*TEMP_HOURLY_RATE-FIXED_SEASON_COST)</f>
        <v>32552.2465235751</v>
      </c>
      <c r="T235" s="53" t="n">
        <f aca="false">IF(OR($A235&gt;TOMATO_BED_CAP,$B235&gt;CARROT_BED_CAP,T$4&gt;MESCLUN_BED_CAP,$A235+$B235+T$4&gt;TOTAL_BEDS_AVAILABLE,($D235+T$5)&gt;TOTAL_LABOR_HOURS_CAP,MAX(0,($D235+T$5)-PERMANENT_FIELD_LABOR_HOURS)&gt;TEMP_HOURS_CAP),"",$C235+T$6-MIN(($D235+T$5),PERMANENT_FIELD_LABOR_HOURS)*PERMANENT_HOURLY_RATE-MAX(0,($D235+T$5)-PERMANENT_FIELD_LABOR_HOURS)*TEMP_HOURLY_RATE-FIXED_SEASON_COST)</f>
        <v>33293.4599919699</v>
      </c>
      <c r="U235" s="53" t="n">
        <f aca="false">IF(OR($A235&gt;TOMATO_BED_CAP,$B235&gt;CARROT_BED_CAP,U$4&gt;MESCLUN_BED_CAP,$A235+$B235+U$4&gt;TOTAL_BEDS_AVAILABLE,($D235+U$5)&gt;TOTAL_LABOR_HOURS_CAP,MAX(0,($D235+U$5)-PERMANENT_FIELD_LABOR_HOURS)&gt;TEMP_HOURS_CAP),"",$C235+U$6-MIN(($D235+U$5),PERMANENT_FIELD_LABOR_HOURS)*PERMANENT_HOURLY_RATE-MAX(0,($D235+U$5)-PERMANENT_FIELD_LABOR_HOURS)*TEMP_HOURLY_RATE-FIXED_SEASON_COST)</f>
        <v>34009.5687206</v>
      </c>
      <c r="V235" s="53" t="n">
        <f aca="false">IF(OR($A235&gt;TOMATO_BED_CAP,$B235&gt;CARROT_BED_CAP,V$4&gt;MESCLUN_BED_CAP,$A235+$B235+V$4&gt;TOTAL_BEDS_AVAILABLE,($D235+V$5)&gt;TOTAL_LABOR_HOURS_CAP,MAX(0,($D235+V$5)-PERMANENT_FIELD_LABOR_HOURS)&gt;TEMP_HOURS_CAP),"",$C235+V$6-MIN(($D235+V$5),PERMANENT_FIELD_LABOR_HOURS)*PERMANENT_HOURLY_RATE-MAX(0,($D235+V$5)-PERMANENT_FIELD_LABOR_HOURS)*TEMP_HOURLY_RATE-FIXED_SEASON_COST)</f>
        <v>34700.1136513668</v>
      </c>
      <c r="W235" s="53" t="n">
        <f aca="false">IF(OR($A235&gt;TOMATO_BED_CAP,$B235&gt;CARROT_BED_CAP,W$4&gt;MESCLUN_BED_CAP,$A235+$B235+W$4&gt;TOTAL_BEDS_AVAILABLE,($D235+W$5)&gt;TOTAL_LABOR_HOURS_CAP,MAX(0,($D235+W$5)-PERMANENT_FIELD_LABOR_HOURS)&gt;TEMP_HOURS_CAP),"",$C235+W$6-MIN(($D235+W$5),PERMANENT_FIELD_LABOR_HOURS)*PERMANENT_HOURLY_RATE-MAX(0,($D235+W$5)-PERMANENT_FIELD_LABOR_HOURS)*TEMP_HOURLY_RATE-FIXED_SEASON_COST)</f>
        <v>35364.6281723349</v>
      </c>
      <c r="X235" s="53" t="n">
        <f aca="false">IF(OR($A235&gt;TOMATO_BED_CAP,$B235&gt;CARROT_BED_CAP,X$4&gt;MESCLUN_BED_CAP,$A235+$B235+X$4&gt;TOTAL_BEDS_AVAILABLE,($D235+X$5)&gt;TOTAL_LABOR_HOURS_CAP,MAX(0,($D235+X$5)-PERMANENT_FIELD_LABOR_HOURS)&gt;TEMP_HOURS_CAP),"",$C235+X$6-MIN(($D235+X$5),PERMANENT_FIELD_LABOR_HOURS)*PERMANENT_HOURLY_RATE-MAX(0,($D235+X$5)-PERMANENT_FIELD_LABOR_HOURS)*TEMP_HOURLY_RATE-FIXED_SEASON_COST)</f>
        <v>36002.6380006138</v>
      </c>
      <c r="Y235" s="53" t="n">
        <f aca="false">IF(OR($A235&gt;TOMATO_BED_CAP,$B235&gt;CARROT_BED_CAP,Y$4&gt;MESCLUN_BED_CAP,$A235+$B235+Y$4&gt;TOTAL_BEDS_AVAILABLE,($D235+Y$5)&gt;TOTAL_LABOR_HOURS_CAP,MAX(0,($D235+Y$5)-PERMANENT_FIELD_LABOR_HOURS)&gt;TEMP_HOURS_CAP),"",$C235+Y$6-MIN(($D235+Y$5),PERMANENT_FIELD_LABOR_HOURS)*PERMANENT_HOURLY_RATE-MAX(0,($D235+Y$5)-PERMANENT_FIELD_LABOR_HOURS)*TEMP_HOURLY_RATE-FIXED_SEASON_COST)</f>
        <v>36613.6610634924</v>
      </c>
      <c r="Z235" s="53" t="n">
        <f aca="false">IF(OR($A235&gt;TOMATO_BED_CAP,$B235&gt;CARROT_BED_CAP,Z$4&gt;MESCLUN_BED_CAP,$A235+$B235+Z$4&gt;TOTAL_BEDS_AVAILABLE,($D235+Z$5)&gt;TOTAL_LABOR_HOURS_CAP,MAX(0,($D235+Z$5)-PERMANENT_FIELD_LABOR_HOURS)&gt;TEMP_HOURS_CAP),"",$C235+Z$6-MIN(($D235+Z$5),PERMANENT_FIELD_LABOR_HOURS)*PERMANENT_HOURLY_RATE-MAX(0,($D235+Z$5)-PERMANENT_FIELD_LABOR_HOURS)*TEMP_HOURLY_RATE-FIXED_SEASON_COST)</f>
        <v>37197.2073778002</v>
      </c>
      <c r="AA235" s="53" t="n">
        <f aca="false">IF(OR($A235&gt;TOMATO_BED_CAP,$B235&gt;CARROT_BED_CAP,AA$4&gt;MESCLUN_BED_CAP,$A235+$B235+AA$4&gt;TOTAL_BEDS_AVAILABLE,($D235+AA$5)&gt;TOTAL_LABOR_HOURS_CAP,MAX(0,($D235+AA$5)-PERMANENT_FIELD_LABOR_HOURS)&gt;TEMP_HOURS_CAP),"",$C235+AA$6-MIN(($D235+AA$5),PERMANENT_FIELD_LABOR_HOURS)*PERMANENT_HOURLY_RATE-MAX(0,($D235+AA$5)-PERMANENT_FIELD_LABOR_HOURS)*TEMP_HOURLY_RATE-FIXED_SEASON_COST)</f>
        <v>37752.7789274691</v>
      </c>
      <c r="AB235" s="53" t="n">
        <f aca="false">IF(OR($A235&gt;TOMATO_BED_CAP,$B235&gt;CARROT_BED_CAP,AB$4&gt;MESCLUN_BED_CAP,$A235+$B235+AB$4&gt;TOTAL_BEDS_AVAILABLE,($D235+AB$5)&gt;TOTAL_LABOR_HOURS_CAP,MAX(0,($D235+AB$5)-PERMANENT_FIELD_LABOR_HOURS)&gt;TEMP_HOURS_CAP),"",$C235+AB$6-MIN(($D235+AB$5),PERMANENT_FIELD_LABOR_HOURS)*PERMANENT_HOURLY_RATE-MAX(0,($D235+AB$5)-PERMANENT_FIELD_LABOR_HOURS)*TEMP_HOURLY_RATE-FIXED_SEASON_COST)</f>
        <v>38279.8695392717</v>
      </c>
      <c r="AC235" s="53" t="n">
        <f aca="false">IF(OR($A235&gt;TOMATO_BED_CAP,$B235&gt;CARROT_BED_CAP,AC$4&gt;MESCLUN_BED_CAP,$A235+$B235+AC$4&gt;TOTAL_BEDS_AVAILABLE,($D235+AC$5)&gt;TOTAL_LABOR_HOURS_CAP,MAX(0,($D235+AC$5)-PERMANENT_FIELD_LABOR_HOURS)&gt;TEMP_HOURS_CAP),"",$C235+AC$6-MIN(($D235+AC$5),PERMANENT_FIELD_LABOR_HOURS)*PERMANENT_HOURLY_RATE-MAX(0,($D235+AC$5)-PERMANENT_FIELD_LABOR_HOURS)*TEMP_HOURLY_RATE-FIXED_SEASON_COST)</f>
        <v>38777.9647567066</v>
      </c>
      <c r="AD235" s="53" t="n">
        <f aca="false">IF(OR($A235&gt;TOMATO_BED_CAP,$B235&gt;CARROT_BED_CAP,AD$4&gt;MESCLUN_BED_CAP,$A235+$B235+AD$4&gt;TOTAL_BEDS_AVAILABLE,($D235+AD$5)&gt;TOTAL_LABOR_HOURS_CAP,MAX(0,($D235+AD$5)-PERMANENT_FIELD_LABOR_HOURS)&gt;TEMP_HOURS_CAP),"",$C235+AD$6-MIN(($D235+AD$5),PERMANENT_FIELD_LABOR_HOURS)*PERMANENT_HOURLY_RATE-MAX(0,($D235+AD$5)-PERMANENT_FIELD_LABOR_HOURS)*TEMP_HOURLY_RATE-FIXED_SEASON_COST)</f>
        <v>39246.5417120065</v>
      </c>
      <c r="AE235" s="53" t="n">
        <f aca="false">IF(OR($A235&gt;TOMATO_BED_CAP,$B235&gt;CARROT_BED_CAP,AE$4&gt;MESCLUN_BED_CAP,$A235+$B235+AE$4&gt;TOTAL_BEDS_AVAILABLE,($D235+AE$5)&gt;TOTAL_LABOR_HOURS_CAP,MAX(0,($D235+AE$5)-PERMANENT_FIELD_LABOR_HOURS)&gt;TEMP_HOURS_CAP),"",$C235+AE$6-MIN(($D235+AE$5),PERMANENT_FIELD_LABOR_HOURS)*PERMANENT_HOURLY_RATE-MAX(0,($D235+AE$5)-PERMANENT_FIELD_LABOR_HOURS)*TEMP_HOURLY_RATE-FIXED_SEASON_COST)</f>
        <v>39685.0689962404</v>
      </c>
      <c r="AF235" s="53" t="n">
        <f aca="false">IF(OR($A235&gt;TOMATO_BED_CAP,$B235&gt;CARROT_BED_CAP,AF$4&gt;MESCLUN_BED_CAP,$A235+$B235+AF$4&gt;TOTAL_BEDS_AVAILABLE,($D235+AF$5)&gt;TOTAL_LABOR_HOURS_CAP,MAX(0,($D235+AF$5)-PERMANENT_FIELD_LABOR_HOURS)&gt;TEMP_HOURS_CAP),"",$C235+AF$6-MIN(($D235+AF$5),PERMANENT_FIELD_LABOR_HOURS)*PERMANENT_HOURLY_RATE-MAX(0,($D235+AF$5)-PERMANENT_FIELD_LABOR_HOURS)*TEMP_HOURLY_RATE-FIXED_SEASON_COST)</f>
        <v>40093.0065274824</v>
      </c>
      <c r="AG235" s="53" t="n">
        <f aca="false">IF(OR($A235&gt;TOMATO_BED_CAP,$B235&gt;CARROT_BED_CAP,AG$4&gt;MESCLUN_BED_CAP,$A235+$B235+AG$4&gt;TOTAL_BEDS_AVAILABLE,($D235+AG$5)&gt;TOTAL_LABOR_HOURS_CAP,MAX(0,($D235+AG$5)-PERMANENT_FIELD_LABOR_HOURS)&gt;TEMP_HOURS_CAP),"",$C235+AG$6-MIN(($D235+AG$5),PERMANENT_FIELD_LABOR_HOURS)*PERMANENT_HOURLY_RATE-MAX(0,($D235+AG$5)-PERMANENT_FIELD_LABOR_HOURS)*TEMP_HOURLY_RATE-FIXED_SEASON_COST)</f>
        <v>40469.8054170194</v>
      </c>
      <c r="AH235" s="53" t="n">
        <f aca="false">IF(OR($A235&gt;TOMATO_BED_CAP,$B235&gt;CARROT_BED_CAP,AH$4&gt;MESCLUN_BED_CAP,$A235+$B235+AH$4&gt;TOTAL_BEDS_AVAILABLE,($D235+AH$5)&gt;TOTAL_LABOR_HOURS_CAP,MAX(0,($D235+AH$5)-PERMANENT_FIELD_LABOR_HOURS)&gt;TEMP_HOURS_CAP),"",$C235+AH$6-MIN(($D235+AH$5),PERMANENT_FIELD_LABOR_HOURS)*PERMANENT_HOURLY_RATE-MAX(0,($D235+AH$5)-PERMANENT_FIELD_LABOR_HOURS)*TEMP_HOURLY_RATE-FIXED_SEASON_COST)</f>
        <v>40814.9078335696</v>
      </c>
      <c r="AI235" s="53" t="n">
        <f aca="false">IF(OR($A235&gt;TOMATO_BED_CAP,$B235&gt;CARROT_BED_CAP,AI$4&gt;MESCLUN_BED_CAP,$A235+$B235+AI$4&gt;TOTAL_BEDS_AVAILABLE,($D235+AI$5)&gt;TOTAL_LABOR_HOURS_CAP,MAX(0,($D235+AI$5)-PERMANENT_FIELD_LABOR_HOURS)&gt;TEMP_HOURS_CAP),"",$C235+AI$6-MIN(($D235+AI$5),PERMANENT_FIELD_LABOR_HOURS)*PERMANENT_HOURLY_RATE-MAX(0,($D235+AI$5)-PERMANENT_FIELD_LABOR_HOURS)*TEMP_HOURLY_RATE-FIXED_SEASON_COST)</f>
        <v>41127.7468654819</v>
      </c>
      <c r="AJ235" s="53" t="n">
        <f aca="false">IF(OR($A235&gt;TOMATO_BED_CAP,$B235&gt;CARROT_BED_CAP,AJ$4&gt;MESCLUN_BED_CAP,$A235+$B235+AJ$4&gt;TOTAL_BEDS_AVAILABLE,($D235+AJ$5)&gt;TOTAL_LABOR_HOURS_CAP,MAX(0,($D235+AJ$5)-PERMANENT_FIELD_LABOR_HOURS)&gt;TEMP_HOURS_CAP),"",$C235+AJ$6-MIN(($D235+AJ$5),PERMANENT_FIELD_LABOR_HOURS)*PERMANENT_HOURLY_RATE-MAX(0,($D235+AJ$5)-PERMANENT_FIELD_LABOR_HOURS)*TEMP_HOURLY_RATE-FIXED_SEASON_COST)</f>
        <v>41407.7463808876</v>
      </c>
    </row>
    <row r="236" customFormat="false" ht="15" hidden="false" customHeight="false" outlineLevel="0" collapsed="false">
      <c r="A236" s="21" t="n">
        <f aca="false">INT((ROW()-ROW($A$8))/(20+1))</f>
        <v>10</v>
      </c>
      <c r="B236" s="21" t="n">
        <f aca="false">MOD(ROW()-ROW($A$8),20+1)</f>
        <v>18</v>
      </c>
      <c r="C236" s="13" t="n">
        <f aca="false">A236*(TOMATO_REVENUE_PER_BED-TOMATO_FERTILIZER_PER_BED)+B236*(CARROT_REVENUE_PER_BED-CARROT_FERTILIZER_PER_BED)</f>
        <v>108972</v>
      </c>
      <c r="D236" s="14" t="n">
        <f aca="false">INDEX(TOMATO_SCHED_LABOR_HRS,A236+1)+INDEX(CARROT_SCHED_LABOR_HRS,B236+1)</f>
        <v>3176.24703536849</v>
      </c>
      <c r="E236" s="13" t="n">
        <f aca="false">IF(COUNT(F236:AJ236)=0,"",MAX(F236:AJ236))</f>
        <v>41913.1407608756</v>
      </c>
      <c r="F236" s="53" t="n">
        <f aca="false">IF(OR($A236&gt;TOMATO_BED_CAP,$B236&gt;CARROT_BED_CAP,F$4&gt;MESCLUN_BED_CAP,$A236+$B236+F$4&gt;TOTAL_BEDS_AVAILABLE,($D236+F$5)&gt;TOTAL_LABOR_HOURS_CAP,MAX(0,($D236+F$5)-PERMANENT_FIELD_LABOR_HOURS)&gt;TEMP_HOURS_CAP),"",$C236+F$6-MIN(($D236+F$5),PERMANENT_FIELD_LABOR_HOURS)*PERMANENT_HOURLY_RATE-MAX(0,($D236+F$5)-PERMANENT_FIELD_LABOR_HOURS)*TEMP_HOURLY_RATE-FIXED_SEASON_COST)</f>
        <v>21333.151466003</v>
      </c>
      <c r="G236" s="53" t="n">
        <f aca="false">IF(OR($A236&gt;TOMATO_BED_CAP,$B236&gt;CARROT_BED_CAP,G$4&gt;MESCLUN_BED_CAP,$A236+$B236+G$4&gt;TOTAL_BEDS_AVAILABLE,($D236+G$5)&gt;TOTAL_LABOR_HOURS_CAP,MAX(0,($D236+G$5)-PERMANENT_FIELD_LABOR_HOURS)&gt;TEMP_HOURS_CAP),"",$C236+G$6-MIN(($D236+G$5),PERMANENT_FIELD_LABOR_HOURS)*PERMANENT_HOURLY_RATE-MAX(0,($D236+G$5)-PERMANENT_FIELD_LABOR_HOURS)*TEMP_HOURLY_RATE-FIXED_SEASON_COST)</f>
        <v>22362.186466003</v>
      </c>
      <c r="H236" s="53" t="n">
        <f aca="false">IF(OR($A236&gt;TOMATO_BED_CAP,$B236&gt;CARROT_BED_CAP,H$4&gt;MESCLUN_BED_CAP,$A236+$B236+H$4&gt;TOTAL_BEDS_AVAILABLE,($D236+H$5)&gt;TOTAL_LABOR_HOURS_CAP,MAX(0,($D236+H$5)-PERMANENT_FIELD_LABOR_HOURS)&gt;TEMP_HOURS_CAP),"",$C236+H$6-MIN(($D236+H$5),PERMANENT_FIELD_LABOR_HOURS)*PERMANENT_HOURLY_RATE-MAX(0,($D236+H$5)-PERMANENT_FIELD_LABOR_HOURS)*TEMP_HOURLY_RATE-FIXED_SEASON_COST)</f>
        <v>23371.447341003</v>
      </c>
      <c r="I236" s="53" t="n">
        <f aca="false">IF(OR($A236&gt;TOMATO_BED_CAP,$B236&gt;CARROT_BED_CAP,I$4&gt;MESCLUN_BED_CAP,$A236+$B236+I$4&gt;TOTAL_BEDS_AVAILABLE,($D236+I$5)&gt;TOTAL_LABOR_HOURS_CAP,MAX(0,($D236+I$5)-PERMANENT_FIELD_LABOR_HOURS)&gt;TEMP_HOURS_CAP),"",$C236+I$6-MIN(($D236+I$5),PERMANENT_FIELD_LABOR_HOURS)*PERMANENT_HOURLY_RATE-MAX(0,($D236+I$5)-PERMANENT_FIELD_LABOR_HOURS)*TEMP_HOURLY_RATE-FIXED_SEASON_COST)</f>
        <v>24360.5633261593</v>
      </c>
      <c r="J236" s="53" t="n">
        <f aca="false">IF(OR($A236&gt;TOMATO_BED_CAP,$B236&gt;CARROT_BED_CAP,J$4&gt;MESCLUN_BED_CAP,$A236+$B236+J$4&gt;TOTAL_BEDS_AVAILABLE,($D236+J$5)&gt;TOTAL_LABOR_HOURS_CAP,MAX(0,($D236+J$5)-PERMANENT_FIELD_LABOR_HOURS)&gt;TEMP_HOURS_CAP),"",$C236+J$6-MIN(($D236+J$5),PERMANENT_FIELD_LABOR_HOURS)*PERMANENT_HOURLY_RATE-MAX(0,($D236+J$5)-PERMANENT_FIELD_LABOR_HOURS)*TEMP_HOURLY_RATE-FIXED_SEASON_COST)</f>
        <v>25329.157477214</v>
      </c>
      <c r="K236" s="53" t="n">
        <f aca="false">IF(OR($A236&gt;TOMATO_BED_CAP,$B236&gt;CARROT_BED_CAP,K$4&gt;MESCLUN_BED_CAP,$A236+$B236+K$4&gt;TOTAL_BEDS_AVAILABLE,($D236+K$5)&gt;TOTAL_LABOR_HOURS_CAP,MAX(0,($D236+K$5)-PERMANENT_FIELD_LABOR_HOURS)&gt;TEMP_HOURS_CAP),"",$C236+K$6-MIN(($D236+K$5),PERMANENT_FIELD_LABOR_HOURS)*PERMANENT_HOURLY_RATE-MAX(0,($D236+K$5)-PERMANENT_FIELD_LABOR_HOURS)*TEMP_HOURLY_RATE-FIXED_SEASON_COST)</f>
        <v>26276.8465739419</v>
      </c>
      <c r="L236" s="53" t="n">
        <f aca="false">IF(OR($A236&gt;TOMATO_BED_CAP,$B236&gt;CARROT_BED_CAP,L$4&gt;MESCLUN_BED_CAP,$A236+$B236+L$4&gt;TOTAL_BEDS_AVAILABLE,($D236+L$5)&gt;TOTAL_LABOR_HOURS_CAP,MAX(0,($D236+L$5)-PERMANENT_FIELD_LABOR_HOURS)&gt;TEMP_HOURS_CAP),"",$C236+L$6-MIN(($D236+L$5),PERMANENT_FIELD_LABOR_HOURS)*PERMANENT_HOURLY_RATE-MAX(0,($D236+L$5)-PERMANENT_FIELD_LABOR_HOURS)*TEMP_HOURLY_RATE-FIXED_SEASON_COST)</f>
        <v>27203.2410221487</v>
      </c>
      <c r="M236" s="53" t="n">
        <f aca="false">IF(OR($A236&gt;TOMATO_BED_CAP,$B236&gt;CARROT_BED_CAP,M$4&gt;MESCLUN_BED_CAP,$A236+$B236+M$4&gt;TOTAL_BEDS_AVAILABLE,($D236+M$5)&gt;TOTAL_LABOR_HOURS_CAP,MAX(0,($D236+M$5)-PERMANENT_FIELD_LABOR_HOURS)&gt;TEMP_HOURS_CAP),"",$C236+M$6-MIN(($D236+M$5),PERMANENT_FIELD_LABOR_HOURS)*PERMANENT_HOURLY_RATE-MAX(0,($D236+M$5)-PERMANENT_FIELD_LABOR_HOURS)*TEMP_HOURLY_RATE-FIXED_SEASON_COST)</f>
        <v>28107.9447542001</v>
      </c>
      <c r="N236" s="53" t="n">
        <f aca="false">IF(OR($A236&gt;TOMATO_BED_CAP,$B236&gt;CARROT_BED_CAP,N$4&gt;MESCLUN_BED_CAP,$A236+$B236+N$4&gt;TOTAL_BEDS_AVAILABLE,($D236+N$5)&gt;TOTAL_LABOR_HOURS_CAP,MAX(0,($D236+N$5)-PERMANENT_FIELD_LABOR_HOURS)&gt;TEMP_HOURS_CAP),"",$C236+N$6-MIN(($D236+N$5),PERMANENT_FIELD_LABOR_HOURS)*PERMANENT_HOURLY_RATE-MAX(0,($D236+N$5)-PERMANENT_FIELD_LABOR_HOURS)*TEMP_HOURLY_RATE-FIXED_SEASON_COST)</f>
        <v>28990.5551280597</v>
      </c>
      <c r="O236" s="53" t="n">
        <f aca="false">IF(OR($A236&gt;TOMATO_BED_CAP,$B236&gt;CARROT_BED_CAP,O$4&gt;MESCLUN_BED_CAP,$A236+$B236+O$4&gt;TOTAL_BEDS_AVAILABLE,($D236+O$5)&gt;TOTAL_LABOR_HOURS_CAP,MAX(0,($D236+O$5)-PERMANENT_FIELD_LABOR_HOURS)&gt;TEMP_HOURS_CAP),"",$C236+O$6-MIN(($D236+O$5),PERMANENT_FIELD_LABOR_HOURS)*PERMANENT_HOURLY_RATE-MAX(0,($D236+O$5)-PERMANENT_FIELD_LABOR_HOURS)*TEMP_HOURLY_RATE-FIXED_SEASON_COST)</f>
        <v>29850.6628248144</v>
      </c>
      <c r="P236" s="53" t="n">
        <f aca="false">IF(OR($A236&gt;TOMATO_BED_CAP,$B236&gt;CARROT_BED_CAP,P$4&gt;MESCLUN_BED_CAP,$A236+$B236+P$4&gt;TOTAL_BEDS_AVAILABLE,($D236+P$5)&gt;TOTAL_LABOR_HOURS_CAP,MAX(0,($D236+P$5)-PERMANENT_FIELD_LABOR_HOURS)&gt;TEMP_HOURS_CAP),"",$C236+P$6-MIN(($D236+P$5),PERMANENT_FIELD_LABOR_HOURS)*PERMANENT_HOURLY_RATE-MAX(0,($D236+P$5)-PERMANENT_FIELD_LABOR_HOURS)*TEMP_HOURLY_RATE-FIXED_SEASON_COST)</f>
        <v>30687.8517446659</v>
      </c>
      <c r="Q236" s="53" t="n">
        <f aca="false">IF(OR($A236&gt;TOMATO_BED_CAP,$B236&gt;CARROT_BED_CAP,Q$4&gt;MESCLUN_BED_CAP,$A236+$B236+Q$4&gt;TOTAL_BEDS_AVAILABLE,($D236+Q$5)&gt;TOTAL_LABOR_HOURS_CAP,MAX(0,($D236+Q$5)-PERMANENT_FIELD_LABOR_HOURS)&gt;TEMP_HOURS_CAP),"",$C236+Q$6-MIN(($D236+Q$5),PERMANENT_FIELD_LABOR_HOURS)*PERMANENT_HOURLY_RATE-MAX(0,($D236+Q$5)-PERMANENT_FIELD_LABOR_HOURS)*TEMP_HOURLY_RATE-FIXED_SEASON_COST)</f>
        <v>31501.6989013638</v>
      </c>
      <c r="R236" s="53" t="n">
        <f aca="false">IF(OR($A236&gt;TOMATO_BED_CAP,$B236&gt;CARROT_BED_CAP,R$4&gt;MESCLUN_BED_CAP,$A236+$B236+R$4&gt;TOTAL_BEDS_AVAILABLE,($D236+R$5)&gt;TOTAL_LABOR_HOURS_CAP,MAX(0,($D236+R$5)-PERMANENT_FIELD_LABOR_HOURS)&gt;TEMP_HOURS_CAP),"",$C236+R$6-MIN(($D236+R$5),PERMANENT_FIELD_LABOR_HOURS)*PERMANENT_HOURLY_RATE-MAX(0,($D236+R$5)-PERMANENT_FIELD_LABOR_HOURS)*TEMP_HOURLY_RATE-FIXED_SEASON_COST)</f>
        <v>32291.7743150606</v>
      </c>
      <c r="S236" s="53" t="n">
        <f aca="false">IF(OR($A236&gt;TOMATO_BED_CAP,$B236&gt;CARROT_BED_CAP,S$4&gt;MESCLUN_BED_CAP,$A236+$B236+S$4&gt;TOTAL_BEDS_AVAILABLE,($D236+S$5)&gt;TOTAL_LABOR_HOURS_CAP,MAX(0,($D236+S$5)-PERMANENT_FIELD_LABOR_HOURS)&gt;TEMP_HOURS_CAP),"",$C236+S$6-MIN(($D236+S$5),PERMANENT_FIELD_LABOR_HOURS)*PERMANENT_HOURLY_RATE-MAX(0,($D236+S$5)-PERMANENT_FIELD_LABOR_HOURS)*TEMP_HOURLY_RATE-FIXED_SEASON_COST)</f>
        <v>33057.640903563</v>
      </c>
      <c r="T236" s="53" t="n">
        <f aca="false">IF(OR($A236&gt;TOMATO_BED_CAP,$B236&gt;CARROT_BED_CAP,T$4&gt;MESCLUN_BED_CAP,$A236+$B236+T$4&gt;TOTAL_BEDS_AVAILABLE,($D236+T$5)&gt;TOTAL_LABOR_HOURS_CAP,MAX(0,($D236+T$5)-PERMANENT_FIELD_LABOR_HOURS)&gt;TEMP_HOURS_CAP),"",$C236+T$6-MIN(($D236+T$5),PERMANENT_FIELD_LABOR_HOURS)*PERMANENT_HOURLY_RATE-MAX(0,($D236+T$5)-PERMANENT_FIELD_LABOR_HOURS)*TEMP_HOURLY_RATE-FIXED_SEASON_COST)</f>
        <v>33798.8543719579</v>
      </c>
      <c r="U236" s="53" t="n">
        <f aca="false">IF(OR($A236&gt;TOMATO_BED_CAP,$B236&gt;CARROT_BED_CAP,U$4&gt;MESCLUN_BED_CAP,$A236+$B236+U$4&gt;TOTAL_BEDS_AVAILABLE,($D236+U$5)&gt;TOTAL_LABOR_HOURS_CAP,MAX(0,($D236+U$5)-PERMANENT_FIELD_LABOR_HOURS)&gt;TEMP_HOURS_CAP),"",$C236+U$6-MIN(($D236+U$5),PERMANENT_FIELD_LABOR_HOURS)*PERMANENT_HOURLY_RATE-MAX(0,($D236+U$5)-PERMANENT_FIELD_LABOR_HOURS)*TEMP_HOURLY_RATE-FIXED_SEASON_COST)</f>
        <v>34514.963100588</v>
      </c>
      <c r="V236" s="53" t="n">
        <f aca="false">IF(OR($A236&gt;TOMATO_BED_CAP,$B236&gt;CARROT_BED_CAP,V$4&gt;MESCLUN_BED_CAP,$A236+$B236+V$4&gt;TOTAL_BEDS_AVAILABLE,($D236+V$5)&gt;TOTAL_LABOR_HOURS_CAP,MAX(0,($D236+V$5)-PERMANENT_FIELD_LABOR_HOURS)&gt;TEMP_HOURS_CAP),"",$C236+V$6-MIN(($D236+V$5),PERMANENT_FIELD_LABOR_HOURS)*PERMANENT_HOURLY_RATE-MAX(0,($D236+V$5)-PERMANENT_FIELD_LABOR_HOURS)*TEMP_HOURLY_RATE-FIXED_SEASON_COST)</f>
        <v>35205.5080313548</v>
      </c>
      <c r="W236" s="53" t="n">
        <f aca="false">IF(OR($A236&gt;TOMATO_BED_CAP,$B236&gt;CARROT_BED_CAP,W$4&gt;MESCLUN_BED_CAP,$A236+$B236+W$4&gt;TOTAL_BEDS_AVAILABLE,($D236+W$5)&gt;TOTAL_LABOR_HOURS_CAP,MAX(0,($D236+W$5)-PERMANENT_FIELD_LABOR_HOURS)&gt;TEMP_HOURS_CAP),"",$C236+W$6-MIN(($D236+W$5),PERMANENT_FIELD_LABOR_HOURS)*PERMANENT_HOURLY_RATE-MAX(0,($D236+W$5)-PERMANENT_FIELD_LABOR_HOURS)*TEMP_HOURLY_RATE-FIXED_SEASON_COST)</f>
        <v>35870.0225523228</v>
      </c>
      <c r="X236" s="53" t="n">
        <f aca="false">IF(OR($A236&gt;TOMATO_BED_CAP,$B236&gt;CARROT_BED_CAP,X$4&gt;MESCLUN_BED_CAP,$A236+$B236+X$4&gt;TOTAL_BEDS_AVAILABLE,($D236+X$5)&gt;TOTAL_LABOR_HOURS_CAP,MAX(0,($D236+X$5)-PERMANENT_FIELD_LABOR_HOURS)&gt;TEMP_HOURS_CAP),"",$C236+X$6-MIN(($D236+X$5),PERMANENT_FIELD_LABOR_HOURS)*PERMANENT_HOURLY_RATE-MAX(0,($D236+X$5)-PERMANENT_FIELD_LABOR_HOURS)*TEMP_HOURLY_RATE-FIXED_SEASON_COST)</f>
        <v>36508.0323806017</v>
      </c>
      <c r="Y236" s="53" t="n">
        <f aca="false">IF(OR($A236&gt;TOMATO_BED_CAP,$B236&gt;CARROT_BED_CAP,Y$4&gt;MESCLUN_BED_CAP,$A236+$B236+Y$4&gt;TOTAL_BEDS_AVAILABLE,($D236+Y$5)&gt;TOTAL_LABOR_HOURS_CAP,MAX(0,($D236+Y$5)-PERMANENT_FIELD_LABOR_HOURS)&gt;TEMP_HOURS_CAP),"",$C236+Y$6-MIN(($D236+Y$5),PERMANENT_FIELD_LABOR_HOURS)*PERMANENT_HOURLY_RATE-MAX(0,($D236+Y$5)-PERMANENT_FIELD_LABOR_HOURS)*TEMP_HOURLY_RATE-FIXED_SEASON_COST)</f>
        <v>37119.0554434804</v>
      </c>
      <c r="Z236" s="53" t="n">
        <f aca="false">IF(OR($A236&gt;TOMATO_BED_CAP,$B236&gt;CARROT_BED_CAP,Z$4&gt;MESCLUN_BED_CAP,$A236+$B236+Z$4&gt;TOTAL_BEDS_AVAILABLE,($D236+Z$5)&gt;TOTAL_LABOR_HOURS_CAP,MAX(0,($D236+Z$5)-PERMANENT_FIELD_LABOR_HOURS)&gt;TEMP_HOURS_CAP),"",$C236+Z$6-MIN(($D236+Z$5),PERMANENT_FIELD_LABOR_HOURS)*PERMANENT_HOURLY_RATE-MAX(0,($D236+Z$5)-PERMANENT_FIELD_LABOR_HOURS)*TEMP_HOURLY_RATE-FIXED_SEASON_COST)</f>
        <v>37702.6017577881</v>
      </c>
      <c r="AA236" s="53" t="n">
        <f aca="false">IF(OR($A236&gt;TOMATO_BED_CAP,$B236&gt;CARROT_BED_CAP,AA$4&gt;MESCLUN_BED_CAP,$A236+$B236+AA$4&gt;TOTAL_BEDS_AVAILABLE,($D236+AA$5)&gt;TOTAL_LABOR_HOURS_CAP,MAX(0,($D236+AA$5)-PERMANENT_FIELD_LABOR_HOURS)&gt;TEMP_HOURS_CAP),"",$C236+AA$6-MIN(($D236+AA$5),PERMANENT_FIELD_LABOR_HOURS)*PERMANENT_HOURLY_RATE-MAX(0,($D236+AA$5)-PERMANENT_FIELD_LABOR_HOURS)*TEMP_HOURLY_RATE-FIXED_SEASON_COST)</f>
        <v>38258.1733074571</v>
      </c>
      <c r="AB236" s="53" t="n">
        <f aca="false">IF(OR($A236&gt;TOMATO_BED_CAP,$B236&gt;CARROT_BED_CAP,AB$4&gt;MESCLUN_BED_CAP,$A236+$B236+AB$4&gt;TOTAL_BEDS_AVAILABLE,($D236+AB$5)&gt;TOTAL_LABOR_HOURS_CAP,MAX(0,($D236+AB$5)-PERMANENT_FIELD_LABOR_HOURS)&gt;TEMP_HOURS_CAP),"",$C236+AB$6-MIN(($D236+AB$5),PERMANENT_FIELD_LABOR_HOURS)*PERMANENT_HOURLY_RATE-MAX(0,($D236+AB$5)-PERMANENT_FIELD_LABOR_HOURS)*TEMP_HOURLY_RATE-FIXED_SEASON_COST)</f>
        <v>38785.2639192596</v>
      </c>
      <c r="AC236" s="53" t="n">
        <f aca="false">IF(OR($A236&gt;TOMATO_BED_CAP,$B236&gt;CARROT_BED_CAP,AC$4&gt;MESCLUN_BED_CAP,$A236+$B236+AC$4&gt;TOTAL_BEDS_AVAILABLE,($D236+AC$5)&gt;TOTAL_LABOR_HOURS_CAP,MAX(0,($D236+AC$5)-PERMANENT_FIELD_LABOR_HOURS)&gt;TEMP_HOURS_CAP),"",$C236+AC$6-MIN(($D236+AC$5),PERMANENT_FIELD_LABOR_HOURS)*PERMANENT_HOURLY_RATE-MAX(0,($D236+AC$5)-PERMANENT_FIELD_LABOR_HOURS)*TEMP_HOURLY_RATE-FIXED_SEASON_COST)</f>
        <v>39283.3591366945</v>
      </c>
      <c r="AD236" s="53" t="n">
        <f aca="false">IF(OR($A236&gt;TOMATO_BED_CAP,$B236&gt;CARROT_BED_CAP,AD$4&gt;MESCLUN_BED_CAP,$A236+$B236+AD$4&gt;TOTAL_BEDS_AVAILABLE,($D236+AD$5)&gt;TOTAL_LABOR_HOURS_CAP,MAX(0,($D236+AD$5)-PERMANENT_FIELD_LABOR_HOURS)&gt;TEMP_HOURS_CAP),"",$C236+AD$6-MIN(($D236+AD$5),PERMANENT_FIELD_LABOR_HOURS)*PERMANENT_HOURLY_RATE-MAX(0,($D236+AD$5)-PERMANENT_FIELD_LABOR_HOURS)*TEMP_HOURLY_RATE-FIXED_SEASON_COST)</f>
        <v>39751.9360919945</v>
      </c>
      <c r="AE236" s="53" t="n">
        <f aca="false">IF(OR($A236&gt;TOMATO_BED_CAP,$B236&gt;CARROT_BED_CAP,AE$4&gt;MESCLUN_BED_CAP,$A236+$B236+AE$4&gt;TOTAL_BEDS_AVAILABLE,($D236+AE$5)&gt;TOTAL_LABOR_HOURS_CAP,MAX(0,($D236+AE$5)-PERMANENT_FIELD_LABOR_HOURS)&gt;TEMP_HOURS_CAP),"",$C236+AE$6-MIN(($D236+AE$5),PERMANENT_FIELD_LABOR_HOURS)*PERMANENT_HOURLY_RATE-MAX(0,($D236+AE$5)-PERMANENT_FIELD_LABOR_HOURS)*TEMP_HOURLY_RATE-FIXED_SEASON_COST)</f>
        <v>40190.4633762284</v>
      </c>
      <c r="AF236" s="53" t="n">
        <f aca="false">IF(OR($A236&gt;TOMATO_BED_CAP,$B236&gt;CARROT_BED_CAP,AF$4&gt;MESCLUN_BED_CAP,$A236+$B236+AF$4&gt;TOTAL_BEDS_AVAILABLE,($D236+AF$5)&gt;TOTAL_LABOR_HOURS_CAP,MAX(0,($D236+AF$5)-PERMANENT_FIELD_LABOR_HOURS)&gt;TEMP_HOURS_CAP),"",$C236+AF$6-MIN(($D236+AF$5),PERMANENT_FIELD_LABOR_HOURS)*PERMANENT_HOURLY_RATE-MAX(0,($D236+AF$5)-PERMANENT_FIELD_LABOR_HOURS)*TEMP_HOURLY_RATE-FIXED_SEASON_COST)</f>
        <v>40598.4009074703</v>
      </c>
      <c r="AG236" s="53" t="n">
        <f aca="false">IF(OR($A236&gt;TOMATO_BED_CAP,$B236&gt;CARROT_BED_CAP,AG$4&gt;MESCLUN_BED_CAP,$A236+$B236+AG$4&gt;TOTAL_BEDS_AVAILABLE,($D236+AG$5)&gt;TOTAL_LABOR_HOURS_CAP,MAX(0,($D236+AG$5)-PERMANENT_FIELD_LABOR_HOURS)&gt;TEMP_HOURS_CAP),"",$C236+AG$6-MIN(($D236+AG$5),PERMANENT_FIELD_LABOR_HOURS)*PERMANENT_HOURLY_RATE-MAX(0,($D236+AG$5)-PERMANENT_FIELD_LABOR_HOURS)*TEMP_HOURLY_RATE-FIXED_SEASON_COST)</f>
        <v>40975.1997970073</v>
      </c>
      <c r="AH236" s="53" t="n">
        <f aca="false">IF(OR($A236&gt;TOMATO_BED_CAP,$B236&gt;CARROT_BED_CAP,AH$4&gt;MESCLUN_BED_CAP,$A236+$B236+AH$4&gt;TOTAL_BEDS_AVAILABLE,($D236+AH$5)&gt;TOTAL_LABOR_HOURS_CAP,MAX(0,($D236+AH$5)-PERMANENT_FIELD_LABOR_HOURS)&gt;TEMP_HOURS_CAP),"",$C236+AH$6-MIN(($D236+AH$5),PERMANENT_FIELD_LABOR_HOURS)*PERMANENT_HOURLY_RATE-MAX(0,($D236+AH$5)-PERMANENT_FIELD_LABOR_HOURS)*TEMP_HOURLY_RATE-FIXED_SEASON_COST)</f>
        <v>41320.3022135576</v>
      </c>
      <c r="AI236" s="53" t="n">
        <f aca="false">IF(OR($A236&gt;TOMATO_BED_CAP,$B236&gt;CARROT_BED_CAP,AI$4&gt;MESCLUN_BED_CAP,$A236+$B236+AI$4&gt;TOTAL_BEDS_AVAILABLE,($D236+AI$5)&gt;TOTAL_LABOR_HOURS_CAP,MAX(0,($D236+AI$5)-PERMANENT_FIELD_LABOR_HOURS)&gt;TEMP_HOURS_CAP),"",$C236+AI$6-MIN(($D236+AI$5),PERMANENT_FIELD_LABOR_HOURS)*PERMANENT_HOURLY_RATE-MAX(0,($D236+AI$5)-PERMANENT_FIELD_LABOR_HOURS)*TEMP_HOURLY_RATE-FIXED_SEASON_COST)</f>
        <v>41633.1412454698</v>
      </c>
      <c r="AJ236" s="53" t="n">
        <f aca="false">IF(OR($A236&gt;TOMATO_BED_CAP,$B236&gt;CARROT_BED_CAP,AJ$4&gt;MESCLUN_BED_CAP,$A236+$B236+AJ$4&gt;TOTAL_BEDS_AVAILABLE,($D236+AJ$5)&gt;TOTAL_LABOR_HOURS_CAP,MAX(0,($D236+AJ$5)-PERMANENT_FIELD_LABOR_HOURS)&gt;TEMP_HOURS_CAP),"",$C236+AJ$6-MIN(($D236+AJ$5),PERMANENT_FIELD_LABOR_HOURS)*PERMANENT_HOURLY_RATE-MAX(0,($D236+AJ$5)-PERMANENT_FIELD_LABOR_HOURS)*TEMP_HOURLY_RATE-FIXED_SEASON_COST)</f>
        <v>41913.1407608756</v>
      </c>
    </row>
    <row r="237" customFormat="false" ht="15" hidden="false" customHeight="false" outlineLevel="0" collapsed="false">
      <c r="A237" s="21" t="n">
        <f aca="false">INT((ROW()-ROW($A$8))/(20+1))</f>
        <v>10</v>
      </c>
      <c r="B237" s="21" t="n">
        <f aca="false">MOD(ROW()-ROW($A$8),20+1)</f>
        <v>19</v>
      </c>
      <c r="C237" s="13" t="n">
        <f aca="false">A237*(TOMATO_REVENUE_PER_BED-TOMATO_FERTILIZER_PER_BED)+B237*(CARROT_REVENUE_PER_BED-CARROT_FERTILIZER_PER_BED)</f>
        <v>110626</v>
      </c>
      <c r="D237" s="14" t="n">
        <f aca="false">INDEX(TOMATO_SCHED_LABOR_HRS,A237+1)+INDEX(CARROT_SCHED_LABOR_HRS,B237+1)</f>
        <v>3245.2343276677</v>
      </c>
      <c r="E237" s="13" t="n">
        <f aca="false">IF(COUNT(F237:AJ237)=0,"",MAX(F237:AJ237))</f>
        <v>42369.5213665613</v>
      </c>
      <c r="F237" s="53" t="n">
        <f aca="false">IF(OR($A237&gt;TOMATO_BED_CAP,$B237&gt;CARROT_BED_CAP,F$4&gt;MESCLUN_BED_CAP,$A237+$B237+F$4&gt;TOTAL_BEDS_AVAILABLE,($D237+F$5)&gt;TOTAL_LABOR_HOURS_CAP,MAX(0,($D237+F$5)-PERMANENT_FIELD_LABOR_HOURS)&gt;TEMP_HOURS_CAP),"",$C237+F$6-MIN(($D237+F$5),PERMANENT_FIELD_LABOR_HOURS)*PERMANENT_HOURLY_RATE-MAX(0,($D237+F$5)-PERMANENT_FIELD_LABOR_HOURS)*TEMP_HOURLY_RATE-FIXED_SEASON_COST)</f>
        <v>21789.5320716888</v>
      </c>
      <c r="G237" s="53" t="n">
        <f aca="false">IF(OR($A237&gt;TOMATO_BED_CAP,$B237&gt;CARROT_BED_CAP,G$4&gt;MESCLUN_BED_CAP,$A237+$B237+G$4&gt;TOTAL_BEDS_AVAILABLE,($D237+G$5)&gt;TOTAL_LABOR_HOURS_CAP,MAX(0,($D237+G$5)-PERMANENT_FIELD_LABOR_HOURS)&gt;TEMP_HOURS_CAP),"",$C237+G$6-MIN(($D237+G$5),PERMANENT_FIELD_LABOR_HOURS)*PERMANENT_HOURLY_RATE-MAX(0,($D237+G$5)-PERMANENT_FIELD_LABOR_HOURS)*TEMP_HOURLY_RATE-FIXED_SEASON_COST)</f>
        <v>22818.5670716888</v>
      </c>
      <c r="H237" s="53" t="n">
        <f aca="false">IF(OR($A237&gt;TOMATO_BED_CAP,$B237&gt;CARROT_BED_CAP,H$4&gt;MESCLUN_BED_CAP,$A237+$B237+H$4&gt;TOTAL_BEDS_AVAILABLE,($D237+H$5)&gt;TOTAL_LABOR_HOURS_CAP,MAX(0,($D237+H$5)-PERMANENT_FIELD_LABOR_HOURS)&gt;TEMP_HOURS_CAP),"",$C237+H$6-MIN(($D237+H$5),PERMANENT_FIELD_LABOR_HOURS)*PERMANENT_HOURLY_RATE-MAX(0,($D237+H$5)-PERMANENT_FIELD_LABOR_HOURS)*TEMP_HOURLY_RATE-FIXED_SEASON_COST)</f>
        <v>23827.8279466888</v>
      </c>
      <c r="I237" s="53" t="n">
        <f aca="false">IF(OR($A237&gt;TOMATO_BED_CAP,$B237&gt;CARROT_BED_CAP,I$4&gt;MESCLUN_BED_CAP,$A237+$B237+I$4&gt;TOTAL_BEDS_AVAILABLE,($D237+I$5)&gt;TOTAL_LABOR_HOURS_CAP,MAX(0,($D237+I$5)-PERMANENT_FIELD_LABOR_HOURS)&gt;TEMP_HOURS_CAP),"",$C237+I$6-MIN(($D237+I$5),PERMANENT_FIELD_LABOR_HOURS)*PERMANENT_HOURLY_RATE-MAX(0,($D237+I$5)-PERMANENT_FIELD_LABOR_HOURS)*TEMP_HOURLY_RATE-FIXED_SEASON_COST)</f>
        <v>24816.943931845</v>
      </c>
      <c r="J237" s="53" t="n">
        <f aca="false">IF(OR($A237&gt;TOMATO_BED_CAP,$B237&gt;CARROT_BED_CAP,J$4&gt;MESCLUN_BED_CAP,$A237+$B237+J$4&gt;TOTAL_BEDS_AVAILABLE,($D237+J$5)&gt;TOTAL_LABOR_HOURS_CAP,MAX(0,($D237+J$5)-PERMANENT_FIELD_LABOR_HOURS)&gt;TEMP_HOURS_CAP),"",$C237+J$6-MIN(($D237+J$5),PERMANENT_FIELD_LABOR_HOURS)*PERMANENT_HOURLY_RATE-MAX(0,($D237+J$5)-PERMANENT_FIELD_LABOR_HOURS)*TEMP_HOURLY_RATE-FIXED_SEASON_COST)</f>
        <v>25785.5380828997</v>
      </c>
      <c r="K237" s="53" t="n">
        <f aca="false">IF(OR($A237&gt;TOMATO_BED_CAP,$B237&gt;CARROT_BED_CAP,K$4&gt;MESCLUN_BED_CAP,$A237+$B237+K$4&gt;TOTAL_BEDS_AVAILABLE,($D237+K$5)&gt;TOTAL_LABOR_HOURS_CAP,MAX(0,($D237+K$5)-PERMANENT_FIELD_LABOR_HOURS)&gt;TEMP_HOURS_CAP),"",$C237+K$6-MIN(($D237+K$5),PERMANENT_FIELD_LABOR_HOURS)*PERMANENT_HOURLY_RATE-MAX(0,($D237+K$5)-PERMANENT_FIELD_LABOR_HOURS)*TEMP_HOURLY_RATE-FIXED_SEASON_COST)</f>
        <v>26733.2271796276</v>
      </c>
      <c r="L237" s="53" t="n">
        <f aca="false">IF(OR($A237&gt;TOMATO_BED_CAP,$B237&gt;CARROT_BED_CAP,L$4&gt;MESCLUN_BED_CAP,$A237+$B237+L$4&gt;TOTAL_BEDS_AVAILABLE,($D237+L$5)&gt;TOTAL_LABOR_HOURS_CAP,MAX(0,($D237+L$5)-PERMANENT_FIELD_LABOR_HOURS)&gt;TEMP_HOURS_CAP),"",$C237+L$6-MIN(($D237+L$5),PERMANENT_FIELD_LABOR_HOURS)*PERMANENT_HOURLY_RATE-MAX(0,($D237+L$5)-PERMANENT_FIELD_LABOR_HOURS)*TEMP_HOURLY_RATE-FIXED_SEASON_COST)</f>
        <v>27659.6216278345</v>
      </c>
      <c r="M237" s="53" t="n">
        <f aca="false">IF(OR($A237&gt;TOMATO_BED_CAP,$B237&gt;CARROT_BED_CAP,M$4&gt;MESCLUN_BED_CAP,$A237+$B237+M$4&gt;TOTAL_BEDS_AVAILABLE,($D237+M$5)&gt;TOTAL_LABOR_HOURS_CAP,MAX(0,($D237+M$5)-PERMANENT_FIELD_LABOR_HOURS)&gt;TEMP_HOURS_CAP),"",$C237+M$6-MIN(($D237+M$5),PERMANENT_FIELD_LABOR_HOURS)*PERMANENT_HOURLY_RATE-MAX(0,($D237+M$5)-PERMANENT_FIELD_LABOR_HOURS)*TEMP_HOURLY_RATE-FIXED_SEASON_COST)</f>
        <v>28564.3253598859</v>
      </c>
      <c r="N237" s="53" t="n">
        <f aca="false">IF(OR($A237&gt;TOMATO_BED_CAP,$B237&gt;CARROT_BED_CAP,N$4&gt;MESCLUN_BED_CAP,$A237+$B237+N$4&gt;TOTAL_BEDS_AVAILABLE,($D237+N$5)&gt;TOTAL_LABOR_HOURS_CAP,MAX(0,($D237+N$5)-PERMANENT_FIELD_LABOR_HOURS)&gt;TEMP_HOURS_CAP),"",$C237+N$6-MIN(($D237+N$5),PERMANENT_FIELD_LABOR_HOURS)*PERMANENT_HOURLY_RATE-MAX(0,($D237+N$5)-PERMANENT_FIELD_LABOR_HOURS)*TEMP_HOURLY_RATE-FIXED_SEASON_COST)</f>
        <v>29446.9357337454</v>
      </c>
      <c r="O237" s="53" t="n">
        <f aca="false">IF(OR($A237&gt;TOMATO_BED_CAP,$B237&gt;CARROT_BED_CAP,O$4&gt;MESCLUN_BED_CAP,$A237+$B237+O$4&gt;TOTAL_BEDS_AVAILABLE,($D237+O$5)&gt;TOTAL_LABOR_HOURS_CAP,MAX(0,($D237+O$5)-PERMANENT_FIELD_LABOR_HOURS)&gt;TEMP_HOURS_CAP),"",$C237+O$6-MIN(($D237+O$5),PERMANENT_FIELD_LABOR_HOURS)*PERMANENT_HOURLY_RATE-MAX(0,($D237+O$5)-PERMANENT_FIELD_LABOR_HOURS)*TEMP_HOURLY_RATE-FIXED_SEASON_COST)</f>
        <v>30307.0434305002</v>
      </c>
      <c r="P237" s="53" t="n">
        <f aca="false">IF(OR($A237&gt;TOMATO_BED_CAP,$B237&gt;CARROT_BED_CAP,P$4&gt;MESCLUN_BED_CAP,$A237+$B237+P$4&gt;TOTAL_BEDS_AVAILABLE,($D237+P$5)&gt;TOTAL_LABOR_HOURS_CAP,MAX(0,($D237+P$5)-PERMANENT_FIELD_LABOR_HOURS)&gt;TEMP_HOURS_CAP),"",$C237+P$6-MIN(($D237+P$5),PERMANENT_FIELD_LABOR_HOURS)*PERMANENT_HOURLY_RATE-MAX(0,($D237+P$5)-PERMANENT_FIELD_LABOR_HOURS)*TEMP_HOURLY_RATE-FIXED_SEASON_COST)</f>
        <v>31144.2323503516</v>
      </c>
      <c r="Q237" s="53" t="n">
        <f aca="false">IF(OR($A237&gt;TOMATO_BED_CAP,$B237&gt;CARROT_BED_CAP,Q$4&gt;MESCLUN_BED_CAP,$A237+$B237+Q$4&gt;TOTAL_BEDS_AVAILABLE,($D237+Q$5)&gt;TOTAL_LABOR_HOURS_CAP,MAX(0,($D237+Q$5)-PERMANENT_FIELD_LABOR_HOURS)&gt;TEMP_HOURS_CAP),"",$C237+Q$6-MIN(($D237+Q$5),PERMANENT_FIELD_LABOR_HOURS)*PERMANENT_HOURLY_RATE-MAX(0,($D237+Q$5)-PERMANENT_FIELD_LABOR_HOURS)*TEMP_HOURLY_RATE-FIXED_SEASON_COST)</f>
        <v>31958.0795070495</v>
      </c>
      <c r="R237" s="53" t="n">
        <f aca="false">IF(OR($A237&gt;TOMATO_BED_CAP,$B237&gt;CARROT_BED_CAP,R$4&gt;MESCLUN_BED_CAP,$A237+$B237+R$4&gt;TOTAL_BEDS_AVAILABLE,($D237+R$5)&gt;TOTAL_LABOR_HOURS_CAP,MAX(0,($D237+R$5)-PERMANENT_FIELD_LABOR_HOURS)&gt;TEMP_HOURS_CAP),"",$C237+R$6-MIN(($D237+R$5),PERMANENT_FIELD_LABOR_HOURS)*PERMANENT_HOURLY_RATE-MAX(0,($D237+R$5)-PERMANENT_FIELD_LABOR_HOURS)*TEMP_HOURLY_RATE-FIXED_SEASON_COST)</f>
        <v>32748.1549207463</v>
      </c>
      <c r="S237" s="53" t="n">
        <f aca="false">IF(OR($A237&gt;TOMATO_BED_CAP,$B237&gt;CARROT_BED_CAP,S$4&gt;MESCLUN_BED_CAP,$A237+$B237+S$4&gt;TOTAL_BEDS_AVAILABLE,($D237+S$5)&gt;TOTAL_LABOR_HOURS_CAP,MAX(0,($D237+S$5)-PERMANENT_FIELD_LABOR_HOURS)&gt;TEMP_HOURS_CAP),"",$C237+S$6-MIN(($D237+S$5),PERMANENT_FIELD_LABOR_HOURS)*PERMANENT_HOURLY_RATE-MAX(0,($D237+S$5)-PERMANENT_FIELD_LABOR_HOURS)*TEMP_HOURLY_RATE-FIXED_SEASON_COST)</f>
        <v>33514.0215092487</v>
      </c>
      <c r="T237" s="53" t="n">
        <f aca="false">IF(OR($A237&gt;TOMATO_BED_CAP,$B237&gt;CARROT_BED_CAP,T$4&gt;MESCLUN_BED_CAP,$A237+$B237+T$4&gt;TOTAL_BEDS_AVAILABLE,($D237+T$5)&gt;TOTAL_LABOR_HOURS_CAP,MAX(0,($D237+T$5)-PERMANENT_FIELD_LABOR_HOURS)&gt;TEMP_HOURS_CAP),"",$C237+T$6-MIN(($D237+T$5),PERMANENT_FIELD_LABOR_HOURS)*PERMANENT_HOURLY_RATE-MAX(0,($D237+T$5)-PERMANENT_FIELD_LABOR_HOURS)*TEMP_HOURLY_RATE-FIXED_SEASON_COST)</f>
        <v>34255.2349776436</v>
      </c>
      <c r="U237" s="53" t="n">
        <f aca="false">IF(OR($A237&gt;TOMATO_BED_CAP,$B237&gt;CARROT_BED_CAP,U$4&gt;MESCLUN_BED_CAP,$A237+$B237+U$4&gt;TOTAL_BEDS_AVAILABLE,($D237+U$5)&gt;TOTAL_LABOR_HOURS_CAP,MAX(0,($D237+U$5)-PERMANENT_FIELD_LABOR_HOURS)&gt;TEMP_HOURS_CAP),"",$C237+U$6-MIN(($D237+U$5),PERMANENT_FIELD_LABOR_HOURS)*PERMANENT_HOURLY_RATE-MAX(0,($D237+U$5)-PERMANENT_FIELD_LABOR_HOURS)*TEMP_HOURLY_RATE-FIXED_SEASON_COST)</f>
        <v>34971.3437062737</v>
      </c>
      <c r="V237" s="53" t="n">
        <f aca="false">IF(OR($A237&gt;TOMATO_BED_CAP,$B237&gt;CARROT_BED_CAP,V$4&gt;MESCLUN_BED_CAP,$A237+$B237+V$4&gt;TOTAL_BEDS_AVAILABLE,($D237+V$5)&gt;TOTAL_LABOR_HOURS_CAP,MAX(0,($D237+V$5)-PERMANENT_FIELD_LABOR_HOURS)&gt;TEMP_HOURS_CAP),"",$C237+V$6-MIN(($D237+V$5),PERMANENT_FIELD_LABOR_HOURS)*PERMANENT_HOURLY_RATE-MAX(0,($D237+V$5)-PERMANENT_FIELD_LABOR_HOURS)*TEMP_HOURLY_RATE-FIXED_SEASON_COST)</f>
        <v>35661.8886370405</v>
      </c>
      <c r="W237" s="53" t="n">
        <f aca="false">IF(OR($A237&gt;TOMATO_BED_CAP,$B237&gt;CARROT_BED_CAP,W$4&gt;MESCLUN_BED_CAP,$A237+$B237+W$4&gt;TOTAL_BEDS_AVAILABLE,($D237+W$5)&gt;TOTAL_LABOR_HOURS_CAP,MAX(0,($D237+W$5)-PERMANENT_FIELD_LABOR_HOURS)&gt;TEMP_HOURS_CAP),"",$C237+W$6-MIN(($D237+W$5),PERMANENT_FIELD_LABOR_HOURS)*PERMANENT_HOURLY_RATE-MAX(0,($D237+W$5)-PERMANENT_FIELD_LABOR_HOURS)*TEMP_HOURLY_RATE-FIXED_SEASON_COST)</f>
        <v>36326.4031580085</v>
      </c>
      <c r="X237" s="53" t="n">
        <f aca="false">IF(OR($A237&gt;TOMATO_BED_CAP,$B237&gt;CARROT_BED_CAP,X$4&gt;MESCLUN_BED_CAP,$A237+$B237+X$4&gt;TOTAL_BEDS_AVAILABLE,($D237+X$5)&gt;TOTAL_LABOR_HOURS_CAP,MAX(0,($D237+X$5)-PERMANENT_FIELD_LABOR_HOURS)&gt;TEMP_HOURS_CAP),"",$C237+X$6-MIN(($D237+X$5),PERMANENT_FIELD_LABOR_HOURS)*PERMANENT_HOURLY_RATE-MAX(0,($D237+X$5)-PERMANENT_FIELD_LABOR_HOURS)*TEMP_HOURLY_RATE-FIXED_SEASON_COST)</f>
        <v>36964.4129862875</v>
      </c>
      <c r="Y237" s="53" t="n">
        <f aca="false">IF(OR($A237&gt;TOMATO_BED_CAP,$B237&gt;CARROT_BED_CAP,Y$4&gt;MESCLUN_BED_CAP,$A237+$B237+Y$4&gt;TOTAL_BEDS_AVAILABLE,($D237+Y$5)&gt;TOTAL_LABOR_HOURS_CAP,MAX(0,($D237+Y$5)-PERMANENT_FIELD_LABOR_HOURS)&gt;TEMP_HOURS_CAP),"",$C237+Y$6-MIN(($D237+Y$5),PERMANENT_FIELD_LABOR_HOURS)*PERMANENT_HOURLY_RATE-MAX(0,($D237+Y$5)-PERMANENT_FIELD_LABOR_HOURS)*TEMP_HOURLY_RATE-FIXED_SEASON_COST)</f>
        <v>37575.4360491661</v>
      </c>
      <c r="Z237" s="53" t="n">
        <f aca="false">IF(OR($A237&gt;TOMATO_BED_CAP,$B237&gt;CARROT_BED_CAP,Z$4&gt;MESCLUN_BED_CAP,$A237+$B237+Z$4&gt;TOTAL_BEDS_AVAILABLE,($D237+Z$5)&gt;TOTAL_LABOR_HOURS_CAP,MAX(0,($D237+Z$5)-PERMANENT_FIELD_LABOR_HOURS)&gt;TEMP_HOURS_CAP),"",$C237+Z$6-MIN(($D237+Z$5),PERMANENT_FIELD_LABOR_HOURS)*PERMANENT_HOURLY_RATE-MAX(0,($D237+Z$5)-PERMANENT_FIELD_LABOR_HOURS)*TEMP_HOURLY_RATE-FIXED_SEASON_COST)</f>
        <v>38158.9823634738</v>
      </c>
      <c r="AA237" s="53" t="n">
        <f aca="false">IF(OR($A237&gt;TOMATO_BED_CAP,$B237&gt;CARROT_BED_CAP,AA$4&gt;MESCLUN_BED_CAP,$A237+$B237+AA$4&gt;TOTAL_BEDS_AVAILABLE,($D237+AA$5)&gt;TOTAL_LABOR_HOURS_CAP,MAX(0,($D237+AA$5)-PERMANENT_FIELD_LABOR_HOURS)&gt;TEMP_HOURS_CAP),"",$C237+AA$6-MIN(($D237+AA$5),PERMANENT_FIELD_LABOR_HOURS)*PERMANENT_HOURLY_RATE-MAX(0,($D237+AA$5)-PERMANENT_FIELD_LABOR_HOURS)*TEMP_HOURLY_RATE-FIXED_SEASON_COST)</f>
        <v>38714.5539131428</v>
      </c>
      <c r="AB237" s="53" t="n">
        <f aca="false">IF(OR($A237&gt;TOMATO_BED_CAP,$B237&gt;CARROT_BED_CAP,AB$4&gt;MESCLUN_BED_CAP,$A237+$B237+AB$4&gt;TOTAL_BEDS_AVAILABLE,($D237+AB$5)&gt;TOTAL_LABOR_HOURS_CAP,MAX(0,($D237+AB$5)-PERMANENT_FIELD_LABOR_HOURS)&gt;TEMP_HOURS_CAP),"",$C237+AB$6-MIN(($D237+AB$5),PERMANENT_FIELD_LABOR_HOURS)*PERMANENT_HOURLY_RATE-MAX(0,($D237+AB$5)-PERMANENT_FIELD_LABOR_HOURS)*TEMP_HOURLY_RATE-FIXED_SEASON_COST)</f>
        <v>39241.6445249453</v>
      </c>
      <c r="AC237" s="53" t="n">
        <f aca="false">IF(OR($A237&gt;TOMATO_BED_CAP,$B237&gt;CARROT_BED_CAP,AC$4&gt;MESCLUN_BED_CAP,$A237+$B237+AC$4&gt;TOTAL_BEDS_AVAILABLE,($D237+AC$5)&gt;TOTAL_LABOR_HOURS_CAP,MAX(0,($D237+AC$5)-PERMANENT_FIELD_LABOR_HOURS)&gt;TEMP_HOURS_CAP),"",$C237+AC$6-MIN(($D237+AC$5),PERMANENT_FIELD_LABOR_HOURS)*PERMANENT_HOURLY_RATE-MAX(0,($D237+AC$5)-PERMANENT_FIELD_LABOR_HOURS)*TEMP_HOURLY_RATE-FIXED_SEASON_COST)</f>
        <v>39739.7397423803</v>
      </c>
      <c r="AD237" s="53" t="n">
        <f aca="false">IF(OR($A237&gt;TOMATO_BED_CAP,$B237&gt;CARROT_BED_CAP,AD$4&gt;MESCLUN_BED_CAP,$A237+$B237+AD$4&gt;TOTAL_BEDS_AVAILABLE,($D237+AD$5)&gt;TOTAL_LABOR_HOURS_CAP,MAX(0,($D237+AD$5)-PERMANENT_FIELD_LABOR_HOURS)&gt;TEMP_HOURS_CAP),"",$C237+AD$6-MIN(($D237+AD$5),PERMANENT_FIELD_LABOR_HOURS)*PERMANENT_HOURLY_RATE-MAX(0,($D237+AD$5)-PERMANENT_FIELD_LABOR_HOURS)*TEMP_HOURLY_RATE-FIXED_SEASON_COST)</f>
        <v>40208.3166976802</v>
      </c>
      <c r="AE237" s="53" t="n">
        <f aca="false">IF(OR($A237&gt;TOMATO_BED_CAP,$B237&gt;CARROT_BED_CAP,AE$4&gt;MESCLUN_BED_CAP,$A237+$B237+AE$4&gt;TOTAL_BEDS_AVAILABLE,($D237+AE$5)&gt;TOTAL_LABOR_HOURS_CAP,MAX(0,($D237+AE$5)-PERMANENT_FIELD_LABOR_HOURS)&gt;TEMP_HOURS_CAP),"",$C237+AE$6-MIN(($D237+AE$5),PERMANENT_FIELD_LABOR_HOURS)*PERMANENT_HOURLY_RATE-MAX(0,($D237+AE$5)-PERMANENT_FIELD_LABOR_HOURS)*TEMP_HOURLY_RATE-FIXED_SEASON_COST)</f>
        <v>40646.8439819141</v>
      </c>
      <c r="AF237" s="53" t="n">
        <f aca="false">IF(OR($A237&gt;TOMATO_BED_CAP,$B237&gt;CARROT_BED_CAP,AF$4&gt;MESCLUN_BED_CAP,$A237+$B237+AF$4&gt;TOTAL_BEDS_AVAILABLE,($D237+AF$5)&gt;TOTAL_LABOR_HOURS_CAP,MAX(0,($D237+AF$5)-PERMANENT_FIELD_LABOR_HOURS)&gt;TEMP_HOURS_CAP),"",$C237+AF$6-MIN(($D237+AF$5),PERMANENT_FIELD_LABOR_HOURS)*PERMANENT_HOURLY_RATE-MAX(0,($D237+AF$5)-PERMANENT_FIELD_LABOR_HOURS)*TEMP_HOURLY_RATE-FIXED_SEASON_COST)</f>
        <v>41054.7815131561</v>
      </c>
      <c r="AG237" s="53" t="n">
        <f aca="false">IF(OR($A237&gt;TOMATO_BED_CAP,$B237&gt;CARROT_BED_CAP,AG$4&gt;MESCLUN_BED_CAP,$A237+$B237+AG$4&gt;TOTAL_BEDS_AVAILABLE,($D237+AG$5)&gt;TOTAL_LABOR_HOURS_CAP,MAX(0,($D237+AG$5)-PERMANENT_FIELD_LABOR_HOURS)&gt;TEMP_HOURS_CAP),"",$C237+AG$6-MIN(($D237+AG$5),PERMANENT_FIELD_LABOR_HOURS)*PERMANENT_HOURLY_RATE-MAX(0,($D237+AG$5)-PERMANENT_FIELD_LABOR_HOURS)*TEMP_HOURLY_RATE-FIXED_SEASON_COST)</f>
        <v>41431.5804026931</v>
      </c>
      <c r="AH237" s="53" t="n">
        <f aca="false">IF(OR($A237&gt;TOMATO_BED_CAP,$B237&gt;CARROT_BED_CAP,AH$4&gt;MESCLUN_BED_CAP,$A237+$B237+AH$4&gt;TOTAL_BEDS_AVAILABLE,($D237+AH$5)&gt;TOTAL_LABOR_HOURS_CAP,MAX(0,($D237+AH$5)-PERMANENT_FIELD_LABOR_HOURS)&gt;TEMP_HOURS_CAP),"",$C237+AH$6-MIN(($D237+AH$5),PERMANENT_FIELD_LABOR_HOURS)*PERMANENT_HOURLY_RATE-MAX(0,($D237+AH$5)-PERMANENT_FIELD_LABOR_HOURS)*TEMP_HOURLY_RATE-FIXED_SEASON_COST)</f>
        <v>41776.6828192433</v>
      </c>
      <c r="AI237" s="53" t="n">
        <f aca="false">IF(OR($A237&gt;TOMATO_BED_CAP,$B237&gt;CARROT_BED_CAP,AI$4&gt;MESCLUN_BED_CAP,$A237+$B237+AI$4&gt;TOTAL_BEDS_AVAILABLE,($D237+AI$5)&gt;TOTAL_LABOR_HOURS_CAP,MAX(0,($D237+AI$5)-PERMANENT_FIELD_LABOR_HOURS)&gt;TEMP_HOURS_CAP),"",$C237+AI$6-MIN(($D237+AI$5),PERMANENT_FIELD_LABOR_HOURS)*PERMANENT_HOURLY_RATE-MAX(0,($D237+AI$5)-PERMANENT_FIELD_LABOR_HOURS)*TEMP_HOURLY_RATE-FIXED_SEASON_COST)</f>
        <v>42089.5218511556</v>
      </c>
      <c r="AJ237" s="53" t="n">
        <f aca="false">IF(OR($A237&gt;TOMATO_BED_CAP,$B237&gt;CARROT_BED_CAP,AJ$4&gt;MESCLUN_BED_CAP,$A237+$B237+AJ$4&gt;TOTAL_BEDS_AVAILABLE,($D237+AJ$5)&gt;TOTAL_LABOR_HOURS_CAP,MAX(0,($D237+AJ$5)-PERMANENT_FIELD_LABOR_HOURS)&gt;TEMP_HOURS_CAP),"",$C237+AJ$6-MIN(($D237+AJ$5),PERMANENT_FIELD_LABOR_HOURS)*PERMANENT_HOURLY_RATE-MAX(0,($D237+AJ$5)-PERMANENT_FIELD_LABOR_HOURS)*TEMP_HOURLY_RATE-FIXED_SEASON_COST)</f>
        <v>42369.5213665613</v>
      </c>
    </row>
    <row r="238" customFormat="false" ht="15" hidden="false" customHeight="false" outlineLevel="0" collapsed="false">
      <c r="A238" s="21" t="n">
        <f aca="false">INT((ROW()-ROW($A$8))/(20+1))</f>
        <v>10</v>
      </c>
      <c r="B238" s="21" t="n">
        <f aca="false">MOD(ROW()-ROW($A$8),20+1)</f>
        <v>20</v>
      </c>
      <c r="C238" s="13" t="n">
        <f aca="false">A238*(TOMATO_REVENUE_PER_BED-TOMATO_FERTILIZER_PER_BED)+B238*(CARROT_REVENUE_PER_BED-CARROT_FERTILIZER_PER_BED)</f>
        <v>112280</v>
      </c>
      <c r="D238" s="14" t="n">
        <f aca="false">INDEX(TOMATO_SCHED_LABOR_HRS,A238+1)+INDEX(CARROT_SCHED_LABOR_HRS,B238+1)</f>
        <v>3317.14481031857</v>
      </c>
      <c r="E238" s="13" t="n">
        <f aca="false">IF(COUNT(F238:AJ238)=0,"",MAX(F238:AJ238))</f>
        <v>42775.1553877422</v>
      </c>
      <c r="F238" s="53" t="n">
        <f aca="false">IF(OR($A238&gt;TOMATO_BED_CAP,$B238&gt;CARROT_BED_CAP,F$4&gt;MESCLUN_BED_CAP,$A238+$B238+F$4&gt;TOTAL_BEDS_AVAILABLE,($D238+F$5)&gt;TOTAL_LABOR_HOURS_CAP,MAX(0,($D238+F$5)-PERMANENT_FIELD_LABOR_HOURS)&gt;TEMP_HOURS_CAP),"",$C238+F$6-MIN(($D238+F$5),PERMANENT_FIELD_LABOR_HOURS)*PERMANENT_HOURLY_RATE-MAX(0,($D238+F$5)-PERMANENT_FIELD_LABOR_HOURS)*TEMP_HOURLY_RATE-FIXED_SEASON_COST)</f>
        <v>22195.1660928697</v>
      </c>
      <c r="G238" s="53" t="n">
        <f aca="false">IF(OR($A238&gt;TOMATO_BED_CAP,$B238&gt;CARROT_BED_CAP,G$4&gt;MESCLUN_BED_CAP,$A238+$B238+G$4&gt;TOTAL_BEDS_AVAILABLE,($D238+G$5)&gt;TOTAL_LABOR_HOURS_CAP,MAX(0,($D238+G$5)-PERMANENT_FIELD_LABOR_HOURS)&gt;TEMP_HOURS_CAP),"",$C238+G$6-MIN(($D238+G$5),PERMANENT_FIELD_LABOR_HOURS)*PERMANENT_HOURLY_RATE-MAX(0,($D238+G$5)-PERMANENT_FIELD_LABOR_HOURS)*TEMP_HOURLY_RATE-FIXED_SEASON_COST)</f>
        <v>23224.2010928697</v>
      </c>
      <c r="H238" s="53" t="n">
        <f aca="false">IF(OR($A238&gt;TOMATO_BED_CAP,$B238&gt;CARROT_BED_CAP,H$4&gt;MESCLUN_BED_CAP,$A238+$B238+H$4&gt;TOTAL_BEDS_AVAILABLE,($D238+H$5)&gt;TOTAL_LABOR_HOURS_CAP,MAX(0,($D238+H$5)-PERMANENT_FIELD_LABOR_HOURS)&gt;TEMP_HOURS_CAP),"",$C238+H$6-MIN(($D238+H$5),PERMANENT_FIELD_LABOR_HOURS)*PERMANENT_HOURLY_RATE-MAX(0,($D238+H$5)-PERMANENT_FIELD_LABOR_HOURS)*TEMP_HOURLY_RATE-FIXED_SEASON_COST)</f>
        <v>24233.4619678697</v>
      </c>
      <c r="I238" s="53" t="n">
        <f aca="false">IF(OR($A238&gt;TOMATO_BED_CAP,$B238&gt;CARROT_BED_CAP,I$4&gt;MESCLUN_BED_CAP,$A238+$B238+I$4&gt;TOTAL_BEDS_AVAILABLE,($D238+I$5)&gt;TOTAL_LABOR_HOURS_CAP,MAX(0,($D238+I$5)-PERMANENT_FIELD_LABOR_HOURS)&gt;TEMP_HOURS_CAP),"",$C238+I$6-MIN(($D238+I$5),PERMANENT_FIELD_LABOR_HOURS)*PERMANENT_HOURLY_RATE-MAX(0,($D238+I$5)-PERMANENT_FIELD_LABOR_HOURS)*TEMP_HOURLY_RATE-FIXED_SEASON_COST)</f>
        <v>25222.5779530259</v>
      </c>
      <c r="J238" s="53" t="n">
        <f aca="false">IF(OR($A238&gt;TOMATO_BED_CAP,$B238&gt;CARROT_BED_CAP,J$4&gt;MESCLUN_BED_CAP,$A238+$B238+J$4&gt;TOTAL_BEDS_AVAILABLE,($D238+J$5)&gt;TOTAL_LABOR_HOURS_CAP,MAX(0,($D238+J$5)-PERMANENT_FIELD_LABOR_HOURS)&gt;TEMP_HOURS_CAP),"",$C238+J$6-MIN(($D238+J$5),PERMANENT_FIELD_LABOR_HOURS)*PERMANENT_HOURLY_RATE-MAX(0,($D238+J$5)-PERMANENT_FIELD_LABOR_HOURS)*TEMP_HOURLY_RATE-FIXED_SEASON_COST)</f>
        <v>26191.1721040806</v>
      </c>
      <c r="K238" s="53" t="n">
        <f aca="false">IF(OR($A238&gt;TOMATO_BED_CAP,$B238&gt;CARROT_BED_CAP,K$4&gt;MESCLUN_BED_CAP,$A238+$B238+K$4&gt;TOTAL_BEDS_AVAILABLE,($D238+K$5)&gt;TOTAL_LABOR_HOURS_CAP,MAX(0,($D238+K$5)-PERMANENT_FIELD_LABOR_HOURS)&gt;TEMP_HOURS_CAP),"",$C238+K$6-MIN(($D238+K$5),PERMANENT_FIELD_LABOR_HOURS)*PERMANENT_HOURLY_RATE-MAX(0,($D238+K$5)-PERMANENT_FIELD_LABOR_HOURS)*TEMP_HOURLY_RATE-FIXED_SEASON_COST)</f>
        <v>27138.8612008085</v>
      </c>
      <c r="L238" s="53" t="n">
        <f aca="false">IF(OR($A238&gt;TOMATO_BED_CAP,$B238&gt;CARROT_BED_CAP,L$4&gt;MESCLUN_BED_CAP,$A238+$B238+L$4&gt;TOTAL_BEDS_AVAILABLE,($D238+L$5)&gt;TOTAL_LABOR_HOURS_CAP,MAX(0,($D238+L$5)-PERMANENT_FIELD_LABOR_HOURS)&gt;TEMP_HOURS_CAP),"",$C238+L$6-MIN(($D238+L$5),PERMANENT_FIELD_LABOR_HOURS)*PERMANENT_HOURLY_RATE-MAX(0,($D238+L$5)-PERMANENT_FIELD_LABOR_HOURS)*TEMP_HOURLY_RATE-FIXED_SEASON_COST)</f>
        <v>28065.2556490154</v>
      </c>
      <c r="M238" s="53" t="n">
        <f aca="false">IF(OR($A238&gt;TOMATO_BED_CAP,$B238&gt;CARROT_BED_CAP,M$4&gt;MESCLUN_BED_CAP,$A238+$B238+M$4&gt;TOTAL_BEDS_AVAILABLE,($D238+M$5)&gt;TOTAL_LABOR_HOURS_CAP,MAX(0,($D238+M$5)-PERMANENT_FIELD_LABOR_HOURS)&gt;TEMP_HOURS_CAP),"",$C238+M$6-MIN(($D238+M$5),PERMANENT_FIELD_LABOR_HOURS)*PERMANENT_HOURLY_RATE-MAX(0,($D238+M$5)-PERMANENT_FIELD_LABOR_HOURS)*TEMP_HOURLY_RATE-FIXED_SEASON_COST)</f>
        <v>28969.9593810668</v>
      </c>
      <c r="N238" s="53" t="n">
        <f aca="false">IF(OR($A238&gt;TOMATO_BED_CAP,$B238&gt;CARROT_BED_CAP,N$4&gt;MESCLUN_BED_CAP,$A238+$B238+N$4&gt;TOTAL_BEDS_AVAILABLE,($D238+N$5)&gt;TOTAL_LABOR_HOURS_CAP,MAX(0,($D238+N$5)-PERMANENT_FIELD_LABOR_HOURS)&gt;TEMP_HOURS_CAP),"",$C238+N$6-MIN(($D238+N$5),PERMANENT_FIELD_LABOR_HOURS)*PERMANENT_HOURLY_RATE-MAX(0,($D238+N$5)-PERMANENT_FIELD_LABOR_HOURS)*TEMP_HOURLY_RATE-FIXED_SEASON_COST)</f>
        <v>29852.5697549263</v>
      </c>
      <c r="O238" s="53" t="n">
        <f aca="false">IF(OR($A238&gt;TOMATO_BED_CAP,$B238&gt;CARROT_BED_CAP,O$4&gt;MESCLUN_BED_CAP,$A238+$B238+O$4&gt;TOTAL_BEDS_AVAILABLE,($D238+O$5)&gt;TOTAL_LABOR_HOURS_CAP,MAX(0,($D238+O$5)-PERMANENT_FIELD_LABOR_HOURS)&gt;TEMP_HOURS_CAP),"",$C238+O$6-MIN(($D238+O$5),PERMANENT_FIELD_LABOR_HOURS)*PERMANENT_HOURLY_RATE-MAX(0,($D238+O$5)-PERMANENT_FIELD_LABOR_HOURS)*TEMP_HOURLY_RATE-FIXED_SEASON_COST)</f>
        <v>30712.6774516811</v>
      </c>
      <c r="P238" s="53" t="n">
        <f aca="false">IF(OR($A238&gt;TOMATO_BED_CAP,$B238&gt;CARROT_BED_CAP,P$4&gt;MESCLUN_BED_CAP,$A238+$B238+P$4&gt;TOTAL_BEDS_AVAILABLE,($D238+P$5)&gt;TOTAL_LABOR_HOURS_CAP,MAX(0,($D238+P$5)-PERMANENT_FIELD_LABOR_HOURS)&gt;TEMP_HOURS_CAP),"",$C238+P$6-MIN(($D238+P$5),PERMANENT_FIELD_LABOR_HOURS)*PERMANENT_HOURLY_RATE-MAX(0,($D238+P$5)-PERMANENT_FIELD_LABOR_HOURS)*TEMP_HOURLY_RATE-FIXED_SEASON_COST)</f>
        <v>31549.8663715325</v>
      </c>
      <c r="Q238" s="53" t="n">
        <f aca="false">IF(OR($A238&gt;TOMATO_BED_CAP,$B238&gt;CARROT_BED_CAP,Q$4&gt;MESCLUN_BED_CAP,$A238+$B238+Q$4&gt;TOTAL_BEDS_AVAILABLE,($D238+Q$5)&gt;TOTAL_LABOR_HOURS_CAP,MAX(0,($D238+Q$5)-PERMANENT_FIELD_LABOR_HOURS)&gt;TEMP_HOURS_CAP),"",$C238+Q$6-MIN(($D238+Q$5),PERMANENT_FIELD_LABOR_HOURS)*PERMANENT_HOURLY_RATE-MAX(0,($D238+Q$5)-PERMANENT_FIELD_LABOR_HOURS)*TEMP_HOURLY_RATE-FIXED_SEASON_COST)</f>
        <v>32363.7135282304</v>
      </c>
      <c r="R238" s="53" t="n">
        <f aca="false">IF(OR($A238&gt;TOMATO_BED_CAP,$B238&gt;CARROT_BED_CAP,R$4&gt;MESCLUN_BED_CAP,$A238+$B238+R$4&gt;TOTAL_BEDS_AVAILABLE,($D238+R$5)&gt;TOTAL_LABOR_HOURS_CAP,MAX(0,($D238+R$5)-PERMANENT_FIELD_LABOR_HOURS)&gt;TEMP_HOURS_CAP),"",$C238+R$6-MIN(($D238+R$5),PERMANENT_FIELD_LABOR_HOURS)*PERMANENT_HOURLY_RATE-MAX(0,($D238+R$5)-PERMANENT_FIELD_LABOR_HOURS)*TEMP_HOURLY_RATE-FIXED_SEASON_COST)</f>
        <v>33153.7889419272</v>
      </c>
      <c r="S238" s="53" t="n">
        <f aca="false">IF(OR($A238&gt;TOMATO_BED_CAP,$B238&gt;CARROT_BED_CAP,S$4&gt;MESCLUN_BED_CAP,$A238+$B238+S$4&gt;TOTAL_BEDS_AVAILABLE,($D238+S$5)&gt;TOTAL_LABOR_HOURS_CAP,MAX(0,($D238+S$5)-PERMANENT_FIELD_LABOR_HOURS)&gt;TEMP_HOURS_CAP),"",$C238+S$6-MIN(($D238+S$5),PERMANENT_FIELD_LABOR_HOURS)*PERMANENT_HOURLY_RATE-MAX(0,($D238+S$5)-PERMANENT_FIELD_LABOR_HOURS)*TEMP_HOURLY_RATE-FIXED_SEASON_COST)</f>
        <v>33919.6555304296</v>
      </c>
      <c r="T238" s="53" t="n">
        <f aca="false">IF(OR($A238&gt;TOMATO_BED_CAP,$B238&gt;CARROT_BED_CAP,T$4&gt;MESCLUN_BED_CAP,$A238+$B238+T$4&gt;TOTAL_BEDS_AVAILABLE,($D238+T$5)&gt;TOTAL_LABOR_HOURS_CAP,MAX(0,($D238+T$5)-PERMANENT_FIELD_LABOR_HOURS)&gt;TEMP_HOURS_CAP),"",$C238+T$6-MIN(($D238+T$5),PERMANENT_FIELD_LABOR_HOURS)*PERMANENT_HOURLY_RATE-MAX(0,($D238+T$5)-PERMANENT_FIELD_LABOR_HOURS)*TEMP_HOURLY_RATE-FIXED_SEASON_COST)</f>
        <v>34660.8689988245</v>
      </c>
      <c r="U238" s="53" t="n">
        <f aca="false">IF(OR($A238&gt;TOMATO_BED_CAP,$B238&gt;CARROT_BED_CAP,U$4&gt;MESCLUN_BED_CAP,$A238+$B238+U$4&gt;TOTAL_BEDS_AVAILABLE,($D238+U$5)&gt;TOTAL_LABOR_HOURS_CAP,MAX(0,($D238+U$5)-PERMANENT_FIELD_LABOR_HOURS)&gt;TEMP_HOURS_CAP),"",$C238+U$6-MIN(($D238+U$5),PERMANENT_FIELD_LABOR_HOURS)*PERMANENT_HOURLY_RATE-MAX(0,($D238+U$5)-PERMANENT_FIELD_LABOR_HOURS)*TEMP_HOURLY_RATE-FIXED_SEASON_COST)</f>
        <v>35376.9777274546</v>
      </c>
      <c r="V238" s="53" t="n">
        <f aca="false">IF(OR($A238&gt;TOMATO_BED_CAP,$B238&gt;CARROT_BED_CAP,V$4&gt;MESCLUN_BED_CAP,$A238+$B238+V$4&gt;TOTAL_BEDS_AVAILABLE,($D238+V$5)&gt;TOTAL_LABOR_HOURS_CAP,MAX(0,($D238+V$5)-PERMANENT_FIELD_LABOR_HOURS)&gt;TEMP_HOURS_CAP),"",$C238+V$6-MIN(($D238+V$5),PERMANENT_FIELD_LABOR_HOURS)*PERMANENT_HOURLY_RATE-MAX(0,($D238+V$5)-PERMANENT_FIELD_LABOR_HOURS)*TEMP_HOURLY_RATE-FIXED_SEASON_COST)</f>
        <v>36067.5226582214</v>
      </c>
      <c r="W238" s="53" t="n">
        <f aca="false">IF(OR($A238&gt;TOMATO_BED_CAP,$B238&gt;CARROT_BED_CAP,W$4&gt;MESCLUN_BED_CAP,$A238+$B238+W$4&gt;TOTAL_BEDS_AVAILABLE,($D238+W$5)&gt;TOTAL_LABOR_HOURS_CAP,MAX(0,($D238+W$5)-PERMANENT_FIELD_LABOR_HOURS)&gt;TEMP_HOURS_CAP),"",$C238+W$6-MIN(($D238+W$5),PERMANENT_FIELD_LABOR_HOURS)*PERMANENT_HOURLY_RATE-MAX(0,($D238+W$5)-PERMANENT_FIELD_LABOR_HOURS)*TEMP_HOURLY_RATE-FIXED_SEASON_COST)</f>
        <v>36732.0371791894</v>
      </c>
      <c r="X238" s="53" t="n">
        <f aca="false">IF(OR($A238&gt;TOMATO_BED_CAP,$B238&gt;CARROT_BED_CAP,X$4&gt;MESCLUN_BED_CAP,$A238+$B238+X$4&gt;TOTAL_BEDS_AVAILABLE,($D238+X$5)&gt;TOTAL_LABOR_HOURS_CAP,MAX(0,($D238+X$5)-PERMANENT_FIELD_LABOR_HOURS)&gt;TEMP_HOURS_CAP),"",$C238+X$6-MIN(($D238+X$5),PERMANENT_FIELD_LABOR_HOURS)*PERMANENT_HOURLY_RATE-MAX(0,($D238+X$5)-PERMANENT_FIELD_LABOR_HOURS)*TEMP_HOURLY_RATE-FIXED_SEASON_COST)</f>
        <v>37370.0470074684</v>
      </c>
      <c r="Y238" s="53" t="n">
        <f aca="false">IF(OR($A238&gt;TOMATO_BED_CAP,$B238&gt;CARROT_BED_CAP,Y$4&gt;MESCLUN_BED_CAP,$A238+$B238+Y$4&gt;TOTAL_BEDS_AVAILABLE,($D238+Y$5)&gt;TOTAL_LABOR_HOURS_CAP,MAX(0,($D238+Y$5)-PERMANENT_FIELD_LABOR_HOURS)&gt;TEMP_HOURS_CAP),"",$C238+Y$6-MIN(($D238+Y$5),PERMANENT_FIELD_LABOR_HOURS)*PERMANENT_HOURLY_RATE-MAX(0,($D238+Y$5)-PERMANENT_FIELD_LABOR_HOURS)*TEMP_HOURLY_RATE-FIXED_SEASON_COST)</f>
        <v>37981.070070347</v>
      </c>
      <c r="Z238" s="53" t="n">
        <f aca="false">IF(OR($A238&gt;TOMATO_BED_CAP,$B238&gt;CARROT_BED_CAP,Z$4&gt;MESCLUN_BED_CAP,$A238+$B238+Z$4&gt;TOTAL_BEDS_AVAILABLE,($D238+Z$5)&gt;TOTAL_LABOR_HOURS_CAP,MAX(0,($D238+Z$5)-PERMANENT_FIELD_LABOR_HOURS)&gt;TEMP_HOURS_CAP),"",$C238+Z$6-MIN(($D238+Z$5),PERMANENT_FIELD_LABOR_HOURS)*PERMANENT_HOURLY_RATE-MAX(0,($D238+Z$5)-PERMANENT_FIELD_LABOR_HOURS)*TEMP_HOURLY_RATE-FIXED_SEASON_COST)</f>
        <v>38564.6163846547</v>
      </c>
      <c r="AA238" s="53" t="n">
        <f aca="false">IF(OR($A238&gt;TOMATO_BED_CAP,$B238&gt;CARROT_BED_CAP,AA$4&gt;MESCLUN_BED_CAP,$A238+$B238+AA$4&gt;TOTAL_BEDS_AVAILABLE,($D238+AA$5)&gt;TOTAL_LABOR_HOURS_CAP,MAX(0,($D238+AA$5)-PERMANENT_FIELD_LABOR_HOURS)&gt;TEMP_HOURS_CAP),"",$C238+AA$6-MIN(($D238+AA$5),PERMANENT_FIELD_LABOR_HOURS)*PERMANENT_HOURLY_RATE-MAX(0,($D238+AA$5)-PERMANENT_FIELD_LABOR_HOURS)*TEMP_HOURLY_RATE-FIXED_SEASON_COST)</f>
        <v>39120.1879343237</v>
      </c>
      <c r="AB238" s="53" t="n">
        <f aca="false">IF(OR($A238&gt;TOMATO_BED_CAP,$B238&gt;CARROT_BED_CAP,AB$4&gt;MESCLUN_BED_CAP,$A238+$B238+AB$4&gt;TOTAL_BEDS_AVAILABLE,($D238+AB$5)&gt;TOTAL_LABOR_HOURS_CAP,MAX(0,($D238+AB$5)-PERMANENT_FIELD_LABOR_HOURS)&gt;TEMP_HOURS_CAP),"",$C238+AB$6-MIN(($D238+AB$5),PERMANENT_FIELD_LABOR_HOURS)*PERMANENT_HOURLY_RATE-MAX(0,($D238+AB$5)-PERMANENT_FIELD_LABOR_HOURS)*TEMP_HOURLY_RATE-FIXED_SEASON_COST)</f>
        <v>39647.2785461262</v>
      </c>
      <c r="AC238" s="53" t="n">
        <f aca="false">IF(OR($A238&gt;TOMATO_BED_CAP,$B238&gt;CARROT_BED_CAP,AC$4&gt;MESCLUN_BED_CAP,$A238+$B238+AC$4&gt;TOTAL_BEDS_AVAILABLE,($D238+AC$5)&gt;TOTAL_LABOR_HOURS_CAP,MAX(0,($D238+AC$5)-PERMANENT_FIELD_LABOR_HOURS)&gt;TEMP_HOURS_CAP),"",$C238+AC$6-MIN(($D238+AC$5),PERMANENT_FIELD_LABOR_HOURS)*PERMANENT_HOURLY_RATE-MAX(0,($D238+AC$5)-PERMANENT_FIELD_LABOR_HOURS)*TEMP_HOURLY_RATE-FIXED_SEASON_COST)</f>
        <v>40145.3737635611</v>
      </c>
      <c r="AD238" s="53" t="n">
        <f aca="false">IF(OR($A238&gt;TOMATO_BED_CAP,$B238&gt;CARROT_BED_CAP,AD$4&gt;MESCLUN_BED_CAP,$A238+$B238+AD$4&gt;TOTAL_BEDS_AVAILABLE,($D238+AD$5)&gt;TOTAL_LABOR_HOURS_CAP,MAX(0,($D238+AD$5)-PERMANENT_FIELD_LABOR_HOURS)&gt;TEMP_HOURS_CAP),"",$C238+AD$6-MIN(($D238+AD$5),PERMANENT_FIELD_LABOR_HOURS)*PERMANENT_HOURLY_RATE-MAX(0,($D238+AD$5)-PERMANENT_FIELD_LABOR_HOURS)*TEMP_HOURLY_RATE-FIXED_SEASON_COST)</f>
        <v>40613.9507188611</v>
      </c>
      <c r="AE238" s="53" t="n">
        <f aca="false">IF(OR($A238&gt;TOMATO_BED_CAP,$B238&gt;CARROT_BED_CAP,AE$4&gt;MESCLUN_BED_CAP,$A238+$B238+AE$4&gt;TOTAL_BEDS_AVAILABLE,($D238+AE$5)&gt;TOTAL_LABOR_HOURS_CAP,MAX(0,($D238+AE$5)-PERMANENT_FIELD_LABOR_HOURS)&gt;TEMP_HOURS_CAP),"",$C238+AE$6-MIN(($D238+AE$5),PERMANENT_FIELD_LABOR_HOURS)*PERMANENT_HOURLY_RATE-MAX(0,($D238+AE$5)-PERMANENT_FIELD_LABOR_HOURS)*TEMP_HOURLY_RATE-FIXED_SEASON_COST)</f>
        <v>41052.478003095</v>
      </c>
      <c r="AF238" s="53" t="n">
        <f aca="false">IF(OR($A238&gt;TOMATO_BED_CAP,$B238&gt;CARROT_BED_CAP,AF$4&gt;MESCLUN_BED_CAP,$A238+$B238+AF$4&gt;TOTAL_BEDS_AVAILABLE,($D238+AF$5)&gt;TOTAL_LABOR_HOURS_CAP,MAX(0,($D238+AF$5)-PERMANENT_FIELD_LABOR_HOURS)&gt;TEMP_HOURS_CAP),"",$C238+AF$6-MIN(($D238+AF$5),PERMANENT_FIELD_LABOR_HOURS)*PERMANENT_HOURLY_RATE-MAX(0,($D238+AF$5)-PERMANENT_FIELD_LABOR_HOURS)*TEMP_HOURLY_RATE-FIXED_SEASON_COST)</f>
        <v>41460.415534337</v>
      </c>
      <c r="AG238" s="53" t="n">
        <f aca="false">IF(OR($A238&gt;TOMATO_BED_CAP,$B238&gt;CARROT_BED_CAP,AG$4&gt;MESCLUN_BED_CAP,$A238+$B238+AG$4&gt;TOTAL_BEDS_AVAILABLE,($D238+AG$5)&gt;TOTAL_LABOR_HOURS_CAP,MAX(0,($D238+AG$5)-PERMANENT_FIELD_LABOR_HOURS)&gt;TEMP_HOURS_CAP),"",$C238+AG$6-MIN(($D238+AG$5),PERMANENT_FIELD_LABOR_HOURS)*PERMANENT_HOURLY_RATE-MAX(0,($D238+AG$5)-PERMANENT_FIELD_LABOR_HOURS)*TEMP_HOURLY_RATE-FIXED_SEASON_COST)</f>
        <v>41837.214423874</v>
      </c>
      <c r="AH238" s="53" t="n">
        <f aca="false">IF(OR($A238&gt;TOMATO_BED_CAP,$B238&gt;CARROT_BED_CAP,AH$4&gt;MESCLUN_BED_CAP,$A238+$B238+AH$4&gt;TOTAL_BEDS_AVAILABLE,($D238+AH$5)&gt;TOTAL_LABOR_HOURS_CAP,MAX(0,($D238+AH$5)-PERMANENT_FIELD_LABOR_HOURS)&gt;TEMP_HOURS_CAP),"",$C238+AH$6-MIN(($D238+AH$5),PERMANENT_FIELD_LABOR_HOURS)*PERMANENT_HOURLY_RATE-MAX(0,($D238+AH$5)-PERMANENT_FIELD_LABOR_HOURS)*TEMP_HOURLY_RATE-FIXED_SEASON_COST)</f>
        <v>42182.3168404242</v>
      </c>
      <c r="AI238" s="53" t="n">
        <f aca="false">IF(OR($A238&gt;TOMATO_BED_CAP,$B238&gt;CARROT_BED_CAP,AI$4&gt;MESCLUN_BED_CAP,$A238+$B238+AI$4&gt;TOTAL_BEDS_AVAILABLE,($D238+AI$5)&gt;TOTAL_LABOR_HOURS_CAP,MAX(0,($D238+AI$5)-PERMANENT_FIELD_LABOR_HOURS)&gt;TEMP_HOURS_CAP),"",$C238+AI$6-MIN(($D238+AI$5),PERMANENT_FIELD_LABOR_HOURS)*PERMANENT_HOURLY_RATE-MAX(0,($D238+AI$5)-PERMANENT_FIELD_LABOR_HOURS)*TEMP_HOURLY_RATE-FIXED_SEASON_COST)</f>
        <v>42495.1558723364</v>
      </c>
      <c r="AJ238" s="53" t="n">
        <f aca="false">IF(OR($A238&gt;TOMATO_BED_CAP,$B238&gt;CARROT_BED_CAP,AJ$4&gt;MESCLUN_BED_CAP,$A238+$B238+AJ$4&gt;TOTAL_BEDS_AVAILABLE,($D238+AJ$5)&gt;TOTAL_LABOR_HOURS_CAP,MAX(0,($D238+AJ$5)-PERMANENT_FIELD_LABOR_HOURS)&gt;TEMP_HOURS_CAP),"",$C238+AJ$6-MIN(($D238+AJ$5),PERMANENT_FIELD_LABOR_HOURS)*PERMANENT_HOURLY_RATE-MAX(0,($D238+AJ$5)-PERMANENT_FIELD_LABOR_HOURS)*TEMP_HOURLY_RATE-FIXED_SEASON_COST)</f>
        <v>42775.1553877422</v>
      </c>
    </row>
    <row r="239" customFormat="false" ht="15" hidden="false" customHeight="false" outlineLevel="0" collapsed="false">
      <c r="A239" s="21" t="n">
        <f aca="false">INT((ROW()-ROW($A$8))/(20+1))</f>
        <v>11</v>
      </c>
      <c r="B239" s="21" t="n">
        <f aca="false">MOD(ROW()-ROW($A$8),20+1)</f>
        <v>0</v>
      </c>
      <c r="C239" s="13" t="n">
        <f aca="false">A239*(TOMATO_REVENUE_PER_BED-TOMATO_FERTILIZER_PER_BED)+B239*(CARROT_REVENUE_PER_BED-CARROT_FERTILIZER_PER_BED)</f>
        <v>87120</v>
      </c>
      <c r="D239" s="14" t="n">
        <f aca="false">INDEX(TOMATO_SCHED_LABOR_HRS,A239+1)+INDEX(CARROT_SCHED_LABOR_HRS,B239+1)</f>
        <v>2824.5855390489</v>
      </c>
      <c r="E239" s="13" t="n">
        <f aca="false">IF(COUNT(F239:AJ239)=0,"",MAX(F239:AJ239))</f>
        <v>26165.9843369836</v>
      </c>
      <c r="F239" s="53" t="n">
        <f aca="false">IF(OR($A239&gt;TOMATO_BED_CAP,$B239&gt;CARROT_BED_CAP,F$4&gt;MESCLUN_BED_CAP,$A239+$B239+F$4&gt;TOTAL_BEDS_AVAILABLE,($D239+F$5)&gt;TOTAL_LABOR_HOURS_CAP,MAX(0,($D239+F$5)-PERMANENT_FIELD_LABOR_HOURS)&gt;TEMP_HOURS_CAP),"",$C239+F$6-MIN(($D239+F$5),PERMANENT_FIELD_LABOR_HOURS)*PERMANENT_HOURLY_RATE-MAX(0,($D239+F$5)-PERMANENT_FIELD_LABOR_HOURS)*TEMP_HOURLY_RATE-FIXED_SEASON_COST)</f>
        <v>5585.99504211106</v>
      </c>
      <c r="G239" s="53" t="n">
        <f aca="false">IF(OR($A239&gt;TOMATO_BED_CAP,$B239&gt;CARROT_BED_CAP,G$4&gt;MESCLUN_BED_CAP,$A239+$B239+G$4&gt;TOTAL_BEDS_AVAILABLE,($D239+G$5)&gt;TOTAL_LABOR_HOURS_CAP,MAX(0,($D239+G$5)-PERMANENT_FIELD_LABOR_HOURS)&gt;TEMP_HOURS_CAP),"",$C239+G$6-MIN(($D239+G$5),PERMANENT_FIELD_LABOR_HOURS)*PERMANENT_HOURLY_RATE-MAX(0,($D239+G$5)-PERMANENT_FIELD_LABOR_HOURS)*TEMP_HOURLY_RATE-FIXED_SEASON_COST)</f>
        <v>6615.03004211107</v>
      </c>
      <c r="H239" s="53" t="n">
        <f aca="false">IF(OR($A239&gt;TOMATO_BED_CAP,$B239&gt;CARROT_BED_CAP,H$4&gt;MESCLUN_BED_CAP,$A239+$B239+H$4&gt;TOTAL_BEDS_AVAILABLE,($D239+H$5)&gt;TOTAL_LABOR_HOURS_CAP,MAX(0,($D239+H$5)-PERMANENT_FIELD_LABOR_HOURS)&gt;TEMP_HOURS_CAP),"",$C239+H$6-MIN(($D239+H$5),PERMANENT_FIELD_LABOR_HOURS)*PERMANENT_HOURLY_RATE-MAX(0,($D239+H$5)-PERMANENT_FIELD_LABOR_HOURS)*TEMP_HOURLY_RATE-FIXED_SEASON_COST)</f>
        <v>7624.29091711107</v>
      </c>
      <c r="I239" s="53" t="n">
        <f aca="false">IF(OR($A239&gt;TOMATO_BED_CAP,$B239&gt;CARROT_BED_CAP,I$4&gt;MESCLUN_BED_CAP,$A239+$B239+I$4&gt;TOTAL_BEDS_AVAILABLE,($D239+I$5)&gt;TOTAL_LABOR_HOURS_CAP,MAX(0,($D239+I$5)-PERMANENT_FIELD_LABOR_HOURS)&gt;TEMP_HOURS_CAP),"",$C239+I$6-MIN(($D239+I$5),PERMANENT_FIELD_LABOR_HOURS)*PERMANENT_HOURLY_RATE-MAX(0,($D239+I$5)-PERMANENT_FIELD_LABOR_HOURS)*TEMP_HOURLY_RATE-FIXED_SEASON_COST)</f>
        <v>8613.40690226731</v>
      </c>
      <c r="J239" s="53" t="n">
        <f aca="false">IF(OR($A239&gt;TOMATO_BED_CAP,$B239&gt;CARROT_BED_CAP,J$4&gt;MESCLUN_BED_CAP,$A239+$B239+J$4&gt;TOTAL_BEDS_AVAILABLE,($D239+J$5)&gt;TOTAL_LABOR_HOURS_CAP,MAX(0,($D239+J$5)-PERMANENT_FIELD_LABOR_HOURS)&gt;TEMP_HOURS_CAP),"",$C239+J$6-MIN(($D239+J$5),PERMANENT_FIELD_LABOR_HOURS)*PERMANENT_HOURLY_RATE-MAX(0,($D239+J$5)-PERMANENT_FIELD_LABOR_HOURS)*TEMP_HOURLY_RATE-FIXED_SEASON_COST)</f>
        <v>9582.001053322</v>
      </c>
      <c r="K239" s="53" t="n">
        <f aca="false">IF(OR($A239&gt;TOMATO_BED_CAP,$B239&gt;CARROT_BED_CAP,K$4&gt;MESCLUN_BED_CAP,$A239+$B239+K$4&gt;TOTAL_BEDS_AVAILABLE,($D239+K$5)&gt;TOTAL_LABOR_HOURS_CAP,MAX(0,($D239+K$5)-PERMANENT_FIELD_LABOR_HOURS)&gt;TEMP_HOURS_CAP),"",$C239+K$6-MIN(($D239+K$5),PERMANENT_FIELD_LABOR_HOURS)*PERMANENT_HOURLY_RATE-MAX(0,($D239+K$5)-PERMANENT_FIELD_LABOR_HOURS)*TEMP_HOURLY_RATE-FIXED_SEASON_COST)</f>
        <v>10529.6901500499</v>
      </c>
      <c r="L239" s="53" t="n">
        <f aca="false">IF(OR($A239&gt;TOMATO_BED_CAP,$B239&gt;CARROT_BED_CAP,L$4&gt;MESCLUN_BED_CAP,$A239+$B239+L$4&gt;TOTAL_BEDS_AVAILABLE,($D239+L$5)&gt;TOTAL_LABOR_HOURS_CAP,MAX(0,($D239+L$5)-PERMANENT_FIELD_LABOR_HOURS)&gt;TEMP_HOURS_CAP),"",$C239+L$6-MIN(($D239+L$5),PERMANENT_FIELD_LABOR_HOURS)*PERMANENT_HOURLY_RATE-MAX(0,($D239+L$5)-PERMANENT_FIELD_LABOR_HOURS)*TEMP_HOURLY_RATE-FIXED_SEASON_COST)</f>
        <v>11456.0845982568</v>
      </c>
      <c r="M239" s="53" t="n">
        <f aca="false">IF(OR($A239&gt;TOMATO_BED_CAP,$B239&gt;CARROT_BED_CAP,M$4&gt;MESCLUN_BED_CAP,$A239+$B239+M$4&gt;TOTAL_BEDS_AVAILABLE,($D239+M$5)&gt;TOTAL_LABOR_HOURS_CAP,MAX(0,($D239+M$5)-PERMANENT_FIELD_LABOR_HOURS)&gt;TEMP_HOURS_CAP),"",$C239+M$6-MIN(($D239+M$5),PERMANENT_FIELD_LABOR_HOURS)*PERMANENT_HOURLY_RATE-MAX(0,($D239+M$5)-PERMANENT_FIELD_LABOR_HOURS)*TEMP_HOURLY_RATE-FIXED_SEASON_COST)</f>
        <v>12360.7883303082</v>
      </c>
      <c r="N239" s="53" t="n">
        <f aca="false">IF(OR($A239&gt;TOMATO_BED_CAP,$B239&gt;CARROT_BED_CAP,N$4&gt;MESCLUN_BED_CAP,$A239+$B239+N$4&gt;TOTAL_BEDS_AVAILABLE,($D239+N$5)&gt;TOTAL_LABOR_HOURS_CAP,MAX(0,($D239+N$5)-PERMANENT_FIELD_LABOR_HOURS)&gt;TEMP_HOURS_CAP),"",$C239+N$6-MIN(($D239+N$5),PERMANENT_FIELD_LABOR_HOURS)*PERMANENT_HOURLY_RATE-MAX(0,($D239+N$5)-PERMANENT_FIELD_LABOR_HOURS)*TEMP_HOURLY_RATE-FIXED_SEASON_COST)</f>
        <v>13243.3987041677</v>
      </c>
      <c r="O239" s="53" t="n">
        <f aca="false">IF(OR($A239&gt;TOMATO_BED_CAP,$B239&gt;CARROT_BED_CAP,O$4&gt;MESCLUN_BED_CAP,$A239+$B239+O$4&gt;TOTAL_BEDS_AVAILABLE,($D239+O$5)&gt;TOTAL_LABOR_HOURS_CAP,MAX(0,($D239+O$5)-PERMANENT_FIELD_LABOR_HOURS)&gt;TEMP_HOURS_CAP),"",$C239+O$6-MIN(($D239+O$5),PERMANENT_FIELD_LABOR_HOURS)*PERMANENT_HOURLY_RATE-MAX(0,($D239+O$5)-PERMANENT_FIELD_LABOR_HOURS)*TEMP_HOURLY_RATE-FIXED_SEASON_COST)</f>
        <v>14103.5064009225</v>
      </c>
      <c r="P239" s="53" t="n">
        <f aca="false">IF(OR($A239&gt;TOMATO_BED_CAP,$B239&gt;CARROT_BED_CAP,P$4&gt;MESCLUN_BED_CAP,$A239+$B239+P$4&gt;TOTAL_BEDS_AVAILABLE,($D239+P$5)&gt;TOTAL_LABOR_HOURS_CAP,MAX(0,($D239+P$5)-PERMANENT_FIELD_LABOR_HOURS)&gt;TEMP_HOURS_CAP),"",$C239+P$6-MIN(($D239+P$5),PERMANENT_FIELD_LABOR_HOURS)*PERMANENT_HOURLY_RATE-MAX(0,($D239+P$5)-PERMANENT_FIELD_LABOR_HOURS)*TEMP_HOURLY_RATE-FIXED_SEASON_COST)</f>
        <v>14940.6953207739</v>
      </c>
      <c r="Q239" s="53" t="n">
        <f aca="false">IF(OR($A239&gt;TOMATO_BED_CAP,$B239&gt;CARROT_BED_CAP,Q$4&gt;MESCLUN_BED_CAP,$A239+$B239+Q$4&gt;TOTAL_BEDS_AVAILABLE,($D239+Q$5)&gt;TOTAL_LABOR_HOURS_CAP,MAX(0,($D239+Q$5)-PERMANENT_FIELD_LABOR_HOURS)&gt;TEMP_HOURS_CAP),"",$C239+Q$6-MIN(($D239+Q$5),PERMANENT_FIELD_LABOR_HOURS)*PERMANENT_HOURLY_RATE-MAX(0,($D239+Q$5)-PERMANENT_FIELD_LABOR_HOURS)*TEMP_HOURLY_RATE-FIXED_SEASON_COST)</f>
        <v>15754.5424774718</v>
      </c>
      <c r="R239" s="53" t="n">
        <f aca="false">IF(OR($A239&gt;TOMATO_BED_CAP,$B239&gt;CARROT_BED_CAP,R$4&gt;MESCLUN_BED_CAP,$A239+$B239+R$4&gt;TOTAL_BEDS_AVAILABLE,($D239+R$5)&gt;TOTAL_LABOR_HOURS_CAP,MAX(0,($D239+R$5)-PERMANENT_FIELD_LABOR_HOURS)&gt;TEMP_HOURS_CAP),"",$C239+R$6-MIN(($D239+R$5),PERMANENT_FIELD_LABOR_HOURS)*PERMANENT_HOURLY_RATE-MAX(0,($D239+R$5)-PERMANENT_FIELD_LABOR_HOURS)*TEMP_HOURLY_RATE-FIXED_SEASON_COST)</f>
        <v>16544.6178911686</v>
      </c>
      <c r="S239" s="53" t="n">
        <f aca="false">IF(OR($A239&gt;TOMATO_BED_CAP,$B239&gt;CARROT_BED_CAP,S$4&gt;MESCLUN_BED_CAP,$A239+$B239+S$4&gt;TOTAL_BEDS_AVAILABLE,($D239+S$5)&gt;TOTAL_LABOR_HOURS_CAP,MAX(0,($D239+S$5)-PERMANENT_FIELD_LABOR_HOURS)&gt;TEMP_HOURS_CAP),"",$C239+S$6-MIN(($D239+S$5),PERMANENT_FIELD_LABOR_HOURS)*PERMANENT_HOURLY_RATE-MAX(0,($D239+S$5)-PERMANENT_FIELD_LABOR_HOURS)*TEMP_HOURLY_RATE-FIXED_SEASON_COST)</f>
        <v>17310.484479671</v>
      </c>
      <c r="T239" s="53" t="n">
        <f aca="false">IF(OR($A239&gt;TOMATO_BED_CAP,$B239&gt;CARROT_BED_CAP,T$4&gt;MESCLUN_BED_CAP,$A239+$B239+T$4&gt;TOTAL_BEDS_AVAILABLE,($D239+T$5)&gt;TOTAL_LABOR_HOURS_CAP,MAX(0,($D239+T$5)-PERMANENT_FIELD_LABOR_HOURS)&gt;TEMP_HOURS_CAP),"",$C239+T$6-MIN(($D239+T$5),PERMANENT_FIELD_LABOR_HOURS)*PERMANENT_HOURLY_RATE-MAX(0,($D239+T$5)-PERMANENT_FIELD_LABOR_HOURS)*TEMP_HOURLY_RATE-FIXED_SEASON_COST)</f>
        <v>18051.6979480659</v>
      </c>
      <c r="U239" s="53" t="n">
        <f aca="false">IF(OR($A239&gt;TOMATO_BED_CAP,$B239&gt;CARROT_BED_CAP,U$4&gt;MESCLUN_BED_CAP,$A239+$B239+U$4&gt;TOTAL_BEDS_AVAILABLE,($D239+U$5)&gt;TOTAL_LABOR_HOURS_CAP,MAX(0,($D239+U$5)-PERMANENT_FIELD_LABOR_HOURS)&gt;TEMP_HOURS_CAP),"",$C239+U$6-MIN(($D239+U$5),PERMANENT_FIELD_LABOR_HOURS)*PERMANENT_HOURLY_RATE-MAX(0,($D239+U$5)-PERMANENT_FIELD_LABOR_HOURS)*TEMP_HOURLY_RATE-FIXED_SEASON_COST)</f>
        <v>18767.806676696</v>
      </c>
      <c r="V239" s="53" t="n">
        <f aca="false">IF(OR($A239&gt;TOMATO_BED_CAP,$B239&gt;CARROT_BED_CAP,V$4&gt;MESCLUN_BED_CAP,$A239+$B239+V$4&gt;TOTAL_BEDS_AVAILABLE,($D239+V$5)&gt;TOTAL_LABOR_HOURS_CAP,MAX(0,($D239+V$5)-PERMANENT_FIELD_LABOR_HOURS)&gt;TEMP_HOURS_CAP),"",$C239+V$6-MIN(($D239+V$5),PERMANENT_FIELD_LABOR_HOURS)*PERMANENT_HOURLY_RATE-MAX(0,($D239+V$5)-PERMANENT_FIELD_LABOR_HOURS)*TEMP_HOURLY_RATE-FIXED_SEASON_COST)</f>
        <v>19458.3516074628</v>
      </c>
      <c r="W239" s="53" t="n">
        <f aca="false">IF(OR($A239&gt;TOMATO_BED_CAP,$B239&gt;CARROT_BED_CAP,W$4&gt;MESCLUN_BED_CAP,$A239+$B239+W$4&gt;TOTAL_BEDS_AVAILABLE,($D239+W$5)&gt;TOTAL_LABOR_HOURS_CAP,MAX(0,($D239+W$5)-PERMANENT_FIELD_LABOR_HOURS)&gt;TEMP_HOURS_CAP),"",$C239+W$6-MIN(($D239+W$5),PERMANENT_FIELD_LABOR_HOURS)*PERMANENT_HOURLY_RATE-MAX(0,($D239+W$5)-PERMANENT_FIELD_LABOR_HOURS)*TEMP_HOURLY_RATE-FIXED_SEASON_COST)</f>
        <v>20122.8661284308</v>
      </c>
      <c r="X239" s="53" t="n">
        <f aca="false">IF(OR($A239&gt;TOMATO_BED_CAP,$B239&gt;CARROT_BED_CAP,X$4&gt;MESCLUN_BED_CAP,$A239+$B239+X$4&gt;TOTAL_BEDS_AVAILABLE,($D239+X$5)&gt;TOTAL_LABOR_HOURS_CAP,MAX(0,($D239+X$5)-PERMANENT_FIELD_LABOR_HOURS)&gt;TEMP_HOURS_CAP),"",$C239+X$6-MIN(($D239+X$5),PERMANENT_FIELD_LABOR_HOURS)*PERMANENT_HOURLY_RATE-MAX(0,($D239+X$5)-PERMANENT_FIELD_LABOR_HOURS)*TEMP_HOURLY_RATE-FIXED_SEASON_COST)</f>
        <v>20760.8759567098</v>
      </c>
      <c r="Y239" s="53" t="n">
        <f aca="false">IF(OR($A239&gt;TOMATO_BED_CAP,$B239&gt;CARROT_BED_CAP,Y$4&gt;MESCLUN_BED_CAP,$A239+$B239+Y$4&gt;TOTAL_BEDS_AVAILABLE,($D239+Y$5)&gt;TOTAL_LABOR_HOURS_CAP,MAX(0,($D239+Y$5)-PERMANENT_FIELD_LABOR_HOURS)&gt;TEMP_HOURS_CAP),"",$C239+Y$6-MIN(($D239+Y$5),PERMANENT_FIELD_LABOR_HOURS)*PERMANENT_HOURLY_RATE-MAX(0,($D239+Y$5)-PERMANENT_FIELD_LABOR_HOURS)*TEMP_HOURLY_RATE-FIXED_SEASON_COST)</f>
        <v>21371.8990195884</v>
      </c>
      <c r="Z239" s="53" t="n">
        <f aca="false">IF(OR($A239&gt;TOMATO_BED_CAP,$B239&gt;CARROT_BED_CAP,Z$4&gt;MESCLUN_BED_CAP,$A239+$B239+Z$4&gt;TOTAL_BEDS_AVAILABLE,($D239+Z$5)&gt;TOTAL_LABOR_HOURS_CAP,MAX(0,($D239+Z$5)-PERMANENT_FIELD_LABOR_HOURS)&gt;TEMP_HOURS_CAP),"",$C239+Z$6-MIN(($D239+Z$5),PERMANENT_FIELD_LABOR_HOURS)*PERMANENT_HOURLY_RATE-MAX(0,($D239+Z$5)-PERMANENT_FIELD_LABOR_HOURS)*TEMP_HOURLY_RATE-FIXED_SEASON_COST)</f>
        <v>21955.4453338961</v>
      </c>
      <c r="AA239" s="53" t="n">
        <f aca="false">IF(OR($A239&gt;TOMATO_BED_CAP,$B239&gt;CARROT_BED_CAP,AA$4&gt;MESCLUN_BED_CAP,$A239+$B239+AA$4&gt;TOTAL_BEDS_AVAILABLE,($D239+AA$5)&gt;TOTAL_LABOR_HOURS_CAP,MAX(0,($D239+AA$5)-PERMANENT_FIELD_LABOR_HOURS)&gt;TEMP_HOURS_CAP),"",$C239+AA$6-MIN(($D239+AA$5),PERMANENT_FIELD_LABOR_HOURS)*PERMANENT_HOURLY_RATE-MAX(0,($D239+AA$5)-PERMANENT_FIELD_LABOR_HOURS)*TEMP_HOURLY_RATE-FIXED_SEASON_COST)</f>
        <v>22511.0168835651</v>
      </c>
      <c r="AB239" s="53" t="n">
        <f aca="false">IF(OR($A239&gt;TOMATO_BED_CAP,$B239&gt;CARROT_BED_CAP,AB$4&gt;MESCLUN_BED_CAP,$A239+$B239+AB$4&gt;TOTAL_BEDS_AVAILABLE,($D239+AB$5)&gt;TOTAL_LABOR_HOURS_CAP,MAX(0,($D239+AB$5)-PERMANENT_FIELD_LABOR_HOURS)&gt;TEMP_HOURS_CAP),"",$C239+AB$6-MIN(($D239+AB$5),PERMANENT_FIELD_LABOR_HOURS)*PERMANENT_HOURLY_RATE-MAX(0,($D239+AB$5)-PERMANENT_FIELD_LABOR_HOURS)*TEMP_HOURLY_RATE-FIXED_SEASON_COST)</f>
        <v>23038.1074953676</v>
      </c>
      <c r="AC239" s="53" t="n">
        <f aca="false">IF(OR($A239&gt;TOMATO_BED_CAP,$B239&gt;CARROT_BED_CAP,AC$4&gt;MESCLUN_BED_CAP,$A239+$B239+AC$4&gt;TOTAL_BEDS_AVAILABLE,($D239+AC$5)&gt;TOTAL_LABOR_HOURS_CAP,MAX(0,($D239+AC$5)-PERMANENT_FIELD_LABOR_HOURS)&gt;TEMP_HOURS_CAP),"",$C239+AC$6-MIN(($D239+AC$5),PERMANENT_FIELD_LABOR_HOURS)*PERMANENT_HOURLY_RATE-MAX(0,($D239+AC$5)-PERMANENT_FIELD_LABOR_HOURS)*TEMP_HOURLY_RATE-FIXED_SEASON_COST)</f>
        <v>23536.2027128025</v>
      </c>
      <c r="AD239" s="53" t="n">
        <f aca="false">IF(OR($A239&gt;TOMATO_BED_CAP,$B239&gt;CARROT_BED_CAP,AD$4&gt;MESCLUN_BED_CAP,$A239+$B239+AD$4&gt;TOTAL_BEDS_AVAILABLE,($D239+AD$5)&gt;TOTAL_LABOR_HOURS_CAP,MAX(0,($D239+AD$5)-PERMANENT_FIELD_LABOR_HOURS)&gt;TEMP_HOURS_CAP),"",$C239+AD$6-MIN(($D239+AD$5),PERMANENT_FIELD_LABOR_HOURS)*PERMANENT_HOURLY_RATE-MAX(0,($D239+AD$5)-PERMANENT_FIELD_LABOR_HOURS)*TEMP_HOURLY_RATE-FIXED_SEASON_COST)</f>
        <v>24004.7796681025</v>
      </c>
      <c r="AE239" s="53" t="n">
        <f aca="false">IF(OR($A239&gt;TOMATO_BED_CAP,$B239&gt;CARROT_BED_CAP,AE$4&gt;MESCLUN_BED_CAP,$A239+$B239+AE$4&gt;TOTAL_BEDS_AVAILABLE,($D239+AE$5)&gt;TOTAL_LABOR_HOURS_CAP,MAX(0,($D239+AE$5)-PERMANENT_FIELD_LABOR_HOURS)&gt;TEMP_HOURS_CAP),"",$C239+AE$6-MIN(($D239+AE$5),PERMANENT_FIELD_LABOR_HOURS)*PERMANENT_HOURLY_RATE-MAX(0,($D239+AE$5)-PERMANENT_FIELD_LABOR_HOURS)*TEMP_HOURLY_RATE-FIXED_SEASON_COST)</f>
        <v>24443.3069523364</v>
      </c>
      <c r="AF239" s="53" t="n">
        <f aca="false">IF(OR($A239&gt;TOMATO_BED_CAP,$B239&gt;CARROT_BED_CAP,AF$4&gt;MESCLUN_BED_CAP,$A239+$B239+AF$4&gt;TOTAL_BEDS_AVAILABLE,($D239+AF$5)&gt;TOTAL_LABOR_HOURS_CAP,MAX(0,($D239+AF$5)-PERMANENT_FIELD_LABOR_HOURS)&gt;TEMP_HOURS_CAP),"",$C239+AF$6-MIN(($D239+AF$5),PERMANENT_FIELD_LABOR_HOURS)*PERMANENT_HOURLY_RATE-MAX(0,($D239+AF$5)-PERMANENT_FIELD_LABOR_HOURS)*TEMP_HOURLY_RATE-FIXED_SEASON_COST)</f>
        <v>24851.2444835784</v>
      </c>
      <c r="AG239" s="53" t="n">
        <f aca="false">IF(OR($A239&gt;TOMATO_BED_CAP,$B239&gt;CARROT_BED_CAP,AG$4&gt;MESCLUN_BED_CAP,$A239+$B239+AG$4&gt;TOTAL_BEDS_AVAILABLE,($D239+AG$5)&gt;TOTAL_LABOR_HOURS_CAP,MAX(0,($D239+AG$5)-PERMANENT_FIELD_LABOR_HOURS)&gt;TEMP_HOURS_CAP),"",$C239+AG$6-MIN(($D239+AG$5),PERMANENT_FIELD_LABOR_HOURS)*PERMANENT_HOURLY_RATE-MAX(0,($D239+AG$5)-PERMANENT_FIELD_LABOR_HOURS)*TEMP_HOURLY_RATE-FIXED_SEASON_COST)</f>
        <v>25228.0433731154</v>
      </c>
      <c r="AH239" s="53" t="n">
        <f aca="false">IF(OR($A239&gt;TOMATO_BED_CAP,$B239&gt;CARROT_BED_CAP,AH$4&gt;MESCLUN_BED_CAP,$A239+$B239+AH$4&gt;TOTAL_BEDS_AVAILABLE,($D239+AH$5)&gt;TOTAL_LABOR_HOURS_CAP,MAX(0,($D239+AH$5)-PERMANENT_FIELD_LABOR_HOURS)&gt;TEMP_HOURS_CAP),"",$C239+AH$6-MIN(($D239+AH$5),PERMANENT_FIELD_LABOR_HOURS)*PERMANENT_HOURLY_RATE-MAX(0,($D239+AH$5)-PERMANENT_FIELD_LABOR_HOURS)*TEMP_HOURLY_RATE-FIXED_SEASON_COST)</f>
        <v>25573.1457896656</v>
      </c>
      <c r="AI239" s="53" t="n">
        <f aca="false">IF(OR($A239&gt;TOMATO_BED_CAP,$B239&gt;CARROT_BED_CAP,AI$4&gt;MESCLUN_BED_CAP,$A239+$B239+AI$4&gt;TOTAL_BEDS_AVAILABLE,($D239+AI$5)&gt;TOTAL_LABOR_HOURS_CAP,MAX(0,($D239+AI$5)-PERMANENT_FIELD_LABOR_HOURS)&gt;TEMP_HOURS_CAP),"",$C239+AI$6-MIN(($D239+AI$5),PERMANENT_FIELD_LABOR_HOURS)*PERMANENT_HOURLY_RATE-MAX(0,($D239+AI$5)-PERMANENT_FIELD_LABOR_HOURS)*TEMP_HOURLY_RATE-FIXED_SEASON_COST)</f>
        <v>25885.9848215778</v>
      </c>
      <c r="AJ239" s="53" t="n">
        <f aca="false">IF(OR($A239&gt;TOMATO_BED_CAP,$B239&gt;CARROT_BED_CAP,AJ$4&gt;MESCLUN_BED_CAP,$A239+$B239+AJ$4&gt;TOTAL_BEDS_AVAILABLE,($D239+AJ$5)&gt;TOTAL_LABOR_HOURS_CAP,MAX(0,($D239+AJ$5)-PERMANENT_FIELD_LABOR_HOURS)&gt;TEMP_HOURS_CAP),"",$C239+AJ$6-MIN(($D239+AJ$5),PERMANENT_FIELD_LABOR_HOURS)*PERMANENT_HOURLY_RATE-MAX(0,($D239+AJ$5)-PERMANENT_FIELD_LABOR_HOURS)*TEMP_HOURLY_RATE-FIXED_SEASON_COST)</f>
        <v>26165.9843369836</v>
      </c>
    </row>
    <row r="240" customFormat="false" ht="15" hidden="false" customHeight="false" outlineLevel="0" collapsed="false">
      <c r="A240" s="21" t="n">
        <f aca="false">INT((ROW()-ROW($A$8))/(20+1))</f>
        <v>11</v>
      </c>
      <c r="B240" s="21" t="n">
        <f aca="false">MOD(ROW()-ROW($A$8),20+1)</f>
        <v>1</v>
      </c>
      <c r="C240" s="13" t="n">
        <f aca="false">A240*(TOMATO_REVENUE_PER_BED-TOMATO_FERTILIZER_PER_BED)+B240*(CARROT_REVENUE_PER_BED-CARROT_FERTILIZER_PER_BED)</f>
        <v>88774</v>
      </c>
      <c r="D240" s="14" t="n">
        <f aca="false">INDEX(TOMATO_SCHED_LABOR_HRS,A240+1)+INDEX(CARROT_SCHED_LABOR_HRS,B240+1)</f>
        <v>2855.3232390489</v>
      </c>
      <c r="E240" s="13" t="n">
        <f aca="false">IF(COUNT(F240:AJ240)=0,"",MAX(F240:AJ240))</f>
        <v>27286.3778649836</v>
      </c>
      <c r="F240" s="53" t="n">
        <f aca="false">IF(OR($A240&gt;TOMATO_BED_CAP,$B240&gt;CARROT_BED_CAP,F$4&gt;MESCLUN_BED_CAP,$A240+$B240+F$4&gt;TOTAL_BEDS_AVAILABLE,($D240+F$5)&gt;TOTAL_LABOR_HOURS_CAP,MAX(0,($D240+F$5)-PERMANENT_FIELD_LABOR_HOURS)&gt;TEMP_HOURS_CAP),"",$C240+F$6-MIN(($D240+F$5),PERMANENT_FIELD_LABOR_HOURS)*PERMANENT_HOURLY_RATE-MAX(0,($D240+F$5)-PERMANENT_FIELD_LABOR_HOURS)*TEMP_HOURLY_RATE-FIXED_SEASON_COST)</f>
        <v>6706.38857011106</v>
      </c>
      <c r="G240" s="53" t="n">
        <f aca="false">IF(OR($A240&gt;TOMATO_BED_CAP,$B240&gt;CARROT_BED_CAP,G$4&gt;MESCLUN_BED_CAP,$A240+$B240+G$4&gt;TOTAL_BEDS_AVAILABLE,($D240+G$5)&gt;TOTAL_LABOR_HOURS_CAP,MAX(0,($D240+G$5)-PERMANENT_FIELD_LABOR_HOURS)&gt;TEMP_HOURS_CAP),"",$C240+G$6-MIN(($D240+G$5),PERMANENT_FIELD_LABOR_HOURS)*PERMANENT_HOURLY_RATE-MAX(0,($D240+G$5)-PERMANENT_FIELD_LABOR_HOURS)*TEMP_HOURLY_RATE-FIXED_SEASON_COST)</f>
        <v>7735.42357011106</v>
      </c>
      <c r="H240" s="53" t="n">
        <f aca="false">IF(OR($A240&gt;TOMATO_BED_CAP,$B240&gt;CARROT_BED_CAP,H$4&gt;MESCLUN_BED_CAP,$A240+$B240+H$4&gt;TOTAL_BEDS_AVAILABLE,($D240+H$5)&gt;TOTAL_LABOR_HOURS_CAP,MAX(0,($D240+H$5)-PERMANENT_FIELD_LABOR_HOURS)&gt;TEMP_HOURS_CAP),"",$C240+H$6-MIN(($D240+H$5),PERMANENT_FIELD_LABOR_HOURS)*PERMANENT_HOURLY_RATE-MAX(0,($D240+H$5)-PERMANENT_FIELD_LABOR_HOURS)*TEMP_HOURLY_RATE-FIXED_SEASON_COST)</f>
        <v>8744.68444511106</v>
      </c>
      <c r="I240" s="53" t="n">
        <f aca="false">IF(OR($A240&gt;TOMATO_BED_CAP,$B240&gt;CARROT_BED_CAP,I$4&gt;MESCLUN_BED_CAP,$A240+$B240+I$4&gt;TOTAL_BEDS_AVAILABLE,($D240+I$5)&gt;TOTAL_LABOR_HOURS_CAP,MAX(0,($D240+I$5)-PERMANENT_FIELD_LABOR_HOURS)&gt;TEMP_HOURS_CAP),"",$C240+I$6-MIN(($D240+I$5),PERMANENT_FIELD_LABOR_HOURS)*PERMANENT_HOURLY_RATE-MAX(0,($D240+I$5)-PERMANENT_FIELD_LABOR_HOURS)*TEMP_HOURLY_RATE-FIXED_SEASON_COST)</f>
        <v>9733.80043026731</v>
      </c>
      <c r="J240" s="53" t="n">
        <f aca="false">IF(OR($A240&gt;TOMATO_BED_CAP,$B240&gt;CARROT_BED_CAP,J$4&gt;MESCLUN_BED_CAP,$A240+$B240+J$4&gt;TOTAL_BEDS_AVAILABLE,($D240+J$5)&gt;TOTAL_LABOR_HOURS_CAP,MAX(0,($D240+J$5)-PERMANENT_FIELD_LABOR_HOURS)&gt;TEMP_HOURS_CAP),"",$C240+J$6-MIN(($D240+J$5),PERMANENT_FIELD_LABOR_HOURS)*PERMANENT_HOURLY_RATE-MAX(0,($D240+J$5)-PERMANENT_FIELD_LABOR_HOURS)*TEMP_HOURLY_RATE-FIXED_SEASON_COST)</f>
        <v>10702.394581322</v>
      </c>
      <c r="K240" s="53" t="n">
        <f aca="false">IF(OR($A240&gt;TOMATO_BED_CAP,$B240&gt;CARROT_BED_CAP,K$4&gt;MESCLUN_BED_CAP,$A240+$B240+K$4&gt;TOTAL_BEDS_AVAILABLE,($D240+K$5)&gt;TOTAL_LABOR_HOURS_CAP,MAX(0,($D240+K$5)-PERMANENT_FIELD_LABOR_HOURS)&gt;TEMP_HOURS_CAP),"",$C240+K$6-MIN(($D240+K$5),PERMANENT_FIELD_LABOR_HOURS)*PERMANENT_HOURLY_RATE-MAX(0,($D240+K$5)-PERMANENT_FIELD_LABOR_HOURS)*TEMP_HOURLY_RATE-FIXED_SEASON_COST)</f>
        <v>11650.0836780499</v>
      </c>
      <c r="L240" s="53" t="n">
        <f aca="false">IF(OR($A240&gt;TOMATO_BED_CAP,$B240&gt;CARROT_BED_CAP,L$4&gt;MESCLUN_BED_CAP,$A240+$B240+L$4&gt;TOTAL_BEDS_AVAILABLE,($D240+L$5)&gt;TOTAL_LABOR_HOURS_CAP,MAX(0,($D240+L$5)-PERMANENT_FIELD_LABOR_HOURS)&gt;TEMP_HOURS_CAP),"",$C240+L$6-MIN(($D240+L$5),PERMANENT_FIELD_LABOR_HOURS)*PERMANENT_HOURLY_RATE-MAX(0,($D240+L$5)-PERMANENT_FIELD_LABOR_HOURS)*TEMP_HOURLY_RATE-FIXED_SEASON_COST)</f>
        <v>12576.4781262568</v>
      </c>
      <c r="M240" s="53" t="n">
        <f aca="false">IF(OR($A240&gt;TOMATO_BED_CAP,$B240&gt;CARROT_BED_CAP,M$4&gt;MESCLUN_BED_CAP,$A240+$B240+M$4&gt;TOTAL_BEDS_AVAILABLE,($D240+M$5)&gt;TOTAL_LABOR_HOURS_CAP,MAX(0,($D240+M$5)-PERMANENT_FIELD_LABOR_HOURS)&gt;TEMP_HOURS_CAP),"",$C240+M$6-MIN(($D240+M$5),PERMANENT_FIELD_LABOR_HOURS)*PERMANENT_HOURLY_RATE-MAX(0,($D240+M$5)-PERMANENT_FIELD_LABOR_HOURS)*TEMP_HOURLY_RATE-FIXED_SEASON_COST)</f>
        <v>13481.1818583082</v>
      </c>
      <c r="N240" s="53" t="n">
        <f aca="false">IF(OR($A240&gt;TOMATO_BED_CAP,$B240&gt;CARROT_BED_CAP,N$4&gt;MESCLUN_BED_CAP,$A240+$B240+N$4&gt;TOTAL_BEDS_AVAILABLE,($D240+N$5)&gt;TOTAL_LABOR_HOURS_CAP,MAX(0,($D240+N$5)-PERMANENT_FIELD_LABOR_HOURS)&gt;TEMP_HOURS_CAP),"",$C240+N$6-MIN(($D240+N$5),PERMANENT_FIELD_LABOR_HOURS)*PERMANENT_HOURLY_RATE-MAX(0,($D240+N$5)-PERMANENT_FIELD_LABOR_HOURS)*TEMP_HOURLY_RATE-FIXED_SEASON_COST)</f>
        <v>14363.7922321677</v>
      </c>
      <c r="O240" s="53" t="n">
        <f aca="false">IF(OR($A240&gt;TOMATO_BED_CAP,$B240&gt;CARROT_BED_CAP,O$4&gt;MESCLUN_BED_CAP,$A240+$B240+O$4&gt;TOTAL_BEDS_AVAILABLE,($D240+O$5)&gt;TOTAL_LABOR_HOURS_CAP,MAX(0,($D240+O$5)-PERMANENT_FIELD_LABOR_HOURS)&gt;TEMP_HOURS_CAP),"",$C240+O$6-MIN(($D240+O$5),PERMANENT_FIELD_LABOR_HOURS)*PERMANENT_HOURLY_RATE-MAX(0,($D240+O$5)-PERMANENT_FIELD_LABOR_HOURS)*TEMP_HOURLY_RATE-FIXED_SEASON_COST)</f>
        <v>15223.8999289225</v>
      </c>
      <c r="P240" s="53" t="n">
        <f aca="false">IF(OR($A240&gt;TOMATO_BED_CAP,$B240&gt;CARROT_BED_CAP,P$4&gt;MESCLUN_BED_CAP,$A240+$B240+P$4&gt;TOTAL_BEDS_AVAILABLE,($D240+P$5)&gt;TOTAL_LABOR_HOURS_CAP,MAX(0,($D240+P$5)-PERMANENT_FIELD_LABOR_HOURS)&gt;TEMP_HOURS_CAP),"",$C240+P$6-MIN(($D240+P$5),PERMANENT_FIELD_LABOR_HOURS)*PERMANENT_HOURLY_RATE-MAX(0,($D240+P$5)-PERMANENT_FIELD_LABOR_HOURS)*TEMP_HOURLY_RATE-FIXED_SEASON_COST)</f>
        <v>16061.0888487739</v>
      </c>
      <c r="Q240" s="53" t="n">
        <f aca="false">IF(OR($A240&gt;TOMATO_BED_CAP,$B240&gt;CARROT_BED_CAP,Q$4&gt;MESCLUN_BED_CAP,$A240+$B240+Q$4&gt;TOTAL_BEDS_AVAILABLE,($D240+Q$5)&gt;TOTAL_LABOR_HOURS_CAP,MAX(0,($D240+Q$5)-PERMANENT_FIELD_LABOR_HOURS)&gt;TEMP_HOURS_CAP),"",$C240+Q$6-MIN(($D240+Q$5),PERMANENT_FIELD_LABOR_HOURS)*PERMANENT_HOURLY_RATE-MAX(0,($D240+Q$5)-PERMANENT_FIELD_LABOR_HOURS)*TEMP_HOURLY_RATE-FIXED_SEASON_COST)</f>
        <v>16874.9360054718</v>
      </c>
      <c r="R240" s="53" t="n">
        <f aca="false">IF(OR($A240&gt;TOMATO_BED_CAP,$B240&gt;CARROT_BED_CAP,R$4&gt;MESCLUN_BED_CAP,$A240+$B240+R$4&gt;TOTAL_BEDS_AVAILABLE,($D240+R$5)&gt;TOTAL_LABOR_HOURS_CAP,MAX(0,($D240+R$5)-PERMANENT_FIELD_LABOR_HOURS)&gt;TEMP_HOURS_CAP),"",$C240+R$6-MIN(($D240+R$5),PERMANENT_FIELD_LABOR_HOURS)*PERMANENT_HOURLY_RATE-MAX(0,($D240+R$5)-PERMANENT_FIELD_LABOR_HOURS)*TEMP_HOURLY_RATE-FIXED_SEASON_COST)</f>
        <v>17665.0114191686</v>
      </c>
      <c r="S240" s="53" t="n">
        <f aca="false">IF(OR($A240&gt;TOMATO_BED_CAP,$B240&gt;CARROT_BED_CAP,S$4&gt;MESCLUN_BED_CAP,$A240+$B240+S$4&gt;TOTAL_BEDS_AVAILABLE,($D240+S$5)&gt;TOTAL_LABOR_HOURS_CAP,MAX(0,($D240+S$5)-PERMANENT_FIELD_LABOR_HOURS)&gt;TEMP_HOURS_CAP),"",$C240+S$6-MIN(($D240+S$5),PERMANENT_FIELD_LABOR_HOURS)*PERMANENT_HOURLY_RATE-MAX(0,($D240+S$5)-PERMANENT_FIELD_LABOR_HOURS)*TEMP_HOURLY_RATE-FIXED_SEASON_COST)</f>
        <v>18430.878007671</v>
      </c>
      <c r="T240" s="53" t="n">
        <f aca="false">IF(OR($A240&gt;TOMATO_BED_CAP,$B240&gt;CARROT_BED_CAP,T$4&gt;MESCLUN_BED_CAP,$A240+$B240+T$4&gt;TOTAL_BEDS_AVAILABLE,($D240+T$5)&gt;TOTAL_LABOR_HOURS_CAP,MAX(0,($D240+T$5)-PERMANENT_FIELD_LABOR_HOURS)&gt;TEMP_HOURS_CAP),"",$C240+T$6-MIN(($D240+T$5),PERMANENT_FIELD_LABOR_HOURS)*PERMANENT_HOURLY_RATE-MAX(0,($D240+T$5)-PERMANENT_FIELD_LABOR_HOURS)*TEMP_HOURLY_RATE-FIXED_SEASON_COST)</f>
        <v>19172.0914760659</v>
      </c>
      <c r="U240" s="53" t="n">
        <f aca="false">IF(OR($A240&gt;TOMATO_BED_CAP,$B240&gt;CARROT_BED_CAP,U$4&gt;MESCLUN_BED_CAP,$A240+$B240+U$4&gt;TOTAL_BEDS_AVAILABLE,($D240+U$5)&gt;TOTAL_LABOR_HOURS_CAP,MAX(0,($D240+U$5)-PERMANENT_FIELD_LABOR_HOURS)&gt;TEMP_HOURS_CAP),"",$C240+U$6-MIN(($D240+U$5),PERMANENT_FIELD_LABOR_HOURS)*PERMANENT_HOURLY_RATE-MAX(0,($D240+U$5)-PERMANENT_FIELD_LABOR_HOURS)*TEMP_HOURLY_RATE-FIXED_SEASON_COST)</f>
        <v>19888.200204696</v>
      </c>
      <c r="V240" s="53" t="n">
        <f aca="false">IF(OR($A240&gt;TOMATO_BED_CAP,$B240&gt;CARROT_BED_CAP,V$4&gt;MESCLUN_BED_CAP,$A240+$B240+V$4&gt;TOTAL_BEDS_AVAILABLE,($D240+V$5)&gt;TOTAL_LABOR_HOURS_CAP,MAX(0,($D240+V$5)-PERMANENT_FIELD_LABOR_HOURS)&gt;TEMP_HOURS_CAP),"",$C240+V$6-MIN(($D240+V$5),PERMANENT_FIELD_LABOR_HOURS)*PERMANENT_HOURLY_RATE-MAX(0,($D240+V$5)-PERMANENT_FIELD_LABOR_HOURS)*TEMP_HOURLY_RATE-FIXED_SEASON_COST)</f>
        <v>20578.7451354628</v>
      </c>
      <c r="W240" s="53" t="n">
        <f aca="false">IF(OR($A240&gt;TOMATO_BED_CAP,$B240&gt;CARROT_BED_CAP,W$4&gt;MESCLUN_BED_CAP,$A240+$B240+W$4&gt;TOTAL_BEDS_AVAILABLE,($D240+W$5)&gt;TOTAL_LABOR_HOURS_CAP,MAX(0,($D240+W$5)-PERMANENT_FIELD_LABOR_HOURS)&gt;TEMP_HOURS_CAP),"",$C240+W$6-MIN(($D240+W$5),PERMANENT_FIELD_LABOR_HOURS)*PERMANENT_HOURLY_RATE-MAX(0,($D240+W$5)-PERMANENT_FIELD_LABOR_HOURS)*TEMP_HOURLY_RATE-FIXED_SEASON_COST)</f>
        <v>21243.2596564308</v>
      </c>
      <c r="X240" s="53" t="n">
        <f aca="false">IF(OR($A240&gt;TOMATO_BED_CAP,$B240&gt;CARROT_BED_CAP,X$4&gt;MESCLUN_BED_CAP,$A240+$B240+X$4&gt;TOTAL_BEDS_AVAILABLE,($D240+X$5)&gt;TOTAL_LABOR_HOURS_CAP,MAX(0,($D240+X$5)-PERMANENT_FIELD_LABOR_HOURS)&gt;TEMP_HOURS_CAP),"",$C240+X$6-MIN(($D240+X$5),PERMANENT_FIELD_LABOR_HOURS)*PERMANENT_HOURLY_RATE-MAX(0,($D240+X$5)-PERMANENT_FIELD_LABOR_HOURS)*TEMP_HOURLY_RATE-FIXED_SEASON_COST)</f>
        <v>21881.2694847098</v>
      </c>
      <c r="Y240" s="53" t="n">
        <f aca="false">IF(OR($A240&gt;TOMATO_BED_CAP,$B240&gt;CARROT_BED_CAP,Y$4&gt;MESCLUN_BED_CAP,$A240+$B240+Y$4&gt;TOTAL_BEDS_AVAILABLE,($D240+Y$5)&gt;TOTAL_LABOR_HOURS_CAP,MAX(0,($D240+Y$5)-PERMANENT_FIELD_LABOR_HOURS)&gt;TEMP_HOURS_CAP),"",$C240+Y$6-MIN(($D240+Y$5),PERMANENT_FIELD_LABOR_HOURS)*PERMANENT_HOURLY_RATE-MAX(0,($D240+Y$5)-PERMANENT_FIELD_LABOR_HOURS)*TEMP_HOURLY_RATE-FIXED_SEASON_COST)</f>
        <v>22492.2925475884</v>
      </c>
      <c r="Z240" s="53" t="n">
        <f aca="false">IF(OR($A240&gt;TOMATO_BED_CAP,$B240&gt;CARROT_BED_CAP,Z$4&gt;MESCLUN_BED_CAP,$A240+$B240+Z$4&gt;TOTAL_BEDS_AVAILABLE,($D240+Z$5)&gt;TOTAL_LABOR_HOURS_CAP,MAX(0,($D240+Z$5)-PERMANENT_FIELD_LABOR_HOURS)&gt;TEMP_HOURS_CAP),"",$C240+Z$6-MIN(($D240+Z$5),PERMANENT_FIELD_LABOR_HOURS)*PERMANENT_HOURLY_RATE-MAX(0,($D240+Z$5)-PERMANENT_FIELD_LABOR_HOURS)*TEMP_HOURLY_RATE-FIXED_SEASON_COST)</f>
        <v>23075.8388618961</v>
      </c>
      <c r="AA240" s="53" t="n">
        <f aca="false">IF(OR($A240&gt;TOMATO_BED_CAP,$B240&gt;CARROT_BED_CAP,AA$4&gt;MESCLUN_BED_CAP,$A240+$B240+AA$4&gt;TOTAL_BEDS_AVAILABLE,($D240+AA$5)&gt;TOTAL_LABOR_HOURS_CAP,MAX(0,($D240+AA$5)-PERMANENT_FIELD_LABOR_HOURS)&gt;TEMP_HOURS_CAP),"",$C240+AA$6-MIN(($D240+AA$5),PERMANENT_FIELD_LABOR_HOURS)*PERMANENT_HOURLY_RATE-MAX(0,($D240+AA$5)-PERMANENT_FIELD_LABOR_HOURS)*TEMP_HOURLY_RATE-FIXED_SEASON_COST)</f>
        <v>23631.4104115651</v>
      </c>
      <c r="AB240" s="53" t="n">
        <f aca="false">IF(OR($A240&gt;TOMATO_BED_CAP,$B240&gt;CARROT_BED_CAP,AB$4&gt;MESCLUN_BED_CAP,$A240+$B240+AB$4&gt;TOTAL_BEDS_AVAILABLE,($D240+AB$5)&gt;TOTAL_LABOR_HOURS_CAP,MAX(0,($D240+AB$5)-PERMANENT_FIELD_LABOR_HOURS)&gt;TEMP_HOURS_CAP),"",$C240+AB$6-MIN(($D240+AB$5),PERMANENT_FIELD_LABOR_HOURS)*PERMANENT_HOURLY_RATE-MAX(0,($D240+AB$5)-PERMANENT_FIELD_LABOR_HOURS)*TEMP_HOURLY_RATE-FIXED_SEASON_COST)</f>
        <v>24158.5010233676</v>
      </c>
      <c r="AC240" s="53" t="n">
        <f aca="false">IF(OR($A240&gt;TOMATO_BED_CAP,$B240&gt;CARROT_BED_CAP,AC$4&gt;MESCLUN_BED_CAP,$A240+$B240+AC$4&gt;TOTAL_BEDS_AVAILABLE,($D240+AC$5)&gt;TOTAL_LABOR_HOURS_CAP,MAX(0,($D240+AC$5)-PERMANENT_FIELD_LABOR_HOURS)&gt;TEMP_HOURS_CAP),"",$C240+AC$6-MIN(($D240+AC$5),PERMANENT_FIELD_LABOR_HOURS)*PERMANENT_HOURLY_RATE-MAX(0,($D240+AC$5)-PERMANENT_FIELD_LABOR_HOURS)*TEMP_HOURLY_RATE-FIXED_SEASON_COST)</f>
        <v>24656.5962408025</v>
      </c>
      <c r="AD240" s="53" t="n">
        <f aca="false">IF(OR($A240&gt;TOMATO_BED_CAP,$B240&gt;CARROT_BED_CAP,AD$4&gt;MESCLUN_BED_CAP,$A240+$B240+AD$4&gt;TOTAL_BEDS_AVAILABLE,($D240+AD$5)&gt;TOTAL_LABOR_HOURS_CAP,MAX(0,($D240+AD$5)-PERMANENT_FIELD_LABOR_HOURS)&gt;TEMP_HOURS_CAP),"",$C240+AD$6-MIN(($D240+AD$5),PERMANENT_FIELD_LABOR_HOURS)*PERMANENT_HOURLY_RATE-MAX(0,($D240+AD$5)-PERMANENT_FIELD_LABOR_HOURS)*TEMP_HOURLY_RATE-FIXED_SEASON_COST)</f>
        <v>25125.1731961025</v>
      </c>
      <c r="AE240" s="53" t="n">
        <f aca="false">IF(OR($A240&gt;TOMATO_BED_CAP,$B240&gt;CARROT_BED_CAP,AE$4&gt;MESCLUN_BED_CAP,$A240+$B240+AE$4&gt;TOTAL_BEDS_AVAILABLE,($D240+AE$5)&gt;TOTAL_LABOR_HOURS_CAP,MAX(0,($D240+AE$5)-PERMANENT_FIELD_LABOR_HOURS)&gt;TEMP_HOURS_CAP),"",$C240+AE$6-MIN(($D240+AE$5),PERMANENT_FIELD_LABOR_HOURS)*PERMANENT_HOURLY_RATE-MAX(0,($D240+AE$5)-PERMANENT_FIELD_LABOR_HOURS)*TEMP_HOURLY_RATE-FIXED_SEASON_COST)</f>
        <v>25563.7004803364</v>
      </c>
      <c r="AF240" s="53" t="n">
        <f aca="false">IF(OR($A240&gt;TOMATO_BED_CAP,$B240&gt;CARROT_BED_CAP,AF$4&gt;MESCLUN_BED_CAP,$A240+$B240+AF$4&gt;TOTAL_BEDS_AVAILABLE,($D240+AF$5)&gt;TOTAL_LABOR_HOURS_CAP,MAX(0,($D240+AF$5)-PERMANENT_FIELD_LABOR_HOURS)&gt;TEMP_HOURS_CAP),"",$C240+AF$6-MIN(($D240+AF$5),PERMANENT_FIELD_LABOR_HOURS)*PERMANENT_HOURLY_RATE-MAX(0,($D240+AF$5)-PERMANENT_FIELD_LABOR_HOURS)*TEMP_HOURLY_RATE-FIXED_SEASON_COST)</f>
        <v>25971.6380115783</v>
      </c>
      <c r="AG240" s="53" t="n">
        <f aca="false">IF(OR($A240&gt;TOMATO_BED_CAP,$B240&gt;CARROT_BED_CAP,AG$4&gt;MESCLUN_BED_CAP,$A240+$B240+AG$4&gt;TOTAL_BEDS_AVAILABLE,($D240+AG$5)&gt;TOTAL_LABOR_HOURS_CAP,MAX(0,($D240+AG$5)-PERMANENT_FIELD_LABOR_HOURS)&gt;TEMP_HOURS_CAP),"",$C240+AG$6-MIN(($D240+AG$5),PERMANENT_FIELD_LABOR_HOURS)*PERMANENT_HOURLY_RATE-MAX(0,($D240+AG$5)-PERMANENT_FIELD_LABOR_HOURS)*TEMP_HOURLY_RATE-FIXED_SEASON_COST)</f>
        <v>26348.4369011154</v>
      </c>
      <c r="AH240" s="53" t="n">
        <f aca="false">IF(OR($A240&gt;TOMATO_BED_CAP,$B240&gt;CARROT_BED_CAP,AH$4&gt;MESCLUN_BED_CAP,$A240+$B240+AH$4&gt;TOTAL_BEDS_AVAILABLE,($D240+AH$5)&gt;TOTAL_LABOR_HOURS_CAP,MAX(0,($D240+AH$5)-PERMANENT_FIELD_LABOR_HOURS)&gt;TEMP_HOURS_CAP),"",$C240+AH$6-MIN(($D240+AH$5),PERMANENT_FIELD_LABOR_HOURS)*PERMANENT_HOURLY_RATE-MAX(0,($D240+AH$5)-PERMANENT_FIELD_LABOR_HOURS)*TEMP_HOURLY_RATE-FIXED_SEASON_COST)</f>
        <v>26693.5393176656</v>
      </c>
      <c r="AI240" s="53" t="n">
        <f aca="false">IF(OR($A240&gt;TOMATO_BED_CAP,$B240&gt;CARROT_BED_CAP,AI$4&gt;MESCLUN_BED_CAP,$A240+$B240+AI$4&gt;TOTAL_BEDS_AVAILABLE,($D240+AI$5)&gt;TOTAL_LABOR_HOURS_CAP,MAX(0,($D240+AI$5)-PERMANENT_FIELD_LABOR_HOURS)&gt;TEMP_HOURS_CAP),"",$C240+AI$6-MIN(($D240+AI$5),PERMANENT_FIELD_LABOR_HOURS)*PERMANENT_HOURLY_RATE-MAX(0,($D240+AI$5)-PERMANENT_FIELD_LABOR_HOURS)*TEMP_HOURLY_RATE-FIXED_SEASON_COST)</f>
        <v>27006.3783495778</v>
      </c>
      <c r="AJ240" s="53" t="n">
        <f aca="false">IF(OR($A240&gt;TOMATO_BED_CAP,$B240&gt;CARROT_BED_CAP,AJ$4&gt;MESCLUN_BED_CAP,$A240+$B240+AJ$4&gt;TOTAL_BEDS_AVAILABLE,($D240+AJ$5)&gt;TOTAL_LABOR_HOURS_CAP,MAX(0,($D240+AJ$5)-PERMANENT_FIELD_LABOR_HOURS)&gt;TEMP_HOURS_CAP),"",$C240+AJ$6-MIN(($D240+AJ$5),PERMANENT_FIELD_LABOR_HOURS)*PERMANENT_HOURLY_RATE-MAX(0,($D240+AJ$5)-PERMANENT_FIELD_LABOR_HOURS)*TEMP_HOURLY_RATE-FIXED_SEASON_COST)</f>
        <v>27286.3778649836</v>
      </c>
    </row>
    <row r="241" customFormat="false" ht="15" hidden="false" customHeight="false" outlineLevel="0" collapsed="false">
      <c r="A241" s="21" t="n">
        <f aca="false">INT((ROW()-ROW($A$8))/(20+1))</f>
        <v>11</v>
      </c>
      <c r="B241" s="21" t="n">
        <f aca="false">MOD(ROW()-ROW($A$8),20+1)</f>
        <v>2</v>
      </c>
      <c r="C241" s="13" t="n">
        <f aca="false">A241*(TOMATO_REVENUE_PER_BED-TOMATO_FERTILIZER_PER_BED)+B241*(CARROT_REVENUE_PER_BED-CARROT_FERTILIZER_PER_BED)</f>
        <v>90428</v>
      </c>
      <c r="D241" s="14" t="n">
        <f aca="false">INDEX(TOMATO_SCHED_LABOR_HRS,A241+1)+INDEX(CARROT_SCHED_LABOR_HRS,B241+1)</f>
        <v>2887.5978240489</v>
      </c>
      <c r="E241" s="13" t="n">
        <f aca="false">IF(COUNT(F241:AJ241)=0,"",MAX(F241:AJ241))</f>
        <v>28380.0910693836</v>
      </c>
      <c r="F241" s="53" t="n">
        <f aca="false">IF(OR($A241&gt;TOMATO_BED_CAP,$B241&gt;CARROT_BED_CAP,F$4&gt;MESCLUN_BED_CAP,$A241+$B241+F$4&gt;TOTAL_BEDS_AVAILABLE,($D241+F$5)&gt;TOTAL_LABOR_HOURS_CAP,MAX(0,($D241+F$5)-PERMANENT_FIELD_LABOR_HOURS)&gt;TEMP_HOURS_CAP),"",$C241+F$6-MIN(($D241+F$5),PERMANENT_FIELD_LABOR_HOURS)*PERMANENT_HOURLY_RATE-MAX(0,($D241+F$5)-PERMANENT_FIELD_LABOR_HOURS)*TEMP_HOURLY_RATE-FIXED_SEASON_COST)</f>
        <v>7800.10177451107</v>
      </c>
      <c r="G241" s="53" t="n">
        <f aca="false">IF(OR($A241&gt;TOMATO_BED_CAP,$B241&gt;CARROT_BED_CAP,G$4&gt;MESCLUN_BED_CAP,$A241+$B241+G$4&gt;TOTAL_BEDS_AVAILABLE,($D241+G$5)&gt;TOTAL_LABOR_HOURS_CAP,MAX(0,($D241+G$5)-PERMANENT_FIELD_LABOR_HOURS)&gt;TEMP_HOURS_CAP),"",$C241+G$6-MIN(($D241+G$5),PERMANENT_FIELD_LABOR_HOURS)*PERMANENT_HOURLY_RATE-MAX(0,($D241+G$5)-PERMANENT_FIELD_LABOR_HOURS)*TEMP_HOURLY_RATE-FIXED_SEASON_COST)</f>
        <v>8829.13677451107</v>
      </c>
      <c r="H241" s="53" t="n">
        <f aca="false">IF(OR($A241&gt;TOMATO_BED_CAP,$B241&gt;CARROT_BED_CAP,H$4&gt;MESCLUN_BED_CAP,$A241+$B241+H$4&gt;TOTAL_BEDS_AVAILABLE,($D241+H$5)&gt;TOTAL_LABOR_HOURS_CAP,MAX(0,($D241+H$5)-PERMANENT_FIELD_LABOR_HOURS)&gt;TEMP_HOURS_CAP),"",$C241+H$6-MIN(($D241+H$5),PERMANENT_FIELD_LABOR_HOURS)*PERMANENT_HOURLY_RATE-MAX(0,($D241+H$5)-PERMANENT_FIELD_LABOR_HOURS)*TEMP_HOURLY_RATE-FIXED_SEASON_COST)</f>
        <v>9838.39764951107</v>
      </c>
      <c r="I241" s="53" t="n">
        <f aca="false">IF(OR($A241&gt;TOMATO_BED_CAP,$B241&gt;CARROT_BED_CAP,I$4&gt;MESCLUN_BED_CAP,$A241+$B241+I$4&gt;TOTAL_BEDS_AVAILABLE,($D241+I$5)&gt;TOTAL_LABOR_HOURS_CAP,MAX(0,($D241+I$5)-PERMANENT_FIELD_LABOR_HOURS)&gt;TEMP_HOURS_CAP),"",$C241+I$6-MIN(($D241+I$5),PERMANENT_FIELD_LABOR_HOURS)*PERMANENT_HOURLY_RATE-MAX(0,($D241+I$5)-PERMANENT_FIELD_LABOR_HOURS)*TEMP_HOURLY_RATE-FIXED_SEASON_COST)</f>
        <v>10827.5136346673</v>
      </c>
      <c r="J241" s="53" t="n">
        <f aca="false">IF(OR($A241&gt;TOMATO_BED_CAP,$B241&gt;CARROT_BED_CAP,J$4&gt;MESCLUN_BED_CAP,$A241+$B241+J$4&gt;TOTAL_BEDS_AVAILABLE,($D241+J$5)&gt;TOTAL_LABOR_HOURS_CAP,MAX(0,($D241+J$5)-PERMANENT_FIELD_LABOR_HOURS)&gt;TEMP_HOURS_CAP),"",$C241+J$6-MIN(($D241+J$5),PERMANENT_FIELD_LABOR_HOURS)*PERMANENT_HOURLY_RATE-MAX(0,($D241+J$5)-PERMANENT_FIELD_LABOR_HOURS)*TEMP_HOURLY_RATE-FIXED_SEASON_COST)</f>
        <v>11796.107785722</v>
      </c>
      <c r="K241" s="53" t="n">
        <f aca="false">IF(OR($A241&gt;TOMATO_BED_CAP,$B241&gt;CARROT_BED_CAP,K$4&gt;MESCLUN_BED_CAP,$A241+$B241+K$4&gt;TOTAL_BEDS_AVAILABLE,($D241+K$5)&gt;TOTAL_LABOR_HOURS_CAP,MAX(0,($D241+K$5)-PERMANENT_FIELD_LABOR_HOURS)&gt;TEMP_HOURS_CAP),"",$C241+K$6-MIN(($D241+K$5),PERMANENT_FIELD_LABOR_HOURS)*PERMANENT_HOURLY_RATE-MAX(0,($D241+K$5)-PERMANENT_FIELD_LABOR_HOURS)*TEMP_HOURLY_RATE-FIXED_SEASON_COST)</f>
        <v>12743.7968824499</v>
      </c>
      <c r="L241" s="53" t="n">
        <f aca="false">IF(OR($A241&gt;TOMATO_BED_CAP,$B241&gt;CARROT_BED_CAP,L$4&gt;MESCLUN_BED_CAP,$A241+$B241+L$4&gt;TOTAL_BEDS_AVAILABLE,($D241+L$5)&gt;TOTAL_LABOR_HOURS_CAP,MAX(0,($D241+L$5)-PERMANENT_FIELD_LABOR_HOURS)&gt;TEMP_HOURS_CAP),"",$C241+L$6-MIN(($D241+L$5),PERMANENT_FIELD_LABOR_HOURS)*PERMANENT_HOURLY_RATE-MAX(0,($D241+L$5)-PERMANENT_FIELD_LABOR_HOURS)*TEMP_HOURLY_RATE-FIXED_SEASON_COST)</f>
        <v>13670.1913306568</v>
      </c>
      <c r="M241" s="53" t="n">
        <f aca="false">IF(OR($A241&gt;TOMATO_BED_CAP,$B241&gt;CARROT_BED_CAP,M$4&gt;MESCLUN_BED_CAP,$A241+$B241+M$4&gt;TOTAL_BEDS_AVAILABLE,($D241+M$5)&gt;TOTAL_LABOR_HOURS_CAP,MAX(0,($D241+M$5)-PERMANENT_FIELD_LABOR_HOURS)&gt;TEMP_HOURS_CAP),"",$C241+M$6-MIN(($D241+M$5),PERMANENT_FIELD_LABOR_HOURS)*PERMANENT_HOURLY_RATE-MAX(0,($D241+M$5)-PERMANENT_FIELD_LABOR_HOURS)*TEMP_HOURLY_RATE-FIXED_SEASON_COST)</f>
        <v>14574.8950627082</v>
      </c>
      <c r="N241" s="53" t="n">
        <f aca="false">IF(OR($A241&gt;TOMATO_BED_CAP,$B241&gt;CARROT_BED_CAP,N$4&gt;MESCLUN_BED_CAP,$A241+$B241+N$4&gt;TOTAL_BEDS_AVAILABLE,($D241+N$5)&gt;TOTAL_LABOR_HOURS_CAP,MAX(0,($D241+N$5)-PERMANENT_FIELD_LABOR_HOURS)&gt;TEMP_HOURS_CAP),"",$C241+N$6-MIN(($D241+N$5),PERMANENT_FIELD_LABOR_HOURS)*PERMANENT_HOURLY_RATE-MAX(0,($D241+N$5)-PERMANENT_FIELD_LABOR_HOURS)*TEMP_HOURLY_RATE-FIXED_SEASON_COST)</f>
        <v>15457.5054365677</v>
      </c>
      <c r="O241" s="53" t="n">
        <f aca="false">IF(OR($A241&gt;TOMATO_BED_CAP,$B241&gt;CARROT_BED_CAP,O$4&gt;MESCLUN_BED_CAP,$A241+$B241+O$4&gt;TOTAL_BEDS_AVAILABLE,($D241+O$5)&gt;TOTAL_LABOR_HOURS_CAP,MAX(0,($D241+O$5)-PERMANENT_FIELD_LABOR_HOURS)&gt;TEMP_HOURS_CAP),"",$C241+O$6-MIN(($D241+O$5),PERMANENT_FIELD_LABOR_HOURS)*PERMANENT_HOURLY_RATE-MAX(0,($D241+O$5)-PERMANENT_FIELD_LABOR_HOURS)*TEMP_HOURLY_RATE-FIXED_SEASON_COST)</f>
        <v>16317.6131333225</v>
      </c>
      <c r="P241" s="53" t="n">
        <f aca="false">IF(OR($A241&gt;TOMATO_BED_CAP,$B241&gt;CARROT_BED_CAP,P$4&gt;MESCLUN_BED_CAP,$A241+$B241+P$4&gt;TOTAL_BEDS_AVAILABLE,($D241+P$5)&gt;TOTAL_LABOR_HOURS_CAP,MAX(0,($D241+P$5)-PERMANENT_FIELD_LABOR_HOURS)&gt;TEMP_HOURS_CAP),"",$C241+P$6-MIN(($D241+P$5),PERMANENT_FIELD_LABOR_HOURS)*PERMANENT_HOURLY_RATE-MAX(0,($D241+P$5)-PERMANENT_FIELD_LABOR_HOURS)*TEMP_HOURLY_RATE-FIXED_SEASON_COST)</f>
        <v>17154.8020531739</v>
      </c>
      <c r="Q241" s="53" t="n">
        <f aca="false">IF(OR($A241&gt;TOMATO_BED_CAP,$B241&gt;CARROT_BED_CAP,Q$4&gt;MESCLUN_BED_CAP,$A241+$B241+Q$4&gt;TOTAL_BEDS_AVAILABLE,($D241+Q$5)&gt;TOTAL_LABOR_HOURS_CAP,MAX(0,($D241+Q$5)-PERMANENT_FIELD_LABOR_HOURS)&gt;TEMP_HOURS_CAP),"",$C241+Q$6-MIN(($D241+Q$5),PERMANENT_FIELD_LABOR_HOURS)*PERMANENT_HOURLY_RATE-MAX(0,($D241+Q$5)-PERMANENT_FIELD_LABOR_HOURS)*TEMP_HOURLY_RATE-FIXED_SEASON_COST)</f>
        <v>17968.6492098718</v>
      </c>
      <c r="R241" s="53" t="n">
        <f aca="false">IF(OR($A241&gt;TOMATO_BED_CAP,$B241&gt;CARROT_BED_CAP,R$4&gt;MESCLUN_BED_CAP,$A241+$B241+R$4&gt;TOTAL_BEDS_AVAILABLE,($D241+R$5)&gt;TOTAL_LABOR_HOURS_CAP,MAX(0,($D241+R$5)-PERMANENT_FIELD_LABOR_HOURS)&gt;TEMP_HOURS_CAP),"",$C241+R$6-MIN(($D241+R$5),PERMANENT_FIELD_LABOR_HOURS)*PERMANENT_HOURLY_RATE-MAX(0,($D241+R$5)-PERMANENT_FIELD_LABOR_HOURS)*TEMP_HOURLY_RATE-FIXED_SEASON_COST)</f>
        <v>18758.7246235686</v>
      </c>
      <c r="S241" s="53" t="n">
        <f aca="false">IF(OR($A241&gt;TOMATO_BED_CAP,$B241&gt;CARROT_BED_CAP,S$4&gt;MESCLUN_BED_CAP,$A241+$B241+S$4&gt;TOTAL_BEDS_AVAILABLE,($D241+S$5)&gt;TOTAL_LABOR_HOURS_CAP,MAX(0,($D241+S$5)-PERMANENT_FIELD_LABOR_HOURS)&gt;TEMP_HOURS_CAP),"",$C241+S$6-MIN(($D241+S$5),PERMANENT_FIELD_LABOR_HOURS)*PERMANENT_HOURLY_RATE-MAX(0,($D241+S$5)-PERMANENT_FIELD_LABOR_HOURS)*TEMP_HOURLY_RATE-FIXED_SEASON_COST)</f>
        <v>19524.591212071</v>
      </c>
      <c r="T241" s="53" t="n">
        <f aca="false">IF(OR($A241&gt;TOMATO_BED_CAP,$B241&gt;CARROT_BED_CAP,T$4&gt;MESCLUN_BED_CAP,$A241+$B241+T$4&gt;TOTAL_BEDS_AVAILABLE,($D241+T$5)&gt;TOTAL_LABOR_HOURS_CAP,MAX(0,($D241+T$5)-PERMANENT_FIELD_LABOR_HOURS)&gt;TEMP_HOURS_CAP),"",$C241+T$6-MIN(($D241+T$5),PERMANENT_FIELD_LABOR_HOURS)*PERMANENT_HOURLY_RATE-MAX(0,($D241+T$5)-PERMANENT_FIELD_LABOR_HOURS)*TEMP_HOURLY_RATE-FIXED_SEASON_COST)</f>
        <v>20265.8046804659</v>
      </c>
      <c r="U241" s="53" t="n">
        <f aca="false">IF(OR($A241&gt;TOMATO_BED_CAP,$B241&gt;CARROT_BED_CAP,U$4&gt;MESCLUN_BED_CAP,$A241+$B241+U$4&gt;TOTAL_BEDS_AVAILABLE,($D241+U$5)&gt;TOTAL_LABOR_HOURS_CAP,MAX(0,($D241+U$5)-PERMANENT_FIELD_LABOR_HOURS)&gt;TEMP_HOURS_CAP),"",$C241+U$6-MIN(($D241+U$5),PERMANENT_FIELD_LABOR_HOURS)*PERMANENT_HOURLY_RATE-MAX(0,($D241+U$5)-PERMANENT_FIELD_LABOR_HOURS)*TEMP_HOURLY_RATE-FIXED_SEASON_COST)</f>
        <v>20981.913409096</v>
      </c>
      <c r="V241" s="53" t="n">
        <f aca="false">IF(OR($A241&gt;TOMATO_BED_CAP,$B241&gt;CARROT_BED_CAP,V$4&gt;MESCLUN_BED_CAP,$A241+$B241+V$4&gt;TOTAL_BEDS_AVAILABLE,($D241+V$5)&gt;TOTAL_LABOR_HOURS_CAP,MAX(0,($D241+V$5)-PERMANENT_FIELD_LABOR_HOURS)&gt;TEMP_HOURS_CAP),"",$C241+V$6-MIN(($D241+V$5),PERMANENT_FIELD_LABOR_HOURS)*PERMANENT_HOURLY_RATE-MAX(0,($D241+V$5)-PERMANENT_FIELD_LABOR_HOURS)*TEMP_HOURLY_RATE-FIXED_SEASON_COST)</f>
        <v>21672.4583398628</v>
      </c>
      <c r="W241" s="53" t="n">
        <f aca="false">IF(OR($A241&gt;TOMATO_BED_CAP,$B241&gt;CARROT_BED_CAP,W$4&gt;MESCLUN_BED_CAP,$A241+$B241+W$4&gt;TOTAL_BEDS_AVAILABLE,($D241+W$5)&gt;TOTAL_LABOR_HOURS_CAP,MAX(0,($D241+W$5)-PERMANENT_FIELD_LABOR_HOURS)&gt;TEMP_HOURS_CAP),"",$C241+W$6-MIN(($D241+W$5),PERMANENT_FIELD_LABOR_HOURS)*PERMANENT_HOURLY_RATE-MAX(0,($D241+W$5)-PERMANENT_FIELD_LABOR_HOURS)*TEMP_HOURLY_RATE-FIXED_SEASON_COST)</f>
        <v>22336.9728608308</v>
      </c>
      <c r="X241" s="53" t="n">
        <f aca="false">IF(OR($A241&gt;TOMATO_BED_CAP,$B241&gt;CARROT_BED_CAP,X$4&gt;MESCLUN_BED_CAP,$A241+$B241+X$4&gt;TOTAL_BEDS_AVAILABLE,($D241+X$5)&gt;TOTAL_LABOR_HOURS_CAP,MAX(0,($D241+X$5)-PERMANENT_FIELD_LABOR_HOURS)&gt;TEMP_HOURS_CAP),"",$C241+X$6-MIN(($D241+X$5),PERMANENT_FIELD_LABOR_HOURS)*PERMANENT_HOURLY_RATE-MAX(0,($D241+X$5)-PERMANENT_FIELD_LABOR_HOURS)*TEMP_HOURLY_RATE-FIXED_SEASON_COST)</f>
        <v>22974.9826891098</v>
      </c>
      <c r="Y241" s="53" t="n">
        <f aca="false">IF(OR($A241&gt;TOMATO_BED_CAP,$B241&gt;CARROT_BED_CAP,Y$4&gt;MESCLUN_BED_CAP,$A241+$B241+Y$4&gt;TOTAL_BEDS_AVAILABLE,($D241+Y$5)&gt;TOTAL_LABOR_HOURS_CAP,MAX(0,($D241+Y$5)-PERMANENT_FIELD_LABOR_HOURS)&gt;TEMP_HOURS_CAP),"",$C241+Y$6-MIN(($D241+Y$5),PERMANENT_FIELD_LABOR_HOURS)*PERMANENT_HOURLY_RATE-MAX(0,($D241+Y$5)-PERMANENT_FIELD_LABOR_HOURS)*TEMP_HOURLY_RATE-FIXED_SEASON_COST)</f>
        <v>23586.0057519884</v>
      </c>
      <c r="Z241" s="53" t="n">
        <f aca="false">IF(OR($A241&gt;TOMATO_BED_CAP,$B241&gt;CARROT_BED_CAP,Z$4&gt;MESCLUN_BED_CAP,$A241+$B241+Z$4&gt;TOTAL_BEDS_AVAILABLE,($D241+Z$5)&gt;TOTAL_LABOR_HOURS_CAP,MAX(0,($D241+Z$5)-PERMANENT_FIELD_LABOR_HOURS)&gt;TEMP_HOURS_CAP),"",$C241+Z$6-MIN(($D241+Z$5),PERMANENT_FIELD_LABOR_HOURS)*PERMANENT_HOURLY_RATE-MAX(0,($D241+Z$5)-PERMANENT_FIELD_LABOR_HOURS)*TEMP_HOURLY_RATE-FIXED_SEASON_COST)</f>
        <v>24169.5520662962</v>
      </c>
      <c r="AA241" s="53" t="n">
        <f aca="false">IF(OR($A241&gt;TOMATO_BED_CAP,$B241&gt;CARROT_BED_CAP,AA$4&gt;MESCLUN_BED_CAP,$A241+$B241+AA$4&gt;TOTAL_BEDS_AVAILABLE,($D241+AA$5)&gt;TOTAL_LABOR_HOURS_CAP,MAX(0,($D241+AA$5)-PERMANENT_FIELD_LABOR_HOURS)&gt;TEMP_HOURS_CAP),"",$C241+AA$6-MIN(($D241+AA$5),PERMANENT_FIELD_LABOR_HOURS)*PERMANENT_HOURLY_RATE-MAX(0,($D241+AA$5)-PERMANENT_FIELD_LABOR_HOURS)*TEMP_HOURLY_RATE-FIXED_SEASON_COST)</f>
        <v>24725.1236159651</v>
      </c>
      <c r="AB241" s="53" t="n">
        <f aca="false">IF(OR($A241&gt;TOMATO_BED_CAP,$B241&gt;CARROT_BED_CAP,AB$4&gt;MESCLUN_BED_CAP,$A241+$B241+AB$4&gt;TOTAL_BEDS_AVAILABLE,($D241+AB$5)&gt;TOTAL_LABOR_HOURS_CAP,MAX(0,($D241+AB$5)-PERMANENT_FIELD_LABOR_HOURS)&gt;TEMP_HOURS_CAP),"",$C241+AB$6-MIN(($D241+AB$5),PERMANENT_FIELD_LABOR_HOURS)*PERMANENT_HOURLY_RATE-MAX(0,($D241+AB$5)-PERMANENT_FIELD_LABOR_HOURS)*TEMP_HOURLY_RATE-FIXED_SEASON_COST)</f>
        <v>25252.2142277676</v>
      </c>
      <c r="AC241" s="53" t="n">
        <f aca="false">IF(OR($A241&gt;TOMATO_BED_CAP,$B241&gt;CARROT_BED_CAP,AC$4&gt;MESCLUN_BED_CAP,$A241+$B241+AC$4&gt;TOTAL_BEDS_AVAILABLE,($D241+AC$5)&gt;TOTAL_LABOR_HOURS_CAP,MAX(0,($D241+AC$5)-PERMANENT_FIELD_LABOR_HOURS)&gt;TEMP_HOURS_CAP),"",$C241+AC$6-MIN(($D241+AC$5),PERMANENT_FIELD_LABOR_HOURS)*PERMANENT_HOURLY_RATE-MAX(0,($D241+AC$5)-PERMANENT_FIELD_LABOR_HOURS)*TEMP_HOURLY_RATE-FIXED_SEASON_COST)</f>
        <v>25750.3094452025</v>
      </c>
      <c r="AD241" s="53" t="n">
        <f aca="false">IF(OR($A241&gt;TOMATO_BED_CAP,$B241&gt;CARROT_BED_CAP,AD$4&gt;MESCLUN_BED_CAP,$A241+$B241+AD$4&gt;TOTAL_BEDS_AVAILABLE,($D241+AD$5)&gt;TOTAL_LABOR_HOURS_CAP,MAX(0,($D241+AD$5)-PERMANENT_FIELD_LABOR_HOURS)&gt;TEMP_HOURS_CAP),"",$C241+AD$6-MIN(($D241+AD$5),PERMANENT_FIELD_LABOR_HOURS)*PERMANENT_HOURLY_RATE-MAX(0,($D241+AD$5)-PERMANENT_FIELD_LABOR_HOURS)*TEMP_HOURLY_RATE-FIXED_SEASON_COST)</f>
        <v>26218.8864005025</v>
      </c>
      <c r="AE241" s="53" t="n">
        <f aca="false">IF(OR($A241&gt;TOMATO_BED_CAP,$B241&gt;CARROT_BED_CAP,AE$4&gt;MESCLUN_BED_CAP,$A241+$B241+AE$4&gt;TOTAL_BEDS_AVAILABLE,($D241+AE$5)&gt;TOTAL_LABOR_HOURS_CAP,MAX(0,($D241+AE$5)-PERMANENT_FIELD_LABOR_HOURS)&gt;TEMP_HOURS_CAP),"",$C241+AE$6-MIN(($D241+AE$5),PERMANENT_FIELD_LABOR_HOURS)*PERMANENT_HOURLY_RATE-MAX(0,($D241+AE$5)-PERMANENT_FIELD_LABOR_HOURS)*TEMP_HOURLY_RATE-FIXED_SEASON_COST)</f>
        <v>26657.4136847364</v>
      </c>
      <c r="AF241" s="53" t="n">
        <f aca="false">IF(OR($A241&gt;TOMATO_BED_CAP,$B241&gt;CARROT_BED_CAP,AF$4&gt;MESCLUN_BED_CAP,$A241+$B241+AF$4&gt;TOTAL_BEDS_AVAILABLE,($D241+AF$5)&gt;TOTAL_LABOR_HOURS_CAP,MAX(0,($D241+AF$5)-PERMANENT_FIELD_LABOR_HOURS)&gt;TEMP_HOURS_CAP),"",$C241+AF$6-MIN(($D241+AF$5),PERMANENT_FIELD_LABOR_HOURS)*PERMANENT_HOURLY_RATE-MAX(0,($D241+AF$5)-PERMANENT_FIELD_LABOR_HOURS)*TEMP_HOURLY_RATE-FIXED_SEASON_COST)</f>
        <v>27065.3512159784</v>
      </c>
      <c r="AG241" s="53" t="n">
        <f aca="false">IF(OR($A241&gt;TOMATO_BED_CAP,$B241&gt;CARROT_BED_CAP,AG$4&gt;MESCLUN_BED_CAP,$A241+$B241+AG$4&gt;TOTAL_BEDS_AVAILABLE,($D241+AG$5)&gt;TOTAL_LABOR_HOURS_CAP,MAX(0,($D241+AG$5)-PERMANENT_FIELD_LABOR_HOURS)&gt;TEMP_HOURS_CAP),"",$C241+AG$6-MIN(($D241+AG$5),PERMANENT_FIELD_LABOR_HOURS)*PERMANENT_HOURLY_RATE-MAX(0,($D241+AG$5)-PERMANENT_FIELD_LABOR_HOURS)*TEMP_HOURLY_RATE-FIXED_SEASON_COST)</f>
        <v>27442.1501055154</v>
      </c>
      <c r="AH241" s="53" t="n">
        <f aca="false">IF(OR($A241&gt;TOMATO_BED_CAP,$B241&gt;CARROT_BED_CAP,AH$4&gt;MESCLUN_BED_CAP,$A241+$B241+AH$4&gt;TOTAL_BEDS_AVAILABLE,($D241+AH$5)&gt;TOTAL_LABOR_HOURS_CAP,MAX(0,($D241+AH$5)-PERMANENT_FIELD_LABOR_HOURS)&gt;TEMP_HOURS_CAP),"",$C241+AH$6-MIN(($D241+AH$5),PERMANENT_FIELD_LABOR_HOURS)*PERMANENT_HOURLY_RATE-MAX(0,($D241+AH$5)-PERMANENT_FIELD_LABOR_HOURS)*TEMP_HOURLY_RATE-FIXED_SEASON_COST)</f>
        <v>27787.2525220656</v>
      </c>
      <c r="AI241" s="53" t="n">
        <f aca="false">IF(OR($A241&gt;TOMATO_BED_CAP,$B241&gt;CARROT_BED_CAP,AI$4&gt;MESCLUN_BED_CAP,$A241+$B241+AI$4&gt;TOTAL_BEDS_AVAILABLE,($D241+AI$5)&gt;TOTAL_LABOR_HOURS_CAP,MAX(0,($D241+AI$5)-PERMANENT_FIELD_LABOR_HOURS)&gt;TEMP_HOURS_CAP),"",$C241+AI$6-MIN(($D241+AI$5),PERMANENT_FIELD_LABOR_HOURS)*PERMANENT_HOURLY_RATE-MAX(0,($D241+AI$5)-PERMANENT_FIELD_LABOR_HOURS)*TEMP_HOURLY_RATE-FIXED_SEASON_COST)</f>
        <v>28100.0915539779</v>
      </c>
      <c r="AJ241" s="53" t="n">
        <f aca="false">IF(OR($A241&gt;TOMATO_BED_CAP,$B241&gt;CARROT_BED_CAP,AJ$4&gt;MESCLUN_BED_CAP,$A241+$B241+AJ$4&gt;TOTAL_BEDS_AVAILABLE,($D241+AJ$5)&gt;TOTAL_LABOR_HOURS_CAP,MAX(0,($D241+AJ$5)-PERMANENT_FIELD_LABOR_HOURS)&gt;TEMP_HOURS_CAP),"",$C241+AJ$6-MIN(($D241+AJ$5),PERMANENT_FIELD_LABOR_HOURS)*PERMANENT_HOURLY_RATE-MAX(0,($D241+AJ$5)-PERMANENT_FIELD_LABOR_HOURS)*TEMP_HOURLY_RATE-FIXED_SEASON_COST)</f>
        <v>28380.0910693836</v>
      </c>
    </row>
    <row r="242" customFormat="false" ht="15" hidden="false" customHeight="false" outlineLevel="0" collapsed="false">
      <c r="A242" s="21" t="n">
        <f aca="false">INT((ROW()-ROW($A$8))/(20+1))</f>
        <v>11</v>
      </c>
      <c r="B242" s="21" t="n">
        <f aca="false">MOD(ROW()-ROW($A$8),20+1)</f>
        <v>3</v>
      </c>
      <c r="C242" s="13" t="n">
        <f aca="false">A242*(TOMATO_REVENUE_PER_BED-TOMATO_FERTILIZER_PER_BED)+B242*(CARROT_REVENUE_PER_BED-CARROT_FERTILIZER_PER_BED)</f>
        <v>92082</v>
      </c>
      <c r="D242" s="14" t="n">
        <f aca="false">INDEX(TOMATO_SCHED_LABOR_HRS,A242+1)+INDEX(CARROT_SCHED_LABOR_HRS,B242+1)</f>
        <v>2921.4669272364</v>
      </c>
      <c r="E242" s="13" t="n">
        <f aca="false">IF(COUNT(F242:AJ242)=0,"",MAX(F242:AJ242))</f>
        <v>29446.1234380486</v>
      </c>
      <c r="F242" s="53" t="n">
        <f aca="false">IF(OR($A242&gt;TOMATO_BED_CAP,$B242&gt;CARROT_BED_CAP,F$4&gt;MESCLUN_BED_CAP,$A242+$B242+F$4&gt;TOTAL_BEDS_AVAILABLE,($D242+F$5)&gt;TOTAL_LABOR_HOURS_CAP,MAX(0,($D242+F$5)-PERMANENT_FIELD_LABOR_HOURS)&gt;TEMP_HOURS_CAP),"",$C242+F$6-MIN(($D242+F$5),PERMANENT_FIELD_LABOR_HOURS)*PERMANENT_HOURLY_RATE-MAX(0,($D242+F$5)-PERMANENT_FIELD_LABOR_HOURS)*TEMP_HOURLY_RATE-FIXED_SEASON_COST)</f>
        <v>8866.13414317607</v>
      </c>
      <c r="G242" s="53" t="n">
        <f aca="false">IF(OR($A242&gt;TOMATO_BED_CAP,$B242&gt;CARROT_BED_CAP,G$4&gt;MESCLUN_BED_CAP,$A242+$B242+G$4&gt;TOTAL_BEDS_AVAILABLE,($D242+G$5)&gt;TOTAL_LABOR_HOURS_CAP,MAX(0,($D242+G$5)-PERMANENT_FIELD_LABOR_HOURS)&gt;TEMP_HOURS_CAP),"",$C242+G$6-MIN(($D242+G$5),PERMANENT_FIELD_LABOR_HOURS)*PERMANENT_HOURLY_RATE-MAX(0,($D242+G$5)-PERMANENT_FIELD_LABOR_HOURS)*TEMP_HOURLY_RATE-FIXED_SEASON_COST)</f>
        <v>9895.16914317606</v>
      </c>
      <c r="H242" s="53" t="n">
        <f aca="false">IF(OR($A242&gt;TOMATO_BED_CAP,$B242&gt;CARROT_BED_CAP,H$4&gt;MESCLUN_BED_CAP,$A242+$B242+H$4&gt;TOTAL_BEDS_AVAILABLE,($D242+H$5)&gt;TOTAL_LABOR_HOURS_CAP,MAX(0,($D242+H$5)-PERMANENT_FIELD_LABOR_HOURS)&gt;TEMP_HOURS_CAP),"",$C242+H$6-MIN(($D242+H$5),PERMANENT_FIELD_LABOR_HOURS)*PERMANENT_HOURLY_RATE-MAX(0,($D242+H$5)-PERMANENT_FIELD_LABOR_HOURS)*TEMP_HOURLY_RATE-FIXED_SEASON_COST)</f>
        <v>10904.4300181761</v>
      </c>
      <c r="I242" s="53" t="n">
        <f aca="false">IF(OR($A242&gt;TOMATO_BED_CAP,$B242&gt;CARROT_BED_CAP,I$4&gt;MESCLUN_BED_CAP,$A242+$B242+I$4&gt;TOTAL_BEDS_AVAILABLE,($D242+I$5)&gt;TOTAL_LABOR_HOURS_CAP,MAX(0,($D242+I$5)-PERMANENT_FIELD_LABOR_HOURS)&gt;TEMP_HOURS_CAP),"",$C242+I$6-MIN(($D242+I$5),PERMANENT_FIELD_LABOR_HOURS)*PERMANENT_HOURLY_RATE-MAX(0,($D242+I$5)-PERMANENT_FIELD_LABOR_HOURS)*TEMP_HOURLY_RATE-FIXED_SEASON_COST)</f>
        <v>11893.5460033323</v>
      </c>
      <c r="J242" s="53" t="n">
        <f aca="false">IF(OR($A242&gt;TOMATO_BED_CAP,$B242&gt;CARROT_BED_CAP,J$4&gt;MESCLUN_BED_CAP,$A242+$B242+J$4&gt;TOTAL_BEDS_AVAILABLE,($D242+J$5)&gt;TOTAL_LABOR_HOURS_CAP,MAX(0,($D242+J$5)-PERMANENT_FIELD_LABOR_HOURS)&gt;TEMP_HOURS_CAP),"",$C242+J$6-MIN(($D242+J$5),PERMANENT_FIELD_LABOR_HOURS)*PERMANENT_HOURLY_RATE-MAX(0,($D242+J$5)-PERMANENT_FIELD_LABOR_HOURS)*TEMP_HOURLY_RATE-FIXED_SEASON_COST)</f>
        <v>12862.140154387</v>
      </c>
      <c r="K242" s="53" t="n">
        <f aca="false">IF(OR($A242&gt;TOMATO_BED_CAP,$B242&gt;CARROT_BED_CAP,K$4&gt;MESCLUN_BED_CAP,$A242+$B242+K$4&gt;TOTAL_BEDS_AVAILABLE,($D242+K$5)&gt;TOTAL_LABOR_HOURS_CAP,MAX(0,($D242+K$5)-PERMANENT_FIELD_LABOR_HOURS)&gt;TEMP_HOURS_CAP),"",$C242+K$6-MIN(($D242+K$5),PERMANENT_FIELD_LABOR_HOURS)*PERMANENT_HOURLY_RATE-MAX(0,($D242+K$5)-PERMANENT_FIELD_LABOR_HOURS)*TEMP_HOURLY_RATE-FIXED_SEASON_COST)</f>
        <v>13809.8292511149</v>
      </c>
      <c r="L242" s="53" t="n">
        <f aca="false">IF(OR($A242&gt;TOMATO_BED_CAP,$B242&gt;CARROT_BED_CAP,L$4&gt;MESCLUN_BED_CAP,$A242+$B242+L$4&gt;TOTAL_BEDS_AVAILABLE,($D242+L$5)&gt;TOTAL_LABOR_HOURS_CAP,MAX(0,($D242+L$5)-PERMANENT_FIELD_LABOR_HOURS)&gt;TEMP_HOURS_CAP),"",$C242+L$6-MIN(($D242+L$5),PERMANENT_FIELD_LABOR_HOURS)*PERMANENT_HOURLY_RATE-MAX(0,($D242+L$5)-PERMANENT_FIELD_LABOR_HOURS)*TEMP_HOURLY_RATE-FIXED_SEASON_COST)</f>
        <v>14736.2236993218</v>
      </c>
      <c r="M242" s="53" t="n">
        <f aca="false">IF(OR($A242&gt;TOMATO_BED_CAP,$B242&gt;CARROT_BED_CAP,M$4&gt;MESCLUN_BED_CAP,$A242+$B242+M$4&gt;TOTAL_BEDS_AVAILABLE,($D242+M$5)&gt;TOTAL_LABOR_HOURS_CAP,MAX(0,($D242+M$5)-PERMANENT_FIELD_LABOR_HOURS)&gt;TEMP_HOURS_CAP),"",$C242+M$6-MIN(($D242+M$5),PERMANENT_FIELD_LABOR_HOURS)*PERMANENT_HOURLY_RATE-MAX(0,($D242+M$5)-PERMANENT_FIELD_LABOR_HOURS)*TEMP_HOURLY_RATE-FIXED_SEASON_COST)</f>
        <v>15640.9274313732</v>
      </c>
      <c r="N242" s="53" t="n">
        <f aca="false">IF(OR($A242&gt;TOMATO_BED_CAP,$B242&gt;CARROT_BED_CAP,N$4&gt;MESCLUN_BED_CAP,$A242+$B242+N$4&gt;TOTAL_BEDS_AVAILABLE,($D242+N$5)&gt;TOTAL_LABOR_HOURS_CAP,MAX(0,($D242+N$5)-PERMANENT_FIELD_LABOR_HOURS)&gt;TEMP_HOURS_CAP),"",$C242+N$6-MIN(($D242+N$5),PERMANENT_FIELD_LABOR_HOURS)*PERMANENT_HOURLY_RATE-MAX(0,($D242+N$5)-PERMANENT_FIELD_LABOR_HOURS)*TEMP_HOURLY_RATE-FIXED_SEASON_COST)</f>
        <v>16523.5378052327</v>
      </c>
      <c r="O242" s="53" t="n">
        <f aca="false">IF(OR($A242&gt;TOMATO_BED_CAP,$B242&gt;CARROT_BED_CAP,O$4&gt;MESCLUN_BED_CAP,$A242+$B242+O$4&gt;TOTAL_BEDS_AVAILABLE,($D242+O$5)&gt;TOTAL_LABOR_HOURS_CAP,MAX(0,($D242+O$5)-PERMANENT_FIELD_LABOR_HOURS)&gt;TEMP_HOURS_CAP),"",$C242+O$6-MIN(($D242+O$5),PERMANENT_FIELD_LABOR_HOURS)*PERMANENT_HOURLY_RATE-MAX(0,($D242+O$5)-PERMANENT_FIELD_LABOR_HOURS)*TEMP_HOURLY_RATE-FIXED_SEASON_COST)</f>
        <v>17383.6455019875</v>
      </c>
      <c r="P242" s="53" t="n">
        <f aca="false">IF(OR($A242&gt;TOMATO_BED_CAP,$B242&gt;CARROT_BED_CAP,P$4&gt;MESCLUN_BED_CAP,$A242+$B242+P$4&gt;TOTAL_BEDS_AVAILABLE,($D242+P$5)&gt;TOTAL_LABOR_HOURS_CAP,MAX(0,($D242+P$5)-PERMANENT_FIELD_LABOR_HOURS)&gt;TEMP_HOURS_CAP),"",$C242+P$6-MIN(($D242+P$5),PERMANENT_FIELD_LABOR_HOURS)*PERMANENT_HOURLY_RATE-MAX(0,($D242+P$5)-PERMANENT_FIELD_LABOR_HOURS)*TEMP_HOURLY_RATE-FIXED_SEASON_COST)</f>
        <v>18220.8344218389</v>
      </c>
      <c r="Q242" s="53" t="n">
        <f aca="false">IF(OR($A242&gt;TOMATO_BED_CAP,$B242&gt;CARROT_BED_CAP,Q$4&gt;MESCLUN_BED_CAP,$A242+$B242+Q$4&gt;TOTAL_BEDS_AVAILABLE,($D242+Q$5)&gt;TOTAL_LABOR_HOURS_CAP,MAX(0,($D242+Q$5)-PERMANENT_FIELD_LABOR_HOURS)&gt;TEMP_HOURS_CAP),"",$C242+Q$6-MIN(($D242+Q$5),PERMANENT_FIELD_LABOR_HOURS)*PERMANENT_HOURLY_RATE-MAX(0,($D242+Q$5)-PERMANENT_FIELD_LABOR_HOURS)*TEMP_HOURLY_RATE-FIXED_SEASON_COST)</f>
        <v>19034.6815785368</v>
      </c>
      <c r="R242" s="53" t="n">
        <f aca="false">IF(OR($A242&gt;TOMATO_BED_CAP,$B242&gt;CARROT_BED_CAP,R$4&gt;MESCLUN_BED_CAP,$A242+$B242+R$4&gt;TOTAL_BEDS_AVAILABLE,($D242+R$5)&gt;TOTAL_LABOR_HOURS_CAP,MAX(0,($D242+R$5)-PERMANENT_FIELD_LABOR_HOURS)&gt;TEMP_HOURS_CAP),"",$C242+R$6-MIN(($D242+R$5),PERMANENT_FIELD_LABOR_HOURS)*PERMANENT_HOURLY_RATE-MAX(0,($D242+R$5)-PERMANENT_FIELD_LABOR_HOURS)*TEMP_HOURLY_RATE-FIXED_SEASON_COST)</f>
        <v>19824.7569922336</v>
      </c>
      <c r="S242" s="53" t="n">
        <f aca="false">IF(OR($A242&gt;TOMATO_BED_CAP,$B242&gt;CARROT_BED_CAP,S$4&gt;MESCLUN_BED_CAP,$A242+$B242+S$4&gt;TOTAL_BEDS_AVAILABLE,($D242+S$5)&gt;TOTAL_LABOR_HOURS_CAP,MAX(0,($D242+S$5)-PERMANENT_FIELD_LABOR_HOURS)&gt;TEMP_HOURS_CAP),"",$C242+S$6-MIN(($D242+S$5),PERMANENT_FIELD_LABOR_HOURS)*PERMANENT_HOURLY_RATE-MAX(0,($D242+S$5)-PERMANENT_FIELD_LABOR_HOURS)*TEMP_HOURLY_RATE-FIXED_SEASON_COST)</f>
        <v>20590.623580736</v>
      </c>
      <c r="T242" s="53" t="n">
        <f aca="false">IF(OR($A242&gt;TOMATO_BED_CAP,$B242&gt;CARROT_BED_CAP,T$4&gt;MESCLUN_BED_CAP,$A242+$B242+T$4&gt;TOTAL_BEDS_AVAILABLE,($D242+T$5)&gt;TOTAL_LABOR_HOURS_CAP,MAX(0,($D242+T$5)-PERMANENT_FIELD_LABOR_HOURS)&gt;TEMP_HOURS_CAP),"",$C242+T$6-MIN(($D242+T$5),PERMANENT_FIELD_LABOR_HOURS)*PERMANENT_HOURLY_RATE-MAX(0,($D242+T$5)-PERMANENT_FIELD_LABOR_HOURS)*TEMP_HOURLY_RATE-FIXED_SEASON_COST)</f>
        <v>21331.8370491309</v>
      </c>
      <c r="U242" s="53" t="n">
        <f aca="false">IF(OR($A242&gt;TOMATO_BED_CAP,$B242&gt;CARROT_BED_CAP,U$4&gt;MESCLUN_BED_CAP,$A242+$B242+U$4&gt;TOTAL_BEDS_AVAILABLE,($D242+U$5)&gt;TOTAL_LABOR_HOURS_CAP,MAX(0,($D242+U$5)-PERMANENT_FIELD_LABOR_HOURS)&gt;TEMP_HOURS_CAP),"",$C242+U$6-MIN(($D242+U$5),PERMANENT_FIELD_LABOR_HOURS)*PERMANENT_HOURLY_RATE-MAX(0,($D242+U$5)-PERMANENT_FIELD_LABOR_HOURS)*TEMP_HOURLY_RATE-FIXED_SEASON_COST)</f>
        <v>22047.945777761</v>
      </c>
      <c r="V242" s="53" t="n">
        <f aca="false">IF(OR($A242&gt;TOMATO_BED_CAP,$B242&gt;CARROT_BED_CAP,V$4&gt;MESCLUN_BED_CAP,$A242+$B242+V$4&gt;TOTAL_BEDS_AVAILABLE,($D242+V$5)&gt;TOTAL_LABOR_HOURS_CAP,MAX(0,($D242+V$5)-PERMANENT_FIELD_LABOR_HOURS)&gt;TEMP_HOURS_CAP),"",$C242+V$6-MIN(($D242+V$5),PERMANENT_FIELD_LABOR_HOURS)*PERMANENT_HOURLY_RATE-MAX(0,($D242+V$5)-PERMANENT_FIELD_LABOR_HOURS)*TEMP_HOURLY_RATE-FIXED_SEASON_COST)</f>
        <v>22738.4907085278</v>
      </c>
      <c r="W242" s="53" t="n">
        <f aca="false">IF(OR($A242&gt;TOMATO_BED_CAP,$B242&gt;CARROT_BED_CAP,W$4&gt;MESCLUN_BED_CAP,$A242+$B242+W$4&gt;TOTAL_BEDS_AVAILABLE,($D242+W$5)&gt;TOTAL_LABOR_HOURS_CAP,MAX(0,($D242+W$5)-PERMANENT_FIELD_LABOR_HOURS)&gt;TEMP_HOURS_CAP),"",$C242+W$6-MIN(($D242+W$5),PERMANENT_FIELD_LABOR_HOURS)*PERMANENT_HOURLY_RATE-MAX(0,($D242+W$5)-PERMANENT_FIELD_LABOR_HOURS)*TEMP_HOURLY_RATE-FIXED_SEASON_COST)</f>
        <v>23403.0052294958</v>
      </c>
      <c r="X242" s="53" t="n">
        <f aca="false">IF(OR($A242&gt;TOMATO_BED_CAP,$B242&gt;CARROT_BED_CAP,X$4&gt;MESCLUN_BED_CAP,$A242+$B242+X$4&gt;TOTAL_BEDS_AVAILABLE,($D242+X$5)&gt;TOTAL_LABOR_HOURS_CAP,MAX(0,($D242+X$5)-PERMANENT_FIELD_LABOR_HOURS)&gt;TEMP_HOURS_CAP),"",$C242+X$6-MIN(($D242+X$5),PERMANENT_FIELD_LABOR_HOURS)*PERMANENT_HOURLY_RATE-MAX(0,($D242+X$5)-PERMANENT_FIELD_LABOR_HOURS)*TEMP_HOURLY_RATE-FIXED_SEASON_COST)</f>
        <v>24041.0150577748</v>
      </c>
      <c r="Y242" s="53" t="n">
        <f aca="false">IF(OR($A242&gt;TOMATO_BED_CAP,$B242&gt;CARROT_BED_CAP,Y$4&gt;MESCLUN_BED_CAP,$A242+$B242+Y$4&gt;TOTAL_BEDS_AVAILABLE,($D242+Y$5)&gt;TOTAL_LABOR_HOURS_CAP,MAX(0,($D242+Y$5)-PERMANENT_FIELD_LABOR_HOURS)&gt;TEMP_HOURS_CAP),"",$C242+Y$6-MIN(($D242+Y$5),PERMANENT_FIELD_LABOR_HOURS)*PERMANENT_HOURLY_RATE-MAX(0,($D242+Y$5)-PERMANENT_FIELD_LABOR_HOURS)*TEMP_HOURLY_RATE-FIXED_SEASON_COST)</f>
        <v>24652.0381206534</v>
      </c>
      <c r="Z242" s="53" t="n">
        <f aca="false">IF(OR($A242&gt;TOMATO_BED_CAP,$B242&gt;CARROT_BED_CAP,Z$4&gt;MESCLUN_BED_CAP,$A242+$B242+Z$4&gt;TOTAL_BEDS_AVAILABLE,($D242+Z$5)&gt;TOTAL_LABOR_HOURS_CAP,MAX(0,($D242+Z$5)-PERMANENT_FIELD_LABOR_HOURS)&gt;TEMP_HOURS_CAP),"",$C242+Z$6-MIN(($D242+Z$5),PERMANENT_FIELD_LABOR_HOURS)*PERMANENT_HOURLY_RATE-MAX(0,($D242+Z$5)-PERMANENT_FIELD_LABOR_HOURS)*TEMP_HOURLY_RATE-FIXED_SEASON_COST)</f>
        <v>25235.5844349611</v>
      </c>
      <c r="AA242" s="53" t="n">
        <f aca="false">IF(OR($A242&gt;TOMATO_BED_CAP,$B242&gt;CARROT_BED_CAP,AA$4&gt;MESCLUN_BED_CAP,$A242+$B242+AA$4&gt;TOTAL_BEDS_AVAILABLE,($D242+AA$5)&gt;TOTAL_LABOR_HOURS_CAP,MAX(0,($D242+AA$5)-PERMANENT_FIELD_LABOR_HOURS)&gt;TEMP_HOURS_CAP),"",$C242+AA$6-MIN(($D242+AA$5),PERMANENT_FIELD_LABOR_HOURS)*PERMANENT_HOURLY_RATE-MAX(0,($D242+AA$5)-PERMANENT_FIELD_LABOR_HOURS)*TEMP_HOURLY_RATE-FIXED_SEASON_COST)</f>
        <v>25791.1559846301</v>
      </c>
      <c r="AB242" s="53" t="n">
        <f aca="false">IF(OR($A242&gt;TOMATO_BED_CAP,$B242&gt;CARROT_BED_CAP,AB$4&gt;MESCLUN_BED_CAP,$A242+$B242+AB$4&gt;TOTAL_BEDS_AVAILABLE,($D242+AB$5)&gt;TOTAL_LABOR_HOURS_CAP,MAX(0,($D242+AB$5)-PERMANENT_FIELD_LABOR_HOURS)&gt;TEMP_HOURS_CAP),"",$C242+AB$6-MIN(($D242+AB$5),PERMANENT_FIELD_LABOR_HOURS)*PERMANENT_HOURLY_RATE-MAX(0,($D242+AB$5)-PERMANENT_FIELD_LABOR_HOURS)*TEMP_HOURLY_RATE-FIXED_SEASON_COST)</f>
        <v>26318.2465964326</v>
      </c>
      <c r="AC242" s="53" t="n">
        <f aca="false">IF(OR($A242&gt;TOMATO_BED_CAP,$B242&gt;CARROT_BED_CAP,AC$4&gt;MESCLUN_BED_CAP,$A242+$B242+AC$4&gt;TOTAL_BEDS_AVAILABLE,($D242+AC$5)&gt;TOTAL_LABOR_HOURS_CAP,MAX(0,($D242+AC$5)-PERMANENT_FIELD_LABOR_HOURS)&gt;TEMP_HOURS_CAP),"",$C242+AC$6-MIN(($D242+AC$5),PERMANENT_FIELD_LABOR_HOURS)*PERMANENT_HOURLY_RATE-MAX(0,($D242+AC$5)-PERMANENT_FIELD_LABOR_HOURS)*TEMP_HOURLY_RATE-FIXED_SEASON_COST)</f>
        <v>26816.3418138675</v>
      </c>
      <c r="AD242" s="53" t="n">
        <f aca="false">IF(OR($A242&gt;TOMATO_BED_CAP,$B242&gt;CARROT_BED_CAP,AD$4&gt;MESCLUN_BED_CAP,$A242+$B242+AD$4&gt;TOTAL_BEDS_AVAILABLE,($D242+AD$5)&gt;TOTAL_LABOR_HOURS_CAP,MAX(0,($D242+AD$5)-PERMANENT_FIELD_LABOR_HOURS)&gt;TEMP_HOURS_CAP),"",$C242+AD$6-MIN(($D242+AD$5),PERMANENT_FIELD_LABOR_HOURS)*PERMANENT_HOURLY_RATE-MAX(0,($D242+AD$5)-PERMANENT_FIELD_LABOR_HOURS)*TEMP_HOURLY_RATE-FIXED_SEASON_COST)</f>
        <v>27284.9187691675</v>
      </c>
      <c r="AE242" s="53" t="n">
        <f aca="false">IF(OR($A242&gt;TOMATO_BED_CAP,$B242&gt;CARROT_BED_CAP,AE$4&gt;MESCLUN_BED_CAP,$A242+$B242+AE$4&gt;TOTAL_BEDS_AVAILABLE,($D242+AE$5)&gt;TOTAL_LABOR_HOURS_CAP,MAX(0,($D242+AE$5)-PERMANENT_FIELD_LABOR_HOURS)&gt;TEMP_HOURS_CAP),"",$C242+AE$6-MIN(($D242+AE$5),PERMANENT_FIELD_LABOR_HOURS)*PERMANENT_HOURLY_RATE-MAX(0,($D242+AE$5)-PERMANENT_FIELD_LABOR_HOURS)*TEMP_HOURLY_RATE-FIXED_SEASON_COST)</f>
        <v>27723.4460534014</v>
      </c>
      <c r="AF242" s="53" t="n">
        <f aca="false">IF(OR($A242&gt;TOMATO_BED_CAP,$B242&gt;CARROT_BED_CAP,AF$4&gt;MESCLUN_BED_CAP,$A242+$B242+AF$4&gt;TOTAL_BEDS_AVAILABLE,($D242+AF$5)&gt;TOTAL_LABOR_HOURS_CAP,MAX(0,($D242+AF$5)-PERMANENT_FIELD_LABOR_HOURS)&gt;TEMP_HOURS_CAP),"",$C242+AF$6-MIN(($D242+AF$5),PERMANENT_FIELD_LABOR_HOURS)*PERMANENT_HOURLY_RATE-MAX(0,($D242+AF$5)-PERMANENT_FIELD_LABOR_HOURS)*TEMP_HOURLY_RATE-FIXED_SEASON_COST)</f>
        <v>28131.3835846434</v>
      </c>
      <c r="AG242" s="53" t="n">
        <f aca="false">IF(OR($A242&gt;TOMATO_BED_CAP,$B242&gt;CARROT_BED_CAP,AG$4&gt;MESCLUN_BED_CAP,$A242+$B242+AG$4&gt;TOTAL_BEDS_AVAILABLE,($D242+AG$5)&gt;TOTAL_LABOR_HOURS_CAP,MAX(0,($D242+AG$5)-PERMANENT_FIELD_LABOR_HOURS)&gt;TEMP_HOURS_CAP),"",$C242+AG$6-MIN(($D242+AG$5),PERMANENT_FIELD_LABOR_HOURS)*PERMANENT_HOURLY_RATE-MAX(0,($D242+AG$5)-PERMANENT_FIELD_LABOR_HOURS)*TEMP_HOURLY_RATE-FIXED_SEASON_COST)</f>
        <v>28508.1824741804</v>
      </c>
      <c r="AH242" s="53" t="n">
        <f aca="false">IF(OR($A242&gt;TOMATO_BED_CAP,$B242&gt;CARROT_BED_CAP,AH$4&gt;MESCLUN_BED_CAP,$A242+$B242+AH$4&gt;TOTAL_BEDS_AVAILABLE,($D242+AH$5)&gt;TOTAL_LABOR_HOURS_CAP,MAX(0,($D242+AH$5)-PERMANENT_FIELD_LABOR_HOURS)&gt;TEMP_HOURS_CAP),"",$C242+AH$6-MIN(($D242+AH$5),PERMANENT_FIELD_LABOR_HOURS)*PERMANENT_HOURLY_RATE-MAX(0,($D242+AH$5)-PERMANENT_FIELD_LABOR_HOURS)*TEMP_HOURLY_RATE-FIXED_SEASON_COST)</f>
        <v>28853.2848907306</v>
      </c>
      <c r="AI242" s="53" t="n">
        <f aca="false">IF(OR($A242&gt;TOMATO_BED_CAP,$B242&gt;CARROT_BED_CAP,AI$4&gt;MESCLUN_BED_CAP,$A242+$B242+AI$4&gt;TOTAL_BEDS_AVAILABLE,($D242+AI$5)&gt;TOTAL_LABOR_HOURS_CAP,MAX(0,($D242+AI$5)-PERMANENT_FIELD_LABOR_HOURS)&gt;TEMP_HOURS_CAP),"",$C242+AI$6-MIN(($D242+AI$5),PERMANENT_FIELD_LABOR_HOURS)*PERMANENT_HOURLY_RATE-MAX(0,($D242+AI$5)-PERMANENT_FIELD_LABOR_HOURS)*TEMP_HOURLY_RATE-FIXED_SEASON_COST)</f>
        <v>29166.1239226428</v>
      </c>
      <c r="AJ242" s="53" t="n">
        <f aca="false">IF(OR($A242&gt;TOMATO_BED_CAP,$B242&gt;CARROT_BED_CAP,AJ$4&gt;MESCLUN_BED_CAP,$A242+$B242+AJ$4&gt;TOTAL_BEDS_AVAILABLE,($D242+AJ$5)&gt;TOTAL_LABOR_HOURS_CAP,MAX(0,($D242+AJ$5)-PERMANENT_FIELD_LABOR_HOURS)&gt;TEMP_HOURS_CAP),"",$C242+AJ$6-MIN(($D242+AJ$5),PERMANENT_FIELD_LABOR_HOURS)*PERMANENT_HOURLY_RATE-MAX(0,($D242+AJ$5)-PERMANENT_FIELD_LABOR_HOURS)*TEMP_HOURLY_RATE-FIXED_SEASON_COST)</f>
        <v>29446.1234380486</v>
      </c>
    </row>
    <row r="243" customFormat="false" ht="15" hidden="false" customHeight="false" outlineLevel="0" collapsed="false">
      <c r="A243" s="21" t="n">
        <f aca="false">INT((ROW()-ROW($A$8))/(20+1))</f>
        <v>11</v>
      </c>
      <c r="B243" s="21" t="n">
        <f aca="false">MOD(ROW()-ROW($A$8),20+1)</f>
        <v>4</v>
      </c>
      <c r="C243" s="13" t="n">
        <f aca="false">A243*(TOMATO_REVENUE_PER_BED-TOMATO_FERTILIZER_PER_BED)+B243*(CARROT_REVENUE_PER_BED-CARROT_FERTILIZER_PER_BED)</f>
        <v>93736</v>
      </c>
      <c r="D243" s="14" t="n">
        <f aca="false">INDEX(TOMATO_SCHED_LABOR_HRS,A243+1)+INDEX(CARROT_SCHED_LABOR_HRS,B243+1)</f>
        <v>2956.99010290515</v>
      </c>
      <c r="E243" s="13" t="n">
        <f aca="false">IF(COUNT(F243:AJ243)=0,"",MAX(F243:AJ243))</f>
        <v>30483.4411084391</v>
      </c>
      <c r="F243" s="53" t="n">
        <f aca="false">IF(OR($A243&gt;TOMATO_BED_CAP,$B243&gt;CARROT_BED_CAP,F$4&gt;MESCLUN_BED_CAP,$A243+$B243+F$4&gt;TOTAL_BEDS_AVAILABLE,($D243+F$5)&gt;TOTAL_LABOR_HOURS_CAP,MAX(0,($D243+F$5)-PERMANENT_FIELD_LABOR_HOURS)&gt;TEMP_HOURS_CAP),"",$C243+F$6-MIN(($D243+F$5),PERMANENT_FIELD_LABOR_HOURS)*PERMANENT_HOURLY_RATE-MAX(0,($D243+F$5)-PERMANENT_FIELD_LABOR_HOURS)*TEMP_HOURLY_RATE-FIXED_SEASON_COST)</f>
        <v>9903.45181356656</v>
      </c>
      <c r="G243" s="53" t="n">
        <f aca="false">IF(OR($A243&gt;TOMATO_BED_CAP,$B243&gt;CARROT_BED_CAP,G$4&gt;MESCLUN_BED_CAP,$A243+$B243+G$4&gt;TOTAL_BEDS_AVAILABLE,($D243+G$5)&gt;TOTAL_LABOR_HOURS_CAP,MAX(0,($D243+G$5)-PERMANENT_FIELD_LABOR_HOURS)&gt;TEMP_HOURS_CAP),"",$C243+G$6-MIN(($D243+G$5),PERMANENT_FIELD_LABOR_HOURS)*PERMANENT_HOURLY_RATE-MAX(0,($D243+G$5)-PERMANENT_FIELD_LABOR_HOURS)*TEMP_HOURLY_RATE-FIXED_SEASON_COST)</f>
        <v>10932.4868135666</v>
      </c>
      <c r="H243" s="53" t="n">
        <f aca="false">IF(OR($A243&gt;TOMATO_BED_CAP,$B243&gt;CARROT_BED_CAP,H$4&gt;MESCLUN_BED_CAP,$A243+$B243+H$4&gt;TOTAL_BEDS_AVAILABLE,($D243+H$5)&gt;TOTAL_LABOR_HOURS_CAP,MAX(0,($D243+H$5)-PERMANENT_FIELD_LABOR_HOURS)&gt;TEMP_HOURS_CAP),"",$C243+H$6-MIN(($D243+H$5),PERMANENT_FIELD_LABOR_HOURS)*PERMANENT_HOURLY_RATE-MAX(0,($D243+H$5)-PERMANENT_FIELD_LABOR_HOURS)*TEMP_HOURLY_RATE-FIXED_SEASON_COST)</f>
        <v>11941.7476885666</v>
      </c>
      <c r="I243" s="53" t="n">
        <f aca="false">IF(OR($A243&gt;TOMATO_BED_CAP,$B243&gt;CARROT_BED_CAP,I$4&gt;MESCLUN_BED_CAP,$A243+$B243+I$4&gt;TOTAL_BEDS_AVAILABLE,($D243+I$5)&gt;TOTAL_LABOR_HOURS_CAP,MAX(0,($D243+I$5)-PERMANENT_FIELD_LABOR_HOURS)&gt;TEMP_HOURS_CAP),"",$C243+I$6-MIN(($D243+I$5),PERMANENT_FIELD_LABOR_HOURS)*PERMANENT_HOURLY_RATE-MAX(0,($D243+I$5)-PERMANENT_FIELD_LABOR_HOURS)*TEMP_HOURLY_RATE-FIXED_SEASON_COST)</f>
        <v>12930.8636737228</v>
      </c>
      <c r="J243" s="53" t="n">
        <f aca="false">IF(OR($A243&gt;TOMATO_BED_CAP,$B243&gt;CARROT_BED_CAP,J$4&gt;MESCLUN_BED_CAP,$A243+$B243+J$4&gt;TOTAL_BEDS_AVAILABLE,($D243+J$5)&gt;TOTAL_LABOR_HOURS_CAP,MAX(0,($D243+J$5)-PERMANENT_FIELD_LABOR_HOURS)&gt;TEMP_HOURS_CAP),"",$C243+J$6-MIN(($D243+J$5),PERMANENT_FIELD_LABOR_HOURS)*PERMANENT_HOURLY_RATE-MAX(0,($D243+J$5)-PERMANENT_FIELD_LABOR_HOURS)*TEMP_HOURLY_RATE-FIXED_SEASON_COST)</f>
        <v>13899.4578247775</v>
      </c>
      <c r="K243" s="53" t="n">
        <f aca="false">IF(OR($A243&gt;TOMATO_BED_CAP,$B243&gt;CARROT_BED_CAP,K$4&gt;MESCLUN_BED_CAP,$A243+$B243+K$4&gt;TOTAL_BEDS_AVAILABLE,($D243+K$5)&gt;TOTAL_LABOR_HOURS_CAP,MAX(0,($D243+K$5)-PERMANENT_FIELD_LABOR_HOURS)&gt;TEMP_HOURS_CAP),"",$C243+K$6-MIN(($D243+K$5),PERMANENT_FIELD_LABOR_HOURS)*PERMANENT_HOURLY_RATE-MAX(0,($D243+K$5)-PERMANENT_FIELD_LABOR_HOURS)*TEMP_HOURLY_RATE-FIXED_SEASON_COST)</f>
        <v>14847.1469215054</v>
      </c>
      <c r="L243" s="53" t="n">
        <f aca="false">IF(OR($A243&gt;TOMATO_BED_CAP,$B243&gt;CARROT_BED_CAP,L$4&gt;MESCLUN_BED_CAP,$A243+$B243+L$4&gt;TOTAL_BEDS_AVAILABLE,($D243+L$5)&gt;TOTAL_LABOR_HOURS_CAP,MAX(0,($D243+L$5)-PERMANENT_FIELD_LABOR_HOURS)&gt;TEMP_HOURS_CAP),"",$C243+L$6-MIN(($D243+L$5),PERMANENT_FIELD_LABOR_HOURS)*PERMANENT_HOURLY_RATE-MAX(0,($D243+L$5)-PERMANENT_FIELD_LABOR_HOURS)*TEMP_HOURLY_RATE-FIXED_SEASON_COST)</f>
        <v>15773.5413697123</v>
      </c>
      <c r="M243" s="53" t="n">
        <f aca="false">IF(OR($A243&gt;TOMATO_BED_CAP,$B243&gt;CARROT_BED_CAP,M$4&gt;MESCLUN_BED_CAP,$A243+$B243+M$4&gt;TOTAL_BEDS_AVAILABLE,($D243+M$5)&gt;TOTAL_LABOR_HOURS_CAP,MAX(0,($D243+M$5)-PERMANENT_FIELD_LABOR_HOURS)&gt;TEMP_HOURS_CAP),"",$C243+M$6-MIN(($D243+M$5),PERMANENT_FIELD_LABOR_HOURS)*PERMANENT_HOURLY_RATE-MAX(0,($D243+M$5)-PERMANENT_FIELD_LABOR_HOURS)*TEMP_HOURLY_RATE-FIXED_SEASON_COST)</f>
        <v>16678.2451017637</v>
      </c>
      <c r="N243" s="53" t="n">
        <f aca="false">IF(OR($A243&gt;TOMATO_BED_CAP,$B243&gt;CARROT_BED_CAP,N$4&gt;MESCLUN_BED_CAP,$A243+$B243+N$4&gt;TOTAL_BEDS_AVAILABLE,($D243+N$5)&gt;TOTAL_LABOR_HOURS_CAP,MAX(0,($D243+N$5)-PERMANENT_FIELD_LABOR_HOURS)&gt;TEMP_HOURS_CAP),"",$C243+N$6-MIN(($D243+N$5),PERMANENT_FIELD_LABOR_HOURS)*PERMANENT_HOURLY_RATE-MAX(0,($D243+N$5)-PERMANENT_FIELD_LABOR_HOURS)*TEMP_HOURLY_RATE-FIXED_SEASON_COST)</f>
        <v>17560.8554756232</v>
      </c>
      <c r="O243" s="53" t="n">
        <f aca="false">IF(OR($A243&gt;TOMATO_BED_CAP,$B243&gt;CARROT_BED_CAP,O$4&gt;MESCLUN_BED_CAP,$A243+$B243+O$4&gt;TOTAL_BEDS_AVAILABLE,($D243+O$5)&gt;TOTAL_LABOR_HOURS_CAP,MAX(0,($D243+O$5)-PERMANENT_FIELD_LABOR_HOURS)&gt;TEMP_HOURS_CAP),"",$C243+O$6-MIN(($D243+O$5),PERMANENT_FIELD_LABOR_HOURS)*PERMANENT_HOURLY_RATE-MAX(0,($D243+O$5)-PERMANENT_FIELD_LABOR_HOURS)*TEMP_HOURLY_RATE-FIXED_SEASON_COST)</f>
        <v>18420.963172378</v>
      </c>
      <c r="P243" s="53" t="n">
        <f aca="false">IF(OR($A243&gt;TOMATO_BED_CAP,$B243&gt;CARROT_BED_CAP,P$4&gt;MESCLUN_BED_CAP,$A243+$B243+P$4&gt;TOTAL_BEDS_AVAILABLE,($D243+P$5)&gt;TOTAL_LABOR_HOURS_CAP,MAX(0,($D243+P$5)-PERMANENT_FIELD_LABOR_HOURS)&gt;TEMP_HOURS_CAP),"",$C243+P$6-MIN(($D243+P$5),PERMANENT_FIELD_LABOR_HOURS)*PERMANENT_HOURLY_RATE-MAX(0,($D243+P$5)-PERMANENT_FIELD_LABOR_HOURS)*TEMP_HOURLY_RATE-FIXED_SEASON_COST)</f>
        <v>19258.1520922294</v>
      </c>
      <c r="Q243" s="53" t="n">
        <f aca="false">IF(OR($A243&gt;TOMATO_BED_CAP,$B243&gt;CARROT_BED_CAP,Q$4&gt;MESCLUN_BED_CAP,$A243+$B243+Q$4&gt;TOTAL_BEDS_AVAILABLE,($D243+Q$5)&gt;TOTAL_LABOR_HOURS_CAP,MAX(0,($D243+Q$5)-PERMANENT_FIELD_LABOR_HOURS)&gt;TEMP_HOURS_CAP),"",$C243+Q$6-MIN(($D243+Q$5),PERMANENT_FIELD_LABOR_HOURS)*PERMANENT_HOURLY_RATE-MAX(0,($D243+Q$5)-PERMANENT_FIELD_LABOR_HOURS)*TEMP_HOURLY_RATE-FIXED_SEASON_COST)</f>
        <v>20071.9992489273</v>
      </c>
      <c r="R243" s="53" t="n">
        <f aca="false">IF(OR($A243&gt;TOMATO_BED_CAP,$B243&gt;CARROT_BED_CAP,R$4&gt;MESCLUN_BED_CAP,$A243+$B243+R$4&gt;TOTAL_BEDS_AVAILABLE,($D243+R$5)&gt;TOTAL_LABOR_HOURS_CAP,MAX(0,($D243+R$5)-PERMANENT_FIELD_LABOR_HOURS)&gt;TEMP_HOURS_CAP),"",$C243+R$6-MIN(($D243+R$5),PERMANENT_FIELD_LABOR_HOURS)*PERMANENT_HOURLY_RATE-MAX(0,($D243+R$5)-PERMANENT_FIELD_LABOR_HOURS)*TEMP_HOURLY_RATE-FIXED_SEASON_COST)</f>
        <v>20862.0746626241</v>
      </c>
      <c r="S243" s="53" t="n">
        <f aca="false">IF(OR($A243&gt;TOMATO_BED_CAP,$B243&gt;CARROT_BED_CAP,S$4&gt;MESCLUN_BED_CAP,$A243+$B243+S$4&gt;TOTAL_BEDS_AVAILABLE,($D243+S$5)&gt;TOTAL_LABOR_HOURS_CAP,MAX(0,($D243+S$5)-PERMANENT_FIELD_LABOR_HOURS)&gt;TEMP_HOURS_CAP),"",$C243+S$6-MIN(($D243+S$5),PERMANENT_FIELD_LABOR_HOURS)*PERMANENT_HOURLY_RATE-MAX(0,($D243+S$5)-PERMANENT_FIELD_LABOR_HOURS)*TEMP_HOURLY_RATE-FIXED_SEASON_COST)</f>
        <v>21627.9412511265</v>
      </c>
      <c r="T243" s="53" t="n">
        <f aca="false">IF(OR($A243&gt;TOMATO_BED_CAP,$B243&gt;CARROT_BED_CAP,T$4&gt;MESCLUN_BED_CAP,$A243+$B243+T$4&gt;TOTAL_BEDS_AVAILABLE,($D243+T$5)&gt;TOTAL_LABOR_HOURS_CAP,MAX(0,($D243+T$5)-PERMANENT_FIELD_LABOR_HOURS)&gt;TEMP_HOURS_CAP),"",$C243+T$6-MIN(($D243+T$5),PERMANENT_FIELD_LABOR_HOURS)*PERMANENT_HOURLY_RATE-MAX(0,($D243+T$5)-PERMANENT_FIELD_LABOR_HOURS)*TEMP_HOURLY_RATE-FIXED_SEASON_COST)</f>
        <v>22369.1547195214</v>
      </c>
      <c r="U243" s="53" t="n">
        <f aca="false">IF(OR($A243&gt;TOMATO_BED_CAP,$B243&gt;CARROT_BED_CAP,U$4&gt;MESCLUN_BED_CAP,$A243+$B243+U$4&gt;TOTAL_BEDS_AVAILABLE,($D243+U$5)&gt;TOTAL_LABOR_HOURS_CAP,MAX(0,($D243+U$5)-PERMANENT_FIELD_LABOR_HOURS)&gt;TEMP_HOURS_CAP),"",$C243+U$6-MIN(($D243+U$5),PERMANENT_FIELD_LABOR_HOURS)*PERMANENT_HOURLY_RATE-MAX(0,($D243+U$5)-PERMANENT_FIELD_LABOR_HOURS)*TEMP_HOURLY_RATE-FIXED_SEASON_COST)</f>
        <v>23085.2634481515</v>
      </c>
      <c r="V243" s="53" t="n">
        <f aca="false">IF(OR($A243&gt;TOMATO_BED_CAP,$B243&gt;CARROT_BED_CAP,V$4&gt;MESCLUN_BED_CAP,$A243+$B243+V$4&gt;TOTAL_BEDS_AVAILABLE,($D243+V$5)&gt;TOTAL_LABOR_HOURS_CAP,MAX(0,($D243+V$5)-PERMANENT_FIELD_LABOR_HOURS)&gt;TEMP_HOURS_CAP),"",$C243+V$6-MIN(($D243+V$5),PERMANENT_FIELD_LABOR_HOURS)*PERMANENT_HOURLY_RATE-MAX(0,($D243+V$5)-PERMANENT_FIELD_LABOR_HOURS)*TEMP_HOURLY_RATE-FIXED_SEASON_COST)</f>
        <v>23775.8083789183</v>
      </c>
      <c r="W243" s="53" t="n">
        <f aca="false">IF(OR($A243&gt;TOMATO_BED_CAP,$B243&gt;CARROT_BED_CAP,W$4&gt;MESCLUN_BED_CAP,$A243+$B243+W$4&gt;TOTAL_BEDS_AVAILABLE,($D243+W$5)&gt;TOTAL_LABOR_HOURS_CAP,MAX(0,($D243+W$5)-PERMANENT_FIELD_LABOR_HOURS)&gt;TEMP_HOURS_CAP),"",$C243+W$6-MIN(($D243+W$5),PERMANENT_FIELD_LABOR_HOURS)*PERMANENT_HOURLY_RATE-MAX(0,($D243+W$5)-PERMANENT_FIELD_LABOR_HOURS)*TEMP_HOURLY_RATE-FIXED_SEASON_COST)</f>
        <v>24440.3228998863</v>
      </c>
      <c r="X243" s="53" t="n">
        <f aca="false">IF(OR($A243&gt;TOMATO_BED_CAP,$B243&gt;CARROT_BED_CAP,X$4&gt;MESCLUN_BED_CAP,$A243+$B243+X$4&gt;TOTAL_BEDS_AVAILABLE,($D243+X$5)&gt;TOTAL_LABOR_HOURS_CAP,MAX(0,($D243+X$5)-PERMANENT_FIELD_LABOR_HOURS)&gt;TEMP_HOURS_CAP),"",$C243+X$6-MIN(($D243+X$5),PERMANENT_FIELD_LABOR_HOURS)*PERMANENT_HOURLY_RATE-MAX(0,($D243+X$5)-PERMANENT_FIELD_LABOR_HOURS)*TEMP_HOURLY_RATE-FIXED_SEASON_COST)</f>
        <v>25078.3327281653</v>
      </c>
      <c r="Y243" s="53" t="n">
        <f aca="false">IF(OR($A243&gt;TOMATO_BED_CAP,$B243&gt;CARROT_BED_CAP,Y$4&gt;MESCLUN_BED_CAP,$A243+$B243+Y$4&gt;TOTAL_BEDS_AVAILABLE,($D243+Y$5)&gt;TOTAL_LABOR_HOURS_CAP,MAX(0,($D243+Y$5)-PERMANENT_FIELD_LABOR_HOURS)&gt;TEMP_HOURS_CAP),"",$C243+Y$6-MIN(($D243+Y$5),PERMANENT_FIELD_LABOR_HOURS)*PERMANENT_HOURLY_RATE-MAX(0,($D243+Y$5)-PERMANENT_FIELD_LABOR_HOURS)*TEMP_HOURLY_RATE-FIXED_SEASON_COST)</f>
        <v>25689.3557910439</v>
      </c>
      <c r="Z243" s="53" t="n">
        <f aca="false">IF(OR($A243&gt;TOMATO_BED_CAP,$B243&gt;CARROT_BED_CAP,Z$4&gt;MESCLUN_BED_CAP,$A243+$B243+Z$4&gt;TOTAL_BEDS_AVAILABLE,($D243+Z$5)&gt;TOTAL_LABOR_HOURS_CAP,MAX(0,($D243+Z$5)-PERMANENT_FIELD_LABOR_HOURS)&gt;TEMP_HOURS_CAP),"",$C243+Z$6-MIN(($D243+Z$5),PERMANENT_FIELD_LABOR_HOURS)*PERMANENT_HOURLY_RATE-MAX(0,($D243+Z$5)-PERMANENT_FIELD_LABOR_HOURS)*TEMP_HOURLY_RATE-FIXED_SEASON_COST)</f>
        <v>26272.9021053516</v>
      </c>
      <c r="AA243" s="53" t="n">
        <f aca="false">IF(OR($A243&gt;TOMATO_BED_CAP,$B243&gt;CARROT_BED_CAP,AA$4&gt;MESCLUN_BED_CAP,$A243+$B243+AA$4&gt;TOTAL_BEDS_AVAILABLE,($D243+AA$5)&gt;TOTAL_LABOR_HOURS_CAP,MAX(0,($D243+AA$5)-PERMANENT_FIELD_LABOR_HOURS)&gt;TEMP_HOURS_CAP),"",$C243+AA$6-MIN(($D243+AA$5),PERMANENT_FIELD_LABOR_HOURS)*PERMANENT_HOURLY_RATE-MAX(0,($D243+AA$5)-PERMANENT_FIELD_LABOR_HOURS)*TEMP_HOURLY_RATE-FIXED_SEASON_COST)</f>
        <v>26828.4736550206</v>
      </c>
      <c r="AB243" s="53" t="n">
        <f aca="false">IF(OR($A243&gt;TOMATO_BED_CAP,$B243&gt;CARROT_BED_CAP,AB$4&gt;MESCLUN_BED_CAP,$A243+$B243+AB$4&gt;TOTAL_BEDS_AVAILABLE,($D243+AB$5)&gt;TOTAL_LABOR_HOURS_CAP,MAX(0,($D243+AB$5)-PERMANENT_FIELD_LABOR_HOURS)&gt;TEMP_HOURS_CAP),"",$C243+AB$6-MIN(($D243+AB$5),PERMANENT_FIELD_LABOR_HOURS)*PERMANENT_HOURLY_RATE-MAX(0,($D243+AB$5)-PERMANENT_FIELD_LABOR_HOURS)*TEMP_HOURLY_RATE-FIXED_SEASON_COST)</f>
        <v>27355.5642668232</v>
      </c>
      <c r="AC243" s="53" t="n">
        <f aca="false">IF(OR($A243&gt;TOMATO_BED_CAP,$B243&gt;CARROT_BED_CAP,AC$4&gt;MESCLUN_BED_CAP,$A243+$B243+AC$4&gt;TOTAL_BEDS_AVAILABLE,($D243+AC$5)&gt;TOTAL_LABOR_HOURS_CAP,MAX(0,($D243+AC$5)-PERMANENT_FIELD_LABOR_HOURS)&gt;TEMP_HOURS_CAP),"",$C243+AC$6-MIN(($D243+AC$5),PERMANENT_FIELD_LABOR_HOURS)*PERMANENT_HOURLY_RATE-MAX(0,($D243+AC$5)-PERMANENT_FIELD_LABOR_HOURS)*TEMP_HOURLY_RATE-FIXED_SEASON_COST)</f>
        <v>27853.6594842581</v>
      </c>
      <c r="AD243" s="53" t="n">
        <f aca="false">IF(OR($A243&gt;TOMATO_BED_CAP,$B243&gt;CARROT_BED_CAP,AD$4&gt;MESCLUN_BED_CAP,$A243+$B243+AD$4&gt;TOTAL_BEDS_AVAILABLE,($D243+AD$5)&gt;TOTAL_LABOR_HOURS_CAP,MAX(0,($D243+AD$5)-PERMANENT_FIELD_LABOR_HOURS)&gt;TEMP_HOURS_CAP),"",$C243+AD$6-MIN(($D243+AD$5),PERMANENT_FIELD_LABOR_HOURS)*PERMANENT_HOURLY_RATE-MAX(0,($D243+AD$5)-PERMANENT_FIELD_LABOR_HOURS)*TEMP_HOURLY_RATE-FIXED_SEASON_COST)</f>
        <v>28322.236439558</v>
      </c>
      <c r="AE243" s="53" t="n">
        <f aca="false">IF(OR($A243&gt;TOMATO_BED_CAP,$B243&gt;CARROT_BED_CAP,AE$4&gt;MESCLUN_BED_CAP,$A243+$B243+AE$4&gt;TOTAL_BEDS_AVAILABLE,($D243+AE$5)&gt;TOTAL_LABOR_HOURS_CAP,MAX(0,($D243+AE$5)-PERMANENT_FIELD_LABOR_HOURS)&gt;TEMP_HOURS_CAP),"",$C243+AE$6-MIN(($D243+AE$5),PERMANENT_FIELD_LABOR_HOURS)*PERMANENT_HOURLY_RATE-MAX(0,($D243+AE$5)-PERMANENT_FIELD_LABOR_HOURS)*TEMP_HOURLY_RATE-FIXED_SEASON_COST)</f>
        <v>28760.7637237919</v>
      </c>
      <c r="AF243" s="53" t="n">
        <f aca="false">IF(OR($A243&gt;TOMATO_BED_CAP,$B243&gt;CARROT_BED_CAP,AF$4&gt;MESCLUN_BED_CAP,$A243+$B243+AF$4&gt;TOTAL_BEDS_AVAILABLE,($D243+AF$5)&gt;TOTAL_LABOR_HOURS_CAP,MAX(0,($D243+AF$5)-PERMANENT_FIELD_LABOR_HOURS)&gt;TEMP_HOURS_CAP),"",$C243+AF$6-MIN(($D243+AF$5),PERMANENT_FIELD_LABOR_HOURS)*PERMANENT_HOURLY_RATE-MAX(0,($D243+AF$5)-PERMANENT_FIELD_LABOR_HOURS)*TEMP_HOURLY_RATE-FIXED_SEASON_COST)</f>
        <v>29168.7012550339</v>
      </c>
      <c r="AG243" s="53" t="n">
        <f aca="false">IF(OR($A243&gt;TOMATO_BED_CAP,$B243&gt;CARROT_BED_CAP,AG$4&gt;MESCLUN_BED_CAP,$A243+$B243+AG$4&gt;TOTAL_BEDS_AVAILABLE,($D243+AG$5)&gt;TOTAL_LABOR_HOURS_CAP,MAX(0,($D243+AG$5)-PERMANENT_FIELD_LABOR_HOURS)&gt;TEMP_HOURS_CAP),"",$C243+AG$6-MIN(($D243+AG$5),PERMANENT_FIELD_LABOR_HOURS)*PERMANENT_HOURLY_RATE-MAX(0,($D243+AG$5)-PERMANENT_FIELD_LABOR_HOURS)*TEMP_HOURLY_RATE-FIXED_SEASON_COST)</f>
        <v>29545.5001445709</v>
      </c>
      <c r="AH243" s="53" t="n">
        <f aca="false">IF(OR($A243&gt;TOMATO_BED_CAP,$B243&gt;CARROT_BED_CAP,AH$4&gt;MESCLUN_BED_CAP,$A243+$B243+AH$4&gt;TOTAL_BEDS_AVAILABLE,($D243+AH$5)&gt;TOTAL_LABOR_HOURS_CAP,MAX(0,($D243+AH$5)-PERMANENT_FIELD_LABOR_HOURS)&gt;TEMP_HOURS_CAP),"",$C243+AH$6-MIN(($D243+AH$5),PERMANENT_FIELD_LABOR_HOURS)*PERMANENT_HOURLY_RATE-MAX(0,($D243+AH$5)-PERMANENT_FIELD_LABOR_HOURS)*TEMP_HOURLY_RATE-FIXED_SEASON_COST)</f>
        <v>29890.6025611211</v>
      </c>
      <c r="AI243" s="53" t="n">
        <f aca="false">IF(OR($A243&gt;TOMATO_BED_CAP,$B243&gt;CARROT_BED_CAP,AI$4&gt;MESCLUN_BED_CAP,$A243+$B243+AI$4&gt;TOTAL_BEDS_AVAILABLE,($D243+AI$5)&gt;TOTAL_LABOR_HOURS_CAP,MAX(0,($D243+AI$5)-PERMANENT_FIELD_LABOR_HOURS)&gt;TEMP_HOURS_CAP),"",$C243+AI$6-MIN(($D243+AI$5),PERMANENT_FIELD_LABOR_HOURS)*PERMANENT_HOURLY_RATE-MAX(0,($D243+AI$5)-PERMANENT_FIELD_LABOR_HOURS)*TEMP_HOURLY_RATE-FIXED_SEASON_COST)</f>
        <v>30203.4415930334</v>
      </c>
      <c r="AJ243" s="53" t="n">
        <f aca="false">IF(OR($A243&gt;TOMATO_BED_CAP,$B243&gt;CARROT_BED_CAP,AJ$4&gt;MESCLUN_BED_CAP,$A243+$B243+AJ$4&gt;TOTAL_BEDS_AVAILABLE,($D243+AJ$5)&gt;TOTAL_LABOR_HOURS_CAP,MAX(0,($D243+AJ$5)-PERMANENT_FIELD_LABOR_HOURS)&gt;TEMP_HOURS_CAP),"",$C243+AJ$6-MIN(($D243+AJ$5),PERMANENT_FIELD_LABOR_HOURS)*PERMANENT_HOURLY_RATE-MAX(0,($D243+AJ$5)-PERMANENT_FIELD_LABOR_HOURS)*TEMP_HOURLY_RATE-FIXED_SEASON_COST)</f>
        <v>30483.4411084391</v>
      </c>
    </row>
    <row r="244" customFormat="false" ht="15" hidden="false" customHeight="false" outlineLevel="0" collapsed="false">
      <c r="A244" s="21" t="n">
        <f aca="false">INT((ROW()-ROW($A$8))/(20+1))</f>
        <v>11</v>
      </c>
      <c r="B244" s="21" t="n">
        <f aca="false">MOD(ROW()-ROW($A$8),20+1)</f>
        <v>5</v>
      </c>
      <c r="C244" s="13" t="n">
        <f aca="false">A244*(TOMATO_REVENUE_PER_BED-TOMATO_FERTILIZER_PER_BED)+B244*(CARROT_REVENUE_PER_BED-CARROT_FERTILIZER_PER_BED)</f>
        <v>95390</v>
      </c>
      <c r="D244" s="14" t="n">
        <f aca="false">INDEX(TOMATO_SCHED_LABOR_HRS,A244+1)+INDEX(CARROT_SCHED_LABOR_HRS,B244+1)</f>
        <v>2994.22888648972</v>
      </c>
      <c r="E244" s="13" t="n">
        <f aca="false">IF(COUNT(F244:AJ244)=0,"",MAX(F244:AJ244))</f>
        <v>31490.975825411</v>
      </c>
      <c r="F244" s="53" t="n">
        <f aca="false">IF(OR($A244&gt;TOMATO_BED_CAP,$B244&gt;CARROT_BED_CAP,F$4&gt;MESCLUN_BED_CAP,$A244+$B244+F$4&gt;TOTAL_BEDS_AVAILABLE,($D244+F$5)&gt;TOTAL_LABOR_HOURS_CAP,MAX(0,($D244+F$5)-PERMANENT_FIELD_LABOR_HOURS)&gt;TEMP_HOURS_CAP),"",$C244+F$6-MIN(($D244+F$5),PERMANENT_FIELD_LABOR_HOURS)*PERMANENT_HOURLY_RATE-MAX(0,($D244+F$5)-PERMANENT_FIELD_LABOR_HOURS)*TEMP_HOURLY_RATE-FIXED_SEASON_COST)</f>
        <v>10910.9865305384</v>
      </c>
      <c r="G244" s="53" t="n">
        <f aca="false">IF(OR($A244&gt;TOMATO_BED_CAP,$B244&gt;CARROT_BED_CAP,G$4&gt;MESCLUN_BED_CAP,$A244+$B244+G$4&gt;TOTAL_BEDS_AVAILABLE,($D244+G$5)&gt;TOTAL_LABOR_HOURS_CAP,MAX(0,($D244+G$5)-PERMANENT_FIELD_LABOR_HOURS)&gt;TEMP_HOURS_CAP),"",$C244+G$6-MIN(($D244+G$5),PERMANENT_FIELD_LABOR_HOURS)*PERMANENT_HOURLY_RATE-MAX(0,($D244+G$5)-PERMANENT_FIELD_LABOR_HOURS)*TEMP_HOURLY_RATE-FIXED_SEASON_COST)</f>
        <v>11940.0215305384</v>
      </c>
      <c r="H244" s="53" t="n">
        <f aca="false">IF(OR($A244&gt;TOMATO_BED_CAP,$B244&gt;CARROT_BED_CAP,H$4&gt;MESCLUN_BED_CAP,$A244+$B244+H$4&gt;TOTAL_BEDS_AVAILABLE,($D244+H$5)&gt;TOTAL_LABOR_HOURS_CAP,MAX(0,($D244+H$5)-PERMANENT_FIELD_LABOR_HOURS)&gt;TEMP_HOURS_CAP),"",$C244+H$6-MIN(($D244+H$5),PERMANENT_FIELD_LABOR_HOURS)*PERMANENT_HOURLY_RATE-MAX(0,($D244+H$5)-PERMANENT_FIELD_LABOR_HOURS)*TEMP_HOURLY_RATE-FIXED_SEASON_COST)</f>
        <v>12949.2824055384</v>
      </c>
      <c r="I244" s="53" t="n">
        <f aca="false">IF(OR($A244&gt;TOMATO_BED_CAP,$B244&gt;CARROT_BED_CAP,I$4&gt;MESCLUN_BED_CAP,$A244+$B244+I$4&gt;TOTAL_BEDS_AVAILABLE,($D244+I$5)&gt;TOTAL_LABOR_HOURS_CAP,MAX(0,($D244+I$5)-PERMANENT_FIELD_LABOR_HOURS)&gt;TEMP_HOURS_CAP),"",$C244+I$6-MIN(($D244+I$5),PERMANENT_FIELD_LABOR_HOURS)*PERMANENT_HOURLY_RATE-MAX(0,($D244+I$5)-PERMANENT_FIELD_LABOR_HOURS)*TEMP_HOURLY_RATE-FIXED_SEASON_COST)</f>
        <v>13938.3983906947</v>
      </c>
      <c r="J244" s="53" t="n">
        <f aca="false">IF(OR($A244&gt;TOMATO_BED_CAP,$B244&gt;CARROT_BED_CAP,J$4&gt;MESCLUN_BED_CAP,$A244+$B244+J$4&gt;TOTAL_BEDS_AVAILABLE,($D244+J$5)&gt;TOTAL_LABOR_HOURS_CAP,MAX(0,($D244+J$5)-PERMANENT_FIELD_LABOR_HOURS)&gt;TEMP_HOURS_CAP),"",$C244+J$6-MIN(($D244+J$5),PERMANENT_FIELD_LABOR_HOURS)*PERMANENT_HOURLY_RATE-MAX(0,($D244+J$5)-PERMANENT_FIELD_LABOR_HOURS)*TEMP_HOURLY_RATE-FIXED_SEASON_COST)</f>
        <v>14906.9925417494</v>
      </c>
      <c r="K244" s="53" t="n">
        <f aca="false">IF(OR($A244&gt;TOMATO_BED_CAP,$B244&gt;CARROT_BED_CAP,K$4&gt;MESCLUN_BED_CAP,$A244+$B244+K$4&gt;TOTAL_BEDS_AVAILABLE,($D244+K$5)&gt;TOTAL_LABOR_HOURS_CAP,MAX(0,($D244+K$5)-PERMANENT_FIELD_LABOR_HOURS)&gt;TEMP_HOURS_CAP),"",$C244+K$6-MIN(($D244+K$5),PERMANENT_FIELD_LABOR_HOURS)*PERMANENT_HOURLY_RATE-MAX(0,($D244+K$5)-PERMANENT_FIELD_LABOR_HOURS)*TEMP_HOURLY_RATE-FIXED_SEASON_COST)</f>
        <v>15854.6816384773</v>
      </c>
      <c r="L244" s="53" t="n">
        <f aca="false">IF(OR($A244&gt;TOMATO_BED_CAP,$B244&gt;CARROT_BED_CAP,L$4&gt;MESCLUN_BED_CAP,$A244+$B244+L$4&gt;TOTAL_BEDS_AVAILABLE,($D244+L$5)&gt;TOTAL_LABOR_HOURS_CAP,MAX(0,($D244+L$5)-PERMANENT_FIELD_LABOR_HOURS)&gt;TEMP_HOURS_CAP),"",$C244+L$6-MIN(($D244+L$5),PERMANENT_FIELD_LABOR_HOURS)*PERMANENT_HOURLY_RATE-MAX(0,($D244+L$5)-PERMANENT_FIELD_LABOR_HOURS)*TEMP_HOURLY_RATE-FIXED_SEASON_COST)</f>
        <v>16781.0760866841</v>
      </c>
      <c r="M244" s="53" t="n">
        <f aca="false">IF(OR($A244&gt;TOMATO_BED_CAP,$B244&gt;CARROT_BED_CAP,M$4&gt;MESCLUN_BED_CAP,$A244+$B244+M$4&gt;TOTAL_BEDS_AVAILABLE,($D244+M$5)&gt;TOTAL_LABOR_HOURS_CAP,MAX(0,($D244+M$5)-PERMANENT_FIELD_LABOR_HOURS)&gt;TEMP_HOURS_CAP),"",$C244+M$6-MIN(($D244+M$5),PERMANENT_FIELD_LABOR_HOURS)*PERMANENT_HOURLY_RATE-MAX(0,($D244+M$5)-PERMANENT_FIELD_LABOR_HOURS)*TEMP_HOURLY_RATE-FIXED_SEASON_COST)</f>
        <v>17685.7798187355</v>
      </c>
      <c r="N244" s="53" t="n">
        <f aca="false">IF(OR($A244&gt;TOMATO_BED_CAP,$B244&gt;CARROT_BED_CAP,N$4&gt;MESCLUN_BED_CAP,$A244+$B244+N$4&gt;TOTAL_BEDS_AVAILABLE,($D244+N$5)&gt;TOTAL_LABOR_HOURS_CAP,MAX(0,($D244+N$5)-PERMANENT_FIELD_LABOR_HOURS)&gt;TEMP_HOURS_CAP),"",$C244+N$6-MIN(($D244+N$5),PERMANENT_FIELD_LABOR_HOURS)*PERMANENT_HOURLY_RATE-MAX(0,($D244+N$5)-PERMANENT_FIELD_LABOR_HOURS)*TEMP_HOURLY_RATE-FIXED_SEASON_COST)</f>
        <v>18568.3901925951</v>
      </c>
      <c r="O244" s="53" t="n">
        <f aca="false">IF(OR($A244&gt;TOMATO_BED_CAP,$B244&gt;CARROT_BED_CAP,O$4&gt;MESCLUN_BED_CAP,$A244+$B244+O$4&gt;TOTAL_BEDS_AVAILABLE,($D244+O$5)&gt;TOTAL_LABOR_HOURS_CAP,MAX(0,($D244+O$5)-PERMANENT_FIELD_LABOR_HOURS)&gt;TEMP_HOURS_CAP),"",$C244+O$6-MIN(($D244+O$5),PERMANENT_FIELD_LABOR_HOURS)*PERMANENT_HOURLY_RATE-MAX(0,($D244+O$5)-PERMANENT_FIELD_LABOR_HOURS)*TEMP_HOURLY_RATE-FIXED_SEASON_COST)</f>
        <v>19428.4978893498</v>
      </c>
      <c r="P244" s="53" t="n">
        <f aca="false">IF(OR($A244&gt;TOMATO_BED_CAP,$B244&gt;CARROT_BED_CAP,P$4&gt;MESCLUN_BED_CAP,$A244+$B244+P$4&gt;TOTAL_BEDS_AVAILABLE,($D244+P$5)&gt;TOTAL_LABOR_HOURS_CAP,MAX(0,($D244+P$5)-PERMANENT_FIELD_LABOR_HOURS)&gt;TEMP_HOURS_CAP),"",$C244+P$6-MIN(($D244+P$5),PERMANENT_FIELD_LABOR_HOURS)*PERMANENT_HOURLY_RATE-MAX(0,($D244+P$5)-PERMANENT_FIELD_LABOR_HOURS)*TEMP_HOURLY_RATE-FIXED_SEASON_COST)</f>
        <v>20265.6868092012</v>
      </c>
      <c r="Q244" s="53" t="n">
        <f aca="false">IF(OR($A244&gt;TOMATO_BED_CAP,$B244&gt;CARROT_BED_CAP,Q$4&gt;MESCLUN_BED_CAP,$A244+$B244+Q$4&gt;TOTAL_BEDS_AVAILABLE,($D244+Q$5)&gt;TOTAL_LABOR_HOURS_CAP,MAX(0,($D244+Q$5)-PERMANENT_FIELD_LABOR_HOURS)&gt;TEMP_HOURS_CAP),"",$C244+Q$6-MIN(($D244+Q$5),PERMANENT_FIELD_LABOR_HOURS)*PERMANENT_HOURLY_RATE-MAX(0,($D244+Q$5)-PERMANENT_FIELD_LABOR_HOURS)*TEMP_HOURLY_RATE-FIXED_SEASON_COST)</f>
        <v>21079.5339658991</v>
      </c>
      <c r="R244" s="53" t="n">
        <f aca="false">IF(OR($A244&gt;TOMATO_BED_CAP,$B244&gt;CARROT_BED_CAP,R$4&gt;MESCLUN_BED_CAP,$A244+$B244+R$4&gt;TOTAL_BEDS_AVAILABLE,($D244+R$5)&gt;TOTAL_LABOR_HOURS_CAP,MAX(0,($D244+R$5)-PERMANENT_FIELD_LABOR_HOURS)&gt;TEMP_HOURS_CAP),"",$C244+R$6-MIN(($D244+R$5),PERMANENT_FIELD_LABOR_HOURS)*PERMANENT_HOURLY_RATE-MAX(0,($D244+R$5)-PERMANENT_FIELD_LABOR_HOURS)*TEMP_HOURLY_RATE-FIXED_SEASON_COST)</f>
        <v>21869.6093795959</v>
      </c>
      <c r="S244" s="53" t="n">
        <f aca="false">IF(OR($A244&gt;TOMATO_BED_CAP,$B244&gt;CARROT_BED_CAP,S$4&gt;MESCLUN_BED_CAP,$A244+$B244+S$4&gt;TOTAL_BEDS_AVAILABLE,($D244+S$5)&gt;TOTAL_LABOR_HOURS_CAP,MAX(0,($D244+S$5)-PERMANENT_FIELD_LABOR_HOURS)&gt;TEMP_HOURS_CAP),"",$C244+S$6-MIN(($D244+S$5),PERMANENT_FIELD_LABOR_HOURS)*PERMANENT_HOURLY_RATE-MAX(0,($D244+S$5)-PERMANENT_FIELD_LABOR_HOURS)*TEMP_HOURLY_RATE-FIXED_SEASON_COST)</f>
        <v>22635.4759680984</v>
      </c>
      <c r="T244" s="53" t="n">
        <f aca="false">IF(OR($A244&gt;TOMATO_BED_CAP,$B244&gt;CARROT_BED_CAP,T$4&gt;MESCLUN_BED_CAP,$A244+$B244+T$4&gt;TOTAL_BEDS_AVAILABLE,($D244+T$5)&gt;TOTAL_LABOR_HOURS_CAP,MAX(0,($D244+T$5)-PERMANENT_FIELD_LABOR_HOURS)&gt;TEMP_HOURS_CAP),"",$C244+T$6-MIN(($D244+T$5),PERMANENT_FIELD_LABOR_HOURS)*PERMANENT_HOURLY_RATE-MAX(0,($D244+T$5)-PERMANENT_FIELD_LABOR_HOURS)*TEMP_HOURLY_RATE-FIXED_SEASON_COST)</f>
        <v>23376.6894364932</v>
      </c>
      <c r="U244" s="53" t="n">
        <f aca="false">IF(OR($A244&gt;TOMATO_BED_CAP,$B244&gt;CARROT_BED_CAP,U$4&gt;MESCLUN_BED_CAP,$A244+$B244+U$4&gt;TOTAL_BEDS_AVAILABLE,($D244+U$5)&gt;TOTAL_LABOR_HOURS_CAP,MAX(0,($D244+U$5)-PERMANENT_FIELD_LABOR_HOURS)&gt;TEMP_HOURS_CAP),"",$C244+U$6-MIN(($D244+U$5),PERMANENT_FIELD_LABOR_HOURS)*PERMANENT_HOURLY_RATE-MAX(0,($D244+U$5)-PERMANENT_FIELD_LABOR_HOURS)*TEMP_HOURLY_RATE-FIXED_SEASON_COST)</f>
        <v>24092.7981651233</v>
      </c>
      <c r="V244" s="53" t="n">
        <f aca="false">IF(OR($A244&gt;TOMATO_BED_CAP,$B244&gt;CARROT_BED_CAP,V$4&gt;MESCLUN_BED_CAP,$A244+$B244+V$4&gt;TOTAL_BEDS_AVAILABLE,($D244+V$5)&gt;TOTAL_LABOR_HOURS_CAP,MAX(0,($D244+V$5)-PERMANENT_FIELD_LABOR_HOURS)&gt;TEMP_HOURS_CAP),"",$C244+V$6-MIN(($D244+V$5),PERMANENT_FIELD_LABOR_HOURS)*PERMANENT_HOURLY_RATE-MAX(0,($D244+V$5)-PERMANENT_FIELD_LABOR_HOURS)*TEMP_HOURLY_RATE-FIXED_SEASON_COST)</f>
        <v>24783.3430958901</v>
      </c>
      <c r="W244" s="53" t="n">
        <f aca="false">IF(OR($A244&gt;TOMATO_BED_CAP,$B244&gt;CARROT_BED_CAP,W$4&gt;MESCLUN_BED_CAP,$A244+$B244+W$4&gt;TOTAL_BEDS_AVAILABLE,($D244+W$5)&gt;TOTAL_LABOR_HOURS_CAP,MAX(0,($D244+W$5)-PERMANENT_FIELD_LABOR_HOURS)&gt;TEMP_HOURS_CAP),"",$C244+W$6-MIN(($D244+W$5),PERMANENT_FIELD_LABOR_HOURS)*PERMANENT_HOURLY_RATE-MAX(0,($D244+W$5)-PERMANENT_FIELD_LABOR_HOURS)*TEMP_HOURLY_RATE-FIXED_SEASON_COST)</f>
        <v>25447.8576168582</v>
      </c>
      <c r="X244" s="53" t="n">
        <f aca="false">IF(OR($A244&gt;TOMATO_BED_CAP,$B244&gt;CARROT_BED_CAP,X$4&gt;MESCLUN_BED_CAP,$A244+$B244+X$4&gt;TOTAL_BEDS_AVAILABLE,($D244+X$5)&gt;TOTAL_LABOR_HOURS_CAP,MAX(0,($D244+X$5)-PERMANENT_FIELD_LABOR_HOURS)&gt;TEMP_HOURS_CAP),"",$C244+X$6-MIN(($D244+X$5),PERMANENT_FIELD_LABOR_HOURS)*PERMANENT_HOURLY_RATE-MAX(0,($D244+X$5)-PERMANENT_FIELD_LABOR_HOURS)*TEMP_HOURLY_RATE-FIXED_SEASON_COST)</f>
        <v>26085.8674451371</v>
      </c>
      <c r="Y244" s="53" t="n">
        <f aca="false">IF(OR($A244&gt;TOMATO_BED_CAP,$B244&gt;CARROT_BED_CAP,Y$4&gt;MESCLUN_BED_CAP,$A244+$B244+Y$4&gt;TOTAL_BEDS_AVAILABLE,($D244+Y$5)&gt;TOTAL_LABOR_HOURS_CAP,MAX(0,($D244+Y$5)-PERMANENT_FIELD_LABOR_HOURS)&gt;TEMP_HOURS_CAP),"",$C244+Y$6-MIN(($D244+Y$5),PERMANENT_FIELD_LABOR_HOURS)*PERMANENT_HOURLY_RATE-MAX(0,($D244+Y$5)-PERMANENT_FIELD_LABOR_HOURS)*TEMP_HOURLY_RATE-FIXED_SEASON_COST)</f>
        <v>26696.8905080158</v>
      </c>
      <c r="Z244" s="53" t="n">
        <f aca="false">IF(OR($A244&gt;TOMATO_BED_CAP,$B244&gt;CARROT_BED_CAP,Z$4&gt;MESCLUN_BED_CAP,$A244+$B244+Z$4&gt;TOTAL_BEDS_AVAILABLE,($D244+Z$5)&gt;TOTAL_LABOR_HOURS_CAP,MAX(0,($D244+Z$5)-PERMANENT_FIELD_LABOR_HOURS)&gt;TEMP_HOURS_CAP),"",$C244+Z$6-MIN(($D244+Z$5),PERMANENT_FIELD_LABOR_HOURS)*PERMANENT_HOURLY_RATE-MAX(0,($D244+Z$5)-PERMANENT_FIELD_LABOR_HOURS)*TEMP_HOURLY_RATE-FIXED_SEASON_COST)</f>
        <v>27280.4368223235</v>
      </c>
      <c r="AA244" s="53" t="n">
        <f aca="false">IF(OR($A244&gt;TOMATO_BED_CAP,$B244&gt;CARROT_BED_CAP,AA$4&gt;MESCLUN_BED_CAP,$A244+$B244+AA$4&gt;TOTAL_BEDS_AVAILABLE,($D244+AA$5)&gt;TOTAL_LABOR_HOURS_CAP,MAX(0,($D244+AA$5)-PERMANENT_FIELD_LABOR_HOURS)&gt;TEMP_HOURS_CAP),"",$C244+AA$6-MIN(($D244+AA$5),PERMANENT_FIELD_LABOR_HOURS)*PERMANENT_HOURLY_RATE-MAX(0,($D244+AA$5)-PERMANENT_FIELD_LABOR_HOURS)*TEMP_HOURLY_RATE-FIXED_SEASON_COST)</f>
        <v>27836.0083719924</v>
      </c>
      <c r="AB244" s="53" t="n">
        <f aca="false">IF(OR($A244&gt;TOMATO_BED_CAP,$B244&gt;CARROT_BED_CAP,AB$4&gt;MESCLUN_BED_CAP,$A244+$B244+AB$4&gt;TOTAL_BEDS_AVAILABLE,($D244+AB$5)&gt;TOTAL_LABOR_HOURS_CAP,MAX(0,($D244+AB$5)-PERMANENT_FIELD_LABOR_HOURS)&gt;TEMP_HOURS_CAP),"",$C244+AB$6-MIN(($D244+AB$5),PERMANENT_FIELD_LABOR_HOURS)*PERMANENT_HOURLY_RATE-MAX(0,($D244+AB$5)-PERMANENT_FIELD_LABOR_HOURS)*TEMP_HOURLY_RATE-FIXED_SEASON_COST)</f>
        <v>28363.098983795</v>
      </c>
      <c r="AC244" s="53" t="n">
        <f aca="false">IF(OR($A244&gt;TOMATO_BED_CAP,$B244&gt;CARROT_BED_CAP,AC$4&gt;MESCLUN_BED_CAP,$A244+$B244+AC$4&gt;TOTAL_BEDS_AVAILABLE,($D244+AC$5)&gt;TOTAL_LABOR_HOURS_CAP,MAX(0,($D244+AC$5)-PERMANENT_FIELD_LABOR_HOURS)&gt;TEMP_HOURS_CAP),"",$C244+AC$6-MIN(($D244+AC$5),PERMANENT_FIELD_LABOR_HOURS)*PERMANENT_HOURLY_RATE-MAX(0,($D244+AC$5)-PERMANENT_FIELD_LABOR_HOURS)*TEMP_HOURLY_RATE-FIXED_SEASON_COST)</f>
        <v>28861.1942012299</v>
      </c>
      <c r="AD244" s="53" t="n">
        <f aca="false">IF(OR($A244&gt;TOMATO_BED_CAP,$B244&gt;CARROT_BED_CAP,AD$4&gt;MESCLUN_BED_CAP,$A244+$B244+AD$4&gt;TOTAL_BEDS_AVAILABLE,($D244+AD$5)&gt;TOTAL_LABOR_HOURS_CAP,MAX(0,($D244+AD$5)-PERMANENT_FIELD_LABOR_HOURS)&gt;TEMP_HOURS_CAP),"",$C244+AD$6-MIN(($D244+AD$5),PERMANENT_FIELD_LABOR_HOURS)*PERMANENT_HOURLY_RATE-MAX(0,($D244+AD$5)-PERMANENT_FIELD_LABOR_HOURS)*TEMP_HOURLY_RATE-FIXED_SEASON_COST)</f>
        <v>29329.7711565299</v>
      </c>
      <c r="AE244" s="53" t="n">
        <f aca="false">IF(OR($A244&gt;TOMATO_BED_CAP,$B244&gt;CARROT_BED_CAP,AE$4&gt;MESCLUN_BED_CAP,$A244+$B244+AE$4&gt;TOTAL_BEDS_AVAILABLE,($D244+AE$5)&gt;TOTAL_LABOR_HOURS_CAP,MAX(0,($D244+AE$5)-PERMANENT_FIELD_LABOR_HOURS)&gt;TEMP_HOURS_CAP),"",$C244+AE$6-MIN(($D244+AE$5),PERMANENT_FIELD_LABOR_HOURS)*PERMANENT_HOURLY_RATE-MAX(0,($D244+AE$5)-PERMANENT_FIELD_LABOR_HOURS)*TEMP_HOURLY_RATE-FIXED_SEASON_COST)</f>
        <v>29768.2984407638</v>
      </c>
      <c r="AF244" s="53" t="n">
        <f aca="false">IF(OR($A244&gt;TOMATO_BED_CAP,$B244&gt;CARROT_BED_CAP,AF$4&gt;MESCLUN_BED_CAP,$A244+$B244+AF$4&gt;TOTAL_BEDS_AVAILABLE,($D244+AF$5)&gt;TOTAL_LABOR_HOURS_CAP,MAX(0,($D244+AF$5)-PERMANENT_FIELD_LABOR_HOURS)&gt;TEMP_HOURS_CAP),"",$C244+AF$6-MIN(($D244+AF$5),PERMANENT_FIELD_LABOR_HOURS)*PERMANENT_HOURLY_RATE-MAX(0,($D244+AF$5)-PERMANENT_FIELD_LABOR_HOURS)*TEMP_HOURLY_RATE-FIXED_SEASON_COST)</f>
        <v>30176.2359720057</v>
      </c>
      <c r="AG244" s="53" t="n">
        <f aca="false">IF(OR($A244&gt;TOMATO_BED_CAP,$B244&gt;CARROT_BED_CAP,AG$4&gt;MESCLUN_BED_CAP,$A244+$B244+AG$4&gt;TOTAL_BEDS_AVAILABLE,($D244+AG$5)&gt;TOTAL_LABOR_HOURS_CAP,MAX(0,($D244+AG$5)-PERMANENT_FIELD_LABOR_HOURS)&gt;TEMP_HOURS_CAP),"",$C244+AG$6-MIN(($D244+AG$5),PERMANENT_FIELD_LABOR_HOURS)*PERMANENT_HOURLY_RATE-MAX(0,($D244+AG$5)-PERMANENT_FIELD_LABOR_HOURS)*TEMP_HOURLY_RATE-FIXED_SEASON_COST)</f>
        <v>30553.0348615427</v>
      </c>
      <c r="AH244" s="53" t="n">
        <f aca="false">IF(OR($A244&gt;TOMATO_BED_CAP,$B244&gt;CARROT_BED_CAP,AH$4&gt;MESCLUN_BED_CAP,$A244+$B244+AH$4&gt;TOTAL_BEDS_AVAILABLE,($D244+AH$5)&gt;TOTAL_LABOR_HOURS_CAP,MAX(0,($D244+AH$5)-PERMANENT_FIELD_LABOR_HOURS)&gt;TEMP_HOURS_CAP),"",$C244+AH$6-MIN(($D244+AH$5),PERMANENT_FIELD_LABOR_HOURS)*PERMANENT_HOURLY_RATE-MAX(0,($D244+AH$5)-PERMANENT_FIELD_LABOR_HOURS)*TEMP_HOURLY_RATE-FIXED_SEASON_COST)</f>
        <v>30898.1372780929</v>
      </c>
      <c r="AI244" s="53" t="n">
        <f aca="false">IF(OR($A244&gt;TOMATO_BED_CAP,$B244&gt;CARROT_BED_CAP,AI$4&gt;MESCLUN_BED_CAP,$A244+$B244+AI$4&gt;TOTAL_BEDS_AVAILABLE,($D244+AI$5)&gt;TOTAL_LABOR_HOURS_CAP,MAX(0,($D244+AI$5)-PERMANENT_FIELD_LABOR_HOURS)&gt;TEMP_HOURS_CAP),"",$C244+AI$6-MIN(($D244+AI$5),PERMANENT_FIELD_LABOR_HOURS)*PERMANENT_HOURLY_RATE-MAX(0,($D244+AI$5)-PERMANENT_FIELD_LABOR_HOURS)*TEMP_HOURLY_RATE-FIXED_SEASON_COST)</f>
        <v>31210.9763100052</v>
      </c>
      <c r="AJ244" s="53" t="n">
        <f aca="false">IF(OR($A244&gt;TOMATO_BED_CAP,$B244&gt;CARROT_BED_CAP,AJ$4&gt;MESCLUN_BED_CAP,$A244+$B244+AJ$4&gt;TOTAL_BEDS_AVAILABLE,($D244+AJ$5)&gt;TOTAL_LABOR_HOURS_CAP,MAX(0,($D244+AJ$5)-PERMANENT_FIELD_LABOR_HOURS)&gt;TEMP_HOURS_CAP),"",$C244+AJ$6-MIN(($D244+AJ$5),PERMANENT_FIELD_LABOR_HOURS)*PERMANENT_HOURLY_RATE-MAX(0,($D244+AJ$5)-PERMANENT_FIELD_LABOR_HOURS)*TEMP_HOURLY_RATE-FIXED_SEASON_COST)</f>
        <v>31490.975825411</v>
      </c>
    </row>
    <row r="245" customFormat="false" ht="15" hidden="false" customHeight="false" outlineLevel="0" collapsed="false">
      <c r="A245" s="21" t="n">
        <f aca="false">INT((ROW()-ROW($A$8))/(20+1))</f>
        <v>11</v>
      </c>
      <c r="B245" s="21" t="n">
        <f aca="false">MOD(ROW()-ROW($A$8),20+1)</f>
        <v>6</v>
      </c>
      <c r="C245" s="13" t="n">
        <f aca="false">A245*(TOMATO_REVENUE_PER_BED-TOMATO_FERTILIZER_PER_BED)+B245*(CARROT_REVENUE_PER_BED-CARROT_FERTILIZER_PER_BED)</f>
        <v>97044</v>
      </c>
      <c r="D245" s="14" t="n">
        <f aca="false">INDEX(TOMATO_SCHED_LABOR_HRS,A245+1)+INDEX(CARROT_SCHED_LABOR_HRS,B245+1)</f>
        <v>3033.24685640111</v>
      </c>
      <c r="E245" s="13" t="n">
        <f aca="false">IF(COUNT(F245:AJ245)=0,"",MAX(F245:AJ245))</f>
        <v>32467.6238677493</v>
      </c>
      <c r="F245" s="53" t="n">
        <f aca="false">IF(OR($A245&gt;TOMATO_BED_CAP,$B245&gt;CARROT_BED_CAP,F$4&gt;MESCLUN_BED_CAP,$A245+$B245+F$4&gt;TOTAL_BEDS_AVAILABLE,($D245+F$5)&gt;TOTAL_LABOR_HOURS_CAP,MAX(0,($D245+F$5)-PERMANENT_FIELD_LABOR_HOURS)&gt;TEMP_HOURS_CAP),"",$C245+F$6-MIN(($D245+F$5),PERMANENT_FIELD_LABOR_HOURS)*PERMANENT_HOURLY_RATE-MAX(0,($D245+F$5)-PERMANENT_FIELD_LABOR_HOURS)*TEMP_HOURLY_RATE-FIXED_SEASON_COST)</f>
        <v>11887.6345728767</v>
      </c>
      <c r="G245" s="53" t="n">
        <f aca="false">IF(OR($A245&gt;TOMATO_BED_CAP,$B245&gt;CARROT_BED_CAP,G$4&gt;MESCLUN_BED_CAP,$A245+$B245+G$4&gt;TOTAL_BEDS_AVAILABLE,($D245+G$5)&gt;TOTAL_LABOR_HOURS_CAP,MAX(0,($D245+G$5)-PERMANENT_FIELD_LABOR_HOURS)&gt;TEMP_HOURS_CAP),"",$C245+G$6-MIN(($D245+G$5),PERMANENT_FIELD_LABOR_HOURS)*PERMANENT_HOURLY_RATE-MAX(0,($D245+G$5)-PERMANENT_FIELD_LABOR_HOURS)*TEMP_HOURLY_RATE-FIXED_SEASON_COST)</f>
        <v>12916.6695728767</v>
      </c>
      <c r="H245" s="53" t="n">
        <f aca="false">IF(OR($A245&gt;TOMATO_BED_CAP,$B245&gt;CARROT_BED_CAP,H$4&gt;MESCLUN_BED_CAP,$A245+$B245+H$4&gt;TOTAL_BEDS_AVAILABLE,($D245+H$5)&gt;TOTAL_LABOR_HOURS_CAP,MAX(0,($D245+H$5)-PERMANENT_FIELD_LABOR_HOURS)&gt;TEMP_HOURS_CAP),"",$C245+H$6-MIN(($D245+H$5),PERMANENT_FIELD_LABOR_HOURS)*PERMANENT_HOURLY_RATE-MAX(0,($D245+H$5)-PERMANENT_FIELD_LABOR_HOURS)*TEMP_HOURLY_RATE-FIXED_SEASON_COST)</f>
        <v>13925.9304478767</v>
      </c>
      <c r="I245" s="53" t="n">
        <f aca="false">IF(OR($A245&gt;TOMATO_BED_CAP,$B245&gt;CARROT_BED_CAP,I$4&gt;MESCLUN_BED_CAP,$A245+$B245+I$4&gt;TOTAL_BEDS_AVAILABLE,($D245+I$5)&gt;TOTAL_LABOR_HOURS_CAP,MAX(0,($D245+I$5)-PERMANENT_FIELD_LABOR_HOURS)&gt;TEMP_HOURS_CAP),"",$C245+I$6-MIN(($D245+I$5),PERMANENT_FIELD_LABOR_HOURS)*PERMANENT_HOURLY_RATE-MAX(0,($D245+I$5)-PERMANENT_FIELD_LABOR_HOURS)*TEMP_HOURLY_RATE-FIXED_SEASON_COST)</f>
        <v>14915.046433033</v>
      </c>
      <c r="J245" s="53" t="n">
        <f aca="false">IF(OR($A245&gt;TOMATO_BED_CAP,$B245&gt;CARROT_BED_CAP,J$4&gt;MESCLUN_BED_CAP,$A245+$B245+J$4&gt;TOTAL_BEDS_AVAILABLE,($D245+J$5)&gt;TOTAL_LABOR_HOURS_CAP,MAX(0,($D245+J$5)-PERMANENT_FIELD_LABOR_HOURS)&gt;TEMP_HOURS_CAP),"",$C245+J$6-MIN(($D245+J$5),PERMANENT_FIELD_LABOR_HOURS)*PERMANENT_HOURLY_RATE-MAX(0,($D245+J$5)-PERMANENT_FIELD_LABOR_HOURS)*TEMP_HOURLY_RATE-FIXED_SEASON_COST)</f>
        <v>15883.6405840877</v>
      </c>
      <c r="K245" s="53" t="n">
        <f aca="false">IF(OR($A245&gt;TOMATO_BED_CAP,$B245&gt;CARROT_BED_CAP,K$4&gt;MESCLUN_BED_CAP,$A245+$B245+K$4&gt;TOTAL_BEDS_AVAILABLE,($D245+K$5)&gt;TOTAL_LABOR_HOURS_CAP,MAX(0,($D245+K$5)-PERMANENT_FIELD_LABOR_HOURS)&gt;TEMP_HOURS_CAP),"",$C245+K$6-MIN(($D245+K$5),PERMANENT_FIELD_LABOR_HOURS)*PERMANENT_HOURLY_RATE-MAX(0,($D245+K$5)-PERMANENT_FIELD_LABOR_HOURS)*TEMP_HOURLY_RATE-FIXED_SEASON_COST)</f>
        <v>16831.3296808156</v>
      </c>
      <c r="L245" s="53" t="n">
        <f aca="false">IF(OR($A245&gt;TOMATO_BED_CAP,$B245&gt;CARROT_BED_CAP,L$4&gt;MESCLUN_BED_CAP,$A245+$B245+L$4&gt;TOTAL_BEDS_AVAILABLE,($D245+L$5)&gt;TOTAL_LABOR_HOURS_CAP,MAX(0,($D245+L$5)-PERMANENT_FIELD_LABOR_HOURS)&gt;TEMP_HOURS_CAP),"",$C245+L$6-MIN(($D245+L$5),PERMANENT_FIELD_LABOR_HOURS)*PERMANENT_HOURLY_RATE-MAX(0,($D245+L$5)-PERMANENT_FIELD_LABOR_HOURS)*TEMP_HOURLY_RATE-FIXED_SEASON_COST)</f>
        <v>17757.7241290224</v>
      </c>
      <c r="M245" s="53" t="n">
        <f aca="false">IF(OR($A245&gt;TOMATO_BED_CAP,$B245&gt;CARROT_BED_CAP,M$4&gt;MESCLUN_BED_CAP,$A245+$B245+M$4&gt;TOTAL_BEDS_AVAILABLE,($D245+M$5)&gt;TOTAL_LABOR_HOURS_CAP,MAX(0,($D245+M$5)-PERMANENT_FIELD_LABOR_HOURS)&gt;TEMP_HOURS_CAP),"",$C245+M$6-MIN(($D245+M$5),PERMANENT_FIELD_LABOR_HOURS)*PERMANENT_HOURLY_RATE-MAX(0,($D245+M$5)-PERMANENT_FIELD_LABOR_HOURS)*TEMP_HOURLY_RATE-FIXED_SEASON_COST)</f>
        <v>18662.4278610738</v>
      </c>
      <c r="N245" s="53" t="n">
        <f aca="false">IF(OR($A245&gt;TOMATO_BED_CAP,$B245&gt;CARROT_BED_CAP,N$4&gt;MESCLUN_BED_CAP,$A245+$B245+N$4&gt;TOTAL_BEDS_AVAILABLE,($D245+N$5)&gt;TOTAL_LABOR_HOURS_CAP,MAX(0,($D245+N$5)-PERMANENT_FIELD_LABOR_HOURS)&gt;TEMP_HOURS_CAP),"",$C245+N$6-MIN(($D245+N$5),PERMANENT_FIELD_LABOR_HOURS)*PERMANENT_HOURLY_RATE-MAX(0,($D245+N$5)-PERMANENT_FIELD_LABOR_HOURS)*TEMP_HOURLY_RATE-FIXED_SEASON_COST)</f>
        <v>19545.0382349334</v>
      </c>
      <c r="O245" s="53" t="n">
        <f aca="false">IF(OR($A245&gt;TOMATO_BED_CAP,$B245&gt;CARROT_BED_CAP,O$4&gt;MESCLUN_BED_CAP,$A245+$B245+O$4&gt;TOTAL_BEDS_AVAILABLE,($D245+O$5)&gt;TOTAL_LABOR_HOURS_CAP,MAX(0,($D245+O$5)-PERMANENT_FIELD_LABOR_HOURS)&gt;TEMP_HOURS_CAP),"",$C245+O$6-MIN(($D245+O$5),PERMANENT_FIELD_LABOR_HOURS)*PERMANENT_HOURLY_RATE-MAX(0,($D245+O$5)-PERMANENT_FIELD_LABOR_HOURS)*TEMP_HOURLY_RATE-FIXED_SEASON_COST)</f>
        <v>20405.1459316881</v>
      </c>
      <c r="P245" s="53" t="n">
        <f aca="false">IF(OR($A245&gt;TOMATO_BED_CAP,$B245&gt;CARROT_BED_CAP,P$4&gt;MESCLUN_BED_CAP,$A245+$B245+P$4&gt;TOTAL_BEDS_AVAILABLE,($D245+P$5)&gt;TOTAL_LABOR_HOURS_CAP,MAX(0,($D245+P$5)-PERMANENT_FIELD_LABOR_HOURS)&gt;TEMP_HOURS_CAP),"",$C245+P$6-MIN(($D245+P$5),PERMANENT_FIELD_LABOR_HOURS)*PERMANENT_HOURLY_RATE-MAX(0,($D245+P$5)-PERMANENT_FIELD_LABOR_HOURS)*TEMP_HOURLY_RATE-FIXED_SEASON_COST)</f>
        <v>21242.3348515396</v>
      </c>
      <c r="Q245" s="53" t="n">
        <f aca="false">IF(OR($A245&gt;TOMATO_BED_CAP,$B245&gt;CARROT_BED_CAP,Q$4&gt;MESCLUN_BED_CAP,$A245+$B245+Q$4&gt;TOTAL_BEDS_AVAILABLE,($D245+Q$5)&gt;TOTAL_LABOR_HOURS_CAP,MAX(0,($D245+Q$5)-PERMANENT_FIELD_LABOR_HOURS)&gt;TEMP_HOURS_CAP),"",$C245+Q$6-MIN(($D245+Q$5),PERMANENT_FIELD_LABOR_HOURS)*PERMANENT_HOURLY_RATE-MAX(0,($D245+Q$5)-PERMANENT_FIELD_LABOR_HOURS)*TEMP_HOURLY_RATE-FIXED_SEASON_COST)</f>
        <v>22056.1820082374</v>
      </c>
      <c r="R245" s="53" t="n">
        <f aca="false">IF(OR($A245&gt;TOMATO_BED_CAP,$B245&gt;CARROT_BED_CAP,R$4&gt;MESCLUN_BED_CAP,$A245+$B245+R$4&gt;TOTAL_BEDS_AVAILABLE,($D245+R$5)&gt;TOTAL_LABOR_HOURS_CAP,MAX(0,($D245+R$5)-PERMANENT_FIELD_LABOR_HOURS)&gt;TEMP_HOURS_CAP),"",$C245+R$6-MIN(($D245+R$5),PERMANENT_FIELD_LABOR_HOURS)*PERMANENT_HOURLY_RATE-MAX(0,($D245+R$5)-PERMANENT_FIELD_LABOR_HOURS)*TEMP_HOURLY_RATE-FIXED_SEASON_COST)</f>
        <v>22846.2574219343</v>
      </c>
      <c r="S245" s="53" t="n">
        <f aca="false">IF(OR($A245&gt;TOMATO_BED_CAP,$B245&gt;CARROT_BED_CAP,S$4&gt;MESCLUN_BED_CAP,$A245+$B245+S$4&gt;TOTAL_BEDS_AVAILABLE,($D245+S$5)&gt;TOTAL_LABOR_HOURS_CAP,MAX(0,($D245+S$5)-PERMANENT_FIELD_LABOR_HOURS)&gt;TEMP_HOURS_CAP),"",$C245+S$6-MIN(($D245+S$5),PERMANENT_FIELD_LABOR_HOURS)*PERMANENT_HOURLY_RATE-MAX(0,($D245+S$5)-PERMANENT_FIELD_LABOR_HOURS)*TEMP_HOURLY_RATE-FIXED_SEASON_COST)</f>
        <v>23612.1240104367</v>
      </c>
      <c r="T245" s="53" t="n">
        <f aca="false">IF(OR($A245&gt;TOMATO_BED_CAP,$B245&gt;CARROT_BED_CAP,T$4&gt;MESCLUN_BED_CAP,$A245+$B245+T$4&gt;TOTAL_BEDS_AVAILABLE,($D245+T$5)&gt;TOTAL_LABOR_HOURS_CAP,MAX(0,($D245+T$5)-PERMANENT_FIELD_LABOR_HOURS)&gt;TEMP_HOURS_CAP),"",$C245+T$6-MIN(($D245+T$5),PERMANENT_FIELD_LABOR_HOURS)*PERMANENT_HOURLY_RATE-MAX(0,($D245+T$5)-PERMANENT_FIELD_LABOR_HOURS)*TEMP_HOURLY_RATE-FIXED_SEASON_COST)</f>
        <v>24353.3374788315</v>
      </c>
      <c r="U245" s="53" t="n">
        <f aca="false">IF(OR($A245&gt;TOMATO_BED_CAP,$B245&gt;CARROT_BED_CAP,U$4&gt;MESCLUN_BED_CAP,$A245+$B245+U$4&gt;TOTAL_BEDS_AVAILABLE,($D245+U$5)&gt;TOTAL_LABOR_HOURS_CAP,MAX(0,($D245+U$5)-PERMANENT_FIELD_LABOR_HOURS)&gt;TEMP_HOURS_CAP),"",$C245+U$6-MIN(($D245+U$5),PERMANENT_FIELD_LABOR_HOURS)*PERMANENT_HOURLY_RATE-MAX(0,($D245+U$5)-PERMANENT_FIELD_LABOR_HOURS)*TEMP_HOURLY_RATE-FIXED_SEASON_COST)</f>
        <v>25069.4462074616</v>
      </c>
      <c r="V245" s="53" t="n">
        <f aca="false">IF(OR($A245&gt;TOMATO_BED_CAP,$B245&gt;CARROT_BED_CAP,V$4&gt;MESCLUN_BED_CAP,$A245+$B245+V$4&gt;TOTAL_BEDS_AVAILABLE,($D245+V$5)&gt;TOTAL_LABOR_HOURS_CAP,MAX(0,($D245+V$5)-PERMANENT_FIELD_LABOR_HOURS)&gt;TEMP_HOURS_CAP),"",$C245+V$6-MIN(($D245+V$5),PERMANENT_FIELD_LABOR_HOURS)*PERMANENT_HOURLY_RATE-MAX(0,($D245+V$5)-PERMANENT_FIELD_LABOR_HOURS)*TEMP_HOURLY_RATE-FIXED_SEASON_COST)</f>
        <v>25759.9911382284</v>
      </c>
      <c r="W245" s="53" t="n">
        <f aca="false">IF(OR($A245&gt;TOMATO_BED_CAP,$B245&gt;CARROT_BED_CAP,W$4&gt;MESCLUN_BED_CAP,$A245+$B245+W$4&gt;TOTAL_BEDS_AVAILABLE,($D245+W$5)&gt;TOTAL_LABOR_HOURS_CAP,MAX(0,($D245+W$5)-PERMANENT_FIELD_LABOR_HOURS)&gt;TEMP_HOURS_CAP),"",$C245+W$6-MIN(($D245+W$5),PERMANENT_FIELD_LABOR_HOURS)*PERMANENT_HOURLY_RATE-MAX(0,($D245+W$5)-PERMANENT_FIELD_LABOR_HOURS)*TEMP_HOURLY_RATE-FIXED_SEASON_COST)</f>
        <v>26424.5056591965</v>
      </c>
      <c r="X245" s="53" t="n">
        <f aca="false">IF(OR($A245&gt;TOMATO_BED_CAP,$B245&gt;CARROT_BED_CAP,X$4&gt;MESCLUN_BED_CAP,$A245+$B245+X$4&gt;TOTAL_BEDS_AVAILABLE,($D245+X$5)&gt;TOTAL_LABOR_HOURS_CAP,MAX(0,($D245+X$5)-PERMANENT_FIELD_LABOR_HOURS)&gt;TEMP_HOURS_CAP),"",$C245+X$6-MIN(($D245+X$5),PERMANENT_FIELD_LABOR_HOURS)*PERMANENT_HOURLY_RATE-MAX(0,($D245+X$5)-PERMANENT_FIELD_LABOR_HOURS)*TEMP_HOURLY_RATE-FIXED_SEASON_COST)</f>
        <v>27062.5154874754</v>
      </c>
      <c r="Y245" s="53" t="n">
        <f aca="false">IF(OR($A245&gt;TOMATO_BED_CAP,$B245&gt;CARROT_BED_CAP,Y$4&gt;MESCLUN_BED_CAP,$A245+$B245+Y$4&gt;TOTAL_BEDS_AVAILABLE,($D245+Y$5)&gt;TOTAL_LABOR_HOURS_CAP,MAX(0,($D245+Y$5)-PERMANENT_FIELD_LABOR_HOURS)&gt;TEMP_HOURS_CAP),"",$C245+Y$6-MIN(($D245+Y$5),PERMANENT_FIELD_LABOR_HOURS)*PERMANENT_HOURLY_RATE-MAX(0,($D245+Y$5)-PERMANENT_FIELD_LABOR_HOURS)*TEMP_HOURLY_RATE-FIXED_SEASON_COST)</f>
        <v>27673.5385503541</v>
      </c>
      <c r="Z245" s="53" t="n">
        <f aca="false">IF(OR($A245&gt;TOMATO_BED_CAP,$B245&gt;CARROT_BED_CAP,Z$4&gt;MESCLUN_BED_CAP,$A245+$B245+Z$4&gt;TOTAL_BEDS_AVAILABLE,($D245+Z$5)&gt;TOTAL_LABOR_HOURS_CAP,MAX(0,($D245+Z$5)-PERMANENT_FIELD_LABOR_HOURS)&gt;TEMP_HOURS_CAP),"",$C245+Z$6-MIN(($D245+Z$5),PERMANENT_FIELD_LABOR_HOURS)*PERMANENT_HOURLY_RATE-MAX(0,($D245+Z$5)-PERMANENT_FIELD_LABOR_HOURS)*TEMP_HOURLY_RATE-FIXED_SEASON_COST)</f>
        <v>28257.0848646618</v>
      </c>
      <c r="AA245" s="53" t="n">
        <f aca="false">IF(OR($A245&gt;TOMATO_BED_CAP,$B245&gt;CARROT_BED_CAP,AA$4&gt;MESCLUN_BED_CAP,$A245+$B245+AA$4&gt;TOTAL_BEDS_AVAILABLE,($D245+AA$5)&gt;TOTAL_LABOR_HOURS_CAP,MAX(0,($D245+AA$5)-PERMANENT_FIELD_LABOR_HOURS)&gt;TEMP_HOURS_CAP),"",$C245+AA$6-MIN(($D245+AA$5),PERMANENT_FIELD_LABOR_HOURS)*PERMANENT_HOURLY_RATE-MAX(0,($D245+AA$5)-PERMANENT_FIELD_LABOR_HOURS)*TEMP_HOURLY_RATE-FIXED_SEASON_COST)</f>
        <v>28812.6564143307</v>
      </c>
      <c r="AB245" s="53" t="n">
        <f aca="false">IF(OR($A245&gt;TOMATO_BED_CAP,$B245&gt;CARROT_BED_CAP,AB$4&gt;MESCLUN_BED_CAP,$A245+$B245+AB$4&gt;TOTAL_BEDS_AVAILABLE,($D245+AB$5)&gt;TOTAL_LABOR_HOURS_CAP,MAX(0,($D245+AB$5)-PERMANENT_FIELD_LABOR_HOURS)&gt;TEMP_HOURS_CAP),"",$C245+AB$6-MIN(($D245+AB$5),PERMANENT_FIELD_LABOR_HOURS)*PERMANENT_HOURLY_RATE-MAX(0,($D245+AB$5)-PERMANENT_FIELD_LABOR_HOURS)*TEMP_HOURLY_RATE-FIXED_SEASON_COST)</f>
        <v>29339.7470261333</v>
      </c>
      <c r="AC245" s="53" t="n">
        <f aca="false">IF(OR($A245&gt;TOMATO_BED_CAP,$B245&gt;CARROT_BED_CAP,AC$4&gt;MESCLUN_BED_CAP,$A245+$B245+AC$4&gt;TOTAL_BEDS_AVAILABLE,($D245+AC$5)&gt;TOTAL_LABOR_HOURS_CAP,MAX(0,($D245+AC$5)-PERMANENT_FIELD_LABOR_HOURS)&gt;TEMP_HOURS_CAP),"",$C245+AC$6-MIN(($D245+AC$5),PERMANENT_FIELD_LABOR_HOURS)*PERMANENT_HOURLY_RATE-MAX(0,($D245+AC$5)-PERMANENT_FIELD_LABOR_HOURS)*TEMP_HOURLY_RATE-FIXED_SEASON_COST)</f>
        <v>29837.8422435682</v>
      </c>
      <c r="AD245" s="53" t="n">
        <f aca="false">IF(OR($A245&gt;TOMATO_BED_CAP,$B245&gt;CARROT_BED_CAP,AD$4&gt;MESCLUN_BED_CAP,$A245+$B245+AD$4&gt;TOTAL_BEDS_AVAILABLE,($D245+AD$5)&gt;TOTAL_LABOR_HOURS_CAP,MAX(0,($D245+AD$5)-PERMANENT_FIELD_LABOR_HOURS)&gt;TEMP_HOURS_CAP),"",$C245+AD$6-MIN(($D245+AD$5),PERMANENT_FIELD_LABOR_HOURS)*PERMANENT_HOURLY_RATE-MAX(0,($D245+AD$5)-PERMANENT_FIELD_LABOR_HOURS)*TEMP_HOURLY_RATE-FIXED_SEASON_COST)</f>
        <v>30306.4191988682</v>
      </c>
      <c r="AE245" s="53" t="n">
        <f aca="false">IF(OR($A245&gt;TOMATO_BED_CAP,$B245&gt;CARROT_BED_CAP,AE$4&gt;MESCLUN_BED_CAP,$A245+$B245+AE$4&gt;TOTAL_BEDS_AVAILABLE,($D245+AE$5)&gt;TOTAL_LABOR_HOURS_CAP,MAX(0,($D245+AE$5)-PERMANENT_FIELD_LABOR_HOURS)&gt;TEMP_HOURS_CAP),"",$C245+AE$6-MIN(($D245+AE$5),PERMANENT_FIELD_LABOR_HOURS)*PERMANENT_HOURLY_RATE-MAX(0,($D245+AE$5)-PERMANENT_FIELD_LABOR_HOURS)*TEMP_HOURLY_RATE-FIXED_SEASON_COST)</f>
        <v>30744.9464831021</v>
      </c>
      <c r="AF245" s="53" t="n">
        <f aca="false">IF(OR($A245&gt;TOMATO_BED_CAP,$B245&gt;CARROT_BED_CAP,AF$4&gt;MESCLUN_BED_CAP,$A245+$B245+AF$4&gt;TOTAL_BEDS_AVAILABLE,($D245+AF$5)&gt;TOTAL_LABOR_HOURS_CAP,MAX(0,($D245+AF$5)-PERMANENT_FIELD_LABOR_HOURS)&gt;TEMP_HOURS_CAP),"",$C245+AF$6-MIN(($D245+AF$5),PERMANENT_FIELD_LABOR_HOURS)*PERMANENT_HOURLY_RATE-MAX(0,($D245+AF$5)-PERMANENT_FIELD_LABOR_HOURS)*TEMP_HOURLY_RATE-FIXED_SEASON_COST)</f>
        <v>31152.884014344</v>
      </c>
      <c r="AG245" s="53" t="n">
        <f aca="false">IF(OR($A245&gt;TOMATO_BED_CAP,$B245&gt;CARROT_BED_CAP,AG$4&gt;MESCLUN_BED_CAP,$A245+$B245+AG$4&gt;TOTAL_BEDS_AVAILABLE,($D245+AG$5)&gt;TOTAL_LABOR_HOURS_CAP,MAX(0,($D245+AG$5)-PERMANENT_FIELD_LABOR_HOURS)&gt;TEMP_HOURS_CAP),"",$C245+AG$6-MIN(($D245+AG$5),PERMANENT_FIELD_LABOR_HOURS)*PERMANENT_HOURLY_RATE-MAX(0,($D245+AG$5)-PERMANENT_FIELD_LABOR_HOURS)*TEMP_HOURLY_RATE-FIXED_SEASON_COST)</f>
        <v>31529.682903881</v>
      </c>
      <c r="AH245" s="53" t="n">
        <f aca="false">IF(OR($A245&gt;TOMATO_BED_CAP,$B245&gt;CARROT_BED_CAP,AH$4&gt;MESCLUN_BED_CAP,$A245+$B245+AH$4&gt;TOTAL_BEDS_AVAILABLE,($D245+AH$5)&gt;TOTAL_LABOR_HOURS_CAP,MAX(0,($D245+AH$5)-PERMANENT_FIELD_LABOR_HOURS)&gt;TEMP_HOURS_CAP),"",$C245+AH$6-MIN(($D245+AH$5),PERMANENT_FIELD_LABOR_HOURS)*PERMANENT_HOURLY_RATE-MAX(0,($D245+AH$5)-PERMANENT_FIELD_LABOR_HOURS)*TEMP_HOURLY_RATE-FIXED_SEASON_COST)</f>
        <v>31874.7853204313</v>
      </c>
      <c r="AI245" s="53" t="n">
        <f aca="false">IF(OR($A245&gt;TOMATO_BED_CAP,$B245&gt;CARROT_BED_CAP,AI$4&gt;MESCLUN_BED_CAP,$A245+$B245+AI$4&gt;TOTAL_BEDS_AVAILABLE,($D245+AI$5)&gt;TOTAL_LABOR_HOURS_CAP,MAX(0,($D245+AI$5)-PERMANENT_FIELD_LABOR_HOURS)&gt;TEMP_HOURS_CAP),"",$C245+AI$6-MIN(($D245+AI$5),PERMANENT_FIELD_LABOR_HOURS)*PERMANENT_HOURLY_RATE-MAX(0,($D245+AI$5)-PERMANENT_FIELD_LABOR_HOURS)*TEMP_HOURLY_RATE-FIXED_SEASON_COST)</f>
        <v>32187.6243523435</v>
      </c>
      <c r="AJ245" s="53" t="n">
        <f aca="false">IF(OR($A245&gt;TOMATO_BED_CAP,$B245&gt;CARROT_BED_CAP,AJ$4&gt;MESCLUN_BED_CAP,$A245+$B245+AJ$4&gt;TOTAL_BEDS_AVAILABLE,($D245+AJ$5)&gt;TOTAL_LABOR_HOURS_CAP,MAX(0,($D245+AJ$5)-PERMANENT_FIELD_LABOR_HOURS)&gt;TEMP_HOURS_CAP),"",$C245+AJ$6-MIN(($D245+AJ$5),PERMANENT_FIELD_LABOR_HOURS)*PERMANENT_HOURLY_RATE-MAX(0,($D245+AJ$5)-PERMANENT_FIELD_LABOR_HOURS)*TEMP_HOURLY_RATE-FIXED_SEASON_COST)</f>
        <v>32467.6238677493</v>
      </c>
    </row>
    <row r="246" customFormat="false" ht="15" hidden="false" customHeight="false" outlineLevel="0" collapsed="false">
      <c r="A246" s="21" t="n">
        <f aca="false">INT((ROW()-ROW($A$8))/(20+1))</f>
        <v>11</v>
      </c>
      <c r="B246" s="21" t="n">
        <f aca="false">MOD(ROW()-ROW($A$8),20+1)</f>
        <v>7</v>
      </c>
      <c r="C246" s="13" t="n">
        <f aca="false">A246*(TOMATO_REVENUE_PER_BED-TOMATO_FERTILIZER_PER_BED)+B246*(CARROT_REVENUE_PER_BED-CARROT_FERTILIZER_PER_BED)</f>
        <v>98698</v>
      </c>
      <c r="D246" s="14" t="n">
        <f aca="false">INDEX(TOMATO_SCHED_LABOR_HRS,A246+1)+INDEX(CARROT_SCHED_LABOR_HRS,B246+1)</f>
        <v>3074.10969771592</v>
      </c>
      <c r="E246" s="13" t="n">
        <f aca="false">IF(COUNT(F246:AJ246)=0,"",MAX(F246:AJ246))</f>
        <v>33412.2449425242</v>
      </c>
      <c r="F246" s="53" t="n">
        <f aca="false">IF(OR($A246&gt;TOMATO_BED_CAP,$B246&gt;CARROT_BED_CAP,F$4&gt;MESCLUN_BED_CAP,$A246+$B246+F$4&gt;TOTAL_BEDS_AVAILABLE,($D246+F$5)&gt;TOTAL_LABOR_HOURS_CAP,MAX(0,($D246+F$5)-PERMANENT_FIELD_LABOR_HOURS)&gt;TEMP_HOURS_CAP),"",$C246+F$6-MIN(($D246+F$5),PERMANENT_FIELD_LABOR_HOURS)*PERMANENT_HOURLY_RATE-MAX(0,($D246+F$5)-PERMANENT_FIELD_LABOR_HOURS)*TEMP_HOURLY_RATE-FIXED_SEASON_COST)</f>
        <v>12832.2556476517</v>
      </c>
      <c r="G246" s="53" t="n">
        <f aca="false">IF(OR($A246&gt;TOMATO_BED_CAP,$B246&gt;CARROT_BED_CAP,G$4&gt;MESCLUN_BED_CAP,$A246+$B246+G$4&gt;TOTAL_BEDS_AVAILABLE,($D246+G$5)&gt;TOTAL_LABOR_HOURS_CAP,MAX(0,($D246+G$5)-PERMANENT_FIELD_LABOR_HOURS)&gt;TEMP_HOURS_CAP),"",$C246+G$6-MIN(($D246+G$5),PERMANENT_FIELD_LABOR_HOURS)*PERMANENT_HOURLY_RATE-MAX(0,($D246+G$5)-PERMANENT_FIELD_LABOR_HOURS)*TEMP_HOURLY_RATE-FIXED_SEASON_COST)</f>
        <v>13861.2906476517</v>
      </c>
      <c r="H246" s="53" t="n">
        <f aca="false">IF(OR($A246&gt;TOMATO_BED_CAP,$B246&gt;CARROT_BED_CAP,H$4&gt;MESCLUN_BED_CAP,$A246+$B246+H$4&gt;TOTAL_BEDS_AVAILABLE,($D246+H$5)&gt;TOTAL_LABOR_HOURS_CAP,MAX(0,($D246+H$5)-PERMANENT_FIELD_LABOR_HOURS)&gt;TEMP_HOURS_CAP),"",$C246+H$6-MIN(($D246+H$5),PERMANENT_FIELD_LABOR_HOURS)*PERMANENT_HOURLY_RATE-MAX(0,($D246+H$5)-PERMANENT_FIELD_LABOR_HOURS)*TEMP_HOURLY_RATE-FIXED_SEASON_COST)</f>
        <v>14870.5515226517</v>
      </c>
      <c r="I246" s="53" t="n">
        <f aca="false">IF(OR($A246&gt;TOMATO_BED_CAP,$B246&gt;CARROT_BED_CAP,I$4&gt;MESCLUN_BED_CAP,$A246+$B246+I$4&gt;TOTAL_BEDS_AVAILABLE,($D246+I$5)&gt;TOTAL_LABOR_HOURS_CAP,MAX(0,($D246+I$5)-PERMANENT_FIELD_LABOR_HOURS)&gt;TEMP_HOURS_CAP),"",$C246+I$6-MIN(($D246+I$5),PERMANENT_FIELD_LABOR_HOURS)*PERMANENT_HOURLY_RATE-MAX(0,($D246+I$5)-PERMANENT_FIELD_LABOR_HOURS)*TEMP_HOURLY_RATE-FIXED_SEASON_COST)</f>
        <v>15859.6675078079</v>
      </c>
      <c r="J246" s="53" t="n">
        <f aca="false">IF(OR($A246&gt;TOMATO_BED_CAP,$B246&gt;CARROT_BED_CAP,J$4&gt;MESCLUN_BED_CAP,$A246+$B246+J$4&gt;TOTAL_BEDS_AVAILABLE,($D246+J$5)&gt;TOTAL_LABOR_HOURS_CAP,MAX(0,($D246+J$5)-PERMANENT_FIELD_LABOR_HOURS)&gt;TEMP_HOURS_CAP),"",$C246+J$6-MIN(($D246+J$5),PERMANENT_FIELD_LABOR_HOURS)*PERMANENT_HOURLY_RATE-MAX(0,($D246+J$5)-PERMANENT_FIELD_LABOR_HOURS)*TEMP_HOURLY_RATE-FIXED_SEASON_COST)</f>
        <v>16828.2616588626</v>
      </c>
      <c r="K246" s="53" t="n">
        <f aca="false">IF(OR($A246&gt;TOMATO_BED_CAP,$B246&gt;CARROT_BED_CAP,K$4&gt;MESCLUN_BED_CAP,$A246+$B246+K$4&gt;TOTAL_BEDS_AVAILABLE,($D246+K$5)&gt;TOTAL_LABOR_HOURS_CAP,MAX(0,($D246+K$5)-PERMANENT_FIELD_LABOR_HOURS)&gt;TEMP_HOURS_CAP),"",$C246+K$6-MIN(($D246+K$5),PERMANENT_FIELD_LABOR_HOURS)*PERMANENT_HOURLY_RATE-MAX(0,($D246+K$5)-PERMANENT_FIELD_LABOR_HOURS)*TEMP_HOURLY_RATE-FIXED_SEASON_COST)</f>
        <v>17775.9507555905</v>
      </c>
      <c r="L246" s="53" t="n">
        <f aca="false">IF(OR($A246&gt;TOMATO_BED_CAP,$B246&gt;CARROT_BED_CAP,L$4&gt;MESCLUN_BED_CAP,$A246+$B246+L$4&gt;TOTAL_BEDS_AVAILABLE,($D246+L$5)&gt;TOTAL_LABOR_HOURS_CAP,MAX(0,($D246+L$5)-PERMANENT_FIELD_LABOR_HOURS)&gt;TEMP_HOURS_CAP),"",$C246+L$6-MIN(($D246+L$5),PERMANENT_FIELD_LABOR_HOURS)*PERMANENT_HOURLY_RATE-MAX(0,($D246+L$5)-PERMANENT_FIELD_LABOR_HOURS)*TEMP_HOURLY_RATE-FIXED_SEASON_COST)</f>
        <v>18702.3452037974</v>
      </c>
      <c r="M246" s="53" t="n">
        <f aca="false">IF(OR($A246&gt;TOMATO_BED_CAP,$B246&gt;CARROT_BED_CAP,M$4&gt;MESCLUN_BED_CAP,$A246+$B246+M$4&gt;TOTAL_BEDS_AVAILABLE,($D246+M$5)&gt;TOTAL_LABOR_HOURS_CAP,MAX(0,($D246+M$5)-PERMANENT_FIELD_LABOR_HOURS)&gt;TEMP_HOURS_CAP),"",$C246+M$6-MIN(($D246+M$5),PERMANENT_FIELD_LABOR_HOURS)*PERMANENT_HOURLY_RATE-MAX(0,($D246+M$5)-PERMANENT_FIELD_LABOR_HOURS)*TEMP_HOURLY_RATE-FIXED_SEASON_COST)</f>
        <v>19607.0489358488</v>
      </c>
      <c r="N246" s="53" t="n">
        <f aca="false">IF(OR($A246&gt;TOMATO_BED_CAP,$B246&gt;CARROT_BED_CAP,N$4&gt;MESCLUN_BED_CAP,$A246+$B246+N$4&gt;TOTAL_BEDS_AVAILABLE,($D246+N$5)&gt;TOTAL_LABOR_HOURS_CAP,MAX(0,($D246+N$5)-PERMANENT_FIELD_LABOR_HOURS)&gt;TEMP_HOURS_CAP),"",$C246+N$6-MIN(($D246+N$5),PERMANENT_FIELD_LABOR_HOURS)*PERMANENT_HOURLY_RATE-MAX(0,($D246+N$5)-PERMANENT_FIELD_LABOR_HOURS)*TEMP_HOURLY_RATE-FIXED_SEASON_COST)</f>
        <v>20489.6593097083</v>
      </c>
      <c r="O246" s="53" t="n">
        <f aca="false">IF(OR($A246&gt;TOMATO_BED_CAP,$B246&gt;CARROT_BED_CAP,O$4&gt;MESCLUN_BED_CAP,$A246+$B246+O$4&gt;TOTAL_BEDS_AVAILABLE,($D246+O$5)&gt;TOTAL_LABOR_HOURS_CAP,MAX(0,($D246+O$5)-PERMANENT_FIELD_LABOR_HOURS)&gt;TEMP_HOURS_CAP),"",$C246+O$6-MIN(($D246+O$5),PERMANENT_FIELD_LABOR_HOURS)*PERMANENT_HOURLY_RATE-MAX(0,($D246+O$5)-PERMANENT_FIELD_LABOR_HOURS)*TEMP_HOURLY_RATE-FIXED_SEASON_COST)</f>
        <v>21349.7670064631</v>
      </c>
      <c r="P246" s="53" t="n">
        <f aca="false">IF(OR($A246&gt;TOMATO_BED_CAP,$B246&gt;CARROT_BED_CAP,P$4&gt;MESCLUN_BED_CAP,$A246+$B246+P$4&gt;TOTAL_BEDS_AVAILABLE,($D246+P$5)&gt;TOTAL_LABOR_HOURS_CAP,MAX(0,($D246+P$5)-PERMANENT_FIELD_LABOR_HOURS)&gt;TEMP_HOURS_CAP),"",$C246+P$6-MIN(($D246+P$5),PERMANENT_FIELD_LABOR_HOURS)*PERMANENT_HOURLY_RATE-MAX(0,($D246+P$5)-PERMANENT_FIELD_LABOR_HOURS)*TEMP_HOURLY_RATE-FIXED_SEASON_COST)</f>
        <v>22186.9559263145</v>
      </c>
      <c r="Q246" s="53" t="n">
        <f aca="false">IF(OR($A246&gt;TOMATO_BED_CAP,$B246&gt;CARROT_BED_CAP,Q$4&gt;MESCLUN_BED_CAP,$A246+$B246+Q$4&gt;TOTAL_BEDS_AVAILABLE,($D246+Q$5)&gt;TOTAL_LABOR_HOURS_CAP,MAX(0,($D246+Q$5)-PERMANENT_FIELD_LABOR_HOURS)&gt;TEMP_HOURS_CAP),"",$C246+Q$6-MIN(($D246+Q$5),PERMANENT_FIELD_LABOR_HOURS)*PERMANENT_HOURLY_RATE-MAX(0,($D246+Q$5)-PERMANENT_FIELD_LABOR_HOURS)*TEMP_HOURLY_RATE-FIXED_SEASON_COST)</f>
        <v>23000.8030830124</v>
      </c>
      <c r="R246" s="53" t="n">
        <f aca="false">IF(OR($A246&gt;TOMATO_BED_CAP,$B246&gt;CARROT_BED_CAP,R$4&gt;MESCLUN_BED_CAP,$A246+$B246+R$4&gt;TOTAL_BEDS_AVAILABLE,($D246+R$5)&gt;TOTAL_LABOR_HOURS_CAP,MAX(0,($D246+R$5)-PERMANENT_FIELD_LABOR_HOURS)&gt;TEMP_HOURS_CAP),"",$C246+R$6-MIN(($D246+R$5),PERMANENT_FIELD_LABOR_HOURS)*PERMANENT_HOURLY_RATE-MAX(0,($D246+R$5)-PERMANENT_FIELD_LABOR_HOURS)*TEMP_HOURLY_RATE-FIXED_SEASON_COST)</f>
        <v>23790.8784967092</v>
      </c>
      <c r="S246" s="53" t="n">
        <f aca="false">IF(OR($A246&gt;TOMATO_BED_CAP,$B246&gt;CARROT_BED_CAP,S$4&gt;MESCLUN_BED_CAP,$A246+$B246+S$4&gt;TOTAL_BEDS_AVAILABLE,($D246+S$5)&gt;TOTAL_LABOR_HOURS_CAP,MAX(0,($D246+S$5)-PERMANENT_FIELD_LABOR_HOURS)&gt;TEMP_HOURS_CAP),"",$C246+S$6-MIN(($D246+S$5),PERMANENT_FIELD_LABOR_HOURS)*PERMANENT_HOURLY_RATE-MAX(0,($D246+S$5)-PERMANENT_FIELD_LABOR_HOURS)*TEMP_HOURLY_RATE-FIXED_SEASON_COST)</f>
        <v>24556.7450852116</v>
      </c>
      <c r="T246" s="53" t="n">
        <f aca="false">IF(OR($A246&gt;TOMATO_BED_CAP,$B246&gt;CARROT_BED_CAP,T$4&gt;MESCLUN_BED_CAP,$A246+$B246+T$4&gt;TOTAL_BEDS_AVAILABLE,($D246+T$5)&gt;TOTAL_LABOR_HOURS_CAP,MAX(0,($D246+T$5)-PERMANENT_FIELD_LABOR_HOURS)&gt;TEMP_HOURS_CAP),"",$C246+T$6-MIN(($D246+T$5),PERMANENT_FIELD_LABOR_HOURS)*PERMANENT_HOURLY_RATE-MAX(0,($D246+T$5)-PERMANENT_FIELD_LABOR_HOURS)*TEMP_HOURLY_RATE-FIXED_SEASON_COST)</f>
        <v>25297.9585536065</v>
      </c>
      <c r="U246" s="53" t="n">
        <f aca="false">IF(OR($A246&gt;TOMATO_BED_CAP,$B246&gt;CARROT_BED_CAP,U$4&gt;MESCLUN_BED_CAP,$A246+$B246+U$4&gt;TOTAL_BEDS_AVAILABLE,($D246+U$5)&gt;TOTAL_LABOR_HOURS_CAP,MAX(0,($D246+U$5)-PERMANENT_FIELD_LABOR_HOURS)&gt;TEMP_HOURS_CAP),"",$C246+U$6-MIN(($D246+U$5),PERMANENT_FIELD_LABOR_HOURS)*PERMANENT_HOURLY_RATE-MAX(0,($D246+U$5)-PERMANENT_FIELD_LABOR_HOURS)*TEMP_HOURLY_RATE-FIXED_SEASON_COST)</f>
        <v>26014.0672822366</v>
      </c>
      <c r="V246" s="53" t="n">
        <f aca="false">IF(OR($A246&gt;TOMATO_BED_CAP,$B246&gt;CARROT_BED_CAP,V$4&gt;MESCLUN_BED_CAP,$A246+$B246+V$4&gt;TOTAL_BEDS_AVAILABLE,($D246+V$5)&gt;TOTAL_LABOR_HOURS_CAP,MAX(0,($D246+V$5)-PERMANENT_FIELD_LABOR_HOURS)&gt;TEMP_HOURS_CAP),"",$C246+V$6-MIN(($D246+V$5),PERMANENT_FIELD_LABOR_HOURS)*PERMANENT_HOURLY_RATE-MAX(0,($D246+V$5)-PERMANENT_FIELD_LABOR_HOURS)*TEMP_HOURLY_RATE-FIXED_SEASON_COST)</f>
        <v>26704.6122130034</v>
      </c>
      <c r="W246" s="53" t="n">
        <f aca="false">IF(OR($A246&gt;TOMATO_BED_CAP,$B246&gt;CARROT_BED_CAP,W$4&gt;MESCLUN_BED_CAP,$A246+$B246+W$4&gt;TOTAL_BEDS_AVAILABLE,($D246+W$5)&gt;TOTAL_LABOR_HOURS_CAP,MAX(0,($D246+W$5)-PERMANENT_FIELD_LABOR_HOURS)&gt;TEMP_HOURS_CAP),"",$C246+W$6-MIN(($D246+W$5),PERMANENT_FIELD_LABOR_HOURS)*PERMANENT_HOURLY_RATE-MAX(0,($D246+W$5)-PERMANENT_FIELD_LABOR_HOURS)*TEMP_HOURLY_RATE-FIXED_SEASON_COST)</f>
        <v>27369.1267339714</v>
      </c>
      <c r="X246" s="53" t="n">
        <f aca="false">IF(OR($A246&gt;TOMATO_BED_CAP,$B246&gt;CARROT_BED_CAP,X$4&gt;MESCLUN_BED_CAP,$A246+$B246+X$4&gt;TOTAL_BEDS_AVAILABLE,($D246+X$5)&gt;TOTAL_LABOR_HOURS_CAP,MAX(0,($D246+X$5)-PERMANENT_FIELD_LABOR_HOURS)&gt;TEMP_HOURS_CAP),"",$C246+X$6-MIN(($D246+X$5),PERMANENT_FIELD_LABOR_HOURS)*PERMANENT_HOURLY_RATE-MAX(0,($D246+X$5)-PERMANENT_FIELD_LABOR_HOURS)*TEMP_HOURLY_RATE-FIXED_SEASON_COST)</f>
        <v>28007.1365622504</v>
      </c>
      <c r="Y246" s="53" t="n">
        <f aca="false">IF(OR($A246&gt;TOMATO_BED_CAP,$B246&gt;CARROT_BED_CAP,Y$4&gt;MESCLUN_BED_CAP,$A246+$B246+Y$4&gt;TOTAL_BEDS_AVAILABLE,($D246+Y$5)&gt;TOTAL_LABOR_HOURS_CAP,MAX(0,($D246+Y$5)-PERMANENT_FIELD_LABOR_HOURS)&gt;TEMP_HOURS_CAP),"",$C246+Y$6-MIN(($D246+Y$5),PERMANENT_FIELD_LABOR_HOURS)*PERMANENT_HOURLY_RATE-MAX(0,($D246+Y$5)-PERMANENT_FIELD_LABOR_HOURS)*TEMP_HOURLY_RATE-FIXED_SEASON_COST)</f>
        <v>28618.159625129</v>
      </c>
      <c r="Z246" s="53" t="n">
        <f aca="false">IF(OR($A246&gt;TOMATO_BED_CAP,$B246&gt;CARROT_BED_CAP,Z$4&gt;MESCLUN_BED_CAP,$A246+$B246+Z$4&gt;TOTAL_BEDS_AVAILABLE,($D246+Z$5)&gt;TOTAL_LABOR_HOURS_CAP,MAX(0,($D246+Z$5)-PERMANENT_FIELD_LABOR_HOURS)&gt;TEMP_HOURS_CAP),"",$C246+Z$6-MIN(($D246+Z$5),PERMANENT_FIELD_LABOR_HOURS)*PERMANENT_HOURLY_RATE-MAX(0,($D246+Z$5)-PERMANENT_FIELD_LABOR_HOURS)*TEMP_HOURLY_RATE-FIXED_SEASON_COST)</f>
        <v>29201.7059394367</v>
      </c>
      <c r="AA246" s="53" t="n">
        <f aca="false">IF(OR($A246&gt;TOMATO_BED_CAP,$B246&gt;CARROT_BED_CAP,AA$4&gt;MESCLUN_BED_CAP,$A246+$B246+AA$4&gt;TOTAL_BEDS_AVAILABLE,($D246+AA$5)&gt;TOTAL_LABOR_HOURS_CAP,MAX(0,($D246+AA$5)-PERMANENT_FIELD_LABOR_HOURS)&gt;TEMP_HOURS_CAP),"",$C246+AA$6-MIN(($D246+AA$5),PERMANENT_FIELD_LABOR_HOURS)*PERMANENT_HOURLY_RATE-MAX(0,($D246+AA$5)-PERMANENT_FIELD_LABOR_HOURS)*TEMP_HOURLY_RATE-FIXED_SEASON_COST)</f>
        <v>29757.2774891057</v>
      </c>
      <c r="AB246" s="53" t="n">
        <f aca="false">IF(OR($A246&gt;TOMATO_BED_CAP,$B246&gt;CARROT_BED_CAP,AB$4&gt;MESCLUN_BED_CAP,$A246+$B246+AB$4&gt;TOTAL_BEDS_AVAILABLE,($D246+AB$5)&gt;TOTAL_LABOR_HOURS_CAP,MAX(0,($D246+AB$5)-PERMANENT_FIELD_LABOR_HOURS)&gt;TEMP_HOURS_CAP),"",$C246+AB$6-MIN(($D246+AB$5),PERMANENT_FIELD_LABOR_HOURS)*PERMANENT_HOURLY_RATE-MAX(0,($D246+AB$5)-PERMANENT_FIELD_LABOR_HOURS)*TEMP_HOURLY_RATE-FIXED_SEASON_COST)</f>
        <v>30284.3681009082</v>
      </c>
      <c r="AC246" s="53" t="n">
        <f aca="false">IF(OR($A246&gt;TOMATO_BED_CAP,$B246&gt;CARROT_BED_CAP,AC$4&gt;MESCLUN_BED_CAP,$A246+$B246+AC$4&gt;TOTAL_BEDS_AVAILABLE,($D246+AC$5)&gt;TOTAL_LABOR_HOURS_CAP,MAX(0,($D246+AC$5)-PERMANENT_FIELD_LABOR_HOURS)&gt;TEMP_HOURS_CAP),"",$C246+AC$6-MIN(($D246+AC$5),PERMANENT_FIELD_LABOR_HOURS)*PERMANENT_HOURLY_RATE-MAX(0,($D246+AC$5)-PERMANENT_FIELD_LABOR_HOURS)*TEMP_HOURLY_RATE-FIXED_SEASON_COST)</f>
        <v>30782.4633183431</v>
      </c>
      <c r="AD246" s="53" t="n">
        <f aca="false">IF(OR($A246&gt;TOMATO_BED_CAP,$B246&gt;CARROT_BED_CAP,AD$4&gt;MESCLUN_BED_CAP,$A246+$B246+AD$4&gt;TOTAL_BEDS_AVAILABLE,($D246+AD$5)&gt;TOTAL_LABOR_HOURS_CAP,MAX(0,($D246+AD$5)-PERMANENT_FIELD_LABOR_HOURS)&gt;TEMP_HOURS_CAP),"",$C246+AD$6-MIN(($D246+AD$5),PERMANENT_FIELD_LABOR_HOURS)*PERMANENT_HOURLY_RATE-MAX(0,($D246+AD$5)-PERMANENT_FIELD_LABOR_HOURS)*TEMP_HOURLY_RATE-FIXED_SEASON_COST)</f>
        <v>31251.0402736431</v>
      </c>
      <c r="AE246" s="53" t="n">
        <f aca="false">IF(OR($A246&gt;TOMATO_BED_CAP,$B246&gt;CARROT_BED_CAP,AE$4&gt;MESCLUN_BED_CAP,$A246+$B246+AE$4&gt;TOTAL_BEDS_AVAILABLE,($D246+AE$5)&gt;TOTAL_LABOR_HOURS_CAP,MAX(0,($D246+AE$5)-PERMANENT_FIELD_LABOR_HOURS)&gt;TEMP_HOURS_CAP),"",$C246+AE$6-MIN(($D246+AE$5),PERMANENT_FIELD_LABOR_HOURS)*PERMANENT_HOURLY_RATE-MAX(0,($D246+AE$5)-PERMANENT_FIELD_LABOR_HOURS)*TEMP_HOURLY_RATE-FIXED_SEASON_COST)</f>
        <v>31689.567557877</v>
      </c>
      <c r="AF246" s="53" t="n">
        <f aca="false">IF(OR($A246&gt;TOMATO_BED_CAP,$B246&gt;CARROT_BED_CAP,AF$4&gt;MESCLUN_BED_CAP,$A246+$B246+AF$4&gt;TOTAL_BEDS_AVAILABLE,($D246+AF$5)&gt;TOTAL_LABOR_HOURS_CAP,MAX(0,($D246+AF$5)-PERMANENT_FIELD_LABOR_HOURS)&gt;TEMP_HOURS_CAP),"",$C246+AF$6-MIN(($D246+AF$5),PERMANENT_FIELD_LABOR_HOURS)*PERMANENT_HOURLY_RATE-MAX(0,($D246+AF$5)-PERMANENT_FIELD_LABOR_HOURS)*TEMP_HOURLY_RATE-FIXED_SEASON_COST)</f>
        <v>32097.505089119</v>
      </c>
      <c r="AG246" s="53" t="n">
        <f aca="false">IF(OR($A246&gt;TOMATO_BED_CAP,$B246&gt;CARROT_BED_CAP,AG$4&gt;MESCLUN_BED_CAP,$A246+$B246+AG$4&gt;TOTAL_BEDS_AVAILABLE,($D246+AG$5)&gt;TOTAL_LABOR_HOURS_CAP,MAX(0,($D246+AG$5)-PERMANENT_FIELD_LABOR_HOURS)&gt;TEMP_HOURS_CAP),"",$C246+AG$6-MIN(($D246+AG$5),PERMANENT_FIELD_LABOR_HOURS)*PERMANENT_HOURLY_RATE-MAX(0,($D246+AG$5)-PERMANENT_FIELD_LABOR_HOURS)*TEMP_HOURLY_RATE-FIXED_SEASON_COST)</f>
        <v>32474.303978656</v>
      </c>
      <c r="AH246" s="53" t="n">
        <f aca="false">IF(OR($A246&gt;TOMATO_BED_CAP,$B246&gt;CARROT_BED_CAP,AH$4&gt;MESCLUN_BED_CAP,$A246+$B246+AH$4&gt;TOTAL_BEDS_AVAILABLE,($D246+AH$5)&gt;TOTAL_LABOR_HOURS_CAP,MAX(0,($D246+AH$5)-PERMANENT_FIELD_LABOR_HOURS)&gt;TEMP_HOURS_CAP),"",$C246+AH$6-MIN(($D246+AH$5),PERMANENT_FIELD_LABOR_HOURS)*PERMANENT_HOURLY_RATE-MAX(0,($D246+AH$5)-PERMANENT_FIELD_LABOR_HOURS)*TEMP_HOURLY_RATE-FIXED_SEASON_COST)</f>
        <v>32819.4063952062</v>
      </c>
      <c r="AI246" s="53" t="n">
        <f aca="false">IF(OR($A246&gt;TOMATO_BED_CAP,$B246&gt;CARROT_BED_CAP,AI$4&gt;MESCLUN_BED_CAP,$A246+$B246+AI$4&gt;TOTAL_BEDS_AVAILABLE,($D246+AI$5)&gt;TOTAL_LABOR_HOURS_CAP,MAX(0,($D246+AI$5)-PERMANENT_FIELD_LABOR_HOURS)&gt;TEMP_HOURS_CAP),"",$C246+AI$6-MIN(($D246+AI$5),PERMANENT_FIELD_LABOR_HOURS)*PERMANENT_HOURLY_RATE-MAX(0,($D246+AI$5)-PERMANENT_FIELD_LABOR_HOURS)*TEMP_HOURLY_RATE-FIXED_SEASON_COST)</f>
        <v>33132.2454271184</v>
      </c>
      <c r="AJ246" s="53" t="n">
        <f aca="false">IF(OR($A246&gt;TOMATO_BED_CAP,$B246&gt;CARROT_BED_CAP,AJ$4&gt;MESCLUN_BED_CAP,$A246+$B246+AJ$4&gt;TOTAL_BEDS_AVAILABLE,($D246+AJ$5)&gt;TOTAL_LABOR_HOURS_CAP,MAX(0,($D246+AJ$5)-PERMANENT_FIELD_LABOR_HOURS)&gt;TEMP_HOURS_CAP),"",$C246+AJ$6-MIN(($D246+AJ$5),PERMANENT_FIELD_LABOR_HOURS)*PERMANENT_HOURLY_RATE-MAX(0,($D246+AJ$5)-PERMANENT_FIELD_LABOR_HOURS)*TEMP_HOURLY_RATE-FIXED_SEASON_COST)</f>
        <v>33412.2449425242</v>
      </c>
    </row>
    <row r="247" customFormat="false" ht="15" hidden="false" customHeight="false" outlineLevel="0" collapsed="false">
      <c r="A247" s="21" t="n">
        <f aca="false">INT((ROW()-ROW($A$8))/(20+1))</f>
        <v>11</v>
      </c>
      <c r="B247" s="21" t="n">
        <f aca="false">MOD(ROW()-ROW($A$8),20+1)</f>
        <v>8</v>
      </c>
      <c r="C247" s="13" t="n">
        <f aca="false">A247*(TOMATO_REVENUE_PER_BED-TOMATO_FERTILIZER_PER_BED)+B247*(CARROT_REVENUE_PER_BED-CARROT_FERTILIZER_PER_BED)</f>
        <v>100352</v>
      </c>
      <c r="D247" s="14" t="n">
        <f aca="false">INDEX(TOMATO_SCHED_LABOR_HRS,A247+1)+INDEX(CARROT_SCHED_LABOR_HRS,B247+1)</f>
        <v>3116.88526777312</v>
      </c>
      <c r="E247" s="13" t="n">
        <f aca="false">IF(COUNT(F247:AJ247)=0,"",MAX(F247:AJ247))</f>
        <v>34323.6610463312</v>
      </c>
      <c r="F247" s="53" t="n">
        <f aca="false">IF(OR($A247&gt;TOMATO_BED_CAP,$B247&gt;CARROT_BED_CAP,F$4&gt;MESCLUN_BED_CAP,$A247+$B247+F$4&gt;TOTAL_BEDS_AVAILABLE,($D247+F$5)&gt;TOTAL_LABOR_HOURS_CAP,MAX(0,($D247+F$5)-PERMANENT_FIELD_LABOR_HOURS)&gt;TEMP_HOURS_CAP),"",$C247+F$6-MIN(($D247+F$5),PERMANENT_FIELD_LABOR_HOURS)*PERMANENT_HOURLY_RATE-MAX(0,($D247+F$5)-PERMANENT_FIELD_LABOR_HOURS)*TEMP_HOURLY_RATE-FIXED_SEASON_COST)</f>
        <v>13743.6717514586</v>
      </c>
      <c r="G247" s="53" t="n">
        <f aca="false">IF(OR($A247&gt;TOMATO_BED_CAP,$B247&gt;CARROT_BED_CAP,G$4&gt;MESCLUN_BED_CAP,$A247+$B247+G$4&gt;TOTAL_BEDS_AVAILABLE,($D247+G$5)&gt;TOTAL_LABOR_HOURS_CAP,MAX(0,($D247+G$5)-PERMANENT_FIELD_LABOR_HOURS)&gt;TEMP_HOURS_CAP),"",$C247+G$6-MIN(($D247+G$5),PERMANENT_FIELD_LABOR_HOURS)*PERMANENT_HOURLY_RATE-MAX(0,($D247+G$5)-PERMANENT_FIELD_LABOR_HOURS)*TEMP_HOURLY_RATE-FIXED_SEASON_COST)</f>
        <v>14772.7067514586</v>
      </c>
      <c r="H247" s="53" t="n">
        <f aca="false">IF(OR($A247&gt;TOMATO_BED_CAP,$B247&gt;CARROT_BED_CAP,H$4&gt;MESCLUN_BED_CAP,$A247+$B247+H$4&gt;TOTAL_BEDS_AVAILABLE,($D247+H$5)&gt;TOTAL_LABOR_HOURS_CAP,MAX(0,($D247+H$5)-PERMANENT_FIELD_LABOR_HOURS)&gt;TEMP_HOURS_CAP),"",$C247+H$6-MIN(($D247+H$5),PERMANENT_FIELD_LABOR_HOURS)*PERMANENT_HOURLY_RATE-MAX(0,($D247+H$5)-PERMANENT_FIELD_LABOR_HOURS)*TEMP_HOURLY_RATE-FIXED_SEASON_COST)</f>
        <v>15781.9676264586</v>
      </c>
      <c r="I247" s="53" t="n">
        <f aca="false">IF(OR($A247&gt;TOMATO_BED_CAP,$B247&gt;CARROT_BED_CAP,I$4&gt;MESCLUN_BED_CAP,$A247+$B247+I$4&gt;TOTAL_BEDS_AVAILABLE,($D247+I$5)&gt;TOTAL_LABOR_HOURS_CAP,MAX(0,($D247+I$5)-PERMANENT_FIELD_LABOR_HOURS)&gt;TEMP_HOURS_CAP),"",$C247+I$6-MIN(($D247+I$5),PERMANENT_FIELD_LABOR_HOURS)*PERMANENT_HOURLY_RATE-MAX(0,($D247+I$5)-PERMANENT_FIELD_LABOR_HOURS)*TEMP_HOURLY_RATE-FIXED_SEASON_COST)</f>
        <v>16771.0836116149</v>
      </c>
      <c r="J247" s="53" t="n">
        <f aca="false">IF(OR($A247&gt;TOMATO_BED_CAP,$B247&gt;CARROT_BED_CAP,J$4&gt;MESCLUN_BED_CAP,$A247+$B247+J$4&gt;TOTAL_BEDS_AVAILABLE,($D247+J$5)&gt;TOTAL_LABOR_HOURS_CAP,MAX(0,($D247+J$5)-PERMANENT_FIELD_LABOR_HOURS)&gt;TEMP_HOURS_CAP),"",$C247+J$6-MIN(($D247+J$5),PERMANENT_FIELD_LABOR_HOURS)*PERMANENT_HOURLY_RATE-MAX(0,($D247+J$5)-PERMANENT_FIELD_LABOR_HOURS)*TEMP_HOURLY_RATE-FIXED_SEASON_COST)</f>
        <v>17739.6777626696</v>
      </c>
      <c r="K247" s="53" t="n">
        <f aca="false">IF(OR($A247&gt;TOMATO_BED_CAP,$B247&gt;CARROT_BED_CAP,K$4&gt;MESCLUN_BED_CAP,$A247+$B247+K$4&gt;TOTAL_BEDS_AVAILABLE,($D247+K$5)&gt;TOTAL_LABOR_HOURS_CAP,MAX(0,($D247+K$5)-PERMANENT_FIELD_LABOR_HOURS)&gt;TEMP_HOURS_CAP),"",$C247+K$6-MIN(($D247+K$5),PERMANENT_FIELD_LABOR_HOURS)*PERMANENT_HOURLY_RATE-MAX(0,($D247+K$5)-PERMANENT_FIELD_LABOR_HOURS)*TEMP_HOURLY_RATE-FIXED_SEASON_COST)</f>
        <v>18687.3668593975</v>
      </c>
      <c r="L247" s="53" t="n">
        <f aca="false">IF(OR($A247&gt;TOMATO_BED_CAP,$B247&gt;CARROT_BED_CAP,L$4&gt;MESCLUN_BED_CAP,$A247+$B247+L$4&gt;TOTAL_BEDS_AVAILABLE,($D247+L$5)&gt;TOTAL_LABOR_HOURS_CAP,MAX(0,($D247+L$5)-PERMANENT_FIELD_LABOR_HOURS)&gt;TEMP_HOURS_CAP),"",$C247+L$6-MIN(($D247+L$5),PERMANENT_FIELD_LABOR_HOURS)*PERMANENT_HOURLY_RATE-MAX(0,($D247+L$5)-PERMANENT_FIELD_LABOR_HOURS)*TEMP_HOURLY_RATE-FIXED_SEASON_COST)</f>
        <v>19613.7613076043</v>
      </c>
      <c r="M247" s="53" t="n">
        <f aca="false">IF(OR($A247&gt;TOMATO_BED_CAP,$B247&gt;CARROT_BED_CAP,M$4&gt;MESCLUN_BED_CAP,$A247+$B247+M$4&gt;TOTAL_BEDS_AVAILABLE,($D247+M$5)&gt;TOTAL_LABOR_HOURS_CAP,MAX(0,($D247+M$5)-PERMANENT_FIELD_LABOR_HOURS)&gt;TEMP_HOURS_CAP),"",$C247+M$6-MIN(($D247+M$5),PERMANENT_FIELD_LABOR_HOURS)*PERMANENT_HOURLY_RATE-MAX(0,($D247+M$5)-PERMANENT_FIELD_LABOR_HOURS)*TEMP_HOURLY_RATE-FIXED_SEASON_COST)</f>
        <v>20518.4650396557</v>
      </c>
      <c r="N247" s="53" t="n">
        <f aca="false">IF(OR($A247&gt;TOMATO_BED_CAP,$B247&gt;CARROT_BED_CAP,N$4&gt;MESCLUN_BED_CAP,$A247+$B247+N$4&gt;TOTAL_BEDS_AVAILABLE,($D247+N$5)&gt;TOTAL_LABOR_HOURS_CAP,MAX(0,($D247+N$5)-PERMANENT_FIELD_LABOR_HOURS)&gt;TEMP_HOURS_CAP),"",$C247+N$6-MIN(($D247+N$5),PERMANENT_FIELD_LABOR_HOURS)*PERMANENT_HOURLY_RATE-MAX(0,($D247+N$5)-PERMANENT_FIELD_LABOR_HOURS)*TEMP_HOURLY_RATE-FIXED_SEASON_COST)</f>
        <v>21401.0754135153</v>
      </c>
      <c r="O247" s="53" t="n">
        <f aca="false">IF(OR($A247&gt;TOMATO_BED_CAP,$B247&gt;CARROT_BED_CAP,O$4&gt;MESCLUN_BED_CAP,$A247+$B247+O$4&gt;TOTAL_BEDS_AVAILABLE,($D247+O$5)&gt;TOTAL_LABOR_HOURS_CAP,MAX(0,($D247+O$5)-PERMANENT_FIELD_LABOR_HOURS)&gt;TEMP_HOURS_CAP),"",$C247+O$6-MIN(($D247+O$5),PERMANENT_FIELD_LABOR_HOURS)*PERMANENT_HOURLY_RATE-MAX(0,($D247+O$5)-PERMANENT_FIELD_LABOR_HOURS)*TEMP_HOURLY_RATE-FIXED_SEASON_COST)</f>
        <v>22261.18311027</v>
      </c>
      <c r="P247" s="53" t="n">
        <f aca="false">IF(OR($A247&gt;TOMATO_BED_CAP,$B247&gt;CARROT_BED_CAP,P$4&gt;MESCLUN_BED_CAP,$A247+$B247+P$4&gt;TOTAL_BEDS_AVAILABLE,($D247+P$5)&gt;TOTAL_LABOR_HOURS_CAP,MAX(0,($D247+P$5)-PERMANENT_FIELD_LABOR_HOURS)&gt;TEMP_HOURS_CAP),"",$C247+P$6-MIN(($D247+P$5),PERMANENT_FIELD_LABOR_HOURS)*PERMANENT_HOURLY_RATE-MAX(0,($D247+P$5)-PERMANENT_FIELD_LABOR_HOURS)*TEMP_HOURLY_RATE-FIXED_SEASON_COST)</f>
        <v>23098.3720301214</v>
      </c>
      <c r="Q247" s="53" t="n">
        <f aca="false">IF(OR($A247&gt;TOMATO_BED_CAP,$B247&gt;CARROT_BED_CAP,Q$4&gt;MESCLUN_BED_CAP,$A247+$B247+Q$4&gt;TOTAL_BEDS_AVAILABLE,($D247+Q$5)&gt;TOTAL_LABOR_HOURS_CAP,MAX(0,($D247+Q$5)-PERMANENT_FIELD_LABOR_HOURS)&gt;TEMP_HOURS_CAP),"",$C247+Q$6-MIN(($D247+Q$5),PERMANENT_FIELD_LABOR_HOURS)*PERMANENT_HOURLY_RATE-MAX(0,($D247+Q$5)-PERMANENT_FIELD_LABOR_HOURS)*TEMP_HOURLY_RATE-FIXED_SEASON_COST)</f>
        <v>23912.2191868193</v>
      </c>
      <c r="R247" s="53" t="n">
        <f aca="false">IF(OR($A247&gt;TOMATO_BED_CAP,$B247&gt;CARROT_BED_CAP,R$4&gt;MESCLUN_BED_CAP,$A247+$B247+R$4&gt;TOTAL_BEDS_AVAILABLE,($D247+R$5)&gt;TOTAL_LABOR_HOURS_CAP,MAX(0,($D247+R$5)-PERMANENT_FIELD_LABOR_HOURS)&gt;TEMP_HOURS_CAP),"",$C247+R$6-MIN(($D247+R$5),PERMANENT_FIELD_LABOR_HOURS)*PERMANENT_HOURLY_RATE-MAX(0,($D247+R$5)-PERMANENT_FIELD_LABOR_HOURS)*TEMP_HOURLY_RATE-FIXED_SEASON_COST)</f>
        <v>24702.2946005161</v>
      </c>
      <c r="S247" s="53" t="n">
        <f aca="false">IF(OR($A247&gt;TOMATO_BED_CAP,$B247&gt;CARROT_BED_CAP,S$4&gt;MESCLUN_BED_CAP,$A247+$B247+S$4&gt;TOTAL_BEDS_AVAILABLE,($D247+S$5)&gt;TOTAL_LABOR_HOURS_CAP,MAX(0,($D247+S$5)-PERMANENT_FIELD_LABOR_HOURS)&gt;TEMP_HOURS_CAP),"",$C247+S$6-MIN(($D247+S$5),PERMANENT_FIELD_LABOR_HOURS)*PERMANENT_HOURLY_RATE-MAX(0,($D247+S$5)-PERMANENT_FIELD_LABOR_HOURS)*TEMP_HOURLY_RATE-FIXED_SEASON_COST)</f>
        <v>25468.1611890186</v>
      </c>
      <c r="T247" s="53" t="n">
        <f aca="false">IF(OR($A247&gt;TOMATO_BED_CAP,$B247&gt;CARROT_BED_CAP,T$4&gt;MESCLUN_BED_CAP,$A247+$B247+T$4&gt;TOTAL_BEDS_AVAILABLE,($D247+T$5)&gt;TOTAL_LABOR_HOURS_CAP,MAX(0,($D247+T$5)-PERMANENT_FIELD_LABOR_HOURS)&gt;TEMP_HOURS_CAP),"",$C247+T$6-MIN(($D247+T$5),PERMANENT_FIELD_LABOR_HOURS)*PERMANENT_HOURLY_RATE-MAX(0,($D247+T$5)-PERMANENT_FIELD_LABOR_HOURS)*TEMP_HOURLY_RATE-FIXED_SEASON_COST)</f>
        <v>26209.3746574134</v>
      </c>
      <c r="U247" s="53" t="n">
        <f aca="false">IF(OR($A247&gt;TOMATO_BED_CAP,$B247&gt;CARROT_BED_CAP,U$4&gt;MESCLUN_BED_CAP,$A247+$B247+U$4&gt;TOTAL_BEDS_AVAILABLE,($D247+U$5)&gt;TOTAL_LABOR_HOURS_CAP,MAX(0,($D247+U$5)-PERMANENT_FIELD_LABOR_HOURS)&gt;TEMP_HOURS_CAP),"",$C247+U$6-MIN(($D247+U$5),PERMANENT_FIELD_LABOR_HOURS)*PERMANENT_HOURLY_RATE-MAX(0,($D247+U$5)-PERMANENT_FIELD_LABOR_HOURS)*TEMP_HOURLY_RATE-FIXED_SEASON_COST)</f>
        <v>26925.4833860435</v>
      </c>
      <c r="V247" s="53" t="n">
        <f aca="false">IF(OR($A247&gt;TOMATO_BED_CAP,$B247&gt;CARROT_BED_CAP,V$4&gt;MESCLUN_BED_CAP,$A247+$B247+V$4&gt;TOTAL_BEDS_AVAILABLE,($D247+V$5)&gt;TOTAL_LABOR_HOURS_CAP,MAX(0,($D247+V$5)-PERMANENT_FIELD_LABOR_HOURS)&gt;TEMP_HOURS_CAP),"",$C247+V$6-MIN(($D247+V$5),PERMANENT_FIELD_LABOR_HOURS)*PERMANENT_HOURLY_RATE-MAX(0,($D247+V$5)-PERMANENT_FIELD_LABOR_HOURS)*TEMP_HOURLY_RATE-FIXED_SEASON_COST)</f>
        <v>27616.0283168103</v>
      </c>
      <c r="W247" s="53" t="n">
        <f aca="false">IF(OR($A247&gt;TOMATO_BED_CAP,$B247&gt;CARROT_BED_CAP,W$4&gt;MESCLUN_BED_CAP,$A247+$B247+W$4&gt;TOTAL_BEDS_AVAILABLE,($D247+W$5)&gt;TOTAL_LABOR_HOURS_CAP,MAX(0,($D247+W$5)-PERMANENT_FIELD_LABOR_HOURS)&gt;TEMP_HOURS_CAP),"",$C247+W$6-MIN(($D247+W$5),PERMANENT_FIELD_LABOR_HOURS)*PERMANENT_HOURLY_RATE-MAX(0,($D247+W$5)-PERMANENT_FIELD_LABOR_HOURS)*TEMP_HOURLY_RATE-FIXED_SEASON_COST)</f>
        <v>28280.5428377784</v>
      </c>
      <c r="X247" s="53" t="n">
        <f aca="false">IF(OR($A247&gt;TOMATO_BED_CAP,$B247&gt;CARROT_BED_CAP,X$4&gt;MESCLUN_BED_CAP,$A247+$B247+X$4&gt;TOTAL_BEDS_AVAILABLE,($D247+X$5)&gt;TOTAL_LABOR_HOURS_CAP,MAX(0,($D247+X$5)-PERMANENT_FIELD_LABOR_HOURS)&gt;TEMP_HOURS_CAP),"",$C247+X$6-MIN(($D247+X$5),PERMANENT_FIELD_LABOR_HOURS)*PERMANENT_HOURLY_RATE-MAX(0,($D247+X$5)-PERMANENT_FIELD_LABOR_HOURS)*TEMP_HOURLY_RATE-FIXED_SEASON_COST)</f>
        <v>28918.5526660573</v>
      </c>
      <c r="Y247" s="53" t="n">
        <f aca="false">IF(OR($A247&gt;TOMATO_BED_CAP,$B247&gt;CARROT_BED_CAP,Y$4&gt;MESCLUN_BED_CAP,$A247+$B247+Y$4&gt;TOTAL_BEDS_AVAILABLE,($D247+Y$5)&gt;TOTAL_LABOR_HOURS_CAP,MAX(0,($D247+Y$5)-PERMANENT_FIELD_LABOR_HOURS)&gt;TEMP_HOURS_CAP),"",$C247+Y$6-MIN(($D247+Y$5),PERMANENT_FIELD_LABOR_HOURS)*PERMANENT_HOURLY_RATE-MAX(0,($D247+Y$5)-PERMANENT_FIELD_LABOR_HOURS)*TEMP_HOURLY_RATE-FIXED_SEASON_COST)</f>
        <v>29529.575728936</v>
      </c>
      <c r="Z247" s="53" t="n">
        <f aca="false">IF(OR($A247&gt;TOMATO_BED_CAP,$B247&gt;CARROT_BED_CAP,Z$4&gt;MESCLUN_BED_CAP,$A247+$B247+Z$4&gt;TOTAL_BEDS_AVAILABLE,($D247+Z$5)&gt;TOTAL_LABOR_HOURS_CAP,MAX(0,($D247+Z$5)-PERMANENT_FIELD_LABOR_HOURS)&gt;TEMP_HOURS_CAP),"",$C247+Z$6-MIN(($D247+Z$5),PERMANENT_FIELD_LABOR_HOURS)*PERMANENT_HOURLY_RATE-MAX(0,($D247+Z$5)-PERMANENT_FIELD_LABOR_HOURS)*TEMP_HOURLY_RATE-FIXED_SEASON_COST)</f>
        <v>30113.1220432437</v>
      </c>
      <c r="AA247" s="53" t="n">
        <f aca="false">IF(OR($A247&gt;TOMATO_BED_CAP,$B247&gt;CARROT_BED_CAP,AA$4&gt;MESCLUN_BED_CAP,$A247+$B247+AA$4&gt;TOTAL_BEDS_AVAILABLE,($D247+AA$5)&gt;TOTAL_LABOR_HOURS_CAP,MAX(0,($D247+AA$5)-PERMANENT_FIELD_LABOR_HOURS)&gt;TEMP_HOURS_CAP),"",$C247+AA$6-MIN(($D247+AA$5),PERMANENT_FIELD_LABOR_HOURS)*PERMANENT_HOURLY_RATE-MAX(0,($D247+AA$5)-PERMANENT_FIELD_LABOR_HOURS)*TEMP_HOURLY_RATE-FIXED_SEASON_COST)</f>
        <v>30668.6935929126</v>
      </c>
      <c r="AB247" s="53" t="n">
        <f aca="false">IF(OR($A247&gt;TOMATO_BED_CAP,$B247&gt;CARROT_BED_CAP,AB$4&gt;MESCLUN_BED_CAP,$A247+$B247+AB$4&gt;TOTAL_BEDS_AVAILABLE,($D247+AB$5)&gt;TOTAL_LABOR_HOURS_CAP,MAX(0,($D247+AB$5)-PERMANENT_FIELD_LABOR_HOURS)&gt;TEMP_HOURS_CAP),"",$C247+AB$6-MIN(($D247+AB$5),PERMANENT_FIELD_LABOR_HOURS)*PERMANENT_HOURLY_RATE-MAX(0,($D247+AB$5)-PERMANENT_FIELD_LABOR_HOURS)*TEMP_HOURLY_RATE-FIXED_SEASON_COST)</f>
        <v>31195.7842047152</v>
      </c>
      <c r="AC247" s="53" t="n">
        <f aca="false">IF(OR($A247&gt;TOMATO_BED_CAP,$B247&gt;CARROT_BED_CAP,AC$4&gt;MESCLUN_BED_CAP,$A247+$B247+AC$4&gt;TOTAL_BEDS_AVAILABLE,($D247+AC$5)&gt;TOTAL_LABOR_HOURS_CAP,MAX(0,($D247+AC$5)-PERMANENT_FIELD_LABOR_HOURS)&gt;TEMP_HOURS_CAP),"",$C247+AC$6-MIN(($D247+AC$5),PERMANENT_FIELD_LABOR_HOURS)*PERMANENT_HOURLY_RATE-MAX(0,($D247+AC$5)-PERMANENT_FIELD_LABOR_HOURS)*TEMP_HOURLY_RATE-FIXED_SEASON_COST)</f>
        <v>31693.8794221501</v>
      </c>
      <c r="AD247" s="53" t="n">
        <f aca="false">IF(OR($A247&gt;TOMATO_BED_CAP,$B247&gt;CARROT_BED_CAP,AD$4&gt;MESCLUN_BED_CAP,$A247+$B247+AD$4&gt;TOTAL_BEDS_AVAILABLE,($D247+AD$5)&gt;TOTAL_LABOR_HOURS_CAP,MAX(0,($D247+AD$5)-PERMANENT_FIELD_LABOR_HOURS)&gt;TEMP_HOURS_CAP),"",$C247+AD$6-MIN(($D247+AD$5),PERMANENT_FIELD_LABOR_HOURS)*PERMANENT_HOURLY_RATE-MAX(0,($D247+AD$5)-PERMANENT_FIELD_LABOR_HOURS)*TEMP_HOURLY_RATE-FIXED_SEASON_COST)</f>
        <v>32162.45637745</v>
      </c>
      <c r="AE247" s="53" t="n">
        <f aca="false">IF(OR($A247&gt;TOMATO_BED_CAP,$B247&gt;CARROT_BED_CAP,AE$4&gt;MESCLUN_BED_CAP,$A247+$B247+AE$4&gt;TOTAL_BEDS_AVAILABLE,($D247+AE$5)&gt;TOTAL_LABOR_HOURS_CAP,MAX(0,($D247+AE$5)-PERMANENT_FIELD_LABOR_HOURS)&gt;TEMP_HOURS_CAP),"",$C247+AE$6-MIN(($D247+AE$5),PERMANENT_FIELD_LABOR_HOURS)*PERMANENT_HOURLY_RATE-MAX(0,($D247+AE$5)-PERMANENT_FIELD_LABOR_HOURS)*TEMP_HOURLY_RATE-FIXED_SEASON_COST)</f>
        <v>32600.983661684</v>
      </c>
      <c r="AF247" s="53" t="n">
        <f aca="false">IF(OR($A247&gt;TOMATO_BED_CAP,$B247&gt;CARROT_BED_CAP,AF$4&gt;MESCLUN_BED_CAP,$A247+$B247+AF$4&gt;TOTAL_BEDS_AVAILABLE,($D247+AF$5)&gt;TOTAL_LABOR_HOURS_CAP,MAX(0,($D247+AF$5)-PERMANENT_FIELD_LABOR_HOURS)&gt;TEMP_HOURS_CAP),"",$C247+AF$6-MIN(($D247+AF$5),PERMANENT_FIELD_LABOR_HOURS)*PERMANENT_HOURLY_RATE-MAX(0,($D247+AF$5)-PERMANENT_FIELD_LABOR_HOURS)*TEMP_HOURLY_RATE-FIXED_SEASON_COST)</f>
        <v>33008.9211929259</v>
      </c>
      <c r="AG247" s="53" t="n">
        <f aca="false">IF(OR($A247&gt;TOMATO_BED_CAP,$B247&gt;CARROT_BED_CAP,AG$4&gt;MESCLUN_BED_CAP,$A247+$B247+AG$4&gt;TOTAL_BEDS_AVAILABLE,($D247+AG$5)&gt;TOTAL_LABOR_HOURS_CAP,MAX(0,($D247+AG$5)-PERMANENT_FIELD_LABOR_HOURS)&gt;TEMP_HOURS_CAP),"",$C247+AG$6-MIN(($D247+AG$5),PERMANENT_FIELD_LABOR_HOURS)*PERMANENT_HOURLY_RATE-MAX(0,($D247+AG$5)-PERMANENT_FIELD_LABOR_HOURS)*TEMP_HOURLY_RATE-FIXED_SEASON_COST)</f>
        <v>33385.7200824629</v>
      </c>
      <c r="AH247" s="53" t="n">
        <f aca="false">IF(OR($A247&gt;TOMATO_BED_CAP,$B247&gt;CARROT_BED_CAP,AH$4&gt;MESCLUN_BED_CAP,$A247+$B247+AH$4&gt;TOTAL_BEDS_AVAILABLE,($D247+AH$5)&gt;TOTAL_LABOR_HOURS_CAP,MAX(0,($D247+AH$5)-PERMANENT_FIELD_LABOR_HOURS)&gt;TEMP_HOURS_CAP),"",$C247+AH$6-MIN(($D247+AH$5),PERMANENT_FIELD_LABOR_HOURS)*PERMANENT_HOURLY_RATE-MAX(0,($D247+AH$5)-PERMANENT_FIELD_LABOR_HOURS)*TEMP_HOURLY_RATE-FIXED_SEASON_COST)</f>
        <v>33730.8224990132</v>
      </c>
      <c r="AI247" s="53" t="n">
        <f aca="false">IF(OR($A247&gt;TOMATO_BED_CAP,$B247&gt;CARROT_BED_CAP,AI$4&gt;MESCLUN_BED_CAP,$A247+$B247+AI$4&gt;TOTAL_BEDS_AVAILABLE,($D247+AI$5)&gt;TOTAL_LABOR_HOURS_CAP,MAX(0,($D247+AI$5)-PERMANENT_FIELD_LABOR_HOURS)&gt;TEMP_HOURS_CAP),"",$C247+AI$6-MIN(($D247+AI$5),PERMANENT_FIELD_LABOR_HOURS)*PERMANENT_HOURLY_RATE-MAX(0,($D247+AI$5)-PERMANENT_FIELD_LABOR_HOURS)*TEMP_HOURLY_RATE-FIXED_SEASON_COST)</f>
        <v>34043.6615309254</v>
      </c>
      <c r="AJ247" s="53" t="n">
        <f aca="false">IF(OR($A247&gt;TOMATO_BED_CAP,$B247&gt;CARROT_BED_CAP,AJ$4&gt;MESCLUN_BED_CAP,$A247+$B247+AJ$4&gt;TOTAL_BEDS_AVAILABLE,($D247+AJ$5)&gt;TOTAL_LABOR_HOURS_CAP,MAX(0,($D247+AJ$5)-PERMANENT_FIELD_LABOR_HOURS)&gt;TEMP_HOURS_CAP),"",$C247+AJ$6-MIN(($D247+AJ$5),PERMANENT_FIELD_LABOR_HOURS)*PERMANENT_HOURLY_RATE-MAX(0,($D247+AJ$5)-PERMANENT_FIELD_LABOR_HOURS)*TEMP_HOURLY_RATE-FIXED_SEASON_COST)</f>
        <v>34323.6610463312</v>
      </c>
    </row>
    <row r="248" customFormat="false" ht="15" hidden="false" customHeight="false" outlineLevel="0" collapsed="false">
      <c r="A248" s="21" t="n">
        <f aca="false">INT((ROW()-ROW($A$8))/(20+1))</f>
        <v>11</v>
      </c>
      <c r="B248" s="21" t="n">
        <f aca="false">MOD(ROW()-ROW($A$8),20+1)</f>
        <v>9</v>
      </c>
      <c r="C248" s="13" t="n">
        <f aca="false">A248*(TOMATO_REVENUE_PER_BED-TOMATO_FERTILIZER_PER_BED)+B248*(CARROT_REVENUE_PER_BED-CARROT_FERTILIZER_PER_BED)</f>
        <v>102006</v>
      </c>
      <c r="D248" s="14" t="n">
        <f aca="false">INDEX(TOMATO_SCHED_LABOR_HRS,A248+1)+INDEX(CARROT_SCHED_LABOR_HRS,B248+1)</f>
        <v>3161.64366373402</v>
      </c>
      <c r="E248" s="13" t="n">
        <f aca="false">IF(COUNT(F248:AJ248)=0,"",MAX(F248:AJ248))</f>
        <v>35200.65529245</v>
      </c>
      <c r="F248" s="53" t="n">
        <f aca="false">IF(OR($A248&gt;TOMATO_BED_CAP,$B248&gt;CARROT_BED_CAP,F$4&gt;MESCLUN_BED_CAP,$A248+$B248+F$4&gt;TOTAL_BEDS_AVAILABLE,($D248+F$5)&gt;TOTAL_LABOR_HOURS_CAP,MAX(0,($D248+F$5)-PERMANENT_FIELD_LABOR_HOURS)&gt;TEMP_HOURS_CAP),"",$C248+F$6-MIN(($D248+F$5),PERMANENT_FIELD_LABOR_HOURS)*PERMANENT_HOURLY_RATE-MAX(0,($D248+F$5)-PERMANENT_FIELD_LABOR_HOURS)*TEMP_HOURLY_RATE-FIXED_SEASON_COST)</f>
        <v>14620.6659975775</v>
      </c>
      <c r="G248" s="53" t="n">
        <f aca="false">IF(OR($A248&gt;TOMATO_BED_CAP,$B248&gt;CARROT_BED_CAP,G$4&gt;MESCLUN_BED_CAP,$A248+$B248+G$4&gt;TOTAL_BEDS_AVAILABLE,($D248+G$5)&gt;TOTAL_LABOR_HOURS_CAP,MAX(0,($D248+G$5)-PERMANENT_FIELD_LABOR_HOURS)&gt;TEMP_HOURS_CAP),"",$C248+G$6-MIN(($D248+G$5),PERMANENT_FIELD_LABOR_HOURS)*PERMANENT_HOURLY_RATE-MAX(0,($D248+G$5)-PERMANENT_FIELD_LABOR_HOURS)*TEMP_HOURLY_RATE-FIXED_SEASON_COST)</f>
        <v>15649.7009975775</v>
      </c>
      <c r="H248" s="53" t="n">
        <f aca="false">IF(OR($A248&gt;TOMATO_BED_CAP,$B248&gt;CARROT_BED_CAP,H$4&gt;MESCLUN_BED_CAP,$A248+$B248+H$4&gt;TOTAL_BEDS_AVAILABLE,($D248+H$5)&gt;TOTAL_LABOR_HOURS_CAP,MAX(0,($D248+H$5)-PERMANENT_FIELD_LABOR_HOURS)&gt;TEMP_HOURS_CAP),"",$C248+H$6-MIN(($D248+H$5),PERMANENT_FIELD_LABOR_HOURS)*PERMANENT_HOURLY_RATE-MAX(0,($D248+H$5)-PERMANENT_FIELD_LABOR_HOURS)*TEMP_HOURLY_RATE-FIXED_SEASON_COST)</f>
        <v>16658.9618725775</v>
      </c>
      <c r="I248" s="53" t="n">
        <f aca="false">IF(OR($A248&gt;TOMATO_BED_CAP,$B248&gt;CARROT_BED_CAP,I$4&gt;MESCLUN_BED_CAP,$A248+$B248+I$4&gt;TOTAL_BEDS_AVAILABLE,($D248+I$5)&gt;TOTAL_LABOR_HOURS_CAP,MAX(0,($D248+I$5)-PERMANENT_FIELD_LABOR_HOURS)&gt;TEMP_HOURS_CAP),"",$C248+I$6-MIN(($D248+I$5),PERMANENT_FIELD_LABOR_HOURS)*PERMANENT_HOURLY_RATE-MAX(0,($D248+I$5)-PERMANENT_FIELD_LABOR_HOURS)*TEMP_HOURLY_RATE-FIXED_SEASON_COST)</f>
        <v>17648.0778577337</v>
      </c>
      <c r="J248" s="53" t="n">
        <f aca="false">IF(OR($A248&gt;TOMATO_BED_CAP,$B248&gt;CARROT_BED_CAP,J$4&gt;MESCLUN_BED_CAP,$A248+$B248+J$4&gt;TOTAL_BEDS_AVAILABLE,($D248+J$5)&gt;TOTAL_LABOR_HOURS_CAP,MAX(0,($D248+J$5)-PERMANENT_FIELD_LABOR_HOURS)&gt;TEMP_HOURS_CAP),"",$C248+J$6-MIN(($D248+J$5),PERMANENT_FIELD_LABOR_HOURS)*PERMANENT_HOURLY_RATE-MAX(0,($D248+J$5)-PERMANENT_FIELD_LABOR_HOURS)*TEMP_HOURLY_RATE-FIXED_SEASON_COST)</f>
        <v>18616.6720087884</v>
      </c>
      <c r="K248" s="53" t="n">
        <f aca="false">IF(OR($A248&gt;TOMATO_BED_CAP,$B248&gt;CARROT_BED_CAP,K$4&gt;MESCLUN_BED_CAP,$A248+$B248+K$4&gt;TOTAL_BEDS_AVAILABLE,($D248+K$5)&gt;TOTAL_LABOR_HOURS_CAP,MAX(0,($D248+K$5)-PERMANENT_FIELD_LABOR_HOURS)&gt;TEMP_HOURS_CAP),"",$C248+K$6-MIN(($D248+K$5),PERMANENT_FIELD_LABOR_HOURS)*PERMANENT_HOURLY_RATE-MAX(0,($D248+K$5)-PERMANENT_FIELD_LABOR_HOURS)*TEMP_HOURLY_RATE-FIXED_SEASON_COST)</f>
        <v>19564.3611055163</v>
      </c>
      <c r="L248" s="53" t="n">
        <f aca="false">IF(OR($A248&gt;TOMATO_BED_CAP,$B248&gt;CARROT_BED_CAP,L$4&gt;MESCLUN_BED_CAP,$A248+$B248+L$4&gt;TOTAL_BEDS_AVAILABLE,($D248+L$5)&gt;TOTAL_LABOR_HOURS_CAP,MAX(0,($D248+L$5)-PERMANENT_FIELD_LABOR_HOURS)&gt;TEMP_HOURS_CAP),"",$C248+L$6-MIN(($D248+L$5),PERMANENT_FIELD_LABOR_HOURS)*PERMANENT_HOURLY_RATE-MAX(0,($D248+L$5)-PERMANENT_FIELD_LABOR_HOURS)*TEMP_HOURLY_RATE-FIXED_SEASON_COST)</f>
        <v>20490.7555537232</v>
      </c>
      <c r="M248" s="53" t="n">
        <f aca="false">IF(OR($A248&gt;TOMATO_BED_CAP,$B248&gt;CARROT_BED_CAP,M$4&gt;MESCLUN_BED_CAP,$A248+$B248+M$4&gt;TOTAL_BEDS_AVAILABLE,($D248+M$5)&gt;TOTAL_LABOR_HOURS_CAP,MAX(0,($D248+M$5)-PERMANENT_FIELD_LABOR_HOURS)&gt;TEMP_HOURS_CAP),"",$C248+M$6-MIN(($D248+M$5),PERMANENT_FIELD_LABOR_HOURS)*PERMANENT_HOURLY_RATE-MAX(0,($D248+M$5)-PERMANENT_FIELD_LABOR_HOURS)*TEMP_HOURLY_RATE-FIXED_SEASON_COST)</f>
        <v>21395.4592857746</v>
      </c>
      <c r="N248" s="53" t="n">
        <f aca="false">IF(OR($A248&gt;TOMATO_BED_CAP,$B248&gt;CARROT_BED_CAP,N$4&gt;MESCLUN_BED_CAP,$A248+$B248+N$4&gt;TOTAL_BEDS_AVAILABLE,($D248+N$5)&gt;TOTAL_LABOR_HOURS_CAP,MAX(0,($D248+N$5)-PERMANENT_FIELD_LABOR_HOURS)&gt;TEMP_HOURS_CAP),"",$C248+N$6-MIN(($D248+N$5),PERMANENT_FIELD_LABOR_HOURS)*PERMANENT_HOURLY_RATE-MAX(0,($D248+N$5)-PERMANENT_FIELD_LABOR_HOURS)*TEMP_HOURLY_RATE-FIXED_SEASON_COST)</f>
        <v>22278.0696596341</v>
      </c>
      <c r="O248" s="53" t="n">
        <f aca="false">IF(OR($A248&gt;TOMATO_BED_CAP,$B248&gt;CARROT_BED_CAP,O$4&gt;MESCLUN_BED_CAP,$A248+$B248+O$4&gt;TOTAL_BEDS_AVAILABLE,($D248+O$5)&gt;TOTAL_LABOR_HOURS_CAP,MAX(0,($D248+O$5)-PERMANENT_FIELD_LABOR_HOURS)&gt;TEMP_HOURS_CAP),"",$C248+O$6-MIN(($D248+O$5),PERMANENT_FIELD_LABOR_HOURS)*PERMANENT_HOURLY_RATE-MAX(0,($D248+O$5)-PERMANENT_FIELD_LABOR_HOURS)*TEMP_HOURLY_RATE-FIXED_SEASON_COST)</f>
        <v>23138.1773563889</v>
      </c>
      <c r="P248" s="53" t="n">
        <f aca="false">IF(OR($A248&gt;TOMATO_BED_CAP,$B248&gt;CARROT_BED_CAP,P$4&gt;MESCLUN_BED_CAP,$A248+$B248+P$4&gt;TOTAL_BEDS_AVAILABLE,($D248+P$5)&gt;TOTAL_LABOR_HOURS_CAP,MAX(0,($D248+P$5)-PERMANENT_FIELD_LABOR_HOURS)&gt;TEMP_HOURS_CAP),"",$C248+P$6-MIN(($D248+P$5),PERMANENT_FIELD_LABOR_HOURS)*PERMANENT_HOURLY_RATE-MAX(0,($D248+P$5)-PERMANENT_FIELD_LABOR_HOURS)*TEMP_HOURLY_RATE-FIXED_SEASON_COST)</f>
        <v>23975.3662762403</v>
      </c>
      <c r="Q248" s="53" t="n">
        <f aca="false">IF(OR($A248&gt;TOMATO_BED_CAP,$B248&gt;CARROT_BED_CAP,Q$4&gt;MESCLUN_BED_CAP,$A248+$B248+Q$4&gt;TOTAL_BEDS_AVAILABLE,($D248+Q$5)&gt;TOTAL_LABOR_HOURS_CAP,MAX(0,($D248+Q$5)-PERMANENT_FIELD_LABOR_HOURS)&gt;TEMP_HOURS_CAP),"",$C248+Q$6-MIN(($D248+Q$5),PERMANENT_FIELD_LABOR_HOURS)*PERMANENT_HOURLY_RATE-MAX(0,($D248+Q$5)-PERMANENT_FIELD_LABOR_HOURS)*TEMP_HOURLY_RATE-FIXED_SEASON_COST)</f>
        <v>24789.2134329382</v>
      </c>
      <c r="R248" s="53" t="n">
        <f aca="false">IF(OR($A248&gt;TOMATO_BED_CAP,$B248&gt;CARROT_BED_CAP,R$4&gt;MESCLUN_BED_CAP,$A248+$B248+R$4&gt;TOTAL_BEDS_AVAILABLE,($D248+R$5)&gt;TOTAL_LABOR_HOURS_CAP,MAX(0,($D248+R$5)-PERMANENT_FIELD_LABOR_HOURS)&gt;TEMP_HOURS_CAP),"",$C248+R$6-MIN(($D248+R$5),PERMANENT_FIELD_LABOR_HOURS)*PERMANENT_HOURLY_RATE-MAX(0,($D248+R$5)-PERMANENT_FIELD_LABOR_HOURS)*TEMP_HOURLY_RATE-FIXED_SEASON_COST)</f>
        <v>25579.288846635</v>
      </c>
      <c r="S248" s="53" t="n">
        <f aca="false">IF(OR($A248&gt;TOMATO_BED_CAP,$B248&gt;CARROT_BED_CAP,S$4&gt;MESCLUN_BED_CAP,$A248+$B248+S$4&gt;TOTAL_BEDS_AVAILABLE,($D248+S$5)&gt;TOTAL_LABOR_HOURS_CAP,MAX(0,($D248+S$5)-PERMANENT_FIELD_LABOR_HOURS)&gt;TEMP_HOURS_CAP),"",$C248+S$6-MIN(($D248+S$5),PERMANENT_FIELD_LABOR_HOURS)*PERMANENT_HOURLY_RATE-MAX(0,($D248+S$5)-PERMANENT_FIELD_LABOR_HOURS)*TEMP_HOURLY_RATE-FIXED_SEASON_COST)</f>
        <v>26345.1554351374</v>
      </c>
      <c r="T248" s="53" t="n">
        <f aca="false">IF(OR($A248&gt;TOMATO_BED_CAP,$B248&gt;CARROT_BED_CAP,T$4&gt;MESCLUN_BED_CAP,$A248+$B248+T$4&gt;TOTAL_BEDS_AVAILABLE,($D248+T$5)&gt;TOTAL_LABOR_HOURS_CAP,MAX(0,($D248+T$5)-PERMANENT_FIELD_LABOR_HOURS)&gt;TEMP_HOURS_CAP),"",$C248+T$6-MIN(($D248+T$5),PERMANENT_FIELD_LABOR_HOURS)*PERMANENT_HOURLY_RATE-MAX(0,($D248+T$5)-PERMANENT_FIELD_LABOR_HOURS)*TEMP_HOURLY_RATE-FIXED_SEASON_COST)</f>
        <v>27086.3689035323</v>
      </c>
      <c r="U248" s="53" t="n">
        <f aca="false">IF(OR($A248&gt;TOMATO_BED_CAP,$B248&gt;CARROT_BED_CAP,U$4&gt;MESCLUN_BED_CAP,$A248+$B248+U$4&gt;TOTAL_BEDS_AVAILABLE,($D248+U$5)&gt;TOTAL_LABOR_HOURS_CAP,MAX(0,($D248+U$5)-PERMANENT_FIELD_LABOR_HOURS)&gt;TEMP_HOURS_CAP),"",$C248+U$6-MIN(($D248+U$5),PERMANENT_FIELD_LABOR_HOURS)*PERMANENT_HOURLY_RATE-MAX(0,($D248+U$5)-PERMANENT_FIELD_LABOR_HOURS)*TEMP_HOURLY_RATE-FIXED_SEASON_COST)</f>
        <v>27802.4776321624</v>
      </c>
      <c r="V248" s="53" t="n">
        <f aca="false">IF(OR($A248&gt;TOMATO_BED_CAP,$B248&gt;CARROT_BED_CAP,V$4&gt;MESCLUN_BED_CAP,$A248+$B248+V$4&gt;TOTAL_BEDS_AVAILABLE,($D248+V$5)&gt;TOTAL_LABOR_HOURS_CAP,MAX(0,($D248+V$5)-PERMANENT_FIELD_LABOR_HOURS)&gt;TEMP_HOURS_CAP),"",$C248+V$6-MIN(($D248+V$5),PERMANENT_FIELD_LABOR_HOURS)*PERMANENT_HOURLY_RATE-MAX(0,($D248+V$5)-PERMANENT_FIELD_LABOR_HOURS)*TEMP_HOURLY_RATE-FIXED_SEASON_COST)</f>
        <v>28493.0225629292</v>
      </c>
      <c r="W248" s="53" t="n">
        <f aca="false">IF(OR($A248&gt;TOMATO_BED_CAP,$B248&gt;CARROT_BED_CAP,W$4&gt;MESCLUN_BED_CAP,$A248+$B248+W$4&gt;TOTAL_BEDS_AVAILABLE,($D248+W$5)&gt;TOTAL_LABOR_HOURS_CAP,MAX(0,($D248+W$5)-PERMANENT_FIELD_LABOR_HOURS)&gt;TEMP_HOURS_CAP),"",$C248+W$6-MIN(($D248+W$5),PERMANENT_FIELD_LABOR_HOURS)*PERMANENT_HOURLY_RATE-MAX(0,($D248+W$5)-PERMANENT_FIELD_LABOR_HOURS)*TEMP_HOURLY_RATE-FIXED_SEASON_COST)</f>
        <v>29157.5370838972</v>
      </c>
      <c r="X248" s="53" t="n">
        <f aca="false">IF(OR($A248&gt;TOMATO_BED_CAP,$B248&gt;CARROT_BED_CAP,X$4&gt;MESCLUN_BED_CAP,$A248+$B248+X$4&gt;TOTAL_BEDS_AVAILABLE,($D248+X$5)&gt;TOTAL_LABOR_HOURS_CAP,MAX(0,($D248+X$5)-PERMANENT_FIELD_LABOR_HOURS)&gt;TEMP_HOURS_CAP),"",$C248+X$6-MIN(($D248+X$5),PERMANENT_FIELD_LABOR_HOURS)*PERMANENT_HOURLY_RATE-MAX(0,($D248+X$5)-PERMANENT_FIELD_LABOR_HOURS)*TEMP_HOURLY_RATE-FIXED_SEASON_COST)</f>
        <v>29795.5469121762</v>
      </c>
      <c r="Y248" s="53" t="n">
        <f aca="false">IF(OR($A248&gt;TOMATO_BED_CAP,$B248&gt;CARROT_BED_CAP,Y$4&gt;MESCLUN_BED_CAP,$A248+$B248+Y$4&gt;TOTAL_BEDS_AVAILABLE,($D248+Y$5)&gt;TOTAL_LABOR_HOURS_CAP,MAX(0,($D248+Y$5)-PERMANENT_FIELD_LABOR_HOURS)&gt;TEMP_HOURS_CAP),"",$C248+Y$6-MIN(($D248+Y$5),PERMANENT_FIELD_LABOR_HOURS)*PERMANENT_HOURLY_RATE-MAX(0,($D248+Y$5)-PERMANENT_FIELD_LABOR_HOURS)*TEMP_HOURLY_RATE-FIXED_SEASON_COST)</f>
        <v>30406.5699750548</v>
      </c>
      <c r="Z248" s="53" t="n">
        <f aca="false">IF(OR($A248&gt;TOMATO_BED_CAP,$B248&gt;CARROT_BED_CAP,Z$4&gt;MESCLUN_BED_CAP,$A248+$B248+Z$4&gt;TOTAL_BEDS_AVAILABLE,($D248+Z$5)&gt;TOTAL_LABOR_HOURS_CAP,MAX(0,($D248+Z$5)-PERMANENT_FIELD_LABOR_HOURS)&gt;TEMP_HOURS_CAP),"",$C248+Z$6-MIN(($D248+Z$5),PERMANENT_FIELD_LABOR_HOURS)*PERMANENT_HOURLY_RATE-MAX(0,($D248+Z$5)-PERMANENT_FIELD_LABOR_HOURS)*TEMP_HOURLY_RATE-FIXED_SEASON_COST)</f>
        <v>30990.1162893625</v>
      </c>
      <c r="AA248" s="53" t="n">
        <f aca="false">IF(OR($A248&gt;TOMATO_BED_CAP,$B248&gt;CARROT_BED_CAP,AA$4&gt;MESCLUN_BED_CAP,$A248+$B248+AA$4&gt;TOTAL_BEDS_AVAILABLE,($D248+AA$5)&gt;TOTAL_LABOR_HOURS_CAP,MAX(0,($D248+AA$5)-PERMANENT_FIELD_LABOR_HOURS)&gt;TEMP_HOURS_CAP),"",$C248+AA$6-MIN(($D248+AA$5),PERMANENT_FIELD_LABOR_HOURS)*PERMANENT_HOURLY_RATE-MAX(0,($D248+AA$5)-PERMANENT_FIELD_LABOR_HOURS)*TEMP_HOURLY_RATE-FIXED_SEASON_COST)</f>
        <v>31545.6878390315</v>
      </c>
      <c r="AB248" s="53" t="n">
        <f aca="false">IF(OR($A248&gt;TOMATO_BED_CAP,$B248&gt;CARROT_BED_CAP,AB$4&gt;MESCLUN_BED_CAP,$A248+$B248+AB$4&gt;TOTAL_BEDS_AVAILABLE,($D248+AB$5)&gt;TOTAL_LABOR_HOURS_CAP,MAX(0,($D248+AB$5)-PERMANENT_FIELD_LABOR_HOURS)&gt;TEMP_HOURS_CAP),"",$C248+AB$6-MIN(($D248+AB$5),PERMANENT_FIELD_LABOR_HOURS)*PERMANENT_HOURLY_RATE-MAX(0,($D248+AB$5)-PERMANENT_FIELD_LABOR_HOURS)*TEMP_HOURLY_RATE-FIXED_SEASON_COST)</f>
        <v>32072.778450834</v>
      </c>
      <c r="AC248" s="53" t="n">
        <f aca="false">IF(OR($A248&gt;TOMATO_BED_CAP,$B248&gt;CARROT_BED_CAP,AC$4&gt;MESCLUN_BED_CAP,$A248+$B248+AC$4&gt;TOTAL_BEDS_AVAILABLE,($D248+AC$5)&gt;TOTAL_LABOR_HOURS_CAP,MAX(0,($D248+AC$5)-PERMANENT_FIELD_LABOR_HOURS)&gt;TEMP_HOURS_CAP),"",$C248+AC$6-MIN(($D248+AC$5),PERMANENT_FIELD_LABOR_HOURS)*PERMANENT_HOURLY_RATE-MAX(0,($D248+AC$5)-PERMANENT_FIELD_LABOR_HOURS)*TEMP_HOURLY_RATE-FIXED_SEASON_COST)</f>
        <v>32570.8736682689</v>
      </c>
      <c r="AD248" s="53" t="n">
        <f aca="false">IF(OR($A248&gt;TOMATO_BED_CAP,$B248&gt;CARROT_BED_CAP,AD$4&gt;MESCLUN_BED_CAP,$A248+$B248+AD$4&gt;TOTAL_BEDS_AVAILABLE,($D248+AD$5)&gt;TOTAL_LABOR_HOURS_CAP,MAX(0,($D248+AD$5)-PERMANENT_FIELD_LABOR_HOURS)&gt;TEMP_HOURS_CAP),"",$C248+AD$6-MIN(($D248+AD$5),PERMANENT_FIELD_LABOR_HOURS)*PERMANENT_HOURLY_RATE-MAX(0,($D248+AD$5)-PERMANENT_FIELD_LABOR_HOURS)*TEMP_HOURLY_RATE-FIXED_SEASON_COST)</f>
        <v>33039.4506235689</v>
      </c>
      <c r="AE248" s="53" t="n">
        <f aca="false">IF(OR($A248&gt;TOMATO_BED_CAP,$B248&gt;CARROT_BED_CAP,AE$4&gt;MESCLUN_BED_CAP,$A248+$B248+AE$4&gt;TOTAL_BEDS_AVAILABLE,($D248+AE$5)&gt;TOTAL_LABOR_HOURS_CAP,MAX(0,($D248+AE$5)-PERMANENT_FIELD_LABOR_HOURS)&gt;TEMP_HOURS_CAP),"",$C248+AE$6-MIN(($D248+AE$5),PERMANENT_FIELD_LABOR_HOURS)*PERMANENT_HOURLY_RATE-MAX(0,($D248+AE$5)-PERMANENT_FIELD_LABOR_HOURS)*TEMP_HOURLY_RATE-FIXED_SEASON_COST)</f>
        <v>33477.9779078028</v>
      </c>
      <c r="AF248" s="53" t="n">
        <f aca="false">IF(OR($A248&gt;TOMATO_BED_CAP,$B248&gt;CARROT_BED_CAP,AF$4&gt;MESCLUN_BED_CAP,$A248+$B248+AF$4&gt;TOTAL_BEDS_AVAILABLE,($D248+AF$5)&gt;TOTAL_LABOR_HOURS_CAP,MAX(0,($D248+AF$5)-PERMANENT_FIELD_LABOR_HOURS)&gt;TEMP_HOURS_CAP),"",$C248+AF$6-MIN(($D248+AF$5),PERMANENT_FIELD_LABOR_HOURS)*PERMANENT_HOURLY_RATE-MAX(0,($D248+AF$5)-PERMANENT_FIELD_LABOR_HOURS)*TEMP_HOURLY_RATE-FIXED_SEASON_COST)</f>
        <v>33885.9154390448</v>
      </c>
      <c r="AG248" s="53" t="n">
        <f aca="false">IF(OR($A248&gt;TOMATO_BED_CAP,$B248&gt;CARROT_BED_CAP,AG$4&gt;MESCLUN_BED_CAP,$A248+$B248+AG$4&gt;TOTAL_BEDS_AVAILABLE,($D248+AG$5)&gt;TOTAL_LABOR_HOURS_CAP,MAX(0,($D248+AG$5)-PERMANENT_FIELD_LABOR_HOURS)&gt;TEMP_HOURS_CAP),"",$C248+AG$6-MIN(($D248+AG$5),PERMANENT_FIELD_LABOR_HOURS)*PERMANENT_HOURLY_RATE-MAX(0,($D248+AG$5)-PERMANENT_FIELD_LABOR_HOURS)*TEMP_HOURLY_RATE-FIXED_SEASON_COST)</f>
        <v>34262.7143285818</v>
      </c>
      <c r="AH248" s="53" t="n">
        <f aca="false">IF(OR($A248&gt;TOMATO_BED_CAP,$B248&gt;CARROT_BED_CAP,AH$4&gt;MESCLUN_BED_CAP,$A248+$B248+AH$4&gt;TOTAL_BEDS_AVAILABLE,($D248+AH$5)&gt;TOTAL_LABOR_HOURS_CAP,MAX(0,($D248+AH$5)-PERMANENT_FIELD_LABOR_HOURS)&gt;TEMP_HOURS_CAP),"",$C248+AH$6-MIN(($D248+AH$5),PERMANENT_FIELD_LABOR_HOURS)*PERMANENT_HOURLY_RATE-MAX(0,($D248+AH$5)-PERMANENT_FIELD_LABOR_HOURS)*TEMP_HOURLY_RATE-FIXED_SEASON_COST)</f>
        <v>34607.816745132</v>
      </c>
      <c r="AI248" s="53" t="n">
        <f aca="false">IF(OR($A248&gt;TOMATO_BED_CAP,$B248&gt;CARROT_BED_CAP,AI$4&gt;MESCLUN_BED_CAP,$A248+$B248+AI$4&gt;TOTAL_BEDS_AVAILABLE,($D248+AI$5)&gt;TOTAL_LABOR_HOURS_CAP,MAX(0,($D248+AI$5)-PERMANENT_FIELD_LABOR_HOURS)&gt;TEMP_HOURS_CAP),"",$C248+AI$6-MIN(($D248+AI$5),PERMANENT_FIELD_LABOR_HOURS)*PERMANENT_HOURLY_RATE-MAX(0,($D248+AI$5)-PERMANENT_FIELD_LABOR_HOURS)*TEMP_HOURLY_RATE-FIXED_SEASON_COST)</f>
        <v>34920.6557770443</v>
      </c>
      <c r="AJ248" s="53" t="n">
        <f aca="false">IF(OR($A248&gt;TOMATO_BED_CAP,$B248&gt;CARROT_BED_CAP,AJ$4&gt;MESCLUN_BED_CAP,$A248+$B248+AJ$4&gt;TOTAL_BEDS_AVAILABLE,($D248+AJ$5)&gt;TOTAL_LABOR_HOURS_CAP,MAX(0,($D248+AJ$5)-PERMANENT_FIELD_LABOR_HOURS)&gt;TEMP_HOURS_CAP),"",$C248+AJ$6-MIN(($D248+AJ$5),PERMANENT_FIELD_LABOR_HOURS)*PERMANENT_HOURLY_RATE-MAX(0,($D248+AJ$5)-PERMANENT_FIELD_LABOR_HOURS)*TEMP_HOURLY_RATE-FIXED_SEASON_COST)</f>
        <v>35200.65529245</v>
      </c>
    </row>
    <row r="249" customFormat="false" ht="15" hidden="false" customHeight="false" outlineLevel="0" collapsed="false">
      <c r="A249" s="21" t="n">
        <f aca="false">INT((ROW()-ROW($A$8))/(20+1))</f>
        <v>11</v>
      </c>
      <c r="B249" s="21" t="n">
        <f aca="false">MOD(ROW()-ROW($A$8),20+1)</f>
        <v>10</v>
      </c>
      <c r="C249" s="13" t="n">
        <f aca="false">A249*(TOMATO_REVENUE_PER_BED-TOMATO_FERTILIZER_PER_BED)+B249*(CARROT_REVENUE_PER_BED-CARROT_FERTILIZER_PER_BED)</f>
        <v>103660</v>
      </c>
      <c r="D249" s="14" t="n">
        <f aca="false">INDEX(TOMATO_SCHED_LABOR_HRS,A249+1)+INDEX(CARROT_SCHED_LABOR_HRS,B249+1)</f>
        <v>3208.45729216251</v>
      </c>
      <c r="E249" s="13" t="n">
        <f aca="false">IF(COUNT(F249:AJ249)=0,"",MAX(F249:AJ249))</f>
        <v>36041.9707029314</v>
      </c>
      <c r="F249" s="53" t="n">
        <f aca="false">IF(OR($A249&gt;TOMATO_BED_CAP,$B249&gt;CARROT_BED_CAP,F$4&gt;MESCLUN_BED_CAP,$A249+$B249+F$4&gt;TOTAL_BEDS_AVAILABLE,($D249+F$5)&gt;TOTAL_LABOR_HOURS_CAP,MAX(0,($D249+F$5)-PERMANENT_FIELD_LABOR_HOURS)&gt;TEMP_HOURS_CAP),"",$C249+F$6-MIN(($D249+F$5),PERMANENT_FIELD_LABOR_HOURS)*PERMANENT_HOURLY_RATE-MAX(0,($D249+F$5)-PERMANENT_FIELD_LABOR_HOURS)*TEMP_HOURLY_RATE-FIXED_SEASON_COST)</f>
        <v>15461.9814080589</v>
      </c>
      <c r="G249" s="53" t="n">
        <f aca="false">IF(OR($A249&gt;TOMATO_BED_CAP,$B249&gt;CARROT_BED_CAP,G$4&gt;MESCLUN_BED_CAP,$A249+$B249+G$4&gt;TOTAL_BEDS_AVAILABLE,($D249+G$5)&gt;TOTAL_LABOR_HOURS_CAP,MAX(0,($D249+G$5)-PERMANENT_FIELD_LABOR_HOURS)&gt;TEMP_HOURS_CAP),"",$C249+G$6-MIN(($D249+G$5),PERMANENT_FIELD_LABOR_HOURS)*PERMANENT_HOURLY_RATE-MAX(0,($D249+G$5)-PERMANENT_FIELD_LABOR_HOURS)*TEMP_HOURLY_RATE-FIXED_SEASON_COST)</f>
        <v>16491.0164080589</v>
      </c>
      <c r="H249" s="53" t="n">
        <f aca="false">IF(OR($A249&gt;TOMATO_BED_CAP,$B249&gt;CARROT_BED_CAP,H$4&gt;MESCLUN_BED_CAP,$A249+$B249+H$4&gt;TOTAL_BEDS_AVAILABLE,($D249+H$5)&gt;TOTAL_LABOR_HOURS_CAP,MAX(0,($D249+H$5)-PERMANENT_FIELD_LABOR_HOURS)&gt;TEMP_HOURS_CAP),"",$C249+H$6-MIN(($D249+H$5),PERMANENT_FIELD_LABOR_HOURS)*PERMANENT_HOURLY_RATE-MAX(0,($D249+H$5)-PERMANENT_FIELD_LABOR_HOURS)*TEMP_HOURLY_RATE-FIXED_SEASON_COST)</f>
        <v>17500.2772830589</v>
      </c>
      <c r="I249" s="53" t="n">
        <f aca="false">IF(OR($A249&gt;TOMATO_BED_CAP,$B249&gt;CARROT_BED_CAP,I$4&gt;MESCLUN_BED_CAP,$A249+$B249+I$4&gt;TOTAL_BEDS_AVAILABLE,($D249+I$5)&gt;TOTAL_LABOR_HOURS_CAP,MAX(0,($D249+I$5)-PERMANENT_FIELD_LABOR_HOURS)&gt;TEMP_HOURS_CAP),"",$C249+I$6-MIN(($D249+I$5),PERMANENT_FIELD_LABOR_HOURS)*PERMANENT_HOURLY_RATE-MAX(0,($D249+I$5)-PERMANENT_FIELD_LABOR_HOURS)*TEMP_HOURLY_RATE-FIXED_SEASON_COST)</f>
        <v>18489.3932682152</v>
      </c>
      <c r="J249" s="53" t="n">
        <f aca="false">IF(OR($A249&gt;TOMATO_BED_CAP,$B249&gt;CARROT_BED_CAP,J$4&gt;MESCLUN_BED_CAP,$A249+$B249+J$4&gt;TOTAL_BEDS_AVAILABLE,($D249+J$5)&gt;TOTAL_LABOR_HOURS_CAP,MAX(0,($D249+J$5)-PERMANENT_FIELD_LABOR_HOURS)&gt;TEMP_HOURS_CAP),"",$C249+J$6-MIN(($D249+J$5),PERMANENT_FIELD_LABOR_HOURS)*PERMANENT_HOURLY_RATE-MAX(0,($D249+J$5)-PERMANENT_FIELD_LABOR_HOURS)*TEMP_HOURLY_RATE-FIXED_SEASON_COST)</f>
        <v>19457.9874192698</v>
      </c>
      <c r="K249" s="53" t="n">
        <f aca="false">IF(OR($A249&gt;TOMATO_BED_CAP,$B249&gt;CARROT_BED_CAP,K$4&gt;MESCLUN_BED_CAP,$A249+$B249+K$4&gt;TOTAL_BEDS_AVAILABLE,($D249+K$5)&gt;TOTAL_LABOR_HOURS_CAP,MAX(0,($D249+K$5)-PERMANENT_FIELD_LABOR_HOURS)&gt;TEMP_HOURS_CAP),"",$C249+K$6-MIN(($D249+K$5),PERMANENT_FIELD_LABOR_HOURS)*PERMANENT_HOURLY_RATE-MAX(0,($D249+K$5)-PERMANENT_FIELD_LABOR_HOURS)*TEMP_HOURLY_RATE-FIXED_SEASON_COST)</f>
        <v>20405.6765159978</v>
      </c>
      <c r="L249" s="53" t="n">
        <f aca="false">IF(OR($A249&gt;TOMATO_BED_CAP,$B249&gt;CARROT_BED_CAP,L$4&gt;MESCLUN_BED_CAP,$A249+$B249+L$4&gt;TOTAL_BEDS_AVAILABLE,($D249+L$5)&gt;TOTAL_LABOR_HOURS_CAP,MAX(0,($D249+L$5)-PERMANENT_FIELD_LABOR_HOURS)&gt;TEMP_HOURS_CAP),"",$C249+L$6-MIN(($D249+L$5),PERMANENT_FIELD_LABOR_HOURS)*PERMANENT_HOURLY_RATE-MAX(0,($D249+L$5)-PERMANENT_FIELD_LABOR_HOURS)*TEMP_HOURLY_RATE-FIXED_SEASON_COST)</f>
        <v>21332.0709642046</v>
      </c>
      <c r="M249" s="53" t="n">
        <f aca="false">IF(OR($A249&gt;TOMATO_BED_CAP,$B249&gt;CARROT_BED_CAP,M$4&gt;MESCLUN_BED_CAP,$A249+$B249+M$4&gt;TOTAL_BEDS_AVAILABLE,($D249+M$5)&gt;TOTAL_LABOR_HOURS_CAP,MAX(0,($D249+M$5)-PERMANENT_FIELD_LABOR_HOURS)&gt;TEMP_HOURS_CAP),"",$C249+M$6-MIN(($D249+M$5),PERMANENT_FIELD_LABOR_HOURS)*PERMANENT_HOURLY_RATE-MAX(0,($D249+M$5)-PERMANENT_FIELD_LABOR_HOURS)*TEMP_HOURLY_RATE-FIXED_SEASON_COST)</f>
        <v>22236.774696256</v>
      </c>
      <c r="N249" s="53" t="n">
        <f aca="false">IF(OR($A249&gt;TOMATO_BED_CAP,$B249&gt;CARROT_BED_CAP,N$4&gt;MESCLUN_BED_CAP,$A249+$B249+N$4&gt;TOTAL_BEDS_AVAILABLE,($D249+N$5)&gt;TOTAL_LABOR_HOURS_CAP,MAX(0,($D249+N$5)-PERMANENT_FIELD_LABOR_HOURS)&gt;TEMP_HOURS_CAP),"",$C249+N$6-MIN(($D249+N$5),PERMANENT_FIELD_LABOR_HOURS)*PERMANENT_HOURLY_RATE-MAX(0,($D249+N$5)-PERMANENT_FIELD_LABOR_HOURS)*TEMP_HOURLY_RATE-FIXED_SEASON_COST)</f>
        <v>23119.3850701156</v>
      </c>
      <c r="O249" s="53" t="n">
        <f aca="false">IF(OR($A249&gt;TOMATO_BED_CAP,$B249&gt;CARROT_BED_CAP,O$4&gt;MESCLUN_BED_CAP,$A249+$B249+O$4&gt;TOTAL_BEDS_AVAILABLE,($D249+O$5)&gt;TOTAL_LABOR_HOURS_CAP,MAX(0,($D249+O$5)-PERMANENT_FIELD_LABOR_HOURS)&gt;TEMP_HOURS_CAP),"",$C249+O$6-MIN(($D249+O$5),PERMANENT_FIELD_LABOR_HOURS)*PERMANENT_HOURLY_RATE-MAX(0,($D249+O$5)-PERMANENT_FIELD_LABOR_HOURS)*TEMP_HOURLY_RATE-FIXED_SEASON_COST)</f>
        <v>23979.4927668703</v>
      </c>
      <c r="P249" s="53" t="n">
        <f aca="false">IF(OR($A249&gt;TOMATO_BED_CAP,$B249&gt;CARROT_BED_CAP,P$4&gt;MESCLUN_BED_CAP,$A249+$B249+P$4&gt;TOTAL_BEDS_AVAILABLE,($D249+P$5)&gt;TOTAL_LABOR_HOURS_CAP,MAX(0,($D249+P$5)-PERMANENT_FIELD_LABOR_HOURS)&gt;TEMP_HOURS_CAP),"",$C249+P$6-MIN(($D249+P$5),PERMANENT_FIELD_LABOR_HOURS)*PERMANENT_HOURLY_RATE-MAX(0,($D249+P$5)-PERMANENT_FIELD_LABOR_HOURS)*TEMP_HOURLY_RATE-FIXED_SEASON_COST)</f>
        <v>24816.6816867217</v>
      </c>
      <c r="Q249" s="53" t="n">
        <f aca="false">IF(OR($A249&gt;TOMATO_BED_CAP,$B249&gt;CARROT_BED_CAP,Q$4&gt;MESCLUN_BED_CAP,$A249+$B249+Q$4&gt;TOTAL_BEDS_AVAILABLE,($D249+Q$5)&gt;TOTAL_LABOR_HOURS_CAP,MAX(0,($D249+Q$5)-PERMANENT_FIELD_LABOR_HOURS)&gt;TEMP_HOURS_CAP),"",$C249+Q$6-MIN(($D249+Q$5),PERMANENT_FIELD_LABOR_HOURS)*PERMANENT_HOURLY_RATE-MAX(0,($D249+Q$5)-PERMANENT_FIELD_LABOR_HOURS)*TEMP_HOURLY_RATE-FIXED_SEASON_COST)</f>
        <v>25630.5288434196</v>
      </c>
      <c r="R249" s="53" t="n">
        <f aca="false">IF(OR($A249&gt;TOMATO_BED_CAP,$B249&gt;CARROT_BED_CAP,R$4&gt;MESCLUN_BED_CAP,$A249+$B249+R$4&gt;TOTAL_BEDS_AVAILABLE,($D249+R$5)&gt;TOTAL_LABOR_HOURS_CAP,MAX(0,($D249+R$5)-PERMANENT_FIELD_LABOR_HOURS)&gt;TEMP_HOURS_CAP),"",$C249+R$6-MIN(($D249+R$5),PERMANENT_FIELD_LABOR_HOURS)*PERMANENT_HOURLY_RATE-MAX(0,($D249+R$5)-PERMANENT_FIELD_LABOR_HOURS)*TEMP_HOURLY_RATE-FIXED_SEASON_COST)</f>
        <v>26420.6042571164</v>
      </c>
      <c r="S249" s="53" t="n">
        <f aca="false">IF(OR($A249&gt;TOMATO_BED_CAP,$B249&gt;CARROT_BED_CAP,S$4&gt;MESCLUN_BED_CAP,$A249+$B249+S$4&gt;TOTAL_BEDS_AVAILABLE,($D249+S$5)&gt;TOTAL_LABOR_HOURS_CAP,MAX(0,($D249+S$5)-PERMANENT_FIELD_LABOR_HOURS)&gt;TEMP_HOURS_CAP),"",$C249+S$6-MIN(($D249+S$5),PERMANENT_FIELD_LABOR_HOURS)*PERMANENT_HOURLY_RATE-MAX(0,($D249+S$5)-PERMANENT_FIELD_LABOR_HOURS)*TEMP_HOURLY_RATE-FIXED_SEASON_COST)</f>
        <v>27186.4708456189</v>
      </c>
      <c r="T249" s="53" t="n">
        <f aca="false">IF(OR($A249&gt;TOMATO_BED_CAP,$B249&gt;CARROT_BED_CAP,T$4&gt;MESCLUN_BED_CAP,$A249+$B249+T$4&gt;TOTAL_BEDS_AVAILABLE,($D249+T$5)&gt;TOTAL_LABOR_HOURS_CAP,MAX(0,($D249+T$5)-PERMANENT_FIELD_LABOR_HOURS)&gt;TEMP_HOURS_CAP),"",$C249+T$6-MIN(($D249+T$5),PERMANENT_FIELD_LABOR_HOURS)*PERMANENT_HOURLY_RATE-MAX(0,($D249+T$5)-PERMANENT_FIELD_LABOR_HOURS)*TEMP_HOURLY_RATE-FIXED_SEASON_COST)</f>
        <v>27927.6843140137</v>
      </c>
      <c r="U249" s="53" t="n">
        <f aca="false">IF(OR($A249&gt;TOMATO_BED_CAP,$B249&gt;CARROT_BED_CAP,U$4&gt;MESCLUN_BED_CAP,$A249+$B249+U$4&gt;TOTAL_BEDS_AVAILABLE,($D249+U$5)&gt;TOTAL_LABOR_HOURS_CAP,MAX(0,($D249+U$5)-PERMANENT_FIELD_LABOR_HOURS)&gt;TEMP_HOURS_CAP),"",$C249+U$6-MIN(($D249+U$5),PERMANENT_FIELD_LABOR_HOURS)*PERMANENT_HOURLY_RATE-MAX(0,($D249+U$5)-PERMANENT_FIELD_LABOR_HOURS)*TEMP_HOURLY_RATE-FIXED_SEASON_COST)</f>
        <v>28643.7930426438</v>
      </c>
      <c r="V249" s="53" t="n">
        <f aca="false">IF(OR($A249&gt;TOMATO_BED_CAP,$B249&gt;CARROT_BED_CAP,V$4&gt;MESCLUN_BED_CAP,$A249+$B249+V$4&gt;TOTAL_BEDS_AVAILABLE,($D249+V$5)&gt;TOTAL_LABOR_HOURS_CAP,MAX(0,($D249+V$5)-PERMANENT_FIELD_LABOR_HOURS)&gt;TEMP_HOURS_CAP),"",$C249+V$6-MIN(($D249+V$5),PERMANENT_FIELD_LABOR_HOURS)*PERMANENT_HOURLY_RATE-MAX(0,($D249+V$5)-PERMANENT_FIELD_LABOR_HOURS)*TEMP_HOURLY_RATE-FIXED_SEASON_COST)</f>
        <v>29334.3379734106</v>
      </c>
      <c r="W249" s="53" t="n">
        <f aca="false">IF(OR($A249&gt;TOMATO_BED_CAP,$B249&gt;CARROT_BED_CAP,W$4&gt;MESCLUN_BED_CAP,$A249+$B249+W$4&gt;TOTAL_BEDS_AVAILABLE,($D249+W$5)&gt;TOTAL_LABOR_HOURS_CAP,MAX(0,($D249+W$5)-PERMANENT_FIELD_LABOR_HOURS)&gt;TEMP_HOURS_CAP),"",$C249+W$6-MIN(($D249+W$5),PERMANENT_FIELD_LABOR_HOURS)*PERMANENT_HOURLY_RATE-MAX(0,($D249+W$5)-PERMANENT_FIELD_LABOR_HOURS)*TEMP_HOURLY_RATE-FIXED_SEASON_COST)</f>
        <v>29998.8524943787</v>
      </c>
      <c r="X249" s="53" t="n">
        <f aca="false">IF(OR($A249&gt;TOMATO_BED_CAP,$B249&gt;CARROT_BED_CAP,X$4&gt;MESCLUN_BED_CAP,$A249+$B249+X$4&gt;TOTAL_BEDS_AVAILABLE,($D249+X$5)&gt;TOTAL_LABOR_HOURS_CAP,MAX(0,($D249+X$5)-PERMANENT_FIELD_LABOR_HOURS)&gt;TEMP_HOURS_CAP),"",$C249+X$6-MIN(($D249+X$5),PERMANENT_FIELD_LABOR_HOURS)*PERMANENT_HOURLY_RATE-MAX(0,($D249+X$5)-PERMANENT_FIELD_LABOR_HOURS)*TEMP_HOURLY_RATE-FIXED_SEASON_COST)</f>
        <v>30636.8623226576</v>
      </c>
      <c r="Y249" s="53" t="n">
        <f aca="false">IF(OR($A249&gt;TOMATO_BED_CAP,$B249&gt;CARROT_BED_CAP,Y$4&gt;MESCLUN_BED_CAP,$A249+$B249+Y$4&gt;TOTAL_BEDS_AVAILABLE,($D249+Y$5)&gt;TOTAL_LABOR_HOURS_CAP,MAX(0,($D249+Y$5)-PERMANENT_FIELD_LABOR_HOURS)&gt;TEMP_HOURS_CAP),"",$C249+Y$6-MIN(($D249+Y$5),PERMANENT_FIELD_LABOR_HOURS)*PERMANENT_HOURLY_RATE-MAX(0,($D249+Y$5)-PERMANENT_FIELD_LABOR_HOURS)*TEMP_HOURLY_RATE-FIXED_SEASON_COST)</f>
        <v>31247.8853855363</v>
      </c>
      <c r="Z249" s="53" t="n">
        <f aca="false">IF(OR($A249&gt;TOMATO_BED_CAP,$B249&gt;CARROT_BED_CAP,Z$4&gt;MESCLUN_BED_CAP,$A249+$B249+Z$4&gt;TOTAL_BEDS_AVAILABLE,($D249+Z$5)&gt;TOTAL_LABOR_HOURS_CAP,MAX(0,($D249+Z$5)-PERMANENT_FIELD_LABOR_HOURS)&gt;TEMP_HOURS_CAP),"",$C249+Z$6-MIN(($D249+Z$5),PERMANENT_FIELD_LABOR_HOURS)*PERMANENT_HOURLY_RATE-MAX(0,($D249+Z$5)-PERMANENT_FIELD_LABOR_HOURS)*TEMP_HOURLY_RATE-FIXED_SEASON_COST)</f>
        <v>31831.431699844</v>
      </c>
      <c r="AA249" s="53" t="n">
        <f aca="false">IF(OR($A249&gt;TOMATO_BED_CAP,$B249&gt;CARROT_BED_CAP,AA$4&gt;MESCLUN_BED_CAP,$A249+$B249+AA$4&gt;TOTAL_BEDS_AVAILABLE,($D249+AA$5)&gt;TOTAL_LABOR_HOURS_CAP,MAX(0,($D249+AA$5)-PERMANENT_FIELD_LABOR_HOURS)&gt;TEMP_HOURS_CAP),"",$C249+AA$6-MIN(($D249+AA$5),PERMANENT_FIELD_LABOR_HOURS)*PERMANENT_HOURLY_RATE-MAX(0,($D249+AA$5)-PERMANENT_FIELD_LABOR_HOURS)*TEMP_HOURLY_RATE-FIXED_SEASON_COST)</f>
        <v>32387.0032495129</v>
      </c>
      <c r="AB249" s="53" t="n">
        <f aca="false">IF(OR($A249&gt;TOMATO_BED_CAP,$B249&gt;CARROT_BED_CAP,AB$4&gt;MESCLUN_BED_CAP,$A249+$B249+AB$4&gt;TOTAL_BEDS_AVAILABLE,($D249+AB$5)&gt;TOTAL_LABOR_HOURS_CAP,MAX(0,($D249+AB$5)-PERMANENT_FIELD_LABOR_HOURS)&gt;TEMP_HOURS_CAP),"",$C249+AB$6-MIN(($D249+AB$5),PERMANENT_FIELD_LABOR_HOURS)*PERMANENT_HOURLY_RATE-MAX(0,($D249+AB$5)-PERMANENT_FIELD_LABOR_HOURS)*TEMP_HOURLY_RATE-FIXED_SEASON_COST)</f>
        <v>32914.0938613155</v>
      </c>
      <c r="AC249" s="53" t="n">
        <f aca="false">IF(OR($A249&gt;TOMATO_BED_CAP,$B249&gt;CARROT_BED_CAP,AC$4&gt;MESCLUN_BED_CAP,$A249+$B249+AC$4&gt;TOTAL_BEDS_AVAILABLE,($D249+AC$5)&gt;TOTAL_LABOR_HOURS_CAP,MAX(0,($D249+AC$5)-PERMANENT_FIELD_LABOR_HOURS)&gt;TEMP_HOURS_CAP),"",$C249+AC$6-MIN(($D249+AC$5),PERMANENT_FIELD_LABOR_HOURS)*PERMANENT_HOURLY_RATE-MAX(0,($D249+AC$5)-PERMANENT_FIELD_LABOR_HOURS)*TEMP_HOURLY_RATE-FIXED_SEASON_COST)</f>
        <v>33412.1890787504</v>
      </c>
      <c r="AD249" s="53" t="n">
        <f aca="false">IF(OR($A249&gt;TOMATO_BED_CAP,$B249&gt;CARROT_BED_CAP,AD$4&gt;MESCLUN_BED_CAP,$A249+$B249+AD$4&gt;TOTAL_BEDS_AVAILABLE,($D249+AD$5)&gt;TOTAL_LABOR_HOURS_CAP,MAX(0,($D249+AD$5)-PERMANENT_FIELD_LABOR_HOURS)&gt;TEMP_HOURS_CAP),"",$C249+AD$6-MIN(($D249+AD$5),PERMANENT_FIELD_LABOR_HOURS)*PERMANENT_HOURLY_RATE-MAX(0,($D249+AD$5)-PERMANENT_FIELD_LABOR_HOURS)*TEMP_HOURLY_RATE-FIXED_SEASON_COST)</f>
        <v>33880.7660340504</v>
      </c>
      <c r="AE249" s="53" t="n">
        <f aca="false">IF(OR($A249&gt;TOMATO_BED_CAP,$B249&gt;CARROT_BED_CAP,AE$4&gt;MESCLUN_BED_CAP,$A249+$B249+AE$4&gt;TOTAL_BEDS_AVAILABLE,($D249+AE$5)&gt;TOTAL_LABOR_HOURS_CAP,MAX(0,($D249+AE$5)-PERMANENT_FIELD_LABOR_HOURS)&gt;TEMP_HOURS_CAP),"",$C249+AE$6-MIN(($D249+AE$5),PERMANENT_FIELD_LABOR_HOURS)*PERMANENT_HOURLY_RATE-MAX(0,($D249+AE$5)-PERMANENT_FIELD_LABOR_HOURS)*TEMP_HOURLY_RATE-FIXED_SEASON_COST)</f>
        <v>34319.2933182842</v>
      </c>
      <c r="AF249" s="53" t="n">
        <f aca="false">IF(OR($A249&gt;TOMATO_BED_CAP,$B249&gt;CARROT_BED_CAP,AF$4&gt;MESCLUN_BED_CAP,$A249+$B249+AF$4&gt;TOTAL_BEDS_AVAILABLE,($D249+AF$5)&gt;TOTAL_LABOR_HOURS_CAP,MAX(0,($D249+AF$5)-PERMANENT_FIELD_LABOR_HOURS)&gt;TEMP_HOURS_CAP),"",$C249+AF$6-MIN(($D249+AF$5),PERMANENT_FIELD_LABOR_HOURS)*PERMANENT_HOURLY_RATE-MAX(0,($D249+AF$5)-PERMANENT_FIELD_LABOR_HOURS)*TEMP_HOURLY_RATE-FIXED_SEASON_COST)</f>
        <v>34727.2308495262</v>
      </c>
      <c r="AG249" s="53" t="n">
        <f aca="false">IF(OR($A249&gt;TOMATO_BED_CAP,$B249&gt;CARROT_BED_CAP,AG$4&gt;MESCLUN_BED_CAP,$A249+$B249+AG$4&gt;TOTAL_BEDS_AVAILABLE,($D249+AG$5)&gt;TOTAL_LABOR_HOURS_CAP,MAX(0,($D249+AG$5)-PERMANENT_FIELD_LABOR_HOURS)&gt;TEMP_HOURS_CAP),"",$C249+AG$6-MIN(($D249+AG$5),PERMANENT_FIELD_LABOR_HOURS)*PERMANENT_HOURLY_RATE-MAX(0,($D249+AG$5)-PERMANENT_FIELD_LABOR_HOURS)*TEMP_HOURLY_RATE-FIXED_SEASON_COST)</f>
        <v>35104.0297390632</v>
      </c>
      <c r="AH249" s="53" t="n">
        <f aca="false">IF(OR($A249&gt;TOMATO_BED_CAP,$B249&gt;CARROT_BED_CAP,AH$4&gt;MESCLUN_BED_CAP,$A249+$B249+AH$4&gt;TOTAL_BEDS_AVAILABLE,($D249+AH$5)&gt;TOTAL_LABOR_HOURS_CAP,MAX(0,($D249+AH$5)-PERMANENT_FIELD_LABOR_HOURS)&gt;TEMP_HOURS_CAP),"",$C249+AH$6-MIN(($D249+AH$5),PERMANENT_FIELD_LABOR_HOURS)*PERMANENT_HOURLY_RATE-MAX(0,($D249+AH$5)-PERMANENT_FIELD_LABOR_HOURS)*TEMP_HOURLY_RATE-FIXED_SEASON_COST)</f>
        <v>35449.1321556134</v>
      </c>
      <c r="AI249" s="53" t="n">
        <f aca="false">IF(OR($A249&gt;TOMATO_BED_CAP,$B249&gt;CARROT_BED_CAP,AI$4&gt;MESCLUN_BED_CAP,$A249+$B249+AI$4&gt;TOTAL_BEDS_AVAILABLE,($D249+AI$5)&gt;TOTAL_LABOR_HOURS_CAP,MAX(0,($D249+AI$5)-PERMANENT_FIELD_LABOR_HOURS)&gt;TEMP_HOURS_CAP),"",$C249+AI$6-MIN(($D249+AI$5),PERMANENT_FIELD_LABOR_HOURS)*PERMANENT_HOURLY_RATE-MAX(0,($D249+AI$5)-PERMANENT_FIELD_LABOR_HOURS)*TEMP_HOURLY_RATE-FIXED_SEASON_COST)</f>
        <v>35761.9711875257</v>
      </c>
      <c r="AJ249" s="53" t="n">
        <f aca="false">IF(OR($A249&gt;TOMATO_BED_CAP,$B249&gt;CARROT_BED_CAP,AJ$4&gt;MESCLUN_BED_CAP,$A249+$B249+AJ$4&gt;TOTAL_BEDS_AVAILABLE,($D249+AJ$5)&gt;TOTAL_LABOR_HOURS_CAP,MAX(0,($D249+AJ$5)-PERMANENT_FIELD_LABOR_HOURS)&gt;TEMP_HOURS_CAP),"",$C249+AJ$6-MIN(($D249+AJ$5),PERMANENT_FIELD_LABOR_HOURS)*PERMANENT_HOURLY_RATE-MAX(0,($D249+AJ$5)-PERMANENT_FIELD_LABOR_HOURS)*TEMP_HOURLY_RATE-FIXED_SEASON_COST)</f>
        <v>36041.9707029314</v>
      </c>
    </row>
    <row r="250" customFormat="false" ht="15" hidden="false" customHeight="false" outlineLevel="0" collapsed="false">
      <c r="A250" s="21" t="n">
        <f aca="false">INT((ROW()-ROW($A$8))/(20+1))</f>
        <v>11</v>
      </c>
      <c r="B250" s="21" t="n">
        <f aca="false">MOD(ROW()-ROW($A$8),20+1)</f>
        <v>11</v>
      </c>
      <c r="C250" s="13" t="n">
        <f aca="false">A250*(TOMATO_REVENUE_PER_BED-TOMATO_FERTILIZER_PER_BED)+B250*(CARROT_REVENUE_PER_BED-CARROT_FERTILIZER_PER_BED)</f>
        <v>105314</v>
      </c>
      <c r="D250" s="14" t="n">
        <f aca="false">INDEX(TOMATO_SCHED_LABOR_HRS,A250+1)+INDEX(CARROT_SCHED_LABOR_HRS,B250+1)</f>
        <v>3257.40094068449</v>
      </c>
      <c r="E250" s="13" t="n">
        <f aca="false">IF(COUNT(F250:AJ250)=0,"",MAX(F250:AJ250))</f>
        <v>36846.3089645898</v>
      </c>
      <c r="F250" s="53" t="n">
        <f aca="false">IF(OR($A250&gt;TOMATO_BED_CAP,$B250&gt;CARROT_BED_CAP,F$4&gt;MESCLUN_BED_CAP,$A250+$B250+F$4&gt;TOTAL_BEDS_AVAILABLE,($D250+F$5)&gt;TOTAL_LABOR_HOURS_CAP,MAX(0,($D250+F$5)-PERMANENT_FIELD_LABOR_HOURS)&gt;TEMP_HOURS_CAP),"",$C250+F$6-MIN(($D250+F$5),PERMANENT_FIELD_LABOR_HOURS)*PERMANENT_HOURLY_RATE-MAX(0,($D250+F$5)-PERMANENT_FIELD_LABOR_HOURS)*TEMP_HOURLY_RATE-FIXED_SEASON_COST)</f>
        <v>16266.3196697173</v>
      </c>
      <c r="G250" s="53" t="n">
        <f aca="false">IF(OR($A250&gt;TOMATO_BED_CAP,$B250&gt;CARROT_BED_CAP,G$4&gt;MESCLUN_BED_CAP,$A250+$B250+G$4&gt;TOTAL_BEDS_AVAILABLE,($D250+G$5)&gt;TOTAL_LABOR_HOURS_CAP,MAX(0,($D250+G$5)-PERMANENT_FIELD_LABOR_HOURS)&gt;TEMP_HOURS_CAP),"",$C250+G$6-MIN(($D250+G$5),PERMANENT_FIELD_LABOR_HOURS)*PERMANENT_HOURLY_RATE-MAX(0,($D250+G$5)-PERMANENT_FIELD_LABOR_HOURS)*TEMP_HOURLY_RATE-FIXED_SEASON_COST)</f>
        <v>17295.3546697173</v>
      </c>
      <c r="H250" s="53" t="n">
        <f aca="false">IF(OR($A250&gt;TOMATO_BED_CAP,$B250&gt;CARROT_BED_CAP,H$4&gt;MESCLUN_BED_CAP,$A250+$B250+H$4&gt;TOTAL_BEDS_AVAILABLE,($D250+H$5)&gt;TOTAL_LABOR_HOURS_CAP,MAX(0,($D250+H$5)-PERMANENT_FIELD_LABOR_HOURS)&gt;TEMP_HOURS_CAP),"",$C250+H$6-MIN(($D250+H$5),PERMANENT_FIELD_LABOR_HOURS)*PERMANENT_HOURLY_RATE-MAX(0,($D250+H$5)-PERMANENT_FIELD_LABOR_HOURS)*TEMP_HOURLY_RATE-FIXED_SEASON_COST)</f>
        <v>18304.6155447173</v>
      </c>
      <c r="I250" s="53" t="n">
        <f aca="false">IF(OR($A250&gt;TOMATO_BED_CAP,$B250&gt;CARROT_BED_CAP,I$4&gt;MESCLUN_BED_CAP,$A250+$B250+I$4&gt;TOTAL_BEDS_AVAILABLE,($D250+I$5)&gt;TOTAL_LABOR_HOURS_CAP,MAX(0,($D250+I$5)-PERMANENT_FIELD_LABOR_HOURS)&gt;TEMP_HOURS_CAP),"",$C250+I$6-MIN(($D250+I$5),PERMANENT_FIELD_LABOR_HOURS)*PERMANENT_HOURLY_RATE-MAX(0,($D250+I$5)-PERMANENT_FIELD_LABOR_HOURS)*TEMP_HOURLY_RATE-FIXED_SEASON_COST)</f>
        <v>19293.7315298735</v>
      </c>
      <c r="J250" s="53" t="n">
        <f aca="false">IF(OR($A250&gt;TOMATO_BED_CAP,$B250&gt;CARROT_BED_CAP,J$4&gt;MESCLUN_BED_CAP,$A250+$B250+J$4&gt;TOTAL_BEDS_AVAILABLE,($D250+J$5)&gt;TOTAL_LABOR_HOURS_CAP,MAX(0,($D250+J$5)-PERMANENT_FIELD_LABOR_HOURS)&gt;TEMP_HOURS_CAP),"",$C250+J$6-MIN(($D250+J$5),PERMANENT_FIELD_LABOR_HOURS)*PERMANENT_HOURLY_RATE-MAX(0,($D250+J$5)-PERMANENT_FIELD_LABOR_HOURS)*TEMP_HOURLY_RATE-FIXED_SEASON_COST)</f>
        <v>20262.3256809282</v>
      </c>
      <c r="K250" s="53" t="n">
        <f aca="false">IF(OR($A250&gt;TOMATO_BED_CAP,$B250&gt;CARROT_BED_CAP,K$4&gt;MESCLUN_BED_CAP,$A250+$B250+K$4&gt;TOTAL_BEDS_AVAILABLE,($D250+K$5)&gt;TOTAL_LABOR_HOURS_CAP,MAX(0,($D250+K$5)-PERMANENT_FIELD_LABOR_HOURS)&gt;TEMP_HOURS_CAP),"",$C250+K$6-MIN(($D250+K$5),PERMANENT_FIELD_LABOR_HOURS)*PERMANENT_HOURLY_RATE-MAX(0,($D250+K$5)-PERMANENT_FIELD_LABOR_HOURS)*TEMP_HOURLY_RATE-FIXED_SEASON_COST)</f>
        <v>21210.0147776561</v>
      </c>
      <c r="L250" s="53" t="n">
        <f aca="false">IF(OR($A250&gt;TOMATO_BED_CAP,$B250&gt;CARROT_BED_CAP,L$4&gt;MESCLUN_BED_CAP,$A250+$B250+L$4&gt;TOTAL_BEDS_AVAILABLE,($D250+L$5)&gt;TOTAL_LABOR_HOURS_CAP,MAX(0,($D250+L$5)-PERMANENT_FIELD_LABOR_HOURS)&gt;TEMP_HOURS_CAP),"",$C250+L$6-MIN(($D250+L$5),PERMANENT_FIELD_LABOR_HOURS)*PERMANENT_HOURLY_RATE-MAX(0,($D250+L$5)-PERMANENT_FIELD_LABOR_HOURS)*TEMP_HOURLY_RATE-FIXED_SEASON_COST)</f>
        <v>22136.409225863</v>
      </c>
      <c r="M250" s="53" t="n">
        <f aca="false">IF(OR($A250&gt;TOMATO_BED_CAP,$B250&gt;CARROT_BED_CAP,M$4&gt;MESCLUN_BED_CAP,$A250+$B250+M$4&gt;TOTAL_BEDS_AVAILABLE,($D250+M$5)&gt;TOTAL_LABOR_HOURS_CAP,MAX(0,($D250+M$5)-PERMANENT_FIELD_LABOR_HOURS)&gt;TEMP_HOURS_CAP),"",$C250+M$6-MIN(($D250+M$5),PERMANENT_FIELD_LABOR_HOURS)*PERMANENT_HOURLY_RATE-MAX(0,($D250+M$5)-PERMANENT_FIELD_LABOR_HOURS)*TEMP_HOURLY_RATE-FIXED_SEASON_COST)</f>
        <v>23041.1129579144</v>
      </c>
      <c r="N250" s="53" t="n">
        <f aca="false">IF(OR($A250&gt;TOMATO_BED_CAP,$B250&gt;CARROT_BED_CAP,N$4&gt;MESCLUN_BED_CAP,$A250+$B250+N$4&gt;TOTAL_BEDS_AVAILABLE,($D250+N$5)&gt;TOTAL_LABOR_HOURS_CAP,MAX(0,($D250+N$5)-PERMANENT_FIELD_LABOR_HOURS)&gt;TEMP_HOURS_CAP),"",$C250+N$6-MIN(($D250+N$5),PERMANENT_FIELD_LABOR_HOURS)*PERMANENT_HOURLY_RATE-MAX(0,($D250+N$5)-PERMANENT_FIELD_LABOR_HOURS)*TEMP_HOURLY_RATE-FIXED_SEASON_COST)</f>
        <v>23923.7233317739</v>
      </c>
      <c r="O250" s="53" t="n">
        <f aca="false">IF(OR($A250&gt;TOMATO_BED_CAP,$B250&gt;CARROT_BED_CAP,O$4&gt;MESCLUN_BED_CAP,$A250+$B250+O$4&gt;TOTAL_BEDS_AVAILABLE,($D250+O$5)&gt;TOTAL_LABOR_HOURS_CAP,MAX(0,($D250+O$5)-PERMANENT_FIELD_LABOR_HOURS)&gt;TEMP_HOURS_CAP),"",$C250+O$6-MIN(($D250+O$5),PERMANENT_FIELD_LABOR_HOURS)*PERMANENT_HOURLY_RATE-MAX(0,($D250+O$5)-PERMANENT_FIELD_LABOR_HOURS)*TEMP_HOURLY_RATE-FIXED_SEASON_COST)</f>
        <v>24783.8310285287</v>
      </c>
      <c r="P250" s="53" t="n">
        <f aca="false">IF(OR($A250&gt;TOMATO_BED_CAP,$B250&gt;CARROT_BED_CAP,P$4&gt;MESCLUN_BED_CAP,$A250+$B250+P$4&gt;TOTAL_BEDS_AVAILABLE,($D250+P$5)&gt;TOTAL_LABOR_HOURS_CAP,MAX(0,($D250+P$5)-PERMANENT_FIELD_LABOR_HOURS)&gt;TEMP_HOURS_CAP),"",$C250+P$6-MIN(($D250+P$5),PERMANENT_FIELD_LABOR_HOURS)*PERMANENT_HOURLY_RATE-MAX(0,($D250+P$5)-PERMANENT_FIELD_LABOR_HOURS)*TEMP_HOURLY_RATE-FIXED_SEASON_COST)</f>
        <v>25621.0199483801</v>
      </c>
      <c r="Q250" s="53" t="n">
        <f aca="false">IF(OR($A250&gt;TOMATO_BED_CAP,$B250&gt;CARROT_BED_CAP,Q$4&gt;MESCLUN_BED_CAP,$A250+$B250+Q$4&gt;TOTAL_BEDS_AVAILABLE,($D250+Q$5)&gt;TOTAL_LABOR_HOURS_CAP,MAX(0,($D250+Q$5)-PERMANENT_FIELD_LABOR_HOURS)&gt;TEMP_HOURS_CAP),"",$C250+Q$6-MIN(($D250+Q$5),PERMANENT_FIELD_LABOR_HOURS)*PERMANENT_HOURLY_RATE-MAX(0,($D250+Q$5)-PERMANENT_FIELD_LABOR_HOURS)*TEMP_HOURLY_RATE-FIXED_SEASON_COST)</f>
        <v>26434.867105078</v>
      </c>
      <c r="R250" s="53" t="n">
        <f aca="false">IF(OR($A250&gt;TOMATO_BED_CAP,$B250&gt;CARROT_BED_CAP,R$4&gt;MESCLUN_BED_CAP,$A250+$B250+R$4&gt;TOTAL_BEDS_AVAILABLE,($D250+R$5)&gt;TOTAL_LABOR_HOURS_CAP,MAX(0,($D250+R$5)-PERMANENT_FIELD_LABOR_HOURS)&gt;TEMP_HOURS_CAP),"",$C250+R$6-MIN(($D250+R$5),PERMANENT_FIELD_LABOR_HOURS)*PERMANENT_HOURLY_RATE-MAX(0,($D250+R$5)-PERMANENT_FIELD_LABOR_HOURS)*TEMP_HOURLY_RATE-FIXED_SEASON_COST)</f>
        <v>27224.9425187748</v>
      </c>
      <c r="S250" s="53" t="n">
        <f aca="false">IF(OR($A250&gt;TOMATO_BED_CAP,$B250&gt;CARROT_BED_CAP,S$4&gt;MESCLUN_BED_CAP,$A250+$B250+S$4&gt;TOTAL_BEDS_AVAILABLE,($D250+S$5)&gt;TOTAL_LABOR_HOURS_CAP,MAX(0,($D250+S$5)-PERMANENT_FIELD_LABOR_HOURS)&gt;TEMP_HOURS_CAP),"",$C250+S$6-MIN(($D250+S$5),PERMANENT_FIELD_LABOR_HOURS)*PERMANENT_HOURLY_RATE-MAX(0,($D250+S$5)-PERMANENT_FIELD_LABOR_HOURS)*TEMP_HOURLY_RATE-FIXED_SEASON_COST)</f>
        <v>27990.8091072772</v>
      </c>
      <c r="T250" s="53" t="n">
        <f aca="false">IF(OR($A250&gt;TOMATO_BED_CAP,$B250&gt;CARROT_BED_CAP,T$4&gt;MESCLUN_BED_CAP,$A250+$B250+T$4&gt;TOTAL_BEDS_AVAILABLE,($D250+T$5)&gt;TOTAL_LABOR_HOURS_CAP,MAX(0,($D250+T$5)-PERMANENT_FIELD_LABOR_HOURS)&gt;TEMP_HOURS_CAP),"",$C250+T$6-MIN(($D250+T$5),PERMANENT_FIELD_LABOR_HOURS)*PERMANENT_HOURLY_RATE-MAX(0,($D250+T$5)-PERMANENT_FIELD_LABOR_HOURS)*TEMP_HOURLY_RATE-FIXED_SEASON_COST)</f>
        <v>28732.0225756721</v>
      </c>
      <c r="U250" s="53" t="n">
        <f aca="false">IF(OR($A250&gt;TOMATO_BED_CAP,$B250&gt;CARROT_BED_CAP,U$4&gt;MESCLUN_BED_CAP,$A250+$B250+U$4&gt;TOTAL_BEDS_AVAILABLE,($D250+U$5)&gt;TOTAL_LABOR_HOURS_CAP,MAX(0,($D250+U$5)-PERMANENT_FIELD_LABOR_HOURS)&gt;TEMP_HOURS_CAP),"",$C250+U$6-MIN(($D250+U$5),PERMANENT_FIELD_LABOR_HOURS)*PERMANENT_HOURLY_RATE-MAX(0,($D250+U$5)-PERMANENT_FIELD_LABOR_HOURS)*TEMP_HOURLY_RATE-FIXED_SEASON_COST)</f>
        <v>29448.1313043022</v>
      </c>
      <c r="V250" s="53" t="n">
        <f aca="false">IF(OR($A250&gt;TOMATO_BED_CAP,$B250&gt;CARROT_BED_CAP,V$4&gt;MESCLUN_BED_CAP,$A250+$B250+V$4&gt;TOTAL_BEDS_AVAILABLE,($D250+V$5)&gt;TOTAL_LABOR_HOURS_CAP,MAX(0,($D250+V$5)-PERMANENT_FIELD_LABOR_HOURS)&gt;TEMP_HOURS_CAP),"",$C250+V$6-MIN(($D250+V$5),PERMANENT_FIELD_LABOR_HOURS)*PERMANENT_HOURLY_RATE-MAX(0,($D250+V$5)-PERMANENT_FIELD_LABOR_HOURS)*TEMP_HOURLY_RATE-FIXED_SEASON_COST)</f>
        <v>30138.676235069</v>
      </c>
      <c r="W250" s="53" t="n">
        <f aca="false">IF(OR($A250&gt;TOMATO_BED_CAP,$B250&gt;CARROT_BED_CAP,W$4&gt;MESCLUN_BED_CAP,$A250+$B250+W$4&gt;TOTAL_BEDS_AVAILABLE,($D250+W$5)&gt;TOTAL_LABOR_HOURS_CAP,MAX(0,($D250+W$5)-PERMANENT_FIELD_LABOR_HOURS)&gt;TEMP_HOURS_CAP),"",$C250+W$6-MIN(($D250+W$5),PERMANENT_FIELD_LABOR_HOURS)*PERMANENT_HOURLY_RATE-MAX(0,($D250+W$5)-PERMANENT_FIELD_LABOR_HOURS)*TEMP_HOURLY_RATE-FIXED_SEASON_COST)</f>
        <v>30803.190756037</v>
      </c>
      <c r="X250" s="53" t="n">
        <f aca="false">IF(OR($A250&gt;TOMATO_BED_CAP,$B250&gt;CARROT_BED_CAP,X$4&gt;MESCLUN_BED_CAP,$A250+$B250+X$4&gt;TOTAL_BEDS_AVAILABLE,($D250+X$5)&gt;TOTAL_LABOR_HOURS_CAP,MAX(0,($D250+X$5)-PERMANENT_FIELD_LABOR_HOURS)&gt;TEMP_HOURS_CAP),"",$C250+X$6-MIN(($D250+X$5),PERMANENT_FIELD_LABOR_HOURS)*PERMANENT_HOURLY_RATE-MAX(0,($D250+X$5)-PERMANENT_FIELD_LABOR_HOURS)*TEMP_HOURLY_RATE-FIXED_SEASON_COST)</f>
        <v>31441.200584316</v>
      </c>
      <c r="Y250" s="53" t="n">
        <f aca="false">IF(OR($A250&gt;TOMATO_BED_CAP,$B250&gt;CARROT_BED_CAP,Y$4&gt;MESCLUN_BED_CAP,$A250+$B250+Y$4&gt;TOTAL_BEDS_AVAILABLE,($D250+Y$5)&gt;TOTAL_LABOR_HOURS_CAP,MAX(0,($D250+Y$5)-PERMANENT_FIELD_LABOR_HOURS)&gt;TEMP_HOURS_CAP),"",$C250+Y$6-MIN(($D250+Y$5),PERMANENT_FIELD_LABOR_HOURS)*PERMANENT_HOURLY_RATE-MAX(0,($D250+Y$5)-PERMANENT_FIELD_LABOR_HOURS)*TEMP_HOURLY_RATE-FIXED_SEASON_COST)</f>
        <v>32052.2236471946</v>
      </c>
      <c r="Z250" s="53" t="n">
        <f aca="false">IF(OR($A250&gt;TOMATO_BED_CAP,$B250&gt;CARROT_BED_CAP,Z$4&gt;MESCLUN_BED_CAP,$A250+$B250+Z$4&gt;TOTAL_BEDS_AVAILABLE,($D250+Z$5)&gt;TOTAL_LABOR_HOURS_CAP,MAX(0,($D250+Z$5)-PERMANENT_FIELD_LABOR_HOURS)&gt;TEMP_HOURS_CAP),"",$C250+Z$6-MIN(($D250+Z$5),PERMANENT_FIELD_LABOR_HOURS)*PERMANENT_HOURLY_RATE-MAX(0,($D250+Z$5)-PERMANENT_FIELD_LABOR_HOURS)*TEMP_HOURLY_RATE-FIXED_SEASON_COST)</f>
        <v>32635.7699615023</v>
      </c>
      <c r="AA250" s="53" t="n">
        <f aca="false">IF(OR($A250&gt;TOMATO_BED_CAP,$B250&gt;CARROT_BED_CAP,AA$4&gt;MESCLUN_BED_CAP,$A250+$B250+AA$4&gt;TOTAL_BEDS_AVAILABLE,($D250+AA$5)&gt;TOTAL_LABOR_HOURS_CAP,MAX(0,($D250+AA$5)-PERMANENT_FIELD_LABOR_HOURS)&gt;TEMP_HOURS_CAP),"",$C250+AA$6-MIN(($D250+AA$5),PERMANENT_FIELD_LABOR_HOURS)*PERMANENT_HOURLY_RATE-MAX(0,($D250+AA$5)-PERMANENT_FIELD_LABOR_HOURS)*TEMP_HOURLY_RATE-FIXED_SEASON_COST)</f>
        <v>33191.3415111713</v>
      </c>
      <c r="AB250" s="53" t="n">
        <f aca="false">IF(OR($A250&gt;TOMATO_BED_CAP,$B250&gt;CARROT_BED_CAP,AB$4&gt;MESCLUN_BED_CAP,$A250+$B250+AB$4&gt;TOTAL_BEDS_AVAILABLE,($D250+AB$5)&gt;TOTAL_LABOR_HOURS_CAP,MAX(0,($D250+AB$5)-PERMANENT_FIELD_LABOR_HOURS)&gt;TEMP_HOURS_CAP),"",$C250+AB$6-MIN(($D250+AB$5),PERMANENT_FIELD_LABOR_HOURS)*PERMANENT_HOURLY_RATE-MAX(0,($D250+AB$5)-PERMANENT_FIELD_LABOR_HOURS)*TEMP_HOURLY_RATE-FIXED_SEASON_COST)</f>
        <v>33718.4321229738</v>
      </c>
      <c r="AC250" s="53" t="n">
        <f aca="false">IF(OR($A250&gt;TOMATO_BED_CAP,$B250&gt;CARROT_BED_CAP,AC$4&gt;MESCLUN_BED_CAP,$A250+$B250+AC$4&gt;TOTAL_BEDS_AVAILABLE,($D250+AC$5)&gt;TOTAL_LABOR_HOURS_CAP,MAX(0,($D250+AC$5)-PERMANENT_FIELD_LABOR_HOURS)&gt;TEMP_HOURS_CAP),"",$C250+AC$6-MIN(($D250+AC$5),PERMANENT_FIELD_LABOR_HOURS)*PERMANENT_HOURLY_RATE-MAX(0,($D250+AC$5)-PERMANENT_FIELD_LABOR_HOURS)*TEMP_HOURLY_RATE-FIXED_SEASON_COST)</f>
        <v>34216.5273404087</v>
      </c>
      <c r="AD250" s="53" t="n">
        <f aca="false">IF(OR($A250&gt;TOMATO_BED_CAP,$B250&gt;CARROT_BED_CAP,AD$4&gt;MESCLUN_BED_CAP,$A250+$B250+AD$4&gt;TOTAL_BEDS_AVAILABLE,($D250+AD$5)&gt;TOTAL_LABOR_HOURS_CAP,MAX(0,($D250+AD$5)-PERMANENT_FIELD_LABOR_HOURS)&gt;TEMP_HOURS_CAP),"",$C250+AD$6-MIN(($D250+AD$5),PERMANENT_FIELD_LABOR_HOURS)*PERMANENT_HOURLY_RATE-MAX(0,($D250+AD$5)-PERMANENT_FIELD_LABOR_HOURS)*TEMP_HOURLY_RATE-FIXED_SEASON_COST)</f>
        <v>34685.1042957087</v>
      </c>
      <c r="AE250" s="53" t="n">
        <f aca="false">IF(OR($A250&gt;TOMATO_BED_CAP,$B250&gt;CARROT_BED_CAP,AE$4&gt;MESCLUN_BED_CAP,$A250+$B250+AE$4&gt;TOTAL_BEDS_AVAILABLE,($D250+AE$5)&gt;TOTAL_LABOR_HOURS_CAP,MAX(0,($D250+AE$5)-PERMANENT_FIELD_LABOR_HOURS)&gt;TEMP_HOURS_CAP),"",$C250+AE$6-MIN(($D250+AE$5),PERMANENT_FIELD_LABOR_HOURS)*PERMANENT_HOURLY_RATE-MAX(0,($D250+AE$5)-PERMANENT_FIELD_LABOR_HOURS)*TEMP_HOURLY_RATE-FIXED_SEASON_COST)</f>
        <v>35123.6315799426</v>
      </c>
      <c r="AF250" s="53" t="n">
        <f aca="false">IF(OR($A250&gt;TOMATO_BED_CAP,$B250&gt;CARROT_BED_CAP,AF$4&gt;MESCLUN_BED_CAP,$A250+$B250+AF$4&gt;TOTAL_BEDS_AVAILABLE,($D250+AF$5)&gt;TOTAL_LABOR_HOURS_CAP,MAX(0,($D250+AF$5)-PERMANENT_FIELD_LABOR_HOURS)&gt;TEMP_HOURS_CAP),"",$C250+AF$6-MIN(($D250+AF$5),PERMANENT_FIELD_LABOR_HOURS)*PERMANENT_HOURLY_RATE-MAX(0,($D250+AF$5)-PERMANENT_FIELD_LABOR_HOURS)*TEMP_HOURLY_RATE-FIXED_SEASON_COST)</f>
        <v>35531.5691111845</v>
      </c>
      <c r="AG250" s="53" t="n">
        <f aca="false">IF(OR($A250&gt;TOMATO_BED_CAP,$B250&gt;CARROT_BED_CAP,AG$4&gt;MESCLUN_BED_CAP,$A250+$B250+AG$4&gt;TOTAL_BEDS_AVAILABLE,($D250+AG$5)&gt;TOTAL_LABOR_HOURS_CAP,MAX(0,($D250+AG$5)-PERMANENT_FIELD_LABOR_HOURS)&gt;TEMP_HOURS_CAP),"",$C250+AG$6-MIN(($D250+AG$5),PERMANENT_FIELD_LABOR_HOURS)*PERMANENT_HOURLY_RATE-MAX(0,($D250+AG$5)-PERMANENT_FIELD_LABOR_HOURS)*TEMP_HOURLY_RATE-FIXED_SEASON_COST)</f>
        <v>35908.3680007216</v>
      </c>
      <c r="AH250" s="53" t="n">
        <f aca="false">IF(OR($A250&gt;TOMATO_BED_CAP,$B250&gt;CARROT_BED_CAP,AH$4&gt;MESCLUN_BED_CAP,$A250+$B250+AH$4&gt;TOTAL_BEDS_AVAILABLE,($D250+AH$5)&gt;TOTAL_LABOR_HOURS_CAP,MAX(0,($D250+AH$5)-PERMANENT_FIELD_LABOR_HOURS)&gt;TEMP_HOURS_CAP),"",$C250+AH$6-MIN(($D250+AH$5),PERMANENT_FIELD_LABOR_HOURS)*PERMANENT_HOURLY_RATE-MAX(0,($D250+AH$5)-PERMANENT_FIELD_LABOR_HOURS)*TEMP_HOURLY_RATE-FIXED_SEASON_COST)</f>
        <v>36253.4704172718</v>
      </c>
      <c r="AI250" s="53" t="n">
        <f aca="false">IF(OR($A250&gt;TOMATO_BED_CAP,$B250&gt;CARROT_BED_CAP,AI$4&gt;MESCLUN_BED_CAP,$A250+$B250+AI$4&gt;TOTAL_BEDS_AVAILABLE,($D250+AI$5)&gt;TOTAL_LABOR_HOURS_CAP,MAX(0,($D250+AI$5)-PERMANENT_FIELD_LABOR_HOURS)&gt;TEMP_HOURS_CAP),"",$C250+AI$6-MIN(($D250+AI$5),PERMANENT_FIELD_LABOR_HOURS)*PERMANENT_HOURLY_RATE-MAX(0,($D250+AI$5)-PERMANENT_FIELD_LABOR_HOURS)*TEMP_HOURLY_RATE-FIXED_SEASON_COST)</f>
        <v>36566.309449184</v>
      </c>
      <c r="AJ250" s="53" t="n">
        <f aca="false">IF(OR($A250&gt;TOMATO_BED_CAP,$B250&gt;CARROT_BED_CAP,AJ$4&gt;MESCLUN_BED_CAP,$A250+$B250+AJ$4&gt;TOTAL_BEDS_AVAILABLE,($D250+AJ$5)&gt;TOTAL_LABOR_HOURS_CAP,MAX(0,($D250+AJ$5)-PERMANENT_FIELD_LABOR_HOURS)&gt;TEMP_HOURS_CAP),"",$C250+AJ$6-MIN(($D250+AJ$5),PERMANENT_FIELD_LABOR_HOURS)*PERMANENT_HOURLY_RATE-MAX(0,($D250+AJ$5)-PERMANENT_FIELD_LABOR_HOURS)*TEMP_HOURLY_RATE-FIXED_SEASON_COST)</f>
        <v>36846.3089645898</v>
      </c>
    </row>
    <row r="251" customFormat="false" ht="15" hidden="false" customHeight="false" outlineLevel="0" collapsed="false">
      <c r="A251" s="21" t="n">
        <f aca="false">INT((ROW()-ROW($A$8))/(20+1))</f>
        <v>11</v>
      </c>
      <c r="B251" s="21" t="n">
        <f aca="false">MOD(ROW()-ROW($A$8),20+1)</f>
        <v>12</v>
      </c>
      <c r="C251" s="13" t="n">
        <f aca="false">A251*(TOMATO_REVENUE_PER_BED-TOMATO_FERTILIZER_PER_BED)+B251*(CARROT_REVENUE_PER_BED-CARROT_FERTILIZER_PER_BED)</f>
        <v>106968</v>
      </c>
      <c r="D251" s="14" t="n">
        <f aca="false">INDEX(TOMATO_SCHED_LABOR_HRS,A251+1)+INDEX(CARROT_SCHED_LABOR_HRS,B251+1)</f>
        <v>3308.55185178688</v>
      </c>
      <c r="E251" s="13" t="n">
        <f aca="false">IF(COUNT(F251:AJ251)=0,"",MAX(F251:AJ251))</f>
        <v>37612.3291478523</v>
      </c>
      <c r="F251" s="53" t="n">
        <f aca="false">IF(OR($A251&gt;TOMATO_BED_CAP,$B251&gt;CARROT_BED_CAP,F$4&gt;MESCLUN_BED_CAP,$A251+$B251+F$4&gt;TOTAL_BEDS_AVAILABLE,($D251+F$5)&gt;TOTAL_LABOR_HOURS_CAP,MAX(0,($D251+F$5)-PERMANENT_FIELD_LABOR_HOURS)&gt;TEMP_HOURS_CAP),"",$C251+F$6-MIN(($D251+F$5),PERMANENT_FIELD_LABOR_HOURS)*PERMANENT_HOURLY_RATE-MAX(0,($D251+F$5)-PERMANENT_FIELD_LABOR_HOURS)*TEMP_HOURLY_RATE-FIXED_SEASON_COST)</f>
        <v>17032.3398529798</v>
      </c>
      <c r="G251" s="53" t="n">
        <f aca="false">IF(OR($A251&gt;TOMATO_BED_CAP,$B251&gt;CARROT_BED_CAP,G$4&gt;MESCLUN_BED_CAP,$A251+$B251+G$4&gt;TOTAL_BEDS_AVAILABLE,($D251+G$5)&gt;TOTAL_LABOR_HOURS_CAP,MAX(0,($D251+G$5)-PERMANENT_FIELD_LABOR_HOURS)&gt;TEMP_HOURS_CAP),"",$C251+G$6-MIN(($D251+G$5),PERMANENT_FIELD_LABOR_HOURS)*PERMANENT_HOURLY_RATE-MAX(0,($D251+G$5)-PERMANENT_FIELD_LABOR_HOURS)*TEMP_HOURLY_RATE-FIXED_SEASON_COST)</f>
        <v>18061.3748529798</v>
      </c>
      <c r="H251" s="53" t="n">
        <f aca="false">IF(OR($A251&gt;TOMATO_BED_CAP,$B251&gt;CARROT_BED_CAP,H$4&gt;MESCLUN_BED_CAP,$A251+$B251+H$4&gt;TOTAL_BEDS_AVAILABLE,($D251+H$5)&gt;TOTAL_LABOR_HOURS_CAP,MAX(0,($D251+H$5)-PERMANENT_FIELD_LABOR_HOURS)&gt;TEMP_HOURS_CAP),"",$C251+H$6-MIN(($D251+H$5),PERMANENT_FIELD_LABOR_HOURS)*PERMANENT_HOURLY_RATE-MAX(0,($D251+H$5)-PERMANENT_FIELD_LABOR_HOURS)*TEMP_HOURLY_RATE-FIXED_SEASON_COST)</f>
        <v>19070.6357279798</v>
      </c>
      <c r="I251" s="53" t="n">
        <f aca="false">IF(OR($A251&gt;TOMATO_BED_CAP,$B251&gt;CARROT_BED_CAP,I$4&gt;MESCLUN_BED_CAP,$A251+$B251+I$4&gt;TOTAL_BEDS_AVAILABLE,($D251+I$5)&gt;TOTAL_LABOR_HOURS_CAP,MAX(0,($D251+I$5)-PERMANENT_FIELD_LABOR_HOURS)&gt;TEMP_HOURS_CAP),"",$C251+I$6-MIN(($D251+I$5),PERMANENT_FIELD_LABOR_HOURS)*PERMANENT_HOURLY_RATE-MAX(0,($D251+I$5)-PERMANENT_FIELD_LABOR_HOURS)*TEMP_HOURLY_RATE-FIXED_SEASON_COST)</f>
        <v>20059.7517131361</v>
      </c>
      <c r="J251" s="53" t="n">
        <f aca="false">IF(OR($A251&gt;TOMATO_BED_CAP,$B251&gt;CARROT_BED_CAP,J$4&gt;MESCLUN_BED_CAP,$A251+$B251+J$4&gt;TOTAL_BEDS_AVAILABLE,($D251+J$5)&gt;TOTAL_LABOR_HOURS_CAP,MAX(0,($D251+J$5)-PERMANENT_FIELD_LABOR_HOURS)&gt;TEMP_HOURS_CAP),"",$C251+J$6-MIN(($D251+J$5),PERMANENT_FIELD_LABOR_HOURS)*PERMANENT_HOURLY_RATE-MAX(0,($D251+J$5)-PERMANENT_FIELD_LABOR_HOURS)*TEMP_HOURLY_RATE-FIXED_SEASON_COST)</f>
        <v>21028.3458641908</v>
      </c>
      <c r="K251" s="53" t="n">
        <f aca="false">IF(OR($A251&gt;TOMATO_BED_CAP,$B251&gt;CARROT_BED_CAP,K$4&gt;MESCLUN_BED_CAP,$A251+$B251+K$4&gt;TOTAL_BEDS_AVAILABLE,($D251+K$5)&gt;TOTAL_LABOR_HOURS_CAP,MAX(0,($D251+K$5)-PERMANENT_FIELD_LABOR_HOURS)&gt;TEMP_HOURS_CAP),"",$C251+K$6-MIN(($D251+K$5),PERMANENT_FIELD_LABOR_HOURS)*PERMANENT_HOURLY_RATE-MAX(0,($D251+K$5)-PERMANENT_FIELD_LABOR_HOURS)*TEMP_HOURLY_RATE-FIXED_SEASON_COST)</f>
        <v>21976.0349609187</v>
      </c>
      <c r="L251" s="53" t="n">
        <f aca="false">IF(OR($A251&gt;TOMATO_BED_CAP,$B251&gt;CARROT_BED_CAP,L$4&gt;MESCLUN_BED_CAP,$A251+$B251+L$4&gt;TOTAL_BEDS_AVAILABLE,($D251+L$5)&gt;TOTAL_LABOR_HOURS_CAP,MAX(0,($D251+L$5)-PERMANENT_FIELD_LABOR_HOURS)&gt;TEMP_HOURS_CAP),"",$C251+L$6-MIN(($D251+L$5),PERMANENT_FIELD_LABOR_HOURS)*PERMANENT_HOURLY_RATE-MAX(0,($D251+L$5)-PERMANENT_FIELD_LABOR_HOURS)*TEMP_HOURLY_RATE-FIXED_SEASON_COST)</f>
        <v>22902.4294091255</v>
      </c>
      <c r="M251" s="53" t="n">
        <f aca="false">IF(OR($A251&gt;TOMATO_BED_CAP,$B251&gt;CARROT_BED_CAP,M$4&gt;MESCLUN_BED_CAP,$A251+$B251+M$4&gt;TOTAL_BEDS_AVAILABLE,($D251+M$5)&gt;TOTAL_LABOR_HOURS_CAP,MAX(0,($D251+M$5)-PERMANENT_FIELD_LABOR_HOURS)&gt;TEMP_HOURS_CAP),"",$C251+M$6-MIN(($D251+M$5),PERMANENT_FIELD_LABOR_HOURS)*PERMANENT_HOURLY_RATE-MAX(0,($D251+M$5)-PERMANENT_FIELD_LABOR_HOURS)*TEMP_HOURLY_RATE-FIXED_SEASON_COST)</f>
        <v>23807.1331411769</v>
      </c>
      <c r="N251" s="53" t="n">
        <f aca="false">IF(OR($A251&gt;TOMATO_BED_CAP,$B251&gt;CARROT_BED_CAP,N$4&gt;MESCLUN_BED_CAP,$A251+$B251+N$4&gt;TOTAL_BEDS_AVAILABLE,($D251+N$5)&gt;TOTAL_LABOR_HOURS_CAP,MAX(0,($D251+N$5)-PERMANENT_FIELD_LABOR_HOURS)&gt;TEMP_HOURS_CAP),"",$C251+N$6-MIN(($D251+N$5),PERMANENT_FIELD_LABOR_HOURS)*PERMANENT_HOURLY_RATE-MAX(0,($D251+N$5)-PERMANENT_FIELD_LABOR_HOURS)*TEMP_HOURLY_RATE-FIXED_SEASON_COST)</f>
        <v>24689.7435150365</v>
      </c>
      <c r="O251" s="53" t="n">
        <f aca="false">IF(OR($A251&gt;TOMATO_BED_CAP,$B251&gt;CARROT_BED_CAP,O$4&gt;MESCLUN_BED_CAP,$A251+$B251+O$4&gt;TOTAL_BEDS_AVAILABLE,($D251+O$5)&gt;TOTAL_LABOR_HOURS_CAP,MAX(0,($D251+O$5)-PERMANENT_FIELD_LABOR_HOURS)&gt;TEMP_HOURS_CAP),"",$C251+O$6-MIN(($D251+O$5),PERMANENT_FIELD_LABOR_HOURS)*PERMANENT_HOURLY_RATE-MAX(0,($D251+O$5)-PERMANENT_FIELD_LABOR_HOURS)*TEMP_HOURLY_RATE-FIXED_SEASON_COST)</f>
        <v>25549.8512117912</v>
      </c>
      <c r="P251" s="53" t="n">
        <f aca="false">IF(OR($A251&gt;TOMATO_BED_CAP,$B251&gt;CARROT_BED_CAP,P$4&gt;MESCLUN_BED_CAP,$A251+$B251+P$4&gt;TOTAL_BEDS_AVAILABLE,($D251+P$5)&gt;TOTAL_LABOR_HOURS_CAP,MAX(0,($D251+P$5)-PERMANENT_FIELD_LABOR_HOURS)&gt;TEMP_HOURS_CAP),"",$C251+P$6-MIN(($D251+P$5),PERMANENT_FIELD_LABOR_HOURS)*PERMANENT_HOURLY_RATE-MAX(0,($D251+P$5)-PERMANENT_FIELD_LABOR_HOURS)*TEMP_HOURLY_RATE-FIXED_SEASON_COST)</f>
        <v>26387.0401316426</v>
      </c>
      <c r="Q251" s="53" t="n">
        <f aca="false">IF(OR($A251&gt;TOMATO_BED_CAP,$B251&gt;CARROT_BED_CAP,Q$4&gt;MESCLUN_BED_CAP,$A251+$B251+Q$4&gt;TOTAL_BEDS_AVAILABLE,($D251+Q$5)&gt;TOTAL_LABOR_HOURS_CAP,MAX(0,($D251+Q$5)-PERMANENT_FIELD_LABOR_HOURS)&gt;TEMP_HOURS_CAP),"",$C251+Q$6-MIN(($D251+Q$5),PERMANENT_FIELD_LABOR_HOURS)*PERMANENT_HOURLY_RATE-MAX(0,($D251+Q$5)-PERMANENT_FIELD_LABOR_HOURS)*TEMP_HOURLY_RATE-FIXED_SEASON_COST)</f>
        <v>27200.8872883405</v>
      </c>
      <c r="R251" s="53" t="n">
        <f aca="false">IF(OR($A251&gt;TOMATO_BED_CAP,$B251&gt;CARROT_BED_CAP,R$4&gt;MESCLUN_BED_CAP,$A251+$B251+R$4&gt;TOTAL_BEDS_AVAILABLE,($D251+R$5)&gt;TOTAL_LABOR_HOURS_CAP,MAX(0,($D251+R$5)-PERMANENT_FIELD_LABOR_HOURS)&gt;TEMP_HOURS_CAP),"",$C251+R$6-MIN(($D251+R$5),PERMANENT_FIELD_LABOR_HOURS)*PERMANENT_HOURLY_RATE-MAX(0,($D251+R$5)-PERMANENT_FIELD_LABOR_HOURS)*TEMP_HOURLY_RATE-FIXED_SEASON_COST)</f>
        <v>27990.9627020373</v>
      </c>
      <c r="S251" s="53" t="n">
        <f aca="false">IF(OR($A251&gt;TOMATO_BED_CAP,$B251&gt;CARROT_BED_CAP,S$4&gt;MESCLUN_BED_CAP,$A251+$B251+S$4&gt;TOTAL_BEDS_AVAILABLE,($D251+S$5)&gt;TOTAL_LABOR_HOURS_CAP,MAX(0,($D251+S$5)-PERMANENT_FIELD_LABOR_HOURS)&gt;TEMP_HOURS_CAP),"",$C251+S$6-MIN(($D251+S$5),PERMANENT_FIELD_LABOR_HOURS)*PERMANENT_HOURLY_RATE-MAX(0,($D251+S$5)-PERMANENT_FIELD_LABOR_HOURS)*TEMP_HOURLY_RATE-FIXED_SEASON_COST)</f>
        <v>28756.8292905398</v>
      </c>
      <c r="T251" s="53" t="n">
        <f aca="false">IF(OR($A251&gt;TOMATO_BED_CAP,$B251&gt;CARROT_BED_CAP,T$4&gt;MESCLUN_BED_CAP,$A251+$B251+T$4&gt;TOTAL_BEDS_AVAILABLE,($D251+T$5)&gt;TOTAL_LABOR_HOURS_CAP,MAX(0,($D251+T$5)-PERMANENT_FIELD_LABOR_HOURS)&gt;TEMP_HOURS_CAP),"",$C251+T$6-MIN(($D251+T$5),PERMANENT_FIELD_LABOR_HOURS)*PERMANENT_HOURLY_RATE-MAX(0,($D251+T$5)-PERMANENT_FIELD_LABOR_HOURS)*TEMP_HOURLY_RATE-FIXED_SEASON_COST)</f>
        <v>29498.0427589346</v>
      </c>
      <c r="U251" s="53" t="n">
        <f aca="false">IF(OR($A251&gt;TOMATO_BED_CAP,$B251&gt;CARROT_BED_CAP,U$4&gt;MESCLUN_BED_CAP,$A251+$B251+U$4&gt;TOTAL_BEDS_AVAILABLE,($D251+U$5)&gt;TOTAL_LABOR_HOURS_CAP,MAX(0,($D251+U$5)-PERMANENT_FIELD_LABOR_HOURS)&gt;TEMP_HOURS_CAP),"",$C251+U$6-MIN(($D251+U$5),PERMANENT_FIELD_LABOR_HOURS)*PERMANENT_HOURLY_RATE-MAX(0,($D251+U$5)-PERMANENT_FIELD_LABOR_HOURS)*TEMP_HOURLY_RATE-FIXED_SEASON_COST)</f>
        <v>30214.1514875647</v>
      </c>
      <c r="V251" s="53" t="n">
        <f aca="false">IF(OR($A251&gt;TOMATO_BED_CAP,$B251&gt;CARROT_BED_CAP,V$4&gt;MESCLUN_BED_CAP,$A251+$B251+V$4&gt;TOTAL_BEDS_AVAILABLE,($D251+V$5)&gt;TOTAL_LABOR_HOURS_CAP,MAX(0,($D251+V$5)-PERMANENT_FIELD_LABOR_HOURS)&gt;TEMP_HOURS_CAP),"",$C251+V$6-MIN(($D251+V$5),PERMANENT_FIELD_LABOR_HOURS)*PERMANENT_HOURLY_RATE-MAX(0,($D251+V$5)-PERMANENT_FIELD_LABOR_HOURS)*TEMP_HOURLY_RATE-FIXED_SEASON_COST)</f>
        <v>30904.6964183315</v>
      </c>
      <c r="W251" s="53" t="n">
        <f aca="false">IF(OR($A251&gt;TOMATO_BED_CAP,$B251&gt;CARROT_BED_CAP,W$4&gt;MESCLUN_BED_CAP,$A251+$B251+W$4&gt;TOTAL_BEDS_AVAILABLE,($D251+W$5)&gt;TOTAL_LABOR_HOURS_CAP,MAX(0,($D251+W$5)-PERMANENT_FIELD_LABOR_HOURS)&gt;TEMP_HOURS_CAP),"",$C251+W$6-MIN(($D251+W$5),PERMANENT_FIELD_LABOR_HOURS)*PERMANENT_HOURLY_RATE-MAX(0,($D251+W$5)-PERMANENT_FIELD_LABOR_HOURS)*TEMP_HOURLY_RATE-FIXED_SEASON_COST)</f>
        <v>31569.2109392996</v>
      </c>
      <c r="X251" s="53" t="n">
        <f aca="false">IF(OR($A251&gt;TOMATO_BED_CAP,$B251&gt;CARROT_BED_CAP,X$4&gt;MESCLUN_BED_CAP,$A251+$B251+X$4&gt;TOTAL_BEDS_AVAILABLE,($D251+X$5)&gt;TOTAL_LABOR_HOURS_CAP,MAX(0,($D251+X$5)-PERMANENT_FIELD_LABOR_HOURS)&gt;TEMP_HOURS_CAP),"",$C251+X$6-MIN(($D251+X$5),PERMANENT_FIELD_LABOR_HOURS)*PERMANENT_HOURLY_RATE-MAX(0,($D251+X$5)-PERMANENT_FIELD_LABOR_HOURS)*TEMP_HOURLY_RATE-FIXED_SEASON_COST)</f>
        <v>32207.2207675785</v>
      </c>
      <c r="Y251" s="53" t="n">
        <f aca="false">IF(OR($A251&gt;TOMATO_BED_CAP,$B251&gt;CARROT_BED_CAP,Y$4&gt;MESCLUN_BED_CAP,$A251+$B251+Y$4&gt;TOTAL_BEDS_AVAILABLE,($D251+Y$5)&gt;TOTAL_LABOR_HOURS_CAP,MAX(0,($D251+Y$5)-PERMANENT_FIELD_LABOR_HOURS)&gt;TEMP_HOURS_CAP),"",$C251+Y$6-MIN(($D251+Y$5),PERMANENT_FIELD_LABOR_HOURS)*PERMANENT_HOURLY_RATE-MAX(0,($D251+Y$5)-PERMANENT_FIELD_LABOR_HOURS)*TEMP_HOURLY_RATE-FIXED_SEASON_COST)</f>
        <v>32818.2438304572</v>
      </c>
      <c r="Z251" s="53" t="n">
        <f aca="false">IF(OR($A251&gt;TOMATO_BED_CAP,$B251&gt;CARROT_BED_CAP,Z$4&gt;MESCLUN_BED_CAP,$A251+$B251+Z$4&gt;TOTAL_BEDS_AVAILABLE,($D251+Z$5)&gt;TOTAL_LABOR_HOURS_CAP,MAX(0,($D251+Z$5)-PERMANENT_FIELD_LABOR_HOURS)&gt;TEMP_HOURS_CAP),"",$C251+Z$6-MIN(($D251+Z$5),PERMANENT_FIELD_LABOR_HOURS)*PERMANENT_HOURLY_RATE-MAX(0,($D251+Z$5)-PERMANENT_FIELD_LABOR_HOURS)*TEMP_HOURLY_RATE-FIXED_SEASON_COST)</f>
        <v>33401.7901447649</v>
      </c>
      <c r="AA251" s="53" t="n">
        <f aca="false">IF(OR($A251&gt;TOMATO_BED_CAP,$B251&gt;CARROT_BED_CAP,AA$4&gt;MESCLUN_BED_CAP,$A251+$B251+AA$4&gt;TOTAL_BEDS_AVAILABLE,($D251+AA$5)&gt;TOTAL_LABOR_HOURS_CAP,MAX(0,($D251+AA$5)-PERMANENT_FIELD_LABOR_HOURS)&gt;TEMP_HOURS_CAP),"",$C251+AA$6-MIN(($D251+AA$5),PERMANENT_FIELD_LABOR_HOURS)*PERMANENT_HOURLY_RATE-MAX(0,($D251+AA$5)-PERMANENT_FIELD_LABOR_HOURS)*TEMP_HOURLY_RATE-FIXED_SEASON_COST)</f>
        <v>33957.3616944338</v>
      </c>
      <c r="AB251" s="53" t="n">
        <f aca="false">IF(OR($A251&gt;TOMATO_BED_CAP,$B251&gt;CARROT_BED_CAP,AB$4&gt;MESCLUN_BED_CAP,$A251+$B251+AB$4&gt;TOTAL_BEDS_AVAILABLE,($D251+AB$5)&gt;TOTAL_LABOR_HOURS_CAP,MAX(0,($D251+AB$5)-PERMANENT_FIELD_LABOR_HOURS)&gt;TEMP_HOURS_CAP),"",$C251+AB$6-MIN(($D251+AB$5),PERMANENT_FIELD_LABOR_HOURS)*PERMANENT_HOURLY_RATE-MAX(0,($D251+AB$5)-PERMANENT_FIELD_LABOR_HOURS)*TEMP_HOURLY_RATE-FIXED_SEASON_COST)</f>
        <v>34484.4523062364</v>
      </c>
      <c r="AC251" s="53" t="n">
        <f aca="false">IF(OR($A251&gt;TOMATO_BED_CAP,$B251&gt;CARROT_BED_CAP,AC$4&gt;MESCLUN_BED_CAP,$A251+$B251+AC$4&gt;TOTAL_BEDS_AVAILABLE,($D251+AC$5)&gt;TOTAL_LABOR_HOURS_CAP,MAX(0,($D251+AC$5)-PERMANENT_FIELD_LABOR_HOURS)&gt;TEMP_HOURS_CAP),"",$C251+AC$6-MIN(($D251+AC$5),PERMANENT_FIELD_LABOR_HOURS)*PERMANENT_HOURLY_RATE-MAX(0,($D251+AC$5)-PERMANENT_FIELD_LABOR_HOURS)*TEMP_HOURLY_RATE-FIXED_SEASON_COST)</f>
        <v>34982.5475236713</v>
      </c>
      <c r="AD251" s="53" t="n">
        <f aca="false">IF(OR($A251&gt;TOMATO_BED_CAP,$B251&gt;CARROT_BED_CAP,AD$4&gt;MESCLUN_BED_CAP,$A251+$B251+AD$4&gt;TOTAL_BEDS_AVAILABLE,($D251+AD$5)&gt;TOTAL_LABOR_HOURS_CAP,MAX(0,($D251+AD$5)-PERMANENT_FIELD_LABOR_HOURS)&gt;TEMP_HOURS_CAP),"",$C251+AD$6-MIN(($D251+AD$5),PERMANENT_FIELD_LABOR_HOURS)*PERMANENT_HOURLY_RATE-MAX(0,($D251+AD$5)-PERMANENT_FIELD_LABOR_HOURS)*TEMP_HOURLY_RATE-FIXED_SEASON_COST)</f>
        <v>35451.1244789713</v>
      </c>
      <c r="AE251" s="53" t="n">
        <f aca="false">IF(OR($A251&gt;TOMATO_BED_CAP,$B251&gt;CARROT_BED_CAP,AE$4&gt;MESCLUN_BED_CAP,$A251+$B251+AE$4&gt;TOTAL_BEDS_AVAILABLE,($D251+AE$5)&gt;TOTAL_LABOR_HOURS_CAP,MAX(0,($D251+AE$5)-PERMANENT_FIELD_LABOR_HOURS)&gt;TEMP_HOURS_CAP),"",$C251+AE$6-MIN(($D251+AE$5),PERMANENT_FIELD_LABOR_HOURS)*PERMANENT_HOURLY_RATE-MAX(0,($D251+AE$5)-PERMANENT_FIELD_LABOR_HOURS)*TEMP_HOURLY_RATE-FIXED_SEASON_COST)</f>
        <v>35889.6517632052</v>
      </c>
      <c r="AF251" s="53" t="n">
        <f aca="false">IF(OR($A251&gt;TOMATO_BED_CAP,$B251&gt;CARROT_BED_CAP,AF$4&gt;MESCLUN_BED_CAP,$A251+$B251+AF$4&gt;TOTAL_BEDS_AVAILABLE,($D251+AF$5)&gt;TOTAL_LABOR_HOURS_CAP,MAX(0,($D251+AF$5)-PERMANENT_FIELD_LABOR_HOURS)&gt;TEMP_HOURS_CAP),"",$C251+AF$6-MIN(($D251+AF$5),PERMANENT_FIELD_LABOR_HOURS)*PERMANENT_HOURLY_RATE-MAX(0,($D251+AF$5)-PERMANENT_FIELD_LABOR_HOURS)*TEMP_HOURLY_RATE-FIXED_SEASON_COST)</f>
        <v>36297.5892944471</v>
      </c>
      <c r="AG251" s="53" t="n">
        <f aca="false">IF(OR($A251&gt;TOMATO_BED_CAP,$B251&gt;CARROT_BED_CAP,AG$4&gt;MESCLUN_BED_CAP,$A251+$B251+AG$4&gt;TOTAL_BEDS_AVAILABLE,($D251+AG$5)&gt;TOTAL_LABOR_HOURS_CAP,MAX(0,($D251+AG$5)-PERMANENT_FIELD_LABOR_HOURS)&gt;TEMP_HOURS_CAP),"",$C251+AG$6-MIN(($D251+AG$5),PERMANENT_FIELD_LABOR_HOURS)*PERMANENT_HOURLY_RATE-MAX(0,($D251+AG$5)-PERMANENT_FIELD_LABOR_HOURS)*TEMP_HOURLY_RATE-FIXED_SEASON_COST)</f>
        <v>36674.3881839841</v>
      </c>
      <c r="AH251" s="53" t="n">
        <f aca="false">IF(OR($A251&gt;TOMATO_BED_CAP,$B251&gt;CARROT_BED_CAP,AH$4&gt;MESCLUN_BED_CAP,$A251+$B251+AH$4&gt;TOTAL_BEDS_AVAILABLE,($D251+AH$5)&gt;TOTAL_LABOR_HOURS_CAP,MAX(0,($D251+AH$5)-PERMANENT_FIELD_LABOR_HOURS)&gt;TEMP_HOURS_CAP),"",$C251+AH$6-MIN(($D251+AH$5),PERMANENT_FIELD_LABOR_HOURS)*PERMANENT_HOURLY_RATE-MAX(0,($D251+AH$5)-PERMANENT_FIELD_LABOR_HOURS)*TEMP_HOURLY_RATE-FIXED_SEASON_COST)</f>
        <v>37019.4906005343</v>
      </c>
      <c r="AI251" s="53" t="n">
        <f aca="false">IF(OR($A251&gt;TOMATO_BED_CAP,$B251&gt;CARROT_BED_CAP,AI$4&gt;MESCLUN_BED_CAP,$A251+$B251+AI$4&gt;TOTAL_BEDS_AVAILABLE,($D251+AI$5)&gt;TOTAL_LABOR_HOURS_CAP,MAX(0,($D251+AI$5)-PERMANENT_FIELD_LABOR_HOURS)&gt;TEMP_HOURS_CAP),"",$C251+AI$6-MIN(($D251+AI$5),PERMANENT_FIELD_LABOR_HOURS)*PERMANENT_HOURLY_RATE-MAX(0,($D251+AI$5)-PERMANENT_FIELD_LABOR_HOURS)*TEMP_HOURLY_RATE-FIXED_SEASON_COST)</f>
        <v>37332.3296324466</v>
      </c>
      <c r="AJ251" s="53" t="n">
        <f aca="false">IF(OR($A251&gt;TOMATO_BED_CAP,$B251&gt;CARROT_BED_CAP,AJ$4&gt;MESCLUN_BED_CAP,$A251+$B251+AJ$4&gt;TOTAL_BEDS_AVAILABLE,($D251+AJ$5)&gt;TOTAL_LABOR_HOURS_CAP,MAX(0,($D251+AJ$5)-PERMANENT_FIELD_LABOR_HOURS)&gt;TEMP_HOURS_CAP),"",$C251+AJ$6-MIN(($D251+AJ$5),PERMANENT_FIELD_LABOR_HOURS)*PERMANENT_HOURLY_RATE-MAX(0,($D251+AJ$5)-PERMANENT_FIELD_LABOR_HOURS)*TEMP_HOURLY_RATE-FIXED_SEASON_COST)</f>
        <v>37612.3291478523</v>
      </c>
    </row>
    <row r="252" customFormat="false" ht="15" hidden="false" customHeight="false" outlineLevel="0" collapsed="false">
      <c r="A252" s="21" t="n">
        <f aca="false">INT((ROW()-ROW($A$8))/(20+1))</f>
        <v>11</v>
      </c>
      <c r="B252" s="21" t="n">
        <f aca="false">MOD(ROW()-ROW($A$8),20+1)</f>
        <v>13</v>
      </c>
      <c r="C252" s="13" t="n">
        <f aca="false">A252*(TOMATO_REVENUE_PER_BED-TOMATO_FERTILIZER_PER_BED)+B252*(CARROT_REVENUE_PER_BED-CARROT_FERTILIZER_PER_BED)</f>
        <v>108622</v>
      </c>
      <c r="D252" s="14" t="n">
        <f aca="false">INDEX(TOMATO_SCHED_LABOR_HRS,A252+1)+INDEX(CARROT_SCHED_LABOR_HRS,B252+1)</f>
        <v>3361.98979881836</v>
      </c>
      <c r="E252" s="13" t="n">
        <f aca="false">IF(COUNT(F252:AJ252)=0,"",MAX(F252:AJ252))</f>
        <v>38338.6463873858</v>
      </c>
      <c r="F252" s="53" t="n">
        <f aca="false">IF(OR($A252&gt;TOMATO_BED_CAP,$B252&gt;CARROT_BED_CAP,F$4&gt;MESCLUN_BED_CAP,$A252+$B252+F$4&gt;TOTAL_BEDS_AVAILABLE,($D252+F$5)&gt;TOTAL_LABOR_HOURS_CAP,MAX(0,($D252+F$5)-PERMANENT_FIELD_LABOR_HOURS)&gt;TEMP_HOURS_CAP),"",$C252+F$6-MIN(($D252+F$5),PERMANENT_FIELD_LABOR_HOURS)*PERMANENT_HOURLY_RATE-MAX(0,($D252+F$5)-PERMANENT_FIELD_LABOR_HOURS)*TEMP_HOURLY_RATE-FIXED_SEASON_COST)</f>
        <v>17758.6570925132</v>
      </c>
      <c r="G252" s="53" t="n">
        <f aca="false">IF(OR($A252&gt;TOMATO_BED_CAP,$B252&gt;CARROT_BED_CAP,G$4&gt;MESCLUN_BED_CAP,$A252+$B252+G$4&gt;TOTAL_BEDS_AVAILABLE,($D252+G$5)&gt;TOTAL_LABOR_HOURS_CAP,MAX(0,($D252+G$5)-PERMANENT_FIELD_LABOR_HOURS)&gt;TEMP_HOURS_CAP),"",$C252+G$6-MIN(($D252+G$5),PERMANENT_FIELD_LABOR_HOURS)*PERMANENT_HOURLY_RATE-MAX(0,($D252+G$5)-PERMANENT_FIELD_LABOR_HOURS)*TEMP_HOURLY_RATE-FIXED_SEASON_COST)</f>
        <v>18787.6920925132</v>
      </c>
      <c r="H252" s="53" t="n">
        <f aca="false">IF(OR($A252&gt;TOMATO_BED_CAP,$B252&gt;CARROT_BED_CAP,H$4&gt;MESCLUN_BED_CAP,$A252+$B252+H$4&gt;TOTAL_BEDS_AVAILABLE,($D252+H$5)&gt;TOTAL_LABOR_HOURS_CAP,MAX(0,($D252+H$5)-PERMANENT_FIELD_LABOR_HOURS)&gt;TEMP_HOURS_CAP),"",$C252+H$6-MIN(($D252+H$5),PERMANENT_FIELD_LABOR_HOURS)*PERMANENT_HOURLY_RATE-MAX(0,($D252+H$5)-PERMANENT_FIELD_LABOR_HOURS)*TEMP_HOURLY_RATE-FIXED_SEASON_COST)</f>
        <v>19796.9529675132</v>
      </c>
      <c r="I252" s="53" t="n">
        <f aca="false">IF(OR($A252&gt;TOMATO_BED_CAP,$B252&gt;CARROT_BED_CAP,I$4&gt;MESCLUN_BED_CAP,$A252+$B252+I$4&gt;TOTAL_BEDS_AVAILABLE,($D252+I$5)&gt;TOTAL_LABOR_HOURS_CAP,MAX(0,($D252+I$5)-PERMANENT_FIELD_LABOR_HOURS)&gt;TEMP_HOURS_CAP),"",$C252+I$6-MIN(($D252+I$5),PERMANENT_FIELD_LABOR_HOURS)*PERMANENT_HOURLY_RATE-MAX(0,($D252+I$5)-PERMANENT_FIELD_LABOR_HOURS)*TEMP_HOURLY_RATE-FIXED_SEASON_COST)</f>
        <v>20786.0689526695</v>
      </c>
      <c r="J252" s="53" t="n">
        <f aca="false">IF(OR($A252&gt;TOMATO_BED_CAP,$B252&gt;CARROT_BED_CAP,J$4&gt;MESCLUN_BED_CAP,$A252+$B252+J$4&gt;TOTAL_BEDS_AVAILABLE,($D252+J$5)&gt;TOTAL_LABOR_HOURS_CAP,MAX(0,($D252+J$5)-PERMANENT_FIELD_LABOR_HOURS)&gt;TEMP_HOURS_CAP),"",$C252+J$6-MIN(($D252+J$5),PERMANENT_FIELD_LABOR_HOURS)*PERMANENT_HOURLY_RATE-MAX(0,($D252+J$5)-PERMANENT_FIELD_LABOR_HOURS)*TEMP_HOURLY_RATE-FIXED_SEASON_COST)</f>
        <v>21754.6631037242</v>
      </c>
      <c r="K252" s="53" t="n">
        <f aca="false">IF(OR($A252&gt;TOMATO_BED_CAP,$B252&gt;CARROT_BED_CAP,K$4&gt;MESCLUN_BED_CAP,$A252+$B252+K$4&gt;TOTAL_BEDS_AVAILABLE,($D252+K$5)&gt;TOTAL_LABOR_HOURS_CAP,MAX(0,($D252+K$5)-PERMANENT_FIELD_LABOR_HOURS)&gt;TEMP_HOURS_CAP),"",$C252+K$6-MIN(($D252+K$5),PERMANENT_FIELD_LABOR_HOURS)*PERMANENT_HOURLY_RATE-MAX(0,($D252+K$5)-PERMANENT_FIELD_LABOR_HOURS)*TEMP_HOURLY_RATE-FIXED_SEASON_COST)</f>
        <v>22702.3522004521</v>
      </c>
      <c r="L252" s="53" t="n">
        <f aca="false">IF(OR($A252&gt;TOMATO_BED_CAP,$B252&gt;CARROT_BED_CAP,L$4&gt;MESCLUN_BED_CAP,$A252+$B252+L$4&gt;TOTAL_BEDS_AVAILABLE,($D252+L$5)&gt;TOTAL_LABOR_HOURS_CAP,MAX(0,($D252+L$5)-PERMANENT_FIELD_LABOR_HOURS)&gt;TEMP_HOURS_CAP),"",$C252+L$6-MIN(($D252+L$5),PERMANENT_FIELD_LABOR_HOURS)*PERMANENT_HOURLY_RATE-MAX(0,($D252+L$5)-PERMANENT_FIELD_LABOR_HOURS)*TEMP_HOURLY_RATE-FIXED_SEASON_COST)</f>
        <v>23628.7466486589</v>
      </c>
      <c r="M252" s="53" t="n">
        <f aca="false">IF(OR($A252&gt;TOMATO_BED_CAP,$B252&gt;CARROT_BED_CAP,M$4&gt;MESCLUN_BED_CAP,$A252+$B252+M$4&gt;TOTAL_BEDS_AVAILABLE,($D252+M$5)&gt;TOTAL_LABOR_HOURS_CAP,MAX(0,($D252+M$5)-PERMANENT_FIELD_LABOR_HOURS)&gt;TEMP_HOURS_CAP),"",$C252+M$6-MIN(($D252+M$5),PERMANENT_FIELD_LABOR_HOURS)*PERMANENT_HOURLY_RATE-MAX(0,($D252+M$5)-PERMANENT_FIELD_LABOR_HOURS)*TEMP_HOURLY_RATE-FIXED_SEASON_COST)</f>
        <v>24533.4503807103</v>
      </c>
      <c r="N252" s="53" t="n">
        <f aca="false">IF(OR($A252&gt;TOMATO_BED_CAP,$B252&gt;CARROT_BED_CAP,N$4&gt;MESCLUN_BED_CAP,$A252+$B252+N$4&gt;TOTAL_BEDS_AVAILABLE,($D252+N$5)&gt;TOTAL_LABOR_HOURS_CAP,MAX(0,($D252+N$5)-PERMANENT_FIELD_LABOR_HOURS)&gt;TEMP_HOURS_CAP),"",$C252+N$6-MIN(($D252+N$5),PERMANENT_FIELD_LABOR_HOURS)*PERMANENT_HOURLY_RATE-MAX(0,($D252+N$5)-PERMANENT_FIELD_LABOR_HOURS)*TEMP_HOURLY_RATE-FIXED_SEASON_COST)</f>
        <v>25416.0607545699</v>
      </c>
      <c r="O252" s="53" t="n">
        <f aca="false">IF(OR($A252&gt;TOMATO_BED_CAP,$B252&gt;CARROT_BED_CAP,O$4&gt;MESCLUN_BED_CAP,$A252+$B252+O$4&gt;TOTAL_BEDS_AVAILABLE,($D252+O$5)&gt;TOTAL_LABOR_HOURS_CAP,MAX(0,($D252+O$5)-PERMANENT_FIELD_LABOR_HOURS)&gt;TEMP_HOURS_CAP),"",$C252+O$6-MIN(($D252+O$5),PERMANENT_FIELD_LABOR_HOURS)*PERMANENT_HOURLY_RATE-MAX(0,($D252+O$5)-PERMANENT_FIELD_LABOR_HOURS)*TEMP_HOURLY_RATE-FIXED_SEASON_COST)</f>
        <v>26276.1684513246</v>
      </c>
      <c r="P252" s="53" t="n">
        <f aca="false">IF(OR($A252&gt;TOMATO_BED_CAP,$B252&gt;CARROT_BED_CAP,P$4&gt;MESCLUN_BED_CAP,$A252+$B252+P$4&gt;TOTAL_BEDS_AVAILABLE,($D252+P$5)&gt;TOTAL_LABOR_HOURS_CAP,MAX(0,($D252+P$5)-PERMANENT_FIELD_LABOR_HOURS)&gt;TEMP_HOURS_CAP),"",$C252+P$6-MIN(($D252+P$5),PERMANENT_FIELD_LABOR_HOURS)*PERMANENT_HOURLY_RATE-MAX(0,($D252+P$5)-PERMANENT_FIELD_LABOR_HOURS)*TEMP_HOURLY_RATE-FIXED_SEASON_COST)</f>
        <v>27113.3573711761</v>
      </c>
      <c r="Q252" s="53" t="n">
        <f aca="false">IF(OR($A252&gt;TOMATO_BED_CAP,$B252&gt;CARROT_BED_CAP,Q$4&gt;MESCLUN_BED_CAP,$A252+$B252+Q$4&gt;TOTAL_BEDS_AVAILABLE,($D252+Q$5)&gt;TOTAL_LABOR_HOURS_CAP,MAX(0,($D252+Q$5)-PERMANENT_FIELD_LABOR_HOURS)&gt;TEMP_HOURS_CAP),"",$C252+Q$6-MIN(($D252+Q$5),PERMANENT_FIELD_LABOR_HOURS)*PERMANENT_HOURLY_RATE-MAX(0,($D252+Q$5)-PERMANENT_FIELD_LABOR_HOURS)*TEMP_HOURLY_RATE-FIXED_SEASON_COST)</f>
        <v>27927.204527874</v>
      </c>
      <c r="R252" s="53" t="n">
        <f aca="false">IF(OR($A252&gt;TOMATO_BED_CAP,$B252&gt;CARROT_BED_CAP,R$4&gt;MESCLUN_BED_CAP,$A252+$B252+R$4&gt;TOTAL_BEDS_AVAILABLE,($D252+R$5)&gt;TOTAL_LABOR_HOURS_CAP,MAX(0,($D252+R$5)-PERMANENT_FIELD_LABOR_HOURS)&gt;TEMP_HOURS_CAP),"",$C252+R$6-MIN(($D252+R$5),PERMANENT_FIELD_LABOR_HOURS)*PERMANENT_HOURLY_RATE-MAX(0,($D252+R$5)-PERMANENT_FIELD_LABOR_HOURS)*TEMP_HOURLY_RATE-FIXED_SEASON_COST)</f>
        <v>28717.2799415708</v>
      </c>
      <c r="S252" s="53" t="n">
        <f aca="false">IF(OR($A252&gt;TOMATO_BED_CAP,$B252&gt;CARROT_BED_CAP,S$4&gt;MESCLUN_BED_CAP,$A252+$B252+S$4&gt;TOTAL_BEDS_AVAILABLE,($D252+S$5)&gt;TOTAL_LABOR_HOURS_CAP,MAX(0,($D252+S$5)-PERMANENT_FIELD_LABOR_HOURS)&gt;TEMP_HOURS_CAP),"",$C252+S$6-MIN(($D252+S$5),PERMANENT_FIELD_LABOR_HOURS)*PERMANENT_HOURLY_RATE-MAX(0,($D252+S$5)-PERMANENT_FIELD_LABOR_HOURS)*TEMP_HOURLY_RATE-FIXED_SEASON_COST)</f>
        <v>29483.1465300732</v>
      </c>
      <c r="T252" s="53" t="n">
        <f aca="false">IF(OR($A252&gt;TOMATO_BED_CAP,$B252&gt;CARROT_BED_CAP,T$4&gt;MESCLUN_BED_CAP,$A252+$B252+T$4&gt;TOTAL_BEDS_AVAILABLE,($D252+T$5)&gt;TOTAL_LABOR_HOURS_CAP,MAX(0,($D252+T$5)-PERMANENT_FIELD_LABOR_HOURS)&gt;TEMP_HOURS_CAP),"",$C252+T$6-MIN(($D252+T$5),PERMANENT_FIELD_LABOR_HOURS)*PERMANENT_HOURLY_RATE-MAX(0,($D252+T$5)-PERMANENT_FIELD_LABOR_HOURS)*TEMP_HOURLY_RATE-FIXED_SEASON_COST)</f>
        <v>30224.3599984681</v>
      </c>
      <c r="U252" s="53" t="n">
        <f aca="false">IF(OR($A252&gt;TOMATO_BED_CAP,$B252&gt;CARROT_BED_CAP,U$4&gt;MESCLUN_BED_CAP,$A252+$B252+U$4&gt;TOTAL_BEDS_AVAILABLE,($D252+U$5)&gt;TOTAL_LABOR_HOURS_CAP,MAX(0,($D252+U$5)-PERMANENT_FIELD_LABOR_HOURS)&gt;TEMP_HOURS_CAP),"",$C252+U$6-MIN(($D252+U$5),PERMANENT_FIELD_LABOR_HOURS)*PERMANENT_HOURLY_RATE-MAX(0,($D252+U$5)-PERMANENT_FIELD_LABOR_HOURS)*TEMP_HOURLY_RATE-FIXED_SEASON_COST)</f>
        <v>30940.4687270981</v>
      </c>
      <c r="V252" s="53" t="n">
        <f aca="false">IF(OR($A252&gt;TOMATO_BED_CAP,$B252&gt;CARROT_BED_CAP,V$4&gt;MESCLUN_BED_CAP,$A252+$B252+V$4&gt;TOTAL_BEDS_AVAILABLE,($D252+V$5)&gt;TOTAL_LABOR_HOURS_CAP,MAX(0,($D252+V$5)-PERMANENT_FIELD_LABOR_HOURS)&gt;TEMP_HOURS_CAP),"",$C252+V$6-MIN(($D252+V$5),PERMANENT_FIELD_LABOR_HOURS)*PERMANENT_HOURLY_RATE-MAX(0,($D252+V$5)-PERMANENT_FIELD_LABOR_HOURS)*TEMP_HOURLY_RATE-FIXED_SEASON_COST)</f>
        <v>31631.0136578649</v>
      </c>
      <c r="W252" s="53" t="n">
        <f aca="false">IF(OR($A252&gt;TOMATO_BED_CAP,$B252&gt;CARROT_BED_CAP,W$4&gt;MESCLUN_BED_CAP,$A252+$B252+W$4&gt;TOTAL_BEDS_AVAILABLE,($D252+W$5)&gt;TOTAL_LABOR_HOURS_CAP,MAX(0,($D252+W$5)-PERMANENT_FIELD_LABOR_HOURS)&gt;TEMP_HOURS_CAP),"",$C252+W$6-MIN(($D252+W$5),PERMANENT_FIELD_LABOR_HOURS)*PERMANENT_HOURLY_RATE-MAX(0,($D252+W$5)-PERMANENT_FIELD_LABOR_HOURS)*TEMP_HOURLY_RATE-FIXED_SEASON_COST)</f>
        <v>32295.528178833</v>
      </c>
      <c r="X252" s="53" t="n">
        <f aca="false">IF(OR($A252&gt;TOMATO_BED_CAP,$B252&gt;CARROT_BED_CAP,X$4&gt;MESCLUN_BED_CAP,$A252+$B252+X$4&gt;TOTAL_BEDS_AVAILABLE,($D252+X$5)&gt;TOTAL_LABOR_HOURS_CAP,MAX(0,($D252+X$5)-PERMANENT_FIELD_LABOR_HOURS)&gt;TEMP_HOURS_CAP),"",$C252+X$6-MIN(($D252+X$5),PERMANENT_FIELD_LABOR_HOURS)*PERMANENT_HOURLY_RATE-MAX(0,($D252+X$5)-PERMANENT_FIELD_LABOR_HOURS)*TEMP_HOURLY_RATE-FIXED_SEASON_COST)</f>
        <v>32933.5380071119</v>
      </c>
      <c r="Y252" s="53" t="n">
        <f aca="false">IF(OR($A252&gt;TOMATO_BED_CAP,$B252&gt;CARROT_BED_CAP,Y$4&gt;MESCLUN_BED_CAP,$A252+$B252+Y$4&gt;TOTAL_BEDS_AVAILABLE,($D252+Y$5)&gt;TOTAL_LABOR_HOURS_CAP,MAX(0,($D252+Y$5)-PERMANENT_FIELD_LABOR_HOURS)&gt;TEMP_HOURS_CAP),"",$C252+Y$6-MIN(($D252+Y$5),PERMANENT_FIELD_LABOR_HOURS)*PERMANENT_HOURLY_RATE-MAX(0,($D252+Y$5)-PERMANENT_FIELD_LABOR_HOURS)*TEMP_HOURLY_RATE-FIXED_SEASON_COST)</f>
        <v>33544.5610699906</v>
      </c>
      <c r="Z252" s="53" t="n">
        <f aca="false">IF(OR($A252&gt;TOMATO_BED_CAP,$B252&gt;CARROT_BED_CAP,Z$4&gt;MESCLUN_BED_CAP,$A252+$B252+Z$4&gt;TOTAL_BEDS_AVAILABLE,($D252+Z$5)&gt;TOTAL_LABOR_HOURS_CAP,MAX(0,($D252+Z$5)-PERMANENT_FIELD_LABOR_HOURS)&gt;TEMP_HOURS_CAP),"",$C252+Z$6-MIN(($D252+Z$5),PERMANENT_FIELD_LABOR_HOURS)*PERMANENT_HOURLY_RATE-MAX(0,($D252+Z$5)-PERMANENT_FIELD_LABOR_HOURS)*TEMP_HOURLY_RATE-FIXED_SEASON_COST)</f>
        <v>34128.1073842983</v>
      </c>
      <c r="AA252" s="53" t="n">
        <f aca="false">IF(OR($A252&gt;TOMATO_BED_CAP,$B252&gt;CARROT_BED_CAP,AA$4&gt;MESCLUN_BED_CAP,$A252+$B252+AA$4&gt;TOTAL_BEDS_AVAILABLE,($D252+AA$5)&gt;TOTAL_LABOR_HOURS_CAP,MAX(0,($D252+AA$5)-PERMANENT_FIELD_LABOR_HOURS)&gt;TEMP_HOURS_CAP),"",$C252+AA$6-MIN(($D252+AA$5),PERMANENT_FIELD_LABOR_HOURS)*PERMANENT_HOURLY_RATE-MAX(0,($D252+AA$5)-PERMANENT_FIELD_LABOR_HOURS)*TEMP_HOURLY_RATE-FIXED_SEASON_COST)</f>
        <v>34683.6789339672</v>
      </c>
      <c r="AB252" s="53" t="n">
        <f aca="false">IF(OR($A252&gt;TOMATO_BED_CAP,$B252&gt;CARROT_BED_CAP,AB$4&gt;MESCLUN_BED_CAP,$A252+$B252+AB$4&gt;TOTAL_BEDS_AVAILABLE,($D252+AB$5)&gt;TOTAL_LABOR_HOURS_CAP,MAX(0,($D252+AB$5)-PERMANENT_FIELD_LABOR_HOURS)&gt;TEMP_HOURS_CAP),"",$C252+AB$6-MIN(($D252+AB$5),PERMANENT_FIELD_LABOR_HOURS)*PERMANENT_HOURLY_RATE-MAX(0,($D252+AB$5)-PERMANENT_FIELD_LABOR_HOURS)*TEMP_HOURLY_RATE-FIXED_SEASON_COST)</f>
        <v>35210.7695457698</v>
      </c>
      <c r="AC252" s="53" t="n">
        <f aca="false">IF(OR($A252&gt;TOMATO_BED_CAP,$B252&gt;CARROT_BED_CAP,AC$4&gt;MESCLUN_BED_CAP,$A252+$B252+AC$4&gt;TOTAL_BEDS_AVAILABLE,($D252+AC$5)&gt;TOTAL_LABOR_HOURS_CAP,MAX(0,($D252+AC$5)-PERMANENT_FIELD_LABOR_HOURS)&gt;TEMP_HOURS_CAP),"",$C252+AC$6-MIN(($D252+AC$5),PERMANENT_FIELD_LABOR_HOURS)*PERMANENT_HOURLY_RATE-MAX(0,($D252+AC$5)-PERMANENT_FIELD_LABOR_HOURS)*TEMP_HOURLY_RATE-FIXED_SEASON_COST)</f>
        <v>35708.8647632047</v>
      </c>
      <c r="AD252" s="53" t="n">
        <f aca="false">IF(OR($A252&gt;TOMATO_BED_CAP,$B252&gt;CARROT_BED_CAP,AD$4&gt;MESCLUN_BED_CAP,$A252+$B252+AD$4&gt;TOTAL_BEDS_AVAILABLE,($D252+AD$5)&gt;TOTAL_LABOR_HOURS_CAP,MAX(0,($D252+AD$5)-PERMANENT_FIELD_LABOR_HOURS)&gt;TEMP_HOURS_CAP),"",$C252+AD$6-MIN(($D252+AD$5),PERMANENT_FIELD_LABOR_HOURS)*PERMANENT_HOURLY_RATE-MAX(0,($D252+AD$5)-PERMANENT_FIELD_LABOR_HOURS)*TEMP_HOURLY_RATE-FIXED_SEASON_COST)</f>
        <v>36177.4417185047</v>
      </c>
      <c r="AE252" s="53" t="n">
        <f aca="false">IF(OR($A252&gt;TOMATO_BED_CAP,$B252&gt;CARROT_BED_CAP,AE$4&gt;MESCLUN_BED_CAP,$A252+$B252+AE$4&gt;TOTAL_BEDS_AVAILABLE,($D252+AE$5)&gt;TOTAL_LABOR_HOURS_CAP,MAX(0,($D252+AE$5)-PERMANENT_FIELD_LABOR_HOURS)&gt;TEMP_HOURS_CAP),"",$C252+AE$6-MIN(($D252+AE$5),PERMANENT_FIELD_LABOR_HOURS)*PERMANENT_HOURLY_RATE-MAX(0,($D252+AE$5)-PERMANENT_FIELD_LABOR_HOURS)*TEMP_HOURLY_RATE-FIXED_SEASON_COST)</f>
        <v>36615.9690027386</v>
      </c>
      <c r="AF252" s="53" t="n">
        <f aca="false">IF(OR($A252&gt;TOMATO_BED_CAP,$B252&gt;CARROT_BED_CAP,AF$4&gt;MESCLUN_BED_CAP,$A252+$B252+AF$4&gt;TOTAL_BEDS_AVAILABLE,($D252+AF$5)&gt;TOTAL_LABOR_HOURS_CAP,MAX(0,($D252+AF$5)-PERMANENT_FIELD_LABOR_HOURS)&gt;TEMP_HOURS_CAP),"",$C252+AF$6-MIN(($D252+AF$5),PERMANENT_FIELD_LABOR_HOURS)*PERMANENT_HOURLY_RATE-MAX(0,($D252+AF$5)-PERMANENT_FIELD_LABOR_HOURS)*TEMP_HOURLY_RATE-FIXED_SEASON_COST)</f>
        <v>37023.9065339805</v>
      </c>
      <c r="AG252" s="53" t="n">
        <f aca="false">IF(OR($A252&gt;TOMATO_BED_CAP,$B252&gt;CARROT_BED_CAP,AG$4&gt;MESCLUN_BED_CAP,$A252+$B252+AG$4&gt;TOTAL_BEDS_AVAILABLE,($D252+AG$5)&gt;TOTAL_LABOR_HOURS_CAP,MAX(0,($D252+AG$5)-PERMANENT_FIELD_LABOR_HOURS)&gt;TEMP_HOURS_CAP),"",$C252+AG$6-MIN(($D252+AG$5),PERMANENT_FIELD_LABOR_HOURS)*PERMANENT_HOURLY_RATE-MAX(0,($D252+AG$5)-PERMANENT_FIELD_LABOR_HOURS)*TEMP_HOURLY_RATE-FIXED_SEASON_COST)</f>
        <v>37400.7054235175</v>
      </c>
      <c r="AH252" s="53" t="n">
        <f aca="false">IF(OR($A252&gt;TOMATO_BED_CAP,$B252&gt;CARROT_BED_CAP,AH$4&gt;MESCLUN_BED_CAP,$A252+$B252+AH$4&gt;TOTAL_BEDS_AVAILABLE,($D252+AH$5)&gt;TOTAL_LABOR_HOURS_CAP,MAX(0,($D252+AH$5)-PERMANENT_FIELD_LABOR_HOURS)&gt;TEMP_HOURS_CAP),"",$C252+AH$6-MIN(($D252+AH$5),PERMANENT_FIELD_LABOR_HOURS)*PERMANENT_HOURLY_RATE-MAX(0,($D252+AH$5)-PERMANENT_FIELD_LABOR_HOURS)*TEMP_HOURLY_RATE-FIXED_SEASON_COST)</f>
        <v>37745.8078400678</v>
      </c>
      <c r="AI252" s="53" t="n">
        <f aca="false">IF(OR($A252&gt;TOMATO_BED_CAP,$B252&gt;CARROT_BED_CAP,AI$4&gt;MESCLUN_BED_CAP,$A252+$B252+AI$4&gt;TOTAL_BEDS_AVAILABLE,($D252+AI$5)&gt;TOTAL_LABOR_HOURS_CAP,MAX(0,($D252+AI$5)-PERMANENT_FIELD_LABOR_HOURS)&gt;TEMP_HOURS_CAP),"",$C252+AI$6-MIN(($D252+AI$5),PERMANENT_FIELD_LABOR_HOURS)*PERMANENT_HOURLY_RATE-MAX(0,($D252+AI$5)-PERMANENT_FIELD_LABOR_HOURS)*TEMP_HOURLY_RATE-FIXED_SEASON_COST)</f>
        <v>38058.64687198</v>
      </c>
      <c r="AJ252" s="53" t="n">
        <f aca="false">IF(OR($A252&gt;TOMATO_BED_CAP,$B252&gt;CARROT_BED_CAP,AJ$4&gt;MESCLUN_BED_CAP,$A252+$B252+AJ$4&gt;TOTAL_BEDS_AVAILABLE,($D252+AJ$5)&gt;TOTAL_LABOR_HOURS_CAP,MAX(0,($D252+AJ$5)-PERMANENT_FIELD_LABOR_HOURS)&gt;TEMP_HOURS_CAP),"",$C252+AJ$6-MIN(($D252+AJ$5),PERMANENT_FIELD_LABOR_HOURS)*PERMANENT_HOURLY_RATE-MAX(0,($D252+AJ$5)-PERMANENT_FIELD_LABOR_HOURS)*TEMP_HOURLY_RATE-FIXED_SEASON_COST)</f>
        <v>38338.6463873858</v>
      </c>
    </row>
    <row r="253" customFormat="false" ht="15" hidden="false" customHeight="false" outlineLevel="0" collapsed="false">
      <c r="A253" s="21" t="n">
        <f aca="false">INT((ROW()-ROW($A$8))/(20+1))</f>
        <v>11</v>
      </c>
      <c r="B253" s="21" t="n">
        <f aca="false">MOD(ROW()-ROW($A$8),20+1)</f>
        <v>14</v>
      </c>
      <c r="C253" s="13" t="n">
        <f aca="false">A253*(TOMATO_REVENUE_PER_BED-TOMATO_FERTILIZER_PER_BED)+B253*(CARROT_REVENUE_PER_BED-CARROT_FERTILIZER_PER_BED)</f>
        <v>110276</v>
      </c>
      <c r="D253" s="14" t="n">
        <f aca="false">INDEX(TOMATO_SCHED_LABOR_HRS,A253+1)+INDEX(CARROT_SCHED_LABOR_HRS,B253+1)</f>
        <v>3417.79716425596</v>
      </c>
      <c r="E253" s="13" t="n">
        <f aca="false">IF(COUNT(F253:AJ253)=0,"",MAX(F253:AJ253))</f>
        <v>39023.8305233891</v>
      </c>
      <c r="F253" s="53" t="n">
        <f aca="false">IF(OR($A253&gt;TOMATO_BED_CAP,$B253&gt;CARROT_BED_CAP,F$4&gt;MESCLUN_BED_CAP,$A253+$B253+F$4&gt;TOTAL_BEDS_AVAILABLE,($D253+F$5)&gt;TOTAL_LABOR_HOURS_CAP,MAX(0,($D253+F$5)-PERMANENT_FIELD_LABOR_HOURS)&gt;TEMP_HOURS_CAP),"",$C253+F$6-MIN(($D253+F$5),PERMANENT_FIELD_LABOR_HOURS)*PERMANENT_HOURLY_RATE-MAX(0,($D253+F$5)-PERMANENT_FIELD_LABOR_HOURS)*TEMP_HOURLY_RATE-FIXED_SEASON_COST)</f>
        <v>18443.8412285165</v>
      </c>
      <c r="G253" s="53" t="n">
        <f aca="false">IF(OR($A253&gt;TOMATO_BED_CAP,$B253&gt;CARROT_BED_CAP,G$4&gt;MESCLUN_BED_CAP,$A253+$B253+G$4&gt;TOTAL_BEDS_AVAILABLE,($D253+G$5)&gt;TOTAL_LABOR_HOURS_CAP,MAX(0,($D253+G$5)-PERMANENT_FIELD_LABOR_HOURS)&gt;TEMP_HOURS_CAP),"",$C253+G$6-MIN(($D253+G$5),PERMANENT_FIELD_LABOR_HOURS)*PERMANENT_HOURLY_RATE-MAX(0,($D253+G$5)-PERMANENT_FIELD_LABOR_HOURS)*TEMP_HOURLY_RATE-FIXED_SEASON_COST)</f>
        <v>19472.8762285165</v>
      </c>
      <c r="H253" s="53" t="n">
        <f aca="false">IF(OR($A253&gt;TOMATO_BED_CAP,$B253&gt;CARROT_BED_CAP,H$4&gt;MESCLUN_BED_CAP,$A253+$B253+H$4&gt;TOTAL_BEDS_AVAILABLE,($D253+H$5)&gt;TOTAL_LABOR_HOURS_CAP,MAX(0,($D253+H$5)-PERMANENT_FIELD_LABOR_HOURS)&gt;TEMP_HOURS_CAP),"",$C253+H$6-MIN(($D253+H$5),PERMANENT_FIELD_LABOR_HOURS)*PERMANENT_HOURLY_RATE-MAX(0,($D253+H$5)-PERMANENT_FIELD_LABOR_HOURS)*TEMP_HOURLY_RATE-FIXED_SEASON_COST)</f>
        <v>20482.1371035165</v>
      </c>
      <c r="I253" s="53" t="n">
        <f aca="false">IF(OR($A253&gt;TOMATO_BED_CAP,$B253&gt;CARROT_BED_CAP,I$4&gt;MESCLUN_BED_CAP,$A253+$B253+I$4&gt;TOTAL_BEDS_AVAILABLE,($D253+I$5)&gt;TOTAL_LABOR_HOURS_CAP,MAX(0,($D253+I$5)-PERMANENT_FIELD_LABOR_HOURS)&gt;TEMP_HOURS_CAP),"",$C253+I$6-MIN(($D253+I$5),PERMANENT_FIELD_LABOR_HOURS)*PERMANENT_HOURLY_RATE-MAX(0,($D253+I$5)-PERMANENT_FIELD_LABOR_HOURS)*TEMP_HOURLY_RATE-FIXED_SEASON_COST)</f>
        <v>21471.2530886728</v>
      </c>
      <c r="J253" s="53" t="n">
        <f aca="false">IF(OR($A253&gt;TOMATO_BED_CAP,$B253&gt;CARROT_BED_CAP,J$4&gt;MESCLUN_BED_CAP,$A253+$B253+J$4&gt;TOTAL_BEDS_AVAILABLE,($D253+J$5)&gt;TOTAL_LABOR_HOURS_CAP,MAX(0,($D253+J$5)-PERMANENT_FIELD_LABOR_HOURS)&gt;TEMP_HOURS_CAP),"",$C253+J$6-MIN(($D253+J$5),PERMANENT_FIELD_LABOR_HOURS)*PERMANENT_HOURLY_RATE-MAX(0,($D253+J$5)-PERMANENT_FIELD_LABOR_HOURS)*TEMP_HOURLY_RATE-FIXED_SEASON_COST)</f>
        <v>22439.8472397275</v>
      </c>
      <c r="K253" s="53" t="n">
        <f aca="false">IF(OR($A253&gt;TOMATO_BED_CAP,$B253&gt;CARROT_BED_CAP,K$4&gt;MESCLUN_BED_CAP,$A253+$B253+K$4&gt;TOTAL_BEDS_AVAILABLE,($D253+K$5)&gt;TOTAL_LABOR_HOURS_CAP,MAX(0,($D253+K$5)-PERMANENT_FIELD_LABOR_HOURS)&gt;TEMP_HOURS_CAP),"",$C253+K$6-MIN(($D253+K$5),PERMANENT_FIELD_LABOR_HOURS)*PERMANENT_HOURLY_RATE-MAX(0,($D253+K$5)-PERMANENT_FIELD_LABOR_HOURS)*TEMP_HOURLY_RATE-FIXED_SEASON_COST)</f>
        <v>23387.5363364554</v>
      </c>
      <c r="L253" s="53" t="n">
        <f aca="false">IF(OR($A253&gt;TOMATO_BED_CAP,$B253&gt;CARROT_BED_CAP,L$4&gt;MESCLUN_BED_CAP,$A253+$B253+L$4&gt;TOTAL_BEDS_AVAILABLE,($D253+L$5)&gt;TOTAL_LABOR_HOURS_CAP,MAX(0,($D253+L$5)-PERMANENT_FIELD_LABOR_HOURS)&gt;TEMP_HOURS_CAP),"",$C253+L$6-MIN(($D253+L$5),PERMANENT_FIELD_LABOR_HOURS)*PERMANENT_HOURLY_RATE-MAX(0,($D253+L$5)-PERMANENT_FIELD_LABOR_HOURS)*TEMP_HOURLY_RATE-FIXED_SEASON_COST)</f>
        <v>24313.9307846622</v>
      </c>
      <c r="M253" s="53" t="n">
        <f aca="false">IF(OR($A253&gt;TOMATO_BED_CAP,$B253&gt;CARROT_BED_CAP,M$4&gt;MESCLUN_BED_CAP,$A253+$B253+M$4&gt;TOTAL_BEDS_AVAILABLE,($D253+M$5)&gt;TOTAL_LABOR_HOURS_CAP,MAX(0,($D253+M$5)-PERMANENT_FIELD_LABOR_HOURS)&gt;TEMP_HOURS_CAP),"",$C253+M$6-MIN(($D253+M$5),PERMANENT_FIELD_LABOR_HOURS)*PERMANENT_HOURLY_RATE-MAX(0,($D253+M$5)-PERMANENT_FIELD_LABOR_HOURS)*TEMP_HOURLY_RATE-FIXED_SEASON_COST)</f>
        <v>25218.6345167136</v>
      </c>
      <c r="N253" s="53" t="n">
        <f aca="false">IF(OR($A253&gt;TOMATO_BED_CAP,$B253&gt;CARROT_BED_CAP,N$4&gt;MESCLUN_BED_CAP,$A253+$B253+N$4&gt;TOTAL_BEDS_AVAILABLE,($D253+N$5)&gt;TOTAL_LABOR_HOURS_CAP,MAX(0,($D253+N$5)-PERMANENT_FIELD_LABOR_HOURS)&gt;TEMP_HOURS_CAP),"",$C253+N$6-MIN(($D253+N$5),PERMANENT_FIELD_LABOR_HOURS)*PERMANENT_HOURLY_RATE-MAX(0,($D253+N$5)-PERMANENT_FIELD_LABOR_HOURS)*TEMP_HOURLY_RATE-FIXED_SEASON_COST)</f>
        <v>26101.2448905732</v>
      </c>
      <c r="O253" s="53" t="n">
        <f aca="false">IF(OR($A253&gt;TOMATO_BED_CAP,$B253&gt;CARROT_BED_CAP,O$4&gt;MESCLUN_BED_CAP,$A253+$B253+O$4&gt;TOTAL_BEDS_AVAILABLE,($D253+O$5)&gt;TOTAL_LABOR_HOURS_CAP,MAX(0,($D253+O$5)-PERMANENT_FIELD_LABOR_HOURS)&gt;TEMP_HOURS_CAP),"",$C253+O$6-MIN(($D253+O$5),PERMANENT_FIELD_LABOR_HOURS)*PERMANENT_HOURLY_RATE-MAX(0,($D253+O$5)-PERMANENT_FIELD_LABOR_HOURS)*TEMP_HOURLY_RATE-FIXED_SEASON_COST)</f>
        <v>26961.3525873279</v>
      </c>
      <c r="P253" s="53" t="n">
        <f aca="false">IF(OR($A253&gt;TOMATO_BED_CAP,$B253&gt;CARROT_BED_CAP,P$4&gt;MESCLUN_BED_CAP,$A253+$B253+P$4&gt;TOTAL_BEDS_AVAILABLE,($D253+P$5)&gt;TOTAL_LABOR_HOURS_CAP,MAX(0,($D253+P$5)-PERMANENT_FIELD_LABOR_HOURS)&gt;TEMP_HOURS_CAP),"",$C253+P$6-MIN(($D253+P$5),PERMANENT_FIELD_LABOR_HOURS)*PERMANENT_HOURLY_RATE-MAX(0,($D253+P$5)-PERMANENT_FIELD_LABOR_HOURS)*TEMP_HOURLY_RATE-FIXED_SEASON_COST)</f>
        <v>27798.5415071794</v>
      </c>
      <c r="Q253" s="53" t="n">
        <f aca="false">IF(OR($A253&gt;TOMATO_BED_CAP,$B253&gt;CARROT_BED_CAP,Q$4&gt;MESCLUN_BED_CAP,$A253+$B253+Q$4&gt;TOTAL_BEDS_AVAILABLE,($D253+Q$5)&gt;TOTAL_LABOR_HOURS_CAP,MAX(0,($D253+Q$5)-PERMANENT_FIELD_LABOR_HOURS)&gt;TEMP_HOURS_CAP),"",$C253+Q$6-MIN(($D253+Q$5),PERMANENT_FIELD_LABOR_HOURS)*PERMANENT_HOURLY_RATE-MAX(0,($D253+Q$5)-PERMANENT_FIELD_LABOR_HOURS)*TEMP_HOURLY_RATE-FIXED_SEASON_COST)</f>
        <v>28612.3886638773</v>
      </c>
      <c r="R253" s="53" t="n">
        <f aca="false">IF(OR($A253&gt;TOMATO_BED_CAP,$B253&gt;CARROT_BED_CAP,R$4&gt;MESCLUN_BED_CAP,$A253+$B253+R$4&gt;TOTAL_BEDS_AVAILABLE,($D253+R$5)&gt;TOTAL_LABOR_HOURS_CAP,MAX(0,($D253+R$5)-PERMANENT_FIELD_LABOR_HOURS)&gt;TEMP_HOURS_CAP),"",$C253+R$6-MIN(($D253+R$5),PERMANENT_FIELD_LABOR_HOURS)*PERMANENT_HOURLY_RATE-MAX(0,($D253+R$5)-PERMANENT_FIELD_LABOR_HOURS)*TEMP_HOURLY_RATE-FIXED_SEASON_COST)</f>
        <v>29402.4640775741</v>
      </c>
      <c r="S253" s="53" t="n">
        <f aca="false">IF(OR($A253&gt;TOMATO_BED_CAP,$B253&gt;CARROT_BED_CAP,S$4&gt;MESCLUN_BED_CAP,$A253+$B253+S$4&gt;TOTAL_BEDS_AVAILABLE,($D253+S$5)&gt;TOTAL_LABOR_HOURS_CAP,MAX(0,($D253+S$5)-PERMANENT_FIELD_LABOR_HOURS)&gt;TEMP_HOURS_CAP),"",$C253+S$6-MIN(($D253+S$5),PERMANENT_FIELD_LABOR_HOURS)*PERMANENT_HOURLY_RATE-MAX(0,($D253+S$5)-PERMANENT_FIELD_LABOR_HOURS)*TEMP_HOURLY_RATE-FIXED_SEASON_COST)</f>
        <v>30168.3306660765</v>
      </c>
      <c r="T253" s="53" t="n">
        <f aca="false">IF(OR($A253&gt;TOMATO_BED_CAP,$B253&gt;CARROT_BED_CAP,T$4&gt;MESCLUN_BED_CAP,$A253+$B253+T$4&gt;TOTAL_BEDS_AVAILABLE,($D253+T$5)&gt;TOTAL_LABOR_HOURS_CAP,MAX(0,($D253+T$5)-PERMANENT_FIELD_LABOR_HOURS)&gt;TEMP_HOURS_CAP),"",$C253+T$6-MIN(($D253+T$5),PERMANENT_FIELD_LABOR_HOURS)*PERMANENT_HOURLY_RATE-MAX(0,($D253+T$5)-PERMANENT_FIELD_LABOR_HOURS)*TEMP_HOURLY_RATE-FIXED_SEASON_COST)</f>
        <v>30909.5441344714</v>
      </c>
      <c r="U253" s="53" t="n">
        <f aca="false">IF(OR($A253&gt;TOMATO_BED_CAP,$B253&gt;CARROT_BED_CAP,U$4&gt;MESCLUN_BED_CAP,$A253+$B253+U$4&gt;TOTAL_BEDS_AVAILABLE,($D253+U$5)&gt;TOTAL_LABOR_HOURS_CAP,MAX(0,($D253+U$5)-PERMANENT_FIELD_LABOR_HOURS)&gt;TEMP_HOURS_CAP),"",$C253+U$6-MIN(($D253+U$5),PERMANENT_FIELD_LABOR_HOURS)*PERMANENT_HOURLY_RATE-MAX(0,($D253+U$5)-PERMANENT_FIELD_LABOR_HOURS)*TEMP_HOURLY_RATE-FIXED_SEASON_COST)</f>
        <v>31625.6528631015</v>
      </c>
      <c r="V253" s="53" t="n">
        <f aca="false">IF(OR($A253&gt;TOMATO_BED_CAP,$B253&gt;CARROT_BED_CAP,V$4&gt;MESCLUN_BED_CAP,$A253+$B253+V$4&gt;TOTAL_BEDS_AVAILABLE,($D253+V$5)&gt;TOTAL_LABOR_HOURS_CAP,MAX(0,($D253+V$5)-PERMANENT_FIELD_LABOR_HOURS)&gt;TEMP_HOURS_CAP),"",$C253+V$6-MIN(($D253+V$5),PERMANENT_FIELD_LABOR_HOURS)*PERMANENT_HOURLY_RATE-MAX(0,($D253+V$5)-PERMANENT_FIELD_LABOR_HOURS)*TEMP_HOURLY_RATE-FIXED_SEASON_COST)</f>
        <v>32316.1977938683</v>
      </c>
      <c r="W253" s="53" t="n">
        <f aca="false">IF(OR($A253&gt;TOMATO_BED_CAP,$B253&gt;CARROT_BED_CAP,W$4&gt;MESCLUN_BED_CAP,$A253+$B253+W$4&gt;TOTAL_BEDS_AVAILABLE,($D253+W$5)&gt;TOTAL_LABOR_HOURS_CAP,MAX(0,($D253+W$5)-PERMANENT_FIELD_LABOR_HOURS)&gt;TEMP_HOURS_CAP),"",$C253+W$6-MIN(($D253+W$5),PERMANENT_FIELD_LABOR_HOURS)*PERMANENT_HOURLY_RATE-MAX(0,($D253+W$5)-PERMANENT_FIELD_LABOR_HOURS)*TEMP_HOURLY_RATE-FIXED_SEASON_COST)</f>
        <v>32980.7123148363</v>
      </c>
      <c r="X253" s="53" t="n">
        <f aca="false">IF(OR($A253&gt;TOMATO_BED_CAP,$B253&gt;CARROT_BED_CAP,X$4&gt;MESCLUN_BED_CAP,$A253+$B253+X$4&gt;TOTAL_BEDS_AVAILABLE,($D253+X$5)&gt;TOTAL_LABOR_HOURS_CAP,MAX(0,($D253+X$5)-PERMANENT_FIELD_LABOR_HOURS)&gt;TEMP_HOURS_CAP),"",$C253+X$6-MIN(($D253+X$5),PERMANENT_FIELD_LABOR_HOURS)*PERMANENT_HOURLY_RATE-MAX(0,($D253+X$5)-PERMANENT_FIELD_LABOR_HOURS)*TEMP_HOURLY_RATE-FIXED_SEASON_COST)</f>
        <v>33618.7221431152</v>
      </c>
      <c r="Y253" s="53" t="n">
        <f aca="false">IF(OR($A253&gt;TOMATO_BED_CAP,$B253&gt;CARROT_BED_CAP,Y$4&gt;MESCLUN_BED_CAP,$A253+$B253+Y$4&gt;TOTAL_BEDS_AVAILABLE,($D253+Y$5)&gt;TOTAL_LABOR_HOURS_CAP,MAX(0,($D253+Y$5)-PERMANENT_FIELD_LABOR_HOURS)&gt;TEMP_HOURS_CAP),"",$C253+Y$6-MIN(($D253+Y$5),PERMANENT_FIELD_LABOR_HOURS)*PERMANENT_HOURLY_RATE-MAX(0,($D253+Y$5)-PERMANENT_FIELD_LABOR_HOURS)*TEMP_HOURLY_RATE-FIXED_SEASON_COST)</f>
        <v>34229.7452059939</v>
      </c>
      <c r="Z253" s="53" t="n">
        <f aca="false">IF(OR($A253&gt;TOMATO_BED_CAP,$B253&gt;CARROT_BED_CAP,Z$4&gt;MESCLUN_BED_CAP,$A253+$B253+Z$4&gt;TOTAL_BEDS_AVAILABLE,($D253+Z$5)&gt;TOTAL_LABOR_HOURS_CAP,MAX(0,($D253+Z$5)-PERMANENT_FIELD_LABOR_HOURS)&gt;TEMP_HOURS_CAP),"",$C253+Z$6-MIN(($D253+Z$5),PERMANENT_FIELD_LABOR_HOURS)*PERMANENT_HOURLY_RATE-MAX(0,($D253+Z$5)-PERMANENT_FIELD_LABOR_HOURS)*TEMP_HOURLY_RATE-FIXED_SEASON_COST)</f>
        <v>34813.2915203016</v>
      </c>
      <c r="AA253" s="53" t="n">
        <f aca="false">IF(OR($A253&gt;TOMATO_BED_CAP,$B253&gt;CARROT_BED_CAP,AA$4&gt;MESCLUN_BED_CAP,$A253+$B253+AA$4&gt;TOTAL_BEDS_AVAILABLE,($D253+AA$5)&gt;TOTAL_LABOR_HOURS_CAP,MAX(0,($D253+AA$5)-PERMANENT_FIELD_LABOR_HOURS)&gt;TEMP_HOURS_CAP),"",$C253+AA$6-MIN(($D253+AA$5),PERMANENT_FIELD_LABOR_HOURS)*PERMANENT_HOURLY_RATE-MAX(0,($D253+AA$5)-PERMANENT_FIELD_LABOR_HOURS)*TEMP_HOURLY_RATE-FIXED_SEASON_COST)</f>
        <v>35368.8630699705</v>
      </c>
      <c r="AB253" s="53" t="n">
        <f aca="false">IF(OR($A253&gt;TOMATO_BED_CAP,$B253&gt;CARROT_BED_CAP,AB$4&gt;MESCLUN_BED_CAP,$A253+$B253+AB$4&gt;TOTAL_BEDS_AVAILABLE,($D253+AB$5)&gt;TOTAL_LABOR_HOURS_CAP,MAX(0,($D253+AB$5)-PERMANENT_FIELD_LABOR_HOURS)&gt;TEMP_HOURS_CAP),"",$C253+AB$6-MIN(($D253+AB$5),PERMANENT_FIELD_LABOR_HOURS)*PERMANENT_HOURLY_RATE-MAX(0,($D253+AB$5)-PERMANENT_FIELD_LABOR_HOURS)*TEMP_HOURLY_RATE-FIXED_SEASON_COST)</f>
        <v>35895.9536817731</v>
      </c>
      <c r="AC253" s="53" t="n">
        <f aca="false">IF(OR($A253&gt;TOMATO_BED_CAP,$B253&gt;CARROT_BED_CAP,AC$4&gt;MESCLUN_BED_CAP,$A253+$B253+AC$4&gt;TOTAL_BEDS_AVAILABLE,($D253+AC$5)&gt;TOTAL_LABOR_HOURS_CAP,MAX(0,($D253+AC$5)-PERMANENT_FIELD_LABOR_HOURS)&gt;TEMP_HOURS_CAP),"",$C253+AC$6-MIN(($D253+AC$5),PERMANENT_FIELD_LABOR_HOURS)*PERMANENT_HOURLY_RATE-MAX(0,($D253+AC$5)-PERMANENT_FIELD_LABOR_HOURS)*TEMP_HOURLY_RATE-FIXED_SEASON_COST)</f>
        <v>36394.048899208</v>
      </c>
      <c r="AD253" s="53" t="n">
        <f aca="false">IF(OR($A253&gt;TOMATO_BED_CAP,$B253&gt;CARROT_BED_CAP,AD$4&gt;MESCLUN_BED_CAP,$A253+$B253+AD$4&gt;TOTAL_BEDS_AVAILABLE,($D253+AD$5)&gt;TOTAL_LABOR_HOURS_CAP,MAX(0,($D253+AD$5)-PERMANENT_FIELD_LABOR_HOURS)&gt;TEMP_HOURS_CAP),"",$C253+AD$6-MIN(($D253+AD$5),PERMANENT_FIELD_LABOR_HOURS)*PERMANENT_HOURLY_RATE-MAX(0,($D253+AD$5)-PERMANENT_FIELD_LABOR_HOURS)*TEMP_HOURLY_RATE-FIXED_SEASON_COST)</f>
        <v>36862.625854508</v>
      </c>
      <c r="AE253" s="53" t="n">
        <f aca="false">IF(OR($A253&gt;TOMATO_BED_CAP,$B253&gt;CARROT_BED_CAP,AE$4&gt;MESCLUN_BED_CAP,$A253+$B253+AE$4&gt;TOTAL_BEDS_AVAILABLE,($D253+AE$5)&gt;TOTAL_LABOR_HOURS_CAP,MAX(0,($D253+AE$5)-PERMANENT_FIELD_LABOR_HOURS)&gt;TEMP_HOURS_CAP),"",$C253+AE$6-MIN(($D253+AE$5),PERMANENT_FIELD_LABOR_HOURS)*PERMANENT_HOURLY_RATE-MAX(0,($D253+AE$5)-PERMANENT_FIELD_LABOR_HOURS)*TEMP_HOURLY_RATE-FIXED_SEASON_COST)</f>
        <v>37301.1531387419</v>
      </c>
      <c r="AF253" s="53" t="n">
        <f aca="false">IF(OR($A253&gt;TOMATO_BED_CAP,$B253&gt;CARROT_BED_CAP,AF$4&gt;MESCLUN_BED_CAP,$A253+$B253+AF$4&gt;TOTAL_BEDS_AVAILABLE,($D253+AF$5)&gt;TOTAL_LABOR_HOURS_CAP,MAX(0,($D253+AF$5)-PERMANENT_FIELD_LABOR_HOURS)&gt;TEMP_HOURS_CAP),"",$C253+AF$6-MIN(($D253+AF$5),PERMANENT_FIELD_LABOR_HOURS)*PERMANENT_HOURLY_RATE-MAX(0,($D253+AF$5)-PERMANENT_FIELD_LABOR_HOURS)*TEMP_HOURLY_RATE-FIXED_SEASON_COST)</f>
        <v>37709.0906699838</v>
      </c>
      <c r="AG253" s="53" t="n">
        <f aca="false">IF(OR($A253&gt;TOMATO_BED_CAP,$B253&gt;CARROT_BED_CAP,AG$4&gt;MESCLUN_BED_CAP,$A253+$B253+AG$4&gt;TOTAL_BEDS_AVAILABLE,($D253+AG$5)&gt;TOTAL_LABOR_HOURS_CAP,MAX(0,($D253+AG$5)-PERMANENT_FIELD_LABOR_HOURS)&gt;TEMP_HOURS_CAP),"",$C253+AG$6-MIN(($D253+AG$5),PERMANENT_FIELD_LABOR_HOURS)*PERMANENT_HOURLY_RATE-MAX(0,($D253+AG$5)-PERMANENT_FIELD_LABOR_HOURS)*TEMP_HOURLY_RATE-FIXED_SEASON_COST)</f>
        <v>38085.8895595208</v>
      </c>
      <c r="AH253" s="53" t="n">
        <f aca="false">IF(OR($A253&gt;TOMATO_BED_CAP,$B253&gt;CARROT_BED_CAP,AH$4&gt;MESCLUN_BED_CAP,$A253+$B253+AH$4&gt;TOTAL_BEDS_AVAILABLE,($D253+AH$5)&gt;TOTAL_LABOR_HOURS_CAP,MAX(0,($D253+AH$5)-PERMANENT_FIELD_LABOR_HOURS)&gt;TEMP_HOURS_CAP),"",$C253+AH$6-MIN(($D253+AH$5),PERMANENT_FIELD_LABOR_HOURS)*PERMANENT_HOURLY_RATE-MAX(0,($D253+AH$5)-PERMANENT_FIELD_LABOR_HOURS)*TEMP_HOURLY_RATE-FIXED_SEASON_COST)</f>
        <v>38430.9919760711</v>
      </c>
      <c r="AI253" s="53" t="n">
        <f aca="false">IF(OR($A253&gt;TOMATO_BED_CAP,$B253&gt;CARROT_BED_CAP,AI$4&gt;MESCLUN_BED_CAP,$A253+$B253+AI$4&gt;TOTAL_BEDS_AVAILABLE,($D253+AI$5)&gt;TOTAL_LABOR_HOURS_CAP,MAX(0,($D253+AI$5)-PERMANENT_FIELD_LABOR_HOURS)&gt;TEMP_HOURS_CAP),"",$C253+AI$6-MIN(($D253+AI$5),PERMANENT_FIELD_LABOR_HOURS)*PERMANENT_HOURLY_RATE-MAX(0,($D253+AI$5)-PERMANENT_FIELD_LABOR_HOURS)*TEMP_HOURLY_RATE-FIXED_SEASON_COST)</f>
        <v>38743.8310079833</v>
      </c>
      <c r="AJ253" s="53" t="n">
        <f aca="false">IF(OR($A253&gt;TOMATO_BED_CAP,$B253&gt;CARROT_BED_CAP,AJ$4&gt;MESCLUN_BED_CAP,$A253+$B253+AJ$4&gt;TOTAL_BEDS_AVAILABLE,($D253+AJ$5)&gt;TOTAL_LABOR_HOURS_CAP,MAX(0,($D253+AJ$5)-PERMANENT_FIELD_LABOR_HOURS)&gt;TEMP_HOURS_CAP),"",$C253+AJ$6-MIN(($D253+AJ$5),PERMANENT_FIELD_LABOR_HOURS)*PERMANENT_HOURLY_RATE-MAX(0,($D253+AJ$5)-PERMANENT_FIELD_LABOR_HOURS)*TEMP_HOURLY_RATE-FIXED_SEASON_COST)</f>
        <v>39023.8305233891</v>
      </c>
    </row>
    <row r="254" customFormat="false" ht="15" hidden="false" customHeight="false" outlineLevel="0" collapsed="false">
      <c r="A254" s="21" t="n">
        <f aca="false">INT((ROW()-ROW($A$8))/(20+1))</f>
        <v>11</v>
      </c>
      <c r="B254" s="21" t="n">
        <f aca="false">MOD(ROW()-ROW($A$8),20+1)</f>
        <v>15</v>
      </c>
      <c r="C254" s="13" t="n">
        <f aca="false">A254*(TOMATO_REVENUE_PER_BED-TOMATO_FERTILIZER_PER_BED)+B254*(CARROT_REVENUE_PER_BED-CARROT_FERTILIZER_PER_BED)</f>
        <v>111930</v>
      </c>
      <c r="D254" s="14" t="n">
        <f aca="false">INDEX(TOMATO_SCHED_LABOR_HRS,A254+1)+INDEX(CARROT_SCHED_LABOR_HRS,B254+1)</f>
        <v>3476.05902030308</v>
      </c>
      <c r="E254" s="13" t="n">
        <f aca="false">IF(COUNT(F254:AJ254)=0,"",MAX(F254:AJ254))</f>
        <v>39666.404702411</v>
      </c>
      <c r="F254" s="53" t="n">
        <f aca="false">IF(OR($A254&gt;TOMATO_BED_CAP,$B254&gt;CARROT_BED_CAP,F$4&gt;MESCLUN_BED_CAP,$A254+$B254+F$4&gt;TOTAL_BEDS_AVAILABLE,($D254+F$5)&gt;TOTAL_LABOR_HOURS_CAP,MAX(0,($D254+F$5)-PERMANENT_FIELD_LABOR_HOURS)&gt;TEMP_HOURS_CAP),"",$C254+F$6-MIN(($D254+F$5),PERMANENT_FIELD_LABOR_HOURS)*PERMANENT_HOURLY_RATE-MAX(0,($D254+F$5)-PERMANENT_FIELD_LABOR_HOURS)*TEMP_HOURLY_RATE-FIXED_SEASON_COST)</f>
        <v>19086.4154075385</v>
      </c>
      <c r="G254" s="53" t="n">
        <f aca="false">IF(OR($A254&gt;TOMATO_BED_CAP,$B254&gt;CARROT_BED_CAP,G$4&gt;MESCLUN_BED_CAP,$A254+$B254+G$4&gt;TOTAL_BEDS_AVAILABLE,($D254+G$5)&gt;TOTAL_LABOR_HOURS_CAP,MAX(0,($D254+G$5)-PERMANENT_FIELD_LABOR_HOURS)&gt;TEMP_HOURS_CAP),"",$C254+G$6-MIN(($D254+G$5),PERMANENT_FIELD_LABOR_HOURS)*PERMANENT_HOURLY_RATE-MAX(0,($D254+G$5)-PERMANENT_FIELD_LABOR_HOURS)*TEMP_HOURLY_RATE-FIXED_SEASON_COST)</f>
        <v>20115.4504075385</v>
      </c>
      <c r="H254" s="53" t="n">
        <f aca="false">IF(OR($A254&gt;TOMATO_BED_CAP,$B254&gt;CARROT_BED_CAP,H$4&gt;MESCLUN_BED_CAP,$A254+$B254+H$4&gt;TOTAL_BEDS_AVAILABLE,($D254+H$5)&gt;TOTAL_LABOR_HOURS_CAP,MAX(0,($D254+H$5)-PERMANENT_FIELD_LABOR_HOURS)&gt;TEMP_HOURS_CAP),"",$C254+H$6-MIN(($D254+H$5),PERMANENT_FIELD_LABOR_HOURS)*PERMANENT_HOURLY_RATE-MAX(0,($D254+H$5)-PERMANENT_FIELD_LABOR_HOURS)*TEMP_HOURLY_RATE-FIXED_SEASON_COST)</f>
        <v>21124.7112825385</v>
      </c>
      <c r="I254" s="53" t="n">
        <f aca="false">IF(OR($A254&gt;TOMATO_BED_CAP,$B254&gt;CARROT_BED_CAP,I$4&gt;MESCLUN_BED_CAP,$A254+$B254+I$4&gt;TOTAL_BEDS_AVAILABLE,($D254+I$5)&gt;TOTAL_LABOR_HOURS_CAP,MAX(0,($D254+I$5)-PERMANENT_FIELD_LABOR_HOURS)&gt;TEMP_HOURS_CAP),"",$C254+I$6-MIN(($D254+I$5),PERMANENT_FIELD_LABOR_HOURS)*PERMANENT_HOURLY_RATE-MAX(0,($D254+I$5)-PERMANENT_FIELD_LABOR_HOURS)*TEMP_HOURLY_RATE-FIXED_SEASON_COST)</f>
        <v>22113.8272676948</v>
      </c>
      <c r="J254" s="53" t="n">
        <f aca="false">IF(OR($A254&gt;TOMATO_BED_CAP,$B254&gt;CARROT_BED_CAP,J$4&gt;MESCLUN_BED_CAP,$A254+$B254+J$4&gt;TOTAL_BEDS_AVAILABLE,($D254+J$5)&gt;TOTAL_LABOR_HOURS_CAP,MAX(0,($D254+J$5)-PERMANENT_FIELD_LABOR_HOURS)&gt;TEMP_HOURS_CAP),"",$C254+J$6-MIN(($D254+J$5),PERMANENT_FIELD_LABOR_HOURS)*PERMANENT_HOURLY_RATE-MAX(0,($D254+J$5)-PERMANENT_FIELD_LABOR_HOURS)*TEMP_HOURLY_RATE-FIXED_SEASON_COST)</f>
        <v>23082.4214187494</v>
      </c>
      <c r="K254" s="53" t="n">
        <f aca="false">IF(OR($A254&gt;TOMATO_BED_CAP,$B254&gt;CARROT_BED_CAP,K$4&gt;MESCLUN_BED_CAP,$A254+$B254+K$4&gt;TOTAL_BEDS_AVAILABLE,($D254+K$5)&gt;TOTAL_LABOR_HOURS_CAP,MAX(0,($D254+K$5)-PERMANENT_FIELD_LABOR_HOURS)&gt;TEMP_HOURS_CAP),"",$C254+K$6-MIN(($D254+K$5),PERMANENT_FIELD_LABOR_HOURS)*PERMANENT_HOURLY_RATE-MAX(0,($D254+K$5)-PERMANENT_FIELD_LABOR_HOURS)*TEMP_HOURLY_RATE-FIXED_SEASON_COST)</f>
        <v>24030.1105154774</v>
      </c>
      <c r="L254" s="53" t="n">
        <f aca="false">IF(OR($A254&gt;TOMATO_BED_CAP,$B254&gt;CARROT_BED_CAP,L$4&gt;MESCLUN_BED_CAP,$A254+$B254+L$4&gt;TOTAL_BEDS_AVAILABLE,($D254+L$5)&gt;TOTAL_LABOR_HOURS_CAP,MAX(0,($D254+L$5)-PERMANENT_FIELD_LABOR_HOURS)&gt;TEMP_HOURS_CAP),"",$C254+L$6-MIN(($D254+L$5),PERMANENT_FIELD_LABOR_HOURS)*PERMANENT_HOURLY_RATE-MAX(0,($D254+L$5)-PERMANENT_FIELD_LABOR_HOURS)*TEMP_HOURLY_RATE-FIXED_SEASON_COST)</f>
        <v>24956.5049636842</v>
      </c>
      <c r="M254" s="53" t="n">
        <f aca="false">IF(OR($A254&gt;TOMATO_BED_CAP,$B254&gt;CARROT_BED_CAP,M$4&gt;MESCLUN_BED_CAP,$A254+$B254+M$4&gt;TOTAL_BEDS_AVAILABLE,($D254+M$5)&gt;TOTAL_LABOR_HOURS_CAP,MAX(0,($D254+M$5)-PERMANENT_FIELD_LABOR_HOURS)&gt;TEMP_HOURS_CAP),"",$C254+M$6-MIN(($D254+M$5),PERMANENT_FIELD_LABOR_HOURS)*PERMANENT_HOURLY_RATE-MAX(0,($D254+M$5)-PERMANENT_FIELD_LABOR_HOURS)*TEMP_HOURLY_RATE-FIXED_SEASON_COST)</f>
        <v>25861.2086957356</v>
      </c>
      <c r="N254" s="53" t="n">
        <f aca="false">IF(OR($A254&gt;TOMATO_BED_CAP,$B254&gt;CARROT_BED_CAP,N$4&gt;MESCLUN_BED_CAP,$A254+$B254+N$4&gt;TOTAL_BEDS_AVAILABLE,($D254+N$5)&gt;TOTAL_LABOR_HOURS_CAP,MAX(0,($D254+N$5)-PERMANENT_FIELD_LABOR_HOURS)&gt;TEMP_HOURS_CAP),"",$C254+N$6-MIN(($D254+N$5),PERMANENT_FIELD_LABOR_HOURS)*PERMANENT_HOURLY_RATE-MAX(0,($D254+N$5)-PERMANENT_FIELD_LABOR_HOURS)*TEMP_HOURLY_RATE-FIXED_SEASON_COST)</f>
        <v>26743.8190695952</v>
      </c>
      <c r="O254" s="53" t="n">
        <f aca="false">IF(OR($A254&gt;TOMATO_BED_CAP,$B254&gt;CARROT_BED_CAP,O$4&gt;MESCLUN_BED_CAP,$A254+$B254+O$4&gt;TOTAL_BEDS_AVAILABLE,($D254+O$5)&gt;TOTAL_LABOR_HOURS_CAP,MAX(0,($D254+O$5)-PERMANENT_FIELD_LABOR_HOURS)&gt;TEMP_HOURS_CAP),"",$C254+O$6-MIN(($D254+O$5),PERMANENT_FIELD_LABOR_HOURS)*PERMANENT_HOURLY_RATE-MAX(0,($D254+O$5)-PERMANENT_FIELD_LABOR_HOURS)*TEMP_HOURLY_RATE-FIXED_SEASON_COST)</f>
        <v>27603.9267663499</v>
      </c>
      <c r="P254" s="53" t="n">
        <f aca="false">IF(OR($A254&gt;TOMATO_BED_CAP,$B254&gt;CARROT_BED_CAP,P$4&gt;MESCLUN_BED_CAP,$A254+$B254+P$4&gt;TOTAL_BEDS_AVAILABLE,($D254+P$5)&gt;TOTAL_LABOR_HOURS_CAP,MAX(0,($D254+P$5)-PERMANENT_FIELD_LABOR_HOURS)&gt;TEMP_HOURS_CAP),"",$C254+P$6-MIN(($D254+P$5),PERMANENT_FIELD_LABOR_HOURS)*PERMANENT_HOURLY_RATE-MAX(0,($D254+P$5)-PERMANENT_FIELD_LABOR_HOURS)*TEMP_HOURLY_RATE-FIXED_SEASON_COST)</f>
        <v>28441.1156862013</v>
      </c>
      <c r="Q254" s="53" t="n">
        <f aca="false">IF(OR($A254&gt;TOMATO_BED_CAP,$B254&gt;CARROT_BED_CAP,Q$4&gt;MESCLUN_BED_CAP,$A254+$B254+Q$4&gt;TOTAL_BEDS_AVAILABLE,($D254+Q$5)&gt;TOTAL_LABOR_HOURS_CAP,MAX(0,($D254+Q$5)-PERMANENT_FIELD_LABOR_HOURS)&gt;TEMP_HOURS_CAP),"",$C254+Q$6-MIN(($D254+Q$5),PERMANENT_FIELD_LABOR_HOURS)*PERMANENT_HOURLY_RATE-MAX(0,($D254+Q$5)-PERMANENT_FIELD_LABOR_HOURS)*TEMP_HOURLY_RATE-FIXED_SEASON_COST)</f>
        <v>29254.9628428992</v>
      </c>
      <c r="R254" s="53" t="n">
        <f aca="false">IF(OR($A254&gt;TOMATO_BED_CAP,$B254&gt;CARROT_BED_CAP,R$4&gt;MESCLUN_BED_CAP,$A254+$B254+R$4&gt;TOTAL_BEDS_AVAILABLE,($D254+R$5)&gt;TOTAL_LABOR_HOURS_CAP,MAX(0,($D254+R$5)-PERMANENT_FIELD_LABOR_HOURS)&gt;TEMP_HOURS_CAP),"",$C254+R$6-MIN(($D254+R$5),PERMANENT_FIELD_LABOR_HOURS)*PERMANENT_HOURLY_RATE-MAX(0,($D254+R$5)-PERMANENT_FIELD_LABOR_HOURS)*TEMP_HOURLY_RATE-FIXED_SEASON_COST)</f>
        <v>30045.038256596</v>
      </c>
      <c r="S254" s="53" t="n">
        <f aca="false">IF(OR($A254&gt;TOMATO_BED_CAP,$B254&gt;CARROT_BED_CAP,S$4&gt;MESCLUN_BED_CAP,$A254+$B254+S$4&gt;TOTAL_BEDS_AVAILABLE,($D254+S$5)&gt;TOTAL_LABOR_HOURS_CAP,MAX(0,($D254+S$5)-PERMANENT_FIELD_LABOR_HOURS)&gt;TEMP_HOURS_CAP),"",$C254+S$6-MIN(($D254+S$5),PERMANENT_FIELD_LABOR_HOURS)*PERMANENT_HOURLY_RATE-MAX(0,($D254+S$5)-PERMANENT_FIELD_LABOR_HOURS)*TEMP_HOURLY_RATE-FIXED_SEASON_COST)</f>
        <v>30810.9048450985</v>
      </c>
      <c r="T254" s="53" t="n">
        <f aca="false">IF(OR($A254&gt;TOMATO_BED_CAP,$B254&gt;CARROT_BED_CAP,T$4&gt;MESCLUN_BED_CAP,$A254+$B254+T$4&gt;TOTAL_BEDS_AVAILABLE,($D254+T$5)&gt;TOTAL_LABOR_HOURS_CAP,MAX(0,($D254+T$5)-PERMANENT_FIELD_LABOR_HOURS)&gt;TEMP_HOURS_CAP),"",$C254+T$6-MIN(($D254+T$5),PERMANENT_FIELD_LABOR_HOURS)*PERMANENT_HOURLY_RATE-MAX(0,($D254+T$5)-PERMANENT_FIELD_LABOR_HOURS)*TEMP_HOURLY_RATE-FIXED_SEASON_COST)</f>
        <v>31552.1183134933</v>
      </c>
      <c r="U254" s="53" t="n">
        <f aca="false">IF(OR($A254&gt;TOMATO_BED_CAP,$B254&gt;CARROT_BED_CAP,U$4&gt;MESCLUN_BED_CAP,$A254+$B254+U$4&gt;TOTAL_BEDS_AVAILABLE,($D254+U$5)&gt;TOTAL_LABOR_HOURS_CAP,MAX(0,($D254+U$5)-PERMANENT_FIELD_LABOR_HOURS)&gt;TEMP_HOURS_CAP),"",$C254+U$6-MIN(($D254+U$5),PERMANENT_FIELD_LABOR_HOURS)*PERMANENT_HOURLY_RATE-MAX(0,($D254+U$5)-PERMANENT_FIELD_LABOR_HOURS)*TEMP_HOURLY_RATE-FIXED_SEASON_COST)</f>
        <v>32268.2270421234</v>
      </c>
      <c r="V254" s="53" t="n">
        <f aca="false">IF(OR($A254&gt;TOMATO_BED_CAP,$B254&gt;CARROT_BED_CAP,V$4&gt;MESCLUN_BED_CAP,$A254+$B254+V$4&gt;TOTAL_BEDS_AVAILABLE,($D254+V$5)&gt;TOTAL_LABOR_HOURS_CAP,MAX(0,($D254+V$5)-PERMANENT_FIELD_LABOR_HOURS)&gt;TEMP_HOURS_CAP),"",$C254+V$6-MIN(($D254+V$5),PERMANENT_FIELD_LABOR_HOURS)*PERMANENT_HOURLY_RATE-MAX(0,($D254+V$5)-PERMANENT_FIELD_LABOR_HOURS)*TEMP_HOURLY_RATE-FIXED_SEASON_COST)</f>
        <v>32958.7719728902</v>
      </c>
      <c r="W254" s="53" t="n">
        <f aca="false">IF(OR($A254&gt;TOMATO_BED_CAP,$B254&gt;CARROT_BED_CAP,W$4&gt;MESCLUN_BED_CAP,$A254+$B254+W$4&gt;TOTAL_BEDS_AVAILABLE,($D254+W$5)&gt;TOTAL_LABOR_HOURS_CAP,MAX(0,($D254+W$5)-PERMANENT_FIELD_LABOR_HOURS)&gt;TEMP_HOURS_CAP),"",$C254+W$6-MIN(($D254+W$5),PERMANENT_FIELD_LABOR_HOURS)*PERMANENT_HOURLY_RATE-MAX(0,($D254+W$5)-PERMANENT_FIELD_LABOR_HOURS)*TEMP_HOURLY_RATE-FIXED_SEASON_COST)</f>
        <v>33623.2864938583</v>
      </c>
      <c r="X254" s="53" t="n">
        <f aca="false">IF(OR($A254&gt;TOMATO_BED_CAP,$B254&gt;CARROT_BED_CAP,X$4&gt;MESCLUN_BED_CAP,$A254+$B254+X$4&gt;TOTAL_BEDS_AVAILABLE,($D254+X$5)&gt;TOTAL_LABOR_HOURS_CAP,MAX(0,($D254+X$5)-PERMANENT_FIELD_LABOR_HOURS)&gt;TEMP_HOURS_CAP),"",$C254+X$6-MIN(($D254+X$5),PERMANENT_FIELD_LABOR_HOURS)*PERMANENT_HOURLY_RATE-MAX(0,($D254+X$5)-PERMANENT_FIELD_LABOR_HOURS)*TEMP_HOURLY_RATE-FIXED_SEASON_COST)</f>
        <v>34261.2963221372</v>
      </c>
      <c r="Y254" s="53" t="n">
        <f aca="false">IF(OR($A254&gt;TOMATO_BED_CAP,$B254&gt;CARROT_BED_CAP,Y$4&gt;MESCLUN_BED_CAP,$A254+$B254+Y$4&gt;TOTAL_BEDS_AVAILABLE,($D254+Y$5)&gt;TOTAL_LABOR_HOURS_CAP,MAX(0,($D254+Y$5)-PERMANENT_FIELD_LABOR_HOURS)&gt;TEMP_HOURS_CAP),"",$C254+Y$6-MIN(($D254+Y$5),PERMANENT_FIELD_LABOR_HOURS)*PERMANENT_HOURLY_RATE-MAX(0,($D254+Y$5)-PERMANENT_FIELD_LABOR_HOURS)*TEMP_HOURLY_RATE-FIXED_SEASON_COST)</f>
        <v>34872.3193850159</v>
      </c>
      <c r="Z254" s="53" t="n">
        <f aca="false">IF(OR($A254&gt;TOMATO_BED_CAP,$B254&gt;CARROT_BED_CAP,Z$4&gt;MESCLUN_BED_CAP,$A254+$B254+Z$4&gt;TOTAL_BEDS_AVAILABLE,($D254+Z$5)&gt;TOTAL_LABOR_HOURS_CAP,MAX(0,($D254+Z$5)-PERMANENT_FIELD_LABOR_HOURS)&gt;TEMP_HOURS_CAP),"",$C254+Z$6-MIN(($D254+Z$5),PERMANENT_FIELD_LABOR_HOURS)*PERMANENT_HOURLY_RATE-MAX(0,($D254+Z$5)-PERMANENT_FIELD_LABOR_HOURS)*TEMP_HOURLY_RATE-FIXED_SEASON_COST)</f>
        <v>35455.8656993236</v>
      </c>
      <c r="AA254" s="53" t="n">
        <f aca="false">IF(OR($A254&gt;TOMATO_BED_CAP,$B254&gt;CARROT_BED_CAP,AA$4&gt;MESCLUN_BED_CAP,$A254+$B254+AA$4&gt;TOTAL_BEDS_AVAILABLE,($D254+AA$5)&gt;TOTAL_LABOR_HOURS_CAP,MAX(0,($D254+AA$5)-PERMANENT_FIELD_LABOR_HOURS)&gt;TEMP_HOURS_CAP),"",$C254+AA$6-MIN(($D254+AA$5),PERMANENT_FIELD_LABOR_HOURS)*PERMANENT_HOURLY_RATE-MAX(0,($D254+AA$5)-PERMANENT_FIELD_LABOR_HOURS)*TEMP_HOURLY_RATE-FIXED_SEASON_COST)</f>
        <v>36011.4372489925</v>
      </c>
      <c r="AB254" s="53" t="n">
        <f aca="false">IF(OR($A254&gt;TOMATO_BED_CAP,$B254&gt;CARROT_BED_CAP,AB$4&gt;MESCLUN_BED_CAP,$A254+$B254+AB$4&gt;TOTAL_BEDS_AVAILABLE,($D254+AB$5)&gt;TOTAL_LABOR_HOURS_CAP,MAX(0,($D254+AB$5)-PERMANENT_FIELD_LABOR_HOURS)&gt;TEMP_HOURS_CAP),"",$C254+AB$6-MIN(($D254+AB$5),PERMANENT_FIELD_LABOR_HOURS)*PERMANENT_HOURLY_RATE-MAX(0,($D254+AB$5)-PERMANENT_FIELD_LABOR_HOURS)*TEMP_HOURLY_RATE-FIXED_SEASON_COST)</f>
        <v>36538.5278607951</v>
      </c>
      <c r="AC254" s="53" t="n">
        <f aca="false">IF(OR($A254&gt;TOMATO_BED_CAP,$B254&gt;CARROT_BED_CAP,AC$4&gt;MESCLUN_BED_CAP,$A254+$B254+AC$4&gt;TOTAL_BEDS_AVAILABLE,($D254+AC$5)&gt;TOTAL_LABOR_HOURS_CAP,MAX(0,($D254+AC$5)-PERMANENT_FIELD_LABOR_HOURS)&gt;TEMP_HOURS_CAP),"",$C254+AC$6-MIN(($D254+AC$5),PERMANENT_FIELD_LABOR_HOURS)*PERMANENT_HOURLY_RATE-MAX(0,($D254+AC$5)-PERMANENT_FIELD_LABOR_HOURS)*TEMP_HOURLY_RATE-FIXED_SEASON_COST)</f>
        <v>37036.62307823</v>
      </c>
      <c r="AD254" s="53" t="n">
        <f aca="false">IF(OR($A254&gt;TOMATO_BED_CAP,$B254&gt;CARROT_BED_CAP,AD$4&gt;MESCLUN_BED_CAP,$A254+$B254+AD$4&gt;TOTAL_BEDS_AVAILABLE,($D254+AD$5)&gt;TOTAL_LABOR_HOURS_CAP,MAX(0,($D254+AD$5)-PERMANENT_FIELD_LABOR_HOURS)&gt;TEMP_HOURS_CAP),"",$C254+AD$6-MIN(($D254+AD$5),PERMANENT_FIELD_LABOR_HOURS)*PERMANENT_HOURLY_RATE-MAX(0,($D254+AD$5)-PERMANENT_FIELD_LABOR_HOURS)*TEMP_HOURLY_RATE-FIXED_SEASON_COST)</f>
        <v>37505.2000335299</v>
      </c>
      <c r="AE254" s="53" t="n">
        <f aca="false">IF(OR($A254&gt;TOMATO_BED_CAP,$B254&gt;CARROT_BED_CAP,AE$4&gt;MESCLUN_BED_CAP,$A254+$B254+AE$4&gt;TOTAL_BEDS_AVAILABLE,($D254+AE$5)&gt;TOTAL_LABOR_HOURS_CAP,MAX(0,($D254+AE$5)-PERMANENT_FIELD_LABOR_HOURS)&gt;TEMP_HOURS_CAP),"",$C254+AE$6-MIN(($D254+AE$5),PERMANENT_FIELD_LABOR_HOURS)*PERMANENT_HOURLY_RATE-MAX(0,($D254+AE$5)-PERMANENT_FIELD_LABOR_HOURS)*TEMP_HOURLY_RATE-FIXED_SEASON_COST)</f>
        <v>37943.7273177639</v>
      </c>
      <c r="AF254" s="53" t="n">
        <f aca="false">IF(OR($A254&gt;TOMATO_BED_CAP,$B254&gt;CARROT_BED_CAP,AF$4&gt;MESCLUN_BED_CAP,$A254+$B254+AF$4&gt;TOTAL_BEDS_AVAILABLE,($D254+AF$5)&gt;TOTAL_LABOR_HOURS_CAP,MAX(0,($D254+AF$5)-PERMANENT_FIELD_LABOR_HOURS)&gt;TEMP_HOURS_CAP),"",$C254+AF$6-MIN(($D254+AF$5),PERMANENT_FIELD_LABOR_HOURS)*PERMANENT_HOURLY_RATE-MAX(0,($D254+AF$5)-PERMANENT_FIELD_LABOR_HOURS)*TEMP_HOURLY_RATE-FIXED_SEASON_COST)</f>
        <v>38351.6648490058</v>
      </c>
      <c r="AG254" s="53" t="n">
        <f aca="false">IF(OR($A254&gt;TOMATO_BED_CAP,$B254&gt;CARROT_BED_CAP,AG$4&gt;MESCLUN_BED_CAP,$A254+$B254+AG$4&gt;TOTAL_BEDS_AVAILABLE,($D254+AG$5)&gt;TOTAL_LABOR_HOURS_CAP,MAX(0,($D254+AG$5)-PERMANENT_FIELD_LABOR_HOURS)&gt;TEMP_HOURS_CAP),"",$C254+AG$6-MIN(($D254+AG$5),PERMANENT_FIELD_LABOR_HOURS)*PERMANENT_HOURLY_RATE-MAX(0,($D254+AG$5)-PERMANENT_FIELD_LABOR_HOURS)*TEMP_HOURLY_RATE-FIXED_SEASON_COST)</f>
        <v>38728.4637385428</v>
      </c>
      <c r="AH254" s="53" t="n">
        <f aca="false">IF(OR($A254&gt;TOMATO_BED_CAP,$B254&gt;CARROT_BED_CAP,AH$4&gt;MESCLUN_BED_CAP,$A254+$B254+AH$4&gt;TOTAL_BEDS_AVAILABLE,($D254+AH$5)&gt;TOTAL_LABOR_HOURS_CAP,MAX(0,($D254+AH$5)-PERMANENT_FIELD_LABOR_HOURS)&gt;TEMP_HOURS_CAP),"",$C254+AH$6-MIN(($D254+AH$5),PERMANENT_FIELD_LABOR_HOURS)*PERMANENT_HOURLY_RATE-MAX(0,($D254+AH$5)-PERMANENT_FIELD_LABOR_HOURS)*TEMP_HOURLY_RATE-FIXED_SEASON_COST)</f>
        <v>39073.566155093</v>
      </c>
      <c r="AI254" s="53" t="n">
        <f aca="false">IF(OR($A254&gt;TOMATO_BED_CAP,$B254&gt;CARROT_BED_CAP,AI$4&gt;MESCLUN_BED_CAP,$A254+$B254+AI$4&gt;TOTAL_BEDS_AVAILABLE,($D254+AI$5)&gt;TOTAL_LABOR_HOURS_CAP,MAX(0,($D254+AI$5)-PERMANENT_FIELD_LABOR_HOURS)&gt;TEMP_HOURS_CAP),"",$C254+AI$6-MIN(($D254+AI$5),PERMANENT_FIELD_LABOR_HOURS)*PERMANENT_HOURLY_RATE-MAX(0,($D254+AI$5)-PERMANENT_FIELD_LABOR_HOURS)*TEMP_HOURLY_RATE-FIXED_SEASON_COST)</f>
        <v>39386.4051870053</v>
      </c>
      <c r="AJ254" s="53" t="n">
        <f aca="false">IF(OR($A254&gt;TOMATO_BED_CAP,$B254&gt;CARROT_BED_CAP,AJ$4&gt;MESCLUN_BED_CAP,$A254+$B254+AJ$4&gt;TOTAL_BEDS_AVAILABLE,($D254+AJ$5)&gt;TOTAL_LABOR_HOURS_CAP,MAX(0,($D254+AJ$5)-PERMANENT_FIELD_LABOR_HOURS)&gt;TEMP_HOURS_CAP),"",$C254+AJ$6-MIN(($D254+AJ$5),PERMANENT_FIELD_LABOR_HOURS)*PERMANENT_HOURLY_RATE-MAX(0,($D254+AJ$5)-PERMANENT_FIELD_LABOR_HOURS)*TEMP_HOURLY_RATE-FIXED_SEASON_COST)</f>
        <v>39666.404702411</v>
      </c>
    </row>
    <row r="255" customFormat="false" ht="15" hidden="false" customHeight="false" outlineLevel="0" collapsed="false">
      <c r="A255" s="21" t="n">
        <f aca="false">INT((ROW()-ROW($A$8))/(20+1))</f>
        <v>11</v>
      </c>
      <c r="B255" s="21" t="n">
        <f aca="false">MOD(ROW()-ROW($A$8),20+1)</f>
        <v>16</v>
      </c>
      <c r="C255" s="13" t="n">
        <f aca="false">A255*(TOMATO_REVENUE_PER_BED-TOMATO_FERTILIZER_PER_BED)+B255*(CARROT_REVENUE_PER_BED-CARROT_FERTILIZER_PER_BED)</f>
        <v>113584</v>
      </c>
      <c r="D255" s="14" t="n">
        <f aca="false">INDEX(TOMATO_SCHED_LABOR_HRS,A255+1)+INDEX(CARROT_SCHED_LABOR_HRS,B255+1)</f>
        <v>3536.86321188681</v>
      </c>
      <c r="E255" s="13" t="n">
        <f aca="false">IF(COUNT(F255:AJ255)=0,"",MAX(F255:AJ255))</f>
        <v>40264.8439365176</v>
      </c>
      <c r="F255" s="53" t="n">
        <f aca="false">IF(OR($A255&gt;TOMATO_BED_CAP,$B255&gt;CARROT_BED_CAP,F$4&gt;MESCLUN_BED_CAP,$A255+$B255+F$4&gt;TOTAL_BEDS_AVAILABLE,($D255+F$5)&gt;TOTAL_LABOR_HOURS_CAP,MAX(0,($D255+F$5)-PERMANENT_FIELD_LABOR_HOURS)&gt;TEMP_HOURS_CAP),"",$C255+F$6-MIN(($D255+F$5),PERMANENT_FIELD_LABOR_HOURS)*PERMANENT_HOURLY_RATE-MAX(0,($D255+F$5)-PERMANENT_FIELD_LABOR_HOURS)*TEMP_HOURLY_RATE-FIXED_SEASON_COST)</f>
        <v>19684.8546416451</v>
      </c>
      <c r="G255" s="53" t="n">
        <f aca="false">IF(OR($A255&gt;TOMATO_BED_CAP,$B255&gt;CARROT_BED_CAP,G$4&gt;MESCLUN_BED_CAP,$A255+$B255+G$4&gt;TOTAL_BEDS_AVAILABLE,($D255+G$5)&gt;TOTAL_LABOR_HOURS_CAP,MAX(0,($D255+G$5)-PERMANENT_FIELD_LABOR_HOURS)&gt;TEMP_HOURS_CAP),"",$C255+G$6-MIN(($D255+G$5),PERMANENT_FIELD_LABOR_HOURS)*PERMANENT_HOURLY_RATE-MAX(0,($D255+G$5)-PERMANENT_FIELD_LABOR_HOURS)*TEMP_HOURLY_RATE-FIXED_SEASON_COST)</f>
        <v>20713.8896416451</v>
      </c>
      <c r="H255" s="53" t="n">
        <f aca="false">IF(OR($A255&gt;TOMATO_BED_CAP,$B255&gt;CARROT_BED_CAP,H$4&gt;MESCLUN_BED_CAP,$A255+$B255+H$4&gt;TOTAL_BEDS_AVAILABLE,($D255+H$5)&gt;TOTAL_LABOR_HOURS_CAP,MAX(0,($D255+H$5)-PERMANENT_FIELD_LABOR_HOURS)&gt;TEMP_HOURS_CAP),"",$C255+H$6-MIN(($D255+H$5),PERMANENT_FIELD_LABOR_HOURS)*PERMANENT_HOURLY_RATE-MAX(0,($D255+H$5)-PERMANENT_FIELD_LABOR_HOURS)*TEMP_HOURLY_RATE-FIXED_SEASON_COST)</f>
        <v>21723.1505166451</v>
      </c>
      <c r="I255" s="53" t="n">
        <f aca="false">IF(OR($A255&gt;TOMATO_BED_CAP,$B255&gt;CARROT_BED_CAP,I$4&gt;MESCLUN_BED_CAP,$A255+$B255+I$4&gt;TOTAL_BEDS_AVAILABLE,($D255+I$5)&gt;TOTAL_LABOR_HOURS_CAP,MAX(0,($D255+I$5)-PERMANENT_FIELD_LABOR_HOURS)&gt;TEMP_HOURS_CAP),"",$C255+I$6-MIN(($D255+I$5),PERMANENT_FIELD_LABOR_HOURS)*PERMANENT_HOURLY_RATE-MAX(0,($D255+I$5)-PERMANENT_FIELD_LABOR_HOURS)*TEMP_HOURLY_RATE-FIXED_SEASON_COST)</f>
        <v>22712.2665018013</v>
      </c>
      <c r="J255" s="53" t="n">
        <f aca="false">IF(OR($A255&gt;TOMATO_BED_CAP,$B255&gt;CARROT_BED_CAP,J$4&gt;MESCLUN_BED_CAP,$A255+$B255+J$4&gt;TOTAL_BEDS_AVAILABLE,($D255+J$5)&gt;TOTAL_LABOR_HOURS_CAP,MAX(0,($D255+J$5)-PERMANENT_FIELD_LABOR_HOURS)&gt;TEMP_HOURS_CAP),"",$C255+J$6-MIN(($D255+J$5),PERMANENT_FIELD_LABOR_HOURS)*PERMANENT_HOURLY_RATE-MAX(0,($D255+J$5)-PERMANENT_FIELD_LABOR_HOURS)*TEMP_HOURLY_RATE-FIXED_SEASON_COST)</f>
        <v>23680.860652856</v>
      </c>
      <c r="K255" s="53" t="n">
        <f aca="false">IF(OR($A255&gt;TOMATO_BED_CAP,$B255&gt;CARROT_BED_CAP,K$4&gt;MESCLUN_BED_CAP,$A255+$B255+K$4&gt;TOTAL_BEDS_AVAILABLE,($D255+K$5)&gt;TOTAL_LABOR_HOURS_CAP,MAX(0,($D255+K$5)-PERMANENT_FIELD_LABOR_HOURS)&gt;TEMP_HOURS_CAP),"",$C255+K$6-MIN(($D255+K$5),PERMANENT_FIELD_LABOR_HOURS)*PERMANENT_HOURLY_RATE-MAX(0,($D255+K$5)-PERMANENT_FIELD_LABOR_HOURS)*TEMP_HOURLY_RATE-FIXED_SEASON_COST)</f>
        <v>24628.5497495839</v>
      </c>
      <c r="L255" s="53" t="n">
        <f aca="false">IF(OR($A255&gt;TOMATO_BED_CAP,$B255&gt;CARROT_BED_CAP,L$4&gt;MESCLUN_BED_CAP,$A255+$B255+L$4&gt;TOTAL_BEDS_AVAILABLE,($D255+L$5)&gt;TOTAL_LABOR_HOURS_CAP,MAX(0,($D255+L$5)-PERMANENT_FIELD_LABOR_HOURS)&gt;TEMP_HOURS_CAP),"",$C255+L$6-MIN(($D255+L$5),PERMANENT_FIELD_LABOR_HOURS)*PERMANENT_HOURLY_RATE-MAX(0,($D255+L$5)-PERMANENT_FIELD_LABOR_HOURS)*TEMP_HOURLY_RATE-FIXED_SEASON_COST)</f>
        <v>25554.9441977908</v>
      </c>
      <c r="M255" s="53" t="n">
        <f aca="false">IF(OR($A255&gt;TOMATO_BED_CAP,$B255&gt;CARROT_BED_CAP,M$4&gt;MESCLUN_BED_CAP,$A255+$B255+M$4&gt;TOTAL_BEDS_AVAILABLE,($D255+M$5)&gt;TOTAL_LABOR_HOURS_CAP,MAX(0,($D255+M$5)-PERMANENT_FIELD_LABOR_HOURS)&gt;TEMP_HOURS_CAP),"",$C255+M$6-MIN(($D255+M$5),PERMANENT_FIELD_LABOR_HOURS)*PERMANENT_HOURLY_RATE-MAX(0,($D255+M$5)-PERMANENT_FIELD_LABOR_HOURS)*TEMP_HOURLY_RATE-FIXED_SEASON_COST)</f>
        <v>26459.6479298422</v>
      </c>
      <c r="N255" s="53" t="n">
        <f aca="false">IF(OR($A255&gt;TOMATO_BED_CAP,$B255&gt;CARROT_BED_CAP,N$4&gt;MESCLUN_BED_CAP,$A255+$B255+N$4&gt;TOTAL_BEDS_AVAILABLE,($D255+N$5)&gt;TOTAL_LABOR_HOURS_CAP,MAX(0,($D255+N$5)-PERMANENT_FIELD_LABOR_HOURS)&gt;TEMP_HOURS_CAP),"",$C255+N$6-MIN(($D255+N$5),PERMANENT_FIELD_LABOR_HOURS)*PERMANENT_HOURLY_RATE-MAX(0,($D255+N$5)-PERMANENT_FIELD_LABOR_HOURS)*TEMP_HOURLY_RATE-FIXED_SEASON_COST)</f>
        <v>27342.2583037017</v>
      </c>
      <c r="O255" s="53" t="n">
        <f aca="false">IF(OR($A255&gt;TOMATO_BED_CAP,$B255&gt;CARROT_BED_CAP,O$4&gt;MESCLUN_BED_CAP,$A255+$B255+O$4&gt;TOTAL_BEDS_AVAILABLE,($D255+O$5)&gt;TOTAL_LABOR_HOURS_CAP,MAX(0,($D255+O$5)-PERMANENT_FIELD_LABOR_HOURS)&gt;TEMP_HOURS_CAP),"",$C255+O$6-MIN(($D255+O$5),PERMANENT_FIELD_LABOR_HOURS)*PERMANENT_HOURLY_RATE-MAX(0,($D255+O$5)-PERMANENT_FIELD_LABOR_HOURS)*TEMP_HOURLY_RATE-FIXED_SEASON_COST)</f>
        <v>28202.3660004565</v>
      </c>
      <c r="P255" s="53" t="n">
        <f aca="false">IF(OR($A255&gt;TOMATO_BED_CAP,$B255&gt;CARROT_BED_CAP,P$4&gt;MESCLUN_BED_CAP,$A255+$B255+P$4&gt;TOTAL_BEDS_AVAILABLE,($D255+P$5)&gt;TOTAL_LABOR_HOURS_CAP,MAX(0,($D255+P$5)-PERMANENT_FIELD_LABOR_HOURS)&gt;TEMP_HOURS_CAP),"",$C255+P$6-MIN(($D255+P$5),PERMANENT_FIELD_LABOR_HOURS)*PERMANENT_HOURLY_RATE-MAX(0,($D255+P$5)-PERMANENT_FIELD_LABOR_HOURS)*TEMP_HOURLY_RATE-FIXED_SEASON_COST)</f>
        <v>29039.5549203079</v>
      </c>
      <c r="Q255" s="53" t="n">
        <f aca="false">IF(OR($A255&gt;TOMATO_BED_CAP,$B255&gt;CARROT_BED_CAP,Q$4&gt;MESCLUN_BED_CAP,$A255+$B255+Q$4&gt;TOTAL_BEDS_AVAILABLE,($D255+Q$5)&gt;TOTAL_LABOR_HOURS_CAP,MAX(0,($D255+Q$5)-PERMANENT_FIELD_LABOR_HOURS)&gt;TEMP_HOURS_CAP),"",$C255+Q$6-MIN(($D255+Q$5),PERMANENT_FIELD_LABOR_HOURS)*PERMANENT_HOURLY_RATE-MAX(0,($D255+Q$5)-PERMANENT_FIELD_LABOR_HOURS)*TEMP_HOURLY_RATE-FIXED_SEASON_COST)</f>
        <v>29853.4020770058</v>
      </c>
      <c r="R255" s="53" t="n">
        <f aca="false">IF(OR($A255&gt;TOMATO_BED_CAP,$B255&gt;CARROT_BED_CAP,R$4&gt;MESCLUN_BED_CAP,$A255+$B255+R$4&gt;TOTAL_BEDS_AVAILABLE,($D255+R$5)&gt;TOTAL_LABOR_HOURS_CAP,MAX(0,($D255+R$5)-PERMANENT_FIELD_LABOR_HOURS)&gt;TEMP_HOURS_CAP),"",$C255+R$6-MIN(($D255+R$5),PERMANENT_FIELD_LABOR_HOURS)*PERMANENT_HOURLY_RATE-MAX(0,($D255+R$5)-PERMANENT_FIELD_LABOR_HOURS)*TEMP_HOURLY_RATE-FIXED_SEASON_COST)</f>
        <v>30643.4774907026</v>
      </c>
      <c r="S255" s="53" t="n">
        <f aca="false">IF(OR($A255&gt;TOMATO_BED_CAP,$B255&gt;CARROT_BED_CAP,S$4&gt;MESCLUN_BED_CAP,$A255+$B255+S$4&gt;TOTAL_BEDS_AVAILABLE,($D255+S$5)&gt;TOTAL_LABOR_HOURS_CAP,MAX(0,($D255+S$5)-PERMANENT_FIELD_LABOR_HOURS)&gt;TEMP_HOURS_CAP),"",$C255+S$6-MIN(($D255+S$5),PERMANENT_FIELD_LABOR_HOURS)*PERMANENT_HOURLY_RATE-MAX(0,($D255+S$5)-PERMANENT_FIELD_LABOR_HOURS)*TEMP_HOURLY_RATE-FIXED_SEASON_COST)</f>
        <v>31409.344079205</v>
      </c>
      <c r="T255" s="53" t="n">
        <f aca="false">IF(OR($A255&gt;TOMATO_BED_CAP,$B255&gt;CARROT_BED_CAP,T$4&gt;MESCLUN_BED_CAP,$A255+$B255+T$4&gt;TOTAL_BEDS_AVAILABLE,($D255+T$5)&gt;TOTAL_LABOR_HOURS_CAP,MAX(0,($D255+T$5)-PERMANENT_FIELD_LABOR_HOURS)&gt;TEMP_HOURS_CAP),"",$C255+T$6-MIN(($D255+T$5),PERMANENT_FIELD_LABOR_HOURS)*PERMANENT_HOURLY_RATE-MAX(0,($D255+T$5)-PERMANENT_FIELD_LABOR_HOURS)*TEMP_HOURLY_RATE-FIXED_SEASON_COST)</f>
        <v>32150.5575475999</v>
      </c>
      <c r="U255" s="53" t="n">
        <f aca="false">IF(OR($A255&gt;TOMATO_BED_CAP,$B255&gt;CARROT_BED_CAP,U$4&gt;MESCLUN_BED_CAP,$A255+$B255+U$4&gt;TOTAL_BEDS_AVAILABLE,($D255+U$5)&gt;TOTAL_LABOR_HOURS_CAP,MAX(0,($D255+U$5)-PERMANENT_FIELD_LABOR_HOURS)&gt;TEMP_HOURS_CAP),"",$C255+U$6-MIN(($D255+U$5),PERMANENT_FIELD_LABOR_HOURS)*PERMANENT_HOURLY_RATE-MAX(0,($D255+U$5)-PERMANENT_FIELD_LABOR_HOURS)*TEMP_HOURLY_RATE-FIXED_SEASON_COST)</f>
        <v>32866.66627623</v>
      </c>
      <c r="V255" s="53" t="n">
        <f aca="false">IF(OR($A255&gt;TOMATO_BED_CAP,$B255&gt;CARROT_BED_CAP,V$4&gt;MESCLUN_BED_CAP,$A255+$B255+V$4&gt;TOTAL_BEDS_AVAILABLE,($D255+V$5)&gt;TOTAL_LABOR_HOURS_CAP,MAX(0,($D255+V$5)-PERMANENT_FIELD_LABOR_HOURS)&gt;TEMP_HOURS_CAP),"",$C255+V$6-MIN(($D255+V$5),PERMANENT_FIELD_LABOR_HOURS)*PERMANENT_HOURLY_RATE-MAX(0,($D255+V$5)-PERMANENT_FIELD_LABOR_HOURS)*TEMP_HOURLY_RATE-FIXED_SEASON_COST)</f>
        <v>33557.2112069968</v>
      </c>
      <c r="W255" s="53" t="n">
        <f aca="false">IF(OR($A255&gt;TOMATO_BED_CAP,$B255&gt;CARROT_BED_CAP,W$4&gt;MESCLUN_BED_CAP,$A255+$B255+W$4&gt;TOTAL_BEDS_AVAILABLE,($D255+W$5)&gt;TOTAL_LABOR_HOURS_CAP,MAX(0,($D255+W$5)-PERMANENT_FIELD_LABOR_HOURS)&gt;TEMP_HOURS_CAP),"",$C255+W$6-MIN(($D255+W$5),PERMANENT_FIELD_LABOR_HOURS)*PERMANENT_HOURLY_RATE-MAX(0,($D255+W$5)-PERMANENT_FIELD_LABOR_HOURS)*TEMP_HOURLY_RATE-FIXED_SEASON_COST)</f>
        <v>34221.7257279648</v>
      </c>
      <c r="X255" s="53" t="n">
        <f aca="false">IF(OR($A255&gt;TOMATO_BED_CAP,$B255&gt;CARROT_BED_CAP,X$4&gt;MESCLUN_BED_CAP,$A255+$B255+X$4&gt;TOTAL_BEDS_AVAILABLE,($D255+X$5)&gt;TOTAL_LABOR_HOURS_CAP,MAX(0,($D255+X$5)-PERMANENT_FIELD_LABOR_HOURS)&gt;TEMP_HOURS_CAP),"",$C255+X$6-MIN(($D255+X$5),PERMANENT_FIELD_LABOR_HOURS)*PERMANENT_HOURLY_RATE-MAX(0,($D255+X$5)-PERMANENT_FIELD_LABOR_HOURS)*TEMP_HOURLY_RATE-FIXED_SEASON_COST)</f>
        <v>34859.7355562438</v>
      </c>
      <c r="Y255" s="53" t="n">
        <f aca="false">IF(OR($A255&gt;TOMATO_BED_CAP,$B255&gt;CARROT_BED_CAP,Y$4&gt;MESCLUN_BED_CAP,$A255+$B255+Y$4&gt;TOTAL_BEDS_AVAILABLE,($D255+Y$5)&gt;TOTAL_LABOR_HOURS_CAP,MAX(0,($D255+Y$5)-PERMANENT_FIELD_LABOR_HOURS)&gt;TEMP_HOURS_CAP),"",$C255+Y$6-MIN(($D255+Y$5),PERMANENT_FIELD_LABOR_HOURS)*PERMANENT_HOURLY_RATE-MAX(0,($D255+Y$5)-PERMANENT_FIELD_LABOR_HOURS)*TEMP_HOURLY_RATE-FIXED_SEASON_COST)</f>
        <v>35470.7586191224</v>
      </c>
      <c r="Z255" s="53" t="n">
        <f aca="false">IF(OR($A255&gt;TOMATO_BED_CAP,$B255&gt;CARROT_BED_CAP,Z$4&gt;MESCLUN_BED_CAP,$A255+$B255+Z$4&gt;TOTAL_BEDS_AVAILABLE,($D255+Z$5)&gt;TOTAL_LABOR_HOURS_CAP,MAX(0,($D255+Z$5)-PERMANENT_FIELD_LABOR_HOURS)&gt;TEMP_HOURS_CAP),"",$C255+Z$6-MIN(($D255+Z$5),PERMANENT_FIELD_LABOR_HOURS)*PERMANENT_HOURLY_RATE-MAX(0,($D255+Z$5)-PERMANENT_FIELD_LABOR_HOURS)*TEMP_HOURLY_RATE-FIXED_SEASON_COST)</f>
        <v>36054.3049334302</v>
      </c>
      <c r="AA255" s="53" t="n">
        <f aca="false">IF(OR($A255&gt;TOMATO_BED_CAP,$B255&gt;CARROT_BED_CAP,AA$4&gt;MESCLUN_BED_CAP,$A255+$B255+AA$4&gt;TOTAL_BEDS_AVAILABLE,($D255+AA$5)&gt;TOTAL_LABOR_HOURS_CAP,MAX(0,($D255+AA$5)-PERMANENT_FIELD_LABOR_HOURS)&gt;TEMP_HOURS_CAP),"",$C255+AA$6-MIN(($D255+AA$5),PERMANENT_FIELD_LABOR_HOURS)*PERMANENT_HOURLY_RATE-MAX(0,($D255+AA$5)-PERMANENT_FIELD_LABOR_HOURS)*TEMP_HOURLY_RATE-FIXED_SEASON_COST)</f>
        <v>36609.8764830991</v>
      </c>
      <c r="AB255" s="53" t="n">
        <f aca="false">IF(OR($A255&gt;TOMATO_BED_CAP,$B255&gt;CARROT_BED_CAP,AB$4&gt;MESCLUN_BED_CAP,$A255+$B255+AB$4&gt;TOTAL_BEDS_AVAILABLE,($D255+AB$5)&gt;TOTAL_LABOR_HOURS_CAP,MAX(0,($D255+AB$5)-PERMANENT_FIELD_LABOR_HOURS)&gt;TEMP_HOURS_CAP),"",$C255+AB$6-MIN(($D255+AB$5),PERMANENT_FIELD_LABOR_HOURS)*PERMANENT_HOURLY_RATE-MAX(0,($D255+AB$5)-PERMANENT_FIELD_LABOR_HOURS)*TEMP_HOURLY_RATE-FIXED_SEASON_COST)</f>
        <v>37136.9670949016</v>
      </c>
      <c r="AC255" s="53" t="n">
        <f aca="false">IF(OR($A255&gt;TOMATO_BED_CAP,$B255&gt;CARROT_BED_CAP,AC$4&gt;MESCLUN_BED_CAP,$A255+$B255+AC$4&gt;TOTAL_BEDS_AVAILABLE,($D255+AC$5)&gt;TOTAL_LABOR_HOURS_CAP,MAX(0,($D255+AC$5)-PERMANENT_FIELD_LABOR_HOURS)&gt;TEMP_HOURS_CAP),"",$C255+AC$6-MIN(($D255+AC$5),PERMANENT_FIELD_LABOR_HOURS)*PERMANENT_HOURLY_RATE-MAX(0,($D255+AC$5)-PERMANENT_FIELD_LABOR_HOURS)*TEMP_HOURLY_RATE-FIXED_SEASON_COST)</f>
        <v>37635.0623123365</v>
      </c>
      <c r="AD255" s="53" t="n">
        <f aca="false">IF(OR($A255&gt;TOMATO_BED_CAP,$B255&gt;CARROT_BED_CAP,AD$4&gt;MESCLUN_BED_CAP,$A255+$B255+AD$4&gt;TOTAL_BEDS_AVAILABLE,($D255+AD$5)&gt;TOTAL_LABOR_HOURS_CAP,MAX(0,($D255+AD$5)-PERMANENT_FIELD_LABOR_HOURS)&gt;TEMP_HOURS_CAP),"",$C255+AD$6-MIN(($D255+AD$5),PERMANENT_FIELD_LABOR_HOURS)*PERMANENT_HOURLY_RATE-MAX(0,($D255+AD$5)-PERMANENT_FIELD_LABOR_HOURS)*TEMP_HOURLY_RATE-FIXED_SEASON_COST)</f>
        <v>38103.6392676365</v>
      </c>
      <c r="AE255" s="53" t="n">
        <f aca="false">IF(OR($A255&gt;TOMATO_BED_CAP,$B255&gt;CARROT_BED_CAP,AE$4&gt;MESCLUN_BED_CAP,$A255+$B255+AE$4&gt;TOTAL_BEDS_AVAILABLE,($D255+AE$5)&gt;TOTAL_LABOR_HOURS_CAP,MAX(0,($D255+AE$5)-PERMANENT_FIELD_LABOR_HOURS)&gt;TEMP_HOURS_CAP),"",$C255+AE$6-MIN(($D255+AE$5),PERMANENT_FIELD_LABOR_HOURS)*PERMANENT_HOURLY_RATE-MAX(0,($D255+AE$5)-PERMANENT_FIELD_LABOR_HOURS)*TEMP_HOURLY_RATE-FIXED_SEASON_COST)</f>
        <v>38542.1665518704</v>
      </c>
      <c r="AF255" s="53" t="n">
        <f aca="false">IF(OR($A255&gt;TOMATO_BED_CAP,$B255&gt;CARROT_BED_CAP,AF$4&gt;MESCLUN_BED_CAP,$A255+$B255+AF$4&gt;TOTAL_BEDS_AVAILABLE,($D255+AF$5)&gt;TOTAL_LABOR_HOURS_CAP,MAX(0,($D255+AF$5)-PERMANENT_FIELD_LABOR_HOURS)&gt;TEMP_HOURS_CAP),"",$C255+AF$6-MIN(($D255+AF$5),PERMANENT_FIELD_LABOR_HOURS)*PERMANENT_HOURLY_RATE-MAX(0,($D255+AF$5)-PERMANENT_FIELD_LABOR_HOURS)*TEMP_HOURLY_RATE-FIXED_SEASON_COST)</f>
        <v>38950.1040831124</v>
      </c>
      <c r="AG255" s="53" t="n">
        <f aca="false">IF(OR($A255&gt;TOMATO_BED_CAP,$B255&gt;CARROT_BED_CAP,AG$4&gt;MESCLUN_BED_CAP,$A255+$B255+AG$4&gt;TOTAL_BEDS_AVAILABLE,($D255+AG$5)&gt;TOTAL_LABOR_HOURS_CAP,MAX(0,($D255+AG$5)-PERMANENT_FIELD_LABOR_HOURS)&gt;TEMP_HOURS_CAP),"",$C255+AG$6-MIN(($D255+AG$5),PERMANENT_FIELD_LABOR_HOURS)*PERMANENT_HOURLY_RATE-MAX(0,($D255+AG$5)-PERMANENT_FIELD_LABOR_HOURS)*TEMP_HOURLY_RATE-FIXED_SEASON_COST)</f>
        <v>39326.9029726494</v>
      </c>
      <c r="AH255" s="53" t="n">
        <f aca="false">IF(OR($A255&gt;TOMATO_BED_CAP,$B255&gt;CARROT_BED_CAP,AH$4&gt;MESCLUN_BED_CAP,$A255+$B255+AH$4&gt;TOTAL_BEDS_AVAILABLE,($D255+AH$5)&gt;TOTAL_LABOR_HOURS_CAP,MAX(0,($D255+AH$5)-PERMANENT_FIELD_LABOR_HOURS)&gt;TEMP_HOURS_CAP),"",$C255+AH$6-MIN(($D255+AH$5),PERMANENT_FIELD_LABOR_HOURS)*PERMANENT_HOURLY_RATE-MAX(0,($D255+AH$5)-PERMANENT_FIELD_LABOR_HOURS)*TEMP_HOURLY_RATE-FIXED_SEASON_COST)</f>
        <v>39672.0053891996</v>
      </c>
      <c r="AI255" s="53" t="n">
        <f aca="false">IF(OR($A255&gt;TOMATO_BED_CAP,$B255&gt;CARROT_BED_CAP,AI$4&gt;MESCLUN_BED_CAP,$A255+$B255+AI$4&gt;TOTAL_BEDS_AVAILABLE,($D255+AI$5)&gt;TOTAL_LABOR_HOURS_CAP,MAX(0,($D255+AI$5)-PERMANENT_FIELD_LABOR_HOURS)&gt;TEMP_HOURS_CAP),"",$C255+AI$6-MIN(($D255+AI$5),PERMANENT_FIELD_LABOR_HOURS)*PERMANENT_HOURLY_RATE-MAX(0,($D255+AI$5)-PERMANENT_FIELD_LABOR_HOURS)*TEMP_HOURLY_RATE-FIXED_SEASON_COST)</f>
        <v>39984.8444211119</v>
      </c>
      <c r="AJ255" s="53" t="n">
        <f aca="false">IF(OR($A255&gt;TOMATO_BED_CAP,$B255&gt;CARROT_BED_CAP,AJ$4&gt;MESCLUN_BED_CAP,$A255+$B255+AJ$4&gt;TOTAL_BEDS_AVAILABLE,($D255+AJ$5)&gt;TOTAL_LABOR_HOURS_CAP,MAX(0,($D255+AJ$5)-PERMANENT_FIELD_LABOR_HOURS)&gt;TEMP_HOURS_CAP),"",$C255+AJ$6-MIN(($D255+AJ$5),PERMANENT_FIELD_LABOR_HOURS)*PERMANENT_HOURLY_RATE-MAX(0,($D255+AJ$5)-PERMANENT_FIELD_LABOR_HOURS)*TEMP_HOURLY_RATE-FIXED_SEASON_COST)</f>
        <v>40264.8439365176</v>
      </c>
    </row>
    <row r="256" customFormat="false" ht="15" hidden="false" customHeight="false" outlineLevel="0" collapsed="false">
      <c r="A256" s="21" t="n">
        <f aca="false">INT((ROW()-ROW($A$8))/(20+1))</f>
        <v>11</v>
      </c>
      <c r="B256" s="21" t="n">
        <f aca="false">MOD(ROW()-ROW($A$8),20+1)</f>
        <v>17</v>
      </c>
      <c r="C256" s="13" t="n">
        <f aca="false">A256*(TOMATO_REVENUE_PER_BED-TOMATO_FERTILIZER_PER_BED)+B256*(CARROT_REVENUE_PER_BED-CARROT_FERTILIZER_PER_BED)</f>
        <v>115238</v>
      </c>
      <c r="D256" s="14" t="n">
        <f aca="false">INDEX(TOMATO_SCHED_LABOR_HRS,A256+1)+INDEX(CARROT_SCHED_LABOR_HRS,B256+1)</f>
        <v>3600.30044212393</v>
      </c>
      <c r="E256" s="13" t="n">
        <f aca="false">IF(COUNT(F256:AJ256)=0,"",MAX(F256:AJ256))</f>
        <v>40817.5736196011</v>
      </c>
      <c r="F256" s="53" t="n">
        <f aca="false">IF(OR($A256&gt;TOMATO_BED_CAP,$B256&gt;CARROT_BED_CAP,F$4&gt;MESCLUN_BED_CAP,$A256+$B256+F$4&gt;TOTAL_BEDS_AVAILABLE,($D256+F$5)&gt;TOTAL_LABOR_HOURS_CAP,MAX(0,($D256+F$5)-PERMANENT_FIELD_LABOR_HOURS)&gt;TEMP_HOURS_CAP),"",$C256+F$6-MIN(($D256+F$5),PERMANENT_FIELD_LABOR_HOURS)*PERMANENT_HOURLY_RATE-MAX(0,($D256+F$5)-PERMANENT_FIELD_LABOR_HOURS)*TEMP_HOURLY_RATE-FIXED_SEASON_COST)</f>
        <v>20237.5843247286</v>
      </c>
      <c r="G256" s="53" t="n">
        <f aca="false">IF(OR($A256&gt;TOMATO_BED_CAP,$B256&gt;CARROT_BED_CAP,G$4&gt;MESCLUN_BED_CAP,$A256+$B256+G$4&gt;TOTAL_BEDS_AVAILABLE,($D256+G$5)&gt;TOTAL_LABOR_HOURS_CAP,MAX(0,($D256+G$5)-PERMANENT_FIELD_LABOR_HOURS)&gt;TEMP_HOURS_CAP),"",$C256+G$6-MIN(($D256+G$5),PERMANENT_FIELD_LABOR_HOURS)*PERMANENT_HOURLY_RATE-MAX(0,($D256+G$5)-PERMANENT_FIELD_LABOR_HOURS)*TEMP_HOURLY_RATE-FIXED_SEASON_COST)</f>
        <v>21266.6193247286</v>
      </c>
      <c r="H256" s="53" t="n">
        <f aca="false">IF(OR($A256&gt;TOMATO_BED_CAP,$B256&gt;CARROT_BED_CAP,H$4&gt;MESCLUN_BED_CAP,$A256+$B256+H$4&gt;TOTAL_BEDS_AVAILABLE,($D256+H$5)&gt;TOTAL_LABOR_HOURS_CAP,MAX(0,($D256+H$5)-PERMANENT_FIELD_LABOR_HOURS)&gt;TEMP_HOURS_CAP),"",$C256+H$6-MIN(($D256+H$5),PERMANENT_FIELD_LABOR_HOURS)*PERMANENT_HOURLY_RATE-MAX(0,($D256+H$5)-PERMANENT_FIELD_LABOR_HOURS)*TEMP_HOURLY_RATE-FIXED_SEASON_COST)</f>
        <v>22275.8801997286</v>
      </c>
      <c r="I256" s="53" t="n">
        <f aca="false">IF(OR($A256&gt;TOMATO_BED_CAP,$B256&gt;CARROT_BED_CAP,I$4&gt;MESCLUN_BED_CAP,$A256+$B256+I$4&gt;TOTAL_BEDS_AVAILABLE,($D256+I$5)&gt;TOTAL_LABOR_HOURS_CAP,MAX(0,($D256+I$5)-PERMANENT_FIELD_LABOR_HOURS)&gt;TEMP_HOURS_CAP),"",$C256+I$6-MIN(($D256+I$5),PERMANENT_FIELD_LABOR_HOURS)*PERMANENT_HOURLY_RATE-MAX(0,($D256+I$5)-PERMANENT_FIELD_LABOR_HOURS)*TEMP_HOURLY_RATE-FIXED_SEASON_COST)</f>
        <v>23264.9961848848</v>
      </c>
      <c r="J256" s="53" t="n">
        <f aca="false">IF(OR($A256&gt;TOMATO_BED_CAP,$B256&gt;CARROT_BED_CAP,J$4&gt;MESCLUN_BED_CAP,$A256+$B256+J$4&gt;TOTAL_BEDS_AVAILABLE,($D256+J$5)&gt;TOTAL_LABOR_HOURS_CAP,MAX(0,($D256+J$5)-PERMANENT_FIELD_LABOR_HOURS)&gt;TEMP_HOURS_CAP),"",$C256+J$6-MIN(($D256+J$5),PERMANENT_FIELD_LABOR_HOURS)*PERMANENT_HOURLY_RATE-MAX(0,($D256+J$5)-PERMANENT_FIELD_LABOR_HOURS)*TEMP_HOURLY_RATE-FIXED_SEASON_COST)</f>
        <v>24233.5903359395</v>
      </c>
      <c r="K256" s="53" t="n">
        <f aca="false">IF(OR($A256&gt;TOMATO_BED_CAP,$B256&gt;CARROT_BED_CAP,K$4&gt;MESCLUN_BED_CAP,$A256+$B256+K$4&gt;TOTAL_BEDS_AVAILABLE,($D256+K$5)&gt;TOTAL_LABOR_HOURS_CAP,MAX(0,($D256+K$5)-PERMANENT_FIELD_LABOR_HOURS)&gt;TEMP_HOURS_CAP),"",$C256+K$6-MIN(($D256+K$5),PERMANENT_FIELD_LABOR_HOURS)*PERMANENT_HOURLY_RATE-MAX(0,($D256+K$5)-PERMANENT_FIELD_LABOR_HOURS)*TEMP_HOURLY_RATE-FIXED_SEASON_COST)</f>
        <v>25181.2794326674</v>
      </c>
      <c r="L256" s="53" t="n">
        <f aca="false">IF(OR($A256&gt;TOMATO_BED_CAP,$B256&gt;CARROT_BED_CAP,L$4&gt;MESCLUN_BED_CAP,$A256+$B256+L$4&gt;TOTAL_BEDS_AVAILABLE,($D256+L$5)&gt;TOTAL_LABOR_HOURS_CAP,MAX(0,($D256+L$5)-PERMANENT_FIELD_LABOR_HOURS)&gt;TEMP_HOURS_CAP),"",$C256+L$6-MIN(($D256+L$5),PERMANENT_FIELD_LABOR_HOURS)*PERMANENT_HOURLY_RATE-MAX(0,($D256+L$5)-PERMANENT_FIELD_LABOR_HOURS)*TEMP_HOURLY_RATE-FIXED_SEASON_COST)</f>
        <v>26107.6738808743</v>
      </c>
      <c r="M256" s="53" t="n">
        <f aca="false">IF(OR($A256&gt;TOMATO_BED_CAP,$B256&gt;CARROT_BED_CAP,M$4&gt;MESCLUN_BED_CAP,$A256+$B256+M$4&gt;TOTAL_BEDS_AVAILABLE,($D256+M$5)&gt;TOTAL_LABOR_HOURS_CAP,MAX(0,($D256+M$5)-PERMANENT_FIELD_LABOR_HOURS)&gt;TEMP_HOURS_CAP),"",$C256+M$6-MIN(($D256+M$5),PERMANENT_FIELD_LABOR_HOURS)*PERMANENT_HOURLY_RATE-MAX(0,($D256+M$5)-PERMANENT_FIELD_LABOR_HOURS)*TEMP_HOURLY_RATE-FIXED_SEASON_COST)</f>
        <v>27012.3776129257</v>
      </c>
      <c r="N256" s="53" t="n">
        <f aca="false">IF(OR($A256&gt;TOMATO_BED_CAP,$B256&gt;CARROT_BED_CAP,N$4&gt;MESCLUN_BED_CAP,$A256+$B256+N$4&gt;TOTAL_BEDS_AVAILABLE,($D256+N$5)&gt;TOTAL_LABOR_HOURS_CAP,MAX(0,($D256+N$5)-PERMANENT_FIELD_LABOR_HOURS)&gt;TEMP_HOURS_CAP),"",$C256+N$6-MIN(($D256+N$5),PERMANENT_FIELD_LABOR_HOURS)*PERMANENT_HOURLY_RATE-MAX(0,($D256+N$5)-PERMANENT_FIELD_LABOR_HOURS)*TEMP_HOURLY_RATE-FIXED_SEASON_COST)</f>
        <v>27894.9879867852</v>
      </c>
      <c r="O256" s="53" t="n">
        <f aca="false">IF(OR($A256&gt;TOMATO_BED_CAP,$B256&gt;CARROT_BED_CAP,O$4&gt;MESCLUN_BED_CAP,$A256+$B256+O$4&gt;TOTAL_BEDS_AVAILABLE,($D256+O$5)&gt;TOTAL_LABOR_HOURS_CAP,MAX(0,($D256+O$5)-PERMANENT_FIELD_LABOR_HOURS)&gt;TEMP_HOURS_CAP),"",$C256+O$6-MIN(($D256+O$5),PERMANENT_FIELD_LABOR_HOURS)*PERMANENT_HOURLY_RATE-MAX(0,($D256+O$5)-PERMANENT_FIELD_LABOR_HOURS)*TEMP_HOURLY_RATE-FIXED_SEASON_COST)</f>
        <v>28755.09568354</v>
      </c>
      <c r="P256" s="53" t="n">
        <f aca="false">IF(OR($A256&gt;TOMATO_BED_CAP,$B256&gt;CARROT_BED_CAP,P$4&gt;MESCLUN_BED_CAP,$A256+$B256+P$4&gt;TOTAL_BEDS_AVAILABLE,($D256+P$5)&gt;TOTAL_LABOR_HOURS_CAP,MAX(0,($D256+P$5)-PERMANENT_FIELD_LABOR_HOURS)&gt;TEMP_HOURS_CAP),"",$C256+P$6-MIN(($D256+P$5),PERMANENT_FIELD_LABOR_HOURS)*PERMANENT_HOURLY_RATE-MAX(0,($D256+P$5)-PERMANENT_FIELD_LABOR_HOURS)*TEMP_HOURLY_RATE-FIXED_SEASON_COST)</f>
        <v>29592.2846033914</v>
      </c>
      <c r="Q256" s="53" t="n">
        <f aca="false">IF(OR($A256&gt;TOMATO_BED_CAP,$B256&gt;CARROT_BED_CAP,Q$4&gt;MESCLUN_BED_CAP,$A256+$B256+Q$4&gt;TOTAL_BEDS_AVAILABLE,($D256+Q$5)&gt;TOTAL_LABOR_HOURS_CAP,MAX(0,($D256+Q$5)-PERMANENT_FIELD_LABOR_HOURS)&gt;TEMP_HOURS_CAP),"",$C256+Q$6-MIN(($D256+Q$5),PERMANENT_FIELD_LABOR_HOURS)*PERMANENT_HOURLY_RATE-MAX(0,($D256+Q$5)-PERMANENT_FIELD_LABOR_HOURS)*TEMP_HOURLY_RATE-FIXED_SEASON_COST)</f>
        <v>30406.1317600893</v>
      </c>
      <c r="R256" s="53" t="n">
        <f aca="false">IF(OR($A256&gt;TOMATO_BED_CAP,$B256&gt;CARROT_BED_CAP,R$4&gt;MESCLUN_BED_CAP,$A256+$B256+R$4&gt;TOTAL_BEDS_AVAILABLE,($D256+R$5)&gt;TOTAL_LABOR_HOURS_CAP,MAX(0,($D256+R$5)-PERMANENT_FIELD_LABOR_HOURS)&gt;TEMP_HOURS_CAP),"",$C256+R$6-MIN(($D256+R$5),PERMANENT_FIELD_LABOR_HOURS)*PERMANENT_HOURLY_RATE-MAX(0,($D256+R$5)-PERMANENT_FIELD_LABOR_HOURS)*TEMP_HOURLY_RATE-FIXED_SEASON_COST)</f>
        <v>31196.2071737861</v>
      </c>
      <c r="S256" s="53" t="n">
        <f aca="false">IF(OR($A256&gt;TOMATO_BED_CAP,$B256&gt;CARROT_BED_CAP,S$4&gt;MESCLUN_BED_CAP,$A256+$B256+S$4&gt;TOTAL_BEDS_AVAILABLE,($D256+S$5)&gt;TOTAL_LABOR_HOURS_CAP,MAX(0,($D256+S$5)-PERMANENT_FIELD_LABOR_HOURS)&gt;TEMP_HOURS_CAP),"",$C256+S$6-MIN(($D256+S$5),PERMANENT_FIELD_LABOR_HOURS)*PERMANENT_HOURLY_RATE-MAX(0,($D256+S$5)-PERMANENT_FIELD_LABOR_HOURS)*TEMP_HOURLY_RATE-FIXED_SEASON_COST)</f>
        <v>31962.0737622885</v>
      </c>
      <c r="T256" s="53" t="n">
        <f aca="false">IF(OR($A256&gt;TOMATO_BED_CAP,$B256&gt;CARROT_BED_CAP,T$4&gt;MESCLUN_BED_CAP,$A256+$B256+T$4&gt;TOTAL_BEDS_AVAILABLE,($D256+T$5)&gt;TOTAL_LABOR_HOURS_CAP,MAX(0,($D256+T$5)-PERMANENT_FIELD_LABOR_HOURS)&gt;TEMP_HOURS_CAP),"",$C256+T$6-MIN(($D256+T$5),PERMANENT_FIELD_LABOR_HOURS)*PERMANENT_HOURLY_RATE-MAX(0,($D256+T$5)-PERMANENT_FIELD_LABOR_HOURS)*TEMP_HOURLY_RATE-FIXED_SEASON_COST)</f>
        <v>32703.2872306834</v>
      </c>
      <c r="U256" s="53" t="n">
        <f aca="false">IF(OR($A256&gt;TOMATO_BED_CAP,$B256&gt;CARROT_BED_CAP,U$4&gt;MESCLUN_BED_CAP,$A256+$B256+U$4&gt;TOTAL_BEDS_AVAILABLE,($D256+U$5)&gt;TOTAL_LABOR_HOURS_CAP,MAX(0,($D256+U$5)-PERMANENT_FIELD_LABOR_HOURS)&gt;TEMP_HOURS_CAP),"",$C256+U$6-MIN(($D256+U$5),PERMANENT_FIELD_LABOR_HOURS)*PERMANENT_HOURLY_RATE-MAX(0,($D256+U$5)-PERMANENT_FIELD_LABOR_HOURS)*TEMP_HOURLY_RATE-FIXED_SEASON_COST)</f>
        <v>33419.3959593135</v>
      </c>
      <c r="V256" s="53" t="n">
        <f aca="false">IF(OR($A256&gt;TOMATO_BED_CAP,$B256&gt;CARROT_BED_CAP,V$4&gt;MESCLUN_BED_CAP,$A256+$B256+V$4&gt;TOTAL_BEDS_AVAILABLE,($D256+V$5)&gt;TOTAL_LABOR_HOURS_CAP,MAX(0,($D256+V$5)-PERMANENT_FIELD_LABOR_HOURS)&gt;TEMP_HOURS_CAP),"",$C256+V$6-MIN(($D256+V$5),PERMANENT_FIELD_LABOR_HOURS)*PERMANENT_HOURLY_RATE-MAX(0,($D256+V$5)-PERMANENT_FIELD_LABOR_HOURS)*TEMP_HOURLY_RATE-FIXED_SEASON_COST)</f>
        <v>34109.9408900803</v>
      </c>
      <c r="W256" s="53" t="n">
        <f aca="false">IF(OR($A256&gt;TOMATO_BED_CAP,$B256&gt;CARROT_BED_CAP,W$4&gt;MESCLUN_BED_CAP,$A256+$B256+W$4&gt;TOTAL_BEDS_AVAILABLE,($D256+W$5)&gt;TOTAL_LABOR_HOURS_CAP,MAX(0,($D256+W$5)-PERMANENT_FIELD_LABOR_HOURS)&gt;TEMP_HOURS_CAP),"",$C256+W$6-MIN(($D256+W$5),PERMANENT_FIELD_LABOR_HOURS)*PERMANENT_HOURLY_RATE-MAX(0,($D256+W$5)-PERMANENT_FIELD_LABOR_HOURS)*TEMP_HOURLY_RATE-FIXED_SEASON_COST)</f>
        <v>34774.4554110483</v>
      </c>
      <c r="X256" s="53" t="n">
        <f aca="false">IF(OR($A256&gt;TOMATO_BED_CAP,$B256&gt;CARROT_BED_CAP,X$4&gt;MESCLUN_BED_CAP,$A256+$B256+X$4&gt;TOTAL_BEDS_AVAILABLE,($D256+X$5)&gt;TOTAL_LABOR_HOURS_CAP,MAX(0,($D256+X$5)-PERMANENT_FIELD_LABOR_HOURS)&gt;TEMP_HOURS_CAP),"",$C256+X$6-MIN(($D256+X$5),PERMANENT_FIELD_LABOR_HOURS)*PERMANENT_HOURLY_RATE-MAX(0,($D256+X$5)-PERMANENT_FIELD_LABOR_HOURS)*TEMP_HOURLY_RATE-FIXED_SEASON_COST)</f>
        <v>35412.4652393273</v>
      </c>
      <c r="Y256" s="53" t="n">
        <f aca="false">IF(OR($A256&gt;TOMATO_BED_CAP,$B256&gt;CARROT_BED_CAP,Y$4&gt;MESCLUN_BED_CAP,$A256+$B256+Y$4&gt;TOTAL_BEDS_AVAILABLE,($D256+Y$5)&gt;TOTAL_LABOR_HOURS_CAP,MAX(0,($D256+Y$5)-PERMANENT_FIELD_LABOR_HOURS)&gt;TEMP_HOURS_CAP),"",$C256+Y$6-MIN(($D256+Y$5),PERMANENT_FIELD_LABOR_HOURS)*PERMANENT_HOURLY_RATE-MAX(0,($D256+Y$5)-PERMANENT_FIELD_LABOR_HOURS)*TEMP_HOURLY_RATE-FIXED_SEASON_COST)</f>
        <v>36023.4883022059</v>
      </c>
      <c r="Z256" s="53" t="n">
        <f aca="false">IF(OR($A256&gt;TOMATO_BED_CAP,$B256&gt;CARROT_BED_CAP,Z$4&gt;MESCLUN_BED_CAP,$A256+$B256+Z$4&gt;TOTAL_BEDS_AVAILABLE,($D256+Z$5)&gt;TOTAL_LABOR_HOURS_CAP,MAX(0,($D256+Z$5)-PERMANENT_FIELD_LABOR_HOURS)&gt;TEMP_HOURS_CAP),"",$C256+Z$6-MIN(($D256+Z$5),PERMANENT_FIELD_LABOR_HOURS)*PERMANENT_HOURLY_RATE-MAX(0,($D256+Z$5)-PERMANENT_FIELD_LABOR_HOURS)*TEMP_HOURLY_RATE-FIXED_SEASON_COST)</f>
        <v>36607.0346165136</v>
      </c>
      <c r="AA256" s="53" t="n">
        <f aca="false">IF(OR($A256&gt;TOMATO_BED_CAP,$B256&gt;CARROT_BED_CAP,AA$4&gt;MESCLUN_BED_CAP,$A256+$B256+AA$4&gt;TOTAL_BEDS_AVAILABLE,($D256+AA$5)&gt;TOTAL_LABOR_HOURS_CAP,MAX(0,($D256+AA$5)-PERMANENT_FIELD_LABOR_HOURS)&gt;TEMP_HOURS_CAP),"",$C256+AA$6-MIN(($D256+AA$5),PERMANENT_FIELD_LABOR_HOURS)*PERMANENT_HOURLY_RATE-MAX(0,($D256+AA$5)-PERMANENT_FIELD_LABOR_HOURS)*TEMP_HOURLY_RATE-FIXED_SEASON_COST)</f>
        <v>37162.6061661826</v>
      </c>
      <c r="AB256" s="53" t="n">
        <f aca="false">IF(OR($A256&gt;TOMATO_BED_CAP,$B256&gt;CARROT_BED_CAP,AB$4&gt;MESCLUN_BED_CAP,$A256+$B256+AB$4&gt;TOTAL_BEDS_AVAILABLE,($D256+AB$5)&gt;TOTAL_LABOR_HOURS_CAP,MAX(0,($D256+AB$5)-PERMANENT_FIELD_LABOR_HOURS)&gt;TEMP_HOURS_CAP),"",$C256+AB$6-MIN(($D256+AB$5),PERMANENT_FIELD_LABOR_HOURS)*PERMANENT_HOURLY_RATE-MAX(0,($D256+AB$5)-PERMANENT_FIELD_LABOR_HOURS)*TEMP_HOURLY_RATE-FIXED_SEASON_COST)</f>
        <v>37689.6967779851</v>
      </c>
      <c r="AC256" s="53" t="n">
        <f aca="false">IF(OR($A256&gt;TOMATO_BED_CAP,$B256&gt;CARROT_BED_CAP,AC$4&gt;MESCLUN_BED_CAP,$A256+$B256+AC$4&gt;TOTAL_BEDS_AVAILABLE,($D256+AC$5)&gt;TOTAL_LABOR_HOURS_CAP,MAX(0,($D256+AC$5)-PERMANENT_FIELD_LABOR_HOURS)&gt;TEMP_HOURS_CAP),"",$C256+AC$6-MIN(($D256+AC$5),PERMANENT_FIELD_LABOR_HOURS)*PERMANENT_HOURLY_RATE-MAX(0,($D256+AC$5)-PERMANENT_FIELD_LABOR_HOURS)*TEMP_HOURLY_RATE-FIXED_SEASON_COST)</f>
        <v>38187.79199542</v>
      </c>
      <c r="AD256" s="53" t="n">
        <f aca="false">IF(OR($A256&gt;TOMATO_BED_CAP,$B256&gt;CARROT_BED_CAP,AD$4&gt;MESCLUN_BED_CAP,$A256+$B256+AD$4&gt;TOTAL_BEDS_AVAILABLE,($D256+AD$5)&gt;TOTAL_LABOR_HOURS_CAP,MAX(0,($D256+AD$5)-PERMANENT_FIELD_LABOR_HOURS)&gt;TEMP_HOURS_CAP),"",$C256+AD$6-MIN(($D256+AD$5),PERMANENT_FIELD_LABOR_HOURS)*PERMANENT_HOURLY_RATE-MAX(0,($D256+AD$5)-PERMANENT_FIELD_LABOR_HOURS)*TEMP_HOURLY_RATE-FIXED_SEASON_COST)</f>
        <v>38656.36895072</v>
      </c>
      <c r="AE256" s="53" t="n">
        <f aca="false">IF(OR($A256&gt;TOMATO_BED_CAP,$B256&gt;CARROT_BED_CAP,AE$4&gt;MESCLUN_BED_CAP,$A256+$B256+AE$4&gt;TOTAL_BEDS_AVAILABLE,($D256+AE$5)&gt;TOTAL_LABOR_HOURS_CAP,MAX(0,($D256+AE$5)-PERMANENT_FIELD_LABOR_HOURS)&gt;TEMP_HOURS_CAP),"",$C256+AE$6-MIN(($D256+AE$5),PERMANENT_FIELD_LABOR_HOURS)*PERMANENT_HOURLY_RATE-MAX(0,($D256+AE$5)-PERMANENT_FIELD_LABOR_HOURS)*TEMP_HOURLY_RATE-FIXED_SEASON_COST)</f>
        <v>39094.8962349539</v>
      </c>
      <c r="AF256" s="53" t="n">
        <f aca="false">IF(OR($A256&gt;TOMATO_BED_CAP,$B256&gt;CARROT_BED_CAP,AF$4&gt;MESCLUN_BED_CAP,$A256+$B256+AF$4&gt;TOTAL_BEDS_AVAILABLE,($D256+AF$5)&gt;TOTAL_LABOR_HOURS_CAP,MAX(0,($D256+AF$5)-PERMANENT_FIELD_LABOR_HOURS)&gt;TEMP_HOURS_CAP),"",$C256+AF$6-MIN(($D256+AF$5),PERMANENT_FIELD_LABOR_HOURS)*PERMANENT_HOURLY_RATE-MAX(0,($D256+AF$5)-PERMANENT_FIELD_LABOR_HOURS)*TEMP_HOURLY_RATE-FIXED_SEASON_COST)</f>
        <v>39502.8337661959</v>
      </c>
      <c r="AG256" s="53" t="n">
        <f aca="false">IF(OR($A256&gt;TOMATO_BED_CAP,$B256&gt;CARROT_BED_CAP,AG$4&gt;MESCLUN_BED_CAP,$A256+$B256+AG$4&gt;TOTAL_BEDS_AVAILABLE,($D256+AG$5)&gt;TOTAL_LABOR_HOURS_CAP,MAX(0,($D256+AG$5)-PERMANENT_FIELD_LABOR_HOURS)&gt;TEMP_HOURS_CAP),"",$C256+AG$6-MIN(($D256+AG$5),PERMANENT_FIELD_LABOR_HOURS)*PERMANENT_HOURLY_RATE-MAX(0,($D256+AG$5)-PERMANENT_FIELD_LABOR_HOURS)*TEMP_HOURLY_RATE-FIXED_SEASON_COST)</f>
        <v>39879.6326557329</v>
      </c>
      <c r="AH256" s="53" t="n">
        <f aca="false">IF(OR($A256&gt;TOMATO_BED_CAP,$B256&gt;CARROT_BED_CAP,AH$4&gt;MESCLUN_BED_CAP,$A256+$B256+AH$4&gt;TOTAL_BEDS_AVAILABLE,($D256+AH$5)&gt;TOTAL_LABOR_HOURS_CAP,MAX(0,($D256+AH$5)-PERMANENT_FIELD_LABOR_HOURS)&gt;TEMP_HOURS_CAP),"",$C256+AH$6-MIN(($D256+AH$5),PERMANENT_FIELD_LABOR_HOURS)*PERMANENT_HOURLY_RATE-MAX(0,($D256+AH$5)-PERMANENT_FIELD_LABOR_HOURS)*TEMP_HOURLY_RATE-FIXED_SEASON_COST)</f>
        <v>40224.7350722831</v>
      </c>
      <c r="AI256" s="53" t="n">
        <f aca="false">IF(OR($A256&gt;TOMATO_BED_CAP,$B256&gt;CARROT_BED_CAP,AI$4&gt;MESCLUN_BED_CAP,$A256+$B256+AI$4&gt;TOTAL_BEDS_AVAILABLE,($D256+AI$5)&gt;TOTAL_LABOR_HOURS_CAP,MAX(0,($D256+AI$5)-PERMANENT_FIELD_LABOR_HOURS)&gt;TEMP_HOURS_CAP),"",$C256+AI$6-MIN(($D256+AI$5),PERMANENT_FIELD_LABOR_HOURS)*PERMANENT_HOURLY_RATE-MAX(0,($D256+AI$5)-PERMANENT_FIELD_LABOR_HOURS)*TEMP_HOURLY_RATE-FIXED_SEASON_COST)</f>
        <v>40537.5741041954</v>
      </c>
      <c r="AJ256" s="53" t="n">
        <f aca="false">IF(OR($A256&gt;TOMATO_BED_CAP,$B256&gt;CARROT_BED_CAP,AJ$4&gt;MESCLUN_BED_CAP,$A256+$B256+AJ$4&gt;TOTAL_BEDS_AVAILABLE,($D256+AJ$5)&gt;TOTAL_LABOR_HOURS_CAP,MAX(0,($D256+AJ$5)-PERMANENT_FIELD_LABOR_HOURS)&gt;TEMP_HOURS_CAP),"",$C256+AJ$6-MIN(($D256+AJ$5),PERMANENT_FIELD_LABOR_HOURS)*PERMANENT_HOURLY_RATE-MAX(0,($D256+AJ$5)-PERMANENT_FIELD_LABOR_HOURS)*TEMP_HOURLY_RATE-FIXED_SEASON_COST)</f>
        <v>40817.5736196011</v>
      </c>
    </row>
    <row r="257" customFormat="false" ht="15" hidden="false" customHeight="false" outlineLevel="0" collapsed="false">
      <c r="A257" s="21" t="n">
        <f aca="false">INT((ROW()-ROW($A$8))/(20+1))</f>
        <v>11</v>
      </c>
      <c r="B257" s="21" t="n">
        <f aca="false">MOD(ROW()-ROW($A$8),20+1)</f>
        <v>18</v>
      </c>
      <c r="C257" s="13" t="n">
        <f aca="false">A257*(TOMATO_REVENUE_PER_BED-TOMATO_FERTILIZER_PER_BED)+B257*(CARROT_REVENUE_PER_BED-CARROT_FERTILIZER_PER_BED)</f>
        <v>116892</v>
      </c>
      <c r="D257" s="14" t="n">
        <f aca="false">INDEX(TOMATO_SCHED_LABOR_HRS,A257+1)+INDEX(CARROT_SCHED_LABOR_HRS,B257+1)</f>
        <v>3666.46436032739</v>
      </c>
      <c r="E257" s="13" t="n">
        <f aca="false">IF(COUNT(F257:AJ257)=0,"",MAX(F257:AJ257))</f>
        <v>41322.9679995891</v>
      </c>
      <c r="F257" s="53" t="n">
        <f aca="false">IF(OR($A257&gt;TOMATO_BED_CAP,$B257&gt;CARROT_BED_CAP,F$4&gt;MESCLUN_BED_CAP,$A257+$B257+F$4&gt;TOTAL_BEDS_AVAILABLE,($D257+F$5)&gt;TOTAL_LABOR_HOURS_CAP,MAX(0,($D257+F$5)-PERMANENT_FIELD_LABOR_HOURS)&gt;TEMP_HOURS_CAP),"",$C257+F$6-MIN(($D257+F$5),PERMANENT_FIELD_LABOR_HOURS)*PERMANENT_HOURLY_RATE-MAX(0,($D257+F$5)-PERMANENT_FIELD_LABOR_HOURS)*TEMP_HOURLY_RATE-FIXED_SEASON_COST)</f>
        <v>20742.9787047165</v>
      </c>
      <c r="G257" s="53" t="n">
        <f aca="false">IF(OR($A257&gt;TOMATO_BED_CAP,$B257&gt;CARROT_BED_CAP,G$4&gt;MESCLUN_BED_CAP,$A257+$B257+G$4&gt;TOTAL_BEDS_AVAILABLE,($D257+G$5)&gt;TOTAL_LABOR_HOURS_CAP,MAX(0,($D257+G$5)-PERMANENT_FIELD_LABOR_HOURS)&gt;TEMP_HOURS_CAP),"",$C257+G$6-MIN(($D257+G$5),PERMANENT_FIELD_LABOR_HOURS)*PERMANENT_HOURLY_RATE-MAX(0,($D257+G$5)-PERMANENT_FIELD_LABOR_HOURS)*TEMP_HOURLY_RATE-FIXED_SEASON_COST)</f>
        <v>21772.0137047165</v>
      </c>
      <c r="H257" s="53" t="n">
        <f aca="false">IF(OR($A257&gt;TOMATO_BED_CAP,$B257&gt;CARROT_BED_CAP,H$4&gt;MESCLUN_BED_CAP,$A257+$B257+H$4&gt;TOTAL_BEDS_AVAILABLE,($D257+H$5)&gt;TOTAL_LABOR_HOURS_CAP,MAX(0,($D257+H$5)-PERMANENT_FIELD_LABOR_HOURS)&gt;TEMP_HOURS_CAP),"",$C257+H$6-MIN(($D257+H$5),PERMANENT_FIELD_LABOR_HOURS)*PERMANENT_HOURLY_RATE-MAX(0,($D257+H$5)-PERMANENT_FIELD_LABOR_HOURS)*TEMP_HOURLY_RATE-FIXED_SEASON_COST)</f>
        <v>22781.2745797165</v>
      </c>
      <c r="I257" s="53" t="n">
        <f aca="false">IF(OR($A257&gt;TOMATO_BED_CAP,$B257&gt;CARROT_BED_CAP,I$4&gt;MESCLUN_BED_CAP,$A257+$B257+I$4&gt;TOTAL_BEDS_AVAILABLE,($D257+I$5)&gt;TOTAL_LABOR_HOURS_CAP,MAX(0,($D257+I$5)-PERMANENT_FIELD_LABOR_HOURS)&gt;TEMP_HOURS_CAP),"",$C257+I$6-MIN(($D257+I$5),PERMANENT_FIELD_LABOR_HOURS)*PERMANENT_HOURLY_RATE-MAX(0,($D257+I$5)-PERMANENT_FIELD_LABOR_HOURS)*TEMP_HOURLY_RATE-FIXED_SEASON_COST)</f>
        <v>23770.3905648728</v>
      </c>
      <c r="J257" s="53" t="n">
        <f aca="false">IF(OR($A257&gt;TOMATO_BED_CAP,$B257&gt;CARROT_BED_CAP,J$4&gt;MESCLUN_BED_CAP,$A257+$B257+J$4&gt;TOTAL_BEDS_AVAILABLE,($D257+J$5)&gt;TOTAL_LABOR_HOURS_CAP,MAX(0,($D257+J$5)-PERMANENT_FIELD_LABOR_HOURS)&gt;TEMP_HOURS_CAP),"",$C257+J$6-MIN(($D257+J$5),PERMANENT_FIELD_LABOR_HOURS)*PERMANENT_HOURLY_RATE-MAX(0,($D257+J$5)-PERMANENT_FIELD_LABOR_HOURS)*TEMP_HOURLY_RATE-FIXED_SEASON_COST)</f>
        <v>24738.9847159275</v>
      </c>
      <c r="K257" s="53" t="n">
        <f aca="false">IF(OR($A257&gt;TOMATO_BED_CAP,$B257&gt;CARROT_BED_CAP,K$4&gt;MESCLUN_BED_CAP,$A257+$B257+K$4&gt;TOTAL_BEDS_AVAILABLE,($D257+K$5)&gt;TOTAL_LABOR_HOURS_CAP,MAX(0,($D257+K$5)-PERMANENT_FIELD_LABOR_HOURS)&gt;TEMP_HOURS_CAP),"",$C257+K$6-MIN(($D257+K$5),PERMANENT_FIELD_LABOR_HOURS)*PERMANENT_HOURLY_RATE-MAX(0,($D257+K$5)-PERMANENT_FIELD_LABOR_HOURS)*TEMP_HOURLY_RATE-FIXED_SEASON_COST)</f>
        <v>25686.6738126554</v>
      </c>
      <c r="L257" s="53" t="n">
        <f aca="false">IF(OR($A257&gt;TOMATO_BED_CAP,$B257&gt;CARROT_BED_CAP,L$4&gt;MESCLUN_BED_CAP,$A257+$B257+L$4&gt;TOTAL_BEDS_AVAILABLE,($D257+L$5)&gt;TOTAL_LABOR_HOURS_CAP,MAX(0,($D257+L$5)-PERMANENT_FIELD_LABOR_HOURS)&gt;TEMP_HOURS_CAP),"",$C257+L$6-MIN(($D257+L$5),PERMANENT_FIELD_LABOR_HOURS)*PERMANENT_HOURLY_RATE-MAX(0,($D257+L$5)-PERMANENT_FIELD_LABOR_HOURS)*TEMP_HOURLY_RATE-FIXED_SEASON_COST)</f>
        <v>26613.0682608622</v>
      </c>
      <c r="M257" s="53" t="n">
        <f aca="false">IF(OR($A257&gt;TOMATO_BED_CAP,$B257&gt;CARROT_BED_CAP,M$4&gt;MESCLUN_BED_CAP,$A257+$B257+M$4&gt;TOTAL_BEDS_AVAILABLE,($D257+M$5)&gt;TOTAL_LABOR_HOURS_CAP,MAX(0,($D257+M$5)-PERMANENT_FIELD_LABOR_HOURS)&gt;TEMP_HOURS_CAP),"",$C257+M$6-MIN(($D257+M$5),PERMANENT_FIELD_LABOR_HOURS)*PERMANENT_HOURLY_RATE-MAX(0,($D257+M$5)-PERMANENT_FIELD_LABOR_HOURS)*TEMP_HOURLY_RATE-FIXED_SEASON_COST)</f>
        <v>27517.7719929136</v>
      </c>
      <c r="N257" s="53" t="n">
        <f aca="false">IF(OR($A257&gt;TOMATO_BED_CAP,$B257&gt;CARROT_BED_CAP,N$4&gt;MESCLUN_BED_CAP,$A257+$B257+N$4&gt;TOTAL_BEDS_AVAILABLE,($D257+N$5)&gt;TOTAL_LABOR_HOURS_CAP,MAX(0,($D257+N$5)-PERMANENT_FIELD_LABOR_HOURS)&gt;TEMP_HOURS_CAP),"",$C257+N$6-MIN(($D257+N$5),PERMANENT_FIELD_LABOR_HOURS)*PERMANENT_HOURLY_RATE-MAX(0,($D257+N$5)-PERMANENT_FIELD_LABOR_HOURS)*TEMP_HOURLY_RATE-FIXED_SEASON_COST)</f>
        <v>28400.3823667732</v>
      </c>
      <c r="O257" s="53" t="n">
        <f aca="false">IF(OR($A257&gt;TOMATO_BED_CAP,$B257&gt;CARROT_BED_CAP,O$4&gt;MESCLUN_BED_CAP,$A257+$B257+O$4&gt;TOTAL_BEDS_AVAILABLE,($D257+O$5)&gt;TOTAL_LABOR_HOURS_CAP,MAX(0,($D257+O$5)-PERMANENT_FIELD_LABOR_HOURS)&gt;TEMP_HOURS_CAP),"",$C257+O$6-MIN(($D257+O$5),PERMANENT_FIELD_LABOR_HOURS)*PERMANENT_HOURLY_RATE-MAX(0,($D257+O$5)-PERMANENT_FIELD_LABOR_HOURS)*TEMP_HOURLY_RATE-FIXED_SEASON_COST)</f>
        <v>29260.4900635279</v>
      </c>
      <c r="P257" s="53" t="n">
        <f aca="false">IF(OR($A257&gt;TOMATO_BED_CAP,$B257&gt;CARROT_BED_CAP,P$4&gt;MESCLUN_BED_CAP,$A257+$B257+P$4&gt;TOTAL_BEDS_AVAILABLE,($D257+P$5)&gt;TOTAL_LABOR_HOURS_CAP,MAX(0,($D257+P$5)-PERMANENT_FIELD_LABOR_HOURS)&gt;TEMP_HOURS_CAP),"",$C257+P$6-MIN(($D257+P$5),PERMANENT_FIELD_LABOR_HOURS)*PERMANENT_HOURLY_RATE-MAX(0,($D257+P$5)-PERMANENT_FIELD_LABOR_HOURS)*TEMP_HOURLY_RATE-FIXED_SEASON_COST)</f>
        <v>30097.6789833793</v>
      </c>
      <c r="Q257" s="53" t="n">
        <f aca="false">IF(OR($A257&gt;TOMATO_BED_CAP,$B257&gt;CARROT_BED_CAP,Q$4&gt;MESCLUN_BED_CAP,$A257+$B257+Q$4&gt;TOTAL_BEDS_AVAILABLE,($D257+Q$5)&gt;TOTAL_LABOR_HOURS_CAP,MAX(0,($D257+Q$5)-PERMANENT_FIELD_LABOR_HOURS)&gt;TEMP_HOURS_CAP),"",$C257+Q$6-MIN(($D257+Q$5),PERMANENT_FIELD_LABOR_HOURS)*PERMANENT_HOURLY_RATE-MAX(0,($D257+Q$5)-PERMANENT_FIELD_LABOR_HOURS)*TEMP_HOURLY_RATE-FIXED_SEASON_COST)</f>
        <v>30911.5261400773</v>
      </c>
      <c r="R257" s="53" t="n">
        <f aca="false">IF(OR($A257&gt;TOMATO_BED_CAP,$B257&gt;CARROT_BED_CAP,R$4&gt;MESCLUN_BED_CAP,$A257+$B257+R$4&gt;TOTAL_BEDS_AVAILABLE,($D257+R$5)&gt;TOTAL_LABOR_HOURS_CAP,MAX(0,($D257+R$5)-PERMANENT_FIELD_LABOR_HOURS)&gt;TEMP_HOURS_CAP),"",$C257+R$6-MIN(($D257+R$5),PERMANENT_FIELD_LABOR_HOURS)*PERMANENT_HOURLY_RATE-MAX(0,($D257+R$5)-PERMANENT_FIELD_LABOR_HOURS)*TEMP_HOURLY_RATE-FIXED_SEASON_COST)</f>
        <v>31701.601553774</v>
      </c>
      <c r="S257" s="53" t="n">
        <f aca="false">IF(OR($A257&gt;TOMATO_BED_CAP,$B257&gt;CARROT_BED_CAP,S$4&gt;MESCLUN_BED_CAP,$A257+$B257+S$4&gt;TOTAL_BEDS_AVAILABLE,($D257+S$5)&gt;TOTAL_LABOR_HOURS_CAP,MAX(0,($D257+S$5)-PERMANENT_FIELD_LABOR_HOURS)&gt;TEMP_HOURS_CAP),"",$C257+S$6-MIN(($D257+S$5),PERMANENT_FIELD_LABOR_HOURS)*PERMANENT_HOURLY_RATE-MAX(0,($D257+S$5)-PERMANENT_FIELD_LABOR_HOURS)*TEMP_HOURLY_RATE-FIXED_SEASON_COST)</f>
        <v>32467.4681422765</v>
      </c>
      <c r="T257" s="53" t="n">
        <f aca="false">IF(OR($A257&gt;TOMATO_BED_CAP,$B257&gt;CARROT_BED_CAP,T$4&gt;MESCLUN_BED_CAP,$A257+$B257+T$4&gt;TOTAL_BEDS_AVAILABLE,($D257+T$5)&gt;TOTAL_LABOR_HOURS_CAP,MAX(0,($D257+T$5)-PERMANENT_FIELD_LABOR_HOURS)&gt;TEMP_HOURS_CAP),"",$C257+T$6-MIN(($D257+T$5),PERMANENT_FIELD_LABOR_HOURS)*PERMANENT_HOURLY_RATE-MAX(0,($D257+T$5)-PERMANENT_FIELD_LABOR_HOURS)*TEMP_HOURLY_RATE-FIXED_SEASON_COST)</f>
        <v>33208.6816106713</v>
      </c>
      <c r="U257" s="53" t="n">
        <f aca="false">IF(OR($A257&gt;TOMATO_BED_CAP,$B257&gt;CARROT_BED_CAP,U$4&gt;MESCLUN_BED_CAP,$A257+$B257+U$4&gt;TOTAL_BEDS_AVAILABLE,($D257+U$5)&gt;TOTAL_LABOR_HOURS_CAP,MAX(0,($D257+U$5)-PERMANENT_FIELD_LABOR_HOURS)&gt;TEMP_HOURS_CAP),"",$C257+U$6-MIN(($D257+U$5),PERMANENT_FIELD_LABOR_HOURS)*PERMANENT_HOURLY_RATE-MAX(0,($D257+U$5)-PERMANENT_FIELD_LABOR_HOURS)*TEMP_HOURLY_RATE-FIXED_SEASON_COST)</f>
        <v>33924.7903393014</v>
      </c>
      <c r="V257" s="53" t="n">
        <f aca="false">IF(OR($A257&gt;TOMATO_BED_CAP,$B257&gt;CARROT_BED_CAP,V$4&gt;MESCLUN_BED_CAP,$A257+$B257+V$4&gt;TOTAL_BEDS_AVAILABLE,($D257+V$5)&gt;TOTAL_LABOR_HOURS_CAP,MAX(0,($D257+V$5)-PERMANENT_FIELD_LABOR_HOURS)&gt;TEMP_HOURS_CAP),"",$C257+V$6-MIN(($D257+V$5),PERMANENT_FIELD_LABOR_HOURS)*PERMANENT_HOURLY_RATE-MAX(0,($D257+V$5)-PERMANENT_FIELD_LABOR_HOURS)*TEMP_HOURLY_RATE-FIXED_SEASON_COST)</f>
        <v>34615.3352700682</v>
      </c>
      <c r="W257" s="53" t="n">
        <f aca="false">IF(OR($A257&gt;TOMATO_BED_CAP,$B257&gt;CARROT_BED_CAP,W$4&gt;MESCLUN_BED_CAP,$A257+$B257+W$4&gt;TOTAL_BEDS_AVAILABLE,($D257+W$5)&gt;TOTAL_LABOR_HOURS_CAP,MAX(0,($D257+W$5)-PERMANENT_FIELD_LABOR_HOURS)&gt;TEMP_HOURS_CAP),"",$C257+W$6-MIN(($D257+W$5),PERMANENT_FIELD_LABOR_HOURS)*PERMANENT_HOURLY_RATE-MAX(0,($D257+W$5)-PERMANENT_FIELD_LABOR_HOURS)*TEMP_HOURLY_RATE-FIXED_SEASON_COST)</f>
        <v>35279.8497910363</v>
      </c>
      <c r="X257" s="53" t="n">
        <f aca="false">IF(OR($A257&gt;TOMATO_BED_CAP,$B257&gt;CARROT_BED_CAP,X$4&gt;MESCLUN_BED_CAP,$A257+$B257+X$4&gt;TOTAL_BEDS_AVAILABLE,($D257+X$5)&gt;TOTAL_LABOR_HOURS_CAP,MAX(0,($D257+X$5)-PERMANENT_FIELD_LABOR_HOURS)&gt;TEMP_HOURS_CAP),"",$C257+X$6-MIN(($D257+X$5),PERMANENT_FIELD_LABOR_HOURS)*PERMANENT_HOURLY_RATE-MAX(0,($D257+X$5)-PERMANENT_FIELD_LABOR_HOURS)*TEMP_HOURLY_RATE-FIXED_SEASON_COST)</f>
        <v>35917.8596193152</v>
      </c>
      <c r="Y257" s="53" t="n">
        <f aca="false">IF(OR($A257&gt;TOMATO_BED_CAP,$B257&gt;CARROT_BED_CAP,Y$4&gt;MESCLUN_BED_CAP,$A257+$B257+Y$4&gt;TOTAL_BEDS_AVAILABLE,($D257+Y$5)&gt;TOTAL_LABOR_HOURS_CAP,MAX(0,($D257+Y$5)-PERMANENT_FIELD_LABOR_HOURS)&gt;TEMP_HOURS_CAP),"",$C257+Y$6-MIN(($D257+Y$5),PERMANENT_FIELD_LABOR_HOURS)*PERMANENT_HOURLY_RATE-MAX(0,($D257+Y$5)-PERMANENT_FIELD_LABOR_HOURS)*TEMP_HOURLY_RATE-FIXED_SEASON_COST)</f>
        <v>36528.8826821939</v>
      </c>
      <c r="Z257" s="53" t="n">
        <f aca="false">IF(OR($A257&gt;TOMATO_BED_CAP,$B257&gt;CARROT_BED_CAP,Z$4&gt;MESCLUN_BED_CAP,$A257+$B257+Z$4&gt;TOTAL_BEDS_AVAILABLE,($D257+Z$5)&gt;TOTAL_LABOR_HOURS_CAP,MAX(0,($D257+Z$5)-PERMANENT_FIELD_LABOR_HOURS)&gt;TEMP_HOURS_CAP),"",$C257+Z$6-MIN(($D257+Z$5),PERMANENT_FIELD_LABOR_HOURS)*PERMANENT_HOURLY_RATE-MAX(0,($D257+Z$5)-PERMANENT_FIELD_LABOR_HOURS)*TEMP_HOURLY_RATE-FIXED_SEASON_COST)</f>
        <v>37112.4289965016</v>
      </c>
      <c r="AA257" s="53" t="n">
        <f aca="false">IF(OR($A257&gt;TOMATO_BED_CAP,$B257&gt;CARROT_BED_CAP,AA$4&gt;MESCLUN_BED_CAP,$A257+$B257+AA$4&gt;TOTAL_BEDS_AVAILABLE,($D257+AA$5)&gt;TOTAL_LABOR_HOURS_CAP,MAX(0,($D257+AA$5)-PERMANENT_FIELD_LABOR_HOURS)&gt;TEMP_HOURS_CAP),"",$C257+AA$6-MIN(($D257+AA$5),PERMANENT_FIELD_LABOR_HOURS)*PERMANENT_HOURLY_RATE-MAX(0,($D257+AA$5)-PERMANENT_FIELD_LABOR_HOURS)*TEMP_HOURLY_RATE-FIXED_SEASON_COST)</f>
        <v>37668.0005461705</v>
      </c>
      <c r="AB257" s="53" t="n">
        <f aca="false">IF(OR($A257&gt;TOMATO_BED_CAP,$B257&gt;CARROT_BED_CAP,AB$4&gt;MESCLUN_BED_CAP,$A257+$B257+AB$4&gt;TOTAL_BEDS_AVAILABLE,($D257+AB$5)&gt;TOTAL_LABOR_HOURS_CAP,MAX(0,($D257+AB$5)-PERMANENT_FIELD_LABOR_HOURS)&gt;TEMP_HOURS_CAP),"",$C257+AB$6-MIN(($D257+AB$5),PERMANENT_FIELD_LABOR_HOURS)*PERMANENT_HOURLY_RATE-MAX(0,($D257+AB$5)-PERMANENT_FIELD_LABOR_HOURS)*TEMP_HOURLY_RATE-FIXED_SEASON_COST)</f>
        <v>38195.0911579731</v>
      </c>
      <c r="AC257" s="53" t="n">
        <f aca="false">IF(OR($A257&gt;TOMATO_BED_CAP,$B257&gt;CARROT_BED_CAP,AC$4&gt;MESCLUN_BED_CAP,$A257+$B257+AC$4&gt;TOTAL_BEDS_AVAILABLE,($D257+AC$5)&gt;TOTAL_LABOR_HOURS_CAP,MAX(0,($D257+AC$5)-PERMANENT_FIELD_LABOR_HOURS)&gt;TEMP_HOURS_CAP),"",$C257+AC$6-MIN(($D257+AC$5),PERMANENT_FIELD_LABOR_HOURS)*PERMANENT_HOURLY_RATE-MAX(0,($D257+AC$5)-PERMANENT_FIELD_LABOR_HOURS)*TEMP_HOURLY_RATE-FIXED_SEASON_COST)</f>
        <v>38693.186375408</v>
      </c>
      <c r="AD257" s="53" t="n">
        <f aca="false">IF(OR($A257&gt;TOMATO_BED_CAP,$B257&gt;CARROT_BED_CAP,AD$4&gt;MESCLUN_BED_CAP,$A257+$B257+AD$4&gt;TOTAL_BEDS_AVAILABLE,($D257+AD$5)&gt;TOTAL_LABOR_HOURS_CAP,MAX(0,($D257+AD$5)-PERMANENT_FIELD_LABOR_HOURS)&gt;TEMP_HOURS_CAP),"",$C257+AD$6-MIN(($D257+AD$5),PERMANENT_FIELD_LABOR_HOURS)*PERMANENT_HOURLY_RATE-MAX(0,($D257+AD$5)-PERMANENT_FIELD_LABOR_HOURS)*TEMP_HOURLY_RATE-FIXED_SEASON_COST)</f>
        <v>39161.763330708</v>
      </c>
      <c r="AE257" s="53" t="n">
        <f aca="false">IF(OR($A257&gt;TOMATO_BED_CAP,$B257&gt;CARROT_BED_CAP,AE$4&gt;MESCLUN_BED_CAP,$A257+$B257+AE$4&gt;TOTAL_BEDS_AVAILABLE,($D257+AE$5)&gt;TOTAL_LABOR_HOURS_CAP,MAX(0,($D257+AE$5)-PERMANENT_FIELD_LABOR_HOURS)&gt;TEMP_HOURS_CAP),"",$C257+AE$6-MIN(($D257+AE$5),PERMANENT_FIELD_LABOR_HOURS)*PERMANENT_HOURLY_RATE-MAX(0,($D257+AE$5)-PERMANENT_FIELD_LABOR_HOURS)*TEMP_HOURLY_RATE-FIXED_SEASON_COST)</f>
        <v>39600.2906149419</v>
      </c>
      <c r="AF257" s="53" t="n">
        <f aca="false">IF(OR($A257&gt;TOMATO_BED_CAP,$B257&gt;CARROT_BED_CAP,AF$4&gt;MESCLUN_BED_CAP,$A257+$B257+AF$4&gt;TOTAL_BEDS_AVAILABLE,($D257+AF$5)&gt;TOTAL_LABOR_HOURS_CAP,MAX(0,($D257+AF$5)-PERMANENT_FIELD_LABOR_HOURS)&gt;TEMP_HOURS_CAP),"",$C257+AF$6-MIN(($D257+AF$5),PERMANENT_FIELD_LABOR_HOURS)*PERMANENT_HOURLY_RATE-MAX(0,($D257+AF$5)-PERMANENT_FIELD_LABOR_HOURS)*TEMP_HOURLY_RATE-FIXED_SEASON_COST)</f>
        <v>40008.2281461838</v>
      </c>
      <c r="AG257" s="53" t="n">
        <f aca="false">IF(OR($A257&gt;TOMATO_BED_CAP,$B257&gt;CARROT_BED_CAP,AG$4&gt;MESCLUN_BED_CAP,$A257+$B257+AG$4&gt;TOTAL_BEDS_AVAILABLE,($D257+AG$5)&gt;TOTAL_LABOR_HOURS_CAP,MAX(0,($D257+AG$5)-PERMANENT_FIELD_LABOR_HOURS)&gt;TEMP_HOURS_CAP),"",$C257+AG$6-MIN(($D257+AG$5),PERMANENT_FIELD_LABOR_HOURS)*PERMANENT_HOURLY_RATE-MAX(0,($D257+AG$5)-PERMANENT_FIELD_LABOR_HOURS)*TEMP_HOURLY_RATE-FIXED_SEASON_COST)</f>
        <v>40385.0270357208</v>
      </c>
      <c r="AH257" s="53" t="n">
        <f aca="false">IF(OR($A257&gt;TOMATO_BED_CAP,$B257&gt;CARROT_BED_CAP,AH$4&gt;MESCLUN_BED_CAP,$A257+$B257+AH$4&gt;TOTAL_BEDS_AVAILABLE,($D257+AH$5)&gt;TOTAL_LABOR_HOURS_CAP,MAX(0,($D257+AH$5)-PERMANENT_FIELD_LABOR_HOURS)&gt;TEMP_HOURS_CAP),"",$C257+AH$6-MIN(($D257+AH$5),PERMANENT_FIELD_LABOR_HOURS)*PERMANENT_HOURLY_RATE-MAX(0,($D257+AH$5)-PERMANENT_FIELD_LABOR_HOURS)*TEMP_HOURLY_RATE-FIXED_SEASON_COST)</f>
        <v>40730.1294522711</v>
      </c>
      <c r="AI257" s="53" t="n">
        <f aca="false">IF(OR($A257&gt;TOMATO_BED_CAP,$B257&gt;CARROT_BED_CAP,AI$4&gt;MESCLUN_BED_CAP,$A257+$B257+AI$4&gt;TOTAL_BEDS_AVAILABLE,($D257+AI$5)&gt;TOTAL_LABOR_HOURS_CAP,MAX(0,($D257+AI$5)-PERMANENT_FIELD_LABOR_HOURS)&gt;TEMP_HOURS_CAP),"",$C257+AI$6-MIN(($D257+AI$5),PERMANENT_FIELD_LABOR_HOURS)*PERMANENT_HOURLY_RATE-MAX(0,($D257+AI$5)-PERMANENT_FIELD_LABOR_HOURS)*TEMP_HOURLY_RATE-FIXED_SEASON_COST)</f>
        <v>41042.9684841833</v>
      </c>
      <c r="AJ257" s="53" t="n">
        <f aca="false">IF(OR($A257&gt;TOMATO_BED_CAP,$B257&gt;CARROT_BED_CAP,AJ$4&gt;MESCLUN_BED_CAP,$A257+$B257+AJ$4&gt;TOTAL_BEDS_AVAILABLE,($D257+AJ$5)&gt;TOTAL_LABOR_HOURS_CAP,MAX(0,($D257+AJ$5)-PERMANENT_FIELD_LABOR_HOURS)&gt;TEMP_HOURS_CAP),"",$C257+AJ$6-MIN(($D257+AJ$5),PERMANENT_FIELD_LABOR_HOURS)*PERMANENT_HOURLY_RATE-MAX(0,($D257+AJ$5)-PERMANENT_FIELD_LABOR_HOURS)*TEMP_HOURLY_RATE-FIXED_SEASON_COST)</f>
        <v>41322.9679995891</v>
      </c>
    </row>
    <row r="258" customFormat="false" ht="15" hidden="false" customHeight="false" outlineLevel="0" collapsed="false">
      <c r="A258" s="21" t="n">
        <f aca="false">INT((ROW()-ROW($A$8))/(20+1))</f>
        <v>11</v>
      </c>
      <c r="B258" s="21" t="n">
        <f aca="false">MOD(ROW()-ROW($A$8),20+1)</f>
        <v>19</v>
      </c>
      <c r="C258" s="13" t="n">
        <f aca="false">A258*(TOMATO_REVENUE_PER_BED-TOMATO_FERTILIZER_PER_BED)+B258*(CARROT_REVENUE_PER_BED-CARROT_FERTILIZER_PER_BED)</f>
        <v>118546</v>
      </c>
      <c r="D258" s="14" t="n">
        <f aca="false">INDEX(TOMATO_SCHED_LABOR_HRS,A258+1)+INDEX(CARROT_SCHED_LABOR_HRS,B258+1)</f>
        <v>3735.4516526266</v>
      </c>
      <c r="E258" s="13" t="n">
        <f aca="false">IF(COUNT(F258:AJ258)=0,"",MAX(F258:AJ258))</f>
        <v>41779.3486052748</v>
      </c>
      <c r="F258" s="53" t="n">
        <f aca="false">IF(OR($A258&gt;TOMATO_BED_CAP,$B258&gt;CARROT_BED_CAP,F$4&gt;MESCLUN_BED_CAP,$A258+$B258+F$4&gt;TOTAL_BEDS_AVAILABLE,($D258+F$5)&gt;TOTAL_LABOR_HOURS_CAP,MAX(0,($D258+F$5)-PERMANENT_FIELD_LABOR_HOURS)&gt;TEMP_HOURS_CAP),"",$C258+F$6-MIN(($D258+F$5),PERMANENT_FIELD_LABOR_HOURS)*PERMANENT_HOURLY_RATE-MAX(0,($D258+F$5)-PERMANENT_FIELD_LABOR_HOURS)*TEMP_HOURLY_RATE-FIXED_SEASON_COST)</f>
        <v>21199.3593104023</v>
      </c>
      <c r="G258" s="53" t="n">
        <f aca="false">IF(OR($A258&gt;TOMATO_BED_CAP,$B258&gt;CARROT_BED_CAP,G$4&gt;MESCLUN_BED_CAP,$A258+$B258+G$4&gt;TOTAL_BEDS_AVAILABLE,($D258+G$5)&gt;TOTAL_LABOR_HOURS_CAP,MAX(0,($D258+G$5)-PERMANENT_FIELD_LABOR_HOURS)&gt;TEMP_HOURS_CAP),"",$C258+G$6-MIN(($D258+G$5),PERMANENT_FIELD_LABOR_HOURS)*PERMANENT_HOURLY_RATE-MAX(0,($D258+G$5)-PERMANENT_FIELD_LABOR_HOURS)*TEMP_HOURLY_RATE-FIXED_SEASON_COST)</f>
        <v>22228.3943104023</v>
      </c>
      <c r="H258" s="53" t="n">
        <f aca="false">IF(OR($A258&gt;TOMATO_BED_CAP,$B258&gt;CARROT_BED_CAP,H$4&gt;MESCLUN_BED_CAP,$A258+$B258+H$4&gt;TOTAL_BEDS_AVAILABLE,($D258+H$5)&gt;TOTAL_LABOR_HOURS_CAP,MAX(0,($D258+H$5)-PERMANENT_FIELD_LABOR_HOURS)&gt;TEMP_HOURS_CAP),"",$C258+H$6-MIN(($D258+H$5),PERMANENT_FIELD_LABOR_HOURS)*PERMANENT_HOURLY_RATE-MAX(0,($D258+H$5)-PERMANENT_FIELD_LABOR_HOURS)*TEMP_HOURLY_RATE-FIXED_SEASON_COST)</f>
        <v>23237.6551854023</v>
      </c>
      <c r="I258" s="53" t="n">
        <f aca="false">IF(OR($A258&gt;TOMATO_BED_CAP,$B258&gt;CARROT_BED_CAP,I$4&gt;MESCLUN_BED_CAP,$A258+$B258+I$4&gt;TOTAL_BEDS_AVAILABLE,($D258+I$5)&gt;TOTAL_LABOR_HOURS_CAP,MAX(0,($D258+I$5)-PERMANENT_FIELD_LABOR_HOURS)&gt;TEMP_HOURS_CAP),"",$C258+I$6-MIN(($D258+I$5),PERMANENT_FIELD_LABOR_HOURS)*PERMANENT_HOURLY_RATE-MAX(0,($D258+I$5)-PERMANENT_FIELD_LABOR_HOURS)*TEMP_HOURLY_RATE-FIXED_SEASON_COST)</f>
        <v>24226.7711705585</v>
      </c>
      <c r="J258" s="53" t="n">
        <f aca="false">IF(OR($A258&gt;TOMATO_BED_CAP,$B258&gt;CARROT_BED_CAP,J$4&gt;MESCLUN_BED_CAP,$A258+$B258+J$4&gt;TOTAL_BEDS_AVAILABLE,($D258+J$5)&gt;TOTAL_LABOR_HOURS_CAP,MAX(0,($D258+J$5)-PERMANENT_FIELD_LABOR_HOURS)&gt;TEMP_HOURS_CAP),"",$C258+J$6-MIN(($D258+J$5),PERMANENT_FIELD_LABOR_HOURS)*PERMANENT_HOURLY_RATE-MAX(0,($D258+J$5)-PERMANENT_FIELD_LABOR_HOURS)*TEMP_HOURLY_RATE-FIXED_SEASON_COST)</f>
        <v>25195.3653216132</v>
      </c>
      <c r="K258" s="53" t="n">
        <f aca="false">IF(OR($A258&gt;TOMATO_BED_CAP,$B258&gt;CARROT_BED_CAP,K$4&gt;MESCLUN_BED_CAP,$A258+$B258+K$4&gt;TOTAL_BEDS_AVAILABLE,($D258+K$5)&gt;TOTAL_LABOR_HOURS_CAP,MAX(0,($D258+K$5)-PERMANENT_FIELD_LABOR_HOURS)&gt;TEMP_HOURS_CAP),"",$C258+K$6-MIN(($D258+K$5),PERMANENT_FIELD_LABOR_HOURS)*PERMANENT_HOURLY_RATE-MAX(0,($D258+K$5)-PERMANENT_FIELD_LABOR_HOURS)*TEMP_HOURLY_RATE-FIXED_SEASON_COST)</f>
        <v>26143.0544183411</v>
      </c>
      <c r="L258" s="53" t="n">
        <f aca="false">IF(OR($A258&gt;TOMATO_BED_CAP,$B258&gt;CARROT_BED_CAP,L$4&gt;MESCLUN_BED_CAP,$A258+$B258+L$4&gt;TOTAL_BEDS_AVAILABLE,($D258+L$5)&gt;TOTAL_LABOR_HOURS_CAP,MAX(0,($D258+L$5)-PERMANENT_FIELD_LABOR_HOURS)&gt;TEMP_HOURS_CAP),"",$C258+L$6-MIN(($D258+L$5),PERMANENT_FIELD_LABOR_HOURS)*PERMANENT_HOURLY_RATE-MAX(0,($D258+L$5)-PERMANENT_FIELD_LABOR_HOURS)*TEMP_HOURLY_RATE-FIXED_SEASON_COST)</f>
        <v>27069.448866548</v>
      </c>
      <c r="M258" s="53" t="n">
        <f aca="false">IF(OR($A258&gt;TOMATO_BED_CAP,$B258&gt;CARROT_BED_CAP,M$4&gt;MESCLUN_BED_CAP,$A258+$B258+M$4&gt;TOTAL_BEDS_AVAILABLE,($D258+M$5)&gt;TOTAL_LABOR_HOURS_CAP,MAX(0,($D258+M$5)-PERMANENT_FIELD_LABOR_HOURS)&gt;TEMP_HOURS_CAP),"",$C258+M$6-MIN(($D258+M$5),PERMANENT_FIELD_LABOR_HOURS)*PERMANENT_HOURLY_RATE-MAX(0,($D258+M$5)-PERMANENT_FIELD_LABOR_HOURS)*TEMP_HOURLY_RATE-FIXED_SEASON_COST)</f>
        <v>27974.1525985994</v>
      </c>
      <c r="N258" s="53" t="n">
        <f aca="false">IF(OR($A258&gt;TOMATO_BED_CAP,$B258&gt;CARROT_BED_CAP,N$4&gt;MESCLUN_BED_CAP,$A258+$B258+N$4&gt;TOTAL_BEDS_AVAILABLE,($D258+N$5)&gt;TOTAL_LABOR_HOURS_CAP,MAX(0,($D258+N$5)-PERMANENT_FIELD_LABOR_HOURS)&gt;TEMP_HOURS_CAP),"",$C258+N$6-MIN(($D258+N$5),PERMANENT_FIELD_LABOR_HOURS)*PERMANENT_HOURLY_RATE-MAX(0,($D258+N$5)-PERMANENT_FIELD_LABOR_HOURS)*TEMP_HOURLY_RATE-FIXED_SEASON_COST)</f>
        <v>28856.7629724589</v>
      </c>
      <c r="O258" s="53" t="n">
        <f aca="false">IF(OR($A258&gt;TOMATO_BED_CAP,$B258&gt;CARROT_BED_CAP,O$4&gt;MESCLUN_BED_CAP,$A258+$B258+O$4&gt;TOTAL_BEDS_AVAILABLE,($D258+O$5)&gt;TOTAL_LABOR_HOURS_CAP,MAX(0,($D258+O$5)-PERMANENT_FIELD_LABOR_HOURS)&gt;TEMP_HOURS_CAP),"",$C258+O$6-MIN(($D258+O$5),PERMANENT_FIELD_LABOR_HOURS)*PERMANENT_HOURLY_RATE-MAX(0,($D258+O$5)-PERMANENT_FIELD_LABOR_HOURS)*TEMP_HOURLY_RATE-FIXED_SEASON_COST)</f>
        <v>29716.8706692136</v>
      </c>
      <c r="P258" s="53" t="n">
        <f aca="false">IF(OR($A258&gt;TOMATO_BED_CAP,$B258&gt;CARROT_BED_CAP,P$4&gt;MESCLUN_BED_CAP,$A258+$B258+P$4&gt;TOTAL_BEDS_AVAILABLE,($D258+P$5)&gt;TOTAL_LABOR_HOURS_CAP,MAX(0,($D258+P$5)-PERMANENT_FIELD_LABOR_HOURS)&gt;TEMP_HOURS_CAP),"",$C258+P$6-MIN(($D258+P$5),PERMANENT_FIELD_LABOR_HOURS)*PERMANENT_HOURLY_RATE-MAX(0,($D258+P$5)-PERMANENT_FIELD_LABOR_HOURS)*TEMP_HOURLY_RATE-FIXED_SEASON_COST)</f>
        <v>30554.0595890651</v>
      </c>
      <c r="Q258" s="53" t="n">
        <f aca="false">IF(OR($A258&gt;TOMATO_BED_CAP,$B258&gt;CARROT_BED_CAP,Q$4&gt;MESCLUN_BED_CAP,$A258+$B258+Q$4&gt;TOTAL_BEDS_AVAILABLE,($D258+Q$5)&gt;TOTAL_LABOR_HOURS_CAP,MAX(0,($D258+Q$5)-PERMANENT_FIELD_LABOR_HOURS)&gt;TEMP_HOURS_CAP),"",$C258+Q$6-MIN(($D258+Q$5),PERMANENT_FIELD_LABOR_HOURS)*PERMANENT_HOURLY_RATE-MAX(0,($D258+Q$5)-PERMANENT_FIELD_LABOR_HOURS)*TEMP_HOURLY_RATE-FIXED_SEASON_COST)</f>
        <v>31367.906745763</v>
      </c>
      <c r="R258" s="53" t="n">
        <f aca="false">IF(OR($A258&gt;TOMATO_BED_CAP,$B258&gt;CARROT_BED_CAP,R$4&gt;MESCLUN_BED_CAP,$A258+$B258+R$4&gt;TOTAL_BEDS_AVAILABLE,($D258+R$5)&gt;TOTAL_LABOR_HOURS_CAP,MAX(0,($D258+R$5)-PERMANENT_FIELD_LABOR_HOURS)&gt;TEMP_HOURS_CAP),"",$C258+R$6-MIN(($D258+R$5),PERMANENT_FIELD_LABOR_HOURS)*PERMANENT_HOURLY_RATE-MAX(0,($D258+R$5)-PERMANENT_FIELD_LABOR_HOURS)*TEMP_HOURLY_RATE-FIXED_SEASON_COST)</f>
        <v>32157.9821594598</v>
      </c>
      <c r="S258" s="53" t="n">
        <f aca="false">IF(OR($A258&gt;TOMATO_BED_CAP,$B258&gt;CARROT_BED_CAP,S$4&gt;MESCLUN_BED_CAP,$A258+$B258+S$4&gt;TOTAL_BEDS_AVAILABLE,($D258+S$5)&gt;TOTAL_LABOR_HOURS_CAP,MAX(0,($D258+S$5)-PERMANENT_FIELD_LABOR_HOURS)&gt;TEMP_HOURS_CAP),"",$C258+S$6-MIN(($D258+S$5),PERMANENT_FIELD_LABOR_HOURS)*PERMANENT_HOURLY_RATE-MAX(0,($D258+S$5)-PERMANENT_FIELD_LABOR_HOURS)*TEMP_HOURLY_RATE-FIXED_SEASON_COST)</f>
        <v>32923.8487479622</v>
      </c>
      <c r="T258" s="53" t="n">
        <f aca="false">IF(OR($A258&gt;TOMATO_BED_CAP,$B258&gt;CARROT_BED_CAP,T$4&gt;MESCLUN_BED_CAP,$A258+$B258+T$4&gt;TOTAL_BEDS_AVAILABLE,($D258+T$5)&gt;TOTAL_LABOR_HOURS_CAP,MAX(0,($D258+T$5)-PERMANENT_FIELD_LABOR_HOURS)&gt;TEMP_HOURS_CAP),"",$C258+T$6-MIN(($D258+T$5),PERMANENT_FIELD_LABOR_HOURS)*PERMANENT_HOURLY_RATE-MAX(0,($D258+T$5)-PERMANENT_FIELD_LABOR_HOURS)*TEMP_HOURLY_RATE-FIXED_SEASON_COST)</f>
        <v>33665.0622163571</v>
      </c>
      <c r="U258" s="53" t="n">
        <f aca="false">IF(OR($A258&gt;TOMATO_BED_CAP,$B258&gt;CARROT_BED_CAP,U$4&gt;MESCLUN_BED_CAP,$A258+$B258+U$4&gt;TOTAL_BEDS_AVAILABLE,($D258+U$5)&gt;TOTAL_LABOR_HOURS_CAP,MAX(0,($D258+U$5)-PERMANENT_FIELD_LABOR_HOURS)&gt;TEMP_HOURS_CAP),"",$C258+U$6-MIN(($D258+U$5),PERMANENT_FIELD_LABOR_HOURS)*PERMANENT_HOURLY_RATE-MAX(0,($D258+U$5)-PERMANENT_FIELD_LABOR_HOURS)*TEMP_HOURLY_RATE-FIXED_SEASON_COST)</f>
        <v>34381.1709449872</v>
      </c>
      <c r="V258" s="53" t="n">
        <f aca="false">IF(OR($A258&gt;TOMATO_BED_CAP,$B258&gt;CARROT_BED_CAP,V$4&gt;MESCLUN_BED_CAP,$A258+$B258+V$4&gt;TOTAL_BEDS_AVAILABLE,($D258+V$5)&gt;TOTAL_LABOR_HOURS_CAP,MAX(0,($D258+V$5)-PERMANENT_FIELD_LABOR_HOURS)&gt;TEMP_HOURS_CAP),"",$C258+V$6-MIN(($D258+V$5),PERMANENT_FIELD_LABOR_HOURS)*PERMANENT_HOURLY_RATE-MAX(0,($D258+V$5)-PERMANENT_FIELD_LABOR_HOURS)*TEMP_HOURLY_RATE-FIXED_SEASON_COST)</f>
        <v>35071.715875754</v>
      </c>
      <c r="W258" s="53" t="n">
        <f aca="false">IF(OR($A258&gt;TOMATO_BED_CAP,$B258&gt;CARROT_BED_CAP,W$4&gt;MESCLUN_BED_CAP,$A258+$B258+W$4&gt;TOTAL_BEDS_AVAILABLE,($D258+W$5)&gt;TOTAL_LABOR_HOURS_CAP,MAX(0,($D258+W$5)-PERMANENT_FIELD_LABOR_HOURS)&gt;TEMP_HOURS_CAP),"",$C258+W$6-MIN(($D258+W$5),PERMANENT_FIELD_LABOR_HOURS)*PERMANENT_HOURLY_RATE-MAX(0,($D258+W$5)-PERMANENT_FIELD_LABOR_HOURS)*TEMP_HOURLY_RATE-FIXED_SEASON_COST)</f>
        <v>35736.230396722</v>
      </c>
      <c r="X258" s="53" t="n">
        <f aca="false">IF(OR($A258&gt;TOMATO_BED_CAP,$B258&gt;CARROT_BED_CAP,X$4&gt;MESCLUN_BED_CAP,$A258+$B258+X$4&gt;TOTAL_BEDS_AVAILABLE,($D258+X$5)&gt;TOTAL_LABOR_HOURS_CAP,MAX(0,($D258+X$5)-PERMANENT_FIELD_LABOR_HOURS)&gt;TEMP_HOURS_CAP),"",$C258+X$6-MIN(($D258+X$5),PERMANENT_FIELD_LABOR_HOURS)*PERMANENT_HOURLY_RATE-MAX(0,($D258+X$5)-PERMANENT_FIELD_LABOR_HOURS)*TEMP_HOURLY_RATE-FIXED_SEASON_COST)</f>
        <v>36374.240225001</v>
      </c>
      <c r="Y258" s="53" t="n">
        <f aca="false">IF(OR($A258&gt;TOMATO_BED_CAP,$B258&gt;CARROT_BED_CAP,Y$4&gt;MESCLUN_BED_CAP,$A258+$B258+Y$4&gt;TOTAL_BEDS_AVAILABLE,($D258+Y$5)&gt;TOTAL_LABOR_HOURS_CAP,MAX(0,($D258+Y$5)-PERMANENT_FIELD_LABOR_HOURS)&gt;TEMP_HOURS_CAP),"",$C258+Y$6-MIN(($D258+Y$5),PERMANENT_FIELD_LABOR_HOURS)*PERMANENT_HOURLY_RATE-MAX(0,($D258+Y$5)-PERMANENT_FIELD_LABOR_HOURS)*TEMP_HOURLY_RATE-FIXED_SEASON_COST)</f>
        <v>36985.2632878796</v>
      </c>
      <c r="Z258" s="53" t="n">
        <f aca="false">IF(OR($A258&gt;TOMATO_BED_CAP,$B258&gt;CARROT_BED_CAP,Z$4&gt;MESCLUN_BED_CAP,$A258+$B258+Z$4&gt;TOTAL_BEDS_AVAILABLE,($D258+Z$5)&gt;TOTAL_LABOR_HOURS_CAP,MAX(0,($D258+Z$5)-PERMANENT_FIELD_LABOR_HOURS)&gt;TEMP_HOURS_CAP),"",$C258+Z$6-MIN(($D258+Z$5),PERMANENT_FIELD_LABOR_HOURS)*PERMANENT_HOURLY_RATE-MAX(0,($D258+Z$5)-PERMANENT_FIELD_LABOR_HOURS)*TEMP_HOURLY_RATE-FIXED_SEASON_COST)</f>
        <v>37568.8096021873</v>
      </c>
      <c r="AA258" s="53" t="n">
        <f aca="false">IF(OR($A258&gt;TOMATO_BED_CAP,$B258&gt;CARROT_BED_CAP,AA$4&gt;MESCLUN_BED_CAP,$A258+$B258+AA$4&gt;TOTAL_BEDS_AVAILABLE,($D258+AA$5)&gt;TOTAL_LABOR_HOURS_CAP,MAX(0,($D258+AA$5)-PERMANENT_FIELD_LABOR_HOURS)&gt;TEMP_HOURS_CAP),"",$C258+AA$6-MIN(($D258+AA$5),PERMANENT_FIELD_LABOR_HOURS)*PERMANENT_HOURLY_RATE-MAX(0,($D258+AA$5)-PERMANENT_FIELD_LABOR_HOURS)*TEMP_HOURLY_RATE-FIXED_SEASON_COST)</f>
        <v>38124.3811518563</v>
      </c>
      <c r="AB258" s="53" t="n">
        <f aca="false">IF(OR($A258&gt;TOMATO_BED_CAP,$B258&gt;CARROT_BED_CAP,AB$4&gt;MESCLUN_BED_CAP,$A258+$B258+AB$4&gt;TOTAL_BEDS_AVAILABLE,($D258+AB$5)&gt;TOTAL_LABOR_HOURS_CAP,MAX(0,($D258+AB$5)-PERMANENT_FIELD_LABOR_HOURS)&gt;TEMP_HOURS_CAP),"",$C258+AB$6-MIN(($D258+AB$5),PERMANENT_FIELD_LABOR_HOURS)*PERMANENT_HOURLY_RATE-MAX(0,($D258+AB$5)-PERMANENT_FIELD_LABOR_HOURS)*TEMP_HOURLY_RATE-FIXED_SEASON_COST)</f>
        <v>38651.4717636588</v>
      </c>
      <c r="AC258" s="53" t="n">
        <f aca="false">IF(OR($A258&gt;TOMATO_BED_CAP,$B258&gt;CARROT_BED_CAP,AC$4&gt;MESCLUN_BED_CAP,$A258+$B258+AC$4&gt;TOTAL_BEDS_AVAILABLE,($D258+AC$5)&gt;TOTAL_LABOR_HOURS_CAP,MAX(0,($D258+AC$5)-PERMANENT_FIELD_LABOR_HOURS)&gt;TEMP_HOURS_CAP),"",$C258+AC$6-MIN(($D258+AC$5),PERMANENT_FIELD_LABOR_HOURS)*PERMANENT_HOURLY_RATE-MAX(0,($D258+AC$5)-PERMANENT_FIELD_LABOR_HOURS)*TEMP_HOURLY_RATE-FIXED_SEASON_COST)</f>
        <v>39149.5669810937</v>
      </c>
      <c r="AD258" s="53" t="n">
        <f aca="false">IF(OR($A258&gt;TOMATO_BED_CAP,$B258&gt;CARROT_BED_CAP,AD$4&gt;MESCLUN_BED_CAP,$A258+$B258+AD$4&gt;TOTAL_BEDS_AVAILABLE,($D258+AD$5)&gt;TOTAL_LABOR_HOURS_CAP,MAX(0,($D258+AD$5)-PERMANENT_FIELD_LABOR_HOURS)&gt;TEMP_HOURS_CAP),"",$C258+AD$6-MIN(($D258+AD$5),PERMANENT_FIELD_LABOR_HOURS)*PERMANENT_HOURLY_RATE-MAX(0,($D258+AD$5)-PERMANENT_FIELD_LABOR_HOURS)*TEMP_HOURLY_RATE-FIXED_SEASON_COST)</f>
        <v>39618.1439363937</v>
      </c>
      <c r="AE258" s="53" t="n">
        <f aca="false">IF(OR($A258&gt;TOMATO_BED_CAP,$B258&gt;CARROT_BED_CAP,AE$4&gt;MESCLUN_BED_CAP,$A258+$B258+AE$4&gt;TOTAL_BEDS_AVAILABLE,($D258+AE$5)&gt;TOTAL_LABOR_HOURS_CAP,MAX(0,($D258+AE$5)-PERMANENT_FIELD_LABOR_HOURS)&gt;TEMP_HOURS_CAP),"",$C258+AE$6-MIN(($D258+AE$5),PERMANENT_FIELD_LABOR_HOURS)*PERMANENT_HOURLY_RATE-MAX(0,($D258+AE$5)-PERMANENT_FIELD_LABOR_HOURS)*TEMP_HOURLY_RATE-FIXED_SEASON_COST)</f>
        <v>40056.6712206276</v>
      </c>
      <c r="AF258" s="53" t="n">
        <f aca="false">IF(OR($A258&gt;TOMATO_BED_CAP,$B258&gt;CARROT_BED_CAP,AF$4&gt;MESCLUN_BED_CAP,$A258+$B258+AF$4&gt;TOTAL_BEDS_AVAILABLE,($D258+AF$5)&gt;TOTAL_LABOR_HOURS_CAP,MAX(0,($D258+AF$5)-PERMANENT_FIELD_LABOR_HOURS)&gt;TEMP_HOURS_CAP),"",$C258+AF$6-MIN(($D258+AF$5),PERMANENT_FIELD_LABOR_HOURS)*PERMANENT_HOURLY_RATE-MAX(0,($D258+AF$5)-PERMANENT_FIELD_LABOR_HOURS)*TEMP_HOURLY_RATE-FIXED_SEASON_COST)</f>
        <v>40464.6087518695</v>
      </c>
      <c r="AG258" s="53" t="n">
        <f aca="false">IF(OR($A258&gt;TOMATO_BED_CAP,$B258&gt;CARROT_BED_CAP,AG$4&gt;MESCLUN_BED_CAP,$A258+$B258+AG$4&gt;TOTAL_BEDS_AVAILABLE,($D258+AG$5)&gt;TOTAL_LABOR_HOURS_CAP,MAX(0,($D258+AG$5)-PERMANENT_FIELD_LABOR_HOURS)&gt;TEMP_HOURS_CAP),"",$C258+AG$6-MIN(($D258+AG$5),PERMANENT_FIELD_LABOR_HOURS)*PERMANENT_HOURLY_RATE-MAX(0,($D258+AG$5)-PERMANENT_FIELD_LABOR_HOURS)*TEMP_HOURLY_RATE-FIXED_SEASON_COST)</f>
        <v>40841.4076414066</v>
      </c>
      <c r="AH258" s="53" t="n">
        <f aca="false">IF(OR($A258&gt;TOMATO_BED_CAP,$B258&gt;CARROT_BED_CAP,AH$4&gt;MESCLUN_BED_CAP,$A258+$B258+AH$4&gt;TOTAL_BEDS_AVAILABLE,($D258+AH$5)&gt;TOTAL_LABOR_HOURS_CAP,MAX(0,($D258+AH$5)-PERMANENT_FIELD_LABOR_HOURS)&gt;TEMP_HOURS_CAP),"",$C258+AH$6-MIN(($D258+AH$5),PERMANENT_FIELD_LABOR_HOURS)*PERMANENT_HOURLY_RATE-MAX(0,($D258+AH$5)-PERMANENT_FIELD_LABOR_HOURS)*TEMP_HOURLY_RATE-FIXED_SEASON_COST)</f>
        <v>41186.5100579568</v>
      </c>
      <c r="AI258" s="53" t="n">
        <f aca="false">IF(OR($A258&gt;TOMATO_BED_CAP,$B258&gt;CARROT_BED_CAP,AI$4&gt;MESCLUN_BED_CAP,$A258+$B258+AI$4&gt;TOTAL_BEDS_AVAILABLE,($D258+AI$5)&gt;TOTAL_LABOR_HOURS_CAP,MAX(0,($D258+AI$5)-PERMANENT_FIELD_LABOR_HOURS)&gt;TEMP_HOURS_CAP),"",$C258+AI$6-MIN(($D258+AI$5),PERMANENT_FIELD_LABOR_HOURS)*PERMANENT_HOURLY_RATE-MAX(0,($D258+AI$5)-PERMANENT_FIELD_LABOR_HOURS)*TEMP_HOURLY_RATE-FIXED_SEASON_COST)</f>
        <v>41499.349089869</v>
      </c>
      <c r="AJ258" s="53" t="n">
        <f aca="false">IF(OR($A258&gt;TOMATO_BED_CAP,$B258&gt;CARROT_BED_CAP,AJ$4&gt;MESCLUN_BED_CAP,$A258+$B258+AJ$4&gt;TOTAL_BEDS_AVAILABLE,($D258+AJ$5)&gt;TOTAL_LABOR_HOURS_CAP,MAX(0,($D258+AJ$5)-PERMANENT_FIELD_LABOR_HOURS)&gt;TEMP_HOURS_CAP),"",$C258+AJ$6-MIN(($D258+AJ$5),PERMANENT_FIELD_LABOR_HOURS)*PERMANENT_HOURLY_RATE-MAX(0,($D258+AJ$5)-PERMANENT_FIELD_LABOR_HOURS)*TEMP_HOURLY_RATE-FIXED_SEASON_COST)</f>
        <v>41779.3486052748</v>
      </c>
    </row>
    <row r="259" customFormat="false" ht="15" hidden="false" customHeight="false" outlineLevel="0" collapsed="false">
      <c r="A259" s="21" t="n">
        <f aca="false">INT((ROW()-ROW($A$8))/(20+1))</f>
        <v>11</v>
      </c>
      <c r="B259" s="21" t="n">
        <f aca="false">MOD(ROW()-ROW($A$8),20+1)</f>
        <v>20</v>
      </c>
      <c r="C259" s="13" t="n">
        <f aca="false">A259*(TOMATO_REVENUE_PER_BED-TOMATO_FERTILIZER_PER_BED)+B259*(CARROT_REVENUE_PER_BED-CARROT_FERTILIZER_PER_BED)</f>
        <v>120200</v>
      </c>
      <c r="D259" s="14" t="n">
        <f aca="false">INDEX(TOMATO_SCHED_LABOR_HRS,A259+1)+INDEX(CARROT_SCHED_LABOR_HRS,B259+1)</f>
        <v>3807.36213527747</v>
      </c>
      <c r="E259" s="13" t="n">
        <f aca="false">IF(COUNT(F259:AJ259)=0,"",MAX(F259:AJ259))</f>
        <v>42184.9826264557</v>
      </c>
      <c r="F259" s="53" t="n">
        <f aca="false">IF(OR($A259&gt;TOMATO_BED_CAP,$B259&gt;CARROT_BED_CAP,F$4&gt;MESCLUN_BED_CAP,$A259+$B259+F$4&gt;TOTAL_BEDS_AVAILABLE,($D259+F$5)&gt;TOTAL_LABOR_HOURS_CAP,MAX(0,($D259+F$5)-PERMANENT_FIELD_LABOR_HOURS)&gt;TEMP_HOURS_CAP),"",$C259+F$6-MIN(($D259+F$5),PERMANENT_FIELD_LABOR_HOURS)*PERMANENT_HOURLY_RATE-MAX(0,($D259+F$5)-PERMANENT_FIELD_LABOR_HOURS)*TEMP_HOURLY_RATE-FIXED_SEASON_COST)</f>
        <v>21604.9933315831</v>
      </c>
      <c r="G259" s="53" t="n">
        <f aca="false">IF(OR($A259&gt;TOMATO_BED_CAP,$B259&gt;CARROT_BED_CAP,G$4&gt;MESCLUN_BED_CAP,$A259+$B259+G$4&gt;TOTAL_BEDS_AVAILABLE,($D259+G$5)&gt;TOTAL_LABOR_HOURS_CAP,MAX(0,($D259+G$5)-PERMANENT_FIELD_LABOR_HOURS)&gt;TEMP_HOURS_CAP),"",$C259+G$6-MIN(($D259+G$5),PERMANENT_FIELD_LABOR_HOURS)*PERMANENT_HOURLY_RATE-MAX(0,($D259+G$5)-PERMANENT_FIELD_LABOR_HOURS)*TEMP_HOURLY_RATE-FIXED_SEASON_COST)</f>
        <v>22634.0283315831</v>
      </c>
      <c r="H259" s="53" t="n">
        <f aca="false">IF(OR($A259&gt;TOMATO_BED_CAP,$B259&gt;CARROT_BED_CAP,H$4&gt;MESCLUN_BED_CAP,$A259+$B259+H$4&gt;TOTAL_BEDS_AVAILABLE,($D259+H$5)&gt;TOTAL_LABOR_HOURS_CAP,MAX(0,($D259+H$5)-PERMANENT_FIELD_LABOR_HOURS)&gt;TEMP_HOURS_CAP),"",$C259+H$6-MIN(($D259+H$5),PERMANENT_FIELD_LABOR_HOURS)*PERMANENT_HOURLY_RATE-MAX(0,($D259+H$5)-PERMANENT_FIELD_LABOR_HOURS)*TEMP_HOURLY_RATE-FIXED_SEASON_COST)</f>
        <v>23643.2892065831</v>
      </c>
      <c r="I259" s="53" t="n">
        <f aca="false">IF(OR($A259&gt;TOMATO_BED_CAP,$B259&gt;CARROT_BED_CAP,I$4&gt;MESCLUN_BED_CAP,$A259+$B259+I$4&gt;TOTAL_BEDS_AVAILABLE,($D259+I$5)&gt;TOTAL_LABOR_HOURS_CAP,MAX(0,($D259+I$5)-PERMANENT_FIELD_LABOR_HOURS)&gt;TEMP_HOURS_CAP),"",$C259+I$6-MIN(($D259+I$5),PERMANENT_FIELD_LABOR_HOURS)*PERMANENT_HOURLY_RATE-MAX(0,($D259+I$5)-PERMANENT_FIELD_LABOR_HOURS)*TEMP_HOURLY_RATE-FIXED_SEASON_COST)</f>
        <v>24632.4051917394</v>
      </c>
      <c r="J259" s="53" t="n">
        <f aca="false">IF(OR($A259&gt;TOMATO_BED_CAP,$B259&gt;CARROT_BED_CAP,J$4&gt;MESCLUN_BED_CAP,$A259+$B259+J$4&gt;TOTAL_BEDS_AVAILABLE,($D259+J$5)&gt;TOTAL_LABOR_HOURS_CAP,MAX(0,($D259+J$5)-PERMANENT_FIELD_LABOR_HOURS)&gt;TEMP_HOURS_CAP),"",$C259+J$6-MIN(($D259+J$5),PERMANENT_FIELD_LABOR_HOURS)*PERMANENT_HOURLY_RATE-MAX(0,($D259+J$5)-PERMANENT_FIELD_LABOR_HOURS)*TEMP_HOURLY_RATE-FIXED_SEASON_COST)</f>
        <v>25600.9993427941</v>
      </c>
      <c r="K259" s="53" t="n">
        <f aca="false">IF(OR($A259&gt;TOMATO_BED_CAP,$B259&gt;CARROT_BED_CAP,K$4&gt;MESCLUN_BED_CAP,$A259+$B259+K$4&gt;TOTAL_BEDS_AVAILABLE,($D259+K$5)&gt;TOTAL_LABOR_HOURS_CAP,MAX(0,($D259+K$5)-PERMANENT_FIELD_LABOR_HOURS)&gt;TEMP_HOURS_CAP),"",$C259+K$6-MIN(($D259+K$5),PERMANENT_FIELD_LABOR_HOURS)*PERMANENT_HOURLY_RATE-MAX(0,($D259+K$5)-PERMANENT_FIELD_LABOR_HOURS)*TEMP_HOURLY_RATE-FIXED_SEASON_COST)</f>
        <v>26548.688439522</v>
      </c>
      <c r="L259" s="53" t="n">
        <f aca="false">IF(OR($A259&gt;TOMATO_BED_CAP,$B259&gt;CARROT_BED_CAP,L$4&gt;MESCLUN_BED_CAP,$A259+$B259+L$4&gt;TOTAL_BEDS_AVAILABLE,($D259+L$5)&gt;TOTAL_LABOR_HOURS_CAP,MAX(0,($D259+L$5)-PERMANENT_FIELD_LABOR_HOURS)&gt;TEMP_HOURS_CAP),"",$C259+L$6-MIN(($D259+L$5),PERMANENT_FIELD_LABOR_HOURS)*PERMANENT_HOURLY_RATE-MAX(0,($D259+L$5)-PERMANENT_FIELD_LABOR_HOURS)*TEMP_HOURLY_RATE-FIXED_SEASON_COST)</f>
        <v>27475.0828877288</v>
      </c>
      <c r="M259" s="53" t="n">
        <f aca="false">IF(OR($A259&gt;TOMATO_BED_CAP,$B259&gt;CARROT_BED_CAP,M$4&gt;MESCLUN_BED_CAP,$A259+$B259+M$4&gt;TOTAL_BEDS_AVAILABLE,($D259+M$5)&gt;TOTAL_LABOR_HOURS_CAP,MAX(0,($D259+M$5)-PERMANENT_FIELD_LABOR_HOURS)&gt;TEMP_HOURS_CAP),"",$C259+M$6-MIN(($D259+M$5),PERMANENT_FIELD_LABOR_HOURS)*PERMANENT_HOURLY_RATE-MAX(0,($D259+M$5)-PERMANENT_FIELD_LABOR_HOURS)*TEMP_HOURLY_RATE-FIXED_SEASON_COST)</f>
        <v>28379.7866197802</v>
      </c>
      <c r="N259" s="53" t="n">
        <f aca="false">IF(OR($A259&gt;TOMATO_BED_CAP,$B259&gt;CARROT_BED_CAP,N$4&gt;MESCLUN_BED_CAP,$A259+$B259+N$4&gt;TOTAL_BEDS_AVAILABLE,($D259+N$5)&gt;TOTAL_LABOR_HOURS_CAP,MAX(0,($D259+N$5)-PERMANENT_FIELD_LABOR_HOURS)&gt;TEMP_HOURS_CAP),"",$C259+N$6-MIN(($D259+N$5),PERMANENT_FIELD_LABOR_HOURS)*PERMANENT_HOURLY_RATE-MAX(0,($D259+N$5)-PERMANENT_FIELD_LABOR_HOURS)*TEMP_HOURLY_RATE-FIXED_SEASON_COST)</f>
        <v>29262.3969936398</v>
      </c>
      <c r="O259" s="53" t="n">
        <f aca="false">IF(OR($A259&gt;TOMATO_BED_CAP,$B259&gt;CARROT_BED_CAP,O$4&gt;MESCLUN_BED_CAP,$A259+$B259+O$4&gt;TOTAL_BEDS_AVAILABLE,($D259+O$5)&gt;TOTAL_LABOR_HOURS_CAP,MAX(0,($D259+O$5)-PERMANENT_FIELD_LABOR_HOURS)&gt;TEMP_HOURS_CAP),"",$C259+O$6-MIN(($D259+O$5),PERMANENT_FIELD_LABOR_HOURS)*PERMANENT_HOURLY_RATE-MAX(0,($D259+O$5)-PERMANENT_FIELD_LABOR_HOURS)*TEMP_HOURLY_RATE-FIXED_SEASON_COST)</f>
        <v>30122.5046903945</v>
      </c>
      <c r="P259" s="53" t="n">
        <f aca="false">IF(OR($A259&gt;TOMATO_BED_CAP,$B259&gt;CARROT_BED_CAP,P$4&gt;MESCLUN_BED_CAP,$A259+$B259+P$4&gt;TOTAL_BEDS_AVAILABLE,($D259+P$5)&gt;TOTAL_LABOR_HOURS_CAP,MAX(0,($D259+P$5)-PERMANENT_FIELD_LABOR_HOURS)&gt;TEMP_HOURS_CAP),"",$C259+P$6-MIN(($D259+P$5),PERMANENT_FIELD_LABOR_HOURS)*PERMANENT_HOURLY_RATE-MAX(0,($D259+P$5)-PERMANENT_FIELD_LABOR_HOURS)*TEMP_HOURLY_RATE-FIXED_SEASON_COST)</f>
        <v>30959.693610246</v>
      </c>
      <c r="Q259" s="53" t="n">
        <f aca="false">IF(OR($A259&gt;TOMATO_BED_CAP,$B259&gt;CARROT_BED_CAP,Q$4&gt;MESCLUN_BED_CAP,$A259+$B259+Q$4&gt;TOTAL_BEDS_AVAILABLE,($D259+Q$5)&gt;TOTAL_LABOR_HOURS_CAP,MAX(0,($D259+Q$5)-PERMANENT_FIELD_LABOR_HOURS)&gt;TEMP_HOURS_CAP),"",$C259+Q$6-MIN(($D259+Q$5),PERMANENT_FIELD_LABOR_HOURS)*PERMANENT_HOURLY_RATE-MAX(0,($D259+Q$5)-PERMANENT_FIELD_LABOR_HOURS)*TEMP_HOURLY_RATE-FIXED_SEASON_COST)</f>
        <v>31773.5407669439</v>
      </c>
      <c r="R259" s="53" t="n">
        <f aca="false">IF(OR($A259&gt;TOMATO_BED_CAP,$B259&gt;CARROT_BED_CAP,R$4&gt;MESCLUN_BED_CAP,$A259+$B259+R$4&gt;TOTAL_BEDS_AVAILABLE,($D259+R$5)&gt;TOTAL_LABOR_HOURS_CAP,MAX(0,($D259+R$5)-PERMANENT_FIELD_LABOR_HOURS)&gt;TEMP_HOURS_CAP),"",$C259+R$6-MIN(($D259+R$5),PERMANENT_FIELD_LABOR_HOURS)*PERMANENT_HOURLY_RATE-MAX(0,($D259+R$5)-PERMANENT_FIELD_LABOR_HOURS)*TEMP_HOURLY_RATE-FIXED_SEASON_COST)</f>
        <v>32563.6161806407</v>
      </c>
      <c r="S259" s="53" t="n">
        <f aca="false">IF(OR($A259&gt;TOMATO_BED_CAP,$B259&gt;CARROT_BED_CAP,S$4&gt;MESCLUN_BED_CAP,$A259+$B259+S$4&gt;TOTAL_BEDS_AVAILABLE,($D259+S$5)&gt;TOTAL_LABOR_HOURS_CAP,MAX(0,($D259+S$5)-PERMANENT_FIELD_LABOR_HOURS)&gt;TEMP_HOURS_CAP),"",$C259+S$6-MIN(($D259+S$5),PERMANENT_FIELD_LABOR_HOURS)*PERMANENT_HOURLY_RATE-MAX(0,($D259+S$5)-PERMANENT_FIELD_LABOR_HOURS)*TEMP_HOURLY_RATE-FIXED_SEASON_COST)</f>
        <v>33329.4827691431</v>
      </c>
      <c r="T259" s="53" t="n">
        <f aca="false">IF(OR($A259&gt;TOMATO_BED_CAP,$B259&gt;CARROT_BED_CAP,T$4&gt;MESCLUN_BED_CAP,$A259+$B259+T$4&gt;TOTAL_BEDS_AVAILABLE,($D259+T$5)&gt;TOTAL_LABOR_HOURS_CAP,MAX(0,($D259+T$5)-PERMANENT_FIELD_LABOR_HOURS)&gt;TEMP_HOURS_CAP),"",$C259+T$6-MIN(($D259+T$5),PERMANENT_FIELD_LABOR_HOURS)*PERMANENT_HOURLY_RATE-MAX(0,($D259+T$5)-PERMANENT_FIELD_LABOR_HOURS)*TEMP_HOURLY_RATE-FIXED_SEASON_COST)</f>
        <v>34070.696237538</v>
      </c>
      <c r="U259" s="53" t="n">
        <f aca="false">IF(OR($A259&gt;TOMATO_BED_CAP,$B259&gt;CARROT_BED_CAP,U$4&gt;MESCLUN_BED_CAP,$A259+$B259+U$4&gt;TOTAL_BEDS_AVAILABLE,($D259+U$5)&gt;TOTAL_LABOR_HOURS_CAP,MAX(0,($D259+U$5)-PERMANENT_FIELD_LABOR_HOURS)&gt;TEMP_HOURS_CAP),"",$C259+U$6-MIN(($D259+U$5),PERMANENT_FIELD_LABOR_HOURS)*PERMANENT_HOURLY_RATE-MAX(0,($D259+U$5)-PERMANENT_FIELD_LABOR_HOURS)*TEMP_HOURLY_RATE-FIXED_SEASON_COST)</f>
        <v>34786.8049661681</v>
      </c>
      <c r="V259" s="53" t="n">
        <f aca="false">IF(OR($A259&gt;TOMATO_BED_CAP,$B259&gt;CARROT_BED_CAP,V$4&gt;MESCLUN_BED_CAP,$A259+$B259+V$4&gt;TOTAL_BEDS_AVAILABLE,($D259+V$5)&gt;TOTAL_LABOR_HOURS_CAP,MAX(0,($D259+V$5)-PERMANENT_FIELD_LABOR_HOURS)&gt;TEMP_HOURS_CAP),"",$C259+V$6-MIN(($D259+V$5),PERMANENT_FIELD_LABOR_HOURS)*PERMANENT_HOURLY_RATE-MAX(0,($D259+V$5)-PERMANENT_FIELD_LABOR_HOURS)*TEMP_HOURLY_RATE-FIXED_SEASON_COST)</f>
        <v>35477.3498969348</v>
      </c>
      <c r="W259" s="53" t="n">
        <f aca="false">IF(OR($A259&gt;TOMATO_BED_CAP,$B259&gt;CARROT_BED_CAP,W$4&gt;MESCLUN_BED_CAP,$A259+$B259+W$4&gt;TOTAL_BEDS_AVAILABLE,($D259+W$5)&gt;TOTAL_LABOR_HOURS_CAP,MAX(0,($D259+W$5)-PERMANENT_FIELD_LABOR_HOURS)&gt;TEMP_HOURS_CAP),"",$C259+W$6-MIN(($D259+W$5),PERMANENT_FIELD_LABOR_HOURS)*PERMANENT_HOURLY_RATE-MAX(0,($D259+W$5)-PERMANENT_FIELD_LABOR_HOURS)*TEMP_HOURLY_RATE-FIXED_SEASON_COST)</f>
        <v>36141.8644179029</v>
      </c>
      <c r="X259" s="53" t="n">
        <f aca="false">IF(OR($A259&gt;TOMATO_BED_CAP,$B259&gt;CARROT_BED_CAP,X$4&gt;MESCLUN_BED_CAP,$A259+$B259+X$4&gt;TOTAL_BEDS_AVAILABLE,($D259+X$5)&gt;TOTAL_LABOR_HOURS_CAP,MAX(0,($D259+X$5)-PERMANENT_FIELD_LABOR_HOURS)&gt;TEMP_HOURS_CAP),"",$C259+X$6-MIN(($D259+X$5),PERMANENT_FIELD_LABOR_HOURS)*PERMANENT_HOURLY_RATE-MAX(0,($D259+X$5)-PERMANENT_FIELD_LABOR_HOURS)*TEMP_HOURLY_RATE-FIXED_SEASON_COST)</f>
        <v>36779.8742461819</v>
      </c>
      <c r="Y259" s="53" t="n">
        <f aca="false">IF(OR($A259&gt;TOMATO_BED_CAP,$B259&gt;CARROT_BED_CAP,Y$4&gt;MESCLUN_BED_CAP,$A259+$B259+Y$4&gt;TOTAL_BEDS_AVAILABLE,($D259+Y$5)&gt;TOTAL_LABOR_HOURS_CAP,MAX(0,($D259+Y$5)-PERMANENT_FIELD_LABOR_HOURS)&gt;TEMP_HOURS_CAP),"",$C259+Y$6-MIN(($D259+Y$5),PERMANENT_FIELD_LABOR_HOURS)*PERMANENT_HOURLY_RATE-MAX(0,($D259+Y$5)-PERMANENT_FIELD_LABOR_HOURS)*TEMP_HOURLY_RATE-FIXED_SEASON_COST)</f>
        <v>37390.8973090605</v>
      </c>
      <c r="Z259" s="53" t="n">
        <f aca="false">IF(OR($A259&gt;TOMATO_BED_CAP,$B259&gt;CARROT_BED_CAP,Z$4&gt;MESCLUN_BED_CAP,$A259+$B259+Z$4&gt;TOTAL_BEDS_AVAILABLE,($D259+Z$5)&gt;TOTAL_LABOR_HOURS_CAP,MAX(0,($D259+Z$5)-PERMANENT_FIELD_LABOR_HOURS)&gt;TEMP_HOURS_CAP),"",$C259+Z$6-MIN(($D259+Z$5),PERMANENT_FIELD_LABOR_HOURS)*PERMANENT_HOURLY_RATE-MAX(0,($D259+Z$5)-PERMANENT_FIELD_LABOR_HOURS)*TEMP_HOURLY_RATE-FIXED_SEASON_COST)</f>
        <v>37974.4436233682</v>
      </c>
      <c r="AA259" s="53" t="n">
        <f aca="false">IF(OR($A259&gt;TOMATO_BED_CAP,$B259&gt;CARROT_BED_CAP,AA$4&gt;MESCLUN_BED_CAP,$A259+$B259+AA$4&gt;TOTAL_BEDS_AVAILABLE,($D259+AA$5)&gt;TOTAL_LABOR_HOURS_CAP,MAX(0,($D259+AA$5)-PERMANENT_FIELD_LABOR_HOURS)&gt;TEMP_HOURS_CAP),"",$C259+AA$6-MIN(($D259+AA$5),PERMANENT_FIELD_LABOR_HOURS)*PERMANENT_HOURLY_RATE-MAX(0,($D259+AA$5)-PERMANENT_FIELD_LABOR_HOURS)*TEMP_HOURLY_RATE-FIXED_SEASON_COST)</f>
        <v>38530.0151730372</v>
      </c>
      <c r="AB259" s="53" t="n">
        <f aca="false">IF(OR($A259&gt;TOMATO_BED_CAP,$B259&gt;CARROT_BED_CAP,AB$4&gt;MESCLUN_BED_CAP,$A259+$B259+AB$4&gt;TOTAL_BEDS_AVAILABLE,($D259+AB$5)&gt;TOTAL_LABOR_HOURS_CAP,MAX(0,($D259+AB$5)-PERMANENT_FIELD_LABOR_HOURS)&gt;TEMP_HOURS_CAP),"",$C259+AB$6-MIN(($D259+AB$5),PERMANENT_FIELD_LABOR_HOURS)*PERMANENT_HOURLY_RATE-MAX(0,($D259+AB$5)-PERMANENT_FIELD_LABOR_HOURS)*TEMP_HOURLY_RATE-FIXED_SEASON_COST)</f>
        <v>39057.1057848397</v>
      </c>
      <c r="AC259" s="53" t="n">
        <f aca="false">IF(OR($A259&gt;TOMATO_BED_CAP,$B259&gt;CARROT_BED_CAP,AC$4&gt;MESCLUN_BED_CAP,$A259+$B259+AC$4&gt;TOTAL_BEDS_AVAILABLE,($D259+AC$5)&gt;TOTAL_LABOR_HOURS_CAP,MAX(0,($D259+AC$5)-PERMANENT_FIELD_LABOR_HOURS)&gt;TEMP_HOURS_CAP),"",$C259+AC$6-MIN(($D259+AC$5),PERMANENT_FIELD_LABOR_HOURS)*PERMANENT_HOURLY_RATE-MAX(0,($D259+AC$5)-PERMANENT_FIELD_LABOR_HOURS)*TEMP_HOURLY_RATE-FIXED_SEASON_COST)</f>
        <v>39555.2010022746</v>
      </c>
      <c r="AD259" s="53" t="n">
        <f aca="false">IF(OR($A259&gt;TOMATO_BED_CAP,$B259&gt;CARROT_BED_CAP,AD$4&gt;MESCLUN_BED_CAP,$A259+$B259+AD$4&gt;TOTAL_BEDS_AVAILABLE,($D259+AD$5)&gt;TOTAL_LABOR_HOURS_CAP,MAX(0,($D259+AD$5)-PERMANENT_FIELD_LABOR_HOURS)&gt;TEMP_HOURS_CAP),"",$C259+AD$6-MIN(($D259+AD$5),PERMANENT_FIELD_LABOR_HOURS)*PERMANENT_HOURLY_RATE-MAX(0,($D259+AD$5)-PERMANENT_FIELD_LABOR_HOURS)*TEMP_HOURLY_RATE-FIXED_SEASON_COST)</f>
        <v>40023.7779575746</v>
      </c>
      <c r="AE259" s="53" t="n">
        <f aca="false">IF(OR($A259&gt;TOMATO_BED_CAP,$B259&gt;CARROT_BED_CAP,AE$4&gt;MESCLUN_BED_CAP,$A259+$B259+AE$4&gt;TOTAL_BEDS_AVAILABLE,($D259+AE$5)&gt;TOTAL_LABOR_HOURS_CAP,MAX(0,($D259+AE$5)-PERMANENT_FIELD_LABOR_HOURS)&gt;TEMP_HOURS_CAP),"",$C259+AE$6-MIN(($D259+AE$5),PERMANENT_FIELD_LABOR_HOURS)*PERMANENT_HOURLY_RATE-MAX(0,($D259+AE$5)-PERMANENT_FIELD_LABOR_HOURS)*TEMP_HOURLY_RATE-FIXED_SEASON_COST)</f>
        <v>40462.3052418085</v>
      </c>
      <c r="AF259" s="53" t="n">
        <f aca="false">IF(OR($A259&gt;TOMATO_BED_CAP,$B259&gt;CARROT_BED_CAP,AF$4&gt;MESCLUN_BED_CAP,$A259+$B259+AF$4&gt;TOTAL_BEDS_AVAILABLE,($D259+AF$5)&gt;TOTAL_LABOR_HOURS_CAP,MAX(0,($D259+AF$5)-PERMANENT_FIELD_LABOR_HOURS)&gt;TEMP_HOURS_CAP),"",$C259+AF$6-MIN(($D259+AF$5),PERMANENT_FIELD_LABOR_HOURS)*PERMANENT_HOURLY_RATE-MAX(0,($D259+AF$5)-PERMANENT_FIELD_LABOR_HOURS)*TEMP_HOURLY_RATE-FIXED_SEASON_COST)</f>
        <v>40870.2427730504</v>
      </c>
      <c r="AG259" s="53" t="n">
        <f aca="false">IF(OR($A259&gt;TOMATO_BED_CAP,$B259&gt;CARROT_BED_CAP,AG$4&gt;MESCLUN_BED_CAP,$A259+$B259+AG$4&gt;TOTAL_BEDS_AVAILABLE,($D259+AG$5)&gt;TOTAL_LABOR_HOURS_CAP,MAX(0,($D259+AG$5)-PERMANENT_FIELD_LABOR_HOURS)&gt;TEMP_HOURS_CAP),"",$C259+AG$6-MIN(($D259+AG$5),PERMANENT_FIELD_LABOR_HOURS)*PERMANENT_HOURLY_RATE-MAX(0,($D259+AG$5)-PERMANENT_FIELD_LABOR_HOURS)*TEMP_HOURLY_RATE-FIXED_SEASON_COST)</f>
        <v>41247.0416625875</v>
      </c>
      <c r="AH259" s="53" t="n">
        <f aca="false">IF(OR($A259&gt;TOMATO_BED_CAP,$B259&gt;CARROT_BED_CAP,AH$4&gt;MESCLUN_BED_CAP,$A259+$B259+AH$4&gt;TOTAL_BEDS_AVAILABLE,($D259+AH$5)&gt;TOTAL_LABOR_HOURS_CAP,MAX(0,($D259+AH$5)-PERMANENT_FIELD_LABOR_HOURS)&gt;TEMP_HOURS_CAP),"",$C259+AH$6-MIN(($D259+AH$5),PERMANENT_FIELD_LABOR_HOURS)*PERMANENT_HOURLY_RATE-MAX(0,($D259+AH$5)-PERMANENT_FIELD_LABOR_HOURS)*TEMP_HOURLY_RATE-FIXED_SEASON_COST)</f>
        <v>41592.1440791377</v>
      </c>
      <c r="AI259" s="53" t="n">
        <f aca="false">IF(OR($A259&gt;TOMATO_BED_CAP,$B259&gt;CARROT_BED_CAP,AI$4&gt;MESCLUN_BED_CAP,$A259+$B259+AI$4&gt;TOTAL_BEDS_AVAILABLE,($D259+AI$5)&gt;TOTAL_LABOR_HOURS_CAP,MAX(0,($D259+AI$5)-PERMANENT_FIELD_LABOR_HOURS)&gt;TEMP_HOURS_CAP),"",$C259+AI$6-MIN(($D259+AI$5),PERMANENT_FIELD_LABOR_HOURS)*PERMANENT_HOURLY_RATE-MAX(0,($D259+AI$5)-PERMANENT_FIELD_LABOR_HOURS)*TEMP_HOURLY_RATE-FIXED_SEASON_COST)</f>
        <v>41904.9831110499</v>
      </c>
      <c r="AJ259" s="53" t="n">
        <f aca="false">IF(OR($A259&gt;TOMATO_BED_CAP,$B259&gt;CARROT_BED_CAP,AJ$4&gt;MESCLUN_BED_CAP,$A259+$B259+AJ$4&gt;TOTAL_BEDS_AVAILABLE,($D259+AJ$5)&gt;TOTAL_LABOR_HOURS_CAP,MAX(0,($D259+AJ$5)-PERMANENT_FIELD_LABOR_HOURS)&gt;TEMP_HOURS_CAP),"",$C259+AJ$6-MIN(($D259+AJ$5),PERMANENT_FIELD_LABOR_HOURS)*PERMANENT_HOURLY_RATE-MAX(0,($D259+AJ$5)-PERMANENT_FIELD_LABOR_HOURS)*TEMP_HOURLY_RATE-FIXED_SEASON_COST)</f>
        <v>42184.9826264557</v>
      </c>
    </row>
    <row r="260" customFormat="false" ht="15" hidden="false" customHeight="false" outlineLevel="0" collapsed="false">
      <c r="A260" s="21" t="n">
        <f aca="false">INT((ROW()-ROW($A$8))/(20+1))</f>
        <v>12</v>
      </c>
      <c r="B260" s="21" t="n">
        <f aca="false">MOD(ROW()-ROW($A$8),20+1)</f>
        <v>0</v>
      </c>
      <c r="C260" s="13" t="n">
        <f aca="false">A260*(TOMATO_REVENUE_PER_BED-TOMATO_FERTILIZER_PER_BED)+B260*(CARROT_REVENUE_PER_BED-CARROT_FERTILIZER_PER_BED)</f>
        <v>95040</v>
      </c>
      <c r="D260" s="14" t="n">
        <f aca="false">INDEX(TOMATO_SCHED_LABOR_HRS,A260+1)+INDEX(CARROT_SCHED_LABOR_HRS,B260+1)</f>
        <v>3389.50264685868</v>
      </c>
      <c r="E260" s="13" t="n">
        <f aca="false">IF(COUNT(F260:AJ260)=0,"",MAX(F260:AJ260))</f>
        <v>24279.0233454058</v>
      </c>
      <c r="F260" s="53" t="n">
        <f aca="false">IF(OR($A260&gt;TOMATO_BED_CAP,$B260&gt;CARROT_BED_CAP,F$4&gt;MESCLUN_BED_CAP,$A260+$B260+F$4&gt;TOTAL_BEDS_AVAILABLE,($D260+F$5)&gt;TOTAL_LABOR_HOURS_CAP,MAX(0,($D260+F$5)-PERMANENT_FIELD_LABOR_HOURS)&gt;TEMP_HOURS_CAP),"",$C260+F$6-MIN(($D260+F$5),PERMANENT_FIELD_LABOR_HOURS)*PERMANENT_HOURLY_RATE-MAX(0,($D260+F$5)-PERMANENT_FIELD_LABOR_HOURS)*TEMP_HOURLY_RATE-FIXED_SEASON_COST)</f>
        <v>3699.03405053326</v>
      </c>
      <c r="G260" s="53" t="n">
        <f aca="false">IF(OR($A260&gt;TOMATO_BED_CAP,$B260&gt;CARROT_BED_CAP,G$4&gt;MESCLUN_BED_CAP,$A260+$B260+G$4&gt;TOTAL_BEDS_AVAILABLE,($D260+G$5)&gt;TOTAL_LABOR_HOURS_CAP,MAX(0,($D260+G$5)-PERMANENT_FIELD_LABOR_HOURS)&gt;TEMP_HOURS_CAP),"",$C260+G$6-MIN(($D260+G$5),PERMANENT_FIELD_LABOR_HOURS)*PERMANENT_HOURLY_RATE-MAX(0,($D260+G$5)-PERMANENT_FIELD_LABOR_HOURS)*TEMP_HOURLY_RATE-FIXED_SEASON_COST)</f>
        <v>4728.06905053326</v>
      </c>
      <c r="H260" s="53" t="n">
        <f aca="false">IF(OR($A260&gt;TOMATO_BED_CAP,$B260&gt;CARROT_BED_CAP,H$4&gt;MESCLUN_BED_CAP,$A260+$B260+H$4&gt;TOTAL_BEDS_AVAILABLE,($D260+H$5)&gt;TOTAL_LABOR_HOURS_CAP,MAX(0,($D260+H$5)-PERMANENT_FIELD_LABOR_HOURS)&gt;TEMP_HOURS_CAP),"",$C260+H$6-MIN(($D260+H$5),PERMANENT_FIELD_LABOR_HOURS)*PERMANENT_HOURLY_RATE-MAX(0,($D260+H$5)-PERMANENT_FIELD_LABOR_HOURS)*TEMP_HOURLY_RATE-FIXED_SEASON_COST)</f>
        <v>5737.32992553327</v>
      </c>
      <c r="I260" s="53" t="n">
        <f aca="false">IF(OR($A260&gt;TOMATO_BED_CAP,$B260&gt;CARROT_BED_CAP,I$4&gt;MESCLUN_BED_CAP,$A260+$B260+I$4&gt;TOTAL_BEDS_AVAILABLE,($D260+I$5)&gt;TOTAL_LABOR_HOURS_CAP,MAX(0,($D260+I$5)-PERMANENT_FIELD_LABOR_HOURS)&gt;TEMP_HOURS_CAP),"",$C260+I$6-MIN(($D260+I$5),PERMANENT_FIELD_LABOR_HOURS)*PERMANENT_HOURLY_RATE-MAX(0,($D260+I$5)-PERMANENT_FIELD_LABOR_HOURS)*TEMP_HOURLY_RATE-FIXED_SEASON_COST)</f>
        <v>6726.44591068952</v>
      </c>
      <c r="J260" s="53" t="n">
        <f aca="false">IF(OR($A260&gt;TOMATO_BED_CAP,$B260&gt;CARROT_BED_CAP,J$4&gt;MESCLUN_BED_CAP,$A260+$B260+J$4&gt;TOTAL_BEDS_AVAILABLE,($D260+J$5)&gt;TOTAL_LABOR_HOURS_CAP,MAX(0,($D260+J$5)-PERMANENT_FIELD_LABOR_HOURS)&gt;TEMP_HOURS_CAP),"",$C260+J$6-MIN(($D260+J$5),PERMANENT_FIELD_LABOR_HOURS)*PERMANENT_HOURLY_RATE-MAX(0,($D260+J$5)-PERMANENT_FIELD_LABOR_HOURS)*TEMP_HOURLY_RATE-FIXED_SEASON_COST)</f>
        <v>7695.0400617442</v>
      </c>
      <c r="K260" s="53" t="n">
        <f aca="false">IF(OR($A260&gt;TOMATO_BED_CAP,$B260&gt;CARROT_BED_CAP,K$4&gt;MESCLUN_BED_CAP,$A260+$B260+K$4&gt;TOTAL_BEDS_AVAILABLE,($D260+K$5)&gt;TOTAL_LABOR_HOURS_CAP,MAX(0,($D260+K$5)-PERMANENT_FIELD_LABOR_HOURS)&gt;TEMP_HOURS_CAP),"",$C260+K$6-MIN(($D260+K$5),PERMANENT_FIELD_LABOR_HOURS)*PERMANENT_HOURLY_RATE-MAX(0,($D260+K$5)-PERMANENT_FIELD_LABOR_HOURS)*TEMP_HOURLY_RATE-FIXED_SEASON_COST)</f>
        <v>8642.72915847211</v>
      </c>
      <c r="L260" s="53" t="n">
        <f aca="false">IF(OR($A260&gt;TOMATO_BED_CAP,$B260&gt;CARROT_BED_CAP,L$4&gt;MESCLUN_BED_CAP,$A260+$B260+L$4&gt;TOTAL_BEDS_AVAILABLE,($D260+L$5)&gt;TOTAL_LABOR_HOURS_CAP,MAX(0,($D260+L$5)-PERMANENT_FIELD_LABOR_HOURS)&gt;TEMP_HOURS_CAP),"",$C260+L$6-MIN(($D260+L$5),PERMANENT_FIELD_LABOR_HOURS)*PERMANENT_HOURLY_RATE-MAX(0,($D260+L$5)-PERMANENT_FIELD_LABOR_HOURS)*TEMP_HOURLY_RATE-FIXED_SEASON_COST)</f>
        <v>9569.12360667896</v>
      </c>
      <c r="M260" s="53" t="n">
        <f aca="false">IF(OR($A260&gt;TOMATO_BED_CAP,$B260&gt;CARROT_BED_CAP,M$4&gt;MESCLUN_BED_CAP,$A260+$B260+M$4&gt;TOTAL_BEDS_AVAILABLE,($D260+M$5)&gt;TOTAL_LABOR_HOURS_CAP,MAX(0,($D260+M$5)-PERMANENT_FIELD_LABOR_HOURS)&gt;TEMP_HOURS_CAP),"",$C260+M$6-MIN(($D260+M$5),PERMANENT_FIELD_LABOR_HOURS)*PERMANENT_HOURLY_RATE-MAX(0,($D260+M$5)-PERMANENT_FIELD_LABOR_HOURS)*TEMP_HOURLY_RATE-FIXED_SEASON_COST)</f>
        <v>10473.8273387304</v>
      </c>
      <c r="N260" s="53" t="n">
        <f aca="false">IF(OR($A260&gt;TOMATO_BED_CAP,$B260&gt;CARROT_BED_CAP,N$4&gt;MESCLUN_BED_CAP,$A260+$B260+N$4&gt;TOTAL_BEDS_AVAILABLE,($D260+N$5)&gt;TOTAL_LABOR_HOURS_CAP,MAX(0,($D260+N$5)-PERMANENT_FIELD_LABOR_HOURS)&gt;TEMP_HOURS_CAP),"",$C260+N$6-MIN(($D260+N$5),PERMANENT_FIELD_LABOR_HOURS)*PERMANENT_HOURLY_RATE-MAX(0,($D260+N$5)-PERMANENT_FIELD_LABOR_HOURS)*TEMP_HOURLY_RATE-FIXED_SEASON_COST)</f>
        <v>11356.4377125899</v>
      </c>
      <c r="O260" s="53" t="n">
        <f aca="false">IF(OR($A260&gt;TOMATO_BED_CAP,$B260&gt;CARROT_BED_CAP,O$4&gt;MESCLUN_BED_CAP,$A260+$B260+O$4&gt;TOTAL_BEDS_AVAILABLE,($D260+O$5)&gt;TOTAL_LABOR_HOURS_CAP,MAX(0,($D260+O$5)-PERMANENT_FIELD_LABOR_HOURS)&gt;TEMP_HOURS_CAP),"",$C260+O$6-MIN(($D260+O$5),PERMANENT_FIELD_LABOR_HOURS)*PERMANENT_HOURLY_RATE-MAX(0,($D260+O$5)-PERMANENT_FIELD_LABOR_HOURS)*TEMP_HOURLY_RATE-FIXED_SEASON_COST)</f>
        <v>12216.5454093447</v>
      </c>
      <c r="P260" s="53" t="n">
        <f aca="false">IF(OR($A260&gt;TOMATO_BED_CAP,$B260&gt;CARROT_BED_CAP,P$4&gt;MESCLUN_BED_CAP,$A260+$B260+P$4&gt;TOTAL_BEDS_AVAILABLE,($D260+P$5)&gt;TOTAL_LABOR_HOURS_CAP,MAX(0,($D260+P$5)-PERMANENT_FIELD_LABOR_HOURS)&gt;TEMP_HOURS_CAP),"",$C260+P$6-MIN(($D260+P$5),PERMANENT_FIELD_LABOR_HOURS)*PERMANENT_HOURLY_RATE-MAX(0,($D260+P$5)-PERMANENT_FIELD_LABOR_HOURS)*TEMP_HOURLY_RATE-FIXED_SEASON_COST)</f>
        <v>13053.7343291961</v>
      </c>
      <c r="Q260" s="53" t="n">
        <f aca="false">IF(OR($A260&gt;TOMATO_BED_CAP,$B260&gt;CARROT_BED_CAP,Q$4&gt;MESCLUN_BED_CAP,$A260+$B260+Q$4&gt;TOTAL_BEDS_AVAILABLE,($D260+Q$5)&gt;TOTAL_LABOR_HOURS_CAP,MAX(0,($D260+Q$5)-PERMANENT_FIELD_LABOR_HOURS)&gt;TEMP_HOURS_CAP),"",$C260+Q$6-MIN(($D260+Q$5),PERMANENT_FIELD_LABOR_HOURS)*PERMANENT_HOURLY_RATE-MAX(0,($D260+Q$5)-PERMANENT_FIELD_LABOR_HOURS)*TEMP_HOURLY_RATE-FIXED_SEASON_COST)</f>
        <v>13867.581485894</v>
      </c>
      <c r="R260" s="53" t="n">
        <f aca="false">IF(OR($A260&gt;TOMATO_BED_CAP,$B260&gt;CARROT_BED_CAP,R$4&gt;MESCLUN_BED_CAP,$A260+$B260+R$4&gt;TOTAL_BEDS_AVAILABLE,($D260+R$5)&gt;TOTAL_LABOR_HOURS_CAP,MAX(0,($D260+R$5)-PERMANENT_FIELD_LABOR_HOURS)&gt;TEMP_HOURS_CAP),"",$C260+R$6-MIN(($D260+R$5),PERMANENT_FIELD_LABOR_HOURS)*PERMANENT_HOURLY_RATE-MAX(0,($D260+R$5)-PERMANENT_FIELD_LABOR_HOURS)*TEMP_HOURLY_RATE-FIXED_SEASON_COST)</f>
        <v>14657.6568995908</v>
      </c>
      <c r="S260" s="53" t="n">
        <f aca="false">IF(OR($A260&gt;TOMATO_BED_CAP,$B260&gt;CARROT_BED_CAP,S$4&gt;MESCLUN_BED_CAP,$A260+$B260+S$4&gt;TOTAL_BEDS_AVAILABLE,($D260+S$5)&gt;TOTAL_LABOR_HOURS_CAP,MAX(0,($D260+S$5)-PERMANENT_FIELD_LABOR_HOURS)&gt;TEMP_HOURS_CAP),"",$C260+S$6-MIN(($D260+S$5),PERMANENT_FIELD_LABOR_HOURS)*PERMANENT_HOURLY_RATE-MAX(0,($D260+S$5)-PERMANENT_FIELD_LABOR_HOURS)*TEMP_HOURLY_RATE-FIXED_SEASON_COST)</f>
        <v>15423.5234880932</v>
      </c>
      <c r="T260" s="53" t="n">
        <f aca="false">IF(OR($A260&gt;TOMATO_BED_CAP,$B260&gt;CARROT_BED_CAP,T$4&gt;MESCLUN_BED_CAP,$A260+$B260+T$4&gt;TOTAL_BEDS_AVAILABLE,($D260+T$5)&gt;TOTAL_LABOR_HOURS_CAP,MAX(0,($D260+T$5)-PERMANENT_FIELD_LABOR_HOURS)&gt;TEMP_HOURS_CAP),"",$C260+T$6-MIN(($D260+T$5),PERMANENT_FIELD_LABOR_HOURS)*PERMANENT_HOURLY_RATE-MAX(0,($D260+T$5)-PERMANENT_FIELD_LABOR_HOURS)*TEMP_HOURLY_RATE-FIXED_SEASON_COST)</f>
        <v>16164.7369564881</v>
      </c>
      <c r="U260" s="53" t="n">
        <f aca="false">IF(OR($A260&gt;TOMATO_BED_CAP,$B260&gt;CARROT_BED_CAP,U$4&gt;MESCLUN_BED_CAP,$A260+$B260+U$4&gt;TOTAL_BEDS_AVAILABLE,($D260+U$5)&gt;TOTAL_LABOR_HOURS_CAP,MAX(0,($D260+U$5)-PERMANENT_FIELD_LABOR_HOURS)&gt;TEMP_HOURS_CAP),"",$C260+U$6-MIN(($D260+U$5),PERMANENT_FIELD_LABOR_HOURS)*PERMANENT_HOURLY_RATE-MAX(0,($D260+U$5)-PERMANENT_FIELD_LABOR_HOURS)*TEMP_HOURLY_RATE-FIXED_SEASON_COST)</f>
        <v>16880.8456851182</v>
      </c>
      <c r="V260" s="53" t="n">
        <f aca="false">IF(OR($A260&gt;TOMATO_BED_CAP,$B260&gt;CARROT_BED_CAP,V$4&gt;MESCLUN_BED_CAP,$A260+$B260+V$4&gt;TOTAL_BEDS_AVAILABLE,($D260+V$5)&gt;TOTAL_LABOR_HOURS_CAP,MAX(0,($D260+V$5)-PERMANENT_FIELD_LABOR_HOURS)&gt;TEMP_HOURS_CAP),"",$C260+V$6-MIN(($D260+V$5),PERMANENT_FIELD_LABOR_HOURS)*PERMANENT_HOURLY_RATE-MAX(0,($D260+V$5)-PERMANENT_FIELD_LABOR_HOURS)*TEMP_HOURLY_RATE-FIXED_SEASON_COST)</f>
        <v>17571.390615885</v>
      </c>
      <c r="W260" s="53" t="n">
        <f aca="false">IF(OR($A260&gt;TOMATO_BED_CAP,$B260&gt;CARROT_BED_CAP,W$4&gt;MESCLUN_BED_CAP,$A260+$B260+W$4&gt;TOTAL_BEDS_AVAILABLE,($D260+W$5)&gt;TOTAL_LABOR_HOURS_CAP,MAX(0,($D260+W$5)-PERMANENT_FIELD_LABOR_HOURS)&gt;TEMP_HOURS_CAP),"",$C260+W$6-MIN(($D260+W$5),PERMANENT_FIELD_LABOR_HOURS)*PERMANENT_HOURLY_RATE-MAX(0,($D260+W$5)-PERMANENT_FIELD_LABOR_HOURS)*TEMP_HOURLY_RATE-FIXED_SEASON_COST)</f>
        <v>18235.905136853</v>
      </c>
      <c r="X260" s="53" t="n">
        <f aca="false">IF(OR($A260&gt;TOMATO_BED_CAP,$B260&gt;CARROT_BED_CAP,X$4&gt;MESCLUN_BED_CAP,$A260+$B260+X$4&gt;TOTAL_BEDS_AVAILABLE,($D260+X$5)&gt;TOTAL_LABOR_HOURS_CAP,MAX(0,($D260+X$5)-PERMANENT_FIELD_LABOR_HOURS)&gt;TEMP_HOURS_CAP),"",$C260+X$6-MIN(($D260+X$5),PERMANENT_FIELD_LABOR_HOURS)*PERMANENT_HOURLY_RATE-MAX(0,($D260+X$5)-PERMANENT_FIELD_LABOR_HOURS)*TEMP_HOURLY_RATE-FIXED_SEASON_COST)</f>
        <v>18873.914965132</v>
      </c>
      <c r="Y260" s="53" t="n">
        <f aca="false">IF(OR($A260&gt;TOMATO_BED_CAP,$B260&gt;CARROT_BED_CAP,Y$4&gt;MESCLUN_BED_CAP,$A260+$B260+Y$4&gt;TOTAL_BEDS_AVAILABLE,($D260+Y$5)&gt;TOTAL_LABOR_HOURS_CAP,MAX(0,($D260+Y$5)-PERMANENT_FIELD_LABOR_HOURS)&gt;TEMP_HOURS_CAP),"",$C260+Y$6-MIN(($D260+Y$5),PERMANENT_FIELD_LABOR_HOURS)*PERMANENT_HOURLY_RATE-MAX(0,($D260+Y$5)-PERMANENT_FIELD_LABOR_HOURS)*TEMP_HOURLY_RATE-FIXED_SEASON_COST)</f>
        <v>19484.9380280106</v>
      </c>
      <c r="Z260" s="53" t="n">
        <f aca="false">IF(OR($A260&gt;TOMATO_BED_CAP,$B260&gt;CARROT_BED_CAP,Z$4&gt;MESCLUN_BED_CAP,$A260+$B260+Z$4&gt;TOTAL_BEDS_AVAILABLE,($D260+Z$5)&gt;TOTAL_LABOR_HOURS_CAP,MAX(0,($D260+Z$5)-PERMANENT_FIELD_LABOR_HOURS)&gt;TEMP_HOURS_CAP),"",$C260+Z$6-MIN(($D260+Z$5),PERMANENT_FIELD_LABOR_HOURS)*PERMANENT_HOURLY_RATE-MAX(0,($D260+Z$5)-PERMANENT_FIELD_LABOR_HOURS)*TEMP_HOURLY_RATE-FIXED_SEASON_COST)</f>
        <v>20068.4843423183</v>
      </c>
      <c r="AA260" s="53" t="n">
        <f aca="false">IF(OR($A260&gt;TOMATO_BED_CAP,$B260&gt;CARROT_BED_CAP,AA$4&gt;MESCLUN_BED_CAP,$A260+$B260+AA$4&gt;TOTAL_BEDS_AVAILABLE,($D260+AA$5)&gt;TOTAL_LABOR_HOURS_CAP,MAX(0,($D260+AA$5)-PERMANENT_FIELD_LABOR_HOURS)&gt;TEMP_HOURS_CAP),"",$C260+AA$6-MIN(($D260+AA$5),PERMANENT_FIELD_LABOR_HOURS)*PERMANENT_HOURLY_RATE-MAX(0,($D260+AA$5)-PERMANENT_FIELD_LABOR_HOURS)*TEMP_HOURLY_RATE-FIXED_SEASON_COST)</f>
        <v>20624.0558919873</v>
      </c>
      <c r="AB260" s="53" t="n">
        <f aca="false">IF(OR($A260&gt;TOMATO_BED_CAP,$B260&gt;CARROT_BED_CAP,AB$4&gt;MESCLUN_BED_CAP,$A260+$B260+AB$4&gt;TOTAL_BEDS_AVAILABLE,($D260+AB$5)&gt;TOTAL_LABOR_HOURS_CAP,MAX(0,($D260+AB$5)-PERMANENT_FIELD_LABOR_HOURS)&gt;TEMP_HOURS_CAP),"",$C260+AB$6-MIN(($D260+AB$5),PERMANENT_FIELD_LABOR_HOURS)*PERMANENT_HOURLY_RATE-MAX(0,($D260+AB$5)-PERMANENT_FIELD_LABOR_HOURS)*TEMP_HOURLY_RATE-FIXED_SEASON_COST)</f>
        <v>21151.1465037898</v>
      </c>
      <c r="AC260" s="53" t="n">
        <f aca="false">IF(OR($A260&gt;TOMATO_BED_CAP,$B260&gt;CARROT_BED_CAP,AC$4&gt;MESCLUN_BED_CAP,$A260+$B260+AC$4&gt;TOTAL_BEDS_AVAILABLE,($D260+AC$5)&gt;TOTAL_LABOR_HOURS_CAP,MAX(0,($D260+AC$5)-PERMANENT_FIELD_LABOR_HOURS)&gt;TEMP_HOURS_CAP),"",$C260+AC$6-MIN(($D260+AC$5),PERMANENT_FIELD_LABOR_HOURS)*PERMANENT_HOURLY_RATE-MAX(0,($D260+AC$5)-PERMANENT_FIELD_LABOR_HOURS)*TEMP_HOURLY_RATE-FIXED_SEASON_COST)</f>
        <v>21649.2417212248</v>
      </c>
      <c r="AD260" s="53" t="n">
        <f aca="false">IF(OR($A260&gt;TOMATO_BED_CAP,$B260&gt;CARROT_BED_CAP,AD$4&gt;MESCLUN_BED_CAP,$A260+$B260+AD$4&gt;TOTAL_BEDS_AVAILABLE,($D260+AD$5)&gt;TOTAL_LABOR_HOURS_CAP,MAX(0,($D260+AD$5)-PERMANENT_FIELD_LABOR_HOURS)&gt;TEMP_HOURS_CAP),"",$C260+AD$6-MIN(($D260+AD$5),PERMANENT_FIELD_LABOR_HOURS)*PERMANENT_HOURLY_RATE-MAX(0,($D260+AD$5)-PERMANENT_FIELD_LABOR_HOURS)*TEMP_HOURLY_RATE-FIXED_SEASON_COST)</f>
        <v>22117.8186765247</v>
      </c>
      <c r="AE260" s="53" t="n">
        <f aca="false">IF(OR($A260&gt;TOMATO_BED_CAP,$B260&gt;CARROT_BED_CAP,AE$4&gt;MESCLUN_BED_CAP,$A260+$B260+AE$4&gt;TOTAL_BEDS_AVAILABLE,($D260+AE$5)&gt;TOTAL_LABOR_HOURS_CAP,MAX(0,($D260+AE$5)-PERMANENT_FIELD_LABOR_HOURS)&gt;TEMP_HOURS_CAP),"",$C260+AE$6-MIN(($D260+AE$5),PERMANENT_FIELD_LABOR_HOURS)*PERMANENT_HOURLY_RATE-MAX(0,($D260+AE$5)-PERMANENT_FIELD_LABOR_HOURS)*TEMP_HOURLY_RATE-FIXED_SEASON_COST)</f>
        <v>22556.3459607586</v>
      </c>
      <c r="AF260" s="53" t="n">
        <f aca="false">IF(OR($A260&gt;TOMATO_BED_CAP,$B260&gt;CARROT_BED_CAP,AF$4&gt;MESCLUN_BED_CAP,$A260+$B260+AF$4&gt;TOTAL_BEDS_AVAILABLE,($D260+AF$5)&gt;TOTAL_LABOR_HOURS_CAP,MAX(0,($D260+AF$5)-PERMANENT_FIELD_LABOR_HOURS)&gt;TEMP_HOURS_CAP),"",$C260+AF$6-MIN(($D260+AF$5),PERMANENT_FIELD_LABOR_HOURS)*PERMANENT_HOURLY_RATE-MAX(0,($D260+AF$5)-PERMANENT_FIELD_LABOR_HOURS)*TEMP_HOURLY_RATE-FIXED_SEASON_COST)</f>
        <v>22964.2834920006</v>
      </c>
      <c r="AG260" s="53" t="n">
        <f aca="false">IF(OR($A260&gt;TOMATO_BED_CAP,$B260&gt;CARROT_BED_CAP,AG$4&gt;MESCLUN_BED_CAP,$A260+$B260+AG$4&gt;TOTAL_BEDS_AVAILABLE,($D260+AG$5)&gt;TOTAL_LABOR_HOURS_CAP,MAX(0,($D260+AG$5)-PERMANENT_FIELD_LABOR_HOURS)&gt;TEMP_HOURS_CAP),"",$C260+AG$6-MIN(($D260+AG$5),PERMANENT_FIELD_LABOR_HOURS)*PERMANENT_HOURLY_RATE-MAX(0,($D260+AG$5)-PERMANENT_FIELD_LABOR_HOURS)*TEMP_HOURLY_RATE-FIXED_SEASON_COST)</f>
        <v>23341.0823815376</v>
      </c>
      <c r="AH260" s="53" t="n">
        <f aca="false">IF(OR($A260&gt;TOMATO_BED_CAP,$B260&gt;CARROT_BED_CAP,AH$4&gt;MESCLUN_BED_CAP,$A260+$B260+AH$4&gt;TOTAL_BEDS_AVAILABLE,($D260+AH$5)&gt;TOTAL_LABOR_HOURS_CAP,MAX(0,($D260+AH$5)-PERMANENT_FIELD_LABOR_HOURS)&gt;TEMP_HOURS_CAP),"",$C260+AH$6-MIN(($D260+AH$5),PERMANENT_FIELD_LABOR_HOURS)*PERMANENT_HOURLY_RATE-MAX(0,($D260+AH$5)-PERMANENT_FIELD_LABOR_HOURS)*TEMP_HOURLY_RATE-FIXED_SEASON_COST)</f>
        <v>23686.1847980878</v>
      </c>
      <c r="AI260" s="53" t="n">
        <f aca="false">IF(OR($A260&gt;TOMATO_BED_CAP,$B260&gt;CARROT_BED_CAP,AI$4&gt;MESCLUN_BED_CAP,$A260+$B260+AI$4&gt;TOTAL_BEDS_AVAILABLE,($D260+AI$5)&gt;TOTAL_LABOR_HOURS_CAP,MAX(0,($D260+AI$5)-PERMANENT_FIELD_LABOR_HOURS)&gt;TEMP_HOURS_CAP),"",$C260+AI$6-MIN(($D260+AI$5),PERMANENT_FIELD_LABOR_HOURS)*PERMANENT_HOURLY_RATE-MAX(0,($D260+AI$5)-PERMANENT_FIELD_LABOR_HOURS)*TEMP_HOURLY_RATE-FIXED_SEASON_COST)</f>
        <v>23999.0238300001</v>
      </c>
      <c r="AJ260" s="53" t="n">
        <f aca="false">IF(OR($A260&gt;TOMATO_BED_CAP,$B260&gt;CARROT_BED_CAP,AJ$4&gt;MESCLUN_BED_CAP,$A260+$B260+AJ$4&gt;TOTAL_BEDS_AVAILABLE,($D260+AJ$5)&gt;TOTAL_LABOR_HOURS_CAP,MAX(0,($D260+AJ$5)-PERMANENT_FIELD_LABOR_HOURS)&gt;TEMP_HOURS_CAP),"",$C260+AJ$6-MIN(($D260+AJ$5),PERMANENT_FIELD_LABOR_HOURS)*PERMANENT_HOURLY_RATE-MAX(0,($D260+AJ$5)-PERMANENT_FIELD_LABOR_HOURS)*TEMP_HOURLY_RATE-FIXED_SEASON_COST)</f>
        <v>24279.0233454058</v>
      </c>
    </row>
    <row r="261" customFormat="false" ht="15" hidden="false" customHeight="false" outlineLevel="0" collapsed="false">
      <c r="A261" s="21" t="n">
        <f aca="false">INT((ROW()-ROW($A$8))/(20+1))</f>
        <v>12</v>
      </c>
      <c r="B261" s="21" t="n">
        <f aca="false">MOD(ROW()-ROW($A$8),20+1)</f>
        <v>1</v>
      </c>
      <c r="C261" s="13" t="n">
        <f aca="false">A261*(TOMATO_REVENUE_PER_BED-TOMATO_FERTILIZER_PER_BED)+B261*(CARROT_REVENUE_PER_BED-CARROT_FERTILIZER_PER_BED)</f>
        <v>96694</v>
      </c>
      <c r="D261" s="14" t="n">
        <f aca="false">INDEX(TOMATO_SCHED_LABOR_HRS,A261+1)+INDEX(CARROT_SCHED_LABOR_HRS,B261+1)</f>
        <v>3420.24034685868</v>
      </c>
      <c r="E261" s="13" t="n">
        <f aca="false">IF(COUNT(F261:AJ261)=0,"",MAX(F261:AJ261))</f>
        <v>25399.4168734058</v>
      </c>
      <c r="F261" s="53" t="n">
        <f aca="false">IF(OR($A261&gt;TOMATO_BED_CAP,$B261&gt;CARROT_BED_CAP,F$4&gt;MESCLUN_BED_CAP,$A261+$B261+F$4&gt;TOTAL_BEDS_AVAILABLE,($D261+F$5)&gt;TOTAL_LABOR_HOURS_CAP,MAX(0,($D261+F$5)-PERMANENT_FIELD_LABOR_HOURS)&gt;TEMP_HOURS_CAP),"",$C261+F$6-MIN(($D261+F$5),PERMANENT_FIELD_LABOR_HOURS)*PERMANENT_HOURLY_RATE-MAX(0,($D261+F$5)-PERMANENT_FIELD_LABOR_HOURS)*TEMP_HOURLY_RATE-FIXED_SEASON_COST)</f>
        <v>4819.42757853326</v>
      </c>
      <c r="G261" s="53" t="n">
        <f aca="false">IF(OR($A261&gt;TOMATO_BED_CAP,$B261&gt;CARROT_BED_CAP,G$4&gt;MESCLUN_BED_CAP,$A261+$B261+G$4&gt;TOTAL_BEDS_AVAILABLE,($D261+G$5)&gt;TOTAL_LABOR_HOURS_CAP,MAX(0,($D261+G$5)-PERMANENT_FIELD_LABOR_HOURS)&gt;TEMP_HOURS_CAP),"",$C261+G$6-MIN(($D261+G$5),PERMANENT_FIELD_LABOR_HOURS)*PERMANENT_HOURLY_RATE-MAX(0,($D261+G$5)-PERMANENT_FIELD_LABOR_HOURS)*TEMP_HOURLY_RATE-FIXED_SEASON_COST)</f>
        <v>5848.46257853326</v>
      </c>
      <c r="H261" s="53" t="n">
        <f aca="false">IF(OR($A261&gt;TOMATO_BED_CAP,$B261&gt;CARROT_BED_CAP,H$4&gt;MESCLUN_BED_CAP,$A261+$B261+H$4&gt;TOTAL_BEDS_AVAILABLE,($D261+H$5)&gt;TOTAL_LABOR_HOURS_CAP,MAX(0,($D261+H$5)-PERMANENT_FIELD_LABOR_HOURS)&gt;TEMP_HOURS_CAP),"",$C261+H$6-MIN(($D261+H$5),PERMANENT_FIELD_LABOR_HOURS)*PERMANENT_HOURLY_RATE-MAX(0,($D261+H$5)-PERMANENT_FIELD_LABOR_HOURS)*TEMP_HOURLY_RATE-FIXED_SEASON_COST)</f>
        <v>6857.72345353326</v>
      </c>
      <c r="I261" s="53" t="n">
        <f aca="false">IF(OR($A261&gt;TOMATO_BED_CAP,$B261&gt;CARROT_BED_CAP,I$4&gt;MESCLUN_BED_CAP,$A261+$B261+I$4&gt;TOTAL_BEDS_AVAILABLE,($D261+I$5)&gt;TOTAL_LABOR_HOURS_CAP,MAX(0,($D261+I$5)-PERMANENT_FIELD_LABOR_HOURS)&gt;TEMP_HOURS_CAP),"",$C261+I$6-MIN(($D261+I$5),PERMANENT_FIELD_LABOR_HOURS)*PERMANENT_HOURLY_RATE-MAX(0,($D261+I$5)-PERMANENT_FIELD_LABOR_HOURS)*TEMP_HOURLY_RATE-FIXED_SEASON_COST)</f>
        <v>7846.83943868952</v>
      </c>
      <c r="J261" s="53" t="n">
        <f aca="false">IF(OR($A261&gt;TOMATO_BED_CAP,$B261&gt;CARROT_BED_CAP,J$4&gt;MESCLUN_BED_CAP,$A261+$B261+J$4&gt;TOTAL_BEDS_AVAILABLE,($D261+J$5)&gt;TOTAL_LABOR_HOURS_CAP,MAX(0,($D261+J$5)-PERMANENT_FIELD_LABOR_HOURS)&gt;TEMP_HOURS_CAP),"",$C261+J$6-MIN(($D261+J$5),PERMANENT_FIELD_LABOR_HOURS)*PERMANENT_HOURLY_RATE-MAX(0,($D261+J$5)-PERMANENT_FIELD_LABOR_HOURS)*TEMP_HOURLY_RATE-FIXED_SEASON_COST)</f>
        <v>8815.4335897442</v>
      </c>
      <c r="K261" s="53" t="n">
        <f aca="false">IF(OR($A261&gt;TOMATO_BED_CAP,$B261&gt;CARROT_BED_CAP,K$4&gt;MESCLUN_BED_CAP,$A261+$B261+K$4&gt;TOTAL_BEDS_AVAILABLE,($D261+K$5)&gt;TOTAL_LABOR_HOURS_CAP,MAX(0,($D261+K$5)-PERMANENT_FIELD_LABOR_HOURS)&gt;TEMP_HOURS_CAP),"",$C261+K$6-MIN(($D261+K$5),PERMANENT_FIELD_LABOR_HOURS)*PERMANENT_HOURLY_RATE-MAX(0,($D261+K$5)-PERMANENT_FIELD_LABOR_HOURS)*TEMP_HOURLY_RATE-FIXED_SEASON_COST)</f>
        <v>9763.12268647211</v>
      </c>
      <c r="L261" s="53" t="n">
        <f aca="false">IF(OR($A261&gt;TOMATO_BED_CAP,$B261&gt;CARROT_BED_CAP,L$4&gt;MESCLUN_BED_CAP,$A261+$B261+L$4&gt;TOTAL_BEDS_AVAILABLE,($D261+L$5)&gt;TOTAL_LABOR_HOURS_CAP,MAX(0,($D261+L$5)-PERMANENT_FIELD_LABOR_HOURS)&gt;TEMP_HOURS_CAP),"",$C261+L$6-MIN(($D261+L$5),PERMANENT_FIELD_LABOR_HOURS)*PERMANENT_HOURLY_RATE-MAX(0,($D261+L$5)-PERMANENT_FIELD_LABOR_HOURS)*TEMP_HOURLY_RATE-FIXED_SEASON_COST)</f>
        <v>10689.517134679</v>
      </c>
      <c r="M261" s="53" t="n">
        <f aca="false">IF(OR($A261&gt;TOMATO_BED_CAP,$B261&gt;CARROT_BED_CAP,M$4&gt;MESCLUN_BED_CAP,$A261+$B261+M$4&gt;TOTAL_BEDS_AVAILABLE,($D261+M$5)&gt;TOTAL_LABOR_HOURS_CAP,MAX(0,($D261+M$5)-PERMANENT_FIELD_LABOR_HOURS)&gt;TEMP_HOURS_CAP),"",$C261+M$6-MIN(($D261+M$5),PERMANENT_FIELD_LABOR_HOURS)*PERMANENT_HOURLY_RATE-MAX(0,($D261+M$5)-PERMANENT_FIELD_LABOR_HOURS)*TEMP_HOURLY_RATE-FIXED_SEASON_COST)</f>
        <v>11594.2208667304</v>
      </c>
      <c r="N261" s="53" t="n">
        <f aca="false">IF(OR($A261&gt;TOMATO_BED_CAP,$B261&gt;CARROT_BED_CAP,N$4&gt;MESCLUN_BED_CAP,$A261+$B261+N$4&gt;TOTAL_BEDS_AVAILABLE,($D261+N$5)&gt;TOTAL_LABOR_HOURS_CAP,MAX(0,($D261+N$5)-PERMANENT_FIELD_LABOR_HOURS)&gt;TEMP_HOURS_CAP),"",$C261+N$6-MIN(($D261+N$5),PERMANENT_FIELD_LABOR_HOURS)*PERMANENT_HOURLY_RATE-MAX(0,($D261+N$5)-PERMANENT_FIELD_LABOR_HOURS)*TEMP_HOURLY_RATE-FIXED_SEASON_COST)</f>
        <v>12476.8312405899</v>
      </c>
      <c r="O261" s="53" t="n">
        <f aca="false">IF(OR($A261&gt;TOMATO_BED_CAP,$B261&gt;CARROT_BED_CAP,O$4&gt;MESCLUN_BED_CAP,$A261+$B261+O$4&gt;TOTAL_BEDS_AVAILABLE,($D261+O$5)&gt;TOTAL_LABOR_HOURS_CAP,MAX(0,($D261+O$5)-PERMANENT_FIELD_LABOR_HOURS)&gt;TEMP_HOURS_CAP),"",$C261+O$6-MIN(($D261+O$5),PERMANENT_FIELD_LABOR_HOURS)*PERMANENT_HOURLY_RATE-MAX(0,($D261+O$5)-PERMANENT_FIELD_LABOR_HOURS)*TEMP_HOURLY_RATE-FIXED_SEASON_COST)</f>
        <v>13336.9389373447</v>
      </c>
      <c r="P261" s="53" t="n">
        <f aca="false">IF(OR($A261&gt;TOMATO_BED_CAP,$B261&gt;CARROT_BED_CAP,P$4&gt;MESCLUN_BED_CAP,$A261+$B261+P$4&gt;TOTAL_BEDS_AVAILABLE,($D261+P$5)&gt;TOTAL_LABOR_HOURS_CAP,MAX(0,($D261+P$5)-PERMANENT_FIELD_LABOR_HOURS)&gt;TEMP_HOURS_CAP),"",$C261+P$6-MIN(($D261+P$5),PERMANENT_FIELD_LABOR_HOURS)*PERMANENT_HOURLY_RATE-MAX(0,($D261+P$5)-PERMANENT_FIELD_LABOR_HOURS)*TEMP_HOURLY_RATE-FIXED_SEASON_COST)</f>
        <v>14174.1278571961</v>
      </c>
      <c r="Q261" s="53" t="n">
        <f aca="false">IF(OR($A261&gt;TOMATO_BED_CAP,$B261&gt;CARROT_BED_CAP,Q$4&gt;MESCLUN_BED_CAP,$A261+$B261+Q$4&gt;TOTAL_BEDS_AVAILABLE,($D261+Q$5)&gt;TOTAL_LABOR_HOURS_CAP,MAX(0,($D261+Q$5)-PERMANENT_FIELD_LABOR_HOURS)&gt;TEMP_HOURS_CAP),"",$C261+Q$6-MIN(($D261+Q$5),PERMANENT_FIELD_LABOR_HOURS)*PERMANENT_HOURLY_RATE-MAX(0,($D261+Q$5)-PERMANENT_FIELD_LABOR_HOURS)*TEMP_HOURLY_RATE-FIXED_SEASON_COST)</f>
        <v>14987.975013894</v>
      </c>
      <c r="R261" s="53" t="n">
        <f aca="false">IF(OR($A261&gt;TOMATO_BED_CAP,$B261&gt;CARROT_BED_CAP,R$4&gt;MESCLUN_BED_CAP,$A261+$B261+R$4&gt;TOTAL_BEDS_AVAILABLE,($D261+R$5)&gt;TOTAL_LABOR_HOURS_CAP,MAX(0,($D261+R$5)-PERMANENT_FIELD_LABOR_HOURS)&gt;TEMP_HOURS_CAP),"",$C261+R$6-MIN(($D261+R$5),PERMANENT_FIELD_LABOR_HOURS)*PERMANENT_HOURLY_RATE-MAX(0,($D261+R$5)-PERMANENT_FIELD_LABOR_HOURS)*TEMP_HOURLY_RATE-FIXED_SEASON_COST)</f>
        <v>15778.0504275908</v>
      </c>
      <c r="S261" s="53" t="n">
        <f aca="false">IF(OR($A261&gt;TOMATO_BED_CAP,$B261&gt;CARROT_BED_CAP,S$4&gt;MESCLUN_BED_CAP,$A261+$B261+S$4&gt;TOTAL_BEDS_AVAILABLE,($D261+S$5)&gt;TOTAL_LABOR_HOURS_CAP,MAX(0,($D261+S$5)-PERMANENT_FIELD_LABOR_HOURS)&gt;TEMP_HOURS_CAP),"",$C261+S$6-MIN(($D261+S$5),PERMANENT_FIELD_LABOR_HOURS)*PERMANENT_HOURLY_RATE-MAX(0,($D261+S$5)-PERMANENT_FIELD_LABOR_HOURS)*TEMP_HOURLY_RATE-FIXED_SEASON_COST)</f>
        <v>16543.9170160932</v>
      </c>
      <c r="T261" s="53" t="n">
        <f aca="false">IF(OR($A261&gt;TOMATO_BED_CAP,$B261&gt;CARROT_BED_CAP,T$4&gt;MESCLUN_BED_CAP,$A261+$B261+T$4&gt;TOTAL_BEDS_AVAILABLE,($D261+T$5)&gt;TOTAL_LABOR_HOURS_CAP,MAX(0,($D261+T$5)-PERMANENT_FIELD_LABOR_HOURS)&gt;TEMP_HOURS_CAP),"",$C261+T$6-MIN(($D261+T$5),PERMANENT_FIELD_LABOR_HOURS)*PERMANENT_HOURLY_RATE-MAX(0,($D261+T$5)-PERMANENT_FIELD_LABOR_HOURS)*TEMP_HOURLY_RATE-FIXED_SEASON_COST)</f>
        <v>17285.1304844881</v>
      </c>
      <c r="U261" s="53" t="n">
        <f aca="false">IF(OR($A261&gt;TOMATO_BED_CAP,$B261&gt;CARROT_BED_CAP,U$4&gt;MESCLUN_BED_CAP,$A261+$B261+U$4&gt;TOTAL_BEDS_AVAILABLE,($D261+U$5)&gt;TOTAL_LABOR_HOURS_CAP,MAX(0,($D261+U$5)-PERMANENT_FIELD_LABOR_HOURS)&gt;TEMP_HOURS_CAP),"",$C261+U$6-MIN(($D261+U$5),PERMANENT_FIELD_LABOR_HOURS)*PERMANENT_HOURLY_RATE-MAX(0,($D261+U$5)-PERMANENT_FIELD_LABOR_HOURS)*TEMP_HOURLY_RATE-FIXED_SEASON_COST)</f>
        <v>18001.2392131182</v>
      </c>
      <c r="V261" s="53" t="n">
        <f aca="false">IF(OR($A261&gt;TOMATO_BED_CAP,$B261&gt;CARROT_BED_CAP,V$4&gt;MESCLUN_BED_CAP,$A261+$B261+V$4&gt;TOTAL_BEDS_AVAILABLE,($D261+V$5)&gt;TOTAL_LABOR_HOURS_CAP,MAX(0,($D261+V$5)-PERMANENT_FIELD_LABOR_HOURS)&gt;TEMP_HOURS_CAP),"",$C261+V$6-MIN(($D261+V$5),PERMANENT_FIELD_LABOR_HOURS)*PERMANENT_HOURLY_RATE-MAX(0,($D261+V$5)-PERMANENT_FIELD_LABOR_HOURS)*TEMP_HOURLY_RATE-FIXED_SEASON_COST)</f>
        <v>18691.784143885</v>
      </c>
      <c r="W261" s="53" t="n">
        <f aca="false">IF(OR($A261&gt;TOMATO_BED_CAP,$B261&gt;CARROT_BED_CAP,W$4&gt;MESCLUN_BED_CAP,$A261+$B261+W$4&gt;TOTAL_BEDS_AVAILABLE,($D261+W$5)&gt;TOTAL_LABOR_HOURS_CAP,MAX(0,($D261+W$5)-PERMANENT_FIELD_LABOR_HOURS)&gt;TEMP_HOURS_CAP),"",$C261+W$6-MIN(($D261+W$5),PERMANENT_FIELD_LABOR_HOURS)*PERMANENT_HOURLY_RATE-MAX(0,($D261+W$5)-PERMANENT_FIELD_LABOR_HOURS)*TEMP_HOURLY_RATE-FIXED_SEASON_COST)</f>
        <v>19356.298664853</v>
      </c>
      <c r="X261" s="53" t="n">
        <f aca="false">IF(OR($A261&gt;TOMATO_BED_CAP,$B261&gt;CARROT_BED_CAP,X$4&gt;MESCLUN_BED_CAP,$A261+$B261+X$4&gt;TOTAL_BEDS_AVAILABLE,($D261+X$5)&gt;TOTAL_LABOR_HOURS_CAP,MAX(0,($D261+X$5)-PERMANENT_FIELD_LABOR_HOURS)&gt;TEMP_HOURS_CAP),"",$C261+X$6-MIN(($D261+X$5),PERMANENT_FIELD_LABOR_HOURS)*PERMANENT_HOURLY_RATE-MAX(0,($D261+X$5)-PERMANENT_FIELD_LABOR_HOURS)*TEMP_HOURLY_RATE-FIXED_SEASON_COST)</f>
        <v>19994.308493132</v>
      </c>
      <c r="Y261" s="53" t="n">
        <f aca="false">IF(OR($A261&gt;TOMATO_BED_CAP,$B261&gt;CARROT_BED_CAP,Y$4&gt;MESCLUN_BED_CAP,$A261+$B261+Y$4&gt;TOTAL_BEDS_AVAILABLE,($D261+Y$5)&gt;TOTAL_LABOR_HOURS_CAP,MAX(0,($D261+Y$5)-PERMANENT_FIELD_LABOR_HOURS)&gt;TEMP_HOURS_CAP),"",$C261+Y$6-MIN(($D261+Y$5),PERMANENT_FIELD_LABOR_HOURS)*PERMANENT_HOURLY_RATE-MAX(0,($D261+Y$5)-PERMANENT_FIELD_LABOR_HOURS)*TEMP_HOURLY_RATE-FIXED_SEASON_COST)</f>
        <v>20605.3315560106</v>
      </c>
      <c r="Z261" s="53" t="n">
        <f aca="false">IF(OR($A261&gt;TOMATO_BED_CAP,$B261&gt;CARROT_BED_CAP,Z$4&gt;MESCLUN_BED_CAP,$A261+$B261+Z$4&gt;TOTAL_BEDS_AVAILABLE,($D261+Z$5)&gt;TOTAL_LABOR_HOURS_CAP,MAX(0,($D261+Z$5)-PERMANENT_FIELD_LABOR_HOURS)&gt;TEMP_HOURS_CAP),"",$C261+Z$6-MIN(($D261+Z$5),PERMANENT_FIELD_LABOR_HOURS)*PERMANENT_HOURLY_RATE-MAX(0,($D261+Z$5)-PERMANENT_FIELD_LABOR_HOURS)*TEMP_HOURLY_RATE-FIXED_SEASON_COST)</f>
        <v>21188.8778703184</v>
      </c>
      <c r="AA261" s="53" t="n">
        <f aca="false">IF(OR($A261&gt;TOMATO_BED_CAP,$B261&gt;CARROT_BED_CAP,AA$4&gt;MESCLUN_BED_CAP,$A261+$B261+AA$4&gt;TOTAL_BEDS_AVAILABLE,($D261+AA$5)&gt;TOTAL_LABOR_HOURS_CAP,MAX(0,($D261+AA$5)-PERMANENT_FIELD_LABOR_HOURS)&gt;TEMP_HOURS_CAP),"",$C261+AA$6-MIN(($D261+AA$5),PERMANENT_FIELD_LABOR_HOURS)*PERMANENT_HOURLY_RATE-MAX(0,($D261+AA$5)-PERMANENT_FIELD_LABOR_HOURS)*TEMP_HOURLY_RATE-FIXED_SEASON_COST)</f>
        <v>21744.4494199873</v>
      </c>
      <c r="AB261" s="53" t="n">
        <f aca="false">IF(OR($A261&gt;TOMATO_BED_CAP,$B261&gt;CARROT_BED_CAP,AB$4&gt;MESCLUN_BED_CAP,$A261+$B261+AB$4&gt;TOTAL_BEDS_AVAILABLE,($D261+AB$5)&gt;TOTAL_LABOR_HOURS_CAP,MAX(0,($D261+AB$5)-PERMANENT_FIELD_LABOR_HOURS)&gt;TEMP_HOURS_CAP),"",$C261+AB$6-MIN(($D261+AB$5),PERMANENT_FIELD_LABOR_HOURS)*PERMANENT_HOURLY_RATE-MAX(0,($D261+AB$5)-PERMANENT_FIELD_LABOR_HOURS)*TEMP_HOURLY_RATE-FIXED_SEASON_COST)</f>
        <v>22271.5400317898</v>
      </c>
      <c r="AC261" s="53" t="n">
        <f aca="false">IF(OR($A261&gt;TOMATO_BED_CAP,$B261&gt;CARROT_BED_CAP,AC$4&gt;MESCLUN_BED_CAP,$A261+$B261+AC$4&gt;TOTAL_BEDS_AVAILABLE,($D261+AC$5)&gt;TOTAL_LABOR_HOURS_CAP,MAX(0,($D261+AC$5)-PERMANENT_FIELD_LABOR_HOURS)&gt;TEMP_HOURS_CAP),"",$C261+AC$6-MIN(($D261+AC$5),PERMANENT_FIELD_LABOR_HOURS)*PERMANENT_HOURLY_RATE-MAX(0,($D261+AC$5)-PERMANENT_FIELD_LABOR_HOURS)*TEMP_HOURLY_RATE-FIXED_SEASON_COST)</f>
        <v>22769.6352492247</v>
      </c>
      <c r="AD261" s="53" t="n">
        <f aca="false">IF(OR($A261&gt;TOMATO_BED_CAP,$B261&gt;CARROT_BED_CAP,AD$4&gt;MESCLUN_BED_CAP,$A261+$B261+AD$4&gt;TOTAL_BEDS_AVAILABLE,($D261+AD$5)&gt;TOTAL_LABOR_HOURS_CAP,MAX(0,($D261+AD$5)-PERMANENT_FIELD_LABOR_HOURS)&gt;TEMP_HOURS_CAP),"",$C261+AD$6-MIN(($D261+AD$5),PERMANENT_FIELD_LABOR_HOURS)*PERMANENT_HOURLY_RATE-MAX(0,($D261+AD$5)-PERMANENT_FIELD_LABOR_HOURS)*TEMP_HOURLY_RATE-FIXED_SEASON_COST)</f>
        <v>23238.2122045247</v>
      </c>
      <c r="AE261" s="53" t="n">
        <f aca="false">IF(OR($A261&gt;TOMATO_BED_CAP,$B261&gt;CARROT_BED_CAP,AE$4&gt;MESCLUN_BED_CAP,$A261+$B261+AE$4&gt;TOTAL_BEDS_AVAILABLE,($D261+AE$5)&gt;TOTAL_LABOR_HOURS_CAP,MAX(0,($D261+AE$5)-PERMANENT_FIELD_LABOR_HOURS)&gt;TEMP_HOURS_CAP),"",$C261+AE$6-MIN(($D261+AE$5),PERMANENT_FIELD_LABOR_HOURS)*PERMANENT_HOURLY_RATE-MAX(0,($D261+AE$5)-PERMANENT_FIELD_LABOR_HOURS)*TEMP_HOURLY_RATE-FIXED_SEASON_COST)</f>
        <v>23676.7394887586</v>
      </c>
      <c r="AF261" s="53" t="n">
        <f aca="false">IF(OR($A261&gt;TOMATO_BED_CAP,$B261&gt;CARROT_BED_CAP,AF$4&gt;MESCLUN_BED_CAP,$A261+$B261+AF$4&gt;TOTAL_BEDS_AVAILABLE,($D261+AF$5)&gt;TOTAL_LABOR_HOURS_CAP,MAX(0,($D261+AF$5)-PERMANENT_FIELD_LABOR_HOURS)&gt;TEMP_HOURS_CAP),"",$C261+AF$6-MIN(($D261+AF$5),PERMANENT_FIELD_LABOR_HOURS)*PERMANENT_HOURLY_RATE-MAX(0,($D261+AF$5)-PERMANENT_FIELD_LABOR_HOURS)*TEMP_HOURLY_RATE-FIXED_SEASON_COST)</f>
        <v>24084.6770200006</v>
      </c>
      <c r="AG261" s="53" t="n">
        <f aca="false">IF(OR($A261&gt;TOMATO_BED_CAP,$B261&gt;CARROT_BED_CAP,AG$4&gt;MESCLUN_BED_CAP,$A261+$B261+AG$4&gt;TOTAL_BEDS_AVAILABLE,($D261+AG$5)&gt;TOTAL_LABOR_HOURS_CAP,MAX(0,($D261+AG$5)-PERMANENT_FIELD_LABOR_HOURS)&gt;TEMP_HOURS_CAP),"",$C261+AG$6-MIN(($D261+AG$5),PERMANENT_FIELD_LABOR_HOURS)*PERMANENT_HOURLY_RATE-MAX(0,($D261+AG$5)-PERMANENT_FIELD_LABOR_HOURS)*TEMP_HOURLY_RATE-FIXED_SEASON_COST)</f>
        <v>24461.4759095376</v>
      </c>
      <c r="AH261" s="53" t="n">
        <f aca="false">IF(OR($A261&gt;TOMATO_BED_CAP,$B261&gt;CARROT_BED_CAP,AH$4&gt;MESCLUN_BED_CAP,$A261+$B261+AH$4&gt;TOTAL_BEDS_AVAILABLE,($D261+AH$5)&gt;TOTAL_LABOR_HOURS_CAP,MAX(0,($D261+AH$5)-PERMANENT_FIELD_LABOR_HOURS)&gt;TEMP_HOURS_CAP),"",$C261+AH$6-MIN(($D261+AH$5),PERMANENT_FIELD_LABOR_HOURS)*PERMANENT_HOURLY_RATE-MAX(0,($D261+AH$5)-PERMANENT_FIELD_LABOR_HOURS)*TEMP_HOURLY_RATE-FIXED_SEASON_COST)</f>
        <v>24806.5783260878</v>
      </c>
      <c r="AI261" s="53" t="n">
        <f aca="false">IF(OR($A261&gt;TOMATO_BED_CAP,$B261&gt;CARROT_BED_CAP,AI$4&gt;MESCLUN_BED_CAP,$A261+$B261+AI$4&gt;TOTAL_BEDS_AVAILABLE,($D261+AI$5)&gt;TOTAL_LABOR_HOURS_CAP,MAX(0,($D261+AI$5)-PERMANENT_FIELD_LABOR_HOURS)&gt;TEMP_HOURS_CAP),"",$C261+AI$6-MIN(($D261+AI$5),PERMANENT_FIELD_LABOR_HOURS)*PERMANENT_HOURLY_RATE-MAX(0,($D261+AI$5)-PERMANENT_FIELD_LABOR_HOURS)*TEMP_HOURLY_RATE-FIXED_SEASON_COST)</f>
        <v>25119.4173580001</v>
      </c>
      <c r="AJ261" s="53" t="n">
        <f aca="false">IF(OR($A261&gt;TOMATO_BED_CAP,$B261&gt;CARROT_BED_CAP,AJ$4&gt;MESCLUN_BED_CAP,$A261+$B261+AJ$4&gt;TOTAL_BEDS_AVAILABLE,($D261+AJ$5)&gt;TOTAL_LABOR_HOURS_CAP,MAX(0,($D261+AJ$5)-PERMANENT_FIELD_LABOR_HOURS)&gt;TEMP_HOURS_CAP),"",$C261+AJ$6-MIN(($D261+AJ$5),PERMANENT_FIELD_LABOR_HOURS)*PERMANENT_HOURLY_RATE-MAX(0,($D261+AJ$5)-PERMANENT_FIELD_LABOR_HOURS)*TEMP_HOURLY_RATE-FIXED_SEASON_COST)</f>
        <v>25399.4168734058</v>
      </c>
    </row>
    <row r="262" customFormat="false" ht="15" hidden="false" customHeight="false" outlineLevel="0" collapsed="false">
      <c r="A262" s="21" t="n">
        <f aca="false">INT((ROW()-ROW($A$8))/(20+1))</f>
        <v>12</v>
      </c>
      <c r="B262" s="21" t="n">
        <f aca="false">MOD(ROW()-ROW($A$8),20+1)</f>
        <v>2</v>
      </c>
      <c r="C262" s="13" t="n">
        <f aca="false">A262*(TOMATO_REVENUE_PER_BED-TOMATO_FERTILIZER_PER_BED)+B262*(CARROT_REVENUE_PER_BED-CARROT_FERTILIZER_PER_BED)</f>
        <v>98348</v>
      </c>
      <c r="D262" s="14" t="n">
        <f aca="false">INDEX(TOMATO_SCHED_LABOR_HRS,A262+1)+INDEX(CARROT_SCHED_LABOR_HRS,B262+1)</f>
        <v>3452.51493185868</v>
      </c>
      <c r="E262" s="13" t="n">
        <f aca="false">IF(COUNT(F262:AJ262)=0,"",MAX(F262:AJ262))</f>
        <v>26493.1300778058</v>
      </c>
      <c r="F262" s="53" t="n">
        <f aca="false">IF(OR($A262&gt;TOMATO_BED_CAP,$B262&gt;CARROT_BED_CAP,F$4&gt;MESCLUN_BED_CAP,$A262+$B262+F$4&gt;TOTAL_BEDS_AVAILABLE,($D262+F$5)&gt;TOTAL_LABOR_HOURS_CAP,MAX(0,($D262+F$5)-PERMANENT_FIELD_LABOR_HOURS)&gt;TEMP_HOURS_CAP),"",$C262+F$6-MIN(($D262+F$5),PERMANENT_FIELD_LABOR_HOURS)*PERMANENT_HOURLY_RATE-MAX(0,($D262+F$5)-PERMANENT_FIELD_LABOR_HOURS)*TEMP_HOURLY_RATE-FIXED_SEASON_COST)</f>
        <v>5913.14078293327</v>
      </c>
      <c r="G262" s="53" t="n">
        <f aca="false">IF(OR($A262&gt;TOMATO_BED_CAP,$B262&gt;CARROT_BED_CAP,G$4&gt;MESCLUN_BED_CAP,$A262+$B262+G$4&gt;TOTAL_BEDS_AVAILABLE,($D262+G$5)&gt;TOTAL_LABOR_HOURS_CAP,MAX(0,($D262+G$5)-PERMANENT_FIELD_LABOR_HOURS)&gt;TEMP_HOURS_CAP),"",$C262+G$6-MIN(($D262+G$5),PERMANENT_FIELD_LABOR_HOURS)*PERMANENT_HOURLY_RATE-MAX(0,($D262+G$5)-PERMANENT_FIELD_LABOR_HOURS)*TEMP_HOURLY_RATE-FIXED_SEASON_COST)</f>
        <v>6942.17578293326</v>
      </c>
      <c r="H262" s="53" t="n">
        <f aca="false">IF(OR($A262&gt;TOMATO_BED_CAP,$B262&gt;CARROT_BED_CAP,H$4&gt;MESCLUN_BED_CAP,$A262+$B262+H$4&gt;TOTAL_BEDS_AVAILABLE,($D262+H$5)&gt;TOTAL_LABOR_HOURS_CAP,MAX(0,($D262+H$5)-PERMANENT_FIELD_LABOR_HOURS)&gt;TEMP_HOURS_CAP),"",$C262+H$6-MIN(($D262+H$5),PERMANENT_FIELD_LABOR_HOURS)*PERMANENT_HOURLY_RATE-MAX(0,($D262+H$5)-PERMANENT_FIELD_LABOR_HOURS)*TEMP_HOURLY_RATE-FIXED_SEASON_COST)</f>
        <v>7951.43665793327</v>
      </c>
      <c r="I262" s="53" t="n">
        <f aca="false">IF(OR($A262&gt;TOMATO_BED_CAP,$B262&gt;CARROT_BED_CAP,I$4&gt;MESCLUN_BED_CAP,$A262+$B262+I$4&gt;TOTAL_BEDS_AVAILABLE,($D262+I$5)&gt;TOTAL_LABOR_HOURS_CAP,MAX(0,($D262+I$5)-PERMANENT_FIELD_LABOR_HOURS)&gt;TEMP_HOURS_CAP),"",$C262+I$6-MIN(($D262+I$5),PERMANENT_FIELD_LABOR_HOURS)*PERMANENT_HOURLY_RATE-MAX(0,($D262+I$5)-PERMANENT_FIELD_LABOR_HOURS)*TEMP_HOURLY_RATE-FIXED_SEASON_COST)</f>
        <v>8940.55264308952</v>
      </c>
      <c r="J262" s="53" t="n">
        <f aca="false">IF(OR($A262&gt;TOMATO_BED_CAP,$B262&gt;CARROT_BED_CAP,J$4&gt;MESCLUN_BED_CAP,$A262+$B262+J$4&gt;TOTAL_BEDS_AVAILABLE,($D262+J$5)&gt;TOTAL_LABOR_HOURS_CAP,MAX(0,($D262+J$5)-PERMANENT_FIELD_LABOR_HOURS)&gt;TEMP_HOURS_CAP),"",$C262+J$6-MIN(($D262+J$5),PERMANENT_FIELD_LABOR_HOURS)*PERMANENT_HOURLY_RATE-MAX(0,($D262+J$5)-PERMANENT_FIELD_LABOR_HOURS)*TEMP_HOURLY_RATE-FIXED_SEASON_COST)</f>
        <v>9909.1467941442</v>
      </c>
      <c r="K262" s="53" t="n">
        <f aca="false">IF(OR($A262&gt;TOMATO_BED_CAP,$B262&gt;CARROT_BED_CAP,K$4&gt;MESCLUN_BED_CAP,$A262+$B262+K$4&gt;TOTAL_BEDS_AVAILABLE,($D262+K$5)&gt;TOTAL_LABOR_HOURS_CAP,MAX(0,($D262+K$5)-PERMANENT_FIELD_LABOR_HOURS)&gt;TEMP_HOURS_CAP),"",$C262+K$6-MIN(($D262+K$5),PERMANENT_FIELD_LABOR_HOURS)*PERMANENT_HOURLY_RATE-MAX(0,($D262+K$5)-PERMANENT_FIELD_LABOR_HOURS)*TEMP_HOURLY_RATE-FIXED_SEASON_COST)</f>
        <v>10856.8358908721</v>
      </c>
      <c r="L262" s="53" t="n">
        <f aca="false">IF(OR($A262&gt;TOMATO_BED_CAP,$B262&gt;CARROT_BED_CAP,L$4&gt;MESCLUN_BED_CAP,$A262+$B262+L$4&gt;TOTAL_BEDS_AVAILABLE,($D262+L$5)&gt;TOTAL_LABOR_HOURS_CAP,MAX(0,($D262+L$5)-PERMANENT_FIELD_LABOR_HOURS)&gt;TEMP_HOURS_CAP),"",$C262+L$6-MIN(($D262+L$5),PERMANENT_FIELD_LABOR_HOURS)*PERMANENT_HOURLY_RATE-MAX(0,($D262+L$5)-PERMANENT_FIELD_LABOR_HOURS)*TEMP_HOURLY_RATE-FIXED_SEASON_COST)</f>
        <v>11783.230339079</v>
      </c>
      <c r="M262" s="53" t="n">
        <f aca="false">IF(OR($A262&gt;TOMATO_BED_CAP,$B262&gt;CARROT_BED_CAP,M$4&gt;MESCLUN_BED_CAP,$A262+$B262+M$4&gt;TOTAL_BEDS_AVAILABLE,($D262+M$5)&gt;TOTAL_LABOR_HOURS_CAP,MAX(0,($D262+M$5)-PERMANENT_FIELD_LABOR_HOURS)&gt;TEMP_HOURS_CAP),"",$C262+M$6-MIN(($D262+M$5),PERMANENT_FIELD_LABOR_HOURS)*PERMANENT_HOURLY_RATE-MAX(0,($D262+M$5)-PERMANENT_FIELD_LABOR_HOURS)*TEMP_HOURLY_RATE-FIXED_SEASON_COST)</f>
        <v>12687.9340711304</v>
      </c>
      <c r="N262" s="53" t="n">
        <f aca="false">IF(OR($A262&gt;TOMATO_BED_CAP,$B262&gt;CARROT_BED_CAP,N$4&gt;MESCLUN_BED_CAP,$A262+$B262+N$4&gt;TOTAL_BEDS_AVAILABLE,($D262+N$5)&gt;TOTAL_LABOR_HOURS_CAP,MAX(0,($D262+N$5)-PERMANENT_FIELD_LABOR_HOURS)&gt;TEMP_HOURS_CAP),"",$C262+N$6-MIN(($D262+N$5),PERMANENT_FIELD_LABOR_HOURS)*PERMANENT_HOURLY_RATE-MAX(0,($D262+N$5)-PERMANENT_FIELD_LABOR_HOURS)*TEMP_HOURLY_RATE-FIXED_SEASON_COST)</f>
        <v>13570.5444449899</v>
      </c>
      <c r="O262" s="53" t="n">
        <f aca="false">IF(OR($A262&gt;TOMATO_BED_CAP,$B262&gt;CARROT_BED_CAP,O$4&gt;MESCLUN_BED_CAP,$A262+$B262+O$4&gt;TOTAL_BEDS_AVAILABLE,($D262+O$5)&gt;TOTAL_LABOR_HOURS_CAP,MAX(0,($D262+O$5)-PERMANENT_FIELD_LABOR_HOURS)&gt;TEMP_HOURS_CAP),"",$C262+O$6-MIN(($D262+O$5),PERMANENT_FIELD_LABOR_HOURS)*PERMANENT_HOURLY_RATE-MAX(0,($D262+O$5)-PERMANENT_FIELD_LABOR_HOURS)*TEMP_HOURLY_RATE-FIXED_SEASON_COST)</f>
        <v>14430.6521417447</v>
      </c>
      <c r="P262" s="53" t="n">
        <f aca="false">IF(OR($A262&gt;TOMATO_BED_CAP,$B262&gt;CARROT_BED_CAP,P$4&gt;MESCLUN_BED_CAP,$A262+$B262+P$4&gt;TOTAL_BEDS_AVAILABLE,($D262+P$5)&gt;TOTAL_LABOR_HOURS_CAP,MAX(0,($D262+P$5)-PERMANENT_FIELD_LABOR_HOURS)&gt;TEMP_HOURS_CAP),"",$C262+P$6-MIN(($D262+P$5),PERMANENT_FIELD_LABOR_HOURS)*PERMANENT_HOURLY_RATE-MAX(0,($D262+P$5)-PERMANENT_FIELD_LABOR_HOURS)*TEMP_HOURLY_RATE-FIXED_SEASON_COST)</f>
        <v>15267.8410615961</v>
      </c>
      <c r="Q262" s="53" t="n">
        <f aca="false">IF(OR($A262&gt;TOMATO_BED_CAP,$B262&gt;CARROT_BED_CAP,Q$4&gt;MESCLUN_BED_CAP,$A262+$B262+Q$4&gt;TOTAL_BEDS_AVAILABLE,($D262+Q$5)&gt;TOTAL_LABOR_HOURS_CAP,MAX(0,($D262+Q$5)-PERMANENT_FIELD_LABOR_HOURS)&gt;TEMP_HOURS_CAP),"",$C262+Q$6-MIN(($D262+Q$5),PERMANENT_FIELD_LABOR_HOURS)*PERMANENT_HOURLY_RATE-MAX(0,($D262+Q$5)-PERMANENT_FIELD_LABOR_HOURS)*TEMP_HOURLY_RATE-FIXED_SEASON_COST)</f>
        <v>16081.688218294</v>
      </c>
      <c r="R262" s="53" t="n">
        <f aca="false">IF(OR($A262&gt;TOMATO_BED_CAP,$B262&gt;CARROT_BED_CAP,R$4&gt;MESCLUN_BED_CAP,$A262+$B262+R$4&gt;TOTAL_BEDS_AVAILABLE,($D262+R$5)&gt;TOTAL_LABOR_HOURS_CAP,MAX(0,($D262+R$5)-PERMANENT_FIELD_LABOR_HOURS)&gt;TEMP_HOURS_CAP),"",$C262+R$6-MIN(($D262+R$5),PERMANENT_FIELD_LABOR_HOURS)*PERMANENT_HOURLY_RATE-MAX(0,($D262+R$5)-PERMANENT_FIELD_LABOR_HOURS)*TEMP_HOURLY_RATE-FIXED_SEASON_COST)</f>
        <v>16871.7636319908</v>
      </c>
      <c r="S262" s="53" t="n">
        <f aca="false">IF(OR($A262&gt;TOMATO_BED_CAP,$B262&gt;CARROT_BED_CAP,S$4&gt;MESCLUN_BED_CAP,$A262+$B262+S$4&gt;TOTAL_BEDS_AVAILABLE,($D262+S$5)&gt;TOTAL_LABOR_HOURS_CAP,MAX(0,($D262+S$5)-PERMANENT_FIELD_LABOR_HOURS)&gt;TEMP_HOURS_CAP),"",$C262+S$6-MIN(($D262+S$5),PERMANENT_FIELD_LABOR_HOURS)*PERMANENT_HOURLY_RATE-MAX(0,($D262+S$5)-PERMANENT_FIELD_LABOR_HOURS)*TEMP_HOURLY_RATE-FIXED_SEASON_COST)</f>
        <v>17637.6302204932</v>
      </c>
      <c r="T262" s="53" t="n">
        <f aca="false">IF(OR($A262&gt;TOMATO_BED_CAP,$B262&gt;CARROT_BED_CAP,T$4&gt;MESCLUN_BED_CAP,$A262+$B262+T$4&gt;TOTAL_BEDS_AVAILABLE,($D262+T$5)&gt;TOTAL_LABOR_HOURS_CAP,MAX(0,($D262+T$5)-PERMANENT_FIELD_LABOR_HOURS)&gt;TEMP_HOURS_CAP),"",$C262+T$6-MIN(($D262+T$5),PERMANENT_FIELD_LABOR_HOURS)*PERMANENT_HOURLY_RATE-MAX(0,($D262+T$5)-PERMANENT_FIELD_LABOR_HOURS)*TEMP_HOURLY_RATE-FIXED_SEASON_COST)</f>
        <v>18378.8436888881</v>
      </c>
      <c r="U262" s="53" t="n">
        <f aca="false">IF(OR($A262&gt;TOMATO_BED_CAP,$B262&gt;CARROT_BED_CAP,U$4&gt;MESCLUN_BED_CAP,$A262+$B262+U$4&gt;TOTAL_BEDS_AVAILABLE,($D262+U$5)&gt;TOTAL_LABOR_HOURS_CAP,MAX(0,($D262+U$5)-PERMANENT_FIELD_LABOR_HOURS)&gt;TEMP_HOURS_CAP),"",$C262+U$6-MIN(($D262+U$5),PERMANENT_FIELD_LABOR_HOURS)*PERMANENT_HOURLY_RATE-MAX(0,($D262+U$5)-PERMANENT_FIELD_LABOR_HOURS)*TEMP_HOURLY_RATE-FIXED_SEASON_COST)</f>
        <v>19094.9524175182</v>
      </c>
      <c r="V262" s="53" t="n">
        <f aca="false">IF(OR($A262&gt;TOMATO_BED_CAP,$B262&gt;CARROT_BED_CAP,V$4&gt;MESCLUN_BED_CAP,$A262+$B262+V$4&gt;TOTAL_BEDS_AVAILABLE,($D262+V$5)&gt;TOTAL_LABOR_HOURS_CAP,MAX(0,($D262+V$5)-PERMANENT_FIELD_LABOR_HOURS)&gt;TEMP_HOURS_CAP),"",$C262+V$6-MIN(($D262+V$5),PERMANENT_FIELD_LABOR_HOURS)*PERMANENT_HOURLY_RATE-MAX(0,($D262+V$5)-PERMANENT_FIELD_LABOR_HOURS)*TEMP_HOURLY_RATE-FIXED_SEASON_COST)</f>
        <v>19785.497348285</v>
      </c>
      <c r="W262" s="53" t="n">
        <f aca="false">IF(OR($A262&gt;TOMATO_BED_CAP,$B262&gt;CARROT_BED_CAP,W$4&gt;MESCLUN_BED_CAP,$A262+$B262+W$4&gt;TOTAL_BEDS_AVAILABLE,($D262+W$5)&gt;TOTAL_LABOR_HOURS_CAP,MAX(0,($D262+W$5)-PERMANENT_FIELD_LABOR_HOURS)&gt;TEMP_HOURS_CAP),"",$C262+W$6-MIN(($D262+W$5),PERMANENT_FIELD_LABOR_HOURS)*PERMANENT_HOURLY_RATE-MAX(0,($D262+W$5)-PERMANENT_FIELD_LABOR_HOURS)*TEMP_HOURLY_RATE-FIXED_SEASON_COST)</f>
        <v>20450.011869253</v>
      </c>
      <c r="X262" s="53" t="n">
        <f aca="false">IF(OR($A262&gt;TOMATO_BED_CAP,$B262&gt;CARROT_BED_CAP,X$4&gt;MESCLUN_BED_CAP,$A262+$B262+X$4&gt;TOTAL_BEDS_AVAILABLE,($D262+X$5)&gt;TOTAL_LABOR_HOURS_CAP,MAX(0,($D262+X$5)-PERMANENT_FIELD_LABOR_HOURS)&gt;TEMP_HOURS_CAP),"",$C262+X$6-MIN(($D262+X$5),PERMANENT_FIELD_LABOR_HOURS)*PERMANENT_HOURLY_RATE-MAX(0,($D262+X$5)-PERMANENT_FIELD_LABOR_HOURS)*TEMP_HOURLY_RATE-FIXED_SEASON_COST)</f>
        <v>21088.021697532</v>
      </c>
      <c r="Y262" s="53" t="n">
        <f aca="false">IF(OR($A262&gt;TOMATO_BED_CAP,$B262&gt;CARROT_BED_CAP,Y$4&gt;MESCLUN_BED_CAP,$A262+$B262+Y$4&gt;TOTAL_BEDS_AVAILABLE,($D262+Y$5)&gt;TOTAL_LABOR_HOURS_CAP,MAX(0,($D262+Y$5)-PERMANENT_FIELD_LABOR_HOURS)&gt;TEMP_HOURS_CAP),"",$C262+Y$6-MIN(($D262+Y$5),PERMANENT_FIELD_LABOR_HOURS)*PERMANENT_HOURLY_RATE-MAX(0,($D262+Y$5)-PERMANENT_FIELD_LABOR_HOURS)*TEMP_HOURLY_RATE-FIXED_SEASON_COST)</f>
        <v>21699.0447604106</v>
      </c>
      <c r="Z262" s="53" t="n">
        <f aca="false">IF(OR($A262&gt;TOMATO_BED_CAP,$B262&gt;CARROT_BED_CAP,Z$4&gt;MESCLUN_BED_CAP,$A262+$B262+Z$4&gt;TOTAL_BEDS_AVAILABLE,($D262+Z$5)&gt;TOTAL_LABOR_HOURS_CAP,MAX(0,($D262+Z$5)-PERMANENT_FIELD_LABOR_HOURS)&gt;TEMP_HOURS_CAP),"",$C262+Z$6-MIN(($D262+Z$5),PERMANENT_FIELD_LABOR_HOURS)*PERMANENT_HOURLY_RATE-MAX(0,($D262+Z$5)-PERMANENT_FIELD_LABOR_HOURS)*TEMP_HOURLY_RATE-FIXED_SEASON_COST)</f>
        <v>22282.5910747183</v>
      </c>
      <c r="AA262" s="53" t="n">
        <f aca="false">IF(OR($A262&gt;TOMATO_BED_CAP,$B262&gt;CARROT_BED_CAP,AA$4&gt;MESCLUN_BED_CAP,$A262+$B262+AA$4&gt;TOTAL_BEDS_AVAILABLE,($D262+AA$5)&gt;TOTAL_LABOR_HOURS_CAP,MAX(0,($D262+AA$5)-PERMANENT_FIELD_LABOR_HOURS)&gt;TEMP_HOURS_CAP),"",$C262+AA$6-MIN(($D262+AA$5),PERMANENT_FIELD_LABOR_HOURS)*PERMANENT_HOURLY_RATE-MAX(0,($D262+AA$5)-PERMANENT_FIELD_LABOR_HOURS)*TEMP_HOURLY_RATE-FIXED_SEASON_COST)</f>
        <v>22838.1626243873</v>
      </c>
      <c r="AB262" s="53" t="n">
        <f aca="false">IF(OR($A262&gt;TOMATO_BED_CAP,$B262&gt;CARROT_BED_CAP,AB$4&gt;MESCLUN_BED_CAP,$A262+$B262+AB$4&gt;TOTAL_BEDS_AVAILABLE,($D262+AB$5)&gt;TOTAL_LABOR_HOURS_CAP,MAX(0,($D262+AB$5)-PERMANENT_FIELD_LABOR_HOURS)&gt;TEMP_HOURS_CAP),"",$C262+AB$6-MIN(($D262+AB$5),PERMANENT_FIELD_LABOR_HOURS)*PERMANENT_HOURLY_RATE-MAX(0,($D262+AB$5)-PERMANENT_FIELD_LABOR_HOURS)*TEMP_HOURLY_RATE-FIXED_SEASON_COST)</f>
        <v>23365.2532361898</v>
      </c>
      <c r="AC262" s="53" t="n">
        <f aca="false">IF(OR($A262&gt;TOMATO_BED_CAP,$B262&gt;CARROT_BED_CAP,AC$4&gt;MESCLUN_BED_CAP,$A262+$B262+AC$4&gt;TOTAL_BEDS_AVAILABLE,($D262+AC$5)&gt;TOTAL_LABOR_HOURS_CAP,MAX(0,($D262+AC$5)-PERMANENT_FIELD_LABOR_HOURS)&gt;TEMP_HOURS_CAP),"",$C262+AC$6-MIN(($D262+AC$5),PERMANENT_FIELD_LABOR_HOURS)*PERMANENT_HOURLY_RATE-MAX(0,($D262+AC$5)-PERMANENT_FIELD_LABOR_HOURS)*TEMP_HOURLY_RATE-FIXED_SEASON_COST)</f>
        <v>23863.3484536248</v>
      </c>
      <c r="AD262" s="53" t="n">
        <f aca="false">IF(OR($A262&gt;TOMATO_BED_CAP,$B262&gt;CARROT_BED_CAP,AD$4&gt;MESCLUN_BED_CAP,$A262+$B262+AD$4&gt;TOTAL_BEDS_AVAILABLE,($D262+AD$5)&gt;TOTAL_LABOR_HOURS_CAP,MAX(0,($D262+AD$5)-PERMANENT_FIELD_LABOR_HOURS)&gt;TEMP_HOURS_CAP),"",$C262+AD$6-MIN(($D262+AD$5),PERMANENT_FIELD_LABOR_HOURS)*PERMANENT_HOURLY_RATE-MAX(0,($D262+AD$5)-PERMANENT_FIELD_LABOR_HOURS)*TEMP_HOURLY_RATE-FIXED_SEASON_COST)</f>
        <v>24331.9254089247</v>
      </c>
      <c r="AE262" s="53" t="n">
        <f aca="false">IF(OR($A262&gt;TOMATO_BED_CAP,$B262&gt;CARROT_BED_CAP,AE$4&gt;MESCLUN_BED_CAP,$A262+$B262+AE$4&gt;TOTAL_BEDS_AVAILABLE,($D262+AE$5)&gt;TOTAL_LABOR_HOURS_CAP,MAX(0,($D262+AE$5)-PERMANENT_FIELD_LABOR_HOURS)&gt;TEMP_HOURS_CAP),"",$C262+AE$6-MIN(($D262+AE$5),PERMANENT_FIELD_LABOR_HOURS)*PERMANENT_HOURLY_RATE-MAX(0,($D262+AE$5)-PERMANENT_FIELD_LABOR_HOURS)*TEMP_HOURLY_RATE-FIXED_SEASON_COST)</f>
        <v>24770.4526931586</v>
      </c>
      <c r="AF262" s="53" t="n">
        <f aca="false">IF(OR($A262&gt;TOMATO_BED_CAP,$B262&gt;CARROT_BED_CAP,AF$4&gt;MESCLUN_BED_CAP,$A262+$B262+AF$4&gt;TOTAL_BEDS_AVAILABLE,($D262+AF$5)&gt;TOTAL_LABOR_HOURS_CAP,MAX(0,($D262+AF$5)-PERMANENT_FIELD_LABOR_HOURS)&gt;TEMP_HOURS_CAP),"",$C262+AF$6-MIN(($D262+AF$5),PERMANENT_FIELD_LABOR_HOURS)*PERMANENT_HOURLY_RATE-MAX(0,($D262+AF$5)-PERMANENT_FIELD_LABOR_HOURS)*TEMP_HOURLY_RATE-FIXED_SEASON_COST)</f>
        <v>25178.3902244006</v>
      </c>
      <c r="AG262" s="53" t="n">
        <f aca="false">IF(OR($A262&gt;TOMATO_BED_CAP,$B262&gt;CARROT_BED_CAP,AG$4&gt;MESCLUN_BED_CAP,$A262+$B262+AG$4&gt;TOTAL_BEDS_AVAILABLE,($D262+AG$5)&gt;TOTAL_LABOR_HOURS_CAP,MAX(0,($D262+AG$5)-PERMANENT_FIELD_LABOR_HOURS)&gt;TEMP_HOURS_CAP),"",$C262+AG$6-MIN(($D262+AG$5),PERMANENT_FIELD_LABOR_HOURS)*PERMANENT_HOURLY_RATE-MAX(0,($D262+AG$5)-PERMANENT_FIELD_LABOR_HOURS)*TEMP_HOURLY_RATE-FIXED_SEASON_COST)</f>
        <v>25555.1891139376</v>
      </c>
      <c r="AH262" s="53" t="n">
        <f aca="false">IF(OR($A262&gt;TOMATO_BED_CAP,$B262&gt;CARROT_BED_CAP,AH$4&gt;MESCLUN_BED_CAP,$A262+$B262+AH$4&gt;TOTAL_BEDS_AVAILABLE,($D262+AH$5)&gt;TOTAL_LABOR_HOURS_CAP,MAX(0,($D262+AH$5)-PERMANENT_FIELD_LABOR_HOURS)&gt;TEMP_HOURS_CAP),"",$C262+AH$6-MIN(($D262+AH$5),PERMANENT_FIELD_LABOR_HOURS)*PERMANENT_HOURLY_RATE-MAX(0,($D262+AH$5)-PERMANENT_FIELD_LABOR_HOURS)*TEMP_HOURLY_RATE-FIXED_SEASON_COST)</f>
        <v>25900.2915304878</v>
      </c>
      <c r="AI262" s="53" t="n">
        <f aca="false">IF(OR($A262&gt;TOMATO_BED_CAP,$B262&gt;CARROT_BED_CAP,AI$4&gt;MESCLUN_BED_CAP,$A262+$B262+AI$4&gt;TOTAL_BEDS_AVAILABLE,($D262+AI$5)&gt;TOTAL_LABOR_HOURS_CAP,MAX(0,($D262+AI$5)-PERMANENT_FIELD_LABOR_HOURS)&gt;TEMP_HOURS_CAP),"",$C262+AI$6-MIN(($D262+AI$5),PERMANENT_FIELD_LABOR_HOURS)*PERMANENT_HOURLY_RATE-MAX(0,($D262+AI$5)-PERMANENT_FIELD_LABOR_HOURS)*TEMP_HOURLY_RATE-FIXED_SEASON_COST)</f>
        <v>26213.1305624001</v>
      </c>
      <c r="AJ262" s="53" t="n">
        <f aca="false">IF(OR($A262&gt;TOMATO_BED_CAP,$B262&gt;CARROT_BED_CAP,AJ$4&gt;MESCLUN_BED_CAP,$A262+$B262+AJ$4&gt;TOTAL_BEDS_AVAILABLE,($D262+AJ$5)&gt;TOTAL_LABOR_HOURS_CAP,MAX(0,($D262+AJ$5)-PERMANENT_FIELD_LABOR_HOURS)&gt;TEMP_HOURS_CAP),"",$C262+AJ$6-MIN(($D262+AJ$5),PERMANENT_FIELD_LABOR_HOURS)*PERMANENT_HOURLY_RATE-MAX(0,($D262+AJ$5)-PERMANENT_FIELD_LABOR_HOURS)*TEMP_HOURLY_RATE-FIXED_SEASON_COST)</f>
        <v>26493.1300778058</v>
      </c>
    </row>
    <row r="263" customFormat="false" ht="15" hidden="false" customHeight="false" outlineLevel="0" collapsed="false">
      <c r="A263" s="21" t="n">
        <f aca="false">INT((ROW()-ROW($A$8))/(20+1))</f>
        <v>12</v>
      </c>
      <c r="B263" s="21" t="n">
        <f aca="false">MOD(ROW()-ROW($A$8),20+1)</f>
        <v>3</v>
      </c>
      <c r="C263" s="13" t="n">
        <f aca="false">A263*(TOMATO_REVENUE_PER_BED-TOMATO_FERTILIZER_PER_BED)+B263*(CARROT_REVENUE_PER_BED-CARROT_FERTILIZER_PER_BED)</f>
        <v>100002</v>
      </c>
      <c r="D263" s="14" t="n">
        <f aca="false">INDEX(TOMATO_SCHED_LABOR_HRS,A263+1)+INDEX(CARROT_SCHED_LABOR_HRS,B263+1)</f>
        <v>3486.38403504618</v>
      </c>
      <c r="E263" s="13" t="n">
        <f aca="false">IF(COUNT(F263:AJ263)=0,"",MAX(F263:AJ263))</f>
        <v>27559.1624464708</v>
      </c>
      <c r="F263" s="53" t="n">
        <f aca="false">IF(OR($A263&gt;TOMATO_BED_CAP,$B263&gt;CARROT_BED_CAP,F$4&gt;MESCLUN_BED_CAP,$A263+$B263+F$4&gt;TOTAL_BEDS_AVAILABLE,($D263+F$5)&gt;TOTAL_LABOR_HOURS_CAP,MAX(0,($D263+F$5)-PERMANENT_FIELD_LABOR_HOURS)&gt;TEMP_HOURS_CAP),"",$C263+F$6-MIN(($D263+F$5),PERMANENT_FIELD_LABOR_HOURS)*PERMANENT_HOURLY_RATE-MAX(0,($D263+F$5)-PERMANENT_FIELD_LABOR_HOURS)*TEMP_HOURLY_RATE-FIXED_SEASON_COST)</f>
        <v>6979.17315159827</v>
      </c>
      <c r="G263" s="53" t="n">
        <f aca="false">IF(OR($A263&gt;TOMATO_BED_CAP,$B263&gt;CARROT_BED_CAP,G$4&gt;MESCLUN_BED_CAP,$A263+$B263+G$4&gt;TOTAL_BEDS_AVAILABLE,($D263+G$5)&gt;TOTAL_LABOR_HOURS_CAP,MAX(0,($D263+G$5)-PERMANENT_FIELD_LABOR_HOURS)&gt;TEMP_HOURS_CAP),"",$C263+G$6-MIN(($D263+G$5),PERMANENT_FIELD_LABOR_HOURS)*PERMANENT_HOURLY_RATE-MAX(0,($D263+G$5)-PERMANENT_FIELD_LABOR_HOURS)*TEMP_HOURLY_RATE-FIXED_SEASON_COST)</f>
        <v>8008.20815159826</v>
      </c>
      <c r="H263" s="53" t="n">
        <f aca="false">IF(OR($A263&gt;TOMATO_BED_CAP,$B263&gt;CARROT_BED_CAP,H$4&gt;MESCLUN_BED_CAP,$A263+$B263+H$4&gt;TOTAL_BEDS_AVAILABLE,($D263+H$5)&gt;TOTAL_LABOR_HOURS_CAP,MAX(0,($D263+H$5)-PERMANENT_FIELD_LABOR_HOURS)&gt;TEMP_HOURS_CAP),"",$C263+H$6-MIN(($D263+H$5),PERMANENT_FIELD_LABOR_HOURS)*PERMANENT_HOURLY_RATE-MAX(0,($D263+H$5)-PERMANENT_FIELD_LABOR_HOURS)*TEMP_HOURLY_RATE-FIXED_SEASON_COST)</f>
        <v>9017.46902659826</v>
      </c>
      <c r="I263" s="53" t="n">
        <f aca="false">IF(OR($A263&gt;TOMATO_BED_CAP,$B263&gt;CARROT_BED_CAP,I$4&gt;MESCLUN_BED_CAP,$A263+$B263+I$4&gt;TOTAL_BEDS_AVAILABLE,($D263+I$5)&gt;TOTAL_LABOR_HOURS_CAP,MAX(0,($D263+I$5)-PERMANENT_FIELD_LABOR_HOURS)&gt;TEMP_HOURS_CAP),"",$C263+I$6-MIN(($D263+I$5),PERMANENT_FIELD_LABOR_HOURS)*PERMANENT_HOURLY_RATE-MAX(0,($D263+I$5)-PERMANENT_FIELD_LABOR_HOURS)*TEMP_HOURLY_RATE-FIXED_SEASON_COST)</f>
        <v>10006.5850117545</v>
      </c>
      <c r="J263" s="53" t="n">
        <f aca="false">IF(OR($A263&gt;TOMATO_BED_CAP,$B263&gt;CARROT_BED_CAP,J$4&gt;MESCLUN_BED_CAP,$A263+$B263+J$4&gt;TOTAL_BEDS_AVAILABLE,($D263+J$5)&gt;TOTAL_LABOR_HOURS_CAP,MAX(0,($D263+J$5)-PERMANENT_FIELD_LABOR_HOURS)&gt;TEMP_HOURS_CAP),"",$C263+J$6-MIN(($D263+J$5),PERMANENT_FIELD_LABOR_HOURS)*PERMANENT_HOURLY_RATE-MAX(0,($D263+J$5)-PERMANENT_FIELD_LABOR_HOURS)*TEMP_HOURLY_RATE-FIXED_SEASON_COST)</f>
        <v>10975.1791628092</v>
      </c>
      <c r="K263" s="53" t="n">
        <f aca="false">IF(OR($A263&gt;TOMATO_BED_CAP,$B263&gt;CARROT_BED_CAP,K$4&gt;MESCLUN_BED_CAP,$A263+$B263+K$4&gt;TOTAL_BEDS_AVAILABLE,($D263+K$5)&gt;TOTAL_LABOR_HOURS_CAP,MAX(0,($D263+K$5)-PERMANENT_FIELD_LABOR_HOURS)&gt;TEMP_HOURS_CAP),"",$C263+K$6-MIN(($D263+K$5),PERMANENT_FIELD_LABOR_HOURS)*PERMANENT_HOURLY_RATE-MAX(0,($D263+K$5)-PERMANENT_FIELD_LABOR_HOURS)*TEMP_HOURLY_RATE-FIXED_SEASON_COST)</f>
        <v>11922.8682595371</v>
      </c>
      <c r="L263" s="53" t="n">
        <f aca="false">IF(OR($A263&gt;TOMATO_BED_CAP,$B263&gt;CARROT_BED_CAP,L$4&gt;MESCLUN_BED_CAP,$A263+$B263+L$4&gt;TOTAL_BEDS_AVAILABLE,($D263+L$5)&gt;TOTAL_LABOR_HOURS_CAP,MAX(0,($D263+L$5)-PERMANENT_FIELD_LABOR_HOURS)&gt;TEMP_HOURS_CAP),"",$C263+L$6-MIN(($D263+L$5),PERMANENT_FIELD_LABOR_HOURS)*PERMANENT_HOURLY_RATE-MAX(0,($D263+L$5)-PERMANENT_FIELD_LABOR_HOURS)*TEMP_HOURLY_RATE-FIXED_SEASON_COST)</f>
        <v>12849.262707744</v>
      </c>
      <c r="M263" s="53" t="n">
        <f aca="false">IF(OR($A263&gt;TOMATO_BED_CAP,$B263&gt;CARROT_BED_CAP,M$4&gt;MESCLUN_BED_CAP,$A263+$B263+M$4&gt;TOTAL_BEDS_AVAILABLE,($D263+M$5)&gt;TOTAL_LABOR_HOURS_CAP,MAX(0,($D263+M$5)-PERMANENT_FIELD_LABOR_HOURS)&gt;TEMP_HOURS_CAP),"",$C263+M$6-MIN(($D263+M$5),PERMANENT_FIELD_LABOR_HOURS)*PERMANENT_HOURLY_RATE-MAX(0,($D263+M$5)-PERMANENT_FIELD_LABOR_HOURS)*TEMP_HOURLY_RATE-FIXED_SEASON_COST)</f>
        <v>13753.9664397954</v>
      </c>
      <c r="N263" s="53" t="n">
        <f aca="false">IF(OR($A263&gt;TOMATO_BED_CAP,$B263&gt;CARROT_BED_CAP,N$4&gt;MESCLUN_BED_CAP,$A263+$B263+N$4&gt;TOTAL_BEDS_AVAILABLE,($D263+N$5)&gt;TOTAL_LABOR_HOURS_CAP,MAX(0,($D263+N$5)-PERMANENT_FIELD_LABOR_HOURS)&gt;TEMP_HOURS_CAP),"",$C263+N$6-MIN(($D263+N$5),PERMANENT_FIELD_LABOR_HOURS)*PERMANENT_HOURLY_RATE-MAX(0,($D263+N$5)-PERMANENT_FIELD_LABOR_HOURS)*TEMP_HOURLY_RATE-FIXED_SEASON_COST)</f>
        <v>14636.5768136549</v>
      </c>
      <c r="O263" s="53" t="n">
        <f aca="false">IF(OR($A263&gt;TOMATO_BED_CAP,$B263&gt;CARROT_BED_CAP,O$4&gt;MESCLUN_BED_CAP,$A263+$B263+O$4&gt;TOTAL_BEDS_AVAILABLE,($D263+O$5)&gt;TOTAL_LABOR_HOURS_CAP,MAX(0,($D263+O$5)-PERMANENT_FIELD_LABOR_HOURS)&gt;TEMP_HOURS_CAP),"",$C263+O$6-MIN(($D263+O$5),PERMANENT_FIELD_LABOR_HOURS)*PERMANENT_HOURLY_RATE-MAX(0,($D263+O$5)-PERMANENT_FIELD_LABOR_HOURS)*TEMP_HOURLY_RATE-FIXED_SEASON_COST)</f>
        <v>15496.6845104097</v>
      </c>
      <c r="P263" s="53" t="n">
        <f aca="false">IF(OR($A263&gt;TOMATO_BED_CAP,$B263&gt;CARROT_BED_CAP,P$4&gt;MESCLUN_BED_CAP,$A263+$B263+P$4&gt;TOTAL_BEDS_AVAILABLE,($D263+P$5)&gt;TOTAL_LABOR_HOURS_CAP,MAX(0,($D263+P$5)-PERMANENT_FIELD_LABOR_HOURS)&gt;TEMP_HOURS_CAP),"",$C263+P$6-MIN(($D263+P$5),PERMANENT_FIELD_LABOR_HOURS)*PERMANENT_HOURLY_RATE-MAX(0,($D263+P$5)-PERMANENT_FIELD_LABOR_HOURS)*TEMP_HOURLY_RATE-FIXED_SEASON_COST)</f>
        <v>16333.8734302611</v>
      </c>
      <c r="Q263" s="53" t="n">
        <f aca="false">IF(OR($A263&gt;TOMATO_BED_CAP,$B263&gt;CARROT_BED_CAP,Q$4&gt;MESCLUN_BED_CAP,$A263+$B263+Q$4&gt;TOTAL_BEDS_AVAILABLE,($D263+Q$5)&gt;TOTAL_LABOR_HOURS_CAP,MAX(0,($D263+Q$5)-PERMANENT_FIELD_LABOR_HOURS)&gt;TEMP_HOURS_CAP),"",$C263+Q$6-MIN(($D263+Q$5),PERMANENT_FIELD_LABOR_HOURS)*PERMANENT_HOURLY_RATE-MAX(0,($D263+Q$5)-PERMANENT_FIELD_LABOR_HOURS)*TEMP_HOURLY_RATE-FIXED_SEASON_COST)</f>
        <v>17147.720586959</v>
      </c>
      <c r="R263" s="53" t="n">
        <f aca="false">IF(OR($A263&gt;TOMATO_BED_CAP,$B263&gt;CARROT_BED_CAP,R$4&gt;MESCLUN_BED_CAP,$A263+$B263+R$4&gt;TOTAL_BEDS_AVAILABLE,($D263+R$5)&gt;TOTAL_LABOR_HOURS_CAP,MAX(0,($D263+R$5)-PERMANENT_FIELD_LABOR_HOURS)&gt;TEMP_HOURS_CAP),"",$C263+R$6-MIN(($D263+R$5),PERMANENT_FIELD_LABOR_HOURS)*PERMANENT_HOURLY_RATE-MAX(0,($D263+R$5)-PERMANENT_FIELD_LABOR_HOURS)*TEMP_HOURLY_RATE-FIXED_SEASON_COST)</f>
        <v>17937.7960006558</v>
      </c>
      <c r="S263" s="53" t="n">
        <f aca="false">IF(OR($A263&gt;TOMATO_BED_CAP,$B263&gt;CARROT_BED_CAP,S$4&gt;MESCLUN_BED_CAP,$A263+$B263+S$4&gt;TOTAL_BEDS_AVAILABLE,($D263+S$5)&gt;TOTAL_LABOR_HOURS_CAP,MAX(0,($D263+S$5)-PERMANENT_FIELD_LABOR_HOURS)&gt;TEMP_HOURS_CAP),"",$C263+S$6-MIN(($D263+S$5),PERMANENT_FIELD_LABOR_HOURS)*PERMANENT_HOURLY_RATE-MAX(0,($D263+S$5)-PERMANENT_FIELD_LABOR_HOURS)*TEMP_HOURLY_RATE-FIXED_SEASON_COST)</f>
        <v>18703.6625891582</v>
      </c>
      <c r="T263" s="53" t="n">
        <f aca="false">IF(OR($A263&gt;TOMATO_BED_CAP,$B263&gt;CARROT_BED_CAP,T$4&gt;MESCLUN_BED_CAP,$A263+$B263+T$4&gt;TOTAL_BEDS_AVAILABLE,($D263+T$5)&gt;TOTAL_LABOR_HOURS_CAP,MAX(0,($D263+T$5)-PERMANENT_FIELD_LABOR_HOURS)&gt;TEMP_HOURS_CAP),"",$C263+T$6-MIN(($D263+T$5),PERMANENT_FIELD_LABOR_HOURS)*PERMANENT_HOURLY_RATE-MAX(0,($D263+T$5)-PERMANENT_FIELD_LABOR_HOURS)*TEMP_HOURLY_RATE-FIXED_SEASON_COST)</f>
        <v>19444.8760575531</v>
      </c>
      <c r="U263" s="53" t="n">
        <f aca="false">IF(OR($A263&gt;TOMATO_BED_CAP,$B263&gt;CARROT_BED_CAP,U$4&gt;MESCLUN_BED_CAP,$A263+$B263+U$4&gt;TOTAL_BEDS_AVAILABLE,($D263+U$5)&gt;TOTAL_LABOR_HOURS_CAP,MAX(0,($D263+U$5)-PERMANENT_FIELD_LABOR_HOURS)&gt;TEMP_HOURS_CAP),"",$C263+U$6-MIN(($D263+U$5),PERMANENT_FIELD_LABOR_HOURS)*PERMANENT_HOURLY_RATE-MAX(0,($D263+U$5)-PERMANENT_FIELD_LABOR_HOURS)*TEMP_HOURLY_RATE-FIXED_SEASON_COST)</f>
        <v>20160.9847861832</v>
      </c>
      <c r="V263" s="53" t="n">
        <f aca="false">IF(OR($A263&gt;TOMATO_BED_CAP,$B263&gt;CARROT_BED_CAP,V$4&gt;MESCLUN_BED_CAP,$A263+$B263+V$4&gt;TOTAL_BEDS_AVAILABLE,($D263+V$5)&gt;TOTAL_LABOR_HOURS_CAP,MAX(0,($D263+V$5)-PERMANENT_FIELD_LABOR_HOURS)&gt;TEMP_HOURS_CAP),"",$C263+V$6-MIN(($D263+V$5),PERMANENT_FIELD_LABOR_HOURS)*PERMANENT_HOURLY_RATE-MAX(0,($D263+V$5)-PERMANENT_FIELD_LABOR_HOURS)*TEMP_HOURLY_RATE-FIXED_SEASON_COST)</f>
        <v>20851.52971695</v>
      </c>
      <c r="W263" s="53" t="n">
        <f aca="false">IF(OR($A263&gt;TOMATO_BED_CAP,$B263&gt;CARROT_BED_CAP,W$4&gt;MESCLUN_BED_CAP,$A263+$B263+W$4&gt;TOTAL_BEDS_AVAILABLE,($D263+W$5)&gt;TOTAL_LABOR_HOURS_CAP,MAX(0,($D263+W$5)-PERMANENT_FIELD_LABOR_HOURS)&gt;TEMP_HOURS_CAP),"",$C263+W$6-MIN(($D263+W$5),PERMANENT_FIELD_LABOR_HOURS)*PERMANENT_HOURLY_RATE-MAX(0,($D263+W$5)-PERMANENT_FIELD_LABOR_HOURS)*TEMP_HOURLY_RATE-FIXED_SEASON_COST)</f>
        <v>21516.044237918</v>
      </c>
      <c r="X263" s="53" t="n">
        <f aca="false">IF(OR($A263&gt;TOMATO_BED_CAP,$B263&gt;CARROT_BED_CAP,X$4&gt;MESCLUN_BED_CAP,$A263+$B263+X$4&gt;TOTAL_BEDS_AVAILABLE,($D263+X$5)&gt;TOTAL_LABOR_HOURS_CAP,MAX(0,($D263+X$5)-PERMANENT_FIELD_LABOR_HOURS)&gt;TEMP_HOURS_CAP),"",$C263+X$6-MIN(($D263+X$5),PERMANENT_FIELD_LABOR_HOURS)*PERMANENT_HOURLY_RATE-MAX(0,($D263+X$5)-PERMANENT_FIELD_LABOR_HOURS)*TEMP_HOURLY_RATE-FIXED_SEASON_COST)</f>
        <v>22154.054066197</v>
      </c>
      <c r="Y263" s="53" t="n">
        <f aca="false">IF(OR($A263&gt;TOMATO_BED_CAP,$B263&gt;CARROT_BED_CAP,Y$4&gt;MESCLUN_BED_CAP,$A263+$B263+Y$4&gt;TOTAL_BEDS_AVAILABLE,($D263+Y$5)&gt;TOTAL_LABOR_HOURS_CAP,MAX(0,($D263+Y$5)-PERMANENT_FIELD_LABOR_HOURS)&gt;TEMP_HOURS_CAP),"",$C263+Y$6-MIN(($D263+Y$5),PERMANENT_FIELD_LABOR_HOURS)*PERMANENT_HOURLY_RATE-MAX(0,($D263+Y$5)-PERMANENT_FIELD_LABOR_HOURS)*TEMP_HOURLY_RATE-FIXED_SEASON_COST)</f>
        <v>22765.0771290756</v>
      </c>
      <c r="Z263" s="53" t="n">
        <f aca="false">IF(OR($A263&gt;TOMATO_BED_CAP,$B263&gt;CARROT_BED_CAP,Z$4&gt;MESCLUN_BED_CAP,$A263+$B263+Z$4&gt;TOTAL_BEDS_AVAILABLE,($D263+Z$5)&gt;TOTAL_LABOR_HOURS_CAP,MAX(0,($D263+Z$5)-PERMANENT_FIELD_LABOR_HOURS)&gt;TEMP_HOURS_CAP),"",$C263+Z$6-MIN(($D263+Z$5),PERMANENT_FIELD_LABOR_HOURS)*PERMANENT_HOURLY_RATE-MAX(0,($D263+Z$5)-PERMANENT_FIELD_LABOR_HOURS)*TEMP_HOURLY_RATE-FIXED_SEASON_COST)</f>
        <v>23348.6234433833</v>
      </c>
      <c r="AA263" s="53" t="n">
        <f aca="false">IF(OR($A263&gt;TOMATO_BED_CAP,$B263&gt;CARROT_BED_CAP,AA$4&gt;MESCLUN_BED_CAP,$A263+$B263+AA$4&gt;TOTAL_BEDS_AVAILABLE,($D263+AA$5)&gt;TOTAL_LABOR_HOURS_CAP,MAX(0,($D263+AA$5)-PERMANENT_FIELD_LABOR_HOURS)&gt;TEMP_HOURS_CAP),"",$C263+AA$6-MIN(($D263+AA$5),PERMANENT_FIELD_LABOR_HOURS)*PERMANENT_HOURLY_RATE-MAX(0,($D263+AA$5)-PERMANENT_FIELD_LABOR_HOURS)*TEMP_HOURLY_RATE-FIXED_SEASON_COST)</f>
        <v>23904.1949930523</v>
      </c>
      <c r="AB263" s="53" t="n">
        <f aca="false">IF(OR($A263&gt;TOMATO_BED_CAP,$B263&gt;CARROT_BED_CAP,AB$4&gt;MESCLUN_BED_CAP,$A263+$B263+AB$4&gt;TOTAL_BEDS_AVAILABLE,($D263+AB$5)&gt;TOTAL_LABOR_HOURS_CAP,MAX(0,($D263+AB$5)-PERMANENT_FIELD_LABOR_HOURS)&gt;TEMP_HOURS_CAP),"",$C263+AB$6-MIN(($D263+AB$5),PERMANENT_FIELD_LABOR_HOURS)*PERMANENT_HOURLY_RATE-MAX(0,($D263+AB$5)-PERMANENT_FIELD_LABOR_HOURS)*TEMP_HOURLY_RATE-FIXED_SEASON_COST)</f>
        <v>24431.2856048548</v>
      </c>
      <c r="AC263" s="53" t="n">
        <f aca="false">IF(OR($A263&gt;TOMATO_BED_CAP,$B263&gt;CARROT_BED_CAP,AC$4&gt;MESCLUN_BED_CAP,$A263+$B263+AC$4&gt;TOTAL_BEDS_AVAILABLE,($D263+AC$5)&gt;TOTAL_LABOR_HOURS_CAP,MAX(0,($D263+AC$5)-PERMANENT_FIELD_LABOR_HOURS)&gt;TEMP_HOURS_CAP),"",$C263+AC$6-MIN(($D263+AC$5),PERMANENT_FIELD_LABOR_HOURS)*PERMANENT_HOURLY_RATE-MAX(0,($D263+AC$5)-PERMANENT_FIELD_LABOR_HOURS)*TEMP_HOURLY_RATE-FIXED_SEASON_COST)</f>
        <v>24929.3808222897</v>
      </c>
      <c r="AD263" s="53" t="n">
        <f aca="false">IF(OR($A263&gt;TOMATO_BED_CAP,$B263&gt;CARROT_BED_CAP,AD$4&gt;MESCLUN_BED_CAP,$A263+$B263+AD$4&gt;TOTAL_BEDS_AVAILABLE,($D263+AD$5)&gt;TOTAL_LABOR_HOURS_CAP,MAX(0,($D263+AD$5)-PERMANENT_FIELD_LABOR_HOURS)&gt;TEMP_HOURS_CAP),"",$C263+AD$6-MIN(($D263+AD$5),PERMANENT_FIELD_LABOR_HOURS)*PERMANENT_HOURLY_RATE-MAX(0,($D263+AD$5)-PERMANENT_FIELD_LABOR_HOURS)*TEMP_HOURLY_RATE-FIXED_SEASON_COST)</f>
        <v>25397.9577775897</v>
      </c>
      <c r="AE263" s="53" t="n">
        <f aca="false">IF(OR($A263&gt;TOMATO_BED_CAP,$B263&gt;CARROT_BED_CAP,AE$4&gt;MESCLUN_BED_CAP,$A263+$B263+AE$4&gt;TOTAL_BEDS_AVAILABLE,($D263+AE$5)&gt;TOTAL_LABOR_HOURS_CAP,MAX(0,($D263+AE$5)-PERMANENT_FIELD_LABOR_HOURS)&gt;TEMP_HOURS_CAP),"",$C263+AE$6-MIN(($D263+AE$5),PERMANENT_FIELD_LABOR_HOURS)*PERMANENT_HOURLY_RATE-MAX(0,($D263+AE$5)-PERMANENT_FIELD_LABOR_HOURS)*TEMP_HOURLY_RATE-FIXED_SEASON_COST)</f>
        <v>25836.4850618236</v>
      </c>
      <c r="AF263" s="53" t="n">
        <f aca="false">IF(OR($A263&gt;TOMATO_BED_CAP,$B263&gt;CARROT_BED_CAP,AF$4&gt;MESCLUN_BED_CAP,$A263+$B263+AF$4&gt;TOTAL_BEDS_AVAILABLE,($D263+AF$5)&gt;TOTAL_LABOR_HOURS_CAP,MAX(0,($D263+AF$5)-PERMANENT_FIELD_LABOR_HOURS)&gt;TEMP_HOURS_CAP),"",$C263+AF$6-MIN(($D263+AF$5),PERMANENT_FIELD_LABOR_HOURS)*PERMANENT_HOURLY_RATE-MAX(0,($D263+AF$5)-PERMANENT_FIELD_LABOR_HOURS)*TEMP_HOURLY_RATE-FIXED_SEASON_COST)</f>
        <v>26244.4225930656</v>
      </c>
      <c r="AG263" s="53" t="n">
        <f aca="false">IF(OR($A263&gt;TOMATO_BED_CAP,$B263&gt;CARROT_BED_CAP,AG$4&gt;MESCLUN_BED_CAP,$A263+$B263+AG$4&gt;TOTAL_BEDS_AVAILABLE,($D263+AG$5)&gt;TOTAL_LABOR_HOURS_CAP,MAX(0,($D263+AG$5)-PERMANENT_FIELD_LABOR_HOURS)&gt;TEMP_HOURS_CAP),"",$C263+AG$6-MIN(($D263+AG$5),PERMANENT_FIELD_LABOR_HOURS)*PERMANENT_HOURLY_RATE-MAX(0,($D263+AG$5)-PERMANENT_FIELD_LABOR_HOURS)*TEMP_HOURLY_RATE-FIXED_SEASON_COST)</f>
        <v>26621.2214826026</v>
      </c>
      <c r="AH263" s="53" t="n">
        <f aca="false">IF(OR($A263&gt;TOMATO_BED_CAP,$B263&gt;CARROT_BED_CAP,AH$4&gt;MESCLUN_BED_CAP,$A263+$B263+AH$4&gt;TOTAL_BEDS_AVAILABLE,($D263+AH$5)&gt;TOTAL_LABOR_HOURS_CAP,MAX(0,($D263+AH$5)-PERMANENT_FIELD_LABOR_HOURS)&gt;TEMP_HOURS_CAP),"",$C263+AH$6-MIN(($D263+AH$5),PERMANENT_FIELD_LABOR_HOURS)*PERMANENT_HOURLY_RATE-MAX(0,($D263+AH$5)-PERMANENT_FIELD_LABOR_HOURS)*TEMP_HOURLY_RATE-FIXED_SEASON_COST)</f>
        <v>26966.3238991528</v>
      </c>
      <c r="AI263" s="53" t="n">
        <f aca="false">IF(OR($A263&gt;TOMATO_BED_CAP,$B263&gt;CARROT_BED_CAP,AI$4&gt;MESCLUN_BED_CAP,$A263+$B263+AI$4&gt;TOTAL_BEDS_AVAILABLE,($D263+AI$5)&gt;TOTAL_LABOR_HOURS_CAP,MAX(0,($D263+AI$5)-PERMANENT_FIELD_LABOR_HOURS)&gt;TEMP_HOURS_CAP),"",$C263+AI$6-MIN(($D263+AI$5),PERMANENT_FIELD_LABOR_HOURS)*PERMANENT_HOURLY_RATE-MAX(0,($D263+AI$5)-PERMANENT_FIELD_LABOR_HOURS)*TEMP_HOURLY_RATE-FIXED_SEASON_COST)</f>
        <v>27279.1629310651</v>
      </c>
      <c r="AJ263" s="53" t="n">
        <f aca="false">IF(OR($A263&gt;TOMATO_BED_CAP,$B263&gt;CARROT_BED_CAP,AJ$4&gt;MESCLUN_BED_CAP,$A263+$B263+AJ$4&gt;TOTAL_BEDS_AVAILABLE,($D263+AJ$5)&gt;TOTAL_LABOR_HOURS_CAP,MAX(0,($D263+AJ$5)-PERMANENT_FIELD_LABOR_HOURS)&gt;TEMP_HOURS_CAP),"",$C263+AJ$6-MIN(($D263+AJ$5),PERMANENT_FIELD_LABOR_HOURS)*PERMANENT_HOURLY_RATE-MAX(0,($D263+AJ$5)-PERMANENT_FIELD_LABOR_HOURS)*TEMP_HOURLY_RATE-FIXED_SEASON_COST)</f>
        <v>27559.1624464708</v>
      </c>
    </row>
    <row r="264" customFormat="false" ht="15" hidden="false" customHeight="false" outlineLevel="0" collapsed="false">
      <c r="A264" s="21" t="n">
        <f aca="false">INT((ROW()-ROW($A$8))/(20+1))</f>
        <v>12</v>
      </c>
      <c r="B264" s="21" t="n">
        <f aca="false">MOD(ROW()-ROW($A$8),20+1)</f>
        <v>4</v>
      </c>
      <c r="C264" s="13" t="n">
        <f aca="false">A264*(TOMATO_REVENUE_PER_BED-TOMATO_FERTILIZER_PER_BED)+B264*(CARROT_REVENUE_PER_BED-CARROT_FERTILIZER_PER_BED)</f>
        <v>101656</v>
      </c>
      <c r="D264" s="14" t="n">
        <f aca="false">INDEX(TOMATO_SCHED_LABOR_HRS,A264+1)+INDEX(CARROT_SCHED_LABOR_HRS,B264+1)</f>
        <v>3521.90721071493</v>
      </c>
      <c r="E264" s="13" t="n">
        <f aca="false">IF(COUNT(F264:AJ264)=0,"",MAX(F264:AJ264))</f>
        <v>28596.4801168613</v>
      </c>
      <c r="F264" s="53" t="n">
        <f aca="false">IF(OR($A264&gt;TOMATO_BED_CAP,$B264&gt;CARROT_BED_CAP,F$4&gt;MESCLUN_BED_CAP,$A264+$B264+F$4&gt;TOTAL_BEDS_AVAILABLE,($D264+F$5)&gt;TOTAL_LABOR_HOURS_CAP,MAX(0,($D264+F$5)-PERMANENT_FIELD_LABOR_HOURS)&gt;TEMP_HOURS_CAP),"",$C264+F$6-MIN(($D264+F$5),PERMANENT_FIELD_LABOR_HOURS)*PERMANENT_HOURLY_RATE-MAX(0,($D264+F$5)-PERMANENT_FIELD_LABOR_HOURS)*TEMP_HOURLY_RATE-FIXED_SEASON_COST)</f>
        <v>8016.49082198877</v>
      </c>
      <c r="G264" s="53" t="n">
        <f aca="false">IF(OR($A264&gt;TOMATO_BED_CAP,$B264&gt;CARROT_BED_CAP,G$4&gt;MESCLUN_BED_CAP,$A264+$B264+G$4&gt;TOTAL_BEDS_AVAILABLE,($D264+G$5)&gt;TOTAL_LABOR_HOURS_CAP,MAX(0,($D264+G$5)-PERMANENT_FIELD_LABOR_HOURS)&gt;TEMP_HOURS_CAP),"",$C264+G$6-MIN(($D264+G$5),PERMANENT_FIELD_LABOR_HOURS)*PERMANENT_HOURLY_RATE-MAX(0,($D264+G$5)-PERMANENT_FIELD_LABOR_HOURS)*TEMP_HOURLY_RATE-FIXED_SEASON_COST)</f>
        <v>9045.52582198877</v>
      </c>
      <c r="H264" s="53" t="n">
        <f aca="false">IF(OR($A264&gt;TOMATO_BED_CAP,$B264&gt;CARROT_BED_CAP,H$4&gt;MESCLUN_BED_CAP,$A264+$B264+H$4&gt;TOTAL_BEDS_AVAILABLE,($D264+H$5)&gt;TOTAL_LABOR_HOURS_CAP,MAX(0,($D264+H$5)-PERMANENT_FIELD_LABOR_HOURS)&gt;TEMP_HOURS_CAP),"",$C264+H$6-MIN(($D264+H$5),PERMANENT_FIELD_LABOR_HOURS)*PERMANENT_HOURLY_RATE-MAX(0,($D264+H$5)-PERMANENT_FIELD_LABOR_HOURS)*TEMP_HOURLY_RATE-FIXED_SEASON_COST)</f>
        <v>10054.7866969888</v>
      </c>
      <c r="I264" s="53" t="n">
        <f aca="false">IF(OR($A264&gt;TOMATO_BED_CAP,$B264&gt;CARROT_BED_CAP,I$4&gt;MESCLUN_BED_CAP,$A264+$B264+I$4&gt;TOTAL_BEDS_AVAILABLE,($D264+I$5)&gt;TOTAL_LABOR_HOURS_CAP,MAX(0,($D264+I$5)-PERMANENT_FIELD_LABOR_HOURS)&gt;TEMP_HOURS_CAP),"",$C264+I$6-MIN(($D264+I$5),PERMANENT_FIELD_LABOR_HOURS)*PERMANENT_HOURLY_RATE-MAX(0,($D264+I$5)-PERMANENT_FIELD_LABOR_HOURS)*TEMP_HOURLY_RATE-FIXED_SEASON_COST)</f>
        <v>11043.902682145</v>
      </c>
      <c r="J264" s="53" t="n">
        <f aca="false">IF(OR($A264&gt;TOMATO_BED_CAP,$B264&gt;CARROT_BED_CAP,J$4&gt;MESCLUN_BED_CAP,$A264+$B264+J$4&gt;TOTAL_BEDS_AVAILABLE,($D264+J$5)&gt;TOTAL_LABOR_HOURS_CAP,MAX(0,($D264+J$5)-PERMANENT_FIELD_LABOR_HOURS)&gt;TEMP_HOURS_CAP),"",$C264+J$6-MIN(($D264+J$5),PERMANENT_FIELD_LABOR_HOURS)*PERMANENT_HOURLY_RATE-MAX(0,($D264+J$5)-PERMANENT_FIELD_LABOR_HOURS)*TEMP_HOURLY_RATE-FIXED_SEASON_COST)</f>
        <v>12012.4968331997</v>
      </c>
      <c r="K264" s="53" t="n">
        <f aca="false">IF(OR($A264&gt;TOMATO_BED_CAP,$B264&gt;CARROT_BED_CAP,K$4&gt;MESCLUN_BED_CAP,$A264+$B264+K$4&gt;TOTAL_BEDS_AVAILABLE,($D264+K$5)&gt;TOTAL_LABOR_HOURS_CAP,MAX(0,($D264+K$5)-PERMANENT_FIELD_LABOR_HOURS)&gt;TEMP_HOURS_CAP),"",$C264+K$6-MIN(($D264+K$5),PERMANENT_FIELD_LABOR_HOURS)*PERMANENT_HOURLY_RATE-MAX(0,($D264+K$5)-PERMANENT_FIELD_LABOR_HOURS)*TEMP_HOURLY_RATE-FIXED_SEASON_COST)</f>
        <v>12960.1859299276</v>
      </c>
      <c r="L264" s="53" t="n">
        <f aca="false">IF(OR($A264&gt;TOMATO_BED_CAP,$B264&gt;CARROT_BED_CAP,L$4&gt;MESCLUN_BED_CAP,$A264+$B264+L$4&gt;TOTAL_BEDS_AVAILABLE,($D264+L$5)&gt;TOTAL_LABOR_HOURS_CAP,MAX(0,($D264+L$5)-PERMANENT_FIELD_LABOR_HOURS)&gt;TEMP_HOURS_CAP),"",$C264+L$6-MIN(($D264+L$5),PERMANENT_FIELD_LABOR_HOURS)*PERMANENT_HOURLY_RATE-MAX(0,($D264+L$5)-PERMANENT_FIELD_LABOR_HOURS)*TEMP_HOURLY_RATE-FIXED_SEASON_COST)</f>
        <v>13886.5803781345</v>
      </c>
      <c r="M264" s="53" t="n">
        <f aca="false">IF(OR($A264&gt;TOMATO_BED_CAP,$B264&gt;CARROT_BED_CAP,M$4&gt;MESCLUN_BED_CAP,$A264+$B264+M$4&gt;TOTAL_BEDS_AVAILABLE,($D264+M$5)&gt;TOTAL_LABOR_HOURS_CAP,MAX(0,($D264+M$5)-PERMANENT_FIELD_LABOR_HOURS)&gt;TEMP_HOURS_CAP),"",$C264+M$6-MIN(($D264+M$5),PERMANENT_FIELD_LABOR_HOURS)*PERMANENT_HOURLY_RATE-MAX(0,($D264+M$5)-PERMANENT_FIELD_LABOR_HOURS)*TEMP_HOURLY_RATE-FIXED_SEASON_COST)</f>
        <v>14791.2841101859</v>
      </c>
      <c r="N264" s="53" t="n">
        <f aca="false">IF(OR($A264&gt;TOMATO_BED_CAP,$B264&gt;CARROT_BED_CAP,N$4&gt;MESCLUN_BED_CAP,$A264+$B264+N$4&gt;TOTAL_BEDS_AVAILABLE,($D264+N$5)&gt;TOTAL_LABOR_HOURS_CAP,MAX(0,($D264+N$5)-PERMANENT_FIELD_LABOR_HOURS)&gt;TEMP_HOURS_CAP),"",$C264+N$6-MIN(($D264+N$5),PERMANENT_FIELD_LABOR_HOURS)*PERMANENT_HOURLY_RATE-MAX(0,($D264+N$5)-PERMANENT_FIELD_LABOR_HOURS)*TEMP_HOURLY_RATE-FIXED_SEASON_COST)</f>
        <v>15673.8944840454</v>
      </c>
      <c r="O264" s="53" t="n">
        <f aca="false">IF(OR($A264&gt;TOMATO_BED_CAP,$B264&gt;CARROT_BED_CAP,O$4&gt;MESCLUN_BED_CAP,$A264+$B264+O$4&gt;TOTAL_BEDS_AVAILABLE,($D264+O$5)&gt;TOTAL_LABOR_HOURS_CAP,MAX(0,($D264+O$5)-PERMANENT_FIELD_LABOR_HOURS)&gt;TEMP_HOURS_CAP),"",$C264+O$6-MIN(($D264+O$5),PERMANENT_FIELD_LABOR_HOURS)*PERMANENT_HOURLY_RATE-MAX(0,($D264+O$5)-PERMANENT_FIELD_LABOR_HOURS)*TEMP_HOURLY_RATE-FIXED_SEASON_COST)</f>
        <v>16534.0021808002</v>
      </c>
      <c r="P264" s="53" t="n">
        <f aca="false">IF(OR($A264&gt;TOMATO_BED_CAP,$B264&gt;CARROT_BED_CAP,P$4&gt;MESCLUN_BED_CAP,$A264+$B264+P$4&gt;TOTAL_BEDS_AVAILABLE,($D264+P$5)&gt;TOTAL_LABOR_HOURS_CAP,MAX(0,($D264+P$5)-PERMANENT_FIELD_LABOR_HOURS)&gt;TEMP_HOURS_CAP),"",$C264+P$6-MIN(($D264+P$5),PERMANENT_FIELD_LABOR_HOURS)*PERMANENT_HOURLY_RATE-MAX(0,($D264+P$5)-PERMANENT_FIELD_LABOR_HOURS)*TEMP_HOURLY_RATE-FIXED_SEASON_COST)</f>
        <v>17371.1911006516</v>
      </c>
      <c r="Q264" s="53" t="n">
        <f aca="false">IF(OR($A264&gt;TOMATO_BED_CAP,$B264&gt;CARROT_BED_CAP,Q$4&gt;MESCLUN_BED_CAP,$A264+$B264+Q$4&gt;TOTAL_BEDS_AVAILABLE,($D264+Q$5)&gt;TOTAL_LABOR_HOURS_CAP,MAX(0,($D264+Q$5)-PERMANENT_FIELD_LABOR_HOURS)&gt;TEMP_HOURS_CAP),"",$C264+Q$6-MIN(($D264+Q$5),PERMANENT_FIELD_LABOR_HOURS)*PERMANENT_HOURLY_RATE-MAX(0,($D264+Q$5)-PERMANENT_FIELD_LABOR_HOURS)*TEMP_HOURLY_RATE-FIXED_SEASON_COST)</f>
        <v>18185.0382573495</v>
      </c>
      <c r="R264" s="53" t="n">
        <f aca="false">IF(OR($A264&gt;TOMATO_BED_CAP,$B264&gt;CARROT_BED_CAP,R$4&gt;MESCLUN_BED_CAP,$A264+$B264+R$4&gt;TOTAL_BEDS_AVAILABLE,($D264+R$5)&gt;TOTAL_LABOR_HOURS_CAP,MAX(0,($D264+R$5)-PERMANENT_FIELD_LABOR_HOURS)&gt;TEMP_HOURS_CAP),"",$C264+R$6-MIN(($D264+R$5),PERMANENT_FIELD_LABOR_HOURS)*PERMANENT_HOURLY_RATE-MAX(0,($D264+R$5)-PERMANENT_FIELD_LABOR_HOURS)*TEMP_HOURLY_RATE-FIXED_SEASON_COST)</f>
        <v>18975.1136710463</v>
      </c>
      <c r="S264" s="53" t="n">
        <f aca="false">IF(OR($A264&gt;TOMATO_BED_CAP,$B264&gt;CARROT_BED_CAP,S$4&gt;MESCLUN_BED_CAP,$A264+$B264+S$4&gt;TOTAL_BEDS_AVAILABLE,($D264+S$5)&gt;TOTAL_LABOR_HOURS_CAP,MAX(0,($D264+S$5)-PERMANENT_FIELD_LABOR_HOURS)&gt;TEMP_HOURS_CAP),"",$C264+S$6-MIN(($D264+S$5),PERMANENT_FIELD_LABOR_HOURS)*PERMANENT_HOURLY_RATE-MAX(0,($D264+S$5)-PERMANENT_FIELD_LABOR_HOURS)*TEMP_HOURLY_RATE-FIXED_SEASON_COST)</f>
        <v>19740.9802595488</v>
      </c>
      <c r="T264" s="53" t="n">
        <f aca="false">IF(OR($A264&gt;TOMATO_BED_CAP,$B264&gt;CARROT_BED_CAP,T$4&gt;MESCLUN_BED_CAP,$A264+$B264+T$4&gt;TOTAL_BEDS_AVAILABLE,($D264+T$5)&gt;TOTAL_LABOR_HOURS_CAP,MAX(0,($D264+T$5)-PERMANENT_FIELD_LABOR_HOURS)&gt;TEMP_HOURS_CAP),"",$C264+T$6-MIN(($D264+T$5),PERMANENT_FIELD_LABOR_HOURS)*PERMANENT_HOURLY_RATE-MAX(0,($D264+T$5)-PERMANENT_FIELD_LABOR_HOURS)*TEMP_HOURLY_RATE-FIXED_SEASON_COST)</f>
        <v>20482.1937279436</v>
      </c>
      <c r="U264" s="53" t="n">
        <f aca="false">IF(OR($A264&gt;TOMATO_BED_CAP,$B264&gt;CARROT_BED_CAP,U$4&gt;MESCLUN_BED_CAP,$A264+$B264+U$4&gt;TOTAL_BEDS_AVAILABLE,($D264+U$5)&gt;TOTAL_LABOR_HOURS_CAP,MAX(0,($D264+U$5)-PERMANENT_FIELD_LABOR_HOURS)&gt;TEMP_HOURS_CAP),"",$C264+U$6-MIN(($D264+U$5),PERMANENT_FIELD_LABOR_HOURS)*PERMANENT_HOURLY_RATE-MAX(0,($D264+U$5)-PERMANENT_FIELD_LABOR_HOURS)*TEMP_HOURLY_RATE-FIXED_SEASON_COST)</f>
        <v>21198.3024565737</v>
      </c>
      <c r="V264" s="53" t="n">
        <f aca="false">IF(OR($A264&gt;TOMATO_BED_CAP,$B264&gt;CARROT_BED_CAP,V$4&gt;MESCLUN_BED_CAP,$A264+$B264+V$4&gt;TOTAL_BEDS_AVAILABLE,($D264+V$5)&gt;TOTAL_LABOR_HOURS_CAP,MAX(0,($D264+V$5)-PERMANENT_FIELD_LABOR_HOURS)&gt;TEMP_HOURS_CAP),"",$C264+V$6-MIN(($D264+V$5),PERMANENT_FIELD_LABOR_HOURS)*PERMANENT_HOURLY_RATE-MAX(0,($D264+V$5)-PERMANENT_FIELD_LABOR_HOURS)*TEMP_HOURLY_RATE-FIXED_SEASON_COST)</f>
        <v>21888.8473873405</v>
      </c>
      <c r="W264" s="53" t="n">
        <f aca="false">IF(OR($A264&gt;TOMATO_BED_CAP,$B264&gt;CARROT_BED_CAP,W$4&gt;MESCLUN_BED_CAP,$A264+$B264+W$4&gt;TOTAL_BEDS_AVAILABLE,($D264+W$5)&gt;TOTAL_LABOR_HOURS_CAP,MAX(0,($D264+W$5)-PERMANENT_FIELD_LABOR_HOURS)&gt;TEMP_HOURS_CAP),"",$C264+W$6-MIN(($D264+W$5),PERMANENT_FIELD_LABOR_HOURS)*PERMANENT_HOURLY_RATE-MAX(0,($D264+W$5)-PERMANENT_FIELD_LABOR_HOURS)*TEMP_HOURLY_RATE-FIXED_SEASON_COST)</f>
        <v>22553.3619083085</v>
      </c>
      <c r="X264" s="53" t="n">
        <f aca="false">IF(OR($A264&gt;TOMATO_BED_CAP,$B264&gt;CARROT_BED_CAP,X$4&gt;MESCLUN_BED_CAP,$A264+$B264+X$4&gt;TOTAL_BEDS_AVAILABLE,($D264+X$5)&gt;TOTAL_LABOR_HOURS_CAP,MAX(0,($D264+X$5)-PERMANENT_FIELD_LABOR_HOURS)&gt;TEMP_HOURS_CAP),"",$C264+X$6-MIN(($D264+X$5),PERMANENT_FIELD_LABOR_HOURS)*PERMANENT_HOURLY_RATE-MAX(0,($D264+X$5)-PERMANENT_FIELD_LABOR_HOURS)*TEMP_HOURLY_RATE-FIXED_SEASON_COST)</f>
        <v>23191.3717365875</v>
      </c>
      <c r="Y264" s="53" t="n">
        <f aca="false">IF(OR($A264&gt;TOMATO_BED_CAP,$B264&gt;CARROT_BED_CAP,Y$4&gt;MESCLUN_BED_CAP,$A264+$B264+Y$4&gt;TOTAL_BEDS_AVAILABLE,($D264+Y$5)&gt;TOTAL_LABOR_HOURS_CAP,MAX(0,($D264+Y$5)-PERMANENT_FIELD_LABOR_HOURS)&gt;TEMP_HOURS_CAP),"",$C264+Y$6-MIN(($D264+Y$5),PERMANENT_FIELD_LABOR_HOURS)*PERMANENT_HOURLY_RATE-MAX(0,($D264+Y$5)-PERMANENT_FIELD_LABOR_HOURS)*TEMP_HOURLY_RATE-FIXED_SEASON_COST)</f>
        <v>23802.3947994661</v>
      </c>
      <c r="Z264" s="53" t="n">
        <f aca="false">IF(OR($A264&gt;TOMATO_BED_CAP,$B264&gt;CARROT_BED_CAP,Z$4&gt;MESCLUN_BED_CAP,$A264+$B264+Z$4&gt;TOTAL_BEDS_AVAILABLE,($D264+Z$5)&gt;TOTAL_LABOR_HOURS_CAP,MAX(0,($D264+Z$5)-PERMANENT_FIELD_LABOR_HOURS)&gt;TEMP_HOURS_CAP),"",$C264+Z$6-MIN(($D264+Z$5),PERMANENT_FIELD_LABOR_HOURS)*PERMANENT_HOURLY_RATE-MAX(0,($D264+Z$5)-PERMANENT_FIELD_LABOR_HOURS)*TEMP_HOURLY_RATE-FIXED_SEASON_COST)</f>
        <v>24385.9411137739</v>
      </c>
      <c r="AA264" s="53" t="n">
        <f aca="false">IF(OR($A264&gt;TOMATO_BED_CAP,$B264&gt;CARROT_BED_CAP,AA$4&gt;MESCLUN_BED_CAP,$A264+$B264+AA$4&gt;TOTAL_BEDS_AVAILABLE,($D264+AA$5)&gt;TOTAL_LABOR_HOURS_CAP,MAX(0,($D264+AA$5)-PERMANENT_FIELD_LABOR_HOURS)&gt;TEMP_HOURS_CAP),"",$C264+AA$6-MIN(($D264+AA$5),PERMANENT_FIELD_LABOR_HOURS)*PERMANENT_HOURLY_RATE-MAX(0,($D264+AA$5)-PERMANENT_FIELD_LABOR_HOURS)*TEMP_HOURLY_RATE-FIXED_SEASON_COST)</f>
        <v>24941.5126634428</v>
      </c>
      <c r="AB264" s="53" t="n">
        <f aca="false">IF(OR($A264&gt;TOMATO_BED_CAP,$B264&gt;CARROT_BED_CAP,AB$4&gt;MESCLUN_BED_CAP,$A264+$B264+AB$4&gt;TOTAL_BEDS_AVAILABLE,($D264+AB$5)&gt;TOTAL_LABOR_HOURS_CAP,MAX(0,($D264+AB$5)-PERMANENT_FIELD_LABOR_HOURS)&gt;TEMP_HOURS_CAP),"",$C264+AB$6-MIN(($D264+AB$5),PERMANENT_FIELD_LABOR_HOURS)*PERMANENT_HOURLY_RATE-MAX(0,($D264+AB$5)-PERMANENT_FIELD_LABOR_HOURS)*TEMP_HOURLY_RATE-FIXED_SEASON_COST)</f>
        <v>25468.6032752453</v>
      </c>
      <c r="AC264" s="53" t="n">
        <f aca="false">IF(OR($A264&gt;TOMATO_BED_CAP,$B264&gt;CARROT_BED_CAP,AC$4&gt;MESCLUN_BED_CAP,$A264+$B264+AC$4&gt;TOTAL_BEDS_AVAILABLE,($D264+AC$5)&gt;TOTAL_LABOR_HOURS_CAP,MAX(0,($D264+AC$5)-PERMANENT_FIELD_LABOR_HOURS)&gt;TEMP_HOURS_CAP),"",$C264+AC$6-MIN(($D264+AC$5),PERMANENT_FIELD_LABOR_HOURS)*PERMANENT_HOURLY_RATE-MAX(0,($D264+AC$5)-PERMANENT_FIELD_LABOR_HOURS)*TEMP_HOURLY_RATE-FIXED_SEASON_COST)</f>
        <v>25966.6984926802</v>
      </c>
      <c r="AD264" s="53" t="n">
        <f aca="false">IF(OR($A264&gt;TOMATO_BED_CAP,$B264&gt;CARROT_BED_CAP,AD$4&gt;MESCLUN_BED_CAP,$A264+$B264+AD$4&gt;TOTAL_BEDS_AVAILABLE,($D264+AD$5)&gt;TOTAL_LABOR_HOURS_CAP,MAX(0,($D264+AD$5)-PERMANENT_FIELD_LABOR_HOURS)&gt;TEMP_HOURS_CAP),"",$C264+AD$6-MIN(($D264+AD$5),PERMANENT_FIELD_LABOR_HOURS)*PERMANENT_HOURLY_RATE-MAX(0,($D264+AD$5)-PERMANENT_FIELD_LABOR_HOURS)*TEMP_HOURLY_RATE-FIXED_SEASON_COST)</f>
        <v>26435.2754479802</v>
      </c>
      <c r="AE264" s="53" t="n">
        <f aca="false">IF(OR($A264&gt;TOMATO_BED_CAP,$B264&gt;CARROT_BED_CAP,AE$4&gt;MESCLUN_BED_CAP,$A264+$B264+AE$4&gt;TOTAL_BEDS_AVAILABLE,($D264+AE$5)&gt;TOTAL_LABOR_HOURS_CAP,MAX(0,($D264+AE$5)-PERMANENT_FIELD_LABOR_HOURS)&gt;TEMP_HOURS_CAP),"",$C264+AE$6-MIN(($D264+AE$5),PERMANENT_FIELD_LABOR_HOURS)*PERMANENT_HOURLY_RATE-MAX(0,($D264+AE$5)-PERMANENT_FIELD_LABOR_HOURS)*TEMP_HOURLY_RATE-FIXED_SEASON_COST)</f>
        <v>26873.8027322141</v>
      </c>
      <c r="AF264" s="53" t="n">
        <f aca="false">IF(OR($A264&gt;TOMATO_BED_CAP,$B264&gt;CARROT_BED_CAP,AF$4&gt;MESCLUN_BED_CAP,$A264+$B264+AF$4&gt;TOTAL_BEDS_AVAILABLE,($D264+AF$5)&gt;TOTAL_LABOR_HOURS_CAP,MAX(0,($D264+AF$5)-PERMANENT_FIELD_LABOR_HOURS)&gt;TEMP_HOURS_CAP),"",$C264+AF$6-MIN(($D264+AF$5),PERMANENT_FIELD_LABOR_HOURS)*PERMANENT_HOURLY_RATE-MAX(0,($D264+AF$5)-PERMANENT_FIELD_LABOR_HOURS)*TEMP_HOURLY_RATE-FIXED_SEASON_COST)</f>
        <v>27281.7402634561</v>
      </c>
      <c r="AG264" s="53" t="n">
        <f aca="false">IF(OR($A264&gt;TOMATO_BED_CAP,$B264&gt;CARROT_BED_CAP,AG$4&gt;MESCLUN_BED_CAP,$A264+$B264+AG$4&gt;TOTAL_BEDS_AVAILABLE,($D264+AG$5)&gt;TOTAL_LABOR_HOURS_CAP,MAX(0,($D264+AG$5)-PERMANENT_FIELD_LABOR_HOURS)&gt;TEMP_HOURS_CAP),"",$C264+AG$6-MIN(($D264+AG$5),PERMANENT_FIELD_LABOR_HOURS)*PERMANENT_HOURLY_RATE-MAX(0,($D264+AG$5)-PERMANENT_FIELD_LABOR_HOURS)*TEMP_HOURLY_RATE-FIXED_SEASON_COST)</f>
        <v>27658.5391529931</v>
      </c>
      <c r="AH264" s="53" t="n">
        <f aca="false">IF(OR($A264&gt;TOMATO_BED_CAP,$B264&gt;CARROT_BED_CAP,AH$4&gt;MESCLUN_BED_CAP,$A264+$B264+AH$4&gt;TOTAL_BEDS_AVAILABLE,($D264+AH$5)&gt;TOTAL_LABOR_HOURS_CAP,MAX(0,($D264+AH$5)-PERMANENT_FIELD_LABOR_HOURS)&gt;TEMP_HOURS_CAP),"",$C264+AH$6-MIN(($D264+AH$5),PERMANENT_FIELD_LABOR_HOURS)*PERMANENT_HOURLY_RATE-MAX(0,($D264+AH$5)-PERMANENT_FIELD_LABOR_HOURS)*TEMP_HOURLY_RATE-FIXED_SEASON_COST)</f>
        <v>28003.6415695433</v>
      </c>
      <c r="AI264" s="53" t="n">
        <f aca="false">IF(OR($A264&gt;TOMATO_BED_CAP,$B264&gt;CARROT_BED_CAP,AI$4&gt;MESCLUN_BED_CAP,$A264+$B264+AI$4&gt;TOTAL_BEDS_AVAILABLE,($D264+AI$5)&gt;TOTAL_LABOR_HOURS_CAP,MAX(0,($D264+AI$5)-PERMANENT_FIELD_LABOR_HOURS)&gt;TEMP_HOURS_CAP),"",$C264+AI$6-MIN(($D264+AI$5),PERMANENT_FIELD_LABOR_HOURS)*PERMANENT_HOURLY_RATE-MAX(0,($D264+AI$5)-PERMANENT_FIELD_LABOR_HOURS)*TEMP_HOURLY_RATE-FIXED_SEASON_COST)</f>
        <v>28316.4806014556</v>
      </c>
      <c r="AJ264" s="53" t="n">
        <f aca="false">IF(OR($A264&gt;TOMATO_BED_CAP,$B264&gt;CARROT_BED_CAP,AJ$4&gt;MESCLUN_BED_CAP,$A264+$B264+AJ$4&gt;TOTAL_BEDS_AVAILABLE,($D264+AJ$5)&gt;TOTAL_LABOR_HOURS_CAP,MAX(0,($D264+AJ$5)-PERMANENT_FIELD_LABOR_HOURS)&gt;TEMP_HOURS_CAP),"",$C264+AJ$6-MIN(($D264+AJ$5),PERMANENT_FIELD_LABOR_HOURS)*PERMANENT_HOURLY_RATE-MAX(0,($D264+AJ$5)-PERMANENT_FIELD_LABOR_HOURS)*TEMP_HOURLY_RATE-FIXED_SEASON_COST)</f>
        <v>28596.4801168613</v>
      </c>
    </row>
    <row r="265" customFormat="false" ht="15" hidden="false" customHeight="false" outlineLevel="0" collapsed="false">
      <c r="A265" s="21" t="n">
        <f aca="false">INT((ROW()-ROW($A$8))/(20+1))</f>
        <v>12</v>
      </c>
      <c r="B265" s="21" t="n">
        <f aca="false">MOD(ROW()-ROW($A$8),20+1)</f>
        <v>5</v>
      </c>
      <c r="C265" s="13" t="n">
        <f aca="false">A265*(TOMATO_REVENUE_PER_BED-TOMATO_FERTILIZER_PER_BED)+B265*(CARROT_REVENUE_PER_BED-CARROT_FERTILIZER_PER_BED)</f>
        <v>103310</v>
      </c>
      <c r="D265" s="14" t="n">
        <f aca="false">INDEX(TOMATO_SCHED_LABOR_HRS,A265+1)+INDEX(CARROT_SCHED_LABOR_HRS,B265+1)</f>
        <v>3559.1459942995</v>
      </c>
      <c r="E265" s="13" t="n">
        <f aca="false">IF(COUNT(F265:AJ265)=0,"",MAX(F265:AJ265))</f>
        <v>29604.0148338332</v>
      </c>
      <c r="F265" s="53" t="n">
        <f aca="false">IF(OR($A265&gt;TOMATO_BED_CAP,$B265&gt;CARROT_BED_CAP,F$4&gt;MESCLUN_BED_CAP,$A265+$B265+F$4&gt;TOTAL_BEDS_AVAILABLE,($D265+F$5)&gt;TOTAL_LABOR_HOURS_CAP,MAX(0,($D265+F$5)-PERMANENT_FIELD_LABOR_HOURS)&gt;TEMP_HOURS_CAP),"",$C265+F$6-MIN(($D265+F$5),PERMANENT_FIELD_LABOR_HOURS)*PERMANENT_HOURLY_RATE-MAX(0,($D265+F$5)-PERMANENT_FIELD_LABOR_HOURS)*TEMP_HOURLY_RATE-FIXED_SEASON_COST)</f>
        <v>9024.02553896062</v>
      </c>
      <c r="G265" s="53" t="n">
        <f aca="false">IF(OR($A265&gt;TOMATO_BED_CAP,$B265&gt;CARROT_BED_CAP,G$4&gt;MESCLUN_BED_CAP,$A265+$B265+G$4&gt;TOTAL_BEDS_AVAILABLE,($D265+G$5)&gt;TOTAL_LABOR_HOURS_CAP,MAX(0,($D265+G$5)-PERMANENT_FIELD_LABOR_HOURS)&gt;TEMP_HOURS_CAP),"",$C265+G$6-MIN(($D265+G$5),PERMANENT_FIELD_LABOR_HOURS)*PERMANENT_HOURLY_RATE-MAX(0,($D265+G$5)-PERMANENT_FIELD_LABOR_HOURS)*TEMP_HOURLY_RATE-FIXED_SEASON_COST)</f>
        <v>10053.0605389606</v>
      </c>
      <c r="H265" s="53" t="n">
        <f aca="false">IF(OR($A265&gt;TOMATO_BED_CAP,$B265&gt;CARROT_BED_CAP,H$4&gt;MESCLUN_BED_CAP,$A265+$B265+H$4&gt;TOTAL_BEDS_AVAILABLE,($D265+H$5)&gt;TOTAL_LABOR_HOURS_CAP,MAX(0,($D265+H$5)-PERMANENT_FIELD_LABOR_HOURS)&gt;TEMP_HOURS_CAP),"",$C265+H$6-MIN(($D265+H$5),PERMANENT_FIELD_LABOR_HOURS)*PERMANENT_HOURLY_RATE-MAX(0,($D265+H$5)-PERMANENT_FIELD_LABOR_HOURS)*TEMP_HOURLY_RATE-FIXED_SEASON_COST)</f>
        <v>11062.3214139606</v>
      </c>
      <c r="I265" s="53" t="n">
        <f aca="false">IF(OR($A265&gt;TOMATO_BED_CAP,$B265&gt;CARROT_BED_CAP,I$4&gt;MESCLUN_BED_CAP,$A265+$B265+I$4&gt;TOTAL_BEDS_AVAILABLE,($D265+I$5)&gt;TOTAL_LABOR_HOURS_CAP,MAX(0,($D265+I$5)-PERMANENT_FIELD_LABOR_HOURS)&gt;TEMP_HOURS_CAP),"",$C265+I$6-MIN(($D265+I$5),PERMANENT_FIELD_LABOR_HOURS)*PERMANENT_HOURLY_RATE-MAX(0,($D265+I$5)-PERMANENT_FIELD_LABOR_HOURS)*TEMP_HOURLY_RATE-FIXED_SEASON_COST)</f>
        <v>12051.4373991169</v>
      </c>
      <c r="J265" s="53" t="n">
        <f aca="false">IF(OR($A265&gt;TOMATO_BED_CAP,$B265&gt;CARROT_BED_CAP,J$4&gt;MESCLUN_BED_CAP,$A265+$B265+J$4&gt;TOTAL_BEDS_AVAILABLE,($D265+J$5)&gt;TOTAL_LABOR_HOURS_CAP,MAX(0,($D265+J$5)-PERMANENT_FIELD_LABOR_HOURS)&gt;TEMP_HOURS_CAP),"",$C265+J$6-MIN(($D265+J$5),PERMANENT_FIELD_LABOR_HOURS)*PERMANENT_HOURLY_RATE-MAX(0,($D265+J$5)-PERMANENT_FIELD_LABOR_HOURS)*TEMP_HOURLY_RATE-FIXED_SEASON_COST)</f>
        <v>13020.0315501716</v>
      </c>
      <c r="K265" s="53" t="n">
        <f aca="false">IF(OR($A265&gt;TOMATO_BED_CAP,$B265&gt;CARROT_BED_CAP,K$4&gt;MESCLUN_BED_CAP,$A265+$B265+K$4&gt;TOTAL_BEDS_AVAILABLE,($D265+K$5)&gt;TOTAL_LABOR_HOURS_CAP,MAX(0,($D265+K$5)-PERMANENT_FIELD_LABOR_HOURS)&gt;TEMP_HOURS_CAP),"",$C265+K$6-MIN(($D265+K$5),PERMANENT_FIELD_LABOR_HOURS)*PERMANENT_HOURLY_RATE-MAX(0,($D265+K$5)-PERMANENT_FIELD_LABOR_HOURS)*TEMP_HOURLY_RATE-FIXED_SEASON_COST)</f>
        <v>13967.7206468995</v>
      </c>
      <c r="L265" s="53" t="n">
        <f aca="false">IF(OR($A265&gt;TOMATO_BED_CAP,$B265&gt;CARROT_BED_CAP,L$4&gt;MESCLUN_BED_CAP,$A265+$B265+L$4&gt;TOTAL_BEDS_AVAILABLE,($D265+L$5)&gt;TOTAL_LABOR_HOURS_CAP,MAX(0,($D265+L$5)-PERMANENT_FIELD_LABOR_HOURS)&gt;TEMP_HOURS_CAP),"",$C265+L$6-MIN(($D265+L$5),PERMANENT_FIELD_LABOR_HOURS)*PERMANENT_HOURLY_RATE-MAX(0,($D265+L$5)-PERMANENT_FIELD_LABOR_HOURS)*TEMP_HOURLY_RATE-FIXED_SEASON_COST)</f>
        <v>14894.1150951063</v>
      </c>
      <c r="M265" s="53" t="n">
        <f aca="false">IF(OR($A265&gt;TOMATO_BED_CAP,$B265&gt;CARROT_BED_CAP,M$4&gt;MESCLUN_BED_CAP,$A265+$B265+M$4&gt;TOTAL_BEDS_AVAILABLE,($D265+M$5)&gt;TOTAL_LABOR_HOURS_CAP,MAX(0,($D265+M$5)-PERMANENT_FIELD_LABOR_HOURS)&gt;TEMP_HOURS_CAP),"",$C265+M$6-MIN(($D265+M$5),PERMANENT_FIELD_LABOR_HOURS)*PERMANENT_HOURLY_RATE-MAX(0,($D265+M$5)-PERMANENT_FIELD_LABOR_HOURS)*TEMP_HOURLY_RATE-FIXED_SEASON_COST)</f>
        <v>15798.8188271577</v>
      </c>
      <c r="N265" s="53" t="n">
        <f aca="false">IF(OR($A265&gt;TOMATO_BED_CAP,$B265&gt;CARROT_BED_CAP,N$4&gt;MESCLUN_BED_CAP,$A265+$B265+N$4&gt;TOTAL_BEDS_AVAILABLE,($D265+N$5)&gt;TOTAL_LABOR_HOURS_CAP,MAX(0,($D265+N$5)-PERMANENT_FIELD_LABOR_HOURS)&gt;TEMP_HOURS_CAP),"",$C265+N$6-MIN(($D265+N$5),PERMANENT_FIELD_LABOR_HOURS)*PERMANENT_HOURLY_RATE-MAX(0,($D265+N$5)-PERMANENT_FIELD_LABOR_HOURS)*TEMP_HOURLY_RATE-FIXED_SEASON_COST)</f>
        <v>16681.4292010173</v>
      </c>
      <c r="O265" s="53" t="n">
        <f aca="false">IF(OR($A265&gt;TOMATO_BED_CAP,$B265&gt;CARROT_BED_CAP,O$4&gt;MESCLUN_BED_CAP,$A265+$B265+O$4&gt;TOTAL_BEDS_AVAILABLE,($D265+O$5)&gt;TOTAL_LABOR_HOURS_CAP,MAX(0,($D265+O$5)-PERMANENT_FIELD_LABOR_HOURS)&gt;TEMP_HOURS_CAP),"",$C265+O$6-MIN(($D265+O$5),PERMANENT_FIELD_LABOR_HOURS)*PERMANENT_HOURLY_RATE-MAX(0,($D265+O$5)-PERMANENT_FIELD_LABOR_HOURS)*TEMP_HOURLY_RATE-FIXED_SEASON_COST)</f>
        <v>17541.536897772</v>
      </c>
      <c r="P265" s="53" t="n">
        <f aca="false">IF(OR($A265&gt;TOMATO_BED_CAP,$B265&gt;CARROT_BED_CAP,P$4&gt;MESCLUN_BED_CAP,$A265+$B265+P$4&gt;TOTAL_BEDS_AVAILABLE,($D265+P$5)&gt;TOTAL_LABOR_HOURS_CAP,MAX(0,($D265+P$5)-PERMANENT_FIELD_LABOR_HOURS)&gt;TEMP_HOURS_CAP),"",$C265+P$6-MIN(($D265+P$5),PERMANENT_FIELD_LABOR_HOURS)*PERMANENT_HOURLY_RATE-MAX(0,($D265+P$5)-PERMANENT_FIELD_LABOR_HOURS)*TEMP_HOURLY_RATE-FIXED_SEASON_COST)</f>
        <v>18378.7258176234</v>
      </c>
      <c r="Q265" s="53" t="n">
        <f aca="false">IF(OR($A265&gt;TOMATO_BED_CAP,$B265&gt;CARROT_BED_CAP,Q$4&gt;MESCLUN_BED_CAP,$A265+$B265+Q$4&gt;TOTAL_BEDS_AVAILABLE,($D265+Q$5)&gt;TOTAL_LABOR_HOURS_CAP,MAX(0,($D265+Q$5)-PERMANENT_FIELD_LABOR_HOURS)&gt;TEMP_HOURS_CAP),"",$C265+Q$6-MIN(($D265+Q$5),PERMANENT_FIELD_LABOR_HOURS)*PERMANENT_HOURLY_RATE-MAX(0,($D265+Q$5)-PERMANENT_FIELD_LABOR_HOURS)*TEMP_HOURLY_RATE-FIXED_SEASON_COST)</f>
        <v>19192.5729743213</v>
      </c>
      <c r="R265" s="53" t="n">
        <f aca="false">IF(OR($A265&gt;TOMATO_BED_CAP,$B265&gt;CARROT_BED_CAP,R$4&gt;MESCLUN_BED_CAP,$A265+$B265+R$4&gt;TOTAL_BEDS_AVAILABLE,($D265+R$5)&gt;TOTAL_LABOR_HOURS_CAP,MAX(0,($D265+R$5)-PERMANENT_FIELD_LABOR_HOURS)&gt;TEMP_HOURS_CAP),"",$C265+R$6-MIN(($D265+R$5),PERMANENT_FIELD_LABOR_HOURS)*PERMANENT_HOURLY_RATE-MAX(0,($D265+R$5)-PERMANENT_FIELD_LABOR_HOURS)*TEMP_HOURLY_RATE-FIXED_SEASON_COST)</f>
        <v>19982.6483880181</v>
      </c>
      <c r="S265" s="53" t="n">
        <f aca="false">IF(OR($A265&gt;TOMATO_BED_CAP,$B265&gt;CARROT_BED_CAP,S$4&gt;MESCLUN_BED_CAP,$A265+$B265+S$4&gt;TOTAL_BEDS_AVAILABLE,($D265+S$5)&gt;TOTAL_LABOR_HOURS_CAP,MAX(0,($D265+S$5)-PERMANENT_FIELD_LABOR_HOURS)&gt;TEMP_HOURS_CAP),"",$C265+S$6-MIN(($D265+S$5),PERMANENT_FIELD_LABOR_HOURS)*PERMANENT_HOURLY_RATE-MAX(0,($D265+S$5)-PERMANENT_FIELD_LABOR_HOURS)*TEMP_HOURLY_RATE-FIXED_SEASON_COST)</f>
        <v>20748.5149765206</v>
      </c>
      <c r="T265" s="53" t="n">
        <f aca="false">IF(OR($A265&gt;TOMATO_BED_CAP,$B265&gt;CARROT_BED_CAP,T$4&gt;MESCLUN_BED_CAP,$A265+$B265+T$4&gt;TOTAL_BEDS_AVAILABLE,($D265+T$5)&gt;TOTAL_LABOR_HOURS_CAP,MAX(0,($D265+T$5)-PERMANENT_FIELD_LABOR_HOURS)&gt;TEMP_HOURS_CAP),"",$C265+T$6-MIN(($D265+T$5),PERMANENT_FIELD_LABOR_HOURS)*PERMANENT_HOURLY_RATE-MAX(0,($D265+T$5)-PERMANENT_FIELD_LABOR_HOURS)*TEMP_HOURLY_RATE-FIXED_SEASON_COST)</f>
        <v>21489.7284449154</v>
      </c>
      <c r="U265" s="53" t="n">
        <f aca="false">IF(OR($A265&gt;TOMATO_BED_CAP,$B265&gt;CARROT_BED_CAP,U$4&gt;MESCLUN_BED_CAP,$A265+$B265+U$4&gt;TOTAL_BEDS_AVAILABLE,($D265+U$5)&gt;TOTAL_LABOR_HOURS_CAP,MAX(0,($D265+U$5)-PERMANENT_FIELD_LABOR_HOURS)&gt;TEMP_HOURS_CAP),"",$C265+U$6-MIN(($D265+U$5),PERMANENT_FIELD_LABOR_HOURS)*PERMANENT_HOURLY_RATE-MAX(0,($D265+U$5)-PERMANENT_FIELD_LABOR_HOURS)*TEMP_HOURLY_RATE-FIXED_SEASON_COST)</f>
        <v>22205.8371735455</v>
      </c>
      <c r="V265" s="53" t="n">
        <f aca="false">IF(OR($A265&gt;TOMATO_BED_CAP,$B265&gt;CARROT_BED_CAP,V$4&gt;MESCLUN_BED_CAP,$A265+$B265+V$4&gt;TOTAL_BEDS_AVAILABLE,($D265+V$5)&gt;TOTAL_LABOR_HOURS_CAP,MAX(0,($D265+V$5)-PERMANENT_FIELD_LABOR_HOURS)&gt;TEMP_HOURS_CAP),"",$C265+V$6-MIN(($D265+V$5),PERMANENT_FIELD_LABOR_HOURS)*PERMANENT_HOURLY_RATE-MAX(0,($D265+V$5)-PERMANENT_FIELD_LABOR_HOURS)*TEMP_HOURLY_RATE-FIXED_SEASON_COST)</f>
        <v>22896.3821043123</v>
      </c>
      <c r="W265" s="53" t="n">
        <f aca="false">IF(OR($A265&gt;TOMATO_BED_CAP,$B265&gt;CARROT_BED_CAP,W$4&gt;MESCLUN_BED_CAP,$A265+$B265+W$4&gt;TOTAL_BEDS_AVAILABLE,($D265+W$5)&gt;TOTAL_LABOR_HOURS_CAP,MAX(0,($D265+W$5)-PERMANENT_FIELD_LABOR_HOURS)&gt;TEMP_HOURS_CAP),"",$C265+W$6-MIN(($D265+W$5),PERMANENT_FIELD_LABOR_HOURS)*PERMANENT_HOURLY_RATE-MAX(0,($D265+W$5)-PERMANENT_FIELD_LABOR_HOURS)*TEMP_HOURLY_RATE-FIXED_SEASON_COST)</f>
        <v>23560.8966252804</v>
      </c>
      <c r="X265" s="53" t="n">
        <f aca="false">IF(OR($A265&gt;TOMATO_BED_CAP,$B265&gt;CARROT_BED_CAP,X$4&gt;MESCLUN_BED_CAP,$A265+$B265+X$4&gt;TOTAL_BEDS_AVAILABLE,($D265+X$5)&gt;TOTAL_LABOR_HOURS_CAP,MAX(0,($D265+X$5)-PERMANENT_FIELD_LABOR_HOURS)&gt;TEMP_HOURS_CAP),"",$C265+X$6-MIN(($D265+X$5),PERMANENT_FIELD_LABOR_HOURS)*PERMANENT_HOURLY_RATE-MAX(0,($D265+X$5)-PERMANENT_FIELD_LABOR_HOURS)*TEMP_HOURLY_RATE-FIXED_SEASON_COST)</f>
        <v>24198.9064535593</v>
      </c>
      <c r="Y265" s="53" t="n">
        <f aca="false">IF(OR($A265&gt;TOMATO_BED_CAP,$B265&gt;CARROT_BED_CAP,Y$4&gt;MESCLUN_BED_CAP,$A265+$B265+Y$4&gt;TOTAL_BEDS_AVAILABLE,($D265+Y$5)&gt;TOTAL_LABOR_HOURS_CAP,MAX(0,($D265+Y$5)-PERMANENT_FIELD_LABOR_HOURS)&gt;TEMP_HOURS_CAP),"",$C265+Y$6-MIN(($D265+Y$5),PERMANENT_FIELD_LABOR_HOURS)*PERMANENT_HOURLY_RATE-MAX(0,($D265+Y$5)-PERMANENT_FIELD_LABOR_HOURS)*TEMP_HOURLY_RATE-FIXED_SEASON_COST)</f>
        <v>24809.929516438</v>
      </c>
      <c r="Z265" s="53" t="n">
        <f aca="false">IF(OR($A265&gt;TOMATO_BED_CAP,$B265&gt;CARROT_BED_CAP,Z$4&gt;MESCLUN_BED_CAP,$A265+$B265+Z$4&gt;TOTAL_BEDS_AVAILABLE,($D265+Z$5)&gt;TOTAL_LABOR_HOURS_CAP,MAX(0,($D265+Z$5)-PERMANENT_FIELD_LABOR_HOURS)&gt;TEMP_HOURS_CAP),"",$C265+Z$6-MIN(($D265+Z$5),PERMANENT_FIELD_LABOR_HOURS)*PERMANENT_HOURLY_RATE-MAX(0,($D265+Z$5)-PERMANENT_FIELD_LABOR_HOURS)*TEMP_HOURLY_RATE-FIXED_SEASON_COST)</f>
        <v>25393.4758307457</v>
      </c>
      <c r="AA265" s="53" t="n">
        <f aca="false">IF(OR($A265&gt;TOMATO_BED_CAP,$B265&gt;CARROT_BED_CAP,AA$4&gt;MESCLUN_BED_CAP,$A265+$B265+AA$4&gt;TOTAL_BEDS_AVAILABLE,($D265+AA$5)&gt;TOTAL_LABOR_HOURS_CAP,MAX(0,($D265+AA$5)-PERMANENT_FIELD_LABOR_HOURS)&gt;TEMP_HOURS_CAP),"",$C265+AA$6-MIN(($D265+AA$5),PERMANENT_FIELD_LABOR_HOURS)*PERMANENT_HOURLY_RATE-MAX(0,($D265+AA$5)-PERMANENT_FIELD_LABOR_HOURS)*TEMP_HOURLY_RATE-FIXED_SEASON_COST)</f>
        <v>25949.0473804146</v>
      </c>
      <c r="AB265" s="53" t="n">
        <f aca="false">IF(OR($A265&gt;TOMATO_BED_CAP,$B265&gt;CARROT_BED_CAP,AB$4&gt;MESCLUN_BED_CAP,$A265+$B265+AB$4&gt;TOTAL_BEDS_AVAILABLE,($D265+AB$5)&gt;TOTAL_LABOR_HOURS_CAP,MAX(0,($D265+AB$5)-PERMANENT_FIELD_LABOR_HOURS)&gt;TEMP_HOURS_CAP),"",$C265+AB$6-MIN(($D265+AB$5),PERMANENT_FIELD_LABOR_HOURS)*PERMANENT_HOURLY_RATE-MAX(0,($D265+AB$5)-PERMANENT_FIELD_LABOR_HOURS)*TEMP_HOURLY_RATE-FIXED_SEASON_COST)</f>
        <v>26476.1379922172</v>
      </c>
      <c r="AC265" s="53" t="n">
        <f aca="false">IF(OR($A265&gt;TOMATO_BED_CAP,$B265&gt;CARROT_BED_CAP,AC$4&gt;MESCLUN_BED_CAP,$A265+$B265+AC$4&gt;TOTAL_BEDS_AVAILABLE,($D265+AC$5)&gt;TOTAL_LABOR_HOURS_CAP,MAX(0,($D265+AC$5)-PERMANENT_FIELD_LABOR_HOURS)&gt;TEMP_HOURS_CAP),"",$C265+AC$6-MIN(($D265+AC$5),PERMANENT_FIELD_LABOR_HOURS)*PERMANENT_HOURLY_RATE-MAX(0,($D265+AC$5)-PERMANENT_FIELD_LABOR_HOURS)*TEMP_HOURLY_RATE-FIXED_SEASON_COST)</f>
        <v>26974.2332096521</v>
      </c>
      <c r="AD265" s="53" t="n">
        <f aca="false">IF(OR($A265&gt;TOMATO_BED_CAP,$B265&gt;CARROT_BED_CAP,AD$4&gt;MESCLUN_BED_CAP,$A265+$B265+AD$4&gt;TOTAL_BEDS_AVAILABLE,($D265+AD$5)&gt;TOTAL_LABOR_HOURS_CAP,MAX(0,($D265+AD$5)-PERMANENT_FIELD_LABOR_HOURS)&gt;TEMP_HOURS_CAP),"",$C265+AD$6-MIN(($D265+AD$5),PERMANENT_FIELD_LABOR_HOURS)*PERMANENT_HOURLY_RATE-MAX(0,($D265+AD$5)-PERMANENT_FIELD_LABOR_HOURS)*TEMP_HOURLY_RATE-FIXED_SEASON_COST)</f>
        <v>27442.8101649521</v>
      </c>
      <c r="AE265" s="53" t="n">
        <f aca="false">IF(OR($A265&gt;TOMATO_BED_CAP,$B265&gt;CARROT_BED_CAP,AE$4&gt;MESCLUN_BED_CAP,$A265+$B265+AE$4&gt;TOTAL_BEDS_AVAILABLE,($D265+AE$5)&gt;TOTAL_LABOR_HOURS_CAP,MAX(0,($D265+AE$5)-PERMANENT_FIELD_LABOR_HOURS)&gt;TEMP_HOURS_CAP),"",$C265+AE$6-MIN(($D265+AE$5),PERMANENT_FIELD_LABOR_HOURS)*PERMANENT_HOURLY_RATE-MAX(0,($D265+AE$5)-PERMANENT_FIELD_LABOR_HOURS)*TEMP_HOURLY_RATE-FIXED_SEASON_COST)</f>
        <v>27881.337449186</v>
      </c>
      <c r="AF265" s="53" t="n">
        <f aca="false">IF(OR($A265&gt;TOMATO_BED_CAP,$B265&gt;CARROT_BED_CAP,AF$4&gt;MESCLUN_BED_CAP,$A265+$B265+AF$4&gt;TOTAL_BEDS_AVAILABLE,($D265+AF$5)&gt;TOTAL_LABOR_HOURS_CAP,MAX(0,($D265+AF$5)-PERMANENT_FIELD_LABOR_HOURS)&gt;TEMP_HOURS_CAP),"",$C265+AF$6-MIN(($D265+AF$5),PERMANENT_FIELD_LABOR_HOURS)*PERMANENT_HOURLY_RATE-MAX(0,($D265+AF$5)-PERMANENT_FIELD_LABOR_HOURS)*TEMP_HOURLY_RATE-FIXED_SEASON_COST)</f>
        <v>28289.2749804279</v>
      </c>
      <c r="AG265" s="53" t="n">
        <f aca="false">IF(OR($A265&gt;TOMATO_BED_CAP,$B265&gt;CARROT_BED_CAP,AG$4&gt;MESCLUN_BED_CAP,$A265+$B265+AG$4&gt;TOTAL_BEDS_AVAILABLE,($D265+AG$5)&gt;TOTAL_LABOR_HOURS_CAP,MAX(0,($D265+AG$5)-PERMANENT_FIELD_LABOR_HOURS)&gt;TEMP_HOURS_CAP),"",$C265+AG$6-MIN(($D265+AG$5),PERMANENT_FIELD_LABOR_HOURS)*PERMANENT_HOURLY_RATE-MAX(0,($D265+AG$5)-PERMANENT_FIELD_LABOR_HOURS)*TEMP_HOURLY_RATE-FIXED_SEASON_COST)</f>
        <v>28666.0738699649</v>
      </c>
      <c r="AH265" s="53" t="n">
        <f aca="false">IF(OR($A265&gt;TOMATO_BED_CAP,$B265&gt;CARROT_BED_CAP,AH$4&gt;MESCLUN_BED_CAP,$A265+$B265+AH$4&gt;TOTAL_BEDS_AVAILABLE,($D265+AH$5)&gt;TOTAL_LABOR_HOURS_CAP,MAX(0,($D265+AH$5)-PERMANENT_FIELD_LABOR_HOURS)&gt;TEMP_HOURS_CAP),"",$C265+AH$6-MIN(($D265+AH$5),PERMANENT_FIELD_LABOR_HOURS)*PERMANENT_HOURLY_RATE-MAX(0,($D265+AH$5)-PERMANENT_FIELD_LABOR_HOURS)*TEMP_HOURLY_RATE-FIXED_SEASON_COST)</f>
        <v>29011.1762865151</v>
      </c>
      <c r="AI265" s="53" t="n">
        <f aca="false">IF(OR($A265&gt;TOMATO_BED_CAP,$B265&gt;CARROT_BED_CAP,AI$4&gt;MESCLUN_BED_CAP,$A265+$B265+AI$4&gt;TOTAL_BEDS_AVAILABLE,($D265+AI$5)&gt;TOTAL_LABOR_HOURS_CAP,MAX(0,($D265+AI$5)-PERMANENT_FIELD_LABOR_HOURS)&gt;TEMP_HOURS_CAP),"",$C265+AI$6-MIN(($D265+AI$5),PERMANENT_FIELD_LABOR_HOURS)*PERMANENT_HOURLY_RATE-MAX(0,($D265+AI$5)-PERMANENT_FIELD_LABOR_HOURS)*TEMP_HOURLY_RATE-FIXED_SEASON_COST)</f>
        <v>29324.0153184274</v>
      </c>
      <c r="AJ265" s="53" t="n">
        <f aca="false">IF(OR($A265&gt;TOMATO_BED_CAP,$B265&gt;CARROT_BED_CAP,AJ$4&gt;MESCLUN_BED_CAP,$A265+$B265+AJ$4&gt;TOTAL_BEDS_AVAILABLE,($D265+AJ$5)&gt;TOTAL_LABOR_HOURS_CAP,MAX(0,($D265+AJ$5)-PERMANENT_FIELD_LABOR_HOURS)&gt;TEMP_HOURS_CAP),"",$C265+AJ$6-MIN(($D265+AJ$5),PERMANENT_FIELD_LABOR_HOURS)*PERMANENT_HOURLY_RATE-MAX(0,($D265+AJ$5)-PERMANENT_FIELD_LABOR_HOURS)*TEMP_HOURLY_RATE-FIXED_SEASON_COST)</f>
        <v>29604.0148338332</v>
      </c>
    </row>
    <row r="266" customFormat="false" ht="15" hidden="false" customHeight="false" outlineLevel="0" collapsed="false">
      <c r="A266" s="21" t="n">
        <f aca="false">INT((ROW()-ROW($A$8))/(20+1))</f>
        <v>12</v>
      </c>
      <c r="B266" s="21" t="n">
        <f aca="false">MOD(ROW()-ROW($A$8),20+1)</f>
        <v>6</v>
      </c>
      <c r="C266" s="13" t="n">
        <f aca="false">A266*(TOMATO_REVENUE_PER_BED-TOMATO_FERTILIZER_PER_BED)+B266*(CARROT_REVENUE_PER_BED-CARROT_FERTILIZER_PER_BED)</f>
        <v>104964</v>
      </c>
      <c r="D266" s="14" t="n">
        <f aca="false">INDEX(TOMATO_SCHED_LABOR_HRS,A266+1)+INDEX(CARROT_SCHED_LABOR_HRS,B266+1)</f>
        <v>3598.16396421089</v>
      </c>
      <c r="E266" s="13" t="n">
        <f aca="false">IF(COUNT(F266:AJ266)=0,"",MAX(F266:AJ266))</f>
        <v>30580.6628761715</v>
      </c>
      <c r="F266" s="53" t="n">
        <f aca="false">IF(OR($A266&gt;TOMATO_BED_CAP,$B266&gt;CARROT_BED_CAP,F$4&gt;MESCLUN_BED_CAP,$A266+$B266+F$4&gt;TOTAL_BEDS_AVAILABLE,($D266+F$5)&gt;TOTAL_LABOR_HOURS_CAP,MAX(0,($D266+F$5)-PERMANENT_FIELD_LABOR_HOURS)&gt;TEMP_HOURS_CAP),"",$C266+F$6-MIN(($D266+F$5),PERMANENT_FIELD_LABOR_HOURS)*PERMANENT_HOURLY_RATE-MAX(0,($D266+F$5)-PERMANENT_FIELD_LABOR_HOURS)*TEMP_HOURLY_RATE-FIXED_SEASON_COST)</f>
        <v>10000.6735812989</v>
      </c>
      <c r="G266" s="53" t="n">
        <f aca="false">IF(OR($A266&gt;TOMATO_BED_CAP,$B266&gt;CARROT_BED_CAP,G$4&gt;MESCLUN_BED_CAP,$A266+$B266+G$4&gt;TOTAL_BEDS_AVAILABLE,($D266+G$5)&gt;TOTAL_LABOR_HOURS_CAP,MAX(0,($D266+G$5)-PERMANENT_FIELD_LABOR_HOURS)&gt;TEMP_HOURS_CAP),"",$C266+G$6-MIN(($D266+G$5),PERMANENT_FIELD_LABOR_HOURS)*PERMANENT_HOURLY_RATE-MAX(0,($D266+G$5)-PERMANENT_FIELD_LABOR_HOURS)*TEMP_HOURLY_RATE-FIXED_SEASON_COST)</f>
        <v>11029.7085812989</v>
      </c>
      <c r="H266" s="53" t="n">
        <f aca="false">IF(OR($A266&gt;TOMATO_BED_CAP,$B266&gt;CARROT_BED_CAP,H$4&gt;MESCLUN_BED_CAP,$A266+$B266+H$4&gt;TOTAL_BEDS_AVAILABLE,($D266+H$5)&gt;TOTAL_LABOR_HOURS_CAP,MAX(0,($D266+H$5)-PERMANENT_FIELD_LABOR_HOURS)&gt;TEMP_HOURS_CAP),"",$C266+H$6-MIN(($D266+H$5),PERMANENT_FIELD_LABOR_HOURS)*PERMANENT_HOURLY_RATE-MAX(0,($D266+H$5)-PERMANENT_FIELD_LABOR_HOURS)*TEMP_HOURLY_RATE-FIXED_SEASON_COST)</f>
        <v>12038.9694562989</v>
      </c>
      <c r="I266" s="53" t="n">
        <f aca="false">IF(OR($A266&gt;TOMATO_BED_CAP,$B266&gt;CARROT_BED_CAP,I$4&gt;MESCLUN_BED_CAP,$A266+$B266+I$4&gt;TOTAL_BEDS_AVAILABLE,($D266+I$5)&gt;TOTAL_LABOR_HOURS_CAP,MAX(0,($D266+I$5)-PERMANENT_FIELD_LABOR_HOURS)&gt;TEMP_HOURS_CAP),"",$C266+I$6-MIN(($D266+I$5),PERMANENT_FIELD_LABOR_HOURS)*PERMANENT_HOURLY_RATE-MAX(0,($D266+I$5)-PERMANENT_FIELD_LABOR_HOURS)*TEMP_HOURLY_RATE-FIXED_SEASON_COST)</f>
        <v>13028.0854414552</v>
      </c>
      <c r="J266" s="53" t="n">
        <f aca="false">IF(OR($A266&gt;TOMATO_BED_CAP,$B266&gt;CARROT_BED_CAP,J$4&gt;MESCLUN_BED_CAP,$A266+$B266+J$4&gt;TOTAL_BEDS_AVAILABLE,($D266+J$5)&gt;TOTAL_LABOR_HOURS_CAP,MAX(0,($D266+J$5)-PERMANENT_FIELD_LABOR_HOURS)&gt;TEMP_HOURS_CAP),"",$C266+J$6-MIN(($D266+J$5),PERMANENT_FIELD_LABOR_HOURS)*PERMANENT_HOURLY_RATE-MAX(0,($D266+J$5)-PERMANENT_FIELD_LABOR_HOURS)*TEMP_HOURLY_RATE-FIXED_SEASON_COST)</f>
        <v>13996.6795925099</v>
      </c>
      <c r="K266" s="53" t="n">
        <f aca="false">IF(OR($A266&gt;TOMATO_BED_CAP,$B266&gt;CARROT_BED_CAP,K$4&gt;MESCLUN_BED_CAP,$A266+$B266+K$4&gt;TOTAL_BEDS_AVAILABLE,($D266+K$5)&gt;TOTAL_LABOR_HOURS_CAP,MAX(0,($D266+K$5)-PERMANENT_FIELD_LABOR_HOURS)&gt;TEMP_HOURS_CAP),"",$C266+K$6-MIN(($D266+K$5),PERMANENT_FIELD_LABOR_HOURS)*PERMANENT_HOURLY_RATE-MAX(0,($D266+K$5)-PERMANENT_FIELD_LABOR_HOURS)*TEMP_HOURLY_RATE-FIXED_SEASON_COST)</f>
        <v>14944.3686892378</v>
      </c>
      <c r="L266" s="53" t="n">
        <f aca="false">IF(OR($A266&gt;TOMATO_BED_CAP,$B266&gt;CARROT_BED_CAP,L$4&gt;MESCLUN_BED_CAP,$A266+$B266+L$4&gt;TOTAL_BEDS_AVAILABLE,($D266+L$5)&gt;TOTAL_LABOR_HOURS_CAP,MAX(0,($D266+L$5)-PERMANENT_FIELD_LABOR_HOURS)&gt;TEMP_HOURS_CAP),"",$C266+L$6-MIN(($D266+L$5),PERMANENT_FIELD_LABOR_HOURS)*PERMANENT_HOURLY_RATE-MAX(0,($D266+L$5)-PERMANENT_FIELD_LABOR_HOURS)*TEMP_HOURLY_RATE-FIXED_SEASON_COST)</f>
        <v>15870.7631374446</v>
      </c>
      <c r="M266" s="53" t="n">
        <f aca="false">IF(OR($A266&gt;TOMATO_BED_CAP,$B266&gt;CARROT_BED_CAP,M$4&gt;MESCLUN_BED_CAP,$A266+$B266+M$4&gt;TOTAL_BEDS_AVAILABLE,($D266+M$5)&gt;TOTAL_LABOR_HOURS_CAP,MAX(0,($D266+M$5)-PERMANENT_FIELD_LABOR_HOURS)&gt;TEMP_HOURS_CAP),"",$C266+M$6-MIN(($D266+M$5),PERMANENT_FIELD_LABOR_HOURS)*PERMANENT_HOURLY_RATE-MAX(0,($D266+M$5)-PERMANENT_FIELD_LABOR_HOURS)*TEMP_HOURLY_RATE-FIXED_SEASON_COST)</f>
        <v>16775.466869496</v>
      </c>
      <c r="N266" s="53" t="n">
        <f aca="false">IF(OR($A266&gt;TOMATO_BED_CAP,$B266&gt;CARROT_BED_CAP,N$4&gt;MESCLUN_BED_CAP,$A266+$B266+N$4&gt;TOTAL_BEDS_AVAILABLE,($D266+N$5)&gt;TOTAL_LABOR_HOURS_CAP,MAX(0,($D266+N$5)-PERMANENT_FIELD_LABOR_HOURS)&gt;TEMP_HOURS_CAP),"",$C266+N$6-MIN(($D266+N$5),PERMANENT_FIELD_LABOR_HOURS)*PERMANENT_HOURLY_RATE-MAX(0,($D266+N$5)-PERMANENT_FIELD_LABOR_HOURS)*TEMP_HOURLY_RATE-FIXED_SEASON_COST)</f>
        <v>17658.0772433556</v>
      </c>
      <c r="O266" s="53" t="n">
        <f aca="false">IF(OR($A266&gt;TOMATO_BED_CAP,$B266&gt;CARROT_BED_CAP,O$4&gt;MESCLUN_BED_CAP,$A266+$B266+O$4&gt;TOTAL_BEDS_AVAILABLE,($D266+O$5)&gt;TOTAL_LABOR_HOURS_CAP,MAX(0,($D266+O$5)-PERMANENT_FIELD_LABOR_HOURS)&gt;TEMP_HOURS_CAP),"",$C266+O$6-MIN(($D266+O$5),PERMANENT_FIELD_LABOR_HOURS)*PERMANENT_HOURLY_RATE-MAX(0,($D266+O$5)-PERMANENT_FIELD_LABOR_HOURS)*TEMP_HOURLY_RATE-FIXED_SEASON_COST)</f>
        <v>18518.1849401103</v>
      </c>
      <c r="P266" s="53" t="n">
        <f aca="false">IF(OR($A266&gt;TOMATO_BED_CAP,$B266&gt;CARROT_BED_CAP,P$4&gt;MESCLUN_BED_CAP,$A266+$B266+P$4&gt;TOTAL_BEDS_AVAILABLE,($D266+P$5)&gt;TOTAL_LABOR_HOURS_CAP,MAX(0,($D266+P$5)-PERMANENT_FIELD_LABOR_HOURS)&gt;TEMP_HOURS_CAP),"",$C266+P$6-MIN(($D266+P$5),PERMANENT_FIELD_LABOR_HOURS)*PERMANENT_HOURLY_RATE-MAX(0,($D266+P$5)-PERMANENT_FIELD_LABOR_HOURS)*TEMP_HOURLY_RATE-FIXED_SEASON_COST)</f>
        <v>19355.3738599618</v>
      </c>
      <c r="Q266" s="53" t="n">
        <f aca="false">IF(OR($A266&gt;TOMATO_BED_CAP,$B266&gt;CARROT_BED_CAP,Q$4&gt;MESCLUN_BED_CAP,$A266+$B266+Q$4&gt;TOTAL_BEDS_AVAILABLE,($D266+Q$5)&gt;TOTAL_LABOR_HOURS_CAP,MAX(0,($D266+Q$5)-PERMANENT_FIELD_LABOR_HOURS)&gt;TEMP_HOURS_CAP),"",$C266+Q$6-MIN(($D266+Q$5),PERMANENT_FIELD_LABOR_HOURS)*PERMANENT_HOURLY_RATE-MAX(0,($D266+Q$5)-PERMANENT_FIELD_LABOR_HOURS)*TEMP_HOURLY_RATE-FIXED_SEASON_COST)</f>
        <v>20169.2210166596</v>
      </c>
      <c r="R266" s="53" t="n">
        <f aca="false">IF(OR($A266&gt;TOMATO_BED_CAP,$B266&gt;CARROT_BED_CAP,R$4&gt;MESCLUN_BED_CAP,$A266+$B266+R$4&gt;TOTAL_BEDS_AVAILABLE,($D266+R$5)&gt;TOTAL_LABOR_HOURS_CAP,MAX(0,($D266+R$5)-PERMANENT_FIELD_LABOR_HOURS)&gt;TEMP_HOURS_CAP),"",$C266+R$6-MIN(($D266+R$5),PERMANENT_FIELD_LABOR_HOURS)*PERMANENT_HOURLY_RATE-MAX(0,($D266+R$5)-PERMANENT_FIELD_LABOR_HOURS)*TEMP_HOURLY_RATE-FIXED_SEASON_COST)</f>
        <v>20959.2964303565</v>
      </c>
      <c r="S266" s="53" t="n">
        <f aca="false">IF(OR($A266&gt;TOMATO_BED_CAP,$B266&gt;CARROT_BED_CAP,S$4&gt;MESCLUN_BED_CAP,$A266+$B266+S$4&gt;TOTAL_BEDS_AVAILABLE,($D266+S$5)&gt;TOTAL_LABOR_HOURS_CAP,MAX(0,($D266+S$5)-PERMANENT_FIELD_LABOR_HOURS)&gt;TEMP_HOURS_CAP),"",$C266+S$6-MIN(($D266+S$5),PERMANENT_FIELD_LABOR_HOURS)*PERMANENT_HOURLY_RATE-MAX(0,($D266+S$5)-PERMANENT_FIELD_LABOR_HOURS)*TEMP_HOURLY_RATE-FIXED_SEASON_COST)</f>
        <v>21725.1630188589</v>
      </c>
      <c r="T266" s="53" t="n">
        <f aca="false">IF(OR($A266&gt;TOMATO_BED_CAP,$B266&gt;CARROT_BED_CAP,T$4&gt;MESCLUN_BED_CAP,$A266+$B266+T$4&gt;TOTAL_BEDS_AVAILABLE,($D266+T$5)&gt;TOTAL_LABOR_HOURS_CAP,MAX(0,($D266+T$5)-PERMANENT_FIELD_LABOR_HOURS)&gt;TEMP_HOURS_CAP),"",$C266+T$6-MIN(($D266+T$5),PERMANENT_FIELD_LABOR_HOURS)*PERMANENT_HOURLY_RATE-MAX(0,($D266+T$5)-PERMANENT_FIELD_LABOR_HOURS)*TEMP_HOURLY_RATE-FIXED_SEASON_COST)</f>
        <v>22466.3764872537</v>
      </c>
      <c r="U266" s="53" t="n">
        <f aca="false">IF(OR($A266&gt;TOMATO_BED_CAP,$B266&gt;CARROT_BED_CAP,U$4&gt;MESCLUN_BED_CAP,$A266+$B266+U$4&gt;TOTAL_BEDS_AVAILABLE,($D266+U$5)&gt;TOTAL_LABOR_HOURS_CAP,MAX(0,($D266+U$5)-PERMANENT_FIELD_LABOR_HOURS)&gt;TEMP_HOURS_CAP),"",$C266+U$6-MIN(($D266+U$5),PERMANENT_FIELD_LABOR_HOURS)*PERMANENT_HOURLY_RATE-MAX(0,($D266+U$5)-PERMANENT_FIELD_LABOR_HOURS)*TEMP_HOURLY_RATE-FIXED_SEASON_COST)</f>
        <v>23182.4852158838</v>
      </c>
      <c r="V266" s="53" t="n">
        <f aca="false">IF(OR($A266&gt;TOMATO_BED_CAP,$B266&gt;CARROT_BED_CAP,V$4&gt;MESCLUN_BED_CAP,$A266+$B266+V$4&gt;TOTAL_BEDS_AVAILABLE,($D266+V$5)&gt;TOTAL_LABOR_HOURS_CAP,MAX(0,($D266+V$5)-PERMANENT_FIELD_LABOR_HOURS)&gt;TEMP_HOURS_CAP),"",$C266+V$6-MIN(($D266+V$5),PERMANENT_FIELD_LABOR_HOURS)*PERMANENT_HOURLY_RATE-MAX(0,($D266+V$5)-PERMANENT_FIELD_LABOR_HOURS)*TEMP_HOURLY_RATE-FIXED_SEASON_COST)</f>
        <v>23873.0301466506</v>
      </c>
      <c r="W266" s="53" t="n">
        <f aca="false">IF(OR($A266&gt;TOMATO_BED_CAP,$B266&gt;CARROT_BED_CAP,W$4&gt;MESCLUN_BED_CAP,$A266+$B266+W$4&gt;TOTAL_BEDS_AVAILABLE,($D266+W$5)&gt;TOTAL_LABOR_HOURS_CAP,MAX(0,($D266+W$5)-PERMANENT_FIELD_LABOR_HOURS)&gt;TEMP_HOURS_CAP),"",$C266+W$6-MIN(($D266+W$5),PERMANENT_FIELD_LABOR_HOURS)*PERMANENT_HOURLY_RATE-MAX(0,($D266+W$5)-PERMANENT_FIELD_LABOR_HOURS)*TEMP_HOURLY_RATE-FIXED_SEASON_COST)</f>
        <v>24537.5446676187</v>
      </c>
      <c r="X266" s="53" t="n">
        <f aca="false">IF(OR($A266&gt;TOMATO_BED_CAP,$B266&gt;CARROT_BED_CAP,X$4&gt;MESCLUN_BED_CAP,$A266+$B266+X$4&gt;TOTAL_BEDS_AVAILABLE,($D266+X$5)&gt;TOTAL_LABOR_HOURS_CAP,MAX(0,($D266+X$5)-PERMANENT_FIELD_LABOR_HOURS)&gt;TEMP_HOURS_CAP),"",$C266+X$6-MIN(($D266+X$5),PERMANENT_FIELD_LABOR_HOURS)*PERMANENT_HOURLY_RATE-MAX(0,($D266+X$5)-PERMANENT_FIELD_LABOR_HOURS)*TEMP_HOURLY_RATE-FIXED_SEASON_COST)</f>
        <v>25175.5544958976</v>
      </c>
      <c r="Y266" s="53" t="n">
        <f aca="false">IF(OR($A266&gt;TOMATO_BED_CAP,$B266&gt;CARROT_BED_CAP,Y$4&gt;MESCLUN_BED_CAP,$A266+$B266+Y$4&gt;TOTAL_BEDS_AVAILABLE,($D266+Y$5)&gt;TOTAL_LABOR_HOURS_CAP,MAX(0,($D266+Y$5)-PERMANENT_FIELD_LABOR_HOURS)&gt;TEMP_HOURS_CAP),"",$C266+Y$6-MIN(($D266+Y$5),PERMANENT_FIELD_LABOR_HOURS)*PERMANENT_HOURLY_RATE-MAX(0,($D266+Y$5)-PERMANENT_FIELD_LABOR_HOURS)*TEMP_HOURLY_RATE-FIXED_SEASON_COST)</f>
        <v>25786.5775587763</v>
      </c>
      <c r="Z266" s="53" t="n">
        <f aca="false">IF(OR($A266&gt;TOMATO_BED_CAP,$B266&gt;CARROT_BED_CAP,Z$4&gt;MESCLUN_BED_CAP,$A266+$B266+Z$4&gt;TOTAL_BEDS_AVAILABLE,($D266+Z$5)&gt;TOTAL_LABOR_HOURS_CAP,MAX(0,($D266+Z$5)-PERMANENT_FIELD_LABOR_HOURS)&gt;TEMP_HOURS_CAP),"",$C266+Z$6-MIN(($D266+Z$5),PERMANENT_FIELD_LABOR_HOURS)*PERMANENT_HOURLY_RATE-MAX(0,($D266+Z$5)-PERMANENT_FIELD_LABOR_HOURS)*TEMP_HOURLY_RATE-FIXED_SEASON_COST)</f>
        <v>26370.123873084</v>
      </c>
      <c r="AA266" s="53" t="n">
        <f aca="false">IF(OR($A266&gt;TOMATO_BED_CAP,$B266&gt;CARROT_BED_CAP,AA$4&gt;MESCLUN_BED_CAP,$A266+$B266+AA$4&gt;TOTAL_BEDS_AVAILABLE,($D266+AA$5)&gt;TOTAL_LABOR_HOURS_CAP,MAX(0,($D266+AA$5)-PERMANENT_FIELD_LABOR_HOURS)&gt;TEMP_HOURS_CAP),"",$C266+AA$6-MIN(($D266+AA$5),PERMANENT_FIELD_LABOR_HOURS)*PERMANENT_HOURLY_RATE-MAX(0,($D266+AA$5)-PERMANENT_FIELD_LABOR_HOURS)*TEMP_HOURLY_RATE-FIXED_SEASON_COST)</f>
        <v>26925.6954227529</v>
      </c>
      <c r="AB266" s="53" t="n">
        <f aca="false">IF(OR($A266&gt;TOMATO_BED_CAP,$B266&gt;CARROT_BED_CAP,AB$4&gt;MESCLUN_BED_CAP,$A266+$B266+AB$4&gt;TOTAL_BEDS_AVAILABLE,($D266+AB$5)&gt;TOTAL_LABOR_HOURS_CAP,MAX(0,($D266+AB$5)-PERMANENT_FIELD_LABOR_HOURS)&gt;TEMP_HOURS_CAP),"",$C266+AB$6-MIN(($D266+AB$5),PERMANENT_FIELD_LABOR_HOURS)*PERMANENT_HOURLY_RATE-MAX(0,($D266+AB$5)-PERMANENT_FIELD_LABOR_HOURS)*TEMP_HOURLY_RATE-FIXED_SEASON_COST)</f>
        <v>27452.7860345555</v>
      </c>
      <c r="AC266" s="53" t="n">
        <f aca="false">IF(OR($A266&gt;TOMATO_BED_CAP,$B266&gt;CARROT_BED_CAP,AC$4&gt;MESCLUN_BED_CAP,$A266+$B266+AC$4&gt;TOTAL_BEDS_AVAILABLE,($D266+AC$5)&gt;TOTAL_LABOR_HOURS_CAP,MAX(0,($D266+AC$5)-PERMANENT_FIELD_LABOR_HOURS)&gt;TEMP_HOURS_CAP),"",$C266+AC$6-MIN(($D266+AC$5),PERMANENT_FIELD_LABOR_HOURS)*PERMANENT_HOURLY_RATE-MAX(0,($D266+AC$5)-PERMANENT_FIELD_LABOR_HOURS)*TEMP_HOURLY_RATE-FIXED_SEASON_COST)</f>
        <v>27950.8812519904</v>
      </c>
      <c r="AD266" s="53" t="n">
        <f aca="false">IF(OR($A266&gt;TOMATO_BED_CAP,$B266&gt;CARROT_BED_CAP,AD$4&gt;MESCLUN_BED_CAP,$A266+$B266+AD$4&gt;TOTAL_BEDS_AVAILABLE,($D266+AD$5)&gt;TOTAL_LABOR_HOURS_CAP,MAX(0,($D266+AD$5)-PERMANENT_FIELD_LABOR_HOURS)&gt;TEMP_HOURS_CAP),"",$C266+AD$6-MIN(($D266+AD$5),PERMANENT_FIELD_LABOR_HOURS)*PERMANENT_HOURLY_RATE-MAX(0,($D266+AD$5)-PERMANENT_FIELD_LABOR_HOURS)*TEMP_HOURLY_RATE-FIXED_SEASON_COST)</f>
        <v>28419.4582072904</v>
      </c>
      <c r="AE266" s="53" t="n">
        <f aca="false">IF(OR($A266&gt;TOMATO_BED_CAP,$B266&gt;CARROT_BED_CAP,AE$4&gt;MESCLUN_BED_CAP,$A266+$B266+AE$4&gt;TOTAL_BEDS_AVAILABLE,($D266+AE$5)&gt;TOTAL_LABOR_HOURS_CAP,MAX(0,($D266+AE$5)-PERMANENT_FIELD_LABOR_HOURS)&gt;TEMP_HOURS_CAP),"",$C266+AE$6-MIN(($D266+AE$5),PERMANENT_FIELD_LABOR_HOURS)*PERMANENT_HOURLY_RATE-MAX(0,($D266+AE$5)-PERMANENT_FIELD_LABOR_HOURS)*TEMP_HOURLY_RATE-FIXED_SEASON_COST)</f>
        <v>28857.9854915243</v>
      </c>
      <c r="AF266" s="53" t="n">
        <f aca="false">IF(OR($A266&gt;TOMATO_BED_CAP,$B266&gt;CARROT_BED_CAP,AF$4&gt;MESCLUN_BED_CAP,$A266+$B266+AF$4&gt;TOTAL_BEDS_AVAILABLE,($D266+AF$5)&gt;TOTAL_LABOR_HOURS_CAP,MAX(0,($D266+AF$5)-PERMANENT_FIELD_LABOR_HOURS)&gt;TEMP_HOURS_CAP),"",$C266+AF$6-MIN(($D266+AF$5),PERMANENT_FIELD_LABOR_HOURS)*PERMANENT_HOURLY_RATE-MAX(0,($D266+AF$5)-PERMANENT_FIELD_LABOR_HOURS)*TEMP_HOURLY_RATE-FIXED_SEASON_COST)</f>
        <v>29265.9230227662</v>
      </c>
      <c r="AG266" s="53" t="n">
        <f aca="false">IF(OR($A266&gt;TOMATO_BED_CAP,$B266&gt;CARROT_BED_CAP,AG$4&gt;MESCLUN_BED_CAP,$A266+$B266+AG$4&gt;TOTAL_BEDS_AVAILABLE,($D266+AG$5)&gt;TOTAL_LABOR_HOURS_CAP,MAX(0,($D266+AG$5)-PERMANENT_FIELD_LABOR_HOURS)&gt;TEMP_HOURS_CAP),"",$C266+AG$6-MIN(($D266+AG$5),PERMANENT_FIELD_LABOR_HOURS)*PERMANENT_HOURLY_RATE-MAX(0,($D266+AG$5)-PERMANENT_FIELD_LABOR_HOURS)*TEMP_HOURLY_RATE-FIXED_SEASON_COST)</f>
        <v>29642.7219123032</v>
      </c>
      <c r="AH266" s="53" t="n">
        <f aca="false">IF(OR($A266&gt;TOMATO_BED_CAP,$B266&gt;CARROT_BED_CAP,AH$4&gt;MESCLUN_BED_CAP,$A266+$B266+AH$4&gt;TOTAL_BEDS_AVAILABLE,($D266+AH$5)&gt;TOTAL_LABOR_HOURS_CAP,MAX(0,($D266+AH$5)-PERMANENT_FIELD_LABOR_HOURS)&gt;TEMP_HOURS_CAP),"",$C266+AH$6-MIN(($D266+AH$5),PERMANENT_FIELD_LABOR_HOURS)*PERMANENT_HOURLY_RATE-MAX(0,($D266+AH$5)-PERMANENT_FIELD_LABOR_HOURS)*TEMP_HOURLY_RATE-FIXED_SEASON_COST)</f>
        <v>29987.8243288534</v>
      </c>
      <c r="AI266" s="53" t="n">
        <f aca="false">IF(OR($A266&gt;TOMATO_BED_CAP,$B266&gt;CARROT_BED_CAP,AI$4&gt;MESCLUN_BED_CAP,$A266+$B266+AI$4&gt;TOTAL_BEDS_AVAILABLE,($D266+AI$5)&gt;TOTAL_LABOR_HOURS_CAP,MAX(0,($D266+AI$5)-PERMANENT_FIELD_LABOR_HOURS)&gt;TEMP_HOURS_CAP),"",$C266+AI$6-MIN(($D266+AI$5),PERMANENT_FIELD_LABOR_HOURS)*PERMANENT_HOURLY_RATE-MAX(0,($D266+AI$5)-PERMANENT_FIELD_LABOR_HOURS)*TEMP_HOURLY_RATE-FIXED_SEASON_COST)</f>
        <v>30300.6633607657</v>
      </c>
      <c r="AJ266" s="53" t="n">
        <f aca="false">IF(OR($A266&gt;TOMATO_BED_CAP,$B266&gt;CARROT_BED_CAP,AJ$4&gt;MESCLUN_BED_CAP,$A266+$B266+AJ$4&gt;TOTAL_BEDS_AVAILABLE,($D266+AJ$5)&gt;TOTAL_LABOR_HOURS_CAP,MAX(0,($D266+AJ$5)-PERMANENT_FIELD_LABOR_HOURS)&gt;TEMP_HOURS_CAP),"",$C266+AJ$6-MIN(($D266+AJ$5),PERMANENT_FIELD_LABOR_HOURS)*PERMANENT_HOURLY_RATE-MAX(0,($D266+AJ$5)-PERMANENT_FIELD_LABOR_HOURS)*TEMP_HOURLY_RATE-FIXED_SEASON_COST)</f>
        <v>30580.6628761715</v>
      </c>
    </row>
    <row r="267" customFormat="false" ht="15" hidden="false" customHeight="false" outlineLevel="0" collapsed="false">
      <c r="A267" s="21" t="n">
        <f aca="false">INT((ROW()-ROW($A$8))/(20+1))</f>
        <v>12</v>
      </c>
      <c r="B267" s="21" t="n">
        <f aca="false">MOD(ROW()-ROW($A$8),20+1)</f>
        <v>7</v>
      </c>
      <c r="C267" s="13" t="n">
        <f aca="false">A267*(TOMATO_REVENUE_PER_BED-TOMATO_FERTILIZER_PER_BED)+B267*(CARROT_REVENUE_PER_BED-CARROT_FERTILIZER_PER_BED)</f>
        <v>106618</v>
      </c>
      <c r="D267" s="14" t="n">
        <f aca="false">INDEX(TOMATO_SCHED_LABOR_HRS,A267+1)+INDEX(CARROT_SCHED_LABOR_HRS,B267+1)</f>
        <v>3639.0268055257</v>
      </c>
      <c r="E267" s="13" t="n">
        <f aca="false">IF(COUNT(F267:AJ267)=0,"",MAX(F267:AJ267))</f>
        <v>31525.2839509464</v>
      </c>
      <c r="F267" s="53" t="n">
        <f aca="false">IF(OR($A267&gt;TOMATO_BED_CAP,$B267&gt;CARROT_BED_CAP,F$4&gt;MESCLUN_BED_CAP,$A267+$B267+F$4&gt;TOTAL_BEDS_AVAILABLE,($D267+F$5)&gt;TOTAL_LABOR_HOURS_CAP,MAX(0,($D267+F$5)-PERMANENT_FIELD_LABOR_HOURS)&gt;TEMP_HOURS_CAP),"",$C267+F$6-MIN(($D267+F$5),PERMANENT_FIELD_LABOR_HOURS)*PERMANENT_HOURLY_RATE-MAX(0,($D267+F$5)-PERMANENT_FIELD_LABOR_HOURS)*TEMP_HOURLY_RATE-FIXED_SEASON_COST)</f>
        <v>10945.2946560739</v>
      </c>
      <c r="G267" s="53" t="n">
        <f aca="false">IF(OR($A267&gt;TOMATO_BED_CAP,$B267&gt;CARROT_BED_CAP,G$4&gt;MESCLUN_BED_CAP,$A267+$B267+G$4&gt;TOTAL_BEDS_AVAILABLE,($D267+G$5)&gt;TOTAL_LABOR_HOURS_CAP,MAX(0,($D267+G$5)-PERMANENT_FIELD_LABOR_HOURS)&gt;TEMP_HOURS_CAP),"",$C267+G$6-MIN(($D267+G$5),PERMANENT_FIELD_LABOR_HOURS)*PERMANENT_HOURLY_RATE-MAX(0,($D267+G$5)-PERMANENT_FIELD_LABOR_HOURS)*TEMP_HOURLY_RATE-FIXED_SEASON_COST)</f>
        <v>11974.3296560739</v>
      </c>
      <c r="H267" s="53" t="n">
        <f aca="false">IF(OR($A267&gt;TOMATO_BED_CAP,$B267&gt;CARROT_BED_CAP,H$4&gt;MESCLUN_BED_CAP,$A267+$B267+H$4&gt;TOTAL_BEDS_AVAILABLE,($D267+H$5)&gt;TOTAL_LABOR_HOURS_CAP,MAX(0,($D267+H$5)-PERMANENT_FIELD_LABOR_HOURS)&gt;TEMP_HOURS_CAP),"",$C267+H$6-MIN(($D267+H$5),PERMANENT_FIELD_LABOR_HOURS)*PERMANENT_HOURLY_RATE-MAX(0,($D267+H$5)-PERMANENT_FIELD_LABOR_HOURS)*TEMP_HOURLY_RATE-FIXED_SEASON_COST)</f>
        <v>12983.5905310739</v>
      </c>
      <c r="I267" s="53" t="n">
        <f aca="false">IF(OR($A267&gt;TOMATO_BED_CAP,$B267&gt;CARROT_BED_CAP,I$4&gt;MESCLUN_BED_CAP,$A267+$B267+I$4&gt;TOTAL_BEDS_AVAILABLE,($D267+I$5)&gt;TOTAL_LABOR_HOURS_CAP,MAX(0,($D267+I$5)-PERMANENT_FIELD_LABOR_HOURS)&gt;TEMP_HOURS_CAP),"",$C267+I$6-MIN(($D267+I$5),PERMANENT_FIELD_LABOR_HOURS)*PERMANENT_HOURLY_RATE-MAX(0,($D267+I$5)-PERMANENT_FIELD_LABOR_HOURS)*TEMP_HOURLY_RATE-FIXED_SEASON_COST)</f>
        <v>13972.7065162301</v>
      </c>
      <c r="J267" s="53" t="n">
        <f aca="false">IF(OR($A267&gt;TOMATO_BED_CAP,$B267&gt;CARROT_BED_CAP,J$4&gt;MESCLUN_BED_CAP,$A267+$B267+J$4&gt;TOTAL_BEDS_AVAILABLE,($D267+J$5)&gt;TOTAL_LABOR_HOURS_CAP,MAX(0,($D267+J$5)-PERMANENT_FIELD_LABOR_HOURS)&gt;TEMP_HOURS_CAP),"",$C267+J$6-MIN(($D267+J$5),PERMANENT_FIELD_LABOR_HOURS)*PERMANENT_HOURLY_RATE-MAX(0,($D267+J$5)-PERMANENT_FIELD_LABOR_HOURS)*TEMP_HOURLY_RATE-FIXED_SEASON_COST)</f>
        <v>14941.3006672848</v>
      </c>
      <c r="K267" s="53" t="n">
        <f aca="false">IF(OR($A267&gt;TOMATO_BED_CAP,$B267&gt;CARROT_BED_CAP,K$4&gt;MESCLUN_BED_CAP,$A267+$B267+K$4&gt;TOTAL_BEDS_AVAILABLE,($D267+K$5)&gt;TOTAL_LABOR_HOURS_CAP,MAX(0,($D267+K$5)-PERMANENT_FIELD_LABOR_HOURS)&gt;TEMP_HOURS_CAP),"",$C267+K$6-MIN(($D267+K$5),PERMANENT_FIELD_LABOR_HOURS)*PERMANENT_HOURLY_RATE-MAX(0,($D267+K$5)-PERMANENT_FIELD_LABOR_HOURS)*TEMP_HOURLY_RATE-FIXED_SEASON_COST)</f>
        <v>15888.9897640127</v>
      </c>
      <c r="L267" s="53" t="n">
        <f aca="false">IF(OR($A267&gt;TOMATO_BED_CAP,$B267&gt;CARROT_BED_CAP,L$4&gt;MESCLUN_BED_CAP,$A267+$B267+L$4&gt;TOTAL_BEDS_AVAILABLE,($D267+L$5)&gt;TOTAL_LABOR_HOURS_CAP,MAX(0,($D267+L$5)-PERMANENT_FIELD_LABOR_HOURS)&gt;TEMP_HOURS_CAP),"",$C267+L$6-MIN(($D267+L$5),PERMANENT_FIELD_LABOR_HOURS)*PERMANENT_HOURLY_RATE-MAX(0,($D267+L$5)-PERMANENT_FIELD_LABOR_HOURS)*TEMP_HOURLY_RATE-FIXED_SEASON_COST)</f>
        <v>16815.3842122196</v>
      </c>
      <c r="M267" s="53" t="n">
        <f aca="false">IF(OR($A267&gt;TOMATO_BED_CAP,$B267&gt;CARROT_BED_CAP,M$4&gt;MESCLUN_BED_CAP,$A267+$B267+M$4&gt;TOTAL_BEDS_AVAILABLE,($D267+M$5)&gt;TOTAL_LABOR_HOURS_CAP,MAX(0,($D267+M$5)-PERMANENT_FIELD_LABOR_HOURS)&gt;TEMP_HOURS_CAP),"",$C267+M$6-MIN(($D267+M$5),PERMANENT_FIELD_LABOR_HOURS)*PERMANENT_HOURLY_RATE-MAX(0,($D267+M$5)-PERMANENT_FIELD_LABOR_HOURS)*TEMP_HOURLY_RATE-FIXED_SEASON_COST)</f>
        <v>17720.087944271</v>
      </c>
      <c r="N267" s="53" t="n">
        <f aca="false">IF(OR($A267&gt;TOMATO_BED_CAP,$B267&gt;CARROT_BED_CAP,N$4&gt;MESCLUN_BED_CAP,$A267+$B267+N$4&gt;TOTAL_BEDS_AVAILABLE,($D267+N$5)&gt;TOTAL_LABOR_HOURS_CAP,MAX(0,($D267+N$5)-PERMANENT_FIELD_LABOR_HOURS)&gt;TEMP_HOURS_CAP),"",$C267+N$6-MIN(($D267+N$5),PERMANENT_FIELD_LABOR_HOURS)*PERMANENT_HOURLY_RATE-MAX(0,($D267+N$5)-PERMANENT_FIELD_LABOR_HOURS)*TEMP_HOURLY_RATE-FIXED_SEASON_COST)</f>
        <v>18602.6983181305</v>
      </c>
      <c r="O267" s="53" t="n">
        <f aca="false">IF(OR($A267&gt;TOMATO_BED_CAP,$B267&gt;CARROT_BED_CAP,O$4&gt;MESCLUN_BED_CAP,$A267+$B267+O$4&gt;TOTAL_BEDS_AVAILABLE,($D267+O$5)&gt;TOTAL_LABOR_HOURS_CAP,MAX(0,($D267+O$5)-PERMANENT_FIELD_LABOR_HOURS)&gt;TEMP_HOURS_CAP),"",$C267+O$6-MIN(($D267+O$5),PERMANENT_FIELD_LABOR_HOURS)*PERMANENT_HOURLY_RATE-MAX(0,($D267+O$5)-PERMANENT_FIELD_LABOR_HOURS)*TEMP_HOURLY_RATE-FIXED_SEASON_COST)</f>
        <v>19462.8060148853</v>
      </c>
      <c r="P267" s="53" t="n">
        <f aca="false">IF(OR($A267&gt;TOMATO_BED_CAP,$B267&gt;CARROT_BED_CAP,P$4&gt;MESCLUN_BED_CAP,$A267+$B267+P$4&gt;TOTAL_BEDS_AVAILABLE,($D267+P$5)&gt;TOTAL_LABOR_HOURS_CAP,MAX(0,($D267+P$5)-PERMANENT_FIELD_LABOR_HOURS)&gt;TEMP_HOURS_CAP),"",$C267+P$6-MIN(($D267+P$5),PERMANENT_FIELD_LABOR_HOURS)*PERMANENT_HOURLY_RATE-MAX(0,($D267+P$5)-PERMANENT_FIELD_LABOR_HOURS)*TEMP_HOURLY_RATE-FIXED_SEASON_COST)</f>
        <v>20299.9949347367</v>
      </c>
      <c r="Q267" s="53" t="n">
        <f aca="false">IF(OR($A267&gt;TOMATO_BED_CAP,$B267&gt;CARROT_BED_CAP,Q$4&gt;MESCLUN_BED_CAP,$A267+$B267+Q$4&gt;TOTAL_BEDS_AVAILABLE,($D267+Q$5)&gt;TOTAL_LABOR_HOURS_CAP,MAX(0,($D267+Q$5)-PERMANENT_FIELD_LABOR_HOURS)&gt;TEMP_HOURS_CAP),"",$C267+Q$6-MIN(($D267+Q$5),PERMANENT_FIELD_LABOR_HOURS)*PERMANENT_HOURLY_RATE-MAX(0,($D267+Q$5)-PERMANENT_FIELD_LABOR_HOURS)*TEMP_HOURLY_RATE-FIXED_SEASON_COST)</f>
        <v>21113.8420914346</v>
      </c>
      <c r="R267" s="53" t="n">
        <f aca="false">IF(OR($A267&gt;TOMATO_BED_CAP,$B267&gt;CARROT_BED_CAP,R$4&gt;MESCLUN_BED_CAP,$A267+$B267+R$4&gt;TOTAL_BEDS_AVAILABLE,($D267+R$5)&gt;TOTAL_LABOR_HOURS_CAP,MAX(0,($D267+R$5)-PERMANENT_FIELD_LABOR_HOURS)&gt;TEMP_HOURS_CAP),"",$C267+R$6-MIN(($D267+R$5),PERMANENT_FIELD_LABOR_HOURS)*PERMANENT_HOURLY_RATE-MAX(0,($D267+R$5)-PERMANENT_FIELD_LABOR_HOURS)*TEMP_HOURLY_RATE-FIXED_SEASON_COST)</f>
        <v>21903.9175051314</v>
      </c>
      <c r="S267" s="53" t="n">
        <f aca="false">IF(OR($A267&gt;TOMATO_BED_CAP,$B267&gt;CARROT_BED_CAP,S$4&gt;MESCLUN_BED_CAP,$A267+$B267+S$4&gt;TOTAL_BEDS_AVAILABLE,($D267+S$5)&gt;TOTAL_LABOR_HOURS_CAP,MAX(0,($D267+S$5)-PERMANENT_FIELD_LABOR_HOURS)&gt;TEMP_HOURS_CAP),"",$C267+S$6-MIN(($D267+S$5),PERMANENT_FIELD_LABOR_HOURS)*PERMANENT_HOURLY_RATE-MAX(0,($D267+S$5)-PERMANENT_FIELD_LABOR_HOURS)*TEMP_HOURLY_RATE-FIXED_SEASON_COST)</f>
        <v>22669.7840936338</v>
      </c>
      <c r="T267" s="53" t="n">
        <f aca="false">IF(OR($A267&gt;TOMATO_BED_CAP,$B267&gt;CARROT_BED_CAP,T$4&gt;MESCLUN_BED_CAP,$A267+$B267+T$4&gt;TOTAL_BEDS_AVAILABLE,($D267+T$5)&gt;TOTAL_LABOR_HOURS_CAP,MAX(0,($D267+T$5)-PERMANENT_FIELD_LABOR_HOURS)&gt;TEMP_HOURS_CAP),"",$C267+T$6-MIN(($D267+T$5),PERMANENT_FIELD_LABOR_HOURS)*PERMANENT_HOURLY_RATE-MAX(0,($D267+T$5)-PERMANENT_FIELD_LABOR_HOURS)*TEMP_HOURLY_RATE-FIXED_SEASON_COST)</f>
        <v>23410.9975620287</v>
      </c>
      <c r="U267" s="53" t="n">
        <f aca="false">IF(OR($A267&gt;TOMATO_BED_CAP,$B267&gt;CARROT_BED_CAP,U$4&gt;MESCLUN_BED_CAP,$A267+$B267+U$4&gt;TOTAL_BEDS_AVAILABLE,($D267+U$5)&gt;TOTAL_LABOR_HOURS_CAP,MAX(0,($D267+U$5)-PERMANENT_FIELD_LABOR_HOURS)&gt;TEMP_HOURS_CAP),"",$C267+U$6-MIN(($D267+U$5),PERMANENT_FIELD_LABOR_HOURS)*PERMANENT_HOURLY_RATE-MAX(0,($D267+U$5)-PERMANENT_FIELD_LABOR_HOURS)*TEMP_HOURLY_RATE-FIXED_SEASON_COST)</f>
        <v>24127.1062906588</v>
      </c>
      <c r="V267" s="53" t="n">
        <f aca="false">IF(OR($A267&gt;TOMATO_BED_CAP,$B267&gt;CARROT_BED_CAP,V$4&gt;MESCLUN_BED_CAP,$A267+$B267+V$4&gt;TOTAL_BEDS_AVAILABLE,($D267+V$5)&gt;TOTAL_LABOR_HOURS_CAP,MAX(0,($D267+V$5)-PERMANENT_FIELD_LABOR_HOURS)&gt;TEMP_HOURS_CAP),"",$C267+V$6-MIN(($D267+V$5),PERMANENT_FIELD_LABOR_HOURS)*PERMANENT_HOURLY_RATE-MAX(0,($D267+V$5)-PERMANENT_FIELD_LABOR_HOURS)*TEMP_HOURLY_RATE-FIXED_SEASON_COST)</f>
        <v>24817.6512214256</v>
      </c>
      <c r="W267" s="53" t="n">
        <f aca="false">IF(OR($A267&gt;TOMATO_BED_CAP,$B267&gt;CARROT_BED_CAP,W$4&gt;MESCLUN_BED_CAP,$A267+$B267+W$4&gt;TOTAL_BEDS_AVAILABLE,($D267+W$5)&gt;TOTAL_LABOR_HOURS_CAP,MAX(0,($D267+W$5)-PERMANENT_FIELD_LABOR_HOURS)&gt;TEMP_HOURS_CAP),"",$C267+W$6-MIN(($D267+W$5),PERMANENT_FIELD_LABOR_HOURS)*PERMANENT_HOURLY_RATE-MAX(0,($D267+W$5)-PERMANENT_FIELD_LABOR_HOURS)*TEMP_HOURLY_RATE-FIXED_SEASON_COST)</f>
        <v>25482.1657423936</v>
      </c>
      <c r="X267" s="53" t="n">
        <f aca="false">IF(OR($A267&gt;TOMATO_BED_CAP,$B267&gt;CARROT_BED_CAP,X$4&gt;MESCLUN_BED_CAP,$A267+$B267+X$4&gt;TOTAL_BEDS_AVAILABLE,($D267+X$5)&gt;TOTAL_LABOR_HOURS_CAP,MAX(0,($D267+X$5)-PERMANENT_FIELD_LABOR_HOURS)&gt;TEMP_HOURS_CAP),"",$C267+X$6-MIN(($D267+X$5),PERMANENT_FIELD_LABOR_HOURS)*PERMANENT_HOURLY_RATE-MAX(0,($D267+X$5)-PERMANENT_FIELD_LABOR_HOURS)*TEMP_HOURLY_RATE-FIXED_SEASON_COST)</f>
        <v>26120.1755706726</v>
      </c>
      <c r="Y267" s="53" t="n">
        <f aca="false">IF(OR($A267&gt;TOMATO_BED_CAP,$B267&gt;CARROT_BED_CAP,Y$4&gt;MESCLUN_BED_CAP,$A267+$B267+Y$4&gt;TOTAL_BEDS_AVAILABLE,($D267+Y$5)&gt;TOTAL_LABOR_HOURS_CAP,MAX(0,($D267+Y$5)-PERMANENT_FIELD_LABOR_HOURS)&gt;TEMP_HOURS_CAP),"",$C267+Y$6-MIN(($D267+Y$5),PERMANENT_FIELD_LABOR_HOURS)*PERMANENT_HOURLY_RATE-MAX(0,($D267+Y$5)-PERMANENT_FIELD_LABOR_HOURS)*TEMP_HOURLY_RATE-FIXED_SEASON_COST)</f>
        <v>26731.1986335512</v>
      </c>
      <c r="Z267" s="53" t="n">
        <f aca="false">IF(OR($A267&gt;TOMATO_BED_CAP,$B267&gt;CARROT_BED_CAP,Z$4&gt;MESCLUN_BED_CAP,$A267+$B267+Z$4&gt;TOTAL_BEDS_AVAILABLE,($D267+Z$5)&gt;TOTAL_LABOR_HOURS_CAP,MAX(0,($D267+Z$5)-PERMANENT_FIELD_LABOR_HOURS)&gt;TEMP_HOURS_CAP),"",$C267+Z$6-MIN(($D267+Z$5),PERMANENT_FIELD_LABOR_HOURS)*PERMANENT_HOURLY_RATE-MAX(0,($D267+Z$5)-PERMANENT_FIELD_LABOR_HOURS)*TEMP_HOURLY_RATE-FIXED_SEASON_COST)</f>
        <v>27314.7449478589</v>
      </c>
      <c r="AA267" s="53" t="n">
        <f aca="false">IF(OR($A267&gt;TOMATO_BED_CAP,$B267&gt;CARROT_BED_CAP,AA$4&gt;MESCLUN_BED_CAP,$A267+$B267+AA$4&gt;TOTAL_BEDS_AVAILABLE,($D267+AA$5)&gt;TOTAL_LABOR_HOURS_CAP,MAX(0,($D267+AA$5)-PERMANENT_FIELD_LABOR_HOURS)&gt;TEMP_HOURS_CAP),"",$C267+AA$6-MIN(($D267+AA$5),PERMANENT_FIELD_LABOR_HOURS)*PERMANENT_HOURLY_RATE-MAX(0,($D267+AA$5)-PERMANENT_FIELD_LABOR_HOURS)*TEMP_HOURLY_RATE-FIXED_SEASON_COST)</f>
        <v>27870.3164975279</v>
      </c>
      <c r="AB267" s="53" t="n">
        <f aca="false">IF(OR($A267&gt;TOMATO_BED_CAP,$B267&gt;CARROT_BED_CAP,AB$4&gt;MESCLUN_BED_CAP,$A267+$B267+AB$4&gt;TOTAL_BEDS_AVAILABLE,($D267+AB$5)&gt;TOTAL_LABOR_HOURS_CAP,MAX(0,($D267+AB$5)-PERMANENT_FIELD_LABOR_HOURS)&gt;TEMP_HOURS_CAP),"",$C267+AB$6-MIN(($D267+AB$5),PERMANENT_FIELD_LABOR_HOURS)*PERMANENT_HOURLY_RATE-MAX(0,($D267+AB$5)-PERMANENT_FIELD_LABOR_HOURS)*TEMP_HOURLY_RATE-FIXED_SEASON_COST)</f>
        <v>28397.4071093305</v>
      </c>
      <c r="AC267" s="53" t="n">
        <f aca="false">IF(OR($A267&gt;TOMATO_BED_CAP,$B267&gt;CARROT_BED_CAP,AC$4&gt;MESCLUN_BED_CAP,$A267+$B267+AC$4&gt;TOTAL_BEDS_AVAILABLE,($D267+AC$5)&gt;TOTAL_LABOR_HOURS_CAP,MAX(0,($D267+AC$5)-PERMANENT_FIELD_LABOR_HOURS)&gt;TEMP_HOURS_CAP),"",$C267+AC$6-MIN(($D267+AC$5),PERMANENT_FIELD_LABOR_HOURS)*PERMANENT_HOURLY_RATE-MAX(0,($D267+AC$5)-PERMANENT_FIELD_LABOR_HOURS)*TEMP_HOURLY_RATE-FIXED_SEASON_COST)</f>
        <v>28895.5023267653</v>
      </c>
      <c r="AD267" s="53" t="n">
        <f aca="false">IF(OR($A267&gt;TOMATO_BED_CAP,$B267&gt;CARROT_BED_CAP,AD$4&gt;MESCLUN_BED_CAP,$A267+$B267+AD$4&gt;TOTAL_BEDS_AVAILABLE,($D267+AD$5)&gt;TOTAL_LABOR_HOURS_CAP,MAX(0,($D267+AD$5)-PERMANENT_FIELD_LABOR_HOURS)&gt;TEMP_HOURS_CAP),"",$C267+AD$6-MIN(($D267+AD$5),PERMANENT_FIELD_LABOR_HOURS)*PERMANENT_HOURLY_RATE-MAX(0,($D267+AD$5)-PERMANENT_FIELD_LABOR_HOURS)*TEMP_HOURLY_RATE-FIXED_SEASON_COST)</f>
        <v>29364.0792820653</v>
      </c>
      <c r="AE267" s="53" t="n">
        <f aca="false">IF(OR($A267&gt;TOMATO_BED_CAP,$B267&gt;CARROT_BED_CAP,AE$4&gt;MESCLUN_BED_CAP,$A267+$B267+AE$4&gt;TOTAL_BEDS_AVAILABLE,($D267+AE$5)&gt;TOTAL_LABOR_HOURS_CAP,MAX(0,($D267+AE$5)-PERMANENT_FIELD_LABOR_HOURS)&gt;TEMP_HOURS_CAP),"",$C267+AE$6-MIN(($D267+AE$5),PERMANENT_FIELD_LABOR_HOURS)*PERMANENT_HOURLY_RATE-MAX(0,($D267+AE$5)-PERMANENT_FIELD_LABOR_HOURS)*TEMP_HOURLY_RATE-FIXED_SEASON_COST)</f>
        <v>29802.6065662992</v>
      </c>
      <c r="AF267" s="53" t="n">
        <f aca="false">IF(OR($A267&gt;TOMATO_BED_CAP,$B267&gt;CARROT_BED_CAP,AF$4&gt;MESCLUN_BED_CAP,$A267+$B267+AF$4&gt;TOTAL_BEDS_AVAILABLE,($D267+AF$5)&gt;TOTAL_LABOR_HOURS_CAP,MAX(0,($D267+AF$5)-PERMANENT_FIELD_LABOR_HOURS)&gt;TEMP_HOURS_CAP),"",$C267+AF$6-MIN(($D267+AF$5),PERMANENT_FIELD_LABOR_HOURS)*PERMANENT_HOURLY_RATE-MAX(0,($D267+AF$5)-PERMANENT_FIELD_LABOR_HOURS)*TEMP_HOURLY_RATE-FIXED_SEASON_COST)</f>
        <v>30210.5440975411</v>
      </c>
      <c r="AG267" s="53" t="n">
        <f aca="false">IF(OR($A267&gt;TOMATO_BED_CAP,$B267&gt;CARROT_BED_CAP,AG$4&gt;MESCLUN_BED_CAP,$A267+$B267+AG$4&gt;TOTAL_BEDS_AVAILABLE,($D267+AG$5)&gt;TOTAL_LABOR_HOURS_CAP,MAX(0,($D267+AG$5)-PERMANENT_FIELD_LABOR_HOURS)&gt;TEMP_HOURS_CAP),"",$C267+AG$6-MIN(($D267+AG$5),PERMANENT_FIELD_LABOR_HOURS)*PERMANENT_HOURLY_RATE-MAX(0,($D267+AG$5)-PERMANENT_FIELD_LABOR_HOURS)*TEMP_HOURLY_RATE-FIXED_SEASON_COST)</f>
        <v>30587.3429870782</v>
      </c>
      <c r="AH267" s="53" t="n">
        <f aca="false">IF(OR($A267&gt;TOMATO_BED_CAP,$B267&gt;CARROT_BED_CAP,AH$4&gt;MESCLUN_BED_CAP,$A267+$B267+AH$4&gt;TOTAL_BEDS_AVAILABLE,($D267+AH$5)&gt;TOTAL_LABOR_HOURS_CAP,MAX(0,($D267+AH$5)-PERMANENT_FIELD_LABOR_HOURS)&gt;TEMP_HOURS_CAP),"",$C267+AH$6-MIN(($D267+AH$5),PERMANENT_FIELD_LABOR_HOURS)*PERMANENT_HOURLY_RATE-MAX(0,($D267+AH$5)-PERMANENT_FIELD_LABOR_HOURS)*TEMP_HOURLY_RATE-FIXED_SEASON_COST)</f>
        <v>30932.4454036284</v>
      </c>
      <c r="AI267" s="53" t="n">
        <f aca="false">IF(OR($A267&gt;TOMATO_BED_CAP,$B267&gt;CARROT_BED_CAP,AI$4&gt;MESCLUN_BED_CAP,$A267+$B267+AI$4&gt;TOTAL_BEDS_AVAILABLE,($D267+AI$5)&gt;TOTAL_LABOR_HOURS_CAP,MAX(0,($D267+AI$5)-PERMANENT_FIELD_LABOR_HOURS)&gt;TEMP_HOURS_CAP),"",$C267+AI$6-MIN(($D267+AI$5),PERMANENT_FIELD_LABOR_HOURS)*PERMANENT_HOURLY_RATE-MAX(0,($D267+AI$5)-PERMANENT_FIELD_LABOR_HOURS)*TEMP_HOURLY_RATE-FIXED_SEASON_COST)</f>
        <v>31245.2844355406</v>
      </c>
      <c r="AJ267" s="53" t="n">
        <f aca="false">IF(OR($A267&gt;TOMATO_BED_CAP,$B267&gt;CARROT_BED_CAP,AJ$4&gt;MESCLUN_BED_CAP,$A267+$B267+AJ$4&gt;TOTAL_BEDS_AVAILABLE,($D267+AJ$5)&gt;TOTAL_LABOR_HOURS_CAP,MAX(0,($D267+AJ$5)-PERMANENT_FIELD_LABOR_HOURS)&gt;TEMP_HOURS_CAP),"",$C267+AJ$6-MIN(($D267+AJ$5),PERMANENT_FIELD_LABOR_HOURS)*PERMANENT_HOURLY_RATE-MAX(0,($D267+AJ$5)-PERMANENT_FIELD_LABOR_HOURS)*TEMP_HOURLY_RATE-FIXED_SEASON_COST)</f>
        <v>31525.2839509464</v>
      </c>
    </row>
    <row r="268" customFormat="false" ht="15" hidden="false" customHeight="false" outlineLevel="0" collapsed="false">
      <c r="A268" s="21" t="n">
        <f aca="false">INT((ROW()-ROW($A$8))/(20+1))</f>
        <v>12</v>
      </c>
      <c r="B268" s="21" t="n">
        <f aca="false">MOD(ROW()-ROW($A$8),20+1)</f>
        <v>8</v>
      </c>
      <c r="C268" s="13" t="n">
        <f aca="false">A268*(TOMATO_REVENUE_PER_BED-TOMATO_FERTILIZER_PER_BED)+B268*(CARROT_REVENUE_PER_BED-CARROT_FERTILIZER_PER_BED)</f>
        <v>108272</v>
      </c>
      <c r="D268" s="14" t="n">
        <f aca="false">INDEX(TOMATO_SCHED_LABOR_HRS,A268+1)+INDEX(CARROT_SCHED_LABOR_HRS,B268+1)</f>
        <v>3681.8023755829</v>
      </c>
      <c r="E268" s="13" t="n">
        <f aca="false">IF(COUNT(F268:AJ268)=0,"",MAX(F268:AJ268))</f>
        <v>32436.7000547534</v>
      </c>
      <c r="F268" s="53" t="n">
        <f aca="false">IF(OR($A268&gt;TOMATO_BED_CAP,$B268&gt;CARROT_BED_CAP,F$4&gt;MESCLUN_BED_CAP,$A268+$B268+F$4&gt;TOTAL_BEDS_AVAILABLE,($D268+F$5)&gt;TOTAL_LABOR_HOURS_CAP,MAX(0,($D268+F$5)-PERMANENT_FIELD_LABOR_HOURS)&gt;TEMP_HOURS_CAP),"",$C268+F$6-MIN(($D268+F$5),PERMANENT_FIELD_LABOR_HOURS)*PERMANENT_HOURLY_RATE-MAX(0,($D268+F$5)-PERMANENT_FIELD_LABOR_HOURS)*TEMP_HOURLY_RATE-FIXED_SEASON_COST)</f>
        <v>11856.7107598808</v>
      </c>
      <c r="G268" s="53" t="n">
        <f aca="false">IF(OR($A268&gt;TOMATO_BED_CAP,$B268&gt;CARROT_BED_CAP,G$4&gt;MESCLUN_BED_CAP,$A268+$B268+G$4&gt;TOTAL_BEDS_AVAILABLE,($D268+G$5)&gt;TOTAL_LABOR_HOURS_CAP,MAX(0,($D268+G$5)-PERMANENT_FIELD_LABOR_HOURS)&gt;TEMP_HOURS_CAP),"",$C268+G$6-MIN(($D268+G$5),PERMANENT_FIELD_LABOR_HOURS)*PERMANENT_HOURLY_RATE-MAX(0,($D268+G$5)-PERMANENT_FIELD_LABOR_HOURS)*TEMP_HOURLY_RATE-FIXED_SEASON_COST)</f>
        <v>12885.7457598808</v>
      </c>
      <c r="H268" s="53" t="n">
        <f aca="false">IF(OR($A268&gt;TOMATO_BED_CAP,$B268&gt;CARROT_BED_CAP,H$4&gt;MESCLUN_BED_CAP,$A268+$B268+H$4&gt;TOTAL_BEDS_AVAILABLE,($D268+H$5)&gt;TOTAL_LABOR_HOURS_CAP,MAX(0,($D268+H$5)-PERMANENT_FIELD_LABOR_HOURS)&gt;TEMP_HOURS_CAP),"",$C268+H$6-MIN(($D268+H$5),PERMANENT_FIELD_LABOR_HOURS)*PERMANENT_HOURLY_RATE-MAX(0,($D268+H$5)-PERMANENT_FIELD_LABOR_HOURS)*TEMP_HOURLY_RATE-FIXED_SEASON_COST)</f>
        <v>13895.0066348808</v>
      </c>
      <c r="I268" s="53" t="n">
        <f aca="false">IF(OR($A268&gt;TOMATO_BED_CAP,$B268&gt;CARROT_BED_CAP,I$4&gt;MESCLUN_BED_CAP,$A268+$B268+I$4&gt;TOTAL_BEDS_AVAILABLE,($D268+I$5)&gt;TOTAL_LABOR_HOURS_CAP,MAX(0,($D268+I$5)-PERMANENT_FIELD_LABOR_HOURS)&gt;TEMP_HOURS_CAP),"",$C268+I$6-MIN(($D268+I$5),PERMANENT_FIELD_LABOR_HOURS)*PERMANENT_HOURLY_RATE-MAX(0,($D268+I$5)-PERMANENT_FIELD_LABOR_HOURS)*TEMP_HOURLY_RATE-FIXED_SEASON_COST)</f>
        <v>14884.1226200371</v>
      </c>
      <c r="J268" s="53" t="n">
        <f aca="false">IF(OR($A268&gt;TOMATO_BED_CAP,$B268&gt;CARROT_BED_CAP,J$4&gt;MESCLUN_BED_CAP,$A268+$B268+J$4&gt;TOTAL_BEDS_AVAILABLE,($D268+J$5)&gt;TOTAL_LABOR_HOURS_CAP,MAX(0,($D268+J$5)-PERMANENT_FIELD_LABOR_HOURS)&gt;TEMP_HOURS_CAP),"",$C268+J$6-MIN(($D268+J$5),PERMANENT_FIELD_LABOR_HOURS)*PERMANENT_HOURLY_RATE-MAX(0,($D268+J$5)-PERMANENT_FIELD_LABOR_HOURS)*TEMP_HOURLY_RATE-FIXED_SEASON_COST)</f>
        <v>15852.7167710918</v>
      </c>
      <c r="K268" s="53" t="n">
        <f aca="false">IF(OR($A268&gt;TOMATO_BED_CAP,$B268&gt;CARROT_BED_CAP,K$4&gt;MESCLUN_BED_CAP,$A268+$B268+K$4&gt;TOTAL_BEDS_AVAILABLE,($D268+K$5)&gt;TOTAL_LABOR_HOURS_CAP,MAX(0,($D268+K$5)-PERMANENT_FIELD_LABOR_HOURS)&gt;TEMP_HOURS_CAP),"",$C268+K$6-MIN(($D268+K$5),PERMANENT_FIELD_LABOR_HOURS)*PERMANENT_HOURLY_RATE-MAX(0,($D268+K$5)-PERMANENT_FIELD_LABOR_HOURS)*TEMP_HOURLY_RATE-FIXED_SEASON_COST)</f>
        <v>16800.4058678197</v>
      </c>
      <c r="L268" s="53" t="n">
        <f aca="false">IF(OR($A268&gt;TOMATO_BED_CAP,$B268&gt;CARROT_BED_CAP,L$4&gt;MESCLUN_BED_CAP,$A268+$B268+L$4&gt;TOTAL_BEDS_AVAILABLE,($D268+L$5)&gt;TOTAL_LABOR_HOURS_CAP,MAX(0,($D268+L$5)-PERMANENT_FIELD_LABOR_HOURS)&gt;TEMP_HOURS_CAP),"",$C268+L$6-MIN(($D268+L$5),PERMANENT_FIELD_LABOR_HOURS)*PERMANENT_HOURLY_RATE-MAX(0,($D268+L$5)-PERMANENT_FIELD_LABOR_HOURS)*TEMP_HOURLY_RATE-FIXED_SEASON_COST)</f>
        <v>17726.8003160265</v>
      </c>
      <c r="M268" s="53" t="n">
        <f aca="false">IF(OR($A268&gt;TOMATO_BED_CAP,$B268&gt;CARROT_BED_CAP,M$4&gt;MESCLUN_BED_CAP,$A268+$B268+M$4&gt;TOTAL_BEDS_AVAILABLE,($D268+M$5)&gt;TOTAL_LABOR_HOURS_CAP,MAX(0,($D268+M$5)-PERMANENT_FIELD_LABOR_HOURS)&gt;TEMP_HOURS_CAP),"",$C268+M$6-MIN(($D268+M$5),PERMANENT_FIELD_LABOR_HOURS)*PERMANENT_HOURLY_RATE-MAX(0,($D268+M$5)-PERMANENT_FIELD_LABOR_HOURS)*TEMP_HOURLY_RATE-FIXED_SEASON_COST)</f>
        <v>18631.5040480779</v>
      </c>
      <c r="N268" s="53" t="n">
        <f aca="false">IF(OR($A268&gt;TOMATO_BED_CAP,$B268&gt;CARROT_BED_CAP,N$4&gt;MESCLUN_BED_CAP,$A268+$B268+N$4&gt;TOTAL_BEDS_AVAILABLE,($D268+N$5)&gt;TOTAL_LABOR_HOURS_CAP,MAX(0,($D268+N$5)-PERMANENT_FIELD_LABOR_HOURS)&gt;TEMP_HOURS_CAP),"",$C268+N$6-MIN(($D268+N$5),PERMANENT_FIELD_LABOR_HOURS)*PERMANENT_HOURLY_RATE-MAX(0,($D268+N$5)-PERMANENT_FIELD_LABOR_HOURS)*TEMP_HOURLY_RATE-FIXED_SEASON_COST)</f>
        <v>19514.1144219375</v>
      </c>
      <c r="O268" s="53" t="n">
        <f aca="false">IF(OR($A268&gt;TOMATO_BED_CAP,$B268&gt;CARROT_BED_CAP,O$4&gt;MESCLUN_BED_CAP,$A268+$B268+O$4&gt;TOTAL_BEDS_AVAILABLE,($D268+O$5)&gt;TOTAL_LABOR_HOURS_CAP,MAX(0,($D268+O$5)-PERMANENT_FIELD_LABOR_HOURS)&gt;TEMP_HOURS_CAP),"",$C268+O$6-MIN(($D268+O$5),PERMANENT_FIELD_LABOR_HOURS)*PERMANENT_HOURLY_RATE-MAX(0,($D268+O$5)-PERMANENT_FIELD_LABOR_HOURS)*TEMP_HOURLY_RATE-FIXED_SEASON_COST)</f>
        <v>20374.2221186922</v>
      </c>
      <c r="P268" s="53" t="n">
        <f aca="false">IF(OR($A268&gt;TOMATO_BED_CAP,$B268&gt;CARROT_BED_CAP,P$4&gt;MESCLUN_BED_CAP,$A268+$B268+P$4&gt;TOTAL_BEDS_AVAILABLE,($D268+P$5)&gt;TOTAL_LABOR_HOURS_CAP,MAX(0,($D268+P$5)-PERMANENT_FIELD_LABOR_HOURS)&gt;TEMP_HOURS_CAP),"",$C268+P$6-MIN(($D268+P$5),PERMANENT_FIELD_LABOR_HOURS)*PERMANENT_HOURLY_RATE-MAX(0,($D268+P$5)-PERMANENT_FIELD_LABOR_HOURS)*TEMP_HOURLY_RATE-FIXED_SEASON_COST)</f>
        <v>21211.4110385436</v>
      </c>
      <c r="Q268" s="53" t="n">
        <f aca="false">IF(OR($A268&gt;TOMATO_BED_CAP,$B268&gt;CARROT_BED_CAP,Q$4&gt;MESCLUN_BED_CAP,$A268+$B268+Q$4&gt;TOTAL_BEDS_AVAILABLE,($D268+Q$5)&gt;TOTAL_LABOR_HOURS_CAP,MAX(0,($D268+Q$5)-PERMANENT_FIELD_LABOR_HOURS)&gt;TEMP_HOURS_CAP),"",$C268+Q$6-MIN(($D268+Q$5),PERMANENT_FIELD_LABOR_HOURS)*PERMANENT_HOURLY_RATE-MAX(0,($D268+Q$5)-PERMANENT_FIELD_LABOR_HOURS)*TEMP_HOURLY_RATE-FIXED_SEASON_COST)</f>
        <v>22025.2581952415</v>
      </c>
      <c r="R268" s="53" t="n">
        <f aca="false">IF(OR($A268&gt;TOMATO_BED_CAP,$B268&gt;CARROT_BED_CAP,R$4&gt;MESCLUN_BED_CAP,$A268+$B268+R$4&gt;TOTAL_BEDS_AVAILABLE,($D268+R$5)&gt;TOTAL_LABOR_HOURS_CAP,MAX(0,($D268+R$5)-PERMANENT_FIELD_LABOR_HOURS)&gt;TEMP_HOURS_CAP),"",$C268+R$6-MIN(($D268+R$5),PERMANENT_FIELD_LABOR_HOURS)*PERMANENT_HOURLY_RATE-MAX(0,($D268+R$5)-PERMANENT_FIELD_LABOR_HOURS)*TEMP_HOURLY_RATE-FIXED_SEASON_COST)</f>
        <v>22815.3336089383</v>
      </c>
      <c r="S268" s="53" t="n">
        <f aca="false">IF(OR($A268&gt;TOMATO_BED_CAP,$B268&gt;CARROT_BED_CAP,S$4&gt;MESCLUN_BED_CAP,$A268+$B268+S$4&gt;TOTAL_BEDS_AVAILABLE,($D268+S$5)&gt;TOTAL_LABOR_HOURS_CAP,MAX(0,($D268+S$5)-PERMANENT_FIELD_LABOR_HOURS)&gt;TEMP_HOURS_CAP),"",$C268+S$6-MIN(($D268+S$5),PERMANENT_FIELD_LABOR_HOURS)*PERMANENT_HOURLY_RATE-MAX(0,($D268+S$5)-PERMANENT_FIELD_LABOR_HOURS)*TEMP_HOURLY_RATE-FIXED_SEASON_COST)</f>
        <v>23581.2001974408</v>
      </c>
      <c r="T268" s="53" t="n">
        <f aca="false">IF(OR($A268&gt;TOMATO_BED_CAP,$B268&gt;CARROT_BED_CAP,T$4&gt;MESCLUN_BED_CAP,$A268+$B268+T$4&gt;TOTAL_BEDS_AVAILABLE,($D268+T$5)&gt;TOTAL_LABOR_HOURS_CAP,MAX(0,($D268+T$5)-PERMANENT_FIELD_LABOR_HOURS)&gt;TEMP_HOURS_CAP),"",$C268+T$6-MIN(($D268+T$5),PERMANENT_FIELD_LABOR_HOURS)*PERMANENT_HOURLY_RATE-MAX(0,($D268+T$5)-PERMANENT_FIELD_LABOR_HOURS)*TEMP_HOURLY_RATE-FIXED_SEASON_COST)</f>
        <v>24322.4136658356</v>
      </c>
      <c r="U268" s="53" t="n">
        <f aca="false">IF(OR($A268&gt;TOMATO_BED_CAP,$B268&gt;CARROT_BED_CAP,U$4&gt;MESCLUN_BED_CAP,$A268+$B268+U$4&gt;TOTAL_BEDS_AVAILABLE,($D268+U$5)&gt;TOTAL_LABOR_HOURS_CAP,MAX(0,($D268+U$5)-PERMANENT_FIELD_LABOR_HOURS)&gt;TEMP_HOURS_CAP),"",$C268+U$6-MIN(($D268+U$5),PERMANENT_FIELD_LABOR_HOURS)*PERMANENT_HOURLY_RATE-MAX(0,($D268+U$5)-PERMANENT_FIELD_LABOR_HOURS)*TEMP_HOURLY_RATE-FIXED_SEASON_COST)</f>
        <v>25038.5223944657</v>
      </c>
      <c r="V268" s="53" t="n">
        <f aca="false">IF(OR($A268&gt;TOMATO_BED_CAP,$B268&gt;CARROT_BED_CAP,V$4&gt;MESCLUN_BED_CAP,$A268+$B268+V$4&gt;TOTAL_BEDS_AVAILABLE,($D268+V$5)&gt;TOTAL_LABOR_HOURS_CAP,MAX(0,($D268+V$5)-PERMANENT_FIELD_LABOR_HOURS)&gt;TEMP_HOURS_CAP),"",$C268+V$6-MIN(($D268+V$5),PERMANENT_FIELD_LABOR_HOURS)*PERMANENT_HOURLY_RATE-MAX(0,($D268+V$5)-PERMANENT_FIELD_LABOR_HOURS)*TEMP_HOURLY_RATE-FIXED_SEASON_COST)</f>
        <v>25729.0673252325</v>
      </c>
      <c r="W268" s="53" t="n">
        <f aca="false">IF(OR($A268&gt;TOMATO_BED_CAP,$B268&gt;CARROT_BED_CAP,W$4&gt;MESCLUN_BED_CAP,$A268+$B268+W$4&gt;TOTAL_BEDS_AVAILABLE,($D268+W$5)&gt;TOTAL_LABOR_HOURS_CAP,MAX(0,($D268+W$5)-PERMANENT_FIELD_LABOR_HOURS)&gt;TEMP_HOURS_CAP),"",$C268+W$6-MIN(($D268+W$5),PERMANENT_FIELD_LABOR_HOURS)*PERMANENT_HOURLY_RATE-MAX(0,($D268+W$5)-PERMANENT_FIELD_LABOR_HOURS)*TEMP_HOURLY_RATE-FIXED_SEASON_COST)</f>
        <v>26393.5818462006</v>
      </c>
      <c r="X268" s="53" t="n">
        <f aca="false">IF(OR($A268&gt;TOMATO_BED_CAP,$B268&gt;CARROT_BED_CAP,X$4&gt;MESCLUN_BED_CAP,$A268+$B268+X$4&gt;TOTAL_BEDS_AVAILABLE,($D268+X$5)&gt;TOTAL_LABOR_HOURS_CAP,MAX(0,($D268+X$5)-PERMANENT_FIELD_LABOR_HOURS)&gt;TEMP_HOURS_CAP),"",$C268+X$6-MIN(($D268+X$5),PERMANENT_FIELD_LABOR_HOURS)*PERMANENT_HOURLY_RATE-MAX(0,($D268+X$5)-PERMANENT_FIELD_LABOR_HOURS)*TEMP_HOURLY_RATE-FIXED_SEASON_COST)</f>
        <v>27031.5916744795</v>
      </c>
      <c r="Y268" s="53" t="n">
        <f aca="false">IF(OR($A268&gt;TOMATO_BED_CAP,$B268&gt;CARROT_BED_CAP,Y$4&gt;MESCLUN_BED_CAP,$A268+$B268+Y$4&gt;TOTAL_BEDS_AVAILABLE,($D268+Y$5)&gt;TOTAL_LABOR_HOURS_CAP,MAX(0,($D268+Y$5)-PERMANENT_FIELD_LABOR_HOURS)&gt;TEMP_HOURS_CAP),"",$C268+Y$6-MIN(($D268+Y$5),PERMANENT_FIELD_LABOR_HOURS)*PERMANENT_HOURLY_RATE-MAX(0,($D268+Y$5)-PERMANENT_FIELD_LABOR_HOURS)*TEMP_HOURLY_RATE-FIXED_SEASON_COST)</f>
        <v>27642.6147373582</v>
      </c>
      <c r="Z268" s="53" t="n">
        <f aca="false">IF(OR($A268&gt;TOMATO_BED_CAP,$B268&gt;CARROT_BED_CAP,Z$4&gt;MESCLUN_BED_CAP,$A268+$B268+Z$4&gt;TOTAL_BEDS_AVAILABLE,($D268+Z$5)&gt;TOTAL_LABOR_HOURS_CAP,MAX(0,($D268+Z$5)-PERMANENT_FIELD_LABOR_HOURS)&gt;TEMP_HOURS_CAP),"",$C268+Z$6-MIN(($D268+Z$5),PERMANENT_FIELD_LABOR_HOURS)*PERMANENT_HOURLY_RATE-MAX(0,($D268+Z$5)-PERMANENT_FIELD_LABOR_HOURS)*TEMP_HOURLY_RATE-FIXED_SEASON_COST)</f>
        <v>28226.1610516659</v>
      </c>
      <c r="AA268" s="53" t="n">
        <f aca="false">IF(OR($A268&gt;TOMATO_BED_CAP,$B268&gt;CARROT_BED_CAP,AA$4&gt;MESCLUN_BED_CAP,$A268+$B268+AA$4&gt;TOTAL_BEDS_AVAILABLE,($D268+AA$5)&gt;TOTAL_LABOR_HOURS_CAP,MAX(0,($D268+AA$5)-PERMANENT_FIELD_LABOR_HOURS)&gt;TEMP_HOURS_CAP),"",$C268+AA$6-MIN(($D268+AA$5),PERMANENT_FIELD_LABOR_HOURS)*PERMANENT_HOURLY_RATE-MAX(0,($D268+AA$5)-PERMANENT_FIELD_LABOR_HOURS)*TEMP_HOURLY_RATE-FIXED_SEASON_COST)</f>
        <v>28781.7326013348</v>
      </c>
      <c r="AB268" s="53" t="n">
        <f aca="false">IF(OR($A268&gt;TOMATO_BED_CAP,$B268&gt;CARROT_BED_CAP,AB$4&gt;MESCLUN_BED_CAP,$A268+$B268+AB$4&gt;TOTAL_BEDS_AVAILABLE,($D268+AB$5)&gt;TOTAL_LABOR_HOURS_CAP,MAX(0,($D268+AB$5)-PERMANENT_FIELD_LABOR_HOURS)&gt;TEMP_HOURS_CAP),"",$C268+AB$6-MIN(($D268+AB$5),PERMANENT_FIELD_LABOR_HOURS)*PERMANENT_HOURLY_RATE-MAX(0,($D268+AB$5)-PERMANENT_FIELD_LABOR_HOURS)*TEMP_HOURLY_RATE-FIXED_SEASON_COST)</f>
        <v>29308.8232131374</v>
      </c>
      <c r="AC268" s="53" t="n">
        <f aca="false">IF(OR($A268&gt;TOMATO_BED_CAP,$B268&gt;CARROT_BED_CAP,AC$4&gt;MESCLUN_BED_CAP,$A268+$B268+AC$4&gt;TOTAL_BEDS_AVAILABLE,($D268+AC$5)&gt;TOTAL_LABOR_HOURS_CAP,MAX(0,($D268+AC$5)-PERMANENT_FIELD_LABOR_HOURS)&gt;TEMP_HOURS_CAP),"",$C268+AC$6-MIN(($D268+AC$5),PERMANENT_FIELD_LABOR_HOURS)*PERMANENT_HOURLY_RATE-MAX(0,($D268+AC$5)-PERMANENT_FIELD_LABOR_HOURS)*TEMP_HOURLY_RATE-FIXED_SEASON_COST)</f>
        <v>29806.9184305723</v>
      </c>
      <c r="AD268" s="53" t="n">
        <f aca="false">IF(OR($A268&gt;TOMATO_BED_CAP,$B268&gt;CARROT_BED_CAP,AD$4&gt;MESCLUN_BED_CAP,$A268+$B268+AD$4&gt;TOTAL_BEDS_AVAILABLE,($D268+AD$5)&gt;TOTAL_LABOR_HOURS_CAP,MAX(0,($D268+AD$5)-PERMANENT_FIELD_LABOR_HOURS)&gt;TEMP_HOURS_CAP),"",$C268+AD$6-MIN(($D268+AD$5),PERMANENT_FIELD_LABOR_HOURS)*PERMANENT_HOURLY_RATE-MAX(0,($D268+AD$5)-PERMANENT_FIELD_LABOR_HOURS)*TEMP_HOURLY_RATE-FIXED_SEASON_COST)</f>
        <v>30275.4953858723</v>
      </c>
      <c r="AE268" s="53" t="n">
        <f aca="false">IF(OR($A268&gt;TOMATO_BED_CAP,$B268&gt;CARROT_BED_CAP,AE$4&gt;MESCLUN_BED_CAP,$A268+$B268+AE$4&gt;TOTAL_BEDS_AVAILABLE,($D268+AE$5)&gt;TOTAL_LABOR_HOURS_CAP,MAX(0,($D268+AE$5)-PERMANENT_FIELD_LABOR_HOURS)&gt;TEMP_HOURS_CAP),"",$C268+AE$6-MIN(($D268+AE$5),PERMANENT_FIELD_LABOR_HOURS)*PERMANENT_HOURLY_RATE-MAX(0,($D268+AE$5)-PERMANENT_FIELD_LABOR_HOURS)*TEMP_HOURLY_RATE-FIXED_SEASON_COST)</f>
        <v>30714.0226701062</v>
      </c>
      <c r="AF268" s="53" t="n">
        <f aca="false">IF(OR($A268&gt;TOMATO_BED_CAP,$B268&gt;CARROT_BED_CAP,AF$4&gt;MESCLUN_BED_CAP,$A268+$B268+AF$4&gt;TOTAL_BEDS_AVAILABLE,($D268+AF$5)&gt;TOTAL_LABOR_HOURS_CAP,MAX(0,($D268+AF$5)-PERMANENT_FIELD_LABOR_HOURS)&gt;TEMP_HOURS_CAP),"",$C268+AF$6-MIN(($D268+AF$5),PERMANENT_FIELD_LABOR_HOURS)*PERMANENT_HOURLY_RATE-MAX(0,($D268+AF$5)-PERMANENT_FIELD_LABOR_HOURS)*TEMP_HOURLY_RATE-FIXED_SEASON_COST)</f>
        <v>31121.9602013481</v>
      </c>
      <c r="AG268" s="53" t="n">
        <f aca="false">IF(OR($A268&gt;TOMATO_BED_CAP,$B268&gt;CARROT_BED_CAP,AG$4&gt;MESCLUN_BED_CAP,$A268+$B268+AG$4&gt;TOTAL_BEDS_AVAILABLE,($D268+AG$5)&gt;TOTAL_LABOR_HOURS_CAP,MAX(0,($D268+AG$5)-PERMANENT_FIELD_LABOR_HOURS)&gt;TEMP_HOURS_CAP),"",$C268+AG$6-MIN(($D268+AG$5),PERMANENT_FIELD_LABOR_HOURS)*PERMANENT_HOURLY_RATE-MAX(0,($D268+AG$5)-PERMANENT_FIELD_LABOR_HOURS)*TEMP_HOURLY_RATE-FIXED_SEASON_COST)</f>
        <v>31498.7590908851</v>
      </c>
      <c r="AH268" s="53" t="n">
        <f aca="false">IF(OR($A268&gt;TOMATO_BED_CAP,$B268&gt;CARROT_BED_CAP,AH$4&gt;MESCLUN_BED_CAP,$A268+$B268+AH$4&gt;TOTAL_BEDS_AVAILABLE,($D268+AH$5)&gt;TOTAL_LABOR_HOURS_CAP,MAX(0,($D268+AH$5)-PERMANENT_FIELD_LABOR_HOURS)&gt;TEMP_HOURS_CAP),"",$C268+AH$6-MIN(($D268+AH$5),PERMANENT_FIELD_LABOR_HOURS)*PERMANENT_HOURLY_RATE-MAX(0,($D268+AH$5)-PERMANENT_FIELD_LABOR_HOURS)*TEMP_HOURLY_RATE-FIXED_SEASON_COST)</f>
        <v>31843.8615074353</v>
      </c>
      <c r="AI268" s="53" t="n">
        <f aca="false">IF(OR($A268&gt;TOMATO_BED_CAP,$B268&gt;CARROT_BED_CAP,AI$4&gt;MESCLUN_BED_CAP,$A268+$B268+AI$4&gt;TOTAL_BEDS_AVAILABLE,($D268+AI$5)&gt;TOTAL_LABOR_HOURS_CAP,MAX(0,($D268+AI$5)-PERMANENT_FIELD_LABOR_HOURS)&gt;TEMP_HOURS_CAP),"",$C268+AI$6-MIN(($D268+AI$5),PERMANENT_FIELD_LABOR_HOURS)*PERMANENT_HOURLY_RATE-MAX(0,($D268+AI$5)-PERMANENT_FIELD_LABOR_HOURS)*TEMP_HOURLY_RATE-FIXED_SEASON_COST)</f>
        <v>32156.7005393476</v>
      </c>
      <c r="AJ268" s="53" t="n">
        <f aca="false">IF(OR($A268&gt;TOMATO_BED_CAP,$B268&gt;CARROT_BED_CAP,AJ$4&gt;MESCLUN_BED_CAP,$A268+$B268+AJ$4&gt;TOTAL_BEDS_AVAILABLE,($D268+AJ$5)&gt;TOTAL_LABOR_HOURS_CAP,MAX(0,($D268+AJ$5)-PERMANENT_FIELD_LABOR_HOURS)&gt;TEMP_HOURS_CAP),"",$C268+AJ$6-MIN(($D268+AJ$5),PERMANENT_FIELD_LABOR_HOURS)*PERMANENT_HOURLY_RATE-MAX(0,($D268+AJ$5)-PERMANENT_FIELD_LABOR_HOURS)*TEMP_HOURLY_RATE-FIXED_SEASON_COST)</f>
        <v>32436.7000547534</v>
      </c>
    </row>
    <row r="269" customFormat="false" ht="15" hidden="false" customHeight="false" outlineLevel="0" collapsed="false">
      <c r="A269" s="21" t="n">
        <f aca="false">INT((ROW()-ROW($A$8))/(20+1))</f>
        <v>12</v>
      </c>
      <c r="B269" s="21" t="n">
        <f aca="false">MOD(ROW()-ROW($A$8),20+1)</f>
        <v>9</v>
      </c>
      <c r="C269" s="13" t="n">
        <f aca="false">A269*(TOMATO_REVENUE_PER_BED-TOMATO_FERTILIZER_PER_BED)+B269*(CARROT_REVENUE_PER_BED-CARROT_FERTILIZER_PER_BED)</f>
        <v>109926</v>
      </c>
      <c r="D269" s="14" t="n">
        <f aca="false">INDEX(TOMATO_SCHED_LABOR_HRS,A269+1)+INDEX(CARROT_SCHED_LABOR_HRS,B269+1)</f>
        <v>3726.5607715438</v>
      </c>
      <c r="E269" s="13" t="n">
        <f aca="false">IF(COUNT(F269:AJ269)=0,"",MAX(F269:AJ269))</f>
        <v>33313.6943008722</v>
      </c>
      <c r="F269" s="53" t="n">
        <f aca="false">IF(OR($A269&gt;TOMATO_BED_CAP,$B269&gt;CARROT_BED_CAP,F$4&gt;MESCLUN_BED_CAP,$A269+$B269+F$4&gt;TOTAL_BEDS_AVAILABLE,($D269+F$5)&gt;TOTAL_LABOR_HOURS_CAP,MAX(0,($D269+F$5)-PERMANENT_FIELD_LABOR_HOURS)&gt;TEMP_HOURS_CAP),"",$C269+F$6-MIN(($D269+F$5),PERMANENT_FIELD_LABOR_HOURS)*PERMANENT_HOURLY_RATE-MAX(0,($D269+F$5)-PERMANENT_FIELD_LABOR_HOURS)*TEMP_HOURLY_RATE-FIXED_SEASON_COST)</f>
        <v>12733.7050059997</v>
      </c>
      <c r="G269" s="53" t="n">
        <f aca="false">IF(OR($A269&gt;TOMATO_BED_CAP,$B269&gt;CARROT_BED_CAP,G$4&gt;MESCLUN_BED_CAP,$A269+$B269+G$4&gt;TOTAL_BEDS_AVAILABLE,($D269+G$5)&gt;TOTAL_LABOR_HOURS_CAP,MAX(0,($D269+G$5)-PERMANENT_FIELD_LABOR_HOURS)&gt;TEMP_HOURS_CAP),"",$C269+G$6-MIN(($D269+G$5),PERMANENT_FIELD_LABOR_HOURS)*PERMANENT_HOURLY_RATE-MAX(0,($D269+G$5)-PERMANENT_FIELD_LABOR_HOURS)*TEMP_HOURLY_RATE-FIXED_SEASON_COST)</f>
        <v>13762.7400059997</v>
      </c>
      <c r="H269" s="53" t="n">
        <f aca="false">IF(OR($A269&gt;TOMATO_BED_CAP,$B269&gt;CARROT_BED_CAP,H$4&gt;MESCLUN_BED_CAP,$A269+$B269+H$4&gt;TOTAL_BEDS_AVAILABLE,($D269+H$5)&gt;TOTAL_LABOR_HOURS_CAP,MAX(0,($D269+H$5)-PERMANENT_FIELD_LABOR_HOURS)&gt;TEMP_HOURS_CAP),"",$C269+H$6-MIN(($D269+H$5),PERMANENT_FIELD_LABOR_HOURS)*PERMANENT_HOURLY_RATE-MAX(0,($D269+H$5)-PERMANENT_FIELD_LABOR_HOURS)*TEMP_HOURLY_RATE-FIXED_SEASON_COST)</f>
        <v>14772.0008809997</v>
      </c>
      <c r="I269" s="53" t="n">
        <f aca="false">IF(OR($A269&gt;TOMATO_BED_CAP,$B269&gt;CARROT_BED_CAP,I$4&gt;MESCLUN_BED_CAP,$A269+$B269+I$4&gt;TOTAL_BEDS_AVAILABLE,($D269+I$5)&gt;TOTAL_LABOR_HOURS_CAP,MAX(0,($D269+I$5)-PERMANENT_FIELD_LABOR_HOURS)&gt;TEMP_HOURS_CAP),"",$C269+I$6-MIN(($D269+I$5),PERMANENT_FIELD_LABOR_HOURS)*PERMANENT_HOURLY_RATE-MAX(0,($D269+I$5)-PERMANENT_FIELD_LABOR_HOURS)*TEMP_HOURLY_RATE-FIXED_SEASON_COST)</f>
        <v>15761.1168661559</v>
      </c>
      <c r="J269" s="53" t="n">
        <f aca="false">IF(OR($A269&gt;TOMATO_BED_CAP,$B269&gt;CARROT_BED_CAP,J$4&gt;MESCLUN_BED_CAP,$A269+$B269+J$4&gt;TOTAL_BEDS_AVAILABLE,($D269+J$5)&gt;TOTAL_LABOR_HOURS_CAP,MAX(0,($D269+J$5)-PERMANENT_FIELD_LABOR_HOURS)&gt;TEMP_HOURS_CAP),"",$C269+J$6-MIN(($D269+J$5),PERMANENT_FIELD_LABOR_HOURS)*PERMANENT_HOURLY_RATE-MAX(0,($D269+J$5)-PERMANENT_FIELD_LABOR_HOURS)*TEMP_HOURLY_RATE-FIXED_SEASON_COST)</f>
        <v>16729.7110172106</v>
      </c>
      <c r="K269" s="53" t="n">
        <f aca="false">IF(OR($A269&gt;TOMATO_BED_CAP,$B269&gt;CARROT_BED_CAP,K$4&gt;MESCLUN_BED_CAP,$A269+$B269+K$4&gt;TOTAL_BEDS_AVAILABLE,($D269+K$5)&gt;TOTAL_LABOR_HOURS_CAP,MAX(0,($D269+K$5)-PERMANENT_FIELD_LABOR_HOURS)&gt;TEMP_HOURS_CAP),"",$C269+K$6-MIN(($D269+K$5),PERMANENT_FIELD_LABOR_HOURS)*PERMANENT_HOURLY_RATE-MAX(0,($D269+K$5)-PERMANENT_FIELD_LABOR_HOURS)*TEMP_HOURLY_RATE-FIXED_SEASON_COST)</f>
        <v>17677.4001139385</v>
      </c>
      <c r="L269" s="53" t="n">
        <f aca="false">IF(OR($A269&gt;TOMATO_BED_CAP,$B269&gt;CARROT_BED_CAP,L$4&gt;MESCLUN_BED_CAP,$A269+$B269+L$4&gt;TOTAL_BEDS_AVAILABLE,($D269+L$5)&gt;TOTAL_LABOR_HOURS_CAP,MAX(0,($D269+L$5)-PERMANENT_FIELD_LABOR_HOURS)&gt;TEMP_HOURS_CAP),"",$C269+L$6-MIN(($D269+L$5),PERMANENT_FIELD_LABOR_HOURS)*PERMANENT_HOURLY_RATE-MAX(0,($D269+L$5)-PERMANENT_FIELD_LABOR_HOURS)*TEMP_HOURLY_RATE-FIXED_SEASON_COST)</f>
        <v>18603.7945621454</v>
      </c>
      <c r="M269" s="53" t="n">
        <f aca="false">IF(OR($A269&gt;TOMATO_BED_CAP,$B269&gt;CARROT_BED_CAP,M$4&gt;MESCLUN_BED_CAP,$A269+$B269+M$4&gt;TOTAL_BEDS_AVAILABLE,($D269+M$5)&gt;TOTAL_LABOR_HOURS_CAP,MAX(0,($D269+M$5)-PERMANENT_FIELD_LABOR_HOURS)&gt;TEMP_HOURS_CAP),"",$C269+M$6-MIN(($D269+M$5),PERMANENT_FIELD_LABOR_HOURS)*PERMANENT_HOURLY_RATE-MAX(0,($D269+M$5)-PERMANENT_FIELD_LABOR_HOURS)*TEMP_HOURLY_RATE-FIXED_SEASON_COST)</f>
        <v>19508.4982941968</v>
      </c>
      <c r="N269" s="53" t="n">
        <f aca="false">IF(OR($A269&gt;TOMATO_BED_CAP,$B269&gt;CARROT_BED_CAP,N$4&gt;MESCLUN_BED_CAP,$A269+$B269+N$4&gt;TOTAL_BEDS_AVAILABLE,($D269+N$5)&gt;TOTAL_LABOR_HOURS_CAP,MAX(0,($D269+N$5)-PERMANENT_FIELD_LABOR_HOURS)&gt;TEMP_HOURS_CAP),"",$C269+N$6-MIN(($D269+N$5),PERMANENT_FIELD_LABOR_HOURS)*PERMANENT_HOURLY_RATE-MAX(0,($D269+N$5)-PERMANENT_FIELD_LABOR_HOURS)*TEMP_HOURLY_RATE-FIXED_SEASON_COST)</f>
        <v>20391.1086680563</v>
      </c>
      <c r="O269" s="53" t="n">
        <f aca="false">IF(OR($A269&gt;TOMATO_BED_CAP,$B269&gt;CARROT_BED_CAP,O$4&gt;MESCLUN_BED_CAP,$A269+$B269+O$4&gt;TOTAL_BEDS_AVAILABLE,($D269+O$5)&gt;TOTAL_LABOR_HOURS_CAP,MAX(0,($D269+O$5)-PERMANENT_FIELD_LABOR_HOURS)&gt;TEMP_HOURS_CAP),"",$C269+O$6-MIN(($D269+O$5),PERMANENT_FIELD_LABOR_HOURS)*PERMANENT_HOURLY_RATE-MAX(0,($D269+O$5)-PERMANENT_FIELD_LABOR_HOURS)*TEMP_HOURLY_RATE-FIXED_SEASON_COST)</f>
        <v>21251.2163648111</v>
      </c>
      <c r="P269" s="53" t="n">
        <f aca="false">IF(OR($A269&gt;TOMATO_BED_CAP,$B269&gt;CARROT_BED_CAP,P$4&gt;MESCLUN_BED_CAP,$A269+$B269+P$4&gt;TOTAL_BEDS_AVAILABLE,($D269+P$5)&gt;TOTAL_LABOR_HOURS_CAP,MAX(0,($D269+P$5)-PERMANENT_FIELD_LABOR_HOURS)&gt;TEMP_HOURS_CAP),"",$C269+P$6-MIN(($D269+P$5),PERMANENT_FIELD_LABOR_HOURS)*PERMANENT_HOURLY_RATE-MAX(0,($D269+P$5)-PERMANENT_FIELD_LABOR_HOURS)*TEMP_HOURLY_RATE-FIXED_SEASON_COST)</f>
        <v>22088.4052846625</v>
      </c>
      <c r="Q269" s="53" t="n">
        <f aca="false">IF(OR($A269&gt;TOMATO_BED_CAP,$B269&gt;CARROT_BED_CAP,Q$4&gt;MESCLUN_BED_CAP,$A269+$B269+Q$4&gt;TOTAL_BEDS_AVAILABLE,($D269+Q$5)&gt;TOTAL_LABOR_HOURS_CAP,MAX(0,($D269+Q$5)-PERMANENT_FIELD_LABOR_HOURS)&gt;TEMP_HOURS_CAP),"",$C269+Q$6-MIN(($D269+Q$5),PERMANENT_FIELD_LABOR_HOURS)*PERMANENT_HOURLY_RATE-MAX(0,($D269+Q$5)-PERMANENT_FIELD_LABOR_HOURS)*TEMP_HOURLY_RATE-FIXED_SEASON_COST)</f>
        <v>22902.2524413604</v>
      </c>
      <c r="R269" s="53" t="n">
        <f aca="false">IF(OR($A269&gt;TOMATO_BED_CAP,$B269&gt;CARROT_BED_CAP,R$4&gt;MESCLUN_BED_CAP,$A269+$B269+R$4&gt;TOTAL_BEDS_AVAILABLE,($D269+R$5)&gt;TOTAL_LABOR_HOURS_CAP,MAX(0,($D269+R$5)-PERMANENT_FIELD_LABOR_HOURS)&gt;TEMP_HOURS_CAP),"",$C269+R$6-MIN(($D269+R$5),PERMANENT_FIELD_LABOR_HOURS)*PERMANENT_HOURLY_RATE-MAX(0,($D269+R$5)-PERMANENT_FIELD_LABOR_HOURS)*TEMP_HOURLY_RATE-FIXED_SEASON_COST)</f>
        <v>23692.3278550572</v>
      </c>
      <c r="S269" s="53" t="n">
        <f aca="false">IF(OR($A269&gt;TOMATO_BED_CAP,$B269&gt;CARROT_BED_CAP,S$4&gt;MESCLUN_BED_CAP,$A269+$B269+S$4&gt;TOTAL_BEDS_AVAILABLE,($D269+S$5)&gt;TOTAL_LABOR_HOURS_CAP,MAX(0,($D269+S$5)-PERMANENT_FIELD_LABOR_HOURS)&gt;TEMP_HOURS_CAP),"",$C269+S$6-MIN(($D269+S$5),PERMANENT_FIELD_LABOR_HOURS)*PERMANENT_HOURLY_RATE-MAX(0,($D269+S$5)-PERMANENT_FIELD_LABOR_HOURS)*TEMP_HOURLY_RATE-FIXED_SEASON_COST)</f>
        <v>24458.1944435596</v>
      </c>
      <c r="T269" s="53" t="n">
        <f aca="false">IF(OR($A269&gt;TOMATO_BED_CAP,$B269&gt;CARROT_BED_CAP,T$4&gt;MESCLUN_BED_CAP,$A269+$B269+T$4&gt;TOTAL_BEDS_AVAILABLE,($D269+T$5)&gt;TOTAL_LABOR_HOURS_CAP,MAX(0,($D269+T$5)-PERMANENT_FIELD_LABOR_HOURS)&gt;TEMP_HOURS_CAP),"",$C269+T$6-MIN(($D269+T$5),PERMANENT_FIELD_LABOR_HOURS)*PERMANENT_HOURLY_RATE-MAX(0,($D269+T$5)-PERMANENT_FIELD_LABOR_HOURS)*TEMP_HOURLY_RATE-FIXED_SEASON_COST)</f>
        <v>25199.4079119545</v>
      </c>
      <c r="U269" s="53" t="n">
        <f aca="false">IF(OR($A269&gt;TOMATO_BED_CAP,$B269&gt;CARROT_BED_CAP,U$4&gt;MESCLUN_BED_CAP,$A269+$B269+U$4&gt;TOTAL_BEDS_AVAILABLE,($D269+U$5)&gt;TOTAL_LABOR_HOURS_CAP,MAX(0,($D269+U$5)-PERMANENT_FIELD_LABOR_HOURS)&gt;TEMP_HOURS_CAP),"",$C269+U$6-MIN(($D269+U$5),PERMANENT_FIELD_LABOR_HOURS)*PERMANENT_HOURLY_RATE-MAX(0,($D269+U$5)-PERMANENT_FIELD_LABOR_HOURS)*TEMP_HOURLY_RATE-FIXED_SEASON_COST)</f>
        <v>25915.5166405846</v>
      </c>
      <c r="V269" s="53" t="n">
        <f aca="false">IF(OR($A269&gt;TOMATO_BED_CAP,$B269&gt;CARROT_BED_CAP,V$4&gt;MESCLUN_BED_CAP,$A269+$B269+V$4&gt;TOTAL_BEDS_AVAILABLE,($D269+V$5)&gt;TOTAL_LABOR_HOURS_CAP,MAX(0,($D269+V$5)-PERMANENT_FIELD_LABOR_HOURS)&gt;TEMP_HOURS_CAP),"",$C269+V$6-MIN(($D269+V$5),PERMANENT_FIELD_LABOR_HOURS)*PERMANENT_HOURLY_RATE-MAX(0,($D269+V$5)-PERMANENT_FIELD_LABOR_HOURS)*TEMP_HOURLY_RATE-FIXED_SEASON_COST)</f>
        <v>26606.0615713514</v>
      </c>
      <c r="W269" s="53" t="n">
        <f aca="false">IF(OR($A269&gt;TOMATO_BED_CAP,$B269&gt;CARROT_BED_CAP,W$4&gt;MESCLUN_BED_CAP,$A269+$B269+W$4&gt;TOTAL_BEDS_AVAILABLE,($D269+W$5)&gt;TOTAL_LABOR_HOURS_CAP,MAX(0,($D269+W$5)-PERMANENT_FIELD_LABOR_HOURS)&gt;TEMP_HOURS_CAP),"",$C269+W$6-MIN(($D269+W$5),PERMANENT_FIELD_LABOR_HOURS)*PERMANENT_HOURLY_RATE-MAX(0,($D269+W$5)-PERMANENT_FIELD_LABOR_HOURS)*TEMP_HOURLY_RATE-FIXED_SEASON_COST)</f>
        <v>27270.5760923194</v>
      </c>
      <c r="X269" s="53" t="n">
        <f aca="false">IF(OR($A269&gt;TOMATO_BED_CAP,$B269&gt;CARROT_BED_CAP,X$4&gt;MESCLUN_BED_CAP,$A269+$B269+X$4&gt;TOTAL_BEDS_AVAILABLE,($D269+X$5)&gt;TOTAL_LABOR_HOURS_CAP,MAX(0,($D269+X$5)-PERMANENT_FIELD_LABOR_HOURS)&gt;TEMP_HOURS_CAP),"",$C269+X$6-MIN(($D269+X$5),PERMANENT_FIELD_LABOR_HOURS)*PERMANENT_HOURLY_RATE-MAX(0,($D269+X$5)-PERMANENT_FIELD_LABOR_HOURS)*TEMP_HOURLY_RATE-FIXED_SEASON_COST)</f>
        <v>27908.5859205984</v>
      </c>
      <c r="Y269" s="53" t="n">
        <f aca="false">IF(OR($A269&gt;TOMATO_BED_CAP,$B269&gt;CARROT_BED_CAP,Y$4&gt;MESCLUN_BED_CAP,$A269+$B269+Y$4&gt;TOTAL_BEDS_AVAILABLE,($D269+Y$5)&gt;TOTAL_LABOR_HOURS_CAP,MAX(0,($D269+Y$5)-PERMANENT_FIELD_LABOR_HOURS)&gt;TEMP_HOURS_CAP),"",$C269+Y$6-MIN(($D269+Y$5),PERMANENT_FIELD_LABOR_HOURS)*PERMANENT_HOURLY_RATE-MAX(0,($D269+Y$5)-PERMANENT_FIELD_LABOR_HOURS)*TEMP_HOURLY_RATE-FIXED_SEASON_COST)</f>
        <v>28519.608983477</v>
      </c>
      <c r="Z269" s="53" t="n">
        <f aca="false">IF(OR($A269&gt;TOMATO_BED_CAP,$B269&gt;CARROT_BED_CAP,Z$4&gt;MESCLUN_BED_CAP,$A269+$B269+Z$4&gt;TOTAL_BEDS_AVAILABLE,($D269+Z$5)&gt;TOTAL_LABOR_HOURS_CAP,MAX(0,($D269+Z$5)-PERMANENT_FIELD_LABOR_HOURS)&gt;TEMP_HOURS_CAP),"",$C269+Z$6-MIN(($D269+Z$5),PERMANENT_FIELD_LABOR_HOURS)*PERMANENT_HOURLY_RATE-MAX(0,($D269+Z$5)-PERMANENT_FIELD_LABOR_HOURS)*TEMP_HOURLY_RATE-FIXED_SEASON_COST)</f>
        <v>29103.1552977847</v>
      </c>
      <c r="AA269" s="53" t="n">
        <f aca="false">IF(OR($A269&gt;TOMATO_BED_CAP,$B269&gt;CARROT_BED_CAP,AA$4&gt;MESCLUN_BED_CAP,$A269+$B269+AA$4&gt;TOTAL_BEDS_AVAILABLE,($D269+AA$5)&gt;TOTAL_LABOR_HOURS_CAP,MAX(0,($D269+AA$5)-PERMANENT_FIELD_LABOR_HOURS)&gt;TEMP_HOURS_CAP),"",$C269+AA$6-MIN(($D269+AA$5),PERMANENT_FIELD_LABOR_HOURS)*PERMANENT_HOURLY_RATE-MAX(0,($D269+AA$5)-PERMANENT_FIELD_LABOR_HOURS)*TEMP_HOURLY_RATE-FIXED_SEASON_COST)</f>
        <v>29658.7268474537</v>
      </c>
      <c r="AB269" s="53" t="n">
        <f aca="false">IF(OR($A269&gt;TOMATO_BED_CAP,$B269&gt;CARROT_BED_CAP,AB$4&gt;MESCLUN_BED_CAP,$A269+$B269+AB$4&gt;TOTAL_BEDS_AVAILABLE,($D269+AB$5)&gt;TOTAL_LABOR_HOURS_CAP,MAX(0,($D269+AB$5)-PERMANENT_FIELD_LABOR_HOURS)&gt;TEMP_HOURS_CAP),"",$C269+AB$6-MIN(($D269+AB$5),PERMANENT_FIELD_LABOR_HOURS)*PERMANENT_HOURLY_RATE-MAX(0,($D269+AB$5)-PERMANENT_FIELD_LABOR_HOURS)*TEMP_HOURLY_RATE-FIXED_SEASON_COST)</f>
        <v>30185.8174592562</v>
      </c>
      <c r="AC269" s="53" t="n">
        <f aca="false">IF(OR($A269&gt;TOMATO_BED_CAP,$B269&gt;CARROT_BED_CAP,AC$4&gt;MESCLUN_BED_CAP,$A269+$B269+AC$4&gt;TOTAL_BEDS_AVAILABLE,($D269+AC$5)&gt;TOTAL_LABOR_HOURS_CAP,MAX(0,($D269+AC$5)-PERMANENT_FIELD_LABOR_HOURS)&gt;TEMP_HOURS_CAP),"",$C269+AC$6-MIN(($D269+AC$5),PERMANENT_FIELD_LABOR_HOURS)*PERMANENT_HOURLY_RATE-MAX(0,($D269+AC$5)-PERMANENT_FIELD_LABOR_HOURS)*TEMP_HOURLY_RATE-FIXED_SEASON_COST)</f>
        <v>30683.9126766912</v>
      </c>
      <c r="AD269" s="53" t="n">
        <f aca="false">IF(OR($A269&gt;TOMATO_BED_CAP,$B269&gt;CARROT_BED_CAP,AD$4&gt;MESCLUN_BED_CAP,$A269+$B269+AD$4&gt;TOTAL_BEDS_AVAILABLE,($D269+AD$5)&gt;TOTAL_LABOR_HOURS_CAP,MAX(0,($D269+AD$5)-PERMANENT_FIELD_LABOR_HOURS)&gt;TEMP_HOURS_CAP),"",$C269+AD$6-MIN(($D269+AD$5),PERMANENT_FIELD_LABOR_HOURS)*PERMANENT_HOURLY_RATE-MAX(0,($D269+AD$5)-PERMANENT_FIELD_LABOR_HOURS)*TEMP_HOURLY_RATE-FIXED_SEASON_COST)</f>
        <v>31152.4896319911</v>
      </c>
      <c r="AE269" s="53" t="n">
        <f aca="false">IF(OR($A269&gt;TOMATO_BED_CAP,$B269&gt;CARROT_BED_CAP,AE$4&gt;MESCLUN_BED_CAP,$A269+$B269+AE$4&gt;TOTAL_BEDS_AVAILABLE,($D269+AE$5)&gt;TOTAL_LABOR_HOURS_CAP,MAX(0,($D269+AE$5)-PERMANENT_FIELD_LABOR_HOURS)&gt;TEMP_HOURS_CAP),"",$C269+AE$6-MIN(($D269+AE$5),PERMANENT_FIELD_LABOR_HOURS)*PERMANENT_HOURLY_RATE-MAX(0,($D269+AE$5)-PERMANENT_FIELD_LABOR_HOURS)*TEMP_HOURLY_RATE-FIXED_SEASON_COST)</f>
        <v>31591.016916225</v>
      </c>
      <c r="AF269" s="53" t="n">
        <f aca="false">IF(OR($A269&gt;TOMATO_BED_CAP,$B269&gt;CARROT_BED_CAP,AF$4&gt;MESCLUN_BED_CAP,$A269+$B269+AF$4&gt;TOTAL_BEDS_AVAILABLE,($D269+AF$5)&gt;TOTAL_LABOR_HOURS_CAP,MAX(0,($D269+AF$5)-PERMANENT_FIELD_LABOR_HOURS)&gt;TEMP_HOURS_CAP),"",$C269+AF$6-MIN(($D269+AF$5),PERMANENT_FIELD_LABOR_HOURS)*PERMANENT_HOURLY_RATE-MAX(0,($D269+AF$5)-PERMANENT_FIELD_LABOR_HOURS)*TEMP_HOURLY_RATE-FIXED_SEASON_COST)</f>
        <v>31998.954447467</v>
      </c>
      <c r="AG269" s="53" t="n">
        <f aca="false">IF(OR($A269&gt;TOMATO_BED_CAP,$B269&gt;CARROT_BED_CAP,AG$4&gt;MESCLUN_BED_CAP,$A269+$B269+AG$4&gt;TOTAL_BEDS_AVAILABLE,($D269+AG$5)&gt;TOTAL_LABOR_HOURS_CAP,MAX(0,($D269+AG$5)-PERMANENT_FIELD_LABOR_HOURS)&gt;TEMP_HOURS_CAP),"",$C269+AG$6-MIN(($D269+AG$5),PERMANENT_FIELD_LABOR_HOURS)*PERMANENT_HOURLY_RATE-MAX(0,($D269+AG$5)-PERMANENT_FIELD_LABOR_HOURS)*TEMP_HOURLY_RATE-FIXED_SEASON_COST)</f>
        <v>32375.753337004</v>
      </c>
      <c r="AH269" s="53" t="n">
        <f aca="false">IF(OR($A269&gt;TOMATO_BED_CAP,$B269&gt;CARROT_BED_CAP,AH$4&gt;MESCLUN_BED_CAP,$A269+$B269+AH$4&gt;TOTAL_BEDS_AVAILABLE,($D269+AH$5)&gt;TOTAL_LABOR_HOURS_CAP,MAX(0,($D269+AH$5)-PERMANENT_FIELD_LABOR_HOURS)&gt;TEMP_HOURS_CAP),"",$C269+AH$6-MIN(($D269+AH$5),PERMANENT_FIELD_LABOR_HOURS)*PERMANENT_HOURLY_RATE-MAX(0,($D269+AH$5)-PERMANENT_FIELD_LABOR_HOURS)*TEMP_HOURLY_RATE-FIXED_SEASON_COST)</f>
        <v>32720.8557535542</v>
      </c>
      <c r="AI269" s="53" t="n">
        <f aca="false">IF(OR($A269&gt;TOMATO_BED_CAP,$B269&gt;CARROT_BED_CAP,AI$4&gt;MESCLUN_BED_CAP,$A269+$B269+AI$4&gt;TOTAL_BEDS_AVAILABLE,($D269+AI$5)&gt;TOTAL_LABOR_HOURS_CAP,MAX(0,($D269+AI$5)-PERMANENT_FIELD_LABOR_HOURS)&gt;TEMP_HOURS_CAP),"",$C269+AI$6-MIN(($D269+AI$5),PERMANENT_FIELD_LABOR_HOURS)*PERMANENT_HOURLY_RATE-MAX(0,($D269+AI$5)-PERMANENT_FIELD_LABOR_HOURS)*TEMP_HOURLY_RATE-FIXED_SEASON_COST)</f>
        <v>33033.6947854665</v>
      </c>
      <c r="AJ269" s="53" t="n">
        <f aca="false">IF(OR($A269&gt;TOMATO_BED_CAP,$B269&gt;CARROT_BED_CAP,AJ$4&gt;MESCLUN_BED_CAP,$A269+$B269+AJ$4&gt;TOTAL_BEDS_AVAILABLE,($D269+AJ$5)&gt;TOTAL_LABOR_HOURS_CAP,MAX(0,($D269+AJ$5)-PERMANENT_FIELD_LABOR_HOURS)&gt;TEMP_HOURS_CAP),"",$C269+AJ$6-MIN(($D269+AJ$5),PERMANENT_FIELD_LABOR_HOURS)*PERMANENT_HOURLY_RATE-MAX(0,($D269+AJ$5)-PERMANENT_FIELD_LABOR_HOURS)*TEMP_HOURLY_RATE-FIXED_SEASON_COST)</f>
        <v>33313.6943008722</v>
      </c>
    </row>
    <row r="270" customFormat="false" ht="15" hidden="false" customHeight="false" outlineLevel="0" collapsed="false">
      <c r="A270" s="21" t="n">
        <f aca="false">INT((ROW()-ROW($A$8))/(20+1))</f>
        <v>12</v>
      </c>
      <c r="B270" s="21" t="n">
        <f aca="false">MOD(ROW()-ROW($A$8),20+1)</f>
        <v>10</v>
      </c>
      <c r="C270" s="13" t="n">
        <f aca="false">A270*(TOMATO_REVENUE_PER_BED-TOMATO_FERTILIZER_PER_BED)+B270*(CARROT_REVENUE_PER_BED-CARROT_FERTILIZER_PER_BED)</f>
        <v>111580</v>
      </c>
      <c r="D270" s="14" t="n">
        <f aca="false">INDEX(TOMATO_SCHED_LABOR_HRS,A270+1)+INDEX(CARROT_SCHED_LABOR_HRS,B270+1)</f>
        <v>3773.37439997229</v>
      </c>
      <c r="E270" s="13" t="n">
        <f aca="false">IF(COUNT(F270:AJ270)=0,"",MAX(F270:AJ270))</f>
        <v>34155.0097113536</v>
      </c>
      <c r="F270" s="53" t="n">
        <f aca="false">IF(OR($A270&gt;TOMATO_BED_CAP,$B270&gt;CARROT_BED_CAP,F$4&gt;MESCLUN_BED_CAP,$A270+$B270+F$4&gt;TOTAL_BEDS_AVAILABLE,($D270+F$5)&gt;TOTAL_LABOR_HOURS_CAP,MAX(0,($D270+F$5)-PERMANENT_FIELD_LABOR_HOURS)&gt;TEMP_HOURS_CAP),"",$C270+F$6-MIN(($D270+F$5),PERMANENT_FIELD_LABOR_HOURS)*PERMANENT_HOURLY_RATE-MAX(0,($D270+F$5)-PERMANENT_FIELD_LABOR_HOURS)*TEMP_HOURLY_RATE-FIXED_SEASON_COST)</f>
        <v>13575.0204164811</v>
      </c>
      <c r="G270" s="53" t="n">
        <f aca="false">IF(OR($A270&gt;TOMATO_BED_CAP,$B270&gt;CARROT_BED_CAP,G$4&gt;MESCLUN_BED_CAP,$A270+$B270+G$4&gt;TOTAL_BEDS_AVAILABLE,($D270+G$5)&gt;TOTAL_LABOR_HOURS_CAP,MAX(0,($D270+G$5)-PERMANENT_FIELD_LABOR_HOURS)&gt;TEMP_HOURS_CAP),"",$C270+G$6-MIN(($D270+G$5),PERMANENT_FIELD_LABOR_HOURS)*PERMANENT_HOURLY_RATE-MAX(0,($D270+G$5)-PERMANENT_FIELD_LABOR_HOURS)*TEMP_HOURLY_RATE-FIXED_SEASON_COST)</f>
        <v>14604.0554164811</v>
      </c>
      <c r="H270" s="53" t="n">
        <f aca="false">IF(OR($A270&gt;TOMATO_BED_CAP,$B270&gt;CARROT_BED_CAP,H$4&gt;MESCLUN_BED_CAP,$A270+$B270+H$4&gt;TOTAL_BEDS_AVAILABLE,($D270+H$5)&gt;TOTAL_LABOR_HOURS_CAP,MAX(0,($D270+H$5)-PERMANENT_FIELD_LABOR_HOURS)&gt;TEMP_HOURS_CAP),"",$C270+H$6-MIN(($D270+H$5),PERMANENT_FIELD_LABOR_HOURS)*PERMANENT_HOURLY_RATE-MAX(0,($D270+H$5)-PERMANENT_FIELD_LABOR_HOURS)*TEMP_HOURLY_RATE-FIXED_SEASON_COST)</f>
        <v>15613.3162914811</v>
      </c>
      <c r="I270" s="53" t="n">
        <f aca="false">IF(OR($A270&gt;TOMATO_BED_CAP,$B270&gt;CARROT_BED_CAP,I$4&gt;MESCLUN_BED_CAP,$A270+$B270+I$4&gt;TOTAL_BEDS_AVAILABLE,($D270+I$5)&gt;TOTAL_LABOR_HOURS_CAP,MAX(0,($D270+I$5)-PERMANENT_FIELD_LABOR_HOURS)&gt;TEMP_HOURS_CAP),"",$C270+I$6-MIN(($D270+I$5),PERMANENT_FIELD_LABOR_HOURS)*PERMANENT_HOURLY_RATE-MAX(0,($D270+I$5)-PERMANENT_FIELD_LABOR_HOURS)*TEMP_HOURLY_RATE-FIXED_SEASON_COST)</f>
        <v>16602.4322766374</v>
      </c>
      <c r="J270" s="53" t="n">
        <f aca="false">IF(OR($A270&gt;TOMATO_BED_CAP,$B270&gt;CARROT_BED_CAP,J$4&gt;MESCLUN_BED_CAP,$A270+$B270+J$4&gt;TOTAL_BEDS_AVAILABLE,($D270+J$5)&gt;TOTAL_LABOR_HOURS_CAP,MAX(0,($D270+J$5)-PERMANENT_FIELD_LABOR_HOURS)&gt;TEMP_HOURS_CAP),"",$C270+J$6-MIN(($D270+J$5),PERMANENT_FIELD_LABOR_HOURS)*PERMANENT_HOURLY_RATE-MAX(0,($D270+J$5)-PERMANENT_FIELD_LABOR_HOURS)*TEMP_HOURLY_RATE-FIXED_SEASON_COST)</f>
        <v>17571.026427692</v>
      </c>
      <c r="K270" s="53" t="n">
        <f aca="false">IF(OR($A270&gt;TOMATO_BED_CAP,$B270&gt;CARROT_BED_CAP,K$4&gt;MESCLUN_BED_CAP,$A270+$B270+K$4&gt;TOTAL_BEDS_AVAILABLE,($D270+K$5)&gt;TOTAL_LABOR_HOURS_CAP,MAX(0,($D270+K$5)-PERMANENT_FIELD_LABOR_HOURS)&gt;TEMP_HOURS_CAP),"",$C270+K$6-MIN(($D270+K$5),PERMANENT_FIELD_LABOR_HOURS)*PERMANENT_HOURLY_RATE-MAX(0,($D270+K$5)-PERMANENT_FIELD_LABOR_HOURS)*TEMP_HOURLY_RATE-FIXED_SEASON_COST)</f>
        <v>18518.71552442</v>
      </c>
      <c r="L270" s="53" t="n">
        <f aca="false">IF(OR($A270&gt;TOMATO_BED_CAP,$B270&gt;CARROT_BED_CAP,L$4&gt;MESCLUN_BED_CAP,$A270+$B270+L$4&gt;TOTAL_BEDS_AVAILABLE,($D270+L$5)&gt;TOTAL_LABOR_HOURS_CAP,MAX(0,($D270+L$5)-PERMANENT_FIELD_LABOR_HOURS)&gt;TEMP_HOURS_CAP),"",$C270+L$6-MIN(($D270+L$5),PERMANENT_FIELD_LABOR_HOURS)*PERMANENT_HOURLY_RATE-MAX(0,($D270+L$5)-PERMANENT_FIELD_LABOR_HOURS)*TEMP_HOURLY_RATE-FIXED_SEASON_COST)</f>
        <v>19445.1099726268</v>
      </c>
      <c r="M270" s="53" t="n">
        <f aca="false">IF(OR($A270&gt;TOMATO_BED_CAP,$B270&gt;CARROT_BED_CAP,M$4&gt;MESCLUN_BED_CAP,$A270+$B270+M$4&gt;TOTAL_BEDS_AVAILABLE,($D270+M$5)&gt;TOTAL_LABOR_HOURS_CAP,MAX(0,($D270+M$5)-PERMANENT_FIELD_LABOR_HOURS)&gt;TEMP_HOURS_CAP),"",$C270+M$6-MIN(($D270+M$5),PERMANENT_FIELD_LABOR_HOURS)*PERMANENT_HOURLY_RATE-MAX(0,($D270+M$5)-PERMANENT_FIELD_LABOR_HOURS)*TEMP_HOURLY_RATE-FIXED_SEASON_COST)</f>
        <v>20349.8137046782</v>
      </c>
      <c r="N270" s="53" t="n">
        <f aca="false">IF(OR($A270&gt;TOMATO_BED_CAP,$B270&gt;CARROT_BED_CAP,N$4&gt;MESCLUN_BED_CAP,$A270+$B270+N$4&gt;TOTAL_BEDS_AVAILABLE,($D270+N$5)&gt;TOTAL_LABOR_HOURS_CAP,MAX(0,($D270+N$5)-PERMANENT_FIELD_LABOR_HOURS)&gt;TEMP_HOURS_CAP),"",$C270+N$6-MIN(($D270+N$5),PERMANENT_FIELD_LABOR_HOURS)*PERMANENT_HOURLY_RATE-MAX(0,($D270+N$5)-PERMANENT_FIELD_LABOR_HOURS)*TEMP_HOURLY_RATE-FIXED_SEASON_COST)</f>
        <v>21232.4240785377</v>
      </c>
      <c r="O270" s="53" t="n">
        <f aca="false">IF(OR($A270&gt;TOMATO_BED_CAP,$B270&gt;CARROT_BED_CAP,O$4&gt;MESCLUN_BED_CAP,$A270+$B270+O$4&gt;TOTAL_BEDS_AVAILABLE,($D270+O$5)&gt;TOTAL_LABOR_HOURS_CAP,MAX(0,($D270+O$5)-PERMANENT_FIELD_LABOR_HOURS)&gt;TEMP_HOURS_CAP),"",$C270+O$6-MIN(($D270+O$5),PERMANENT_FIELD_LABOR_HOURS)*PERMANENT_HOURLY_RATE-MAX(0,($D270+O$5)-PERMANENT_FIELD_LABOR_HOURS)*TEMP_HOURLY_RATE-FIXED_SEASON_COST)</f>
        <v>22092.5317752925</v>
      </c>
      <c r="P270" s="53" t="n">
        <f aca="false">IF(OR($A270&gt;TOMATO_BED_CAP,$B270&gt;CARROT_BED_CAP,P$4&gt;MESCLUN_BED_CAP,$A270+$B270+P$4&gt;TOTAL_BEDS_AVAILABLE,($D270+P$5)&gt;TOTAL_LABOR_HOURS_CAP,MAX(0,($D270+P$5)-PERMANENT_FIELD_LABOR_HOURS)&gt;TEMP_HOURS_CAP),"",$C270+P$6-MIN(($D270+P$5),PERMANENT_FIELD_LABOR_HOURS)*PERMANENT_HOURLY_RATE-MAX(0,($D270+P$5)-PERMANENT_FIELD_LABOR_HOURS)*TEMP_HOURLY_RATE-FIXED_SEASON_COST)</f>
        <v>22929.7206951439</v>
      </c>
      <c r="Q270" s="53" t="n">
        <f aca="false">IF(OR($A270&gt;TOMATO_BED_CAP,$B270&gt;CARROT_BED_CAP,Q$4&gt;MESCLUN_BED_CAP,$A270+$B270+Q$4&gt;TOTAL_BEDS_AVAILABLE,($D270+Q$5)&gt;TOTAL_LABOR_HOURS_CAP,MAX(0,($D270+Q$5)-PERMANENT_FIELD_LABOR_HOURS)&gt;TEMP_HOURS_CAP),"",$C270+Q$6-MIN(($D270+Q$5),PERMANENT_FIELD_LABOR_HOURS)*PERMANENT_HOURLY_RATE-MAX(0,($D270+Q$5)-PERMANENT_FIELD_LABOR_HOURS)*TEMP_HOURLY_RATE-FIXED_SEASON_COST)</f>
        <v>23743.5678518418</v>
      </c>
      <c r="R270" s="53" t="n">
        <f aca="false">IF(OR($A270&gt;TOMATO_BED_CAP,$B270&gt;CARROT_BED_CAP,R$4&gt;MESCLUN_BED_CAP,$A270+$B270+R$4&gt;TOTAL_BEDS_AVAILABLE,($D270+R$5)&gt;TOTAL_LABOR_HOURS_CAP,MAX(0,($D270+R$5)-PERMANENT_FIELD_LABOR_HOURS)&gt;TEMP_HOURS_CAP),"",$C270+R$6-MIN(($D270+R$5),PERMANENT_FIELD_LABOR_HOURS)*PERMANENT_HOURLY_RATE-MAX(0,($D270+R$5)-PERMANENT_FIELD_LABOR_HOURS)*TEMP_HOURLY_RATE-FIXED_SEASON_COST)</f>
        <v>24533.6432655386</v>
      </c>
      <c r="S270" s="53" t="n">
        <f aca="false">IF(OR($A270&gt;TOMATO_BED_CAP,$B270&gt;CARROT_BED_CAP,S$4&gt;MESCLUN_BED_CAP,$A270+$B270+S$4&gt;TOTAL_BEDS_AVAILABLE,($D270+S$5)&gt;TOTAL_LABOR_HOURS_CAP,MAX(0,($D270+S$5)-PERMANENT_FIELD_LABOR_HOURS)&gt;TEMP_HOURS_CAP),"",$C270+S$6-MIN(($D270+S$5),PERMANENT_FIELD_LABOR_HOURS)*PERMANENT_HOURLY_RATE-MAX(0,($D270+S$5)-PERMANENT_FIELD_LABOR_HOURS)*TEMP_HOURLY_RATE-FIXED_SEASON_COST)</f>
        <v>25299.5098540411</v>
      </c>
      <c r="T270" s="53" t="n">
        <f aca="false">IF(OR($A270&gt;TOMATO_BED_CAP,$B270&gt;CARROT_BED_CAP,T$4&gt;MESCLUN_BED_CAP,$A270+$B270+T$4&gt;TOTAL_BEDS_AVAILABLE,($D270+T$5)&gt;TOTAL_LABOR_HOURS_CAP,MAX(0,($D270+T$5)-PERMANENT_FIELD_LABOR_HOURS)&gt;TEMP_HOURS_CAP),"",$C270+T$6-MIN(($D270+T$5),PERMANENT_FIELD_LABOR_HOURS)*PERMANENT_HOURLY_RATE-MAX(0,($D270+T$5)-PERMANENT_FIELD_LABOR_HOURS)*TEMP_HOURLY_RATE-FIXED_SEASON_COST)</f>
        <v>26040.7233224359</v>
      </c>
      <c r="U270" s="53" t="n">
        <f aca="false">IF(OR($A270&gt;TOMATO_BED_CAP,$B270&gt;CARROT_BED_CAP,U$4&gt;MESCLUN_BED_CAP,$A270+$B270+U$4&gt;TOTAL_BEDS_AVAILABLE,($D270+U$5)&gt;TOTAL_LABOR_HOURS_CAP,MAX(0,($D270+U$5)-PERMANENT_FIELD_LABOR_HOURS)&gt;TEMP_HOURS_CAP),"",$C270+U$6-MIN(($D270+U$5),PERMANENT_FIELD_LABOR_HOURS)*PERMANENT_HOURLY_RATE-MAX(0,($D270+U$5)-PERMANENT_FIELD_LABOR_HOURS)*TEMP_HOURLY_RATE-FIXED_SEASON_COST)</f>
        <v>26756.832051066</v>
      </c>
      <c r="V270" s="53" t="n">
        <f aca="false">IF(OR($A270&gt;TOMATO_BED_CAP,$B270&gt;CARROT_BED_CAP,V$4&gt;MESCLUN_BED_CAP,$A270+$B270+V$4&gt;TOTAL_BEDS_AVAILABLE,($D270+V$5)&gt;TOTAL_LABOR_HOURS_CAP,MAX(0,($D270+V$5)-PERMANENT_FIELD_LABOR_HOURS)&gt;TEMP_HOURS_CAP),"",$C270+V$6-MIN(($D270+V$5),PERMANENT_FIELD_LABOR_HOURS)*PERMANENT_HOURLY_RATE-MAX(0,($D270+V$5)-PERMANENT_FIELD_LABOR_HOURS)*TEMP_HOURLY_RATE-FIXED_SEASON_COST)</f>
        <v>27447.3769818328</v>
      </c>
      <c r="W270" s="53" t="n">
        <f aca="false">IF(OR($A270&gt;TOMATO_BED_CAP,$B270&gt;CARROT_BED_CAP,W$4&gt;MESCLUN_BED_CAP,$A270+$B270+W$4&gt;TOTAL_BEDS_AVAILABLE,($D270+W$5)&gt;TOTAL_LABOR_HOURS_CAP,MAX(0,($D270+W$5)-PERMANENT_FIELD_LABOR_HOURS)&gt;TEMP_HOURS_CAP),"",$C270+W$6-MIN(($D270+W$5),PERMANENT_FIELD_LABOR_HOURS)*PERMANENT_HOURLY_RATE-MAX(0,($D270+W$5)-PERMANENT_FIELD_LABOR_HOURS)*TEMP_HOURLY_RATE-FIXED_SEASON_COST)</f>
        <v>28111.8915028009</v>
      </c>
      <c r="X270" s="53" t="n">
        <f aca="false">IF(OR($A270&gt;TOMATO_BED_CAP,$B270&gt;CARROT_BED_CAP,X$4&gt;MESCLUN_BED_CAP,$A270+$B270+X$4&gt;TOTAL_BEDS_AVAILABLE,($D270+X$5)&gt;TOTAL_LABOR_HOURS_CAP,MAX(0,($D270+X$5)-PERMANENT_FIELD_LABOR_HOURS)&gt;TEMP_HOURS_CAP),"",$C270+X$6-MIN(($D270+X$5),PERMANENT_FIELD_LABOR_HOURS)*PERMANENT_HOURLY_RATE-MAX(0,($D270+X$5)-PERMANENT_FIELD_LABOR_HOURS)*TEMP_HOURLY_RATE-FIXED_SEASON_COST)</f>
        <v>28749.9013310798</v>
      </c>
      <c r="Y270" s="53" t="n">
        <f aca="false">IF(OR($A270&gt;TOMATO_BED_CAP,$B270&gt;CARROT_BED_CAP,Y$4&gt;MESCLUN_BED_CAP,$A270+$B270+Y$4&gt;TOTAL_BEDS_AVAILABLE,($D270+Y$5)&gt;TOTAL_LABOR_HOURS_CAP,MAX(0,($D270+Y$5)-PERMANENT_FIELD_LABOR_HOURS)&gt;TEMP_HOURS_CAP),"",$C270+Y$6-MIN(($D270+Y$5),PERMANENT_FIELD_LABOR_HOURS)*PERMANENT_HOURLY_RATE-MAX(0,($D270+Y$5)-PERMANENT_FIELD_LABOR_HOURS)*TEMP_HOURLY_RATE-FIXED_SEASON_COST)</f>
        <v>29360.9243939585</v>
      </c>
      <c r="Z270" s="53" t="n">
        <f aca="false">IF(OR($A270&gt;TOMATO_BED_CAP,$B270&gt;CARROT_BED_CAP,Z$4&gt;MESCLUN_BED_CAP,$A270+$B270+Z$4&gt;TOTAL_BEDS_AVAILABLE,($D270+Z$5)&gt;TOTAL_LABOR_HOURS_CAP,MAX(0,($D270+Z$5)-PERMANENT_FIELD_LABOR_HOURS)&gt;TEMP_HOURS_CAP),"",$C270+Z$6-MIN(($D270+Z$5),PERMANENT_FIELD_LABOR_HOURS)*PERMANENT_HOURLY_RATE-MAX(0,($D270+Z$5)-PERMANENT_FIELD_LABOR_HOURS)*TEMP_HOURLY_RATE-FIXED_SEASON_COST)</f>
        <v>29944.4707082662</v>
      </c>
      <c r="AA270" s="53" t="n">
        <f aca="false">IF(OR($A270&gt;TOMATO_BED_CAP,$B270&gt;CARROT_BED_CAP,AA$4&gt;MESCLUN_BED_CAP,$A270+$B270+AA$4&gt;TOTAL_BEDS_AVAILABLE,($D270+AA$5)&gt;TOTAL_LABOR_HOURS_CAP,MAX(0,($D270+AA$5)-PERMANENT_FIELD_LABOR_HOURS)&gt;TEMP_HOURS_CAP),"",$C270+AA$6-MIN(($D270+AA$5),PERMANENT_FIELD_LABOR_HOURS)*PERMANENT_HOURLY_RATE-MAX(0,($D270+AA$5)-PERMANENT_FIELD_LABOR_HOURS)*TEMP_HOURLY_RATE-FIXED_SEASON_COST)</f>
        <v>30500.0422579351</v>
      </c>
      <c r="AB270" s="53" t="n">
        <f aca="false">IF(OR($A270&gt;TOMATO_BED_CAP,$B270&gt;CARROT_BED_CAP,AB$4&gt;MESCLUN_BED_CAP,$A270+$B270+AB$4&gt;TOTAL_BEDS_AVAILABLE,($D270+AB$5)&gt;TOTAL_LABOR_HOURS_CAP,MAX(0,($D270+AB$5)-PERMANENT_FIELD_LABOR_HOURS)&gt;TEMP_HOURS_CAP),"",$C270+AB$6-MIN(($D270+AB$5),PERMANENT_FIELD_LABOR_HOURS)*PERMANENT_HOURLY_RATE-MAX(0,($D270+AB$5)-PERMANENT_FIELD_LABOR_HOURS)*TEMP_HOURLY_RATE-FIXED_SEASON_COST)</f>
        <v>31027.1328697377</v>
      </c>
      <c r="AC270" s="53" t="n">
        <f aca="false">IF(OR($A270&gt;TOMATO_BED_CAP,$B270&gt;CARROT_BED_CAP,AC$4&gt;MESCLUN_BED_CAP,$A270+$B270+AC$4&gt;TOTAL_BEDS_AVAILABLE,($D270+AC$5)&gt;TOTAL_LABOR_HOURS_CAP,MAX(0,($D270+AC$5)-PERMANENT_FIELD_LABOR_HOURS)&gt;TEMP_HOURS_CAP),"",$C270+AC$6-MIN(($D270+AC$5),PERMANENT_FIELD_LABOR_HOURS)*PERMANENT_HOURLY_RATE-MAX(0,($D270+AC$5)-PERMANENT_FIELD_LABOR_HOURS)*TEMP_HOURLY_RATE-FIXED_SEASON_COST)</f>
        <v>31525.2280871726</v>
      </c>
      <c r="AD270" s="53" t="n">
        <f aca="false">IF(OR($A270&gt;TOMATO_BED_CAP,$B270&gt;CARROT_BED_CAP,AD$4&gt;MESCLUN_BED_CAP,$A270+$B270+AD$4&gt;TOTAL_BEDS_AVAILABLE,($D270+AD$5)&gt;TOTAL_LABOR_HOURS_CAP,MAX(0,($D270+AD$5)-PERMANENT_FIELD_LABOR_HOURS)&gt;TEMP_HOURS_CAP),"",$C270+AD$6-MIN(($D270+AD$5),PERMANENT_FIELD_LABOR_HOURS)*PERMANENT_HOURLY_RATE-MAX(0,($D270+AD$5)-PERMANENT_FIELD_LABOR_HOURS)*TEMP_HOURLY_RATE-FIXED_SEASON_COST)</f>
        <v>31993.8050424725</v>
      </c>
      <c r="AE270" s="53" t="n">
        <f aca="false">IF(OR($A270&gt;TOMATO_BED_CAP,$B270&gt;CARROT_BED_CAP,AE$4&gt;MESCLUN_BED_CAP,$A270+$B270+AE$4&gt;TOTAL_BEDS_AVAILABLE,($D270+AE$5)&gt;TOTAL_LABOR_HOURS_CAP,MAX(0,($D270+AE$5)-PERMANENT_FIELD_LABOR_HOURS)&gt;TEMP_HOURS_CAP),"",$C270+AE$6-MIN(($D270+AE$5),PERMANENT_FIELD_LABOR_HOURS)*PERMANENT_HOURLY_RATE-MAX(0,($D270+AE$5)-PERMANENT_FIELD_LABOR_HOURS)*TEMP_HOURLY_RATE-FIXED_SEASON_COST)</f>
        <v>32432.3323267065</v>
      </c>
      <c r="AF270" s="53" t="n">
        <f aca="false">IF(OR($A270&gt;TOMATO_BED_CAP,$B270&gt;CARROT_BED_CAP,AF$4&gt;MESCLUN_BED_CAP,$A270+$B270+AF$4&gt;TOTAL_BEDS_AVAILABLE,($D270+AF$5)&gt;TOTAL_LABOR_HOURS_CAP,MAX(0,($D270+AF$5)-PERMANENT_FIELD_LABOR_HOURS)&gt;TEMP_HOURS_CAP),"",$C270+AF$6-MIN(($D270+AF$5),PERMANENT_FIELD_LABOR_HOURS)*PERMANENT_HOURLY_RATE-MAX(0,($D270+AF$5)-PERMANENT_FIELD_LABOR_HOURS)*TEMP_HOURLY_RATE-FIXED_SEASON_COST)</f>
        <v>32840.2698579484</v>
      </c>
      <c r="AG270" s="53" t="n">
        <f aca="false">IF(OR($A270&gt;TOMATO_BED_CAP,$B270&gt;CARROT_BED_CAP,AG$4&gt;MESCLUN_BED_CAP,$A270+$B270+AG$4&gt;TOTAL_BEDS_AVAILABLE,($D270+AG$5)&gt;TOTAL_LABOR_HOURS_CAP,MAX(0,($D270+AG$5)-PERMANENT_FIELD_LABOR_HOURS)&gt;TEMP_HOURS_CAP),"",$C270+AG$6-MIN(($D270+AG$5),PERMANENT_FIELD_LABOR_HOURS)*PERMANENT_HOURLY_RATE-MAX(0,($D270+AG$5)-PERMANENT_FIELD_LABOR_HOURS)*TEMP_HOURLY_RATE-FIXED_SEASON_COST)</f>
        <v>33217.0687474854</v>
      </c>
      <c r="AH270" s="53" t="n">
        <f aca="false">IF(OR($A270&gt;TOMATO_BED_CAP,$B270&gt;CARROT_BED_CAP,AH$4&gt;MESCLUN_BED_CAP,$A270+$B270+AH$4&gt;TOTAL_BEDS_AVAILABLE,($D270+AH$5)&gt;TOTAL_LABOR_HOURS_CAP,MAX(0,($D270+AH$5)-PERMANENT_FIELD_LABOR_HOURS)&gt;TEMP_HOURS_CAP),"",$C270+AH$6-MIN(($D270+AH$5),PERMANENT_FIELD_LABOR_HOURS)*PERMANENT_HOURLY_RATE-MAX(0,($D270+AH$5)-PERMANENT_FIELD_LABOR_HOURS)*TEMP_HOURLY_RATE-FIXED_SEASON_COST)</f>
        <v>33562.1711640356</v>
      </c>
      <c r="AI270" s="53" t="n">
        <f aca="false">IF(OR($A270&gt;TOMATO_BED_CAP,$B270&gt;CARROT_BED_CAP,AI$4&gt;MESCLUN_BED_CAP,$A270+$B270+AI$4&gt;TOTAL_BEDS_AVAILABLE,($D270+AI$5)&gt;TOTAL_LABOR_HOURS_CAP,MAX(0,($D270+AI$5)-PERMANENT_FIELD_LABOR_HOURS)&gt;TEMP_HOURS_CAP),"",$C270+AI$6-MIN(($D270+AI$5),PERMANENT_FIELD_LABOR_HOURS)*PERMANENT_HOURLY_RATE-MAX(0,($D270+AI$5)-PERMANENT_FIELD_LABOR_HOURS)*TEMP_HOURLY_RATE-FIXED_SEASON_COST)</f>
        <v>33875.0101959479</v>
      </c>
      <c r="AJ270" s="53" t="n">
        <f aca="false">IF(OR($A270&gt;TOMATO_BED_CAP,$B270&gt;CARROT_BED_CAP,AJ$4&gt;MESCLUN_BED_CAP,$A270+$B270+AJ$4&gt;TOTAL_BEDS_AVAILABLE,($D270+AJ$5)&gt;TOTAL_LABOR_HOURS_CAP,MAX(0,($D270+AJ$5)-PERMANENT_FIELD_LABOR_HOURS)&gt;TEMP_HOURS_CAP),"",$C270+AJ$6-MIN(($D270+AJ$5),PERMANENT_FIELD_LABOR_HOURS)*PERMANENT_HOURLY_RATE-MAX(0,($D270+AJ$5)-PERMANENT_FIELD_LABOR_HOURS)*TEMP_HOURLY_RATE-FIXED_SEASON_COST)</f>
        <v>34155.0097113536</v>
      </c>
    </row>
    <row r="271" customFormat="false" ht="15" hidden="false" customHeight="false" outlineLevel="0" collapsed="false">
      <c r="A271" s="21" t="n">
        <f aca="false">INT((ROW()-ROW($A$8))/(20+1))</f>
        <v>12</v>
      </c>
      <c r="B271" s="21" t="n">
        <f aca="false">MOD(ROW()-ROW($A$8),20+1)</f>
        <v>11</v>
      </c>
      <c r="C271" s="13" t="n">
        <f aca="false">A271*(TOMATO_REVENUE_PER_BED-TOMATO_FERTILIZER_PER_BED)+B271*(CARROT_REVENUE_PER_BED-CARROT_FERTILIZER_PER_BED)</f>
        <v>113234</v>
      </c>
      <c r="D271" s="14" t="n">
        <f aca="false">INDEX(TOMATO_SCHED_LABOR_HRS,A271+1)+INDEX(CARROT_SCHED_LABOR_HRS,B271+1)</f>
        <v>3822.31804849427</v>
      </c>
      <c r="E271" s="13" t="n">
        <f aca="false">IF(COUNT(F271:AJ271)=0,"",MAX(F271:AJ271))</f>
        <v>34959.347973012</v>
      </c>
      <c r="F271" s="53" t="n">
        <f aca="false">IF(OR($A271&gt;TOMATO_BED_CAP,$B271&gt;CARROT_BED_CAP,F$4&gt;MESCLUN_BED_CAP,$A271+$B271+F$4&gt;TOTAL_BEDS_AVAILABLE,($D271+F$5)&gt;TOTAL_LABOR_HOURS_CAP,MAX(0,($D271+F$5)-PERMANENT_FIELD_LABOR_HOURS)&gt;TEMP_HOURS_CAP),"",$C271+F$6-MIN(($D271+F$5),PERMANENT_FIELD_LABOR_HOURS)*PERMANENT_HOURLY_RATE-MAX(0,($D271+F$5)-PERMANENT_FIELD_LABOR_HOURS)*TEMP_HOURLY_RATE-FIXED_SEASON_COST)</f>
        <v>14379.3586781395</v>
      </c>
      <c r="G271" s="53" t="n">
        <f aca="false">IF(OR($A271&gt;TOMATO_BED_CAP,$B271&gt;CARROT_BED_CAP,G$4&gt;MESCLUN_BED_CAP,$A271+$B271+G$4&gt;TOTAL_BEDS_AVAILABLE,($D271+G$5)&gt;TOTAL_LABOR_HOURS_CAP,MAX(0,($D271+G$5)-PERMANENT_FIELD_LABOR_HOURS)&gt;TEMP_HOURS_CAP),"",$C271+G$6-MIN(($D271+G$5),PERMANENT_FIELD_LABOR_HOURS)*PERMANENT_HOURLY_RATE-MAX(0,($D271+G$5)-PERMANENT_FIELD_LABOR_HOURS)*TEMP_HOURLY_RATE-FIXED_SEASON_COST)</f>
        <v>15408.3936781395</v>
      </c>
      <c r="H271" s="53" t="n">
        <f aca="false">IF(OR($A271&gt;TOMATO_BED_CAP,$B271&gt;CARROT_BED_CAP,H$4&gt;MESCLUN_BED_CAP,$A271+$B271+H$4&gt;TOTAL_BEDS_AVAILABLE,($D271+H$5)&gt;TOTAL_LABOR_HOURS_CAP,MAX(0,($D271+H$5)-PERMANENT_FIELD_LABOR_HOURS)&gt;TEMP_HOURS_CAP),"",$C271+H$6-MIN(($D271+H$5),PERMANENT_FIELD_LABOR_HOURS)*PERMANENT_HOURLY_RATE-MAX(0,($D271+H$5)-PERMANENT_FIELD_LABOR_HOURS)*TEMP_HOURLY_RATE-FIXED_SEASON_COST)</f>
        <v>16417.6545531395</v>
      </c>
      <c r="I271" s="53" t="n">
        <f aca="false">IF(OR($A271&gt;TOMATO_BED_CAP,$B271&gt;CARROT_BED_CAP,I$4&gt;MESCLUN_BED_CAP,$A271+$B271+I$4&gt;TOTAL_BEDS_AVAILABLE,($D271+I$5)&gt;TOTAL_LABOR_HOURS_CAP,MAX(0,($D271+I$5)-PERMANENT_FIELD_LABOR_HOURS)&gt;TEMP_HOURS_CAP),"",$C271+I$6-MIN(($D271+I$5),PERMANENT_FIELD_LABOR_HOURS)*PERMANENT_HOURLY_RATE-MAX(0,($D271+I$5)-PERMANENT_FIELD_LABOR_HOURS)*TEMP_HOURLY_RATE-FIXED_SEASON_COST)</f>
        <v>17406.7705382957</v>
      </c>
      <c r="J271" s="53" t="n">
        <f aca="false">IF(OR($A271&gt;TOMATO_BED_CAP,$B271&gt;CARROT_BED_CAP,J$4&gt;MESCLUN_BED_CAP,$A271+$B271+J$4&gt;TOTAL_BEDS_AVAILABLE,($D271+J$5)&gt;TOTAL_LABOR_HOURS_CAP,MAX(0,($D271+J$5)-PERMANENT_FIELD_LABOR_HOURS)&gt;TEMP_HOURS_CAP),"",$C271+J$6-MIN(($D271+J$5),PERMANENT_FIELD_LABOR_HOURS)*PERMANENT_HOURLY_RATE-MAX(0,($D271+J$5)-PERMANENT_FIELD_LABOR_HOURS)*TEMP_HOURLY_RATE-FIXED_SEASON_COST)</f>
        <v>18375.3646893504</v>
      </c>
      <c r="K271" s="53" t="n">
        <f aca="false">IF(OR($A271&gt;TOMATO_BED_CAP,$B271&gt;CARROT_BED_CAP,K$4&gt;MESCLUN_BED_CAP,$A271+$B271+K$4&gt;TOTAL_BEDS_AVAILABLE,($D271+K$5)&gt;TOTAL_LABOR_HOURS_CAP,MAX(0,($D271+K$5)-PERMANENT_FIELD_LABOR_HOURS)&gt;TEMP_HOURS_CAP),"",$C271+K$6-MIN(($D271+K$5),PERMANENT_FIELD_LABOR_HOURS)*PERMANENT_HOURLY_RATE-MAX(0,($D271+K$5)-PERMANENT_FIELD_LABOR_HOURS)*TEMP_HOURLY_RATE-FIXED_SEASON_COST)</f>
        <v>19323.0537860783</v>
      </c>
      <c r="L271" s="53" t="n">
        <f aca="false">IF(OR($A271&gt;TOMATO_BED_CAP,$B271&gt;CARROT_BED_CAP,L$4&gt;MESCLUN_BED_CAP,$A271+$B271+L$4&gt;TOTAL_BEDS_AVAILABLE,($D271+L$5)&gt;TOTAL_LABOR_HOURS_CAP,MAX(0,($D271+L$5)-PERMANENT_FIELD_LABOR_HOURS)&gt;TEMP_HOURS_CAP),"",$C271+L$6-MIN(($D271+L$5),PERMANENT_FIELD_LABOR_HOURS)*PERMANENT_HOURLY_RATE-MAX(0,($D271+L$5)-PERMANENT_FIELD_LABOR_HOURS)*TEMP_HOURLY_RATE-FIXED_SEASON_COST)</f>
        <v>20249.4482342852</v>
      </c>
      <c r="M271" s="53" t="n">
        <f aca="false">IF(OR($A271&gt;TOMATO_BED_CAP,$B271&gt;CARROT_BED_CAP,M$4&gt;MESCLUN_BED_CAP,$A271+$B271+M$4&gt;TOTAL_BEDS_AVAILABLE,($D271+M$5)&gt;TOTAL_LABOR_HOURS_CAP,MAX(0,($D271+M$5)-PERMANENT_FIELD_LABOR_HOURS)&gt;TEMP_HOURS_CAP),"",$C271+M$6-MIN(($D271+M$5),PERMANENT_FIELD_LABOR_HOURS)*PERMANENT_HOURLY_RATE-MAX(0,($D271+M$5)-PERMANENT_FIELD_LABOR_HOURS)*TEMP_HOURLY_RATE-FIXED_SEASON_COST)</f>
        <v>21154.1519663366</v>
      </c>
      <c r="N271" s="53" t="n">
        <f aca="false">IF(OR($A271&gt;TOMATO_BED_CAP,$B271&gt;CARROT_BED_CAP,N$4&gt;MESCLUN_BED_CAP,$A271+$B271+N$4&gt;TOTAL_BEDS_AVAILABLE,($D271+N$5)&gt;TOTAL_LABOR_HOURS_CAP,MAX(0,($D271+N$5)-PERMANENT_FIELD_LABOR_HOURS)&gt;TEMP_HOURS_CAP),"",$C271+N$6-MIN(($D271+N$5),PERMANENT_FIELD_LABOR_HOURS)*PERMANENT_HOURLY_RATE-MAX(0,($D271+N$5)-PERMANENT_FIELD_LABOR_HOURS)*TEMP_HOURLY_RATE-FIXED_SEASON_COST)</f>
        <v>22036.7623401961</v>
      </c>
      <c r="O271" s="53" t="n">
        <f aca="false">IF(OR($A271&gt;TOMATO_BED_CAP,$B271&gt;CARROT_BED_CAP,O$4&gt;MESCLUN_BED_CAP,$A271+$B271+O$4&gt;TOTAL_BEDS_AVAILABLE,($D271+O$5)&gt;TOTAL_LABOR_HOURS_CAP,MAX(0,($D271+O$5)-PERMANENT_FIELD_LABOR_HOURS)&gt;TEMP_HOURS_CAP),"",$C271+O$6-MIN(($D271+O$5),PERMANENT_FIELD_LABOR_HOURS)*PERMANENT_HOURLY_RATE-MAX(0,($D271+O$5)-PERMANENT_FIELD_LABOR_HOURS)*TEMP_HOURLY_RATE-FIXED_SEASON_COST)</f>
        <v>22896.8700369509</v>
      </c>
      <c r="P271" s="53" t="n">
        <f aca="false">IF(OR($A271&gt;TOMATO_BED_CAP,$B271&gt;CARROT_BED_CAP,P$4&gt;MESCLUN_BED_CAP,$A271+$B271+P$4&gt;TOTAL_BEDS_AVAILABLE,($D271+P$5)&gt;TOTAL_LABOR_HOURS_CAP,MAX(0,($D271+P$5)-PERMANENT_FIELD_LABOR_HOURS)&gt;TEMP_HOURS_CAP),"",$C271+P$6-MIN(($D271+P$5),PERMANENT_FIELD_LABOR_HOURS)*PERMANENT_HOURLY_RATE-MAX(0,($D271+P$5)-PERMANENT_FIELD_LABOR_HOURS)*TEMP_HOURLY_RATE-FIXED_SEASON_COST)</f>
        <v>23734.0589568023</v>
      </c>
      <c r="Q271" s="53" t="n">
        <f aca="false">IF(OR($A271&gt;TOMATO_BED_CAP,$B271&gt;CARROT_BED_CAP,Q$4&gt;MESCLUN_BED_CAP,$A271+$B271+Q$4&gt;TOTAL_BEDS_AVAILABLE,($D271+Q$5)&gt;TOTAL_LABOR_HOURS_CAP,MAX(0,($D271+Q$5)-PERMANENT_FIELD_LABOR_HOURS)&gt;TEMP_HOURS_CAP),"",$C271+Q$6-MIN(($D271+Q$5),PERMANENT_FIELD_LABOR_HOURS)*PERMANENT_HOURLY_RATE-MAX(0,($D271+Q$5)-PERMANENT_FIELD_LABOR_HOURS)*TEMP_HOURLY_RATE-FIXED_SEASON_COST)</f>
        <v>24547.9061135002</v>
      </c>
      <c r="R271" s="53" t="n">
        <f aca="false">IF(OR($A271&gt;TOMATO_BED_CAP,$B271&gt;CARROT_BED_CAP,R$4&gt;MESCLUN_BED_CAP,$A271+$B271+R$4&gt;TOTAL_BEDS_AVAILABLE,($D271+R$5)&gt;TOTAL_LABOR_HOURS_CAP,MAX(0,($D271+R$5)-PERMANENT_FIELD_LABOR_HOURS)&gt;TEMP_HOURS_CAP),"",$C271+R$6-MIN(($D271+R$5),PERMANENT_FIELD_LABOR_HOURS)*PERMANENT_HOURLY_RATE-MAX(0,($D271+R$5)-PERMANENT_FIELD_LABOR_HOURS)*TEMP_HOURLY_RATE-FIXED_SEASON_COST)</f>
        <v>25337.981527197</v>
      </c>
      <c r="S271" s="53" t="n">
        <f aca="false">IF(OR($A271&gt;TOMATO_BED_CAP,$B271&gt;CARROT_BED_CAP,S$4&gt;MESCLUN_BED_CAP,$A271+$B271+S$4&gt;TOTAL_BEDS_AVAILABLE,($D271+S$5)&gt;TOTAL_LABOR_HOURS_CAP,MAX(0,($D271+S$5)-PERMANENT_FIELD_LABOR_HOURS)&gt;TEMP_HOURS_CAP),"",$C271+S$6-MIN(($D271+S$5),PERMANENT_FIELD_LABOR_HOURS)*PERMANENT_HOURLY_RATE-MAX(0,($D271+S$5)-PERMANENT_FIELD_LABOR_HOURS)*TEMP_HOURLY_RATE-FIXED_SEASON_COST)</f>
        <v>26103.8481156994</v>
      </c>
      <c r="T271" s="53" t="n">
        <f aca="false">IF(OR($A271&gt;TOMATO_BED_CAP,$B271&gt;CARROT_BED_CAP,T$4&gt;MESCLUN_BED_CAP,$A271+$B271+T$4&gt;TOTAL_BEDS_AVAILABLE,($D271+T$5)&gt;TOTAL_LABOR_HOURS_CAP,MAX(0,($D271+T$5)-PERMANENT_FIELD_LABOR_HOURS)&gt;TEMP_HOURS_CAP),"",$C271+T$6-MIN(($D271+T$5),PERMANENT_FIELD_LABOR_HOURS)*PERMANENT_HOURLY_RATE-MAX(0,($D271+T$5)-PERMANENT_FIELD_LABOR_HOURS)*TEMP_HOURLY_RATE-FIXED_SEASON_COST)</f>
        <v>26845.0615840943</v>
      </c>
      <c r="U271" s="53" t="n">
        <f aca="false">IF(OR($A271&gt;TOMATO_BED_CAP,$B271&gt;CARROT_BED_CAP,U$4&gt;MESCLUN_BED_CAP,$A271+$B271+U$4&gt;TOTAL_BEDS_AVAILABLE,($D271+U$5)&gt;TOTAL_LABOR_HOURS_CAP,MAX(0,($D271+U$5)-PERMANENT_FIELD_LABOR_HOURS)&gt;TEMP_HOURS_CAP),"",$C271+U$6-MIN(($D271+U$5),PERMANENT_FIELD_LABOR_HOURS)*PERMANENT_HOURLY_RATE-MAX(0,($D271+U$5)-PERMANENT_FIELD_LABOR_HOURS)*TEMP_HOURLY_RATE-FIXED_SEASON_COST)</f>
        <v>27561.1703127244</v>
      </c>
      <c r="V271" s="53" t="n">
        <f aca="false">IF(OR($A271&gt;TOMATO_BED_CAP,$B271&gt;CARROT_BED_CAP,V$4&gt;MESCLUN_BED_CAP,$A271+$B271+V$4&gt;TOTAL_BEDS_AVAILABLE,($D271+V$5)&gt;TOTAL_LABOR_HOURS_CAP,MAX(0,($D271+V$5)-PERMANENT_FIELD_LABOR_HOURS)&gt;TEMP_HOURS_CAP),"",$C271+V$6-MIN(($D271+V$5),PERMANENT_FIELD_LABOR_HOURS)*PERMANENT_HOURLY_RATE-MAX(0,($D271+V$5)-PERMANENT_FIELD_LABOR_HOURS)*TEMP_HOURLY_RATE-FIXED_SEASON_COST)</f>
        <v>28251.7152434912</v>
      </c>
      <c r="W271" s="53" t="n">
        <f aca="false">IF(OR($A271&gt;TOMATO_BED_CAP,$B271&gt;CARROT_BED_CAP,W$4&gt;MESCLUN_BED_CAP,$A271+$B271+W$4&gt;TOTAL_BEDS_AVAILABLE,($D271+W$5)&gt;TOTAL_LABOR_HOURS_CAP,MAX(0,($D271+W$5)-PERMANENT_FIELD_LABOR_HOURS)&gt;TEMP_HOURS_CAP),"",$C271+W$6-MIN(($D271+W$5),PERMANENT_FIELD_LABOR_HOURS)*PERMANENT_HOURLY_RATE-MAX(0,($D271+W$5)-PERMANENT_FIELD_LABOR_HOURS)*TEMP_HOURLY_RATE-FIXED_SEASON_COST)</f>
        <v>28916.2297644592</v>
      </c>
      <c r="X271" s="53" t="n">
        <f aca="false">IF(OR($A271&gt;TOMATO_BED_CAP,$B271&gt;CARROT_BED_CAP,X$4&gt;MESCLUN_BED_CAP,$A271+$B271+X$4&gt;TOTAL_BEDS_AVAILABLE,($D271+X$5)&gt;TOTAL_LABOR_HOURS_CAP,MAX(0,($D271+X$5)-PERMANENT_FIELD_LABOR_HOURS)&gt;TEMP_HOURS_CAP),"",$C271+X$6-MIN(($D271+X$5),PERMANENT_FIELD_LABOR_HOURS)*PERMANENT_HOURLY_RATE-MAX(0,($D271+X$5)-PERMANENT_FIELD_LABOR_HOURS)*TEMP_HOURLY_RATE-FIXED_SEASON_COST)</f>
        <v>29554.2395927382</v>
      </c>
      <c r="Y271" s="53" t="n">
        <f aca="false">IF(OR($A271&gt;TOMATO_BED_CAP,$B271&gt;CARROT_BED_CAP,Y$4&gt;MESCLUN_BED_CAP,$A271+$B271+Y$4&gt;TOTAL_BEDS_AVAILABLE,($D271+Y$5)&gt;TOTAL_LABOR_HOURS_CAP,MAX(0,($D271+Y$5)-PERMANENT_FIELD_LABOR_HOURS)&gt;TEMP_HOURS_CAP),"",$C271+Y$6-MIN(($D271+Y$5),PERMANENT_FIELD_LABOR_HOURS)*PERMANENT_HOURLY_RATE-MAX(0,($D271+Y$5)-PERMANENT_FIELD_LABOR_HOURS)*TEMP_HOURLY_RATE-FIXED_SEASON_COST)</f>
        <v>30165.2626556168</v>
      </c>
      <c r="Z271" s="53" t="n">
        <f aca="false">IF(OR($A271&gt;TOMATO_BED_CAP,$B271&gt;CARROT_BED_CAP,Z$4&gt;MESCLUN_BED_CAP,$A271+$B271+Z$4&gt;TOTAL_BEDS_AVAILABLE,($D271+Z$5)&gt;TOTAL_LABOR_HOURS_CAP,MAX(0,($D271+Z$5)-PERMANENT_FIELD_LABOR_HOURS)&gt;TEMP_HOURS_CAP),"",$C271+Z$6-MIN(($D271+Z$5),PERMANENT_FIELD_LABOR_HOURS)*PERMANENT_HOURLY_RATE-MAX(0,($D271+Z$5)-PERMANENT_FIELD_LABOR_HOURS)*TEMP_HOURLY_RATE-FIXED_SEASON_COST)</f>
        <v>30748.8089699245</v>
      </c>
      <c r="AA271" s="53" t="n">
        <f aca="false">IF(OR($A271&gt;TOMATO_BED_CAP,$B271&gt;CARROT_BED_CAP,AA$4&gt;MESCLUN_BED_CAP,$A271+$B271+AA$4&gt;TOTAL_BEDS_AVAILABLE,($D271+AA$5)&gt;TOTAL_LABOR_HOURS_CAP,MAX(0,($D271+AA$5)-PERMANENT_FIELD_LABOR_HOURS)&gt;TEMP_HOURS_CAP),"",$C271+AA$6-MIN(($D271+AA$5),PERMANENT_FIELD_LABOR_HOURS)*PERMANENT_HOURLY_RATE-MAX(0,($D271+AA$5)-PERMANENT_FIELD_LABOR_HOURS)*TEMP_HOURLY_RATE-FIXED_SEASON_COST)</f>
        <v>31304.3805195935</v>
      </c>
      <c r="AB271" s="53" t="n">
        <f aca="false">IF(OR($A271&gt;TOMATO_BED_CAP,$B271&gt;CARROT_BED_CAP,AB$4&gt;MESCLUN_BED_CAP,$A271+$B271+AB$4&gt;TOTAL_BEDS_AVAILABLE,($D271+AB$5)&gt;TOTAL_LABOR_HOURS_CAP,MAX(0,($D271+AB$5)-PERMANENT_FIELD_LABOR_HOURS)&gt;TEMP_HOURS_CAP),"",$C271+AB$6-MIN(($D271+AB$5),PERMANENT_FIELD_LABOR_HOURS)*PERMANENT_HOURLY_RATE-MAX(0,($D271+AB$5)-PERMANENT_FIELD_LABOR_HOURS)*TEMP_HOURLY_RATE-FIXED_SEASON_COST)</f>
        <v>31831.471131396</v>
      </c>
      <c r="AC271" s="53" t="n">
        <f aca="false">IF(OR($A271&gt;TOMATO_BED_CAP,$B271&gt;CARROT_BED_CAP,AC$4&gt;MESCLUN_BED_CAP,$A271+$B271+AC$4&gt;TOTAL_BEDS_AVAILABLE,($D271+AC$5)&gt;TOTAL_LABOR_HOURS_CAP,MAX(0,($D271+AC$5)-PERMANENT_FIELD_LABOR_HOURS)&gt;TEMP_HOURS_CAP),"",$C271+AC$6-MIN(($D271+AC$5),PERMANENT_FIELD_LABOR_HOURS)*PERMANENT_HOURLY_RATE-MAX(0,($D271+AC$5)-PERMANENT_FIELD_LABOR_HOURS)*TEMP_HOURLY_RATE-FIXED_SEASON_COST)</f>
        <v>32329.5663488309</v>
      </c>
      <c r="AD271" s="53" t="n">
        <f aca="false">IF(OR($A271&gt;TOMATO_BED_CAP,$B271&gt;CARROT_BED_CAP,AD$4&gt;MESCLUN_BED_CAP,$A271+$B271+AD$4&gt;TOTAL_BEDS_AVAILABLE,($D271+AD$5)&gt;TOTAL_LABOR_HOURS_CAP,MAX(0,($D271+AD$5)-PERMANENT_FIELD_LABOR_HOURS)&gt;TEMP_HOURS_CAP),"",$C271+AD$6-MIN(($D271+AD$5),PERMANENT_FIELD_LABOR_HOURS)*PERMANENT_HOURLY_RATE-MAX(0,($D271+AD$5)-PERMANENT_FIELD_LABOR_HOURS)*TEMP_HOURLY_RATE-FIXED_SEASON_COST)</f>
        <v>32798.1433041309</v>
      </c>
      <c r="AE271" s="53" t="n">
        <f aca="false">IF(OR($A271&gt;TOMATO_BED_CAP,$B271&gt;CARROT_BED_CAP,AE$4&gt;MESCLUN_BED_CAP,$A271+$B271+AE$4&gt;TOTAL_BEDS_AVAILABLE,($D271+AE$5)&gt;TOTAL_LABOR_HOURS_CAP,MAX(0,($D271+AE$5)-PERMANENT_FIELD_LABOR_HOURS)&gt;TEMP_HOURS_CAP),"",$C271+AE$6-MIN(($D271+AE$5),PERMANENT_FIELD_LABOR_HOURS)*PERMANENT_HOURLY_RATE-MAX(0,($D271+AE$5)-PERMANENT_FIELD_LABOR_HOURS)*TEMP_HOURLY_RATE-FIXED_SEASON_COST)</f>
        <v>33236.6705883648</v>
      </c>
      <c r="AF271" s="53" t="n">
        <f aca="false">IF(OR($A271&gt;TOMATO_BED_CAP,$B271&gt;CARROT_BED_CAP,AF$4&gt;MESCLUN_BED_CAP,$A271+$B271+AF$4&gt;TOTAL_BEDS_AVAILABLE,($D271+AF$5)&gt;TOTAL_LABOR_HOURS_CAP,MAX(0,($D271+AF$5)-PERMANENT_FIELD_LABOR_HOURS)&gt;TEMP_HOURS_CAP),"",$C271+AF$6-MIN(($D271+AF$5),PERMANENT_FIELD_LABOR_HOURS)*PERMANENT_HOURLY_RATE-MAX(0,($D271+AF$5)-PERMANENT_FIELD_LABOR_HOURS)*TEMP_HOURLY_RATE-FIXED_SEASON_COST)</f>
        <v>33644.6081196068</v>
      </c>
      <c r="AG271" s="53" t="n">
        <f aca="false">IF(OR($A271&gt;TOMATO_BED_CAP,$B271&gt;CARROT_BED_CAP,AG$4&gt;MESCLUN_BED_CAP,$A271+$B271+AG$4&gt;TOTAL_BEDS_AVAILABLE,($D271+AG$5)&gt;TOTAL_LABOR_HOURS_CAP,MAX(0,($D271+AG$5)-PERMANENT_FIELD_LABOR_HOURS)&gt;TEMP_HOURS_CAP),"",$C271+AG$6-MIN(($D271+AG$5),PERMANENT_FIELD_LABOR_HOURS)*PERMANENT_HOURLY_RATE-MAX(0,($D271+AG$5)-PERMANENT_FIELD_LABOR_HOURS)*TEMP_HOURLY_RATE-FIXED_SEASON_COST)</f>
        <v>34021.4070091438</v>
      </c>
      <c r="AH271" s="53" t="n">
        <f aca="false">IF(OR($A271&gt;TOMATO_BED_CAP,$B271&gt;CARROT_BED_CAP,AH$4&gt;MESCLUN_BED_CAP,$A271+$B271+AH$4&gt;TOTAL_BEDS_AVAILABLE,($D271+AH$5)&gt;TOTAL_LABOR_HOURS_CAP,MAX(0,($D271+AH$5)-PERMANENT_FIELD_LABOR_HOURS)&gt;TEMP_HOURS_CAP),"",$C271+AH$6-MIN(($D271+AH$5),PERMANENT_FIELD_LABOR_HOURS)*PERMANENT_HOURLY_RATE-MAX(0,($D271+AH$5)-PERMANENT_FIELD_LABOR_HOURS)*TEMP_HOURLY_RATE-FIXED_SEASON_COST)</f>
        <v>34366.509425694</v>
      </c>
      <c r="AI271" s="53" t="n">
        <f aca="false">IF(OR($A271&gt;TOMATO_BED_CAP,$B271&gt;CARROT_BED_CAP,AI$4&gt;MESCLUN_BED_CAP,$A271+$B271+AI$4&gt;TOTAL_BEDS_AVAILABLE,($D271+AI$5)&gt;TOTAL_LABOR_HOURS_CAP,MAX(0,($D271+AI$5)-PERMANENT_FIELD_LABOR_HOURS)&gt;TEMP_HOURS_CAP),"",$C271+AI$6-MIN(($D271+AI$5),PERMANENT_FIELD_LABOR_HOURS)*PERMANENT_HOURLY_RATE-MAX(0,($D271+AI$5)-PERMANENT_FIELD_LABOR_HOURS)*TEMP_HOURLY_RATE-FIXED_SEASON_COST)</f>
        <v>34679.3484576063</v>
      </c>
      <c r="AJ271" s="53" t="n">
        <f aca="false">IF(OR($A271&gt;TOMATO_BED_CAP,$B271&gt;CARROT_BED_CAP,AJ$4&gt;MESCLUN_BED_CAP,$A271+$B271+AJ$4&gt;TOTAL_BEDS_AVAILABLE,($D271+AJ$5)&gt;TOTAL_LABOR_HOURS_CAP,MAX(0,($D271+AJ$5)-PERMANENT_FIELD_LABOR_HOURS)&gt;TEMP_HOURS_CAP),"",$C271+AJ$6-MIN(($D271+AJ$5),PERMANENT_FIELD_LABOR_HOURS)*PERMANENT_HOURLY_RATE-MAX(0,($D271+AJ$5)-PERMANENT_FIELD_LABOR_HOURS)*TEMP_HOURLY_RATE-FIXED_SEASON_COST)</f>
        <v>34959.347973012</v>
      </c>
    </row>
    <row r="272" customFormat="false" ht="15" hidden="false" customHeight="false" outlineLevel="0" collapsed="false">
      <c r="A272" s="21" t="n">
        <f aca="false">INT((ROW()-ROW($A$8))/(20+1))</f>
        <v>12</v>
      </c>
      <c r="B272" s="21" t="n">
        <f aca="false">MOD(ROW()-ROW($A$8),20+1)</f>
        <v>12</v>
      </c>
      <c r="C272" s="13" t="n">
        <f aca="false">A272*(TOMATO_REVENUE_PER_BED-TOMATO_FERTILIZER_PER_BED)+B272*(CARROT_REVENUE_PER_BED-CARROT_FERTILIZER_PER_BED)</f>
        <v>114888</v>
      </c>
      <c r="D272" s="14" t="n">
        <f aca="false">INDEX(TOMATO_SCHED_LABOR_HRS,A272+1)+INDEX(CARROT_SCHED_LABOR_HRS,B272+1)</f>
        <v>3873.46895959666</v>
      </c>
      <c r="E272" s="13" t="n">
        <f aca="false">IF(COUNT(F272:AJ272)=0,"",MAX(F272:AJ272))</f>
        <v>35725.3681562746</v>
      </c>
      <c r="F272" s="53" t="n">
        <f aca="false">IF(OR($A272&gt;TOMATO_BED_CAP,$B272&gt;CARROT_BED_CAP,F$4&gt;MESCLUN_BED_CAP,$A272+$B272+F$4&gt;TOTAL_BEDS_AVAILABLE,($D272+F$5)&gt;TOTAL_LABOR_HOURS_CAP,MAX(0,($D272+F$5)-PERMANENT_FIELD_LABOR_HOURS)&gt;TEMP_HOURS_CAP),"",$C272+F$6-MIN(($D272+F$5),PERMANENT_FIELD_LABOR_HOURS)*PERMANENT_HOURLY_RATE-MAX(0,($D272+F$5)-PERMANENT_FIELD_LABOR_HOURS)*TEMP_HOURLY_RATE-FIXED_SEASON_COST)</f>
        <v>15145.378861402</v>
      </c>
      <c r="G272" s="53" t="n">
        <f aca="false">IF(OR($A272&gt;TOMATO_BED_CAP,$B272&gt;CARROT_BED_CAP,G$4&gt;MESCLUN_BED_CAP,$A272+$B272+G$4&gt;TOTAL_BEDS_AVAILABLE,($D272+G$5)&gt;TOTAL_LABOR_HOURS_CAP,MAX(0,($D272+G$5)-PERMANENT_FIELD_LABOR_HOURS)&gt;TEMP_HOURS_CAP),"",$C272+G$6-MIN(($D272+G$5),PERMANENT_FIELD_LABOR_HOURS)*PERMANENT_HOURLY_RATE-MAX(0,($D272+G$5)-PERMANENT_FIELD_LABOR_HOURS)*TEMP_HOURLY_RATE-FIXED_SEASON_COST)</f>
        <v>16174.413861402</v>
      </c>
      <c r="H272" s="53" t="n">
        <f aca="false">IF(OR($A272&gt;TOMATO_BED_CAP,$B272&gt;CARROT_BED_CAP,H$4&gt;MESCLUN_BED_CAP,$A272+$B272+H$4&gt;TOTAL_BEDS_AVAILABLE,($D272+H$5)&gt;TOTAL_LABOR_HOURS_CAP,MAX(0,($D272+H$5)-PERMANENT_FIELD_LABOR_HOURS)&gt;TEMP_HOURS_CAP),"",$C272+H$6-MIN(($D272+H$5),PERMANENT_FIELD_LABOR_HOURS)*PERMANENT_HOURLY_RATE-MAX(0,($D272+H$5)-PERMANENT_FIELD_LABOR_HOURS)*TEMP_HOURLY_RATE-FIXED_SEASON_COST)</f>
        <v>17183.674736402</v>
      </c>
      <c r="I272" s="53" t="n">
        <f aca="false">IF(OR($A272&gt;TOMATO_BED_CAP,$B272&gt;CARROT_BED_CAP,I$4&gt;MESCLUN_BED_CAP,$A272+$B272+I$4&gt;TOTAL_BEDS_AVAILABLE,($D272+I$5)&gt;TOTAL_LABOR_HOURS_CAP,MAX(0,($D272+I$5)-PERMANENT_FIELD_LABOR_HOURS)&gt;TEMP_HOURS_CAP),"",$C272+I$6-MIN(($D272+I$5),PERMANENT_FIELD_LABOR_HOURS)*PERMANENT_HOURLY_RATE-MAX(0,($D272+I$5)-PERMANENT_FIELD_LABOR_HOURS)*TEMP_HOURLY_RATE-FIXED_SEASON_COST)</f>
        <v>18172.7907215583</v>
      </c>
      <c r="J272" s="53" t="n">
        <f aca="false">IF(OR($A272&gt;TOMATO_BED_CAP,$B272&gt;CARROT_BED_CAP,J$4&gt;MESCLUN_BED_CAP,$A272+$B272+J$4&gt;TOTAL_BEDS_AVAILABLE,($D272+J$5)&gt;TOTAL_LABOR_HOURS_CAP,MAX(0,($D272+J$5)-PERMANENT_FIELD_LABOR_HOURS)&gt;TEMP_HOURS_CAP),"",$C272+J$6-MIN(($D272+J$5),PERMANENT_FIELD_LABOR_HOURS)*PERMANENT_HOURLY_RATE-MAX(0,($D272+J$5)-PERMANENT_FIELD_LABOR_HOURS)*TEMP_HOURLY_RATE-FIXED_SEASON_COST)</f>
        <v>19141.384872613</v>
      </c>
      <c r="K272" s="53" t="n">
        <f aca="false">IF(OR($A272&gt;TOMATO_BED_CAP,$B272&gt;CARROT_BED_CAP,K$4&gt;MESCLUN_BED_CAP,$A272+$B272+K$4&gt;TOTAL_BEDS_AVAILABLE,($D272+K$5)&gt;TOTAL_LABOR_HOURS_CAP,MAX(0,($D272+K$5)-PERMANENT_FIELD_LABOR_HOURS)&gt;TEMP_HOURS_CAP),"",$C272+K$6-MIN(($D272+K$5),PERMANENT_FIELD_LABOR_HOURS)*PERMANENT_HOURLY_RATE-MAX(0,($D272+K$5)-PERMANENT_FIELD_LABOR_HOURS)*TEMP_HOURLY_RATE-FIXED_SEASON_COST)</f>
        <v>20089.0739693408</v>
      </c>
      <c r="L272" s="53" t="n">
        <f aca="false">IF(OR($A272&gt;TOMATO_BED_CAP,$B272&gt;CARROT_BED_CAP,L$4&gt;MESCLUN_BED_CAP,$A272+$B272+L$4&gt;TOTAL_BEDS_AVAILABLE,($D272+L$5)&gt;TOTAL_LABOR_HOURS_CAP,MAX(0,($D272+L$5)-PERMANENT_FIELD_LABOR_HOURS)&gt;TEMP_HOURS_CAP),"",$C272+L$6-MIN(($D272+L$5),PERMANENT_FIELD_LABOR_HOURS)*PERMANENT_HOURLY_RATE-MAX(0,($D272+L$5)-PERMANENT_FIELD_LABOR_HOURS)*TEMP_HOURLY_RATE-FIXED_SEASON_COST)</f>
        <v>21015.4684175477</v>
      </c>
      <c r="M272" s="53" t="n">
        <f aca="false">IF(OR($A272&gt;TOMATO_BED_CAP,$B272&gt;CARROT_BED_CAP,M$4&gt;MESCLUN_BED_CAP,$A272+$B272+M$4&gt;TOTAL_BEDS_AVAILABLE,($D272+M$5)&gt;TOTAL_LABOR_HOURS_CAP,MAX(0,($D272+M$5)-PERMANENT_FIELD_LABOR_HOURS)&gt;TEMP_HOURS_CAP),"",$C272+M$6-MIN(($D272+M$5),PERMANENT_FIELD_LABOR_HOURS)*PERMANENT_HOURLY_RATE-MAX(0,($D272+M$5)-PERMANENT_FIELD_LABOR_HOURS)*TEMP_HOURLY_RATE-FIXED_SEASON_COST)</f>
        <v>21920.1721495991</v>
      </c>
      <c r="N272" s="53" t="n">
        <f aca="false">IF(OR($A272&gt;TOMATO_BED_CAP,$B272&gt;CARROT_BED_CAP,N$4&gt;MESCLUN_BED_CAP,$A272+$B272+N$4&gt;TOTAL_BEDS_AVAILABLE,($D272+N$5)&gt;TOTAL_LABOR_HOURS_CAP,MAX(0,($D272+N$5)-PERMANENT_FIELD_LABOR_HOURS)&gt;TEMP_HOURS_CAP),"",$C272+N$6-MIN(($D272+N$5),PERMANENT_FIELD_LABOR_HOURS)*PERMANENT_HOURLY_RATE-MAX(0,($D272+N$5)-PERMANENT_FIELD_LABOR_HOURS)*TEMP_HOURLY_RATE-FIXED_SEASON_COST)</f>
        <v>22802.7825234587</v>
      </c>
      <c r="O272" s="53" t="n">
        <f aca="false">IF(OR($A272&gt;TOMATO_BED_CAP,$B272&gt;CARROT_BED_CAP,O$4&gt;MESCLUN_BED_CAP,$A272+$B272+O$4&gt;TOTAL_BEDS_AVAILABLE,($D272+O$5)&gt;TOTAL_LABOR_HOURS_CAP,MAX(0,($D272+O$5)-PERMANENT_FIELD_LABOR_HOURS)&gt;TEMP_HOURS_CAP),"",$C272+O$6-MIN(($D272+O$5),PERMANENT_FIELD_LABOR_HOURS)*PERMANENT_HOURLY_RATE-MAX(0,($D272+O$5)-PERMANENT_FIELD_LABOR_HOURS)*TEMP_HOURLY_RATE-FIXED_SEASON_COST)</f>
        <v>23662.8902202134</v>
      </c>
      <c r="P272" s="53" t="n">
        <f aca="false">IF(OR($A272&gt;TOMATO_BED_CAP,$B272&gt;CARROT_BED_CAP,P$4&gt;MESCLUN_BED_CAP,$A272+$B272+P$4&gt;TOTAL_BEDS_AVAILABLE,($D272+P$5)&gt;TOTAL_LABOR_HOURS_CAP,MAX(0,($D272+P$5)-PERMANENT_FIELD_LABOR_HOURS)&gt;TEMP_HOURS_CAP),"",$C272+P$6-MIN(($D272+P$5),PERMANENT_FIELD_LABOR_HOURS)*PERMANENT_HOURLY_RATE-MAX(0,($D272+P$5)-PERMANENT_FIELD_LABOR_HOURS)*TEMP_HOURLY_RATE-FIXED_SEASON_COST)</f>
        <v>24500.0791400648</v>
      </c>
      <c r="Q272" s="53" t="n">
        <f aca="false">IF(OR($A272&gt;TOMATO_BED_CAP,$B272&gt;CARROT_BED_CAP,Q$4&gt;MESCLUN_BED_CAP,$A272+$B272+Q$4&gt;TOTAL_BEDS_AVAILABLE,($D272+Q$5)&gt;TOTAL_LABOR_HOURS_CAP,MAX(0,($D272+Q$5)-PERMANENT_FIELD_LABOR_HOURS)&gt;TEMP_HOURS_CAP),"",$C272+Q$6-MIN(($D272+Q$5),PERMANENT_FIELD_LABOR_HOURS)*PERMANENT_HOURLY_RATE-MAX(0,($D272+Q$5)-PERMANENT_FIELD_LABOR_HOURS)*TEMP_HOURLY_RATE-FIXED_SEASON_COST)</f>
        <v>25313.9262967627</v>
      </c>
      <c r="R272" s="53" t="n">
        <f aca="false">IF(OR($A272&gt;TOMATO_BED_CAP,$B272&gt;CARROT_BED_CAP,R$4&gt;MESCLUN_BED_CAP,$A272+$B272+R$4&gt;TOTAL_BEDS_AVAILABLE,($D272+R$5)&gt;TOTAL_LABOR_HOURS_CAP,MAX(0,($D272+R$5)-PERMANENT_FIELD_LABOR_HOURS)&gt;TEMP_HOURS_CAP),"",$C272+R$6-MIN(($D272+R$5),PERMANENT_FIELD_LABOR_HOURS)*PERMANENT_HOURLY_RATE-MAX(0,($D272+R$5)-PERMANENT_FIELD_LABOR_HOURS)*TEMP_HOURLY_RATE-FIXED_SEASON_COST)</f>
        <v>26104.0017104595</v>
      </c>
      <c r="S272" s="53" t="n">
        <f aca="false">IF(OR($A272&gt;TOMATO_BED_CAP,$B272&gt;CARROT_BED_CAP,S$4&gt;MESCLUN_BED_CAP,$A272+$B272+S$4&gt;TOTAL_BEDS_AVAILABLE,($D272+S$5)&gt;TOTAL_LABOR_HOURS_CAP,MAX(0,($D272+S$5)-PERMANENT_FIELD_LABOR_HOURS)&gt;TEMP_HOURS_CAP),"",$C272+S$6-MIN(($D272+S$5),PERMANENT_FIELD_LABOR_HOURS)*PERMANENT_HOURLY_RATE-MAX(0,($D272+S$5)-PERMANENT_FIELD_LABOR_HOURS)*TEMP_HOURLY_RATE-FIXED_SEASON_COST)</f>
        <v>26869.868298962</v>
      </c>
      <c r="T272" s="53" t="n">
        <f aca="false">IF(OR($A272&gt;TOMATO_BED_CAP,$B272&gt;CARROT_BED_CAP,T$4&gt;MESCLUN_BED_CAP,$A272+$B272+T$4&gt;TOTAL_BEDS_AVAILABLE,($D272+T$5)&gt;TOTAL_LABOR_HOURS_CAP,MAX(0,($D272+T$5)-PERMANENT_FIELD_LABOR_HOURS)&gt;TEMP_HOURS_CAP),"",$C272+T$6-MIN(($D272+T$5),PERMANENT_FIELD_LABOR_HOURS)*PERMANENT_HOURLY_RATE-MAX(0,($D272+T$5)-PERMANENT_FIELD_LABOR_HOURS)*TEMP_HOURLY_RATE-FIXED_SEASON_COST)</f>
        <v>27611.0817673568</v>
      </c>
      <c r="U272" s="53" t="n">
        <f aca="false">IF(OR($A272&gt;TOMATO_BED_CAP,$B272&gt;CARROT_BED_CAP,U$4&gt;MESCLUN_BED_CAP,$A272+$B272+U$4&gt;TOTAL_BEDS_AVAILABLE,($D272+U$5)&gt;TOTAL_LABOR_HOURS_CAP,MAX(0,($D272+U$5)-PERMANENT_FIELD_LABOR_HOURS)&gt;TEMP_HOURS_CAP),"",$C272+U$6-MIN(($D272+U$5),PERMANENT_FIELD_LABOR_HOURS)*PERMANENT_HOURLY_RATE-MAX(0,($D272+U$5)-PERMANENT_FIELD_LABOR_HOURS)*TEMP_HOURLY_RATE-FIXED_SEASON_COST)</f>
        <v>28327.1904959869</v>
      </c>
      <c r="V272" s="53" t="n">
        <f aca="false">IF(OR($A272&gt;TOMATO_BED_CAP,$B272&gt;CARROT_BED_CAP,V$4&gt;MESCLUN_BED_CAP,$A272+$B272+V$4&gt;TOTAL_BEDS_AVAILABLE,($D272+V$5)&gt;TOTAL_LABOR_HOURS_CAP,MAX(0,($D272+V$5)-PERMANENT_FIELD_LABOR_HOURS)&gt;TEMP_HOURS_CAP),"",$C272+V$6-MIN(($D272+V$5),PERMANENT_FIELD_LABOR_HOURS)*PERMANENT_HOURLY_RATE-MAX(0,($D272+V$5)-PERMANENT_FIELD_LABOR_HOURS)*TEMP_HOURLY_RATE-FIXED_SEASON_COST)</f>
        <v>29017.7354267537</v>
      </c>
      <c r="W272" s="53" t="n">
        <f aca="false">IF(OR($A272&gt;TOMATO_BED_CAP,$B272&gt;CARROT_BED_CAP,W$4&gt;MESCLUN_BED_CAP,$A272+$B272+W$4&gt;TOTAL_BEDS_AVAILABLE,($D272+W$5)&gt;TOTAL_LABOR_HOURS_CAP,MAX(0,($D272+W$5)-PERMANENT_FIELD_LABOR_HOURS)&gt;TEMP_HOURS_CAP),"",$C272+W$6-MIN(($D272+W$5),PERMANENT_FIELD_LABOR_HOURS)*PERMANENT_HOURLY_RATE-MAX(0,($D272+W$5)-PERMANENT_FIELD_LABOR_HOURS)*TEMP_HOURLY_RATE-FIXED_SEASON_COST)</f>
        <v>29682.2499477218</v>
      </c>
      <c r="X272" s="53" t="n">
        <f aca="false">IF(OR($A272&gt;TOMATO_BED_CAP,$B272&gt;CARROT_BED_CAP,X$4&gt;MESCLUN_BED_CAP,$A272+$B272+X$4&gt;TOTAL_BEDS_AVAILABLE,($D272+X$5)&gt;TOTAL_LABOR_HOURS_CAP,MAX(0,($D272+X$5)-PERMANENT_FIELD_LABOR_HOURS)&gt;TEMP_HOURS_CAP),"",$C272+X$6-MIN(($D272+X$5),PERMANENT_FIELD_LABOR_HOURS)*PERMANENT_HOURLY_RATE-MAX(0,($D272+X$5)-PERMANENT_FIELD_LABOR_HOURS)*TEMP_HOURLY_RATE-FIXED_SEASON_COST)</f>
        <v>30320.2597760007</v>
      </c>
      <c r="Y272" s="53" t="n">
        <f aca="false">IF(OR($A272&gt;TOMATO_BED_CAP,$B272&gt;CARROT_BED_CAP,Y$4&gt;MESCLUN_BED_CAP,$A272+$B272+Y$4&gt;TOTAL_BEDS_AVAILABLE,($D272+Y$5)&gt;TOTAL_LABOR_HOURS_CAP,MAX(0,($D272+Y$5)-PERMANENT_FIELD_LABOR_HOURS)&gt;TEMP_HOURS_CAP),"",$C272+Y$6-MIN(($D272+Y$5),PERMANENT_FIELD_LABOR_HOURS)*PERMANENT_HOURLY_RATE-MAX(0,($D272+Y$5)-PERMANENT_FIELD_LABOR_HOURS)*TEMP_HOURLY_RATE-FIXED_SEASON_COST)</f>
        <v>30931.2828388794</v>
      </c>
      <c r="Z272" s="53" t="n">
        <f aca="false">IF(OR($A272&gt;TOMATO_BED_CAP,$B272&gt;CARROT_BED_CAP,Z$4&gt;MESCLUN_BED_CAP,$A272+$B272+Z$4&gt;TOTAL_BEDS_AVAILABLE,($D272+Z$5)&gt;TOTAL_LABOR_HOURS_CAP,MAX(0,($D272+Z$5)-PERMANENT_FIELD_LABOR_HOURS)&gt;TEMP_HOURS_CAP),"",$C272+Z$6-MIN(($D272+Z$5),PERMANENT_FIELD_LABOR_HOURS)*PERMANENT_HOURLY_RATE-MAX(0,($D272+Z$5)-PERMANENT_FIELD_LABOR_HOURS)*TEMP_HOURLY_RATE-FIXED_SEASON_COST)</f>
        <v>31514.8291531871</v>
      </c>
      <c r="AA272" s="53" t="n">
        <f aca="false">IF(OR($A272&gt;TOMATO_BED_CAP,$B272&gt;CARROT_BED_CAP,AA$4&gt;MESCLUN_BED_CAP,$A272+$B272+AA$4&gt;TOTAL_BEDS_AVAILABLE,($D272+AA$5)&gt;TOTAL_LABOR_HOURS_CAP,MAX(0,($D272+AA$5)-PERMANENT_FIELD_LABOR_HOURS)&gt;TEMP_HOURS_CAP),"",$C272+AA$6-MIN(($D272+AA$5),PERMANENT_FIELD_LABOR_HOURS)*PERMANENT_HOURLY_RATE-MAX(0,($D272+AA$5)-PERMANENT_FIELD_LABOR_HOURS)*TEMP_HOURLY_RATE-FIXED_SEASON_COST)</f>
        <v>32070.400702856</v>
      </c>
      <c r="AB272" s="53" t="n">
        <f aca="false">IF(OR($A272&gt;TOMATO_BED_CAP,$B272&gt;CARROT_BED_CAP,AB$4&gt;MESCLUN_BED_CAP,$A272+$B272+AB$4&gt;TOTAL_BEDS_AVAILABLE,($D272+AB$5)&gt;TOTAL_LABOR_HOURS_CAP,MAX(0,($D272+AB$5)-PERMANENT_FIELD_LABOR_HOURS)&gt;TEMP_HOURS_CAP),"",$C272+AB$6-MIN(($D272+AB$5),PERMANENT_FIELD_LABOR_HOURS)*PERMANENT_HOURLY_RATE-MAX(0,($D272+AB$5)-PERMANENT_FIELD_LABOR_HOURS)*TEMP_HOURLY_RATE-FIXED_SEASON_COST)</f>
        <v>32597.4913146586</v>
      </c>
      <c r="AC272" s="53" t="n">
        <f aca="false">IF(OR($A272&gt;TOMATO_BED_CAP,$B272&gt;CARROT_BED_CAP,AC$4&gt;MESCLUN_BED_CAP,$A272+$B272+AC$4&gt;TOTAL_BEDS_AVAILABLE,($D272+AC$5)&gt;TOTAL_LABOR_HOURS_CAP,MAX(0,($D272+AC$5)-PERMANENT_FIELD_LABOR_HOURS)&gt;TEMP_HOURS_CAP),"",$C272+AC$6-MIN(($D272+AC$5),PERMANENT_FIELD_LABOR_HOURS)*PERMANENT_HOURLY_RATE-MAX(0,($D272+AC$5)-PERMANENT_FIELD_LABOR_HOURS)*TEMP_HOURLY_RATE-FIXED_SEASON_COST)</f>
        <v>33095.5865320935</v>
      </c>
      <c r="AD272" s="53" t="n">
        <f aca="false">IF(OR($A272&gt;TOMATO_BED_CAP,$B272&gt;CARROT_BED_CAP,AD$4&gt;MESCLUN_BED_CAP,$A272+$B272+AD$4&gt;TOTAL_BEDS_AVAILABLE,($D272+AD$5)&gt;TOTAL_LABOR_HOURS_CAP,MAX(0,($D272+AD$5)-PERMANENT_FIELD_LABOR_HOURS)&gt;TEMP_HOURS_CAP),"",$C272+AD$6-MIN(($D272+AD$5),PERMANENT_FIELD_LABOR_HOURS)*PERMANENT_HOURLY_RATE-MAX(0,($D272+AD$5)-PERMANENT_FIELD_LABOR_HOURS)*TEMP_HOURLY_RATE-FIXED_SEASON_COST)</f>
        <v>33564.1634873934</v>
      </c>
      <c r="AE272" s="53" t="n">
        <f aca="false">IF(OR($A272&gt;TOMATO_BED_CAP,$B272&gt;CARROT_BED_CAP,AE$4&gt;MESCLUN_BED_CAP,$A272+$B272+AE$4&gt;TOTAL_BEDS_AVAILABLE,($D272+AE$5)&gt;TOTAL_LABOR_HOURS_CAP,MAX(0,($D272+AE$5)-PERMANENT_FIELD_LABOR_HOURS)&gt;TEMP_HOURS_CAP),"",$C272+AE$6-MIN(($D272+AE$5),PERMANENT_FIELD_LABOR_HOURS)*PERMANENT_HOURLY_RATE-MAX(0,($D272+AE$5)-PERMANENT_FIELD_LABOR_HOURS)*TEMP_HOURLY_RATE-FIXED_SEASON_COST)</f>
        <v>34002.6907716274</v>
      </c>
      <c r="AF272" s="53" t="n">
        <f aca="false">IF(OR($A272&gt;TOMATO_BED_CAP,$B272&gt;CARROT_BED_CAP,AF$4&gt;MESCLUN_BED_CAP,$A272+$B272+AF$4&gt;TOTAL_BEDS_AVAILABLE,($D272+AF$5)&gt;TOTAL_LABOR_HOURS_CAP,MAX(0,($D272+AF$5)-PERMANENT_FIELD_LABOR_HOURS)&gt;TEMP_HOURS_CAP),"",$C272+AF$6-MIN(($D272+AF$5),PERMANENT_FIELD_LABOR_HOURS)*PERMANENT_HOURLY_RATE-MAX(0,($D272+AF$5)-PERMANENT_FIELD_LABOR_HOURS)*TEMP_HOURLY_RATE-FIXED_SEASON_COST)</f>
        <v>34410.6283028693</v>
      </c>
      <c r="AG272" s="53" t="n">
        <f aca="false">IF(OR($A272&gt;TOMATO_BED_CAP,$B272&gt;CARROT_BED_CAP,AG$4&gt;MESCLUN_BED_CAP,$A272+$B272+AG$4&gt;TOTAL_BEDS_AVAILABLE,($D272+AG$5)&gt;TOTAL_LABOR_HOURS_CAP,MAX(0,($D272+AG$5)-PERMANENT_FIELD_LABOR_HOURS)&gt;TEMP_HOURS_CAP),"",$C272+AG$6-MIN(($D272+AG$5),PERMANENT_FIELD_LABOR_HOURS)*PERMANENT_HOURLY_RATE-MAX(0,($D272+AG$5)-PERMANENT_FIELD_LABOR_HOURS)*TEMP_HOURLY_RATE-FIXED_SEASON_COST)</f>
        <v>34787.4271924063</v>
      </c>
      <c r="AH272" s="53" t="n">
        <f aca="false">IF(OR($A272&gt;TOMATO_BED_CAP,$B272&gt;CARROT_BED_CAP,AH$4&gt;MESCLUN_BED_CAP,$A272+$B272+AH$4&gt;TOTAL_BEDS_AVAILABLE,($D272+AH$5)&gt;TOTAL_LABOR_HOURS_CAP,MAX(0,($D272+AH$5)-PERMANENT_FIELD_LABOR_HOURS)&gt;TEMP_HOURS_CAP),"",$C272+AH$6-MIN(($D272+AH$5),PERMANENT_FIELD_LABOR_HOURS)*PERMANENT_HOURLY_RATE-MAX(0,($D272+AH$5)-PERMANENT_FIELD_LABOR_HOURS)*TEMP_HOURLY_RATE-FIXED_SEASON_COST)</f>
        <v>35132.5296089565</v>
      </c>
      <c r="AI272" s="53" t="n">
        <f aca="false">IF(OR($A272&gt;TOMATO_BED_CAP,$B272&gt;CARROT_BED_CAP,AI$4&gt;MESCLUN_BED_CAP,$A272+$B272+AI$4&gt;TOTAL_BEDS_AVAILABLE,($D272+AI$5)&gt;TOTAL_LABOR_HOURS_CAP,MAX(0,($D272+AI$5)-PERMANENT_FIELD_LABOR_HOURS)&gt;TEMP_HOURS_CAP),"",$C272+AI$6-MIN(($D272+AI$5),PERMANENT_FIELD_LABOR_HOURS)*PERMANENT_HOURLY_RATE-MAX(0,($D272+AI$5)-PERMANENT_FIELD_LABOR_HOURS)*TEMP_HOURLY_RATE-FIXED_SEASON_COST)</f>
        <v>35445.3686408688</v>
      </c>
      <c r="AJ272" s="53" t="n">
        <f aca="false">IF(OR($A272&gt;TOMATO_BED_CAP,$B272&gt;CARROT_BED_CAP,AJ$4&gt;MESCLUN_BED_CAP,$A272+$B272+AJ$4&gt;TOTAL_BEDS_AVAILABLE,($D272+AJ$5)&gt;TOTAL_LABOR_HOURS_CAP,MAX(0,($D272+AJ$5)-PERMANENT_FIELD_LABOR_HOURS)&gt;TEMP_HOURS_CAP),"",$C272+AJ$6-MIN(($D272+AJ$5),PERMANENT_FIELD_LABOR_HOURS)*PERMANENT_HOURLY_RATE-MAX(0,($D272+AJ$5)-PERMANENT_FIELD_LABOR_HOURS)*TEMP_HOURLY_RATE-FIXED_SEASON_COST)</f>
        <v>35725.3681562746</v>
      </c>
    </row>
    <row r="273" customFormat="false" ht="15" hidden="false" customHeight="false" outlineLevel="0" collapsed="false">
      <c r="A273" s="21" t="n">
        <f aca="false">INT((ROW()-ROW($A$8))/(20+1))</f>
        <v>12</v>
      </c>
      <c r="B273" s="21" t="n">
        <f aca="false">MOD(ROW()-ROW($A$8),20+1)</f>
        <v>13</v>
      </c>
      <c r="C273" s="13" t="n">
        <f aca="false">A273*(TOMATO_REVENUE_PER_BED-TOMATO_FERTILIZER_PER_BED)+B273*(CARROT_REVENUE_PER_BED-CARROT_FERTILIZER_PER_BED)</f>
        <v>116542</v>
      </c>
      <c r="D273" s="14" t="n">
        <f aca="false">INDEX(TOMATO_SCHED_LABOR_HRS,A273+1)+INDEX(CARROT_SCHED_LABOR_HRS,B273+1)</f>
        <v>3926.90690662814</v>
      </c>
      <c r="E273" s="13" t="n">
        <f aca="false">IF(COUNT(F273:AJ273)=0,"",MAX(F273:AJ273))</f>
        <v>36451.685395808</v>
      </c>
      <c r="F273" s="53" t="n">
        <f aca="false">IF(OR($A273&gt;TOMATO_BED_CAP,$B273&gt;CARROT_BED_CAP,F$4&gt;MESCLUN_BED_CAP,$A273+$B273+F$4&gt;TOTAL_BEDS_AVAILABLE,($D273+F$5)&gt;TOTAL_LABOR_HOURS_CAP,MAX(0,($D273+F$5)-PERMANENT_FIELD_LABOR_HOURS)&gt;TEMP_HOURS_CAP),"",$C273+F$6-MIN(($D273+F$5),PERMANENT_FIELD_LABOR_HOURS)*PERMANENT_HOURLY_RATE-MAX(0,($D273+F$5)-PERMANENT_FIELD_LABOR_HOURS)*TEMP_HOURLY_RATE-FIXED_SEASON_COST)</f>
        <v>15871.6961009354</v>
      </c>
      <c r="G273" s="53" t="n">
        <f aca="false">IF(OR($A273&gt;TOMATO_BED_CAP,$B273&gt;CARROT_BED_CAP,G$4&gt;MESCLUN_BED_CAP,$A273+$B273+G$4&gt;TOTAL_BEDS_AVAILABLE,($D273+G$5)&gt;TOTAL_LABOR_HOURS_CAP,MAX(0,($D273+G$5)-PERMANENT_FIELD_LABOR_HOURS)&gt;TEMP_HOURS_CAP),"",$C273+G$6-MIN(($D273+G$5),PERMANENT_FIELD_LABOR_HOURS)*PERMANENT_HOURLY_RATE-MAX(0,($D273+G$5)-PERMANENT_FIELD_LABOR_HOURS)*TEMP_HOURLY_RATE-FIXED_SEASON_COST)</f>
        <v>16900.7311009354</v>
      </c>
      <c r="H273" s="53" t="n">
        <f aca="false">IF(OR($A273&gt;TOMATO_BED_CAP,$B273&gt;CARROT_BED_CAP,H$4&gt;MESCLUN_BED_CAP,$A273+$B273+H$4&gt;TOTAL_BEDS_AVAILABLE,($D273+H$5)&gt;TOTAL_LABOR_HOURS_CAP,MAX(0,($D273+H$5)-PERMANENT_FIELD_LABOR_HOURS)&gt;TEMP_HOURS_CAP),"",$C273+H$6-MIN(($D273+H$5),PERMANENT_FIELD_LABOR_HOURS)*PERMANENT_HOURLY_RATE-MAX(0,($D273+H$5)-PERMANENT_FIELD_LABOR_HOURS)*TEMP_HOURLY_RATE-FIXED_SEASON_COST)</f>
        <v>17909.9919759354</v>
      </c>
      <c r="I273" s="53" t="n">
        <f aca="false">IF(OR($A273&gt;TOMATO_BED_CAP,$B273&gt;CARROT_BED_CAP,I$4&gt;MESCLUN_BED_CAP,$A273+$B273+I$4&gt;TOTAL_BEDS_AVAILABLE,($D273+I$5)&gt;TOTAL_LABOR_HOURS_CAP,MAX(0,($D273+I$5)-PERMANENT_FIELD_LABOR_HOURS)&gt;TEMP_HOURS_CAP),"",$C273+I$6-MIN(($D273+I$5),PERMANENT_FIELD_LABOR_HOURS)*PERMANENT_HOURLY_RATE-MAX(0,($D273+I$5)-PERMANENT_FIELD_LABOR_HOURS)*TEMP_HOURLY_RATE-FIXED_SEASON_COST)</f>
        <v>18899.1079610917</v>
      </c>
      <c r="J273" s="53" t="n">
        <f aca="false">IF(OR($A273&gt;TOMATO_BED_CAP,$B273&gt;CARROT_BED_CAP,J$4&gt;MESCLUN_BED_CAP,$A273+$B273+J$4&gt;TOTAL_BEDS_AVAILABLE,($D273+J$5)&gt;TOTAL_LABOR_HOURS_CAP,MAX(0,($D273+J$5)-PERMANENT_FIELD_LABOR_HOURS)&gt;TEMP_HOURS_CAP),"",$C273+J$6-MIN(($D273+J$5),PERMANENT_FIELD_LABOR_HOURS)*PERMANENT_HOURLY_RATE-MAX(0,($D273+J$5)-PERMANENT_FIELD_LABOR_HOURS)*TEMP_HOURLY_RATE-FIXED_SEASON_COST)</f>
        <v>19867.7021121464</v>
      </c>
      <c r="K273" s="53" t="n">
        <f aca="false">IF(OR($A273&gt;TOMATO_BED_CAP,$B273&gt;CARROT_BED_CAP,K$4&gt;MESCLUN_BED_CAP,$A273+$B273+K$4&gt;TOTAL_BEDS_AVAILABLE,($D273+K$5)&gt;TOTAL_LABOR_HOURS_CAP,MAX(0,($D273+K$5)-PERMANENT_FIELD_LABOR_HOURS)&gt;TEMP_HOURS_CAP),"",$C273+K$6-MIN(($D273+K$5),PERMANENT_FIELD_LABOR_HOURS)*PERMANENT_HOURLY_RATE-MAX(0,($D273+K$5)-PERMANENT_FIELD_LABOR_HOURS)*TEMP_HOURLY_RATE-FIXED_SEASON_COST)</f>
        <v>20815.3912088743</v>
      </c>
      <c r="L273" s="53" t="n">
        <f aca="false">IF(OR($A273&gt;TOMATO_BED_CAP,$B273&gt;CARROT_BED_CAP,L$4&gt;MESCLUN_BED_CAP,$A273+$B273+L$4&gt;TOTAL_BEDS_AVAILABLE,($D273+L$5)&gt;TOTAL_LABOR_HOURS_CAP,MAX(0,($D273+L$5)-PERMANENT_FIELD_LABOR_HOURS)&gt;TEMP_HOURS_CAP),"",$C273+L$6-MIN(($D273+L$5),PERMANENT_FIELD_LABOR_HOURS)*PERMANENT_HOURLY_RATE-MAX(0,($D273+L$5)-PERMANENT_FIELD_LABOR_HOURS)*TEMP_HOURLY_RATE-FIXED_SEASON_COST)</f>
        <v>21741.7856570811</v>
      </c>
      <c r="M273" s="53" t="n">
        <f aca="false">IF(OR($A273&gt;TOMATO_BED_CAP,$B273&gt;CARROT_BED_CAP,M$4&gt;MESCLUN_BED_CAP,$A273+$B273+M$4&gt;TOTAL_BEDS_AVAILABLE,($D273+M$5)&gt;TOTAL_LABOR_HOURS_CAP,MAX(0,($D273+M$5)-PERMANENT_FIELD_LABOR_HOURS)&gt;TEMP_HOURS_CAP),"",$C273+M$6-MIN(($D273+M$5),PERMANENT_FIELD_LABOR_HOURS)*PERMANENT_HOURLY_RATE-MAX(0,($D273+M$5)-PERMANENT_FIELD_LABOR_HOURS)*TEMP_HOURLY_RATE-FIXED_SEASON_COST)</f>
        <v>22646.4893891325</v>
      </c>
      <c r="N273" s="53" t="n">
        <f aca="false">IF(OR($A273&gt;TOMATO_BED_CAP,$B273&gt;CARROT_BED_CAP,N$4&gt;MESCLUN_BED_CAP,$A273+$B273+N$4&gt;TOTAL_BEDS_AVAILABLE,($D273+N$5)&gt;TOTAL_LABOR_HOURS_CAP,MAX(0,($D273+N$5)-PERMANENT_FIELD_LABOR_HOURS)&gt;TEMP_HOURS_CAP),"",$C273+N$6-MIN(($D273+N$5),PERMANENT_FIELD_LABOR_HOURS)*PERMANENT_HOURLY_RATE-MAX(0,($D273+N$5)-PERMANENT_FIELD_LABOR_HOURS)*TEMP_HOURLY_RATE-FIXED_SEASON_COST)</f>
        <v>23529.0997629921</v>
      </c>
      <c r="O273" s="53" t="n">
        <f aca="false">IF(OR($A273&gt;TOMATO_BED_CAP,$B273&gt;CARROT_BED_CAP,O$4&gt;MESCLUN_BED_CAP,$A273+$B273+O$4&gt;TOTAL_BEDS_AVAILABLE,($D273+O$5)&gt;TOTAL_LABOR_HOURS_CAP,MAX(0,($D273+O$5)-PERMANENT_FIELD_LABOR_HOURS)&gt;TEMP_HOURS_CAP),"",$C273+O$6-MIN(($D273+O$5),PERMANENT_FIELD_LABOR_HOURS)*PERMANENT_HOURLY_RATE-MAX(0,($D273+O$5)-PERMANENT_FIELD_LABOR_HOURS)*TEMP_HOURLY_RATE-FIXED_SEASON_COST)</f>
        <v>24389.2074597468</v>
      </c>
      <c r="P273" s="53" t="n">
        <f aca="false">IF(OR($A273&gt;TOMATO_BED_CAP,$B273&gt;CARROT_BED_CAP,P$4&gt;MESCLUN_BED_CAP,$A273+$B273+P$4&gt;TOTAL_BEDS_AVAILABLE,($D273+P$5)&gt;TOTAL_LABOR_HOURS_CAP,MAX(0,($D273+P$5)-PERMANENT_FIELD_LABOR_HOURS)&gt;TEMP_HOURS_CAP),"",$C273+P$6-MIN(($D273+P$5),PERMANENT_FIELD_LABOR_HOURS)*PERMANENT_HOURLY_RATE-MAX(0,($D273+P$5)-PERMANENT_FIELD_LABOR_HOURS)*TEMP_HOURLY_RATE-FIXED_SEASON_COST)</f>
        <v>25226.3963795983</v>
      </c>
      <c r="Q273" s="53" t="n">
        <f aca="false">IF(OR($A273&gt;TOMATO_BED_CAP,$B273&gt;CARROT_BED_CAP,Q$4&gt;MESCLUN_BED_CAP,$A273+$B273+Q$4&gt;TOTAL_BEDS_AVAILABLE,($D273+Q$5)&gt;TOTAL_LABOR_HOURS_CAP,MAX(0,($D273+Q$5)-PERMANENT_FIELD_LABOR_HOURS)&gt;TEMP_HOURS_CAP),"",$C273+Q$6-MIN(($D273+Q$5),PERMANENT_FIELD_LABOR_HOURS)*PERMANENT_HOURLY_RATE-MAX(0,($D273+Q$5)-PERMANENT_FIELD_LABOR_HOURS)*TEMP_HOURLY_RATE-FIXED_SEASON_COST)</f>
        <v>26040.2435362962</v>
      </c>
      <c r="R273" s="53" t="n">
        <f aca="false">IF(OR($A273&gt;TOMATO_BED_CAP,$B273&gt;CARROT_BED_CAP,R$4&gt;MESCLUN_BED_CAP,$A273+$B273+R$4&gt;TOTAL_BEDS_AVAILABLE,($D273+R$5)&gt;TOTAL_LABOR_HOURS_CAP,MAX(0,($D273+R$5)-PERMANENT_FIELD_LABOR_HOURS)&gt;TEMP_HOURS_CAP),"",$C273+R$6-MIN(($D273+R$5),PERMANENT_FIELD_LABOR_HOURS)*PERMANENT_HOURLY_RATE-MAX(0,($D273+R$5)-PERMANENT_FIELD_LABOR_HOURS)*TEMP_HOURLY_RATE-FIXED_SEASON_COST)</f>
        <v>26830.318949993</v>
      </c>
      <c r="S273" s="53" t="n">
        <f aca="false">IF(OR($A273&gt;TOMATO_BED_CAP,$B273&gt;CARROT_BED_CAP,S$4&gt;MESCLUN_BED_CAP,$A273+$B273+S$4&gt;TOTAL_BEDS_AVAILABLE,($D273+S$5)&gt;TOTAL_LABOR_HOURS_CAP,MAX(0,($D273+S$5)-PERMANENT_FIELD_LABOR_HOURS)&gt;TEMP_HOURS_CAP),"",$C273+S$6-MIN(($D273+S$5),PERMANENT_FIELD_LABOR_HOURS)*PERMANENT_HOURLY_RATE-MAX(0,($D273+S$5)-PERMANENT_FIELD_LABOR_HOURS)*TEMP_HOURLY_RATE-FIXED_SEASON_COST)</f>
        <v>27596.1855384954</v>
      </c>
      <c r="T273" s="53" t="n">
        <f aca="false">IF(OR($A273&gt;TOMATO_BED_CAP,$B273&gt;CARROT_BED_CAP,T$4&gt;MESCLUN_BED_CAP,$A273+$B273+T$4&gt;TOTAL_BEDS_AVAILABLE,($D273+T$5)&gt;TOTAL_LABOR_HOURS_CAP,MAX(0,($D273+T$5)-PERMANENT_FIELD_LABOR_HOURS)&gt;TEMP_HOURS_CAP),"",$C273+T$6-MIN(($D273+T$5),PERMANENT_FIELD_LABOR_HOURS)*PERMANENT_HOURLY_RATE-MAX(0,($D273+T$5)-PERMANENT_FIELD_LABOR_HOURS)*TEMP_HOURLY_RATE-FIXED_SEASON_COST)</f>
        <v>28337.3990068903</v>
      </c>
      <c r="U273" s="53" t="n">
        <f aca="false">IF(OR($A273&gt;TOMATO_BED_CAP,$B273&gt;CARROT_BED_CAP,U$4&gt;MESCLUN_BED_CAP,$A273+$B273+U$4&gt;TOTAL_BEDS_AVAILABLE,($D273+U$5)&gt;TOTAL_LABOR_HOURS_CAP,MAX(0,($D273+U$5)-PERMANENT_FIELD_LABOR_HOURS)&gt;TEMP_HOURS_CAP),"",$C273+U$6-MIN(($D273+U$5),PERMANENT_FIELD_LABOR_HOURS)*PERMANENT_HOURLY_RATE-MAX(0,($D273+U$5)-PERMANENT_FIELD_LABOR_HOURS)*TEMP_HOURLY_RATE-FIXED_SEASON_COST)</f>
        <v>29053.5077355204</v>
      </c>
      <c r="V273" s="53" t="n">
        <f aca="false">IF(OR($A273&gt;TOMATO_BED_CAP,$B273&gt;CARROT_BED_CAP,V$4&gt;MESCLUN_BED_CAP,$A273+$B273+V$4&gt;TOTAL_BEDS_AVAILABLE,($D273+V$5)&gt;TOTAL_LABOR_HOURS_CAP,MAX(0,($D273+V$5)-PERMANENT_FIELD_LABOR_HOURS)&gt;TEMP_HOURS_CAP),"",$C273+V$6-MIN(($D273+V$5),PERMANENT_FIELD_LABOR_HOURS)*PERMANENT_HOURLY_RATE-MAX(0,($D273+V$5)-PERMANENT_FIELD_LABOR_HOURS)*TEMP_HOURLY_RATE-FIXED_SEASON_COST)</f>
        <v>29744.0526662871</v>
      </c>
      <c r="W273" s="53" t="n">
        <f aca="false">IF(OR($A273&gt;TOMATO_BED_CAP,$B273&gt;CARROT_BED_CAP,W$4&gt;MESCLUN_BED_CAP,$A273+$B273+W$4&gt;TOTAL_BEDS_AVAILABLE,($D273+W$5)&gt;TOTAL_LABOR_HOURS_CAP,MAX(0,($D273+W$5)-PERMANENT_FIELD_LABOR_HOURS)&gt;TEMP_HOURS_CAP),"",$C273+W$6-MIN(($D273+W$5),PERMANENT_FIELD_LABOR_HOURS)*PERMANENT_HOURLY_RATE-MAX(0,($D273+W$5)-PERMANENT_FIELD_LABOR_HOURS)*TEMP_HOURLY_RATE-FIXED_SEASON_COST)</f>
        <v>30408.5671872552</v>
      </c>
      <c r="X273" s="53" t="n">
        <f aca="false">IF(OR($A273&gt;TOMATO_BED_CAP,$B273&gt;CARROT_BED_CAP,X$4&gt;MESCLUN_BED_CAP,$A273+$B273+X$4&gt;TOTAL_BEDS_AVAILABLE,($D273+X$5)&gt;TOTAL_LABOR_HOURS_CAP,MAX(0,($D273+X$5)-PERMANENT_FIELD_LABOR_HOURS)&gt;TEMP_HOURS_CAP),"",$C273+X$6-MIN(($D273+X$5),PERMANENT_FIELD_LABOR_HOURS)*PERMANENT_HOURLY_RATE-MAX(0,($D273+X$5)-PERMANENT_FIELD_LABOR_HOURS)*TEMP_HOURLY_RATE-FIXED_SEASON_COST)</f>
        <v>31046.5770155341</v>
      </c>
      <c r="Y273" s="53" t="n">
        <f aca="false">IF(OR($A273&gt;TOMATO_BED_CAP,$B273&gt;CARROT_BED_CAP,Y$4&gt;MESCLUN_BED_CAP,$A273+$B273+Y$4&gt;TOTAL_BEDS_AVAILABLE,($D273+Y$5)&gt;TOTAL_LABOR_HOURS_CAP,MAX(0,($D273+Y$5)-PERMANENT_FIELD_LABOR_HOURS)&gt;TEMP_HOURS_CAP),"",$C273+Y$6-MIN(($D273+Y$5),PERMANENT_FIELD_LABOR_HOURS)*PERMANENT_HOURLY_RATE-MAX(0,($D273+Y$5)-PERMANENT_FIELD_LABOR_HOURS)*TEMP_HOURLY_RATE-FIXED_SEASON_COST)</f>
        <v>31657.6000784128</v>
      </c>
      <c r="Z273" s="53" t="n">
        <f aca="false">IF(OR($A273&gt;TOMATO_BED_CAP,$B273&gt;CARROT_BED_CAP,Z$4&gt;MESCLUN_BED_CAP,$A273+$B273+Z$4&gt;TOTAL_BEDS_AVAILABLE,($D273+Z$5)&gt;TOTAL_LABOR_HOURS_CAP,MAX(0,($D273+Z$5)-PERMANENT_FIELD_LABOR_HOURS)&gt;TEMP_HOURS_CAP),"",$C273+Z$6-MIN(($D273+Z$5),PERMANENT_FIELD_LABOR_HOURS)*PERMANENT_HOURLY_RATE-MAX(0,($D273+Z$5)-PERMANENT_FIELD_LABOR_HOURS)*TEMP_HOURLY_RATE-FIXED_SEASON_COST)</f>
        <v>32241.1463927205</v>
      </c>
      <c r="AA273" s="53" t="n">
        <f aca="false">IF(OR($A273&gt;TOMATO_BED_CAP,$B273&gt;CARROT_BED_CAP,AA$4&gt;MESCLUN_BED_CAP,$A273+$B273+AA$4&gt;TOTAL_BEDS_AVAILABLE,($D273+AA$5)&gt;TOTAL_LABOR_HOURS_CAP,MAX(0,($D273+AA$5)-PERMANENT_FIELD_LABOR_HOURS)&gt;TEMP_HOURS_CAP),"",$C273+AA$6-MIN(($D273+AA$5),PERMANENT_FIELD_LABOR_HOURS)*PERMANENT_HOURLY_RATE-MAX(0,($D273+AA$5)-PERMANENT_FIELD_LABOR_HOURS)*TEMP_HOURLY_RATE-FIXED_SEASON_COST)</f>
        <v>32796.7179423895</v>
      </c>
      <c r="AB273" s="53" t="n">
        <f aca="false">IF(OR($A273&gt;TOMATO_BED_CAP,$B273&gt;CARROT_BED_CAP,AB$4&gt;MESCLUN_BED_CAP,$A273+$B273+AB$4&gt;TOTAL_BEDS_AVAILABLE,($D273+AB$5)&gt;TOTAL_LABOR_HOURS_CAP,MAX(0,($D273+AB$5)-PERMANENT_FIELD_LABOR_HOURS)&gt;TEMP_HOURS_CAP),"",$C273+AB$6-MIN(($D273+AB$5),PERMANENT_FIELD_LABOR_HOURS)*PERMANENT_HOURLY_RATE-MAX(0,($D273+AB$5)-PERMANENT_FIELD_LABOR_HOURS)*TEMP_HOURLY_RATE-FIXED_SEASON_COST)</f>
        <v>33323.808554192</v>
      </c>
      <c r="AC273" s="53" t="n">
        <f aca="false">IF(OR($A273&gt;TOMATO_BED_CAP,$B273&gt;CARROT_BED_CAP,AC$4&gt;MESCLUN_BED_CAP,$A273+$B273+AC$4&gt;TOTAL_BEDS_AVAILABLE,($D273+AC$5)&gt;TOTAL_LABOR_HOURS_CAP,MAX(0,($D273+AC$5)-PERMANENT_FIELD_LABOR_HOURS)&gt;TEMP_HOURS_CAP),"",$C273+AC$6-MIN(($D273+AC$5),PERMANENT_FIELD_LABOR_HOURS)*PERMANENT_HOURLY_RATE-MAX(0,($D273+AC$5)-PERMANENT_FIELD_LABOR_HOURS)*TEMP_HOURLY_RATE-FIXED_SEASON_COST)</f>
        <v>33821.9037716269</v>
      </c>
      <c r="AD273" s="53" t="n">
        <f aca="false">IF(OR($A273&gt;TOMATO_BED_CAP,$B273&gt;CARROT_BED_CAP,AD$4&gt;MESCLUN_BED_CAP,$A273+$B273+AD$4&gt;TOTAL_BEDS_AVAILABLE,($D273+AD$5)&gt;TOTAL_LABOR_HOURS_CAP,MAX(0,($D273+AD$5)-PERMANENT_FIELD_LABOR_HOURS)&gt;TEMP_HOURS_CAP),"",$C273+AD$6-MIN(($D273+AD$5),PERMANENT_FIELD_LABOR_HOURS)*PERMANENT_HOURLY_RATE-MAX(0,($D273+AD$5)-PERMANENT_FIELD_LABOR_HOURS)*TEMP_HOURLY_RATE-FIXED_SEASON_COST)</f>
        <v>34290.4807269269</v>
      </c>
      <c r="AE273" s="53" t="n">
        <f aca="false">IF(OR($A273&gt;TOMATO_BED_CAP,$B273&gt;CARROT_BED_CAP,AE$4&gt;MESCLUN_BED_CAP,$A273+$B273+AE$4&gt;TOTAL_BEDS_AVAILABLE,($D273+AE$5)&gt;TOTAL_LABOR_HOURS_CAP,MAX(0,($D273+AE$5)-PERMANENT_FIELD_LABOR_HOURS)&gt;TEMP_HOURS_CAP),"",$C273+AE$6-MIN(($D273+AE$5),PERMANENT_FIELD_LABOR_HOURS)*PERMANENT_HOURLY_RATE-MAX(0,($D273+AE$5)-PERMANENT_FIELD_LABOR_HOURS)*TEMP_HOURLY_RATE-FIXED_SEASON_COST)</f>
        <v>34729.0080111608</v>
      </c>
      <c r="AF273" s="53" t="n">
        <f aca="false">IF(OR($A273&gt;TOMATO_BED_CAP,$B273&gt;CARROT_BED_CAP,AF$4&gt;MESCLUN_BED_CAP,$A273+$B273+AF$4&gt;TOTAL_BEDS_AVAILABLE,($D273+AF$5)&gt;TOTAL_LABOR_HOURS_CAP,MAX(0,($D273+AF$5)-PERMANENT_FIELD_LABOR_HOURS)&gt;TEMP_HOURS_CAP),"",$C273+AF$6-MIN(($D273+AF$5),PERMANENT_FIELD_LABOR_HOURS)*PERMANENT_HOURLY_RATE-MAX(0,($D273+AF$5)-PERMANENT_FIELD_LABOR_HOURS)*TEMP_HOURLY_RATE-FIXED_SEASON_COST)</f>
        <v>35136.9455424027</v>
      </c>
      <c r="AG273" s="53" t="n">
        <f aca="false">IF(OR($A273&gt;TOMATO_BED_CAP,$B273&gt;CARROT_BED_CAP,AG$4&gt;MESCLUN_BED_CAP,$A273+$B273+AG$4&gt;TOTAL_BEDS_AVAILABLE,($D273+AG$5)&gt;TOTAL_LABOR_HOURS_CAP,MAX(0,($D273+AG$5)-PERMANENT_FIELD_LABOR_HOURS)&gt;TEMP_HOURS_CAP),"",$C273+AG$6-MIN(($D273+AG$5),PERMANENT_FIELD_LABOR_HOURS)*PERMANENT_HOURLY_RATE-MAX(0,($D273+AG$5)-PERMANENT_FIELD_LABOR_HOURS)*TEMP_HOURLY_RATE-FIXED_SEASON_COST)</f>
        <v>35513.7444319397</v>
      </c>
      <c r="AH273" s="53" t="n">
        <f aca="false">IF(OR($A273&gt;TOMATO_BED_CAP,$B273&gt;CARROT_BED_CAP,AH$4&gt;MESCLUN_BED_CAP,$A273+$B273+AH$4&gt;TOTAL_BEDS_AVAILABLE,($D273+AH$5)&gt;TOTAL_LABOR_HOURS_CAP,MAX(0,($D273+AH$5)-PERMANENT_FIELD_LABOR_HOURS)&gt;TEMP_HOURS_CAP),"",$C273+AH$6-MIN(($D273+AH$5),PERMANENT_FIELD_LABOR_HOURS)*PERMANENT_HOURLY_RATE-MAX(0,($D273+AH$5)-PERMANENT_FIELD_LABOR_HOURS)*TEMP_HOURLY_RATE-FIXED_SEASON_COST)</f>
        <v>35858.84684849</v>
      </c>
      <c r="AI273" s="53" t="n">
        <f aca="false">IF(OR($A273&gt;TOMATO_BED_CAP,$B273&gt;CARROT_BED_CAP,AI$4&gt;MESCLUN_BED_CAP,$A273+$B273+AI$4&gt;TOTAL_BEDS_AVAILABLE,($D273+AI$5)&gt;TOTAL_LABOR_HOURS_CAP,MAX(0,($D273+AI$5)-PERMANENT_FIELD_LABOR_HOURS)&gt;TEMP_HOURS_CAP),"",$C273+AI$6-MIN(($D273+AI$5),PERMANENT_FIELD_LABOR_HOURS)*PERMANENT_HOURLY_RATE-MAX(0,($D273+AI$5)-PERMANENT_FIELD_LABOR_HOURS)*TEMP_HOURLY_RATE-FIXED_SEASON_COST)</f>
        <v>36171.6858804022</v>
      </c>
      <c r="AJ273" s="53" t="n">
        <f aca="false">IF(OR($A273&gt;TOMATO_BED_CAP,$B273&gt;CARROT_BED_CAP,AJ$4&gt;MESCLUN_BED_CAP,$A273+$B273+AJ$4&gt;TOTAL_BEDS_AVAILABLE,($D273+AJ$5)&gt;TOTAL_LABOR_HOURS_CAP,MAX(0,($D273+AJ$5)-PERMANENT_FIELD_LABOR_HOURS)&gt;TEMP_HOURS_CAP),"",$C273+AJ$6-MIN(($D273+AJ$5),PERMANENT_FIELD_LABOR_HOURS)*PERMANENT_HOURLY_RATE-MAX(0,($D273+AJ$5)-PERMANENT_FIELD_LABOR_HOURS)*TEMP_HOURLY_RATE-FIXED_SEASON_COST)</f>
        <v>36451.685395808</v>
      </c>
    </row>
    <row r="274" customFormat="false" ht="15" hidden="false" customHeight="false" outlineLevel="0" collapsed="false">
      <c r="A274" s="21" t="n">
        <f aca="false">INT((ROW()-ROW($A$8))/(20+1))</f>
        <v>12</v>
      </c>
      <c r="B274" s="21" t="n">
        <f aca="false">MOD(ROW()-ROW($A$8),20+1)</f>
        <v>14</v>
      </c>
      <c r="C274" s="13" t="n">
        <f aca="false">A274*(TOMATO_REVENUE_PER_BED-TOMATO_FERTILIZER_PER_BED)+B274*(CARROT_REVENUE_PER_BED-CARROT_FERTILIZER_PER_BED)</f>
        <v>118196</v>
      </c>
      <c r="D274" s="14" t="n">
        <f aca="false">INDEX(TOMATO_SCHED_LABOR_HRS,A274+1)+INDEX(CARROT_SCHED_LABOR_HRS,B274+1)</f>
        <v>3982.71427206574</v>
      </c>
      <c r="E274" s="13" t="n">
        <f aca="false">IF(COUNT(F274:AJ274)=0,"",MAX(F274:AJ274))</f>
        <v>37136.8695318113</v>
      </c>
      <c r="F274" s="53" t="n">
        <f aca="false">IF(OR($A274&gt;TOMATO_BED_CAP,$B274&gt;CARROT_BED_CAP,F$4&gt;MESCLUN_BED_CAP,$A274+$B274+F$4&gt;TOTAL_BEDS_AVAILABLE,($D274+F$5)&gt;TOTAL_LABOR_HOURS_CAP,MAX(0,($D274+F$5)-PERMANENT_FIELD_LABOR_HOURS)&gt;TEMP_HOURS_CAP),"",$C274+F$6-MIN(($D274+F$5),PERMANENT_FIELD_LABOR_HOURS)*PERMANENT_HOURLY_RATE-MAX(0,($D274+F$5)-PERMANENT_FIELD_LABOR_HOURS)*TEMP_HOURLY_RATE-FIXED_SEASON_COST)</f>
        <v>16556.8802369387</v>
      </c>
      <c r="G274" s="53" t="n">
        <f aca="false">IF(OR($A274&gt;TOMATO_BED_CAP,$B274&gt;CARROT_BED_CAP,G$4&gt;MESCLUN_BED_CAP,$A274+$B274+G$4&gt;TOTAL_BEDS_AVAILABLE,($D274+G$5)&gt;TOTAL_LABOR_HOURS_CAP,MAX(0,($D274+G$5)-PERMANENT_FIELD_LABOR_HOURS)&gt;TEMP_HOURS_CAP),"",$C274+G$6-MIN(($D274+G$5),PERMANENT_FIELD_LABOR_HOURS)*PERMANENT_HOURLY_RATE-MAX(0,($D274+G$5)-PERMANENT_FIELD_LABOR_HOURS)*TEMP_HOURLY_RATE-FIXED_SEASON_COST)</f>
        <v>17585.9152369387</v>
      </c>
      <c r="H274" s="53" t="n">
        <f aca="false">IF(OR($A274&gt;TOMATO_BED_CAP,$B274&gt;CARROT_BED_CAP,H$4&gt;MESCLUN_BED_CAP,$A274+$B274+H$4&gt;TOTAL_BEDS_AVAILABLE,($D274+H$5)&gt;TOTAL_LABOR_HOURS_CAP,MAX(0,($D274+H$5)-PERMANENT_FIELD_LABOR_HOURS)&gt;TEMP_HOURS_CAP),"",$C274+H$6-MIN(($D274+H$5),PERMANENT_FIELD_LABOR_HOURS)*PERMANENT_HOURLY_RATE-MAX(0,($D274+H$5)-PERMANENT_FIELD_LABOR_HOURS)*TEMP_HOURLY_RATE-FIXED_SEASON_COST)</f>
        <v>18595.1761119387</v>
      </c>
      <c r="I274" s="53" t="n">
        <f aca="false">IF(OR($A274&gt;TOMATO_BED_CAP,$B274&gt;CARROT_BED_CAP,I$4&gt;MESCLUN_BED_CAP,$A274+$B274+I$4&gt;TOTAL_BEDS_AVAILABLE,($D274+I$5)&gt;TOTAL_LABOR_HOURS_CAP,MAX(0,($D274+I$5)-PERMANENT_FIELD_LABOR_HOURS)&gt;TEMP_HOURS_CAP),"",$C274+I$6-MIN(($D274+I$5),PERMANENT_FIELD_LABOR_HOURS)*PERMANENT_HOURLY_RATE-MAX(0,($D274+I$5)-PERMANENT_FIELD_LABOR_HOURS)*TEMP_HOURLY_RATE-FIXED_SEASON_COST)</f>
        <v>19584.292097095</v>
      </c>
      <c r="J274" s="53" t="n">
        <f aca="false">IF(OR($A274&gt;TOMATO_BED_CAP,$B274&gt;CARROT_BED_CAP,J$4&gt;MESCLUN_BED_CAP,$A274+$B274+J$4&gt;TOTAL_BEDS_AVAILABLE,($D274+J$5)&gt;TOTAL_LABOR_HOURS_CAP,MAX(0,($D274+J$5)-PERMANENT_FIELD_LABOR_HOURS)&gt;TEMP_HOURS_CAP),"",$C274+J$6-MIN(($D274+J$5),PERMANENT_FIELD_LABOR_HOURS)*PERMANENT_HOURLY_RATE-MAX(0,($D274+J$5)-PERMANENT_FIELD_LABOR_HOURS)*TEMP_HOURLY_RATE-FIXED_SEASON_COST)</f>
        <v>20552.8862481497</v>
      </c>
      <c r="K274" s="53" t="n">
        <f aca="false">IF(OR($A274&gt;TOMATO_BED_CAP,$B274&gt;CARROT_BED_CAP,K$4&gt;MESCLUN_BED_CAP,$A274+$B274+K$4&gt;TOTAL_BEDS_AVAILABLE,($D274+K$5)&gt;TOTAL_LABOR_HOURS_CAP,MAX(0,($D274+K$5)-PERMANENT_FIELD_LABOR_HOURS)&gt;TEMP_HOURS_CAP),"",$C274+K$6-MIN(($D274+K$5),PERMANENT_FIELD_LABOR_HOURS)*PERMANENT_HOURLY_RATE-MAX(0,($D274+K$5)-PERMANENT_FIELD_LABOR_HOURS)*TEMP_HOURLY_RATE-FIXED_SEASON_COST)</f>
        <v>21500.5753448776</v>
      </c>
      <c r="L274" s="53" t="n">
        <f aca="false">IF(OR($A274&gt;TOMATO_BED_CAP,$B274&gt;CARROT_BED_CAP,L$4&gt;MESCLUN_BED_CAP,$A274+$B274+L$4&gt;TOTAL_BEDS_AVAILABLE,($D274+L$5)&gt;TOTAL_LABOR_HOURS_CAP,MAX(0,($D274+L$5)-PERMANENT_FIELD_LABOR_HOURS)&gt;TEMP_HOURS_CAP),"",$C274+L$6-MIN(($D274+L$5),PERMANENT_FIELD_LABOR_HOURS)*PERMANENT_HOURLY_RATE-MAX(0,($D274+L$5)-PERMANENT_FIELD_LABOR_HOURS)*TEMP_HOURLY_RATE-FIXED_SEASON_COST)</f>
        <v>22426.9697930844</v>
      </c>
      <c r="M274" s="53" t="n">
        <f aca="false">IF(OR($A274&gt;TOMATO_BED_CAP,$B274&gt;CARROT_BED_CAP,M$4&gt;MESCLUN_BED_CAP,$A274+$B274+M$4&gt;TOTAL_BEDS_AVAILABLE,($D274+M$5)&gt;TOTAL_LABOR_HOURS_CAP,MAX(0,($D274+M$5)-PERMANENT_FIELD_LABOR_HOURS)&gt;TEMP_HOURS_CAP),"",$C274+M$6-MIN(($D274+M$5),PERMANENT_FIELD_LABOR_HOURS)*PERMANENT_HOURLY_RATE-MAX(0,($D274+M$5)-PERMANENT_FIELD_LABOR_HOURS)*TEMP_HOURLY_RATE-FIXED_SEASON_COST)</f>
        <v>23331.6735251358</v>
      </c>
      <c r="N274" s="53" t="n">
        <f aca="false">IF(OR($A274&gt;TOMATO_BED_CAP,$B274&gt;CARROT_BED_CAP,N$4&gt;MESCLUN_BED_CAP,$A274+$B274+N$4&gt;TOTAL_BEDS_AVAILABLE,($D274+N$5)&gt;TOTAL_LABOR_HOURS_CAP,MAX(0,($D274+N$5)-PERMANENT_FIELD_LABOR_HOURS)&gt;TEMP_HOURS_CAP),"",$C274+N$6-MIN(($D274+N$5),PERMANENT_FIELD_LABOR_HOURS)*PERMANENT_HOURLY_RATE-MAX(0,($D274+N$5)-PERMANENT_FIELD_LABOR_HOURS)*TEMP_HOURLY_RATE-FIXED_SEASON_COST)</f>
        <v>24214.2838989954</v>
      </c>
      <c r="O274" s="53" t="n">
        <f aca="false">IF(OR($A274&gt;TOMATO_BED_CAP,$B274&gt;CARROT_BED_CAP,O$4&gt;MESCLUN_BED_CAP,$A274+$B274+O$4&gt;TOTAL_BEDS_AVAILABLE,($D274+O$5)&gt;TOTAL_LABOR_HOURS_CAP,MAX(0,($D274+O$5)-PERMANENT_FIELD_LABOR_HOURS)&gt;TEMP_HOURS_CAP),"",$C274+O$6-MIN(($D274+O$5),PERMANENT_FIELD_LABOR_HOURS)*PERMANENT_HOURLY_RATE-MAX(0,($D274+O$5)-PERMANENT_FIELD_LABOR_HOURS)*TEMP_HOURLY_RATE-FIXED_SEASON_COST)</f>
        <v>25074.3915957501</v>
      </c>
      <c r="P274" s="53" t="n">
        <f aca="false">IF(OR($A274&gt;TOMATO_BED_CAP,$B274&gt;CARROT_BED_CAP,P$4&gt;MESCLUN_BED_CAP,$A274+$B274+P$4&gt;TOTAL_BEDS_AVAILABLE,($D274+P$5)&gt;TOTAL_LABOR_HOURS_CAP,MAX(0,($D274+P$5)-PERMANENT_FIELD_LABOR_HOURS)&gt;TEMP_HOURS_CAP),"",$C274+P$6-MIN(($D274+P$5),PERMANENT_FIELD_LABOR_HOURS)*PERMANENT_HOURLY_RATE-MAX(0,($D274+P$5)-PERMANENT_FIELD_LABOR_HOURS)*TEMP_HOURLY_RATE-FIXED_SEASON_COST)</f>
        <v>25911.5805156016</v>
      </c>
      <c r="Q274" s="53" t="n">
        <f aca="false">IF(OR($A274&gt;TOMATO_BED_CAP,$B274&gt;CARROT_BED_CAP,Q$4&gt;MESCLUN_BED_CAP,$A274+$B274+Q$4&gt;TOTAL_BEDS_AVAILABLE,($D274+Q$5)&gt;TOTAL_LABOR_HOURS_CAP,MAX(0,($D274+Q$5)-PERMANENT_FIELD_LABOR_HOURS)&gt;TEMP_HOURS_CAP),"",$C274+Q$6-MIN(($D274+Q$5),PERMANENT_FIELD_LABOR_HOURS)*PERMANENT_HOURLY_RATE-MAX(0,($D274+Q$5)-PERMANENT_FIELD_LABOR_HOURS)*TEMP_HOURLY_RATE-FIXED_SEASON_COST)</f>
        <v>26725.4276722995</v>
      </c>
      <c r="R274" s="53" t="n">
        <f aca="false">IF(OR($A274&gt;TOMATO_BED_CAP,$B274&gt;CARROT_BED_CAP,R$4&gt;MESCLUN_BED_CAP,$A274+$B274+R$4&gt;TOTAL_BEDS_AVAILABLE,($D274+R$5)&gt;TOTAL_LABOR_HOURS_CAP,MAX(0,($D274+R$5)-PERMANENT_FIELD_LABOR_HOURS)&gt;TEMP_HOURS_CAP),"",$C274+R$6-MIN(($D274+R$5),PERMANENT_FIELD_LABOR_HOURS)*PERMANENT_HOURLY_RATE-MAX(0,($D274+R$5)-PERMANENT_FIELD_LABOR_HOURS)*TEMP_HOURLY_RATE-FIXED_SEASON_COST)</f>
        <v>27515.5030859963</v>
      </c>
      <c r="S274" s="53" t="n">
        <f aca="false">IF(OR($A274&gt;TOMATO_BED_CAP,$B274&gt;CARROT_BED_CAP,S$4&gt;MESCLUN_BED_CAP,$A274+$B274+S$4&gt;TOTAL_BEDS_AVAILABLE,($D274+S$5)&gt;TOTAL_LABOR_HOURS_CAP,MAX(0,($D274+S$5)-PERMANENT_FIELD_LABOR_HOURS)&gt;TEMP_HOURS_CAP),"",$C274+S$6-MIN(($D274+S$5),PERMANENT_FIELD_LABOR_HOURS)*PERMANENT_HOURLY_RATE-MAX(0,($D274+S$5)-PERMANENT_FIELD_LABOR_HOURS)*TEMP_HOURLY_RATE-FIXED_SEASON_COST)</f>
        <v>28281.3696744987</v>
      </c>
      <c r="T274" s="53" t="n">
        <f aca="false">IF(OR($A274&gt;TOMATO_BED_CAP,$B274&gt;CARROT_BED_CAP,T$4&gt;MESCLUN_BED_CAP,$A274+$B274+T$4&gt;TOTAL_BEDS_AVAILABLE,($D274+T$5)&gt;TOTAL_LABOR_HOURS_CAP,MAX(0,($D274+T$5)-PERMANENT_FIELD_LABOR_HOURS)&gt;TEMP_HOURS_CAP),"",$C274+T$6-MIN(($D274+T$5),PERMANENT_FIELD_LABOR_HOURS)*PERMANENT_HOURLY_RATE-MAX(0,($D274+T$5)-PERMANENT_FIELD_LABOR_HOURS)*TEMP_HOURLY_RATE-FIXED_SEASON_COST)</f>
        <v>29022.5831428936</v>
      </c>
      <c r="U274" s="53" t="n">
        <f aca="false">IF(OR($A274&gt;TOMATO_BED_CAP,$B274&gt;CARROT_BED_CAP,U$4&gt;MESCLUN_BED_CAP,$A274+$B274+U$4&gt;TOTAL_BEDS_AVAILABLE,($D274+U$5)&gt;TOTAL_LABOR_HOURS_CAP,MAX(0,($D274+U$5)-PERMANENT_FIELD_LABOR_HOURS)&gt;TEMP_HOURS_CAP),"",$C274+U$6-MIN(($D274+U$5),PERMANENT_FIELD_LABOR_HOURS)*PERMANENT_HOURLY_RATE-MAX(0,($D274+U$5)-PERMANENT_FIELD_LABOR_HOURS)*TEMP_HOURLY_RATE-FIXED_SEASON_COST)</f>
        <v>29738.6918715237</v>
      </c>
      <c r="V274" s="53" t="n">
        <f aca="false">IF(OR($A274&gt;TOMATO_BED_CAP,$B274&gt;CARROT_BED_CAP,V$4&gt;MESCLUN_BED_CAP,$A274+$B274+V$4&gt;TOTAL_BEDS_AVAILABLE,($D274+V$5)&gt;TOTAL_LABOR_HOURS_CAP,MAX(0,($D274+V$5)-PERMANENT_FIELD_LABOR_HOURS)&gt;TEMP_HOURS_CAP),"",$C274+V$6-MIN(($D274+V$5),PERMANENT_FIELD_LABOR_HOURS)*PERMANENT_HOURLY_RATE-MAX(0,($D274+V$5)-PERMANENT_FIELD_LABOR_HOURS)*TEMP_HOURLY_RATE-FIXED_SEASON_COST)</f>
        <v>30429.2368022905</v>
      </c>
      <c r="W274" s="53" t="n">
        <f aca="false">IF(OR($A274&gt;TOMATO_BED_CAP,$B274&gt;CARROT_BED_CAP,W$4&gt;MESCLUN_BED_CAP,$A274+$B274+W$4&gt;TOTAL_BEDS_AVAILABLE,($D274+W$5)&gt;TOTAL_LABOR_HOURS_CAP,MAX(0,($D274+W$5)-PERMANENT_FIELD_LABOR_HOURS)&gt;TEMP_HOURS_CAP),"",$C274+W$6-MIN(($D274+W$5),PERMANENT_FIELD_LABOR_HOURS)*PERMANENT_HOURLY_RATE-MAX(0,($D274+W$5)-PERMANENT_FIELD_LABOR_HOURS)*TEMP_HOURLY_RATE-FIXED_SEASON_COST)</f>
        <v>31093.7513232585</v>
      </c>
      <c r="X274" s="53" t="n">
        <f aca="false">IF(OR($A274&gt;TOMATO_BED_CAP,$B274&gt;CARROT_BED_CAP,X$4&gt;MESCLUN_BED_CAP,$A274+$B274+X$4&gt;TOTAL_BEDS_AVAILABLE,($D274+X$5)&gt;TOTAL_LABOR_HOURS_CAP,MAX(0,($D274+X$5)-PERMANENT_FIELD_LABOR_HOURS)&gt;TEMP_HOURS_CAP),"",$C274+X$6-MIN(($D274+X$5),PERMANENT_FIELD_LABOR_HOURS)*PERMANENT_HOURLY_RATE-MAX(0,($D274+X$5)-PERMANENT_FIELD_LABOR_HOURS)*TEMP_HOURLY_RATE-FIXED_SEASON_COST)</f>
        <v>31731.7611515374</v>
      </c>
      <c r="Y274" s="53" t="n">
        <f aca="false">IF(OR($A274&gt;TOMATO_BED_CAP,$B274&gt;CARROT_BED_CAP,Y$4&gt;MESCLUN_BED_CAP,$A274+$B274+Y$4&gt;TOTAL_BEDS_AVAILABLE,($D274+Y$5)&gt;TOTAL_LABOR_HOURS_CAP,MAX(0,($D274+Y$5)-PERMANENT_FIELD_LABOR_HOURS)&gt;TEMP_HOURS_CAP),"",$C274+Y$6-MIN(($D274+Y$5),PERMANENT_FIELD_LABOR_HOURS)*PERMANENT_HOURLY_RATE-MAX(0,($D274+Y$5)-PERMANENT_FIELD_LABOR_HOURS)*TEMP_HOURLY_RATE-FIXED_SEASON_COST)</f>
        <v>32342.7842144161</v>
      </c>
      <c r="Z274" s="53" t="n">
        <f aca="false">IF(OR($A274&gt;TOMATO_BED_CAP,$B274&gt;CARROT_BED_CAP,Z$4&gt;MESCLUN_BED_CAP,$A274+$B274+Z$4&gt;TOTAL_BEDS_AVAILABLE,($D274+Z$5)&gt;TOTAL_LABOR_HOURS_CAP,MAX(0,($D274+Z$5)-PERMANENT_FIELD_LABOR_HOURS)&gt;TEMP_HOURS_CAP),"",$C274+Z$6-MIN(($D274+Z$5),PERMANENT_FIELD_LABOR_HOURS)*PERMANENT_HOURLY_RATE-MAX(0,($D274+Z$5)-PERMANENT_FIELD_LABOR_HOURS)*TEMP_HOURLY_RATE-FIXED_SEASON_COST)</f>
        <v>32926.3305287238</v>
      </c>
      <c r="AA274" s="53" t="n">
        <f aca="false">IF(OR($A274&gt;TOMATO_BED_CAP,$B274&gt;CARROT_BED_CAP,AA$4&gt;MESCLUN_BED_CAP,$A274+$B274+AA$4&gt;TOTAL_BEDS_AVAILABLE,($D274+AA$5)&gt;TOTAL_LABOR_HOURS_CAP,MAX(0,($D274+AA$5)-PERMANENT_FIELD_LABOR_HOURS)&gt;TEMP_HOURS_CAP),"",$C274+AA$6-MIN(($D274+AA$5),PERMANENT_FIELD_LABOR_HOURS)*PERMANENT_HOURLY_RATE-MAX(0,($D274+AA$5)-PERMANENT_FIELD_LABOR_HOURS)*TEMP_HOURLY_RATE-FIXED_SEASON_COST)</f>
        <v>33481.9020783927</v>
      </c>
      <c r="AB274" s="53" t="n">
        <f aca="false">IF(OR($A274&gt;TOMATO_BED_CAP,$B274&gt;CARROT_BED_CAP,AB$4&gt;MESCLUN_BED_CAP,$A274+$B274+AB$4&gt;TOTAL_BEDS_AVAILABLE,($D274+AB$5)&gt;TOTAL_LABOR_HOURS_CAP,MAX(0,($D274+AB$5)-PERMANENT_FIELD_LABOR_HOURS)&gt;TEMP_HOURS_CAP),"",$C274+AB$6-MIN(($D274+AB$5),PERMANENT_FIELD_LABOR_HOURS)*PERMANENT_HOURLY_RATE-MAX(0,($D274+AB$5)-PERMANENT_FIELD_LABOR_HOURS)*TEMP_HOURLY_RATE-FIXED_SEASON_COST)</f>
        <v>34008.9926901953</v>
      </c>
      <c r="AC274" s="53" t="n">
        <f aca="false">IF(OR($A274&gt;TOMATO_BED_CAP,$B274&gt;CARROT_BED_CAP,AC$4&gt;MESCLUN_BED_CAP,$A274+$B274+AC$4&gt;TOTAL_BEDS_AVAILABLE,($D274+AC$5)&gt;TOTAL_LABOR_HOURS_CAP,MAX(0,($D274+AC$5)-PERMANENT_FIELD_LABOR_HOURS)&gt;TEMP_HOURS_CAP),"",$C274+AC$6-MIN(($D274+AC$5),PERMANENT_FIELD_LABOR_HOURS)*PERMANENT_HOURLY_RATE-MAX(0,($D274+AC$5)-PERMANENT_FIELD_LABOR_HOURS)*TEMP_HOURLY_RATE-FIXED_SEASON_COST)</f>
        <v>34507.0879076302</v>
      </c>
      <c r="AD274" s="53" t="n">
        <f aca="false">IF(OR($A274&gt;TOMATO_BED_CAP,$B274&gt;CARROT_BED_CAP,AD$4&gt;MESCLUN_BED_CAP,$A274+$B274+AD$4&gt;TOTAL_BEDS_AVAILABLE,($D274+AD$5)&gt;TOTAL_LABOR_HOURS_CAP,MAX(0,($D274+AD$5)-PERMANENT_FIELD_LABOR_HOURS)&gt;TEMP_HOURS_CAP),"",$C274+AD$6-MIN(($D274+AD$5),PERMANENT_FIELD_LABOR_HOURS)*PERMANENT_HOURLY_RATE-MAX(0,($D274+AD$5)-PERMANENT_FIELD_LABOR_HOURS)*TEMP_HOURLY_RATE-FIXED_SEASON_COST)</f>
        <v>34975.6648629302</v>
      </c>
      <c r="AE274" s="53" t="n">
        <f aca="false">IF(OR($A274&gt;TOMATO_BED_CAP,$B274&gt;CARROT_BED_CAP,AE$4&gt;MESCLUN_BED_CAP,$A274+$B274+AE$4&gt;TOTAL_BEDS_AVAILABLE,($D274+AE$5)&gt;TOTAL_LABOR_HOURS_CAP,MAX(0,($D274+AE$5)-PERMANENT_FIELD_LABOR_HOURS)&gt;TEMP_HOURS_CAP),"",$C274+AE$6-MIN(($D274+AE$5),PERMANENT_FIELD_LABOR_HOURS)*PERMANENT_HOURLY_RATE-MAX(0,($D274+AE$5)-PERMANENT_FIELD_LABOR_HOURS)*TEMP_HOURLY_RATE-FIXED_SEASON_COST)</f>
        <v>35414.1921471641</v>
      </c>
      <c r="AF274" s="53" t="n">
        <f aca="false">IF(OR($A274&gt;TOMATO_BED_CAP,$B274&gt;CARROT_BED_CAP,AF$4&gt;MESCLUN_BED_CAP,$A274+$B274+AF$4&gt;TOTAL_BEDS_AVAILABLE,($D274+AF$5)&gt;TOTAL_LABOR_HOURS_CAP,MAX(0,($D274+AF$5)-PERMANENT_FIELD_LABOR_HOURS)&gt;TEMP_HOURS_CAP),"",$C274+AF$6-MIN(($D274+AF$5),PERMANENT_FIELD_LABOR_HOURS)*PERMANENT_HOURLY_RATE-MAX(0,($D274+AF$5)-PERMANENT_FIELD_LABOR_HOURS)*TEMP_HOURLY_RATE-FIXED_SEASON_COST)</f>
        <v>35822.129678406</v>
      </c>
      <c r="AG274" s="53" t="n">
        <f aca="false">IF(OR($A274&gt;TOMATO_BED_CAP,$B274&gt;CARROT_BED_CAP,AG$4&gt;MESCLUN_BED_CAP,$A274+$B274+AG$4&gt;TOTAL_BEDS_AVAILABLE,($D274+AG$5)&gt;TOTAL_LABOR_HOURS_CAP,MAX(0,($D274+AG$5)-PERMANENT_FIELD_LABOR_HOURS)&gt;TEMP_HOURS_CAP),"",$C274+AG$6-MIN(($D274+AG$5),PERMANENT_FIELD_LABOR_HOURS)*PERMANENT_HOURLY_RATE-MAX(0,($D274+AG$5)-PERMANENT_FIELD_LABOR_HOURS)*TEMP_HOURLY_RATE-FIXED_SEASON_COST)</f>
        <v>36198.9285679431</v>
      </c>
      <c r="AH274" s="53" t="n">
        <f aca="false">IF(OR($A274&gt;TOMATO_BED_CAP,$B274&gt;CARROT_BED_CAP,AH$4&gt;MESCLUN_BED_CAP,$A274+$B274+AH$4&gt;TOTAL_BEDS_AVAILABLE,($D274+AH$5)&gt;TOTAL_LABOR_HOURS_CAP,MAX(0,($D274+AH$5)-PERMANENT_FIELD_LABOR_HOURS)&gt;TEMP_HOURS_CAP),"",$C274+AH$6-MIN(($D274+AH$5),PERMANENT_FIELD_LABOR_HOURS)*PERMANENT_HOURLY_RATE-MAX(0,($D274+AH$5)-PERMANENT_FIELD_LABOR_HOURS)*TEMP_HOURLY_RATE-FIXED_SEASON_COST)</f>
        <v>36544.0309844933</v>
      </c>
      <c r="AI274" s="53" t="n">
        <f aca="false">IF(OR($A274&gt;TOMATO_BED_CAP,$B274&gt;CARROT_BED_CAP,AI$4&gt;MESCLUN_BED_CAP,$A274+$B274+AI$4&gt;TOTAL_BEDS_AVAILABLE,($D274+AI$5)&gt;TOTAL_LABOR_HOURS_CAP,MAX(0,($D274+AI$5)-PERMANENT_FIELD_LABOR_HOURS)&gt;TEMP_HOURS_CAP),"",$C274+AI$6-MIN(($D274+AI$5),PERMANENT_FIELD_LABOR_HOURS)*PERMANENT_HOURLY_RATE-MAX(0,($D274+AI$5)-PERMANENT_FIELD_LABOR_HOURS)*TEMP_HOURLY_RATE-FIXED_SEASON_COST)</f>
        <v>36856.8700164055</v>
      </c>
      <c r="AJ274" s="53" t="n">
        <f aca="false">IF(OR($A274&gt;TOMATO_BED_CAP,$B274&gt;CARROT_BED_CAP,AJ$4&gt;MESCLUN_BED_CAP,$A274+$B274+AJ$4&gt;TOTAL_BEDS_AVAILABLE,($D274+AJ$5)&gt;TOTAL_LABOR_HOURS_CAP,MAX(0,($D274+AJ$5)-PERMANENT_FIELD_LABOR_HOURS)&gt;TEMP_HOURS_CAP),"",$C274+AJ$6-MIN(($D274+AJ$5),PERMANENT_FIELD_LABOR_HOURS)*PERMANENT_HOURLY_RATE-MAX(0,($D274+AJ$5)-PERMANENT_FIELD_LABOR_HOURS)*TEMP_HOURLY_RATE-FIXED_SEASON_COST)</f>
        <v>37136.8695318113</v>
      </c>
    </row>
    <row r="275" customFormat="false" ht="15" hidden="false" customHeight="false" outlineLevel="0" collapsed="false">
      <c r="A275" s="21" t="n">
        <f aca="false">INT((ROW()-ROW($A$8))/(20+1))</f>
        <v>12</v>
      </c>
      <c r="B275" s="21" t="n">
        <f aca="false">MOD(ROW()-ROW($A$8),20+1)</f>
        <v>15</v>
      </c>
      <c r="C275" s="13" t="n">
        <f aca="false">A275*(TOMATO_REVENUE_PER_BED-TOMATO_FERTILIZER_PER_BED)+B275*(CARROT_REVENUE_PER_BED-CARROT_FERTILIZER_PER_BED)</f>
        <v>119850</v>
      </c>
      <c r="D275" s="14" t="n">
        <f aca="false">INDEX(TOMATO_SCHED_LABOR_HRS,A275+1)+INDEX(CARROT_SCHED_LABOR_HRS,B275+1)</f>
        <v>4040.97612811286</v>
      </c>
      <c r="E275" s="13" t="n">
        <f aca="false">IF(COUNT(F275:AJ275)=0,"",MAX(F275:AJ275))</f>
        <v>37779.4437108333</v>
      </c>
      <c r="F275" s="53" t="n">
        <f aca="false">IF(OR($A275&gt;TOMATO_BED_CAP,$B275&gt;CARROT_BED_CAP,F$4&gt;MESCLUN_BED_CAP,$A275+$B275+F$4&gt;TOTAL_BEDS_AVAILABLE,($D275+F$5)&gt;TOTAL_LABOR_HOURS_CAP,MAX(0,($D275+F$5)-PERMANENT_FIELD_LABOR_HOURS)&gt;TEMP_HOURS_CAP),"",$C275+F$6-MIN(($D275+F$5),PERMANENT_FIELD_LABOR_HOURS)*PERMANENT_HOURLY_RATE-MAX(0,($D275+F$5)-PERMANENT_FIELD_LABOR_HOURS)*TEMP_HOURLY_RATE-FIXED_SEASON_COST)</f>
        <v>17199.4544159607</v>
      </c>
      <c r="G275" s="53" t="n">
        <f aca="false">IF(OR($A275&gt;TOMATO_BED_CAP,$B275&gt;CARROT_BED_CAP,G$4&gt;MESCLUN_BED_CAP,$A275+$B275+G$4&gt;TOTAL_BEDS_AVAILABLE,($D275+G$5)&gt;TOTAL_LABOR_HOURS_CAP,MAX(0,($D275+G$5)-PERMANENT_FIELD_LABOR_HOURS)&gt;TEMP_HOURS_CAP),"",$C275+G$6-MIN(($D275+G$5),PERMANENT_FIELD_LABOR_HOURS)*PERMANENT_HOURLY_RATE-MAX(0,($D275+G$5)-PERMANENT_FIELD_LABOR_HOURS)*TEMP_HOURLY_RATE-FIXED_SEASON_COST)</f>
        <v>18228.4894159607</v>
      </c>
      <c r="H275" s="53" t="n">
        <f aca="false">IF(OR($A275&gt;TOMATO_BED_CAP,$B275&gt;CARROT_BED_CAP,H$4&gt;MESCLUN_BED_CAP,$A275+$B275+H$4&gt;TOTAL_BEDS_AVAILABLE,($D275+H$5)&gt;TOTAL_LABOR_HOURS_CAP,MAX(0,($D275+H$5)-PERMANENT_FIELD_LABOR_HOURS)&gt;TEMP_HOURS_CAP),"",$C275+H$6-MIN(($D275+H$5),PERMANENT_FIELD_LABOR_HOURS)*PERMANENT_HOURLY_RATE-MAX(0,($D275+H$5)-PERMANENT_FIELD_LABOR_HOURS)*TEMP_HOURLY_RATE-FIXED_SEASON_COST)</f>
        <v>19237.7502909607</v>
      </c>
      <c r="I275" s="53" t="n">
        <f aca="false">IF(OR($A275&gt;TOMATO_BED_CAP,$B275&gt;CARROT_BED_CAP,I$4&gt;MESCLUN_BED_CAP,$A275+$B275+I$4&gt;TOTAL_BEDS_AVAILABLE,($D275+I$5)&gt;TOTAL_LABOR_HOURS_CAP,MAX(0,($D275+I$5)-PERMANENT_FIELD_LABOR_HOURS)&gt;TEMP_HOURS_CAP),"",$C275+I$6-MIN(($D275+I$5),PERMANENT_FIELD_LABOR_HOURS)*PERMANENT_HOURLY_RATE-MAX(0,($D275+I$5)-PERMANENT_FIELD_LABOR_HOURS)*TEMP_HOURLY_RATE-FIXED_SEASON_COST)</f>
        <v>20226.8662761169</v>
      </c>
      <c r="J275" s="53" t="n">
        <f aca="false">IF(OR($A275&gt;TOMATO_BED_CAP,$B275&gt;CARROT_BED_CAP,J$4&gt;MESCLUN_BED_CAP,$A275+$B275+J$4&gt;TOTAL_BEDS_AVAILABLE,($D275+J$5)&gt;TOTAL_LABOR_HOURS_CAP,MAX(0,($D275+J$5)-PERMANENT_FIELD_LABOR_HOURS)&gt;TEMP_HOURS_CAP),"",$C275+J$6-MIN(($D275+J$5),PERMANENT_FIELD_LABOR_HOURS)*PERMANENT_HOURLY_RATE-MAX(0,($D275+J$5)-PERMANENT_FIELD_LABOR_HOURS)*TEMP_HOURLY_RATE-FIXED_SEASON_COST)</f>
        <v>21195.4604271716</v>
      </c>
      <c r="K275" s="53" t="n">
        <f aca="false">IF(OR($A275&gt;TOMATO_BED_CAP,$B275&gt;CARROT_BED_CAP,K$4&gt;MESCLUN_BED_CAP,$A275+$B275+K$4&gt;TOTAL_BEDS_AVAILABLE,($D275+K$5)&gt;TOTAL_LABOR_HOURS_CAP,MAX(0,($D275+K$5)-PERMANENT_FIELD_LABOR_HOURS)&gt;TEMP_HOURS_CAP),"",$C275+K$6-MIN(($D275+K$5),PERMANENT_FIELD_LABOR_HOURS)*PERMANENT_HOURLY_RATE-MAX(0,($D275+K$5)-PERMANENT_FIELD_LABOR_HOURS)*TEMP_HOURLY_RATE-FIXED_SEASON_COST)</f>
        <v>22143.1495238996</v>
      </c>
      <c r="L275" s="53" t="n">
        <f aca="false">IF(OR($A275&gt;TOMATO_BED_CAP,$B275&gt;CARROT_BED_CAP,L$4&gt;MESCLUN_BED_CAP,$A275+$B275+L$4&gt;TOTAL_BEDS_AVAILABLE,($D275+L$5)&gt;TOTAL_LABOR_HOURS_CAP,MAX(0,($D275+L$5)-PERMANENT_FIELD_LABOR_HOURS)&gt;TEMP_HOURS_CAP),"",$C275+L$6-MIN(($D275+L$5),PERMANENT_FIELD_LABOR_HOURS)*PERMANENT_HOURLY_RATE-MAX(0,($D275+L$5)-PERMANENT_FIELD_LABOR_HOURS)*TEMP_HOURLY_RATE-FIXED_SEASON_COST)</f>
        <v>23069.5439721064</v>
      </c>
      <c r="M275" s="53" t="n">
        <f aca="false">IF(OR($A275&gt;TOMATO_BED_CAP,$B275&gt;CARROT_BED_CAP,M$4&gt;MESCLUN_BED_CAP,$A275+$B275+M$4&gt;TOTAL_BEDS_AVAILABLE,($D275+M$5)&gt;TOTAL_LABOR_HOURS_CAP,MAX(0,($D275+M$5)-PERMANENT_FIELD_LABOR_HOURS)&gt;TEMP_HOURS_CAP),"",$C275+M$6-MIN(($D275+M$5),PERMANENT_FIELD_LABOR_HOURS)*PERMANENT_HOURLY_RATE-MAX(0,($D275+M$5)-PERMANENT_FIELD_LABOR_HOURS)*TEMP_HOURLY_RATE-FIXED_SEASON_COST)</f>
        <v>23974.2477041578</v>
      </c>
      <c r="N275" s="53" t="n">
        <f aca="false">IF(OR($A275&gt;TOMATO_BED_CAP,$B275&gt;CARROT_BED_CAP,N$4&gt;MESCLUN_BED_CAP,$A275+$B275+N$4&gt;TOTAL_BEDS_AVAILABLE,($D275+N$5)&gt;TOTAL_LABOR_HOURS_CAP,MAX(0,($D275+N$5)-PERMANENT_FIELD_LABOR_HOURS)&gt;TEMP_HOURS_CAP),"",$C275+N$6-MIN(($D275+N$5),PERMANENT_FIELD_LABOR_HOURS)*PERMANENT_HOURLY_RATE-MAX(0,($D275+N$5)-PERMANENT_FIELD_LABOR_HOURS)*TEMP_HOURLY_RATE-FIXED_SEASON_COST)</f>
        <v>24856.8580780174</v>
      </c>
      <c r="O275" s="53" t="n">
        <f aca="false">IF(OR($A275&gt;TOMATO_BED_CAP,$B275&gt;CARROT_BED_CAP,O$4&gt;MESCLUN_BED_CAP,$A275+$B275+O$4&gt;TOTAL_BEDS_AVAILABLE,($D275+O$5)&gt;TOTAL_LABOR_HOURS_CAP,MAX(0,($D275+O$5)-PERMANENT_FIELD_LABOR_HOURS)&gt;TEMP_HOURS_CAP),"",$C275+O$6-MIN(($D275+O$5),PERMANENT_FIELD_LABOR_HOURS)*PERMANENT_HOURLY_RATE-MAX(0,($D275+O$5)-PERMANENT_FIELD_LABOR_HOURS)*TEMP_HOURLY_RATE-FIXED_SEASON_COST)</f>
        <v>25716.9657747721</v>
      </c>
      <c r="P275" s="53" t="n">
        <f aca="false">IF(OR($A275&gt;TOMATO_BED_CAP,$B275&gt;CARROT_BED_CAP,P$4&gt;MESCLUN_BED_CAP,$A275+$B275+P$4&gt;TOTAL_BEDS_AVAILABLE,($D275+P$5)&gt;TOTAL_LABOR_HOURS_CAP,MAX(0,($D275+P$5)-PERMANENT_FIELD_LABOR_HOURS)&gt;TEMP_HOURS_CAP),"",$C275+P$6-MIN(($D275+P$5),PERMANENT_FIELD_LABOR_HOURS)*PERMANENT_HOURLY_RATE-MAX(0,($D275+P$5)-PERMANENT_FIELD_LABOR_HOURS)*TEMP_HOURLY_RATE-FIXED_SEASON_COST)</f>
        <v>26554.1546946235</v>
      </c>
      <c r="Q275" s="53" t="n">
        <f aca="false">IF(OR($A275&gt;TOMATO_BED_CAP,$B275&gt;CARROT_BED_CAP,Q$4&gt;MESCLUN_BED_CAP,$A275+$B275+Q$4&gt;TOTAL_BEDS_AVAILABLE,($D275+Q$5)&gt;TOTAL_LABOR_HOURS_CAP,MAX(0,($D275+Q$5)-PERMANENT_FIELD_LABOR_HOURS)&gt;TEMP_HOURS_CAP),"",$C275+Q$6-MIN(($D275+Q$5),PERMANENT_FIELD_LABOR_HOURS)*PERMANENT_HOURLY_RATE-MAX(0,($D275+Q$5)-PERMANENT_FIELD_LABOR_HOURS)*TEMP_HOURLY_RATE-FIXED_SEASON_COST)</f>
        <v>27368.0018513214</v>
      </c>
      <c r="R275" s="53" t="n">
        <f aca="false">IF(OR($A275&gt;TOMATO_BED_CAP,$B275&gt;CARROT_BED_CAP,R$4&gt;MESCLUN_BED_CAP,$A275+$B275+R$4&gt;TOTAL_BEDS_AVAILABLE,($D275+R$5)&gt;TOTAL_LABOR_HOURS_CAP,MAX(0,($D275+R$5)-PERMANENT_FIELD_LABOR_HOURS)&gt;TEMP_HOURS_CAP),"",$C275+R$6-MIN(($D275+R$5),PERMANENT_FIELD_LABOR_HOURS)*PERMANENT_HOURLY_RATE-MAX(0,($D275+R$5)-PERMANENT_FIELD_LABOR_HOURS)*TEMP_HOURLY_RATE-FIXED_SEASON_COST)</f>
        <v>28158.0772650182</v>
      </c>
      <c r="S275" s="53" t="n">
        <f aca="false">IF(OR($A275&gt;TOMATO_BED_CAP,$B275&gt;CARROT_BED_CAP,S$4&gt;MESCLUN_BED_CAP,$A275+$B275+S$4&gt;TOTAL_BEDS_AVAILABLE,($D275+S$5)&gt;TOTAL_LABOR_HOURS_CAP,MAX(0,($D275+S$5)-PERMANENT_FIELD_LABOR_HOURS)&gt;TEMP_HOURS_CAP),"",$C275+S$6-MIN(($D275+S$5),PERMANENT_FIELD_LABOR_HOURS)*PERMANENT_HOURLY_RATE-MAX(0,($D275+S$5)-PERMANENT_FIELD_LABOR_HOURS)*TEMP_HOURLY_RATE-FIXED_SEASON_COST)</f>
        <v>28923.9438535207</v>
      </c>
      <c r="T275" s="53" t="n">
        <f aca="false">IF(OR($A275&gt;TOMATO_BED_CAP,$B275&gt;CARROT_BED_CAP,T$4&gt;MESCLUN_BED_CAP,$A275+$B275+T$4&gt;TOTAL_BEDS_AVAILABLE,($D275+T$5)&gt;TOTAL_LABOR_HOURS_CAP,MAX(0,($D275+T$5)-PERMANENT_FIELD_LABOR_HOURS)&gt;TEMP_HOURS_CAP),"",$C275+T$6-MIN(($D275+T$5),PERMANENT_FIELD_LABOR_HOURS)*PERMANENT_HOURLY_RATE-MAX(0,($D275+T$5)-PERMANENT_FIELD_LABOR_HOURS)*TEMP_HOURLY_RATE-FIXED_SEASON_COST)</f>
        <v>29665.1573219155</v>
      </c>
      <c r="U275" s="53" t="n">
        <f aca="false">IF(OR($A275&gt;TOMATO_BED_CAP,$B275&gt;CARROT_BED_CAP,U$4&gt;MESCLUN_BED_CAP,$A275+$B275+U$4&gt;TOTAL_BEDS_AVAILABLE,($D275+U$5)&gt;TOTAL_LABOR_HOURS_CAP,MAX(0,($D275+U$5)-PERMANENT_FIELD_LABOR_HOURS)&gt;TEMP_HOURS_CAP),"",$C275+U$6-MIN(($D275+U$5),PERMANENT_FIELD_LABOR_HOURS)*PERMANENT_HOURLY_RATE-MAX(0,($D275+U$5)-PERMANENT_FIELD_LABOR_HOURS)*TEMP_HOURLY_RATE-FIXED_SEASON_COST)</f>
        <v>30381.2660505456</v>
      </c>
      <c r="V275" s="53" t="n">
        <f aca="false">IF(OR($A275&gt;TOMATO_BED_CAP,$B275&gt;CARROT_BED_CAP,V$4&gt;MESCLUN_BED_CAP,$A275+$B275+V$4&gt;TOTAL_BEDS_AVAILABLE,($D275+V$5)&gt;TOTAL_LABOR_HOURS_CAP,MAX(0,($D275+V$5)-PERMANENT_FIELD_LABOR_HOURS)&gt;TEMP_HOURS_CAP),"",$C275+V$6-MIN(($D275+V$5),PERMANENT_FIELD_LABOR_HOURS)*PERMANENT_HOURLY_RATE-MAX(0,($D275+V$5)-PERMANENT_FIELD_LABOR_HOURS)*TEMP_HOURLY_RATE-FIXED_SEASON_COST)</f>
        <v>31071.8109813124</v>
      </c>
      <c r="W275" s="53" t="n">
        <f aca="false">IF(OR($A275&gt;TOMATO_BED_CAP,$B275&gt;CARROT_BED_CAP,W$4&gt;MESCLUN_BED_CAP,$A275+$B275+W$4&gt;TOTAL_BEDS_AVAILABLE,($D275+W$5)&gt;TOTAL_LABOR_HOURS_CAP,MAX(0,($D275+W$5)-PERMANENT_FIELD_LABOR_HOURS)&gt;TEMP_HOURS_CAP),"",$C275+W$6-MIN(($D275+W$5),PERMANENT_FIELD_LABOR_HOURS)*PERMANENT_HOURLY_RATE-MAX(0,($D275+W$5)-PERMANENT_FIELD_LABOR_HOURS)*TEMP_HOURLY_RATE-FIXED_SEASON_COST)</f>
        <v>31736.3255022805</v>
      </c>
      <c r="X275" s="53" t="n">
        <f aca="false">IF(OR($A275&gt;TOMATO_BED_CAP,$B275&gt;CARROT_BED_CAP,X$4&gt;MESCLUN_BED_CAP,$A275+$B275+X$4&gt;TOTAL_BEDS_AVAILABLE,($D275+X$5)&gt;TOTAL_LABOR_HOURS_CAP,MAX(0,($D275+X$5)-PERMANENT_FIELD_LABOR_HOURS)&gt;TEMP_HOURS_CAP),"",$C275+X$6-MIN(($D275+X$5),PERMANENT_FIELD_LABOR_HOURS)*PERMANENT_HOURLY_RATE-MAX(0,($D275+X$5)-PERMANENT_FIELD_LABOR_HOURS)*TEMP_HOURLY_RATE-FIXED_SEASON_COST)</f>
        <v>32374.3353305594</v>
      </c>
      <c r="Y275" s="53" t="n">
        <f aca="false">IF(OR($A275&gt;TOMATO_BED_CAP,$B275&gt;CARROT_BED_CAP,Y$4&gt;MESCLUN_BED_CAP,$A275+$B275+Y$4&gt;TOTAL_BEDS_AVAILABLE,($D275+Y$5)&gt;TOTAL_LABOR_HOURS_CAP,MAX(0,($D275+Y$5)-PERMANENT_FIELD_LABOR_HOURS)&gt;TEMP_HOURS_CAP),"",$C275+Y$6-MIN(($D275+Y$5),PERMANENT_FIELD_LABOR_HOURS)*PERMANENT_HOURLY_RATE-MAX(0,($D275+Y$5)-PERMANENT_FIELD_LABOR_HOURS)*TEMP_HOURLY_RATE-FIXED_SEASON_COST)</f>
        <v>32985.3583934381</v>
      </c>
      <c r="Z275" s="53" t="n">
        <f aca="false">IF(OR($A275&gt;TOMATO_BED_CAP,$B275&gt;CARROT_BED_CAP,Z$4&gt;MESCLUN_BED_CAP,$A275+$B275+Z$4&gt;TOTAL_BEDS_AVAILABLE,($D275+Z$5)&gt;TOTAL_LABOR_HOURS_CAP,MAX(0,($D275+Z$5)-PERMANENT_FIELD_LABOR_HOURS)&gt;TEMP_HOURS_CAP),"",$C275+Z$6-MIN(($D275+Z$5),PERMANENT_FIELD_LABOR_HOURS)*PERMANENT_HOURLY_RATE-MAX(0,($D275+Z$5)-PERMANENT_FIELD_LABOR_HOURS)*TEMP_HOURLY_RATE-FIXED_SEASON_COST)</f>
        <v>33568.9047077458</v>
      </c>
      <c r="AA275" s="53" t="n">
        <f aca="false">IF(OR($A275&gt;TOMATO_BED_CAP,$B275&gt;CARROT_BED_CAP,AA$4&gt;MESCLUN_BED_CAP,$A275+$B275+AA$4&gt;TOTAL_BEDS_AVAILABLE,($D275+AA$5)&gt;TOTAL_LABOR_HOURS_CAP,MAX(0,($D275+AA$5)-PERMANENT_FIELD_LABOR_HOURS)&gt;TEMP_HOURS_CAP),"",$C275+AA$6-MIN(($D275+AA$5),PERMANENT_FIELD_LABOR_HOURS)*PERMANENT_HOURLY_RATE-MAX(0,($D275+AA$5)-PERMANENT_FIELD_LABOR_HOURS)*TEMP_HOURLY_RATE-FIXED_SEASON_COST)</f>
        <v>34124.4762574147</v>
      </c>
      <c r="AB275" s="53" t="n">
        <f aca="false">IF(OR($A275&gt;TOMATO_BED_CAP,$B275&gt;CARROT_BED_CAP,AB$4&gt;MESCLUN_BED_CAP,$A275+$B275+AB$4&gt;TOTAL_BEDS_AVAILABLE,($D275+AB$5)&gt;TOTAL_LABOR_HOURS_CAP,MAX(0,($D275+AB$5)-PERMANENT_FIELD_LABOR_HOURS)&gt;TEMP_HOURS_CAP),"",$C275+AB$6-MIN(($D275+AB$5),PERMANENT_FIELD_LABOR_HOURS)*PERMANENT_HOURLY_RATE-MAX(0,($D275+AB$5)-PERMANENT_FIELD_LABOR_HOURS)*TEMP_HOURLY_RATE-FIXED_SEASON_COST)</f>
        <v>34651.5668692173</v>
      </c>
      <c r="AC275" s="53" t="n">
        <f aca="false">IF(OR($A275&gt;TOMATO_BED_CAP,$B275&gt;CARROT_BED_CAP,AC$4&gt;MESCLUN_BED_CAP,$A275+$B275+AC$4&gt;TOTAL_BEDS_AVAILABLE,($D275+AC$5)&gt;TOTAL_LABOR_HOURS_CAP,MAX(0,($D275+AC$5)-PERMANENT_FIELD_LABOR_HOURS)&gt;TEMP_HOURS_CAP),"",$C275+AC$6-MIN(($D275+AC$5),PERMANENT_FIELD_LABOR_HOURS)*PERMANENT_HOURLY_RATE-MAX(0,($D275+AC$5)-PERMANENT_FIELD_LABOR_HOURS)*TEMP_HOURLY_RATE-FIXED_SEASON_COST)</f>
        <v>35149.6620866522</v>
      </c>
      <c r="AD275" s="53" t="n">
        <f aca="false">IF(OR($A275&gt;TOMATO_BED_CAP,$B275&gt;CARROT_BED_CAP,AD$4&gt;MESCLUN_BED_CAP,$A275+$B275+AD$4&gt;TOTAL_BEDS_AVAILABLE,($D275+AD$5)&gt;TOTAL_LABOR_HOURS_CAP,MAX(0,($D275+AD$5)-PERMANENT_FIELD_LABOR_HOURS)&gt;TEMP_HOURS_CAP),"",$C275+AD$6-MIN(($D275+AD$5),PERMANENT_FIELD_LABOR_HOURS)*PERMANENT_HOURLY_RATE-MAX(0,($D275+AD$5)-PERMANENT_FIELD_LABOR_HOURS)*TEMP_HOURLY_RATE-FIXED_SEASON_COST)</f>
        <v>35618.2390419521</v>
      </c>
      <c r="AE275" s="53" t="n">
        <f aca="false">IF(OR($A275&gt;TOMATO_BED_CAP,$B275&gt;CARROT_BED_CAP,AE$4&gt;MESCLUN_BED_CAP,$A275+$B275+AE$4&gt;TOTAL_BEDS_AVAILABLE,($D275+AE$5)&gt;TOTAL_LABOR_HOURS_CAP,MAX(0,($D275+AE$5)-PERMANENT_FIELD_LABOR_HOURS)&gt;TEMP_HOURS_CAP),"",$C275+AE$6-MIN(($D275+AE$5),PERMANENT_FIELD_LABOR_HOURS)*PERMANENT_HOURLY_RATE-MAX(0,($D275+AE$5)-PERMANENT_FIELD_LABOR_HOURS)*TEMP_HOURLY_RATE-FIXED_SEASON_COST)</f>
        <v>36056.766326186</v>
      </c>
      <c r="AF275" s="53" t="n">
        <f aca="false">IF(OR($A275&gt;TOMATO_BED_CAP,$B275&gt;CARROT_BED_CAP,AF$4&gt;MESCLUN_BED_CAP,$A275+$B275+AF$4&gt;TOTAL_BEDS_AVAILABLE,($D275+AF$5)&gt;TOTAL_LABOR_HOURS_CAP,MAX(0,($D275+AF$5)-PERMANENT_FIELD_LABOR_HOURS)&gt;TEMP_HOURS_CAP),"",$C275+AF$6-MIN(($D275+AF$5),PERMANENT_FIELD_LABOR_HOURS)*PERMANENT_HOURLY_RATE-MAX(0,($D275+AF$5)-PERMANENT_FIELD_LABOR_HOURS)*TEMP_HOURLY_RATE-FIXED_SEASON_COST)</f>
        <v>36464.703857428</v>
      </c>
      <c r="AG275" s="53" t="n">
        <f aca="false">IF(OR($A275&gt;TOMATO_BED_CAP,$B275&gt;CARROT_BED_CAP,AG$4&gt;MESCLUN_BED_CAP,$A275+$B275+AG$4&gt;TOTAL_BEDS_AVAILABLE,($D275+AG$5)&gt;TOTAL_LABOR_HOURS_CAP,MAX(0,($D275+AG$5)-PERMANENT_FIELD_LABOR_HOURS)&gt;TEMP_HOURS_CAP),"",$C275+AG$6-MIN(($D275+AG$5),PERMANENT_FIELD_LABOR_HOURS)*PERMANENT_HOURLY_RATE-MAX(0,($D275+AG$5)-PERMANENT_FIELD_LABOR_HOURS)*TEMP_HOURLY_RATE-FIXED_SEASON_COST)</f>
        <v>36841.502746965</v>
      </c>
      <c r="AH275" s="53" t="n">
        <f aca="false">IF(OR($A275&gt;TOMATO_BED_CAP,$B275&gt;CARROT_BED_CAP,AH$4&gt;MESCLUN_BED_CAP,$A275+$B275+AH$4&gt;TOTAL_BEDS_AVAILABLE,($D275+AH$5)&gt;TOTAL_LABOR_HOURS_CAP,MAX(0,($D275+AH$5)-PERMANENT_FIELD_LABOR_HOURS)&gt;TEMP_HOURS_CAP),"",$C275+AH$6-MIN(($D275+AH$5),PERMANENT_FIELD_LABOR_HOURS)*PERMANENT_HOURLY_RATE-MAX(0,($D275+AH$5)-PERMANENT_FIELD_LABOR_HOURS)*TEMP_HOURLY_RATE-FIXED_SEASON_COST)</f>
        <v>37186.6051635152</v>
      </c>
      <c r="AI275" s="53" t="n">
        <f aca="false">IF(OR($A275&gt;TOMATO_BED_CAP,$B275&gt;CARROT_BED_CAP,AI$4&gt;MESCLUN_BED_CAP,$A275+$B275+AI$4&gt;TOTAL_BEDS_AVAILABLE,($D275+AI$5)&gt;TOTAL_LABOR_HOURS_CAP,MAX(0,($D275+AI$5)-PERMANENT_FIELD_LABOR_HOURS)&gt;TEMP_HOURS_CAP),"",$C275+AI$6-MIN(($D275+AI$5),PERMANENT_FIELD_LABOR_HOURS)*PERMANENT_HOURLY_RATE-MAX(0,($D275+AI$5)-PERMANENT_FIELD_LABOR_HOURS)*TEMP_HOURLY_RATE-FIXED_SEASON_COST)</f>
        <v>37499.4441954275</v>
      </c>
      <c r="AJ275" s="53" t="n">
        <f aca="false">IF(OR($A275&gt;TOMATO_BED_CAP,$B275&gt;CARROT_BED_CAP,AJ$4&gt;MESCLUN_BED_CAP,$A275+$B275+AJ$4&gt;TOTAL_BEDS_AVAILABLE,($D275+AJ$5)&gt;TOTAL_LABOR_HOURS_CAP,MAX(0,($D275+AJ$5)-PERMANENT_FIELD_LABOR_HOURS)&gt;TEMP_HOURS_CAP),"",$C275+AJ$6-MIN(($D275+AJ$5),PERMANENT_FIELD_LABOR_HOURS)*PERMANENT_HOURLY_RATE-MAX(0,($D275+AJ$5)-PERMANENT_FIELD_LABOR_HOURS)*TEMP_HOURLY_RATE-FIXED_SEASON_COST)</f>
        <v>37779.4437108333</v>
      </c>
    </row>
    <row r="276" customFormat="false" ht="15" hidden="false" customHeight="false" outlineLevel="0" collapsed="false">
      <c r="A276" s="21" t="n">
        <f aca="false">INT((ROW()-ROW($A$8))/(20+1))</f>
        <v>12</v>
      </c>
      <c r="B276" s="21" t="n">
        <f aca="false">MOD(ROW()-ROW($A$8),20+1)</f>
        <v>16</v>
      </c>
      <c r="C276" s="13" t="n">
        <f aca="false">A276*(TOMATO_REVENUE_PER_BED-TOMATO_FERTILIZER_PER_BED)+B276*(CARROT_REVENUE_PER_BED-CARROT_FERTILIZER_PER_BED)</f>
        <v>121504</v>
      </c>
      <c r="D276" s="14" t="n">
        <f aca="false">INDEX(TOMATO_SCHED_LABOR_HRS,A276+1)+INDEX(CARROT_SCHED_LABOR_HRS,B276+1)</f>
        <v>4101.78031969659</v>
      </c>
      <c r="E276" s="13" t="n">
        <f aca="false">IF(COUNT(F276:AJ276)=0,"",MAX(F276:AJ276))</f>
        <v>38377.8829449398</v>
      </c>
      <c r="F276" s="53" t="n">
        <f aca="false">IF(OR($A276&gt;TOMATO_BED_CAP,$B276&gt;CARROT_BED_CAP,F$4&gt;MESCLUN_BED_CAP,$A276+$B276+F$4&gt;TOTAL_BEDS_AVAILABLE,($D276+F$5)&gt;TOTAL_LABOR_HOURS_CAP,MAX(0,($D276+F$5)-PERMANENT_FIELD_LABOR_HOURS)&gt;TEMP_HOURS_CAP),"",$C276+F$6-MIN(($D276+F$5),PERMANENT_FIELD_LABOR_HOURS)*PERMANENT_HOURLY_RATE-MAX(0,($D276+F$5)-PERMANENT_FIELD_LABOR_HOURS)*TEMP_HOURLY_RATE-FIXED_SEASON_COST)</f>
        <v>17797.8936500673</v>
      </c>
      <c r="G276" s="53" t="n">
        <f aca="false">IF(OR($A276&gt;TOMATO_BED_CAP,$B276&gt;CARROT_BED_CAP,G$4&gt;MESCLUN_BED_CAP,$A276+$B276+G$4&gt;TOTAL_BEDS_AVAILABLE,($D276+G$5)&gt;TOTAL_LABOR_HOURS_CAP,MAX(0,($D276+G$5)-PERMANENT_FIELD_LABOR_HOURS)&gt;TEMP_HOURS_CAP),"",$C276+G$6-MIN(($D276+G$5),PERMANENT_FIELD_LABOR_HOURS)*PERMANENT_HOURLY_RATE-MAX(0,($D276+G$5)-PERMANENT_FIELD_LABOR_HOURS)*TEMP_HOURLY_RATE-FIXED_SEASON_COST)</f>
        <v>18826.9286500673</v>
      </c>
      <c r="H276" s="53" t="n">
        <f aca="false">IF(OR($A276&gt;TOMATO_BED_CAP,$B276&gt;CARROT_BED_CAP,H$4&gt;MESCLUN_BED_CAP,$A276+$B276+H$4&gt;TOTAL_BEDS_AVAILABLE,($D276+H$5)&gt;TOTAL_LABOR_HOURS_CAP,MAX(0,($D276+H$5)-PERMANENT_FIELD_LABOR_HOURS)&gt;TEMP_HOURS_CAP),"",$C276+H$6-MIN(($D276+H$5),PERMANENT_FIELD_LABOR_HOURS)*PERMANENT_HOURLY_RATE-MAX(0,($D276+H$5)-PERMANENT_FIELD_LABOR_HOURS)*TEMP_HOURLY_RATE-FIXED_SEASON_COST)</f>
        <v>19836.1895250673</v>
      </c>
      <c r="I276" s="53" t="n">
        <f aca="false">IF(OR($A276&gt;TOMATO_BED_CAP,$B276&gt;CARROT_BED_CAP,I$4&gt;MESCLUN_BED_CAP,$A276+$B276+I$4&gt;TOTAL_BEDS_AVAILABLE,($D276+I$5)&gt;TOTAL_LABOR_HOURS_CAP,MAX(0,($D276+I$5)-PERMANENT_FIELD_LABOR_HOURS)&gt;TEMP_HOURS_CAP),"",$C276+I$6-MIN(($D276+I$5),PERMANENT_FIELD_LABOR_HOURS)*PERMANENT_HOURLY_RATE-MAX(0,($D276+I$5)-PERMANENT_FIELD_LABOR_HOURS)*TEMP_HOURLY_RATE-FIXED_SEASON_COST)</f>
        <v>20825.3055102235</v>
      </c>
      <c r="J276" s="53" t="n">
        <f aca="false">IF(OR($A276&gt;TOMATO_BED_CAP,$B276&gt;CARROT_BED_CAP,J$4&gt;MESCLUN_BED_CAP,$A276+$B276+J$4&gt;TOTAL_BEDS_AVAILABLE,($D276+J$5)&gt;TOTAL_LABOR_HOURS_CAP,MAX(0,($D276+J$5)-PERMANENT_FIELD_LABOR_HOURS)&gt;TEMP_HOURS_CAP),"",$C276+J$6-MIN(($D276+J$5),PERMANENT_FIELD_LABOR_HOURS)*PERMANENT_HOURLY_RATE-MAX(0,($D276+J$5)-PERMANENT_FIELD_LABOR_HOURS)*TEMP_HOURLY_RATE-FIXED_SEASON_COST)</f>
        <v>21793.8996612782</v>
      </c>
      <c r="K276" s="53" t="n">
        <f aca="false">IF(OR($A276&gt;TOMATO_BED_CAP,$B276&gt;CARROT_BED_CAP,K$4&gt;MESCLUN_BED_CAP,$A276+$B276+K$4&gt;TOTAL_BEDS_AVAILABLE,($D276+K$5)&gt;TOTAL_LABOR_HOURS_CAP,MAX(0,($D276+K$5)-PERMANENT_FIELD_LABOR_HOURS)&gt;TEMP_HOURS_CAP),"",$C276+K$6-MIN(($D276+K$5),PERMANENT_FIELD_LABOR_HOURS)*PERMANENT_HOURLY_RATE-MAX(0,($D276+K$5)-PERMANENT_FIELD_LABOR_HOURS)*TEMP_HOURLY_RATE-FIXED_SEASON_COST)</f>
        <v>22741.5887580061</v>
      </c>
      <c r="L276" s="53" t="n">
        <f aca="false">IF(OR($A276&gt;TOMATO_BED_CAP,$B276&gt;CARROT_BED_CAP,L$4&gt;MESCLUN_BED_CAP,$A276+$B276+L$4&gt;TOTAL_BEDS_AVAILABLE,($D276+L$5)&gt;TOTAL_LABOR_HOURS_CAP,MAX(0,($D276+L$5)-PERMANENT_FIELD_LABOR_HOURS)&gt;TEMP_HOURS_CAP),"",$C276+L$6-MIN(($D276+L$5),PERMANENT_FIELD_LABOR_HOURS)*PERMANENT_HOURLY_RATE-MAX(0,($D276+L$5)-PERMANENT_FIELD_LABOR_HOURS)*TEMP_HOURLY_RATE-FIXED_SEASON_COST)</f>
        <v>23667.983206213</v>
      </c>
      <c r="M276" s="53" t="n">
        <f aca="false">IF(OR($A276&gt;TOMATO_BED_CAP,$B276&gt;CARROT_BED_CAP,M$4&gt;MESCLUN_BED_CAP,$A276+$B276+M$4&gt;TOTAL_BEDS_AVAILABLE,($D276+M$5)&gt;TOTAL_LABOR_HOURS_CAP,MAX(0,($D276+M$5)-PERMANENT_FIELD_LABOR_HOURS)&gt;TEMP_HOURS_CAP),"",$C276+M$6-MIN(($D276+M$5),PERMANENT_FIELD_LABOR_HOURS)*PERMANENT_HOURLY_RATE-MAX(0,($D276+M$5)-PERMANENT_FIELD_LABOR_HOURS)*TEMP_HOURLY_RATE-FIXED_SEASON_COST)</f>
        <v>24572.6869382644</v>
      </c>
      <c r="N276" s="53" t="n">
        <f aca="false">IF(OR($A276&gt;TOMATO_BED_CAP,$B276&gt;CARROT_BED_CAP,N$4&gt;MESCLUN_BED_CAP,$A276+$B276+N$4&gt;TOTAL_BEDS_AVAILABLE,($D276+N$5)&gt;TOTAL_LABOR_HOURS_CAP,MAX(0,($D276+N$5)-PERMANENT_FIELD_LABOR_HOURS)&gt;TEMP_HOURS_CAP),"",$C276+N$6-MIN(($D276+N$5),PERMANENT_FIELD_LABOR_HOURS)*PERMANENT_HOURLY_RATE-MAX(0,($D276+N$5)-PERMANENT_FIELD_LABOR_HOURS)*TEMP_HOURLY_RATE-FIXED_SEASON_COST)</f>
        <v>25455.2973121239</v>
      </c>
      <c r="O276" s="53" t="n">
        <f aca="false">IF(OR($A276&gt;TOMATO_BED_CAP,$B276&gt;CARROT_BED_CAP,O$4&gt;MESCLUN_BED_CAP,$A276+$B276+O$4&gt;TOTAL_BEDS_AVAILABLE,($D276+O$5)&gt;TOTAL_LABOR_HOURS_CAP,MAX(0,($D276+O$5)-PERMANENT_FIELD_LABOR_HOURS)&gt;TEMP_HOURS_CAP),"",$C276+O$6-MIN(($D276+O$5),PERMANENT_FIELD_LABOR_HOURS)*PERMANENT_HOURLY_RATE-MAX(0,($D276+O$5)-PERMANENT_FIELD_LABOR_HOURS)*TEMP_HOURLY_RATE-FIXED_SEASON_COST)</f>
        <v>26315.4050088786</v>
      </c>
      <c r="P276" s="53" t="n">
        <f aca="false">IF(OR($A276&gt;TOMATO_BED_CAP,$B276&gt;CARROT_BED_CAP,P$4&gt;MESCLUN_BED_CAP,$A276+$B276+P$4&gt;TOTAL_BEDS_AVAILABLE,($D276+P$5)&gt;TOTAL_LABOR_HOURS_CAP,MAX(0,($D276+P$5)-PERMANENT_FIELD_LABOR_HOURS)&gt;TEMP_HOURS_CAP),"",$C276+P$6-MIN(($D276+P$5),PERMANENT_FIELD_LABOR_HOURS)*PERMANENT_HOURLY_RATE-MAX(0,($D276+P$5)-PERMANENT_FIELD_LABOR_HOURS)*TEMP_HOURLY_RATE-FIXED_SEASON_COST)</f>
        <v>27152.5939287301</v>
      </c>
      <c r="Q276" s="53" t="n">
        <f aca="false">IF(OR($A276&gt;TOMATO_BED_CAP,$B276&gt;CARROT_BED_CAP,Q$4&gt;MESCLUN_BED_CAP,$A276+$B276+Q$4&gt;TOTAL_BEDS_AVAILABLE,($D276+Q$5)&gt;TOTAL_LABOR_HOURS_CAP,MAX(0,($D276+Q$5)-PERMANENT_FIELD_LABOR_HOURS)&gt;TEMP_HOURS_CAP),"",$C276+Q$6-MIN(($D276+Q$5),PERMANENT_FIELD_LABOR_HOURS)*PERMANENT_HOURLY_RATE-MAX(0,($D276+Q$5)-PERMANENT_FIELD_LABOR_HOURS)*TEMP_HOURLY_RATE-FIXED_SEASON_COST)</f>
        <v>27966.441085428</v>
      </c>
      <c r="R276" s="53" t="n">
        <f aca="false">IF(OR($A276&gt;TOMATO_BED_CAP,$B276&gt;CARROT_BED_CAP,R$4&gt;MESCLUN_BED_CAP,$A276+$B276+R$4&gt;TOTAL_BEDS_AVAILABLE,($D276+R$5)&gt;TOTAL_LABOR_HOURS_CAP,MAX(0,($D276+R$5)-PERMANENT_FIELD_LABOR_HOURS)&gt;TEMP_HOURS_CAP),"",$C276+R$6-MIN(($D276+R$5),PERMANENT_FIELD_LABOR_HOURS)*PERMANENT_HOURLY_RATE-MAX(0,($D276+R$5)-PERMANENT_FIELD_LABOR_HOURS)*TEMP_HOURLY_RATE-FIXED_SEASON_COST)</f>
        <v>28756.5164991248</v>
      </c>
      <c r="S276" s="53" t="n">
        <f aca="false">IF(OR($A276&gt;TOMATO_BED_CAP,$B276&gt;CARROT_BED_CAP,S$4&gt;MESCLUN_BED_CAP,$A276+$B276+S$4&gt;TOTAL_BEDS_AVAILABLE,($D276+S$5)&gt;TOTAL_LABOR_HOURS_CAP,MAX(0,($D276+S$5)-PERMANENT_FIELD_LABOR_HOURS)&gt;TEMP_HOURS_CAP),"",$C276+S$6-MIN(($D276+S$5),PERMANENT_FIELD_LABOR_HOURS)*PERMANENT_HOURLY_RATE-MAX(0,($D276+S$5)-PERMANENT_FIELD_LABOR_HOURS)*TEMP_HOURLY_RATE-FIXED_SEASON_COST)</f>
        <v>29522.3830876272</v>
      </c>
      <c r="T276" s="53" t="n">
        <f aca="false">IF(OR($A276&gt;TOMATO_BED_CAP,$B276&gt;CARROT_BED_CAP,T$4&gt;MESCLUN_BED_CAP,$A276+$B276+T$4&gt;TOTAL_BEDS_AVAILABLE,($D276+T$5)&gt;TOTAL_LABOR_HOURS_CAP,MAX(0,($D276+T$5)-PERMANENT_FIELD_LABOR_HOURS)&gt;TEMP_HOURS_CAP),"",$C276+T$6-MIN(($D276+T$5),PERMANENT_FIELD_LABOR_HOURS)*PERMANENT_HOURLY_RATE-MAX(0,($D276+T$5)-PERMANENT_FIELD_LABOR_HOURS)*TEMP_HOURLY_RATE-FIXED_SEASON_COST)</f>
        <v>30263.5965560221</v>
      </c>
      <c r="U276" s="53" t="n">
        <f aca="false">IF(OR($A276&gt;TOMATO_BED_CAP,$B276&gt;CARROT_BED_CAP,U$4&gt;MESCLUN_BED_CAP,$A276+$B276+U$4&gt;TOTAL_BEDS_AVAILABLE,($D276+U$5)&gt;TOTAL_LABOR_HOURS_CAP,MAX(0,($D276+U$5)-PERMANENT_FIELD_LABOR_HOURS)&gt;TEMP_HOURS_CAP),"",$C276+U$6-MIN(($D276+U$5),PERMANENT_FIELD_LABOR_HOURS)*PERMANENT_HOURLY_RATE-MAX(0,($D276+U$5)-PERMANENT_FIELD_LABOR_HOURS)*TEMP_HOURLY_RATE-FIXED_SEASON_COST)</f>
        <v>30979.7052846522</v>
      </c>
      <c r="V276" s="53" t="n">
        <f aca="false">IF(OR($A276&gt;TOMATO_BED_CAP,$B276&gt;CARROT_BED_CAP,V$4&gt;MESCLUN_BED_CAP,$A276+$B276+V$4&gt;TOTAL_BEDS_AVAILABLE,($D276+V$5)&gt;TOTAL_LABOR_HOURS_CAP,MAX(0,($D276+V$5)-PERMANENT_FIELD_LABOR_HOURS)&gt;TEMP_HOURS_CAP),"",$C276+V$6-MIN(($D276+V$5),PERMANENT_FIELD_LABOR_HOURS)*PERMANENT_HOURLY_RATE-MAX(0,($D276+V$5)-PERMANENT_FIELD_LABOR_HOURS)*TEMP_HOURLY_RATE-FIXED_SEASON_COST)</f>
        <v>31670.250215419</v>
      </c>
      <c r="W276" s="53" t="n">
        <f aca="false">IF(OR($A276&gt;TOMATO_BED_CAP,$B276&gt;CARROT_BED_CAP,W$4&gt;MESCLUN_BED_CAP,$A276+$B276+W$4&gt;TOTAL_BEDS_AVAILABLE,($D276+W$5)&gt;TOTAL_LABOR_HOURS_CAP,MAX(0,($D276+W$5)-PERMANENT_FIELD_LABOR_HOURS)&gt;TEMP_HOURS_CAP),"",$C276+W$6-MIN(($D276+W$5),PERMANENT_FIELD_LABOR_HOURS)*PERMANENT_HOURLY_RATE-MAX(0,($D276+W$5)-PERMANENT_FIELD_LABOR_HOURS)*TEMP_HOURLY_RATE-FIXED_SEASON_COST)</f>
        <v>32334.764736387</v>
      </c>
      <c r="X276" s="53" t="n">
        <f aca="false">IF(OR($A276&gt;TOMATO_BED_CAP,$B276&gt;CARROT_BED_CAP,X$4&gt;MESCLUN_BED_CAP,$A276+$B276+X$4&gt;TOTAL_BEDS_AVAILABLE,($D276+X$5)&gt;TOTAL_LABOR_HOURS_CAP,MAX(0,($D276+X$5)-PERMANENT_FIELD_LABOR_HOURS)&gt;TEMP_HOURS_CAP),"",$C276+X$6-MIN(($D276+X$5),PERMANENT_FIELD_LABOR_HOURS)*PERMANENT_HOURLY_RATE-MAX(0,($D276+X$5)-PERMANENT_FIELD_LABOR_HOURS)*TEMP_HOURLY_RATE-FIXED_SEASON_COST)</f>
        <v>32972.774564666</v>
      </c>
      <c r="Y276" s="53" t="n">
        <f aca="false">IF(OR($A276&gt;TOMATO_BED_CAP,$B276&gt;CARROT_BED_CAP,Y$4&gt;MESCLUN_BED_CAP,$A276+$B276+Y$4&gt;TOTAL_BEDS_AVAILABLE,($D276+Y$5)&gt;TOTAL_LABOR_HOURS_CAP,MAX(0,($D276+Y$5)-PERMANENT_FIELD_LABOR_HOURS)&gt;TEMP_HOURS_CAP),"",$C276+Y$6-MIN(($D276+Y$5),PERMANENT_FIELD_LABOR_HOURS)*PERMANENT_HOURLY_RATE-MAX(0,($D276+Y$5)-PERMANENT_FIELD_LABOR_HOURS)*TEMP_HOURLY_RATE-FIXED_SEASON_COST)</f>
        <v>33583.7976275446</v>
      </c>
      <c r="Z276" s="53" t="n">
        <f aca="false">IF(OR($A276&gt;TOMATO_BED_CAP,$B276&gt;CARROT_BED_CAP,Z$4&gt;MESCLUN_BED_CAP,$A276+$B276+Z$4&gt;TOTAL_BEDS_AVAILABLE,($D276+Z$5)&gt;TOTAL_LABOR_HOURS_CAP,MAX(0,($D276+Z$5)-PERMANENT_FIELD_LABOR_HOURS)&gt;TEMP_HOURS_CAP),"",$C276+Z$6-MIN(($D276+Z$5),PERMANENT_FIELD_LABOR_HOURS)*PERMANENT_HOURLY_RATE-MAX(0,($D276+Z$5)-PERMANENT_FIELD_LABOR_HOURS)*TEMP_HOURLY_RATE-FIXED_SEASON_COST)</f>
        <v>34167.3439418523</v>
      </c>
      <c r="AA276" s="53" t="n">
        <f aca="false">IF(OR($A276&gt;TOMATO_BED_CAP,$B276&gt;CARROT_BED_CAP,AA$4&gt;MESCLUN_BED_CAP,$A276+$B276+AA$4&gt;TOTAL_BEDS_AVAILABLE,($D276+AA$5)&gt;TOTAL_LABOR_HOURS_CAP,MAX(0,($D276+AA$5)-PERMANENT_FIELD_LABOR_HOURS)&gt;TEMP_HOURS_CAP),"",$C276+AA$6-MIN(($D276+AA$5),PERMANENT_FIELD_LABOR_HOURS)*PERMANENT_HOURLY_RATE-MAX(0,($D276+AA$5)-PERMANENT_FIELD_LABOR_HOURS)*TEMP_HOURLY_RATE-FIXED_SEASON_COST)</f>
        <v>34722.9154915213</v>
      </c>
      <c r="AB276" s="53" t="n">
        <f aca="false">IF(OR($A276&gt;TOMATO_BED_CAP,$B276&gt;CARROT_BED_CAP,AB$4&gt;MESCLUN_BED_CAP,$A276+$B276+AB$4&gt;TOTAL_BEDS_AVAILABLE,($D276+AB$5)&gt;TOTAL_LABOR_HOURS_CAP,MAX(0,($D276+AB$5)-PERMANENT_FIELD_LABOR_HOURS)&gt;TEMP_HOURS_CAP),"",$C276+AB$6-MIN(($D276+AB$5),PERMANENT_FIELD_LABOR_HOURS)*PERMANENT_HOURLY_RATE-MAX(0,($D276+AB$5)-PERMANENT_FIELD_LABOR_HOURS)*TEMP_HOURLY_RATE-FIXED_SEASON_COST)</f>
        <v>35250.0061033238</v>
      </c>
      <c r="AC276" s="53" t="n">
        <f aca="false">IF(OR($A276&gt;TOMATO_BED_CAP,$B276&gt;CARROT_BED_CAP,AC$4&gt;MESCLUN_BED_CAP,$A276+$B276+AC$4&gt;TOTAL_BEDS_AVAILABLE,($D276+AC$5)&gt;TOTAL_LABOR_HOURS_CAP,MAX(0,($D276+AC$5)-PERMANENT_FIELD_LABOR_HOURS)&gt;TEMP_HOURS_CAP),"",$C276+AC$6-MIN(($D276+AC$5),PERMANENT_FIELD_LABOR_HOURS)*PERMANENT_HOURLY_RATE-MAX(0,($D276+AC$5)-PERMANENT_FIELD_LABOR_HOURS)*TEMP_HOURLY_RATE-FIXED_SEASON_COST)</f>
        <v>35748.1013207587</v>
      </c>
      <c r="AD276" s="53" t="n">
        <f aca="false">IF(OR($A276&gt;TOMATO_BED_CAP,$B276&gt;CARROT_BED_CAP,AD$4&gt;MESCLUN_BED_CAP,$A276+$B276+AD$4&gt;TOTAL_BEDS_AVAILABLE,($D276+AD$5)&gt;TOTAL_LABOR_HOURS_CAP,MAX(0,($D276+AD$5)-PERMANENT_FIELD_LABOR_HOURS)&gt;TEMP_HOURS_CAP),"",$C276+AD$6-MIN(($D276+AD$5),PERMANENT_FIELD_LABOR_HOURS)*PERMANENT_HOURLY_RATE-MAX(0,($D276+AD$5)-PERMANENT_FIELD_LABOR_HOURS)*TEMP_HOURLY_RATE-FIXED_SEASON_COST)</f>
        <v>36216.6782760587</v>
      </c>
      <c r="AE276" s="53" t="n">
        <f aca="false">IF(OR($A276&gt;TOMATO_BED_CAP,$B276&gt;CARROT_BED_CAP,AE$4&gt;MESCLUN_BED_CAP,$A276+$B276+AE$4&gt;TOTAL_BEDS_AVAILABLE,($D276+AE$5)&gt;TOTAL_LABOR_HOURS_CAP,MAX(0,($D276+AE$5)-PERMANENT_FIELD_LABOR_HOURS)&gt;TEMP_HOURS_CAP),"",$C276+AE$6-MIN(($D276+AE$5),PERMANENT_FIELD_LABOR_HOURS)*PERMANENT_HOURLY_RATE-MAX(0,($D276+AE$5)-PERMANENT_FIELD_LABOR_HOURS)*TEMP_HOURLY_RATE-FIXED_SEASON_COST)</f>
        <v>36655.2055602926</v>
      </c>
      <c r="AF276" s="53" t="n">
        <f aca="false">IF(OR($A276&gt;TOMATO_BED_CAP,$B276&gt;CARROT_BED_CAP,AF$4&gt;MESCLUN_BED_CAP,$A276+$B276+AF$4&gt;TOTAL_BEDS_AVAILABLE,($D276+AF$5)&gt;TOTAL_LABOR_HOURS_CAP,MAX(0,($D276+AF$5)-PERMANENT_FIELD_LABOR_HOURS)&gt;TEMP_HOURS_CAP),"",$C276+AF$6-MIN(($D276+AF$5),PERMANENT_FIELD_LABOR_HOURS)*PERMANENT_HOURLY_RATE-MAX(0,($D276+AF$5)-PERMANENT_FIELD_LABOR_HOURS)*TEMP_HOURLY_RATE-FIXED_SEASON_COST)</f>
        <v>37063.1430915346</v>
      </c>
      <c r="AG276" s="53" t="n">
        <f aca="false">IF(OR($A276&gt;TOMATO_BED_CAP,$B276&gt;CARROT_BED_CAP,AG$4&gt;MESCLUN_BED_CAP,$A276+$B276+AG$4&gt;TOTAL_BEDS_AVAILABLE,($D276+AG$5)&gt;TOTAL_LABOR_HOURS_CAP,MAX(0,($D276+AG$5)-PERMANENT_FIELD_LABOR_HOURS)&gt;TEMP_HOURS_CAP),"",$C276+AG$6-MIN(($D276+AG$5),PERMANENT_FIELD_LABOR_HOURS)*PERMANENT_HOURLY_RATE-MAX(0,($D276+AG$5)-PERMANENT_FIELD_LABOR_HOURS)*TEMP_HOURLY_RATE-FIXED_SEASON_COST)</f>
        <v>37439.9419810716</v>
      </c>
      <c r="AH276" s="53" t="n">
        <f aca="false">IF(OR($A276&gt;TOMATO_BED_CAP,$B276&gt;CARROT_BED_CAP,AH$4&gt;MESCLUN_BED_CAP,$A276+$B276+AH$4&gt;TOTAL_BEDS_AVAILABLE,($D276+AH$5)&gt;TOTAL_LABOR_HOURS_CAP,MAX(0,($D276+AH$5)-PERMANENT_FIELD_LABOR_HOURS)&gt;TEMP_HOURS_CAP),"",$C276+AH$6-MIN(($D276+AH$5),PERMANENT_FIELD_LABOR_HOURS)*PERMANENT_HOURLY_RATE-MAX(0,($D276+AH$5)-PERMANENT_FIELD_LABOR_HOURS)*TEMP_HOURLY_RATE-FIXED_SEASON_COST)</f>
        <v>37785.0443976218</v>
      </c>
      <c r="AI276" s="53" t="n">
        <f aca="false">IF(OR($A276&gt;TOMATO_BED_CAP,$B276&gt;CARROT_BED_CAP,AI$4&gt;MESCLUN_BED_CAP,$A276+$B276+AI$4&gt;TOTAL_BEDS_AVAILABLE,($D276+AI$5)&gt;TOTAL_LABOR_HOURS_CAP,MAX(0,($D276+AI$5)-PERMANENT_FIELD_LABOR_HOURS)&gt;TEMP_HOURS_CAP),"",$C276+AI$6-MIN(($D276+AI$5),PERMANENT_FIELD_LABOR_HOURS)*PERMANENT_HOURLY_RATE-MAX(0,($D276+AI$5)-PERMANENT_FIELD_LABOR_HOURS)*TEMP_HOURLY_RATE-FIXED_SEASON_COST)</f>
        <v>38097.8834295341</v>
      </c>
      <c r="AJ276" s="53" t="n">
        <f aca="false">IF(OR($A276&gt;TOMATO_BED_CAP,$B276&gt;CARROT_BED_CAP,AJ$4&gt;MESCLUN_BED_CAP,$A276+$B276+AJ$4&gt;TOTAL_BEDS_AVAILABLE,($D276+AJ$5)&gt;TOTAL_LABOR_HOURS_CAP,MAX(0,($D276+AJ$5)-PERMANENT_FIELD_LABOR_HOURS)&gt;TEMP_HOURS_CAP),"",$C276+AJ$6-MIN(($D276+AJ$5),PERMANENT_FIELD_LABOR_HOURS)*PERMANENT_HOURLY_RATE-MAX(0,($D276+AJ$5)-PERMANENT_FIELD_LABOR_HOURS)*TEMP_HOURLY_RATE-FIXED_SEASON_COST)</f>
        <v>38377.8829449398</v>
      </c>
    </row>
    <row r="277" customFormat="false" ht="15" hidden="false" customHeight="false" outlineLevel="0" collapsed="false">
      <c r="A277" s="21" t="n">
        <f aca="false">INT((ROW()-ROW($A$8))/(20+1))</f>
        <v>12</v>
      </c>
      <c r="B277" s="21" t="n">
        <f aca="false">MOD(ROW()-ROW($A$8),20+1)</f>
        <v>17</v>
      </c>
      <c r="C277" s="13" t="n">
        <f aca="false">A277*(TOMATO_REVENUE_PER_BED-TOMATO_FERTILIZER_PER_BED)+B277*(CARROT_REVENUE_PER_BED-CARROT_FERTILIZER_PER_BED)</f>
        <v>123158</v>
      </c>
      <c r="D277" s="14" t="n">
        <f aca="false">INDEX(TOMATO_SCHED_LABOR_HRS,A277+1)+INDEX(CARROT_SCHED_LABOR_HRS,B277+1)</f>
        <v>4165.21754993371</v>
      </c>
      <c r="E277" s="13" t="n">
        <f aca="false">IF(COUNT(F277:AJ277)=0,"",MAX(F277:AJ277))</f>
        <v>38930.6126280233</v>
      </c>
      <c r="F277" s="53" t="n">
        <f aca="false">IF(OR($A277&gt;TOMATO_BED_CAP,$B277&gt;CARROT_BED_CAP,F$4&gt;MESCLUN_BED_CAP,$A277+$B277+F$4&gt;TOTAL_BEDS_AVAILABLE,($D277+F$5)&gt;TOTAL_LABOR_HOURS_CAP,MAX(0,($D277+F$5)-PERMANENT_FIELD_LABOR_HOURS)&gt;TEMP_HOURS_CAP),"",$C277+F$6-MIN(($D277+F$5),PERMANENT_FIELD_LABOR_HOURS)*PERMANENT_HOURLY_RATE-MAX(0,($D277+F$5)-PERMANENT_FIELD_LABOR_HOURS)*TEMP_HOURLY_RATE-FIXED_SEASON_COST)</f>
        <v>18350.6233331508</v>
      </c>
      <c r="G277" s="53" t="n">
        <f aca="false">IF(OR($A277&gt;TOMATO_BED_CAP,$B277&gt;CARROT_BED_CAP,G$4&gt;MESCLUN_BED_CAP,$A277+$B277+G$4&gt;TOTAL_BEDS_AVAILABLE,($D277+G$5)&gt;TOTAL_LABOR_HOURS_CAP,MAX(0,($D277+G$5)-PERMANENT_FIELD_LABOR_HOURS)&gt;TEMP_HOURS_CAP),"",$C277+G$6-MIN(($D277+G$5),PERMANENT_FIELD_LABOR_HOURS)*PERMANENT_HOURLY_RATE-MAX(0,($D277+G$5)-PERMANENT_FIELD_LABOR_HOURS)*TEMP_HOURLY_RATE-FIXED_SEASON_COST)</f>
        <v>19379.6583331508</v>
      </c>
      <c r="H277" s="53" t="n">
        <f aca="false">IF(OR($A277&gt;TOMATO_BED_CAP,$B277&gt;CARROT_BED_CAP,H$4&gt;MESCLUN_BED_CAP,$A277+$B277+H$4&gt;TOTAL_BEDS_AVAILABLE,($D277+H$5)&gt;TOTAL_LABOR_HOURS_CAP,MAX(0,($D277+H$5)-PERMANENT_FIELD_LABOR_HOURS)&gt;TEMP_HOURS_CAP),"",$C277+H$6-MIN(($D277+H$5),PERMANENT_FIELD_LABOR_HOURS)*PERMANENT_HOURLY_RATE-MAX(0,($D277+H$5)-PERMANENT_FIELD_LABOR_HOURS)*TEMP_HOURLY_RATE-FIXED_SEASON_COST)</f>
        <v>20388.9192081508</v>
      </c>
      <c r="I277" s="53" t="n">
        <f aca="false">IF(OR($A277&gt;TOMATO_BED_CAP,$B277&gt;CARROT_BED_CAP,I$4&gt;MESCLUN_BED_CAP,$A277+$B277+I$4&gt;TOTAL_BEDS_AVAILABLE,($D277+I$5)&gt;TOTAL_LABOR_HOURS_CAP,MAX(0,($D277+I$5)-PERMANENT_FIELD_LABOR_HOURS)&gt;TEMP_HOURS_CAP),"",$C277+I$6-MIN(($D277+I$5),PERMANENT_FIELD_LABOR_HOURS)*PERMANENT_HOURLY_RATE-MAX(0,($D277+I$5)-PERMANENT_FIELD_LABOR_HOURS)*TEMP_HOURLY_RATE-FIXED_SEASON_COST)</f>
        <v>21378.035193307</v>
      </c>
      <c r="J277" s="53" t="n">
        <f aca="false">IF(OR($A277&gt;TOMATO_BED_CAP,$B277&gt;CARROT_BED_CAP,J$4&gt;MESCLUN_BED_CAP,$A277+$B277+J$4&gt;TOTAL_BEDS_AVAILABLE,($D277+J$5)&gt;TOTAL_LABOR_HOURS_CAP,MAX(0,($D277+J$5)-PERMANENT_FIELD_LABOR_HOURS)&gt;TEMP_HOURS_CAP),"",$C277+J$6-MIN(($D277+J$5),PERMANENT_FIELD_LABOR_HOURS)*PERMANENT_HOURLY_RATE-MAX(0,($D277+J$5)-PERMANENT_FIELD_LABOR_HOURS)*TEMP_HOURLY_RATE-FIXED_SEASON_COST)</f>
        <v>22346.6293443617</v>
      </c>
      <c r="K277" s="53" t="n">
        <f aca="false">IF(OR($A277&gt;TOMATO_BED_CAP,$B277&gt;CARROT_BED_CAP,K$4&gt;MESCLUN_BED_CAP,$A277+$B277+K$4&gt;TOTAL_BEDS_AVAILABLE,($D277+K$5)&gt;TOTAL_LABOR_HOURS_CAP,MAX(0,($D277+K$5)-PERMANENT_FIELD_LABOR_HOURS)&gt;TEMP_HOURS_CAP),"",$C277+K$6-MIN(($D277+K$5),PERMANENT_FIELD_LABOR_HOURS)*PERMANENT_HOURLY_RATE-MAX(0,($D277+K$5)-PERMANENT_FIELD_LABOR_HOURS)*TEMP_HOURLY_RATE-FIXED_SEASON_COST)</f>
        <v>23294.3184410896</v>
      </c>
      <c r="L277" s="53" t="n">
        <f aca="false">IF(OR($A277&gt;TOMATO_BED_CAP,$B277&gt;CARROT_BED_CAP,L$4&gt;MESCLUN_BED_CAP,$A277+$B277+L$4&gt;TOTAL_BEDS_AVAILABLE,($D277+L$5)&gt;TOTAL_LABOR_HOURS_CAP,MAX(0,($D277+L$5)-PERMANENT_FIELD_LABOR_HOURS)&gt;TEMP_HOURS_CAP),"",$C277+L$6-MIN(($D277+L$5),PERMANENT_FIELD_LABOR_HOURS)*PERMANENT_HOURLY_RATE-MAX(0,($D277+L$5)-PERMANENT_FIELD_LABOR_HOURS)*TEMP_HOURLY_RATE-FIXED_SEASON_COST)</f>
        <v>24220.7128892965</v>
      </c>
      <c r="M277" s="53" t="n">
        <f aca="false">IF(OR($A277&gt;TOMATO_BED_CAP,$B277&gt;CARROT_BED_CAP,M$4&gt;MESCLUN_BED_CAP,$A277+$B277+M$4&gt;TOTAL_BEDS_AVAILABLE,($D277+M$5)&gt;TOTAL_LABOR_HOURS_CAP,MAX(0,($D277+M$5)-PERMANENT_FIELD_LABOR_HOURS)&gt;TEMP_HOURS_CAP),"",$C277+M$6-MIN(($D277+M$5),PERMANENT_FIELD_LABOR_HOURS)*PERMANENT_HOURLY_RATE-MAX(0,($D277+M$5)-PERMANENT_FIELD_LABOR_HOURS)*TEMP_HOURLY_RATE-FIXED_SEASON_COST)</f>
        <v>25125.4166213479</v>
      </c>
      <c r="N277" s="53" t="n">
        <f aca="false">IF(OR($A277&gt;TOMATO_BED_CAP,$B277&gt;CARROT_BED_CAP,N$4&gt;MESCLUN_BED_CAP,$A277+$B277+N$4&gt;TOTAL_BEDS_AVAILABLE,($D277+N$5)&gt;TOTAL_LABOR_HOURS_CAP,MAX(0,($D277+N$5)-PERMANENT_FIELD_LABOR_HOURS)&gt;TEMP_HOURS_CAP),"",$C277+N$6-MIN(($D277+N$5),PERMANENT_FIELD_LABOR_HOURS)*PERMANENT_HOURLY_RATE-MAX(0,($D277+N$5)-PERMANENT_FIELD_LABOR_HOURS)*TEMP_HOURLY_RATE-FIXED_SEASON_COST)</f>
        <v>26008.0269952074</v>
      </c>
      <c r="O277" s="53" t="n">
        <f aca="false">IF(OR($A277&gt;TOMATO_BED_CAP,$B277&gt;CARROT_BED_CAP,O$4&gt;MESCLUN_BED_CAP,$A277+$B277+O$4&gt;TOTAL_BEDS_AVAILABLE,($D277+O$5)&gt;TOTAL_LABOR_HOURS_CAP,MAX(0,($D277+O$5)-PERMANENT_FIELD_LABOR_HOURS)&gt;TEMP_HOURS_CAP),"",$C277+O$6-MIN(($D277+O$5),PERMANENT_FIELD_LABOR_HOURS)*PERMANENT_HOURLY_RATE-MAX(0,($D277+O$5)-PERMANENT_FIELD_LABOR_HOURS)*TEMP_HOURLY_RATE-FIXED_SEASON_COST)</f>
        <v>26868.1346919622</v>
      </c>
      <c r="P277" s="53" t="n">
        <f aca="false">IF(OR($A277&gt;TOMATO_BED_CAP,$B277&gt;CARROT_BED_CAP,P$4&gt;MESCLUN_BED_CAP,$A277+$B277+P$4&gt;TOTAL_BEDS_AVAILABLE,($D277+P$5)&gt;TOTAL_LABOR_HOURS_CAP,MAX(0,($D277+P$5)-PERMANENT_FIELD_LABOR_HOURS)&gt;TEMP_HOURS_CAP),"",$C277+P$6-MIN(($D277+P$5),PERMANENT_FIELD_LABOR_HOURS)*PERMANENT_HOURLY_RATE-MAX(0,($D277+P$5)-PERMANENT_FIELD_LABOR_HOURS)*TEMP_HOURLY_RATE-FIXED_SEASON_COST)</f>
        <v>27705.3236118136</v>
      </c>
      <c r="Q277" s="53" t="n">
        <f aca="false">IF(OR($A277&gt;TOMATO_BED_CAP,$B277&gt;CARROT_BED_CAP,Q$4&gt;MESCLUN_BED_CAP,$A277+$B277+Q$4&gt;TOTAL_BEDS_AVAILABLE,($D277+Q$5)&gt;TOTAL_LABOR_HOURS_CAP,MAX(0,($D277+Q$5)-PERMANENT_FIELD_LABOR_HOURS)&gt;TEMP_HOURS_CAP),"",$C277+Q$6-MIN(($D277+Q$5),PERMANENT_FIELD_LABOR_HOURS)*PERMANENT_HOURLY_RATE-MAX(0,($D277+Q$5)-PERMANENT_FIELD_LABOR_HOURS)*TEMP_HOURLY_RATE-FIXED_SEASON_COST)</f>
        <v>28519.1707685115</v>
      </c>
      <c r="R277" s="53" t="n">
        <f aca="false">IF(OR($A277&gt;TOMATO_BED_CAP,$B277&gt;CARROT_BED_CAP,R$4&gt;MESCLUN_BED_CAP,$A277+$B277+R$4&gt;TOTAL_BEDS_AVAILABLE,($D277+R$5)&gt;TOTAL_LABOR_HOURS_CAP,MAX(0,($D277+R$5)-PERMANENT_FIELD_LABOR_HOURS)&gt;TEMP_HOURS_CAP),"",$C277+R$6-MIN(($D277+R$5),PERMANENT_FIELD_LABOR_HOURS)*PERMANENT_HOURLY_RATE-MAX(0,($D277+R$5)-PERMANENT_FIELD_LABOR_HOURS)*TEMP_HOURLY_RATE-FIXED_SEASON_COST)</f>
        <v>29309.2461822083</v>
      </c>
      <c r="S277" s="53" t="n">
        <f aca="false">IF(OR($A277&gt;TOMATO_BED_CAP,$B277&gt;CARROT_BED_CAP,S$4&gt;MESCLUN_BED_CAP,$A277+$B277+S$4&gt;TOTAL_BEDS_AVAILABLE,($D277+S$5)&gt;TOTAL_LABOR_HOURS_CAP,MAX(0,($D277+S$5)-PERMANENT_FIELD_LABOR_HOURS)&gt;TEMP_HOURS_CAP),"",$C277+S$6-MIN(($D277+S$5),PERMANENT_FIELD_LABOR_HOURS)*PERMANENT_HOURLY_RATE-MAX(0,($D277+S$5)-PERMANENT_FIELD_LABOR_HOURS)*TEMP_HOURLY_RATE-FIXED_SEASON_COST)</f>
        <v>30075.1127707108</v>
      </c>
      <c r="T277" s="53" t="n">
        <f aca="false">IF(OR($A277&gt;TOMATO_BED_CAP,$B277&gt;CARROT_BED_CAP,T$4&gt;MESCLUN_BED_CAP,$A277+$B277+T$4&gt;TOTAL_BEDS_AVAILABLE,($D277+T$5)&gt;TOTAL_LABOR_HOURS_CAP,MAX(0,($D277+T$5)-PERMANENT_FIELD_LABOR_HOURS)&gt;TEMP_HOURS_CAP),"",$C277+T$6-MIN(($D277+T$5),PERMANENT_FIELD_LABOR_HOURS)*PERMANENT_HOURLY_RATE-MAX(0,($D277+T$5)-PERMANENT_FIELD_LABOR_HOURS)*TEMP_HOURLY_RATE-FIXED_SEASON_COST)</f>
        <v>30816.3262391056</v>
      </c>
      <c r="U277" s="53" t="n">
        <f aca="false">IF(OR($A277&gt;TOMATO_BED_CAP,$B277&gt;CARROT_BED_CAP,U$4&gt;MESCLUN_BED_CAP,$A277+$B277+U$4&gt;TOTAL_BEDS_AVAILABLE,($D277+U$5)&gt;TOTAL_LABOR_HOURS_CAP,MAX(0,($D277+U$5)-PERMANENT_FIELD_LABOR_HOURS)&gt;TEMP_HOURS_CAP),"",$C277+U$6-MIN(($D277+U$5),PERMANENT_FIELD_LABOR_HOURS)*PERMANENT_HOURLY_RATE-MAX(0,($D277+U$5)-PERMANENT_FIELD_LABOR_HOURS)*TEMP_HOURLY_RATE-FIXED_SEASON_COST)</f>
        <v>31532.4349677357</v>
      </c>
      <c r="V277" s="53" t="n">
        <f aca="false">IF(OR($A277&gt;TOMATO_BED_CAP,$B277&gt;CARROT_BED_CAP,V$4&gt;MESCLUN_BED_CAP,$A277+$B277+V$4&gt;TOTAL_BEDS_AVAILABLE,($D277+V$5)&gt;TOTAL_LABOR_HOURS_CAP,MAX(0,($D277+V$5)-PERMANENT_FIELD_LABOR_HOURS)&gt;TEMP_HOURS_CAP),"",$C277+V$6-MIN(($D277+V$5),PERMANENT_FIELD_LABOR_HOURS)*PERMANENT_HOURLY_RATE-MAX(0,($D277+V$5)-PERMANENT_FIELD_LABOR_HOURS)*TEMP_HOURLY_RATE-FIXED_SEASON_COST)</f>
        <v>32222.9798985025</v>
      </c>
      <c r="W277" s="53" t="n">
        <f aca="false">IF(OR($A277&gt;TOMATO_BED_CAP,$B277&gt;CARROT_BED_CAP,W$4&gt;MESCLUN_BED_CAP,$A277+$B277+W$4&gt;TOTAL_BEDS_AVAILABLE,($D277+W$5)&gt;TOTAL_LABOR_HOURS_CAP,MAX(0,($D277+W$5)-PERMANENT_FIELD_LABOR_HOURS)&gt;TEMP_HOURS_CAP),"",$C277+W$6-MIN(($D277+W$5),PERMANENT_FIELD_LABOR_HOURS)*PERMANENT_HOURLY_RATE-MAX(0,($D277+W$5)-PERMANENT_FIELD_LABOR_HOURS)*TEMP_HOURLY_RATE-FIXED_SEASON_COST)</f>
        <v>32887.4944194705</v>
      </c>
      <c r="X277" s="53" t="n">
        <f aca="false">IF(OR($A277&gt;TOMATO_BED_CAP,$B277&gt;CARROT_BED_CAP,X$4&gt;MESCLUN_BED_CAP,$A277+$B277+X$4&gt;TOTAL_BEDS_AVAILABLE,($D277+X$5)&gt;TOTAL_LABOR_HOURS_CAP,MAX(0,($D277+X$5)-PERMANENT_FIELD_LABOR_HOURS)&gt;TEMP_HOURS_CAP),"",$C277+X$6-MIN(($D277+X$5),PERMANENT_FIELD_LABOR_HOURS)*PERMANENT_HOURLY_RATE-MAX(0,($D277+X$5)-PERMANENT_FIELD_LABOR_HOURS)*TEMP_HOURLY_RATE-FIXED_SEASON_COST)</f>
        <v>33525.5042477495</v>
      </c>
      <c r="Y277" s="53" t="n">
        <f aca="false">IF(OR($A277&gt;TOMATO_BED_CAP,$B277&gt;CARROT_BED_CAP,Y$4&gt;MESCLUN_BED_CAP,$A277+$B277+Y$4&gt;TOTAL_BEDS_AVAILABLE,($D277+Y$5)&gt;TOTAL_LABOR_HOURS_CAP,MAX(0,($D277+Y$5)-PERMANENT_FIELD_LABOR_HOURS)&gt;TEMP_HOURS_CAP),"",$C277+Y$6-MIN(($D277+Y$5),PERMANENT_FIELD_LABOR_HOURS)*PERMANENT_HOURLY_RATE-MAX(0,($D277+Y$5)-PERMANENT_FIELD_LABOR_HOURS)*TEMP_HOURLY_RATE-FIXED_SEASON_COST)</f>
        <v>34136.5273106281</v>
      </c>
      <c r="Z277" s="53" t="n">
        <f aca="false">IF(OR($A277&gt;TOMATO_BED_CAP,$B277&gt;CARROT_BED_CAP,Z$4&gt;MESCLUN_BED_CAP,$A277+$B277+Z$4&gt;TOTAL_BEDS_AVAILABLE,($D277+Z$5)&gt;TOTAL_LABOR_HOURS_CAP,MAX(0,($D277+Z$5)-PERMANENT_FIELD_LABOR_HOURS)&gt;TEMP_HOURS_CAP),"",$C277+Z$6-MIN(($D277+Z$5),PERMANENT_FIELD_LABOR_HOURS)*PERMANENT_HOURLY_RATE-MAX(0,($D277+Z$5)-PERMANENT_FIELD_LABOR_HOURS)*TEMP_HOURLY_RATE-FIXED_SEASON_COST)</f>
        <v>34720.0736249359</v>
      </c>
      <c r="AA277" s="53" t="n">
        <f aca="false">IF(OR($A277&gt;TOMATO_BED_CAP,$B277&gt;CARROT_BED_CAP,AA$4&gt;MESCLUN_BED_CAP,$A277+$B277+AA$4&gt;TOTAL_BEDS_AVAILABLE,($D277+AA$5)&gt;TOTAL_LABOR_HOURS_CAP,MAX(0,($D277+AA$5)-PERMANENT_FIELD_LABOR_HOURS)&gt;TEMP_HOURS_CAP),"",$C277+AA$6-MIN(($D277+AA$5),PERMANENT_FIELD_LABOR_HOURS)*PERMANENT_HOURLY_RATE-MAX(0,($D277+AA$5)-PERMANENT_FIELD_LABOR_HOURS)*TEMP_HOURLY_RATE-FIXED_SEASON_COST)</f>
        <v>35275.6451746048</v>
      </c>
      <c r="AB277" s="53" t="n">
        <f aca="false">IF(OR($A277&gt;TOMATO_BED_CAP,$B277&gt;CARROT_BED_CAP,AB$4&gt;MESCLUN_BED_CAP,$A277+$B277+AB$4&gt;TOTAL_BEDS_AVAILABLE,($D277+AB$5)&gt;TOTAL_LABOR_HOURS_CAP,MAX(0,($D277+AB$5)-PERMANENT_FIELD_LABOR_HOURS)&gt;TEMP_HOURS_CAP),"",$C277+AB$6-MIN(($D277+AB$5),PERMANENT_FIELD_LABOR_HOURS)*PERMANENT_HOURLY_RATE-MAX(0,($D277+AB$5)-PERMANENT_FIELD_LABOR_HOURS)*TEMP_HOURLY_RATE-FIXED_SEASON_COST)</f>
        <v>35802.7357864073</v>
      </c>
      <c r="AC277" s="53" t="n">
        <f aca="false">IF(OR($A277&gt;TOMATO_BED_CAP,$B277&gt;CARROT_BED_CAP,AC$4&gt;MESCLUN_BED_CAP,$A277+$B277+AC$4&gt;TOTAL_BEDS_AVAILABLE,($D277+AC$5)&gt;TOTAL_LABOR_HOURS_CAP,MAX(0,($D277+AC$5)-PERMANENT_FIELD_LABOR_HOURS)&gt;TEMP_HOURS_CAP),"",$C277+AC$6-MIN(($D277+AC$5),PERMANENT_FIELD_LABOR_HOURS)*PERMANENT_HOURLY_RATE-MAX(0,($D277+AC$5)-PERMANENT_FIELD_LABOR_HOURS)*TEMP_HOURLY_RATE-FIXED_SEASON_COST)</f>
        <v>36300.8310038423</v>
      </c>
      <c r="AD277" s="53" t="n">
        <f aca="false">IF(OR($A277&gt;TOMATO_BED_CAP,$B277&gt;CARROT_BED_CAP,AD$4&gt;MESCLUN_BED_CAP,$A277+$B277+AD$4&gt;TOTAL_BEDS_AVAILABLE,($D277+AD$5)&gt;TOTAL_LABOR_HOURS_CAP,MAX(0,($D277+AD$5)-PERMANENT_FIELD_LABOR_HOURS)&gt;TEMP_HOURS_CAP),"",$C277+AD$6-MIN(($D277+AD$5),PERMANENT_FIELD_LABOR_HOURS)*PERMANENT_HOURLY_RATE-MAX(0,($D277+AD$5)-PERMANENT_FIELD_LABOR_HOURS)*TEMP_HOURLY_RATE-FIXED_SEASON_COST)</f>
        <v>36769.4079591422</v>
      </c>
      <c r="AE277" s="53" t="n">
        <f aca="false">IF(OR($A277&gt;TOMATO_BED_CAP,$B277&gt;CARROT_BED_CAP,AE$4&gt;MESCLUN_BED_CAP,$A277+$B277+AE$4&gt;TOTAL_BEDS_AVAILABLE,($D277+AE$5)&gt;TOTAL_LABOR_HOURS_CAP,MAX(0,($D277+AE$5)-PERMANENT_FIELD_LABOR_HOURS)&gt;TEMP_HOURS_CAP),"",$C277+AE$6-MIN(($D277+AE$5),PERMANENT_FIELD_LABOR_HOURS)*PERMANENT_HOURLY_RATE-MAX(0,($D277+AE$5)-PERMANENT_FIELD_LABOR_HOURS)*TEMP_HOURLY_RATE-FIXED_SEASON_COST)</f>
        <v>37207.9352433761</v>
      </c>
      <c r="AF277" s="53" t="n">
        <f aca="false">IF(OR($A277&gt;TOMATO_BED_CAP,$B277&gt;CARROT_BED_CAP,AF$4&gt;MESCLUN_BED_CAP,$A277+$B277+AF$4&gt;TOTAL_BEDS_AVAILABLE,($D277+AF$5)&gt;TOTAL_LABOR_HOURS_CAP,MAX(0,($D277+AF$5)-PERMANENT_FIELD_LABOR_HOURS)&gt;TEMP_HOURS_CAP),"",$C277+AF$6-MIN(($D277+AF$5),PERMANENT_FIELD_LABOR_HOURS)*PERMANENT_HOURLY_RATE-MAX(0,($D277+AF$5)-PERMANENT_FIELD_LABOR_HOURS)*TEMP_HOURLY_RATE-FIXED_SEASON_COST)</f>
        <v>37615.8727746181</v>
      </c>
      <c r="AG277" s="53" t="n">
        <f aca="false">IF(OR($A277&gt;TOMATO_BED_CAP,$B277&gt;CARROT_BED_CAP,AG$4&gt;MESCLUN_BED_CAP,$A277+$B277+AG$4&gt;TOTAL_BEDS_AVAILABLE,($D277+AG$5)&gt;TOTAL_LABOR_HOURS_CAP,MAX(0,($D277+AG$5)-PERMANENT_FIELD_LABOR_HOURS)&gt;TEMP_HOURS_CAP),"",$C277+AG$6-MIN(($D277+AG$5),PERMANENT_FIELD_LABOR_HOURS)*PERMANENT_HOURLY_RATE-MAX(0,($D277+AG$5)-PERMANENT_FIELD_LABOR_HOURS)*TEMP_HOURLY_RATE-FIXED_SEASON_COST)</f>
        <v>37992.6716641551</v>
      </c>
      <c r="AH277" s="53" t="n">
        <f aca="false">IF(OR($A277&gt;TOMATO_BED_CAP,$B277&gt;CARROT_BED_CAP,AH$4&gt;MESCLUN_BED_CAP,$A277+$B277+AH$4&gt;TOTAL_BEDS_AVAILABLE,($D277+AH$5)&gt;TOTAL_LABOR_HOURS_CAP,MAX(0,($D277+AH$5)-PERMANENT_FIELD_LABOR_HOURS)&gt;TEMP_HOURS_CAP),"",$C277+AH$6-MIN(($D277+AH$5),PERMANENT_FIELD_LABOR_HOURS)*PERMANENT_HOURLY_RATE-MAX(0,($D277+AH$5)-PERMANENT_FIELD_LABOR_HOURS)*TEMP_HOURLY_RATE-FIXED_SEASON_COST)</f>
        <v>38337.7740807053</v>
      </c>
      <c r="AI277" s="53" t="n">
        <f aca="false">IF(OR($A277&gt;TOMATO_BED_CAP,$B277&gt;CARROT_BED_CAP,AI$4&gt;MESCLUN_BED_CAP,$A277+$B277+AI$4&gt;TOTAL_BEDS_AVAILABLE,($D277+AI$5)&gt;TOTAL_LABOR_HOURS_CAP,MAX(0,($D277+AI$5)-PERMANENT_FIELD_LABOR_HOURS)&gt;TEMP_HOURS_CAP),"",$C277+AI$6-MIN(($D277+AI$5),PERMANENT_FIELD_LABOR_HOURS)*PERMANENT_HOURLY_RATE-MAX(0,($D277+AI$5)-PERMANENT_FIELD_LABOR_HOURS)*TEMP_HOURLY_RATE-FIXED_SEASON_COST)</f>
        <v>38650.6131126176</v>
      </c>
      <c r="AJ277" s="53" t="n">
        <f aca="false">IF(OR($A277&gt;TOMATO_BED_CAP,$B277&gt;CARROT_BED_CAP,AJ$4&gt;MESCLUN_BED_CAP,$A277+$B277+AJ$4&gt;TOTAL_BEDS_AVAILABLE,($D277+AJ$5)&gt;TOTAL_LABOR_HOURS_CAP,MAX(0,($D277+AJ$5)-PERMANENT_FIELD_LABOR_HOURS)&gt;TEMP_HOURS_CAP),"",$C277+AJ$6-MIN(($D277+AJ$5),PERMANENT_FIELD_LABOR_HOURS)*PERMANENT_HOURLY_RATE-MAX(0,($D277+AJ$5)-PERMANENT_FIELD_LABOR_HOURS)*TEMP_HOURLY_RATE-FIXED_SEASON_COST)</f>
        <v>38930.6126280233</v>
      </c>
    </row>
    <row r="278" customFormat="false" ht="15" hidden="false" customHeight="false" outlineLevel="0" collapsed="false">
      <c r="A278" s="21" t="n">
        <f aca="false">INT((ROW()-ROW($A$8))/(20+1))</f>
        <v>12</v>
      </c>
      <c r="B278" s="21" t="n">
        <f aca="false">MOD(ROW()-ROW($A$8),20+1)</f>
        <v>18</v>
      </c>
      <c r="C278" s="13" t="n">
        <f aca="false">A278*(TOMATO_REVENUE_PER_BED-TOMATO_FERTILIZER_PER_BED)+B278*(CARROT_REVENUE_PER_BED-CARROT_FERTILIZER_PER_BED)</f>
        <v>124812</v>
      </c>
      <c r="D278" s="14" t="n">
        <f aca="false">INDEX(TOMATO_SCHED_LABOR_HRS,A278+1)+INDEX(CARROT_SCHED_LABOR_HRS,B278+1)</f>
        <v>4231.38146813717</v>
      </c>
      <c r="E278" s="13" t="n">
        <f aca="false">IF(COUNT(F278:AJ278)=0,"",MAX(F278:AJ278))</f>
        <v>39436.0070080113</v>
      </c>
      <c r="F278" s="53" t="n">
        <f aca="false">IF(OR($A278&gt;TOMATO_BED_CAP,$B278&gt;CARROT_BED_CAP,F$4&gt;MESCLUN_BED_CAP,$A278+$B278+F$4&gt;TOTAL_BEDS_AVAILABLE,($D278+F$5)&gt;TOTAL_LABOR_HOURS_CAP,MAX(0,($D278+F$5)-PERMANENT_FIELD_LABOR_HOURS)&gt;TEMP_HOURS_CAP),"",$C278+F$6-MIN(($D278+F$5),PERMANENT_FIELD_LABOR_HOURS)*PERMANENT_HOURLY_RATE-MAX(0,($D278+F$5)-PERMANENT_FIELD_LABOR_HOURS)*TEMP_HOURLY_RATE-FIXED_SEASON_COST)</f>
        <v>18856.0177131387</v>
      </c>
      <c r="G278" s="53" t="n">
        <f aca="false">IF(OR($A278&gt;TOMATO_BED_CAP,$B278&gt;CARROT_BED_CAP,G$4&gt;MESCLUN_BED_CAP,$A278+$B278+G$4&gt;TOTAL_BEDS_AVAILABLE,($D278+G$5)&gt;TOTAL_LABOR_HOURS_CAP,MAX(0,($D278+G$5)-PERMANENT_FIELD_LABOR_HOURS)&gt;TEMP_HOURS_CAP),"",$C278+G$6-MIN(($D278+G$5),PERMANENT_FIELD_LABOR_HOURS)*PERMANENT_HOURLY_RATE-MAX(0,($D278+G$5)-PERMANENT_FIELD_LABOR_HOURS)*TEMP_HOURLY_RATE-FIXED_SEASON_COST)</f>
        <v>19885.0527131387</v>
      </c>
      <c r="H278" s="53" t="n">
        <f aca="false">IF(OR($A278&gt;TOMATO_BED_CAP,$B278&gt;CARROT_BED_CAP,H$4&gt;MESCLUN_BED_CAP,$A278+$B278+H$4&gt;TOTAL_BEDS_AVAILABLE,($D278+H$5)&gt;TOTAL_LABOR_HOURS_CAP,MAX(0,($D278+H$5)-PERMANENT_FIELD_LABOR_HOURS)&gt;TEMP_HOURS_CAP),"",$C278+H$6-MIN(($D278+H$5),PERMANENT_FIELD_LABOR_HOURS)*PERMANENT_HOURLY_RATE-MAX(0,($D278+H$5)-PERMANENT_FIELD_LABOR_HOURS)*TEMP_HOURLY_RATE-FIXED_SEASON_COST)</f>
        <v>20894.3135881387</v>
      </c>
      <c r="I278" s="53" t="n">
        <f aca="false">IF(OR($A278&gt;TOMATO_BED_CAP,$B278&gt;CARROT_BED_CAP,I$4&gt;MESCLUN_BED_CAP,$A278+$B278+I$4&gt;TOTAL_BEDS_AVAILABLE,($D278+I$5)&gt;TOTAL_LABOR_HOURS_CAP,MAX(0,($D278+I$5)-PERMANENT_FIELD_LABOR_HOURS)&gt;TEMP_HOURS_CAP),"",$C278+I$6-MIN(($D278+I$5),PERMANENT_FIELD_LABOR_HOURS)*PERMANENT_HOURLY_RATE-MAX(0,($D278+I$5)-PERMANENT_FIELD_LABOR_HOURS)*TEMP_HOURLY_RATE-FIXED_SEASON_COST)</f>
        <v>21883.429573295</v>
      </c>
      <c r="J278" s="53" t="n">
        <f aca="false">IF(OR($A278&gt;TOMATO_BED_CAP,$B278&gt;CARROT_BED_CAP,J$4&gt;MESCLUN_BED_CAP,$A278+$B278+J$4&gt;TOTAL_BEDS_AVAILABLE,($D278+J$5)&gt;TOTAL_LABOR_HOURS_CAP,MAX(0,($D278+J$5)-PERMANENT_FIELD_LABOR_HOURS)&gt;TEMP_HOURS_CAP),"",$C278+J$6-MIN(($D278+J$5),PERMANENT_FIELD_LABOR_HOURS)*PERMANENT_HOURLY_RATE-MAX(0,($D278+J$5)-PERMANENT_FIELD_LABOR_HOURS)*TEMP_HOURLY_RATE-FIXED_SEASON_COST)</f>
        <v>22852.0237243497</v>
      </c>
      <c r="K278" s="53" t="n">
        <f aca="false">IF(OR($A278&gt;TOMATO_BED_CAP,$B278&gt;CARROT_BED_CAP,K$4&gt;MESCLUN_BED_CAP,$A278+$B278+K$4&gt;TOTAL_BEDS_AVAILABLE,($D278+K$5)&gt;TOTAL_LABOR_HOURS_CAP,MAX(0,($D278+K$5)-PERMANENT_FIELD_LABOR_HOURS)&gt;TEMP_HOURS_CAP),"",$C278+K$6-MIN(($D278+K$5),PERMANENT_FIELD_LABOR_HOURS)*PERMANENT_HOURLY_RATE-MAX(0,($D278+K$5)-PERMANENT_FIELD_LABOR_HOURS)*TEMP_HOURLY_RATE-FIXED_SEASON_COST)</f>
        <v>23799.7128210776</v>
      </c>
      <c r="L278" s="53" t="n">
        <f aca="false">IF(OR($A278&gt;TOMATO_BED_CAP,$B278&gt;CARROT_BED_CAP,L$4&gt;MESCLUN_BED_CAP,$A278+$B278+L$4&gt;TOTAL_BEDS_AVAILABLE,($D278+L$5)&gt;TOTAL_LABOR_HOURS_CAP,MAX(0,($D278+L$5)-PERMANENT_FIELD_LABOR_HOURS)&gt;TEMP_HOURS_CAP),"",$C278+L$6-MIN(($D278+L$5),PERMANENT_FIELD_LABOR_HOURS)*PERMANENT_HOURLY_RATE-MAX(0,($D278+L$5)-PERMANENT_FIELD_LABOR_HOURS)*TEMP_HOURLY_RATE-FIXED_SEASON_COST)</f>
        <v>24726.1072692844</v>
      </c>
      <c r="M278" s="53" t="n">
        <f aca="false">IF(OR($A278&gt;TOMATO_BED_CAP,$B278&gt;CARROT_BED_CAP,M$4&gt;MESCLUN_BED_CAP,$A278+$B278+M$4&gt;TOTAL_BEDS_AVAILABLE,($D278+M$5)&gt;TOTAL_LABOR_HOURS_CAP,MAX(0,($D278+M$5)-PERMANENT_FIELD_LABOR_HOURS)&gt;TEMP_HOURS_CAP),"",$C278+M$6-MIN(($D278+M$5),PERMANENT_FIELD_LABOR_HOURS)*PERMANENT_HOURLY_RATE-MAX(0,($D278+M$5)-PERMANENT_FIELD_LABOR_HOURS)*TEMP_HOURLY_RATE-FIXED_SEASON_COST)</f>
        <v>25630.8110013358</v>
      </c>
      <c r="N278" s="53" t="n">
        <f aca="false">IF(OR($A278&gt;TOMATO_BED_CAP,$B278&gt;CARROT_BED_CAP,N$4&gt;MESCLUN_BED_CAP,$A278+$B278+N$4&gt;TOTAL_BEDS_AVAILABLE,($D278+N$5)&gt;TOTAL_LABOR_HOURS_CAP,MAX(0,($D278+N$5)-PERMANENT_FIELD_LABOR_HOURS)&gt;TEMP_HOURS_CAP),"",$C278+N$6-MIN(($D278+N$5),PERMANENT_FIELD_LABOR_HOURS)*PERMANENT_HOURLY_RATE-MAX(0,($D278+N$5)-PERMANENT_FIELD_LABOR_HOURS)*TEMP_HOURLY_RATE-FIXED_SEASON_COST)</f>
        <v>26513.4213751954</v>
      </c>
      <c r="O278" s="53" t="n">
        <f aca="false">IF(OR($A278&gt;TOMATO_BED_CAP,$B278&gt;CARROT_BED_CAP,O$4&gt;MESCLUN_BED_CAP,$A278+$B278+O$4&gt;TOTAL_BEDS_AVAILABLE,($D278+O$5)&gt;TOTAL_LABOR_HOURS_CAP,MAX(0,($D278+O$5)-PERMANENT_FIELD_LABOR_HOURS)&gt;TEMP_HOURS_CAP),"",$C278+O$6-MIN(($D278+O$5),PERMANENT_FIELD_LABOR_HOURS)*PERMANENT_HOURLY_RATE-MAX(0,($D278+O$5)-PERMANENT_FIELD_LABOR_HOURS)*TEMP_HOURLY_RATE-FIXED_SEASON_COST)</f>
        <v>27373.5290719501</v>
      </c>
      <c r="P278" s="53" t="n">
        <f aca="false">IF(OR($A278&gt;TOMATO_BED_CAP,$B278&gt;CARROT_BED_CAP,P$4&gt;MESCLUN_BED_CAP,$A278+$B278+P$4&gt;TOTAL_BEDS_AVAILABLE,($D278+P$5)&gt;TOTAL_LABOR_HOURS_CAP,MAX(0,($D278+P$5)-PERMANENT_FIELD_LABOR_HOURS)&gt;TEMP_HOURS_CAP),"",$C278+P$6-MIN(($D278+P$5),PERMANENT_FIELD_LABOR_HOURS)*PERMANENT_HOURLY_RATE-MAX(0,($D278+P$5)-PERMANENT_FIELD_LABOR_HOURS)*TEMP_HOURLY_RATE-FIXED_SEASON_COST)</f>
        <v>28210.7179918016</v>
      </c>
      <c r="Q278" s="53" t="n">
        <f aca="false">IF(OR($A278&gt;TOMATO_BED_CAP,$B278&gt;CARROT_BED_CAP,Q$4&gt;MESCLUN_BED_CAP,$A278+$B278+Q$4&gt;TOTAL_BEDS_AVAILABLE,($D278+Q$5)&gt;TOTAL_LABOR_HOURS_CAP,MAX(0,($D278+Q$5)-PERMANENT_FIELD_LABOR_HOURS)&gt;TEMP_HOURS_CAP),"",$C278+Q$6-MIN(($D278+Q$5),PERMANENT_FIELD_LABOR_HOURS)*PERMANENT_HOURLY_RATE-MAX(0,($D278+Q$5)-PERMANENT_FIELD_LABOR_HOURS)*TEMP_HOURLY_RATE-FIXED_SEASON_COST)</f>
        <v>29024.5651484994</v>
      </c>
      <c r="R278" s="53" t="n">
        <f aca="false">IF(OR($A278&gt;TOMATO_BED_CAP,$B278&gt;CARROT_BED_CAP,R$4&gt;MESCLUN_BED_CAP,$A278+$B278+R$4&gt;TOTAL_BEDS_AVAILABLE,($D278+R$5)&gt;TOTAL_LABOR_HOURS_CAP,MAX(0,($D278+R$5)-PERMANENT_FIELD_LABOR_HOURS)&gt;TEMP_HOURS_CAP),"",$C278+R$6-MIN(($D278+R$5),PERMANENT_FIELD_LABOR_HOURS)*PERMANENT_HOURLY_RATE-MAX(0,($D278+R$5)-PERMANENT_FIELD_LABOR_HOURS)*TEMP_HOURLY_RATE-FIXED_SEASON_COST)</f>
        <v>29814.6405621963</v>
      </c>
      <c r="S278" s="53" t="n">
        <f aca="false">IF(OR($A278&gt;TOMATO_BED_CAP,$B278&gt;CARROT_BED_CAP,S$4&gt;MESCLUN_BED_CAP,$A278+$B278+S$4&gt;TOTAL_BEDS_AVAILABLE,($D278+S$5)&gt;TOTAL_LABOR_HOURS_CAP,MAX(0,($D278+S$5)-PERMANENT_FIELD_LABOR_HOURS)&gt;TEMP_HOURS_CAP),"",$C278+S$6-MIN(($D278+S$5),PERMANENT_FIELD_LABOR_HOURS)*PERMANENT_HOURLY_RATE-MAX(0,($D278+S$5)-PERMANENT_FIELD_LABOR_HOURS)*TEMP_HOURLY_RATE-FIXED_SEASON_COST)</f>
        <v>30580.5071506987</v>
      </c>
      <c r="T278" s="53" t="n">
        <f aca="false">IF(OR($A278&gt;TOMATO_BED_CAP,$B278&gt;CARROT_BED_CAP,T$4&gt;MESCLUN_BED_CAP,$A278+$B278+T$4&gt;TOTAL_BEDS_AVAILABLE,($D278+T$5)&gt;TOTAL_LABOR_HOURS_CAP,MAX(0,($D278+T$5)-PERMANENT_FIELD_LABOR_HOURS)&gt;TEMP_HOURS_CAP),"",$C278+T$6-MIN(($D278+T$5),PERMANENT_FIELD_LABOR_HOURS)*PERMANENT_HOURLY_RATE-MAX(0,($D278+T$5)-PERMANENT_FIELD_LABOR_HOURS)*TEMP_HOURLY_RATE-FIXED_SEASON_COST)</f>
        <v>31321.7206190936</v>
      </c>
      <c r="U278" s="53" t="n">
        <f aca="false">IF(OR($A278&gt;TOMATO_BED_CAP,$B278&gt;CARROT_BED_CAP,U$4&gt;MESCLUN_BED_CAP,$A278+$B278+U$4&gt;TOTAL_BEDS_AVAILABLE,($D278+U$5)&gt;TOTAL_LABOR_HOURS_CAP,MAX(0,($D278+U$5)-PERMANENT_FIELD_LABOR_HOURS)&gt;TEMP_HOURS_CAP),"",$C278+U$6-MIN(($D278+U$5),PERMANENT_FIELD_LABOR_HOURS)*PERMANENT_HOURLY_RATE-MAX(0,($D278+U$5)-PERMANENT_FIELD_LABOR_HOURS)*TEMP_HOURLY_RATE-FIXED_SEASON_COST)</f>
        <v>32037.8293477236</v>
      </c>
      <c r="V278" s="53" t="n">
        <f aca="false">IF(OR($A278&gt;TOMATO_BED_CAP,$B278&gt;CARROT_BED_CAP,V$4&gt;MESCLUN_BED_CAP,$A278+$B278+V$4&gt;TOTAL_BEDS_AVAILABLE,($D278+V$5)&gt;TOTAL_LABOR_HOURS_CAP,MAX(0,($D278+V$5)-PERMANENT_FIELD_LABOR_HOURS)&gt;TEMP_HOURS_CAP),"",$C278+V$6-MIN(($D278+V$5),PERMANENT_FIELD_LABOR_HOURS)*PERMANENT_HOURLY_RATE-MAX(0,($D278+V$5)-PERMANENT_FIELD_LABOR_HOURS)*TEMP_HOURLY_RATE-FIXED_SEASON_COST)</f>
        <v>32728.3742784904</v>
      </c>
      <c r="W278" s="53" t="n">
        <f aca="false">IF(OR($A278&gt;TOMATO_BED_CAP,$B278&gt;CARROT_BED_CAP,W$4&gt;MESCLUN_BED_CAP,$A278+$B278+W$4&gt;TOTAL_BEDS_AVAILABLE,($D278+W$5)&gt;TOTAL_LABOR_HOURS_CAP,MAX(0,($D278+W$5)-PERMANENT_FIELD_LABOR_HOURS)&gt;TEMP_HOURS_CAP),"",$C278+W$6-MIN(($D278+W$5),PERMANENT_FIELD_LABOR_HOURS)*PERMANENT_HOURLY_RATE-MAX(0,($D278+W$5)-PERMANENT_FIELD_LABOR_HOURS)*TEMP_HOURLY_RATE-FIXED_SEASON_COST)</f>
        <v>33392.8887994585</v>
      </c>
      <c r="X278" s="53" t="n">
        <f aca="false">IF(OR($A278&gt;TOMATO_BED_CAP,$B278&gt;CARROT_BED_CAP,X$4&gt;MESCLUN_BED_CAP,$A278+$B278+X$4&gt;TOTAL_BEDS_AVAILABLE,($D278+X$5)&gt;TOTAL_LABOR_HOURS_CAP,MAX(0,($D278+X$5)-PERMANENT_FIELD_LABOR_HOURS)&gt;TEMP_HOURS_CAP),"",$C278+X$6-MIN(($D278+X$5),PERMANENT_FIELD_LABOR_HOURS)*PERMANENT_HOURLY_RATE-MAX(0,($D278+X$5)-PERMANENT_FIELD_LABOR_HOURS)*TEMP_HOURLY_RATE-FIXED_SEASON_COST)</f>
        <v>34030.8986277374</v>
      </c>
      <c r="Y278" s="53" t="n">
        <f aca="false">IF(OR($A278&gt;TOMATO_BED_CAP,$B278&gt;CARROT_BED_CAP,Y$4&gt;MESCLUN_BED_CAP,$A278+$B278+Y$4&gt;TOTAL_BEDS_AVAILABLE,($D278+Y$5)&gt;TOTAL_LABOR_HOURS_CAP,MAX(0,($D278+Y$5)-PERMANENT_FIELD_LABOR_HOURS)&gt;TEMP_HOURS_CAP),"",$C278+Y$6-MIN(($D278+Y$5),PERMANENT_FIELD_LABOR_HOURS)*PERMANENT_HOURLY_RATE-MAX(0,($D278+Y$5)-PERMANENT_FIELD_LABOR_HOURS)*TEMP_HOURLY_RATE-FIXED_SEASON_COST)</f>
        <v>34641.9216906161</v>
      </c>
      <c r="Z278" s="53" t="n">
        <f aca="false">IF(OR($A278&gt;TOMATO_BED_CAP,$B278&gt;CARROT_BED_CAP,Z$4&gt;MESCLUN_BED_CAP,$A278+$B278+Z$4&gt;TOTAL_BEDS_AVAILABLE,($D278+Z$5)&gt;TOTAL_LABOR_HOURS_CAP,MAX(0,($D278+Z$5)-PERMANENT_FIELD_LABOR_HOURS)&gt;TEMP_HOURS_CAP),"",$C278+Z$6-MIN(($D278+Z$5),PERMANENT_FIELD_LABOR_HOURS)*PERMANENT_HOURLY_RATE-MAX(0,($D278+Z$5)-PERMANENT_FIELD_LABOR_HOURS)*TEMP_HOURLY_RATE-FIXED_SEASON_COST)</f>
        <v>35225.4680049238</v>
      </c>
      <c r="AA278" s="53" t="n">
        <f aca="false">IF(OR($A278&gt;TOMATO_BED_CAP,$B278&gt;CARROT_BED_CAP,AA$4&gt;MESCLUN_BED_CAP,$A278+$B278+AA$4&gt;TOTAL_BEDS_AVAILABLE,($D278+AA$5)&gt;TOTAL_LABOR_HOURS_CAP,MAX(0,($D278+AA$5)-PERMANENT_FIELD_LABOR_HOURS)&gt;TEMP_HOURS_CAP),"",$C278+AA$6-MIN(($D278+AA$5),PERMANENT_FIELD_LABOR_HOURS)*PERMANENT_HOURLY_RATE-MAX(0,($D278+AA$5)-PERMANENT_FIELD_LABOR_HOURS)*TEMP_HOURLY_RATE-FIXED_SEASON_COST)</f>
        <v>35781.0395545927</v>
      </c>
      <c r="AB278" s="53" t="n">
        <f aca="false">IF(OR($A278&gt;TOMATO_BED_CAP,$B278&gt;CARROT_BED_CAP,AB$4&gt;MESCLUN_BED_CAP,$A278+$B278+AB$4&gt;TOTAL_BEDS_AVAILABLE,($D278+AB$5)&gt;TOTAL_LABOR_HOURS_CAP,MAX(0,($D278+AB$5)-PERMANENT_FIELD_LABOR_HOURS)&gt;TEMP_HOURS_CAP),"",$C278+AB$6-MIN(($D278+AB$5),PERMANENT_FIELD_LABOR_HOURS)*PERMANENT_HOURLY_RATE-MAX(0,($D278+AB$5)-PERMANENT_FIELD_LABOR_HOURS)*TEMP_HOURLY_RATE-FIXED_SEASON_COST)</f>
        <v>36308.1301663953</v>
      </c>
      <c r="AC278" s="53" t="n">
        <f aca="false">IF(OR($A278&gt;TOMATO_BED_CAP,$B278&gt;CARROT_BED_CAP,AC$4&gt;MESCLUN_BED_CAP,$A278+$B278+AC$4&gt;TOTAL_BEDS_AVAILABLE,($D278+AC$5)&gt;TOTAL_LABOR_HOURS_CAP,MAX(0,($D278+AC$5)-PERMANENT_FIELD_LABOR_HOURS)&gt;TEMP_HOURS_CAP),"",$C278+AC$6-MIN(($D278+AC$5),PERMANENT_FIELD_LABOR_HOURS)*PERMANENT_HOURLY_RATE-MAX(0,($D278+AC$5)-PERMANENT_FIELD_LABOR_HOURS)*TEMP_HOURLY_RATE-FIXED_SEASON_COST)</f>
        <v>36806.2253838302</v>
      </c>
      <c r="AD278" s="53" t="n">
        <f aca="false">IF(OR($A278&gt;TOMATO_BED_CAP,$B278&gt;CARROT_BED_CAP,AD$4&gt;MESCLUN_BED_CAP,$A278+$B278+AD$4&gt;TOTAL_BEDS_AVAILABLE,($D278+AD$5)&gt;TOTAL_LABOR_HOURS_CAP,MAX(0,($D278+AD$5)-PERMANENT_FIELD_LABOR_HOURS)&gt;TEMP_HOURS_CAP),"",$C278+AD$6-MIN(($D278+AD$5),PERMANENT_FIELD_LABOR_HOURS)*PERMANENT_HOURLY_RATE-MAX(0,($D278+AD$5)-PERMANENT_FIELD_LABOR_HOURS)*TEMP_HOURLY_RATE-FIXED_SEASON_COST)</f>
        <v>37274.8023391302</v>
      </c>
      <c r="AE278" s="53" t="n">
        <f aca="false">IF(OR($A278&gt;TOMATO_BED_CAP,$B278&gt;CARROT_BED_CAP,AE$4&gt;MESCLUN_BED_CAP,$A278+$B278+AE$4&gt;TOTAL_BEDS_AVAILABLE,($D278+AE$5)&gt;TOTAL_LABOR_HOURS_CAP,MAX(0,($D278+AE$5)-PERMANENT_FIELD_LABOR_HOURS)&gt;TEMP_HOURS_CAP),"",$C278+AE$6-MIN(($D278+AE$5),PERMANENT_FIELD_LABOR_HOURS)*PERMANENT_HOURLY_RATE-MAX(0,($D278+AE$5)-PERMANENT_FIELD_LABOR_HOURS)*TEMP_HOURLY_RATE-FIXED_SEASON_COST)</f>
        <v>37713.3296233641</v>
      </c>
      <c r="AF278" s="53" t="n">
        <f aca="false">IF(OR($A278&gt;TOMATO_BED_CAP,$B278&gt;CARROT_BED_CAP,AF$4&gt;MESCLUN_BED_CAP,$A278+$B278+AF$4&gt;TOTAL_BEDS_AVAILABLE,($D278+AF$5)&gt;TOTAL_LABOR_HOURS_CAP,MAX(0,($D278+AF$5)-PERMANENT_FIELD_LABOR_HOURS)&gt;TEMP_HOURS_CAP),"",$C278+AF$6-MIN(($D278+AF$5),PERMANENT_FIELD_LABOR_HOURS)*PERMANENT_HOURLY_RATE-MAX(0,($D278+AF$5)-PERMANENT_FIELD_LABOR_HOURS)*TEMP_HOURLY_RATE-FIXED_SEASON_COST)</f>
        <v>38121.267154606</v>
      </c>
      <c r="AG278" s="53" t="n">
        <f aca="false">IF(OR($A278&gt;TOMATO_BED_CAP,$B278&gt;CARROT_BED_CAP,AG$4&gt;MESCLUN_BED_CAP,$A278+$B278+AG$4&gt;TOTAL_BEDS_AVAILABLE,($D278+AG$5)&gt;TOTAL_LABOR_HOURS_CAP,MAX(0,($D278+AG$5)-PERMANENT_FIELD_LABOR_HOURS)&gt;TEMP_HOURS_CAP),"",$C278+AG$6-MIN(($D278+AG$5),PERMANENT_FIELD_LABOR_HOURS)*PERMANENT_HOURLY_RATE-MAX(0,($D278+AG$5)-PERMANENT_FIELD_LABOR_HOURS)*TEMP_HOURLY_RATE-FIXED_SEASON_COST)</f>
        <v>38498.066044143</v>
      </c>
      <c r="AH278" s="53" t="n">
        <f aca="false">IF(OR($A278&gt;TOMATO_BED_CAP,$B278&gt;CARROT_BED_CAP,AH$4&gt;MESCLUN_BED_CAP,$A278+$B278+AH$4&gt;TOTAL_BEDS_AVAILABLE,($D278+AH$5)&gt;TOTAL_LABOR_HOURS_CAP,MAX(0,($D278+AH$5)-PERMANENT_FIELD_LABOR_HOURS)&gt;TEMP_HOURS_CAP),"",$C278+AH$6-MIN(($D278+AH$5),PERMANENT_FIELD_LABOR_HOURS)*PERMANENT_HOURLY_RATE-MAX(0,($D278+AH$5)-PERMANENT_FIELD_LABOR_HOURS)*TEMP_HOURLY_RATE-FIXED_SEASON_COST)</f>
        <v>38843.1684606933</v>
      </c>
      <c r="AI278" s="53" t="n">
        <f aca="false">IF(OR($A278&gt;TOMATO_BED_CAP,$B278&gt;CARROT_BED_CAP,AI$4&gt;MESCLUN_BED_CAP,$A278+$B278+AI$4&gt;TOTAL_BEDS_AVAILABLE,($D278+AI$5)&gt;TOTAL_LABOR_HOURS_CAP,MAX(0,($D278+AI$5)-PERMANENT_FIELD_LABOR_HOURS)&gt;TEMP_HOURS_CAP),"",$C278+AI$6-MIN(($D278+AI$5),PERMANENT_FIELD_LABOR_HOURS)*PERMANENT_HOURLY_RATE-MAX(0,($D278+AI$5)-PERMANENT_FIELD_LABOR_HOURS)*TEMP_HOURLY_RATE-FIXED_SEASON_COST)</f>
        <v>39156.0074926055</v>
      </c>
      <c r="AJ278" s="53" t="n">
        <f aca="false">IF(OR($A278&gt;TOMATO_BED_CAP,$B278&gt;CARROT_BED_CAP,AJ$4&gt;MESCLUN_BED_CAP,$A278+$B278+AJ$4&gt;TOTAL_BEDS_AVAILABLE,($D278+AJ$5)&gt;TOTAL_LABOR_HOURS_CAP,MAX(0,($D278+AJ$5)-PERMANENT_FIELD_LABOR_HOURS)&gt;TEMP_HOURS_CAP),"",$C278+AJ$6-MIN(($D278+AJ$5),PERMANENT_FIELD_LABOR_HOURS)*PERMANENT_HOURLY_RATE-MAX(0,($D278+AJ$5)-PERMANENT_FIELD_LABOR_HOURS)*TEMP_HOURLY_RATE-FIXED_SEASON_COST)</f>
        <v>39436.0070080113</v>
      </c>
    </row>
    <row r="279" customFormat="false" ht="15" hidden="false" customHeight="false" outlineLevel="0" collapsed="false">
      <c r="A279" s="21" t="n">
        <f aca="false">INT((ROW()-ROW($A$8))/(20+1))</f>
        <v>12</v>
      </c>
      <c r="B279" s="21" t="n">
        <f aca="false">MOD(ROW()-ROW($A$8),20+1)</f>
        <v>19</v>
      </c>
      <c r="C279" s="13" t="n">
        <f aca="false">A279*(TOMATO_REVENUE_PER_BED-TOMATO_FERTILIZER_PER_BED)+B279*(CARROT_REVENUE_PER_BED-CARROT_FERTILIZER_PER_BED)</f>
        <v>126466</v>
      </c>
      <c r="D279" s="14" t="n">
        <f aca="false">INDEX(TOMATO_SCHED_LABOR_HRS,A279+1)+INDEX(CARROT_SCHED_LABOR_HRS,B279+1)</f>
        <v>4300.36876043638</v>
      </c>
      <c r="E279" s="13" t="n">
        <f aca="false">IF(COUNT(F279:AJ279)=0,"",MAX(F279:AJ279))</f>
        <v>39892.387613697</v>
      </c>
      <c r="F279" s="53" t="n">
        <f aca="false">IF(OR($A279&gt;TOMATO_BED_CAP,$B279&gt;CARROT_BED_CAP,F$4&gt;MESCLUN_BED_CAP,$A279+$B279+F$4&gt;TOTAL_BEDS_AVAILABLE,($D279+F$5)&gt;TOTAL_LABOR_HOURS_CAP,MAX(0,($D279+F$5)-PERMANENT_FIELD_LABOR_HOURS)&gt;TEMP_HOURS_CAP),"",$C279+F$6-MIN(($D279+F$5),PERMANENT_FIELD_LABOR_HOURS)*PERMANENT_HOURLY_RATE-MAX(0,($D279+F$5)-PERMANENT_FIELD_LABOR_HOURS)*TEMP_HOURLY_RATE-FIXED_SEASON_COST)</f>
        <v>19312.3983188245</v>
      </c>
      <c r="G279" s="53" t="n">
        <f aca="false">IF(OR($A279&gt;TOMATO_BED_CAP,$B279&gt;CARROT_BED_CAP,G$4&gt;MESCLUN_BED_CAP,$A279+$B279+G$4&gt;TOTAL_BEDS_AVAILABLE,($D279+G$5)&gt;TOTAL_LABOR_HOURS_CAP,MAX(0,($D279+G$5)-PERMANENT_FIELD_LABOR_HOURS)&gt;TEMP_HOURS_CAP),"",$C279+G$6-MIN(($D279+G$5),PERMANENT_FIELD_LABOR_HOURS)*PERMANENT_HOURLY_RATE-MAX(0,($D279+G$5)-PERMANENT_FIELD_LABOR_HOURS)*TEMP_HOURLY_RATE-FIXED_SEASON_COST)</f>
        <v>20341.4333188245</v>
      </c>
      <c r="H279" s="53" t="n">
        <f aca="false">IF(OR($A279&gt;TOMATO_BED_CAP,$B279&gt;CARROT_BED_CAP,H$4&gt;MESCLUN_BED_CAP,$A279+$B279+H$4&gt;TOTAL_BEDS_AVAILABLE,($D279+H$5)&gt;TOTAL_LABOR_HOURS_CAP,MAX(0,($D279+H$5)-PERMANENT_FIELD_LABOR_HOURS)&gt;TEMP_HOURS_CAP),"",$C279+H$6-MIN(($D279+H$5),PERMANENT_FIELD_LABOR_HOURS)*PERMANENT_HOURLY_RATE-MAX(0,($D279+H$5)-PERMANENT_FIELD_LABOR_HOURS)*TEMP_HOURLY_RATE-FIXED_SEASON_COST)</f>
        <v>21350.6941938245</v>
      </c>
      <c r="I279" s="53" t="n">
        <f aca="false">IF(OR($A279&gt;TOMATO_BED_CAP,$B279&gt;CARROT_BED_CAP,I$4&gt;MESCLUN_BED_CAP,$A279+$B279+I$4&gt;TOTAL_BEDS_AVAILABLE,($D279+I$5)&gt;TOTAL_LABOR_HOURS_CAP,MAX(0,($D279+I$5)-PERMANENT_FIELD_LABOR_HOURS)&gt;TEMP_HOURS_CAP),"",$C279+I$6-MIN(($D279+I$5),PERMANENT_FIELD_LABOR_HOURS)*PERMANENT_HOURLY_RATE-MAX(0,($D279+I$5)-PERMANENT_FIELD_LABOR_HOURS)*TEMP_HOURLY_RATE-FIXED_SEASON_COST)</f>
        <v>22339.8101789807</v>
      </c>
      <c r="J279" s="53" t="n">
        <f aca="false">IF(OR($A279&gt;TOMATO_BED_CAP,$B279&gt;CARROT_BED_CAP,J$4&gt;MESCLUN_BED_CAP,$A279+$B279+J$4&gt;TOTAL_BEDS_AVAILABLE,($D279+J$5)&gt;TOTAL_LABOR_HOURS_CAP,MAX(0,($D279+J$5)-PERMANENT_FIELD_LABOR_HOURS)&gt;TEMP_HOURS_CAP),"",$C279+J$6-MIN(($D279+J$5),PERMANENT_FIELD_LABOR_HOURS)*PERMANENT_HOURLY_RATE-MAX(0,($D279+J$5)-PERMANENT_FIELD_LABOR_HOURS)*TEMP_HOURLY_RATE-FIXED_SEASON_COST)</f>
        <v>23308.4043300354</v>
      </c>
      <c r="K279" s="53" t="n">
        <f aca="false">IF(OR($A279&gt;TOMATO_BED_CAP,$B279&gt;CARROT_BED_CAP,K$4&gt;MESCLUN_BED_CAP,$A279+$B279+K$4&gt;TOTAL_BEDS_AVAILABLE,($D279+K$5)&gt;TOTAL_LABOR_HOURS_CAP,MAX(0,($D279+K$5)-PERMANENT_FIELD_LABOR_HOURS)&gt;TEMP_HOURS_CAP),"",$C279+K$6-MIN(($D279+K$5),PERMANENT_FIELD_LABOR_HOURS)*PERMANENT_HOURLY_RATE-MAX(0,($D279+K$5)-PERMANENT_FIELD_LABOR_HOURS)*TEMP_HOURLY_RATE-FIXED_SEASON_COST)</f>
        <v>24256.0934267633</v>
      </c>
      <c r="L279" s="53" t="n">
        <f aca="false">IF(OR($A279&gt;TOMATO_BED_CAP,$B279&gt;CARROT_BED_CAP,L$4&gt;MESCLUN_BED_CAP,$A279+$B279+L$4&gt;TOTAL_BEDS_AVAILABLE,($D279+L$5)&gt;TOTAL_LABOR_HOURS_CAP,MAX(0,($D279+L$5)-PERMANENT_FIELD_LABOR_HOURS)&gt;TEMP_HOURS_CAP),"",$C279+L$6-MIN(($D279+L$5),PERMANENT_FIELD_LABOR_HOURS)*PERMANENT_HOURLY_RATE-MAX(0,($D279+L$5)-PERMANENT_FIELD_LABOR_HOURS)*TEMP_HOURLY_RATE-FIXED_SEASON_COST)</f>
        <v>25182.4878749702</v>
      </c>
      <c r="M279" s="53" t="n">
        <f aca="false">IF(OR($A279&gt;TOMATO_BED_CAP,$B279&gt;CARROT_BED_CAP,M$4&gt;MESCLUN_BED_CAP,$A279+$B279+M$4&gt;TOTAL_BEDS_AVAILABLE,($D279+M$5)&gt;TOTAL_LABOR_HOURS_CAP,MAX(0,($D279+M$5)-PERMANENT_FIELD_LABOR_HOURS)&gt;TEMP_HOURS_CAP),"",$C279+M$6-MIN(($D279+M$5),PERMANENT_FIELD_LABOR_HOURS)*PERMANENT_HOURLY_RATE-MAX(0,($D279+M$5)-PERMANENT_FIELD_LABOR_HOURS)*TEMP_HOURLY_RATE-FIXED_SEASON_COST)</f>
        <v>26087.1916070216</v>
      </c>
      <c r="N279" s="53" t="n">
        <f aca="false">IF(OR($A279&gt;TOMATO_BED_CAP,$B279&gt;CARROT_BED_CAP,N$4&gt;MESCLUN_BED_CAP,$A279+$B279+N$4&gt;TOTAL_BEDS_AVAILABLE,($D279+N$5)&gt;TOTAL_LABOR_HOURS_CAP,MAX(0,($D279+N$5)-PERMANENT_FIELD_LABOR_HOURS)&gt;TEMP_HOURS_CAP),"",$C279+N$6-MIN(($D279+N$5),PERMANENT_FIELD_LABOR_HOURS)*PERMANENT_HOURLY_RATE-MAX(0,($D279+N$5)-PERMANENT_FIELD_LABOR_HOURS)*TEMP_HOURLY_RATE-FIXED_SEASON_COST)</f>
        <v>26969.8019808811</v>
      </c>
      <c r="O279" s="53" t="n">
        <f aca="false">IF(OR($A279&gt;TOMATO_BED_CAP,$B279&gt;CARROT_BED_CAP,O$4&gt;MESCLUN_BED_CAP,$A279+$B279+O$4&gt;TOTAL_BEDS_AVAILABLE,($D279+O$5)&gt;TOTAL_LABOR_HOURS_CAP,MAX(0,($D279+O$5)-PERMANENT_FIELD_LABOR_HOURS)&gt;TEMP_HOURS_CAP),"",$C279+O$6-MIN(($D279+O$5),PERMANENT_FIELD_LABOR_HOURS)*PERMANENT_HOURLY_RATE-MAX(0,($D279+O$5)-PERMANENT_FIELD_LABOR_HOURS)*TEMP_HOURLY_RATE-FIXED_SEASON_COST)</f>
        <v>27829.9096776359</v>
      </c>
      <c r="P279" s="53" t="n">
        <f aca="false">IF(OR($A279&gt;TOMATO_BED_CAP,$B279&gt;CARROT_BED_CAP,P$4&gt;MESCLUN_BED_CAP,$A279+$B279+P$4&gt;TOTAL_BEDS_AVAILABLE,($D279+P$5)&gt;TOTAL_LABOR_HOURS_CAP,MAX(0,($D279+P$5)-PERMANENT_FIELD_LABOR_HOURS)&gt;TEMP_HOURS_CAP),"",$C279+P$6-MIN(($D279+P$5),PERMANENT_FIELD_LABOR_HOURS)*PERMANENT_HOURLY_RATE-MAX(0,($D279+P$5)-PERMANENT_FIELD_LABOR_HOURS)*TEMP_HOURLY_RATE-FIXED_SEASON_COST)</f>
        <v>28667.0985974873</v>
      </c>
      <c r="Q279" s="53" t="n">
        <f aca="false">IF(OR($A279&gt;TOMATO_BED_CAP,$B279&gt;CARROT_BED_CAP,Q$4&gt;MESCLUN_BED_CAP,$A279+$B279+Q$4&gt;TOTAL_BEDS_AVAILABLE,($D279+Q$5)&gt;TOTAL_LABOR_HOURS_CAP,MAX(0,($D279+Q$5)-PERMANENT_FIELD_LABOR_HOURS)&gt;TEMP_HOURS_CAP),"",$C279+Q$6-MIN(($D279+Q$5),PERMANENT_FIELD_LABOR_HOURS)*PERMANENT_HOURLY_RATE-MAX(0,($D279+Q$5)-PERMANENT_FIELD_LABOR_HOURS)*TEMP_HOURLY_RATE-FIXED_SEASON_COST)</f>
        <v>29480.9457541852</v>
      </c>
      <c r="R279" s="53" t="n">
        <f aca="false">IF(OR($A279&gt;TOMATO_BED_CAP,$B279&gt;CARROT_BED_CAP,R$4&gt;MESCLUN_BED_CAP,$A279+$B279+R$4&gt;TOTAL_BEDS_AVAILABLE,($D279+R$5)&gt;TOTAL_LABOR_HOURS_CAP,MAX(0,($D279+R$5)-PERMANENT_FIELD_LABOR_HOURS)&gt;TEMP_HOURS_CAP),"",$C279+R$6-MIN(($D279+R$5),PERMANENT_FIELD_LABOR_HOURS)*PERMANENT_HOURLY_RATE-MAX(0,($D279+R$5)-PERMANENT_FIELD_LABOR_HOURS)*TEMP_HOURLY_RATE-FIXED_SEASON_COST)</f>
        <v>30271.021167882</v>
      </c>
      <c r="S279" s="53" t="n">
        <f aca="false">IF(OR($A279&gt;TOMATO_BED_CAP,$B279&gt;CARROT_BED_CAP,S$4&gt;MESCLUN_BED_CAP,$A279+$B279+S$4&gt;TOTAL_BEDS_AVAILABLE,($D279+S$5)&gt;TOTAL_LABOR_HOURS_CAP,MAX(0,($D279+S$5)-PERMANENT_FIELD_LABOR_HOURS)&gt;TEMP_HOURS_CAP),"",$C279+S$6-MIN(($D279+S$5),PERMANENT_FIELD_LABOR_HOURS)*PERMANENT_HOURLY_RATE-MAX(0,($D279+S$5)-PERMANENT_FIELD_LABOR_HOURS)*TEMP_HOURLY_RATE-FIXED_SEASON_COST)</f>
        <v>31036.8877563844</v>
      </c>
      <c r="T279" s="53" t="n">
        <f aca="false">IF(OR($A279&gt;TOMATO_BED_CAP,$B279&gt;CARROT_BED_CAP,T$4&gt;MESCLUN_BED_CAP,$A279+$B279+T$4&gt;TOTAL_BEDS_AVAILABLE,($D279+T$5)&gt;TOTAL_LABOR_HOURS_CAP,MAX(0,($D279+T$5)-PERMANENT_FIELD_LABOR_HOURS)&gt;TEMP_HOURS_CAP),"",$C279+T$6-MIN(($D279+T$5),PERMANENT_FIELD_LABOR_HOURS)*PERMANENT_HOURLY_RATE-MAX(0,($D279+T$5)-PERMANENT_FIELD_LABOR_HOURS)*TEMP_HOURLY_RATE-FIXED_SEASON_COST)</f>
        <v>31778.1012247793</v>
      </c>
      <c r="U279" s="53" t="n">
        <f aca="false">IF(OR($A279&gt;TOMATO_BED_CAP,$B279&gt;CARROT_BED_CAP,U$4&gt;MESCLUN_BED_CAP,$A279+$B279+U$4&gt;TOTAL_BEDS_AVAILABLE,($D279+U$5)&gt;TOTAL_LABOR_HOURS_CAP,MAX(0,($D279+U$5)-PERMANENT_FIELD_LABOR_HOURS)&gt;TEMP_HOURS_CAP),"",$C279+U$6-MIN(($D279+U$5),PERMANENT_FIELD_LABOR_HOURS)*PERMANENT_HOURLY_RATE-MAX(0,($D279+U$5)-PERMANENT_FIELD_LABOR_HOURS)*TEMP_HOURLY_RATE-FIXED_SEASON_COST)</f>
        <v>32494.2099534094</v>
      </c>
      <c r="V279" s="53" t="n">
        <f aca="false">IF(OR($A279&gt;TOMATO_BED_CAP,$B279&gt;CARROT_BED_CAP,V$4&gt;MESCLUN_BED_CAP,$A279+$B279+V$4&gt;TOTAL_BEDS_AVAILABLE,($D279+V$5)&gt;TOTAL_LABOR_HOURS_CAP,MAX(0,($D279+V$5)-PERMANENT_FIELD_LABOR_HOURS)&gt;TEMP_HOURS_CAP),"",$C279+V$6-MIN(($D279+V$5),PERMANENT_FIELD_LABOR_HOURS)*PERMANENT_HOURLY_RATE-MAX(0,($D279+V$5)-PERMANENT_FIELD_LABOR_HOURS)*TEMP_HOURLY_RATE-FIXED_SEASON_COST)</f>
        <v>33184.7548841762</v>
      </c>
      <c r="W279" s="53" t="n">
        <f aca="false">IF(OR($A279&gt;TOMATO_BED_CAP,$B279&gt;CARROT_BED_CAP,W$4&gt;MESCLUN_BED_CAP,$A279+$B279+W$4&gt;TOTAL_BEDS_AVAILABLE,($D279+W$5)&gt;TOTAL_LABOR_HOURS_CAP,MAX(0,($D279+W$5)-PERMANENT_FIELD_LABOR_HOURS)&gt;TEMP_HOURS_CAP),"",$C279+W$6-MIN(($D279+W$5),PERMANENT_FIELD_LABOR_HOURS)*PERMANENT_HOURLY_RATE-MAX(0,($D279+W$5)-PERMANENT_FIELD_LABOR_HOURS)*TEMP_HOURLY_RATE-FIXED_SEASON_COST)</f>
        <v>33849.2694051442</v>
      </c>
      <c r="X279" s="53" t="n">
        <f aca="false">IF(OR($A279&gt;TOMATO_BED_CAP,$B279&gt;CARROT_BED_CAP,X$4&gt;MESCLUN_BED_CAP,$A279+$B279+X$4&gt;TOTAL_BEDS_AVAILABLE,($D279+X$5)&gt;TOTAL_LABOR_HOURS_CAP,MAX(0,($D279+X$5)-PERMANENT_FIELD_LABOR_HOURS)&gt;TEMP_HOURS_CAP),"",$C279+X$6-MIN(($D279+X$5),PERMANENT_FIELD_LABOR_HOURS)*PERMANENT_HOURLY_RATE-MAX(0,($D279+X$5)-PERMANENT_FIELD_LABOR_HOURS)*TEMP_HOURLY_RATE-FIXED_SEASON_COST)</f>
        <v>34487.2792334232</v>
      </c>
      <c r="Y279" s="53" t="n">
        <f aca="false">IF(OR($A279&gt;TOMATO_BED_CAP,$B279&gt;CARROT_BED_CAP,Y$4&gt;MESCLUN_BED_CAP,$A279+$B279+Y$4&gt;TOTAL_BEDS_AVAILABLE,($D279+Y$5)&gt;TOTAL_LABOR_HOURS_CAP,MAX(0,($D279+Y$5)-PERMANENT_FIELD_LABOR_HOURS)&gt;TEMP_HOURS_CAP),"",$C279+Y$6-MIN(($D279+Y$5),PERMANENT_FIELD_LABOR_HOURS)*PERMANENT_HOURLY_RATE-MAX(0,($D279+Y$5)-PERMANENT_FIELD_LABOR_HOURS)*TEMP_HOURLY_RATE-FIXED_SEASON_COST)</f>
        <v>35098.3022963018</v>
      </c>
      <c r="Z279" s="53" t="n">
        <f aca="false">IF(OR($A279&gt;TOMATO_BED_CAP,$B279&gt;CARROT_BED_CAP,Z$4&gt;MESCLUN_BED_CAP,$A279+$B279+Z$4&gt;TOTAL_BEDS_AVAILABLE,($D279+Z$5)&gt;TOTAL_LABOR_HOURS_CAP,MAX(0,($D279+Z$5)-PERMANENT_FIELD_LABOR_HOURS)&gt;TEMP_HOURS_CAP),"",$C279+Z$6-MIN(($D279+Z$5),PERMANENT_FIELD_LABOR_HOURS)*PERMANENT_HOURLY_RATE-MAX(0,($D279+Z$5)-PERMANENT_FIELD_LABOR_HOURS)*TEMP_HOURLY_RATE-FIXED_SEASON_COST)</f>
        <v>35681.8486106095</v>
      </c>
      <c r="AA279" s="53" t="n">
        <f aca="false">IF(OR($A279&gt;TOMATO_BED_CAP,$B279&gt;CARROT_BED_CAP,AA$4&gt;MESCLUN_BED_CAP,$A279+$B279+AA$4&gt;TOTAL_BEDS_AVAILABLE,($D279+AA$5)&gt;TOTAL_LABOR_HOURS_CAP,MAX(0,($D279+AA$5)-PERMANENT_FIELD_LABOR_HOURS)&gt;TEMP_HOURS_CAP),"",$C279+AA$6-MIN(($D279+AA$5),PERMANENT_FIELD_LABOR_HOURS)*PERMANENT_HOURLY_RATE-MAX(0,($D279+AA$5)-PERMANENT_FIELD_LABOR_HOURS)*TEMP_HOURLY_RATE-FIXED_SEASON_COST)</f>
        <v>36237.4201602785</v>
      </c>
      <c r="AB279" s="53" t="n">
        <f aca="false">IF(OR($A279&gt;TOMATO_BED_CAP,$B279&gt;CARROT_BED_CAP,AB$4&gt;MESCLUN_BED_CAP,$A279+$B279+AB$4&gt;TOTAL_BEDS_AVAILABLE,($D279+AB$5)&gt;TOTAL_LABOR_HOURS_CAP,MAX(0,($D279+AB$5)-PERMANENT_FIELD_LABOR_HOURS)&gt;TEMP_HOURS_CAP),"",$C279+AB$6-MIN(($D279+AB$5),PERMANENT_FIELD_LABOR_HOURS)*PERMANENT_HOURLY_RATE-MAX(0,($D279+AB$5)-PERMANENT_FIELD_LABOR_HOURS)*TEMP_HOURLY_RATE-FIXED_SEASON_COST)</f>
        <v>36764.510772081</v>
      </c>
      <c r="AC279" s="53" t="n">
        <f aca="false">IF(OR($A279&gt;TOMATO_BED_CAP,$B279&gt;CARROT_BED_CAP,AC$4&gt;MESCLUN_BED_CAP,$A279+$B279+AC$4&gt;TOTAL_BEDS_AVAILABLE,($D279+AC$5)&gt;TOTAL_LABOR_HOURS_CAP,MAX(0,($D279+AC$5)-PERMANENT_FIELD_LABOR_HOURS)&gt;TEMP_HOURS_CAP),"",$C279+AC$6-MIN(($D279+AC$5),PERMANENT_FIELD_LABOR_HOURS)*PERMANENT_HOURLY_RATE-MAX(0,($D279+AC$5)-PERMANENT_FIELD_LABOR_HOURS)*TEMP_HOURLY_RATE-FIXED_SEASON_COST)</f>
        <v>37262.6059895159</v>
      </c>
      <c r="AD279" s="53" t="n">
        <f aca="false">IF(OR($A279&gt;TOMATO_BED_CAP,$B279&gt;CARROT_BED_CAP,AD$4&gt;MESCLUN_BED_CAP,$A279+$B279+AD$4&gt;TOTAL_BEDS_AVAILABLE,($D279+AD$5)&gt;TOTAL_LABOR_HOURS_CAP,MAX(0,($D279+AD$5)-PERMANENT_FIELD_LABOR_HOURS)&gt;TEMP_HOURS_CAP),"",$C279+AD$6-MIN(($D279+AD$5),PERMANENT_FIELD_LABOR_HOURS)*PERMANENT_HOURLY_RATE-MAX(0,($D279+AD$5)-PERMANENT_FIELD_LABOR_HOURS)*TEMP_HOURLY_RATE-FIXED_SEASON_COST)</f>
        <v>37731.1829448159</v>
      </c>
      <c r="AE279" s="53" t="n">
        <f aca="false">IF(OR($A279&gt;TOMATO_BED_CAP,$B279&gt;CARROT_BED_CAP,AE$4&gt;MESCLUN_BED_CAP,$A279+$B279+AE$4&gt;TOTAL_BEDS_AVAILABLE,($D279+AE$5)&gt;TOTAL_LABOR_HOURS_CAP,MAX(0,($D279+AE$5)-PERMANENT_FIELD_LABOR_HOURS)&gt;TEMP_HOURS_CAP),"",$C279+AE$6-MIN(($D279+AE$5),PERMANENT_FIELD_LABOR_HOURS)*PERMANENT_HOURLY_RATE-MAX(0,($D279+AE$5)-PERMANENT_FIELD_LABOR_HOURS)*TEMP_HOURLY_RATE-FIXED_SEASON_COST)</f>
        <v>38169.7102290498</v>
      </c>
      <c r="AF279" s="53" t="n">
        <f aca="false">IF(OR($A279&gt;TOMATO_BED_CAP,$B279&gt;CARROT_BED_CAP,AF$4&gt;MESCLUN_BED_CAP,$A279+$B279+AF$4&gt;TOTAL_BEDS_AVAILABLE,($D279+AF$5)&gt;TOTAL_LABOR_HOURS_CAP,MAX(0,($D279+AF$5)-PERMANENT_FIELD_LABOR_HOURS)&gt;TEMP_HOURS_CAP),"",$C279+AF$6-MIN(($D279+AF$5),PERMANENT_FIELD_LABOR_HOURS)*PERMANENT_HOURLY_RATE-MAX(0,($D279+AF$5)-PERMANENT_FIELD_LABOR_HOURS)*TEMP_HOURLY_RATE-FIXED_SEASON_COST)</f>
        <v>38577.6477602918</v>
      </c>
      <c r="AG279" s="53" t="n">
        <f aca="false">IF(OR($A279&gt;TOMATO_BED_CAP,$B279&gt;CARROT_BED_CAP,AG$4&gt;MESCLUN_BED_CAP,$A279+$B279+AG$4&gt;TOTAL_BEDS_AVAILABLE,($D279+AG$5)&gt;TOTAL_LABOR_HOURS_CAP,MAX(0,($D279+AG$5)-PERMANENT_FIELD_LABOR_HOURS)&gt;TEMP_HOURS_CAP),"",$C279+AG$6-MIN(($D279+AG$5),PERMANENT_FIELD_LABOR_HOURS)*PERMANENT_HOURLY_RATE-MAX(0,($D279+AG$5)-PERMANENT_FIELD_LABOR_HOURS)*TEMP_HOURLY_RATE-FIXED_SEASON_COST)</f>
        <v>38954.4466498288</v>
      </c>
      <c r="AH279" s="53" t="n">
        <f aca="false">IF(OR($A279&gt;TOMATO_BED_CAP,$B279&gt;CARROT_BED_CAP,AH$4&gt;MESCLUN_BED_CAP,$A279+$B279+AH$4&gt;TOTAL_BEDS_AVAILABLE,($D279+AH$5)&gt;TOTAL_LABOR_HOURS_CAP,MAX(0,($D279+AH$5)-PERMANENT_FIELD_LABOR_HOURS)&gt;TEMP_HOURS_CAP),"",$C279+AH$6-MIN(($D279+AH$5),PERMANENT_FIELD_LABOR_HOURS)*PERMANENT_HOURLY_RATE-MAX(0,($D279+AH$5)-PERMANENT_FIELD_LABOR_HOURS)*TEMP_HOURLY_RATE-FIXED_SEASON_COST)</f>
        <v>39299.549066379</v>
      </c>
      <c r="AI279" s="53" t="n">
        <f aca="false">IF(OR($A279&gt;TOMATO_BED_CAP,$B279&gt;CARROT_BED_CAP,AI$4&gt;MESCLUN_BED_CAP,$A279+$B279+AI$4&gt;TOTAL_BEDS_AVAILABLE,($D279+AI$5)&gt;TOTAL_LABOR_HOURS_CAP,MAX(0,($D279+AI$5)-PERMANENT_FIELD_LABOR_HOURS)&gt;TEMP_HOURS_CAP),"",$C279+AI$6-MIN(($D279+AI$5),PERMANENT_FIELD_LABOR_HOURS)*PERMANENT_HOURLY_RATE-MAX(0,($D279+AI$5)-PERMANENT_FIELD_LABOR_HOURS)*TEMP_HOURLY_RATE-FIXED_SEASON_COST)</f>
        <v>39612.3880982912</v>
      </c>
      <c r="AJ279" s="53" t="n">
        <f aca="false">IF(OR($A279&gt;TOMATO_BED_CAP,$B279&gt;CARROT_BED_CAP,AJ$4&gt;MESCLUN_BED_CAP,$A279+$B279+AJ$4&gt;TOTAL_BEDS_AVAILABLE,($D279+AJ$5)&gt;TOTAL_LABOR_HOURS_CAP,MAX(0,($D279+AJ$5)-PERMANENT_FIELD_LABOR_HOURS)&gt;TEMP_HOURS_CAP),"",$C279+AJ$6-MIN(($D279+AJ$5),PERMANENT_FIELD_LABOR_HOURS)*PERMANENT_HOURLY_RATE-MAX(0,($D279+AJ$5)-PERMANENT_FIELD_LABOR_HOURS)*TEMP_HOURLY_RATE-FIXED_SEASON_COST)</f>
        <v>39892.387613697</v>
      </c>
    </row>
    <row r="280" customFormat="false" ht="15" hidden="false" customHeight="false" outlineLevel="0" collapsed="false">
      <c r="A280" s="21" t="n">
        <f aca="false">INT((ROW()-ROW($A$8))/(20+1))</f>
        <v>12</v>
      </c>
      <c r="B280" s="21" t="n">
        <f aca="false">MOD(ROW()-ROW($A$8),20+1)</f>
        <v>20</v>
      </c>
      <c r="C280" s="13" t="n">
        <f aca="false">A280*(TOMATO_REVENUE_PER_BED-TOMATO_FERTILIZER_PER_BED)+B280*(CARROT_REVENUE_PER_BED-CARROT_FERTILIZER_PER_BED)</f>
        <v>128120</v>
      </c>
      <c r="D280" s="14" t="n">
        <f aca="false">INDEX(TOMATO_SCHED_LABOR_HRS,A280+1)+INDEX(CARROT_SCHED_LABOR_HRS,B280+1)</f>
        <v>4372.27924308725</v>
      </c>
      <c r="E280" s="13" t="n">
        <f aca="false">IF(COUNT(F280:AJ280)=0,"",MAX(F280:AJ280))</f>
        <v>40298.0216348779</v>
      </c>
      <c r="F280" s="53" t="n">
        <f aca="false">IF(OR($A280&gt;TOMATO_BED_CAP,$B280&gt;CARROT_BED_CAP,F$4&gt;MESCLUN_BED_CAP,$A280+$B280+F$4&gt;TOTAL_BEDS_AVAILABLE,($D280+F$5)&gt;TOTAL_LABOR_HOURS_CAP,MAX(0,($D280+F$5)-PERMANENT_FIELD_LABOR_HOURS)&gt;TEMP_HOURS_CAP),"",$C280+F$6-MIN(($D280+F$5),PERMANENT_FIELD_LABOR_HOURS)*PERMANENT_HOURLY_RATE-MAX(0,($D280+F$5)-PERMANENT_FIELD_LABOR_HOURS)*TEMP_HOURLY_RATE-FIXED_SEASON_COST)</f>
        <v>19718.0323400053</v>
      </c>
      <c r="G280" s="53" t="n">
        <f aca="false">IF(OR($A280&gt;TOMATO_BED_CAP,$B280&gt;CARROT_BED_CAP,G$4&gt;MESCLUN_BED_CAP,$A280+$B280+G$4&gt;TOTAL_BEDS_AVAILABLE,($D280+G$5)&gt;TOTAL_LABOR_HOURS_CAP,MAX(0,($D280+G$5)-PERMANENT_FIELD_LABOR_HOURS)&gt;TEMP_HOURS_CAP),"",$C280+G$6-MIN(($D280+G$5),PERMANENT_FIELD_LABOR_HOURS)*PERMANENT_HOURLY_RATE-MAX(0,($D280+G$5)-PERMANENT_FIELD_LABOR_HOURS)*TEMP_HOURLY_RATE-FIXED_SEASON_COST)</f>
        <v>20747.0673400053</v>
      </c>
      <c r="H280" s="53" t="n">
        <f aca="false">IF(OR($A280&gt;TOMATO_BED_CAP,$B280&gt;CARROT_BED_CAP,H$4&gt;MESCLUN_BED_CAP,$A280+$B280+H$4&gt;TOTAL_BEDS_AVAILABLE,($D280+H$5)&gt;TOTAL_LABOR_HOURS_CAP,MAX(0,($D280+H$5)-PERMANENT_FIELD_LABOR_HOURS)&gt;TEMP_HOURS_CAP),"",$C280+H$6-MIN(($D280+H$5),PERMANENT_FIELD_LABOR_HOURS)*PERMANENT_HOURLY_RATE-MAX(0,($D280+H$5)-PERMANENT_FIELD_LABOR_HOURS)*TEMP_HOURLY_RATE-FIXED_SEASON_COST)</f>
        <v>21756.3282150053</v>
      </c>
      <c r="I280" s="53" t="n">
        <f aca="false">IF(OR($A280&gt;TOMATO_BED_CAP,$B280&gt;CARROT_BED_CAP,I$4&gt;MESCLUN_BED_CAP,$A280+$B280+I$4&gt;TOTAL_BEDS_AVAILABLE,($D280+I$5)&gt;TOTAL_LABOR_HOURS_CAP,MAX(0,($D280+I$5)-PERMANENT_FIELD_LABOR_HOURS)&gt;TEMP_HOURS_CAP),"",$C280+I$6-MIN(($D280+I$5),PERMANENT_FIELD_LABOR_HOURS)*PERMANENT_HOURLY_RATE-MAX(0,($D280+I$5)-PERMANENT_FIELD_LABOR_HOURS)*TEMP_HOURLY_RATE-FIXED_SEASON_COST)</f>
        <v>22745.4442001616</v>
      </c>
      <c r="J280" s="53" t="n">
        <f aca="false">IF(OR($A280&gt;TOMATO_BED_CAP,$B280&gt;CARROT_BED_CAP,J$4&gt;MESCLUN_BED_CAP,$A280+$B280+J$4&gt;TOTAL_BEDS_AVAILABLE,($D280+J$5)&gt;TOTAL_LABOR_HOURS_CAP,MAX(0,($D280+J$5)-PERMANENT_FIELD_LABOR_HOURS)&gt;TEMP_HOURS_CAP),"",$C280+J$6-MIN(($D280+J$5),PERMANENT_FIELD_LABOR_HOURS)*PERMANENT_HOURLY_RATE-MAX(0,($D280+J$5)-PERMANENT_FIELD_LABOR_HOURS)*TEMP_HOURLY_RATE-FIXED_SEASON_COST)</f>
        <v>23714.0383512163</v>
      </c>
      <c r="K280" s="53" t="n">
        <f aca="false">IF(OR($A280&gt;TOMATO_BED_CAP,$B280&gt;CARROT_BED_CAP,K$4&gt;MESCLUN_BED_CAP,$A280+$B280+K$4&gt;TOTAL_BEDS_AVAILABLE,($D280+K$5)&gt;TOTAL_LABOR_HOURS_CAP,MAX(0,($D280+K$5)-PERMANENT_FIELD_LABOR_HOURS)&gt;TEMP_HOURS_CAP),"",$C280+K$6-MIN(($D280+K$5),PERMANENT_FIELD_LABOR_HOURS)*PERMANENT_HOURLY_RATE-MAX(0,($D280+K$5)-PERMANENT_FIELD_LABOR_HOURS)*TEMP_HOURLY_RATE-FIXED_SEASON_COST)</f>
        <v>24661.7274479442</v>
      </c>
      <c r="L280" s="53" t="n">
        <f aca="false">IF(OR($A280&gt;TOMATO_BED_CAP,$B280&gt;CARROT_BED_CAP,L$4&gt;MESCLUN_BED_CAP,$A280+$B280+L$4&gt;TOTAL_BEDS_AVAILABLE,($D280+L$5)&gt;TOTAL_LABOR_HOURS_CAP,MAX(0,($D280+L$5)-PERMANENT_FIELD_LABOR_HOURS)&gt;TEMP_HOURS_CAP),"",$C280+L$6-MIN(($D280+L$5),PERMANENT_FIELD_LABOR_HOURS)*PERMANENT_HOURLY_RATE-MAX(0,($D280+L$5)-PERMANENT_FIELD_LABOR_HOURS)*TEMP_HOURLY_RATE-FIXED_SEASON_COST)</f>
        <v>25588.121896151</v>
      </c>
      <c r="M280" s="53" t="n">
        <f aca="false">IF(OR($A280&gt;TOMATO_BED_CAP,$B280&gt;CARROT_BED_CAP,M$4&gt;MESCLUN_BED_CAP,$A280+$B280+M$4&gt;TOTAL_BEDS_AVAILABLE,($D280+M$5)&gt;TOTAL_LABOR_HOURS_CAP,MAX(0,($D280+M$5)-PERMANENT_FIELD_LABOR_HOURS)&gt;TEMP_HOURS_CAP),"",$C280+M$6-MIN(($D280+M$5),PERMANENT_FIELD_LABOR_HOURS)*PERMANENT_HOURLY_RATE-MAX(0,($D280+M$5)-PERMANENT_FIELD_LABOR_HOURS)*TEMP_HOURLY_RATE-FIXED_SEASON_COST)</f>
        <v>26492.8256282024</v>
      </c>
      <c r="N280" s="53" t="n">
        <f aca="false">IF(OR($A280&gt;TOMATO_BED_CAP,$B280&gt;CARROT_BED_CAP,N$4&gt;MESCLUN_BED_CAP,$A280+$B280+N$4&gt;TOTAL_BEDS_AVAILABLE,($D280+N$5)&gt;TOTAL_LABOR_HOURS_CAP,MAX(0,($D280+N$5)-PERMANENT_FIELD_LABOR_HOURS)&gt;TEMP_HOURS_CAP),"",$C280+N$6-MIN(($D280+N$5),PERMANENT_FIELD_LABOR_HOURS)*PERMANENT_HOURLY_RATE-MAX(0,($D280+N$5)-PERMANENT_FIELD_LABOR_HOURS)*TEMP_HOURLY_RATE-FIXED_SEASON_COST)</f>
        <v>27375.436002062</v>
      </c>
      <c r="O280" s="53" t="n">
        <f aca="false">IF(OR($A280&gt;TOMATO_BED_CAP,$B280&gt;CARROT_BED_CAP,O$4&gt;MESCLUN_BED_CAP,$A280+$B280+O$4&gt;TOTAL_BEDS_AVAILABLE,($D280+O$5)&gt;TOTAL_LABOR_HOURS_CAP,MAX(0,($D280+O$5)-PERMANENT_FIELD_LABOR_HOURS)&gt;TEMP_HOURS_CAP),"",$C280+O$6-MIN(($D280+O$5),PERMANENT_FIELD_LABOR_HOURS)*PERMANENT_HOURLY_RATE-MAX(0,($D280+O$5)-PERMANENT_FIELD_LABOR_HOURS)*TEMP_HOURLY_RATE-FIXED_SEASON_COST)</f>
        <v>28235.5436988167</v>
      </c>
      <c r="P280" s="53" t="n">
        <f aca="false">IF(OR($A280&gt;TOMATO_BED_CAP,$B280&gt;CARROT_BED_CAP,P$4&gt;MESCLUN_BED_CAP,$A280+$B280+P$4&gt;TOTAL_BEDS_AVAILABLE,($D280+P$5)&gt;TOTAL_LABOR_HOURS_CAP,MAX(0,($D280+P$5)-PERMANENT_FIELD_LABOR_HOURS)&gt;TEMP_HOURS_CAP),"",$C280+P$6-MIN(($D280+P$5),PERMANENT_FIELD_LABOR_HOURS)*PERMANENT_HOURLY_RATE-MAX(0,($D280+P$5)-PERMANENT_FIELD_LABOR_HOURS)*TEMP_HOURLY_RATE-FIXED_SEASON_COST)</f>
        <v>29072.7326186682</v>
      </c>
      <c r="Q280" s="53" t="n">
        <f aca="false">IF(OR($A280&gt;TOMATO_BED_CAP,$B280&gt;CARROT_BED_CAP,Q$4&gt;MESCLUN_BED_CAP,$A280+$B280+Q$4&gt;TOTAL_BEDS_AVAILABLE,($D280+Q$5)&gt;TOTAL_LABOR_HOURS_CAP,MAX(0,($D280+Q$5)-PERMANENT_FIELD_LABOR_HOURS)&gt;TEMP_HOURS_CAP),"",$C280+Q$6-MIN(($D280+Q$5),PERMANENT_FIELD_LABOR_HOURS)*PERMANENT_HOURLY_RATE-MAX(0,($D280+Q$5)-PERMANENT_FIELD_LABOR_HOURS)*TEMP_HOURLY_RATE-FIXED_SEASON_COST)</f>
        <v>29886.5797753661</v>
      </c>
      <c r="R280" s="53" t="n">
        <f aca="false">IF(OR($A280&gt;TOMATO_BED_CAP,$B280&gt;CARROT_BED_CAP,R$4&gt;MESCLUN_BED_CAP,$A280+$B280+R$4&gt;TOTAL_BEDS_AVAILABLE,($D280+R$5)&gt;TOTAL_LABOR_HOURS_CAP,MAX(0,($D280+R$5)-PERMANENT_FIELD_LABOR_HOURS)&gt;TEMP_HOURS_CAP),"",$C280+R$6-MIN(($D280+R$5),PERMANENT_FIELD_LABOR_HOURS)*PERMANENT_HOURLY_RATE-MAX(0,($D280+R$5)-PERMANENT_FIELD_LABOR_HOURS)*TEMP_HOURLY_RATE-FIXED_SEASON_COST)</f>
        <v>30676.6551890629</v>
      </c>
      <c r="S280" s="53" t="n">
        <f aca="false">IF(OR($A280&gt;TOMATO_BED_CAP,$B280&gt;CARROT_BED_CAP,S$4&gt;MESCLUN_BED_CAP,$A280+$B280+S$4&gt;TOTAL_BEDS_AVAILABLE,($D280+S$5)&gt;TOTAL_LABOR_HOURS_CAP,MAX(0,($D280+S$5)-PERMANENT_FIELD_LABOR_HOURS)&gt;TEMP_HOURS_CAP),"",$C280+S$6-MIN(($D280+S$5),PERMANENT_FIELD_LABOR_HOURS)*PERMANENT_HOURLY_RATE-MAX(0,($D280+S$5)-PERMANENT_FIELD_LABOR_HOURS)*TEMP_HOURLY_RATE-FIXED_SEASON_COST)</f>
        <v>31442.5217775653</v>
      </c>
      <c r="T280" s="53" t="n">
        <f aca="false">IF(OR($A280&gt;TOMATO_BED_CAP,$B280&gt;CARROT_BED_CAP,T$4&gt;MESCLUN_BED_CAP,$A280+$B280+T$4&gt;TOTAL_BEDS_AVAILABLE,($D280+T$5)&gt;TOTAL_LABOR_HOURS_CAP,MAX(0,($D280+T$5)-PERMANENT_FIELD_LABOR_HOURS)&gt;TEMP_HOURS_CAP),"",$C280+T$6-MIN(($D280+T$5),PERMANENT_FIELD_LABOR_HOURS)*PERMANENT_HOURLY_RATE-MAX(0,($D280+T$5)-PERMANENT_FIELD_LABOR_HOURS)*TEMP_HOURLY_RATE-FIXED_SEASON_COST)</f>
        <v>32183.7352459602</v>
      </c>
      <c r="U280" s="53" t="n">
        <f aca="false">IF(OR($A280&gt;TOMATO_BED_CAP,$B280&gt;CARROT_BED_CAP,U$4&gt;MESCLUN_BED_CAP,$A280+$B280+U$4&gt;TOTAL_BEDS_AVAILABLE,($D280+U$5)&gt;TOTAL_LABOR_HOURS_CAP,MAX(0,($D280+U$5)-PERMANENT_FIELD_LABOR_HOURS)&gt;TEMP_HOURS_CAP),"",$C280+U$6-MIN(($D280+U$5),PERMANENT_FIELD_LABOR_HOURS)*PERMANENT_HOURLY_RATE-MAX(0,($D280+U$5)-PERMANENT_FIELD_LABOR_HOURS)*TEMP_HOURLY_RATE-FIXED_SEASON_COST)</f>
        <v>32899.8439745903</v>
      </c>
      <c r="V280" s="53" t="n">
        <f aca="false">IF(OR($A280&gt;TOMATO_BED_CAP,$B280&gt;CARROT_BED_CAP,V$4&gt;MESCLUN_BED_CAP,$A280+$B280+V$4&gt;TOTAL_BEDS_AVAILABLE,($D280+V$5)&gt;TOTAL_LABOR_HOURS_CAP,MAX(0,($D280+V$5)-PERMANENT_FIELD_LABOR_HOURS)&gt;TEMP_HOURS_CAP),"",$C280+V$6-MIN(($D280+V$5),PERMANENT_FIELD_LABOR_HOURS)*PERMANENT_HOURLY_RATE-MAX(0,($D280+V$5)-PERMANENT_FIELD_LABOR_HOURS)*TEMP_HOURLY_RATE-FIXED_SEASON_COST)</f>
        <v>33590.3889053571</v>
      </c>
      <c r="W280" s="53" t="n">
        <f aca="false">IF(OR($A280&gt;TOMATO_BED_CAP,$B280&gt;CARROT_BED_CAP,W$4&gt;MESCLUN_BED_CAP,$A280+$B280+W$4&gt;TOTAL_BEDS_AVAILABLE,($D280+W$5)&gt;TOTAL_LABOR_HOURS_CAP,MAX(0,($D280+W$5)-PERMANENT_FIELD_LABOR_HOURS)&gt;TEMP_HOURS_CAP),"",$C280+W$6-MIN(($D280+W$5),PERMANENT_FIELD_LABOR_HOURS)*PERMANENT_HOURLY_RATE-MAX(0,($D280+W$5)-PERMANENT_FIELD_LABOR_HOURS)*TEMP_HOURLY_RATE-FIXED_SEASON_COST)</f>
        <v>34254.9034263251</v>
      </c>
      <c r="X280" s="53" t="n">
        <f aca="false">IF(OR($A280&gt;TOMATO_BED_CAP,$B280&gt;CARROT_BED_CAP,X$4&gt;MESCLUN_BED_CAP,$A280+$B280+X$4&gt;TOTAL_BEDS_AVAILABLE,($D280+X$5)&gt;TOTAL_LABOR_HOURS_CAP,MAX(0,($D280+X$5)-PERMANENT_FIELD_LABOR_HOURS)&gt;TEMP_HOURS_CAP),"",$C280+X$6-MIN(($D280+X$5),PERMANENT_FIELD_LABOR_HOURS)*PERMANENT_HOURLY_RATE-MAX(0,($D280+X$5)-PERMANENT_FIELD_LABOR_HOURS)*TEMP_HOURLY_RATE-FIXED_SEASON_COST)</f>
        <v>34892.913254604</v>
      </c>
      <c r="Y280" s="53" t="n">
        <f aca="false">IF(OR($A280&gt;TOMATO_BED_CAP,$B280&gt;CARROT_BED_CAP,Y$4&gt;MESCLUN_BED_CAP,$A280+$B280+Y$4&gt;TOTAL_BEDS_AVAILABLE,($D280+Y$5)&gt;TOTAL_LABOR_HOURS_CAP,MAX(0,($D280+Y$5)-PERMANENT_FIELD_LABOR_HOURS)&gt;TEMP_HOURS_CAP),"",$C280+Y$6-MIN(($D280+Y$5),PERMANENT_FIELD_LABOR_HOURS)*PERMANENT_HOURLY_RATE-MAX(0,($D280+Y$5)-PERMANENT_FIELD_LABOR_HOURS)*TEMP_HOURLY_RATE-FIXED_SEASON_COST)</f>
        <v>35503.9363174827</v>
      </c>
      <c r="Z280" s="53" t="n">
        <f aca="false">IF(OR($A280&gt;TOMATO_BED_CAP,$B280&gt;CARROT_BED_CAP,Z$4&gt;MESCLUN_BED_CAP,$A280+$B280+Z$4&gt;TOTAL_BEDS_AVAILABLE,($D280+Z$5)&gt;TOTAL_LABOR_HOURS_CAP,MAX(0,($D280+Z$5)-PERMANENT_FIELD_LABOR_HOURS)&gt;TEMP_HOURS_CAP),"",$C280+Z$6-MIN(($D280+Z$5),PERMANENT_FIELD_LABOR_HOURS)*PERMANENT_HOURLY_RATE-MAX(0,($D280+Z$5)-PERMANENT_FIELD_LABOR_HOURS)*TEMP_HOURLY_RATE-FIXED_SEASON_COST)</f>
        <v>36087.4826317904</v>
      </c>
      <c r="AA280" s="53" t="n">
        <f aca="false">IF(OR($A280&gt;TOMATO_BED_CAP,$B280&gt;CARROT_BED_CAP,AA$4&gt;MESCLUN_BED_CAP,$A280+$B280+AA$4&gt;TOTAL_BEDS_AVAILABLE,($D280+AA$5)&gt;TOTAL_LABOR_HOURS_CAP,MAX(0,($D280+AA$5)-PERMANENT_FIELD_LABOR_HOURS)&gt;TEMP_HOURS_CAP),"",$C280+AA$6-MIN(($D280+AA$5),PERMANENT_FIELD_LABOR_HOURS)*PERMANENT_HOURLY_RATE-MAX(0,($D280+AA$5)-PERMANENT_FIELD_LABOR_HOURS)*TEMP_HOURLY_RATE-FIXED_SEASON_COST)</f>
        <v>36643.0541814593</v>
      </c>
      <c r="AB280" s="53" t="n">
        <f aca="false">IF(OR($A280&gt;TOMATO_BED_CAP,$B280&gt;CARROT_BED_CAP,AB$4&gt;MESCLUN_BED_CAP,$A280+$B280+AB$4&gt;TOTAL_BEDS_AVAILABLE,($D280+AB$5)&gt;TOTAL_LABOR_HOURS_CAP,MAX(0,($D280+AB$5)-PERMANENT_FIELD_LABOR_HOURS)&gt;TEMP_HOURS_CAP),"",$C280+AB$6-MIN(($D280+AB$5),PERMANENT_FIELD_LABOR_HOURS)*PERMANENT_HOURLY_RATE-MAX(0,($D280+AB$5)-PERMANENT_FIELD_LABOR_HOURS)*TEMP_HOURLY_RATE-FIXED_SEASON_COST)</f>
        <v>37170.1447932619</v>
      </c>
      <c r="AC280" s="53" t="n">
        <f aca="false">IF(OR($A280&gt;TOMATO_BED_CAP,$B280&gt;CARROT_BED_CAP,AC$4&gt;MESCLUN_BED_CAP,$A280+$B280+AC$4&gt;TOTAL_BEDS_AVAILABLE,($D280+AC$5)&gt;TOTAL_LABOR_HOURS_CAP,MAX(0,($D280+AC$5)-PERMANENT_FIELD_LABOR_HOURS)&gt;TEMP_HOURS_CAP),"",$C280+AC$6-MIN(($D280+AC$5),PERMANENT_FIELD_LABOR_HOURS)*PERMANENT_HOURLY_RATE-MAX(0,($D280+AC$5)-PERMANENT_FIELD_LABOR_HOURS)*TEMP_HOURLY_RATE-FIXED_SEASON_COST)</f>
        <v>37668.2400106968</v>
      </c>
      <c r="AD280" s="53" t="n">
        <f aca="false">IF(OR($A280&gt;TOMATO_BED_CAP,$B280&gt;CARROT_BED_CAP,AD$4&gt;MESCLUN_BED_CAP,$A280+$B280+AD$4&gt;TOTAL_BEDS_AVAILABLE,($D280+AD$5)&gt;TOTAL_LABOR_HOURS_CAP,MAX(0,($D280+AD$5)-PERMANENT_FIELD_LABOR_HOURS)&gt;TEMP_HOURS_CAP),"",$C280+AD$6-MIN(($D280+AD$5),PERMANENT_FIELD_LABOR_HOURS)*PERMANENT_HOURLY_RATE-MAX(0,($D280+AD$5)-PERMANENT_FIELD_LABOR_HOURS)*TEMP_HOURLY_RATE-FIXED_SEASON_COST)</f>
        <v>38136.8169659968</v>
      </c>
      <c r="AE280" s="53" t="n">
        <f aca="false">IF(OR($A280&gt;TOMATO_BED_CAP,$B280&gt;CARROT_BED_CAP,AE$4&gt;MESCLUN_BED_CAP,$A280+$B280+AE$4&gt;TOTAL_BEDS_AVAILABLE,($D280+AE$5)&gt;TOTAL_LABOR_HOURS_CAP,MAX(0,($D280+AE$5)-PERMANENT_FIELD_LABOR_HOURS)&gt;TEMP_HOURS_CAP),"",$C280+AE$6-MIN(($D280+AE$5),PERMANENT_FIELD_LABOR_HOURS)*PERMANENT_HOURLY_RATE-MAX(0,($D280+AE$5)-PERMANENT_FIELD_LABOR_HOURS)*TEMP_HOURLY_RATE-FIXED_SEASON_COST)</f>
        <v>38575.3442502307</v>
      </c>
      <c r="AF280" s="53" t="n">
        <f aca="false">IF(OR($A280&gt;TOMATO_BED_CAP,$B280&gt;CARROT_BED_CAP,AF$4&gt;MESCLUN_BED_CAP,$A280+$B280+AF$4&gt;TOTAL_BEDS_AVAILABLE,($D280+AF$5)&gt;TOTAL_LABOR_HOURS_CAP,MAX(0,($D280+AF$5)-PERMANENT_FIELD_LABOR_HOURS)&gt;TEMP_HOURS_CAP),"",$C280+AF$6-MIN(($D280+AF$5),PERMANENT_FIELD_LABOR_HOURS)*PERMANENT_HOURLY_RATE-MAX(0,($D280+AF$5)-PERMANENT_FIELD_LABOR_HOURS)*TEMP_HOURLY_RATE-FIXED_SEASON_COST)</f>
        <v>38983.2817814726</v>
      </c>
      <c r="AG280" s="53" t="n">
        <f aca="false">IF(OR($A280&gt;TOMATO_BED_CAP,$B280&gt;CARROT_BED_CAP,AG$4&gt;MESCLUN_BED_CAP,$A280+$B280+AG$4&gt;TOTAL_BEDS_AVAILABLE,($D280+AG$5)&gt;TOTAL_LABOR_HOURS_CAP,MAX(0,($D280+AG$5)-PERMANENT_FIELD_LABOR_HOURS)&gt;TEMP_HOURS_CAP),"",$C280+AG$6-MIN(($D280+AG$5),PERMANENT_FIELD_LABOR_HOURS)*PERMANENT_HOURLY_RATE-MAX(0,($D280+AG$5)-PERMANENT_FIELD_LABOR_HOURS)*TEMP_HOURLY_RATE-FIXED_SEASON_COST)</f>
        <v>39360.0806710097</v>
      </c>
      <c r="AH280" s="53" t="n">
        <f aca="false">IF(OR($A280&gt;TOMATO_BED_CAP,$B280&gt;CARROT_BED_CAP,AH$4&gt;MESCLUN_BED_CAP,$A280+$B280+AH$4&gt;TOTAL_BEDS_AVAILABLE,($D280+AH$5)&gt;TOTAL_LABOR_HOURS_CAP,MAX(0,($D280+AH$5)-PERMANENT_FIELD_LABOR_HOURS)&gt;TEMP_HOURS_CAP),"",$C280+AH$6-MIN(($D280+AH$5),PERMANENT_FIELD_LABOR_HOURS)*PERMANENT_HOURLY_RATE-MAX(0,($D280+AH$5)-PERMANENT_FIELD_LABOR_HOURS)*TEMP_HOURLY_RATE-FIXED_SEASON_COST)</f>
        <v>39705.1830875599</v>
      </c>
      <c r="AI280" s="53" t="n">
        <f aca="false">IF(OR($A280&gt;TOMATO_BED_CAP,$B280&gt;CARROT_BED_CAP,AI$4&gt;MESCLUN_BED_CAP,$A280+$B280+AI$4&gt;TOTAL_BEDS_AVAILABLE,($D280+AI$5)&gt;TOTAL_LABOR_HOURS_CAP,MAX(0,($D280+AI$5)-PERMANENT_FIELD_LABOR_HOURS)&gt;TEMP_HOURS_CAP),"",$C280+AI$6-MIN(($D280+AI$5),PERMANENT_FIELD_LABOR_HOURS)*PERMANENT_HOURLY_RATE-MAX(0,($D280+AI$5)-PERMANENT_FIELD_LABOR_HOURS)*TEMP_HOURLY_RATE-FIXED_SEASON_COST)</f>
        <v>40018.0221194721</v>
      </c>
      <c r="AJ280" s="53" t="n">
        <f aca="false">IF(OR($A280&gt;TOMATO_BED_CAP,$B280&gt;CARROT_BED_CAP,AJ$4&gt;MESCLUN_BED_CAP,$A280+$B280+AJ$4&gt;TOTAL_BEDS_AVAILABLE,($D280+AJ$5)&gt;TOTAL_LABOR_HOURS_CAP,MAX(0,($D280+AJ$5)-PERMANENT_FIELD_LABOR_HOURS)&gt;TEMP_HOURS_CAP),"",$C280+AJ$6-MIN(($D280+AJ$5),PERMANENT_FIELD_LABOR_HOURS)*PERMANENT_HOURLY_RATE-MAX(0,($D280+AJ$5)-PERMANENT_FIELD_LABOR_HOURS)*TEMP_HOURLY_RATE-FIXED_SEASON_COST)</f>
        <v>40298.0216348779</v>
      </c>
    </row>
    <row r="281" customFormat="false" ht="15" hidden="false" customHeight="false" outlineLevel="0" collapsed="false">
      <c r="A281" s="21" t="n">
        <f aca="false">INT((ROW()-ROW($A$8))/(20+1))</f>
        <v>13</v>
      </c>
      <c r="B281" s="21" t="n">
        <f aca="false">MOD(ROW()-ROW($A$8),20+1)</f>
        <v>0</v>
      </c>
      <c r="C281" s="13" t="n">
        <f aca="false">A281*(TOMATO_REVENUE_PER_BED-TOMATO_FERTILIZER_PER_BED)+B281*(CARROT_REVENUE_PER_BED-CARROT_FERTILIZER_PER_BED)</f>
        <v>102960</v>
      </c>
      <c r="D281" s="14" t="n">
        <f aca="false">INDEX(TOMATO_SCHED_LABOR_HRS,A281+1)+INDEX(CARROT_SCHED_LABOR_HRS,B281+1)</f>
        <v>4039.15732083993</v>
      </c>
      <c r="E281" s="13" t="n">
        <f aca="false">IF(COUNT(F281:AJ281)=0,"",MAX(F281:AJ281))</f>
        <v>20921.0182050913</v>
      </c>
      <c r="F281" s="53" t="n">
        <f aca="false">IF(OR($A281&gt;TOMATO_BED_CAP,$B281&gt;CARROT_BED_CAP,F$4&gt;MESCLUN_BED_CAP,$A281+$B281+F$4&gt;TOTAL_BEDS_AVAILABLE,($D281+F$5)&gt;TOTAL_LABOR_HOURS_CAP,MAX(0,($D281+F$5)-PERMANENT_FIELD_LABOR_HOURS)&gt;TEMP_HOURS_CAP),"",$C281+F$6-MIN(($D281+F$5),PERMANENT_FIELD_LABOR_HOURS)*PERMANENT_HOURLY_RATE-MAX(0,($D281+F$5)-PERMANENT_FIELD_LABOR_HOURS)*TEMP_HOURLY_RATE-FIXED_SEASON_COST)</f>
        <v>341.028910218796</v>
      </c>
      <c r="G281" s="53" t="n">
        <f aca="false">IF(OR($A281&gt;TOMATO_BED_CAP,$B281&gt;CARROT_BED_CAP,G$4&gt;MESCLUN_BED_CAP,$A281+$B281+G$4&gt;TOTAL_BEDS_AVAILABLE,($D281+G$5)&gt;TOTAL_LABOR_HOURS_CAP,MAX(0,($D281+G$5)-PERMANENT_FIELD_LABOR_HOURS)&gt;TEMP_HOURS_CAP),"",$C281+G$6-MIN(($D281+G$5),PERMANENT_FIELD_LABOR_HOURS)*PERMANENT_HOURLY_RATE-MAX(0,($D281+G$5)-PERMANENT_FIELD_LABOR_HOURS)*TEMP_HOURLY_RATE-FIXED_SEASON_COST)</f>
        <v>1370.0639102188</v>
      </c>
      <c r="H281" s="53" t="n">
        <f aca="false">IF(OR($A281&gt;TOMATO_BED_CAP,$B281&gt;CARROT_BED_CAP,H$4&gt;MESCLUN_BED_CAP,$A281+$B281+H$4&gt;TOTAL_BEDS_AVAILABLE,($D281+H$5)&gt;TOTAL_LABOR_HOURS_CAP,MAX(0,($D281+H$5)-PERMANENT_FIELD_LABOR_HOURS)&gt;TEMP_HOURS_CAP),"",$C281+H$6-MIN(($D281+H$5),PERMANENT_FIELD_LABOR_HOURS)*PERMANENT_HOURLY_RATE-MAX(0,($D281+H$5)-PERMANENT_FIELD_LABOR_HOURS)*TEMP_HOURLY_RATE-FIXED_SEASON_COST)</f>
        <v>2379.32478521879</v>
      </c>
      <c r="I281" s="53" t="n">
        <f aca="false">IF(OR($A281&gt;TOMATO_BED_CAP,$B281&gt;CARROT_BED_CAP,I$4&gt;MESCLUN_BED_CAP,$A281+$B281+I$4&gt;TOTAL_BEDS_AVAILABLE,($D281+I$5)&gt;TOTAL_LABOR_HOURS_CAP,MAX(0,($D281+I$5)-PERMANENT_FIELD_LABOR_HOURS)&gt;TEMP_HOURS_CAP),"",$C281+I$6-MIN(($D281+I$5),PERMANENT_FIELD_LABOR_HOURS)*PERMANENT_HOURLY_RATE-MAX(0,($D281+I$5)-PERMANENT_FIELD_LABOR_HOURS)*TEMP_HOURLY_RATE-FIXED_SEASON_COST)</f>
        <v>3368.44077037505</v>
      </c>
      <c r="J281" s="53" t="n">
        <f aca="false">IF(OR($A281&gt;TOMATO_BED_CAP,$B281&gt;CARROT_BED_CAP,J$4&gt;MESCLUN_BED_CAP,$A281+$B281+J$4&gt;TOTAL_BEDS_AVAILABLE,($D281+J$5)&gt;TOTAL_LABOR_HOURS_CAP,MAX(0,($D281+J$5)-PERMANENT_FIELD_LABOR_HOURS)&gt;TEMP_HOURS_CAP),"",$C281+J$6-MIN(($D281+J$5),PERMANENT_FIELD_LABOR_HOURS)*PERMANENT_HOURLY_RATE-MAX(0,($D281+J$5)-PERMANENT_FIELD_LABOR_HOURS)*TEMP_HOURLY_RATE-FIXED_SEASON_COST)</f>
        <v>4337.03492142974</v>
      </c>
      <c r="K281" s="53" t="n">
        <f aca="false">IF(OR($A281&gt;TOMATO_BED_CAP,$B281&gt;CARROT_BED_CAP,K$4&gt;MESCLUN_BED_CAP,$A281+$B281+K$4&gt;TOTAL_BEDS_AVAILABLE,($D281+K$5)&gt;TOTAL_LABOR_HOURS_CAP,MAX(0,($D281+K$5)-PERMANENT_FIELD_LABOR_HOURS)&gt;TEMP_HOURS_CAP),"",$C281+K$6-MIN(($D281+K$5),PERMANENT_FIELD_LABOR_HOURS)*PERMANENT_HOURLY_RATE-MAX(0,($D281+K$5)-PERMANENT_FIELD_LABOR_HOURS)*TEMP_HOURLY_RATE-FIXED_SEASON_COST)</f>
        <v>5284.72401815765</v>
      </c>
      <c r="L281" s="53" t="n">
        <f aca="false">IF(OR($A281&gt;TOMATO_BED_CAP,$B281&gt;CARROT_BED_CAP,L$4&gt;MESCLUN_BED_CAP,$A281+$B281+L$4&gt;TOTAL_BEDS_AVAILABLE,($D281+L$5)&gt;TOTAL_LABOR_HOURS_CAP,MAX(0,($D281+L$5)-PERMANENT_FIELD_LABOR_HOURS)&gt;TEMP_HOURS_CAP),"",$C281+L$6-MIN(($D281+L$5),PERMANENT_FIELD_LABOR_HOURS)*PERMANENT_HOURLY_RATE-MAX(0,($D281+L$5)-PERMANENT_FIELD_LABOR_HOURS)*TEMP_HOURLY_RATE-FIXED_SEASON_COST)</f>
        <v>6211.1184663645</v>
      </c>
      <c r="M281" s="53" t="n">
        <f aca="false">IF(OR($A281&gt;TOMATO_BED_CAP,$B281&gt;CARROT_BED_CAP,M$4&gt;MESCLUN_BED_CAP,$A281+$B281+M$4&gt;TOTAL_BEDS_AVAILABLE,($D281+M$5)&gt;TOTAL_LABOR_HOURS_CAP,MAX(0,($D281+M$5)-PERMANENT_FIELD_LABOR_HOURS)&gt;TEMP_HOURS_CAP),"",$C281+M$6-MIN(($D281+M$5),PERMANENT_FIELD_LABOR_HOURS)*PERMANENT_HOURLY_RATE-MAX(0,($D281+M$5)-PERMANENT_FIELD_LABOR_HOURS)*TEMP_HOURLY_RATE-FIXED_SEASON_COST)</f>
        <v>7115.8221984159</v>
      </c>
      <c r="N281" s="53" t="n">
        <f aca="false">IF(OR($A281&gt;TOMATO_BED_CAP,$B281&gt;CARROT_BED_CAP,N$4&gt;MESCLUN_BED_CAP,$A281+$B281+N$4&gt;TOTAL_BEDS_AVAILABLE,($D281+N$5)&gt;TOTAL_LABOR_HOURS_CAP,MAX(0,($D281+N$5)-PERMANENT_FIELD_LABOR_HOURS)&gt;TEMP_HOURS_CAP),"",$C281+N$6-MIN(($D281+N$5),PERMANENT_FIELD_LABOR_HOURS)*PERMANENT_HOURLY_RATE-MAX(0,($D281+N$5)-PERMANENT_FIELD_LABOR_HOURS)*TEMP_HOURLY_RATE-FIXED_SEASON_COST)</f>
        <v>7998.43257227545</v>
      </c>
      <c r="O281" s="53" t="n">
        <f aca="false">IF(OR($A281&gt;TOMATO_BED_CAP,$B281&gt;CARROT_BED_CAP,O$4&gt;MESCLUN_BED_CAP,$A281+$B281+O$4&gt;TOTAL_BEDS_AVAILABLE,($D281+O$5)&gt;TOTAL_LABOR_HOURS_CAP,MAX(0,($D281+O$5)-PERMANENT_FIELD_LABOR_HOURS)&gt;TEMP_HOURS_CAP),"",$C281+O$6-MIN(($D281+O$5),PERMANENT_FIELD_LABOR_HOURS)*PERMANENT_HOURLY_RATE-MAX(0,($D281+O$5)-PERMANENT_FIELD_LABOR_HOURS)*TEMP_HOURLY_RATE-FIXED_SEASON_COST)</f>
        <v>8858.54026903019</v>
      </c>
      <c r="P281" s="53" t="n">
        <f aca="false">IF(OR($A281&gt;TOMATO_BED_CAP,$B281&gt;CARROT_BED_CAP,P$4&gt;MESCLUN_BED_CAP,$A281+$B281+P$4&gt;TOTAL_BEDS_AVAILABLE,($D281+P$5)&gt;TOTAL_LABOR_HOURS_CAP,MAX(0,($D281+P$5)-PERMANENT_FIELD_LABOR_HOURS)&gt;TEMP_HOURS_CAP),"",$C281+P$6-MIN(($D281+P$5),PERMANENT_FIELD_LABOR_HOURS)*PERMANENT_HOURLY_RATE-MAX(0,($D281+P$5)-PERMANENT_FIELD_LABOR_HOURS)*TEMP_HOURLY_RATE-FIXED_SEASON_COST)</f>
        <v>9695.72918888163</v>
      </c>
      <c r="Q281" s="53" t="n">
        <f aca="false">IF(OR($A281&gt;TOMATO_BED_CAP,$B281&gt;CARROT_BED_CAP,Q$4&gt;MESCLUN_BED_CAP,$A281+$B281+Q$4&gt;TOTAL_BEDS_AVAILABLE,($D281+Q$5)&gt;TOTAL_LABOR_HOURS_CAP,MAX(0,($D281+Q$5)-PERMANENT_FIELD_LABOR_HOURS)&gt;TEMP_HOURS_CAP),"",$C281+Q$6-MIN(($D281+Q$5),PERMANENT_FIELD_LABOR_HOURS)*PERMANENT_HOURLY_RATE-MAX(0,($D281+Q$5)-PERMANENT_FIELD_LABOR_HOURS)*TEMP_HOURLY_RATE-FIXED_SEASON_COST)</f>
        <v>10509.5763455795</v>
      </c>
      <c r="R281" s="53" t="n">
        <f aca="false">IF(OR($A281&gt;TOMATO_BED_CAP,$B281&gt;CARROT_BED_CAP,R$4&gt;MESCLUN_BED_CAP,$A281+$B281+R$4&gt;TOTAL_BEDS_AVAILABLE,($D281+R$5)&gt;TOTAL_LABOR_HOURS_CAP,MAX(0,($D281+R$5)-PERMANENT_FIELD_LABOR_HOURS)&gt;TEMP_HOURS_CAP),"",$C281+R$6-MIN(($D281+R$5),PERMANENT_FIELD_LABOR_HOURS)*PERMANENT_HOURLY_RATE-MAX(0,($D281+R$5)-PERMANENT_FIELD_LABOR_HOURS)*TEMP_HOURLY_RATE-FIXED_SEASON_COST)</f>
        <v>11299.6517592763</v>
      </c>
      <c r="S281" s="53" t="n">
        <f aca="false">IF(OR($A281&gt;TOMATO_BED_CAP,$B281&gt;CARROT_BED_CAP,S$4&gt;MESCLUN_BED_CAP,$A281+$B281+S$4&gt;TOTAL_BEDS_AVAILABLE,($D281+S$5)&gt;TOTAL_LABOR_HOURS_CAP,MAX(0,($D281+S$5)-PERMANENT_FIELD_LABOR_HOURS)&gt;TEMP_HOURS_CAP),"",$C281+S$6-MIN(($D281+S$5),PERMANENT_FIELD_LABOR_HOURS)*PERMANENT_HOURLY_RATE-MAX(0,($D281+S$5)-PERMANENT_FIELD_LABOR_HOURS)*TEMP_HOURLY_RATE-FIXED_SEASON_COST)</f>
        <v>12065.5183477788</v>
      </c>
      <c r="T281" s="53" t="n">
        <f aca="false">IF(OR($A281&gt;TOMATO_BED_CAP,$B281&gt;CARROT_BED_CAP,T$4&gt;MESCLUN_BED_CAP,$A281+$B281+T$4&gt;TOTAL_BEDS_AVAILABLE,($D281+T$5)&gt;TOTAL_LABOR_HOURS_CAP,MAX(0,($D281+T$5)-PERMANENT_FIELD_LABOR_HOURS)&gt;TEMP_HOURS_CAP),"",$C281+T$6-MIN(($D281+T$5),PERMANENT_FIELD_LABOR_HOURS)*PERMANENT_HOURLY_RATE-MAX(0,($D281+T$5)-PERMANENT_FIELD_LABOR_HOURS)*TEMP_HOURLY_RATE-FIXED_SEASON_COST)</f>
        <v>12806.7318161736</v>
      </c>
      <c r="U281" s="53" t="n">
        <f aca="false">IF(OR($A281&gt;TOMATO_BED_CAP,$B281&gt;CARROT_BED_CAP,U$4&gt;MESCLUN_BED_CAP,$A281+$B281+U$4&gt;TOTAL_BEDS_AVAILABLE,($D281+U$5)&gt;TOTAL_LABOR_HOURS_CAP,MAX(0,($D281+U$5)-PERMANENT_FIELD_LABOR_HOURS)&gt;TEMP_HOURS_CAP),"",$C281+U$6-MIN(($D281+U$5),PERMANENT_FIELD_LABOR_HOURS)*PERMANENT_HOURLY_RATE-MAX(0,($D281+U$5)-PERMANENT_FIELD_LABOR_HOURS)*TEMP_HOURLY_RATE-FIXED_SEASON_COST)</f>
        <v>13522.8405448037</v>
      </c>
      <c r="V281" s="53" t="n">
        <f aca="false">IF(OR($A281&gt;TOMATO_BED_CAP,$B281&gt;CARROT_BED_CAP,V$4&gt;MESCLUN_BED_CAP,$A281+$B281+V$4&gt;TOTAL_BEDS_AVAILABLE,($D281+V$5)&gt;TOTAL_LABOR_HOURS_CAP,MAX(0,($D281+V$5)-PERMANENT_FIELD_LABOR_HOURS)&gt;TEMP_HOURS_CAP),"",$C281+V$6-MIN(($D281+V$5),PERMANENT_FIELD_LABOR_HOURS)*PERMANENT_HOURLY_RATE-MAX(0,($D281+V$5)-PERMANENT_FIELD_LABOR_HOURS)*TEMP_HOURLY_RATE-FIXED_SEASON_COST)</f>
        <v>14213.3854755705</v>
      </c>
      <c r="W281" s="53" t="n">
        <f aca="false">IF(OR($A281&gt;TOMATO_BED_CAP,$B281&gt;CARROT_BED_CAP,W$4&gt;MESCLUN_BED_CAP,$A281+$B281+W$4&gt;TOTAL_BEDS_AVAILABLE,($D281+W$5)&gt;TOTAL_LABOR_HOURS_CAP,MAX(0,($D281+W$5)-PERMANENT_FIELD_LABOR_HOURS)&gt;TEMP_HOURS_CAP),"",$C281+W$6-MIN(($D281+W$5),PERMANENT_FIELD_LABOR_HOURS)*PERMANENT_HOURLY_RATE-MAX(0,($D281+W$5)-PERMANENT_FIELD_LABOR_HOURS)*TEMP_HOURLY_RATE-FIXED_SEASON_COST)</f>
        <v>14877.8999965386</v>
      </c>
      <c r="X281" s="53" t="n">
        <f aca="false">IF(OR($A281&gt;TOMATO_BED_CAP,$B281&gt;CARROT_BED_CAP,X$4&gt;MESCLUN_BED_CAP,$A281+$B281+X$4&gt;TOTAL_BEDS_AVAILABLE,($D281+X$5)&gt;TOTAL_LABOR_HOURS_CAP,MAX(0,($D281+X$5)-PERMANENT_FIELD_LABOR_HOURS)&gt;TEMP_HOURS_CAP),"",$C281+X$6-MIN(($D281+X$5),PERMANENT_FIELD_LABOR_HOURS)*PERMANENT_HOURLY_RATE-MAX(0,($D281+X$5)-PERMANENT_FIELD_LABOR_HOURS)*TEMP_HOURLY_RATE-FIXED_SEASON_COST)</f>
        <v>15515.9098248175</v>
      </c>
      <c r="Y281" s="53" t="n">
        <f aca="false">IF(OR($A281&gt;TOMATO_BED_CAP,$B281&gt;CARROT_BED_CAP,Y$4&gt;MESCLUN_BED_CAP,$A281+$B281+Y$4&gt;TOTAL_BEDS_AVAILABLE,($D281+Y$5)&gt;TOTAL_LABOR_HOURS_CAP,MAX(0,($D281+Y$5)-PERMANENT_FIELD_LABOR_HOURS)&gt;TEMP_HOURS_CAP),"",$C281+Y$6-MIN(($D281+Y$5),PERMANENT_FIELD_LABOR_HOURS)*PERMANENT_HOURLY_RATE-MAX(0,($D281+Y$5)-PERMANENT_FIELD_LABOR_HOURS)*TEMP_HOURLY_RATE-FIXED_SEASON_COST)</f>
        <v>16126.9328876962</v>
      </c>
      <c r="Z281" s="53" t="n">
        <f aca="false">IF(OR($A281&gt;TOMATO_BED_CAP,$B281&gt;CARROT_BED_CAP,Z$4&gt;MESCLUN_BED_CAP,$A281+$B281+Z$4&gt;TOTAL_BEDS_AVAILABLE,($D281+Z$5)&gt;TOTAL_LABOR_HOURS_CAP,MAX(0,($D281+Z$5)-PERMANENT_FIELD_LABOR_HOURS)&gt;TEMP_HOURS_CAP),"",$C281+Z$6-MIN(($D281+Z$5),PERMANENT_FIELD_LABOR_HOURS)*PERMANENT_HOURLY_RATE-MAX(0,($D281+Z$5)-PERMANENT_FIELD_LABOR_HOURS)*TEMP_HOURLY_RATE-FIXED_SEASON_COST)</f>
        <v>16710.4792020039</v>
      </c>
      <c r="AA281" s="53" t="n">
        <f aca="false">IF(OR($A281&gt;TOMATO_BED_CAP,$B281&gt;CARROT_BED_CAP,AA$4&gt;MESCLUN_BED_CAP,$A281+$B281+AA$4&gt;TOTAL_BEDS_AVAILABLE,($D281+AA$5)&gt;TOTAL_LABOR_HOURS_CAP,MAX(0,($D281+AA$5)-PERMANENT_FIELD_LABOR_HOURS)&gt;TEMP_HOURS_CAP),"",$C281+AA$6-MIN(($D281+AA$5),PERMANENT_FIELD_LABOR_HOURS)*PERMANENT_HOURLY_RATE-MAX(0,($D281+AA$5)-PERMANENT_FIELD_LABOR_HOURS)*TEMP_HOURLY_RATE-FIXED_SEASON_COST)</f>
        <v>17266.0507516728</v>
      </c>
      <c r="AB281" s="53" t="n">
        <f aca="false">IF(OR($A281&gt;TOMATO_BED_CAP,$B281&gt;CARROT_BED_CAP,AB$4&gt;MESCLUN_BED_CAP,$A281+$B281+AB$4&gt;TOTAL_BEDS_AVAILABLE,($D281+AB$5)&gt;TOTAL_LABOR_HOURS_CAP,MAX(0,($D281+AB$5)-PERMANENT_FIELD_LABOR_HOURS)&gt;TEMP_HOURS_CAP),"",$C281+AB$6-MIN(($D281+AB$5),PERMANENT_FIELD_LABOR_HOURS)*PERMANENT_HOURLY_RATE-MAX(0,($D281+AB$5)-PERMANENT_FIELD_LABOR_HOURS)*TEMP_HOURLY_RATE-FIXED_SEASON_COST)</f>
        <v>17793.1413634754</v>
      </c>
      <c r="AC281" s="53" t="n">
        <f aca="false">IF(OR($A281&gt;TOMATO_BED_CAP,$B281&gt;CARROT_BED_CAP,AC$4&gt;MESCLUN_BED_CAP,$A281+$B281+AC$4&gt;TOTAL_BEDS_AVAILABLE,($D281+AC$5)&gt;TOTAL_LABOR_HOURS_CAP,MAX(0,($D281+AC$5)-PERMANENT_FIELD_LABOR_HOURS)&gt;TEMP_HOURS_CAP),"",$C281+AC$6-MIN(($D281+AC$5),PERMANENT_FIELD_LABOR_HOURS)*PERMANENT_HOURLY_RATE-MAX(0,($D281+AC$5)-PERMANENT_FIELD_LABOR_HOURS)*TEMP_HOURLY_RATE-FIXED_SEASON_COST)</f>
        <v>18291.2365809103</v>
      </c>
      <c r="AD281" s="53" t="n">
        <f aca="false">IF(OR($A281&gt;TOMATO_BED_CAP,$B281&gt;CARROT_BED_CAP,AD$4&gt;MESCLUN_BED_CAP,$A281+$B281+AD$4&gt;TOTAL_BEDS_AVAILABLE,($D281+AD$5)&gt;TOTAL_LABOR_HOURS_CAP,MAX(0,($D281+AD$5)-PERMANENT_FIELD_LABOR_HOURS)&gt;TEMP_HOURS_CAP),"",$C281+AD$6-MIN(($D281+AD$5),PERMANENT_FIELD_LABOR_HOURS)*PERMANENT_HOURLY_RATE-MAX(0,($D281+AD$5)-PERMANENT_FIELD_LABOR_HOURS)*TEMP_HOURLY_RATE-FIXED_SEASON_COST)</f>
        <v>18759.8135362102</v>
      </c>
      <c r="AE281" s="53" t="n">
        <f aca="false">IF(OR($A281&gt;TOMATO_BED_CAP,$B281&gt;CARROT_BED_CAP,AE$4&gt;MESCLUN_BED_CAP,$A281+$B281+AE$4&gt;TOTAL_BEDS_AVAILABLE,($D281+AE$5)&gt;TOTAL_LABOR_HOURS_CAP,MAX(0,($D281+AE$5)-PERMANENT_FIELD_LABOR_HOURS)&gt;TEMP_HOURS_CAP),"",$C281+AE$6-MIN(($D281+AE$5),PERMANENT_FIELD_LABOR_HOURS)*PERMANENT_HOURLY_RATE-MAX(0,($D281+AE$5)-PERMANENT_FIELD_LABOR_HOURS)*TEMP_HOURLY_RATE-FIXED_SEASON_COST)</f>
        <v>19198.3408204441</v>
      </c>
      <c r="AF281" s="53" t="n">
        <f aca="false">IF(OR($A281&gt;TOMATO_BED_CAP,$B281&gt;CARROT_BED_CAP,AF$4&gt;MESCLUN_BED_CAP,$A281+$B281+AF$4&gt;TOTAL_BEDS_AVAILABLE,($D281+AF$5)&gt;TOTAL_LABOR_HOURS_CAP,MAX(0,($D281+AF$5)-PERMANENT_FIELD_LABOR_HOURS)&gt;TEMP_HOURS_CAP),"",$C281+AF$6-MIN(($D281+AF$5),PERMANENT_FIELD_LABOR_HOURS)*PERMANENT_HOURLY_RATE-MAX(0,($D281+AF$5)-PERMANENT_FIELD_LABOR_HOURS)*TEMP_HOURLY_RATE-FIXED_SEASON_COST)</f>
        <v>19606.2783516861</v>
      </c>
      <c r="AG281" s="53" t="n">
        <f aca="false">IF(OR($A281&gt;TOMATO_BED_CAP,$B281&gt;CARROT_BED_CAP,AG$4&gt;MESCLUN_BED_CAP,$A281+$B281+AG$4&gt;TOTAL_BEDS_AVAILABLE,($D281+AG$5)&gt;TOTAL_LABOR_HOURS_CAP,MAX(0,($D281+AG$5)-PERMANENT_FIELD_LABOR_HOURS)&gt;TEMP_HOURS_CAP),"",$C281+AG$6-MIN(($D281+AG$5),PERMANENT_FIELD_LABOR_HOURS)*PERMANENT_HOURLY_RATE-MAX(0,($D281+AG$5)-PERMANENT_FIELD_LABOR_HOURS)*TEMP_HOURLY_RATE-FIXED_SEASON_COST)</f>
        <v>19983.0772412231</v>
      </c>
      <c r="AH281" s="53" t="n">
        <f aca="false">IF(OR($A281&gt;TOMATO_BED_CAP,$B281&gt;CARROT_BED_CAP,AH$4&gt;MESCLUN_BED_CAP,$A281+$B281+AH$4&gt;TOTAL_BEDS_AVAILABLE,($D281+AH$5)&gt;TOTAL_LABOR_HOURS_CAP,MAX(0,($D281+AH$5)-PERMANENT_FIELD_LABOR_HOURS)&gt;TEMP_HOURS_CAP),"",$C281+AH$6-MIN(($D281+AH$5),PERMANENT_FIELD_LABOR_HOURS)*PERMANENT_HOURLY_RATE-MAX(0,($D281+AH$5)-PERMANENT_FIELD_LABOR_HOURS)*TEMP_HOURLY_RATE-FIXED_SEASON_COST)</f>
        <v>20328.1796577733</v>
      </c>
      <c r="AI281" s="53" t="n">
        <f aca="false">IF(OR($A281&gt;TOMATO_BED_CAP,$B281&gt;CARROT_BED_CAP,AI$4&gt;MESCLUN_BED_CAP,$A281+$B281+AI$4&gt;TOTAL_BEDS_AVAILABLE,($D281+AI$5)&gt;TOTAL_LABOR_HOURS_CAP,MAX(0,($D281+AI$5)-PERMANENT_FIELD_LABOR_HOURS)&gt;TEMP_HOURS_CAP),"",$C281+AI$6-MIN(($D281+AI$5),PERMANENT_FIELD_LABOR_HOURS)*PERMANENT_HOURLY_RATE-MAX(0,($D281+AI$5)-PERMANENT_FIELD_LABOR_HOURS)*TEMP_HOURLY_RATE-FIXED_SEASON_COST)</f>
        <v>20641.0186896856</v>
      </c>
      <c r="AJ281" s="53" t="n">
        <f aca="false">IF(OR($A281&gt;TOMATO_BED_CAP,$B281&gt;CARROT_BED_CAP,AJ$4&gt;MESCLUN_BED_CAP,$A281+$B281+AJ$4&gt;TOTAL_BEDS_AVAILABLE,($D281+AJ$5)&gt;TOTAL_LABOR_HOURS_CAP,MAX(0,($D281+AJ$5)-PERMANENT_FIELD_LABOR_HOURS)&gt;TEMP_HOURS_CAP),"",$C281+AJ$6-MIN(($D281+AJ$5),PERMANENT_FIELD_LABOR_HOURS)*PERMANENT_HOURLY_RATE-MAX(0,($D281+AJ$5)-PERMANENT_FIELD_LABOR_HOURS)*TEMP_HOURLY_RATE-FIXED_SEASON_COST)</f>
        <v>20921.0182050913</v>
      </c>
    </row>
    <row r="282" customFormat="false" ht="15" hidden="false" customHeight="false" outlineLevel="0" collapsed="false">
      <c r="A282" s="21" t="n">
        <f aca="false">INT((ROW()-ROW($A$8))/(20+1))</f>
        <v>13</v>
      </c>
      <c r="B282" s="21" t="n">
        <f aca="false">MOD(ROW()-ROW($A$8),20+1)</f>
        <v>1</v>
      </c>
      <c r="C282" s="13" t="n">
        <f aca="false">A282*(TOMATO_REVENUE_PER_BED-TOMATO_FERTILIZER_PER_BED)+B282*(CARROT_REVENUE_PER_BED-CARROT_FERTILIZER_PER_BED)</f>
        <v>104614</v>
      </c>
      <c r="D282" s="14" t="n">
        <f aca="false">INDEX(TOMATO_SCHED_LABOR_HRS,A282+1)+INDEX(CARROT_SCHED_LABOR_HRS,B282+1)</f>
        <v>4069.89502083993</v>
      </c>
      <c r="E282" s="13" t="n">
        <f aca="false">IF(COUNT(F282:AJ282)=0,"",MAX(F282:AJ282))</f>
        <v>22041.4117330913</v>
      </c>
      <c r="F282" s="53" t="n">
        <f aca="false">IF(OR($A282&gt;TOMATO_BED_CAP,$B282&gt;CARROT_BED_CAP,F$4&gt;MESCLUN_BED_CAP,$A282+$B282+F$4&gt;TOTAL_BEDS_AVAILABLE,($D282+F$5)&gt;TOTAL_LABOR_HOURS_CAP,MAX(0,($D282+F$5)-PERMANENT_FIELD_LABOR_HOURS)&gt;TEMP_HOURS_CAP),"",$C282+F$6-MIN(($D282+F$5),PERMANENT_FIELD_LABOR_HOURS)*PERMANENT_HOURLY_RATE-MAX(0,($D282+F$5)-PERMANENT_FIELD_LABOR_HOURS)*TEMP_HOURLY_RATE-FIXED_SEASON_COST)</f>
        <v>1461.4224382188</v>
      </c>
      <c r="G282" s="53" t="n">
        <f aca="false">IF(OR($A282&gt;TOMATO_BED_CAP,$B282&gt;CARROT_BED_CAP,G$4&gt;MESCLUN_BED_CAP,$A282+$B282+G$4&gt;TOTAL_BEDS_AVAILABLE,($D282+G$5)&gt;TOTAL_LABOR_HOURS_CAP,MAX(0,($D282+G$5)-PERMANENT_FIELD_LABOR_HOURS)&gt;TEMP_HOURS_CAP),"",$C282+G$6-MIN(($D282+G$5),PERMANENT_FIELD_LABOR_HOURS)*PERMANENT_HOURLY_RATE-MAX(0,($D282+G$5)-PERMANENT_FIELD_LABOR_HOURS)*TEMP_HOURLY_RATE-FIXED_SEASON_COST)</f>
        <v>2490.45743821881</v>
      </c>
      <c r="H282" s="53" t="n">
        <f aca="false">IF(OR($A282&gt;TOMATO_BED_CAP,$B282&gt;CARROT_BED_CAP,H$4&gt;MESCLUN_BED_CAP,$A282+$B282+H$4&gt;TOTAL_BEDS_AVAILABLE,($D282+H$5)&gt;TOTAL_LABOR_HOURS_CAP,MAX(0,($D282+H$5)-PERMANENT_FIELD_LABOR_HOURS)&gt;TEMP_HOURS_CAP),"",$C282+H$6-MIN(($D282+H$5),PERMANENT_FIELD_LABOR_HOURS)*PERMANENT_HOURLY_RATE-MAX(0,($D282+H$5)-PERMANENT_FIELD_LABOR_HOURS)*TEMP_HOURLY_RATE-FIXED_SEASON_COST)</f>
        <v>3499.7183132188</v>
      </c>
      <c r="I282" s="53" t="n">
        <f aca="false">IF(OR($A282&gt;TOMATO_BED_CAP,$B282&gt;CARROT_BED_CAP,I$4&gt;MESCLUN_BED_CAP,$A282+$B282+I$4&gt;TOTAL_BEDS_AVAILABLE,($D282+I$5)&gt;TOTAL_LABOR_HOURS_CAP,MAX(0,($D282+I$5)-PERMANENT_FIELD_LABOR_HOURS)&gt;TEMP_HOURS_CAP),"",$C282+I$6-MIN(($D282+I$5),PERMANENT_FIELD_LABOR_HOURS)*PERMANENT_HOURLY_RATE-MAX(0,($D282+I$5)-PERMANENT_FIELD_LABOR_HOURS)*TEMP_HOURLY_RATE-FIXED_SEASON_COST)</f>
        <v>4488.83429837505</v>
      </c>
      <c r="J282" s="53" t="n">
        <f aca="false">IF(OR($A282&gt;TOMATO_BED_CAP,$B282&gt;CARROT_BED_CAP,J$4&gt;MESCLUN_BED_CAP,$A282+$B282+J$4&gt;TOTAL_BEDS_AVAILABLE,($D282+J$5)&gt;TOTAL_LABOR_HOURS_CAP,MAX(0,($D282+J$5)-PERMANENT_FIELD_LABOR_HOURS)&gt;TEMP_HOURS_CAP),"",$C282+J$6-MIN(($D282+J$5),PERMANENT_FIELD_LABOR_HOURS)*PERMANENT_HOURLY_RATE-MAX(0,($D282+J$5)-PERMANENT_FIELD_LABOR_HOURS)*TEMP_HOURLY_RATE-FIXED_SEASON_COST)</f>
        <v>5457.42844942974</v>
      </c>
      <c r="K282" s="53" t="n">
        <f aca="false">IF(OR($A282&gt;TOMATO_BED_CAP,$B282&gt;CARROT_BED_CAP,K$4&gt;MESCLUN_BED_CAP,$A282+$B282+K$4&gt;TOTAL_BEDS_AVAILABLE,($D282+K$5)&gt;TOTAL_LABOR_HOURS_CAP,MAX(0,($D282+K$5)-PERMANENT_FIELD_LABOR_HOURS)&gt;TEMP_HOURS_CAP),"",$C282+K$6-MIN(($D282+K$5),PERMANENT_FIELD_LABOR_HOURS)*PERMANENT_HOURLY_RATE-MAX(0,($D282+K$5)-PERMANENT_FIELD_LABOR_HOURS)*TEMP_HOURLY_RATE-FIXED_SEASON_COST)</f>
        <v>6405.11754615764</v>
      </c>
      <c r="L282" s="53" t="n">
        <f aca="false">IF(OR($A282&gt;TOMATO_BED_CAP,$B282&gt;CARROT_BED_CAP,L$4&gt;MESCLUN_BED_CAP,$A282+$B282+L$4&gt;TOTAL_BEDS_AVAILABLE,($D282+L$5)&gt;TOTAL_LABOR_HOURS_CAP,MAX(0,($D282+L$5)-PERMANENT_FIELD_LABOR_HOURS)&gt;TEMP_HOURS_CAP),"",$C282+L$6-MIN(($D282+L$5),PERMANENT_FIELD_LABOR_HOURS)*PERMANENT_HOURLY_RATE-MAX(0,($D282+L$5)-PERMANENT_FIELD_LABOR_HOURS)*TEMP_HOURLY_RATE-FIXED_SEASON_COST)</f>
        <v>7331.51199436448</v>
      </c>
      <c r="M282" s="53" t="n">
        <f aca="false">IF(OR($A282&gt;TOMATO_BED_CAP,$B282&gt;CARROT_BED_CAP,M$4&gt;MESCLUN_BED_CAP,$A282+$B282+M$4&gt;TOTAL_BEDS_AVAILABLE,($D282+M$5)&gt;TOTAL_LABOR_HOURS_CAP,MAX(0,($D282+M$5)-PERMANENT_FIELD_LABOR_HOURS)&gt;TEMP_HOURS_CAP),"",$C282+M$6-MIN(($D282+M$5),PERMANENT_FIELD_LABOR_HOURS)*PERMANENT_HOURLY_RATE-MAX(0,($D282+M$5)-PERMANENT_FIELD_LABOR_HOURS)*TEMP_HOURLY_RATE-FIXED_SEASON_COST)</f>
        <v>8236.2157264159</v>
      </c>
      <c r="N282" s="53" t="n">
        <f aca="false">IF(OR($A282&gt;TOMATO_BED_CAP,$B282&gt;CARROT_BED_CAP,N$4&gt;MESCLUN_BED_CAP,$A282+$B282+N$4&gt;TOTAL_BEDS_AVAILABLE,($D282+N$5)&gt;TOTAL_LABOR_HOURS_CAP,MAX(0,($D282+N$5)-PERMANENT_FIELD_LABOR_HOURS)&gt;TEMP_HOURS_CAP),"",$C282+N$6-MIN(($D282+N$5),PERMANENT_FIELD_LABOR_HOURS)*PERMANENT_HOURLY_RATE-MAX(0,($D282+N$5)-PERMANENT_FIELD_LABOR_HOURS)*TEMP_HOURLY_RATE-FIXED_SEASON_COST)</f>
        <v>9118.82610027544</v>
      </c>
      <c r="O282" s="53" t="n">
        <f aca="false">IF(OR($A282&gt;TOMATO_BED_CAP,$B282&gt;CARROT_BED_CAP,O$4&gt;MESCLUN_BED_CAP,$A282+$B282+O$4&gt;TOTAL_BEDS_AVAILABLE,($D282+O$5)&gt;TOTAL_LABOR_HOURS_CAP,MAX(0,($D282+O$5)-PERMANENT_FIELD_LABOR_HOURS)&gt;TEMP_HOURS_CAP),"",$C282+O$6-MIN(($D282+O$5),PERMANENT_FIELD_LABOR_HOURS)*PERMANENT_HOURLY_RATE-MAX(0,($D282+O$5)-PERMANENT_FIELD_LABOR_HOURS)*TEMP_HOURLY_RATE-FIXED_SEASON_COST)</f>
        <v>9978.9337970302</v>
      </c>
      <c r="P282" s="53" t="n">
        <f aca="false">IF(OR($A282&gt;TOMATO_BED_CAP,$B282&gt;CARROT_BED_CAP,P$4&gt;MESCLUN_BED_CAP,$A282+$B282+P$4&gt;TOTAL_BEDS_AVAILABLE,($D282+P$5)&gt;TOTAL_LABOR_HOURS_CAP,MAX(0,($D282+P$5)-PERMANENT_FIELD_LABOR_HOURS)&gt;TEMP_HOURS_CAP),"",$C282+P$6-MIN(($D282+P$5),PERMANENT_FIELD_LABOR_HOURS)*PERMANENT_HOURLY_RATE-MAX(0,($D282+P$5)-PERMANENT_FIELD_LABOR_HOURS)*TEMP_HOURLY_RATE-FIXED_SEASON_COST)</f>
        <v>10816.1227168816</v>
      </c>
      <c r="Q282" s="53" t="n">
        <f aca="false">IF(OR($A282&gt;TOMATO_BED_CAP,$B282&gt;CARROT_BED_CAP,Q$4&gt;MESCLUN_BED_CAP,$A282+$B282+Q$4&gt;TOTAL_BEDS_AVAILABLE,($D282+Q$5)&gt;TOTAL_LABOR_HOURS_CAP,MAX(0,($D282+Q$5)-PERMANENT_FIELD_LABOR_HOURS)&gt;TEMP_HOURS_CAP),"",$C282+Q$6-MIN(($D282+Q$5),PERMANENT_FIELD_LABOR_HOURS)*PERMANENT_HOURLY_RATE-MAX(0,($D282+Q$5)-PERMANENT_FIELD_LABOR_HOURS)*TEMP_HOURLY_RATE-FIXED_SEASON_COST)</f>
        <v>11629.9698735795</v>
      </c>
      <c r="R282" s="53" t="n">
        <f aca="false">IF(OR($A282&gt;TOMATO_BED_CAP,$B282&gt;CARROT_BED_CAP,R$4&gt;MESCLUN_BED_CAP,$A282+$B282+R$4&gt;TOTAL_BEDS_AVAILABLE,($D282+R$5)&gt;TOTAL_LABOR_HOURS_CAP,MAX(0,($D282+R$5)-PERMANENT_FIELD_LABOR_HOURS)&gt;TEMP_HOURS_CAP),"",$C282+R$6-MIN(($D282+R$5),PERMANENT_FIELD_LABOR_HOURS)*PERMANENT_HOURLY_RATE-MAX(0,($D282+R$5)-PERMANENT_FIELD_LABOR_HOURS)*TEMP_HOURLY_RATE-FIXED_SEASON_COST)</f>
        <v>12420.0452872763</v>
      </c>
      <c r="S282" s="53" t="n">
        <f aca="false">IF(OR($A282&gt;TOMATO_BED_CAP,$B282&gt;CARROT_BED_CAP,S$4&gt;MESCLUN_BED_CAP,$A282+$B282+S$4&gt;TOTAL_BEDS_AVAILABLE,($D282+S$5)&gt;TOTAL_LABOR_HOURS_CAP,MAX(0,($D282+S$5)-PERMANENT_FIELD_LABOR_HOURS)&gt;TEMP_HOURS_CAP),"",$C282+S$6-MIN(($D282+S$5),PERMANENT_FIELD_LABOR_HOURS)*PERMANENT_HOURLY_RATE-MAX(0,($D282+S$5)-PERMANENT_FIELD_LABOR_HOURS)*TEMP_HOURLY_RATE-FIXED_SEASON_COST)</f>
        <v>13185.9118757788</v>
      </c>
      <c r="T282" s="53" t="n">
        <f aca="false">IF(OR($A282&gt;TOMATO_BED_CAP,$B282&gt;CARROT_BED_CAP,T$4&gt;MESCLUN_BED_CAP,$A282+$B282+T$4&gt;TOTAL_BEDS_AVAILABLE,($D282+T$5)&gt;TOTAL_LABOR_HOURS_CAP,MAX(0,($D282+T$5)-PERMANENT_FIELD_LABOR_HOURS)&gt;TEMP_HOURS_CAP),"",$C282+T$6-MIN(($D282+T$5),PERMANENT_FIELD_LABOR_HOURS)*PERMANENT_HOURLY_RATE-MAX(0,($D282+T$5)-PERMANENT_FIELD_LABOR_HOURS)*TEMP_HOURLY_RATE-FIXED_SEASON_COST)</f>
        <v>13927.1253441736</v>
      </c>
      <c r="U282" s="53" t="n">
        <f aca="false">IF(OR($A282&gt;TOMATO_BED_CAP,$B282&gt;CARROT_BED_CAP,U$4&gt;MESCLUN_BED_CAP,$A282+$B282+U$4&gt;TOTAL_BEDS_AVAILABLE,($D282+U$5)&gt;TOTAL_LABOR_HOURS_CAP,MAX(0,($D282+U$5)-PERMANENT_FIELD_LABOR_HOURS)&gt;TEMP_HOURS_CAP),"",$C282+U$6-MIN(($D282+U$5),PERMANENT_FIELD_LABOR_HOURS)*PERMANENT_HOURLY_RATE-MAX(0,($D282+U$5)-PERMANENT_FIELD_LABOR_HOURS)*TEMP_HOURLY_RATE-FIXED_SEASON_COST)</f>
        <v>14643.2340728037</v>
      </c>
      <c r="V282" s="53" t="n">
        <f aca="false">IF(OR($A282&gt;TOMATO_BED_CAP,$B282&gt;CARROT_BED_CAP,V$4&gt;MESCLUN_BED_CAP,$A282+$B282+V$4&gt;TOTAL_BEDS_AVAILABLE,($D282+V$5)&gt;TOTAL_LABOR_HOURS_CAP,MAX(0,($D282+V$5)-PERMANENT_FIELD_LABOR_HOURS)&gt;TEMP_HOURS_CAP),"",$C282+V$6-MIN(($D282+V$5),PERMANENT_FIELD_LABOR_HOURS)*PERMANENT_HOURLY_RATE-MAX(0,($D282+V$5)-PERMANENT_FIELD_LABOR_HOURS)*TEMP_HOURLY_RATE-FIXED_SEASON_COST)</f>
        <v>15333.7790035705</v>
      </c>
      <c r="W282" s="53" t="n">
        <f aca="false">IF(OR($A282&gt;TOMATO_BED_CAP,$B282&gt;CARROT_BED_CAP,W$4&gt;MESCLUN_BED_CAP,$A282+$B282+W$4&gt;TOTAL_BEDS_AVAILABLE,($D282+W$5)&gt;TOTAL_LABOR_HOURS_CAP,MAX(0,($D282+W$5)-PERMANENT_FIELD_LABOR_HOURS)&gt;TEMP_HOURS_CAP),"",$C282+W$6-MIN(($D282+W$5),PERMANENT_FIELD_LABOR_HOURS)*PERMANENT_HOURLY_RATE-MAX(0,($D282+W$5)-PERMANENT_FIELD_LABOR_HOURS)*TEMP_HOURLY_RATE-FIXED_SEASON_COST)</f>
        <v>15998.2935245386</v>
      </c>
      <c r="X282" s="53" t="n">
        <f aca="false">IF(OR($A282&gt;TOMATO_BED_CAP,$B282&gt;CARROT_BED_CAP,X$4&gt;MESCLUN_BED_CAP,$A282+$B282+X$4&gt;TOTAL_BEDS_AVAILABLE,($D282+X$5)&gt;TOTAL_LABOR_HOURS_CAP,MAX(0,($D282+X$5)-PERMANENT_FIELD_LABOR_HOURS)&gt;TEMP_HOURS_CAP),"",$C282+X$6-MIN(($D282+X$5),PERMANENT_FIELD_LABOR_HOURS)*PERMANENT_HOURLY_RATE-MAX(0,($D282+X$5)-PERMANENT_FIELD_LABOR_HOURS)*TEMP_HOURLY_RATE-FIXED_SEASON_COST)</f>
        <v>16636.3033528175</v>
      </c>
      <c r="Y282" s="53" t="n">
        <f aca="false">IF(OR($A282&gt;TOMATO_BED_CAP,$B282&gt;CARROT_BED_CAP,Y$4&gt;MESCLUN_BED_CAP,$A282+$B282+Y$4&gt;TOTAL_BEDS_AVAILABLE,($D282+Y$5)&gt;TOTAL_LABOR_HOURS_CAP,MAX(0,($D282+Y$5)-PERMANENT_FIELD_LABOR_HOURS)&gt;TEMP_HOURS_CAP),"",$C282+Y$6-MIN(($D282+Y$5),PERMANENT_FIELD_LABOR_HOURS)*PERMANENT_HOURLY_RATE-MAX(0,($D282+Y$5)-PERMANENT_FIELD_LABOR_HOURS)*TEMP_HOURLY_RATE-FIXED_SEASON_COST)</f>
        <v>17247.3264156962</v>
      </c>
      <c r="Z282" s="53" t="n">
        <f aca="false">IF(OR($A282&gt;TOMATO_BED_CAP,$B282&gt;CARROT_BED_CAP,Z$4&gt;MESCLUN_BED_CAP,$A282+$B282+Z$4&gt;TOTAL_BEDS_AVAILABLE,($D282+Z$5)&gt;TOTAL_LABOR_HOURS_CAP,MAX(0,($D282+Z$5)-PERMANENT_FIELD_LABOR_HOURS)&gt;TEMP_HOURS_CAP),"",$C282+Z$6-MIN(($D282+Z$5),PERMANENT_FIELD_LABOR_HOURS)*PERMANENT_HOURLY_RATE-MAX(0,($D282+Z$5)-PERMANENT_FIELD_LABOR_HOURS)*TEMP_HOURLY_RATE-FIXED_SEASON_COST)</f>
        <v>17830.8727300039</v>
      </c>
      <c r="AA282" s="53" t="n">
        <f aca="false">IF(OR($A282&gt;TOMATO_BED_CAP,$B282&gt;CARROT_BED_CAP,AA$4&gt;MESCLUN_BED_CAP,$A282+$B282+AA$4&gt;TOTAL_BEDS_AVAILABLE,($D282+AA$5)&gt;TOTAL_LABOR_HOURS_CAP,MAX(0,($D282+AA$5)-PERMANENT_FIELD_LABOR_HOURS)&gt;TEMP_HOURS_CAP),"",$C282+AA$6-MIN(($D282+AA$5),PERMANENT_FIELD_LABOR_HOURS)*PERMANENT_HOURLY_RATE-MAX(0,($D282+AA$5)-PERMANENT_FIELD_LABOR_HOURS)*TEMP_HOURLY_RATE-FIXED_SEASON_COST)</f>
        <v>18386.4442796728</v>
      </c>
      <c r="AB282" s="53" t="n">
        <f aca="false">IF(OR($A282&gt;TOMATO_BED_CAP,$B282&gt;CARROT_BED_CAP,AB$4&gt;MESCLUN_BED_CAP,$A282+$B282+AB$4&gt;TOTAL_BEDS_AVAILABLE,($D282+AB$5)&gt;TOTAL_LABOR_HOURS_CAP,MAX(0,($D282+AB$5)-PERMANENT_FIELD_LABOR_HOURS)&gt;TEMP_HOURS_CAP),"",$C282+AB$6-MIN(($D282+AB$5),PERMANENT_FIELD_LABOR_HOURS)*PERMANENT_HOURLY_RATE-MAX(0,($D282+AB$5)-PERMANENT_FIELD_LABOR_HOURS)*TEMP_HOURLY_RATE-FIXED_SEASON_COST)</f>
        <v>18913.5348914754</v>
      </c>
      <c r="AC282" s="53" t="n">
        <f aca="false">IF(OR($A282&gt;TOMATO_BED_CAP,$B282&gt;CARROT_BED_CAP,AC$4&gt;MESCLUN_BED_CAP,$A282+$B282+AC$4&gt;TOTAL_BEDS_AVAILABLE,($D282+AC$5)&gt;TOTAL_LABOR_HOURS_CAP,MAX(0,($D282+AC$5)-PERMANENT_FIELD_LABOR_HOURS)&gt;TEMP_HOURS_CAP),"",$C282+AC$6-MIN(($D282+AC$5),PERMANENT_FIELD_LABOR_HOURS)*PERMANENT_HOURLY_RATE-MAX(0,($D282+AC$5)-PERMANENT_FIELD_LABOR_HOURS)*TEMP_HOURLY_RATE-FIXED_SEASON_COST)</f>
        <v>19411.6301089103</v>
      </c>
      <c r="AD282" s="53" t="n">
        <f aca="false">IF(OR($A282&gt;TOMATO_BED_CAP,$B282&gt;CARROT_BED_CAP,AD$4&gt;MESCLUN_BED_CAP,$A282+$B282+AD$4&gt;TOTAL_BEDS_AVAILABLE,($D282+AD$5)&gt;TOTAL_LABOR_HOURS_CAP,MAX(0,($D282+AD$5)-PERMANENT_FIELD_LABOR_HOURS)&gt;TEMP_HOURS_CAP),"",$C282+AD$6-MIN(($D282+AD$5),PERMANENT_FIELD_LABOR_HOURS)*PERMANENT_HOURLY_RATE-MAX(0,($D282+AD$5)-PERMANENT_FIELD_LABOR_HOURS)*TEMP_HOURLY_RATE-FIXED_SEASON_COST)</f>
        <v>19880.2070642102</v>
      </c>
      <c r="AE282" s="53" t="n">
        <f aca="false">IF(OR($A282&gt;TOMATO_BED_CAP,$B282&gt;CARROT_BED_CAP,AE$4&gt;MESCLUN_BED_CAP,$A282+$B282+AE$4&gt;TOTAL_BEDS_AVAILABLE,($D282+AE$5)&gt;TOTAL_LABOR_HOURS_CAP,MAX(0,($D282+AE$5)-PERMANENT_FIELD_LABOR_HOURS)&gt;TEMP_HOURS_CAP),"",$C282+AE$6-MIN(($D282+AE$5),PERMANENT_FIELD_LABOR_HOURS)*PERMANENT_HOURLY_RATE-MAX(0,($D282+AE$5)-PERMANENT_FIELD_LABOR_HOURS)*TEMP_HOURLY_RATE-FIXED_SEASON_COST)</f>
        <v>20318.7343484441</v>
      </c>
      <c r="AF282" s="53" t="n">
        <f aca="false">IF(OR($A282&gt;TOMATO_BED_CAP,$B282&gt;CARROT_BED_CAP,AF$4&gt;MESCLUN_BED_CAP,$A282+$B282+AF$4&gt;TOTAL_BEDS_AVAILABLE,($D282+AF$5)&gt;TOTAL_LABOR_HOURS_CAP,MAX(0,($D282+AF$5)-PERMANENT_FIELD_LABOR_HOURS)&gt;TEMP_HOURS_CAP),"",$C282+AF$6-MIN(($D282+AF$5),PERMANENT_FIELD_LABOR_HOURS)*PERMANENT_HOURLY_RATE-MAX(0,($D282+AF$5)-PERMANENT_FIELD_LABOR_HOURS)*TEMP_HOURLY_RATE-FIXED_SEASON_COST)</f>
        <v>20726.6718796861</v>
      </c>
      <c r="AG282" s="53" t="n">
        <f aca="false">IF(OR($A282&gt;TOMATO_BED_CAP,$B282&gt;CARROT_BED_CAP,AG$4&gt;MESCLUN_BED_CAP,$A282+$B282+AG$4&gt;TOTAL_BEDS_AVAILABLE,($D282+AG$5)&gt;TOTAL_LABOR_HOURS_CAP,MAX(0,($D282+AG$5)-PERMANENT_FIELD_LABOR_HOURS)&gt;TEMP_HOURS_CAP),"",$C282+AG$6-MIN(($D282+AG$5),PERMANENT_FIELD_LABOR_HOURS)*PERMANENT_HOURLY_RATE-MAX(0,($D282+AG$5)-PERMANENT_FIELD_LABOR_HOURS)*TEMP_HOURLY_RATE-FIXED_SEASON_COST)</f>
        <v>21103.4707692231</v>
      </c>
      <c r="AH282" s="53" t="n">
        <f aca="false">IF(OR($A282&gt;TOMATO_BED_CAP,$B282&gt;CARROT_BED_CAP,AH$4&gt;MESCLUN_BED_CAP,$A282+$B282+AH$4&gt;TOTAL_BEDS_AVAILABLE,($D282+AH$5)&gt;TOTAL_LABOR_HOURS_CAP,MAX(0,($D282+AH$5)-PERMANENT_FIELD_LABOR_HOURS)&gt;TEMP_HOURS_CAP),"",$C282+AH$6-MIN(($D282+AH$5),PERMANENT_FIELD_LABOR_HOURS)*PERMANENT_HOURLY_RATE-MAX(0,($D282+AH$5)-PERMANENT_FIELD_LABOR_HOURS)*TEMP_HOURLY_RATE-FIXED_SEASON_COST)</f>
        <v>21448.5731857733</v>
      </c>
      <c r="AI282" s="53" t="n">
        <f aca="false">IF(OR($A282&gt;TOMATO_BED_CAP,$B282&gt;CARROT_BED_CAP,AI$4&gt;MESCLUN_BED_CAP,$A282+$B282+AI$4&gt;TOTAL_BEDS_AVAILABLE,($D282+AI$5)&gt;TOTAL_LABOR_HOURS_CAP,MAX(0,($D282+AI$5)-PERMANENT_FIELD_LABOR_HOURS)&gt;TEMP_HOURS_CAP),"",$C282+AI$6-MIN(($D282+AI$5),PERMANENT_FIELD_LABOR_HOURS)*PERMANENT_HOURLY_RATE-MAX(0,($D282+AI$5)-PERMANENT_FIELD_LABOR_HOURS)*TEMP_HOURLY_RATE-FIXED_SEASON_COST)</f>
        <v>21761.4122176856</v>
      </c>
      <c r="AJ282" s="53" t="n">
        <f aca="false">IF(OR($A282&gt;TOMATO_BED_CAP,$B282&gt;CARROT_BED_CAP,AJ$4&gt;MESCLUN_BED_CAP,$A282+$B282+AJ$4&gt;TOTAL_BEDS_AVAILABLE,($D282+AJ$5)&gt;TOTAL_LABOR_HOURS_CAP,MAX(0,($D282+AJ$5)-PERMANENT_FIELD_LABOR_HOURS)&gt;TEMP_HOURS_CAP),"",$C282+AJ$6-MIN(($D282+AJ$5),PERMANENT_FIELD_LABOR_HOURS)*PERMANENT_HOURLY_RATE-MAX(0,($D282+AJ$5)-PERMANENT_FIELD_LABOR_HOURS)*TEMP_HOURLY_RATE-FIXED_SEASON_COST)</f>
        <v>22041.4117330913</v>
      </c>
    </row>
    <row r="283" customFormat="false" ht="15" hidden="false" customHeight="false" outlineLevel="0" collapsed="false">
      <c r="A283" s="21" t="n">
        <f aca="false">INT((ROW()-ROW($A$8))/(20+1))</f>
        <v>13</v>
      </c>
      <c r="B283" s="21" t="n">
        <f aca="false">MOD(ROW()-ROW($A$8),20+1)</f>
        <v>2</v>
      </c>
      <c r="C283" s="13" t="n">
        <f aca="false">A283*(TOMATO_REVENUE_PER_BED-TOMATO_FERTILIZER_PER_BED)+B283*(CARROT_REVENUE_PER_BED-CARROT_FERTILIZER_PER_BED)</f>
        <v>106268</v>
      </c>
      <c r="D283" s="14" t="n">
        <f aca="false">INDEX(TOMATO_SCHED_LABOR_HRS,A283+1)+INDEX(CARROT_SCHED_LABOR_HRS,B283+1)</f>
        <v>4102.16960583993</v>
      </c>
      <c r="E283" s="13" t="n">
        <f aca="false">IF(COUNT(F283:AJ283)=0,"",MAX(F283:AJ283))</f>
        <v>23135.1249374913</v>
      </c>
      <c r="F283" s="53" t="n">
        <f aca="false">IF(OR($A283&gt;TOMATO_BED_CAP,$B283&gt;CARROT_BED_CAP,F$4&gt;MESCLUN_BED_CAP,$A283+$B283+F$4&gt;TOTAL_BEDS_AVAILABLE,($D283+F$5)&gt;TOTAL_LABOR_HOURS_CAP,MAX(0,($D283+F$5)-PERMANENT_FIELD_LABOR_HOURS)&gt;TEMP_HOURS_CAP),"",$C283+F$6-MIN(($D283+F$5),PERMANENT_FIELD_LABOR_HOURS)*PERMANENT_HOURLY_RATE-MAX(0,($D283+F$5)-PERMANENT_FIELD_LABOR_HOURS)*TEMP_HOURLY_RATE-FIXED_SEASON_COST)</f>
        <v>2555.13564261881</v>
      </c>
      <c r="G283" s="53" t="n">
        <f aca="false">IF(OR($A283&gt;TOMATO_BED_CAP,$B283&gt;CARROT_BED_CAP,G$4&gt;MESCLUN_BED_CAP,$A283+$B283+G$4&gt;TOTAL_BEDS_AVAILABLE,($D283+G$5)&gt;TOTAL_LABOR_HOURS_CAP,MAX(0,($D283+G$5)-PERMANENT_FIELD_LABOR_HOURS)&gt;TEMP_HOURS_CAP),"",$C283+G$6-MIN(($D283+G$5),PERMANENT_FIELD_LABOR_HOURS)*PERMANENT_HOURLY_RATE-MAX(0,($D283+G$5)-PERMANENT_FIELD_LABOR_HOURS)*TEMP_HOURLY_RATE-FIXED_SEASON_COST)</f>
        <v>3584.1706426188</v>
      </c>
      <c r="H283" s="53" t="n">
        <f aca="false">IF(OR($A283&gt;TOMATO_BED_CAP,$B283&gt;CARROT_BED_CAP,H$4&gt;MESCLUN_BED_CAP,$A283+$B283+H$4&gt;TOTAL_BEDS_AVAILABLE,($D283+H$5)&gt;TOTAL_LABOR_HOURS_CAP,MAX(0,($D283+H$5)-PERMANENT_FIELD_LABOR_HOURS)&gt;TEMP_HOURS_CAP),"",$C283+H$6-MIN(($D283+H$5),PERMANENT_FIELD_LABOR_HOURS)*PERMANENT_HOURLY_RATE-MAX(0,($D283+H$5)-PERMANENT_FIELD_LABOR_HOURS)*TEMP_HOURLY_RATE-FIXED_SEASON_COST)</f>
        <v>4593.4315176188</v>
      </c>
      <c r="I283" s="53" t="n">
        <f aca="false">IF(OR($A283&gt;TOMATO_BED_CAP,$B283&gt;CARROT_BED_CAP,I$4&gt;MESCLUN_BED_CAP,$A283+$B283+I$4&gt;TOTAL_BEDS_AVAILABLE,($D283+I$5)&gt;TOTAL_LABOR_HOURS_CAP,MAX(0,($D283+I$5)-PERMANENT_FIELD_LABOR_HOURS)&gt;TEMP_HOURS_CAP),"",$C283+I$6-MIN(($D283+I$5),PERMANENT_FIELD_LABOR_HOURS)*PERMANENT_HOURLY_RATE-MAX(0,($D283+I$5)-PERMANENT_FIELD_LABOR_HOURS)*TEMP_HOURLY_RATE-FIXED_SEASON_COST)</f>
        <v>5582.54750277505</v>
      </c>
      <c r="J283" s="53" t="n">
        <f aca="false">IF(OR($A283&gt;TOMATO_BED_CAP,$B283&gt;CARROT_BED_CAP,J$4&gt;MESCLUN_BED_CAP,$A283+$B283+J$4&gt;TOTAL_BEDS_AVAILABLE,($D283+J$5)&gt;TOTAL_LABOR_HOURS_CAP,MAX(0,($D283+J$5)-PERMANENT_FIELD_LABOR_HOURS)&gt;TEMP_HOURS_CAP),"",$C283+J$6-MIN(($D283+J$5),PERMANENT_FIELD_LABOR_HOURS)*PERMANENT_HOURLY_RATE-MAX(0,($D283+J$5)-PERMANENT_FIELD_LABOR_HOURS)*TEMP_HOURLY_RATE-FIXED_SEASON_COST)</f>
        <v>6551.14165382974</v>
      </c>
      <c r="K283" s="53" t="n">
        <f aca="false">IF(OR($A283&gt;TOMATO_BED_CAP,$B283&gt;CARROT_BED_CAP,K$4&gt;MESCLUN_BED_CAP,$A283+$B283+K$4&gt;TOTAL_BEDS_AVAILABLE,($D283+K$5)&gt;TOTAL_LABOR_HOURS_CAP,MAX(0,($D283+K$5)-PERMANENT_FIELD_LABOR_HOURS)&gt;TEMP_HOURS_CAP),"",$C283+K$6-MIN(($D283+K$5),PERMANENT_FIELD_LABOR_HOURS)*PERMANENT_HOURLY_RATE-MAX(0,($D283+K$5)-PERMANENT_FIELD_LABOR_HOURS)*TEMP_HOURLY_RATE-FIXED_SEASON_COST)</f>
        <v>7498.83075055765</v>
      </c>
      <c r="L283" s="53" t="n">
        <f aca="false">IF(OR($A283&gt;TOMATO_BED_CAP,$B283&gt;CARROT_BED_CAP,L$4&gt;MESCLUN_BED_CAP,$A283+$B283+L$4&gt;TOTAL_BEDS_AVAILABLE,($D283+L$5)&gt;TOTAL_LABOR_HOURS_CAP,MAX(0,($D283+L$5)-PERMANENT_FIELD_LABOR_HOURS)&gt;TEMP_HOURS_CAP),"",$C283+L$6-MIN(($D283+L$5),PERMANENT_FIELD_LABOR_HOURS)*PERMANENT_HOURLY_RATE-MAX(0,($D283+L$5)-PERMANENT_FIELD_LABOR_HOURS)*TEMP_HOURLY_RATE-FIXED_SEASON_COST)</f>
        <v>8425.2251987645</v>
      </c>
      <c r="M283" s="53" t="n">
        <f aca="false">IF(OR($A283&gt;TOMATO_BED_CAP,$B283&gt;CARROT_BED_CAP,M$4&gt;MESCLUN_BED_CAP,$A283+$B283+M$4&gt;TOTAL_BEDS_AVAILABLE,($D283+M$5)&gt;TOTAL_LABOR_HOURS_CAP,MAX(0,($D283+M$5)-PERMANENT_FIELD_LABOR_HOURS)&gt;TEMP_HOURS_CAP),"",$C283+M$6-MIN(($D283+M$5),PERMANENT_FIELD_LABOR_HOURS)*PERMANENT_HOURLY_RATE-MAX(0,($D283+M$5)-PERMANENT_FIELD_LABOR_HOURS)*TEMP_HOURLY_RATE-FIXED_SEASON_COST)</f>
        <v>9329.9289308159</v>
      </c>
      <c r="N283" s="53" t="n">
        <f aca="false">IF(OR($A283&gt;TOMATO_BED_CAP,$B283&gt;CARROT_BED_CAP,N$4&gt;MESCLUN_BED_CAP,$A283+$B283+N$4&gt;TOTAL_BEDS_AVAILABLE,($D283+N$5)&gt;TOTAL_LABOR_HOURS_CAP,MAX(0,($D283+N$5)-PERMANENT_FIELD_LABOR_HOURS)&gt;TEMP_HOURS_CAP),"",$C283+N$6-MIN(($D283+N$5),PERMANENT_FIELD_LABOR_HOURS)*PERMANENT_HOURLY_RATE-MAX(0,($D283+N$5)-PERMANENT_FIELD_LABOR_HOURS)*TEMP_HOURLY_RATE-FIXED_SEASON_COST)</f>
        <v>10212.5393046754</v>
      </c>
      <c r="O283" s="53" t="n">
        <f aca="false">IF(OR($A283&gt;TOMATO_BED_CAP,$B283&gt;CARROT_BED_CAP,O$4&gt;MESCLUN_BED_CAP,$A283+$B283+O$4&gt;TOTAL_BEDS_AVAILABLE,($D283+O$5)&gt;TOTAL_LABOR_HOURS_CAP,MAX(0,($D283+O$5)-PERMANENT_FIELD_LABOR_HOURS)&gt;TEMP_HOURS_CAP),"",$C283+O$6-MIN(($D283+O$5),PERMANENT_FIELD_LABOR_HOURS)*PERMANENT_HOURLY_RATE-MAX(0,($D283+O$5)-PERMANENT_FIELD_LABOR_HOURS)*TEMP_HOURLY_RATE-FIXED_SEASON_COST)</f>
        <v>11072.6470014302</v>
      </c>
      <c r="P283" s="53" t="n">
        <f aca="false">IF(OR($A283&gt;TOMATO_BED_CAP,$B283&gt;CARROT_BED_CAP,P$4&gt;MESCLUN_BED_CAP,$A283+$B283+P$4&gt;TOTAL_BEDS_AVAILABLE,($D283+P$5)&gt;TOTAL_LABOR_HOURS_CAP,MAX(0,($D283+P$5)-PERMANENT_FIELD_LABOR_HOURS)&gt;TEMP_HOURS_CAP),"",$C283+P$6-MIN(($D283+P$5),PERMANENT_FIELD_LABOR_HOURS)*PERMANENT_HOURLY_RATE-MAX(0,($D283+P$5)-PERMANENT_FIELD_LABOR_HOURS)*TEMP_HOURLY_RATE-FIXED_SEASON_COST)</f>
        <v>11909.8359212816</v>
      </c>
      <c r="Q283" s="53" t="n">
        <f aca="false">IF(OR($A283&gt;TOMATO_BED_CAP,$B283&gt;CARROT_BED_CAP,Q$4&gt;MESCLUN_BED_CAP,$A283+$B283+Q$4&gt;TOTAL_BEDS_AVAILABLE,($D283+Q$5)&gt;TOTAL_LABOR_HOURS_CAP,MAX(0,($D283+Q$5)-PERMANENT_FIELD_LABOR_HOURS)&gt;TEMP_HOURS_CAP),"",$C283+Q$6-MIN(($D283+Q$5),PERMANENT_FIELD_LABOR_HOURS)*PERMANENT_HOURLY_RATE-MAX(0,($D283+Q$5)-PERMANENT_FIELD_LABOR_HOURS)*TEMP_HOURLY_RATE-FIXED_SEASON_COST)</f>
        <v>12723.6830779795</v>
      </c>
      <c r="R283" s="53" t="n">
        <f aca="false">IF(OR($A283&gt;TOMATO_BED_CAP,$B283&gt;CARROT_BED_CAP,R$4&gt;MESCLUN_BED_CAP,$A283+$B283+R$4&gt;TOTAL_BEDS_AVAILABLE,($D283+R$5)&gt;TOTAL_LABOR_HOURS_CAP,MAX(0,($D283+R$5)-PERMANENT_FIELD_LABOR_HOURS)&gt;TEMP_HOURS_CAP),"",$C283+R$6-MIN(($D283+R$5),PERMANENT_FIELD_LABOR_HOURS)*PERMANENT_HOURLY_RATE-MAX(0,($D283+R$5)-PERMANENT_FIELD_LABOR_HOURS)*TEMP_HOURLY_RATE-FIXED_SEASON_COST)</f>
        <v>13513.7584916763</v>
      </c>
      <c r="S283" s="53" t="n">
        <f aca="false">IF(OR($A283&gt;TOMATO_BED_CAP,$B283&gt;CARROT_BED_CAP,S$4&gt;MESCLUN_BED_CAP,$A283+$B283+S$4&gt;TOTAL_BEDS_AVAILABLE,($D283+S$5)&gt;TOTAL_LABOR_HOURS_CAP,MAX(0,($D283+S$5)-PERMANENT_FIELD_LABOR_HOURS)&gt;TEMP_HOURS_CAP),"",$C283+S$6-MIN(($D283+S$5),PERMANENT_FIELD_LABOR_HOURS)*PERMANENT_HOURLY_RATE-MAX(0,($D283+S$5)-PERMANENT_FIELD_LABOR_HOURS)*TEMP_HOURLY_RATE-FIXED_SEASON_COST)</f>
        <v>14279.6250801788</v>
      </c>
      <c r="T283" s="53" t="n">
        <f aca="false">IF(OR($A283&gt;TOMATO_BED_CAP,$B283&gt;CARROT_BED_CAP,T$4&gt;MESCLUN_BED_CAP,$A283+$B283+T$4&gt;TOTAL_BEDS_AVAILABLE,($D283+T$5)&gt;TOTAL_LABOR_HOURS_CAP,MAX(0,($D283+T$5)-PERMANENT_FIELD_LABOR_HOURS)&gt;TEMP_HOURS_CAP),"",$C283+T$6-MIN(($D283+T$5),PERMANENT_FIELD_LABOR_HOURS)*PERMANENT_HOURLY_RATE-MAX(0,($D283+T$5)-PERMANENT_FIELD_LABOR_HOURS)*TEMP_HOURLY_RATE-FIXED_SEASON_COST)</f>
        <v>15020.8385485736</v>
      </c>
      <c r="U283" s="53" t="n">
        <f aca="false">IF(OR($A283&gt;TOMATO_BED_CAP,$B283&gt;CARROT_BED_CAP,U$4&gt;MESCLUN_BED_CAP,$A283+$B283+U$4&gt;TOTAL_BEDS_AVAILABLE,($D283+U$5)&gt;TOTAL_LABOR_HOURS_CAP,MAX(0,($D283+U$5)-PERMANENT_FIELD_LABOR_HOURS)&gt;TEMP_HOURS_CAP),"",$C283+U$6-MIN(($D283+U$5),PERMANENT_FIELD_LABOR_HOURS)*PERMANENT_HOURLY_RATE-MAX(0,($D283+U$5)-PERMANENT_FIELD_LABOR_HOURS)*TEMP_HOURLY_RATE-FIXED_SEASON_COST)</f>
        <v>15736.9472772037</v>
      </c>
      <c r="V283" s="53" t="n">
        <f aca="false">IF(OR($A283&gt;TOMATO_BED_CAP,$B283&gt;CARROT_BED_CAP,V$4&gt;MESCLUN_BED_CAP,$A283+$B283+V$4&gt;TOTAL_BEDS_AVAILABLE,($D283+V$5)&gt;TOTAL_LABOR_HOURS_CAP,MAX(0,($D283+V$5)-PERMANENT_FIELD_LABOR_HOURS)&gt;TEMP_HOURS_CAP),"",$C283+V$6-MIN(($D283+V$5),PERMANENT_FIELD_LABOR_HOURS)*PERMANENT_HOURLY_RATE-MAX(0,($D283+V$5)-PERMANENT_FIELD_LABOR_HOURS)*TEMP_HOURLY_RATE-FIXED_SEASON_COST)</f>
        <v>16427.4922079705</v>
      </c>
      <c r="W283" s="53" t="n">
        <f aca="false">IF(OR($A283&gt;TOMATO_BED_CAP,$B283&gt;CARROT_BED_CAP,W$4&gt;MESCLUN_BED_CAP,$A283+$B283+W$4&gt;TOTAL_BEDS_AVAILABLE,($D283+W$5)&gt;TOTAL_LABOR_HOURS_CAP,MAX(0,($D283+W$5)-PERMANENT_FIELD_LABOR_HOURS)&gt;TEMP_HOURS_CAP),"",$C283+W$6-MIN(($D283+W$5),PERMANENT_FIELD_LABOR_HOURS)*PERMANENT_HOURLY_RATE-MAX(0,($D283+W$5)-PERMANENT_FIELD_LABOR_HOURS)*TEMP_HOURLY_RATE-FIXED_SEASON_COST)</f>
        <v>17092.0067289386</v>
      </c>
      <c r="X283" s="53" t="n">
        <f aca="false">IF(OR($A283&gt;TOMATO_BED_CAP,$B283&gt;CARROT_BED_CAP,X$4&gt;MESCLUN_BED_CAP,$A283+$B283+X$4&gt;TOTAL_BEDS_AVAILABLE,($D283+X$5)&gt;TOTAL_LABOR_HOURS_CAP,MAX(0,($D283+X$5)-PERMANENT_FIELD_LABOR_HOURS)&gt;TEMP_HOURS_CAP),"",$C283+X$6-MIN(($D283+X$5),PERMANENT_FIELD_LABOR_HOURS)*PERMANENT_HOURLY_RATE-MAX(0,($D283+X$5)-PERMANENT_FIELD_LABOR_HOURS)*TEMP_HOURLY_RATE-FIXED_SEASON_COST)</f>
        <v>17730.0165572175</v>
      </c>
      <c r="Y283" s="53" t="n">
        <f aca="false">IF(OR($A283&gt;TOMATO_BED_CAP,$B283&gt;CARROT_BED_CAP,Y$4&gt;MESCLUN_BED_CAP,$A283+$B283+Y$4&gt;TOTAL_BEDS_AVAILABLE,($D283+Y$5)&gt;TOTAL_LABOR_HOURS_CAP,MAX(0,($D283+Y$5)-PERMANENT_FIELD_LABOR_HOURS)&gt;TEMP_HOURS_CAP),"",$C283+Y$6-MIN(($D283+Y$5),PERMANENT_FIELD_LABOR_HOURS)*PERMANENT_HOURLY_RATE-MAX(0,($D283+Y$5)-PERMANENT_FIELD_LABOR_HOURS)*TEMP_HOURLY_RATE-FIXED_SEASON_COST)</f>
        <v>18341.0396200962</v>
      </c>
      <c r="Z283" s="53" t="n">
        <f aca="false">IF(OR($A283&gt;TOMATO_BED_CAP,$B283&gt;CARROT_BED_CAP,Z$4&gt;MESCLUN_BED_CAP,$A283+$B283+Z$4&gt;TOTAL_BEDS_AVAILABLE,($D283+Z$5)&gt;TOTAL_LABOR_HOURS_CAP,MAX(0,($D283+Z$5)-PERMANENT_FIELD_LABOR_HOURS)&gt;TEMP_HOURS_CAP),"",$C283+Z$6-MIN(($D283+Z$5),PERMANENT_FIELD_LABOR_HOURS)*PERMANENT_HOURLY_RATE-MAX(0,($D283+Z$5)-PERMANENT_FIELD_LABOR_HOURS)*TEMP_HOURLY_RATE-FIXED_SEASON_COST)</f>
        <v>18924.5859344039</v>
      </c>
      <c r="AA283" s="53" t="n">
        <f aca="false">IF(OR($A283&gt;TOMATO_BED_CAP,$B283&gt;CARROT_BED_CAP,AA$4&gt;MESCLUN_BED_CAP,$A283+$B283+AA$4&gt;TOTAL_BEDS_AVAILABLE,($D283+AA$5)&gt;TOTAL_LABOR_HOURS_CAP,MAX(0,($D283+AA$5)-PERMANENT_FIELD_LABOR_HOURS)&gt;TEMP_HOURS_CAP),"",$C283+AA$6-MIN(($D283+AA$5),PERMANENT_FIELD_LABOR_HOURS)*PERMANENT_HOURLY_RATE-MAX(0,($D283+AA$5)-PERMANENT_FIELD_LABOR_HOURS)*TEMP_HOURLY_RATE-FIXED_SEASON_COST)</f>
        <v>19480.1574840728</v>
      </c>
      <c r="AB283" s="53" t="n">
        <f aca="false">IF(OR($A283&gt;TOMATO_BED_CAP,$B283&gt;CARROT_BED_CAP,AB$4&gt;MESCLUN_BED_CAP,$A283+$B283+AB$4&gt;TOTAL_BEDS_AVAILABLE,($D283+AB$5)&gt;TOTAL_LABOR_HOURS_CAP,MAX(0,($D283+AB$5)-PERMANENT_FIELD_LABOR_HOURS)&gt;TEMP_HOURS_CAP),"",$C283+AB$6-MIN(($D283+AB$5),PERMANENT_FIELD_LABOR_HOURS)*PERMANENT_HOURLY_RATE-MAX(0,($D283+AB$5)-PERMANENT_FIELD_LABOR_HOURS)*TEMP_HOURLY_RATE-FIXED_SEASON_COST)</f>
        <v>20007.2480958754</v>
      </c>
      <c r="AC283" s="53" t="n">
        <f aca="false">IF(OR($A283&gt;TOMATO_BED_CAP,$B283&gt;CARROT_BED_CAP,AC$4&gt;MESCLUN_BED_CAP,$A283+$B283+AC$4&gt;TOTAL_BEDS_AVAILABLE,($D283+AC$5)&gt;TOTAL_LABOR_HOURS_CAP,MAX(0,($D283+AC$5)-PERMANENT_FIELD_LABOR_HOURS)&gt;TEMP_HOURS_CAP),"",$C283+AC$6-MIN(($D283+AC$5),PERMANENT_FIELD_LABOR_HOURS)*PERMANENT_HOURLY_RATE-MAX(0,($D283+AC$5)-PERMANENT_FIELD_LABOR_HOURS)*TEMP_HOURLY_RATE-FIXED_SEASON_COST)</f>
        <v>20505.3433133103</v>
      </c>
      <c r="AD283" s="53" t="n">
        <f aca="false">IF(OR($A283&gt;TOMATO_BED_CAP,$B283&gt;CARROT_BED_CAP,AD$4&gt;MESCLUN_BED_CAP,$A283+$B283+AD$4&gt;TOTAL_BEDS_AVAILABLE,($D283+AD$5)&gt;TOTAL_LABOR_HOURS_CAP,MAX(0,($D283+AD$5)-PERMANENT_FIELD_LABOR_HOURS)&gt;TEMP_HOURS_CAP),"",$C283+AD$6-MIN(($D283+AD$5),PERMANENT_FIELD_LABOR_HOURS)*PERMANENT_HOURLY_RATE-MAX(0,($D283+AD$5)-PERMANENT_FIELD_LABOR_HOURS)*TEMP_HOURLY_RATE-FIXED_SEASON_COST)</f>
        <v>20973.9202686102</v>
      </c>
      <c r="AE283" s="53" t="n">
        <f aca="false">IF(OR($A283&gt;TOMATO_BED_CAP,$B283&gt;CARROT_BED_CAP,AE$4&gt;MESCLUN_BED_CAP,$A283+$B283+AE$4&gt;TOTAL_BEDS_AVAILABLE,($D283+AE$5)&gt;TOTAL_LABOR_HOURS_CAP,MAX(0,($D283+AE$5)-PERMANENT_FIELD_LABOR_HOURS)&gt;TEMP_HOURS_CAP),"",$C283+AE$6-MIN(($D283+AE$5),PERMANENT_FIELD_LABOR_HOURS)*PERMANENT_HOURLY_RATE-MAX(0,($D283+AE$5)-PERMANENT_FIELD_LABOR_HOURS)*TEMP_HOURLY_RATE-FIXED_SEASON_COST)</f>
        <v>21412.4475528441</v>
      </c>
      <c r="AF283" s="53" t="n">
        <f aca="false">IF(OR($A283&gt;TOMATO_BED_CAP,$B283&gt;CARROT_BED_CAP,AF$4&gt;MESCLUN_BED_CAP,$A283+$B283+AF$4&gt;TOTAL_BEDS_AVAILABLE,($D283+AF$5)&gt;TOTAL_LABOR_HOURS_CAP,MAX(0,($D283+AF$5)-PERMANENT_FIELD_LABOR_HOURS)&gt;TEMP_HOURS_CAP),"",$C283+AF$6-MIN(($D283+AF$5),PERMANENT_FIELD_LABOR_HOURS)*PERMANENT_HOURLY_RATE-MAX(0,($D283+AF$5)-PERMANENT_FIELD_LABOR_HOURS)*TEMP_HOURLY_RATE-FIXED_SEASON_COST)</f>
        <v>21820.3850840861</v>
      </c>
      <c r="AG283" s="53" t="n">
        <f aca="false">IF(OR($A283&gt;TOMATO_BED_CAP,$B283&gt;CARROT_BED_CAP,AG$4&gt;MESCLUN_BED_CAP,$A283+$B283+AG$4&gt;TOTAL_BEDS_AVAILABLE,($D283+AG$5)&gt;TOTAL_LABOR_HOURS_CAP,MAX(0,($D283+AG$5)-PERMANENT_FIELD_LABOR_HOURS)&gt;TEMP_HOURS_CAP),"",$C283+AG$6-MIN(($D283+AG$5),PERMANENT_FIELD_LABOR_HOURS)*PERMANENT_HOURLY_RATE-MAX(0,($D283+AG$5)-PERMANENT_FIELD_LABOR_HOURS)*TEMP_HOURLY_RATE-FIXED_SEASON_COST)</f>
        <v>22197.1839736231</v>
      </c>
      <c r="AH283" s="53" t="n">
        <f aca="false">IF(OR($A283&gt;TOMATO_BED_CAP,$B283&gt;CARROT_BED_CAP,AH$4&gt;MESCLUN_BED_CAP,$A283+$B283+AH$4&gt;TOTAL_BEDS_AVAILABLE,($D283+AH$5)&gt;TOTAL_LABOR_HOURS_CAP,MAX(0,($D283+AH$5)-PERMANENT_FIELD_LABOR_HOURS)&gt;TEMP_HOURS_CAP),"",$C283+AH$6-MIN(($D283+AH$5),PERMANENT_FIELD_LABOR_HOURS)*PERMANENT_HOURLY_RATE-MAX(0,($D283+AH$5)-PERMANENT_FIELD_LABOR_HOURS)*TEMP_HOURLY_RATE-FIXED_SEASON_COST)</f>
        <v>22542.2863901733</v>
      </c>
      <c r="AI283" s="53" t="n">
        <f aca="false">IF(OR($A283&gt;TOMATO_BED_CAP,$B283&gt;CARROT_BED_CAP,AI$4&gt;MESCLUN_BED_CAP,$A283+$B283+AI$4&gt;TOTAL_BEDS_AVAILABLE,($D283+AI$5)&gt;TOTAL_LABOR_HOURS_CAP,MAX(0,($D283+AI$5)-PERMANENT_FIELD_LABOR_HOURS)&gt;TEMP_HOURS_CAP),"",$C283+AI$6-MIN(($D283+AI$5),PERMANENT_FIELD_LABOR_HOURS)*PERMANENT_HOURLY_RATE-MAX(0,($D283+AI$5)-PERMANENT_FIELD_LABOR_HOURS)*TEMP_HOURLY_RATE-FIXED_SEASON_COST)</f>
        <v>22855.1254220856</v>
      </c>
      <c r="AJ283" s="53" t="n">
        <f aca="false">IF(OR($A283&gt;TOMATO_BED_CAP,$B283&gt;CARROT_BED_CAP,AJ$4&gt;MESCLUN_BED_CAP,$A283+$B283+AJ$4&gt;TOTAL_BEDS_AVAILABLE,($D283+AJ$5)&gt;TOTAL_LABOR_HOURS_CAP,MAX(0,($D283+AJ$5)-PERMANENT_FIELD_LABOR_HOURS)&gt;TEMP_HOURS_CAP),"",$C283+AJ$6-MIN(($D283+AJ$5),PERMANENT_FIELD_LABOR_HOURS)*PERMANENT_HOURLY_RATE-MAX(0,($D283+AJ$5)-PERMANENT_FIELD_LABOR_HOURS)*TEMP_HOURLY_RATE-FIXED_SEASON_COST)</f>
        <v>23135.1249374913</v>
      </c>
    </row>
    <row r="284" customFormat="false" ht="15" hidden="false" customHeight="false" outlineLevel="0" collapsed="false">
      <c r="A284" s="21" t="n">
        <f aca="false">INT((ROW()-ROW($A$8))/(20+1))</f>
        <v>13</v>
      </c>
      <c r="B284" s="21" t="n">
        <f aca="false">MOD(ROW()-ROW($A$8),20+1)</f>
        <v>3</v>
      </c>
      <c r="C284" s="13" t="n">
        <f aca="false">A284*(TOMATO_REVENUE_PER_BED-TOMATO_FERTILIZER_PER_BED)+B284*(CARROT_REVENUE_PER_BED-CARROT_FERTILIZER_PER_BED)</f>
        <v>107922</v>
      </c>
      <c r="D284" s="14" t="n">
        <f aca="false">INDEX(TOMATO_SCHED_LABOR_HRS,A284+1)+INDEX(CARROT_SCHED_LABOR_HRS,B284+1)</f>
        <v>4136.03870902743</v>
      </c>
      <c r="E284" s="13" t="n">
        <f aca="false">IF(COUNT(F284:AJ284)=0,"",MAX(F284:AJ284))</f>
        <v>24201.1573061563</v>
      </c>
      <c r="F284" s="53" t="n">
        <f aca="false">IF(OR($A284&gt;TOMATO_BED_CAP,$B284&gt;CARROT_BED_CAP,F$4&gt;MESCLUN_BED_CAP,$A284+$B284+F$4&gt;TOTAL_BEDS_AVAILABLE,($D284+F$5)&gt;TOTAL_LABOR_HOURS_CAP,MAX(0,($D284+F$5)-PERMANENT_FIELD_LABOR_HOURS)&gt;TEMP_HOURS_CAP),"",$C284+F$6-MIN(($D284+F$5),PERMANENT_FIELD_LABOR_HOURS)*PERMANENT_HOURLY_RATE-MAX(0,($D284+F$5)-PERMANENT_FIELD_LABOR_HOURS)*TEMP_HOURLY_RATE-FIXED_SEASON_COST)</f>
        <v>3621.16801128379</v>
      </c>
      <c r="G284" s="53" t="n">
        <f aca="false">IF(OR($A284&gt;TOMATO_BED_CAP,$B284&gt;CARROT_BED_CAP,G$4&gt;MESCLUN_BED_CAP,$A284+$B284+G$4&gt;TOTAL_BEDS_AVAILABLE,($D284+G$5)&gt;TOTAL_LABOR_HOURS_CAP,MAX(0,($D284+G$5)-PERMANENT_FIELD_LABOR_HOURS)&gt;TEMP_HOURS_CAP),"",$C284+G$6-MIN(($D284+G$5),PERMANENT_FIELD_LABOR_HOURS)*PERMANENT_HOURLY_RATE-MAX(0,($D284+G$5)-PERMANENT_FIELD_LABOR_HOURS)*TEMP_HOURLY_RATE-FIXED_SEASON_COST)</f>
        <v>4650.2030112838</v>
      </c>
      <c r="H284" s="53" t="n">
        <f aca="false">IF(OR($A284&gt;TOMATO_BED_CAP,$B284&gt;CARROT_BED_CAP,H$4&gt;MESCLUN_BED_CAP,$A284+$B284+H$4&gt;TOTAL_BEDS_AVAILABLE,($D284+H$5)&gt;TOTAL_LABOR_HOURS_CAP,MAX(0,($D284+H$5)-PERMANENT_FIELD_LABOR_HOURS)&gt;TEMP_HOURS_CAP),"",$C284+H$6-MIN(($D284+H$5),PERMANENT_FIELD_LABOR_HOURS)*PERMANENT_HOURLY_RATE-MAX(0,($D284+H$5)-PERMANENT_FIELD_LABOR_HOURS)*TEMP_HOURLY_RATE-FIXED_SEASON_COST)</f>
        <v>5659.46388628379</v>
      </c>
      <c r="I284" s="53" t="n">
        <f aca="false">IF(OR($A284&gt;TOMATO_BED_CAP,$B284&gt;CARROT_BED_CAP,I$4&gt;MESCLUN_BED_CAP,$A284+$B284+I$4&gt;TOTAL_BEDS_AVAILABLE,($D284+I$5)&gt;TOTAL_LABOR_HOURS_CAP,MAX(0,($D284+I$5)-PERMANENT_FIELD_LABOR_HOURS)&gt;TEMP_HOURS_CAP),"",$C284+I$6-MIN(($D284+I$5),PERMANENT_FIELD_LABOR_HOURS)*PERMANENT_HOURLY_RATE-MAX(0,($D284+I$5)-PERMANENT_FIELD_LABOR_HOURS)*TEMP_HOURLY_RATE-FIXED_SEASON_COST)</f>
        <v>6648.57987144004</v>
      </c>
      <c r="J284" s="53" t="n">
        <f aca="false">IF(OR($A284&gt;TOMATO_BED_CAP,$B284&gt;CARROT_BED_CAP,J$4&gt;MESCLUN_BED_CAP,$A284+$B284+J$4&gt;TOTAL_BEDS_AVAILABLE,($D284+J$5)&gt;TOTAL_LABOR_HOURS_CAP,MAX(0,($D284+J$5)-PERMANENT_FIELD_LABOR_HOURS)&gt;TEMP_HOURS_CAP),"",$C284+J$6-MIN(($D284+J$5),PERMANENT_FIELD_LABOR_HOURS)*PERMANENT_HOURLY_RATE-MAX(0,($D284+J$5)-PERMANENT_FIELD_LABOR_HOURS)*TEMP_HOURLY_RATE-FIXED_SEASON_COST)</f>
        <v>7617.17402249473</v>
      </c>
      <c r="K284" s="53" t="n">
        <f aca="false">IF(OR($A284&gt;TOMATO_BED_CAP,$B284&gt;CARROT_BED_CAP,K$4&gt;MESCLUN_BED_CAP,$A284+$B284+K$4&gt;TOTAL_BEDS_AVAILABLE,($D284+K$5)&gt;TOTAL_LABOR_HOURS_CAP,MAX(0,($D284+K$5)-PERMANENT_FIELD_LABOR_HOURS)&gt;TEMP_HOURS_CAP),"",$C284+K$6-MIN(($D284+K$5),PERMANENT_FIELD_LABOR_HOURS)*PERMANENT_HOURLY_RATE-MAX(0,($D284+K$5)-PERMANENT_FIELD_LABOR_HOURS)*TEMP_HOURLY_RATE-FIXED_SEASON_COST)</f>
        <v>8564.86311922264</v>
      </c>
      <c r="L284" s="53" t="n">
        <f aca="false">IF(OR($A284&gt;TOMATO_BED_CAP,$B284&gt;CARROT_BED_CAP,L$4&gt;MESCLUN_BED_CAP,$A284+$B284+L$4&gt;TOTAL_BEDS_AVAILABLE,($D284+L$5)&gt;TOTAL_LABOR_HOURS_CAP,MAX(0,($D284+L$5)-PERMANENT_FIELD_LABOR_HOURS)&gt;TEMP_HOURS_CAP),"",$C284+L$6-MIN(($D284+L$5),PERMANENT_FIELD_LABOR_HOURS)*PERMANENT_HOURLY_RATE-MAX(0,($D284+L$5)-PERMANENT_FIELD_LABOR_HOURS)*TEMP_HOURLY_RATE-FIXED_SEASON_COST)</f>
        <v>9491.25756742949</v>
      </c>
      <c r="M284" s="53" t="n">
        <f aca="false">IF(OR($A284&gt;TOMATO_BED_CAP,$B284&gt;CARROT_BED_CAP,M$4&gt;MESCLUN_BED_CAP,$A284+$B284+M$4&gt;TOTAL_BEDS_AVAILABLE,($D284+M$5)&gt;TOTAL_LABOR_HOURS_CAP,MAX(0,($D284+M$5)-PERMANENT_FIELD_LABOR_HOURS)&gt;TEMP_HOURS_CAP),"",$C284+M$6-MIN(($D284+M$5),PERMANENT_FIELD_LABOR_HOURS)*PERMANENT_HOURLY_RATE-MAX(0,($D284+M$5)-PERMANENT_FIELD_LABOR_HOURS)*TEMP_HOURLY_RATE-FIXED_SEASON_COST)</f>
        <v>10395.9612994809</v>
      </c>
      <c r="N284" s="53" t="n">
        <f aca="false">IF(OR($A284&gt;TOMATO_BED_CAP,$B284&gt;CARROT_BED_CAP,N$4&gt;MESCLUN_BED_CAP,$A284+$B284+N$4&gt;TOTAL_BEDS_AVAILABLE,($D284+N$5)&gt;TOTAL_LABOR_HOURS_CAP,MAX(0,($D284+N$5)-PERMANENT_FIELD_LABOR_HOURS)&gt;TEMP_HOURS_CAP),"",$C284+N$6-MIN(($D284+N$5),PERMANENT_FIELD_LABOR_HOURS)*PERMANENT_HOURLY_RATE-MAX(0,($D284+N$5)-PERMANENT_FIELD_LABOR_HOURS)*TEMP_HOURLY_RATE-FIXED_SEASON_COST)</f>
        <v>11278.5716733404</v>
      </c>
      <c r="O284" s="53" t="n">
        <f aca="false">IF(OR($A284&gt;TOMATO_BED_CAP,$B284&gt;CARROT_BED_CAP,O$4&gt;MESCLUN_BED_CAP,$A284+$B284+O$4&gt;TOTAL_BEDS_AVAILABLE,($D284+O$5)&gt;TOTAL_LABOR_HOURS_CAP,MAX(0,($D284+O$5)-PERMANENT_FIELD_LABOR_HOURS)&gt;TEMP_HOURS_CAP),"",$C284+O$6-MIN(($D284+O$5),PERMANENT_FIELD_LABOR_HOURS)*PERMANENT_HOURLY_RATE-MAX(0,($D284+O$5)-PERMANENT_FIELD_LABOR_HOURS)*TEMP_HOURLY_RATE-FIXED_SEASON_COST)</f>
        <v>12138.6793700952</v>
      </c>
      <c r="P284" s="53" t="n">
        <f aca="false">IF(OR($A284&gt;TOMATO_BED_CAP,$B284&gt;CARROT_BED_CAP,P$4&gt;MESCLUN_BED_CAP,$A284+$B284+P$4&gt;TOTAL_BEDS_AVAILABLE,($D284+P$5)&gt;TOTAL_LABOR_HOURS_CAP,MAX(0,($D284+P$5)-PERMANENT_FIELD_LABOR_HOURS)&gt;TEMP_HOURS_CAP),"",$C284+P$6-MIN(($D284+P$5),PERMANENT_FIELD_LABOR_HOURS)*PERMANENT_HOURLY_RATE-MAX(0,($D284+P$5)-PERMANENT_FIELD_LABOR_HOURS)*TEMP_HOURLY_RATE-FIXED_SEASON_COST)</f>
        <v>12975.8682899466</v>
      </c>
      <c r="Q284" s="53" t="n">
        <f aca="false">IF(OR($A284&gt;TOMATO_BED_CAP,$B284&gt;CARROT_BED_CAP,Q$4&gt;MESCLUN_BED_CAP,$A284+$B284+Q$4&gt;TOTAL_BEDS_AVAILABLE,($D284+Q$5)&gt;TOTAL_LABOR_HOURS_CAP,MAX(0,($D284+Q$5)-PERMANENT_FIELD_LABOR_HOURS)&gt;TEMP_HOURS_CAP),"",$C284+Q$6-MIN(($D284+Q$5),PERMANENT_FIELD_LABOR_HOURS)*PERMANENT_HOURLY_RATE-MAX(0,($D284+Q$5)-PERMANENT_FIELD_LABOR_HOURS)*TEMP_HOURLY_RATE-FIXED_SEASON_COST)</f>
        <v>13789.7154466445</v>
      </c>
      <c r="R284" s="53" t="n">
        <f aca="false">IF(OR($A284&gt;TOMATO_BED_CAP,$B284&gt;CARROT_BED_CAP,R$4&gt;MESCLUN_BED_CAP,$A284+$B284+R$4&gt;TOTAL_BEDS_AVAILABLE,($D284+R$5)&gt;TOTAL_LABOR_HOURS_CAP,MAX(0,($D284+R$5)-PERMANENT_FIELD_LABOR_HOURS)&gt;TEMP_HOURS_CAP),"",$C284+R$6-MIN(($D284+R$5),PERMANENT_FIELD_LABOR_HOURS)*PERMANENT_HOURLY_RATE-MAX(0,($D284+R$5)-PERMANENT_FIELD_LABOR_HOURS)*TEMP_HOURLY_RATE-FIXED_SEASON_COST)</f>
        <v>14579.7908603413</v>
      </c>
      <c r="S284" s="53" t="n">
        <f aca="false">IF(OR($A284&gt;TOMATO_BED_CAP,$B284&gt;CARROT_BED_CAP,S$4&gt;MESCLUN_BED_CAP,$A284+$B284+S$4&gt;TOTAL_BEDS_AVAILABLE,($D284+S$5)&gt;TOTAL_LABOR_HOURS_CAP,MAX(0,($D284+S$5)-PERMANENT_FIELD_LABOR_HOURS)&gt;TEMP_HOURS_CAP),"",$C284+S$6-MIN(($D284+S$5),PERMANENT_FIELD_LABOR_HOURS)*PERMANENT_HOURLY_RATE-MAX(0,($D284+S$5)-PERMANENT_FIELD_LABOR_HOURS)*TEMP_HOURLY_RATE-FIXED_SEASON_COST)</f>
        <v>15345.6574488438</v>
      </c>
      <c r="T284" s="53" t="n">
        <f aca="false">IF(OR($A284&gt;TOMATO_BED_CAP,$B284&gt;CARROT_BED_CAP,T$4&gt;MESCLUN_BED_CAP,$A284+$B284+T$4&gt;TOTAL_BEDS_AVAILABLE,($D284+T$5)&gt;TOTAL_LABOR_HOURS_CAP,MAX(0,($D284+T$5)-PERMANENT_FIELD_LABOR_HOURS)&gt;TEMP_HOURS_CAP),"",$C284+T$6-MIN(($D284+T$5),PERMANENT_FIELD_LABOR_HOURS)*PERMANENT_HOURLY_RATE-MAX(0,($D284+T$5)-PERMANENT_FIELD_LABOR_HOURS)*TEMP_HOURLY_RATE-FIXED_SEASON_COST)</f>
        <v>16086.8709172386</v>
      </c>
      <c r="U284" s="53" t="n">
        <f aca="false">IF(OR($A284&gt;TOMATO_BED_CAP,$B284&gt;CARROT_BED_CAP,U$4&gt;MESCLUN_BED_CAP,$A284+$B284+U$4&gt;TOTAL_BEDS_AVAILABLE,($D284+U$5)&gt;TOTAL_LABOR_HOURS_CAP,MAX(0,($D284+U$5)-PERMANENT_FIELD_LABOR_HOURS)&gt;TEMP_HOURS_CAP),"",$C284+U$6-MIN(($D284+U$5),PERMANENT_FIELD_LABOR_HOURS)*PERMANENT_HOURLY_RATE-MAX(0,($D284+U$5)-PERMANENT_FIELD_LABOR_HOURS)*TEMP_HOURLY_RATE-FIXED_SEASON_COST)</f>
        <v>16802.9796458687</v>
      </c>
      <c r="V284" s="53" t="n">
        <f aca="false">IF(OR($A284&gt;TOMATO_BED_CAP,$B284&gt;CARROT_BED_CAP,V$4&gt;MESCLUN_BED_CAP,$A284+$B284+V$4&gt;TOTAL_BEDS_AVAILABLE,($D284+V$5)&gt;TOTAL_LABOR_HOURS_CAP,MAX(0,($D284+V$5)-PERMANENT_FIELD_LABOR_HOURS)&gt;TEMP_HOURS_CAP),"",$C284+V$6-MIN(($D284+V$5),PERMANENT_FIELD_LABOR_HOURS)*PERMANENT_HOURLY_RATE-MAX(0,($D284+V$5)-PERMANENT_FIELD_LABOR_HOURS)*TEMP_HOURLY_RATE-FIXED_SEASON_COST)</f>
        <v>17493.5245766355</v>
      </c>
      <c r="W284" s="53" t="n">
        <f aca="false">IF(OR($A284&gt;TOMATO_BED_CAP,$B284&gt;CARROT_BED_CAP,W$4&gt;MESCLUN_BED_CAP,$A284+$B284+W$4&gt;TOTAL_BEDS_AVAILABLE,($D284+W$5)&gt;TOTAL_LABOR_HOURS_CAP,MAX(0,($D284+W$5)-PERMANENT_FIELD_LABOR_HOURS)&gt;TEMP_HOURS_CAP),"",$C284+W$6-MIN(($D284+W$5),PERMANENT_FIELD_LABOR_HOURS)*PERMANENT_HOURLY_RATE-MAX(0,($D284+W$5)-PERMANENT_FIELD_LABOR_HOURS)*TEMP_HOURLY_RATE-FIXED_SEASON_COST)</f>
        <v>18158.0390976036</v>
      </c>
      <c r="X284" s="53" t="n">
        <f aca="false">IF(OR($A284&gt;TOMATO_BED_CAP,$B284&gt;CARROT_BED_CAP,X$4&gt;MESCLUN_BED_CAP,$A284+$B284+X$4&gt;TOTAL_BEDS_AVAILABLE,($D284+X$5)&gt;TOTAL_LABOR_HOURS_CAP,MAX(0,($D284+X$5)-PERMANENT_FIELD_LABOR_HOURS)&gt;TEMP_HOURS_CAP),"",$C284+X$6-MIN(($D284+X$5),PERMANENT_FIELD_LABOR_HOURS)*PERMANENT_HOURLY_RATE-MAX(0,($D284+X$5)-PERMANENT_FIELD_LABOR_HOURS)*TEMP_HOURLY_RATE-FIXED_SEASON_COST)</f>
        <v>18796.0489258825</v>
      </c>
      <c r="Y284" s="53" t="n">
        <f aca="false">IF(OR($A284&gt;TOMATO_BED_CAP,$B284&gt;CARROT_BED_CAP,Y$4&gt;MESCLUN_BED_CAP,$A284+$B284+Y$4&gt;TOTAL_BEDS_AVAILABLE,($D284+Y$5)&gt;TOTAL_LABOR_HOURS_CAP,MAX(0,($D284+Y$5)-PERMANENT_FIELD_LABOR_HOURS)&gt;TEMP_HOURS_CAP),"",$C284+Y$6-MIN(($D284+Y$5),PERMANENT_FIELD_LABOR_HOURS)*PERMANENT_HOURLY_RATE-MAX(0,($D284+Y$5)-PERMANENT_FIELD_LABOR_HOURS)*TEMP_HOURLY_RATE-FIXED_SEASON_COST)</f>
        <v>19407.0719887612</v>
      </c>
      <c r="Z284" s="53" t="n">
        <f aca="false">IF(OR($A284&gt;TOMATO_BED_CAP,$B284&gt;CARROT_BED_CAP,Z$4&gt;MESCLUN_BED_CAP,$A284+$B284+Z$4&gt;TOTAL_BEDS_AVAILABLE,($D284+Z$5)&gt;TOTAL_LABOR_HOURS_CAP,MAX(0,($D284+Z$5)-PERMANENT_FIELD_LABOR_HOURS)&gt;TEMP_HOURS_CAP),"",$C284+Z$6-MIN(($D284+Z$5),PERMANENT_FIELD_LABOR_HOURS)*PERMANENT_HOURLY_RATE-MAX(0,($D284+Z$5)-PERMANENT_FIELD_LABOR_HOURS)*TEMP_HOURLY_RATE-FIXED_SEASON_COST)</f>
        <v>19990.6183030689</v>
      </c>
      <c r="AA284" s="53" t="n">
        <f aca="false">IF(OR($A284&gt;TOMATO_BED_CAP,$B284&gt;CARROT_BED_CAP,AA$4&gt;MESCLUN_BED_CAP,$A284+$B284+AA$4&gt;TOTAL_BEDS_AVAILABLE,($D284+AA$5)&gt;TOTAL_LABOR_HOURS_CAP,MAX(0,($D284+AA$5)-PERMANENT_FIELD_LABOR_HOURS)&gt;TEMP_HOURS_CAP),"",$C284+AA$6-MIN(($D284+AA$5),PERMANENT_FIELD_LABOR_HOURS)*PERMANENT_HOURLY_RATE-MAX(0,($D284+AA$5)-PERMANENT_FIELD_LABOR_HOURS)*TEMP_HOURLY_RATE-FIXED_SEASON_COST)</f>
        <v>20546.1898527378</v>
      </c>
      <c r="AB284" s="53" t="n">
        <f aca="false">IF(OR($A284&gt;TOMATO_BED_CAP,$B284&gt;CARROT_BED_CAP,AB$4&gt;MESCLUN_BED_CAP,$A284+$B284+AB$4&gt;TOTAL_BEDS_AVAILABLE,($D284+AB$5)&gt;TOTAL_LABOR_HOURS_CAP,MAX(0,($D284+AB$5)-PERMANENT_FIELD_LABOR_HOURS)&gt;TEMP_HOURS_CAP),"",$C284+AB$6-MIN(($D284+AB$5),PERMANENT_FIELD_LABOR_HOURS)*PERMANENT_HOURLY_RATE-MAX(0,($D284+AB$5)-PERMANENT_FIELD_LABOR_HOURS)*TEMP_HOURLY_RATE-FIXED_SEASON_COST)</f>
        <v>21073.2804645404</v>
      </c>
      <c r="AC284" s="53" t="n">
        <f aca="false">IF(OR($A284&gt;TOMATO_BED_CAP,$B284&gt;CARROT_BED_CAP,AC$4&gt;MESCLUN_BED_CAP,$A284+$B284+AC$4&gt;TOTAL_BEDS_AVAILABLE,($D284+AC$5)&gt;TOTAL_LABOR_HOURS_CAP,MAX(0,($D284+AC$5)-PERMANENT_FIELD_LABOR_HOURS)&gt;TEMP_HOURS_CAP),"",$C284+AC$6-MIN(($D284+AC$5),PERMANENT_FIELD_LABOR_HOURS)*PERMANENT_HOURLY_RATE-MAX(0,($D284+AC$5)-PERMANENT_FIELD_LABOR_HOURS)*TEMP_HOURLY_RATE-FIXED_SEASON_COST)</f>
        <v>21571.3756819753</v>
      </c>
      <c r="AD284" s="53" t="n">
        <f aca="false">IF(OR($A284&gt;TOMATO_BED_CAP,$B284&gt;CARROT_BED_CAP,AD$4&gt;MESCLUN_BED_CAP,$A284+$B284+AD$4&gt;TOTAL_BEDS_AVAILABLE,($D284+AD$5)&gt;TOTAL_LABOR_HOURS_CAP,MAX(0,($D284+AD$5)-PERMANENT_FIELD_LABOR_HOURS)&gt;TEMP_HOURS_CAP),"",$C284+AD$6-MIN(($D284+AD$5),PERMANENT_FIELD_LABOR_HOURS)*PERMANENT_HOURLY_RATE-MAX(0,($D284+AD$5)-PERMANENT_FIELD_LABOR_HOURS)*TEMP_HOURLY_RATE-FIXED_SEASON_COST)</f>
        <v>22039.9526372752</v>
      </c>
      <c r="AE284" s="53" t="n">
        <f aca="false">IF(OR($A284&gt;TOMATO_BED_CAP,$B284&gt;CARROT_BED_CAP,AE$4&gt;MESCLUN_BED_CAP,$A284+$B284+AE$4&gt;TOTAL_BEDS_AVAILABLE,($D284+AE$5)&gt;TOTAL_LABOR_HOURS_CAP,MAX(0,($D284+AE$5)-PERMANENT_FIELD_LABOR_HOURS)&gt;TEMP_HOURS_CAP),"",$C284+AE$6-MIN(($D284+AE$5),PERMANENT_FIELD_LABOR_HOURS)*PERMANENT_HOURLY_RATE-MAX(0,($D284+AE$5)-PERMANENT_FIELD_LABOR_HOURS)*TEMP_HOURLY_RATE-FIXED_SEASON_COST)</f>
        <v>22478.4799215091</v>
      </c>
      <c r="AF284" s="53" t="n">
        <f aca="false">IF(OR($A284&gt;TOMATO_BED_CAP,$B284&gt;CARROT_BED_CAP,AF$4&gt;MESCLUN_BED_CAP,$A284+$B284+AF$4&gt;TOTAL_BEDS_AVAILABLE,($D284+AF$5)&gt;TOTAL_LABOR_HOURS_CAP,MAX(0,($D284+AF$5)-PERMANENT_FIELD_LABOR_HOURS)&gt;TEMP_HOURS_CAP),"",$C284+AF$6-MIN(($D284+AF$5),PERMANENT_FIELD_LABOR_HOURS)*PERMANENT_HOURLY_RATE-MAX(0,($D284+AF$5)-PERMANENT_FIELD_LABOR_HOURS)*TEMP_HOURLY_RATE-FIXED_SEASON_COST)</f>
        <v>22886.4174527511</v>
      </c>
      <c r="AG284" s="53" t="n">
        <f aca="false">IF(OR($A284&gt;TOMATO_BED_CAP,$B284&gt;CARROT_BED_CAP,AG$4&gt;MESCLUN_BED_CAP,$A284+$B284+AG$4&gt;TOTAL_BEDS_AVAILABLE,($D284+AG$5)&gt;TOTAL_LABOR_HOURS_CAP,MAX(0,($D284+AG$5)-PERMANENT_FIELD_LABOR_HOURS)&gt;TEMP_HOURS_CAP),"",$C284+AG$6-MIN(($D284+AG$5),PERMANENT_FIELD_LABOR_HOURS)*PERMANENT_HOURLY_RATE-MAX(0,($D284+AG$5)-PERMANENT_FIELD_LABOR_HOURS)*TEMP_HOURLY_RATE-FIXED_SEASON_COST)</f>
        <v>23263.2163422881</v>
      </c>
      <c r="AH284" s="53" t="n">
        <f aca="false">IF(OR($A284&gt;TOMATO_BED_CAP,$B284&gt;CARROT_BED_CAP,AH$4&gt;MESCLUN_BED_CAP,$A284+$B284+AH$4&gt;TOTAL_BEDS_AVAILABLE,($D284+AH$5)&gt;TOTAL_LABOR_HOURS_CAP,MAX(0,($D284+AH$5)-PERMANENT_FIELD_LABOR_HOURS)&gt;TEMP_HOURS_CAP),"",$C284+AH$6-MIN(($D284+AH$5),PERMANENT_FIELD_LABOR_HOURS)*PERMANENT_HOURLY_RATE-MAX(0,($D284+AH$5)-PERMANENT_FIELD_LABOR_HOURS)*TEMP_HOURLY_RATE-FIXED_SEASON_COST)</f>
        <v>23608.3187588383</v>
      </c>
      <c r="AI284" s="53" t="n">
        <f aca="false">IF(OR($A284&gt;TOMATO_BED_CAP,$B284&gt;CARROT_BED_CAP,AI$4&gt;MESCLUN_BED_CAP,$A284+$B284+AI$4&gt;TOTAL_BEDS_AVAILABLE,($D284+AI$5)&gt;TOTAL_LABOR_HOURS_CAP,MAX(0,($D284+AI$5)-PERMANENT_FIELD_LABOR_HOURS)&gt;TEMP_HOURS_CAP),"",$C284+AI$6-MIN(($D284+AI$5),PERMANENT_FIELD_LABOR_HOURS)*PERMANENT_HOURLY_RATE-MAX(0,($D284+AI$5)-PERMANENT_FIELD_LABOR_HOURS)*TEMP_HOURLY_RATE-FIXED_SEASON_COST)</f>
        <v>23921.1577907506</v>
      </c>
      <c r="AJ284" s="53" t="n">
        <f aca="false">IF(OR($A284&gt;TOMATO_BED_CAP,$B284&gt;CARROT_BED_CAP,AJ$4&gt;MESCLUN_BED_CAP,$A284+$B284+AJ$4&gt;TOTAL_BEDS_AVAILABLE,($D284+AJ$5)&gt;TOTAL_LABOR_HOURS_CAP,MAX(0,($D284+AJ$5)-PERMANENT_FIELD_LABOR_HOURS)&gt;TEMP_HOURS_CAP),"",$C284+AJ$6-MIN(($D284+AJ$5),PERMANENT_FIELD_LABOR_HOURS)*PERMANENT_HOURLY_RATE-MAX(0,($D284+AJ$5)-PERMANENT_FIELD_LABOR_HOURS)*TEMP_HOURLY_RATE-FIXED_SEASON_COST)</f>
        <v>24201.1573061563</v>
      </c>
    </row>
    <row r="285" customFormat="false" ht="15" hidden="false" customHeight="false" outlineLevel="0" collapsed="false">
      <c r="A285" s="21" t="n">
        <f aca="false">INT((ROW()-ROW($A$8))/(20+1))</f>
        <v>13</v>
      </c>
      <c r="B285" s="21" t="n">
        <f aca="false">MOD(ROW()-ROW($A$8),20+1)</f>
        <v>4</v>
      </c>
      <c r="C285" s="13" t="n">
        <f aca="false">A285*(TOMATO_REVENUE_PER_BED-TOMATO_FERTILIZER_PER_BED)+B285*(CARROT_REVENUE_PER_BED-CARROT_FERTILIZER_PER_BED)</f>
        <v>109576</v>
      </c>
      <c r="D285" s="14" t="n">
        <f aca="false">INDEX(TOMATO_SCHED_LABOR_HRS,A285+1)+INDEX(CARROT_SCHED_LABOR_HRS,B285+1)</f>
        <v>4171.56188469618</v>
      </c>
      <c r="E285" s="13" t="n">
        <f aca="false">IF(COUNT(F285:AJ285)=0,"",MAX(F285:AJ285))</f>
        <v>25238.4749765468</v>
      </c>
      <c r="F285" s="53" t="n">
        <f aca="false">IF(OR($A285&gt;TOMATO_BED_CAP,$B285&gt;CARROT_BED_CAP,F$4&gt;MESCLUN_BED_CAP,$A285+$B285+F$4&gt;TOTAL_BEDS_AVAILABLE,($D285+F$5)&gt;TOTAL_LABOR_HOURS_CAP,MAX(0,($D285+F$5)-PERMANENT_FIELD_LABOR_HOURS)&gt;TEMP_HOURS_CAP),"",$C285+F$6-MIN(($D285+F$5),PERMANENT_FIELD_LABOR_HOURS)*PERMANENT_HOURLY_RATE-MAX(0,($D285+F$5)-PERMANENT_FIELD_LABOR_HOURS)*TEMP_HOURLY_RATE-FIXED_SEASON_COST)</f>
        <v>4658.4856816743</v>
      </c>
      <c r="G285" s="53" t="n">
        <f aca="false">IF(OR($A285&gt;TOMATO_BED_CAP,$B285&gt;CARROT_BED_CAP,G$4&gt;MESCLUN_BED_CAP,$A285+$B285+G$4&gt;TOTAL_BEDS_AVAILABLE,($D285+G$5)&gt;TOTAL_LABOR_HOURS_CAP,MAX(0,($D285+G$5)-PERMANENT_FIELD_LABOR_HOURS)&gt;TEMP_HOURS_CAP),"",$C285+G$6-MIN(($D285+G$5),PERMANENT_FIELD_LABOR_HOURS)*PERMANENT_HOURLY_RATE-MAX(0,($D285+G$5)-PERMANENT_FIELD_LABOR_HOURS)*TEMP_HOURLY_RATE-FIXED_SEASON_COST)</f>
        <v>5687.52068167429</v>
      </c>
      <c r="H285" s="53" t="n">
        <f aca="false">IF(OR($A285&gt;TOMATO_BED_CAP,$B285&gt;CARROT_BED_CAP,H$4&gt;MESCLUN_BED_CAP,$A285+$B285+H$4&gt;TOTAL_BEDS_AVAILABLE,($D285+H$5)&gt;TOTAL_LABOR_HOURS_CAP,MAX(0,($D285+H$5)-PERMANENT_FIELD_LABOR_HOURS)&gt;TEMP_HOURS_CAP),"",$C285+H$6-MIN(($D285+H$5),PERMANENT_FIELD_LABOR_HOURS)*PERMANENT_HOURLY_RATE-MAX(0,($D285+H$5)-PERMANENT_FIELD_LABOR_HOURS)*TEMP_HOURLY_RATE-FIXED_SEASON_COST)</f>
        <v>6696.78155667429</v>
      </c>
      <c r="I285" s="53" t="n">
        <f aca="false">IF(OR($A285&gt;TOMATO_BED_CAP,$B285&gt;CARROT_BED_CAP,I$4&gt;MESCLUN_BED_CAP,$A285+$B285+I$4&gt;TOTAL_BEDS_AVAILABLE,($D285+I$5)&gt;TOTAL_LABOR_HOURS_CAP,MAX(0,($D285+I$5)-PERMANENT_FIELD_LABOR_HOURS)&gt;TEMP_HOURS_CAP),"",$C285+I$6-MIN(($D285+I$5),PERMANENT_FIELD_LABOR_HOURS)*PERMANENT_HOURLY_RATE-MAX(0,($D285+I$5)-PERMANENT_FIELD_LABOR_HOURS)*TEMP_HOURLY_RATE-FIXED_SEASON_COST)</f>
        <v>7685.89754183054</v>
      </c>
      <c r="J285" s="53" t="n">
        <f aca="false">IF(OR($A285&gt;TOMATO_BED_CAP,$B285&gt;CARROT_BED_CAP,J$4&gt;MESCLUN_BED_CAP,$A285+$B285+J$4&gt;TOTAL_BEDS_AVAILABLE,($D285+J$5)&gt;TOTAL_LABOR_HOURS_CAP,MAX(0,($D285+J$5)-PERMANENT_FIELD_LABOR_HOURS)&gt;TEMP_HOURS_CAP),"",$C285+J$6-MIN(($D285+J$5),PERMANENT_FIELD_LABOR_HOURS)*PERMANENT_HOURLY_RATE-MAX(0,($D285+J$5)-PERMANENT_FIELD_LABOR_HOURS)*TEMP_HOURLY_RATE-FIXED_SEASON_COST)</f>
        <v>8654.49169288523</v>
      </c>
      <c r="K285" s="53" t="n">
        <f aca="false">IF(OR($A285&gt;TOMATO_BED_CAP,$B285&gt;CARROT_BED_CAP,K$4&gt;MESCLUN_BED_CAP,$A285+$B285+K$4&gt;TOTAL_BEDS_AVAILABLE,($D285+K$5)&gt;TOTAL_LABOR_HOURS_CAP,MAX(0,($D285+K$5)-PERMANENT_FIELD_LABOR_HOURS)&gt;TEMP_HOURS_CAP),"",$C285+K$6-MIN(($D285+K$5),PERMANENT_FIELD_LABOR_HOURS)*PERMANENT_HOURLY_RATE-MAX(0,($D285+K$5)-PERMANENT_FIELD_LABOR_HOURS)*TEMP_HOURLY_RATE-FIXED_SEASON_COST)</f>
        <v>9602.18078961314</v>
      </c>
      <c r="L285" s="53" t="n">
        <f aca="false">IF(OR($A285&gt;TOMATO_BED_CAP,$B285&gt;CARROT_BED_CAP,L$4&gt;MESCLUN_BED_CAP,$A285+$B285+L$4&gt;TOTAL_BEDS_AVAILABLE,($D285+L$5)&gt;TOTAL_LABOR_HOURS_CAP,MAX(0,($D285+L$5)-PERMANENT_FIELD_LABOR_HOURS)&gt;TEMP_HOURS_CAP),"",$C285+L$6-MIN(($D285+L$5),PERMANENT_FIELD_LABOR_HOURS)*PERMANENT_HOURLY_RATE-MAX(0,($D285+L$5)-PERMANENT_FIELD_LABOR_HOURS)*TEMP_HOURLY_RATE-FIXED_SEASON_COST)</f>
        <v>10528.57523782</v>
      </c>
      <c r="M285" s="53" t="n">
        <f aca="false">IF(OR($A285&gt;TOMATO_BED_CAP,$B285&gt;CARROT_BED_CAP,M$4&gt;MESCLUN_BED_CAP,$A285+$B285+M$4&gt;TOTAL_BEDS_AVAILABLE,($D285+M$5)&gt;TOTAL_LABOR_HOURS_CAP,MAX(0,($D285+M$5)-PERMANENT_FIELD_LABOR_HOURS)&gt;TEMP_HOURS_CAP),"",$C285+M$6-MIN(($D285+M$5),PERMANENT_FIELD_LABOR_HOURS)*PERMANENT_HOURLY_RATE-MAX(0,($D285+M$5)-PERMANENT_FIELD_LABOR_HOURS)*TEMP_HOURLY_RATE-FIXED_SEASON_COST)</f>
        <v>11433.2789698714</v>
      </c>
      <c r="N285" s="53" t="n">
        <f aca="false">IF(OR($A285&gt;TOMATO_BED_CAP,$B285&gt;CARROT_BED_CAP,N$4&gt;MESCLUN_BED_CAP,$A285+$B285+N$4&gt;TOTAL_BEDS_AVAILABLE,($D285+N$5)&gt;TOTAL_LABOR_HOURS_CAP,MAX(0,($D285+N$5)-PERMANENT_FIELD_LABOR_HOURS)&gt;TEMP_HOURS_CAP),"",$C285+N$6-MIN(($D285+N$5),PERMANENT_FIELD_LABOR_HOURS)*PERMANENT_HOURLY_RATE-MAX(0,($D285+N$5)-PERMANENT_FIELD_LABOR_HOURS)*TEMP_HOURLY_RATE-FIXED_SEASON_COST)</f>
        <v>12315.8893437309</v>
      </c>
      <c r="O285" s="53" t="n">
        <f aca="false">IF(OR($A285&gt;TOMATO_BED_CAP,$B285&gt;CARROT_BED_CAP,O$4&gt;MESCLUN_BED_CAP,$A285+$B285+O$4&gt;TOTAL_BEDS_AVAILABLE,($D285+O$5)&gt;TOTAL_LABOR_HOURS_CAP,MAX(0,($D285+O$5)-PERMANENT_FIELD_LABOR_HOURS)&gt;TEMP_HOURS_CAP),"",$C285+O$6-MIN(($D285+O$5),PERMANENT_FIELD_LABOR_HOURS)*PERMANENT_HOURLY_RATE-MAX(0,($D285+O$5)-PERMANENT_FIELD_LABOR_HOURS)*TEMP_HOURLY_RATE-FIXED_SEASON_COST)</f>
        <v>13175.9970404857</v>
      </c>
      <c r="P285" s="53" t="n">
        <f aca="false">IF(OR($A285&gt;TOMATO_BED_CAP,$B285&gt;CARROT_BED_CAP,P$4&gt;MESCLUN_BED_CAP,$A285+$B285+P$4&gt;TOTAL_BEDS_AVAILABLE,($D285+P$5)&gt;TOTAL_LABOR_HOURS_CAP,MAX(0,($D285+P$5)-PERMANENT_FIELD_LABOR_HOURS)&gt;TEMP_HOURS_CAP),"",$C285+P$6-MIN(($D285+P$5),PERMANENT_FIELD_LABOR_HOURS)*PERMANENT_HOURLY_RATE-MAX(0,($D285+P$5)-PERMANENT_FIELD_LABOR_HOURS)*TEMP_HOURLY_RATE-FIXED_SEASON_COST)</f>
        <v>14013.1859603371</v>
      </c>
      <c r="Q285" s="53" t="n">
        <f aca="false">IF(OR($A285&gt;TOMATO_BED_CAP,$B285&gt;CARROT_BED_CAP,Q$4&gt;MESCLUN_BED_CAP,$A285+$B285+Q$4&gt;TOTAL_BEDS_AVAILABLE,($D285+Q$5)&gt;TOTAL_LABOR_HOURS_CAP,MAX(0,($D285+Q$5)-PERMANENT_FIELD_LABOR_HOURS)&gt;TEMP_HOURS_CAP),"",$C285+Q$6-MIN(($D285+Q$5),PERMANENT_FIELD_LABOR_HOURS)*PERMANENT_HOURLY_RATE-MAX(0,($D285+Q$5)-PERMANENT_FIELD_LABOR_HOURS)*TEMP_HOURLY_RATE-FIXED_SEASON_COST)</f>
        <v>14827.033117035</v>
      </c>
      <c r="R285" s="53" t="n">
        <f aca="false">IF(OR($A285&gt;TOMATO_BED_CAP,$B285&gt;CARROT_BED_CAP,R$4&gt;MESCLUN_BED_CAP,$A285+$B285+R$4&gt;TOTAL_BEDS_AVAILABLE,($D285+R$5)&gt;TOTAL_LABOR_HOURS_CAP,MAX(0,($D285+R$5)-PERMANENT_FIELD_LABOR_HOURS)&gt;TEMP_HOURS_CAP),"",$C285+R$6-MIN(($D285+R$5),PERMANENT_FIELD_LABOR_HOURS)*PERMANENT_HOURLY_RATE-MAX(0,($D285+R$5)-PERMANENT_FIELD_LABOR_HOURS)*TEMP_HOURLY_RATE-FIXED_SEASON_COST)</f>
        <v>15617.1085307318</v>
      </c>
      <c r="S285" s="53" t="n">
        <f aca="false">IF(OR($A285&gt;TOMATO_BED_CAP,$B285&gt;CARROT_BED_CAP,S$4&gt;MESCLUN_BED_CAP,$A285+$B285+S$4&gt;TOTAL_BEDS_AVAILABLE,($D285+S$5)&gt;TOTAL_LABOR_HOURS_CAP,MAX(0,($D285+S$5)-PERMANENT_FIELD_LABOR_HOURS)&gt;TEMP_HOURS_CAP),"",$C285+S$6-MIN(($D285+S$5),PERMANENT_FIELD_LABOR_HOURS)*PERMANENT_HOURLY_RATE-MAX(0,($D285+S$5)-PERMANENT_FIELD_LABOR_HOURS)*TEMP_HOURLY_RATE-FIXED_SEASON_COST)</f>
        <v>16382.9751192343</v>
      </c>
      <c r="T285" s="53" t="n">
        <f aca="false">IF(OR($A285&gt;TOMATO_BED_CAP,$B285&gt;CARROT_BED_CAP,T$4&gt;MESCLUN_BED_CAP,$A285+$B285+T$4&gt;TOTAL_BEDS_AVAILABLE,($D285+T$5)&gt;TOTAL_LABOR_HOURS_CAP,MAX(0,($D285+T$5)-PERMANENT_FIELD_LABOR_HOURS)&gt;TEMP_HOURS_CAP),"",$C285+T$6-MIN(($D285+T$5),PERMANENT_FIELD_LABOR_HOURS)*PERMANENT_HOURLY_RATE-MAX(0,($D285+T$5)-PERMANENT_FIELD_LABOR_HOURS)*TEMP_HOURLY_RATE-FIXED_SEASON_COST)</f>
        <v>17124.1885876291</v>
      </c>
      <c r="U285" s="53" t="n">
        <f aca="false">IF(OR($A285&gt;TOMATO_BED_CAP,$B285&gt;CARROT_BED_CAP,U$4&gt;MESCLUN_BED_CAP,$A285+$B285+U$4&gt;TOTAL_BEDS_AVAILABLE,($D285+U$5)&gt;TOTAL_LABOR_HOURS_CAP,MAX(0,($D285+U$5)-PERMANENT_FIELD_LABOR_HOURS)&gt;TEMP_HOURS_CAP),"",$C285+U$6-MIN(($D285+U$5),PERMANENT_FIELD_LABOR_HOURS)*PERMANENT_HOURLY_RATE-MAX(0,($D285+U$5)-PERMANENT_FIELD_LABOR_HOURS)*TEMP_HOURLY_RATE-FIXED_SEASON_COST)</f>
        <v>17840.2973162592</v>
      </c>
      <c r="V285" s="53" t="n">
        <f aca="false">IF(OR($A285&gt;TOMATO_BED_CAP,$B285&gt;CARROT_BED_CAP,V$4&gt;MESCLUN_BED_CAP,$A285+$B285+V$4&gt;TOTAL_BEDS_AVAILABLE,($D285+V$5)&gt;TOTAL_LABOR_HOURS_CAP,MAX(0,($D285+V$5)-PERMANENT_FIELD_LABOR_HOURS)&gt;TEMP_HOURS_CAP),"",$C285+V$6-MIN(($D285+V$5),PERMANENT_FIELD_LABOR_HOURS)*PERMANENT_HOURLY_RATE-MAX(0,($D285+V$5)-PERMANENT_FIELD_LABOR_HOURS)*TEMP_HOURLY_RATE-FIXED_SEASON_COST)</f>
        <v>18530.842247026</v>
      </c>
      <c r="W285" s="53" t="n">
        <f aca="false">IF(OR($A285&gt;TOMATO_BED_CAP,$B285&gt;CARROT_BED_CAP,W$4&gt;MESCLUN_BED_CAP,$A285+$B285+W$4&gt;TOTAL_BEDS_AVAILABLE,($D285+W$5)&gt;TOTAL_LABOR_HOURS_CAP,MAX(0,($D285+W$5)-PERMANENT_FIELD_LABOR_HOURS)&gt;TEMP_HOURS_CAP),"",$C285+W$6-MIN(($D285+W$5),PERMANENT_FIELD_LABOR_HOURS)*PERMANENT_HOURLY_RATE-MAX(0,($D285+W$5)-PERMANENT_FIELD_LABOR_HOURS)*TEMP_HOURLY_RATE-FIXED_SEASON_COST)</f>
        <v>19195.3567679941</v>
      </c>
      <c r="X285" s="53" t="n">
        <f aca="false">IF(OR($A285&gt;TOMATO_BED_CAP,$B285&gt;CARROT_BED_CAP,X$4&gt;MESCLUN_BED_CAP,$A285+$B285+X$4&gt;TOTAL_BEDS_AVAILABLE,($D285+X$5)&gt;TOTAL_LABOR_HOURS_CAP,MAX(0,($D285+X$5)-PERMANENT_FIELD_LABOR_HOURS)&gt;TEMP_HOURS_CAP),"",$C285+X$6-MIN(($D285+X$5),PERMANENT_FIELD_LABOR_HOURS)*PERMANENT_HOURLY_RATE-MAX(0,($D285+X$5)-PERMANENT_FIELD_LABOR_HOURS)*TEMP_HOURLY_RATE-FIXED_SEASON_COST)</f>
        <v>19833.366596273</v>
      </c>
      <c r="Y285" s="53" t="n">
        <f aca="false">IF(OR($A285&gt;TOMATO_BED_CAP,$B285&gt;CARROT_BED_CAP,Y$4&gt;MESCLUN_BED_CAP,$A285+$B285+Y$4&gt;TOTAL_BEDS_AVAILABLE,($D285+Y$5)&gt;TOTAL_LABOR_HOURS_CAP,MAX(0,($D285+Y$5)-PERMANENT_FIELD_LABOR_HOURS)&gt;TEMP_HOURS_CAP),"",$C285+Y$6-MIN(($D285+Y$5),PERMANENT_FIELD_LABOR_HOURS)*PERMANENT_HOURLY_RATE-MAX(0,($D285+Y$5)-PERMANENT_FIELD_LABOR_HOURS)*TEMP_HOURLY_RATE-FIXED_SEASON_COST)</f>
        <v>20444.3896591517</v>
      </c>
      <c r="Z285" s="53" t="n">
        <f aca="false">IF(OR($A285&gt;TOMATO_BED_CAP,$B285&gt;CARROT_BED_CAP,Z$4&gt;MESCLUN_BED_CAP,$A285+$B285+Z$4&gt;TOTAL_BEDS_AVAILABLE,($D285+Z$5)&gt;TOTAL_LABOR_HOURS_CAP,MAX(0,($D285+Z$5)-PERMANENT_FIELD_LABOR_HOURS)&gt;TEMP_HOURS_CAP),"",$C285+Z$6-MIN(($D285+Z$5),PERMANENT_FIELD_LABOR_HOURS)*PERMANENT_HOURLY_RATE-MAX(0,($D285+Z$5)-PERMANENT_FIELD_LABOR_HOURS)*TEMP_HOURLY_RATE-FIXED_SEASON_COST)</f>
        <v>21027.9359734594</v>
      </c>
      <c r="AA285" s="53" t="n">
        <f aca="false">IF(OR($A285&gt;TOMATO_BED_CAP,$B285&gt;CARROT_BED_CAP,AA$4&gt;MESCLUN_BED_CAP,$A285+$B285+AA$4&gt;TOTAL_BEDS_AVAILABLE,($D285+AA$5)&gt;TOTAL_LABOR_HOURS_CAP,MAX(0,($D285+AA$5)-PERMANENT_FIELD_LABOR_HOURS)&gt;TEMP_HOURS_CAP),"",$C285+AA$6-MIN(($D285+AA$5),PERMANENT_FIELD_LABOR_HOURS)*PERMANENT_HOURLY_RATE-MAX(0,($D285+AA$5)-PERMANENT_FIELD_LABOR_HOURS)*TEMP_HOURLY_RATE-FIXED_SEASON_COST)</f>
        <v>21583.5075231283</v>
      </c>
      <c r="AB285" s="53" t="n">
        <f aca="false">IF(OR($A285&gt;TOMATO_BED_CAP,$B285&gt;CARROT_BED_CAP,AB$4&gt;MESCLUN_BED_CAP,$A285+$B285+AB$4&gt;TOTAL_BEDS_AVAILABLE,($D285+AB$5)&gt;TOTAL_LABOR_HOURS_CAP,MAX(0,($D285+AB$5)-PERMANENT_FIELD_LABOR_HOURS)&gt;TEMP_HOURS_CAP),"",$C285+AB$6-MIN(($D285+AB$5),PERMANENT_FIELD_LABOR_HOURS)*PERMANENT_HOURLY_RATE-MAX(0,($D285+AB$5)-PERMANENT_FIELD_LABOR_HOURS)*TEMP_HOURLY_RATE-FIXED_SEASON_COST)</f>
        <v>22110.5981349309</v>
      </c>
      <c r="AC285" s="53" t="n">
        <f aca="false">IF(OR($A285&gt;TOMATO_BED_CAP,$B285&gt;CARROT_BED_CAP,AC$4&gt;MESCLUN_BED_CAP,$A285+$B285+AC$4&gt;TOTAL_BEDS_AVAILABLE,($D285+AC$5)&gt;TOTAL_LABOR_HOURS_CAP,MAX(0,($D285+AC$5)-PERMANENT_FIELD_LABOR_HOURS)&gt;TEMP_HOURS_CAP),"",$C285+AC$6-MIN(($D285+AC$5),PERMANENT_FIELD_LABOR_HOURS)*PERMANENT_HOURLY_RATE-MAX(0,($D285+AC$5)-PERMANENT_FIELD_LABOR_HOURS)*TEMP_HOURLY_RATE-FIXED_SEASON_COST)</f>
        <v>22608.6933523658</v>
      </c>
      <c r="AD285" s="53" t="n">
        <f aca="false">IF(OR($A285&gt;TOMATO_BED_CAP,$B285&gt;CARROT_BED_CAP,AD$4&gt;MESCLUN_BED_CAP,$A285+$B285+AD$4&gt;TOTAL_BEDS_AVAILABLE,($D285+AD$5)&gt;TOTAL_LABOR_HOURS_CAP,MAX(0,($D285+AD$5)-PERMANENT_FIELD_LABOR_HOURS)&gt;TEMP_HOURS_CAP),"",$C285+AD$6-MIN(($D285+AD$5),PERMANENT_FIELD_LABOR_HOURS)*PERMANENT_HOURLY_RATE-MAX(0,($D285+AD$5)-PERMANENT_FIELD_LABOR_HOURS)*TEMP_HOURLY_RATE-FIXED_SEASON_COST)</f>
        <v>23077.2703076657</v>
      </c>
      <c r="AE285" s="53" t="n">
        <f aca="false">IF(OR($A285&gt;TOMATO_BED_CAP,$B285&gt;CARROT_BED_CAP,AE$4&gt;MESCLUN_BED_CAP,$A285+$B285+AE$4&gt;TOTAL_BEDS_AVAILABLE,($D285+AE$5)&gt;TOTAL_LABOR_HOURS_CAP,MAX(0,($D285+AE$5)-PERMANENT_FIELD_LABOR_HOURS)&gt;TEMP_HOURS_CAP),"",$C285+AE$6-MIN(($D285+AE$5),PERMANENT_FIELD_LABOR_HOURS)*PERMANENT_HOURLY_RATE-MAX(0,($D285+AE$5)-PERMANENT_FIELD_LABOR_HOURS)*TEMP_HOURLY_RATE-FIXED_SEASON_COST)</f>
        <v>23515.7975918996</v>
      </c>
      <c r="AF285" s="53" t="n">
        <f aca="false">IF(OR($A285&gt;TOMATO_BED_CAP,$B285&gt;CARROT_BED_CAP,AF$4&gt;MESCLUN_BED_CAP,$A285+$B285+AF$4&gt;TOTAL_BEDS_AVAILABLE,($D285+AF$5)&gt;TOTAL_LABOR_HOURS_CAP,MAX(0,($D285+AF$5)-PERMANENT_FIELD_LABOR_HOURS)&gt;TEMP_HOURS_CAP),"",$C285+AF$6-MIN(($D285+AF$5),PERMANENT_FIELD_LABOR_HOURS)*PERMANENT_HOURLY_RATE-MAX(0,($D285+AF$5)-PERMANENT_FIELD_LABOR_HOURS)*TEMP_HOURLY_RATE-FIXED_SEASON_COST)</f>
        <v>23923.7351231416</v>
      </c>
      <c r="AG285" s="53" t="n">
        <f aca="false">IF(OR($A285&gt;TOMATO_BED_CAP,$B285&gt;CARROT_BED_CAP,AG$4&gt;MESCLUN_BED_CAP,$A285+$B285+AG$4&gt;TOTAL_BEDS_AVAILABLE,($D285+AG$5)&gt;TOTAL_LABOR_HOURS_CAP,MAX(0,($D285+AG$5)-PERMANENT_FIELD_LABOR_HOURS)&gt;TEMP_HOURS_CAP),"",$C285+AG$6-MIN(($D285+AG$5),PERMANENT_FIELD_LABOR_HOURS)*PERMANENT_HOURLY_RATE-MAX(0,($D285+AG$5)-PERMANENT_FIELD_LABOR_HOURS)*TEMP_HOURLY_RATE-FIXED_SEASON_COST)</f>
        <v>24300.5340126786</v>
      </c>
      <c r="AH285" s="53" t="n">
        <f aca="false">IF(OR($A285&gt;TOMATO_BED_CAP,$B285&gt;CARROT_BED_CAP,AH$4&gt;MESCLUN_BED_CAP,$A285+$B285+AH$4&gt;TOTAL_BEDS_AVAILABLE,($D285+AH$5)&gt;TOTAL_LABOR_HOURS_CAP,MAX(0,($D285+AH$5)-PERMANENT_FIELD_LABOR_HOURS)&gt;TEMP_HOURS_CAP),"",$C285+AH$6-MIN(($D285+AH$5),PERMANENT_FIELD_LABOR_HOURS)*PERMANENT_HOURLY_RATE-MAX(0,($D285+AH$5)-PERMANENT_FIELD_LABOR_HOURS)*TEMP_HOURLY_RATE-FIXED_SEASON_COST)</f>
        <v>24645.6364292288</v>
      </c>
      <c r="AI285" s="53" t="n">
        <f aca="false">IF(OR($A285&gt;TOMATO_BED_CAP,$B285&gt;CARROT_BED_CAP,AI$4&gt;MESCLUN_BED_CAP,$A285+$B285+AI$4&gt;TOTAL_BEDS_AVAILABLE,($D285+AI$5)&gt;TOTAL_LABOR_HOURS_CAP,MAX(0,($D285+AI$5)-PERMANENT_FIELD_LABOR_HOURS)&gt;TEMP_HOURS_CAP),"",$C285+AI$6-MIN(($D285+AI$5),PERMANENT_FIELD_LABOR_HOURS)*PERMANENT_HOURLY_RATE-MAX(0,($D285+AI$5)-PERMANENT_FIELD_LABOR_HOURS)*TEMP_HOURLY_RATE-FIXED_SEASON_COST)</f>
        <v>24958.4754611411</v>
      </c>
      <c r="AJ285" s="53" t="n">
        <f aca="false">IF(OR($A285&gt;TOMATO_BED_CAP,$B285&gt;CARROT_BED_CAP,AJ$4&gt;MESCLUN_BED_CAP,$A285+$B285+AJ$4&gt;TOTAL_BEDS_AVAILABLE,($D285+AJ$5)&gt;TOTAL_LABOR_HOURS_CAP,MAX(0,($D285+AJ$5)-PERMANENT_FIELD_LABOR_HOURS)&gt;TEMP_HOURS_CAP),"",$C285+AJ$6-MIN(($D285+AJ$5),PERMANENT_FIELD_LABOR_HOURS)*PERMANENT_HOURLY_RATE-MAX(0,($D285+AJ$5)-PERMANENT_FIELD_LABOR_HOURS)*TEMP_HOURLY_RATE-FIXED_SEASON_COST)</f>
        <v>25238.4749765468</v>
      </c>
    </row>
    <row r="286" customFormat="false" ht="15" hidden="false" customHeight="false" outlineLevel="0" collapsed="false">
      <c r="A286" s="21" t="n">
        <f aca="false">INT((ROW()-ROW($A$8))/(20+1))</f>
        <v>13</v>
      </c>
      <c r="B286" s="21" t="n">
        <f aca="false">MOD(ROW()-ROW($A$8),20+1)</f>
        <v>5</v>
      </c>
      <c r="C286" s="13" t="n">
        <f aca="false">A286*(TOMATO_REVENUE_PER_BED-TOMATO_FERTILIZER_PER_BED)+B286*(CARROT_REVENUE_PER_BED-CARROT_FERTILIZER_PER_BED)</f>
        <v>111230</v>
      </c>
      <c r="D286" s="14" t="n">
        <f aca="false">INDEX(TOMATO_SCHED_LABOR_HRS,A286+1)+INDEX(CARROT_SCHED_LABOR_HRS,B286+1)</f>
        <v>4208.80066828075</v>
      </c>
      <c r="E286" s="13" t="n">
        <f aca="false">IF(COUNT(F286:AJ286)=0,"",MAX(F286:AJ286))</f>
        <v>26246.0096935187</v>
      </c>
      <c r="F286" s="53" t="n">
        <f aca="false">IF(OR($A286&gt;TOMATO_BED_CAP,$B286&gt;CARROT_BED_CAP,F$4&gt;MESCLUN_BED_CAP,$A286+$B286+F$4&gt;TOTAL_BEDS_AVAILABLE,($D286+F$5)&gt;TOTAL_LABOR_HOURS_CAP,MAX(0,($D286+F$5)-PERMANENT_FIELD_LABOR_HOURS)&gt;TEMP_HOURS_CAP),"",$C286+F$6-MIN(($D286+F$5),PERMANENT_FIELD_LABOR_HOURS)*PERMANENT_HOURLY_RATE-MAX(0,($D286+F$5)-PERMANENT_FIELD_LABOR_HOURS)*TEMP_HOURLY_RATE-FIXED_SEASON_COST)</f>
        <v>5666.02039864616</v>
      </c>
      <c r="G286" s="53" t="n">
        <f aca="false">IF(OR($A286&gt;TOMATO_BED_CAP,$B286&gt;CARROT_BED_CAP,G$4&gt;MESCLUN_BED_CAP,$A286+$B286+G$4&gt;TOTAL_BEDS_AVAILABLE,($D286+G$5)&gt;TOTAL_LABOR_HOURS_CAP,MAX(0,($D286+G$5)-PERMANENT_FIELD_LABOR_HOURS)&gt;TEMP_HOURS_CAP),"",$C286+G$6-MIN(($D286+G$5),PERMANENT_FIELD_LABOR_HOURS)*PERMANENT_HOURLY_RATE-MAX(0,($D286+G$5)-PERMANENT_FIELD_LABOR_HOURS)*TEMP_HOURLY_RATE-FIXED_SEASON_COST)</f>
        <v>6695.05539864616</v>
      </c>
      <c r="H286" s="53" t="n">
        <f aca="false">IF(OR($A286&gt;TOMATO_BED_CAP,$B286&gt;CARROT_BED_CAP,H$4&gt;MESCLUN_BED_CAP,$A286+$B286+H$4&gt;TOTAL_BEDS_AVAILABLE,($D286+H$5)&gt;TOTAL_LABOR_HOURS_CAP,MAX(0,($D286+H$5)-PERMANENT_FIELD_LABOR_HOURS)&gt;TEMP_HOURS_CAP),"",$C286+H$6-MIN(($D286+H$5),PERMANENT_FIELD_LABOR_HOURS)*PERMANENT_HOURLY_RATE-MAX(0,($D286+H$5)-PERMANENT_FIELD_LABOR_HOURS)*TEMP_HOURLY_RATE-FIXED_SEASON_COST)</f>
        <v>7704.31627364615</v>
      </c>
      <c r="I286" s="53" t="n">
        <f aca="false">IF(OR($A286&gt;TOMATO_BED_CAP,$B286&gt;CARROT_BED_CAP,I$4&gt;MESCLUN_BED_CAP,$A286+$B286+I$4&gt;TOTAL_BEDS_AVAILABLE,($D286+I$5)&gt;TOTAL_LABOR_HOURS_CAP,MAX(0,($D286+I$5)-PERMANENT_FIELD_LABOR_HOURS)&gt;TEMP_HOURS_CAP),"",$C286+I$6-MIN(($D286+I$5),PERMANENT_FIELD_LABOR_HOURS)*PERMANENT_HOURLY_RATE-MAX(0,($D286+I$5)-PERMANENT_FIELD_LABOR_HOURS)*TEMP_HOURLY_RATE-FIXED_SEASON_COST)</f>
        <v>8693.4322588024</v>
      </c>
      <c r="J286" s="53" t="n">
        <f aca="false">IF(OR($A286&gt;TOMATO_BED_CAP,$B286&gt;CARROT_BED_CAP,J$4&gt;MESCLUN_BED_CAP,$A286+$B286+J$4&gt;TOTAL_BEDS_AVAILABLE,($D286+J$5)&gt;TOTAL_LABOR_HOURS_CAP,MAX(0,($D286+J$5)-PERMANENT_FIELD_LABOR_HOURS)&gt;TEMP_HOURS_CAP),"",$C286+J$6-MIN(($D286+J$5),PERMANENT_FIELD_LABOR_HOURS)*PERMANENT_HOURLY_RATE-MAX(0,($D286+J$5)-PERMANENT_FIELD_LABOR_HOURS)*TEMP_HOURLY_RATE-FIXED_SEASON_COST)</f>
        <v>9662.02640985709</v>
      </c>
      <c r="K286" s="53" t="n">
        <f aca="false">IF(OR($A286&gt;TOMATO_BED_CAP,$B286&gt;CARROT_BED_CAP,K$4&gt;MESCLUN_BED_CAP,$A286+$B286+K$4&gt;TOTAL_BEDS_AVAILABLE,($D286+K$5)&gt;TOTAL_LABOR_HOURS_CAP,MAX(0,($D286+K$5)-PERMANENT_FIELD_LABOR_HOURS)&gt;TEMP_HOURS_CAP),"",$C286+K$6-MIN(($D286+K$5),PERMANENT_FIELD_LABOR_HOURS)*PERMANENT_HOURLY_RATE-MAX(0,($D286+K$5)-PERMANENT_FIELD_LABOR_HOURS)*TEMP_HOURLY_RATE-FIXED_SEASON_COST)</f>
        <v>10609.715506585</v>
      </c>
      <c r="L286" s="53" t="n">
        <f aca="false">IF(OR($A286&gt;TOMATO_BED_CAP,$B286&gt;CARROT_BED_CAP,L$4&gt;MESCLUN_BED_CAP,$A286+$B286+L$4&gt;TOTAL_BEDS_AVAILABLE,($D286+L$5)&gt;TOTAL_LABOR_HOURS_CAP,MAX(0,($D286+L$5)-PERMANENT_FIELD_LABOR_HOURS)&gt;TEMP_HOURS_CAP),"",$C286+L$6-MIN(($D286+L$5),PERMANENT_FIELD_LABOR_HOURS)*PERMANENT_HOURLY_RATE-MAX(0,($D286+L$5)-PERMANENT_FIELD_LABOR_HOURS)*TEMP_HOURLY_RATE-FIXED_SEASON_COST)</f>
        <v>11536.1099547919</v>
      </c>
      <c r="M286" s="53" t="n">
        <f aca="false">IF(OR($A286&gt;TOMATO_BED_CAP,$B286&gt;CARROT_BED_CAP,M$4&gt;MESCLUN_BED_CAP,$A286+$B286+M$4&gt;TOTAL_BEDS_AVAILABLE,($D286+M$5)&gt;TOTAL_LABOR_HOURS_CAP,MAX(0,($D286+M$5)-PERMANENT_FIELD_LABOR_HOURS)&gt;TEMP_HOURS_CAP),"",$C286+M$6-MIN(($D286+M$5),PERMANENT_FIELD_LABOR_HOURS)*PERMANENT_HOURLY_RATE-MAX(0,($D286+M$5)-PERMANENT_FIELD_LABOR_HOURS)*TEMP_HOURLY_RATE-FIXED_SEASON_COST)</f>
        <v>12440.8136868432</v>
      </c>
      <c r="N286" s="53" t="n">
        <f aca="false">IF(OR($A286&gt;TOMATO_BED_CAP,$B286&gt;CARROT_BED_CAP,N$4&gt;MESCLUN_BED_CAP,$A286+$B286+N$4&gt;TOTAL_BEDS_AVAILABLE,($D286+N$5)&gt;TOTAL_LABOR_HOURS_CAP,MAX(0,($D286+N$5)-PERMANENT_FIELD_LABOR_HOURS)&gt;TEMP_HOURS_CAP),"",$C286+N$6-MIN(($D286+N$5),PERMANENT_FIELD_LABOR_HOURS)*PERMANENT_HOURLY_RATE-MAX(0,($D286+N$5)-PERMANENT_FIELD_LABOR_HOURS)*TEMP_HOURLY_RATE-FIXED_SEASON_COST)</f>
        <v>13323.4240607028</v>
      </c>
      <c r="O286" s="53" t="n">
        <f aca="false">IF(OR($A286&gt;TOMATO_BED_CAP,$B286&gt;CARROT_BED_CAP,O$4&gt;MESCLUN_BED_CAP,$A286+$B286+O$4&gt;TOTAL_BEDS_AVAILABLE,($D286+O$5)&gt;TOTAL_LABOR_HOURS_CAP,MAX(0,($D286+O$5)-PERMANENT_FIELD_LABOR_HOURS)&gt;TEMP_HOURS_CAP),"",$C286+O$6-MIN(($D286+O$5),PERMANENT_FIELD_LABOR_HOURS)*PERMANENT_HOURLY_RATE-MAX(0,($D286+O$5)-PERMANENT_FIELD_LABOR_HOURS)*TEMP_HOURLY_RATE-FIXED_SEASON_COST)</f>
        <v>14183.5317574575</v>
      </c>
      <c r="P286" s="53" t="n">
        <f aca="false">IF(OR($A286&gt;TOMATO_BED_CAP,$B286&gt;CARROT_BED_CAP,P$4&gt;MESCLUN_BED_CAP,$A286+$B286+P$4&gt;TOTAL_BEDS_AVAILABLE,($D286+P$5)&gt;TOTAL_LABOR_HOURS_CAP,MAX(0,($D286+P$5)-PERMANENT_FIELD_LABOR_HOURS)&gt;TEMP_HOURS_CAP),"",$C286+P$6-MIN(($D286+P$5),PERMANENT_FIELD_LABOR_HOURS)*PERMANENT_HOURLY_RATE-MAX(0,($D286+P$5)-PERMANENT_FIELD_LABOR_HOURS)*TEMP_HOURLY_RATE-FIXED_SEASON_COST)</f>
        <v>15020.720677309</v>
      </c>
      <c r="Q286" s="53" t="n">
        <f aca="false">IF(OR($A286&gt;TOMATO_BED_CAP,$B286&gt;CARROT_BED_CAP,Q$4&gt;MESCLUN_BED_CAP,$A286+$B286+Q$4&gt;TOTAL_BEDS_AVAILABLE,($D286+Q$5)&gt;TOTAL_LABOR_HOURS_CAP,MAX(0,($D286+Q$5)-PERMANENT_FIELD_LABOR_HOURS)&gt;TEMP_HOURS_CAP),"",$C286+Q$6-MIN(($D286+Q$5),PERMANENT_FIELD_LABOR_HOURS)*PERMANENT_HOURLY_RATE-MAX(0,($D286+Q$5)-PERMANENT_FIELD_LABOR_HOURS)*TEMP_HOURLY_RATE-FIXED_SEASON_COST)</f>
        <v>15834.5678340069</v>
      </c>
      <c r="R286" s="53" t="n">
        <f aca="false">IF(OR($A286&gt;TOMATO_BED_CAP,$B286&gt;CARROT_BED_CAP,R$4&gt;MESCLUN_BED_CAP,$A286+$B286+R$4&gt;TOTAL_BEDS_AVAILABLE,($D286+R$5)&gt;TOTAL_LABOR_HOURS_CAP,MAX(0,($D286+R$5)-PERMANENT_FIELD_LABOR_HOURS)&gt;TEMP_HOURS_CAP),"",$C286+R$6-MIN(($D286+R$5),PERMANENT_FIELD_LABOR_HOURS)*PERMANENT_HOURLY_RATE-MAX(0,($D286+R$5)-PERMANENT_FIELD_LABOR_HOURS)*TEMP_HOURLY_RATE-FIXED_SEASON_COST)</f>
        <v>16624.6432477037</v>
      </c>
      <c r="S286" s="53" t="n">
        <f aca="false">IF(OR($A286&gt;TOMATO_BED_CAP,$B286&gt;CARROT_BED_CAP,S$4&gt;MESCLUN_BED_CAP,$A286+$B286+S$4&gt;TOTAL_BEDS_AVAILABLE,($D286+S$5)&gt;TOTAL_LABOR_HOURS_CAP,MAX(0,($D286+S$5)-PERMANENT_FIELD_LABOR_HOURS)&gt;TEMP_HOURS_CAP),"",$C286+S$6-MIN(($D286+S$5),PERMANENT_FIELD_LABOR_HOURS)*PERMANENT_HOURLY_RATE-MAX(0,($D286+S$5)-PERMANENT_FIELD_LABOR_HOURS)*TEMP_HOURLY_RATE-FIXED_SEASON_COST)</f>
        <v>17390.5098362061</v>
      </c>
      <c r="T286" s="53" t="n">
        <f aca="false">IF(OR($A286&gt;TOMATO_BED_CAP,$B286&gt;CARROT_BED_CAP,T$4&gt;MESCLUN_BED_CAP,$A286+$B286+T$4&gt;TOTAL_BEDS_AVAILABLE,($D286+T$5)&gt;TOTAL_LABOR_HOURS_CAP,MAX(0,($D286+T$5)-PERMANENT_FIELD_LABOR_HOURS)&gt;TEMP_HOURS_CAP),"",$C286+T$6-MIN(($D286+T$5),PERMANENT_FIELD_LABOR_HOURS)*PERMANENT_HOURLY_RATE-MAX(0,($D286+T$5)-PERMANENT_FIELD_LABOR_HOURS)*TEMP_HOURLY_RATE-FIXED_SEASON_COST)</f>
        <v>18131.723304601</v>
      </c>
      <c r="U286" s="53" t="n">
        <f aca="false">IF(OR($A286&gt;TOMATO_BED_CAP,$B286&gt;CARROT_BED_CAP,U$4&gt;MESCLUN_BED_CAP,$A286+$B286+U$4&gt;TOTAL_BEDS_AVAILABLE,($D286+U$5)&gt;TOTAL_LABOR_HOURS_CAP,MAX(0,($D286+U$5)-PERMANENT_FIELD_LABOR_HOURS)&gt;TEMP_HOURS_CAP),"",$C286+U$6-MIN(($D286+U$5),PERMANENT_FIELD_LABOR_HOURS)*PERMANENT_HOURLY_RATE-MAX(0,($D286+U$5)-PERMANENT_FIELD_LABOR_HOURS)*TEMP_HOURLY_RATE-FIXED_SEASON_COST)</f>
        <v>18847.8320332311</v>
      </c>
      <c r="V286" s="53" t="n">
        <f aca="false">IF(OR($A286&gt;TOMATO_BED_CAP,$B286&gt;CARROT_BED_CAP,V$4&gt;MESCLUN_BED_CAP,$A286+$B286+V$4&gt;TOTAL_BEDS_AVAILABLE,($D286+V$5)&gt;TOTAL_LABOR_HOURS_CAP,MAX(0,($D286+V$5)-PERMANENT_FIELD_LABOR_HOURS)&gt;TEMP_HOURS_CAP),"",$C286+V$6-MIN(($D286+V$5),PERMANENT_FIELD_LABOR_HOURS)*PERMANENT_HOURLY_RATE-MAX(0,($D286+V$5)-PERMANENT_FIELD_LABOR_HOURS)*TEMP_HOURLY_RATE-FIXED_SEASON_COST)</f>
        <v>19538.3769639979</v>
      </c>
      <c r="W286" s="53" t="n">
        <f aca="false">IF(OR($A286&gt;TOMATO_BED_CAP,$B286&gt;CARROT_BED_CAP,W$4&gt;MESCLUN_BED_CAP,$A286+$B286+W$4&gt;TOTAL_BEDS_AVAILABLE,($D286+W$5)&gt;TOTAL_LABOR_HOURS_CAP,MAX(0,($D286+W$5)-PERMANENT_FIELD_LABOR_HOURS)&gt;TEMP_HOURS_CAP),"",$C286+W$6-MIN(($D286+W$5),PERMANENT_FIELD_LABOR_HOURS)*PERMANENT_HOURLY_RATE-MAX(0,($D286+W$5)-PERMANENT_FIELD_LABOR_HOURS)*TEMP_HOURLY_RATE-FIXED_SEASON_COST)</f>
        <v>20202.8914849659</v>
      </c>
      <c r="X286" s="53" t="n">
        <f aca="false">IF(OR($A286&gt;TOMATO_BED_CAP,$B286&gt;CARROT_BED_CAP,X$4&gt;MESCLUN_BED_CAP,$A286+$B286+X$4&gt;TOTAL_BEDS_AVAILABLE,($D286+X$5)&gt;TOTAL_LABOR_HOURS_CAP,MAX(0,($D286+X$5)-PERMANENT_FIELD_LABOR_HOURS)&gt;TEMP_HOURS_CAP),"",$C286+X$6-MIN(($D286+X$5),PERMANENT_FIELD_LABOR_HOURS)*PERMANENT_HOURLY_RATE-MAX(0,($D286+X$5)-PERMANENT_FIELD_LABOR_HOURS)*TEMP_HOURLY_RATE-FIXED_SEASON_COST)</f>
        <v>20840.9013132449</v>
      </c>
      <c r="Y286" s="53" t="n">
        <f aca="false">IF(OR($A286&gt;TOMATO_BED_CAP,$B286&gt;CARROT_BED_CAP,Y$4&gt;MESCLUN_BED_CAP,$A286+$B286+Y$4&gt;TOTAL_BEDS_AVAILABLE,($D286+Y$5)&gt;TOTAL_LABOR_HOURS_CAP,MAX(0,($D286+Y$5)-PERMANENT_FIELD_LABOR_HOURS)&gt;TEMP_HOURS_CAP),"",$C286+Y$6-MIN(($D286+Y$5),PERMANENT_FIELD_LABOR_HOURS)*PERMANENT_HOURLY_RATE-MAX(0,($D286+Y$5)-PERMANENT_FIELD_LABOR_HOURS)*TEMP_HOURLY_RATE-FIXED_SEASON_COST)</f>
        <v>21451.9243761235</v>
      </c>
      <c r="Z286" s="53" t="n">
        <f aca="false">IF(OR($A286&gt;TOMATO_BED_CAP,$B286&gt;CARROT_BED_CAP,Z$4&gt;MESCLUN_BED_CAP,$A286+$B286+Z$4&gt;TOTAL_BEDS_AVAILABLE,($D286+Z$5)&gt;TOTAL_LABOR_HOURS_CAP,MAX(0,($D286+Z$5)-PERMANENT_FIELD_LABOR_HOURS)&gt;TEMP_HOURS_CAP),"",$C286+Z$6-MIN(($D286+Z$5),PERMANENT_FIELD_LABOR_HOURS)*PERMANENT_HOURLY_RATE-MAX(0,($D286+Z$5)-PERMANENT_FIELD_LABOR_HOURS)*TEMP_HOURLY_RATE-FIXED_SEASON_COST)</f>
        <v>22035.4706904312</v>
      </c>
      <c r="AA286" s="53" t="n">
        <f aca="false">IF(OR($A286&gt;TOMATO_BED_CAP,$B286&gt;CARROT_BED_CAP,AA$4&gt;MESCLUN_BED_CAP,$A286+$B286+AA$4&gt;TOTAL_BEDS_AVAILABLE,($D286+AA$5)&gt;TOTAL_LABOR_HOURS_CAP,MAX(0,($D286+AA$5)-PERMANENT_FIELD_LABOR_HOURS)&gt;TEMP_HOURS_CAP),"",$C286+AA$6-MIN(($D286+AA$5),PERMANENT_FIELD_LABOR_HOURS)*PERMANENT_HOURLY_RATE-MAX(0,($D286+AA$5)-PERMANENT_FIELD_LABOR_HOURS)*TEMP_HOURLY_RATE-FIXED_SEASON_COST)</f>
        <v>22591.0422401002</v>
      </c>
      <c r="AB286" s="53" t="n">
        <f aca="false">IF(OR($A286&gt;TOMATO_BED_CAP,$B286&gt;CARROT_BED_CAP,AB$4&gt;MESCLUN_BED_CAP,$A286+$B286+AB$4&gt;TOTAL_BEDS_AVAILABLE,($D286+AB$5)&gt;TOTAL_LABOR_HOURS_CAP,MAX(0,($D286+AB$5)-PERMANENT_FIELD_LABOR_HOURS)&gt;TEMP_HOURS_CAP),"",$C286+AB$6-MIN(($D286+AB$5),PERMANENT_FIELD_LABOR_HOURS)*PERMANENT_HOURLY_RATE-MAX(0,($D286+AB$5)-PERMANENT_FIELD_LABOR_HOURS)*TEMP_HOURLY_RATE-FIXED_SEASON_COST)</f>
        <v>23118.1328519027</v>
      </c>
      <c r="AC286" s="53" t="n">
        <f aca="false">IF(OR($A286&gt;TOMATO_BED_CAP,$B286&gt;CARROT_BED_CAP,AC$4&gt;MESCLUN_BED_CAP,$A286+$B286+AC$4&gt;TOTAL_BEDS_AVAILABLE,($D286+AC$5)&gt;TOTAL_LABOR_HOURS_CAP,MAX(0,($D286+AC$5)-PERMANENT_FIELD_LABOR_HOURS)&gt;TEMP_HOURS_CAP),"",$C286+AC$6-MIN(($D286+AC$5),PERMANENT_FIELD_LABOR_HOURS)*PERMANENT_HOURLY_RATE-MAX(0,($D286+AC$5)-PERMANENT_FIELD_LABOR_HOURS)*TEMP_HOURLY_RATE-FIXED_SEASON_COST)</f>
        <v>23616.2280693376</v>
      </c>
      <c r="AD286" s="53" t="n">
        <f aca="false">IF(OR($A286&gt;TOMATO_BED_CAP,$B286&gt;CARROT_BED_CAP,AD$4&gt;MESCLUN_BED_CAP,$A286+$B286+AD$4&gt;TOTAL_BEDS_AVAILABLE,($D286+AD$5)&gt;TOTAL_LABOR_HOURS_CAP,MAX(0,($D286+AD$5)-PERMANENT_FIELD_LABOR_HOURS)&gt;TEMP_HOURS_CAP),"",$C286+AD$6-MIN(($D286+AD$5),PERMANENT_FIELD_LABOR_HOURS)*PERMANENT_HOURLY_RATE-MAX(0,($D286+AD$5)-PERMANENT_FIELD_LABOR_HOURS)*TEMP_HOURLY_RATE-FIXED_SEASON_COST)</f>
        <v>24084.8050246376</v>
      </c>
      <c r="AE286" s="53" t="n">
        <f aca="false">IF(OR($A286&gt;TOMATO_BED_CAP,$B286&gt;CARROT_BED_CAP,AE$4&gt;MESCLUN_BED_CAP,$A286+$B286+AE$4&gt;TOTAL_BEDS_AVAILABLE,($D286+AE$5)&gt;TOTAL_LABOR_HOURS_CAP,MAX(0,($D286+AE$5)-PERMANENT_FIELD_LABOR_HOURS)&gt;TEMP_HOURS_CAP),"",$C286+AE$6-MIN(($D286+AE$5),PERMANENT_FIELD_LABOR_HOURS)*PERMANENT_HOURLY_RATE-MAX(0,($D286+AE$5)-PERMANENT_FIELD_LABOR_HOURS)*TEMP_HOURLY_RATE-FIXED_SEASON_COST)</f>
        <v>24523.3323088715</v>
      </c>
      <c r="AF286" s="53" t="n">
        <f aca="false">IF(OR($A286&gt;TOMATO_BED_CAP,$B286&gt;CARROT_BED_CAP,AF$4&gt;MESCLUN_BED_CAP,$A286+$B286+AF$4&gt;TOTAL_BEDS_AVAILABLE,($D286+AF$5)&gt;TOTAL_LABOR_HOURS_CAP,MAX(0,($D286+AF$5)-PERMANENT_FIELD_LABOR_HOURS)&gt;TEMP_HOURS_CAP),"",$C286+AF$6-MIN(($D286+AF$5),PERMANENT_FIELD_LABOR_HOURS)*PERMANENT_HOURLY_RATE-MAX(0,($D286+AF$5)-PERMANENT_FIELD_LABOR_HOURS)*TEMP_HOURLY_RATE-FIXED_SEASON_COST)</f>
        <v>24931.2698401135</v>
      </c>
      <c r="AG286" s="53" t="n">
        <f aca="false">IF(OR($A286&gt;TOMATO_BED_CAP,$B286&gt;CARROT_BED_CAP,AG$4&gt;MESCLUN_BED_CAP,$A286+$B286+AG$4&gt;TOTAL_BEDS_AVAILABLE,($D286+AG$5)&gt;TOTAL_LABOR_HOURS_CAP,MAX(0,($D286+AG$5)-PERMANENT_FIELD_LABOR_HOURS)&gt;TEMP_HOURS_CAP),"",$C286+AG$6-MIN(($D286+AG$5),PERMANENT_FIELD_LABOR_HOURS)*PERMANENT_HOURLY_RATE-MAX(0,($D286+AG$5)-PERMANENT_FIELD_LABOR_HOURS)*TEMP_HOURLY_RATE-FIXED_SEASON_COST)</f>
        <v>25308.0687296505</v>
      </c>
      <c r="AH286" s="53" t="n">
        <f aca="false">IF(OR($A286&gt;TOMATO_BED_CAP,$B286&gt;CARROT_BED_CAP,AH$4&gt;MESCLUN_BED_CAP,$A286+$B286+AH$4&gt;TOTAL_BEDS_AVAILABLE,($D286+AH$5)&gt;TOTAL_LABOR_HOURS_CAP,MAX(0,($D286+AH$5)-PERMANENT_FIELD_LABOR_HOURS)&gt;TEMP_HOURS_CAP),"",$C286+AH$6-MIN(($D286+AH$5),PERMANENT_FIELD_LABOR_HOURS)*PERMANENT_HOURLY_RATE-MAX(0,($D286+AH$5)-PERMANENT_FIELD_LABOR_HOURS)*TEMP_HOURLY_RATE-FIXED_SEASON_COST)</f>
        <v>25653.1711462007</v>
      </c>
      <c r="AI286" s="53" t="n">
        <f aca="false">IF(OR($A286&gt;TOMATO_BED_CAP,$B286&gt;CARROT_BED_CAP,AI$4&gt;MESCLUN_BED_CAP,$A286+$B286+AI$4&gt;TOTAL_BEDS_AVAILABLE,($D286+AI$5)&gt;TOTAL_LABOR_HOURS_CAP,MAX(0,($D286+AI$5)-PERMANENT_FIELD_LABOR_HOURS)&gt;TEMP_HOURS_CAP),"",$C286+AI$6-MIN(($D286+AI$5),PERMANENT_FIELD_LABOR_HOURS)*PERMANENT_HOURLY_RATE-MAX(0,($D286+AI$5)-PERMANENT_FIELD_LABOR_HOURS)*TEMP_HOURLY_RATE-FIXED_SEASON_COST)</f>
        <v>25966.010178113</v>
      </c>
      <c r="AJ286" s="53" t="n">
        <f aca="false">IF(OR($A286&gt;TOMATO_BED_CAP,$B286&gt;CARROT_BED_CAP,AJ$4&gt;MESCLUN_BED_CAP,$A286+$B286+AJ$4&gt;TOTAL_BEDS_AVAILABLE,($D286+AJ$5)&gt;TOTAL_LABOR_HOURS_CAP,MAX(0,($D286+AJ$5)-PERMANENT_FIELD_LABOR_HOURS)&gt;TEMP_HOURS_CAP),"",$C286+AJ$6-MIN(($D286+AJ$5),PERMANENT_FIELD_LABOR_HOURS)*PERMANENT_HOURLY_RATE-MAX(0,($D286+AJ$5)-PERMANENT_FIELD_LABOR_HOURS)*TEMP_HOURLY_RATE-FIXED_SEASON_COST)</f>
        <v>26246.0096935187</v>
      </c>
    </row>
    <row r="287" customFormat="false" ht="15" hidden="false" customHeight="false" outlineLevel="0" collapsed="false">
      <c r="A287" s="21" t="n">
        <f aca="false">INT((ROW()-ROW($A$8))/(20+1))</f>
        <v>13</v>
      </c>
      <c r="B287" s="21" t="n">
        <f aca="false">MOD(ROW()-ROW($A$8),20+1)</f>
        <v>6</v>
      </c>
      <c r="C287" s="13" t="n">
        <f aca="false">A287*(TOMATO_REVENUE_PER_BED-TOMATO_FERTILIZER_PER_BED)+B287*(CARROT_REVENUE_PER_BED-CARROT_FERTILIZER_PER_BED)</f>
        <v>112884</v>
      </c>
      <c r="D287" s="14" t="n">
        <f aca="false">INDEX(TOMATO_SCHED_LABOR_HRS,A287+1)+INDEX(CARROT_SCHED_LABOR_HRS,B287+1)</f>
        <v>4247.81863819214</v>
      </c>
      <c r="E287" s="13" t="n">
        <f aca="false">IF(COUNT(F287:AJ287)=0,"",MAX(F287:AJ287))</f>
        <v>27222.657735857</v>
      </c>
      <c r="F287" s="53" t="n">
        <f aca="false">IF(OR($A287&gt;TOMATO_BED_CAP,$B287&gt;CARROT_BED_CAP,F$4&gt;MESCLUN_BED_CAP,$A287+$B287+F$4&gt;TOTAL_BEDS_AVAILABLE,($D287+F$5)&gt;TOTAL_LABOR_HOURS_CAP,MAX(0,($D287+F$5)-PERMANENT_FIELD_LABOR_HOURS)&gt;TEMP_HOURS_CAP),"",$C287+F$6-MIN(($D287+F$5),PERMANENT_FIELD_LABOR_HOURS)*PERMANENT_HOURLY_RATE-MAX(0,($D287+F$5)-PERMANENT_FIELD_LABOR_HOURS)*TEMP_HOURLY_RATE-FIXED_SEASON_COST)</f>
        <v>6642.66844098445</v>
      </c>
      <c r="G287" s="53" t="n">
        <f aca="false">IF(OR($A287&gt;TOMATO_BED_CAP,$B287&gt;CARROT_BED_CAP,G$4&gt;MESCLUN_BED_CAP,$A287+$B287+G$4&gt;TOTAL_BEDS_AVAILABLE,($D287+G$5)&gt;TOTAL_LABOR_HOURS_CAP,MAX(0,($D287+G$5)-PERMANENT_FIELD_LABOR_HOURS)&gt;TEMP_HOURS_CAP),"",$C287+G$6-MIN(($D287+G$5),PERMANENT_FIELD_LABOR_HOURS)*PERMANENT_HOURLY_RATE-MAX(0,($D287+G$5)-PERMANENT_FIELD_LABOR_HOURS)*TEMP_HOURLY_RATE-FIXED_SEASON_COST)</f>
        <v>7671.70344098445</v>
      </c>
      <c r="H287" s="53" t="n">
        <f aca="false">IF(OR($A287&gt;TOMATO_BED_CAP,$B287&gt;CARROT_BED_CAP,H$4&gt;MESCLUN_BED_CAP,$A287+$B287+H$4&gt;TOTAL_BEDS_AVAILABLE,($D287+H$5)&gt;TOTAL_LABOR_HOURS_CAP,MAX(0,($D287+H$5)-PERMANENT_FIELD_LABOR_HOURS)&gt;TEMP_HOURS_CAP),"",$C287+H$6-MIN(($D287+H$5),PERMANENT_FIELD_LABOR_HOURS)*PERMANENT_HOURLY_RATE-MAX(0,($D287+H$5)-PERMANENT_FIELD_LABOR_HOURS)*TEMP_HOURLY_RATE-FIXED_SEASON_COST)</f>
        <v>8680.96431598444</v>
      </c>
      <c r="I287" s="53" t="n">
        <f aca="false">IF(OR($A287&gt;TOMATO_BED_CAP,$B287&gt;CARROT_BED_CAP,I$4&gt;MESCLUN_BED_CAP,$A287+$B287+I$4&gt;TOTAL_BEDS_AVAILABLE,($D287+I$5)&gt;TOTAL_LABOR_HOURS_CAP,MAX(0,($D287+I$5)-PERMANENT_FIELD_LABOR_HOURS)&gt;TEMP_HOURS_CAP),"",$C287+I$6-MIN(($D287+I$5),PERMANENT_FIELD_LABOR_HOURS)*PERMANENT_HOURLY_RATE-MAX(0,($D287+I$5)-PERMANENT_FIELD_LABOR_HOURS)*TEMP_HOURLY_RATE-FIXED_SEASON_COST)</f>
        <v>9670.0803011407</v>
      </c>
      <c r="J287" s="53" t="n">
        <f aca="false">IF(OR($A287&gt;TOMATO_BED_CAP,$B287&gt;CARROT_BED_CAP,J$4&gt;MESCLUN_BED_CAP,$A287+$B287+J$4&gt;TOTAL_BEDS_AVAILABLE,($D287+J$5)&gt;TOTAL_LABOR_HOURS_CAP,MAX(0,($D287+J$5)-PERMANENT_FIELD_LABOR_HOURS)&gt;TEMP_HOURS_CAP),"",$C287+J$6-MIN(($D287+J$5),PERMANENT_FIELD_LABOR_HOURS)*PERMANENT_HOURLY_RATE-MAX(0,($D287+J$5)-PERMANENT_FIELD_LABOR_HOURS)*TEMP_HOURLY_RATE-FIXED_SEASON_COST)</f>
        <v>10638.6744521954</v>
      </c>
      <c r="K287" s="53" t="n">
        <f aca="false">IF(OR($A287&gt;TOMATO_BED_CAP,$B287&gt;CARROT_BED_CAP,K$4&gt;MESCLUN_BED_CAP,$A287+$B287+K$4&gt;TOTAL_BEDS_AVAILABLE,($D287+K$5)&gt;TOTAL_LABOR_HOURS_CAP,MAX(0,($D287+K$5)-PERMANENT_FIELD_LABOR_HOURS)&gt;TEMP_HOURS_CAP),"",$C287+K$6-MIN(($D287+K$5),PERMANENT_FIELD_LABOR_HOURS)*PERMANENT_HOURLY_RATE-MAX(0,($D287+K$5)-PERMANENT_FIELD_LABOR_HOURS)*TEMP_HOURLY_RATE-FIXED_SEASON_COST)</f>
        <v>11586.3635489233</v>
      </c>
      <c r="L287" s="53" t="n">
        <f aca="false">IF(OR($A287&gt;TOMATO_BED_CAP,$B287&gt;CARROT_BED_CAP,L$4&gt;MESCLUN_BED_CAP,$A287+$B287+L$4&gt;TOTAL_BEDS_AVAILABLE,($D287+L$5)&gt;TOTAL_LABOR_HOURS_CAP,MAX(0,($D287+L$5)-PERMANENT_FIELD_LABOR_HOURS)&gt;TEMP_HOURS_CAP),"",$C287+L$6-MIN(($D287+L$5),PERMANENT_FIELD_LABOR_HOURS)*PERMANENT_HOURLY_RATE-MAX(0,($D287+L$5)-PERMANENT_FIELD_LABOR_HOURS)*TEMP_HOURLY_RATE-FIXED_SEASON_COST)</f>
        <v>12512.7579971301</v>
      </c>
      <c r="M287" s="53" t="n">
        <f aca="false">IF(OR($A287&gt;TOMATO_BED_CAP,$B287&gt;CARROT_BED_CAP,M$4&gt;MESCLUN_BED_CAP,$A287+$B287+M$4&gt;TOTAL_BEDS_AVAILABLE,($D287+M$5)&gt;TOTAL_LABOR_HOURS_CAP,MAX(0,($D287+M$5)-PERMANENT_FIELD_LABOR_HOURS)&gt;TEMP_HOURS_CAP),"",$C287+M$6-MIN(($D287+M$5),PERMANENT_FIELD_LABOR_HOURS)*PERMANENT_HOURLY_RATE-MAX(0,($D287+M$5)-PERMANENT_FIELD_LABOR_HOURS)*TEMP_HOURLY_RATE-FIXED_SEASON_COST)</f>
        <v>13417.4617291816</v>
      </c>
      <c r="N287" s="53" t="n">
        <f aca="false">IF(OR($A287&gt;TOMATO_BED_CAP,$B287&gt;CARROT_BED_CAP,N$4&gt;MESCLUN_BED_CAP,$A287+$B287+N$4&gt;TOTAL_BEDS_AVAILABLE,($D287+N$5)&gt;TOTAL_LABOR_HOURS_CAP,MAX(0,($D287+N$5)-PERMANENT_FIELD_LABOR_HOURS)&gt;TEMP_HOURS_CAP),"",$C287+N$6-MIN(($D287+N$5),PERMANENT_FIELD_LABOR_HOURS)*PERMANENT_HOURLY_RATE-MAX(0,($D287+N$5)-PERMANENT_FIELD_LABOR_HOURS)*TEMP_HOURLY_RATE-FIXED_SEASON_COST)</f>
        <v>14300.0721030411</v>
      </c>
      <c r="O287" s="53" t="n">
        <f aca="false">IF(OR($A287&gt;TOMATO_BED_CAP,$B287&gt;CARROT_BED_CAP,O$4&gt;MESCLUN_BED_CAP,$A287+$B287+O$4&gt;TOTAL_BEDS_AVAILABLE,($D287+O$5)&gt;TOTAL_LABOR_HOURS_CAP,MAX(0,($D287+O$5)-PERMANENT_FIELD_LABOR_HOURS)&gt;TEMP_HOURS_CAP),"",$C287+O$6-MIN(($D287+O$5),PERMANENT_FIELD_LABOR_HOURS)*PERMANENT_HOURLY_RATE-MAX(0,($D287+O$5)-PERMANENT_FIELD_LABOR_HOURS)*TEMP_HOURLY_RATE-FIXED_SEASON_COST)</f>
        <v>15160.1797997959</v>
      </c>
      <c r="P287" s="53" t="n">
        <f aca="false">IF(OR($A287&gt;TOMATO_BED_CAP,$B287&gt;CARROT_BED_CAP,P$4&gt;MESCLUN_BED_CAP,$A287+$B287+P$4&gt;TOTAL_BEDS_AVAILABLE,($D287+P$5)&gt;TOTAL_LABOR_HOURS_CAP,MAX(0,($D287+P$5)-PERMANENT_FIELD_LABOR_HOURS)&gt;TEMP_HOURS_CAP),"",$C287+P$6-MIN(($D287+P$5),PERMANENT_FIELD_LABOR_HOURS)*PERMANENT_HOURLY_RATE-MAX(0,($D287+P$5)-PERMANENT_FIELD_LABOR_HOURS)*TEMP_HOURLY_RATE-FIXED_SEASON_COST)</f>
        <v>15997.3687196473</v>
      </c>
      <c r="Q287" s="53" t="n">
        <f aca="false">IF(OR($A287&gt;TOMATO_BED_CAP,$B287&gt;CARROT_BED_CAP,Q$4&gt;MESCLUN_BED_CAP,$A287+$B287+Q$4&gt;TOTAL_BEDS_AVAILABLE,($D287+Q$5)&gt;TOTAL_LABOR_HOURS_CAP,MAX(0,($D287+Q$5)-PERMANENT_FIELD_LABOR_HOURS)&gt;TEMP_HOURS_CAP),"",$C287+Q$6-MIN(($D287+Q$5),PERMANENT_FIELD_LABOR_HOURS)*PERMANENT_HOURLY_RATE-MAX(0,($D287+Q$5)-PERMANENT_FIELD_LABOR_HOURS)*TEMP_HOURLY_RATE-FIXED_SEASON_COST)</f>
        <v>16811.2158763452</v>
      </c>
      <c r="R287" s="53" t="n">
        <f aca="false">IF(OR($A287&gt;TOMATO_BED_CAP,$B287&gt;CARROT_BED_CAP,R$4&gt;MESCLUN_BED_CAP,$A287+$B287+R$4&gt;TOTAL_BEDS_AVAILABLE,($D287+R$5)&gt;TOTAL_LABOR_HOURS_CAP,MAX(0,($D287+R$5)-PERMANENT_FIELD_LABOR_HOURS)&gt;TEMP_HOURS_CAP),"",$C287+R$6-MIN(($D287+R$5),PERMANENT_FIELD_LABOR_HOURS)*PERMANENT_HOURLY_RATE-MAX(0,($D287+R$5)-PERMANENT_FIELD_LABOR_HOURS)*TEMP_HOURLY_RATE-FIXED_SEASON_COST)</f>
        <v>17601.291290042</v>
      </c>
      <c r="S287" s="53" t="n">
        <f aca="false">IF(OR($A287&gt;TOMATO_BED_CAP,$B287&gt;CARROT_BED_CAP,S$4&gt;MESCLUN_BED_CAP,$A287+$B287+S$4&gt;TOTAL_BEDS_AVAILABLE,($D287+S$5)&gt;TOTAL_LABOR_HOURS_CAP,MAX(0,($D287+S$5)-PERMANENT_FIELD_LABOR_HOURS)&gt;TEMP_HOURS_CAP),"",$C287+S$6-MIN(($D287+S$5),PERMANENT_FIELD_LABOR_HOURS)*PERMANENT_HOURLY_RATE-MAX(0,($D287+S$5)-PERMANENT_FIELD_LABOR_HOURS)*TEMP_HOURLY_RATE-FIXED_SEASON_COST)</f>
        <v>18367.1578785444</v>
      </c>
      <c r="T287" s="53" t="n">
        <f aca="false">IF(OR($A287&gt;TOMATO_BED_CAP,$B287&gt;CARROT_BED_CAP,T$4&gt;MESCLUN_BED_CAP,$A287+$B287+T$4&gt;TOTAL_BEDS_AVAILABLE,($D287+T$5)&gt;TOTAL_LABOR_HOURS_CAP,MAX(0,($D287+T$5)-PERMANENT_FIELD_LABOR_HOURS)&gt;TEMP_HOURS_CAP),"",$C287+T$6-MIN(($D287+T$5),PERMANENT_FIELD_LABOR_HOURS)*PERMANENT_HOURLY_RATE-MAX(0,($D287+T$5)-PERMANENT_FIELD_LABOR_HOURS)*TEMP_HOURLY_RATE-FIXED_SEASON_COST)</f>
        <v>19108.3713469393</v>
      </c>
      <c r="U287" s="53" t="n">
        <f aca="false">IF(OR($A287&gt;TOMATO_BED_CAP,$B287&gt;CARROT_BED_CAP,U$4&gt;MESCLUN_BED_CAP,$A287+$B287+U$4&gt;TOTAL_BEDS_AVAILABLE,($D287+U$5)&gt;TOTAL_LABOR_HOURS_CAP,MAX(0,($D287+U$5)-PERMANENT_FIELD_LABOR_HOURS)&gt;TEMP_HOURS_CAP),"",$C287+U$6-MIN(($D287+U$5),PERMANENT_FIELD_LABOR_HOURS)*PERMANENT_HOURLY_RATE-MAX(0,($D287+U$5)-PERMANENT_FIELD_LABOR_HOURS)*TEMP_HOURLY_RATE-FIXED_SEASON_COST)</f>
        <v>19824.4800755694</v>
      </c>
      <c r="V287" s="53" t="n">
        <f aca="false">IF(OR($A287&gt;TOMATO_BED_CAP,$B287&gt;CARROT_BED_CAP,V$4&gt;MESCLUN_BED_CAP,$A287+$B287+V$4&gt;TOTAL_BEDS_AVAILABLE,($D287+V$5)&gt;TOTAL_LABOR_HOURS_CAP,MAX(0,($D287+V$5)-PERMANENT_FIELD_LABOR_HOURS)&gt;TEMP_HOURS_CAP),"",$C287+V$6-MIN(($D287+V$5),PERMANENT_FIELD_LABOR_HOURS)*PERMANENT_HOURLY_RATE-MAX(0,($D287+V$5)-PERMANENT_FIELD_LABOR_HOURS)*TEMP_HOURLY_RATE-FIXED_SEASON_COST)</f>
        <v>20515.0250063362</v>
      </c>
      <c r="W287" s="53" t="n">
        <f aca="false">IF(OR($A287&gt;TOMATO_BED_CAP,$B287&gt;CARROT_BED_CAP,W$4&gt;MESCLUN_BED_CAP,$A287+$B287+W$4&gt;TOTAL_BEDS_AVAILABLE,($D287+W$5)&gt;TOTAL_LABOR_HOURS_CAP,MAX(0,($D287+W$5)-PERMANENT_FIELD_LABOR_HOURS)&gt;TEMP_HOURS_CAP),"",$C287+W$6-MIN(($D287+W$5),PERMANENT_FIELD_LABOR_HOURS)*PERMANENT_HOURLY_RATE-MAX(0,($D287+W$5)-PERMANENT_FIELD_LABOR_HOURS)*TEMP_HOURLY_RATE-FIXED_SEASON_COST)</f>
        <v>21179.5395273042</v>
      </c>
      <c r="X287" s="53" t="n">
        <f aca="false">IF(OR($A287&gt;TOMATO_BED_CAP,$B287&gt;CARROT_BED_CAP,X$4&gt;MESCLUN_BED_CAP,$A287+$B287+X$4&gt;TOTAL_BEDS_AVAILABLE,($D287+X$5)&gt;TOTAL_LABOR_HOURS_CAP,MAX(0,($D287+X$5)-PERMANENT_FIELD_LABOR_HOURS)&gt;TEMP_HOURS_CAP),"",$C287+X$6-MIN(($D287+X$5),PERMANENT_FIELD_LABOR_HOURS)*PERMANENT_HOURLY_RATE-MAX(0,($D287+X$5)-PERMANENT_FIELD_LABOR_HOURS)*TEMP_HOURLY_RATE-FIXED_SEASON_COST)</f>
        <v>21817.5493555832</v>
      </c>
      <c r="Y287" s="53" t="n">
        <f aca="false">IF(OR($A287&gt;TOMATO_BED_CAP,$B287&gt;CARROT_BED_CAP,Y$4&gt;MESCLUN_BED_CAP,$A287+$B287+Y$4&gt;TOTAL_BEDS_AVAILABLE,($D287+Y$5)&gt;TOTAL_LABOR_HOURS_CAP,MAX(0,($D287+Y$5)-PERMANENT_FIELD_LABOR_HOURS)&gt;TEMP_HOURS_CAP),"",$C287+Y$6-MIN(($D287+Y$5),PERMANENT_FIELD_LABOR_HOURS)*PERMANENT_HOURLY_RATE-MAX(0,($D287+Y$5)-PERMANENT_FIELD_LABOR_HOURS)*TEMP_HOURLY_RATE-FIXED_SEASON_COST)</f>
        <v>22428.5724184618</v>
      </c>
      <c r="Z287" s="53" t="n">
        <f aca="false">IF(OR($A287&gt;TOMATO_BED_CAP,$B287&gt;CARROT_BED_CAP,Z$4&gt;MESCLUN_BED_CAP,$A287+$B287+Z$4&gt;TOTAL_BEDS_AVAILABLE,($D287+Z$5)&gt;TOTAL_LABOR_HOURS_CAP,MAX(0,($D287+Z$5)-PERMANENT_FIELD_LABOR_HOURS)&gt;TEMP_HOURS_CAP),"",$C287+Z$6-MIN(($D287+Z$5),PERMANENT_FIELD_LABOR_HOURS)*PERMANENT_HOURLY_RATE-MAX(0,($D287+Z$5)-PERMANENT_FIELD_LABOR_HOURS)*TEMP_HOURLY_RATE-FIXED_SEASON_COST)</f>
        <v>23012.1187327695</v>
      </c>
      <c r="AA287" s="53" t="n">
        <f aca="false">IF(OR($A287&gt;TOMATO_BED_CAP,$B287&gt;CARROT_BED_CAP,AA$4&gt;MESCLUN_BED_CAP,$A287+$B287+AA$4&gt;TOTAL_BEDS_AVAILABLE,($D287+AA$5)&gt;TOTAL_LABOR_HOURS_CAP,MAX(0,($D287+AA$5)-PERMANENT_FIELD_LABOR_HOURS)&gt;TEMP_HOURS_CAP),"",$C287+AA$6-MIN(($D287+AA$5),PERMANENT_FIELD_LABOR_HOURS)*PERMANENT_HOURLY_RATE-MAX(0,($D287+AA$5)-PERMANENT_FIELD_LABOR_HOURS)*TEMP_HOURLY_RATE-FIXED_SEASON_COST)</f>
        <v>23567.6902824385</v>
      </c>
      <c r="AB287" s="53" t="n">
        <f aca="false">IF(OR($A287&gt;TOMATO_BED_CAP,$B287&gt;CARROT_BED_CAP,AB$4&gt;MESCLUN_BED_CAP,$A287+$B287+AB$4&gt;TOTAL_BEDS_AVAILABLE,($D287+AB$5)&gt;TOTAL_LABOR_HOURS_CAP,MAX(0,($D287+AB$5)-PERMANENT_FIELD_LABOR_HOURS)&gt;TEMP_HOURS_CAP),"",$C287+AB$6-MIN(($D287+AB$5),PERMANENT_FIELD_LABOR_HOURS)*PERMANENT_HOURLY_RATE-MAX(0,($D287+AB$5)-PERMANENT_FIELD_LABOR_HOURS)*TEMP_HOURLY_RATE-FIXED_SEASON_COST)</f>
        <v>24094.780894241</v>
      </c>
      <c r="AC287" s="53" t="n">
        <f aca="false">IF(OR($A287&gt;TOMATO_BED_CAP,$B287&gt;CARROT_BED_CAP,AC$4&gt;MESCLUN_BED_CAP,$A287+$B287+AC$4&gt;TOTAL_BEDS_AVAILABLE,($D287+AC$5)&gt;TOTAL_LABOR_HOURS_CAP,MAX(0,($D287+AC$5)-PERMANENT_FIELD_LABOR_HOURS)&gt;TEMP_HOURS_CAP),"",$C287+AC$6-MIN(($D287+AC$5),PERMANENT_FIELD_LABOR_HOURS)*PERMANENT_HOURLY_RATE-MAX(0,($D287+AC$5)-PERMANENT_FIELD_LABOR_HOURS)*TEMP_HOURLY_RATE-FIXED_SEASON_COST)</f>
        <v>24592.8761116759</v>
      </c>
      <c r="AD287" s="53" t="n">
        <f aca="false">IF(OR($A287&gt;TOMATO_BED_CAP,$B287&gt;CARROT_BED_CAP,AD$4&gt;MESCLUN_BED_CAP,$A287+$B287+AD$4&gt;TOTAL_BEDS_AVAILABLE,($D287+AD$5)&gt;TOTAL_LABOR_HOURS_CAP,MAX(0,($D287+AD$5)-PERMANENT_FIELD_LABOR_HOURS)&gt;TEMP_HOURS_CAP),"",$C287+AD$6-MIN(($D287+AD$5),PERMANENT_FIELD_LABOR_HOURS)*PERMANENT_HOURLY_RATE-MAX(0,($D287+AD$5)-PERMANENT_FIELD_LABOR_HOURS)*TEMP_HOURLY_RATE-FIXED_SEASON_COST)</f>
        <v>25061.4530669759</v>
      </c>
      <c r="AE287" s="53" t="n">
        <f aca="false">IF(OR($A287&gt;TOMATO_BED_CAP,$B287&gt;CARROT_BED_CAP,AE$4&gt;MESCLUN_BED_CAP,$A287+$B287+AE$4&gt;TOTAL_BEDS_AVAILABLE,($D287+AE$5)&gt;TOTAL_LABOR_HOURS_CAP,MAX(0,($D287+AE$5)-PERMANENT_FIELD_LABOR_HOURS)&gt;TEMP_HOURS_CAP),"",$C287+AE$6-MIN(($D287+AE$5),PERMANENT_FIELD_LABOR_HOURS)*PERMANENT_HOURLY_RATE-MAX(0,($D287+AE$5)-PERMANENT_FIELD_LABOR_HOURS)*TEMP_HOURLY_RATE-FIXED_SEASON_COST)</f>
        <v>25499.9803512098</v>
      </c>
      <c r="AF287" s="53" t="n">
        <f aca="false">IF(OR($A287&gt;TOMATO_BED_CAP,$B287&gt;CARROT_BED_CAP,AF$4&gt;MESCLUN_BED_CAP,$A287+$B287+AF$4&gt;TOTAL_BEDS_AVAILABLE,($D287+AF$5)&gt;TOTAL_LABOR_HOURS_CAP,MAX(0,($D287+AF$5)-PERMANENT_FIELD_LABOR_HOURS)&gt;TEMP_HOURS_CAP),"",$C287+AF$6-MIN(($D287+AF$5),PERMANENT_FIELD_LABOR_HOURS)*PERMANENT_HOURLY_RATE-MAX(0,($D287+AF$5)-PERMANENT_FIELD_LABOR_HOURS)*TEMP_HOURLY_RATE-FIXED_SEASON_COST)</f>
        <v>25907.9178824517</v>
      </c>
      <c r="AG287" s="53" t="n">
        <f aca="false">IF(OR($A287&gt;TOMATO_BED_CAP,$B287&gt;CARROT_BED_CAP,AG$4&gt;MESCLUN_BED_CAP,$A287+$B287+AG$4&gt;TOTAL_BEDS_AVAILABLE,($D287+AG$5)&gt;TOTAL_LABOR_HOURS_CAP,MAX(0,($D287+AG$5)-PERMANENT_FIELD_LABOR_HOURS)&gt;TEMP_HOURS_CAP),"",$C287+AG$6-MIN(($D287+AG$5),PERMANENT_FIELD_LABOR_HOURS)*PERMANENT_HOURLY_RATE-MAX(0,($D287+AG$5)-PERMANENT_FIELD_LABOR_HOURS)*TEMP_HOURLY_RATE-FIXED_SEASON_COST)</f>
        <v>26284.7167719888</v>
      </c>
      <c r="AH287" s="53" t="n">
        <f aca="false">IF(OR($A287&gt;TOMATO_BED_CAP,$B287&gt;CARROT_BED_CAP,AH$4&gt;MESCLUN_BED_CAP,$A287+$B287+AH$4&gt;TOTAL_BEDS_AVAILABLE,($D287+AH$5)&gt;TOTAL_LABOR_HOURS_CAP,MAX(0,($D287+AH$5)-PERMANENT_FIELD_LABOR_HOURS)&gt;TEMP_HOURS_CAP),"",$C287+AH$6-MIN(($D287+AH$5),PERMANENT_FIELD_LABOR_HOURS)*PERMANENT_HOURLY_RATE-MAX(0,($D287+AH$5)-PERMANENT_FIELD_LABOR_HOURS)*TEMP_HOURLY_RATE-FIXED_SEASON_COST)</f>
        <v>26629.819188539</v>
      </c>
      <c r="AI287" s="53" t="n">
        <f aca="false">IF(OR($A287&gt;TOMATO_BED_CAP,$B287&gt;CARROT_BED_CAP,AI$4&gt;MESCLUN_BED_CAP,$A287+$B287+AI$4&gt;TOTAL_BEDS_AVAILABLE,($D287+AI$5)&gt;TOTAL_LABOR_HOURS_CAP,MAX(0,($D287+AI$5)-PERMANENT_FIELD_LABOR_HOURS)&gt;TEMP_HOURS_CAP),"",$C287+AI$6-MIN(($D287+AI$5),PERMANENT_FIELD_LABOR_HOURS)*PERMANENT_HOURLY_RATE-MAX(0,($D287+AI$5)-PERMANENT_FIELD_LABOR_HOURS)*TEMP_HOURLY_RATE-FIXED_SEASON_COST)</f>
        <v>26942.6582204512</v>
      </c>
      <c r="AJ287" s="53" t="n">
        <f aca="false">IF(OR($A287&gt;TOMATO_BED_CAP,$B287&gt;CARROT_BED_CAP,AJ$4&gt;MESCLUN_BED_CAP,$A287+$B287+AJ$4&gt;TOTAL_BEDS_AVAILABLE,($D287+AJ$5)&gt;TOTAL_LABOR_HOURS_CAP,MAX(0,($D287+AJ$5)-PERMANENT_FIELD_LABOR_HOURS)&gt;TEMP_HOURS_CAP),"",$C287+AJ$6-MIN(($D287+AJ$5),PERMANENT_FIELD_LABOR_HOURS)*PERMANENT_HOURLY_RATE-MAX(0,($D287+AJ$5)-PERMANENT_FIELD_LABOR_HOURS)*TEMP_HOURLY_RATE-FIXED_SEASON_COST)</f>
        <v>27222.657735857</v>
      </c>
    </row>
    <row r="288" customFormat="false" ht="15" hidden="false" customHeight="false" outlineLevel="0" collapsed="false">
      <c r="A288" s="21" t="n">
        <f aca="false">INT((ROW()-ROW($A$8))/(20+1))</f>
        <v>13</v>
      </c>
      <c r="B288" s="21" t="n">
        <f aca="false">MOD(ROW()-ROW($A$8),20+1)</f>
        <v>7</v>
      </c>
      <c r="C288" s="13" t="n">
        <f aca="false">A288*(TOMATO_REVENUE_PER_BED-TOMATO_FERTILIZER_PER_BED)+B288*(CARROT_REVENUE_PER_BED-CARROT_FERTILIZER_PER_BED)</f>
        <v>114538</v>
      </c>
      <c r="D288" s="14" t="n">
        <f aca="false">INDEX(TOMATO_SCHED_LABOR_HRS,A288+1)+INDEX(CARROT_SCHED_LABOR_HRS,B288+1)</f>
        <v>4288.68147950695</v>
      </c>
      <c r="E288" s="13" t="n">
        <f aca="false">IF(COUNT(F288:AJ288)=0,"",MAX(F288:AJ288))</f>
        <v>28167.2788106319</v>
      </c>
      <c r="F288" s="53" t="n">
        <f aca="false">IF(OR($A288&gt;TOMATO_BED_CAP,$B288&gt;CARROT_BED_CAP,F$4&gt;MESCLUN_BED_CAP,$A288+$B288+F$4&gt;TOTAL_BEDS_AVAILABLE,($D288+F$5)&gt;TOTAL_LABOR_HOURS_CAP,MAX(0,($D288+F$5)-PERMANENT_FIELD_LABOR_HOURS)&gt;TEMP_HOURS_CAP),"",$C288+F$6-MIN(($D288+F$5),PERMANENT_FIELD_LABOR_HOURS)*PERMANENT_HOURLY_RATE-MAX(0,($D288+F$5)-PERMANENT_FIELD_LABOR_HOURS)*TEMP_HOURLY_RATE-FIXED_SEASON_COST)</f>
        <v>7587.2895157594</v>
      </c>
      <c r="G288" s="53" t="n">
        <f aca="false">IF(OR($A288&gt;TOMATO_BED_CAP,$B288&gt;CARROT_BED_CAP,G$4&gt;MESCLUN_BED_CAP,$A288+$B288+G$4&gt;TOTAL_BEDS_AVAILABLE,($D288+G$5)&gt;TOTAL_LABOR_HOURS_CAP,MAX(0,($D288+G$5)-PERMANENT_FIELD_LABOR_HOURS)&gt;TEMP_HOURS_CAP),"",$C288+G$6-MIN(($D288+G$5),PERMANENT_FIELD_LABOR_HOURS)*PERMANENT_HOURLY_RATE-MAX(0,($D288+G$5)-PERMANENT_FIELD_LABOR_HOURS)*TEMP_HOURLY_RATE-FIXED_SEASON_COST)</f>
        <v>8616.3245157594</v>
      </c>
      <c r="H288" s="53" t="n">
        <f aca="false">IF(OR($A288&gt;TOMATO_BED_CAP,$B288&gt;CARROT_BED_CAP,H$4&gt;MESCLUN_BED_CAP,$A288+$B288+H$4&gt;TOTAL_BEDS_AVAILABLE,($D288+H$5)&gt;TOTAL_LABOR_HOURS_CAP,MAX(0,($D288+H$5)-PERMANENT_FIELD_LABOR_HOURS)&gt;TEMP_HOURS_CAP),"",$C288+H$6-MIN(($D288+H$5),PERMANENT_FIELD_LABOR_HOURS)*PERMANENT_HOURLY_RATE-MAX(0,($D288+H$5)-PERMANENT_FIELD_LABOR_HOURS)*TEMP_HOURLY_RATE-FIXED_SEASON_COST)</f>
        <v>9625.58539075939</v>
      </c>
      <c r="I288" s="53" t="n">
        <f aca="false">IF(OR($A288&gt;TOMATO_BED_CAP,$B288&gt;CARROT_BED_CAP,I$4&gt;MESCLUN_BED_CAP,$A288+$B288+I$4&gt;TOTAL_BEDS_AVAILABLE,($D288+I$5)&gt;TOTAL_LABOR_HOURS_CAP,MAX(0,($D288+I$5)-PERMANENT_FIELD_LABOR_HOURS)&gt;TEMP_HOURS_CAP),"",$C288+I$6-MIN(($D288+I$5),PERMANENT_FIELD_LABOR_HOURS)*PERMANENT_HOURLY_RATE-MAX(0,($D288+I$5)-PERMANENT_FIELD_LABOR_HOURS)*TEMP_HOURLY_RATE-FIXED_SEASON_COST)</f>
        <v>10614.7013759156</v>
      </c>
      <c r="J288" s="53" t="n">
        <f aca="false">IF(OR($A288&gt;TOMATO_BED_CAP,$B288&gt;CARROT_BED_CAP,J$4&gt;MESCLUN_BED_CAP,$A288+$B288+J$4&gt;TOTAL_BEDS_AVAILABLE,($D288+J$5)&gt;TOTAL_LABOR_HOURS_CAP,MAX(0,($D288+J$5)-PERMANENT_FIELD_LABOR_HOURS)&gt;TEMP_HOURS_CAP),"",$C288+J$6-MIN(($D288+J$5),PERMANENT_FIELD_LABOR_HOURS)*PERMANENT_HOURLY_RATE-MAX(0,($D288+J$5)-PERMANENT_FIELD_LABOR_HOURS)*TEMP_HOURLY_RATE-FIXED_SEASON_COST)</f>
        <v>11583.2955269703</v>
      </c>
      <c r="K288" s="53" t="n">
        <f aca="false">IF(OR($A288&gt;TOMATO_BED_CAP,$B288&gt;CARROT_BED_CAP,K$4&gt;MESCLUN_BED_CAP,$A288+$B288+K$4&gt;TOTAL_BEDS_AVAILABLE,($D288+K$5)&gt;TOTAL_LABOR_HOURS_CAP,MAX(0,($D288+K$5)-PERMANENT_FIELD_LABOR_HOURS)&gt;TEMP_HOURS_CAP),"",$C288+K$6-MIN(($D288+K$5),PERMANENT_FIELD_LABOR_HOURS)*PERMANENT_HOURLY_RATE-MAX(0,($D288+K$5)-PERMANENT_FIELD_LABOR_HOURS)*TEMP_HOURLY_RATE-FIXED_SEASON_COST)</f>
        <v>12530.9846236982</v>
      </c>
      <c r="L288" s="53" t="n">
        <f aca="false">IF(OR($A288&gt;TOMATO_BED_CAP,$B288&gt;CARROT_BED_CAP,L$4&gt;MESCLUN_BED_CAP,$A288+$B288+L$4&gt;TOTAL_BEDS_AVAILABLE,($D288+L$5)&gt;TOTAL_LABOR_HOURS_CAP,MAX(0,($D288+L$5)-PERMANENT_FIELD_LABOR_HOURS)&gt;TEMP_HOURS_CAP),"",$C288+L$6-MIN(($D288+L$5),PERMANENT_FIELD_LABOR_HOURS)*PERMANENT_HOURLY_RATE-MAX(0,($D288+L$5)-PERMANENT_FIELD_LABOR_HOURS)*TEMP_HOURLY_RATE-FIXED_SEASON_COST)</f>
        <v>13457.3790719051</v>
      </c>
      <c r="M288" s="53" t="n">
        <f aca="false">IF(OR($A288&gt;TOMATO_BED_CAP,$B288&gt;CARROT_BED_CAP,M$4&gt;MESCLUN_BED_CAP,$A288+$B288+M$4&gt;TOTAL_BEDS_AVAILABLE,($D288+M$5)&gt;TOTAL_LABOR_HOURS_CAP,MAX(0,($D288+M$5)-PERMANENT_FIELD_LABOR_HOURS)&gt;TEMP_HOURS_CAP),"",$C288+M$6-MIN(($D288+M$5),PERMANENT_FIELD_LABOR_HOURS)*PERMANENT_HOURLY_RATE-MAX(0,($D288+M$5)-PERMANENT_FIELD_LABOR_HOURS)*TEMP_HOURLY_RATE-FIXED_SEASON_COST)</f>
        <v>14362.0828039565</v>
      </c>
      <c r="N288" s="53" t="n">
        <f aca="false">IF(OR($A288&gt;TOMATO_BED_CAP,$B288&gt;CARROT_BED_CAP,N$4&gt;MESCLUN_BED_CAP,$A288+$B288+N$4&gt;TOTAL_BEDS_AVAILABLE,($D288+N$5)&gt;TOTAL_LABOR_HOURS_CAP,MAX(0,($D288+N$5)-PERMANENT_FIELD_LABOR_HOURS)&gt;TEMP_HOURS_CAP),"",$C288+N$6-MIN(($D288+N$5),PERMANENT_FIELD_LABOR_HOURS)*PERMANENT_HOURLY_RATE-MAX(0,($D288+N$5)-PERMANENT_FIELD_LABOR_HOURS)*TEMP_HOURLY_RATE-FIXED_SEASON_COST)</f>
        <v>15244.6931778161</v>
      </c>
      <c r="O288" s="53" t="n">
        <f aca="false">IF(OR($A288&gt;TOMATO_BED_CAP,$B288&gt;CARROT_BED_CAP,O$4&gt;MESCLUN_BED_CAP,$A288+$B288+O$4&gt;TOTAL_BEDS_AVAILABLE,($D288+O$5)&gt;TOTAL_LABOR_HOURS_CAP,MAX(0,($D288+O$5)-PERMANENT_FIELD_LABOR_HOURS)&gt;TEMP_HOURS_CAP),"",$C288+O$6-MIN(($D288+O$5),PERMANENT_FIELD_LABOR_HOURS)*PERMANENT_HOURLY_RATE-MAX(0,($D288+O$5)-PERMANENT_FIELD_LABOR_HOURS)*TEMP_HOURLY_RATE-FIXED_SEASON_COST)</f>
        <v>16104.8008745708</v>
      </c>
      <c r="P288" s="53" t="n">
        <f aca="false">IF(OR($A288&gt;TOMATO_BED_CAP,$B288&gt;CARROT_BED_CAP,P$4&gt;MESCLUN_BED_CAP,$A288+$B288+P$4&gt;TOTAL_BEDS_AVAILABLE,($D288+P$5)&gt;TOTAL_LABOR_HOURS_CAP,MAX(0,($D288+P$5)-PERMANENT_FIELD_LABOR_HOURS)&gt;TEMP_HOURS_CAP),"",$C288+P$6-MIN(($D288+P$5),PERMANENT_FIELD_LABOR_HOURS)*PERMANENT_HOURLY_RATE-MAX(0,($D288+P$5)-PERMANENT_FIELD_LABOR_HOURS)*TEMP_HOURLY_RATE-FIXED_SEASON_COST)</f>
        <v>16941.9897944222</v>
      </c>
      <c r="Q288" s="53" t="n">
        <f aca="false">IF(OR($A288&gt;TOMATO_BED_CAP,$B288&gt;CARROT_BED_CAP,Q$4&gt;MESCLUN_BED_CAP,$A288+$B288+Q$4&gt;TOTAL_BEDS_AVAILABLE,($D288+Q$5)&gt;TOTAL_LABOR_HOURS_CAP,MAX(0,($D288+Q$5)-PERMANENT_FIELD_LABOR_HOURS)&gt;TEMP_HOURS_CAP),"",$C288+Q$6-MIN(($D288+Q$5),PERMANENT_FIELD_LABOR_HOURS)*PERMANENT_HOURLY_RATE-MAX(0,($D288+Q$5)-PERMANENT_FIELD_LABOR_HOURS)*TEMP_HOURLY_RATE-FIXED_SEASON_COST)</f>
        <v>17755.8369511201</v>
      </c>
      <c r="R288" s="53" t="n">
        <f aca="false">IF(OR($A288&gt;TOMATO_BED_CAP,$B288&gt;CARROT_BED_CAP,R$4&gt;MESCLUN_BED_CAP,$A288+$B288+R$4&gt;TOTAL_BEDS_AVAILABLE,($D288+R$5)&gt;TOTAL_LABOR_HOURS_CAP,MAX(0,($D288+R$5)-PERMANENT_FIELD_LABOR_HOURS)&gt;TEMP_HOURS_CAP),"",$C288+R$6-MIN(($D288+R$5),PERMANENT_FIELD_LABOR_HOURS)*PERMANENT_HOURLY_RATE-MAX(0,($D288+R$5)-PERMANENT_FIELD_LABOR_HOURS)*TEMP_HOURLY_RATE-FIXED_SEASON_COST)</f>
        <v>18545.9123648169</v>
      </c>
      <c r="S288" s="53" t="n">
        <f aca="false">IF(OR($A288&gt;TOMATO_BED_CAP,$B288&gt;CARROT_BED_CAP,S$4&gt;MESCLUN_BED_CAP,$A288+$B288+S$4&gt;TOTAL_BEDS_AVAILABLE,($D288+S$5)&gt;TOTAL_LABOR_HOURS_CAP,MAX(0,($D288+S$5)-PERMANENT_FIELD_LABOR_HOURS)&gt;TEMP_HOURS_CAP),"",$C288+S$6-MIN(($D288+S$5),PERMANENT_FIELD_LABOR_HOURS)*PERMANENT_HOURLY_RATE-MAX(0,($D288+S$5)-PERMANENT_FIELD_LABOR_HOURS)*TEMP_HOURLY_RATE-FIXED_SEASON_COST)</f>
        <v>19311.7789533194</v>
      </c>
      <c r="T288" s="53" t="n">
        <f aca="false">IF(OR($A288&gt;TOMATO_BED_CAP,$B288&gt;CARROT_BED_CAP,T$4&gt;MESCLUN_BED_CAP,$A288+$B288+T$4&gt;TOTAL_BEDS_AVAILABLE,($D288+T$5)&gt;TOTAL_LABOR_HOURS_CAP,MAX(0,($D288+T$5)-PERMANENT_FIELD_LABOR_HOURS)&gt;TEMP_HOURS_CAP),"",$C288+T$6-MIN(($D288+T$5),PERMANENT_FIELD_LABOR_HOURS)*PERMANENT_HOURLY_RATE-MAX(0,($D288+T$5)-PERMANENT_FIELD_LABOR_HOURS)*TEMP_HOURLY_RATE-FIXED_SEASON_COST)</f>
        <v>20052.9924217142</v>
      </c>
      <c r="U288" s="53" t="n">
        <f aca="false">IF(OR($A288&gt;TOMATO_BED_CAP,$B288&gt;CARROT_BED_CAP,U$4&gt;MESCLUN_BED_CAP,$A288+$B288+U$4&gt;TOTAL_BEDS_AVAILABLE,($D288+U$5)&gt;TOTAL_LABOR_HOURS_CAP,MAX(0,($D288+U$5)-PERMANENT_FIELD_LABOR_HOURS)&gt;TEMP_HOURS_CAP),"",$C288+U$6-MIN(($D288+U$5),PERMANENT_FIELD_LABOR_HOURS)*PERMANENT_HOURLY_RATE-MAX(0,($D288+U$5)-PERMANENT_FIELD_LABOR_HOURS)*TEMP_HOURLY_RATE-FIXED_SEASON_COST)</f>
        <v>20769.1011503443</v>
      </c>
      <c r="V288" s="53" t="n">
        <f aca="false">IF(OR($A288&gt;TOMATO_BED_CAP,$B288&gt;CARROT_BED_CAP,V$4&gt;MESCLUN_BED_CAP,$A288+$B288+V$4&gt;TOTAL_BEDS_AVAILABLE,($D288+V$5)&gt;TOTAL_LABOR_HOURS_CAP,MAX(0,($D288+V$5)-PERMANENT_FIELD_LABOR_HOURS)&gt;TEMP_HOURS_CAP),"",$C288+V$6-MIN(($D288+V$5),PERMANENT_FIELD_LABOR_HOURS)*PERMANENT_HOURLY_RATE-MAX(0,($D288+V$5)-PERMANENT_FIELD_LABOR_HOURS)*TEMP_HOURLY_RATE-FIXED_SEASON_COST)</f>
        <v>21459.6460811111</v>
      </c>
      <c r="W288" s="53" t="n">
        <f aca="false">IF(OR($A288&gt;TOMATO_BED_CAP,$B288&gt;CARROT_BED_CAP,W$4&gt;MESCLUN_BED_CAP,$A288+$B288+W$4&gt;TOTAL_BEDS_AVAILABLE,($D288+W$5)&gt;TOTAL_LABOR_HOURS_CAP,MAX(0,($D288+W$5)-PERMANENT_FIELD_LABOR_HOURS)&gt;TEMP_HOURS_CAP),"",$C288+W$6-MIN(($D288+W$5),PERMANENT_FIELD_LABOR_HOURS)*PERMANENT_HOURLY_RATE-MAX(0,($D288+W$5)-PERMANENT_FIELD_LABOR_HOURS)*TEMP_HOURLY_RATE-FIXED_SEASON_COST)</f>
        <v>22124.1606020792</v>
      </c>
      <c r="X288" s="53" t="n">
        <f aca="false">IF(OR($A288&gt;TOMATO_BED_CAP,$B288&gt;CARROT_BED_CAP,X$4&gt;MESCLUN_BED_CAP,$A288+$B288+X$4&gt;TOTAL_BEDS_AVAILABLE,($D288+X$5)&gt;TOTAL_LABOR_HOURS_CAP,MAX(0,($D288+X$5)-PERMANENT_FIELD_LABOR_HOURS)&gt;TEMP_HOURS_CAP),"",$C288+X$6-MIN(($D288+X$5),PERMANENT_FIELD_LABOR_HOURS)*PERMANENT_HOURLY_RATE-MAX(0,($D288+X$5)-PERMANENT_FIELD_LABOR_HOURS)*TEMP_HOURLY_RATE-FIXED_SEASON_COST)</f>
        <v>22762.1704303581</v>
      </c>
      <c r="Y288" s="53" t="n">
        <f aca="false">IF(OR($A288&gt;TOMATO_BED_CAP,$B288&gt;CARROT_BED_CAP,Y$4&gt;MESCLUN_BED_CAP,$A288+$B288+Y$4&gt;TOTAL_BEDS_AVAILABLE,($D288+Y$5)&gt;TOTAL_LABOR_HOURS_CAP,MAX(0,($D288+Y$5)-PERMANENT_FIELD_LABOR_HOURS)&gt;TEMP_HOURS_CAP),"",$C288+Y$6-MIN(($D288+Y$5),PERMANENT_FIELD_LABOR_HOURS)*PERMANENT_HOURLY_RATE-MAX(0,($D288+Y$5)-PERMANENT_FIELD_LABOR_HOURS)*TEMP_HOURLY_RATE-FIXED_SEASON_COST)</f>
        <v>23373.1934932367</v>
      </c>
      <c r="Z288" s="53" t="n">
        <f aca="false">IF(OR($A288&gt;TOMATO_BED_CAP,$B288&gt;CARROT_BED_CAP,Z$4&gt;MESCLUN_BED_CAP,$A288+$B288+Z$4&gt;TOTAL_BEDS_AVAILABLE,($D288+Z$5)&gt;TOTAL_LABOR_HOURS_CAP,MAX(0,($D288+Z$5)-PERMANENT_FIELD_LABOR_HOURS)&gt;TEMP_HOURS_CAP),"",$C288+Z$6-MIN(($D288+Z$5),PERMANENT_FIELD_LABOR_HOURS)*PERMANENT_HOURLY_RATE-MAX(0,($D288+Z$5)-PERMANENT_FIELD_LABOR_HOURS)*TEMP_HOURLY_RATE-FIXED_SEASON_COST)</f>
        <v>23956.7398075445</v>
      </c>
      <c r="AA288" s="53" t="n">
        <f aca="false">IF(OR($A288&gt;TOMATO_BED_CAP,$B288&gt;CARROT_BED_CAP,AA$4&gt;MESCLUN_BED_CAP,$A288+$B288+AA$4&gt;TOTAL_BEDS_AVAILABLE,($D288+AA$5)&gt;TOTAL_LABOR_HOURS_CAP,MAX(0,($D288+AA$5)-PERMANENT_FIELD_LABOR_HOURS)&gt;TEMP_HOURS_CAP),"",$C288+AA$6-MIN(($D288+AA$5),PERMANENT_FIELD_LABOR_HOURS)*PERMANENT_HOURLY_RATE-MAX(0,($D288+AA$5)-PERMANENT_FIELD_LABOR_HOURS)*TEMP_HOURLY_RATE-FIXED_SEASON_COST)</f>
        <v>24512.3113572134</v>
      </c>
      <c r="AB288" s="53" t="n">
        <f aca="false">IF(OR($A288&gt;TOMATO_BED_CAP,$B288&gt;CARROT_BED_CAP,AB$4&gt;MESCLUN_BED_CAP,$A288+$B288+AB$4&gt;TOTAL_BEDS_AVAILABLE,($D288+AB$5)&gt;TOTAL_LABOR_HOURS_CAP,MAX(0,($D288+AB$5)-PERMANENT_FIELD_LABOR_HOURS)&gt;TEMP_HOURS_CAP),"",$C288+AB$6-MIN(($D288+AB$5),PERMANENT_FIELD_LABOR_HOURS)*PERMANENT_HOURLY_RATE-MAX(0,($D288+AB$5)-PERMANENT_FIELD_LABOR_HOURS)*TEMP_HOURLY_RATE-FIXED_SEASON_COST)</f>
        <v>25039.401969016</v>
      </c>
      <c r="AC288" s="53" t="n">
        <f aca="false">IF(OR($A288&gt;TOMATO_BED_CAP,$B288&gt;CARROT_BED_CAP,AC$4&gt;MESCLUN_BED_CAP,$A288+$B288+AC$4&gt;TOTAL_BEDS_AVAILABLE,($D288+AC$5)&gt;TOTAL_LABOR_HOURS_CAP,MAX(0,($D288+AC$5)-PERMANENT_FIELD_LABOR_HOURS)&gt;TEMP_HOURS_CAP),"",$C288+AC$6-MIN(($D288+AC$5),PERMANENT_FIELD_LABOR_HOURS)*PERMANENT_HOURLY_RATE-MAX(0,($D288+AC$5)-PERMANENT_FIELD_LABOR_HOURS)*TEMP_HOURLY_RATE-FIXED_SEASON_COST)</f>
        <v>25537.4971864509</v>
      </c>
      <c r="AD288" s="53" t="n">
        <f aca="false">IF(OR($A288&gt;TOMATO_BED_CAP,$B288&gt;CARROT_BED_CAP,AD$4&gt;MESCLUN_BED_CAP,$A288+$B288+AD$4&gt;TOTAL_BEDS_AVAILABLE,($D288+AD$5)&gt;TOTAL_LABOR_HOURS_CAP,MAX(0,($D288+AD$5)-PERMANENT_FIELD_LABOR_HOURS)&gt;TEMP_HOURS_CAP),"",$C288+AD$6-MIN(($D288+AD$5),PERMANENT_FIELD_LABOR_HOURS)*PERMANENT_HOURLY_RATE-MAX(0,($D288+AD$5)-PERMANENT_FIELD_LABOR_HOURS)*TEMP_HOURLY_RATE-FIXED_SEASON_COST)</f>
        <v>26006.0741417508</v>
      </c>
      <c r="AE288" s="53" t="n">
        <f aca="false">IF(OR($A288&gt;TOMATO_BED_CAP,$B288&gt;CARROT_BED_CAP,AE$4&gt;MESCLUN_BED_CAP,$A288+$B288+AE$4&gt;TOTAL_BEDS_AVAILABLE,($D288+AE$5)&gt;TOTAL_LABOR_HOURS_CAP,MAX(0,($D288+AE$5)-PERMANENT_FIELD_LABOR_HOURS)&gt;TEMP_HOURS_CAP),"",$C288+AE$6-MIN(($D288+AE$5),PERMANENT_FIELD_LABOR_HOURS)*PERMANENT_HOURLY_RATE-MAX(0,($D288+AE$5)-PERMANENT_FIELD_LABOR_HOURS)*TEMP_HOURLY_RATE-FIXED_SEASON_COST)</f>
        <v>26444.6014259847</v>
      </c>
      <c r="AF288" s="53" t="n">
        <f aca="false">IF(OR($A288&gt;TOMATO_BED_CAP,$B288&gt;CARROT_BED_CAP,AF$4&gt;MESCLUN_BED_CAP,$A288+$B288+AF$4&gt;TOTAL_BEDS_AVAILABLE,($D288+AF$5)&gt;TOTAL_LABOR_HOURS_CAP,MAX(0,($D288+AF$5)-PERMANENT_FIELD_LABOR_HOURS)&gt;TEMP_HOURS_CAP),"",$C288+AF$6-MIN(($D288+AF$5),PERMANENT_FIELD_LABOR_HOURS)*PERMANENT_HOURLY_RATE-MAX(0,($D288+AF$5)-PERMANENT_FIELD_LABOR_HOURS)*TEMP_HOURLY_RATE-FIXED_SEASON_COST)</f>
        <v>26852.5389572267</v>
      </c>
      <c r="AG288" s="53" t="n">
        <f aca="false">IF(OR($A288&gt;TOMATO_BED_CAP,$B288&gt;CARROT_BED_CAP,AG$4&gt;MESCLUN_BED_CAP,$A288+$B288+AG$4&gt;TOTAL_BEDS_AVAILABLE,($D288+AG$5)&gt;TOTAL_LABOR_HOURS_CAP,MAX(0,($D288+AG$5)-PERMANENT_FIELD_LABOR_HOURS)&gt;TEMP_HOURS_CAP),"",$C288+AG$6-MIN(($D288+AG$5),PERMANENT_FIELD_LABOR_HOURS)*PERMANENT_HOURLY_RATE-MAX(0,($D288+AG$5)-PERMANENT_FIELD_LABOR_HOURS)*TEMP_HOURLY_RATE-FIXED_SEASON_COST)</f>
        <v>27229.3378467637</v>
      </c>
      <c r="AH288" s="53" t="n">
        <f aca="false">IF(OR($A288&gt;TOMATO_BED_CAP,$B288&gt;CARROT_BED_CAP,AH$4&gt;MESCLUN_BED_CAP,$A288+$B288+AH$4&gt;TOTAL_BEDS_AVAILABLE,($D288+AH$5)&gt;TOTAL_LABOR_HOURS_CAP,MAX(0,($D288+AH$5)-PERMANENT_FIELD_LABOR_HOURS)&gt;TEMP_HOURS_CAP),"",$C288+AH$6-MIN(($D288+AH$5),PERMANENT_FIELD_LABOR_HOURS)*PERMANENT_HOURLY_RATE-MAX(0,($D288+AH$5)-PERMANENT_FIELD_LABOR_HOURS)*TEMP_HOURLY_RATE-FIXED_SEASON_COST)</f>
        <v>27574.4402633139</v>
      </c>
      <c r="AI288" s="53" t="n">
        <f aca="false">IF(OR($A288&gt;TOMATO_BED_CAP,$B288&gt;CARROT_BED_CAP,AI$4&gt;MESCLUN_BED_CAP,$A288+$B288+AI$4&gt;TOTAL_BEDS_AVAILABLE,($D288+AI$5)&gt;TOTAL_LABOR_HOURS_CAP,MAX(0,($D288+AI$5)-PERMANENT_FIELD_LABOR_HOURS)&gt;TEMP_HOURS_CAP),"",$C288+AI$6-MIN(($D288+AI$5),PERMANENT_FIELD_LABOR_HOURS)*PERMANENT_HOURLY_RATE-MAX(0,($D288+AI$5)-PERMANENT_FIELD_LABOR_HOURS)*TEMP_HOURLY_RATE-FIXED_SEASON_COST)</f>
        <v>27887.2792952262</v>
      </c>
      <c r="AJ288" s="53" t="n">
        <f aca="false">IF(OR($A288&gt;TOMATO_BED_CAP,$B288&gt;CARROT_BED_CAP,AJ$4&gt;MESCLUN_BED_CAP,$A288+$B288+AJ$4&gt;TOTAL_BEDS_AVAILABLE,($D288+AJ$5)&gt;TOTAL_LABOR_HOURS_CAP,MAX(0,($D288+AJ$5)-PERMANENT_FIELD_LABOR_HOURS)&gt;TEMP_HOURS_CAP),"",$C288+AJ$6-MIN(($D288+AJ$5),PERMANENT_FIELD_LABOR_HOURS)*PERMANENT_HOURLY_RATE-MAX(0,($D288+AJ$5)-PERMANENT_FIELD_LABOR_HOURS)*TEMP_HOURLY_RATE-FIXED_SEASON_COST)</f>
        <v>28167.2788106319</v>
      </c>
    </row>
    <row r="289" customFormat="false" ht="15" hidden="false" customHeight="false" outlineLevel="0" collapsed="false">
      <c r="A289" s="21" t="n">
        <f aca="false">INT((ROW()-ROW($A$8))/(20+1))</f>
        <v>13</v>
      </c>
      <c r="B289" s="21" t="n">
        <f aca="false">MOD(ROW()-ROW($A$8),20+1)</f>
        <v>8</v>
      </c>
      <c r="C289" s="13" t="n">
        <f aca="false">A289*(TOMATO_REVENUE_PER_BED-TOMATO_FERTILIZER_PER_BED)+B289*(CARROT_REVENUE_PER_BED-CARROT_FERTILIZER_PER_BED)</f>
        <v>116192</v>
      </c>
      <c r="D289" s="14" t="n">
        <f aca="false">INDEX(TOMATO_SCHED_LABOR_HRS,A289+1)+INDEX(CARROT_SCHED_LABOR_HRS,B289+1)</f>
        <v>4331.45704956415</v>
      </c>
      <c r="E289" s="13" t="n">
        <f aca="false">IF(COUNT(F289:AJ289)=0,"",MAX(F289:AJ289))</f>
        <v>29078.6949144389</v>
      </c>
      <c r="F289" s="53" t="n">
        <f aca="false">IF(OR($A289&gt;TOMATO_BED_CAP,$B289&gt;CARROT_BED_CAP,F$4&gt;MESCLUN_BED_CAP,$A289+$B289+F$4&gt;TOTAL_BEDS_AVAILABLE,($D289+F$5)&gt;TOTAL_LABOR_HOURS_CAP,MAX(0,($D289+F$5)-PERMANENT_FIELD_LABOR_HOURS)&gt;TEMP_HOURS_CAP),"",$C289+F$6-MIN(($D289+F$5),PERMANENT_FIELD_LABOR_HOURS)*PERMANENT_HOURLY_RATE-MAX(0,($D289+F$5)-PERMANENT_FIELD_LABOR_HOURS)*TEMP_HOURLY_RATE-FIXED_SEASON_COST)</f>
        <v>8498.70561956636</v>
      </c>
      <c r="G289" s="53" t="n">
        <f aca="false">IF(OR($A289&gt;TOMATO_BED_CAP,$B289&gt;CARROT_BED_CAP,G$4&gt;MESCLUN_BED_CAP,$A289+$B289+G$4&gt;TOTAL_BEDS_AVAILABLE,($D289+G$5)&gt;TOTAL_LABOR_HOURS_CAP,MAX(0,($D289+G$5)-PERMANENT_FIELD_LABOR_HOURS)&gt;TEMP_HOURS_CAP),"",$C289+G$6-MIN(($D289+G$5),PERMANENT_FIELD_LABOR_HOURS)*PERMANENT_HOURLY_RATE-MAX(0,($D289+G$5)-PERMANENT_FIELD_LABOR_HOURS)*TEMP_HOURLY_RATE-FIXED_SEASON_COST)</f>
        <v>9527.74061956636</v>
      </c>
      <c r="H289" s="53" t="n">
        <f aca="false">IF(OR($A289&gt;TOMATO_BED_CAP,$B289&gt;CARROT_BED_CAP,H$4&gt;MESCLUN_BED_CAP,$A289+$B289+H$4&gt;TOTAL_BEDS_AVAILABLE,($D289+H$5)&gt;TOTAL_LABOR_HOURS_CAP,MAX(0,($D289+H$5)-PERMANENT_FIELD_LABOR_HOURS)&gt;TEMP_HOURS_CAP),"",$C289+H$6-MIN(($D289+H$5),PERMANENT_FIELD_LABOR_HOURS)*PERMANENT_HOURLY_RATE-MAX(0,($D289+H$5)-PERMANENT_FIELD_LABOR_HOURS)*TEMP_HOURLY_RATE-FIXED_SEASON_COST)</f>
        <v>10537.0014945664</v>
      </c>
      <c r="I289" s="53" t="n">
        <f aca="false">IF(OR($A289&gt;TOMATO_BED_CAP,$B289&gt;CARROT_BED_CAP,I$4&gt;MESCLUN_BED_CAP,$A289+$B289+I$4&gt;TOTAL_BEDS_AVAILABLE,($D289+I$5)&gt;TOTAL_LABOR_HOURS_CAP,MAX(0,($D289+I$5)-PERMANENT_FIELD_LABOR_HOURS)&gt;TEMP_HOURS_CAP),"",$C289+I$6-MIN(($D289+I$5),PERMANENT_FIELD_LABOR_HOURS)*PERMANENT_HOURLY_RATE-MAX(0,($D289+I$5)-PERMANENT_FIELD_LABOR_HOURS)*TEMP_HOURLY_RATE-FIXED_SEASON_COST)</f>
        <v>11526.1174797226</v>
      </c>
      <c r="J289" s="53" t="n">
        <f aca="false">IF(OR($A289&gt;TOMATO_BED_CAP,$B289&gt;CARROT_BED_CAP,J$4&gt;MESCLUN_BED_CAP,$A289+$B289+J$4&gt;TOTAL_BEDS_AVAILABLE,($D289+J$5)&gt;TOTAL_LABOR_HOURS_CAP,MAX(0,($D289+J$5)-PERMANENT_FIELD_LABOR_HOURS)&gt;TEMP_HOURS_CAP),"",$C289+J$6-MIN(($D289+J$5),PERMANENT_FIELD_LABOR_HOURS)*PERMANENT_HOURLY_RATE-MAX(0,($D289+J$5)-PERMANENT_FIELD_LABOR_HOURS)*TEMP_HOURLY_RATE-FIXED_SEASON_COST)</f>
        <v>12494.7116307773</v>
      </c>
      <c r="K289" s="53" t="n">
        <f aca="false">IF(OR($A289&gt;TOMATO_BED_CAP,$B289&gt;CARROT_BED_CAP,K$4&gt;MESCLUN_BED_CAP,$A289+$B289+K$4&gt;TOTAL_BEDS_AVAILABLE,($D289+K$5)&gt;TOTAL_LABOR_HOURS_CAP,MAX(0,($D289+K$5)-PERMANENT_FIELD_LABOR_HOURS)&gt;TEMP_HOURS_CAP),"",$C289+K$6-MIN(($D289+K$5),PERMANENT_FIELD_LABOR_HOURS)*PERMANENT_HOURLY_RATE-MAX(0,($D289+K$5)-PERMANENT_FIELD_LABOR_HOURS)*TEMP_HOURLY_RATE-FIXED_SEASON_COST)</f>
        <v>13442.4007275052</v>
      </c>
      <c r="L289" s="53" t="n">
        <f aca="false">IF(OR($A289&gt;TOMATO_BED_CAP,$B289&gt;CARROT_BED_CAP,L$4&gt;MESCLUN_BED_CAP,$A289+$B289+L$4&gt;TOTAL_BEDS_AVAILABLE,($D289+L$5)&gt;TOTAL_LABOR_HOURS_CAP,MAX(0,($D289+L$5)-PERMANENT_FIELD_LABOR_HOURS)&gt;TEMP_HOURS_CAP),"",$C289+L$6-MIN(($D289+L$5),PERMANENT_FIELD_LABOR_HOURS)*PERMANENT_HOURLY_RATE-MAX(0,($D289+L$5)-PERMANENT_FIELD_LABOR_HOURS)*TEMP_HOURLY_RATE-FIXED_SEASON_COST)</f>
        <v>14368.7951757121</v>
      </c>
      <c r="M289" s="53" t="n">
        <f aca="false">IF(OR($A289&gt;TOMATO_BED_CAP,$B289&gt;CARROT_BED_CAP,M$4&gt;MESCLUN_BED_CAP,$A289+$B289+M$4&gt;TOTAL_BEDS_AVAILABLE,($D289+M$5)&gt;TOTAL_LABOR_HOURS_CAP,MAX(0,($D289+M$5)-PERMANENT_FIELD_LABOR_HOURS)&gt;TEMP_HOURS_CAP),"",$C289+M$6-MIN(($D289+M$5),PERMANENT_FIELD_LABOR_HOURS)*PERMANENT_HOURLY_RATE-MAX(0,($D289+M$5)-PERMANENT_FIELD_LABOR_HOURS)*TEMP_HOURLY_RATE-FIXED_SEASON_COST)</f>
        <v>15273.4989077635</v>
      </c>
      <c r="N289" s="53" t="n">
        <f aca="false">IF(OR($A289&gt;TOMATO_BED_CAP,$B289&gt;CARROT_BED_CAP,N$4&gt;MESCLUN_BED_CAP,$A289+$B289+N$4&gt;TOTAL_BEDS_AVAILABLE,($D289+N$5)&gt;TOTAL_LABOR_HOURS_CAP,MAX(0,($D289+N$5)-PERMANENT_FIELD_LABOR_HOURS)&gt;TEMP_HOURS_CAP),"",$C289+N$6-MIN(($D289+N$5),PERMANENT_FIELD_LABOR_HOURS)*PERMANENT_HOURLY_RATE-MAX(0,($D289+N$5)-PERMANENT_FIELD_LABOR_HOURS)*TEMP_HOURLY_RATE-FIXED_SEASON_COST)</f>
        <v>16156.109281623</v>
      </c>
      <c r="O289" s="53" t="n">
        <f aca="false">IF(OR($A289&gt;TOMATO_BED_CAP,$B289&gt;CARROT_BED_CAP,O$4&gt;MESCLUN_BED_CAP,$A289+$B289+O$4&gt;TOTAL_BEDS_AVAILABLE,($D289+O$5)&gt;TOTAL_LABOR_HOURS_CAP,MAX(0,($D289+O$5)-PERMANENT_FIELD_LABOR_HOURS)&gt;TEMP_HOURS_CAP),"",$C289+O$6-MIN(($D289+O$5),PERMANENT_FIELD_LABOR_HOURS)*PERMANENT_HOURLY_RATE-MAX(0,($D289+O$5)-PERMANENT_FIELD_LABOR_HOURS)*TEMP_HOURLY_RATE-FIXED_SEASON_COST)</f>
        <v>17016.2169783778</v>
      </c>
      <c r="P289" s="53" t="n">
        <f aca="false">IF(OR($A289&gt;TOMATO_BED_CAP,$B289&gt;CARROT_BED_CAP,P$4&gt;MESCLUN_BED_CAP,$A289+$B289+P$4&gt;TOTAL_BEDS_AVAILABLE,($D289+P$5)&gt;TOTAL_LABOR_HOURS_CAP,MAX(0,($D289+P$5)-PERMANENT_FIELD_LABOR_HOURS)&gt;TEMP_HOURS_CAP),"",$C289+P$6-MIN(($D289+P$5),PERMANENT_FIELD_LABOR_HOURS)*PERMANENT_HOURLY_RATE-MAX(0,($D289+P$5)-PERMANENT_FIELD_LABOR_HOURS)*TEMP_HOURLY_RATE-FIXED_SEASON_COST)</f>
        <v>17853.4058982292</v>
      </c>
      <c r="Q289" s="53" t="n">
        <f aca="false">IF(OR($A289&gt;TOMATO_BED_CAP,$B289&gt;CARROT_BED_CAP,Q$4&gt;MESCLUN_BED_CAP,$A289+$B289+Q$4&gt;TOTAL_BEDS_AVAILABLE,($D289+Q$5)&gt;TOTAL_LABOR_HOURS_CAP,MAX(0,($D289+Q$5)-PERMANENT_FIELD_LABOR_HOURS)&gt;TEMP_HOURS_CAP),"",$C289+Q$6-MIN(($D289+Q$5),PERMANENT_FIELD_LABOR_HOURS)*PERMANENT_HOURLY_RATE-MAX(0,($D289+Q$5)-PERMANENT_FIELD_LABOR_HOURS)*TEMP_HOURLY_RATE-FIXED_SEASON_COST)</f>
        <v>18667.2530549271</v>
      </c>
      <c r="R289" s="53" t="n">
        <f aca="false">IF(OR($A289&gt;TOMATO_BED_CAP,$B289&gt;CARROT_BED_CAP,R$4&gt;MESCLUN_BED_CAP,$A289+$B289+R$4&gt;TOTAL_BEDS_AVAILABLE,($D289+R$5)&gt;TOTAL_LABOR_HOURS_CAP,MAX(0,($D289+R$5)-PERMANENT_FIELD_LABOR_HOURS)&gt;TEMP_HOURS_CAP),"",$C289+R$6-MIN(($D289+R$5),PERMANENT_FIELD_LABOR_HOURS)*PERMANENT_HOURLY_RATE-MAX(0,($D289+R$5)-PERMANENT_FIELD_LABOR_HOURS)*TEMP_HOURLY_RATE-FIXED_SEASON_COST)</f>
        <v>19457.3284686239</v>
      </c>
      <c r="S289" s="53" t="n">
        <f aca="false">IF(OR($A289&gt;TOMATO_BED_CAP,$B289&gt;CARROT_BED_CAP,S$4&gt;MESCLUN_BED_CAP,$A289+$B289+S$4&gt;TOTAL_BEDS_AVAILABLE,($D289+S$5)&gt;TOTAL_LABOR_HOURS_CAP,MAX(0,($D289+S$5)-PERMANENT_FIELD_LABOR_HOURS)&gt;TEMP_HOURS_CAP),"",$C289+S$6-MIN(($D289+S$5),PERMANENT_FIELD_LABOR_HOURS)*PERMANENT_HOURLY_RATE-MAX(0,($D289+S$5)-PERMANENT_FIELD_LABOR_HOURS)*TEMP_HOURLY_RATE-FIXED_SEASON_COST)</f>
        <v>20223.1950571263</v>
      </c>
      <c r="T289" s="53" t="n">
        <f aca="false">IF(OR($A289&gt;TOMATO_BED_CAP,$B289&gt;CARROT_BED_CAP,T$4&gt;MESCLUN_BED_CAP,$A289+$B289+T$4&gt;TOTAL_BEDS_AVAILABLE,($D289+T$5)&gt;TOTAL_LABOR_HOURS_CAP,MAX(0,($D289+T$5)-PERMANENT_FIELD_LABOR_HOURS)&gt;TEMP_HOURS_CAP),"",$C289+T$6-MIN(($D289+T$5),PERMANENT_FIELD_LABOR_HOURS)*PERMANENT_HOURLY_RATE-MAX(0,($D289+T$5)-PERMANENT_FIELD_LABOR_HOURS)*TEMP_HOURLY_RATE-FIXED_SEASON_COST)</f>
        <v>20964.4085255212</v>
      </c>
      <c r="U289" s="53" t="n">
        <f aca="false">IF(OR($A289&gt;TOMATO_BED_CAP,$B289&gt;CARROT_BED_CAP,U$4&gt;MESCLUN_BED_CAP,$A289+$B289+U$4&gt;TOTAL_BEDS_AVAILABLE,($D289+U$5)&gt;TOTAL_LABOR_HOURS_CAP,MAX(0,($D289+U$5)-PERMANENT_FIELD_LABOR_HOURS)&gt;TEMP_HOURS_CAP),"",$C289+U$6-MIN(($D289+U$5),PERMANENT_FIELD_LABOR_HOURS)*PERMANENT_HOURLY_RATE-MAX(0,($D289+U$5)-PERMANENT_FIELD_LABOR_HOURS)*TEMP_HOURLY_RATE-FIXED_SEASON_COST)</f>
        <v>21680.5172541513</v>
      </c>
      <c r="V289" s="53" t="n">
        <f aca="false">IF(OR($A289&gt;TOMATO_BED_CAP,$B289&gt;CARROT_BED_CAP,V$4&gt;MESCLUN_BED_CAP,$A289+$B289+V$4&gt;TOTAL_BEDS_AVAILABLE,($D289+V$5)&gt;TOTAL_LABOR_HOURS_CAP,MAX(0,($D289+V$5)-PERMANENT_FIELD_LABOR_HOURS)&gt;TEMP_HOURS_CAP),"",$C289+V$6-MIN(($D289+V$5),PERMANENT_FIELD_LABOR_HOURS)*PERMANENT_HOURLY_RATE-MAX(0,($D289+V$5)-PERMANENT_FIELD_LABOR_HOURS)*TEMP_HOURLY_RATE-FIXED_SEASON_COST)</f>
        <v>22371.0621849181</v>
      </c>
      <c r="W289" s="53" t="n">
        <f aca="false">IF(OR($A289&gt;TOMATO_BED_CAP,$B289&gt;CARROT_BED_CAP,W$4&gt;MESCLUN_BED_CAP,$A289+$B289+W$4&gt;TOTAL_BEDS_AVAILABLE,($D289+W$5)&gt;TOTAL_LABOR_HOURS_CAP,MAX(0,($D289+W$5)-PERMANENT_FIELD_LABOR_HOURS)&gt;TEMP_HOURS_CAP),"",$C289+W$6-MIN(($D289+W$5),PERMANENT_FIELD_LABOR_HOURS)*PERMANENT_HOURLY_RATE-MAX(0,($D289+W$5)-PERMANENT_FIELD_LABOR_HOURS)*TEMP_HOURLY_RATE-FIXED_SEASON_COST)</f>
        <v>23035.5767058861</v>
      </c>
      <c r="X289" s="53" t="n">
        <f aca="false">IF(OR($A289&gt;TOMATO_BED_CAP,$B289&gt;CARROT_BED_CAP,X$4&gt;MESCLUN_BED_CAP,$A289+$B289+X$4&gt;TOTAL_BEDS_AVAILABLE,($D289+X$5)&gt;TOTAL_LABOR_HOURS_CAP,MAX(0,($D289+X$5)-PERMANENT_FIELD_LABOR_HOURS)&gt;TEMP_HOURS_CAP),"",$C289+X$6-MIN(($D289+X$5),PERMANENT_FIELD_LABOR_HOURS)*PERMANENT_HOURLY_RATE-MAX(0,($D289+X$5)-PERMANENT_FIELD_LABOR_HOURS)*TEMP_HOURLY_RATE-FIXED_SEASON_COST)</f>
        <v>23673.5865341651</v>
      </c>
      <c r="Y289" s="53" t="n">
        <f aca="false">IF(OR($A289&gt;TOMATO_BED_CAP,$B289&gt;CARROT_BED_CAP,Y$4&gt;MESCLUN_BED_CAP,$A289+$B289+Y$4&gt;TOTAL_BEDS_AVAILABLE,($D289+Y$5)&gt;TOTAL_LABOR_HOURS_CAP,MAX(0,($D289+Y$5)-PERMANENT_FIELD_LABOR_HOURS)&gt;TEMP_HOURS_CAP),"",$C289+Y$6-MIN(($D289+Y$5),PERMANENT_FIELD_LABOR_HOURS)*PERMANENT_HOURLY_RATE-MAX(0,($D289+Y$5)-PERMANENT_FIELD_LABOR_HOURS)*TEMP_HOURLY_RATE-FIXED_SEASON_COST)</f>
        <v>24284.6095970437</v>
      </c>
      <c r="Z289" s="53" t="n">
        <f aca="false">IF(OR($A289&gt;TOMATO_BED_CAP,$B289&gt;CARROT_BED_CAP,Z$4&gt;MESCLUN_BED_CAP,$A289+$B289+Z$4&gt;TOTAL_BEDS_AVAILABLE,($D289+Z$5)&gt;TOTAL_LABOR_HOURS_CAP,MAX(0,($D289+Z$5)-PERMANENT_FIELD_LABOR_HOURS)&gt;TEMP_HOURS_CAP),"",$C289+Z$6-MIN(($D289+Z$5),PERMANENT_FIELD_LABOR_HOURS)*PERMANENT_HOURLY_RATE-MAX(0,($D289+Z$5)-PERMANENT_FIELD_LABOR_HOURS)*TEMP_HOURLY_RATE-FIXED_SEASON_COST)</f>
        <v>24868.1559113514</v>
      </c>
      <c r="AA289" s="53" t="n">
        <f aca="false">IF(OR($A289&gt;TOMATO_BED_CAP,$B289&gt;CARROT_BED_CAP,AA$4&gt;MESCLUN_BED_CAP,$A289+$B289+AA$4&gt;TOTAL_BEDS_AVAILABLE,($D289+AA$5)&gt;TOTAL_LABOR_HOURS_CAP,MAX(0,($D289+AA$5)-PERMANENT_FIELD_LABOR_HOURS)&gt;TEMP_HOURS_CAP),"",$C289+AA$6-MIN(($D289+AA$5),PERMANENT_FIELD_LABOR_HOURS)*PERMANENT_HOURLY_RATE-MAX(0,($D289+AA$5)-PERMANENT_FIELD_LABOR_HOURS)*TEMP_HOURLY_RATE-FIXED_SEASON_COST)</f>
        <v>25423.7274610204</v>
      </c>
      <c r="AB289" s="53" t="n">
        <f aca="false">IF(OR($A289&gt;TOMATO_BED_CAP,$B289&gt;CARROT_BED_CAP,AB$4&gt;MESCLUN_BED_CAP,$A289+$B289+AB$4&gt;TOTAL_BEDS_AVAILABLE,($D289+AB$5)&gt;TOTAL_LABOR_HOURS_CAP,MAX(0,($D289+AB$5)-PERMANENT_FIELD_LABOR_HOURS)&gt;TEMP_HOURS_CAP),"",$C289+AB$6-MIN(($D289+AB$5),PERMANENT_FIELD_LABOR_HOURS)*PERMANENT_HOURLY_RATE-MAX(0,($D289+AB$5)-PERMANENT_FIELD_LABOR_HOURS)*TEMP_HOURLY_RATE-FIXED_SEASON_COST)</f>
        <v>25950.8180728229</v>
      </c>
      <c r="AC289" s="53" t="n">
        <f aca="false">IF(OR($A289&gt;TOMATO_BED_CAP,$B289&gt;CARROT_BED_CAP,AC$4&gt;MESCLUN_BED_CAP,$A289+$B289+AC$4&gt;TOTAL_BEDS_AVAILABLE,($D289+AC$5)&gt;TOTAL_LABOR_HOURS_CAP,MAX(0,($D289+AC$5)-PERMANENT_FIELD_LABOR_HOURS)&gt;TEMP_HOURS_CAP),"",$C289+AC$6-MIN(($D289+AC$5),PERMANENT_FIELD_LABOR_HOURS)*PERMANENT_HOURLY_RATE-MAX(0,($D289+AC$5)-PERMANENT_FIELD_LABOR_HOURS)*TEMP_HOURLY_RATE-FIXED_SEASON_COST)</f>
        <v>26448.9132902578</v>
      </c>
      <c r="AD289" s="53" t="n">
        <f aca="false">IF(OR($A289&gt;TOMATO_BED_CAP,$B289&gt;CARROT_BED_CAP,AD$4&gt;MESCLUN_BED_CAP,$A289+$B289+AD$4&gt;TOTAL_BEDS_AVAILABLE,($D289+AD$5)&gt;TOTAL_LABOR_HOURS_CAP,MAX(0,($D289+AD$5)-PERMANENT_FIELD_LABOR_HOURS)&gt;TEMP_HOURS_CAP),"",$C289+AD$6-MIN(($D289+AD$5),PERMANENT_FIELD_LABOR_HOURS)*PERMANENT_HOURLY_RATE-MAX(0,($D289+AD$5)-PERMANENT_FIELD_LABOR_HOURS)*TEMP_HOURLY_RATE-FIXED_SEASON_COST)</f>
        <v>26917.4902455578</v>
      </c>
      <c r="AE289" s="53" t="n">
        <f aca="false">IF(OR($A289&gt;TOMATO_BED_CAP,$B289&gt;CARROT_BED_CAP,AE$4&gt;MESCLUN_BED_CAP,$A289+$B289+AE$4&gt;TOTAL_BEDS_AVAILABLE,($D289+AE$5)&gt;TOTAL_LABOR_HOURS_CAP,MAX(0,($D289+AE$5)-PERMANENT_FIELD_LABOR_HOURS)&gt;TEMP_HOURS_CAP),"",$C289+AE$6-MIN(($D289+AE$5),PERMANENT_FIELD_LABOR_HOURS)*PERMANENT_HOURLY_RATE-MAX(0,($D289+AE$5)-PERMANENT_FIELD_LABOR_HOURS)*TEMP_HOURLY_RATE-FIXED_SEASON_COST)</f>
        <v>27356.0175297917</v>
      </c>
      <c r="AF289" s="53" t="n">
        <f aca="false">IF(OR($A289&gt;TOMATO_BED_CAP,$B289&gt;CARROT_BED_CAP,AF$4&gt;MESCLUN_BED_CAP,$A289+$B289+AF$4&gt;TOTAL_BEDS_AVAILABLE,($D289+AF$5)&gt;TOTAL_LABOR_HOURS_CAP,MAX(0,($D289+AF$5)-PERMANENT_FIELD_LABOR_HOURS)&gt;TEMP_HOURS_CAP),"",$C289+AF$6-MIN(($D289+AF$5),PERMANENT_FIELD_LABOR_HOURS)*PERMANENT_HOURLY_RATE-MAX(0,($D289+AF$5)-PERMANENT_FIELD_LABOR_HOURS)*TEMP_HOURLY_RATE-FIXED_SEASON_COST)</f>
        <v>27763.9550610337</v>
      </c>
      <c r="AG289" s="53" t="n">
        <f aca="false">IF(OR($A289&gt;TOMATO_BED_CAP,$B289&gt;CARROT_BED_CAP,AG$4&gt;MESCLUN_BED_CAP,$A289+$B289+AG$4&gt;TOTAL_BEDS_AVAILABLE,($D289+AG$5)&gt;TOTAL_LABOR_HOURS_CAP,MAX(0,($D289+AG$5)-PERMANENT_FIELD_LABOR_HOURS)&gt;TEMP_HOURS_CAP),"",$C289+AG$6-MIN(($D289+AG$5),PERMANENT_FIELD_LABOR_HOURS)*PERMANENT_HOURLY_RATE-MAX(0,($D289+AG$5)-PERMANENT_FIELD_LABOR_HOURS)*TEMP_HOURLY_RATE-FIXED_SEASON_COST)</f>
        <v>28140.7539505707</v>
      </c>
      <c r="AH289" s="53" t="n">
        <f aca="false">IF(OR($A289&gt;TOMATO_BED_CAP,$B289&gt;CARROT_BED_CAP,AH$4&gt;MESCLUN_BED_CAP,$A289+$B289+AH$4&gt;TOTAL_BEDS_AVAILABLE,($D289+AH$5)&gt;TOTAL_LABOR_HOURS_CAP,MAX(0,($D289+AH$5)-PERMANENT_FIELD_LABOR_HOURS)&gt;TEMP_HOURS_CAP),"",$C289+AH$6-MIN(($D289+AH$5),PERMANENT_FIELD_LABOR_HOURS)*PERMANENT_HOURLY_RATE-MAX(0,($D289+AH$5)-PERMANENT_FIELD_LABOR_HOURS)*TEMP_HOURLY_RATE-FIXED_SEASON_COST)</f>
        <v>28485.8563671209</v>
      </c>
      <c r="AI289" s="53" t="n">
        <f aca="false">IF(OR($A289&gt;TOMATO_BED_CAP,$B289&gt;CARROT_BED_CAP,AI$4&gt;MESCLUN_BED_CAP,$A289+$B289+AI$4&gt;TOTAL_BEDS_AVAILABLE,($D289+AI$5)&gt;TOTAL_LABOR_HOURS_CAP,MAX(0,($D289+AI$5)-PERMANENT_FIELD_LABOR_HOURS)&gt;TEMP_HOURS_CAP),"",$C289+AI$6-MIN(($D289+AI$5),PERMANENT_FIELD_LABOR_HOURS)*PERMANENT_HOURLY_RATE-MAX(0,($D289+AI$5)-PERMANENT_FIELD_LABOR_HOURS)*TEMP_HOURLY_RATE-FIXED_SEASON_COST)</f>
        <v>28798.6953990331</v>
      </c>
      <c r="AJ289" s="53" t="n">
        <f aca="false">IF(OR($A289&gt;TOMATO_BED_CAP,$B289&gt;CARROT_BED_CAP,AJ$4&gt;MESCLUN_BED_CAP,$A289+$B289+AJ$4&gt;TOTAL_BEDS_AVAILABLE,($D289+AJ$5)&gt;TOTAL_LABOR_HOURS_CAP,MAX(0,($D289+AJ$5)-PERMANENT_FIELD_LABOR_HOURS)&gt;TEMP_HOURS_CAP),"",$C289+AJ$6-MIN(($D289+AJ$5),PERMANENT_FIELD_LABOR_HOURS)*PERMANENT_HOURLY_RATE-MAX(0,($D289+AJ$5)-PERMANENT_FIELD_LABOR_HOURS)*TEMP_HOURLY_RATE-FIXED_SEASON_COST)</f>
        <v>29078.6949144389</v>
      </c>
    </row>
    <row r="290" customFormat="false" ht="15" hidden="false" customHeight="false" outlineLevel="0" collapsed="false">
      <c r="A290" s="21" t="n">
        <f aca="false">INT((ROW()-ROW($A$8))/(20+1))</f>
        <v>13</v>
      </c>
      <c r="B290" s="21" t="n">
        <f aca="false">MOD(ROW()-ROW($A$8),20+1)</f>
        <v>9</v>
      </c>
      <c r="C290" s="13" t="n">
        <f aca="false">A290*(TOMATO_REVENUE_PER_BED-TOMATO_FERTILIZER_PER_BED)+B290*(CARROT_REVENUE_PER_BED-CARROT_FERTILIZER_PER_BED)</f>
        <v>117846</v>
      </c>
      <c r="D290" s="14" t="n">
        <f aca="false">INDEX(TOMATO_SCHED_LABOR_HRS,A290+1)+INDEX(CARROT_SCHED_LABOR_HRS,B290+1)</f>
        <v>4376.21544552505</v>
      </c>
      <c r="E290" s="13" t="n">
        <f aca="false">IF(COUNT(F290:AJ290)=0,"",MAX(F290:AJ290))</f>
        <v>29955.6891605577</v>
      </c>
      <c r="F290" s="53" t="n">
        <f aca="false">IF(OR($A290&gt;TOMATO_BED_CAP,$B290&gt;CARROT_BED_CAP,F$4&gt;MESCLUN_BED_CAP,$A290+$B290+F$4&gt;TOTAL_BEDS_AVAILABLE,($D290+F$5)&gt;TOTAL_LABOR_HOURS_CAP,MAX(0,($D290+F$5)-PERMANENT_FIELD_LABOR_HOURS)&gt;TEMP_HOURS_CAP),"",$C290+F$6-MIN(($D290+F$5),PERMANENT_FIELD_LABOR_HOURS)*PERMANENT_HOURLY_RATE-MAX(0,($D290+F$5)-PERMANENT_FIELD_LABOR_HOURS)*TEMP_HOURLY_RATE-FIXED_SEASON_COST)</f>
        <v>9375.6998656852</v>
      </c>
      <c r="G290" s="53" t="n">
        <f aca="false">IF(OR($A290&gt;TOMATO_BED_CAP,$B290&gt;CARROT_BED_CAP,G$4&gt;MESCLUN_BED_CAP,$A290+$B290+G$4&gt;TOTAL_BEDS_AVAILABLE,($D290+G$5)&gt;TOTAL_LABOR_HOURS_CAP,MAX(0,($D290+G$5)-PERMANENT_FIELD_LABOR_HOURS)&gt;TEMP_HOURS_CAP),"",$C290+G$6-MIN(($D290+G$5),PERMANENT_FIELD_LABOR_HOURS)*PERMANENT_HOURLY_RATE-MAX(0,($D290+G$5)-PERMANENT_FIELD_LABOR_HOURS)*TEMP_HOURLY_RATE-FIXED_SEASON_COST)</f>
        <v>10404.7348656852</v>
      </c>
      <c r="H290" s="53" t="n">
        <f aca="false">IF(OR($A290&gt;TOMATO_BED_CAP,$B290&gt;CARROT_BED_CAP,H$4&gt;MESCLUN_BED_CAP,$A290+$B290+H$4&gt;TOTAL_BEDS_AVAILABLE,($D290+H$5)&gt;TOTAL_LABOR_HOURS_CAP,MAX(0,($D290+H$5)-PERMANENT_FIELD_LABOR_HOURS)&gt;TEMP_HOURS_CAP),"",$C290+H$6-MIN(($D290+H$5),PERMANENT_FIELD_LABOR_HOURS)*PERMANENT_HOURLY_RATE-MAX(0,($D290+H$5)-PERMANENT_FIELD_LABOR_HOURS)*TEMP_HOURLY_RATE-FIXED_SEASON_COST)</f>
        <v>11413.9957406852</v>
      </c>
      <c r="I290" s="53" t="n">
        <f aca="false">IF(OR($A290&gt;TOMATO_BED_CAP,$B290&gt;CARROT_BED_CAP,I$4&gt;MESCLUN_BED_CAP,$A290+$B290+I$4&gt;TOTAL_BEDS_AVAILABLE,($D290+I$5)&gt;TOTAL_LABOR_HOURS_CAP,MAX(0,($D290+I$5)-PERMANENT_FIELD_LABOR_HOURS)&gt;TEMP_HOURS_CAP),"",$C290+I$6-MIN(($D290+I$5),PERMANENT_FIELD_LABOR_HOURS)*PERMANENT_HOURLY_RATE-MAX(0,($D290+I$5)-PERMANENT_FIELD_LABOR_HOURS)*TEMP_HOURLY_RATE-FIXED_SEASON_COST)</f>
        <v>12403.1117258414</v>
      </c>
      <c r="J290" s="53" t="n">
        <f aca="false">IF(OR($A290&gt;TOMATO_BED_CAP,$B290&gt;CARROT_BED_CAP,J$4&gt;MESCLUN_BED_CAP,$A290+$B290+J$4&gt;TOTAL_BEDS_AVAILABLE,($D290+J$5)&gt;TOTAL_LABOR_HOURS_CAP,MAX(0,($D290+J$5)-PERMANENT_FIELD_LABOR_HOURS)&gt;TEMP_HOURS_CAP),"",$C290+J$6-MIN(($D290+J$5),PERMANENT_FIELD_LABOR_HOURS)*PERMANENT_HOURLY_RATE-MAX(0,($D290+J$5)-PERMANENT_FIELD_LABOR_HOURS)*TEMP_HOURLY_RATE-FIXED_SEASON_COST)</f>
        <v>13371.7058768961</v>
      </c>
      <c r="K290" s="53" t="n">
        <f aca="false">IF(OR($A290&gt;TOMATO_BED_CAP,$B290&gt;CARROT_BED_CAP,K$4&gt;MESCLUN_BED_CAP,$A290+$B290+K$4&gt;TOTAL_BEDS_AVAILABLE,($D290+K$5)&gt;TOTAL_LABOR_HOURS_CAP,MAX(0,($D290+K$5)-PERMANENT_FIELD_LABOR_HOURS)&gt;TEMP_HOURS_CAP),"",$C290+K$6-MIN(($D290+K$5),PERMANENT_FIELD_LABOR_HOURS)*PERMANENT_HOURLY_RATE-MAX(0,($D290+K$5)-PERMANENT_FIELD_LABOR_HOURS)*TEMP_HOURLY_RATE-FIXED_SEASON_COST)</f>
        <v>14319.394973624</v>
      </c>
      <c r="L290" s="53" t="n">
        <f aca="false">IF(OR($A290&gt;TOMATO_BED_CAP,$B290&gt;CARROT_BED_CAP,L$4&gt;MESCLUN_BED_CAP,$A290+$B290+L$4&gt;TOTAL_BEDS_AVAILABLE,($D290+L$5)&gt;TOTAL_LABOR_HOURS_CAP,MAX(0,($D290+L$5)-PERMANENT_FIELD_LABOR_HOURS)&gt;TEMP_HOURS_CAP),"",$C290+L$6-MIN(($D290+L$5),PERMANENT_FIELD_LABOR_HOURS)*PERMANENT_HOURLY_RATE-MAX(0,($D290+L$5)-PERMANENT_FIELD_LABOR_HOURS)*TEMP_HOURLY_RATE-FIXED_SEASON_COST)</f>
        <v>15245.7894218309</v>
      </c>
      <c r="M290" s="53" t="n">
        <f aca="false">IF(OR($A290&gt;TOMATO_BED_CAP,$B290&gt;CARROT_BED_CAP,M$4&gt;MESCLUN_BED_CAP,$A290+$B290+M$4&gt;TOTAL_BEDS_AVAILABLE,($D290+M$5)&gt;TOTAL_LABOR_HOURS_CAP,MAX(0,($D290+M$5)-PERMANENT_FIELD_LABOR_HOURS)&gt;TEMP_HOURS_CAP),"",$C290+M$6-MIN(($D290+M$5),PERMANENT_FIELD_LABOR_HOURS)*PERMANENT_HOURLY_RATE-MAX(0,($D290+M$5)-PERMANENT_FIELD_LABOR_HOURS)*TEMP_HOURLY_RATE-FIXED_SEASON_COST)</f>
        <v>16150.4931538823</v>
      </c>
      <c r="N290" s="53" t="n">
        <f aca="false">IF(OR($A290&gt;TOMATO_BED_CAP,$B290&gt;CARROT_BED_CAP,N$4&gt;MESCLUN_BED_CAP,$A290+$B290+N$4&gt;TOTAL_BEDS_AVAILABLE,($D290+N$5)&gt;TOTAL_LABOR_HOURS_CAP,MAX(0,($D290+N$5)-PERMANENT_FIELD_LABOR_HOURS)&gt;TEMP_HOURS_CAP),"",$C290+N$6-MIN(($D290+N$5),PERMANENT_FIELD_LABOR_HOURS)*PERMANENT_HOURLY_RATE-MAX(0,($D290+N$5)-PERMANENT_FIELD_LABOR_HOURS)*TEMP_HOURLY_RATE-FIXED_SEASON_COST)</f>
        <v>17033.1035277419</v>
      </c>
      <c r="O290" s="53" t="n">
        <f aca="false">IF(OR($A290&gt;TOMATO_BED_CAP,$B290&gt;CARROT_BED_CAP,O$4&gt;MESCLUN_BED_CAP,$A290+$B290+O$4&gt;TOTAL_BEDS_AVAILABLE,($D290+O$5)&gt;TOTAL_LABOR_HOURS_CAP,MAX(0,($D290+O$5)-PERMANENT_FIELD_LABOR_HOURS)&gt;TEMP_HOURS_CAP),"",$C290+O$6-MIN(($D290+O$5),PERMANENT_FIELD_LABOR_HOURS)*PERMANENT_HOURLY_RATE-MAX(0,($D290+O$5)-PERMANENT_FIELD_LABOR_HOURS)*TEMP_HOURLY_RATE-FIXED_SEASON_COST)</f>
        <v>17893.2112244966</v>
      </c>
      <c r="P290" s="53" t="n">
        <f aca="false">IF(OR($A290&gt;TOMATO_BED_CAP,$B290&gt;CARROT_BED_CAP,P$4&gt;MESCLUN_BED_CAP,$A290+$B290+P$4&gt;TOTAL_BEDS_AVAILABLE,($D290+P$5)&gt;TOTAL_LABOR_HOURS_CAP,MAX(0,($D290+P$5)-PERMANENT_FIELD_LABOR_HOURS)&gt;TEMP_HOURS_CAP),"",$C290+P$6-MIN(($D290+P$5),PERMANENT_FIELD_LABOR_HOURS)*PERMANENT_HOURLY_RATE-MAX(0,($D290+P$5)-PERMANENT_FIELD_LABOR_HOURS)*TEMP_HOURLY_RATE-FIXED_SEASON_COST)</f>
        <v>18730.400144348</v>
      </c>
      <c r="Q290" s="53" t="n">
        <f aca="false">IF(OR($A290&gt;TOMATO_BED_CAP,$B290&gt;CARROT_BED_CAP,Q$4&gt;MESCLUN_BED_CAP,$A290+$B290+Q$4&gt;TOTAL_BEDS_AVAILABLE,($D290+Q$5)&gt;TOTAL_LABOR_HOURS_CAP,MAX(0,($D290+Q$5)-PERMANENT_FIELD_LABOR_HOURS)&gt;TEMP_HOURS_CAP),"",$C290+Q$6-MIN(($D290+Q$5),PERMANENT_FIELD_LABOR_HOURS)*PERMANENT_HOURLY_RATE-MAX(0,($D290+Q$5)-PERMANENT_FIELD_LABOR_HOURS)*TEMP_HOURLY_RATE-FIXED_SEASON_COST)</f>
        <v>19544.2473010459</v>
      </c>
      <c r="R290" s="53" t="n">
        <f aca="false">IF(OR($A290&gt;TOMATO_BED_CAP,$B290&gt;CARROT_BED_CAP,R$4&gt;MESCLUN_BED_CAP,$A290+$B290+R$4&gt;TOTAL_BEDS_AVAILABLE,($D290+R$5)&gt;TOTAL_LABOR_HOURS_CAP,MAX(0,($D290+R$5)-PERMANENT_FIELD_LABOR_HOURS)&gt;TEMP_HOURS_CAP),"",$C290+R$6-MIN(($D290+R$5),PERMANENT_FIELD_LABOR_HOURS)*PERMANENT_HOURLY_RATE-MAX(0,($D290+R$5)-PERMANENT_FIELD_LABOR_HOURS)*TEMP_HOURLY_RATE-FIXED_SEASON_COST)</f>
        <v>20334.3227147427</v>
      </c>
      <c r="S290" s="53" t="n">
        <f aca="false">IF(OR($A290&gt;TOMATO_BED_CAP,$B290&gt;CARROT_BED_CAP,S$4&gt;MESCLUN_BED_CAP,$A290+$B290+S$4&gt;TOTAL_BEDS_AVAILABLE,($D290+S$5)&gt;TOTAL_LABOR_HOURS_CAP,MAX(0,($D290+S$5)-PERMANENT_FIELD_LABOR_HOURS)&gt;TEMP_HOURS_CAP),"",$C290+S$6-MIN(($D290+S$5),PERMANENT_FIELD_LABOR_HOURS)*PERMANENT_HOURLY_RATE-MAX(0,($D290+S$5)-PERMANENT_FIELD_LABOR_HOURS)*TEMP_HOURLY_RATE-FIXED_SEASON_COST)</f>
        <v>21100.1893032452</v>
      </c>
      <c r="T290" s="53" t="n">
        <f aca="false">IF(OR($A290&gt;TOMATO_BED_CAP,$B290&gt;CARROT_BED_CAP,T$4&gt;MESCLUN_BED_CAP,$A290+$B290+T$4&gt;TOTAL_BEDS_AVAILABLE,($D290+T$5)&gt;TOTAL_LABOR_HOURS_CAP,MAX(0,($D290+T$5)-PERMANENT_FIELD_LABOR_HOURS)&gt;TEMP_HOURS_CAP),"",$C290+T$6-MIN(($D290+T$5),PERMANENT_FIELD_LABOR_HOURS)*PERMANENT_HOURLY_RATE-MAX(0,($D290+T$5)-PERMANENT_FIELD_LABOR_HOURS)*TEMP_HOURLY_RATE-FIXED_SEASON_COST)</f>
        <v>21841.40277164</v>
      </c>
      <c r="U290" s="53" t="n">
        <f aca="false">IF(OR($A290&gt;TOMATO_BED_CAP,$B290&gt;CARROT_BED_CAP,U$4&gt;MESCLUN_BED_CAP,$A290+$B290+U$4&gt;TOTAL_BEDS_AVAILABLE,($D290+U$5)&gt;TOTAL_LABOR_HOURS_CAP,MAX(0,($D290+U$5)-PERMANENT_FIELD_LABOR_HOURS)&gt;TEMP_HOURS_CAP),"",$C290+U$6-MIN(($D290+U$5),PERMANENT_FIELD_LABOR_HOURS)*PERMANENT_HOURLY_RATE-MAX(0,($D290+U$5)-PERMANENT_FIELD_LABOR_HOURS)*TEMP_HOURLY_RATE-FIXED_SEASON_COST)</f>
        <v>22557.5115002701</v>
      </c>
      <c r="V290" s="53" t="n">
        <f aca="false">IF(OR($A290&gt;TOMATO_BED_CAP,$B290&gt;CARROT_BED_CAP,V$4&gt;MESCLUN_BED_CAP,$A290+$B290+V$4&gt;TOTAL_BEDS_AVAILABLE,($D290+V$5)&gt;TOTAL_LABOR_HOURS_CAP,MAX(0,($D290+V$5)-PERMANENT_FIELD_LABOR_HOURS)&gt;TEMP_HOURS_CAP),"",$C290+V$6-MIN(($D290+V$5),PERMANENT_FIELD_LABOR_HOURS)*PERMANENT_HOURLY_RATE-MAX(0,($D290+V$5)-PERMANENT_FIELD_LABOR_HOURS)*TEMP_HOURLY_RATE-FIXED_SEASON_COST)</f>
        <v>23248.0564310369</v>
      </c>
      <c r="W290" s="53" t="n">
        <f aca="false">IF(OR($A290&gt;TOMATO_BED_CAP,$B290&gt;CARROT_BED_CAP,W$4&gt;MESCLUN_BED_CAP,$A290+$B290+W$4&gt;TOTAL_BEDS_AVAILABLE,($D290+W$5)&gt;TOTAL_LABOR_HOURS_CAP,MAX(0,($D290+W$5)-PERMANENT_FIELD_LABOR_HOURS)&gt;TEMP_HOURS_CAP),"",$C290+W$6-MIN(($D290+W$5),PERMANENT_FIELD_LABOR_HOURS)*PERMANENT_HOURLY_RATE-MAX(0,($D290+W$5)-PERMANENT_FIELD_LABOR_HOURS)*TEMP_HOURLY_RATE-FIXED_SEASON_COST)</f>
        <v>23912.570952005</v>
      </c>
      <c r="X290" s="53" t="n">
        <f aca="false">IF(OR($A290&gt;TOMATO_BED_CAP,$B290&gt;CARROT_BED_CAP,X$4&gt;MESCLUN_BED_CAP,$A290+$B290+X$4&gt;TOTAL_BEDS_AVAILABLE,($D290+X$5)&gt;TOTAL_LABOR_HOURS_CAP,MAX(0,($D290+X$5)-PERMANENT_FIELD_LABOR_HOURS)&gt;TEMP_HOURS_CAP),"",$C290+X$6-MIN(($D290+X$5),PERMANENT_FIELD_LABOR_HOURS)*PERMANENT_HOURLY_RATE-MAX(0,($D290+X$5)-PERMANENT_FIELD_LABOR_HOURS)*TEMP_HOURLY_RATE-FIXED_SEASON_COST)</f>
        <v>24550.5807802839</v>
      </c>
      <c r="Y290" s="53" t="n">
        <f aca="false">IF(OR($A290&gt;TOMATO_BED_CAP,$B290&gt;CARROT_BED_CAP,Y$4&gt;MESCLUN_BED_CAP,$A290+$B290+Y$4&gt;TOTAL_BEDS_AVAILABLE,($D290+Y$5)&gt;TOTAL_LABOR_HOURS_CAP,MAX(0,($D290+Y$5)-PERMANENT_FIELD_LABOR_HOURS)&gt;TEMP_HOURS_CAP),"",$C290+Y$6-MIN(($D290+Y$5),PERMANENT_FIELD_LABOR_HOURS)*PERMANENT_HOURLY_RATE-MAX(0,($D290+Y$5)-PERMANENT_FIELD_LABOR_HOURS)*TEMP_HOURLY_RATE-FIXED_SEASON_COST)</f>
        <v>25161.6038431626</v>
      </c>
      <c r="Z290" s="53" t="n">
        <f aca="false">IF(OR($A290&gt;TOMATO_BED_CAP,$B290&gt;CARROT_BED_CAP,Z$4&gt;MESCLUN_BED_CAP,$A290+$B290+Z$4&gt;TOTAL_BEDS_AVAILABLE,($D290+Z$5)&gt;TOTAL_LABOR_HOURS_CAP,MAX(0,($D290+Z$5)-PERMANENT_FIELD_LABOR_HOURS)&gt;TEMP_HOURS_CAP),"",$C290+Z$6-MIN(($D290+Z$5),PERMANENT_FIELD_LABOR_HOURS)*PERMANENT_HOURLY_RATE-MAX(0,($D290+Z$5)-PERMANENT_FIELD_LABOR_HOURS)*TEMP_HOURLY_RATE-FIXED_SEASON_COST)</f>
        <v>25745.1501574703</v>
      </c>
      <c r="AA290" s="53" t="n">
        <f aca="false">IF(OR($A290&gt;TOMATO_BED_CAP,$B290&gt;CARROT_BED_CAP,AA$4&gt;MESCLUN_BED_CAP,$A290+$B290+AA$4&gt;TOTAL_BEDS_AVAILABLE,($D290+AA$5)&gt;TOTAL_LABOR_HOURS_CAP,MAX(0,($D290+AA$5)-PERMANENT_FIELD_LABOR_HOURS)&gt;TEMP_HOURS_CAP),"",$C290+AA$6-MIN(($D290+AA$5),PERMANENT_FIELD_LABOR_HOURS)*PERMANENT_HOURLY_RATE-MAX(0,($D290+AA$5)-PERMANENT_FIELD_LABOR_HOURS)*TEMP_HOURLY_RATE-FIXED_SEASON_COST)</f>
        <v>26300.7217071392</v>
      </c>
      <c r="AB290" s="53" t="n">
        <f aca="false">IF(OR($A290&gt;TOMATO_BED_CAP,$B290&gt;CARROT_BED_CAP,AB$4&gt;MESCLUN_BED_CAP,$A290+$B290+AB$4&gt;TOTAL_BEDS_AVAILABLE,($D290+AB$5)&gt;TOTAL_LABOR_HOURS_CAP,MAX(0,($D290+AB$5)-PERMANENT_FIELD_LABOR_HOURS)&gt;TEMP_HOURS_CAP),"",$C290+AB$6-MIN(($D290+AB$5),PERMANENT_FIELD_LABOR_HOURS)*PERMANENT_HOURLY_RATE-MAX(0,($D290+AB$5)-PERMANENT_FIELD_LABOR_HOURS)*TEMP_HOURLY_RATE-FIXED_SEASON_COST)</f>
        <v>26827.8123189418</v>
      </c>
      <c r="AC290" s="53" t="n">
        <f aca="false">IF(OR($A290&gt;TOMATO_BED_CAP,$B290&gt;CARROT_BED_CAP,AC$4&gt;MESCLUN_BED_CAP,$A290+$B290+AC$4&gt;TOTAL_BEDS_AVAILABLE,($D290+AC$5)&gt;TOTAL_LABOR_HOURS_CAP,MAX(0,($D290+AC$5)-PERMANENT_FIELD_LABOR_HOURS)&gt;TEMP_HOURS_CAP),"",$C290+AC$6-MIN(($D290+AC$5),PERMANENT_FIELD_LABOR_HOURS)*PERMANENT_HOURLY_RATE-MAX(0,($D290+AC$5)-PERMANENT_FIELD_LABOR_HOURS)*TEMP_HOURLY_RATE-FIXED_SEASON_COST)</f>
        <v>27325.9075363767</v>
      </c>
      <c r="AD290" s="53" t="n">
        <f aca="false">IF(OR($A290&gt;TOMATO_BED_CAP,$B290&gt;CARROT_BED_CAP,AD$4&gt;MESCLUN_BED_CAP,$A290+$B290+AD$4&gt;TOTAL_BEDS_AVAILABLE,($D290+AD$5)&gt;TOTAL_LABOR_HOURS_CAP,MAX(0,($D290+AD$5)-PERMANENT_FIELD_LABOR_HOURS)&gt;TEMP_HOURS_CAP),"",$C290+AD$6-MIN(($D290+AD$5),PERMANENT_FIELD_LABOR_HOURS)*PERMANENT_HOURLY_RATE-MAX(0,($D290+AD$5)-PERMANENT_FIELD_LABOR_HOURS)*TEMP_HOURLY_RATE-FIXED_SEASON_COST)</f>
        <v>27794.4844916766</v>
      </c>
      <c r="AE290" s="53" t="n">
        <f aca="false">IF(OR($A290&gt;TOMATO_BED_CAP,$B290&gt;CARROT_BED_CAP,AE$4&gt;MESCLUN_BED_CAP,$A290+$B290+AE$4&gt;TOTAL_BEDS_AVAILABLE,($D290+AE$5)&gt;TOTAL_LABOR_HOURS_CAP,MAX(0,($D290+AE$5)-PERMANENT_FIELD_LABOR_HOURS)&gt;TEMP_HOURS_CAP),"",$C290+AE$6-MIN(($D290+AE$5),PERMANENT_FIELD_LABOR_HOURS)*PERMANENT_HOURLY_RATE-MAX(0,($D290+AE$5)-PERMANENT_FIELD_LABOR_HOURS)*TEMP_HOURLY_RATE-FIXED_SEASON_COST)</f>
        <v>28233.0117759105</v>
      </c>
      <c r="AF290" s="53" t="n">
        <f aca="false">IF(OR($A290&gt;TOMATO_BED_CAP,$B290&gt;CARROT_BED_CAP,AF$4&gt;MESCLUN_BED_CAP,$A290+$B290+AF$4&gt;TOTAL_BEDS_AVAILABLE,($D290+AF$5)&gt;TOTAL_LABOR_HOURS_CAP,MAX(0,($D290+AF$5)-PERMANENT_FIELD_LABOR_HOURS)&gt;TEMP_HOURS_CAP),"",$C290+AF$6-MIN(($D290+AF$5),PERMANENT_FIELD_LABOR_HOURS)*PERMANENT_HOURLY_RATE-MAX(0,($D290+AF$5)-PERMANENT_FIELD_LABOR_HOURS)*TEMP_HOURLY_RATE-FIXED_SEASON_COST)</f>
        <v>28640.9493071525</v>
      </c>
      <c r="AG290" s="53" t="n">
        <f aca="false">IF(OR($A290&gt;TOMATO_BED_CAP,$B290&gt;CARROT_BED_CAP,AG$4&gt;MESCLUN_BED_CAP,$A290+$B290+AG$4&gt;TOTAL_BEDS_AVAILABLE,($D290+AG$5)&gt;TOTAL_LABOR_HOURS_CAP,MAX(0,($D290+AG$5)-PERMANENT_FIELD_LABOR_HOURS)&gt;TEMP_HOURS_CAP),"",$C290+AG$6-MIN(($D290+AG$5),PERMANENT_FIELD_LABOR_HOURS)*PERMANENT_HOURLY_RATE-MAX(0,($D290+AG$5)-PERMANENT_FIELD_LABOR_HOURS)*TEMP_HOURLY_RATE-FIXED_SEASON_COST)</f>
        <v>29017.7481966895</v>
      </c>
      <c r="AH290" s="53" t="n">
        <f aca="false">IF(OR($A290&gt;TOMATO_BED_CAP,$B290&gt;CARROT_BED_CAP,AH$4&gt;MESCLUN_BED_CAP,$A290+$B290+AH$4&gt;TOTAL_BEDS_AVAILABLE,($D290+AH$5)&gt;TOTAL_LABOR_HOURS_CAP,MAX(0,($D290+AH$5)-PERMANENT_FIELD_LABOR_HOURS)&gt;TEMP_HOURS_CAP),"",$C290+AH$6-MIN(($D290+AH$5),PERMANENT_FIELD_LABOR_HOURS)*PERMANENT_HOURLY_RATE-MAX(0,($D290+AH$5)-PERMANENT_FIELD_LABOR_HOURS)*TEMP_HOURLY_RATE-FIXED_SEASON_COST)</f>
        <v>29362.8506132397</v>
      </c>
      <c r="AI290" s="53" t="n">
        <f aca="false">IF(OR($A290&gt;TOMATO_BED_CAP,$B290&gt;CARROT_BED_CAP,AI$4&gt;MESCLUN_BED_CAP,$A290+$B290+AI$4&gt;TOTAL_BEDS_AVAILABLE,($D290+AI$5)&gt;TOTAL_LABOR_HOURS_CAP,MAX(0,($D290+AI$5)-PERMANENT_FIELD_LABOR_HOURS)&gt;TEMP_HOURS_CAP),"",$C290+AI$6-MIN(($D290+AI$5),PERMANENT_FIELD_LABOR_HOURS)*PERMANENT_HOURLY_RATE-MAX(0,($D290+AI$5)-PERMANENT_FIELD_LABOR_HOURS)*TEMP_HOURLY_RATE-FIXED_SEASON_COST)</f>
        <v>29675.689645152</v>
      </c>
      <c r="AJ290" s="53" t="n">
        <f aca="false">IF(OR($A290&gt;TOMATO_BED_CAP,$B290&gt;CARROT_BED_CAP,AJ$4&gt;MESCLUN_BED_CAP,$A290+$B290+AJ$4&gt;TOTAL_BEDS_AVAILABLE,($D290+AJ$5)&gt;TOTAL_LABOR_HOURS_CAP,MAX(0,($D290+AJ$5)-PERMANENT_FIELD_LABOR_HOURS)&gt;TEMP_HOURS_CAP),"",$C290+AJ$6-MIN(($D290+AJ$5),PERMANENT_FIELD_LABOR_HOURS)*PERMANENT_HOURLY_RATE-MAX(0,($D290+AJ$5)-PERMANENT_FIELD_LABOR_HOURS)*TEMP_HOURLY_RATE-FIXED_SEASON_COST)</f>
        <v>29955.6891605577</v>
      </c>
    </row>
    <row r="291" customFormat="false" ht="15" hidden="false" customHeight="false" outlineLevel="0" collapsed="false">
      <c r="A291" s="21" t="n">
        <f aca="false">INT((ROW()-ROW($A$8))/(20+1))</f>
        <v>13</v>
      </c>
      <c r="B291" s="21" t="n">
        <f aca="false">MOD(ROW()-ROW($A$8),20+1)</f>
        <v>10</v>
      </c>
      <c r="C291" s="13" t="n">
        <f aca="false">A291*(TOMATO_REVENUE_PER_BED-TOMATO_FERTILIZER_PER_BED)+B291*(CARROT_REVENUE_PER_BED-CARROT_FERTILIZER_PER_BED)</f>
        <v>119500</v>
      </c>
      <c r="D291" s="14" t="n">
        <f aca="false">INDEX(TOMATO_SCHED_LABOR_HRS,A291+1)+INDEX(CARROT_SCHED_LABOR_HRS,B291+1)</f>
        <v>4423.02907395354</v>
      </c>
      <c r="E291" s="13" t="n">
        <f aca="false">IF(COUNT(F291:AJ291)=0,"",MAX(F291:AJ291))</f>
        <v>30797.0045710392</v>
      </c>
      <c r="F291" s="53" t="n">
        <f aca="false">IF(OR($A291&gt;TOMATO_BED_CAP,$B291&gt;CARROT_BED_CAP,F$4&gt;MESCLUN_BED_CAP,$A291+$B291+F$4&gt;TOTAL_BEDS_AVAILABLE,($D291+F$5)&gt;TOTAL_LABOR_HOURS_CAP,MAX(0,($D291+F$5)-PERMANENT_FIELD_LABOR_HOURS)&gt;TEMP_HOURS_CAP),"",$C291+F$6-MIN(($D291+F$5),PERMANENT_FIELD_LABOR_HOURS)*PERMANENT_HOURLY_RATE-MAX(0,($D291+F$5)-PERMANENT_FIELD_LABOR_HOURS)*TEMP_HOURLY_RATE-FIXED_SEASON_COST)</f>
        <v>10217.0152761666</v>
      </c>
      <c r="G291" s="53" t="n">
        <f aca="false">IF(OR($A291&gt;TOMATO_BED_CAP,$B291&gt;CARROT_BED_CAP,G$4&gt;MESCLUN_BED_CAP,$A291+$B291+G$4&gt;TOTAL_BEDS_AVAILABLE,($D291+G$5)&gt;TOTAL_LABOR_HOURS_CAP,MAX(0,($D291+G$5)-PERMANENT_FIELD_LABOR_HOURS)&gt;TEMP_HOURS_CAP),"",$C291+G$6-MIN(($D291+G$5),PERMANENT_FIELD_LABOR_HOURS)*PERMANENT_HOURLY_RATE-MAX(0,($D291+G$5)-PERMANENT_FIELD_LABOR_HOURS)*TEMP_HOURLY_RATE-FIXED_SEASON_COST)</f>
        <v>11246.0502761666</v>
      </c>
      <c r="H291" s="53" t="n">
        <f aca="false">IF(OR($A291&gt;TOMATO_BED_CAP,$B291&gt;CARROT_BED_CAP,H$4&gt;MESCLUN_BED_CAP,$A291+$B291+H$4&gt;TOTAL_BEDS_AVAILABLE,($D291+H$5)&gt;TOTAL_LABOR_HOURS_CAP,MAX(0,($D291+H$5)-PERMANENT_FIELD_LABOR_HOURS)&gt;TEMP_HOURS_CAP),"",$C291+H$6-MIN(($D291+H$5),PERMANENT_FIELD_LABOR_HOURS)*PERMANENT_HOURLY_RATE-MAX(0,($D291+H$5)-PERMANENT_FIELD_LABOR_HOURS)*TEMP_HOURLY_RATE-FIXED_SEASON_COST)</f>
        <v>12255.3111511666</v>
      </c>
      <c r="I291" s="53" t="n">
        <f aca="false">IF(OR($A291&gt;TOMATO_BED_CAP,$B291&gt;CARROT_BED_CAP,I$4&gt;MESCLUN_BED_CAP,$A291+$B291+I$4&gt;TOTAL_BEDS_AVAILABLE,($D291+I$5)&gt;TOTAL_LABOR_HOURS_CAP,MAX(0,($D291+I$5)-PERMANENT_FIELD_LABOR_HOURS)&gt;TEMP_HOURS_CAP),"",$C291+I$6-MIN(($D291+I$5),PERMANENT_FIELD_LABOR_HOURS)*PERMANENT_HOURLY_RATE-MAX(0,($D291+I$5)-PERMANENT_FIELD_LABOR_HOURS)*TEMP_HOURLY_RATE-FIXED_SEASON_COST)</f>
        <v>13244.4271363229</v>
      </c>
      <c r="J291" s="53" t="n">
        <f aca="false">IF(OR($A291&gt;TOMATO_BED_CAP,$B291&gt;CARROT_BED_CAP,J$4&gt;MESCLUN_BED_CAP,$A291+$B291+J$4&gt;TOTAL_BEDS_AVAILABLE,($D291+J$5)&gt;TOTAL_LABOR_HOURS_CAP,MAX(0,($D291+J$5)-PERMANENT_FIELD_LABOR_HOURS)&gt;TEMP_HOURS_CAP),"",$C291+J$6-MIN(($D291+J$5),PERMANENT_FIELD_LABOR_HOURS)*PERMANENT_HOURLY_RATE-MAX(0,($D291+J$5)-PERMANENT_FIELD_LABOR_HOURS)*TEMP_HOURLY_RATE-FIXED_SEASON_COST)</f>
        <v>14213.0212873776</v>
      </c>
      <c r="K291" s="53" t="n">
        <f aca="false">IF(OR($A291&gt;TOMATO_BED_CAP,$B291&gt;CARROT_BED_CAP,K$4&gt;MESCLUN_BED_CAP,$A291+$B291+K$4&gt;TOTAL_BEDS_AVAILABLE,($D291+K$5)&gt;TOTAL_LABOR_HOURS_CAP,MAX(0,($D291+K$5)-PERMANENT_FIELD_LABOR_HOURS)&gt;TEMP_HOURS_CAP),"",$C291+K$6-MIN(($D291+K$5),PERMANENT_FIELD_LABOR_HOURS)*PERMANENT_HOURLY_RATE-MAX(0,($D291+K$5)-PERMANENT_FIELD_LABOR_HOURS)*TEMP_HOURLY_RATE-FIXED_SEASON_COST)</f>
        <v>15160.7103841055</v>
      </c>
      <c r="L291" s="53" t="n">
        <f aca="false">IF(OR($A291&gt;TOMATO_BED_CAP,$B291&gt;CARROT_BED_CAP,L$4&gt;MESCLUN_BED_CAP,$A291+$B291+L$4&gt;TOTAL_BEDS_AVAILABLE,($D291+L$5)&gt;TOTAL_LABOR_HOURS_CAP,MAX(0,($D291+L$5)-PERMANENT_FIELD_LABOR_HOURS)&gt;TEMP_HOURS_CAP),"",$C291+L$6-MIN(($D291+L$5),PERMANENT_FIELD_LABOR_HOURS)*PERMANENT_HOURLY_RATE-MAX(0,($D291+L$5)-PERMANENT_FIELD_LABOR_HOURS)*TEMP_HOURLY_RATE-FIXED_SEASON_COST)</f>
        <v>16087.1048323123</v>
      </c>
      <c r="M291" s="53" t="n">
        <f aca="false">IF(OR($A291&gt;TOMATO_BED_CAP,$B291&gt;CARROT_BED_CAP,M$4&gt;MESCLUN_BED_CAP,$A291+$B291+M$4&gt;TOTAL_BEDS_AVAILABLE,($D291+M$5)&gt;TOTAL_LABOR_HOURS_CAP,MAX(0,($D291+M$5)-PERMANENT_FIELD_LABOR_HOURS)&gt;TEMP_HOURS_CAP),"",$C291+M$6-MIN(($D291+M$5),PERMANENT_FIELD_LABOR_HOURS)*PERMANENT_HOURLY_RATE-MAX(0,($D291+M$5)-PERMANENT_FIELD_LABOR_HOURS)*TEMP_HOURLY_RATE-FIXED_SEASON_COST)</f>
        <v>16991.8085643637</v>
      </c>
      <c r="N291" s="53" t="n">
        <f aca="false">IF(OR($A291&gt;TOMATO_BED_CAP,$B291&gt;CARROT_BED_CAP,N$4&gt;MESCLUN_BED_CAP,$A291+$B291+N$4&gt;TOTAL_BEDS_AVAILABLE,($D291+N$5)&gt;TOTAL_LABOR_HOURS_CAP,MAX(0,($D291+N$5)-PERMANENT_FIELD_LABOR_HOURS)&gt;TEMP_HOURS_CAP),"",$C291+N$6-MIN(($D291+N$5),PERMANENT_FIELD_LABOR_HOURS)*PERMANENT_HOURLY_RATE-MAX(0,($D291+N$5)-PERMANENT_FIELD_LABOR_HOURS)*TEMP_HOURLY_RATE-FIXED_SEASON_COST)</f>
        <v>17874.4189382233</v>
      </c>
      <c r="O291" s="53" t="n">
        <f aca="false">IF(OR($A291&gt;TOMATO_BED_CAP,$B291&gt;CARROT_BED_CAP,O$4&gt;MESCLUN_BED_CAP,$A291+$B291+O$4&gt;TOTAL_BEDS_AVAILABLE,($D291+O$5)&gt;TOTAL_LABOR_HOURS_CAP,MAX(0,($D291+O$5)-PERMANENT_FIELD_LABOR_HOURS)&gt;TEMP_HOURS_CAP),"",$C291+O$6-MIN(($D291+O$5),PERMANENT_FIELD_LABOR_HOURS)*PERMANENT_HOURLY_RATE-MAX(0,($D291+O$5)-PERMANENT_FIELD_LABOR_HOURS)*TEMP_HOURLY_RATE-FIXED_SEASON_COST)</f>
        <v>18734.526634978</v>
      </c>
      <c r="P291" s="53" t="n">
        <f aca="false">IF(OR($A291&gt;TOMATO_BED_CAP,$B291&gt;CARROT_BED_CAP,P$4&gt;MESCLUN_BED_CAP,$A291+$B291+P$4&gt;TOTAL_BEDS_AVAILABLE,($D291+P$5)&gt;TOTAL_LABOR_HOURS_CAP,MAX(0,($D291+P$5)-PERMANENT_FIELD_LABOR_HOURS)&gt;TEMP_HOURS_CAP),"",$C291+P$6-MIN(($D291+P$5),PERMANENT_FIELD_LABOR_HOURS)*PERMANENT_HOURLY_RATE-MAX(0,($D291+P$5)-PERMANENT_FIELD_LABOR_HOURS)*TEMP_HOURLY_RATE-FIXED_SEASON_COST)</f>
        <v>19571.7155548295</v>
      </c>
      <c r="Q291" s="53" t="n">
        <f aca="false">IF(OR($A291&gt;TOMATO_BED_CAP,$B291&gt;CARROT_BED_CAP,Q$4&gt;MESCLUN_BED_CAP,$A291+$B291+Q$4&gt;TOTAL_BEDS_AVAILABLE,($D291+Q$5)&gt;TOTAL_LABOR_HOURS_CAP,MAX(0,($D291+Q$5)-PERMANENT_FIELD_LABOR_HOURS)&gt;TEMP_HOURS_CAP),"",$C291+Q$6-MIN(($D291+Q$5),PERMANENT_FIELD_LABOR_HOURS)*PERMANENT_HOURLY_RATE-MAX(0,($D291+Q$5)-PERMANENT_FIELD_LABOR_HOURS)*TEMP_HOURLY_RATE-FIXED_SEASON_COST)</f>
        <v>20385.5627115274</v>
      </c>
      <c r="R291" s="53" t="n">
        <f aca="false">IF(OR($A291&gt;TOMATO_BED_CAP,$B291&gt;CARROT_BED_CAP,R$4&gt;MESCLUN_BED_CAP,$A291+$B291+R$4&gt;TOTAL_BEDS_AVAILABLE,($D291+R$5)&gt;TOTAL_LABOR_HOURS_CAP,MAX(0,($D291+R$5)-PERMANENT_FIELD_LABOR_HOURS)&gt;TEMP_HOURS_CAP),"",$C291+R$6-MIN(($D291+R$5),PERMANENT_FIELD_LABOR_HOURS)*PERMANENT_HOURLY_RATE-MAX(0,($D291+R$5)-PERMANENT_FIELD_LABOR_HOURS)*TEMP_HOURLY_RATE-FIXED_SEASON_COST)</f>
        <v>21175.6381252242</v>
      </c>
      <c r="S291" s="53" t="n">
        <f aca="false">IF(OR($A291&gt;TOMATO_BED_CAP,$B291&gt;CARROT_BED_CAP,S$4&gt;MESCLUN_BED_CAP,$A291+$B291+S$4&gt;TOTAL_BEDS_AVAILABLE,($D291+S$5)&gt;TOTAL_LABOR_HOURS_CAP,MAX(0,($D291+S$5)-PERMANENT_FIELD_LABOR_HOURS)&gt;TEMP_HOURS_CAP),"",$C291+S$6-MIN(($D291+S$5),PERMANENT_FIELD_LABOR_HOURS)*PERMANENT_HOURLY_RATE-MAX(0,($D291+S$5)-PERMANENT_FIELD_LABOR_HOURS)*TEMP_HOURLY_RATE-FIXED_SEASON_COST)</f>
        <v>21941.5047137266</v>
      </c>
      <c r="T291" s="53" t="n">
        <f aca="false">IF(OR($A291&gt;TOMATO_BED_CAP,$B291&gt;CARROT_BED_CAP,T$4&gt;MESCLUN_BED_CAP,$A291+$B291+T$4&gt;TOTAL_BEDS_AVAILABLE,($D291+T$5)&gt;TOTAL_LABOR_HOURS_CAP,MAX(0,($D291+T$5)-PERMANENT_FIELD_LABOR_HOURS)&gt;TEMP_HOURS_CAP),"",$C291+T$6-MIN(($D291+T$5),PERMANENT_FIELD_LABOR_HOURS)*PERMANENT_HOURLY_RATE-MAX(0,($D291+T$5)-PERMANENT_FIELD_LABOR_HOURS)*TEMP_HOURLY_RATE-FIXED_SEASON_COST)</f>
        <v>22682.7181821215</v>
      </c>
      <c r="U291" s="53" t="n">
        <f aca="false">IF(OR($A291&gt;TOMATO_BED_CAP,$B291&gt;CARROT_BED_CAP,U$4&gt;MESCLUN_BED_CAP,$A291+$B291+U$4&gt;TOTAL_BEDS_AVAILABLE,($D291+U$5)&gt;TOTAL_LABOR_HOURS_CAP,MAX(0,($D291+U$5)-PERMANENT_FIELD_LABOR_HOURS)&gt;TEMP_HOURS_CAP),"",$C291+U$6-MIN(($D291+U$5),PERMANENT_FIELD_LABOR_HOURS)*PERMANENT_HOURLY_RATE-MAX(0,($D291+U$5)-PERMANENT_FIELD_LABOR_HOURS)*TEMP_HOURLY_RATE-FIXED_SEASON_COST)</f>
        <v>23398.8269107516</v>
      </c>
      <c r="V291" s="53" t="n">
        <f aca="false">IF(OR($A291&gt;TOMATO_BED_CAP,$B291&gt;CARROT_BED_CAP,V$4&gt;MESCLUN_BED_CAP,$A291+$B291+V$4&gt;TOTAL_BEDS_AVAILABLE,($D291+V$5)&gt;TOTAL_LABOR_HOURS_CAP,MAX(0,($D291+V$5)-PERMANENT_FIELD_LABOR_HOURS)&gt;TEMP_HOURS_CAP),"",$C291+V$6-MIN(($D291+V$5),PERMANENT_FIELD_LABOR_HOURS)*PERMANENT_HOURLY_RATE-MAX(0,($D291+V$5)-PERMANENT_FIELD_LABOR_HOURS)*TEMP_HOURLY_RATE-FIXED_SEASON_COST)</f>
        <v>24089.3718415183</v>
      </c>
      <c r="W291" s="53" t="n">
        <f aca="false">IF(OR($A291&gt;TOMATO_BED_CAP,$B291&gt;CARROT_BED_CAP,W$4&gt;MESCLUN_BED_CAP,$A291+$B291+W$4&gt;TOTAL_BEDS_AVAILABLE,($D291+W$5)&gt;TOTAL_LABOR_HOURS_CAP,MAX(0,($D291+W$5)-PERMANENT_FIELD_LABOR_HOURS)&gt;TEMP_HOURS_CAP),"",$C291+W$6-MIN(($D291+W$5),PERMANENT_FIELD_LABOR_HOURS)*PERMANENT_HOURLY_RATE-MAX(0,($D291+W$5)-PERMANENT_FIELD_LABOR_HOURS)*TEMP_HOURLY_RATE-FIXED_SEASON_COST)</f>
        <v>24753.8863624864</v>
      </c>
      <c r="X291" s="53" t="n">
        <f aca="false">IF(OR($A291&gt;TOMATO_BED_CAP,$B291&gt;CARROT_BED_CAP,X$4&gt;MESCLUN_BED_CAP,$A291+$B291+X$4&gt;TOTAL_BEDS_AVAILABLE,($D291+X$5)&gt;TOTAL_LABOR_HOURS_CAP,MAX(0,($D291+X$5)-PERMANENT_FIELD_LABOR_HOURS)&gt;TEMP_HOURS_CAP),"",$C291+X$6-MIN(($D291+X$5),PERMANENT_FIELD_LABOR_HOURS)*PERMANENT_HOURLY_RATE-MAX(0,($D291+X$5)-PERMANENT_FIELD_LABOR_HOURS)*TEMP_HOURLY_RATE-FIXED_SEASON_COST)</f>
        <v>25391.8961907653</v>
      </c>
      <c r="Y291" s="53" t="n">
        <f aca="false">IF(OR($A291&gt;TOMATO_BED_CAP,$B291&gt;CARROT_BED_CAP,Y$4&gt;MESCLUN_BED_CAP,$A291+$B291+Y$4&gt;TOTAL_BEDS_AVAILABLE,($D291+Y$5)&gt;TOTAL_LABOR_HOURS_CAP,MAX(0,($D291+Y$5)-PERMANENT_FIELD_LABOR_HOURS)&gt;TEMP_HOURS_CAP),"",$C291+Y$6-MIN(($D291+Y$5),PERMANENT_FIELD_LABOR_HOURS)*PERMANENT_HOURLY_RATE-MAX(0,($D291+Y$5)-PERMANENT_FIELD_LABOR_HOURS)*TEMP_HOURLY_RATE-FIXED_SEASON_COST)</f>
        <v>26002.919253644</v>
      </c>
      <c r="Z291" s="53" t="n">
        <f aca="false">IF(OR($A291&gt;TOMATO_BED_CAP,$B291&gt;CARROT_BED_CAP,Z$4&gt;MESCLUN_BED_CAP,$A291+$B291+Z$4&gt;TOTAL_BEDS_AVAILABLE,($D291+Z$5)&gt;TOTAL_LABOR_HOURS_CAP,MAX(0,($D291+Z$5)-PERMANENT_FIELD_LABOR_HOURS)&gt;TEMP_HOURS_CAP),"",$C291+Z$6-MIN(($D291+Z$5),PERMANENT_FIELD_LABOR_HOURS)*PERMANENT_HOURLY_RATE-MAX(0,($D291+Z$5)-PERMANENT_FIELD_LABOR_HOURS)*TEMP_HOURLY_RATE-FIXED_SEASON_COST)</f>
        <v>26586.4655679517</v>
      </c>
      <c r="AA291" s="53" t="n">
        <f aca="false">IF(OR($A291&gt;TOMATO_BED_CAP,$B291&gt;CARROT_BED_CAP,AA$4&gt;MESCLUN_BED_CAP,$A291+$B291+AA$4&gt;TOTAL_BEDS_AVAILABLE,($D291+AA$5)&gt;TOTAL_LABOR_HOURS_CAP,MAX(0,($D291+AA$5)-PERMANENT_FIELD_LABOR_HOURS)&gt;TEMP_HOURS_CAP),"",$C291+AA$6-MIN(($D291+AA$5),PERMANENT_FIELD_LABOR_HOURS)*PERMANENT_HOURLY_RATE-MAX(0,($D291+AA$5)-PERMANENT_FIELD_LABOR_HOURS)*TEMP_HOURLY_RATE-FIXED_SEASON_COST)</f>
        <v>27142.0371176207</v>
      </c>
      <c r="AB291" s="53" t="n">
        <f aca="false">IF(OR($A291&gt;TOMATO_BED_CAP,$B291&gt;CARROT_BED_CAP,AB$4&gt;MESCLUN_BED_CAP,$A291+$B291+AB$4&gt;TOTAL_BEDS_AVAILABLE,($D291+AB$5)&gt;TOTAL_LABOR_HOURS_CAP,MAX(0,($D291+AB$5)-PERMANENT_FIELD_LABOR_HOURS)&gt;TEMP_HOURS_CAP),"",$C291+AB$6-MIN(($D291+AB$5),PERMANENT_FIELD_LABOR_HOURS)*PERMANENT_HOURLY_RATE-MAX(0,($D291+AB$5)-PERMANENT_FIELD_LABOR_HOURS)*TEMP_HOURLY_RATE-FIXED_SEASON_COST)</f>
        <v>27669.1277294232</v>
      </c>
      <c r="AC291" s="53" t="n">
        <f aca="false">IF(OR($A291&gt;TOMATO_BED_CAP,$B291&gt;CARROT_BED_CAP,AC$4&gt;MESCLUN_BED_CAP,$A291+$B291+AC$4&gt;TOTAL_BEDS_AVAILABLE,($D291+AC$5)&gt;TOTAL_LABOR_HOURS_CAP,MAX(0,($D291+AC$5)-PERMANENT_FIELD_LABOR_HOURS)&gt;TEMP_HOURS_CAP),"",$C291+AC$6-MIN(($D291+AC$5),PERMANENT_FIELD_LABOR_HOURS)*PERMANENT_HOURLY_RATE-MAX(0,($D291+AC$5)-PERMANENT_FIELD_LABOR_HOURS)*TEMP_HOURLY_RATE-FIXED_SEASON_COST)</f>
        <v>28167.2229468581</v>
      </c>
      <c r="AD291" s="53" t="n">
        <f aca="false">IF(OR($A291&gt;TOMATO_BED_CAP,$B291&gt;CARROT_BED_CAP,AD$4&gt;MESCLUN_BED_CAP,$A291+$B291+AD$4&gt;TOTAL_BEDS_AVAILABLE,($D291+AD$5)&gt;TOTAL_LABOR_HOURS_CAP,MAX(0,($D291+AD$5)-PERMANENT_FIELD_LABOR_HOURS)&gt;TEMP_HOURS_CAP),"",$C291+AD$6-MIN(($D291+AD$5),PERMANENT_FIELD_LABOR_HOURS)*PERMANENT_HOURLY_RATE-MAX(0,($D291+AD$5)-PERMANENT_FIELD_LABOR_HOURS)*TEMP_HOURLY_RATE-FIXED_SEASON_COST)</f>
        <v>28635.7999021581</v>
      </c>
      <c r="AE291" s="53" t="n">
        <f aca="false">IF(OR($A291&gt;TOMATO_BED_CAP,$B291&gt;CARROT_BED_CAP,AE$4&gt;MESCLUN_BED_CAP,$A291+$B291+AE$4&gt;TOTAL_BEDS_AVAILABLE,($D291+AE$5)&gt;TOTAL_LABOR_HOURS_CAP,MAX(0,($D291+AE$5)-PERMANENT_FIELD_LABOR_HOURS)&gt;TEMP_HOURS_CAP),"",$C291+AE$6-MIN(($D291+AE$5),PERMANENT_FIELD_LABOR_HOURS)*PERMANENT_HOURLY_RATE-MAX(0,($D291+AE$5)-PERMANENT_FIELD_LABOR_HOURS)*TEMP_HOURLY_RATE-FIXED_SEASON_COST)</f>
        <v>29074.327186392</v>
      </c>
      <c r="AF291" s="53" t="n">
        <f aca="false">IF(OR($A291&gt;TOMATO_BED_CAP,$B291&gt;CARROT_BED_CAP,AF$4&gt;MESCLUN_BED_CAP,$A291+$B291+AF$4&gt;TOTAL_BEDS_AVAILABLE,($D291+AF$5)&gt;TOTAL_LABOR_HOURS_CAP,MAX(0,($D291+AF$5)-PERMANENT_FIELD_LABOR_HOURS)&gt;TEMP_HOURS_CAP),"",$C291+AF$6-MIN(($D291+AF$5),PERMANENT_FIELD_LABOR_HOURS)*PERMANENT_HOURLY_RATE-MAX(0,($D291+AF$5)-PERMANENT_FIELD_LABOR_HOURS)*TEMP_HOURLY_RATE-FIXED_SEASON_COST)</f>
        <v>29482.2647176339</v>
      </c>
      <c r="AG291" s="53" t="n">
        <f aca="false">IF(OR($A291&gt;TOMATO_BED_CAP,$B291&gt;CARROT_BED_CAP,AG$4&gt;MESCLUN_BED_CAP,$A291+$B291+AG$4&gt;TOTAL_BEDS_AVAILABLE,($D291+AG$5)&gt;TOTAL_LABOR_HOURS_CAP,MAX(0,($D291+AG$5)-PERMANENT_FIELD_LABOR_HOURS)&gt;TEMP_HOURS_CAP),"",$C291+AG$6-MIN(($D291+AG$5),PERMANENT_FIELD_LABOR_HOURS)*PERMANENT_HOURLY_RATE-MAX(0,($D291+AG$5)-PERMANENT_FIELD_LABOR_HOURS)*TEMP_HOURLY_RATE-FIXED_SEASON_COST)</f>
        <v>29859.0636071709</v>
      </c>
      <c r="AH291" s="53" t="n">
        <f aca="false">IF(OR($A291&gt;TOMATO_BED_CAP,$B291&gt;CARROT_BED_CAP,AH$4&gt;MESCLUN_BED_CAP,$A291+$B291+AH$4&gt;TOTAL_BEDS_AVAILABLE,($D291+AH$5)&gt;TOTAL_LABOR_HOURS_CAP,MAX(0,($D291+AH$5)-PERMANENT_FIELD_LABOR_HOURS)&gt;TEMP_HOURS_CAP),"",$C291+AH$6-MIN(($D291+AH$5),PERMANENT_FIELD_LABOR_HOURS)*PERMANENT_HOURLY_RATE-MAX(0,($D291+AH$5)-PERMANENT_FIELD_LABOR_HOURS)*TEMP_HOURLY_RATE-FIXED_SEASON_COST)</f>
        <v>30204.1660237212</v>
      </c>
      <c r="AI291" s="53" t="n">
        <f aca="false">IF(OR($A291&gt;TOMATO_BED_CAP,$B291&gt;CARROT_BED_CAP,AI$4&gt;MESCLUN_BED_CAP,$A291+$B291+AI$4&gt;TOTAL_BEDS_AVAILABLE,($D291+AI$5)&gt;TOTAL_LABOR_HOURS_CAP,MAX(0,($D291+AI$5)-PERMANENT_FIELD_LABOR_HOURS)&gt;TEMP_HOURS_CAP),"",$C291+AI$6-MIN(($D291+AI$5),PERMANENT_FIELD_LABOR_HOURS)*PERMANENT_HOURLY_RATE-MAX(0,($D291+AI$5)-PERMANENT_FIELD_LABOR_HOURS)*TEMP_HOURLY_RATE-FIXED_SEASON_COST)</f>
        <v>30517.0050556334</v>
      </c>
      <c r="AJ291" s="53" t="n">
        <f aca="false">IF(OR($A291&gt;TOMATO_BED_CAP,$B291&gt;CARROT_BED_CAP,AJ$4&gt;MESCLUN_BED_CAP,$A291+$B291+AJ$4&gt;TOTAL_BEDS_AVAILABLE,($D291+AJ$5)&gt;TOTAL_LABOR_HOURS_CAP,MAX(0,($D291+AJ$5)-PERMANENT_FIELD_LABOR_HOURS)&gt;TEMP_HOURS_CAP),"",$C291+AJ$6-MIN(($D291+AJ$5),PERMANENT_FIELD_LABOR_HOURS)*PERMANENT_HOURLY_RATE-MAX(0,($D291+AJ$5)-PERMANENT_FIELD_LABOR_HOURS)*TEMP_HOURLY_RATE-FIXED_SEASON_COST)</f>
        <v>30797.0045710392</v>
      </c>
    </row>
    <row r="292" customFormat="false" ht="15" hidden="false" customHeight="false" outlineLevel="0" collapsed="false">
      <c r="A292" s="21" t="n">
        <f aca="false">INT((ROW()-ROW($A$8))/(20+1))</f>
        <v>13</v>
      </c>
      <c r="B292" s="21" t="n">
        <f aca="false">MOD(ROW()-ROW($A$8),20+1)</f>
        <v>11</v>
      </c>
      <c r="C292" s="13" t="n">
        <f aca="false">A292*(TOMATO_REVENUE_PER_BED-TOMATO_FERTILIZER_PER_BED)+B292*(CARROT_REVENUE_PER_BED-CARROT_FERTILIZER_PER_BED)</f>
        <v>121154</v>
      </c>
      <c r="D292" s="14" t="n">
        <f aca="false">INDEX(TOMATO_SCHED_LABOR_HRS,A292+1)+INDEX(CARROT_SCHED_LABOR_HRS,B292+1)</f>
        <v>4471.97272247552</v>
      </c>
      <c r="E292" s="13" t="n">
        <f aca="false">IF(COUNT(F292:AJ292)=0,"",MAX(F292:AJ292))</f>
        <v>31601.3428326975</v>
      </c>
      <c r="F292" s="53" t="n">
        <f aca="false">IF(OR($A292&gt;TOMATO_BED_CAP,$B292&gt;CARROT_BED_CAP,F$4&gt;MESCLUN_BED_CAP,$A292+$B292+F$4&gt;TOTAL_BEDS_AVAILABLE,($D292+F$5)&gt;TOTAL_LABOR_HOURS_CAP,MAX(0,($D292+F$5)-PERMANENT_FIELD_LABOR_HOURS)&gt;TEMP_HOURS_CAP),"",$C292+F$6-MIN(($D292+F$5),PERMANENT_FIELD_LABOR_HOURS)*PERMANENT_HOURLY_RATE-MAX(0,($D292+F$5)-PERMANENT_FIELD_LABOR_HOURS)*TEMP_HOURLY_RATE-FIXED_SEASON_COST)</f>
        <v>11021.353537825</v>
      </c>
      <c r="G292" s="53" t="n">
        <f aca="false">IF(OR($A292&gt;TOMATO_BED_CAP,$B292&gt;CARROT_BED_CAP,G$4&gt;MESCLUN_BED_CAP,$A292+$B292+G$4&gt;TOTAL_BEDS_AVAILABLE,($D292+G$5)&gt;TOTAL_LABOR_HOURS_CAP,MAX(0,($D292+G$5)-PERMANENT_FIELD_LABOR_HOURS)&gt;TEMP_HOURS_CAP),"",$C292+G$6-MIN(($D292+G$5),PERMANENT_FIELD_LABOR_HOURS)*PERMANENT_HOURLY_RATE-MAX(0,($D292+G$5)-PERMANENT_FIELD_LABOR_HOURS)*TEMP_HOURLY_RATE-FIXED_SEASON_COST)</f>
        <v>12050.388537825</v>
      </c>
      <c r="H292" s="53" t="n">
        <f aca="false">IF(OR($A292&gt;TOMATO_BED_CAP,$B292&gt;CARROT_BED_CAP,H$4&gt;MESCLUN_BED_CAP,$A292+$B292+H$4&gt;TOTAL_BEDS_AVAILABLE,($D292+H$5)&gt;TOTAL_LABOR_HOURS_CAP,MAX(0,($D292+H$5)-PERMANENT_FIELD_LABOR_HOURS)&gt;TEMP_HOURS_CAP),"",$C292+H$6-MIN(($D292+H$5),PERMANENT_FIELD_LABOR_HOURS)*PERMANENT_HOURLY_RATE-MAX(0,($D292+H$5)-PERMANENT_FIELD_LABOR_HOURS)*TEMP_HOURLY_RATE-FIXED_SEASON_COST)</f>
        <v>13059.649412825</v>
      </c>
      <c r="I292" s="53" t="n">
        <f aca="false">IF(OR($A292&gt;TOMATO_BED_CAP,$B292&gt;CARROT_BED_CAP,I$4&gt;MESCLUN_BED_CAP,$A292+$B292+I$4&gt;TOTAL_BEDS_AVAILABLE,($D292+I$5)&gt;TOTAL_LABOR_HOURS_CAP,MAX(0,($D292+I$5)-PERMANENT_FIELD_LABOR_HOURS)&gt;TEMP_HOURS_CAP),"",$C292+I$6-MIN(($D292+I$5),PERMANENT_FIELD_LABOR_HOURS)*PERMANENT_HOURLY_RATE-MAX(0,($D292+I$5)-PERMANENT_FIELD_LABOR_HOURS)*TEMP_HOURLY_RATE-FIXED_SEASON_COST)</f>
        <v>14048.7653979812</v>
      </c>
      <c r="J292" s="53" t="n">
        <f aca="false">IF(OR($A292&gt;TOMATO_BED_CAP,$B292&gt;CARROT_BED_CAP,J$4&gt;MESCLUN_BED_CAP,$A292+$B292+J$4&gt;TOTAL_BEDS_AVAILABLE,($D292+J$5)&gt;TOTAL_LABOR_HOURS_CAP,MAX(0,($D292+J$5)-PERMANENT_FIELD_LABOR_HOURS)&gt;TEMP_HOURS_CAP),"",$C292+J$6-MIN(($D292+J$5),PERMANENT_FIELD_LABOR_HOURS)*PERMANENT_HOURLY_RATE-MAX(0,($D292+J$5)-PERMANENT_FIELD_LABOR_HOURS)*TEMP_HOURLY_RATE-FIXED_SEASON_COST)</f>
        <v>15017.3595490359</v>
      </c>
      <c r="K292" s="53" t="n">
        <f aca="false">IF(OR($A292&gt;TOMATO_BED_CAP,$B292&gt;CARROT_BED_CAP,K$4&gt;MESCLUN_BED_CAP,$A292+$B292+K$4&gt;TOTAL_BEDS_AVAILABLE,($D292+K$5)&gt;TOTAL_LABOR_HOURS_CAP,MAX(0,($D292+K$5)-PERMANENT_FIELD_LABOR_HOURS)&gt;TEMP_HOURS_CAP),"",$C292+K$6-MIN(($D292+K$5),PERMANENT_FIELD_LABOR_HOURS)*PERMANENT_HOURLY_RATE-MAX(0,($D292+K$5)-PERMANENT_FIELD_LABOR_HOURS)*TEMP_HOURLY_RATE-FIXED_SEASON_COST)</f>
        <v>15965.0486457638</v>
      </c>
      <c r="L292" s="53" t="n">
        <f aca="false">IF(OR($A292&gt;TOMATO_BED_CAP,$B292&gt;CARROT_BED_CAP,L$4&gt;MESCLUN_BED_CAP,$A292+$B292+L$4&gt;TOTAL_BEDS_AVAILABLE,($D292+L$5)&gt;TOTAL_LABOR_HOURS_CAP,MAX(0,($D292+L$5)-PERMANENT_FIELD_LABOR_HOURS)&gt;TEMP_HOURS_CAP),"",$C292+L$6-MIN(($D292+L$5),PERMANENT_FIELD_LABOR_HOURS)*PERMANENT_HOURLY_RATE-MAX(0,($D292+L$5)-PERMANENT_FIELD_LABOR_HOURS)*TEMP_HOURLY_RATE-FIXED_SEASON_COST)</f>
        <v>16891.4430939707</v>
      </c>
      <c r="M292" s="53" t="n">
        <f aca="false">IF(OR($A292&gt;TOMATO_BED_CAP,$B292&gt;CARROT_BED_CAP,M$4&gt;MESCLUN_BED_CAP,$A292+$B292+M$4&gt;TOTAL_BEDS_AVAILABLE,($D292+M$5)&gt;TOTAL_LABOR_HOURS_CAP,MAX(0,($D292+M$5)-PERMANENT_FIELD_LABOR_HOURS)&gt;TEMP_HOURS_CAP),"",$C292+M$6-MIN(($D292+M$5),PERMANENT_FIELD_LABOR_HOURS)*PERMANENT_HOURLY_RATE-MAX(0,($D292+M$5)-PERMANENT_FIELD_LABOR_HOURS)*TEMP_HOURLY_RATE-FIXED_SEASON_COST)</f>
        <v>17796.1468260221</v>
      </c>
      <c r="N292" s="53" t="n">
        <f aca="false">IF(OR($A292&gt;TOMATO_BED_CAP,$B292&gt;CARROT_BED_CAP,N$4&gt;MESCLUN_BED_CAP,$A292+$B292+N$4&gt;TOTAL_BEDS_AVAILABLE,($D292+N$5)&gt;TOTAL_LABOR_HOURS_CAP,MAX(0,($D292+N$5)-PERMANENT_FIELD_LABOR_HOURS)&gt;TEMP_HOURS_CAP),"",$C292+N$6-MIN(($D292+N$5),PERMANENT_FIELD_LABOR_HOURS)*PERMANENT_HOURLY_RATE-MAX(0,($D292+N$5)-PERMANENT_FIELD_LABOR_HOURS)*TEMP_HOURLY_RATE-FIXED_SEASON_COST)</f>
        <v>18678.7571998817</v>
      </c>
      <c r="O292" s="53" t="n">
        <f aca="false">IF(OR($A292&gt;TOMATO_BED_CAP,$B292&gt;CARROT_BED_CAP,O$4&gt;MESCLUN_BED_CAP,$A292+$B292+O$4&gt;TOTAL_BEDS_AVAILABLE,($D292+O$5)&gt;TOTAL_LABOR_HOURS_CAP,MAX(0,($D292+O$5)-PERMANENT_FIELD_LABOR_HOURS)&gt;TEMP_HOURS_CAP),"",$C292+O$6-MIN(($D292+O$5),PERMANENT_FIELD_LABOR_HOURS)*PERMANENT_HOURLY_RATE-MAX(0,($D292+O$5)-PERMANENT_FIELD_LABOR_HOURS)*TEMP_HOURLY_RATE-FIXED_SEASON_COST)</f>
        <v>19538.8648966364</v>
      </c>
      <c r="P292" s="53" t="n">
        <f aca="false">IF(OR($A292&gt;TOMATO_BED_CAP,$B292&gt;CARROT_BED_CAP,P$4&gt;MESCLUN_BED_CAP,$A292+$B292+P$4&gt;TOTAL_BEDS_AVAILABLE,($D292+P$5)&gt;TOTAL_LABOR_HOURS_CAP,MAX(0,($D292+P$5)-PERMANENT_FIELD_LABOR_HOURS)&gt;TEMP_HOURS_CAP),"",$C292+P$6-MIN(($D292+P$5),PERMANENT_FIELD_LABOR_HOURS)*PERMANENT_HOURLY_RATE-MAX(0,($D292+P$5)-PERMANENT_FIELD_LABOR_HOURS)*TEMP_HOURLY_RATE-FIXED_SEASON_COST)</f>
        <v>20376.0538164878</v>
      </c>
      <c r="Q292" s="53" t="n">
        <f aca="false">IF(OR($A292&gt;TOMATO_BED_CAP,$B292&gt;CARROT_BED_CAP,Q$4&gt;MESCLUN_BED_CAP,$A292+$B292+Q$4&gt;TOTAL_BEDS_AVAILABLE,($D292+Q$5)&gt;TOTAL_LABOR_HOURS_CAP,MAX(0,($D292+Q$5)-PERMANENT_FIELD_LABOR_HOURS)&gt;TEMP_HOURS_CAP),"",$C292+Q$6-MIN(($D292+Q$5),PERMANENT_FIELD_LABOR_HOURS)*PERMANENT_HOURLY_RATE-MAX(0,($D292+Q$5)-PERMANENT_FIELD_LABOR_HOURS)*TEMP_HOURLY_RATE-FIXED_SEASON_COST)</f>
        <v>21189.9009731857</v>
      </c>
      <c r="R292" s="53" t="n">
        <f aca="false">IF(OR($A292&gt;TOMATO_BED_CAP,$B292&gt;CARROT_BED_CAP,R$4&gt;MESCLUN_BED_CAP,$A292+$B292+R$4&gt;TOTAL_BEDS_AVAILABLE,($D292+R$5)&gt;TOTAL_LABOR_HOURS_CAP,MAX(0,($D292+R$5)-PERMANENT_FIELD_LABOR_HOURS)&gt;TEMP_HOURS_CAP),"",$C292+R$6-MIN(($D292+R$5),PERMANENT_FIELD_LABOR_HOURS)*PERMANENT_HOURLY_RATE-MAX(0,($D292+R$5)-PERMANENT_FIELD_LABOR_HOURS)*TEMP_HOURLY_RATE-FIXED_SEASON_COST)</f>
        <v>21979.9763868825</v>
      </c>
      <c r="S292" s="53" t="n">
        <f aca="false">IF(OR($A292&gt;TOMATO_BED_CAP,$B292&gt;CARROT_BED_CAP,S$4&gt;MESCLUN_BED_CAP,$A292+$B292+S$4&gt;TOTAL_BEDS_AVAILABLE,($D292+S$5)&gt;TOTAL_LABOR_HOURS_CAP,MAX(0,($D292+S$5)-PERMANENT_FIELD_LABOR_HOURS)&gt;TEMP_HOURS_CAP),"",$C292+S$6-MIN(($D292+S$5),PERMANENT_FIELD_LABOR_HOURS)*PERMANENT_HOURLY_RATE-MAX(0,($D292+S$5)-PERMANENT_FIELD_LABOR_HOURS)*TEMP_HOURLY_RATE-FIXED_SEASON_COST)</f>
        <v>22745.842975385</v>
      </c>
      <c r="T292" s="53" t="n">
        <f aca="false">IF(OR($A292&gt;TOMATO_BED_CAP,$B292&gt;CARROT_BED_CAP,T$4&gt;MESCLUN_BED_CAP,$A292+$B292+T$4&gt;TOTAL_BEDS_AVAILABLE,($D292+T$5)&gt;TOTAL_LABOR_HOURS_CAP,MAX(0,($D292+T$5)-PERMANENT_FIELD_LABOR_HOURS)&gt;TEMP_HOURS_CAP),"",$C292+T$6-MIN(($D292+T$5),PERMANENT_FIELD_LABOR_HOURS)*PERMANENT_HOURLY_RATE-MAX(0,($D292+T$5)-PERMANENT_FIELD_LABOR_HOURS)*TEMP_HOURLY_RATE-FIXED_SEASON_COST)</f>
        <v>23487.0564437798</v>
      </c>
      <c r="U292" s="53" t="n">
        <f aca="false">IF(OR($A292&gt;TOMATO_BED_CAP,$B292&gt;CARROT_BED_CAP,U$4&gt;MESCLUN_BED_CAP,$A292+$B292+U$4&gt;TOTAL_BEDS_AVAILABLE,($D292+U$5)&gt;TOTAL_LABOR_HOURS_CAP,MAX(0,($D292+U$5)-PERMANENT_FIELD_LABOR_HOURS)&gt;TEMP_HOURS_CAP),"",$C292+U$6-MIN(($D292+U$5),PERMANENT_FIELD_LABOR_HOURS)*PERMANENT_HOURLY_RATE-MAX(0,($D292+U$5)-PERMANENT_FIELD_LABOR_HOURS)*TEMP_HOURLY_RATE-FIXED_SEASON_COST)</f>
        <v>24203.1651724099</v>
      </c>
      <c r="V292" s="53" t="n">
        <f aca="false">IF(OR($A292&gt;TOMATO_BED_CAP,$B292&gt;CARROT_BED_CAP,V$4&gt;MESCLUN_BED_CAP,$A292+$B292+V$4&gt;TOTAL_BEDS_AVAILABLE,($D292+V$5)&gt;TOTAL_LABOR_HOURS_CAP,MAX(0,($D292+V$5)-PERMANENT_FIELD_LABOR_HOURS)&gt;TEMP_HOURS_CAP),"",$C292+V$6-MIN(($D292+V$5),PERMANENT_FIELD_LABOR_HOURS)*PERMANENT_HOURLY_RATE-MAX(0,($D292+V$5)-PERMANENT_FIELD_LABOR_HOURS)*TEMP_HOURLY_RATE-FIXED_SEASON_COST)</f>
        <v>24893.7101031767</v>
      </c>
      <c r="W292" s="53" t="n">
        <f aca="false">IF(OR($A292&gt;TOMATO_BED_CAP,$B292&gt;CARROT_BED_CAP,W$4&gt;MESCLUN_BED_CAP,$A292+$B292+W$4&gt;TOTAL_BEDS_AVAILABLE,($D292+W$5)&gt;TOTAL_LABOR_HOURS_CAP,MAX(0,($D292+W$5)-PERMANENT_FIELD_LABOR_HOURS)&gt;TEMP_HOURS_CAP),"",$C292+W$6-MIN(($D292+W$5),PERMANENT_FIELD_LABOR_HOURS)*PERMANENT_HOURLY_RATE-MAX(0,($D292+W$5)-PERMANENT_FIELD_LABOR_HOURS)*TEMP_HOURLY_RATE-FIXED_SEASON_COST)</f>
        <v>25558.2246241448</v>
      </c>
      <c r="X292" s="53" t="n">
        <f aca="false">IF(OR($A292&gt;TOMATO_BED_CAP,$B292&gt;CARROT_BED_CAP,X$4&gt;MESCLUN_BED_CAP,$A292+$B292+X$4&gt;TOTAL_BEDS_AVAILABLE,($D292+X$5)&gt;TOTAL_LABOR_HOURS_CAP,MAX(0,($D292+X$5)-PERMANENT_FIELD_LABOR_HOURS)&gt;TEMP_HOURS_CAP),"",$C292+X$6-MIN(($D292+X$5),PERMANENT_FIELD_LABOR_HOURS)*PERMANENT_HOURLY_RATE-MAX(0,($D292+X$5)-PERMANENT_FIELD_LABOR_HOURS)*TEMP_HOURLY_RATE-FIXED_SEASON_COST)</f>
        <v>26196.2344524237</v>
      </c>
      <c r="Y292" s="53" t="n">
        <f aca="false">IF(OR($A292&gt;TOMATO_BED_CAP,$B292&gt;CARROT_BED_CAP,Y$4&gt;MESCLUN_BED_CAP,$A292+$B292+Y$4&gt;TOTAL_BEDS_AVAILABLE,($D292+Y$5)&gt;TOTAL_LABOR_HOURS_CAP,MAX(0,($D292+Y$5)-PERMANENT_FIELD_LABOR_HOURS)&gt;TEMP_HOURS_CAP),"",$C292+Y$6-MIN(($D292+Y$5),PERMANENT_FIELD_LABOR_HOURS)*PERMANENT_HOURLY_RATE-MAX(0,($D292+Y$5)-PERMANENT_FIELD_LABOR_HOURS)*TEMP_HOURLY_RATE-FIXED_SEASON_COST)</f>
        <v>26807.2575153024</v>
      </c>
      <c r="Z292" s="53" t="n">
        <f aca="false">IF(OR($A292&gt;TOMATO_BED_CAP,$B292&gt;CARROT_BED_CAP,Z$4&gt;MESCLUN_BED_CAP,$A292+$B292+Z$4&gt;TOTAL_BEDS_AVAILABLE,($D292+Z$5)&gt;TOTAL_LABOR_HOURS_CAP,MAX(0,($D292+Z$5)-PERMANENT_FIELD_LABOR_HOURS)&gt;TEMP_HOURS_CAP),"",$C292+Z$6-MIN(($D292+Z$5),PERMANENT_FIELD_LABOR_HOURS)*PERMANENT_HOURLY_RATE-MAX(0,($D292+Z$5)-PERMANENT_FIELD_LABOR_HOURS)*TEMP_HOURLY_RATE-FIXED_SEASON_COST)</f>
        <v>27390.8038296101</v>
      </c>
      <c r="AA292" s="53" t="n">
        <f aca="false">IF(OR($A292&gt;TOMATO_BED_CAP,$B292&gt;CARROT_BED_CAP,AA$4&gt;MESCLUN_BED_CAP,$A292+$B292+AA$4&gt;TOTAL_BEDS_AVAILABLE,($D292+AA$5)&gt;TOTAL_LABOR_HOURS_CAP,MAX(0,($D292+AA$5)-PERMANENT_FIELD_LABOR_HOURS)&gt;TEMP_HOURS_CAP),"",$C292+AA$6-MIN(($D292+AA$5),PERMANENT_FIELD_LABOR_HOURS)*PERMANENT_HOURLY_RATE-MAX(0,($D292+AA$5)-PERMANENT_FIELD_LABOR_HOURS)*TEMP_HOURLY_RATE-FIXED_SEASON_COST)</f>
        <v>27946.375379279</v>
      </c>
      <c r="AB292" s="53" t="n">
        <f aca="false">IF(OR($A292&gt;TOMATO_BED_CAP,$B292&gt;CARROT_BED_CAP,AB$4&gt;MESCLUN_BED_CAP,$A292+$B292+AB$4&gt;TOTAL_BEDS_AVAILABLE,($D292+AB$5)&gt;TOTAL_LABOR_HOURS_CAP,MAX(0,($D292+AB$5)-PERMANENT_FIELD_LABOR_HOURS)&gt;TEMP_HOURS_CAP),"",$C292+AB$6-MIN(($D292+AB$5),PERMANENT_FIELD_LABOR_HOURS)*PERMANENT_HOURLY_RATE-MAX(0,($D292+AB$5)-PERMANENT_FIELD_LABOR_HOURS)*TEMP_HOURLY_RATE-FIXED_SEASON_COST)</f>
        <v>28473.4659910816</v>
      </c>
      <c r="AC292" s="53" t="n">
        <f aca="false">IF(OR($A292&gt;TOMATO_BED_CAP,$B292&gt;CARROT_BED_CAP,AC$4&gt;MESCLUN_BED_CAP,$A292+$B292+AC$4&gt;TOTAL_BEDS_AVAILABLE,($D292+AC$5)&gt;TOTAL_LABOR_HOURS_CAP,MAX(0,($D292+AC$5)-PERMANENT_FIELD_LABOR_HOURS)&gt;TEMP_HOURS_CAP),"",$C292+AC$6-MIN(($D292+AC$5),PERMANENT_FIELD_LABOR_HOURS)*PERMANENT_HOURLY_RATE-MAX(0,($D292+AC$5)-PERMANENT_FIELD_LABOR_HOURS)*TEMP_HOURLY_RATE-FIXED_SEASON_COST)</f>
        <v>28971.5612085165</v>
      </c>
      <c r="AD292" s="53" t="n">
        <f aca="false">IF(OR($A292&gt;TOMATO_BED_CAP,$B292&gt;CARROT_BED_CAP,AD$4&gt;MESCLUN_BED_CAP,$A292+$B292+AD$4&gt;TOTAL_BEDS_AVAILABLE,($D292+AD$5)&gt;TOTAL_LABOR_HOURS_CAP,MAX(0,($D292+AD$5)-PERMANENT_FIELD_LABOR_HOURS)&gt;TEMP_HOURS_CAP),"",$C292+AD$6-MIN(($D292+AD$5),PERMANENT_FIELD_LABOR_HOURS)*PERMANENT_HOURLY_RATE-MAX(0,($D292+AD$5)-PERMANENT_FIELD_LABOR_HOURS)*TEMP_HOURLY_RATE-FIXED_SEASON_COST)</f>
        <v>29440.1381638164</v>
      </c>
      <c r="AE292" s="53" t="n">
        <f aca="false">IF(OR($A292&gt;TOMATO_BED_CAP,$B292&gt;CARROT_BED_CAP,AE$4&gt;MESCLUN_BED_CAP,$A292+$B292+AE$4&gt;TOTAL_BEDS_AVAILABLE,($D292+AE$5)&gt;TOTAL_LABOR_HOURS_CAP,MAX(0,($D292+AE$5)-PERMANENT_FIELD_LABOR_HOURS)&gt;TEMP_HOURS_CAP),"",$C292+AE$6-MIN(($D292+AE$5),PERMANENT_FIELD_LABOR_HOURS)*PERMANENT_HOURLY_RATE-MAX(0,($D292+AE$5)-PERMANENT_FIELD_LABOR_HOURS)*TEMP_HOURLY_RATE-FIXED_SEASON_COST)</f>
        <v>29878.6654480503</v>
      </c>
      <c r="AF292" s="53" t="n">
        <f aca="false">IF(OR($A292&gt;TOMATO_BED_CAP,$B292&gt;CARROT_BED_CAP,AF$4&gt;MESCLUN_BED_CAP,$A292+$B292+AF$4&gt;TOTAL_BEDS_AVAILABLE,($D292+AF$5)&gt;TOTAL_LABOR_HOURS_CAP,MAX(0,($D292+AF$5)-PERMANENT_FIELD_LABOR_HOURS)&gt;TEMP_HOURS_CAP),"",$C292+AF$6-MIN(($D292+AF$5),PERMANENT_FIELD_LABOR_HOURS)*PERMANENT_HOURLY_RATE-MAX(0,($D292+AF$5)-PERMANENT_FIELD_LABOR_HOURS)*TEMP_HOURLY_RATE-FIXED_SEASON_COST)</f>
        <v>30286.6029792923</v>
      </c>
      <c r="AG292" s="53" t="n">
        <f aca="false">IF(OR($A292&gt;TOMATO_BED_CAP,$B292&gt;CARROT_BED_CAP,AG$4&gt;MESCLUN_BED_CAP,$A292+$B292+AG$4&gt;TOTAL_BEDS_AVAILABLE,($D292+AG$5)&gt;TOTAL_LABOR_HOURS_CAP,MAX(0,($D292+AG$5)-PERMANENT_FIELD_LABOR_HOURS)&gt;TEMP_HOURS_CAP),"",$C292+AG$6-MIN(($D292+AG$5),PERMANENT_FIELD_LABOR_HOURS)*PERMANENT_HOURLY_RATE-MAX(0,($D292+AG$5)-PERMANENT_FIELD_LABOR_HOURS)*TEMP_HOURLY_RATE-FIXED_SEASON_COST)</f>
        <v>30663.4018688293</v>
      </c>
      <c r="AH292" s="53" t="n">
        <f aca="false">IF(OR($A292&gt;TOMATO_BED_CAP,$B292&gt;CARROT_BED_CAP,AH$4&gt;MESCLUN_BED_CAP,$A292+$B292+AH$4&gt;TOTAL_BEDS_AVAILABLE,($D292+AH$5)&gt;TOTAL_LABOR_HOURS_CAP,MAX(0,($D292+AH$5)-PERMANENT_FIELD_LABOR_HOURS)&gt;TEMP_HOURS_CAP),"",$C292+AH$6-MIN(($D292+AH$5),PERMANENT_FIELD_LABOR_HOURS)*PERMANENT_HOURLY_RATE-MAX(0,($D292+AH$5)-PERMANENT_FIELD_LABOR_HOURS)*TEMP_HOURLY_RATE-FIXED_SEASON_COST)</f>
        <v>31008.5042853795</v>
      </c>
      <c r="AI292" s="53" t="n">
        <f aca="false">IF(OR($A292&gt;TOMATO_BED_CAP,$B292&gt;CARROT_BED_CAP,AI$4&gt;MESCLUN_BED_CAP,$A292+$B292+AI$4&gt;TOTAL_BEDS_AVAILABLE,($D292+AI$5)&gt;TOTAL_LABOR_HOURS_CAP,MAX(0,($D292+AI$5)-PERMANENT_FIELD_LABOR_HOURS)&gt;TEMP_HOURS_CAP),"",$C292+AI$6-MIN(($D292+AI$5),PERMANENT_FIELD_LABOR_HOURS)*PERMANENT_HOURLY_RATE-MAX(0,($D292+AI$5)-PERMANENT_FIELD_LABOR_HOURS)*TEMP_HOURLY_RATE-FIXED_SEASON_COST)</f>
        <v>31321.3433172918</v>
      </c>
      <c r="AJ292" s="53" t="n">
        <f aca="false">IF(OR($A292&gt;TOMATO_BED_CAP,$B292&gt;CARROT_BED_CAP,AJ$4&gt;MESCLUN_BED_CAP,$A292+$B292+AJ$4&gt;TOTAL_BEDS_AVAILABLE,($D292+AJ$5)&gt;TOTAL_LABOR_HOURS_CAP,MAX(0,($D292+AJ$5)-PERMANENT_FIELD_LABOR_HOURS)&gt;TEMP_HOURS_CAP),"",$C292+AJ$6-MIN(($D292+AJ$5),PERMANENT_FIELD_LABOR_HOURS)*PERMANENT_HOURLY_RATE-MAX(0,($D292+AJ$5)-PERMANENT_FIELD_LABOR_HOURS)*TEMP_HOURLY_RATE-FIXED_SEASON_COST)</f>
        <v>31601.3428326975</v>
      </c>
    </row>
    <row r="293" customFormat="false" ht="15" hidden="false" customHeight="false" outlineLevel="0" collapsed="false">
      <c r="A293" s="21" t="n">
        <f aca="false">INT((ROW()-ROW($A$8))/(20+1))</f>
        <v>13</v>
      </c>
      <c r="B293" s="21" t="n">
        <f aca="false">MOD(ROW()-ROW($A$8),20+1)</f>
        <v>12</v>
      </c>
      <c r="C293" s="13" t="n">
        <f aca="false">A293*(TOMATO_REVENUE_PER_BED-TOMATO_FERTILIZER_PER_BED)+B293*(CARROT_REVENUE_PER_BED-CARROT_FERTILIZER_PER_BED)</f>
        <v>122808</v>
      </c>
      <c r="D293" s="14" t="n">
        <f aca="false">INDEX(TOMATO_SCHED_LABOR_HRS,A293+1)+INDEX(CARROT_SCHED_LABOR_HRS,B293+1)</f>
        <v>4523.12363357791</v>
      </c>
      <c r="E293" s="13" t="n">
        <f aca="false">IF(COUNT(F293:AJ293)=0,"",MAX(F293:AJ293))</f>
        <v>32087.3635005543</v>
      </c>
      <c r="F293" s="53" t="n">
        <f aca="false">IF(OR($A293&gt;TOMATO_BED_CAP,$B293&gt;CARROT_BED_CAP,F$4&gt;MESCLUN_BED_CAP,$A293+$B293+F$4&gt;TOTAL_BEDS_AVAILABLE,($D293+F$5)&gt;TOTAL_LABOR_HOURS_CAP,MAX(0,($D293+F$5)-PERMANENT_FIELD_LABOR_HOURS)&gt;TEMP_HOURS_CAP),"",$C293+F$6-MIN(($D293+F$5),PERMANENT_FIELD_LABOR_HOURS)*PERMANENT_HOURLY_RATE-MAX(0,($D293+F$5)-PERMANENT_FIELD_LABOR_HOURS)*TEMP_HOURLY_RATE-FIXED_SEASON_COST)</f>
        <v>11787.3737210875</v>
      </c>
      <c r="G293" s="53" t="n">
        <f aca="false">IF(OR($A293&gt;TOMATO_BED_CAP,$B293&gt;CARROT_BED_CAP,G$4&gt;MESCLUN_BED_CAP,$A293+$B293+G$4&gt;TOTAL_BEDS_AVAILABLE,($D293+G$5)&gt;TOTAL_LABOR_HOURS_CAP,MAX(0,($D293+G$5)-PERMANENT_FIELD_LABOR_HOURS)&gt;TEMP_HOURS_CAP),"",$C293+G$6-MIN(($D293+G$5),PERMANENT_FIELD_LABOR_HOURS)*PERMANENT_HOURLY_RATE-MAX(0,($D293+G$5)-PERMANENT_FIELD_LABOR_HOURS)*TEMP_HOURLY_RATE-FIXED_SEASON_COST)</f>
        <v>12816.4087210875</v>
      </c>
      <c r="H293" s="53" t="n">
        <f aca="false">IF(OR($A293&gt;TOMATO_BED_CAP,$B293&gt;CARROT_BED_CAP,H$4&gt;MESCLUN_BED_CAP,$A293+$B293+H$4&gt;TOTAL_BEDS_AVAILABLE,($D293+H$5)&gt;TOTAL_LABOR_HOURS_CAP,MAX(0,($D293+H$5)-PERMANENT_FIELD_LABOR_HOURS)&gt;TEMP_HOURS_CAP),"",$C293+H$6-MIN(($D293+H$5),PERMANENT_FIELD_LABOR_HOURS)*PERMANENT_HOURLY_RATE-MAX(0,($D293+H$5)-PERMANENT_FIELD_LABOR_HOURS)*TEMP_HOURLY_RATE-FIXED_SEASON_COST)</f>
        <v>13825.6695960875</v>
      </c>
      <c r="I293" s="53" t="n">
        <f aca="false">IF(OR($A293&gt;TOMATO_BED_CAP,$B293&gt;CARROT_BED_CAP,I$4&gt;MESCLUN_BED_CAP,$A293+$B293+I$4&gt;TOTAL_BEDS_AVAILABLE,($D293+I$5)&gt;TOTAL_LABOR_HOURS_CAP,MAX(0,($D293+I$5)-PERMANENT_FIELD_LABOR_HOURS)&gt;TEMP_HOURS_CAP),"",$C293+I$6-MIN(($D293+I$5),PERMANENT_FIELD_LABOR_HOURS)*PERMANENT_HOURLY_RATE-MAX(0,($D293+I$5)-PERMANENT_FIELD_LABOR_HOURS)*TEMP_HOURLY_RATE-FIXED_SEASON_COST)</f>
        <v>14814.7855812438</v>
      </c>
      <c r="J293" s="53" t="n">
        <f aca="false">IF(OR($A293&gt;TOMATO_BED_CAP,$B293&gt;CARROT_BED_CAP,J$4&gt;MESCLUN_BED_CAP,$A293+$B293+J$4&gt;TOTAL_BEDS_AVAILABLE,($D293+J$5)&gt;TOTAL_LABOR_HOURS_CAP,MAX(0,($D293+J$5)-PERMANENT_FIELD_LABOR_HOURS)&gt;TEMP_HOURS_CAP),"",$C293+J$6-MIN(($D293+J$5),PERMANENT_FIELD_LABOR_HOURS)*PERMANENT_HOURLY_RATE-MAX(0,($D293+J$5)-PERMANENT_FIELD_LABOR_HOURS)*TEMP_HOURLY_RATE-FIXED_SEASON_COST)</f>
        <v>15783.3797322985</v>
      </c>
      <c r="K293" s="53" t="n">
        <f aca="false">IF(OR($A293&gt;TOMATO_BED_CAP,$B293&gt;CARROT_BED_CAP,K$4&gt;MESCLUN_BED_CAP,$A293+$B293+K$4&gt;TOTAL_BEDS_AVAILABLE,($D293+K$5)&gt;TOTAL_LABOR_HOURS_CAP,MAX(0,($D293+K$5)-PERMANENT_FIELD_LABOR_HOURS)&gt;TEMP_HOURS_CAP),"",$C293+K$6-MIN(($D293+K$5),PERMANENT_FIELD_LABOR_HOURS)*PERMANENT_HOURLY_RATE-MAX(0,($D293+K$5)-PERMANENT_FIELD_LABOR_HOURS)*TEMP_HOURLY_RATE-FIXED_SEASON_COST)</f>
        <v>16731.0688290264</v>
      </c>
      <c r="L293" s="53" t="n">
        <f aca="false">IF(OR($A293&gt;TOMATO_BED_CAP,$B293&gt;CARROT_BED_CAP,L$4&gt;MESCLUN_BED_CAP,$A293+$B293+L$4&gt;TOTAL_BEDS_AVAILABLE,($D293+L$5)&gt;TOTAL_LABOR_HOURS_CAP,MAX(0,($D293+L$5)-PERMANENT_FIELD_LABOR_HOURS)&gt;TEMP_HOURS_CAP),"",$C293+L$6-MIN(($D293+L$5),PERMANENT_FIELD_LABOR_HOURS)*PERMANENT_HOURLY_RATE-MAX(0,($D293+L$5)-PERMANENT_FIELD_LABOR_HOURS)*TEMP_HOURLY_RATE-FIXED_SEASON_COST)</f>
        <v>17657.4632772332</v>
      </c>
      <c r="M293" s="53" t="n">
        <f aca="false">IF(OR($A293&gt;TOMATO_BED_CAP,$B293&gt;CARROT_BED_CAP,M$4&gt;MESCLUN_BED_CAP,$A293+$B293+M$4&gt;TOTAL_BEDS_AVAILABLE,($D293+M$5)&gt;TOTAL_LABOR_HOURS_CAP,MAX(0,($D293+M$5)-PERMANENT_FIELD_LABOR_HOURS)&gt;TEMP_HOURS_CAP),"",$C293+M$6-MIN(($D293+M$5),PERMANENT_FIELD_LABOR_HOURS)*PERMANENT_HOURLY_RATE-MAX(0,($D293+M$5)-PERMANENT_FIELD_LABOR_HOURS)*TEMP_HOURLY_RATE-FIXED_SEASON_COST)</f>
        <v>18562.1670092846</v>
      </c>
      <c r="N293" s="53" t="n">
        <f aca="false">IF(OR($A293&gt;TOMATO_BED_CAP,$B293&gt;CARROT_BED_CAP,N$4&gt;MESCLUN_BED_CAP,$A293+$B293+N$4&gt;TOTAL_BEDS_AVAILABLE,($D293+N$5)&gt;TOTAL_LABOR_HOURS_CAP,MAX(0,($D293+N$5)-PERMANENT_FIELD_LABOR_HOURS)&gt;TEMP_HOURS_CAP),"",$C293+N$6-MIN(($D293+N$5),PERMANENT_FIELD_LABOR_HOURS)*PERMANENT_HOURLY_RATE-MAX(0,($D293+N$5)-PERMANENT_FIELD_LABOR_HOURS)*TEMP_HOURLY_RATE-FIXED_SEASON_COST)</f>
        <v>19444.7773831442</v>
      </c>
      <c r="O293" s="53" t="n">
        <f aca="false">IF(OR($A293&gt;TOMATO_BED_CAP,$B293&gt;CARROT_BED_CAP,O$4&gt;MESCLUN_BED_CAP,$A293+$B293+O$4&gt;TOTAL_BEDS_AVAILABLE,($D293+O$5)&gt;TOTAL_LABOR_HOURS_CAP,MAX(0,($D293+O$5)-PERMANENT_FIELD_LABOR_HOURS)&gt;TEMP_HOURS_CAP),"",$C293+O$6-MIN(($D293+O$5),PERMANENT_FIELD_LABOR_HOURS)*PERMANENT_HOURLY_RATE-MAX(0,($D293+O$5)-PERMANENT_FIELD_LABOR_HOURS)*TEMP_HOURLY_RATE-FIXED_SEASON_COST)</f>
        <v>20304.8850798989</v>
      </c>
      <c r="P293" s="53" t="n">
        <f aca="false">IF(OR($A293&gt;TOMATO_BED_CAP,$B293&gt;CARROT_BED_CAP,P$4&gt;MESCLUN_BED_CAP,$A293+$B293+P$4&gt;TOTAL_BEDS_AVAILABLE,($D293+P$5)&gt;TOTAL_LABOR_HOURS_CAP,MAX(0,($D293+P$5)-PERMANENT_FIELD_LABOR_HOURS)&gt;TEMP_HOURS_CAP),"",$C293+P$6-MIN(($D293+P$5),PERMANENT_FIELD_LABOR_HOURS)*PERMANENT_HOURLY_RATE-MAX(0,($D293+P$5)-PERMANENT_FIELD_LABOR_HOURS)*TEMP_HOURLY_RATE-FIXED_SEASON_COST)</f>
        <v>21142.0739997504</v>
      </c>
      <c r="Q293" s="53" t="n">
        <f aca="false">IF(OR($A293&gt;TOMATO_BED_CAP,$B293&gt;CARROT_BED_CAP,Q$4&gt;MESCLUN_BED_CAP,$A293+$B293+Q$4&gt;TOTAL_BEDS_AVAILABLE,($D293+Q$5)&gt;TOTAL_LABOR_HOURS_CAP,MAX(0,($D293+Q$5)-PERMANENT_FIELD_LABOR_HOURS)&gt;TEMP_HOURS_CAP),"",$C293+Q$6-MIN(($D293+Q$5),PERMANENT_FIELD_LABOR_HOURS)*PERMANENT_HOURLY_RATE-MAX(0,($D293+Q$5)-PERMANENT_FIELD_LABOR_HOURS)*TEMP_HOURLY_RATE-FIXED_SEASON_COST)</f>
        <v>21955.9211564483</v>
      </c>
      <c r="R293" s="53" t="n">
        <f aca="false">IF(OR($A293&gt;TOMATO_BED_CAP,$B293&gt;CARROT_BED_CAP,R$4&gt;MESCLUN_BED_CAP,$A293+$B293+R$4&gt;TOTAL_BEDS_AVAILABLE,($D293+R$5)&gt;TOTAL_LABOR_HOURS_CAP,MAX(0,($D293+R$5)-PERMANENT_FIELD_LABOR_HOURS)&gt;TEMP_HOURS_CAP),"",$C293+R$6-MIN(($D293+R$5),PERMANENT_FIELD_LABOR_HOURS)*PERMANENT_HOURLY_RATE-MAX(0,($D293+R$5)-PERMANENT_FIELD_LABOR_HOURS)*TEMP_HOURLY_RATE-FIXED_SEASON_COST)</f>
        <v>22745.9965701451</v>
      </c>
      <c r="S293" s="53" t="n">
        <f aca="false">IF(OR($A293&gt;TOMATO_BED_CAP,$B293&gt;CARROT_BED_CAP,S$4&gt;MESCLUN_BED_CAP,$A293+$B293+S$4&gt;TOTAL_BEDS_AVAILABLE,($D293+S$5)&gt;TOTAL_LABOR_HOURS_CAP,MAX(0,($D293+S$5)-PERMANENT_FIELD_LABOR_HOURS)&gt;TEMP_HOURS_CAP),"",$C293+S$6-MIN(($D293+S$5),PERMANENT_FIELD_LABOR_HOURS)*PERMANENT_HOURLY_RATE-MAX(0,($D293+S$5)-PERMANENT_FIELD_LABOR_HOURS)*TEMP_HOURLY_RATE-FIXED_SEASON_COST)</f>
        <v>23511.8631586475</v>
      </c>
      <c r="T293" s="53" t="n">
        <f aca="false">IF(OR($A293&gt;TOMATO_BED_CAP,$B293&gt;CARROT_BED_CAP,T$4&gt;MESCLUN_BED_CAP,$A293+$B293+T$4&gt;TOTAL_BEDS_AVAILABLE,($D293+T$5)&gt;TOTAL_LABOR_HOURS_CAP,MAX(0,($D293+T$5)-PERMANENT_FIELD_LABOR_HOURS)&gt;TEMP_HOURS_CAP),"",$C293+T$6-MIN(($D293+T$5),PERMANENT_FIELD_LABOR_HOURS)*PERMANENT_HOURLY_RATE-MAX(0,($D293+T$5)-PERMANENT_FIELD_LABOR_HOURS)*TEMP_HOURLY_RATE-FIXED_SEASON_COST)</f>
        <v>24253.0766270424</v>
      </c>
      <c r="U293" s="53" t="n">
        <f aca="false">IF(OR($A293&gt;TOMATO_BED_CAP,$B293&gt;CARROT_BED_CAP,U$4&gt;MESCLUN_BED_CAP,$A293+$B293+U$4&gt;TOTAL_BEDS_AVAILABLE,($D293+U$5)&gt;TOTAL_LABOR_HOURS_CAP,MAX(0,($D293+U$5)-PERMANENT_FIELD_LABOR_HOURS)&gt;TEMP_HOURS_CAP),"",$C293+U$6-MIN(($D293+U$5),PERMANENT_FIELD_LABOR_HOURS)*PERMANENT_HOURLY_RATE-MAX(0,($D293+U$5)-PERMANENT_FIELD_LABOR_HOURS)*TEMP_HOURLY_RATE-FIXED_SEASON_COST)</f>
        <v>24969.1853556725</v>
      </c>
      <c r="V293" s="53" t="n">
        <f aca="false">IF(OR($A293&gt;TOMATO_BED_CAP,$B293&gt;CARROT_BED_CAP,V$4&gt;MESCLUN_BED_CAP,$A293+$B293+V$4&gt;TOTAL_BEDS_AVAILABLE,($D293+V$5)&gt;TOTAL_LABOR_HOURS_CAP,MAX(0,($D293+V$5)-PERMANENT_FIELD_LABOR_HOURS)&gt;TEMP_HOURS_CAP),"",$C293+V$6-MIN(($D293+V$5),PERMANENT_FIELD_LABOR_HOURS)*PERMANENT_HOURLY_RATE-MAX(0,($D293+V$5)-PERMANENT_FIELD_LABOR_HOURS)*TEMP_HOURLY_RATE-FIXED_SEASON_COST)</f>
        <v>25659.7302864393</v>
      </c>
      <c r="W293" s="53" t="n">
        <f aca="false">IF(OR($A293&gt;TOMATO_BED_CAP,$B293&gt;CARROT_BED_CAP,W$4&gt;MESCLUN_BED_CAP,$A293+$B293+W$4&gt;TOTAL_BEDS_AVAILABLE,($D293+W$5)&gt;TOTAL_LABOR_HOURS_CAP,MAX(0,($D293+W$5)-PERMANENT_FIELD_LABOR_HOURS)&gt;TEMP_HOURS_CAP),"",$C293+W$6-MIN(($D293+W$5),PERMANENT_FIELD_LABOR_HOURS)*PERMANENT_HOURLY_RATE-MAX(0,($D293+W$5)-PERMANENT_FIELD_LABOR_HOURS)*TEMP_HOURLY_RATE-FIXED_SEASON_COST)</f>
        <v>26324.2448074073</v>
      </c>
      <c r="X293" s="53" t="n">
        <f aca="false">IF(OR($A293&gt;TOMATO_BED_CAP,$B293&gt;CARROT_BED_CAP,X$4&gt;MESCLUN_BED_CAP,$A293+$B293+X$4&gt;TOTAL_BEDS_AVAILABLE,($D293+X$5)&gt;TOTAL_LABOR_HOURS_CAP,MAX(0,($D293+X$5)-PERMANENT_FIELD_LABOR_HOURS)&gt;TEMP_HOURS_CAP),"",$C293+X$6-MIN(($D293+X$5),PERMANENT_FIELD_LABOR_HOURS)*PERMANENT_HOURLY_RATE-MAX(0,($D293+X$5)-PERMANENT_FIELD_LABOR_HOURS)*TEMP_HOURLY_RATE-FIXED_SEASON_COST)</f>
        <v>26962.2546356862</v>
      </c>
      <c r="Y293" s="53" t="n">
        <f aca="false">IF(OR($A293&gt;TOMATO_BED_CAP,$B293&gt;CARROT_BED_CAP,Y$4&gt;MESCLUN_BED_CAP,$A293+$B293+Y$4&gt;TOTAL_BEDS_AVAILABLE,($D293+Y$5)&gt;TOTAL_LABOR_HOURS_CAP,MAX(0,($D293+Y$5)-PERMANENT_FIELD_LABOR_HOURS)&gt;TEMP_HOURS_CAP),"",$C293+Y$6-MIN(($D293+Y$5),PERMANENT_FIELD_LABOR_HOURS)*PERMANENT_HOURLY_RATE-MAX(0,($D293+Y$5)-PERMANENT_FIELD_LABOR_HOURS)*TEMP_HOURLY_RATE-FIXED_SEASON_COST)</f>
        <v>27573.2776985649</v>
      </c>
      <c r="Z293" s="53" t="n">
        <f aca="false">IF(OR($A293&gt;TOMATO_BED_CAP,$B293&gt;CARROT_BED_CAP,Z$4&gt;MESCLUN_BED_CAP,$A293+$B293+Z$4&gt;TOTAL_BEDS_AVAILABLE,($D293+Z$5)&gt;TOTAL_LABOR_HOURS_CAP,MAX(0,($D293+Z$5)-PERMANENT_FIELD_LABOR_HOURS)&gt;TEMP_HOURS_CAP),"",$C293+Z$6-MIN(($D293+Z$5),PERMANENT_FIELD_LABOR_HOURS)*PERMANENT_HOURLY_RATE-MAX(0,($D293+Z$5)-PERMANENT_FIELD_LABOR_HOURS)*TEMP_HOURLY_RATE-FIXED_SEASON_COST)</f>
        <v>28156.8240128726</v>
      </c>
      <c r="AA293" s="53" t="n">
        <f aca="false">IF(OR($A293&gt;TOMATO_BED_CAP,$B293&gt;CARROT_BED_CAP,AA$4&gt;MESCLUN_BED_CAP,$A293+$B293+AA$4&gt;TOTAL_BEDS_AVAILABLE,($D293+AA$5)&gt;TOTAL_LABOR_HOURS_CAP,MAX(0,($D293+AA$5)-PERMANENT_FIELD_LABOR_HOURS)&gt;TEMP_HOURS_CAP),"",$C293+AA$6-MIN(($D293+AA$5),PERMANENT_FIELD_LABOR_HOURS)*PERMANENT_HOURLY_RATE-MAX(0,($D293+AA$5)-PERMANENT_FIELD_LABOR_HOURS)*TEMP_HOURLY_RATE-FIXED_SEASON_COST)</f>
        <v>28712.3955625416</v>
      </c>
      <c r="AB293" s="53" t="n">
        <f aca="false">IF(OR($A293&gt;TOMATO_BED_CAP,$B293&gt;CARROT_BED_CAP,AB$4&gt;MESCLUN_BED_CAP,$A293+$B293+AB$4&gt;TOTAL_BEDS_AVAILABLE,($D293+AB$5)&gt;TOTAL_LABOR_HOURS_CAP,MAX(0,($D293+AB$5)-PERMANENT_FIELD_LABOR_HOURS)&gt;TEMP_HOURS_CAP),"",$C293+AB$6-MIN(($D293+AB$5),PERMANENT_FIELD_LABOR_HOURS)*PERMANENT_HOURLY_RATE-MAX(0,($D293+AB$5)-PERMANENT_FIELD_LABOR_HOURS)*TEMP_HOURLY_RATE-FIXED_SEASON_COST)</f>
        <v>29239.4861743441</v>
      </c>
      <c r="AC293" s="53" t="n">
        <f aca="false">IF(OR($A293&gt;TOMATO_BED_CAP,$B293&gt;CARROT_BED_CAP,AC$4&gt;MESCLUN_BED_CAP,$A293+$B293+AC$4&gt;TOTAL_BEDS_AVAILABLE,($D293+AC$5)&gt;TOTAL_LABOR_HOURS_CAP,MAX(0,($D293+AC$5)-PERMANENT_FIELD_LABOR_HOURS)&gt;TEMP_HOURS_CAP),"",$C293+AC$6-MIN(($D293+AC$5),PERMANENT_FIELD_LABOR_HOURS)*PERMANENT_HOURLY_RATE-MAX(0,($D293+AC$5)-PERMANENT_FIELD_LABOR_HOURS)*TEMP_HOURLY_RATE-FIXED_SEASON_COST)</f>
        <v>29737.581391779</v>
      </c>
      <c r="AD293" s="53" t="n">
        <f aca="false">IF(OR($A293&gt;TOMATO_BED_CAP,$B293&gt;CARROT_BED_CAP,AD$4&gt;MESCLUN_BED_CAP,$A293+$B293+AD$4&gt;TOTAL_BEDS_AVAILABLE,($D293+AD$5)&gt;TOTAL_LABOR_HOURS_CAP,MAX(0,($D293+AD$5)-PERMANENT_FIELD_LABOR_HOURS)&gt;TEMP_HOURS_CAP),"",$C293+AD$6-MIN(($D293+AD$5),PERMANENT_FIELD_LABOR_HOURS)*PERMANENT_HOURLY_RATE-MAX(0,($D293+AD$5)-PERMANENT_FIELD_LABOR_HOURS)*TEMP_HOURLY_RATE-FIXED_SEASON_COST)</f>
        <v>30206.158347079</v>
      </c>
      <c r="AE293" s="53" t="n">
        <f aca="false">IF(OR($A293&gt;TOMATO_BED_CAP,$B293&gt;CARROT_BED_CAP,AE$4&gt;MESCLUN_BED_CAP,$A293+$B293+AE$4&gt;TOTAL_BEDS_AVAILABLE,($D293+AE$5)&gt;TOTAL_LABOR_HOURS_CAP,MAX(0,($D293+AE$5)-PERMANENT_FIELD_LABOR_HOURS)&gt;TEMP_HOURS_CAP),"",$C293+AE$6-MIN(($D293+AE$5),PERMANENT_FIELD_LABOR_HOURS)*PERMANENT_HOURLY_RATE-MAX(0,($D293+AE$5)-PERMANENT_FIELD_LABOR_HOURS)*TEMP_HOURLY_RATE-FIXED_SEASON_COST)</f>
        <v>30644.6856313129</v>
      </c>
      <c r="AF293" s="53" t="n">
        <f aca="false">IF(OR($A293&gt;TOMATO_BED_CAP,$B293&gt;CARROT_BED_CAP,AF$4&gt;MESCLUN_BED_CAP,$A293+$B293+AF$4&gt;TOTAL_BEDS_AVAILABLE,($D293+AF$5)&gt;TOTAL_LABOR_HOURS_CAP,MAX(0,($D293+AF$5)-PERMANENT_FIELD_LABOR_HOURS)&gt;TEMP_HOURS_CAP),"",$C293+AF$6-MIN(($D293+AF$5),PERMANENT_FIELD_LABOR_HOURS)*PERMANENT_HOURLY_RATE-MAX(0,($D293+AF$5)-PERMANENT_FIELD_LABOR_HOURS)*TEMP_HOURLY_RATE-FIXED_SEASON_COST)</f>
        <v>31052.6231625548</v>
      </c>
      <c r="AG293" s="53" t="n">
        <f aca="false">IF(OR($A293&gt;TOMATO_BED_CAP,$B293&gt;CARROT_BED_CAP,AG$4&gt;MESCLUN_BED_CAP,$A293+$B293+AG$4&gt;TOTAL_BEDS_AVAILABLE,($D293+AG$5)&gt;TOTAL_LABOR_HOURS_CAP,MAX(0,($D293+AG$5)-PERMANENT_FIELD_LABOR_HOURS)&gt;TEMP_HOURS_CAP),"",$C293+AG$6-MIN(($D293+AG$5),PERMANENT_FIELD_LABOR_HOURS)*PERMANENT_HOURLY_RATE-MAX(0,($D293+AG$5)-PERMANENT_FIELD_LABOR_HOURS)*TEMP_HOURLY_RATE-FIXED_SEASON_COST)</f>
        <v>31429.4220520919</v>
      </c>
      <c r="AH293" s="53" t="n">
        <f aca="false">IF(OR($A293&gt;TOMATO_BED_CAP,$B293&gt;CARROT_BED_CAP,AH$4&gt;MESCLUN_BED_CAP,$A293+$B293+AH$4&gt;TOTAL_BEDS_AVAILABLE,($D293+AH$5)&gt;TOTAL_LABOR_HOURS_CAP,MAX(0,($D293+AH$5)-PERMANENT_FIELD_LABOR_HOURS)&gt;TEMP_HOURS_CAP),"",$C293+AH$6-MIN(($D293+AH$5),PERMANENT_FIELD_LABOR_HOURS)*PERMANENT_HOURLY_RATE-MAX(0,($D293+AH$5)-PERMANENT_FIELD_LABOR_HOURS)*TEMP_HOURLY_RATE-FIXED_SEASON_COST)</f>
        <v>31774.5244686421</v>
      </c>
      <c r="AI293" s="53" t="n">
        <f aca="false">IF(OR($A293&gt;TOMATO_BED_CAP,$B293&gt;CARROT_BED_CAP,AI$4&gt;MESCLUN_BED_CAP,$A293+$B293+AI$4&gt;TOTAL_BEDS_AVAILABLE,($D293+AI$5)&gt;TOTAL_LABOR_HOURS_CAP,MAX(0,($D293+AI$5)-PERMANENT_FIELD_LABOR_HOURS)&gt;TEMP_HOURS_CAP),"",$C293+AI$6-MIN(($D293+AI$5),PERMANENT_FIELD_LABOR_HOURS)*PERMANENT_HOURLY_RATE-MAX(0,($D293+AI$5)-PERMANENT_FIELD_LABOR_HOURS)*TEMP_HOURLY_RATE-FIXED_SEASON_COST)</f>
        <v>32087.3635005543</v>
      </c>
      <c r="AJ293" s="53" t="str">
        <f aca="false">IF(OR($A293&gt;TOMATO_BED_CAP,$B293&gt;CARROT_BED_CAP,AJ$4&gt;MESCLUN_BED_CAP,$A293+$B293+AJ$4&gt;TOTAL_BEDS_AVAILABLE,($D293+AJ$5)&gt;TOTAL_LABOR_HOURS_CAP,MAX(0,($D293+AJ$5)-PERMANENT_FIELD_LABOR_HOURS)&gt;TEMP_HOURS_CAP),"",$C293+AJ$6-MIN(($D293+AJ$5),PERMANENT_FIELD_LABOR_HOURS)*PERMANENT_HOURLY_RATE-MAX(0,($D293+AJ$5)-PERMANENT_FIELD_LABOR_HOURS)*TEMP_HOURLY_RATE-FIXED_SEASON_COST)</f>
        <v/>
      </c>
    </row>
    <row r="294" customFormat="false" ht="15" hidden="false" customHeight="false" outlineLevel="0" collapsed="false">
      <c r="A294" s="21" t="n">
        <f aca="false">INT((ROW()-ROW($A$8))/(20+1))</f>
        <v>13</v>
      </c>
      <c r="B294" s="21" t="n">
        <f aca="false">MOD(ROW()-ROW($A$8),20+1)</f>
        <v>13</v>
      </c>
      <c r="C294" s="13" t="n">
        <f aca="false">A294*(TOMATO_REVENUE_PER_BED-TOMATO_FERTILIZER_PER_BED)+B294*(CARROT_REVENUE_PER_BED-CARROT_FERTILIZER_PER_BED)</f>
        <v>124462</v>
      </c>
      <c r="D294" s="14" t="n">
        <f aca="false">INDEX(TOMATO_SCHED_LABOR_HRS,A294+1)+INDEX(CARROT_SCHED_LABOR_HRS,B294+1)</f>
        <v>4576.56158060939</v>
      </c>
      <c r="E294" s="13" t="n">
        <f aca="false">IF(COUNT(F294:AJ294)=0,"",MAX(F294:AJ294))</f>
        <v>32813.6807400878</v>
      </c>
      <c r="F294" s="53" t="n">
        <f aca="false">IF(OR($A294&gt;TOMATO_BED_CAP,$B294&gt;CARROT_BED_CAP,F$4&gt;MESCLUN_BED_CAP,$A294+$B294+F$4&gt;TOTAL_BEDS_AVAILABLE,($D294+F$5)&gt;TOTAL_LABOR_HOURS_CAP,MAX(0,($D294+F$5)-PERMANENT_FIELD_LABOR_HOURS)&gt;TEMP_HOURS_CAP),"",$C294+F$6-MIN(($D294+F$5),PERMANENT_FIELD_LABOR_HOURS)*PERMANENT_HOURLY_RATE-MAX(0,($D294+F$5)-PERMANENT_FIELD_LABOR_HOURS)*TEMP_HOURLY_RATE-FIXED_SEASON_COST)</f>
        <v>12513.690960621</v>
      </c>
      <c r="G294" s="53" t="n">
        <f aca="false">IF(OR($A294&gt;TOMATO_BED_CAP,$B294&gt;CARROT_BED_CAP,G$4&gt;MESCLUN_BED_CAP,$A294+$B294+G$4&gt;TOTAL_BEDS_AVAILABLE,($D294+G$5)&gt;TOTAL_LABOR_HOURS_CAP,MAX(0,($D294+G$5)-PERMANENT_FIELD_LABOR_HOURS)&gt;TEMP_HOURS_CAP),"",$C294+G$6-MIN(($D294+G$5),PERMANENT_FIELD_LABOR_HOURS)*PERMANENT_HOURLY_RATE-MAX(0,($D294+G$5)-PERMANENT_FIELD_LABOR_HOURS)*TEMP_HOURLY_RATE-FIXED_SEASON_COST)</f>
        <v>13542.725960621</v>
      </c>
      <c r="H294" s="53" t="n">
        <f aca="false">IF(OR($A294&gt;TOMATO_BED_CAP,$B294&gt;CARROT_BED_CAP,H$4&gt;MESCLUN_BED_CAP,$A294+$B294+H$4&gt;TOTAL_BEDS_AVAILABLE,($D294+H$5)&gt;TOTAL_LABOR_HOURS_CAP,MAX(0,($D294+H$5)-PERMANENT_FIELD_LABOR_HOURS)&gt;TEMP_HOURS_CAP),"",$C294+H$6-MIN(($D294+H$5),PERMANENT_FIELD_LABOR_HOURS)*PERMANENT_HOURLY_RATE-MAX(0,($D294+H$5)-PERMANENT_FIELD_LABOR_HOURS)*TEMP_HOURLY_RATE-FIXED_SEASON_COST)</f>
        <v>14551.986835621</v>
      </c>
      <c r="I294" s="53" t="n">
        <f aca="false">IF(OR($A294&gt;TOMATO_BED_CAP,$B294&gt;CARROT_BED_CAP,I$4&gt;MESCLUN_BED_CAP,$A294+$B294+I$4&gt;TOTAL_BEDS_AVAILABLE,($D294+I$5)&gt;TOTAL_LABOR_HOURS_CAP,MAX(0,($D294+I$5)-PERMANENT_FIELD_LABOR_HOURS)&gt;TEMP_HOURS_CAP),"",$C294+I$6-MIN(($D294+I$5),PERMANENT_FIELD_LABOR_HOURS)*PERMANENT_HOURLY_RATE-MAX(0,($D294+I$5)-PERMANENT_FIELD_LABOR_HOURS)*TEMP_HOURLY_RATE-FIXED_SEASON_COST)</f>
        <v>15541.1028207772</v>
      </c>
      <c r="J294" s="53" t="n">
        <f aca="false">IF(OR($A294&gt;TOMATO_BED_CAP,$B294&gt;CARROT_BED_CAP,J$4&gt;MESCLUN_BED_CAP,$A294+$B294+J$4&gt;TOTAL_BEDS_AVAILABLE,($D294+J$5)&gt;TOTAL_LABOR_HOURS_CAP,MAX(0,($D294+J$5)-PERMANENT_FIELD_LABOR_HOURS)&gt;TEMP_HOURS_CAP),"",$C294+J$6-MIN(($D294+J$5),PERMANENT_FIELD_LABOR_HOURS)*PERMANENT_HOURLY_RATE-MAX(0,($D294+J$5)-PERMANENT_FIELD_LABOR_HOURS)*TEMP_HOURLY_RATE-FIXED_SEASON_COST)</f>
        <v>16509.6969718319</v>
      </c>
      <c r="K294" s="53" t="n">
        <f aca="false">IF(OR($A294&gt;TOMATO_BED_CAP,$B294&gt;CARROT_BED_CAP,K$4&gt;MESCLUN_BED_CAP,$A294+$B294+K$4&gt;TOTAL_BEDS_AVAILABLE,($D294+K$5)&gt;TOTAL_LABOR_HOURS_CAP,MAX(0,($D294+K$5)-PERMANENT_FIELD_LABOR_HOURS)&gt;TEMP_HOURS_CAP),"",$C294+K$6-MIN(($D294+K$5),PERMANENT_FIELD_LABOR_HOURS)*PERMANENT_HOURLY_RATE-MAX(0,($D294+K$5)-PERMANENT_FIELD_LABOR_HOURS)*TEMP_HOURLY_RATE-FIXED_SEASON_COST)</f>
        <v>17457.3860685598</v>
      </c>
      <c r="L294" s="53" t="n">
        <f aca="false">IF(OR($A294&gt;TOMATO_BED_CAP,$B294&gt;CARROT_BED_CAP,L$4&gt;MESCLUN_BED_CAP,$A294+$B294+L$4&gt;TOTAL_BEDS_AVAILABLE,($D294+L$5)&gt;TOTAL_LABOR_HOURS_CAP,MAX(0,($D294+L$5)-PERMANENT_FIELD_LABOR_HOURS)&gt;TEMP_HOURS_CAP),"",$C294+L$6-MIN(($D294+L$5),PERMANENT_FIELD_LABOR_HOURS)*PERMANENT_HOURLY_RATE-MAX(0,($D294+L$5)-PERMANENT_FIELD_LABOR_HOURS)*TEMP_HOURLY_RATE-FIXED_SEASON_COST)</f>
        <v>18383.7805167667</v>
      </c>
      <c r="M294" s="53" t="n">
        <f aca="false">IF(OR($A294&gt;TOMATO_BED_CAP,$B294&gt;CARROT_BED_CAP,M$4&gt;MESCLUN_BED_CAP,$A294+$B294+M$4&gt;TOTAL_BEDS_AVAILABLE,($D294+M$5)&gt;TOTAL_LABOR_HOURS_CAP,MAX(0,($D294+M$5)-PERMANENT_FIELD_LABOR_HOURS)&gt;TEMP_HOURS_CAP),"",$C294+M$6-MIN(($D294+M$5),PERMANENT_FIELD_LABOR_HOURS)*PERMANENT_HOURLY_RATE-MAX(0,($D294+M$5)-PERMANENT_FIELD_LABOR_HOURS)*TEMP_HOURLY_RATE-FIXED_SEASON_COST)</f>
        <v>19288.4842488181</v>
      </c>
      <c r="N294" s="53" t="n">
        <f aca="false">IF(OR($A294&gt;TOMATO_BED_CAP,$B294&gt;CARROT_BED_CAP,N$4&gt;MESCLUN_BED_CAP,$A294+$B294+N$4&gt;TOTAL_BEDS_AVAILABLE,($D294+N$5)&gt;TOTAL_LABOR_HOURS_CAP,MAX(0,($D294+N$5)-PERMANENT_FIELD_LABOR_HOURS)&gt;TEMP_HOURS_CAP),"",$C294+N$6-MIN(($D294+N$5),PERMANENT_FIELD_LABOR_HOURS)*PERMANENT_HOURLY_RATE-MAX(0,($D294+N$5)-PERMANENT_FIELD_LABOR_HOURS)*TEMP_HOURLY_RATE-FIXED_SEASON_COST)</f>
        <v>20171.0946226776</v>
      </c>
      <c r="O294" s="53" t="n">
        <f aca="false">IF(OR($A294&gt;TOMATO_BED_CAP,$B294&gt;CARROT_BED_CAP,O$4&gt;MESCLUN_BED_CAP,$A294+$B294+O$4&gt;TOTAL_BEDS_AVAILABLE,($D294+O$5)&gt;TOTAL_LABOR_HOURS_CAP,MAX(0,($D294+O$5)-PERMANENT_FIELD_LABOR_HOURS)&gt;TEMP_HOURS_CAP),"",$C294+O$6-MIN(($D294+O$5),PERMANENT_FIELD_LABOR_HOURS)*PERMANENT_HOURLY_RATE-MAX(0,($D294+O$5)-PERMANENT_FIELD_LABOR_HOURS)*TEMP_HOURLY_RATE-FIXED_SEASON_COST)</f>
        <v>21031.2023194324</v>
      </c>
      <c r="P294" s="53" t="n">
        <f aca="false">IF(OR($A294&gt;TOMATO_BED_CAP,$B294&gt;CARROT_BED_CAP,P$4&gt;MESCLUN_BED_CAP,$A294+$B294+P$4&gt;TOTAL_BEDS_AVAILABLE,($D294+P$5)&gt;TOTAL_LABOR_HOURS_CAP,MAX(0,($D294+P$5)-PERMANENT_FIELD_LABOR_HOURS)&gt;TEMP_HOURS_CAP),"",$C294+P$6-MIN(($D294+P$5),PERMANENT_FIELD_LABOR_HOURS)*PERMANENT_HOURLY_RATE-MAX(0,($D294+P$5)-PERMANENT_FIELD_LABOR_HOURS)*TEMP_HOURLY_RATE-FIXED_SEASON_COST)</f>
        <v>21868.3912392838</v>
      </c>
      <c r="Q294" s="53" t="n">
        <f aca="false">IF(OR($A294&gt;TOMATO_BED_CAP,$B294&gt;CARROT_BED_CAP,Q$4&gt;MESCLUN_BED_CAP,$A294+$B294+Q$4&gt;TOTAL_BEDS_AVAILABLE,($D294+Q$5)&gt;TOTAL_LABOR_HOURS_CAP,MAX(0,($D294+Q$5)-PERMANENT_FIELD_LABOR_HOURS)&gt;TEMP_HOURS_CAP),"",$C294+Q$6-MIN(($D294+Q$5),PERMANENT_FIELD_LABOR_HOURS)*PERMANENT_HOURLY_RATE-MAX(0,($D294+Q$5)-PERMANENT_FIELD_LABOR_HOURS)*TEMP_HOURLY_RATE-FIXED_SEASON_COST)</f>
        <v>22682.2383959817</v>
      </c>
      <c r="R294" s="53" t="n">
        <f aca="false">IF(OR($A294&gt;TOMATO_BED_CAP,$B294&gt;CARROT_BED_CAP,R$4&gt;MESCLUN_BED_CAP,$A294+$B294+R$4&gt;TOTAL_BEDS_AVAILABLE,($D294+R$5)&gt;TOTAL_LABOR_HOURS_CAP,MAX(0,($D294+R$5)-PERMANENT_FIELD_LABOR_HOURS)&gt;TEMP_HOURS_CAP),"",$C294+R$6-MIN(($D294+R$5),PERMANENT_FIELD_LABOR_HOURS)*PERMANENT_HOURLY_RATE-MAX(0,($D294+R$5)-PERMANENT_FIELD_LABOR_HOURS)*TEMP_HOURLY_RATE-FIXED_SEASON_COST)</f>
        <v>23472.3138096785</v>
      </c>
      <c r="S294" s="53" t="n">
        <f aca="false">IF(OR($A294&gt;TOMATO_BED_CAP,$B294&gt;CARROT_BED_CAP,S$4&gt;MESCLUN_BED_CAP,$A294+$B294+S$4&gt;TOTAL_BEDS_AVAILABLE,($D294+S$5)&gt;TOTAL_LABOR_HOURS_CAP,MAX(0,($D294+S$5)-PERMANENT_FIELD_LABOR_HOURS)&gt;TEMP_HOURS_CAP),"",$C294+S$6-MIN(($D294+S$5),PERMANENT_FIELD_LABOR_HOURS)*PERMANENT_HOURLY_RATE-MAX(0,($D294+S$5)-PERMANENT_FIELD_LABOR_HOURS)*TEMP_HOURLY_RATE-FIXED_SEASON_COST)</f>
        <v>24238.180398181</v>
      </c>
      <c r="T294" s="53" t="n">
        <f aca="false">IF(OR($A294&gt;TOMATO_BED_CAP,$B294&gt;CARROT_BED_CAP,T$4&gt;MESCLUN_BED_CAP,$A294+$B294+T$4&gt;TOTAL_BEDS_AVAILABLE,($D294+T$5)&gt;TOTAL_LABOR_HOURS_CAP,MAX(0,($D294+T$5)-PERMANENT_FIELD_LABOR_HOURS)&gt;TEMP_HOURS_CAP),"",$C294+T$6-MIN(($D294+T$5),PERMANENT_FIELD_LABOR_HOURS)*PERMANENT_HOURLY_RATE-MAX(0,($D294+T$5)-PERMANENT_FIELD_LABOR_HOURS)*TEMP_HOURLY_RATE-FIXED_SEASON_COST)</f>
        <v>24979.3938665758</v>
      </c>
      <c r="U294" s="53" t="n">
        <f aca="false">IF(OR($A294&gt;TOMATO_BED_CAP,$B294&gt;CARROT_BED_CAP,U$4&gt;MESCLUN_BED_CAP,$A294+$B294+U$4&gt;TOTAL_BEDS_AVAILABLE,($D294+U$5)&gt;TOTAL_LABOR_HOURS_CAP,MAX(0,($D294+U$5)-PERMANENT_FIELD_LABOR_HOURS)&gt;TEMP_HOURS_CAP),"",$C294+U$6-MIN(($D294+U$5),PERMANENT_FIELD_LABOR_HOURS)*PERMANENT_HOURLY_RATE-MAX(0,($D294+U$5)-PERMANENT_FIELD_LABOR_HOURS)*TEMP_HOURLY_RATE-FIXED_SEASON_COST)</f>
        <v>25695.5025952059</v>
      </c>
      <c r="V294" s="53" t="n">
        <f aca="false">IF(OR($A294&gt;TOMATO_BED_CAP,$B294&gt;CARROT_BED_CAP,V$4&gt;MESCLUN_BED_CAP,$A294+$B294+V$4&gt;TOTAL_BEDS_AVAILABLE,($D294+V$5)&gt;TOTAL_LABOR_HOURS_CAP,MAX(0,($D294+V$5)-PERMANENT_FIELD_LABOR_HOURS)&gt;TEMP_HOURS_CAP),"",$C294+V$6-MIN(($D294+V$5),PERMANENT_FIELD_LABOR_HOURS)*PERMANENT_HOURLY_RATE-MAX(0,($D294+V$5)-PERMANENT_FIELD_LABOR_HOURS)*TEMP_HOURLY_RATE-FIXED_SEASON_COST)</f>
        <v>26386.0475259727</v>
      </c>
      <c r="W294" s="53" t="n">
        <f aca="false">IF(OR($A294&gt;TOMATO_BED_CAP,$B294&gt;CARROT_BED_CAP,W$4&gt;MESCLUN_BED_CAP,$A294+$B294+W$4&gt;TOTAL_BEDS_AVAILABLE,($D294+W$5)&gt;TOTAL_LABOR_HOURS_CAP,MAX(0,($D294+W$5)-PERMANENT_FIELD_LABOR_HOURS)&gt;TEMP_HOURS_CAP),"",$C294+W$6-MIN(($D294+W$5),PERMANENT_FIELD_LABOR_HOURS)*PERMANENT_HOURLY_RATE-MAX(0,($D294+W$5)-PERMANENT_FIELD_LABOR_HOURS)*TEMP_HOURLY_RATE-FIXED_SEASON_COST)</f>
        <v>27050.5620469408</v>
      </c>
      <c r="X294" s="53" t="n">
        <f aca="false">IF(OR($A294&gt;TOMATO_BED_CAP,$B294&gt;CARROT_BED_CAP,X$4&gt;MESCLUN_BED_CAP,$A294+$B294+X$4&gt;TOTAL_BEDS_AVAILABLE,($D294+X$5)&gt;TOTAL_LABOR_HOURS_CAP,MAX(0,($D294+X$5)-PERMANENT_FIELD_LABOR_HOURS)&gt;TEMP_HOURS_CAP),"",$C294+X$6-MIN(($D294+X$5),PERMANENT_FIELD_LABOR_HOURS)*PERMANENT_HOURLY_RATE-MAX(0,($D294+X$5)-PERMANENT_FIELD_LABOR_HOURS)*TEMP_HOURLY_RATE-FIXED_SEASON_COST)</f>
        <v>27688.5718752197</v>
      </c>
      <c r="Y294" s="53" t="n">
        <f aca="false">IF(OR($A294&gt;TOMATO_BED_CAP,$B294&gt;CARROT_BED_CAP,Y$4&gt;MESCLUN_BED_CAP,$A294+$B294+Y$4&gt;TOTAL_BEDS_AVAILABLE,($D294+Y$5)&gt;TOTAL_LABOR_HOURS_CAP,MAX(0,($D294+Y$5)-PERMANENT_FIELD_LABOR_HOURS)&gt;TEMP_HOURS_CAP),"",$C294+Y$6-MIN(($D294+Y$5),PERMANENT_FIELD_LABOR_HOURS)*PERMANENT_HOURLY_RATE-MAX(0,($D294+Y$5)-PERMANENT_FIELD_LABOR_HOURS)*TEMP_HOURLY_RATE-FIXED_SEASON_COST)</f>
        <v>28299.5949380983</v>
      </c>
      <c r="Z294" s="53" t="n">
        <f aca="false">IF(OR($A294&gt;TOMATO_BED_CAP,$B294&gt;CARROT_BED_CAP,Z$4&gt;MESCLUN_BED_CAP,$A294+$B294+Z$4&gt;TOTAL_BEDS_AVAILABLE,($D294+Z$5)&gt;TOTAL_LABOR_HOURS_CAP,MAX(0,($D294+Z$5)-PERMANENT_FIELD_LABOR_HOURS)&gt;TEMP_HOURS_CAP),"",$C294+Z$6-MIN(($D294+Z$5),PERMANENT_FIELD_LABOR_HOURS)*PERMANENT_HOURLY_RATE-MAX(0,($D294+Z$5)-PERMANENT_FIELD_LABOR_HOURS)*TEMP_HOURLY_RATE-FIXED_SEASON_COST)</f>
        <v>28883.1412524061</v>
      </c>
      <c r="AA294" s="53" t="n">
        <f aca="false">IF(OR($A294&gt;TOMATO_BED_CAP,$B294&gt;CARROT_BED_CAP,AA$4&gt;MESCLUN_BED_CAP,$A294+$B294+AA$4&gt;TOTAL_BEDS_AVAILABLE,($D294+AA$5)&gt;TOTAL_LABOR_HOURS_CAP,MAX(0,($D294+AA$5)-PERMANENT_FIELD_LABOR_HOURS)&gt;TEMP_HOURS_CAP),"",$C294+AA$6-MIN(($D294+AA$5),PERMANENT_FIELD_LABOR_HOURS)*PERMANENT_HOURLY_RATE-MAX(0,($D294+AA$5)-PERMANENT_FIELD_LABOR_HOURS)*TEMP_HOURLY_RATE-FIXED_SEASON_COST)</f>
        <v>29438.712802075</v>
      </c>
      <c r="AB294" s="53" t="n">
        <f aca="false">IF(OR($A294&gt;TOMATO_BED_CAP,$B294&gt;CARROT_BED_CAP,AB$4&gt;MESCLUN_BED_CAP,$A294+$B294+AB$4&gt;TOTAL_BEDS_AVAILABLE,($D294+AB$5)&gt;TOTAL_LABOR_HOURS_CAP,MAX(0,($D294+AB$5)-PERMANENT_FIELD_LABOR_HOURS)&gt;TEMP_HOURS_CAP),"",$C294+AB$6-MIN(($D294+AB$5),PERMANENT_FIELD_LABOR_HOURS)*PERMANENT_HOURLY_RATE-MAX(0,($D294+AB$5)-PERMANENT_FIELD_LABOR_HOURS)*TEMP_HOURLY_RATE-FIXED_SEASON_COST)</f>
        <v>29965.8034138776</v>
      </c>
      <c r="AC294" s="53" t="n">
        <f aca="false">IF(OR($A294&gt;TOMATO_BED_CAP,$B294&gt;CARROT_BED_CAP,AC$4&gt;MESCLUN_BED_CAP,$A294+$B294+AC$4&gt;TOTAL_BEDS_AVAILABLE,($D294+AC$5)&gt;TOTAL_LABOR_HOURS_CAP,MAX(0,($D294+AC$5)-PERMANENT_FIELD_LABOR_HOURS)&gt;TEMP_HOURS_CAP),"",$C294+AC$6-MIN(($D294+AC$5),PERMANENT_FIELD_LABOR_HOURS)*PERMANENT_HOURLY_RATE-MAX(0,($D294+AC$5)-PERMANENT_FIELD_LABOR_HOURS)*TEMP_HOURLY_RATE-FIXED_SEASON_COST)</f>
        <v>30463.8986313125</v>
      </c>
      <c r="AD294" s="53" t="n">
        <f aca="false">IF(OR($A294&gt;TOMATO_BED_CAP,$B294&gt;CARROT_BED_CAP,AD$4&gt;MESCLUN_BED_CAP,$A294+$B294+AD$4&gt;TOTAL_BEDS_AVAILABLE,($D294+AD$5)&gt;TOTAL_LABOR_HOURS_CAP,MAX(0,($D294+AD$5)-PERMANENT_FIELD_LABOR_HOURS)&gt;TEMP_HOURS_CAP),"",$C294+AD$6-MIN(($D294+AD$5),PERMANENT_FIELD_LABOR_HOURS)*PERMANENT_HOURLY_RATE-MAX(0,($D294+AD$5)-PERMANENT_FIELD_LABOR_HOURS)*TEMP_HOURLY_RATE-FIXED_SEASON_COST)</f>
        <v>30932.4755866124</v>
      </c>
      <c r="AE294" s="53" t="n">
        <f aca="false">IF(OR($A294&gt;TOMATO_BED_CAP,$B294&gt;CARROT_BED_CAP,AE$4&gt;MESCLUN_BED_CAP,$A294+$B294+AE$4&gt;TOTAL_BEDS_AVAILABLE,($D294+AE$5)&gt;TOTAL_LABOR_HOURS_CAP,MAX(0,($D294+AE$5)-PERMANENT_FIELD_LABOR_HOURS)&gt;TEMP_HOURS_CAP),"",$C294+AE$6-MIN(($D294+AE$5),PERMANENT_FIELD_LABOR_HOURS)*PERMANENT_HOURLY_RATE-MAX(0,($D294+AE$5)-PERMANENT_FIELD_LABOR_HOURS)*TEMP_HOURLY_RATE-FIXED_SEASON_COST)</f>
        <v>31371.0028708463</v>
      </c>
      <c r="AF294" s="53" t="n">
        <f aca="false">IF(OR($A294&gt;TOMATO_BED_CAP,$B294&gt;CARROT_BED_CAP,AF$4&gt;MESCLUN_BED_CAP,$A294+$B294+AF$4&gt;TOTAL_BEDS_AVAILABLE,($D294+AF$5)&gt;TOTAL_LABOR_HOURS_CAP,MAX(0,($D294+AF$5)-PERMANENT_FIELD_LABOR_HOURS)&gt;TEMP_HOURS_CAP),"",$C294+AF$6-MIN(($D294+AF$5),PERMANENT_FIELD_LABOR_HOURS)*PERMANENT_HOURLY_RATE-MAX(0,($D294+AF$5)-PERMANENT_FIELD_LABOR_HOURS)*TEMP_HOURLY_RATE-FIXED_SEASON_COST)</f>
        <v>31778.9404020883</v>
      </c>
      <c r="AG294" s="53" t="n">
        <f aca="false">IF(OR($A294&gt;TOMATO_BED_CAP,$B294&gt;CARROT_BED_CAP,AG$4&gt;MESCLUN_BED_CAP,$A294+$B294+AG$4&gt;TOTAL_BEDS_AVAILABLE,($D294+AG$5)&gt;TOTAL_LABOR_HOURS_CAP,MAX(0,($D294+AG$5)-PERMANENT_FIELD_LABOR_HOURS)&gt;TEMP_HOURS_CAP),"",$C294+AG$6-MIN(($D294+AG$5),PERMANENT_FIELD_LABOR_HOURS)*PERMANENT_HOURLY_RATE-MAX(0,($D294+AG$5)-PERMANENT_FIELD_LABOR_HOURS)*TEMP_HOURLY_RATE-FIXED_SEASON_COST)</f>
        <v>32155.7392916253</v>
      </c>
      <c r="AH294" s="53" t="n">
        <f aca="false">IF(OR($A294&gt;TOMATO_BED_CAP,$B294&gt;CARROT_BED_CAP,AH$4&gt;MESCLUN_BED_CAP,$A294+$B294+AH$4&gt;TOTAL_BEDS_AVAILABLE,($D294+AH$5)&gt;TOTAL_LABOR_HOURS_CAP,MAX(0,($D294+AH$5)-PERMANENT_FIELD_LABOR_HOURS)&gt;TEMP_HOURS_CAP),"",$C294+AH$6-MIN(($D294+AH$5),PERMANENT_FIELD_LABOR_HOURS)*PERMANENT_HOURLY_RATE-MAX(0,($D294+AH$5)-PERMANENT_FIELD_LABOR_HOURS)*TEMP_HOURLY_RATE-FIXED_SEASON_COST)</f>
        <v>32500.8417081755</v>
      </c>
      <c r="AI294" s="53" t="n">
        <f aca="false">IF(OR($A294&gt;TOMATO_BED_CAP,$B294&gt;CARROT_BED_CAP,AI$4&gt;MESCLUN_BED_CAP,$A294+$B294+AI$4&gt;TOTAL_BEDS_AVAILABLE,($D294+AI$5)&gt;TOTAL_LABOR_HOURS_CAP,MAX(0,($D294+AI$5)-PERMANENT_FIELD_LABOR_HOURS)&gt;TEMP_HOURS_CAP),"",$C294+AI$6-MIN(($D294+AI$5),PERMANENT_FIELD_LABOR_HOURS)*PERMANENT_HOURLY_RATE-MAX(0,($D294+AI$5)-PERMANENT_FIELD_LABOR_HOURS)*TEMP_HOURLY_RATE-FIXED_SEASON_COST)</f>
        <v>32813.6807400878</v>
      </c>
      <c r="AJ294" s="53" t="str">
        <f aca="false">IF(OR($A294&gt;TOMATO_BED_CAP,$B294&gt;CARROT_BED_CAP,AJ$4&gt;MESCLUN_BED_CAP,$A294+$B294+AJ$4&gt;TOTAL_BEDS_AVAILABLE,($D294+AJ$5)&gt;TOTAL_LABOR_HOURS_CAP,MAX(0,($D294+AJ$5)-PERMANENT_FIELD_LABOR_HOURS)&gt;TEMP_HOURS_CAP),"",$C294+AJ$6-MIN(($D294+AJ$5),PERMANENT_FIELD_LABOR_HOURS)*PERMANENT_HOURLY_RATE-MAX(0,($D294+AJ$5)-PERMANENT_FIELD_LABOR_HOURS)*TEMP_HOURLY_RATE-FIXED_SEASON_COST)</f>
        <v/>
      </c>
    </row>
    <row r="295" customFormat="false" ht="15" hidden="false" customHeight="false" outlineLevel="0" collapsed="false">
      <c r="A295" s="21" t="n">
        <f aca="false">INT((ROW()-ROW($A$8))/(20+1))</f>
        <v>13</v>
      </c>
      <c r="B295" s="21" t="n">
        <f aca="false">MOD(ROW()-ROW($A$8),20+1)</f>
        <v>14</v>
      </c>
      <c r="C295" s="13" t="n">
        <f aca="false">A295*(TOMATO_REVENUE_PER_BED-TOMATO_FERTILIZER_PER_BED)+B295*(CARROT_REVENUE_PER_BED-CARROT_FERTILIZER_PER_BED)</f>
        <v>126116</v>
      </c>
      <c r="D295" s="14" t="n">
        <f aca="false">INDEX(TOMATO_SCHED_LABOR_HRS,A295+1)+INDEX(CARROT_SCHED_LABOR_HRS,B295+1)</f>
        <v>4632.36894604699</v>
      </c>
      <c r="E295" s="13" t="n">
        <f aca="false">IF(COUNT(F295:AJ295)=0,"",MAX(F295:AJ295))</f>
        <v>33186.0258441788</v>
      </c>
      <c r="F295" s="53" t="n">
        <f aca="false">IF(OR($A295&gt;TOMATO_BED_CAP,$B295&gt;CARROT_BED_CAP,F$4&gt;MESCLUN_BED_CAP,$A295+$B295+F$4&gt;TOTAL_BEDS_AVAILABLE,($D295+F$5)&gt;TOTAL_LABOR_HOURS_CAP,MAX(0,($D295+F$5)-PERMANENT_FIELD_LABOR_HOURS)&gt;TEMP_HOURS_CAP),"",$C295+F$6-MIN(($D295+F$5),PERMANENT_FIELD_LABOR_HOURS)*PERMANENT_HOURLY_RATE-MAX(0,($D295+F$5)-PERMANENT_FIELD_LABOR_HOURS)*TEMP_HOURLY_RATE-FIXED_SEASON_COST)</f>
        <v>13198.8750966243</v>
      </c>
      <c r="G295" s="53" t="n">
        <f aca="false">IF(OR($A295&gt;TOMATO_BED_CAP,$B295&gt;CARROT_BED_CAP,G$4&gt;MESCLUN_BED_CAP,$A295+$B295+G$4&gt;TOTAL_BEDS_AVAILABLE,($D295+G$5)&gt;TOTAL_LABOR_HOURS_CAP,MAX(0,($D295+G$5)-PERMANENT_FIELD_LABOR_HOURS)&gt;TEMP_HOURS_CAP),"",$C295+G$6-MIN(($D295+G$5),PERMANENT_FIELD_LABOR_HOURS)*PERMANENT_HOURLY_RATE-MAX(0,($D295+G$5)-PERMANENT_FIELD_LABOR_HOURS)*TEMP_HOURLY_RATE-FIXED_SEASON_COST)</f>
        <v>14227.9100966243</v>
      </c>
      <c r="H295" s="53" t="n">
        <f aca="false">IF(OR($A295&gt;TOMATO_BED_CAP,$B295&gt;CARROT_BED_CAP,H$4&gt;MESCLUN_BED_CAP,$A295+$B295+H$4&gt;TOTAL_BEDS_AVAILABLE,($D295+H$5)&gt;TOTAL_LABOR_HOURS_CAP,MAX(0,($D295+H$5)-PERMANENT_FIELD_LABOR_HOURS)&gt;TEMP_HOURS_CAP),"",$C295+H$6-MIN(($D295+H$5),PERMANENT_FIELD_LABOR_HOURS)*PERMANENT_HOURLY_RATE-MAX(0,($D295+H$5)-PERMANENT_FIELD_LABOR_HOURS)*TEMP_HOURLY_RATE-FIXED_SEASON_COST)</f>
        <v>15237.1709716243</v>
      </c>
      <c r="I295" s="53" t="n">
        <f aca="false">IF(OR($A295&gt;TOMATO_BED_CAP,$B295&gt;CARROT_BED_CAP,I$4&gt;MESCLUN_BED_CAP,$A295+$B295+I$4&gt;TOTAL_BEDS_AVAILABLE,($D295+I$5)&gt;TOTAL_LABOR_HOURS_CAP,MAX(0,($D295+I$5)-PERMANENT_FIELD_LABOR_HOURS)&gt;TEMP_HOURS_CAP),"",$C295+I$6-MIN(($D295+I$5),PERMANENT_FIELD_LABOR_HOURS)*PERMANENT_HOURLY_RATE-MAX(0,($D295+I$5)-PERMANENT_FIELD_LABOR_HOURS)*TEMP_HOURLY_RATE-FIXED_SEASON_COST)</f>
        <v>16226.2869567805</v>
      </c>
      <c r="J295" s="53" t="n">
        <f aca="false">IF(OR($A295&gt;TOMATO_BED_CAP,$B295&gt;CARROT_BED_CAP,J$4&gt;MESCLUN_BED_CAP,$A295+$B295+J$4&gt;TOTAL_BEDS_AVAILABLE,($D295+J$5)&gt;TOTAL_LABOR_HOURS_CAP,MAX(0,($D295+J$5)-PERMANENT_FIELD_LABOR_HOURS)&gt;TEMP_HOURS_CAP),"",$C295+J$6-MIN(($D295+J$5),PERMANENT_FIELD_LABOR_HOURS)*PERMANENT_HOURLY_RATE-MAX(0,($D295+J$5)-PERMANENT_FIELD_LABOR_HOURS)*TEMP_HOURLY_RATE-FIXED_SEASON_COST)</f>
        <v>17194.8811078352</v>
      </c>
      <c r="K295" s="53" t="n">
        <f aca="false">IF(OR($A295&gt;TOMATO_BED_CAP,$B295&gt;CARROT_BED_CAP,K$4&gt;MESCLUN_BED_CAP,$A295+$B295+K$4&gt;TOTAL_BEDS_AVAILABLE,($D295+K$5)&gt;TOTAL_LABOR_HOURS_CAP,MAX(0,($D295+K$5)-PERMANENT_FIELD_LABOR_HOURS)&gt;TEMP_HOURS_CAP),"",$C295+K$6-MIN(($D295+K$5),PERMANENT_FIELD_LABOR_HOURS)*PERMANENT_HOURLY_RATE-MAX(0,($D295+K$5)-PERMANENT_FIELD_LABOR_HOURS)*TEMP_HOURLY_RATE-FIXED_SEASON_COST)</f>
        <v>18142.5702045631</v>
      </c>
      <c r="L295" s="53" t="n">
        <f aca="false">IF(OR($A295&gt;TOMATO_BED_CAP,$B295&gt;CARROT_BED_CAP,L$4&gt;MESCLUN_BED_CAP,$A295+$B295+L$4&gt;TOTAL_BEDS_AVAILABLE,($D295+L$5)&gt;TOTAL_LABOR_HOURS_CAP,MAX(0,($D295+L$5)-PERMANENT_FIELD_LABOR_HOURS)&gt;TEMP_HOURS_CAP),"",$C295+L$6-MIN(($D295+L$5),PERMANENT_FIELD_LABOR_HOURS)*PERMANENT_HOURLY_RATE-MAX(0,($D295+L$5)-PERMANENT_FIELD_LABOR_HOURS)*TEMP_HOURLY_RATE-FIXED_SEASON_COST)</f>
        <v>19068.96465277</v>
      </c>
      <c r="M295" s="53" t="n">
        <f aca="false">IF(OR($A295&gt;TOMATO_BED_CAP,$B295&gt;CARROT_BED_CAP,M$4&gt;MESCLUN_BED_CAP,$A295+$B295+M$4&gt;TOTAL_BEDS_AVAILABLE,($D295+M$5)&gt;TOTAL_LABOR_HOURS_CAP,MAX(0,($D295+M$5)-PERMANENT_FIELD_LABOR_HOURS)&gt;TEMP_HOURS_CAP),"",$C295+M$6-MIN(($D295+M$5),PERMANENT_FIELD_LABOR_HOURS)*PERMANENT_HOURLY_RATE-MAX(0,($D295+M$5)-PERMANENT_FIELD_LABOR_HOURS)*TEMP_HOURLY_RATE-FIXED_SEASON_COST)</f>
        <v>19973.6683848214</v>
      </c>
      <c r="N295" s="53" t="n">
        <f aca="false">IF(OR($A295&gt;TOMATO_BED_CAP,$B295&gt;CARROT_BED_CAP,N$4&gt;MESCLUN_BED_CAP,$A295+$B295+N$4&gt;TOTAL_BEDS_AVAILABLE,($D295+N$5)&gt;TOTAL_LABOR_HOURS_CAP,MAX(0,($D295+N$5)-PERMANENT_FIELD_LABOR_HOURS)&gt;TEMP_HOURS_CAP),"",$C295+N$6-MIN(($D295+N$5),PERMANENT_FIELD_LABOR_HOURS)*PERMANENT_HOURLY_RATE-MAX(0,($D295+N$5)-PERMANENT_FIELD_LABOR_HOURS)*TEMP_HOURLY_RATE-FIXED_SEASON_COST)</f>
        <v>20856.2787586809</v>
      </c>
      <c r="O295" s="53" t="n">
        <f aca="false">IF(OR($A295&gt;TOMATO_BED_CAP,$B295&gt;CARROT_BED_CAP,O$4&gt;MESCLUN_BED_CAP,$A295+$B295+O$4&gt;TOTAL_BEDS_AVAILABLE,($D295+O$5)&gt;TOTAL_LABOR_HOURS_CAP,MAX(0,($D295+O$5)-PERMANENT_FIELD_LABOR_HOURS)&gt;TEMP_HOURS_CAP),"",$C295+O$6-MIN(($D295+O$5),PERMANENT_FIELD_LABOR_HOURS)*PERMANENT_HOURLY_RATE-MAX(0,($D295+O$5)-PERMANENT_FIELD_LABOR_HOURS)*TEMP_HOURLY_RATE-FIXED_SEASON_COST)</f>
        <v>21716.3864554357</v>
      </c>
      <c r="P295" s="53" t="n">
        <f aca="false">IF(OR($A295&gt;TOMATO_BED_CAP,$B295&gt;CARROT_BED_CAP,P$4&gt;MESCLUN_BED_CAP,$A295+$B295+P$4&gt;TOTAL_BEDS_AVAILABLE,($D295+P$5)&gt;TOTAL_LABOR_HOURS_CAP,MAX(0,($D295+P$5)-PERMANENT_FIELD_LABOR_HOURS)&gt;TEMP_HOURS_CAP),"",$C295+P$6-MIN(($D295+P$5),PERMANENT_FIELD_LABOR_HOURS)*PERMANENT_HOURLY_RATE-MAX(0,($D295+P$5)-PERMANENT_FIELD_LABOR_HOURS)*TEMP_HOURLY_RATE-FIXED_SEASON_COST)</f>
        <v>22553.5753752871</v>
      </c>
      <c r="Q295" s="53" t="n">
        <f aca="false">IF(OR($A295&gt;TOMATO_BED_CAP,$B295&gt;CARROT_BED_CAP,Q$4&gt;MESCLUN_BED_CAP,$A295+$B295+Q$4&gt;TOTAL_BEDS_AVAILABLE,($D295+Q$5)&gt;TOTAL_LABOR_HOURS_CAP,MAX(0,($D295+Q$5)-PERMANENT_FIELD_LABOR_HOURS)&gt;TEMP_HOURS_CAP),"",$C295+Q$6-MIN(($D295+Q$5),PERMANENT_FIELD_LABOR_HOURS)*PERMANENT_HOURLY_RATE-MAX(0,($D295+Q$5)-PERMANENT_FIELD_LABOR_HOURS)*TEMP_HOURLY_RATE-FIXED_SEASON_COST)</f>
        <v>23367.422531985</v>
      </c>
      <c r="R295" s="53" t="n">
        <f aca="false">IF(OR($A295&gt;TOMATO_BED_CAP,$B295&gt;CARROT_BED_CAP,R$4&gt;MESCLUN_BED_CAP,$A295+$B295+R$4&gt;TOTAL_BEDS_AVAILABLE,($D295+R$5)&gt;TOTAL_LABOR_HOURS_CAP,MAX(0,($D295+R$5)-PERMANENT_FIELD_LABOR_HOURS)&gt;TEMP_HOURS_CAP),"",$C295+R$6-MIN(($D295+R$5),PERMANENT_FIELD_LABOR_HOURS)*PERMANENT_HOURLY_RATE-MAX(0,($D295+R$5)-PERMANENT_FIELD_LABOR_HOURS)*TEMP_HOURLY_RATE-FIXED_SEASON_COST)</f>
        <v>24157.4979456818</v>
      </c>
      <c r="S295" s="53" t="n">
        <f aca="false">IF(OR($A295&gt;TOMATO_BED_CAP,$B295&gt;CARROT_BED_CAP,S$4&gt;MESCLUN_BED_CAP,$A295+$B295+S$4&gt;TOTAL_BEDS_AVAILABLE,($D295+S$5)&gt;TOTAL_LABOR_HOURS_CAP,MAX(0,($D295+S$5)-PERMANENT_FIELD_LABOR_HOURS)&gt;TEMP_HOURS_CAP),"",$C295+S$6-MIN(($D295+S$5),PERMANENT_FIELD_LABOR_HOURS)*PERMANENT_HOURLY_RATE-MAX(0,($D295+S$5)-PERMANENT_FIELD_LABOR_HOURS)*TEMP_HOURLY_RATE-FIXED_SEASON_COST)</f>
        <v>24923.3645341843</v>
      </c>
      <c r="T295" s="53" t="n">
        <f aca="false">IF(OR($A295&gt;TOMATO_BED_CAP,$B295&gt;CARROT_BED_CAP,T$4&gt;MESCLUN_BED_CAP,$A295+$B295+T$4&gt;TOTAL_BEDS_AVAILABLE,($D295+T$5)&gt;TOTAL_LABOR_HOURS_CAP,MAX(0,($D295+T$5)-PERMANENT_FIELD_LABOR_HOURS)&gt;TEMP_HOURS_CAP),"",$C295+T$6-MIN(($D295+T$5),PERMANENT_FIELD_LABOR_HOURS)*PERMANENT_HOURLY_RATE-MAX(0,($D295+T$5)-PERMANENT_FIELD_LABOR_HOURS)*TEMP_HOURLY_RATE-FIXED_SEASON_COST)</f>
        <v>25664.5780025791</v>
      </c>
      <c r="U295" s="53" t="n">
        <f aca="false">IF(OR($A295&gt;TOMATO_BED_CAP,$B295&gt;CARROT_BED_CAP,U$4&gt;MESCLUN_BED_CAP,$A295+$B295+U$4&gt;TOTAL_BEDS_AVAILABLE,($D295+U$5)&gt;TOTAL_LABOR_HOURS_CAP,MAX(0,($D295+U$5)-PERMANENT_FIELD_LABOR_HOURS)&gt;TEMP_HOURS_CAP),"",$C295+U$6-MIN(($D295+U$5),PERMANENT_FIELD_LABOR_HOURS)*PERMANENT_HOURLY_RATE-MAX(0,($D295+U$5)-PERMANENT_FIELD_LABOR_HOURS)*TEMP_HOURLY_RATE-FIXED_SEASON_COST)</f>
        <v>26380.6867312092</v>
      </c>
      <c r="V295" s="53" t="n">
        <f aca="false">IF(OR($A295&gt;TOMATO_BED_CAP,$B295&gt;CARROT_BED_CAP,V$4&gt;MESCLUN_BED_CAP,$A295+$B295+V$4&gt;TOTAL_BEDS_AVAILABLE,($D295+V$5)&gt;TOTAL_LABOR_HOURS_CAP,MAX(0,($D295+V$5)-PERMANENT_FIELD_LABOR_HOURS)&gt;TEMP_HOURS_CAP),"",$C295+V$6-MIN(($D295+V$5),PERMANENT_FIELD_LABOR_HOURS)*PERMANENT_HOURLY_RATE-MAX(0,($D295+V$5)-PERMANENT_FIELD_LABOR_HOURS)*TEMP_HOURLY_RATE-FIXED_SEASON_COST)</f>
        <v>27071.231661976</v>
      </c>
      <c r="W295" s="53" t="n">
        <f aca="false">IF(OR($A295&gt;TOMATO_BED_CAP,$B295&gt;CARROT_BED_CAP,W$4&gt;MESCLUN_BED_CAP,$A295+$B295+W$4&gt;TOTAL_BEDS_AVAILABLE,($D295+W$5)&gt;TOTAL_LABOR_HOURS_CAP,MAX(0,($D295+W$5)-PERMANENT_FIELD_LABOR_HOURS)&gt;TEMP_HOURS_CAP),"",$C295+W$6-MIN(($D295+W$5),PERMANENT_FIELD_LABOR_HOURS)*PERMANENT_HOURLY_RATE-MAX(0,($D295+W$5)-PERMANENT_FIELD_LABOR_HOURS)*TEMP_HOURLY_RATE-FIXED_SEASON_COST)</f>
        <v>27735.746182944</v>
      </c>
      <c r="X295" s="53" t="n">
        <f aca="false">IF(OR($A295&gt;TOMATO_BED_CAP,$B295&gt;CARROT_BED_CAP,X$4&gt;MESCLUN_BED_CAP,$A295+$B295+X$4&gt;TOTAL_BEDS_AVAILABLE,($D295+X$5)&gt;TOTAL_LABOR_HOURS_CAP,MAX(0,($D295+X$5)-PERMANENT_FIELD_LABOR_HOURS)&gt;TEMP_HOURS_CAP),"",$C295+X$6-MIN(($D295+X$5),PERMANENT_FIELD_LABOR_HOURS)*PERMANENT_HOURLY_RATE-MAX(0,($D295+X$5)-PERMANENT_FIELD_LABOR_HOURS)*TEMP_HOURLY_RATE-FIXED_SEASON_COST)</f>
        <v>28373.756011223</v>
      </c>
      <c r="Y295" s="53" t="n">
        <f aca="false">IF(OR($A295&gt;TOMATO_BED_CAP,$B295&gt;CARROT_BED_CAP,Y$4&gt;MESCLUN_BED_CAP,$A295+$B295+Y$4&gt;TOTAL_BEDS_AVAILABLE,($D295+Y$5)&gt;TOTAL_LABOR_HOURS_CAP,MAX(0,($D295+Y$5)-PERMANENT_FIELD_LABOR_HOURS)&gt;TEMP_HOURS_CAP),"",$C295+Y$6-MIN(($D295+Y$5),PERMANENT_FIELD_LABOR_HOURS)*PERMANENT_HOURLY_RATE-MAX(0,($D295+Y$5)-PERMANENT_FIELD_LABOR_HOURS)*TEMP_HOURLY_RATE-FIXED_SEASON_COST)</f>
        <v>28984.7790741016</v>
      </c>
      <c r="Z295" s="53" t="n">
        <f aca="false">IF(OR($A295&gt;TOMATO_BED_CAP,$B295&gt;CARROT_BED_CAP,Z$4&gt;MESCLUN_BED_CAP,$A295+$B295+Z$4&gt;TOTAL_BEDS_AVAILABLE,($D295+Z$5)&gt;TOTAL_LABOR_HOURS_CAP,MAX(0,($D295+Z$5)-PERMANENT_FIELD_LABOR_HOURS)&gt;TEMP_HOURS_CAP),"",$C295+Z$6-MIN(($D295+Z$5),PERMANENT_FIELD_LABOR_HOURS)*PERMANENT_HOURLY_RATE-MAX(0,($D295+Z$5)-PERMANENT_FIELD_LABOR_HOURS)*TEMP_HOURLY_RATE-FIXED_SEASON_COST)</f>
        <v>29568.3253884094</v>
      </c>
      <c r="AA295" s="53" t="n">
        <f aca="false">IF(OR($A295&gt;TOMATO_BED_CAP,$B295&gt;CARROT_BED_CAP,AA$4&gt;MESCLUN_BED_CAP,$A295+$B295+AA$4&gt;TOTAL_BEDS_AVAILABLE,($D295+AA$5)&gt;TOTAL_LABOR_HOURS_CAP,MAX(0,($D295+AA$5)-PERMANENT_FIELD_LABOR_HOURS)&gt;TEMP_HOURS_CAP),"",$C295+AA$6-MIN(($D295+AA$5),PERMANENT_FIELD_LABOR_HOURS)*PERMANENT_HOURLY_RATE-MAX(0,($D295+AA$5)-PERMANENT_FIELD_LABOR_HOURS)*TEMP_HOURLY_RATE-FIXED_SEASON_COST)</f>
        <v>30123.8969380783</v>
      </c>
      <c r="AB295" s="53" t="n">
        <f aca="false">IF(OR($A295&gt;TOMATO_BED_CAP,$B295&gt;CARROT_BED_CAP,AB$4&gt;MESCLUN_BED_CAP,$A295+$B295+AB$4&gt;TOTAL_BEDS_AVAILABLE,($D295+AB$5)&gt;TOTAL_LABOR_HOURS_CAP,MAX(0,($D295+AB$5)-PERMANENT_FIELD_LABOR_HOURS)&gt;TEMP_HOURS_CAP),"",$C295+AB$6-MIN(($D295+AB$5),PERMANENT_FIELD_LABOR_HOURS)*PERMANENT_HOURLY_RATE-MAX(0,($D295+AB$5)-PERMANENT_FIELD_LABOR_HOURS)*TEMP_HOURLY_RATE-FIXED_SEASON_COST)</f>
        <v>30650.9875498808</v>
      </c>
      <c r="AC295" s="53" t="n">
        <f aca="false">IF(OR($A295&gt;TOMATO_BED_CAP,$B295&gt;CARROT_BED_CAP,AC$4&gt;MESCLUN_BED_CAP,$A295+$B295+AC$4&gt;TOTAL_BEDS_AVAILABLE,($D295+AC$5)&gt;TOTAL_LABOR_HOURS_CAP,MAX(0,($D295+AC$5)-PERMANENT_FIELD_LABOR_HOURS)&gt;TEMP_HOURS_CAP),"",$C295+AC$6-MIN(($D295+AC$5),PERMANENT_FIELD_LABOR_HOURS)*PERMANENT_HOURLY_RATE-MAX(0,($D295+AC$5)-PERMANENT_FIELD_LABOR_HOURS)*TEMP_HOURLY_RATE-FIXED_SEASON_COST)</f>
        <v>31149.0827673157</v>
      </c>
      <c r="AD295" s="53" t="n">
        <f aca="false">IF(OR($A295&gt;TOMATO_BED_CAP,$B295&gt;CARROT_BED_CAP,AD$4&gt;MESCLUN_BED_CAP,$A295+$B295+AD$4&gt;TOTAL_BEDS_AVAILABLE,($D295+AD$5)&gt;TOTAL_LABOR_HOURS_CAP,MAX(0,($D295+AD$5)-PERMANENT_FIELD_LABOR_HOURS)&gt;TEMP_HOURS_CAP),"",$C295+AD$6-MIN(($D295+AD$5),PERMANENT_FIELD_LABOR_HOURS)*PERMANENT_HOURLY_RATE-MAX(0,($D295+AD$5)-PERMANENT_FIELD_LABOR_HOURS)*TEMP_HOURLY_RATE-FIXED_SEASON_COST)</f>
        <v>31617.6597226157</v>
      </c>
      <c r="AE295" s="53" t="n">
        <f aca="false">IF(OR($A295&gt;TOMATO_BED_CAP,$B295&gt;CARROT_BED_CAP,AE$4&gt;MESCLUN_BED_CAP,$A295+$B295+AE$4&gt;TOTAL_BEDS_AVAILABLE,($D295+AE$5)&gt;TOTAL_LABOR_HOURS_CAP,MAX(0,($D295+AE$5)-PERMANENT_FIELD_LABOR_HOURS)&gt;TEMP_HOURS_CAP),"",$C295+AE$6-MIN(($D295+AE$5),PERMANENT_FIELD_LABOR_HOURS)*PERMANENT_HOURLY_RATE-MAX(0,($D295+AE$5)-PERMANENT_FIELD_LABOR_HOURS)*TEMP_HOURLY_RATE-FIXED_SEASON_COST)</f>
        <v>32056.1870068496</v>
      </c>
      <c r="AF295" s="53" t="n">
        <f aca="false">IF(OR($A295&gt;TOMATO_BED_CAP,$B295&gt;CARROT_BED_CAP,AF$4&gt;MESCLUN_BED_CAP,$A295+$B295+AF$4&gt;TOTAL_BEDS_AVAILABLE,($D295+AF$5)&gt;TOTAL_LABOR_HOURS_CAP,MAX(0,($D295+AF$5)-PERMANENT_FIELD_LABOR_HOURS)&gt;TEMP_HOURS_CAP),"",$C295+AF$6-MIN(($D295+AF$5),PERMANENT_FIELD_LABOR_HOURS)*PERMANENT_HOURLY_RATE-MAX(0,($D295+AF$5)-PERMANENT_FIELD_LABOR_HOURS)*TEMP_HOURLY_RATE-FIXED_SEASON_COST)</f>
        <v>32464.1245380916</v>
      </c>
      <c r="AG295" s="53" t="n">
        <f aca="false">IF(OR($A295&gt;TOMATO_BED_CAP,$B295&gt;CARROT_BED_CAP,AG$4&gt;MESCLUN_BED_CAP,$A295+$B295+AG$4&gt;TOTAL_BEDS_AVAILABLE,($D295+AG$5)&gt;TOTAL_LABOR_HOURS_CAP,MAX(0,($D295+AG$5)-PERMANENT_FIELD_LABOR_HOURS)&gt;TEMP_HOURS_CAP),"",$C295+AG$6-MIN(($D295+AG$5),PERMANENT_FIELD_LABOR_HOURS)*PERMANENT_HOURLY_RATE-MAX(0,($D295+AG$5)-PERMANENT_FIELD_LABOR_HOURS)*TEMP_HOURLY_RATE-FIXED_SEASON_COST)</f>
        <v>32840.9234276286</v>
      </c>
      <c r="AH295" s="53" t="n">
        <f aca="false">IF(OR($A295&gt;TOMATO_BED_CAP,$B295&gt;CARROT_BED_CAP,AH$4&gt;MESCLUN_BED_CAP,$A295+$B295+AH$4&gt;TOTAL_BEDS_AVAILABLE,($D295+AH$5)&gt;TOTAL_LABOR_HOURS_CAP,MAX(0,($D295+AH$5)-PERMANENT_FIELD_LABOR_HOURS)&gt;TEMP_HOURS_CAP),"",$C295+AH$6-MIN(($D295+AH$5),PERMANENT_FIELD_LABOR_HOURS)*PERMANENT_HOURLY_RATE-MAX(0,($D295+AH$5)-PERMANENT_FIELD_LABOR_HOURS)*TEMP_HOURLY_RATE-FIXED_SEASON_COST)</f>
        <v>33186.0258441788</v>
      </c>
      <c r="AI295" s="53" t="str">
        <f aca="false">IF(OR($A295&gt;TOMATO_BED_CAP,$B295&gt;CARROT_BED_CAP,AI$4&gt;MESCLUN_BED_CAP,$A295+$B295+AI$4&gt;TOTAL_BEDS_AVAILABLE,($D295+AI$5)&gt;TOTAL_LABOR_HOURS_CAP,MAX(0,($D295+AI$5)-PERMANENT_FIELD_LABOR_HOURS)&gt;TEMP_HOURS_CAP),"",$C295+AI$6-MIN(($D295+AI$5),PERMANENT_FIELD_LABOR_HOURS)*PERMANENT_HOURLY_RATE-MAX(0,($D295+AI$5)-PERMANENT_FIELD_LABOR_HOURS)*TEMP_HOURLY_RATE-FIXED_SEASON_COST)</f>
        <v/>
      </c>
      <c r="AJ295" s="53" t="str">
        <f aca="false">IF(OR($A295&gt;TOMATO_BED_CAP,$B295&gt;CARROT_BED_CAP,AJ$4&gt;MESCLUN_BED_CAP,$A295+$B295+AJ$4&gt;TOTAL_BEDS_AVAILABLE,($D295+AJ$5)&gt;TOTAL_LABOR_HOURS_CAP,MAX(0,($D295+AJ$5)-PERMANENT_FIELD_LABOR_HOURS)&gt;TEMP_HOURS_CAP),"",$C295+AJ$6-MIN(($D295+AJ$5),PERMANENT_FIELD_LABOR_HOURS)*PERMANENT_HOURLY_RATE-MAX(0,($D295+AJ$5)-PERMANENT_FIELD_LABOR_HOURS)*TEMP_HOURLY_RATE-FIXED_SEASON_COST)</f>
        <v/>
      </c>
    </row>
    <row r="296" customFormat="false" ht="15" hidden="false" customHeight="false" outlineLevel="0" collapsed="false">
      <c r="A296" s="21" t="n">
        <f aca="false">INT((ROW()-ROW($A$8))/(20+1))</f>
        <v>13</v>
      </c>
      <c r="B296" s="21" t="n">
        <f aca="false">MOD(ROW()-ROW($A$8),20+1)</f>
        <v>15</v>
      </c>
      <c r="C296" s="13" t="n">
        <f aca="false">A296*(TOMATO_REVENUE_PER_BED-TOMATO_FERTILIZER_PER_BED)+B296*(CARROT_REVENUE_PER_BED-CARROT_FERTILIZER_PER_BED)</f>
        <v>127770</v>
      </c>
      <c r="D296" s="14" t="n">
        <f aca="false">INDEX(TOMATO_SCHED_LABOR_HRS,A296+1)+INDEX(CARROT_SCHED_LABOR_HRS,B296+1)</f>
        <v>4690.63080209411</v>
      </c>
      <c r="E296" s="13" t="n">
        <f aca="false">IF(COUNT(F296:AJ296)=0,"",MAX(F296:AJ296))</f>
        <v>33828.6000232008</v>
      </c>
      <c r="F296" s="53" t="n">
        <f aca="false">IF(OR($A296&gt;TOMATO_BED_CAP,$B296&gt;CARROT_BED_CAP,F$4&gt;MESCLUN_BED_CAP,$A296+$B296+F$4&gt;TOTAL_BEDS_AVAILABLE,($D296+F$5)&gt;TOTAL_LABOR_HOURS_CAP,MAX(0,($D296+F$5)-PERMANENT_FIELD_LABOR_HOURS)&gt;TEMP_HOURS_CAP),"",$C296+F$6-MIN(($D296+F$5),PERMANENT_FIELD_LABOR_HOURS)*PERMANENT_HOURLY_RATE-MAX(0,($D296+F$5)-PERMANENT_FIELD_LABOR_HOURS)*TEMP_HOURLY_RATE-FIXED_SEASON_COST)</f>
        <v>13841.4492756462</v>
      </c>
      <c r="G296" s="53" t="n">
        <f aca="false">IF(OR($A296&gt;TOMATO_BED_CAP,$B296&gt;CARROT_BED_CAP,G$4&gt;MESCLUN_BED_CAP,$A296+$B296+G$4&gt;TOTAL_BEDS_AVAILABLE,($D296+G$5)&gt;TOTAL_LABOR_HOURS_CAP,MAX(0,($D296+G$5)-PERMANENT_FIELD_LABOR_HOURS)&gt;TEMP_HOURS_CAP),"",$C296+G$6-MIN(($D296+G$5),PERMANENT_FIELD_LABOR_HOURS)*PERMANENT_HOURLY_RATE-MAX(0,($D296+G$5)-PERMANENT_FIELD_LABOR_HOURS)*TEMP_HOURLY_RATE-FIXED_SEASON_COST)</f>
        <v>14870.4842756462</v>
      </c>
      <c r="H296" s="53" t="n">
        <f aca="false">IF(OR($A296&gt;TOMATO_BED_CAP,$B296&gt;CARROT_BED_CAP,H$4&gt;MESCLUN_BED_CAP,$A296+$B296+H$4&gt;TOTAL_BEDS_AVAILABLE,($D296+H$5)&gt;TOTAL_LABOR_HOURS_CAP,MAX(0,($D296+H$5)-PERMANENT_FIELD_LABOR_HOURS)&gt;TEMP_HOURS_CAP),"",$C296+H$6-MIN(($D296+H$5),PERMANENT_FIELD_LABOR_HOURS)*PERMANENT_HOURLY_RATE-MAX(0,($D296+H$5)-PERMANENT_FIELD_LABOR_HOURS)*TEMP_HOURLY_RATE-FIXED_SEASON_COST)</f>
        <v>15879.7451506462</v>
      </c>
      <c r="I296" s="53" t="n">
        <f aca="false">IF(OR($A296&gt;TOMATO_BED_CAP,$B296&gt;CARROT_BED_CAP,I$4&gt;MESCLUN_BED_CAP,$A296+$B296+I$4&gt;TOTAL_BEDS_AVAILABLE,($D296+I$5)&gt;TOTAL_LABOR_HOURS_CAP,MAX(0,($D296+I$5)-PERMANENT_FIELD_LABOR_HOURS)&gt;TEMP_HOURS_CAP),"",$C296+I$6-MIN(($D296+I$5),PERMANENT_FIELD_LABOR_HOURS)*PERMANENT_HOURLY_RATE-MAX(0,($D296+I$5)-PERMANENT_FIELD_LABOR_HOURS)*TEMP_HOURLY_RATE-FIXED_SEASON_COST)</f>
        <v>16868.8611358025</v>
      </c>
      <c r="J296" s="53" t="n">
        <f aca="false">IF(OR($A296&gt;TOMATO_BED_CAP,$B296&gt;CARROT_BED_CAP,J$4&gt;MESCLUN_BED_CAP,$A296+$B296+J$4&gt;TOTAL_BEDS_AVAILABLE,($D296+J$5)&gt;TOTAL_LABOR_HOURS_CAP,MAX(0,($D296+J$5)-PERMANENT_FIELD_LABOR_HOURS)&gt;TEMP_HOURS_CAP),"",$C296+J$6-MIN(($D296+J$5),PERMANENT_FIELD_LABOR_HOURS)*PERMANENT_HOURLY_RATE-MAX(0,($D296+J$5)-PERMANENT_FIELD_LABOR_HOURS)*TEMP_HOURLY_RATE-FIXED_SEASON_COST)</f>
        <v>17837.4552868572</v>
      </c>
      <c r="K296" s="53" t="n">
        <f aca="false">IF(OR($A296&gt;TOMATO_BED_CAP,$B296&gt;CARROT_BED_CAP,K$4&gt;MESCLUN_BED_CAP,$A296+$B296+K$4&gt;TOTAL_BEDS_AVAILABLE,($D296+K$5)&gt;TOTAL_LABOR_HOURS_CAP,MAX(0,($D296+K$5)-PERMANENT_FIELD_LABOR_HOURS)&gt;TEMP_HOURS_CAP),"",$C296+K$6-MIN(($D296+K$5),PERMANENT_FIELD_LABOR_HOURS)*PERMANENT_HOURLY_RATE-MAX(0,($D296+K$5)-PERMANENT_FIELD_LABOR_HOURS)*TEMP_HOURLY_RATE-FIXED_SEASON_COST)</f>
        <v>18785.1443835851</v>
      </c>
      <c r="L296" s="53" t="n">
        <f aca="false">IF(OR($A296&gt;TOMATO_BED_CAP,$B296&gt;CARROT_BED_CAP,L$4&gt;MESCLUN_BED_CAP,$A296+$B296+L$4&gt;TOTAL_BEDS_AVAILABLE,($D296+L$5)&gt;TOTAL_LABOR_HOURS_CAP,MAX(0,($D296+L$5)-PERMANENT_FIELD_LABOR_HOURS)&gt;TEMP_HOURS_CAP),"",$C296+L$6-MIN(($D296+L$5),PERMANENT_FIELD_LABOR_HOURS)*PERMANENT_HOURLY_RATE-MAX(0,($D296+L$5)-PERMANENT_FIELD_LABOR_HOURS)*TEMP_HOURLY_RATE-FIXED_SEASON_COST)</f>
        <v>19711.5388317919</v>
      </c>
      <c r="M296" s="53" t="n">
        <f aca="false">IF(OR($A296&gt;TOMATO_BED_CAP,$B296&gt;CARROT_BED_CAP,M$4&gt;MESCLUN_BED_CAP,$A296+$B296+M$4&gt;TOTAL_BEDS_AVAILABLE,($D296+M$5)&gt;TOTAL_LABOR_HOURS_CAP,MAX(0,($D296+M$5)-PERMANENT_FIELD_LABOR_HOURS)&gt;TEMP_HOURS_CAP),"",$C296+M$6-MIN(($D296+M$5),PERMANENT_FIELD_LABOR_HOURS)*PERMANENT_HOURLY_RATE-MAX(0,($D296+M$5)-PERMANENT_FIELD_LABOR_HOURS)*TEMP_HOURLY_RATE-FIXED_SEASON_COST)</f>
        <v>20616.2425638434</v>
      </c>
      <c r="N296" s="53" t="n">
        <f aca="false">IF(OR($A296&gt;TOMATO_BED_CAP,$B296&gt;CARROT_BED_CAP,N$4&gt;MESCLUN_BED_CAP,$A296+$B296+N$4&gt;TOTAL_BEDS_AVAILABLE,($D296+N$5)&gt;TOTAL_LABOR_HOURS_CAP,MAX(0,($D296+N$5)-PERMANENT_FIELD_LABOR_HOURS)&gt;TEMP_HOURS_CAP),"",$C296+N$6-MIN(($D296+N$5),PERMANENT_FIELD_LABOR_HOURS)*PERMANENT_HOURLY_RATE-MAX(0,($D296+N$5)-PERMANENT_FIELD_LABOR_HOURS)*TEMP_HOURLY_RATE-FIXED_SEASON_COST)</f>
        <v>21498.8529377029</v>
      </c>
      <c r="O296" s="53" t="n">
        <f aca="false">IF(OR($A296&gt;TOMATO_BED_CAP,$B296&gt;CARROT_BED_CAP,O$4&gt;MESCLUN_BED_CAP,$A296+$B296+O$4&gt;TOTAL_BEDS_AVAILABLE,($D296+O$5)&gt;TOTAL_LABOR_HOURS_CAP,MAX(0,($D296+O$5)-PERMANENT_FIELD_LABOR_HOURS)&gt;TEMP_HOURS_CAP),"",$C296+O$6-MIN(($D296+O$5),PERMANENT_FIELD_LABOR_HOURS)*PERMANENT_HOURLY_RATE-MAX(0,($D296+O$5)-PERMANENT_FIELD_LABOR_HOURS)*TEMP_HOURLY_RATE-FIXED_SEASON_COST)</f>
        <v>22358.9606344576</v>
      </c>
      <c r="P296" s="53" t="n">
        <f aca="false">IF(OR($A296&gt;TOMATO_BED_CAP,$B296&gt;CARROT_BED_CAP,P$4&gt;MESCLUN_BED_CAP,$A296+$B296+P$4&gt;TOTAL_BEDS_AVAILABLE,($D296+P$5)&gt;TOTAL_LABOR_HOURS_CAP,MAX(0,($D296+P$5)-PERMANENT_FIELD_LABOR_HOURS)&gt;TEMP_HOURS_CAP),"",$C296+P$6-MIN(($D296+P$5),PERMANENT_FIELD_LABOR_HOURS)*PERMANENT_HOURLY_RATE-MAX(0,($D296+P$5)-PERMANENT_FIELD_LABOR_HOURS)*TEMP_HOURLY_RATE-FIXED_SEASON_COST)</f>
        <v>23196.1495543091</v>
      </c>
      <c r="Q296" s="53" t="n">
        <f aca="false">IF(OR($A296&gt;TOMATO_BED_CAP,$B296&gt;CARROT_BED_CAP,Q$4&gt;MESCLUN_BED_CAP,$A296+$B296+Q$4&gt;TOTAL_BEDS_AVAILABLE,($D296+Q$5)&gt;TOTAL_LABOR_HOURS_CAP,MAX(0,($D296+Q$5)-PERMANENT_FIELD_LABOR_HOURS)&gt;TEMP_HOURS_CAP),"",$C296+Q$6-MIN(($D296+Q$5),PERMANENT_FIELD_LABOR_HOURS)*PERMANENT_HOURLY_RATE-MAX(0,($D296+Q$5)-PERMANENT_FIELD_LABOR_HOURS)*TEMP_HOURLY_RATE-FIXED_SEASON_COST)</f>
        <v>24009.996711007</v>
      </c>
      <c r="R296" s="53" t="n">
        <f aca="false">IF(OR($A296&gt;TOMATO_BED_CAP,$B296&gt;CARROT_BED_CAP,R$4&gt;MESCLUN_BED_CAP,$A296+$B296+R$4&gt;TOTAL_BEDS_AVAILABLE,($D296+R$5)&gt;TOTAL_LABOR_HOURS_CAP,MAX(0,($D296+R$5)-PERMANENT_FIELD_LABOR_HOURS)&gt;TEMP_HOURS_CAP),"",$C296+R$6-MIN(($D296+R$5),PERMANENT_FIELD_LABOR_HOURS)*PERMANENT_HOURLY_RATE-MAX(0,($D296+R$5)-PERMANENT_FIELD_LABOR_HOURS)*TEMP_HOURLY_RATE-FIXED_SEASON_COST)</f>
        <v>24800.0721247038</v>
      </c>
      <c r="S296" s="53" t="n">
        <f aca="false">IF(OR($A296&gt;TOMATO_BED_CAP,$B296&gt;CARROT_BED_CAP,S$4&gt;MESCLUN_BED_CAP,$A296+$B296+S$4&gt;TOTAL_BEDS_AVAILABLE,($D296+S$5)&gt;TOTAL_LABOR_HOURS_CAP,MAX(0,($D296+S$5)-PERMANENT_FIELD_LABOR_HOURS)&gt;TEMP_HOURS_CAP),"",$C296+S$6-MIN(($D296+S$5),PERMANENT_FIELD_LABOR_HOURS)*PERMANENT_HOURLY_RATE-MAX(0,($D296+S$5)-PERMANENT_FIELD_LABOR_HOURS)*TEMP_HOURLY_RATE-FIXED_SEASON_COST)</f>
        <v>25565.9387132062</v>
      </c>
      <c r="T296" s="53" t="n">
        <f aca="false">IF(OR($A296&gt;TOMATO_BED_CAP,$B296&gt;CARROT_BED_CAP,T$4&gt;MESCLUN_BED_CAP,$A296+$B296+T$4&gt;TOTAL_BEDS_AVAILABLE,($D296+T$5)&gt;TOTAL_LABOR_HOURS_CAP,MAX(0,($D296+T$5)-PERMANENT_FIELD_LABOR_HOURS)&gt;TEMP_HOURS_CAP),"",$C296+T$6-MIN(($D296+T$5),PERMANENT_FIELD_LABOR_HOURS)*PERMANENT_HOURLY_RATE-MAX(0,($D296+T$5)-PERMANENT_FIELD_LABOR_HOURS)*TEMP_HOURLY_RATE-FIXED_SEASON_COST)</f>
        <v>26307.1521816011</v>
      </c>
      <c r="U296" s="53" t="n">
        <f aca="false">IF(OR($A296&gt;TOMATO_BED_CAP,$B296&gt;CARROT_BED_CAP,U$4&gt;MESCLUN_BED_CAP,$A296+$B296+U$4&gt;TOTAL_BEDS_AVAILABLE,($D296+U$5)&gt;TOTAL_LABOR_HOURS_CAP,MAX(0,($D296+U$5)-PERMANENT_FIELD_LABOR_HOURS)&gt;TEMP_HOURS_CAP),"",$C296+U$6-MIN(($D296+U$5),PERMANENT_FIELD_LABOR_HOURS)*PERMANENT_HOURLY_RATE-MAX(0,($D296+U$5)-PERMANENT_FIELD_LABOR_HOURS)*TEMP_HOURLY_RATE-FIXED_SEASON_COST)</f>
        <v>27023.2609102312</v>
      </c>
      <c r="V296" s="53" t="n">
        <f aca="false">IF(OR($A296&gt;TOMATO_BED_CAP,$B296&gt;CARROT_BED_CAP,V$4&gt;MESCLUN_BED_CAP,$A296+$B296+V$4&gt;TOTAL_BEDS_AVAILABLE,($D296+V$5)&gt;TOTAL_LABOR_HOURS_CAP,MAX(0,($D296+V$5)-PERMANENT_FIELD_LABOR_HOURS)&gt;TEMP_HOURS_CAP),"",$C296+V$6-MIN(($D296+V$5),PERMANENT_FIELD_LABOR_HOURS)*PERMANENT_HOURLY_RATE-MAX(0,($D296+V$5)-PERMANENT_FIELD_LABOR_HOURS)*TEMP_HOURLY_RATE-FIXED_SEASON_COST)</f>
        <v>27713.805840998</v>
      </c>
      <c r="W296" s="53" t="n">
        <f aca="false">IF(OR($A296&gt;TOMATO_BED_CAP,$B296&gt;CARROT_BED_CAP,W$4&gt;MESCLUN_BED_CAP,$A296+$B296+W$4&gt;TOTAL_BEDS_AVAILABLE,($D296+W$5)&gt;TOTAL_LABOR_HOURS_CAP,MAX(0,($D296+W$5)-PERMANENT_FIELD_LABOR_HOURS)&gt;TEMP_HOURS_CAP),"",$C296+W$6-MIN(($D296+W$5),PERMANENT_FIELD_LABOR_HOURS)*PERMANENT_HOURLY_RATE-MAX(0,($D296+W$5)-PERMANENT_FIELD_LABOR_HOURS)*TEMP_HOURLY_RATE-FIXED_SEASON_COST)</f>
        <v>28378.320361966</v>
      </c>
      <c r="X296" s="53" t="n">
        <f aca="false">IF(OR($A296&gt;TOMATO_BED_CAP,$B296&gt;CARROT_BED_CAP,X$4&gt;MESCLUN_BED_CAP,$A296+$B296+X$4&gt;TOTAL_BEDS_AVAILABLE,($D296+X$5)&gt;TOTAL_LABOR_HOURS_CAP,MAX(0,($D296+X$5)-PERMANENT_FIELD_LABOR_HOURS)&gt;TEMP_HOURS_CAP),"",$C296+X$6-MIN(($D296+X$5),PERMANENT_FIELD_LABOR_HOURS)*PERMANENT_HOURLY_RATE-MAX(0,($D296+X$5)-PERMANENT_FIELD_LABOR_HOURS)*TEMP_HOURLY_RATE-FIXED_SEASON_COST)</f>
        <v>29016.3301902449</v>
      </c>
      <c r="Y296" s="53" t="n">
        <f aca="false">IF(OR($A296&gt;TOMATO_BED_CAP,$B296&gt;CARROT_BED_CAP,Y$4&gt;MESCLUN_BED_CAP,$A296+$B296+Y$4&gt;TOTAL_BEDS_AVAILABLE,($D296+Y$5)&gt;TOTAL_LABOR_HOURS_CAP,MAX(0,($D296+Y$5)-PERMANENT_FIELD_LABOR_HOURS)&gt;TEMP_HOURS_CAP),"",$C296+Y$6-MIN(($D296+Y$5),PERMANENT_FIELD_LABOR_HOURS)*PERMANENT_HOURLY_RATE-MAX(0,($D296+Y$5)-PERMANENT_FIELD_LABOR_HOURS)*TEMP_HOURLY_RATE-FIXED_SEASON_COST)</f>
        <v>29627.3532531236</v>
      </c>
      <c r="Z296" s="53" t="n">
        <f aca="false">IF(OR($A296&gt;TOMATO_BED_CAP,$B296&gt;CARROT_BED_CAP,Z$4&gt;MESCLUN_BED_CAP,$A296+$B296+Z$4&gt;TOTAL_BEDS_AVAILABLE,($D296+Z$5)&gt;TOTAL_LABOR_HOURS_CAP,MAX(0,($D296+Z$5)-PERMANENT_FIELD_LABOR_HOURS)&gt;TEMP_HOURS_CAP),"",$C296+Z$6-MIN(($D296+Z$5),PERMANENT_FIELD_LABOR_HOURS)*PERMANENT_HOURLY_RATE-MAX(0,($D296+Z$5)-PERMANENT_FIELD_LABOR_HOURS)*TEMP_HOURLY_RATE-FIXED_SEASON_COST)</f>
        <v>30210.8995674313</v>
      </c>
      <c r="AA296" s="53" t="n">
        <f aca="false">IF(OR($A296&gt;TOMATO_BED_CAP,$B296&gt;CARROT_BED_CAP,AA$4&gt;MESCLUN_BED_CAP,$A296+$B296+AA$4&gt;TOTAL_BEDS_AVAILABLE,($D296+AA$5)&gt;TOTAL_LABOR_HOURS_CAP,MAX(0,($D296+AA$5)-PERMANENT_FIELD_LABOR_HOURS)&gt;TEMP_HOURS_CAP),"",$C296+AA$6-MIN(($D296+AA$5),PERMANENT_FIELD_LABOR_HOURS)*PERMANENT_HOURLY_RATE-MAX(0,($D296+AA$5)-PERMANENT_FIELD_LABOR_HOURS)*TEMP_HOURLY_RATE-FIXED_SEASON_COST)</f>
        <v>30766.4711171003</v>
      </c>
      <c r="AB296" s="53" t="n">
        <f aca="false">IF(OR($A296&gt;TOMATO_BED_CAP,$B296&gt;CARROT_BED_CAP,AB$4&gt;MESCLUN_BED_CAP,$A296+$B296+AB$4&gt;TOTAL_BEDS_AVAILABLE,($D296+AB$5)&gt;TOTAL_LABOR_HOURS_CAP,MAX(0,($D296+AB$5)-PERMANENT_FIELD_LABOR_HOURS)&gt;TEMP_HOURS_CAP),"",$C296+AB$6-MIN(($D296+AB$5),PERMANENT_FIELD_LABOR_HOURS)*PERMANENT_HOURLY_RATE-MAX(0,($D296+AB$5)-PERMANENT_FIELD_LABOR_HOURS)*TEMP_HOURLY_RATE-FIXED_SEASON_COST)</f>
        <v>31293.5617289028</v>
      </c>
      <c r="AC296" s="53" t="n">
        <f aca="false">IF(OR($A296&gt;TOMATO_BED_CAP,$B296&gt;CARROT_BED_CAP,AC$4&gt;MESCLUN_BED_CAP,$A296+$B296+AC$4&gt;TOTAL_BEDS_AVAILABLE,($D296+AC$5)&gt;TOTAL_LABOR_HOURS_CAP,MAX(0,($D296+AC$5)-PERMANENT_FIELD_LABOR_HOURS)&gt;TEMP_HOURS_CAP),"",$C296+AC$6-MIN(($D296+AC$5),PERMANENT_FIELD_LABOR_HOURS)*PERMANENT_HOURLY_RATE-MAX(0,($D296+AC$5)-PERMANENT_FIELD_LABOR_HOURS)*TEMP_HOURLY_RATE-FIXED_SEASON_COST)</f>
        <v>31791.6569463377</v>
      </c>
      <c r="AD296" s="53" t="n">
        <f aca="false">IF(OR($A296&gt;TOMATO_BED_CAP,$B296&gt;CARROT_BED_CAP,AD$4&gt;MESCLUN_BED_CAP,$A296+$B296+AD$4&gt;TOTAL_BEDS_AVAILABLE,($D296+AD$5)&gt;TOTAL_LABOR_HOURS_CAP,MAX(0,($D296+AD$5)-PERMANENT_FIELD_LABOR_HOURS)&gt;TEMP_HOURS_CAP),"",$C296+AD$6-MIN(($D296+AD$5),PERMANENT_FIELD_LABOR_HOURS)*PERMANENT_HOURLY_RATE-MAX(0,($D296+AD$5)-PERMANENT_FIELD_LABOR_HOURS)*TEMP_HOURLY_RATE-FIXED_SEASON_COST)</f>
        <v>32260.2339016377</v>
      </c>
      <c r="AE296" s="53" t="n">
        <f aca="false">IF(OR($A296&gt;TOMATO_BED_CAP,$B296&gt;CARROT_BED_CAP,AE$4&gt;MESCLUN_BED_CAP,$A296+$B296+AE$4&gt;TOTAL_BEDS_AVAILABLE,($D296+AE$5)&gt;TOTAL_LABOR_HOURS_CAP,MAX(0,($D296+AE$5)-PERMANENT_FIELD_LABOR_HOURS)&gt;TEMP_HOURS_CAP),"",$C296+AE$6-MIN(($D296+AE$5),PERMANENT_FIELD_LABOR_HOURS)*PERMANENT_HOURLY_RATE-MAX(0,($D296+AE$5)-PERMANENT_FIELD_LABOR_HOURS)*TEMP_HOURLY_RATE-FIXED_SEASON_COST)</f>
        <v>32698.7611858716</v>
      </c>
      <c r="AF296" s="53" t="n">
        <f aca="false">IF(OR($A296&gt;TOMATO_BED_CAP,$B296&gt;CARROT_BED_CAP,AF$4&gt;MESCLUN_BED_CAP,$A296+$B296+AF$4&gt;TOTAL_BEDS_AVAILABLE,($D296+AF$5)&gt;TOTAL_LABOR_HOURS_CAP,MAX(0,($D296+AF$5)-PERMANENT_FIELD_LABOR_HOURS)&gt;TEMP_HOURS_CAP),"",$C296+AF$6-MIN(($D296+AF$5),PERMANENT_FIELD_LABOR_HOURS)*PERMANENT_HOURLY_RATE-MAX(0,($D296+AF$5)-PERMANENT_FIELD_LABOR_HOURS)*TEMP_HOURLY_RATE-FIXED_SEASON_COST)</f>
        <v>33106.6987171135</v>
      </c>
      <c r="AG296" s="53" t="n">
        <f aca="false">IF(OR($A296&gt;TOMATO_BED_CAP,$B296&gt;CARROT_BED_CAP,AG$4&gt;MESCLUN_BED_CAP,$A296+$B296+AG$4&gt;TOTAL_BEDS_AVAILABLE,($D296+AG$5)&gt;TOTAL_LABOR_HOURS_CAP,MAX(0,($D296+AG$5)-PERMANENT_FIELD_LABOR_HOURS)&gt;TEMP_HOURS_CAP),"",$C296+AG$6-MIN(($D296+AG$5),PERMANENT_FIELD_LABOR_HOURS)*PERMANENT_HOURLY_RATE-MAX(0,($D296+AG$5)-PERMANENT_FIELD_LABOR_HOURS)*TEMP_HOURLY_RATE-FIXED_SEASON_COST)</f>
        <v>33483.4976066506</v>
      </c>
      <c r="AH296" s="53" t="n">
        <f aca="false">IF(OR($A296&gt;TOMATO_BED_CAP,$B296&gt;CARROT_BED_CAP,AH$4&gt;MESCLUN_BED_CAP,$A296+$B296+AH$4&gt;TOTAL_BEDS_AVAILABLE,($D296+AH$5)&gt;TOTAL_LABOR_HOURS_CAP,MAX(0,($D296+AH$5)-PERMANENT_FIELD_LABOR_HOURS)&gt;TEMP_HOURS_CAP),"",$C296+AH$6-MIN(($D296+AH$5),PERMANENT_FIELD_LABOR_HOURS)*PERMANENT_HOURLY_RATE-MAX(0,($D296+AH$5)-PERMANENT_FIELD_LABOR_HOURS)*TEMP_HOURLY_RATE-FIXED_SEASON_COST)</f>
        <v>33828.6000232008</v>
      </c>
      <c r="AI296" s="53" t="str">
        <f aca="false">IF(OR($A296&gt;TOMATO_BED_CAP,$B296&gt;CARROT_BED_CAP,AI$4&gt;MESCLUN_BED_CAP,$A296+$B296+AI$4&gt;TOTAL_BEDS_AVAILABLE,($D296+AI$5)&gt;TOTAL_LABOR_HOURS_CAP,MAX(0,($D296+AI$5)-PERMANENT_FIELD_LABOR_HOURS)&gt;TEMP_HOURS_CAP),"",$C296+AI$6-MIN(($D296+AI$5),PERMANENT_FIELD_LABOR_HOURS)*PERMANENT_HOURLY_RATE-MAX(0,($D296+AI$5)-PERMANENT_FIELD_LABOR_HOURS)*TEMP_HOURLY_RATE-FIXED_SEASON_COST)</f>
        <v/>
      </c>
      <c r="AJ296" s="53" t="str">
        <f aca="false">IF(OR($A296&gt;TOMATO_BED_CAP,$B296&gt;CARROT_BED_CAP,AJ$4&gt;MESCLUN_BED_CAP,$A296+$B296+AJ$4&gt;TOTAL_BEDS_AVAILABLE,($D296+AJ$5)&gt;TOTAL_LABOR_HOURS_CAP,MAX(0,($D296+AJ$5)-PERMANENT_FIELD_LABOR_HOURS)&gt;TEMP_HOURS_CAP),"",$C296+AJ$6-MIN(($D296+AJ$5),PERMANENT_FIELD_LABOR_HOURS)*PERMANENT_HOURLY_RATE-MAX(0,($D296+AJ$5)-PERMANENT_FIELD_LABOR_HOURS)*TEMP_HOURLY_RATE-FIXED_SEASON_COST)</f>
        <v/>
      </c>
    </row>
    <row r="297" customFormat="false" ht="15" hidden="false" customHeight="false" outlineLevel="0" collapsed="false">
      <c r="A297" s="21" t="n">
        <f aca="false">INT((ROW()-ROW($A$8))/(20+1))</f>
        <v>13</v>
      </c>
      <c r="B297" s="21" t="n">
        <f aca="false">MOD(ROW()-ROW($A$8),20+1)</f>
        <v>16</v>
      </c>
      <c r="C297" s="13" t="n">
        <f aca="false">A297*(TOMATO_REVENUE_PER_BED-TOMATO_FERTILIZER_PER_BED)+B297*(CARROT_REVENUE_PER_BED-CARROT_FERTILIZER_PER_BED)</f>
        <v>129424</v>
      </c>
      <c r="D297" s="14" t="n">
        <f aca="false">INDEX(TOMATO_SCHED_LABOR_HRS,A297+1)+INDEX(CARROT_SCHED_LABOR_HRS,B297+1)</f>
        <v>4751.43499367783</v>
      </c>
      <c r="E297" s="13" t="n">
        <f aca="false">IF(COUNT(F297:AJ297)=0,"",MAX(F297:AJ297))</f>
        <v>34081.9368407571</v>
      </c>
      <c r="F297" s="53" t="n">
        <f aca="false">IF(OR($A297&gt;TOMATO_BED_CAP,$B297&gt;CARROT_BED_CAP,F$4&gt;MESCLUN_BED_CAP,$A297+$B297+F$4&gt;TOTAL_BEDS_AVAILABLE,($D297+F$5)&gt;TOTAL_LABOR_HOURS_CAP,MAX(0,($D297+F$5)-PERMANENT_FIELD_LABOR_HOURS)&gt;TEMP_HOURS_CAP),"",$C297+F$6-MIN(($D297+F$5),PERMANENT_FIELD_LABOR_HOURS)*PERMANENT_HOURLY_RATE-MAX(0,($D297+F$5)-PERMANENT_FIELD_LABOR_HOURS)*TEMP_HOURLY_RATE-FIXED_SEASON_COST)</f>
        <v>14439.8885097528</v>
      </c>
      <c r="G297" s="53" t="n">
        <f aca="false">IF(OR($A297&gt;TOMATO_BED_CAP,$B297&gt;CARROT_BED_CAP,G$4&gt;MESCLUN_BED_CAP,$A297+$B297+G$4&gt;TOTAL_BEDS_AVAILABLE,($D297+G$5)&gt;TOTAL_LABOR_HOURS_CAP,MAX(0,($D297+G$5)-PERMANENT_FIELD_LABOR_HOURS)&gt;TEMP_HOURS_CAP),"",$C297+G$6-MIN(($D297+G$5),PERMANENT_FIELD_LABOR_HOURS)*PERMANENT_HOURLY_RATE-MAX(0,($D297+G$5)-PERMANENT_FIELD_LABOR_HOURS)*TEMP_HOURLY_RATE-FIXED_SEASON_COST)</f>
        <v>15468.9235097528</v>
      </c>
      <c r="H297" s="53" t="n">
        <f aca="false">IF(OR($A297&gt;TOMATO_BED_CAP,$B297&gt;CARROT_BED_CAP,H$4&gt;MESCLUN_BED_CAP,$A297+$B297+H$4&gt;TOTAL_BEDS_AVAILABLE,($D297+H$5)&gt;TOTAL_LABOR_HOURS_CAP,MAX(0,($D297+H$5)-PERMANENT_FIELD_LABOR_HOURS)&gt;TEMP_HOURS_CAP),"",$C297+H$6-MIN(($D297+H$5),PERMANENT_FIELD_LABOR_HOURS)*PERMANENT_HOURLY_RATE-MAX(0,($D297+H$5)-PERMANENT_FIELD_LABOR_HOURS)*TEMP_HOURLY_RATE-FIXED_SEASON_COST)</f>
        <v>16478.1843847528</v>
      </c>
      <c r="I297" s="53" t="n">
        <f aca="false">IF(OR($A297&gt;TOMATO_BED_CAP,$B297&gt;CARROT_BED_CAP,I$4&gt;MESCLUN_BED_CAP,$A297+$B297+I$4&gt;TOTAL_BEDS_AVAILABLE,($D297+I$5)&gt;TOTAL_LABOR_HOURS_CAP,MAX(0,($D297+I$5)-PERMANENT_FIELD_LABOR_HOURS)&gt;TEMP_HOURS_CAP),"",$C297+I$6-MIN(($D297+I$5),PERMANENT_FIELD_LABOR_HOURS)*PERMANENT_HOURLY_RATE-MAX(0,($D297+I$5)-PERMANENT_FIELD_LABOR_HOURS)*TEMP_HOURLY_RATE-FIXED_SEASON_COST)</f>
        <v>17467.300369909</v>
      </c>
      <c r="J297" s="53" t="n">
        <f aca="false">IF(OR($A297&gt;TOMATO_BED_CAP,$B297&gt;CARROT_BED_CAP,J$4&gt;MESCLUN_BED_CAP,$A297+$B297+J$4&gt;TOTAL_BEDS_AVAILABLE,($D297+J$5)&gt;TOTAL_LABOR_HOURS_CAP,MAX(0,($D297+J$5)-PERMANENT_FIELD_LABOR_HOURS)&gt;TEMP_HOURS_CAP),"",$C297+J$6-MIN(($D297+J$5),PERMANENT_FIELD_LABOR_HOURS)*PERMANENT_HOURLY_RATE-MAX(0,($D297+J$5)-PERMANENT_FIELD_LABOR_HOURS)*TEMP_HOURLY_RATE-FIXED_SEASON_COST)</f>
        <v>18435.8945209637</v>
      </c>
      <c r="K297" s="53" t="n">
        <f aca="false">IF(OR($A297&gt;TOMATO_BED_CAP,$B297&gt;CARROT_BED_CAP,K$4&gt;MESCLUN_BED_CAP,$A297+$B297+K$4&gt;TOTAL_BEDS_AVAILABLE,($D297+K$5)&gt;TOTAL_LABOR_HOURS_CAP,MAX(0,($D297+K$5)-PERMANENT_FIELD_LABOR_HOURS)&gt;TEMP_HOURS_CAP),"",$C297+K$6-MIN(($D297+K$5),PERMANENT_FIELD_LABOR_HOURS)*PERMANENT_HOURLY_RATE-MAX(0,($D297+K$5)-PERMANENT_FIELD_LABOR_HOURS)*TEMP_HOURLY_RATE-FIXED_SEASON_COST)</f>
        <v>19383.5836176917</v>
      </c>
      <c r="L297" s="53" t="n">
        <f aca="false">IF(OR($A297&gt;TOMATO_BED_CAP,$B297&gt;CARROT_BED_CAP,L$4&gt;MESCLUN_BED_CAP,$A297+$B297+L$4&gt;TOTAL_BEDS_AVAILABLE,($D297+L$5)&gt;TOTAL_LABOR_HOURS_CAP,MAX(0,($D297+L$5)-PERMANENT_FIELD_LABOR_HOURS)&gt;TEMP_HOURS_CAP),"",$C297+L$6-MIN(($D297+L$5),PERMANENT_FIELD_LABOR_HOURS)*PERMANENT_HOURLY_RATE-MAX(0,($D297+L$5)-PERMANENT_FIELD_LABOR_HOURS)*TEMP_HOURLY_RATE-FIXED_SEASON_COST)</f>
        <v>20309.9780658985</v>
      </c>
      <c r="M297" s="53" t="n">
        <f aca="false">IF(OR($A297&gt;TOMATO_BED_CAP,$B297&gt;CARROT_BED_CAP,M$4&gt;MESCLUN_BED_CAP,$A297+$B297+M$4&gt;TOTAL_BEDS_AVAILABLE,($D297+M$5)&gt;TOTAL_LABOR_HOURS_CAP,MAX(0,($D297+M$5)-PERMANENT_FIELD_LABOR_HOURS)&gt;TEMP_HOURS_CAP),"",$C297+M$6-MIN(($D297+M$5),PERMANENT_FIELD_LABOR_HOURS)*PERMANENT_HOURLY_RATE-MAX(0,($D297+M$5)-PERMANENT_FIELD_LABOR_HOURS)*TEMP_HOURLY_RATE-FIXED_SEASON_COST)</f>
        <v>21214.6817979499</v>
      </c>
      <c r="N297" s="53" t="n">
        <f aca="false">IF(OR($A297&gt;TOMATO_BED_CAP,$B297&gt;CARROT_BED_CAP,N$4&gt;MESCLUN_BED_CAP,$A297+$B297+N$4&gt;TOTAL_BEDS_AVAILABLE,($D297+N$5)&gt;TOTAL_LABOR_HOURS_CAP,MAX(0,($D297+N$5)-PERMANENT_FIELD_LABOR_HOURS)&gt;TEMP_HOURS_CAP),"",$C297+N$6-MIN(($D297+N$5),PERMANENT_FIELD_LABOR_HOURS)*PERMANENT_HOURLY_RATE-MAX(0,($D297+N$5)-PERMANENT_FIELD_LABOR_HOURS)*TEMP_HOURLY_RATE-FIXED_SEASON_COST)</f>
        <v>22097.2921718095</v>
      </c>
      <c r="O297" s="53" t="n">
        <f aca="false">IF(OR($A297&gt;TOMATO_BED_CAP,$B297&gt;CARROT_BED_CAP,O$4&gt;MESCLUN_BED_CAP,$A297+$B297+O$4&gt;TOTAL_BEDS_AVAILABLE,($D297+O$5)&gt;TOTAL_LABOR_HOURS_CAP,MAX(0,($D297+O$5)-PERMANENT_FIELD_LABOR_HOURS)&gt;TEMP_HOURS_CAP),"",$C297+O$6-MIN(($D297+O$5),PERMANENT_FIELD_LABOR_HOURS)*PERMANENT_HOURLY_RATE-MAX(0,($D297+O$5)-PERMANENT_FIELD_LABOR_HOURS)*TEMP_HOURLY_RATE-FIXED_SEASON_COST)</f>
        <v>22957.3998685642</v>
      </c>
      <c r="P297" s="53" t="n">
        <f aca="false">IF(OR($A297&gt;TOMATO_BED_CAP,$B297&gt;CARROT_BED_CAP,P$4&gt;MESCLUN_BED_CAP,$A297+$B297+P$4&gt;TOTAL_BEDS_AVAILABLE,($D297+P$5)&gt;TOTAL_LABOR_HOURS_CAP,MAX(0,($D297+P$5)-PERMANENT_FIELD_LABOR_HOURS)&gt;TEMP_HOURS_CAP),"",$C297+P$6-MIN(($D297+P$5),PERMANENT_FIELD_LABOR_HOURS)*PERMANENT_HOURLY_RATE-MAX(0,($D297+P$5)-PERMANENT_FIELD_LABOR_HOURS)*TEMP_HOURLY_RATE-FIXED_SEASON_COST)</f>
        <v>23794.5887884156</v>
      </c>
      <c r="Q297" s="53" t="n">
        <f aca="false">IF(OR($A297&gt;TOMATO_BED_CAP,$B297&gt;CARROT_BED_CAP,Q$4&gt;MESCLUN_BED_CAP,$A297+$B297+Q$4&gt;TOTAL_BEDS_AVAILABLE,($D297+Q$5)&gt;TOTAL_LABOR_HOURS_CAP,MAX(0,($D297+Q$5)-PERMANENT_FIELD_LABOR_HOURS)&gt;TEMP_HOURS_CAP),"",$C297+Q$6-MIN(($D297+Q$5),PERMANENT_FIELD_LABOR_HOURS)*PERMANENT_HOURLY_RATE-MAX(0,($D297+Q$5)-PERMANENT_FIELD_LABOR_HOURS)*TEMP_HOURLY_RATE-FIXED_SEASON_COST)</f>
        <v>24608.4359451135</v>
      </c>
      <c r="R297" s="53" t="n">
        <f aca="false">IF(OR($A297&gt;TOMATO_BED_CAP,$B297&gt;CARROT_BED_CAP,R$4&gt;MESCLUN_BED_CAP,$A297+$B297+R$4&gt;TOTAL_BEDS_AVAILABLE,($D297+R$5)&gt;TOTAL_LABOR_HOURS_CAP,MAX(0,($D297+R$5)-PERMANENT_FIELD_LABOR_HOURS)&gt;TEMP_HOURS_CAP),"",$C297+R$6-MIN(($D297+R$5),PERMANENT_FIELD_LABOR_HOURS)*PERMANENT_HOURLY_RATE-MAX(0,($D297+R$5)-PERMANENT_FIELD_LABOR_HOURS)*TEMP_HOURLY_RATE-FIXED_SEASON_COST)</f>
        <v>25398.5113588103</v>
      </c>
      <c r="S297" s="53" t="n">
        <f aca="false">IF(OR($A297&gt;TOMATO_BED_CAP,$B297&gt;CARROT_BED_CAP,S$4&gt;MESCLUN_BED_CAP,$A297+$B297+S$4&gt;TOTAL_BEDS_AVAILABLE,($D297+S$5)&gt;TOTAL_LABOR_HOURS_CAP,MAX(0,($D297+S$5)-PERMANENT_FIELD_LABOR_HOURS)&gt;TEMP_HOURS_CAP),"",$C297+S$6-MIN(($D297+S$5),PERMANENT_FIELD_LABOR_HOURS)*PERMANENT_HOURLY_RATE-MAX(0,($D297+S$5)-PERMANENT_FIELD_LABOR_HOURS)*TEMP_HOURLY_RATE-FIXED_SEASON_COST)</f>
        <v>26164.3779473128</v>
      </c>
      <c r="T297" s="53" t="n">
        <f aca="false">IF(OR($A297&gt;TOMATO_BED_CAP,$B297&gt;CARROT_BED_CAP,T$4&gt;MESCLUN_BED_CAP,$A297+$B297+T$4&gt;TOTAL_BEDS_AVAILABLE,($D297+T$5)&gt;TOTAL_LABOR_HOURS_CAP,MAX(0,($D297+T$5)-PERMANENT_FIELD_LABOR_HOURS)&gt;TEMP_HOURS_CAP),"",$C297+T$6-MIN(($D297+T$5),PERMANENT_FIELD_LABOR_HOURS)*PERMANENT_HOURLY_RATE-MAX(0,($D297+T$5)-PERMANENT_FIELD_LABOR_HOURS)*TEMP_HOURLY_RATE-FIXED_SEASON_COST)</f>
        <v>26905.5914157076</v>
      </c>
      <c r="U297" s="53" t="n">
        <f aca="false">IF(OR($A297&gt;TOMATO_BED_CAP,$B297&gt;CARROT_BED_CAP,U$4&gt;MESCLUN_BED_CAP,$A297+$B297+U$4&gt;TOTAL_BEDS_AVAILABLE,($D297+U$5)&gt;TOTAL_LABOR_HOURS_CAP,MAX(0,($D297+U$5)-PERMANENT_FIELD_LABOR_HOURS)&gt;TEMP_HOURS_CAP),"",$C297+U$6-MIN(($D297+U$5),PERMANENT_FIELD_LABOR_HOURS)*PERMANENT_HOURLY_RATE-MAX(0,($D297+U$5)-PERMANENT_FIELD_LABOR_HOURS)*TEMP_HOURLY_RATE-FIXED_SEASON_COST)</f>
        <v>27621.7001443377</v>
      </c>
      <c r="V297" s="53" t="n">
        <f aca="false">IF(OR($A297&gt;TOMATO_BED_CAP,$B297&gt;CARROT_BED_CAP,V$4&gt;MESCLUN_BED_CAP,$A297+$B297+V$4&gt;TOTAL_BEDS_AVAILABLE,($D297+V$5)&gt;TOTAL_LABOR_HOURS_CAP,MAX(0,($D297+V$5)-PERMANENT_FIELD_LABOR_HOURS)&gt;TEMP_HOURS_CAP),"",$C297+V$6-MIN(($D297+V$5),PERMANENT_FIELD_LABOR_HOURS)*PERMANENT_HOURLY_RATE-MAX(0,($D297+V$5)-PERMANENT_FIELD_LABOR_HOURS)*TEMP_HOURLY_RATE-FIXED_SEASON_COST)</f>
        <v>28312.2450751045</v>
      </c>
      <c r="W297" s="53" t="n">
        <f aca="false">IF(OR($A297&gt;TOMATO_BED_CAP,$B297&gt;CARROT_BED_CAP,W$4&gt;MESCLUN_BED_CAP,$A297+$B297+W$4&gt;TOTAL_BEDS_AVAILABLE,($D297+W$5)&gt;TOTAL_LABOR_HOURS_CAP,MAX(0,($D297+W$5)-PERMANENT_FIELD_LABOR_HOURS)&gt;TEMP_HOURS_CAP),"",$C297+W$6-MIN(($D297+W$5),PERMANENT_FIELD_LABOR_HOURS)*PERMANENT_HOURLY_RATE-MAX(0,($D297+W$5)-PERMANENT_FIELD_LABOR_HOURS)*TEMP_HOURLY_RATE-FIXED_SEASON_COST)</f>
        <v>28976.7595960726</v>
      </c>
      <c r="X297" s="53" t="n">
        <f aca="false">IF(OR($A297&gt;TOMATO_BED_CAP,$B297&gt;CARROT_BED_CAP,X$4&gt;MESCLUN_BED_CAP,$A297+$B297+X$4&gt;TOTAL_BEDS_AVAILABLE,($D297+X$5)&gt;TOTAL_LABOR_HOURS_CAP,MAX(0,($D297+X$5)-PERMANENT_FIELD_LABOR_HOURS)&gt;TEMP_HOURS_CAP),"",$C297+X$6-MIN(($D297+X$5),PERMANENT_FIELD_LABOR_HOURS)*PERMANENT_HOURLY_RATE-MAX(0,($D297+X$5)-PERMANENT_FIELD_LABOR_HOURS)*TEMP_HOURLY_RATE-FIXED_SEASON_COST)</f>
        <v>29614.7694243515</v>
      </c>
      <c r="Y297" s="53" t="n">
        <f aca="false">IF(OR($A297&gt;TOMATO_BED_CAP,$B297&gt;CARROT_BED_CAP,Y$4&gt;MESCLUN_BED_CAP,$A297+$B297+Y$4&gt;TOTAL_BEDS_AVAILABLE,($D297+Y$5)&gt;TOTAL_LABOR_HOURS_CAP,MAX(0,($D297+Y$5)-PERMANENT_FIELD_LABOR_HOURS)&gt;TEMP_HOURS_CAP),"",$C297+Y$6-MIN(($D297+Y$5),PERMANENT_FIELD_LABOR_HOURS)*PERMANENT_HOURLY_RATE-MAX(0,($D297+Y$5)-PERMANENT_FIELD_LABOR_HOURS)*TEMP_HOURLY_RATE-FIXED_SEASON_COST)</f>
        <v>30225.7924872302</v>
      </c>
      <c r="Z297" s="53" t="n">
        <f aca="false">IF(OR($A297&gt;TOMATO_BED_CAP,$B297&gt;CARROT_BED_CAP,Z$4&gt;MESCLUN_BED_CAP,$A297+$B297+Z$4&gt;TOTAL_BEDS_AVAILABLE,($D297+Z$5)&gt;TOTAL_LABOR_HOURS_CAP,MAX(0,($D297+Z$5)-PERMANENT_FIELD_LABOR_HOURS)&gt;TEMP_HOURS_CAP),"",$C297+Z$6-MIN(($D297+Z$5),PERMANENT_FIELD_LABOR_HOURS)*PERMANENT_HOURLY_RATE-MAX(0,($D297+Z$5)-PERMANENT_FIELD_LABOR_HOURS)*TEMP_HOURLY_RATE-FIXED_SEASON_COST)</f>
        <v>30809.3388015379</v>
      </c>
      <c r="AA297" s="53" t="n">
        <f aca="false">IF(OR($A297&gt;TOMATO_BED_CAP,$B297&gt;CARROT_BED_CAP,AA$4&gt;MESCLUN_BED_CAP,$A297+$B297+AA$4&gt;TOTAL_BEDS_AVAILABLE,($D297+AA$5)&gt;TOTAL_LABOR_HOURS_CAP,MAX(0,($D297+AA$5)-PERMANENT_FIELD_LABOR_HOURS)&gt;TEMP_HOURS_CAP),"",$C297+AA$6-MIN(($D297+AA$5),PERMANENT_FIELD_LABOR_HOURS)*PERMANENT_HOURLY_RATE-MAX(0,($D297+AA$5)-PERMANENT_FIELD_LABOR_HOURS)*TEMP_HOURLY_RATE-FIXED_SEASON_COST)</f>
        <v>31364.9103512068</v>
      </c>
      <c r="AB297" s="53" t="n">
        <f aca="false">IF(OR($A297&gt;TOMATO_BED_CAP,$B297&gt;CARROT_BED_CAP,AB$4&gt;MESCLUN_BED_CAP,$A297+$B297+AB$4&gt;TOTAL_BEDS_AVAILABLE,($D297+AB$5)&gt;TOTAL_LABOR_HOURS_CAP,MAX(0,($D297+AB$5)-PERMANENT_FIELD_LABOR_HOURS)&gt;TEMP_HOURS_CAP),"",$C297+AB$6-MIN(($D297+AB$5),PERMANENT_FIELD_LABOR_HOURS)*PERMANENT_HOURLY_RATE-MAX(0,($D297+AB$5)-PERMANENT_FIELD_LABOR_HOURS)*TEMP_HOURLY_RATE-FIXED_SEASON_COST)</f>
        <v>31892.0009630094</v>
      </c>
      <c r="AC297" s="53" t="n">
        <f aca="false">IF(OR($A297&gt;TOMATO_BED_CAP,$B297&gt;CARROT_BED_CAP,AC$4&gt;MESCLUN_BED_CAP,$A297+$B297+AC$4&gt;TOTAL_BEDS_AVAILABLE,($D297+AC$5)&gt;TOTAL_LABOR_HOURS_CAP,MAX(0,($D297+AC$5)-PERMANENT_FIELD_LABOR_HOURS)&gt;TEMP_HOURS_CAP),"",$C297+AC$6-MIN(($D297+AC$5),PERMANENT_FIELD_LABOR_HOURS)*PERMANENT_HOURLY_RATE-MAX(0,($D297+AC$5)-PERMANENT_FIELD_LABOR_HOURS)*TEMP_HOURLY_RATE-FIXED_SEASON_COST)</f>
        <v>32390.0961804443</v>
      </c>
      <c r="AD297" s="53" t="n">
        <f aca="false">IF(OR($A297&gt;TOMATO_BED_CAP,$B297&gt;CARROT_BED_CAP,AD$4&gt;MESCLUN_BED_CAP,$A297+$B297+AD$4&gt;TOTAL_BEDS_AVAILABLE,($D297+AD$5)&gt;TOTAL_LABOR_HOURS_CAP,MAX(0,($D297+AD$5)-PERMANENT_FIELD_LABOR_HOURS)&gt;TEMP_HOURS_CAP),"",$C297+AD$6-MIN(($D297+AD$5),PERMANENT_FIELD_LABOR_HOURS)*PERMANENT_HOURLY_RATE-MAX(0,($D297+AD$5)-PERMANENT_FIELD_LABOR_HOURS)*TEMP_HOURLY_RATE-FIXED_SEASON_COST)</f>
        <v>32858.6731357443</v>
      </c>
      <c r="AE297" s="53" t="n">
        <f aca="false">IF(OR($A297&gt;TOMATO_BED_CAP,$B297&gt;CARROT_BED_CAP,AE$4&gt;MESCLUN_BED_CAP,$A297+$B297+AE$4&gt;TOTAL_BEDS_AVAILABLE,($D297+AE$5)&gt;TOTAL_LABOR_HOURS_CAP,MAX(0,($D297+AE$5)-PERMANENT_FIELD_LABOR_HOURS)&gt;TEMP_HOURS_CAP),"",$C297+AE$6-MIN(($D297+AE$5),PERMANENT_FIELD_LABOR_HOURS)*PERMANENT_HOURLY_RATE-MAX(0,($D297+AE$5)-PERMANENT_FIELD_LABOR_HOURS)*TEMP_HOURLY_RATE-FIXED_SEASON_COST)</f>
        <v>33297.2004199781</v>
      </c>
      <c r="AF297" s="53" t="n">
        <f aca="false">IF(OR($A297&gt;TOMATO_BED_CAP,$B297&gt;CARROT_BED_CAP,AF$4&gt;MESCLUN_BED_CAP,$A297+$B297+AF$4&gt;TOTAL_BEDS_AVAILABLE,($D297+AF$5)&gt;TOTAL_LABOR_HOURS_CAP,MAX(0,($D297+AF$5)-PERMANENT_FIELD_LABOR_HOURS)&gt;TEMP_HOURS_CAP),"",$C297+AF$6-MIN(($D297+AF$5),PERMANENT_FIELD_LABOR_HOURS)*PERMANENT_HOURLY_RATE-MAX(0,($D297+AF$5)-PERMANENT_FIELD_LABOR_HOURS)*TEMP_HOURLY_RATE-FIXED_SEASON_COST)</f>
        <v>33705.1379512201</v>
      </c>
      <c r="AG297" s="53" t="n">
        <f aca="false">IF(OR($A297&gt;TOMATO_BED_CAP,$B297&gt;CARROT_BED_CAP,AG$4&gt;MESCLUN_BED_CAP,$A297+$B297+AG$4&gt;TOTAL_BEDS_AVAILABLE,($D297+AG$5)&gt;TOTAL_LABOR_HOURS_CAP,MAX(0,($D297+AG$5)-PERMANENT_FIELD_LABOR_HOURS)&gt;TEMP_HOURS_CAP),"",$C297+AG$6-MIN(($D297+AG$5),PERMANENT_FIELD_LABOR_HOURS)*PERMANENT_HOURLY_RATE-MAX(0,($D297+AG$5)-PERMANENT_FIELD_LABOR_HOURS)*TEMP_HOURLY_RATE-FIXED_SEASON_COST)</f>
        <v>34081.9368407571</v>
      </c>
      <c r="AH297" s="53" t="str">
        <f aca="false">IF(OR($A297&gt;TOMATO_BED_CAP,$B297&gt;CARROT_BED_CAP,AH$4&gt;MESCLUN_BED_CAP,$A297+$B297+AH$4&gt;TOTAL_BEDS_AVAILABLE,($D297+AH$5)&gt;TOTAL_LABOR_HOURS_CAP,MAX(0,($D297+AH$5)-PERMANENT_FIELD_LABOR_HOURS)&gt;TEMP_HOURS_CAP),"",$C297+AH$6-MIN(($D297+AH$5),PERMANENT_FIELD_LABOR_HOURS)*PERMANENT_HOURLY_RATE-MAX(0,($D297+AH$5)-PERMANENT_FIELD_LABOR_HOURS)*TEMP_HOURLY_RATE-FIXED_SEASON_COST)</f>
        <v/>
      </c>
      <c r="AI297" s="53" t="str">
        <f aca="false">IF(OR($A297&gt;TOMATO_BED_CAP,$B297&gt;CARROT_BED_CAP,AI$4&gt;MESCLUN_BED_CAP,$A297+$B297+AI$4&gt;TOTAL_BEDS_AVAILABLE,($D297+AI$5)&gt;TOTAL_LABOR_HOURS_CAP,MAX(0,($D297+AI$5)-PERMANENT_FIELD_LABOR_HOURS)&gt;TEMP_HOURS_CAP),"",$C297+AI$6-MIN(($D297+AI$5),PERMANENT_FIELD_LABOR_HOURS)*PERMANENT_HOURLY_RATE-MAX(0,($D297+AI$5)-PERMANENT_FIELD_LABOR_HOURS)*TEMP_HOURLY_RATE-FIXED_SEASON_COST)</f>
        <v/>
      </c>
      <c r="AJ297" s="53" t="str">
        <f aca="false">IF(OR($A297&gt;TOMATO_BED_CAP,$B297&gt;CARROT_BED_CAP,AJ$4&gt;MESCLUN_BED_CAP,$A297+$B297+AJ$4&gt;TOTAL_BEDS_AVAILABLE,($D297+AJ$5)&gt;TOTAL_LABOR_HOURS_CAP,MAX(0,($D297+AJ$5)-PERMANENT_FIELD_LABOR_HOURS)&gt;TEMP_HOURS_CAP),"",$C297+AJ$6-MIN(($D297+AJ$5),PERMANENT_FIELD_LABOR_HOURS)*PERMANENT_HOURLY_RATE-MAX(0,($D297+AJ$5)-PERMANENT_FIELD_LABOR_HOURS)*TEMP_HOURLY_RATE-FIXED_SEASON_COST)</f>
        <v/>
      </c>
    </row>
    <row r="298" customFormat="false" ht="15" hidden="false" customHeight="false" outlineLevel="0" collapsed="false">
      <c r="A298" s="21" t="n">
        <f aca="false">INT((ROW()-ROW($A$8))/(20+1))</f>
        <v>13</v>
      </c>
      <c r="B298" s="21" t="n">
        <f aca="false">MOD(ROW()-ROW($A$8),20+1)</f>
        <v>17</v>
      </c>
      <c r="C298" s="13" t="n">
        <f aca="false">A298*(TOMATO_REVENUE_PER_BED-TOMATO_FERTILIZER_PER_BED)+B298*(CARROT_REVENUE_PER_BED-CARROT_FERTILIZER_PER_BED)</f>
        <v>131078</v>
      </c>
      <c r="D298" s="14" t="n">
        <f aca="false">INDEX(TOMATO_SCHED_LABOR_HRS,A298+1)+INDEX(CARROT_SCHED_LABOR_HRS,B298+1)</f>
        <v>4814.87222391496</v>
      </c>
      <c r="E298" s="13" t="n">
        <f aca="false">IF(COUNT(F298:AJ298)=0,"",MAX(F298:AJ298))</f>
        <v>34257.8676343036</v>
      </c>
      <c r="F298" s="53" t="n">
        <f aca="false">IF(OR($A298&gt;TOMATO_BED_CAP,$B298&gt;CARROT_BED_CAP,F$4&gt;MESCLUN_BED_CAP,$A298+$B298+F$4&gt;TOTAL_BEDS_AVAILABLE,($D298+F$5)&gt;TOTAL_LABOR_HOURS_CAP,MAX(0,($D298+F$5)-PERMANENT_FIELD_LABOR_HOURS)&gt;TEMP_HOURS_CAP),"",$C298+F$6-MIN(($D298+F$5),PERMANENT_FIELD_LABOR_HOURS)*PERMANENT_HOURLY_RATE-MAX(0,($D298+F$5)-PERMANENT_FIELD_LABOR_HOURS)*TEMP_HOURLY_RATE-FIXED_SEASON_COST)</f>
        <v>14992.6181928363</v>
      </c>
      <c r="G298" s="53" t="n">
        <f aca="false">IF(OR($A298&gt;TOMATO_BED_CAP,$B298&gt;CARROT_BED_CAP,G$4&gt;MESCLUN_BED_CAP,$A298+$B298+G$4&gt;TOTAL_BEDS_AVAILABLE,($D298+G$5)&gt;TOTAL_LABOR_HOURS_CAP,MAX(0,($D298+G$5)-PERMANENT_FIELD_LABOR_HOURS)&gt;TEMP_HOURS_CAP),"",$C298+G$6-MIN(($D298+G$5),PERMANENT_FIELD_LABOR_HOURS)*PERMANENT_HOURLY_RATE-MAX(0,($D298+G$5)-PERMANENT_FIELD_LABOR_HOURS)*TEMP_HOURLY_RATE-FIXED_SEASON_COST)</f>
        <v>16021.6531928363</v>
      </c>
      <c r="H298" s="53" t="n">
        <f aca="false">IF(OR($A298&gt;TOMATO_BED_CAP,$B298&gt;CARROT_BED_CAP,H$4&gt;MESCLUN_BED_CAP,$A298+$B298+H$4&gt;TOTAL_BEDS_AVAILABLE,($D298+H$5)&gt;TOTAL_LABOR_HOURS_CAP,MAX(0,($D298+H$5)-PERMANENT_FIELD_LABOR_HOURS)&gt;TEMP_HOURS_CAP),"",$C298+H$6-MIN(($D298+H$5),PERMANENT_FIELD_LABOR_HOURS)*PERMANENT_HOURLY_RATE-MAX(0,($D298+H$5)-PERMANENT_FIELD_LABOR_HOURS)*TEMP_HOURLY_RATE-FIXED_SEASON_COST)</f>
        <v>17030.9140678363</v>
      </c>
      <c r="I298" s="53" t="n">
        <f aca="false">IF(OR($A298&gt;TOMATO_BED_CAP,$B298&gt;CARROT_BED_CAP,I$4&gt;MESCLUN_BED_CAP,$A298+$B298+I$4&gt;TOTAL_BEDS_AVAILABLE,($D298+I$5)&gt;TOTAL_LABOR_HOURS_CAP,MAX(0,($D298+I$5)-PERMANENT_FIELD_LABOR_HOURS)&gt;TEMP_HOURS_CAP),"",$C298+I$6-MIN(($D298+I$5),PERMANENT_FIELD_LABOR_HOURS)*PERMANENT_HOURLY_RATE-MAX(0,($D298+I$5)-PERMANENT_FIELD_LABOR_HOURS)*TEMP_HOURLY_RATE-FIXED_SEASON_COST)</f>
        <v>18020.0300529925</v>
      </c>
      <c r="J298" s="53" t="n">
        <f aca="false">IF(OR($A298&gt;TOMATO_BED_CAP,$B298&gt;CARROT_BED_CAP,J$4&gt;MESCLUN_BED_CAP,$A298+$B298+J$4&gt;TOTAL_BEDS_AVAILABLE,($D298+J$5)&gt;TOTAL_LABOR_HOURS_CAP,MAX(0,($D298+J$5)-PERMANENT_FIELD_LABOR_HOURS)&gt;TEMP_HOURS_CAP),"",$C298+J$6-MIN(($D298+J$5),PERMANENT_FIELD_LABOR_HOURS)*PERMANENT_HOURLY_RATE-MAX(0,($D298+J$5)-PERMANENT_FIELD_LABOR_HOURS)*TEMP_HOURLY_RATE-FIXED_SEASON_COST)</f>
        <v>18988.6242040472</v>
      </c>
      <c r="K298" s="53" t="n">
        <f aca="false">IF(OR($A298&gt;TOMATO_BED_CAP,$B298&gt;CARROT_BED_CAP,K$4&gt;MESCLUN_BED_CAP,$A298+$B298+K$4&gt;TOTAL_BEDS_AVAILABLE,($D298+K$5)&gt;TOTAL_LABOR_HOURS_CAP,MAX(0,($D298+K$5)-PERMANENT_FIELD_LABOR_HOURS)&gt;TEMP_HOURS_CAP),"",$C298+K$6-MIN(($D298+K$5),PERMANENT_FIELD_LABOR_HOURS)*PERMANENT_HOURLY_RATE-MAX(0,($D298+K$5)-PERMANENT_FIELD_LABOR_HOURS)*TEMP_HOURLY_RATE-FIXED_SEASON_COST)</f>
        <v>19936.3133007751</v>
      </c>
      <c r="L298" s="53" t="n">
        <f aca="false">IF(OR($A298&gt;TOMATO_BED_CAP,$B298&gt;CARROT_BED_CAP,L$4&gt;MESCLUN_BED_CAP,$A298+$B298+L$4&gt;TOTAL_BEDS_AVAILABLE,($D298+L$5)&gt;TOTAL_LABOR_HOURS_CAP,MAX(0,($D298+L$5)-PERMANENT_FIELD_LABOR_HOURS)&gt;TEMP_HOURS_CAP),"",$C298+L$6-MIN(($D298+L$5),PERMANENT_FIELD_LABOR_HOURS)*PERMANENT_HOURLY_RATE-MAX(0,($D298+L$5)-PERMANENT_FIELD_LABOR_HOURS)*TEMP_HOURLY_RATE-FIXED_SEASON_COST)</f>
        <v>20862.707748982</v>
      </c>
      <c r="M298" s="53" t="n">
        <f aca="false">IF(OR($A298&gt;TOMATO_BED_CAP,$B298&gt;CARROT_BED_CAP,M$4&gt;MESCLUN_BED_CAP,$A298+$B298+M$4&gt;TOTAL_BEDS_AVAILABLE,($D298+M$5)&gt;TOTAL_LABOR_HOURS_CAP,MAX(0,($D298+M$5)-PERMANENT_FIELD_LABOR_HOURS)&gt;TEMP_HOURS_CAP),"",$C298+M$6-MIN(($D298+M$5),PERMANENT_FIELD_LABOR_HOURS)*PERMANENT_HOURLY_RATE-MAX(0,($D298+M$5)-PERMANENT_FIELD_LABOR_HOURS)*TEMP_HOURLY_RATE-FIXED_SEASON_COST)</f>
        <v>21767.4114810334</v>
      </c>
      <c r="N298" s="53" t="n">
        <f aca="false">IF(OR($A298&gt;TOMATO_BED_CAP,$B298&gt;CARROT_BED_CAP,N$4&gt;MESCLUN_BED_CAP,$A298+$B298+N$4&gt;TOTAL_BEDS_AVAILABLE,($D298+N$5)&gt;TOTAL_LABOR_HOURS_CAP,MAX(0,($D298+N$5)-PERMANENT_FIELD_LABOR_HOURS)&gt;TEMP_HOURS_CAP),"",$C298+N$6-MIN(($D298+N$5),PERMANENT_FIELD_LABOR_HOURS)*PERMANENT_HOURLY_RATE-MAX(0,($D298+N$5)-PERMANENT_FIELD_LABOR_HOURS)*TEMP_HOURLY_RATE-FIXED_SEASON_COST)</f>
        <v>22650.021854893</v>
      </c>
      <c r="O298" s="53" t="n">
        <f aca="false">IF(OR($A298&gt;TOMATO_BED_CAP,$B298&gt;CARROT_BED_CAP,O$4&gt;MESCLUN_BED_CAP,$A298+$B298+O$4&gt;TOTAL_BEDS_AVAILABLE,($D298+O$5)&gt;TOTAL_LABOR_HOURS_CAP,MAX(0,($D298+O$5)-PERMANENT_FIELD_LABOR_HOURS)&gt;TEMP_HOURS_CAP),"",$C298+O$6-MIN(($D298+O$5),PERMANENT_FIELD_LABOR_HOURS)*PERMANENT_HOURLY_RATE-MAX(0,($D298+O$5)-PERMANENT_FIELD_LABOR_HOURS)*TEMP_HOURLY_RATE-FIXED_SEASON_COST)</f>
        <v>23510.1295516477</v>
      </c>
      <c r="P298" s="53" t="n">
        <f aca="false">IF(OR($A298&gt;TOMATO_BED_CAP,$B298&gt;CARROT_BED_CAP,P$4&gt;MESCLUN_BED_CAP,$A298+$B298+P$4&gt;TOTAL_BEDS_AVAILABLE,($D298+P$5)&gt;TOTAL_LABOR_HOURS_CAP,MAX(0,($D298+P$5)-PERMANENT_FIELD_LABOR_HOURS)&gt;TEMP_HOURS_CAP),"",$C298+P$6-MIN(($D298+P$5),PERMANENT_FIELD_LABOR_HOURS)*PERMANENT_HOURLY_RATE-MAX(0,($D298+P$5)-PERMANENT_FIELD_LABOR_HOURS)*TEMP_HOURLY_RATE-FIXED_SEASON_COST)</f>
        <v>24347.3184714991</v>
      </c>
      <c r="Q298" s="53" t="n">
        <f aca="false">IF(OR($A298&gt;TOMATO_BED_CAP,$B298&gt;CARROT_BED_CAP,Q$4&gt;MESCLUN_BED_CAP,$A298+$B298+Q$4&gt;TOTAL_BEDS_AVAILABLE,($D298+Q$5)&gt;TOTAL_LABOR_HOURS_CAP,MAX(0,($D298+Q$5)-PERMANENT_FIELD_LABOR_HOURS)&gt;TEMP_HOURS_CAP),"",$C298+Q$6-MIN(($D298+Q$5),PERMANENT_FIELD_LABOR_HOURS)*PERMANENT_HOURLY_RATE-MAX(0,($D298+Q$5)-PERMANENT_FIELD_LABOR_HOURS)*TEMP_HOURLY_RATE-FIXED_SEASON_COST)</f>
        <v>25161.165628197</v>
      </c>
      <c r="R298" s="53" t="n">
        <f aca="false">IF(OR($A298&gt;TOMATO_BED_CAP,$B298&gt;CARROT_BED_CAP,R$4&gt;MESCLUN_BED_CAP,$A298+$B298+R$4&gt;TOTAL_BEDS_AVAILABLE,($D298+R$5)&gt;TOTAL_LABOR_HOURS_CAP,MAX(0,($D298+R$5)-PERMANENT_FIELD_LABOR_HOURS)&gt;TEMP_HOURS_CAP),"",$C298+R$6-MIN(($D298+R$5),PERMANENT_FIELD_LABOR_HOURS)*PERMANENT_HOURLY_RATE-MAX(0,($D298+R$5)-PERMANENT_FIELD_LABOR_HOURS)*TEMP_HOURLY_RATE-FIXED_SEASON_COST)</f>
        <v>25951.2410418938</v>
      </c>
      <c r="S298" s="53" t="n">
        <f aca="false">IF(OR($A298&gt;TOMATO_BED_CAP,$B298&gt;CARROT_BED_CAP,S$4&gt;MESCLUN_BED_CAP,$A298+$B298+S$4&gt;TOTAL_BEDS_AVAILABLE,($D298+S$5)&gt;TOTAL_LABOR_HOURS_CAP,MAX(0,($D298+S$5)-PERMANENT_FIELD_LABOR_HOURS)&gt;TEMP_HOURS_CAP),"",$C298+S$6-MIN(($D298+S$5),PERMANENT_FIELD_LABOR_HOURS)*PERMANENT_HOURLY_RATE-MAX(0,($D298+S$5)-PERMANENT_FIELD_LABOR_HOURS)*TEMP_HOURLY_RATE-FIXED_SEASON_COST)</f>
        <v>26717.1076303963</v>
      </c>
      <c r="T298" s="53" t="n">
        <f aca="false">IF(OR($A298&gt;TOMATO_BED_CAP,$B298&gt;CARROT_BED_CAP,T$4&gt;MESCLUN_BED_CAP,$A298+$B298+T$4&gt;TOTAL_BEDS_AVAILABLE,($D298+T$5)&gt;TOTAL_LABOR_HOURS_CAP,MAX(0,($D298+T$5)-PERMANENT_FIELD_LABOR_HOURS)&gt;TEMP_HOURS_CAP),"",$C298+T$6-MIN(($D298+T$5),PERMANENT_FIELD_LABOR_HOURS)*PERMANENT_HOURLY_RATE-MAX(0,($D298+T$5)-PERMANENT_FIELD_LABOR_HOURS)*TEMP_HOURLY_RATE-FIXED_SEASON_COST)</f>
        <v>27458.3210987911</v>
      </c>
      <c r="U298" s="53" t="n">
        <f aca="false">IF(OR($A298&gt;TOMATO_BED_CAP,$B298&gt;CARROT_BED_CAP,U$4&gt;MESCLUN_BED_CAP,$A298+$B298+U$4&gt;TOTAL_BEDS_AVAILABLE,($D298+U$5)&gt;TOTAL_LABOR_HOURS_CAP,MAX(0,($D298+U$5)-PERMANENT_FIELD_LABOR_HOURS)&gt;TEMP_HOURS_CAP),"",$C298+U$6-MIN(($D298+U$5),PERMANENT_FIELD_LABOR_HOURS)*PERMANENT_HOURLY_RATE-MAX(0,($D298+U$5)-PERMANENT_FIELD_LABOR_HOURS)*TEMP_HOURLY_RATE-FIXED_SEASON_COST)</f>
        <v>28174.4298274212</v>
      </c>
      <c r="V298" s="53" t="n">
        <f aca="false">IF(OR($A298&gt;TOMATO_BED_CAP,$B298&gt;CARROT_BED_CAP,V$4&gt;MESCLUN_BED_CAP,$A298+$B298+V$4&gt;TOTAL_BEDS_AVAILABLE,($D298+V$5)&gt;TOTAL_LABOR_HOURS_CAP,MAX(0,($D298+V$5)-PERMANENT_FIELD_LABOR_HOURS)&gt;TEMP_HOURS_CAP),"",$C298+V$6-MIN(($D298+V$5),PERMANENT_FIELD_LABOR_HOURS)*PERMANENT_HOURLY_RATE-MAX(0,($D298+V$5)-PERMANENT_FIELD_LABOR_HOURS)*TEMP_HOURLY_RATE-FIXED_SEASON_COST)</f>
        <v>28864.974758188</v>
      </c>
      <c r="W298" s="53" t="n">
        <f aca="false">IF(OR($A298&gt;TOMATO_BED_CAP,$B298&gt;CARROT_BED_CAP,W$4&gt;MESCLUN_BED_CAP,$A298+$B298+W$4&gt;TOTAL_BEDS_AVAILABLE,($D298+W$5)&gt;TOTAL_LABOR_HOURS_CAP,MAX(0,($D298+W$5)-PERMANENT_FIELD_LABOR_HOURS)&gt;TEMP_HOURS_CAP),"",$C298+W$6-MIN(($D298+W$5),PERMANENT_FIELD_LABOR_HOURS)*PERMANENT_HOURLY_RATE-MAX(0,($D298+W$5)-PERMANENT_FIELD_LABOR_HOURS)*TEMP_HOURLY_RATE-FIXED_SEASON_COST)</f>
        <v>29529.4892791561</v>
      </c>
      <c r="X298" s="53" t="n">
        <f aca="false">IF(OR($A298&gt;TOMATO_BED_CAP,$B298&gt;CARROT_BED_CAP,X$4&gt;MESCLUN_BED_CAP,$A298+$B298+X$4&gt;TOTAL_BEDS_AVAILABLE,($D298+X$5)&gt;TOTAL_LABOR_HOURS_CAP,MAX(0,($D298+X$5)-PERMANENT_FIELD_LABOR_HOURS)&gt;TEMP_HOURS_CAP),"",$C298+X$6-MIN(($D298+X$5),PERMANENT_FIELD_LABOR_HOURS)*PERMANENT_HOURLY_RATE-MAX(0,($D298+X$5)-PERMANENT_FIELD_LABOR_HOURS)*TEMP_HOURLY_RATE-FIXED_SEASON_COST)</f>
        <v>30167.499107435</v>
      </c>
      <c r="Y298" s="53" t="n">
        <f aca="false">IF(OR($A298&gt;TOMATO_BED_CAP,$B298&gt;CARROT_BED_CAP,Y$4&gt;MESCLUN_BED_CAP,$A298+$B298+Y$4&gt;TOTAL_BEDS_AVAILABLE,($D298+Y$5)&gt;TOTAL_LABOR_HOURS_CAP,MAX(0,($D298+Y$5)-PERMANENT_FIELD_LABOR_HOURS)&gt;TEMP_HOURS_CAP),"",$C298+Y$6-MIN(($D298+Y$5),PERMANENT_FIELD_LABOR_HOURS)*PERMANENT_HOURLY_RATE-MAX(0,($D298+Y$5)-PERMANENT_FIELD_LABOR_HOURS)*TEMP_HOURLY_RATE-FIXED_SEASON_COST)</f>
        <v>30778.5221703137</v>
      </c>
      <c r="Z298" s="53" t="n">
        <f aca="false">IF(OR($A298&gt;TOMATO_BED_CAP,$B298&gt;CARROT_BED_CAP,Z$4&gt;MESCLUN_BED_CAP,$A298+$B298+Z$4&gt;TOTAL_BEDS_AVAILABLE,($D298+Z$5)&gt;TOTAL_LABOR_HOURS_CAP,MAX(0,($D298+Z$5)-PERMANENT_FIELD_LABOR_HOURS)&gt;TEMP_HOURS_CAP),"",$C298+Z$6-MIN(($D298+Z$5),PERMANENT_FIELD_LABOR_HOURS)*PERMANENT_HOURLY_RATE-MAX(0,($D298+Z$5)-PERMANENT_FIELD_LABOR_HOURS)*TEMP_HOURLY_RATE-FIXED_SEASON_COST)</f>
        <v>31362.0684846214</v>
      </c>
      <c r="AA298" s="53" t="n">
        <f aca="false">IF(OR($A298&gt;TOMATO_BED_CAP,$B298&gt;CARROT_BED_CAP,AA$4&gt;MESCLUN_BED_CAP,$A298+$B298+AA$4&gt;TOTAL_BEDS_AVAILABLE,($D298+AA$5)&gt;TOTAL_LABOR_HOURS_CAP,MAX(0,($D298+AA$5)-PERMANENT_FIELD_LABOR_HOURS)&gt;TEMP_HOURS_CAP),"",$C298+AA$6-MIN(($D298+AA$5),PERMANENT_FIELD_LABOR_HOURS)*PERMANENT_HOURLY_RATE-MAX(0,($D298+AA$5)-PERMANENT_FIELD_LABOR_HOURS)*TEMP_HOURLY_RATE-FIXED_SEASON_COST)</f>
        <v>31917.6400342903</v>
      </c>
      <c r="AB298" s="53" t="n">
        <f aca="false">IF(OR($A298&gt;TOMATO_BED_CAP,$B298&gt;CARROT_BED_CAP,AB$4&gt;MESCLUN_BED_CAP,$A298+$B298+AB$4&gt;TOTAL_BEDS_AVAILABLE,($D298+AB$5)&gt;TOTAL_LABOR_HOURS_CAP,MAX(0,($D298+AB$5)-PERMANENT_FIELD_LABOR_HOURS)&gt;TEMP_HOURS_CAP),"",$C298+AB$6-MIN(($D298+AB$5),PERMANENT_FIELD_LABOR_HOURS)*PERMANENT_HOURLY_RATE-MAX(0,($D298+AB$5)-PERMANENT_FIELD_LABOR_HOURS)*TEMP_HOURLY_RATE-FIXED_SEASON_COST)</f>
        <v>32444.7306460929</v>
      </c>
      <c r="AC298" s="53" t="n">
        <f aca="false">IF(OR($A298&gt;TOMATO_BED_CAP,$B298&gt;CARROT_BED_CAP,AC$4&gt;MESCLUN_BED_CAP,$A298+$B298+AC$4&gt;TOTAL_BEDS_AVAILABLE,($D298+AC$5)&gt;TOTAL_LABOR_HOURS_CAP,MAX(0,($D298+AC$5)-PERMANENT_FIELD_LABOR_HOURS)&gt;TEMP_HOURS_CAP),"",$C298+AC$6-MIN(($D298+AC$5),PERMANENT_FIELD_LABOR_HOURS)*PERMANENT_HOURLY_RATE-MAX(0,($D298+AC$5)-PERMANENT_FIELD_LABOR_HOURS)*TEMP_HOURLY_RATE-FIXED_SEASON_COST)</f>
        <v>32942.8258635278</v>
      </c>
      <c r="AD298" s="53" t="n">
        <f aca="false">IF(OR($A298&gt;TOMATO_BED_CAP,$B298&gt;CARROT_BED_CAP,AD$4&gt;MESCLUN_BED_CAP,$A298+$B298+AD$4&gt;TOTAL_BEDS_AVAILABLE,($D298+AD$5)&gt;TOTAL_LABOR_HOURS_CAP,MAX(0,($D298+AD$5)-PERMANENT_FIELD_LABOR_HOURS)&gt;TEMP_HOURS_CAP),"",$C298+AD$6-MIN(($D298+AD$5),PERMANENT_FIELD_LABOR_HOURS)*PERMANENT_HOURLY_RATE-MAX(0,($D298+AD$5)-PERMANENT_FIELD_LABOR_HOURS)*TEMP_HOURLY_RATE-FIXED_SEASON_COST)</f>
        <v>33411.4028188277</v>
      </c>
      <c r="AE298" s="53" t="n">
        <f aca="false">IF(OR($A298&gt;TOMATO_BED_CAP,$B298&gt;CARROT_BED_CAP,AE$4&gt;MESCLUN_BED_CAP,$A298+$B298+AE$4&gt;TOTAL_BEDS_AVAILABLE,($D298+AE$5)&gt;TOTAL_LABOR_HOURS_CAP,MAX(0,($D298+AE$5)-PERMANENT_FIELD_LABOR_HOURS)&gt;TEMP_HOURS_CAP),"",$C298+AE$6-MIN(($D298+AE$5),PERMANENT_FIELD_LABOR_HOURS)*PERMANENT_HOURLY_RATE-MAX(0,($D298+AE$5)-PERMANENT_FIELD_LABOR_HOURS)*TEMP_HOURLY_RATE-FIXED_SEASON_COST)</f>
        <v>33849.9301030616</v>
      </c>
      <c r="AF298" s="53" t="n">
        <f aca="false">IF(OR($A298&gt;TOMATO_BED_CAP,$B298&gt;CARROT_BED_CAP,AF$4&gt;MESCLUN_BED_CAP,$A298+$B298+AF$4&gt;TOTAL_BEDS_AVAILABLE,($D298+AF$5)&gt;TOTAL_LABOR_HOURS_CAP,MAX(0,($D298+AF$5)-PERMANENT_FIELD_LABOR_HOURS)&gt;TEMP_HOURS_CAP),"",$C298+AF$6-MIN(($D298+AF$5),PERMANENT_FIELD_LABOR_HOURS)*PERMANENT_HOURLY_RATE-MAX(0,($D298+AF$5)-PERMANENT_FIELD_LABOR_HOURS)*TEMP_HOURLY_RATE-FIXED_SEASON_COST)</f>
        <v>34257.8676343036</v>
      </c>
      <c r="AG298" s="53" t="str">
        <f aca="false">IF(OR($A298&gt;TOMATO_BED_CAP,$B298&gt;CARROT_BED_CAP,AG$4&gt;MESCLUN_BED_CAP,$A298+$B298+AG$4&gt;TOTAL_BEDS_AVAILABLE,($D298+AG$5)&gt;TOTAL_LABOR_HOURS_CAP,MAX(0,($D298+AG$5)-PERMANENT_FIELD_LABOR_HOURS)&gt;TEMP_HOURS_CAP),"",$C298+AG$6-MIN(($D298+AG$5),PERMANENT_FIELD_LABOR_HOURS)*PERMANENT_HOURLY_RATE-MAX(0,($D298+AG$5)-PERMANENT_FIELD_LABOR_HOURS)*TEMP_HOURLY_RATE-FIXED_SEASON_COST)</f>
        <v/>
      </c>
      <c r="AH298" s="53" t="str">
        <f aca="false">IF(OR($A298&gt;TOMATO_BED_CAP,$B298&gt;CARROT_BED_CAP,AH$4&gt;MESCLUN_BED_CAP,$A298+$B298+AH$4&gt;TOTAL_BEDS_AVAILABLE,($D298+AH$5)&gt;TOTAL_LABOR_HOURS_CAP,MAX(0,($D298+AH$5)-PERMANENT_FIELD_LABOR_HOURS)&gt;TEMP_HOURS_CAP),"",$C298+AH$6-MIN(($D298+AH$5),PERMANENT_FIELD_LABOR_HOURS)*PERMANENT_HOURLY_RATE-MAX(0,($D298+AH$5)-PERMANENT_FIELD_LABOR_HOURS)*TEMP_HOURLY_RATE-FIXED_SEASON_COST)</f>
        <v/>
      </c>
      <c r="AI298" s="53" t="str">
        <f aca="false">IF(OR($A298&gt;TOMATO_BED_CAP,$B298&gt;CARROT_BED_CAP,AI$4&gt;MESCLUN_BED_CAP,$A298+$B298+AI$4&gt;TOTAL_BEDS_AVAILABLE,($D298+AI$5)&gt;TOTAL_LABOR_HOURS_CAP,MAX(0,($D298+AI$5)-PERMANENT_FIELD_LABOR_HOURS)&gt;TEMP_HOURS_CAP),"",$C298+AI$6-MIN(($D298+AI$5),PERMANENT_FIELD_LABOR_HOURS)*PERMANENT_HOURLY_RATE-MAX(0,($D298+AI$5)-PERMANENT_FIELD_LABOR_HOURS)*TEMP_HOURLY_RATE-FIXED_SEASON_COST)</f>
        <v/>
      </c>
      <c r="AJ298" s="53" t="str">
        <f aca="false">IF(OR($A298&gt;TOMATO_BED_CAP,$B298&gt;CARROT_BED_CAP,AJ$4&gt;MESCLUN_BED_CAP,$A298+$B298+AJ$4&gt;TOTAL_BEDS_AVAILABLE,($D298+AJ$5)&gt;TOTAL_LABOR_HOURS_CAP,MAX(0,($D298+AJ$5)-PERMANENT_FIELD_LABOR_HOURS)&gt;TEMP_HOURS_CAP),"",$C298+AJ$6-MIN(($D298+AJ$5),PERMANENT_FIELD_LABOR_HOURS)*PERMANENT_HOURLY_RATE-MAX(0,($D298+AJ$5)-PERMANENT_FIELD_LABOR_HOURS)*TEMP_HOURLY_RATE-FIXED_SEASON_COST)</f>
        <v/>
      </c>
    </row>
    <row r="299" customFormat="false" ht="15" hidden="false" customHeight="false" outlineLevel="0" collapsed="false">
      <c r="A299" s="21" t="n">
        <f aca="false">INT((ROW()-ROW($A$8))/(20+1))</f>
        <v>13</v>
      </c>
      <c r="B299" s="21" t="n">
        <f aca="false">MOD(ROW()-ROW($A$8),20+1)</f>
        <v>18</v>
      </c>
      <c r="C299" s="13" t="n">
        <f aca="false">A299*(TOMATO_REVENUE_PER_BED-TOMATO_FERTILIZER_PER_BED)+B299*(CARROT_REVENUE_PER_BED-CARROT_FERTILIZER_PER_BED)</f>
        <v>132732</v>
      </c>
      <c r="D299" s="14" t="n">
        <f aca="false">INDEX(TOMATO_SCHED_LABOR_HRS,A299+1)+INDEX(CARROT_SCHED_LABOR_HRS,B299+1)</f>
        <v>4881.03614211842</v>
      </c>
      <c r="E299" s="13" t="n">
        <f aca="false">IF(COUNT(F299:AJ299)=0,"",MAX(F299:AJ299))</f>
        <v>34355.3244830496</v>
      </c>
      <c r="F299" s="53" t="n">
        <f aca="false">IF(OR($A299&gt;TOMATO_BED_CAP,$B299&gt;CARROT_BED_CAP,F$4&gt;MESCLUN_BED_CAP,$A299+$B299+F$4&gt;TOTAL_BEDS_AVAILABLE,($D299+F$5)&gt;TOTAL_LABOR_HOURS_CAP,MAX(0,($D299+F$5)-PERMANENT_FIELD_LABOR_HOURS)&gt;TEMP_HOURS_CAP),"",$C299+F$6-MIN(($D299+F$5),PERMANENT_FIELD_LABOR_HOURS)*PERMANENT_HOURLY_RATE-MAX(0,($D299+F$5)-PERMANENT_FIELD_LABOR_HOURS)*TEMP_HOURLY_RATE-FIXED_SEASON_COST)</f>
        <v>15498.0125728243</v>
      </c>
      <c r="G299" s="53" t="n">
        <f aca="false">IF(OR($A299&gt;TOMATO_BED_CAP,$B299&gt;CARROT_BED_CAP,G$4&gt;MESCLUN_BED_CAP,$A299+$B299+G$4&gt;TOTAL_BEDS_AVAILABLE,($D299+G$5)&gt;TOTAL_LABOR_HOURS_CAP,MAX(0,($D299+G$5)-PERMANENT_FIELD_LABOR_HOURS)&gt;TEMP_HOURS_CAP),"",$C299+G$6-MIN(($D299+G$5),PERMANENT_FIELD_LABOR_HOURS)*PERMANENT_HOURLY_RATE-MAX(0,($D299+G$5)-PERMANENT_FIELD_LABOR_HOURS)*TEMP_HOURLY_RATE-FIXED_SEASON_COST)</f>
        <v>16527.0475728243</v>
      </c>
      <c r="H299" s="53" t="n">
        <f aca="false">IF(OR($A299&gt;TOMATO_BED_CAP,$B299&gt;CARROT_BED_CAP,H$4&gt;MESCLUN_BED_CAP,$A299+$B299+H$4&gt;TOTAL_BEDS_AVAILABLE,($D299+H$5)&gt;TOTAL_LABOR_HOURS_CAP,MAX(0,($D299+H$5)-PERMANENT_FIELD_LABOR_HOURS)&gt;TEMP_HOURS_CAP),"",$C299+H$6-MIN(($D299+H$5),PERMANENT_FIELD_LABOR_HOURS)*PERMANENT_HOURLY_RATE-MAX(0,($D299+H$5)-PERMANENT_FIELD_LABOR_HOURS)*TEMP_HOURLY_RATE-FIXED_SEASON_COST)</f>
        <v>17536.3084478243</v>
      </c>
      <c r="I299" s="53" t="n">
        <f aca="false">IF(OR($A299&gt;TOMATO_BED_CAP,$B299&gt;CARROT_BED_CAP,I$4&gt;MESCLUN_BED_CAP,$A299+$B299+I$4&gt;TOTAL_BEDS_AVAILABLE,($D299+I$5)&gt;TOTAL_LABOR_HOURS_CAP,MAX(0,($D299+I$5)-PERMANENT_FIELD_LABOR_HOURS)&gt;TEMP_HOURS_CAP),"",$C299+I$6-MIN(($D299+I$5),PERMANENT_FIELD_LABOR_HOURS)*PERMANENT_HOURLY_RATE-MAX(0,($D299+I$5)-PERMANENT_FIELD_LABOR_HOURS)*TEMP_HOURLY_RATE-FIXED_SEASON_COST)</f>
        <v>18525.4244329805</v>
      </c>
      <c r="J299" s="53" t="n">
        <f aca="false">IF(OR($A299&gt;TOMATO_BED_CAP,$B299&gt;CARROT_BED_CAP,J$4&gt;MESCLUN_BED_CAP,$A299+$B299+J$4&gt;TOTAL_BEDS_AVAILABLE,($D299+J$5)&gt;TOTAL_LABOR_HOURS_CAP,MAX(0,($D299+J$5)-PERMANENT_FIELD_LABOR_HOURS)&gt;TEMP_HOURS_CAP),"",$C299+J$6-MIN(($D299+J$5),PERMANENT_FIELD_LABOR_HOURS)*PERMANENT_HOURLY_RATE-MAX(0,($D299+J$5)-PERMANENT_FIELD_LABOR_HOURS)*TEMP_HOURLY_RATE-FIXED_SEASON_COST)</f>
        <v>19494.0185840352</v>
      </c>
      <c r="K299" s="53" t="n">
        <f aca="false">IF(OR($A299&gt;TOMATO_BED_CAP,$B299&gt;CARROT_BED_CAP,K$4&gt;MESCLUN_BED_CAP,$A299+$B299+K$4&gt;TOTAL_BEDS_AVAILABLE,($D299+K$5)&gt;TOTAL_LABOR_HOURS_CAP,MAX(0,($D299+K$5)-PERMANENT_FIELD_LABOR_HOURS)&gt;TEMP_HOURS_CAP),"",$C299+K$6-MIN(($D299+K$5),PERMANENT_FIELD_LABOR_HOURS)*PERMANENT_HOURLY_RATE-MAX(0,($D299+K$5)-PERMANENT_FIELD_LABOR_HOURS)*TEMP_HOURLY_RATE-FIXED_SEASON_COST)</f>
        <v>20441.7076807631</v>
      </c>
      <c r="L299" s="53" t="n">
        <f aca="false">IF(OR($A299&gt;TOMATO_BED_CAP,$B299&gt;CARROT_BED_CAP,L$4&gt;MESCLUN_BED_CAP,$A299+$B299+L$4&gt;TOTAL_BEDS_AVAILABLE,($D299+L$5)&gt;TOTAL_LABOR_HOURS_CAP,MAX(0,($D299+L$5)-PERMANENT_FIELD_LABOR_HOURS)&gt;TEMP_HOURS_CAP),"",$C299+L$6-MIN(($D299+L$5),PERMANENT_FIELD_LABOR_HOURS)*PERMANENT_HOURLY_RATE-MAX(0,($D299+L$5)-PERMANENT_FIELD_LABOR_HOURS)*TEMP_HOURLY_RATE-FIXED_SEASON_COST)</f>
        <v>21368.10212897</v>
      </c>
      <c r="M299" s="53" t="n">
        <f aca="false">IF(OR($A299&gt;TOMATO_BED_CAP,$B299&gt;CARROT_BED_CAP,M$4&gt;MESCLUN_BED_CAP,$A299+$B299+M$4&gt;TOTAL_BEDS_AVAILABLE,($D299+M$5)&gt;TOTAL_LABOR_HOURS_CAP,MAX(0,($D299+M$5)-PERMANENT_FIELD_LABOR_HOURS)&gt;TEMP_HOURS_CAP),"",$C299+M$6-MIN(($D299+M$5),PERMANENT_FIELD_LABOR_HOURS)*PERMANENT_HOURLY_RATE-MAX(0,($D299+M$5)-PERMANENT_FIELD_LABOR_HOURS)*TEMP_HOURLY_RATE-FIXED_SEASON_COST)</f>
        <v>22272.8058610214</v>
      </c>
      <c r="N299" s="53" t="n">
        <f aca="false">IF(OR($A299&gt;TOMATO_BED_CAP,$B299&gt;CARROT_BED_CAP,N$4&gt;MESCLUN_BED_CAP,$A299+$B299+N$4&gt;TOTAL_BEDS_AVAILABLE,($D299+N$5)&gt;TOTAL_LABOR_HOURS_CAP,MAX(0,($D299+N$5)-PERMANENT_FIELD_LABOR_HOURS)&gt;TEMP_HOURS_CAP),"",$C299+N$6-MIN(($D299+N$5),PERMANENT_FIELD_LABOR_HOURS)*PERMANENT_HOURLY_RATE-MAX(0,($D299+N$5)-PERMANENT_FIELD_LABOR_HOURS)*TEMP_HOURLY_RATE-FIXED_SEASON_COST)</f>
        <v>23155.4162348809</v>
      </c>
      <c r="O299" s="53" t="n">
        <f aca="false">IF(OR($A299&gt;TOMATO_BED_CAP,$B299&gt;CARROT_BED_CAP,O$4&gt;MESCLUN_BED_CAP,$A299+$B299+O$4&gt;TOTAL_BEDS_AVAILABLE,($D299+O$5)&gt;TOTAL_LABOR_HOURS_CAP,MAX(0,($D299+O$5)-PERMANENT_FIELD_LABOR_HOURS)&gt;TEMP_HOURS_CAP),"",$C299+O$6-MIN(($D299+O$5),PERMANENT_FIELD_LABOR_HOURS)*PERMANENT_HOURLY_RATE-MAX(0,($D299+O$5)-PERMANENT_FIELD_LABOR_HOURS)*TEMP_HOURLY_RATE-FIXED_SEASON_COST)</f>
        <v>24015.5239316357</v>
      </c>
      <c r="P299" s="53" t="n">
        <f aca="false">IF(OR($A299&gt;TOMATO_BED_CAP,$B299&gt;CARROT_BED_CAP,P$4&gt;MESCLUN_BED_CAP,$A299+$B299+P$4&gt;TOTAL_BEDS_AVAILABLE,($D299+P$5)&gt;TOTAL_LABOR_HOURS_CAP,MAX(0,($D299+P$5)-PERMANENT_FIELD_LABOR_HOURS)&gt;TEMP_HOURS_CAP),"",$C299+P$6-MIN(($D299+P$5),PERMANENT_FIELD_LABOR_HOURS)*PERMANENT_HOURLY_RATE-MAX(0,($D299+P$5)-PERMANENT_FIELD_LABOR_HOURS)*TEMP_HOURLY_RATE-FIXED_SEASON_COST)</f>
        <v>24852.7128514871</v>
      </c>
      <c r="Q299" s="53" t="n">
        <f aca="false">IF(OR($A299&gt;TOMATO_BED_CAP,$B299&gt;CARROT_BED_CAP,Q$4&gt;MESCLUN_BED_CAP,$A299+$B299+Q$4&gt;TOTAL_BEDS_AVAILABLE,($D299+Q$5)&gt;TOTAL_LABOR_HOURS_CAP,MAX(0,($D299+Q$5)-PERMANENT_FIELD_LABOR_HOURS)&gt;TEMP_HOURS_CAP),"",$C299+Q$6-MIN(($D299+Q$5),PERMANENT_FIELD_LABOR_HOURS)*PERMANENT_HOURLY_RATE-MAX(0,($D299+Q$5)-PERMANENT_FIELD_LABOR_HOURS)*TEMP_HOURLY_RATE-FIXED_SEASON_COST)</f>
        <v>25666.560008185</v>
      </c>
      <c r="R299" s="53" t="n">
        <f aca="false">IF(OR($A299&gt;TOMATO_BED_CAP,$B299&gt;CARROT_BED_CAP,R$4&gt;MESCLUN_BED_CAP,$A299+$B299+R$4&gt;TOTAL_BEDS_AVAILABLE,($D299+R$5)&gt;TOTAL_LABOR_HOURS_CAP,MAX(0,($D299+R$5)-PERMANENT_FIELD_LABOR_HOURS)&gt;TEMP_HOURS_CAP),"",$C299+R$6-MIN(($D299+R$5),PERMANENT_FIELD_LABOR_HOURS)*PERMANENT_HOURLY_RATE-MAX(0,($D299+R$5)-PERMANENT_FIELD_LABOR_HOURS)*TEMP_HOURLY_RATE-FIXED_SEASON_COST)</f>
        <v>26456.6354218818</v>
      </c>
      <c r="S299" s="53" t="n">
        <f aca="false">IF(OR($A299&gt;TOMATO_BED_CAP,$B299&gt;CARROT_BED_CAP,S$4&gt;MESCLUN_BED_CAP,$A299+$B299+S$4&gt;TOTAL_BEDS_AVAILABLE,($D299+S$5)&gt;TOTAL_LABOR_HOURS_CAP,MAX(0,($D299+S$5)-PERMANENT_FIELD_LABOR_HOURS)&gt;TEMP_HOURS_CAP),"",$C299+S$6-MIN(($D299+S$5),PERMANENT_FIELD_LABOR_HOURS)*PERMANENT_HOURLY_RATE-MAX(0,($D299+S$5)-PERMANENT_FIELD_LABOR_HOURS)*TEMP_HOURLY_RATE-FIXED_SEASON_COST)</f>
        <v>27222.5020103843</v>
      </c>
      <c r="T299" s="53" t="n">
        <f aca="false">IF(OR($A299&gt;TOMATO_BED_CAP,$B299&gt;CARROT_BED_CAP,T$4&gt;MESCLUN_BED_CAP,$A299+$B299+T$4&gt;TOTAL_BEDS_AVAILABLE,($D299+T$5)&gt;TOTAL_LABOR_HOURS_CAP,MAX(0,($D299+T$5)-PERMANENT_FIELD_LABOR_HOURS)&gt;TEMP_HOURS_CAP),"",$C299+T$6-MIN(($D299+T$5),PERMANENT_FIELD_LABOR_HOURS)*PERMANENT_HOURLY_RATE-MAX(0,($D299+T$5)-PERMANENT_FIELD_LABOR_HOURS)*TEMP_HOURLY_RATE-FIXED_SEASON_COST)</f>
        <v>27963.7154787791</v>
      </c>
      <c r="U299" s="53" t="n">
        <f aca="false">IF(OR($A299&gt;TOMATO_BED_CAP,$B299&gt;CARROT_BED_CAP,U$4&gt;MESCLUN_BED_CAP,$A299+$B299+U$4&gt;TOTAL_BEDS_AVAILABLE,($D299+U$5)&gt;TOTAL_LABOR_HOURS_CAP,MAX(0,($D299+U$5)-PERMANENT_FIELD_LABOR_HOURS)&gt;TEMP_HOURS_CAP),"",$C299+U$6-MIN(($D299+U$5),PERMANENT_FIELD_LABOR_HOURS)*PERMANENT_HOURLY_RATE-MAX(0,($D299+U$5)-PERMANENT_FIELD_LABOR_HOURS)*TEMP_HOURLY_RATE-FIXED_SEASON_COST)</f>
        <v>28679.8242074092</v>
      </c>
      <c r="V299" s="53" t="n">
        <f aca="false">IF(OR($A299&gt;TOMATO_BED_CAP,$B299&gt;CARROT_BED_CAP,V$4&gt;MESCLUN_BED_CAP,$A299+$B299+V$4&gt;TOTAL_BEDS_AVAILABLE,($D299+V$5)&gt;TOTAL_LABOR_HOURS_CAP,MAX(0,($D299+V$5)-PERMANENT_FIELD_LABOR_HOURS)&gt;TEMP_HOURS_CAP),"",$C299+V$6-MIN(($D299+V$5),PERMANENT_FIELD_LABOR_HOURS)*PERMANENT_HOURLY_RATE-MAX(0,($D299+V$5)-PERMANENT_FIELD_LABOR_HOURS)*TEMP_HOURLY_RATE-FIXED_SEASON_COST)</f>
        <v>29370.369138176</v>
      </c>
      <c r="W299" s="53" t="n">
        <f aca="false">IF(OR($A299&gt;TOMATO_BED_CAP,$B299&gt;CARROT_BED_CAP,W$4&gt;MESCLUN_BED_CAP,$A299+$B299+W$4&gt;TOTAL_BEDS_AVAILABLE,($D299+W$5)&gt;TOTAL_LABOR_HOURS_CAP,MAX(0,($D299+W$5)-PERMANENT_FIELD_LABOR_HOURS)&gt;TEMP_HOURS_CAP),"",$C299+W$6-MIN(($D299+W$5),PERMANENT_FIELD_LABOR_HOURS)*PERMANENT_HOURLY_RATE-MAX(0,($D299+W$5)-PERMANENT_FIELD_LABOR_HOURS)*TEMP_HOURLY_RATE-FIXED_SEASON_COST)</f>
        <v>30034.8836591441</v>
      </c>
      <c r="X299" s="53" t="n">
        <f aca="false">IF(OR($A299&gt;TOMATO_BED_CAP,$B299&gt;CARROT_BED_CAP,X$4&gt;MESCLUN_BED_CAP,$A299+$B299+X$4&gt;TOTAL_BEDS_AVAILABLE,($D299+X$5)&gt;TOTAL_LABOR_HOURS_CAP,MAX(0,($D299+X$5)-PERMANENT_FIELD_LABOR_HOURS)&gt;TEMP_HOURS_CAP),"",$C299+X$6-MIN(($D299+X$5),PERMANENT_FIELD_LABOR_HOURS)*PERMANENT_HOURLY_RATE-MAX(0,($D299+X$5)-PERMANENT_FIELD_LABOR_HOURS)*TEMP_HOURLY_RATE-FIXED_SEASON_COST)</f>
        <v>30672.893487423</v>
      </c>
      <c r="Y299" s="53" t="n">
        <f aca="false">IF(OR($A299&gt;TOMATO_BED_CAP,$B299&gt;CARROT_BED_CAP,Y$4&gt;MESCLUN_BED_CAP,$A299+$B299+Y$4&gt;TOTAL_BEDS_AVAILABLE,($D299+Y$5)&gt;TOTAL_LABOR_HOURS_CAP,MAX(0,($D299+Y$5)-PERMANENT_FIELD_LABOR_HOURS)&gt;TEMP_HOURS_CAP),"",$C299+Y$6-MIN(($D299+Y$5),PERMANENT_FIELD_LABOR_HOURS)*PERMANENT_HOURLY_RATE-MAX(0,($D299+Y$5)-PERMANENT_FIELD_LABOR_HOURS)*TEMP_HOURLY_RATE-FIXED_SEASON_COST)</f>
        <v>31283.9165503016</v>
      </c>
      <c r="Z299" s="53" t="n">
        <f aca="false">IF(OR($A299&gt;TOMATO_BED_CAP,$B299&gt;CARROT_BED_CAP,Z$4&gt;MESCLUN_BED_CAP,$A299+$B299+Z$4&gt;TOTAL_BEDS_AVAILABLE,($D299+Z$5)&gt;TOTAL_LABOR_HOURS_CAP,MAX(0,($D299+Z$5)-PERMANENT_FIELD_LABOR_HOURS)&gt;TEMP_HOURS_CAP),"",$C299+Z$6-MIN(($D299+Z$5),PERMANENT_FIELD_LABOR_HOURS)*PERMANENT_HOURLY_RATE-MAX(0,($D299+Z$5)-PERMANENT_FIELD_LABOR_HOURS)*TEMP_HOURLY_RATE-FIXED_SEASON_COST)</f>
        <v>31867.4628646093</v>
      </c>
      <c r="AA299" s="53" t="n">
        <f aca="false">IF(OR($A299&gt;TOMATO_BED_CAP,$B299&gt;CARROT_BED_CAP,AA$4&gt;MESCLUN_BED_CAP,$A299+$B299+AA$4&gt;TOTAL_BEDS_AVAILABLE,($D299+AA$5)&gt;TOTAL_LABOR_HOURS_CAP,MAX(0,($D299+AA$5)-PERMANENT_FIELD_LABOR_HOURS)&gt;TEMP_HOURS_CAP),"",$C299+AA$6-MIN(($D299+AA$5),PERMANENT_FIELD_LABOR_HOURS)*PERMANENT_HOURLY_RATE-MAX(0,($D299+AA$5)-PERMANENT_FIELD_LABOR_HOURS)*TEMP_HOURLY_RATE-FIXED_SEASON_COST)</f>
        <v>32423.0344142783</v>
      </c>
      <c r="AB299" s="53" t="n">
        <f aca="false">IF(OR($A299&gt;TOMATO_BED_CAP,$B299&gt;CARROT_BED_CAP,AB$4&gt;MESCLUN_BED_CAP,$A299+$B299+AB$4&gt;TOTAL_BEDS_AVAILABLE,($D299+AB$5)&gt;TOTAL_LABOR_HOURS_CAP,MAX(0,($D299+AB$5)-PERMANENT_FIELD_LABOR_HOURS)&gt;TEMP_HOURS_CAP),"",$C299+AB$6-MIN(($D299+AB$5),PERMANENT_FIELD_LABOR_HOURS)*PERMANENT_HOURLY_RATE-MAX(0,($D299+AB$5)-PERMANENT_FIELD_LABOR_HOURS)*TEMP_HOURLY_RATE-FIXED_SEASON_COST)</f>
        <v>32950.1250260808</v>
      </c>
      <c r="AC299" s="53" t="n">
        <f aca="false">IF(OR($A299&gt;TOMATO_BED_CAP,$B299&gt;CARROT_BED_CAP,AC$4&gt;MESCLUN_BED_CAP,$A299+$B299+AC$4&gt;TOTAL_BEDS_AVAILABLE,($D299+AC$5)&gt;TOTAL_LABOR_HOURS_CAP,MAX(0,($D299+AC$5)-PERMANENT_FIELD_LABOR_HOURS)&gt;TEMP_HOURS_CAP),"",$C299+AC$6-MIN(($D299+AC$5),PERMANENT_FIELD_LABOR_HOURS)*PERMANENT_HOURLY_RATE-MAX(0,($D299+AC$5)-PERMANENT_FIELD_LABOR_HOURS)*TEMP_HOURLY_RATE-FIXED_SEASON_COST)</f>
        <v>33448.2202435158</v>
      </c>
      <c r="AD299" s="53" t="n">
        <f aca="false">IF(OR($A299&gt;TOMATO_BED_CAP,$B299&gt;CARROT_BED_CAP,AD$4&gt;MESCLUN_BED_CAP,$A299+$B299+AD$4&gt;TOTAL_BEDS_AVAILABLE,($D299+AD$5)&gt;TOTAL_LABOR_HOURS_CAP,MAX(0,($D299+AD$5)-PERMANENT_FIELD_LABOR_HOURS)&gt;TEMP_HOURS_CAP),"",$C299+AD$6-MIN(($D299+AD$5),PERMANENT_FIELD_LABOR_HOURS)*PERMANENT_HOURLY_RATE-MAX(0,($D299+AD$5)-PERMANENT_FIELD_LABOR_HOURS)*TEMP_HOURLY_RATE-FIXED_SEASON_COST)</f>
        <v>33916.7971988157</v>
      </c>
      <c r="AE299" s="53" t="n">
        <f aca="false">IF(OR($A299&gt;TOMATO_BED_CAP,$B299&gt;CARROT_BED_CAP,AE$4&gt;MESCLUN_BED_CAP,$A299+$B299+AE$4&gt;TOTAL_BEDS_AVAILABLE,($D299+AE$5)&gt;TOTAL_LABOR_HOURS_CAP,MAX(0,($D299+AE$5)-PERMANENT_FIELD_LABOR_HOURS)&gt;TEMP_HOURS_CAP),"",$C299+AE$6-MIN(($D299+AE$5),PERMANENT_FIELD_LABOR_HOURS)*PERMANENT_HOURLY_RATE-MAX(0,($D299+AE$5)-PERMANENT_FIELD_LABOR_HOURS)*TEMP_HOURLY_RATE-FIXED_SEASON_COST)</f>
        <v>34355.3244830496</v>
      </c>
      <c r="AF299" s="53" t="str">
        <f aca="false">IF(OR($A299&gt;TOMATO_BED_CAP,$B299&gt;CARROT_BED_CAP,AF$4&gt;MESCLUN_BED_CAP,$A299+$B299+AF$4&gt;TOTAL_BEDS_AVAILABLE,($D299+AF$5)&gt;TOTAL_LABOR_HOURS_CAP,MAX(0,($D299+AF$5)-PERMANENT_FIELD_LABOR_HOURS)&gt;TEMP_HOURS_CAP),"",$C299+AF$6-MIN(($D299+AF$5),PERMANENT_FIELD_LABOR_HOURS)*PERMANENT_HOURLY_RATE-MAX(0,($D299+AF$5)-PERMANENT_FIELD_LABOR_HOURS)*TEMP_HOURLY_RATE-FIXED_SEASON_COST)</f>
        <v/>
      </c>
      <c r="AG299" s="53" t="str">
        <f aca="false">IF(OR($A299&gt;TOMATO_BED_CAP,$B299&gt;CARROT_BED_CAP,AG$4&gt;MESCLUN_BED_CAP,$A299+$B299+AG$4&gt;TOTAL_BEDS_AVAILABLE,($D299+AG$5)&gt;TOTAL_LABOR_HOURS_CAP,MAX(0,($D299+AG$5)-PERMANENT_FIELD_LABOR_HOURS)&gt;TEMP_HOURS_CAP),"",$C299+AG$6-MIN(($D299+AG$5),PERMANENT_FIELD_LABOR_HOURS)*PERMANENT_HOURLY_RATE-MAX(0,($D299+AG$5)-PERMANENT_FIELD_LABOR_HOURS)*TEMP_HOURLY_RATE-FIXED_SEASON_COST)</f>
        <v/>
      </c>
      <c r="AH299" s="53" t="str">
        <f aca="false">IF(OR($A299&gt;TOMATO_BED_CAP,$B299&gt;CARROT_BED_CAP,AH$4&gt;MESCLUN_BED_CAP,$A299+$B299+AH$4&gt;TOTAL_BEDS_AVAILABLE,($D299+AH$5)&gt;TOTAL_LABOR_HOURS_CAP,MAX(0,($D299+AH$5)-PERMANENT_FIELD_LABOR_HOURS)&gt;TEMP_HOURS_CAP),"",$C299+AH$6-MIN(($D299+AH$5),PERMANENT_FIELD_LABOR_HOURS)*PERMANENT_HOURLY_RATE-MAX(0,($D299+AH$5)-PERMANENT_FIELD_LABOR_HOURS)*TEMP_HOURLY_RATE-FIXED_SEASON_COST)</f>
        <v/>
      </c>
      <c r="AI299" s="53" t="str">
        <f aca="false">IF(OR($A299&gt;TOMATO_BED_CAP,$B299&gt;CARROT_BED_CAP,AI$4&gt;MESCLUN_BED_CAP,$A299+$B299+AI$4&gt;TOTAL_BEDS_AVAILABLE,($D299+AI$5)&gt;TOTAL_LABOR_HOURS_CAP,MAX(0,($D299+AI$5)-PERMANENT_FIELD_LABOR_HOURS)&gt;TEMP_HOURS_CAP),"",$C299+AI$6-MIN(($D299+AI$5),PERMANENT_FIELD_LABOR_HOURS)*PERMANENT_HOURLY_RATE-MAX(0,($D299+AI$5)-PERMANENT_FIELD_LABOR_HOURS)*TEMP_HOURLY_RATE-FIXED_SEASON_COST)</f>
        <v/>
      </c>
      <c r="AJ299" s="53" t="str">
        <f aca="false">IF(OR($A299&gt;TOMATO_BED_CAP,$B299&gt;CARROT_BED_CAP,AJ$4&gt;MESCLUN_BED_CAP,$A299+$B299+AJ$4&gt;TOTAL_BEDS_AVAILABLE,($D299+AJ$5)&gt;TOTAL_LABOR_HOURS_CAP,MAX(0,($D299+AJ$5)-PERMANENT_FIELD_LABOR_HOURS)&gt;TEMP_HOURS_CAP),"",$C299+AJ$6-MIN(($D299+AJ$5),PERMANENT_FIELD_LABOR_HOURS)*PERMANENT_HOURLY_RATE-MAX(0,($D299+AJ$5)-PERMANENT_FIELD_LABOR_HOURS)*TEMP_HOURLY_RATE-FIXED_SEASON_COST)</f>
        <v/>
      </c>
    </row>
    <row r="300" customFormat="false" ht="15" hidden="false" customHeight="false" outlineLevel="0" collapsed="false">
      <c r="A300" s="21" t="n">
        <f aca="false">INT((ROW()-ROW($A$8))/(20+1))</f>
        <v>13</v>
      </c>
      <c r="B300" s="21" t="n">
        <f aca="false">MOD(ROW()-ROW($A$8),20+1)</f>
        <v>19</v>
      </c>
      <c r="C300" s="13" t="n">
        <f aca="false">A300*(TOMATO_REVENUE_PER_BED-TOMATO_FERTILIZER_PER_BED)+B300*(CARROT_REVENUE_PER_BED-CARROT_FERTILIZER_PER_BED)</f>
        <v>134386</v>
      </c>
      <c r="D300" s="14" t="n">
        <f aca="false">INDEX(TOMATO_SCHED_LABOR_HRS,A300+1)+INDEX(CARROT_SCHED_LABOR_HRS,B300+1)</f>
        <v>4950.02343441763</v>
      </c>
      <c r="E300" s="13" t="n">
        <f aca="false">IF(COUNT(F300:AJ300)=0,"",MAX(F300:AJ300))</f>
        <v>34373.1778045014</v>
      </c>
      <c r="F300" s="53" t="n">
        <f aca="false">IF(OR($A300&gt;TOMATO_BED_CAP,$B300&gt;CARROT_BED_CAP,F$4&gt;MESCLUN_BED_CAP,$A300+$B300+F$4&gt;TOTAL_BEDS_AVAILABLE,($D300+F$5)&gt;TOTAL_LABOR_HOURS_CAP,MAX(0,($D300+F$5)-PERMANENT_FIELD_LABOR_HOURS)&gt;TEMP_HOURS_CAP),"",$C300+F$6-MIN(($D300+F$5),PERMANENT_FIELD_LABOR_HOURS)*PERMANENT_HOURLY_RATE-MAX(0,($D300+F$5)-PERMANENT_FIELD_LABOR_HOURS)*TEMP_HOURLY_RATE-FIXED_SEASON_COST)</f>
        <v>15954.39317851</v>
      </c>
      <c r="G300" s="53" t="n">
        <f aca="false">IF(OR($A300&gt;TOMATO_BED_CAP,$B300&gt;CARROT_BED_CAP,G$4&gt;MESCLUN_BED_CAP,$A300+$B300+G$4&gt;TOTAL_BEDS_AVAILABLE,($D300+G$5)&gt;TOTAL_LABOR_HOURS_CAP,MAX(0,($D300+G$5)-PERMANENT_FIELD_LABOR_HOURS)&gt;TEMP_HOURS_CAP),"",$C300+G$6-MIN(($D300+G$5),PERMANENT_FIELD_LABOR_HOURS)*PERMANENT_HOURLY_RATE-MAX(0,($D300+G$5)-PERMANENT_FIELD_LABOR_HOURS)*TEMP_HOURLY_RATE-FIXED_SEASON_COST)</f>
        <v>16983.42817851</v>
      </c>
      <c r="H300" s="53" t="n">
        <f aca="false">IF(OR($A300&gt;TOMATO_BED_CAP,$B300&gt;CARROT_BED_CAP,H$4&gt;MESCLUN_BED_CAP,$A300+$B300+H$4&gt;TOTAL_BEDS_AVAILABLE,($D300+H$5)&gt;TOTAL_LABOR_HOURS_CAP,MAX(0,($D300+H$5)-PERMANENT_FIELD_LABOR_HOURS)&gt;TEMP_HOURS_CAP),"",$C300+H$6-MIN(($D300+H$5),PERMANENT_FIELD_LABOR_HOURS)*PERMANENT_HOURLY_RATE-MAX(0,($D300+H$5)-PERMANENT_FIELD_LABOR_HOURS)*TEMP_HOURLY_RATE-FIXED_SEASON_COST)</f>
        <v>17992.68905351</v>
      </c>
      <c r="I300" s="53" t="n">
        <f aca="false">IF(OR($A300&gt;TOMATO_BED_CAP,$B300&gt;CARROT_BED_CAP,I$4&gt;MESCLUN_BED_CAP,$A300+$B300+I$4&gt;TOTAL_BEDS_AVAILABLE,($D300+I$5)&gt;TOTAL_LABOR_HOURS_CAP,MAX(0,($D300+I$5)-PERMANENT_FIELD_LABOR_HOURS)&gt;TEMP_HOURS_CAP),"",$C300+I$6-MIN(($D300+I$5),PERMANENT_FIELD_LABOR_HOURS)*PERMANENT_HOURLY_RATE-MAX(0,($D300+I$5)-PERMANENT_FIELD_LABOR_HOURS)*TEMP_HOURLY_RATE-FIXED_SEASON_COST)</f>
        <v>18981.8050386662</v>
      </c>
      <c r="J300" s="53" t="n">
        <f aca="false">IF(OR($A300&gt;TOMATO_BED_CAP,$B300&gt;CARROT_BED_CAP,J$4&gt;MESCLUN_BED_CAP,$A300+$B300+J$4&gt;TOTAL_BEDS_AVAILABLE,($D300+J$5)&gt;TOTAL_LABOR_HOURS_CAP,MAX(0,($D300+J$5)-PERMANENT_FIELD_LABOR_HOURS)&gt;TEMP_HOURS_CAP),"",$C300+J$6-MIN(($D300+J$5),PERMANENT_FIELD_LABOR_HOURS)*PERMANENT_HOURLY_RATE-MAX(0,($D300+J$5)-PERMANENT_FIELD_LABOR_HOURS)*TEMP_HOURLY_RATE-FIXED_SEASON_COST)</f>
        <v>19950.3991897209</v>
      </c>
      <c r="K300" s="53" t="n">
        <f aca="false">IF(OR($A300&gt;TOMATO_BED_CAP,$B300&gt;CARROT_BED_CAP,K$4&gt;MESCLUN_BED_CAP,$A300+$B300+K$4&gt;TOTAL_BEDS_AVAILABLE,($D300+K$5)&gt;TOTAL_LABOR_HOURS_CAP,MAX(0,($D300+K$5)-PERMANENT_FIELD_LABOR_HOURS)&gt;TEMP_HOURS_CAP),"",$C300+K$6-MIN(($D300+K$5),PERMANENT_FIELD_LABOR_HOURS)*PERMANENT_HOURLY_RATE-MAX(0,($D300+K$5)-PERMANENT_FIELD_LABOR_HOURS)*TEMP_HOURLY_RATE-FIXED_SEASON_COST)</f>
        <v>20898.0882864488</v>
      </c>
      <c r="L300" s="53" t="n">
        <f aca="false">IF(OR($A300&gt;TOMATO_BED_CAP,$B300&gt;CARROT_BED_CAP,L$4&gt;MESCLUN_BED_CAP,$A300+$B300+L$4&gt;TOTAL_BEDS_AVAILABLE,($D300+L$5)&gt;TOTAL_LABOR_HOURS_CAP,MAX(0,($D300+L$5)-PERMANENT_FIELD_LABOR_HOURS)&gt;TEMP_HOURS_CAP),"",$C300+L$6-MIN(($D300+L$5),PERMANENT_FIELD_LABOR_HOURS)*PERMANENT_HOURLY_RATE-MAX(0,($D300+L$5)-PERMANENT_FIELD_LABOR_HOURS)*TEMP_HOURLY_RATE-FIXED_SEASON_COST)</f>
        <v>21824.4827346557</v>
      </c>
      <c r="M300" s="53" t="n">
        <f aca="false">IF(OR($A300&gt;TOMATO_BED_CAP,$B300&gt;CARROT_BED_CAP,M$4&gt;MESCLUN_BED_CAP,$A300+$B300+M$4&gt;TOTAL_BEDS_AVAILABLE,($D300+M$5)&gt;TOTAL_LABOR_HOURS_CAP,MAX(0,($D300+M$5)-PERMANENT_FIELD_LABOR_HOURS)&gt;TEMP_HOURS_CAP),"",$C300+M$6-MIN(($D300+M$5),PERMANENT_FIELD_LABOR_HOURS)*PERMANENT_HOURLY_RATE-MAX(0,($D300+M$5)-PERMANENT_FIELD_LABOR_HOURS)*TEMP_HOURLY_RATE-FIXED_SEASON_COST)</f>
        <v>22729.1864667071</v>
      </c>
      <c r="N300" s="53" t="n">
        <f aca="false">IF(OR($A300&gt;TOMATO_BED_CAP,$B300&gt;CARROT_BED_CAP,N$4&gt;MESCLUN_BED_CAP,$A300+$B300+N$4&gt;TOTAL_BEDS_AVAILABLE,($D300+N$5)&gt;TOTAL_LABOR_HOURS_CAP,MAX(0,($D300+N$5)-PERMANENT_FIELD_LABOR_HOURS)&gt;TEMP_HOURS_CAP),"",$C300+N$6-MIN(($D300+N$5),PERMANENT_FIELD_LABOR_HOURS)*PERMANENT_HOURLY_RATE-MAX(0,($D300+N$5)-PERMANENT_FIELD_LABOR_HOURS)*TEMP_HOURLY_RATE-FIXED_SEASON_COST)</f>
        <v>23611.7968405666</v>
      </c>
      <c r="O300" s="53" t="n">
        <f aca="false">IF(OR($A300&gt;TOMATO_BED_CAP,$B300&gt;CARROT_BED_CAP,O$4&gt;MESCLUN_BED_CAP,$A300+$B300+O$4&gt;TOTAL_BEDS_AVAILABLE,($D300+O$5)&gt;TOTAL_LABOR_HOURS_CAP,MAX(0,($D300+O$5)-PERMANENT_FIELD_LABOR_HOURS)&gt;TEMP_HOURS_CAP),"",$C300+O$6-MIN(($D300+O$5),PERMANENT_FIELD_LABOR_HOURS)*PERMANENT_HOURLY_RATE-MAX(0,($D300+O$5)-PERMANENT_FIELD_LABOR_HOURS)*TEMP_HOURLY_RATE-FIXED_SEASON_COST)</f>
        <v>24471.9045373214</v>
      </c>
      <c r="P300" s="53" t="n">
        <f aca="false">IF(OR($A300&gt;TOMATO_BED_CAP,$B300&gt;CARROT_BED_CAP,P$4&gt;MESCLUN_BED_CAP,$A300+$B300+P$4&gt;TOTAL_BEDS_AVAILABLE,($D300+P$5)&gt;TOTAL_LABOR_HOURS_CAP,MAX(0,($D300+P$5)-PERMANENT_FIELD_LABOR_HOURS)&gt;TEMP_HOURS_CAP),"",$C300+P$6-MIN(($D300+P$5),PERMANENT_FIELD_LABOR_HOURS)*PERMANENT_HOURLY_RATE-MAX(0,($D300+P$5)-PERMANENT_FIELD_LABOR_HOURS)*TEMP_HOURLY_RATE-FIXED_SEASON_COST)</f>
        <v>25309.0934571728</v>
      </c>
      <c r="Q300" s="53" t="n">
        <f aca="false">IF(OR($A300&gt;TOMATO_BED_CAP,$B300&gt;CARROT_BED_CAP,Q$4&gt;MESCLUN_BED_CAP,$A300+$B300+Q$4&gt;TOTAL_BEDS_AVAILABLE,($D300+Q$5)&gt;TOTAL_LABOR_HOURS_CAP,MAX(0,($D300+Q$5)-PERMANENT_FIELD_LABOR_HOURS)&gt;TEMP_HOURS_CAP),"",$C300+Q$6-MIN(($D300+Q$5),PERMANENT_FIELD_LABOR_HOURS)*PERMANENT_HOURLY_RATE-MAX(0,($D300+Q$5)-PERMANENT_FIELD_LABOR_HOURS)*TEMP_HOURLY_RATE-FIXED_SEASON_COST)</f>
        <v>26122.9406138707</v>
      </c>
      <c r="R300" s="53" t="n">
        <f aca="false">IF(OR($A300&gt;TOMATO_BED_CAP,$B300&gt;CARROT_BED_CAP,R$4&gt;MESCLUN_BED_CAP,$A300+$B300+R$4&gt;TOTAL_BEDS_AVAILABLE,($D300+R$5)&gt;TOTAL_LABOR_HOURS_CAP,MAX(0,($D300+R$5)-PERMANENT_FIELD_LABOR_HOURS)&gt;TEMP_HOURS_CAP),"",$C300+R$6-MIN(($D300+R$5),PERMANENT_FIELD_LABOR_HOURS)*PERMANENT_HOURLY_RATE-MAX(0,($D300+R$5)-PERMANENT_FIELD_LABOR_HOURS)*TEMP_HOURLY_RATE-FIXED_SEASON_COST)</f>
        <v>26913.0160275675</v>
      </c>
      <c r="S300" s="53" t="n">
        <f aca="false">IF(OR($A300&gt;TOMATO_BED_CAP,$B300&gt;CARROT_BED_CAP,S$4&gt;MESCLUN_BED_CAP,$A300+$B300+S$4&gt;TOTAL_BEDS_AVAILABLE,($D300+S$5)&gt;TOTAL_LABOR_HOURS_CAP,MAX(0,($D300+S$5)-PERMANENT_FIELD_LABOR_HOURS)&gt;TEMP_HOURS_CAP),"",$C300+S$6-MIN(($D300+S$5),PERMANENT_FIELD_LABOR_HOURS)*PERMANENT_HOURLY_RATE-MAX(0,($D300+S$5)-PERMANENT_FIELD_LABOR_HOURS)*TEMP_HOURLY_RATE-FIXED_SEASON_COST)</f>
        <v>27678.88261607</v>
      </c>
      <c r="T300" s="53" t="n">
        <f aca="false">IF(OR($A300&gt;TOMATO_BED_CAP,$B300&gt;CARROT_BED_CAP,T$4&gt;MESCLUN_BED_CAP,$A300+$B300+T$4&gt;TOTAL_BEDS_AVAILABLE,($D300+T$5)&gt;TOTAL_LABOR_HOURS_CAP,MAX(0,($D300+T$5)-PERMANENT_FIELD_LABOR_HOURS)&gt;TEMP_HOURS_CAP),"",$C300+T$6-MIN(($D300+T$5),PERMANENT_FIELD_LABOR_HOURS)*PERMANENT_HOURLY_RATE-MAX(0,($D300+T$5)-PERMANENT_FIELD_LABOR_HOURS)*TEMP_HOURLY_RATE-FIXED_SEASON_COST)</f>
        <v>28420.0960844648</v>
      </c>
      <c r="U300" s="53" t="n">
        <f aca="false">IF(OR($A300&gt;TOMATO_BED_CAP,$B300&gt;CARROT_BED_CAP,U$4&gt;MESCLUN_BED_CAP,$A300+$B300+U$4&gt;TOTAL_BEDS_AVAILABLE,($D300+U$5)&gt;TOTAL_LABOR_HOURS_CAP,MAX(0,($D300+U$5)-PERMANENT_FIELD_LABOR_HOURS)&gt;TEMP_HOURS_CAP),"",$C300+U$6-MIN(($D300+U$5),PERMANENT_FIELD_LABOR_HOURS)*PERMANENT_HOURLY_RATE-MAX(0,($D300+U$5)-PERMANENT_FIELD_LABOR_HOURS)*TEMP_HOURLY_RATE-FIXED_SEASON_COST)</f>
        <v>29136.2048130949</v>
      </c>
      <c r="V300" s="53" t="n">
        <f aca="false">IF(OR($A300&gt;TOMATO_BED_CAP,$B300&gt;CARROT_BED_CAP,V$4&gt;MESCLUN_BED_CAP,$A300+$B300+V$4&gt;TOTAL_BEDS_AVAILABLE,($D300+V$5)&gt;TOTAL_LABOR_HOURS_CAP,MAX(0,($D300+V$5)-PERMANENT_FIELD_LABOR_HOURS)&gt;TEMP_HOURS_CAP),"",$C300+V$6-MIN(($D300+V$5),PERMANENT_FIELD_LABOR_HOURS)*PERMANENT_HOURLY_RATE-MAX(0,($D300+V$5)-PERMANENT_FIELD_LABOR_HOURS)*TEMP_HOURLY_RATE-FIXED_SEASON_COST)</f>
        <v>29826.7497438617</v>
      </c>
      <c r="W300" s="53" t="n">
        <f aca="false">IF(OR($A300&gt;TOMATO_BED_CAP,$B300&gt;CARROT_BED_CAP,W$4&gt;MESCLUN_BED_CAP,$A300+$B300+W$4&gt;TOTAL_BEDS_AVAILABLE,($D300+W$5)&gt;TOTAL_LABOR_HOURS_CAP,MAX(0,($D300+W$5)-PERMANENT_FIELD_LABOR_HOURS)&gt;TEMP_HOURS_CAP),"",$C300+W$6-MIN(($D300+W$5),PERMANENT_FIELD_LABOR_HOURS)*PERMANENT_HOURLY_RATE-MAX(0,($D300+W$5)-PERMANENT_FIELD_LABOR_HOURS)*TEMP_HOURLY_RATE-FIXED_SEASON_COST)</f>
        <v>30491.2642648298</v>
      </c>
      <c r="X300" s="53" t="n">
        <f aca="false">IF(OR($A300&gt;TOMATO_BED_CAP,$B300&gt;CARROT_BED_CAP,X$4&gt;MESCLUN_BED_CAP,$A300+$B300+X$4&gt;TOTAL_BEDS_AVAILABLE,($D300+X$5)&gt;TOTAL_LABOR_HOURS_CAP,MAX(0,($D300+X$5)-PERMANENT_FIELD_LABOR_HOURS)&gt;TEMP_HOURS_CAP),"",$C300+X$6-MIN(($D300+X$5),PERMANENT_FIELD_LABOR_HOURS)*PERMANENT_HOURLY_RATE-MAX(0,($D300+X$5)-PERMANENT_FIELD_LABOR_HOURS)*TEMP_HOURLY_RATE-FIXED_SEASON_COST)</f>
        <v>31129.2740931087</v>
      </c>
      <c r="Y300" s="53" t="n">
        <f aca="false">IF(OR($A300&gt;TOMATO_BED_CAP,$B300&gt;CARROT_BED_CAP,Y$4&gt;MESCLUN_BED_CAP,$A300+$B300+Y$4&gt;TOTAL_BEDS_AVAILABLE,($D300+Y$5)&gt;TOTAL_LABOR_HOURS_CAP,MAX(0,($D300+Y$5)-PERMANENT_FIELD_LABOR_HOURS)&gt;TEMP_HOURS_CAP),"",$C300+Y$6-MIN(($D300+Y$5),PERMANENT_FIELD_LABOR_HOURS)*PERMANENT_HOURLY_RATE-MAX(0,($D300+Y$5)-PERMANENT_FIELD_LABOR_HOURS)*TEMP_HOURLY_RATE-FIXED_SEASON_COST)</f>
        <v>31740.2971559873</v>
      </c>
      <c r="Z300" s="53" t="n">
        <f aca="false">IF(OR($A300&gt;TOMATO_BED_CAP,$B300&gt;CARROT_BED_CAP,Z$4&gt;MESCLUN_BED_CAP,$A300+$B300+Z$4&gt;TOTAL_BEDS_AVAILABLE,($D300+Z$5)&gt;TOTAL_LABOR_HOURS_CAP,MAX(0,($D300+Z$5)-PERMANENT_FIELD_LABOR_HOURS)&gt;TEMP_HOURS_CAP),"",$C300+Z$6-MIN(($D300+Z$5),PERMANENT_FIELD_LABOR_HOURS)*PERMANENT_HOURLY_RATE-MAX(0,($D300+Z$5)-PERMANENT_FIELD_LABOR_HOURS)*TEMP_HOURLY_RATE-FIXED_SEASON_COST)</f>
        <v>32323.8434702951</v>
      </c>
      <c r="AA300" s="53" t="n">
        <f aca="false">IF(OR($A300&gt;TOMATO_BED_CAP,$B300&gt;CARROT_BED_CAP,AA$4&gt;MESCLUN_BED_CAP,$A300+$B300+AA$4&gt;TOTAL_BEDS_AVAILABLE,($D300+AA$5)&gt;TOTAL_LABOR_HOURS_CAP,MAX(0,($D300+AA$5)-PERMANENT_FIELD_LABOR_HOURS)&gt;TEMP_HOURS_CAP),"",$C300+AA$6-MIN(($D300+AA$5),PERMANENT_FIELD_LABOR_HOURS)*PERMANENT_HOURLY_RATE-MAX(0,($D300+AA$5)-PERMANENT_FIELD_LABOR_HOURS)*TEMP_HOURLY_RATE-FIXED_SEASON_COST)</f>
        <v>32879.415019964</v>
      </c>
      <c r="AB300" s="53" t="n">
        <f aca="false">IF(OR($A300&gt;TOMATO_BED_CAP,$B300&gt;CARROT_BED_CAP,AB$4&gt;MESCLUN_BED_CAP,$A300+$B300+AB$4&gt;TOTAL_BEDS_AVAILABLE,($D300+AB$5)&gt;TOTAL_LABOR_HOURS_CAP,MAX(0,($D300+AB$5)-PERMANENT_FIELD_LABOR_HOURS)&gt;TEMP_HOURS_CAP),"",$C300+AB$6-MIN(($D300+AB$5),PERMANENT_FIELD_LABOR_HOURS)*PERMANENT_HOURLY_RATE-MAX(0,($D300+AB$5)-PERMANENT_FIELD_LABOR_HOURS)*TEMP_HOURLY_RATE-FIXED_SEASON_COST)</f>
        <v>33406.5056317666</v>
      </c>
      <c r="AC300" s="53" t="n">
        <f aca="false">IF(OR($A300&gt;TOMATO_BED_CAP,$B300&gt;CARROT_BED_CAP,AC$4&gt;MESCLUN_BED_CAP,$A300+$B300+AC$4&gt;TOTAL_BEDS_AVAILABLE,($D300+AC$5)&gt;TOTAL_LABOR_HOURS_CAP,MAX(0,($D300+AC$5)-PERMANENT_FIELD_LABOR_HOURS)&gt;TEMP_HOURS_CAP),"",$C300+AC$6-MIN(($D300+AC$5),PERMANENT_FIELD_LABOR_HOURS)*PERMANENT_HOURLY_RATE-MAX(0,($D300+AC$5)-PERMANENT_FIELD_LABOR_HOURS)*TEMP_HOURLY_RATE-FIXED_SEASON_COST)</f>
        <v>33904.6008492015</v>
      </c>
      <c r="AD300" s="53" t="n">
        <f aca="false">IF(OR($A300&gt;TOMATO_BED_CAP,$B300&gt;CARROT_BED_CAP,AD$4&gt;MESCLUN_BED_CAP,$A300+$B300+AD$4&gt;TOTAL_BEDS_AVAILABLE,($D300+AD$5)&gt;TOTAL_LABOR_HOURS_CAP,MAX(0,($D300+AD$5)-PERMANENT_FIELD_LABOR_HOURS)&gt;TEMP_HOURS_CAP),"",$C300+AD$6-MIN(($D300+AD$5),PERMANENT_FIELD_LABOR_HOURS)*PERMANENT_HOURLY_RATE-MAX(0,($D300+AD$5)-PERMANENT_FIELD_LABOR_HOURS)*TEMP_HOURLY_RATE-FIXED_SEASON_COST)</f>
        <v>34373.1778045014</v>
      </c>
      <c r="AE300" s="53" t="str">
        <f aca="false">IF(OR($A300&gt;TOMATO_BED_CAP,$B300&gt;CARROT_BED_CAP,AE$4&gt;MESCLUN_BED_CAP,$A300+$B300+AE$4&gt;TOTAL_BEDS_AVAILABLE,($D300+AE$5)&gt;TOTAL_LABOR_HOURS_CAP,MAX(0,($D300+AE$5)-PERMANENT_FIELD_LABOR_HOURS)&gt;TEMP_HOURS_CAP),"",$C300+AE$6-MIN(($D300+AE$5),PERMANENT_FIELD_LABOR_HOURS)*PERMANENT_HOURLY_RATE-MAX(0,($D300+AE$5)-PERMANENT_FIELD_LABOR_HOURS)*TEMP_HOURLY_RATE-FIXED_SEASON_COST)</f>
        <v/>
      </c>
      <c r="AF300" s="53" t="str">
        <f aca="false">IF(OR($A300&gt;TOMATO_BED_CAP,$B300&gt;CARROT_BED_CAP,AF$4&gt;MESCLUN_BED_CAP,$A300+$B300+AF$4&gt;TOTAL_BEDS_AVAILABLE,($D300+AF$5)&gt;TOTAL_LABOR_HOURS_CAP,MAX(0,($D300+AF$5)-PERMANENT_FIELD_LABOR_HOURS)&gt;TEMP_HOURS_CAP),"",$C300+AF$6-MIN(($D300+AF$5),PERMANENT_FIELD_LABOR_HOURS)*PERMANENT_HOURLY_RATE-MAX(0,($D300+AF$5)-PERMANENT_FIELD_LABOR_HOURS)*TEMP_HOURLY_RATE-FIXED_SEASON_COST)</f>
        <v/>
      </c>
      <c r="AG300" s="53" t="str">
        <f aca="false">IF(OR($A300&gt;TOMATO_BED_CAP,$B300&gt;CARROT_BED_CAP,AG$4&gt;MESCLUN_BED_CAP,$A300+$B300+AG$4&gt;TOTAL_BEDS_AVAILABLE,($D300+AG$5)&gt;TOTAL_LABOR_HOURS_CAP,MAX(0,($D300+AG$5)-PERMANENT_FIELD_LABOR_HOURS)&gt;TEMP_HOURS_CAP),"",$C300+AG$6-MIN(($D300+AG$5),PERMANENT_FIELD_LABOR_HOURS)*PERMANENT_HOURLY_RATE-MAX(0,($D300+AG$5)-PERMANENT_FIELD_LABOR_HOURS)*TEMP_HOURLY_RATE-FIXED_SEASON_COST)</f>
        <v/>
      </c>
      <c r="AH300" s="53" t="str">
        <f aca="false">IF(OR($A300&gt;TOMATO_BED_CAP,$B300&gt;CARROT_BED_CAP,AH$4&gt;MESCLUN_BED_CAP,$A300+$B300+AH$4&gt;TOTAL_BEDS_AVAILABLE,($D300+AH$5)&gt;TOTAL_LABOR_HOURS_CAP,MAX(0,($D300+AH$5)-PERMANENT_FIELD_LABOR_HOURS)&gt;TEMP_HOURS_CAP),"",$C300+AH$6-MIN(($D300+AH$5),PERMANENT_FIELD_LABOR_HOURS)*PERMANENT_HOURLY_RATE-MAX(0,($D300+AH$5)-PERMANENT_FIELD_LABOR_HOURS)*TEMP_HOURLY_RATE-FIXED_SEASON_COST)</f>
        <v/>
      </c>
      <c r="AI300" s="53" t="str">
        <f aca="false">IF(OR($A300&gt;TOMATO_BED_CAP,$B300&gt;CARROT_BED_CAP,AI$4&gt;MESCLUN_BED_CAP,$A300+$B300+AI$4&gt;TOTAL_BEDS_AVAILABLE,($D300+AI$5)&gt;TOTAL_LABOR_HOURS_CAP,MAX(0,($D300+AI$5)-PERMANENT_FIELD_LABOR_HOURS)&gt;TEMP_HOURS_CAP),"",$C300+AI$6-MIN(($D300+AI$5),PERMANENT_FIELD_LABOR_HOURS)*PERMANENT_HOURLY_RATE-MAX(0,($D300+AI$5)-PERMANENT_FIELD_LABOR_HOURS)*TEMP_HOURLY_RATE-FIXED_SEASON_COST)</f>
        <v/>
      </c>
      <c r="AJ300" s="53" t="str">
        <f aca="false">IF(OR($A300&gt;TOMATO_BED_CAP,$B300&gt;CARROT_BED_CAP,AJ$4&gt;MESCLUN_BED_CAP,$A300+$B300+AJ$4&gt;TOTAL_BEDS_AVAILABLE,($D300+AJ$5)&gt;TOTAL_LABOR_HOURS_CAP,MAX(0,($D300+AJ$5)-PERMANENT_FIELD_LABOR_HOURS)&gt;TEMP_HOURS_CAP),"",$C300+AJ$6-MIN(($D300+AJ$5),PERMANENT_FIELD_LABOR_HOURS)*PERMANENT_HOURLY_RATE-MAX(0,($D300+AJ$5)-PERMANENT_FIELD_LABOR_HOURS)*TEMP_HOURLY_RATE-FIXED_SEASON_COST)</f>
        <v/>
      </c>
    </row>
    <row r="301" customFormat="false" ht="15" hidden="false" customHeight="false" outlineLevel="0" collapsed="false">
      <c r="A301" s="21" t="n">
        <f aca="false">INT((ROW()-ROW($A$8))/(20+1))</f>
        <v>13</v>
      </c>
      <c r="B301" s="21" t="n">
        <f aca="false">MOD(ROW()-ROW($A$8),20+1)</f>
        <v>20</v>
      </c>
      <c r="C301" s="13" t="n">
        <f aca="false">A301*(TOMATO_REVENUE_PER_BED-TOMATO_FERTILIZER_PER_BED)+B301*(CARROT_REVENUE_PER_BED-CARROT_FERTILIZER_PER_BED)</f>
        <v>136040</v>
      </c>
      <c r="D301" s="14" t="n">
        <f aca="false">INDEX(TOMATO_SCHED_LABOR_HRS,A301+1)+INDEX(CARROT_SCHED_LABOR_HRS,B301+1)</f>
        <v>5021.9339170685</v>
      </c>
      <c r="E301" s="13" t="n">
        <f aca="false">IF(COUNT(F301:AJ301)=0,"",MAX(F301:AJ301))</f>
        <v>34778.8118256823</v>
      </c>
      <c r="F301" s="53" t="n">
        <f aca="false">IF(OR($A301&gt;TOMATO_BED_CAP,$B301&gt;CARROT_BED_CAP,F$4&gt;MESCLUN_BED_CAP,$A301+$B301+F$4&gt;TOTAL_BEDS_AVAILABLE,($D301+F$5)&gt;TOTAL_LABOR_HOURS_CAP,MAX(0,($D301+F$5)-PERMANENT_FIELD_LABOR_HOURS)&gt;TEMP_HOURS_CAP),"",$C301+F$6-MIN(($D301+F$5),PERMANENT_FIELD_LABOR_HOURS)*PERMANENT_HOURLY_RATE-MAX(0,($D301+F$5)-PERMANENT_FIELD_LABOR_HOURS)*TEMP_HOURLY_RATE-FIXED_SEASON_COST)</f>
        <v>16360.0271996909</v>
      </c>
      <c r="G301" s="53" t="n">
        <f aca="false">IF(OR($A301&gt;TOMATO_BED_CAP,$B301&gt;CARROT_BED_CAP,G$4&gt;MESCLUN_BED_CAP,$A301+$B301+G$4&gt;TOTAL_BEDS_AVAILABLE,($D301+G$5)&gt;TOTAL_LABOR_HOURS_CAP,MAX(0,($D301+G$5)-PERMANENT_FIELD_LABOR_HOURS)&gt;TEMP_HOURS_CAP),"",$C301+G$6-MIN(($D301+G$5),PERMANENT_FIELD_LABOR_HOURS)*PERMANENT_HOURLY_RATE-MAX(0,($D301+G$5)-PERMANENT_FIELD_LABOR_HOURS)*TEMP_HOURLY_RATE-FIXED_SEASON_COST)</f>
        <v>17389.0621996909</v>
      </c>
      <c r="H301" s="53" t="n">
        <f aca="false">IF(OR($A301&gt;TOMATO_BED_CAP,$B301&gt;CARROT_BED_CAP,H$4&gt;MESCLUN_BED_CAP,$A301+$B301+H$4&gt;TOTAL_BEDS_AVAILABLE,($D301+H$5)&gt;TOTAL_LABOR_HOURS_CAP,MAX(0,($D301+H$5)-PERMANENT_FIELD_LABOR_HOURS)&gt;TEMP_HOURS_CAP),"",$C301+H$6-MIN(($D301+H$5),PERMANENT_FIELD_LABOR_HOURS)*PERMANENT_HOURLY_RATE-MAX(0,($D301+H$5)-PERMANENT_FIELD_LABOR_HOURS)*TEMP_HOURLY_RATE-FIXED_SEASON_COST)</f>
        <v>18398.3230746909</v>
      </c>
      <c r="I301" s="53" t="n">
        <f aca="false">IF(OR($A301&gt;TOMATO_BED_CAP,$B301&gt;CARROT_BED_CAP,I$4&gt;MESCLUN_BED_CAP,$A301+$B301+I$4&gt;TOTAL_BEDS_AVAILABLE,($D301+I$5)&gt;TOTAL_LABOR_HOURS_CAP,MAX(0,($D301+I$5)-PERMANENT_FIELD_LABOR_HOURS)&gt;TEMP_HOURS_CAP),"",$C301+I$6-MIN(($D301+I$5),PERMANENT_FIELD_LABOR_HOURS)*PERMANENT_HOURLY_RATE-MAX(0,($D301+I$5)-PERMANENT_FIELD_LABOR_HOURS)*TEMP_HOURLY_RATE-FIXED_SEASON_COST)</f>
        <v>19387.4390598471</v>
      </c>
      <c r="J301" s="53" t="n">
        <f aca="false">IF(OR($A301&gt;TOMATO_BED_CAP,$B301&gt;CARROT_BED_CAP,J$4&gt;MESCLUN_BED_CAP,$A301+$B301+J$4&gt;TOTAL_BEDS_AVAILABLE,($D301+J$5)&gt;TOTAL_LABOR_HOURS_CAP,MAX(0,($D301+J$5)-PERMANENT_FIELD_LABOR_HOURS)&gt;TEMP_HOURS_CAP),"",$C301+J$6-MIN(($D301+J$5),PERMANENT_FIELD_LABOR_HOURS)*PERMANENT_HOURLY_RATE-MAX(0,($D301+J$5)-PERMANENT_FIELD_LABOR_HOURS)*TEMP_HOURLY_RATE-FIXED_SEASON_COST)</f>
        <v>20356.0332109018</v>
      </c>
      <c r="K301" s="53" t="n">
        <f aca="false">IF(OR($A301&gt;TOMATO_BED_CAP,$B301&gt;CARROT_BED_CAP,K$4&gt;MESCLUN_BED_CAP,$A301+$B301+K$4&gt;TOTAL_BEDS_AVAILABLE,($D301+K$5)&gt;TOTAL_LABOR_HOURS_CAP,MAX(0,($D301+K$5)-PERMANENT_FIELD_LABOR_HOURS)&gt;TEMP_HOURS_CAP),"",$C301+K$6-MIN(($D301+K$5),PERMANENT_FIELD_LABOR_HOURS)*PERMANENT_HOURLY_RATE-MAX(0,($D301+K$5)-PERMANENT_FIELD_LABOR_HOURS)*TEMP_HOURLY_RATE-FIXED_SEASON_COST)</f>
        <v>21303.7223076297</v>
      </c>
      <c r="L301" s="53" t="n">
        <f aca="false">IF(OR($A301&gt;TOMATO_BED_CAP,$B301&gt;CARROT_BED_CAP,L$4&gt;MESCLUN_BED_CAP,$A301+$B301+L$4&gt;TOTAL_BEDS_AVAILABLE,($D301+L$5)&gt;TOTAL_LABOR_HOURS_CAP,MAX(0,($D301+L$5)-PERMANENT_FIELD_LABOR_HOURS)&gt;TEMP_HOURS_CAP),"",$C301+L$6-MIN(($D301+L$5),PERMANENT_FIELD_LABOR_HOURS)*PERMANENT_HOURLY_RATE-MAX(0,($D301+L$5)-PERMANENT_FIELD_LABOR_HOURS)*TEMP_HOURLY_RATE-FIXED_SEASON_COST)</f>
        <v>22230.1167558366</v>
      </c>
      <c r="M301" s="53" t="n">
        <f aca="false">IF(OR($A301&gt;TOMATO_BED_CAP,$B301&gt;CARROT_BED_CAP,M$4&gt;MESCLUN_BED_CAP,$A301+$B301+M$4&gt;TOTAL_BEDS_AVAILABLE,($D301+M$5)&gt;TOTAL_LABOR_HOURS_CAP,MAX(0,($D301+M$5)-PERMANENT_FIELD_LABOR_HOURS)&gt;TEMP_HOURS_CAP),"",$C301+M$6-MIN(($D301+M$5),PERMANENT_FIELD_LABOR_HOURS)*PERMANENT_HOURLY_RATE-MAX(0,($D301+M$5)-PERMANENT_FIELD_LABOR_HOURS)*TEMP_HOURLY_RATE-FIXED_SEASON_COST)</f>
        <v>23134.820487888</v>
      </c>
      <c r="N301" s="53" t="n">
        <f aca="false">IF(OR($A301&gt;TOMATO_BED_CAP,$B301&gt;CARROT_BED_CAP,N$4&gt;MESCLUN_BED_CAP,$A301+$B301+N$4&gt;TOTAL_BEDS_AVAILABLE,($D301+N$5)&gt;TOTAL_LABOR_HOURS_CAP,MAX(0,($D301+N$5)-PERMANENT_FIELD_LABOR_HOURS)&gt;TEMP_HOURS_CAP),"",$C301+N$6-MIN(($D301+N$5),PERMANENT_FIELD_LABOR_HOURS)*PERMANENT_HOURLY_RATE-MAX(0,($D301+N$5)-PERMANENT_FIELD_LABOR_HOURS)*TEMP_HOURLY_RATE-FIXED_SEASON_COST)</f>
        <v>24017.4308617475</v>
      </c>
      <c r="O301" s="53" t="n">
        <f aca="false">IF(OR($A301&gt;TOMATO_BED_CAP,$B301&gt;CARROT_BED_CAP,O$4&gt;MESCLUN_BED_CAP,$A301+$B301+O$4&gt;TOTAL_BEDS_AVAILABLE,($D301+O$5)&gt;TOTAL_LABOR_HOURS_CAP,MAX(0,($D301+O$5)-PERMANENT_FIELD_LABOR_HOURS)&gt;TEMP_HOURS_CAP),"",$C301+O$6-MIN(($D301+O$5),PERMANENT_FIELD_LABOR_HOURS)*PERMANENT_HOURLY_RATE-MAX(0,($D301+O$5)-PERMANENT_FIELD_LABOR_HOURS)*TEMP_HOURLY_RATE-FIXED_SEASON_COST)</f>
        <v>24877.5385585023</v>
      </c>
      <c r="P301" s="53" t="n">
        <f aca="false">IF(OR($A301&gt;TOMATO_BED_CAP,$B301&gt;CARROT_BED_CAP,P$4&gt;MESCLUN_BED_CAP,$A301+$B301+P$4&gt;TOTAL_BEDS_AVAILABLE,($D301+P$5)&gt;TOTAL_LABOR_HOURS_CAP,MAX(0,($D301+P$5)-PERMANENT_FIELD_LABOR_HOURS)&gt;TEMP_HOURS_CAP),"",$C301+P$6-MIN(($D301+P$5),PERMANENT_FIELD_LABOR_HOURS)*PERMANENT_HOURLY_RATE-MAX(0,($D301+P$5)-PERMANENT_FIELD_LABOR_HOURS)*TEMP_HOURLY_RATE-FIXED_SEASON_COST)</f>
        <v>25714.7274783537</v>
      </c>
      <c r="Q301" s="53" t="n">
        <f aca="false">IF(OR($A301&gt;TOMATO_BED_CAP,$B301&gt;CARROT_BED_CAP,Q$4&gt;MESCLUN_BED_CAP,$A301+$B301+Q$4&gt;TOTAL_BEDS_AVAILABLE,($D301+Q$5)&gt;TOTAL_LABOR_HOURS_CAP,MAX(0,($D301+Q$5)-PERMANENT_FIELD_LABOR_HOURS)&gt;TEMP_HOURS_CAP),"",$C301+Q$6-MIN(($D301+Q$5),PERMANENT_FIELD_LABOR_HOURS)*PERMANENT_HOURLY_RATE-MAX(0,($D301+Q$5)-PERMANENT_FIELD_LABOR_HOURS)*TEMP_HOURLY_RATE-FIXED_SEASON_COST)</f>
        <v>26528.5746350516</v>
      </c>
      <c r="R301" s="53" t="n">
        <f aca="false">IF(OR($A301&gt;TOMATO_BED_CAP,$B301&gt;CARROT_BED_CAP,R$4&gt;MESCLUN_BED_CAP,$A301+$B301+R$4&gt;TOTAL_BEDS_AVAILABLE,($D301+R$5)&gt;TOTAL_LABOR_HOURS_CAP,MAX(0,($D301+R$5)-PERMANENT_FIELD_LABOR_HOURS)&gt;TEMP_HOURS_CAP),"",$C301+R$6-MIN(($D301+R$5),PERMANENT_FIELD_LABOR_HOURS)*PERMANENT_HOURLY_RATE-MAX(0,($D301+R$5)-PERMANENT_FIELD_LABOR_HOURS)*TEMP_HOURLY_RATE-FIXED_SEASON_COST)</f>
        <v>27318.6500487484</v>
      </c>
      <c r="S301" s="53" t="n">
        <f aca="false">IF(OR($A301&gt;TOMATO_BED_CAP,$B301&gt;CARROT_BED_CAP,S$4&gt;MESCLUN_BED_CAP,$A301+$B301+S$4&gt;TOTAL_BEDS_AVAILABLE,($D301+S$5)&gt;TOTAL_LABOR_HOURS_CAP,MAX(0,($D301+S$5)-PERMANENT_FIELD_LABOR_HOURS)&gt;TEMP_HOURS_CAP),"",$C301+S$6-MIN(($D301+S$5),PERMANENT_FIELD_LABOR_HOURS)*PERMANENT_HOURLY_RATE-MAX(0,($D301+S$5)-PERMANENT_FIELD_LABOR_HOURS)*TEMP_HOURLY_RATE-FIXED_SEASON_COST)</f>
        <v>28084.5166372509</v>
      </c>
      <c r="T301" s="53" t="n">
        <f aca="false">IF(OR($A301&gt;TOMATO_BED_CAP,$B301&gt;CARROT_BED_CAP,T$4&gt;MESCLUN_BED_CAP,$A301+$B301+T$4&gt;TOTAL_BEDS_AVAILABLE,($D301+T$5)&gt;TOTAL_LABOR_HOURS_CAP,MAX(0,($D301+T$5)-PERMANENT_FIELD_LABOR_HOURS)&gt;TEMP_HOURS_CAP),"",$C301+T$6-MIN(($D301+T$5),PERMANENT_FIELD_LABOR_HOURS)*PERMANENT_HOURLY_RATE-MAX(0,($D301+T$5)-PERMANENT_FIELD_LABOR_HOURS)*TEMP_HOURLY_RATE-FIXED_SEASON_COST)</f>
        <v>28825.7301056457</v>
      </c>
      <c r="U301" s="53" t="n">
        <f aca="false">IF(OR($A301&gt;TOMATO_BED_CAP,$B301&gt;CARROT_BED_CAP,U$4&gt;MESCLUN_BED_CAP,$A301+$B301+U$4&gt;TOTAL_BEDS_AVAILABLE,($D301+U$5)&gt;TOTAL_LABOR_HOURS_CAP,MAX(0,($D301+U$5)-PERMANENT_FIELD_LABOR_HOURS)&gt;TEMP_HOURS_CAP),"",$C301+U$6-MIN(($D301+U$5),PERMANENT_FIELD_LABOR_HOURS)*PERMANENT_HOURLY_RATE-MAX(0,($D301+U$5)-PERMANENT_FIELD_LABOR_HOURS)*TEMP_HOURLY_RATE-FIXED_SEASON_COST)</f>
        <v>29541.8388342758</v>
      </c>
      <c r="V301" s="53" t="n">
        <f aca="false">IF(OR($A301&gt;TOMATO_BED_CAP,$B301&gt;CARROT_BED_CAP,V$4&gt;MESCLUN_BED_CAP,$A301+$B301+V$4&gt;TOTAL_BEDS_AVAILABLE,($D301+V$5)&gt;TOTAL_LABOR_HOURS_CAP,MAX(0,($D301+V$5)-PERMANENT_FIELD_LABOR_HOURS)&gt;TEMP_HOURS_CAP),"",$C301+V$6-MIN(($D301+V$5),PERMANENT_FIELD_LABOR_HOURS)*PERMANENT_HOURLY_RATE-MAX(0,($D301+V$5)-PERMANENT_FIELD_LABOR_HOURS)*TEMP_HOURLY_RATE-FIXED_SEASON_COST)</f>
        <v>30232.3837650426</v>
      </c>
      <c r="W301" s="53" t="n">
        <f aca="false">IF(OR($A301&gt;TOMATO_BED_CAP,$B301&gt;CARROT_BED_CAP,W$4&gt;MESCLUN_BED_CAP,$A301+$B301+W$4&gt;TOTAL_BEDS_AVAILABLE,($D301+W$5)&gt;TOTAL_LABOR_HOURS_CAP,MAX(0,($D301+W$5)-PERMANENT_FIELD_LABOR_HOURS)&gt;TEMP_HOURS_CAP),"",$C301+W$6-MIN(($D301+W$5),PERMANENT_FIELD_LABOR_HOURS)*PERMANENT_HOURLY_RATE-MAX(0,($D301+W$5)-PERMANENT_FIELD_LABOR_HOURS)*TEMP_HOURLY_RATE-FIXED_SEASON_COST)</f>
        <v>30896.8982860107</v>
      </c>
      <c r="X301" s="53" t="n">
        <f aca="false">IF(OR($A301&gt;TOMATO_BED_CAP,$B301&gt;CARROT_BED_CAP,X$4&gt;MESCLUN_BED_CAP,$A301+$B301+X$4&gt;TOTAL_BEDS_AVAILABLE,($D301+X$5)&gt;TOTAL_LABOR_HOURS_CAP,MAX(0,($D301+X$5)-PERMANENT_FIELD_LABOR_HOURS)&gt;TEMP_HOURS_CAP),"",$C301+X$6-MIN(($D301+X$5),PERMANENT_FIELD_LABOR_HOURS)*PERMANENT_HOURLY_RATE-MAX(0,($D301+X$5)-PERMANENT_FIELD_LABOR_HOURS)*TEMP_HOURLY_RATE-FIXED_SEASON_COST)</f>
        <v>31534.9081142896</v>
      </c>
      <c r="Y301" s="53" t="n">
        <f aca="false">IF(OR($A301&gt;TOMATO_BED_CAP,$B301&gt;CARROT_BED_CAP,Y$4&gt;MESCLUN_BED_CAP,$A301+$B301+Y$4&gt;TOTAL_BEDS_AVAILABLE,($D301+Y$5)&gt;TOTAL_LABOR_HOURS_CAP,MAX(0,($D301+Y$5)-PERMANENT_FIELD_LABOR_HOURS)&gt;TEMP_HOURS_CAP),"",$C301+Y$6-MIN(($D301+Y$5),PERMANENT_FIELD_LABOR_HOURS)*PERMANENT_HOURLY_RATE-MAX(0,($D301+Y$5)-PERMANENT_FIELD_LABOR_HOURS)*TEMP_HOURLY_RATE-FIXED_SEASON_COST)</f>
        <v>32145.9311771682</v>
      </c>
      <c r="Z301" s="53" t="n">
        <f aca="false">IF(OR($A301&gt;TOMATO_BED_CAP,$B301&gt;CARROT_BED_CAP,Z$4&gt;MESCLUN_BED_CAP,$A301+$B301+Z$4&gt;TOTAL_BEDS_AVAILABLE,($D301+Z$5)&gt;TOTAL_LABOR_HOURS_CAP,MAX(0,($D301+Z$5)-PERMANENT_FIELD_LABOR_HOURS)&gt;TEMP_HOURS_CAP),"",$C301+Z$6-MIN(($D301+Z$5),PERMANENT_FIELD_LABOR_HOURS)*PERMANENT_HOURLY_RATE-MAX(0,($D301+Z$5)-PERMANENT_FIELD_LABOR_HOURS)*TEMP_HOURLY_RATE-FIXED_SEASON_COST)</f>
        <v>32729.477491476</v>
      </c>
      <c r="AA301" s="53" t="n">
        <f aca="false">IF(OR($A301&gt;TOMATO_BED_CAP,$B301&gt;CARROT_BED_CAP,AA$4&gt;MESCLUN_BED_CAP,$A301+$B301+AA$4&gt;TOTAL_BEDS_AVAILABLE,($D301+AA$5)&gt;TOTAL_LABOR_HOURS_CAP,MAX(0,($D301+AA$5)-PERMANENT_FIELD_LABOR_HOURS)&gt;TEMP_HOURS_CAP),"",$C301+AA$6-MIN(($D301+AA$5),PERMANENT_FIELD_LABOR_HOURS)*PERMANENT_HOURLY_RATE-MAX(0,($D301+AA$5)-PERMANENT_FIELD_LABOR_HOURS)*TEMP_HOURLY_RATE-FIXED_SEASON_COST)</f>
        <v>33285.0490411449</v>
      </c>
      <c r="AB301" s="53" t="n">
        <f aca="false">IF(OR($A301&gt;TOMATO_BED_CAP,$B301&gt;CARROT_BED_CAP,AB$4&gt;MESCLUN_BED_CAP,$A301+$B301+AB$4&gt;TOTAL_BEDS_AVAILABLE,($D301+AB$5)&gt;TOTAL_LABOR_HOURS_CAP,MAX(0,($D301+AB$5)-PERMANENT_FIELD_LABOR_HOURS)&gt;TEMP_HOURS_CAP),"",$C301+AB$6-MIN(($D301+AB$5),PERMANENT_FIELD_LABOR_HOURS)*PERMANENT_HOURLY_RATE-MAX(0,($D301+AB$5)-PERMANENT_FIELD_LABOR_HOURS)*TEMP_HOURLY_RATE-FIXED_SEASON_COST)</f>
        <v>33812.1396529475</v>
      </c>
      <c r="AC301" s="53" t="n">
        <f aca="false">IF(OR($A301&gt;TOMATO_BED_CAP,$B301&gt;CARROT_BED_CAP,AC$4&gt;MESCLUN_BED_CAP,$A301+$B301+AC$4&gt;TOTAL_BEDS_AVAILABLE,($D301+AC$5)&gt;TOTAL_LABOR_HOURS_CAP,MAX(0,($D301+AC$5)-PERMANENT_FIELD_LABOR_HOURS)&gt;TEMP_HOURS_CAP),"",$C301+AC$6-MIN(($D301+AC$5),PERMANENT_FIELD_LABOR_HOURS)*PERMANENT_HOURLY_RATE-MAX(0,($D301+AC$5)-PERMANENT_FIELD_LABOR_HOURS)*TEMP_HOURLY_RATE-FIXED_SEASON_COST)</f>
        <v>34310.2348703824</v>
      </c>
      <c r="AD301" s="53" t="n">
        <f aca="false">IF(OR($A301&gt;TOMATO_BED_CAP,$B301&gt;CARROT_BED_CAP,AD$4&gt;MESCLUN_BED_CAP,$A301+$B301+AD$4&gt;TOTAL_BEDS_AVAILABLE,($D301+AD$5)&gt;TOTAL_LABOR_HOURS_CAP,MAX(0,($D301+AD$5)-PERMANENT_FIELD_LABOR_HOURS)&gt;TEMP_HOURS_CAP),"",$C301+AD$6-MIN(($D301+AD$5),PERMANENT_FIELD_LABOR_HOURS)*PERMANENT_HOURLY_RATE-MAX(0,($D301+AD$5)-PERMANENT_FIELD_LABOR_HOURS)*TEMP_HOURLY_RATE-FIXED_SEASON_COST)</f>
        <v>34778.8118256823</v>
      </c>
      <c r="AE301" s="53" t="str">
        <f aca="false">IF(OR($A301&gt;TOMATO_BED_CAP,$B301&gt;CARROT_BED_CAP,AE$4&gt;MESCLUN_BED_CAP,$A301+$B301+AE$4&gt;TOTAL_BEDS_AVAILABLE,($D301+AE$5)&gt;TOTAL_LABOR_HOURS_CAP,MAX(0,($D301+AE$5)-PERMANENT_FIELD_LABOR_HOURS)&gt;TEMP_HOURS_CAP),"",$C301+AE$6-MIN(($D301+AE$5),PERMANENT_FIELD_LABOR_HOURS)*PERMANENT_HOURLY_RATE-MAX(0,($D301+AE$5)-PERMANENT_FIELD_LABOR_HOURS)*TEMP_HOURLY_RATE-FIXED_SEASON_COST)</f>
        <v/>
      </c>
      <c r="AF301" s="53" t="str">
        <f aca="false">IF(OR($A301&gt;TOMATO_BED_CAP,$B301&gt;CARROT_BED_CAP,AF$4&gt;MESCLUN_BED_CAP,$A301+$B301+AF$4&gt;TOTAL_BEDS_AVAILABLE,($D301+AF$5)&gt;TOTAL_LABOR_HOURS_CAP,MAX(0,($D301+AF$5)-PERMANENT_FIELD_LABOR_HOURS)&gt;TEMP_HOURS_CAP),"",$C301+AF$6-MIN(($D301+AF$5),PERMANENT_FIELD_LABOR_HOURS)*PERMANENT_HOURLY_RATE-MAX(0,($D301+AF$5)-PERMANENT_FIELD_LABOR_HOURS)*TEMP_HOURLY_RATE-FIXED_SEASON_COST)</f>
        <v/>
      </c>
      <c r="AG301" s="53" t="str">
        <f aca="false">IF(OR($A301&gt;TOMATO_BED_CAP,$B301&gt;CARROT_BED_CAP,AG$4&gt;MESCLUN_BED_CAP,$A301+$B301+AG$4&gt;TOTAL_BEDS_AVAILABLE,($D301+AG$5)&gt;TOTAL_LABOR_HOURS_CAP,MAX(0,($D301+AG$5)-PERMANENT_FIELD_LABOR_HOURS)&gt;TEMP_HOURS_CAP),"",$C301+AG$6-MIN(($D301+AG$5),PERMANENT_FIELD_LABOR_HOURS)*PERMANENT_HOURLY_RATE-MAX(0,($D301+AG$5)-PERMANENT_FIELD_LABOR_HOURS)*TEMP_HOURLY_RATE-FIXED_SEASON_COST)</f>
        <v/>
      </c>
      <c r="AH301" s="53" t="str">
        <f aca="false">IF(OR($A301&gt;TOMATO_BED_CAP,$B301&gt;CARROT_BED_CAP,AH$4&gt;MESCLUN_BED_CAP,$A301+$B301+AH$4&gt;TOTAL_BEDS_AVAILABLE,($D301+AH$5)&gt;TOTAL_LABOR_HOURS_CAP,MAX(0,($D301+AH$5)-PERMANENT_FIELD_LABOR_HOURS)&gt;TEMP_HOURS_CAP),"",$C301+AH$6-MIN(($D301+AH$5),PERMANENT_FIELD_LABOR_HOURS)*PERMANENT_HOURLY_RATE-MAX(0,($D301+AH$5)-PERMANENT_FIELD_LABOR_HOURS)*TEMP_HOURLY_RATE-FIXED_SEASON_COST)</f>
        <v/>
      </c>
      <c r="AI301" s="53" t="str">
        <f aca="false">IF(OR($A301&gt;TOMATO_BED_CAP,$B301&gt;CARROT_BED_CAP,AI$4&gt;MESCLUN_BED_CAP,$A301+$B301+AI$4&gt;TOTAL_BEDS_AVAILABLE,($D301+AI$5)&gt;TOTAL_LABOR_HOURS_CAP,MAX(0,($D301+AI$5)-PERMANENT_FIELD_LABOR_HOURS)&gt;TEMP_HOURS_CAP),"",$C301+AI$6-MIN(($D301+AI$5),PERMANENT_FIELD_LABOR_HOURS)*PERMANENT_HOURLY_RATE-MAX(0,($D301+AI$5)-PERMANENT_FIELD_LABOR_HOURS)*TEMP_HOURLY_RATE-FIXED_SEASON_COST)</f>
        <v/>
      </c>
      <c r="AJ301" s="53" t="str">
        <f aca="false">IF(OR($A301&gt;TOMATO_BED_CAP,$B301&gt;CARROT_BED_CAP,AJ$4&gt;MESCLUN_BED_CAP,$A301+$B301+AJ$4&gt;TOTAL_BEDS_AVAILABLE,($D301+AJ$5)&gt;TOTAL_LABOR_HOURS_CAP,MAX(0,($D301+AJ$5)-PERMANENT_FIELD_LABOR_HOURS)&gt;TEMP_HOURS_CAP),"",$C301+AJ$6-MIN(($D301+AJ$5),PERMANENT_FIELD_LABOR_HOURS)*PERMANENT_HOURLY_RATE-MAX(0,($D301+AJ$5)-PERMANENT_FIELD_LABOR_HOURS)*TEMP_HOURLY_RATE-FIXED_SEASON_COST)</f>
        <v/>
      </c>
    </row>
    <row r="302" customFormat="false" ht="15" hidden="false" customHeight="false" outlineLevel="0" collapsed="false">
      <c r="A302" s="21" t="n">
        <f aca="false">INT((ROW()-ROW($A$8))/(20+1))</f>
        <v>14</v>
      </c>
      <c r="B302" s="21" t="n">
        <f aca="false">MOD(ROW()-ROW($A$8),20+1)</f>
        <v>0</v>
      </c>
      <c r="C302" s="13" t="n">
        <f aca="false">A302*(TOMATO_REVENUE_PER_BED-TOMATO_FERTILIZER_PER_BED)+B302*(CARROT_REVENUE_PER_BED-CARROT_FERTILIZER_PER_BED)</f>
        <v>110880</v>
      </c>
      <c r="D302" s="14" t="n">
        <f aca="false">INDEX(TOMATO_SCHED_LABOR_HRS,A302+1)+INDEX(CARROT_SCHED_LABOR_HRS,B302+1)</f>
        <v>4784.84790314884</v>
      </c>
      <c r="E302" s="13" t="n">
        <f aca="false">IF(COUNT(F302:AJ302)=0,"",MAX(F302:AJ302))</f>
        <v>14581.0898428034</v>
      </c>
      <c r="F302" s="53" t="n">
        <f aca="false">IF(OR($A302&gt;TOMATO_BED_CAP,$B302&gt;CARROT_BED_CAP,F$4&gt;MESCLUN_BED_CAP,$A302+$B302+F$4&gt;TOTAL_BEDS_AVAILABLE,($D302+F$5)&gt;TOTAL_LABOR_HOURS_CAP,MAX(0,($D302+F$5)-PERMANENT_FIELD_LABOR_HOURS)&gt;TEMP_HOURS_CAP),"",$C302+F$6-MIN(($D302+F$5),PERMANENT_FIELD_LABOR_HOURS)*PERMANENT_HOURLY_RATE-MAX(0,($D302+F$5)-PERMANENT_FIELD_LABOR_HOURS)*TEMP_HOURLY_RATE-FIXED_SEASON_COST)</f>
        <v>-4684.1595986639</v>
      </c>
      <c r="G302" s="53" t="n">
        <f aca="false">IF(OR($A302&gt;TOMATO_BED_CAP,$B302&gt;CARROT_BED_CAP,G$4&gt;MESCLUN_BED_CAP,$A302+$B302+G$4&gt;TOTAL_BEDS_AVAILABLE,($D302+G$5)&gt;TOTAL_LABOR_HOURS_CAP,MAX(0,($D302+G$5)-PERMANENT_FIELD_LABOR_HOURS)&gt;TEMP_HOURS_CAP),"",$C302+G$6-MIN(($D302+G$5),PERMANENT_FIELD_LABOR_HOURS)*PERMANENT_HOURLY_RATE-MAX(0,($D302+G$5)-PERMANENT_FIELD_LABOR_HOURS)*TEMP_HOURLY_RATE-FIXED_SEASON_COST)</f>
        <v>-3655.1245986639</v>
      </c>
      <c r="H302" s="53" t="n">
        <f aca="false">IF(OR($A302&gt;TOMATO_BED_CAP,$B302&gt;CARROT_BED_CAP,H$4&gt;MESCLUN_BED_CAP,$A302+$B302+H$4&gt;TOTAL_BEDS_AVAILABLE,($D302+H$5)&gt;TOTAL_LABOR_HOURS_CAP,MAX(0,($D302+H$5)-PERMANENT_FIELD_LABOR_HOURS)&gt;TEMP_HOURS_CAP),"",$C302+H$6-MIN(($D302+H$5),PERMANENT_FIELD_LABOR_HOURS)*PERMANENT_HOURLY_RATE-MAX(0,($D302+H$5)-PERMANENT_FIELD_LABOR_HOURS)*TEMP_HOURLY_RATE-FIXED_SEASON_COST)</f>
        <v>-2645.8637236639</v>
      </c>
      <c r="I302" s="53" t="n">
        <f aca="false">IF(OR($A302&gt;TOMATO_BED_CAP,$B302&gt;CARROT_BED_CAP,I$4&gt;MESCLUN_BED_CAP,$A302+$B302+I$4&gt;TOTAL_BEDS_AVAILABLE,($D302+I$5)&gt;TOTAL_LABOR_HOURS_CAP,MAX(0,($D302+I$5)-PERMANENT_FIELD_LABOR_HOURS)&gt;TEMP_HOURS_CAP),"",$C302+I$6-MIN(($D302+I$5),PERMANENT_FIELD_LABOR_HOURS)*PERMANENT_HOURLY_RATE-MAX(0,($D302+I$5)-PERMANENT_FIELD_LABOR_HOURS)*TEMP_HOURLY_RATE-FIXED_SEASON_COST)</f>
        <v>-1656.74773850765</v>
      </c>
      <c r="J302" s="53" t="n">
        <f aca="false">IF(OR($A302&gt;TOMATO_BED_CAP,$B302&gt;CARROT_BED_CAP,J$4&gt;MESCLUN_BED_CAP,$A302+$B302+J$4&gt;TOTAL_BEDS_AVAILABLE,($D302+J$5)&gt;TOTAL_LABOR_HOURS_CAP,MAX(0,($D302+J$5)-PERMANENT_FIELD_LABOR_HOURS)&gt;TEMP_HOURS_CAP),"",$C302+J$6-MIN(($D302+J$5),PERMANENT_FIELD_LABOR_HOURS)*PERMANENT_HOURLY_RATE-MAX(0,($D302+J$5)-PERMANENT_FIELD_LABOR_HOURS)*TEMP_HOURLY_RATE-FIXED_SEASON_COST)</f>
        <v>-688.153587452951</v>
      </c>
      <c r="K302" s="53" t="n">
        <f aca="false">IF(OR($A302&gt;TOMATO_BED_CAP,$B302&gt;CARROT_BED_CAP,K$4&gt;MESCLUN_BED_CAP,$A302+$B302+K$4&gt;TOTAL_BEDS_AVAILABLE,($D302+K$5)&gt;TOTAL_LABOR_HOURS_CAP,MAX(0,($D302+K$5)-PERMANENT_FIELD_LABOR_HOURS)&gt;TEMP_HOURS_CAP),"",$C302+K$6-MIN(($D302+K$5),PERMANENT_FIELD_LABOR_HOURS)*PERMANENT_HOURLY_RATE-MAX(0,($D302+K$5)-PERMANENT_FIELD_LABOR_HOURS)*TEMP_HOURLY_RATE-FIXED_SEASON_COST)</f>
        <v>259.535509274952</v>
      </c>
      <c r="L302" s="53" t="n">
        <f aca="false">IF(OR($A302&gt;TOMATO_BED_CAP,$B302&gt;CARROT_BED_CAP,L$4&gt;MESCLUN_BED_CAP,$A302+$B302+L$4&gt;TOTAL_BEDS_AVAILABLE,($D302+L$5)&gt;TOTAL_LABOR_HOURS_CAP,MAX(0,($D302+L$5)-PERMANENT_FIELD_LABOR_HOURS)&gt;TEMP_HOURS_CAP),"",$C302+L$6-MIN(($D302+L$5),PERMANENT_FIELD_LABOR_HOURS)*PERMANENT_HOURLY_RATE-MAX(0,($D302+L$5)-PERMANENT_FIELD_LABOR_HOURS)*TEMP_HOURLY_RATE-FIXED_SEASON_COST)</f>
        <v>1185.9299574818</v>
      </c>
      <c r="M302" s="53" t="n">
        <f aca="false">IF(OR($A302&gt;TOMATO_BED_CAP,$B302&gt;CARROT_BED_CAP,M$4&gt;MESCLUN_BED_CAP,$A302+$B302+M$4&gt;TOTAL_BEDS_AVAILABLE,($D302+M$5)&gt;TOTAL_LABOR_HOURS_CAP,MAX(0,($D302+M$5)-PERMANENT_FIELD_LABOR_HOURS)&gt;TEMP_HOURS_CAP),"",$C302+M$6-MIN(($D302+M$5),PERMANENT_FIELD_LABOR_HOURS)*PERMANENT_HOURLY_RATE-MAX(0,($D302+M$5)-PERMANENT_FIELD_LABOR_HOURS)*TEMP_HOURLY_RATE-FIXED_SEASON_COST)</f>
        <v>2090.63368953321</v>
      </c>
      <c r="N302" s="53" t="n">
        <f aca="false">IF(OR($A302&gt;TOMATO_BED_CAP,$B302&gt;CARROT_BED_CAP,N$4&gt;MESCLUN_BED_CAP,$A302+$B302+N$4&gt;TOTAL_BEDS_AVAILABLE,($D302+N$5)&gt;TOTAL_LABOR_HOURS_CAP,MAX(0,($D302+N$5)-PERMANENT_FIELD_LABOR_HOURS)&gt;TEMP_HOURS_CAP),"",$C302+N$6-MIN(($D302+N$5),PERMANENT_FIELD_LABOR_HOURS)*PERMANENT_HOURLY_RATE-MAX(0,($D302+N$5)-PERMANENT_FIELD_LABOR_HOURS)*TEMP_HOURLY_RATE-FIXED_SEASON_COST)</f>
        <v>2973.24406339276</v>
      </c>
      <c r="O302" s="53" t="n">
        <f aca="false">IF(OR($A302&gt;TOMATO_BED_CAP,$B302&gt;CARROT_BED_CAP,O$4&gt;MESCLUN_BED_CAP,$A302+$B302+O$4&gt;TOTAL_BEDS_AVAILABLE,($D302+O$5)&gt;TOTAL_LABOR_HOURS_CAP,MAX(0,($D302+O$5)-PERMANENT_FIELD_LABOR_HOURS)&gt;TEMP_HOURS_CAP),"",$C302+O$6-MIN(($D302+O$5),PERMANENT_FIELD_LABOR_HOURS)*PERMANENT_HOURLY_RATE-MAX(0,($D302+O$5)-PERMANENT_FIELD_LABOR_HOURS)*TEMP_HOURLY_RATE-FIXED_SEASON_COST)</f>
        <v>3833.3517601475</v>
      </c>
      <c r="P302" s="53" t="n">
        <f aca="false">IF(OR($A302&gt;TOMATO_BED_CAP,$B302&gt;CARROT_BED_CAP,P$4&gt;MESCLUN_BED_CAP,$A302+$B302+P$4&gt;TOTAL_BEDS_AVAILABLE,($D302+P$5)&gt;TOTAL_LABOR_HOURS_CAP,MAX(0,($D302+P$5)-PERMANENT_FIELD_LABOR_HOURS)&gt;TEMP_HOURS_CAP),"",$C302+P$6-MIN(($D302+P$5),PERMANENT_FIELD_LABOR_HOURS)*PERMANENT_HOURLY_RATE-MAX(0,($D302+P$5)-PERMANENT_FIELD_LABOR_HOURS)*TEMP_HOURLY_RATE-FIXED_SEASON_COST)</f>
        <v>4670.54067999893</v>
      </c>
      <c r="Q302" s="53" t="n">
        <f aca="false">IF(OR($A302&gt;TOMATO_BED_CAP,$B302&gt;CARROT_BED_CAP,Q$4&gt;MESCLUN_BED_CAP,$A302+$B302+Q$4&gt;TOTAL_BEDS_AVAILABLE,($D302+Q$5)&gt;TOTAL_LABOR_HOURS_CAP,MAX(0,($D302+Q$5)-PERMANENT_FIELD_LABOR_HOURS)&gt;TEMP_HOURS_CAP),"",$C302+Q$6-MIN(($D302+Q$5),PERMANENT_FIELD_LABOR_HOURS)*PERMANENT_HOURLY_RATE-MAX(0,($D302+Q$5)-PERMANENT_FIELD_LABOR_HOURS)*TEMP_HOURLY_RATE-FIXED_SEASON_COST)</f>
        <v>5484.38783669683</v>
      </c>
      <c r="R302" s="53" t="n">
        <f aca="false">IF(OR($A302&gt;TOMATO_BED_CAP,$B302&gt;CARROT_BED_CAP,R$4&gt;MESCLUN_BED_CAP,$A302+$B302+R$4&gt;TOTAL_BEDS_AVAILABLE,($D302+R$5)&gt;TOTAL_LABOR_HOURS_CAP,MAX(0,($D302+R$5)-PERMANENT_FIELD_LABOR_HOURS)&gt;TEMP_HOURS_CAP),"",$C302+R$6-MIN(($D302+R$5),PERMANENT_FIELD_LABOR_HOURS)*PERMANENT_HOURLY_RATE-MAX(0,($D302+R$5)-PERMANENT_FIELD_LABOR_HOURS)*TEMP_HOURLY_RATE-FIXED_SEASON_COST)</f>
        <v>6274.46325039363</v>
      </c>
      <c r="S302" s="53" t="n">
        <f aca="false">IF(OR($A302&gt;TOMATO_BED_CAP,$B302&gt;CARROT_BED_CAP,S$4&gt;MESCLUN_BED_CAP,$A302+$B302+S$4&gt;TOTAL_BEDS_AVAILABLE,($D302+S$5)&gt;TOTAL_LABOR_HOURS_CAP,MAX(0,($D302+S$5)-PERMANENT_FIELD_LABOR_HOURS)&gt;TEMP_HOURS_CAP),"",$C302+S$6-MIN(($D302+S$5),PERMANENT_FIELD_LABOR_HOURS)*PERMANENT_HOURLY_RATE-MAX(0,($D302+S$5)-PERMANENT_FIELD_LABOR_HOURS)*TEMP_HOURLY_RATE-FIXED_SEASON_COST)</f>
        <v>7040.32983889608</v>
      </c>
      <c r="T302" s="53" t="n">
        <f aca="false">IF(OR($A302&gt;TOMATO_BED_CAP,$B302&gt;CARROT_BED_CAP,T$4&gt;MESCLUN_BED_CAP,$A302+$B302+T$4&gt;TOTAL_BEDS_AVAILABLE,($D302+T$5)&gt;TOTAL_LABOR_HOURS_CAP,MAX(0,($D302+T$5)-PERMANENT_FIELD_LABOR_HOURS)&gt;TEMP_HOURS_CAP),"",$C302+T$6-MIN(($D302+T$5),PERMANENT_FIELD_LABOR_HOURS)*PERMANENT_HOURLY_RATE-MAX(0,($D302+T$5)-PERMANENT_FIELD_LABOR_HOURS)*TEMP_HOURLY_RATE-FIXED_SEASON_COST)</f>
        <v>7781.54330729094</v>
      </c>
      <c r="U302" s="53" t="n">
        <f aca="false">IF(OR($A302&gt;TOMATO_BED_CAP,$B302&gt;CARROT_BED_CAP,U$4&gt;MESCLUN_BED_CAP,$A302+$B302+U$4&gt;TOTAL_BEDS_AVAILABLE,($D302+U$5)&gt;TOTAL_LABOR_HOURS_CAP,MAX(0,($D302+U$5)-PERMANENT_FIELD_LABOR_HOURS)&gt;TEMP_HOURS_CAP),"",$C302+U$6-MIN(($D302+U$5),PERMANENT_FIELD_LABOR_HOURS)*PERMANENT_HOURLY_RATE-MAX(0,($D302+U$5)-PERMANENT_FIELD_LABOR_HOURS)*TEMP_HOURLY_RATE-FIXED_SEASON_COST)</f>
        <v>8497.65203592103</v>
      </c>
      <c r="V302" s="53" t="n">
        <f aca="false">IF(OR($A302&gt;TOMATO_BED_CAP,$B302&gt;CARROT_BED_CAP,V$4&gt;MESCLUN_BED_CAP,$A302+$B302+V$4&gt;TOTAL_BEDS_AVAILABLE,($D302+V$5)&gt;TOTAL_LABOR_HOURS_CAP,MAX(0,($D302+V$5)-PERMANENT_FIELD_LABOR_HOURS)&gt;TEMP_HOURS_CAP),"",$C302+V$6-MIN(($D302+V$5),PERMANENT_FIELD_LABOR_HOURS)*PERMANENT_HOURLY_RATE-MAX(0,($D302+V$5)-PERMANENT_FIELD_LABOR_HOURS)*TEMP_HOURLY_RATE-FIXED_SEASON_COST)</f>
        <v>9188.19696668783</v>
      </c>
      <c r="W302" s="53" t="n">
        <f aca="false">IF(OR($A302&gt;TOMATO_BED_CAP,$B302&gt;CARROT_BED_CAP,W$4&gt;MESCLUN_BED_CAP,$A302+$B302+W$4&gt;TOTAL_BEDS_AVAILABLE,($D302+W$5)&gt;TOTAL_LABOR_HOURS_CAP,MAX(0,($D302+W$5)-PERMANENT_FIELD_LABOR_HOURS)&gt;TEMP_HOURS_CAP),"",$C302+W$6-MIN(($D302+W$5),PERMANENT_FIELD_LABOR_HOURS)*PERMANENT_HOURLY_RATE-MAX(0,($D302+W$5)-PERMANENT_FIELD_LABOR_HOURS)*TEMP_HOURLY_RATE-FIXED_SEASON_COST)</f>
        <v>9852.71148765588</v>
      </c>
      <c r="X302" s="53" t="n">
        <f aca="false">IF(OR($A302&gt;TOMATO_BED_CAP,$B302&gt;CARROT_BED_CAP,X$4&gt;MESCLUN_BED_CAP,$A302+$B302+X$4&gt;TOTAL_BEDS_AVAILABLE,($D302+X$5)&gt;TOTAL_LABOR_HOURS_CAP,MAX(0,($D302+X$5)-PERMANENT_FIELD_LABOR_HOURS)&gt;TEMP_HOURS_CAP),"",$C302+X$6-MIN(($D302+X$5),PERMANENT_FIELD_LABOR_HOURS)*PERMANENT_HOURLY_RATE-MAX(0,($D302+X$5)-PERMANENT_FIELD_LABOR_HOURS)*TEMP_HOURLY_RATE-FIXED_SEASON_COST)</f>
        <v>10490.7213159348</v>
      </c>
      <c r="Y302" s="53" t="n">
        <f aca="false">IF(OR($A302&gt;TOMATO_BED_CAP,$B302&gt;CARROT_BED_CAP,Y$4&gt;MESCLUN_BED_CAP,$A302+$B302+Y$4&gt;TOTAL_BEDS_AVAILABLE,($D302+Y$5)&gt;TOTAL_LABOR_HOURS_CAP,MAX(0,($D302+Y$5)-PERMANENT_FIELD_LABOR_HOURS)&gt;TEMP_HOURS_CAP),"",$C302+Y$6-MIN(($D302+Y$5),PERMANENT_FIELD_LABOR_HOURS)*PERMANENT_HOURLY_RATE-MAX(0,($D302+Y$5)-PERMANENT_FIELD_LABOR_HOURS)*TEMP_HOURLY_RATE-FIXED_SEASON_COST)</f>
        <v>11101.7443788135</v>
      </c>
      <c r="Z302" s="53" t="n">
        <f aca="false">IF(OR($A302&gt;TOMATO_BED_CAP,$B302&gt;CARROT_BED_CAP,Z$4&gt;MESCLUN_BED_CAP,$A302+$B302+Z$4&gt;TOTAL_BEDS_AVAILABLE,($D302+Z$5)&gt;TOTAL_LABOR_HOURS_CAP,MAX(0,($D302+Z$5)-PERMANENT_FIELD_LABOR_HOURS)&gt;TEMP_HOURS_CAP),"",$C302+Z$6-MIN(($D302+Z$5),PERMANENT_FIELD_LABOR_HOURS)*PERMANENT_HOURLY_RATE-MAX(0,($D302+Z$5)-PERMANENT_FIELD_LABOR_HOURS)*TEMP_HOURLY_RATE-FIXED_SEASON_COST)</f>
        <v>11685.2906931212</v>
      </c>
      <c r="AA302" s="53" t="n">
        <f aca="false">IF(OR($A302&gt;TOMATO_BED_CAP,$B302&gt;CARROT_BED_CAP,AA$4&gt;MESCLUN_BED_CAP,$A302+$B302+AA$4&gt;TOTAL_BEDS_AVAILABLE,($D302+AA$5)&gt;TOTAL_LABOR_HOURS_CAP,MAX(0,($D302+AA$5)-PERMANENT_FIELD_LABOR_HOURS)&gt;TEMP_HOURS_CAP),"",$C302+AA$6-MIN(($D302+AA$5),PERMANENT_FIELD_LABOR_HOURS)*PERMANENT_HOURLY_RATE-MAX(0,($D302+AA$5)-PERMANENT_FIELD_LABOR_HOURS)*TEMP_HOURLY_RATE-FIXED_SEASON_COST)</f>
        <v>12240.8622427901</v>
      </c>
      <c r="AB302" s="53" t="n">
        <f aca="false">IF(OR($A302&gt;TOMATO_BED_CAP,$B302&gt;CARROT_BED_CAP,AB$4&gt;MESCLUN_BED_CAP,$A302+$B302+AB$4&gt;TOTAL_BEDS_AVAILABLE,($D302+AB$5)&gt;TOTAL_LABOR_HOURS_CAP,MAX(0,($D302+AB$5)-PERMANENT_FIELD_LABOR_HOURS)&gt;TEMP_HOURS_CAP),"",$C302+AB$6-MIN(($D302+AB$5),PERMANENT_FIELD_LABOR_HOURS)*PERMANENT_HOURLY_RATE-MAX(0,($D302+AB$5)-PERMANENT_FIELD_LABOR_HOURS)*TEMP_HOURLY_RATE-FIXED_SEASON_COST)</f>
        <v>12767.9528545927</v>
      </c>
      <c r="AC302" s="53" t="n">
        <f aca="false">IF(OR($A302&gt;TOMATO_BED_CAP,$B302&gt;CARROT_BED_CAP,AC$4&gt;MESCLUN_BED_CAP,$A302+$B302+AC$4&gt;TOTAL_BEDS_AVAILABLE,($D302+AC$5)&gt;TOTAL_LABOR_HOURS_CAP,MAX(0,($D302+AC$5)-PERMANENT_FIELD_LABOR_HOURS)&gt;TEMP_HOURS_CAP),"",$C302+AC$6-MIN(($D302+AC$5),PERMANENT_FIELD_LABOR_HOURS)*PERMANENT_HOURLY_RATE-MAX(0,($D302+AC$5)-PERMANENT_FIELD_LABOR_HOURS)*TEMP_HOURLY_RATE-FIXED_SEASON_COST)</f>
        <v>13266.0480720276</v>
      </c>
      <c r="AD302" s="53" t="n">
        <f aca="false">IF(OR($A302&gt;TOMATO_BED_CAP,$B302&gt;CARROT_BED_CAP,AD$4&gt;MESCLUN_BED_CAP,$A302+$B302+AD$4&gt;TOTAL_BEDS_AVAILABLE,($D302+AD$5)&gt;TOTAL_LABOR_HOURS_CAP,MAX(0,($D302+AD$5)-PERMANENT_FIELD_LABOR_HOURS)&gt;TEMP_HOURS_CAP),"",$C302+AD$6-MIN(($D302+AD$5),PERMANENT_FIELD_LABOR_HOURS)*PERMANENT_HOURLY_RATE-MAX(0,($D302+AD$5)-PERMANENT_FIELD_LABOR_HOURS)*TEMP_HOURLY_RATE-FIXED_SEASON_COST)</f>
        <v>13734.6250273276</v>
      </c>
      <c r="AE302" s="53" t="n">
        <f aca="false">IF(OR($A302&gt;TOMATO_BED_CAP,$B302&gt;CARROT_BED_CAP,AE$4&gt;MESCLUN_BED_CAP,$A302+$B302+AE$4&gt;TOTAL_BEDS_AVAILABLE,($D302+AE$5)&gt;TOTAL_LABOR_HOURS_CAP,MAX(0,($D302+AE$5)-PERMANENT_FIELD_LABOR_HOURS)&gt;TEMP_HOURS_CAP),"",$C302+AE$6-MIN(($D302+AE$5),PERMANENT_FIELD_LABOR_HOURS)*PERMANENT_HOURLY_RATE-MAX(0,($D302+AE$5)-PERMANENT_FIELD_LABOR_HOURS)*TEMP_HOURLY_RATE-FIXED_SEASON_COST)</f>
        <v>14173.1523115614</v>
      </c>
      <c r="AF302" s="53" t="n">
        <f aca="false">IF(OR($A302&gt;TOMATO_BED_CAP,$B302&gt;CARROT_BED_CAP,AF$4&gt;MESCLUN_BED_CAP,$A302+$B302+AF$4&gt;TOTAL_BEDS_AVAILABLE,($D302+AF$5)&gt;TOTAL_LABOR_HOURS_CAP,MAX(0,($D302+AF$5)-PERMANENT_FIELD_LABOR_HOURS)&gt;TEMP_HOURS_CAP),"",$C302+AF$6-MIN(($D302+AF$5),PERMANENT_FIELD_LABOR_HOURS)*PERMANENT_HOURLY_RATE-MAX(0,($D302+AF$5)-PERMANENT_FIELD_LABOR_HOURS)*TEMP_HOURLY_RATE-FIXED_SEASON_COST)</f>
        <v>14581.0898428034</v>
      </c>
      <c r="AG302" s="53" t="str">
        <f aca="false">IF(OR($A302&gt;TOMATO_BED_CAP,$B302&gt;CARROT_BED_CAP,AG$4&gt;MESCLUN_BED_CAP,$A302+$B302+AG$4&gt;TOTAL_BEDS_AVAILABLE,($D302+AG$5)&gt;TOTAL_LABOR_HOURS_CAP,MAX(0,($D302+AG$5)-PERMANENT_FIELD_LABOR_HOURS)&gt;TEMP_HOURS_CAP),"",$C302+AG$6-MIN(($D302+AG$5),PERMANENT_FIELD_LABOR_HOURS)*PERMANENT_HOURLY_RATE-MAX(0,($D302+AG$5)-PERMANENT_FIELD_LABOR_HOURS)*TEMP_HOURLY_RATE-FIXED_SEASON_COST)</f>
        <v/>
      </c>
      <c r="AH302" s="53" t="str">
        <f aca="false">IF(OR($A302&gt;TOMATO_BED_CAP,$B302&gt;CARROT_BED_CAP,AH$4&gt;MESCLUN_BED_CAP,$A302+$B302+AH$4&gt;TOTAL_BEDS_AVAILABLE,($D302+AH$5)&gt;TOTAL_LABOR_HOURS_CAP,MAX(0,($D302+AH$5)-PERMANENT_FIELD_LABOR_HOURS)&gt;TEMP_HOURS_CAP),"",$C302+AH$6-MIN(($D302+AH$5),PERMANENT_FIELD_LABOR_HOURS)*PERMANENT_HOURLY_RATE-MAX(0,($D302+AH$5)-PERMANENT_FIELD_LABOR_HOURS)*TEMP_HOURLY_RATE-FIXED_SEASON_COST)</f>
        <v/>
      </c>
      <c r="AI302" s="53" t="str">
        <f aca="false">IF(OR($A302&gt;TOMATO_BED_CAP,$B302&gt;CARROT_BED_CAP,AI$4&gt;MESCLUN_BED_CAP,$A302+$B302+AI$4&gt;TOTAL_BEDS_AVAILABLE,($D302+AI$5)&gt;TOTAL_LABOR_HOURS_CAP,MAX(0,($D302+AI$5)-PERMANENT_FIELD_LABOR_HOURS)&gt;TEMP_HOURS_CAP),"",$C302+AI$6-MIN(($D302+AI$5),PERMANENT_FIELD_LABOR_HOURS)*PERMANENT_HOURLY_RATE-MAX(0,($D302+AI$5)-PERMANENT_FIELD_LABOR_HOURS)*TEMP_HOURLY_RATE-FIXED_SEASON_COST)</f>
        <v/>
      </c>
      <c r="AJ302" s="53" t="str">
        <f aca="false">IF(OR($A302&gt;TOMATO_BED_CAP,$B302&gt;CARROT_BED_CAP,AJ$4&gt;MESCLUN_BED_CAP,$A302+$B302+AJ$4&gt;TOTAL_BEDS_AVAILABLE,($D302+AJ$5)&gt;TOTAL_LABOR_HOURS_CAP,MAX(0,($D302+AJ$5)-PERMANENT_FIELD_LABOR_HOURS)&gt;TEMP_HOURS_CAP),"",$C302+AJ$6-MIN(($D302+AJ$5),PERMANENT_FIELD_LABOR_HOURS)*PERMANENT_HOURLY_RATE-MAX(0,($D302+AJ$5)-PERMANENT_FIELD_LABOR_HOURS)*TEMP_HOURLY_RATE-FIXED_SEASON_COST)</f>
        <v/>
      </c>
    </row>
    <row r="303" customFormat="false" ht="15" hidden="false" customHeight="false" outlineLevel="0" collapsed="false">
      <c r="A303" s="21" t="n">
        <f aca="false">INT((ROW()-ROW($A$8))/(20+1))</f>
        <v>14</v>
      </c>
      <c r="B303" s="21" t="n">
        <f aca="false">MOD(ROW()-ROW($A$8),20+1)</f>
        <v>1</v>
      </c>
      <c r="C303" s="13" t="n">
        <f aca="false">A303*(TOMATO_REVENUE_PER_BED-TOMATO_FERTILIZER_PER_BED)+B303*(CARROT_REVENUE_PER_BED-CARROT_FERTILIZER_PER_BED)</f>
        <v>112534</v>
      </c>
      <c r="D303" s="14" t="n">
        <f aca="false">INDEX(TOMATO_SCHED_LABOR_HRS,A303+1)+INDEX(CARROT_SCHED_LABOR_HRS,B303+1)</f>
        <v>4815.58560314884</v>
      </c>
      <c r="E303" s="13" t="n">
        <f aca="false">IF(COUNT(F303:AJ303)=0,"",MAX(F303:AJ303))</f>
        <v>15701.4833708034</v>
      </c>
      <c r="F303" s="53" t="n">
        <f aca="false">IF(OR($A303&gt;TOMATO_BED_CAP,$B303&gt;CARROT_BED_CAP,F$4&gt;MESCLUN_BED_CAP,$A303+$B303+F$4&gt;TOTAL_BEDS_AVAILABLE,($D303+F$5)&gt;TOTAL_LABOR_HOURS_CAP,MAX(0,($D303+F$5)-PERMANENT_FIELD_LABOR_HOURS)&gt;TEMP_HOURS_CAP),"",$C303+F$6-MIN(($D303+F$5),PERMANENT_FIELD_LABOR_HOURS)*PERMANENT_HOURLY_RATE-MAX(0,($D303+F$5)-PERMANENT_FIELD_LABOR_HOURS)*TEMP_HOURLY_RATE-FIXED_SEASON_COST)</f>
        <v>-3563.76607066389</v>
      </c>
      <c r="G303" s="53" t="n">
        <f aca="false">IF(OR($A303&gt;TOMATO_BED_CAP,$B303&gt;CARROT_BED_CAP,G$4&gt;MESCLUN_BED_CAP,$A303+$B303+G$4&gt;TOTAL_BEDS_AVAILABLE,($D303+G$5)&gt;TOTAL_LABOR_HOURS_CAP,MAX(0,($D303+G$5)-PERMANENT_FIELD_LABOR_HOURS)&gt;TEMP_HOURS_CAP),"",$C303+G$6-MIN(($D303+G$5),PERMANENT_FIELD_LABOR_HOURS)*PERMANENT_HOURLY_RATE-MAX(0,($D303+G$5)-PERMANENT_FIELD_LABOR_HOURS)*TEMP_HOURLY_RATE-FIXED_SEASON_COST)</f>
        <v>-2534.73107066388</v>
      </c>
      <c r="H303" s="53" t="n">
        <f aca="false">IF(OR($A303&gt;TOMATO_BED_CAP,$B303&gt;CARROT_BED_CAP,H$4&gt;MESCLUN_BED_CAP,$A303+$B303+H$4&gt;TOTAL_BEDS_AVAILABLE,($D303+H$5)&gt;TOTAL_LABOR_HOURS_CAP,MAX(0,($D303+H$5)-PERMANENT_FIELD_LABOR_HOURS)&gt;TEMP_HOURS_CAP),"",$C303+H$6-MIN(($D303+H$5),PERMANENT_FIELD_LABOR_HOURS)*PERMANENT_HOURLY_RATE-MAX(0,($D303+H$5)-PERMANENT_FIELD_LABOR_HOURS)*TEMP_HOURLY_RATE-FIXED_SEASON_COST)</f>
        <v>-1525.47019566389</v>
      </c>
      <c r="I303" s="53" t="n">
        <f aca="false">IF(OR($A303&gt;TOMATO_BED_CAP,$B303&gt;CARROT_BED_CAP,I$4&gt;MESCLUN_BED_CAP,$A303+$B303+I$4&gt;TOTAL_BEDS_AVAILABLE,($D303+I$5)&gt;TOTAL_LABOR_HOURS_CAP,MAX(0,($D303+I$5)-PERMANENT_FIELD_LABOR_HOURS)&gt;TEMP_HOURS_CAP),"",$C303+I$6-MIN(($D303+I$5),PERMANENT_FIELD_LABOR_HOURS)*PERMANENT_HOURLY_RATE-MAX(0,($D303+I$5)-PERMANENT_FIELD_LABOR_HOURS)*TEMP_HOURLY_RATE-FIXED_SEASON_COST)</f>
        <v>-536.354210507649</v>
      </c>
      <c r="J303" s="53" t="n">
        <f aca="false">IF(OR($A303&gt;TOMATO_BED_CAP,$B303&gt;CARROT_BED_CAP,J$4&gt;MESCLUN_BED_CAP,$A303+$B303+J$4&gt;TOTAL_BEDS_AVAILABLE,($D303+J$5)&gt;TOTAL_LABOR_HOURS_CAP,MAX(0,($D303+J$5)-PERMANENT_FIELD_LABOR_HOURS)&gt;TEMP_HOURS_CAP),"",$C303+J$6-MIN(($D303+J$5),PERMANENT_FIELD_LABOR_HOURS)*PERMANENT_HOURLY_RATE-MAX(0,($D303+J$5)-PERMANENT_FIELD_LABOR_HOURS)*TEMP_HOURLY_RATE-FIXED_SEASON_COST)</f>
        <v>432.23994054705</v>
      </c>
      <c r="K303" s="53" t="n">
        <f aca="false">IF(OR($A303&gt;TOMATO_BED_CAP,$B303&gt;CARROT_BED_CAP,K$4&gt;MESCLUN_BED_CAP,$A303+$B303+K$4&gt;TOTAL_BEDS_AVAILABLE,($D303+K$5)&gt;TOTAL_LABOR_HOURS_CAP,MAX(0,($D303+K$5)-PERMANENT_FIELD_LABOR_HOURS)&gt;TEMP_HOURS_CAP),"",$C303+K$6-MIN(($D303+K$5),PERMANENT_FIELD_LABOR_HOURS)*PERMANENT_HOURLY_RATE-MAX(0,($D303+K$5)-PERMANENT_FIELD_LABOR_HOURS)*TEMP_HOURLY_RATE-FIXED_SEASON_COST)</f>
        <v>1379.92903727495</v>
      </c>
      <c r="L303" s="53" t="n">
        <f aca="false">IF(OR($A303&gt;TOMATO_BED_CAP,$B303&gt;CARROT_BED_CAP,L$4&gt;MESCLUN_BED_CAP,$A303+$B303+L$4&gt;TOTAL_BEDS_AVAILABLE,($D303+L$5)&gt;TOTAL_LABOR_HOURS_CAP,MAX(0,($D303+L$5)-PERMANENT_FIELD_LABOR_HOURS)&gt;TEMP_HOURS_CAP),"",$C303+L$6-MIN(($D303+L$5),PERMANENT_FIELD_LABOR_HOURS)*PERMANENT_HOURLY_RATE-MAX(0,($D303+L$5)-PERMANENT_FIELD_LABOR_HOURS)*TEMP_HOURLY_RATE-FIXED_SEASON_COST)</f>
        <v>2306.32348548181</v>
      </c>
      <c r="M303" s="53" t="n">
        <f aca="false">IF(OR($A303&gt;TOMATO_BED_CAP,$B303&gt;CARROT_BED_CAP,M$4&gt;MESCLUN_BED_CAP,$A303+$B303+M$4&gt;TOTAL_BEDS_AVAILABLE,($D303+M$5)&gt;TOTAL_LABOR_HOURS_CAP,MAX(0,($D303+M$5)-PERMANENT_FIELD_LABOR_HOURS)&gt;TEMP_HOURS_CAP),"",$C303+M$6-MIN(($D303+M$5),PERMANENT_FIELD_LABOR_HOURS)*PERMANENT_HOURLY_RATE-MAX(0,($D303+M$5)-PERMANENT_FIELD_LABOR_HOURS)*TEMP_HOURLY_RATE-FIXED_SEASON_COST)</f>
        <v>3211.02721753321</v>
      </c>
      <c r="N303" s="53" t="n">
        <f aca="false">IF(OR($A303&gt;TOMATO_BED_CAP,$B303&gt;CARROT_BED_CAP,N$4&gt;MESCLUN_BED_CAP,$A303+$B303+N$4&gt;TOTAL_BEDS_AVAILABLE,($D303+N$5)&gt;TOTAL_LABOR_HOURS_CAP,MAX(0,($D303+N$5)-PERMANENT_FIELD_LABOR_HOURS)&gt;TEMP_HOURS_CAP),"",$C303+N$6-MIN(($D303+N$5),PERMANENT_FIELD_LABOR_HOURS)*PERMANENT_HOURLY_RATE-MAX(0,($D303+N$5)-PERMANENT_FIELD_LABOR_HOURS)*TEMP_HOURLY_RATE-FIXED_SEASON_COST)</f>
        <v>4093.63759139276</v>
      </c>
      <c r="O303" s="53" t="n">
        <f aca="false">IF(OR($A303&gt;TOMATO_BED_CAP,$B303&gt;CARROT_BED_CAP,O$4&gt;MESCLUN_BED_CAP,$A303+$B303+O$4&gt;TOTAL_BEDS_AVAILABLE,($D303+O$5)&gt;TOTAL_LABOR_HOURS_CAP,MAX(0,($D303+O$5)-PERMANENT_FIELD_LABOR_HOURS)&gt;TEMP_HOURS_CAP),"",$C303+O$6-MIN(($D303+O$5),PERMANENT_FIELD_LABOR_HOURS)*PERMANENT_HOURLY_RATE-MAX(0,($D303+O$5)-PERMANENT_FIELD_LABOR_HOURS)*TEMP_HOURLY_RATE-FIXED_SEASON_COST)</f>
        <v>4953.7452881475</v>
      </c>
      <c r="P303" s="53" t="n">
        <f aca="false">IF(OR($A303&gt;TOMATO_BED_CAP,$B303&gt;CARROT_BED_CAP,P$4&gt;MESCLUN_BED_CAP,$A303+$B303+P$4&gt;TOTAL_BEDS_AVAILABLE,($D303+P$5)&gt;TOTAL_LABOR_HOURS_CAP,MAX(0,($D303+P$5)-PERMANENT_FIELD_LABOR_HOURS)&gt;TEMP_HOURS_CAP),"",$C303+P$6-MIN(($D303+P$5),PERMANENT_FIELD_LABOR_HOURS)*PERMANENT_HOURLY_RATE-MAX(0,($D303+P$5)-PERMANENT_FIELD_LABOR_HOURS)*TEMP_HOURLY_RATE-FIXED_SEASON_COST)</f>
        <v>5790.93420799894</v>
      </c>
      <c r="Q303" s="53" t="n">
        <f aca="false">IF(OR($A303&gt;TOMATO_BED_CAP,$B303&gt;CARROT_BED_CAP,Q$4&gt;MESCLUN_BED_CAP,$A303+$B303+Q$4&gt;TOTAL_BEDS_AVAILABLE,($D303+Q$5)&gt;TOTAL_LABOR_HOURS_CAP,MAX(0,($D303+Q$5)-PERMANENT_FIELD_LABOR_HOURS)&gt;TEMP_HOURS_CAP),"",$C303+Q$6-MIN(($D303+Q$5),PERMANENT_FIELD_LABOR_HOURS)*PERMANENT_HOURLY_RATE-MAX(0,($D303+Q$5)-PERMANENT_FIELD_LABOR_HOURS)*TEMP_HOURLY_RATE-FIXED_SEASON_COST)</f>
        <v>6604.78136469683</v>
      </c>
      <c r="R303" s="53" t="n">
        <f aca="false">IF(OR($A303&gt;TOMATO_BED_CAP,$B303&gt;CARROT_BED_CAP,R$4&gt;MESCLUN_BED_CAP,$A303+$B303+R$4&gt;TOTAL_BEDS_AVAILABLE,($D303+R$5)&gt;TOTAL_LABOR_HOURS_CAP,MAX(0,($D303+R$5)-PERMANENT_FIELD_LABOR_HOURS)&gt;TEMP_HOURS_CAP),"",$C303+R$6-MIN(($D303+R$5),PERMANENT_FIELD_LABOR_HOURS)*PERMANENT_HOURLY_RATE-MAX(0,($D303+R$5)-PERMANENT_FIELD_LABOR_HOURS)*TEMP_HOURLY_RATE-FIXED_SEASON_COST)</f>
        <v>7394.85677839365</v>
      </c>
      <c r="S303" s="53" t="n">
        <f aca="false">IF(OR($A303&gt;TOMATO_BED_CAP,$B303&gt;CARROT_BED_CAP,S$4&gt;MESCLUN_BED_CAP,$A303+$B303+S$4&gt;TOTAL_BEDS_AVAILABLE,($D303+S$5)&gt;TOTAL_LABOR_HOURS_CAP,MAX(0,($D303+S$5)-PERMANENT_FIELD_LABOR_HOURS)&gt;TEMP_HOURS_CAP),"",$C303+S$6-MIN(($D303+S$5),PERMANENT_FIELD_LABOR_HOURS)*PERMANENT_HOURLY_RATE-MAX(0,($D303+S$5)-PERMANENT_FIELD_LABOR_HOURS)*TEMP_HOURLY_RATE-FIXED_SEASON_COST)</f>
        <v>8160.7233668961</v>
      </c>
      <c r="T303" s="53" t="n">
        <f aca="false">IF(OR($A303&gt;TOMATO_BED_CAP,$B303&gt;CARROT_BED_CAP,T$4&gt;MESCLUN_BED_CAP,$A303+$B303+T$4&gt;TOTAL_BEDS_AVAILABLE,($D303+T$5)&gt;TOTAL_LABOR_HOURS_CAP,MAX(0,($D303+T$5)-PERMANENT_FIELD_LABOR_HOURS)&gt;TEMP_HOURS_CAP),"",$C303+T$6-MIN(($D303+T$5),PERMANENT_FIELD_LABOR_HOURS)*PERMANENT_HOURLY_RATE-MAX(0,($D303+T$5)-PERMANENT_FIELD_LABOR_HOURS)*TEMP_HOURLY_RATE-FIXED_SEASON_COST)</f>
        <v>8901.93683529094</v>
      </c>
      <c r="U303" s="53" t="n">
        <f aca="false">IF(OR($A303&gt;TOMATO_BED_CAP,$B303&gt;CARROT_BED_CAP,U$4&gt;MESCLUN_BED_CAP,$A303+$B303+U$4&gt;TOTAL_BEDS_AVAILABLE,($D303+U$5)&gt;TOTAL_LABOR_HOURS_CAP,MAX(0,($D303+U$5)-PERMANENT_FIELD_LABOR_HOURS)&gt;TEMP_HOURS_CAP),"",$C303+U$6-MIN(($D303+U$5),PERMANENT_FIELD_LABOR_HOURS)*PERMANENT_HOURLY_RATE-MAX(0,($D303+U$5)-PERMANENT_FIELD_LABOR_HOURS)*TEMP_HOURLY_RATE-FIXED_SEASON_COST)</f>
        <v>9618.04556392103</v>
      </c>
      <c r="V303" s="53" t="n">
        <f aca="false">IF(OR($A303&gt;TOMATO_BED_CAP,$B303&gt;CARROT_BED_CAP,V$4&gt;MESCLUN_BED_CAP,$A303+$B303+V$4&gt;TOTAL_BEDS_AVAILABLE,($D303+V$5)&gt;TOTAL_LABOR_HOURS_CAP,MAX(0,($D303+V$5)-PERMANENT_FIELD_LABOR_HOURS)&gt;TEMP_HOURS_CAP),"",$C303+V$6-MIN(($D303+V$5),PERMANENT_FIELD_LABOR_HOURS)*PERMANENT_HOURLY_RATE-MAX(0,($D303+V$5)-PERMANENT_FIELD_LABOR_HOURS)*TEMP_HOURLY_RATE-FIXED_SEASON_COST)</f>
        <v>10308.5904946878</v>
      </c>
      <c r="W303" s="53" t="n">
        <f aca="false">IF(OR($A303&gt;TOMATO_BED_CAP,$B303&gt;CARROT_BED_CAP,W$4&gt;MESCLUN_BED_CAP,$A303+$B303+W$4&gt;TOTAL_BEDS_AVAILABLE,($D303+W$5)&gt;TOTAL_LABOR_HOURS_CAP,MAX(0,($D303+W$5)-PERMANENT_FIELD_LABOR_HOURS)&gt;TEMP_HOURS_CAP),"",$C303+W$6-MIN(($D303+W$5),PERMANENT_FIELD_LABOR_HOURS)*PERMANENT_HOURLY_RATE-MAX(0,($D303+W$5)-PERMANENT_FIELD_LABOR_HOURS)*TEMP_HOURLY_RATE-FIXED_SEASON_COST)</f>
        <v>10973.1050156559</v>
      </c>
      <c r="X303" s="53" t="n">
        <f aca="false">IF(OR($A303&gt;TOMATO_BED_CAP,$B303&gt;CARROT_BED_CAP,X$4&gt;MESCLUN_BED_CAP,$A303+$B303+X$4&gt;TOTAL_BEDS_AVAILABLE,($D303+X$5)&gt;TOTAL_LABOR_HOURS_CAP,MAX(0,($D303+X$5)-PERMANENT_FIELD_LABOR_HOURS)&gt;TEMP_HOURS_CAP),"",$C303+X$6-MIN(($D303+X$5),PERMANENT_FIELD_LABOR_HOURS)*PERMANENT_HOURLY_RATE-MAX(0,($D303+X$5)-PERMANENT_FIELD_LABOR_HOURS)*TEMP_HOURLY_RATE-FIXED_SEASON_COST)</f>
        <v>11611.1148439348</v>
      </c>
      <c r="Y303" s="53" t="n">
        <f aca="false">IF(OR($A303&gt;TOMATO_BED_CAP,$B303&gt;CARROT_BED_CAP,Y$4&gt;MESCLUN_BED_CAP,$A303+$B303+Y$4&gt;TOTAL_BEDS_AVAILABLE,($D303+Y$5)&gt;TOTAL_LABOR_HOURS_CAP,MAX(0,($D303+Y$5)-PERMANENT_FIELD_LABOR_HOURS)&gt;TEMP_HOURS_CAP),"",$C303+Y$6-MIN(($D303+Y$5),PERMANENT_FIELD_LABOR_HOURS)*PERMANENT_HOURLY_RATE-MAX(0,($D303+Y$5)-PERMANENT_FIELD_LABOR_HOURS)*TEMP_HOURLY_RATE-FIXED_SEASON_COST)</f>
        <v>12222.1379068135</v>
      </c>
      <c r="Z303" s="53" t="n">
        <f aca="false">IF(OR($A303&gt;TOMATO_BED_CAP,$B303&gt;CARROT_BED_CAP,Z$4&gt;MESCLUN_BED_CAP,$A303+$B303+Z$4&gt;TOTAL_BEDS_AVAILABLE,($D303+Z$5)&gt;TOTAL_LABOR_HOURS_CAP,MAX(0,($D303+Z$5)-PERMANENT_FIELD_LABOR_HOURS)&gt;TEMP_HOURS_CAP),"",$C303+Z$6-MIN(($D303+Z$5),PERMANENT_FIELD_LABOR_HOURS)*PERMANENT_HOURLY_RATE-MAX(0,($D303+Z$5)-PERMANENT_FIELD_LABOR_HOURS)*TEMP_HOURLY_RATE-FIXED_SEASON_COST)</f>
        <v>12805.6842211212</v>
      </c>
      <c r="AA303" s="53" t="n">
        <f aca="false">IF(OR($A303&gt;TOMATO_BED_CAP,$B303&gt;CARROT_BED_CAP,AA$4&gt;MESCLUN_BED_CAP,$A303+$B303+AA$4&gt;TOTAL_BEDS_AVAILABLE,($D303+AA$5)&gt;TOTAL_LABOR_HOURS_CAP,MAX(0,($D303+AA$5)-PERMANENT_FIELD_LABOR_HOURS)&gt;TEMP_HOURS_CAP),"",$C303+AA$6-MIN(($D303+AA$5),PERMANENT_FIELD_LABOR_HOURS)*PERMANENT_HOURLY_RATE-MAX(0,($D303+AA$5)-PERMANENT_FIELD_LABOR_HOURS)*TEMP_HOURLY_RATE-FIXED_SEASON_COST)</f>
        <v>13361.2557707901</v>
      </c>
      <c r="AB303" s="53" t="n">
        <f aca="false">IF(OR($A303&gt;TOMATO_BED_CAP,$B303&gt;CARROT_BED_CAP,AB$4&gt;MESCLUN_BED_CAP,$A303+$B303+AB$4&gt;TOTAL_BEDS_AVAILABLE,($D303+AB$5)&gt;TOTAL_LABOR_HOURS_CAP,MAX(0,($D303+AB$5)-PERMANENT_FIELD_LABOR_HOURS)&gt;TEMP_HOURS_CAP),"",$C303+AB$6-MIN(($D303+AB$5),PERMANENT_FIELD_LABOR_HOURS)*PERMANENT_HOURLY_RATE-MAX(0,($D303+AB$5)-PERMANENT_FIELD_LABOR_HOURS)*TEMP_HOURLY_RATE-FIXED_SEASON_COST)</f>
        <v>13888.3463825927</v>
      </c>
      <c r="AC303" s="53" t="n">
        <f aca="false">IF(OR($A303&gt;TOMATO_BED_CAP,$B303&gt;CARROT_BED_CAP,AC$4&gt;MESCLUN_BED_CAP,$A303+$B303+AC$4&gt;TOTAL_BEDS_AVAILABLE,($D303+AC$5)&gt;TOTAL_LABOR_HOURS_CAP,MAX(0,($D303+AC$5)-PERMANENT_FIELD_LABOR_HOURS)&gt;TEMP_HOURS_CAP),"",$C303+AC$6-MIN(($D303+AC$5),PERMANENT_FIELD_LABOR_HOURS)*PERMANENT_HOURLY_RATE-MAX(0,($D303+AC$5)-PERMANENT_FIELD_LABOR_HOURS)*TEMP_HOURLY_RATE-FIXED_SEASON_COST)</f>
        <v>14386.4416000276</v>
      </c>
      <c r="AD303" s="53" t="n">
        <f aca="false">IF(OR($A303&gt;TOMATO_BED_CAP,$B303&gt;CARROT_BED_CAP,AD$4&gt;MESCLUN_BED_CAP,$A303+$B303+AD$4&gt;TOTAL_BEDS_AVAILABLE,($D303+AD$5)&gt;TOTAL_LABOR_HOURS_CAP,MAX(0,($D303+AD$5)-PERMANENT_FIELD_LABOR_HOURS)&gt;TEMP_HOURS_CAP),"",$C303+AD$6-MIN(($D303+AD$5),PERMANENT_FIELD_LABOR_HOURS)*PERMANENT_HOURLY_RATE-MAX(0,($D303+AD$5)-PERMANENT_FIELD_LABOR_HOURS)*TEMP_HOURLY_RATE-FIXED_SEASON_COST)</f>
        <v>14855.0185553276</v>
      </c>
      <c r="AE303" s="53" t="n">
        <f aca="false">IF(OR($A303&gt;TOMATO_BED_CAP,$B303&gt;CARROT_BED_CAP,AE$4&gt;MESCLUN_BED_CAP,$A303+$B303+AE$4&gt;TOTAL_BEDS_AVAILABLE,($D303+AE$5)&gt;TOTAL_LABOR_HOURS_CAP,MAX(0,($D303+AE$5)-PERMANENT_FIELD_LABOR_HOURS)&gt;TEMP_HOURS_CAP),"",$C303+AE$6-MIN(($D303+AE$5),PERMANENT_FIELD_LABOR_HOURS)*PERMANENT_HOURLY_RATE-MAX(0,($D303+AE$5)-PERMANENT_FIELD_LABOR_HOURS)*TEMP_HOURLY_RATE-FIXED_SEASON_COST)</f>
        <v>15293.5458395615</v>
      </c>
      <c r="AF303" s="53" t="n">
        <f aca="false">IF(OR($A303&gt;TOMATO_BED_CAP,$B303&gt;CARROT_BED_CAP,AF$4&gt;MESCLUN_BED_CAP,$A303+$B303+AF$4&gt;TOTAL_BEDS_AVAILABLE,($D303+AF$5)&gt;TOTAL_LABOR_HOURS_CAP,MAX(0,($D303+AF$5)-PERMANENT_FIELD_LABOR_HOURS)&gt;TEMP_HOURS_CAP),"",$C303+AF$6-MIN(($D303+AF$5),PERMANENT_FIELD_LABOR_HOURS)*PERMANENT_HOURLY_RATE-MAX(0,($D303+AF$5)-PERMANENT_FIELD_LABOR_HOURS)*TEMP_HOURLY_RATE-FIXED_SEASON_COST)</f>
        <v>15701.4833708034</v>
      </c>
      <c r="AG303" s="53" t="str">
        <f aca="false">IF(OR($A303&gt;TOMATO_BED_CAP,$B303&gt;CARROT_BED_CAP,AG$4&gt;MESCLUN_BED_CAP,$A303+$B303+AG$4&gt;TOTAL_BEDS_AVAILABLE,($D303+AG$5)&gt;TOTAL_LABOR_HOURS_CAP,MAX(0,($D303+AG$5)-PERMANENT_FIELD_LABOR_HOURS)&gt;TEMP_HOURS_CAP),"",$C303+AG$6-MIN(($D303+AG$5),PERMANENT_FIELD_LABOR_HOURS)*PERMANENT_HOURLY_RATE-MAX(0,($D303+AG$5)-PERMANENT_FIELD_LABOR_HOURS)*TEMP_HOURLY_RATE-FIXED_SEASON_COST)</f>
        <v/>
      </c>
      <c r="AH303" s="53" t="str">
        <f aca="false">IF(OR($A303&gt;TOMATO_BED_CAP,$B303&gt;CARROT_BED_CAP,AH$4&gt;MESCLUN_BED_CAP,$A303+$B303+AH$4&gt;TOTAL_BEDS_AVAILABLE,($D303+AH$5)&gt;TOTAL_LABOR_HOURS_CAP,MAX(0,($D303+AH$5)-PERMANENT_FIELD_LABOR_HOURS)&gt;TEMP_HOURS_CAP),"",$C303+AH$6-MIN(($D303+AH$5),PERMANENT_FIELD_LABOR_HOURS)*PERMANENT_HOURLY_RATE-MAX(0,($D303+AH$5)-PERMANENT_FIELD_LABOR_HOURS)*TEMP_HOURLY_RATE-FIXED_SEASON_COST)</f>
        <v/>
      </c>
      <c r="AI303" s="53" t="str">
        <f aca="false">IF(OR($A303&gt;TOMATO_BED_CAP,$B303&gt;CARROT_BED_CAP,AI$4&gt;MESCLUN_BED_CAP,$A303+$B303+AI$4&gt;TOTAL_BEDS_AVAILABLE,($D303+AI$5)&gt;TOTAL_LABOR_HOURS_CAP,MAX(0,($D303+AI$5)-PERMANENT_FIELD_LABOR_HOURS)&gt;TEMP_HOURS_CAP),"",$C303+AI$6-MIN(($D303+AI$5),PERMANENT_FIELD_LABOR_HOURS)*PERMANENT_HOURLY_RATE-MAX(0,($D303+AI$5)-PERMANENT_FIELD_LABOR_HOURS)*TEMP_HOURLY_RATE-FIXED_SEASON_COST)</f>
        <v/>
      </c>
      <c r="AJ303" s="53" t="str">
        <f aca="false">IF(OR($A303&gt;TOMATO_BED_CAP,$B303&gt;CARROT_BED_CAP,AJ$4&gt;MESCLUN_BED_CAP,$A303+$B303+AJ$4&gt;TOTAL_BEDS_AVAILABLE,($D303+AJ$5)&gt;TOTAL_LABOR_HOURS_CAP,MAX(0,($D303+AJ$5)-PERMANENT_FIELD_LABOR_HOURS)&gt;TEMP_HOURS_CAP),"",$C303+AJ$6-MIN(($D303+AJ$5),PERMANENT_FIELD_LABOR_HOURS)*PERMANENT_HOURLY_RATE-MAX(0,($D303+AJ$5)-PERMANENT_FIELD_LABOR_HOURS)*TEMP_HOURLY_RATE-FIXED_SEASON_COST)</f>
        <v/>
      </c>
    </row>
    <row r="304" customFormat="false" ht="15" hidden="false" customHeight="false" outlineLevel="0" collapsed="false">
      <c r="A304" s="21" t="n">
        <f aca="false">INT((ROW()-ROW($A$8))/(20+1))</f>
        <v>14</v>
      </c>
      <c r="B304" s="21" t="n">
        <f aca="false">MOD(ROW()-ROW($A$8),20+1)</f>
        <v>2</v>
      </c>
      <c r="C304" s="13" t="n">
        <f aca="false">A304*(TOMATO_REVENUE_PER_BED-TOMATO_FERTILIZER_PER_BED)+B304*(CARROT_REVENUE_PER_BED-CARROT_FERTILIZER_PER_BED)</f>
        <v>114188</v>
      </c>
      <c r="D304" s="14" t="n">
        <f aca="false">INDEX(TOMATO_SCHED_LABOR_HRS,A304+1)+INDEX(CARROT_SCHED_LABOR_HRS,B304+1)</f>
        <v>4847.86018814884</v>
      </c>
      <c r="E304" s="13" t="n">
        <f aca="false">IF(COUNT(F304:AJ304)=0,"",MAX(F304:AJ304))</f>
        <v>16795.1965752034</v>
      </c>
      <c r="F304" s="53" t="n">
        <f aca="false">IF(OR($A304&gt;TOMATO_BED_CAP,$B304&gt;CARROT_BED_CAP,F$4&gt;MESCLUN_BED_CAP,$A304+$B304+F$4&gt;TOTAL_BEDS_AVAILABLE,($D304+F$5)&gt;TOTAL_LABOR_HOURS_CAP,MAX(0,($D304+F$5)-PERMANENT_FIELD_LABOR_HOURS)&gt;TEMP_HOURS_CAP),"",$C304+F$6-MIN(($D304+F$5),PERMANENT_FIELD_LABOR_HOURS)*PERMANENT_HOURLY_RATE-MAX(0,($D304+F$5)-PERMANENT_FIELD_LABOR_HOURS)*TEMP_HOURLY_RATE-FIXED_SEASON_COST)</f>
        <v>-2470.0528662639</v>
      </c>
      <c r="G304" s="53" t="n">
        <f aca="false">IF(OR($A304&gt;TOMATO_BED_CAP,$B304&gt;CARROT_BED_CAP,G$4&gt;MESCLUN_BED_CAP,$A304+$B304+G$4&gt;TOTAL_BEDS_AVAILABLE,($D304+G$5)&gt;TOTAL_LABOR_HOURS_CAP,MAX(0,($D304+G$5)-PERMANENT_FIELD_LABOR_HOURS)&gt;TEMP_HOURS_CAP),"",$C304+G$6-MIN(($D304+G$5),PERMANENT_FIELD_LABOR_HOURS)*PERMANENT_HOURLY_RATE-MAX(0,($D304+G$5)-PERMANENT_FIELD_LABOR_HOURS)*TEMP_HOURLY_RATE-FIXED_SEASON_COST)</f>
        <v>-1441.01786626389</v>
      </c>
      <c r="H304" s="53" t="n">
        <f aca="false">IF(OR($A304&gt;TOMATO_BED_CAP,$B304&gt;CARROT_BED_CAP,H$4&gt;MESCLUN_BED_CAP,$A304+$B304+H$4&gt;TOTAL_BEDS_AVAILABLE,($D304+H$5)&gt;TOTAL_LABOR_HOURS_CAP,MAX(0,($D304+H$5)-PERMANENT_FIELD_LABOR_HOURS)&gt;TEMP_HOURS_CAP),"",$C304+H$6-MIN(($D304+H$5),PERMANENT_FIELD_LABOR_HOURS)*PERMANENT_HOURLY_RATE-MAX(0,($D304+H$5)-PERMANENT_FIELD_LABOR_HOURS)*TEMP_HOURLY_RATE-FIXED_SEASON_COST)</f>
        <v>-431.756991263901</v>
      </c>
      <c r="I304" s="53" t="n">
        <f aca="false">IF(OR($A304&gt;TOMATO_BED_CAP,$B304&gt;CARROT_BED_CAP,I$4&gt;MESCLUN_BED_CAP,$A304+$B304+I$4&gt;TOTAL_BEDS_AVAILABLE,($D304+I$5)&gt;TOTAL_LABOR_HOURS_CAP,MAX(0,($D304+I$5)-PERMANENT_FIELD_LABOR_HOURS)&gt;TEMP_HOURS_CAP),"",$C304+I$6-MIN(($D304+I$5),PERMANENT_FIELD_LABOR_HOURS)*PERMANENT_HOURLY_RATE-MAX(0,($D304+I$5)-PERMANENT_FIELD_LABOR_HOURS)*TEMP_HOURLY_RATE-FIXED_SEASON_COST)</f>
        <v>557.358993892354</v>
      </c>
      <c r="J304" s="53" t="n">
        <f aca="false">IF(OR($A304&gt;TOMATO_BED_CAP,$B304&gt;CARROT_BED_CAP,J$4&gt;MESCLUN_BED_CAP,$A304+$B304+J$4&gt;TOTAL_BEDS_AVAILABLE,($D304+J$5)&gt;TOTAL_LABOR_HOURS_CAP,MAX(0,($D304+J$5)-PERMANENT_FIELD_LABOR_HOURS)&gt;TEMP_HOURS_CAP),"",$C304+J$6-MIN(($D304+J$5),PERMANENT_FIELD_LABOR_HOURS)*PERMANENT_HOURLY_RATE-MAX(0,($D304+J$5)-PERMANENT_FIELD_LABOR_HOURS)*TEMP_HOURLY_RATE-FIXED_SEASON_COST)</f>
        <v>1525.95314494705</v>
      </c>
      <c r="K304" s="53" t="n">
        <f aca="false">IF(OR($A304&gt;TOMATO_BED_CAP,$B304&gt;CARROT_BED_CAP,K$4&gt;MESCLUN_BED_CAP,$A304+$B304+K$4&gt;TOTAL_BEDS_AVAILABLE,($D304+K$5)&gt;TOTAL_LABOR_HOURS_CAP,MAX(0,($D304+K$5)-PERMANENT_FIELD_LABOR_HOURS)&gt;TEMP_HOURS_CAP),"",$C304+K$6-MIN(($D304+K$5),PERMANENT_FIELD_LABOR_HOURS)*PERMANENT_HOURLY_RATE-MAX(0,($D304+K$5)-PERMANENT_FIELD_LABOR_HOURS)*TEMP_HOURLY_RATE-FIXED_SEASON_COST)</f>
        <v>2473.64224167496</v>
      </c>
      <c r="L304" s="53" t="n">
        <f aca="false">IF(OR($A304&gt;TOMATO_BED_CAP,$B304&gt;CARROT_BED_CAP,L$4&gt;MESCLUN_BED_CAP,$A304+$B304+L$4&gt;TOTAL_BEDS_AVAILABLE,($D304+L$5)&gt;TOTAL_LABOR_HOURS_CAP,MAX(0,($D304+L$5)-PERMANENT_FIELD_LABOR_HOURS)&gt;TEMP_HOURS_CAP),"",$C304+L$6-MIN(($D304+L$5),PERMANENT_FIELD_LABOR_HOURS)*PERMANENT_HOURLY_RATE-MAX(0,($D304+L$5)-PERMANENT_FIELD_LABOR_HOURS)*TEMP_HOURLY_RATE-FIXED_SEASON_COST)</f>
        <v>3400.0366898818</v>
      </c>
      <c r="M304" s="53" t="n">
        <f aca="false">IF(OR($A304&gt;TOMATO_BED_CAP,$B304&gt;CARROT_BED_CAP,M$4&gt;MESCLUN_BED_CAP,$A304+$B304+M$4&gt;TOTAL_BEDS_AVAILABLE,($D304+M$5)&gt;TOTAL_LABOR_HOURS_CAP,MAX(0,($D304+M$5)-PERMANENT_FIELD_LABOR_HOURS)&gt;TEMP_HOURS_CAP),"",$C304+M$6-MIN(($D304+M$5),PERMANENT_FIELD_LABOR_HOURS)*PERMANENT_HOURLY_RATE-MAX(0,($D304+M$5)-PERMANENT_FIELD_LABOR_HOURS)*TEMP_HOURLY_RATE-FIXED_SEASON_COST)</f>
        <v>4304.74042193321</v>
      </c>
      <c r="N304" s="53" t="n">
        <f aca="false">IF(OR($A304&gt;TOMATO_BED_CAP,$B304&gt;CARROT_BED_CAP,N$4&gt;MESCLUN_BED_CAP,$A304+$B304+N$4&gt;TOTAL_BEDS_AVAILABLE,($D304+N$5)&gt;TOTAL_LABOR_HOURS_CAP,MAX(0,($D304+N$5)-PERMANENT_FIELD_LABOR_HOURS)&gt;TEMP_HOURS_CAP),"",$C304+N$6-MIN(($D304+N$5),PERMANENT_FIELD_LABOR_HOURS)*PERMANENT_HOURLY_RATE-MAX(0,($D304+N$5)-PERMANENT_FIELD_LABOR_HOURS)*TEMP_HOURLY_RATE-FIXED_SEASON_COST)</f>
        <v>5187.35079579277</v>
      </c>
      <c r="O304" s="53" t="n">
        <f aca="false">IF(OR($A304&gt;TOMATO_BED_CAP,$B304&gt;CARROT_BED_CAP,O$4&gt;MESCLUN_BED_CAP,$A304+$B304+O$4&gt;TOTAL_BEDS_AVAILABLE,($D304+O$5)&gt;TOTAL_LABOR_HOURS_CAP,MAX(0,($D304+O$5)-PERMANENT_FIELD_LABOR_HOURS)&gt;TEMP_HOURS_CAP),"",$C304+O$6-MIN(($D304+O$5),PERMANENT_FIELD_LABOR_HOURS)*PERMANENT_HOURLY_RATE-MAX(0,($D304+O$5)-PERMANENT_FIELD_LABOR_HOURS)*TEMP_HOURLY_RATE-FIXED_SEASON_COST)</f>
        <v>6047.45849254751</v>
      </c>
      <c r="P304" s="53" t="n">
        <f aca="false">IF(OR($A304&gt;TOMATO_BED_CAP,$B304&gt;CARROT_BED_CAP,P$4&gt;MESCLUN_BED_CAP,$A304+$B304+P$4&gt;TOTAL_BEDS_AVAILABLE,($D304+P$5)&gt;TOTAL_LABOR_HOURS_CAP,MAX(0,($D304+P$5)-PERMANENT_FIELD_LABOR_HOURS)&gt;TEMP_HOURS_CAP),"",$C304+P$6-MIN(($D304+P$5),PERMANENT_FIELD_LABOR_HOURS)*PERMANENT_HOURLY_RATE-MAX(0,($D304+P$5)-PERMANENT_FIELD_LABOR_HOURS)*TEMP_HOURLY_RATE-FIXED_SEASON_COST)</f>
        <v>6884.64741239893</v>
      </c>
      <c r="Q304" s="53" t="n">
        <f aca="false">IF(OR($A304&gt;TOMATO_BED_CAP,$B304&gt;CARROT_BED_CAP,Q$4&gt;MESCLUN_BED_CAP,$A304+$B304+Q$4&gt;TOTAL_BEDS_AVAILABLE,($D304+Q$5)&gt;TOTAL_LABOR_HOURS_CAP,MAX(0,($D304+Q$5)-PERMANENT_FIELD_LABOR_HOURS)&gt;TEMP_HOURS_CAP),"",$C304+Q$6-MIN(($D304+Q$5),PERMANENT_FIELD_LABOR_HOURS)*PERMANENT_HOURLY_RATE-MAX(0,($D304+Q$5)-PERMANENT_FIELD_LABOR_HOURS)*TEMP_HOURLY_RATE-FIXED_SEASON_COST)</f>
        <v>7698.49456909683</v>
      </c>
      <c r="R304" s="53" t="n">
        <f aca="false">IF(OR($A304&gt;TOMATO_BED_CAP,$B304&gt;CARROT_BED_CAP,R$4&gt;MESCLUN_BED_CAP,$A304+$B304+R$4&gt;TOTAL_BEDS_AVAILABLE,($D304+R$5)&gt;TOTAL_LABOR_HOURS_CAP,MAX(0,($D304+R$5)-PERMANENT_FIELD_LABOR_HOURS)&gt;TEMP_HOURS_CAP),"",$C304+R$6-MIN(($D304+R$5),PERMANENT_FIELD_LABOR_HOURS)*PERMANENT_HOURLY_RATE-MAX(0,($D304+R$5)-PERMANENT_FIELD_LABOR_HOURS)*TEMP_HOURLY_RATE-FIXED_SEASON_COST)</f>
        <v>8488.56998279363</v>
      </c>
      <c r="S304" s="53" t="n">
        <f aca="false">IF(OR($A304&gt;TOMATO_BED_CAP,$B304&gt;CARROT_BED_CAP,S$4&gt;MESCLUN_BED_CAP,$A304+$B304+S$4&gt;TOTAL_BEDS_AVAILABLE,($D304+S$5)&gt;TOTAL_LABOR_HOURS_CAP,MAX(0,($D304+S$5)-PERMANENT_FIELD_LABOR_HOURS)&gt;TEMP_HOURS_CAP),"",$C304+S$6-MIN(($D304+S$5),PERMANENT_FIELD_LABOR_HOURS)*PERMANENT_HOURLY_RATE-MAX(0,($D304+S$5)-PERMANENT_FIELD_LABOR_HOURS)*TEMP_HOURLY_RATE-FIXED_SEASON_COST)</f>
        <v>9254.43657129609</v>
      </c>
      <c r="T304" s="53" t="n">
        <f aca="false">IF(OR($A304&gt;TOMATO_BED_CAP,$B304&gt;CARROT_BED_CAP,T$4&gt;MESCLUN_BED_CAP,$A304+$B304+T$4&gt;TOTAL_BEDS_AVAILABLE,($D304+T$5)&gt;TOTAL_LABOR_HOURS_CAP,MAX(0,($D304+T$5)-PERMANENT_FIELD_LABOR_HOURS)&gt;TEMP_HOURS_CAP),"",$C304+T$6-MIN(($D304+T$5),PERMANENT_FIELD_LABOR_HOURS)*PERMANENT_HOURLY_RATE-MAX(0,($D304+T$5)-PERMANENT_FIELD_LABOR_HOURS)*TEMP_HOURLY_RATE-FIXED_SEASON_COST)</f>
        <v>9995.65003969094</v>
      </c>
      <c r="U304" s="53" t="n">
        <f aca="false">IF(OR($A304&gt;TOMATO_BED_CAP,$B304&gt;CARROT_BED_CAP,U$4&gt;MESCLUN_BED_CAP,$A304+$B304+U$4&gt;TOTAL_BEDS_AVAILABLE,($D304+U$5)&gt;TOTAL_LABOR_HOURS_CAP,MAX(0,($D304+U$5)-PERMANENT_FIELD_LABOR_HOURS)&gt;TEMP_HOURS_CAP),"",$C304+U$6-MIN(($D304+U$5),PERMANENT_FIELD_LABOR_HOURS)*PERMANENT_HOURLY_RATE-MAX(0,($D304+U$5)-PERMANENT_FIELD_LABOR_HOURS)*TEMP_HOURLY_RATE-FIXED_SEASON_COST)</f>
        <v>10711.758768321</v>
      </c>
      <c r="V304" s="53" t="n">
        <f aca="false">IF(OR($A304&gt;TOMATO_BED_CAP,$B304&gt;CARROT_BED_CAP,V$4&gt;MESCLUN_BED_CAP,$A304+$B304+V$4&gt;TOTAL_BEDS_AVAILABLE,($D304+V$5)&gt;TOTAL_LABOR_HOURS_CAP,MAX(0,($D304+V$5)-PERMANENT_FIELD_LABOR_HOURS)&gt;TEMP_HOURS_CAP),"",$C304+V$6-MIN(($D304+V$5),PERMANENT_FIELD_LABOR_HOURS)*PERMANENT_HOURLY_RATE-MAX(0,($D304+V$5)-PERMANENT_FIELD_LABOR_HOURS)*TEMP_HOURLY_RATE-FIXED_SEASON_COST)</f>
        <v>11402.3036990878</v>
      </c>
      <c r="W304" s="53" t="n">
        <f aca="false">IF(OR($A304&gt;TOMATO_BED_CAP,$B304&gt;CARROT_BED_CAP,W$4&gt;MESCLUN_BED_CAP,$A304+$B304+W$4&gt;TOTAL_BEDS_AVAILABLE,($D304+W$5)&gt;TOTAL_LABOR_HOURS_CAP,MAX(0,($D304+W$5)-PERMANENT_FIELD_LABOR_HOURS)&gt;TEMP_HOURS_CAP),"",$C304+W$6-MIN(($D304+W$5),PERMANENT_FIELD_LABOR_HOURS)*PERMANENT_HOURLY_RATE-MAX(0,($D304+W$5)-PERMANENT_FIELD_LABOR_HOURS)*TEMP_HOURLY_RATE-FIXED_SEASON_COST)</f>
        <v>12066.8182200559</v>
      </c>
      <c r="X304" s="53" t="n">
        <f aca="false">IF(OR($A304&gt;TOMATO_BED_CAP,$B304&gt;CARROT_BED_CAP,X$4&gt;MESCLUN_BED_CAP,$A304+$B304+X$4&gt;TOTAL_BEDS_AVAILABLE,($D304+X$5)&gt;TOTAL_LABOR_HOURS_CAP,MAX(0,($D304+X$5)-PERMANENT_FIELD_LABOR_HOURS)&gt;TEMP_HOURS_CAP),"",$C304+X$6-MIN(($D304+X$5),PERMANENT_FIELD_LABOR_HOURS)*PERMANENT_HOURLY_RATE-MAX(0,($D304+X$5)-PERMANENT_FIELD_LABOR_HOURS)*TEMP_HOURLY_RATE-FIXED_SEASON_COST)</f>
        <v>12704.8280483348</v>
      </c>
      <c r="Y304" s="53" t="n">
        <f aca="false">IF(OR($A304&gt;TOMATO_BED_CAP,$B304&gt;CARROT_BED_CAP,Y$4&gt;MESCLUN_BED_CAP,$A304+$B304+Y$4&gt;TOTAL_BEDS_AVAILABLE,($D304+Y$5)&gt;TOTAL_LABOR_HOURS_CAP,MAX(0,($D304+Y$5)-PERMANENT_FIELD_LABOR_HOURS)&gt;TEMP_HOURS_CAP),"",$C304+Y$6-MIN(($D304+Y$5),PERMANENT_FIELD_LABOR_HOURS)*PERMANENT_HOURLY_RATE-MAX(0,($D304+Y$5)-PERMANENT_FIELD_LABOR_HOURS)*TEMP_HOURLY_RATE-FIXED_SEASON_COST)</f>
        <v>13315.8511112135</v>
      </c>
      <c r="Z304" s="53" t="n">
        <f aca="false">IF(OR($A304&gt;TOMATO_BED_CAP,$B304&gt;CARROT_BED_CAP,Z$4&gt;MESCLUN_BED_CAP,$A304+$B304+Z$4&gt;TOTAL_BEDS_AVAILABLE,($D304+Z$5)&gt;TOTAL_LABOR_HOURS_CAP,MAX(0,($D304+Z$5)-PERMANENT_FIELD_LABOR_HOURS)&gt;TEMP_HOURS_CAP),"",$C304+Z$6-MIN(($D304+Z$5),PERMANENT_FIELD_LABOR_HOURS)*PERMANENT_HOURLY_RATE-MAX(0,($D304+Z$5)-PERMANENT_FIELD_LABOR_HOURS)*TEMP_HOURLY_RATE-FIXED_SEASON_COST)</f>
        <v>13899.3974255212</v>
      </c>
      <c r="AA304" s="53" t="n">
        <f aca="false">IF(OR($A304&gt;TOMATO_BED_CAP,$B304&gt;CARROT_BED_CAP,AA$4&gt;MESCLUN_BED_CAP,$A304+$B304+AA$4&gt;TOTAL_BEDS_AVAILABLE,($D304+AA$5)&gt;TOTAL_LABOR_HOURS_CAP,MAX(0,($D304+AA$5)-PERMANENT_FIELD_LABOR_HOURS)&gt;TEMP_HOURS_CAP),"",$C304+AA$6-MIN(($D304+AA$5),PERMANENT_FIELD_LABOR_HOURS)*PERMANENT_HOURLY_RATE-MAX(0,($D304+AA$5)-PERMANENT_FIELD_LABOR_HOURS)*TEMP_HOURLY_RATE-FIXED_SEASON_COST)</f>
        <v>14454.9689751901</v>
      </c>
      <c r="AB304" s="53" t="n">
        <f aca="false">IF(OR($A304&gt;TOMATO_BED_CAP,$B304&gt;CARROT_BED_CAP,AB$4&gt;MESCLUN_BED_CAP,$A304+$B304+AB$4&gt;TOTAL_BEDS_AVAILABLE,($D304+AB$5)&gt;TOTAL_LABOR_HOURS_CAP,MAX(0,($D304+AB$5)-PERMANENT_FIELD_LABOR_HOURS)&gt;TEMP_HOURS_CAP),"",$C304+AB$6-MIN(($D304+AB$5),PERMANENT_FIELD_LABOR_HOURS)*PERMANENT_HOURLY_RATE-MAX(0,($D304+AB$5)-PERMANENT_FIELD_LABOR_HOURS)*TEMP_HOURLY_RATE-FIXED_SEASON_COST)</f>
        <v>14982.0595869927</v>
      </c>
      <c r="AC304" s="53" t="n">
        <f aca="false">IF(OR($A304&gt;TOMATO_BED_CAP,$B304&gt;CARROT_BED_CAP,AC$4&gt;MESCLUN_BED_CAP,$A304+$B304+AC$4&gt;TOTAL_BEDS_AVAILABLE,($D304+AC$5)&gt;TOTAL_LABOR_HOURS_CAP,MAX(0,($D304+AC$5)-PERMANENT_FIELD_LABOR_HOURS)&gt;TEMP_HOURS_CAP),"",$C304+AC$6-MIN(($D304+AC$5),PERMANENT_FIELD_LABOR_HOURS)*PERMANENT_HOURLY_RATE-MAX(0,($D304+AC$5)-PERMANENT_FIELD_LABOR_HOURS)*TEMP_HOURLY_RATE-FIXED_SEASON_COST)</f>
        <v>15480.1548044276</v>
      </c>
      <c r="AD304" s="53" t="n">
        <f aca="false">IF(OR($A304&gt;TOMATO_BED_CAP,$B304&gt;CARROT_BED_CAP,AD$4&gt;MESCLUN_BED_CAP,$A304+$B304+AD$4&gt;TOTAL_BEDS_AVAILABLE,($D304+AD$5)&gt;TOTAL_LABOR_HOURS_CAP,MAX(0,($D304+AD$5)-PERMANENT_FIELD_LABOR_HOURS)&gt;TEMP_HOURS_CAP),"",$C304+AD$6-MIN(($D304+AD$5),PERMANENT_FIELD_LABOR_HOURS)*PERMANENT_HOURLY_RATE-MAX(0,($D304+AD$5)-PERMANENT_FIELD_LABOR_HOURS)*TEMP_HOURLY_RATE-FIXED_SEASON_COST)</f>
        <v>15948.7317597276</v>
      </c>
      <c r="AE304" s="53" t="n">
        <f aca="false">IF(OR($A304&gt;TOMATO_BED_CAP,$B304&gt;CARROT_BED_CAP,AE$4&gt;MESCLUN_BED_CAP,$A304+$B304+AE$4&gt;TOTAL_BEDS_AVAILABLE,($D304+AE$5)&gt;TOTAL_LABOR_HOURS_CAP,MAX(0,($D304+AE$5)-PERMANENT_FIELD_LABOR_HOURS)&gt;TEMP_HOURS_CAP),"",$C304+AE$6-MIN(($D304+AE$5),PERMANENT_FIELD_LABOR_HOURS)*PERMANENT_HOURLY_RATE-MAX(0,($D304+AE$5)-PERMANENT_FIELD_LABOR_HOURS)*TEMP_HOURLY_RATE-FIXED_SEASON_COST)</f>
        <v>16387.2590439614</v>
      </c>
      <c r="AF304" s="53" t="n">
        <f aca="false">IF(OR($A304&gt;TOMATO_BED_CAP,$B304&gt;CARROT_BED_CAP,AF$4&gt;MESCLUN_BED_CAP,$A304+$B304+AF$4&gt;TOTAL_BEDS_AVAILABLE,($D304+AF$5)&gt;TOTAL_LABOR_HOURS_CAP,MAX(0,($D304+AF$5)-PERMANENT_FIELD_LABOR_HOURS)&gt;TEMP_HOURS_CAP),"",$C304+AF$6-MIN(($D304+AF$5),PERMANENT_FIELD_LABOR_HOURS)*PERMANENT_HOURLY_RATE-MAX(0,($D304+AF$5)-PERMANENT_FIELD_LABOR_HOURS)*TEMP_HOURLY_RATE-FIXED_SEASON_COST)</f>
        <v>16795.1965752034</v>
      </c>
      <c r="AG304" s="53" t="str">
        <f aca="false">IF(OR($A304&gt;TOMATO_BED_CAP,$B304&gt;CARROT_BED_CAP,AG$4&gt;MESCLUN_BED_CAP,$A304+$B304+AG$4&gt;TOTAL_BEDS_AVAILABLE,($D304+AG$5)&gt;TOTAL_LABOR_HOURS_CAP,MAX(0,($D304+AG$5)-PERMANENT_FIELD_LABOR_HOURS)&gt;TEMP_HOURS_CAP),"",$C304+AG$6-MIN(($D304+AG$5),PERMANENT_FIELD_LABOR_HOURS)*PERMANENT_HOURLY_RATE-MAX(0,($D304+AG$5)-PERMANENT_FIELD_LABOR_HOURS)*TEMP_HOURLY_RATE-FIXED_SEASON_COST)</f>
        <v/>
      </c>
      <c r="AH304" s="53" t="str">
        <f aca="false">IF(OR($A304&gt;TOMATO_BED_CAP,$B304&gt;CARROT_BED_CAP,AH$4&gt;MESCLUN_BED_CAP,$A304+$B304+AH$4&gt;TOTAL_BEDS_AVAILABLE,($D304+AH$5)&gt;TOTAL_LABOR_HOURS_CAP,MAX(0,($D304+AH$5)-PERMANENT_FIELD_LABOR_HOURS)&gt;TEMP_HOURS_CAP),"",$C304+AH$6-MIN(($D304+AH$5),PERMANENT_FIELD_LABOR_HOURS)*PERMANENT_HOURLY_RATE-MAX(0,($D304+AH$5)-PERMANENT_FIELD_LABOR_HOURS)*TEMP_HOURLY_RATE-FIXED_SEASON_COST)</f>
        <v/>
      </c>
      <c r="AI304" s="53" t="str">
        <f aca="false">IF(OR($A304&gt;TOMATO_BED_CAP,$B304&gt;CARROT_BED_CAP,AI$4&gt;MESCLUN_BED_CAP,$A304+$B304+AI$4&gt;TOTAL_BEDS_AVAILABLE,($D304+AI$5)&gt;TOTAL_LABOR_HOURS_CAP,MAX(0,($D304+AI$5)-PERMANENT_FIELD_LABOR_HOURS)&gt;TEMP_HOURS_CAP),"",$C304+AI$6-MIN(($D304+AI$5),PERMANENT_FIELD_LABOR_HOURS)*PERMANENT_HOURLY_RATE-MAX(0,($D304+AI$5)-PERMANENT_FIELD_LABOR_HOURS)*TEMP_HOURLY_RATE-FIXED_SEASON_COST)</f>
        <v/>
      </c>
      <c r="AJ304" s="53" t="str">
        <f aca="false">IF(OR($A304&gt;TOMATO_BED_CAP,$B304&gt;CARROT_BED_CAP,AJ$4&gt;MESCLUN_BED_CAP,$A304+$B304+AJ$4&gt;TOTAL_BEDS_AVAILABLE,($D304+AJ$5)&gt;TOTAL_LABOR_HOURS_CAP,MAX(0,($D304+AJ$5)-PERMANENT_FIELD_LABOR_HOURS)&gt;TEMP_HOURS_CAP),"",$C304+AJ$6-MIN(($D304+AJ$5),PERMANENT_FIELD_LABOR_HOURS)*PERMANENT_HOURLY_RATE-MAX(0,($D304+AJ$5)-PERMANENT_FIELD_LABOR_HOURS)*TEMP_HOURLY_RATE-FIXED_SEASON_COST)</f>
        <v/>
      </c>
    </row>
    <row r="305" customFormat="false" ht="15" hidden="false" customHeight="false" outlineLevel="0" collapsed="false">
      <c r="A305" s="21" t="n">
        <f aca="false">INT((ROW()-ROW($A$8))/(20+1))</f>
        <v>14</v>
      </c>
      <c r="B305" s="21" t="n">
        <f aca="false">MOD(ROW()-ROW($A$8),20+1)</f>
        <v>3</v>
      </c>
      <c r="C305" s="13" t="n">
        <f aca="false">A305*(TOMATO_REVENUE_PER_BED-TOMATO_FERTILIZER_PER_BED)+B305*(CARROT_REVENUE_PER_BED-CARROT_FERTILIZER_PER_BED)</f>
        <v>115842</v>
      </c>
      <c r="D305" s="14" t="n">
        <f aca="false">INDEX(TOMATO_SCHED_LABOR_HRS,A305+1)+INDEX(CARROT_SCHED_LABOR_HRS,B305+1)</f>
        <v>4881.72929133634</v>
      </c>
      <c r="E305" s="13" t="n">
        <f aca="false">IF(COUNT(F305:AJ305)=0,"",MAX(F305:AJ305))</f>
        <v>17453.2914126264</v>
      </c>
      <c r="F305" s="53" t="n">
        <f aca="false">IF(OR($A305&gt;TOMATO_BED_CAP,$B305&gt;CARROT_BED_CAP,F$4&gt;MESCLUN_BED_CAP,$A305+$B305+F$4&gt;TOTAL_BEDS_AVAILABLE,($D305+F$5)&gt;TOTAL_LABOR_HOURS_CAP,MAX(0,($D305+F$5)-PERMANENT_FIELD_LABOR_HOURS)&gt;TEMP_HOURS_CAP),"",$C305+F$6-MIN(($D305+F$5),PERMANENT_FIELD_LABOR_HOURS)*PERMANENT_HOURLY_RATE-MAX(0,($D305+F$5)-PERMANENT_FIELD_LABOR_HOURS)*TEMP_HOURLY_RATE-FIXED_SEASON_COST)</f>
        <v>-1404.0204975989</v>
      </c>
      <c r="G305" s="53" t="n">
        <f aca="false">IF(OR($A305&gt;TOMATO_BED_CAP,$B305&gt;CARROT_BED_CAP,G$4&gt;MESCLUN_BED_CAP,$A305+$B305+G$4&gt;TOTAL_BEDS_AVAILABLE,($D305+G$5)&gt;TOTAL_LABOR_HOURS_CAP,MAX(0,($D305+G$5)-PERMANENT_FIELD_LABOR_HOURS)&gt;TEMP_HOURS_CAP),"",$C305+G$6-MIN(($D305+G$5),PERMANENT_FIELD_LABOR_HOURS)*PERMANENT_HOURLY_RATE-MAX(0,($D305+G$5)-PERMANENT_FIELD_LABOR_HOURS)*TEMP_HOURLY_RATE-FIXED_SEASON_COST)</f>
        <v>-374.9854975989</v>
      </c>
      <c r="H305" s="53" t="n">
        <f aca="false">IF(OR($A305&gt;TOMATO_BED_CAP,$B305&gt;CARROT_BED_CAP,H$4&gt;MESCLUN_BED_CAP,$A305+$B305+H$4&gt;TOTAL_BEDS_AVAILABLE,($D305+H$5)&gt;TOTAL_LABOR_HOURS_CAP,MAX(0,($D305+H$5)-PERMANENT_FIELD_LABOR_HOURS)&gt;TEMP_HOURS_CAP),"",$C305+H$6-MIN(($D305+H$5),PERMANENT_FIELD_LABOR_HOURS)*PERMANENT_HOURLY_RATE-MAX(0,($D305+H$5)-PERMANENT_FIELD_LABOR_HOURS)*TEMP_HOURLY_RATE-FIXED_SEASON_COST)</f>
        <v>634.275377401093</v>
      </c>
      <c r="I305" s="53" t="n">
        <f aca="false">IF(OR($A305&gt;TOMATO_BED_CAP,$B305&gt;CARROT_BED_CAP,I$4&gt;MESCLUN_BED_CAP,$A305+$B305+I$4&gt;TOTAL_BEDS_AVAILABLE,($D305+I$5)&gt;TOTAL_LABOR_HOURS_CAP,MAX(0,($D305+I$5)-PERMANENT_FIELD_LABOR_HOURS)&gt;TEMP_HOURS_CAP),"",$C305+I$6-MIN(($D305+I$5),PERMANENT_FIELD_LABOR_HOURS)*PERMANENT_HOURLY_RATE-MAX(0,($D305+I$5)-PERMANENT_FIELD_LABOR_HOURS)*TEMP_HOURLY_RATE-FIXED_SEASON_COST)</f>
        <v>1623.39136255735</v>
      </c>
      <c r="J305" s="53" t="n">
        <f aca="false">IF(OR($A305&gt;TOMATO_BED_CAP,$B305&gt;CARROT_BED_CAP,J$4&gt;MESCLUN_BED_CAP,$A305+$B305+J$4&gt;TOTAL_BEDS_AVAILABLE,($D305+J$5)&gt;TOTAL_LABOR_HOURS_CAP,MAX(0,($D305+J$5)-PERMANENT_FIELD_LABOR_HOURS)&gt;TEMP_HOURS_CAP),"",$C305+J$6-MIN(($D305+J$5),PERMANENT_FIELD_LABOR_HOURS)*PERMANENT_HOURLY_RATE-MAX(0,($D305+J$5)-PERMANENT_FIELD_LABOR_HOURS)*TEMP_HOURLY_RATE-FIXED_SEASON_COST)</f>
        <v>2591.98551361203</v>
      </c>
      <c r="K305" s="53" t="n">
        <f aca="false">IF(OR($A305&gt;TOMATO_BED_CAP,$B305&gt;CARROT_BED_CAP,K$4&gt;MESCLUN_BED_CAP,$A305+$B305+K$4&gt;TOTAL_BEDS_AVAILABLE,($D305+K$5)&gt;TOTAL_LABOR_HOURS_CAP,MAX(0,($D305+K$5)-PERMANENT_FIELD_LABOR_HOURS)&gt;TEMP_HOURS_CAP),"",$C305+K$6-MIN(($D305+K$5),PERMANENT_FIELD_LABOR_HOURS)*PERMANENT_HOURLY_RATE-MAX(0,($D305+K$5)-PERMANENT_FIELD_LABOR_HOURS)*TEMP_HOURLY_RATE-FIXED_SEASON_COST)</f>
        <v>3539.67461033995</v>
      </c>
      <c r="L305" s="53" t="n">
        <f aca="false">IF(OR($A305&gt;TOMATO_BED_CAP,$B305&gt;CARROT_BED_CAP,L$4&gt;MESCLUN_BED_CAP,$A305+$B305+L$4&gt;TOTAL_BEDS_AVAILABLE,($D305+L$5)&gt;TOTAL_LABOR_HOURS_CAP,MAX(0,($D305+L$5)-PERMANENT_FIELD_LABOR_HOURS)&gt;TEMP_HOURS_CAP),"",$C305+L$6-MIN(($D305+L$5),PERMANENT_FIELD_LABOR_HOURS)*PERMANENT_HOURLY_RATE-MAX(0,($D305+L$5)-PERMANENT_FIELD_LABOR_HOURS)*TEMP_HOURLY_RATE-FIXED_SEASON_COST)</f>
        <v>4466.0690585468</v>
      </c>
      <c r="M305" s="53" t="n">
        <f aca="false">IF(OR($A305&gt;TOMATO_BED_CAP,$B305&gt;CARROT_BED_CAP,M$4&gt;MESCLUN_BED_CAP,$A305+$B305+M$4&gt;TOTAL_BEDS_AVAILABLE,($D305+M$5)&gt;TOTAL_LABOR_HOURS_CAP,MAX(0,($D305+M$5)-PERMANENT_FIELD_LABOR_HOURS)&gt;TEMP_HOURS_CAP),"",$C305+M$6-MIN(($D305+M$5),PERMANENT_FIELD_LABOR_HOURS)*PERMANENT_HOURLY_RATE-MAX(0,($D305+M$5)-PERMANENT_FIELD_LABOR_HOURS)*TEMP_HOURLY_RATE-FIXED_SEASON_COST)</f>
        <v>5370.7727905982</v>
      </c>
      <c r="N305" s="53" t="n">
        <f aca="false">IF(OR($A305&gt;TOMATO_BED_CAP,$B305&gt;CARROT_BED_CAP,N$4&gt;MESCLUN_BED_CAP,$A305+$B305+N$4&gt;TOTAL_BEDS_AVAILABLE,($D305+N$5)&gt;TOTAL_LABOR_HOURS_CAP,MAX(0,($D305+N$5)-PERMANENT_FIELD_LABOR_HOURS)&gt;TEMP_HOURS_CAP),"",$C305+N$6-MIN(($D305+N$5),PERMANENT_FIELD_LABOR_HOURS)*PERMANENT_HOURLY_RATE-MAX(0,($D305+N$5)-PERMANENT_FIELD_LABOR_HOURS)*TEMP_HOURLY_RATE-FIXED_SEASON_COST)</f>
        <v>6253.38316445774</v>
      </c>
      <c r="O305" s="53" t="n">
        <f aca="false">IF(OR($A305&gt;TOMATO_BED_CAP,$B305&gt;CARROT_BED_CAP,O$4&gt;MESCLUN_BED_CAP,$A305+$B305+O$4&gt;TOTAL_BEDS_AVAILABLE,($D305+O$5)&gt;TOTAL_LABOR_HOURS_CAP,MAX(0,($D305+O$5)-PERMANENT_FIELD_LABOR_HOURS)&gt;TEMP_HOURS_CAP),"",$C305+O$6-MIN(($D305+O$5),PERMANENT_FIELD_LABOR_HOURS)*PERMANENT_HOURLY_RATE-MAX(0,($D305+O$5)-PERMANENT_FIELD_LABOR_HOURS)*TEMP_HOURLY_RATE-FIXED_SEASON_COST)</f>
        <v>7113.4908612125</v>
      </c>
      <c r="P305" s="53" t="n">
        <f aca="false">IF(OR($A305&gt;TOMATO_BED_CAP,$B305&gt;CARROT_BED_CAP,P$4&gt;MESCLUN_BED_CAP,$A305+$B305+P$4&gt;TOTAL_BEDS_AVAILABLE,($D305+P$5)&gt;TOTAL_LABOR_HOURS_CAP,MAX(0,($D305+P$5)-PERMANENT_FIELD_LABOR_HOURS)&gt;TEMP_HOURS_CAP),"",$C305+P$6-MIN(($D305+P$5),PERMANENT_FIELD_LABOR_HOURS)*PERMANENT_HOURLY_RATE-MAX(0,($D305+P$5)-PERMANENT_FIELD_LABOR_HOURS)*TEMP_HOURLY_RATE-FIXED_SEASON_COST)</f>
        <v>7950.67978106393</v>
      </c>
      <c r="Q305" s="53" t="n">
        <f aca="false">IF(OR($A305&gt;TOMATO_BED_CAP,$B305&gt;CARROT_BED_CAP,Q$4&gt;MESCLUN_BED_CAP,$A305+$B305+Q$4&gt;TOTAL_BEDS_AVAILABLE,($D305+Q$5)&gt;TOTAL_LABOR_HOURS_CAP,MAX(0,($D305+Q$5)-PERMANENT_FIELD_LABOR_HOURS)&gt;TEMP_HOURS_CAP),"",$C305+Q$6-MIN(($D305+Q$5),PERMANENT_FIELD_LABOR_HOURS)*PERMANENT_HOURLY_RATE-MAX(0,($D305+Q$5)-PERMANENT_FIELD_LABOR_HOURS)*TEMP_HOURLY_RATE-FIXED_SEASON_COST)</f>
        <v>8764.52693776182</v>
      </c>
      <c r="R305" s="53" t="n">
        <f aca="false">IF(OR($A305&gt;TOMATO_BED_CAP,$B305&gt;CARROT_BED_CAP,R$4&gt;MESCLUN_BED_CAP,$A305+$B305+R$4&gt;TOTAL_BEDS_AVAILABLE,($D305+R$5)&gt;TOTAL_LABOR_HOURS_CAP,MAX(0,($D305+R$5)-PERMANENT_FIELD_LABOR_HOURS)&gt;TEMP_HOURS_CAP),"",$C305+R$6-MIN(($D305+R$5),PERMANENT_FIELD_LABOR_HOURS)*PERMANENT_HOURLY_RATE-MAX(0,($D305+R$5)-PERMANENT_FIELD_LABOR_HOURS)*TEMP_HOURLY_RATE-FIXED_SEASON_COST)</f>
        <v>9554.60235145863</v>
      </c>
      <c r="S305" s="53" t="n">
        <f aca="false">IF(OR($A305&gt;TOMATO_BED_CAP,$B305&gt;CARROT_BED_CAP,S$4&gt;MESCLUN_BED_CAP,$A305+$B305+S$4&gt;TOTAL_BEDS_AVAILABLE,($D305+S$5)&gt;TOTAL_LABOR_HOURS_CAP,MAX(0,($D305+S$5)-PERMANENT_FIELD_LABOR_HOURS)&gt;TEMP_HOURS_CAP),"",$C305+S$6-MIN(($D305+S$5),PERMANENT_FIELD_LABOR_HOURS)*PERMANENT_HOURLY_RATE-MAX(0,($D305+S$5)-PERMANENT_FIELD_LABOR_HOURS)*TEMP_HOURLY_RATE-FIXED_SEASON_COST)</f>
        <v>10320.4689399611</v>
      </c>
      <c r="T305" s="53" t="n">
        <f aca="false">IF(OR($A305&gt;TOMATO_BED_CAP,$B305&gt;CARROT_BED_CAP,T$4&gt;MESCLUN_BED_CAP,$A305+$B305+T$4&gt;TOTAL_BEDS_AVAILABLE,($D305+T$5)&gt;TOTAL_LABOR_HOURS_CAP,MAX(0,($D305+T$5)-PERMANENT_FIELD_LABOR_HOURS)&gt;TEMP_HOURS_CAP),"",$C305+T$6-MIN(($D305+T$5),PERMANENT_FIELD_LABOR_HOURS)*PERMANENT_HOURLY_RATE-MAX(0,($D305+T$5)-PERMANENT_FIELD_LABOR_HOURS)*TEMP_HOURLY_RATE-FIXED_SEASON_COST)</f>
        <v>11061.6824083559</v>
      </c>
      <c r="U305" s="53" t="n">
        <f aca="false">IF(OR($A305&gt;TOMATO_BED_CAP,$B305&gt;CARROT_BED_CAP,U$4&gt;MESCLUN_BED_CAP,$A305+$B305+U$4&gt;TOTAL_BEDS_AVAILABLE,($D305+U$5)&gt;TOTAL_LABOR_HOURS_CAP,MAX(0,($D305+U$5)-PERMANENT_FIELD_LABOR_HOURS)&gt;TEMP_HOURS_CAP),"",$C305+U$6-MIN(($D305+U$5),PERMANENT_FIELD_LABOR_HOURS)*PERMANENT_HOURLY_RATE-MAX(0,($D305+U$5)-PERMANENT_FIELD_LABOR_HOURS)*TEMP_HOURLY_RATE-FIXED_SEASON_COST)</f>
        <v>11777.791136986</v>
      </c>
      <c r="V305" s="53" t="n">
        <f aca="false">IF(OR($A305&gt;TOMATO_BED_CAP,$B305&gt;CARROT_BED_CAP,V$4&gt;MESCLUN_BED_CAP,$A305+$B305+V$4&gt;TOTAL_BEDS_AVAILABLE,($D305+V$5)&gt;TOTAL_LABOR_HOURS_CAP,MAX(0,($D305+V$5)-PERMANENT_FIELD_LABOR_HOURS)&gt;TEMP_HOURS_CAP),"",$C305+V$6-MIN(($D305+V$5),PERMANENT_FIELD_LABOR_HOURS)*PERMANENT_HOURLY_RATE-MAX(0,($D305+V$5)-PERMANENT_FIELD_LABOR_HOURS)*TEMP_HOURLY_RATE-FIXED_SEASON_COST)</f>
        <v>12468.3360677528</v>
      </c>
      <c r="W305" s="53" t="n">
        <f aca="false">IF(OR($A305&gt;TOMATO_BED_CAP,$B305&gt;CARROT_BED_CAP,W$4&gt;MESCLUN_BED_CAP,$A305+$B305+W$4&gt;TOTAL_BEDS_AVAILABLE,($D305+W$5)&gt;TOTAL_LABOR_HOURS_CAP,MAX(0,($D305+W$5)-PERMANENT_FIELD_LABOR_HOURS)&gt;TEMP_HOURS_CAP),"",$C305+W$6-MIN(($D305+W$5),PERMANENT_FIELD_LABOR_HOURS)*PERMANENT_HOURLY_RATE-MAX(0,($D305+W$5)-PERMANENT_FIELD_LABOR_HOURS)*TEMP_HOURLY_RATE-FIXED_SEASON_COST)</f>
        <v>13132.8505887209</v>
      </c>
      <c r="X305" s="53" t="n">
        <f aca="false">IF(OR($A305&gt;TOMATO_BED_CAP,$B305&gt;CARROT_BED_CAP,X$4&gt;MESCLUN_BED_CAP,$A305+$B305+X$4&gt;TOTAL_BEDS_AVAILABLE,($D305+X$5)&gt;TOTAL_LABOR_HOURS_CAP,MAX(0,($D305+X$5)-PERMANENT_FIELD_LABOR_HOURS)&gt;TEMP_HOURS_CAP),"",$C305+X$6-MIN(($D305+X$5),PERMANENT_FIELD_LABOR_HOURS)*PERMANENT_HOURLY_RATE-MAX(0,($D305+X$5)-PERMANENT_FIELD_LABOR_HOURS)*TEMP_HOURLY_RATE-FIXED_SEASON_COST)</f>
        <v>13770.8604169998</v>
      </c>
      <c r="Y305" s="53" t="n">
        <f aca="false">IF(OR($A305&gt;TOMATO_BED_CAP,$B305&gt;CARROT_BED_CAP,Y$4&gt;MESCLUN_BED_CAP,$A305+$B305+Y$4&gt;TOTAL_BEDS_AVAILABLE,($D305+Y$5)&gt;TOTAL_LABOR_HOURS_CAP,MAX(0,($D305+Y$5)-PERMANENT_FIELD_LABOR_HOURS)&gt;TEMP_HOURS_CAP),"",$C305+Y$6-MIN(($D305+Y$5),PERMANENT_FIELD_LABOR_HOURS)*PERMANENT_HOURLY_RATE-MAX(0,($D305+Y$5)-PERMANENT_FIELD_LABOR_HOURS)*TEMP_HOURLY_RATE-FIXED_SEASON_COST)</f>
        <v>14381.8834798785</v>
      </c>
      <c r="Z305" s="53" t="n">
        <f aca="false">IF(OR($A305&gt;TOMATO_BED_CAP,$B305&gt;CARROT_BED_CAP,Z$4&gt;MESCLUN_BED_CAP,$A305+$B305+Z$4&gt;TOTAL_BEDS_AVAILABLE,($D305+Z$5)&gt;TOTAL_LABOR_HOURS_CAP,MAX(0,($D305+Z$5)-PERMANENT_FIELD_LABOR_HOURS)&gt;TEMP_HOURS_CAP),"",$C305+Z$6-MIN(($D305+Z$5),PERMANENT_FIELD_LABOR_HOURS)*PERMANENT_HOURLY_RATE-MAX(0,($D305+Z$5)-PERMANENT_FIELD_LABOR_HOURS)*TEMP_HOURLY_RATE-FIXED_SEASON_COST)</f>
        <v>14965.4297941862</v>
      </c>
      <c r="AA305" s="53" t="n">
        <f aca="false">IF(OR($A305&gt;TOMATO_BED_CAP,$B305&gt;CARROT_BED_CAP,AA$4&gt;MESCLUN_BED_CAP,$A305+$B305+AA$4&gt;TOTAL_BEDS_AVAILABLE,($D305+AA$5)&gt;TOTAL_LABOR_HOURS_CAP,MAX(0,($D305+AA$5)-PERMANENT_FIELD_LABOR_HOURS)&gt;TEMP_HOURS_CAP),"",$C305+AA$6-MIN(($D305+AA$5),PERMANENT_FIELD_LABOR_HOURS)*PERMANENT_HOURLY_RATE-MAX(0,($D305+AA$5)-PERMANENT_FIELD_LABOR_HOURS)*TEMP_HOURLY_RATE-FIXED_SEASON_COST)</f>
        <v>15521.0013438551</v>
      </c>
      <c r="AB305" s="53" t="n">
        <f aca="false">IF(OR($A305&gt;TOMATO_BED_CAP,$B305&gt;CARROT_BED_CAP,AB$4&gt;MESCLUN_BED_CAP,$A305+$B305+AB$4&gt;TOTAL_BEDS_AVAILABLE,($D305+AB$5)&gt;TOTAL_LABOR_HOURS_CAP,MAX(0,($D305+AB$5)-PERMANENT_FIELD_LABOR_HOURS)&gt;TEMP_HOURS_CAP),"",$C305+AB$6-MIN(($D305+AB$5),PERMANENT_FIELD_LABOR_HOURS)*PERMANENT_HOURLY_RATE-MAX(0,($D305+AB$5)-PERMANENT_FIELD_LABOR_HOURS)*TEMP_HOURLY_RATE-FIXED_SEASON_COST)</f>
        <v>16048.0919556577</v>
      </c>
      <c r="AC305" s="53" t="n">
        <f aca="false">IF(OR($A305&gt;TOMATO_BED_CAP,$B305&gt;CARROT_BED_CAP,AC$4&gt;MESCLUN_BED_CAP,$A305+$B305+AC$4&gt;TOTAL_BEDS_AVAILABLE,($D305+AC$5)&gt;TOTAL_LABOR_HOURS_CAP,MAX(0,($D305+AC$5)-PERMANENT_FIELD_LABOR_HOURS)&gt;TEMP_HOURS_CAP),"",$C305+AC$6-MIN(($D305+AC$5),PERMANENT_FIELD_LABOR_HOURS)*PERMANENT_HOURLY_RATE-MAX(0,($D305+AC$5)-PERMANENT_FIELD_LABOR_HOURS)*TEMP_HOURLY_RATE-FIXED_SEASON_COST)</f>
        <v>16546.1871730926</v>
      </c>
      <c r="AD305" s="53" t="n">
        <f aca="false">IF(OR($A305&gt;TOMATO_BED_CAP,$B305&gt;CARROT_BED_CAP,AD$4&gt;MESCLUN_BED_CAP,$A305+$B305+AD$4&gt;TOTAL_BEDS_AVAILABLE,($D305+AD$5)&gt;TOTAL_LABOR_HOURS_CAP,MAX(0,($D305+AD$5)-PERMANENT_FIELD_LABOR_HOURS)&gt;TEMP_HOURS_CAP),"",$C305+AD$6-MIN(($D305+AD$5),PERMANENT_FIELD_LABOR_HOURS)*PERMANENT_HOURLY_RATE-MAX(0,($D305+AD$5)-PERMANENT_FIELD_LABOR_HOURS)*TEMP_HOURLY_RATE-FIXED_SEASON_COST)</f>
        <v>17014.7641283925</v>
      </c>
      <c r="AE305" s="53" t="n">
        <f aca="false">IF(OR($A305&gt;TOMATO_BED_CAP,$B305&gt;CARROT_BED_CAP,AE$4&gt;MESCLUN_BED_CAP,$A305+$B305+AE$4&gt;TOTAL_BEDS_AVAILABLE,($D305+AE$5)&gt;TOTAL_LABOR_HOURS_CAP,MAX(0,($D305+AE$5)-PERMANENT_FIELD_LABOR_HOURS)&gt;TEMP_HOURS_CAP),"",$C305+AE$6-MIN(($D305+AE$5),PERMANENT_FIELD_LABOR_HOURS)*PERMANENT_HOURLY_RATE-MAX(0,($D305+AE$5)-PERMANENT_FIELD_LABOR_HOURS)*TEMP_HOURLY_RATE-FIXED_SEASON_COST)</f>
        <v>17453.2914126264</v>
      </c>
      <c r="AF305" s="53" t="str">
        <f aca="false">IF(OR($A305&gt;TOMATO_BED_CAP,$B305&gt;CARROT_BED_CAP,AF$4&gt;MESCLUN_BED_CAP,$A305+$B305+AF$4&gt;TOTAL_BEDS_AVAILABLE,($D305+AF$5)&gt;TOTAL_LABOR_HOURS_CAP,MAX(0,($D305+AF$5)-PERMANENT_FIELD_LABOR_HOURS)&gt;TEMP_HOURS_CAP),"",$C305+AF$6-MIN(($D305+AF$5),PERMANENT_FIELD_LABOR_HOURS)*PERMANENT_HOURLY_RATE-MAX(0,($D305+AF$5)-PERMANENT_FIELD_LABOR_HOURS)*TEMP_HOURLY_RATE-FIXED_SEASON_COST)</f>
        <v/>
      </c>
      <c r="AG305" s="53" t="str">
        <f aca="false">IF(OR($A305&gt;TOMATO_BED_CAP,$B305&gt;CARROT_BED_CAP,AG$4&gt;MESCLUN_BED_CAP,$A305+$B305+AG$4&gt;TOTAL_BEDS_AVAILABLE,($D305+AG$5)&gt;TOTAL_LABOR_HOURS_CAP,MAX(0,($D305+AG$5)-PERMANENT_FIELD_LABOR_HOURS)&gt;TEMP_HOURS_CAP),"",$C305+AG$6-MIN(($D305+AG$5),PERMANENT_FIELD_LABOR_HOURS)*PERMANENT_HOURLY_RATE-MAX(0,($D305+AG$5)-PERMANENT_FIELD_LABOR_HOURS)*TEMP_HOURLY_RATE-FIXED_SEASON_COST)</f>
        <v/>
      </c>
      <c r="AH305" s="53" t="str">
        <f aca="false">IF(OR($A305&gt;TOMATO_BED_CAP,$B305&gt;CARROT_BED_CAP,AH$4&gt;MESCLUN_BED_CAP,$A305+$B305+AH$4&gt;TOTAL_BEDS_AVAILABLE,($D305+AH$5)&gt;TOTAL_LABOR_HOURS_CAP,MAX(0,($D305+AH$5)-PERMANENT_FIELD_LABOR_HOURS)&gt;TEMP_HOURS_CAP),"",$C305+AH$6-MIN(($D305+AH$5),PERMANENT_FIELD_LABOR_HOURS)*PERMANENT_HOURLY_RATE-MAX(0,($D305+AH$5)-PERMANENT_FIELD_LABOR_HOURS)*TEMP_HOURLY_RATE-FIXED_SEASON_COST)</f>
        <v/>
      </c>
      <c r="AI305" s="53" t="str">
        <f aca="false">IF(OR($A305&gt;TOMATO_BED_CAP,$B305&gt;CARROT_BED_CAP,AI$4&gt;MESCLUN_BED_CAP,$A305+$B305+AI$4&gt;TOTAL_BEDS_AVAILABLE,($D305+AI$5)&gt;TOTAL_LABOR_HOURS_CAP,MAX(0,($D305+AI$5)-PERMANENT_FIELD_LABOR_HOURS)&gt;TEMP_HOURS_CAP),"",$C305+AI$6-MIN(($D305+AI$5),PERMANENT_FIELD_LABOR_HOURS)*PERMANENT_HOURLY_RATE-MAX(0,($D305+AI$5)-PERMANENT_FIELD_LABOR_HOURS)*TEMP_HOURLY_RATE-FIXED_SEASON_COST)</f>
        <v/>
      </c>
      <c r="AJ305" s="53" t="str">
        <f aca="false">IF(OR($A305&gt;TOMATO_BED_CAP,$B305&gt;CARROT_BED_CAP,AJ$4&gt;MESCLUN_BED_CAP,$A305+$B305+AJ$4&gt;TOTAL_BEDS_AVAILABLE,($D305+AJ$5)&gt;TOTAL_LABOR_HOURS_CAP,MAX(0,($D305+AJ$5)-PERMANENT_FIELD_LABOR_HOURS)&gt;TEMP_HOURS_CAP),"",$C305+AJ$6-MIN(($D305+AJ$5),PERMANENT_FIELD_LABOR_HOURS)*PERMANENT_HOURLY_RATE-MAX(0,($D305+AJ$5)-PERMANENT_FIELD_LABOR_HOURS)*TEMP_HOURLY_RATE-FIXED_SEASON_COST)</f>
        <v/>
      </c>
    </row>
    <row r="306" customFormat="false" ht="15" hidden="false" customHeight="false" outlineLevel="0" collapsed="false">
      <c r="A306" s="21" t="n">
        <f aca="false">INT((ROW()-ROW($A$8))/(20+1))</f>
        <v>14</v>
      </c>
      <c r="B306" s="21" t="n">
        <f aca="false">MOD(ROW()-ROW($A$8),20+1)</f>
        <v>4</v>
      </c>
      <c r="C306" s="13" t="n">
        <f aca="false">A306*(TOMATO_REVENUE_PER_BED-TOMATO_FERTILIZER_PER_BED)+B306*(CARROT_REVENUE_PER_BED-CARROT_FERTILIZER_PER_BED)</f>
        <v>117496</v>
      </c>
      <c r="D306" s="14" t="n">
        <f aca="false">INDEX(TOMATO_SCHED_LABOR_HRS,A306+1)+INDEX(CARROT_SCHED_LABOR_HRS,B306+1)</f>
        <v>4917.25246700509</v>
      </c>
      <c r="E306" s="13" t="n">
        <f aca="false">IF(COUNT(F306:AJ306)=0,"",MAX(F306:AJ306))</f>
        <v>18490.6090830169</v>
      </c>
      <c r="F306" s="53" t="n">
        <f aca="false">IF(OR($A306&gt;TOMATO_BED_CAP,$B306&gt;CARROT_BED_CAP,F$4&gt;MESCLUN_BED_CAP,$A306+$B306+F$4&gt;TOTAL_BEDS_AVAILABLE,($D306+F$5)&gt;TOTAL_LABOR_HOURS_CAP,MAX(0,($D306+F$5)-PERMANENT_FIELD_LABOR_HOURS)&gt;TEMP_HOURS_CAP),"",$C306+F$6-MIN(($D306+F$5),PERMANENT_FIELD_LABOR_HOURS)*PERMANENT_HOURLY_RATE-MAX(0,($D306+F$5)-PERMANENT_FIELD_LABOR_HOURS)*TEMP_HOURLY_RATE-FIXED_SEASON_COST)</f>
        <v>-366.702827208399</v>
      </c>
      <c r="G306" s="53" t="n">
        <f aca="false">IF(OR($A306&gt;TOMATO_BED_CAP,$B306&gt;CARROT_BED_CAP,G$4&gt;MESCLUN_BED_CAP,$A306+$B306+G$4&gt;TOTAL_BEDS_AVAILABLE,($D306+G$5)&gt;TOTAL_LABOR_HOURS_CAP,MAX(0,($D306+G$5)-PERMANENT_FIELD_LABOR_HOURS)&gt;TEMP_HOURS_CAP),"",$C306+G$6-MIN(($D306+G$5),PERMANENT_FIELD_LABOR_HOURS)*PERMANENT_HOURLY_RATE-MAX(0,($D306+G$5)-PERMANENT_FIELD_LABOR_HOURS)*TEMP_HOURLY_RATE-FIXED_SEASON_COST)</f>
        <v>662.332172791605</v>
      </c>
      <c r="H306" s="53" t="n">
        <f aca="false">IF(OR($A306&gt;TOMATO_BED_CAP,$B306&gt;CARROT_BED_CAP,H$4&gt;MESCLUN_BED_CAP,$A306+$B306+H$4&gt;TOTAL_BEDS_AVAILABLE,($D306+H$5)&gt;TOTAL_LABOR_HOURS_CAP,MAX(0,($D306+H$5)-PERMANENT_FIELD_LABOR_HOURS)&gt;TEMP_HOURS_CAP),"",$C306+H$6-MIN(($D306+H$5),PERMANENT_FIELD_LABOR_HOURS)*PERMANENT_HOURLY_RATE-MAX(0,($D306+H$5)-PERMANENT_FIELD_LABOR_HOURS)*TEMP_HOURLY_RATE-FIXED_SEASON_COST)</f>
        <v>1671.5930477916</v>
      </c>
      <c r="I306" s="53" t="n">
        <f aca="false">IF(OR($A306&gt;TOMATO_BED_CAP,$B306&gt;CARROT_BED_CAP,I$4&gt;MESCLUN_BED_CAP,$A306+$B306+I$4&gt;TOTAL_BEDS_AVAILABLE,($D306+I$5)&gt;TOTAL_LABOR_HOURS_CAP,MAX(0,($D306+I$5)-PERMANENT_FIELD_LABOR_HOURS)&gt;TEMP_HOURS_CAP),"",$C306+I$6-MIN(($D306+I$5),PERMANENT_FIELD_LABOR_HOURS)*PERMANENT_HOURLY_RATE-MAX(0,($D306+I$5)-PERMANENT_FIELD_LABOR_HOURS)*TEMP_HOURLY_RATE-FIXED_SEASON_COST)</f>
        <v>2660.70903294785</v>
      </c>
      <c r="J306" s="53" t="n">
        <f aca="false">IF(OR($A306&gt;TOMATO_BED_CAP,$B306&gt;CARROT_BED_CAP,J$4&gt;MESCLUN_BED_CAP,$A306+$B306+J$4&gt;TOTAL_BEDS_AVAILABLE,($D306+J$5)&gt;TOTAL_LABOR_HOURS_CAP,MAX(0,($D306+J$5)-PERMANENT_FIELD_LABOR_HOURS)&gt;TEMP_HOURS_CAP),"",$C306+J$6-MIN(($D306+J$5),PERMANENT_FIELD_LABOR_HOURS)*PERMANENT_HOURLY_RATE-MAX(0,($D306+J$5)-PERMANENT_FIELD_LABOR_HOURS)*TEMP_HOURLY_RATE-FIXED_SEASON_COST)</f>
        <v>3629.30318400254</v>
      </c>
      <c r="K306" s="53" t="n">
        <f aca="false">IF(OR($A306&gt;TOMATO_BED_CAP,$B306&gt;CARROT_BED_CAP,K$4&gt;MESCLUN_BED_CAP,$A306+$B306+K$4&gt;TOTAL_BEDS_AVAILABLE,($D306+K$5)&gt;TOTAL_LABOR_HOURS_CAP,MAX(0,($D306+K$5)-PERMANENT_FIELD_LABOR_HOURS)&gt;TEMP_HOURS_CAP),"",$C306+K$6-MIN(($D306+K$5),PERMANENT_FIELD_LABOR_HOURS)*PERMANENT_HOURLY_RATE-MAX(0,($D306+K$5)-PERMANENT_FIELD_LABOR_HOURS)*TEMP_HOURLY_RATE-FIXED_SEASON_COST)</f>
        <v>4576.99228073045</v>
      </c>
      <c r="L306" s="53" t="n">
        <f aca="false">IF(OR($A306&gt;TOMATO_BED_CAP,$B306&gt;CARROT_BED_CAP,L$4&gt;MESCLUN_BED_CAP,$A306+$B306+L$4&gt;TOTAL_BEDS_AVAILABLE,($D306+L$5)&gt;TOTAL_LABOR_HOURS_CAP,MAX(0,($D306+L$5)-PERMANENT_FIELD_LABOR_HOURS)&gt;TEMP_HOURS_CAP),"",$C306+L$6-MIN(($D306+L$5),PERMANENT_FIELD_LABOR_HOURS)*PERMANENT_HOURLY_RATE-MAX(0,($D306+L$5)-PERMANENT_FIELD_LABOR_HOURS)*TEMP_HOURLY_RATE-FIXED_SEASON_COST)</f>
        <v>5503.3867289373</v>
      </c>
      <c r="M306" s="53" t="n">
        <f aca="false">IF(OR($A306&gt;TOMATO_BED_CAP,$B306&gt;CARROT_BED_CAP,M$4&gt;MESCLUN_BED_CAP,$A306+$B306+M$4&gt;TOTAL_BEDS_AVAILABLE,($D306+M$5)&gt;TOTAL_LABOR_HOURS_CAP,MAX(0,($D306+M$5)-PERMANENT_FIELD_LABOR_HOURS)&gt;TEMP_HOURS_CAP),"",$C306+M$6-MIN(($D306+M$5),PERMANENT_FIELD_LABOR_HOURS)*PERMANENT_HOURLY_RATE-MAX(0,($D306+M$5)-PERMANENT_FIELD_LABOR_HOURS)*TEMP_HOURLY_RATE-FIXED_SEASON_COST)</f>
        <v>6408.09046098869</v>
      </c>
      <c r="N306" s="53" t="n">
        <f aca="false">IF(OR($A306&gt;TOMATO_BED_CAP,$B306&gt;CARROT_BED_CAP,N$4&gt;MESCLUN_BED_CAP,$A306+$B306+N$4&gt;TOTAL_BEDS_AVAILABLE,($D306+N$5)&gt;TOTAL_LABOR_HOURS_CAP,MAX(0,($D306+N$5)-PERMANENT_FIELD_LABOR_HOURS)&gt;TEMP_HOURS_CAP),"",$C306+N$6-MIN(($D306+N$5),PERMANENT_FIELD_LABOR_HOURS)*PERMANENT_HOURLY_RATE-MAX(0,($D306+N$5)-PERMANENT_FIELD_LABOR_HOURS)*TEMP_HOURLY_RATE-FIXED_SEASON_COST)</f>
        <v>7290.70083484825</v>
      </c>
      <c r="O306" s="53" t="n">
        <f aca="false">IF(OR($A306&gt;TOMATO_BED_CAP,$B306&gt;CARROT_BED_CAP,O$4&gt;MESCLUN_BED_CAP,$A306+$B306+O$4&gt;TOTAL_BEDS_AVAILABLE,($D306+O$5)&gt;TOTAL_LABOR_HOURS_CAP,MAX(0,($D306+O$5)-PERMANENT_FIELD_LABOR_HOURS)&gt;TEMP_HOURS_CAP),"",$C306+O$6-MIN(($D306+O$5),PERMANENT_FIELD_LABOR_HOURS)*PERMANENT_HOURLY_RATE-MAX(0,($D306+O$5)-PERMANENT_FIELD_LABOR_HOURS)*TEMP_HOURLY_RATE-FIXED_SEASON_COST)</f>
        <v>8150.80853160299</v>
      </c>
      <c r="P306" s="53" t="n">
        <f aca="false">IF(OR($A306&gt;TOMATO_BED_CAP,$B306&gt;CARROT_BED_CAP,P$4&gt;MESCLUN_BED_CAP,$A306+$B306+P$4&gt;TOTAL_BEDS_AVAILABLE,($D306+P$5)&gt;TOTAL_LABOR_HOURS_CAP,MAX(0,($D306+P$5)-PERMANENT_FIELD_LABOR_HOURS)&gt;TEMP_HOURS_CAP),"",$C306+P$6-MIN(($D306+P$5),PERMANENT_FIELD_LABOR_HOURS)*PERMANENT_HOURLY_RATE-MAX(0,($D306+P$5)-PERMANENT_FIELD_LABOR_HOURS)*TEMP_HOURLY_RATE-FIXED_SEASON_COST)</f>
        <v>8987.99745145443</v>
      </c>
      <c r="Q306" s="53" t="n">
        <f aca="false">IF(OR($A306&gt;TOMATO_BED_CAP,$B306&gt;CARROT_BED_CAP,Q$4&gt;MESCLUN_BED_CAP,$A306+$B306+Q$4&gt;TOTAL_BEDS_AVAILABLE,($D306+Q$5)&gt;TOTAL_LABOR_HOURS_CAP,MAX(0,($D306+Q$5)-PERMANENT_FIELD_LABOR_HOURS)&gt;TEMP_HOURS_CAP),"",$C306+Q$6-MIN(($D306+Q$5),PERMANENT_FIELD_LABOR_HOURS)*PERMANENT_HOURLY_RATE-MAX(0,($D306+Q$5)-PERMANENT_FIELD_LABOR_HOURS)*TEMP_HOURLY_RATE-FIXED_SEASON_COST)</f>
        <v>9801.84460815233</v>
      </c>
      <c r="R306" s="53" t="n">
        <f aca="false">IF(OR($A306&gt;TOMATO_BED_CAP,$B306&gt;CARROT_BED_CAP,R$4&gt;MESCLUN_BED_CAP,$A306+$B306+R$4&gt;TOTAL_BEDS_AVAILABLE,($D306+R$5)&gt;TOTAL_LABOR_HOURS_CAP,MAX(0,($D306+R$5)-PERMANENT_FIELD_LABOR_HOURS)&gt;TEMP_HOURS_CAP),"",$C306+R$6-MIN(($D306+R$5),PERMANENT_FIELD_LABOR_HOURS)*PERMANENT_HOURLY_RATE-MAX(0,($D306+R$5)-PERMANENT_FIELD_LABOR_HOURS)*TEMP_HOURLY_RATE-FIXED_SEASON_COST)</f>
        <v>10591.9200218491</v>
      </c>
      <c r="S306" s="53" t="n">
        <f aca="false">IF(OR($A306&gt;TOMATO_BED_CAP,$B306&gt;CARROT_BED_CAP,S$4&gt;MESCLUN_BED_CAP,$A306+$B306+S$4&gt;TOTAL_BEDS_AVAILABLE,($D306+S$5)&gt;TOTAL_LABOR_HOURS_CAP,MAX(0,($D306+S$5)-PERMANENT_FIELD_LABOR_HOURS)&gt;TEMP_HOURS_CAP),"",$C306+S$6-MIN(($D306+S$5),PERMANENT_FIELD_LABOR_HOURS)*PERMANENT_HOURLY_RATE-MAX(0,($D306+S$5)-PERMANENT_FIELD_LABOR_HOURS)*TEMP_HOURLY_RATE-FIXED_SEASON_COST)</f>
        <v>11357.7866103516</v>
      </c>
      <c r="T306" s="53" t="n">
        <f aca="false">IF(OR($A306&gt;TOMATO_BED_CAP,$B306&gt;CARROT_BED_CAP,T$4&gt;MESCLUN_BED_CAP,$A306+$B306+T$4&gt;TOTAL_BEDS_AVAILABLE,($D306+T$5)&gt;TOTAL_LABOR_HOURS_CAP,MAX(0,($D306+T$5)-PERMANENT_FIELD_LABOR_HOURS)&gt;TEMP_HOURS_CAP),"",$C306+T$6-MIN(($D306+T$5),PERMANENT_FIELD_LABOR_HOURS)*PERMANENT_HOURLY_RATE-MAX(0,($D306+T$5)-PERMANENT_FIELD_LABOR_HOURS)*TEMP_HOURLY_RATE-FIXED_SEASON_COST)</f>
        <v>12099.0000787464</v>
      </c>
      <c r="U306" s="53" t="n">
        <f aca="false">IF(OR($A306&gt;TOMATO_BED_CAP,$B306&gt;CARROT_BED_CAP,U$4&gt;MESCLUN_BED_CAP,$A306+$B306+U$4&gt;TOTAL_BEDS_AVAILABLE,($D306+U$5)&gt;TOTAL_LABOR_HOURS_CAP,MAX(0,($D306+U$5)-PERMANENT_FIELD_LABOR_HOURS)&gt;TEMP_HOURS_CAP),"",$C306+U$6-MIN(($D306+U$5),PERMANENT_FIELD_LABOR_HOURS)*PERMANENT_HOURLY_RATE-MAX(0,($D306+U$5)-PERMANENT_FIELD_LABOR_HOURS)*TEMP_HOURLY_RATE-FIXED_SEASON_COST)</f>
        <v>12815.1088073765</v>
      </c>
      <c r="V306" s="53" t="n">
        <f aca="false">IF(OR($A306&gt;TOMATO_BED_CAP,$B306&gt;CARROT_BED_CAP,V$4&gt;MESCLUN_BED_CAP,$A306+$B306+V$4&gt;TOTAL_BEDS_AVAILABLE,($D306+V$5)&gt;TOTAL_LABOR_HOURS_CAP,MAX(0,($D306+V$5)-PERMANENT_FIELD_LABOR_HOURS)&gt;TEMP_HOURS_CAP),"",$C306+V$6-MIN(($D306+V$5),PERMANENT_FIELD_LABOR_HOURS)*PERMANENT_HOURLY_RATE-MAX(0,($D306+V$5)-PERMANENT_FIELD_LABOR_HOURS)*TEMP_HOURLY_RATE-FIXED_SEASON_COST)</f>
        <v>13505.6537381433</v>
      </c>
      <c r="W306" s="53" t="n">
        <f aca="false">IF(OR($A306&gt;TOMATO_BED_CAP,$B306&gt;CARROT_BED_CAP,W$4&gt;MESCLUN_BED_CAP,$A306+$B306+W$4&gt;TOTAL_BEDS_AVAILABLE,($D306+W$5)&gt;TOTAL_LABOR_HOURS_CAP,MAX(0,($D306+W$5)-PERMANENT_FIELD_LABOR_HOURS)&gt;TEMP_HOURS_CAP),"",$C306+W$6-MIN(($D306+W$5),PERMANENT_FIELD_LABOR_HOURS)*PERMANENT_HOURLY_RATE-MAX(0,($D306+W$5)-PERMANENT_FIELD_LABOR_HOURS)*TEMP_HOURLY_RATE-FIXED_SEASON_COST)</f>
        <v>14170.1682591114</v>
      </c>
      <c r="X306" s="53" t="n">
        <f aca="false">IF(OR($A306&gt;TOMATO_BED_CAP,$B306&gt;CARROT_BED_CAP,X$4&gt;MESCLUN_BED_CAP,$A306+$B306+X$4&gt;TOTAL_BEDS_AVAILABLE,($D306+X$5)&gt;TOTAL_LABOR_HOURS_CAP,MAX(0,($D306+X$5)-PERMANENT_FIELD_LABOR_HOURS)&gt;TEMP_HOURS_CAP),"",$C306+X$6-MIN(($D306+X$5),PERMANENT_FIELD_LABOR_HOURS)*PERMANENT_HOURLY_RATE-MAX(0,($D306+X$5)-PERMANENT_FIELD_LABOR_HOURS)*TEMP_HOURLY_RATE-FIXED_SEASON_COST)</f>
        <v>14808.1780873903</v>
      </c>
      <c r="Y306" s="53" t="n">
        <f aca="false">IF(OR($A306&gt;TOMATO_BED_CAP,$B306&gt;CARROT_BED_CAP,Y$4&gt;MESCLUN_BED_CAP,$A306+$B306+Y$4&gt;TOTAL_BEDS_AVAILABLE,($D306+Y$5)&gt;TOTAL_LABOR_HOURS_CAP,MAX(0,($D306+Y$5)-PERMANENT_FIELD_LABOR_HOURS)&gt;TEMP_HOURS_CAP),"",$C306+Y$6-MIN(($D306+Y$5),PERMANENT_FIELD_LABOR_HOURS)*PERMANENT_HOURLY_RATE-MAX(0,($D306+Y$5)-PERMANENT_FIELD_LABOR_HOURS)*TEMP_HOURLY_RATE-FIXED_SEASON_COST)</f>
        <v>15419.201150269</v>
      </c>
      <c r="Z306" s="53" t="n">
        <f aca="false">IF(OR($A306&gt;TOMATO_BED_CAP,$B306&gt;CARROT_BED_CAP,Z$4&gt;MESCLUN_BED_CAP,$A306+$B306+Z$4&gt;TOTAL_BEDS_AVAILABLE,($D306+Z$5)&gt;TOTAL_LABOR_HOURS_CAP,MAX(0,($D306+Z$5)-PERMANENT_FIELD_LABOR_HOURS)&gt;TEMP_HOURS_CAP),"",$C306+Z$6-MIN(($D306+Z$5),PERMANENT_FIELD_LABOR_HOURS)*PERMANENT_HOURLY_RATE-MAX(0,($D306+Z$5)-PERMANENT_FIELD_LABOR_HOURS)*TEMP_HOURLY_RATE-FIXED_SEASON_COST)</f>
        <v>16002.7474645767</v>
      </c>
      <c r="AA306" s="53" t="n">
        <f aca="false">IF(OR($A306&gt;TOMATO_BED_CAP,$B306&gt;CARROT_BED_CAP,AA$4&gt;MESCLUN_BED_CAP,$A306+$B306+AA$4&gt;TOTAL_BEDS_AVAILABLE,($D306+AA$5)&gt;TOTAL_LABOR_HOURS_CAP,MAX(0,($D306+AA$5)-PERMANENT_FIELD_LABOR_HOURS)&gt;TEMP_HOURS_CAP),"",$C306+AA$6-MIN(($D306+AA$5),PERMANENT_FIELD_LABOR_HOURS)*PERMANENT_HOURLY_RATE-MAX(0,($D306+AA$5)-PERMANENT_FIELD_LABOR_HOURS)*TEMP_HOURLY_RATE-FIXED_SEASON_COST)</f>
        <v>16558.3190142456</v>
      </c>
      <c r="AB306" s="53" t="n">
        <f aca="false">IF(OR($A306&gt;TOMATO_BED_CAP,$B306&gt;CARROT_BED_CAP,AB$4&gt;MESCLUN_BED_CAP,$A306+$B306+AB$4&gt;TOTAL_BEDS_AVAILABLE,($D306+AB$5)&gt;TOTAL_LABOR_HOURS_CAP,MAX(0,($D306+AB$5)-PERMANENT_FIELD_LABOR_HOURS)&gt;TEMP_HOURS_CAP),"",$C306+AB$6-MIN(($D306+AB$5),PERMANENT_FIELD_LABOR_HOURS)*PERMANENT_HOURLY_RATE-MAX(0,($D306+AB$5)-PERMANENT_FIELD_LABOR_HOURS)*TEMP_HOURLY_RATE-FIXED_SEASON_COST)</f>
        <v>17085.4096260482</v>
      </c>
      <c r="AC306" s="53" t="n">
        <f aca="false">IF(OR($A306&gt;TOMATO_BED_CAP,$B306&gt;CARROT_BED_CAP,AC$4&gt;MESCLUN_BED_CAP,$A306+$B306+AC$4&gt;TOTAL_BEDS_AVAILABLE,($D306+AC$5)&gt;TOTAL_LABOR_HOURS_CAP,MAX(0,($D306+AC$5)-PERMANENT_FIELD_LABOR_HOURS)&gt;TEMP_HOURS_CAP),"",$C306+AC$6-MIN(($D306+AC$5),PERMANENT_FIELD_LABOR_HOURS)*PERMANENT_HOURLY_RATE-MAX(0,($D306+AC$5)-PERMANENT_FIELD_LABOR_HOURS)*TEMP_HOURLY_RATE-FIXED_SEASON_COST)</f>
        <v>17583.5048434831</v>
      </c>
      <c r="AD306" s="53" t="n">
        <f aca="false">IF(OR($A306&gt;TOMATO_BED_CAP,$B306&gt;CARROT_BED_CAP,AD$4&gt;MESCLUN_BED_CAP,$A306+$B306+AD$4&gt;TOTAL_BEDS_AVAILABLE,($D306+AD$5)&gt;TOTAL_LABOR_HOURS_CAP,MAX(0,($D306+AD$5)-PERMANENT_FIELD_LABOR_HOURS)&gt;TEMP_HOURS_CAP),"",$C306+AD$6-MIN(($D306+AD$5),PERMANENT_FIELD_LABOR_HOURS)*PERMANENT_HOURLY_RATE-MAX(0,($D306+AD$5)-PERMANENT_FIELD_LABOR_HOURS)*TEMP_HOURLY_RATE-FIXED_SEASON_COST)</f>
        <v>18052.081798783</v>
      </c>
      <c r="AE306" s="53" t="n">
        <f aca="false">IF(OR($A306&gt;TOMATO_BED_CAP,$B306&gt;CARROT_BED_CAP,AE$4&gt;MESCLUN_BED_CAP,$A306+$B306+AE$4&gt;TOTAL_BEDS_AVAILABLE,($D306+AE$5)&gt;TOTAL_LABOR_HOURS_CAP,MAX(0,($D306+AE$5)-PERMANENT_FIELD_LABOR_HOURS)&gt;TEMP_HOURS_CAP),"",$C306+AE$6-MIN(($D306+AE$5),PERMANENT_FIELD_LABOR_HOURS)*PERMANENT_HOURLY_RATE-MAX(0,($D306+AE$5)-PERMANENT_FIELD_LABOR_HOURS)*TEMP_HOURLY_RATE-FIXED_SEASON_COST)</f>
        <v>18490.6090830169</v>
      </c>
      <c r="AF306" s="53" t="str">
        <f aca="false">IF(OR($A306&gt;TOMATO_BED_CAP,$B306&gt;CARROT_BED_CAP,AF$4&gt;MESCLUN_BED_CAP,$A306+$B306+AF$4&gt;TOTAL_BEDS_AVAILABLE,($D306+AF$5)&gt;TOTAL_LABOR_HOURS_CAP,MAX(0,($D306+AF$5)-PERMANENT_FIELD_LABOR_HOURS)&gt;TEMP_HOURS_CAP),"",$C306+AF$6-MIN(($D306+AF$5),PERMANENT_FIELD_LABOR_HOURS)*PERMANENT_HOURLY_RATE-MAX(0,($D306+AF$5)-PERMANENT_FIELD_LABOR_HOURS)*TEMP_HOURLY_RATE-FIXED_SEASON_COST)</f>
        <v/>
      </c>
      <c r="AG306" s="53" t="str">
        <f aca="false">IF(OR($A306&gt;TOMATO_BED_CAP,$B306&gt;CARROT_BED_CAP,AG$4&gt;MESCLUN_BED_CAP,$A306+$B306+AG$4&gt;TOTAL_BEDS_AVAILABLE,($D306+AG$5)&gt;TOTAL_LABOR_HOURS_CAP,MAX(0,($D306+AG$5)-PERMANENT_FIELD_LABOR_HOURS)&gt;TEMP_HOURS_CAP),"",$C306+AG$6-MIN(($D306+AG$5),PERMANENT_FIELD_LABOR_HOURS)*PERMANENT_HOURLY_RATE-MAX(0,($D306+AG$5)-PERMANENT_FIELD_LABOR_HOURS)*TEMP_HOURLY_RATE-FIXED_SEASON_COST)</f>
        <v/>
      </c>
      <c r="AH306" s="53" t="str">
        <f aca="false">IF(OR($A306&gt;TOMATO_BED_CAP,$B306&gt;CARROT_BED_CAP,AH$4&gt;MESCLUN_BED_CAP,$A306+$B306+AH$4&gt;TOTAL_BEDS_AVAILABLE,($D306+AH$5)&gt;TOTAL_LABOR_HOURS_CAP,MAX(0,($D306+AH$5)-PERMANENT_FIELD_LABOR_HOURS)&gt;TEMP_HOURS_CAP),"",$C306+AH$6-MIN(($D306+AH$5),PERMANENT_FIELD_LABOR_HOURS)*PERMANENT_HOURLY_RATE-MAX(0,($D306+AH$5)-PERMANENT_FIELD_LABOR_HOURS)*TEMP_HOURLY_RATE-FIXED_SEASON_COST)</f>
        <v/>
      </c>
      <c r="AI306" s="53" t="str">
        <f aca="false">IF(OR($A306&gt;TOMATO_BED_CAP,$B306&gt;CARROT_BED_CAP,AI$4&gt;MESCLUN_BED_CAP,$A306+$B306+AI$4&gt;TOTAL_BEDS_AVAILABLE,($D306+AI$5)&gt;TOTAL_LABOR_HOURS_CAP,MAX(0,($D306+AI$5)-PERMANENT_FIELD_LABOR_HOURS)&gt;TEMP_HOURS_CAP),"",$C306+AI$6-MIN(($D306+AI$5),PERMANENT_FIELD_LABOR_HOURS)*PERMANENT_HOURLY_RATE-MAX(0,($D306+AI$5)-PERMANENT_FIELD_LABOR_HOURS)*TEMP_HOURLY_RATE-FIXED_SEASON_COST)</f>
        <v/>
      </c>
      <c r="AJ306" s="53" t="str">
        <f aca="false">IF(OR($A306&gt;TOMATO_BED_CAP,$B306&gt;CARROT_BED_CAP,AJ$4&gt;MESCLUN_BED_CAP,$A306+$B306+AJ$4&gt;TOTAL_BEDS_AVAILABLE,($D306+AJ$5)&gt;TOTAL_LABOR_HOURS_CAP,MAX(0,($D306+AJ$5)-PERMANENT_FIELD_LABOR_HOURS)&gt;TEMP_HOURS_CAP),"",$C306+AJ$6-MIN(($D306+AJ$5),PERMANENT_FIELD_LABOR_HOURS)*PERMANENT_HOURLY_RATE-MAX(0,($D306+AJ$5)-PERMANENT_FIELD_LABOR_HOURS)*TEMP_HOURLY_RATE-FIXED_SEASON_COST)</f>
        <v/>
      </c>
    </row>
    <row r="307" customFormat="false" ht="15" hidden="false" customHeight="false" outlineLevel="0" collapsed="false">
      <c r="A307" s="21" t="n">
        <f aca="false">INT((ROW()-ROW($A$8))/(20+1))</f>
        <v>14</v>
      </c>
      <c r="B307" s="21" t="n">
        <f aca="false">MOD(ROW()-ROW($A$8),20+1)</f>
        <v>5</v>
      </c>
      <c r="C307" s="13" t="n">
        <f aca="false">A307*(TOMATO_REVENUE_PER_BED-TOMATO_FERTILIZER_PER_BED)+B307*(CARROT_REVENUE_PER_BED-CARROT_FERTILIZER_PER_BED)</f>
        <v>119150</v>
      </c>
      <c r="D307" s="14" t="n">
        <f aca="false">INDEX(TOMATO_SCHED_LABOR_HRS,A307+1)+INDEX(CARROT_SCHED_LABOR_HRS,B307+1)</f>
        <v>4954.49125058966</v>
      </c>
      <c r="E307" s="13" t="n">
        <f aca="false">IF(COUNT(F307:AJ307)=0,"",MAX(F307:AJ307))</f>
        <v>19059.6165157549</v>
      </c>
      <c r="F307" s="53" t="n">
        <f aca="false">IF(OR($A307&gt;TOMATO_BED_CAP,$B307&gt;CARROT_BED_CAP,F$4&gt;MESCLUN_BED_CAP,$A307+$B307+F$4&gt;TOTAL_BEDS_AVAILABLE,($D307+F$5)&gt;TOTAL_LABOR_HOURS_CAP,MAX(0,($D307+F$5)-PERMANENT_FIELD_LABOR_HOURS)&gt;TEMP_HOURS_CAP),"",$C307+F$6-MIN(($D307+F$5),PERMANENT_FIELD_LABOR_HOURS)*PERMANENT_HOURLY_RATE-MAX(0,($D307+F$5)-PERMANENT_FIELD_LABOR_HOURS)*TEMP_HOURLY_RATE-FIXED_SEASON_COST)</f>
        <v>640.83188976346</v>
      </c>
      <c r="G307" s="53" t="n">
        <f aca="false">IF(OR($A307&gt;TOMATO_BED_CAP,$B307&gt;CARROT_BED_CAP,G$4&gt;MESCLUN_BED_CAP,$A307+$B307+G$4&gt;TOTAL_BEDS_AVAILABLE,($D307+G$5)&gt;TOTAL_LABOR_HOURS_CAP,MAX(0,($D307+G$5)-PERMANENT_FIELD_LABOR_HOURS)&gt;TEMP_HOURS_CAP),"",$C307+G$6-MIN(($D307+G$5),PERMANENT_FIELD_LABOR_HOURS)*PERMANENT_HOURLY_RATE-MAX(0,($D307+G$5)-PERMANENT_FIELD_LABOR_HOURS)*TEMP_HOURLY_RATE-FIXED_SEASON_COST)</f>
        <v>1669.86688976346</v>
      </c>
      <c r="H307" s="53" t="n">
        <f aca="false">IF(OR($A307&gt;TOMATO_BED_CAP,$B307&gt;CARROT_BED_CAP,H$4&gt;MESCLUN_BED_CAP,$A307+$B307+H$4&gt;TOTAL_BEDS_AVAILABLE,($D307+H$5)&gt;TOTAL_LABOR_HOURS_CAP,MAX(0,($D307+H$5)-PERMANENT_FIELD_LABOR_HOURS)&gt;TEMP_HOURS_CAP),"",$C307+H$6-MIN(($D307+H$5),PERMANENT_FIELD_LABOR_HOURS)*PERMANENT_HOURLY_RATE-MAX(0,($D307+H$5)-PERMANENT_FIELD_LABOR_HOURS)*TEMP_HOURLY_RATE-FIXED_SEASON_COST)</f>
        <v>2679.12776476346</v>
      </c>
      <c r="I307" s="53" t="n">
        <f aca="false">IF(OR($A307&gt;TOMATO_BED_CAP,$B307&gt;CARROT_BED_CAP,I$4&gt;MESCLUN_BED_CAP,$A307+$B307+I$4&gt;TOTAL_BEDS_AVAILABLE,($D307+I$5)&gt;TOTAL_LABOR_HOURS_CAP,MAX(0,($D307+I$5)-PERMANENT_FIELD_LABOR_HOURS)&gt;TEMP_HOURS_CAP),"",$C307+I$6-MIN(($D307+I$5),PERMANENT_FIELD_LABOR_HOURS)*PERMANENT_HOURLY_RATE-MAX(0,($D307+I$5)-PERMANENT_FIELD_LABOR_HOURS)*TEMP_HOURLY_RATE-FIXED_SEASON_COST)</f>
        <v>3668.24374991971</v>
      </c>
      <c r="J307" s="53" t="n">
        <f aca="false">IF(OR($A307&gt;TOMATO_BED_CAP,$B307&gt;CARROT_BED_CAP,J$4&gt;MESCLUN_BED_CAP,$A307+$B307+J$4&gt;TOTAL_BEDS_AVAILABLE,($D307+J$5)&gt;TOTAL_LABOR_HOURS_CAP,MAX(0,($D307+J$5)-PERMANENT_FIELD_LABOR_HOURS)&gt;TEMP_HOURS_CAP),"",$C307+J$6-MIN(($D307+J$5),PERMANENT_FIELD_LABOR_HOURS)*PERMANENT_HOURLY_RATE-MAX(0,($D307+J$5)-PERMANENT_FIELD_LABOR_HOURS)*TEMP_HOURLY_RATE-FIXED_SEASON_COST)</f>
        <v>4636.8379009744</v>
      </c>
      <c r="K307" s="53" t="n">
        <f aca="false">IF(OR($A307&gt;TOMATO_BED_CAP,$B307&gt;CARROT_BED_CAP,K$4&gt;MESCLUN_BED_CAP,$A307+$B307+K$4&gt;TOTAL_BEDS_AVAILABLE,($D307+K$5)&gt;TOTAL_LABOR_HOURS_CAP,MAX(0,($D307+K$5)-PERMANENT_FIELD_LABOR_HOURS)&gt;TEMP_HOURS_CAP),"",$C307+K$6-MIN(($D307+K$5),PERMANENT_FIELD_LABOR_HOURS)*PERMANENT_HOURLY_RATE-MAX(0,($D307+K$5)-PERMANENT_FIELD_LABOR_HOURS)*TEMP_HOURLY_RATE-FIXED_SEASON_COST)</f>
        <v>5584.52699770231</v>
      </c>
      <c r="L307" s="53" t="n">
        <f aca="false">IF(OR($A307&gt;TOMATO_BED_CAP,$B307&gt;CARROT_BED_CAP,L$4&gt;MESCLUN_BED_CAP,$A307+$B307+L$4&gt;TOTAL_BEDS_AVAILABLE,($D307+L$5)&gt;TOTAL_LABOR_HOURS_CAP,MAX(0,($D307+L$5)-PERMANENT_FIELD_LABOR_HOURS)&gt;TEMP_HOURS_CAP),"",$C307+L$6-MIN(($D307+L$5),PERMANENT_FIELD_LABOR_HOURS)*PERMANENT_HOURLY_RATE-MAX(0,($D307+L$5)-PERMANENT_FIELD_LABOR_HOURS)*TEMP_HOURLY_RATE-FIXED_SEASON_COST)</f>
        <v>6510.92144590916</v>
      </c>
      <c r="M307" s="53" t="n">
        <f aca="false">IF(OR($A307&gt;TOMATO_BED_CAP,$B307&gt;CARROT_BED_CAP,M$4&gt;MESCLUN_BED_CAP,$A307+$B307+M$4&gt;TOTAL_BEDS_AVAILABLE,($D307+M$5)&gt;TOTAL_LABOR_HOURS_CAP,MAX(0,($D307+M$5)-PERMANENT_FIELD_LABOR_HOURS)&gt;TEMP_HOURS_CAP),"",$C307+M$6-MIN(($D307+M$5),PERMANENT_FIELD_LABOR_HOURS)*PERMANENT_HOURLY_RATE-MAX(0,($D307+M$5)-PERMANENT_FIELD_LABOR_HOURS)*TEMP_HOURLY_RATE-FIXED_SEASON_COST)</f>
        <v>7415.62517796055</v>
      </c>
      <c r="N307" s="53" t="n">
        <f aca="false">IF(OR($A307&gt;TOMATO_BED_CAP,$B307&gt;CARROT_BED_CAP,N$4&gt;MESCLUN_BED_CAP,$A307+$B307+N$4&gt;TOTAL_BEDS_AVAILABLE,($D307+N$5)&gt;TOTAL_LABOR_HOURS_CAP,MAX(0,($D307+N$5)-PERMANENT_FIELD_LABOR_HOURS)&gt;TEMP_HOURS_CAP),"",$C307+N$6-MIN(($D307+N$5),PERMANENT_FIELD_LABOR_HOURS)*PERMANENT_HOURLY_RATE-MAX(0,($D307+N$5)-PERMANENT_FIELD_LABOR_HOURS)*TEMP_HOURLY_RATE-FIXED_SEASON_COST)</f>
        <v>8298.23555182011</v>
      </c>
      <c r="O307" s="53" t="n">
        <f aca="false">IF(OR($A307&gt;TOMATO_BED_CAP,$B307&gt;CARROT_BED_CAP,O$4&gt;MESCLUN_BED_CAP,$A307+$B307+O$4&gt;TOTAL_BEDS_AVAILABLE,($D307+O$5)&gt;TOTAL_LABOR_HOURS_CAP,MAX(0,($D307+O$5)-PERMANENT_FIELD_LABOR_HOURS)&gt;TEMP_HOURS_CAP),"",$C307+O$6-MIN(($D307+O$5),PERMANENT_FIELD_LABOR_HOURS)*PERMANENT_HOURLY_RATE-MAX(0,($D307+O$5)-PERMANENT_FIELD_LABOR_HOURS)*TEMP_HOURLY_RATE-FIXED_SEASON_COST)</f>
        <v>9158.34324857486</v>
      </c>
      <c r="P307" s="53" t="n">
        <f aca="false">IF(OR($A307&gt;TOMATO_BED_CAP,$B307&gt;CARROT_BED_CAP,P$4&gt;MESCLUN_BED_CAP,$A307+$B307+P$4&gt;TOTAL_BEDS_AVAILABLE,($D307+P$5)&gt;TOTAL_LABOR_HOURS_CAP,MAX(0,($D307+P$5)-PERMANENT_FIELD_LABOR_HOURS)&gt;TEMP_HOURS_CAP),"",$C307+P$6-MIN(($D307+P$5),PERMANENT_FIELD_LABOR_HOURS)*PERMANENT_HOURLY_RATE-MAX(0,($D307+P$5)-PERMANENT_FIELD_LABOR_HOURS)*TEMP_HOURLY_RATE-FIXED_SEASON_COST)</f>
        <v>9995.53216842629</v>
      </c>
      <c r="Q307" s="53" t="n">
        <f aca="false">IF(OR($A307&gt;TOMATO_BED_CAP,$B307&gt;CARROT_BED_CAP,Q$4&gt;MESCLUN_BED_CAP,$A307+$B307+Q$4&gt;TOTAL_BEDS_AVAILABLE,($D307+Q$5)&gt;TOTAL_LABOR_HOURS_CAP,MAX(0,($D307+Q$5)-PERMANENT_FIELD_LABOR_HOURS)&gt;TEMP_HOURS_CAP),"",$C307+Q$6-MIN(($D307+Q$5),PERMANENT_FIELD_LABOR_HOURS)*PERMANENT_HOURLY_RATE-MAX(0,($D307+Q$5)-PERMANENT_FIELD_LABOR_HOURS)*TEMP_HOURLY_RATE-FIXED_SEASON_COST)</f>
        <v>10809.3793251242</v>
      </c>
      <c r="R307" s="53" t="n">
        <f aca="false">IF(OR($A307&gt;TOMATO_BED_CAP,$B307&gt;CARROT_BED_CAP,R$4&gt;MESCLUN_BED_CAP,$A307+$B307+R$4&gt;TOTAL_BEDS_AVAILABLE,($D307+R$5)&gt;TOTAL_LABOR_HOURS_CAP,MAX(0,($D307+R$5)-PERMANENT_FIELD_LABOR_HOURS)&gt;TEMP_HOURS_CAP),"",$C307+R$6-MIN(($D307+R$5),PERMANENT_FIELD_LABOR_HOURS)*PERMANENT_HOURLY_RATE-MAX(0,($D307+R$5)-PERMANENT_FIELD_LABOR_HOURS)*TEMP_HOURLY_RATE-FIXED_SEASON_COST)</f>
        <v>11599.454738821</v>
      </c>
      <c r="S307" s="53" t="n">
        <f aca="false">IF(OR($A307&gt;TOMATO_BED_CAP,$B307&gt;CARROT_BED_CAP,S$4&gt;MESCLUN_BED_CAP,$A307+$B307+S$4&gt;TOTAL_BEDS_AVAILABLE,($D307+S$5)&gt;TOTAL_LABOR_HOURS_CAP,MAX(0,($D307+S$5)-PERMANENT_FIELD_LABOR_HOURS)&gt;TEMP_HOURS_CAP),"",$C307+S$6-MIN(($D307+S$5),PERMANENT_FIELD_LABOR_HOURS)*PERMANENT_HOURLY_RATE-MAX(0,($D307+S$5)-PERMANENT_FIELD_LABOR_HOURS)*TEMP_HOURLY_RATE-FIXED_SEASON_COST)</f>
        <v>12365.3213273234</v>
      </c>
      <c r="T307" s="53" t="n">
        <f aca="false">IF(OR($A307&gt;TOMATO_BED_CAP,$B307&gt;CARROT_BED_CAP,T$4&gt;MESCLUN_BED_CAP,$A307+$B307+T$4&gt;TOTAL_BEDS_AVAILABLE,($D307+T$5)&gt;TOTAL_LABOR_HOURS_CAP,MAX(0,($D307+T$5)-PERMANENT_FIELD_LABOR_HOURS)&gt;TEMP_HOURS_CAP),"",$C307+T$6-MIN(($D307+T$5),PERMANENT_FIELD_LABOR_HOURS)*PERMANENT_HOURLY_RATE-MAX(0,($D307+T$5)-PERMANENT_FIELD_LABOR_HOURS)*TEMP_HOURLY_RATE-FIXED_SEASON_COST)</f>
        <v>13106.5347957183</v>
      </c>
      <c r="U307" s="53" t="n">
        <f aca="false">IF(OR($A307&gt;TOMATO_BED_CAP,$B307&gt;CARROT_BED_CAP,U$4&gt;MESCLUN_BED_CAP,$A307+$B307+U$4&gt;TOTAL_BEDS_AVAILABLE,($D307+U$5)&gt;TOTAL_LABOR_HOURS_CAP,MAX(0,($D307+U$5)-PERMANENT_FIELD_LABOR_HOURS)&gt;TEMP_HOURS_CAP),"",$C307+U$6-MIN(($D307+U$5),PERMANENT_FIELD_LABOR_HOURS)*PERMANENT_HOURLY_RATE-MAX(0,($D307+U$5)-PERMANENT_FIELD_LABOR_HOURS)*TEMP_HOURLY_RATE-FIXED_SEASON_COST)</f>
        <v>13822.6435243484</v>
      </c>
      <c r="V307" s="53" t="n">
        <f aca="false">IF(OR($A307&gt;TOMATO_BED_CAP,$B307&gt;CARROT_BED_CAP,V$4&gt;MESCLUN_BED_CAP,$A307+$B307+V$4&gt;TOTAL_BEDS_AVAILABLE,($D307+V$5)&gt;TOTAL_LABOR_HOURS_CAP,MAX(0,($D307+V$5)-PERMANENT_FIELD_LABOR_HOURS)&gt;TEMP_HOURS_CAP),"",$C307+V$6-MIN(($D307+V$5),PERMANENT_FIELD_LABOR_HOURS)*PERMANENT_HOURLY_RATE-MAX(0,($D307+V$5)-PERMANENT_FIELD_LABOR_HOURS)*TEMP_HOURLY_RATE-FIXED_SEASON_COST)</f>
        <v>14513.1884551152</v>
      </c>
      <c r="W307" s="53" t="n">
        <f aca="false">IF(OR($A307&gt;TOMATO_BED_CAP,$B307&gt;CARROT_BED_CAP,W$4&gt;MESCLUN_BED_CAP,$A307+$B307+W$4&gt;TOTAL_BEDS_AVAILABLE,($D307+W$5)&gt;TOTAL_LABOR_HOURS_CAP,MAX(0,($D307+W$5)-PERMANENT_FIELD_LABOR_HOURS)&gt;TEMP_HOURS_CAP),"",$C307+W$6-MIN(($D307+W$5),PERMANENT_FIELD_LABOR_HOURS)*PERMANENT_HOURLY_RATE-MAX(0,($D307+W$5)-PERMANENT_FIELD_LABOR_HOURS)*TEMP_HOURLY_RATE-FIXED_SEASON_COST)</f>
        <v>15177.7029760832</v>
      </c>
      <c r="X307" s="53" t="n">
        <f aca="false">IF(OR($A307&gt;TOMATO_BED_CAP,$B307&gt;CARROT_BED_CAP,X$4&gt;MESCLUN_BED_CAP,$A307+$B307+X$4&gt;TOTAL_BEDS_AVAILABLE,($D307+X$5)&gt;TOTAL_LABOR_HOURS_CAP,MAX(0,($D307+X$5)-PERMANENT_FIELD_LABOR_HOURS)&gt;TEMP_HOURS_CAP),"",$C307+X$6-MIN(($D307+X$5),PERMANENT_FIELD_LABOR_HOURS)*PERMANENT_HOURLY_RATE-MAX(0,($D307+X$5)-PERMANENT_FIELD_LABOR_HOURS)*TEMP_HOURLY_RATE-FIXED_SEASON_COST)</f>
        <v>15815.7128043622</v>
      </c>
      <c r="Y307" s="53" t="n">
        <f aca="false">IF(OR($A307&gt;TOMATO_BED_CAP,$B307&gt;CARROT_BED_CAP,Y$4&gt;MESCLUN_BED_CAP,$A307+$B307+Y$4&gt;TOTAL_BEDS_AVAILABLE,($D307+Y$5)&gt;TOTAL_LABOR_HOURS_CAP,MAX(0,($D307+Y$5)-PERMANENT_FIELD_LABOR_HOURS)&gt;TEMP_HOURS_CAP),"",$C307+Y$6-MIN(($D307+Y$5),PERMANENT_FIELD_LABOR_HOURS)*PERMANENT_HOURLY_RATE-MAX(0,($D307+Y$5)-PERMANENT_FIELD_LABOR_HOURS)*TEMP_HOURLY_RATE-FIXED_SEASON_COST)</f>
        <v>16426.7358672408</v>
      </c>
      <c r="Z307" s="53" t="n">
        <f aca="false">IF(OR($A307&gt;TOMATO_BED_CAP,$B307&gt;CARROT_BED_CAP,Z$4&gt;MESCLUN_BED_CAP,$A307+$B307+Z$4&gt;TOTAL_BEDS_AVAILABLE,($D307+Z$5)&gt;TOTAL_LABOR_HOURS_CAP,MAX(0,($D307+Z$5)-PERMANENT_FIELD_LABOR_HOURS)&gt;TEMP_HOURS_CAP),"",$C307+Z$6-MIN(($D307+Z$5),PERMANENT_FIELD_LABOR_HOURS)*PERMANENT_HOURLY_RATE-MAX(0,($D307+Z$5)-PERMANENT_FIELD_LABOR_HOURS)*TEMP_HOURLY_RATE-FIXED_SEASON_COST)</f>
        <v>17010.2821815486</v>
      </c>
      <c r="AA307" s="53" t="n">
        <f aca="false">IF(OR($A307&gt;TOMATO_BED_CAP,$B307&gt;CARROT_BED_CAP,AA$4&gt;MESCLUN_BED_CAP,$A307+$B307+AA$4&gt;TOTAL_BEDS_AVAILABLE,($D307+AA$5)&gt;TOTAL_LABOR_HOURS_CAP,MAX(0,($D307+AA$5)-PERMANENT_FIELD_LABOR_HOURS)&gt;TEMP_HOURS_CAP),"",$C307+AA$6-MIN(($D307+AA$5),PERMANENT_FIELD_LABOR_HOURS)*PERMANENT_HOURLY_RATE-MAX(0,($D307+AA$5)-PERMANENT_FIELD_LABOR_HOURS)*TEMP_HOURLY_RATE-FIXED_SEASON_COST)</f>
        <v>17565.8537312175</v>
      </c>
      <c r="AB307" s="53" t="n">
        <f aca="false">IF(OR($A307&gt;TOMATO_BED_CAP,$B307&gt;CARROT_BED_CAP,AB$4&gt;MESCLUN_BED_CAP,$A307+$B307+AB$4&gt;TOTAL_BEDS_AVAILABLE,($D307+AB$5)&gt;TOTAL_LABOR_HOURS_CAP,MAX(0,($D307+AB$5)-PERMANENT_FIELD_LABOR_HOURS)&gt;TEMP_HOURS_CAP),"",$C307+AB$6-MIN(($D307+AB$5),PERMANENT_FIELD_LABOR_HOURS)*PERMANENT_HOURLY_RATE-MAX(0,($D307+AB$5)-PERMANENT_FIELD_LABOR_HOURS)*TEMP_HOURLY_RATE-FIXED_SEASON_COST)</f>
        <v>18092.94434302</v>
      </c>
      <c r="AC307" s="53" t="n">
        <f aca="false">IF(OR($A307&gt;TOMATO_BED_CAP,$B307&gt;CARROT_BED_CAP,AC$4&gt;MESCLUN_BED_CAP,$A307+$B307+AC$4&gt;TOTAL_BEDS_AVAILABLE,($D307+AC$5)&gt;TOTAL_LABOR_HOURS_CAP,MAX(0,($D307+AC$5)-PERMANENT_FIELD_LABOR_HOURS)&gt;TEMP_HOURS_CAP),"",$C307+AC$6-MIN(($D307+AC$5),PERMANENT_FIELD_LABOR_HOURS)*PERMANENT_HOURLY_RATE-MAX(0,($D307+AC$5)-PERMANENT_FIELD_LABOR_HOURS)*TEMP_HOURLY_RATE-FIXED_SEASON_COST)</f>
        <v>18591.0395604549</v>
      </c>
      <c r="AD307" s="53" t="n">
        <f aca="false">IF(OR($A307&gt;TOMATO_BED_CAP,$B307&gt;CARROT_BED_CAP,AD$4&gt;MESCLUN_BED_CAP,$A307+$B307+AD$4&gt;TOTAL_BEDS_AVAILABLE,($D307+AD$5)&gt;TOTAL_LABOR_HOURS_CAP,MAX(0,($D307+AD$5)-PERMANENT_FIELD_LABOR_HOURS)&gt;TEMP_HOURS_CAP),"",$C307+AD$6-MIN(($D307+AD$5),PERMANENT_FIELD_LABOR_HOURS)*PERMANENT_HOURLY_RATE-MAX(0,($D307+AD$5)-PERMANENT_FIELD_LABOR_HOURS)*TEMP_HOURLY_RATE-FIXED_SEASON_COST)</f>
        <v>19059.6165157549</v>
      </c>
      <c r="AE307" s="53" t="str">
        <f aca="false">IF(OR($A307&gt;TOMATO_BED_CAP,$B307&gt;CARROT_BED_CAP,AE$4&gt;MESCLUN_BED_CAP,$A307+$B307+AE$4&gt;TOTAL_BEDS_AVAILABLE,($D307+AE$5)&gt;TOTAL_LABOR_HOURS_CAP,MAX(0,($D307+AE$5)-PERMANENT_FIELD_LABOR_HOURS)&gt;TEMP_HOURS_CAP),"",$C307+AE$6-MIN(($D307+AE$5),PERMANENT_FIELD_LABOR_HOURS)*PERMANENT_HOURLY_RATE-MAX(0,($D307+AE$5)-PERMANENT_FIELD_LABOR_HOURS)*TEMP_HOURLY_RATE-FIXED_SEASON_COST)</f>
        <v/>
      </c>
      <c r="AF307" s="53" t="str">
        <f aca="false">IF(OR($A307&gt;TOMATO_BED_CAP,$B307&gt;CARROT_BED_CAP,AF$4&gt;MESCLUN_BED_CAP,$A307+$B307+AF$4&gt;TOTAL_BEDS_AVAILABLE,($D307+AF$5)&gt;TOTAL_LABOR_HOURS_CAP,MAX(0,($D307+AF$5)-PERMANENT_FIELD_LABOR_HOURS)&gt;TEMP_HOURS_CAP),"",$C307+AF$6-MIN(($D307+AF$5),PERMANENT_FIELD_LABOR_HOURS)*PERMANENT_HOURLY_RATE-MAX(0,($D307+AF$5)-PERMANENT_FIELD_LABOR_HOURS)*TEMP_HOURLY_RATE-FIXED_SEASON_COST)</f>
        <v/>
      </c>
      <c r="AG307" s="53" t="str">
        <f aca="false">IF(OR($A307&gt;TOMATO_BED_CAP,$B307&gt;CARROT_BED_CAP,AG$4&gt;MESCLUN_BED_CAP,$A307+$B307+AG$4&gt;TOTAL_BEDS_AVAILABLE,($D307+AG$5)&gt;TOTAL_LABOR_HOURS_CAP,MAX(0,($D307+AG$5)-PERMANENT_FIELD_LABOR_HOURS)&gt;TEMP_HOURS_CAP),"",$C307+AG$6-MIN(($D307+AG$5),PERMANENT_FIELD_LABOR_HOURS)*PERMANENT_HOURLY_RATE-MAX(0,($D307+AG$5)-PERMANENT_FIELD_LABOR_HOURS)*TEMP_HOURLY_RATE-FIXED_SEASON_COST)</f>
        <v/>
      </c>
      <c r="AH307" s="53" t="str">
        <f aca="false">IF(OR($A307&gt;TOMATO_BED_CAP,$B307&gt;CARROT_BED_CAP,AH$4&gt;MESCLUN_BED_CAP,$A307+$B307+AH$4&gt;TOTAL_BEDS_AVAILABLE,($D307+AH$5)&gt;TOTAL_LABOR_HOURS_CAP,MAX(0,($D307+AH$5)-PERMANENT_FIELD_LABOR_HOURS)&gt;TEMP_HOURS_CAP),"",$C307+AH$6-MIN(($D307+AH$5),PERMANENT_FIELD_LABOR_HOURS)*PERMANENT_HOURLY_RATE-MAX(0,($D307+AH$5)-PERMANENT_FIELD_LABOR_HOURS)*TEMP_HOURLY_RATE-FIXED_SEASON_COST)</f>
        <v/>
      </c>
      <c r="AI307" s="53" t="str">
        <f aca="false">IF(OR($A307&gt;TOMATO_BED_CAP,$B307&gt;CARROT_BED_CAP,AI$4&gt;MESCLUN_BED_CAP,$A307+$B307+AI$4&gt;TOTAL_BEDS_AVAILABLE,($D307+AI$5)&gt;TOTAL_LABOR_HOURS_CAP,MAX(0,($D307+AI$5)-PERMANENT_FIELD_LABOR_HOURS)&gt;TEMP_HOURS_CAP),"",$C307+AI$6-MIN(($D307+AI$5),PERMANENT_FIELD_LABOR_HOURS)*PERMANENT_HOURLY_RATE-MAX(0,($D307+AI$5)-PERMANENT_FIELD_LABOR_HOURS)*TEMP_HOURLY_RATE-FIXED_SEASON_COST)</f>
        <v/>
      </c>
      <c r="AJ307" s="53" t="str">
        <f aca="false">IF(OR($A307&gt;TOMATO_BED_CAP,$B307&gt;CARROT_BED_CAP,AJ$4&gt;MESCLUN_BED_CAP,$A307+$B307+AJ$4&gt;TOTAL_BEDS_AVAILABLE,($D307+AJ$5)&gt;TOTAL_LABOR_HOURS_CAP,MAX(0,($D307+AJ$5)-PERMANENT_FIELD_LABOR_HOURS)&gt;TEMP_HOURS_CAP),"",$C307+AJ$6-MIN(($D307+AJ$5),PERMANENT_FIELD_LABOR_HOURS)*PERMANENT_HOURLY_RATE-MAX(0,($D307+AJ$5)-PERMANENT_FIELD_LABOR_HOURS)*TEMP_HOURLY_RATE-FIXED_SEASON_COST)</f>
        <v/>
      </c>
    </row>
    <row r="308" customFormat="false" ht="15" hidden="false" customHeight="false" outlineLevel="0" collapsed="false">
      <c r="A308" s="21" t="n">
        <f aca="false">INT((ROW()-ROW($A$8))/(20+1))</f>
        <v>14</v>
      </c>
      <c r="B308" s="21" t="n">
        <f aca="false">MOD(ROW()-ROW($A$8),20+1)</f>
        <v>6</v>
      </c>
      <c r="C308" s="13" t="n">
        <f aca="false">A308*(TOMATO_REVENUE_PER_BED-TOMATO_FERTILIZER_PER_BED)+B308*(CARROT_REVENUE_PER_BED-CARROT_FERTILIZER_PER_BED)</f>
        <v>120804</v>
      </c>
      <c r="D308" s="14" t="n">
        <f aca="false">INDEX(TOMATO_SCHED_LABOR_HRS,A308+1)+INDEX(CARROT_SCHED_LABOR_HRS,B308+1)</f>
        <v>4993.50922050105</v>
      </c>
      <c r="E308" s="13" t="n">
        <f aca="false">IF(COUNT(F308:AJ308)=0,"",MAX(F308:AJ308))</f>
        <v>20036.2645580932</v>
      </c>
      <c r="F308" s="53" t="n">
        <f aca="false">IF(OR($A308&gt;TOMATO_BED_CAP,$B308&gt;CARROT_BED_CAP,F$4&gt;MESCLUN_BED_CAP,$A308+$B308+F$4&gt;TOTAL_BEDS_AVAILABLE,($D308+F$5)&gt;TOTAL_LABOR_HOURS_CAP,MAX(0,($D308+F$5)-PERMANENT_FIELD_LABOR_HOURS)&gt;TEMP_HOURS_CAP),"",$C308+F$6-MIN(($D308+F$5),PERMANENT_FIELD_LABOR_HOURS)*PERMANENT_HOURLY_RATE-MAX(0,($D308+F$5)-PERMANENT_FIELD_LABOR_HOURS)*TEMP_HOURLY_RATE-FIXED_SEASON_COST)</f>
        <v>1617.47993210175</v>
      </c>
      <c r="G308" s="53" t="n">
        <f aca="false">IF(OR($A308&gt;TOMATO_BED_CAP,$B308&gt;CARROT_BED_CAP,G$4&gt;MESCLUN_BED_CAP,$A308+$B308+G$4&gt;TOTAL_BEDS_AVAILABLE,($D308+G$5)&gt;TOTAL_LABOR_HOURS_CAP,MAX(0,($D308+G$5)-PERMANENT_FIELD_LABOR_HOURS)&gt;TEMP_HOURS_CAP),"",$C308+G$6-MIN(($D308+G$5),PERMANENT_FIELD_LABOR_HOURS)*PERMANENT_HOURLY_RATE-MAX(0,($D308+G$5)-PERMANENT_FIELD_LABOR_HOURS)*TEMP_HOURLY_RATE-FIXED_SEASON_COST)</f>
        <v>2646.51493210175</v>
      </c>
      <c r="H308" s="53" t="n">
        <f aca="false">IF(OR($A308&gt;TOMATO_BED_CAP,$B308&gt;CARROT_BED_CAP,H$4&gt;MESCLUN_BED_CAP,$A308+$B308+H$4&gt;TOTAL_BEDS_AVAILABLE,($D308+H$5)&gt;TOTAL_LABOR_HOURS_CAP,MAX(0,($D308+H$5)-PERMANENT_FIELD_LABOR_HOURS)&gt;TEMP_HOURS_CAP),"",$C308+H$6-MIN(($D308+H$5),PERMANENT_FIELD_LABOR_HOURS)*PERMANENT_HOURLY_RATE-MAX(0,($D308+H$5)-PERMANENT_FIELD_LABOR_HOURS)*TEMP_HOURLY_RATE-FIXED_SEASON_COST)</f>
        <v>3655.77580710175</v>
      </c>
      <c r="I308" s="53" t="n">
        <f aca="false">IF(OR($A308&gt;TOMATO_BED_CAP,$B308&gt;CARROT_BED_CAP,I$4&gt;MESCLUN_BED_CAP,$A308+$B308+I$4&gt;TOTAL_BEDS_AVAILABLE,($D308+I$5)&gt;TOTAL_LABOR_HOURS_CAP,MAX(0,($D308+I$5)-PERMANENT_FIELD_LABOR_HOURS)&gt;TEMP_HOURS_CAP),"",$C308+I$6-MIN(($D308+I$5),PERMANENT_FIELD_LABOR_HOURS)*PERMANENT_HOURLY_RATE-MAX(0,($D308+I$5)-PERMANENT_FIELD_LABOR_HOURS)*TEMP_HOURLY_RATE-FIXED_SEASON_COST)</f>
        <v>4644.891792258</v>
      </c>
      <c r="J308" s="53" t="n">
        <f aca="false">IF(OR($A308&gt;TOMATO_BED_CAP,$B308&gt;CARROT_BED_CAP,J$4&gt;MESCLUN_BED_CAP,$A308+$B308+J$4&gt;TOTAL_BEDS_AVAILABLE,($D308+J$5)&gt;TOTAL_LABOR_HOURS_CAP,MAX(0,($D308+J$5)-PERMANENT_FIELD_LABOR_HOURS)&gt;TEMP_HOURS_CAP),"",$C308+J$6-MIN(($D308+J$5),PERMANENT_FIELD_LABOR_HOURS)*PERMANENT_HOURLY_RATE-MAX(0,($D308+J$5)-PERMANENT_FIELD_LABOR_HOURS)*TEMP_HOURLY_RATE-FIXED_SEASON_COST)</f>
        <v>5613.4859433127</v>
      </c>
      <c r="K308" s="53" t="n">
        <f aca="false">IF(OR($A308&gt;TOMATO_BED_CAP,$B308&gt;CARROT_BED_CAP,K$4&gt;MESCLUN_BED_CAP,$A308+$B308+K$4&gt;TOTAL_BEDS_AVAILABLE,($D308+K$5)&gt;TOTAL_LABOR_HOURS_CAP,MAX(0,($D308+K$5)-PERMANENT_FIELD_LABOR_HOURS)&gt;TEMP_HOURS_CAP),"",$C308+K$6-MIN(($D308+K$5),PERMANENT_FIELD_LABOR_HOURS)*PERMANENT_HOURLY_RATE-MAX(0,($D308+K$5)-PERMANENT_FIELD_LABOR_HOURS)*TEMP_HOURLY_RATE-FIXED_SEASON_COST)</f>
        <v>6561.1750400406</v>
      </c>
      <c r="L308" s="53" t="n">
        <f aca="false">IF(OR($A308&gt;TOMATO_BED_CAP,$B308&gt;CARROT_BED_CAP,L$4&gt;MESCLUN_BED_CAP,$A308+$B308+L$4&gt;TOTAL_BEDS_AVAILABLE,($D308+L$5)&gt;TOTAL_LABOR_HOURS_CAP,MAX(0,($D308+L$5)-PERMANENT_FIELD_LABOR_HOURS)&gt;TEMP_HOURS_CAP),"",$C308+L$6-MIN(($D308+L$5),PERMANENT_FIELD_LABOR_HOURS)*PERMANENT_HOURLY_RATE-MAX(0,($D308+L$5)-PERMANENT_FIELD_LABOR_HOURS)*TEMP_HOURLY_RATE-FIXED_SEASON_COST)</f>
        <v>7487.56948824745</v>
      </c>
      <c r="M308" s="53" t="n">
        <f aca="false">IF(OR($A308&gt;TOMATO_BED_CAP,$B308&gt;CARROT_BED_CAP,M$4&gt;MESCLUN_BED_CAP,$A308+$B308+M$4&gt;TOTAL_BEDS_AVAILABLE,($D308+M$5)&gt;TOTAL_LABOR_HOURS_CAP,MAX(0,($D308+M$5)-PERMANENT_FIELD_LABOR_HOURS)&gt;TEMP_HOURS_CAP),"",$C308+M$6-MIN(($D308+M$5),PERMANENT_FIELD_LABOR_HOURS)*PERMANENT_HOURLY_RATE-MAX(0,($D308+M$5)-PERMANENT_FIELD_LABOR_HOURS)*TEMP_HOURLY_RATE-FIXED_SEASON_COST)</f>
        <v>8392.27322029886</v>
      </c>
      <c r="N308" s="53" t="n">
        <f aca="false">IF(OR($A308&gt;TOMATO_BED_CAP,$B308&gt;CARROT_BED_CAP,N$4&gt;MESCLUN_BED_CAP,$A308+$B308+N$4&gt;TOTAL_BEDS_AVAILABLE,($D308+N$5)&gt;TOTAL_LABOR_HOURS_CAP,MAX(0,($D308+N$5)-PERMANENT_FIELD_LABOR_HOURS)&gt;TEMP_HOURS_CAP),"",$C308+N$6-MIN(($D308+N$5),PERMANENT_FIELD_LABOR_HOURS)*PERMANENT_HOURLY_RATE-MAX(0,($D308+N$5)-PERMANENT_FIELD_LABOR_HOURS)*TEMP_HOURLY_RATE-FIXED_SEASON_COST)</f>
        <v>9274.88359415841</v>
      </c>
      <c r="O308" s="53" t="n">
        <f aca="false">IF(OR($A308&gt;TOMATO_BED_CAP,$B308&gt;CARROT_BED_CAP,O$4&gt;MESCLUN_BED_CAP,$A308+$B308+O$4&gt;TOTAL_BEDS_AVAILABLE,($D308+O$5)&gt;TOTAL_LABOR_HOURS_CAP,MAX(0,($D308+O$5)-PERMANENT_FIELD_LABOR_HOURS)&gt;TEMP_HOURS_CAP),"",$C308+O$6-MIN(($D308+O$5),PERMANENT_FIELD_LABOR_HOURS)*PERMANENT_HOURLY_RATE-MAX(0,($D308+O$5)-PERMANENT_FIELD_LABOR_HOURS)*TEMP_HOURLY_RATE-FIXED_SEASON_COST)</f>
        <v>10134.9912909132</v>
      </c>
      <c r="P308" s="53" t="n">
        <f aca="false">IF(OR($A308&gt;TOMATO_BED_CAP,$B308&gt;CARROT_BED_CAP,P$4&gt;MESCLUN_BED_CAP,$A308+$B308+P$4&gt;TOTAL_BEDS_AVAILABLE,($D308+P$5)&gt;TOTAL_LABOR_HOURS_CAP,MAX(0,($D308+P$5)-PERMANENT_FIELD_LABOR_HOURS)&gt;TEMP_HOURS_CAP),"",$C308+P$6-MIN(($D308+P$5),PERMANENT_FIELD_LABOR_HOURS)*PERMANENT_HOURLY_RATE-MAX(0,($D308+P$5)-PERMANENT_FIELD_LABOR_HOURS)*TEMP_HOURLY_RATE-FIXED_SEASON_COST)</f>
        <v>10972.1802107646</v>
      </c>
      <c r="Q308" s="53" t="n">
        <f aca="false">IF(OR($A308&gt;TOMATO_BED_CAP,$B308&gt;CARROT_BED_CAP,Q$4&gt;MESCLUN_BED_CAP,$A308+$B308+Q$4&gt;TOTAL_BEDS_AVAILABLE,($D308+Q$5)&gt;TOTAL_LABOR_HOURS_CAP,MAX(0,($D308+Q$5)-PERMANENT_FIELD_LABOR_HOURS)&gt;TEMP_HOURS_CAP),"",$C308+Q$6-MIN(($D308+Q$5),PERMANENT_FIELD_LABOR_HOURS)*PERMANENT_HOURLY_RATE-MAX(0,($D308+Q$5)-PERMANENT_FIELD_LABOR_HOURS)*TEMP_HOURLY_RATE-FIXED_SEASON_COST)</f>
        <v>11786.0273674625</v>
      </c>
      <c r="R308" s="53" t="n">
        <f aca="false">IF(OR($A308&gt;TOMATO_BED_CAP,$B308&gt;CARROT_BED_CAP,R$4&gt;MESCLUN_BED_CAP,$A308+$B308+R$4&gt;TOTAL_BEDS_AVAILABLE,($D308+R$5)&gt;TOTAL_LABOR_HOURS_CAP,MAX(0,($D308+R$5)-PERMANENT_FIELD_LABOR_HOURS)&gt;TEMP_HOURS_CAP),"",$C308+R$6-MIN(($D308+R$5),PERMANENT_FIELD_LABOR_HOURS)*PERMANENT_HOURLY_RATE-MAX(0,($D308+R$5)-PERMANENT_FIELD_LABOR_HOURS)*TEMP_HOURLY_RATE-FIXED_SEASON_COST)</f>
        <v>12576.1027811593</v>
      </c>
      <c r="S308" s="53" t="n">
        <f aca="false">IF(OR($A308&gt;TOMATO_BED_CAP,$B308&gt;CARROT_BED_CAP,S$4&gt;MESCLUN_BED_CAP,$A308+$B308+S$4&gt;TOTAL_BEDS_AVAILABLE,($D308+S$5)&gt;TOTAL_LABOR_HOURS_CAP,MAX(0,($D308+S$5)-PERMANENT_FIELD_LABOR_HOURS)&gt;TEMP_HOURS_CAP),"",$C308+S$6-MIN(($D308+S$5),PERMANENT_FIELD_LABOR_HOURS)*PERMANENT_HOURLY_RATE-MAX(0,($D308+S$5)-PERMANENT_FIELD_LABOR_HOURS)*TEMP_HOURLY_RATE-FIXED_SEASON_COST)</f>
        <v>13341.9693696617</v>
      </c>
      <c r="T308" s="53" t="n">
        <f aca="false">IF(OR($A308&gt;TOMATO_BED_CAP,$B308&gt;CARROT_BED_CAP,T$4&gt;MESCLUN_BED_CAP,$A308+$B308+T$4&gt;TOTAL_BEDS_AVAILABLE,($D308+T$5)&gt;TOTAL_LABOR_HOURS_CAP,MAX(0,($D308+T$5)-PERMANENT_FIELD_LABOR_HOURS)&gt;TEMP_HOURS_CAP),"",$C308+T$6-MIN(($D308+T$5),PERMANENT_FIELD_LABOR_HOURS)*PERMANENT_HOURLY_RATE-MAX(0,($D308+T$5)-PERMANENT_FIELD_LABOR_HOURS)*TEMP_HOURLY_RATE-FIXED_SEASON_COST)</f>
        <v>14083.1828380566</v>
      </c>
      <c r="U308" s="53" t="n">
        <f aca="false">IF(OR($A308&gt;TOMATO_BED_CAP,$B308&gt;CARROT_BED_CAP,U$4&gt;MESCLUN_BED_CAP,$A308+$B308+U$4&gt;TOTAL_BEDS_AVAILABLE,($D308+U$5)&gt;TOTAL_LABOR_HOURS_CAP,MAX(0,($D308+U$5)-PERMANENT_FIELD_LABOR_HOURS)&gt;TEMP_HOURS_CAP),"",$C308+U$6-MIN(($D308+U$5),PERMANENT_FIELD_LABOR_HOURS)*PERMANENT_HOURLY_RATE-MAX(0,($D308+U$5)-PERMANENT_FIELD_LABOR_HOURS)*TEMP_HOURLY_RATE-FIXED_SEASON_COST)</f>
        <v>14799.2915666867</v>
      </c>
      <c r="V308" s="53" t="n">
        <f aca="false">IF(OR($A308&gt;TOMATO_BED_CAP,$B308&gt;CARROT_BED_CAP,V$4&gt;MESCLUN_BED_CAP,$A308+$B308+V$4&gt;TOTAL_BEDS_AVAILABLE,($D308+V$5)&gt;TOTAL_LABOR_HOURS_CAP,MAX(0,($D308+V$5)-PERMANENT_FIELD_LABOR_HOURS)&gt;TEMP_HOURS_CAP),"",$C308+V$6-MIN(($D308+V$5),PERMANENT_FIELD_LABOR_HOURS)*PERMANENT_HOURLY_RATE-MAX(0,($D308+V$5)-PERMANENT_FIELD_LABOR_HOURS)*TEMP_HOURLY_RATE-FIXED_SEASON_COST)</f>
        <v>15489.8364974535</v>
      </c>
      <c r="W308" s="53" t="n">
        <f aca="false">IF(OR($A308&gt;TOMATO_BED_CAP,$B308&gt;CARROT_BED_CAP,W$4&gt;MESCLUN_BED_CAP,$A308+$B308+W$4&gt;TOTAL_BEDS_AVAILABLE,($D308+W$5)&gt;TOTAL_LABOR_HOURS_CAP,MAX(0,($D308+W$5)-PERMANENT_FIELD_LABOR_HOURS)&gt;TEMP_HOURS_CAP),"",$C308+W$6-MIN(($D308+W$5),PERMANENT_FIELD_LABOR_HOURS)*PERMANENT_HOURLY_RATE-MAX(0,($D308+W$5)-PERMANENT_FIELD_LABOR_HOURS)*TEMP_HOURLY_RATE-FIXED_SEASON_COST)</f>
        <v>16154.3510184215</v>
      </c>
      <c r="X308" s="53" t="n">
        <f aca="false">IF(OR($A308&gt;TOMATO_BED_CAP,$B308&gt;CARROT_BED_CAP,X$4&gt;MESCLUN_BED_CAP,$A308+$B308+X$4&gt;TOTAL_BEDS_AVAILABLE,($D308+X$5)&gt;TOTAL_LABOR_HOURS_CAP,MAX(0,($D308+X$5)-PERMANENT_FIELD_LABOR_HOURS)&gt;TEMP_HOURS_CAP),"",$C308+X$6-MIN(($D308+X$5),PERMANENT_FIELD_LABOR_HOURS)*PERMANENT_HOURLY_RATE-MAX(0,($D308+X$5)-PERMANENT_FIELD_LABOR_HOURS)*TEMP_HOURLY_RATE-FIXED_SEASON_COST)</f>
        <v>16792.3608467005</v>
      </c>
      <c r="Y308" s="53" t="n">
        <f aca="false">IF(OR($A308&gt;TOMATO_BED_CAP,$B308&gt;CARROT_BED_CAP,Y$4&gt;MESCLUN_BED_CAP,$A308+$B308+Y$4&gt;TOTAL_BEDS_AVAILABLE,($D308+Y$5)&gt;TOTAL_LABOR_HOURS_CAP,MAX(0,($D308+Y$5)-PERMANENT_FIELD_LABOR_HOURS)&gt;TEMP_HOURS_CAP),"",$C308+Y$6-MIN(($D308+Y$5),PERMANENT_FIELD_LABOR_HOURS)*PERMANENT_HOURLY_RATE-MAX(0,($D308+Y$5)-PERMANENT_FIELD_LABOR_HOURS)*TEMP_HOURLY_RATE-FIXED_SEASON_COST)</f>
        <v>17403.3839095791</v>
      </c>
      <c r="Z308" s="53" t="n">
        <f aca="false">IF(OR($A308&gt;TOMATO_BED_CAP,$B308&gt;CARROT_BED_CAP,Z$4&gt;MESCLUN_BED_CAP,$A308+$B308+Z$4&gt;TOTAL_BEDS_AVAILABLE,($D308+Z$5)&gt;TOTAL_LABOR_HOURS_CAP,MAX(0,($D308+Z$5)-PERMANENT_FIELD_LABOR_HOURS)&gt;TEMP_HOURS_CAP),"",$C308+Z$6-MIN(($D308+Z$5),PERMANENT_FIELD_LABOR_HOURS)*PERMANENT_HOURLY_RATE-MAX(0,($D308+Z$5)-PERMANENT_FIELD_LABOR_HOURS)*TEMP_HOURLY_RATE-FIXED_SEASON_COST)</f>
        <v>17986.9302238868</v>
      </c>
      <c r="AA308" s="53" t="n">
        <f aca="false">IF(OR($A308&gt;TOMATO_BED_CAP,$B308&gt;CARROT_BED_CAP,AA$4&gt;MESCLUN_BED_CAP,$A308+$B308+AA$4&gt;TOTAL_BEDS_AVAILABLE,($D308+AA$5)&gt;TOTAL_LABOR_HOURS_CAP,MAX(0,($D308+AA$5)-PERMANENT_FIELD_LABOR_HOURS)&gt;TEMP_HOURS_CAP),"",$C308+AA$6-MIN(($D308+AA$5),PERMANENT_FIELD_LABOR_HOURS)*PERMANENT_HOURLY_RATE-MAX(0,($D308+AA$5)-PERMANENT_FIELD_LABOR_HOURS)*TEMP_HOURLY_RATE-FIXED_SEASON_COST)</f>
        <v>18542.5017735558</v>
      </c>
      <c r="AB308" s="53" t="n">
        <f aca="false">IF(OR($A308&gt;TOMATO_BED_CAP,$B308&gt;CARROT_BED_CAP,AB$4&gt;MESCLUN_BED_CAP,$A308+$B308+AB$4&gt;TOTAL_BEDS_AVAILABLE,($D308+AB$5)&gt;TOTAL_LABOR_HOURS_CAP,MAX(0,($D308+AB$5)-PERMANENT_FIELD_LABOR_HOURS)&gt;TEMP_HOURS_CAP),"",$C308+AB$6-MIN(($D308+AB$5),PERMANENT_FIELD_LABOR_HOURS)*PERMANENT_HOURLY_RATE-MAX(0,($D308+AB$5)-PERMANENT_FIELD_LABOR_HOURS)*TEMP_HOURLY_RATE-FIXED_SEASON_COST)</f>
        <v>19069.5923853583</v>
      </c>
      <c r="AC308" s="53" t="n">
        <f aca="false">IF(OR($A308&gt;TOMATO_BED_CAP,$B308&gt;CARROT_BED_CAP,AC$4&gt;MESCLUN_BED_CAP,$A308+$B308+AC$4&gt;TOTAL_BEDS_AVAILABLE,($D308+AC$5)&gt;TOTAL_LABOR_HOURS_CAP,MAX(0,($D308+AC$5)-PERMANENT_FIELD_LABOR_HOURS)&gt;TEMP_HOURS_CAP),"",$C308+AC$6-MIN(($D308+AC$5),PERMANENT_FIELD_LABOR_HOURS)*PERMANENT_HOURLY_RATE-MAX(0,($D308+AC$5)-PERMANENT_FIELD_LABOR_HOURS)*TEMP_HOURLY_RATE-FIXED_SEASON_COST)</f>
        <v>19567.6876027932</v>
      </c>
      <c r="AD308" s="53" t="n">
        <f aca="false">IF(OR($A308&gt;TOMATO_BED_CAP,$B308&gt;CARROT_BED_CAP,AD$4&gt;MESCLUN_BED_CAP,$A308+$B308+AD$4&gt;TOTAL_BEDS_AVAILABLE,($D308+AD$5)&gt;TOTAL_LABOR_HOURS_CAP,MAX(0,($D308+AD$5)-PERMANENT_FIELD_LABOR_HOURS)&gt;TEMP_HOURS_CAP),"",$C308+AD$6-MIN(($D308+AD$5),PERMANENT_FIELD_LABOR_HOURS)*PERMANENT_HOURLY_RATE-MAX(0,($D308+AD$5)-PERMANENT_FIELD_LABOR_HOURS)*TEMP_HOURLY_RATE-FIXED_SEASON_COST)</f>
        <v>20036.2645580932</v>
      </c>
      <c r="AE308" s="53" t="str">
        <f aca="false">IF(OR($A308&gt;TOMATO_BED_CAP,$B308&gt;CARROT_BED_CAP,AE$4&gt;MESCLUN_BED_CAP,$A308+$B308+AE$4&gt;TOTAL_BEDS_AVAILABLE,($D308+AE$5)&gt;TOTAL_LABOR_HOURS_CAP,MAX(0,($D308+AE$5)-PERMANENT_FIELD_LABOR_HOURS)&gt;TEMP_HOURS_CAP),"",$C308+AE$6-MIN(($D308+AE$5),PERMANENT_FIELD_LABOR_HOURS)*PERMANENT_HOURLY_RATE-MAX(0,($D308+AE$5)-PERMANENT_FIELD_LABOR_HOURS)*TEMP_HOURLY_RATE-FIXED_SEASON_COST)</f>
        <v/>
      </c>
      <c r="AF308" s="53" t="str">
        <f aca="false">IF(OR($A308&gt;TOMATO_BED_CAP,$B308&gt;CARROT_BED_CAP,AF$4&gt;MESCLUN_BED_CAP,$A308+$B308+AF$4&gt;TOTAL_BEDS_AVAILABLE,($D308+AF$5)&gt;TOTAL_LABOR_HOURS_CAP,MAX(0,($D308+AF$5)-PERMANENT_FIELD_LABOR_HOURS)&gt;TEMP_HOURS_CAP),"",$C308+AF$6-MIN(($D308+AF$5),PERMANENT_FIELD_LABOR_HOURS)*PERMANENT_HOURLY_RATE-MAX(0,($D308+AF$5)-PERMANENT_FIELD_LABOR_HOURS)*TEMP_HOURLY_RATE-FIXED_SEASON_COST)</f>
        <v/>
      </c>
      <c r="AG308" s="53" t="str">
        <f aca="false">IF(OR($A308&gt;TOMATO_BED_CAP,$B308&gt;CARROT_BED_CAP,AG$4&gt;MESCLUN_BED_CAP,$A308+$B308+AG$4&gt;TOTAL_BEDS_AVAILABLE,($D308+AG$5)&gt;TOTAL_LABOR_HOURS_CAP,MAX(0,($D308+AG$5)-PERMANENT_FIELD_LABOR_HOURS)&gt;TEMP_HOURS_CAP),"",$C308+AG$6-MIN(($D308+AG$5),PERMANENT_FIELD_LABOR_HOURS)*PERMANENT_HOURLY_RATE-MAX(0,($D308+AG$5)-PERMANENT_FIELD_LABOR_HOURS)*TEMP_HOURLY_RATE-FIXED_SEASON_COST)</f>
        <v/>
      </c>
      <c r="AH308" s="53" t="str">
        <f aca="false">IF(OR($A308&gt;TOMATO_BED_CAP,$B308&gt;CARROT_BED_CAP,AH$4&gt;MESCLUN_BED_CAP,$A308+$B308+AH$4&gt;TOTAL_BEDS_AVAILABLE,($D308+AH$5)&gt;TOTAL_LABOR_HOURS_CAP,MAX(0,($D308+AH$5)-PERMANENT_FIELD_LABOR_HOURS)&gt;TEMP_HOURS_CAP),"",$C308+AH$6-MIN(($D308+AH$5),PERMANENT_FIELD_LABOR_HOURS)*PERMANENT_HOURLY_RATE-MAX(0,($D308+AH$5)-PERMANENT_FIELD_LABOR_HOURS)*TEMP_HOURLY_RATE-FIXED_SEASON_COST)</f>
        <v/>
      </c>
      <c r="AI308" s="53" t="str">
        <f aca="false">IF(OR($A308&gt;TOMATO_BED_CAP,$B308&gt;CARROT_BED_CAP,AI$4&gt;MESCLUN_BED_CAP,$A308+$B308+AI$4&gt;TOTAL_BEDS_AVAILABLE,($D308+AI$5)&gt;TOTAL_LABOR_HOURS_CAP,MAX(0,($D308+AI$5)-PERMANENT_FIELD_LABOR_HOURS)&gt;TEMP_HOURS_CAP),"",$C308+AI$6-MIN(($D308+AI$5),PERMANENT_FIELD_LABOR_HOURS)*PERMANENT_HOURLY_RATE-MAX(0,($D308+AI$5)-PERMANENT_FIELD_LABOR_HOURS)*TEMP_HOURLY_RATE-FIXED_SEASON_COST)</f>
        <v/>
      </c>
      <c r="AJ308" s="53" t="str">
        <f aca="false">IF(OR($A308&gt;TOMATO_BED_CAP,$B308&gt;CARROT_BED_CAP,AJ$4&gt;MESCLUN_BED_CAP,$A308+$B308+AJ$4&gt;TOTAL_BEDS_AVAILABLE,($D308+AJ$5)&gt;TOTAL_LABOR_HOURS_CAP,MAX(0,($D308+AJ$5)-PERMANENT_FIELD_LABOR_HOURS)&gt;TEMP_HOURS_CAP),"",$C308+AJ$6-MIN(($D308+AJ$5),PERMANENT_FIELD_LABOR_HOURS)*PERMANENT_HOURLY_RATE-MAX(0,($D308+AJ$5)-PERMANENT_FIELD_LABOR_HOURS)*TEMP_HOURLY_RATE-FIXED_SEASON_COST)</f>
        <v/>
      </c>
    </row>
    <row r="309" customFormat="false" ht="15" hidden="false" customHeight="false" outlineLevel="0" collapsed="false">
      <c r="A309" s="21" t="n">
        <f aca="false">INT((ROW()-ROW($A$8))/(20+1))</f>
        <v>14</v>
      </c>
      <c r="B309" s="21" t="n">
        <f aca="false">MOD(ROW()-ROW($A$8),20+1)</f>
        <v>7</v>
      </c>
      <c r="C309" s="13" t="n">
        <f aca="false">A309*(TOMATO_REVENUE_PER_BED-TOMATO_FERTILIZER_PER_BED)+B309*(CARROT_REVENUE_PER_BED-CARROT_FERTILIZER_PER_BED)</f>
        <v>122458</v>
      </c>
      <c r="D309" s="14" t="n">
        <f aca="false">INDEX(TOMATO_SCHED_LABOR_HRS,A309+1)+INDEX(CARROT_SCHED_LABOR_HRS,B309+1)</f>
        <v>5034.37206181586</v>
      </c>
      <c r="E309" s="13" t="n">
        <f aca="false">IF(COUNT(F309:AJ309)=0,"",MAX(F309:AJ309))</f>
        <v>20512.3086775682</v>
      </c>
      <c r="F309" s="53" t="n">
        <f aca="false">IF(OR($A309&gt;TOMATO_BED_CAP,$B309&gt;CARROT_BED_CAP,F$4&gt;MESCLUN_BED_CAP,$A309+$B309+F$4&gt;TOTAL_BEDS_AVAILABLE,($D309+F$5)&gt;TOTAL_LABOR_HOURS_CAP,MAX(0,($D309+F$5)-PERMANENT_FIELD_LABOR_HOURS)&gt;TEMP_HOURS_CAP),"",$C309+F$6-MIN(($D309+F$5),PERMANENT_FIELD_LABOR_HOURS)*PERMANENT_HOURLY_RATE-MAX(0,($D309+F$5)-PERMANENT_FIELD_LABOR_HOURS)*TEMP_HOURLY_RATE-FIXED_SEASON_COST)</f>
        <v>2562.10100687671</v>
      </c>
      <c r="G309" s="53" t="n">
        <f aca="false">IF(OR($A309&gt;TOMATO_BED_CAP,$B309&gt;CARROT_BED_CAP,G$4&gt;MESCLUN_BED_CAP,$A309+$B309+G$4&gt;TOTAL_BEDS_AVAILABLE,($D309+G$5)&gt;TOTAL_LABOR_HOURS_CAP,MAX(0,($D309+G$5)-PERMANENT_FIELD_LABOR_HOURS)&gt;TEMP_HOURS_CAP),"",$C309+G$6-MIN(($D309+G$5),PERMANENT_FIELD_LABOR_HOURS)*PERMANENT_HOURLY_RATE-MAX(0,($D309+G$5)-PERMANENT_FIELD_LABOR_HOURS)*TEMP_HOURLY_RATE-FIXED_SEASON_COST)</f>
        <v>3591.13600687671</v>
      </c>
      <c r="H309" s="53" t="n">
        <f aca="false">IF(OR($A309&gt;TOMATO_BED_CAP,$B309&gt;CARROT_BED_CAP,H$4&gt;MESCLUN_BED_CAP,$A309+$B309+H$4&gt;TOTAL_BEDS_AVAILABLE,($D309+H$5)&gt;TOTAL_LABOR_HOURS_CAP,MAX(0,($D309+H$5)-PERMANENT_FIELD_LABOR_HOURS)&gt;TEMP_HOURS_CAP),"",$C309+H$6-MIN(($D309+H$5),PERMANENT_FIELD_LABOR_HOURS)*PERMANENT_HOURLY_RATE-MAX(0,($D309+H$5)-PERMANENT_FIELD_LABOR_HOURS)*TEMP_HOURLY_RATE-FIXED_SEASON_COST)</f>
        <v>4600.3968818767</v>
      </c>
      <c r="I309" s="53" t="n">
        <f aca="false">IF(OR($A309&gt;TOMATO_BED_CAP,$B309&gt;CARROT_BED_CAP,I$4&gt;MESCLUN_BED_CAP,$A309+$B309+I$4&gt;TOTAL_BEDS_AVAILABLE,($D309+I$5)&gt;TOTAL_LABOR_HOURS_CAP,MAX(0,($D309+I$5)-PERMANENT_FIELD_LABOR_HOURS)&gt;TEMP_HOURS_CAP),"",$C309+I$6-MIN(($D309+I$5),PERMANENT_FIELD_LABOR_HOURS)*PERMANENT_HOURLY_RATE-MAX(0,($D309+I$5)-PERMANENT_FIELD_LABOR_HOURS)*TEMP_HOURLY_RATE-FIXED_SEASON_COST)</f>
        <v>5589.51286703294</v>
      </c>
      <c r="J309" s="53" t="n">
        <f aca="false">IF(OR($A309&gt;TOMATO_BED_CAP,$B309&gt;CARROT_BED_CAP,J$4&gt;MESCLUN_BED_CAP,$A309+$B309+J$4&gt;TOTAL_BEDS_AVAILABLE,($D309+J$5)&gt;TOTAL_LABOR_HOURS_CAP,MAX(0,($D309+J$5)-PERMANENT_FIELD_LABOR_HOURS)&gt;TEMP_HOURS_CAP),"",$C309+J$6-MIN(($D309+J$5),PERMANENT_FIELD_LABOR_HOURS)*PERMANENT_HOURLY_RATE-MAX(0,($D309+J$5)-PERMANENT_FIELD_LABOR_HOURS)*TEMP_HOURLY_RATE-FIXED_SEASON_COST)</f>
        <v>6558.10701808764</v>
      </c>
      <c r="K309" s="53" t="n">
        <f aca="false">IF(OR($A309&gt;TOMATO_BED_CAP,$B309&gt;CARROT_BED_CAP,K$4&gt;MESCLUN_BED_CAP,$A309+$B309+K$4&gt;TOTAL_BEDS_AVAILABLE,($D309+K$5)&gt;TOTAL_LABOR_HOURS_CAP,MAX(0,($D309+K$5)-PERMANENT_FIELD_LABOR_HOURS)&gt;TEMP_HOURS_CAP),"",$C309+K$6-MIN(($D309+K$5),PERMANENT_FIELD_LABOR_HOURS)*PERMANENT_HOURLY_RATE-MAX(0,($D309+K$5)-PERMANENT_FIELD_LABOR_HOURS)*TEMP_HOURLY_RATE-FIXED_SEASON_COST)</f>
        <v>7505.79611481555</v>
      </c>
      <c r="L309" s="53" t="n">
        <f aca="false">IF(OR($A309&gt;TOMATO_BED_CAP,$B309&gt;CARROT_BED_CAP,L$4&gt;MESCLUN_BED_CAP,$A309+$B309+L$4&gt;TOTAL_BEDS_AVAILABLE,($D309+L$5)&gt;TOTAL_LABOR_HOURS_CAP,MAX(0,($D309+L$5)-PERMANENT_FIELD_LABOR_HOURS)&gt;TEMP_HOURS_CAP),"",$C309+L$6-MIN(($D309+L$5),PERMANENT_FIELD_LABOR_HOURS)*PERMANENT_HOURLY_RATE-MAX(0,($D309+L$5)-PERMANENT_FIELD_LABOR_HOURS)*TEMP_HOURLY_RATE-FIXED_SEASON_COST)</f>
        <v>8432.19056302239</v>
      </c>
      <c r="M309" s="53" t="n">
        <f aca="false">IF(OR($A309&gt;TOMATO_BED_CAP,$B309&gt;CARROT_BED_CAP,M$4&gt;MESCLUN_BED_CAP,$A309+$B309+M$4&gt;TOTAL_BEDS_AVAILABLE,($D309+M$5)&gt;TOTAL_LABOR_HOURS_CAP,MAX(0,($D309+M$5)-PERMANENT_FIELD_LABOR_HOURS)&gt;TEMP_HOURS_CAP),"",$C309+M$6-MIN(($D309+M$5),PERMANENT_FIELD_LABOR_HOURS)*PERMANENT_HOURLY_RATE-MAX(0,($D309+M$5)-PERMANENT_FIELD_LABOR_HOURS)*TEMP_HOURLY_RATE-FIXED_SEASON_COST)</f>
        <v>9336.8942950738</v>
      </c>
      <c r="N309" s="53" t="n">
        <f aca="false">IF(OR($A309&gt;TOMATO_BED_CAP,$B309&gt;CARROT_BED_CAP,N$4&gt;MESCLUN_BED_CAP,$A309+$B309+N$4&gt;TOTAL_BEDS_AVAILABLE,($D309+N$5)&gt;TOTAL_LABOR_HOURS_CAP,MAX(0,($D309+N$5)-PERMANENT_FIELD_LABOR_HOURS)&gt;TEMP_HOURS_CAP),"",$C309+N$6-MIN(($D309+N$5),PERMANENT_FIELD_LABOR_HOURS)*PERMANENT_HOURLY_RATE-MAX(0,($D309+N$5)-PERMANENT_FIELD_LABOR_HOURS)*TEMP_HOURLY_RATE-FIXED_SEASON_COST)</f>
        <v>10219.5046689334</v>
      </c>
      <c r="O309" s="53" t="n">
        <f aca="false">IF(OR($A309&gt;TOMATO_BED_CAP,$B309&gt;CARROT_BED_CAP,O$4&gt;MESCLUN_BED_CAP,$A309+$B309+O$4&gt;TOTAL_BEDS_AVAILABLE,($D309+O$5)&gt;TOTAL_LABOR_HOURS_CAP,MAX(0,($D309+O$5)-PERMANENT_FIELD_LABOR_HOURS)&gt;TEMP_HOURS_CAP),"",$C309+O$6-MIN(($D309+O$5),PERMANENT_FIELD_LABOR_HOURS)*PERMANENT_HOURLY_RATE-MAX(0,($D309+O$5)-PERMANENT_FIELD_LABOR_HOURS)*TEMP_HOURLY_RATE-FIXED_SEASON_COST)</f>
        <v>11079.6123656881</v>
      </c>
      <c r="P309" s="53" t="n">
        <f aca="false">IF(OR($A309&gt;TOMATO_BED_CAP,$B309&gt;CARROT_BED_CAP,P$4&gt;MESCLUN_BED_CAP,$A309+$B309+P$4&gt;TOTAL_BEDS_AVAILABLE,($D309+P$5)&gt;TOTAL_LABOR_HOURS_CAP,MAX(0,($D309+P$5)-PERMANENT_FIELD_LABOR_HOURS)&gt;TEMP_HOURS_CAP),"",$C309+P$6-MIN(($D309+P$5),PERMANENT_FIELD_LABOR_HOURS)*PERMANENT_HOURLY_RATE-MAX(0,($D309+P$5)-PERMANENT_FIELD_LABOR_HOURS)*TEMP_HOURLY_RATE-FIXED_SEASON_COST)</f>
        <v>11916.8012855395</v>
      </c>
      <c r="Q309" s="53" t="n">
        <f aca="false">IF(OR($A309&gt;TOMATO_BED_CAP,$B309&gt;CARROT_BED_CAP,Q$4&gt;MESCLUN_BED_CAP,$A309+$B309+Q$4&gt;TOTAL_BEDS_AVAILABLE,($D309+Q$5)&gt;TOTAL_LABOR_HOURS_CAP,MAX(0,($D309+Q$5)-PERMANENT_FIELD_LABOR_HOURS)&gt;TEMP_HOURS_CAP),"",$C309+Q$6-MIN(($D309+Q$5),PERMANENT_FIELD_LABOR_HOURS)*PERMANENT_HOURLY_RATE-MAX(0,($D309+Q$5)-PERMANENT_FIELD_LABOR_HOURS)*TEMP_HOURLY_RATE-FIXED_SEASON_COST)</f>
        <v>12730.6484422374</v>
      </c>
      <c r="R309" s="53" t="n">
        <f aca="false">IF(OR($A309&gt;TOMATO_BED_CAP,$B309&gt;CARROT_BED_CAP,R$4&gt;MESCLUN_BED_CAP,$A309+$B309+R$4&gt;TOTAL_BEDS_AVAILABLE,($D309+R$5)&gt;TOTAL_LABOR_HOURS_CAP,MAX(0,($D309+R$5)-PERMANENT_FIELD_LABOR_HOURS)&gt;TEMP_HOURS_CAP),"",$C309+R$6-MIN(($D309+R$5),PERMANENT_FIELD_LABOR_HOURS)*PERMANENT_HOURLY_RATE-MAX(0,($D309+R$5)-PERMANENT_FIELD_LABOR_HOURS)*TEMP_HOURLY_RATE-FIXED_SEASON_COST)</f>
        <v>13520.7238559342</v>
      </c>
      <c r="S309" s="53" t="n">
        <f aca="false">IF(OR($A309&gt;TOMATO_BED_CAP,$B309&gt;CARROT_BED_CAP,S$4&gt;MESCLUN_BED_CAP,$A309+$B309+S$4&gt;TOTAL_BEDS_AVAILABLE,($D309+S$5)&gt;TOTAL_LABOR_HOURS_CAP,MAX(0,($D309+S$5)-PERMANENT_FIELD_LABOR_HOURS)&gt;TEMP_HOURS_CAP),"",$C309+S$6-MIN(($D309+S$5),PERMANENT_FIELD_LABOR_HOURS)*PERMANENT_HOURLY_RATE-MAX(0,($D309+S$5)-PERMANENT_FIELD_LABOR_HOURS)*TEMP_HOURLY_RATE-FIXED_SEASON_COST)</f>
        <v>14286.5904444367</v>
      </c>
      <c r="T309" s="53" t="n">
        <f aca="false">IF(OR($A309&gt;TOMATO_BED_CAP,$B309&gt;CARROT_BED_CAP,T$4&gt;MESCLUN_BED_CAP,$A309+$B309+T$4&gt;TOTAL_BEDS_AVAILABLE,($D309+T$5)&gt;TOTAL_LABOR_HOURS_CAP,MAX(0,($D309+T$5)-PERMANENT_FIELD_LABOR_HOURS)&gt;TEMP_HOURS_CAP),"",$C309+T$6-MIN(($D309+T$5),PERMANENT_FIELD_LABOR_HOURS)*PERMANENT_HOURLY_RATE-MAX(0,($D309+T$5)-PERMANENT_FIELD_LABOR_HOURS)*TEMP_HOURLY_RATE-FIXED_SEASON_COST)</f>
        <v>15027.8039128315</v>
      </c>
      <c r="U309" s="53" t="n">
        <f aca="false">IF(OR($A309&gt;TOMATO_BED_CAP,$B309&gt;CARROT_BED_CAP,U$4&gt;MESCLUN_BED_CAP,$A309+$B309+U$4&gt;TOTAL_BEDS_AVAILABLE,($D309+U$5)&gt;TOTAL_LABOR_HOURS_CAP,MAX(0,($D309+U$5)-PERMANENT_FIELD_LABOR_HOURS)&gt;TEMP_HOURS_CAP),"",$C309+U$6-MIN(($D309+U$5),PERMANENT_FIELD_LABOR_HOURS)*PERMANENT_HOURLY_RATE-MAX(0,($D309+U$5)-PERMANENT_FIELD_LABOR_HOURS)*TEMP_HOURLY_RATE-FIXED_SEASON_COST)</f>
        <v>15743.9126414616</v>
      </c>
      <c r="V309" s="53" t="n">
        <f aca="false">IF(OR($A309&gt;TOMATO_BED_CAP,$B309&gt;CARROT_BED_CAP,V$4&gt;MESCLUN_BED_CAP,$A309+$B309+V$4&gt;TOTAL_BEDS_AVAILABLE,($D309+V$5)&gt;TOTAL_LABOR_HOURS_CAP,MAX(0,($D309+V$5)-PERMANENT_FIELD_LABOR_HOURS)&gt;TEMP_HOURS_CAP),"",$C309+V$6-MIN(($D309+V$5),PERMANENT_FIELD_LABOR_HOURS)*PERMANENT_HOURLY_RATE-MAX(0,($D309+V$5)-PERMANENT_FIELD_LABOR_HOURS)*TEMP_HOURLY_RATE-FIXED_SEASON_COST)</f>
        <v>16434.4575722284</v>
      </c>
      <c r="W309" s="53" t="n">
        <f aca="false">IF(OR($A309&gt;TOMATO_BED_CAP,$B309&gt;CARROT_BED_CAP,W$4&gt;MESCLUN_BED_CAP,$A309+$B309+W$4&gt;TOTAL_BEDS_AVAILABLE,($D309+W$5)&gt;TOTAL_LABOR_HOURS_CAP,MAX(0,($D309+W$5)-PERMANENT_FIELD_LABOR_HOURS)&gt;TEMP_HOURS_CAP),"",$C309+W$6-MIN(($D309+W$5),PERMANENT_FIELD_LABOR_HOURS)*PERMANENT_HOURLY_RATE-MAX(0,($D309+W$5)-PERMANENT_FIELD_LABOR_HOURS)*TEMP_HOURLY_RATE-FIXED_SEASON_COST)</f>
        <v>17098.9720931965</v>
      </c>
      <c r="X309" s="53" t="n">
        <f aca="false">IF(OR($A309&gt;TOMATO_BED_CAP,$B309&gt;CARROT_BED_CAP,X$4&gt;MESCLUN_BED_CAP,$A309+$B309+X$4&gt;TOTAL_BEDS_AVAILABLE,($D309+X$5)&gt;TOTAL_LABOR_HOURS_CAP,MAX(0,($D309+X$5)-PERMANENT_FIELD_LABOR_HOURS)&gt;TEMP_HOURS_CAP),"",$C309+X$6-MIN(($D309+X$5),PERMANENT_FIELD_LABOR_HOURS)*PERMANENT_HOURLY_RATE-MAX(0,($D309+X$5)-PERMANENT_FIELD_LABOR_HOURS)*TEMP_HOURLY_RATE-FIXED_SEASON_COST)</f>
        <v>17736.9819214754</v>
      </c>
      <c r="Y309" s="53" t="n">
        <f aca="false">IF(OR($A309&gt;TOMATO_BED_CAP,$B309&gt;CARROT_BED_CAP,Y$4&gt;MESCLUN_BED_CAP,$A309+$B309+Y$4&gt;TOTAL_BEDS_AVAILABLE,($D309+Y$5)&gt;TOTAL_LABOR_HOURS_CAP,MAX(0,($D309+Y$5)-PERMANENT_FIELD_LABOR_HOURS)&gt;TEMP_HOURS_CAP),"",$C309+Y$6-MIN(($D309+Y$5),PERMANENT_FIELD_LABOR_HOURS)*PERMANENT_HOURLY_RATE-MAX(0,($D309+Y$5)-PERMANENT_FIELD_LABOR_HOURS)*TEMP_HOURLY_RATE-FIXED_SEASON_COST)</f>
        <v>18348.004984354</v>
      </c>
      <c r="Z309" s="53" t="n">
        <f aca="false">IF(OR($A309&gt;TOMATO_BED_CAP,$B309&gt;CARROT_BED_CAP,Z$4&gt;MESCLUN_BED_CAP,$A309+$B309+Z$4&gt;TOTAL_BEDS_AVAILABLE,($D309+Z$5)&gt;TOTAL_LABOR_HOURS_CAP,MAX(0,($D309+Z$5)-PERMANENT_FIELD_LABOR_HOURS)&gt;TEMP_HOURS_CAP),"",$C309+Z$6-MIN(($D309+Z$5),PERMANENT_FIELD_LABOR_HOURS)*PERMANENT_HOURLY_RATE-MAX(0,($D309+Z$5)-PERMANENT_FIELD_LABOR_HOURS)*TEMP_HOURLY_RATE-FIXED_SEASON_COST)</f>
        <v>18931.5512986618</v>
      </c>
      <c r="AA309" s="53" t="n">
        <f aca="false">IF(OR($A309&gt;TOMATO_BED_CAP,$B309&gt;CARROT_BED_CAP,AA$4&gt;MESCLUN_BED_CAP,$A309+$B309+AA$4&gt;TOTAL_BEDS_AVAILABLE,($D309+AA$5)&gt;TOTAL_LABOR_HOURS_CAP,MAX(0,($D309+AA$5)-PERMANENT_FIELD_LABOR_HOURS)&gt;TEMP_HOURS_CAP),"",$C309+AA$6-MIN(($D309+AA$5),PERMANENT_FIELD_LABOR_HOURS)*PERMANENT_HOURLY_RATE-MAX(0,($D309+AA$5)-PERMANENT_FIELD_LABOR_HOURS)*TEMP_HOURLY_RATE-FIXED_SEASON_COST)</f>
        <v>19487.1228483307</v>
      </c>
      <c r="AB309" s="53" t="n">
        <f aca="false">IF(OR($A309&gt;TOMATO_BED_CAP,$B309&gt;CARROT_BED_CAP,AB$4&gt;MESCLUN_BED_CAP,$A309+$B309+AB$4&gt;TOTAL_BEDS_AVAILABLE,($D309+AB$5)&gt;TOTAL_LABOR_HOURS_CAP,MAX(0,($D309+AB$5)-PERMANENT_FIELD_LABOR_HOURS)&gt;TEMP_HOURS_CAP),"",$C309+AB$6-MIN(($D309+AB$5),PERMANENT_FIELD_LABOR_HOURS)*PERMANENT_HOURLY_RATE-MAX(0,($D309+AB$5)-PERMANENT_FIELD_LABOR_HOURS)*TEMP_HOURLY_RATE-FIXED_SEASON_COST)</f>
        <v>20014.2134601333</v>
      </c>
      <c r="AC309" s="53" t="n">
        <f aca="false">IF(OR($A309&gt;TOMATO_BED_CAP,$B309&gt;CARROT_BED_CAP,AC$4&gt;MESCLUN_BED_CAP,$A309+$B309+AC$4&gt;TOTAL_BEDS_AVAILABLE,($D309+AC$5)&gt;TOTAL_LABOR_HOURS_CAP,MAX(0,($D309+AC$5)-PERMANENT_FIELD_LABOR_HOURS)&gt;TEMP_HOURS_CAP),"",$C309+AC$6-MIN(($D309+AC$5),PERMANENT_FIELD_LABOR_HOURS)*PERMANENT_HOURLY_RATE-MAX(0,($D309+AC$5)-PERMANENT_FIELD_LABOR_HOURS)*TEMP_HOURLY_RATE-FIXED_SEASON_COST)</f>
        <v>20512.3086775682</v>
      </c>
      <c r="AD309" s="53" t="str">
        <f aca="false">IF(OR($A309&gt;TOMATO_BED_CAP,$B309&gt;CARROT_BED_CAP,AD$4&gt;MESCLUN_BED_CAP,$A309+$B309+AD$4&gt;TOTAL_BEDS_AVAILABLE,($D309+AD$5)&gt;TOTAL_LABOR_HOURS_CAP,MAX(0,($D309+AD$5)-PERMANENT_FIELD_LABOR_HOURS)&gt;TEMP_HOURS_CAP),"",$C309+AD$6-MIN(($D309+AD$5),PERMANENT_FIELD_LABOR_HOURS)*PERMANENT_HOURLY_RATE-MAX(0,($D309+AD$5)-PERMANENT_FIELD_LABOR_HOURS)*TEMP_HOURLY_RATE-FIXED_SEASON_COST)</f>
        <v/>
      </c>
      <c r="AE309" s="53" t="str">
        <f aca="false">IF(OR($A309&gt;TOMATO_BED_CAP,$B309&gt;CARROT_BED_CAP,AE$4&gt;MESCLUN_BED_CAP,$A309+$B309+AE$4&gt;TOTAL_BEDS_AVAILABLE,($D309+AE$5)&gt;TOTAL_LABOR_HOURS_CAP,MAX(0,($D309+AE$5)-PERMANENT_FIELD_LABOR_HOURS)&gt;TEMP_HOURS_CAP),"",$C309+AE$6-MIN(($D309+AE$5),PERMANENT_FIELD_LABOR_HOURS)*PERMANENT_HOURLY_RATE-MAX(0,($D309+AE$5)-PERMANENT_FIELD_LABOR_HOURS)*TEMP_HOURLY_RATE-FIXED_SEASON_COST)</f>
        <v/>
      </c>
      <c r="AF309" s="53" t="str">
        <f aca="false">IF(OR($A309&gt;TOMATO_BED_CAP,$B309&gt;CARROT_BED_CAP,AF$4&gt;MESCLUN_BED_CAP,$A309+$B309+AF$4&gt;TOTAL_BEDS_AVAILABLE,($D309+AF$5)&gt;TOTAL_LABOR_HOURS_CAP,MAX(0,($D309+AF$5)-PERMANENT_FIELD_LABOR_HOURS)&gt;TEMP_HOURS_CAP),"",$C309+AF$6-MIN(($D309+AF$5),PERMANENT_FIELD_LABOR_HOURS)*PERMANENT_HOURLY_RATE-MAX(0,($D309+AF$5)-PERMANENT_FIELD_LABOR_HOURS)*TEMP_HOURLY_RATE-FIXED_SEASON_COST)</f>
        <v/>
      </c>
      <c r="AG309" s="53" t="str">
        <f aca="false">IF(OR($A309&gt;TOMATO_BED_CAP,$B309&gt;CARROT_BED_CAP,AG$4&gt;MESCLUN_BED_CAP,$A309+$B309+AG$4&gt;TOTAL_BEDS_AVAILABLE,($D309+AG$5)&gt;TOTAL_LABOR_HOURS_CAP,MAX(0,($D309+AG$5)-PERMANENT_FIELD_LABOR_HOURS)&gt;TEMP_HOURS_CAP),"",$C309+AG$6-MIN(($D309+AG$5),PERMANENT_FIELD_LABOR_HOURS)*PERMANENT_HOURLY_RATE-MAX(0,($D309+AG$5)-PERMANENT_FIELD_LABOR_HOURS)*TEMP_HOURLY_RATE-FIXED_SEASON_COST)</f>
        <v/>
      </c>
      <c r="AH309" s="53" t="str">
        <f aca="false">IF(OR($A309&gt;TOMATO_BED_CAP,$B309&gt;CARROT_BED_CAP,AH$4&gt;MESCLUN_BED_CAP,$A309+$B309+AH$4&gt;TOTAL_BEDS_AVAILABLE,($D309+AH$5)&gt;TOTAL_LABOR_HOURS_CAP,MAX(0,($D309+AH$5)-PERMANENT_FIELD_LABOR_HOURS)&gt;TEMP_HOURS_CAP),"",$C309+AH$6-MIN(($D309+AH$5),PERMANENT_FIELD_LABOR_HOURS)*PERMANENT_HOURLY_RATE-MAX(0,($D309+AH$5)-PERMANENT_FIELD_LABOR_HOURS)*TEMP_HOURLY_RATE-FIXED_SEASON_COST)</f>
        <v/>
      </c>
      <c r="AI309" s="53" t="str">
        <f aca="false">IF(OR($A309&gt;TOMATO_BED_CAP,$B309&gt;CARROT_BED_CAP,AI$4&gt;MESCLUN_BED_CAP,$A309+$B309+AI$4&gt;TOTAL_BEDS_AVAILABLE,($D309+AI$5)&gt;TOTAL_LABOR_HOURS_CAP,MAX(0,($D309+AI$5)-PERMANENT_FIELD_LABOR_HOURS)&gt;TEMP_HOURS_CAP),"",$C309+AI$6-MIN(($D309+AI$5),PERMANENT_FIELD_LABOR_HOURS)*PERMANENT_HOURLY_RATE-MAX(0,($D309+AI$5)-PERMANENT_FIELD_LABOR_HOURS)*TEMP_HOURLY_RATE-FIXED_SEASON_COST)</f>
        <v/>
      </c>
      <c r="AJ309" s="53" t="str">
        <f aca="false">IF(OR($A309&gt;TOMATO_BED_CAP,$B309&gt;CARROT_BED_CAP,AJ$4&gt;MESCLUN_BED_CAP,$A309+$B309+AJ$4&gt;TOTAL_BEDS_AVAILABLE,($D309+AJ$5)&gt;TOTAL_LABOR_HOURS_CAP,MAX(0,($D309+AJ$5)-PERMANENT_FIELD_LABOR_HOURS)&gt;TEMP_HOURS_CAP),"",$C309+AJ$6-MIN(($D309+AJ$5),PERMANENT_FIELD_LABOR_HOURS)*PERMANENT_HOURLY_RATE-MAX(0,($D309+AJ$5)-PERMANENT_FIELD_LABOR_HOURS)*TEMP_HOURLY_RATE-FIXED_SEASON_COST)</f>
        <v/>
      </c>
    </row>
    <row r="310" customFormat="false" ht="15" hidden="false" customHeight="false" outlineLevel="0" collapsed="false">
      <c r="A310" s="21" t="n">
        <f aca="false">INT((ROW()-ROW($A$8))/(20+1))</f>
        <v>14</v>
      </c>
      <c r="B310" s="21" t="n">
        <f aca="false">MOD(ROW()-ROW($A$8),20+1)</f>
        <v>8</v>
      </c>
      <c r="C310" s="13" t="n">
        <f aca="false">A310*(TOMATO_REVENUE_PER_BED-TOMATO_FERTILIZER_PER_BED)+B310*(CARROT_REVENUE_PER_BED-CARROT_FERTILIZER_PER_BED)</f>
        <v>124112</v>
      </c>
      <c r="D310" s="14" t="n">
        <f aca="false">INDEX(TOMATO_SCHED_LABOR_HRS,A310+1)+INDEX(CARROT_SCHED_LABOR_HRS,B310+1)</f>
        <v>5077.14763187306</v>
      </c>
      <c r="E310" s="13" t="n">
        <f aca="false">IF(COUNT(F310:AJ310)=0,"",MAX(F310:AJ310))</f>
        <v>21423.7247813751</v>
      </c>
      <c r="F310" s="53" t="n">
        <f aca="false">IF(OR($A310&gt;TOMATO_BED_CAP,$B310&gt;CARROT_BED_CAP,F$4&gt;MESCLUN_BED_CAP,$A310+$B310+F$4&gt;TOTAL_BEDS_AVAILABLE,($D310+F$5)&gt;TOTAL_LABOR_HOURS_CAP,MAX(0,($D310+F$5)-PERMANENT_FIELD_LABOR_HOURS)&gt;TEMP_HOURS_CAP),"",$C310+F$6-MIN(($D310+F$5),PERMANENT_FIELD_LABOR_HOURS)*PERMANENT_HOURLY_RATE-MAX(0,($D310+F$5)-PERMANENT_FIELD_LABOR_HOURS)*TEMP_HOURLY_RATE-FIXED_SEASON_COST)</f>
        <v>3473.51711068366</v>
      </c>
      <c r="G310" s="53" t="n">
        <f aca="false">IF(OR($A310&gt;TOMATO_BED_CAP,$B310&gt;CARROT_BED_CAP,G$4&gt;MESCLUN_BED_CAP,$A310+$B310+G$4&gt;TOTAL_BEDS_AVAILABLE,($D310+G$5)&gt;TOTAL_LABOR_HOURS_CAP,MAX(0,($D310+G$5)-PERMANENT_FIELD_LABOR_HOURS)&gt;TEMP_HOURS_CAP),"",$C310+G$6-MIN(($D310+G$5),PERMANENT_FIELD_LABOR_HOURS)*PERMANENT_HOURLY_RATE-MAX(0,($D310+G$5)-PERMANENT_FIELD_LABOR_HOURS)*TEMP_HOURLY_RATE-FIXED_SEASON_COST)</f>
        <v>4502.55211068367</v>
      </c>
      <c r="H310" s="53" t="n">
        <f aca="false">IF(OR($A310&gt;TOMATO_BED_CAP,$B310&gt;CARROT_BED_CAP,H$4&gt;MESCLUN_BED_CAP,$A310+$B310+H$4&gt;TOTAL_BEDS_AVAILABLE,($D310+H$5)&gt;TOTAL_LABOR_HOURS_CAP,MAX(0,($D310+H$5)-PERMANENT_FIELD_LABOR_HOURS)&gt;TEMP_HOURS_CAP),"",$C310+H$6-MIN(($D310+H$5),PERMANENT_FIELD_LABOR_HOURS)*PERMANENT_HOURLY_RATE-MAX(0,($D310+H$5)-PERMANENT_FIELD_LABOR_HOURS)*TEMP_HOURLY_RATE-FIXED_SEASON_COST)</f>
        <v>5511.81298568366</v>
      </c>
      <c r="I310" s="53" t="n">
        <f aca="false">IF(OR($A310&gt;TOMATO_BED_CAP,$B310&gt;CARROT_BED_CAP,I$4&gt;MESCLUN_BED_CAP,$A310+$B310+I$4&gt;TOTAL_BEDS_AVAILABLE,($D310+I$5)&gt;TOTAL_LABOR_HOURS_CAP,MAX(0,($D310+I$5)-PERMANENT_FIELD_LABOR_HOURS)&gt;TEMP_HOURS_CAP),"",$C310+I$6-MIN(($D310+I$5),PERMANENT_FIELD_LABOR_HOURS)*PERMANENT_HOURLY_RATE-MAX(0,($D310+I$5)-PERMANENT_FIELD_LABOR_HOURS)*TEMP_HOURLY_RATE-FIXED_SEASON_COST)</f>
        <v>6500.92897083992</v>
      </c>
      <c r="J310" s="53" t="n">
        <f aca="false">IF(OR($A310&gt;TOMATO_BED_CAP,$B310&gt;CARROT_BED_CAP,J$4&gt;MESCLUN_BED_CAP,$A310+$B310+J$4&gt;TOTAL_BEDS_AVAILABLE,($D310+J$5)&gt;TOTAL_LABOR_HOURS_CAP,MAX(0,($D310+J$5)-PERMANENT_FIELD_LABOR_HOURS)&gt;TEMP_HOURS_CAP),"",$C310+J$6-MIN(($D310+J$5),PERMANENT_FIELD_LABOR_HOURS)*PERMANENT_HOURLY_RATE-MAX(0,($D310+J$5)-PERMANENT_FIELD_LABOR_HOURS)*TEMP_HOURLY_RATE-FIXED_SEASON_COST)</f>
        <v>7469.5231218946</v>
      </c>
      <c r="K310" s="53" t="n">
        <f aca="false">IF(OR($A310&gt;TOMATO_BED_CAP,$B310&gt;CARROT_BED_CAP,K$4&gt;MESCLUN_BED_CAP,$A310+$B310+K$4&gt;TOTAL_BEDS_AVAILABLE,($D310+K$5)&gt;TOTAL_LABOR_HOURS_CAP,MAX(0,($D310+K$5)-PERMANENT_FIELD_LABOR_HOURS)&gt;TEMP_HOURS_CAP),"",$C310+K$6-MIN(($D310+K$5),PERMANENT_FIELD_LABOR_HOURS)*PERMANENT_HOURLY_RATE-MAX(0,($D310+K$5)-PERMANENT_FIELD_LABOR_HOURS)*TEMP_HOURLY_RATE-FIXED_SEASON_COST)</f>
        <v>8417.21221862252</v>
      </c>
      <c r="L310" s="53" t="n">
        <f aca="false">IF(OR($A310&gt;TOMATO_BED_CAP,$B310&gt;CARROT_BED_CAP,L$4&gt;MESCLUN_BED_CAP,$A310+$B310+L$4&gt;TOTAL_BEDS_AVAILABLE,($D310+L$5)&gt;TOTAL_LABOR_HOURS_CAP,MAX(0,($D310+L$5)-PERMANENT_FIELD_LABOR_HOURS)&gt;TEMP_HOURS_CAP),"",$C310+L$6-MIN(($D310+L$5),PERMANENT_FIELD_LABOR_HOURS)*PERMANENT_HOURLY_RATE-MAX(0,($D310+L$5)-PERMANENT_FIELD_LABOR_HOURS)*TEMP_HOURLY_RATE-FIXED_SEASON_COST)</f>
        <v>9343.60666682936</v>
      </c>
      <c r="M310" s="53" t="n">
        <f aca="false">IF(OR($A310&gt;TOMATO_BED_CAP,$B310&gt;CARROT_BED_CAP,M$4&gt;MESCLUN_BED_CAP,$A310+$B310+M$4&gt;TOTAL_BEDS_AVAILABLE,($D310+M$5)&gt;TOTAL_LABOR_HOURS_CAP,MAX(0,($D310+M$5)-PERMANENT_FIELD_LABOR_HOURS)&gt;TEMP_HOURS_CAP),"",$C310+M$6-MIN(($D310+M$5),PERMANENT_FIELD_LABOR_HOURS)*PERMANENT_HOURLY_RATE-MAX(0,($D310+M$5)-PERMANENT_FIELD_LABOR_HOURS)*TEMP_HOURLY_RATE-FIXED_SEASON_COST)</f>
        <v>10248.3103988808</v>
      </c>
      <c r="N310" s="53" t="n">
        <f aca="false">IF(OR($A310&gt;TOMATO_BED_CAP,$B310&gt;CARROT_BED_CAP,N$4&gt;MESCLUN_BED_CAP,$A310+$B310+N$4&gt;TOTAL_BEDS_AVAILABLE,($D310+N$5)&gt;TOTAL_LABOR_HOURS_CAP,MAX(0,($D310+N$5)-PERMANENT_FIELD_LABOR_HOURS)&gt;TEMP_HOURS_CAP),"",$C310+N$6-MIN(($D310+N$5),PERMANENT_FIELD_LABOR_HOURS)*PERMANENT_HOURLY_RATE-MAX(0,($D310+N$5)-PERMANENT_FIELD_LABOR_HOURS)*TEMP_HOURLY_RATE-FIXED_SEASON_COST)</f>
        <v>11130.9207727403</v>
      </c>
      <c r="O310" s="53" t="n">
        <f aca="false">IF(OR($A310&gt;TOMATO_BED_CAP,$B310&gt;CARROT_BED_CAP,O$4&gt;MESCLUN_BED_CAP,$A310+$B310+O$4&gt;TOTAL_BEDS_AVAILABLE,($D310+O$5)&gt;TOTAL_LABOR_HOURS_CAP,MAX(0,($D310+O$5)-PERMANENT_FIELD_LABOR_HOURS)&gt;TEMP_HOURS_CAP),"",$C310+O$6-MIN(($D310+O$5),PERMANENT_FIELD_LABOR_HOURS)*PERMANENT_HOURLY_RATE-MAX(0,($D310+O$5)-PERMANENT_FIELD_LABOR_HOURS)*TEMP_HOURLY_RATE-FIXED_SEASON_COST)</f>
        <v>11991.0284694951</v>
      </c>
      <c r="P310" s="53" t="n">
        <f aca="false">IF(OR($A310&gt;TOMATO_BED_CAP,$B310&gt;CARROT_BED_CAP,P$4&gt;MESCLUN_BED_CAP,$A310+$B310+P$4&gt;TOTAL_BEDS_AVAILABLE,($D310+P$5)&gt;TOTAL_LABOR_HOURS_CAP,MAX(0,($D310+P$5)-PERMANENT_FIELD_LABOR_HOURS)&gt;TEMP_HOURS_CAP),"",$C310+P$6-MIN(($D310+P$5),PERMANENT_FIELD_LABOR_HOURS)*PERMANENT_HOURLY_RATE-MAX(0,($D310+P$5)-PERMANENT_FIELD_LABOR_HOURS)*TEMP_HOURLY_RATE-FIXED_SEASON_COST)</f>
        <v>12828.2173893465</v>
      </c>
      <c r="Q310" s="53" t="n">
        <f aca="false">IF(OR($A310&gt;TOMATO_BED_CAP,$B310&gt;CARROT_BED_CAP,Q$4&gt;MESCLUN_BED_CAP,$A310+$B310+Q$4&gt;TOTAL_BEDS_AVAILABLE,($D310+Q$5)&gt;TOTAL_LABOR_HOURS_CAP,MAX(0,($D310+Q$5)-PERMANENT_FIELD_LABOR_HOURS)&gt;TEMP_HOURS_CAP),"",$C310+Q$6-MIN(($D310+Q$5),PERMANENT_FIELD_LABOR_HOURS)*PERMANENT_HOURLY_RATE-MAX(0,($D310+Q$5)-PERMANENT_FIELD_LABOR_HOURS)*TEMP_HOURLY_RATE-FIXED_SEASON_COST)</f>
        <v>13642.0645460444</v>
      </c>
      <c r="R310" s="53" t="n">
        <f aca="false">IF(OR($A310&gt;TOMATO_BED_CAP,$B310&gt;CARROT_BED_CAP,R$4&gt;MESCLUN_BED_CAP,$A310+$B310+R$4&gt;TOTAL_BEDS_AVAILABLE,($D310+R$5)&gt;TOTAL_LABOR_HOURS_CAP,MAX(0,($D310+R$5)-PERMANENT_FIELD_LABOR_HOURS)&gt;TEMP_HOURS_CAP),"",$C310+R$6-MIN(($D310+R$5),PERMANENT_FIELD_LABOR_HOURS)*PERMANENT_HOURLY_RATE-MAX(0,($D310+R$5)-PERMANENT_FIELD_LABOR_HOURS)*TEMP_HOURLY_RATE-FIXED_SEASON_COST)</f>
        <v>14432.1399597412</v>
      </c>
      <c r="S310" s="53" t="n">
        <f aca="false">IF(OR($A310&gt;TOMATO_BED_CAP,$B310&gt;CARROT_BED_CAP,S$4&gt;MESCLUN_BED_CAP,$A310+$B310+S$4&gt;TOTAL_BEDS_AVAILABLE,($D310+S$5)&gt;TOTAL_LABOR_HOURS_CAP,MAX(0,($D310+S$5)-PERMANENT_FIELD_LABOR_HOURS)&gt;TEMP_HOURS_CAP),"",$C310+S$6-MIN(($D310+S$5),PERMANENT_FIELD_LABOR_HOURS)*PERMANENT_HOURLY_RATE-MAX(0,($D310+S$5)-PERMANENT_FIELD_LABOR_HOURS)*TEMP_HOURLY_RATE-FIXED_SEASON_COST)</f>
        <v>15198.0065482436</v>
      </c>
      <c r="T310" s="53" t="n">
        <f aca="false">IF(OR($A310&gt;TOMATO_BED_CAP,$B310&gt;CARROT_BED_CAP,T$4&gt;MESCLUN_BED_CAP,$A310+$B310+T$4&gt;TOTAL_BEDS_AVAILABLE,($D310+T$5)&gt;TOTAL_LABOR_HOURS_CAP,MAX(0,($D310+T$5)-PERMANENT_FIELD_LABOR_HOURS)&gt;TEMP_HOURS_CAP),"",$C310+T$6-MIN(($D310+T$5),PERMANENT_FIELD_LABOR_HOURS)*PERMANENT_HOURLY_RATE-MAX(0,($D310+T$5)-PERMANENT_FIELD_LABOR_HOURS)*TEMP_HOURLY_RATE-FIXED_SEASON_COST)</f>
        <v>15939.2200166385</v>
      </c>
      <c r="U310" s="53" t="n">
        <f aca="false">IF(OR($A310&gt;TOMATO_BED_CAP,$B310&gt;CARROT_BED_CAP,U$4&gt;MESCLUN_BED_CAP,$A310+$B310+U$4&gt;TOTAL_BEDS_AVAILABLE,($D310+U$5)&gt;TOTAL_LABOR_HOURS_CAP,MAX(0,($D310+U$5)-PERMANENT_FIELD_LABOR_HOURS)&gt;TEMP_HOURS_CAP),"",$C310+U$6-MIN(($D310+U$5),PERMANENT_FIELD_LABOR_HOURS)*PERMANENT_HOURLY_RATE-MAX(0,($D310+U$5)-PERMANENT_FIELD_LABOR_HOURS)*TEMP_HOURLY_RATE-FIXED_SEASON_COST)</f>
        <v>16655.3287452686</v>
      </c>
      <c r="V310" s="53" t="n">
        <f aca="false">IF(OR($A310&gt;TOMATO_BED_CAP,$B310&gt;CARROT_BED_CAP,V$4&gt;MESCLUN_BED_CAP,$A310+$B310+V$4&gt;TOTAL_BEDS_AVAILABLE,($D310+V$5)&gt;TOTAL_LABOR_HOURS_CAP,MAX(0,($D310+V$5)-PERMANENT_FIELD_LABOR_HOURS)&gt;TEMP_HOURS_CAP),"",$C310+V$6-MIN(($D310+V$5),PERMANENT_FIELD_LABOR_HOURS)*PERMANENT_HOURLY_RATE-MAX(0,($D310+V$5)-PERMANENT_FIELD_LABOR_HOURS)*TEMP_HOURLY_RATE-FIXED_SEASON_COST)</f>
        <v>17345.8736760354</v>
      </c>
      <c r="W310" s="53" t="n">
        <f aca="false">IF(OR($A310&gt;TOMATO_BED_CAP,$B310&gt;CARROT_BED_CAP,W$4&gt;MESCLUN_BED_CAP,$A310+$B310+W$4&gt;TOTAL_BEDS_AVAILABLE,($D310+W$5)&gt;TOTAL_LABOR_HOURS_CAP,MAX(0,($D310+W$5)-PERMANENT_FIELD_LABOR_HOURS)&gt;TEMP_HOURS_CAP),"",$C310+W$6-MIN(($D310+W$5),PERMANENT_FIELD_LABOR_HOURS)*PERMANENT_HOURLY_RATE-MAX(0,($D310+W$5)-PERMANENT_FIELD_LABOR_HOURS)*TEMP_HOURLY_RATE-FIXED_SEASON_COST)</f>
        <v>18010.3881970034</v>
      </c>
      <c r="X310" s="53" t="n">
        <f aca="false">IF(OR($A310&gt;TOMATO_BED_CAP,$B310&gt;CARROT_BED_CAP,X$4&gt;MESCLUN_BED_CAP,$A310+$B310+X$4&gt;TOTAL_BEDS_AVAILABLE,($D310+X$5)&gt;TOTAL_LABOR_HOURS_CAP,MAX(0,($D310+X$5)-PERMANENT_FIELD_LABOR_HOURS)&gt;TEMP_HOURS_CAP),"",$C310+X$6-MIN(($D310+X$5),PERMANENT_FIELD_LABOR_HOURS)*PERMANENT_HOURLY_RATE-MAX(0,($D310+X$5)-PERMANENT_FIELD_LABOR_HOURS)*TEMP_HOURLY_RATE-FIXED_SEASON_COST)</f>
        <v>18648.3980252824</v>
      </c>
      <c r="Y310" s="53" t="n">
        <f aca="false">IF(OR($A310&gt;TOMATO_BED_CAP,$B310&gt;CARROT_BED_CAP,Y$4&gt;MESCLUN_BED_CAP,$A310+$B310+Y$4&gt;TOTAL_BEDS_AVAILABLE,($D310+Y$5)&gt;TOTAL_LABOR_HOURS_CAP,MAX(0,($D310+Y$5)-PERMANENT_FIELD_LABOR_HOURS)&gt;TEMP_HOURS_CAP),"",$C310+Y$6-MIN(($D310+Y$5),PERMANENT_FIELD_LABOR_HOURS)*PERMANENT_HOURLY_RATE-MAX(0,($D310+Y$5)-PERMANENT_FIELD_LABOR_HOURS)*TEMP_HOURLY_RATE-FIXED_SEASON_COST)</f>
        <v>19259.421088161</v>
      </c>
      <c r="Z310" s="53" t="n">
        <f aca="false">IF(OR($A310&gt;TOMATO_BED_CAP,$B310&gt;CARROT_BED_CAP,Z$4&gt;MESCLUN_BED_CAP,$A310+$B310+Z$4&gt;TOTAL_BEDS_AVAILABLE,($D310+Z$5)&gt;TOTAL_LABOR_HOURS_CAP,MAX(0,($D310+Z$5)-PERMANENT_FIELD_LABOR_HOURS)&gt;TEMP_HOURS_CAP),"",$C310+Z$6-MIN(($D310+Z$5),PERMANENT_FIELD_LABOR_HOURS)*PERMANENT_HOURLY_RATE-MAX(0,($D310+Z$5)-PERMANENT_FIELD_LABOR_HOURS)*TEMP_HOURLY_RATE-FIXED_SEASON_COST)</f>
        <v>19842.9674024688</v>
      </c>
      <c r="AA310" s="53" t="n">
        <f aca="false">IF(OR($A310&gt;TOMATO_BED_CAP,$B310&gt;CARROT_BED_CAP,AA$4&gt;MESCLUN_BED_CAP,$A310+$B310+AA$4&gt;TOTAL_BEDS_AVAILABLE,($D310+AA$5)&gt;TOTAL_LABOR_HOURS_CAP,MAX(0,($D310+AA$5)-PERMANENT_FIELD_LABOR_HOURS)&gt;TEMP_HOURS_CAP),"",$C310+AA$6-MIN(($D310+AA$5),PERMANENT_FIELD_LABOR_HOURS)*PERMANENT_HOURLY_RATE-MAX(0,($D310+AA$5)-PERMANENT_FIELD_LABOR_HOURS)*TEMP_HOURLY_RATE-FIXED_SEASON_COST)</f>
        <v>20398.5389521377</v>
      </c>
      <c r="AB310" s="53" t="n">
        <f aca="false">IF(OR($A310&gt;TOMATO_BED_CAP,$B310&gt;CARROT_BED_CAP,AB$4&gt;MESCLUN_BED_CAP,$A310+$B310+AB$4&gt;TOTAL_BEDS_AVAILABLE,($D310+AB$5)&gt;TOTAL_LABOR_HOURS_CAP,MAX(0,($D310+AB$5)-PERMANENT_FIELD_LABOR_HOURS)&gt;TEMP_HOURS_CAP),"",$C310+AB$6-MIN(($D310+AB$5),PERMANENT_FIELD_LABOR_HOURS)*PERMANENT_HOURLY_RATE-MAX(0,($D310+AB$5)-PERMANENT_FIELD_LABOR_HOURS)*TEMP_HOURLY_RATE-FIXED_SEASON_COST)</f>
        <v>20925.6295639402</v>
      </c>
      <c r="AC310" s="53" t="n">
        <f aca="false">IF(OR($A310&gt;TOMATO_BED_CAP,$B310&gt;CARROT_BED_CAP,AC$4&gt;MESCLUN_BED_CAP,$A310+$B310+AC$4&gt;TOTAL_BEDS_AVAILABLE,($D310+AC$5)&gt;TOTAL_LABOR_HOURS_CAP,MAX(0,($D310+AC$5)-PERMANENT_FIELD_LABOR_HOURS)&gt;TEMP_HOURS_CAP),"",$C310+AC$6-MIN(($D310+AC$5),PERMANENT_FIELD_LABOR_HOURS)*PERMANENT_HOURLY_RATE-MAX(0,($D310+AC$5)-PERMANENT_FIELD_LABOR_HOURS)*TEMP_HOURLY_RATE-FIXED_SEASON_COST)</f>
        <v>21423.7247813751</v>
      </c>
      <c r="AD310" s="53" t="str">
        <f aca="false">IF(OR($A310&gt;TOMATO_BED_CAP,$B310&gt;CARROT_BED_CAP,AD$4&gt;MESCLUN_BED_CAP,$A310+$B310+AD$4&gt;TOTAL_BEDS_AVAILABLE,($D310+AD$5)&gt;TOTAL_LABOR_HOURS_CAP,MAX(0,($D310+AD$5)-PERMANENT_FIELD_LABOR_HOURS)&gt;TEMP_HOURS_CAP),"",$C310+AD$6-MIN(($D310+AD$5),PERMANENT_FIELD_LABOR_HOURS)*PERMANENT_HOURLY_RATE-MAX(0,($D310+AD$5)-PERMANENT_FIELD_LABOR_HOURS)*TEMP_HOURLY_RATE-FIXED_SEASON_COST)</f>
        <v/>
      </c>
      <c r="AE310" s="53" t="str">
        <f aca="false">IF(OR($A310&gt;TOMATO_BED_CAP,$B310&gt;CARROT_BED_CAP,AE$4&gt;MESCLUN_BED_CAP,$A310+$B310+AE$4&gt;TOTAL_BEDS_AVAILABLE,($D310+AE$5)&gt;TOTAL_LABOR_HOURS_CAP,MAX(0,($D310+AE$5)-PERMANENT_FIELD_LABOR_HOURS)&gt;TEMP_HOURS_CAP),"",$C310+AE$6-MIN(($D310+AE$5),PERMANENT_FIELD_LABOR_HOURS)*PERMANENT_HOURLY_RATE-MAX(0,($D310+AE$5)-PERMANENT_FIELD_LABOR_HOURS)*TEMP_HOURLY_RATE-FIXED_SEASON_COST)</f>
        <v/>
      </c>
      <c r="AF310" s="53" t="str">
        <f aca="false">IF(OR($A310&gt;TOMATO_BED_CAP,$B310&gt;CARROT_BED_CAP,AF$4&gt;MESCLUN_BED_CAP,$A310+$B310+AF$4&gt;TOTAL_BEDS_AVAILABLE,($D310+AF$5)&gt;TOTAL_LABOR_HOURS_CAP,MAX(0,($D310+AF$5)-PERMANENT_FIELD_LABOR_HOURS)&gt;TEMP_HOURS_CAP),"",$C310+AF$6-MIN(($D310+AF$5),PERMANENT_FIELD_LABOR_HOURS)*PERMANENT_HOURLY_RATE-MAX(0,($D310+AF$5)-PERMANENT_FIELD_LABOR_HOURS)*TEMP_HOURLY_RATE-FIXED_SEASON_COST)</f>
        <v/>
      </c>
      <c r="AG310" s="53" t="str">
        <f aca="false">IF(OR($A310&gt;TOMATO_BED_CAP,$B310&gt;CARROT_BED_CAP,AG$4&gt;MESCLUN_BED_CAP,$A310+$B310+AG$4&gt;TOTAL_BEDS_AVAILABLE,($D310+AG$5)&gt;TOTAL_LABOR_HOURS_CAP,MAX(0,($D310+AG$5)-PERMANENT_FIELD_LABOR_HOURS)&gt;TEMP_HOURS_CAP),"",$C310+AG$6-MIN(($D310+AG$5),PERMANENT_FIELD_LABOR_HOURS)*PERMANENT_HOURLY_RATE-MAX(0,($D310+AG$5)-PERMANENT_FIELD_LABOR_HOURS)*TEMP_HOURLY_RATE-FIXED_SEASON_COST)</f>
        <v/>
      </c>
      <c r="AH310" s="53" t="str">
        <f aca="false">IF(OR($A310&gt;TOMATO_BED_CAP,$B310&gt;CARROT_BED_CAP,AH$4&gt;MESCLUN_BED_CAP,$A310+$B310+AH$4&gt;TOTAL_BEDS_AVAILABLE,($D310+AH$5)&gt;TOTAL_LABOR_HOURS_CAP,MAX(0,($D310+AH$5)-PERMANENT_FIELD_LABOR_HOURS)&gt;TEMP_HOURS_CAP),"",$C310+AH$6-MIN(($D310+AH$5),PERMANENT_FIELD_LABOR_HOURS)*PERMANENT_HOURLY_RATE-MAX(0,($D310+AH$5)-PERMANENT_FIELD_LABOR_HOURS)*TEMP_HOURLY_RATE-FIXED_SEASON_COST)</f>
        <v/>
      </c>
      <c r="AI310" s="53" t="str">
        <f aca="false">IF(OR($A310&gt;TOMATO_BED_CAP,$B310&gt;CARROT_BED_CAP,AI$4&gt;MESCLUN_BED_CAP,$A310+$B310+AI$4&gt;TOTAL_BEDS_AVAILABLE,($D310+AI$5)&gt;TOTAL_LABOR_HOURS_CAP,MAX(0,($D310+AI$5)-PERMANENT_FIELD_LABOR_HOURS)&gt;TEMP_HOURS_CAP),"",$C310+AI$6-MIN(($D310+AI$5),PERMANENT_FIELD_LABOR_HOURS)*PERMANENT_HOURLY_RATE-MAX(0,($D310+AI$5)-PERMANENT_FIELD_LABOR_HOURS)*TEMP_HOURLY_RATE-FIXED_SEASON_COST)</f>
        <v/>
      </c>
      <c r="AJ310" s="53" t="str">
        <f aca="false">IF(OR($A310&gt;TOMATO_BED_CAP,$B310&gt;CARROT_BED_CAP,AJ$4&gt;MESCLUN_BED_CAP,$A310+$B310+AJ$4&gt;TOTAL_BEDS_AVAILABLE,($D310+AJ$5)&gt;TOTAL_LABOR_HOURS_CAP,MAX(0,($D310+AJ$5)-PERMANENT_FIELD_LABOR_HOURS)&gt;TEMP_HOURS_CAP),"",$C310+AJ$6-MIN(($D310+AJ$5),PERMANENT_FIELD_LABOR_HOURS)*PERMANENT_HOURLY_RATE-MAX(0,($D310+AJ$5)-PERMANENT_FIELD_LABOR_HOURS)*TEMP_HOURLY_RATE-FIXED_SEASON_COST)</f>
        <v/>
      </c>
    </row>
    <row r="311" customFormat="false" ht="15" hidden="false" customHeight="false" outlineLevel="0" collapsed="false">
      <c r="A311" s="21" t="n">
        <f aca="false">INT((ROW()-ROW($A$8))/(20+1))</f>
        <v>14</v>
      </c>
      <c r="B311" s="21" t="n">
        <f aca="false">MOD(ROW()-ROW($A$8),20+1)</f>
        <v>9</v>
      </c>
      <c r="C311" s="13" t="n">
        <f aca="false">A311*(TOMATO_REVENUE_PER_BED-TOMATO_FERTILIZER_PER_BED)+B311*(CARROT_REVENUE_PER_BED-CARROT_FERTILIZER_PER_BED)</f>
        <v>125766</v>
      </c>
      <c r="D311" s="14" t="n">
        <f aca="false">INDEX(TOMATO_SCHED_LABOR_HRS,A311+1)+INDEX(CARROT_SCHED_LABOR_HRS,B311+1)</f>
        <v>5121.90602783396</v>
      </c>
      <c r="E311" s="13" t="n">
        <f aca="false">IF(COUNT(F311:AJ311)=0,"",MAX(F311:AJ311))</f>
        <v>21802.6238100591</v>
      </c>
      <c r="F311" s="53" t="n">
        <f aca="false">IF(OR($A311&gt;TOMATO_BED_CAP,$B311&gt;CARROT_BED_CAP,F$4&gt;MESCLUN_BED_CAP,$A311+$B311+F$4&gt;TOTAL_BEDS_AVAILABLE,($D311+F$5)&gt;TOTAL_LABOR_HOURS_CAP,MAX(0,($D311+F$5)-PERMANENT_FIELD_LABOR_HOURS)&gt;TEMP_HOURS_CAP),"",$C311+F$6-MIN(($D311+F$5),PERMANENT_FIELD_LABOR_HOURS)*PERMANENT_HOURLY_RATE-MAX(0,($D311+F$5)-PERMANENT_FIELD_LABOR_HOURS)*TEMP_HOURLY_RATE-FIXED_SEASON_COST)</f>
        <v>4350.51135680251</v>
      </c>
      <c r="G311" s="53" t="n">
        <f aca="false">IF(OR($A311&gt;TOMATO_BED_CAP,$B311&gt;CARROT_BED_CAP,G$4&gt;MESCLUN_BED_CAP,$A311+$B311+G$4&gt;TOTAL_BEDS_AVAILABLE,($D311+G$5)&gt;TOTAL_LABOR_HOURS_CAP,MAX(0,($D311+G$5)-PERMANENT_FIELD_LABOR_HOURS)&gt;TEMP_HOURS_CAP),"",$C311+G$6-MIN(($D311+G$5),PERMANENT_FIELD_LABOR_HOURS)*PERMANENT_HOURLY_RATE-MAX(0,($D311+G$5)-PERMANENT_FIELD_LABOR_HOURS)*TEMP_HOURLY_RATE-FIXED_SEASON_COST)</f>
        <v>5379.5463568025</v>
      </c>
      <c r="H311" s="53" t="n">
        <f aca="false">IF(OR($A311&gt;TOMATO_BED_CAP,$B311&gt;CARROT_BED_CAP,H$4&gt;MESCLUN_BED_CAP,$A311+$B311+H$4&gt;TOTAL_BEDS_AVAILABLE,($D311+H$5)&gt;TOTAL_LABOR_HOURS_CAP,MAX(0,($D311+H$5)-PERMANENT_FIELD_LABOR_HOURS)&gt;TEMP_HOURS_CAP),"",$C311+H$6-MIN(($D311+H$5),PERMANENT_FIELD_LABOR_HOURS)*PERMANENT_HOURLY_RATE-MAX(0,($D311+H$5)-PERMANENT_FIELD_LABOR_HOURS)*TEMP_HOURLY_RATE-FIXED_SEASON_COST)</f>
        <v>6388.80723180249</v>
      </c>
      <c r="I311" s="53" t="n">
        <f aca="false">IF(OR($A311&gt;TOMATO_BED_CAP,$B311&gt;CARROT_BED_CAP,I$4&gt;MESCLUN_BED_CAP,$A311+$B311+I$4&gt;TOTAL_BEDS_AVAILABLE,($D311+I$5)&gt;TOTAL_LABOR_HOURS_CAP,MAX(0,($D311+I$5)-PERMANENT_FIELD_LABOR_HOURS)&gt;TEMP_HOURS_CAP),"",$C311+I$6-MIN(($D311+I$5),PERMANENT_FIELD_LABOR_HOURS)*PERMANENT_HOURLY_RATE-MAX(0,($D311+I$5)-PERMANENT_FIELD_LABOR_HOURS)*TEMP_HOURLY_RATE-FIXED_SEASON_COST)</f>
        <v>7377.92321695875</v>
      </c>
      <c r="J311" s="53" t="n">
        <f aca="false">IF(OR($A311&gt;TOMATO_BED_CAP,$B311&gt;CARROT_BED_CAP,J$4&gt;MESCLUN_BED_CAP,$A311+$B311+J$4&gt;TOTAL_BEDS_AVAILABLE,($D311+J$5)&gt;TOTAL_LABOR_HOURS_CAP,MAX(0,($D311+J$5)-PERMANENT_FIELD_LABOR_HOURS)&gt;TEMP_HOURS_CAP),"",$C311+J$6-MIN(($D311+J$5),PERMANENT_FIELD_LABOR_HOURS)*PERMANENT_HOURLY_RATE-MAX(0,($D311+J$5)-PERMANENT_FIELD_LABOR_HOURS)*TEMP_HOURLY_RATE-FIXED_SEASON_COST)</f>
        <v>8346.51736801345</v>
      </c>
      <c r="K311" s="53" t="n">
        <f aca="false">IF(OR($A311&gt;TOMATO_BED_CAP,$B311&gt;CARROT_BED_CAP,K$4&gt;MESCLUN_BED_CAP,$A311+$B311+K$4&gt;TOTAL_BEDS_AVAILABLE,($D311+K$5)&gt;TOTAL_LABOR_HOURS_CAP,MAX(0,($D311+K$5)-PERMANENT_FIELD_LABOR_HOURS)&gt;TEMP_HOURS_CAP),"",$C311+K$6-MIN(($D311+K$5),PERMANENT_FIELD_LABOR_HOURS)*PERMANENT_HOURLY_RATE-MAX(0,($D311+K$5)-PERMANENT_FIELD_LABOR_HOURS)*TEMP_HOURLY_RATE-FIXED_SEASON_COST)</f>
        <v>9294.20646474135</v>
      </c>
      <c r="L311" s="53" t="n">
        <f aca="false">IF(OR($A311&gt;TOMATO_BED_CAP,$B311&gt;CARROT_BED_CAP,L$4&gt;MESCLUN_BED_CAP,$A311+$B311+L$4&gt;TOTAL_BEDS_AVAILABLE,($D311+L$5)&gt;TOTAL_LABOR_HOURS_CAP,MAX(0,($D311+L$5)-PERMANENT_FIELD_LABOR_HOURS)&gt;TEMP_HOURS_CAP),"",$C311+L$6-MIN(($D311+L$5),PERMANENT_FIELD_LABOR_HOURS)*PERMANENT_HOURLY_RATE-MAX(0,($D311+L$5)-PERMANENT_FIELD_LABOR_HOURS)*TEMP_HOURLY_RATE-FIXED_SEASON_COST)</f>
        <v>10220.6009129482</v>
      </c>
      <c r="M311" s="53" t="n">
        <f aca="false">IF(OR($A311&gt;TOMATO_BED_CAP,$B311&gt;CARROT_BED_CAP,M$4&gt;MESCLUN_BED_CAP,$A311+$B311+M$4&gt;TOTAL_BEDS_AVAILABLE,($D311+M$5)&gt;TOTAL_LABOR_HOURS_CAP,MAX(0,($D311+M$5)-PERMANENT_FIELD_LABOR_HOURS)&gt;TEMP_HOURS_CAP),"",$C311+M$6-MIN(($D311+M$5),PERMANENT_FIELD_LABOR_HOURS)*PERMANENT_HOURLY_RATE-MAX(0,($D311+M$5)-PERMANENT_FIELD_LABOR_HOURS)*TEMP_HOURLY_RATE-FIXED_SEASON_COST)</f>
        <v>11125.3046449996</v>
      </c>
      <c r="N311" s="53" t="n">
        <f aca="false">IF(OR($A311&gt;TOMATO_BED_CAP,$B311&gt;CARROT_BED_CAP,N$4&gt;MESCLUN_BED_CAP,$A311+$B311+N$4&gt;TOTAL_BEDS_AVAILABLE,($D311+N$5)&gt;TOTAL_LABOR_HOURS_CAP,MAX(0,($D311+N$5)-PERMANENT_FIELD_LABOR_HOURS)&gt;TEMP_HOURS_CAP),"",$C311+N$6-MIN(($D311+N$5),PERMANENT_FIELD_LABOR_HOURS)*PERMANENT_HOURLY_RATE-MAX(0,($D311+N$5)-PERMANENT_FIELD_LABOR_HOURS)*TEMP_HOURLY_RATE-FIXED_SEASON_COST)</f>
        <v>12007.9150188592</v>
      </c>
      <c r="O311" s="53" t="n">
        <f aca="false">IF(OR($A311&gt;TOMATO_BED_CAP,$B311&gt;CARROT_BED_CAP,O$4&gt;MESCLUN_BED_CAP,$A311+$B311+O$4&gt;TOTAL_BEDS_AVAILABLE,($D311+O$5)&gt;TOTAL_LABOR_HOURS_CAP,MAX(0,($D311+O$5)-PERMANENT_FIELD_LABOR_HOURS)&gt;TEMP_HOURS_CAP),"",$C311+O$6-MIN(($D311+O$5),PERMANENT_FIELD_LABOR_HOURS)*PERMANENT_HOURLY_RATE-MAX(0,($D311+O$5)-PERMANENT_FIELD_LABOR_HOURS)*TEMP_HOURLY_RATE-FIXED_SEASON_COST)</f>
        <v>12868.0227156139</v>
      </c>
      <c r="P311" s="53" t="n">
        <f aca="false">IF(OR($A311&gt;TOMATO_BED_CAP,$B311&gt;CARROT_BED_CAP,P$4&gt;MESCLUN_BED_CAP,$A311+$B311+P$4&gt;TOTAL_BEDS_AVAILABLE,($D311+P$5)&gt;TOTAL_LABOR_HOURS_CAP,MAX(0,($D311+P$5)-PERMANENT_FIELD_LABOR_HOURS)&gt;TEMP_HOURS_CAP),"",$C311+P$6-MIN(($D311+P$5),PERMANENT_FIELD_LABOR_HOURS)*PERMANENT_HOURLY_RATE-MAX(0,($D311+P$5)-PERMANENT_FIELD_LABOR_HOURS)*TEMP_HOURLY_RATE-FIXED_SEASON_COST)</f>
        <v>13705.2116354653</v>
      </c>
      <c r="Q311" s="53" t="n">
        <f aca="false">IF(OR($A311&gt;TOMATO_BED_CAP,$B311&gt;CARROT_BED_CAP,Q$4&gt;MESCLUN_BED_CAP,$A311+$B311+Q$4&gt;TOTAL_BEDS_AVAILABLE,($D311+Q$5)&gt;TOTAL_LABOR_HOURS_CAP,MAX(0,($D311+Q$5)-PERMANENT_FIELD_LABOR_HOURS)&gt;TEMP_HOURS_CAP),"",$C311+Q$6-MIN(($D311+Q$5),PERMANENT_FIELD_LABOR_HOURS)*PERMANENT_HOURLY_RATE-MAX(0,($D311+Q$5)-PERMANENT_FIELD_LABOR_HOURS)*TEMP_HOURLY_RATE-FIXED_SEASON_COST)</f>
        <v>14519.0587921632</v>
      </c>
      <c r="R311" s="53" t="n">
        <f aca="false">IF(OR($A311&gt;TOMATO_BED_CAP,$B311&gt;CARROT_BED_CAP,R$4&gt;MESCLUN_BED_CAP,$A311+$B311+R$4&gt;TOTAL_BEDS_AVAILABLE,($D311+R$5)&gt;TOTAL_LABOR_HOURS_CAP,MAX(0,($D311+R$5)-PERMANENT_FIELD_LABOR_HOURS)&gt;TEMP_HOURS_CAP),"",$C311+R$6-MIN(($D311+R$5),PERMANENT_FIELD_LABOR_HOURS)*PERMANENT_HOURLY_RATE-MAX(0,($D311+R$5)-PERMANENT_FIELD_LABOR_HOURS)*TEMP_HOURLY_RATE-FIXED_SEASON_COST)</f>
        <v>15309.13420586</v>
      </c>
      <c r="S311" s="53" t="n">
        <f aca="false">IF(OR($A311&gt;TOMATO_BED_CAP,$B311&gt;CARROT_BED_CAP,S$4&gt;MESCLUN_BED_CAP,$A311+$B311+S$4&gt;TOTAL_BEDS_AVAILABLE,($D311+S$5)&gt;TOTAL_LABOR_HOURS_CAP,MAX(0,($D311+S$5)-PERMANENT_FIELD_LABOR_HOURS)&gt;TEMP_HOURS_CAP),"",$C311+S$6-MIN(($D311+S$5),PERMANENT_FIELD_LABOR_HOURS)*PERMANENT_HOURLY_RATE-MAX(0,($D311+S$5)-PERMANENT_FIELD_LABOR_HOURS)*TEMP_HOURLY_RATE-FIXED_SEASON_COST)</f>
        <v>16075.0007943625</v>
      </c>
      <c r="T311" s="53" t="n">
        <f aca="false">IF(OR($A311&gt;TOMATO_BED_CAP,$B311&gt;CARROT_BED_CAP,T$4&gt;MESCLUN_BED_CAP,$A311+$B311+T$4&gt;TOTAL_BEDS_AVAILABLE,($D311+T$5)&gt;TOTAL_LABOR_HOURS_CAP,MAX(0,($D311+T$5)-PERMANENT_FIELD_LABOR_HOURS)&gt;TEMP_HOURS_CAP),"",$C311+T$6-MIN(($D311+T$5),PERMANENT_FIELD_LABOR_HOURS)*PERMANENT_HOURLY_RATE-MAX(0,($D311+T$5)-PERMANENT_FIELD_LABOR_HOURS)*TEMP_HOURLY_RATE-FIXED_SEASON_COST)</f>
        <v>16816.2142627573</v>
      </c>
      <c r="U311" s="53" t="n">
        <f aca="false">IF(OR($A311&gt;TOMATO_BED_CAP,$B311&gt;CARROT_BED_CAP,U$4&gt;MESCLUN_BED_CAP,$A311+$B311+U$4&gt;TOTAL_BEDS_AVAILABLE,($D311+U$5)&gt;TOTAL_LABOR_HOURS_CAP,MAX(0,($D311+U$5)-PERMANENT_FIELD_LABOR_HOURS)&gt;TEMP_HOURS_CAP),"",$C311+U$6-MIN(($D311+U$5),PERMANENT_FIELD_LABOR_HOURS)*PERMANENT_HOURLY_RATE-MAX(0,($D311+U$5)-PERMANENT_FIELD_LABOR_HOURS)*TEMP_HOURLY_RATE-FIXED_SEASON_COST)</f>
        <v>17532.3229913874</v>
      </c>
      <c r="V311" s="53" t="n">
        <f aca="false">IF(OR($A311&gt;TOMATO_BED_CAP,$B311&gt;CARROT_BED_CAP,V$4&gt;MESCLUN_BED_CAP,$A311+$B311+V$4&gt;TOTAL_BEDS_AVAILABLE,($D311+V$5)&gt;TOTAL_LABOR_HOURS_CAP,MAX(0,($D311+V$5)-PERMANENT_FIELD_LABOR_HOURS)&gt;TEMP_HOURS_CAP),"",$C311+V$6-MIN(($D311+V$5),PERMANENT_FIELD_LABOR_HOURS)*PERMANENT_HOURLY_RATE-MAX(0,($D311+V$5)-PERMANENT_FIELD_LABOR_HOURS)*TEMP_HOURLY_RATE-FIXED_SEASON_COST)</f>
        <v>18222.8679221542</v>
      </c>
      <c r="W311" s="53" t="n">
        <f aca="false">IF(OR($A311&gt;TOMATO_BED_CAP,$B311&gt;CARROT_BED_CAP,W$4&gt;MESCLUN_BED_CAP,$A311+$B311+W$4&gt;TOTAL_BEDS_AVAILABLE,($D311+W$5)&gt;TOTAL_LABOR_HOURS_CAP,MAX(0,($D311+W$5)-PERMANENT_FIELD_LABOR_HOURS)&gt;TEMP_HOURS_CAP),"",$C311+W$6-MIN(($D311+W$5),PERMANENT_FIELD_LABOR_HOURS)*PERMANENT_HOURLY_RATE-MAX(0,($D311+W$5)-PERMANENT_FIELD_LABOR_HOURS)*TEMP_HOURLY_RATE-FIXED_SEASON_COST)</f>
        <v>18887.3824431223</v>
      </c>
      <c r="X311" s="53" t="n">
        <f aca="false">IF(OR($A311&gt;TOMATO_BED_CAP,$B311&gt;CARROT_BED_CAP,X$4&gt;MESCLUN_BED_CAP,$A311+$B311+X$4&gt;TOTAL_BEDS_AVAILABLE,($D311+X$5)&gt;TOTAL_LABOR_HOURS_CAP,MAX(0,($D311+X$5)-PERMANENT_FIELD_LABOR_HOURS)&gt;TEMP_HOURS_CAP),"",$C311+X$6-MIN(($D311+X$5),PERMANENT_FIELD_LABOR_HOURS)*PERMANENT_HOURLY_RATE-MAX(0,($D311+X$5)-PERMANENT_FIELD_LABOR_HOURS)*TEMP_HOURLY_RATE-FIXED_SEASON_COST)</f>
        <v>19525.3922714012</v>
      </c>
      <c r="Y311" s="53" t="n">
        <f aca="false">IF(OR($A311&gt;TOMATO_BED_CAP,$B311&gt;CARROT_BED_CAP,Y$4&gt;MESCLUN_BED_CAP,$A311+$B311+Y$4&gt;TOTAL_BEDS_AVAILABLE,($D311+Y$5)&gt;TOTAL_LABOR_HOURS_CAP,MAX(0,($D311+Y$5)-PERMANENT_FIELD_LABOR_HOURS)&gt;TEMP_HOURS_CAP),"",$C311+Y$6-MIN(($D311+Y$5),PERMANENT_FIELD_LABOR_HOURS)*PERMANENT_HOURLY_RATE-MAX(0,($D311+Y$5)-PERMANENT_FIELD_LABOR_HOURS)*TEMP_HOURLY_RATE-FIXED_SEASON_COST)</f>
        <v>20136.4153342799</v>
      </c>
      <c r="Z311" s="53" t="n">
        <f aca="false">IF(OR($A311&gt;TOMATO_BED_CAP,$B311&gt;CARROT_BED_CAP,Z$4&gt;MESCLUN_BED_CAP,$A311+$B311+Z$4&gt;TOTAL_BEDS_AVAILABLE,($D311+Z$5)&gt;TOTAL_LABOR_HOURS_CAP,MAX(0,($D311+Z$5)-PERMANENT_FIELD_LABOR_HOURS)&gt;TEMP_HOURS_CAP),"",$C311+Z$6-MIN(($D311+Z$5),PERMANENT_FIELD_LABOR_HOURS)*PERMANENT_HOURLY_RATE-MAX(0,($D311+Z$5)-PERMANENT_FIELD_LABOR_HOURS)*TEMP_HOURLY_RATE-FIXED_SEASON_COST)</f>
        <v>20719.9616485876</v>
      </c>
      <c r="AA311" s="53" t="n">
        <f aca="false">IF(OR($A311&gt;TOMATO_BED_CAP,$B311&gt;CARROT_BED_CAP,AA$4&gt;MESCLUN_BED_CAP,$A311+$B311+AA$4&gt;TOTAL_BEDS_AVAILABLE,($D311+AA$5)&gt;TOTAL_LABOR_HOURS_CAP,MAX(0,($D311+AA$5)-PERMANENT_FIELD_LABOR_HOURS)&gt;TEMP_HOURS_CAP),"",$C311+AA$6-MIN(($D311+AA$5),PERMANENT_FIELD_LABOR_HOURS)*PERMANENT_HOURLY_RATE-MAX(0,($D311+AA$5)-PERMANENT_FIELD_LABOR_HOURS)*TEMP_HOURLY_RATE-FIXED_SEASON_COST)</f>
        <v>21275.5331982565</v>
      </c>
      <c r="AB311" s="53" t="n">
        <f aca="false">IF(OR($A311&gt;TOMATO_BED_CAP,$B311&gt;CARROT_BED_CAP,AB$4&gt;MESCLUN_BED_CAP,$A311+$B311+AB$4&gt;TOTAL_BEDS_AVAILABLE,($D311+AB$5)&gt;TOTAL_LABOR_HOURS_CAP,MAX(0,($D311+AB$5)-PERMANENT_FIELD_LABOR_HOURS)&gt;TEMP_HOURS_CAP),"",$C311+AB$6-MIN(($D311+AB$5),PERMANENT_FIELD_LABOR_HOURS)*PERMANENT_HOURLY_RATE-MAX(0,($D311+AB$5)-PERMANENT_FIELD_LABOR_HOURS)*TEMP_HOURLY_RATE-FIXED_SEASON_COST)</f>
        <v>21802.6238100591</v>
      </c>
      <c r="AC311" s="53" t="str">
        <f aca="false">IF(OR($A311&gt;TOMATO_BED_CAP,$B311&gt;CARROT_BED_CAP,AC$4&gt;MESCLUN_BED_CAP,$A311+$B311+AC$4&gt;TOTAL_BEDS_AVAILABLE,($D311+AC$5)&gt;TOTAL_LABOR_HOURS_CAP,MAX(0,($D311+AC$5)-PERMANENT_FIELD_LABOR_HOURS)&gt;TEMP_HOURS_CAP),"",$C311+AC$6-MIN(($D311+AC$5),PERMANENT_FIELD_LABOR_HOURS)*PERMANENT_HOURLY_RATE-MAX(0,($D311+AC$5)-PERMANENT_FIELD_LABOR_HOURS)*TEMP_HOURLY_RATE-FIXED_SEASON_COST)</f>
        <v/>
      </c>
      <c r="AD311" s="53" t="str">
        <f aca="false">IF(OR($A311&gt;TOMATO_BED_CAP,$B311&gt;CARROT_BED_CAP,AD$4&gt;MESCLUN_BED_CAP,$A311+$B311+AD$4&gt;TOTAL_BEDS_AVAILABLE,($D311+AD$5)&gt;TOTAL_LABOR_HOURS_CAP,MAX(0,($D311+AD$5)-PERMANENT_FIELD_LABOR_HOURS)&gt;TEMP_HOURS_CAP),"",$C311+AD$6-MIN(($D311+AD$5),PERMANENT_FIELD_LABOR_HOURS)*PERMANENT_HOURLY_RATE-MAX(0,($D311+AD$5)-PERMANENT_FIELD_LABOR_HOURS)*TEMP_HOURLY_RATE-FIXED_SEASON_COST)</f>
        <v/>
      </c>
      <c r="AE311" s="53" t="str">
        <f aca="false">IF(OR($A311&gt;TOMATO_BED_CAP,$B311&gt;CARROT_BED_CAP,AE$4&gt;MESCLUN_BED_CAP,$A311+$B311+AE$4&gt;TOTAL_BEDS_AVAILABLE,($D311+AE$5)&gt;TOTAL_LABOR_HOURS_CAP,MAX(0,($D311+AE$5)-PERMANENT_FIELD_LABOR_HOURS)&gt;TEMP_HOURS_CAP),"",$C311+AE$6-MIN(($D311+AE$5),PERMANENT_FIELD_LABOR_HOURS)*PERMANENT_HOURLY_RATE-MAX(0,($D311+AE$5)-PERMANENT_FIELD_LABOR_HOURS)*TEMP_HOURLY_RATE-FIXED_SEASON_COST)</f>
        <v/>
      </c>
      <c r="AF311" s="53" t="str">
        <f aca="false">IF(OR($A311&gt;TOMATO_BED_CAP,$B311&gt;CARROT_BED_CAP,AF$4&gt;MESCLUN_BED_CAP,$A311+$B311+AF$4&gt;TOTAL_BEDS_AVAILABLE,($D311+AF$5)&gt;TOTAL_LABOR_HOURS_CAP,MAX(0,($D311+AF$5)-PERMANENT_FIELD_LABOR_HOURS)&gt;TEMP_HOURS_CAP),"",$C311+AF$6-MIN(($D311+AF$5),PERMANENT_FIELD_LABOR_HOURS)*PERMANENT_HOURLY_RATE-MAX(0,($D311+AF$5)-PERMANENT_FIELD_LABOR_HOURS)*TEMP_HOURLY_RATE-FIXED_SEASON_COST)</f>
        <v/>
      </c>
      <c r="AG311" s="53" t="str">
        <f aca="false">IF(OR($A311&gt;TOMATO_BED_CAP,$B311&gt;CARROT_BED_CAP,AG$4&gt;MESCLUN_BED_CAP,$A311+$B311+AG$4&gt;TOTAL_BEDS_AVAILABLE,($D311+AG$5)&gt;TOTAL_LABOR_HOURS_CAP,MAX(0,($D311+AG$5)-PERMANENT_FIELD_LABOR_HOURS)&gt;TEMP_HOURS_CAP),"",$C311+AG$6-MIN(($D311+AG$5),PERMANENT_FIELD_LABOR_HOURS)*PERMANENT_HOURLY_RATE-MAX(0,($D311+AG$5)-PERMANENT_FIELD_LABOR_HOURS)*TEMP_HOURLY_RATE-FIXED_SEASON_COST)</f>
        <v/>
      </c>
      <c r="AH311" s="53" t="str">
        <f aca="false">IF(OR($A311&gt;TOMATO_BED_CAP,$B311&gt;CARROT_BED_CAP,AH$4&gt;MESCLUN_BED_CAP,$A311+$B311+AH$4&gt;TOTAL_BEDS_AVAILABLE,($D311+AH$5)&gt;TOTAL_LABOR_HOURS_CAP,MAX(0,($D311+AH$5)-PERMANENT_FIELD_LABOR_HOURS)&gt;TEMP_HOURS_CAP),"",$C311+AH$6-MIN(($D311+AH$5),PERMANENT_FIELD_LABOR_HOURS)*PERMANENT_HOURLY_RATE-MAX(0,($D311+AH$5)-PERMANENT_FIELD_LABOR_HOURS)*TEMP_HOURLY_RATE-FIXED_SEASON_COST)</f>
        <v/>
      </c>
      <c r="AI311" s="53" t="str">
        <f aca="false">IF(OR($A311&gt;TOMATO_BED_CAP,$B311&gt;CARROT_BED_CAP,AI$4&gt;MESCLUN_BED_CAP,$A311+$B311+AI$4&gt;TOTAL_BEDS_AVAILABLE,($D311+AI$5)&gt;TOTAL_LABOR_HOURS_CAP,MAX(0,($D311+AI$5)-PERMANENT_FIELD_LABOR_HOURS)&gt;TEMP_HOURS_CAP),"",$C311+AI$6-MIN(($D311+AI$5),PERMANENT_FIELD_LABOR_HOURS)*PERMANENT_HOURLY_RATE-MAX(0,($D311+AI$5)-PERMANENT_FIELD_LABOR_HOURS)*TEMP_HOURLY_RATE-FIXED_SEASON_COST)</f>
        <v/>
      </c>
      <c r="AJ311" s="53" t="str">
        <f aca="false">IF(OR($A311&gt;TOMATO_BED_CAP,$B311&gt;CARROT_BED_CAP,AJ$4&gt;MESCLUN_BED_CAP,$A311+$B311+AJ$4&gt;TOTAL_BEDS_AVAILABLE,($D311+AJ$5)&gt;TOTAL_LABOR_HOURS_CAP,MAX(0,($D311+AJ$5)-PERMANENT_FIELD_LABOR_HOURS)&gt;TEMP_HOURS_CAP),"",$C311+AJ$6-MIN(($D311+AJ$5),PERMANENT_FIELD_LABOR_HOURS)*PERMANENT_HOURLY_RATE-MAX(0,($D311+AJ$5)-PERMANENT_FIELD_LABOR_HOURS)*TEMP_HOURLY_RATE-FIXED_SEASON_COST)</f>
        <v/>
      </c>
    </row>
    <row r="312" customFormat="false" ht="15" hidden="false" customHeight="false" outlineLevel="0" collapsed="false">
      <c r="A312" s="21" t="n">
        <f aca="false">INT((ROW()-ROW($A$8))/(20+1))</f>
        <v>14</v>
      </c>
      <c r="B312" s="21" t="n">
        <f aca="false">MOD(ROW()-ROW($A$8),20+1)</f>
        <v>10</v>
      </c>
      <c r="C312" s="13" t="n">
        <f aca="false">A312*(TOMATO_REVENUE_PER_BED-TOMATO_FERTILIZER_PER_BED)+B312*(CARROT_REVENUE_PER_BED-CARROT_FERTILIZER_PER_BED)</f>
        <v>127420</v>
      </c>
      <c r="D312" s="14" t="n">
        <f aca="false">INDEX(TOMATO_SCHED_LABOR_HRS,A312+1)+INDEX(CARROT_SCHED_LABOR_HRS,B312+1)</f>
        <v>5168.71965626245</v>
      </c>
      <c r="E312" s="13" t="n">
        <f aca="false">IF(COUNT(F312:AJ312)=0,"",MAX(F312:AJ312))</f>
        <v>22643.9392205405</v>
      </c>
      <c r="F312" s="53" t="n">
        <f aca="false">IF(OR($A312&gt;TOMATO_BED_CAP,$B312&gt;CARROT_BED_CAP,F$4&gt;MESCLUN_BED_CAP,$A312+$B312+F$4&gt;TOTAL_BEDS_AVAILABLE,($D312+F$5)&gt;TOTAL_LABOR_HOURS_CAP,MAX(0,($D312+F$5)-PERMANENT_FIELD_LABOR_HOURS)&gt;TEMP_HOURS_CAP),"",$C312+F$6-MIN(($D312+F$5),PERMANENT_FIELD_LABOR_HOURS)*PERMANENT_HOURLY_RATE-MAX(0,($D312+F$5)-PERMANENT_FIELD_LABOR_HOURS)*TEMP_HOURLY_RATE-FIXED_SEASON_COST)</f>
        <v>5191.82676728394</v>
      </c>
      <c r="G312" s="53" t="n">
        <f aca="false">IF(OR($A312&gt;TOMATO_BED_CAP,$B312&gt;CARROT_BED_CAP,G$4&gt;MESCLUN_BED_CAP,$A312+$B312+G$4&gt;TOTAL_BEDS_AVAILABLE,($D312+G$5)&gt;TOTAL_LABOR_HOURS_CAP,MAX(0,($D312+G$5)-PERMANENT_FIELD_LABOR_HOURS)&gt;TEMP_HOURS_CAP),"",$C312+G$6-MIN(($D312+G$5),PERMANENT_FIELD_LABOR_HOURS)*PERMANENT_HOURLY_RATE-MAX(0,($D312+G$5)-PERMANENT_FIELD_LABOR_HOURS)*TEMP_HOURLY_RATE-FIXED_SEASON_COST)</f>
        <v>6220.86176728395</v>
      </c>
      <c r="H312" s="53" t="n">
        <f aca="false">IF(OR($A312&gt;TOMATO_BED_CAP,$B312&gt;CARROT_BED_CAP,H$4&gt;MESCLUN_BED_CAP,$A312+$B312+H$4&gt;TOTAL_BEDS_AVAILABLE,($D312+H$5)&gt;TOTAL_LABOR_HOURS_CAP,MAX(0,($D312+H$5)-PERMANENT_FIELD_LABOR_HOURS)&gt;TEMP_HOURS_CAP),"",$C312+H$6-MIN(($D312+H$5),PERMANENT_FIELD_LABOR_HOURS)*PERMANENT_HOURLY_RATE-MAX(0,($D312+H$5)-PERMANENT_FIELD_LABOR_HOURS)*TEMP_HOURLY_RATE-FIXED_SEASON_COST)</f>
        <v>7230.12264228394</v>
      </c>
      <c r="I312" s="53" t="n">
        <f aca="false">IF(OR($A312&gt;TOMATO_BED_CAP,$B312&gt;CARROT_BED_CAP,I$4&gt;MESCLUN_BED_CAP,$A312+$B312+I$4&gt;TOTAL_BEDS_AVAILABLE,($D312+I$5)&gt;TOTAL_LABOR_HOURS_CAP,MAX(0,($D312+I$5)-PERMANENT_FIELD_LABOR_HOURS)&gt;TEMP_HOURS_CAP),"",$C312+I$6-MIN(($D312+I$5),PERMANENT_FIELD_LABOR_HOURS)*PERMANENT_HOURLY_RATE-MAX(0,($D312+I$5)-PERMANENT_FIELD_LABOR_HOURS)*TEMP_HOURLY_RATE-FIXED_SEASON_COST)</f>
        <v>8219.23862744019</v>
      </c>
      <c r="J312" s="53" t="n">
        <f aca="false">IF(OR($A312&gt;TOMATO_BED_CAP,$B312&gt;CARROT_BED_CAP,J$4&gt;MESCLUN_BED_CAP,$A312+$B312+J$4&gt;TOTAL_BEDS_AVAILABLE,($D312+J$5)&gt;TOTAL_LABOR_HOURS_CAP,MAX(0,($D312+J$5)-PERMANENT_FIELD_LABOR_HOURS)&gt;TEMP_HOURS_CAP),"",$C312+J$6-MIN(($D312+J$5),PERMANENT_FIELD_LABOR_HOURS)*PERMANENT_HOURLY_RATE-MAX(0,($D312+J$5)-PERMANENT_FIELD_LABOR_HOURS)*TEMP_HOURLY_RATE-FIXED_SEASON_COST)</f>
        <v>9187.83277849489</v>
      </c>
      <c r="K312" s="53" t="n">
        <f aca="false">IF(OR($A312&gt;TOMATO_BED_CAP,$B312&gt;CARROT_BED_CAP,K$4&gt;MESCLUN_BED_CAP,$A312+$B312+K$4&gt;TOTAL_BEDS_AVAILABLE,($D312+K$5)&gt;TOTAL_LABOR_HOURS_CAP,MAX(0,($D312+K$5)-PERMANENT_FIELD_LABOR_HOURS)&gt;TEMP_HOURS_CAP),"",$C312+K$6-MIN(($D312+K$5),PERMANENT_FIELD_LABOR_HOURS)*PERMANENT_HOURLY_RATE-MAX(0,($D312+K$5)-PERMANENT_FIELD_LABOR_HOURS)*TEMP_HOURLY_RATE-FIXED_SEASON_COST)</f>
        <v>10135.5218752228</v>
      </c>
      <c r="L312" s="53" t="n">
        <f aca="false">IF(OR($A312&gt;TOMATO_BED_CAP,$B312&gt;CARROT_BED_CAP,L$4&gt;MESCLUN_BED_CAP,$A312+$B312+L$4&gt;TOTAL_BEDS_AVAILABLE,($D312+L$5)&gt;TOTAL_LABOR_HOURS_CAP,MAX(0,($D312+L$5)-PERMANENT_FIELD_LABOR_HOURS)&gt;TEMP_HOURS_CAP),"",$C312+L$6-MIN(($D312+L$5),PERMANENT_FIELD_LABOR_HOURS)*PERMANENT_HOURLY_RATE-MAX(0,($D312+L$5)-PERMANENT_FIELD_LABOR_HOURS)*TEMP_HOURLY_RATE-FIXED_SEASON_COST)</f>
        <v>11061.9163234296</v>
      </c>
      <c r="M312" s="53" t="n">
        <f aca="false">IF(OR($A312&gt;TOMATO_BED_CAP,$B312&gt;CARROT_BED_CAP,M$4&gt;MESCLUN_BED_CAP,$A312+$B312+M$4&gt;TOTAL_BEDS_AVAILABLE,($D312+M$5)&gt;TOTAL_LABOR_HOURS_CAP,MAX(0,($D312+M$5)-PERMANENT_FIELD_LABOR_HOURS)&gt;TEMP_HOURS_CAP),"",$C312+M$6-MIN(($D312+M$5),PERMANENT_FIELD_LABOR_HOURS)*PERMANENT_HOURLY_RATE-MAX(0,($D312+M$5)-PERMANENT_FIELD_LABOR_HOURS)*TEMP_HOURLY_RATE-FIXED_SEASON_COST)</f>
        <v>11966.6200554811</v>
      </c>
      <c r="N312" s="53" t="n">
        <f aca="false">IF(OR($A312&gt;TOMATO_BED_CAP,$B312&gt;CARROT_BED_CAP,N$4&gt;MESCLUN_BED_CAP,$A312+$B312+N$4&gt;TOTAL_BEDS_AVAILABLE,($D312+N$5)&gt;TOTAL_LABOR_HOURS_CAP,MAX(0,($D312+N$5)-PERMANENT_FIELD_LABOR_HOURS)&gt;TEMP_HOURS_CAP),"",$C312+N$6-MIN(($D312+N$5),PERMANENT_FIELD_LABOR_HOURS)*PERMANENT_HOURLY_RATE-MAX(0,($D312+N$5)-PERMANENT_FIELD_LABOR_HOURS)*TEMP_HOURLY_RATE-FIXED_SEASON_COST)</f>
        <v>12849.2304293406</v>
      </c>
      <c r="O312" s="53" t="n">
        <f aca="false">IF(OR($A312&gt;TOMATO_BED_CAP,$B312&gt;CARROT_BED_CAP,O$4&gt;MESCLUN_BED_CAP,$A312+$B312+O$4&gt;TOTAL_BEDS_AVAILABLE,($D312+O$5)&gt;TOTAL_LABOR_HOURS_CAP,MAX(0,($D312+O$5)-PERMANENT_FIELD_LABOR_HOURS)&gt;TEMP_HOURS_CAP),"",$C312+O$6-MIN(($D312+O$5),PERMANENT_FIELD_LABOR_HOURS)*PERMANENT_HOURLY_RATE-MAX(0,($D312+O$5)-PERMANENT_FIELD_LABOR_HOURS)*TEMP_HOURLY_RATE-FIXED_SEASON_COST)</f>
        <v>13709.3381260953</v>
      </c>
      <c r="P312" s="53" t="n">
        <f aca="false">IF(OR($A312&gt;TOMATO_BED_CAP,$B312&gt;CARROT_BED_CAP,P$4&gt;MESCLUN_BED_CAP,$A312+$B312+P$4&gt;TOTAL_BEDS_AVAILABLE,($D312+P$5)&gt;TOTAL_LABOR_HOURS_CAP,MAX(0,($D312+P$5)-PERMANENT_FIELD_LABOR_HOURS)&gt;TEMP_HOURS_CAP),"",$C312+P$6-MIN(($D312+P$5),PERMANENT_FIELD_LABOR_HOURS)*PERMANENT_HOURLY_RATE-MAX(0,($D312+P$5)-PERMANENT_FIELD_LABOR_HOURS)*TEMP_HOURLY_RATE-FIXED_SEASON_COST)</f>
        <v>14546.5270459468</v>
      </c>
      <c r="Q312" s="53" t="n">
        <f aca="false">IF(OR($A312&gt;TOMATO_BED_CAP,$B312&gt;CARROT_BED_CAP,Q$4&gt;MESCLUN_BED_CAP,$A312+$B312+Q$4&gt;TOTAL_BEDS_AVAILABLE,($D312+Q$5)&gt;TOTAL_LABOR_HOURS_CAP,MAX(0,($D312+Q$5)-PERMANENT_FIELD_LABOR_HOURS)&gt;TEMP_HOURS_CAP),"",$C312+Q$6-MIN(($D312+Q$5),PERMANENT_FIELD_LABOR_HOURS)*PERMANENT_HOURLY_RATE-MAX(0,($D312+Q$5)-PERMANENT_FIELD_LABOR_HOURS)*TEMP_HOURLY_RATE-FIXED_SEASON_COST)</f>
        <v>15360.3742026447</v>
      </c>
      <c r="R312" s="53" t="n">
        <f aca="false">IF(OR($A312&gt;TOMATO_BED_CAP,$B312&gt;CARROT_BED_CAP,R$4&gt;MESCLUN_BED_CAP,$A312+$B312+R$4&gt;TOTAL_BEDS_AVAILABLE,($D312+R$5)&gt;TOTAL_LABOR_HOURS_CAP,MAX(0,($D312+R$5)-PERMANENT_FIELD_LABOR_HOURS)&gt;TEMP_HOURS_CAP),"",$C312+R$6-MIN(($D312+R$5),PERMANENT_FIELD_LABOR_HOURS)*PERMANENT_HOURLY_RATE-MAX(0,($D312+R$5)-PERMANENT_FIELD_LABOR_HOURS)*TEMP_HOURLY_RATE-FIXED_SEASON_COST)</f>
        <v>16150.4496163415</v>
      </c>
      <c r="S312" s="53" t="n">
        <f aca="false">IF(OR($A312&gt;TOMATO_BED_CAP,$B312&gt;CARROT_BED_CAP,S$4&gt;MESCLUN_BED_CAP,$A312+$B312+S$4&gt;TOTAL_BEDS_AVAILABLE,($D312+S$5)&gt;TOTAL_LABOR_HOURS_CAP,MAX(0,($D312+S$5)-PERMANENT_FIELD_LABOR_HOURS)&gt;TEMP_HOURS_CAP),"",$C312+S$6-MIN(($D312+S$5),PERMANENT_FIELD_LABOR_HOURS)*PERMANENT_HOURLY_RATE-MAX(0,($D312+S$5)-PERMANENT_FIELD_LABOR_HOURS)*TEMP_HOURLY_RATE-FIXED_SEASON_COST)</f>
        <v>16916.3162048439</v>
      </c>
      <c r="T312" s="53" t="n">
        <f aca="false">IF(OR($A312&gt;TOMATO_BED_CAP,$B312&gt;CARROT_BED_CAP,T$4&gt;MESCLUN_BED_CAP,$A312+$B312+T$4&gt;TOTAL_BEDS_AVAILABLE,($D312+T$5)&gt;TOTAL_LABOR_HOURS_CAP,MAX(0,($D312+T$5)-PERMANENT_FIELD_LABOR_HOURS)&gt;TEMP_HOURS_CAP),"",$C312+T$6-MIN(($D312+T$5),PERMANENT_FIELD_LABOR_HOURS)*PERMANENT_HOURLY_RATE-MAX(0,($D312+T$5)-PERMANENT_FIELD_LABOR_HOURS)*TEMP_HOURLY_RATE-FIXED_SEASON_COST)</f>
        <v>17657.5296732388</v>
      </c>
      <c r="U312" s="53" t="n">
        <f aca="false">IF(OR($A312&gt;TOMATO_BED_CAP,$B312&gt;CARROT_BED_CAP,U$4&gt;MESCLUN_BED_CAP,$A312+$B312+U$4&gt;TOTAL_BEDS_AVAILABLE,($D312+U$5)&gt;TOTAL_LABOR_HOURS_CAP,MAX(0,($D312+U$5)-PERMANENT_FIELD_LABOR_HOURS)&gt;TEMP_HOURS_CAP),"",$C312+U$6-MIN(($D312+U$5),PERMANENT_FIELD_LABOR_HOURS)*PERMANENT_HOURLY_RATE-MAX(0,($D312+U$5)-PERMANENT_FIELD_LABOR_HOURS)*TEMP_HOURLY_RATE-FIXED_SEASON_COST)</f>
        <v>18373.6384018689</v>
      </c>
      <c r="V312" s="53" t="n">
        <f aca="false">IF(OR($A312&gt;TOMATO_BED_CAP,$B312&gt;CARROT_BED_CAP,V$4&gt;MESCLUN_BED_CAP,$A312+$B312+V$4&gt;TOTAL_BEDS_AVAILABLE,($D312+V$5)&gt;TOTAL_LABOR_HOURS_CAP,MAX(0,($D312+V$5)-PERMANENT_FIELD_LABOR_HOURS)&gt;TEMP_HOURS_CAP),"",$C312+V$6-MIN(($D312+V$5),PERMANENT_FIELD_LABOR_HOURS)*PERMANENT_HOURLY_RATE-MAX(0,($D312+V$5)-PERMANENT_FIELD_LABOR_HOURS)*TEMP_HOURLY_RATE-FIXED_SEASON_COST)</f>
        <v>19064.1833326357</v>
      </c>
      <c r="W312" s="53" t="n">
        <f aca="false">IF(OR($A312&gt;TOMATO_BED_CAP,$B312&gt;CARROT_BED_CAP,W$4&gt;MESCLUN_BED_CAP,$A312+$B312+W$4&gt;TOTAL_BEDS_AVAILABLE,($D312+W$5)&gt;TOTAL_LABOR_HOURS_CAP,MAX(0,($D312+W$5)-PERMANENT_FIELD_LABOR_HOURS)&gt;TEMP_HOURS_CAP),"",$C312+W$6-MIN(($D312+W$5),PERMANENT_FIELD_LABOR_HOURS)*PERMANENT_HOURLY_RATE-MAX(0,($D312+W$5)-PERMANENT_FIELD_LABOR_HOURS)*TEMP_HOURLY_RATE-FIXED_SEASON_COST)</f>
        <v>19728.6978536037</v>
      </c>
      <c r="X312" s="53" t="n">
        <f aca="false">IF(OR($A312&gt;TOMATO_BED_CAP,$B312&gt;CARROT_BED_CAP,X$4&gt;MESCLUN_BED_CAP,$A312+$B312+X$4&gt;TOTAL_BEDS_AVAILABLE,($D312+X$5)&gt;TOTAL_LABOR_HOURS_CAP,MAX(0,($D312+X$5)-PERMANENT_FIELD_LABOR_HOURS)&gt;TEMP_HOURS_CAP),"",$C312+X$6-MIN(($D312+X$5),PERMANENT_FIELD_LABOR_HOURS)*PERMANENT_HOURLY_RATE-MAX(0,($D312+X$5)-PERMANENT_FIELD_LABOR_HOURS)*TEMP_HOURLY_RATE-FIXED_SEASON_COST)</f>
        <v>20366.7076818826</v>
      </c>
      <c r="Y312" s="53" t="n">
        <f aca="false">IF(OR($A312&gt;TOMATO_BED_CAP,$B312&gt;CARROT_BED_CAP,Y$4&gt;MESCLUN_BED_CAP,$A312+$B312+Y$4&gt;TOTAL_BEDS_AVAILABLE,($D312+Y$5)&gt;TOTAL_LABOR_HOURS_CAP,MAX(0,($D312+Y$5)-PERMANENT_FIELD_LABOR_HOURS)&gt;TEMP_HOURS_CAP),"",$C312+Y$6-MIN(($D312+Y$5),PERMANENT_FIELD_LABOR_HOURS)*PERMANENT_HOURLY_RATE-MAX(0,($D312+Y$5)-PERMANENT_FIELD_LABOR_HOURS)*TEMP_HOURLY_RATE-FIXED_SEASON_COST)</f>
        <v>20977.7307447613</v>
      </c>
      <c r="Z312" s="53" t="n">
        <f aca="false">IF(OR($A312&gt;TOMATO_BED_CAP,$B312&gt;CARROT_BED_CAP,Z$4&gt;MESCLUN_BED_CAP,$A312+$B312+Z$4&gt;TOTAL_BEDS_AVAILABLE,($D312+Z$5)&gt;TOTAL_LABOR_HOURS_CAP,MAX(0,($D312+Z$5)-PERMANENT_FIELD_LABOR_HOURS)&gt;TEMP_HOURS_CAP),"",$C312+Z$6-MIN(($D312+Z$5),PERMANENT_FIELD_LABOR_HOURS)*PERMANENT_HOURLY_RATE-MAX(0,($D312+Z$5)-PERMANENT_FIELD_LABOR_HOURS)*TEMP_HOURLY_RATE-FIXED_SEASON_COST)</f>
        <v>21561.277059069</v>
      </c>
      <c r="AA312" s="53" t="n">
        <f aca="false">IF(OR($A312&gt;TOMATO_BED_CAP,$B312&gt;CARROT_BED_CAP,AA$4&gt;MESCLUN_BED_CAP,$A312+$B312+AA$4&gt;TOTAL_BEDS_AVAILABLE,($D312+AA$5)&gt;TOTAL_LABOR_HOURS_CAP,MAX(0,($D312+AA$5)-PERMANENT_FIELD_LABOR_HOURS)&gt;TEMP_HOURS_CAP),"",$C312+AA$6-MIN(($D312+AA$5),PERMANENT_FIELD_LABOR_HOURS)*PERMANENT_HOURLY_RATE-MAX(0,($D312+AA$5)-PERMANENT_FIELD_LABOR_HOURS)*TEMP_HOURLY_RATE-FIXED_SEASON_COST)</f>
        <v>22116.848608738</v>
      </c>
      <c r="AB312" s="53" t="n">
        <f aca="false">IF(OR($A312&gt;TOMATO_BED_CAP,$B312&gt;CARROT_BED_CAP,AB$4&gt;MESCLUN_BED_CAP,$A312+$B312+AB$4&gt;TOTAL_BEDS_AVAILABLE,($D312+AB$5)&gt;TOTAL_LABOR_HOURS_CAP,MAX(0,($D312+AB$5)-PERMANENT_FIELD_LABOR_HOURS)&gt;TEMP_HOURS_CAP),"",$C312+AB$6-MIN(($D312+AB$5),PERMANENT_FIELD_LABOR_HOURS)*PERMANENT_HOURLY_RATE-MAX(0,($D312+AB$5)-PERMANENT_FIELD_LABOR_HOURS)*TEMP_HOURLY_RATE-FIXED_SEASON_COST)</f>
        <v>22643.9392205405</v>
      </c>
      <c r="AC312" s="53" t="str">
        <f aca="false">IF(OR($A312&gt;TOMATO_BED_CAP,$B312&gt;CARROT_BED_CAP,AC$4&gt;MESCLUN_BED_CAP,$A312+$B312+AC$4&gt;TOTAL_BEDS_AVAILABLE,($D312+AC$5)&gt;TOTAL_LABOR_HOURS_CAP,MAX(0,($D312+AC$5)-PERMANENT_FIELD_LABOR_HOURS)&gt;TEMP_HOURS_CAP),"",$C312+AC$6-MIN(($D312+AC$5),PERMANENT_FIELD_LABOR_HOURS)*PERMANENT_HOURLY_RATE-MAX(0,($D312+AC$5)-PERMANENT_FIELD_LABOR_HOURS)*TEMP_HOURLY_RATE-FIXED_SEASON_COST)</f>
        <v/>
      </c>
      <c r="AD312" s="53" t="str">
        <f aca="false">IF(OR($A312&gt;TOMATO_BED_CAP,$B312&gt;CARROT_BED_CAP,AD$4&gt;MESCLUN_BED_CAP,$A312+$B312+AD$4&gt;TOTAL_BEDS_AVAILABLE,($D312+AD$5)&gt;TOTAL_LABOR_HOURS_CAP,MAX(0,($D312+AD$5)-PERMANENT_FIELD_LABOR_HOURS)&gt;TEMP_HOURS_CAP),"",$C312+AD$6-MIN(($D312+AD$5),PERMANENT_FIELD_LABOR_HOURS)*PERMANENT_HOURLY_RATE-MAX(0,($D312+AD$5)-PERMANENT_FIELD_LABOR_HOURS)*TEMP_HOURLY_RATE-FIXED_SEASON_COST)</f>
        <v/>
      </c>
      <c r="AE312" s="53" t="str">
        <f aca="false">IF(OR($A312&gt;TOMATO_BED_CAP,$B312&gt;CARROT_BED_CAP,AE$4&gt;MESCLUN_BED_CAP,$A312+$B312+AE$4&gt;TOTAL_BEDS_AVAILABLE,($D312+AE$5)&gt;TOTAL_LABOR_HOURS_CAP,MAX(0,($D312+AE$5)-PERMANENT_FIELD_LABOR_HOURS)&gt;TEMP_HOURS_CAP),"",$C312+AE$6-MIN(($D312+AE$5),PERMANENT_FIELD_LABOR_HOURS)*PERMANENT_HOURLY_RATE-MAX(0,($D312+AE$5)-PERMANENT_FIELD_LABOR_HOURS)*TEMP_HOURLY_RATE-FIXED_SEASON_COST)</f>
        <v/>
      </c>
      <c r="AF312" s="53" t="str">
        <f aca="false">IF(OR($A312&gt;TOMATO_BED_CAP,$B312&gt;CARROT_BED_CAP,AF$4&gt;MESCLUN_BED_CAP,$A312+$B312+AF$4&gt;TOTAL_BEDS_AVAILABLE,($D312+AF$5)&gt;TOTAL_LABOR_HOURS_CAP,MAX(0,($D312+AF$5)-PERMANENT_FIELD_LABOR_HOURS)&gt;TEMP_HOURS_CAP),"",$C312+AF$6-MIN(($D312+AF$5),PERMANENT_FIELD_LABOR_HOURS)*PERMANENT_HOURLY_RATE-MAX(0,($D312+AF$5)-PERMANENT_FIELD_LABOR_HOURS)*TEMP_HOURLY_RATE-FIXED_SEASON_COST)</f>
        <v/>
      </c>
      <c r="AG312" s="53" t="str">
        <f aca="false">IF(OR($A312&gt;TOMATO_BED_CAP,$B312&gt;CARROT_BED_CAP,AG$4&gt;MESCLUN_BED_CAP,$A312+$B312+AG$4&gt;TOTAL_BEDS_AVAILABLE,($D312+AG$5)&gt;TOTAL_LABOR_HOURS_CAP,MAX(0,($D312+AG$5)-PERMANENT_FIELD_LABOR_HOURS)&gt;TEMP_HOURS_CAP),"",$C312+AG$6-MIN(($D312+AG$5),PERMANENT_FIELD_LABOR_HOURS)*PERMANENT_HOURLY_RATE-MAX(0,($D312+AG$5)-PERMANENT_FIELD_LABOR_HOURS)*TEMP_HOURLY_RATE-FIXED_SEASON_COST)</f>
        <v/>
      </c>
      <c r="AH312" s="53" t="str">
        <f aca="false">IF(OR($A312&gt;TOMATO_BED_CAP,$B312&gt;CARROT_BED_CAP,AH$4&gt;MESCLUN_BED_CAP,$A312+$B312+AH$4&gt;TOTAL_BEDS_AVAILABLE,($D312+AH$5)&gt;TOTAL_LABOR_HOURS_CAP,MAX(0,($D312+AH$5)-PERMANENT_FIELD_LABOR_HOURS)&gt;TEMP_HOURS_CAP),"",$C312+AH$6-MIN(($D312+AH$5),PERMANENT_FIELD_LABOR_HOURS)*PERMANENT_HOURLY_RATE-MAX(0,($D312+AH$5)-PERMANENT_FIELD_LABOR_HOURS)*TEMP_HOURLY_RATE-FIXED_SEASON_COST)</f>
        <v/>
      </c>
      <c r="AI312" s="53" t="str">
        <f aca="false">IF(OR($A312&gt;TOMATO_BED_CAP,$B312&gt;CARROT_BED_CAP,AI$4&gt;MESCLUN_BED_CAP,$A312+$B312+AI$4&gt;TOTAL_BEDS_AVAILABLE,($D312+AI$5)&gt;TOTAL_LABOR_HOURS_CAP,MAX(0,($D312+AI$5)-PERMANENT_FIELD_LABOR_HOURS)&gt;TEMP_HOURS_CAP),"",$C312+AI$6-MIN(($D312+AI$5),PERMANENT_FIELD_LABOR_HOURS)*PERMANENT_HOURLY_RATE-MAX(0,($D312+AI$5)-PERMANENT_FIELD_LABOR_HOURS)*TEMP_HOURLY_RATE-FIXED_SEASON_COST)</f>
        <v/>
      </c>
      <c r="AJ312" s="53" t="str">
        <f aca="false">IF(OR($A312&gt;TOMATO_BED_CAP,$B312&gt;CARROT_BED_CAP,AJ$4&gt;MESCLUN_BED_CAP,$A312+$B312+AJ$4&gt;TOTAL_BEDS_AVAILABLE,($D312+AJ$5)&gt;TOTAL_LABOR_HOURS_CAP,MAX(0,($D312+AJ$5)-PERMANENT_FIELD_LABOR_HOURS)&gt;TEMP_HOURS_CAP),"",$C312+AJ$6-MIN(($D312+AJ$5),PERMANENT_FIELD_LABOR_HOURS)*PERMANENT_HOURLY_RATE-MAX(0,($D312+AJ$5)-PERMANENT_FIELD_LABOR_HOURS)*TEMP_HOURLY_RATE-FIXED_SEASON_COST)</f>
        <v/>
      </c>
    </row>
    <row r="313" customFormat="false" ht="15" hidden="false" customHeight="false" outlineLevel="0" collapsed="false">
      <c r="A313" s="21" t="n">
        <f aca="false">INT((ROW()-ROW($A$8))/(20+1))</f>
        <v>14</v>
      </c>
      <c r="B313" s="21" t="n">
        <f aca="false">MOD(ROW()-ROW($A$8),20+1)</f>
        <v>11</v>
      </c>
      <c r="C313" s="13" t="n">
        <f aca="false">A313*(TOMATO_REVENUE_PER_BED-TOMATO_FERTILIZER_PER_BED)+B313*(CARROT_REVENUE_PER_BED-CARROT_FERTILIZER_PER_BED)</f>
        <v>129074</v>
      </c>
      <c r="D313" s="14" t="n">
        <f aca="false">INDEX(TOMATO_SCHED_LABOR_HRS,A313+1)+INDEX(CARROT_SCHED_LABOR_HRS,B313+1)</f>
        <v>5217.66330478443</v>
      </c>
      <c r="E313" s="13" t="n">
        <f aca="false">IF(COUNT(F313:AJ313)=0,"",MAX(F313:AJ313))</f>
        <v>22921.1868703963</v>
      </c>
      <c r="F313" s="53" t="n">
        <f aca="false">IF(OR($A313&gt;TOMATO_BED_CAP,$B313&gt;CARROT_BED_CAP,F$4&gt;MESCLUN_BED_CAP,$A313+$B313+F$4&gt;TOTAL_BEDS_AVAILABLE,($D313+F$5)&gt;TOTAL_LABOR_HOURS_CAP,MAX(0,($D313+F$5)-PERMANENT_FIELD_LABOR_HOURS)&gt;TEMP_HOURS_CAP),"",$C313+F$6-MIN(($D313+F$5),PERMANENT_FIELD_LABOR_HOURS)*PERMANENT_HOURLY_RATE-MAX(0,($D313+F$5)-PERMANENT_FIELD_LABOR_HOURS)*TEMP_HOURLY_RATE-FIXED_SEASON_COST)</f>
        <v>5996.16502894231</v>
      </c>
      <c r="G313" s="53" t="n">
        <f aca="false">IF(OR($A313&gt;TOMATO_BED_CAP,$B313&gt;CARROT_BED_CAP,G$4&gt;MESCLUN_BED_CAP,$A313+$B313+G$4&gt;TOTAL_BEDS_AVAILABLE,($D313+G$5)&gt;TOTAL_LABOR_HOURS_CAP,MAX(0,($D313+G$5)-PERMANENT_FIELD_LABOR_HOURS)&gt;TEMP_HOURS_CAP),"",$C313+G$6-MIN(($D313+G$5),PERMANENT_FIELD_LABOR_HOURS)*PERMANENT_HOURLY_RATE-MAX(0,($D313+G$5)-PERMANENT_FIELD_LABOR_HOURS)*TEMP_HOURLY_RATE-FIXED_SEASON_COST)</f>
        <v>7025.2000289423</v>
      </c>
      <c r="H313" s="53" t="n">
        <f aca="false">IF(OR($A313&gt;TOMATO_BED_CAP,$B313&gt;CARROT_BED_CAP,H$4&gt;MESCLUN_BED_CAP,$A313+$B313+H$4&gt;TOTAL_BEDS_AVAILABLE,($D313+H$5)&gt;TOTAL_LABOR_HOURS_CAP,MAX(0,($D313+H$5)-PERMANENT_FIELD_LABOR_HOURS)&gt;TEMP_HOURS_CAP),"",$C313+H$6-MIN(($D313+H$5),PERMANENT_FIELD_LABOR_HOURS)*PERMANENT_HOURLY_RATE-MAX(0,($D313+H$5)-PERMANENT_FIELD_LABOR_HOURS)*TEMP_HOURLY_RATE-FIXED_SEASON_COST)</f>
        <v>8034.46090394229</v>
      </c>
      <c r="I313" s="53" t="n">
        <f aca="false">IF(OR($A313&gt;TOMATO_BED_CAP,$B313&gt;CARROT_BED_CAP,I$4&gt;MESCLUN_BED_CAP,$A313+$B313+I$4&gt;TOTAL_BEDS_AVAILABLE,($D313+I$5)&gt;TOTAL_LABOR_HOURS_CAP,MAX(0,($D313+I$5)-PERMANENT_FIELD_LABOR_HOURS)&gt;TEMP_HOURS_CAP),"",$C313+I$6-MIN(($D313+I$5),PERMANENT_FIELD_LABOR_HOURS)*PERMANENT_HOURLY_RATE-MAX(0,($D313+I$5)-PERMANENT_FIELD_LABOR_HOURS)*TEMP_HOURLY_RATE-FIXED_SEASON_COST)</f>
        <v>9023.57688909855</v>
      </c>
      <c r="J313" s="53" t="n">
        <f aca="false">IF(OR($A313&gt;TOMATO_BED_CAP,$B313&gt;CARROT_BED_CAP,J$4&gt;MESCLUN_BED_CAP,$A313+$B313+J$4&gt;TOTAL_BEDS_AVAILABLE,($D313+J$5)&gt;TOTAL_LABOR_HOURS_CAP,MAX(0,($D313+J$5)-PERMANENT_FIELD_LABOR_HOURS)&gt;TEMP_HOURS_CAP),"",$C313+J$6-MIN(($D313+J$5),PERMANENT_FIELD_LABOR_HOURS)*PERMANENT_HOURLY_RATE-MAX(0,($D313+J$5)-PERMANENT_FIELD_LABOR_HOURS)*TEMP_HOURLY_RATE-FIXED_SEASON_COST)</f>
        <v>9992.17104015325</v>
      </c>
      <c r="K313" s="53" t="n">
        <f aca="false">IF(OR($A313&gt;TOMATO_BED_CAP,$B313&gt;CARROT_BED_CAP,K$4&gt;MESCLUN_BED_CAP,$A313+$B313+K$4&gt;TOTAL_BEDS_AVAILABLE,($D313+K$5)&gt;TOTAL_LABOR_HOURS_CAP,MAX(0,($D313+K$5)-PERMANENT_FIELD_LABOR_HOURS)&gt;TEMP_HOURS_CAP),"",$C313+K$6-MIN(($D313+K$5),PERMANENT_FIELD_LABOR_HOURS)*PERMANENT_HOURLY_RATE-MAX(0,($D313+K$5)-PERMANENT_FIELD_LABOR_HOURS)*TEMP_HOURLY_RATE-FIXED_SEASON_COST)</f>
        <v>10939.8601368812</v>
      </c>
      <c r="L313" s="53" t="n">
        <f aca="false">IF(OR($A313&gt;TOMATO_BED_CAP,$B313&gt;CARROT_BED_CAP,L$4&gt;MESCLUN_BED_CAP,$A313+$B313+L$4&gt;TOTAL_BEDS_AVAILABLE,($D313+L$5)&gt;TOTAL_LABOR_HOURS_CAP,MAX(0,($D313+L$5)-PERMANENT_FIELD_LABOR_HOURS)&gt;TEMP_HOURS_CAP),"",$C313+L$6-MIN(($D313+L$5),PERMANENT_FIELD_LABOR_HOURS)*PERMANENT_HOURLY_RATE-MAX(0,($D313+L$5)-PERMANENT_FIELD_LABOR_HOURS)*TEMP_HOURLY_RATE-FIXED_SEASON_COST)</f>
        <v>11866.254585088</v>
      </c>
      <c r="M313" s="53" t="n">
        <f aca="false">IF(OR($A313&gt;TOMATO_BED_CAP,$B313&gt;CARROT_BED_CAP,M$4&gt;MESCLUN_BED_CAP,$A313+$B313+M$4&gt;TOTAL_BEDS_AVAILABLE,($D313+M$5)&gt;TOTAL_LABOR_HOURS_CAP,MAX(0,($D313+M$5)-PERMANENT_FIELD_LABOR_HOURS)&gt;TEMP_HOURS_CAP),"",$C313+M$6-MIN(($D313+M$5),PERMANENT_FIELD_LABOR_HOURS)*PERMANENT_HOURLY_RATE-MAX(0,($D313+M$5)-PERMANENT_FIELD_LABOR_HOURS)*TEMP_HOURLY_RATE-FIXED_SEASON_COST)</f>
        <v>12770.9583171394</v>
      </c>
      <c r="N313" s="53" t="n">
        <f aca="false">IF(OR($A313&gt;TOMATO_BED_CAP,$B313&gt;CARROT_BED_CAP,N$4&gt;MESCLUN_BED_CAP,$A313+$B313+N$4&gt;TOTAL_BEDS_AVAILABLE,($D313+N$5)&gt;TOTAL_LABOR_HOURS_CAP,MAX(0,($D313+N$5)-PERMANENT_FIELD_LABOR_HOURS)&gt;TEMP_HOURS_CAP),"",$C313+N$6-MIN(($D313+N$5),PERMANENT_FIELD_LABOR_HOURS)*PERMANENT_HOURLY_RATE-MAX(0,($D313+N$5)-PERMANENT_FIELD_LABOR_HOURS)*TEMP_HOURLY_RATE-FIXED_SEASON_COST)</f>
        <v>13653.568690999</v>
      </c>
      <c r="O313" s="53" t="n">
        <f aca="false">IF(OR($A313&gt;TOMATO_BED_CAP,$B313&gt;CARROT_BED_CAP,O$4&gt;MESCLUN_BED_CAP,$A313+$B313+O$4&gt;TOTAL_BEDS_AVAILABLE,($D313+O$5)&gt;TOTAL_LABOR_HOURS_CAP,MAX(0,($D313+O$5)-PERMANENT_FIELD_LABOR_HOURS)&gt;TEMP_HOURS_CAP),"",$C313+O$6-MIN(($D313+O$5),PERMANENT_FIELD_LABOR_HOURS)*PERMANENT_HOURLY_RATE-MAX(0,($D313+O$5)-PERMANENT_FIELD_LABOR_HOURS)*TEMP_HOURLY_RATE-FIXED_SEASON_COST)</f>
        <v>14513.6763877537</v>
      </c>
      <c r="P313" s="53" t="n">
        <f aca="false">IF(OR($A313&gt;TOMATO_BED_CAP,$B313&gt;CARROT_BED_CAP,P$4&gt;MESCLUN_BED_CAP,$A313+$B313+P$4&gt;TOTAL_BEDS_AVAILABLE,($D313+P$5)&gt;TOTAL_LABOR_HOURS_CAP,MAX(0,($D313+P$5)-PERMANENT_FIELD_LABOR_HOURS)&gt;TEMP_HOURS_CAP),"",$C313+P$6-MIN(($D313+P$5),PERMANENT_FIELD_LABOR_HOURS)*PERMANENT_HOURLY_RATE-MAX(0,($D313+P$5)-PERMANENT_FIELD_LABOR_HOURS)*TEMP_HOURLY_RATE-FIXED_SEASON_COST)</f>
        <v>15350.8653076051</v>
      </c>
      <c r="Q313" s="53" t="n">
        <f aca="false">IF(OR($A313&gt;TOMATO_BED_CAP,$B313&gt;CARROT_BED_CAP,Q$4&gt;MESCLUN_BED_CAP,$A313+$B313+Q$4&gt;TOTAL_BEDS_AVAILABLE,($D313+Q$5)&gt;TOTAL_LABOR_HOURS_CAP,MAX(0,($D313+Q$5)-PERMANENT_FIELD_LABOR_HOURS)&gt;TEMP_HOURS_CAP),"",$C313+Q$6-MIN(($D313+Q$5),PERMANENT_FIELD_LABOR_HOURS)*PERMANENT_HOURLY_RATE-MAX(0,($D313+Q$5)-PERMANENT_FIELD_LABOR_HOURS)*TEMP_HOURLY_RATE-FIXED_SEASON_COST)</f>
        <v>16164.712464303</v>
      </c>
      <c r="R313" s="53" t="n">
        <f aca="false">IF(OR($A313&gt;TOMATO_BED_CAP,$B313&gt;CARROT_BED_CAP,R$4&gt;MESCLUN_BED_CAP,$A313+$B313+R$4&gt;TOTAL_BEDS_AVAILABLE,($D313+R$5)&gt;TOTAL_LABOR_HOURS_CAP,MAX(0,($D313+R$5)-PERMANENT_FIELD_LABOR_HOURS)&gt;TEMP_HOURS_CAP),"",$C313+R$6-MIN(($D313+R$5),PERMANENT_FIELD_LABOR_HOURS)*PERMANENT_HOURLY_RATE-MAX(0,($D313+R$5)-PERMANENT_FIELD_LABOR_HOURS)*TEMP_HOURLY_RATE-FIXED_SEASON_COST)</f>
        <v>16954.7878779998</v>
      </c>
      <c r="S313" s="53" t="n">
        <f aca="false">IF(OR($A313&gt;TOMATO_BED_CAP,$B313&gt;CARROT_BED_CAP,S$4&gt;MESCLUN_BED_CAP,$A313+$B313+S$4&gt;TOTAL_BEDS_AVAILABLE,($D313+S$5)&gt;TOTAL_LABOR_HOURS_CAP,MAX(0,($D313+S$5)-PERMANENT_FIELD_LABOR_HOURS)&gt;TEMP_HOURS_CAP),"",$C313+S$6-MIN(($D313+S$5),PERMANENT_FIELD_LABOR_HOURS)*PERMANENT_HOURLY_RATE-MAX(0,($D313+S$5)-PERMANENT_FIELD_LABOR_HOURS)*TEMP_HOURLY_RATE-FIXED_SEASON_COST)</f>
        <v>17720.6544665023</v>
      </c>
      <c r="T313" s="53" t="n">
        <f aca="false">IF(OR($A313&gt;TOMATO_BED_CAP,$B313&gt;CARROT_BED_CAP,T$4&gt;MESCLUN_BED_CAP,$A313+$B313+T$4&gt;TOTAL_BEDS_AVAILABLE,($D313+T$5)&gt;TOTAL_LABOR_HOURS_CAP,MAX(0,($D313+T$5)-PERMANENT_FIELD_LABOR_HOURS)&gt;TEMP_HOURS_CAP),"",$C313+T$6-MIN(($D313+T$5),PERMANENT_FIELD_LABOR_HOURS)*PERMANENT_HOURLY_RATE-MAX(0,($D313+T$5)-PERMANENT_FIELD_LABOR_HOURS)*TEMP_HOURLY_RATE-FIXED_SEASON_COST)</f>
        <v>18461.8679348971</v>
      </c>
      <c r="U313" s="53" t="n">
        <f aca="false">IF(OR($A313&gt;TOMATO_BED_CAP,$B313&gt;CARROT_BED_CAP,U$4&gt;MESCLUN_BED_CAP,$A313+$B313+U$4&gt;TOTAL_BEDS_AVAILABLE,($D313+U$5)&gt;TOTAL_LABOR_HOURS_CAP,MAX(0,($D313+U$5)-PERMANENT_FIELD_LABOR_HOURS)&gt;TEMP_HOURS_CAP),"",$C313+U$6-MIN(($D313+U$5),PERMANENT_FIELD_LABOR_HOURS)*PERMANENT_HOURLY_RATE-MAX(0,($D313+U$5)-PERMANENT_FIELD_LABOR_HOURS)*TEMP_HOURLY_RATE-FIXED_SEASON_COST)</f>
        <v>19177.9766635272</v>
      </c>
      <c r="V313" s="53" t="n">
        <f aca="false">IF(OR($A313&gt;TOMATO_BED_CAP,$B313&gt;CARROT_BED_CAP,V$4&gt;MESCLUN_BED_CAP,$A313+$B313+V$4&gt;TOTAL_BEDS_AVAILABLE,($D313+V$5)&gt;TOTAL_LABOR_HOURS_CAP,MAX(0,($D313+V$5)-PERMANENT_FIELD_LABOR_HOURS)&gt;TEMP_HOURS_CAP),"",$C313+V$6-MIN(($D313+V$5),PERMANENT_FIELD_LABOR_HOURS)*PERMANENT_HOURLY_RATE-MAX(0,($D313+V$5)-PERMANENT_FIELD_LABOR_HOURS)*TEMP_HOURLY_RATE-FIXED_SEASON_COST)</f>
        <v>19868.521594294</v>
      </c>
      <c r="W313" s="53" t="n">
        <f aca="false">IF(OR($A313&gt;TOMATO_BED_CAP,$B313&gt;CARROT_BED_CAP,W$4&gt;MESCLUN_BED_CAP,$A313+$B313+W$4&gt;TOTAL_BEDS_AVAILABLE,($D313+W$5)&gt;TOTAL_LABOR_HOURS_CAP,MAX(0,($D313+W$5)-PERMANENT_FIELD_LABOR_HOURS)&gt;TEMP_HOURS_CAP),"",$C313+W$6-MIN(($D313+W$5),PERMANENT_FIELD_LABOR_HOURS)*PERMANENT_HOURLY_RATE-MAX(0,($D313+W$5)-PERMANENT_FIELD_LABOR_HOURS)*TEMP_HOURLY_RATE-FIXED_SEASON_COST)</f>
        <v>20533.0361152621</v>
      </c>
      <c r="X313" s="53" t="n">
        <f aca="false">IF(OR($A313&gt;TOMATO_BED_CAP,$B313&gt;CARROT_BED_CAP,X$4&gt;MESCLUN_BED_CAP,$A313+$B313+X$4&gt;TOTAL_BEDS_AVAILABLE,($D313+X$5)&gt;TOTAL_LABOR_HOURS_CAP,MAX(0,($D313+X$5)-PERMANENT_FIELD_LABOR_HOURS)&gt;TEMP_HOURS_CAP),"",$C313+X$6-MIN(($D313+X$5),PERMANENT_FIELD_LABOR_HOURS)*PERMANENT_HOURLY_RATE-MAX(0,($D313+X$5)-PERMANENT_FIELD_LABOR_HOURS)*TEMP_HOURLY_RATE-FIXED_SEASON_COST)</f>
        <v>21171.045943541</v>
      </c>
      <c r="Y313" s="53" t="n">
        <f aca="false">IF(OR($A313&gt;TOMATO_BED_CAP,$B313&gt;CARROT_BED_CAP,Y$4&gt;MESCLUN_BED_CAP,$A313+$B313+Y$4&gt;TOTAL_BEDS_AVAILABLE,($D313+Y$5)&gt;TOTAL_LABOR_HOURS_CAP,MAX(0,($D313+Y$5)-PERMANENT_FIELD_LABOR_HOURS)&gt;TEMP_HOURS_CAP),"",$C313+Y$6-MIN(($D313+Y$5),PERMANENT_FIELD_LABOR_HOURS)*PERMANENT_HOURLY_RATE-MAX(0,($D313+Y$5)-PERMANENT_FIELD_LABOR_HOURS)*TEMP_HOURLY_RATE-FIXED_SEASON_COST)</f>
        <v>21782.0690064197</v>
      </c>
      <c r="Z313" s="53" t="n">
        <f aca="false">IF(OR($A313&gt;TOMATO_BED_CAP,$B313&gt;CARROT_BED_CAP,Z$4&gt;MESCLUN_BED_CAP,$A313+$B313+Z$4&gt;TOTAL_BEDS_AVAILABLE,($D313+Z$5)&gt;TOTAL_LABOR_HOURS_CAP,MAX(0,($D313+Z$5)-PERMANENT_FIELD_LABOR_HOURS)&gt;TEMP_HOURS_CAP),"",$C313+Z$6-MIN(($D313+Z$5),PERMANENT_FIELD_LABOR_HOURS)*PERMANENT_HOURLY_RATE-MAX(0,($D313+Z$5)-PERMANENT_FIELD_LABOR_HOURS)*TEMP_HOURLY_RATE-FIXED_SEASON_COST)</f>
        <v>22365.6153207274</v>
      </c>
      <c r="AA313" s="53" t="n">
        <f aca="false">IF(OR($A313&gt;TOMATO_BED_CAP,$B313&gt;CARROT_BED_CAP,AA$4&gt;MESCLUN_BED_CAP,$A313+$B313+AA$4&gt;TOTAL_BEDS_AVAILABLE,($D313+AA$5)&gt;TOTAL_LABOR_HOURS_CAP,MAX(0,($D313+AA$5)-PERMANENT_FIELD_LABOR_HOURS)&gt;TEMP_HOURS_CAP),"",$C313+AA$6-MIN(($D313+AA$5),PERMANENT_FIELD_LABOR_HOURS)*PERMANENT_HOURLY_RATE-MAX(0,($D313+AA$5)-PERMANENT_FIELD_LABOR_HOURS)*TEMP_HOURLY_RATE-FIXED_SEASON_COST)</f>
        <v>22921.1868703963</v>
      </c>
      <c r="AB313" s="53" t="str">
        <f aca="false">IF(OR($A313&gt;TOMATO_BED_CAP,$B313&gt;CARROT_BED_CAP,AB$4&gt;MESCLUN_BED_CAP,$A313+$B313+AB$4&gt;TOTAL_BEDS_AVAILABLE,($D313+AB$5)&gt;TOTAL_LABOR_HOURS_CAP,MAX(0,($D313+AB$5)-PERMANENT_FIELD_LABOR_HOURS)&gt;TEMP_HOURS_CAP),"",$C313+AB$6-MIN(($D313+AB$5),PERMANENT_FIELD_LABOR_HOURS)*PERMANENT_HOURLY_RATE-MAX(0,($D313+AB$5)-PERMANENT_FIELD_LABOR_HOURS)*TEMP_HOURLY_RATE-FIXED_SEASON_COST)</f>
        <v/>
      </c>
      <c r="AC313" s="53" t="str">
        <f aca="false">IF(OR($A313&gt;TOMATO_BED_CAP,$B313&gt;CARROT_BED_CAP,AC$4&gt;MESCLUN_BED_CAP,$A313+$B313+AC$4&gt;TOTAL_BEDS_AVAILABLE,($D313+AC$5)&gt;TOTAL_LABOR_HOURS_CAP,MAX(0,($D313+AC$5)-PERMANENT_FIELD_LABOR_HOURS)&gt;TEMP_HOURS_CAP),"",$C313+AC$6-MIN(($D313+AC$5),PERMANENT_FIELD_LABOR_HOURS)*PERMANENT_HOURLY_RATE-MAX(0,($D313+AC$5)-PERMANENT_FIELD_LABOR_HOURS)*TEMP_HOURLY_RATE-FIXED_SEASON_COST)</f>
        <v/>
      </c>
      <c r="AD313" s="53" t="str">
        <f aca="false">IF(OR($A313&gt;TOMATO_BED_CAP,$B313&gt;CARROT_BED_CAP,AD$4&gt;MESCLUN_BED_CAP,$A313+$B313+AD$4&gt;TOTAL_BEDS_AVAILABLE,($D313+AD$5)&gt;TOTAL_LABOR_HOURS_CAP,MAX(0,($D313+AD$5)-PERMANENT_FIELD_LABOR_HOURS)&gt;TEMP_HOURS_CAP),"",$C313+AD$6-MIN(($D313+AD$5),PERMANENT_FIELD_LABOR_HOURS)*PERMANENT_HOURLY_RATE-MAX(0,($D313+AD$5)-PERMANENT_FIELD_LABOR_HOURS)*TEMP_HOURLY_RATE-FIXED_SEASON_COST)</f>
        <v/>
      </c>
      <c r="AE313" s="53" t="str">
        <f aca="false">IF(OR($A313&gt;TOMATO_BED_CAP,$B313&gt;CARROT_BED_CAP,AE$4&gt;MESCLUN_BED_CAP,$A313+$B313+AE$4&gt;TOTAL_BEDS_AVAILABLE,($D313+AE$5)&gt;TOTAL_LABOR_HOURS_CAP,MAX(0,($D313+AE$5)-PERMANENT_FIELD_LABOR_HOURS)&gt;TEMP_HOURS_CAP),"",$C313+AE$6-MIN(($D313+AE$5),PERMANENT_FIELD_LABOR_HOURS)*PERMANENT_HOURLY_RATE-MAX(0,($D313+AE$5)-PERMANENT_FIELD_LABOR_HOURS)*TEMP_HOURLY_RATE-FIXED_SEASON_COST)</f>
        <v/>
      </c>
      <c r="AF313" s="53" t="str">
        <f aca="false">IF(OR($A313&gt;TOMATO_BED_CAP,$B313&gt;CARROT_BED_CAP,AF$4&gt;MESCLUN_BED_CAP,$A313+$B313+AF$4&gt;TOTAL_BEDS_AVAILABLE,($D313+AF$5)&gt;TOTAL_LABOR_HOURS_CAP,MAX(0,($D313+AF$5)-PERMANENT_FIELD_LABOR_HOURS)&gt;TEMP_HOURS_CAP),"",$C313+AF$6-MIN(($D313+AF$5),PERMANENT_FIELD_LABOR_HOURS)*PERMANENT_HOURLY_RATE-MAX(0,($D313+AF$5)-PERMANENT_FIELD_LABOR_HOURS)*TEMP_HOURLY_RATE-FIXED_SEASON_COST)</f>
        <v/>
      </c>
      <c r="AG313" s="53" t="str">
        <f aca="false">IF(OR($A313&gt;TOMATO_BED_CAP,$B313&gt;CARROT_BED_CAP,AG$4&gt;MESCLUN_BED_CAP,$A313+$B313+AG$4&gt;TOTAL_BEDS_AVAILABLE,($D313+AG$5)&gt;TOTAL_LABOR_HOURS_CAP,MAX(0,($D313+AG$5)-PERMANENT_FIELD_LABOR_HOURS)&gt;TEMP_HOURS_CAP),"",$C313+AG$6-MIN(($D313+AG$5),PERMANENT_FIELD_LABOR_HOURS)*PERMANENT_HOURLY_RATE-MAX(0,($D313+AG$5)-PERMANENT_FIELD_LABOR_HOURS)*TEMP_HOURLY_RATE-FIXED_SEASON_COST)</f>
        <v/>
      </c>
      <c r="AH313" s="53" t="str">
        <f aca="false">IF(OR($A313&gt;TOMATO_BED_CAP,$B313&gt;CARROT_BED_CAP,AH$4&gt;MESCLUN_BED_CAP,$A313+$B313+AH$4&gt;TOTAL_BEDS_AVAILABLE,($D313+AH$5)&gt;TOTAL_LABOR_HOURS_CAP,MAX(0,($D313+AH$5)-PERMANENT_FIELD_LABOR_HOURS)&gt;TEMP_HOURS_CAP),"",$C313+AH$6-MIN(($D313+AH$5),PERMANENT_FIELD_LABOR_HOURS)*PERMANENT_HOURLY_RATE-MAX(0,($D313+AH$5)-PERMANENT_FIELD_LABOR_HOURS)*TEMP_HOURLY_RATE-FIXED_SEASON_COST)</f>
        <v/>
      </c>
      <c r="AI313" s="53" t="str">
        <f aca="false">IF(OR($A313&gt;TOMATO_BED_CAP,$B313&gt;CARROT_BED_CAP,AI$4&gt;MESCLUN_BED_CAP,$A313+$B313+AI$4&gt;TOTAL_BEDS_AVAILABLE,($D313+AI$5)&gt;TOTAL_LABOR_HOURS_CAP,MAX(0,($D313+AI$5)-PERMANENT_FIELD_LABOR_HOURS)&gt;TEMP_HOURS_CAP),"",$C313+AI$6-MIN(($D313+AI$5),PERMANENT_FIELD_LABOR_HOURS)*PERMANENT_HOURLY_RATE-MAX(0,($D313+AI$5)-PERMANENT_FIELD_LABOR_HOURS)*TEMP_HOURLY_RATE-FIXED_SEASON_COST)</f>
        <v/>
      </c>
      <c r="AJ313" s="53" t="str">
        <f aca="false">IF(OR($A313&gt;TOMATO_BED_CAP,$B313&gt;CARROT_BED_CAP,AJ$4&gt;MESCLUN_BED_CAP,$A313+$B313+AJ$4&gt;TOTAL_BEDS_AVAILABLE,($D313+AJ$5)&gt;TOTAL_LABOR_HOURS_CAP,MAX(0,($D313+AJ$5)-PERMANENT_FIELD_LABOR_HOURS)&gt;TEMP_HOURS_CAP),"",$C313+AJ$6-MIN(($D313+AJ$5),PERMANENT_FIELD_LABOR_HOURS)*PERMANENT_HOURLY_RATE-MAX(0,($D313+AJ$5)-PERMANENT_FIELD_LABOR_HOURS)*TEMP_HOURLY_RATE-FIXED_SEASON_COST)</f>
        <v/>
      </c>
    </row>
    <row r="314" customFormat="false" ht="15" hidden="false" customHeight="false" outlineLevel="0" collapsed="false">
      <c r="A314" s="21" t="n">
        <f aca="false">INT((ROW()-ROW($A$8))/(20+1))</f>
        <v>14</v>
      </c>
      <c r="B314" s="21" t="n">
        <f aca="false">MOD(ROW()-ROW($A$8),20+1)</f>
        <v>12</v>
      </c>
      <c r="C314" s="13" t="n">
        <f aca="false">A314*(TOMATO_REVENUE_PER_BED-TOMATO_FERTILIZER_PER_BED)+B314*(CARROT_REVENUE_PER_BED-CARROT_FERTILIZER_PER_BED)</f>
        <v>130728</v>
      </c>
      <c r="D314" s="14" t="n">
        <f aca="false">INDEX(TOMATO_SCHED_LABOR_HRS,A314+1)+INDEX(CARROT_SCHED_LABOR_HRS,B314+1)</f>
        <v>5268.81421588682</v>
      </c>
      <c r="E314" s="13" t="n">
        <f aca="false">IF(COUNT(F314:AJ314)=0,"",MAX(F314:AJ314))</f>
        <v>23131.6355039899</v>
      </c>
      <c r="F314" s="53" t="n">
        <f aca="false">IF(OR($A314&gt;TOMATO_BED_CAP,$B314&gt;CARROT_BED_CAP,F$4&gt;MESCLUN_BED_CAP,$A314+$B314+F$4&gt;TOTAL_BEDS_AVAILABLE,($D314+F$5)&gt;TOTAL_LABOR_HOURS_CAP,MAX(0,($D314+F$5)-PERMANENT_FIELD_LABOR_HOURS)&gt;TEMP_HOURS_CAP),"",$C314+F$6-MIN(($D314+F$5),PERMANENT_FIELD_LABOR_HOURS)*PERMANENT_HOURLY_RATE-MAX(0,($D314+F$5)-PERMANENT_FIELD_LABOR_HOURS)*TEMP_HOURLY_RATE-FIXED_SEASON_COST)</f>
        <v>6762.18521220486</v>
      </c>
      <c r="G314" s="53" t="n">
        <f aca="false">IF(OR($A314&gt;TOMATO_BED_CAP,$B314&gt;CARROT_BED_CAP,G$4&gt;MESCLUN_BED_CAP,$A314+$B314+G$4&gt;TOTAL_BEDS_AVAILABLE,($D314+G$5)&gt;TOTAL_LABOR_HOURS_CAP,MAX(0,($D314+G$5)-PERMANENT_FIELD_LABOR_HOURS)&gt;TEMP_HOURS_CAP),"",$C314+G$6-MIN(($D314+G$5),PERMANENT_FIELD_LABOR_HOURS)*PERMANENT_HOURLY_RATE-MAX(0,($D314+G$5)-PERMANENT_FIELD_LABOR_HOURS)*TEMP_HOURLY_RATE-FIXED_SEASON_COST)</f>
        <v>7791.22021220485</v>
      </c>
      <c r="H314" s="53" t="n">
        <f aca="false">IF(OR($A314&gt;TOMATO_BED_CAP,$B314&gt;CARROT_BED_CAP,H$4&gt;MESCLUN_BED_CAP,$A314+$B314+H$4&gt;TOTAL_BEDS_AVAILABLE,($D314+H$5)&gt;TOTAL_LABOR_HOURS_CAP,MAX(0,($D314+H$5)-PERMANENT_FIELD_LABOR_HOURS)&gt;TEMP_HOURS_CAP),"",$C314+H$6-MIN(($D314+H$5),PERMANENT_FIELD_LABOR_HOURS)*PERMANENT_HOURLY_RATE-MAX(0,($D314+H$5)-PERMANENT_FIELD_LABOR_HOURS)*TEMP_HOURLY_RATE-FIXED_SEASON_COST)</f>
        <v>8800.48108720484</v>
      </c>
      <c r="I314" s="53" t="n">
        <f aca="false">IF(OR($A314&gt;TOMATO_BED_CAP,$B314&gt;CARROT_BED_CAP,I$4&gt;MESCLUN_BED_CAP,$A314+$B314+I$4&gt;TOTAL_BEDS_AVAILABLE,($D314+I$5)&gt;TOTAL_LABOR_HOURS_CAP,MAX(0,($D314+I$5)-PERMANENT_FIELD_LABOR_HOURS)&gt;TEMP_HOURS_CAP),"",$C314+I$6-MIN(($D314+I$5),PERMANENT_FIELD_LABOR_HOURS)*PERMANENT_HOURLY_RATE-MAX(0,($D314+I$5)-PERMANENT_FIELD_LABOR_HOURS)*TEMP_HOURLY_RATE-FIXED_SEASON_COST)</f>
        <v>9789.5970723611</v>
      </c>
      <c r="J314" s="53" t="n">
        <f aca="false">IF(OR($A314&gt;TOMATO_BED_CAP,$B314&gt;CARROT_BED_CAP,J$4&gt;MESCLUN_BED_CAP,$A314+$B314+J$4&gt;TOTAL_BEDS_AVAILABLE,($D314+J$5)&gt;TOTAL_LABOR_HOURS_CAP,MAX(0,($D314+J$5)-PERMANENT_FIELD_LABOR_HOURS)&gt;TEMP_HOURS_CAP),"",$C314+J$6-MIN(($D314+J$5),PERMANENT_FIELD_LABOR_HOURS)*PERMANENT_HOURLY_RATE-MAX(0,($D314+J$5)-PERMANENT_FIELD_LABOR_HOURS)*TEMP_HOURLY_RATE-FIXED_SEASON_COST)</f>
        <v>10758.1912234158</v>
      </c>
      <c r="K314" s="53" t="n">
        <f aca="false">IF(OR($A314&gt;TOMATO_BED_CAP,$B314&gt;CARROT_BED_CAP,K$4&gt;MESCLUN_BED_CAP,$A314+$B314+K$4&gt;TOTAL_BEDS_AVAILABLE,($D314+K$5)&gt;TOTAL_LABOR_HOURS_CAP,MAX(0,($D314+K$5)-PERMANENT_FIELD_LABOR_HOURS)&gt;TEMP_HOURS_CAP),"",$C314+K$6-MIN(($D314+K$5),PERMANENT_FIELD_LABOR_HOURS)*PERMANENT_HOURLY_RATE-MAX(0,($D314+K$5)-PERMANENT_FIELD_LABOR_HOURS)*TEMP_HOURLY_RATE-FIXED_SEASON_COST)</f>
        <v>11705.8803201437</v>
      </c>
      <c r="L314" s="53" t="n">
        <f aca="false">IF(OR($A314&gt;TOMATO_BED_CAP,$B314&gt;CARROT_BED_CAP,L$4&gt;MESCLUN_BED_CAP,$A314+$B314+L$4&gt;TOTAL_BEDS_AVAILABLE,($D314+L$5)&gt;TOTAL_LABOR_HOURS_CAP,MAX(0,($D314+L$5)-PERMANENT_FIELD_LABOR_HOURS)&gt;TEMP_HOURS_CAP),"",$C314+L$6-MIN(($D314+L$5),PERMANENT_FIELD_LABOR_HOURS)*PERMANENT_HOURLY_RATE-MAX(0,($D314+L$5)-PERMANENT_FIELD_LABOR_HOURS)*TEMP_HOURLY_RATE-FIXED_SEASON_COST)</f>
        <v>12632.2747683505</v>
      </c>
      <c r="M314" s="53" t="n">
        <f aca="false">IF(OR($A314&gt;TOMATO_BED_CAP,$B314&gt;CARROT_BED_CAP,M$4&gt;MESCLUN_BED_CAP,$A314+$B314+M$4&gt;TOTAL_BEDS_AVAILABLE,($D314+M$5)&gt;TOTAL_LABOR_HOURS_CAP,MAX(0,($D314+M$5)-PERMANENT_FIELD_LABOR_HOURS)&gt;TEMP_HOURS_CAP),"",$C314+M$6-MIN(($D314+M$5),PERMANENT_FIELD_LABOR_HOURS)*PERMANENT_HOURLY_RATE-MAX(0,($D314+M$5)-PERMANENT_FIELD_LABOR_HOURS)*TEMP_HOURLY_RATE-FIXED_SEASON_COST)</f>
        <v>13536.978500402</v>
      </c>
      <c r="N314" s="53" t="n">
        <f aca="false">IF(OR($A314&gt;TOMATO_BED_CAP,$B314&gt;CARROT_BED_CAP,N$4&gt;MESCLUN_BED_CAP,$A314+$B314+N$4&gt;TOTAL_BEDS_AVAILABLE,($D314+N$5)&gt;TOTAL_LABOR_HOURS_CAP,MAX(0,($D314+N$5)-PERMANENT_FIELD_LABOR_HOURS)&gt;TEMP_HOURS_CAP),"",$C314+N$6-MIN(($D314+N$5),PERMANENT_FIELD_LABOR_HOURS)*PERMANENT_HOURLY_RATE-MAX(0,($D314+N$5)-PERMANENT_FIELD_LABOR_HOURS)*TEMP_HOURLY_RATE-FIXED_SEASON_COST)</f>
        <v>14419.5888742615</v>
      </c>
      <c r="O314" s="53" t="n">
        <f aca="false">IF(OR($A314&gt;TOMATO_BED_CAP,$B314&gt;CARROT_BED_CAP,O$4&gt;MESCLUN_BED_CAP,$A314+$B314+O$4&gt;TOTAL_BEDS_AVAILABLE,($D314+O$5)&gt;TOTAL_LABOR_HOURS_CAP,MAX(0,($D314+O$5)-PERMANENT_FIELD_LABOR_HOURS)&gt;TEMP_HOURS_CAP),"",$C314+O$6-MIN(($D314+O$5),PERMANENT_FIELD_LABOR_HOURS)*PERMANENT_HOURLY_RATE-MAX(0,($D314+O$5)-PERMANENT_FIELD_LABOR_HOURS)*TEMP_HOURLY_RATE-FIXED_SEASON_COST)</f>
        <v>15279.6965710162</v>
      </c>
      <c r="P314" s="53" t="n">
        <f aca="false">IF(OR($A314&gt;TOMATO_BED_CAP,$B314&gt;CARROT_BED_CAP,P$4&gt;MESCLUN_BED_CAP,$A314+$B314+P$4&gt;TOTAL_BEDS_AVAILABLE,($D314+P$5)&gt;TOTAL_LABOR_HOURS_CAP,MAX(0,($D314+P$5)-PERMANENT_FIELD_LABOR_HOURS)&gt;TEMP_HOURS_CAP),"",$C314+P$6-MIN(($D314+P$5),PERMANENT_FIELD_LABOR_HOURS)*PERMANENT_HOURLY_RATE-MAX(0,($D314+P$5)-PERMANENT_FIELD_LABOR_HOURS)*TEMP_HOURLY_RATE-FIXED_SEASON_COST)</f>
        <v>16116.8854908677</v>
      </c>
      <c r="Q314" s="53" t="n">
        <f aca="false">IF(OR($A314&gt;TOMATO_BED_CAP,$B314&gt;CARROT_BED_CAP,Q$4&gt;MESCLUN_BED_CAP,$A314+$B314+Q$4&gt;TOTAL_BEDS_AVAILABLE,($D314+Q$5)&gt;TOTAL_LABOR_HOURS_CAP,MAX(0,($D314+Q$5)-PERMANENT_FIELD_LABOR_HOURS)&gt;TEMP_HOURS_CAP),"",$C314+Q$6-MIN(($D314+Q$5),PERMANENT_FIELD_LABOR_HOURS)*PERMANENT_HOURLY_RATE-MAX(0,($D314+Q$5)-PERMANENT_FIELD_LABOR_HOURS)*TEMP_HOURLY_RATE-FIXED_SEASON_COST)</f>
        <v>16930.7326475656</v>
      </c>
      <c r="R314" s="53" t="n">
        <f aca="false">IF(OR($A314&gt;TOMATO_BED_CAP,$B314&gt;CARROT_BED_CAP,R$4&gt;MESCLUN_BED_CAP,$A314+$B314+R$4&gt;TOTAL_BEDS_AVAILABLE,($D314+R$5)&gt;TOTAL_LABOR_HOURS_CAP,MAX(0,($D314+R$5)-PERMANENT_FIELD_LABOR_HOURS)&gt;TEMP_HOURS_CAP),"",$C314+R$6-MIN(($D314+R$5),PERMANENT_FIELD_LABOR_HOURS)*PERMANENT_HOURLY_RATE-MAX(0,($D314+R$5)-PERMANENT_FIELD_LABOR_HOURS)*TEMP_HOURLY_RATE-FIXED_SEASON_COST)</f>
        <v>17720.8080612624</v>
      </c>
      <c r="S314" s="53" t="n">
        <f aca="false">IF(OR($A314&gt;TOMATO_BED_CAP,$B314&gt;CARROT_BED_CAP,S$4&gt;MESCLUN_BED_CAP,$A314+$B314+S$4&gt;TOTAL_BEDS_AVAILABLE,($D314+S$5)&gt;TOTAL_LABOR_HOURS_CAP,MAX(0,($D314+S$5)-PERMANENT_FIELD_LABOR_HOURS)&gt;TEMP_HOURS_CAP),"",$C314+S$6-MIN(($D314+S$5),PERMANENT_FIELD_LABOR_HOURS)*PERMANENT_HOURLY_RATE-MAX(0,($D314+S$5)-PERMANENT_FIELD_LABOR_HOURS)*TEMP_HOURLY_RATE-FIXED_SEASON_COST)</f>
        <v>18486.6746497648</v>
      </c>
      <c r="T314" s="53" t="n">
        <f aca="false">IF(OR($A314&gt;TOMATO_BED_CAP,$B314&gt;CARROT_BED_CAP,T$4&gt;MESCLUN_BED_CAP,$A314+$B314+T$4&gt;TOTAL_BEDS_AVAILABLE,($D314+T$5)&gt;TOTAL_LABOR_HOURS_CAP,MAX(0,($D314+T$5)-PERMANENT_FIELD_LABOR_HOURS)&gt;TEMP_HOURS_CAP),"",$C314+T$6-MIN(($D314+T$5),PERMANENT_FIELD_LABOR_HOURS)*PERMANENT_HOURLY_RATE-MAX(0,($D314+T$5)-PERMANENT_FIELD_LABOR_HOURS)*TEMP_HOURLY_RATE-FIXED_SEASON_COST)</f>
        <v>19227.8881181597</v>
      </c>
      <c r="U314" s="53" t="n">
        <f aca="false">IF(OR($A314&gt;TOMATO_BED_CAP,$B314&gt;CARROT_BED_CAP,U$4&gt;MESCLUN_BED_CAP,$A314+$B314+U$4&gt;TOTAL_BEDS_AVAILABLE,($D314+U$5)&gt;TOTAL_LABOR_HOURS_CAP,MAX(0,($D314+U$5)-PERMANENT_FIELD_LABOR_HOURS)&gt;TEMP_HOURS_CAP),"",$C314+U$6-MIN(($D314+U$5),PERMANENT_FIELD_LABOR_HOURS)*PERMANENT_HOURLY_RATE-MAX(0,($D314+U$5)-PERMANENT_FIELD_LABOR_HOURS)*TEMP_HOURLY_RATE-FIXED_SEASON_COST)</f>
        <v>19943.9968467898</v>
      </c>
      <c r="V314" s="53" t="n">
        <f aca="false">IF(OR($A314&gt;TOMATO_BED_CAP,$B314&gt;CARROT_BED_CAP,V$4&gt;MESCLUN_BED_CAP,$A314+$B314+V$4&gt;TOTAL_BEDS_AVAILABLE,($D314+V$5)&gt;TOTAL_LABOR_HOURS_CAP,MAX(0,($D314+V$5)-PERMANENT_FIELD_LABOR_HOURS)&gt;TEMP_HOURS_CAP),"",$C314+V$6-MIN(($D314+V$5),PERMANENT_FIELD_LABOR_HOURS)*PERMANENT_HOURLY_RATE-MAX(0,($D314+V$5)-PERMANENT_FIELD_LABOR_HOURS)*TEMP_HOURLY_RATE-FIXED_SEASON_COST)</f>
        <v>20634.5417775566</v>
      </c>
      <c r="W314" s="53" t="n">
        <f aca="false">IF(OR($A314&gt;TOMATO_BED_CAP,$B314&gt;CARROT_BED_CAP,W$4&gt;MESCLUN_BED_CAP,$A314+$B314+W$4&gt;TOTAL_BEDS_AVAILABLE,($D314+W$5)&gt;TOTAL_LABOR_HOURS_CAP,MAX(0,($D314+W$5)-PERMANENT_FIELD_LABOR_HOURS)&gt;TEMP_HOURS_CAP),"",$C314+W$6-MIN(($D314+W$5),PERMANENT_FIELD_LABOR_HOURS)*PERMANENT_HOURLY_RATE-MAX(0,($D314+W$5)-PERMANENT_FIELD_LABOR_HOURS)*TEMP_HOURLY_RATE-FIXED_SEASON_COST)</f>
        <v>21299.0562985246</v>
      </c>
      <c r="X314" s="53" t="n">
        <f aca="false">IF(OR($A314&gt;TOMATO_BED_CAP,$B314&gt;CARROT_BED_CAP,X$4&gt;MESCLUN_BED_CAP,$A314+$B314+X$4&gt;TOTAL_BEDS_AVAILABLE,($D314+X$5)&gt;TOTAL_LABOR_HOURS_CAP,MAX(0,($D314+X$5)-PERMANENT_FIELD_LABOR_HOURS)&gt;TEMP_HOURS_CAP),"",$C314+X$6-MIN(($D314+X$5),PERMANENT_FIELD_LABOR_HOURS)*PERMANENT_HOURLY_RATE-MAX(0,($D314+X$5)-PERMANENT_FIELD_LABOR_HOURS)*TEMP_HOURLY_RATE-FIXED_SEASON_COST)</f>
        <v>21937.0661268035</v>
      </c>
      <c r="Y314" s="53" t="n">
        <f aca="false">IF(OR($A314&gt;TOMATO_BED_CAP,$B314&gt;CARROT_BED_CAP,Y$4&gt;MESCLUN_BED_CAP,$A314+$B314+Y$4&gt;TOTAL_BEDS_AVAILABLE,($D314+Y$5)&gt;TOTAL_LABOR_HOURS_CAP,MAX(0,($D314+Y$5)-PERMANENT_FIELD_LABOR_HOURS)&gt;TEMP_HOURS_CAP),"",$C314+Y$6-MIN(($D314+Y$5),PERMANENT_FIELD_LABOR_HOURS)*PERMANENT_HOURLY_RATE-MAX(0,($D314+Y$5)-PERMANENT_FIELD_LABOR_HOURS)*TEMP_HOURLY_RATE-FIXED_SEASON_COST)</f>
        <v>22548.0891896822</v>
      </c>
      <c r="Z314" s="53" t="n">
        <f aca="false">IF(OR($A314&gt;TOMATO_BED_CAP,$B314&gt;CARROT_BED_CAP,Z$4&gt;MESCLUN_BED_CAP,$A314+$B314+Z$4&gt;TOTAL_BEDS_AVAILABLE,($D314+Z$5)&gt;TOTAL_LABOR_HOURS_CAP,MAX(0,($D314+Z$5)-PERMANENT_FIELD_LABOR_HOURS)&gt;TEMP_HOURS_CAP),"",$C314+Z$6-MIN(($D314+Z$5),PERMANENT_FIELD_LABOR_HOURS)*PERMANENT_HOURLY_RATE-MAX(0,($D314+Z$5)-PERMANENT_FIELD_LABOR_HOURS)*TEMP_HOURLY_RATE-FIXED_SEASON_COST)</f>
        <v>23131.6355039899</v>
      </c>
      <c r="AA314" s="53" t="str">
        <f aca="false">IF(OR($A314&gt;TOMATO_BED_CAP,$B314&gt;CARROT_BED_CAP,AA$4&gt;MESCLUN_BED_CAP,$A314+$B314+AA$4&gt;TOTAL_BEDS_AVAILABLE,($D314+AA$5)&gt;TOTAL_LABOR_HOURS_CAP,MAX(0,($D314+AA$5)-PERMANENT_FIELD_LABOR_HOURS)&gt;TEMP_HOURS_CAP),"",$C314+AA$6-MIN(($D314+AA$5),PERMANENT_FIELD_LABOR_HOURS)*PERMANENT_HOURLY_RATE-MAX(0,($D314+AA$5)-PERMANENT_FIELD_LABOR_HOURS)*TEMP_HOURLY_RATE-FIXED_SEASON_COST)</f>
        <v/>
      </c>
      <c r="AB314" s="53" t="str">
        <f aca="false">IF(OR($A314&gt;TOMATO_BED_CAP,$B314&gt;CARROT_BED_CAP,AB$4&gt;MESCLUN_BED_CAP,$A314+$B314+AB$4&gt;TOTAL_BEDS_AVAILABLE,($D314+AB$5)&gt;TOTAL_LABOR_HOURS_CAP,MAX(0,($D314+AB$5)-PERMANENT_FIELD_LABOR_HOURS)&gt;TEMP_HOURS_CAP),"",$C314+AB$6-MIN(($D314+AB$5),PERMANENT_FIELD_LABOR_HOURS)*PERMANENT_HOURLY_RATE-MAX(0,($D314+AB$5)-PERMANENT_FIELD_LABOR_HOURS)*TEMP_HOURLY_RATE-FIXED_SEASON_COST)</f>
        <v/>
      </c>
      <c r="AC314" s="53" t="str">
        <f aca="false">IF(OR($A314&gt;TOMATO_BED_CAP,$B314&gt;CARROT_BED_CAP,AC$4&gt;MESCLUN_BED_CAP,$A314+$B314+AC$4&gt;TOTAL_BEDS_AVAILABLE,($D314+AC$5)&gt;TOTAL_LABOR_HOURS_CAP,MAX(0,($D314+AC$5)-PERMANENT_FIELD_LABOR_HOURS)&gt;TEMP_HOURS_CAP),"",$C314+AC$6-MIN(($D314+AC$5),PERMANENT_FIELD_LABOR_HOURS)*PERMANENT_HOURLY_RATE-MAX(0,($D314+AC$5)-PERMANENT_FIELD_LABOR_HOURS)*TEMP_HOURLY_RATE-FIXED_SEASON_COST)</f>
        <v/>
      </c>
      <c r="AD314" s="53" t="str">
        <f aca="false">IF(OR($A314&gt;TOMATO_BED_CAP,$B314&gt;CARROT_BED_CAP,AD$4&gt;MESCLUN_BED_CAP,$A314+$B314+AD$4&gt;TOTAL_BEDS_AVAILABLE,($D314+AD$5)&gt;TOTAL_LABOR_HOURS_CAP,MAX(0,($D314+AD$5)-PERMANENT_FIELD_LABOR_HOURS)&gt;TEMP_HOURS_CAP),"",$C314+AD$6-MIN(($D314+AD$5),PERMANENT_FIELD_LABOR_HOURS)*PERMANENT_HOURLY_RATE-MAX(0,($D314+AD$5)-PERMANENT_FIELD_LABOR_HOURS)*TEMP_HOURLY_RATE-FIXED_SEASON_COST)</f>
        <v/>
      </c>
      <c r="AE314" s="53" t="str">
        <f aca="false">IF(OR($A314&gt;TOMATO_BED_CAP,$B314&gt;CARROT_BED_CAP,AE$4&gt;MESCLUN_BED_CAP,$A314+$B314+AE$4&gt;TOTAL_BEDS_AVAILABLE,($D314+AE$5)&gt;TOTAL_LABOR_HOURS_CAP,MAX(0,($D314+AE$5)-PERMANENT_FIELD_LABOR_HOURS)&gt;TEMP_HOURS_CAP),"",$C314+AE$6-MIN(($D314+AE$5),PERMANENT_FIELD_LABOR_HOURS)*PERMANENT_HOURLY_RATE-MAX(0,($D314+AE$5)-PERMANENT_FIELD_LABOR_HOURS)*TEMP_HOURLY_RATE-FIXED_SEASON_COST)</f>
        <v/>
      </c>
      <c r="AF314" s="53" t="str">
        <f aca="false">IF(OR($A314&gt;TOMATO_BED_CAP,$B314&gt;CARROT_BED_CAP,AF$4&gt;MESCLUN_BED_CAP,$A314+$B314+AF$4&gt;TOTAL_BEDS_AVAILABLE,($D314+AF$5)&gt;TOTAL_LABOR_HOURS_CAP,MAX(0,($D314+AF$5)-PERMANENT_FIELD_LABOR_HOURS)&gt;TEMP_HOURS_CAP),"",$C314+AF$6-MIN(($D314+AF$5),PERMANENT_FIELD_LABOR_HOURS)*PERMANENT_HOURLY_RATE-MAX(0,($D314+AF$5)-PERMANENT_FIELD_LABOR_HOURS)*TEMP_HOURLY_RATE-FIXED_SEASON_COST)</f>
        <v/>
      </c>
      <c r="AG314" s="53" t="str">
        <f aca="false">IF(OR($A314&gt;TOMATO_BED_CAP,$B314&gt;CARROT_BED_CAP,AG$4&gt;MESCLUN_BED_CAP,$A314+$B314+AG$4&gt;TOTAL_BEDS_AVAILABLE,($D314+AG$5)&gt;TOTAL_LABOR_HOURS_CAP,MAX(0,($D314+AG$5)-PERMANENT_FIELD_LABOR_HOURS)&gt;TEMP_HOURS_CAP),"",$C314+AG$6-MIN(($D314+AG$5),PERMANENT_FIELD_LABOR_HOURS)*PERMANENT_HOURLY_RATE-MAX(0,($D314+AG$5)-PERMANENT_FIELD_LABOR_HOURS)*TEMP_HOURLY_RATE-FIXED_SEASON_COST)</f>
        <v/>
      </c>
      <c r="AH314" s="53" t="str">
        <f aca="false">IF(OR($A314&gt;TOMATO_BED_CAP,$B314&gt;CARROT_BED_CAP,AH$4&gt;MESCLUN_BED_CAP,$A314+$B314+AH$4&gt;TOTAL_BEDS_AVAILABLE,($D314+AH$5)&gt;TOTAL_LABOR_HOURS_CAP,MAX(0,($D314+AH$5)-PERMANENT_FIELD_LABOR_HOURS)&gt;TEMP_HOURS_CAP),"",$C314+AH$6-MIN(($D314+AH$5),PERMANENT_FIELD_LABOR_HOURS)*PERMANENT_HOURLY_RATE-MAX(0,($D314+AH$5)-PERMANENT_FIELD_LABOR_HOURS)*TEMP_HOURLY_RATE-FIXED_SEASON_COST)</f>
        <v/>
      </c>
      <c r="AI314" s="53" t="str">
        <f aca="false">IF(OR($A314&gt;TOMATO_BED_CAP,$B314&gt;CARROT_BED_CAP,AI$4&gt;MESCLUN_BED_CAP,$A314+$B314+AI$4&gt;TOTAL_BEDS_AVAILABLE,($D314+AI$5)&gt;TOTAL_LABOR_HOURS_CAP,MAX(0,($D314+AI$5)-PERMANENT_FIELD_LABOR_HOURS)&gt;TEMP_HOURS_CAP),"",$C314+AI$6-MIN(($D314+AI$5),PERMANENT_FIELD_LABOR_HOURS)*PERMANENT_HOURLY_RATE-MAX(0,($D314+AI$5)-PERMANENT_FIELD_LABOR_HOURS)*TEMP_HOURLY_RATE-FIXED_SEASON_COST)</f>
        <v/>
      </c>
      <c r="AJ314" s="53" t="str">
        <f aca="false">IF(OR($A314&gt;TOMATO_BED_CAP,$B314&gt;CARROT_BED_CAP,AJ$4&gt;MESCLUN_BED_CAP,$A314+$B314+AJ$4&gt;TOTAL_BEDS_AVAILABLE,($D314+AJ$5)&gt;TOTAL_LABOR_HOURS_CAP,MAX(0,($D314+AJ$5)-PERMANENT_FIELD_LABOR_HOURS)&gt;TEMP_HOURS_CAP),"",$C314+AJ$6-MIN(($D314+AJ$5),PERMANENT_FIELD_LABOR_HOURS)*PERMANENT_HOURLY_RATE-MAX(0,($D314+AJ$5)-PERMANENT_FIELD_LABOR_HOURS)*TEMP_HOURLY_RATE-FIXED_SEASON_COST)</f>
        <v/>
      </c>
    </row>
    <row r="315" customFormat="false" ht="15" hidden="false" customHeight="false" outlineLevel="0" collapsed="false">
      <c r="A315" s="21" t="n">
        <f aca="false">INT((ROW()-ROW($A$8))/(20+1))</f>
        <v>14</v>
      </c>
      <c r="B315" s="21" t="n">
        <f aca="false">MOD(ROW()-ROW($A$8),20+1)</f>
        <v>13</v>
      </c>
      <c r="C315" s="13" t="n">
        <f aca="false">A315*(TOMATO_REVENUE_PER_BED-TOMATO_FERTILIZER_PER_BED)+B315*(CARROT_REVENUE_PER_BED-CARROT_FERTILIZER_PER_BED)</f>
        <v>132382</v>
      </c>
      <c r="D315" s="14" t="n">
        <f aca="false">INDEX(TOMATO_SCHED_LABOR_HRS,A315+1)+INDEX(CARROT_SCHED_LABOR_HRS,B315+1)</f>
        <v>5322.2521629183</v>
      </c>
      <c r="E315" s="13" t="n">
        <f aca="false">IF(COUNT(F315:AJ315)=0,"",MAX(F315:AJ315))</f>
        <v>23857.9527435234</v>
      </c>
      <c r="F315" s="53" t="n">
        <f aca="false">IF(OR($A315&gt;TOMATO_BED_CAP,$B315&gt;CARROT_BED_CAP,F$4&gt;MESCLUN_BED_CAP,$A315+$B315+F$4&gt;TOTAL_BEDS_AVAILABLE,($D315+F$5)&gt;TOTAL_LABOR_HOURS_CAP,MAX(0,($D315+F$5)-PERMANENT_FIELD_LABOR_HOURS)&gt;TEMP_HOURS_CAP),"",$C315+F$6-MIN(($D315+F$5),PERMANENT_FIELD_LABOR_HOURS)*PERMANENT_HOURLY_RATE-MAX(0,($D315+F$5)-PERMANENT_FIELD_LABOR_HOURS)*TEMP_HOURLY_RATE-FIXED_SEASON_COST)</f>
        <v>7488.50245173828</v>
      </c>
      <c r="G315" s="53" t="n">
        <f aca="false">IF(OR($A315&gt;TOMATO_BED_CAP,$B315&gt;CARROT_BED_CAP,G$4&gt;MESCLUN_BED_CAP,$A315+$B315+G$4&gt;TOTAL_BEDS_AVAILABLE,($D315+G$5)&gt;TOTAL_LABOR_HOURS_CAP,MAX(0,($D315+G$5)-PERMANENT_FIELD_LABOR_HOURS)&gt;TEMP_HOURS_CAP),"",$C315+G$6-MIN(($D315+G$5),PERMANENT_FIELD_LABOR_HOURS)*PERMANENT_HOURLY_RATE-MAX(0,($D315+G$5)-PERMANENT_FIELD_LABOR_HOURS)*TEMP_HOURLY_RATE-FIXED_SEASON_COST)</f>
        <v>8517.53745173829</v>
      </c>
      <c r="H315" s="53" t="n">
        <f aca="false">IF(OR($A315&gt;TOMATO_BED_CAP,$B315&gt;CARROT_BED_CAP,H$4&gt;MESCLUN_BED_CAP,$A315+$B315+H$4&gt;TOTAL_BEDS_AVAILABLE,($D315+H$5)&gt;TOTAL_LABOR_HOURS_CAP,MAX(0,($D315+H$5)-PERMANENT_FIELD_LABOR_HOURS)&gt;TEMP_HOURS_CAP),"",$C315+H$6-MIN(($D315+H$5),PERMANENT_FIELD_LABOR_HOURS)*PERMANENT_HOURLY_RATE-MAX(0,($D315+H$5)-PERMANENT_FIELD_LABOR_HOURS)*TEMP_HOURLY_RATE-FIXED_SEASON_COST)</f>
        <v>9526.79832673828</v>
      </c>
      <c r="I315" s="53" t="n">
        <f aca="false">IF(OR($A315&gt;TOMATO_BED_CAP,$B315&gt;CARROT_BED_CAP,I$4&gt;MESCLUN_BED_CAP,$A315+$B315+I$4&gt;TOTAL_BEDS_AVAILABLE,($D315+I$5)&gt;TOTAL_LABOR_HOURS_CAP,MAX(0,($D315+I$5)-PERMANENT_FIELD_LABOR_HOURS)&gt;TEMP_HOURS_CAP),"",$C315+I$6-MIN(($D315+I$5),PERMANENT_FIELD_LABOR_HOURS)*PERMANENT_HOURLY_RATE-MAX(0,($D315+I$5)-PERMANENT_FIELD_LABOR_HOURS)*TEMP_HOURLY_RATE-FIXED_SEASON_COST)</f>
        <v>10515.9143118945</v>
      </c>
      <c r="J315" s="53" t="n">
        <f aca="false">IF(OR($A315&gt;TOMATO_BED_CAP,$B315&gt;CARROT_BED_CAP,J$4&gt;MESCLUN_BED_CAP,$A315+$B315+J$4&gt;TOTAL_BEDS_AVAILABLE,($D315+J$5)&gt;TOTAL_LABOR_HOURS_CAP,MAX(0,($D315+J$5)-PERMANENT_FIELD_LABOR_HOURS)&gt;TEMP_HOURS_CAP),"",$C315+J$6-MIN(($D315+J$5),PERMANENT_FIELD_LABOR_HOURS)*PERMANENT_HOURLY_RATE-MAX(0,($D315+J$5)-PERMANENT_FIELD_LABOR_HOURS)*TEMP_HOURLY_RATE-FIXED_SEASON_COST)</f>
        <v>11484.5084629492</v>
      </c>
      <c r="K315" s="53" t="n">
        <f aca="false">IF(OR($A315&gt;TOMATO_BED_CAP,$B315&gt;CARROT_BED_CAP,K$4&gt;MESCLUN_BED_CAP,$A315+$B315+K$4&gt;TOTAL_BEDS_AVAILABLE,($D315+K$5)&gt;TOTAL_LABOR_HOURS_CAP,MAX(0,($D315+K$5)-PERMANENT_FIELD_LABOR_HOURS)&gt;TEMP_HOURS_CAP),"",$C315+K$6-MIN(($D315+K$5),PERMANENT_FIELD_LABOR_HOURS)*PERMANENT_HOURLY_RATE-MAX(0,($D315+K$5)-PERMANENT_FIELD_LABOR_HOURS)*TEMP_HOURLY_RATE-FIXED_SEASON_COST)</f>
        <v>12432.1975596771</v>
      </c>
      <c r="L315" s="53" t="n">
        <f aca="false">IF(OR($A315&gt;TOMATO_BED_CAP,$B315&gt;CARROT_BED_CAP,L$4&gt;MESCLUN_BED_CAP,$A315+$B315+L$4&gt;TOTAL_BEDS_AVAILABLE,($D315+L$5)&gt;TOTAL_LABOR_HOURS_CAP,MAX(0,($D315+L$5)-PERMANENT_FIELD_LABOR_HOURS)&gt;TEMP_HOURS_CAP),"",$C315+L$6-MIN(($D315+L$5),PERMANENT_FIELD_LABOR_HOURS)*PERMANENT_HOURLY_RATE-MAX(0,($D315+L$5)-PERMANENT_FIELD_LABOR_HOURS)*TEMP_HOURLY_RATE-FIXED_SEASON_COST)</f>
        <v>13358.592007884</v>
      </c>
      <c r="M315" s="53" t="n">
        <f aca="false">IF(OR($A315&gt;TOMATO_BED_CAP,$B315&gt;CARROT_BED_CAP,M$4&gt;MESCLUN_BED_CAP,$A315+$B315+M$4&gt;TOTAL_BEDS_AVAILABLE,($D315+M$5)&gt;TOTAL_LABOR_HOURS_CAP,MAX(0,($D315+M$5)-PERMANENT_FIELD_LABOR_HOURS)&gt;TEMP_HOURS_CAP),"",$C315+M$6-MIN(($D315+M$5),PERMANENT_FIELD_LABOR_HOURS)*PERMANENT_HOURLY_RATE-MAX(0,($D315+M$5)-PERMANENT_FIELD_LABOR_HOURS)*TEMP_HOURLY_RATE-FIXED_SEASON_COST)</f>
        <v>14263.2957399354</v>
      </c>
      <c r="N315" s="53" t="n">
        <f aca="false">IF(OR($A315&gt;TOMATO_BED_CAP,$B315&gt;CARROT_BED_CAP,N$4&gt;MESCLUN_BED_CAP,$A315+$B315+N$4&gt;TOTAL_BEDS_AVAILABLE,($D315+N$5)&gt;TOTAL_LABOR_HOURS_CAP,MAX(0,($D315+N$5)-PERMANENT_FIELD_LABOR_HOURS)&gt;TEMP_HOURS_CAP),"",$C315+N$6-MIN(($D315+N$5),PERMANENT_FIELD_LABOR_HOURS)*PERMANENT_HOURLY_RATE-MAX(0,($D315+N$5)-PERMANENT_FIELD_LABOR_HOURS)*TEMP_HOURLY_RATE-FIXED_SEASON_COST)</f>
        <v>15145.9061137949</v>
      </c>
      <c r="O315" s="53" t="n">
        <f aca="false">IF(OR($A315&gt;TOMATO_BED_CAP,$B315&gt;CARROT_BED_CAP,O$4&gt;MESCLUN_BED_CAP,$A315+$B315+O$4&gt;TOTAL_BEDS_AVAILABLE,($D315+O$5)&gt;TOTAL_LABOR_HOURS_CAP,MAX(0,($D315+O$5)-PERMANENT_FIELD_LABOR_HOURS)&gt;TEMP_HOURS_CAP),"",$C315+O$6-MIN(($D315+O$5),PERMANENT_FIELD_LABOR_HOURS)*PERMANENT_HOURLY_RATE-MAX(0,($D315+O$5)-PERMANENT_FIELD_LABOR_HOURS)*TEMP_HOURLY_RATE-FIXED_SEASON_COST)</f>
        <v>16006.0138105497</v>
      </c>
      <c r="P315" s="53" t="n">
        <f aca="false">IF(OR($A315&gt;TOMATO_BED_CAP,$B315&gt;CARROT_BED_CAP,P$4&gt;MESCLUN_BED_CAP,$A315+$B315+P$4&gt;TOTAL_BEDS_AVAILABLE,($D315+P$5)&gt;TOTAL_LABOR_HOURS_CAP,MAX(0,($D315+P$5)-PERMANENT_FIELD_LABOR_HOURS)&gt;TEMP_HOURS_CAP),"",$C315+P$6-MIN(($D315+P$5),PERMANENT_FIELD_LABOR_HOURS)*PERMANENT_HOURLY_RATE-MAX(0,($D315+P$5)-PERMANENT_FIELD_LABOR_HOURS)*TEMP_HOURLY_RATE-FIXED_SEASON_COST)</f>
        <v>16843.2027304011</v>
      </c>
      <c r="Q315" s="53" t="n">
        <f aca="false">IF(OR($A315&gt;TOMATO_BED_CAP,$B315&gt;CARROT_BED_CAP,Q$4&gt;MESCLUN_BED_CAP,$A315+$B315+Q$4&gt;TOTAL_BEDS_AVAILABLE,($D315+Q$5)&gt;TOTAL_LABOR_HOURS_CAP,MAX(0,($D315+Q$5)-PERMANENT_FIELD_LABOR_HOURS)&gt;TEMP_HOURS_CAP),"",$C315+Q$6-MIN(($D315+Q$5),PERMANENT_FIELD_LABOR_HOURS)*PERMANENT_HOURLY_RATE-MAX(0,($D315+Q$5)-PERMANENT_FIELD_LABOR_HOURS)*TEMP_HOURLY_RATE-FIXED_SEASON_COST)</f>
        <v>17657.049887099</v>
      </c>
      <c r="R315" s="53" t="n">
        <f aca="false">IF(OR($A315&gt;TOMATO_BED_CAP,$B315&gt;CARROT_BED_CAP,R$4&gt;MESCLUN_BED_CAP,$A315+$B315+R$4&gt;TOTAL_BEDS_AVAILABLE,($D315+R$5)&gt;TOTAL_LABOR_HOURS_CAP,MAX(0,($D315+R$5)-PERMANENT_FIELD_LABOR_HOURS)&gt;TEMP_HOURS_CAP),"",$C315+R$6-MIN(($D315+R$5),PERMANENT_FIELD_LABOR_HOURS)*PERMANENT_HOURLY_RATE-MAX(0,($D315+R$5)-PERMANENT_FIELD_LABOR_HOURS)*TEMP_HOURLY_RATE-FIXED_SEASON_COST)</f>
        <v>18447.1253007958</v>
      </c>
      <c r="S315" s="53" t="n">
        <f aca="false">IF(OR($A315&gt;TOMATO_BED_CAP,$B315&gt;CARROT_BED_CAP,S$4&gt;MESCLUN_BED_CAP,$A315+$B315+S$4&gt;TOTAL_BEDS_AVAILABLE,($D315+S$5)&gt;TOTAL_LABOR_HOURS_CAP,MAX(0,($D315+S$5)-PERMANENT_FIELD_LABOR_HOURS)&gt;TEMP_HOURS_CAP),"",$C315+S$6-MIN(($D315+S$5),PERMANENT_FIELD_LABOR_HOURS)*PERMANENT_HOURLY_RATE-MAX(0,($D315+S$5)-PERMANENT_FIELD_LABOR_HOURS)*TEMP_HOURLY_RATE-FIXED_SEASON_COST)</f>
        <v>19212.9918892983</v>
      </c>
      <c r="T315" s="53" t="n">
        <f aca="false">IF(OR($A315&gt;TOMATO_BED_CAP,$B315&gt;CARROT_BED_CAP,T$4&gt;MESCLUN_BED_CAP,$A315+$B315+T$4&gt;TOTAL_BEDS_AVAILABLE,($D315+T$5)&gt;TOTAL_LABOR_HOURS_CAP,MAX(0,($D315+T$5)-PERMANENT_FIELD_LABOR_HOURS)&gt;TEMP_HOURS_CAP),"",$C315+T$6-MIN(($D315+T$5),PERMANENT_FIELD_LABOR_HOURS)*PERMANENT_HOURLY_RATE-MAX(0,($D315+T$5)-PERMANENT_FIELD_LABOR_HOURS)*TEMP_HOURLY_RATE-FIXED_SEASON_COST)</f>
        <v>19954.2053576931</v>
      </c>
      <c r="U315" s="53" t="n">
        <f aca="false">IF(OR($A315&gt;TOMATO_BED_CAP,$B315&gt;CARROT_BED_CAP,U$4&gt;MESCLUN_BED_CAP,$A315+$B315+U$4&gt;TOTAL_BEDS_AVAILABLE,($D315+U$5)&gt;TOTAL_LABOR_HOURS_CAP,MAX(0,($D315+U$5)-PERMANENT_FIELD_LABOR_HOURS)&gt;TEMP_HOURS_CAP),"",$C315+U$6-MIN(($D315+U$5),PERMANENT_FIELD_LABOR_HOURS)*PERMANENT_HOURLY_RATE-MAX(0,($D315+U$5)-PERMANENT_FIELD_LABOR_HOURS)*TEMP_HOURLY_RATE-FIXED_SEASON_COST)</f>
        <v>20670.3140863232</v>
      </c>
      <c r="V315" s="53" t="n">
        <f aca="false">IF(OR($A315&gt;TOMATO_BED_CAP,$B315&gt;CARROT_BED_CAP,V$4&gt;MESCLUN_BED_CAP,$A315+$B315+V$4&gt;TOTAL_BEDS_AVAILABLE,($D315+V$5)&gt;TOTAL_LABOR_HOURS_CAP,MAX(0,($D315+V$5)-PERMANENT_FIELD_LABOR_HOURS)&gt;TEMP_HOURS_CAP),"",$C315+V$6-MIN(($D315+V$5),PERMANENT_FIELD_LABOR_HOURS)*PERMANENT_HOURLY_RATE-MAX(0,($D315+V$5)-PERMANENT_FIELD_LABOR_HOURS)*TEMP_HOURLY_RATE-FIXED_SEASON_COST)</f>
        <v>21360.85901709</v>
      </c>
      <c r="W315" s="53" t="n">
        <f aca="false">IF(OR($A315&gt;TOMATO_BED_CAP,$B315&gt;CARROT_BED_CAP,W$4&gt;MESCLUN_BED_CAP,$A315+$B315+W$4&gt;TOTAL_BEDS_AVAILABLE,($D315+W$5)&gt;TOTAL_LABOR_HOURS_CAP,MAX(0,($D315+W$5)-PERMANENT_FIELD_LABOR_HOURS)&gt;TEMP_HOURS_CAP),"",$C315+W$6-MIN(($D315+W$5),PERMANENT_FIELD_LABOR_HOURS)*PERMANENT_HOURLY_RATE-MAX(0,($D315+W$5)-PERMANENT_FIELD_LABOR_HOURS)*TEMP_HOURLY_RATE-FIXED_SEASON_COST)</f>
        <v>22025.3735380581</v>
      </c>
      <c r="X315" s="53" t="n">
        <f aca="false">IF(OR($A315&gt;TOMATO_BED_CAP,$B315&gt;CARROT_BED_CAP,X$4&gt;MESCLUN_BED_CAP,$A315+$B315+X$4&gt;TOTAL_BEDS_AVAILABLE,($D315+X$5)&gt;TOTAL_LABOR_HOURS_CAP,MAX(0,($D315+X$5)-PERMANENT_FIELD_LABOR_HOURS)&gt;TEMP_HOURS_CAP),"",$C315+X$6-MIN(($D315+X$5),PERMANENT_FIELD_LABOR_HOURS)*PERMANENT_HOURLY_RATE-MAX(0,($D315+X$5)-PERMANENT_FIELD_LABOR_HOURS)*TEMP_HOURLY_RATE-FIXED_SEASON_COST)</f>
        <v>22663.383366337</v>
      </c>
      <c r="Y315" s="53" t="n">
        <f aca="false">IF(OR($A315&gt;TOMATO_BED_CAP,$B315&gt;CARROT_BED_CAP,Y$4&gt;MESCLUN_BED_CAP,$A315+$B315+Y$4&gt;TOTAL_BEDS_AVAILABLE,($D315+Y$5)&gt;TOTAL_LABOR_HOURS_CAP,MAX(0,($D315+Y$5)-PERMANENT_FIELD_LABOR_HOURS)&gt;TEMP_HOURS_CAP),"",$C315+Y$6-MIN(($D315+Y$5),PERMANENT_FIELD_LABOR_HOURS)*PERMANENT_HOURLY_RATE-MAX(0,($D315+Y$5)-PERMANENT_FIELD_LABOR_HOURS)*TEMP_HOURLY_RATE-FIXED_SEASON_COST)</f>
        <v>23274.4064292157</v>
      </c>
      <c r="Z315" s="53" t="n">
        <f aca="false">IF(OR($A315&gt;TOMATO_BED_CAP,$B315&gt;CARROT_BED_CAP,Z$4&gt;MESCLUN_BED_CAP,$A315+$B315+Z$4&gt;TOTAL_BEDS_AVAILABLE,($D315+Z$5)&gt;TOTAL_LABOR_HOURS_CAP,MAX(0,($D315+Z$5)-PERMANENT_FIELD_LABOR_HOURS)&gt;TEMP_HOURS_CAP),"",$C315+Z$6-MIN(($D315+Z$5),PERMANENT_FIELD_LABOR_HOURS)*PERMANENT_HOURLY_RATE-MAX(0,($D315+Z$5)-PERMANENT_FIELD_LABOR_HOURS)*TEMP_HOURLY_RATE-FIXED_SEASON_COST)</f>
        <v>23857.9527435234</v>
      </c>
      <c r="AA315" s="53" t="str">
        <f aca="false">IF(OR($A315&gt;TOMATO_BED_CAP,$B315&gt;CARROT_BED_CAP,AA$4&gt;MESCLUN_BED_CAP,$A315+$B315+AA$4&gt;TOTAL_BEDS_AVAILABLE,($D315+AA$5)&gt;TOTAL_LABOR_HOURS_CAP,MAX(0,($D315+AA$5)-PERMANENT_FIELD_LABOR_HOURS)&gt;TEMP_HOURS_CAP),"",$C315+AA$6-MIN(($D315+AA$5),PERMANENT_FIELD_LABOR_HOURS)*PERMANENT_HOURLY_RATE-MAX(0,($D315+AA$5)-PERMANENT_FIELD_LABOR_HOURS)*TEMP_HOURLY_RATE-FIXED_SEASON_COST)</f>
        <v/>
      </c>
      <c r="AB315" s="53" t="str">
        <f aca="false">IF(OR($A315&gt;TOMATO_BED_CAP,$B315&gt;CARROT_BED_CAP,AB$4&gt;MESCLUN_BED_CAP,$A315+$B315+AB$4&gt;TOTAL_BEDS_AVAILABLE,($D315+AB$5)&gt;TOTAL_LABOR_HOURS_CAP,MAX(0,($D315+AB$5)-PERMANENT_FIELD_LABOR_HOURS)&gt;TEMP_HOURS_CAP),"",$C315+AB$6-MIN(($D315+AB$5),PERMANENT_FIELD_LABOR_HOURS)*PERMANENT_HOURLY_RATE-MAX(0,($D315+AB$5)-PERMANENT_FIELD_LABOR_HOURS)*TEMP_HOURLY_RATE-FIXED_SEASON_COST)</f>
        <v/>
      </c>
      <c r="AC315" s="53" t="str">
        <f aca="false">IF(OR($A315&gt;TOMATO_BED_CAP,$B315&gt;CARROT_BED_CAP,AC$4&gt;MESCLUN_BED_CAP,$A315+$B315+AC$4&gt;TOTAL_BEDS_AVAILABLE,($D315+AC$5)&gt;TOTAL_LABOR_HOURS_CAP,MAX(0,($D315+AC$5)-PERMANENT_FIELD_LABOR_HOURS)&gt;TEMP_HOURS_CAP),"",$C315+AC$6-MIN(($D315+AC$5),PERMANENT_FIELD_LABOR_HOURS)*PERMANENT_HOURLY_RATE-MAX(0,($D315+AC$5)-PERMANENT_FIELD_LABOR_HOURS)*TEMP_HOURLY_RATE-FIXED_SEASON_COST)</f>
        <v/>
      </c>
      <c r="AD315" s="53" t="str">
        <f aca="false">IF(OR($A315&gt;TOMATO_BED_CAP,$B315&gt;CARROT_BED_CAP,AD$4&gt;MESCLUN_BED_CAP,$A315+$B315+AD$4&gt;TOTAL_BEDS_AVAILABLE,($D315+AD$5)&gt;TOTAL_LABOR_HOURS_CAP,MAX(0,($D315+AD$5)-PERMANENT_FIELD_LABOR_HOURS)&gt;TEMP_HOURS_CAP),"",$C315+AD$6-MIN(($D315+AD$5),PERMANENT_FIELD_LABOR_HOURS)*PERMANENT_HOURLY_RATE-MAX(0,($D315+AD$5)-PERMANENT_FIELD_LABOR_HOURS)*TEMP_HOURLY_RATE-FIXED_SEASON_COST)</f>
        <v/>
      </c>
      <c r="AE315" s="53" t="str">
        <f aca="false">IF(OR($A315&gt;TOMATO_BED_CAP,$B315&gt;CARROT_BED_CAP,AE$4&gt;MESCLUN_BED_CAP,$A315+$B315+AE$4&gt;TOTAL_BEDS_AVAILABLE,($D315+AE$5)&gt;TOTAL_LABOR_HOURS_CAP,MAX(0,($D315+AE$5)-PERMANENT_FIELD_LABOR_HOURS)&gt;TEMP_HOURS_CAP),"",$C315+AE$6-MIN(($D315+AE$5),PERMANENT_FIELD_LABOR_HOURS)*PERMANENT_HOURLY_RATE-MAX(0,($D315+AE$5)-PERMANENT_FIELD_LABOR_HOURS)*TEMP_HOURLY_RATE-FIXED_SEASON_COST)</f>
        <v/>
      </c>
      <c r="AF315" s="53" t="str">
        <f aca="false">IF(OR($A315&gt;TOMATO_BED_CAP,$B315&gt;CARROT_BED_CAP,AF$4&gt;MESCLUN_BED_CAP,$A315+$B315+AF$4&gt;TOTAL_BEDS_AVAILABLE,($D315+AF$5)&gt;TOTAL_LABOR_HOURS_CAP,MAX(0,($D315+AF$5)-PERMANENT_FIELD_LABOR_HOURS)&gt;TEMP_HOURS_CAP),"",$C315+AF$6-MIN(($D315+AF$5),PERMANENT_FIELD_LABOR_HOURS)*PERMANENT_HOURLY_RATE-MAX(0,($D315+AF$5)-PERMANENT_FIELD_LABOR_HOURS)*TEMP_HOURLY_RATE-FIXED_SEASON_COST)</f>
        <v/>
      </c>
      <c r="AG315" s="53" t="str">
        <f aca="false">IF(OR($A315&gt;TOMATO_BED_CAP,$B315&gt;CARROT_BED_CAP,AG$4&gt;MESCLUN_BED_CAP,$A315+$B315+AG$4&gt;TOTAL_BEDS_AVAILABLE,($D315+AG$5)&gt;TOTAL_LABOR_HOURS_CAP,MAX(0,($D315+AG$5)-PERMANENT_FIELD_LABOR_HOURS)&gt;TEMP_HOURS_CAP),"",$C315+AG$6-MIN(($D315+AG$5),PERMANENT_FIELD_LABOR_HOURS)*PERMANENT_HOURLY_RATE-MAX(0,($D315+AG$5)-PERMANENT_FIELD_LABOR_HOURS)*TEMP_HOURLY_RATE-FIXED_SEASON_COST)</f>
        <v/>
      </c>
      <c r="AH315" s="53" t="str">
        <f aca="false">IF(OR($A315&gt;TOMATO_BED_CAP,$B315&gt;CARROT_BED_CAP,AH$4&gt;MESCLUN_BED_CAP,$A315+$B315+AH$4&gt;TOTAL_BEDS_AVAILABLE,($D315+AH$5)&gt;TOTAL_LABOR_HOURS_CAP,MAX(0,($D315+AH$5)-PERMANENT_FIELD_LABOR_HOURS)&gt;TEMP_HOURS_CAP),"",$C315+AH$6-MIN(($D315+AH$5),PERMANENT_FIELD_LABOR_HOURS)*PERMANENT_HOURLY_RATE-MAX(0,($D315+AH$5)-PERMANENT_FIELD_LABOR_HOURS)*TEMP_HOURLY_RATE-FIXED_SEASON_COST)</f>
        <v/>
      </c>
      <c r="AI315" s="53" t="str">
        <f aca="false">IF(OR($A315&gt;TOMATO_BED_CAP,$B315&gt;CARROT_BED_CAP,AI$4&gt;MESCLUN_BED_CAP,$A315+$B315+AI$4&gt;TOTAL_BEDS_AVAILABLE,($D315+AI$5)&gt;TOTAL_LABOR_HOURS_CAP,MAX(0,($D315+AI$5)-PERMANENT_FIELD_LABOR_HOURS)&gt;TEMP_HOURS_CAP),"",$C315+AI$6-MIN(($D315+AI$5),PERMANENT_FIELD_LABOR_HOURS)*PERMANENT_HOURLY_RATE-MAX(0,($D315+AI$5)-PERMANENT_FIELD_LABOR_HOURS)*TEMP_HOURLY_RATE-FIXED_SEASON_COST)</f>
        <v/>
      </c>
      <c r="AJ315" s="53" t="str">
        <f aca="false">IF(OR($A315&gt;TOMATO_BED_CAP,$B315&gt;CARROT_BED_CAP,AJ$4&gt;MESCLUN_BED_CAP,$A315+$B315+AJ$4&gt;TOTAL_BEDS_AVAILABLE,($D315+AJ$5)&gt;TOTAL_LABOR_HOURS_CAP,MAX(0,($D315+AJ$5)-PERMANENT_FIELD_LABOR_HOURS)&gt;TEMP_HOURS_CAP),"",$C315+AJ$6-MIN(($D315+AJ$5),PERMANENT_FIELD_LABOR_HOURS)*PERMANENT_HOURLY_RATE-MAX(0,($D315+AJ$5)-PERMANENT_FIELD_LABOR_HOURS)*TEMP_HOURLY_RATE-FIXED_SEASON_COST)</f>
        <v/>
      </c>
    </row>
    <row r="316" customFormat="false" ht="15" hidden="false" customHeight="false" outlineLevel="0" collapsed="false">
      <c r="A316" s="21" t="n">
        <f aca="false">INT((ROW()-ROW($A$8))/(20+1))</f>
        <v>14</v>
      </c>
      <c r="B316" s="21" t="n">
        <f aca="false">MOD(ROW()-ROW($A$8),20+1)</f>
        <v>14</v>
      </c>
      <c r="C316" s="13" t="n">
        <f aca="false">A316*(TOMATO_REVENUE_PER_BED-TOMATO_FERTILIZER_PER_BED)+B316*(CARROT_REVENUE_PER_BED-CARROT_FERTILIZER_PER_BED)</f>
        <v>134036</v>
      </c>
      <c r="D316" s="14" t="n">
        <f aca="false">INDEX(TOMATO_SCHED_LABOR_HRS,A316+1)+INDEX(CARROT_SCHED_LABOR_HRS,B316+1)</f>
        <v>5378.0595283559</v>
      </c>
      <c r="E316" s="13" t="n">
        <f aca="false">IF(COUNT(F316:AJ316)=0,"",MAX(F316:AJ316))</f>
        <v>23959.5905652189</v>
      </c>
      <c r="F316" s="53" t="n">
        <f aca="false">IF(OR($A316&gt;TOMATO_BED_CAP,$B316&gt;CARROT_BED_CAP,F$4&gt;MESCLUN_BED_CAP,$A316+$B316+F$4&gt;TOTAL_BEDS_AVAILABLE,($D316+F$5)&gt;TOTAL_LABOR_HOURS_CAP,MAX(0,($D316+F$5)-PERMANENT_FIELD_LABOR_HOURS)&gt;TEMP_HOURS_CAP),"",$C316+F$6-MIN(($D316+F$5),PERMANENT_FIELD_LABOR_HOURS)*PERMANENT_HOURLY_RATE-MAX(0,($D316+F$5)-PERMANENT_FIELD_LABOR_HOURS)*TEMP_HOURLY_RATE-FIXED_SEASON_COST)</f>
        <v>8173.68658774157</v>
      </c>
      <c r="G316" s="53" t="n">
        <f aca="false">IF(OR($A316&gt;TOMATO_BED_CAP,$B316&gt;CARROT_BED_CAP,G$4&gt;MESCLUN_BED_CAP,$A316+$B316+G$4&gt;TOTAL_BEDS_AVAILABLE,($D316+G$5)&gt;TOTAL_LABOR_HOURS_CAP,MAX(0,($D316+G$5)-PERMANENT_FIELD_LABOR_HOURS)&gt;TEMP_HOURS_CAP),"",$C316+G$6-MIN(($D316+G$5),PERMANENT_FIELD_LABOR_HOURS)*PERMANENT_HOURLY_RATE-MAX(0,($D316+G$5)-PERMANENT_FIELD_LABOR_HOURS)*TEMP_HOURLY_RATE-FIXED_SEASON_COST)</f>
        <v>9202.72158774157</v>
      </c>
      <c r="H316" s="53" t="n">
        <f aca="false">IF(OR($A316&gt;TOMATO_BED_CAP,$B316&gt;CARROT_BED_CAP,H$4&gt;MESCLUN_BED_CAP,$A316+$B316+H$4&gt;TOTAL_BEDS_AVAILABLE,($D316+H$5)&gt;TOTAL_LABOR_HOURS_CAP,MAX(0,($D316+H$5)-PERMANENT_FIELD_LABOR_HOURS)&gt;TEMP_HOURS_CAP),"",$C316+H$6-MIN(($D316+H$5),PERMANENT_FIELD_LABOR_HOURS)*PERMANENT_HOURLY_RATE-MAX(0,($D316+H$5)-PERMANENT_FIELD_LABOR_HOURS)*TEMP_HOURLY_RATE-FIXED_SEASON_COST)</f>
        <v>10211.9824627416</v>
      </c>
      <c r="I316" s="53" t="n">
        <f aca="false">IF(OR($A316&gt;TOMATO_BED_CAP,$B316&gt;CARROT_BED_CAP,I$4&gt;MESCLUN_BED_CAP,$A316+$B316+I$4&gt;TOTAL_BEDS_AVAILABLE,($D316+I$5)&gt;TOTAL_LABOR_HOURS_CAP,MAX(0,($D316+I$5)-PERMANENT_FIELD_LABOR_HOURS)&gt;TEMP_HOURS_CAP),"",$C316+I$6-MIN(($D316+I$5),PERMANENT_FIELD_LABOR_HOURS)*PERMANENT_HOURLY_RATE-MAX(0,($D316+I$5)-PERMANENT_FIELD_LABOR_HOURS)*TEMP_HOURLY_RATE-FIXED_SEASON_COST)</f>
        <v>11201.0984478978</v>
      </c>
      <c r="J316" s="53" t="n">
        <f aca="false">IF(OR($A316&gt;TOMATO_BED_CAP,$B316&gt;CARROT_BED_CAP,J$4&gt;MESCLUN_BED_CAP,$A316+$B316+J$4&gt;TOTAL_BEDS_AVAILABLE,($D316+J$5)&gt;TOTAL_LABOR_HOURS_CAP,MAX(0,($D316+J$5)-PERMANENT_FIELD_LABOR_HOURS)&gt;TEMP_HOURS_CAP),"",$C316+J$6-MIN(($D316+J$5),PERMANENT_FIELD_LABOR_HOURS)*PERMANENT_HOURLY_RATE-MAX(0,($D316+J$5)-PERMANENT_FIELD_LABOR_HOURS)*TEMP_HOURLY_RATE-FIXED_SEASON_COST)</f>
        <v>12169.6925989525</v>
      </c>
      <c r="K316" s="53" t="n">
        <f aca="false">IF(OR($A316&gt;TOMATO_BED_CAP,$B316&gt;CARROT_BED_CAP,K$4&gt;MESCLUN_BED_CAP,$A316+$B316+K$4&gt;TOTAL_BEDS_AVAILABLE,($D316+K$5)&gt;TOTAL_LABOR_HOURS_CAP,MAX(0,($D316+K$5)-PERMANENT_FIELD_LABOR_HOURS)&gt;TEMP_HOURS_CAP),"",$C316+K$6-MIN(($D316+K$5),PERMANENT_FIELD_LABOR_HOURS)*PERMANENT_HOURLY_RATE-MAX(0,($D316+K$5)-PERMANENT_FIELD_LABOR_HOURS)*TEMP_HOURLY_RATE-FIXED_SEASON_COST)</f>
        <v>13117.3816956804</v>
      </c>
      <c r="L316" s="53" t="n">
        <f aca="false">IF(OR($A316&gt;TOMATO_BED_CAP,$B316&gt;CARROT_BED_CAP,L$4&gt;MESCLUN_BED_CAP,$A316+$B316+L$4&gt;TOTAL_BEDS_AVAILABLE,($D316+L$5)&gt;TOTAL_LABOR_HOURS_CAP,MAX(0,($D316+L$5)-PERMANENT_FIELD_LABOR_HOURS)&gt;TEMP_HOURS_CAP),"",$C316+L$6-MIN(($D316+L$5),PERMANENT_FIELD_LABOR_HOURS)*PERMANENT_HOURLY_RATE-MAX(0,($D316+L$5)-PERMANENT_FIELD_LABOR_HOURS)*TEMP_HOURLY_RATE-FIXED_SEASON_COST)</f>
        <v>14043.7761438873</v>
      </c>
      <c r="M316" s="53" t="n">
        <f aca="false">IF(OR($A316&gt;TOMATO_BED_CAP,$B316&gt;CARROT_BED_CAP,M$4&gt;MESCLUN_BED_CAP,$A316+$B316+M$4&gt;TOTAL_BEDS_AVAILABLE,($D316+M$5)&gt;TOTAL_LABOR_HOURS_CAP,MAX(0,($D316+M$5)-PERMANENT_FIELD_LABOR_HOURS)&gt;TEMP_HOURS_CAP),"",$C316+M$6-MIN(($D316+M$5),PERMANENT_FIELD_LABOR_HOURS)*PERMANENT_HOURLY_RATE-MAX(0,($D316+M$5)-PERMANENT_FIELD_LABOR_HOURS)*TEMP_HOURLY_RATE-FIXED_SEASON_COST)</f>
        <v>14948.4798759387</v>
      </c>
      <c r="N316" s="53" t="n">
        <f aca="false">IF(OR($A316&gt;TOMATO_BED_CAP,$B316&gt;CARROT_BED_CAP,N$4&gt;MESCLUN_BED_CAP,$A316+$B316+N$4&gt;TOTAL_BEDS_AVAILABLE,($D316+N$5)&gt;TOTAL_LABOR_HOURS_CAP,MAX(0,($D316+N$5)-PERMANENT_FIELD_LABOR_HOURS)&gt;TEMP_HOURS_CAP),"",$C316+N$6-MIN(($D316+N$5),PERMANENT_FIELD_LABOR_HOURS)*PERMANENT_HOURLY_RATE-MAX(0,($D316+N$5)-PERMANENT_FIELD_LABOR_HOURS)*TEMP_HOURLY_RATE-FIXED_SEASON_COST)</f>
        <v>15831.0902497982</v>
      </c>
      <c r="O316" s="53" t="n">
        <f aca="false">IF(OR($A316&gt;TOMATO_BED_CAP,$B316&gt;CARROT_BED_CAP,O$4&gt;MESCLUN_BED_CAP,$A316+$B316+O$4&gt;TOTAL_BEDS_AVAILABLE,($D316+O$5)&gt;TOTAL_LABOR_HOURS_CAP,MAX(0,($D316+O$5)-PERMANENT_FIELD_LABOR_HOURS)&gt;TEMP_HOURS_CAP),"",$C316+O$6-MIN(($D316+O$5),PERMANENT_FIELD_LABOR_HOURS)*PERMANENT_HOURLY_RATE-MAX(0,($D316+O$5)-PERMANENT_FIELD_LABOR_HOURS)*TEMP_HOURLY_RATE-FIXED_SEASON_COST)</f>
        <v>16691.197946553</v>
      </c>
      <c r="P316" s="53" t="n">
        <f aca="false">IF(OR($A316&gt;TOMATO_BED_CAP,$B316&gt;CARROT_BED_CAP,P$4&gt;MESCLUN_BED_CAP,$A316+$B316+P$4&gt;TOTAL_BEDS_AVAILABLE,($D316+P$5)&gt;TOTAL_LABOR_HOURS_CAP,MAX(0,($D316+P$5)-PERMANENT_FIELD_LABOR_HOURS)&gt;TEMP_HOURS_CAP),"",$C316+P$6-MIN(($D316+P$5),PERMANENT_FIELD_LABOR_HOURS)*PERMANENT_HOURLY_RATE-MAX(0,($D316+P$5)-PERMANENT_FIELD_LABOR_HOURS)*TEMP_HOURLY_RATE-FIXED_SEASON_COST)</f>
        <v>17528.3868664044</v>
      </c>
      <c r="Q316" s="53" t="n">
        <f aca="false">IF(OR($A316&gt;TOMATO_BED_CAP,$B316&gt;CARROT_BED_CAP,Q$4&gt;MESCLUN_BED_CAP,$A316+$B316+Q$4&gt;TOTAL_BEDS_AVAILABLE,($D316+Q$5)&gt;TOTAL_LABOR_HOURS_CAP,MAX(0,($D316+Q$5)-PERMANENT_FIELD_LABOR_HOURS)&gt;TEMP_HOURS_CAP),"",$C316+Q$6-MIN(($D316+Q$5),PERMANENT_FIELD_LABOR_HOURS)*PERMANENT_HOURLY_RATE-MAX(0,($D316+Q$5)-PERMANENT_FIELD_LABOR_HOURS)*TEMP_HOURLY_RATE-FIXED_SEASON_COST)</f>
        <v>18342.2340231023</v>
      </c>
      <c r="R316" s="53" t="n">
        <f aca="false">IF(OR($A316&gt;TOMATO_BED_CAP,$B316&gt;CARROT_BED_CAP,R$4&gt;MESCLUN_BED_CAP,$A316+$B316+R$4&gt;TOTAL_BEDS_AVAILABLE,($D316+R$5)&gt;TOTAL_LABOR_HOURS_CAP,MAX(0,($D316+R$5)-PERMANENT_FIELD_LABOR_HOURS)&gt;TEMP_HOURS_CAP),"",$C316+R$6-MIN(($D316+R$5),PERMANENT_FIELD_LABOR_HOURS)*PERMANENT_HOURLY_RATE-MAX(0,($D316+R$5)-PERMANENT_FIELD_LABOR_HOURS)*TEMP_HOURLY_RATE-FIXED_SEASON_COST)</f>
        <v>19132.3094367991</v>
      </c>
      <c r="S316" s="53" t="n">
        <f aca="false">IF(OR($A316&gt;TOMATO_BED_CAP,$B316&gt;CARROT_BED_CAP,S$4&gt;MESCLUN_BED_CAP,$A316+$B316+S$4&gt;TOTAL_BEDS_AVAILABLE,($D316+S$5)&gt;TOTAL_LABOR_HOURS_CAP,MAX(0,($D316+S$5)-PERMANENT_FIELD_LABOR_HOURS)&gt;TEMP_HOURS_CAP),"",$C316+S$6-MIN(($D316+S$5),PERMANENT_FIELD_LABOR_HOURS)*PERMANENT_HOURLY_RATE-MAX(0,($D316+S$5)-PERMANENT_FIELD_LABOR_HOURS)*TEMP_HOURLY_RATE-FIXED_SEASON_COST)</f>
        <v>19898.1760253016</v>
      </c>
      <c r="T316" s="53" t="n">
        <f aca="false">IF(OR($A316&gt;TOMATO_BED_CAP,$B316&gt;CARROT_BED_CAP,T$4&gt;MESCLUN_BED_CAP,$A316+$B316+T$4&gt;TOTAL_BEDS_AVAILABLE,($D316+T$5)&gt;TOTAL_LABOR_HOURS_CAP,MAX(0,($D316+T$5)-PERMANENT_FIELD_LABOR_HOURS)&gt;TEMP_HOURS_CAP),"",$C316+T$6-MIN(($D316+T$5),PERMANENT_FIELD_LABOR_HOURS)*PERMANENT_HOURLY_RATE-MAX(0,($D316+T$5)-PERMANENT_FIELD_LABOR_HOURS)*TEMP_HOURLY_RATE-FIXED_SEASON_COST)</f>
        <v>20639.3894936964</v>
      </c>
      <c r="U316" s="53" t="n">
        <f aca="false">IF(OR($A316&gt;TOMATO_BED_CAP,$B316&gt;CARROT_BED_CAP,U$4&gt;MESCLUN_BED_CAP,$A316+$B316+U$4&gt;TOTAL_BEDS_AVAILABLE,($D316+U$5)&gt;TOTAL_LABOR_HOURS_CAP,MAX(0,($D316+U$5)-PERMANENT_FIELD_LABOR_HOURS)&gt;TEMP_HOURS_CAP),"",$C316+U$6-MIN(($D316+U$5),PERMANENT_FIELD_LABOR_HOURS)*PERMANENT_HOURLY_RATE-MAX(0,($D316+U$5)-PERMANENT_FIELD_LABOR_HOURS)*TEMP_HOURLY_RATE-FIXED_SEASON_COST)</f>
        <v>21355.4982223265</v>
      </c>
      <c r="V316" s="53" t="n">
        <f aca="false">IF(OR($A316&gt;TOMATO_BED_CAP,$B316&gt;CARROT_BED_CAP,V$4&gt;MESCLUN_BED_CAP,$A316+$B316+V$4&gt;TOTAL_BEDS_AVAILABLE,($D316+V$5)&gt;TOTAL_LABOR_HOURS_CAP,MAX(0,($D316+V$5)-PERMANENT_FIELD_LABOR_HOURS)&gt;TEMP_HOURS_CAP),"",$C316+V$6-MIN(($D316+V$5),PERMANENT_FIELD_LABOR_HOURS)*PERMANENT_HOURLY_RATE-MAX(0,($D316+V$5)-PERMANENT_FIELD_LABOR_HOURS)*TEMP_HOURLY_RATE-FIXED_SEASON_COST)</f>
        <v>22046.0431530933</v>
      </c>
      <c r="W316" s="53" t="n">
        <f aca="false">IF(OR($A316&gt;TOMATO_BED_CAP,$B316&gt;CARROT_BED_CAP,W$4&gt;MESCLUN_BED_CAP,$A316+$B316+W$4&gt;TOTAL_BEDS_AVAILABLE,($D316+W$5)&gt;TOTAL_LABOR_HOURS_CAP,MAX(0,($D316+W$5)-PERMANENT_FIELD_LABOR_HOURS)&gt;TEMP_HOURS_CAP),"",$C316+W$6-MIN(($D316+W$5),PERMANENT_FIELD_LABOR_HOURS)*PERMANENT_HOURLY_RATE-MAX(0,($D316+W$5)-PERMANENT_FIELD_LABOR_HOURS)*TEMP_HOURLY_RATE-FIXED_SEASON_COST)</f>
        <v>22710.5576740613</v>
      </c>
      <c r="X316" s="53" t="n">
        <f aca="false">IF(OR($A316&gt;TOMATO_BED_CAP,$B316&gt;CARROT_BED_CAP,X$4&gt;MESCLUN_BED_CAP,$A316+$B316+X$4&gt;TOTAL_BEDS_AVAILABLE,($D316+X$5)&gt;TOTAL_LABOR_HOURS_CAP,MAX(0,($D316+X$5)-PERMANENT_FIELD_LABOR_HOURS)&gt;TEMP_HOURS_CAP),"",$C316+X$6-MIN(($D316+X$5),PERMANENT_FIELD_LABOR_HOURS)*PERMANENT_HOURLY_RATE-MAX(0,($D316+X$5)-PERMANENT_FIELD_LABOR_HOURS)*TEMP_HOURLY_RATE-FIXED_SEASON_COST)</f>
        <v>23348.5675023403</v>
      </c>
      <c r="Y316" s="53" t="n">
        <f aca="false">IF(OR($A316&gt;TOMATO_BED_CAP,$B316&gt;CARROT_BED_CAP,Y$4&gt;MESCLUN_BED_CAP,$A316+$B316+Y$4&gt;TOTAL_BEDS_AVAILABLE,($D316+Y$5)&gt;TOTAL_LABOR_HOURS_CAP,MAX(0,($D316+Y$5)-PERMANENT_FIELD_LABOR_HOURS)&gt;TEMP_HOURS_CAP),"",$C316+Y$6-MIN(($D316+Y$5),PERMANENT_FIELD_LABOR_HOURS)*PERMANENT_HOURLY_RATE-MAX(0,($D316+Y$5)-PERMANENT_FIELD_LABOR_HOURS)*TEMP_HOURLY_RATE-FIXED_SEASON_COST)</f>
        <v>23959.5905652189</v>
      </c>
      <c r="Z316" s="53" t="str">
        <f aca="false">IF(OR($A316&gt;TOMATO_BED_CAP,$B316&gt;CARROT_BED_CAP,Z$4&gt;MESCLUN_BED_CAP,$A316+$B316+Z$4&gt;TOTAL_BEDS_AVAILABLE,($D316+Z$5)&gt;TOTAL_LABOR_HOURS_CAP,MAX(0,($D316+Z$5)-PERMANENT_FIELD_LABOR_HOURS)&gt;TEMP_HOURS_CAP),"",$C316+Z$6-MIN(($D316+Z$5),PERMANENT_FIELD_LABOR_HOURS)*PERMANENT_HOURLY_RATE-MAX(0,($D316+Z$5)-PERMANENT_FIELD_LABOR_HOURS)*TEMP_HOURLY_RATE-FIXED_SEASON_COST)</f>
        <v/>
      </c>
      <c r="AA316" s="53" t="str">
        <f aca="false">IF(OR($A316&gt;TOMATO_BED_CAP,$B316&gt;CARROT_BED_CAP,AA$4&gt;MESCLUN_BED_CAP,$A316+$B316+AA$4&gt;TOTAL_BEDS_AVAILABLE,($D316+AA$5)&gt;TOTAL_LABOR_HOURS_CAP,MAX(0,($D316+AA$5)-PERMANENT_FIELD_LABOR_HOURS)&gt;TEMP_HOURS_CAP),"",$C316+AA$6-MIN(($D316+AA$5),PERMANENT_FIELD_LABOR_HOURS)*PERMANENT_HOURLY_RATE-MAX(0,($D316+AA$5)-PERMANENT_FIELD_LABOR_HOURS)*TEMP_HOURLY_RATE-FIXED_SEASON_COST)</f>
        <v/>
      </c>
      <c r="AB316" s="53" t="str">
        <f aca="false">IF(OR($A316&gt;TOMATO_BED_CAP,$B316&gt;CARROT_BED_CAP,AB$4&gt;MESCLUN_BED_CAP,$A316+$B316+AB$4&gt;TOTAL_BEDS_AVAILABLE,($D316+AB$5)&gt;TOTAL_LABOR_HOURS_CAP,MAX(0,($D316+AB$5)-PERMANENT_FIELD_LABOR_HOURS)&gt;TEMP_HOURS_CAP),"",$C316+AB$6-MIN(($D316+AB$5),PERMANENT_FIELD_LABOR_HOURS)*PERMANENT_HOURLY_RATE-MAX(0,($D316+AB$5)-PERMANENT_FIELD_LABOR_HOURS)*TEMP_HOURLY_RATE-FIXED_SEASON_COST)</f>
        <v/>
      </c>
      <c r="AC316" s="53" t="str">
        <f aca="false">IF(OR($A316&gt;TOMATO_BED_CAP,$B316&gt;CARROT_BED_CAP,AC$4&gt;MESCLUN_BED_CAP,$A316+$B316+AC$4&gt;TOTAL_BEDS_AVAILABLE,($D316+AC$5)&gt;TOTAL_LABOR_HOURS_CAP,MAX(0,($D316+AC$5)-PERMANENT_FIELD_LABOR_HOURS)&gt;TEMP_HOURS_CAP),"",$C316+AC$6-MIN(($D316+AC$5),PERMANENT_FIELD_LABOR_HOURS)*PERMANENT_HOURLY_RATE-MAX(0,($D316+AC$5)-PERMANENT_FIELD_LABOR_HOURS)*TEMP_HOURLY_RATE-FIXED_SEASON_COST)</f>
        <v/>
      </c>
      <c r="AD316" s="53" t="str">
        <f aca="false">IF(OR($A316&gt;TOMATO_BED_CAP,$B316&gt;CARROT_BED_CAP,AD$4&gt;MESCLUN_BED_CAP,$A316+$B316+AD$4&gt;TOTAL_BEDS_AVAILABLE,($D316+AD$5)&gt;TOTAL_LABOR_HOURS_CAP,MAX(0,($D316+AD$5)-PERMANENT_FIELD_LABOR_HOURS)&gt;TEMP_HOURS_CAP),"",$C316+AD$6-MIN(($D316+AD$5),PERMANENT_FIELD_LABOR_HOURS)*PERMANENT_HOURLY_RATE-MAX(0,($D316+AD$5)-PERMANENT_FIELD_LABOR_HOURS)*TEMP_HOURLY_RATE-FIXED_SEASON_COST)</f>
        <v/>
      </c>
      <c r="AE316" s="53" t="str">
        <f aca="false">IF(OR($A316&gt;TOMATO_BED_CAP,$B316&gt;CARROT_BED_CAP,AE$4&gt;MESCLUN_BED_CAP,$A316+$B316+AE$4&gt;TOTAL_BEDS_AVAILABLE,($D316+AE$5)&gt;TOTAL_LABOR_HOURS_CAP,MAX(0,($D316+AE$5)-PERMANENT_FIELD_LABOR_HOURS)&gt;TEMP_HOURS_CAP),"",$C316+AE$6-MIN(($D316+AE$5),PERMANENT_FIELD_LABOR_HOURS)*PERMANENT_HOURLY_RATE-MAX(0,($D316+AE$5)-PERMANENT_FIELD_LABOR_HOURS)*TEMP_HOURLY_RATE-FIXED_SEASON_COST)</f>
        <v/>
      </c>
      <c r="AF316" s="53" t="str">
        <f aca="false">IF(OR($A316&gt;TOMATO_BED_CAP,$B316&gt;CARROT_BED_CAP,AF$4&gt;MESCLUN_BED_CAP,$A316+$B316+AF$4&gt;TOTAL_BEDS_AVAILABLE,($D316+AF$5)&gt;TOTAL_LABOR_HOURS_CAP,MAX(0,($D316+AF$5)-PERMANENT_FIELD_LABOR_HOURS)&gt;TEMP_HOURS_CAP),"",$C316+AF$6-MIN(($D316+AF$5),PERMANENT_FIELD_LABOR_HOURS)*PERMANENT_HOURLY_RATE-MAX(0,($D316+AF$5)-PERMANENT_FIELD_LABOR_HOURS)*TEMP_HOURLY_RATE-FIXED_SEASON_COST)</f>
        <v/>
      </c>
      <c r="AG316" s="53" t="str">
        <f aca="false">IF(OR($A316&gt;TOMATO_BED_CAP,$B316&gt;CARROT_BED_CAP,AG$4&gt;MESCLUN_BED_CAP,$A316+$B316+AG$4&gt;TOTAL_BEDS_AVAILABLE,($D316+AG$5)&gt;TOTAL_LABOR_HOURS_CAP,MAX(0,($D316+AG$5)-PERMANENT_FIELD_LABOR_HOURS)&gt;TEMP_HOURS_CAP),"",$C316+AG$6-MIN(($D316+AG$5),PERMANENT_FIELD_LABOR_HOURS)*PERMANENT_HOURLY_RATE-MAX(0,($D316+AG$5)-PERMANENT_FIELD_LABOR_HOURS)*TEMP_HOURLY_RATE-FIXED_SEASON_COST)</f>
        <v/>
      </c>
      <c r="AH316" s="53" t="str">
        <f aca="false">IF(OR($A316&gt;TOMATO_BED_CAP,$B316&gt;CARROT_BED_CAP,AH$4&gt;MESCLUN_BED_CAP,$A316+$B316+AH$4&gt;TOTAL_BEDS_AVAILABLE,($D316+AH$5)&gt;TOTAL_LABOR_HOURS_CAP,MAX(0,($D316+AH$5)-PERMANENT_FIELD_LABOR_HOURS)&gt;TEMP_HOURS_CAP),"",$C316+AH$6-MIN(($D316+AH$5),PERMANENT_FIELD_LABOR_HOURS)*PERMANENT_HOURLY_RATE-MAX(0,($D316+AH$5)-PERMANENT_FIELD_LABOR_HOURS)*TEMP_HOURLY_RATE-FIXED_SEASON_COST)</f>
        <v/>
      </c>
      <c r="AI316" s="53" t="str">
        <f aca="false">IF(OR($A316&gt;TOMATO_BED_CAP,$B316&gt;CARROT_BED_CAP,AI$4&gt;MESCLUN_BED_CAP,$A316+$B316+AI$4&gt;TOTAL_BEDS_AVAILABLE,($D316+AI$5)&gt;TOTAL_LABOR_HOURS_CAP,MAX(0,($D316+AI$5)-PERMANENT_FIELD_LABOR_HOURS)&gt;TEMP_HOURS_CAP),"",$C316+AI$6-MIN(($D316+AI$5),PERMANENT_FIELD_LABOR_HOURS)*PERMANENT_HOURLY_RATE-MAX(0,($D316+AI$5)-PERMANENT_FIELD_LABOR_HOURS)*TEMP_HOURLY_RATE-FIXED_SEASON_COST)</f>
        <v/>
      </c>
      <c r="AJ316" s="53" t="str">
        <f aca="false">IF(OR($A316&gt;TOMATO_BED_CAP,$B316&gt;CARROT_BED_CAP,AJ$4&gt;MESCLUN_BED_CAP,$A316+$B316+AJ$4&gt;TOTAL_BEDS_AVAILABLE,($D316+AJ$5)&gt;TOTAL_LABOR_HOURS_CAP,MAX(0,($D316+AJ$5)-PERMANENT_FIELD_LABOR_HOURS)&gt;TEMP_HOURS_CAP),"",$C316+AJ$6-MIN(($D316+AJ$5),PERMANENT_FIELD_LABOR_HOURS)*PERMANENT_HOURLY_RATE-MAX(0,($D316+AJ$5)-PERMANENT_FIELD_LABOR_HOURS)*TEMP_HOURLY_RATE-FIXED_SEASON_COST)</f>
        <v/>
      </c>
    </row>
    <row r="317" customFormat="false" ht="15" hidden="false" customHeight="false" outlineLevel="0" collapsed="false">
      <c r="A317" s="21" t="n">
        <f aca="false">INT((ROW()-ROW($A$8))/(20+1))</f>
        <v>14</v>
      </c>
      <c r="B317" s="21" t="n">
        <f aca="false">MOD(ROW()-ROW($A$8),20+1)</f>
        <v>15</v>
      </c>
      <c r="C317" s="13" t="n">
        <f aca="false">A317*(TOMATO_REVENUE_PER_BED-TOMATO_FERTILIZER_PER_BED)+B317*(CARROT_REVENUE_PER_BED-CARROT_FERTILIZER_PER_BED)</f>
        <v>135690</v>
      </c>
      <c r="D317" s="14" t="n">
        <f aca="false">INDEX(TOMATO_SCHED_LABOR_HRS,A317+1)+INDEX(CARROT_SCHED_LABOR_HRS,B317+1)</f>
        <v>5436.32138440302</v>
      </c>
      <c r="E317" s="13" t="n">
        <f aca="false">IF(COUNT(F317:AJ317)=0,"",MAX(F317:AJ317))</f>
        <v>23991.1416813623</v>
      </c>
      <c r="F317" s="53" t="n">
        <f aca="false">IF(OR($A317&gt;TOMATO_BED_CAP,$B317&gt;CARROT_BED_CAP,F$4&gt;MESCLUN_BED_CAP,$A317+$B317+F$4&gt;TOTAL_BEDS_AVAILABLE,($D317+F$5)&gt;TOTAL_LABOR_HOURS_CAP,MAX(0,($D317+F$5)-PERMANENT_FIELD_LABOR_HOURS)&gt;TEMP_HOURS_CAP),"",$C317+F$6-MIN(($D317+F$5),PERMANENT_FIELD_LABOR_HOURS)*PERMANENT_HOURLY_RATE-MAX(0,($D317+F$5)-PERMANENT_FIELD_LABOR_HOURS)*TEMP_HOURLY_RATE-FIXED_SEASON_COST)</f>
        <v>8816.26076676356</v>
      </c>
      <c r="G317" s="53" t="n">
        <f aca="false">IF(OR($A317&gt;TOMATO_BED_CAP,$B317&gt;CARROT_BED_CAP,G$4&gt;MESCLUN_BED_CAP,$A317+$B317+G$4&gt;TOTAL_BEDS_AVAILABLE,($D317+G$5)&gt;TOTAL_LABOR_HOURS_CAP,MAX(0,($D317+G$5)-PERMANENT_FIELD_LABOR_HOURS)&gt;TEMP_HOURS_CAP),"",$C317+G$6-MIN(($D317+G$5),PERMANENT_FIELD_LABOR_HOURS)*PERMANENT_HOURLY_RATE-MAX(0,($D317+G$5)-PERMANENT_FIELD_LABOR_HOURS)*TEMP_HOURLY_RATE-FIXED_SEASON_COST)</f>
        <v>9845.29576676355</v>
      </c>
      <c r="H317" s="53" t="n">
        <f aca="false">IF(OR($A317&gt;TOMATO_BED_CAP,$B317&gt;CARROT_BED_CAP,H$4&gt;MESCLUN_BED_CAP,$A317+$B317+H$4&gt;TOTAL_BEDS_AVAILABLE,($D317+H$5)&gt;TOTAL_LABOR_HOURS_CAP,MAX(0,($D317+H$5)-PERMANENT_FIELD_LABOR_HOURS)&gt;TEMP_HOURS_CAP),"",$C317+H$6-MIN(($D317+H$5),PERMANENT_FIELD_LABOR_HOURS)*PERMANENT_HOURLY_RATE-MAX(0,($D317+H$5)-PERMANENT_FIELD_LABOR_HOURS)*TEMP_HOURLY_RATE-FIXED_SEASON_COST)</f>
        <v>10854.5566417635</v>
      </c>
      <c r="I317" s="53" t="n">
        <f aca="false">IF(OR($A317&gt;TOMATO_BED_CAP,$B317&gt;CARROT_BED_CAP,I$4&gt;MESCLUN_BED_CAP,$A317+$B317+I$4&gt;TOTAL_BEDS_AVAILABLE,($D317+I$5)&gt;TOTAL_LABOR_HOURS_CAP,MAX(0,($D317+I$5)-PERMANENT_FIELD_LABOR_HOURS)&gt;TEMP_HOURS_CAP),"",$C317+I$6-MIN(($D317+I$5),PERMANENT_FIELD_LABOR_HOURS)*PERMANENT_HOURLY_RATE-MAX(0,($D317+I$5)-PERMANENT_FIELD_LABOR_HOURS)*TEMP_HOURLY_RATE-FIXED_SEASON_COST)</f>
        <v>11843.6726269198</v>
      </c>
      <c r="J317" s="53" t="n">
        <f aca="false">IF(OR($A317&gt;TOMATO_BED_CAP,$B317&gt;CARROT_BED_CAP,J$4&gt;MESCLUN_BED_CAP,$A317+$B317+J$4&gt;TOTAL_BEDS_AVAILABLE,($D317+J$5)&gt;TOTAL_LABOR_HOURS_CAP,MAX(0,($D317+J$5)-PERMANENT_FIELD_LABOR_HOURS)&gt;TEMP_HOURS_CAP),"",$C317+J$6-MIN(($D317+J$5),PERMANENT_FIELD_LABOR_HOURS)*PERMANENT_HOURLY_RATE-MAX(0,($D317+J$5)-PERMANENT_FIELD_LABOR_HOURS)*TEMP_HOURLY_RATE-FIXED_SEASON_COST)</f>
        <v>12812.2667779745</v>
      </c>
      <c r="K317" s="53" t="n">
        <f aca="false">IF(OR($A317&gt;TOMATO_BED_CAP,$B317&gt;CARROT_BED_CAP,K$4&gt;MESCLUN_BED_CAP,$A317+$B317+K$4&gt;TOTAL_BEDS_AVAILABLE,($D317+K$5)&gt;TOTAL_LABOR_HOURS_CAP,MAX(0,($D317+K$5)-PERMANENT_FIELD_LABOR_HOURS)&gt;TEMP_HOURS_CAP),"",$C317+K$6-MIN(($D317+K$5),PERMANENT_FIELD_LABOR_HOURS)*PERMANENT_HOURLY_RATE-MAX(0,($D317+K$5)-PERMANENT_FIELD_LABOR_HOURS)*TEMP_HOURLY_RATE-FIXED_SEASON_COST)</f>
        <v>13759.9558747024</v>
      </c>
      <c r="L317" s="53" t="n">
        <f aca="false">IF(OR($A317&gt;TOMATO_BED_CAP,$B317&gt;CARROT_BED_CAP,L$4&gt;MESCLUN_BED_CAP,$A317+$B317+L$4&gt;TOTAL_BEDS_AVAILABLE,($D317+L$5)&gt;TOTAL_LABOR_HOURS_CAP,MAX(0,($D317+L$5)-PERMANENT_FIELD_LABOR_HOURS)&gt;TEMP_HOURS_CAP),"",$C317+L$6-MIN(($D317+L$5),PERMANENT_FIELD_LABOR_HOURS)*PERMANENT_HOURLY_RATE-MAX(0,($D317+L$5)-PERMANENT_FIELD_LABOR_HOURS)*TEMP_HOURLY_RATE-FIXED_SEASON_COST)</f>
        <v>14686.3503229092</v>
      </c>
      <c r="M317" s="53" t="n">
        <f aca="false">IF(OR($A317&gt;TOMATO_BED_CAP,$B317&gt;CARROT_BED_CAP,M$4&gt;MESCLUN_BED_CAP,$A317+$B317+M$4&gt;TOTAL_BEDS_AVAILABLE,($D317+M$5)&gt;TOTAL_LABOR_HOURS_CAP,MAX(0,($D317+M$5)-PERMANENT_FIELD_LABOR_HOURS)&gt;TEMP_HOURS_CAP),"",$C317+M$6-MIN(($D317+M$5),PERMANENT_FIELD_LABOR_HOURS)*PERMANENT_HOURLY_RATE-MAX(0,($D317+M$5)-PERMANENT_FIELD_LABOR_HOURS)*TEMP_HOURLY_RATE-FIXED_SEASON_COST)</f>
        <v>15591.0540549607</v>
      </c>
      <c r="N317" s="53" t="n">
        <f aca="false">IF(OR($A317&gt;TOMATO_BED_CAP,$B317&gt;CARROT_BED_CAP,N$4&gt;MESCLUN_BED_CAP,$A317+$B317+N$4&gt;TOTAL_BEDS_AVAILABLE,($D317+N$5)&gt;TOTAL_LABOR_HOURS_CAP,MAX(0,($D317+N$5)-PERMANENT_FIELD_LABOR_HOURS)&gt;TEMP_HOURS_CAP),"",$C317+N$6-MIN(($D317+N$5),PERMANENT_FIELD_LABOR_HOURS)*PERMANENT_HOURLY_RATE-MAX(0,($D317+N$5)-PERMANENT_FIELD_LABOR_HOURS)*TEMP_HOURLY_RATE-FIXED_SEASON_COST)</f>
        <v>16473.6644288202</v>
      </c>
      <c r="O317" s="53" t="n">
        <f aca="false">IF(OR($A317&gt;TOMATO_BED_CAP,$B317&gt;CARROT_BED_CAP,O$4&gt;MESCLUN_BED_CAP,$A317+$B317+O$4&gt;TOTAL_BEDS_AVAILABLE,($D317+O$5)&gt;TOTAL_LABOR_HOURS_CAP,MAX(0,($D317+O$5)-PERMANENT_FIELD_LABOR_HOURS)&gt;TEMP_HOURS_CAP),"",$C317+O$6-MIN(($D317+O$5),PERMANENT_FIELD_LABOR_HOURS)*PERMANENT_HOURLY_RATE-MAX(0,($D317+O$5)-PERMANENT_FIELD_LABOR_HOURS)*TEMP_HOURLY_RATE-FIXED_SEASON_COST)</f>
        <v>17333.772125575</v>
      </c>
      <c r="P317" s="53" t="n">
        <f aca="false">IF(OR($A317&gt;TOMATO_BED_CAP,$B317&gt;CARROT_BED_CAP,P$4&gt;MESCLUN_BED_CAP,$A317+$B317+P$4&gt;TOTAL_BEDS_AVAILABLE,($D317+P$5)&gt;TOTAL_LABOR_HOURS_CAP,MAX(0,($D317+P$5)-PERMANENT_FIELD_LABOR_HOURS)&gt;TEMP_HOURS_CAP),"",$C317+P$6-MIN(($D317+P$5),PERMANENT_FIELD_LABOR_HOURS)*PERMANENT_HOURLY_RATE-MAX(0,($D317+P$5)-PERMANENT_FIELD_LABOR_HOURS)*TEMP_HOURLY_RATE-FIXED_SEASON_COST)</f>
        <v>18170.9610454264</v>
      </c>
      <c r="Q317" s="53" t="n">
        <f aca="false">IF(OR($A317&gt;TOMATO_BED_CAP,$B317&gt;CARROT_BED_CAP,Q$4&gt;MESCLUN_BED_CAP,$A317+$B317+Q$4&gt;TOTAL_BEDS_AVAILABLE,($D317+Q$5)&gt;TOTAL_LABOR_HOURS_CAP,MAX(0,($D317+Q$5)-PERMANENT_FIELD_LABOR_HOURS)&gt;TEMP_HOURS_CAP),"",$C317+Q$6-MIN(($D317+Q$5),PERMANENT_FIELD_LABOR_HOURS)*PERMANENT_HOURLY_RATE-MAX(0,($D317+Q$5)-PERMANENT_FIELD_LABOR_HOURS)*TEMP_HOURLY_RATE-FIXED_SEASON_COST)</f>
        <v>18984.8082021243</v>
      </c>
      <c r="R317" s="53" t="n">
        <f aca="false">IF(OR($A317&gt;TOMATO_BED_CAP,$B317&gt;CARROT_BED_CAP,R$4&gt;MESCLUN_BED_CAP,$A317+$B317+R$4&gt;TOTAL_BEDS_AVAILABLE,($D317+R$5)&gt;TOTAL_LABOR_HOURS_CAP,MAX(0,($D317+R$5)-PERMANENT_FIELD_LABOR_HOURS)&gt;TEMP_HOURS_CAP),"",$C317+R$6-MIN(($D317+R$5),PERMANENT_FIELD_LABOR_HOURS)*PERMANENT_HOURLY_RATE-MAX(0,($D317+R$5)-PERMANENT_FIELD_LABOR_HOURS)*TEMP_HOURLY_RATE-FIXED_SEASON_COST)</f>
        <v>19774.8836158211</v>
      </c>
      <c r="S317" s="53" t="n">
        <f aca="false">IF(OR($A317&gt;TOMATO_BED_CAP,$B317&gt;CARROT_BED_CAP,S$4&gt;MESCLUN_BED_CAP,$A317+$B317+S$4&gt;TOTAL_BEDS_AVAILABLE,($D317+S$5)&gt;TOTAL_LABOR_HOURS_CAP,MAX(0,($D317+S$5)-PERMANENT_FIELD_LABOR_HOURS)&gt;TEMP_HOURS_CAP),"",$C317+S$6-MIN(($D317+S$5),PERMANENT_FIELD_LABOR_HOURS)*PERMANENT_HOURLY_RATE-MAX(0,($D317+S$5)-PERMANENT_FIELD_LABOR_HOURS)*TEMP_HOURLY_RATE-FIXED_SEASON_COST)</f>
        <v>20540.7502043235</v>
      </c>
      <c r="T317" s="53" t="n">
        <f aca="false">IF(OR($A317&gt;TOMATO_BED_CAP,$B317&gt;CARROT_BED_CAP,T$4&gt;MESCLUN_BED_CAP,$A317+$B317+T$4&gt;TOTAL_BEDS_AVAILABLE,($D317+T$5)&gt;TOTAL_LABOR_HOURS_CAP,MAX(0,($D317+T$5)-PERMANENT_FIELD_LABOR_HOURS)&gt;TEMP_HOURS_CAP),"",$C317+T$6-MIN(($D317+T$5),PERMANENT_FIELD_LABOR_HOURS)*PERMANENT_HOURLY_RATE-MAX(0,($D317+T$5)-PERMANENT_FIELD_LABOR_HOURS)*TEMP_HOURLY_RATE-FIXED_SEASON_COST)</f>
        <v>21281.9636727184</v>
      </c>
      <c r="U317" s="53" t="n">
        <f aca="false">IF(OR($A317&gt;TOMATO_BED_CAP,$B317&gt;CARROT_BED_CAP,U$4&gt;MESCLUN_BED_CAP,$A317+$B317+U$4&gt;TOTAL_BEDS_AVAILABLE,($D317+U$5)&gt;TOTAL_LABOR_HOURS_CAP,MAX(0,($D317+U$5)-PERMANENT_FIELD_LABOR_HOURS)&gt;TEMP_HOURS_CAP),"",$C317+U$6-MIN(($D317+U$5),PERMANENT_FIELD_LABOR_HOURS)*PERMANENT_HOURLY_RATE-MAX(0,($D317+U$5)-PERMANENT_FIELD_LABOR_HOURS)*TEMP_HOURLY_RATE-FIXED_SEASON_COST)</f>
        <v>21998.0724013485</v>
      </c>
      <c r="V317" s="53" t="n">
        <f aca="false">IF(OR($A317&gt;TOMATO_BED_CAP,$B317&gt;CARROT_BED_CAP,V$4&gt;MESCLUN_BED_CAP,$A317+$B317+V$4&gt;TOTAL_BEDS_AVAILABLE,($D317+V$5)&gt;TOTAL_LABOR_HOURS_CAP,MAX(0,($D317+V$5)-PERMANENT_FIELD_LABOR_HOURS)&gt;TEMP_HOURS_CAP),"",$C317+V$6-MIN(($D317+V$5),PERMANENT_FIELD_LABOR_HOURS)*PERMANENT_HOURLY_RATE-MAX(0,($D317+V$5)-PERMANENT_FIELD_LABOR_HOURS)*TEMP_HOURLY_RATE-FIXED_SEASON_COST)</f>
        <v>22688.6173321153</v>
      </c>
      <c r="W317" s="53" t="n">
        <f aca="false">IF(OR($A317&gt;TOMATO_BED_CAP,$B317&gt;CARROT_BED_CAP,W$4&gt;MESCLUN_BED_CAP,$A317+$B317+W$4&gt;TOTAL_BEDS_AVAILABLE,($D317+W$5)&gt;TOTAL_LABOR_HOURS_CAP,MAX(0,($D317+W$5)-PERMANENT_FIELD_LABOR_HOURS)&gt;TEMP_HOURS_CAP),"",$C317+W$6-MIN(($D317+W$5),PERMANENT_FIELD_LABOR_HOURS)*PERMANENT_HOURLY_RATE-MAX(0,($D317+W$5)-PERMANENT_FIELD_LABOR_HOURS)*TEMP_HOURLY_RATE-FIXED_SEASON_COST)</f>
        <v>23353.1318530833</v>
      </c>
      <c r="X317" s="53" t="n">
        <f aca="false">IF(OR($A317&gt;TOMATO_BED_CAP,$B317&gt;CARROT_BED_CAP,X$4&gt;MESCLUN_BED_CAP,$A317+$B317+X$4&gt;TOTAL_BEDS_AVAILABLE,($D317+X$5)&gt;TOTAL_LABOR_HOURS_CAP,MAX(0,($D317+X$5)-PERMANENT_FIELD_LABOR_HOURS)&gt;TEMP_HOURS_CAP),"",$C317+X$6-MIN(($D317+X$5),PERMANENT_FIELD_LABOR_HOURS)*PERMANENT_HOURLY_RATE-MAX(0,($D317+X$5)-PERMANENT_FIELD_LABOR_HOURS)*TEMP_HOURLY_RATE-FIXED_SEASON_COST)</f>
        <v>23991.1416813623</v>
      </c>
      <c r="Y317" s="53" t="str">
        <f aca="false">IF(OR($A317&gt;TOMATO_BED_CAP,$B317&gt;CARROT_BED_CAP,Y$4&gt;MESCLUN_BED_CAP,$A317+$B317+Y$4&gt;TOTAL_BEDS_AVAILABLE,($D317+Y$5)&gt;TOTAL_LABOR_HOURS_CAP,MAX(0,($D317+Y$5)-PERMANENT_FIELD_LABOR_HOURS)&gt;TEMP_HOURS_CAP),"",$C317+Y$6-MIN(($D317+Y$5),PERMANENT_FIELD_LABOR_HOURS)*PERMANENT_HOURLY_RATE-MAX(0,($D317+Y$5)-PERMANENT_FIELD_LABOR_HOURS)*TEMP_HOURLY_RATE-FIXED_SEASON_COST)</f>
        <v/>
      </c>
      <c r="Z317" s="53" t="str">
        <f aca="false">IF(OR($A317&gt;TOMATO_BED_CAP,$B317&gt;CARROT_BED_CAP,Z$4&gt;MESCLUN_BED_CAP,$A317+$B317+Z$4&gt;TOTAL_BEDS_AVAILABLE,($D317+Z$5)&gt;TOTAL_LABOR_HOURS_CAP,MAX(0,($D317+Z$5)-PERMANENT_FIELD_LABOR_HOURS)&gt;TEMP_HOURS_CAP),"",$C317+Z$6-MIN(($D317+Z$5),PERMANENT_FIELD_LABOR_HOURS)*PERMANENT_HOURLY_RATE-MAX(0,($D317+Z$5)-PERMANENT_FIELD_LABOR_HOURS)*TEMP_HOURLY_RATE-FIXED_SEASON_COST)</f>
        <v/>
      </c>
      <c r="AA317" s="53" t="str">
        <f aca="false">IF(OR($A317&gt;TOMATO_BED_CAP,$B317&gt;CARROT_BED_CAP,AA$4&gt;MESCLUN_BED_CAP,$A317+$B317+AA$4&gt;TOTAL_BEDS_AVAILABLE,($D317+AA$5)&gt;TOTAL_LABOR_HOURS_CAP,MAX(0,($D317+AA$5)-PERMANENT_FIELD_LABOR_HOURS)&gt;TEMP_HOURS_CAP),"",$C317+AA$6-MIN(($D317+AA$5),PERMANENT_FIELD_LABOR_HOURS)*PERMANENT_HOURLY_RATE-MAX(0,($D317+AA$5)-PERMANENT_FIELD_LABOR_HOURS)*TEMP_HOURLY_RATE-FIXED_SEASON_COST)</f>
        <v/>
      </c>
      <c r="AB317" s="53" t="str">
        <f aca="false">IF(OR($A317&gt;TOMATO_BED_CAP,$B317&gt;CARROT_BED_CAP,AB$4&gt;MESCLUN_BED_CAP,$A317+$B317+AB$4&gt;TOTAL_BEDS_AVAILABLE,($D317+AB$5)&gt;TOTAL_LABOR_HOURS_CAP,MAX(0,($D317+AB$5)-PERMANENT_FIELD_LABOR_HOURS)&gt;TEMP_HOURS_CAP),"",$C317+AB$6-MIN(($D317+AB$5),PERMANENT_FIELD_LABOR_HOURS)*PERMANENT_HOURLY_RATE-MAX(0,($D317+AB$5)-PERMANENT_FIELD_LABOR_HOURS)*TEMP_HOURLY_RATE-FIXED_SEASON_COST)</f>
        <v/>
      </c>
      <c r="AC317" s="53" t="str">
        <f aca="false">IF(OR($A317&gt;TOMATO_BED_CAP,$B317&gt;CARROT_BED_CAP,AC$4&gt;MESCLUN_BED_CAP,$A317+$B317+AC$4&gt;TOTAL_BEDS_AVAILABLE,($D317+AC$5)&gt;TOTAL_LABOR_HOURS_CAP,MAX(0,($D317+AC$5)-PERMANENT_FIELD_LABOR_HOURS)&gt;TEMP_HOURS_CAP),"",$C317+AC$6-MIN(($D317+AC$5),PERMANENT_FIELD_LABOR_HOURS)*PERMANENT_HOURLY_RATE-MAX(0,($D317+AC$5)-PERMANENT_FIELD_LABOR_HOURS)*TEMP_HOURLY_RATE-FIXED_SEASON_COST)</f>
        <v/>
      </c>
      <c r="AD317" s="53" t="str">
        <f aca="false">IF(OR($A317&gt;TOMATO_BED_CAP,$B317&gt;CARROT_BED_CAP,AD$4&gt;MESCLUN_BED_CAP,$A317+$B317+AD$4&gt;TOTAL_BEDS_AVAILABLE,($D317+AD$5)&gt;TOTAL_LABOR_HOURS_CAP,MAX(0,($D317+AD$5)-PERMANENT_FIELD_LABOR_HOURS)&gt;TEMP_HOURS_CAP),"",$C317+AD$6-MIN(($D317+AD$5),PERMANENT_FIELD_LABOR_HOURS)*PERMANENT_HOURLY_RATE-MAX(0,($D317+AD$5)-PERMANENT_FIELD_LABOR_HOURS)*TEMP_HOURLY_RATE-FIXED_SEASON_COST)</f>
        <v/>
      </c>
      <c r="AE317" s="53" t="str">
        <f aca="false">IF(OR($A317&gt;TOMATO_BED_CAP,$B317&gt;CARROT_BED_CAP,AE$4&gt;MESCLUN_BED_CAP,$A317+$B317+AE$4&gt;TOTAL_BEDS_AVAILABLE,($D317+AE$5)&gt;TOTAL_LABOR_HOURS_CAP,MAX(0,($D317+AE$5)-PERMANENT_FIELD_LABOR_HOURS)&gt;TEMP_HOURS_CAP),"",$C317+AE$6-MIN(($D317+AE$5),PERMANENT_FIELD_LABOR_HOURS)*PERMANENT_HOURLY_RATE-MAX(0,($D317+AE$5)-PERMANENT_FIELD_LABOR_HOURS)*TEMP_HOURLY_RATE-FIXED_SEASON_COST)</f>
        <v/>
      </c>
      <c r="AF317" s="53" t="str">
        <f aca="false">IF(OR($A317&gt;TOMATO_BED_CAP,$B317&gt;CARROT_BED_CAP,AF$4&gt;MESCLUN_BED_CAP,$A317+$B317+AF$4&gt;TOTAL_BEDS_AVAILABLE,($D317+AF$5)&gt;TOTAL_LABOR_HOURS_CAP,MAX(0,($D317+AF$5)-PERMANENT_FIELD_LABOR_HOURS)&gt;TEMP_HOURS_CAP),"",$C317+AF$6-MIN(($D317+AF$5),PERMANENT_FIELD_LABOR_HOURS)*PERMANENT_HOURLY_RATE-MAX(0,($D317+AF$5)-PERMANENT_FIELD_LABOR_HOURS)*TEMP_HOURLY_RATE-FIXED_SEASON_COST)</f>
        <v/>
      </c>
      <c r="AG317" s="53" t="str">
        <f aca="false">IF(OR($A317&gt;TOMATO_BED_CAP,$B317&gt;CARROT_BED_CAP,AG$4&gt;MESCLUN_BED_CAP,$A317+$B317+AG$4&gt;TOTAL_BEDS_AVAILABLE,($D317+AG$5)&gt;TOTAL_LABOR_HOURS_CAP,MAX(0,($D317+AG$5)-PERMANENT_FIELD_LABOR_HOURS)&gt;TEMP_HOURS_CAP),"",$C317+AG$6-MIN(($D317+AG$5),PERMANENT_FIELD_LABOR_HOURS)*PERMANENT_HOURLY_RATE-MAX(0,($D317+AG$5)-PERMANENT_FIELD_LABOR_HOURS)*TEMP_HOURLY_RATE-FIXED_SEASON_COST)</f>
        <v/>
      </c>
      <c r="AH317" s="53" t="str">
        <f aca="false">IF(OR($A317&gt;TOMATO_BED_CAP,$B317&gt;CARROT_BED_CAP,AH$4&gt;MESCLUN_BED_CAP,$A317+$B317+AH$4&gt;TOTAL_BEDS_AVAILABLE,($D317+AH$5)&gt;TOTAL_LABOR_HOURS_CAP,MAX(0,($D317+AH$5)-PERMANENT_FIELD_LABOR_HOURS)&gt;TEMP_HOURS_CAP),"",$C317+AH$6-MIN(($D317+AH$5),PERMANENT_FIELD_LABOR_HOURS)*PERMANENT_HOURLY_RATE-MAX(0,($D317+AH$5)-PERMANENT_FIELD_LABOR_HOURS)*TEMP_HOURLY_RATE-FIXED_SEASON_COST)</f>
        <v/>
      </c>
      <c r="AI317" s="53" t="str">
        <f aca="false">IF(OR($A317&gt;TOMATO_BED_CAP,$B317&gt;CARROT_BED_CAP,AI$4&gt;MESCLUN_BED_CAP,$A317+$B317+AI$4&gt;TOTAL_BEDS_AVAILABLE,($D317+AI$5)&gt;TOTAL_LABOR_HOURS_CAP,MAX(0,($D317+AI$5)-PERMANENT_FIELD_LABOR_HOURS)&gt;TEMP_HOURS_CAP),"",$C317+AI$6-MIN(($D317+AI$5),PERMANENT_FIELD_LABOR_HOURS)*PERMANENT_HOURLY_RATE-MAX(0,($D317+AI$5)-PERMANENT_FIELD_LABOR_HOURS)*TEMP_HOURLY_RATE-FIXED_SEASON_COST)</f>
        <v/>
      </c>
      <c r="AJ317" s="53" t="str">
        <f aca="false">IF(OR($A317&gt;TOMATO_BED_CAP,$B317&gt;CARROT_BED_CAP,AJ$4&gt;MESCLUN_BED_CAP,$A317+$B317+AJ$4&gt;TOTAL_BEDS_AVAILABLE,($D317+AJ$5)&gt;TOTAL_LABOR_HOURS_CAP,MAX(0,($D317+AJ$5)-PERMANENT_FIELD_LABOR_HOURS)&gt;TEMP_HOURS_CAP),"",$C317+AJ$6-MIN(($D317+AJ$5),PERMANENT_FIELD_LABOR_HOURS)*PERMANENT_HOURLY_RATE-MAX(0,($D317+AJ$5)-PERMANENT_FIELD_LABOR_HOURS)*TEMP_HOURLY_RATE-FIXED_SEASON_COST)</f>
        <v/>
      </c>
    </row>
    <row r="318" customFormat="false" ht="15" hidden="false" customHeight="false" outlineLevel="0" collapsed="false">
      <c r="A318" s="21" t="n">
        <f aca="false">INT((ROW()-ROW($A$8))/(20+1))</f>
        <v>14</v>
      </c>
      <c r="B318" s="21" t="n">
        <f aca="false">MOD(ROW()-ROW($A$8),20+1)</f>
        <v>16</v>
      </c>
      <c r="C318" s="13" t="n">
        <f aca="false">A318*(TOMATO_REVENUE_PER_BED-TOMATO_FERTILIZER_PER_BED)+B318*(CARROT_REVENUE_PER_BED-CARROT_FERTILIZER_PER_BED)</f>
        <v>137344</v>
      </c>
      <c r="D318" s="14" t="n">
        <f aca="false">INDEX(TOMATO_SCHED_LABOR_HRS,A318+1)+INDEX(CARROT_SCHED_LABOR_HRS,B318+1)</f>
        <v>5497.12557598675</v>
      </c>
      <c r="E318" s="13" t="n">
        <f aca="false">IF(COUNT(F318:AJ318)=0,"",MAX(F318:AJ318))</f>
        <v>23951.5710871899</v>
      </c>
      <c r="F318" s="53" t="n">
        <f aca="false">IF(OR($A318&gt;TOMATO_BED_CAP,$B318&gt;CARROT_BED_CAP,F$4&gt;MESCLUN_BED_CAP,$A318+$B318+F$4&gt;TOTAL_BEDS_AVAILABLE,($D318+F$5)&gt;TOTAL_LABOR_HOURS_CAP,MAX(0,($D318+F$5)-PERMANENT_FIELD_LABOR_HOURS)&gt;TEMP_HOURS_CAP),"",$C318+F$6-MIN(($D318+F$5),PERMANENT_FIELD_LABOR_HOURS)*PERMANENT_HOURLY_RATE-MAX(0,($D318+F$5)-PERMANENT_FIELD_LABOR_HOURS)*TEMP_HOURLY_RATE-FIXED_SEASON_COST)</f>
        <v>9414.70000087011</v>
      </c>
      <c r="G318" s="53" t="n">
        <f aca="false">IF(OR($A318&gt;TOMATO_BED_CAP,$B318&gt;CARROT_BED_CAP,G$4&gt;MESCLUN_BED_CAP,$A318+$B318+G$4&gt;TOTAL_BEDS_AVAILABLE,($D318+G$5)&gt;TOTAL_LABOR_HOURS_CAP,MAX(0,($D318+G$5)-PERMANENT_FIELD_LABOR_HOURS)&gt;TEMP_HOURS_CAP),"",$C318+G$6-MIN(($D318+G$5),PERMANENT_FIELD_LABOR_HOURS)*PERMANENT_HOURLY_RATE-MAX(0,($D318+G$5)-PERMANENT_FIELD_LABOR_HOURS)*TEMP_HOURLY_RATE-FIXED_SEASON_COST)</f>
        <v>10443.7350008701</v>
      </c>
      <c r="H318" s="53" t="n">
        <f aca="false">IF(OR($A318&gt;TOMATO_BED_CAP,$B318&gt;CARROT_BED_CAP,H$4&gt;MESCLUN_BED_CAP,$A318+$B318+H$4&gt;TOTAL_BEDS_AVAILABLE,($D318+H$5)&gt;TOTAL_LABOR_HOURS_CAP,MAX(0,($D318+H$5)-PERMANENT_FIELD_LABOR_HOURS)&gt;TEMP_HOURS_CAP),"",$C318+H$6-MIN(($D318+H$5),PERMANENT_FIELD_LABOR_HOURS)*PERMANENT_HOURLY_RATE-MAX(0,($D318+H$5)-PERMANENT_FIELD_LABOR_HOURS)*TEMP_HOURLY_RATE-FIXED_SEASON_COST)</f>
        <v>11452.9958758701</v>
      </c>
      <c r="I318" s="53" t="n">
        <f aca="false">IF(OR($A318&gt;TOMATO_BED_CAP,$B318&gt;CARROT_BED_CAP,I$4&gt;MESCLUN_BED_CAP,$A318+$B318+I$4&gt;TOTAL_BEDS_AVAILABLE,($D318+I$5)&gt;TOTAL_LABOR_HOURS_CAP,MAX(0,($D318+I$5)-PERMANENT_FIELD_LABOR_HOURS)&gt;TEMP_HOURS_CAP),"",$C318+I$6-MIN(($D318+I$5),PERMANENT_FIELD_LABOR_HOURS)*PERMANENT_HOURLY_RATE-MAX(0,($D318+I$5)-PERMANENT_FIELD_LABOR_HOURS)*TEMP_HOURLY_RATE-FIXED_SEASON_COST)</f>
        <v>12442.1118610264</v>
      </c>
      <c r="J318" s="53" t="n">
        <f aca="false">IF(OR($A318&gt;TOMATO_BED_CAP,$B318&gt;CARROT_BED_CAP,J$4&gt;MESCLUN_BED_CAP,$A318+$B318+J$4&gt;TOTAL_BEDS_AVAILABLE,($D318+J$5)&gt;TOTAL_LABOR_HOURS_CAP,MAX(0,($D318+J$5)-PERMANENT_FIELD_LABOR_HOURS)&gt;TEMP_HOURS_CAP),"",$C318+J$6-MIN(($D318+J$5),PERMANENT_FIELD_LABOR_HOURS)*PERMANENT_HOURLY_RATE-MAX(0,($D318+J$5)-PERMANENT_FIELD_LABOR_HOURS)*TEMP_HOURLY_RATE-FIXED_SEASON_COST)</f>
        <v>13410.7060120811</v>
      </c>
      <c r="K318" s="53" t="n">
        <f aca="false">IF(OR($A318&gt;TOMATO_BED_CAP,$B318&gt;CARROT_BED_CAP,K$4&gt;MESCLUN_BED_CAP,$A318+$B318+K$4&gt;TOTAL_BEDS_AVAILABLE,($D318+K$5)&gt;TOTAL_LABOR_HOURS_CAP,MAX(0,($D318+K$5)-PERMANENT_FIELD_LABOR_HOURS)&gt;TEMP_HOURS_CAP),"",$C318+K$6-MIN(($D318+K$5),PERMANENT_FIELD_LABOR_HOURS)*PERMANENT_HOURLY_RATE-MAX(0,($D318+K$5)-PERMANENT_FIELD_LABOR_HOURS)*TEMP_HOURLY_RATE-FIXED_SEASON_COST)</f>
        <v>14358.395108809</v>
      </c>
      <c r="L318" s="53" t="n">
        <f aca="false">IF(OR($A318&gt;TOMATO_BED_CAP,$B318&gt;CARROT_BED_CAP,L$4&gt;MESCLUN_BED_CAP,$A318+$B318+L$4&gt;TOTAL_BEDS_AVAILABLE,($D318+L$5)&gt;TOTAL_LABOR_HOURS_CAP,MAX(0,($D318+L$5)-PERMANENT_FIELD_LABOR_HOURS)&gt;TEMP_HOURS_CAP),"",$C318+L$6-MIN(($D318+L$5),PERMANENT_FIELD_LABOR_HOURS)*PERMANENT_HOURLY_RATE-MAX(0,($D318+L$5)-PERMANENT_FIELD_LABOR_HOURS)*TEMP_HOURLY_RATE-FIXED_SEASON_COST)</f>
        <v>15284.7895570158</v>
      </c>
      <c r="M318" s="53" t="n">
        <f aca="false">IF(OR($A318&gt;TOMATO_BED_CAP,$B318&gt;CARROT_BED_CAP,M$4&gt;MESCLUN_BED_CAP,$A318+$B318+M$4&gt;TOTAL_BEDS_AVAILABLE,($D318+M$5)&gt;TOTAL_LABOR_HOURS_CAP,MAX(0,($D318+M$5)-PERMANENT_FIELD_LABOR_HOURS)&gt;TEMP_HOURS_CAP),"",$C318+M$6-MIN(($D318+M$5),PERMANENT_FIELD_LABOR_HOURS)*PERMANENT_HOURLY_RATE-MAX(0,($D318+M$5)-PERMANENT_FIELD_LABOR_HOURS)*TEMP_HOURLY_RATE-FIXED_SEASON_COST)</f>
        <v>16189.4932890672</v>
      </c>
      <c r="N318" s="53" t="n">
        <f aca="false">IF(OR($A318&gt;TOMATO_BED_CAP,$B318&gt;CARROT_BED_CAP,N$4&gt;MESCLUN_BED_CAP,$A318+$B318+N$4&gt;TOTAL_BEDS_AVAILABLE,($D318+N$5)&gt;TOTAL_LABOR_HOURS_CAP,MAX(0,($D318+N$5)-PERMANENT_FIELD_LABOR_HOURS)&gt;TEMP_HOURS_CAP),"",$C318+N$6-MIN(($D318+N$5),PERMANENT_FIELD_LABOR_HOURS)*PERMANENT_HOURLY_RATE-MAX(0,($D318+N$5)-PERMANENT_FIELD_LABOR_HOURS)*TEMP_HOURLY_RATE-FIXED_SEASON_COST)</f>
        <v>17072.1036629268</v>
      </c>
      <c r="O318" s="53" t="n">
        <f aca="false">IF(OR($A318&gt;TOMATO_BED_CAP,$B318&gt;CARROT_BED_CAP,O$4&gt;MESCLUN_BED_CAP,$A318+$B318+O$4&gt;TOTAL_BEDS_AVAILABLE,($D318+O$5)&gt;TOTAL_LABOR_HOURS_CAP,MAX(0,($D318+O$5)-PERMANENT_FIELD_LABOR_HOURS)&gt;TEMP_HOURS_CAP),"",$C318+O$6-MIN(($D318+O$5),PERMANENT_FIELD_LABOR_HOURS)*PERMANENT_HOURLY_RATE-MAX(0,($D318+O$5)-PERMANENT_FIELD_LABOR_HOURS)*TEMP_HOURLY_RATE-FIXED_SEASON_COST)</f>
        <v>17932.2113596815</v>
      </c>
      <c r="P318" s="53" t="n">
        <f aca="false">IF(OR($A318&gt;TOMATO_BED_CAP,$B318&gt;CARROT_BED_CAP,P$4&gt;MESCLUN_BED_CAP,$A318+$B318+P$4&gt;TOTAL_BEDS_AVAILABLE,($D318+P$5)&gt;TOTAL_LABOR_HOURS_CAP,MAX(0,($D318+P$5)-PERMANENT_FIELD_LABOR_HOURS)&gt;TEMP_HOURS_CAP),"",$C318+P$6-MIN(($D318+P$5),PERMANENT_FIELD_LABOR_HOURS)*PERMANENT_HOURLY_RATE-MAX(0,($D318+P$5)-PERMANENT_FIELD_LABOR_HOURS)*TEMP_HOURLY_RATE-FIXED_SEASON_COST)</f>
        <v>18769.4002795329</v>
      </c>
      <c r="Q318" s="53" t="n">
        <f aca="false">IF(OR($A318&gt;TOMATO_BED_CAP,$B318&gt;CARROT_BED_CAP,Q$4&gt;MESCLUN_BED_CAP,$A318+$B318+Q$4&gt;TOTAL_BEDS_AVAILABLE,($D318+Q$5)&gt;TOTAL_LABOR_HOURS_CAP,MAX(0,($D318+Q$5)-PERMANENT_FIELD_LABOR_HOURS)&gt;TEMP_HOURS_CAP),"",$C318+Q$6-MIN(($D318+Q$5),PERMANENT_FIELD_LABOR_HOURS)*PERMANENT_HOURLY_RATE-MAX(0,($D318+Q$5)-PERMANENT_FIELD_LABOR_HOURS)*TEMP_HOURLY_RATE-FIXED_SEASON_COST)</f>
        <v>19583.2474362308</v>
      </c>
      <c r="R318" s="53" t="n">
        <f aca="false">IF(OR($A318&gt;TOMATO_BED_CAP,$B318&gt;CARROT_BED_CAP,R$4&gt;MESCLUN_BED_CAP,$A318+$B318+R$4&gt;TOTAL_BEDS_AVAILABLE,($D318+R$5)&gt;TOTAL_LABOR_HOURS_CAP,MAX(0,($D318+R$5)-PERMANENT_FIELD_LABOR_HOURS)&gt;TEMP_HOURS_CAP),"",$C318+R$6-MIN(($D318+R$5),PERMANENT_FIELD_LABOR_HOURS)*PERMANENT_HOURLY_RATE-MAX(0,($D318+R$5)-PERMANENT_FIELD_LABOR_HOURS)*TEMP_HOURLY_RATE-FIXED_SEASON_COST)</f>
        <v>20373.3228499276</v>
      </c>
      <c r="S318" s="53" t="n">
        <f aca="false">IF(OR($A318&gt;TOMATO_BED_CAP,$B318&gt;CARROT_BED_CAP,S$4&gt;MESCLUN_BED_CAP,$A318+$B318+S$4&gt;TOTAL_BEDS_AVAILABLE,($D318+S$5)&gt;TOTAL_LABOR_HOURS_CAP,MAX(0,($D318+S$5)-PERMANENT_FIELD_LABOR_HOURS)&gt;TEMP_HOURS_CAP),"",$C318+S$6-MIN(($D318+S$5),PERMANENT_FIELD_LABOR_HOURS)*PERMANENT_HOURLY_RATE-MAX(0,($D318+S$5)-PERMANENT_FIELD_LABOR_HOURS)*TEMP_HOURLY_RATE-FIXED_SEASON_COST)</f>
        <v>21139.1894384301</v>
      </c>
      <c r="T318" s="53" t="n">
        <f aca="false">IF(OR($A318&gt;TOMATO_BED_CAP,$B318&gt;CARROT_BED_CAP,T$4&gt;MESCLUN_BED_CAP,$A318+$B318+T$4&gt;TOTAL_BEDS_AVAILABLE,($D318+T$5)&gt;TOTAL_LABOR_HOURS_CAP,MAX(0,($D318+T$5)-PERMANENT_FIELD_LABOR_HOURS)&gt;TEMP_HOURS_CAP),"",$C318+T$6-MIN(($D318+T$5),PERMANENT_FIELD_LABOR_HOURS)*PERMANENT_HOURLY_RATE-MAX(0,($D318+T$5)-PERMANENT_FIELD_LABOR_HOURS)*TEMP_HOURLY_RATE-FIXED_SEASON_COST)</f>
        <v>21880.4029068249</v>
      </c>
      <c r="U318" s="53" t="n">
        <f aca="false">IF(OR($A318&gt;TOMATO_BED_CAP,$B318&gt;CARROT_BED_CAP,U$4&gt;MESCLUN_BED_CAP,$A318+$B318+U$4&gt;TOTAL_BEDS_AVAILABLE,($D318+U$5)&gt;TOTAL_LABOR_HOURS_CAP,MAX(0,($D318+U$5)-PERMANENT_FIELD_LABOR_HOURS)&gt;TEMP_HOURS_CAP),"",$C318+U$6-MIN(($D318+U$5),PERMANENT_FIELD_LABOR_HOURS)*PERMANENT_HOURLY_RATE-MAX(0,($D318+U$5)-PERMANENT_FIELD_LABOR_HOURS)*TEMP_HOURLY_RATE-FIXED_SEASON_COST)</f>
        <v>22596.511635455</v>
      </c>
      <c r="V318" s="53" t="n">
        <f aca="false">IF(OR($A318&gt;TOMATO_BED_CAP,$B318&gt;CARROT_BED_CAP,V$4&gt;MESCLUN_BED_CAP,$A318+$B318+V$4&gt;TOTAL_BEDS_AVAILABLE,($D318+V$5)&gt;TOTAL_LABOR_HOURS_CAP,MAX(0,($D318+V$5)-PERMANENT_FIELD_LABOR_HOURS)&gt;TEMP_HOURS_CAP),"",$C318+V$6-MIN(($D318+V$5),PERMANENT_FIELD_LABOR_HOURS)*PERMANENT_HOURLY_RATE-MAX(0,($D318+V$5)-PERMANENT_FIELD_LABOR_HOURS)*TEMP_HOURLY_RATE-FIXED_SEASON_COST)</f>
        <v>23287.0565662218</v>
      </c>
      <c r="W318" s="53" t="n">
        <f aca="false">IF(OR($A318&gt;TOMATO_BED_CAP,$B318&gt;CARROT_BED_CAP,W$4&gt;MESCLUN_BED_CAP,$A318+$B318+W$4&gt;TOTAL_BEDS_AVAILABLE,($D318+W$5)&gt;TOTAL_LABOR_HOURS_CAP,MAX(0,($D318+W$5)-PERMANENT_FIELD_LABOR_HOURS)&gt;TEMP_HOURS_CAP),"",$C318+W$6-MIN(($D318+W$5),PERMANENT_FIELD_LABOR_HOURS)*PERMANENT_HOURLY_RATE-MAX(0,($D318+W$5)-PERMANENT_FIELD_LABOR_HOURS)*TEMP_HOURLY_RATE-FIXED_SEASON_COST)</f>
        <v>23951.5710871899</v>
      </c>
      <c r="X318" s="53" t="str">
        <f aca="false">IF(OR($A318&gt;TOMATO_BED_CAP,$B318&gt;CARROT_BED_CAP,X$4&gt;MESCLUN_BED_CAP,$A318+$B318+X$4&gt;TOTAL_BEDS_AVAILABLE,($D318+X$5)&gt;TOTAL_LABOR_HOURS_CAP,MAX(0,($D318+X$5)-PERMANENT_FIELD_LABOR_HOURS)&gt;TEMP_HOURS_CAP),"",$C318+X$6-MIN(($D318+X$5),PERMANENT_FIELD_LABOR_HOURS)*PERMANENT_HOURLY_RATE-MAX(0,($D318+X$5)-PERMANENT_FIELD_LABOR_HOURS)*TEMP_HOURLY_RATE-FIXED_SEASON_COST)</f>
        <v/>
      </c>
      <c r="Y318" s="53" t="str">
        <f aca="false">IF(OR($A318&gt;TOMATO_BED_CAP,$B318&gt;CARROT_BED_CAP,Y$4&gt;MESCLUN_BED_CAP,$A318+$B318+Y$4&gt;TOTAL_BEDS_AVAILABLE,($D318+Y$5)&gt;TOTAL_LABOR_HOURS_CAP,MAX(0,($D318+Y$5)-PERMANENT_FIELD_LABOR_HOURS)&gt;TEMP_HOURS_CAP),"",$C318+Y$6-MIN(($D318+Y$5),PERMANENT_FIELD_LABOR_HOURS)*PERMANENT_HOURLY_RATE-MAX(0,($D318+Y$5)-PERMANENT_FIELD_LABOR_HOURS)*TEMP_HOURLY_RATE-FIXED_SEASON_COST)</f>
        <v/>
      </c>
      <c r="Z318" s="53" t="str">
        <f aca="false">IF(OR($A318&gt;TOMATO_BED_CAP,$B318&gt;CARROT_BED_CAP,Z$4&gt;MESCLUN_BED_CAP,$A318+$B318+Z$4&gt;TOTAL_BEDS_AVAILABLE,($D318+Z$5)&gt;TOTAL_LABOR_HOURS_CAP,MAX(0,($D318+Z$5)-PERMANENT_FIELD_LABOR_HOURS)&gt;TEMP_HOURS_CAP),"",$C318+Z$6-MIN(($D318+Z$5),PERMANENT_FIELD_LABOR_HOURS)*PERMANENT_HOURLY_RATE-MAX(0,($D318+Z$5)-PERMANENT_FIELD_LABOR_HOURS)*TEMP_HOURLY_RATE-FIXED_SEASON_COST)</f>
        <v/>
      </c>
      <c r="AA318" s="53" t="str">
        <f aca="false">IF(OR($A318&gt;TOMATO_BED_CAP,$B318&gt;CARROT_BED_CAP,AA$4&gt;MESCLUN_BED_CAP,$A318+$B318+AA$4&gt;TOTAL_BEDS_AVAILABLE,($D318+AA$5)&gt;TOTAL_LABOR_HOURS_CAP,MAX(0,($D318+AA$5)-PERMANENT_FIELD_LABOR_HOURS)&gt;TEMP_HOURS_CAP),"",$C318+AA$6-MIN(($D318+AA$5),PERMANENT_FIELD_LABOR_HOURS)*PERMANENT_HOURLY_RATE-MAX(0,($D318+AA$5)-PERMANENT_FIELD_LABOR_HOURS)*TEMP_HOURLY_RATE-FIXED_SEASON_COST)</f>
        <v/>
      </c>
      <c r="AB318" s="53" t="str">
        <f aca="false">IF(OR($A318&gt;TOMATO_BED_CAP,$B318&gt;CARROT_BED_CAP,AB$4&gt;MESCLUN_BED_CAP,$A318+$B318+AB$4&gt;TOTAL_BEDS_AVAILABLE,($D318+AB$5)&gt;TOTAL_LABOR_HOURS_CAP,MAX(0,($D318+AB$5)-PERMANENT_FIELD_LABOR_HOURS)&gt;TEMP_HOURS_CAP),"",$C318+AB$6-MIN(($D318+AB$5),PERMANENT_FIELD_LABOR_HOURS)*PERMANENT_HOURLY_RATE-MAX(0,($D318+AB$5)-PERMANENT_FIELD_LABOR_HOURS)*TEMP_HOURLY_RATE-FIXED_SEASON_COST)</f>
        <v/>
      </c>
      <c r="AC318" s="53" t="str">
        <f aca="false">IF(OR($A318&gt;TOMATO_BED_CAP,$B318&gt;CARROT_BED_CAP,AC$4&gt;MESCLUN_BED_CAP,$A318+$B318+AC$4&gt;TOTAL_BEDS_AVAILABLE,($D318+AC$5)&gt;TOTAL_LABOR_HOURS_CAP,MAX(0,($D318+AC$5)-PERMANENT_FIELD_LABOR_HOURS)&gt;TEMP_HOURS_CAP),"",$C318+AC$6-MIN(($D318+AC$5),PERMANENT_FIELD_LABOR_HOURS)*PERMANENT_HOURLY_RATE-MAX(0,($D318+AC$5)-PERMANENT_FIELD_LABOR_HOURS)*TEMP_HOURLY_RATE-FIXED_SEASON_COST)</f>
        <v/>
      </c>
      <c r="AD318" s="53" t="str">
        <f aca="false">IF(OR($A318&gt;TOMATO_BED_CAP,$B318&gt;CARROT_BED_CAP,AD$4&gt;MESCLUN_BED_CAP,$A318+$B318+AD$4&gt;TOTAL_BEDS_AVAILABLE,($D318+AD$5)&gt;TOTAL_LABOR_HOURS_CAP,MAX(0,($D318+AD$5)-PERMANENT_FIELD_LABOR_HOURS)&gt;TEMP_HOURS_CAP),"",$C318+AD$6-MIN(($D318+AD$5),PERMANENT_FIELD_LABOR_HOURS)*PERMANENT_HOURLY_RATE-MAX(0,($D318+AD$5)-PERMANENT_FIELD_LABOR_HOURS)*TEMP_HOURLY_RATE-FIXED_SEASON_COST)</f>
        <v/>
      </c>
      <c r="AE318" s="53" t="str">
        <f aca="false">IF(OR($A318&gt;TOMATO_BED_CAP,$B318&gt;CARROT_BED_CAP,AE$4&gt;MESCLUN_BED_CAP,$A318+$B318+AE$4&gt;TOTAL_BEDS_AVAILABLE,($D318+AE$5)&gt;TOTAL_LABOR_HOURS_CAP,MAX(0,($D318+AE$5)-PERMANENT_FIELD_LABOR_HOURS)&gt;TEMP_HOURS_CAP),"",$C318+AE$6-MIN(($D318+AE$5),PERMANENT_FIELD_LABOR_HOURS)*PERMANENT_HOURLY_RATE-MAX(0,($D318+AE$5)-PERMANENT_FIELD_LABOR_HOURS)*TEMP_HOURLY_RATE-FIXED_SEASON_COST)</f>
        <v/>
      </c>
      <c r="AF318" s="53" t="str">
        <f aca="false">IF(OR($A318&gt;TOMATO_BED_CAP,$B318&gt;CARROT_BED_CAP,AF$4&gt;MESCLUN_BED_CAP,$A318+$B318+AF$4&gt;TOTAL_BEDS_AVAILABLE,($D318+AF$5)&gt;TOTAL_LABOR_HOURS_CAP,MAX(0,($D318+AF$5)-PERMANENT_FIELD_LABOR_HOURS)&gt;TEMP_HOURS_CAP),"",$C318+AF$6-MIN(($D318+AF$5),PERMANENT_FIELD_LABOR_HOURS)*PERMANENT_HOURLY_RATE-MAX(0,($D318+AF$5)-PERMANENT_FIELD_LABOR_HOURS)*TEMP_HOURLY_RATE-FIXED_SEASON_COST)</f>
        <v/>
      </c>
      <c r="AG318" s="53" t="str">
        <f aca="false">IF(OR($A318&gt;TOMATO_BED_CAP,$B318&gt;CARROT_BED_CAP,AG$4&gt;MESCLUN_BED_CAP,$A318+$B318+AG$4&gt;TOTAL_BEDS_AVAILABLE,($D318+AG$5)&gt;TOTAL_LABOR_HOURS_CAP,MAX(0,($D318+AG$5)-PERMANENT_FIELD_LABOR_HOURS)&gt;TEMP_HOURS_CAP),"",$C318+AG$6-MIN(($D318+AG$5),PERMANENT_FIELD_LABOR_HOURS)*PERMANENT_HOURLY_RATE-MAX(0,($D318+AG$5)-PERMANENT_FIELD_LABOR_HOURS)*TEMP_HOURLY_RATE-FIXED_SEASON_COST)</f>
        <v/>
      </c>
      <c r="AH318" s="53" t="str">
        <f aca="false">IF(OR($A318&gt;TOMATO_BED_CAP,$B318&gt;CARROT_BED_CAP,AH$4&gt;MESCLUN_BED_CAP,$A318+$B318+AH$4&gt;TOTAL_BEDS_AVAILABLE,($D318+AH$5)&gt;TOTAL_LABOR_HOURS_CAP,MAX(0,($D318+AH$5)-PERMANENT_FIELD_LABOR_HOURS)&gt;TEMP_HOURS_CAP),"",$C318+AH$6-MIN(($D318+AH$5),PERMANENT_FIELD_LABOR_HOURS)*PERMANENT_HOURLY_RATE-MAX(0,($D318+AH$5)-PERMANENT_FIELD_LABOR_HOURS)*TEMP_HOURLY_RATE-FIXED_SEASON_COST)</f>
        <v/>
      </c>
      <c r="AI318" s="53" t="str">
        <f aca="false">IF(OR($A318&gt;TOMATO_BED_CAP,$B318&gt;CARROT_BED_CAP,AI$4&gt;MESCLUN_BED_CAP,$A318+$B318+AI$4&gt;TOTAL_BEDS_AVAILABLE,($D318+AI$5)&gt;TOTAL_LABOR_HOURS_CAP,MAX(0,($D318+AI$5)-PERMANENT_FIELD_LABOR_HOURS)&gt;TEMP_HOURS_CAP),"",$C318+AI$6-MIN(($D318+AI$5),PERMANENT_FIELD_LABOR_HOURS)*PERMANENT_HOURLY_RATE-MAX(0,($D318+AI$5)-PERMANENT_FIELD_LABOR_HOURS)*TEMP_HOURLY_RATE-FIXED_SEASON_COST)</f>
        <v/>
      </c>
      <c r="AJ318" s="53" t="str">
        <f aca="false">IF(OR($A318&gt;TOMATO_BED_CAP,$B318&gt;CARROT_BED_CAP,AJ$4&gt;MESCLUN_BED_CAP,$A318+$B318+AJ$4&gt;TOTAL_BEDS_AVAILABLE,($D318+AJ$5)&gt;TOTAL_LABOR_HOURS_CAP,MAX(0,($D318+AJ$5)-PERMANENT_FIELD_LABOR_HOURS)&gt;TEMP_HOURS_CAP),"",$C318+AJ$6-MIN(($D318+AJ$5),PERMANENT_FIELD_LABOR_HOURS)*PERMANENT_HOURLY_RATE-MAX(0,($D318+AJ$5)-PERMANENT_FIELD_LABOR_HOURS)*TEMP_HOURLY_RATE-FIXED_SEASON_COST)</f>
        <v/>
      </c>
    </row>
    <row r="319" customFormat="false" ht="15" hidden="false" customHeight="false" outlineLevel="0" collapsed="false">
      <c r="A319" s="21" t="n">
        <f aca="false">INT((ROW()-ROW($A$8))/(20+1))</f>
        <v>14</v>
      </c>
      <c r="B319" s="21" t="n">
        <f aca="false">MOD(ROW()-ROW($A$8),20+1)</f>
        <v>17</v>
      </c>
      <c r="C319" s="13" t="n">
        <f aca="false">A319*(TOMATO_REVENUE_PER_BED-TOMATO_FERTILIZER_PER_BED)+B319*(CARROT_REVENUE_PER_BED-CARROT_FERTILIZER_PER_BED)</f>
        <v>138998</v>
      </c>
      <c r="D319" s="14" t="n">
        <f aca="false">INDEX(TOMATO_SCHED_LABOR_HRS,A319+1)+INDEX(CARROT_SCHED_LABOR_HRS,B319+1)</f>
        <v>5560.56280622387</v>
      </c>
      <c r="E319" s="13" t="n">
        <f aca="false">IF(COUNT(F319:AJ319)=0,"",MAX(F319:AJ319))</f>
        <v>23839.7862493053</v>
      </c>
      <c r="F319" s="53" t="n">
        <f aca="false">IF(OR($A319&gt;TOMATO_BED_CAP,$B319&gt;CARROT_BED_CAP,F$4&gt;MESCLUN_BED_CAP,$A319+$B319+F$4&gt;TOTAL_BEDS_AVAILABLE,($D319+F$5)&gt;TOTAL_LABOR_HOURS_CAP,MAX(0,($D319+F$5)-PERMANENT_FIELD_LABOR_HOURS)&gt;TEMP_HOURS_CAP),"",$C319+F$6-MIN(($D319+F$5),PERMANENT_FIELD_LABOR_HOURS)*PERMANENT_HOURLY_RATE-MAX(0,($D319+F$5)-PERMANENT_FIELD_LABOR_HOURS)*TEMP_HOURLY_RATE-FIXED_SEASON_COST)</f>
        <v>9967.42968395361</v>
      </c>
      <c r="G319" s="53" t="n">
        <f aca="false">IF(OR($A319&gt;TOMATO_BED_CAP,$B319&gt;CARROT_BED_CAP,G$4&gt;MESCLUN_BED_CAP,$A319+$B319+G$4&gt;TOTAL_BEDS_AVAILABLE,($D319+G$5)&gt;TOTAL_LABOR_HOURS_CAP,MAX(0,($D319+G$5)-PERMANENT_FIELD_LABOR_HOURS)&gt;TEMP_HOURS_CAP),"",$C319+G$6-MIN(($D319+G$5),PERMANENT_FIELD_LABOR_HOURS)*PERMANENT_HOURLY_RATE-MAX(0,($D319+G$5)-PERMANENT_FIELD_LABOR_HOURS)*TEMP_HOURLY_RATE-FIXED_SEASON_COST)</f>
        <v>10996.4646839536</v>
      </c>
      <c r="H319" s="53" t="n">
        <f aca="false">IF(OR($A319&gt;TOMATO_BED_CAP,$B319&gt;CARROT_BED_CAP,H$4&gt;MESCLUN_BED_CAP,$A319+$B319+H$4&gt;TOTAL_BEDS_AVAILABLE,($D319+H$5)&gt;TOTAL_LABOR_HOURS_CAP,MAX(0,($D319+H$5)-PERMANENT_FIELD_LABOR_HOURS)&gt;TEMP_HOURS_CAP),"",$C319+H$6-MIN(($D319+H$5),PERMANENT_FIELD_LABOR_HOURS)*PERMANENT_HOURLY_RATE-MAX(0,($D319+H$5)-PERMANENT_FIELD_LABOR_HOURS)*TEMP_HOURLY_RATE-FIXED_SEASON_COST)</f>
        <v>12005.7255589536</v>
      </c>
      <c r="I319" s="53" t="n">
        <f aca="false">IF(OR($A319&gt;TOMATO_BED_CAP,$B319&gt;CARROT_BED_CAP,I$4&gt;MESCLUN_BED_CAP,$A319+$B319+I$4&gt;TOTAL_BEDS_AVAILABLE,($D319+I$5)&gt;TOTAL_LABOR_HOURS_CAP,MAX(0,($D319+I$5)-PERMANENT_FIELD_LABOR_HOURS)&gt;TEMP_HOURS_CAP),"",$C319+I$6-MIN(($D319+I$5),PERMANENT_FIELD_LABOR_HOURS)*PERMANENT_HOURLY_RATE-MAX(0,($D319+I$5)-PERMANENT_FIELD_LABOR_HOURS)*TEMP_HOURLY_RATE-FIXED_SEASON_COST)</f>
        <v>12994.8415441098</v>
      </c>
      <c r="J319" s="53" t="n">
        <f aca="false">IF(OR($A319&gt;TOMATO_BED_CAP,$B319&gt;CARROT_BED_CAP,J$4&gt;MESCLUN_BED_CAP,$A319+$B319+J$4&gt;TOTAL_BEDS_AVAILABLE,($D319+J$5)&gt;TOTAL_LABOR_HOURS_CAP,MAX(0,($D319+J$5)-PERMANENT_FIELD_LABOR_HOURS)&gt;TEMP_HOURS_CAP),"",$C319+J$6-MIN(($D319+J$5),PERMANENT_FIELD_LABOR_HOURS)*PERMANENT_HOURLY_RATE-MAX(0,($D319+J$5)-PERMANENT_FIELD_LABOR_HOURS)*TEMP_HOURLY_RATE-FIXED_SEASON_COST)</f>
        <v>13963.4356951645</v>
      </c>
      <c r="K319" s="53" t="n">
        <f aca="false">IF(OR($A319&gt;TOMATO_BED_CAP,$B319&gt;CARROT_BED_CAP,K$4&gt;MESCLUN_BED_CAP,$A319+$B319+K$4&gt;TOTAL_BEDS_AVAILABLE,($D319+K$5)&gt;TOTAL_LABOR_HOURS_CAP,MAX(0,($D319+K$5)-PERMANENT_FIELD_LABOR_HOURS)&gt;TEMP_HOURS_CAP),"",$C319+K$6-MIN(($D319+K$5),PERMANENT_FIELD_LABOR_HOURS)*PERMANENT_HOURLY_RATE-MAX(0,($D319+K$5)-PERMANENT_FIELD_LABOR_HOURS)*TEMP_HOURLY_RATE-FIXED_SEASON_COST)</f>
        <v>14911.1247918925</v>
      </c>
      <c r="L319" s="53" t="n">
        <f aca="false">IF(OR($A319&gt;TOMATO_BED_CAP,$B319&gt;CARROT_BED_CAP,L$4&gt;MESCLUN_BED_CAP,$A319+$B319+L$4&gt;TOTAL_BEDS_AVAILABLE,($D319+L$5)&gt;TOTAL_LABOR_HOURS_CAP,MAX(0,($D319+L$5)-PERMANENT_FIELD_LABOR_HOURS)&gt;TEMP_HOURS_CAP),"",$C319+L$6-MIN(($D319+L$5),PERMANENT_FIELD_LABOR_HOURS)*PERMANENT_HOURLY_RATE-MAX(0,($D319+L$5)-PERMANENT_FIELD_LABOR_HOURS)*TEMP_HOURLY_RATE-FIXED_SEASON_COST)</f>
        <v>15837.5192400993</v>
      </c>
      <c r="M319" s="53" t="n">
        <f aca="false">IF(OR($A319&gt;TOMATO_BED_CAP,$B319&gt;CARROT_BED_CAP,M$4&gt;MESCLUN_BED_CAP,$A319+$B319+M$4&gt;TOTAL_BEDS_AVAILABLE,($D319+M$5)&gt;TOTAL_LABOR_HOURS_CAP,MAX(0,($D319+M$5)-PERMANENT_FIELD_LABOR_HOURS)&gt;TEMP_HOURS_CAP),"",$C319+M$6-MIN(($D319+M$5),PERMANENT_FIELD_LABOR_HOURS)*PERMANENT_HOURLY_RATE-MAX(0,($D319+M$5)-PERMANENT_FIELD_LABOR_HOURS)*TEMP_HOURLY_RATE-FIXED_SEASON_COST)</f>
        <v>16742.2229721507</v>
      </c>
      <c r="N319" s="53" t="n">
        <f aca="false">IF(OR($A319&gt;TOMATO_BED_CAP,$B319&gt;CARROT_BED_CAP,N$4&gt;MESCLUN_BED_CAP,$A319+$B319+N$4&gt;TOTAL_BEDS_AVAILABLE,($D319+N$5)&gt;TOTAL_LABOR_HOURS_CAP,MAX(0,($D319+N$5)-PERMANENT_FIELD_LABOR_HOURS)&gt;TEMP_HOURS_CAP),"",$C319+N$6-MIN(($D319+N$5),PERMANENT_FIELD_LABOR_HOURS)*PERMANENT_HOURLY_RATE-MAX(0,($D319+N$5)-PERMANENT_FIELD_LABOR_HOURS)*TEMP_HOURLY_RATE-FIXED_SEASON_COST)</f>
        <v>17624.8333460103</v>
      </c>
      <c r="O319" s="53" t="n">
        <f aca="false">IF(OR($A319&gt;TOMATO_BED_CAP,$B319&gt;CARROT_BED_CAP,O$4&gt;MESCLUN_BED_CAP,$A319+$B319+O$4&gt;TOTAL_BEDS_AVAILABLE,($D319+O$5)&gt;TOTAL_LABOR_HOURS_CAP,MAX(0,($D319+O$5)-PERMANENT_FIELD_LABOR_HOURS)&gt;TEMP_HOURS_CAP),"",$C319+O$6-MIN(($D319+O$5),PERMANENT_FIELD_LABOR_HOURS)*PERMANENT_HOURLY_RATE-MAX(0,($D319+O$5)-PERMANENT_FIELD_LABOR_HOURS)*TEMP_HOURLY_RATE-FIXED_SEASON_COST)</f>
        <v>18484.941042765</v>
      </c>
      <c r="P319" s="53" t="n">
        <f aca="false">IF(OR($A319&gt;TOMATO_BED_CAP,$B319&gt;CARROT_BED_CAP,P$4&gt;MESCLUN_BED_CAP,$A319+$B319+P$4&gt;TOTAL_BEDS_AVAILABLE,($D319+P$5)&gt;TOTAL_LABOR_HOURS_CAP,MAX(0,($D319+P$5)-PERMANENT_FIELD_LABOR_HOURS)&gt;TEMP_HOURS_CAP),"",$C319+P$6-MIN(($D319+P$5),PERMANENT_FIELD_LABOR_HOURS)*PERMANENT_HOURLY_RATE-MAX(0,($D319+P$5)-PERMANENT_FIELD_LABOR_HOURS)*TEMP_HOURLY_RATE-FIXED_SEASON_COST)</f>
        <v>19322.1299626164</v>
      </c>
      <c r="Q319" s="53" t="n">
        <f aca="false">IF(OR($A319&gt;TOMATO_BED_CAP,$B319&gt;CARROT_BED_CAP,Q$4&gt;MESCLUN_BED_CAP,$A319+$B319+Q$4&gt;TOTAL_BEDS_AVAILABLE,($D319+Q$5)&gt;TOTAL_LABOR_HOURS_CAP,MAX(0,($D319+Q$5)-PERMANENT_FIELD_LABOR_HOURS)&gt;TEMP_HOURS_CAP),"",$C319+Q$6-MIN(($D319+Q$5),PERMANENT_FIELD_LABOR_HOURS)*PERMANENT_HOURLY_RATE-MAX(0,($D319+Q$5)-PERMANENT_FIELD_LABOR_HOURS)*TEMP_HOURLY_RATE-FIXED_SEASON_COST)</f>
        <v>20135.9771193143</v>
      </c>
      <c r="R319" s="53" t="n">
        <f aca="false">IF(OR($A319&gt;TOMATO_BED_CAP,$B319&gt;CARROT_BED_CAP,R$4&gt;MESCLUN_BED_CAP,$A319+$B319+R$4&gt;TOTAL_BEDS_AVAILABLE,($D319+R$5)&gt;TOTAL_LABOR_HOURS_CAP,MAX(0,($D319+R$5)-PERMANENT_FIELD_LABOR_HOURS)&gt;TEMP_HOURS_CAP),"",$C319+R$6-MIN(($D319+R$5),PERMANENT_FIELD_LABOR_HOURS)*PERMANENT_HOURLY_RATE-MAX(0,($D319+R$5)-PERMANENT_FIELD_LABOR_HOURS)*TEMP_HOURLY_RATE-FIXED_SEASON_COST)</f>
        <v>20926.0525330111</v>
      </c>
      <c r="S319" s="53" t="n">
        <f aca="false">IF(OR($A319&gt;TOMATO_BED_CAP,$B319&gt;CARROT_BED_CAP,S$4&gt;MESCLUN_BED_CAP,$A319+$B319+S$4&gt;TOTAL_BEDS_AVAILABLE,($D319+S$5)&gt;TOTAL_LABOR_HOURS_CAP,MAX(0,($D319+S$5)-PERMANENT_FIELD_LABOR_HOURS)&gt;TEMP_HOURS_CAP),"",$C319+S$6-MIN(($D319+S$5),PERMANENT_FIELD_LABOR_HOURS)*PERMANENT_HOURLY_RATE-MAX(0,($D319+S$5)-PERMANENT_FIELD_LABOR_HOURS)*TEMP_HOURLY_RATE-FIXED_SEASON_COST)</f>
        <v>21691.9191215136</v>
      </c>
      <c r="T319" s="53" t="n">
        <f aca="false">IF(OR($A319&gt;TOMATO_BED_CAP,$B319&gt;CARROT_BED_CAP,T$4&gt;MESCLUN_BED_CAP,$A319+$B319+T$4&gt;TOTAL_BEDS_AVAILABLE,($D319+T$5)&gt;TOTAL_LABOR_HOURS_CAP,MAX(0,($D319+T$5)-PERMANENT_FIELD_LABOR_HOURS)&gt;TEMP_HOURS_CAP),"",$C319+T$6-MIN(($D319+T$5),PERMANENT_FIELD_LABOR_HOURS)*PERMANENT_HOURLY_RATE-MAX(0,($D319+T$5)-PERMANENT_FIELD_LABOR_HOURS)*TEMP_HOURLY_RATE-FIXED_SEASON_COST)</f>
        <v>22433.1325899084</v>
      </c>
      <c r="U319" s="53" t="n">
        <f aca="false">IF(OR($A319&gt;TOMATO_BED_CAP,$B319&gt;CARROT_BED_CAP,U$4&gt;MESCLUN_BED_CAP,$A319+$B319+U$4&gt;TOTAL_BEDS_AVAILABLE,($D319+U$5)&gt;TOTAL_LABOR_HOURS_CAP,MAX(0,($D319+U$5)-PERMANENT_FIELD_LABOR_HOURS)&gt;TEMP_HOURS_CAP),"",$C319+U$6-MIN(($D319+U$5),PERMANENT_FIELD_LABOR_HOURS)*PERMANENT_HOURLY_RATE-MAX(0,($D319+U$5)-PERMANENT_FIELD_LABOR_HOURS)*TEMP_HOURLY_RATE-FIXED_SEASON_COST)</f>
        <v>23149.2413185385</v>
      </c>
      <c r="V319" s="53" t="n">
        <f aca="false">IF(OR($A319&gt;TOMATO_BED_CAP,$B319&gt;CARROT_BED_CAP,V$4&gt;MESCLUN_BED_CAP,$A319+$B319+V$4&gt;TOTAL_BEDS_AVAILABLE,($D319+V$5)&gt;TOTAL_LABOR_HOURS_CAP,MAX(0,($D319+V$5)-PERMANENT_FIELD_LABOR_HOURS)&gt;TEMP_HOURS_CAP),"",$C319+V$6-MIN(($D319+V$5),PERMANENT_FIELD_LABOR_HOURS)*PERMANENT_HOURLY_RATE-MAX(0,($D319+V$5)-PERMANENT_FIELD_LABOR_HOURS)*TEMP_HOURLY_RATE-FIXED_SEASON_COST)</f>
        <v>23839.7862493053</v>
      </c>
      <c r="W319" s="53" t="str">
        <f aca="false">IF(OR($A319&gt;TOMATO_BED_CAP,$B319&gt;CARROT_BED_CAP,W$4&gt;MESCLUN_BED_CAP,$A319+$B319+W$4&gt;TOTAL_BEDS_AVAILABLE,($D319+W$5)&gt;TOTAL_LABOR_HOURS_CAP,MAX(0,($D319+W$5)-PERMANENT_FIELD_LABOR_HOURS)&gt;TEMP_HOURS_CAP),"",$C319+W$6-MIN(($D319+W$5),PERMANENT_FIELD_LABOR_HOURS)*PERMANENT_HOURLY_RATE-MAX(0,($D319+W$5)-PERMANENT_FIELD_LABOR_HOURS)*TEMP_HOURLY_RATE-FIXED_SEASON_COST)</f>
        <v/>
      </c>
      <c r="X319" s="53" t="str">
        <f aca="false">IF(OR($A319&gt;TOMATO_BED_CAP,$B319&gt;CARROT_BED_CAP,X$4&gt;MESCLUN_BED_CAP,$A319+$B319+X$4&gt;TOTAL_BEDS_AVAILABLE,($D319+X$5)&gt;TOTAL_LABOR_HOURS_CAP,MAX(0,($D319+X$5)-PERMANENT_FIELD_LABOR_HOURS)&gt;TEMP_HOURS_CAP),"",$C319+X$6-MIN(($D319+X$5),PERMANENT_FIELD_LABOR_HOURS)*PERMANENT_HOURLY_RATE-MAX(0,($D319+X$5)-PERMANENT_FIELD_LABOR_HOURS)*TEMP_HOURLY_RATE-FIXED_SEASON_COST)</f>
        <v/>
      </c>
      <c r="Y319" s="53" t="str">
        <f aca="false">IF(OR($A319&gt;TOMATO_BED_CAP,$B319&gt;CARROT_BED_CAP,Y$4&gt;MESCLUN_BED_CAP,$A319+$B319+Y$4&gt;TOTAL_BEDS_AVAILABLE,($D319+Y$5)&gt;TOTAL_LABOR_HOURS_CAP,MAX(0,($D319+Y$5)-PERMANENT_FIELD_LABOR_HOURS)&gt;TEMP_HOURS_CAP),"",$C319+Y$6-MIN(($D319+Y$5),PERMANENT_FIELD_LABOR_HOURS)*PERMANENT_HOURLY_RATE-MAX(0,($D319+Y$5)-PERMANENT_FIELD_LABOR_HOURS)*TEMP_HOURLY_RATE-FIXED_SEASON_COST)</f>
        <v/>
      </c>
      <c r="Z319" s="53" t="str">
        <f aca="false">IF(OR($A319&gt;TOMATO_BED_CAP,$B319&gt;CARROT_BED_CAP,Z$4&gt;MESCLUN_BED_CAP,$A319+$B319+Z$4&gt;TOTAL_BEDS_AVAILABLE,($D319+Z$5)&gt;TOTAL_LABOR_HOURS_CAP,MAX(0,($D319+Z$5)-PERMANENT_FIELD_LABOR_HOURS)&gt;TEMP_HOURS_CAP),"",$C319+Z$6-MIN(($D319+Z$5),PERMANENT_FIELD_LABOR_HOURS)*PERMANENT_HOURLY_RATE-MAX(0,($D319+Z$5)-PERMANENT_FIELD_LABOR_HOURS)*TEMP_HOURLY_RATE-FIXED_SEASON_COST)</f>
        <v/>
      </c>
      <c r="AA319" s="53" t="str">
        <f aca="false">IF(OR($A319&gt;TOMATO_BED_CAP,$B319&gt;CARROT_BED_CAP,AA$4&gt;MESCLUN_BED_CAP,$A319+$B319+AA$4&gt;TOTAL_BEDS_AVAILABLE,($D319+AA$5)&gt;TOTAL_LABOR_HOURS_CAP,MAX(0,($D319+AA$5)-PERMANENT_FIELD_LABOR_HOURS)&gt;TEMP_HOURS_CAP),"",$C319+AA$6-MIN(($D319+AA$5),PERMANENT_FIELD_LABOR_HOURS)*PERMANENT_HOURLY_RATE-MAX(0,($D319+AA$5)-PERMANENT_FIELD_LABOR_HOURS)*TEMP_HOURLY_RATE-FIXED_SEASON_COST)</f>
        <v/>
      </c>
      <c r="AB319" s="53" t="str">
        <f aca="false">IF(OR($A319&gt;TOMATO_BED_CAP,$B319&gt;CARROT_BED_CAP,AB$4&gt;MESCLUN_BED_CAP,$A319+$B319+AB$4&gt;TOTAL_BEDS_AVAILABLE,($D319+AB$5)&gt;TOTAL_LABOR_HOURS_CAP,MAX(0,($D319+AB$5)-PERMANENT_FIELD_LABOR_HOURS)&gt;TEMP_HOURS_CAP),"",$C319+AB$6-MIN(($D319+AB$5),PERMANENT_FIELD_LABOR_HOURS)*PERMANENT_HOURLY_RATE-MAX(0,($D319+AB$5)-PERMANENT_FIELD_LABOR_HOURS)*TEMP_HOURLY_RATE-FIXED_SEASON_COST)</f>
        <v/>
      </c>
      <c r="AC319" s="53" t="str">
        <f aca="false">IF(OR($A319&gt;TOMATO_BED_CAP,$B319&gt;CARROT_BED_CAP,AC$4&gt;MESCLUN_BED_CAP,$A319+$B319+AC$4&gt;TOTAL_BEDS_AVAILABLE,($D319+AC$5)&gt;TOTAL_LABOR_HOURS_CAP,MAX(0,($D319+AC$5)-PERMANENT_FIELD_LABOR_HOURS)&gt;TEMP_HOURS_CAP),"",$C319+AC$6-MIN(($D319+AC$5),PERMANENT_FIELD_LABOR_HOURS)*PERMANENT_HOURLY_RATE-MAX(0,($D319+AC$5)-PERMANENT_FIELD_LABOR_HOURS)*TEMP_HOURLY_RATE-FIXED_SEASON_COST)</f>
        <v/>
      </c>
      <c r="AD319" s="53" t="str">
        <f aca="false">IF(OR($A319&gt;TOMATO_BED_CAP,$B319&gt;CARROT_BED_CAP,AD$4&gt;MESCLUN_BED_CAP,$A319+$B319+AD$4&gt;TOTAL_BEDS_AVAILABLE,($D319+AD$5)&gt;TOTAL_LABOR_HOURS_CAP,MAX(0,($D319+AD$5)-PERMANENT_FIELD_LABOR_HOURS)&gt;TEMP_HOURS_CAP),"",$C319+AD$6-MIN(($D319+AD$5),PERMANENT_FIELD_LABOR_HOURS)*PERMANENT_HOURLY_RATE-MAX(0,($D319+AD$5)-PERMANENT_FIELD_LABOR_HOURS)*TEMP_HOURLY_RATE-FIXED_SEASON_COST)</f>
        <v/>
      </c>
      <c r="AE319" s="53" t="str">
        <f aca="false">IF(OR($A319&gt;TOMATO_BED_CAP,$B319&gt;CARROT_BED_CAP,AE$4&gt;MESCLUN_BED_CAP,$A319+$B319+AE$4&gt;TOTAL_BEDS_AVAILABLE,($D319+AE$5)&gt;TOTAL_LABOR_HOURS_CAP,MAX(0,($D319+AE$5)-PERMANENT_FIELD_LABOR_HOURS)&gt;TEMP_HOURS_CAP),"",$C319+AE$6-MIN(($D319+AE$5),PERMANENT_FIELD_LABOR_HOURS)*PERMANENT_HOURLY_RATE-MAX(0,($D319+AE$5)-PERMANENT_FIELD_LABOR_HOURS)*TEMP_HOURLY_RATE-FIXED_SEASON_COST)</f>
        <v/>
      </c>
      <c r="AF319" s="53" t="str">
        <f aca="false">IF(OR($A319&gt;TOMATO_BED_CAP,$B319&gt;CARROT_BED_CAP,AF$4&gt;MESCLUN_BED_CAP,$A319+$B319+AF$4&gt;TOTAL_BEDS_AVAILABLE,($D319+AF$5)&gt;TOTAL_LABOR_HOURS_CAP,MAX(0,($D319+AF$5)-PERMANENT_FIELD_LABOR_HOURS)&gt;TEMP_HOURS_CAP),"",$C319+AF$6-MIN(($D319+AF$5),PERMANENT_FIELD_LABOR_HOURS)*PERMANENT_HOURLY_RATE-MAX(0,($D319+AF$5)-PERMANENT_FIELD_LABOR_HOURS)*TEMP_HOURLY_RATE-FIXED_SEASON_COST)</f>
        <v/>
      </c>
      <c r="AG319" s="53" t="str">
        <f aca="false">IF(OR($A319&gt;TOMATO_BED_CAP,$B319&gt;CARROT_BED_CAP,AG$4&gt;MESCLUN_BED_CAP,$A319+$B319+AG$4&gt;TOTAL_BEDS_AVAILABLE,($D319+AG$5)&gt;TOTAL_LABOR_HOURS_CAP,MAX(0,($D319+AG$5)-PERMANENT_FIELD_LABOR_HOURS)&gt;TEMP_HOURS_CAP),"",$C319+AG$6-MIN(($D319+AG$5),PERMANENT_FIELD_LABOR_HOURS)*PERMANENT_HOURLY_RATE-MAX(0,($D319+AG$5)-PERMANENT_FIELD_LABOR_HOURS)*TEMP_HOURLY_RATE-FIXED_SEASON_COST)</f>
        <v/>
      </c>
      <c r="AH319" s="53" t="str">
        <f aca="false">IF(OR($A319&gt;TOMATO_BED_CAP,$B319&gt;CARROT_BED_CAP,AH$4&gt;MESCLUN_BED_CAP,$A319+$B319+AH$4&gt;TOTAL_BEDS_AVAILABLE,($D319+AH$5)&gt;TOTAL_LABOR_HOURS_CAP,MAX(0,($D319+AH$5)-PERMANENT_FIELD_LABOR_HOURS)&gt;TEMP_HOURS_CAP),"",$C319+AH$6-MIN(($D319+AH$5),PERMANENT_FIELD_LABOR_HOURS)*PERMANENT_HOURLY_RATE-MAX(0,($D319+AH$5)-PERMANENT_FIELD_LABOR_HOURS)*TEMP_HOURLY_RATE-FIXED_SEASON_COST)</f>
        <v/>
      </c>
      <c r="AI319" s="53" t="str">
        <f aca="false">IF(OR($A319&gt;TOMATO_BED_CAP,$B319&gt;CARROT_BED_CAP,AI$4&gt;MESCLUN_BED_CAP,$A319+$B319+AI$4&gt;TOTAL_BEDS_AVAILABLE,($D319+AI$5)&gt;TOTAL_LABOR_HOURS_CAP,MAX(0,($D319+AI$5)-PERMANENT_FIELD_LABOR_HOURS)&gt;TEMP_HOURS_CAP),"",$C319+AI$6-MIN(($D319+AI$5),PERMANENT_FIELD_LABOR_HOURS)*PERMANENT_HOURLY_RATE-MAX(0,($D319+AI$5)-PERMANENT_FIELD_LABOR_HOURS)*TEMP_HOURLY_RATE-FIXED_SEASON_COST)</f>
        <v/>
      </c>
      <c r="AJ319" s="53" t="str">
        <f aca="false">IF(OR($A319&gt;TOMATO_BED_CAP,$B319&gt;CARROT_BED_CAP,AJ$4&gt;MESCLUN_BED_CAP,$A319+$B319+AJ$4&gt;TOTAL_BEDS_AVAILABLE,($D319+AJ$5)&gt;TOTAL_LABOR_HOURS_CAP,MAX(0,($D319+AJ$5)-PERMANENT_FIELD_LABOR_HOURS)&gt;TEMP_HOURS_CAP),"",$C319+AJ$6-MIN(($D319+AJ$5),PERMANENT_FIELD_LABOR_HOURS)*PERMANENT_HOURLY_RATE-MAX(0,($D319+AJ$5)-PERMANENT_FIELD_LABOR_HOURS)*TEMP_HOURLY_RATE-FIXED_SEASON_COST)</f>
        <v/>
      </c>
    </row>
    <row r="320" customFormat="false" ht="15" hidden="false" customHeight="false" outlineLevel="0" collapsed="false">
      <c r="A320" s="21" t="n">
        <f aca="false">INT((ROW()-ROW($A$8))/(20+1))</f>
        <v>14</v>
      </c>
      <c r="B320" s="21" t="n">
        <f aca="false">MOD(ROW()-ROW($A$8),20+1)</f>
        <v>18</v>
      </c>
      <c r="C320" s="13" t="n">
        <f aca="false">A320*(TOMATO_REVENUE_PER_BED-TOMATO_FERTILIZER_PER_BED)+B320*(CARROT_REVENUE_PER_BED-CARROT_FERTILIZER_PER_BED)</f>
        <v>140652</v>
      </c>
      <c r="D320" s="14" t="n">
        <f aca="false">INDEX(TOMATO_SCHED_LABOR_HRS,A320+1)+INDEX(CARROT_SCHED_LABOR_HRS,B320+1)</f>
        <v>5626.72672442733</v>
      </c>
      <c r="E320" s="13" t="n">
        <f aca="false">IF(COUNT(F320:AJ320)=0,"",MAX(F320:AJ320))</f>
        <v>23654.6356985265</v>
      </c>
      <c r="F320" s="53" t="n">
        <f aca="false">IF(OR($A320&gt;TOMATO_BED_CAP,$B320&gt;CARROT_BED_CAP,F$4&gt;MESCLUN_BED_CAP,$A320+$B320+F$4&gt;TOTAL_BEDS_AVAILABLE,($D320+F$5)&gt;TOTAL_LABOR_HOURS_CAP,MAX(0,($D320+F$5)-PERMANENT_FIELD_LABOR_HOURS)&gt;TEMP_HOURS_CAP),"",$C320+F$6-MIN(($D320+F$5),PERMANENT_FIELD_LABOR_HOURS)*PERMANENT_HOURLY_RATE-MAX(0,($D320+F$5)-PERMANENT_FIELD_LABOR_HOURS)*TEMP_HOURLY_RATE-FIXED_SEASON_COST)</f>
        <v>10472.8240639416</v>
      </c>
      <c r="G320" s="53" t="n">
        <f aca="false">IF(OR($A320&gt;TOMATO_BED_CAP,$B320&gt;CARROT_BED_CAP,G$4&gt;MESCLUN_BED_CAP,$A320+$B320+G$4&gt;TOTAL_BEDS_AVAILABLE,($D320+G$5)&gt;TOTAL_LABOR_HOURS_CAP,MAX(0,($D320+G$5)-PERMANENT_FIELD_LABOR_HOURS)&gt;TEMP_HOURS_CAP),"",$C320+G$6-MIN(($D320+G$5),PERMANENT_FIELD_LABOR_HOURS)*PERMANENT_HOURLY_RATE-MAX(0,($D320+G$5)-PERMANENT_FIELD_LABOR_HOURS)*TEMP_HOURLY_RATE-FIXED_SEASON_COST)</f>
        <v>11501.8590639416</v>
      </c>
      <c r="H320" s="53" t="n">
        <f aca="false">IF(OR($A320&gt;TOMATO_BED_CAP,$B320&gt;CARROT_BED_CAP,H$4&gt;MESCLUN_BED_CAP,$A320+$B320+H$4&gt;TOTAL_BEDS_AVAILABLE,($D320+H$5)&gt;TOTAL_LABOR_HOURS_CAP,MAX(0,($D320+H$5)-PERMANENT_FIELD_LABOR_HOURS)&gt;TEMP_HOURS_CAP),"",$C320+H$6-MIN(($D320+H$5),PERMANENT_FIELD_LABOR_HOURS)*PERMANENT_HOURLY_RATE-MAX(0,($D320+H$5)-PERMANENT_FIELD_LABOR_HOURS)*TEMP_HOURLY_RATE-FIXED_SEASON_COST)</f>
        <v>12511.1199389416</v>
      </c>
      <c r="I320" s="53" t="n">
        <f aca="false">IF(OR($A320&gt;TOMATO_BED_CAP,$B320&gt;CARROT_BED_CAP,I$4&gt;MESCLUN_BED_CAP,$A320+$B320+I$4&gt;TOTAL_BEDS_AVAILABLE,($D320+I$5)&gt;TOTAL_LABOR_HOURS_CAP,MAX(0,($D320+I$5)-PERMANENT_FIELD_LABOR_HOURS)&gt;TEMP_HOURS_CAP),"",$C320+I$6-MIN(($D320+I$5),PERMANENT_FIELD_LABOR_HOURS)*PERMANENT_HOURLY_RATE-MAX(0,($D320+I$5)-PERMANENT_FIELD_LABOR_HOURS)*TEMP_HOURLY_RATE-FIXED_SEASON_COST)</f>
        <v>13500.2359240978</v>
      </c>
      <c r="J320" s="53" t="n">
        <f aca="false">IF(OR($A320&gt;TOMATO_BED_CAP,$B320&gt;CARROT_BED_CAP,J$4&gt;MESCLUN_BED_CAP,$A320+$B320+J$4&gt;TOTAL_BEDS_AVAILABLE,($D320+J$5)&gt;TOTAL_LABOR_HOURS_CAP,MAX(0,($D320+J$5)-PERMANENT_FIELD_LABOR_HOURS)&gt;TEMP_HOURS_CAP),"",$C320+J$6-MIN(($D320+J$5),PERMANENT_FIELD_LABOR_HOURS)*PERMANENT_HOURLY_RATE-MAX(0,($D320+J$5)-PERMANENT_FIELD_LABOR_HOURS)*TEMP_HOURLY_RATE-FIXED_SEASON_COST)</f>
        <v>14468.8300751525</v>
      </c>
      <c r="K320" s="53" t="n">
        <f aca="false">IF(OR($A320&gt;TOMATO_BED_CAP,$B320&gt;CARROT_BED_CAP,K$4&gt;MESCLUN_BED_CAP,$A320+$B320+K$4&gt;TOTAL_BEDS_AVAILABLE,($D320+K$5)&gt;TOTAL_LABOR_HOURS_CAP,MAX(0,($D320+K$5)-PERMANENT_FIELD_LABOR_HOURS)&gt;TEMP_HOURS_CAP),"",$C320+K$6-MIN(($D320+K$5),PERMANENT_FIELD_LABOR_HOURS)*PERMANENT_HOURLY_RATE-MAX(0,($D320+K$5)-PERMANENT_FIELD_LABOR_HOURS)*TEMP_HOURLY_RATE-FIXED_SEASON_COST)</f>
        <v>15416.5191718804</v>
      </c>
      <c r="L320" s="53" t="n">
        <f aca="false">IF(OR($A320&gt;TOMATO_BED_CAP,$B320&gt;CARROT_BED_CAP,L$4&gt;MESCLUN_BED_CAP,$A320+$B320+L$4&gt;TOTAL_BEDS_AVAILABLE,($D320+L$5)&gt;TOTAL_LABOR_HOURS_CAP,MAX(0,($D320+L$5)-PERMANENT_FIELD_LABOR_HOURS)&gt;TEMP_HOURS_CAP),"",$C320+L$6-MIN(($D320+L$5),PERMANENT_FIELD_LABOR_HOURS)*PERMANENT_HOURLY_RATE-MAX(0,($D320+L$5)-PERMANENT_FIELD_LABOR_HOURS)*TEMP_HOURLY_RATE-FIXED_SEASON_COST)</f>
        <v>16342.9136200873</v>
      </c>
      <c r="M320" s="53" t="n">
        <f aca="false">IF(OR($A320&gt;TOMATO_BED_CAP,$B320&gt;CARROT_BED_CAP,M$4&gt;MESCLUN_BED_CAP,$A320+$B320+M$4&gt;TOTAL_BEDS_AVAILABLE,($D320+M$5)&gt;TOTAL_LABOR_HOURS_CAP,MAX(0,($D320+M$5)-PERMANENT_FIELD_LABOR_HOURS)&gt;TEMP_HOURS_CAP),"",$C320+M$6-MIN(($D320+M$5),PERMANENT_FIELD_LABOR_HOURS)*PERMANENT_HOURLY_RATE-MAX(0,($D320+M$5)-PERMANENT_FIELD_LABOR_HOURS)*TEMP_HOURLY_RATE-FIXED_SEASON_COST)</f>
        <v>17247.6173521387</v>
      </c>
      <c r="N320" s="53" t="n">
        <f aca="false">IF(OR($A320&gt;TOMATO_BED_CAP,$B320&gt;CARROT_BED_CAP,N$4&gt;MESCLUN_BED_CAP,$A320+$B320+N$4&gt;TOTAL_BEDS_AVAILABLE,($D320+N$5)&gt;TOTAL_LABOR_HOURS_CAP,MAX(0,($D320+N$5)-PERMANENT_FIELD_LABOR_HOURS)&gt;TEMP_HOURS_CAP),"",$C320+N$6-MIN(($D320+N$5),PERMANENT_FIELD_LABOR_HOURS)*PERMANENT_HOURLY_RATE-MAX(0,($D320+N$5)-PERMANENT_FIELD_LABOR_HOURS)*TEMP_HOURLY_RATE-FIXED_SEASON_COST)</f>
        <v>18130.2277259982</v>
      </c>
      <c r="O320" s="53" t="n">
        <f aca="false">IF(OR($A320&gt;TOMATO_BED_CAP,$B320&gt;CARROT_BED_CAP,O$4&gt;MESCLUN_BED_CAP,$A320+$B320+O$4&gt;TOTAL_BEDS_AVAILABLE,($D320+O$5)&gt;TOTAL_LABOR_HOURS_CAP,MAX(0,($D320+O$5)-PERMANENT_FIELD_LABOR_HOURS)&gt;TEMP_HOURS_CAP),"",$C320+O$6-MIN(($D320+O$5),PERMANENT_FIELD_LABOR_HOURS)*PERMANENT_HOURLY_RATE-MAX(0,($D320+O$5)-PERMANENT_FIELD_LABOR_HOURS)*TEMP_HOURLY_RATE-FIXED_SEASON_COST)</f>
        <v>18990.335422753</v>
      </c>
      <c r="P320" s="53" t="n">
        <f aca="false">IF(OR($A320&gt;TOMATO_BED_CAP,$B320&gt;CARROT_BED_CAP,P$4&gt;MESCLUN_BED_CAP,$A320+$B320+P$4&gt;TOTAL_BEDS_AVAILABLE,($D320+P$5)&gt;TOTAL_LABOR_HOURS_CAP,MAX(0,($D320+P$5)-PERMANENT_FIELD_LABOR_HOURS)&gt;TEMP_HOURS_CAP),"",$C320+P$6-MIN(($D320+P$5),PERMANENT_FIELD_LABOR_HOURS)*PERMANENT_HOURLY_RATE-MAX(0,($D320+P$5)-PERMANENT_FIELD_LABOR_HOURS)*TEMP_HOURLY_RATE-FIXED_SEASON_COST)</f>
        <v>19827.5243426044</v>
      </c>
      <c r="Q320" s="53" t="n">
        <f aca="false">IF(OR($A320&gt;TOMATO_BED_CAP,$B320&gt;CARROT_BED_CAP,Q$4&gt;MESCLUN_BED_CAP,$A320+$B320+Q$4&gt;TOTAL_BEDS_AVAILABLE,($D320+Q$5)&gt;TOTAL_LABOR_HOURS_CAP,MAX(0,($D320+Q$5)-PERMANENT_FIELD_LABOR_HOURS)&gt;TEMP_HOURS_CAP),"",$C320+Q$6-MIN(($D320+Q$5),PERMANENT_FIELD_LABOR_HOURS)*PERMANENT_HOURLY_RATE-MAX(0,($D320+Q$5)-PERMANENT_FIELD_LABOR_HOURS)*TEMP_HOURLY_RATE-FIXED_SEASON_COST)</f>
        <v>20641.3714993023</v>
      </c>
      <c r="R320" s="53" t="n">
        <f aca="false">IF(OR($A320&gt;TOMATO_BED_CAP,$B320&gt;CARROT_BED_CAP,R$4&gt;MESCLUN_BED_CAP,$A320+$B320+R$4&gt;TOTAL_BEDS_AVAILABLE,($D320+R$5)&gt;TOTAL_LABOR_HOURS_CAP,MAX(0,($D320+R$5)-PERMANENT_FIELD_LABOR_HOURS)&gt;TEMP_HOURS_CAP),"",$C320+R$6-MIN(($D320+R$5),PERMANENT_FIELD_LABOR_HOURS)*PERMANENT_HOURLY_RATE-MAX(0,($D320+R$5)-PERMANENT_FIELD_LABOR_HOURS)*TEMP_HOURLY_RATE-FIXED_SEASON_COST)</f>
        <v>21431.4469129991</v>
      </c>
      <c r="S320" s="53" t="n">
        <f aca="false">IF(OR($A320&gt;TOMATO_BED_CAP,$B320&gt;CARROT_BED_CAP,S$4&gt;MESCLUN_BED_CAP,$A320+$B320+S$4&gt;TOTAL_BEDS_AVAILABLE,($D320+S$5)&gt;TOTAL_LABOR_HOURS_CAP,MAX(0,($D320+S$5)-PERMANENT_FIELD_LABOR_HOURS)&gt;TEMP_HOURS_CAP),"",$C320+S$6-MIN(($D320+S$5),PERMANENT_FIELD_LABOR_HOURS)*PERMANENT_HOURLY_RATE-MAX(0,($D320+S$5)-PERMANENT_FIELD_LABOR_HOURS)*TEMP_HOURLY_RATE-FIXED_SEASON_COST)</f>
        <v>22197.3135015016</v>
      </c>
      <c r="T320" s="53" t="n">
        <f aca="false">IF(OR($A320&gt;TOMATO_BED_CAP,$B320&gt;CARROT_BED_CAP,T$4&gt;MESCLUN_BED_CAP,$A320+$B320+T$4&gt;TOTAL_BEDS_AVAILABLE,($D320+T$5)&gt;TOTAL_LABOR_HOURS_CAP,MAX(0,($D320+T$5)-PERMANENT_FIELD_LABOR_HOURS)&gt;TEMP_HOURS_CAP),"",$C320+T$6-MIN(($D320+T$5),PERMANENT_FIELD_LABOR_HOURS)*PERMANENT_HOURLY_RATE-MAX(0,($D320+T$5)-PERMANENT_FIELD_LABOR_HOURS)*TEMP_HOURLY_RATE-FIXED_SEASON_COST)</f>
        <v>22938.5269698964</v>
      </c>
      <c r="U320" s="53" t="n">
        <f aca="false">IF(OR($A320&gt;TOMATO_BED_CAP,$B320&gt;CARROT_BED_CAP,U$4&gt;MESCLUN_BED_CAP,$A320+$B320+U$4&gt;TOTAL_BEDS_AVAILABLE,($D320+U$5)&gt;TOTAL_LABOR_HOURS_CAP,MAX(0,($D320+U$5)-PERMANENT_FIELD_LABOR_HOURS)&gt;TEMP_HOURS_CAP),"",$C320+U$6-MIN(($D320+U$5),PERMANENT_FIELD_LABOR_HOURS)*PERMANENT_HOURLY_RATE-MAX(0,($D320+U$5)-PERMANENT_FIELD_LABOR_HOURS)*TEMP_HOURLY_RATE-FIXED_SEASON_COST)</f>
        <v>23654.6356985265</v>
      </c>
      <c r="V320" s="53" t="str">
        <f aca="false">IF(OR($A320&gt;TOMATO_BED_CAP,$B320&gt;CARROT_BED_CAP,V$4&gt;MESCLUN_BED_CAP,$A320+$B320+V$4&gt;TOTAL_BEDS_AVAILABLE,($D320+V$5)&gt;TOTAL_LABOR_HOURS_CAP,MAX(0,($D320+V$5)-PERMANENT_FIELD_LABOR_HOURS)&gt;TEMP_HOURS_CAP),"",$C320+V$6-MIN(($D320+V$5),PERMANENT_FIELD_LABOR_HOURS)*PERMANENT_HOURLY_RATE-MAX(0,($D320+V$5)-PERMANENT_FIELD_LABOR_HOURS)*TEMP_HOURLY_RATE-FIXED_SEASON_COST)</f>
        <v/>
      </c>
      <c r="W320" s="53" t="str">
        <f aca="false">IF(OR($A320&gt;TOMATO_BED_CAP,$B320&gt;CARROT_BED_CAP,W$4&gt;MESCLUN_BED_CAP,$A320+$B320+W$4&gt;TOTAL_BEDS_AVAILABLE,($D320+W$5)&gt;TOTAL_LABOR_HOURS_CAP,MAX(0,($D320+W$5)-PERMANENT_FIELD_LABOR_HOURS)&gt;TEMP_HOURS_CAP),"",$C320+W$6-MIN(($D320+W$5),PERMANENT_FIELD_LABOR_HOURS)*PERMANENT_HOURLY_RATE-MAX(0,($D320+W$5)-PERMANENT_FIELD_LABOR_HOURS)*TEMP_HOURLY_RATE-FIXED_SEASON_COST)</f>
        <v/>
      </c>
      <c r="X320" s="53" t="str">
        <f aca="false">IF(OR($A320&gt;TOMATO_BED_CAP,$B320&gt;CARROT_BED_CAP,X$4&gt;MESCLUN_BED_CAP,$A320+$B320+X$4&gt;TOTAL_BEDS_AVAILABLE,($D320+X$5)&gt;TOTAL_LABOR_HOURS_CAP,MAX(0,($D320+X$5)-PERMANENT_FIELD_LABOR_HOURS)&gt;TEMP_HOURS_CAP),"",$C320+X$6-MIN(($D320+X$5),PERMANENT_FIELD_LABOR_HOURS)*PERMANENT_HOURLY_RATE-MAX(0,($D320+X$5)-PERMANENT_FIELD_LABOR_HOURS)*TEMP_HOURLY_RATE-FIXED_SEASON_COST)</f>
        <v/>
      </c>
      <c r="Y320" s="53" t="str">
        <f aca="false">IF(OR($A320&gt;TOMATO_BED_CAP,$B320&gt;CARROT_BED_CAP,Y$4&gt;MESCLUN_BED_CAP,$A320+$B320+Y$4&gt;TOTAL_BEDS_AVAILABLE,($D320+Y$5)&gt;TOTAL_LABOR_HOURS_CAP,MAX(0,($D320+Y$5)-PERMANENT_FIELD_LABOR_HOURS)&gt;TEMP_HOURS_CAP),"",$C320+Y$6-MIN(($D320+Y$5),PERMANENT_FIELD_LABOR_HOURS)*PERMANENT_HOURLY_RATE-MAX(0,($D320+Y$5)-PERMANENT_FIELD_LABOR_HOURS)*TEMP_HOURLY_RATE-FIXED_SEASON_COST)</f>
        <v/>
      </c>
      <c r="Z320" s="53" t="str">
        <f aca="false">IF(OR($A320&gt;TOMATO_BED_CAP,$B320&gt;CARROT_BED_CAP,Z$4&gt;MESCLUN_BED_CAP,$A320+$B320+Z$4&gt;TOTAL_BEDS_AVAILABLE,($D320+Z$5)&gt;TOTAL_LABOR_HOURS_CAP,MAX(0,($D320+Z$5)-PERMANENT_FIELD_LABOR_HOURS)&gt;TEMP_HOURS_CAP),"",$C320+Z$6-MIN(($D320+Z$5),PERMANENT_FIELD_LABOR_HOURS)*PERMANENT_HOURLY_RATE-MAX(0,($D320+Z$5)-PERMANENT_FIELD_LABOR_HOURS)*TEMP_HOURLY_RATE-FIXED_SEASON_COST)</f>
        <v/>
      </c>
      <c r="AA320" s="53" t="str">
        <f aca="false">IF(OR($A320&gt;TOMATO_BED_CAP,$B320&gt;CARROT_BED_CAP,AA$4&gt;MESCLUN_BED_CAP,$A320+$B320+AA$4&gt;TOTAL_BEDS_AVAILABLE,($D320+AA$5)&gt;TOTAL_LABOR_HOURS_CAP,MAX(0,($D320+AA$5)-PERMANENT_FIELD_LABOR_HOURS)&gt;TEMP_HOURS_CAP),"",$C320+AA$6-MIN(($D320+AA$5),PERMANENT_FIELD_LABOR_HOURS)*PERMANENT_HOURLY_RATE-MAX(0,($D320+AA$5)-PERMANENT_FIELD_LABOR_HOURS)*TEMP_HOURLY_RATE-FIXED_SEASON_COST)</f>
        <v/>
      </c>
      <c r="AB320" s="53" t="str">
        <f aca="false">IF(OR($A320&gt;TOMATO_BED_CAP,$B320&gt;CARROT_BED_CAP,AB$4&gt;MESCLUN_BED_CAP,$A320+$B320+AB$4&gt;TOTAL_BEDS_AVAILABLE,($D320+AB$5)&gt;TOTAL_LABOR_HOURS_CAP,MAX(0,($D320+AB$5)-PERMANENT_FIELD_LABOR_HOURS)&gt;TEMP_HOURS_CAP),"",$C320+AB$6-MIN(($D320+AB$5),PERMANENT_FIELD_LABOR_HOURS)*PERMANENT_HOURLY_RATE-MAX(0,($D320+AB$5)-PERMANENT_FIELD_LABOR_HOURS)*TEMP_HOURLY_RATE-FIXED_SEASON_COST)</f>
        <v/>
      </c>
      <c r="AC320" s="53" t="str">
        <f aca="false">IF(OR($A320&gt;TOMATO_BED_CAP,$B320&gt;CARROT_BED_CAP,AC$4&gt;MESCLUN_BED_CAP,$A320+$B320+AC$4&gt;TOTAL_BEDS_AVAILABLE,($D320+AC$5)&gt;TOTAL_LABOR_HOURS_CAP,MAX(0,($D320+AC$5)-PERMANENT_FIELD_LABOR_HOURS)&gt;TEMP_HOURS_CAP),"",$C320+AC$6-MIN(($D320+AC$5),PERMANENT_FIELD_LABOR_HOURS)*PERMANENT_HOURLY_RATE-MAX(0,($D320+AC$5)-PERMANENT_FIELD_LABOR_HOURS)*TEMP_HOURLY_RATE-FIXED_SEASON_COST)</f>
        <v/>
      </c>
      <c r="AD320" s="53" t="str">
        <f aca="false">IF(OR($A320&gt;TOMATO_BED_CAP,$B320&gt;CARROT_BED_CAP,AD$4&gt;MESCLUN_BED_CAP,$A320+$B320+AD$4&gt;TOTAL_BEDS_AVAILABLE,($D320+AD$5)&gt;TOTAL_LABOR_HOURS_CAP,MAX(0,($D320+AD$5)-PERMANENT_FIELD_LABOR_HOURS)&gt;TEMP_HOURS_CAP),"",$C320+AD$6-MIN(($D320+AD$5),PERMANENT_FIELD_LABOR_HOURS)*PERMANENT_HOURLY_RATE-MAX(0,($D320+AD$5)-PERMANENT_FIELD_LABOR_HOURS)*TEMP_HOURLY_RATE-FIXED_SEASON_COST)</f>
        <v/>
      </c>
      <c r="AE320" s="53" t="str">
        <f aca="false">IF(OR($A320&gt;TOMATO_BED_CAP,$B320&gt;CARROT_BED_CAP,AE$4&gt;MESCLUN_BED_CAP,$A320+$B320+AE$4&gt;TOTAL_BEDS_AVAILABLE,($D320+AE$5)&gt;TOTAL_LABOR_HOURS_CAP,MAX(0,($D320+AE$5)-PERMANENT_FIELD_LABOR_HOURS)&gt;TEMP_HOURS_CAP),"",$C320+AE$6-MIN(($D320+AE$5),PERMANENT_FIELD_LABOR_HOURS)*PERMANENT_HOURLY_RATE-MAX(0,($D320+AE$5)-PERMANENT_FIELD_LABOR_HOURS)*TEMP_HOURLY_RATE-FIXED_SEASON_COST)</f>
        <v/>
      </c>
      <c r="AF320" s="53" t="str">
        <f aca="false">IF(OR($A320&gt;TOMATO_BED_CAP,$B320&gt;CARROT_BED_CAP,AF$4&gt;MESCLUN_BED_CAP,$A320+$B320+AF$4&gt;TOTAL_BEDS_AVAILABLE,($D320+AF$5)&gt;TOTAL_LABOR_HOURS_CAP,MAX(0,($D320+AF$5)-PERMANENT_FIELD_LABOR_HOURS)&gt;TEMP_HOURS_CAP),"",$C320+AF$6-MIN(($D320+AF$5),PERMANENT_FIELD_LABOR_HOURS)*PERMANENT_HOURLY_RATE-MAX(0,($D320+AF$5)-PERMANENT_FIELD_LABOR_HOURS)*TEMP_HOURLY_RATE-FIXED_SEASON_COST)</f>
        <v/>
      </c>
      <c r="AG320" s="53" t="str">
        <f aca="false">IF(OR($A320&gt;TOMATO_BED_CAP,$B320&gt;CARROT_BED_CAP,AG$4&gt;MESCLUN_BED_CAP,$A320+$B320+AG$4&gt;TOTAL_BEDS_AVAILABLE,($D320+AG$5)&gt;TOTAL_LABOR_HOURS_CAP,MAX(0,($D320+AG$5)-PERMANENT_FIELD_LABOR_HOURS)&gt;TEMP_HOURS_CAP),"",$C320+AG$6-MIN(($D320+AG$5),PERMANENT_FIELD_LABOR_HOURS)*PERMANENT_HOURLY_RATE-MAX(0,($D320+AG$5)-PERMANENT_FIELD_LABOR_HOURS)*TEMP_HOURLY_RATE-FIXED_SEASON_COST)</f>
        <v/>
      </c>
      <c r="AH320" s="53" t="str">
        <f aca="false">IF(OR($A320&gt;TOMATO_BED_CAP,$B320&gt;CARROT_BED_CAP,AH$4&gt;MESCLUN_BED_CAP,$A320+$B320+AH$4&gt;TOTAL_BEDS_AVAILABLE,($D320+AH$5)&gt;TOTAL_LABOR_HOURS_CAP,MAX(0,($D320+AH$5)-PERMANENT_FIELD_LABOR_HOURS)&gt;TEMP_HOURS_CAP),"",$C320+AH$6-MIN(($D320+AH$5),PERMANENT_FIELD_LABOR_HOURS)*PERMANENT_HOURLY_RATE-MAX(0,($D320+AH$5)-PERMANENT_FIELD_LABOR_HOURS)*TEMP_HOURLY_RATE-FIXED_SEASON_COST)</f>
        <v/>
      </c>
      <c r="AI320" s="53" t="str">
        <f aca="false">IF(OR($A320&gt;TOMATO_BED_CAP,$B320&gt;CARROT_BED_CAP,AI$4&gt;MESCLUN_BED_CAP,$A320+$B320+AI$4&gt;TOTAL_BEDS_AVAILABLE,($D320+AI$5)&gt;TOTAL_LABOR_HOURS_CAP,MAX(0,($D320+AI$5)-PERMANENT_FIELD_LABOR_HOURS)&gt;TEMP_HOURS_CAP),"",$C320+AI$6-MIN(($D320+AI$5),PERMANENT_FIELD_LABOR_HOURS)*PERMANENT_HOURLY_RATE-MAX(0,($D320+AI$5)-PERMANENT_FIELD_LABOR_HOURS)*TEMP_HOURLY_RATE-FIXED_SEASON_COST)</f>
        <v/>
      </c>
      <c r="AJ320" s="53" t="str">
        <f aca="false">IF(OR($A320&gt;TOMATO_BED_CAP,$B320&gt;CARROT_BED_CAP,AJ$4&gt;MESCLUN_BED_CAP,$A320+$B320+AJ$4&gt;TOTAL_BEDS_AVAILABLE,($D320+AJ$5)&gt;TOTAL_LABOR_HOURS_CAP,MAX(0,($D320+AJ$5)-PERMANENT_FIELD_LABOR_HOURS)&gt;TEMP_HOURS_CAP),"",$C320+AJ$6-MIN(($D320+AJ$5),PERMANENT_FIELD_LABOR_HOURS)*PERMANENT_HOURLY_RATE-MAX(0,($D320+AJ$5)-PERMANENT_FIELD_LABOR_HOURS)*TEMP_HOURLY_RATE-FIXED_SEASON_COST)</f>
        <v/>
      </c>
    </row>
    <row r="321" customFormat="false" ht="15" hidden="false" customHeight="false" outlineLevel="0" collapsed="false">
      <c r="A321" s="21" t="n">
        <f aca="false">INT((ROW()-ROW($A$8))/(20+1))</f>
        <v>14</v>
      </c>
      <c r="B321" s="21" t="n">
        <f aca="false">MOD(ROW()-ROW($A$8),20+1)</f>
        <v>19</v>
      </c>
      <c r="C321" s="13" t="n">
        <f aca="false">A321*(TOMATO_REVENUE_PER_BED-TOMATO_FERTILIZER_PER_BED)+B321*(CARROT_REVENUE_PER_BED-CARROT_FERTILIZER_PER_BED)</f>
        <v>142306</v>
      </c>
      <c r="D321" s="14" t="n">
        <f aca="false">INDEX(TOMATO_SCHED_LABOR_HRS,A321+1)+INDEX(CARROT_SCHED_LABOR_HRS,B321+1)</f>
        <v>5695.71401672654</v>
      </c>
      <c r="E321" s="13" t="n">
        <f aca="false">IF(COUNT(F321:AJ321)=0,"",MAX(F321:AJ321))</f>
        <v>23394.9075755821</v>
      </c>
      <c r="F321" s="53" t="n">
        <f aca="false">IF(OR($A321&gt;TOMATO_BED_CAP,$B321&gt;CARROT_BED_CAP,F$4&gt;MESCLUN_BED_CAP,$A321+$B321+F$4&gt;TOTAL_BEDS_AVAILABLE,($D321+F$5)&gt;TOTAL_LABOR_HOURS_CAP,MAX(0,($D321+F$5)-PERMANENT_FIELD_LABOR_HOURS)&gt;TEMP_HOURS_CAP),"",$C321+F$6-MIN(($D321+F$5),PERMANENT_FIELD_LABOR_HOURS)*PERMANENT_HOURLY_RATE-MAX(0,($D321+F$5)-PERMANENT_FIELD_LABOR_HOURS)*TEMP_HOURLY_RATE-FIXED_SEASON_COST)</f>
        <v>10929.2046696273</v>
      </c>
      <c r="G321" s="53" t="n">
        <f aca="false">IF(OR($A321&gt;TOMATO_BED_CAP,$B321&gt;CARROT_BED_CAP,G$4&gt;MESCLUN_BED_CAP,$A321+$B321+G$4&gt;TOTAL_BEDS_AVAILABLE,($D321+G$5)&gt;TOTAL_LABOR_HOURS_CAP,MAX(0,($D321+G$5)-PERMANENT_FIELD_LABOR_HOURS)&gt;TEMP_HOURS_CAP),"",$C321+G$6-MIN(($D321+G$5),PERMANENT_FIELD_LABOR_HOURS)*PERMANENT_HOURLY_RATE-MAX(0,($D321+G$5)-PERMANENT_FIELD_LABOR_HOURS)*TEMP_HOURLY_RATE-FIXED_SEASON_COST)</f>
        <v>11958.2396696273</v>
      </c>
      <c r="H321" s="53" t="n">
        <f aca="false">IF(OR($A321&gt;TOMATO_BED_CAP,$B321&gt;CARROT_BED_CAP,H$4&gt;MESCLUN_BED_CAP,$A321+$B321+H$4&gt;TOTAL_BEDS_AVAILABLE,($D321+H$5)&gt;TOTAL_LABOR_HOURS_CAP,MAX(0,($D321+H$5)-PERMANENT_FIELD_LABOR_HOURS)&gt;TEMP_HOURS_CAP),"",$C321+H$6-MIN(($D321+H$5),PERMANENT_FIELD_LABOR_HOURS)*PERMANENT_HOURLY_RATE-MAX(0,($D321+H$5)-PERMANENT_FIELD_LABOR_HOURS)*TEMP_HOURLY_RATE-FIXED_SEASON_COST)</f>
        <v>12967.5005446273</v>
      </c>
      <c r="I321" s="53" t="n">
        <f aca="false">IF(OR($A321&gt;TOMATO_BED_CAP,$B321&gt;CARROT_BED_CAP,I$4&gt;MESCLUN_BED_CAP,$A321+$B321+I$4&gt;TOTAL_BEDS_AVAILABLE,($D321+I$5)&gt;TOTAL_LABOR_HOURS_CAP,MAX(0,($D321+I$5)-PERMANENT_FIELD_LABOR_HOURS)&gt;TEMP_HOURS_CAP),"",$C321+I$6-MIN(($D321+I$5),PERMANENT_FIELD_LABOR_HOURS)*PERMANENT_HOURLY_RATE-MAX(0,($D321+I$5)-PERMANENT_FIELD_LABOR_HOURS)*TEMP_HOURLY_RATE-FIXED_SEASON_COST)</f>
        <v>13956.6165297835</v>
      </c>
      <c r="J321" s="53" t="n">
        <f aca="false">IF(OR($A321&gt;TOMATO_BED_CAP,$B321&gt;CARROT_BED_CAP,J$4&gt;MESCLUN_BED_CAP,$A321+$B321+J$4&gt;TOTAL_BEDS_AVAILABLE,($D321+J$5)&gt;TOTAL_LABOR_HOURS_CAP,MAX(0,($D321+J$5)-PERMANENT_FIELD_LABOR_HOURS)&gt;TEMP_HOURS_CAP),"",$C321+J$6-MIN(($D321+J$5),PERMANENT_FIELD_LABOR_HOURS)*PERMANENT_HOURLY_RATE-MAX(0,($D321+J$5)-PERMANENT_FIELD_LABOR_HOURS)*TEMP_HOURLY_RATE-FIXED_SEASON_COST)</f>
        <v>14925.2106808382</v>
      </c>
      <c r="K321" s="53" t="n">
        <f aca="false">IF(OR($A321&gt;TOMATO_BED_CAP,$B321&gt;CARROT_BED_CAP,K$4&gt;MESCLUN_BED_CAP,$A321+$B321+K$4&gt;TOTAL_BEDS_AVAILABLE,($D321+K$5)&gt;TOTAL_LABOR_HOURS_CAP,MAX(0,($D321+K$5)-PERMANENT_FIELD_LABOR_HOURS)&gt;TEMP_HOURS_CAP),"",$C321+K$6-MIN(($D321+K$5),PERMANENT_FIELD_LABOR_HOURS)*PERMANENT_HOURLY_RATE-MAX(0,($D321+K$5)-PERMANENT_FIELD_LABOR_HOURS)*TEMP_HOURLY_RATE-FIXED_SEASON_COST)</f>
        <v>15872.8997775661</v>
      </c>
      <c r="L321" s="53" t="n">
        <f aca="false">IF(OR($A321&gt;TOMATO_BED_CAP,$B321&gt;CARROT_BED_CAP,L$4&gt;MESCLUN_BED_CAP,$A321+$B321+L$4&gt;TOTAL_BEDS_AVAILABLE,($D321+L$5)&gt;TOTAL_LABOR_HOURS_CAP,MAX(0,($D321+L$5)-PERMANENT_FIELD_LABOR_HOURS)&gt;TEMP_HOURS_CAP),"",$C321+L$6-MIN(($D321+L$5),PERMANENT_FIELD_LABOR_HOURS)*PERMANENT_HOURLY_RATE-MAX(0,($D321+L$5)-PERMANENT_FIELD_LABOR_HOURS)*TEMP_HOURLY_RATE-FIXED_SEASON_COST)</f>
        <v>16799.294225773</v>
      </c>
      <c r="M321" s="53" t="n">
        <f aca="false">IF(OR($A321&gt;TOMATO_BED_CAP,$B321&gt;CARROT_BED_CAP,M$4&gt;MESCLUN_BED_CAP,$A321+$B321+M$4&gt;TOTAL_BEDS_AVAILABLE,($D321+M$5)&gt;TOTAL_LABOR_HOURS_CAP,MAX(0,($D321+M$5)-PERMANENT_FIELD_LABOR_HOURS)&gt;TEMP_HOURS_CAP),"",$C321+M$6-MIN(($D321+M$5),PERMANENT_FIELD_LABOR_HOURS)*PERMANENT_HOURLY_RATE-MAX(0,($D321+M$5)-PERMANENT_FIELD_LABOR_HOURS)*TEMP_HOURLY_RATE-FIXED_SEASON_COST)</f>
        <v>17703.9979578244</v>
      </c>
      <c r="N321" s="53" t="n">
        <f aca="false">IF(OR($A321&gt;TOMATO_BED_CAP,$B321&gt;CARROT_BED_CAP,N$4&gt;MESCLUN_BED_CAP,$A321+$B321+N$4&gt;TOTAL_BEDS_AVAILABLE,($D321+N$5)&gt;TOTAL_LABOR_HOURS_CAP,MAX(0,($D321+N$5)-PERMANENT_FIELD_LABOR_HOURS)&gt;TEMP_HOURS_CAP),"",$C321+N$6-MIN(($D321+N$5),PERMANENT_FIELD_LABOR_HOURS)*PERMANENT_HOURLY_RATE-MAX(0,($D321+N$5)-PERMANENT_FIELD_LABOR_HOURS)*TEMP_HOURLY_RATE-FIXED_SEASON_COST)</f>
        <v>18586.608331684</v>
      </c>
      <c r="O321" s="53" t="n">
        <f aca="false">IF(OR($A321&gt;TOMATO_BED_CAP,$B321&gt;CARROT_BED_CAP,O$4&gt;MESCLUN_BED_CAP,$A321+$B321+O$4&gt;TOTAL_BEDS_AVAILABLE,($D321+O$5)&gt;TOTAL_LABOR_HOURS_CAP,MAX(0,($D321+O$5)-PERMANENT_FIELD_LABOR_HOURS)&gt;TEMP_HOURS_CAP),"",$C321+O$6-MIN(($D321+O$5),PERMANENT_FIELD_LABOR_HOURS)*PERMANENT_HOURLY_RATE-MAX(0,($D321+O$5)-PERMANENT_FIELD_LABOR_HOURS)*TEMP_HOURLY_RATE-FIXED_SEASON_COST)</f>
        <v>19446.7160284387</v>
      </c>
      <c r="P321" s="53" t="n">
        <f aca="false">IF(OR($A321&gt;TOMATO_BED_CAP,$B321&gt;CARROT_BED_CAP,P$4&gt;MESCLUN_BED_CAP,$A321+$B321+P$4&gt;TOTAL_BEDS_AVAILABLE,($D321+P$5)&gt;TOTAL_LABOR_HOURS_CAP,MAX(0,($D321+P$5)-PERMANENT_FIELD_LABOR_HOURS)&gt;TEMP_HOURS_CAP),"",$C321+P$6-MIN(($D321+P$5),PERMANENT_FIELD_LABOR_HOURS)*PERMANENT_HOURLY_RATE-MAX(0,($D321+P$5)-PERMANENT_FIELD_LABOR_HOURS)*TEMP_HOURLY_RATE-FIXED_SEASON_COST)</f>
        <v>20283.9049482901</v>
      </c>
      <c r="Q321" s="53" t="n">
        <f aca="false">IF(OR($A321&gt;TOMATO_BED_CAP,$B321&gt;CARROT_BED_CAP,Q$4&gt;MESCLUN_BED_CAP,$A321+$B321+Q$4&gt;TOTAL_BEDS_AVAILABLE,($D321+Q$5)&gt;TOTAL_LABOR_HOURS_CAP,MAX(0,($D321+Q$5)-PERMANENT_FIELD_LABOR_HOURS)&gt;TEMP_HOURS_CAP),"",$C321+Q$6-MIN(($D321+Q$5),PERMANENT_FIELD_LABOR_HOURS)*PERMANENT_HOURLY_RATE-MAX(0,($D321+Q$5)-PERMANENT_FIELD_LABOR_HOURS)*TEMP_HOURLY_RATE-FIXED_SEASON_COST)</f>
        <v>21097.752104988</v>
      </c>
      <c r="R321" s="53" t="n">
        <f aca="false">IF(OR($A321&gt;TOMATO_BED_CAP,$B321&gt;CARROT_BED_CAP,R$4&gt;MESCLUN_BED_CAP,$A321+$B321+R$4&gt;TOTAL_BEDS_AVAILABLE,($D321+R$5)&gt;TOTAL_LABOR_HOURS_CAP,MAX(0,($D321+R$5)-PERMANENT_FIELD_LABOR_HOURS)&gt;TEMP_HOURS_CAP),"",$C321+R$6-MIN(($D321+R$5),PERMANENT_FIELD_LABOR_HOURS)*PERMANENT_HOURLY_RATE-MAX(0,($D321+R$5)-PERMANENT_FIELD_LABOR_HOURS)*TEMP_HOURLY_RATE-FIXED_SEASON_COST)</f>
        <v>21887.8275186848</v>
      </c>
      <c r="S321" s="53" t="n">
        <f aca="false">IF(OR($A321&gt;TOMATO_BED_CAP,$B321&gt;CARROT_BED_CAP,S$4&gt;MESCLUN_BED_CAP,$A321+$B321+S$4&gt;TOTAL_BEDS_AVAILABLE,($D321+S$5)&gt;TOTAL_LABOR_HOURS_CAP,MAX(0,($D321+S$5)-PERMANENT_FIELD_LABOR_HOURS)&gt;TEMP_HOURS_CAP),"",$C321+S$6-MIN(($D321+S$5),PERMANENT_FIELD_LABOR_HOURS)*PERMANENT_HOURLY_RATE-MAX(0,($D321+S$5)-PERMANENT_FIELD_LABOR_HOURS)*TEMP_HOURLY_RATE-FIXED_SEASON_COST)</f>
        <v>22653.6941071873</v>
      </c>
      <c r="T321" s="53" t="n">
        <f aca="false">IF(OR($A321&gt;TOMATO_BED_CAP,$B321&gt;CARROT_BED_CAP,T$4&gt;MESCLUN_BED_CAP,$A321+$B321+T$4&gt;TOTAL_BEDS_AVAILABLE,($D321+T$5)&gt;TOTAL_LABOR_HOURS_CAP,MAX(0,($D321+T$5)-PERMANENT_FIELD_LABOR_HOURS)&gt;TEMP_HOURS_CAP),"",$C321+T$6-MIN(($D321+T$5),PERMANENT_FIELD_LABOR_HOURS)*PERMANENT_HOURLY_RATE-MAX(0,($D321+T$5)-PERMANENT_FIELD_LABOR_HOURS)*TEMP_HOURLY_RATE-FIXED_SEASON_COST)</f>
        <v>23394.9075755821</v>
      </c>
      <c r="U321" s="53" t="str">
        <f aca="false">IF(OR($A321&gt;TOMATO_BED_CAP,$B321&gt;CARROT_BED_CAP,U$4&gt;MESCLUN_BED_CAP,$A321+$B321+U$4&gt;TOTAL_BEDS_AVAILABLE,($D321+U$5)&gt;TOTAL_LABOR_HOURS_CAP,MAX(0,($D321+U$5)-PERMANENT_FIELD_LABOR_HOURS)&gt;TEMP_HOURS_CAP),"",$C321+U$6-MIN(($D321+U$5),PERMANENT_FIELD_LABOR_HOURS)*PERMANENT_HOURLY_RATE-MAX(0,($D321+U$5)-PERMANENT_FIELD_LABOR_HOURS)*TEMP_HOURLY_RATE-FIXED_SEASON_COST)</f>
        <v/>
      </c>
      <c r="V321" s="53" t="str">
        <f aca="false">IF(OR($A321&gt;TOMATO_BED_CAP,$B321&gt;CARROT_BED_CAP,V$4&gt;MESCLUN_BED_CAP,$A321+$B321+V$4&gt;TOTAL_BEDS_AVAILABLE,($D321+V$5)&gt;TOTAL_LABOR_HOURS_CAP,MAX(0,($D321+V$5)-PERMANENT_FIELD_LABOR_HOURS)&gt;TEMP_HOURS_CAP),"",$C321+V$6-MIN(($D321+V$5),PERMANENT_FIELD_LABOR_HOURS)*PERMANENT_HOURLY_RATE-MAX(0,($D321+V$5)-PERMANENT_FIELD_LABOR_HOURS)*TEMP_HOURLY_RATE-FIXED_SEASON_COST)</f>
        <v/>
      </c>
      <c r="W321" s="53" t="str">
        <f aca="false">IF(OR($A321&gt;TOMATO_BED_CAP,$B321&gt;CARROT_BED_CAP,W$4&gt;MESCLUN_BED_CAP,$A321+$B321+W$4&gt;TOTAL_BEDS_AVAILABLE,($D321+W$5)&gt;TOTAL_LABOR_HOURS_CAP,MAX(0,($D321+W$5)-PERMANENT_FIELD_LABOR_HOURS)&gt;TEMP_HOURS_CAP),"",$C321+W$6-MIN(($D321+W$5),PERMANENT_FIELD_LABOR_HOURS)*PERMANENT_HOURLY_RATE-MAX(0,($D321+W$5)-PERMANENT_FIELD_LABOR_HOURS)*TEMP_HOURLY_RATE-FIXED_SEASON_COST)</f>
        <v/>
      </c>
      <c r="X321" s="53" t="str">
        <f aca="false">IF(OR($A321&gt;TOMATO_BED_CAP,$B321&gt;CARROT_BED_CAP,X$4&gt;MESCLUN_BED_CAP,$A321+$B321+X$4&gt;TOTAL_BEDS_AVAILABLE,($D321+X$5)&gt;TOTAL_LABOR_HOURS_CAP,MAX(0,($D321+X$5)-PERMANENT_FIELD_LABOR_HOURS)&gt;TEMP_HOURS_CAP),"",$C321+X$6-MIN(($D321+X$5),PERMANENT_FIELD_LABOR_HOURS)*PERMANENT_HOURLY_RATE-MAX(0,($D321+X$5)-PERMANENT_FIELD_LABOR_HOURS)*TEMP_HOURLY_RATE-FIXED_SEASON_COST)</f>
        <v/>
      </c>
      <c r="Y321" s="53" t="str">
        <f aca="false">IF(OR($A321&gt;TOMATO_BED_CAP,$B321&gt;CARROT_BED_CAP,Y$4&gt;MESCLUN_BED_CAP,$A321+$B321+Y$4&gt;TOTAL_BEDS_AVAILABLE,($D321+Y$5)&gt;TOTAL_LABOR_HOURS_CAP,MAX(0,($D321+Y$5)-PERMANENT_FIELD_LABOR_HOURS)&gt;TEMP_HOURS_CAP),"",$C321+Y$6-MIN(($D321+Y$5),PERMANENT_FIELD_LABOR_HOURS)*PERMANENT_HOURLY_RATE-MAX(0,($D321+Y$5)-PERMANENT_FIELD_LABOR_HOURS)*TEMP_HOURLY_RATE-FIXED_SEASON_COST)</f>
        <v/>
      </c>
      <c r="Z321" s="53" t="str">
        <f aca="false">IF(OR($A321&gt;TOMATO_BED_CAP,$B321&gt;CARROT_BED_CAP,Z$4&gt;MESCLUN_BED_CAP,$A321+$B321+Z$4&gt;TOTAL_BEDS_AVAILABLE,($D321+Z$5)&gt;TOTAL_LABOR_HOURS_CAP,MAX(0,($D321+Z$5)-PERMANENT_FIELD_LABOR_HOURS)&gt;TEMP_HOURS_CAP),"",$C321+Z$6-MIN(($D321+Z$5),PERMANENT_FIELD_LABOR_HOURS)*PERMANENT_HOURLY_RATE-MAX(0,($D321+Z$5)-PERMANENT_FIELD_LABOR_HOURS)*TEMP_HOURLY_RATE-FIXED_SEASON_COST)</f>
        <v/>
      </c>
      <c r="AA321" s="53" t="str">
        <f aca="false">IF(OR($A321&gt;TOMATO_BED_CAP,$B321&gt;CARROT_BED_CAP,AA$4&gt;MESCLUN_BED_CAP,$A321+$B321+AA$4&gt;TOTAL_BEDS_AVAILABLE,($D321+AA$5)&gt;TOTAL_LABOR_HOURS_CAP,MAX(0,($D321+AA$5)-PERMANENT_FIELD_LABOR_HOURS)&gt;TEMP_HOURS_CAP),"",$C321+AA$6-MIN(($D321+AA$5),PERMANENT_FIELD_LABOR_HOURS)*PERMANENT_HOURLY_RATE-MAX(0,($D321+AA$5)-PERMANENT_FIELD_LABOR_HOURS)*TEMP_HOURLY_RATE-FIXED_SEASON_COST)</f>
        <v/>
      </c>
      <c r="AB321" s="53" t="str">
        <f aca="false">IF(OR($A321&gt;TOMATO_BED_CAP,$B321&gt;CARROT_BED_CAP,AB$4&gt;MESCLUN_BED_CAP,$A321+$B321+AB$4&gt;TOTAL_BEDS_AVAILABLE,($D321+AB$5)&gt;TOTAL_LABOR_HOURS_CAP,MAX(0,($D321+AB$5)-PERMANENT_FIELD_LABOR_HOURS)&gt;TEMP_HOURS_CAP),"",$C321+AB$6-MIN(($D321+AB$5),PERMANENT_FIELD_LABOR_HOURS)*PERMANENT_HOURLY_RATE-MAX(0,($D321+AB$5)-PERMANENT_FIELD_LABOR_HOURS)*TEMP_HOURLY_RATE-FIXED_SEASON_COST)</f>
        <v/>
      </c>
      <c r="AC321" s="53" t="str">
        <f aca="false">IF(OR($A321&gt;TOMATO_BED_CAP,$B321&gt;CARROT_BED_CAP,AC$4&gt;MESCLUN_BED_CAP,$A321+$B321+AC$4&gt;TOTAL_BEDS_AVAILABLE,($D321+AC$5)&gt;TOTAL_LABOR_HOURS_CAP,MAX(0,($D321+AC$5)-PERMANENT_FIELD_LABOR_HOURS)&gt;TEMP_HOURS_CAP),"",$C321+AC$6-MIN(($D321+AC$5),PERMANENT_FIELD_LABOR_HOURS)*PERMANENT_HOURLY_RATE-MAX(0,($D321+AC$5)-PERMANENT_FIELD_LABOR_HOURS)*TEMP_HOURLY_RATE-FIXED_SEASON_COST)</f>
        <v/>
      </c>
      <c r="AD321" s="53" t="str">
        <f aca="false">IF(OR($A321&gt;TOMATO_BED_CAP,$B321&gt;CARROT_BED_CAP,AD$4&gt;MESCLUN_BED_CAP,$A321+$B321+AD$4&gt;TOTAL_BEDS_AVAILABLE,($D321+AD$5)&gt;TOTAL_LABOR_HOURS_CAP,MAX(0,($D321+AD$5)-PERMANENT_FIELD_LABOR_HOURS)&gt;TEMP_HOURS_CAP),"",$C321+AD$6-MIN(($D321+AD$5),PERMANENT_FIELD_LABOR_HOURS)*PERMANENT_HOURLY_RATE-MAX(0,($D321+AD$5)-PERMANENT_FIELD_LABOR_HOURS)*TEMP_HOURLY_RATE-FIXED_SEASON_COST)</f>
        <v/>
      </c>
      <c r="AE321" s="53" t="str">
        <f aca="false">IF(OR($A321&gt;TOMATO_BED_CAP,$B321&gt;CARROT_BED_CAP,AE$4&gt;MESCLUN_BED_CAP,$A321+$B321+AE$4&gt;TOTAL_BEDS_AVAILABLE,($D321+AE$5)&gt;TOTAL_LABOR_HOURS_CAP,MAX(0,($D321+AE$5)-PERMANENT_FIELD_LABOR_HOURS)&gt;TEMP_HOURS_CAP),"",$C321+AE$6-MIN(($D321+AE$5),PERMANENT_FIELD_LABOR_HOURS)*PERMANENT_HOURLY_RATE-MAX(0,($D321+AE$5)-PERMANENT_FIELD_LABOR_HOURS)*TEMP_HOURLY_RATE-FIXED_SEASON_COST)</f>
        <v/>
      </c>
      <c r="AF321" s="53" t="str">
        <f aca="false">IF(OR($A321&gt;TOMATO_BED_CAP,$B321&gt;CARROT_BED_CAP,AF$4&gt;MESCLUN_BED_CAP,$A321+$B321+AF$4&gt;TOTAL_BEDS_AVAILABLE,($D321+AF$5)&gt;TOTAL_LABOR_HOURS_CAP,MAX(0,($D321+AF$5)-PERMANENT_FIELD_LABOR_HOURS)&gt;TEMP_HOURS_CAP),"",$C321+AF$6-MIN(($D321+AF$5),PERMANENT_FIELD_LABOR_HOURS)*PERMANENT_HOURLY_RATE-MAX(0,($D321+AF$5)-PERMANENT_FIELD_LABOR_HOURS)*TEMP_HOURLY_RATE-FIXED_SEASON_COST)</f>
        <v/>
      </c>
      <c r="AG321" s="53" t="str">
        <f aca="false">IF(OR($A321&gt;TOMATO_BED_CAP,$B321&gt;CARROT_BED_CAP,AG$4&gt;MESCLUN_BED_CAP,$A321+$B321+AG$4&gt;TOTAL_BEDS_AVAILABLE,($D321+AG$5)&gt;TOTAL_LABOR_HOURS_CAP,MAX(0,($D321+AG$5)-PERMANENT_FIELD_LABOR_HOURS)&gt;TEMP_HOURS_CAP),"",$C321+AG$6-MIN(($D321+AG$5),PERMANENT_FIELD_LABOR_HOURS)*PERMANENT_HOURLY_RATE-MAX(0,($D321+AG$5)-PERMANENT_FIELD_LABOR_HOURS)*TEMP_HOURLY_RATE-FIXED_SEASON_COST)</f>
        <v/>
      </c>
      <c r="AH321" s="53" t="str">
        <f aca="false">IF(OR($A321&gt;TOMATO_BED_CAP,$B321&gt;CARROT_BED_CAP,AH$4&gt;MESCLUN_BED_CAP,$A321+$B321+AH$4&gt;TOTAL_BEDS_AVAILABLE,($D321+AH$5)&gt;TOTAL_LABOR_HOURS_CAP,MAX(0,($D321+AH$5)-PERMANENT_FIELD_LABOR_HOURS)&gt;TEMP_HOURS_CAP),"",$C321+AH$6-MIN(($D321+AH$5),PERMANENT_FIELD_LABOR_HOURS)*PERMANENT_HOURLY_RATE-MAX(0,($D321+AH$5)-PERMANENT_FIELD_LABOR_HOURS)*TEMP_HOURLY_RATE-FIXED_SEASON_COST)</f>
        <v/>
      </c>
      <c r="AI321" s="53" t="str">
        <f aca="false">IF(OR($A321&gt;TOMATO_BED_CAP,$B321&gt;CARROT_BED_CAP,AI$4&gt;MESCLUN_BED_CAP,$A321+$B321+AI$4&gt;TOTAL_BEDS_AVAILABLE,($D321+AI$5)&gt;TOTAL_LABOR_HOURS_CAP,MAX(0,($D321+AI$5)-PERMANENT_FIELD_LABOR_HOURS)&gt;TEMP_HOURS_CAP),"",$C321+AI$6-MIN(($D321+AI$5),PERMANENT_FIELD_LABOR_HOURS)*PERMANENT_HOURLY_RATE-MAX(0,($D321+AI$5)-PERMANENT_FIELD_LABOR_HOURS)*TEMP_HOURLY_RATE-FIXED_SEASON_COST)</f>
        <v/>
      </c>
      <c r="AJ321" s="53" t="str">
        <f aca="false">IF(OR($A321&gt;TOMATO_BED_CAP,$B321&gt;CARROT_BED_CAP,AJ$4&gt;MESCLUN_BED_CAP,$A321+$B321+AJ$4&gt;TOTAL_BEDS_AVAILABLE,($D321+AJ$5)&gt;TOTAL_LABOR_HOURS_CAP,MAX(0,($D321+AJ$5)-PERMANENT_FIELD_LABOR_HOURS)&gt;TEMP_HOURS_CAP),"",$C321+AJ$6-MIN(($D321+AJ$5),PERMANENT_FIELD_LABOR_HOURS)*PERMANENT_HOURLY_RATE-MAX(0,($D321+AJ$5)-PERMANENT_FIELD_LABOR_HOURS)*TEMP_HOURLY_RATE-FIXED_SEASON_COST)</f>
        <v/>
      </c>
    </row>
    <row r="322" customFormat="false" ht="15" hidden="false" customHeight="false" outlineLevel="0" collapsed="false">
      <c r="A322" s="21" t="n">
        <f aca="false">INT((ROW()-ROW($A$8))/(20+1))</f>
        <v>14</v>
      </c>
      <c r="B322" s="21" t="n">
        <f aca="false">MOD(ROW()-ROW($A$8),20+1)</f>
        <v>20</v>
      </c>
      <c r="C322" s="13" t="n">
        <f aca="false">A322*(TOMATO_REVENUE_PER_BED-TOMATO_FERTILIZER_PER_BED)+B322*(CARROT_REVENUE_PER_BED-CARROT_FERTILIZER_PER_BED)</f>
        <v>143960</v>
      </c>
      <c r="D322" s="14" t="n">
        <f aca="false">INDEX(TOMATO_SCHED_LABOR_HRS,A322+1)+INDEX(CARROT_SCHED_LABOR_HRS,B322+1)</f>
        <v>5767.62449937741</v>
      </c>
      <c r="E322" s="13" t="n">
        <f aca="false">IF(COUNT(F322:AJ322)=0,"",MAX(F322:AJ322))</f>
        <v>23059.3281283682</v>
      </c>
      <c r="F322" s="53" t="n">
        <f aca="false">IF(OR($A322&gt;TOMATO_BED_CAP,$B322&gt;CARROT_BED_CAP,F$4&gt;MESCLUN_BED_CAP,$A322+$B322+F$4&gt;TOTAL_BEDS_AVAILABLE,($D322+F$5)&gt;TOTAL_LABOR_HOURS_CAP,MAX(0,($D322+F$5)-PERMANENT_FIELD_LABOR_HOURS)&gt;TEMP_HOURS_CAP),"",$C322+F$6-MIN(($D322+F$5),PERMANENT_FIELD_LABOR_HOURS)*PERMANENT_HOURLY_RATE-MAX(0,($D322+F$5)-PERMANENT_FIELD_LABOR_HOURS)*TEMP_HOURLY_RATE-FIXED_SEASON_COST)</f>
        <v>11334.8386908082</v>
      </c>
      <c r="G322" s="53" t="n">
        <f aca="false">IF(OR($A322&gt;TOMATO_BED_CAP,$B322&gt;CARROT_BED_CAP,G$4&gt;MESCLUN_BED_CAP,$A322+$B322+G$4&gt;TOTAL_BEDS_AVAILABLE,($D322+G$5)&gt;TOTAL_LABOR_HOURS_CAP,MAX(0,($D322+G$5)-PERMANENT_FIELD_LABOR_HOURS)&gt;TEMP_HOURS_CAP),"",$C322+G$6-MIN(($D322+G$5),PERMANENT_FIELD_LABOR_HOURS)*PERMANENT_HOURLY_RATE-MAX(0,($D322+G$5)-PERMANENT_FIELD_LABOR_HOURS)*TEMP_HOURLY_RATE-FIXED_SEASON_COST)</f>
        <v>12363.8736908082</v>
      </c>
      <c r="H322" s="53" t="n">
        <f aca="false">IF(OR($A322&gt;TOMATO_BED_CAP,$B322&gt;CARROT_BED_CAP,H$4&gt;MESCLUN_BED_CAP,$A322+$B322+H$4&gt;TOTAL_BEDS_AVAILABLE,($D322+H$5)&gt;TOTAL_LABOR_HOURS_CAP,MAX(0,($D322+H$5)-PERMANENT_FIELD_LABOR_HOURS)&gt;TEMP_HOURS_CAP),"",$C322+H$6-MIN(($D322+H$5),PERMANENT_FIELD_LABOR_HOURS)*PERMANENT_HOURLY_RATE-MAX(0,($D322+H$5)-PERMANENT_FIELD_LABOR_HOURS)*TEMP_HOURLY_RATE-FIXED_SEASON_COST)</f>
        <v>13373.1345658082</v>
      </c>
      <c r="I322" s="53" t="n">
        <f aca="false">IF(OR($A322&gt;TOMATO_BED_CAP,$B322&gt;CARROT_BED_CAP,I$4&gt;MESCLUN_BED_CAP,$A322+$B322+I$4&gt;TOTAL_BEDS_AVAILABLE,($D322+I$5)&gt;TOTAL_LABOR_HOURS_CAP,MAX(0,($D322+I$5)-PERMANENT_FIELD_LABOR_HOURS)&gt;TEMP_HOURS_CAP),"",$C322+I$6-MIN(($D322+I$5),PERMANENT_FIELD_LABOR_HOURS)*PERMANENT_HOURLY_RATE-MAX(0,($D322+I$5)-PERMANENT_FIELD_LABOR_HOURS)*TEMP_HOURLY_RATE-FIXED_SEASON_COST)</f>
        <v>14362.2505509644</v>
      </c>
      <c r="J322" s="53" t="n">
        <f aca="false">IF(OR($A322&gt;TOMATO_BED_CAP,$B322&gt;CARROT_BED_CAP,J$4&gt;MESCLUN_BED_CAP,$A322+$B322+J$4&gt;TOTAL_BEDS_AVAILABLE,($D322+J$5)&gt;TOTAL_LABOR_HOURS_CAP,MAX(0,($D322+J$5)-PERMANENT_FIELD_LABOR_HOURS)&gt;TEMP_HOURS_CAP),"",$C322+J$6-MIN(($D322+J$5),PERMANENT_FIELD_LABOR_HOURS)*PERMANENT_HOURLY_RATE-MAX(0,($D322+J$5)-PERMANENT_FIELD_LABOR_HOURS)*TEMP_HOURLY_RATE-FIXED_SEASON_COST)</f>
        <v>15330.8447020191</v>
      </c>
      <c r="K322" s="53" t="n">
        <f aca="false">IF(OR($A322&gt;TOMATO_BED_CAP,$B322&gt;CARROT_BED_CAP,K$4&gt;MESCLUN_BED_CAP,$A322+$B322+K$4&gt;TOTAL_BEDS_AVAILABLE,($D322+K$5)&gt;TOTAL_LABOR_HOURS_CAP,MAX(0,($D322+K$5)-PERMANENT_FIELD_LABOR_HOURS)&gt;TEMP_HOURS_CAP),"",$C322+K$6-MIN(($D322+K$5),PERMANENT_FIELD_LABOR_HOURS)*PERMANENT_HOURLY_RATE-MAX(0,($D322+K$5)-PERMANENT_FIELD_LABOR_HOURS)*TEMP_HOURLY_RATE-FIXED_SEASON_COST)</f>
        <v>16278.533798747</v>
      </c>
      <c r="L322" s="53" t="n">
        <f aca="false">IF(OR($A322&gt;TOMATO_BED_CAP,$B322&gt;CARROT_BED_CAP,L$4&gt;MESCLUN_BED_CAP,$A322+$B322+L$4&gt;TOTAL_BEDS_AVAILABLE,($D322+L$5)&gt;TOTAL_LABOR_HOURS_CAP,MAX(0,($D322+L$5)-PERMANENT_FIELD_LABOR_HOURS)&gt;TEMP_HOURS_CAP),"",$C322+L$6-MIN(($D322+L$5),PERMANENT_FIELD_LABOR_HOURS)*PERMANENT_HOURLY_RATE-MAX(0,($D322+L$5)-PERMANENT_FIELD_LABOR_HOURS)*TEMP_HOURLY_RATE-FIXED_SEASON_COST)</f>
        <v>17204.9282469539</v>
      </c>
      <c r="M322" s="53" t="n">
        <f aca="false">IF(OR($A322&gt;TOMATO_BED_CAP,$B322&gt;CARROT_BED_CAP,M$4&gt;MESCLUN_BED_CAP,$A322+$B322+M$4&gt;TOTAL_BEDS_AVAILABLE,($D322+M$5)&gt;TOTAL_LABOR_HOURS_CAP,MAX(0,($D322+M$5)-PERMANENT_FIELD_LABOR_HOURS)&gt;TEMP_HOURS_CAP),"",$C322+M$6-MIN(($D322+M$5),PERMANENT_FIELD_LABOR_HOURS)*PERMANENT_HOURLY_RATE-MAX(0,($D322+M$5)-PERMANENT_FIELD_LABOR_HOURS)*TEMP_HOURLY_RATE-FIXED_SEASON_COST)</f>
        <v>18109.6319790053</v>
      </c>
      <c r="N322" s="53" t="n">
        <f aca="false">IF(OR($A322&gt;TOMATO_BED_CAP,$B322&gt;CARROT_BED_CAP,N$4&gt;MESCLUN_BED_CAP,$A322+$B322+N$4&gt;TOTAL_BEDS_AVAILABLE,($D322+N$5)&gt;TOTAL_LABOR_HOURS_CAP,MAX(0,($D322+N$5)-PERMANENT_FIELD_LABOR_HOURS)&gt;TEMP_HOURS_CAP),"",$C322+N$6-MIN(($D322+N$5),PERMANENT_FIELD_LABOR_HOURS)*PERMANENT_HOURLY_RATE-MAX(0,($D322+N$5)-PERMANENT_FIELD_LABOR_HOURS)*TEMP_HOURLY_RATE-FIXED_SEASON_COST)</f>
        <v>18992.2423528648</v>
      </c>
      <c r="O322" s="53" t="n">
        <f aca="false">IF(OR($A322&gt;TOMATO_BED_CAP,$B322&gt;CARROT_BED_CAP,O$4&gt;MESCLUN_BED_CAP,$A322+$B322+O$4&gt;TOTAL_BEDS_AVAILABLE,($D322+O$5)&gt;TOTAL_LABOR_HOURS_CAP,MAX(0,($D322+O$5)-PERMANENT_FIELD_LABOR_HOURS)&gt;TEMP_HOURS_CAP),"",$C322+O$6-MIN(($D322+O$5),PERMANENT_FIELD_LABOR_HOURS)*PERMANENT_HOURLY_RATE-MAX(0,($D322+O$5)-PERMANENT_FIELD_LABOR_HOURS)*TEMP_HOURLY_RATE-FIXED_SEASON_COST)</f>
        <v>19852.3500496196</v>
      </c>
      <c r="P322" s="53" t="n">
        <f aca="false">IF(OR($A322&gt;TOMATO_BED_CAP,$B322&gt;CARROT_BED_CAP,P$4&gt;MESCLUN_BED_CAP,$A322+$B322+P$4&gt;TOTAL_BEDS_AVAILABLE,($D322+P$5)&gt;TOTAL_LABOR_HOURS_CAP,MAX(0,($D322+P$5)-PERMANENT_FIELD_LABOR_HOURS)&gt;TEMP_HOURS_CAP),"",$C322+P$6-MIN(($D322+P$5),PERMANENT_FIELD_LABOR_HOURS)*PERMANENT_HOURLY_RATE-MAX(0,($D322+P$5)-PERMANENT_FIELD_LABOR_HOURS)*TEMP_HOURLY_RATE-FIXED_SEASON_COST)</f>
        <v>20689.538969471</v>
      </c>
      <c r="Q322" s="53" t="n">
        <f aca="false">IF(OR($A322&gt;TOMATO_BED_CAP,$B322&gt;CARROT_BED_CAP,Q$4&gt;MESCLUN_BED_CAP,$A322+$B322+Q$4&gt;TOTAL_BEDS_AVAILABLE,($D322+Q$5)&gt;TOTAL_LABOR_HOURS_CAP,MAX(0,($D322+Q$5)-PERMANENT_FIELD_LABOR_HOURS)&gt;TEMP_HOURS_CAP),"",$C322+Q$6-MIN(($D322+Q$5),PERMANENT_FIELD_LABOR_HOURS)*PERMANENT_HOURLY_RATE-MAX(0,($D322+Q$5)-PERMANENT_FIELD_LABOR_HOURS)*TEMP_HOURLY_RATE-FIXED_SEASON_COST)</f>
        <v>21503.3861261689</v>
      </c>
      <c r="R322" s="53" t="n">
        <f aca="false">IF(OR($A322&gt;TOMATO_BED_CAP,$B322&gt;CARROT_BED_CAP,R$4&gt;MESCLUN_BED_CAP,$A322+$B322+R$4&gt;TOTAL_BEDS_AVAILABLE,($D322+R$5)&gt;TOTAL_LABOR_HOURS_CAP,MAX(0,($D322+R$5)-PERMANENT_FIELD_LABOR_HOURS)&gt;TEMP_HOURS_CAP),"",$C322+R$6-MIN(($D322+R$5),PERMANENT_FIELD_LABOR_HOURS)*PERMANENT_HOURLY_RATE-MAX(0,($D322+R$5)-PERMANENT_FIELD_LABOR_HOURS)*TEMP_HOURLY_RATE-FIXED_SEASON_COST)</f>
        <v>22293.4615398657</v>
      </c>
      <c r="S322" s="53" t="n">
        <f aca="false">IF(OR($A322&gt;TOMATO_BED_CAP,$B322&gt;CARROT_BED_CAP,S$4&gt;MESCLUN_BED_CAP,$A322+$B322+S$4&gt;TOTAL_BEDS_AVAILABLE,($D322+S$5)&gt;TOTAL_LABOR_HOURS_CAP,MAX(0,($D322+S$5)-PERMANENT_FIELD_LABOR_HOURS)&gt;TEMP_HOURS_CAP),"",$C322+S$6-MIN(($D322+S$5),PERMANENT_FIELD_LABOR_HOURS)*PERMANENT_HOURLY_RATE-MAX(0,($D322+S$5)-PERMANENT_FIELD_LABOR_HOURS)*TEMP_HOURLY_RATE-FIXED_SEASON_COST)</f>
        <v>23059.3281283682</v>
      </c>
      <c r="T322" s="53" t="str">
        <f aca="false">IF(OR($A322&gt;TOMATO_BED_CAP,$B322&gt;CARROT_BED_CAP,T$4&gt;MESCLUN_BED_CAP,$A322+$B322+T$4&gt;TOTAL_BEDS_AVAILABLE,($D322+T$5)&gt;TOTAL_LABOR_HOURS_CAP,MAX(0,($D322+T$5)-PERMANENT_FIELD_LABOR_HOURS)&gt;TEMP_HOURS_CAP),"",$C322+T$6-MIN(($D322+T$5),PERMANENT_FIELD_LABOR_HOURS)*PERMANENT_HOURLY_RATE-MAX(0,($D322+T$5)-PERMANENT_FIELD_LABOR_HOURS)*TEMP_HOURLY_RATE-FIXED_SEASON_COST)</f>
        <v/>
      </c>
      <c r="U322" s="53" t="str">
        <f aca="false">IF(OR($A322&gt;TOMATO_BED_CAP,$B322&gt;CARROT_BED_CAP,U$4&gt;MESCLUN_BED_CAP,$A322+$B322+U$4&gt;TOTAL_BEDS_AVAILABLE,($D322+U$5)&gt;TOTAL_LABOR_HOURS_CAP,MAX(0,($D322+U$5)-PERMANENT_FIELD_LABOR_HOURS)&gt;TEMP_HOURS_CAP),"",$C322+U$6-MIN(($D322+U$5),PERMANENT_FIELD_LABOR_HOURS)*PERMANENT_HOURLY_RATE-MAX(0,($D322+U$5)-PERMANENT_FIELD_LABOR_HOURS)*TEMP_HOURLY_RATE-FIXED_SEASON_COST)</f>
        <v/>
      </c>
      <c r="V322" s="53" t="str">
        <f aca="false">IF(OR($A322&gt;TOMATO_BED_CAP,$B322&gt;CARROT_BED_CAP,V$4&gt;MESCLUN_BED_CAP,$A322+$B322+V$4&gt;TOTAL_BEDS_AVAILABLE,($D322+V$5)&gt;TOTAL_LABOR_HOURS_CAP,MAX(0,($D322+V$5)-PERMANENT_FIELD_LABOR_HOURS)&gt;TEMP_HOURS_CAP),"",$C322+V$6-MIN(($D322+V$5),PERMANENT_FIELD_LABOR_HOURS)*PERMANENT_HOURLY_RATE-MAX(0,($D322+V$5)-PERMANENT_FIELD_LABOR_HOURS)*TEMP_HOURLY_RATE-FIXED_SEASON_COST)</f>
        <v/>
      </c>
      <c r="W322" s="53" t="str">
        <f aca="false">IF(OR($A322&gt;TOMATO_BED_CAP,$B322&gt;CARROT_BED_CAP,W$4&gt;MESCLUN_BED_CAP,$A322+$B322+W$4&gt;TOTAL_BEDS_AVAILABLE,($D322+W$5)&gt;TOTAL_LABOR_HOURS_CAP,MAX(0,($D322+W$5)-PERMANENT_FIELD_LABOR_HOURS)&gt;TEMP_HOURS_CAP),"",$C322+W$6-MIN(($D322+W$5),PERMANENT_FIELD_LABOR_HOURS)*PERMANENT_HOURLY_RATE-MAX(0,($D322+W$5)-PERMANENT_FIELD_LABOR_HOURS)*TEMP_HOURLY_RATE-FIXED_SEASON_COST)</f>
        <v/>
      </c>
      <c r="X322" s="53" t="str">
        <f aca="false">IF(OR($A322&gt;TOMATO_BED_CAP,$B322&gt;CARROT_BED_CAP,X$4&gt;MESCLUN_BED_CAP,$A322+$B322+X$4&gt;TOTAL_BEDS_AVAILABLE,($D322+X$5)&gt;TOTAL_LABOR_HOURS_CAP,MAX(0,($D322+X$5)-PERMANENT_FIELD_LABOR_HOURS)&gt;TEMP_HOURS_CAP),"",$C322+X$6-MIN(($D322+X$5),PERMANENT_FIELD_LABOR_HOURS)*PERMANENT_HOURLY_RATE-MAX(0,($D322+X$5)-PERMANENT_FIELD_LABOR_HOURS)*TEMP_HOURLY_RATE-FIXED_SEASON_COST)</f>
        <v/>
      </c>
      <c r="Y322" s="53" t="str">
        <f aca="false">IF(OR($A322&gt;TOMATO_BED_CAP,$B322&gt;CARROT_BED_CAP,Y$4&gt;MESCLUN_BED_CAP,$A322+$B322+Y$4&gt;TOTAL_BEDS_AVAILABLE,($D322+Y$5)&gt;TOTAL_LABOR_HOURS_CAP,MAX(0,($D322+Y$5)-PERMANENT_FIELD_LABOR_HOURS)&gt;TEMP_HOURS_CAP),"",$C322+Y$6-MIN(($D322+Y$5),PERMANENT_FIELD_LABOR_HOURS)*PERMANENT_HOURLY_RATE-MAX(0,($D322+Y$5)-PERMANENT_FIELD_LABOR_HOURS)*TEMP_HOURLY_RATE-FIXED_SEASON_COST)</f>
        <v/>
      </c>
      <c r="Z322" s="53" t="str">
        <f aca="false">IF(OR($A322&gt;TOMATO_BED_CAP,$B322&gt;CARROT_BED_CAP,Z$4&gt;MESCLUN_BED_CAP,$A322+$B322+Z$4&gt;TOTAL_BEDS_AVAILABLE,($D322+Z$5)&gt;TOTAL_LABOR_HOURS_CAP,MAX(0,($D322+Z$5)-PERMANENT_FIELD_LABOR_HOURS)&gt;TEMP_HOURS_CAP),"",$C322+Z$6-MIN(($D322+Z$5),PERMANENT_FIELD_LABOR_HOURS)*PERMANENT_HOURLY_RATE-MAX(0,($D322+Z$5)-PERMANENT_FIELD_LABOR_HOURS)*TEMP_HOURLY_RATE-FIXED_SEASON_COST)</f>
        <v/>
      </c>
      <c r="AA322" s="53" t="str">
        <f aca="false">IF(OR($A322&gt;TOMATO_BED_CAP,$B322&gt;CARROT_BED_CAP,AA$4&gt;MESCLUN_BED_CAP,$A322+$B322+AA$4&gt;TOTAL_BEDS_AVAILABLE,($D322+AA$5)&gt;TOTAL_LABOR_HOURS_CAP,MAX(0,($D322+AA$5)-PERMANENT_FIELD_LABOR_HOURS)&gt;TEMP_HOURS_CAP),"",$C322+AA$6-MIN(($D322+AA$5),PERMANENT_FIELD_LABOR_HOURS)*PERMANENT_HOURLY_RATE-MAX(0,($D322+AA$5)-PERMANENT_FIELD_LABOR_HOURS)*TEMP_HOURLY_RATE-FIXED_SEASON_COST)</f>
        <v/>
      </c>
      <c r="AB322" s="53" t="str">
        <f aca="false">IF(OR($A322&gt;TOMATO_BED_CAP,$B322&gt;CARROT_BED_CAP,AB$4&gt;MESCLUN_BED_CAP,$A322+$B322+AB$4&gt;TOTAL_BEDS_AVAILABLE,($D322+AB$5)&gt;TOTAL_LABOR_HOURS_CAP,MAX(0,($D322+AB$5)-PERMANENT_FIELD_LABOR_HOURS)&gt;TEMP_HOURS_CAP),"",$C322+AB$6-MIN(($D322+AB$5),PERMANENT_FIELD_LABOR_HOURS)*PERMANENT_HOURLY_RATE-MAX(0,($D322+AB$5)-PERMANENT_FIELD_LABOR_HOURS)*TEMP_HOURLY_RATE-FIXED_SEASON_COST)</f>
        <v/>
      </c>
      <c r="AC322" s="53" t="str">
        <f aca="false">IF(OR($A322&gt;TOMATO_BED_CAP,$B322&gt;CARROT_BED_CAP,AC$4&gt;MESCLUN_BED_CAP,$A322+$B322+AC$4&gt;TOTAL_BEDS_AVAILABLE,($D322+AC$5)&gt;TOTAL_LABOR_HOURS_CAP,MAX(0,($D322+AC$5)-PERMANENT_FIELD_LABOR_HOURS)&gt;TEMP_HOURS_CAP),"",$C322+AC$6-MIN(($D322+AC$5),PERMANENT_FIELD_LABOR_HOURS)*PERMANENT_HOURLY_RATE-MAX(0,($D322+AC$5)-PERMANENT_FIELD_LABOR_HOURS)*TEMP_HOURLY_RATE-FIXED_SEASON_COST)</f>
        <v/>
      </c>
      <c r="AD322" s="53" t="str">
        <f aca="false">IF(OR($A322&gt;TOMATO_BED_CAP,$B322&gt;CARROT_BED_CAP,AD$4&gt;MESCLUN_BED_CAP,$A322+$B322+AD$4&gt;TOTAL_BEDS_AVAILABLE,($D322+AD$5)&gt;TOTAL_LABOR_HOURS_CAP,MAX(0,($D322+AD$5)-PERMANENT_FIELD_LABOR_HOURS)&gt;TEMP_HOURS_CAP),"",$C322+AD$6-MIN(($D322+AD$5),PERMANENT_FIELD_LABOR_HOURS)*PERMANENT_HOURLY_RATE-MAX(0,($D322+AD$5)-PERMANENT_FIELD_LABOR_HOURS)*TEMP_HOURLY_RATE-FIXED_SEASON_COST)</f>
        <v/>
      </c>
      <c r="AE322" s="53" t="str">
        <f aca="false">IF(OR($A322&gt;TOMATO_BED_CAP,$B322&gt;CARROT_BED_CAP,AE$4&gt;MESCLUN_BED_CAP,$A322+$B322+AE$4&gt;TOTAL_BEDS_AVAILABLE,($D322+AE$5)&gt;TOTAL_LABOR_HOURS_CAP,MAX(0,($D322+AE$5)-PERMANENT_FIELD_LABOR_HOURS)&gt;TEMP_HOURS_CAP),"",$C322+AE$6-MIN(($D322+AE$5),PERMANENT_FIELD_LABOR_HOURS)*PERMANENT_HOURLY_RATE-MAX(0,($D322+AE$5)-PERMANENT_FIELD_LABOR_HOURS)*TEMP_HOURLY_RATE-FIXED_SEASON_COST)</f>
        <v/>
      </c>
      <c r="AF322" s="53" t="str">
        <f aca="false">IF(OR($A322&gt;TOMATO_BED_CAP,$B322&gt;CARROT_BED_CAP,AF$4&gt;MESCLUN_BED_CAP,$A322+$B322+AF$4&gt;TOTAL_BEDS_AVAILABLE,($D322+AF$5)&gt;TOTAL_LABOR_HOURS_CAP,MAX(0,($D322+AF$5)-PERMANENT_FIELD_LABOR_HOURS)&gt;TEMP_HOURS_CAP),"",$C322+AF$6-MIN(($D322+AF$5),PERMANENT_FIELD_LABOR_HOURS)*PERMANENT_HOURLY_RATE-MAX(0,($D322+AF$5)-PERMANENT_FIELD_LABOR_HOURS)*TEMP_HOURLY_RATE-FIXED_SEASON_COST)</f>
        <v/>
      </c>
      <c r="AG322" s="53" t="str">
        <f aca="false">IF(OR($A322&gt;TOMATO_BED_CAP,$B322&gt;CARROT_BED_CAP,AG$4&gt;MESCLUN_BED_CAP,$A322+$B322+AG$4&gt;TOTAL_BEDS_AVAILABLE,($D322+AG$5)&gt;TOTAL_LABOR_HOURS_CAP,MAX(0,($D322+AG$5)-PERMANENT_FIELD_LABOR_HOURS)&gt;TEMP_HOURS_CAP),"",$C322+AG$6-MIN(($D322+AG$5),PERMANENT_FIELD_LABOR_HOURS)*PERMANENT_HOURLY_RATE-MAX(0,($D322+AG$5)-PERMANENT_FIELD_LABOR_HOURS)*TEMP_HOURLY_RATE-FIXED_SEASON_COST)</f>
        <v/>
      </c>
      <c r="AH322" s="53" t="str">
        <f aca="false">IF(OR($A322&gt;TOMATO_BED_CAP,$B322&gt;CARROT_BED_CAP,AH$4&gt;MESCLUN_BED_CAP,$A322+$B322+AH$4&gt;TOTAL_BEDS_AVAILABLE,($D322+AH$5)&gt;TOTAL_LABOR_HOURS_CAP,MAX(0,($D322+AH$5)-PERMANENT_FIELD_LABOR_HOURS)&gt;TEMP_HOURS_CAP),"",$C322+AH$6-MIN(($D322+AH$5),PERMANENT_FIELD_LABOR_HOURS)*PERMANENT_HOURLY_RATE-MAX(0,($D322+AH$5)-PERMANENT_FIELD_LABOR_HOURS)*TEMP_HOURLY_RATE-FIXED_SEASON_COST)</f>
        <v/>
      </c>
      <c r="AI322" s="53" t="str">
        <f aca="false">IF(OR($A322&gt;TOMATO_BED_CAP,$B322&gt;CARROT_BED_CAP,AI$4&gt;MESCLUN_BED_CAP,$A322+$B322+AI$4&gt;TOTAL_BEDS_AVAILABLE,($D322+AI$5)&gt;TOTAL_LABOR_HOURS_CAP,MAX(0,($D322+AI$5)-PERMANENT_FIELD_LABOR_HOURS)&gt;TEMP_HOURS_CAP),"",$C322+AI$6-MIN(($D322+AI$5),PERMANENT_FIELD_LABOR_HOURS)*PERMANENT_HOURLY_RATE-MAX(0,($D322+AI$5)-PERMANENT_FIELD_LABOR_HOURS)*TEMP_HOURLY_RATE-FIXED_SEASON_COST)</f>
        <v/>
      </c>
      <c r="AJ322" s="53" t="str">
        <f aca="false">IF(OR($A322&gt;TOMATO_BED_CAP,$B322&gt;CARROT_BED_CAP,AJ$4&gt;MESCLUN_BED_CAP,$A322+$B322+AJ$4&gt;TOTAL_BEDS_AVAILABLE,($D322+AJ$5)&gt;TOTAL_LABOR_HOURS_CAP,MAX(0,($D322+AJ$5)-PERMANENT_FIELD_LABOR_HOURS)&gt;TEMP_HOURS_CAP),"",$C322+AJ$6-MIN(($D322+AJ$5),PERMANENT_FIELD_LABOR_HOURS)*PERMANENT_HOURLY_RATE-MAX(0,($D322+AJ$5)-PERMANENT_FIELD_LABOR_HOURS)*TEMP_HOURLY_RATE-FIXED_SEASON_COST)</f>
        <v/>
      </c>
    </row>
    <row r="323" customFormat="false" ht="15" hidden="false" customHeight="false" outlineLevel="0" collapsed="false">
      <c r="A323" s="21" t="n">
        <f aca="false">INT((ROW()-ROW($A$8))/(20+1))</f>
        <v>15</v>
      </c>
      <c r="B323" s="21" t="n">
        <f aca="false">MOD(ROW()-ROW($A$8),20+1)</f>
        <v>0</v>
      </c>
      <c r="C323" s="13" t="n">
        <f aca="false">A323*(TOMATO_REVENUE_PER_BED-TOMATO_FERTILIZER_PER_BED)+B323*(CARROT_REVENUE_PER_BED-CARROT_FERTILIZER_PER_BED)</f>
        <v>118800</v>
      </c>
      <c r="D323" s="14" t="n">
        <f aca="false">INDEX(TOMATO_SCHED_LABOR_HRS,A323+1)+INDEX(CARROT_SCHED_LABOR_HRS,B323+1)</f>
        <v>5639.28502871114</v>
      </c>
      <c r="E323" s="13" t="n">
        <f aca="false">IF(COUNT(F323:AJ323)=0,"",MAX(F323:AJ323))</f>
        <v>1584.6235361596</v>
      </c>
      <c r="F323" s="53" t="n">
        <f aca="false">IF(OR($A323&gt;TOMATO_BED_CAP,$B323&gt;CARROT_BED_CAP,F$4&gt;MESCLUN_BED_CAP,$A323+$B323+F$4&gt;TOTAL_BEDS_AVAILABLE,($D323+F$5)&gt;TOTAL_LABOR_HOURS_CAP,MAX(0,($D323+F$5)-PERMANENT_FIELD_LABOR_HOURS)&gt;TEMP_HOURS_CAP),"",$C323+F$6-MIN(($D323+F$5),PERMANENT_FIELD_LABOR_HOURS)*PERMANENT_HOURLY_RATE-MAX(0,($D323+F$5)-PERMANENT_FIELD_LABOR_HOURS)*TEMP_HOURLY_RATE-FIXED_SEASON_COST)</f>
        <v>-11597.1880984253</v>
      </c>
      <c r="G323" s="53" t="n">
        <f aca="false">IF(OR($A323&gt;TOMATO_BED_CAP,$B323&gt;CARROT_BED_CAP,G$4&gt;MESCLUN_BED_CAP,$A323+$B323+G$4&gt;TOTAL_BEDS_AVAILABLE,($D323+G$5)&gt;TOTAL_LABOR_HOURS_CAP,MAX(0,($D323+G$5)-PERMANENT_FIELD_LABOR_HOURS)&gt;TEMP_HOURS_CAP),"",$C323+G$6-MIN(($D323+G$5),PERMANENT_FIELD_LABOR_HOURS)*PERMANENT_HOURLY_RATE-MAX(0,($D323+G$5)-PERMANENT_FIELD_LABOR_HOURS)*TEMP_HOURLY_RATE-FIXED_SEASON_COST)</f>
        <v>-10568.1530984253</v>
      </c>
      <c r="H323" s="53" t="n">
        <f aca="false">IF(OR($A323&gt;TOMATO_BED_CAP,$B323&gt;CARROT_BED_CAP,H$4&gt;MESCLUN_BED_CAP,$A323+$B323+H$4&gt;TOTAL_BEDS_AVAILABLE,($D323+H$5)&gt;TOTAL_LABOR_HOURS_CAP,MAX(0,($D323+H$5)-PERMANENT_FIELD_LABOR_HOURS)&gt;TEMP_HOURS_CAP),"",$C323+H$6-MIN(($D323+H$5),PERMANENT_FIELD_LABOR_HOURS)*PERMANENT_HOURLY_RATE-MAX(0,($D323+H$5)-PERMANENT_FIELD_LABOR_HOURS)*TEMP_HOURLY_RATE-FIXED_SEASON_COST)</f>
        <v>-9558.89222342531</v>
      </c>
      <c r="I323" s="53" t="n">
        <f aca="false">IF(OR($A323&gt;TOMATO_BED_CAP,$B323&gt;CARROT_BED_CAP,I$4&gt;MESCLUN_BED_CAP,$A323+$B323+I$4&gt;TOTAL_BEDS_AVAILABLE,($D323+I$5)&gt;TOTAL_LABOR_HOURS_CAP,MAX(0,($D323+I$5)-PERMANENT_FIELD_LABOR_HOURS)&gt;TEMP_HOURS_CAP),"",$C323+I$6-MIN(($D323+I$5),PERMANENT_FIELD_LABOR_HOURS)*PERMANENT_HOURLY_RATE-MAX(0,($D323+I$5)-PERMANENT_FIELD_LABOR_HOURS)*TEMP_HOURLY_RATE-FIXED_SEASON_COST)</f>
        <v>-8569.77623826907</v>
      </c>
      <c r="J323" s="53" t="n">
        <f aca="false">IF(OR($A323&gt;TOMATO_BED_CAP,$B323&gt;CARROT_BED_CAP,J$4&gt;MESCLUN_BED_CAP,$A323+$B323+J$4&gt;TOTAL_BEDS_AVAILABLE,($D323+J$5)&gt;TOTAL_LABOR_HOURS_CAP,MAX(0,($D323+J$5)-PERMANENT_FIELD_LABOR_HOURS)&gt;TEMP_HOURS_CAP),"",$C323+J$6-MIN(($D323+J$5),PERMANENT_FIELD_LABOR_HOURS)*PERMANENT_HOURLY_RATE-MAX(0,($D323+J$5)-PERMANENT_FIELD_LABOR_HOURS)*TEMP_HOURLY_RATE-FIXED_SEASON_COST)</f>
        <v>-7601.18208721437</v>
      </c>
      <c r="K323" s="53" t="n">
        <f aca="false">IF(OR($A323&gt;TOMATO_BED_CAP,$B323&gt;CARROT_BED_CAP,K$4&gt;MESCLUN_BED_CAP,$A323+$B323+K$4&gt;TOTAL_BEDS_AVAILABLE,($D323+K$5)&gt;TOTAL_LABOR_HOURS_CAP,MAX(0,($D323+K$5)-PERMANENT_FIELD_LABOR_HOURS)&gt;TEMP_HOURS_CAP),"",$C323+K$6-MIN(($D323+K$5),PERMANENT_FIELD_LABOR_HOURS)*PERMANENT_HOURLY_RATE-MAX(0,($D323+K$5)-PERMANENT_FIELD_LABOR_HOURS)*TEMP_HOURLY_RATE-FIXED_SEASON_COST)</f>
        <v>-6653.49299048647</v>
      </c>
      <c r="L323" s="53" t="n">
        <f aca="false">IF(OR($A323&gt;TOMATO_BED_CAP,$B323&gt;CARROT_BED_CAP,L$4&gt;MESCLUN_BED_CAP,$A323+$B323+L$4&gt;TOTAL_BEDS_AVAILABLE,($D323+L$5)&gt;TOTAL_LABOR_HOURS_CAP,MAX(0,($D323+L$5)-PERMANENT_FIELD_LABOR_HOURS)&gt;TEMP_HOURS_CAP),"",$C323+L$6-MIN(($D323+L$5),PERMANENT_FIELD_LABOR_HOURS)*PERMANENT_HOURLY_RATE-MAX(0,($D323+L$5)-PERMANENT_FIELD_LABOR_HOURS)*TEMP_HOURLY_RATE-FIXED_SEASON_COST)</f>
        <v>-5727.09854227962</v>
      </c>
      <c r="M323" s="53" t="n">
        <f aca="false">IF(OR($A323&gt;TOMATO_BED_CAP,$B323&gt;CARROT_BED_CAP,M$4&gt;MESCLUN_BED_CAP,$A323+$B323+M$4&gt;TOTAL_BEDS_AVAILABLE,($D323+M$5)&gt;TOTAL_LABOR_HOURS_CAP,MAX(0,($D323+M$5)-PERMANENT_FIELD_LABOR_HOURS)&gt;TEMP_HOURS_CAP),"",$C323+M$6-MIN(($D323+M$5),PERMANENT_FIELD_LABOR_HOURS)*PERMANENT_HOURLY_RATE-MAX(0,($D323+M$5)-PERMANENT_FIELD_LABOR_HOURS)*TEMP_HOURLY_RATE-FIXED_SEASON_COST)</f>
        <v>-4822.39481022822</v>
      </c>
      <c r="N323" s="53" t="n">
        <f aca="false">IF(OR($A323&gt;TOMATO_BED_CAP,$B323&gt;CARROT_BED_CAP,N$4&gt;MESCLUN_BED_CAP,$A323+$B323+N$4&gt;TOTAL_BEDS_AVAILABLE,($D323+N$5)&gt;TOTAL_LABOR_HOURS_CAP,MAX(0,($D323+N$5)-PERMANENT_FIELD_LABOR_HOURS)&gt;TEMP_HOURS_CAP),"",$C323+N$6-MIN(($D323+N$5),PERMANENT_FIELD_LABOR_HOURS)*PERMANENT_HOURLY_RATE-MAX(0,($D323+N$5)-PERMANENT_FIELD_LABOR_HOURS)*TEMP_HOURLY_RATE-FIXED_SEASON_COST)</f>
        <v>-3939.78443636866</v>
      </c>
      <c r="O323" s="53" t="n">
        <f aca="false">IF(OR($A323&gt;TOMATO_BED_CAP,$B323&gt;CARROT_BED_CAP,O$4&gt;MESCLUN_BED_CAP,$A323+$B323+O$4&gt;TOTAL_BEDS_AVAILABLE,($D323+O$5)&gt;TOTAL_LABOR_HOURS_CAP,MAX(0,($D323+O$5)-PERMANENT_FIELD_LABOR_HOURS)&gt;TEMP_HOURS_CAP),"",$C323+O$6-MIN(($D323+O$5),PERMANENT_FIELD_LABOR_HOURS)*PERMANENT_HOURLY_RATE-MAX(0,($D323+O$5)-PERMANENT_FIELD_LABOR_HOURS)*TEMP_HOURLY_RATE-FIXED_SEASON_COST)</f>
        <v>-3079.67673961392</v>
      </c>
      <c r="P323" s="53" t="n">
        <f aca="false">IF(OR($A323&gt;TOMATO_BED_CAP,$B323&gt;CARROT_BED_CAP,P$4&gt;MESCLUN_BED_CAP,$A323+$B323+P$4&gt;TOTAL_BEDS_AVAILABLE,($D323+P$5)&gt;TOTAL_LABOR_HOURS_CAP,MAX(0,($D323+P$5)-PERMANENT_FIELD_LABOR_HOURS)&gt;TEMP_HOURS_CAP),"",$C323+P$6-MIN(($D323+P$5),PERMANENT_FIELD_LABOR_HOURS)*PERMANENT_HOURLY_RATE-MAX(0,($D323+P$5)-PERMANENT_FIELD_LABOR_HOURS)*TEMP_HOURLY_RATE-FIXED_SEASON_COST)</f>
        <v>-2242.48781976248</v>
      </c>
      <c r="Q323" s="53" t="n">
        <f aca="false">IF(OR($A323&gt;TOMATO_BED_CAP,$B323&gt;CARROT_BED_CAP,Q$4&gt;MESCLUN_BED_CAP,$A323+$B323+Q$4&gt;TOTAL_BEDS_AVAILABLE,($D323+Q$5)&gt;TOTAL_LABOR_HOURS_CAP,MAX(0,($D323+Q$5)-PERMANENT_FIELD_LABOR_HOURS)&gt;TEMP_HOURS_CAP),"",$C323+Q$6-MIN(($D323+Q$5),PERMANENT_FIELD_LABOR_HOURS)*PERMANENT_HOURLY_RATE-MAX(0,($D323+Q$5)-PERMANENT_FIELD_LABOR_HOURS)*TEMP_HOURLY_RATE-FIXED_SEASON_COST)</f>
        <v>-1428.64066306459</v>
      </c>
      <c r="R323" s="53" t="n">
        <f aca="false">IF(OR($A323&gt;TOMATO_BED_CAP,$B323&gt;CARROT_BED_CAP,R$4&gt;MESCLUN_BED_CAP,$A323+$B323+R$4&gt;TOTAL_BEDS_AVAILABLE,($D323+R$5)&gt;TOTAL_LABOR_HOURS_CAP,MAX(0,($D323+R$5)-PERMANENT_FIELD_LABOR_HOURS)&gt;TEMP_HOURS_CAP),"",$C323+R$6-MIN(($D323+R$5),PERMANENT_FIELD_LABOR_HOURS)*PERMANENT_HOURLY_RATE-MAX(0,($D323+R$5)-PERMANENT_FIELD_LABOR_HOURS)*TEMP_HOURLY_RATE-FIXED_SEASON_COST)</f>
        <v>-638.565249367777</v>
      </c>
      <c r="S323" s="53" t="n">
        <f aca="false">IF(OR($A323&gt;TOMATO_BED_CAP,$B323&gt;CARROT_BED_CAP,S$4&gt;MESCLUN_BED_CAP,$A323+$B323+S$4&gt;TOTAL_BEDS_AVAILABLE,($D323+S$5)&gt;TOTAL_LABOR_HOURS_CAP,MAX(0,($D323+S$5)-PERMANENT_FIELD_LABOR_HOURS)&gt;TEMP_HOURS_CAP),"",$C323+S$6-MIN(($D323+S$5),PERMANENT_FIELD_LABOR_HOURS)*PERMANENT_HOURLY_RATE-MAX(0,($D323+S$5)-PERMANENT_FIELD_LABOR_HOURS)*TEMP_HOURLY_RATE-FIXED_SEASON_COST)</f>
        <v>127.301339134676</v>
      </c>
      <c r="T323" s="53" t="n">
        <f aca="false">IF(OR($A323&gt;TOMATO_BED_CAP,$B323&gt;CARROT_BED_CAP,T$4&gt;MESCLUN_BED_CAP,$A323+$B323+T$4&gt;TOTAL_BEDS_AVAILABLE,($D323+T$5)&gt;TOTAL_LABOR_HOURS_CAP,MAX(0,($D323+T$5)-PERMANENT_FIELD_LABOR_HOURS)&gt;TEMP_HOURS_CAP),"",$C323+T$6-MIN(($D323+T$5),PERMANENT_FIELD_LABOR_HOURS)*PERMANENT_HOURLY_RATE-MAX(0,($D323+T$5)-PERMANENT_FIELD_LABOR_HOURS)*TEMP_HOURLY_RATE-FIXED_SEASON_COST)</f>
        <v>868.514807529515</v>
      </c>
      <c r="U323" s="53" t="n">
        <f aca="false">IF(OR($A323&gt;TOMATO_BED_CAP,$B323&gt;CARROT_BED_CAP,U$4&gt;MESCLUN_BED_CAP,$A323+$B323+U$4&gt;TOTAL_BEDS_AVAILABLE,($D323+U$5)&gt;TOTAL_LABOR_HOURS_CAP,MAX(0,($D323+U$5)-PERMANENT_FIELD_LABOR_HOURS)&gt;TEMP_HOURS_CAP),"",$C323+U$6-MIN(($D323+U$5),PERMANENT_FIELD_LABOR_HOURS)*PERMANENT_HOURLY_RATE-MAX(0,($D323+U$5)-PERMANENT_FIELD_LABOR_HOURS)*TEMP_HOURLY_RATE-FIXED_SEASON_COST)</f>
        <v>1584.6235361596</v>
      </c>
      <c r="V323" s="53" t="str">
        <f aca="false">IF(OR($A323&gt;TOMATO_BED_CAP,$B323&gt;CARROT_BED_CAP,V$4&gt;MESCLUN_BED_CAP,$A323+$B323+V$4&gt;TOTAL_BEDS_AVAILABLE,($D323+V$5)&gt;TOTAL_LABOR_HOURS_CAP,MAX(0,($D323+V$5)-PERMANENT_FIELD_LABOR_HOURS)&gt;TEMP_HOURS_CAP),"",$C323+V$6-MIN(($D323+V$5),PERMANENT_FIELD_LABOR_HOURS)*PERMANENT_HOURLY_RATE-MAX(0,($D323+V$5)-PERMANENT_FIELD_LABOR_HOURS)*TEMP_HOURLY_RATE-FIXED_SEASON_COST)</f>
        <v/>
      </c>
      <c r="W323" s="53" t="str">
        <f aca="false">IF(OR($A323&gt;TOMATO_BED_CAP,$B323&gt;CARROT_BED_CAP,W$4&gt;MESCLUN_BED_CAP,$A323+$B323+W$4&gt;TOTAL_BEDS_AVAILABLE,($D323+W$5)&gt;TOTAL_LABOR_HOURS_CAP,MAX(0,($D323+W$5)-PERMANENT_FIELD_LABOR_HOURS)&gt;TEMP_HOURS_CAP),"",$C323+W$6-MIN(($D323+W$5),PERMANENT_FIELD_LABOR_HOURS)*PERMANENT_HOURLY_RATE-MAX(0,($D323+W$5)-PERMANENT_FIELD_LABOR_HOURS)*TEMP_HOURLY_RATE-FIXED_SEASON_COST)</f>
        <v/>
      </c>
      <c r="X323" s="53" t="str">
        <f aca="false">IF(OR($A323&gt;TOMATO_BED_CAP,$B323&gt;CARROT_BED_CAP,X$4&gt;MESCLUN_BED_CAP,$A323+$B323+X$4&gt;TOTAL_BEDS_AVAILABLE,($D323+X$5)&gt;TOTAL_LABOR_HOURS_CAP,MAX(0,($D323+X$5)-PERMANENT_FIELD_LABOR_HOURS)&gt;TEMP_HOURS_CAP),"",$C323+X$6-MIN(($D323+X$5),PERMANENT_FIELD_LABOR_HOURS)*PERMANENT_HOURLY_RATE-MAX(0,($D323+X$5)-PERMANENT_FIELD_LABOR_HOURS)*TEMP_HOURLY_RATE-FIXED_SEASON_COST)</f>
        <v/>
      </c>
      <c r="Y323" s="53" t="str">
        <f aca="false">IF(OR($A323&gt;TOMATO_BED_CAP,$B323&gt;CARROT_BED_CAP,Y$4&gt;MESCLUN_BED_CAP,$A323+$B323+Y$4&gt;TOTAL_BEDS_AVAILABLE,($D323+Y$5)&gt;TOTAL_LABOR_HOURS_CAP,MAX(0,($D323+Y$5)-PERMANENT_FIELD_LABOR_HOURS)&gt;TEMP_HOURS_CAP),"",$C323+Y$6-MIN(($D323+Y$5),PERMANENT_FIELD_LABOR_HOURS)*PERMANENT_HOURLY_RATE-MAX(0,($D323+Y$5)-PERMANENT_FIELD_LABOR_HOURS)*TEMP_HOURLY_RATE-FIXED_SEASON_COST)</f>
        <v/>
      </c>
      <c r="Z323" s="53" t="str">
        <f aca="false">IF(OR($A323&gt;TOMATO_BED_CAP,$B323&gt;CARROT_BED_CAP,Z$4&gt;MESCLUN_BED_CAP,$A323+$B323+Z$4&gt;TOTAL_BEDS_AVAILABLE,($D323+Z$5)&gt;TOTAL_LABOR_HOURS_CAP,MAX(0,($D323+Z$5)-PERMANENT_FIELD_LABOR_HOURS)&gt;TEMP_HOURS_CAP),"",$C323+Z$6-MIN(($D323+Z$5),PERMANENT_FIELD_LABOR_HOURS)*PERMANENT_HOURLY_RATE-MAX(0,($D323+Z$5)-PERMANENT_FIELD_LABOR_HOURS)*TEMP_HOURLY_RATE-FIXED_SEASON_COST)</f>
        <v/>
      </c>
      <c r="AA323" s="53" t="str">
        <f aca="false">IF(OR($A323&gt;TOMATO_BED_CAP,$B323&gt;CARROT_BED_CAP,AA$4&gt;MESCLUN_BED_CAP,$A323+$B323+AA$4&gt;TOTAL_BEDS_AVAILABLE,($D323+AA$5)&gt;TOTAL_LABOR_HOURS_CAP,MAX(0,($D323+AA$5)-PERMANENT_FIELD_LABOR_HOURS)&gt;TEMP_HOURS_CAP),"",$C323+AA$6-MIN(($D323+AA$5),PERMANENT_FIELD_LABOR_HOURS)*PERMANENT_HOURLY_RATE-MAX(0,($D323+AA$5)-PERMANENT_FIELD_LABOR_HOURS)*TEMP_HOURLY_RATE-FIXED_SEASON_COST)</f>
        <v/>
      </c>
      <c r="AB323" s="53" t="str">
        <f aca="false">IF(OR($A323&gt;TOMATO_BED_CAP,$B323&gt;CARROT_BED_CAP,AB$4&gt;MESCLUN_BED_CAP,$A323+$B323+AB$4&gt;TOTAL_BEDS_AVAILABLE,($D323+AB$5)&gt;TOTAL_LABOR_HOURS_CAP,MAX(0,($D323+AB$5)-PERMANENT_FIELD_LABOR_HOURS)&gt;TEMP_HOURS_CAP),"",$C323+AB$6-MIN(($D323+AB$5),PERMANENT_FIELD_LABOR_HOURS)*PERMANENT_HOURLY_RATE-MAX(0,($D323+AB$5)-PERMANENT_FIELD_LABOR_HOURS)*TEMP_HOURLY_RATE-FIXED_SEASON_COST)</f>
        <v/>
      </c>
      <c r="AC323" s="53" t="str">
        <f aca="false">IF(OR($A323&gt;TOMATO_BED_CAP,$B323&gt;CARROT_BED_CAP,AC$4&gt;MESCLUN_BED_CAP,$A323+$B323+AC$4&gt;TOTAL_BEDS_AVAILABLE,($D323+AC$5)&gt;TOTAL_LABOR_HOURS_CAP,MAX(0,($D323+AC$5)-PERMANENT_FIELD_LABOR_HOURS)&gt;TEMP_HOURS_CAP),"",$C323+AC$6-MIN(($D323+AC$5),PERMANENT_FIELD_LABOR_HOURS)*PERMANENT_HOURLY_RATE-MAX(0,($D323+AC$5)-PERMANENT_FIELD_LABOR_HOURS)*TEMP_HOURLY_RATE-FIXED_SEASON_COST)</f>
        <v/>
      </c>
      <c r="AD323" s="53" t="str">
        <f aca="false">IF(OR($A323&gt;TOMATO_BED_CAP,$B323&gt;CARROT_BED_CAP,AD$4&gt;MESCLUN_BED_CAP,$A323+$B323+AD$4&gt;TOTAL_BEDS_AVAILABLE,($D323+AD$5)&gt;TOTAL_LABOR_HOURS_CAP,MAX(0,($D323+AD$5)-PERMANENT_FIELD_LABOR_HOURS)&gt;TEMP_HOURS_CAP),"",$C323+AD$6-MIN(($D323+AD$5),PERMANENT_FIELD_LABOR_HOURS)*PERMANENT_HOURLY_RATE-MAX(0,($D323+AD$5)-PERMANENT_FIELD_LABOR_HOURS)*TEMP_HOURLY_RATE-FIXED_SEASON_COST)</f>
        <v/>
      </c>
      <c r="AE323" s="53" t="str">
        <f aca="false">IF(OR($A323&gt;TOMATO_BED_CAP,$B323&gt;CARROT_BED_CAP,AE$4&gt;MESCLUN_BED_CAP,$A323+$B323+AE$4&gt;TOTAL_BEDS_AVAILABLE,($D323+AE$5)&gt;TOTAL_LABOR_HOURS_CAP,MAX(0,($D323+AE$5)-PERMANENT_FIELD_LABOR_HOURS)&gt;TEMP_HOURS_CAP),"",$C323+AE$6-MIN(($D323+AE$5),PERMANENT_FIELD_LABOR_HOURS)*PERMANENT_HOURLY_RATE-MAX(0,($D323+AE$5)-PERMANENT_FIELD_LABOR_HOURS)*TEMP_HOURLY_RATE-FIXED_SEASON_COST)</f>
        <v/>
      </c>
      <c r="AF323" s="53" t="str">
        <f aca="false">IF(OR($A323&gt;TOMATO_BED_CAP,$B323&gt;CARROT_BED_CAP,AF$4&gt;MESCLUN_BED_CAP,$A323+$B323+AF$4&gt;TOTAL_BEDS_AVAILABLE,($D323+AF$5)&gt;TOTAL_LABOR_HOURS_CAP,MAX(0,($D323+AF$5)-PERMANENT_FIELD_LABOR_HOURS)&gt;TEMP_HOURS_CAP),"",$C323+AF$6-MIN(($D323+AF$5),PERMANENT_FIELD_LABOR_HOURS)*PERMANENT_HOURLY_RATE-MAX(0,($D323+AF$5)-PERMANENT_FIELD_LABOR_HOURS)*TEMP_HOURLY_RATE-FIXED_SEASON_COST)</f>
        <v/>
      </c>
      <c r="AG323" s="53" t="str">
        <f aca="false">IF(OR($A323&gt;TOMATO_BED_CAP,$B323&gt;CARROT_BED_CAP,AG$4&gt;MESCLUN_BED_CAP,$A323+$B323+AG$4&gt;TOTAL_BEDS_AVAILABLE,($D323+AG$5)&gt;TOTAL_LABOR_HOURS_CAP,MAX(0,($D323+AG$5)-PERMANENT_FIELD_LABOR_HOURS)&gt;TEMP_HOURS_CAP),"",$C323+AG$6-MIN(($D323+AG$5),PERMANENT_FIELD_LABOR_HOURS)*PERMANENT_HOURLY_RATE-MAX(0,($D323+AG$5)-PERMANENT_FIELD_LABOR_HOURS)*TEMP_HOURLY_RATE-FIXED_SEASON_COST)</f>
        <v/>
      </c>
      <c r="AH323" s="53" t="str">
        <f aca="false">IF(OR($A323&gt;TOMATO_BED_CAP,$B323&gt;CARROT_BED_CAP,AH$4&gt;MESCLUN_BED_CAP,$A323+$B323+AH$4&gt;TOTAL_BEDS_AVAILABLE,($D323+AH$5)&gt;TOTAL_LABOR_HOURS_CAP,MAX(0,($D323+AH$5)-PERMANENT_FIELD_LABOR_HOURS)&gt;TEMP_HOURS_CAP),"",$C323+AH$6-MIN(($D323+AH$5),PERMANENT_FIELD_LABOR_HOURS)*PERMANENT_HOURLY_RATE-MAX(0,($D323+AH$5)-PERMANENT_FIELD_LABOR_HOURS)*TEMP_HOURLY_RATE-FIXED_SEASON_COST)</f>
        <v/>
      </c>
      <c r="AI323" s="53" t="str">
        <f aca="false">IF(OR($A323&gt;TOMATO_BED_CAP,$B323&gt;CARROT_BED_CAP,AI$4&gt;MESCLUN_BED_CAP,$A323+$B323+AI$4&gt;TOTAL_BEDS_AVAILABLE,($D323+AI$5)&gt;TOTAL_LABOR_HOURS_CAP,MAX(0,($D323+AI$5)-PERMANENT_FIELD_LABOR_HOURS)&gt;TEMP_HOURS_CAP),"",$C323+AI$6-MIN(($D323+AI$5),PERMANENT_FIELD_LABOR_HOURS)*PERMANENT_HOURLY_RATE-MAX(0,($D323+AI$5)-PERMANENT_FIELD_LABOR_HOURS)*TEMP_HOURLY_RATE-FIXED_SEASON_COST)</f>
        <v/>
      </c>
      <c r="AJ323" s="53" t="str">
        <f aca="false">IF(OR($A323&gt;TOMATO_BED_CAP,$B323&gt;CARROT_BED_CAP,AJ$4&gt;MESCLUN_BED_CAP,$A323+$B323+AJ$4&gt;TOTAL_BEDS_AVAILABLE,($D323+AJ$5)&gt;TOTAL_LABOR_HOURS_CAP,MAX(0,($D323+AJ$5)-PERMANENT_FIELD_LABOR_HOURS)&gt;TEMP_HOURS_CAP),"",$C323+AJ$6-MIN(($D323+AJ$5),PERMANENT_FIELD_LABOR_HOURS)*PERMANENT_HOURLY_RATE-MAX(0,($D323+AJ$5)-PERMANENT_FIELD_LABOR_HOURS)*TEMP_HOURLY_RATE-FIXED_SEASON_COST)</f>
        <v/>
      </c>
    </row>
    <row r="324" customFormat="false" ht="15" hidden="false" customHeight="false" outlineLevel="0" collapsed="false">
      <c r="A324" s="21" t="n">
        <f aca="false">INT((ROW()-ROW($A$8))/(20+1))</f>
        <v>15</v>
      </c>
      <c r="B324" s="21" t="n">
        <f aca="false">MOD(ROW()-ROW($A$8),20+1)</f>
        <v>1</v>
      </c>
      <c r="C324" s="13" t="n">
        <f aca="false">A324*(TOMATO_REVENUE_PER_BED-TOMATO_FERTILIZER_PER_BED)+B324*(CARROT_REVENUE_PER_BED-CARROT_FERTILIZER_PER_BED)</f>
        <v>120454</v>
      </c>
      <c r="D324" s="14" t="n">
        <f aca="false">INDEX(TOMATO_SCHED_LABOR_HRS,A324+1)+INDEX(CARROT_SCHED_LABOR_HRS,B324+1)</f>
        <v>5670.02272871114</v>
      </c>
      <c r="E324" s="13" t="n">
        <f aca="false">IF(COUNT(F324:AJ324)=0,"",MAX(F324:AJ324))</f>
        <v>1988.90833552952</v>
      </c>
      <c r="F324" s="53" t="n">
        <f aca="false">IF(OR($A324&gt;TOMATO_BED_CAP,$B324&gt;CARROT_BED_CAP,F$4&gt;MESCLUN_BED_CAP,$A324+$B324+F$4&gt;TOTAL_BEDS_AVAILABLE,($D324+F$5)&gt;TOTAL_LABOR_HOURS_CAP,MAX(0,($D324+F$5)-PERMANENT_FIELD_LABOR_HOURS)&gt;TEMP_HOURS_CAP),"",$C324+F$6-MIN(($D324+F$5),PERMANENT_FIELD_LABOR_HOURS)*PERMANENT_HOURLY_RATE-MAX(0,($D324+F$5)-PERMANENT_FIELD_LABOR_HOURS)*TEMP_HOURLY_RATE-FIXED_SEASON_COST)</f>
        <v>-10476.7945704253</v>
      </c>
      <c r="G324" s="53" t="n">
        <f aca="false">IF(OR($A324&gt;TOMATO_BED_CAP,$B324&gt;CARROT_BED_CAP,G$4&gt;MESCLUN_BED_CAP,$A324+$B324+G$4&gt;TOTAL_BEDS_AVAILABLE,($D324+G$5)&gt;TOTAL_LABOR_HOURS_CAP,MAX(0,($D324+G$5)-PERMANENT_FIELD_LABOR_HOURS)&gt;TEMP_HOURS_CAP),"",$C324+G$6-MIN(($D324+G$5),PERMANENT_FIELD_LABOR_HOURS)*PERMANENT_HOURLY_RATE-MAX(0,($D324+G$5)-PERMANENT_FIELD_LABOR_HOURS)*TEMP_HOURLY_RATE-FIXED_SEASON_COST)</f>
        <v>-9447.7595704253</v>
      </c>
      <c r="H324" s="53" t="n">
        <f aca="false">IF(OR($A324&gt;TOMATO_BED_CAP,$B324&gt;CARROT_BED_CAP,H$4&gt;MESCLUN_BED_CAP,$A324+$B324+H$4&gt;TOTAL_BEDS_AVAILABLE,($D324+H$5)&gt;TOTAL_LABOR_HOURS_CAP,MAX(0,($D324+H$5)-PERMANENT_FIELD_LABOR_HOURS)&gt;TEMP_HOURS_CAP),"",$C324+H$6-MIN(($D324+H$5),PERMANENT_FIELD_LABOR_HOURS)*PERMANENT_HOURLY_RATE-MAX(0,($D324+H$5)-PERMANENT_FIELD_LABOR_HOURS)*TEMP_HOURLY_RATE-FIXED_SEASON_COST)</f>
        <v>-8438.49869542531</v>
      </c>
      <c r="I324" s="53" t="n">
        <f aca="false">IF(OR($A324&gt;TOMATO_BED_CAP,$B324&gt;CARROT_BED_CAP,I$4&gt;MESCLUN_BED_CAP,$A324+$B324+I$4&gt;TOTAL_BEDS_AVAILABLE,($D324+I$5)&gt;TOTAL_LABOR_HOURS_CAP,MAX(0,($D324+I$5)-PERMANENT_FIELD_LABOR_HOURS)&gt;TEMP_HOURS_CAP),"",$C324+I$6-MIN(($D324+I$5),PERMANENT_FIELD_LABOR_HOURS)*PERMANENT_HOURLY_RATE-MAX(0,($D324+I$5)-PERMANENT_FIELD_LABOR_HOURS)*TEMP_HOURLY_RATE-FIXED_SEASON_COST)</f>
        <v>-7449.38271026906</v>
      </c>
      <c r="J324" s="53" t="n">
        <f aca="false">IF(OR($A324&gt;TOMATO_BED_CAP,$B324&gt;CARROT_BED_CAP,J$4&gt;MESCLUN_BED_CAP,$A324+$B324+J$4&gt;TOTAL_BEDS_AVAILABLE,($D324+J$5)&gt;TOTAL_LABOR_HOURS_CAP,MAX(0,($D324+J$5)-PERMANENT_FIELD_LABOR_HOURS)&gt;TEMP_HOURS_CAP),"",$C324+J$6-MIN(($D324+J$5),PERMANENT_FIELD_LABOR_HOURS)*PERMANENT_HOURLY_RATE-MAX(0,($D324+J$5)-PERMANENT_FIELD_LABOR_HOURS)*TEMP_HOURLY_RATE-FIXED_SEASON_COST)</f>
        <v>-6480.78855921437</v>
      </c>
      <c r="K324" s="53" t="n">
        <f aca="false">IF(OR($A324&gt;TOMATO_BED_CAP,$B324&gt;CARROT_BED_CAP,K$4&gt;MESCLUN_BED_CAP,$A324+$B324+K$4&gt;TOTAL_BEDS_AVAILABLE,($D324+K$5)&gt;TOTAL_LABOR_HOURS_CAP,MAX(0,($D324+K$5)-PERMANENT_FIELD_LABOR_HOURS)&gt;TEMP_HOURS_CAP),"",$C324+K$6-MIN(($D324+K$5),PERMANENT_FIELD_LABOR_HOURS)*PERMANENT_HOURLY_RATE-MAX(0,($D324+K$5)-PERMANENT_FIELD_LABOR_HOURS)*TEMP_HOURLY_RATE-FIXED_SEASON_COST)</f>
        <v>-5533.09946248645</v>
      </c>
      <c r="L324" s="53" t="n">
        <f aca="false">IF(OR($A324&gt;TOMATO_BED_CAP,$B324&gt;CARROT_BED_CAP,L$4&gt;MESCLUN_BED_CAP,$A324+$B324+L$4&gt;TOTAL_BEDS_AVAILABLE,($D324+L$5)&gt;TOTAL_LABOR_HOURS_CAP,MAX(0,($D324+L$5)-PERMANENT_FIELD_LABOR_HOURS)&gt;TEMP_HOURS_CAP),"",$C324+L$6-MIN(($D324+L$5),PERMANENT_FIELD_LABOR_HOURS)*PERMANENT_HOURLY_RATE-MAX(0,($D324+L$5)-PERMANENT_FIELD_LABOR_HOURS)*TEMP_HOURLY_RATE-FIXED_SEASON_COST)</f>
        <v>-4606.70501427961</v>
      </c>
      <c r="M324" s="53" t="n">
        <f aca="false">IF(OR($A324&gt;TOMATO_BED_CAP,$B324&gt;CARROT_BED_CAP,M$4&gt;MESCLUN_BED_CAP,$A324+$B324+M$4&gt;TOTAL_BEDS_AVAILABLE,($D324+M$5)&gt;TOTAL_LABOR_HOURS_CAP,MAX(0,($D324+M$5)-PERMANENT_FIELD_LABOR_HOURS)&gt;TEMP_HOURS_CAP),"",$C324+M$6-MIN(($D324+M$5),PERMANENT_FIELD_LABOR_HOURS)*PERMANENT_HOURLY_RATE-MAX(0,($D324+M$5)-PERMANENT_FIELD_LABOR_HOURS)*TEMP_HOURLY_RATE-FIXED_SEASON_COST)</f>
        <v>-3702.00128222822</v>
      </c>
      <c r="N324" s="53" t="n">
        <f aca="false">IF(OR($A324&gt;TOMATO_BED_CAP,$B324&gt;CARROT_BED_CAP,N$4&gt;MESCLUN_BED_CAP,$A324+$B324+N$4&gt;TOTAL_BEDS_AVAILABLE,($D324+N$5)&gt;TOTAL_LABOR_HOURS_CAP,MAX(0,($D324+N$5)-PERMANENT_FIELD_LABOR_HOURS)&gt;TEMP_HOURS_CAP),"",$C324+N$6-MIN(($D324+N$5),PERMANENT_FIELD_LABOR_HOURS)*PERMANENT_HOURLY_RATE-MAX(0,($D324+N$5)-PERMANENT_FIELD_LABOR_HOURS)*TEMP_HOURLY_RATE-FIXED_SEASON_COST)</f>
        <v>-2819.39090836866</v>
      </c>
      <c r="O324" s="53" t="n">
        <f aca="false">IF(OR($A324&gt;TOMATO_BED_CAP,$B324&gt;CARROT_BED_CAP,O$4&gt;MESCLUN_BED_CAP,$A324+$B324+O$4&gt;TOTAL_BEDS_AVAILABLE,($D324+O$5)&gt;TOTAL_LABOR_HOURS_CAP,MAX(0,($D324+O$5)-PERMANENT_FIELD_LABOR_HOURS)&gt;TEMP_HOURS_CAP),"",$C324+O$6-MIN(($D324+O$5),PERMANENT_FIELD_LABOR_HOURS)*PERMANENT_HOURLY_RATE-MAX(0,($D324+O$5)-PERMANENT_FIELD_LABOR_HOURS)*TEMP_HOURLY_RATE-FIXED_SEASON_COST)</f>
        <v>-1959.28321161392</v>
      </c>
      <c r="P324" s="53" t="n">
        <f aca="false">IF(OR($A324&gt;TOMATO_BED_CAP,$B324&gt;CARROT_BED_CAP,P$4&gt;MESCLUN_BED_CAP,$A324+$B324+P$4&gt;TOTAL_BEDS_AVAILABLE,($D324+P$5)&gt;TOTAL_LABOR_HOURS_CAP,MAX(0,($D324+P$5)-PERMANENT_FIELD_LABOR_HOURS)&gt;TEMP_HOURS_CAP),"",$C324+P$6-MIN(($D324+P$5),PERMANENT_FIELD_LABOR_HOURS)*PERMANENT_HOURLY_RATE-MAX(0,($D324+P$5)-PERMANENT_FIELD_LABOR_HOURS)*TEMP_HOURLY_RATE-FIXED_SEASON_COST)</f>
        <v>-1122.09429176248</v>
      </c>
      <c r="Q324" s="53" t="n">
        <f aca="false">IF(OR($A324&gt;TOMATO_BED_CAP,$B324&gt;CARROT_BED_CAP,Q$4&gt;MESCLUN_BED_CAP,$A324+$B324+Q$4&gt;TOTAL_BEDS_AVAILABLE,($D324+Q$5)&gt;TOTAL_LABOR_HOURS_CAP,MAX(0,($D324+Q$5)-PERMANENT_FIELD_LABOR_HOURS)&gt;TEMP_HOURS_CAP),"",$C324+Q$6-MIN(($D324+Q$5),PERMANENT_FIELD_LABOR_HOURS)*PERMANENT_HOURLY_RATE-MAX(0,($D324+Q$5)-PERMANENT_FIELD_LABOR_HOURS)*TEMP_HOURLY_RATE-FIXED_SEASON_COST)</f>
        <v>-308.247135064579</v>
      </c>
      <c r="R324" s="53" t="n">
        <f aca="false">IF(OR($A324&gt;TOMATO_BED_CAP,$B324&gt;CARROT_BED_CAP,R$4&gt;MESCLUN_BED_CAP,$A324+$B324+R$4&gt;TOTAL_BEDS_AVAILABLE,($D324+R$5)&gt;TOTAL_LABOR_HOURS_CAP,MAX(0,($D324+R$5)-PERMANENT_FIELD_LABOR_HOURS)&gt;TEMP_HOURS_CAP),"",$C324+R$6-MIN(($D324+R$5),PERMANENT_FIELD_LABOR_HOURS)*PERMANENT_HOURLY_RATE-MAX(0,($D324+R$5)-PERMANENT_FIELD_LABOR_HOURS)*TEMP_HOURLY_RATE-FIXED_SEASON_COST)</f>
        <v>481.828278632223</v>
      </c>
      <c r="S324" s="53" t="n">
        <f aca="false">IF(OR($A324&gt;TOMATO_BED_CAP,$B324&gt;CARROT_BED_CAP,S$4&gt;MESCLUN_BED_CAP,$A324+$B324+S$4&gt;TOTAL_BEDS_AVAILABLE,($D324+S$5)&gt;TOTAL_LABOR_HOURS_CAP,MAX(0,($D324+S$5)-PERMANENT_FIELD_LABOR_HOURS)&gt;TEMP_HOURS_CAP),"",$C324+S$6-MIN(($D324+S$5),PERMANENT_FIELD_LABOR_HOURS)*PERMANENT_HOURLY_RATE-MAX(0,($D324+S$5)-PERMANENT_FIELD_LABOR_HOURS)*TEMP_HOURLY_RATE-FIXED_SEASON_COST)</f>
        <v>1247.69486713468</v>
      </c>
      <c r="T324" s="53" t="n">
        <f aca="false">IF(OR($A324&gt;TOMATO_BED_CAP,$B324&gt;CARROT_BED_CAP,T$4&gt;MESCLUN_BED_CAP,$A324+$B324+T$4&gt;TOTAL_BEDS_AVAILABLE,($D324+T$5)&gt;TOTAL_LABOR_HOURS_CAP,MAX(0,($D324+T$5)-PERMANENT_FIELD_LABOR_HOURS)&gt;TEMP_HOURS_CAP),"",$C324+T$6-MIN(($D324+T$5),PERMANENT_FIELD_LABOR_HOURS)*PERMANENT_HOURLY_RATE-MAX(0,($D324+T$5)-PERMANENT_FIELD_LABOR_HOURS)*TEMP_HOURLY_RATE-FIXED_SEASON_COST)</f>
        <v>1988.90833552952</v>
      </c>
      <c r="U324" s="53" t="str">
        <f aca="false">IF(OR($A324&gt;TOMATO_BED_CAP,$B324&gt;CARROT_BED_CAP,U$4&gt;MESCLUN_BED_CAP,$A324+$B324+U$4&gt;TOTAL_BEDS_AVAILABLE,($D324+U$5)&gt;TOTAL_LABOR_HOURS_CAP,MAX(0,($D324+U$5)-PERMANENT_FIELD_LABOR_HOURS)&gt;TEMP_HOURS_CAP),"",$C324+U$6-MIN(($D324+U$5),PERMANENT_FIELD_LABOR_HOURS)*PERMANENT_HOURLY_RATE-MAX(0,($D324+U$5)-PERMANENT_FIELD_LABOR_HOURS)*TEMP_HOURLY_RATE-FIXED_SEASON_COST)</f>
        <v/>
      </c>
      <c r="V324" s="53" t="str">
        <f aca="false">IF(OR($A324&gt;TOMATO_BED_CAP,$B324&gt;CARROT_BED_CAP,V$4&gt;MESCLUN_BED_CAP,$A324+$B324+V$4&gt;TOTAL_BEDS_AVAILABLE,($D324+V$5)&gt;TOTAL_LABOR_HOURS_CAP,MAX(0,($D324+V$5)-PERMANENT_FIELD_LABOR_HOURS)&gt;TEMP_HOURS_CAP),"",$C324+V$6-MIN(($D324+V$5),PERMANENT_FIELD_LABOR_HOURS)*PERMANENT_HOURLY_RATE-MAX(0,($D324+V$5)-PERMANENT_FIELD_LABOR_HOURS)*TEMP_HOURLY_RATE-FIXED_SEASON_COST)</f>
        <v/>
      </c>
      <c r="W324" s="53" t="str">
        <f aca="false">IF(OR($A324&gt;TOMATO_BED_CAP,$B324&gt;CARROT_BED_CAP,W$4&gt;MESCLUN_BED_CAP,$A324+$B324+W$4&gt;TOTAL_BEDS_AVAILABLE,($D324+W$5)&gt;TOTAL_LABOR_HOURS_CAP,MAX(0,($D324+W$5)-PERMANENT_FIELD_LABOR_HOURS)&gt;TEMP_HOURS_CAP),"",$C324+W$6-MIN(($D324+W$5),PERMANENT_FIELD_LABOR_HOURS)*PERMANENT_HOURLY_RATE-MAX(0,($D324+W$5)-PERMANENT_FIELD_LABOR_HOURS)*TEMP_HOURLY_RATE-FIXED_SEASON_COST)</f>
        <v/>
      </c>
      <c r="X324" s="53" t="str">
        <f aca="false">IF(OR($A324&gt;TOMATO_BED_CAP,$B324&gt;CARROT_BED_CAP,X$4&gt;MESCLUN_BED_CAP,$A324+$B324+X$4&gt;TOTAL_BEDS_AVAILABLE,($D324+X$5)&gt;TOTAL_LABOR_HOURS_CAP,MAX(0,($D324+X$5)-PERMANENT_FIELD_LABOR_HOURS)&gt;TEMP_HOURS_CAP),"",$C324+X$6-MIN(($D324+X$5),PERMANENT_FIELD_LABOR_HOURS)*PERMANENT_HOURLY_RATE-MAX(0,($D324+X$5)-PERMANENT_FIELD_LABOR_HOURS)*TEMP_HOURLY_RATE-FIXED_SEASON_COST)</f>
        <v/>
      </c>
      <c r="Y324" s="53" t="str">
        <f aca="false">IF(OR($A324&gt;TOMATO_BED_CAP,$B324&gt;CARROT_BED_CAP,Y$4&gt;MESCLUN_BED_CAP,$A324+$B324+Y$4&gt;TOTAL_BEDS_AVAILABLE,($D324+Y$5)&gt;TOTAL_LABOR_HOURS_CAP,MAX(0,($D324+Y$5)-PERMANENT_FIELD_LABOR_HOURS)&gt;TEMP_HOURS_CAP),"",$C324+Y$6-MIN(($D324+Y$5),PERMANENT_FIELD_LABOR_HOURS)*PERMANENT_HOURLY_RATE-MAX(0,($D324+Y$5)-PERMANENT_FIELD_LABOR_HOURS)*TEMP_HOURLY_RATE-FIXED_SEASON_COST)</f>
        <v/>
      </c>
      <c r="Z324" s="53" t="str">
        <f aca="false">IF(OR($A324&gt;TOMATO_BED_CAP,$B324&gt;CARROT_BED_CAP,Z$4&gt;MESCLUN_BED_CAP,$A324+$B324+Z$4&gt;TOTAL_BEDS_AVAILABLE,($D324+Z$5)&gt;TOTAL_LABOR_HOURS_CAP,MAX(0,($D324+Z$5)-PERMANENT_FIELD_LABOR_HOURS)&gt;TEMP_HOURS_CAP),"",$C324+Z$6-MIN(($D324+Z$5),PERMANENT_FIELD_LABOR_HOURS)*PERMANENT_HOURLY_RATE-MAX(0,($D324+Z$5)-PERMANENT_FIELD_LABOR_HOURS)*TEMP_HOURLY_RATE-FIXED_SEASON_COST)</f>
        <v/>
      </c>
      <c r="AA324" s="53" t="str">
        <f aca="false">IF(OR($A324&gt;TOMATO_BED_CAP,$B324&gt;CARROT_BED_CAP,AA$4&gt;MESCLUN_BED_CAP,$A324+$B324+AA$4&gt;TOTAL_BEDS_AVAILABLE,($D324+AA$5)&gt;TOTAL_LABOR_HOURS_CAP,MAX(0,($D324+AA$5)-PERMANENT_FIELD_LABOR_HOURS)&gt;TEMP_HOURS_CAP),"",$C324+AA$6-MIN(($D324+AA$5),PERMANENT_FIELD_LABOR_HOURS)*PERMANENT_HOURLY_RATE-MAX(0,($D324+AA$5)-PERMANENT_FIELD_LABOR_HOURS)*TEMP_HOURLY_RATE-FIXED_SEASON_COST)</f>
        <v/>
      </c>
      <c r="AB324" s="53" t="str">
        <f aca="false">IF(OR($A324&gt;TOMATO_BED_CAP,$B324&gt;CARROT_BED_CAP,AB$4&gt;MESCLUN_BED_CAP,$A324+$B324+AB$4&gt;TOTAL_BEDS_AVAILABLE,($D324+AB$5)&gt;TOTAL_LABOR_HOURS_CAP,MAX(0,($D324+AB$5)-PERMANENT_FIELD_LABOR_HOURS)&gt;TEMP_HOURS_CAP),"",$C324+AB$6-MIN(($D324+AB$5),PERMANENT_FIELD_LABOR_HOURS)*PERMANENT_HOURLY_RATE-MAX(0,($D324+AB$5)-PERMANENT_FIELD_LABOR_HOURS)*TEMP_HOURLY_RATE-FIXED_SEASON_COST)</f>
        <v/>
      </c>
      <c r="AC324" s="53" t="str">
        <f aca="false">IF(OR($A324&gt;TOMATO_BED_CAP,$B324&gt;CARROT_BED_CAP,AC$4&gt;MESCLUN_BED_CAP,$A324+$B324+AC$4&gt;TOTAL_BEDS_AVAILABLE,($D324+AC$5)&gt;TOTAL_LABOR_HOURS_CAP,MAX(0,($D324+AC$5)-PERMANENT_FIELD_LABOR_HOURS)&gt;TEMP_HOURS_CAP),"",$C324+AC$6-MIN(($D324+AC$5),PERMANENT_FIELD_LABOR_HOURS)*PERMANENT_HOURLY_RATE-MAX(0,($D324+AC$5)-PERMANENT_FIELD_LABOR_HOURS)*TEMP_HOURLY_RATE-FIXED_SEASON_COST)</f>
        <v/>
      </c>
      <c r="AD324" s="53" t="str">
        <f aca="false">IF(OR($A324&gt;TOMATO_BED_CAP,$B324&gt;CARROT_BED_CAP,AD$4&gt;MESCLUN_BED_CAP,$A324+$B324+AD$4&gt;TOTAL_BEDS_AVAILABLE,($D324+AD$5)&gt;TOTAL_LABOR_HOURS_CAP,MAX(0,($D324+AD$5)-PERMANENT_FIELD_LABOR_HOURS)&gt;TEMP_HOURS_CAP),"",$C324+AD$6-MIN(($D324+AD$5),PERMANENT_FIELD_LABOR_HOURS)*PERMANENT_HOURLY_RATE-MAX(0,($D324+AD$5)-PERMANENT_FIELD_LABOR_HOURS)*TEMP_HOURLY_RATE-FIXED_SEASON_COST)</f>
        <v/>
      </c>
      <c r="AE324" s="53" t="str">
        <f aca="false">IF(OR($A324&gt;TOMATO_BED_CAP,$B324&gt;CARROT_BED_CAP,AE$4&gt;MESCLUN_BED_CAP,$A324+$B324+AE$4&gt;TOTAL_BEDS_AVAILABLE,($D324+AE$5)&gt;TOTAL_LABOR_HOURS_CAP,MAX(0,($D324+AE$5)-PERMANENT_FIELD_LABOR_HOURS)&gt;TEMP_HOURS_CAP),"",$C324+AE$6-MIN(($D324+AE$5),PERMANENT_FIELD_LABOR_HOURS)*PERMANENT_HOURLY_RATE-MAX(0,($D324+AE$5)-PERMANENT_FIELD_LABOR_HOURS)*TEMP_HOURLY_RATE-FIXED_SEASON_COST)</f>
        <v/>
      </c>
      <c r="AF324" s="53" t="str">
        <f aca="false">IF(OR($A324&gt;TOMATO_BED_CAP,$B324&gt;CARROT_BED_CAP,AF$4&gt;MESCLUN_BED_CAP,$A324+$B324+AF$4&gt;TOTAL_BEDS_AVAILABLE,($D324+AF$5)&gt;TOTAL_LABOR_HOURS_CAP,MAX(0,($D324+AF$5)-PERMANENT_FIELD_LABOR_HOURS)&gt;TEMP_HOURS_CAP),"",$C324+AF$6-MIN(($D324+AF$5),PERMANENT_FIELD_LABOR_HOURS)*PERMANENT_HOURLY_RATE-MAX(0,($D324+AF$5)-PERMANENT_FIELD_LABOR_HOURS)*TEMP_HOURLY_RATE-FIXED_SEASON_COST)</f>
        <v/>
      </c>
      <c r="AG324" s="53" t="str">
        <f aca="false">IF(OR($A324&gt;TOMATO_BED_CAP,$B324&gt;CARROT_BED_CAP,AG$4&gt;MESCLUN_BED_CAP,$A324+$B324+AG$4&gt;TOTAL_BEDS_AVAILABLE,($D324+AG$5)&gt;TOTAL_LABOR_HOURS_CAP,MAX(0,($D324+AG$5)-PERMANENT_FIELD_LABOR_HOURS)&gt;TEMP_HOURS_CAP),"",$C324+AG$6-MIN(($D324+AG$5),PERMANENT_FIELD_LABOR_HOURS)*PERMANENT_HOURLY_RATE-MAX(0,($D324+AG$5)-PERMANENT_FIELD_LABOR_HOURS)*TEMP_HOURLY_RATE-FIXED_SEASON_COST)</f>
        <v/>
      </c>
      <c r="AH324" s="53" t="str">
        <f aca="false">IF(OR($A324&gt;TOMATO_BED_CAP,$B324&gt;CARROT_BED_CAP,AH$4&gt;MESCLUN_BED_CAP,$A324+$B324+AH$4&gt;TOTAL_BEDS_AVAILABLE,($D324+AH$5)&gt;TOTAL_LABOR_HOURS_CAP,MAX(0,($D324+AH$5)-PERMANENT_FIELD_LABOR_HOURS)&gt;TEMP_HOURS_CAP),"",$C324+AH$6-MIN(($D324+AH$5),PERMANENT_FIELD_LABOR_HOURS)*PERMANENT_HOURLY_RATE-MAX(0,($D324+AH$5)-PERMANENT_FIELD_LABOR_HOURS)*TEMP_HOURLY_RATE-FIXED_SEASON_COST)</f>
        <v/>
      </c>
      <c r="AI324" s="53" t="str">
        <f aca="false">IF(OR($A324&gt;TOMATO_BED_CAP,$B324&gt;CARROT_BED_CAP,AI$4&gt;MESCLUN_BED_CAP,$A324+$B324+AI$4&gt;TOTAL_BEDS_AVAILABLE,($D324+AI$5)&gt;TOTAL_LABOR_HOURS_CAP,MAX(0,($D324+AI$5)-PERMANENT_FIELD_LABOR_HOURS)&gt;TEMP_HOURS_CAP),"",$C324+AI$6-MIN(($D324+AI$5),PERMANENT_FIELD_LABOR_HOURS)*PERMANENT_HOURLY_RATE-MAX(0,($D324+AI$5)-PERMANENT_FIELD_LABOR_HOURS)*TEMP_HOURLY_RATE-FIXED_SEASON_COST)</f>
        <v/>
      </c>
      <c r="AJ324" s="53" t="str">
        <f aca="false">IF(OR($A324&gt;TOMATO_BED_CAP,$B324&gt;CARROT_BED_CAP,AJ$4&gt;MESCLUN_BED_CAP,$A324+$B324+AJ$4&gt;TOTAL_BEDS_AVAILABLE,($D324+AJ$5)&gt;TOTAL_LABOR_HOURS_CAP,MAX(0,($D324+AJ$5)-PERMANENT_FIELD_LABOR_HOURS)&gt;TEMP_HOURS_CAP),"",$C324+AJ$6-MIN(($D324+AJ$5),PERMANENT_FIELD_LABOR_HOURS)*PERMANENT_HOURLY_RATE-MAX(0,($D324+AJ$5)-PERMANENT_FIELD_LABOR_HOURS)*TEMP_HOURLY_RATE-FIXED_SEASON_COST)</f>
        <v/>
      </c>
    </row>
    <row r="325" customFormat="false" ht="15" hidden="false" customHeight="false" outlineLevel="0" collapsed="false">
      <c r="A325" s="21" t="n">
        <f aca="false">INT((ROW()-ROW($A$8))/(20+1))</f>
        <v>15</v>
      </c>
      <c r="B325" s="21" t="n">
        <f aca="false">MOD(ROW()-ROW($A$8),20+1)</f>
        <v>2</v>
      </c>
      <c r="C325" s="13" t="n">
        <f aca="false">A325*(TOMATO_REVENUE_PER_BED-TOMATO_FERTILIZER_PER_BED)+B325*(CARROT_REVENUE_PER_BED-CARROT_FERTILIZER_PER_BED)</f>
        <v>122108</v>
      </c>
      <c r="D325" s="14" t="n">
        <f aca="false">INDEX(TOMATO_SCHED_LABOR_HRS,A325+1)+INDEX(CARROT_SCHED_LABOR_HRS,B325+1)</f>
        <v>5702.29731371114</v>
      </c>
      <c r="E325" s="13" t="n">
        <f aca="false">IF(COUNT(F325:AJ325)=0,"",MAX(F325:AJ325))</f>
        <v>3082.62153992952</v>
      </c>
      <c r="F325" s="53" t="n">
        <f aca="false">IF(OR($A325&gt;TOMATO_BED_CAP,$B325&gt;CARROT_BED_CAP,F$4&gt;MESCLUN_BED_CAP,$A325+$B325+F$4&gt;TOTAL_BEDS_AVAILABLE,($D325+F$5)&gt;TOTAL_LABOR_HOURS_CAP,MAX(0,($D325+F$5)-PERMANENT_FIELD_LABOR_HOURS)&gt;TEMP_HOURS_CAP),"",$C325+F$6-MIN(($D325+F$5),PERMANENT_FIELD_LABOR_HOURS)*PERMANENT_HOURLY_RATE-MAX(0,($D325+F$5)-PERMANENT_FIELD_LABOR_HOURS)*TEMP_HOURLY_RATE-FIXED_SEASON_COST)</f>
        <v>-9383.0813660253</v>
      </c>
      <c r="G325" s="53" t="n">
        <f aca="false">IF(OR($A325&gt;TOMATO_BED_CAP,$B325&gt;CARROT_BED_CAP,G$4&gt;MESCLUN_BED_CAP,$A325+$B325+G$4&gt;TOTAL_BEDS_AVAILABLE,($D325+G$5)&gt;TOTAL_LABOR_HOURS_CAP,MAX(0,($D325+G$5)-PERMANENT_FIELD_LABOR_HOURS)&gt;TEMP_HOURS_CAP),"",$C325+G$6-MIN(($D325+G$5),PERMANENT_FIELD_LABOR_HOURS)*PERMANENT_HOURLY_RATE-MAX(0,($D325+G$5)-PERMANENT_FIELD_LABOR_HOURS)*TEMP_HOURLY_RATE-FIXED_SEASON_COST)</f>
        <v>-8354.0463660253</v>
      </c>
      <c r="H325" s="53" t="n">
        <f aca="false">IF(OR($A325&gt;TOMATO_BED_CAP,$B325&gt;CARROT_BED_CAP,H$4&gt;MESCLUN_BED_CAP,$A325+$B325+H$4&gt;TOTAL_BEDS_AVAILABLE,($D325+H$5)&gt;TOTAL_LABOR_HOURS_CAP,MAX(0,($D325+H$5)-PERMANENT_FIELD_LABOR_HOURS)&gt;TEMP_HOURS_CAP),"",$C325+H$6-MIN(($D325+H$5),PERMANENT_FIELD_LABOR_HOURS)*PERMANENT_HOURLY_RATE-MAX(0,($D325+H$5)-PERMANENT_FIELD_LABOR_HOURS)*TEMP_HOURLY_RATE-FIXED_SEASON_COST)</f>
        <v>-7344.78549102531</v>
      </c>
      <c r="I325" s="53" t="n">
        <f aca="false">IF(OR($A325&gt;TOMATO_BED_CAP,$B325&gt;CARROT_BED_CAP,I$4&gt;MESCLUN_BED_CAP,$A325+$B325+I$4&gt;TOTAL_BEDS_AVAILABLE,($D325+I$5)&gt;TOTAL_LABOR_HOURS_CAP,MAX(0,($D325+I$5)-PERMANENT_FIELD_LABOR_HOURS)&gt;TEMP_HOURS_CAP),"",$C325+I$6-MIN(($D325+I$5),PERMANENT_FIELD_LABOR_HOURS)*PERMANENT_HOURLY_RATE-MAX(0,($D325+I$5)-PERMANENT_FIELD_LABOR_HOURS)*TEMP_HOURLY_RATE-FIXED_SEASON_COST)</f>
        <v>-6355.66950586907</v>
      </c>
      <c r="J325" s="53" t="n">
        <f aca="false">IF(OR($A325&gt;TOMATO_BED_CAP,$B325&gt;CARROT_BED_CAP,J$4&gt;MESCLUN_BED_CAP,$A325+$B325+J$4&gt;TOTAL_BEDS_AVAILABLE,($D325+J$5)&gt;TOTAL_LABOR_HOURS_CAP,MAX(0,($D325+J$5)-PERMANENT_FIELD_LABOR_HOURS)&gt;TEMP_HOURS_CAP),"",$C325+J$6-MIN(($D325+J$5),PERMANENT_FIELD_LABOR_HOURS)*PERMANENT_HOURLY_RATE-MAX(0,($D325+J$5)-PERMANENT_FIELD_LABOR_HOURS)*TEMP_HOURLY_RATE-FIXED_SEASON_COST)</f>
        <v>-5387.07535481437</v>
      </c>
      <c r="K325" s="53" t="n">
        <f aca="false">IF(OR($A325&gt;TOMATO_BED_CAP,$B325&gt;CARROT_BED_CAP,K$4&gt;MESCLUN_BED_CAP,$A325+$B325+K$4&gt;TOTAL_BEDS_AVAILABLE,($D325+K$5)&gt;TOTAL_LABOR_HOURS_CAP,MAX(0,($D325+K$5)-PERMANENT_FIELD_LABOR_HOURS)&gt;TEMP_HOURS_CAP),"",$C325+K$6-MIN(($D325+K$5),PERMANENT_FIELD_LABOR_HOURS)*PERMANENT_HOURLY_RATE-MAX(0,($D325+K$5)-PERMANENT_FIELD_LABOR_HOURS)*TEMP_HOURLY_RATE-FIXED_SEASON_COST)</f>
        <v>-4439.38625808647</v>
      </c>
      <c r="L325" s="53" t="n">
        <f aca="false">IF(OR($A325&gt;TOMATO_BED_CAP,$B325&gt;CARROT_BED_CAP,L$4&gt;MESCLUN_BED_CAP,$A325+$B325+L$4&gt;TOTAL_BEDS_AVAILABLE,($D325+L$5)&gt;TOTAL_LABOR_HOURS_CAP,MAX(0,($D325+L$5)-PERMANENT_FIELD_LABOR_HOURS)&gt;TEMP_HOURS_CAP),"",$C325+L$6-MIN(($D325+L$5),PERMANENT_FIELD_LABOR_HOURS)*PERMANENT_HOURLY_RATE-MAX(0,($D325+L$5)-PERMANENT_FIELD_LABOR_HOURS)*TEMP_HOURLY_RATE-FIXED_SEASON_COST)</f>
        <v>-3512.99180987962</v>
      </c>
      <c r="M325" s="53" t="n">
        <f aca="false">IF(OR($A325&gt;TOMATO_BED_CAP,$B325&gt;CARROT_BED_CAP,M$4&gt;MESCLUN_BED_CAP,$A325+$B325+M$4&gt;TOTAL_BEDS_AVAILABLE,($D325+M$5)&gt;TOTAL_LABOR_HOURS_CAP,MAX(0,($D325+M$5)-PERMANENT_FIELD_LABOR_HOURS)&gt;TEMP_HOURS_CAP),"",$C325+M$6-MIN(($D325+M$5),PERMANENT_FIELD_LABOR_HOURS)*PERMANENT_HOURLY_RATE-MAX(0,($D325+M$5)-PERMANENT_FIELD_LABOR_HOURS)*TEMP_HOURLY_RATE-FIXED_SEASON_COST)</f>
        <v>-2608.28807782821</v>
      </c>
      <c r="N325" s="53" t="n">
        <f aca="false">IF(OR($A325&gt;TOMATO_BED_CAP,$B325&gt;CARROT_BED_CAP,N$4&gt;MESCLUN_BED_CAP,$A325+$B325+N$4&gt;TOTAL_BEDS_AVAILABLE,($D325+N$5)&gt;TOTAL_LABOR_HOURS_CAP,MAX(0,($D325+N$5)-PERMANENT_FIELD_LABOR_HOURS)&gt;TEMP_HOURS_CAP),"",$C325+N$6-MIN(($D325+N$5),PERMANENT_FIELD_LABOR_HOURS)*PERMANENT_HOURLY_RATE-MAX(0,($D325+N$5)-PERMANENT_FIELD_LABOR_HOURS)*TEMP_HOURLY_RATE-FIXED_SEASON_COST)</f>
        <v>-1725.67770396866</v>
      </c>
      <c r="O325" s="53" t="n">
        <f aca="false">IF(OR($A325&gt;TOMATO_BED_CAP,$B325&gt;CARROT_BED_CAP,O$4&gt;MESCLUN_BED_CAP,$A325+$B325+O$4&gt;TOTAL_BEDS_AVAILABLE,($D325+O$5)&gt;TOTAL_LABOR_HOURS_CAP,MAX(0,($D325+O$5)-PERMANENT_FIELD_LABOR_HOURS)&gt;TEMP_HOURS_CAP),"",$C325+O$6-MIN(($D325+O$5),PERMANENT_FIELD_LABOR_HOURS)*PERMANENT_HOURLY_RATE-MAX(0,($D325+O$5)-PERMANENT_FIELD_LABOR_HOURS)*TEMP_HOURLY_RATE-FIXED_SEASON_COST)</f>
        <v>-865.570007213915</v>
      </c>
      <c r="P325" s="53" t="n">
        <f aca="false">IF(OR($A325&gt;TOMATO_BED_CAP,$B325&gt;CARROT_BED_CAP,P$4&gt;MESCLUN_BED_CAP,$A325+$B325+P$4&gt;TOTAL_BEDS_AVAILABLE,($D325+P$5)&gt;TOTAL_LABOR_HOURS_CAP,MAX(0,($D325+P$5)-PERMANENT_FIELD_LABOR_HOURS)&gt;TEMP_HOURS_CAP),"",$C325+P$6-MIN(($D325+P$5),PERMANENT_FIELD_LABOR_HOURS)*PERMANENT_HOURLY_RATE-MAX(0,($D325+P$5)-PERMANENT_FIELD_LABOR_HOURS)*TEMP_HOURLY_RATE-FIXED_SEASON_COST)</f>
        <v>-28.3810873624752</v>
      </c>
      <c r="Q325" s="53" t="n">
        <f aca="false">IF(OR($A325&gt;TOMATO_BED_CAP,$B325&gt;CARROT_BED_CAP,Q$4&gt;MESCLUN_BED_CAP,$A325+$B325+Q$4&gt;TOTAL_BEDS_AVAILABLE,($D325+Q$5)&gt;TOTAL_LABOR_HOURS_CAP,MAX(0,($D325+Q$5)-PERMANENT_FIELD_LABOR_HOURS)&gt;TEMP_HOURS_CAP),"",$C325+Q$6-MIN(($D325+Q$5),PERMANENT_FIELD_LABOR_HOURS)*PERMANENT_HOURLY_RATE-MAX(0,($D325+Q$5)-PERMANENT_FIELD_LABOR_HOURS)*TEMP_HOURLY_RATE-FIXED_SEASON_COST)</f>
        <v>785.466069335409</v>
      </c>
      <c r="R325" s="53" t="n">
        <f aca="false">IF(OR($A325&gt;TOMATO_BED_CAP,$B325&gt;CARROT_BED_CAP,R$4&gt;MESCLUN_BED_CAP,$A325+$B325+R$4&gt;TOTAL_BEDS_AVAILABLE,($D325+R$5)&gt;TOTAL_LABOR_HOURS_CAP,MAX(0,($D325+R$5)-PERMANENT_FIELD_LABOR_HOURS)&gt;TEMP_HOURS_CAP),"",$C325+R$6-MIN(($D325+R$5),PERMANENT_FIELD_LABOR_HOURS)*PERMANENT_HOURLY_RATE-MAX(0,($D325+R$5)-PERMANENT_FIELD_LABOR_HOURS)*TEMP_HOURLY_RATE-FIXED_SEASON_COST)</f>
        <v>1575.54148303223</v>
      </c>
      <c r="S325" s="53" t="n">
        <f aca="false">IF(OR($A325&gt;TOMATO_BED_CAP,$B325&gt;CARROT_BED_CAP,S$4&gt;MESCLUN_BED_CAP,$A325+$B325+S$4&gt;TOTAL_BEDS_AVAILABLE,($D325+S$5)&gt;TOTAL_LABOR_HOURS_CAP,MAX(0,($D325+S$5)-PERMANENT_FIELD_LABOR_HOURS)&gt;TEMP_HOURS_CAP),"",$C325+S$6-MIN(($D325+S$5),PERMANENT_FIELD_LABOR_HOURS)*PERMANENT_HOURLY_RATE-MAX(0,($D325+S$5)-PERMANENT_FIELD_LABOR_HOURS)*TEMP_HOURLY_RATE-FIXED_SEASON_COST)</f>
        <v>2341.40807153468</v>
      </c>
      <c r="T325" s="53" t="n">
        <f aca="false">IF(OR($A325&gt;TOMATO_BED_CAP,$B325&gt;CARROT_BED_CAP,T$4&gt;MESCLUN_BED_CAP,$A325+$B325+T$4&gt;TOTAL_BEDS_AVAILABLE,($D325+T$5)&gt;TOTAL_LABOR_HOURS_CAP,MAX(0,($D325+T$5)-PERMANENT_FIELD_LABOR_HOURS)&gt;TEMP_HOURS_CAP),"",$C325+T$6-MIN(($D325+T$5),PERMANENT_FIELD_LABOR_HOURS)*PERMANENT_HOURLY_RATE-MAX(0,($D325+T$5)-PERMANENT_FIELD_LABOR_HOURS)*TEMP_HOURLY_RATE-FIXED_SEASON_COST)</f>
        <v>3082.62153992952</v>
      </c>
      <c r="U325" s="53" t="str">
        <f aca="false">IF(OR($A325&gt;TOMATO_BED_CAP,$B325&gt;CARROT_BED_CAP,U$4&gt;MESCLUN_BED_CAP,$A325+$B325+U$4&gt;TOTAL_BEDS_AVAILABLE,($D325+U$5)&gt;TOTAL_LABOR_HOURS_CAP,MAX(0,($D325+U$5)-PERMANENT_FIELD_LABOR_HOURS)&gt;TEMP_HOURS_CAP),"",$C325+U$6-MIN(($D325+U$5),PERMANENT_FIELD_LABOR_HOURS)*PERMANENT_HOURLY_RATE-MAX(0,($D325+U$5)-PERMANENT_FIELD_LABOR_HOURS)*TEMP_HOURLY_RATE-FIXED_SEASON_COST)</f>
        <v/>
      </c>
      <c r="V325" s="53" t="str">
        <f aca="false">IF(OR($A325&gt;TOMATO_BED_CAP,$B325&gt;CARROT_BED_CAP,V$4&gt;MESCLUN_BED_CAP,$A325+$B325+V$4&gt;TOTAL_BEDS_AVAILABLE,($D325+V$5)&gt;TOTAL_LABOR_HOURS_CAP,MAX(0,($D325+V$5)-PERMANENT_FIELD_LABOR_HOURS)&gt;TEMP_HOURS_CAP),"",$C325+V$6-MIN(($D325+V$5),PERMANENT_FIELD_LABOR_HOURS)*PERMANENT_HOURLY_RATE-MAX(0,($D325+V$5)-PERMANENT_FIELD_LABOR_HOURS)*TEMP_HOURLY_RATE-FIXED_SEASON_COST)</f>
        <v/>
      </c>
      <c r="W325" s="53" t="str">
        <f aca="false">IF(OR($A325&gt;TOMATO_BED_CAP,$B325&gt;CARROT_BED_CAP,W$4&gt;MESCLUN_BED_CAP,$A325+$B325+W$4&gt;TOTAL_BEDS_AVAILABLE,($D325+W$5)&gt;TOTAL_LABOR_HOURS_CAP,MAX(0,($D325+W$5)-PERMANENT_FIELD_LABOR_HOURS)&gt;TEMP_HOURS_CAP),"",$C325+W$6-MIN(($D325+W$5),PERMANENT_FIELD_LABOR_HOURS)*PERMANENT_HOURLY_RATE-MAX(0,($D325+W$5)-PERMANENT_FIELD_LABOR_HOURS)*TEMP_HOURLY_RATE-FIXED_SEASON_COST)</f>
        <v/>
      </c>
      <c r="X325" s="53" t="str">
        <f aca="false">IF(OR($A325&gt;TOMATO_BED_CAP,$B325&gt;CARROT_BED_CAP,X$4&gt;MESCLUN_BED_CAP,$A325+$B325+X$4&gt;TOTAL_BEDS_AVAILABLE,($D325+X$5)&gt;TOTAL_LABOR_HOURS_CAP,MAX(0,($D325+X$5)-PERMANENT_FIELD_LABOR_HOURS)&gt;TEMP_HOURS_CAP),"",$C325+X$6-MIN(($D325+X$5),PERMANENT_FIELD_LABOR_HOURS)*PERMANENT_HOURLY_RATE-MAX(0,($D325+X$5)-PERMANENT_FIELD_LABOR_HOURS)*TEMP_HOURLY_RATE-FIXED_SEASON_COST)</f>
        <v/>
      </c>
      <c r="Y325" s="53" t="str">
        <f aca="false">IF(OR($A325&gt;TOMATO_BED_CAP,$B325&gt;CARROT_BED_CAP,Y$4&gt;MESCLUN_BED_CAP,$A325+$B325+Y$4&gt;TOTAL_BEDS_AVAILABLE,($D325+Y$5)&gt;TOTAL_LABOR_HOURS_CAP,MAX(0,($D325+Y$5)-PERMANENT_FIELD_LABOR_HOURS)&gt;TEMP_HOURS_CAP),"",$C325+Y$6-MIN(($D325+Y$5),PERMANENT_FIELD_LABOR_HOURS)*PERMANENT_HOURLY_RATE-MAX(0,($D325+Y$5)-PERMANENT_FIELD_LABOR_HOURS)*TEMP_HOURLY_RATE-FIXED_SEASON_COST)</f>
        <v/>
      </c>
      <c r="Z325" s="53" t="str">
        <f aca="false">IF(OR($A325&gt;TOMATO_BED_CAP,$B325&gt;CARROT_BED_CAP,Z$4&gt;MESCLUN_BED_CAP,$A325+$B325+Z$4&gt;TOTAL_BEDS_AVAILABLE,($D325+Z$5)&gt;TOTAL_LABOR_HOURS_CAP,MAX(0,($D325+Z$5)-PERMANENT_FIELD_LABOR_HOURS)&gt;TEMP_HOURS_CAP),"",$C325+Z$6-MIN(($D325+Z$5),PERMANENT_FIELD_LABOR_HOURS)*PERMANENT_HOURLY_RATE-MAX(0,($D325+Z$5)-PERMANENT_FIELD_LABOR_HOURS)*TEMP_HOURLY_RATE-FIXED_SEASON_COST)</f>
        <v/>
      </c>
      <c r="AA325" s="53" t="str">
        <f aca="false">IF(OR($A325&gt;TOMATO_BED_CAP,$B325&gt;CARROT_BED_CAP,AA$4&gt;MESCLUN_BED_CAP,$A325+$B325+AA$4&gt;TOTAL_BEDS_AVAILABLE,($D325+AA$5)&gt;TOTAL_LABOR_HOURS_CAP,MAX(0,($D325+AA$5)-PERMANENT_FIELD_LABOR_HOURS)&gt;TEMP_HOURS_CAP),"",$C325+AA$6-MIN(($D325+AA$5),PERMANENT_FIELD_LABOR_HOURS)*PERMANENT_HOURLY_RATE-MAX(0,($D325+AA$5)-PERMANENT_FIELD_LABOR_HOURS)*TEMP_HOURLY_RATE-FIXED_SEASON_COST)</f>
        <v/>
      </c>
      <c r="AB325" s="53" t="str">
        <f aca="false">IF(OR($A325&gt;TOMATO_BED_CAP,$B325&gt;CARROT_BED_CAP,AB$4&gt;MESCLUN_BED_CAP,$A325+$B325+AB$4&gt;TOTAL_BEDS_AVAILABLE,($D325+AB$5)&gt;TOTAL_LABOR_HOURS_CAP,MAX(0,($D325+AB$5)-PERMANENT_FIELD_LABOR_HOURS)&gt;TEMP_HOURS_CAP),"",$C325+AB$6-MIN(($D325+AB$5),PERMANENT_FIELD_LABOR_HOURS)*PERMANENT_HOURLY_RATE-MAX(0,($D325+AB$5)-PERMANENT_FIELD_LABOR_HOURS)*TEMP_HOURLY_RATE-FIXED_SEASON_COST)</f>
        <v/>
      </c>
      <c r="AC325" s="53" t="str">
        <f aca="false">IF(OR($A325&gt;TOMATO_BED_CAP,$B325&gt;CARROT_BED_CAP,AC$4&gt;MESCLUN_BED_CAP,$A325+$B325+AC$4&gt;TOTAL_BEDS_AVAILABLE,($D325+AC$5)&gt;TOTAL_LABOR_HOURS_CAP,MAX(0,($D325+AC$5)-PERMANENT_FIELD_LABOR_HOURS)&gt;TEMP_HOURS_CAP),"",$C325+AC$6-MIN(($D325+AC$5),PERMANENT_FIELD_LABOR_HOURS)*PERMANENT_HOURLY_RATE-MAX(0,($D325+AC$5)-PERMANENT_FIELD_LABOR_HOURS)*TEMP_HOURLY_RATE-FIXED_SEASON_COST)</f>
        <v/>
      </c>
      <c r="AD325" s="53" t="str">
        <f aca="false">IF(OR($A325&gt;TOMATO_BED_CAP,$B325&gt;CARROT_BED_CAP,AD$4&gt;MESCLUN_BED_CAP,$A325+$B325+AD$4&gt;TOTAL_BEDS_AVAILABLE,($D325+AD$5)&gt;TOTAL_LABOR_HOURS_CAP,MAX(0,($D325+AD$5)-PERMANENT_FIELD_LABOR_HOURS)&gt;TEMP_HOURS_CAP),"",$C325+AD$6-MIN(($D325+AD$5),PERMANENT_FIELD_LABOR_HOURS)*PERMANENT_HOURLY_RATE-MAX(0,($D325+AD$5)-PERMANENT_FIELD_LABOR_HOURS)*TEMP_HOURLY_RATE-FIXED_SEASON_COST)</f>
        <v/>
      </c>
      <c r="AE325" s="53" t="str">
        <f aca="false">IF(OR($A325&gt;TOMATO_BED_CAP,$B325&gt;CARROT_BED_CAP,AE$4&gt;MESCLUN_BED_CAP,$A325+$B325+AE$4&gt;TOTAL_BEDS_AVAILABLE,($D325+AE$5)&gt;TOTAL_LABOR_HOURS_CAP,MAX(0,($D325+AE$5)-PERMANENT_FIELD_LABOR_HOURS)&gt;TEMP_HOURS_CAP),"",$C325+AE$6-MIN(($D325+AE$5),PERMANENT_FIELD_LABOR_HOURS)*PERMANENT_HOURLY_RATE-MAX(0,($D325+AE$5)-PERMANENT_FIELD_LABOR_HOURS)*TEMP_HOURLY_RATE-FIXED_SEASON_COST)</f>
        <v/>
      </c>
      <c r="AF325" s="53" t="str">
        <f aca="false">IF(OR($A325&gt;TOMATO_BED_CAP,$B325&gt;CARROT_BED_CAP,AF$4&gt;MESCLUN_BED_CAP,$A325+$B325+AF$4&gt;TOTAL_BEDS_AVAILABLE,($D325+AF$5)&gt;TOTAL_LABOR_HOURS_CAP,MAX(0,($D325+AF$5)-PERMANENT_FIELD_LABOR_HOURS)&gt;TEMP_HOURS_CAP),"",$C325+AF$6-MIN(($D325+AF$5),PERMANENT_FIELD_LABOR_HOURS)*PERMANENT_HOURLY_RATE-MAX(0,($D325+AF$5)-PERMANENT_FIELD_LABOR_HOURS)*TEMP_HOURLY_RATE-FIXED_SEASON_COST)</f>
        <v/>
      </c>
      <c r="AG325" s="53" t="str">
        <f aca="false">IF(OR($A325&gt;TOMATO_BED_CAP,$B325&gt;CARROT_BED_CAP,AG$4&gt;MESCLUN_BED_CAP,$A325+$B325+AG$4&gt;TOTAL_BEDS_AVAILABLE,($D325+AG$5)&gt;TOTAL_LABOR_HOURS_CAP,MAX(0,($D325+AG$5)-PERMANENT_FIELD_LABOR_HOURS)&gt;TEMP_HOURS_CAP),"",$C325+AG$6-MIN(($D325+AG$5),PERMANENT_FIELD_LABOR_HOURS)*PERMANENT_HOURLY_RATE-MAX(0,($D325+AG$5)-PERMANENT_FIELD_LABOR_HOURS)*TEMP_HOURLY_RATE-FIXED_SEASON_COST)</f>
        <v/>
      </c>
      <c r="AH325" s="53" t="str">
        <f aca="false">IF(OR($A325&gt;TOMATO_BED_CAP,$B325&gt;CARROT_BED_CAP,AH$4&gt;MESCLUN_BED_CAP,$A325+$B325+AH$4&gt;TOTAL_BEDS_AVAILABLE,($D325+AH$5)&gt;TOTAL_LABOR_HOURS_CAP,MAX(0,($D325+AH$5)-PERMANENT_FIELD_LABOR_HOURS)&gt;TEMP_HOURS_CAP),"",$C325+AH$6-MIN(($D325+AH$5),PERMANENT_FIELD_LABOR_HOURS)*PERMANENT_HOURLY_RATE-MAX(0,($D325+AH$5)-PERMANENT_FIELD_LABOR_HOURS)*TEMP_HOURLY_RATE-FIXED_SEASON_COST)</f>
        <v/>
      </c>
      <c r="AI325" s="53" t="str">
        <f aca="false">IF(OR($A325&gt;TOMATO_BED_CAP,$B325&gt;CARROT_BED_CAP,AI$4&gt;MESCLUN_BED_CAP,$A325+$B325+AI$4&gt;TOTAL_BEDS_AVAILABLE,($D325+AI$5)&gt;TOTAL_LABOR_HOURS_CAP,MAX(0,($D325+AI$5)-PERMANENT_FIELD_LABOR_HOURS)&gt;TEMP_HOURS_CAP),"",$C325+AI$6-MIN(($D325+AI$5),PERMANENT_FIELD_LABOR_HOURS)*PERMANENT_HOURLY_RATE-MAX(0,($D325+AI$5)-PERMANENT_FIELD_LABOR_HOURS)*TEMP_HOURLY_RATE-FIXED_SEASON_COST)</f>
        <v/>
      </c>
      <c r="AJ325" s="53" t="str">
        <f aca="false">IF(OR($A325&gt;TOMATO_BED_CAP,$B325&gt;CARROT_BED_CAP,AJ$4&gt;MESCLUN_BED_CAP,$A325+$B325+AJ$4&gt;TOTAL_BEDS_AVAILABLE,($D325+AJ$5)&gt;TOTAL_LABOR_HOURS_CAP,MAX(0,($D325+AJ$5)-PERMANENT_FIELD_LABOR_HOURS)&gt;TEMP_HOURS_CAP),"",$C325+AJ$6-MIN(($D325+AJ$5),PERMANENT_FIELD_LABOR_HOURS)*PERMANENT_HOURLY_RATE-MAX(0,($D325+AJ$5)-PERMANENT_FIELD_LABOR_HOURS)*TEMP_HOURLY_RATE-FIXED_SEASON_COST)</f>
        <v/>
      </c>
    </row>
    <row r="326" customFormat="false" ht="15" hidden="false" customHeight="false" outlineLevel="0" collapsed="false">
      <c r="A326" s="21" t="n">
        <f aca="false">INT((ROW()-ROW($A$8))/(20+1))</f>
        <v>15</v>
      </c>
      <c r="B326" s="21" t="n">
        <f aca="false">MOD(ROW()-ROW($A$8),20+1)</f>
        <v>3</v>
      </c>
      <c r="C326" s="13" t="n">
        <f aca="false">A326*(TOMATO_REVENUE_PER_BED-TOMATO_FERTILIZER_PER_BED)+B326*(CARROT_REVENUE_PER_BED-CARROT_FERTILIZER_PER_BED)</f>
        <v>123762</v>
      </c>
      <c r="D326" s="14" t="n">
        <f aca="false">INDEX(TOMATO_SCHED_LABOR_HRS,A326+1)+INDEX(CARROT_SCHED_LABOR_HRS,B326+1)</f>
        <v>5736.16641689864</v>
      </c>
      <c r="E326" s="13" t="n">
        <f aca="false">IF(COUNT(F326:AJ326)=0,"",MAX(F326:AJ326))</f>
        <v>3407.44044019966</v>
      </c>
      <c r="F326" s="53" t="n">
        <f aca="false">IF(OR($A326&gt;TOMATO_BED_CAP,$B326&gt;CARROT_BED_CAP,F$4&gt;MESCLUN_BED_CAP,$A326+$B326+F$4&gt;TOTAL_BEDS_AVAILABLE,($D326+F$5)&gt;TOTAL_LABOR_HOURS_CAP,MAX(0,($D326+F$5)-PERMANENT_FIELD_LABOR_HOURS)&gt;TEMP_HOURS_CAP),"",$C326+F$6-MIN(($D326+F$5),PERMANENT_FIELD_LABOR_HOURS)*PERMANENT_HOURLY_RATE-MAX(0,($D326+F$5)-PERMANENT_FIELD_LABOR_HOURS)*TEMP_HOURLY_RATE-FIXED_SEASON_COST)</f>
        <v>-8317.04899736031</v>
      </c>
      <c r="G326" s="53" t="n">
        <f aca="false">IF(OR($A326&gt;TOMATO_BED_CAP,$B326&gt;CARROT_BED_CAP,G$4&gt;MESCLUN_BED_CAP,$A326+$B326+G$4&gt;TOTAL_BEDS_AVAILABLE,($D326+G$5)&gt;TOTAL_LABOR_HOURS_CAP,MAX(0,($D326+G$5)-PERMANENT_FIELD_LABOR_HOURS)&gt;TEMP_HOURS_CAP),"",$C326+G$6-MIN(($D326+G$5),PERMANENT_FIELD_LABOR_HOURS)*PERMANENT_HOURLY_RATE-MAX(0,($D326+G$5)-PERMANENT_FIELD_LABOR_HOURS)*TEMP_HOURLY_RATE-FIXED_SEASON_COST)</f>
        <v>-7288.01399736032</v>
      </c>
      <c r="H326" s="53" t="n">
        <f aca="false">IF(OR($A326&gt;TOMATO_BED_CAP,$B326&gt;CARROT_BED_CAP,H$4&gt;MESCLUN_BED_CAP,$A326+$B326+H$4&gt;TOTAL_BEDS_AVAILABLE,($D326+H$5)&gt;TOTAL_LABOR_HOURS_CAP,MAX(0,($D326+H$5)-PERMANENT_FIELD_LABOR_HOURS)&gt;TEMP_HOURS_CAP),"",$C326+H$6-MIN(($D326+H$5),PERMANENT_FIELD_LABOR_HOURS)*PERMANENT_HOURLY_RATE-MAX(0,($D326+H$5)-PERMANENT_FIELD_LABOR_HOURS)*TEMP_HOURLY_RATE-FIXED_SEASON_COST)</f>
        <v>-6278.75312236033</v>
      </c>
      <c r="I326" s="53" t="n">
        <f aca="false">IF(OR($A326&gt;TOMATO_BED_CAP,$B326&gt;CARROT_BED_CAP,I$4&gt;MESCLUN_BED_CAP,$A326+$B326+I$4&gt;TOTAL_BEDS_AVAILABLE,($D326+I$5)&gt;TOTAL_LABOR_HOURS_CAP,MAX(0,($D326+I$5)-PERMANENT_FIELD_LABOR_HOURS)&gt;TEMP_HOURS_CAP),"",$C326+I$6-MIN(($D326+I$5),PERMANENT_FIELD_LABOR_HOURS)*PERMANENT_HOURLY_RATE-MAX(0,($D326+I$5)-PERMANENT_FIELD_LABOR_HOURS)*TEMP_HOURLY_RATE-FIXED_SEASON_COST)</f>
        <v>-5289.63713720407</v>
      </c>
      <c r="J326" s="53" t="n">
        <f aca="false">IF(OR($A326&gt;TOMATO_BED_CAP,$B326&gt;CARROT_BED_CAP,J$4&gt;MESCLUN_BED_CAP,$A326+$B326+J$4&gt;TOTAL_BEDS_AVAILABLE,($D326+J$5)&gt;TOTAL_LABOR_HOURS_CAP,MAX(0,($D326+J$5)-PERMANENT_FIELD_LABOR_HOURS)&gt;TEMP_HOURS_CAP),"",$C326+J$6-MIN(($D326+J$5),PERMANENT_FIELD_LABOR_HOURS)*PERMANENT_HOURLY_RATE-MAX(0,($D326+J$5)-PERMANENT_FIELD_LABOR_HOURS)*TEMP_HOURLY_RATE-FIXED_SEASON_COST)</f>
        <v>-4321.04298614938</v>
      </c>
      <c r="K326" s="53" t="n">
        <f aca="false">IF(OR($A326&gt;TOMATO_BED_CAP,$B326&gt;CARROT_BED_CAP,K$4&gt;MESCLUN_BED_CAP,$A326+$B326+K$4&gt;TOTAL_BEDS_AVAILABLE,($D326+K$5)&gt;TOTAL_LABOR_HOURS_CAP,MAX(0,($D326+K$5)-PERMANENT_FIELD_LABOR_HOURS)&gt;TEMP_HOURS_CAP),"",$C326+K$6-MIN(($D326+K$5),PERMANENT_FIELD_LABOR_HOURS)*PERMANENT_HOURLY_RATE-MAX(0,($D326+K$5)-PERMANENT_FIELD_LABOR_HOURS)*TEMP_HOURLY_RATE-FIXED_SEASON_COST)</f>
        <v>-3373.35388942147</v>
      </c>
      <c r="L326" s="53" t="n">
        <f aca="false">IF(OR($A326&gt;TOMATO_BED_CAP,$B326&gt;CARROT_BED_CAP,L$4&gt;MESCLUN_BED_CAP,$A326+$B326+L$4&gt;TOTAL_BEDS_AVAILABLE,($D326+L$5)&gt;TOTAL_LABOR_HOURS_CAP,MAX(0,($D326+L$5)-PERMANENT_FIELD_LABOR_HOURS)&gt;TEMP_HOURS_CAP),"",$C326+L$6-MIN(($D326+L$5),PERMANENT_FIELD_LABOR_HOURS)*PERMANENT_HOURLY_RATE-MAX(0,($D326+L$5)-PERMANENT_FIELD_LABOR_HOURS)*TEMP_HOURLY_RATE-FIXED_SEASON_COST)</f>
        <v>-2446.95944121463</v>
      </c>
      <c r="M326" s="53" t="n">
        <f aca="false">IF(OR($A326&gt;TOMATO_BED_CAP,$B326&gt;CARROT_BED_CAP,M$4&gt;MESCLUN_BED_CAP,$A326+$B326+M$4&gt;TOTAL_BEDS_AVAILABLE,($D326+M$5)&gt;TOTAL_LABOR_HOURS_CAP,MAX(0,($D326+M$5)-PERMANENT_FIELD_LABOR_HOURS)&gt;TEMP_HOURS_CAP),"",$C326+M$6-MIN(($D326+M$5),PERMANENT_FIELD_LABOR_HOURS)*PERMANENT_HOURLY_RATE-MAX(0,($D326+M$5)-PERMANENT_FIELD_LABOR_HOURS)*TEMP_HOURLY_RATE-FIXED_SEASON_COST)</f>
        <v>-1542.25570916322</v>
      </c>
      <c r="N326" s="53" t="n">
        <f aca="false">IF(OR($A326&gt;TOMATO_BED_CAP,$B326&gt;CARROT_BED_CAP,N$4&gt;MESCLUN_BED_CAP,$A326+$B326+N$4&gt;TOTAL_BEDS_AVAILABLE,($D326+N$5)&gt;TOTAL_LABOR_HOURS_CAP,MAX(0,($D326+N$5)-PERMANENT_FIELD_LABOR_HOURS)&gt;TEMP_HOURS_CAP),"",$C326+N$6-MIN(($D326+N$5),PERMANENT_FIELD_LABOR_HOURS)*PERMANENT_HOURLY_RATE-MAX(0,($D326+N$5)-PERMANENT_FIELD_LABOR_HOURS)*TEMP_HOURLY_RATE-FIXED_SEASON_COST)</f>
        <v>-659.645335303663</v>
      </c>
      <c r="O326" s="53" t="n">
        <f aca="false">IF(OR($A326&gt;TOMATO_BED_CAP,$B326&gt;CARROT_BED_CAP,O$4&gt;MESCLUN_BED_CAP,$A326+$B326+O$4&gt;TOTAL_BEDS_AVAILABLE,($D326+O$5)&gt;TOTAL_LABOR_HOURS_CAP,MAX(0,($D326+O$5)-PERMANENT_FIELD_LABOR_HOURS)&gt;TEMP_HOURS_CAP),"",$C326+O$6-MIN(($D326+O$5),PERMANENT_FIELD_LABOR_HOURS)*PERMANENT_HOURLY_RATE-MAX(0,($D326+O$5)-PERMANENT_FIELD_LABOR_HOURS)*TEMP_HOURLY_RATE-FIXED_SEASON_COST)</f>
        <v>200.462361451078</v>
      </c>
      <c r="P326" s="53" t="n">
        <f aca="false">IF(OR($A326&gt;TOMATO_BED_CAP,$B326&gt;CARROT_BED_CAP,P$4&gt;MESCLUN_BED_CAP,$A326+$B326+P$4&gt;TOTAL_BEDS_AVAILABLE,($D326+P$5)&gt;TOTAL_LABOR_HOURS_CAP,MAX(0,($D326+P$5)-PERMANENT_FIELD_LABOR_HOURS)&gt;TEMP_HOURS_CAP),"",$C326+P$6-MIN(($D326+P$5),PERMANENT_FIELD_LABOR_HOURS)*PERMANENT_HOURLY_RATE-MAX(0,($D326+P$5)-PERMANENT_FIELD_LABOR_HOURS)*TEMP_HOURLY_RATE-FIXED_SEASON_COST)</f>
        <v>1037.6512813025</v>
      </c>
      <c r="Q326" s="53" t="n">
        <f aca="false">IF(OR($A326&gt;TOMATO_BED_CAP,$B326&gt;CARROT_BED_CAP,Q$4&gt;MESCLUN_BED_CAP,$A326+$B326+Q$4&gt;TOTAL_BEDS_AVAILABLE,($D326+Q$5)&gt;TOTAL_LABOR_HOURS_CAP,MAX(0,($D326+Q$5)-PERMANENT_FIELD_LABOR_HOURS)&gt;TEMP_HOURS_CAP),"",$C326+Q$6-MIN(($D326+Q$5),PERMANENT_FIELD_LABOR_HOURS)*PERMANENT_HOURLY_RATE-MAX(0,($D326+Q$5)-PERMANENT_FIELD_LABOR_HOURS)*TEMP_HOURLY_RATE-FIXED_SEASON_COST)</f>
        <v>1851.4984380004</v>
      </c>
      <c r="R326" s="53" t="n">
        <f aca="false">IF(OR($A326&gt;TOMATO_BED_CAP,$B326&gt;CARROT_BED_CAP,R$4&gt;MESCLUN_BED_CAP,$A326+$B326+R$4&gt;TOTAL_BEDS_AVAILABLE,($D326+R$5)&gt;TOTAL_LABOR_HOURS_CAP,MAX(0,($D326+R$5)-PERMANENT_FIELD_LABOR_HOURS)&gt;TEMP_HOURS_CAP),"",$C326+R$6-MIN(($D326+R$5),PERMANENT_FIELD_LABOR_HOURS)*PERMANENT_HOURLY_RATE-MAX(0,($D326+R$5)-PERMANENT_FIELD_LABOR_HOURS)*TEMP_HOURLY_RATE-FIXED_SEASON_COST)</f>
        <v>2641.57385169721</v>
      </c>
      <c r="S326" s="53" t="n">
        <f aca="false">IF(OR($A326&gt;TOMATO_BED_CAP,$B326&gt;CARROT_BED_CAP,S$4&gt;MESCLUN_BED_CAP,$A326+$B326+S$4&gt;TOTAL_BEDS_AVAILABLE,($D326+S$5)&gt;TOTAL_LABOR_HOURS_CAP,MAX(0,($D326+S$5)-PERMANENT_FIELD_LABOR_HOURS)&gt;TEMP_HOURS_CAP),"",$C326+S$6-MIN(($D326+S$5),PERMANENT_FIELD_LABOR_HOURS)*PERMANENT_HOURLY_RATE-MAX(0,($D326+S$5)-PERMANENT_FIELD_LABOR_HOURS)*TEMP_HOURLY_RATE-FIXED_SEASON_COST)</f>
        <v>3407.44044019966</v>
      </c>
      <c r="T326" s="53" t="str">
        <f aca="false">IF(OR($A326&gt;TOMATO_BED_CAP,$B326&gt;CARROT_BED_CAP,T$4&gt;MESCLUN_BED_CAP,$A326+$B326+T$4&gt;TOTAL_BEDS_AVAILABLE,($D326+T$5)&gt;TOTAL_LABOR_HOURS_CAP,MAX(0,($D326+T$5)-PERMANENT_FIELD_LABOR_HOURS)&gt;TEMP_HOURS_CAP),"",$C326+T$6-MIN(($D326+T$5),PERMANENT_FIELD_LABOR_HOURS)*PERMANENT_HOURLY_RATE-MAX(0,($D326+T$5)-PERMANENT_FIELD_LABOR_HOURS)*TEMP_HOURLY_RATE-FIXED_SEASON_COST)</f>
        <v/>
      </c>
      <c r="U326" s="53" t="str">
        <f aca="false">IF(OR($A326&gt;TOMATO_BED_CAP,$B326&gt;CARROT_BED_CAP,U$4&gt;MESCLUN_BED_CAP,$A326+$B326+U$4&gt;TOTAL_BEDS_AVAILABLE,($D326+U$5)&gt;TOTAL_LABOR_HOURS_CAP,MAX(0,($D326+U$5)-PERMANENT_FIELD_LABOR_HOURS)&gt;TEMP_HOURS_CAP),"",$C326+U$6-MIN(($D326+U$5),PERMANENT_FIELD_LABOR_HOURS)*PERMANENT_HOURLY_RATE-MAX(0,($D326+U$5)-PERMANENT_FIELD_LABOR_HOURS)*TEMP_HOURLY_RATE-FIXED_SEASON_COST)</f>
        <v/>
      </c>
      <c r="V326" s="53" t="str">
        <f aca="false">IF(OR($A326&gt;TOMATO_BED_CAP,$B326&gt;CARROT_BED_CAP,V$4&gt;MESCLUN_BED_CAP,$A326+$B326+V$4&gt;TOTAL_BEDS_AVAILABLE,($D326+V$5)&gt;TOTAL_LABOR_HOURS_CAP,MAX(0,($D326+V$5)-PERMANENT_FIELD_LABOR_HOURS)&gt;TEMP_HOURS_CAP),"",$C326+V$6-MIN(($D326+V$5),PERMANENT_FIELD_LABOR_HOURS)*PERMANENT_HOURLY_RATE-MAX(0,($D326+V$5)-PERMANENT_FIELD_LABOR_HOURS)*TEMP_HOURLY_RATE-FIXED_SEASON_COST)</f>
        <v/>
      </c>
      <c r="W326" s="53" t="str">
        <f aca="false">IF(OR($A326&gt;TOMATO_BED_CAP,$B326&gt;CARROT_BED_CAP,W$4&gt;MESCLUN_BED_CAP,$A326+$B326+W$4&gt;TOTAL_BEDS_AVAILABLE,($D326+W$5)&gt;TOTAL_LABOR_HOURS_CAP,MAX(0,($D326+W$5)-PERMANENT_FIELD_LABOR_HOURS)&gt;TEMP_HOURS_CAP),"",$C326+W$6-MIN(($D326+W$5),PERMANENT_FIELD_LABOR_HOURS)*PERMANENT_HOURLY_RATE-MAX(0,($D326+W$5)-PERMANENT_FIELD_LABOR_HOURS)*TEMP_HOURLY_RATE-FIXED_SEASON_COST)</f>
        <v/>
      </c>
      <c r="X326" s="53" t="str">
        <f aca="false">IF(OR($A326&gt;TOMATO_BED_CAP,$B326&gt;CARROT_BED_CAP,X$4&gt;MESCLUN_BED_CAP,$A326+$B326+X$4&gt;TOTAL_BEDS_AVAILABLE,($D326+X$5)&gt;TOTAL_LABOR_HOURS_CAP,MAX(0,($D326+X$5)-PERMANENT_FIELD_LABOR_HOURS)&gt;TEMP_HOURS_CAP),"",$C326+X$6-MIN(($D326+X$5),PERMANENT_FIELD_LABOR_HOURS)*PERMANENT_HOURLY_RATE-MAX(0,($D326+X$5)-PERMANENT_FIELD_LABOR_HOURS)*TEMP_HOURLY_RATE-FIXED_SEASON_COST)</f>
        <v/>
      </c>
      <c r="Y326" s="53" t="str">
        <f aca="false">IF(OR($A326&gt;TOMATO_BED_CAP,$B326&gt;CARROT_BED_CAP,Y$4&gt;MESCLUN_BED_CAP,$A326+$B326+Y$4&gt;TOTAL_BEDS_AVAILABLE,($D326+Y$5)&gt;TOTAL_LABOR_HOURS_CAP,MAX(0,($D326+Y$5)-PERMANENT_FIELD_LABOR_HOURS)&gt;TEMP_HOURS_CAP),"",$C326+Y$6-MIN(($D326+Y$5),PERMANENT_FIELD_LABOR_HOURS)*PERMANENT_HOURLY_RATE-MAX(0,($D326+Y$5)-PERMANENT_FIELD_LABOR_HOURS)*TEMP_HOURLY_RATE-FIXED_SEASON_COST)</f>
        <v/>
      </c>
      <c r="Z326" s="53" t="str">
        <f aca="false">IF(OR($A326&gt;TOMATO_BED_CAP,$B326&gt;CARROT_BED_CAP,Z$4&gt;MESCLUN_BED_CAP,$A326+$B326+Z$4&gt;TOTAL_BEDS_AVAILABLE,($D326+Z$5)&gt;TOTAL_LABOR_HOURS_CAP,MAX(0,($D326+Z$5)-PERMANENT_FIELD_LABOR_HOURS)&gt;TEMP_HOURS_CAP),"",$C326+Z$6-MIN(($D326+Z$5),PERMANENT_FIELD_LABOR_HOURS)*PERMANENT_HOURLY_RATE-MAX(0,($D326+Z$5)-PERMANENT_FIELD_LABOR_HOURS)*TEMP_HOURLY_RATE-FIXED_SEASON_COST)</f>
        <v/>
      </c>
      <c r="AA326" s="53" t="str">
        <f aca="false">IF(OR($A326&gt;TOMATO_BED_CAP,$B326&gt;CARROT_BED_CAP,AA$4&gt;MESCLUN_BED_CAP,$A326+$B326+AA$4&gt;TOTAL_BEDS_AVAILABLE,($D326+AA$5)&gt;TOTAL_LABOR_HOURS_CAP,MAX(0,($D326+AA$5)-PERMANENT_FIELD_LABOR_HOURS)&gt;TEMP_HOURS_CAP),"",$C326+AA$6-MIN(($D326+AA$5),PERMANENT_FIELD_LABOR_HOURS)*PERMANENT_HOURLY_RATE-MAX(0,($D326+AA$5)-PERMANENT_FIELD_LABOR_HOURS)*TEMP_HOURLY_RATE-FIXED_SEASON_COST)</f>
        <v/>
      </c>
      <c r="AB326" s="53" t="str">
        <f aca="false">IF(OR($A326&gt;TOMATO_BED_CAP,$B326&gt;CARROT_BED_CAP,AB$4&gt;MESCLUN_BED_CAP,$A326+$B326+AB$4&gt;TOTAL_BEDS_AVAILABLE,($D326+AB$5)&gt;TOTAL_LABOR_HOURS_CAP,MAX(0,($D326+AB$5)-PERMANENT_FIELD_LABOR_HOURS)&gt;TEMP_HOURS_CAP),"",$C326+AB$6-MIN(($D326+AB$5),PERMANENT_FIELD_LABOR_HOURS)*PERMANENT_HOURLY_RATE-MAX(0,($D326+AB$5)-PERMANENT_FIELD_LABOR_HOURS)*TEMP_HOURLY_RATE-FIXED_SEASON_COST)</f>
        <v/>
      </c>
      <c r="AC326" s="53" t="str">
        <f aca="false">IF(OR($A326&gt;TOMATO_BED_CAP,$B326&gt;CARROT_BED_CAP,AC$4&gt;MESCLUN_BED_CAP,$A326+$B326+AC$4&gt;TOTAL_BEDS_AVAILABLE,($D326+AC$5)&gt;TOTAL_LABOR_HOURS_CAP,MAX(0,($D326+AC$5)-PERMANENT_FIELD_LABOR_HOURS)&gt;TEMP_HOURS_CAP),"",$C326+AC$6-MIN(($D326+AC$5),PERMANENT_FIELD_LABOR_HOURS)*PERMANENT_HOURLY_RATE-MAX(0,($D326+AC$5)-PERMANENT_FIELD_LABOR_HOURS)*TEMP_HOURLY_RATE-FIXED_SEASON_COST)</f>
        <v/>
      </c>
      <c r="AD326" s="53" t="str">
        <f aca="false">IF(OR($A326&gt;TOMATO_BED_CAP,$B326&gt;CARROT_BED_CAP,AD$4&gt;MESCLUN_BED_CAP,$A326+$B326+AD$4&gt;TOTAL_BEDS_AVAILABLE,($D326+AD$5)&gt;TOTAL_LABOR_HOURS_CAP,MAX(0,($D326+AD$5)-PERMANENT_FIELD_LABOR_HOURS)&gt;TEMP_HOURS_CAP),"",$C326+AD$6-MIN(($D326+AD$5),PERMANENT_FIELD_LABOR_HOURS)*PERMANENT_HOURLY_RATE-MAX(0,($D326+AD$5)-PERMANENT_FIELD_LABOR_HOURS)*TEMP_HOURLY_RATE-FIXED_SEASON_COST)</f>
        <v/>
      </c>
      <c r="AE326" s="53" t="str">
        <f aca="false">IF(OR($A326&gt;TOMATO_BED_CAP,$B326&gt;CARROT_BED_CAP,AE$4&gt;MESCLUN_BED_CAP,$A326+$B326+AE$4&gt;TOTAL_BEDS_AVAILABLE,($D326+AE$5)&gt;TOTAL_LABOR_HOURS_CAP,MAX(0,($D326+AE$5)-PERMANENT_FIELD_LABOR_HOURS)&gt;TEMP_HOURS_CAP),"",$C326+AE$6-MIN(($D326+AE$5),PERMANENT_FIELD_LABOR_HOURS)*PERMANENT_HOURLY_RATE-MAX(0,($D326+AE$5)-PERMANENT_FIELD_LABOR_HOURS)*TEMP_HOURLY_RATE-FIXED_SEASON_COST)</f>
        <v/>
      </c>
      <c r="AF326" s="53" t="str">
        <f aca="false">IF(OR($A326&gt;TOMATO_BED_CAP,$B326&gt;CARROT_BED_CAP,AF$4&gt;MESCLUN_BED_CAP,$A326+$B326+AF$4&gt;TOTAL_BEDS_AVAILABLE,($D326+AF$5)&gt;TOTAL_LABOR_HOURS_CAP,MAX(0,($D326+AF$5)-PERMANENT_FIELD_LABOR_HOURS)&gt;TEMP_HOURS_CAP),"",$C326+AF$6-MIN(($D326+AF$5),PERMANENT_FIELD_LABOR_HOURS)*PERMANENT_HOURLY_RATE-MAX(0,($D326+AF$5)-PERMANENT_FIELD_LABOR_HOURS)*TEMP_HOURLY_RATE-FIXED_SEASON_COST)</f>
        <v/>
      </c>
      <c r="AG326" s="53" t="str">
        <f aca="false">IF(OR($A326&gt;TOMATO_BED_CAP,$B326&gt;CARROT_BED_CAP,AG$4&gt;MESCLUN_BED_CAP,$A326+$B326+AG$4&gt;TOTAL_BEDS_AVAILABLE,($D326+AG$5)&gt;TOTAL_LABOR_HOURS_CAP,MAX(0,($D326+AG$5)-PERMANENT_FIELD_LABOR_HOURS)&gt;TEMP_HOURS_CAP),"",$C326+AG$6-MIN(($D326+AG$5),PERMANENT_FIELD_LABOR_HOURS)*PERMANENT_HOURLY_RATE-MAX(0,($D326+AG$5)-PERMANENT_FIELD_LABOR_HOURS)*TEMP_HOURLY_RATE-FIXED_SEASON_COST)</f>
        <v/>
      </c>
      <c r="AH326" s="53" t="str">
        <f aca="false">IF(OR($A326&gt;TOMATO_BED_CAP,$B326&gt;CARROT_BED_CAP,AH$4&gt;MESCLUN_BED_CAP,$A326+$B326+AH$4&gt;TOTAL_BEDS_AVAILABLE,($D326+AH$5)&gt;TOTAL_LABOR_HOURS_CAP,MAX(0,($D326+AH$5)-PERMANENT_FIELD_LABOR_HOURS)&gt;TEMP_HOURS_CAP),"",$C326+AH$6-MIN(($D326+AH$5),PERMANENT_FIELD_LABOR_HOURS)*PERMANENT_HOURLY_RATE-MAX(0,($D326+AH$5)-PERMANENT_FIELD_LABOR_HOURS)*TEMP_HOURLY_RATE-FIXED_SEASON_COST)</f>
        <v/>
      </c>
      <c r="AI326" s="53" t="str">
        <f aca="false">IF(OR($A326&gt;TOMATO_BED_CAP,$B326&gt;CARROT_BED_CAP,AI$4&gt;MESCLUN_BED_CAP,$A326+$B326+AI$4&gt;TOTAL_BEDS_AVAILABLE,($D326+AI$5)&gt;TOTAL_LABOR_HOURS_CAP,MAX(0,($D326+AI$5)-PERMANENT_FIELD_LABOR_HOURS)&gt;TEMP_HOURS_CAP),"",$C326+AI$6-MIN(($D326+AI$5),PERMANENT_FIELD_LABOR_HOURS)*PERMANENT_HOURLY_RATE-MAX(0,($D326+AI$5)-PERMANENT_FIELD_LABOR_HOURS)*TEMP_HOURLY_RATE-FIXED_SEASON_COST)</f>
        <v/>
      </c>
      <c r="AJ326" s="53" t="str">
        <f aca="false">IF(OR($A326&gt;TOMATO_BED_CAP,$B326&gt;CARROT_BED_CAP,AJ$4&gt;MESCLUN_BED_CAP,$A326+$B326+AJ$4&gt;TOTAL_BEDS_AVAILABLE,($D326+AJ$5)&gt;TOTAL_LABOR_HOURS_CAP,MAX(0,($D326+AJ$5)-PERMANENT_FIELD_LABOR_HOURS)&gt;TEMP_HOURS_CAP),"",$C326+AJ$6-MIN(($D326+AJ$5),PERMANENT_FIELD_LABOR_HOURS)*PERMANENT_HOURLY_RATE-MAX(0,($D326+AJ$5)-PERMANENT_FIELD_LABOR_HOURS)*TEMP_HOURLY_RATE-FIXED_SEASON_COST)</f>
        <v/>
      </c>
    </row>
    <row r="327" customFormat="false" ht="15" hidden="false" customHeight="false" outlineLevel="0" collapsed="false">
      <c r="A327" s="21" t="n">
        <f aca="false">INT((ROW()-ROW($A$8))/(20+1))</f>
        <v>15</v>
      </c>
      <c r="B327" s="21" t="n">
        <f aca="false">MOD(ROW()-ROW($A$8),20+1)</f>
        <v>4</v>
      </c>
      <c r="C327" s="13" t="n">
        <f aca="false">A327*(TOMATO_REVENUE_PER_BED-TOMATO_FERTILIZER_PER_BED)+B327*(CARROT_REVENUE_PER_BED-CARROT_FERTILIZER_PER_BED)</f>
        <v>125416</v>
      </c>
      <c r="D327" s="14" t="n">
        <f aca="false">INDEX(TOMATO_SCHED_LABOR_HRS,A327+1)+INDEX(CARROT_SCHED_LABOR_HRS,B327+1)</f>
        <v>5771.68959256739</v>
      </c>
      <c r="E327" s="13" t="n">
        <f aca="false">IF(COUNT(F327:AJ327)=0,"",MAX(F327:AJ327))</f>
        <v>4444.75811059016</v>
      </c>
      <c r="F327" s="53" t="n">
        <f aca="false">IF(OR($A327&gt;TOMATO_BED_CAP,$B327&gt;CARROT_BED_CAP,F$4&gt;MESCLUN_BED_CAP,$A327+$B327+F$4&gt;TOTAL_BEDS_AVAILABLE,($D327+F$5)&gt;TOTAL_LABOR_HOURS_CAP,MAX(0,($D327+F$5)-PERMANENT_FIELD_LABOR_HOURS)&gt;TEMP_HOURS_CAP),"",$C327+F$6-MIN(($D327+F$5),PERMANENT_FIELD_LABOR_HOURS)*PERMANENT_HOURLY_RATE-MAX(0,($D327+F$5)-PERMANENT_FIELD_LABOR_HOURS)*TEMP_HOURLY_RATE-FIXED_SEASON_COST)</f>
        <v>-7279.73132696982</v>
      </c>
      <c r="G327" s="53" t="n">
        <f aca="false">IF(OR($A327&gt;TOMATO_BED_CAP,$B327&gt;CARROT_BED_CAP,G$4&gt;MESCLUN_BED_CAP,$A327+$B327+G$4&gt;TOTAL_BEDS_AVAILABLE,($D327+G$5)&gt;TOTAL_LABOR_HOURS_CAP,MAX(0,($D327+G$5)-PERMANENT_FIELD_LABOR_HOURS)&gt;TEMP_HOURS_CAP),"",$C327+G$6-MIN(($D327+G$5),PERMANENT_FIELD_LABOR_HOURS)*PERMANENT_HOURLY_RATE-MAX(0,($D327+G$5)-PERMANENT_FIELD_LABOR_HOURS)*TEMP_HOURLY_RATE-FIXED_SEASON_COST)</f>
        <v>-6250.69632696982</v>
      </c>
      <c r="H327" s="53" t="n">
        <f aca="false">IF(OR($A327&gt;TOMATO_BED_CAP,$B327&gt;CARROT_BED_CAP,H$4&gt;MESCLUN_BED_CAP,$A327+$B327+H$4&gt;TOTAL_BEDS_AVAILABLE,($D327+H$5)&gt;TOTAL_LABOR_HOURS_CAP,MAX(0,($D327+H$5)-PERMANENT_FIELD_LABOR_HOURS)&gt;TEMP_HOURS_CAP),"",$C327+H$6-MIN(($D327+H$5),PERMANENT_FIELD_LABOR_HOURS)*PERMANENT_HOURLY_RATE-MAX(0,($D327+H$5)-PERMANENT_FIELD_LABOR_HOURS)*TEMP_HOURLY_RATE-FIXED_SEASON_COST)</f>
        <v>-5241.43545196982</v>
      </c>
      <c r="I327" s="53" t="n">
        <f aca="false">IF(OR($A327&gt;TOMATO_BED_CAP,$B327&gt;CARROT_BED_CAP,I$4&gt;MESCLUN_BED_CAP,$A327+$B327+I$4&gt;TOTAL_BEDS_AVAILABLE,($D327+I$5)&gt;TOTAL_LABOR_HOURS_CAP,MAX(0,($D327+I$5)-PERMANENT_FIELD_LABOR_HOURS)&gt;TEMP_HOURS_CAP),"",$C327+I$6-MIN(($D327+I$5),PERMANENT_FIELD_LABOR_HOURS)*PERMANENT_HOURLY_RATE-MAX(0,($D327+I$5)-PERMANENT_FIELD_LABOR_HOURS)*TEMP_HOURLY_RATE-FIXED_SEASON_COST)</f>
        <v>-4252.31946681357</v>
      </c>
      <c r="J327" s="53" t="n">
        <f aca="false">IF(OR($A327&gt;TOMATO_BED_CAP,$B327&gt;CARROT_BED_CAP,J$4&gt;MESCLUN_BED_CAP,$A327+$B327+J$4&gt;TOTAL_BEDS_AVAILABLE,($D327+J$5)&gt;TOTAL_LABOR_HOURS_CAP,MAX(0,($D327+J$5)-PERMANENT_FIELD_LABOR_HOURS)&gt;TEMP_HOURS_CAP),"",$C327+J$6-MIN(($D327+J$5),PERMANENT_FIELD_LABOR_HOURS)*PERMANENT_HOURLY_RATE-MAX(0,($D327+J$5)-PERMANENT_FIELD_LABOR_HOURS)*TEMP_HOURLY_RATE-FIXED_SEASON_COST)</f>
        <v>-3283.72531575887</v>
      </c>
      <c r="K327" s="53" t="n">
        <f aca="false">IF(OR($A327&gt;TOMATO_BED_CAP,$B327&gt;CARROT_BED_CAP,K$4&gt;MESCLUN_BED_CAP,$A327+$B327+K$4&gt;TOTAL_BEDS_AVAILABLE,($D327+K$5)&gt;TOTAL_LABOR_HOURS_CAP,MAX(0,($D327+K$5)-PERMANENT_FIELD_LABOR_HOURS)&gt;TEMP_HOURS_CAP),"",$C327+K$6-MIN(($D327+K$5),PERMANENT_FIELD_LABOR_HOURS)*PERMANENT_HOURLY_RATE-MAX(0,($D327+K$5)-PERMANENT_FIELD_LABOR_HOURS)*TEMP_HOURLY_RATE-FIXED_SEASON_COST)</f>
        <v>-2336.03621903097</v>
      </c>
      <c r="L327" s="53" t="n">
        <f aca="false">IF(OR($A327&gt;TOMATO_BED_CAP,$B327&gt;CARROT_BED_CAP,L$4&gt;MESCLUN_BED_CAP,$A327+$B327+L$4&gt;TOTAL_BEDS_AVAILABLE,($D327+L$5)&gt;TOTAL_LABOR_HOURS_CAP,MAX(0,($D327+L$5)-PERMANENT_FIELD_LABOR_HOURS)&gt;TEMP_HOURS_CAP),"",$C327+L$6-MIN(($D327+L$5),PERMANENT_FIELD_LABOR_HOURS)*PERMANENT_HOURLY_RATE-MAX(0,($D327+L$5)-PERMANENT_FIELD_LABOR_HOURS)*TEMP_HOURLY_RATE-FIXED_SEASON_COST)</f>
        <v>-1409.64177082412</v>
      </c>
      <c r="M327" s="53" t="n">
        <f aca="false">IF(OR($A327&gt;TOMATO_BED_CAP,$B327&gt;CARROT_BED_CAP,M$4&gt;MESCLUN_BED_CAP,$A327+$B327+M$4&gt;TOTAL_BEDS_AVAILABLE,($D327+M$5)&gt;TOTAL_LABOR_HOURS_CAP,MAX(0,($D327+M$5)-PERMANENT_FIELD_LABOR_HOURS)&gt;TEMP_HOURS_CAP),"",$C327+M$6-MIN(($D327+M$5),PERMANENT_FIELD_LABOR_HOURS)*PERMANENT_HOURLY_RATE-MAX(0,($D327+M$5)-PERMANENT_FIELD_LABOR_HOURS)*TEMP_HOURLY_RATE-FIXED_SEASON_COST)</f>
        <v>-504.938038772714</v>
      </c>
      <c r="N327" s="53" t="n">
        <f aca="false">IF(OR($A327&gt;TOMATO_BED_CAP,$B327&gt;CARROT_BED_CAP,N$4&gt;MESCLUN_BED_CAP,$A327+$B327+N$4&gt;TOTAL_BEDS_AVAILABLE,($D327+N$5)&gt;TOTAL_LABOR_HOURS_CAP,MAX(0,($D327+N$5)-PERMANENT_FIELD_LABOR_HOURS)&gt;TEMP_HOURS_CAP),"",$C327+N$6-MIN(($D327+N$5),PERMANENT_FIELD_LABOR_HOURS)*PERMANENT_HOURLY_RATE-MAX(0,($D327+N$5)-PERMANENT_FIELD_LABOR_HOURS)*TEMP_HOURLY_RATE-FIXED_SEASON_COST)</f>
        <v>377.672335086842</v>
      </c>
      <c r="O327" s="53" t="n">
        <f aca="false">IF(OR($A327&gt;TOMATO_BED_CAP,$B327&gt;CARROT_BED_CAP,O$4&gt;MESCLUN_BED_CAP,$A327+$B327+O$4&gt;TOTAL_BEDS_AVAILABLE,($D327+O$5)&gt;TOTAL_LABOR_HOURS_CAP,MAX(0,($D327+O$5)-PERMANENT_FIELD_LABOR_HOURS)&gt;TEMP_HOURS_CAP),"",$C327+O$6-MIN(($D327+O$5),PERMANENT_FIELD_LABOR_HOURS)*PERMANENT_HOURLY_RATE-MAX(0,($D327+O$5)-PERMANENT_FIELD_LABOR_HOURS)*TEMP_HOURLY_RATE-FIXED_SEASON_COST)</f>
        <v>1237.78003184158</v>
      </c>
      <c r="P327" s="53" t="n">
        <f aca="false">IF(OR($A327&gt;TOMATO_BED_CAP,$B327&gt;CARROT_BED_CAP,P$4&gt;MESCLUN_BED_CAP,$A327+$B327+P$4&gt;TOTAL_BEDS_AVAILABLE,($D327+P$5)&gt;TOTAL_LABOR_HOURS_CAP,MAX(0,($D327+P$5)-PERMANENT_FIELD_LABOR_HOURS)&gt;TEMP_HOURS_CAP),"",$C327+P$6-MIN(($D327+P$5),PERMANENT_FIELD_LABOR_HOURS)*PERMANENT_HOURLY_RATE-MAX(0,($D327+P$5)-PERMANENT_FIELD_LABOR_HOURS)*TEMP_HOURLY_RATE-FIXED_SEASON_COST)</f>
        <v>2074.96895169301</v>
      </c>
      <c r="Q327" s="53" t="n">
        <f aca="false">IF(OR($A327&gt;TOMATO_BED_CAP,$B327&gt;CARROT_BED_CAP,Q$4&gt;MESCLUN_BED_CAP,$A327+$B327+Q$4&gt;TOTAL_BEDS_AVAILABLE,($D327+Q$5)&gt;TOTAL_LABOR_HOURS_CAP,MAX(0,($D327+Q$5)-PERMANENT_FIELD_LABOR_HOURS)&gt;TEMP_HOURS_CAP),"",$C327+Q$6-MIN(($D327+Q$5),PERMANENT_FIELD_LABOR_HOURS)*PERMANENT_HOURLY_RATE-MAX(0,($D327+Q$5)-PERMANENT_FIELD_LABOR_HOURS)*TEMP_HOURLY_RATE-FIXED_SEASON_COST)</f>
        <v>2888.81610839091</v>
      </c>
      <c r="R327" s="53" t="n">
        <f aca="false">IF(OR($A327&gt;TOMATO_BED_CAP,$B327&gt;CARROT_BED_CAP,R$4&gt;MESCLUN_BED_CAP,$A327+$B327+R$4&gt;TOTAL_BEDS_AVAILABLE,($D327+R$5)&gt;TOTAL_LABOR_HOURS_CAP,MAX(0,($D327+R$5)-PERMANENT_FIELD_LABOR_HOURS)&gt;TEMP_HOURS_CAP),"",$C327+R$6-MIN(($D327+R$5),PERMANENT_FIELD_LABOR_HOURS)*PERMANENT_HOURLY_RATE-MAX(0,($D327+R$5)-PERMANENT_FIELD_LABOR_HOURS)*TEMP_HOURLY_RATE-FIXED_SEASON_COST)</f>
        <v>3678.89152208771</v>
      </c>
      <c r="S327" s="53" t="n">
        <f aca="false">IF(OR($A327&gt;TOMATO_BED_CAP,$B327&gt;CARROT_BED_CAP,S$4&gt;MESCLUN_BED_CAP,$A327+$B327+S$4&gt;TOTAL_BEDS_AVAILABLE,($D327+S$5)&gt;TOTAL_LABOR_HOURS_CAP,MAX(0,($D327+S$5)-PERMANENT_FIELD_LABOR_HOURS)&gt;TEMP_HOURS_CAP),"",$C327+S$6-MIN(($D327+S$5),PERMANENT_FIELD_LABOR_HOURS)*PERMANENT_HOURLY_RATE-MAX(0,($D327+S$5)-PERMANENT_FIELD_LABOR_HOURS)*TEMP_HOURLY_RATE-FIXED_SEASON_COST)</f>
        <v>4444.75811059016</v>
      </c>
      <c r="T327" s="53" t="str">
        <f aca="false">IF(OR($A327&gt;TOMATO_BED_CAP,$B327&gt;CARROT_BED_CAP,T$4&gt;MESCLUN_BED_CAP,$A327+$B327+T$4&gt;TOTAL_BEDS_AVAILABLE,($D327+T$5)&gt;TOTAL_LABOR_HOURS_CAP,MAX(0,($D327+T$5)-PERMANENT_FIELD_LABOR_HOURS)&gt;TEMP_HOURS_CAP),"",$C327+T$6-MIN(($D327+T$5),PERMANENT_FIELD_LABOR_HOURS)*PERMANENT_HOURLY_RATE-MAX(0,($D327+T$5)-PERMANENT_FIELD_LABOR_HOURS)*TEMP_HOURLY_RATE-FIXED_SEASON_COST)</f>
        <v/>
      </c>
      <c r="U327" s="53" t="str">
        <f aca="false">IF(OR($A327&gt;TOMATO_BED_CAP,$B327&gt;CARROT_BED_CAP,U$4&gt;MESCLUN_BED_CAP,$A327+$B327+U$4&gt;TOTAL_BEDS_AVAILABLE,($D327+U$5)&gt;TOTAL_LABOR_HOURS_CAP,MAX(0,($D327+U$5)-PERMANENT_FIELD_LABOR_HOURS)&gt;TEMP_HOURS_CAP),"",$C327+U$6-MIN(($D327+U$5),PERMANENT_FIELD_LABOR_HOURS)*PERMANENT_HOURLY_RATE-MAX(0,($D327+U$5)-PERMANENT_FIELD_LABOR_HOURS)*TEMP_HOURLY_RATE-FIXED_SEASON_COST)</f>
        <v/>
      </c>
      <c r="V327" s="53" t="str">
        <f aca="false">IF(OR($A327&gt;TOMATO_BED_CAP,$B327&gt;CARROT_BED_CAP,V$4&gt;MESCLUN_BED_CAP,$A327+$B327+V$4&gt;TOTAL_BEDS_AVAILABLE,($D327+V$5)&gt;TOTAL_LABOR_HOURS_CAP,MAX(0,($D327+V$5)-PERMANENT_FIELD_LABOR_HOURS)&gt;TEMP_HOURS_CAP),"",$C327+V$6-MIN(($D327+V$5),PERMANENT_FIELD_LABOR_HOURS)*PERMANENT_HOURLY_RATE-MAX(0,($D327+V$5)-PERMANENT_FIELD_LABOR_HOURS)*TEMP_HOURLY_RATE-FIXED_SEASON_COST)</f>
        <v/>
      </c>
      <c r="W327" s="53" t="str">
        <f aca="false">IF(OR($A327&gt;TOMATO_BED_CAP,$B327&gt;CARROT_BED_CAP,W$4&gt;MESCLUN_BED_CAP,$A327+$B327+W$4&gt;TOTAL_BEDS_AVAILABLE,($D327+W$5)&gt;TOTAL_LABOR_HOURS_CAP,MAX(0,($D327+W$5)-PERMANENT_FIELD_LABOR_HOURS)&gt;TEMP_HOURS_CAP),"",$C327+W$6-MIN(($D327+W$5),PERMANENT_FIELD_LABOR_HOURS)*PERMANENT_HOURLY_RATE-MAX(0,($D327+W$5)-PERMANENT_FIELD_LABOR_HOURS)*TEMP_HOURLY_RATE-FIXED_SEASON_COST)</f>
        <v/>
      </c>
      <c r="X327" s="53" t="str">
        <f aca="false">IF(OR($A327&gt;TOMATO_BED_CAP,$B327&gt;CARROT_BED_CAP,X$4&gt;MESCLUN_BED_CAP,$A327+$B327+X$4&gt;TOTAL_BEDS_AVAILABLE,($D327+X$5)&gt;TOTAL_LABOR_HOURS_CAP,MAX(0,($D327+X$5)-PERMANENT_FIELD_LABOR_HOURS)&gt;TEMP_HOURS_CAP),"",$C327+X$6-MIN(($D327+X$5),PERMANENT_FIELD_LABOR_HOURS)*PERMANENT_HOURLY_RATE-MAX(0,($D327+X$5)-PERMANENT_FIELD_LABOR_HOURS)*TEMP_HOURLY_RATE-FIXED_SEASON_COST)</f>
        <v/>
      </c>
      <c r="Y327" s="53" t="str">
        <f aca="false">IF(OR($A327&gt;TOMATO_BED_CAP,$B327&gt;CARROT_BED_CAP,Y$4&gt;MESCLUN_BED_CAP,$A327+$B327+Y$4&gt;TOTAL_BEDS_AVAILABLE,($D327+Y$5)&gt;TOTAL_LABOR_HOURS_CAP,MAX(0,($D327+Y$5)-PERMANENT_FIELD_LABOR_HOURS)&gt;TEMP_HOURS_CAP),"",$C327+Y$6-MIN(($D327+Y$5),PERMANENT_FIELD_LABOR_HOURS)*PERMANENT_HOURLY_RATE-MAX(0,($D327+Y$5)-PERMANENT_FIELD_LABOR_HOURS)*TEMP_HOURLY_RATE-FIXED_SEASON_COST)</f>
        <v/>
      </c>
      <c r="Z327" s="53" t="str">
        <f aca="false">IF(OR($A327&gt;TOMATO_BED_CAP,$B327&gt;CARROT_BED_CAP,Z$4&gt;MESCLUN_BED_CAP,$A327+$B327+Z$4&gt;TOTAL_BEDS_AVAILABLE,($D327+Z$5)&gt;TOTAL_LABOR_HOURS_CAP,MAX(0,($D327+Z$5)-PERMANENT_FIELD_LABOR_HOURS)&gt;TEMP_HOURS_CAP),"",$C327+Z$6-MIN(($D327+Z$5),PERMANENT_FIELD_LABOR_HOURS)*PERMANENT_HOURLY_RATE-MAX(0,($D327+Z$5)-PERMANENT_FIELD_LABOR_HOURS)*TEMP_HOURLY_RATE-FIXED_SEASON_COST)</f>
        <v/>
      </c>
      <c r="AA327" s="53" t="str">
        <f aca="false">IF(OR($A327&gt;TOMATO_BED_CAP,$B327&gt;CARROT_BED_CAP,AA$4&gt;MESCLUN_BED_CAP,$A327+$B327+AA$4&gt;TOTAL_BEDS_AVAILABLE,($D327+AA$5)&gt;TOTAL_LABOR_HOURS_CAP,MAX(0,($D327+AA$5)-PERMANENT_FIELD_LABOR_HOURS)&gt;TEMP_HOURS_CAP),"",$C327+AA$6-MIN(($D327+AA$5),PERMANENT_FIELD_LABOR_HOURS)*PERMANENT_HOURLY_RATE-MAX(0,($D327+AA$5)-PERMANENT_FIELD_LABOR_HOURS)*TEMP_HOURLY_RATE-FIXED_SEASON_COST)</f>
        <v/>
      </c>
      <c r="AB327" s="53" t="str">
        <f aca="false">IF(OR($A327&gt;TOMATO_BED_CAP,$B327&gt;CARROT_BED_CAP,AB$4&gt;MESCLUN_BED_CAP,$A327+$B327+AB$4&gt;TOTAL_BEDS_AVAILABLE,($D327+AB$5)&gt;TOTAL_LABOR_HOURS_CAP,MAX(0,($D327+AB$5)-PERMANENT_FIELD_LABOR_HOURS)&gt;TEMP_HOURS_CAP),"",$C327+AB$6-MIN(($D327+AB$5),PERMANENT_FIELD_LABOR_HOURS)*PERMANENT_HOURLY_RATE-MAX(0,($D327+AB$5)-PERMANENT_FIELD_LABOR_HOURS)*TEMP_HOURLY_RATE-FIXED_SEASON_COST)</f>
        <v/>
      </c>
      <c r="AC327" s="53" t="str">
        <f aca="false">IF(OR($A327&gt;TOMATO_BED_CAP,$B327&gt;CARROT_BED_CAP,AC$4&gt;MESCLUN_BED_CAP,$A327+$B327+AC$4&gt;TOTAL_BEDS_AVAILABLE,($D327+AC$5)&gt;TOTAL_LABOR_HOURS_CAP,MAX(0,($D327+AC$5)-PERMANENT_FIELD_LABOR_HOURS)&gt;TEMP_HOURS_CAP),"",$C327+AC$6-MIN(($D327+AC$5),PERMANENT_FIELD_LABOR_HOURS)*PERMANENT_HOURLY_RATE-MAX(0,($D327+AC$5)-PERMANENT_FIELD_LABOR_HOURS)*TEMP_HOURLY_RATE-FIXED_SEASON_COST)</f>
        <v/>
      </c>
      <c r="AD327" s="53" t="str">
        <f aca="false">IF(OR($A327&gt;TOMATO_BED_CAP,$B327&gt;CARROT_BED_CAP,AD$4&gt;MESCLUN_BED_CAP,$A327+$B327+AD$4&gt;TOTAL_BEDS_AVAILABLE,($D327+AD$5)&gt;TOTAL_LABOR_HOURS_CAP,MAX(0,($D327+AD$5)-PERMANENT_FIELD_LABOR_HOURS)&gt;TEMP_HOURS_CAP),"",$C327+AD$6-MIN(($D327+AD$5),PERMANENT_FIELD_LABOR_HOURS)*PERMANENT_HOURLY_RATE-MAX(0,($D327+AD$5)-PERMANENT_FIELD_LABOR_HOURS)*TEMP_HOURLY_RATE-FIXED_SEASON_COST)</f>
        <v/>
      </c>
      <c r="AE327" s="53" t="str">
        <f aca="false">IF(OR($A327&gt;TOMATO_BED_CAP,$B327&gt;CARROT_BED_CAP,AE$4&gt;MESCLUN_BED_CAP,$A327+$B327+AE$4&gt;TOTAL_BEDS_AVAILABLE,($D327+AE$5)&gt;TOTAL_LABOR_HOURS_CAP,MAX(0,($D327+AE$5)-PERMANENT_FIELD_LABOR_HOURS)&gt;TEMP_HOURS_CAP),"",$C327+AE$6-MIN(($D327+AE$5),PERMANENT_FIELD_LABOR_HOURS)*PERMANENT_HOURLY_RATE-MAX(0,($D327+AE$5)-PERMANENT_FIELD_LABOR_HOURS)*TEMP_HOURLY_RATE-FIXED_SEASON_COST)</f>
        <v/>
      </c>
      <c r="AF327" s="53" t="str">
        <f aca="false">IF(OR($A327&gt;TOMATO_BED_CAP,$B327&gt;CARROT_BED_CAP,AF$4&gt;MESCLUN_BED_CAP,$A327+$B327+AF$4&gt;TOTAL_BEDS_AVAILABLE,($D327+AF$5)&gt;TOTAL_LABOR_HOURS_CAP,MAX(0,($D327+AF$5)-PERMANENT_FIELD_LABOR_HOURS)&gt;TEMP_HOURS_CAP),"",$C327+AF$6-MIN(($D327+AF$5),PERMANENT_FIELD_LABOR_HOURS)*PERMANENT_HOURLY_RATE-MAX(0,($D327+AF$5)-PERMANENT_FIELD_LABOR_HOURS)*TEMP_HOURLY_RATE-FIXED_SEASON_COST)</f>
        <v/>
      </c>
      <c r="AG327" s="53" t="str">
        <f aca="false">IF(OR($A327&gt;TOMATO_BED_CAP,$B327&gt;CARROT_BED_CAP,AG$4&gt;MESCLUN_BED_CAP,$A327+$B327+AG$4&gt;TOTAL_BEDS_AVAILABLE,($D327+AG$5)&gt;TOTAL_LABOR_HOURS_CAP,MAX(0,($D327+AG$5)-PERMANENT_FIELD_LABOR_HOURS)&gt;TEMP_HOURS_CAP),"",$C327+AG$6-MIN(($D327+AG$5),PERMANENT_FIELD_LABOR_HOURS)*PERMANENT_HOURLY_RATE-MAX(0,($D327+AG$5)-PERMANENT_FIELD_LABOR_HOURS)*TEMP_HOURLY_RATE-FIXED_SEASON_COST)</f>
        <v/>
      </c>
      <c r="AH327" s="53" t="str">
        <f aca="false">IF(OR($A327&gt;TOMATO_BED_CAP,$B327&gt;CARROT_BED_CAP,AH$4&gt;MESCLUN_BED_CAP,$A327+$B327+AH$4&gt;TOTAL_BEDS_AVAILABLE,($D327+AH$5)&gt;TOTAL_LABOR_HOURS_CAP,MAX(0,($D327+AH$5)-PERMANENT_FIELD_LABOR_HOURS)&gt;TEMP_HOURS_CAP),"",$C327+AH$6-MIN(($D327+AH$5),PERMANENT_FIELD_LABOR_HOURS)*PERMANENT_HOURLY_RATE-MAX(0,($D327+AH$5)-PERMANENT_FIELD_LABOR_HOURS)*TEMP_HOURLY_RATE-FIXED_SEASON_COST)</f>
        <v/>
      </c>
      <c r="AI327" s="53" t="str">
        <f aca="false">IF(OR($A327&gt;TOMATO_BED_CAP,$B327&gt;CARROT_BED_CAP,AI$4&gt;MESCLUN_BED_CAP,$A327+$B327+AI$4&gt;TOTAL_BEDS_AVAILABLE,($D327+AI$5)&gt;TOTAL_LABOR_HOURS_CAP,MAX(0,($D327+AI$5)-PERMANENT_FIELD_LABOR_HOURS)&gt;TEMP_HOURS_CAP),"",$C327+AI$6-MIN(($D327+AI$5),PERMANENT_FIELD_LABOR_HOURS)*PERMANENT_HOURLY_RATE-MAX(0,($D327+AI$5)-PERMANENT_FIELD_LABOR_HOURS)*TEMP_HOURLY_RATE-FIXED_SEASON_COST)</f>
        <v/>
      </c>
      <c r="AJ327" s="53" t="str">
        <f aca="false">IF(OR($A327&gt;TOMATO_BED_CAP,$B327&gt;CARROT_BED_CAP,AJ$4&gt;MESCLUN_BED_CAP,$A327+$B327+AJ$4&gt;TOTAL_BEDS_AVAILABLE,($D327+AJ$5)&gt;TOTAL_LABOR_HOURS_CAP,MAX(0,($D327+AJ$5)-PERMANENT_FIELD_LABOR_HOURS)&gt;TEMP_HOURS_CAP),"",$C327+AJ$6-MIN(($D327+AJ$5),PERMANENT_FIELD_LABOR_HOURS)*PERMANENT_HOURLY_RATE-MAX(0,($D327+AJ$5)-PERMANENT_FIELD_LABOR_HOURS)*TEMP_HOURLY_RATE-FIXED_SEASON_COST)</f>
        <v/>
      </c>
    </row>
    <row r="328" customFormat="false" ht="15" hidden="false" customHeight="false" outlineLevel="0" collapsed="false">
      <c r="A328" s="21" t="n">
        <f aca="false">INT((ROW()-ROW($A$8))/(20+1))</f>
        <v>15</v>
      </c>
      <c r="B328" s="21" t="n">
        <f aca="false">MOD(ROW()-ROW($A$8),20+1)</f>
        <v>5</v>
      </c>
      <c r="C328" s="13" t="n">
        <f aca="false">A328*(TOMATO_REVENUE_PER_BED-TOMATO_FERTILIZER_PER_BED)+B328*(CARROT_REVENUE_PER_BED-CARROT_FERTILIZER_PER_BED)</f>
        <v>127070</v>
      </c>
      <c r="D328" s="14" t="n">
        <f aca="false">INDEX(TOMATO_SCHED_LABOR_HRS,A328+1)+INDEX(CARROT_SCHED_LABOR_HRS,B328+1)</f>
        <v>5808.92837615196</v>
      </c>
      <c r="E328" s="13" t="n">
        <f aca="false">IF(COUNT(F328:AJ328)=0,"",MAX(F328:AJ328))</f>
        <v>4686.42623905957</v>
      </c>
      <c r="F328" s="53" t="n">
        <f aca="false">IF(OR($A328&gt;TOMATO_BED_CAP,$B328&gt;CARROT_BED_CAP,F$4&gt;MESCLUN_BED_CAP,$A328+$B328+F$4&gt;TOTAL_BEDS_AVAILABLE,($D328+F$5)&gt;TOTAL_LABOR_HOURS_CAP,MAX(0,($D328+F$5)-PERMANENT_FIELD_LABOR_HOURS)&gt;TEMP_HOURS_CAP),"",$C328+F$6-MIN(($D328+F$5),PERMANENT_FIELD_LABOR_HOURS)*PERMANENT_HOURLY_RATE-MAX(0,($D328+F$5)-PERMANENT_FIELD_LABOR_HOURS)*TEMP_HOURLY_RATE-FIXED_SEASON_COST)</f>
        <v>-6272.19660999795</v>
      </c>
      <c r="G328" s="53" t="n">
        <f aca="false">IF(OR($A328&gt;TOMATO_BED_CAP,$B328&gt;CARROT_BED_CAP,G$4&gt;MESCLUN_BED_CAP,$A328+$B328+G$4&gt;TOTAL_BEDS_AVAILABLE,($D328+G$5)&gt;TOTAL_LABOR_HOURS_CAP,MAX(0,($D328+G$5)-PERMANENT_FIELD_LABOR_HOURS)&gt;TEMP_HOURS_CAP),"",$C328+G$6-MIN(($D328+G$5),PERMANENT_FIELD_LABOR_HOURS)*PERMANENT_HOURLY_RATE-MAX(0,($D328+G$5)-PERMANENT_FIELD_LABOR_HOURS)*TEMP_HOURLY_RATE-FIXED_SEASON_COST)</f>
        <v>-5243.16160999796</v>
      </c>
      <c r="H328" s="53" t="n">
        <f aca="false">IF(OR($A328&gt;TOMATO_BED_CAP,$B328&gt;CARROT_BED_CAP,H$4&gt;MESCLUN_BED_CAP,$A328+$B328+H$4&gt;TOTAL_BEDS_AVAILABLE,($D328+H$5)&gt;TOTAL_LABOR_HOURS_CAP,MAX(0,($D328+H$5)-PERMANENT_FIELD_LABOR_HOURS)&gt;TEMP_HOURS_CAP),"",$C328+H$6-MIN(($D328+H$5),PERMANENT_FIELD_LABOR_HOURS)*PERMANENT_HOURLY_RATE-MAX(0,($D328+H$5)-PERMANENT_FIELD_LABOR_HOURS)*TEMP_HOURLY_RATE-FIXED_SEASON_COST)</f>
        <v>-4233.90073499797</v>
      </c>
      <c r="I328" s="53" t="n">
        <f aca="false">IF(OR($A328&gt;TOMATO_BED_CAP,$B328&gt;CARROT_BED_CAP,I$4&gt;MESCLUN_BED_CAP,$A328+$B328+I$4&gt;TOTAL_BEDS_AVAILABLE,($D328+I$5)&gt;TOTAL_LABOR_HOURS_CAP,MAX(0,($D328+I$5)-PERMANENT_FIELD_LABOR_HOURS)&gt;TEMP_HOURS_CAP),"",$C328+I$6-MIN(($D328+I$5),PERMANENT_FIELD_LABOR_HOURS)*PERMANENT_HOURLY_RATE-MAX(0,($D328+I$5)-PERMANENT_FIELD_LABOR_HOURS)*TEMP_HOURLY_RATE-FIXED_SEASON_COST)</f>
        <v>-3244.78474984171</v>
      </c>
      <c r="J328" s="53" t="n">
        <f aca="false">IF(OR($A328&gt;TOMATO_BED_CAP,$B328&gt;CARROT_BED_CAP,J$4&gt;MESCLUN_BED_CAP,$A328+$B328+J$4&gt;TOTAL_BEDS_AVAILABLE,($D328+J$5)&gt;TOTAL_LABOR_HOURS_CAP,MAX(0,($D328+J$5)-PERMANENT_FIELD_LABOR_HOURS)&gt;TEMP_HOURS_CAP),"",$C328+J$6-MIN(($D328+J$5),PERMANENT_FIELD_LABOR_HOURS)*PERMANENT_HOURLY_RATE-MAX(0,($D328+J$5)-PERMANENT_FIELD_LABOR_HOURS)*TEMP_HOURLY_RATE-FIXED_SEASON_COST)</f>
        <v>-2276.19059878701</v>
      </c>
      <c r="K328" s="53" t="n">
        <f aca="false">IF(OR($A328&gt;TOMATO_BED_CAP,$B328&gt;CARROT_BED_CAP,K$4&gt;MESCLUN_BED_CAP,$A328+$B328+K$4&gt;TOTAL_BEDS_AVAILABLE,($D328+K$5)&gt;TOTAL_LABOR_HOURS_CAP,MAX(0,($D328+K$5)-PERMANENT_FIELD_LABOR_HOURS)&gt;TEMP_HOURS_CAP),"",$C328+K$6-MIN(($D328+K$5),PERMANENT_FIELD_LABOR_HOURS)*PERMANENT_HOURLY_RATE-MAX(0,($D328+K$5)-PERMANENT_FIELD_LABOR_HOURS)*TEMP_HOURLY_RATE-FIXED_SEASON_COST)</f>
        <v>-1328.50150205911</v>
      </c>
      <c r="L328" s="53" t="n">
        <f aca="false">IF(OR($A328&gt;TOMATO_BED_CAP,$B328&gt;CARROT_BED_CAP,L$4&gt;MESCLUN_BED_CAP,$A328+$B328+L$4&gt;TOTAL_BEDS_AVAILABLE,($D328+L$5)&gt;TOTAL_LABOR_HOURS_CAP,MAX(0,($D328+L$5)-PERMANENT_FIELD_LABOR_HOURS)&gt;TEMP_HOURS_CAP),"",$C328+L$6-MIN(($D328+L$5),PERMANENT_FIELD_LABOR_HOURS)*PERMANENT_HOURLY_RATE-MAX(0,($D328+L$5)-PERMANENT_FIELD_LABOR_HOURS)*TEMP_HOURLY_RATE-FIXED_SEASON_COST)</f>
        <v>-402.107053852262</v>
      </c>
      <c r="M328" s="53" t="n">
        <f aca="false">IF(OR($A328&gt;TOMATO_BED_CAP,$B328&gt;CARROT_BED_CAP,M$4&gt;MESCLUN_BED_CAP,$A328+$B328+M$4&gt;TOTAL_BEDS_AVAILABLE,($D328+M$5)&gt;TOTAL_LABOR_HOURS_CAP,MAX(0,($D328+M$5)-PERMANENT_FIELD_LABOR_HOURS)&gt;TEMP_HOURS_CAP),"",$C328+M$6-MIN(($D328+M$5),PERMANENT_FIELD_LABOR_HOURS)*PERMANENT_HOURLY_RATE-MAX(0,($D328+M$5)-PERMANENT_FIELD_LABOR_HOURS)*TEMP_HOURLY_RATE-FIXED_SEASON_COST)</f>
        <v>502.596678199145</v>
      </c>
      <c r="N328" s="53" t="n">
        <f aca="false">IF(OR($A328&gt;TOMATO_BED_CAP,$B328&gt;CARROT_BED_CAP,N$4&gt;MESCLUN_BED_CAP,$A328+$B328+N$4&gt;TOTAL_BEDS_AVAILABLE,($D328+N$5)&gt;TOTAL_LABOR_HOURS_CAP,MAX(0,($D328+N$5)-PERMANENT_FIELD_LABOR_HOURS)&gt;TEMP_HOURS_CAP),"",$C328+N$6-MIN(($D328+N$5),PERMANENT_FIELD_LABOR_HOURS)*PERMANENT_HOURLY_RATE-MAX(0,($D328+N$5)-PERMANENT_FIELD_LABOR_HOURS)*TEMP_HOURLY_RATE-FIXED_SEASON_COST)</f>
        <v>1385.2070520587</v>
      </c>
      <c r="O328" s="53" t="n">
        <f aca="false">IF(OR($A328&gt;TOMATO_BED_CAP,$B328&gt;CARROT_BED_CAP,O$4&gt;MESCLUN_BED_CAP,$A328+$B328+O$4&gt;TOTAL_BEDS_AVAILABLE,($D328+O$5)&gt;TOTAL_LABOR_HOURS_CAP,MAX(0,($D328+O$5)-PERMANENT_FIELD_LABOR_HOURS)&gt;TEMP_HOURS_CAP),"",$C328+O$6-MIN(($D328+O$5),PERMANENT_FIELD_LABOR_HOURS)*PERMANENT_HOURLY_RATE-MAX(0,($D328+O$5)-PERMANENT_FIELD_LABOR_HOURS)*TEMP_HOURLY_RATE-FIXED_SEASON_COST)</f>
        <v>2245.31474881344</v>
      </c>
      <c r="P328" s="53" t="n">
        <f aca="false">IF(OR($A328&gt;TOMATO_BED_CAP,$B328&gt;CARROT_BED_CAP,P$4&gt;MESCLUN_BED_CAP,$A328+$B328+P$4&gt;TOTAL_BEDS_AVAILABLE,($D328+P$5)&gt;TOTAL_LABOR_HOURS_CAP,MAX(0,($D328+P$5)-PERMANENT_FIELD_LABOR_HOURS)&gt;TEMP_HOURS_CAP),"",$C328+P$6-MIN(($D328+P$5),PERMANENT_FIELD_LABOR_HOURS)*PERMANENT_HOURLY_RATE-MAX(0,($D328+P$5)-PERMANENT_FIELD_LABOR_HOURS)*TEMP_HOURLY_RATE-FIXED_SEASON_COST)</f>
        <v>3082.50366866487</v>
      </c>
      <c r="Q328" s="53" t="n">
        <f aca="false">IF(OR($A328&gt;TOMATO_BED_CAP,$B328&gt;CARROT_BED_CAP,Q$4&gt;MESCLUN_BED_CAP,$A328+$B328+Q$4&gt;TOTAL_BEDS_AVAILABLE,($D328+Q$5)&gt;TOTAL_LABOR_HOURS_CAP,MAX(0,($D328+Q$5)-PERMANENT_FIELD_LABOR_HOURS)&gt;TEMP_HOURS_CAP),"",$C328+Q$6-MIN(($D328+Q$5),PERMANENT_FIELD_LABOR_HOURS)*PERMANENT_HOURLY_RATE-MAX(0,($D328+Q$5)-PERMANENT_FIELD_LABOR_HOURS)*TEMP_HOURLY_RATE-FIXED_SEASON_COST)</f>
        <v>3896.35082536277</v>
      </c>
      <c r="R328" s="53" t="n">
        <f aca="false">IF(OR($A328&gt;TOMATO_BED_CAP,$B328&gt;CARROT_BED_CAP,R$4&gt;MESCLUN_BED_CAP,$A328+$B328+R$4&gt;TOTAL_BEDS_AVAILABLE,($D328+R$5)&gt;TOTAL_LABOR_HOURS_CAP,MAX(0,($D328+R$5)-PERMANENT_FIELD_LABOR_HOURS)&gt;TEMP_HOURS_CAP),"",$C328+R$6-MIN(($D328+R$5),PERMANENT_FIELD_LABOR_HOURS)*PERMANENT_HOURLY_RATE-MAX(0,($D328+R$5)-PERMANENT_FIELD_LABOR_HOURS)*TEMP_HOURLY_RATE-FIXED_SEASON_COST)</f>
        <v>4686.42623905957</v>
      </c>
      <c r="S328" s="53" t="str">
        <f aca="false">IF(OR($A328&gt;TOMATO_BED_CAP,$B328&gt;CARROT_BED_CAP,S$4&gt;MESCLUN_BED_CAP,$A328+$B328+S$4&gt;TOTAL_BEDS_AVAILABLE,($D328+S$5)&gt;TOTAL_LABOR_HOURS_CAP,MAX(0,($D328+S$5)-PERMANENT_FIELD_LABOR_HOURS)&gt;TEMP_HOURS_CAP),"",$C328+S$6-MIN(($D328+S$5),PERMANENT_FIELD_LABOR_HOURS)*PERMANENT_HOURLY_RATE-MAX(0,($D328+S$5)-PERMANENT_FIELD_LABOR_HOURS)*TEMP_HOURLY_RATE-FIXED_SEASON_COST)</f>
        <v/>
      </c>
      <c r="T328" s="53" t="str">
        <f aca="false">IF(OR($A328&gt;TOMATO_BED_CAP,$B328&gt;CARROT_BED_CAP,T$4&gt;MESCLUN_BED_CAP,$A328+$B328+T$4&gt;TOTAL_BEDS_AVAILABLE,($D328+T$5)&gt;TOTAL_LABOR_HOURS_CAP,MAX(0,($D328+T$5)-PERMANENT_FIELD_LABOR_HOURS)&gt;TEMP_HOURS_CAP),"",$C328+T$6-MIN(($D328+T$5),PERMANENT_FIELD_LABOR_HOURS)*PERMANENT_HOURLY_RATE-MAX(0,($D328+T$5)-PERMANENT_FIELD_LABOR_HOURS)*TEMP_HOURLY_RATE-FIXED_SEASON_COST)</f>
        <v/>
      </c>
      <c r="U328" s="53" t="str">
        <f aca="false">IF(OR($A328&gt;TOMATO_BED_CAP,$B328&gt;CARROT_BED_CAP,U$4&gt;MESCLUN_BED_CAP,$A328+$B328+U$4&gt;TOTAL_BEDS_AVAILABLE,($D328+U$5)&gt;TOTAL_LABOR_HOURS_CAP,MAX(0,($D328+U$5)-PERMANENT_FIELD_LABOR_HOURS)&gt;TEMP_HOURS_CAP),"",$C328+U$6-MIN(($D328+U$5),PERMANENT_FIELD_LABOR_HOURS)*PERMANENT_HOURLY_RATE-MAX(0,($D328+U$5)-PERMANENT_FIELD_LABOR_HOURS)*TEMP_HOURLY_RATE-FIXED_SEASON_COST)</f>
        <v/>
      </c>
      <c r="V328" s="53" t="str">
        <f aca="false">IF(OR($A328&gt;TOMATO_BED_CAP,$B328&gt;CARROT_BED_CAP,V$4&gt;MESCLUN_BED_CAP,$A328+$B328+V$4&gt;TOTAL_BEDS_AVAILABLE,($D328+V$5)&gt;TOTAL_LABOR_HOURS_CAP,MAX(0,($D328+V$5)-PERMANENT_FIELD_LABOR_HOURS)&gt;TEMP_HOURS_CAP),"",$C328+V$6-MIN(($D328+V$5),PERMANENT_FIELD_LABOR_HOURS)*PERMANENT_HOURLY_RATE-MAX(0,($D328+V$5)-PERMANENT_FIELD_LABOR_HOURS)*TEMP_HOURLY_RATE-FIXED_SEASON_COST)</f>
        <v/>
      </c>
      <c r="W328" s="53" t="str">
        <f aca="false">IF(OR($A328&gt;TOMATO_BED_CAP,$B328&gt;CARROT_BED_CAP,W$4&gt;MESCLUN_BED_CAP,$A328+$B328+W$4&gt;TOTAL_BEDS_AVAILABLE,($D328+W$5)&gt;TOTAL_LABOR_HOURS_CAP,MAX(0,($D328+W$5)-PERMANENT_FIELD_LABOR_HOURS)&gt;TEMP_HOURS_CAP),"",$C328+W$6-MIN(($D328+W$5),PERMANENT_FIELD_LABOR_HOURS)*PERMANENT_HOURLY_RATE-MAX(0,($D328+W$5)-PERMANENT_FIELD_LABOR_HOURS)*TEMP_HOURLY_RATE-FIXED_SEASON_COST)</f>
        <v/>
      </c>
      <c r="X328" s="53" t="str">
        <f aca="false">IF(OR($A328&gt;TOMATO_BED_CAP,$B328&gt;CARROT_BED_CAP,X$4&gt;MESCLUN_BED_CAP,$A328+$B328+X$4&gt;TOTAL_BEDS_AVAILABLE,($D328+X$5)&gt;TOTAL_LABOR_HOURS_CAP,MAX(0,($D328+X$5)-PERMANENT_FIELD_LABOR_HOURS)&gt;TEMP_HOURS_CAP),"",$C328+X$6-MIN(($D328+X$5),PERMANENT_FIELD_LABOR_HOURS)*PERMANENT_HOURLY_RATE-MAX(0,($D328+X$5)-PERMANENT_FIELD_LABOR_HOURS)*TEMP_HOURLY_RATE-FIXED_SEASON_COST)</f>
        <v/>
      </c>
      <c r="Y328" s="53" t="str">
        <f aca="false">IF(OR($A328&gt;TOMATO_BED_CAP,$B328&gt;CARROT_BED_CAP,Y$4&gt;MESCLUN_BED_CAP,$A328+$B328+Y$4&gt;TOTAL_BEDS_AVAILABLE,($D328+Y$5)&gt;TOTAL_LABOR_HOURS_CAP,MAX(0,($D328+Y$5)-PERMANENT_FIELD_LABOR_HOURS)&gt;TEMP_HOURS_CAP),"",$C328+Y$6-MIN(($D328+Y$5),PERMANENT_FIELD_LABOR_HOURS)*PERMANENT_HOURLY_RATE-MAX(0,($D328+Y$5)-PERMANENT_FIELD_LABOR_HOURS)*TEMP_HOURLY_RATE-FIXED_SEASON_COST)</f>
        <v/>
      </c>
      <c r="Z328" s="53" t="str">
        <f aca="false">IF(OR($A328&gt;TOMATO_BED_CAP,$B328&gt;CARROT_BED_CAP,Z$4&gt;MESCLUN_BED_CAP,$A328+$B328+Z$4&gt;TOTAL_BEDS_AVAILABLE,($D328+Z$5)&gt;TOTAL_LABOR_HOURS_CAP,MAX(0,($D328+Z$5)-PERMANENT_FIELD_LABOR_HOURS)&gt;TEMP_HOURS_CAP),"",$C328+Z$6-MIN(($D328+Z$5),PERMANENT_FIELD_LABOR_HOURS)*PERMANENT_HOURLY_RATE-MAX(0,($D328+Z$5)-PERMANENT_FIELD_LABOR_HOURS)*TEMP_HOURLY_RATE-FIXED_SEASON_COST)</f>
        <v/>
      </c>
      <c r="AA328" s="53" t="str">
        <f aca="false">IF(OR($A328&gt;TOMATO_BED_CAP,$B328&gt;CARROT_BED_CAP,AA$4&gt;MESCLUN_BED_CAP,$A328+$B328+AA$4&gt;TOTAL_BEDS_AVAILABLE,($D328+AA$5)&gt;TOTAL_LABOR_HOURS_CAP,MAX(0,($D328+AA$5)-PERMANENT_FIELD_LABOR_HOURS)&gt;TEMP_HOURS_CAP),"",$C328+AA$6-MIN(($D328+AA$5),PERMANENT_FIELD_LABOR_HOURS)*PERMANENT_HOURLY_RATE-MAX(0,($D328+AA$5)-PERMANENT_FIELD_LABOR_HOURS)*TEMP_HOURLY_RATE-FIXED_SEASON_COST)</f>
        <v/>
      </c>
      <c r="AB328" s="53" t="str">
        <f aca="false">IF(OR($A328&gt;TOMATO_BED_CAP,$B328&gt;CARROT_BED_CAP,AB$4&gt;MESCLUN_BED_CAP,$A328+$B328+AB$4&gt;TOTAL_BEDS_AVAILABLE,($D328+AB$5)&gt;TOTAL_LABOR_HOURS_CAP,MAX(0,($D328+AB$5)-PERMANENT_FIELD_LABOR_HOURS)&gt;TEMP_HOURS_CAP),"",$C328+AB$6-MIN(($D328+AB$5),PERMANENT_FIELD_LABOR_HOURS)*PERMANENT_HOURLY_RATE-MAX(0,($D328+AB$5)-PERMANENT_FIELD_LABOR_HOURS)*TEMP_HOURLY_RATE-FIXED_SEASON_COST)</f>
        <v/>
      </c>
      <c r="AC328" s="53" t="str">
        <f aca="false">IF(OR($A328&gt;TOMATO_BED_CAP,$B328&gt;CARROT_BED_CAP,AC$4&gt;MESCLUN_BED_CAP,$A328+$B328+AC$4&gt;TOTAL_BEDS_AVAILABLE,($D328+AC$5)&gt;TOTAL_LABOR_HOURS_CAP,MAX(0,($D328+AC$5)-PERMANENT_FIELD_LABOR_HOURS)&gt;TEMP_HOURS_CAP),"",$C328+AC$6-MIN(($D328+AC$5),PERMANENT_FIELD_LABOR_HOURS)*PERMANENT_HOURLY_RATE-MAX(0,($D328+AC$5)-PERMANENT_FIELD_LABOR_HOURS)*TEMP_HOURLY_RATE-FIXED_SEASON_COST)</f>
        <v/>
      </c>
      <c r="AD328" s="53" t="str">
        <f aca="false">IF(OR($A328&gt;TOMATO_BED_CAP,$B328&gt;CARROT_BED_CAP,AD$4&gt;MESCLUN_BED_CAP,$A328+$B328+AD$4&gt;TOTAL_BEDS_AVAILABLE,($D328+AD$5)&gt;TOTAL_LABOR_HOURS_CAP,MAX(0,($D328+AD$5)-PERMANENT_FIELD_LABOR_HOURS)&gt;TEMP_HOURS_CAP),"",$C328+AD$6-MIN(($D328+AD$5),PERMANENT_FIELD_LABOR_HOURS)*PERMANENT_HOURLY_RATE-MAX(0,($D328+AD$5)-PERMANENT_FIELD_LABOR_HOURS)*TEMP_HOURLY_RATE-FIXED_SEASON_COST)</f>
        <v/>
      </c>
      <c r="AE328" s="53" t="str">
        <f aca="false">IF(OR($A328&gt;TOMATO_BED_CAP,$B328&gt;CARROT_BED_CAP,AE$4&gt;MESCLUN_BED_CAP,$A328+$B328+AE$4&gt;TOTAL_BEDS_AVAILABLE,($D328+AE$5)&gt;TOTAL_LABOR_HOURS_CAP,MAX(0,($D328+AE$5)-PERMANENT_FIELD_LABOR_HOURS)&gt;TEMP_HOURS_CAP),"",$C328+AE$6-MIN(($D328+AE$5),PERMANENT_FIELD_LABOR_HOURS)*PERMANENT_HOURLY_RATE-MAX(0,($D328+AE$5)-PERMANENT_FIELD_LABOR_HOURS)*TEMP_HOURLY_RATE-FIXED_SEASON_COST)</f>
        <v/>
      </c>
      <c r="AF328" s="53" t="str">
        <f aca="false">IF(OR($A328&gt;TOMATO_BED_CAP,$B328&gt;CARROT_BED_CAP,AF$4&gt;MESCLUN_BED_CAP,$A328+$B328+AF$4&gt;TOTAL_BEDS_AVAILABLE,($D328+AF$5)&gt;TOTAL_LABOR_HOURS_CAP,MAX(0,($D328+AF$5)-PERMANENT_FIELD_LABOR_HOURS)&gt;TEMP_HOURS_CAP),"",$C328+AF$6-MIN(($D328+AF$5),PERMANENT_FIELD_LABOR_HOURS)*PERMANENT_HOURLY_RATE-MAX(0,($D328+AF$5)-PERMANENT_FIELD_LABOR_HOURS)*TEMP_HOURLY_RATE-FIXED_SEASON_COST)</f>
        <v/>
      </c>
      <c r="AG328" s="53" t="str">
        <f aca="false">IF(OR($A328&gt;TOMATO_BED_CAP,$B328&gt;CARROT_BED_CAP,AG$4&gt;MESCLUN_BED_CAP,$A328+$B328+AG$4&gt;TOTAL_BEDS_AVAILABLE,($D328+AG$5)&gt;TOTAL_LABOR_HOURS_CAP,MAX(0,($D328+AG$5)-PERMANENT_FIELD_LABOR_HOURS)&gt;TEMP_HOURS_CAP),"",$C328+AG$6-MIN(($D328+AG$5),PERMANENT_FIELD_LABOR_HOURS)*PERMANENT_HOURLY_RATE-MAX(0,($D328+AG$5)-PERMANENT_FIELD_LABOR_HOURS)*TEMP_HOURLY_RATE-FIXED_SEASON_COST)</f>
        <v/>
      </c>
      <c r="AH328" s="53" t="str">
        <f aca="false">IF(OR($A328&gt;TOMATO_BED_CAP,$B328&gt;CARROT_BED_CAP,AH$4&gt;MESCLUN_BED_CAP,$A328+$B328+AH$4&gt;TOTAL_BEDS_AVAILABLE,($D328+AH$5)&gt;TOTAL_LABOR_HOURS_CAP,MAX(0,($D328+AH$5)-PERMANENT_FIELD_LABOR_HOURS)&gt;TEMP_HOURS_CAP),"",$C328+AH$6-MIN(($D328+AH$5),PERMANENT_FIELD_LABOR_HOURS)*PERMANENT_HOURLY_RATE-MAX(0,($D328+AH$5)-PERMANENT_FIELD_LABOR_HOURS)*TEMP_HOURLY_RATE-FIXED_SEASON_COST)</f>
        <v/>
      </c>
      <c r="AI328" s="53" t="str">
        <f aca="false">IF(OR($A328&gt;TOMATO_BED_CAP,$B328&gt;CARROT_BED_CAP,AI$4&gt;MESCLUN_BED_CAP,$A328+$B328+AI$4&gt;TOTAL_BEDS_AVAILABLE,($D328+AI$5)&gt;TOTAL_LABOR_HOURS_CAP,MAX(0,($D328+AI$5)-PERMANENT_FIELD_LABOR_HOURS)&gt;TEMP_HOURS_CAP),"",$C328+AI$6-MIN(($D328+AI$5),PERMANENT_FIELD_LABOR_HOURS)*PERMANENT_HOURLY_RATE-MAX(0,($D328+AI$5)-PERMANENT_FIELD_LABOR_HOURS)*TEMP_HOURLY_RATE-FIXED_SEASON_COST)</f>
        <v/>
      </c>
      <c r="AJ328" s="53" t="str">
        <f aca="false">IF(OR($A328&gt;TOMATO_BED_CAP,$B328&gt;CARROT_BED_CAP,AJ$4&gt;MESCLUN_BED_CAP,$A328+$B328+AJ$4&gt;TOTAL_BEDS_AVAILABLE,($D328+AJ$5)&gt;TOTAL_LABOR_HOURS_CAP,MAX(0,($D328+AJ$5)-PERMANENT_FIELD_LABOR_HOURS)&gt;TEMP_HOURS_CAP),"",$C328+AJ$6-MIN(($D328+AJ$5),PERMANENT_FIELD_LABOR_HOURS)*PERMANENT_HOURLY_RATE-MAX(0,($D328+AJ$5)-PERMANENT_FIELD_LABOR_HOURS)*TEMP_HOURLY_RATE-FIXED_SEASON_COST)</f>
        <v/>
      </c>
    </row>
    <row r="329" customFormat="false" ht="15" hidden="false" customHeight="false" outlineLevel="0" collapsed="false">
      <c r="A329" s="21" t="n">
        <f aca="false">INT((ROW()-ROW($A$8))/(20+1))</f>
        <v>15</v>
      </c>
      <c r="B329" s="21" t="n">
        <f aca="false">MOD(ROW()-ROW($A$8),20+1)</f>
        <v>6</v>
      </c>
      <c r="C329" s="13" t="n">
        <f aca="false">A329*(TOMATO_REVENUE_PER_BED-TOMATO_FERTILIZER_PER_BED)+B329*(CARROT_REVENUE_PER_BED-CARROT_FERTILIZER_PER_BED)</f>
        <v>128724</v>
      </c>
      <c r="D329" s="14" t="n">
        <f aca="false">INDEX(TOMATO_SCHED_LABOR_HRS,A329+1)+INDEX(CARROT_SCHED_LABOR_HRS,B329+1)</f>
        <v>5847.94634606335</v>
      </c>
      <c r="E329" s="13" t="n">
        <f aca="false">IF(COUNT(F329:AJ329)=0,"",MAX(F329:AJ329))</f>
        <v>5663.07428139787</v>
      </c>
      <c r="F329" s="53" t="n">
        <f aca="false">IF(OR($A329&gt;TOMATO_BED_CAP,$B329&gt;CARROT_BED_CAP,F$4&gt;MESCLUN_BED_CAP,$A329+$B329+F$4&gt;TOTAL_BEDS_AVAILABLE,($D329+F$5)&gt;TOTAL_LABOR_HOURS_CAP,MAX(0,($D329+F$5)-PERMANENT_FIELD_LABOR_HOURS)&gt;TEMP_HOURS_CAP),"",$C329+F$6-MIN(($D329+F$5),PERMANENT_FIELD_LABOR_HOURS)*PERMANENT_HOURLY_RATE-MAX(0,($D329+F$5)-PERMANENT_FIELD_LABOR_HOURS)*TEMP_HOURLY_RATE-FIXED_SEASON_COST)</f>
        <v>-5295.54856765966</v>
      </c>
      <c r="G329" s="53" t="n">
        <f aca="false">IF(OR($A329&gt;TOMATO_BED_CAP,$B329&gt;CARROT_BED_CAP,G$4&gt;MESCLUN_BED_CAP,$A329+$B329+G$4&gt;TOTAL_BEDS_AVAILABLE,($D329+G$5)&gt;TOTAL_LABOR_HOURS_CAP,MAX(0,($D329+G$5)-PERMANENT_FIELD_LABOR_HOURS)&gt;TEMP_HOURS_CAP),"",$C329+G$6-MIN(($D329+G$5),PERMANENT_FIELD_LABOR_HOURS)*PERMANENT_HOURLY_RATE-MAX(0,($D329+G$5)-PERMANENT_FIELD_LABOR_HOURS)*TEMP_HOURLY_RATE-FIXED_SEASON_COST)</f>
        <v>-4266.51356765967</v>
      </c>
      <c r="H329" s="53" t="n">
        <f aca="false">IF(OR($A329&gt;TOMATO_BED_CAP,$B329&gt;CARROT_BED_CAP,H$4&gt;MESCLUN_BED_CAP,$A329+$B329+H$4&gt;TOTAL_BEDS_AVAILABLE,($D329+H$5)&gt;TOTAL_LABOR_HOURS_CAP,MAX(0,($D329+H$5)-PERMANENT_FIELD_LABOR_HOURS)&gt;TEMP_HOURS_CAP),"",$C329+H$6-MIN(($D329+H$5),PERMANENT_FIELD_LABOR_HOURS)*PERMANENT_HOURLY_RATE-MAX(0,($D329+H$5)-PERMANENT_FIELD_LABOR_HOURS)*TEMP_HOURLY_RATE-FIXED_SEASON_COST)</f>
        <v>-3257.25269265966</v>
      </c>
      <c r="I329" s="53" t="n">
        <f aca="false">IF(OR($A329&gt;TOMATO_BED_CAP,$B329&gt;CARROT_BED_CAP,I$4&gt;MESCLUN_BED_CAP,$A329+$B329+I$4&gt;TOTAL_BEDS_AVAILABLE,($D329+I$5)&gt;TOTAL_LABOR_HOURS_CAP,MAX(0,($D329+I$5)-PERMANENT_FIELD_LABOR_HOURS)&gt;TEMP_HOURS_CAP),"",$C329+I$6-MIN(($D329+I$5),PERMANENT_FIELD_LABOR_HOURS)*PERMANENT_HOURLY_RATE-MAX(0,($D329+I$5)-PERMANENT_FIELD_LABOR_HOURS)*TEMP_HOURLY_RATE-FIXED_SEASON_COST)</f>
        <v>-2268.13670750342</v>
      </c>
      <c r="J329" s="53" t="n">
        <f aca="false">IF(OR($A329&gt;TOMATO_BED_CAP,$B329&gt;CARROT_BED_CAP,J$4&gt;MESCLUN_BED_CAP,$A329+$B329+J$4&gt;TOTAL_BEDS_AVAILABLE,($D329+J$5)&gt;TOTAL_LABOR_HOURS_CAP,MAX(0,($D329+J$5)-PERMANENT_FIELD_LABOR_HOURS)&gt;TEMP_HOURS_CAP),"",$C329+J$6-MIN(($D329+J$5),PERMANENT_FIELD_LABOR_HOURS)*PERMANENT_HOURLY_RATE-MAX(0,($D329+J$5)-PERMANENT_FIELD_LABOR_HOURS)*TEMP_HOURLY_RATE-FIXED_SEASON_COST)</f>
        <v>-1299.54255644872</v>
      </c>
      <c r="K329" s="53" t="n">
        <f aca="false">IF(OR($A329&gt;TOMATO_BED_CAP,$B329&gt;CARROT_BED_CAP,K$4&gt;MESCLUN_BED_CAP,$A329+$B329+K$4&gt;TOTAL_BEDS_AVAILABLE,($D329+K$5)&gt;TOTAL_LABOR_HOURS_CAP,MAX(0,($D329+K$5)-PERMANENT_FIELD_LABOR_HOURS)&gt;TEMP_HOURS_CAP),"",$C329+K$6-MIN(($D329+K$5),PERMANENT_FIELD_LABOR_HOURS)*PERMANENT_HOURLY_RATE-MAX(0,($D329+K$5)-PERMANENT_FIELD_LABOR_HOURS)*TEMP_HOURLY_RATE-FIXED_SEASON_COST)</f>
        <v>-351.85345972082</v>
      </c>
      <c r="L329" s="53" t="n">
        <f aca="false">IF(OR($A329&gt;TOMATO_BED_CAP,$B329&gt;CARROT_BED_CAP,L$4&gt;MESCLUN_BED_CAP,$A329+$B329+L$4&gt;TOTAL_BEDS_AVAILABLE,($D329+L$5)&gt;TOTAL_LABOR_HOURS_CAP,MAX(0,($D329+L$5)-PERMANENT_FIELD_LABOR_HOURS)&gt;TEMP_HOURS_CAP),"",$C329+L$6-MIN(($D329+L$5),PERMANENT_FIELD_LABOR_HOURS)*PERMANENT_HOURLY_RATE-MAX(0,($D329+L$5)-PERMANENT_FIELD_LABOR_HOURS)*TEMP_HOURLY_RATE-FIXED_SEASON_COST)</f>
        <v>574.540988486027</v>
      </c>
      <c r="M329" s="53" t="n">
        <f aca="false">IF(OR($A329&gt;TOMATO_BED_CAP,$B329&gt;CARROT_BED_CAP,M$4&gt;MESCLUN_BED_CAP,$A329+$B329+M$4&gt;TOTAL_BEDS_AVAILABLE,($D329+M$5)&gt;TOTAL_LABOR_HOURS_CAP,MAX(0,($D329+M$5)-PERMANENT_FIELD_LABOR_HOURS)&gt;TEMP_HOURS_CAP),"",$C329+M$6-MIN(($D329+M$5),PERMANENT_FIELD_LABOR_HOURS)*PERMANENT_HOURLY_RATE-MAX(0,($D329+M$5)-PERMANENT_FIELD_LABOR_HOURS)*TEMP_HOURLY_RATE-FIXED_SEASON_COST)</f>
        <v>1479.24472053743</v>
      </c>
      <c r="N329" s="53" t="n">
        <f aca="false">IF(OR($A329&gt;TOMATO_BED_CAP,$B329&gt;CARROT_BED_CAP,N$4&gt;MESCLUN_BED_CAP,$A329+$B329+N$4&gt;TOTAL_BEDS_AVAILABLE,($D329+N$5)&gt;TOTAL_LABOR_HOURS_CAP,MAX(0,($D329+N$5)-PERMANENT_FIELD_LABOR_HOURS)&gt;TEMP_HOURS_CAP),"",$C329+N$6-MIN(($D329+N$5),PERMANENT_FIELD_LABOR_HOURS)*PERMANENT_HOURLY_RATE-MAX(0,($D329+N$5)-PERMANENT_FIELD_LABOR_HOURS)*TEMP_HOURLY_RATE-FIXED_SEASON_COST)</f>
        <v>2361.85509439699</v>
      </c>
      <c r="O329" s="53" t="n">
        <f aca="false">IF(OR($A329&gt;TOMATO_BED_CAP,$B329&gt;CARROT_BED_CAP,O$4&gt;MESCLUN_BED_CAP,$A329+$B329+O$4&gt;TOTAL_BEDS_AVAILABLE,($D329+O$5)&gt;TOTAL_LABOR_HOURS_CAP,MAX(0,($D329+O$5)-PERMANENT_FIELD_LABOR_HOURS)&gt;TEMP_HOURS_CAP),"",$C329+O$6-MIN(($D329+O$5),PERMANENT_FIELD_LABOR_HOURS)*PERMANENT_HOURLY_RATE-MAX(0,($D329+O$5)-PERMANENT_FIELD_LABOR_HOURS)*TEMP_HOURLY_RATE-FIXED_SEASON_COST)</f>
        <v>3221.96279115173</v>
      </c>
      <c r="P329" s="53" t="n">
        <f aca="false">IF(OR($A329&gt;TOMATO_BED_CAP,$B329&gt;CARROT_BED_CAP,P$4&gt;MESCLUN_BED_CAP,$A329+$B329+P$4&gt;TOTAL_BEDS_AVAILABLE,($D329+P$5)&gt;TOTAL_LABOR_HOURS_CAP,MAX(0,($D329+P$5)-PERMANENT_FIELD_LABOR_HOURS)&gt;TEMP_HOURS_CAP),"",$C329+P$6-MIN(($D329+P$5),PERMANENT_FIELD_LABOR_HOURS)*PERMANENT_HOURLY_RATE-MAX(0,($D329+P$5)-PERMANENT_FIELD_LABOR_HOURS)*TEMP_HOURLY_RATE-FIXED_SEASON_COST)</f>
        <v>4059.15171100317</v>
      </c>
      <c r="Q329" s="53" t="n">
        <f aca="false">IF(OR($A329&gt;TOMATO_BED_CAP,$B329&gt;CARROT_BED_CAP,Q$4&gt;MESCLUN_BED_CAP,$A329+$B329+Q$4&gt;TOTAL_BEDS_AVAILABLE,($D329+Q$5)&gt;TOTAL_LABOR_HOURS_CAP,MAX(0,($D329+Q$5)-PERMANENT_FIELD_LABOR_HOURS)&gt;TEMP_HOURS_CAP),"",$C329+Q$6-MIN(($D329+Q$5),PERMANENT_FIELD_LABOR_HOURS)*PERMANENT_HOURLY_RATE-MAX(0,($D329+Q$5)-PERMANENT_FIELD_LABOR_HOURS)*TEMP_HOURLY_RATE-FIXED_SEASON_COST)</f>
        <v>4872.99886770106</v>
      </c>
      <c r="R329" s="53" t="n">
        <f aca="false">IF(OR($A329&gt;TOMATO_BED_CAP,$B329&gt;CARROT_BED_CAP,R$4&gt;MESCLUN_BED_CAP,$A329+$B329+R$4&gt;TOTAL_BEDS_AVAILABLE,($D329+R$5)&gt;TOTAL_LABOR_HOURS_CAP,MAX(0,($D329+R$5)-PERMANENT_FIELD_LABOR_HOURS)&gt;TEMP_HOURS_CAP),"",$C329+R$6-MIN(($D329+R$5),PERMANENT_FIELD_LABOR_HOURS)*PERMANENT_HOURLY_RATE-MAX(0,($D329+R$5)-PERMANENT_FIELD_LABOR_HOURS)*TEMP_HOURLY_RATE-FIXED_SEASON_COST)</f>
        <v>5663.07428139787</v>
      </c>
      <c r="S329" s="53" t="str">
        <f aca="false">IF(OR($A329&gt;TOMATO_BED_CAP,$B329&gt;CARROT_BED_CAP,S$4&gt;MESCLUN_BED_CAP,$A329+$B329+S$4&gt;TOTAL_BEDS_AVAILABLE,($D329+S$5)&gt;TOTAL_LABOR_HOURS_CAP,MAX(0,($D329+S$5)-PERMANENT_FIELD_LABOR_HOURS)&gt;TEMP_HOURS_CAP),"",$C329+S$6-MIN(($D329+S$5),PERMANENT_FIELD_LABOR_HOURS)*PERMANENT_HOURLY_RATE-MAX(0,($D329+S$5)-PERMANENT_FIELD_LABOR_HOURS)*TEMP_HOURLY_RATE-FIXED_SEASON_COST)</f>
        <v/>
      </c>
      <c r="T329" s="53" t="str">
        <f aca="false">IF(OR($A329&gt;TOMATO_BED_CAP,$B329&gt;CARROT_BED_CAP,T$4&gt;MESCLUN_BED_CAP,$A329+$B329+T$4&gt;TOTAL_BEDS_AVAILABLE,($D329+T$5)&gt;TOTAL_LABOR_HOURS_CAP,MAX(0,($D329+T$5)-PERMANENT_FIELD_LABOR_HOURS)&gt;TEMP_HOURS_CAP),"",$C329+T$6-MIN(($D329+T$5),PERMANENT_FIELD_LABOR_HOURS)*PERMANENT_HOURLY_RATE-MAX(0,($D329+T$5)-PERMANENT_FIELD_LABOR_HOURS)*TEMP_HOURLY_RATE-FIXED_SEASON_COST)</f>
        <v/>
      </c>
      <c r="U329" s="53" t="str">
        <f aca="false">IF(OR($A329&gt;TOMATO_BED_CAP,$B329&gt;CARROT_BED_CAP,U$4&gt;MESCLUN_BED_CAP,$A329+$B329+U$4&gt;TOTAL_BEDS_AVAILABLE,($D329+U$5)&gt;TOTAL_LABOR_HOURS_CAP,MAX(0,($D329+U$5)-PERMANENT_FIELD_LABOR_HOURS)&gt;TEMP_HOURS_CAP),"",$C329+U$6-MIN(($D329+U$5),PERMANENT_FIELD_LABOR_HOURS)*PERMANENT_HOURLY_RATE-MAX(0,($D329+U$5)-PERMANENT_FIELD_LABOR_HOURS)*TEMP_HOURLY_RATE-FIXED_SEASON_COST)</f>
        <v/>
      </c>
      <c r="V329" s="53" t="str">
        <f aca="false">IF(OR($A329&gt;TOMATO_BED_CAP,$B329&gt;CARROT_BED_CAP,V$4&gt;MESCLUN_BED_CAP,$A329+$B329+V$4&gt;TOTAL_BEDS_AVAILABLE,($D329+V$5)&gt;TOTAL_LABOR_HOURS_CAP,MAX(0,($D329+V$5)-PERMANENT_FIELD_LABOR_HOURS)&gt;TEMP_HOURS_CAP),"",$C329+V$6-MIN(($D329+V$5),PERMANENT_FIELD_LABOR_HOURS)*PERMANENT_HOURLY_RATE-MAX(0,($D329+V$5)-PERMANENT_FIELD_LABOR_HOURS)*TEMP_HOURLY_RATE-FIXED_SEASON_COST)</f>
        <v/>
      </c>
      <c r="W329" s="53" t="str">
        <f aca="false">IF(OR($A329&gt;TOMATO_BED_CAP,$B329&gt;CARROT_BED_CAP,W$4&gt;MESCLUN_BED_CAP,$A329+$B329+W$4&gt;TOTAL_BEDS_AVAILABLE,($D329+W$5)&gt;TOTAL_LABOR_HOURS_CAP,MAX(0,($D329+W$5)-PERMANENT_FIELD_LABOR_HOURS)&gt;TEMP_HOURS_CAP),"",$C329+W$6-MIN(($D329+W$5),PERMANENT_FIELD_LABOR_HOURS)*PERMANENT_HOURLY_RATE-MAX(0,($D329+W$5)-PERMANENT_FIELD_LABOR_HOURS)*TEMP_HOURLY_RATE-FIXED_SEASON_COST)</f>
        <v/>
      </c>
      <c r="X329" s="53" t="str">
        <f aca="false">IF(OR($A329&gt;TOMATO_BED_CAP,$B329&gt;CARROT_BED_CAP,X$4&gt;MESCLUN_BED_CAP,$A329+$B329+X$4&gt;TOTAL_BEDS_AVAILABLE,($D329+X$5)&gt;TOTAL_LABOR_HOURS_CAP,MAX(0,($D329+X$5)-PERMANENT_FIELD_LABOR_HOURS)&gt;TEMP_HOURS_CAP),"",$C329+X$6-MIN(($D329+X$5),PERMANENT_FIELD_LABOR_HOURS)*PERMANENT_HOURLY_RATE-MAX(0,($D329+X$5)-PERMANENT_FIELD_LABOR_HOURS)*TEMP_HOURLY_RATE-FIXED_SEASON_COST)</f>
        <v/>
      </c>
      <c r="Y329" s="53" t="str">
        <f aca="false">IF(OR($A329&gt;TOMATO_BED_CAP,$B329&gt;CARROT_BED_CAP,Y$4&gt;MESCLUN_BED_CAP,$A329+$B329+Y$4&gt;TOTAL_BEDS_AVAILABLE,($D329+Y$5)&gt;TOTAL_LABOR_HOURS_CAP,MAX(0,($D329+Y$5)-PERMANENT_FIELD_LABOR_HOURS)&gt;TEMP_HOURS_CAP),"",$C329+Y$6-MIN(($D329+Y$5),PERMANENT_FIELD_LABOR_HOURS)*PERMANENT_HOURLY_RATE-MAX(0,($D329+Y$5)-PERMANENT_FIELD_LABOR_HOURS)*TEMP_HOURLY_RATE-FIXED_SEASON_COST)</f>
        <v/>
      </c>
      <c r="Z329" s="53" t="str">
        <f aca="false">IF(OR($A329&gt;TOMATO_BED_CAP,$B329&gt;CARROT_BED_CAP,Z$4&gt;MESCLUN_BED_CAP,$A329+$B329+Z$4&gt;TOTAL_BEDS_AVAILABLE,($D329+Z$5)&gt;TOTAL_LABOR_HOURS_CAP,MAX(0,($D329+Z$5)-PERMANENT_FIELD_LABOR_HOURS)&gt;TEMP_HOURS_CAP),"",$C329+Z$6-MIN(($D329+Z$5),PERMANENT_FIELD_LABOR_HOURS)*PERMANENT_HOURLY_RATE-MAX(0,($D329+Z$5)-PERMANENT_FIELD_LABOR_HOURS)*TEMP_HOURLY_RATE-FIXED_SEASON_COST)</f>
        <v/>
      </c>
      <c r="AA329" s="53" t="str">
        <f aca="false">IF(OR($A329&gt;TOMATO_BED_CAP,$B329&gt;CARROT_BED_CAP,AA$4&gt;MESCLUN_BED_CAP,$A329+$B329+AA$4&gt;TOTAL_BEDS_AVAILABLE,($D329+AA$5)&gt;TOTAL_LABOR_HOURS_CAP,MAX(0,($D329+AA$5)-PERMANENT_FIELD_LABOR_HOURS)&gt;TEMP_HOURS_CAP),"",$C329+AA$6-MIN(($D329+AA$5),PERMANENT_FIELD_LABOR_HOURS)*PERMANENT_HOURLY_RATE-MAX(0,($D329+AA$5)-PERMANENT_FIELD_LABOR_HOURS)*TEMP_HOURLY_RATE-FIXED_SEASON_COST)</f>
        <v/>
      </c>
      <c r="AB329" s="53" t="str">
        <f aca="false">IF(OR($A329&gt;TOMATO_BED_CAP,$B329&gt;CARROT_BED_CAP,AB$4&gt;MESCLUN_BED_CAP,$A329+$B329+AB$4&gt;TOTAL_BEDS_AVAILABLE,($D329+AB$5)&gt;TOTAL_LABOR_HOURS_CAP,MAX(0,($D329+AB$5)-PERMANENT_FIELD_LABOR_HOURS)&gt;TEMP_HOURS_CAP),"",$C329+AB$6-MIN(($D329+AB$5),PERMANENT_FIELD_LABOR_HOURS)*PERMANENT_HOURLY_RATE-MAX(0,($D329+AB$5)-PERMANENT_FIELD_LABOR_HOURS)*TEMP_HOURLY_RATE-FIXED_SEASON_COST)</f>
        <v/>
      </c>
      <c r="AC329" s="53" t="str">
        <f aca="false">IF(OR($A329&gt;TOMATO_BED_CAP,$B329&gt;CARROT_BED_CAP,AC$4&gt;MESCLUN_BED_CAP,$A329+$B329+AC$4&gt;TOTAL_BEDS_AVAILABLE,($D329+AC$5)&gt;TOTAL_LABOR_HOURS_CAP,MAX(0,($D329+AC$5)-PERMANENT_FIELD_LABOR_HOURS)&gt;TEMP_HOURS_CAP),"",$C329+AC$6-MIN(($D329+AC$5),PERMANENT_FIELD_LABOR_HOURS)*PERMANENT_HOURLY_RATE-MAX(0,($D329+AC$5)-PERMANENT_FIELD_LABOR_HOURS)*TEMP_HOURLY_RATE-FIXED_SEASON_COST)</f>
        <v/>
      </c>
      <c r="AD329" s="53" t="str">
        <f aca="false">IF(OR($A329&gt;TOMATO_BED_CAP,$B329&gt;CARROT_BED_CAP,AD$4&gt;MESCLUN_BED_CAP,$A329+$B329+AD$4&gt;TOTAL_BEDS_AVAILABLE,($D329+AD$5)&gt;TOTAL_LABOR_HOURS_CAP,MAX(0,($D329+AD$5)-PERMANENT_FIELD_LABOR_HOURS)&gt;TEMP_HOURS_CAP),"",$C329+AD$6-MIN(($D329+AD$5),PERMANENT_FIELD_LABOR_HOURS)*PERMANENT_HOURLY_RATE-MAX(0,($D329+AD$5)-PERMANENT_FIELD_LABOR_HOURS)*TEMP_HOURLY_RATE-FIXED_SEASON_COST)</f>
        <v/>
      </c>
      <c r="AE329" s="53" t="str">
        <f aca="false">IF(OR($A329&gt;TOMATO_BED_CAP,$B329&gt;CARROT_BED_CAP,AE$4&gt;MESCLUN_BED_CAP,$A329+$B329+AE$4&gt;TOTAL_BEDS_AVAILABLE,($D329+AE$5)&gt;TOTAL_LABOR_HOURS_CAP,MAX(0,($D329+AE$5)-PERMANENT_FIELD_LABOR_HOURS)&gt;TEMP_HOURS_CAP),"",$C329+AE$6-MIN(($D329+AE$5),PERMANENT_FIELD_LABOR_HOURS)*PERMANENT_HOURLY_RATE-MAX(0,($D329+AE$5)-PERMANENT_FIELD_LABOR_HOURS)*TEMP_HOURLY_RATE-FIXED_SEASON_COST)</f>
        <v/>
      </c>
      <c r="AF329" s="53" t="str">
        <f aca="false">IF(OR($A329&gt;TOMATO_BED_CAP,$B329&gt;CARROT_BED_CAP,AF$4&gt;MESCLUN_BED_CAP,$A329+$B329+AF$4&gt;TOTAL_BEDS_AVAILABLE,($D329+AF$5)&gt;TOTAL_LABOR_HOURS_CAP,MAX(0,($D329+AF$5)-PERMANENT_FIELD_LABOR_HOURS)&gt;TEMP_HOURS_CAP),"",$C329+AF$6-MIN(($D329+AF$5),PERMANENT_FIELD_LABOR_HOURS)*PERMANENT_HOURLY_RATE-MAX(0,($D329+AF$5)-PERMANENT_FIELD_LABOR_HOURS)*TEMP_HOURLY_RATE-FIXED_SEASON_COST)</f>
        <v/>
      </c>
      <c r="AG329" s="53" t="str">
        <f aca="false">IF(OR($A329&gt;TOMATO_BED_CAP,$B329&gt;CARROT_BED_CAP,AG$4&gt;MESCLUN_BED_CAP,$A329+$B329+AG$4&gt;TOTAL_BEDS_AVAILABLE,($D329+AG$5)&gt;TOTAL_LABOR_HOURS_CAP,MAX(0,($D329+AG$5)-PERMANENT_FIELD_LABOR_HOURS)&gt;TEMP_HOURS_CAP),"",$C329+AG$6-MIN(($D329+AG$5),PERMANENT_FIELD_LABOR_HOURS)*PERMANENT_HOURLY_RATE-MAX(0,($D329+AG$5)-PERMANENT_FIELD_LABOR_HOURS)*TEMP_HOURLY_RATE-FIXED_SEASON_COST)</f>
        <v/>
      </c>
      <c r="AH329" s="53" t="str">
        <f aca="false">IF(OR($A329&gt;TOMATO_BED_CAP,$B329&gt;CARROT_BED_CAP,AH$4&gt;MESCLUN_BED_CAP,$A329+$B329+AH$4&gt;TOTAL_BEDS_AVAILABLE,($D329+AH$5)&gt;TOTAL_LABOR_HOURS_CAP,MAX(0,($D329+AH$5)-PERMANENT_FIELD_LABOR_HOURS)&gt;TEMP_HOURS_CAP),"",$C329+AH$6-MIN(($D329+AH$5),PERMANENT_FIELD_LABOR_HOURS)*PERMANENT_HOURLY_RATE-MAX(0,($D329+AH$5)-PERMANENT_FIELD_LABOR_HOURS)*TEMP_HOURLY_RATE-FIXED_SEASON_COST)</f>
        <v/>
      </c>
      <c r="AI329" s="53" t="str">
        <f aca="false">IF(OR($A329&gt;TOMATO_BED_CAP,$B329&gt;CARROT_BED_CAP,AI$4&gt;MESCLUN_BED_CAP,$A329+$B329+AI$4&gt;TOTAL_BEDS_AVAILABLE,($D329+AI$5)&gt;TOTAL_LABOR_HOURS_CAP,MAX(0,($D329+AI$5)-PERMANENT_FIELD_LABOR_HOURS)&gt;TEMP_HOURS_CAP),"",$C329+AI$6-MIN(($D329+AI$5),PERMANENT_FIELD_LABOR_HOURS)*PERMANENT_HOURLY_RATE-MAX(0,($D329+AI$5)-PERMANENT_FIELD_LABOR_HOURS)*TEMP_HOURLY_RATE-FIXED_SEASON_COST)</f>
        <v/>
      </c>
      <c r="AJ329" s="53" t="str">
        <f aca="false">IF(OR($A329&gt;TOMATO_BED_CAP,$B329&gt;CARROT_BED_CAP,AJ$4&gt;MESCLUN_BED_CAP,$A329+$B329+AJ$4&gt;TOTAL_BEDS_AVAILABLE,($D329+AJ$5)&gt;TOTAL_LABOR_HOURS_CAP,MAX(0,($D329+AJ$5)-PERMANENT_FIELD_LABOR_HOURS)&gt;TEMP_HOURS_CAP),"",$C329+AJ$6-MIN(($D329+AJ$5),PERMANENT_FIELD_LABOR_HOURS)*PERMANENT_HOURLY_RATE-MAX(0,($D329+AJ$5)-PERMANENT_FIELD_LABOR_HOURS)*TEMP_HOURLY_RATE-FIXED_SEASON_COST)</f>
        <v/>
      </c>
    </row>
    <row r="330" customFormat="false" ht="15" hidden="false" customHeight="false" outlineLevel="0" collapsed="false">
      <c r="A330" s="21" t="n">
        <f aca="false">INT((ROW()-ROW($A$8))/(20+1))</f>
        <v>15</v>
      </c>
      <c r="B330" s="21" t="n">
        <f aca="false">MOD(ROW()-ROW($A$8),20+1)</f>
        <v>7</v>
      </c>
      <c r="C330" s="13" t="n">
        <f aca="false">A330*(TOMATO_REVENUE_PER_BED-TOMATO_FERTILIZER_PER_BED)+B330*(CARROT_REVENUE_PER_BED-CARROT_FERTILIZER_PER_BED)</f>
        <v>130378</v>
      </c>
      <c r="D330" s="14" t="n">
        <f aca="false">INDEX(TOMATO_SCHED_LABOR_HRS,A330+1)+INDEX(CARROT_SCHED_LABOR_HRS,B330+1)</f>
        <v>5888.80918737815</v>
      </c>
      <c r="E330" s="13" t="n">
        <f aca="false">IF(COUNT(F330:AJ330)=0,"",MAX(F330:AJ330))</f>
        <v>5817.61994247601</v>
      </c>
      <c r="F330" s="53" t="n">
        <f aca="false">IF(OR($A330&gt;TOMATO_BED_CAP,$B330&gt;CARROT_BED_CAP,F$4&gt;MESCLUN_BED_CAP,$A330+$B330+F$4&gt;TOTAL_BEDS_AVAILABLE,($D330+F$5)&gt;TOTAL_LABOR_HOURS_CAP,MAX(0,($D330+F$5)-PERMANENT_FIELD_LABOR_HOURS)&gt;TEMP_HOURS_CAP),"",$C330+F$6-MIN(($D330+F$5),PERMANENT_FIELD_LABOR_HOURS)*PERMANENT_HOURLY_RATE-MAX(0,($D330+F$5)-PERMANENT_FIELD_LABOR_HOURS)*TEMP_HOURLY_RATE-FIXED_SEASON_COST)</f>
        <v>-4350.92749288472</v>
      </c>
      <c r="G330" s="53" t="n">
        <f aca="false">IF(OR($A330&gt;TOMATO_BED_CAP,$B330&gt;CARROT_BED_CAP,G$4&gt;MESCLUN_BED_CAP,$A330+$B330+G$4&gt;TOTAL_BEDS_AVAILABLE,($D330+G$5)&gt;TOTAL_LABOR_HOURS_CAP,MAX(0,($D330+G$5)-PERMANENT_FIELD_LABOR_HOURS)&gt;TEMP_HOURS_CAP),"",$C330+G$6-MIN(($D330+G$5),PERMANENT_FIELD_LABOR_HOURS)*PERMANENT_HOURLY_RATE-MAX(0,($D330+G$5)-PERMANENT_FIELD_LABOR_HOURS)*TEMP_HOURLY_RATE-FIXED_SEASON_COST)</f>
        <v>-3321.89249288471</v>
      </c>
      <c r="H330" s="53" t="n">
        <f aca="false">IF(OR($A330&gt;TOMATO_BED_CAP,$B330&gt;CARROT_BED_CAP,H$4&gt;MESCLUN_BED_CAP,$A330+$B330+H$4&gt;TOTAL_BEDS_AVAILABLE,($D330+H$5)&gt;TOTAL_LABOR_HOURS_CAP,MAX(0,($D330+H$5)-PERMANENT_FIELD_LABOR_HOURS)&gt;TEMP_HOURS_CAP),"",$C330+H$6-MIN(($D330+H$5),PERMANENT_FIELD_LABOR_HOURS)*PERMANENT_HOURLY_RATE-MAX(0,($D330+H$5)-PERMANENT_FIELD_LABOR_HOURS)*TEMP_HOURLY_RATE-FIXED_SEASON_COST)</f>
        <v>-2312.63161788472</v>
      </c>
      <c r="I330" s="53" t="n">
        <f aca="false">IF(OR($A330&gt;TOMATO_BED_CAP,$B330&gt;CARROT_BED_CAP,I$4&gt;MESCLUN_BED_CAP,$A330+$B330+I$4&gt;TOTAL_BEDS_AVAILABLE,($D330+I$5)&gt;TOTAL_LABOR_HOURS_CAP,MAX(0,($D330+I$5)-PERMANENT_FIELD_LABOR_HOURS)&gt;TEMP_HOURS_CAP),"",$C330+I$6-MIN(($D330+I$5),PERMANENT_FIELD_LABOR_HOURS)*PERMANENT_HOURLY_RATE-MAX(0,($D330+I$5)-PERMANENT_FIELD_LABOR_HOURS)*TEMP_HOURLY_RATE-FIXED_SEASON_COST)</f>
        <v>-1323.51563272846</v>
      </c>
      <c r="J330" s="53" t="n">
        <f aca="false">IF(OR($A330&gt;TOMATO_BED_CAP,$B330&gt;CARROT_BED_CAP,J$4&gt;MESCLUN_BED_CAP,$A330+$B330+J$4&gt;TOTAL_BEDS_AVAILABLE,($D330+J$5)&gt;TOTAL_LABOR_HOURS_CAP,MAX(0,($D330+J$5)-PERMANENT_FIELD_LABOR_HOURS)&gt;TEMP_HOURS_CAP),"",$C330+J$6-MIN(($D330+J$5),PERMANENT_FIELD_LABOR_HOURS)*PERMANENT_HOURLY_RATE-MAX(0,($D330+J$5)-PERMANENT_FIELD_LABOR_HOURS)*TEMP_HOURLY_RATE-FIXED_SEASON_COST)</f>
        <v>-354.92148167378</v>
      </c>
      <c r="K330" s="53" t="n">
        <f aca="false">IF(OR($A330&gt;TOMATO_BED_CAP,$B330&gt;CARROT_BED_CAP,K$4&gt;MESCLUN_BED_CAP,$A330+$B330+K$4&gt;TOTAL_BEDS_AVAILABLE,($D330+K$5)&gt;TOTAL_LABOR_HOURS_CAP,MAX(0,($D330+K$5)-PERMANENT_FIELD_LABOR_HOURS)&gt;TEMP_HOURS_CAP),"",$C330+K$6-MIN(($D330+K$5),PERMANENT_FIELD_LABOR_HOURS)*PERMANENT_HOURLY_RATE-MAX(0,($D330+K$5)-PERMANENT_FIELD_LABOR_HOURS)*TEMP_HOURLY_RATE-FIXED_SEASON_COST)</f>
        <v>592.767615054137</v>
      </c>
      <c r="L330" s="53" t="n">
        <f aca="false">IF(OR($A330&gt;TOMATO_BED_CAP,$B330&gt;CARROT_BED_CAP,L$4&gt;MESCLUN_BED_CAP,$A330+$B330+L$4&gt;TOTAL_BEDS_AVAILABLE,($D330+L$5)&gt;TOTAL_LABOR_HOURS_CAP,MAX(0,($D330+L$5)-PERMANENT_FIELD_LABOR_HOURS)&gt;TEMP_HOURS_CAP),"",$C330+L$6-MIN(($D330+L$5),PERMANENT_FIELD_LABOR_HOURS)*PERMANENT_HOURLY_RATE-MAX(0,($D330+L$5)-PERMANENT_FIELD_LABOR_HOURS)*TEMP_HOURLY_RATE-FIXED_SEASON_COST)</f>
        <v>1519.16206326098</v>
      </c>
      <c r="M330" s="53" t="n">
        <f aca="false">IF(OR($A330&gt;TOMATO_BED_CAP,$B330&gt;CARROT_BED_CAP,M$4&gt;MESCLUN_BED_CAP,$A330+$B330+M$4&gt;TOTAL_BEDS_AVAILABLE,($D330+M$5)&gt;TOTAL_LABOR_HOURS_CAP,MAX(0,($D330+M$5)-PERMANENT_FIELD_LABOR_HOURS)&gt;TEMP_HOURS_CAP),"",$C330+M$6-MIN(($D330+M$5),PERMANENT_FIELD_LABOR_HOURS)*PERMANENT_HOURLY_RATE-MAX(0,($D330+M$5)-PERMANENT_FIELD_LABOR_HOURS)*TEMP_HOURLY_RATE-FIXED_SEASON_COST)</f>
        <v>2423.86579531238</v>
      </c>
      <c r="N330" s="53" t="n">
        <f aca="false">IF(OR($A330&gt;TOMATO_BED_CAP,$B330&gt;CARROT_BED_CAP,N$4&gt;MESCLUN_BED_CAP,$A330+$B330+N$4&gt;TOTAL_BEDS_AVAILABLE,($D330+N$5)&gt;TOTAL_LABOR_HOURS_CAP,MAX(0,($D330+N$5)-PERMANENT_FIELD_LABOR_HOURS)&gt;TEMP_HOURS_CAP),"",$C330+N$6-MIN(($D330+N$5),PERMANENT_FIELD_LABOR_HOURS)*PERMANENT_HOURLY_RATE-MAX(0,($D330+N$5)-PERMANENT_FIELD_LABOR_HOURS)*TEMP_HOURLY_RATE-FIXED_SEASON_COST)</f>
        <v>3306.47616917193</v>
      </c>
      <c r="O330" s="53" t="n">
        <f aca="false">IF(OR($A330&gt;TOMATO_BED_CAP,$B330&gt;CARROT_BED_CAP,O$4&gt;MESCLUN_BED_CAP,$A330+$B330+O$4&gt;TOTAL_BEDS_AVAILABLE,($D330+O$5)&gt;TOTAL_LABOR_HOURS_CAP,MAX(0,($D330+O$5)-PERMANENT_FIELD_LABOR_HOURS)&gt;TEMP_HOURS_CAP),"",$C330+O$6-MIN(($D330+O$5),PERMANENT_FIELD_LABOR_HOURS)*PERMANENT_HOURLY_RATE-MAX(0,($D330+O$5)-PERMANENT_FIELD_LABOR_HOURS)*TEMP_HOURLY_RATE-FIXED_SEASON_COST)</f>
        <v>4166.58386592667</v>
      </c>
      <c r="P330" s="53" t="n">
        <f aca="false">IF(OR($A330&gt;TOMATO_BED_CAP,$B330&gt;CARROT_BED_CAP,P$4&gt;MESCLUN_BED_CAP,$A330+$B330+P$4&gt;TOTAL_BEDS_AVAILABLE,($D330+P$5)&gt;TOTAL_LABOR_HOURS_CAP,MAX(0,($D330+P$5)-PERMANENT_FIELD_LABOR_HOURS)&gt;TEMP_HOURS_CAP),"",$C330+P$6-MIN(($D330+P$5),PERMANENT_FIELD_LABOR_HOURS)*PERMANENT_HOURLY_RATE-MAX(0,($D330+P$5)-PERMANENT_FIELD_LABOR_HOURS)*TEMP_HOURLY_RATE-FIXED_SEASON_COST)</f>
        <v>5003.77278577811</v>
      </c>
      <c r="Q330" s="53" t="n">
        <f aca="false">IF(OR($A330&gt;TOMATO_BED_CAP,$B330&gt;CARROT_BED_CAP,Q$4&gt;MESCLUN_BED_CAP,$A330+$B330+Q$4&gt;TOTAL_BEDS_AVAILABLE,($D330+Q$5)&gt;TOTAL_LABOR_HOURS_CAP,MAX(0,($D330+Q$5)-PERMANENT_FIELD_LABOR_HOURS)&gt;TEMP_HOURS_CAP),"",$C330+Q$6-MIN(($D330+Q$5),PERMANENT_FIELD_LABOR_HOURS)*PERMANENT_HOURLY_RATE-MAX(0,($D330+Q$5)-PERMANENT_FIELD_LABOR_HOURS)*TEMP_HOURLY_RATE-FIXED_SEASON_COST)</f>
        <v>5817.61994247601</v>
      </c>
      <c r="R330" s="53" t="str">
        <f aca="false">IF(OR($A330&gt;TOMATO_BED_CAP,$B330&gt;CARROT_BED_CAP,R$4&gt;MESCLUN_BED_CAP,$A330+$B330+R$4&gt;TOTAL_BEDS_AVAILABLE,($D330+R$5)&gt;TOTAL_LABOR_HOURS_CAP,MAX(0,($D330+R$5)-PERMANENT_FIELD_LABOR_HOURS)&gt;TEMP_HOURS_CAP),"",$C330+R$6-MIN(($D330+R$5),PERMANENT_FIELD_LABOR_HOURS)*PERMANENT_HOURLY_RATE-MAX(0,($D330+R$5)-PERMANENT_FIELD_LABOR_HOURS)*TEMP_HOURLY_RATE-FIXED_SEASON_COST)</f>
        <v/>
      </c>
      <c r="S330" s="53" t="str">
        <f aca="false">IF(OR($A330&gt;TOMATO_BED_CAP,$B330&gt;CARROT_BED_CAP,S$4&gt;MESCLUN_BED_CAP,$A330+$B330+S$4&gt;TOTAL_BEDS_AVAILABLE,($D330+S$5)&gt;TOTAL_LABOR_HOURS_CAP,MAX(0,($D330+S$5)-PERMANENT_FIELD_LABOR_HOURS)&gt;TEMP_HOURS_CAP),"",$C330+S$6-MIN(($D330+S$5),PERMANENT_FIELD_LABOR_HOURS)*PERMANENT_HOURLY_RATE-MAX(0,($D330+S$5)-PERMANENT_FIELD_LABOR_HOURS)*TEMP_HOURLY_RATE-FIXED_SEASON_COST)</f>
        <v/>
      </c>
      <c r="T330" s="53" t="str">
        <f aca="false">IF(OR($A330&gt;TOMATO_BED_CAP,$B330&gt;CARROT_BED_CAP,T$4&gt;MESCLUN_BED_CAP,$A330+$B330+T$4&gt;TOTAL_BEDS_AVAILABLE,($D330+T$5)&gt;TOTAL_LABOR_HOURS_CAP,MAX(0,($D330+T$5)-PERMANENT_FIELD_LABOR_HOURS)&gt;TEMP_HOURS_CAP),"",$C330+T$6-MIN(($D330+T$5),PERMANENT_FIELD_LABOR_HOURS)*PERMANENT_HOURLY_RATE-MAX(0,($D330+T$5)-PERMANENT_FIELD_LABOR_HOURS)*TEMP_HOURLY_RATE-FIXED_SEASON_COST)</f>
        <v/>
      </c>
      <c r="U330" s="53" t="str">
        <f aca="false">IF(OR($A330&gt;TOMATO_BED_CAP,$B330&gt;CARROT_BED_CAP,U$4&gt;MESCLUN_BED_CAP,$A330+$B330+U$4&gt;TOTAL_BEDS_AVAILABLE,($D330+U$5)&gt;TOTAL_LABOR_HOURS_CAP,MAX(0,($D330+U$5)-PERMANENT_FIELD_LABOR_HOURS)&gt;TEMP_HOURS_CAP),"",$C330+U$6-MIN(($D330+U$5),PERMANENT_FIELD_LABOR_HOURS)*PERMANENT_HOURLY_RATE-MAX(0,($D330+U$5)-PERMANENT_FIELD_LABOR_HOURS)*TEMP_HOURLY_RATE-FIXED_SEASON_COST)</f>
        <v/>
      </c>
      <c r="V330" s="53" t="str">
        <f aca="false">IF(OR($A330&gt;TOMATO_BED_CAP,$B330&gt;CARROT_BED_CAP,V$4&gt;MESCLUN_BED_CAP,$A330+$B330+V$4&gt;TOTAL_BEDS_AVAILABLE,($D330+V$5)&gt;TOTAL_LABOR_HOURS_CAP,MAX(0,($D330+V$5)-PERMANENT_FIELD_LABOR_HOURS)&gt;TEMP_HOURS_CAP),"",$C330+V$6-MIN(($D330+V$5),PERMANENT_FIELD_LABOR_HOURS)*PERMANENT_HOURLY_RATE-MAX(0,($D330+V$5)-PERMANENT_FIELD_LABOR_HOURS)*TEMP_HOURLY_RATE-FIXED_SEASON_COST)</f>
        <v/>
      </c>
      <c r="W330" s="53" t="str">
        <f aca="false">IF(OR($A330&gt;TOMATO_BED_CAP,$B330&gt;CARROT_BED_CAP,W$4&gt;MESCLUN_BED_CAP,$A330+$B330+W$4&gt;TOTAL_BEDS_AVAILABLE,($D330+W$5)&gt;TOTAL_LABOR_HOURS_CAP,MAX(0,($D330+W$5)-PERMANENT_FIELD_LABOR_HOURS)&gt;TEMP_HOURS_CAP),"",$C330+W$6-MIN(($D330+W$5),PERMANENT_FIELD_LABOR_HOURS)*PERMANENT_HOURLY_RATE-MAX(0,($D330+W$5)-PERMANENT_FIELD_LABOR_HOURS)*TEMP_HOURLY_RATE-FIXED_SEASON_COST)</f>
        <v/>
      </c>
      <c r="X330" s="53" t="str">
        <f aca="false">IF(OR($A330&gt;TOMATO_BED_CAP,$B330&gt;CARROT_BED_CAP,X$4&gt;MESCLUN_BED_CAP,$A330+$B330+X$4&gt;TOTAL_BEDS_AVAILABLE,($D330+X$5)&gt;TOTAL_LABOR_HOURS_CAP,MAX(0,($D330+X$5)-PERMANENT_FIELD_LABOR_HOURS)&gt;TEMP_HOURS_CAP),"",$C330+X$6-MIN(($D330+X$5),PERMANENT_FIELD_LABOR_HOURS)*PERMANENT_HOURLY_RATE-MAX(0,($D330+X$5)-PERMANENT_FIELD_LABOR_HOURS)*TEMP_HOURLY_RATE-FIXED_SEASON_COST)</f>
        <v/>
      </c>
      <c r="Y330" s="53" t="str">
        <f aca="false">IF(OR($A330&gt;TOMATO_BED_CAP,$B330&gt;CARROT_BED_CAP,Y$4&gt;MESCLUN_BED_CAP,$A330+$B330+Y$4&gt;TOTAL_BEDS_AVAILABLE,($D330+Y$5)&gt;TOTAL_LABOR_HOURS_CAP,MAX(0,($D330+Y$5)-PERMANENT_FIELD_LABOR_HOURS)&gt;TEMP_HOURS_CAP),"",$C330+Y$6-MIN(($D330+Y$5),PERMANENT_FIELD_LABOR_HOURS)*PERMANENT_HOURLY_RATE-MAX(0,($D330+Y$5)-PERMANENT_FIELD_LABOR_HOURS)*TEMP_HOURLY_RATE-FIXED_SEASON_COST)</f>
        <v/>
      </c>
      <c r="Z330" s="53" t="str">
        <f aca="false">IF(OR($A330&gt;TOMATO_BED_CAP,$B330&gt;CARROT_BED_CAP,Z$4&gt;MESCLUN_BED_CAP,$A330+$B330+Z$4&gt;TOTAL_BEDS_AVAILABLE,($D330+Z$5)&gt;TOTAL_LABOR_HOURS_CAP,MAX(0,($D330+Z$5)-PERMANENT_FIELD_LABOR_HOURS)&gt;TEMP_HOURS_CAP),"",$C330+Z$6-MIN(($D330+Z$5),PERMANENT_FIELD_LABOR_HOURS)*PERMANENT_HOURLY_RATE-MAX(0,($D330+Z$5)-PERMANENT_FIELD_LABOR_HOURS)*TEMP_HOURLY_RATE-FIXED_SEASON_COST)</f>
        <v/>
      </c>
      <c r="AA330" s="53" t="str">
        <f aca="false">IF(OR($A330&gt;TOMATO_BED_CAP,$B330&gt;CARROT_BED_CAP,AA$4&gt;MESCLUN_BED_CAP,$A330+$B330+AA$4&gt;TOTAL_BEDS_AVAILABLE,($D330+AA$5)&gt;TOTAL_LABOR_HOURS_CAP,MAX(0,($D330+AA$5)-PERMANENT_FIELD_LABOR_HOURS)&gt;TEMP_HOURS_CAP),"",$C330+AA$6-MIN(($D330+AA$5),PERMANENT_FIELD_LABOR_HOURS)*PERMANENT_HOURLY_RATE-MAX(0,($D330+AA$5)-PERMANENT_FIELD_LABOR_HOURS)*TEMP_HOURLY_RATE-FIXED_SEASON_COST)</f>
        <v/>
      </c>
      <c r="AB330" s="53" t="str">
        <f aca="false">IF(OR($A330&gt;TOMATO_BED_CAP,$B330&gt;CARROT_BED_CAP,AB$4&gt;MESCLUN_BED_CAP,$A330+$B330+AB$4&gt;TOTAL_BEDS_AVAILABLE,($D330+AB$5)&gt;TOTAL_LABOR_HOURS_CAP,MAX(0,($D330+AB$5)-PERMANENT_FIELD_LABOR_HOURS)&gt;TEMP_HOURS_CAP),"",$C330+AB$6-MIN(($D330+AB$5),PERMANENT_FIELD_LABOR_HOURS)*PERMANENT_HOURLY_RATE-MAX(0,($D330+AB$5)-PERMANENT_FIELD_LABOR_HOURS)*TEMP_HOURLY_RATE-FIXED_SEASON_COST)</f>
        <v/>
      </c>
      <c r="AC330" s="53" t="str">
        <f aca="false">IF(OR($A330&gt;TOMATO_BED_CAP,$B330&gt;CARROT_BED_CAP,AC$4&gt;MESCLUN_BED_CAP,$A330+$B330+AC$4&gt;TOTAL_BEDS_AVAILABLE,($D330+AC$5)&gt;TOTAL_LABOR_HOURS_CAP,MAX(0,($D330+AC$5)-PERMANENT_FIELD_LABOR_HOURS)&gt;TEMP_HOURS_CAP),"",$C330+AC$6-MIN(($D330+AC$5),PERMANENT_FIELD_LABOR_HOURS)*PERMANENT_HOURLY_RATE-MAX(0,($D330+AC$5)-PERMANENT_FIELD_LABOR_HOURS)*TEMP_HOURLY_RATE-FIXED_SEASON_COST)</f>
        <v/>
      </c>
      <c r="AD330" s="53" t="str">
        <f aca="false">IF(OR($A330&gt;TOMATO_BED_CAP,$B330&gt;CARROT_BED_CAP,AD$4&gt;MESCLUN_BED_CAP,$A330+$B330+AD$4&gt;TOTAL_BEDS_AVAILABLE,($D330+AD$5)&gt;TOTAL_LABOR_HOURS_CAP,MAX(0,($D330+AD$5)-PERMANENT_FIELD_LABOR_HOURS)&gt;TEMP_HOURS_CAP),"",$C330+AD$6-MIN(($D330+AD$5),PERMANENT_FIELD_LABOR_HOURS)*PERMANENT_HOURLY_RATE-MAX(0,($D330+AD$5)-PERMANENT_FIELD_LABOR_HOURS)*TEMP_HOURLY_RATE-FIXED_SEASON_COST)</f>
        <v/>
      </c>
      <c r="AE330" s="53" t="str">
        <f aca="false">IF(OR($A330&gt;TOMATO_BED_CAP,$B330&gt;CARROT_BED_CAP,AE$4&gt;MESCLUN_BED_CAP,$A330+$B330+AE$4&gt;TOTAL_BEDS_AVAILABLE,($D330+AE$5)&gt;TOTAL_LABOR_HOURS_CAP,MAX(0,($D330+AE$5)-PERMANENT_FIELD_LABOR_HOURS)&gt;TEMP_HOURS_CAP),"",$C330+AE$6-MIN(($D330+AE$5),PERMANENT_FIELD_LABOR_HOURS)*PERMANENT_HOURLY_RATE-MAX(0,($D330+AE$5)-PERMANENT_FIELD_LABOR_HOURS)*TEMP_HOURLY_RATE-FIXED_SEASON_COST)</f>
        <v/>
      </c>
      <c r="AF330" s="53" t="str">
        <f aca="false">IF(OR($A330&gt;TOMATO_BED_CAP,$B330&gt;CARROT_BED_CAP,AF$4&gt;MESCLUN_BED_CAP,$A330+$B330+AF$4&gt;TOTAL_BEDS_AVAILABLE,($D330+AF$5)&gt;TOTAL_LABOR_HOURS_CAP,MAX(0,($D330+AF$5)-PERMANENT_FIELD_LABOR_HOURS)&gt;TEMP_HOURS_CAP),"",$C330+AF$6-MIN(($D330+AF$5),PERMANENT_FIELD_LABOR_HOURS)*PERMANENT_HOURLY_RATE-MAX(0,($D330+AF$5)-PERMANENT_FIELD_LABOR_HOURS)*TEMP_HOURLY_RATE-FIXED_SEASON_COST)</f>
        <v/>
      </c>
      <c r="AG330" s="53" t="str">
        <f aca="false">IF(OR($A330&gt;TOMATO_BED_CAP,$B330&gt;CARROT_BED_CAP,AG$4&gt;MESCLUN_BED_CAP,$A330+$B330+AG$4&gt;TOTAL_BEDS_AVAILABLE,($D330+AG$5)&gt;TOTAL_LABOR_HOURS_CAP,MAX(0,($D330+AG$5)-PERMANENT_FIELD_LABOR_HOURS)&gt;TEMP_HOURS_CAP),"",$C330+AG$6-MIN(($D330+AG$5),PERMANENT_FIELD_LABOR_HOURS)*PERMANENT_HOURLY_RATE-MAX(0,($D330+AG$5)-PERMANENT_FIELD_LABOR_HOURS)*TEMP_HOURLY_RATE-FIXED_SEASON_COST)</f>
        <v/>
      </c>
      <c r="AH330" s="53" t="str">
        <f aca="false">IF(OR($A330&gt;TOMATO_BED_CAP,$B330&gt;CARROT_BED_CAP,AH$4&gt;MESCLUN_BED_CAP,$A330+$B330+AH$4&gt;TOTAL_BEDS_AVAILABLE,($D330+AH$5)&gt;TOTAL_LABOR_HOURS_CAP,MAX(0,($D330+AH$5)-PERMANENT_FIELD_LABOR_HOURS)&gt;TEMP_HOURS_CAP),"",$C330+AH$6-MIN(($D330+AH$5),PERMANENT_FIELD_LABOR_HOURS)*PERMANENT_HOURLY_RATE-MAX(0,($D330+AH$5)-PERMANENT_FIELD_LABOR_HOURS)*TEMP_HOURLY_RATE-FIXED_SEASON_COST)</f>
        <v/>
      </c>
      <c r="AI330" s="53" t="str">
        <f aca="false">IF(OR($A330&gt;TOMATO_BED_CAP,$B330&gt;CARROT_BED_CAP,AI$4&gt;MESCLUN_BED_CAP,$A330+$B330+AI$4&gt;TOTAL_BEDS_AVAILABLE,($D330+AI$5)&gt;TOTAL_LABOR_HOURS_CAP,MAX(0,($D330+AI$5)-PERMANENT_FIELD_LABOR_HOURS)&gt;TEMP_HOURS_CAP),"",$C330+AI$6-MIN(($D330+AI$5),PERMANENT_FIELD_LABOR_HOURS)*PERMANENT_HOURLY_RATE-MAX(0,($D330+AI$5)-PERMANENT_FIELD_LABOR_HOURS)*TEMP_HOURLY_RATE-FIXED_SEASON_COST)</f>
        <v/>
      </c>
      <c r="AJ330" s="53" t="str">
        <f aca="false">IF(OR($A330&gt;TOMATO_BED_CAP,$B330&gt;CARROT_BED_CAP,AJ$4&gt;MESCLUN_BED_CAP,$A330+$B330+AJ$4&gt;TOTAL_BEDS_AVAILABLE,($D330+AJ$5)&gt;TOTAL_LABOR_HOURS_CAP,MAX(0,($D330+AJ$5)-PERMANENT_FIELD_LABOR_HOURS)&gt;TEMP_HOURS_CAP),"",$C330+AJ$6-MIN(($D330+AJ$5),PERMANENT_FIELD_LABOR_HOURS)*PERMANENT_HOURLY_RATE-MAX(0,($D330+AJ$5)-PERMANENT_FIELD_LABOR_HOURS)*TEMP_HOURLY_RATE-FIXED_SEASON_COST)</f>
        <v/>
      </c>
    </row>
    <row r="331" customFormat="false" ht="15" hidden="false" customHeight="false" outlineLevel="0" collapsed="false">
      <c r="A331" s="21" t="n">
        <f aca="false">INT((ROW()-ROW($A$8))/(20+1))</f>
        <v>15</v>
      </c>
      <c r="B331" s="21" t="n">
        <f aca="false">MOD(ROW()-ROW($A$8),20+1)</f>
        <v>8</v>
      </c>
      <c r="C331" s="13" t="n">
        <f aca="false">A331*(TOMATO_REVENUE_PER_BED-TOMATO_FERTILIZER_PER_BED)+B331*(CARROT_REVENUE_PER_BED-CARROT_FERTILIZER_PER_BED)</f>
        <v>132032</v>
      </c>
      <c r="D331" s="14" t="n">
        <f aca="false">INDEX(TOMATO_SCHED_LABOR_HRS,A331+1)+INDEX(CARROT_SCHED_LABOR_HRS,B331+1)</f>
        <v>5931.58475743536</v>
      </c>
      <c r="E331" s="13" t="n">
        <f aca="false">IF(COUNT(F331:AJ331)=0,"",MAX(F331:AJ331))</f>
        <v>5915.18888958507</v>
      </c>
      <c r="F331" s="53" t="n">
        <f aca="false">IF(OR($A331&gt;TOMATO_BED_CAP,$B331&gt;CARROT_BED_CAP,F$4&gt;MESCLUN_BED_CAP,$A331+$B331+F$4&gt;TOTAL_BEDS_AVAILABLE,($D331+F$5)&gt;TOTAL_LABOR_HOURS_CAP,MAX(0,($D331+F$5)-PERMANENT_FIELD_LABOR_HOURS)&gt;TEMP_HOURS_CAP),"",$C331+F$6-MIN(($D331+F$5),PERMANENT_FIELD_LABOR_HOURS)*PERMANENT_HOURLY_RATE-MAX(0,($D331+F$5)-PERMANENT_FIELD_LABOR_HOURS)*TEMP_HOURLY_RATE-FIXED_SEASON_COST)</f>
        <v>-3439.51138907774</v>
      </c>
      <c r="G331" s="53" t="n">
        <f aca="false">IF(OR($A331&gt;TOMATO_BED_CAP,$B331&gt;CARROT_BED_CAP,G$4&gt;MESCLUN_BED_CAP,$A331+$B331+G$4&gt;TOTAL_BEDS_AVAILABLE,($D331+G$5)&gt;TOTAL_LABOR_HOURS_CAP,MAX(0,($D331+G$5)-PERMANENT_FIELD_LABOR_HOURS)&gt;TEMP_HOURS_CAP),"",$C331+G$6-MIN(($D331+G$5),PERMANENT_FIELD_LABOR_HOURS)*PERMANENT_HOURLY_RATE-MAX(0,($D331+G$5)-PERMANENT_FIELD_LABOR_HOURS)*TEMP_HOURLY_RATE-FIXED_SEASON_COST)</f>
        <v>-2410.47638907775</v>
      </c>
      <c r="H331" s="53" t="n">
        <f aca="false">IF(OR($A331&gt;TOMATO_BED_CAP,$B331&gt;CARROT_BED_CAP,H$4&gt;MESCLUN_BED_CAP,$A331+$B331+H$4&gt;TOTAL_BEDS_AVAILABLE,($D331+H$5)&gt;TOTAL_LABOR_HOURS_CAP,MAX(0,($D331+H$5)-PERMANENT_FIELD_LABOR_HOURS)&gt;TEMP_HOURS_CAP),"",$C331+H$6-MIN(($D331+H$5),PERMANENT_FIELD_LABOR_HOURS)*PERMANENT_HOURLY_RATE-MAX(0,($D331+H$5)-PERMANENT_FIELD_LABOR_HOURS)*TEMP_HOURLY_RATE-FIXED_SEASON_COST)</f>
        <v>-1401.21551407776</v>
      </c>
      <c r="I331" s="53" t="n">
        <f aca="false">IF(OR($A331&gt;TOMATO_BED_CAP,$B331&gt;CARROT_BED_CAP,I$4&gt;MESCLUN_BED_CAP,$A331+$B331+I$4&gt;TOTAL_BEDS_AVAILABLE,($D331+I$5)&gt;TOTAL_LABOR_HOURS_CAP,MAX(0,($D331+I$5)-PERMANENT_FIELD_LABOR_HOURS)&gt;TEMP_HOURS_CAP),"",$C331+I$6-MIN(($D331+I$5),PERMANENT_FIELD_LABOR_HOURS)*PERMANENT_HOURLY_RATE-MAX(0,($D331+I$5)-PERMANENT_FIELD_LABOR_HOURS)*TEMP_HOURLY_RATE-FIXED_SEASON_COST)</f>
        <v>-412.099528921506</v>
      </c>
      <c r="J331" s="53" t="n">
        <f aca="false">IF(OR($A331&gt;TOMATO_BED_CAP,$B331&gt;CARROT_BED_CAP,J$4&gt;MESCLUN_BED_CAP,$A331+$B331+J$4&gt;TOTAL_BEDS_AVAILABLE,($D331+J$5)&gt;TOTAL_LABOR_HOURS_CAP,MAX(0,($D331+J$5)-PERMANENT_FIELD_LABOR_HOURS)&gt;TEMP_HOURS_CAP),"",$C331+J$6-MIN(($D331+J$5),PERMANENT_FIELD_LABOR_HOURS)*PERMANENT_HOURLY_RATE-MAX(0,($D331+J$5)-PERMANENT_FIELD_LABOR_HOURS)*TEMP_HOURLY_RATE-FIXED_SEASON_COST)</f>
        <v>556.494622133192</v>
      </c>
      <c r="K331" s="53" t="n">
        <f aca="false">IF(OR($A331&gt;TOMATO_BED_CAP,$B331&gt;CARROT_BED_CAP,K$4&gt;MESCLUN_BED_CAP,$A331+$B331+K$4&gt;TOTAL_BEDS_AVAILABLE,($D331+K$5)&gt;TOTAL_LABOR_HOURS_CAP,MAX(0,($D331+K$5)-PERMANENT_FIELD_LABOR_HOURS)&gt;TEMP_HOURS_CAP),"",$C331+K$6-MIN(($D331+K$5),PERMANENT_FIELD_LABOR_HOURS)*PERMANENT_HOURLY_RATE-MAX(0,($D331+K$5)-PERMANENT_FIELD_LABOR_HOURS)*TEMP_HOURLY_RATE-FIXED_SEASON_COST)</f>
        <v>1504.1837188611</v>
      </c>
      <c r="L331" s="53" t="n">
        <f aca="false">IF(OR($A331&gt;TOMATO_BED_CAP,$B331&gt;CARROT_BED_CAP,L$4&gt;MESCLUN_BED_CAP,$A331+$B331+L$4&gt;TOTAL_BEDS_AVAILABLE,($D331+L$5)&gt;TOTAL_LABOR_HOURS_CAP,MAX(0,($D331+L$5)-PERMANENT_FIELD_LABOR_HOURS)&gt;TEMP_HOURS_CAP),"",$C331+L$6-MIN(($D331+L$5),PERMANENT_FIELD_LABOR_HOURS)*PERMANENT_HOURLY_RATE-MAX(0,($D331+L$5)-PERMANENT_FIELD_LABOR_HOURS)*TEMP_HOURLY_RATE-FIXED_SEASON_COST)</f>
        <v>2430.57816706794</v>
      </c>
      <c r="M331" s="53" t="n">
        <f aca="false">IF(OR($A331&gt;TOMATO_BED_CAP,$B331&gt;CARROT_BED_CAP,M$4&gt;MESCLUN_BED_CAP,$A331+$B331+M$4&gt;TOTAL_BEDS_AVAILABLE,($D331+M$5)&gt;TOTAL_LABOR_HOURS_CAP,MAX(0,($D331+M$5)-PERMANENT_FIELD_LABOR_HOURS)&gt;TEMP_HOURS_CAP),"",$C331+M$6-MIN(($D331+M$5),PERMANENT_FIELD_LABOR_HOURS)*PERMANENT_HOURLY_RATE-MAX(0,($D331+M$5)-PERMANENT_FIELD_LABOR_HOURS)*TEMP_HOURLY_RATE-FIXED_SEASON_COST)</f>
        <v>3335.28189911935</v>
      </c>
      <c r="N331" s="53" t="n">
        <f aca="false">IF(OR($A331&gt;TOMATO_BED_CAP,$B331&gt;CARROT_BED_CAP,N$4&gt;MESCLUN_BED_CAP,$A331+$B331+N$4&gt;TOTAL_BEDS_AVAILABLE,($D331+N$5)&gt;TOTAL_LABOR_HOURS_CAP,MAX(0,($D331+N$5)-PERMANENT_FIELD_LABOR_HOURS)&gt;TEMP_HOURS_CAP),"",$C331+N$6-MIN(($D331+N$5),PERMANENT_FIELD_LABOR_HOURS)*PERMANENT_HOURLY_RATE-MAX(0,($D331+N$5)-PERMANENT_FIELD_LABOR_HOURS)*TEMP_HOURLY_RATE-FIXED_SEASON_COST)</f>
        <v>4217.89227297891</v>
      </c>
      <c r="O331" s="53" t="n">
        <f aca="false">IF(OR($A331&gt;TOMATO_BED_CAP,$B331&gt;CARROT_BED_CAP,O$4&gt;MESCLUN_BED_CAP,$A331+$B331+O$4&gt;TOTAL_BEDS_AVAILABLE,($D331+O$5)&gt;TOTAL_LABOR_HOURS_CAP,MAX(0,($D331+O$5)-PERMANENT_FIELD_LABOR_HOURS)&gt;TEMP_HOURS_CAP),"",$C331+O$6-MIN(($D331+O$5),PERMANENT_FIELD_LABOR_HOURS)*PERMANENT_HOURLY_RATE-MAX(0,($D331+O$5)-PERMANENT_FIELD_LABOR_HOURS)*TEMP_HOURLY_RATE-FIXED_SEASON_COST)</f>
        <v>5077.99996973365</v>
      </c>
      <c r="P331" s="53" t="n">
        <f aca="false">IF(OR($A331&gt;TOMATO_BED_CAP,$B331&gt;CARROT_BED_CAP,P$4&gt;MESCLUN_BED_CAP,$A331+$B331+P$4&gt;TOTAL_BEDS_AVAILABLE,($D331+P$5)&gt;TOTAL_LABOR_HOURS_CAP,MAX(0,($D331+P$5)-PERMANENT_FIELD_LABOR_HOURS)&gt;TEMP_HOURS_CAP),"",$C331+P$6-MIN(($D331+P$5),PERMANENT_FIELD_LABOR_HOURS)*PERMANENT_HOURLY_RATE-MAX(0,($D331+P$5)-PERMANENT_FIELD_LABOR_HOURS)*TEMP_HOURLY_RATE-FIXED_SEASON_COST)</f>
        <v>5915.18888958507</v>
      </c>
      <c r="Q331" s="53" t="str">
        <f aca="false">IF(OR($A331&gt;TOMATO_BED_CAP,$B331&gt;CARROT_BED_CAP,Q$4&gt;MESCLUN_BED_CAP,$A331+$B331+Q$4&gt;TOTAL_BEDS_AVAILABLE,($D331+Q$5)&gt;TOTAL_LABOR_HOURS_CAP,MAX(0,($D331+Q$5)-PERMANENT_FIELD_LABOR_HOURS)&gt;TEMP_HOURS_CAP),"",$C331+Q$6-MIN(($D331+Q$5),PERMANENT_FIELD_LABOR_HOURS)*PERMANENT_HOURLY_RATE-MAX(0,($D331+Q$5)-PERMANENT_FIELD_LABOR_HOURS)*TEMP_HOURLY_RATE-FIXED_SEASON_COST)</f>
        <v/>
      </c>
      <c r="R331" s="53" t="str">
        <f aca="false">IF(OR($A331&gt;TOMATO_BED_CAP,$B331&gt;CARROT_BED_CAP,R$4&gt;MESCLUN_BED_CAP,$A331+$B331+R$4&gt;TOTAL_BEDS_AVAILABLE,($D331+R$5)&gt;TOTAL_LABOR_HOURS_CAP,MAX(0,($D331+R$5)-PERMANENT_FIELD_LABOR_HOURS)&gt;TEMP_HOURS_CAP),"",$C331+R$6-MIN(($D331+R$5),PERMANENT_FIELD_LABOR_HOURS)*PERMANENT_HOURLY_RATE-MAX(0,($D331+R$5)-PERMANENT_FIELD_LABOR_HOURS)*TEMP_HOURLY_RATE-FIXED_SEASON_COST)</f>
        <v/>
      </c>
      <c r="S331" s="53" t="str">
        <f aca="false">IF(OR($A331&gt;TOMATO_BED_CAP,$B331&gt;CARROT_BED_CAP,S$4&gt;MESCLUN_BED_CAP,$A331+$B331+S$4&gt;TOTAL_BEDS_AVAILABLE,($D331+S$5)&gt;TOTAL_LABOR_HOURS_CAP,MAX(0,($D331+S$5)-PERMANENT_FIELD_LABOR_HOURS)&gt;TEMP_HOURS_CAP),"",$C331+S$6-MIN(($D331+S$5),PERMANENT_FIELD_LABOR_HOURS)*PERMANENT_HOURLY_RATE-MAX(0,($D331+S$5)-PERMANENT_FIELD_LABOR_HOURS)*TEMP_HOURLY_RATE-FIXED_SEASON_COST)</f>
        <v/>
      </c>
      <c r="T331" s="53" t="str">
        <f aca="false">IF(OR($A331&gt;TOMATO_BED_CAP,$B331&gt;CARROT_BED_CAP,T$4&gt;MESCLUN_BED_CAP,$A331+$B331+T$4&gt;TOTAL_BEDS_AVAILABLE,($D331+T$5)&gt;TOTAL_LABOR_HOURS_CAP,MAX(0,($D331+T$5)-PERMANENT_FIELD_LABOR_HOURS)&gt;TEMP_HOURS_CAP),"",$C331+T$6-MIN(($D331+T$5),PERMANENT_FIELD_LABOR_HOURS)*PERMANENT_HOURLY_RATE-MAX(0,($D331+T$5)-PERMANENT_FIELD_LABOR_HOURS)*TEMP_HOURLY_RATE-FIXED_SEASON_COST)</f>
        <v/>
      </c>
      <c r="U331" s="53" t="str">
        <f aca="false">IF(OR($A331&gt;TOMATO_BED_CAP,$B331&gt;CARROT_BED_CAP,U$4&gt;MESCLUN_BED_CAP,$A331+$B331+U$4&gt;TOTAL_BEDS_AVAILABLE,($D331+U$5)&gt;TOTAL_LABOR_HOURS_CAP,MAX(0,($D331+U$5)-PERMANENT_FIELD_LABOR_HOURS)&gt;TEMP_HOURS_CAP),"",$C331+U$6-MIN(($D331+U$5),PERMANENT_FIELD_LABOR_HOURS)*PERMANENT_HOURLY_RATE-MAX(0,($D331+U$5)-PERMANENT_FIELD_LABOR_HOURS)*TEMP_HOURLY_RATE-FIXED_SEASON_COST)</f>
        <v/>
      </c>
      <c r="V331" s="53" t="str">
        <f aca="false">IF(OR($A331&gt;TOMATO_BED_CAP,$B331&gt;CARROT_BED_CAP,V$4&gt;MESCLUN_BED_CAP,$A331+$B331+V$4&gt;TOTAL_BEDS_AVAILABLE,($D331+V$5)&gt;TOTAL_LABOR_HOURS_CAP,MAX(0,($D331+V$5)-PERMANENT_FIELD_LABOR_HOURS)&gt;TEMP_HOURS_CAP),"",$C331+V$6-MIN(($D331+V$5),PERMANENT_FIELD_LABOR_HOURS)*PERMANENT_HOURLY_RATE-MAX(0,($D331+V$5)-PERMANENT_FIELD_LABOR_HOURS)*TEMP_HOURLY_RATE-FIXED_SEASON_COST)</f>
        <v/>
      </c>
      <c r="W331" s="53" t="str">
        <f aca="false">IF(OR($A331&gt;TOMATO_BED_CAP,$B331&gt;CARROT_BED_CAP,W$4&gt;MESCLUN_BED_CAP,$A331+$B331+W$4&gt;TOTAL_BEDS_AVAILABLE,($D331+W$5)&gt;TOTAL_LABOR_HOURS_CAP,MAX(0,($D331+W$5)-PERMANENT_FIELD_LABOR_HOURS)&gt;TEMP_HOURS_CAP),"",$C331+W$6-MIN(($D331+W$5),PERMANENT_FIELD_LABOR_HOURS)*PERMANENT_HOURLY_RATE-MAX(0,($D331+W$5)-PERMANENT_FIELD_LABOR_HOURS)*TEMP_HOURLY_RATE-FIXED_SEASON_COST)</f>
        <v/>
      </c>
      <c r="X331" s="53" t="str">
        <f aca="false">IF(OR($A331&gt;TOMATO_BED_CAP,$B331&gt;CARROT_BED_CAP,X$4&gt;MESCLUN_BED_CAP,$A331+$B331+X$4&gt;TOTAL_BEDS_AVAILABLE,($D331+X$5)&gt;TOTAL_LABOR_HOURS_CAP,MAX(0,($D331+X$5)-PERMANENT_FIELD_LABOR_HOURS)&gt;TEMP_HOURS_CAP),"",$C331+X$6-MIN(($D331+X$5),PERMANENT_FIELD_LABOR_HOURS)*PERMANENT_HOURLY_RATE-MAX(0,($D331+X$5)-PERMANENT_FIELD_LABOR_HOURS)*TEMP_HOURLY_RATE-FIXED_SEASON_COST)</f>
        <v/>
      </c>
      <c r="Y331" s="53" t="str">
        <f aca="false">IF(OR($A331&gt;TOMATO_BED_CAP,$B331&gt;CARROT_BED_CAP,Y$4&gt;MESCLUN_BED_CAP,$A331+$B331+Y$4&gt;TOTAL_BEDS_AVAILABLE,($D331+Y$5)&gt;TOTAL_LABOR_HOURS_CAP,MAX(0,($D331+Y$5)-PERMANENT_FIELD_LABOR_HOURS)&gt;TEMP_HOURS_CAP),"",$C331+Y$6-MIN(($D331+Y$5),PERMANENT_FIELD_LABOR_HOURS)*PERMANENT_HOURLY_RATE-MAX(0,($D331+Y$5)-PERMANENT_FIELD_LABOR_HOURS)*TEMP_HOURLY_RATE-FIXED_SEASON_COST)</f>
        <v/>
      </c>
      <c r="Z331" s="53" t="str">
        <f aca="false">IF(OR($A331&gt;TOMATO_BED_CAP,$B331&gt;CARROT_BED_CAP,Z$4&gt;MESCLUN_BED_CAP,$A331+$B331+Z$4&gt;TOTAL_BEDS_AVAILABLE,($D331+Z$5)&gt;TOTAL_LABOR_HOURS_CAP,MAX(0,($D331+Z$5)-PERMANENT_FIELD_LABOR_HOURS)&gt;TEMP_HOURS_CAP),"",$C331+Z$6-MIN(($D331+Z$5),PERMANENT_FIELD_LABOR_HOURS)*PERMANENT_HOURLY_RATE-MAX(0,($D331+Z$5)-PERMANENT_FIELD_LABOR_HOURS)*TEMP_HOURLY_RATE-FIXED_SEASON_COST)</f>
        <v/>
      </c>
      <c r="AA331" s="53" t="str">
        <f aca="false">IF(OR($A331&gt;TOMATO_BED_CAP,$B331&gt;CARROT_BED_CAP,AA$4&gt;MESCLUN_BED_CAP,$A331+$B331+AA$4&gt;TOTAL_BEDS_AVAILABLE,($D331+AA$5)&gt;TOTAL_LABOR_HOURS_CAP,MAX(0,($D331+AA$5)-PERMANENT_FIELD_LABOR_HOURS)&gt;TEMP_HOURS_CAP),"",$C331+AA$6-MIN(($D331+AA$5),PERMANENT_FIELD_LABOR_HOURS)*PERMANENT_HOURLY_RATE-MAX(0,($D331+AA$5)-PERMANENT_FIELD_LABOR_HOURS)*TEMP_HOURLY_RATE-FIXED_SEASON_COST)</f>
        <v/>
      </c>
      <c r="AB331" s="53" t="str">
        <f aca="false">IF(OR($A331&gt;TOMATO_BED_CAP,$B331&gt;CARROT_BED_CAP,AB$4&gt;MESCLUN_BED_CAP,$A331+$B331+AB$4&gt;TOTAL_BEDS_AVAILABLE,($D331+AB$5)&gt;TOTAL_LABOR_HOURS_CAP,MAX(0,($D331+AB$5)-PERMANENT_FIELD_LABOR_HOURS)&gt;TEMP_HOURS_CAP),"",$C331+AB$6-MIN(($D331+AB$5),PERMANENT_FIELD_LABOR_HOURS)*PERMANENT_HOURLY_RATE-MAX(0,($D331+AB$5)-PERMANENT_FIELD_LABOR_HOURS)*TEMP_HOURLY_RATE-FIXED_SEASON_COST)</f>
        <v/>
      </c>
      <c r="AC331" s="53" t="str">
        <f aca="false">IF(OR($A331&gt;TOMATO_BED_CAP,$B331&gt;CARROT_BED_CAP,AC$4&gt;MESCLUN_BED_CAP,$A331+$B331+AC$4&gt;TOTAL_BEDS_AVAILABLE,($D331+AC$5)&gt;TOTAL_LABOR_HOURS_CAP,MAX(0,($D331+AC$5)-PERMANENT_FIELD_LABOR_HOURS)&gt;TEMP_HOURS_CAP),"",$C331+AC$6-MIN(($D331+AC$5),PERMANENT_FIELD_LABOR_HOURS)*PERMANENT_HOURLY_RATE-MAX(0,($D331+AC$5)-PERMANENT_FIELD_LABOR_HOURS)*TEMP_HOURLY_RATE-FIXED_SEASON_COST)</f>
        <v/>
      </c>
      <c r="AD331" s="53" t="str">
        <f aca="false">IF(OR($A331&gt;TOMATO_BED_CAP,$B331&gt;CARROT_BED_CAP,AD$4&gt;MESCLUN_BED_CAP,$A331+$B331+AD$4&gt;TOTAL_BEDS_AVAILABLE,($D331+AD$5)&gt;TOTAL_LABOR_HOURS_CAP,MAX(0,($D331+AD$5)-PERMANENT_FIELD_LABOR_HOURS)&gt;TEMP_HOURS_CAP),"",$C331+AD$6-MIN(($D331+AD$5),PERMANENT_FIELD_LABOR_HOURS)*PERMANENT_HOURLY_RATE-MAX(0,($D331+AD$5)-PERMANENT_FIELD_LABOR_HOURS)*TEMP_HOURLY_RATE-FIXED_SEASON_COST)</f>
        <v/>
      </c>
      <c r="AE331" s="53" t="str">
        <f aca="false">IF(OR($A331&gt;TOMATO_BED_CAP,$B331&gt;CARROT_BED_CAP,AE$4&gt;MESCLUN_BED_CAP,$A331+$B331+AE$4&gt;TOTAL_BEDS_AVAILABLE,($D331+AE$5)&gt;TOTAL_LABOR_HOURS_CAP,MAX(0,($D331+AE$5)-PERMANENT_FIELD_LABOR_HOURS)&gt;TEMP_HOURS_CAP),"",$C331+AE$6-MIN(($D331+AE$5),PERMANENT_FIELD_LABOR_HOURS)*PERMANENT_HOURLY_RATE-MAX(0,($D331+AE$5)-PERMANENT_FIELD_LABOR_HOURS)*TEMP_HOURLY_RATE-FIXED_SEASON_COST)</f>
        <v/>
      </c>
      <c r="AF331" s="53" t="str">
        <f aca="false">IF(OR($A331&gt;TOMATO_BED_CAP,$B331&gt;CARROT_BED_CAP,AF$4&gt;MESCLUN_BED_CAP,$A331+$B331+AF$4&gt;TOTAL_BEDS_AVAILABLE,($D331+AF$5)&gt;TOTAL_LABOR_HOURS_CAP,MAX(0,($D331+AF$5)-PERMANENT_FIELD_LABOR_HOURS)&gt;TEMP_HOURS_CAP),"",$C331+AF$6-MIN(($D331+AF$5),PERMANENT_FIELD_LABOR_HOURS)*PERMANENT_HOURLY_RATE-MAX(0,($D331+AF$5)-PERMANENT_FIELD_LABOR_HOURS)*TEMP_HOURLY_RATE-FIXED_SEASON_COST)</f>
        <v/>
      </c>
      <c r="AG331" s="53" t="str">
        <f aca="false">IF(OR($A331&gt;TOMATO_BED_CAP,$B331&gt;CARROT_BED_CAP,AG$4&gt;MESCLUN_BED_CAP,$A331+$B331+AG$4&gt;TOTAL_BEDS_AVAILABLE,($D331+AG$5)&gt;TOTAL_LABOR_HOURS_CAP,MAX(0,($D331+AG$5)-PERMANENT_FIELD_LABOR_HOURS)&gt;TEMP_HOURS_CAP),"",$C331+AG$6-MIN(($D331+AG$5),PERMANENT_FIELD_LABOR_HOURS)*PERMANENT_HOURLY_RATE-MAX(0,($D331+AG$5)-PERMANENT_FIELD_LABOR_HOURS)*TEMP_HOURLY_RATE-FIXED_SEASON_COST)</f>
        <v/>
      </c>
      <c r="AH331" s="53" t="str">
        <f aca="false">IF(OR($A331&gt;TOMATO_BED_CAP,$B331&gt;CARROT_BED_CAP,AH$4&gt;MESCLUN_BED_CAP,$A331+$B331+AH$4&gt;TOTAL_BEDS_AVAILABLE,($D331+AH$5)&gt;TOTAL_LABOR_HOURS_CAP,MAX(0,($D331+AH$5)-PERMANENT_FIELD_LABOR_HOURS)&gt;TEMP_HOURS_CAP),"",$C331+AH$6-MIN(($D331+AH$5),PERMANENT_FIELD_LABOR_HOURS)*PERMANENT_HOURLY_RATE-MAX(0,($D331+AH$5)-PERMANENT_FIELD_LABOR_HOURS)*TEMP_HOURLY_RATE-FIXED_SEASON_COST)</f>
        <v/>
      </c>
      <c r="AI331" s="53" t="str">
        <f aca="false">IF(OR($A331&gt;TOMATO_BED_CAP,$B331&gt;CARROT_BED_CAP,AI$4&gt;MESCLUN_BED_CAP,$A331+$B331+AI$4&gt;TOTAL_BEDS_AVAILABLE,($D331+AI$5)&gt;TOTAL_LABOR_HOURS_CAP,MAX(0,($D331+AI$5)-PERMANENT_FIELD_LABOR_HOURS)&gt;TEMP_HOURS_CAP),"",$C331+AI$6-MIN(($D331+AI$5),PERMANENT_FIELD_LABOR_HOURS)*PERMANENT_HOURLY_RATE-MAX(0,($D331+AI$5)-PERMANENT_FIELD_LABOR_HOURS)*TEMP_HOURLY_RATE-FIXED_SEASON_COST)</f>
        <v/>
      </c>
      <c r="AJ331" s="53" t="str">
        <f aca="false">IF(OR($A331&gt;TOMATO_BED_CAP,$B331&gt;CARROT_BED_CAP,AJ$4&gt;MESCLUN_BED_CAP,$A331+$B331+AJ$4&gt;TOTAL_BEDS_AVAILABLE,($D331+AJ$5)&gt;TOTAL_LABOR_HOURS_CAP,MAX(0,($D331+AJ$5)-PERMANENT_FIELD_LABOR_HOURS)&gt;TEMP_HOURS_CAP),"",$C331+AJ$6-MIN(($D331+AJ$5),PERMANENT_FIELD_LABOR_HOURS)*PERMANENT_HOURLY_RATE-MAX(0,($D331+AJ$5)-PERMANENT_FIELD_LABOR_HOURS)*TEMP_HOURLY_RATE-FIXED_SEASON_COST)</f>
        <v/>
      </c>
    </row>
    <row r="332" customFormat="false" ht="15" hidden="false" customHeight="false" outlineLevel="0" collapsed="false">
      <c r="A332" s="21" t="n">
        <f aca="false">INT((ROW()-ROW($A$8))/(20+1))</f>
        <v>15</v>
      </c>
      <c r="B332" s="21" t="n">
        <f aca="false">MOD(ROW()-ROW($A$8),20+1)</f>
        <v>9</v>
      </c>
      <c r="C332" s="13" t="n">
        <f aca="false">A332*(TOMATO_REVENUE_PER_BED-TOMATO_FERTILIZER_PER_BED)+B332*(CARROT_REVENUE_PER_BED-CARROT_FERTILIZER_PER_BED)</f>
        <v>133686</v>
      </c>
      <c r="D332" s="14" t="n">
        <f aca="false">INDEX(TOMATO_SCHED_LABOR_HRS,A332+1)+INDEX(CARROT_SCHED_LABOR_HRS,B332+1)</f>
        <v>5976.34315339625</v>
      </c>
      <c r="E332" s="13" t="n">
        <f aca="false">IF(COUNT(F332:AJ332)=0,"",MAX(F332:AJ332))</f>
        <v>5954.99421585248</v>
      </c>
      <c r="F332" s="53" t="n">
        <f aca="false">IF(OR($A332&gt;TOMATO_BED_CAP,$B332&gt;CARROT_BED_CAP,F$4&gt;MESCLUN_BED_CAP,$A332+$B332+F$4&gt;TOTAL_BEDS_AVAILABLE,($D332+F$5)&gt;TOTAL_LABOR_HOURS_CAP,MAX(0,($D332+F$5)-PERMANENT_FIELD_LABOR_HOURS)&gt;TEMP_HOURS_CAP),"",$C332+F$6-MIN(($D332+F$5),PERMANENT_FIELD_LABOR_HOURS)*PERMANENT_HOURLY_RATE-MAX(0,($D332+F$5)-PERMANENT_FIELD_LABOR_HOURS)*TEMP_HOURLY_RATE-FIXED_SEASON_COST)</f>
        <v>-2562.51714295891</v>
      </c>
      <c r="G332" s="53" t="n">
        <f aca="false">IF(OR($A332&gt;TOMATO_BED_CAP,$B332&gt;CARROT_BED_CAP,G$4&gt;MESCLUN_BED_CAP,$A332+$B332+G$4&gt;TOTAL_BEDS_AVAILABLE,($D332+G$5)&gt;TOTAL_LABOR_HOURS_CAP,MAX(0,($D332+G$5)-PERMANENT_FIELD_LABOR_HOURS)&gt;TEMP_HOURS_CAP),"",$C332+G$6-MIN(($D332+G$5),PERMANENT_FIELD_LABOR_HOURS)*PERMANENT_HOURLY_RATE-MAX(0,($D332+G$5)-PERMANENT_FIELD_LABOR_HOURS)*TEMP_HOURLY_RATE-FIXED_SEASON_COST)</f>
        <v>-1533.48214295891</v>
      </c>
      <c r="H332" s="53" t="n">
        <f aca="false">IF(OR($A332&gt;TOMATO_BED_CAP,$B332&gt;CARROT_BED_CAP,H$4&gt;MESCLUN_BED_CAP,$A332+$B332+H$4&gt;TOTAL_BEDS_AVAILABLE,($D332+H$5)&gt;TOTAL_LABOR_HOURS_CAP,MAX(0,($D332+H$5)-PERMANENT_FIELD_LABOR_HOURS)&gt;TEMP_HOURS_CAP),"",$C332+H$6-MIN(($D332+H$5),PERMANENT_FIELD_LABOR_HOURS)*PERMANENT_HOURLY_RATE-MAX(0,($D332+H$5)-PERMANENT_FIELD_LABOR_HOURS)*TEMP_HOURLY_RATE-FIXED_SEASON_COST)</f>
        <v>-524.221267958914</v>
      </c>
      <c r="I332" s="53" t="n">
        <f aca="false">IF(OR($A332&gt;TOMATO_BED_CAP,$B332&gt;CARROT_BED_CAP,I$4&gt;MESCLUN_BED_CAP,$A332+$B332+I$4&gt;TOTAL_BEDS_AVAILABLE,($D332+I$5)&gt;TOTAL_LABOR_HOURS_CAP,MAX(0,($D332+I$5)-PERMANENT_FIELD_LABOR_HOURS)&gt;TEMP_HOURS_CAP),"",$C332+I$6-MIN(($D332+I$5),PERMANENT_FIELD_LABOR_HOURS)*PERMANENT_HOURLY_RATE-MAX(0,($D332+I$5)-PERMANENT_FIELD_LABOR_HOURS)*TEMP_HOURLY_RATE-FIXED_SEASON_COST)</f>
        <v>464.894717197327</v>
      </c>
      <c r="J332" s="53" t="n">
        <f aca="false">IF(OR($A332&gt;TOMATO_BED_CAP,$B332&gt;CARROT_BED_CAP,J$4&gt;MESCLUN_BED_CAP,$A332+$B332+J$4&gt;TOTAL_BEDS_AVAILABLE,($D332+J$5)&gt;TOTAL_LABOR_HOURS_CAP,MAX(0,($D332+J$5)-PERMANENT_FIELD_LABOR_HOURS)&gt;TEMP_HOURS_CAP),"",$C332+J$6-MIN(($D332+J$5),PERMANENT_FIELD_LABOR_HOURS)*PERMANENT_HOURLY_RATE-MAX(0,($D332+J$5)-PERMANENT_FIELD_LABOR_HOURS)*TEMP_HOURLY_RATE-FIXED_SEASON_COST)</f>
        <v>1433.48886825203</v>
      </c>
      <c r="K332" s="53" t="n">
        <f aca="false">IF(OR($A332&gt;TOMATO_BED_CAP,$B332&gt;CARROT_BED_CAP,K$4&gt;MESCLUN_BED_CAP,$A332+$B332+K$4&gt;TOTAL_BEDS_AVAILABLE,($D332+K$5)&gt;TOTAL_LABOR_HOURS_CAP,MAX(0,($D332+K$5)-PERMANENT_FIELD_LABOR_HOURS)&gt;TEMP_HOURS_CAP),"",$C332+K$6-MIN(($D332+K$5),PERMANENT_FIELD_LABOR_HOURS)*PERMANENT_HOURLY_RATE-MAX(0,($D332+K$5)-PERMANENT_FIELD_LABOR_HOURS)*TEMP_HOURLY_RATE-FIXED_SEASON_COST)</f>
        <v>2381.17796497993</v>
      </c>
      <c r="L332" s="53" t="n">
        <f aca="false">IF(OR($A332&gt;TOMATO_BED_CAP,$B332&gt;CARROT_BED_CAP,L$4&gt;MESCLUN_BED_CAP,$A332+$B332+L$4&gt;TOTAL_BEDS_AVAILABLE,($D332+L$5)&gt;TOTAL_LABOR_HOURS_CAP,MAX(0,($D332+L$5)-PERMANENT_FIELD_LABOR_HOURS)&gt;TEMP_HOURS_CAP),"",$C332+L$6-MIN(($D332+L$5),PERMANENT_FIELD_LABOR_HOURS)*PERMANENT_HOURLY_RATE-MAX(0,($D332+L$5)-PERMANENT_FIELD_LABOR_HOURS)*TEMP_HOURLY_RATE-FIXED_SEASON_COST)</f>
        <v>3307.57241318679</v>
      </c>
      <c r="M332" s="53" t="n">
        <f aca="false">IF(OR($A332&gt;TOMATO_BED_CAP,$B332&gt;CARROT_BED_CAP,M$4&gt;MESCLUN_BED_CAP,$A332+$B332+M$4&gt;TOTAL_BEDS_AVAILABLE,($D332+M$5)&gt;TOTAL_LABOR_HOURS_CAP,MAX(0,($D332+M$5)-PERMANENT_FIELD_LABOR_HOURS)&gt;TEMP_HOURS_CAP),"",$C332+M$6-MIN(($D332+M$5),PERMANENT_FIELD_LABOR_HOURS)*PERMANENT_HOURLY_RATE-MAX(0,($D332+M$5)-PERMANENT_FIELD_LABOR_HOURS)*TEMP_HOURLY_RATE-FIXED_SEASON_COST)</f>
        <v>4212.27614523818</v>
      </c>
      <c r="N332" s="53" t="n">
        <f aca="false">IF(OR($A332&gt;TOMATO_BED_CAP,$B332&gt;CARROT_BED_CAP,N$4&gt;MESCLUN_BED_CAP,$A332+$B332+N$4&gt;TOTAL_BEDS_AVAILABLE,($D332+N$5)&gt;TOTAL_LABOR_HOURS_CAP,MAX(0,($D332+N$5)-PERMANENT_FIELD_LABOR_HOURS)&gt;TEMP_HOURS_CAP),"",$C332+N$6-MIN(($D332+N$5),PERMANENT_FIELD_LABOR_HOURS)*PERMANENT_HOURLY_RATE-MAX(0,($D332+N$5)-PERMANENT_FIELD_LABOR_HOURS)*TEMP_HOURLY_RATE-FIXED_SEASON_COST)</f>
        <v>5094.88651909774</v>
      </c>
      <c r="O332" s="53" t="n">
        <f aca="false">IF(OR($A332&gt;TOMATO_BED_CAP,$B332&gt;CARROT_BED_CAP,O$4&gt;MESCLUN_BED_CAP,$A332+$B332+O$4&gt;TOTAL_BEDS_AVAILABLE,($D332+O$5)&gt;TOTAL_LABOR_HOURS_CAP,MAX(0,($D332+O$5)-PERMANENT_FIELD_LABOR_HOURS)&gt;TEMP_HOURS_CAP),"",$C332+O$6-MIN(($D332+O$5),PERMANENT_FIELD_LABOR_HOURS)*PERMANENT_HOURLY_RATE-MAX(0,($D332+O$5)-PERMANENT_FIELD_LABOR_HOURS)*TEMP_HOURLY_RATE-FIXED_SEASON_COST)</f>
        <v>5954.99421585248</v>
      </c>
      <c r="P332" s="53" t="str">
        <f aca="false">IF(OR($A332&gt;TOMATO_BED_CAP,$B332&gt;CARROT_BED_CAP,P$4&gt;MESCLUN_BED_CAP,$A332+$B332+P$4&gt;TOTAL_BEDS_AVAILABLE,($D332+P$5)&gt;TOTAL_LABOR_HOURS_CAP,MAX(0,($D332+P$5)-PERMANENT_FIELD_LABOR_HOURS)&gt;TEMP_HOURS_CAP),"",$C332+P$6-MIN(($D332+P$5),PERMANENT_FIELD_LABOR_HOURS)*PERMANENT_HOURLY_RATE-MAX(0,($D332+P$5)-PERMANENT_FIELD_LABOR_HOURS)*TEMP_HOURLY_RATE-FIXED_SEASON_COST)</f>
        <v/>
      </c>
      <c r="Q332" s="53" t="str">
        <f aca="false">IF(OR($A332&gt;TOMATO_BED_CAP,$B332&gt;CARROT_BED_CAP,Q$4&gt;MESCLUN_BED_CAP,$A332+$B332+Q$4&gt;TOTAL_BEDS_AVAILABLE,($D332+Q$5)&gt;TOTAL_LABOR_HOURS_CAP,MAX(0,($D332+Q$5)-PERMANENT_FIELD_LABOR_HOURS)&gt;TEMP_HOURS_CAP),"",$C332+Q$6-MIN(($D332+Q$5),PERMANENT_FIELD_LABOR_HOURS)*PERMANENT_HOURLY_RATE-MAX(0,($D332+Q$5)-PERMANENT_FIELD_LABOR_HOURS)*TEMP_HOURLY_RATE-FIXED_SEASON_COST)</f>
        <v/>
      </c>
      <c r="R332" s="53" t="str">
        <f aca="false">IF(OR($A332&gt;TOMATO_BED_CAP,$B332&gt;CARROT_BED_CAP,R$4&gt;MESCLUN_BED_CAP,$A332+$B332+R$4&gt;TOTAL_BEDS_AVAILABLE,($D332+R$5)&gt;TOTAL_LABOR_HOURS_CAP,MAX(0,($D332+R$5)-PERMANENT_FIELD_LABOR_HOURS)&gt;TEMP_HOURS_CAP),"",$C332+R$6-MIN(($D332+R$5),PERMANENT_FIELD_LABOR_HOURS)*PERMANENT_HOURLY_RATE-MAX(0,($D332+R$5)-PERMANENT_FIELD_LABOR_HOURS)*TEMP_HOURLY_RATE-FIXED_SEASON_COST)</f>
        <v/>
      </c>
      <c r="S332" s="53" t="str">
        <f aca="false">IF(OR($A332&gt;TOMATO_BED_CAP,$B332&gt;CARROT_BED_CAP,S$4&gt;MESCLUN_BED_CAP,$A332+$B332+S$4&gt;TOTAL_BEDS_AVAILABLE,($D332+S$5)&gt;TOTAL_LABOR_HOURS_CAP,MAX(0,($D332+S$5)-PERMANENT_FIELD_LABOR_HOURS)&gt;TEMP_HOURS_CAP),"",$C332+S$6-MIN(($D332+S$5),PERMANENT_FIELD_LABOR_HOURS)*PERMANENT_HOURLY_RATE-MAX(0,($D332+S$5)-PERMANENT_FIELD_LABOR_HOURS)*TEMP_HOURLY_RATE-FIXED_SEASON_COST)</f>
        <v/>
      </c>
      <c r="T332" s="53" t="str">
        <f aca="false">IF(OR($A332&gt;TOMATO_BED_CAP,$B332&gt;CARROT_BED_CAP,T$4&gt;MESCLUN_BED_CAP,$A332+$B332+T$4&gt;TOTAL_BEDS_AVAILABLE,($D332+T$5)&gt;TOTAL_LABOR_HOURS_CAP,MAX(0,($D332+T$5)-PERMANENT_FIELD_LABOR_HOURS)&gt;TEMP_HOURS_CAP),"",$C332+T$6-MIN(($D332+T$5),PERMANENT_FIELD_LABOR_HOURS)*PERMANENT_HOURLY_RATE-MAX(0,($D332+T$5)-PERMANENT_FIELD_LABOR_HOURS)*TEMP_HOURLY_RATE-FIXED_SEASON_COST)</f>
        <v/>
      </c>
      <c r="U332" s="53" t="str">
        <f aca="false">IF(OR($A332&gt;TOMATO_BED_CAP,$B332&gt;CARROT_BED_CAP,U$4&gt;MESCLUN_BED_CAP,$A332+$B332+U$4&gt;TOTAL_BEDS_AVAILABLE,($D332+U$5)&gt;TOTAL_LABOR_HOURS_CAP,MAX(0,($D332+U$5)-PERMANENT_FIELD_LABOR_HOURS)&gt;TEMP_HOURS_CAP),"",$C332+U$6-MIN(($D332+U$5),PERMANENT_FIELD_LABOR_HOURS)*PERMANENT_HOURLY_RATE-MAX(0,($D332+U$5)-PERMANENT_FIELD_LABOR_HOURS)*TEMP_HOURLY_RATE-FIXED_SEASON_COST)</f>
        <v/>
      </c>
      <c r="V332" s="53" t="str">
        <f aca="false">IF(OR($A332&gt;TOMATO_BED_CAP,$B332&gt;CARROT_BED_CAP,V$4&gt;MESCLUN_BED_CAP,$A332+$B332+V$4&gt;TOTAL_BEDS_AVAILABLE,($D332+V$5)&gt;TOTAL_LABOR_HOURS_CAP,MAX(0,($D332+V$5)-PERMANENT_FIELD_LABOR_HOURS)&gt;TEMP_HOURS_CAP),"",$C332+V$6-MIN(($D332+V$5),PERMANENT_FIELD_LABOR_HOURS)*PERMANENT_HOURLY_RATE-MAX(0,($D332+V$5)-PERMANENT_FIELD_LABOR_HOURS)*TEMP_HOURLY_RATE-FIXED_SEASON_COST)</f>
        <v/>
      </c>
      <c r="W332" s="53" t="str">
        <f aca="false">IF(OR($A332&gt;TOMATO_BED_CAP,$B332&gt;CARROT_BED_CAP,W$4&gt;MESCLUN_BED_CAP,$A332+$B332+W$4&gt;TOTAL_BEDS_AVAILABLE,($D332+W$5)&gt;TOTAL_LABOR_HOURS_CAP,MAX(0,($D332+W$5)-PERMANENT_FIELD_LABOR_HOURS)&gt;TEMP_HOURS_CAP),"",$C332+W$6-MIN(($D332+W$5),PERMANENT_FIELD_LABOR_HOURS)*PERMANENT_HOURLY_RATE-MAX(0,($D332+W$5)-PERMANENT_FIELD_LABOR_HOURS)*TEMP_HOURLY_RATE-FIXED_SEASON_COST)</f>
        <v/>
      </c>
      <c r="X332" s="53" t="str">
        <f aca="false">IF(OR($A332&gt;TOMATO_BED_CAP,$B332&gt;CARROT_BED_CAP,X$4&gt;MESCLUN_BED_CAP,$A332+$B332+X$4&gt;TOTAL_BEDS_AVAILABLE,($D332+X$5)&gt;TOTAL_LABOR_HOURS_CAP,MAX(0,($D332+X$5)-PERMANENT_FIELD_LABOR_HOURS)&gt;TEMP_HOURS_CAP),"",$C332+X$6-MIN(($D332+X$5),PERMANENT_FIELD_LABOR_HOURS)*PERMANENT_HOURLY_RATE-MAX(0,($D332+X$5)-PERMANENT_FIELD_LABOR_HOURS)*TEMP_HOURLY_RATE-FIXED_SEASON_COST)</f>
        <v/>
      </c>
      <c r="Y332" s="53" t="str">
        <f aca="false">IF(OR($A332&gt;TOMATO_BED_CAP,$B332&gt;CARROT_BED_CAP,Y$4&gt;MESCLUN_BED_CAP,$A332+$B332+Y$4&gt;TOTAL_BEDS_AVAILABLE,($D332+Y$5)&gt;TOTAL_LABOR_HOURS_CAP,MAX(0,($D332+Y$5)-PERMANENT_FIELD_LABOR_HOURS)&gt;TEMP_HOURS_CAP),"",$C332+Y$6-MIN(($D332+Y$5),PERMANENT_FIELD_LABOR_HOURS)*PERMANENT_HOURLY_RATE-MAX(0,($D332+Y$5)-PERMANENT_FIELD_LABOR_HOURS)*TEMP_HOURLY_RATE-FIXED_SEASON_COST)</f>
        <v/>
      </c>
      <c r="Z332" s="53" t="str">
        <f aca="false">IF(OR($A332&gt;TOMATO_BED_CAP,$B332&gt;CARROT_BED_CAP,Z$4&gt;MESCLUN_BED_CAP,$A332+$B332+Z$4&gt;TOTAL_BEDS_AVAILABLE,($D332+Z$5)&gt;TOTAL_LABOR_HOURS_CAP,MAX(0,($D332+Z$5)-PERMANENT_FIELD_LABOR_HOURS)&gt;TEMP_HOURS_CAP),"",$C332+Z$6-MIN(($D332+Z$5),PERMANENT_FIELD_LABOR_HOURS)*PERMANENT_HOURLY_RATE-MAX(0,($D332+Z$5)-PERMANENT_FIELD_LABOR_HOURS)*TEMP_HOURLY_RATE-FIXED_SEASON_COST)</f>
        <v/>
      </c>
      <c r="AA332" s="53" t="str">
        <f aca="false">IF(OR($A332&gt;TOMATO_BED_CAP,$B332&gt;CARROT_BED_CAP,AA$4&gt;MESCLUN_BED_CAP,$A332+$B332+AA$4&gt;TOTAL_BEDS_AVAILABLE,($D332+AA$5)&gt;TOTAL_LABOR_HOURS_CAP,MAX(0,($D332+AA$5)-PERMANENT_FIELD_LABOR_HOURS)&gt;TEMP_HOURS_CAP),"",$C332+AA$6-MIN(($D332+AA$5),PERMANENT_FIELD_LABOR_HOURS)*PERMANENT_HOURLY_RATE-MAX(0,($D332+AA$5)-PERMANENT_FIELD_LABOR_HOURS)*TEMP_HOURLY_RATE-FIXED_SEASON_COST)</f>
        <v/>
      </c>
      <c r="AB332" s="53" t="str">
        <f aca="false">IF(OR($A332&gt;TOMATO_BED_CAP,$B332&gt;CARROT_BED_CAP,AB$4&gt;MESCLUN_BED_CAP,$A332+$B332+AB$4&gt;TOTAL_BEDS_AVAILABLE,($D332+AB$5)&gt;TOTAL_LABOR_HOURS_CAP,MAX(0,($D332+AB$5)-PERMANENT_FIELD_LABOR_HOURS)&gt;TEMP_HOURS_CAP),"",$C332+AB$6-MIN(($D332+AB$5),PERMANENT_FIELD_LABOR_HOURS)*PERMANENT_HOURLY_RATE-MAX(0,($D332+AB$5)-PERMANENT_FIELD_LABOR_HOURS)*TEMP_HOURLY_RATE-FIXED_SEASON_COST)</f>
        <v/>
      </c>
      <c r="AC332" s="53" t="str">
        <f aca="false">IF(OR($A332&gt;TOMATO_BED_CAP,$B332&gt;CARROT_BED_CAP,AC$4&gt;MESCLUN_BED_CAP,$A332+$B332+AC$4&gt;TOTAL_BEDS_AVAILABLE,($D332+AC$5)&gt;TOTAL_LABOR_HOURS_CAP,MAX(0,($D332+AC$5)-PERMANENT_FIELD_LABOR_HOURS)&gt;TEMP_HOURS_CAP),"",$C332+AC$6-MIN(($D332+AC$5),PERMANENT_FIELD_LABOR_HOURS)*PERMANENT_HOURLY_RATE-MAX(0,($D332+AC$5)-PERMANENT_FIELD_LABOR_HOURS)*TEMP_HOURLY_RATE-FIXED_SEASON_COST)</f>
        <v/>
      </c>
      <c r="AD332" s="53" t="str">
        <f aca="false">IF(OR($A332&gt;TOMATO_BED_CAP,$B332&gt;CARROT_BED_CAP,AD$4&gt;MESCLUN_BED_CAP,$A332+$B332+AD$4&gt;TOTAL_BEDS_AVAILABLE,($D332+AD$5)&gt;TOTAL_LABOR_HOURS_CAP,MAX(0,($D332+AD$5)-PERMANENT_FIELD_LABOR_HOURS)&gt;TEMP_HOURS_CAP),"",$C332+AD$6-MIN(($D332+AD$5),PERMANENT_FIELD_LABOR_HOURS)*PERMANENT_HOURLY_RATE-MAX(0,($D332+AD$5)-PERMANENT_FIELD_LABOR_HOURS)*TEMP_HOURLY_RATE-FIXED_SEASON_COST)</f>
        <v/>
      </c>
      <c r="AE332" s="53" t="str">
        <f aca="false">IF(OR($A332&gt;TOMATO_BED_CAP,$B332&gt;CARROT_BED_CAP,AE$4&gt;MESCLUN_BED_CAP,$A332+$B332+AE$4&gt;TOTAL_BEDS_AVAILABLE,($D332+AE$5)&gt;TOTAL_LABOR_HOURS_CAP,MAX(0,($D332+AE$5)-PERMANENT_FIELD_LABOR_HOURS)&gt;TEMP_HOURS_CAP),"",$C332+AE$6-MIN(($D332+AE$5),PERMANENT_FIELD_LABOR_HOURS)*PERMANENT_HOURLY_RATE-MAX(0,($D332+AE$5)-PERMANENT_FIELD_LABOR_HOURS)*TEMP_HOURLY_RATE-FIXED_SEASON_COST)</f>
        <v/>
      </c>
      <c r="AF332" s="53" t="str">
        <f aca="false">IF(OR($A332&gt;TOMATO_BED_CAP,$B332&gt;CARROT_BED_CAP,AF$4&gt;MESCLUN_BED_CAP,$A332+$B332+AF$4&gt;TOTAL_BEDS_AVAILABLE,($D332+AF$5)&gt;TOTAL_LABOR_HOURS_CAP,MAX(0,($D332+AF$5)-PERMANENT_FIELD_LABOR_HOURS)&gt;TEMP_HOURS_CAP),"",$C332+AF$6-MIN(($D332+AF$5),PERMANENT_FIELD_LABOR_HOURS)*PERMANENT_HOURLY_RATE-MAX(0,($D332+AF$5)-PERMANENT_FIELD_LABOR_HOURS)*TEMP_HOURLY_RATE-FIXED_SEASON_COST)</f>
        <v/>
      </c>
      <c r="AG332" s="53" t="str">
        <f aca="false">IF(OR($A332&gt;TOMATO_BED_CAP,$B332&gt;CARROT_BED_CAP,AG$4&gt;MESCLUN_BED_CAP,$A332+$B332+AG$4&gt;TOTAL_BEDS_AVAILABLE,($D332+AG$5)&gt;TOTAL_LABOR_HOURS_CAP,MAX(0,($D332+AG$5)-PERMANENT_FIELD_LABOR_HOURS)&gt;TEMP_HOURS_CAP),"",$C332+AG$6-MIN(($D332+AG$5),PERMANENT_FIELD_LABOR_HOURS)*PERMANENT_HOURLY_RATE-MAX(0,($D332+AG$5)-PERMANENT_FIELD_LABOR_HOURS)*TEMP_HOURLY_RATE-FIXED_SEASON_COST)</f>
        <v/>
      </c>
      <c r="AH332" s="53" t="str">
        <f aca="false">IF(OR($A332&gt;TOMATO_BED_CAP,$B332&gt;CARROT_BED_CAP,AH$4&gt;MESCLUN_BED_CAP,$A332+$B332+AH$4&gt;TOTAL_BEDS_AVAILABLE,($D332+AH$5)&gt;TOTAL_LABOR_HOURS_CAP,MAX(0,($D332+AH$5)-PERMANENT_FIELD_LABOR_HOURS)&gt;TEMP_HOURS_CAP),"",$C332+AH$6-MIN(($D332+AH$5),PERMANENT_FIELD_LABOR_HOURS)*PERMANENT_HOURLY_RATE-MAX(0,($D332+AH$5)-PERMANENT_FIELD_LABOR_HOURS)*TEMP_HOURLY_RATE-FIXED_SEASON_COST)</f>
        <v/>
      </c>
      <c r="AI332" s="53" t="str">
        <f aca="false">IF(OR($A332&gt;TOMATO_BED_CAP,$B332&gt;CARROT_BED_CAP,AI$4&gt;MESCLUN_BED_CAP,$A332+$B332+AI$4&gt;TOTAL_BEDS_AVAILABLE,($D332+AI$5)&gt;TOTAL_LABOR_HOURS_CAP,MAX(0,($D332+AI$5)-PERMANENT_FIELD_LABOR_HOURS)&gt;TEMP_HOURS_CAP),"",$C332+AI$6-MIN(($D332+AI$5),PERMANENT_FIELD_LABOR_HOURS)*PERMANENT_HOURLY_RATE-MAX(0,($D332+AI$5)-PERMANENT_FIELD_LABOR_HOURS)*TEMP_HOURLY_RATE-FIXED_SEASON_COST)</f>
        <v/>
      </c>
      <c r="AJ332" s="53" t="str">
        <f aca="false">IF(OR($A332&gt;TOMATO_BED_CAP,$B332&gt;CARROT_BED_CAP,AJ$4&gt;MESCLUN_BED_CAP,$A332+$B332+AJ$4&gt;TOTAL_BEDS_AVAILABLE,($D332+AJ$5)&gt;TOTAL_LABOR_HOURS_CAP,MAX(0,($D332+AJ$5)-PERMANENT_FIELD_LABOR_HOURS)&gt;TEMP_HOURS_CAP),"",$C332+AJ$6-MIN(($D332+AJ$5),PERMANENT_FIELD_LABOR_HOURS)*PERMANENT_HOURLY_RATE-MAX(0,($D332+AJ$5)-PERMANENT_FIELD_LABOR_HOURS)*TEMP_HOURLY_RATE-FIXED_SEASON_COST)</f>
        <v/>
      </c>
    </row>
    <row r="333" customFormat="false" ht="15" hidden="false" customHeight="false" outlineLevel="0" collapsed="false">
      <c r="A333" s="21" t="n">
        <f aca="false">INT((ROW()-ROW($A$8))/(20+1))</f>
        <v>15</v>
      </c>
      <c r="B333" s="21" t="n">
        <f aca="false">MOD(ROW()-ROW($A$8),20+1)</f>
        <v>10</v>
      </c>
      <c r="C333" s="13" t="n">
        <f aca="false">A333*(TOMATO_REVENUE_PER_BED-TOMATO_FERTILIZER_PER_BED)+B333*(CARROT_REVENUE_PER_BED-CARROT_FERTILIZER_PER_BED)</f>
        <v>135340</v>
      </c>
      <c r="D333" s="14" t="n">
        <f aca="false">INDEX(TOMATO_SCHED_LABOR_HRS,A333+1)+INDEX(CARROT_SCHED_LABOR_HRS,B333+1)</f>
        <v>6023.15678182474</v>
      </c>
      <c r="E333" s="13" t="n">
        <f aca="false">IF(COUNT(F333:AJ333)=0,"",MAX(F333:AJ333))</f>
        <v>6796.30962633393</v>
      </c>
      <c r="F333" s="53" t="n">
        <f aca="false">IF(OR($A333&gt;TOMATO_BED_CAP,$B333&gt;CARROT_BED_CAP,F$4&gt;MESCLUN_BED_CAP,$A333+$B333+F$4&gt;TOTAL_BEDS_AVAILABLE,($D333+F$5)&gt;TOTAL_LABOR_HOURS_CAP,MAX(0,($D333+F$5)-PERMANENT_FIELD_LABOR_HOURS)&gt;TEMP_HOURS_CAP),"",$C333+F$6-MIN(($D333+F$5),PERMANENT_FIELD_LABOR_HOURS)*PERMANENT_HOURLY_RATE-MAX(0,($D333+F$5)-PERMANENT_FIELD_LABOR_HOURS)*TEMP_HOURLY_RATE-FIXED_SEASON_COST)</f>
        <v>-1721.20173247746</v>
      </c>
      <c r="G333" s="53" t="n">
        <f aca="false">IF(OR($A333&gt;TOMATO_BED_CAP,$B333&gt;CARROT_BED_CAP,G$4&gt;MESCLUN_BED_CAP,$A333+$B333+G$4&gt;TOTAL_BEDS_AVAILABLE,($D333+G$5)&gt;TOTAL_LABOR_HOURS_CAP,MAX(0,($D333+G$5)-PERMANENT_FIELD_LABOR_HOURS)&gt;TEMP_HOURS_CAP),"",$C333+G$6-MIN(($D333+G$5),PERMANENT_FIELD_LABOR_HOURS)*PERMANENT_HOURLY_RATE-MAX(0,($D333+G$5)-PERMANENT_FIELD_LABOR_HOURS)*TEMP_HOURLY_RATE-FIXED_SEASON_COST)</f>
        <v>-692.166732477475</v>
      </c>
      <c r="H333" s="53" t="n">
        <f aca="false">IF(OR($A333&gt;TOMATO_BED_CAP,$B333&gt;CARROT_BED_CAP,H$4&gt;MESCLUN_BED_CAP,$A333+$B333+H$4&gt;TOTAL_BEDS_AVAILABLE,($D333+H$5)&gt;TOTAL_LABOR_HOURS_CAP,MAX(0,($D333+H$5)-PERMANENT_FIELD_LABOR_HOURS)&gt;TEMP_HOURS_CAP),"",$C333+H$6-MIN(($D333+H$5),PERMANENT_FIELD_LABOR_HOURS)*PERMANENT_HOURLY_RATE-MAX(0,($D333+H$5)-PERMANENT_FIELD_LABOR_HOURS)*TEMP_HOURLY_RATE-FIXED_SEASON_COST)</f>
        <v>317.094142522532</v>
      </c>
      <c r="I333" s="53" t="n">
        <f aca="false">IF(OR($A333&gt;TOMATO_BED_CAP,$B333&gt;CARROT_BED_CAP,I$4&gt;MESCLUN_BED_CAP,$A333+$B333+I$4&gt;TOTAL_BEDS_AVAILABLE,($D333+I$5)&gt;TOTAL_LABOR_HOURS_CAP,MAX(0,($D333+I$5)-PERMANENT_FIELD_LABOR_HOURS)&gt;TEMP_HOURS_CAP),"",$C333+I$6-MIN(($D333+I$5),PERMANENT_FIELD_LABOR_HOURS)*PERMANENT_HOURLY_RATE-MAX(0,($D333+I$5)-PERMANENT_FIELD_LABOR_HOURS)*TEMP_HOURLY_RATE-FIXED_SEASON_COST)</f>
        <v>1306.21012767877</v>
      </c>
      <c r="J333" s="53" t="n">
        <f aca="false">IF(OR($A333&gt;TOMATO_BED_CAP,$B333&gt;CARROT_BED_CAP,J$4&gt;MESCLUN_BED_CAP,$A333+$B333+J$4&gt;TOTAL_BEDS_AVAILABLE,($D333+J$5)&gt;TOTAL_LABOR_HOURS_CAP,MAX(0,($D333+J$5)-PERMANENT_FIELD_LABOR_HOURS)&gt;TEMP_HOURS_CAP),"",$C333+J$6-MIN(($D333+J$5),PERMANENT_FIELD_LABOR_HOURS)*PERMANENT_HOURLY_RATE-MAX(0,($D333+J$5)-PERMANENT_FIELD_LABOR_HOURS)*TEMP_HOURLY_RATE-FIXED_SEASON_COST)</f>
        <v>2274.80427873347</v>
      </c>
      <c r="K333" s="53" t="n">
        <f aca="false">IF(OR($A333&gt;TOMATO_BED_CAP,$B333&gt;CARROT_BED_CAP,K$4&gt;MESCLUN_BED_CAP,$A333+$B333+K$4&gt;TOTAL_BEDS_AVAILABLE,($D333+K$5)&gt;TOTAL_LABOR_HOURS_CAP,MAX(0,($D333+K$5)-PERMANENT_FIELD_LABOR_HOURS)&gt;TEMP_HOURS_CAP),"",$C333+K$6-MIN(($D333+K$5),PERMANENT_FIELD_LABOR_HOURS)*PERMANENT_HOURLY_RATE-MAX(0,($D333+K$5)-PERMANENT_FIELD_LABOR_HOURS)*TEMP_HOURLY_RATE-FIXED_SEASON_COST)</f>
        <v>3222.49337546137</v>
      </c>
      <c r="L333" s="53" t="n">
        <f aca="false">IF(OR($A333&gt;TOMATO_BED_CAP,$B333&gt;CARROT_BED_CAP,L$4&gt;MESCLUN_BED_CAP,$A333+$B333+L$4&gt;TOTAL_BEDS_AVAILABLE,($D333+L$5)&gt;TOTAL_LABOR_HOURS_CAP,MAX(0,($D333+L$5)-PERMANENT_FIELD_LABOR_HOURS)&gt;TEMP_HOURS_CAP),"",$C333+L$6-MIN(($D333+L$5),PERMANENT_FIELD_LABOR_HOURS)*PERMANENT_HOURLY_RATE-MAX(0,($D333+L$5)-PERMANENT_FIELD_LABOR_HOURS)*TEMP_HOURLY_RATE-FIXED_SEASON_COST)</f>
        <v>4148.88782366822</v>
      </c>
      <c r="M333" s="53" t="n">
        <f aca="false">IF(OR($A333&gt;TOMATO_BED_CAP,$B333&gt;CARROT_BED_CAP,M$4&gt;MESCLUN_BED_CAP,$A333+$B333+M$4&gt;TOTAL_BEDS_AVAILABLE,($D333+M$5)&gt;TOTAL_LABOR_HOURS_CAP,MAX(0,($D333+M$5)-PERMANENT_FIELD_LABOR_HOURS)&gt;TEMP_HOURS_CAP),"",$C333+M$6-MIN(($D333+M$5),PERMANENT_FIELD_LABOR_HOURS)*PERMANENT_HOURLY_RATE-MAX(0,($D333+M$5)-PERMANENT_FIELD_LABOR_HOURS)*TEMP_HOURLY_RATE-FIXED_SEASON_COST)</f>
        <v>5053.59155571963</v>
      </c>
      <c r="N333" s="53" t="n">
        <f aca="false">IF(OR($A333&gt;TOMATO_BED_CAP,$B333&gt;CARROT_BED_CAP,N$4&gt;MESCLUN_BED_CAP,$A333+$B333+N$4&gt;TOTAL_BEDS_AVAILABLE,($D333+N$5)&gt;TOTAL_LABOR_HOURS_CAP,MAX(0,($D333+N$5)-PERMANENT_FIELD_LABOR_HOURS)&gt;TEMP_HOURS_CAP),"",$C333+N$6-MIN(($D333+N$5),PERMANENT_FIELD_LABOR_HOURS)*PERMANENT_HOURLY_RATE-MAX(0,($D333+N$5)-PERMANENT_FIELD_LABOR_HOURS)*TEMP_HOURLY_RATE-FIXED_SEASON_COST)</f>
        <v>5936.20192957918</v>
      </c>
      <c r="O333" s="53" t="n">
        <f aca="false">IF(OR($A333&gt;TOMATO_BED_CAP,$B333&gt;CARROT_BED_CAP,O$4&gt;MESCLUN_BED_CAP,$A333+$B333+O$4&gt;TOTAL_BEDS_AVAILABLE,($D333+O$5)&gt;TOTAL_LABOR_HOURS_CAP,MAX(0,($D333+O$5)-PERMANENT_FIELD_LABOR_HOURS)&gt;TEMP_HOURS_CAP),"",$C333+O$6-MIN(($D333+O$5),PERMANENT_FIELD_LABOR_HOURS)*PERMANENT_HOURLY_RATE-MAX(0,($D333+O$5)-PERMANENT_FIELD_LABOR_HOURS)*TEMP_HOURLY_RATE-FIXED_SEASON_COST)</f>
        <v>6796.30962633393</v>
      </c>
      <c r="P333" s="53" t="str">
        <f aca="false">IF(OR($A333&gt;TOMATO_BED_CAP,$B333&gt;CARROT_BED_CAP,P$4&gt;MESCLUN_BED_CAP,$A333+$B333+P$4&gt;TOTAL_BEDS_AVAILABLE,($D333+P$5)&gt;TOTAL_LABOR_HOURS_CAP,MAX(0,($D333+P$5)-PERMANENT_FIELD_LABOR_HOURS)&gt;TEMP_HOURS_CAP),"",$C333+P$6-MIN(($D333+P$5),PERMANENT_FIELD_LABOR_HOURS)*PERMANENT_HOURLY_RATE-MAX(0,($D333+P$5)-PERMANENT_FIELD_LABOR_HOURS)*TEMP_HOURLY_RATE-FIXED_SEASON_COST)</f>
        <v/>
      </c>
      <c r="Q333" s="53" t="str">
        <f aca="false">IF(OR($A333&gt;TOMATO_BED_CAP,$B333&gt;CARROT_BED_CAP,Q$4&gt;MESCLUN_BED_CAP,$A333+$B333+Q$4&gt;TOTAL_BEDS_AVAILABLE,($D333+Q$5)&gt;TOTAL_LABOR_HOURS_CAP,MAX(0,($D333+Q$5)-PERMANENT_FIELD_LABOR_HOURS)&gt;TEMP_HOURS_CAP),"",$C333+Q$6-MIN(($D333+Q$5),PERMANENT_FIELD_LABOR_HOURS)*PERMANENT_HOURLY_RATE-MAX(0,($D333+Q$5)-PERMANENT_FIELD_LABOR_HOURS)*TEMP_HOURLY_RATE-FIXED_SEASON_COST)</f>
        <v/>
      </c>
      <c r="R333" s="53" t="str">
        <f aca="false">IF(OR($A333&gt;TOMATO_BED_CAP,$B333&gt;CARROT_BED_CAP,R$4&gt;MESCLUN_BED_CAP,$A333+$B333+R$4&gt;TOTAL_BEDS_AVAILABLE,($D333+R$5)&gt;TOTAL_LABOR_HOURS_CAP,MAX(0,($D333+R$5)-PERMANENT_FIELD_LABOR_HOURS)&gt;TEMP_HOURS_CAP),"",$C333+R$6-MIN(($D333+R$5),PERMANENT_FIELD_LABOR_HOURS)*PERMANENT_HOURLY_RATE-MAX(0,($D333+R$5)-PERMANENT_FIELD_LABOR_HOURS)*TEMP_HOURLY_RATE-FIXED_SEASON_COST)</f>
        <v/>
      </c>
      <c r="S333" s="53" t="str">
        <f aca="false">IF(OR($A333&gt;TOMATO_BED_CAP,$B333&gt;CARROT_BED_CAP,S$4&gt;MESCLUN_BED_CAP,$A333+$B333+S$4&gt;TOTAL_BEDS_AVAILABLE,($D333+S$5)&gt;TOTAL_LABOR_HOURS_CAP,MAX(0,($D333+S$5)-PERMANENT_FIELD_LABOR_HOURS)&gt;TEMP_HOURS_CAP),"",$C333+S$6-MIN(($D333+S$5),PERMANENT_FIELD_LABOR_HOURS)*PERMANENT_HOURLY_RATE-MAX(0,($D333+S$5)-PERMANENT_FIELD_LABOR_HOURS)*TEMP_HOURLY_RATE-FIXED_SEASON_COST)</f>
        <v/>
      </c>
      <c r="T333" s="53" t="str">
        <f aca="false">IF(OR($A333&gt;TOMATO_BED_CAP,$B333&gt;CARROT_BED_CAP,T$4&gt;MESCLUN_BED_CAP,$A333+$B333+T$4&gt;TOTAL_BEDS_AVAILABLE,($D333+T$5)&gt;TOTAL_LABOR_HOURS_CAP,MAX(0,($D333+T$5)-PERMANENT_FIELD_LABOR_HOURS)&gt;TEMP_HOURS_CAP),"",$C333+T$6-MIN(($D333+T$5),PERMANENT_FIELD_LABOR_HOURS)*PERMANENT_HOURLY_RATE-MAX(0,($D333+T$5)-PERMANENT_FIELD_LABOR_HOURS)*TEMP_HOURLY_RATE-FIXED_SEASON_COST)</f>
        <v/>
      </c>
      <c r="U333" s="53" t="str">
        <f aca="false">IF(OR($A333&gt;TOMATO_BED_CAP,$B333&gt;CARROT_BED_CAP,U$4&gt;MESCLUN_BED_CAP,$A333+$B333+U$4&gt;TOTAL_BEDS_AVAILABLE,($D333+U$5)&gt;TOTAL_LABOR_HOURS_CAP,MAX(0,($D333+U$5)-PERMANENT_FIELD_LABOR_HOURS)&gt;TEMP_HOURS_CAP),"",$C333+U$6-MIN(($D333+U$5),PERMANENT_FIELD_LABOR_HOURS)*PERMANENT_HOURLY_RATE-MAX(0,($D333+U$5)-PERMANENT_FIELD_LABOR_HOURS)*TEMP_HOURLY_RATE-FIXED_SEASON_COST)</f>
        <v/>
      </c>
      <c r="V333" s="53" t="str">
        <f aca="false">IF(OR($A333&gt;TOMATO_BED_CAP,$B333&gt;CARROT_BED_CAP,V$4&gt;MESCLUN_BED_CAP,$A333+$B333+V$4&gt;TOTAL_BEDS_AVAILABLE,($D333+V$5)&gt;TOTAL_LABOR_HOURS_CAP,MAX(0,($D333+V$5)-PERMANENT_FIELD_LABOR_HOURS)&gt;TEMP_HOURS_CAP),"",$C333+V$6-MIN(($D333+V$5),PERMANENT_FIELD_LABOR_HOURS)*PERMANENT_HOURLY_RATE-MAX(0,($D333+V$5)-PERMANENT_FIELD_LABOR_HOURS)*TEMP_HOURLY_RATE-FIXED_SEASON_COST)</f>
        <v/>
      </c>
      <c r="W333" s="53" t="str">
        <f aca="false">IF(OR($A333&gt;TOMATO_BED_CAP,$B333&gt;CARROT_BED_CAP,W$4&gt;MESCLUN_BED_CAP,$A333+$B333+W$4&gt;TOTAL_BEDS_AVAILABLE,($D333+W$5)&gt;TOTAL_LABOR_HOURS_CAP,MAX(0,($D333+W$5)-PERMANENT_FIELD_LABOR_HOURS)&gt;TEMP_HOURS_CAP),"",$C333+W$6-MIN(($D333+W$5),PERMANENT_FIELD_LABOR_HOURS)*PERMANENT_HOURLY_RATE-MAX(0,($D333+W$5)-PERMANENT_FIELD_LABOR_HOURS)*TEMP_HOURLY_RATE-FIXED_SEASON_COST)</f>
        <v/>
      </c>
      <c r="X333" s="53" t="str">
        <f aca="false">IF(OR($A333&gt;TOMATO_BED_CAP,$B333&gt;CARROT_BED_CAP,X$4&gt;MESCLUN_BED_CAP,$A333+$B333+X$4&gt;TOTAL_BEDS_AVAILABLE,($D333+X$5)&gt;TOTAL_LABOR_HOURS_CAP,MAX(0,($D333+X$5)-PERMANENT_FIELD_LABOR_HOURS)&gt;TEMP_HOURS_CAP),"",$C333+X$6-MIN(($D333+X$5),PERMANENT_FIELD_LABOR_HOURS)*PERMANENT_HOURLY_RATE-MAX(0,($D333+X$5)-PERMANENT_FIELD_LABOR_HOURS)*TEMP_HOURLY_RATE-FIXED_SEASON_COST)</f>
        <v/>
      </c>
      <c r="Y333" s="53" t="str">
        <f aca="false">IF(OR($A333&gt;TOMATO_BED_CAP,$B333&gt;CARROT_BED_CAP,Y$4&gt;MESCLUN_BED_CAP,$A333+$B333+Y$4&gt;TOTAL_BEDS_AVAILABLE,($D333+Y$5)&gt;TOTAL_LABOR_HOURS_CAP,MAX(0,($D333+Y$5)-PERMANENT_FIELD_LABOR_HOURS)&gt;TEMP_HOURS_CAP),"",$C333+Y$6-MIN(($D333+Y$5),PERMANENT_FIELD_LABOR_HOURS)*PERMANENT_HOURLY_RATE-MAX(0,($D333+Y$5)-PERMANENT_FIELD_LABOR_HOURS)*TEMP_HOURLY_RATE-FIXED_SEASON_COST)</f>
        <v/>
      </c>
      <c r="Z333" s="53" t="str">
        <f aca="false">IF(OR($A333&gt;TOMATO_BED_CAP,$B333&gt;CARROT_BED_CAP,Z$4&gt;MESCLUN_BED_CAP,$A333+$B333+Z$4&gt;TOTAL_BEDS_AVAILABLE,($D333+Z$5)&gt;TOTAL_LABOR_HOURS_CAP,MAX(0,($D333+Z$5)-PERMANENT_FIELD_LABOR_HOURS)&gt;TEMP_HOURS_CAP),"",$C333+Z$6-MIN(($D333+Z$5),PERMANENT_FIELD_LABOR_HOURS)*PERMANENT_HOURLY_RATE-MAX(0,($D333+Z$5)-PERMANENT_FIELD_LABOR_HOURS)*TEMP_HOURLY_RATE-FIXED_SEASON_COST)</f>
        <v/>
      </c>
      <c r="AA333" s="53" t="str">
        <f aca="false">IF(OR($A333&gt;TOMATO_BED_CAP,$B333&gt;CARROT_BED_CAP,AA$4&gt;MESCLUN_BED_CAP,$A333+$B333+AA$4&gt;TOTAL_BEDS_AVAILABLE,($D333+AA$5)&gt;TOTAL_LABOR_HOURS_CAP,MAX(0,($D333+AA$5)-PERMANENT_FIELD_LABOR_HOURS)&gt;TEMP_HOURS_CAP),"",$C333+AA$6-MIN(($D333+AA$5),PERMANENT_FIELD_LABOR_HOURS)*PERMANENT_HOURLY_RATE-MAX(0,($D333+AA$5)-PERMANENT_FIELD_LABOR_HOURS)*TEMP_HOURLY_RATE-FIXED_SEASON_COST)</f>
        <v/>
      </c>
      <c r="AB333" s="53" t="str">
        <f aca="false">IF(OR($A333&gt;TOMATO_BED_CAP,$B333&gt;CARROT_BED_CAP,AB$4&gt;MESCLUN_BED_CAP,$A333+$B333+AB$4&gt;TOTAL_BEDS_AVAILABLE,($D333+AB$5)&gt;TOTAL_LABOR_HOURS_CAP,MAX(0,($D333+AB$5)-PERMANENT_FIELD_LABOR_HOURS)&gt;TEMP_HOURS_CAP),"",$C333+AB$6-MIN(($D333+AB$5),PERMANENT_FIELD_LABOR_HOURS)*PERMANENT_HOURLY_RATE-MAX(0,($D333+AB$5)-PERMANENT_FIELD_LABOR_HOURS)*TEMP_HOURLY_RATE-FIXED_SEASON_COST)</f>
        <v/>
      </c>
      <c r="AC333" s="53" t="str">
        <f aca="false">IF(OR($A333&gt;TOMATO_BED_CAP,$B333&gt;CARROT_BED_CAP,AC$4&gt;MESCLUN_BED_CAP,$A333+$B333+AC$4&gt;TOTAL_BEDS_AVAILABLE,($D333+AC$5)&gt;TOTAL_LABOR_HOURS_CAP,MAX(0,($D333+AC$5)-PERMANENT_FIELD_LABOR_HOURS)&gt;TEMP_HOURS_CAP),"",$C333+AC$6-MIN(($D333+AC$5),PERMANENT_FIELD_LABOR_HOURS)*PERMANENT_HOURLY_RATE-MAX(0,($D333+AC$5)-PERMANENT_FIELD_LABOR_HOURS)*TEMP_HOURLY_RATE-FIXED_SEASON_COST)</f>
        <v/>
      </c>
      <c r="AD333" s="53" t="str">
        <f aca="false">IF(OR($A333&gt;TOMATO_BED_CAP,$B333&gt;CARROT_BED_CAP,AD$4&gt;MESCLUN_BED_CAP,$A333+$B333+AD$4&gt;TOTAL_BEDS_AVAILABLE,($D333+AD$5)&gt;TOTAL_LABOR_HOURS_CAP,MAX(0,($D333+AD$5)-PERMANENT_FIELD_LABOR_HOURS)&gt;TEMP_HOURS_CAP),"",$C333+AD$6-MIN(($D333+AD$5),PERMANENT_FIELD_LABOR_HOURS)*PERMANENT_HOURLY_RATE-MAX(0,($D333+AD$5)-PERMANENT_FIELD_LABOR_HOURS)*TEMP_HOURLY_RATE-FIXED_SEASON_COST)</f>
        <v/>
      </c>
      <c r="AE333" s="53" t="str">
        <f aca="false">IF(OR($A333&gt;TOMATO_BED_CAP,$B333&gt;CARROT_BED_CAP,AE$4&gt;MESCLUN_BED_CAP,$A333+$B333+AE$4&gt;TOTAL_BEDS_AVAILABLE,($D333+AE$5)&gt;TOTAL_LABOR_HOURS_CAP,MAX(0,($D333+AE$5)-PERMANENT_FIELD_LABOR_HOURS)&gt;TEMP_HOURS_CAP),"",$C333+AE$6-MIN(($D333+AE$5),PERMANENT_FIELD_LABOR_HOURS)*PERMANENT_HOURLY_RATE-MAX(0,($D333+AE$5)-PERMANENT_FIELD_LABOR_HOURS)*TEMP_HOURLY_RATE-FIXED_SEASON_COST)</f>
        <v/>
      </c>
      <c r="AF333" s="53" t="str">
        <f aca="false">IF(OR($A333&gt;TOMATO_BED_CAP,$B333&gt;CARROT_BED_CAP,AF$4&gt;MESCLUN_BED_CAP,$A333+$B333+AF$4&gt;TOTAL_BEDS_AVAILABLE,($D333+AF$5)&gt;TOTAL_LABOR_HOURS_CAP,MAX(0,($D333+AF$5)-PERMANENT_FIELD_LABOR_HOURS)&gt;TEMP_HOURS_CAP),"",$C333+AF$6-MIN(($D333+AF$5),PERMANENT_FIELD_LABOR_HOURS)*PERMANENT_HOURLY_RATE-MAX(0,($D333+AF$5)-PERMANENT_FIELD_LABOR_HOURS)*TEMP_HOURLY_RATE-FIXED_SEASON_COST)</f>
        <v/>
      </c>
      <c r="AG333" s="53" t="str">
        <f aca="false">IF(OR($A333&gt;TOMATO_BED_CAP,$B333&gt;CARROT_BED_CAP,AG$4&gt;MESCLUN_BED_CAP,$A333+$B333+AG$4&gt;TOTAL_BEDS_AVAILABLE,($D333+AG$5)&gt;TOTAL_LABOR_HOURS_CAP,MAX(0,($D333+AG$5)-PERMANENT_FIELD_LABOR_HOURS)&gt;TEMP_HOURS_CAP),"",$C333+AG$6-MIN(($D333+AG$5),PERMANENT_FIELD_LABOR_HOURS)*PERMANENT_HOURLY_RATE-MAX(0,($D333+AG$5)-PERMANENT_FIELD_LABOR_HOURS)*TEMP_HOURLY_RATE-FIXED_SEASON_COST)</f>
        <v/>
      </c>
      <c r="AH333" s="53" t="str">
        <f aca="false">IF(OR($A333&gt;TOMATO_BED_CAP,$B333&gt;CARROT_BED_CAP,AH$4&gt;MESCLUN_BED_CAP,$A333+$B333+AH$4&gt;TOTAL_BEDS_AVAILABLE,($D333+AH$5)&gt;TOTAL_LABOR_HOURS_CAP,MAX(0,($D333+AH$5)-PERMANENT_FIELD_LABOR_HOURS)&gt;TEMP_HOURS_CAP),"",$C333+AH$6-MIN(($D333+AH$5),PERMANENT_FIELD_LABOR_HOURS)*PERMANENT_HOURLY_RATE-MAX(0,($D333+AH$5)-PERMANENT_FIELD_LABOR_HOURS)*TEMP_HOURLY_RATE-FIXED_SEASON_COST)</f>
        <v/>
      </c>
      <c r="AI333" s="53" t="str">
        <f aca="false">IF(OR($A333&gt;TOMATO_BED_CAP,$B333&gt;CARROT_BED_CAP,AI$4&gt;MESCLUN_BED_CAP,$A333+$B333+AI$4&gt;TOTAL_BEDS_AVAILABLE,($D333+AI$5)&gt;TOTAL_LABOR_HOURS_CAP,MAX(0,($D333+AI$5)-PERMANENT_FIELD_LABOR_HOURS)&gt;TEMP_HOURS_CAP),"",$C333+AI$6-MIN(($D333+AI$5),PERMANENT_FIELD_LABOR_HOURS)*PERMANENT_HOURLY_RATE-MAX(0,($D333+AI$5)-PERMANENT_FIELD_LABOR_HOURS)*TEMP_HOURLY_RATE-FIXED_SEASON_COST)</f>
        <v/>
      </c>
      <c r="AJ333" s="53" t="str">
        <f aca="false">IF(OR($A333&gt;TOMATO_BED_CAP,$B333&gt;CARROT_BED_CAP,AJ$4&gt;MESCLUN_BED_CAP,$A333+$B333+AJ$4&gt;TOTAL_BEDS_AVAILABLE,($D333+AJ$5)&gt;TOTAL_LABOR_HOURS_CAP,MAX(0,($D333+AJ$5)-PERMANENT_FIELD_LABOR_HOURS)&gt;TEMP_HOURS_CAP),"",$C333+AJ$6-MIN(($D333+AJ$5),PERMANENT_FIELD_LABOR_HOURS)*PERMANENT_HOURLY_RATE-MAX(0,($D333+AJ$5)-PERMANENT_FIELD_LABOR_HOURS)*TEMP_HOURLY_RATE-FIXED_SEASON_COST)</f>
        <v/>
      </c>
    </row>
    <row r="334" customFormat="false" ht="15" hidden="false" customHeight="false" outlineLevel="0" collapsed="false">
      <c r="A334" s="21" t="n">
        <f aca="false">INT((ROW()-ROW($A$8))/(20+1))</f>
        <v>15</v>
      </c>
      <c r="B334" s="21" t="n">
        <f aca="false">MOD(ROW()-ROW($A$8),20+1)</f>
        <v>11</v>
      </c>
      <c r="C334" s="13" t="n">
        <f aca="false">A334*(TOMATO_REVENUE_PER_BED-TOMATO_FERTILIZER_PER_BED)+B334*(CARROT_REVENUE_PER_BED-CARROT_FERTILIZER_PER_BED)</f>
        <v>136994</v>
      </c>
      <c r="D334" s="14" t="n">
        <f aca="false">INDEX(TOMATO_SCHED_LABOR_HRS,A334+1)+INDEX(CARROT_SCHED_LABOR_HRS,B334+1)</f>
        <v>6072.10043034672</v>
      </c>
      <c r="E334" s="13" t="n">
        <f aca="false">IF(COUNT(F334:AJ334)=0,"",MAX(F334:AJ334))</f>
        <v>6740.54019123754</v>
      </c>
      <c r="F334" s="53" t="n">
        <f aca="false">IF(OR($A334&gt;TOMATO_BED_CAP,$B334&gt;CARROT_BED_CAP,F$4&gt;MESCLUN_BED_CAP,$A334+$B334+F$4&gt;TOTAL_BEDS_AVAILABLE,($D334+F$5)&gt;TOTAL_LABOR_HOURS_CAP,MAX(0,($D334+F$5)-PERMANENT_FIELD_LABOR_HOURS)&gt;TEMP_HOURS_CAP),"",$C334+F$6-MIN(($D334+F$5),PERMANENT_FIELD_LABOR_HOURS)*PERMANENT_HOURLY_RATE-MAX(0,($D334+F$5)-PERMANENT_FIELD_LABOR_HOURS)*TEMP_HOURLY_RATE-FIXED_SEASON_COST)</f>
        <v>-916.863470819109</v>
      </c>
      <c r="G334" s="53" t="n">
        <f aca="false">IF(OR($A334&gt;TOMATO_BED_CAP,$B334&gt;CARROT_BED_CAP,G$4&gt;MESCLUN_BED_CAP,$A334+$B334+G$4&gt;TOTAL_BEDS_AVAILABLE,($D334+G$5)&gt;TOTAL_LABOR_HOURS_CAP,MAX(0,($D334+G$5)-PERMANENT_FIELD_LABOR_HOURS)&gt;TEMP_HOURS_CAP),"",$C334+G$6-MIN(($D334+G$5),PERMANENT_FIELD_LABOR_HOURS)*PERMANENT_HOURLY_RATE-MAX(0,($D334+G$5)-PERMANENT_FIELD_LABOR_HOURS)*TEMP_HOURLY_RATE-FIXED_SEASON_COST)</f>
        <v>112.171529180894</v>
      </c>
      <c r="H334" s="53" t="n">
        <f aca="false">IF(OR($A334&gt;TOMATO_BED_CAP,$B334&gt;CARROT_BED_CAP,H$4&gt;MESCLUN_BED_CAP,$A334+$B334+H$4&gt;TOTAL_BEDS_AVAILABLE,($D334+H$5)&gt;TOTAL_LABOR_HOURS_CAP,MAX(0,($D334+H$5)-PERMANENT_FIELD_LABOR_HOURS)&gt;TEMP_HOURS_CAP),"",$C334+H$6-MIN(($D334+H$5),PERMANENT_FIELD_LABOR_HOURS)*PERMANENT_HOURLY_RATE-MAX(0,($D334+H$5)-PERMANENT_FIELD_LABOR_HOURS)*TEMP_HOURLY_RATE-FIXED_SEASON_COST)</f>
        <v>1121.43240418089</v>
      </c>
      <c r="I334" s="53" t="n">
        <f aca="false">IF(OR($A334&gt;TOMATO_BED_CAP,$B334&gt;CARROT_BED_CAP,I$4&gt;MESCLUN_BED_CAP,$A334+$B334+I$4&gt;TOTAL_BEDS_AVAILABLE,($D334+I$5)&gt;TOTAL_LABOR_HOURS_CAP,MAX(0,($D334+I$5)-PERMANENT_FIELD_LABOR_HOURS)&gt;TEMP_HOURS_CAP),"",$C334+I$6-MIN(($D334+I$5),PERMANENT_FIELD_LABOR_HOURS)*PERMANENT_HOURLY_RATE-MAX(0,($D334+I$5)-PERMANENT_FIELD_LABOR_HOURS)*TEMP_HOURLY_RATE-FIXED_SEASON_COST)</f>
        <v>2110.54838933714</v>
      </c>
      <c r="J334" s="53" t="n">
        <f aca="false">IF(OR($A334&gt;TOMATO_BED_CAP,$B334&gt;CARROT_BED_CAP,J$4&gt;MESCLUN_BED_CAP,$A334+$B334+J$4&gt;TOTAL_BEDS_AVAILABLE,($D334+J$5)&gt;TOTAL_LABOR_HOURS_CAP,MAX(0,($D334+J$5)-PERMANENT_FIELD_LABOR_HOURS)&gt;TEMP_HOURS_CAP),"",$C334+J$6-MIN(($D334+J$5),PERMANENT_FIELD_LABOR_HOURS)*PERMANENT_HOURLY_RATE-MAX(0,($D334+J$5)-PERMANENT_FIELD_LABOR_HOURS)*TEMP_HOURLY_RATE-FIXED_SEASON_COST)</f>
        <v>3079.14254039183</v>
      </c>
      <c r="K334" s="53" t="n">
        <f aca="false">IF(OR($A334&gt;TOMATO_BED_CAP,$B334&gt;CARROT_BED_CAP,K$4&gt;MESCLUN_BED_CAP,$A334+$B334+K$4&gt;TOTAL_BEDS_AVAILABLE,($D334+K$5)&gt;TOTAL_LABOR_HOURS_CAP,MAX(0,($D334+K$5)-PERMANENT_FIELD_LABOR_HOURS)&gt;TEMP_HOURS_CAP),"",$C334+K$6-MIN(($D334+K$5),PERMANENT_FIELD_LABOR_HOURS)*PERMANENT_HOURLY_RATE-MAX(0,($D334+K$5)-PERMANENT_FIELD_LABOR_HOURS)*TEMP_HOURLY_RATE-FIXED_SEASON_COST)</f>
        <v>4026.83163711974</v>
      </c>
      <c r="L334" s="53" t="n">
        <f aca="false">IF(OR($A334&gt;TOMATO_BED_CAP,$B334&gt;CARROT_BED_CAP,L$4&gt;MESCLUN_BED_CAP,$A334+$B334+L$4&gt;TOTAL_BEDS_AVAILABLE,($D334+L$5)&gt;TOTAL_LABOR_HOURS_CAP,MAX(0,($D334+L$5)-PERMANENT_FIELD_LABOR_HOURS)&gt;TEMP_HOURS_CAP),"",$C334+L$6-MIN(($D334+L$5),PERMANENT_FIELD_LABOR_HOURS)*PERMANENT_HOURLY_RATE-MAX(0,($D334+L$5)-PERMANENT_FIELD_LABOR_HOURS)*TEMP_HOURLY_RATE-FIXED_SEASON_COST)</f>
        <v>4953.22608532659</v>
      </c>
      <c r="M334" s="53" t="n">
        <f aca="false">IF(OR($A334&gt;TOMATO_BED_CAP,$B334&gt;CARROT_BED_CAP,M$4&gt;MESCLUN_BED_CAP,$A334+$B334+M$4&gt;TOTAL_BEDS_AVAILABLE,($D334+M$5)&gt;TOTAL_LABOR_HOURS_CAP,MAX(0,($D334+M$5)-PERMANENT_FIELD_LABOR_HOURS)&gt;TEMP_HOURS_CAP),"",$C334+M$6-MIN(($D334+M$5),PERMANENT_FIELD_LABOR_HOURS)*PERMANENT_HOURLY_RATE-MAX(0,($D334+M$5)-PERMANENT_FIELD_LABOR_HOURS)*TEMP_HOURLY_RATE-FIXED_SEASON_COST)</f>
        <v>5857.92981737798</v>
      </c>
      <c r="N334" s="53" t="n">
        <f aca="false">IF(OR($A334&gt;TOMATO_BED_CAP,$B334&gt;CARROT_BED_CAP,N$4&gt;MESCLUN_BED_CAP,$A334+$B334+N$4&gt;TOTAL_BEDS_AVAILABLE,($D334+N$5)&gt;TOTAL_LABOR_HOURS_CAP,MAX(0,($D334+N$5)-PERMANENT_FIELD_LABOR_HOURS)&gt;TEMP_HOURS_CAP),"",$C334+N$6-MIN(($D334+N$5),PERMANENT_FIELD_LABOR_HOURS)*PERMANENT_HOURLY_RATE-MAX(0,($D334+N$5)-PERMANENT_FIELD_LABOR_HOURS)*TEMP_HOURLY_RATE-FIXED_SEASON_COST)</f>
        <v>6740.54019123754</v>
      </c>
      <c r="O334" s="53" t="str">
        <f aca="false">IF(OR($A334&gt;TOMATO_BED_CAP,$B334&gt;CARROT_BED_CAP,O$4&gt;MESCLUN_BED_CAP,$A334+$B334+O$4&gt;TOTAL_BEDS_AVAILABLE,($D334+O$5)&gt;TOTAL_LABOR_HOURS_CAP,MAX(0,($D334+O$5)-PERMANENT_FIELD_LABOR_HOURS)&gt;TEMP_HOURS_CAP),"",$C334+O$6-MIN(($D334+O$5),PERMANENT_FIELD_LABOR_HOURS)*PERMANENT_HOURLY_RATE-MAX(0,($D334+O$5)-PERMANENT_FIELD_LABOR_HOURS)*TEMP_HOURLY_RATE-FIXED_SEASON_COST)</f>
        <v/>
      </c>
      <c r="P334" s="53" t="str">
        <f aca="false">IF(OR($A334&gt;TOMATO_BED_CAP,$B334&gt;CARROT_BED_CAP,P$4&gt;MESCLUN_BED_CAP,$A334+$B334+P$4&gt;TOTAL_BEDS_AVAILABLE,($D334+P$5)&gt;TOTAL_LABOR_HOURS_CAP,MAX(0,($D334+P$5)-PERMANENT_FIELD_LABOR_HOURS)&gt;TEMP_HOURS_CAP),"",$C334+P$6-MIN(($D334+P$5),PERMANENT_FIELD_LABOR_HOURS)*PERMANENT_HOURLY_RATE-MAX(0,($D334+P$5)-PERMANENT_FIELD_LABOR_HOURS)*TEMP_HOURLY_RATE-FIXED_SEASON_COST)</f>
        <v/>
      </c>
      <c r="Q334" s="53" t="str">
        <f aca="false">IF(OR($A334&gt;TOMATO_BED_CAP,$B334&gt;CARROT_BED_CAP,Q$4&gt;MESCLUN_BED_CAP,$A334+$B334+Q$4&gt;TOTAL_BEDS_AVAILABLE,($D334+Q$5)&gt;TOTAL_LABOR_HOURS_CAP,MAX(0,($D334+Q$5)-PERMANENT_FIELD_LABOR_HOURS)&gt;TEMP_HOURS_CAP),"",$C334+Q$6-MIN(($D334+Q$5),PERMANENT_FIELD_LABOR_HOURS)*PERMANENT_HOURLY_RATE-MAX(0,($D334+Q$5)-PERMANENT_FIELD_LABOR_HOURS)*TEMP_HOURLY_RATE-FIXED_SEASON_COST)</f>
        <v/>
      </c>
      <c r="R334" s="53" t="str">
        <f aca="false">IF(OR($A334&gt;TOMATO_BED_CAP,$B334&gt;CARROT_BED_CAP,R$4&gt;MESCLUN_BED_CAP,$A334+$B334+R$4&gt;TOTAL_BEDS_AVAILABLE,($D334+R$5)&gt;TOTAL_LABOR_HOURS_CAP,MAX(0,($D334+R$5)-PERMANENT_FIELD_LABOR_HOURS)&gt;TEMP_HOURS_CAP),"",$C334+R$6-MIN(($D334+R$5),PERMANENT_FIELD_LABOR_HOURS)*PERMANENT_HOURLY_RATE-MAX(0,($D334+R$5)-PERMANENT_FIELD_LABOR_HOURS)*TEMP_HOURLY_RATE-FIXED_SEASON_COST)</f>
        <v/>
      </c>
      <c r="S334" s="53" t="str">
        <f aca="false">IF(OR($A334&gt;TOMATO_BED_CAP,$B334&gt;CARROT_BED_CAP,S$4&gt;MESCLUN_BED_CAP,$A334+$B334+S$4&gt;TOTAL_BEDS_AVAILABLE,($D334+S$5)&gt;TOTAL_LABOR_HOURS_CAP,MAX(0,($D334+S$5)-PERMANENT_FIELD_LABOR_HOURS)&gt;TEMP_HOURS_CAP),"",$C334+S$6-MIN(($D334+S$5),PERMANENT_FIELD_LABOR_HOURS)*PERMANENT_HOURLY_RATE-MAX(0,($D334+S$5)-PERMANENT_FIELD_LABOR_HOURS)*TEMP_HOURLY_RATE-FIXED_SEASON_COST)</f>
        <v/>
      </c>
      <c r="T334" s="53" t="str">
        <f aca="false">IF(OR($A334&gt;TOMATO_BED_CAP,$B334&gt;CARROT_BED_CAP,T$4&gt;MESCLUN_BED_CAP,$A334+$B334+T$4&gt;TOTAL_BEDS_AVAILABLE,($D334+T$5)&gt;TOTAL_LABOR_HOURS_CAP,MAX(0,($D334+T$5)-PERMANENT_FIELD_LABOR_HOURS)&gt;TEMP_HOURS_CAP),"",$C334+T$6-MIN(($D334+T$5),PERMANENT_FIELD_LABOR_HOURS)*PERMANENT_HOURLY_RATE-MAX(0,($D334+T$5)-PERMANENT_FIELD_LABOR_HOURS)*TEMP_HOURLY_RATE-FIXED_SEASON_COST)</f>
        <v/>
      </c>
      <c r="U334" s="53" t="str">
        <f aca="false">IF(OR($A334&gt;TOMATO_BED_CAP,$B334&gt;CARROT_BED_CAP,U$4&gt;MESCLUN_BED_CAP,$A334+$B334+U$4&gt;TOTAL_BEDS_AVAILABLE,($D334+U$5)&gt;TOTAL_LABOR_HOURS_CAP,MAX(0,($D334+U$5)-PERMANENT_FIELD_LABOR_HOURS)&gt;TEMP_HOURS_CAP),"",$C334+U$6-MIN(($D334+U$5),PERMANENT_FIELD_LABOR_HOURS)*PERMANENT_HOURLY_RATE-MAX(0,($D334+U$5)-PERMANENT_FIELD_LABOR_HOURS)*TEMP_HOURLY_RATE-FIXED_SEASON_COST)</f>
        <v/>
      </c>
      <c r="V334" s="53" t="str">
        <f aca="false">IF(OR($A334&gt;TOMATO_BED_CAP,$B334&gt;CARROT_BED_CAP,V$4&gt;MESCLUN_BED_CAP,$A334+$B334+V$4&gt;TOTAL_BEDS_AVAILABLE,($D334+V$5)&gt;TOTAL_LABOR_HOURS_CAP,MAX(0,($D334+V$5)-PERMANENT_FIELD_LABOR_HOURS)&gt;TEMP_HOURS_CAP),"",$C334+V$6-MIN(($D334+V$5),PERMANENT_FIELD_LABOR_HOURS)*PERMANENT_HOURLY_RATE-MAX(0,($D334+V$5)-PERMANENT_FIELD_LABOR_HOURS)*TEMP_HOURLY_RATE-FIXED_SEASON_COST)</f>
        <v/>
      </c>
      <c r="W334" s="53" t="str">
        <f aca="false">IF(OR($A334&gt;TOMATO_BED_CAP,$B334&gt;CARROT_BED_CAP,W$4&gt;MESCLUN_BED_CAP,$A334+$B334+W$4&gt;TOTAL_BEDS_AVAILABLE,($D334+W$5)&gt;TOTAL_LABOR_HOURS_CAP,MAX(0,($D334+W$5)-PERMANENT_FIELD_LABOR_HOURS)&gt;TEMP_HOURS_CAP),"",$C334+W$6-MIN(($D334+W$5),PERMANENT_FIELD_LABOR_HOURS)*PERMANENT_HOURLY_RATE-MAX(0,($D334+W$5)-PERMANENT_FIELD_LABOR_HOURS)*TEMP_HOURLY_RATE-FIXED_SEASON_COST)</f>
        <v/>
      </c>
      <c r="X334" s="53" t="str">
        <f aca="false">IF(OR($A334&gt;TOMATO_BED_CAP,$B334&gt;CARROT_BED_CAP,X$4&gt;MESCLUN_BED_CAP,$A334+$B334+X$4&gt;TOTAL_BEDS_AVAILABLE,($D334+X$5)&gt;TOTAL_LABOR_HOURS_CAP,MAX(0,($D334+X$5)-PERMANENT_FIELD_LABOR_HOURS)&gt;TEMP_HOURS_CAP),"",$C334+X$6-MIN(($D334+X$5),PERMANENT_FIELD_LABOR_HOURS)*PERMANENT_HOURLY_RATE-MAX(0,($D334+X$5)-PERMANENT_FIELD_LABOR_HOURS)*TEMP_HOURLY_RATE-FIXED_SEASON_COST)</f>
        <v/>
      </c>
      <c r="Y334" s="53" t="str">
        <f aca="false">IF(OR($A334&gt;TOMATO_BED_CAP,$B334&gt;CARROT_BED_CAP,Y$4&gt;MESCLUN_BED_CAP,$A334+$B334+Y$4&gt;TOTAL_BEDS_AVAILABLE,($D334+Y$5)&gt;TOTAL_LABOR_HOURS_CAP,MAX(0,($D334+Y$5)-PERMANENT_FIELD_LABOR_HOURS)&gt;TEMP_HOURS_CAP),"",$C334+Y$6-MIN(($D334+Y$5),PERMANENT_FIELD_LABOR_HOURS)*PERMANENT_HOURLY_RATE-MAX(0,($D334+Y$5)-PERMANENT_FIELD_LABOR_HOURS)*TEMP_HOURLY_RATE-FIXED_SEASON_COST)</f>
        <v/>
      </c>
      <c r="Z334" s="53" t="str">
        <f aca="false">IF(OR($A334&gt;TOMATO_BED_CAP,$B334&gt;CARROT_BED_CAP,Z$4&gt;MESCLUN_BED_CAP,$A334+$B334+Z$4&gt;TOTAL_BEDS_AVAILABLE,($D334+Z$5)&gt;TOTAL_LABOR_HOURS_CAP,MAX(0,($D334+Z$5)-PERMANENT_FIELD_LABOR_HOURS)&gt;TEMP_HOURS_CAP),"",$C334+Z$6-MIN(($D334+Z$5),PERMANENT_FIELD_LABOR_HOURS)*PERMANENT_HOURLY_RATE-MAX(0,($D334+Z$5)-PERMANENT_FIELD_LABOR_HOURS)*TEMP_HOURLY_RATE-FIXED_SEASON_COST)</f>
        <v/>
      </c>
      <c r="AA334" s="53" t="str">
        <f aca="false">IF(OR($A334&gt;TOMATO_BED_CAP,$B334&gt;CARROT_BED_CAP,AA$4&gt;MESCLUN_BED_CAP,$A334+$B334+AA$4&gt;TOTAL_BEDS_AVAILABLE,($D334+AA$5)&gt;TOTAL_LABOR_HOURS_CAP,MAX(0,($D334+AA$5)-PERMANENT_FIELD_LABOR_HOURS)&gt;TEMP_HOURS_CAP),"",$C334+AA$6-MIN(($D334+AA$5),PERMANENT_FIELD_LABOR_HOURS)*PERMANENT_HOURLY_RATE-MAX(0,($D334+AA$5)-PERMANENT_FIELD_LABOR_HOURS)*TEMP_HOURLY_RATE-FIXED_SEASON_COST)</f>
        <v/>
      </c>
      <c r="AB334" s="53" t="str">
        <f aca="false">IF(OR($A334&gt;TOMATO_BED_CAP,$B334&gt;CARROT_BED_CAP,AB$4&gt;MESCLUN_BED_CAP,$A334+$B334+AB$4&gt;TOTAL_BEDS_AVAILABLE,($D334+AB$5)&gt;TOTAL_LABOR_HOURS_CAP,MAX(0,($D334+AB$5)-PERMANENT_FIELD_LABOR_HOURS)&gt;TEMP_HOURS_CAP),"",$C334+AB$6-MIN(($D334+AB$5),PERMANENT_FIELD_LABOR_HOURS)*PERMANENT_HOURLY_RATE-MAX(0,($D334+AB$5)-PERMANENT_FIELD_LABOR_HOURS)*TEMP_HOURLY_RATE-FIXED_SEASON_COST)</f>
        <v/>
      </c>
      <c r="AC334" s="53" t="str">
        <f aca="false">IF(OR($A334&gt;TOMATO_BED_CAP,$B334&gt;CARROT_BED_CAP,AC$4&gt;MESCLUN_BED_CAP,$A334+$B334+AC$4&gt;TOTAL_BEDS_AVAILABLE,($D334+AC$5)&gt;TOTAL_LABOR_HOURS_CAP,MAX(0,($D334+AC$5)-PERMANENT_FIELD_LABOR_HOURS)&gt;TEMP_HOURS_CAP),"",$C334+AC$6-MIN(($D334+AC$5),PERMANENT_FIELD_LABOR_HOURS)*PERMANENT_HOURLY_RATE-MAX(0,($D334+AC$5)-PERMANENT_FIELD_LABOR_HOURS)*TEMP_HOURLY_RATE-FIXED_SEASON_COST)</f>
        <v/>
      </c>
      <c r="AD334" s="53" t="str">
        <f aca="false">IF(OR($A334&gt;TOMATO_BED_CAP,$B334&gt;CARROT_BED_CAP,AD$4&gt;MESCLUN_BED_CAP,$A334+$B334+AD$4&gt;TOTAL_BEDS_AVAILABLE,($D334+AD$5)&gt;TOTAL_LABOR_HOURS_CAP,MAX(0,($D334+AD$5)-PERMANENT_FIELD_LABOR_HOURS)&gt;TEMP_HOURS_CAP),"",$C334+AD$6-MIN(($D334+AD$5),PERMANENT_FIELD_LABOR_HOURS)*PERMANENT_HOURLY_RATE-MAX(0,($D334+AD$5)-PERMANENT_FIELD_LABOR_HOURS)*TEMP_HOURLY_RATE-FIXED_SEASON_COST)</f>
        <v/>
      </c>
      <c r="AE334" s="53" t="str">
        <f aca="false">IF(OR($A334&gt;TOMATO_BED_CAP,$B334&gt;CARROT_BED_CAP,AE$4&gt;MESCLUN_BED_CAP,$A334+$B334+AE$4&gt;TOTAL_BEDS_AVAILABLE,($D334+AE$5)&gt;TOTAL_LABOR_HOURS_CAP,MAX(0,($D334+AE$5)-PERMANENT_FIELD_LABOR_HOURS)&gt;TEMP_HOURS_CAP),"",$C334+AE$6-MIN(($D334+AE$5),PERMANENT_FIELD_LABOR_HOURS)*PERMANENT_HOURLY_RATE-MAX(0,($D334+AE$5)-PERMANENT_FIELD_LABOR_HOURS)*TEMP_HOURLY_RATE-FIXED_SEASON_COST)</f>
        <v/>
      </c>
      <c r="AF334" s="53" t="str">
        <f aca="false">IF(OR($A334&gt;TOMATO_BED_CAP,$B334&gt;CARROT_BED_CAP,AF$4&gt;MESCLUN_BED_CAP,$A334+$B334+AF$4&gt;TOTAL_BEDS_AVAILABLE,($D334+AF$5)&gt;TOTAL_LABOR_HOURS_CAP,MAX(0,($D334+AF$5)-PERMANENT_FIELD_LABOR_HOURS)&gt;TEMP_HOURS_CAP),"",$C334+AF$6-MIN(($D334+AF$5),PERMANENT_FIELD_LABOR_HOURS)*PERMANENT_HOURLY_RATE-MAX(0,($D334+AF$5)-PERMANENT_FIELD_LABOR_HOURS)*TEMP_HOURLY_RATE-FIXED_SEASON_COST)</f>
        <v/>
      </c>
      <c r="AG334" s="53" t="str">
        <f aca="false">IF(OR($A334&gt;TOMATO_BED_CAP,$B334&gt;CARROT_BED_CAP,AG$4&gt;MESCLUN_BED_CAP,$A334+$B334+AG$4&gt;TOTAL_BEDS_AVAILABLE,($D334+AG$5)&gt;TOTAL_LABOR_HOURS_CAP,MAX(0,($D334+AG$5)-PERMANENT_FIELD_LABOR_HOURS)&gt;TEMP_HOURS_CAP),"",$C334+AG$6-MIN(($D334+AG$5),PERMANENT_FIELD_LABOR_HOURS)*PERMANENT_HOURLY_RATE-MAX(0,($D334+AG$5)-PERMANENT_FIELD_LABOR_HOURS)*TEMP_HOURLY_RATE-FIXED_SEASON_COST)</f>
        <v/>
      </c>
      <c r="AH334" s="53" t="str">
        <f aca="false">IF(OR($A334&gt;TOMATO_BED_CAP,$B334&gt;CARROT_BED_CAP,AH$4&gt;MESCLUN_BED_CAP,$A334+$B334+AH$4&gt;TOTAL_BEDS_AVAILABLE,($D334+AH$5)&gt;TOTAL_LABOR_HOURS_CAP,MAX(0,($D334+AH$5)-PERMANENT_FIELD_LABOR_HOURS)&gt;TEMP_HOURS_CAP),"",$C334+AH$6-MIN(($D334+AH$5),PERMANENT_FIELD_LABOR_HOURS)*PERMANENT_HOURLY_RATE-MAX(0,($D334+AH$5)-PERMANENT_FIELD_LABOR_HOURS)*TEMP_HOURLY_RATE-FIXED_SEASON_COST)</f>
        <v/>
      </c>
      <c r="AI334" s="53" t="str">
        <f aca="false">IF(OR($A334&gt;TOMATO_BED_CAP,$B334&gt;CARROT_BED_CAP,AI$4&gt;MESCLUN_BED_CAP,$A334+$B334+AI$4&gt;TOTAL_BEDS_AVAILABLE,($D334+AI$5)&gt;TOTAL_LABOR_HOURS_CAP,MAX(0,($D334+AI$5)-PERMANENT_FIELD_LABOR_HOURS)&gt;TEMP_HOURS_CAP),"",$C334+AI$6-MIN(($D334+AI$5),PERMANENT_FIELD_LABOR_HOURS)*PERMANENT_HOURLY_RATE-MAX(0,($D334+AI$5)-PERMANENT_FIELD_LABOR_HOURS)*TEMP_HOURLY_RATE-FIXED_SEASON_COST)</f>
        <v/>
      </c>
      <c r="AJ334" s="53" t="str">
        <f aca="false">IF(OR($A334&gt;TOMATO_BED_CAP,$B334&gt;CARROT_BED_CAP,AJ$4&gt;MESCLUN_BED_CAP,$A334+$B334+AJ$4&gt;TOTAL_BEDS_AVAILABLE,($D334+AJ$5)&gt;TOTAL_LABOR_HOURS_CAP,MAX(0,($D334+AJ$5)-PERMANENT_FIELD_LABOR_HOURS)&gt;TEMP_HOURS_CAP),"",$C334+AJ$6-MIN(($D334+AJ$5),PERMANENT_FIELD_LABOR_HOURS)*PERMANENT_HOURLY_RATE-MAX(0,($D334+AJ$5)-PERMANENT_FIELD_LABOR_HOURS)*TEMP_HOURLY_RATE-FIXED_SEASON_COST)</f>
        <v/>
      </c>
    </row>
    <row r="335" customFormat="false" ht="15" hidden="false" customHeight="false" outlineLevel="0" collapsed="false">
      <c r="A335" s="21" t="n">
        <f aca="false">INT((ROW()-ROW($A$8))/(20+1))</f>
        <v>15</v>
      </c>
      <c r="B335" s="21" t="n">
        <f aca="false">MOD(ROW()-ROW($A$8),20+1)</f>
        <v>12</v>
      </c>
      <c r="C335" s="13" t="n">
        <f aca="false">A335*(TOMATO_REVENUE_PER_BED-TOMATO_FERTILIZER_PER_BED)+B335*(CARROT_REVENUE_PER_BED-CARROT_FERTILIZER_PER_BED)</f>
        <v>138648</v>
      </c>
      <c r="D335" s="14" t="n">
        <f aca="false">INDEX(TOMATO_SCHED_LABOR_HRS,A335+1)+INDEX(CARROT_SCHED_LABOR_HRS,B335+1)</f>
        <v>6123.25134144911</v>
      </c>
      <c r="E335" s="13" t="n">
        <f aca="false">IF(COUNT(F335:AJ335)=0,"",MAX(F335:AJ335))</f>
        <v>6623.95000064053</v>
      </c>
      <c r="F335" s="53" t="n">
        <f aca="false">IF(OR($A335&gt;TOMATO_BED_CAP,$B335&gt;CARROT_BED_CAP,F$4&gt;MESCLUN_BED_CAP,$A335+$B335+F$4&gt;TOTAL_BEDS_AVAILABLE,($D335+F$5)&gt;TOTAL_LABOR_HOURS_CAP,MAX(0,($D335+F$5)-PERMANENT_FIELD_LABOR_HOURS)&gt;TEMP_HOURS_CAP),"",$C335+F$6-MIN(($D335+F$5),PERMANENT_FIELD_LABOR_HOURS)*PERMANENT_HOURLY_RATE-MAX(0,($D335+F$5)-PERMANENT_FIELD_LABOR_HOURS)*TEMP_HOURLY_RATE-FIXED_SEASON_COST)</f>
        <v>-150.843287556563</v>
      </c>
      <c r="G335" s="53" t="n">
        <f aca="false">IF(OR($A335&gt;TOMATO_BED_CAP,$B335&gt;CARROT_BED_CAP,G$4&gt;MESCLUN_BED_CAP,$A335+$B335+G$4&gt;TOTAL_BEDS_AVAILABLE,($D335+G$5)&gt;TOTAL_LABOR_HOURS_CAP,MAX(0,($D335+G$5)-PERMANENT_FIELD_LABOR_HOURS)&gt;TEMP_HOURS_CAP),"",$C335+G$6-MIN(($D335+G$5),PERMANENT_FIELD_LABOR_HOURS)*PERMANENT_HOURLY_RATE-MAX(0,($D335+G$5)-PERMANENT_FIELD_LABOR_HOURS)*TEMP_HOURLY_RATE-FIXED_SEASON_COST)</f>
        <v>878.19171244344</v>
      </c>
      <c r="H335" s="53" t="n">
        <f aca="false">IF(OR($A335&gt;TOMATO_BED_CAP,$B335&gt;CARROT_BED_CAP,H$4&gt;MESCLUN_BED_CAP,$A335+$B335+H$4&gt;TOTAL_BEDS_AVAILABLE,($D335+H$5)&gt;TOTAL_LABOR_HOURS_CAP,MAX(0,($D335+H$5)-PERMANENT_FIELD_LABOR_HOURS)&gt;TEMP_HOURS_CAP),"",$C335+H$6-MIN(($D335+H$5),PERMANENT_FIELD_LABOR_HOURS)*PERMANENT_HOURLY_RATE-MAX(0,($D335+H$5)-PERMANENT_FIELD_LABOR_HOURS)*TEMP_HOURLY_RATE-FIXED_SEASON_COST)</f>
        <v>1887.45258744343</v>
      </c>
      <c r="I335" s="53" t="n">
        <f aca="false">IF(OR($A335&gt;TOMATO_BED_CAP,$B335&gt;CARROT_BED_CAP,I$4&gt;MESCLUN_BED_CAP,$A335+$B335+I$4&gt;TOTAL_BEDS_AVAILABLE,($D335+I$5)&gt;TOTAL_LABOR_HOURS_CAP,MAX(0,($D335+I$5)-PERMANENT_FIELD_LABOR_HOURS)&gt;TEMP_HOURS_CAP),"",$C335+I$6-MIN(($D335+I$5),PERMANENT_FIELD_LABOR_HOURS)*PERMANENT_HOURLY_RATE-MAX(0,($D335+I$5)-PERMANENT_FIELD_LABOR_HOURS)*TEMP_HOURLY_RATE-FIXED_SEASON_COST)</f>
        <v>2876.56857259967</v>
      </c>
      <c r="J335" s="53" t="n">
        <f aca="false">IF(OR($A335&gt;TOMATO_BED_CAP,$B335&gt;CARROT_BED_CAP,J$4&gt;MESCLUN_BED_CAP,$A335+$B335+J$4&gt;TOTAL_BEDS_AVAILABLE,($D335+J$5)&gt;TOTAL_LABOR_HOURS_CAP,MAX(0,($D335+J$5)-PERMANENT_FIELD_LABOR_HOURS)&gt;TEMP_HOURS_CAP),"",$C335+J$6-MIN(($D335+J$5),PERMANENT_FIELD_LABOR_HOURS)*PERMANENT_HOURLY_RATE-MAX(0,($D335+J$5)-PERMANENT_FIELD_LABOR_HOURS)*TEMP_HOURLY_RATE-FIXED_SEASON_COST)</f>
        <v>3845.16272365437</v>
      </c>
      <c r="K335" s="53" t="n">
        <f aca="false">IF(OR($A335&gt;TOMATO_BED_CAP,$B335&gt;CARROT_BED_CAP,K$4&gt;MESCLUN_BED_CAP,$A335+$B335+K$4&gt;TOTAL_BEDS_AVAILABLE,($D335+K$5)&gt;TOTAL_LABOR_HOURS_CAP,MAX(0,($D335+K$5)-PERMANENT_FIELD_LABOR_HOURS)&gt;TEMP_HOURS_CAP),"",$C335+K$6-MIN(($D335+K$5),PERMANENT_FIELD_LABOR_HOURS)*PERMANENT_HOURLY_RATE-MAX(0,($D335+K$5)-PERMANENT_FIELD_LABOR_HOURS)*TEMP_HOURLY_RATE-FIXED_SEASON_COST)</f>
        <v>4792.85182038229</v>
      </c>
      <c r="L335" s="53" t="n">
        <f aca="false">IF(OR($A335&gt;TOMATO_BED_CAP,$B335&gt;CARROT_BED_CAP,L$4&gt;MESCLUN_BED_CAP,$A335+$B335+L$4&gt;TOTAL_BEDS_AVAILABLE,($D335+L$5)&gt;TOTAL_LABOR_HOURS_CAP,MAX(0,($D335+L$5)-PERMANENT_FIELD_LABOR_HOURS)&gt;TEMP_HOURS_CAP),"",$C335+L$6-MIN(($D335+L$5),PERMANENT_FIELD_LABOR_HOURS)*PERMANENT_HOURLY_RATE-MAX(0,($D335+L$5)-PERMANENT_FIELD_LABOR_HOURS)*TEMP_HOURLY_RATE-FIXED_SEASON_COST)</f>
        <v>5719.24626858914</v>
      </c>
      <c r="M335" s="53" t="n">
        <f aca="false">IF(OR($A335&gt;TOMATO_BED_CAP,$B335&gt;CARROT_BED_CAP,M$4&gt;MESCLUN_BED_CAP,$A335+$B335+M$4&gt;TOTAL_BEDS_AVAILABLE,($D335+M$5)&gt;TOTAL_LABOR_HOURS_CAP,MAX(0,($D335+M$5)-PERMANENT_FIELD_LABOR_HOURS)&gt;TEMP_HOURS_CAP),"",$C335+M$6-MIN(($D335+M$5),PERMANENT_FIELD_LABOR_HOURS)*PERMANENT_HOURLY_RATE-MAX(0,($D335+M$5)-PERMANENT_FIELD_LABOR_HOURS)*TEMP_HOURLY_RATE-FIXED_SEASON_COST)</f>
        <v>6623.95000064053</v>
      </c>
      <c r="N335" s="53" t="str">
        <f aca="false">IF(OR($A335&gt;TOMATO_BED_CAP,$B335&gt;CARROT_BED_CAP,N$4&gt;MESCLUN_BED_CAP,$A335+$B335+N$4&gt;TOTAL_BEDS_AVAILABLE,($D335+N$5)&gt;TOTAL_LABOR_HOURS_CAP,MAX(0,($D335+N$5)-PERMANENT_FIELD_LABOR_HOURS)&gt;TEMP_HOURS_CAP),"",$C335+N$6-MIN(($D335+N$5),PERMANENT_FIELD_LABOR_HOURS)*PERMANENT_HOURLY_RATE-MAX(0,($D335+N$5)-PERMANENT_FIELD_LABOR_HOURS)*TEMP_HOURLY_RATE-FIXED_SEASON_COST)</f>
        <v/>
      </c>
      <c r="O335" s="53" t="str">
        <f aca="false">IF(OR($A335&gt;TOMATO_BED_CAP,$B335&gt;CARROT_BED_CAP,O$4&gt;MESCLUN_BED_CAP,$A335+$B335+O$4&gt;TOTAL_BEDS_AVAILABLE,($D335+O$5)&gt;TOTAL_LABOR_HOURS_CAP,MAX(0,($D335+O$5)-PERMANENT_FIELD_LABOR_HOURS)&gt;TEMP_HOURS_CAP),"",$C335+O$6-MIN(($D335+O$5),PERMANENT_FIELD_LABOR_HOURS)*PERMANENT_HOURLY_RATE-MAX(0,($D335+O$5)-PERMANENT_FIELD_LABOR_HOURS)*TEMP_HOURLY_RATE-FIXED_SEASON_COST)</f>
        <v/>
      </c>
      <c r="P335" s="53" t="str">
        <f aca="false">IF(OR($A335&gt;TOMATO_BED_CAP,$B335&gt;CARROT_BED_CAP,P$4&gt;MESCLUN_BED_CAP,$A335+$B335+P$4&gt;TOTAL_BEDS_AVAILABLE,($D335+P$5)&gt;TOTAL_LABOR_HOURS_CAP,MAX(0,($D335+P$5)-PERMANENT_FIELD_LABOR_HOURS)&gt;TEMP_HOURS_CAP),"",$C335+P$6-MIN(($D335+P$5),PERMANENT_FIELD_LABOR_HOURS)*PERMANENT_HOURLY_RATE-MAX(0,($D335+P$5)-PERMANENT_FIELD_LABOR_HOURS)*TEMP_HOURLY_RATE-FIXED_SEASON_COST)</f>
        <v/>
      </c>
      <c r="Q335" s="53" t="str">
        <f aca="false">IF(OR($A335&gt;TOMATO_BED_CAP,$B335&gt;CARROT_BED_CAP,Q$4&gt;MESCLUN_BED_CAP,$A335+$B335+Q$4&gt;TOTAL_BEDS_AVAILABLE,($D335+Q$5)&gt;TOTAL_LABOR_HOURS_CAP,MAX(0,($D335+Q$5)-PERMANENT_FIELD_LABOR_HOURS)&gt;TEMP_HOURS_CAP),"",$C335+Q$6-MIN(($D335+Q$5),PERMANENT_FIELD_LABOR_HOURS)*PERMANENT_HOURLY_RATE-MAX(0,($D335+Q$5)-PERMANENT_FIELD_LABOR_HOURS)*TEMP_HOURLY_RATE-FIXED_SEASON_COST)</f>
        <v/>
      </c>
      <c r="R335" s="53" t="str">
        <f aca="false">IF(OR($A335&gt;TOMATO_BED_CAP,$B335&gt;CARROT_BED_CAP,R$4&gt;MESCLUN_BED_CAP,$A335+$B335+R$4&gt;TOTAL_BEDS_AVAILABLE,($D335+R$5)&gt;TOTAL_LABOR_HOURS_CAP,MAX(0,($D335+R$5)-PERMANENT_FIELD_LABOR_HOURS)&gt;TEMP_HOURS_CAP),"",$C335+R$6-MIN(($D335+R$5),PERMANENT_FIELD_LABOR_HOURS)*PERMANENT_HOURLY_RATE-MAX(0,($D335+R$5)-PERMANENT_FIELD_LABOR_HOURS)*TEMP_HOURLY_RATE-FIXED_SEASON_COST)</f>
        <v/>
      </c>
      <c r="S335" s="53" t="str">
        <f aca="false">IF(OR($A335&gt;TOMATO_BED_CAP,$B335&gt;CARROT_BED_CAP,S$4&gt;MESCLUN_BED_CAP,$A335+$B335+S$4&gt;TOTAL_BEDS_AVAILABLE,($D335+S$5)&gt;TOTAL_LABOR_HOURS_CAP,MAX(0,($D335+S$5)-PERMANENT_FIELD_LABOR_HOURS)&gt;TEMP_HOURS_CAP),"",$C335+S$6-MIN(($D335+S$5),PERMANENT_FIELD_LABOR_HOURS)*PERMANENT_HOURLY_RATE-MAX(0,($D335+S$5)-PERMANENT_FIELD_LABOR_HOURS)*TEMP_HOURLY_RATE-FIXED_SEASON_COST)</f>
        <v/>
      </c>
      <c r="T335" s="53" t="str">
        <f aca="false">IF(OR($A335&gt;TOMATO_BED_CAP,$B335&gt;CARROT_BED_CAP,T$4&gt;MESCLUN_BED_CAP,$A335+$B335+T$4&gt;TOTAL_BEDS_AVAILABLE,($D335+T$5)&gt;TOTAL_LABOR_HOURS_CAP,MAX(0,($D335+T$5)-PERMANENT_FIELD_LABOR_HOURS)&gt;TEMP_HOURS_CAP),"",$C335+T$6-MIN(($D335+T$5),PERMANENT_FIELD_LABOR_HOURS)*PERMANENT_HOURLY_RATE-MAX(0,($D335+T$5)-PERMANENT_FIELD_LABOR_HOURS)*TEMP_HOURLY_RATE-FIXED_SEASON_COST)</f>
        <v/>
      </c>
      <c r="U335" s="53" t="str">
        <f aca="false">IF(OR($A335&gt;TOMATO_BED_CAP,$B335&gt;CARROT_BED_CAP,U$4&gt;MESCLUN_BED_CAP,$A335+$B335+U$4&gt;TOTAL_BEDS_AVAILABLE,($D335+U$5)&gt;TOTAL_LABOR_HOURS_CAP,MAX(0,($D335+U$5)-PERMANENT_FIELD_LABOR_HOURS)&gt;TEMP_HOURS_CAP),"",$C335+U$6-MIN(($D335+U$5),PERMANENT_FIELD_LABOR_HOURS)*PERMANENT_HOURLY_RATE-MAX(0,($D335+U$5)-PERMANENT_FIELD_LABOR_HOURS)*TEMP_HOURLY_RATE-FIXED_SEASON_COST)</f>
        <v/>
      </c>
      <c r="V335" s="53" t="str">
        <f aca="false">IF(OR($A335&gt;TOMATO_BED_CAP,$B335&gt;CARROT_BED_CAP,V$4&gt;MESCLUN_BED_CAP,$A335+$B335+V$4&gt;TOTAL_BEDS_AVAILABLE,($D335+V$5)&gt;TOTAL_LABOR_HOURS_CAP,MAX(0,($D335+V$5)-PERMANENT_FIELD_LABOR_HOURS)&gt;TEMP_HOURS_CAP),"",$C335+V$6-MIN(($D335+V$5),PERMANENT_FIELD_LABOR_HOURS)*PERMANENT_HOURLY_RATE-MAX(0,($D335+V$5)-PERMANENT_FIELD_LABOR_HOURS)*TEMP_HOURLY_RATE-FIXED_SEASON_COST)</f>
        <v/>
      </c>
      <c r="W335" s="53" t="str">
        <f aca="false">IF(OR($A335&gt;TOMATO_BED_CAP,$B335&gt;CARROT_BED_CAP,W$4&gt;MESCLUN_BED_CAP,$A335+$B335+W$4&gt;TOTAL_BEDS_AVAILABLE,($D335+W$5)&gt;TOTAL_LABOR_HOURS_CAP,MAX(0,($D335+W$5)-PERMANENT_FIELD_LABOR_HOURS)&gt;TEMP_HOURS_CAP),"",$C335+W$6-MIN(($D335+W$5),PERMANENT_FIELD_LABOR_HOURS)*PERMANENT_HOURLY_RATE-MAX(0,($D335+W$5)-PERMANENT_FIELD_LABOR_HOURS)*TEMP_HOURLY_RATE-FIXED_SEASON_COST)</f>
        <v/>
      </c>
      <c r="X335" s="53" t="str">
        <f aca="false">IF(OR($A335&gt;TOMATO_BED_CAP,$B335&gt;CARROT_BED_CAP,X$4&gt;MESCLUN_BED_CAP,$A335+$B335+X$4&gt;TOTAL_BEDS_AVAILABLE,($D335+X$5)&gt;TOTAL_LABOR_HOURS_CAP,MAX(0,($D335+X$5)-PERMANENT_FIELD_LABOR_HOURS)&gt;TEMP_HOURS_CAP),"",$C335+X$6-MIN(($D335+X$5),PERMANENT_FIELD_LABOR_HOURS)*PERMANENT_HOURLY_RATE-MAX(0,($D335+X$5)-PERMANENT_FIELD_LABOR_HOURS)*TEMP_HOURLY_RATE-FIXED_SEASON_COST)</f>
        <v/>
      </c>
      <c r="Y335" s="53" t="str">
        <f aca="false">IF(OR($A335&gt;TOMATO_BED_CAP,$B335&gt;CARROT_BED_CAP,Y$4&gt;MESCLUN_BED_CAP,$A335+$B335+Y$4&gt;TOTAL_BEDS_AVAILABLE,($D335+Y$5)&gt;TOTAL_LABOR_HOURS_CAP,MAX(0,($D335+Y$5)-PERMANENT_FIELD_LABOR_HOURS)&gt;TEMP_HOURS_CAP),"",$C335+Y$6-MIN(($D335+Y$5),PERMANENT_FIELD_LABOR_HOURS)*PERMANENT_HOURLY_RATE-MAX(0,($D335+Y$5)-PERMANENT_FIELD_LABOR_HOURS)*TEMP_HOURLY_RATE-FIXED_SEASON_COST)</f>
        <v/>
      </c>
      <c r="Z335" s="53" t="str">
        <f aca="false">IF(OR($A335&gt;TOMATO_BED_CAP,$B335&gt;CARROT_BED_CAP,Z$4&gt;MESCLUN_BED_CAP,$A335+$B335+Z$4&gt;TOTAL_BEDS_AVAILABLE,($D335+Z$5)&gt;TOTAL_LABOR_HOURS_CAP,MAX(0,($D335+Z$5)-PERMANENT_FIELD_LABOR_HOURS)&gt;TEMP_HOURS_CAP),"",$C335+Z$6-MIN(($D335+Z$5),PERMANENT_FIELD_LABOR_HOURS)*PERMANENT_HOURLY_RATE-MAX(0,($D335+Z$5)-PERMANENT_FIELD_LABOR_HOURS)*TEMP_HOURLY_RATE-FIXED_SEASON_COST)</f>
        <v/>
      </c>
      <c r="AA335" s="53" t="str">
        <f aca="false">IF(OR($A335&gt;TOMATO_BED_CAP,$B335&gt;CARROT_BED_CAP,AA$4&gt;MESCLUN_BED_CAP,$A335+$B335+AA$4&gt;TOTAL_BEDS_AVAILABLE,($D335+AA$5)&gt;TOTAL_LABOR_HOURS_CAP,MAX(0,($D335+AA$5)-PERMANENT_FIELD_LABOR_HOURS)&gt;TEMP_HOURS_CAP),"",$C335+AA$6-MIN(($D335+AA$5),PERMANENT_FIELD_LABOR_HOURS)*PERMANENT_HOURLY_RATE-MAX(0,($D335+AA$5)-PERMANENT_FIELD_LABOR_HOURS)*TEMP_HOURLY_RATE-FIXED_SEASON_COST)</f>
        <v/>
      </c>
      <c r="AB335" s="53" t="str">
        <f aca="false">IF(OR($A335&gt;TOMATO_BED_CAP,$B335&gt;CARROT_BED_CAP,AB$4&gt;MESCLUN_BED_CAP,$A335+$B335+AB$4&gt;TOTAL_BEDS_AVAILABLE,($D335+AB$5)&gt;TOTAL_LABOR_HOURS_CAP,MAX(0,($D335+AB$5)-PERMANENT_FIELD_LABOR_HOURS)&gt;TEMP_HOURS_CAP),"",$C335+AB$6-MIN(($D335+AB$5),PERMANENT_FIELD_LABOR_HOURS)*PERMANENT_HOURLY_RATE-MAX(0,($D335+AB$5)-PERMANENT_FIELD_LABOR_HOURS)*TEMP_HOURLY_RATE-FIXED_SEASON_COST)</f>
        <v/>
      </c>
      <c r="AC335" s="53" t="str">
        <f aca="false">IF(OR($A335&gt;TOMATO_BED_CAP,$B335&gt;CARROT_BED_CAP,AC$4&gt;MESCLUN_BED_CAP,$A335+$B335+AC$4&gt;TOTAL_BEDS_AVAILABLE,($D335+AC$5)&gt;TOTAL_LABOR_HOURS_CAP,MAX(0,($D335+AC$5)-PERMANENT_FIELD_LABOR_HOURS)&gt;TEMP_HOURS_CAP),"",$C335+AC$6-MIN(($D335+AC$5),PERMANENT_FIELD_LABOR_HOURS)*PERMANENT_HOURLY_RATE-MAX(0,($D335+AC$5)-PERMANENT_FIELD_LABOR_HOURS)*TEMP_HOURLY_RATE-FIXED_SEASON_COST)</f>
        <v/>
      </c>
      <c r="AD335" s="53" t="str">
        <f aca="false">IF(OR($A335&gt;TOMATO_BED_CAP,$B335&gt;CARROT_BED_CAP,AD$4&gt;MESCLUN_BED_CAP,$A335+$B335+AD$4&gt;TOTAL_BEDS_AVAILABLE,($D335+AD$5)&gt;TOTAL_LABOR_HOURS_CAP,MAX(0,($D335+AD$5)-PERMANENT_FIELD_LABOR_HOURS)&gt;TEMP_HOURS_CAP),"",$C335+AD$6-MIN(($D335+AD$5),PERMANENT_FIELD_LABOR_HOURS)*PERMANENT_HOURLY_RATE-MAX(0,($D335+AD$5)-PERMANENT_FIELD_LABOR_HOURS)*TEMP_HOURLY_RATE-FIXED_SEASON_COST)</f>
        <v/>
      </c>
      <c r="AE335" s="53" t="str">
        <f aca="false">IF(OR($A335&gt;TOMATO_BED_CAP,$B335&gt;CARROT_BED_CAP,AE$4&gt;MESCLUN_BED_CAP,$A335+$B335+AE$4&gt;TOTAL_BEDS_AVAILABLE,($D335+AE$5)&gt;TOTAL_LABOR_HOURS_CAP,MAX(0,($D335+AE$5)-PERMANENT_FIELD_LABOR_HOURS)&gt;TEMP_HOURS_CAP),"",$C335+AE$6-MIN(($D335+AE$5),PERMANENT_FIELD_LABOR_HOURS)*PERMANENT_HOURLY_RATE-MAX(0,($D335+AE$5)-PERMANENT_FIELD_LABOR_HOURS)*TEMP_HOURLY_RATE-FIXED_SEASON_COST)</f>
        <v/>
      </c>
      <c r="AF335" s="53" t="str">
        <f aca="false">IF(OR($A335&gt;TOMATO_BED_CAP,$B335&gt;CARROT_BED_CAP,AF$4&gt;MESCLUN_BED_CAP,$A335+$B335+AF$4&gt;TOTAL_BEDS_AVAILABLE,($D335+AF$5)&gt;TOTAL_LABOR_HOURS_CAP,MAX(0,($D335+AF$5)-PERMANENT_FIELD_LABOR_HOURS)&gt;TEMP_HOURS_CAP),"",$C335+AF$6-MIN(($D335+AF$5),PERMANENT_FIELD_LABOR_HOURS)*PERMANENT_HOURLY_RATE-MAX(0,($D335+AF$5)-PERMANENT_FIELD_LABOR_HOURS)*TEMP_HOURLY_RATE-FIXED_SEASON_COST)</f>
        <v/>
      </c>
      <c r="AG335" s="53" t="str">
        <f aca="false">IF(OR($A335&gt;TOMATO_BED_CAP,$B335&gt;CARROT_BED_CAP,AG$4&gt;MESCLUN_BED_CAP,$A335+$B335+AG$4&gt;TOTAL_BEDS_AVAILABLE,($D335+AG$5)&gt;TOTAL_LABOR_HOURS_CAP,MAX(0,($D335+AG$5)-PERMANENT_FIELD_LABOR_HOURS)&gt;TEMP_HOURS_CAP),"",$C335+AG$6-MIN(($D335+AG$5),PERMANENT_FIELD_LABOR_HOURS)*PERMANENT_HOURLY_RATE-MAX(0,($D335+AG$5)-PERMANENT_FIELD_LABOR_HOURS)*TEMP_HOURLY_RATE-FIXED_SEASON_COST)</f>
        <v/>
      </c>
      <c r="AH335" s="53" t="str">
        <f aca="false">IF(OR($A335&gt;TOMATO_BED_CAP,$B335&gt;CARROT_BED_CAP,AH$4&gt;MESCLUN_BED_CAP,$A335+$B335+AH$4&gt;TOTAL_BEDS_AVAILABLE,($D335+AH$5)&gt;TOTAL_LABOR_HOURS_CAP,MAX(0,($D335+AH$5)-PERMANENT_FIELD_LABOR_HOURS)&gt;TEMP_HOURS_CAP),"",$C335+AH$6-MIN(($D335+AH$5),PERMANENT_FIELD_LABOR_HOURS)*PERMANENT_HOURLY_RATE-MAX(0,($D335+AH$5)-PERMANENT_FIELD_LABOR_HOURS)*TEMP_HOURLY_RATE-FIXED_SEASON_COST)</f>
        <v/>
      </c>
      <c r="AI335" s="53" t="str">
        <f aca="false">IF(OR($A335&gt;TOMATO_BED_CAP,$B335&gt;CARROT_BED_CAP,AI$4&gt;MESCLUN_BED_CAP,$A335+$B335+AI$4&gt;TOTAL_BEDS_AVAILABLE,($D335+AI$5)&gt;TOTAL_LABOR_HOURS_CAP,MAX(0,($D335+AI$5)-PERMANENT_FIELD_LABOR_HOURS)&gt;TEMP_HOURS_CAP),"",$C335+AI$6-MIN(($D335+AI$5),PERMANENT_FIELD_LABOR_HOURS)*PERMANENT_HOURLY_RATE-MAX(0,($D335+AI$5)-PERMANENT_FIELD_LABOR_HOURS)*TEMP_HOURLY_RATE-FIXED_SEASON_COST)</f>
        <v/>
      </c>
      <c r="AJ335" s="53" t="str">
        <f aca="false">IF(OR($A335&gt;TOMATO_BED_CAP,$B335&gt;CARROT_BED_CAP,AJ$4&gt;MESCLUN_BED_CAP,$A335+$B335+AJ$4&gt;TOTAL_BEDS_AVAILABLE,($D335+AJ$5)&gt;TOTAL_LABOR_HOURS_CAP,MAX(0,($D335+AJ$5)-PERMANENT_FIELD_LABOR_HOURS)&gt;TEMP_HOURS_CAP),"",$C335+AJ$6-MIN(($D335+AJ$5),PERMANENT_FIELD_LABOR_HOURS)*PERMANENT_HOURLY_RATE-MAX(0,($D335+AJ$5)-PERMANENT_FIELD_LABOR_HOURS)*TEMP_HOURLY_RATE-FIXED_SEASON_COST)</f>
        <v/>
      </c>
    </row>
    <row r="336" customFormat="false" ht="15" hidden="false" customHeight="false" outlineLevel="0" collapsed="false">
      <c r="A336" s="21" t="n">
        <f aca="false">INT((ROW()-ROW($A$8))/(20+1))</f>
        <v>15</v>
      </c>
      <c r="B336" s="21" t="n">
        <f aca="false">MOD(ROW()-ROW($A$8),20+1)</f>
        <v>13</v>
      </c>
      <c r="C336" s="13" t="n">
        <f aca="false">A336*(TOMATO_REVENUE_PER_BED-TOMATO_FERTILIZER_PER_BED)+B336*(CARROT_REVENUE_PER_BED-CARROT_FERTILIZER_PER_BED)</f>
        <v>140302</v>
      </c>
      <c r="D336" s="14" t="n">
        <f aca="false">INDEX(TOMATO_SCHED_LABOR_HRS,A336+1)+INDEX(CARROT_SCHED_LABOR_HRS,B336+1)</f>
        <v>6176.6892884806</v>
      </c>
      <c r="E336" s="13" t="n">
        <f aca="false">IF(COUNT(F336:AJ336)=0,"",MAX(F336:AJ336))</f>
        <v>6445.56350812256</v>
      </c>
      <c r="F336" s="53" t="n">
        <f aca="false">IF(OR($A336&gt;TOMATO_BED_CAP,$B336&gt;CARROT_BED_CAP,F$4&gt;MESCLUN_BED_CAP,$A336+$B336+F$4&gt;TOTAL_BEDS_AVAILABLE,($D336+F$5)&gt;TOTAL_LABOR_HOURS_CAP,MAX(0,($D336+F$5)-PERMANENT_FIELD_LABOR_HOURS)&gt;TEMP_HOURS_CAP),"",$C336+F$6-MIN(($D336+F$5),PERMANENT_FIELD_LABOR_HOURS)*PERMANENT_HOURLY_RATE-MAX(0,($D336+F$5)-PERMANENT_FIELD_LABOR_HOURS)*TEMP_HOURLY_RATE-FIXED_SEASON_COST)</f>
        <v>575.473951976863</v>
      </c>
      <c r="G336" s="53" t="n">
        <f aca="false">IF(OR($A336&gt;TOMATO_BED_CAP,$B336&gt;CARROT_BED_CAP,G$4&gt;MESCLUN_BED_CAP,$A336+$B336+G$4&gt;TOTAL_BEDS_AVAILABLE,($D336+G$5)&gt;TOTAL_LABOR_HOURS_CAP,MAX(0,($D336+G$5)-PERMANENT_FIELD_LABOR_HOURS)&gt;TEMP_HOURS_CAP),"",$C336+G$6-MIN(($D336+G$5),PERMANENT_FIELD_LABOR_HOURS)*PERMANENT_HOURLY_RATE-MAX(0,($D336+G$5)-PERMANENT_FIELD_LABOR_HOURS)*TEMP_HOURLY_RATE-FIXED_SEASON_COST)</f>
        <v>1604.50895197687</v>
      </c>
      <c r="H336" s="53" t="n">
        <f aca="false">IF(OR($A336&gt;TOMATO_BED_CAP,$B336&gt;CARROT_BED_CAP,H$4&gt;MESCLUN_BED_CAP,$A336+$B336+H$4&gt;TOTAL_BEDS_AVAILABLE,($D336+H$5)&gt;TOTAL_LABOR_HOURS_CAP,MAX(0,($D336+H$5)-PERMANENT_FIELD_LABOR_HOURS)&gt;TEMP_HOURS_CAP),"",$C336+H$6-MIN(($D336+H$5),PERMANENT_FIELD_LABOR_HOURS)*PERMANENT_HOURLY_RATE-MAX(0,($D336+H$5)-PERMANENT_FIELD_LABOR_HOURS)*TEMP_HOURLY_RATE-FIXED_SEASON_COST)</f>
        <v>2613.76982697686</v>
      </c>
      <c r="I336" s="53" t="n">
        <f aca="false">IF(OR($A336&gt;TOMATO_BED_CAP,$B336&gt;CARROT_BED_CAP,I$4&gt;MESCLUN_BED_CAP,$A336+$B336+I$4&gt;TOTAL_BEDS_AVAILABLE,($D336+I$5)&gt;TOTAL_LABOR_HOURS_CAP,MAX(0,($D336+I$5)-PERMANENT_FIELD_LABOR_HOURS)&gt;TEMP_HOURS_CAP),"",$C336+I$6-MIN(($D336+I$5),PERMANENT_FIELD_LABOR_HOURS)*PERMANENT_HOURLY_RATE-MAX(0,($D336+I$5)-PERMANENT_FIELD_LABOR_HOURS)*TEMP_HOURLY_RATE-FIXED_SEASON_COST)</f>
        <v>3602.88581213311</v>
      </c>
      <c r="J336" s="53" t="n">
        <f aca="false">IF(OR($A336&gt;TOMATO_BED_CAP,$B336&gt;CARROT_BED_CAP,J$4&gt;MESCLUN_BED_CAP,$A336+$B336+J$4&gt;TOTAL_BEDS_AVAILABLE,($D336+J$5)&gt;TOTAL_LABOR_HOURS_CAP,MAX(0,($D336+J$5)-PERMANENT_FIELD_LABOR_HOURS)&gt;TEMP_HOURS_CAP),"",$C336+J$6-MIN(($D336+J$5),PERMANENT_FIELD_LABOR_HOURS)*PERMANENT_HOURLY_RATE-MAX(0,($D336+J$5)-PERMANENT_FIELD_LABOR_HOURS)*TEMP_HOURLY_RATE-FIXED_SEASON_COST)</f>
        <v>4571.47996318781</v>
      </c>
      <c r="K336" s="53" t="n">
        <f aca="false">IF(OR($A336&gt;TOMATO_BED_CAP,$B336&gt;CARROT_BED_CAP,K$4&gt;MESCLUN_BED_CAP,$A336+$B336+K$4&gt;TOTAL_BEDS_AVAILABLE,($D336+K$5)&gt;TOTAL_LABOR_HOURS_CAP,MAX(0,($D336+K$5)-PERMANENT_FIELD_LABOR_HOURS)&gt;TEMP_HOURS_CAP),"",$C336+K$6-MIN(($D336+K$5),PERMANENT_FIELD_LABOR_HOURS)*PERMANENT_HOURLY_RATE-MAX(0,($D336+K$5)-PERMANENT_FIELD_LABOR_HOURS)*TEMP_HOURLY_RATE-FIXED_SEASON_COST)</f>
        <v>5519.16905991572</v>
      </c>
      <c r="L336" s="53" t="n">
        <f aca="false">IF(OR($A336&gt;TOMATO_BED_CAP,$B336&gt;CARROT_BED_CAP,L$4&gt;MESCLUN_BED_CAP,$A336+$B336+L$4&gt;TOTAL_BEDS_AVAILABLE,($D336+L$5)&gt;TOTAL_LABOR_HOURS_CAP,MAX(0,($D336+L$5)-PERMANENT_FIELD_LABOR_HOURS)&gt;TEMP_HOURS_CAP),"",$C336+L$6-MIN(($D336+L$5),PERMANENT_FIELD_LABOR_HOURS)*PERMANENT_HOURLY_RATE-MAX(0,($D336+L$5)-PERMANENT_FIELD_LABOR_HOURS)*TEMP_HOURLY_RATE-FIXED_SEASON_COST)</f>
        <v>6445.56350812256</v>
      </c>
      <c r="M336" s="53" t="str">
        <f aca="false">IF(OR($A336&gt;TOMATO_BED_CAP,$B336&gt;CARROT_BED_CAP,M$4&gt;MESCLUN_BED_CAP,$A336+$B336+M$4&gt;TOTAL_BEDS_AVAILABLE,($D336+M$5)&gt;TOTAL_LABOR_HOURS_CAP,MAX(0,($D336+M$5)-PERMANENT_FIELD_LABOR_HOURS)&gt;TEMP_HOURS_CAP),"",$C336+M$6-MIN(($D336+M$5),PERMANENT_FIELD_LABOR_HOURS)*PERMANENT_HOURLY_RATE-MAX(0,($D336+M$5)-PERMANENT_FIELD_LABOR_HOURS)*TEMP_HOURLY_RATE-FIXED_SEASON_COST)</f>
        <v/>
      </c>
      <c r="N336" s="53" t="str">
        <f aca="false">IF(OR($A336&gt;TOMATO_BED_CAP,$B336&gt;CARROT_BED_CAP,N$4&gt;MESCLUN_BED_CAP,$A336+$B336+N$4&gt;TOTAL_BEDS_AVAILABLE,($D336+N$5)&gt;TOTAL_LABOR_HOURS_CAP,MAX(0,($D336+N$5)-PERMANENT_FIELD_LABOR_HOURS)&gt;TEMP_HOURS_CAP),"",$C336+N$6-MIN(($D336+N$5),PERMANENT_FIELD_LABOR_HOURS)*PERMANENT_HOURLY_RATE-MAX(0,($D336+N$5)-PERMANENT_FIELD_LABOR_HOURS)*TEMP_HOURLY_RATE-FIXED_SEASON_COST)</f>
        <v/>
      </c>
      <c r="O336" s="53" t="str">
        <f aca="false">IF(OR($A336&gt;TOMATO_BED_CAP,$B336&gt;CARROT_BED_CAP,O$4&gt;MESCLUN_BED_CAP,$A336+$B336+O$4&gt;TOTAL_BEDS_AVAILABLE,($D336+O$5)&gt;TOTAL_LABOR_HOURS_CAP,MAX(0,($D336+O$5)-PERMANENT_FIELD_LABOR_HOURS)&gt;TEMP_HOURS_CAP),"",$C336+O$6-MIN(($D336+O$5),PERMANENT_FIELD_LABOR_HOURS)*PERMANENT_HOURLY_RATE-MAX(0,($D336+O$5)-PERMANENT_FIELD_LABOR_HOURS)*TEMP_HOURLY_RATE-FIXED_SEASON_COST)</f>
        <v/>
      </c>
      <c r="P336" s="53" t="str">
        <f aca="false">IF(OR($A336&gt;TOMATO_BED_CAP,$B336&gt;CARROT_BED_CAP,P$4&gt;MESCLUN_BED_CAP,$A336+$B336+P$4&gt;TOTAL_BEDS_AVAILABLE,($D336+P$5)&gt;TOTAL_LABOR_HOURS_CAP,MAX(0,($D336+P$5)-PERMANENT_FIELD_LABOR_HOURS)&gt;TEMP_HOURS_CAP),"",$C336+P$6-MIN(($D336+P$5),PERMANENT_FIELD_LABOR_HOURS)*PERMANENT_HOURLY_RATE-MAX(0,($D336+P$5)-PERMANENT_FIELD_LABOR_HOURS)*TEMP_HOURLY_RATE-FIXED_SEASON_COST)</f>
        <v/>
      </c>
      <c r="Q336" s="53" t="str">
        <f aca="false">IF(OR($A336&gt;TOMATO_BED_CAP,$B336&gt;CARROT_BED_CAP,Q$4&gt;MESCLUN_BED_CAP,$A336+$B336+Q$4&gt;TOTAL_BEDS_AVAILABLE,($D336+Q$5)&gt;TOTAL_LABOR_HOURS_CAP,MAX(0,($D336+Q$5)-PERMANENT_FIELD_LABOR_HOURS)&gt;TEMP_HOURS_CAP),"",$C336+Q$6-MIN(($D336+Q$5),PERMANENT_FIELD_LABOR_HOURS)*PERMANENT_HOURLY_RATE-MAX(0,($D336+Q$5)-PERMANENT_FIELD_LABOR_HOURS)*TEMP_HOURLY_RATE-FIXED_SEASON_COST)</f>
        <v/>
      </c>
      <c r="R336" s="53" t="str">
        <f aca="false">IF(OR($A336&gt;TOMATO_BED_CAP,$B336&gt;CARROT_BED_CAP,R$4&gt;MESCLUN_BED_CAP,$A336+$B336+R$4&gt;TOTAL_BEDS_AVAILABLE,($D336+R$5)&gt;TOTAL_LABOR_HOURS_CAP,MAX(0,($D336+R$5)-PERMANENT_FIELD_LABOR_HOURS)&gt;TEMP_HOURS_CAP),"",$C336+R$6-MIN(($D336+R$5),PERMANENT_FIELD_LABOR_HOURS)*PERMANENT_HOURLY_RATE-MAX(0,($D336+R$5)-PERMANENT_FIELD_LABOR_HOURS)*TEMP_HOURLY_RATE-FIXED_SEASON_COST)</f>
        <v/>
      </c>
      <c r="S336" s="53" t="str">
        <f aca="false">IF(OR($A336&gt;TOMATO_BED_CAP,$B336&gt;CARROT_BED_CAP,S$4&gt;MESCLUN_BED_CAP,$A336+$B336+S$4&gt;TOTAL_BEDS_AVAILABLE,($D336+S$5)&gt;TOTAL_LABOR_HOURS_CAP,MAX(0,($D336+S$5)-PERMANENT_FIELD_LABOR_HOURS)&gt;TEMP_HOURS_CAP),"",$C336+S$6-MIN(($D336+S$5),PERMANENT_FIELD_LABOR_HOURS)*PERMANENT_HOURLY_RATE-MAX(0,($D336+S$5)-PERMANENT_FIELD_LABOR_HOURS)*TEMP_HOURLY_RATE-FIXED_SEASON_COST)</f>
        <v/>
      </c>
      <c r="T336" s="53" t="str">
        <f aca="false">IF(OR($A336&gt;TOMATO_BED_CAP,$B336&gt;CARROT_BED_CAP,T$4&gt;MESCLUN_BED_CAP,$A336+$B336+T$4&gt;TOTAL_BEDS_AVAILABLE,($D336+T$5)&gt;TOTAL_LABOR_HOURS_CAP,MAX(0,($D336+T$5)-PERMANENT_FIELD_LABOR_HOURS)&gt;TEMP_HOURS_CAP),"",$C336+T$6-MIN(($D336+T$5),PERMANENT_FIELD_LABOR_HOURS)*PERMANENT_HOURLY_RATE-MAX(0,($D336+T$5)-PERMANENT_FIELD_LABOR_HOURS)*TEMP_HOURLY_RATE-FIXED_SEASON_COST)</f>
        <v/>
      </c>
      <c r="U336" s="53" t="str">
        <f aca="false">IF(OR($A336&gt;TOMATO_BED_CAP,$B336&gt;CARROT_BED_CAP,U$4&gt;MESCLUN_BED_CAP,$A336+$B336+U$4&gt;TOTAL_BEDS_AVAILABLE,($D336+U$5)&gt;TOTAL_LABOR_HOURS_CAP,MAX(0,($D336+U$5)-PERMANENT_FIELD_LABOR_HOURS)&gt;TEMP_HOURS_CAP),"",$C336+U$6-MIN(($D336+U$5),PERMANENT_FIELD_LABOR_HOURS)*PERMANENT_HOURLY_RATE-MAX(0,($D336+U$5)-PERMANENT_FIELD_LABOR_HOURS)*TEMP_HOURLY_RATE-FIXED_SEASON_COST)</f>
        <v/>
      </c>
      <c r="V336" s="53" t="str">
        <f aca="false">IF(OR($A336&gt;TOMATO_BED_CAP,$B336&gt;CARROT_BED_CAP,V$4&gt;MESCLUN_BED_CAP,$A336+$B336+V$4&gt;TOTAL_BEDS_AVAILABLE,($D336+V$5)&gt;TOTAL_LABOR_HOURS_CAP,MAX(0,($D336+V$5)-PERMANENT_FIELD_LABOR_HOURS)&gt;TEMP_HOURS_CAP),"",$C336+V$6-MIN(($D336+V$5),PERMANENT_FIELD_LABOR_HOURS)*PERMANENT_HOURLY_RATE-MAX(0,($D336+V$5)-PERMANENT_FIELD_LABOR_HOURS)*TEMP_HOURLY_RATE-FIXED_SEASON_COST)</f>
        <v/>
      </c>
      <c r="W336" s="53" t="str">
        <f aca="false">IF(OR($A336&gt;TOMATO_BED_CAP,$B336&gt;CARROT_BED_CAP,W$4&gt;MESCLUN_BED_CAP,$A336+$B336+W$4&gt;TOTAL_BEDS_AVAILABLE,($D336+W$5)&gt;TOTAL_LABOR_HOURS_CAP,MAX(0,($D336+W$5)-PERMANENT_FIELD_LABOR_HOURS)&gt;TEMP_HOURS_CAP),"",$C336+W$6-MIN(($D336+W$5),PERMANENT_FIELD_LABOR_HOURS)*PERMANENT_HOURLY_RATE-MAX(0,($D336+W$5)-PERMANENT_FIELD_LABOR_HOURS)*TEMP_HOURLY_RATE-FIXED_SEASON_COST)</f>
        <v/>
      </c>
      <c r="X336" s="53" t="str">
        <f aca="false">IF(OR($A336&gt;TOMATO_BED_CAP,$B336&gt;CARROT_BED_CAP,X$4&gt;MESCLUN_BED_CAP,$A336+$B336+X$4&gt;TOTAL_BEDS_AVAILABLE,($D336+X$5)&gt;TOTAL_LABOR_HOURS_CAP,MAX(0,($D336+X$5)-PERMANENT_FIELD_LABOR_HOURS)&gt;TEMP_HOURS_CAP),"",$C336+X$6-MIN(($D336+X$5),PERMANENT_FIELD_LABOR_HOURS)*PERMANENT_HOURLY_RATE-MAX(0,($D336+X$5)-PERMANENT_FIELD_LABOR_HOURS)*TEMP_HOURLY_RATE-FIXED_SEASON_COST)</f>
        <v/>
      </c>
      <c r="Y336" s="53" t="str">
        <f aca="false">IF(OR($A336&gt;TOMATO_BED_CAP,$B336&gt;CARROT_BED_CAP,Y$4&gt;MESCLUN_BED_CAP,$A336+$B336+Y$4&gt;TOTAL_BEDS_AVAILABLE,($D336+Y$5)&gt;TOTAL_LABOR_HOURS_CAP,MAX(0,($D336+Y$5)-PERMANENT_FIELD_LABOR_HOURS)&gt;TEMP_HOURS_CAP),"",$C336+Y$6-MIN(($D336+Y$5),PERMANENT_FIELD_LABOR_HOURS)*PERMANENT_HOURLY_RATE-MAX(0,($D336+Y$5)-PERMANENT_FIELD_LABOR_HOURS)*TEMP_HOURLY_RATE-FIXED_SEASON_COST)</f>
        <v/>
      </c>
      <c r="Z336" s="53" t="str">
        <f aca="false">IF(OR($A336&gt;TOMATO_BED_CAP,$B336&gt;CARROT_BED_CAP,Z$4&gt;MESCLUN_BED_CAP,$A336+$B336+Z$4&gt;TOTAL_BEDS_AVAILABLE,($D336+Z$5)&gt;TOTAL_LABOR_HOURS_CAP,MAX(0,($D336+Z$5)-PERMANENT_FIELD_LABOR_HOURS)&gt;TEMP_HOURS_CAP),"",$C336+Z$6-MIN(($D336+Z$5),PERMANENT_FIELD_LABOR_HOURS)*PERMANENT_HOURLY_RATE-MAX(0,($D336+Z$5)-PERMANENT_FIELD_LABOR_HOURS)*TEMP_HOURLY_RATE-FIXED_SEASON_COST)</f>
        <v/>
      </c>
      <c r="AA336" s="53" t="str">
        <f aca="false">IF(OR($A336&gt;TOMATO_BED_CAP,$B336&gt;CARROT_BED_CAP,AA$4&gt;MESCLUN_BED_CAP,$A336+$B336+AA$4&gt;TOTAL_BEDS_AVAILABLE,($D336+AA$5)&gt;TOTAL_LABOR_HOURS_CAP,MAX(0,($D336+AA$5)-PERMANENT_FIELD_LABOR_HOURS)&gt;TEMP_HOURS_CAP),"",$C336+AA$6-MIN(($D336+AA$5),PERMANENT_FIELD_LABOR_HOURS)*PERMANENT_HOURLY_RATE-MAX(0,($D336+AA$5)-PERMANENT_FIELD_LABOR_HOURS)*TEMP_HOURLY_RATE-FIXED_SEASON_COST)</f>
        <v/>
      </c>
      <c r="AB336" s="53" t="str">
        <f aca="false">IF(OR($A336&gt;TOMATO_BED_CAP,$B336&gt;CARROT_BED_CAP,AB$4&gt;MESCLUN_BED_CAP,$A336+$B336+AB$4&gt;TOTAL_BEDS_AVAILABLE,($D336+AB$5)&gt;TOTAL_LABOR_HOURS_CAP,MAX(0,($D336+AB$5)-PERMANENT_FIELD_LABOR_HOURS)&gt;TEMP_HOURS_CAP),"",$C336+AB$6-MIN(($D336+AB$5),PERMANENT_FIELD_LABOR_HOURS)*PERMANENT_HOURLY_RATE-MAX(0,($D336+AB$5)-PERMANENT_FIELD_LABOR_HOURS)*TEMP_HOURLY_RATE-FIXED_SEASON_COST)</f>
        <v/>
      </c>
      <c r="AC336" s="53" t="str">
        <f aca="false">IF(OR($A336&gt;TOMATO_BED_CAP,$B336&gt;CARROT_BED_CAP,AC$4&gt;MESCLUN_BED_CAP,$A336+$B336+AC$4&gt;TOTAL_BEDS_AVAILABLE,($D336+AC$5)&gt;TOTAL_LABOR_HOURS_CAP,MAX(0,($D336+AC$5)-PERMANENT_FIELD_LABOR_HOURS)&gt;TEMP_HOURS_CAP),"",$C336+AC$6-MIN(($D336+AC$5),PERMANENT_FIELD_LABOR_HOURS)*PERMANENT_HOURLY_RATE-MAX(0,($D336+AC$5)-PERMANENT_FIELD_LABOR_HOURS)*TEMP_HOURLY_RATE-FIXED_SEASON_COST)</f>
        <v/>
      </c>
      <c r="AD336" s="53" t="str">
        <f aca="false">IF(OR($A336&gt;TOMATO_BED_CAP,$B336&gt;CARROT_BED_CAP,AD$4&gt;MESCLUN_BED_CAP,$A336+$B336+AD$4&gt;TOTAL_BEDS_AVAILABLE,($D336+AD$5)&gt;TOTAL_LABOR_HOURS_CAP,MAX(0,($D336+AD$5)-PERMANENT_FIELD_LABOR_HOURS)&gt;TEMP_HOURS_CAP),"",$C336+AD$6-MIN(($D336+AD$5),PERMANENT_FIELD_LABOR_HOURS)*PERMANENT_HOURLY_RATE-MAX(0,($D336+AD$5)-PERMANENT_FIELD_LABOR_HOURS)*TEMP_HOURLY_RATE-FIXED_SEASON_COST)</f>
        <v/>
      </c>
      <c r="AE336" s="53" t="str">
        <f aca="false">IF(OR($A336&gt;TOMATO_BED_CAP,$B336&gt;CARROT_BED_CAP,AE$4&gt;MESCLUN_BED_CAP,$A336+$B336+AE$4&gt;TOTAL_BEDS_AVAILABLE,($D336+AE$5)&gt;TOTAL_LABOR_HOURS_CAP,MAX(0,($D336+AE$5)-PERMANENT_FIELD_LABOR_HOURS)&gt;TEMP_HOURS_CAP),"",$C336+AE$6-MIN(($D336+AE$5),PERMANENT_FIELD_LABOR_HOURS)*PERMANENT_HOURLY_RATE-MAX(0,($D336+AE$5)-PERMANENT_FIELD_LABOR_HOURS)*TEMP_HOURLY_RATE-FIXED_SEASON_COST)</f>
        <v/>
      </c>
      <c r="AF336" s="53" t="str">
        <f aca="false">IF(OR($A336&gt;TOMATO_BED_CAP,$B336&gt;CARROT_BED_CAP,AF$4&gt;MESCLUN_BED_CAP,$A336+$B336+AF$4&gt;TOTAL_BEDS_AVAILABLE,($D336+AF$5)&gt;TOTAL_LABOR_HOURS_CAP,MAX(0,($D336+AF$5)-PERMANENT_FIELD_LABOR_HOURS)&gt;TEMP_HOURS_CAP),"",$C336+AF$6-MIN(($D336+AF$5),PERMANENT_FIELD_LABOR_HOURS)*PERMANENT_HOURLY_RATE-MAX(0,($D336+AF$5)-PERMANENT_FIELD_LABOR_HOURS)*TEMP_HOURLY_RATE-FIXED_SEASON_COST)</f>
        <v/>
      </c>
      <c r="AG336" s="53" t="str">
        <f aca="false">IF(OR($A336&gt;TOMATO_BED_CAP,$B336&gt;CARROT_BED_CAP,AG$4&gt;MESCLUN_BED_CAP,$A336+$B336+AG$4&gt;TOTAL_BEDS_AVAILABLE,($D336+AG$5)&gt;TOTAL_LABOR_HOURS_CAP,MAX(0,($D336+AG$5)-PERMANENT_FIELD_LABOR_HOURS)&gt;TEMP_HOURS_CAP),"",$C336+AG$6-MIN(($D336+AG$5),PERMANENT_FIELD_LABOR_HOURS)*PERMANENT_HOURLY_RATE-MAX(0,($D336+AG$5)-PERMANENT_FIELD_LABOR_HOURS)*TEMP_HOURLY_RATE-FIXED_SEASON_COST)</f>
        <v/>
      </c>
      <c r="AH336" s="53" t="str">
        <f aca="false">IF(OR($A336&gt;TOMATO_BED_CAP,$B336&gt;CARROT_BED_CAP,AH$4&gt;MESCLUN_BED_CAP,$A336+$B336+AH$4&gt;TOTAL_BEDS_AVAILABLE,($D336+AH$5)&gt;TOTAL_LABOR_HOURS_CAP,MAX(0,($D336+AH$5)-PERMANENT_FIELD_LABOR_HOURS)&gt;TEMP_HOURS_CAP),"",$C336+AH$6-MIN(($D336+AH$5),PERMANENT_FIELD_LABOR_HOURS)*PERMANENT_HOURLY_RATE-MAX(0,($D336+AH$5)-PERMANENT_FIELD_LABOR_HOURS)*TEMP_HOURLY_RATE-FIXED_SEASON_COST)</f>
        <v/>
      </c>
      <c r="AI336" s="53" t="str">
        <f aca="false">IF(OR($A336&gt;TOMATO_BED_CAP,$B336&gt;CARROT_BED_CAP,AI$4&gt;MESCLUN_BED_CAP,$A336+$B336+AI$4&gt;TOTAL_BEDS_AVAILABLE,($D336+AI$5)&gt;TOTAL_LABOR_HOURS_CAP,MAX(0,($D336+AI$5)-PERMANENT_FIELD_LABOR_HOURS)&gt;TEMP_HOURS_CAP),"",$C336+AI$6-MIN(($D336+AI$5),PERMANENT_FIELD_LABOR_HOURS)*PERMANENT_HOURLY_RATE-MAX(0,($D336+AI$5)-PERMANENT_FIELD_LABOR_HOURS)*TEMP_HOURLY_RATE-FIXED_SEASON_COST)</f>
        <v/>
      </c>
      <c r="AJ336" s="53" t="str">
        <f aca="false">IF(OR($A336&gt;TOMATO_BED_CAP,$B336&gt;CARROT_BED_CAP,AJ$4&gt;MESCLUN_BED_CAP,$A336+$B336+AJ$4&gt;TOTAL_BEDS_AVAILABLE,($D336+AJ$5)&gt;TOTAL_LABOR_HOURS_CAP,MAX(0,($D336+AJ$5)-PERMANENT_FIELD_LABOR_HOURS)&gt;TEMP_HOURS_CAP),"",$C336+AJ$6-MIN(($D336+AJ$5),PERMANENT_FIELD_LABOR_HOURS)*PERMANENT_HOURLY_RATE-MAX(0,($D336+AJ$5)-PERMANENT_FIELD_LABOR_HOURS)*TEMP_HOURLY_RATE-FIXED_SEASON_COST)</f>
        <v/>
      </c>
    </row>
    <row r="337" customFormat="false" ht="15" hidden="false" customHeight="false" outlineLevel="0" collapsed="false">
      <c r="A337" s="21" t="n">
        <f aca="false">INT((ROW()-ROW($A$8))/(20+1))</f>
        <v>15</v>
      </c>
      <c r="B337" s="21" t="n">
        <f aca="false">MOD(ROW()-ROW($A$8),20+1)</f>
        <v>14</v>
      </c>
      <c r="C337" s="13" t="n">
        <f aca="false">A337*(TOMATO_REVENUE_PER_BED-TOMATO_FERTILIZER_PER_BED)+B337*(CARROT_REVENUE_PER_BED-CARROT_FERTILIZER_PER_BED)</f>
        <v>141956</v>
      </c>
      <c r="D337" s="14" t="n">
        <f aca="false">INDEX(TOMATO_SCHED_LABOR_HRS,A337+1)+INDEX(CARROT_SCHED_LABOR_HRS,B337+1)</f>
        <v>6232.49665391819</v>
      </c>
      <c r="E337" s="13" t="n">
        <f aca="false">IF(COUNT(F337:AJ337)=0,"",MAX(F337:AJ337))</f>
        <v>6204.353195919</v>
      </c>
      <c r="F337" s="53" t="n">
        <f aca="false">IF(OR($A337&gt;TOMATO_BED_CAP,$B337&gt;CARROT_BED_CAP,F$4&gt;MESCLUN_BED_CAP,$A337+$B337+F$4&gt;TOTAL_BEDS_AVAILABLE,($D337+F$5)&gt;TOTAL_LABOR_HOURS_CAP,MAX(0,($D337+F$5)-PERMANENT_FIELD_LABOR_HOURS)&gt;TEMP_HOURS_CAP),"",$C337+F$6-MIN(($D337+F$5),PERMANENT_FIELD_LABOR_HOURS)*PERMANENT_HOURLY_RATE-MAX(0,($D337+F$5)-PERMANENT_FIELD_LABOR_HOURS)*TEMP_HOURLY_RATE-FIXED_SEASON_COST)</f>
        <v>1260.65808798016</v>
      </c>
      <c r="G337" s="53" t="n">
        <f aca="false">IF(OR($A337&gt;TOMATO_BED_CAP,$B337&gt;CARROT_BED_CAP,G$4&gt;MESCLUN_BED_CAP,$A337+$B337+G$4&gt;TOTAL_BEDS_AVAILABLE,($D337+G$5)&gt;TOTAL_LABOR_HOURS_CAP,MAX(0,($D337+G$5)-PERMANENT_FIELD_LABOR_HOURS)&gt;TEMP_HOURS_CAP),"",$C337+G$6-MIN(($D337+G$5),PERMANENT_FIELD_LABOR_HOURS)*PERMANENT_HOURLY_RATE-MAX(0,($D337+G$5)-PERMANENT_FIELD_LABOR_HOURS)*TEMP_HOURLY_RATE-FIXED_SEASON_COST)</f>
        <v>2289.69308798015</v>
      </c>
      <c r="H337" s="53" t="n">
        <f aca="false">IF(OR($A337&gt;TOMATO_BED_CAP,$B337&gt;CARROT_BED_CAP,H$4&gt;MESCLUN_BED_CAP,$A337+$B337+H$4&gt;TOTAL_BEDS_AVAILABLE,($D337+H$5)&gt;TOTAL_LABOR_HOURS_CAP,MAX(0,($D337+H$5)-PERMANENT_FIELD_LABOR_HOURS)&gt;TEMP_HOURS_CAP),"",$C337+H$6-MIN(($D337+H$5),PERMANENT_FIELD_LABOR_HOURS)*PERMANENT_HOURLY_RATE-MAX(0,($D337+H$5)-PERMANENT_FIELD_LABOR_HOURS)*TEMP_HOURLY_RATE-FIXED_SEASON_COST)</f>
        <v>3298.95396298016</v>
      </c>
      <c r="I337" s="53" t="n">
        <f aca="false">IF(OR($A337&gt;TOMATO_BED_CAP,$B337&gt;CARROT_BED_CAP,I$4&gt;MESCLUN_BED_CAP,$A337+$B337+I$4&gt;TOTAL_BEDS_AVAILABLE,($D337+I$5)&gt;TOTAL_LABOR_HOURS_CAP,MAX(0,($D337+I$5)-PERMANENT_FIELD_LABOR_HOURS)&gt;TEMP_HOURS_CAP),"",$C337+I$6-MIN(($D337+I$5),PERMANENT_FIELD_LABOR_HOURS)*PERMANENT_HOURLY_RATE-MAX(0,($D337+I$5)-PERMANENT_FIELD_LABOR_HOURS)*TEMP_HOURLY_RATE-FIXED_SEASON_COST)</f>
        <v>4288.0699481364</v>
      </c>
      <c r="J337" s="53" t="n">
        <f aca="false">IF(OR($A337&gt;TOMATO_BED_CAP,$B337&gt;CARROT_BED_CAP,J$4&gt;MESCLUN_BED_CAP,$A337+$B337+J$4&gt;TOTAL_BEDS_AVAILABLE,($D337+J$5)&gt;TOTAL_LABOR_HOURS_CAP,MAX(0,($D337+J$5)-PERMANENT_FIELD_LABOR_HOURS)&gt;TEMP_HOURS_CAP),"",$C337+J$6-MIN(($D337+J$5),PERMANENT_FIELD_LABOR_HOURS)*PERMANENT_HOURLY_RATE-MAX(0,($D337+J$5)-PERMANENT_FIELD_LABOR_HOURS)*TEMP_HOURLY_RATE-FIXED_SEASON_COST)</f>
        <v>5256.6640991911</v>
      </c>
      <c r="K337" s="53" t="n">
        <f aca="false">IF(OR($A337&gt;TOMATO_BED_CAP,$B337&gt;CARROT_BED_CAP,K$4&gt;MESCLUN_BED_CAP,$A337+$B337+K$4&gt;TOTAL_BEDS_AVAILABLE,($D337+K$5)&gt;TOTAL_LABOR_HOURS_CAP,MAX(0,($D337+K$5)-PERMANENT_FIELD_LABOR_HOURS)&gt;TEMP_HOURS_CAP),"",$C337+K$6-MIN(($D337+K$5),PERMANENT_FIELD_LABOR_HOURS)*PERMANENT_HOURLY_RATE-MAX(0,($D337+K$5)-PERMANENT_FIELD_LABOR_HOURS)*TEMP_HOURLY_RATE-FIXED_SEASON_COST)</f>
        <v>6204.353195919</v>
      </c>
      <c r="L337" s="53" t="str">
        <f aca="false">IF(OR($A337&gt;TOMATO_BED_CAP,$B337&gt;CARROT_BED_CAP,L$4&gt;MESCLUN_BED_CAP,$A337+$B337+L$4&gt;TOTAL_BEDS_AVAILABLE,($D337+L$5)&gt;TOTAL_LABOR_HOURS_CAP,MAX(0,($D337+L$5)-PERMANENT_FIELD_LABOR_HOURS)&gt;TEMP_HOURS_CAP),"",$C337+L$6-MIN(($D337+L$5),PERMANENT_FIELD_LABOR_HOURS)*PERMANENT_HOURLY_RATE-MAX(0,($D337+L$5)-PERMANENT_FIELD_LABOR_HOURS)*TEMP_HOURLY_RATE-FIXED_SEASON_COST)</f>
        <v/>
      </c>
      <c r="M337" s="53" t="str">
        <f aca="false">IF(OR($A337&gt;TOMATO_BED_CAP,$B337&gt;CARROT_BED_CAP,M$4&gt;MESCLUN_BED_CAP,$A337+$B337+M$4&gt;TOTAL_BEDS_AVAILABLE,($D337+M$5)&gt;TOTAL_LABOR_HOURS_CAP,MAX(0,($D337+M$5)-PERMANENT_FIELD_LABOR_HOURS)&gt;TEMP_HOURS_CAP),"",$C337+M$6-MIN(($D337+M$5),PERMANENT_FIELD_LABOR_HOURS)*PERMANENT_HOURLY_RATE-MAX(0,($D337+M$5)-PERMANENT_FIELD_LABOR_HOURS)*TEMP_HOURLY_RATE-FIXED_SEASON_COST)</f>
        <v/>
      </c>
      <c r="N337" s="53" t="str">
        <f aca="false">IF(OR($A337&gt;TOMATO_BED_CAP,$B337&gt;CARROT_BED_CAP,N$4&gt;MESCLUN_BED_CAP,$A337+$B337+N$4&gt;TOTAL_BEDS_AVAILABLE,($D337+N$5)&gt;TOTAL_LABOR_HOURS_CAP,MAX(0,($D337+N$5)-PERMANENT_FIELD_LABOR_HOURS)&gt;TEMP_HOURS_CAP),"",$C337+N$6-MIN(($D337+N$5),PERMANENT_FIELD_LABOR_HOURS)*PERMANENT_HOURLY_RATE-MAX(0,($D337+N$5)-PERMANENT_FIELD_LABOR_HOURS)*TEMP_HOURLY_RATE-FIXED_SEASON_COST)</f>
        <v/>
      </c>
      <c r="O337" s="53" t="str">
        <f aca="false">IF(OR($A337&gt;TOMATO_BED_CAP,$B337&gt;CARROT_BED_CAP,O$4&gt;MESCLUN_BED_CAP,$A337+$B337+O$4&gt;TOTAL_BEDS_AVAILABLE,($D337+O$5)&gt;TOTAL_LABOR_HOURS_CAP,MAX(0,($D337+O$5)-PERMANENT_FIELD_LABOR_HOURS)&gt;TEMP_HOURS_CAP),"",$C337+O$6-MIN(($D337+O$5),PERMANENT_FIELD_LABOR_HOURS)*PERMANENT_HOURLY_RATE-MAX(0,($D337+O$5)-PERMANENT_FIELD_LABOR_HOURS)*TEMP_HOURLY_RATE-FIXED_SEASON_COST)</f>
        <v/>
      </c>
      <c r="P337" s="53" t="str">
        <f aca="false">IF(OR($A337&gt;TOMATO_BED_CAP,$B337&gt;CARROT_BED_CAP,P$4&gt;MESCLUN_BED_CAP,$A337+$B337+P$4&gt;TOTAL_BEDS_AVAILABLE,($D337+P$5)&gt;TOTAL_LABOR_HOURS_CAP,MAX(0,($D337+P$5)-PERMANENT_FIELD_LABOR_HOURS)&gt;TEMP_HOURS_CAP),"",$C337+P$6-MIN(($D337+P$5),PERMANENT_FIELD_LABOR_HOURS)*PERMANENT_HOURLY_RATE-MAX(0,($D337+P$5)-PERMANENT_FIELD_LABOR_HOURS)*TEMP_HOURLY_RATE-FIXED_SEASON_COST)</f>
        <v/>
      </c>
      <c r="Q337" s="53" t="str">
        <f aca="false">IF(OR($A337&gt;TOMATO_BED_CAP,$B337&gt;CARROT_BED_CAP,Q$4&gt;MESCLUN_BED_CAP,$A337+$B337+Q$4&gt;TOTAL_BEDS_AVAILABLE,($D337+Q$5)&gt;TOTAL_LABOR_HOURS_CAP,MAX(0,($D337+Q$5)-PERMANENT_FIELD_LABOR_HOURS)&gt;TEMP_HOURS_CAP),"",$C337+Q$6-MIN(($D337+Q$5),PERMANENT_FIELD_LABOR_HOURS)*PERMANENT_HOURLY_RATE-MAX(0,($D337+Q$5)-PERMANENT_FIELD_LABOR_HOURS)*TEMP_HOURLY_RATE-FIXED_SEASON_COST)</f>
        <v/>
      </c>
      <c r="R337" s="53" t="str">
        <f aca="false">IF(OR($A337&gt;TOMATO_BED_CAP,$B337&gt;CARROT_BED_CAP,R$4&gt;MESCLUN_BED_CAP,$A337+$B337+R$4&gt;TOTAL_BEDS_AVAILABLE,($D337+R$5)&gt;TOTAL_LABOR_HOURS_CAP,MAX(0,($D337+R$5)-PERMANENT_FIELD_LABOR_HOURS)&gt;TEMP_HOURS_CAP),"",$C337+R$6-MIN(($D337+R$5),PERMANENT_FIELD_LABOR_HOURS)*PERMANENT_HOURLY_RATE-MAX(0,($D337+R$5)-PERMANENT_FIELD_LABOR_HOURS)*TEMP_HOURLY_RATE-FIXED_SEASON_COST)</f>
        <v/>
      </c>
      <c r="S337" s="53" t="str">
        <f aca="false">IF(OR($A337&gt;TOMATO_BED_CAP,$B337&gt;CARROT_BED_CAP,S$4&gt;MESCLUN_BED_CAP,$A337+$B337+S$4&gt;TOTAL_BEDS_AVAILABLE,($D337+S$5)&gt;TOTAL_LABOR_HOURS_CAP,MAX(0,($D337+S$5)-PERMANENT_FIELD_LABOR_HOURS)&gt;TEMP_HOURS_CAP),"",$C337+S$6-MIN(($D337+S$5),PERMANENT_FIELD_LABOR_HOURS)*PERMANENT_HOURLY_RATE-MAX(0,($D337+S$5)-PERMANENT_FIELD_LABOR_HOURS)*TEMP_HOURLY_RATE-FIXED_SEASON_COST)</f>
        <v/>
      </c>
      <c r="T337" s="53" t="str">
        <f aca="false">IF(OR($A337&gt;TOMATO_BED_CAP,$B337&gt;CARROT_BED_CAP,T$4&gt;MESCLUN_BED_CAP,$A337+$B337+T$4&gt;TOTAL_BEDS_AVAILABLE,($D337+T$5)&gt;TOTAL_LABOR_HOURS_CAP,MAX(0,($D337+T$5)-PERMANENT_FIELD_LABOR_HOURS)&gt;TEMP_HOURS_CAP),"",$C337+T$6-MIN(($D337+T$5),PERMANENT_FIELD_LABOR_HOURS)*PERMANENT_HOURLY_RATE-MAX(0,($D337+T$5)-PERMANENT_FIELD_LABOR_HOURS)*TEMP_HOURLY_RATE-FIXED_SEASON_COST)</f>
        <v/>
      </c>
      <c r="U337" s="53" t="str">
        <f aca="false">IF(OR($A337&gt;TOMATO_BED_CAP,$B337&gt;CARROT_BED_CAP,U$4&gt;MESCLUN_BED_CAP,$A337+$B337+U$4&gt;TOTAL_BEDS_AVAILABLE,($D337+U$5)&gt;TOTAL_LABOR_HOURS_CAP,MAX(0,($D337+U$5)-PERMANENT_FIELD_LABOR_HOURS)&gt;TEMP_HOURS_CAP),"",$C337+U$6-MIN(($D337+U$5),PERMANENT_FIELD_LABOR_HOURS)*PERMANENT_HOURLY_RATE-MAX(0,($D337+U$5)-PERMANENT_FIELD_LABOR_HOURS)*TEMP_HOURLY_RATE-FIXED_SEASON_COST)</f>
        <v/>
      </c>
      <c r="V337" s="53" t="str">
        <f aca="false">IF(OR($A337&gt;TOMATO_BED_CAP,$B337&gt;CARROT_BED_CAP,V$4&gt;MESCLUN_BED_CAP,$A337+$B337+V$4&gt;TOTAL_BEDS_AVAILABLE,($D337+V$5)&gt;TOTAL_LABOR_HOURS_CAP,MAX(0,($D337+V$5)-PERMANENT_FIELD_LABOR_HOURS)&gt;TEMP_HOURS_CAP),"",$C337+V$6-MIN(($D337+V$5),PERMANENT_FIELD_LABOR_HOURS)*PERMANENT_HOURLY_RATE-MAX(0,($D337+V$5)-PERMANENT_FIELD_LABOR_HOURS)*TEMP_HOURLY_RATE-FIXED_SEASON_COST)</f>
        <v/>
      </c>
      <c r="W337" s="53" t="str">
        <f aca="false">IF(OR($A337&gt;TOMATO_BED_CAP,$B337&gt;CARROT_BED_CAP,W$4&gt;MESCLUN_BED_CAP,$A337+$B337+W$4&gt;TOTAL_BEDS_AVAILABLE,($D337+W$5)&gt;TOTAL_LABOR_HOURS_CAP,MAX(0,($D337+W$5)-PERMANENT_FIELD_LABOR_HOURS)&gt;TEMP_HOURS_CAP),"",$C337+W$6-MIN(($D337+W$5),PERMANENT_FIELD_LABOR_HOURS)*PERMANENT_HOURLY_RATE-MAX(0,($D337+W$5)-PERMANENT_FIELD_LABOR_HOURS)*TEMP_HOURLY_RATE-FIXED_SEASON_COST)</f>
        <v/>
      </c>
      <c r="X337" s="53" t="str">
        <f aca="false">IF(OR($A337&gt;TOMATO_BED_CAP,$B337&gt;CARROT_BED_CAP,X$4&gt;MESCLUN_BED_CAP,$A337+$B337+X$4&gt;TOTAL_BEDS_AVAILABLE,($D337+X$5)&gt;TOTAL_LABOR_HOURS_CAP,MAX(0,($D337+X$5)-PERMANENT_FIELD_LABOR_HOURS)&gt;TEMP_HOURS_CAP),"",$C337+X$6-MIN(($D337+X$5),PERMANENT_FIELD_LABOR_HOURS)*PERMANENT_HOURLY_RATE-MAX(0,($D337+X$5)-PERMANENT_FIELD_LABOR_HOURS)*TEMP_HOURLY_RATE-FIXED_SEASON_COST)</f>
        <v/>
      </c>
      <c r="Y337" s="53" t="str">
        <f aca="false">IF(OR($A337&gt;TOMATO_BED_CAP,$B337&gt;CARROT_BED_CAP,Y$4&gt;MESCLUN_BED_CAP,$A337+$B337+Y$4&gt;TOTAL_BEDS_AVAILABLE,($D337+Y$5)&gt;TOTAL_LABOR_HOURS_CAP,MAX(0,($D337+Y$5)-PERMANENT_FIELD_LABOR_HOURS)&gt;TEMP_HOURS_CAP),"",$C337+Y$6-MIN(($D337+Y$5),PERMANENT_FIELD_LABOR_HOURS)*PERMANENT_HOURLY_RATE-MAX(0,($D337+Y$5)-PERMANENT_FIELD_LABOR_HOURS)*TEMP_HOURLY_RATE-FIXED_SEASON_COST)</f>
        <v/>
      </c>
      <c r="Z337" s="53" t="str">
        <f aca="false">IF(OR($A337&gt;TOMATO_BED_CAP,$B337&gt;CARROT_BED_CAP,Z$4&gt;MESCLUN_BED_CAP,$A337+$B337+Z$4&gt;TOTAL_BEDS_AVAILABLE,($D337+Z$5)&gt;TOTAL_LABOR_HOURS_CAP,MAX(0,($D337+Z$5)-PERMANENT_FIELD_LABOR_HOURS)&gt;TEMP_HOURS_CAP),"",$C337+Z$6-MIN(($D337+Z$5),PERMANENT_FIELD_LABOR_HOURS)*PERMANENT_HOURLY_RATE-MAX(0,($D337+Z$5)-PERMANENT_FIELD_LABOR_HOURS)*TEMP_HOURLY_RATE-FIXED_SEASON_COST)</f>
        <v/>
      </c>
      <c r="AA337" s="53" t="str">
        <f aca="false">IF(OR($A337&gt;TOMATO_BED_CAP,$B337&gt;CARROT_BED_CAP,AA$4&gt;MESCLUN_BED_CAP,$A337+$B337+AA$4&gt;TOTAL_BEDS_AVAILABLE,($D337+AA$5)&gt;TOTAL_LABOR_HOURS_CAP,MAX(0,($D337+AA$5)-PERMANENT_FIELD_LABOR_HOURS)&gt;TEMP_HOURS_CAP),"",$C337+AA$6-MIN(($D337+AA$5),PERMANENT_FIELD_LABOR_HOURS)*PERMANENT_HOURLY_RATE-MAX(0,($D337+AA$5)-PERMANENT_FIELD_LABOR_HOURS)*TEMP_HOURLY_RATE-FIXED_SEASON_COST)</f>
        <v/>
      </c>
      <c r="AB337" s="53" t="str">
        <f aca="false">IF(OR($A337&gt;TOMATO_BED_CAP,$B337&gt;CARROT_BED_CAP,AB$4&gt;MESCLUN_BED_CAP,$A337+$B337+AB$4&gt;TOTAL_BEDS_AVAILABLE,($D337+AB$5)&gt;TOTAL_LABOR_HOURS_CAP,MAX(0,($D337+AB$5)-PERMANENT_FIELD_LABOR_HOURS)&gt;TEMP_HOURS_CAP),"",$C337+AB$6-MIN(($D337+AB$5),PERMANENT_FIELD_LABOR_HOURS)*PERMANENT_HOURLY_RATE-MAX(0,($D337+AB$5)-PERMANENT_FIELD_LABOR_HOURS)*TEMP_HOURLY_RATE-FIXED_SEASON_COST)</f>
        <v/>
      </c>
      <c r="AC337" s="53" t="str">
        <f aca="false">IF(OR($A337&gt;TOMATO_BED_CAP,$B337&gt;CARROT_BED_CAP,AC$4&gt;MESCLUN_BED_CAP,$A337+$B337+AC$4&gt;TOTAL_BEDS_AVAILABLE,($D337+AC$5)&gt;TOTAL_LABOR_HOURS_CAP,MAX(0,($D337+AC$5)-PERMANENT_FIELD_LABOR_HOURS)&gt;TEMP_HOURS_CAP),"",$C337+AC$6-MIN(($D337+AC$5),PERMANENT_FIELD_LABOR_HOURS)*PERMANENT_HOURLY_RATE-MAX(0,($D337+AC$5)-PERMANENT_FIELD_LABOR_HOURS)*TEMP_HOURLY_RATE-FIXED_SEASON_COST)</f>
        <v/>
      </c>
      <c r="AD337" s="53" t="str">
        <f aca="false">IF(OR($A337&gt;TOMATO_BED_CAP,$B337&gt;CARROT_BED_CAP,AD$4&gt;MESCLUN_BED_CAP,$A337+$B337+AD$4&gt;TOTAL_BEDS_AVAILABLE,($D337+AD$5)&gt;TOTAL_LABOR_HOURS_CAP,MAX(0,($D337+AD$5)-PERMANENT_FIELD_LABOR_HOURS)&gt;TEMP_HOURS_CAP),"",$C337+AD$6-MIN(($D337+AD$5),PERMANENT_FIELD_LABOR_HOURS)*PERMANENT_HOURLY_RATE-MAX(0,($D337+AD$5)-PERMANENT_FIELD_LABOR_HOURS)*TEMP_HOURLY_RATE-FIXED_SEASON_COST)</f>
        <v/>
      </c>
      <c r="AE337" s="53" t="str">
        <f aca="false">IF(OR($A337&gt;TOMATO_BED_CAP,$B337&gt;CARROT_BED_CAP,AE$4&gt;MESCLUN_BED_CAP,$A337+$B337+AE$4&gt;TOTAL_BEDS_AVAILABLE,($D337+AE$5)&gt;TOTAL_LABOR_HOURS_CAP,MAX(0,($D337+AE$5)-PERMANENT_FIELD_LABOR_HOURS)&gt;TEMP_HOURS_CAP),"",$C337+AE$6-MIN(($D337+AE$5),PERMANENT_FIELD_LABOR_HOURS)*PERMANENT_HOURLY_RATE-MAX(0,($D337+AE$5)-PERMANENT_FIELD_LABOR_HOURS)*TEMP_HOURLY_RATE-FIXED_SEASON_COST)</f>
        <v/>
      </c>
      <c r="AF337" s="53" t="str">
        <f aca="false">IF(OR($A337&gt;TOMATO_BED_CAP,$B337&gt;CARROT_BED_CAP,AF$4&gt;MESCLUN_BED_CAP,$A337+$B337+AF$4&gt;TOTAL_BEDS_AVAILABLE,($D337+AF$5)&gt;TOTAL_LABOR_HOURS_CAP,MAX(0,($D337+AF$5)-PERMANENT_FIELD_LABOR_HOURS)&gt;TEMP_HOURS_CAP),"",$C337+AF$6-MIN(($D337+AF$5),PERMANENT_FIELD_LABOR_HOURS)*PERMANENT_HOURLY_RATE-MAX(0,($D337+AF$5)-PERMANENT_FIELD_LABOR_HOURS)*TEMP_HOURLY_RATE-FIXED_SEASON_COST)</f>
        <v/>
      </c>
      <c r="AG337" s="53" t="str">
        <f aca="false">IF(OR($A337&gt;TOMATO_BED_CAP,$B337&gt;CARROT_BED_CAP,AG$4&gt;MESCLUN_BED_CAP,$A337+$B337+AG$4&gt;TOTAL_BEDS_AVAILABLE,($D337+AG$5)&gt;TOTAL_LABOR_HOURS_CAP,MAX(0,($D337+AG$5)-PERMANENT_FIELD_LABOR_HOURS)&gt;TEMP_HOURS_CAP),"",$C337+AG$6-MIN(($D337+AG$5),PERMANENT_FIELD_LABOR_HOURS)*PERMANENT_HOURLY_RATE-MAX(0,($D337+AG$5)-PERMANENT_FIELD_LABOR_HOURS)*TEMP_HOURLY_RATE-FIXED_SEASON_COST)</f>
        <v/>
      </c>
      <c r="AH337" s="53" t="str">
        <f aca="false">IF(OR($A337&gt;TOMATO_BED_CAP,$B337&gt;CARROT_BED_CAP,AH$4&gt;MESCLUN_BED_CAP,$A337+$B337+AH$4&gt;TOTAL_BEDS_AVAILABLE,($D337+AH$5)&gt;TOTAL_LABOR_HOURS_CAP,MAX(0,($D337+AH$5)-PERMANENT_FIELD_LABOR_HOURS)&gt;TEMP_HOURS_CAP),"",$C337+AH$6-MIN(($D337+AH$5),PERMANENT_FIELD_LABOR_HOURS)*PERMANENT_HOURLY_RATE-MAX(0,($D337+AH$5)-PERMANENT_FIELD_LABOR_HOURS)*TEMP_HOURLY_RATE-FIXED_SEASON_COST)</f>
        <v/>
      </c>
      <c r="AI337" s="53" t="str">
        <f aca="false">IF(OR($A337&gt;TOMATO_BED_CAP,$B337&gt;CARROT_BED_CAP,AI$4&gt;MESCLUN_BED_CAP,$A337+$B337+AI$4&gt;TOTAL_BEDS_AVAILABLE,($D337+AI$5)&gt;TOTAL_LABOR_HOURS_CAP,MAX(0,($D337+AI$5)-PERMANENT_FIELD_LABOR_HOURS)&gt;TEMP_HOURS_CAP),"",$C337+AI$6-MIN(($D337+AI$5),PERMANENT_FIELD_LABOR_HOURS)*PERMANENT_HOURLY_RATE-MAX(0,($D337+AI$5)-PERMANENT_FIELD_LABOR_HOURS)*TEMP_HOURLY_RATE-FIXED_SEASON_COST)</f>
        <v/>
      </c>
      <c r="AJ337" s="53" t="str">
        <f aca="false">IF(OR($A337&gt;TOMATO_BED_CAP,$B337&gt;CARROT_BED_CAP,AJ$4&gt;MESCLUN_BED_CAP,$A337+$B337+AJ$4&gt;TOTAL_BEDS_AVAILABLE,($D337+AJ$5)&gt;TOTAL_LABOR_HOURS_CAP,MAX(0,($D337+AJ$5)-PERMANENT_FIELD_LABOR_HOURS)&gt;TEMP_HOURS_CAP),"",$C337+AJ$6-MIN(($D337+AJ$5),PERMANENT_FIELD_LABOR_HOURS)*PERMANENT_HOURLY_RATE-MAX(0,($D337+AJ$5)-PERMANENT_FIELD_LABOR_HOURS)*TEMP_HOURLY_RATE-FIXED_SEASON_COST)</f>
        <v/>
      </c>
    </row>
    <row r="338" customFormat="false" ht="15" hidden="false" customHeight="false" outlineLevel="0" collapsed="false">
      <c r="A338" s="21" t="n">
        <f aca="false">INT((ROW()-ROW($A$8))/(20+1))</f>
        <v>15</v>
      </c>
      <c r="B338" s="21" t="n">
        <f aca="false">MOD(ROW()-ROW($A$8),20+1)</f>
        <v>15</v>
      </c>
      <c r="C338" s="13" t="n">
        <f aca="false">A338*(TOMATO_REVENUE_PER_BED-TOMATO_FERTILIZER_PER_BED)+B338*(CARROT_REVENUE_PER_BED-CARROT_FERTILIZER_PER_BED)</f>
        <v>143610</v>
      </c>
      <c r="D338" s="14" t="n">
        <f aca="false">INDEX(TOMATO_SCHED_LABOR_HRS,A338+1)+INDEX(CARROT_SCHED_LABOR_HRS,B338+1)</f>
        <v>6290.75850996532</v>
      </c>
      <c r="E338" s="13" t="n">
        <f aca="false">IF(COUNT(F338:AJ338)=0,"",MAX(F338:AJ338))</f>
        <v>5899.23827821307</v>
      </c>
      <c r="F338" s="53" t="n">
        <f aca="false">IF(OR($A338&gt;TOMATO_BED_CAP,$B338&gt;CARROT_BED_CAP,F$4&gt;MESCLUN_BED_CAP,$A338+$B338+F$4&gt;TOTAL_BEDS_AVAILABLE,($D338+F$5)&gt;TOTAL_LABOR_HOURS_CAP,MAX(0,($D338+F$5)-PERMANENT_FIELD_LABOR_HOURS)&gt;TEMP_HOURS_CAP),"",$C338+F$6-MIN(($D338+F$5),PERMANENT_FIELD_LABOR_HOURS)*PERMANENT_HOURLY_RATE-MAX(0,($D338+F$5)-PERMANENT_FIELD_LABOR_HOURS)*TEMP_HOURLY_RATE-FIXED_SEASON_COST)</f>
        <v>1903.23226700214</v>
      </c>
      <c r="G338" s="53" t="n">
        <f aca="false">IF(OR($A338&gt;TOMATO_BED_CAP,$B338&gt;CARROT_BED_CAP,G$4&gt;MESCLUN_BED_CAP,$A338+$B338+G$4&gt;TOTAL_BEDS_AVAILABLE,($D338+G$5)&gt;TOTAL_LABOR_HOURS_CAP,MAX(0,($D338+G$5)-PERMANENT_FIELD_LABOR_HOURS)&gt;TEMP_HOURS_CAP),"",$C338+G$6-MIN(($D338+G$5),PERMANENT_FIELD_LABOR_HOURS)*PERMANENT_HOURLY_RATE-MAX(0,($D338+G$5)-PERMANENT_FIELD_LABOR_HOURS)*TEMP_HOURLY_RATE-FIXED_SEASON_COST)</f>
        <v>2932.26726700214</v>
      </c>
      <c r="H338" s="53" t="n">
        <f aca="false">IF(OR($A338&gt;TOMATO_BED_CAP,$B338&gt;CARROT_BED_CAP,H$4&gt;MESCLUN_BED_CAP,$A338+$B338+H$4&gt;TOTAL_BEDS_AVAILABLE,($D338+H$5)&gt;TOTAL_LABOR_HOURS_CAP,MAX(0,($D338+H$5)-PERMANENT_FIELD_LABOR_HOURS)&gt;TEMP_HOURS_CAP),"",$C338+H$6-MIN(($D338+H$5),PERMANENT_FIELD_LABOR_HOURS)*PERMANENT_HOURLY_RATE-MAX(0,($D338+H$5)-PERMANENT_FIELD_LABOR_HOURS)*TEMP_HOURLY_RATE-FIXED_SEASON_COST)</f>
        <v>3941.52814200213</v>
      </c>
      <c r="I338" s="53" t="n">
        <f aca="false">IF(OR($A338&gt;TOMATO_BED_CAP,$B338&gt;CARROT_BED_CAP,I$4&gt;MESCLUN_BED_CAP,$A338+$B338+I$4&gt;TOTAL_BEDS_AVAILABLE,($D338+I$5)&gt;TOTAL_LABOR_HOURS_CAP,MAX(0,($D338+I$5)-PERMANENT_FIELD_LABOR_HOURS)&gt;TEMP_HOURS_CAP),"",$C338+I$6-MIN(($D338+I$5),PERMANENT_FIELD_LABOR_HOURS)*PERMANENT_HOURLY_RATE-MAX(0,($D338+I$5)-PERMANENT_FIELD_LABOR_HOURS)*TEMP_HOURLY_RATE-FIXED_SEASON_COST)</f>
        <v>4930.64412715839</v>
      </c>
      <c r="J338" s="53" t="n">
        <f aca="false">IF(OR($A338&gt;TOMATO_BED_CAP,$B338&gt;CARROT_BED_CAP,J$4&gt;MESCLUN_BED_CAP,$A338+$B338+J$4&gt;TOTAL_BEDS_AVAILABLE,($D338+J$5)&gt;TOTAL_LABOR_HOURS_CAP,MAX(0,($D338+J$5)-PERMANENT_FIELD_LABOR_HOURS)&gt;TEMP_HOURS_CAP),"",$C338+J$6-MIN(($D338+J$5),PERMANENT_FIELD_LABOR_HOURS)*PERMANENT_HOURLY_RATE-MAX(0,($D338+J$5)-PERMANENT_FIELD_LABOR_HOURS)*TEMP_HOURLY_RATE-FIXED_SEASON_COST)</f>
        <v>5899.23827821307</v>
      </c>
      <c r="K338" s="53" t="str">
        <f aca="false">IF(OR($A338&gt;TOMATO_BED_CAP,$B338&gt;CARROT_BED_CAP,K$4&gt;MESCLUN_BED_CAP,$A338+$B338+K$4&gt;TOTAL_BEDS_AVAILABLE,($D338+K$5)&gt;TOTAL_LABOR_HOURS_CAP,MAX(0,($D338+K$5)-PERMANENT_FIELD_LABOR_HOURS)&gt;TEMP_HOURS_CAP),"",$C338+K$6-MIN(($D338+K$5),PERMANENT_FIELD_LABOR_HOURS)*PERMANENT_HOURLY_RATE-MAX(0,($D338+K$5)-PERMANENT_FIELD_LABOR_HOURS)*TEMP_HOURLY_RATE-FIXED_SEASON_COST)</f>
        <v/>
      </c>
      <c r="L338" s="53" t="str">
        <f aca="false">IF(OR($A338&gt;TOMATO_BED_CAP,$B338&gt;CARROT_BED_CAP,L$4&gt;MESCLUN_BED_CAP,$A338+$B338+L$4&gt;TOTAL_BEDS_AVAILABLE,($D338+L$5)&gt;TOTAL_LABOR_HOURS_CAP,MAX(0,($D338+L$5)-PERMANENT_FIELD_LABOR_HOURS)&gt;TEMP_HOURS_CAP),"",$C338+L$6-MIN(($D338+L$5),PERMANENT_FIELD_LABOR_HOURS)*PERMANENT_HOURLY_RATE-MAX(0,($D338+L$5)-PERMANENT_FIELD_LABOR_HOURS)*TEMP_HOURLY_RATE-FIXED_SEASON_COST)</f>
        <v/>
      </c>
      <c r="M338" s="53" t="str">
        <f aca="false">IF(OR($A338&gt;TOMATO_BED_CAP,$B338&gt;CARROT_BED_CAP,M$4&gt;MESCLUN_BED_CAP,$A338+$B338+M$4&gt;TOTAL_BEDS_AVAILABLE,($D338+M$5)&gt;TOTAL_LABOR_HOURS_CAP,MAX(0,($D338+M$5)-PERMANENT_FIELD_LABOR_HOURS)&gt;TEMP_HOURS_CAP),"",$C338+M$6-MIN(($D338+M$5),PERMANENT_FIELD_LABOR_HOURS)*PERMANENT_HOURLY_RATE-MAX(0,($D338+M$5)-PERMANENT_FIELD_LABOR_HOURS)*TEMP_HOURLY_RATE-FIXED_SEASON_COST)</f>
        <v/>
      </c>
      <c r="N338" s="53" t="str">
        <f aca="false">IF(OR($A338&gt;TOMATO_BED_CAP,$B338&gt;CARROT_BED_CAP,N$4&gt;MESCLUN_BED_CAP,$A338+$B338+N$4&gt;TOTAL_BEDS_AVAILABLE,($D338+N$5)&gt;TOTAL_LABOR_HOURS_CAP,MAX(0,($D338+N$5)-PERMANENT_FIELD_LABOR_HOURS)&gt;TEMP_HOURS_CAP),"",$C338+N$6-MIN(($D338+N$5),PERMANENT_FIELD_LABOR_HOURS)*PERMANENT_HOURLY_RATE-MAX(0,($D338+N$5)-PERMANENT_FIELD_LABOR_HOURS)*TEMP_HOURLY_RATE-FIXED_SEASON_COST)</f>
        <v/>
      </c>
      <c r="O338" s="53" t="str">
        <f aca="false">IF(OR($A338&gt;TOMATO_BED_CAP,$B338&gt;CARROT_BED_CAP,O$4&gt;MESCLUN_BED_CAP,$A338+$B338+O$4&gt;TOTAL_BEDS_AVAILABLE,($D338+O$5)&gt;TOTAL_LABOR_HOURS_CAP,MAX(0,($D338+O$5)-PERMANENT_FIELD_LABOR_HOURS)&gt;TEMP_HOURS_CAP),"",$C338+O$6-MIN(($D338+O$5),PERMANENT_FIELD_LABOR_HOURS)*PERMANENT_HOURLY_RATE-MAX(0,($D338+O$5)-PERMANENT_FIELD_LABOR_HOURS)*TEMP_HOURLY_RATE-FIXED_SEASON_COST)</f>
        <v/>
      </c>
      <c r="P338" s="53" t="str">
        <f aca="false">IF(OR($A338&gt;TOMATO_BED_CAP,$B338&gt;CARROT_BED_CAP,P$4&gt;MESCLUN_BED_CAP,$A338+$B338+P$4&gt;TOTAL_BEDS_AVAILABLE,($D338+P$5)&gt;TOTAL_LABOR_HOURS_CAP,MAX(0,($D338+P$5)-PERMANENT_FIELD_LABOR_HOURS)&gt;TEMP_HOURS_CAP),"",$C338+P$6-MIN(($D338+P$5),PERMANENT_FIELD_LABOR_HOURS)*PERMANENT_HOURLY_RATE-MAX(0,($D338+P$5)-PERMANENT_FIELD_LABOR_HOURS)*TEMP_HOURLY_RATE-FIXED_SEASON_COST)</f>
        <v/>
      </c>
      <c r="Q338" s="53" t="str">
        <f aca="false">IF(OR($A338&gt;TOMATO_BED_CAP,$B338&gt;CARROT_BED_CAP,Q$4&gt;MESCLUN_BED_CAP,$A338+$B338+Q$4&gt;TOTAL_BEDS_AVAILABLE,($D338+Q$5)&gt;TOTAL_LABOR_HOURS_CAP,MAX(0,($D338+Q$5)-PERMANENT_FIELD_LABOR_HOURS)&gt;TEMP_HOURS_CAP),"",$C338+Q$6-MIN(($D338+Q$5),PERMANENT_FIELD_LABOR_HOURS)*PERMANENT_HOURLY_RATE-MAX(0,($D338+Q$5)-PERMANENT_FIELD_LABOR_HOURS)*TEMP_HOURLY_RATE-FIXED_SEASON_COST)</f>
        <v/>
      </c>
      <c r="R338" s="53" t="str">
        <f aca="false">IF(OR($A338&gt;TOMATO_BED_CAP,$B338&gt;CARROT_BED_CAP,R$4&gt;MESCLUN_BED_CAP,$A338+$B338+R$4&gt;TOTAL_BEDS_AVAILABLE,($D338+R$5)&gt;TOTAL_LABOR_HOURS_CAP,MAX(0,($D338+R$5)-PERMANENT_FIELD_LABOR_HOURS)&gt;TEMP_HOURS_CAP),"",$C338+R$6-MIN(($D338+R$5),PERMANENT_FIELD_LABOR_HOURS)*PERMANENT_HOURLY_RATE-MAX(0,($D338+R$5)-PERMANENT_FIELD_LABOR_HOURS)*TEMP_HOURLY_RATE-FIXED_SEASON_COST)</f>
        <v/>
      </c>
      <c r="S338" s="53" t="str">
        <f aca="false">IF(OR($A338&gt;TOMATO_BED_CAP,$B338&gt;CARROT_BED_CAP,S$4&gt;MESCLUN_BED_CAP,$A338+$B338+S$4&gt;TOTAL_BEDS_AVAILABLE,($D338+S$5)&gt;TOTAL_LABOR_HOURS_CAP,MAX(0,($D338+S$5)-PERMANENT_FIELD_LABOR_HOURS)&gt;TEMP_HOURS_CAP),"",$C338+S$6-MIN(($D338+S$5),PERMANENT_FIELD_LABOR_HOURS)*PERMANENT_HOURLY_RATE-MAX(0,($D338+S$5)-PERMANENT_FIELD_LABOR_HOURS)*TEMP_HOURLY_RATE-FIXED_SEASON_COST)</f>
        <v/>
      </c>
      <c r="T338" s="53" t="str">
        <f aca="false">IF(OR($A338&gt;TOMATO_BED_CAP,$B338&gt;CARROT_BED_CAP,T$4&gt;MESCLUN_BED_CAP,$A338+$B338+T$4&gt;TOTAL_BEDS_AVAILABLE,($D338+T$5)&gt;TOTAL_LABOR_HOURS_CAP,MAX(0,($D338+T$5)-PERMANENT_FIELD_LABOR_HOURS)&gt;TEMP_HOURS_CAP),"",$C338+T$6-MIN(($D338+T$5),PERMANENT_FIELD_LABOR_HOURS)*PERMANENT_HOURLY_RATE-MAX(0,($D338+T$5)-PERMANENT_FIELD_LABOR_HOURS)*TEMP_HOURLY_RATE-FIXED_SEASON_COST)</f>
        <v/>
      </c>
      <c r="U338" s="53" t="str">
        <f aca="false">IF(OR($A338&gt;TOMATO_BED_CAP,$B338&gt;CARROT_BED_CAP,U$4&gt;MESCLUN_BED_CAP,$A338+$B338+U$4&gt;TOTAL_BEDS_AVAILABLE,($D338+U$5)&gt;TOTAL_LABOR_HOURS_CAP,MAX(0,($D338+U$5)-PERMANENT_FIELD_LABOR_HOURS)&gt;TEMP_HOURS_CAP),"",$C338+U$6-MIN(($D338+U$5),PERMANENT_FIELD_LABOR_HOURS)*PERMANENT_HOURLY_RATE-MAX(0,($D338+U$5)-PERMANENT_FIELD_LABOR_HOURS)*TEMP_HOURLY_RATE-FIXED_SEASON_COST)</f>
        <v/>
      </c>
      <c r="V338" s="53" t="str">
        <f aca="false">IF(OR($A338&gt;TOMATO_BED_CAP,$B338&gt;CARROT_BED_CAP,V$4&gt;MESCLUN_BED_CAP,$A338+$B338+V$4&gt;TOTAL_BEDS_AVAILABLE,($D338+V$5)&gt;TOTAL_LABOR_HOURS_CAP,MAX(0,($D338+V$5)-PERMANENT_FIELD_LABOR_HOURS)&gt;TEMP_HOURS_CAP),"",$C338+V$6-MIN(($D338+V$5),PERMANENT_FIELD_LABOR_HOURS)*PERMANENT_HOURLY_RATE-MAX(0,($D338+V$5)-PERMANENT_FIELD_LABOR_HOURS)*TEMP_HOURLY_RATE-FIXED_SEASON_COST)</f>
        <v/>
      </c>
      <c r="W338" s="53" t="str">
        <f aca="false">IF(OR($A338&gt;TOMATO_BED_CAP,$B338&gt;CARROT_BED_CAP,W$4&gt;MESCLUN_BED_CAP,$A338+$B338+W$4&gt;TOTAL_BEDS_AVAILABLE,($D338+W$5)&gt;TOTAL_LABOR_HOURS_CAP,MAX(0,($D338+W$5)-PERMANENT_FIELD_LABOR_HOURS)&gt;TEMP_HOURS_CAP),"",$C338+W$6-MIN(($D338+W$5),PERMANENT_FIELD_LABOR_HOURS)*PERMANENT_HOURLY_RATE-MAX(0,($D338+W$5)-PERMANENT_FIELD_LABOR_HOURS)*TEMP_HOURLY_RATE-FIXED_SEASON_COST)</f>
        <v/>
      </c>
      <c r="X338" s="53" t="str">
        <f aca="false">IF(OR($A338&gt;TOMATO_BED_CAP,$B338&gt;CARROT_BED_CAP,X$4&gt;MESCLUN_BED_CAP,$A338+$B338+X$4&gt;TOTAL_BEDS_AVAILABLE,($D338+X$5)&gt;TOTAL_LABOR_HOURS_CAP,MAX(0,($D338+X$5)-PERMANENT_FIELD_LABOR_HOURS)&gt;TEMP_HOURS_CAP),"",$C338+X$6-MIN(($D338+X$5),PERMANENT_FIELD_LABOR_HOURS)*PERMANENT_HOURLY_RATE-MAX(0,($D338+X$5)-PERMANENT_FIELD_LABOR_HOURS)*TEMP_HOURLY_RATE-FIXED_SEASON_COST)</f>
        <v/>
      </c>
      <c r="Y338" s="53" t="str">
        <f aca="false">IF(OR($A338&gt;TOMATO_BED_CAP,$B338&gt;CARROT_BED_CAP,Y$4&gt;MESCLUN_BED_CAP,$A338+$B338+Y$4&gt;TOTAL_BEDS_AVAILABLE,($D338+Y$5)&gt;TOTAL_LABOR_HOURS_CAP,MAX(0,($D338+Y$5)-PERMANENT_FIELD_LABOR_HOURS)&gt;TEMP_HOURS_CAP),"",$C338+Y$6-MIN(($D338+Y$5),PERMANENT_FIELD_LABOR_HOURS)*PERMANENT_HOURLY_RATE-MAX(0,($D338+Y$5)-PERMANENT_FIELD_LABOR_HOURS)*TEMP_HOURLY_RATE-FIXED_SEASON_COST)</f>
        <v/>
      </c>
      <c r="Z338" s="53" t="str">
        <f aca="false">IF(OR($A338&gt;TOMATO_BED_CAP,$B338&gt;CARROT_BED_CAP,Z$4&gt;MESCLUN_BED_CAP,$A338+$B338+Z$4&gt;TOTAL_BEDS_AVAILABLE,($D338+Z$5)&gt;TOTAL_LABOR_HOURS_CAP,MAX(0,($D338+Z$5)-PERMANENT_FIELD_LABOR_HOURS)&gt;TEMP_HOURS_CAP),"",$C338+Z$6-MIN(($D338+Z$5),PERMANENT_FIELD_LABOR_HOURS)*PERMANENT_HOURLY_RATE-MAX(0,($D338+Z$5)-PERMANENT_FIELD_LABOR_HOURS)*TEMP_HOURLY_RATE-FIXED_SEASON_COST)</f>
        <v/>
      </c>
      <c r="AA338" s="53" t="str">
        <f aca="false">IF(OR($A338&gt;TOMATO_BED_CAP,$B338&gt;CARROT_BED_CAP,AA$4&gt;MESCLUN_BED_CAP,$A338+$B338+AA$4&gt;TOTAL_BEDS_AVAILABLE,($D338+AA$5)&gt;TOTAL_LABOR_HOURS_CAP,MAX(0,($D338+AA$5)-PERMANENT_FIELD_LABOR_HOURS)&gt;TEMP_HOURS_CAP),"",$C338+AA$6-MIN(($D338+AA$5),PERMANENT_FIELD_LABOR_HOURS)*PERMANENT_HOURLY_RATE-MAX(0,($D338+AA$5)-PERMANENT_FIELD_LABOR_HOURS)*TEMP_HOURLY_RATE-FIXED_SEASON_COST)</f>
        <v/>
      </c>
      <c r="AB338" s="53" t="str">
        <f aca="false">IF(OR($A338&gt;TOMATO_BED_CAP,$B338&gt;CARROT_BED_CAP,AB$4&gt;MESCLUN_BED_CAP,$A338+$B338+AB$4&gt;TOTAL_BEDS_AVAILABLE,($D338+AB$5)&gt;TOTAL_LABOR_HOURS_CAP,MAX(0,($D338+AB$5)-PERMANENT_FIELD_LABOR_HOURS)&gt;TEMP_HOURS_CAP),"",$C338+AB$6-MIN(($D338+AB$5),PERMANENT_FIELD_LABOR_HOURS)*PERMANENT_HOURLY_RATE-MAX(0,($D338+AB$5)-PERMANENT_FIELD_LABOR_HOURS)*TEMP_HOURLY_RATE-FIXED_SEASON_COST)</f>
        <v/>
      </c>
      <c r="AC338" s="53" t="str">
        <f aca="false">IF(OR($A338&gt;TOMATO_BED_CAP,$B338&gt;CARROT_BED_CAP,AC$4&gt;MESCLUN_BED_CAP,$A338+$B338+AC$4&gt;TOTAL_BEDS_AVAILABLE,($D338+AC$5)&gt;TOTAL_LABOR_HOURS_CAP,MAX(0,($D338+AC$5)-PERMANENT_FIELD_LABOR_HOURS)&gt;TEMP_HOURS_CAP),"",$C338+AC$6-MIN(($D338+AC$5),PERMANENT_FIELD_LABOR_HOURS)*PERMANENT_HOURLY_RATE-MAX(0,($D338+AC$5)-PERMANENT_FIELD_LABOR_HOURS)*TEMP_HOURLY_RATE-FIXED_SEASON_COST)</f>
        <v/>
      </c>
      <c r="AD338" s="53" t="str">
        <f aca="false">IF(OR($A338&gt;TOMATO_BED_CAP,$B338&gt;CARROT_BED_CAP,AD$4&gt;MESCLUN_BED_CAP,$A338+$B338+AD$4&gt;TOTAL_BEDS_AVAILABLE,($D338+AD$5)&gt;TOTAL_LABOR_HOURS_CAP,MAX(0,($D338+AD$5)-PERMANENT_FIELD_LABOR_HOURS)&gt;TEMP_HOURS_CAP),"",$C338+AD$6-MIN(($D338+AD$5),PERMANENT_FIELD_LABOR_HOURS)*PERMANENT_HOURLY_RATE-MAX(0,($D338+AD$5)-PERMANENT_FIELD_LABOR_HOURS)*TEMP_HOURLY_RATE-FIXED_SEASON_COST)</f>
        <v/>
      </c>
      <c r="AE338" s="53" t="str">
        <f aca="false">IF(OR($A338&gt;TOMATO_BED_CAP,$B338&gt;CARROT_BED_CAP,AE$4&gt;MESCLUN_BED_CAP,$A338+$B338+AE$4&gt;TOTAL_BEDS_AVAILABLE,($D338+AE$5)&gt;TOTAL_LABOR_HOURS_CAP,MAX(0,($D338+AE$5)-PERMANENT_FIELD_LABOR_HOURS)&gt;TEMP_HOURS_CAP),"",$C338+AE$6-MIN(($D338+AE$5),PERMANENT_FIELD_LABOR_HOURS)*PERMANENT_HOURLY_RATE-MAX(0,($D338+AE$5)-PERMANENT_FIELD_LABOR_HOURS)*TEMP_HOURLY_RATE-FIXED_SEASON_COST)</f>
        <v/>
      </c>
      <c r="AF338" s="53" t="str">
        <f aca="false">IF(OR($A338&gt;TOMATO_BED_CAP,$B338&gt;CARROT_BED_CAP,AF$4&gt;MESCLUN_BED_CAP,$A338+$B338+AF$4&gt;TOTAL_BEDS_AVAILABLE,($D338+AF$5)&gt;TOTAL_LABOR_HOURS_CAP,MAX(0,($D338+AF$5)-PERMANENT_FIELD_LABOR_HOURS)&gt;TEMP_HOURS_CAP),"",$C338+AF$6-MIN(($D338+AF$5),PERMANENT_FIELD_LABOR_HOURS)*PERMANENT_HOURLY_RATE-MAX(0,($D338+AF$5)-PERMANENT_FIELD_LABOR_HOURS)*TEMP_HOURLY_RATE-FIXED_SEASON_COST)</f>
        <v/>
      </c>
      <c r="AG338" s="53" t="str">
        <f aca="false">IF(OR($A338&gt;TOMATO_BED_CAP,$B338&gt;CARROT_BED_CAP,AG$4&gt;MESCLUN_BED_CAP,$A338+$B338+AG$4&gt;TOTAL_BEDS_AVAILABLE,($D338+AG$5)&gt;TOTAL_LABOR_HOURS_CAP,MAX(0,($D338+AG$5)-PERMANENT_FIELD_LABOR_HOURS)&gt;TEMP_HOURS_CAP),"",$C338+AG$6-MIN(($D338+AG$5),PERMANENT_FIELD_LABOR_HOURS)*PERMANENT_HOURLY_RATE-MAX(0,($D338+AG$5)-PERMANENT_FIELD_LABOR_HOURS)*TEMP_HOURLY_RATE-FIXED_SEASON_COST)</f>
        <v/>
      </c>
      <c r="AH338" s="53" t="str">
        <f aca="false">IF(OR($A338&gt;TOMATO_BED_CAP,$B338&gt;CARROT_BED_CAP,AH$4&gt;MESCLUN_BED_CAP,$A338+$B338+AH$4&gt;TOTAL_BEDS_AVAILABLE,($D338+AH$5)&gt;TOTAL_LABOR_HOURS_CAP,MAX(0,($D338+AH$5)-PERMANENT_FIELD_LABOR_HOURS)&gt;TEMP_HOURS_CAP),"",$C338+AH$6-MIN(($D338+AH$5),PERMANENT_FIELD_LABOR_HOURS)*PERMANENT_HOURLY_RATE-MAX(0,($D338+AH$5)-PERMANENT_FIELD_LABOR_HOURS)*TEMP_HOURLY_RATE-FIXED_SEASON_COST)</f>
        <v/>
      </c>
      <c r="AI338" s="53" t="str">
        <f aca="false">IF(OR($A338&gt;TOMATO_BED_CAP,$B338&gt;CARROT_BED_CAP,AI$4&gt;MESCLUN_BED_CAP,$A338+$B338+AI$4&gt;TOTAL_BEDS_AVAILABLE,($D338+AI$5)&gt;TOTAL_LABOR_HOURS_CAP,MAX(0,($D338+AI$5)-PERMANENT_FIELD_LABOR_HOURS)&gt;TEMP_HOURS_CAP),"",$C338+AI$6-MIN(($D338+AI$5),PERMANENT_FIELD_LABOR_HOURS)*PERMANENT_HOURLY_RATE-MAX(0,($D338+AI$5)-PERMANENT_FIELD_LABOR_HOURS)*TEMP_HOURLY_RATE-FIXED_SEASON_COST)</f>
        <v/>
      </c>
      <c r="AJ338" s="53" t="str">
        <f aca="false">IF(OR($A338&gt;TOMATO_BED_CAP,$B338&gt;CARROT_BED_CAP,AJ$4&gt;MESCLUN_BED_CAP,$A338+$B338+AJ$4&gt;TOTAL_BEDS_AVAILABLE,($D338+AJ$5)&gt;TOTAL_LABOR_HOURS_CAP,MAX(0,($D338+AJ$5)-PERMANENT_FIELD_LABOR_HOURS)&gt;TEMP_HOURS_CAP),"",$C338+AJ$6-MIN(($D338+AJ$5),PERMANENT_FIELD_LABOR_HOURS)*PERMANENT_HOURLY_RATE-MAX(0,($D338+AJ$5)-PERMANENT_FIELD_LABOR_HOURS)*TEMP_HOURLY_RATE-FIXED_SEASON_COST)</f>
        <v/>
      </c>
    </row>
    <row r="339" customFormat="false" ht="15" hidden="false" customHeight="false" outlineLevel="0" collapsed="false">
      <c r="A339" s="21" t="n">
        <f aca="false">INT((ROW()-ROW($A$8))/(20+1))</f>
        <v>15</v>
      </c>
      <c r="B339" s="21" t="n">
        <f aca="false">MOD(ROW()-ROW($A$8),20+1)</f>
        <v>16</v>
      </c>
      <c r="C339" s="13" t="n">
        <f aca="false">A339*(TOMATO_REVENUE_PER_BED-TOMATO_FERTILIZER_PER_BED)+B339*(CARROT_REVENUE_PER_BED-CARROT_FERTILIZER_PER_BED)</f>
        <v>145264</v>
      </c>
      <c r="D339" s="14" t="n">
        <f aca="false">INDEX(TOMATO_SCHED_LABOR_HRS,A339+1)+INDEX(CARROT_SCHED_LABOR_HRS,B339+1)</f>
        <v>6351.56270154904</v>
      </c>
      <c r="E339" s="13" t="n">
        <f aca="false">IF(COUNT(F339:AJ339)=0,"",MAX(F339:AJ339))</f>
        <v>4539.96737610869</v>
      </c>
      <c r="F339" s="53" t="n">
        <f aca="false">IF(OR($A339&gt;TOMATO_BED_CAP,$B339&gt;CARROT_BED_CAP,F$4&gt;MESCLUN_BED_CAP,$A339+$B339+F$4&gt;TOTAL_BEDS_AVAILABLE,($D339+F$5)&gt;TOTAL_LABOR_HOURS_CAP,MAX(0,($D339+F$5)-PERMANENT_FIELD_LABOR_HOURS)&gt;TEMP_HOURS_CAP),"",$C339+F$6-MIN(($D339+F$5),PERMANENT_FIELD_LABOR_HOURS)*PERMANENT_HOURLY_RATE-MAX(0,($D339+F$5)-PERMANENT_FIELD_LABOR_HOURS)*TEMP_HOURLY_RATE-FIXED_SEASON_COST)</f>
        <v>2501.67150110869</v>
      </c>
      <c r="G339" s="53" t="n">
        <f aca="false">IF(OR($A339&gt;TOMATO_BED_CAP,$B339&gt;CARROT_BED_CAP,G$4&gt;MESCLUN_BED_CAP,$A339+$B339+G$4&gt;TOTAL_BEDS_AVAILABLE,($D339+G$5)&gt;TOTAL_LABOR_HOURS_CAP,MAX(0,($D339+G$5)-PERMANENT_FIELD_LABOR_HOURS)&gt;TEMP_HOURS_CAP),"",$C339+G$6-MIN(($D339+G$5),PERMANENT_FIELD_LABOR_HOURS)*PERMANENT_HOURLY_RATE-MAX(0,($D339+G$5)-PERMANENT_FIELD_LABOR_HOURS)*TEMP_HOURLY_RATE-FIXED_SEASON_COST)</f>
        <v>3530.7065011087</v>
      </c>
      <c r="H339" s="53" t="n">
        <f aca="false">IF(OR($A339&gt;TOMATO_BED_CAP,$B339&gt;CARROT_BED_CAP,H$4&gt;MESCLUN_BED_CAP,$A339+$B339+H$4&gt;TOTAL_BEDS_AVAILABLE,($D339+H$5)&gt;TOTAL_LABOR_HOURS_CAP,MAX(0,($D339+H$5)-PERMANENT_FIELD_LABOR_HOURS)&gt;TEMP_HOURS_CAP),"",$C339+H$6-MIN(($D339+H$5),PERMANENT_FIELD_LABOR_HOURS)*PERMANENT_HOURLY_RATE-MAX(0,($D339+H$5)-PERMANENT_FIELD_LABOR_HOURS)*TEMP_HOURLY_RATE-FIXED_SEASON_COST)</f>
        <v>4539.96737610869</v>
      </c>
      <c r="I339" s="53" t="str">
        <f aca="false">IF(OR($A339&gt;TOMATO_BED_CAP,$B339&gt;CARROT_BED_CAP,I$4&gt;MESCLUN_BED_CAP,$A339+$B339+I$4&gt;TOTAL_BEDS_AVAILABLE,($D339+I$5)&gt;TOTAL_LABOR_HOURS_CAP,MAX(0,($D339+I$5)-PERMANENT_FIELD_LABOR_HOURS)&gt;TEMP_HOURS_CAP),"",$C339+I$6-MIN(($D339+I$5),PERMANENT_FIELD_LABOR_HOURS)*PERMANENT_HOURLY_RATE-MAX(0,($D339+I$5)-PERMANENT_FIELD_LABOR_HOURS)*TEMP_HOURLY_RATE-FIXED_SEASON_COST)</f>
        <v/>
      </c>
      <c r="J339" s="53" t="str">
        <f aca="false">IF(OR($A339&gt;TOMATO_BED_CAP,$B339&gt;CARROT_BED_CAP,J$4&gt;MESCLUN_BED_CAP,$A339+$B339+J$4&gt;TOTAL_BEDS_AVAILABLE,($D339+J$5)&gt;TOTAL_LABOR_HOURS_CAP,MAX(0,($D339+J$5)-PERMANENT_FIELD_LABOR_HOURS)&gt;TEMP_HOURS_CAP),"",$C339+J$6-MIN(($D339+J$5),PERMANENT_FIELD_LABOR_HOURS)*PERMANENT_HOURLY_RATE-MAX(0,($D339+J$5)-PERMANENT_FIELD_LABOR_HOURS)*TEMP_HOURLY_RATE-FIXED_SEASON_COST)</f>
        <v/>
      </c>
      <c r="K339" s="53" t="str">
        <f aca="false">IF(OR($A339&gt;TOMATO_BED_CAP,$B339&gt;CARROT_BED_CAP,K$4&gt;MESCLUN_BED_CAP,$A339+$B339+K$4&gt;TOTAL_BEDS_AVAILABLE,($D339+K$5)&gt;TOTAL_LABOR_HOURS_CAP,MAX(0,($D339+K$5)-PERMANENT_FIELD_LABOR_HOURS)&gt;TEMP_HOURS_CAP),"",$C339+K$6-MIN(($D339+K$5),PERMANENT_FIELD_LABOR_HOURS)*PERMANENT_HOURLY_RATE-MAX(0,($D339+K$5)-PERMANENT_FIELD_LABOR_HOURS)*TEMP_HOURLY_RATE-FIXED_SEASON_COST)</f>
        <v/>
      </c>
      <c r="L339" s="53" t="str">
        <f aca="false">IF(OR($A339&gt;TOMATO_BED_CAP,$B339&gt;CARROT_BED_CAP,L$4&gt;MESCLUN_BED_CAP,$A339+$B339+L$4&gt;TOTAL_BEDS_AVAILABLE,($D339+L$5)&gt;TOTAL_LABOR_HOURS_CAP,MAX(0,($D339+L$5)-PERMANENT_FIELD_LABOR_HOURS)&gt;TEMP_HOURS_CAP),"",$C339+L$6-MIN(($D339+L$5),PERMANENT_FIELD_LABOR_HOURS)*PERMANENT_HOURLY_RATE-MAX(0,($D339+L$5)-PERMANENT_FIELD_LABOR_HOURS)*TEMP_HOURLY_RATE-FIXED_SEASON_COST)</f>
        <v/>
      </c>
      <c r="M339" s="53" t="str">
        <f aca="false">IF(OR($A339&gt;TOMATO_BED_CAP,$B339&gt;CARROT_BED_CAP,M$4&gt;MESCLUN_BED_CAP,$A339+$B339+M$4&gt;TOTAL_BEDS_AVAILABLE,($D339+M$5)&gt;TOTAL_LABOR_HOURS_CAP,MAX(0,($D339+M$5)-PERMANENT_FIELD_LABOR_HOURS)&gt;TEMP_HOURS_CAP),"",$C339+M$6-MIN(($D339+M$5),PERMANENT_FIELD_LABOR_HOURS)*PERMANENT_HOURLY_RATE-MAX(0,($D339+M$5)-PERMANENT_FIELD_LABOR_HOURS)*TEMP_HOURLY_RATE-FIXED_SEASON_COST)</f>
        <v/>
      </c>
      <c r="N339" s="53" t="str">
        <f aca="false">IF(OR($A339&gt;TOMATO_BED_CAP,$B339&gt;CARROT_BED_CAP,N$4&gt;MESCLUN_BED_CAP,$A339+$B339+N$4&gt;TOTAL_BEDS_AVAILABLE,($D339+N$5)&gt;TOTAL_LABOR_HOURS_CAP,MAX(0,($D339+N$5)-PERMANENT_FIELD_LABOR_HOURS)&gt;TEMP_HOURS_CAP),"",$C339+N$6-MIN(($D339+N$5),PERMANENT_FIELD_LABOR_HOURS)*PERMANENT_HOURLY_RATE-MAX(0,($D339+N$5)-PERMANENT_FIELD_LABOR_HOURS)*TEMP_HOURLY_RATE-FIXED_SEASON_COST)</f>
        <v/>
      </c>
      <c r="O339" s="53" t="str">
        <f aca="false">IF(OR($A339&gt;TOMATO_BED_CAP,$B339&gt;CARROT_BED_CAP,O$4&gt;MESCLUN_BED_CAP,$A339+$B339+O$4&gt;TOTAL_BEDS_AVAILABLE,($D339+O$5)&gt;TOTAL_LABOR_HOURS_CAP,MAX(0,($D339+O$5)-PERMANENT_FIELD_LABOR_HOURS)&gt;TEMP_HOURS_CAP),"",$C339+O$6-MIN(($D339+O$5),PERMANENT_FIELD_LABOR_HOURS)*PERMANENT_HOURLY_RATE-MAX(0,($D339+O$5)-PERMANENT_FIELD_LABOR_HOURS)*TEMP_HOURLY_RATE-FIXED_SEASON_COST)</f>
        <v/>
      </c>
      <c r="P339" s="53" t="str">
        <f aca="false">IF(OR($A339&gt;TOMATO_BED_CAP,$B339&gt;CARROT_BED_CAP,P$4&gt;MESCLUN_BED_CAP,$A339+$B339+P$4&gt;TOTAL_BEDS_AVAILABLE,($D339+P$5)&gt;TOTAL_LABOR_HOURS_CAP,MAX(0,($D339+P$5)-PERMANENT_FIELD_LABOR_HOURS)&gt;TEMP_HOURS_CAP),"",$C339+P$6-MIN(($D339+P$5),PERMANENT_FIELD_LABOR_HOURS)*PERMANENT_HOURLY_RATE-MAX(0,($D339+P$5)-PERMANENT_FIELD_LABOR_HOURS)*TEMP_HOURLY_RATE-FIXED_SEASON_COST)</f>
        <v/>
      </c>
      <c r="Q339" s="53" t="str">
        <f aca="false">IF(OR($A339&gt;TOMATO_BED_CAP,$B339&gt;CARROT_BED_CAP,Q$4&gt;MESCLUN_BED_CAP,$A339+$B339+Q$4&gt;TOTAL_BEDS_AVAILABLE,($D339+Q$5)&gt;TOTAL_LABOR_HOURS_CAP,MAX(0,($D339+Q$5)-PERMANENT_FIELD_LABOR_HOURS)&gt;TEMP_HOURS_CAP),"",$C339+Q$6-MIN(($D339+Q$5),PERMANENT_FIELD_LABOR_HOURS)*PERMANENT_HOURLY_RATE-MAX(0,($D339+Q$5)-PERMANENT_FIELD_LABOR_HOURS)*TEMP_HOURLY_RATE-FIXED_SEASON_COST)</f>
        <v/>
      </c>
      <c r="R339" s="53" t="str">
        <f aca="false">IF(OR($A339&gt;TOMATO_BED_CAP,$B339&gt;CARROT_BED_CAP,R$4&gt;MESCLUN_BED_CAP,$A339+$B339+R$4&gt;TOTAL_BEDS_AVAILABLE,($D339+R$5)&gt;TOTAL_LABOR_HOURS_CAP,MAX(0,($D339+R$5)-PERMANENT_FIELD_LABOR_HOURS)&gt;TEMP_HOURS_CAP),"",$C339+R$6-MIN(($D339+R$5),PERMANENT_FIELD_LABOR_HOURS)*PERMANENT_HOURLY_RATE-MAX(0,($D339+R$5)-PERMANENT_FIELD_LABOR_HOURS)*TEMP_HOURLY_RATE-FIXED_SEASON_COST)</f>
        <v/>
      </c>
      <c r="S339" s="53" t="str">
        <f aca="false">IF(OR($A339&gt;TOMATO_BED_CAP,$B339&gt;CARROT_BED_CAP,S$4&gt;MESCLUN_BED_CAP,$A339+$B339+S$4&gt;TOTAL_BEDS_AVAILABLE,($D339+S$5)&gt;TOTAL_LABOR_HOURS_CAP,MAX(0,($D339+S$5)-PERMANENT_FIELD_LABOR_HOURS)&gt;TEMP_HOURS_CAP),"",$C339+S$6-MIN(($D339+S$5),PERMANENT_FIELD_LABOR_HOURS)*PERMANENT_HOURLY_RATE-MAX(0,($D339+S$5)-PERMANENT_FIELD_LABOR_HOURS)*TEMP_HOURLY_RATE-FIXED_SEASON_COST)</f>
        <v/>
      </c>
      <c r="T339" s="53" t="str">
        <f aca="false">IF(OR($A339&gt;TOMATO_BED_CAP,$B339&gt;CARROT_BED_CAP,T$4&gt;MESCLUN_BED_CAP,$A339+$B339+T$4&gt;TOTAL_BEDS_AVAILABLE,($D339+T$5)&gt;TOTAL_LABOR_HOURS_CAP,MAX(0,($D339+T$5)-PERMANENT_FIELD_LABOR_HOURS)&gt;TEMP_HOURS_CAP),"",$C339+T$6-MIN(($D339+T$5),PERMANENT_FIELD_LABOR_HOURS)*PERMANENT_HOURLY_RATE-MAX(0,($D339+T$5)-PERMANENT_FIELD_LABOR_HOURS)*TEMP_HOURLY_RATE-FIXED_SEASON_COST)</f>
        <v/>
      </c>
      <c r="U339" s="53" t="str">
        <f aca="false">IF(OR($A339&gt;TOMATO_BED_CAP,$B339&gt;CARROT_BED_CAP,U$4&gt;MESCLUN_BED_CAP,$A339+$B339+U$4&gt;TOTAL_BEDS_AVAILABLE,($D339+U$5)&gt;TOTAL_LABOR_HOURS_CAP,MAX(0,($D339+U$5)-PERMANENT_FIELD_LABOR_HOURS)&gt;TEMP_HOURS_CAP),"",$C339+U$6-MIN(($D339+U$5),PERMANENT_FIELD_LABOR_HOURS)*PERMANENT_HOURLY_RATE-MAX(0,($D339+U$5)-PERMANENT_FIELD_LABOR_HOURS)*TEMP_HOURLY_RATE-FIXED_SEASON_COST)</f>
        <v/>
      </c>
      <c r="V339" s="53" t="str">
        <f aca="false">IF(OR($A339&gt;TOMATO_BED_CAP,$B339&gt;CARROT_BED_CAP,V$4&gt;MESCLUN_BED_CAP,$A339+$B339+V$4&gt;TOTAL_BEDS_AVAILABLE,($D339+V$5)&gt;TOTAL_LABOR_HOURS_CAP,MAX(0,($D339+V$5)-PERMANENT_FIELD_LABOR_HOURS)&gt;TEMP_HOURS_CAP),"",$C339+V$6-MIN(($D339+V$5),PERMANENT_FIELD_LABOR_HOURS)*PERMANENT_HOURLY_RATE-MAX(0,($D339+V$5)-PERMANENT_FIELD_LABOR_HOURS)*TEMP_HOURLY_RATE-FIXED_SEASON_COST)</f>
        <v/>
      </c>
      <c r="W339" s="53" t="str">
        <f aca="false">IF(OR($A339&gt;TOMATO_BED_CAP,$B339&gt;CARROT_BED_CAP,W$4&gt;MESCLUN_BED_CAP,$A339+$B339+W$4&gt;TOTAL_BEDS_AVAILABLE,($D339+W$5)&gt;TOTAL_LABOR_HOURS_CAP,MAX(0,($D339+W$5)-PERMANENT_FIELD_LABOR_HOURS)&gt;TEMP_HOURS_CAP),"",$C339+W$6-MIN(($D339+W$5),PERMANENT_FIELD_LABOR_HOURS)*PERMANENT_HOURLY_RATE-MAX(0,($D339+W$5)-PERMANENT_FIELD_LABOR_HOURS)*TEMP_HOURLY_RATE-FIXED_SEASON_COST)</f>
        <v/>
      </c>
      <c r="X339" s="53" t="str">
        <f aca="false">IF(OR($A339&gt;TOMATO_BED_CAP,$B339&gt;CARROT_BED_CAP,X$4&gt;MESCLUN_BED_CAP,$A339+$B339+X$4&gt;TOTAL_BEDS_AVAILABLE,($D339+X$5)&gt;TOTAL_LABOR_HOURS_CAP,MAX(0,($D339+X$5)-PERMANENT_FIELD_LABOR_HOURS)&gt;TEMP_HOURS_CAP),"",$C339+X$6-MIN(($D339+X$5),PERMANENT_FIELD_LABOR_HOURS)*PERMANENT_HOURLY_RATE-MAX(0,($D339+X$5)-PERMANENT_FIELD_LABOR_HOURS)*TEMP_HOURLY_RATE-FIXED_SEASON_COST)</f>
        <v/>
      </c>
      <c r="Y339" s="53" t="str">
        <f aca="false">IF(OR($A339&gt;TOMATO_BED_CAP,$B339&gt;CARROT_BED_CAP,Y$4&gt;MESCLUN_BED_CAP,$A339+$B339+Y$4&gt;TOTAL_BEDS_AVAILABLE,($D339+Y$5)&gt;TOTAL_LABOR_HOURS_CAP,MAX(0,($D339+Y$5)-PERMANENT_FIELD_LABOR_HOURS)&gt;TEMP_HOURS_CAP),"",$C339+Y$6-MIN(($D339+Y$5),PERMANENT_FIELD_LABOR_HOURS)*PERMANENT_HOURLY_RATE-MAX(0,($D339+Y$5)-PERMANENT_FIELD_LABOR_HOURS)*TEMP_HOURLY_RATE-FIXED_SEASON_COST)</f>
        <v/>
      </c>
      <c r="Z339" s="53" t="str">
        <f aca="false">IF(OR($A339&gt;TOMATO_BED_CAP,$B339&gt;CARROT_BED_CAP,Z$4&gt;MESCLUN_BED_CAP,$A339+$B339+Z$4&gt;TOTAL_BEDS_AVAILABLE,($D339+Z$5)&gt;TOTAL_LABOR_HOURS_CAP,MAX(0,($D339+Z$5)-PERMANENT_FIELD_LABOR_HOURS)&gt;TEMP_HOURS_CAP),"",$C339+Z$6-MIN(($D339+Z$5),PERMANENT_FIELD_LABOR_HOURS)*PERMANENT_HOURLY_RATE-MAX(0,($D339+Z$5)-PERMANENT_FIELD_LABOR_HOURS)*TEMP_HOURLY_RATE-FIXED_SEASON_COST)</f>
        <v/>
      </c>
      <c r="AA339" s="53" t="str">
        <f aca="false">IF(OR($A339&gt;TOMATO_BED_CAP,$B339&gt;CARROT_BED_CAP,AA$4&gt;MESCLUN_BED_CAP,$A339+$B339+AA$4&gt;TOTAL_BEDS_AVAILABLE,($D339+AA$5)&gt;TOTAL_LABOR_HOURS_CAP,MAX(0,($D339+AA$5)-PERMANENT_FIELD_LABOR_HOURS)&gt;TEMP_HOURS_CAP),"",$C339+AA$6-MIN(($D339+AA$5),PERMANENT_FIELD_LABOR_HOURS)*PERMANENT_HOURLY_RATE-MAX(0,($D339+AA$5)-PERMANENT_FIELD_LABOR_HOURS)*TEMP_HOURLY_RATE-FIXED_SEASON_COST)</f>
        <v/>
      </c>
      <c r="AB339" s="53" t="str">
        <f aca="false">IF(OR($A339&gt;TOMATO_BED_CAP,$B339&gt;CARROT_BED_CAP,AB$4&gt;MESCLUN_BED_CAP,$A339+$B339+AB$4&gt;TOTAL_BEDS_AVAILABLE,($D339+AB$5)&gt;TOTAL_LABOR_HOURS_CAP,MAX(0,($D339+AB$5)-PERMANENT_FIELD_LABOR_HOURS)&gt;TEMP_HOURS_CAP),"",$C339+AB$6-MIN(($D339+AB$5),PERMANENT_FIELD_LABOR_HOURS)*PERMANENT_HOURLY_RATE-MAX(0,($D339+AB$5)-PERMANENT_FIELD_LABOR_HOURS)*TEMP_HOURLY_RATE-FIXED_SEASON_COST)</f>
        <v/>
      </c>
      <c r="AC339" s="53" t="str">
        <f aca="false">IF(OR($A339&gt;TOMATO_BED_CAP,$B339&gt;CARROT_BED_CAP,AC$4&gt;MESCLUN_BED_CAP,$A339+$B339+AC$4&gt;TOTAL_BEDS_AVAILABLE,($D339+AC$5)&gt;TOTAL_LABOR_HOURS_CAP,MAX(0,($D339+AC$5)-PERMANENT_FIELD_LABOR_HOURS)&gt;TEMP_HOURS_CAP),"",$C339+AC$6-MIN(($D339+AC$5),PERMANENT_FIELD_LABOR_HOURS)*PERMANENT_HOURLY_RATE-MAX(0,($D339+AC$5)-PERMANENT_FIELD_LABOR_HOURS)*TEMP_HOURLY_RATE-FIXED_SEASON_COST)</f>
        <v/>
      </c>
      <c r="AD339" s="53" t="str">
        <f aca="false">IF(OR($A339&gt;TOMATO_BED_CAP,$B339&gt;CARROT_BED_CAP,AD$4&gt;MESCLUN_BED_CAP,$A339+$B339+AD$4&gt;TOTAL_BEDS_AVAILABLE,($D339+AD$5)&gt;TOTAL_LABOR_HOURS_CAP,MAX(0,($D339+AD$5)-PERMANENT_FIELD_LABOR_HOURS)&gt;TEMP_HOURS_CAP),"",$C339+AD$6-MIN(($D339+AD$5),PERMANENT_FIELD_LABOR_HOURS)*PERMANENT_HOURLY_RATE-MAX(0,($D339+AD$5)-PERMANENT_FIELD_LABOR_HOURS)*TEMP_HOURLY_RATE-FIXED_SEASON_COST)</f>
        <v/>
      </c>
      <c r="AE339" s="53" t="str">
        <f aca="false">IF(OR($A339&gt;TOMATO_BED_CAP,$B339&gt;CARROT_BED_CAP,AE$4&gt;MESCLUN_BED_CAP,$A339+$B339+AE$4&gt;TOTAL_BEDS_AVAILABLE,($D339+AE$5)&gt;TOTAL_LABOR_HOURS_CAP,MAX(0,($D339+AE$5)-PERMANENT_FIELD_LABOR_HOURS)&gt;TEMP_HOURS_CAP),"",$C339+AE$6-MIN(($D339+AE$5),PERMANENT_FIELD_LABOR_HOURS)*PERMANENT_HOURLY_RATE-MAX(0,($D339+AE$5)-PERMANENT_FIELD_LABOR_HOURS)*TEMP_HOURLY_RATE-FIXED_SEASON_COST)</f>
        <v/>
      </c>
      <c r="AF339" s="53" t="str">
        <f aca="false">IF(OR($A339&gt;TOMATO_BED_CAP,$B339&gt;CARROT_BED_CAP,AF$4&gt;MESCLUN_BED_CAP,$A339+$B339+AF$4&gt;TOTAL_BEDS_AVAILABLE,($D339+AF$5)&gt;TOTAL_LABOR_HOURS_CAP,MAX(0,($D339+AF$5)-PERMANENT_FIELD_LABOR_HOURS)&gt;TEMP_HOURS_CAP),"",$C339+AF$6-MIN(($D339+AF$5),PERMANENT_FIELD_LABOR_HOURS)*PERMANENT_HOURLY_RATE-MAX(0,($D339+AF$5)-PERMANENT_FIELD_LABOR_HOURS)*TEMP_HOURLY_RATE-FIXED_SEASON_COST)</f>
        <v/>
      </c>
      <c r="AG339" s="53" t="str">
        <f aca="false">IF(OR($A339&gt;TOMATO_BED_CAP,$B339&gt;CARROT_BED_CAP,AG$4&gt;MESCLUN_BED_CAP,$A339+$B339+AG$4&gt;TOTAL_BEDS_AVAILABLE,($D339+AG$5)&gt;TOTAL_LABOR_HOURS_CAP,MAX(0,($D339+AG$5)-PERMANENT_FIELD_LABOR_HOURS)&gt;TEMP_HOURS_CAP),"",$C339+AG$6-MIN(($D339+AG$5),PERMANENT_FIELD_LABOR_HOURS)*PERMANENT_HOURLY_RATE-MAX(0,($D339+AG$5)-PERMANENT_FIELD_LABOR_HOURS)*TEMP_HOURLY_RATE-FIXED_SEASON_COST)</f>
        <v/>
      </c>
      <c r="AH339" s="53" t="str">
        <f aca="false">IF(OR($A339&gt;TOMATO_BED_CAP,$B339&gt;CARROT_BED_CAP,AH$4&gt;MESCLUN_BED_CAP,$A339+$B339+AH$4&gt;TOTAL_BEDS_AVAILABLE,($D339+AH$5)&gt;TOTAL_LABOR_HOURS_CAP,MAX(0,($D339+AH$5)-PERMANENT_FIELD_LABOR_HOURS)&gt;TEMP_HOURS_CAP),"",$C339+AH$6-MIN(($D339+AH$5),PERMANENT_FIELD_LABOR_HOURS)*PERMANENT_HOURLY_RATE-MAX(0,($D339+AH$5)-PERMANENT_FIELD_LABOR_HOURS)*TEMP_HOURLY_RATE-FIXED_SEASON_COST)</f>
        <v/>
      </c>
      <c r="AI339" s="53" t="str">
        <f aca="false">IF(OR($A339&gt;TOMATO_BED_CAP,$B339&gt;CARROT_BED_CAP,AI$4&gt;MESCLUN_BED_CAP,$A339+$B339+AI$4&gt;TOTAL_BEDS_AVAILABLE,($D339+AI$5)&gt;TOTAL_LABOR_HOURS_CAP,MAX(0,($D339+AI$5)-PERMANENT_FIELD_LABOR_HOURS)&gt;TEMP_HOURS_CAP),"",$C339+AI$6-MIN(($D339+AI$5),PERMANENT_FIELD_LABOR_HOURS)*PERMANENT_HOURLY_RATE-MAX(0,($D339+AI$5)-PERMANENT_FIELD_LABOR_HOURS)*TEMP_HOURLY_RATE-FIXED_SEASON_COST)</f>
        <v/>
      </c>
      <c r="AJ339" s="53" t="str">
        <f aca="false">IF(OR($A339&gt;TOMATO_BED_CAP,$B339&gt;CARROT_BED_CAP,AJ$4&gt;MESCLUN_BED_CAP,$A339+$B339+AJ$4&gt;TOTAL_BEDS_AVAILABLE,($D339+AJ$5)&gt;TOTAL_LABOR_HOURS_CAP,MAX(0,($D339+AJ$5)-PERMANENT_FIELD_LABOR_HOURS)&gt;TEMP_HOURS_CAP),"",$C339+AJ$6-MIN(($D339+AJ$5),PERMANENT_FIELD_LABOR_HOURS)*PERMANENT_HOURLY_RATE-MAX(0,($D339+AJ$5)-PERMANENT_FIELD_LABOR_HOURS)*TEMP_HOURLY_RATE-FIXED_SEASON_COST)</f>
        <v/>
      </c>
    </row>
    <row r="340" customFormat="false" ht="15" hidden="false" customHeight="false" outlineLevel="0" collapsed="false">
      <c r="A340" s="21" t="n">
        <f aca="false">INT((ROW()-ROW($A$8))/(20+1))</f>
        <v>15</v>
      </c>
      <c r="B340" s="21" t="n">
        <f aca="false">MOD(ROW()-ROW($A$8),20+1)</f>
        <v>17</v>
      </c>
      <c r="C340" s="13" t="n">
        <f aca="false">A340*(TOMATO_REVENUE_PER_BED-TOMATO_FERTILIZER_PER_BED)+B340*(CARROT_REVENUE_PER_BED-CARROT_FERTILIZER_PER_BED)</f>
        <v>146918</v>
      </c>
      <c r="D340" s="14" t="n">
        <f aca="false">INDEX(TOMATO_SCHED_LABOR_HRS,A340+1)+INDEX(CARROT_SCHED_LABOR_HRS,B340+1)</f>
        <v>6414.99993178617</v>
      </c>
      <c r="E340" s="13" t="n">
        <f aca="false">IF(COUNT(F340:AJ340)=0,"",MAX(F340:AJ340))</f>
        <v>4083.43618419219</v>
      </c>
      <c r="F340" s="53" t="n">
        <f aca="false">IF(OR($A340&gt;TOMATO_BED_CAP,$B340&gt;CARROT_BED_CAP,F$4&gt;MESCLUN_BED_CAP,$A340+$B340+F$4&gt;TOTAL_BEDS_AVAILABLE,($D340+F$5)&gt;TOTAL_LABOR_HOURS_CAP,MAX(0,($D340+F$5)-PERMANENT_FIELD_LABOR_HOURS)&gt;TEMP_HOURS_CAP),"",$C340+F$6-MIN(($D340+F$5),PERMANENT_FIELD_LABOR_HOURS)*PERMANENT_HOURLY_RATE-MAX(0,($D340+F$5)-PERMANENT_FIELD_LABOR_HOURS)*TEMP_HOURLY_RATE-FIXED_SEASON_COST)</f>
        <v>3054.40118419219</v>
      </c>
      <c r="G340" s="53" t="n">
        <f aca="false">IF(OR($A340&gt;TOMATO_BED_CAP,$B340&gt;CARROT_BED_CAP,G$4&gt;MESCLUN_BED_CAP,$A340+$B340+G$4&gt;TOTAL_BEDS_AVAILABLE,($D340+G$5)&gt;TOTAL_LABOR_HOURS_CAP,MAX(0,($D340+G$5)-PERMANENT_FIELD_LABOR_HOURS)&gt;TEMP_HOURS_CAP),"",$C340+G$6-MIN(($D340+G$5),PERMANENT_FIELD_LABOR_HOURS)*PERMANENT_HOURLY_RATE-MAX(0,($D340+G$5)-PERMANENT_FIELD_LABOR_HOURS)*TEMP_HOURLY_RATE-FIXED_SEASON_COST)</f>
        <v>4083.43618419219</v>
      </c>
      <c r="H340" s="53" t="str">
        <f aca="false">IF(OR($A340&gt;TOMATO_BED_CAP,$B340&gt;CARROT_BED_CAP,H$4&gt;MESCLUN_BED_CAP,$A340+$B340+H$4&gt;TOTAL_BEDS_AVAILABLE,($D340+H$5)&gt;TOTAL_LABOR_HOURS_CAP,MAX(0,($D340+H$5)-PERMANENT_FIELD_LABOR_HOURS)&gt;TEMP_HOURS_CAP),"",$C340+H$6-MIN(($D340+H$5),PERMANENT_FIELD_LABOR_HOURS)*PERMANENT_HOURLY_RATE-MAX(0,($D340+H$5)-PERMANENT_FIELD_LABOR_HOURS)*TEMP_HOURLY_RATE-FIXED_SEASON_COST)</f>
        <v/>
      </c>
      <c r="I340" s="53" t="str">
        <f aca="false">IF(OR($A340&gt;TOMATO_BED_CAP,$B340&gt;CARROT_BED_CAP,I$4&gt;MESCLUN_BED_CAP,$A340+$B340+I$4&gt;TOTAL_BEDS_AVAILABLE,($D340+I$5)&gt;TOTAL_LABOR_HOURS_CAP,MAX(0,($D340+I$5)-PERMANENT_FIELD_LABOR_HOURS)&gt;TEMP_HOURS_CAP),"",$C340+I$6-MIN(($D340+I$5),PERMANENT_FIELD_LABOR_HOURS)*PERMANENT_HOURLY_RATE-MAX(0,($D340+I$5)-PERMANENT_FIELD_LABOR_HOURS)*TEMP_HOURLY_RATE-FIXED_SEASON_COST)</f>
        <v/>
      </c>
      <c r="J340" s="53" t="str">
        <f aca="false">IF(OR($A340&gt;TOMATO_BED_CAP,$B340&gt;CARROT_BED_CAP,J$4&gt;MESCLUN_BED_CAP,$A340+$B340+J$4&gt;TOTAL_BEDS_AVAILABLE,($D340+J$5)&gt;TOTAL_LABOR_HOURS_CAP,MAX(0,($D340+J$5)-PERMANENT_FIELD_LABOR_HOURS)&gt;TEMP_HOURS_CAP),"",$C340+J$6-MIN(($D340+J$5),PERMANENT_FIELD_LABOR_HOURS)*PERMANENT_HOURLY_RATE-MAX(0,($D340+J$5)-PERMANENT_FIELD_LABOR_HOURS)*TEMP_HOURLY_RATE-FIXED_SEASON_COST)</f>
        <v/>
      </c>
      <c r="K340" s="53" t="str">
        <f aca="false">IF(OR($A340&gt;TOMATO_BED_CAP,$B340&gt;CARROT_BED_CAP,K$4&gt;MESCLUN_BED_CAP,$A340+$B340+K$4&gt;TOTAL_BEDS_AVAILABLE,($D340+K$5)&gt;TOTAL_LABOR_HOURS_CAP,MAX(0,($D340+K$5)-PERMANENT_FIELD_LABOR_HOURS)&gt;TEMP_HOURS_CAP),"",$C340+K$6-MIN(($D340+K$5),PERMANENT_FIELD_LABOR_HOURS)*PERMANENT_HOURLY_RATE-MAX(0,($D340+K$5)-PERMANENT_FIELD_LABOR_HOURS)*TEMP_HOURLY_RATE-FIXED_SEASON_COST)</f>
        <v/>
      </c>
      <c r="L340" s="53" t="str">
        <f aca="false">IF(OR($A340&gt;TOMATO_BED_CAP,$B340&gt;CARROT_BED_CAP,L$4&gt;MESCLUN_BED_CAP,$A340+$B340+L$4&gt;TOTAL_BEDS_AVAILABLE,($D340+L$5)&gt;TOTAL_LABOR_HOURS_CAP,MAX(0,($D340+L$5)-PERMANENT_FIELD_LABOR_HOURS)&gt;TEMP_HOURS_CAP),"",$C340+L$6-MIN(($D340+L$5),PERMANENT_FIELD_LABOR_HOURS)*PERMANENT_HOURLY_RATE-MAX(0,($D340+L$5)-PERMANENT_FIELD_LABOR_HOURS)*TEMP_HOURLY_RATE-FIXED_SEASON_COST)</f>
        <v/>
      </c>
      <c r="M340" s="53" t="str">
        <f aca="false">IF(OR($A340&gt;TOMATO_BED_CAP,$B340&gt;CARROT_BED_CAP,M$4&gt;MESCLUN_BED_CAP,$A340+$B340+M$4&gt;TOTAL_BEDS_AVAILABLE,($D340+M$5)&gt;TOTAL_LABOR_HOURS_CAP,MAX(0,($D340+M$5)-PERMANENT_FIELD_LABOR_HOURS)&gt;TEMP_HOURS_CAP),"",$C340+M$6-MIN(($D340+M$5),PERMANENT_FIELD_LABOR_HOURS)*PERMANENT_HOURLY_RATE-MAX(0,($D340+M$5)-PERMANENT_FIELD_LABOR_HOURS)*TEMP_HOURLY_RATE-FIXED_SEASON_COST)</f>
        <v/>
      </c>
      <c r="N340" s="53" t="str">
        <f aca="false">IF(OR($A340&gt;TOMATO_BED_CAP,$B340&gt;CARROT_BED_CAP,N$4&gt;MESCLUN_BED_CAP,$A340+$B340+N$4&gt;TOTAL_BEDS_AVAILABLE,($D340+N$5)&gt;TOTAL_LABOR_HOURS_CAP,MAX(0,($D340+N$5)-PERMANENT_FIELD_LABOR_HOURS)&gt;TEMP_HOURS_CAP),"",$C340+N$6-MIN(($D340+N$5),PERMANENT_FIELD_LABOR_HOURS)*PERMANENT_HOURLY_RATE-MAX(0,($D340+N$5)-PERMANENT_FIELD_LABOR_HOURS)*TEMP_HOURLY_RATE-FIXED_SEASON_COST)</f>
        <v/>
      </c>
      <c r="O340" s="53" t="str">
        <f aca="false">IF(OR($A340&gt;TOMATO_BED_CAP,$B340&gt;CARROT_BED_CAP,O$4&gt;MESCLUN_BED_CAP,$A340+$B340+O$4&gt;TOTAL_BEDS_AVAILABLE,($D340+O$5)&gt;TOTAL_LABOR_HOURS_CAP,MAX(0,($D340+O$5)-PERMANENT_FIELD_LABOR_HOURS)&gt;TEMP_HOURS_CAP),"",$C340+O$6-MIN(($D340+O$5),PERMANENT_FIELD_LABOR_HOURS)*PERMANENT_HOURLY_RATE-MAX(0,($D340+O$5)-PERMANENT_FIELD_LABOR_HOURS)*TEMP_HOURLY_RATE-FIXED_SEASON_COST)</f>
        <v/>
      </c>
      <c r="P340" s="53" t="str">
        <f aca="false">IF(OR($A340&gt;TOMATO_BED_CAP,$B340&gt;CARROT_BED_CAP,P$4&gt;MESCLUN_BED_CAP,$A340+$B340+P$4&gt;TOTAL_BEDS_AVAILABLE,($D340+P$5)&gt;TOTAL_LABOR_HOURS_CAP,MAX(0,($D340+P$5)-PERMANENT_FIELD_LABOR_HOURS)&gt;TEMP_HOURS_CAP),"",$C340+P$6-MIN(($D340+P$5),PERMANENT_FIELD_LABOR_HOURS)*PERMANENT_HOURLY_RATE-MAX(0,($D340+P$5)-PERMANENT_FIELD_LABOR_HOURS)*TEMP_HOURLY_RATE-FIXED_SEASON_COST)</f>
        <v/>
      </c>
      <c r="Q340" s="53" t="str">
        <f aca="false">IF(OR($A340&gt;TOMATO_BED_CAP,$B340&gt;CARROT_BED_CAP,Q$4&gt;MESCLUN_BED_CAP,$A340+$B340+Q$4&gt;TOTAL_BEDS_AVAILABLE,($D340+Q$5)&gt;TOTAL_LABOR_HOURS_CAP,MAX(0,($D340+Q$5)-PERMANENT_FIELD_LABOR_HOURS)&gt;TEMP_HOURS_CAP),"",$C340+Q$6-MIN(($D340+Q$5),PERMANENT_FIELD_LABOR_HOURS)*PERMANENT_HOURLY_RATE-MAX(0,($D340+Q$5)-PERMANENT_FIELD_LABOR_HOURS)*TEMP_HOURLY_RATE-FIXED_SEASON_COST)</f>
        <v/>
      </c>
      <c r="R340" s="53" t="str">
        <f aca="false">IF(OR($A340&gt;TOMATO_BED_CAP,$B340&gt;CARROT_BED_CAP,R$4&gt;MESCLUN_BED_CAP,$A340+$B340+R$4&gt;TOTAL_BEDS_AVAILABLE,($D340+R$5)&gt;TOTAL_LABOR_HOURS_CAP,MAX(0,($D340+R$5)-PERMANENT_FIELD_LABOR_HOURS)&gt;TEMP_HOURS_CAP),"",$C340+R$6-MIN(($D340+R$5),PERMANENT_FIELD_LABOR_HOURS)*PERMANENT_HOURLY_RATE-MAX(0,($D340+R$5)-PERMANENT_FIELD_LABOR_HOURS)*TEMP_HOURLY_RATE-FIXED_SEASON_COST)</f>
        <v/>
      </c>
      <c r="S340" s="53" t="str">
        <f aca="false">IF(OR($A340&gt;TOMATO_BED_CAP,$B340&gt;CARROT_BED_CAP,S$4&gt;MESCLUN_BED_CAP,$A340+$B340+S$4&gt;TOTAL_BEDS_AVAILABLE,($D340+S$5)&gt;TOTAL_LABOR_HOURS_CAP,MAX(0,($D340+S$5)-PERMANENT_FIELD_LABOR_HOURS)&gt;TEMP_HOURS_CAP),"",$C340+S$6-MIN(($D340+S$5),PERMANENT_FIELD_LABOR_HOURS)*PERMANENT_HOURLY_RATE-MAX(0,($D340+S$5)-PERMANENT_FIELD_LABOR_HOURS)*TEMP_HOURLY_RATE-FIXED_SEASON_COST)</f>
        <v/>
      </c>
      <c r="T340" s="53" t="str">
        <f aca="false">IF(OR($A340&gt;TOMATO_BED_CAP,$B340&gt;CARROT_BED_CAP,T$4&gt;MESCLUN_BED_CAP,$A340+$B340+T$4&gt;TOTAL_BEDS_AVAILABLE,($D340+T$5)&gt;TOTAL_LABOR_HOURS_CAP,MAX(0,($D340+T$5)-PERMANENT_FIELD_LABOR_HOURS)&gt;TEMP_HOURS_CAP),"",$C340+T$6-MIN(($D340+T$5),PERMANENT_FIELD_LABOR_HOURS)*PERMANENT_HOURLY_RATE-MAX(0,($D340+T$5)-PERMANENT_FIELD_LABOR_HOURS)*TEMP_HOURLY_RATE-FIXED_SEASON_COST)</f>
        <v/>
      </c>
      <c r="U340" s="53" t="str">
        <f aca="false">IF(OR($A340&gt;TOMATO_BED_CAP,$B340&gt;CARROT_BED_CAP,U$4&gt;MESCLUN_BED_CAP,$A340+$B340+U$4&gt;TOTAL_BEDS_AVAILABLE,($D340+U$5)&gt;TOTAL_LABOR_HOURS_CAP,MAX(0,($D340+U$5)-PERMANENT_FIELD_LABOR_HOURS)&gt;TEMP_HOURS_CAP),"",$C340+U$6-MIN(($D340+U$5),PERMANENT_FIELD_LABOR_HOURS)*PERMANENT_HOURLY_RATE-MAX(0,($D340+U$5)-PERMANENT_FIELD_LABOR_HOURS)*TEMP_HOURLY_RATE-FIXED_SEASON_COST)</f>
        <v/>
      </c>
      <c r="V340" s="53" t="str">
        <f aca="false">IF(OR($A340&gt;TOMATO_BED_CAP,$B340&gt;CARROT_BED_CAP,V$4&gt;MESCLUN_BED_CAP,$A340+$B340+V$4&gt;TOTAL_BEDS_AVAILABLE,($D340+V$5)&gt;TOTAL_LABOR_HOURS_CAP,MAX(0,($D340+V$5)-PERMANENT_FIELD_LABOR_HOURS)&gt;TEMP_HOURS_CAP),"",$C340+V$6-MIN(($D340+V$5),PERMANENT_FIELD_LABOR_HOURS)*PERMANENT_HOURLY_RATE-MAX(0,($D340+V$5)-PERMANENT_FIELD_LABOR_HOURS)*TEMP_HOURLY_RATE-FIXED_SEASON_COST)</f>
        <v/>
      </c>
      <c r="W340" s="53" t="str">
        <f aca="false">IF(OR($A340&gt;TOMATO_BED_CAP,$B340&gt;CARROT_BED_CAP,W$4&gt;MESCLUN_BED_CAP,$A340+$B340+W$4&gt;TOTAL_BEDS_AVAILABLE,($D340+W$5)&gt;TOTAL_LABOR_HOURS_CAP,MAX(0,($D340+W$5)-PERMANENT_FIELD_LABOR_HOURS)&gt;TEMP_HOURS_CAP),"",$C340+W$6-MIN(($D340+W$5),PERMANENT_FIELD_LABOR_HOURS)*PERMANENT_HOURLY_RATE-MAX(0,($D340+W$5)-PERMANENT_FIELD_LABOR_HOURS)*TEMP_HOURLY_RATE-FIXED_SEASON_COST)</f>
        <v/>
      </c>
      <c r="X340" s="53" t="str">
        <f aca="false">IF(OR($A340&gt;TOMATO_BED_CAP,$B340&gt;CARROT_BED_CAP,X$4&gt;MESCLUN_BED_CAP,$A340+$B340+X$4&gt;TOTAL_BEDS_AVAILABLE,($D340+X$5)&gt;TOTAL_LABOR_HOURS_CAP,MAX(0,($D340+X$5)-PERMANENT_FIELD_LABOR_HOURS)&gt;TEMP_HOURS_CAP),"",$C340+X$6-MIN(($D340+X$5),PERMANENT_FIELD_LABOR_HOURS)*PERMANENT_HOURLY_RATE-MAX(0,($D340+X$5)-PERMANENT_FIELD_LABOR_HOURS)*TEMP_HOURLY_RATE-FIXED_SEASON_COST)</f>
        <v/>
      </c>
      <c r="Y340" s="53" t="str">
        <f aca="false">IF(OR($A340&gt;TOMATO_BED_CAP,$B340&gt;CARROT_BED_CAP,Y$4&gt;MESCLUN_BED_CAP,$A340+$B340+Y$4&gt;TOTAL_BEDS_AVAILABLE,($D340+Y$5)&gt;TOTAL_LABOR_HOURS_CAP,MAX(0,($D340+Y$5)-PERMANENT_FIELD_LABOR_HOURS)&gt;TEMP_HOURS_CAP),"",$C340+Y$6-MIN(($D340+Y$5),PERMANENT_FIELD_LABOR_HOURS)*PERMANENT_HOURLY_RATE-MAX(0,($D340+Y$5)-PERMANENT_FIELD_LABOR_HOURS)*TEMP_HOURLY_RATE-FIXED_SEASON_COST)</f>
        <v/>
      </c>
      <c r="Z340" s="53" t="str">
        <f aca="false">IF(OR($A340&gt;TOMATO_BED_CAP,$B340&gt;CARROT_BED_CAP,Z$4&gt;MESCLUN_BED_CAP,$A340+$B340+Z$4&gt;TOTAL_BEDS_AVAILABLE,($D340+Z$5)&gt;TOTAL_LABOR_HOURS_CAP,MAX(0,($D340+Z$5)-PERMANENT_FIELD_LABOR_HOURS)&gt;TEMP_HOURS_CAP),"",$C340+Z$6-MIN(($D340+Z$5),PERMANENT_FIELD_LABOR_HOURS)*PERMANENT_HOURLY_RATE-MAX(0,($D340+Z$5)-PERMANENT_FIELD_LABOR_HOURS)*TEMP_HOURLY_RATE-FIXED_SEASON_COST)</f>
        <v/>
      </c>
      <c r="AA340" s="53" t="str">
        <f aca="false">IF(OR($A340&gt;TOMATO_BED_CAP,$B340&gt;CARROT_BED_CAP,AA$4&gt;MESCLUN_BED_CAP,$A340+$B340+AA$4&gt;TOTAL_BEDS_AVAILABLE,($D340+AA$5)&gt;TOTAL_LABOR_HOURS_CAP,MAX(0,($D340+AA$5)-PERMANENT_FIELD_LABOR_HOURS)&gt;TEMP_HOURS_CAP),"",$C340+AA$6-MIN(($D340+AA$5),PERMANENT_FIELD_LABOR_HOURS)*PERMANENT_HOURLY_RATE-MAX(0,($D340+AA$5)-PERMANENT_FIELD_LABOR_HOURS)*TEMP_HOURLY_RATE-FIXED_SEASON_COST)</f>
        <v/>
      </c>
      <c r="AB340" s="53" t="str">
        <f aca="false">IF(OR($A340&gt;TOMATO_BED_CAP,$B340&gt;CARROT_BED_CAP,AB$4&gt;MESCLUN_BED_CAP,$A340+$B340+AB$4&gt;TOTAL_BEDS_AVAILABLE,($D340+AB$5)&gt;TOTAL_LABOR_HOURS_CAP,MAX(0,($D340+AB$5)-PERMANENT_FIELD_LABOR_HOURS)&gt;TEMP_HOURS_CAP),"",$C340+AB$6-MIN(($D340+AB$5),PERMANENT_FIELD_LABOR_HOURS)*PERMANENT_HOURLY_RATE-MAX(0,($D340+AB$5)-PERMANENT_FIELD_LABOR_HOURS)*TEMP_HOURLY_RATE-FIXED_SEASON_COST)</f>
        <v/>
      </c>
      <c r="AC340" s="53" t="str">
        <f aca="false">IF(OR($A340&gt;TOMATO_BED_CAP,$B340&gt;CARROT_BED_CAP,AC$4&gt;MESCLUN_BED_CAP,$A340+$B340+AC$4&gt;TOTAL_BEDS_AVAILABLE,($D340+AC$5)&gt;TOTAL_LABOR_HOURS_CAP,MAX(0,($D340+AC$5)-PERMANENT_FIELD_LABOR_HOURS)&gt;TEMP_HOURS_CAP),"",$C340+AC$6-MIN(($D340+AC$5),PERMANENT_FIELD_LABOR_HOURS)*PERMANENT_HOURLY_RATE-MAX(0,($D340+AC$5)-PERMANENT_FIELD_LABOR_HOURS)*TEMP_HOURLY_RATE-FIXED_SEASON_COST)</f>
        <v/>
      </c>
      <c r="AD340" s="53" t="str">
        <f aca="false">IF(OR($A340&gt;TOMATO_BED_CAP,$B340&gt;CARROT_BED_CAP,AD$4&gt;MESCLUN_BED_CAP,$A340+$B340+AD$4&gt;TOTAL_BEDS_AVAILABLE,($D340+AD$5)&gt;TOTAL_LABOR_HOURS_CAP,MAX(0,($D340+AD$5)-PERMANENT_FIELD_LABOR_HOURS)&gt;TEMP_HOURS_CAP),"",$C340+AD$6-MIN(($D340+AD$5),PERMANENT_FIELD_LABOR_HOURS)*PERMANENT_HOURLY_RATE-MAX(0,($D340+AD$5)-PERMANENT_FIELD_LABOR_HOURS)*TEMP_HOURLY_RATE-FIXED_SEASON_COST)</f>
        <v/>
      </c>
      <c r="AE340" s="53" t="str">
        <f aca="false">IF(OR($A340&gt;TOMATO_BED_CAP,$B340&gt;CARROT_BED_CAP,AE$4&gt;MESCLUN_BED_CAP,$A340+$B340+AE$4&gt;TOTAL_BEDS_AVAILABLE,($D340+AE$5)&gt;TOTAL_LABOR_HOURS_CAP,MAX(0,($D340+AE$5)-PERMANENT_FIELD_LABOR_HOURS)&gt;TEMP_HOURS_CAP),"",$C340+AE$6-MIN(($D340+AE$5),PERMANENT_FIELD_LABOR_HOURS)*PERMANENT_HOURLY_RATE-MAX(0,($D340+AE$5)-PERMANENT_FIELD_LABOR_HOURS)*TEMP_HOURLY_RATE-FIXED_SEASON_COST)</f>
        <v/>
      </c>
      <c r="AF340" s="53" t="str">
        <f aca="false">IF(OR($A340&gt;TOMATO_BED_CAP,$B340&gt;CARROT_BED_CAP,AF$4&gt;MESCLUN_BED_CAP,$A340+$B340+AF$4&gt;TOTAL_BEDS_AVAILABLE,($D340+AF$5)&gt;TOTAL_LABOR_HOURS_CAP,MAX(0,($D340+AF$5)-PERMANENT_FIELD_LABOR_HOURS)&gt;TEMP_HOURS_CAP),"",$C340+AF$6-MIN(($D340+AF$5),PERMANENT_FIELD_LABOR_HOURS)*PERMANENT_HOURLY_RATE-MAX(0,($D340+AF$5)-PERMANENT_FIELD_LABOR_HOURS)*TEMP_HOURLY_RATE-FIXED_SEASON_COST)</f>
        <v/>
      </c>
      <c r="AG340" s="53" t="str">
        <f aca="false">IF(OR($A340&gt;TOMATO_BED_CAP,$B340&gt;CARROT_BED_CAP,AG$4&gt;MESCLUN_BED_CAP,$A340+$B340+AG$4&gt;TOTAL_BEDS_AVAILABLE,($D340+AG$5)&gt;TOTAL_LABOR_HOURS_CAP,MAX(0,($D340+AG$5)-PERMANENT_FIELD_LABOR_HOURS)&gt;TEMP_HOURS_CAP),"",$C340+AG$6-MIN(($D340+AG$5),PERMANENT_FIELD_LABOR_HOURS)*PERMANENT_HOURLY_RATE-MAX(0,($D340+AG$5)-PERMANENT_FIELD_LABOR_HOURS)*TEMP_HOURLY_RATE-FIXED_SEASON_COST)</f>
        <v/>
      </c>
      <c r="AH340" s="53" t="str">
        <f aca="false">IF(OR($A340&gt;TOMATO_BED_CAP,$B340&gt;CARROT_BED_CAP,AH$4&gt;MESCLUN_BED_CAP,$A340+$B340+AH$4&gt;TOTAL_BEDS_AVAILABLE,($D340+AH$5)&gt;TOTAL_LABOR_HOURS_CAP,MAX(0,($D340+AH$5)-PERMANENT_FIELD_LABOR_HOURS)&gt;TEMP_HOURS_CAP),"",$C340+AH$6-MIN(($D340+AH$5),PERMANENT_FIELD_LABOR_HOURS)*PERMANENT_HOURLY_RATE-MAX(0,($D340+AH$5)-PERMANENT_FIELD_LABOR_HOURS)*TEMP_HOURLY_RATE-FIXED_SEASON_COST)</f>
        <v/>
      </c>
      <c r="AI340" s="53" t="str">
        <f aca="false">IF(OR($A340&gt;TOMATO_BED_CAP,$B340&gt;CARROT_BED_CAP,AI$4&gt;MESCLUN_BED_CAP,$A340+$B340+AI$4&gt;TOTAL_BEDS_AVAILABLE,($D340+AI$5)&gt;TOTAL_LABOR_HOURS_CAP,MAX(0,($D340+AI$5)-PERMANENT_FIELD_LABOR_HOURS)&gt;TEMP_HOURS_CAP),"",$C340+AI$6-MIN(($D340+AI$5),PERMANENT_FIELD_LABOR_HOURS)*PERMANENT_HOURLY_RATE-MAX(0,($D340+AI$5)-PERMANENT_FIELD_LABOR_HOURS)*TEMP_HOURLY_RATE-FIXED_SEASON_COST)</f>
        <v/>
      </c>
      <c r="AJ340" s="53" t="str">
        <f aca="false">IF(OR($A340&gt;TOMATO_BED_CAP,$B340&gt;CARROT_BED_CAP,AJ$4&gt;MESCLUN_BED_CAP,$A340+$B340+AJ$4&gt;TOTAL_BEDS_AVAILABLE,($D340+AJ$5)&gt;TOTAL_LABOR_HOURS_CAP,MAX(0,($D340+AJ$5)-PERMANENT_FIELD_LABOR_HOURS)&gt;TEMP_HOURS_CAP),"",$C340+AJ$6-MIN(($D340+AJ$5),PERMANENT_FIELD_LABOR_HOURS)*PERMANENT_HOURLY_RATE-MAX(0,($D340+AJ$5)-PERMANENT_FIELD_LABOR_HOURS)*TEMP_HOURLY_RATE-FIXED_SEASON_COST)</f>
        <v/>
      </c>
    </row>
    <row r="341" customFormat="false" ht="15" hidden="false" customHeight="false" outlineLevel="0" collapsed="false">
      <c r="A341" s="21" t="n">
        <f aca="false">INT((ROW()-ROW($A$8))/(20+1))</f>
        <v>15</v>
      </c>
      <c r="B341" s="21" t="n">
        <f aca="false">MOD(ROW()-ROW($A$8),20+1)</f>
        <v>18</v>
      </c>
      <c r="C341" s="13" t="n">
        <f aca="false">A341*(TOMATO_REVENUE_PER_BED-TOMATO_FERTILIZER_PER_BED)+B341*(CARROT_REVENUE_PER_BED-CARROT_FERTILIZER_PER_BED)</f>
        <v>148572</v>
      </c>
      <c r="D341" s="14" t="n">
        <f aca="false">INDEX(TOMATO_SCHED_LABOR_HRS,A341+1)+INDEX(CARROT_SCHED_LABOR_HRS,B341+1)</f>
        <v>6481.16384998962</v>
      </c>
      <c r="E341" s="13" t="str">
        <f aca="false">IF(COUNT(F341:AJ341)=0,"",MAX(F341:AJ341))</f>
        <v/>
      </c>
      <c r="F341" s="53" t="str">
        <f aca="false">IF(OR($A341&gt;TOMATO_BED_CAP,$B341&gt;CARROT_BED_CAP,F$4&gt;MESCLUN_BED_CAP,$A341+$B341+F$4&gt;TOTAL_BEDS_AVAILABLE,($D341+F$5)&gt;TOTAL_LABOR_HOURS_CAP,MAX(0,($D341+F$5)-PERMANENT_FIELD_LABOR_HOURS)&gt;TEMP_HOURS_CAP),"",$C341+F$6-MIN(($D341+F$5),PERMANENT_FIELD_LABOR_HOURS)*PERMANENT_HOURLY_RATE-MAX(0,($D341+F$5)-PERMANENT_FIELD_LABOR_HOURS)*TEMP_HOURLY_RATE-FIXED_SEASON_COST)</f>
        <v/>
      </c>
      <c r="G341" s="53" t="str">
        <f aca="false">IF(OR($A341&gt;TOMATO_BED_CAP,$B341&gt;CARROT_BED_CAP,G$4&gt;MESCLUN_BED_CAP,$A341+$B341+G$4&gt;TOTAL_BEDS_AVAILABLE,($D341+G$5)&gt;TOTAL_LABOR_HOURS_CAP,MAX(0,($D341+G$5)-PERMANENT_FIELD_LABOR_HOURS)&gt;TEMP_HOURS_CAP),"",$C341+G$6-MIN(($D341+G$5),PERMANENT_FIELD_LABOR_HOURS)*PERMANENT_HOURLY_RATE-MAX(0,($D341+G$5)-PERMANENT_FIELD_LABOR_HOURS)*TEMP_HOURLY_RATE-FIXED_SEASON_COST)</f>
        <v/>
      </c>
      <c r="H341" s="53" t="str">
        <f aca="false">IF(OR($A341&gt;TOMATO_BED_CAP,$B341&gt;CARROT_BED_CAP,H$4&gt;MESCLUN_BED_CAP,$A341+$B341+H$4&gt;TOTAL_BEDS_AVAILABLE,($D341+H$5)&gt;TOTAL_LABOR_HOURS_CAP,MAX(0,($D341+H$5)-PERMANENT_FIELD_LABOR_HOURS)&gt;TEMP_HOURS_CAP),"",$C341+H$6-MIN(($D341+H$5),PERMANENT_FIELD_LABOR_HOURS)*PERMANENT_HOURLY_RATE-MAX(0,($D341+H$5)-PERMANENT_FIELD_LABOR_HOURS)*TEMP_HOURLY_RATE-FIXED_SEASON_COST)</f>
        <v/>
      </c>
      <c r="I341" s="53" t="str">
        <f aca="false">IF(OR($A341&gt;TOMATO_BED_CAP,$B341&gt;CARROT_BED_CAP,I$4&gt;MESCLUN_BED_CAP,$A341+$B341+I$4&gt;TOTAL_BEDS_AVAILABLE,($D341+I$5)&gt;TOTAL_LABOR_HOURS_CAP,MAX(0,($D341+I$5)-PERMANENT_FIELD_LABOR_HOURS)&gt;TEMP_HOURS_CAP),"",$C341+I$6-MIN(($D341+I$5),PERMANENT_FIELD_LABOR_HOURS)*PERMANENT_HOURLY_RATE-MAX(0,($D341+I$5)-PERMANENT_FIELD_LABOR_HOURS)*TEMP_HOURLY_RATE-FIXED_SEASON_COST)</f>
        <v/>
      </c>
      <c r="J341" s="53" t="str">
        <f aca="false">IF(OR($A341&gt;TOMATO_BED_CAP,$B341&gt;CARROT_BED_CAP,J$4&gt;MESCLUN_BED_CAP,$A341+$B341+J$4&gt;TOTAL_BEDS_AVAILABLE,($D341+J$5)&gt;TOTAL_LABOR_HOURS_CAP,MAX(0,($D341+J$5)-PERMANENT_FIELD_LABOR_HOURS)&gt;TEMP_HOURS_CAP),"",$C341+J$6-MIN(($D341+J$5),PERMANENT_FIELD_LABOR_HOURS)*PERMANENT_HOURLY_RATE-MAX(0,($D341+J$5)-PERMANENT_FIELD_LABOR_HOURS)*TEMP_HOURLY_RATE-FIXED_SEASON_COST)</f>
        <v/>
      </c>
      <c r="K341" s="53" t="str">
        <f aca="false">IF(OR($A341&gt;TOMATO_BED_CAP,$B341&gt;CARROT_BED_CAP,K$4&gt;MESCLUN_BED_CAP,$A341+$B341+K$4&gt;TOTAL_BEDS_AVAILABLE,($D341+K$5)&gt;TOTAL_LABOR_HOURS_CAP,MAX(0,($D341+K$5)-PERMANENT_FIELD_LABOR_HOURS)&gt;TEMP_HOURS_CAP),"",$C341+K$6-MIN(($D341+K$5),PERMANENT_FIELD_LABOR_HOURS)*PERMANENT_HOURLY_RATE-MAX(0,($D341+K$5)-PERMANENT_FIELD_LABOR_HOURS)*TEMP_HOURLY_RATE-FIXED_SEASON_COST)</f>
        <v/>
      </c>
      <c r="L341" s="53" t="str">
        <f aca="false">IF(OR($A341&gt;TOMATO_BED_CAP,$B341&gt;CARROT_BED_CAP,L$4&gt;MESCLUN_BED_CAP,$A341+$B341+L$4&gt;TOTAL_BEDS_AVAILABLE,($D341+L$5)&gt;TOTAL_LABOR_HOURS_CAP,MAX(0,($D341+L$5)-PERMANENT_FIELD_LABOR_HOURS)&gt;TEMP_HOURS_CAP),"",$C341+L$6-MIN(($D341+L$5),PERMANENT_FIELD_LABOR_HOURS)*PERMANENT_HOURLY_RATE-MAX(0,($D341+L$5)-PERMANENT_FIELD_LABOR_HOURS)*TEMP_HOURLY_RATE-FIXED_SEASON_COST)</f>
        <v/>
      </c>
      <c r="M341" s="53" t="str">
        <f aca="false">IF(OR($A341&gt;TOMATO_BED_CAP,$B341&gt;CARROT_BED_CAP,M$4&gt;MESCLUN_BED_CAP,$A341+$B341+M$4&gt;TOTAL_BEDS_AVAILABLE,($D341+M$5)&gt;TOTAL_LABOR_HOURS_CAP,MAX(0,($D341+M$5)-PERMANENT_FIELD_LABOR_HOURS)&gt;TEMP_HOURS_CAP),"",$C341+M$6-MIN(($D341+M$5),PERMANENT_FIELD_LABOR_HOURS)*PERMANENT_HOURLY_RATE-MAX(0,($D341+M$5)-PERMANENT_FIELD_LABOR_HOURS)*TEMP_HOURLY_RATE-FIXED_SEASON_COST)</f>
        <v/>
      </c>
      <c r="N341" s="53" t="str">
        <f aca="false">IF(OR($A341&gt;TOMATO_BED_CAP,$B341&gt;CARROT_BED_CAP,N$4&gt;MESCLUN_BED_CAP,$A341+$B341+N$4&gt;TOTAL_BEDS_AVAILABLE,($D341+N$5)&gt;TOTAL_LABOR_HOURS_CAP,MAX(0,($D341+N$5)-PERMANENT_FIELD_LABOR_HOURS)&gt;TEMP_HOURS_CAP),"",$C341+N$6-MIN(($D341+N$5),PERMANENT_FIELD_LABOR_HOURS)*PERMANENT_HOURLY_RATE-MAX(0,($D341+N$5)-PERMANENT_FIELD_LABOR_HOURS)*TEMP_HOURLY_RATE-FIXED_SEASON_COST)</f>
        <v/>
      </c>
      <c r="O341" s="53" t="str">
        <f aca="false">IF(OR($A341&gt;TOMATO_BED_CAP,$B341&gt;CARROT_BED_CAP,O$4&gt;MESCLUN_BED_CAP,$A341+$B341+O$4&gt;TOTAL_BEDS_AVAILABLE,($D341+O$5)&gt;TOTAL_LABOR_HOURS_CAP,MAX(0,($D341+O$5)-PERMANENT_FIELD_LABOR_HOURS)&gt;TEMP_HOURS_CAP),"",$C341+O$6-MIN(($D341+O$5),PERMANENT_FIELD_LABOR_HOURS)*PERMANENT_HOURLY_RATE-MAX(0,($D341+O$5)-PERMANENT_FIELD_LABOR_HOURS)*TEMP_HOURLY_RATE-FIXED_SEASON_COST)</f>
        <v/>
      </c>
      <c r="P341" s="53" t="str">
        <f aca="false">IF(OR($A341&gt;TOMATO_BED_CAP,$B341&gt;CARROT_BED_CAP,P$4&gt;MESCLUN_BED_CAP,$A341+$B341+P$4&gt;TOTAL_BEDS_AVAILABLE,($D341+P$5)&gt;TOTAL_LABOR_HOURS_CAP,MAX(0,($D341+P$5)-PERMANENT_FIELD_LABOR_HOURS)&gt;TEMP_HOURS_CAP),"",$C341+P$6-MIN(($D341+P$5),PERMANENT_FIELD_LABOR_HOURS)*PERMANENT_HOURLY_RATE-MAX(0,($D341+P$5)-PERMANENT_FIELD_LABOR_HOURS)*TEMP_HOURLY_RATE-FIXED_SEASON_COST)</f>
        <v/>
      </c>
      <c r="Q341" s="53" t="str">
        <f aca="false">IF(OR($A341&gt;TOMATO_BED_CAP,$B341&gt;CARROT_BED_CAP,Q$4&gt;MESCLUN_BED_CAP,$A341+$B341+Q$4&gt;TOTAL_BEDS_AVAILABLE,($D341+Q$5)&gt;TOTAL_LABOR_HOURS_CAP,MAX(0,($D341+Q$5)-PERMANENT_FIELD_LABOR_HOURS)&gt;TEMP_HOURS_CAP),"",$C341+Q$6-MIN(($D341+Q$5),PERMANENT_FIELD_LABOR_HOURS)*PERMANENT_HOURLY_RATE-MAX(0,($D341+Q$5)-PERMANENT_FIELD_LABOR_HOURS)*TEMP_HOURLY_RATE-FIXED_SEASON_COST)</f>
        <v/>
      </c>
      <c r="R341" s="53" t="str">
        <f aca="false">IF(OR($A341&gt;TOMATO_BED_CAP,$B341&gt;CARROT_BED_CAP,R$4&gt;MESCLUN_BED_CAP,$A341+$B341+R$4&gt;TOTAL_BEDS_AVAILABLE,($D341+R$5)&gt;TOTAL_LABOR_HOURS_CAP,MAX(0,($D341+R$5)-PERMANENT_FIELD_LABOR_HOURS)&gt;TEMP_HOURS_CAP),"",$C341+R$6-MIN(($D341+R$5),PERMANENT_FIELD_LABOR_HOURS)*PERMANENT_HOURLY_RATE-MAX(0,($D341+R$5)-PERMANENT_FIELD_LABOR_HOURS)*TEMP_HOURLY_RATE-FIXED_SEASON_COST)</f>
        <v/>
      </c>
      <c r="S341" s="53" t="str">
        <f aca="false">IF(OR($A341&gt;TOMATO_BED_CAP,$B341&gt;CARROT_BED_CAP,S$4&gt;MESCLUN_BED_CAP,$A341+$B341+S$4&gt;TOTAL_BEDS_AVAILABLE,($D341+S$5)&gt;TOTAL_LABOR_HOURS_CAP,MAX(0,($D341+S$5)-PERMANENT_FIELD_LABOR_HOURS)&gt;TEMP_HOURS_CAP),"",$C341+S$6-MIN(($D341+S$5),PERMANENT_FIELD_LABOR_HOURS)*PERMANENT_HOURLY_RATE-MAX(0,($D341+S$5)-PERMANENT_FIELD_LABOR_HOURS)*TEMP_HOURLY_RATE-FIXED_SEASON_COST)</f>
        <v/>
      </c>
      <c r="T341" s="53" t="str">
        <f aca="false">IF(OR($A341&gt;TOMATO_BED_CAP,$B341&gt;CARROT_BED_CAP,T$4&gt;MESCLUN_BED_CAP,$A341+$B341+T$4&gt;TOTAL_BEDS_AVAILABLE,($D341+T$5)&gt;TOTAL_LABOR_HOURS_CAP,MAX(0,($D341+T$5)-PERMANENT_FIELD_LABOR_HOURS)&gt;TEMP_HOURS_CAP),"",$C341+T$6-MIN(($D341+T$5),PERMANENT_FIELD_LABOR_HOURS)*PERMANENT_HOURLY_RATE-MAX(0,($D341+T$5)-PERMANENT_FIELD_LABOR_HOURS)*TEMP_HOURLY_RATE-FIXED_SEASON_COST)</f>
        <v/>
      </c>
      <c r="U341" s="53" t="str">
        <f aca="false">IF(OR($A341&gt;TOMATO_BED_CAP,$B341&gt;CARROT_BED_CAP,U$4&gt;MESCLUN_BED_CAP,$A341+$B341+U$4&gt;TOTAL_BEDS_AVAILABLE,($D341+U$5)&gt;TOTAL_LABOR_HOURS_CAP,MAX(0,($D341+U$5)-PERMANENT_FIELD_LABOR_HOURS)&gt;TEMP_HOURS_CAP),"",$C341+U$6-MIN(($D341+U$5),PERMANENT_FIELD_LABOR_HOURS)*PERMANENT_HOURLY_RATE-MAX(0,($D341+U$5)-PERMANENT_FIELD_LABOR_HOURS)*TEMP_HOURLY_RATE-FIXED_SEASON_COST)</f>
        <v/>
      </c>
      <c r="V341" s="53" t="str">
        <f aca="false">IF(OR($A341&gt;TOMATO_BED_CAP,$B341&gt;CARROT_BED_CAP,V$4&gt;MESCLUN_BED_CAP,$A341+$B341+V$4&gt;TOTAL_BEDS_AVAILABLE,($D341+V$5)&gt;TOTAL_LABOR_HOURS_CAP,MAX(0,($D341+V$5)-PERMANENT_FIELD_LABOR_HOURS)&gt;TEMP_HOURS_CAP),"",$C341+V$6-MIN(($D341+V$5),PERMANENT_FIELD_LABOR_HOURS)*PERMANENT_HOURLY_RATE-MAX(0,($D341+V$5)-PERMANENT_FIELD_LABOR_HOURS)*TEMP_HOURLY_RATE-FIXED_SEASON_COST)</f>
        <v/>
      </c>
      <c r="W341" s="53" t="str">
        <f aca="false">IF(OR($A341&gt;TOMATO_BED_CAP,$B341&gt;CARROT_BED_CAP,W$4&gt;MESCLUN_BED_CAP,$A341+$B341+W$4&gt;TOTAL_BEDS_AVAILABLE,($D341+W$5)&gt;TOTAL_LABOR_HOURS_CAP,MAX(0,($D341+W$5)-PERMANENT_FIELD_LABOR_HOURS)&gt;TEMP_HOURS_CAP),"",$C341+W$6-MIN(($D341+W$5),PERMANENT_FIELD_LABOR_HOURS)*PERMANENT_HOURLY_RATE-MAX(0,($D341+W$5)-PERMANENT_FIELD_LABOR_HOURS)*TEMP_HOURLY_RATE-FIXED_SEASON_COST)</f>
        <v/>
      </c>
      <c r="X341" s="53" t="str">
        <f aca="false">IF(OR($A341&gt;TOMATO_BED_CAP,$B341&gt;CARROT_BED_CAP,X$4&gt;MESCLUN_BED_CAP,$A341+$B341+X$4&gt;TOTAL_BEDS_AVAILABLE,($D341+X$5)&gt;TOTAL_LABOR_HOURS_CAP,MAX(0,($D341+X$5)-PERMANENT_FIELD_LABOR_HOURS)&gt;TEMP_HOURS_CAP),"",$C341+X$6-MIN(($D341+X$5),PERMANENT_FIELD_LABOR_HOURS)*PERMANENT_HOURLY_RATE-MAX(0,($D341+X$5)-PERMANENT_FIELD_LABOR_HOURS)*TEMP_HOURLY_RATE-FIXED_SEASON_COST)</f>
        <v/>
      </c>
      <c r="Y341" s="53" t="str">
        <f aca="false">IF(OR($A341&gt;TOMATO_BED_CAP,$B341&gt;CARROT_BED_CAP,Y$4&gt;MESCLUN_BED_CAP,$A341+$B341+Y$4&gt;TOTAL_BEDS_AVAILABLE,($D341+Y$5)&gt;TOTAL_LABOR_HOURS_CAP,MAX(0,($D341+Y$5)-PERMANENT_FIELD_LABOR_HOURS)&gt;TEMP_HOURS_CAP),"",$C341+Y$6-MIN(($D341+Y$5),PERMANENT_FIELD_LABOR_HOURS)*PERMANENT_HOURLY_RATE-MAX(0,($D341+Y$5)-PERMANENT_FIELD_LABOR_HOURS)*TEMP_HOURLY_RATE-FIXED_SEASON_COST)</f>
        <v/>
      </c>
      <c r="Z341" s="53" t="str">
        <f aca="false">IF(OR($A341&gt;TOMATO_BED_CAP,$B341&gt;CARROT_BED_CAP,Z$4&gt;MESCLUN_BED_CAP,$A341+$B341+Z$4&gt;TOTAL_BEDS_AVAILABLE,($D341+Z$5)&gt;TOTAL_LABOR_HOURS_CAP,MAX(0,($D341+Z$5)-PERMANENT_FIELD_LABOR_HOURS)&gt;TEMP_HOURS_CAP),"",$C341+Z$6-MIN(($D341+Z$5),PERMANENT_FIELD_LABOR_HOURS)*PERMANENT_HOURLY_RATE-MAX(0,($D341+Z$5)-PERMANENT_FIELD_LABOR_HOURS)*TEMP_HOURLY_RATE-FIXED_SEASON_COST)</f>
        <v/>
      </c>
      <c r="AA341" s="53" t="str">
        <f aca="false">IF(OR($A341&gt;TOMATO_BED_CAP,$B341&gt;CARROT_BED_CAP,AA$4&gt;MESCLUN_BED_CAP,$A341+$B341+AA$4&gt;TOTAL_BEDS_AVAILABLE,($D341+AA$5)&gt;TOTAL_LABOR_HOURS_CAP,MAX(0,($D341+AA$5)-PERMANENT_FIELD_LABOR_HOURS)&gt;TEMP_HOURS_CAP),"",$C341+AA$6-MIN(($D341+AA$5),PERMANENT_FIELD_LABOR_HOURS)*PERMANENT_HOURLY_RATE-MAX(0,($D341+AA$5)-PERMANENT_FIELD_LABOR_HOURS)*TEMP_HOURLY_RATE-FIXED_SEASON_COST)</f>
        <v/>
      </c>
      <c r="AB341" s="53" t="str">
        <f aca="false">IF(OR($A341&gt;TOMATO_BED_CAP,$B341&gt;CARROT_BED_CAP,AB$4&gt;MESCLUN_BED_CAP,$A341+$B341+AB$4&gt;TOTAL_BEDS_AVAILABLE,($D341+AB$5)&gt;TOTAL_LABOR_HOURS_CAP,MAX(0,($D341+AB$5)-PERMANENT_FIELD_LABOR_HOURS)&gt;TEMP_HOURS_CAP),"",$C341+AB$6-MIN(($D341+AB$5),PERMANENT_FIELD_LABOR_HOURS)*PERMANENT_HOURLY_RATE-MAX(0,($D341+AB$5)-PERMANENT_FIELD_LABOR_HOURS)*TEMP_HOURLY_RATE-FIXED_SEASON_COST)</f>
        <v/>
      </c>
      <c r="AC341" s="53" t="str">
        <f aca="false">IF(OR($A341&gt;TOMATO_BED_CAP,$B341&gt;CARROT_BED_CAP,AC$4&gt;MESCLUN_BED_CAP,$A341+$B341+AC$4&gt;TOTAL_BEDS_AVAILABLE,($D341+AC$5)&gt;TOTAL_LABOR_HOURS_CAP,MAX(0,($D341+AC$5)-PERMANENT_FIELD_LABOR_HOURS)&gt;TEMP_HOURS_CAP),"",$C341+AC$6-MIN(($D341+AC$5),PERMANENT_FIELD_LABOR_HOURS)*PERMANENT_HOURLY_RATE-MAX(0,($D341+AC$5)-PERMANENT_FIELD_LABOR_HOURS)*TEMP_HOURLY_RATE-FIXED_SEASON_COST)</f>
        <v/>
      </c>
      <c r="AD341" s="53" t="str">
        <f aca="false">IF(OR($A341&gt;TOMATO_BED_CAP,$B341&gt;CARROT_BED_CAP,AD$4&gt;MESCLUN_BED_CAP,$A341+$B341+AD$4&gt;TOTAL_BEDS_AVAILABLE,($D341+AD$5)&gt;TOTAL_LABOR_HOURS_CAP,MAX(0,($D341+AD$5)-PERMANENT_FIELD_LABOR_HOURS)&gt;TEMP_HOURS_CAP),"",$C341+AD$6-MIN(($D341+AD$5),PERMANENT_FIELD_LABOR_HOURS)*PERMANENT_HOURLY_RATE-MAX(0,($D341+AD$5)-PERMANENT_FIELD_LABOR_HOURS)*TEMP_HOURLY_RATE-FIXED_SEASON_COST)</f>
        <v/>
      </c>
      <c r="AE341" s="53" t="str">
        <f aca="false">IF(OR($A341&gt;TOMATO_BED_CAP,$B341&gt;CARROT_BED_CAP,AE$4&gt;MESCLUN_BED_CAP,$A341+$B341+AE$4&gt;TOTAL_BEDS_AVAILABLE,($D341+AE$5)&gt;TOTAL_LABOR_HOURS_CAP,MAX(0,($D341+AE$5)-PERMANENT_FIELD_LABOR_HOURS)&gt;TEMP_HOURS_CAP),"",$C341+AE$6-MIN(($D341+AE$5),PERMANENT_FIELD_LABOR_HOURS)*PERMANENT_HOURLY_RATE-MAX(0,($D341+AE$5)-PERMANENT_FIELD_LABOR_HOURS)*TEMP_HOURLY_RATE-FIXED_SEASON_COST)</f>
        <v/>
      </c>
      <c r="AF341" s="53" t="str">
        <f aca="false">IF(OR($A341&gt;TOMATO_BED_CAP,$B341&gt;CARROT_BED_CAP,AF$4&gt;MESCLUN_BED_CAP,$A341+$B341+AF$4&gt;TOTAL_BEDS_AVAILABLE,($D341+AF$5)&gt;TOTAL_LABOR_HOURS_CAP,MAX(0,($D341+AF$5)-PERMANENT_FIELD_LABOR_HOURS)&gt;TEMP_HOURS_CAP),"",$C341+AF$6-MIN(($D341+AF$5),PERMANENT_FIELD_LABOR_HOURS)*PERMANENT_HOURLY_RATE-MAX(0,($D341+AF$5)-PERMANENT_FIELD_LABOR_HOURS)*TEMP_HOURLY_RATE-FIXED_SEASON_COST)</f>
        <v/>
      </c>
      <c r="AG341" s="53" t="str">
        <f aca="false">IF(OR($A341&gt;TOMATO_BED_CAP,$B341&gt;CARROT_BED_CAP,AG$4&gt;MESCLUN_BED_CAP,$A341+$B341+AG$4&gt;TOTAL_BEDS_AVAILABLE,($D341+AG$5)&gt;TOTAL_LABOR_HOURS_CAP,MAX(0,($D341+AG$5)-PERMANENT_FIELD_LABOR_HOURS)&gt;TEMP_HOURS_CAP),"",$C341+AG$6-MIN(($D341+AG$5),PERMANENT_FIELD_LABOR_HOURS)*PERMANENT_HOURLY_RATE-MAX(0,($D341+AG$5)-PERMANENT_FIELD_LABOR_HOURS)*TEMP_HOURLY_RATE-FIXED_SEASON_COST)</f>
        <v/>
      </c>
      <c r="AH341" s="53" t="str">
        <f aca="false">IF(OR($A341&gt;TOMATO_BED_CAP,$B341&gt;CARROT_BED_CAP,AH$4&gt;MESCLUN_BED_CAP,$A341+$B341+AH$4&gt;TOTAL_BEDS_AVAILABLE,($D341+AH$5)&gt;TOTAL_LABOR_HOURS_CAP,MAX(0,($D341+AH$5)-PERMANENT_FIELD_LABOR_HOURS)&gt;TEMP_HOURS_CAP),"",$C341+AH$6-MIN(($D341+AH$5),PERMANENT_FIELD_LABOR_HOURS)*PERMANENT_HOURLY_RATE-MAX(0,($D341+AH$5)-PERMANENT_FIELD_LABOR_HOURS)*TEMP_HOURLY_RATE-FIXED_SEASON_COST)</f>
        <v/>
      </c>
      <c r="AI341" s="53" t="str">
        <f aca="false">IF(OR($A341&gt;TOMATO_BED_CAP,$B341&gt;CARROT_BED_CAP,AI$4&gt;MESCLUN_BED_CAP,$A341+$B341+AI$4&gt;TOTAL_BEDS_AVAILABLE,($D341+AI$5)&gt;TOTAL_LABOR_HOURS_CAP,MAX(0,($D341+AI$5)-PERMANENT_FIELD_LABOR_HOURS)&gt;TEMP_HOURS_CAP),"",$C341+AI$6-MIN(($D341+AI$5),PERMANENT_FIELD_LABOR_HOURS)*PERMANENT_HOURLY_RATE-MAX(0,($D341+AI$5)-PERMANENT_FIELD_LABOR_HOURS)*TEMP_HOURLY_RATE-FIXED_SEASON_COST)</f>
        <v/>
      </c>
      <c r="AJ341" s="53" t="str">
        <f aca="false">IF(OR($A341&gt;TOMATO_BED_CAP,$B341&gt;CARROT_BED_CAP,AJ$4&gt;MESCLUN_BED_CAP,$A341+$B341+AJ$4&gt;TOTAL_BEDS_AVAILABLE,($D341+AJ$5)&gt;TOTAL_LABOR_HOURS_CAP,MAX(0,($D341+AJ$5)-PERMANENT_FIELD_LABOR_HOURS)&gt;TEMP_HOURS_CAP),"",$C341+AJ$6-MIN(($D341+AJ$5),PERMANENT_FIELD_LABOR_HOURS)*PERMANENT_HOURLY_RATE-MAX(0,($D341+AJ$5)-PERMANENT_FIELD_LABOR_HOURS)*TEMP_HOURLY_RATE-FIXED_SEASON_COST)</f>
        <v/>
      </c>
    </row>
    <row r="342" customFormat="false" ht="15" hidden="false" customHeight="false" outlineLevel="0" collapsed="false">
      <c r="A342" s="21" t="n">
        <f aca="false">INT((ROW()-ROW($A$8))/(20+1))</f>
        <v>15</v>
      </c>
      <c r="B342" s="21" t="n">
        <f aca="false">MOD(ROW()-ROW($A$8),20+1)</f>
        <v>19</v>
      </c>
      <c r="C342" s="13" t="n">
        <f aca="false">A342*(TOMATO_REVENUE_PER_BED-TOMATO_FERTILIZER_PER_BED)+B342*(CARROT_REVENUE_PER_BED-CARROT_FERTILIZER_PER_BED)</f>
        <v>150226</v>
      </c>
      <c r="D342" s="14" t="n">
        <f aca="false">INDEX(TOMATO_SCHED_LABOR_HRS,A342+1)+INDEX(CARROT_SCHED_LABOR_HRS,B342+1)</f>
        <v>6550.15114228883</v>
      </c>
      <c r="E342" s="13" t="str">
        <f aca="false">IF(COUNT(F342:AJ342)=0,"",MAX(F342:AJ342))</f>
        <v/>
      </c>
      <c r="F342" s="53" t="str">
        <f aca="false">IF(OR($A342&gt;TOMATO_BED_CAP,$B342&gt;CARROT_BED_CAP,F$4&gt;MESCLUN_BED_CAP,$A342+$B342+F$4&gt;TOTAL_BEDS_AVAILABLE,($D342+F$5)&gt;TOTAL_LABOR_HOURS_CAP,MAX(0,($D342+F$5)-PERMANENT_FIELD_LABOR_HOURS)&gt;TEMP_HOURS_CAP),"",$C342+F$6-MIN(($D342+F$5),PERMANENT_FIELD_LABOR_HOURS)*PERMANENT_HOURLY_RATE-MAX(0,($D342+F$5)-PERMANENT_FIELD_LABOR_HOURS)*TEMP_HOURLY_RATE-FIXED_SEASON_COST)</f>
        <v/>
      </c>
      <c r="G342" s="53" t="str">
        <f aca="false">IF(OR($A342&gt;TOMATO_BED_CAP,$B342&gt;CARROT_BED_CAP,G$4&gt;MESCLUN_BED_CAP,$A342+$B342+G$4&gt;TOTAL_BEDS_AVAILABLE,($D342+G$5)&gt;TOTAL_LABOR_HOURS_CAP,MAX(0,($D342+G$5)-PERMANENT_FIELD_LABOR_HOURS)&gt;TEMP_HOURS_CAP),"",$C342+G$6-MIN(($D342+G$5),PERMANENT_FIELD_LABOR_HOURS)*PERMANENT_HOURLY_RATE-MAX(0,($D342+G$5)-PERMANENT_FIELD_LABOR_HOURS)*TEMP_HOURLY_RATE-FIXED_SEASON_COST)</f>
        <v/>
      </c>
      <c r="H342" s="53" t="str">
        <f aca="false">IF(OR($A342&gt;TOMATO_BED_CAP,$B342&gt;CARROT_BED_CAP,H$4&gt;MESCLUN_BED_CAP,$A342+$B342+H$4&gt;TOTAL_BEDS_AVAILABLE,($D342+H$5)&gt;TOTAL_LABOR_HOURS_CAP,MAX(0,($D342+H$5)-PERMANENT_FIELD_LABOR_HOURS)&gt;TEMP_HOURS_CAP),"",$C342+H$6-MIN(($D342+H$5),PERMANENT_FIELD_LABOR_HOURS)*PERMANENT_HOURLY_RATE-MAX(0,($D342+H$5)-PERMANENT_FIELD_LABOR_HOURS)*TEMP_HOURLY_RATE-FIXED_SEASON_COST)</f>
        <v/>
      </c>
      <c r="I342" s="53" t="str">
        <f aca="false">IF(OR($A342&gt;TOMATO_BED_CAP,$B342&gt;CARROT_BED_CAP,I$4&gt;MESCLUN_BED_CAP,$A342+$B342+I$4&gt;TOTAL_BEDS_AVAILABLE,($D342+I$5)&gt;TOTAL_LABOR_HOURS_CAP,MAX(0,($D342+I$5)-PERMANENT_FIELD_LABOR_HOURS)&gt;TEMP_HOURS_CAP),"",$C342+I$6-MIN(($D342+I$5),PERMANENT_FIELD_LABOR_HOURS)*PERMANENT_HOURLY_RATE-MAX(0,($D342+I$5)-PERMANENT_FIELD_LABOR_HOURS)*TEMP_HOURLY_RATE-FIXED_SEASON_COST)</f>
        <v/>
      </c>
      <c r="J342" s="53" t="str">
        <f aca="false">IF(OR($A342&gt;TOMATO_BED_CAP,$B342&gt;CARROT_BED_CAP,J$4&gt;MESCLUN_BED_CAP,$A342+$B342+J$4&gt;TOTAL_BEDS_AVAILABLE,($D342+J$5)&gt;TOTAL_LABOR_HOURS_CAP,MAX(0,($D342+J$5)-PERMANENT_FIELD_LABOR_HOURS)&gt;TEMP_HOURS_CAP),"",$C342+J$6-MIN(($D342+J$5),PERMANENT_FIELD_LABOR_HOURS)*PERMANENT_HOURLY_RATE-MAX(0,($D342+J$5)-PERMANENT_FIELD_LABOR_HOURS)*TEMP_HOURLY_RATE-FIXED_SEASON_COST)</f>
        <v/>
      </c>
      <c r="K342" s="53" t="str">
        <f aca="false">IF(OR($A342&gt;TOMATO_BED_CAP,$B342&gt;CARROT_BED_CAP,K$4&gt;MESCLUN_BED_CAP,$A342+$B342+K$4&gt;TOTAL_BEDS_AVAILABLE,($D342+K$5)&gt;TOTAL_LABOR_HOURS_CAP,MAX(0,($D342+K$5)-PERMANENT_FIELD_LABOR_HOURS)&gt;TEMP_HOURS_CAP),"",$C342+K$6-MIN(($D342+K$5),PERMANENT_FIELD_LABOR_HOURS)*PERMANENT_HOURLY_RATE-MAX(0,($D342+K$5)-PERMANENT_FIELD_LABOR_HOURS)*TEMP_HOURLY_RATE-FIXED_SEASON_COST)</f>
        <v/>
      </c>
      <c r="L342" s="53" t="str">
        <f aca="false">IF(OR($A342&gt;TOMATO_BED_CAP,$B342&gt;CARROT_BED_CAP,L$4&gt;MESCLUN_BED_CAP,$A342+$B342+L$4&gt;TOTAL_BEDS_AVAILABLE,($D342+L$5)&gt;TOTAL_LABOR_HOURS_CAP,MAX(0,($D342+L$5)-PERMANENT_FIELD_LABOR_HOURS)&gt;TEMP_HOURS_CAP),"",$C342+L$6-MIN(($D342+L$5),PERMANENT_FIELD_LABOR_HOURS)*PERMANENT_HOURLY_RATE-MAX(0,($D342+L$5)-PERMANENT_FIELD_LABOR_HOURS)*TEMP_HOURLY_RATE-FIXED_SEASON_COST)</f>
        <v/>
      </c>
      <c r="M342" s="53" t="str">
        <f aca="false">IF(OR($A342&gt;TOMATO_BED_CAP,$B342&gt;CARROT_BED_CAP,M$4&gt;MESCLUN_BED_CAP,$A342+$B342+M$4&gt;TOTAL_BEDS_AVAILABLE,($D342+M$5)&gt;TOTAL_LABOR_HOURS_CAP,MAX(0,($D342+M$5)-PERMANENT_FIELD_LABOR_HOURS)&gt;TEMP_HOURS_CAP),"",$C342+M$6-MIN(($D342+M$5),PERMANENT_FIELD_LABOR_HOURS)*PERMANENT_HOURLY_RATE-MAX(0,($D342+M$5)-PERMANENT_FIELD_LABOR_HOURS)*TEMP_HOURLY_RATE-FIXED_SEASON_COST)</f>
        <v/>
      </c>
      <c r="N342" s="53" t="str">
        <f aca="false">IF(OR($A342&gt;TOMATO_BED_CAP,$B342&gt;CARROT_BED_CAP,N$4&gt;MESCLUN_BED_CAP,$A342+$B342+N$4&gt;TOTAL_BEDS_AVAILABLE,($D342+N$5)&gt;TOTAL_LABOR_HOURS_CAP,MAX(0,($D342+N$5)-PERMANENT_FIELD_LABOR_HOURS)&gt;TEMP_HOURS_CAP),"",$C342+N$6-MIN(($D342+N$5),PERMANENT_FIELD_LABOR_HOURS)*PERMANENT_HOURLY_RATE-MAX(0,($D342+N$5)-PERMANENT_FIELD_LABOR_HOURS)*TEMP_HOURLY_RATE-FIXED_SEASON_COST)</f>
        <v/>
      </c>
      <c r="O342" s="53" t="str">
        <f aca="false">IF(OR($A342&gt;TOMATO_BED_CAP,$B342&gt;CARROT_BED_CAP,O$4&gt;MESCLUN_BED_CAP,$A342+$B342+O$4&gt;TOTAL_BEDS_AVAILABLE,($D342+O$5)&gt;TOTAL_LABOR_HOURS_CAP,MAX(0,($D342+O$5)-PERMANENT_FIELD_LABOR_HOURS)&gt;TEMP_HOURS_CAP),"",$C342+O$6-MIN(($D342+O$5),PERMANENT_FIELD_LABOR_HOURS)*PERMANENT_HOURLY_RATE-MAX(0,($D342+O$5)-PERMANENT_FIELD_LABOR_HOURS)*TEMP_HOURLY_RATE-FIXED_SEASON_COST)</f>
        <v/>
      </c>
      <c r="P342" s="53" t="str">
        <f aca="false">IF(OR($A342&gt;TOMATO_BED_CAP,$B342&gt;CARROT_BED_CAP,P$4&gt;MESCLUN_BED_CAP,$A342+$B342+P$4&gt;TOTAL_BEDS_AVAILABLE,($D342+P$5)&gt;TOTAL_LABOR_HOURS_CAP,MAX(0,($D342+P$5)-PERMANENT_FIELD_LABOR_HOURS)&gt;TEMP_HOURS_CAP),"",$C342+P$6-MIN(($D342+P$5),PERMANENT_FIELD_LABOR_HOURS)*PERMANENT_HOURLY_RATE-MAX(0,($D342+P$5)-PERMANENT_FIELD_LABOR_HOURS)*TEMP_HOURLY_RATE-FIXED_SEASON_COST)</f>
        <v/>
      </c>
      <c r="Q342" s="53" t="str">
        <f aca="false">IF(OR($A342&gt;TOMATO_BED_CAP,$B342&gt;CARROT_BED_CAP,Q$4&gt;MESCLUN_BED_CAP,$A342+$B342+Q$4&gt;TOTAL_BEDS_AVAILABLE,($D342+Q$5)&gt;TOTAL_LABOR_HOURS_CAP,MAX(0,($D342+Q$5)-PERMANENT_FIELD_LABOR_HOURS)&gt;TEMP_HOURS_CAP),"",$C342+Q$6-MIN(($D342+Q$5),PERMANENT_FIELD_LABOR_HOURS)*PERMANENT_HOURLY_RATE-MAX(0,($D342+Q$5)-PERMANENT_FIELD_LABOR_HOURS)*TEMP_HOURLY_RATE-FIXED_SEASON_COST)</f>
        <v/>
      </c>
      <c r="R342" s="53" t="str">
        <f aca="false">IF(OR($A342&gt;TOMATO_BED_CAP,$B342&gt;CARROT_BED_CAP,R$4&gt;MESCLUN_BED_CAP,$A342+$B342+R$4&gt;TOTAL_BEDS_AVAILABLE,($D342+R$5)&gt;TOTAL_LABOR_HOURS_CAP,MAX(0,($D342+R$5)-PERMANENT_FIELD_LABOR_HOURS)&gt;TEMP_HOURS_CAP),"",$C342+R$6-MIN(($D342+R$5),PERMANENT_FIELD_LABOR_HOURS)*PERMANENT_HOURLY_RATE-MAX(0,($D342+R$5)-PERMANENT_FIELD_LABOR_HOURS)*TEMP_HOURLY_RATE-FIXED_SEASON_COST)</f>
        <v/>
      </c>
      <c r="S342" s="53" t="str">
        <f aca="false">IF(OR($A342&gt;TOMATO_BED_CAP,$B342&gt;CARROT_BED_CAP,S$4&gt;MESCLUN_BED_CAP,$A342+$B342+S$4&gt;TOTAL_BEDS_AVAILABLE,($D342+S$5)&gt;TOTAL_LABOR_HOURS_CAP,MAX(0,($D342+S$5)-PERMANENT_FIELD_LABOR_HOURS)&gt;TEMP_HOURS_CAP),"",$C342+S$6-MIN(($D342+S$5),PERMANENT_FIELD_LABOR_HOURS)*PERMANENT_HOURLY_RATE-MAX(0,($D342+S$5)-PERMANENT_FIELD_LABOR_HOURS)*TEMP_HOURLY_RATE-FIXED_SEASON_COST)</f>
        <v/>
      </c>
      <c r="T342" s="53" t="str">
        <f aca="false">IF(OR($A342&gt;TOMATO_BED_CAP,$B342&gt;CARROT_BED_CAP,T$4&gt;MESCLUN_BED_CAP,$A342+$B342+T$4&gt;TOTAL_BEDS_AVAILABLE,($D342+T$5)&gt;TOTAL_LABOR_HOURS_CAP,MAX(0,($D342+T$5)-PERMANENT_FIELD_LABOR_HOURS)&gt;TEMP_HOURS_CAP),"",$C342+T$6-MIN(($D342+T$5),PERMANENT_FIELD_LABOR_HOURS)*PERMANENT_HOURLY_RATE-MAX(0,($D342+T$5)-PERMANENT_FIELD_LABOR_HOURS)*TEMP_HOURLY_RATE-FIXED_SEASON_COST)</f>
        <v/>
      </c>
      <c r="U342" s="53" t="str">
        <f aca="false">IF(OR($A342&gt;TOMATO_BED_CAP,$B342&gt;CARROT_BED_CAP,U$4&gt;MESCLUN_BED_CAP,$A342+$B342+U$4&gt;TOTAL_BEDS_AVAILABLE,($D342+U$5)&gt;TOTAL_LABOR_HOURS_CAP,MAX(0,($D342+U$5)-PERMANENT_FIELD_LABOR_HOURS)&gt;TEMP_HOURS_CAP),"",$C342+U$6-MIN(($D342+U$5),PERMANENT_FIELD_LABOR_HOURS)*PERMANENT_HOURLY_RATE-MAX(0,($D342+U$5)-PERMANENT_FIELD_LABOR_HOURS)*TEMP_HOURLY_RATE-FIXED_SEASON_COST)</f>
        <v/>
      </c>
      <c r="V342" s="53" t="str">
        <f aca="false">IF(OR($A342&gt;TOMATO_BED_CAP,$B342&gt;CARROT_BED_CAP,V$4&gt;MESCLUN_BED_CAP,$A342+$B342+V$4&gt;TOTAL_BEDS_AVAILABLE,($D342+V$5)&gt;TOTAL_LABOR_HOURS_CAP,MAX(0,($D342+V$5)-PERMANENT_FIELD_LABOR_HOURS)&gt;TEMP_HOURS_CAP),"",$C342+V$6-MIN(($D342+V$5),PERMANENT_FIELD_LABOR_HOURS)*PERMANENT_HOURLY_RATE-MAX(0,($D342+V$5)-PERMANENT_FIELD_LABOR_HOURS)*TEMP_HOURLY_RATE-FIXED_SEASON_COST)</f>
        <v/>
      </c>
      <c r="W342" s="53" t="str">
        <f aca="false">IF(OR($A342&gt;TOMATO_BED_CAP,$B342&gt;CARROT_BED_CAP,W$4&gt;MESCLUN_BED_CAP,$A342+$B342+W$4&gt;TOTAL_BEDS_AVAILABLE,($D342+W$5)&gt;TOTAL_LABOR_HOURS_CAP,MAX(0,($D342+W$5)-PERMANENT_FIELD_LABOR_HOURS)&gt;TEMP_HOURS_CAP),"",$C342+W$6-MIN(($D342+W$5),PERMANENT_FIELD_LABOR_HOURS)*PERMANENT_HOURLY_RATE-MAX(0,($D342+W$5)-PERMANENT_FIELD_LABOR_HOURS)*TEMP_HOURLY_RATE-FIXED_SEASON_COST)</f>
        <v/>
      </c>
      <c r="X342" s="53" t="str">
        <f aca="false">IF(OR($A342&gt;TOMATO_BED_CAP,$B342&gt;CARROT_BED_CAP,X$4&gt;MESCLUN_BED_CAP,$A342+$B342+X$4&gt;TOTAL_BEDS_AVAILABLE,($D342+X$5)&gt;TOTAL_LABOR_HOURS_CAP,MAX(0,($D342+X$5)-PERMANENT_FIELD_LABOR_HOURS)&gt;TEMP_HOURS_CAP),"",$C342+X$6-MIN(($D342+X$5),PERMANENT_FIELD_LABOR_HOURS)*PERMANENT_HOURLY_RATE-MAX(0,($D342+X$5)-PERMANENT_FIELD_LABOR_HOURS)*TEMP_HOURLY_RATE-FIXED_SEASON_COST)</f>
        <v/>
      </c>
      <c r="Y342" s="53" t="str">
        <f aca="false">IF(OR($A342&gt;TOMATO_BED_CAP,$B342&gt;CARROT_BED_CAP,Y$4&gt;MESCLUN_BED_CAP,$A342+$B342+Y$4&gt;TOTAL_BEDS_AVAILABLE,($D342+Y$5)&gt;TOTAL_LABOR_HOURS_CAP,MAX(0,($D342+Y$5)-PERMANENT_FIELD_LABOR_HOURS)&gt;TEMP_HOURS_CAP),"",$C342+Y$6-MIN(($D342+Y$5),PERMANENT_FIELD_LABOR_HOURS)*PERMANENT_HOURLY_RATE-MAX(0,($D342+Y$5)-PERMANENT_FIELD_LABOR_HOURS)*TEMP_HOURLY_RATE-FIXED_SEASON_COST)</f>
        <v/>
      </c>
      <c r="Z342" s="53" t="str">
        <f aca="false">IF(OR($A342&gt;TOMATO_BED_CAP,$B342&gt;CARROT_BED_CAP,Z$4&gt;MESCLUN_BED_CAP,$A342+$B342+Z$4&gt;TOTAL_BEDS_AVAILABLE,($D342+Z$5)&gt;TOTAL_LABOR_HOURS_CAP,MAX(0,($D342+Z$5)-PERMANENT_FIELD_LABOR_HOURS)&gt;TEMP_HOURS_CAP),"",$C342+Z$6-MIN(($D342+Z$5),PERMANENT_FIELD_LABOR_HOURS)*PERMANENT_HOURLY_RATE-MAX(0,($D342+Z$5)-PERMANENT_FIELD_LABOR_HOURS)*TEMP_HOURLY_RATE-FIXED_SEASON_COST)</f>
        <v/>
      </c>
      <c r="AA342" s="53" t="str">
        <f aca="false">IF(OR($A342&gt;TOMATO_BED_CAP,$B342&gt;CARROT_BED_CAP,AA$4&gt;MESCLUN_BED_CAP,$A342+$B342+AA$4&gt;TOTAL_BEDS_AVAILABLE,($D342+AA$5)&gt;TOTAL_LABOR_HOURS_CAP,MAX(0,($D342+AA$5)-PERMANENT_FIELD_LABOR_HOURS)&gt;TEMP_HOURS_CAP),"",$C342+AA$6-MIN(($D342+AA$5),PERMANENT_FIELD_LABOR_HOURS)*PERMANENT_HOURLY_RATE-MAX(0,($D342+AA$5)-PERMANENT_FIELD_LABOR_HOURS)*TEMP_HOURLY_RATE-FIXED_SEASON_COST)</f>
        <v/>
      </c>
      <c r="AB342" s="53" t="str">
        <f aca="false">IF(OR($A342&gt;TOMATO_BED_CAP,$B342&gt;CARROT_BED_CAP,AB$4&gt;MESCLUN_BED_CAP,$A342+$B342+AB$4&gt;TOTAL_BEDS_AVAILABLE,($D342+AB$5)&gt;TOTAL_LABOR_HOURS_CAP,MAX(0,($D342+AB$5)-PERMANENT_FIELD_LABOR_HOURS)&gt;TEMP_HOURS_CAP),"",$C342+AB$6-MIN(($D342+AB$5),PERMANENT_FIELD_LABOR_HOURS)*PERMANENT_HOURLY_RATE-MAX(0,($D342+AB$5)-PERMANENT_FIELD_LABOR_HOURS)*TEMP_HOURLY_RATE-FIXED_SEASON_COST)</f>
        <v/>
      </c>
      <c r="AC342" s="53" t="str">
        <f aca="false">IF(OR($A342&gt;TOMATO_BED_CAP,$B342&gt;CARROT_BED_CAP,AC$4&gt;MESCLUN_BED_CAP,$A342+$B342+AC$4&gt;TOTAL_BEDS_AVAILABLE,($D342+AC$5)&gt;TOTAL_LABOR_HOURS_CAP,MAX(0,($D342+AC$5)-PERMANENT_FIELD_LABOR_HOURS)&gt;TEMP_HOURS_CAP),"",$C342+AC$6-MIN(($D342+AC$5),PERMANENT_FIELD_LABOR_HOURS)*PERMANENT_HOURLY_RATE-MAX(0,($D342+AC$5)-PERMANENT_FIELD_LABOR_HOURS)*TEMP_HOURLY_RATE-FIXED_SEASON_COST)</f>
        <v/>
      </c>
      <c r="AD342" s="53" t="str">
        <f aca="false">IF(OR($A342&gt;TOMATO_BED_CAP,$B342&gt;CARROT_BED_CAP,AD$4&gt;MESCLUN_BED_CAP,$A342+$B342+AD$4&gt;TOTAL_BEDS_AVAILABLE,($D342+AD$5)&gt;TOTAL_LABOR_HOURS_CAP,MAX(0,($D342+AD$5)-PERMANENT_FIELD_LABOR_HOURS)&gt;TEMP_HOURS_CAP),"",$C342+AD$6-MIN(($D342+AD$5),PERMANENT_FIELD_LABOR_HOURS)*PERMANENT_HOURLY_RATE-MAX(0,($D342+AD$5)-PERMANENT_FIELD_LABOR_HOURS)*TEMP_HOURLY_RATE-FIXED_SEASON_COST)</f>
        <v/>
      </c>
      <c r="AE342" s="53" t="str">
        <f aca="false">IF(OR($A342&gt;TOMATO_BED_CAP,$B342&gt;CARROT_BED_CAP,AE$4&gt;MESCLUN_BED_CAP,$A342+$B342+AE$4&gt;TOTAL_BEDS_AVAILABLE,($D342+AE$5)&gt;TOTAL_LABOR_HOURS_CAP,MAX(0,($D342+AE$5)-PERMANENT_FIELD_LABOR_HOURS)&gt;TEMP_HOURS_CAP),"",$C342+AE$6-MIN(($D342+AE$5),PERMANENT_FIELD_LABOR_HOURS)*PERMANENT_HOURLY_RATE-MAX(0,($D342+AE$5)-PERMANENT_FIELD_LABOR_HOURS)*TEMP_HOURLY_RATE-FIXED_SEASON_COST)</f>
        <v/>
      </c>
      <c r="AF342" s="53" t="str">
        <f aca="false">IF(OR($A342&gt;TOMATO_BED_CAP,$B342&gt;CARROT_BED_CAP,AF$4&gt;MESCLUN_BED_CAP,$A342+$B342+AF$4&gt;TOTAL_BEDS_AVAILABLE,($D342+AF$5)&gt;TOTAL_LABOR_HOURS_CAP,MAX(0,($D342+AF$5)-PERMANENT_FIELD_LABOR_HOURS)&gt;TEMP_HOURS_CAP),"",$C342+AF$6-MIN(($D342+AF$5),PERMANENT_FIELD_LABOR_HOURS)*PERMANENT_HOURLY_RATE-MAX(0,($D342+AF$5)-PERMANENT_FIELD_LABOR_HOURS)*TEMP_HOURLY_RATE-FIXED_SEASON_COST)</f>
        <v/>
      </c>
      <c r="AG342" s="53" t="str">
        <f aca="false">IF(OR($A342&gt;TOMATO_BED_CAP,$B342&gt;CARROT_BED_CAP,AG$4&gt;MESCLUN_BED_CAP,$A342+$B342+AG$4&gt;TOTAL_BEDS_AVAILABLE,($D342+AG$5)&gt;TOTAL_LABOR_HOURS_CAP,MAX(0,($D342+AG$5)-PERMANENT_FIELD_LABOR_HOURS)&gt;TEMP_HOURS_CAP),"",$C342+AG$6-MIN(($D342+AG$5),PERMANENT_FIELD_LABOR_HOURS)*PERMANENT_HOURLY_RATE-MAX(0,($D342+AG$5)-PERMANENT_FIELD_LABOR_HOURS)*TEMP_HOURLY_RATE-FIXED_SEASON_COST)</f>
        <v/>
      </c>
      <c r="AH342" s="53" t="str">
        <f aca="false">IF(OR($A342&gt;TOMATO_BED_CAP,$B342&gt;CARROT_BED_CAP,AH$4&gt;MESCLUN_BED_CAP,$A342+$B342+AH$4&gt;TOTAL_BEDS_AVAILABLE,($D342+AH$5)&gt;TOTAL_LABOR_HOURS_CAP,MAX(0,($D342+AH$5)-PERMANENT_FIELD_LABOR_HOURS)&gt;TEMP_HOURS_CAP),"",$C342+AH$6-MIN(($D342+AH$5),PERMANENT_FIELD_LABOR_HOURS)*PERMANENT_HOURLY_RATE-MAX(0,($D342+AH$5)-PERMANENT_FIELD_LABOR_HOURS)*TEMP_HOURLY_RATE-FIXED_SEASON_COST)</f>
        <v/>
      </c>
      <c r="AI342" s="53" t="str">
        <f aca="false">IF(OR($A342&gt;TOMATO_BED_CAP,$B342&gt;CARROT_BED_CAP,AI$4&gt;MESCLUN_BED_CAP,$A342+$B342+AI$4&gt;TOTAL_BEDS_AVAILABLE,($D342+AI$5)&gt;TOTAL_LABOR_HOURS_CAP,MAX(0,($D342+AI$5)-PERMANENT_FIELD_LABOR_HOURS)&gt;TEMP_HOURS_CAP),"",$C342+AI$6-MIN(($D342+AI$5),PERMANENT_FIELD_LABOR_HOURS)*PERMANENT_HOURLY_RATE-MAX(0,($D342+AI$5)-PERMANENT_FIELD_LABOR_HOURS)*TEMP_HOURLY_RATE-FIXED_SEASON_COST)</f>
        <v/>
      </c>
      <c r="AJ342" s="53" t="str">
        <f aca="false">IF(OR($A342&gt;TOMATO_BED_CAP,$B342&gt;CARROT_BED_CAP,AJ$4&gt;MESCLUN_BED_CAP,$A342+$B342+AJ$4&gt;TOTAL_BEDS_AVAILABLE,($D342+AJ$5)&gt;TOTAL_LABOR_HOURS_CAP,MAX(0,($D342+AJ$5)-PERMANENT_FIELD_LABOR_HOURS)&gt;TEMP_HOURS_CAP),"",$C342+AJ$6-MIN(($D342+AJ$5),PERMANENT_FIELD_LABOR_HOURS)*PERMANENT_HOURLY_RATE-MAX(0,($D342+AJ$5)-PERMANENT_FIELD_LABOR_HOURS)*TEMP_HOURLY_RATE-FIXED_SEASON_COST)</f>
        <v/>
      </c>
    </row>
    <row r="343" customFormat="false" ht="15" hidden="false" customHeight="false" outlineLevel="0" collapsed="false">
      <c r="A343" s="21" t="n">
        <f aca="false">INT((ROW()-ROW($A$8))/(20+1))</f>
        <v>15</v>
      </c>
      <c r="B343" s="21" t="n">
        <f aca="false">MOD(ROW()-ROW($A$8),20+1)</f>
        <v>20</v>
      </c>
      <c r="C343" s="13" t="n">
        <f aca="false">A343*(TOMATO_REVENUE_PER_BED-TOMATO_FERTILIZER_PER_BED)+B343*(CARROT_REVENUE_PER_BED-CARROT_FERTILIZER_PER_BED)</f>
        <v>151880</v>
      </c>
      <c r="D343" s="14" t="n">
        <f aca="false">INDEX(TOMATO_SCHED_LABOR_HRS,A343+1)+INDEX(CARROT_SCHED_LABOR_HRS,B343+1)</f>
        <v>6622.0616249397</v>
      </c>
      <c r="E343" s="13" t="str">
        <f aca="false">IF(COUNT(F343:AJ343)=0,"",MAX(F343:AJ343))</f>
        <v/>
      </c>
      <c r="F343" s="53" t="str">
        <f aca="false">IF(OR($A343&gt;TOMATO_BED_CAP,$B343&gt;CARROT_BED_CAP,F$4&gt;MESCLUN_BED_CAP,$A343+$B343+F$4&gt;TOTAL_BEDS_AVAILABLE,($D343+F$5)&gt;TOTAL_LABOR_HOURS_CAP,MAX(0,($D343+F$5)-PERMANENT_FIELD_LABOR_HOURS)&gt;TEMP_HOURS_CAP),"",$C343+F$6-MIN(($D343+F$5),PERMANENT_FIELD_LABOR_HOURS)*PERMANENT_HOURLY_RATE-MAX(0,($D343+F$5)-PERMANENT_FIELD_LABOR_HOURS)*TEMP_HOURLY_RATE-FIXED_SEASON_COST)</f>
        <v/>
      </c>
      <c r="G343" s="53" t="str">
        <f aca="false">IF(OR($A343&gt;TOMATO_BED_CAP,$B343&gt;CARROT_BED_CAP,G$4&gt;MESCLUN_BED_CAP,$A343+$B343+G$4&gt;TOTAL_BEDS_AVAILABLE,($D343+G$5)&gt;TOTAL_LABOR_HOURS_CAP,MAX(0,($D343+G$5)-PERMANENT_FIELD_LABOR_HOURS)&gt;TEMP_HOURS_CAP),"",$C343+G$6-MIN(($D343+G$5),PERMANENT_FIELD_LABOR_HOURS)*PERMANENT_HOURLY_RATE-MAX(0,($D343+G$5)-PERMANENT_FIELD_LABOR_HOURS)*TEMP_HOURLY_RATE-FIXED_SEASON_COST)</f>
        <v/>
      </c>
      <c r="H343" s="53" t="str">
        <f aca="false">IF(OR($A343&gt;TOMATO_BED_CAP,$B343&gt;CARROT_BED_CAP,H$4&gt;MESCLUN_BED_CAP,$A343+$B343+H$4&gt;TOTAL_BEDS_AVAILABLE,($D343+H$5)&gt;TOTAL_LABOR_HOURS_CAP,MAX(0,($D343+H$5)-PERMANENT_FIELD_LABOR_HOURS)&gt;TEMP_HOURS_CAP),"",$C343+H$6-MIN(($D343+H$5),PERMANENT_FIELD_LABOR_HOURS)*PERMANENT_HOURLY_RATE-MAX(0,($D343+H$5)-PERMANENT_FIELD_LABOR_HOURS)*TEMP_HOURLY_RATE-FIXED_SEASON_COST)</f>
        <v/>
      </c>
      <c r="I343" s="53" t="str">
        <f aca="false">IF(OR($A343&gt;TOMATO_BED_CAP,$B343&gt;CARROT_BED_CAP,I$4&gt;MESCLUN_BED_CAP,$A343+$B343+I$4&gt;TOTAL_BEDS_AVAILABLE,($D343+I$5)&gt;TOTAL_LABOR_HOURS_CAP,MAX(0,($D343+I$5)-PERMANENT_FIELD_LABOR_HOURS)&gt;TEMP_HOURS_CAP),"",$C343+I$6-MIN(($D343+I$5),PERMANENT_FIELD_LABOR_HOURS)*PERMANENT_HOURLY_RATE-MAX(0,($D343+I$5)-PERMANENT_FIELD_LABOR_HOURS)*TEMP_HOURLY_RATE-FIXED_SEASON_COST)</f>
        <v/>
      </c>
      <c r="J343" s="53" t="str">
        <f aca="false">IF(OR($A343&gt;TOMATO_BED_CAP,$B343&gt;CARROT_BED_CAP,J$4&gt;MESCLUN_BED_CAP,$A343+$B343+J$4&gt;TOTAL_BEDS_AVAILABLE,($D343+J$5)&gt;TOTAL_LABOR_HOURS_CAP,MAX(0,($D343+J$5)-PERMANENT_FIELD_LABOR_HOURS)&gt;TEMP_HOURS_CAP),"",$C343+J$6-MIN(($D343+J$5),PERMANENT_FIELD_LABOR_HOURS)*PERMANENT_HOURLY_RATE-MAX(0,($D343+J$5)-PERMANENT_FIELD_LABOR_HOURS)*TEMP_HOURLY_RATE-FIXED_SEASON_COST)</f>
        <v/>
      </c>
      <c r="K343" s="53" t="str">
        <f aca="false">IF(OR($A343&gt;TOMATO_BED_CAP,$B343&gt;CARROT_BED_CAP,K$4&gt;MESCLUN_BED_CAP,$A343+$B343+K$4&gt;TOTAL_BEDS_AVAILABLE,($D343+K$5)&gt;TOTAL_LABOR_HOURS_CAP,MAX(0,($D343+K$5)-PERMANENT_FIELD_LABOR_HOURS)&gt;TEMP_HOURS_CAP),"",$C343+K$6-MIN(($D343+K$5),PERMANENT_FIELD_LABOR_HOURS)*PERMANENT_HOURLY_RATE-MAX(0,($D343+K$5)-PERMANENT_FIELD_LABOR_HOURS)*TEMP_HOURLY_RATE-FIXED_SEASON_COST)</f>
        <v/>
      </c>
      <c r="L343" s="53" t="str">
        <f aca="false">IF(OR($A343&gt;TOMATO_BED_CAP,$B343&gt;CARROT_BED_CAP,L$4&gt;MESCLUN_BED_CAP,$A343+$B343+L$4&gt;TOTAL_BEDS_AVAILABLE,($D343+L$5)&gt;TOTAL_LABOR_HOURS_CAP,MAX(0,($D343+L$5)-PERMANENT_FIELD_LABOR_HOURS)&gt;TEMP_HOURS_CAP),"",$C343+L$6-MIN(($D343+L$5),PERMANENT_FIELD_LABOR_HOURS)*PERMANENT_HOURLY_RATE-MAX(0,($D343+L$5)-PERMANENT_FIELD_LABOR_HOURS)*TEMP_HOURLY_RATE-FIXED_SEASON_COST)</f>
        <v/>
      </c>
      <c r="M343" s="53" t="str">
        <f aca="false">IF(OR($A343&gt;TOMATO_BED_CAP,$B343&gt;CARROT_BED_CAP,M$4&gt;MESCLUN_BED_CAP,$A343+$B343+M$4&gt;TOTAL_BEDS_AVAILABLE,($D343+M$5)&gt;TOTAL_LABOR_HOURS_CAP,MAX(0,($D343+M$5)-PERMANENT_FIELD_LABOR_HOURS)&gt;TEMP_HOURS_CAP),"",$C343+M$6-MIN(($D343+M$5),PERMANENT_FIELD_LABOR_HOURS)*PERMANENT_HOURLY_RATE-MAX(0,($D343+M$5)-PERMANENT_FIELD_LABOR_HOURS)*TEMP_HOURLY_RATE-FIXED_SEASON_COST)</f>
        <v/>
      </c>
      <c r="N343" s="53" t="str">
        <f aca="false">IF(OR($A343&gt;TOMATO_BED_CAP,$B343&gt;CARROT_BED_CAP,N$4&gt;MESCLUN_BED_CAP,$A343+$B343+N$4&gt;TOTAL_BEDS_AVAILABLE,($D343+N$5)&gt;TOTAL_LABOR_HOURS_CAP,MAX(0,($D343+N$5)-PERMANENT_FIELD_LABOR_HOURS)&gt;TEMP_HOURS_CAP),"",$C343+N$6-MIN(($D343+N$5),PERMANENT_FIELD_LABOR_HOURS)*PERMANENT_HOURLY_RATE-MAX(0,($D343+N$5)-PERMANENT_FIELD_LABOR_HOURS)*TEMP_HOURLY_RATE-FIXED_SEASON_COST)</f>
        <v/>
      </c>
      <c r="O343" s="53" t="str">
        <f aca="false">IF(OR($A343&gt;TOMATO_BED_CAP,$B343&gt;CARROT_BED_CAP,O$4&gt;MESCLUN_BED_CAP,$A343+$B343+O$4&gt;TOTAL_BEDS_AVAILABLE,($D343+O$5)&gt;TOTAL_LABOR_HOURS_CAP,MAX(0,($D343+O$5)-PERMANENT_FIELD_LABOR_HOURS)&gt;TEMP_HOURS_CAP),"",$C343+O$6-MIN(($D343+O$5),PERMANENT_FIELD_LABOR_HOURS)*PERMANENT_HOURLY_RATE-MAX(0,($D343+O$5)-PERMANENT_FIELD_LABOR_HOURS)*TEMP_HOURLY_RATE-FIXED_SEASON_COST)</f>
        <v/>
      </c>
      <c r="P343" s="53" t="str">
        <f aca="false">IF(OR($A343&gt;TOMATO_BED_CAP,$B343&gt;CARROT_BED_CAP,P$4&gt;MESCLUN_BED_CAP,$A343+$B343+P$4&gt;TOTAL_BEDS_AVAILABLE,($D343+P$5)&gt;TOTAL_LABOR_HOURS_CAP,MAX(0,($D343+P$5)-PERMANENT_FIELD_LABOR_HOURS)&gt;TEMP_HOURS_CAP),"",$C343+P$6-MIN(($D343+P$5),PERMANENT_FIELD_LABOR_HOURS)*PERMANENT_HOURLY_RATE-MAX(0,($D343+P$5)-PERMANENT_FIELD_LABOR_HOURS)*TEMP_HOURLY_RATE-FIXED_SEASON_COST)</f>
        <v/>
      </c>
      <c r="Q343" s="53" t="str">
        <f aca="false">IF(OR($A343&gt;TOMATO_BED_CAP,$B343&gt;CARROT_BED_CAP,Q$4&gt;MESCLUN_BED_CAP,$A343+$B343+Q$4&gt;TOTAL_BEDS_AVAILABLE,($D343+Q$5)&gt;TOTAL_LABOR_HOURS_CAP,MAX(0,($D343+Q$5)-PERMANENT_FIELD_LABOR_HOURS)&gt;TEMP_HOURS_CAP),"",$C343+Q$6-MIN(($D343+Q$5),PERMANENT_FIELD_LABOR_HOURS)*PERMANENT_HOURLY_RATE-MAX(0,($D343+Q$5)-PERMANENT_FIELD_LABOR_HOURS)*TEMP_HOURLY_RATE-FIXED_SEASON_COST)</f>
        <v/>
      </c>
      <c r="R343" s="53" t="str">
        <f aca="false">IF(OR($A343&gt;TOMATO_BED_CAP,$B343&gt;CARROT_BED_CAP,R$4&gt;MESCLUN_BED_CAP,$A343+$B343+R$4&gt;TOTAL_BEDS_AVAILABLE,($D343+R$5)&gt;TOTAL_LABOR_HOURS_CAP,MAX(0,($D343+R$5)-PERMANENT_FIELD_LABOR_HOURS)&gt;TEMP_HOURS_CAP),"",$C343+R$6-MIN(($D343+R$5),PERMANENT_FIELD_LABOR_HOURS)*PERMANENT_HOURLY_RATE-MAX(0,($D343+R$5)-PERMANENT_FIELD_LABOR_HOURS)*TEMP_HOURLY_RATE-FIXED_SEASON_COST)</f>
        <v/>
      </c>
      <c r="S343" s="53" t="str">
        <f aca="false">IF(OR($A343&gt;TOMATO_BED_CAP,$B343&gt;CARROT_BED_CAP,S$4&gt;MESCLUN_BED_CAP,$A343+$B343+S$4&gt;TOTAL_BEDS_AVAILABLE,($D343+S$5)&gt;TOTAL_LABOR_HOURS_CAP,MAX(0,($D343+S$5)-PERMANENT_FIELD_LABOR_HOURS)&gt;TEMP_HOURS_CAP),"",$C343+S$6-MIN(($D343+S$5),PERMANENT_FIELD_LABOR_HOURS)*PERMANENT_HOURLY_RATE-MAX(0,($D343+S$5)-PERMANENT_FIELD_LABOR_HOURS)*TEMP_HOURLY_RATE-FIXED_SEASON_COST)</f>
        <v/>
      </c>
      <c r="T343" s="53" t="str">
        <f aca="false">IF(OR($A343&gt;TOMATO_BED_CAP,$B343&gt;CARROT_BED_CAP,T$4&gt;MESCLUN_BED_CAP,$A343+$B343+T$4&gt;TOTAL_BEDS_AVAILABLE,($D343+T$5)&gt;TOTAL_LABOR_HOURS_CAP,MAX(0,($D343+T$5)-PERMANENT_FIELD_LABOR_HOURS)&gt;TEMP_HOURS_CAP),"",$C343+T$6-MIN(($D343+T$5),PERMANENT_FIELD_LABOR_HOURS)*PERMANENT_HOURLY_RATE-MAX(0,($D343+T$5)-PERMANENT_FIELD_LABOR_HOURS)*TEMP_HOURLY_RATE-FIXED_SEASON_COST)</f>
        <v/>
      </c>
      <c r="U343" s="53" t="str">
        <f aca="false">IF(OR($A343&gt;TOMATO_BED_CAP,$B343&gt;CARROT_BED_CAP,U$4&gt;MESCLUN_BED_CAP,$A343+$B343+U$4&gt;TOTAL_BEDS_AVAILABLE,($D343+U$5)&gt;TOTAL_LABOR_HOURS_CAP,MAX(0,($D343+U$5)-PERMANENT_FIELD_LABOR_HOURS)&gt;TEMP_HOURS_CAP),"",$C343+U$6-MIN(($D343+U$5),PERMANENT_FIELD_LABOR_HOURS)*PERMANENT_HOURLY_RATE-MAX(0,($D343+U$5)-PERMANENT_FIELD_LABOR_HOURS)*TEMP_HOURLY_RATE-FIXED_SEASON_COST)</f>
        <v/>
      </c>
      <c r="V343" s="53" t="str">
        <f aca="false">IF(OR($A343&gt;TOMATO_BED_CAP,$B343&gt;CARROT_BED_CAP,V$4&gt;MESCLUN_BED_CAP,$A343+$B343+V$4&gt;TOTAL_BEDS_AVAILABLE,($D343+V$5)&gt;TOTAL_LABOR_HOURS_CAP,MAX(0,($D343+V$5)-PERMANENT_FIELD_LABOR_HOURS)&gt;TEMP_HOURS_CAP),"",$C343+V$6-MIN(($D343+V$5),PERMANENT_FIELD_LABOR_HOURS)*PERMANENT_HOURLY_RATE-MAX(0,($D343+V$5)-PERMANENT_FIELD_LABOR_HOURS)*TEMP_HOURLY_RATE-FIXED_SEASON_COST)</f>
        <v/>
      </c>
      <c r="W343" s="53" t="str">
        <f aca="false">IF(OR($A343&gt;TOMATO_BED_CAP,$B343&gt;CARROT_BED_CAP,W$4&gt;MESCLUN_BED_CAP,$A343+$B343+W$4&gt;TOTAL_BEDS_AVAILABLE,($D343+W$5)&gt;TOTAL_LABOR_HOURS_CAP,MAX(0,($D343+W$5)-PERMANENT_FIELD_LABOR_HOURS)&gt;TEMP_HOURS_CAP),"",$C343+W$6-MIN(($D343+W$5),PERMANENT_FIELD_LABOR_HOURS)*PERMANENT_HOURLY_RATE-MAX(0,($D343+W$5)-PERMANENT_FIELD_LABOR_HOURS)*TEMP_HOURLY_RATE-FIXED_SEASON_COST)</f>
        <v/>
      </c>
      <c r="X343" s="53" t="str">
        <f aca="false">IF(OR($A343&gt;TOMATO_BED_CAP,$B343&gt;CARROT_BED_CAP,X$4&gt;MESCLUN_BED_CAP,$A343+$B343+X$4&gt;TOTAL_BEDS_AVAILABLE,($D343+X$5)&gt;TOTAL_LABOR_HOURS_CAP,MAX(0,($D343+X$5)-PERMANENT_FIELD_LABOR_HOURS)&gt;TEMP_HOURS_CAP),"",$C343+X$6-MIN(($D343+X$5),PERMANENT_FIELD_LABOR_HOURS)*PERMANENT_HOURLY_RATE-MAX(0,($D343+X$5)-PERMANENT_FIELD_LABOR_HOURS)*TEMP_HOURLY_RATE-FIXED_SEASON_COST)</f>
        <v/>
      </c>
      <c r="Y343" s="53" t="str">
        <f aca="false">IF(OR($A343&gt;TOMATO_BED_CAP,$B343&gt;CARROT_BED_CAP,Y$4&gt;MESCLUN_BED_CAP,$A343+$B343+Y$4&gt;TOTAL_BEDS_AVAILABLE,($D343+Y$5)&gt;TOTAL_LABOR_HOURS_CAP,MAX(0,($D343+Y$5)-PERMANENT_FIELD_LABOR_HOURS)&gt;TEMP_HOURS_CAP),"",$C343+Y$6-MIN(($D343+Y$5),PERMANENT_FIELD_LABOR_HOURS)*PERMANENT_HOURLY_RATE-MAX(0,($D343+Y$5)-PERMANENT_FIELD_LABOR_HOURS)*TEMP_HOURLY_RATE-FIXED_SEASON_COST)</f>
        <v/>
      </c>
      <c r="Z343" s="53" t="str">
        <f aca="false">IF(OR($A343&gt;TOMATO_BED_CAP,$B343&gt;CARROT_BED_CAP,Z$4&gt;MESCLUN_BED_CAP,$A343+$B343+Z$4&gt;TOTAL_BEDS_AVAILABLE,($D343+Z$5)&gt;TOTAL_LABOR_HOURS_CAP,MAX(0,($D343+Z$5)-PERMANENT_FIELD_LABOR_HOURS)&gt;TEMP_HOURS_CAP),"",$C343+Z$6-MIN(($D343+Z$5),PERMANENT_FIELD_LABOR_HOURS)*PERMANENT_HOURLY_RATE-MAX(0,($D343+Z$5)-PERMANENT_FIELD_LABOR_HOURS)*TEMP_HOURLY_RATE-FIXED_SEASON_COST)</f>
        <v/>
      </c>
      <c r="AA343" s="53" t="str">
        <f aca="false">IF(OR($A343&gt;TOMATO_BED_CAP,$B343&gt;CARROT_BED_CAP,AA$4&gt;MESCLUN_BED_CAP,$A343+$B343+AA$4&gt;TOTAL_BEDS_AVAILABLE,($D343+AA$5)&gt;TOTAL_LABOR_HOURS_CAP,MAX(0,($D343+AA$5)-PERMANENT_FIELD_LABOR_HOURS)&gt;TEMP_HOURS_CAP),"",$C343+AA$6-MIN(($D343+AA$5),PERMANENT_FIELD_LABOR_HOURS)*PERMANENT_HOURLY_RATE-MAX(0,($D343+AA$5)-PERMANENT_FIELD_LABOR_HOURS)*TEMP_HOURLY_RATE-FIXED_SEASON_COST)</f>
        <v/>
      </c>
      <c r="AB343" s="53" t="str">
        <f aca="false">IF(OR($A343&gt;TOMATO_BED_CAP,$B343&gt;CARROT_BED_CAP,AB$4&gt;MESCLUN_BED_CAP,$A343+$B343+AB$4&gt;TOTAL_BEDS_AVAILABLE,($D343+AB$5)&gt;TOTAL_LABOR_HOURS_CAP,MAX(0,($D343+AB$5)-PERMANENT_FIELD_LABOR_HOURS)&gt;TEMP_HOURS_CAP),"",$C343+AB$6-MIN(($D343+AB$5),PERMANENT_FIELD_LABOR_HOURS)*PERMANENT_HOURLY_RATE-MAX(0,($D343+AB$5)-PERMANENT_FIELD_LABOR_HOURS)*TEMP_HOURLY_RATE-FIXED_SEASON_COST)</f>
        <v/>
      </c>
      <c r="AC343" s="53" t="str">
        <f aca="false">IF(OR($A343&gt;TOMATO_BED_CAP,$B343&gt;CARROT_BED_CAP,AC$4&gt;MESCLUN_BED_CAP,$A343+$B343+AC$4&gt;TOTAL_BEDS_AVAILABLE,($D343+AC$5)&gt;TOTAL_LABOR_HOURS_CAP,MAX(0,($D343+AC$5)-PERMANENT_FIELD_LABOR_HOURS)&gt;TEMP_HOURS_CAP),"",$C343+AC$6-MIN(($D343+AC$5),PERMANENT_FIELD_LABOR_HOURS)*PERMANENT_HOURLY_RATE-MAX(0,($D343+AC$5)-PERMANENT_FIELD_LABOR_HOURS)*TEMP_HOURLY_RATE-FIXED_SEASON_COST)</f>
        <v/>
      </c>
      <c r="AD343" s="53" t="str">
        <f aca="false">IF(OR($A343&gt;TOMATO_BED_CAP,$B343&gt;CARROT_BED_CAP,AD$4&gt;MESCLUN_BED_CAP,$A343+$B343+AD$4&gt;TOTAL_BEDS_AVAILABLE,($D343+AD$5)&gt;TOTAL_LABOR_HOURS_CAP,MAX(0,($D343+AD$5)-PERMANENT_FIELD_LABOR_HOURS)&gt;TEMP_HOURS_CAP),"",$C343+AD$6-MIN(($D343+AD$5),PERMANENT_FIELD_LABOR_HOURS)*PERMANENT_HOURLY_RATE-MAX(0,($D343+AD$5)-PERMANENT_FIELD_LABOR_HOURS)*TEMP_HOURLY_RATE-FIXED_SEASON_COST)</f>
        <v/>
      </c>
      <c r="AE343" s="53" t="str">
        <f aca="false">IF(OR($A343&gt;TOMATO_BED_CAP,$B343&gt;CARROT_BED_CAP,AE$4&gt;MESCLUN_BED_CAP,$A343+$B343+AE$4&gt;TOTAL_BEDS_AVAILABLE,($D343+AE$5)&gt;TOTAL_LABOR_HOURS_CAP,MAX(0,($D343+AE$5)-PERMANENT_FIELD_LABOR_HOURS)&gt;TEMP_HOURS_CAP),"",$C343+AE$6-MIN(($D343+AE$5),PERMANENT_FIELD_LABOR_HOURS)*PERMANENT_HOURLY_RATE-MAX(0,($D343+AE$5)-PERMANENT_FIELD_LABOR_HOURS)*TEMP_HOURLY_RATE-FIXED_SEASON_COST)</f>
        <v/>
      </c>
      <c r="AF343" s="53" t="str">
        <f aca="false">IF(OR($A343&gt;TOMATO_BED_CAP,$B343&gt;CARROT_BED_CAP,AF$4&gt;MESCLUN_BED_CAP,$A343+$B343+AF$4&gt;TOTAL_BEDS_AVAILABLE,($D343+AF$5)&gt;TOTAL_LABOR_HOURS_CAP,MAX(0,($D343+AF$5)-PERMANENT_FIELD_LABOR_HOURS)&gt;TEMP_HOURS_CAP),"",$C343+AF$6-MIN(($D343+AF$5),PERMANENT_FIELD_LABOR_HOURS)*PERMANENT_HOURLY_RATE-MAX(0,($D343+AF$5)-PERMANENT_FIELD_LABOR_HOURS)*TEMP_HOURLY_RATE-FIXED_SEASON_COST)</f>
        <v/>
      </c>
      <c r="AG343" s="53" t="str">
        <f aca="false">IF(OR($A343&gt;TOMATO_BED_CAP,$B343&gt;CARROT_BED_CAP,AG$4&gt;MESCLUN_BED_CAP,$A343+$B343+AG$4&gt;TOTAL_BEDS_AVAILABLE,($D343+AG$5)&gt;TOTAL_LABOR_HOURS_CAP,MAX(0,($D343+AG$5)-PERMANENT_FIELD_LABOR_HOURS)&gt;TEMP_HOURS_CAP),"",$C343+AG$6-MIN(($D343+AG$5),PERMANENT_FIELD_LABOR_HOURS)*PERMANENT_HOURLY_RATE-MAX(0,($D343+AG$5)-PERMANENT_FIELD_LABOR_HOURS)*TEMP_HOURLY_RATE-FIXED_SEASON_COST)</f>
        <v/>
      </c>
      <c r="AH343" s="53" t="str">
        <f aca="false">IF(OR($A343&gt;TOMATO_BED_CAP,$B343&gt;CARROT_BED_CAP,AH$4&gt;MESCLUN_BED_CAP,$A343+$B343+AH$4&gt;TOTAL_BEDS_AVAILABLE,($D343+AH$5)&gt;TOTAL_LABOR_HOURS_CAP,MAX(0,($D343+AH$5)-PERMANENT_FIELD_LABOR_HOURS)&gt;TEMP_HOURS_CAP),"",$C343+AH$6-MIN(($D343+AH$5),PERMANENT_FIELD_LABOR_HOURS)*PERMANENT_HOURLY_RATE-MAX(0,($D343+AH$5)-PERMANENT_FIELD_LABOR_HOURS)*TEMP_HOURLY_RATE-FIXED_SEASON_COST)</f>
        <v/>
      </c>
      <c r="AI343" s="53" t="str">
        <f aca="false">IF(OR($A343&gt;TOMATO_BED_CAP,$B343&gt;CARROT_BED_CAP,AI$4&gt;MESCLUN_BED_CAP,$A343+$B343+AI$4&gt;TOTAL_BEDS_AVAILABLE,($D343+AI$5)&gt;TOTAL_LABOR_HOURS_CAP,MAX(0,($D343+AI$5)-PERMANENT_FIELD_LABOR_HOURS)&gt;TEMP_HOURS_CAP),"",$C343+AI$6-MIN(($D343+AI$5),PERMANENT_FIELD_LABOR_HOURS)*PERMANENT_HOURLY_RATE-MAX(0,($D343+AI$5)-PERMANENT_FIELD_LABOR_HOURS)*TEMP_HOURLY_RATE-FIXED_SEASON_COST)</f>
        <v/>
      </c>
      <c r="AJ343" s="53" t="str">
        <f aca="false">IF(OR($A343&gt;TOMATO_BED_CAP,$B343&gt;CARROT_BED_CAP,AJ$4&gt;MESCLUN_BED_CAP,$A343+$B343+AJ$4&gt;TOTAL_BEDS_AVAILABLE,($D343+AJ$5)&gt;TOTAL_LABOR_HOURS_CAP,MAX(0,($D343+AJ$5)-PERMANENT_FIELD_LABOR_HOURS)&gt;TEMP_HOURS_CAP),"",$C343+AJ$6-MIN(($D343+AJ$5),PERMANENT_FIELD_LABOR_HOURS)*PERMANENT_HOURLY_RATE-MAX(0,($D343+AJ$5)-PERMANENT_FIELD_LABOR_HOURS)*TEMP_HOURLY_RATE-FIXED_SEASON_COST)</f>
        <v/>
      </c>
    </row>
    <row r="344" customFormat="false" ht="15" hidden="false" customHeight="false" outlineLevel="0" collapsed="false">
      <c r="A344" s="21" t="n">
        <f aca="false">INT((ROW()-ROW($A$8))/(20+1))</f>
        <v>16</v>
      </c>
      <c r="B344" s="21" t="n">
        <f aca="false">MOD(ROW()-ROW($A$8),20+1)</f>
        <v>0</v>
      </c>
      <c r="C344" s="13" t="n">
        <f aca="false">A344*(TOMATO_REVENUE_PER_BED-TOMATO_FERTILIZER_PER_BED)+B344*(CARROT_REVENUE_PER_BED-CARROT_FERTILIZER_PER_BED)</f>
        <v>126720</v>
      </c>
      <c r="D344" s="14" t="n">
        <f aca="false">INDEX(TOMATO_SCHED_LABOR_HRS,A344+1)+INDEX(CARROT_SCHED_LABOR_HRS,B344+1)</f>
        <v>6616.7611003544</v>
      </c>
      <c r="E344" s="13" t="str">
        <f aca="false">IF(COUNT(F344:AJ344)=0,"",MAX(F344:AJ344))</f>
        <v/>
      </c>
      <c r="F344" s="53" t="str">
        <f aca="false">IF(OR($A344&gt;TOMATO_BED_CAP,$B344&gt;CARROT_BED_CAP,F$4&gt;MESCLUN_BED_CAP,$A344+$B344+F$4&gt;TOTAL_BEDS_AVAILABLE,($D344+F$5)&gt;TOTAL_LABOR_HOURS_CAP,MAX(0,($D344+F$5)-PERMANENT_FIELD_LABOR_HOURS)&gt;TEMP_HOURS_CAP),"",$C344+F$6-MIN(($D344+F$5),PERMANENT_FIELD_LABOR_HOURS)*PERMANENT_HOURLY_RATE-MAX(0,($D344+F$5)-PERMANENT_FIELD_LABOR_HOURS)*TEMP_HOURLY_RATE-FIXED_SEASON_COST)</f>
        <v/>
      </c>
      <c r="G344" s="53" t="str">
        <f aca="false">IF(OR($A344&gt;TOMATO_BED_CAP,$B344&gt;CARROT_BED_CAP,G$4&gt;MESCLUN_BED_CAP,$A344+$B344+G$4&gt;TOTAL_BEDS_AVAILABLE,($D344+G$5)&gt;TOTAL_LABOR_HOURS_CAP,MAX(0,($D344+G$5)-PERMANENT_FIELD_LABOR_HOURS)&gt;TEMP_HOURS_CAP),"",$C344+G$6-MIN(($D344+G$5),PERMANENT_FIELD_LABOR_HOURS)*PERMANENT_HOURLY_RATE-MAX(0,($D344+G$5)-PERMANENT_FIELD_LABOR_HOURS)*TEMP_HOURLY_RATE-FIXED_SEASON_COST)</f>
        <v/>
      </c>
      <c r="H344" s="53" t="str">
        <f aca="false">IF(OR($A344&gt;TOMATO_BED_CAP,$B344&gt;CARROT_BED_CAP,H$4&gt;MESCLUN_BED_CAP,$A344+$B344+H$4&gt;TOTAL_BEDS_AVAILABLE,($D344+H$5)&gt;TOTAL_LABOR_HOURS_CAP,MAX(0,($D344+H$5)-PERMANENT_FIELD_LABOR_HOURS)&gt;TEMP_HOURS_CAP),"",$C344+H$6-MIN(($D344+H$5),PERMANENT_FIELD_LABOR_HOURS)*PERMANENT_HOURLY_RATE-MAX(0,($D344+H$5)-PERMANENT_FIELD_LABOR_HOURS)*TEMP_HOURLY_RATE-FIXED_SEASON_COST)</f>
        <v/>
      </c>
      <c r="I344" s="53" t="str">
        <f aca="false">IF(OR($A344&gt;TOMATO_BED_CAP,$B344&gt;CARROT_BED_CAP,I$4&gt;MESCLUN_BED_CAP,$A344+$B344+I$4&gt;TOTAL_BEDS_AVAILABLE,($D344+I$5)&gt;TOTAL_LABOR_HOURS_CAP,MAX(0,($D344+I$5)-PERMANENT_FIELD_LABOR_HOURS)&gt;TEMP_HOURS_CAP),"",$C344+I$6-MIN(($D344+I$5),PERMANENT_FIELD_LABOR_HOURS)*PERMANENT_HOURLY_RATE-MAX(0,($D344+I$5)-PERMANENT_FIELD_LABOR_HOURS)*TEMP_HOURLY_RATE-FIXED_SEASON_COST)</f>
        <v/>
      </c>
      <c r="J344" s="53" t="str">
        <f aca="false">IF(OR($A344&gt;TOMATO_BED_CAP,$B344&gt;CARROT_BED_CAP,J$4&gt;MESCLUN_BED_CAP,$A344+$B344+J$4&gt;TOTAL_BEDS_AVAILABLE,($D344+J$5)&gt;TOTAL_LABOR_HOURS_CAP,MAX(0,($D344+J$5)-PERMANENT_FIELD_LABOR_HOURS)&gt;TEMP_HOURS_CAP),"",$C344+J$6-MIN(($D344+J$5),PERMANENT_FIELD_LABOR_HOURS)*PERMANENT_HOURLY_RATE-MAX(0,($D344+J$5)-PERMANENT_FIELD_LABOR_HOURS)*TEMP_HOURLY_RATE-FIXED_SEASON_COST)</f>
        <v/>
      </c>
      <c r="K344" s="53" t="str">
        <f aca="false">IF(OR($A344&gt;TOMATO_BED_CAP,$B344&gt;CARROT_BED_CAP,K$4&gt;MESCLUN_BED_CAP,$A344+$B344+K$4&gt;TOTAL_BEDS_AVAILABLE,($D344+K$5)&gt;TOTAL_LABOR_HOURS_CAP,MAX(0,($D344+K$5)-PERMANENT_FIELD_LABOR_HOURS)&gt;TEMP_HOURS_CAP),"",$C344+K$6-MIN(($D344+K$5),PERMANENT_FIELD_LABOR_HOURS)*PERMANENT_HOURLY_RATE-MAX(0,($D344+K$5)-PERMANENT_FIELD_LABOR_HOURS)*TEMP_HOURLY_RATE-FIXED_SEASON_COST)</f>
        <v/>
      </c>
      <c r="L344" s="53" t="str">
        <f aca="false">IF(OR($A344&gt;TOMATO_BED_CAP,$B344&gt;CARROT_BED_CAP,L$4&gt;MESCLUN_BED_CAP,$A344+$B344+L$4&gt;TOTAL_BEDS_AVAILABLE,($D344+L$5)&gt;TOTAL_LABOR_HOURS_CAP,MAX(0,($D344+L$5)-PERMANENT_FIELD_LABOR_HOURS)&gt;TEMP_HOURS_CAP),"",$C344+L$6-MIN(($D344+L$5),PERMANENT_FIELD_LABOR_HOURS)*PERMANENT_HOURLY_RATE-MAX(0,($D344+L$5)-PERMANENT_FIELD_LABOR_HOURS)*TEMP_HOURLY_RATE-FIXED_SEASON_COST)</f>
        <v/>
      </c>
      <c r="M344" s="53" t="str">
        <f aca="false">IF(OR($A344&gt;TOMATO_BED_CAP,$B344&gt;CARROT_BED_CAP,M$4&gt;MESCLUN_BED_CAP,$A344+$B344+M$4&gt;TOTAL_BEDS_AVAILABLE,($D344+M$5)&gt;TOTAL_LABOR_HOURS_CAP,MAX(0,($D344+M$5)-PERMANENT_FIELD_LABOR_HOURS)&gt;TEMP_HOURS_CAP),"",$C344+M$6-MIN(($D344+M$5),PERMANENT_FIELD_LABOR_HOURS)*PERMANENT_HOURLY_RATE-MAX(0,($D344+M$5)-PERMANENT_FIELD_LABOR_HOURS)*TEMP_HOURLY_RATE-FIXED_SEASON_COST)</f>
        <v/>
      </c>
      <c r="N344" s="53" t="str">
        <f aca="false">IF(OR($A344&gt;TOMATO_BED_CAP,$B344&gt;CARROT_BED_CAP,N$4&gt;MESCLUN_BED_CAP,$A344+$B344+N$4&gt;TOTAL_BEDS_AVAILABLE,($D344+N$5)&gt;TOTAL_LABOR_HOURS_CAP,MAX(0,($D344+N$5)-PERMANENT_FIELD_LABOR_HOURS)&gt;TEMP_HOURS_CAP),"",$C344+N$6-MIN(($D344+N$5),PERMANENT_FIELD_LABOR_HOURS)*PERMANENT_HOURLY_RATE-MAX(0,($D344+N$5)-PERMANENT_FIELD_LABOR_HOURS)*TEMP_HOURLY_RATE-FIXED_SEASON_COST)</f>
        <v/>
      </c>
      <c r="O344" s="53" t="str">
        <f aca="false">IF(OR($A344&gt;TOMATO_BED_CAP,$B344&gt;CARROT_BED_CAP,O$4&gt;MESCLUN_BED_CAP,$A344+$B344+O$4&gt;TOTAL_BEDS_AVAILABLE,($D344+O$5)&gt;TOTAL_LABOR_HOURS_CAP,MAX(0,($D344+O$5)-PERMANENT_FIELD_LABOR_HOURS)&gt;TEMP_HOURS_CAP),"",$C344+O$6-MIN(($D344+O$5),PERMANENT_FIELD_LABOR_HOURS)*PERMANENT_HOURLY_RATE-MAX(0,($D344+O$5)-PERMANENT_FIELD_LABOR_HOURS)*TEMP_HOURLY_RATE-FIXED_SEASON_COST)</f>
        <v/>
      </c>
      <c r="P344" s="53" t="str">
        <f aca="false">IF(OR($A344&gt;TOMATO_BED_CAP,$B344&gt;CARROT_BED_CAP,P$4&gt;MESCLUN_BED_CAP,$A344+$B344+P$4&gt;TOTAL_BEDS_AVAILABLE,($D344+P$5)&gt;TOTAL_LABOR_HOURS_CAP,MAX(0,($D344+P$5)-PERMANENT_FIELD_LABOR_HOURS)&gt;TEMP_HOURS_CAP),"",$C344+P$6-MIN(($D344+P$5),PERMANENT_FIELD_LABOR_HOURS)*PERMANENT_HOURLY_RATE-MAX(0,($D344+P$5)-PERMANENT_FIELD_LABOR_HOURS)*TEMP_HOURLY_RATE-FIXED_SEASON_COST)</f>
        <v/>
      </c>
      <c r="Q344" s="53" t="str">
        <f aca="false">IF(OR($A344&gt;TOMATO_BED_CAP,$B344&gt;CARROT_BED_CAP,Q$4&gt;MESCLUN_BED_CAP,$A344+$B344+Q$4&gt;TOTAL_BEDS_AVAILABLE,($D344+Q$5)&gt;TOTAL_LABOR_HOURS_CAP,MAX(0,($D344+Q$5)-PERMANENT_FIELD_LABOR_HOURS)&gt;TEMP_HOURS_CAP),"",$C344+Q$6-MIN(($D344+Q$5),PERMANENT_FIELD_LABOR_HOURS)*PERMANENT_HOURLY_RATE-MAX(0,($D344+Q$5)-PERMANENT_FIELD_LABOR_HOURS)*TEMP_HOURLY_RATE-FIXED_SEASON_COST)</f>
        <v/>
      </c>
      <c r="R344" s="53" t="str">
        <f aca="false">IF(OR($A344&gt;TOMATO_BED_CAP,$B344&gt;CARROT_BED_CAP,R$4&gt;MESCLUN_BED_CAP,$A344+$B344+R$4&gt;TOTAL_BEDS_AVAILABLE,($D344+R$5)&gt;TOTAL_LABOR_HOURS_CAP,MAX(0,($D344+R$5)-PERMANENT_FIELD_LABOR_HOURS)&gt;TEMP_HOURS_CAP),"",$C344+R$6-MIN(($D344+R$5),PERMANENT_FIELD_LABOR_HOURS)*PERMANENT_HOURLY_RATE-MAX(0,($D344+R$5)-PERMANENT_FIELD_LABOR_HOURS)*TEMP_HOURLY_RATE-FIXED_SEASON_COST)</f>
        <v/>
      </c>
      <c r="S344" s="53" t="str">
        <f aca="false">IF(OR($A344&gt;TOMATO_BED_CAP,$B344&gt;CARROT_BED_CAP,S$4&gt;MESCLUN_BED_CAP,$A344+$B344+S$4&gt;TOTAL_BEDS_AVAILABLE,($D344+S$5)&gt;TOTAL_LABOR_HOURS_CAP,MAX(0,($D344+S$5)-PERMANENT_FIELD_LABOR_HOURS)&gt;TEMP_HOURS_CAP),"",$C344+S$6-MIN(($D344+S$5),PERMANENT_FIELD_LABOR_HOURS)*PERMANENT_HOURLY_RATE-MAX(0,($D344+S$5)-PERMANENT_FIELD_LABOR_HOURS)*TEMP_HOURLY_RATE-FIXED_SEASON_COST)</f>
        <v/>
      </c>
      <c r="T344" s="53" t="str">
        <f aca="false">IF(OR($A344&gt;TOMATO_BED_CAP,$B344&gt;CARROT_BED_CAP,T$4&gt;MESCLUN_BED_CAP,$A344+$B344+T$4&gt;TOTAL_BEDS_AVAILABLE,($D344+T$5)&gt;TOTAL_LABOR_HOURS_CAP,MAX(0,($D344+T$5)-PERMANENT_FIELD_LABOR_HOURS)&gt;TEMP_HOURS_CAP),"",$C344+T$6-MIN(($D344+T$5),PERMANENT_FIELD_LABOR_HOURS)*PERMANENT_HOURLY_RATE-MAX(0,($D344+T$5)-PERMANENT_FIELD_LABOR_HOURS)*TEMP_HOURLY_RATE-FIXED_SEASON_COST)</f>
        <v/>
      </c>
      <c r="U344" s="53" t="str">
        <f aca="false">IF(OR($A344&gt;TOMATO_BED_CAP,$B344&gt;CARROT_BED_CAP,U$4&gt;MESCLUN_BED_CAP,$A344+$B344+U$4&gt;TOTAL_BEDS_AVAILABLE,($D344+U$5)&gt;TOTAL_LABOR_HOURS_CAP,MAX(0,($D344+U$5)-PERMANENT_FIELD_LABOR_HOURS)&gt;TEMP_HOURS_CAP),"",$C344+U$6-MIN(($D344+U$5),PERMANENT_FIELD_LABOR_HOURS)*PERMANENT_HOURLY_RATE-MAX(0,($D344+U$5)-PERMANENT_FIELD_LABOR_HOURS)*TEMP_HOURLY_RATE-FIXED_SEASON_COST)</f>
        <v/>
      </c>
      <c r="V344" s="53" t="str">
        <f aca="false">IF(OR($A344&gt;TOMATO_BED_CAP,$B344&gt;CARROT_BED_CAP,V$4&gt;MESCLUN_BED_CAP,$A344+$B344+V$4&gt;TOTAL_BEDS_AVAILABLE,($D344+V$5)&gt;TOTAL_LABOR_HOURS_CAP,MAX(0,($D344+V$5)-PERMANENT_FIELD_LABOR_HOURS)&gt;TEMP_HOURS_CAP),"",$C344+V$6-MIN(($D344+V$5),PERMANENT_FIELD_LABOR_HOURS)*PERMANENT_HOURLY_RATE-MAX(0,($D344+V$5)-PERMANENT_FIELD_LABOR_HOURS)*TEMP_HOURLY_RATE-FIXED_SEASON_COST)</f>
        <v/>
      </c>
      <c r="W344" s="53" t="str">
        <f aca="false">IF(OR($A344&gt;TOMATO_BED_CAP,$B344&gt;CARROT_BED_CAP,W$4&gt;MESCLUN_BED_CAP,$A344+$B344+W$4&gt;TOTAL_BEDS_AVAILABLE,($D344+W$5)&gt;TOTAL_LABOR_HOURS_CAP,MAX(0,($D344+W$5)-PERMANENT_FIELD_LABOR_HOURS)&gt;TEMP_HOURS_CAP),"",$C344+W$6-MIN(($D344+W$5),PERMANENT_FIELD_LABOR_HOURS)*PERMANENT_HOURLY_RATE-MAX(0,($D344+W$5)-PERMANENT_FIELD_LABOR_HOURS)*TEMP_HOURLY_RATE-FIXED_SEASON_COST)</f>
        <v/>
      </c>
      <c r="X344" s="53" t="str">
        <f aca="false">IF(OR($A344&gt;TOMATO_BED_CAP,$B344&gt;CARROT_BED_CAP,X$4&gt;MESCLUN_BED_CAP,$A344+$B344+X$4&gt;TOTAL_BEDS_AVAILABLE,($D344+X$5)&gt;TOTAL_LABOR_HOURS_CAP,MAX(0,($D344+X$5)-PERMANENT_FIELD_LABOR_HOURS)&gt;TEMP_HOURS_CAP),"",$C344+X$6-MIN(($D344+X$5),PERMANENT_FIELD_LABOR_HOURS)*PERMANENT_HOURLY_RATE-MAX(0,($D344+X$5)-PERMANENT_FIELD_LABOR_HOURS)*TEMP_HOURLY_RATE-FIXED_SEASON_COST)</f>
        <v/>
      </c>
      <c r="Y344" s="53" t="str">
        <f aca="false">IF(OR($A344&gt;TOMATO_BED_CAP,$B344&gt;CARROT_BED_CAP,Y$4&gt;MESCLUN_BED_CAP,$A344+$B344+Y$4&gt;TOTAL_BEDS_AVAILABLE,($D344+Y$5)&gt;TOTAL_LABOR_HOURS_CAP,MAX(0,($D344+Y$5)-PERMANENT_FIELD_LABOR_HOURS)&gt;TEMP_HOURS_CAP),"",$C344+Y$6-MIN(($D344+Y$5),PERMANENT_FIELD_LABOR_HOURS)*PERMANENT_HOURLY_RATE-MAX(0,($D344+Y$5)-PERMANENT_FIELD_LABOR_HOURS)*TEMP_HOURLY_RATE-FIXED_SEASON_COST)</f>
        <v/>
      </c>
      <c r="Z344" s="53" t="str">
        <f aca="false">IF(OR($A344&gt;TOMATO_BED_CAP,$B344&gt;CARROT_BED_CAP,Z$4&gt;MESCLUN_BED_CAP,$A344+$B344+Z$4&gt;TOTAL_BEDS_AVAILABLE,($D344+Z$5)&gt;TOTAL_LABOR_HOURS_CAP,MAX(0,($D344+Z$5)-PERMANENT_FIELD_LABOR_HOURS)&gt;TEMP_HOURS_CAP),"",$C344+Z$6-MIN(($D344+Z$5),PERMANENT_FIELD_LABOR_HOURS)*PERMANENT_HOURLY_RATE-MAX(0,($D344+Z$5)-PERMANENT_FIELD_LABOR_HOURS)*TEMP_HOURLY_RATE-FIXED_SEASON_COST)</f>
        <v/>
      </c>
      <c r="AA344" s="53" t="str">
        <f aca="false">IF(OR($A344&gt;TOMATO_BED_CAP,$B344&gt;CARROT_BED_CAP,AA$4&gt;MESCLUN_BED_CAP,$A344+$B344+AA$4&gt;TOTAL_BEDS_AVAILABLE,($D344+AA$5)&gt;TOTAL_LABOR_HOURS_CAP,MAX(0,($D344+AA$5)-PERMANENT_FIELD_LABOR_HOURS)&gt;TEMP_HOURS_CAP),"",$C344+AA$6-MIN(($D344+AA$5),PERMANENT_FIELD_LABOR_HOURS)*PERMANENT_HOURLY_RATE-MAX(0,($D344+AA$5)-PERMANENT_FIELD_LABOR_HOURS)*TEMP_HOURLY_RATE-FIXED_SEASON_COST)</f>
        <v/>
      </c>
      <c r="AB344" s="53" t="str">
        <f aca="false">IF(OR($A344&gt;TOMATO_BED_CAP,$B344&gt;CARROT_BED_CAP,AB$4&gt;MESCLUN_BED_CAP,$A344+$B344+AB$4&gt;TOTAL_BEDS_AVAILABLE,($D344+AB$5)&gt;TOTAL_LABOR_HOURS_CAP,MAX(0,($D344+AB$5)-PERMANENT_FIELD_LABOR_HOURS)&gt;TEMP_HOURS_CAP),"",$C344+AB$6-MIN(($D344+AB$5),PERMANENT_FIELD_LABOR_HOURS)*PERMANENT_HOURLY_RATE-MAX(0,($D344+AB$5)-PERMANENT_FIELD_LABOR_HOURS)*TEMP_HOURLY_RATE-FIXED_SEASON_COST)</f>
        <v/>
      </c>
      <c r="AC344" s="53" t="str">
        <f aca="false">IF(OR($A344&gt;TOMATO_BED_CAP,$B344&gt;CARROT_BED_CAP,AC$4&gt;MESCLUN_BED_CAP,$A344+$B344+AC$4&gt;TOTAL_BEDS_AVAILABLE,($D344+AC$5)&gt;TOTAL_LABOR_HOURS_CAP,MAX(0,($D344+AC$5)-PERMANENT_FIELD_LABOR_HOURS)&gt;TEMP_HOURS_CAP),"",$C344+AC$6-MIN(($D344+AC$5),PERMANENT_FIELD_LABOR_HOURS)*PERMANENT_HOURLY_RATE-MAX(0,($D344+AC$5)-PERMANENT_FIELD_LABOR_HOURS)*TEMP_HOURLY_RATE-FIXED_SEASON_COST)</f>
        <v/>
      </c>
      <c r="AD344" s="53" t="str">
        <f aca="false">IF(OR($A344&gt;TOMATO_BED_CAP,$B344&gt;CARROT_BED_CAP,AD$4&gt;MESCLUN_BED_CAP,$A344+$B344+AD$4&gt;TOTAL_BEDS_AVAILABLE,($D344+AD$5)&gt;TOTAL_LABOR_HOURS_CAP,MAX(0,($D344+AD$5)-PERMANENT_FIELD_LABOR_HOURS)&gt;TEMP_HOURS_CAP),"",$C344+AD$6-MIN(($D344+AD$5),PERMANENT_FIELD_LABOR_HOURS)*PERMANENT_HOURLY_RATE-MAX(0,($D344+AD$5)-PERMANENT_FIELD_LABOR_HOURS)*TEMP_HOURLY_RATE-FIXED_SEASON_COST)</f>
        <v/>
      </c>
      <c r="AE344" s="53" t="str">
        <f aca="false">IF(OR($A344&gt;TOMATO_BED_CAP,$B344&gt;CARROT_BED_CAP,AE$4&gt;MESCLUN_BED_CAP,$A344+$B344+AE$4&gt;TOTAL_BEDS_AVAILABLE,($D344+AE$5)&gt;TOTAL_LABOR_HOURS_CAP,MAX(0,($D344+AE$5)-PERMANENT_FIELD_LABOR_HOURS)&gt;TEMP_HOURS_CAP),"",$C344+AE$6-MIN(($D344+AE$5),PERMANENT_FIELD_LABOR_HOURS)*PERMANENT_HOURLY_RATE-MAX(0,($D344+AE$5)-PERMANENT_FIELD_LABOR_HOURS)*TEMP_HOURLY_RATE-FIXED_SEASON_COST)</f>
        <v/>
      </c>
      <c r="AF344" s="53" t="str">
        <f aca="false">IF(OR($A344&gt;TOMATO_BED_CAP,$B344&gt;CARROT_BED_CAP,AF$4&gt;MESCLUN_BED_CAP,$A344+$B344+AF$4&gt;TOTAL_BEDS_AVAILABLE,($D344+AF$5)&gt;TOTAL_LABOR_HOURS_CAP,MAX(0,($D344+AF$5)-PERMANENT_FIELD_LABOR_HOURS)&gt;TEMP_HOURS_CAP),"",$C344+AF$6-MIN(($D344+AF$5),PERMANENT_FIELD_LABOR_HOURS)*PERMANENT_HOURLY_RATE-MAX(0,($D344+AF$5)-PERMANENT_FIELD_LABOR_HOURS)*TEMP_HOURLY_RATE-FIXED_SEASON_COST)</f>
        <v/>
      </c>
      <c r="AG344" s="53" t="str">
        <f aca="false">IF(OR($A344&gt;TOMATO_BED_CAP,$B344&gt;CARROT_BED_CAP,AG$4&gt;MESCLUN_BED_CAP,$A344+$B344+AG$4&gt;TOTAL_BEDS_AVAILABLE,($D344+AG$5)&gt;TOTAL_LABOR_HOURS_CAP,MAX(0,($D344+AG$5)-PERMANENT_FIELD_LABOR_HOURS)&gt;TEMP_HOURS_CAP),"",$C344+AG$6-MIN(($D344+AG$5),PERMANENT_FIELD_LABOR_HOURS)*PERMANENT_HOURLY_RATE-MAX(0,($D344+AG$5)-PERMANENT_FIELD_LABOR_HOURS)*TEMP_HOURLY_RATE-FIXED_SEASON_COST)</f>
        <v/>
      </c>
      <c r="AH344" s="53" t="str">
        <f aca="false">IF(OR($A344&gt;TOMATO_BED_CAP,$B344&gt;CARROT_BED_CAP,AH$4&gt;MESCLUN_BED_CAP,$A344+$B344+AH$4&gt;TOTAL_BEDS_AVAILABLE,($D344+AH$5)&gt;TOTAL_LABOR_HOURS_CAP,MAX(0,($D344+AH$5)-PERMANENT_FIELD_LABOR_HOURS)&gt;TEMP_HOURS_CAP),"",$C344+AH$6-MIN(($D344+AH$5),PERMANENT_FIELD_LABOR_HOURS)*PERMANENT_HOURLY_RATE-MAX(0,($D344+AH$5)-PERMANENT_FIELD_LABOR_HOURS)*TEMP_HOURLY_RATE-FIXED_SEASON_COST)</f>
        <v/>
      </c>
      <c r="AI344" s="53" t="str">
        <f aca="false">IF(OR($A344&gt;TOMATO_BED_CAP,$B344&gt;CARROT_BED_CAP,AI$4&gt;MESCLUN_BED_CAP,$A344+$B344+AI$4&gt;TOTAL_BEDS_AVAILABLE,($D344+AI$5)&gt;TOTAL_LABOR_HOURS_CAP,MAX(0,($D344+AI$5)-PERMANENT_FIELD_LABOR_HOURS)&gt;TEMP_HOURS_CAP),"",$C344+AI$6-MIN(($D344+AI$5),PERMANENT_FIELD_LABOR_HOURS)*PERMANENT_HOURLY_RATE-MAX(0,($D344+AI$5)-PERMANENT_FIELD_LABOR_HOURS)*TEMP_HOURLY_RATE-FIXED_SEASON_COST)</f>
        <v/>
      </c>
      <c r="AJ344" s="53" t="str">
        <f aca="false">IF(OR($A344&gt;TOMATO_BED_CAP,$B344&gt;CARROT_BED_CAP,AJ$4&gt;MESCLUN_BED_CAP,$A344+$B344+AJ$4&gt;TOTAL_BEDS_AVAILABLE,($D344+AJ$5)&gt;TOTAL_LABOR_HOURS_CAP,MAX(0,($D344+AJ$5)-PERMANENT_FIELD_LABOR_HOURS)&gt;TEMP_HOURS_CAP),"",$C344+AJ$6-MIN(($D344+AJ$5),PERMANENT_FIELD_LABOR_HOURS)*PERMANENT_HOURLY_RATE-MAX(0,($D344+AJ$5)-PERMANENT_FIELD_LABOR_HOURS)*TEMP_HOURLY_RATE-FIXED_SEASON_COST)</f>
        <v/>
      </c>
    </row>
    <row r="345" customFormat="false" ht="15" hidden="false" customHeight="false" outlineLevel="0" collapsed="false">
      <c r="A345" s="21" t="n">
        <f aca="false">INT((ROW()-ROW($A$8))/(20+1))</f>
        <v>16</v>
      </c>
      <c r="B345" s="21" t="n">
        <f aca="false">MOD(ROW()-ROW($A$8),20+1)</f>
        <v>1</v>
      </c>
      <c r="C345" s="13" t="n">
        <f aca="false">A345*(TOMATO_REVENUE_PER_BED-TOMATO_FERTILIZER_PER_BED)+B345*(CARROT_REVENUE_PER_BED-CARROT_FERTILIZER_PER_BED)</f>
        <v>128374</v>
      </c>
      <c r="D345" s="14" t="n">
        <f aca="false">INDEX(TOMATO_SCHED_LABOR_HRS,A345+1)+INDEX(CARROT_SCHED_LABOR_HRS,B345+1)</f>
        <v>6647.4988003544</v>
      </c>
      <c r="E345" s="13" t="str">
        <f aca="false">IF(COUNT(F345:AJ345)=0,"",MAX(F345:AJ345))</f>
        <v/>
      </c>
      <c r="F345" s="53" t="str">
        <f aca="false">IF(OR($A345&gt;TOMATO_BED_CAP,$B345&gt;CARROT_BED_CAP,F$4&gt;MESCLUN_BED_CAP,$A345+$B345+F$4&gt;TOTAL_BEDS_AVAILABLE,($D345+F$5)&gt;TOTAL_LABOR_HOURS_CAP,MAX(0,($D345+F$5)-PERMANENT_FIELD_LABOR_HOURS)&gt;TEMP_HOURS_CAP),"",$C345+F$6-MIN(($D345+F$5),PERMANENT_FIELD_LABOR_HOURS)*PERMANENT_HOURLY_RATE-MAX(0,($D345+F$5)-PERMANENT_FIELD_LABOR_HOURS)*TEMP_HOURLY_RATE-FIXED_SEASON_COST)</f>
        <v/>
      </c>
      <c r="G345" s="53" t="str">
        <f aca="false">IF(OR($A345&gt;TOMATO_BED_CAP,$B345&gt;CARROT_BED_CAP,G$4&gt;MESCLUN_BED_CAP,$A345+$B345+G$4&gt;TOTAL_BEDS_AVAILABLE,($D345+G$5)&gt;TOTAL_LABOR_HOURS_CAP,MAX(0,($D345+G$5)-PERMANENT_FIELD_LABOR_HOURS)&gt;TEMP_HOURS_CAP),"",$C345+G$6-MIN(($D345+G$5),PERMANENT_FIELD_LABOR_HOURS)*PERMANENT_HOURLY_RATE-MAX(0,($D345+G$5)-PERMANENT_FIELD_LABOR_HOURS)*TEMP_HOURLY_RATE-FIXED_SEASON_COST)</f>
        <v/>
      </c>
      <c r="H345" s="53" t="str">
        <f aca="false">IF(OR($A345&gt;TOMATO_BED_CAP,$B345&gt;CARROT_BED_CAP,H$4&gt;MESCLUN_BED_CAP,$A345+$B345+H$4&gt;TOTAL_BEDS_AVAILABLE,($D345+H$5)&gt;TOTAL_LABOR_HOURS_CAP,MAX(0,($D345+H$5)-PERMANENT_FIELD_LABOR_HOURS)&gt;TEMP_HOURS_CAP),"",$C345+H$6-MIN(($D345+H$5),PERMANENT_FIELD_LABOR_HOURS)*PERMANENT_HOURLY_RATE-MAX(0,($D345+H$5)-PERMANENT_FIELD_LABOR_HOURS)*TEMP_HOURLY_RATE-FIXED_SEASON_COST)</f>
        <v/>
      </c>
      <c r="I345" s="53" t="str">
        <f aca="false">IF(OR($A345&gt;TOMATO_BED_CAP,$B345&gt;CARROT_BED_CAP,I$4&gt;MESCLUN_BED_CAP,$A345+$B345+I$4&gt;TOTAL_BEDS_AVAILABLE,($D345+I$5)&gt;TOTAL_LABOR_HOURS_CAP,MAX(0,($D345+I$5)-PERMANENT_FIELD_LABOR_HOURS)&gt;TEMP_HOURS_CAP),"",$C345+I$6-MIN(($D345+I$5),PERMANENT_FIELD_LABOR_HOURS)*PERMANENT_HOURLY_RATE-MAX(0,($D345+I$5)-PERMANENT_FIELD_LABOR_HOURS)*TEMP_HOURLY_RATE-FIXED_SEASON_COST)</f>
        <v/>
      </c>
      <c r="J345" s="53" t="str">
        <f aca="false">IF(OR($A345&gt;TOMATO_BED_CAP,$B345&gt;CARROT_BED_CAP,J$4&gt;MESCLUN_BED_CAP,$A345+$B345+J$4&gt;TOTAL_BEDS_AVAILABLE,($D345+J$5)&gt;TOTAL_LABOR_HOURS_CAP,MAX(0,($D345+J$5)-PERMANENT_FIELD_LABOR_HOURS)&gt;TEMP_HOURS_CAP),"",$C345+J$6-MIN(($D345+J$5),PERMANENT_FIELD_LABOR_HOURS)*PERMANENT_HOURLY_RATE-MAX(0,($D345+J$5)-PERMANENT_FIELD_LABOR_HOURS)*TEMP_HOURLY_RATE-FIXED_SEASON_COST)</f>
        <v/>
      </c>
      <c r="K345" s="53" t="str">
        <f aca="false">IF(OR($A345&gt;TOMATO_BED_CAP,$B345&gt;CARROT_BED_CAP,K$4&gt;MESCLUN_BED_CAP,$A345+$B345+K$4&gt;TOTAL_BEDS_AVAILABLE,($D345+K$5)&gt;TOTAL_LABOR_HOURS_CAP,MAX(0,($D345+K$5)-PERMANENT_FIELD_LABOR_HOURS)&gt;TEMP_HOURS_CAP),"",$C345+K$6-MIN(($D345+K$5),PERMANENT_FIELD_LABOR_HOURS)*PERMANENT_HOURLY_RATE-MAX(0,($D345+K$5)-PERMANENT_FIELD_LABOR_HOURS)*TEMP_HOURLY_RATE-FIXED_SEASON_COST)</f>
        <v/>
      </c>
      <c r="L345" s="53" t="str">
        <f aca="false">IF(OR($A345&gt;TOMATO_BED_CAP,$B345&gt;CARROT_BED_CAP,L$4&gt;MESCLUN_BED_CAP,$A345+$B345+L$4&gt;TOTAL_BEDS_AVAILABLE,($D345+L$5)&gt;TOTAL_LABOR_HOURS_CAP,MAX(0,($D345+L$5)-PERMANENT_FIELD_LABOR_HOURS)&gt;TEMP_HOURS_CAP),"",$C345+L$6-MIN(($D345+L$5),PERMANENT_FIELD_LABOR_HOURS)*PERMANENT_HOURLY_RATE-MAX(0,($D345+L$5)-PERMANENT_FIELD_LABOR_HOURS)*TEMP_HOURLY_RATE-FIXED_SEASON_COST)</f>
        <v/>
      </c>
      <c r="M345" s="53" t="str">
        <f aca="false">IF(OR($A345&gt;TOMATO_BED_CAP,$B345&gt;CARROT_BED_CAP,M$4&gt;MESCLUN_BED_CAP,$A345+$B345+M$4&gt;TOTAL_BEDS_AVAILABLE,($D345+M$5)&gt;TOTAL_LABOR_HOURS_CAP,MAX(0,($D345+M$5)-PERMANENT_FIELD_LABOR_HOURS)&gt;TEMP_HOURS_CAP),"",$C345+M$6-MIN(($D345+M$5),PERMANENT_FIELD_LABOR_HOURS)*PERMANENT_HOURLY_RATE-MAX(0,($D345+M$5)-PERMANENT_FIELD_LABOR_HOURS)*TEMP_HOURLY_RATE-FIXED_SEASON_COST)</f>
        <v/>
      </c>
      <c r="N345" s="53" t="str">
        <f aca="false">IF(OR($A345&gt;TOMATO_BED_CAP,$B345&gt;CARROT_BED_CAP,N$4&gt;MESCLUN_BED_CAP,$A345+$B345+N$4&gt;TOTAL_BEDS_AVAILABLE,($D345+N$5)&gt;TOTAL_LABOR_HOURS_CAP,MAX(0,($D345+N$5)-PERMANENT_FIELD_LABOR_HOURS)&gt;TEMP_HOURS_CAP),"",$C345+N$6-MIN(($D345+N$5),PERMANENT_FIELD_LABOR_HOURS)*PERMANENT_HOURLY_RATE-MAX(0,($D345+N$5)-PERMANENT_FIELD_LABOR_HOURS)*TEMP_HOURLY_RATE-FIXED_SEASON_COST)</f>
        <v/>
      </c>
      <c r="O345" s="53" t="str">
        <f aca="false">IF(OR($A345&gt;TOMATO_BED_CAP,$B345&gt;CARROT_BED_CAP,O$4&gt;MESCLUN_BED_CAP,$A345+$B345+O$4&gt;TOTAL_BEDS_AVAILABLE,($D345+O$5)&gt;TOTAL_LABOR_HOURS_CAP,MAX(0,($D345+O$5)-PERMANENT_FIELD_LABOR_HOURS)&gt;TEMP_HOURS_CAP),"",$C345+O$6-MIN(($D345+O$5),PERMANENT_FIELD_LABOR_HOURS)*PERMANENT_HOURLY_RATE-MAX(0,($D345+O$5)-PERMANENT_FIELD_LABOR_HOURS)*TEMP_HOURLY_RATE-FIXED_SEASON_COST)</f>
        <v/>
      </c>
      <c r="P345" s="53" t="str">
        <f aca="false">IF(OR($A345&gt;TOMATO_BED_CAP,$B345&gt;CARROT_BED_CAP,P$4&gt;MESCLUN_BED_CAP,$A345+$B345+P$4&gt;TOTAL_BEDS_AVAILABLE,($D345+P$5)&gt;TOTAL_LABOR_HOURS_CAP,MAX(0,($D345+P$5)-PERMANENT_FIELD_LABOR_HOURS)&gt;TEMP_HOURS_CAP),"",$C345+P$6-MIN(($D345+P$5),PERMANENT_FIELD_LABOR_HOURS)*PERMANENT_HOURLY_RATE-MAX(0,($D345+P$5)-PERMANENT_FIELD_LABOR_HOURS)*TEMP_HOURLY_RATE-FIXED_SEASON_COST)</f>
        <v/>
      </c>
      <c r="Q345" s="53" t="str">
        <f aca="false">IF(OR($A345&gt;TOMATO_BED_CAP,$B345&gt;CARROT_BED_CAP,Q$4&gt;MESCLUN_BED_CAP,$A345+$B345+Q$4&gt;TOTAL_BEDS_AVAILABLE,($D345+Q$5)&gt;TOTAL_LABOR_HOURS_CAP,MAX(0,($D345+Q$5)-PERMANENT_FIELD_LABOR_HOURS)&gt;TEMP_HOURS_CAP),"",$C345+Q$6-MIN(($D345+Q$5),PERMANENT_FIELD_LABOR_HOURS)*PERMANENT_HOURLY_RATE-MAX(0,($D345+Q$5)-PERMANENT_FIELD_LABOR_HOURS)*TEMP_HOURLY_RATE-FIXED_SEASON_COST)</f>
        <v/>
      </c>
      <c r="R345" s="53" t="str">
        <f aca="false">IF(OR($A345&gt;TOMATO_BED_CAP,$B345&gt;CARROT_BED_CAP,R$4&gt;MESCLUN_BED_CAP,$A345+$B345+R$4&gt;TOTAL_BEDS_AVAILABLE,($D345+R$5)&gt;TOTAL_LABOR_HOURS_CAP,MAX(0,($D345+R$5)-PERMANENT_FIELD_LABOR_HOURS)&gt;TEMP_HOURS_CAP),"",$C345+R$6-MIN(($D345+R$5),PERMANENT_FIELD_LABOR_HOURS)*PERMANENT_HOURLY_RATE-MAX(0,($D345+R$5)-PERMANENT_FIELD_LABOR_HOURS)*TEMP_HOURLY_RATE-FIXED_SEASON_COST)</f>
        <v/>
      </c>
      <c r="S345" s="53" t="str">
        <f aca="false">IF(OR($A345&gt;TOMATO_BED_CAP,$B345&gt;CARROT_BED_CAP,S$4&gt;MESCLUN_BED_CAP,$A345+$B345+S$4&gt;TOTAL_BEDS_AVAILABLE,($D345+S$5)&gt;TOTAL_LABOR_HOURS_CAP,MAX(0,($D345+S$5)-PERMANENT_FIELD_LABOR_HOURS)&gt;TEMP_HOURS_CAP),"",$C345+S$6-MIN(($D345+S$5),PERMANENT_FIELD_LABOR_HOURS)*PERMANENT_HOURLY_RATE-MAX(0,($D345+S$5)-PERMANENT_FIELD_LABOR_HOURS)*TEMP_HOURLY_RATE-FIXED_SEASON_COST)</f>
        <v/>
      </c>
      <c r="T345" s="53" t="str">
        <f aca="false">IF(OR($A345&gt;TOMATO_BED_CAP,$B345&gt;CARROT_BED_CAP,T$4&gt;MESCLUN_BED_CAP,$A345+$B345+T$4&gt;TOTAL_BEDS_AVAILABLE,($D345+T$5)&gt;TOTAL_LABOR_HOURS_CAP,MAX(0,($D345+T$5)-PERMANENT_FIELD_LABOR_HOURS)&gt;TEMP_HOURS_CAP),"",$C345+T$6-MIN(($D345+T$5),PERMANENT_FIELD_LABOR_HOURS)*PERMANENT_HOURLY_RATE-MAX(0,($D345+T$5)-PERMANENT_FIELD_LABOR_HOURS)*TEMP_HOURLY_RATE-FIXED_SEASON_COST)</f>
        <v/>
      </c>
      <c r="U345" s="53" t="str">
        <f aca="false">IF(OR($A345&gt;TOMATO_BED_CAP,$B345&gt;CARROT_BED_CAP,U$4&gt;MESCLUN_BED_CAP,$A345+$B345+U$4&gt;TOTAL_BEDS_AVAILABLE,($D345+U$5)&gt;TOTAL_LABOR_HOURS_CAP,MAX(0,($D345+U$5)-PERMANENT_FIELD_LABOR_HOURS)&gt;TEMP_HOURS_CAP),"",$C345+U$6-MIN(($D345+U$5),PERMANENT_FIELD_LABOR_HOURS)*PERMANENT_HOURLY_RATE-MAX(0,($D345+U$5)-PERMANENT_FIELD_LABOR_HOURS)*TEMP_HOURLY_RATE-FIXED_SEASON_COST)</f>
        <v/>
      </c>
      <c r="V345" s="53" t="str">
        <f aca="false">IF(OR($A345&gt;TOMATO_BED_CAP,$B345&gt;CARROT_BED_CAP,V$4&gt;MESCLUN_BED_CAP,$A345+$B345+V$4&gt;TOTAL_BEDS_AVAILABLE,($D345+V$5)&gt;TOTAL_LABOR_HOURS_CAP,MAX(0,($D345+V$5)-PERMANENT_FIELD_LABOR_HOURS)&gt;TEMP_HOURS_CAP),"",$C345+V$6-MIN(($D345+V$5),PERMANENT_FIELD_LABOR_HOURS)*PERMANENT_HOURLY_RATE-MAX(0,($D345+V$5)-PERMANENT_FIELD_LABOR_HOURS)*TEMP_HOURLY_RATE-FIXED_SEASON_COST)</f>
        <v/>
      </c>
      <c r="W345" s="53" t="str">
        <f aca="false">IF(OR($A345&gt;TOMATO_BED_CAP,$B345&gt;CARROT_BED_CAP,W$4&gt;MESCLUN_BED_CAP,$A345+$B345+W$4&gt;TOTAL_BEDS_AVAILABLE,($D345+W$5)&gt;TOTAL_LABOR_HOURS_CAP,MAX(0,($D345+W$5)-PERMANENT_FIELD_LABOR_HOURS)&gt;TEMP_HOURS_CAP),"",$C345+W$6-MIN(($D345+W$5),PERMANENT_FIELD_LABOR_HOURS)*PERMANENT_HOURLY_RATE-MAX(0,($D345+W$5)-PERMANENT_FIELD_LABOR_HOURS)*TEMP_HOURLY_RATE-FIXED_SEASON_COST)</f>
        <v/>
      </c>
      <c r="X345" s="53" t="str">
        <f aca="false">IF(OR($A345&gt;TOMATO_BED_CAP,$B345&gt;CARROT_BED_CAP,X$4&gt;MESCLUN_BED_CAP,$A345+$B345+X$4&gt;TOTAL_BEDS_AVAILABLE,($D345+X$5)&gt;TOTAL_LABOR_HOURS_CAP,MAX(0,($D345+X$5)-PERMANENT_FIELD_LABOR_HOURS)&gt;TEMP_HOURS_CAP),"",$C345+X$6-MIN(($D345+X$5),PERMANENT_FIELD_LABOR_HOURS)*PERMANENT_HOURLY_RATE-MAX(0,($D345+X$5)-PERMANENT_FIELD_LABOR_HOURS)*TEMP_HOURLY_RATE-FIXED_SEASON_COST)</f>
        <v/>
      </c>
      <c r="Y345" s="53" t="str">
        <f aca="false">IF(OR($A345&gt;TOMATO_BED_CAP,$B345&gt;CARROT_BED_CAP,Y$4&gt;MESCLUN_BED_CAP,$A345+$B345+Y$4&gt;TOTAL_BEDS_AVAILABLE,($D345+Y$5)&gt;TOTAL_LABOR_HOURS_CAP,MAX(0,($D345+Y$5)-PERMANENT_FIELD_LABOR_HOURS)&gt;TEMP_HOURS_CAP),"",$C345+Y$6-MIN(($D345+Y$5),PERMANENT_FIELD_LABOR_HOURS)*PERMANENT_HOURLY_RATE-MAX(0,($D345+Y$5)-PERMANENT_FIELD_LABOR_HOURS)*TEMP_HOURLY_RATE-FIXED_SEASON_COST)</f>
        <v/>
      </c>
      <c r="Z345" s="53" t="str">
        <f aca="false">IF(OR($A345&gt;TOMATO_BED_CAP,$B345&gt;CARROT_BED_CAP,Z$4&gt;MESCLUN_BED_CAP,$A345+$B345+Z$4&gt;TOTAL_BEDS_AVAILABLE,($D345+Z$5)&gt;TOTAL_LABOR_HOURS_CAP,MAX(0,($D345+Z$5)-PERMANENT_FIELD_LABOR_HOURS)&gt;TEMP_HOURS_CAP),"",$C345+Z$6-MIN(($D345+Z$5),PERMANENT_FIELD_LABOR_HOURS)*PERMANENT_HOURLY_RATE-MAX(0,($D345+Z$5)-PERMANENT_FIELD_LABOR_HOURS)*TEMP_HOURLY_RATE-FIXED_SEASON_COST)</f>
        <v/>
      </c>
      <c r="AA345" s="53" t="str">
        <f aca="false">IF(OR($A345&gt;TOMATO_BED_CAP,$B345&gt;CARROT_BED_CAP,AA$4&gt;MESCLUN_BED_CAP,$A345+$B345+AA$4&gt;TOTAL_BEDS_AVAILABLE,($D345+AA$5)&gt;TOTAL_LABOR_HOURS_CAP,MAX(0,($D345+AA$5)-PERMANENT_FIELD_LABOR_HOURS)&gt;TEMP_HOURS_CAP),"",$C345+AA$6-MIN(($D345+AA$5),PERMANENT_FIELD_LABOR_HOURS)*PERMANENT_HOURLY_RATE-MAX(0,($D345+AA$5)-PERMANENT_FIELD_LABOR_HOURS)*TEMP_HOURLY_RATE-FIXED_SEASON_COST)</f>
        <v/>
      </c>
      <c r="AB345" s="53" t="str">
        <f aca="false">IF(OR($A345&gt;TOMATO_BED_CAP,$B345&gt;CARROT_BED_CAP,AB$4&gt;MESCLUN_BED_CAP,$A345+$B345+AB$4&gt;TOTAL_BEDS_AVAILABLE,($D345+AB$5)&gt;TOTAL_LABOR_HOURS_CAP,MAX(0,($D345+AB$5)-PERMANENT_FIELD_LABOR_HOURS)&gt;TEMP_HOURS_CAP),"",$C345+AB$6-MIN(($D345+AB$5),PERMANENT_FIELD_LABOR_HOURS)*PERMANENT_HOURLY_RATE-MAX(0,($D345+AB$5)-PERMANENT_FIELD_LABOR_HOURS)*TEMP_HOURLY_RATE-FIXED_SEASON_COST)</f>
        <v/>
      </c>
      <c r="AC345" s="53" t="str">
        <f aca="false">IF(OR($A345&gt;TOMATO_BED_CAP,$B345&gt;CARROT_BED_CAP,AC$4&gt;MESCLUN_BED_CAP,$A345+$B345+AC$4&gt;TOTAL_BEDS_AVAILABLE,($D345+AC$5)&gt;TOTAL_LABOR_HOURS_CAP,MAX(0,($D345+AC$5)-PERMANENT_FIELD_LABOR_HOURS)&gt;TEMP_HOURS_CAP),"",$C345+AC$6-MIN(($D345+AC$5),PERMANENT_FIELD_LABOR_HOURS)*PERMANENT_HOURLY_RATE-MAX(0,($D345+AC$5)-PERMANENT_FIELD_LABOR_HOURS)*TEMP_HOURLY_RATE-FIXED_SEASON_COST)</f>
        <v/>
      </c>
      <c r="AD345" s="53" t="str">
        <f aca="false">IF(OR($A345&gt;TOMATO_BED_CAP,$B345&gt;CARROT_BED_CAP,AD$4&gt;MESCLUN_BED_CAP,$A345+$B345+AD$4&gt;TOTAL_BEDS_AVAILABLE,($D345+AD$5)&gt;TOTAL_LABOR_HOURS_CAP,MAX(0,($D345+AD$5)-PERMANENT_FIELD_LABOR_HOURS)&gt;TEMP_HOURS_CAP),"",$C345+AD$6-MIN(($D345+AD$5),PERMANENT_FIELD_LABOR_HOURS)*PERMANENT_HOURLY_RATE-MAX(0,($D345+AD$5)-PERMANENT_FIELD_LABOR_HOURS)*TEMP_HOURLY_RATE-FIXED_SEASON_COST)</f>
        <v/>
      </c>
      <c r="AE345" s="53" t="str">
        <f aca="false">IF(OR($A345&gt;TOMATO_BED_CAP,$B345&gt;CARROT_BED_CAP,AE$4&gt;MESCLUN_BED_CAP,$A345+$B345+AE$4&gt;TOTAL_BEDS_AVAILABLE,($D345+AE$5)&gt;TOTAL_LABOR_HOURS_CAP,MAX(0,($D345+AE$5)-PERMANENT_FIELD_LABOR_HOURS)&gt;TEMP_HOURS_CAP),"",$C345+AE$6-MIN(($D345+AE$5),PERMANENT_FIELD_LABOR_HOURS)*PERMANENT_HOURLY_RATE-MAX(0,($D345+AE$5)-PERMANENT_FIELD_LABOR_HOURS)*TEMP_HOURLY_RATE-FIXED_SEASON_COST)</f>
        <v/>
      </c>
      <c r="AF345" s="53" t="str">
        <f aca="false">IF(OR($A345&gt;TOMATO_BED_CAP,$B345&gt;CARROT_BED_CAP,AF$4&gt;MESCLUN_BED_CAP,$A345+$B345+AF$4&gt;TOTAL_BEDS_AVAILABLE,($D345+AF$5)&gt;TOTAL_LABOR_HOURS_CAP,MAX(0,($D345+AF$5)-PERMANENT_FIELD_LABOR_HOURS)&gt;TEMP_HOURS_CAP),"",$C345+AF$6-MIN(($D345+AF$5),PERMANENT_FIELD_LABOR_HOURS)*PERMANENT_HOURLY_RATE-MAX(0,($D345+AF$5)-PERMANENT_FIELD_LABOR_HOURS)*TEMP_HOURLY_RATE-FIXED_SEASON_COST)</f>
        <v/>
      </c>
      <c r="AG345" s="53" t="str">
        <f aca="false">IF(OR($A345&gt;TOMATO_BED_CAP,$B345&gt;CARROT_BED_CAP,AG$4&gt;MESCLUN_BED_CAP,$A345+$B345+AG$4&gt;TOTAL_BEDS_AVAILABLE,($D345+AG$5)&gt;TOTAL_LABOR_HOURS_CAP,MAX(0,($D345+AG$5)-PERMANENT_FIELD_LABOR_HOURS)&gt;TEMP_HOURS_CAP),"",$C345+AG$6-MIN(($D345+AG$5),PERMANENT_FIELD_LABOR_HOURS)*PERMANENT_HOURLY_RATE-MAX(0,($D345+AG$5)-PERMANENT_FIELD_LABOR_HOURS)*TEMP_HOURLY_RATE-FIXED_SEASON_COST)</f>
        <v/>
      </c>
      <c r="AH345" s="53" t="str">
        <f aca="false">IF(OR($A345&gt;TOMATO_BED_CAP,$B345&gt;CARROT_BED_CAP,AH$4&gt;MESCLUN_BED_CAP,$A345+$B345+AH$4&gt;TOTAL_BEDS_AVAILABLE,($D345+AH$5)&gt;TOTAL_LABOR_HOURS_CAP,MAX(0,($D345+AH$5)-PERMANENT_FIELD_LABOR_HOURS)&gt;TEMP_HOURS_CAP),"",$C345+AH$6-MIN(($D345+AH$5),PERMANENT_FIELD_LABOR_HOURS)*PERMANENT_HOURLY_RATE-MAX(0,($D345+AH$5)-PERMANENT_FIELD_LABOR_HOURS)*TEMP_HOURLY_RATE-FIXED_SEASON_COST)</f>
        <v/>
      </c>
      <c r="AI345" s="53" t="str">
        <f aca="false">IF(OR($A345&gt;TOMATO_BED_CAP,$B345&gt;CARROT_BED_CAP,AI$4&gt;MESCLUN_BED_CAP,$A345+$B345+AI$4&gt;TOTAL_BEDS_AVAILABLE,($D345+AI$5)&gt;TOTAL_LABOR_HOURS_CAP,MAX(0,($D345+AI$5)-PERMANENT_FIELD_LABOR_HOURS)&gt;TEMP_HOURS_CAP),"",$C345+AI$6-MIN(($D345+AI$5),PERMANENT_FIELD_LABOR_HOURS)*PERMANENT_HOURLY_RATE-MAX(0,($D345+AI$5)-PERMANENT_FIELD_LABOR_HOURS)*TEMP_HOURLY_RATE-FIXED_SEASON_COST)</f>
        <v/>
      </c>
      <c r="AJ345" s="53" t="str">
        <f aca="false">IF(OR($A345&gt;TOMATO_BED_CAP,$B345&gt;CARROT_BED_CAP,AJ$4&gt;MESCLUN_BED_CAP,$A345+$B345+AJ$4&gt;TOTAL_BEDS_AVAILABLE,($D345+AJ$5)&gt;TOTAL_LABOR_HOURS_CAP,MAX(0,($D345+AJ$5)-PERMANENT_FIELD_LABOR_HOURS)&gt;TEMP_HOURS_CAP),"",$C345+AJ$6-MIN(($D345+AJ$5),PERMANENT_FIELD_LABOR_HOURS)*PERMANENT_HOURLY_RATE-MAX(0,($D345+AJ$5)-PERMANENT_FIELD_LABOR_HOURS)*TEMP_HOURLY_RATE-FIXED_SEASON_COST)</f>
        <v/>
      </c>
    </row>
    <row r="346" customFormat="false" ht="15" hidden="false" customHeight="false" outlineLevel="0" collapsed="false">
      <c r="A346" s="21" t="n">
        <f aca="false">INT((ROW()-ROW($A$8))/(20+1))</f>
        <v>16</v>
      </c>
      <c r="B346" s="21" t="n">
        <f aca="false">MOD(ROW()-ROW($A$8),20+1)</f>
        <v>2</v>
      </c>
      <c r="C346" s="13" t="n">
        <f aca="false">A346*(TOMATO_REVENUE_PER_BED-TOMATO_FERTILIZER_PER_BED)+B346*(CARROT_REVENUE_PER_BED-CARROT_FERTILIZER_PER_BED)</f>
        <v>130028</v>
      </c>
      <c r="D346" s="14" t="n">
        <f aca="false">INDEX(TOMATO_SCHED_LABOR_HRS,A346+1)+INDEX(CARROT_SCHED_LABOR_HRS,B346+1)</f>
        <v>6679.7733853544</v>
      </c>
      <c r="E346" s="13" t="str">
        <f aca="false">IF(COUNT(F346:AJ346)=0,"",MAX(F346:AJ346))</f>
        <v/>
      </c>
      <c r="F346" s="53" t="str">
        <f aca="false">IF(OR($A346&gt;TOMATO_BED_CAP,$B346&gt;CARROT_BED_CAP,F$4&gt;MESCLUN_BED_CAP,$A346+$B346+F$4&gt;TOTAL_BEDS_AVAILABLE,($D346+F$5)&gt;TOTAL_LABOR_HOURS_CAP,MAX(0,($D346+F$5)-PERMANENT_FIELD_LABOR_HOURS)&gt;TEMP_HOURS_CAP),"",$C346+F$6-MIN(($D346+F$5),PERMANENT_FIELD_LABOR_HOURS)*PERMANENT_HOURLY_RATE-MAX(0,($D346+F$5)-PERMANENT_FIELD_LABOR_HOURS)*TEMP_HOURLY_RATE-FIXED_SEASON_COST)</f>
        <v/>
      </c>
      <c r="G346" s="53" t="str">
        <f aca="false">IF(OR($A346&gt;TOMATO_BED_CAP,$B346&gt;CARROT_BED_CAP,G$4&gt;MESCLUN_BED_CAP,$A346+$B346+G$4&gt;TOTAL_BEDS_AVAILABLE,($D346+G$5)&gt;TOTAL_LABOR_HOURS_CAP,MAX(0,($D346+G$5)-PERMANENT_FIELD_LABOR_HOURS)&gt;TEMP_HOURS_CAP),"",$C346+G$6-MIN(($D346+G$5),PERMANENT_FIELD_LABOR_HOURS)*PERMANENT_HOURLY_RATE-MAX(0,($D346+G$5)-PERMANENT_FIELD_LABOR_HOURS)*TEMP_HOURLY_RATE-FIXED_SEASON_COST)</f>
        <v/>
      </c>
      <c r="H346" s="53" t="str">
        <f aca="false">IF(OR($A346&gt;TOMATO_BED_CAP,$B346&gt;CARROT_BED_CAP,H$4&gt;MESCLUN_BED_CAP,$A346+$B346+H$4&gt;TOTAL_BEDS_AVAILABLE,($D346+H$5)&gt;TOTAL_LABOR_HOURS_CAP,MAX(0,($D346+H$5)-PERMANENT_FIELD_LABOR_HOURS)&gt;TEMP_HOURS_CAP),"",$C346+H$6-MIN(($D346+H$5),PERMANENT_FIELD_LABOR_HOURS)*PERMANENT_HOURLY_RATE-MAX(0,($D346+H$5)-PERMANENT_FIELD_LABOR_HOURS)*TEMP_HOURLY_RATE-FIXED_SEASON_COST)</f>
        <v/>
      </c>
      <c r="I346" s="53" t="str">
        <f aca="false">IF(OR($A346&gt;TOMATO_BED_CAP,$B346&gt;CARROT_BED_CAP,I$4&gt;MESCLUN_BED_CAP,$A346+$B346+I$4&gt;TOTAL_BEDS_AVAILABLE,($D346+I$5)&gt;TOTAL_LABOR_HOURS_CAP,MAX(0,($D346+I$5)-PERMANENT_FIELD_LABOR_HOURS)&gt;TEMP_HOURS_CAP),"",$C346+I$6-MIN(($D346+I$5),PERMANENT_FIELD_LABOR_HOURS)*PERMANENT_HOURLY_RATE-MAX(0,($D346+I$5)-PERMANENT_FIELD_LABOR_HOURS)*TEMP_HOURLY_RATE-FIXED_SEASON_COST)</f>
        <v/>
      </c>
      <c r="J346" s="53" t="str">
        <f aca="false">IF(OR($A346&gt;TOMATO_BED_CAP,$B346&gt;CARROT_BED_CAP,J$4&gt;MESCLUN_BED_CAP,$A346+$B346+J$4&gt;TOTAL_BEDS_AVAILABLE,($D346+J$5)&gt;TOTAL_LABOR_HOURS_CAP,MAX(0,($D346+J$5)-PERMANENT_FIELD_LABOR_HOURS)&gt;TEMP_HOURS_CAP),"",$C346+J$6-MIN(($D346+J$5),PERMANENT_FIELD_LABOR_HOURS)*PERMANENT_HOURLY_RATE-MAX(0,($D346+J$5)-PERMANENT_FIELD_LABOR_HOURS)*TEMP_HOURLY_RATE-FIXED_SEASON_COST)</f>
        <v/>
      </c>
      <c r="K346" s="53" t="str">
        <f aca="false">IF(OR($A346&gt;TOMATO_BED_CAP,$B346&gt;CARROT_BED_CAP,K$4&gt;MESCLUN_BED_CAP,$A346+$B346+K$4&gt;TOTAL_BEDS_AVAILABLE,($D346+K$5)&gt;TOTAL_LABOR_HOURS_CAP,MAX(0,($D346+K$5)-PERMANENT_FIELD_LABOR_HOURS)&gt;TEMP_HOURS_CAP),"",$C346+K$6-MIN(($D346+K$5),PERMANENT_FIELD_LABOR_HOURS)*PERMANENT_HOURLY_RATE-MAX(0,($D346+K$5)-PERMANENT_FIELD_LABOR_HOURS)*TEMP_HOURLY_RATE-FIXED_SEASON_COST)</f>
        <v/>
      </c>
      <c r="L346" s="53" t="str">
        <f aca="false">IF(OR($A346&gt;TOMATO_BED_CAP,$B346&gt;CARROT_BED_CAP,L$4&gt;MESCLUN_BED_CAP,$A346+$B346+L$4&gt;TOTAL_BEDS_AVAILABLE,($D346+L$5)&gt;TOTAL_LABOR_HOURS_CAP,MAX(0,($D346+L$5)-PERMANENT_FIELD_LABOR_HOURS)&gt;TEMP_HOURS_CAP),"",$C346+L$6-MIN(($D346+L$5),PERMANENT_FIELD_LABOR_HOURS)*PERMANENT_HOURLY_RATE-MAX(0,($D346+L$5)-PERMANENT_FIELD_LABOR_HOURS)*TEMP_HOURLY_RATE-FIXED_SEASON_COST)</f>
        <v/>
      </c>
      <c r="M346" s="53" t="str">
        <f aca="false">IF(OR($A346&gt;TOMATO_BED_CAP,$B346&gt;CARROT_BED_CAP,M$4&gt;MESCLUN_BED_CAP,$A346+$B346+M$4&gt;TOTAL_BEDS_AVAILABLE,($D346+M$5)&gt;TOTAL_LABOR_HOURS_CAP,MAX(0,($D346+M$5)-PERMANENT_FIELD_LABOR_HOURS)&gt;TEMP_HOURS_CAP),"",$C346+M$6-MIN(($D346+M$5),PERMANENT_FIELD_LABOR_HOURS)*PERMANENT_HOURLY_RATE-MAX(0,($D346+M$5)-PERMANENT_FIELD_LABOR_HOURS)*TEMP_HOURLY_RATE-FIXED_SEASON_COST)</f>
        <v/>
      </c>
      <c r="N346" s="53" t="str">
        <f aca="false">IF(OR($A346&gt;TOMATO_BED_CAP,$B346&gt;CARROT_BED_CAP,N$4&gt;MESCLUN_BED_CAP,$A346+$B346+N$4&gt;TOTAL_BEDS_AVAILABLE,($D346+N$5)&gt;TOTAL_LABOR_HOURS_CAP,MAX(0,($D346+N$5)-PERMANENT_FIELD_LABOR_HOURS)&gt;TEMP_HOURS_CAP),"",$C346+N$6-MIN(($D346+N$5),PERMANENT_FIELD_LABOR_HOURS)*PERMANENT_HOURLY_RATE-MAX(0,($D346+N$5)-PERMANENT_FIELD_LABOR_HOURS)*TEMP_HOURLY_RATE-FIXED_SEASON_COST)</f>
        <v/>
      </c>
      <c r="O346" s="53" t="str">
        <f aca="false">IF(OR($A346&gt;TOMATO_BED_CAP,$B346&gt;CARROT_BED_CAP,O$4&gt;MESCLUN_BED_CAP,$A346+$B346+O$4&gt;TOTAL_BEDS_AVAILABLE,($D346+O$5)&gt;TOTAL_LABOR_HOURS_CAP,MAX(0,($D346+O$5)-PERMANENT_FIELD_LABOR_HOURS)&gt;TEMP_HOURS_CAP),"",$C346+O$6-MIN(($D346+O$5),PERMANENT_FIELD_LABOR_HOURS)*PERMANENT_HOURLY_RATE-MAX(0,($D346+O$5)-PERMANENT_FIELD_LABOR_HOURS)*TEMP_HOURLY_RATE-FIXED_SEASON_COST)</f>
        <v/>
      </c>
      <c r="P346" s="53" t="str">
        <f aca="false">IF(OR($A346&gt;TOMATO_BED_CAP,$B346&gt;CARROT_BED_CAP,P$4&gt;MESCLUN_BED_CAP,$A346+$B346+P$4&gt;TOTAL_BEDS_AVAILABLE,($D346+P$5)&gt;TOTAL_LABOR_HOURS_CAP,MAX(0,($D346+P$5)-PERMANENT_FIELD_LABOR_HOURS)&gt;TEMP_HOURS_CAP),"",$C346+P$6-MIN(($D346+P$5),PERMANENT_FIELD_LABOR_HOURS)*PERMANENT_HOURLY_RATE-MAX(0,($D346+P$5)-PERMANENT_FIELD_LABOR_HOURS)*TEMP_HOURLY_RATE-FIXED_SEASON_COST)</f>
        <v/>
      </c>
      <c r="Q346" s="53" t="str">
        <f aca="false">IF(OR($A346&gt;TOMATO_BED_CAP,$B346&gt;CARROT_BED_CAP,Q$4&gt;MESCLUN_BED_CAP,$A346+$B346+Q$4&gt;TOTAL_BEDS_AVAILABLE,($D346+Q$5)&gt;TOTAL_LABOR_HOURS_CAP,MAX(0,($D346+Q$5)-PERMANENT_FIELD_LABOR_HOURS)&gt;TEMP_HOURS_CAP),"",$C346+Q$6-MIN(($D346+Q$5),PERMANENT_FIELD_LABOR_HOURS)*PERMANENT_HOURLY_RATE-MAX(0,($D346+Q$5)-PERMANENT_FIELD_LABOR_HOURS)*TEMP_HOURLY_RATE-FIXED_SEASON_COST)</f>
        <v/>
      </c>
      <c r="R346" s="53" t="str">
        <f aca="false">IF(OR($A346&gt;TOMATO_BED_CAP,$B346&gt;CARROT_BED_CAP,R$4&gt;MESCLUN_BED_CAP,$A346+$B346+R$4&gt;TOTAL_BEDS_AVAILABLE,($D346+R$5)&gt;TOTAL_LABOR_HOURS_CAP,MAX(0,($D346+R$5)-PERMANENT_FIELD_LABOR_HOURS)&gt;TEMP_HOURS_CAP),"",$C346+R$6-MIN(($D346+R$5),PERMANENT_FIELD_LABOR_HOURS)*PERMANENT_HOURLY_RATE-MAX(0,($D346+R$5)-PERMANENT_FIELD_LABOR_HOURS)*TEMP_HOURLY_RATE-FIXED_SEASON_COST)</f>
        <v/>
      </c>
      <c r="S346" s="53" t="str">
        <f aca="false">IF(OR($A346&gt;TOMATO_BED_CAP,$B346&gt;CARROT_BED_CAP,S$4&gt;MESCLUN_BED_CAP,$A346+$B346+S$4&gt;TOTAL_BEDS_AVAILABLE,($D346+S$5)&gt;TOTAL_LABOR_HOURS_CAP,MAX(0,($D346+S$5)-PERMANENT_FIELD_LABOR_HOURS)&gt;TEMP_HOURS_CAP),"",$C346+S$6-MIN(($D346+S$5),PERMANENT_FIELD_LABOR_HOURS)*PERMANENT_HOURLY_RATE-MAX(0,($D346+S$5)-PERMANENT_FIELD_LABOR_HOURS)*TEMP_HOURLY_RATE-FIXED_SEASON_COST)</f>
        <v/>
      </c>
      <c r="T346" s="53" t="str">
        <f aca="false">IF(OR($A346&gt;TOMATO_BED_CAP,$B346&gt;CARROT_BED_CAP,T$4&gt;MESCLUN_BED_CAP,$A346+$B346+T$4&gt;TOTAL_BEDS_AVAILABLE,($D346+T$5)&gt;TOTAL_LABOR_HOURS_CAP,MAX(0,($D346+T$5)-PERMANENT_FIELD_LABOR_HOURS)&gt;TEMP_HOURS_CAP),"",$C346+T$6-MIN(($D346+T$5),PERMANENT_FIELD_LABOR_HOURS)*PERMANENT_HOURLY_RATE-MAX(0,($D346+T$5)-PERMANENT_FIELD_LABOR_HOURS)*TEMP_HOURLY_RATE-FIXED_SEASON_COST)</f>
        <v/>
      </c>
      <c r="U346" s="53" t="str">
        <f aca="false">IF(OR($A346&gt;TOMATO_BED_CAP,$B346&gt;CARROT_BED_CAP,U$4&gt;MESCLUN_BED_CAP,$A346+$B346+U$4&gt;TOTAL_BEDS_AVAILABLE,($D346+U$5)&gt;TOTAL_LABOR_HOURS_CAP,MAX(0,($D346+U$5)-PERMANENT_FIELD_LABOR_HOURS)&gt;TEMP_HOURS_CAP),"",$C346+U$6-MIN(($D346+U$5),PERMANENT_FIELD_LABOR_HOURS)*PERMANENT_HOURLY_RATE-MAX(0,($D346+U$5)-PERMANENT_FIELD_LABOR_HOURS)*TEMP_HOURLY_RATE-FIXED_SEASON_COST)</f>
        <v/>
      </c>
      <c r="V346" s="53" t="str">
        <f aca="false">IF(OR($A346&gt;TOMATO_BED_CAP,$B346&gt;CARROT_BED_CAP,V$4&gt;MESCLUN_BED_CAP,$A346+$B346+V$4&gt;TOTAL_BEDS_AVAILABLE,($D346+V$5)&gt;TOTAL_LABOR_HOURS_CAP,MAX(0,($D346+V$5)-PERMANENT_FIELD_LABOR_HOURS)&gt;TEMP_HOURS_CAP),"",$C346+V$6-MIN(($D346+V$5),PERMANENT_FIELD_LABOR_HOURS)*PERMANENT_HOURLY_RATE-MAX(0,($D346+V$5)-PERMANENT_FIELD_LABOR_HOURS)*TEMP_HOURLY_RATE-FIXED_SEASON_COST)</f>
        <v/>
      </c>
      <c r="W346" s="53" t="str">
        <f aca="false">IF(OR($A346&gt;TOMATO_BED_CAP,$B346&gt;CARROT_BED_CAP,W$4&gt;MESCLUN_BED_CAP,$A346+$B346+W$4&gt;TOTAL_BEDS_AVAILABLE,($D346+W$5)&gt;TOTAL_LABOR_HOURS_CAP,MAX(0,($D346+W$5)-PERMANENT_FIELD_LABOR_HOURS)&gt;TEMP_HOURS_CAP),"",$C346+W$6-MIN(($D346+W$5),PERMANENT_FIELD_LABOR_HOURS)*PERMANENT_HOURLY_RATE-MAX(0,($D346+W$5)-PERMANENT_FIELD_LABOR_HOURS)*TEMP_HOURLY_RATE-FIXED_SEASON_COST)</f>
        <v/>
      </c>
      <c r="X346" s="53" t="str">
        <f aca="false">IF(OR($A346&gt;TOMATO_BED_CAP,$B346&gt;CARROT_BED_CAP,X$4&gt;MESCLUN_BED_CAP,$A346+$B346+X$4&gt;TOTAL_BEDS_AVAILABLE,($D346+X$5)&gt;TOTAL_LABOR_HOURS_CAP,MAX(0,($D346+X$5)-PERMANENT_FIELD_LABOR_HOURS)&gt;TEMP_HOURS_CAP),"",$C346+X$6-MIN(($D346+X$5),PERMANENT_FIELD_LABOR_HOURS)*PERMANENT_HOURLY_RATE-MAX(0,($D346+X$5)-PERMANENT_FIELD_LABOR_HOURS)*TEMP_HOURLY_RATE-FIXED_SEASON_COST)</f>
        <v/>
      </c>
      <c r="Y346" s="53" t="str">
        <f aca="false">IF(OR($A346&gt;TOMATO_BED_CAP,$B346&gt;CARROT_BED_CAP,Y$4&gt;MESCLUN_BED_CAP,$A346+$B346+Y$4&gt;TOTAL_BEDS_AVAILABLE,($D346+Y$5)&gt;TOTAL_LABOR_HOURS_CAP,MAX(0,($D346+Y$5)-PERMANENT_FIELD_LABOR_HOURS)&gt;TEMP_HOURS_CAP),"",$C346+Y$6-MIN(($D346+Y$5),PERMANENT_FIELD_LABOR_HOURS)*PERMANENT_HOURLY_RATE-MAX(0,($D346+Y$5)-PERMANENT_FIELD_LABOR_HOURS)*TEMP_HOURLY_RATE-FIXED_SEASON_COST)</f>
        <v/>
      </c>
      <c r="Z346" s="53" t="str">
        <f aca="false">IF(OR($A346&gt;TOMATO_BED_CAP,$B346&gt;CARROT_BED_CAP,Z$4&gt;MESCLUN_BED_CAP,$A346+$B346+Z$4&gt;TOTAL_BEDS_AVAILABLE,($D346+Z$5)&gt;TOTAL_LABOR_HOURS_CAP,MAX(0,($D346+Z$5)-PERMANENT_FIELD_LABOR_HOURS)&gt;TEMP_HOURS_CAP),"",$C346+Z$6-MIN(($D346+Z$5),PERMANENT_FIELD_LABOR_HOURS)*PERMANENT_HOURLY_RATE-MAX(0,($D346+Z$5)-PERMANENT_FIELD_LABOR_HOURS)*TEMP_HOURLY_RATE-FIXED_SEASON_COST)</f>
        <v/>
      </c>
      <c r="AA346" s="53" t="str">
        <f aca="false">IF(OR($A346&gt;TOMATO_BED_CAP,$B346&gt;CARROT_BED_CAP,AA$4&gt;MESCLUN_BED_CAP,$A346+$B346+AA$4&gt;TOTAL_BEDS_AVAILABLE,($D346+AA$5)&gt;TOTAL_LABOR_HOURS_CAP,MAX(0,($D346+AA$5)-PERMANENT_FIELD_LABOR_HOURS)&gt;TEMP_HOURS_CAP),"",$C346+AA$6-MIN(($D346+AA$5),PERMANENT_FIELD_LABOR_HOURS)*PERMANENT_HOURLY_RATE-MAX(0,($D346+AA$5)-PERMANENT_FIELD_LABOR_HOURS)*TEMP_HOURLY_RATE-FIXED_SEASON_COST)</f>
        <v/>
      </c>
      <c r="AB346" s="53" t="str">
        <f aca="false">IF(OR($A346&gt;TOMATO_BED_CAP,$B346&gt;CARROT_BED_CAP,AB$4&gt;MESCLUN_BED_CAP,$A346+$B346+AB$4&gt;TOTAL_BEDS_AVAILABLE,($D346+AB$5)&gt;TOTAL_LABOR_HOURS_CAP,MAX(0,($D346+AB$5)-PERMANENT_FIELD_LABOR_HOURS)&gt;TEMP_HOURS_CAP),"",$C346+AB$6-MIN(($D346+AB$5),PERMANENT_FIELD_LABOR_HOURS)*PERMANENT_HOURLY_RATE-MAX(0,($D346+AB$5)-PERMANENT_FIELD_LABOR_HOURS)*TEMP_HOURLY_RATE-FIXED_SEASON_COST)</f>
        <v/>
      </c>
      <c r="AC346" s="53" t="str">
        <f aca="false">IF(OR($A346&gt;TOMATO_BED_CAP,$B346&gt;CARROT_BED_CAP,AC$4&gt;MESCLUN_BED_CAP,$A346+$B346+AC$4&gt;TOTAL_BEDS_AVAILABLE,($D346+AC$5)&gt;TOTAL_LABOR_HOURS_CAP,MAX(0,($D346+AC$5)-PERMANENT_FIELD_LABOR_HOURS)&gt;TEMP_HOURS_CAP),"",$C346+AC$6-MIN(($D346+AC$5),PERMANENT_FIELD_LABOR_HOURS)*PERMANENT_HOURLY_RATE-MAX(0,($D346+AC$5)-PERMANENT_FIELD_LABOR_HOURS)*TEMP_HOURLY_RATE-FIXED_SEASON_COST)</f>
        <v/>
      </c>
      <c r="AD346" s="53" t="str">
        <f aca="false">IF(OR($A346&gt;TOMATO_BED_CAP,$B346&gt;CARROT_BED_CAP,AD$4&gt;MESCLUN_BED_CAP,$A346+$B346+AD$4&gt;TOTAL_BEDS_AVAILABLE,($D346+AD$5)&gt;TOTAL_LABOR_HOURS_CAP,MAX(0,($D346+AD$5)-PERMANENT_FIELD_LABOR_HOURS)&gt;TEMP_HOURS_CAP),"",$C346+AD$6-MIN(($D346+AD$5),PERMANENT_FIELD_LABOR_HOURS)*PERMANENT_HOURLY_RATE-MAX(0,($D346+AD$5)-PERMANENT_FIELD_LABOR_HOURS)*TEMP_HOURLY_RATE-FIXED_SEASON_COST)</f>
        <v/>
      </c>
      <c r="AE346" s="53" t="str">
        <f aca="false">IF(OR($A346&gt;TOMATO_BED_CAP,$B346&gt;CARROT_BED_CAP,AE$4&gt;MESCLUN_BED_CAP,$A346+$B346+AE$4&gt;TOTAL_BEDS_AVAILABLE,($D346+AE$5)&gt;TOTAL_LABOR_HOURS_CAP,MAX(0,($D346+AE$5)-PERMANENT_FIELD_LABOR_HOURS)&gt;TEMP_HOURS_CAP),"",$C346+AE$6-MIN(($D346+AE$5),PERMANENT_FIELD_LABOR_HOURS)*PERMANENT_HOURLY_RATE-MAX(0,($D346+AE$5)-PERMANENT_FIELD_LABOR_HOURS)*TEMP_HOURLY_RATE-FIXED_SEASON_COST)</f>
        <v/>
      </c>
      <c r="AF346" s="53" t="str">
        <f aca="false">IF(OR($A346&gt;TOMATO_BED_CAP,$B346&gt;CARROT_BED_CAP,AF$4&gt;MESCLUN_BED_CAP,$A346+$B346+AF$4&gt;TOTAL_BEDS_AVAILABLE,($D346+AF$5)&gt;TOTAL_LABOR_HOURS_CAP,MAX(0,($D346+AF$5)-PERMANENT_FIELD_LABOR_HOURS)&gt;TEMP_HOURS_CAP),"",$C346+AF$6-MIN(($D346+AF$5),PERMANENT_FIELD_LABOR_HOURS)*PERMANENT_HOURLY_RATE-MAX(0,($D346+AF$5)-PERMANENT_FIELD_LABOR_HOURS)*TEMP_HOURLY_RATE-FIXED_SEASON_COST)</f>
        <v/>
      </c>
      <c r="AG346" s="53" t="str">
        <f aca="false">IF(OR($A346&gt;TOMATO_BED_CAP,$B346&gt;CARROT_BED_CAP,AG$4&gt;MESCLUN_BED_CAP,$A346+$B346+AG$4&gt;TOTAL_BEDS_AVAILABLE,($D346+AG$5)&gt;TOTAL_LABOR_HOURS_CAP,MAX(0,($D346+AG$5)-PERMANENT_FIELD_LABOR_HOURS)&gt;TEMP_HOURS_CAP),"",$C346+AG$6-MIN(($D346+AG$5),PERMANENT_FIELD_LABOR_HOURS)*PERMANENT_HOURLY_RATE-MAX(0,($D346+AG$5)-PERMANENT_FIELD_LABOR_HOURS)*TEMP_HOURLY_RATE-FIXED_SEASON_COST)</f>
        <v/>
      </c>
      <c r="AH346" s="53" t="str">
        <f aca="false">IF(OR($A346&gt;TOMATO_BED_CAP,$B346&gt;CARROT_BED_CAP,AH$4&gt;MESCLUN_BED_CAP,$A346+$B346+AH$4&gt;TOTAL_BEDS_AVAILABLE,($D346+AH$5)&gt;TOTAL_LABOR_HOURS_CAP,MAX(0,($D346+AH$5)-PERMANENT_FIELD_LABOR_HOURS)&gt;TEMP_HOURS_CAP),"",$C346+AH$6-MIN(($D346+AH$5),PERMANENT_FIELD_LABOR_HOURS)*PERMANENT_HOURLY_RATE-MAX(0,($D346+AH$5)-PERMANENT_FIELD_LABOR_HOURS)*TEMP_HOURLY_RATE-FIXED_SEASON_COST)</f>
        <v/>
      </c>
      <c r="AI346" s="53" t="str">
        <f aca="false">IF(OR($A346&gt;TOMATO_BED_CAP,$B346&gt;CARROT_BED_CAP,AI$4&gt;MESCLUN_BED_CAP,$A346+$B346+AI$4&gt;TOTAL_BEDS_AVAILABLE,($D346+AI$5)&gt;TOTAL_LABOR_HOURS_CAP,MAX(0,($D346+AI$5)-PERMANENT_FIELD_LABOR_HOURS)&gt;TEMP_HOURS_CAP),"",$C346+AI$6-MIN(($D346+AI$5),PERMANENT_FIELD_LABOR_HOURS)*PERMANENT_HOURLY_RATE-MAX(0,($D346+AI$5)-PERMANENT_FIELD_LABOR_HOURS)*TEMP_HOURLY_RATE-FIXED_SEASON_COST)</f>
        <v/>
      </c>
      <c r="AJ346" s="53" t="str">
        <f aca="false">IF(OR($A346&gt;TOMATO_BED_CAP,$B346&gt;CARROT_BED_CAP,AJ$4&gt;MESCLUN_BED_CAP,$A346+$B346+AJ$4&gt;TOTAL_BEDS_AVAILABLE,($D346+AJ$5)&gt;TOTAL_LABOR_HOURS_CAP,MAX(0,($D346+AJ$5)-PERMANENT_FIELD_LABOR_HOURS)&gt;TEMP_HOURS_CAP),"",$C346+AJ$6-MIN(($D346+AJ$5),PERMANENT_FIELD_LABOR_HOURS)*PERMANENT_HOURLY_RATE-MAX(0,($D346+AJ$5)-PERMANENT_FIELD_LABOR_HOURS)*TEMP_HOURLY_RATE-FIXED_SEASON_COST)</f>
        <v/>
      </c>
    </row>
    <row r="347" customFormat="false" ht="15" hidden="false" customHeight="false" outlineLevel="0" collapsed="false">
      <c r="A347" s="21" t="n">
        <f aca="false">INT((ROW()-ROW($A$8))/(20+1))</f>
        <v>16</v>
      </c>
      <c r="B347" s="21" t="n">
        <f aca="false">MOD(ROW()-ROW($A$8),20+1)</f>
        <v>3</v>
      </c>
      <c r="C347" s="13" t="n">
        <f aca="false">A347*(TOMATO_REVENUE_PER_BED-TOMATO_FERTILIZER_PER_BED)+B347*(CARROT_REVENUE_PER_BED-CARROT_FERTILIZER_PER_BED)</f>
        <v>131682</v>
      </c>
      <c r="D347" s="14" t="n">
        <f aca="false">INDEX(TOMATO_SCHED_LABOR_HRS,A347+1)+INDEX(CARROT_SCHED_LABOR_HRS,B347+1)</f>
        <v>6713.6424885419</v>
      </c>
      <c r="E347" s="13" t="str">
        <f aca="false">IF(COUNT(F347:AJ347)=0,"",MAX(F347:AJ347))</f>
        <v/>
      </c>
      <c r="F347" s="53" t="str">
        <f aca="false">IF(OR($A347&gt;TOMATO_BED_CAP,$B347&gt;CARROT_BED_CAP,F$4&gt;MESCLUN_BED_CAP,$A347+$B347+F$4&gt;TOTAL_BEDS_AVAILABLE,($D347+F$5)&gt;TOTAL_LABOR_HOURS_CAP,MAX(0,($D347+F$5)-PERMANENT_FIELD_LABOR_HOURS)&gt;TEMP_HOURS_CAP),"",$C347+F$6-MIN(($D347+F$5),PERMANENT_FIELD_LABOR_HOURS)*PERMANENT_HOURLY_RATE-MAX(0,($D347+F$5)-PERMANENT_FIELD_LABOR_HOURS)*TEMP_HOURLY_RATE-FIXED_SEASON_COST)</f>
        <v/>
      </c>
      <c r="G347" s="53" t="str">
        <f aca="false">IF(OR($A347&gt;TOMATO_BED_CAP,$B347&gt;CARROT_BED_CAP,G$4&gt;MESCLUN_BED_CAP,$A347+$B347+G$4&gt;TOTAL_BEDS_AVAILABLE,($D347+G$5)&gt;TOTAL_LABOR_HOURS_CAP,MAX(0,($D347+G$5)-PERMANENT_FIELD_LABOR_HOURS)&gt;TEMP_HOURS_CAP),"",$C347+G$6-MIN(($D347+G$5),PERMANENT_FIELD_LABOR_HOURS)*PERMANENT_HOURLY_RATE-MAX(0,($D347+G$5)-PERMANENT_FIELD_LABOR_HOURS)*TEMP_HOURLY_RATE-FIXED_SEASON_COST)</f>
        <v/>
      </c>
      <c r="H347" s="53" t="str">
        <f aca="false">IF(OR($A347&gt;TOMATO_BED_CAP,$B347&gt;CARROT_BED_CAP,H$4&gt;MESCLUN_BED_CAP,$A347+$B347+H$4&gt;TOTAL_BEDS_AVAILABLE,($D347+H$5)&gt;TOTAL_LABOR_HOURS_CAP,MAX(0,($D347+H$5)-PERMANENT_FIELD_LABOR_HOURS)&gt;TEMP_HOURS_CAP),"",$C347+H$6-MIN(($D347+H$5),PERMANENT_FIELD_LABOR_HOURS)*PERMANENT_HOURLY_RATE-MAX(0,($D347+H$5)-PERMANENT_FIELD_LABOR_HOURS)*TEMP_HOURLY_RATE-FIXED_SEASON_COST)</f>
        <v/>
      </c>
      <c r="I347" s="53" t="str">
        <f aca="false">IF(OR($A347&gt;TOMATO_BED_CAP,$B347&gt;CARROT_BED_CAP,I$4&gt;MESCLUN_BED_CAP,$A347+$B347+I$4&gt;TOTAL_BEDS_AVAILABLE,($D347+I$5)&gt;TOTAL_LABOR_HOURS_CAP,MAX(0,($D347+I$5)-PERMANENT_FIELD_LABOR_HOURS)&gt;TEMP_HOURS_CAP),"",$C347+I$6-MIN(($D347+I$5),PERMANENT_FIELD_LABOR_HOURS)*PERMANENT_HOURLY_RATE-MAX(0,($D347+I$5)-PERMANENT_FIELD_LABOR_HOURS)*TEMP_HOURLY_RATE-FIXED_SEASON_COST)</f>
        <v/>
      </c>
      <c r="J347" s="53" t="str">
        <f aca="false">IF(OR($A347&gt;TOMATO_BED_CAP,$B347&gt;CARROT_BED_CAP,J$4&gt;MESCLUN_BED_CAP,$A347+$B347+J$4&gt;TOTAL_BEDS_AVAILABLE,($D347+J$5)&gt;TOTAL_LABOR_HOURS_CAP,MAX(0,($D347+J$5)-PERMANENT_FIELD_LABOR_HOURS)&gt;TEMP_HOURS_CAP),"",$C347+J$6-MIN(($D347+J$5),PERMANENT_FIELD_LABOR_HOURS)*PERMANENT_HOURLY_RATE-MAX(0,($D347+J$5)-PERMANENT_FIELD_LABOR_HOURS)*TEMP_HOURLY_RATE-FIXED_SEASON_COST)</f>
        <v/>
      </c>
      <c r="K347" s="53" t="str">
        <f aca="false">IF(OR($A347&gt;TOMATO_BED_CAP,$B347&gt;CARROT_BED_CAP,K$4&gt;MESCLUN_BED_CAP,$A347+$B347+K$4&gt;TOTAL_BEDS_AVAILABLE,($D347+K$5)&gt;TOTAL_LABOR_HOURS_CAP,MAX(0,($D347+K$5)-PERMANENT_FIELD_LABOR_HOURS)&gt;TEMP_HOURS_CAP),"",$C347+K$6-MIN(($D347+K$5),PERMANENT_FIELD_LABOR_HOURS)*PERMANENT_HOURLY_RATE-MAX(0,($D347+K$5)-PERMANENT_FIELD_LABOR_HOURS)*TEMP_HOURLY_RATE-FIXED_SEASON_COST)</f>
        <v/>
      </c>
      <c r="L347" s="53" t="str">
        <f aca="false">IF(OR($A347&gt;TOMATO_BED_CAP,$B347&gt;CARROT_BED_CAP,L$4&gt;MESCLUN_BED_CAP,$A347+$B347+L$4&gt;TOTAL_BEDS_AVAILABLE,($D347+L$5)&gt;TOTAL_LABOR_HOURS_CAP,MAX(0,($D347+L$5)-PERMANENT_FIELD_LABOR_HOURS)&gt;TEMP_HOURS_CAP),"",$C347+L$6-MIN(($D347+L$5),PERMANENT_FIELD_LABOR_HOURS)*PERMANENT_HOURLY_RATE-MAX(0,($D347+L$5)-PERMANENT_FIELD_LABOR_HOURS)*TEMP_HOURLY_RATE-FIXED_SEASON_COST)</f>
        <v/>
      </c>
      <c r="M347" s="53" t="str">
        <f aca="false">IF(OR($A347&gt;TOMATO_BED_CAP,$B347&gt;CARROT_BED_CAP,M$4&gt;MESCLUN_BED_CAP,$A347+$B347+M$4&gt;TOTAL_BEDS_AVAILABLE,($D347+M$5)&gt;TOTAL_LABOR_HOURS_CAP,MAX(0,($D347+M$5)-PERMANENT_FIELD_LABOR_HOURS)&gt;TEMP_HOURS_CAP),"",$C347+M$6-MIN(($D347+M$5),PERMANENT_FIELD_LABOR_HOURS)*PERMANENT_HOURLY_RATE-MAX(0,($D347+M$5)-PERMANENT_FIELD_LABOR_HOURS)*TEMP_HOURLY_RATE-FIXED_SEASON_COST)</f>
        <v/>
      </c>
      <c r="N347" s="53" t="str">
        <f aca="false">IF(OR($A347&gt;TOMATO_BED_CAP,$B347&gt;CARROT_BED_CAP,N$4&gt;MESCLUN_BED_CAP,$A347+$B347+N$4&gt;TOTAL_BEDS_AVAILABLE,($D347+N$5)&gt;TOTAL_LABOR_HOURS_CAP,MAX(0,($D347+N$5)-PERMANENT_FIELD_LABOR_HOURS)&gt;TEMP_HOURS_CAP),"",$C347+N$6-MIN(($D347+N$5),PERMANENT_FIELD_LABOR_HOURS)*PERMANENT_HOURLY_RATE-MAX(0,($D347+N$5)-PERMANENT_FIELD_LABOR_HOURS)*TEMP_HOURLY_RATE-FIXED_SEASON_COST)</f>
        <v/>
      </c>
      <c r="O347" s="53" t="str">
        <f aca="false">IF(OR($A347&gt;TOMATO_BED_CAP,$B347&gt;CARROT_BED_CAP,O$4&gt;MESCLUN_BED_CAP,$A347+$B347+O$4&gt;TOTAL_BEDS_AVAILABLE,($D347+O$5)&gt;TOTAL_LABOR_HOURS_CAP,MAX(0,($D347+O$5)-PERMANENT_FIELD_LABOR_HOURS)&gt;TEMP_HOURS_CAP),"",$C347+O$6-MIN(($D347+O$5),PERMANENT_FIELD_LABOR_HOURS)*PERMANENT_HOURLY_RATE-MAX(0,($D347+O$5)-PERMANENT_FIELD_LABOR_HOURS)*TEMP_HOURLY_RATE-FIXED_SEASON_COST)</f>
        <v/>
      </c>
      <c r="P347" s="53" t="str">
        <f aca="false">IF(OR($A347&gt;TOMATO_BED_CAP,$B347&gt;CARROT_BED_CAP,P$4&gt;MESCLUN_BED_CAP,$A347+$B347+P$4&gt;TOTAL_BEDS_AVAILABLE,($D347+P$5)&gt;TOTAL_LABOR_HOURS_CAP,MAX(0,($D347+P$5)-PERMANENT_FIELD_LABOR_HOURS)&gt;TEMP_HOURS_CAP),"",$C347+P$6-MIN(($D347+P$5),PERMANENT_FIELD_LABOR_HOURS)*PERMANENT_HOURLY_RATE-MAX(0,($D347+P$5)-PERMANENT_FIELD_LABOR_HOURS)*TEMP_HOURLY_RATE-FIXED_SEASON_COST)</f>
        <v/>
      </c>
      <c r="Q347" s="53" t="str">
        <f aca="false">IF(OR($A347&gt;TOMATO_BED_CAP,$B347&gt;CARROT_BED_CAP,Q$4&gt;MESCLUN_BED_CAP,$A347+$B347+Q$4&gt;TOTAL_BEDS_AVAILABLE,($D347+Q$5)&gt;TOTAL_LABOR_HOURS_CAP,MAX(0,($D347+Q$5)-PERMANENT_FIELD_LABOR_HOURS)&gt;TEMP_HOURS_CAP),"",$C347+Q$6-MIN(($D347+Q$5),PERMANENT_FIELD_LABOR_HOURS)*PERMANENT_HOURLY_RATE-MAX(0,($D347+Q$5)-PERMANENT_FIELD_LABOR_HOURS)*TEMP_HOURLY_RATE-FIXED_SEASON_COST)</f>
        <v/>
      </c>
      <c r="R347" s="53" t="str">
        <f aca="false">IF(OR($A347&gt;TOMATO_BED_CAP,$B347&gt;CARROT_BED_CAP,R$4&gt;MESCLUN_BED_CAP,$A347+$B347+R$4&gt;TOTAL_BEDS_AVAILABLE,($D347+R$5)&gt;TOTAL_LABOR_HOURS_CAP,MAX(0,($D347+R$5)-PERMANENT_FIELD_LABOR_HOURS)&gt;TEMP_HOURS_CAP),"",$C347+R$6-MIN(($D347+R$5),PERMANENT_FIELD_LABOR_HOURS)*PERMANENT_HOURLY_RATE-MAX(0,($D347+R$5)-PERMANENT_FIELD_LABOR_HOURS)*TEMP_HOURLY_RATE-FIXED_SEASON_COST)</f>
        <v/>
      </c>
      <c r="S347" s="53" t="str">
        <f aca="false">IF(OR($A347&gt;TOMATO_BED_CAP,$B347&gt;CARROT_BED_CAP,S$4&gt;MESCLUN_BED_CAP,$A347+$B347+S$4&gt;TOTAL_BEDS_AVAILABLE,($D347+S$5)&gt;TOTAL_LABOR_HOURS_CAP,MAX(0,($D347+S$5)-PERMANENT_FIELD_LABOR_HOURS)&gt;TEMP_HOURS_CAP),"",$C347+S$6-MIN(($D347+S$5),PERMANENT_FIELD_LABOR_HOURS)*PERMANENT_HOURLY_RATE-MAX(0,($D347+S$5)-PERMANENT_FIELD_LABOR_HOURS)*TEMP_HOURLY_RATE-FIXED_SEASON_COST)</f>
        <v/>
      </c>
      <c r="T347" s="53" t="str">
        <f aca="false">IF(OR($A347&gt;TOMATO_BED_CAP,$B347&gt;CARROT_BED_CAP,T$4&gt;MESCLUN_BED_CAP,$A347+$B347+T$4&gt;TOTAL_BEDS_AVAILABLE,($D347+T$5)&gt;TOTAL_LABOR_HOURS_CAP,MAX(0,($D347+T$5)-PERMANENT_FIELD_LABOR_HOURS)&gt;TEMP_HOURS_CAP),"",$C347+T$6-MIN(($D347+T$5),PERMANENT_FIELD_LABOR_HOURS)*PERMANENT_HOURLY_RATE-MAX(0,($D347+T$5)-PERMANENT_FIELD_LABOR_HOURS)*TEMP_HOURLY_RATE-FIXED_SEASON_COST)</f>
        <v/>
      </c>
      <c r="U347" s="53" t="str">
        <f aca="false">IF(OR($A347&gt;TOMATO_BED_CAP,$B347&gt;CARROT_BED_CAP,U$4&gt;MESCLUN_BED_CAP,$A347+$B347+U$4&gt;TOTAL_BEDS_AVAILABLE,($D347+U$5)&gt;TOTAL_LABOR_HOURS_CAP,MAX(0,($D347+U$5)-PERMANENT_FIELD_LABOR_HOURS)&gt;TEMP_HOURS_CAP),"",$C347+U$6-MIN(($D347+U$5),PERMANENT_FIELD_LABOR_HOURS)*PERMANENT_HOURLY_RATE-MAX(0,($D347+U$5)-PERMANENT_FIELD_LABOR_HOURS)*TEMP_HOURLY_RATE-FIXED_SEASON_COST)</f>
        <v/>
      </c>
      <c r="V347" s="53" t="str">
        <f aca="false">IF(OR($A347&gt;TOMATO_BED_CAP,$B347&gt;CARROT_BED_CAP,V$4&gt;MESCLUN_BED_CAP,$A347+$B347+V$4&gt;TOTAL_BEDS_AVAILABLE,($D347+V$5)&gt;TOTAL_LABOR_HOURS_CAP,MAX(0,($D347+V$5)-PERMANENT_FIELD_LABOR_HOURS)&gt;TEMP_HOURS_CAP),"",$C347+V$6-MIN(($D347+V$5),PERMANENT_FIELD_LABOR_HOURS)*PERMANENT_HOURLY_RATE-MAX(0,($D347+V$5)-PERMANENT_FIELD_LABOR_HOURS)*TEMP_HOURLY_RATE-FIXED_SEASON_COST)</f>
        <v/>
      </c>
      <c r="W347" s="53" t="str">
        <f aca="false">IF(OR($A347&gt;TOMATO_BED_CAP,$B347&gt;CARROT_BED_CAP,W$4&gt;MESCLUN_BED_CAP,$A347+$B347+W$4&gt;TOTAL_BEDS_AVAILABLE,($D347+W$5)&gt;TOTAL_LABOR_HOURS_CAP,MAX(0,($D347+W$5)-PERMANENT_FIELD_LABOR_HOURS)&gt;TEMP_HOURS_CAP),"",$C347+W$6-MIN(($D347+W$5),PERMANENT_FIELD_LABOR_HOURS)*PERMANENT_HOURLY_RATE-MAX(0,($D347+W$5)-PERMANENT_FIELD_LABOR_HOURS)*TEMP_HOURLY_RATE-FIXED_SEASON_COST)</f>
        <v/>
      </c>
      <c r="X347" s="53" t="str">
        <f aca="false">IF(OR($A347&gt;TOMATO_BED_CAP,$B347&gt;CARROT_BED_CAP,X$4&gt;MESCLUN_BED_CAP,$A347+$B347+X$4&gt;TOTAL_BEDS_AVAILABLE,($D347+X$5)&gt;TOTAL_LABOR_HOURS_CAP,MAX(0,($D347+X$5)-PERMANENT_FIELD_LABOR_HOURS)&gt;TEMP_HOURS_CAP),"",$C347+X$6-MIN(($D347+X$5),PERMANENT_FIELD_LABOR_HOURS)*PERMANENT_HOURLY_RATE-MAX(0,($D347+X$5)-PERMANENT_FIELD_LABOR_HOURS)*TEMP_HOURLY_RATE-FIXED_SEASON_COST)</f>
        <v/>
      </c>
      <c r="Y347" s="53" t="str">
        <f aca="false">IF(OR($A347&gt;TOMATO_BED_CAP,$B347&gt;CARROT_BED_CAP,Y$4&gt;MESCLUN_BED_CAP,$A347+$B347+Y$4&gt;TOTAL_BEDS_AVAILABLE,($D347+Y$5)&gt;TOTAL_LABOR_HOURS_CAP,MAX(0,($D347+Y$5)-PERMANENT_FIELD_LABOR_HOURS)&gt;TEMP_HOURS_CAP),"",$C347+Y$6-MIN(($D347+Y$5),PERMANENT_FIELD_LABOR_HOURS)*PERMANENT_HOURLY_RATE-MAX(0,($D347+Y$5)-PERMANENT_FIELD_LABOR_HOURS)*TEMP_HOURLY_RATE-FIXED_SEASON_COST)</f>
        <v/>
      </c>
      <c r="Z347" s="53" t="str">
        <f aca="false">IF(OR($A347&gt;TOMATO_BED_CAP,$B347&gt;CARROT_BED_CAP,Z$4&gt;MESCLUN_BED_CAP,$A347+$B347+Z$4&gt;TOTAL_BEDS_AVAILABLE,($D347+Z$5)&gt;TOTAL_LABOR_HOURS_CAP,MAX(0,($D347+Z$5)-PERMANENT_FIELD_LABOR_HOURS)&gt;TEMP_HOURS_CAP),"",$C347+Z$6-MIN(($D347+Z$5),PERMANENT_FIELD_LABOR_HOURS)*PERMANENT_HOURLY_RATE-MAX(0,($D347+Z$5)-PERMANENT_FIELD_LABOR_HOURS)*TEMP_HOURLY_RATE-FIXED_SEASON_COST)</f>
        <v/>
      </c>
      <c r="AA347" s="53" t="str">
        <f aca="false">IF(OR($A347&gt;TOMATO_BED_CAP,$B347&gt;CARROT_BED_CAP,AA$4&gt;MESCLUN_BED_CAP,$A347+$B347+AA$4&gt;TOTAL_BEDS_AVAILABLE,($D347+AA$5)&gt;TOTAL_LABOR_HOURS_CAP,MAX(0,($D347+AA$5)-PERMANENT_FIELD_LABOR_HOURS)&gt;TEMP_HOURS_CAP),"",$C347+AA$6-MIN(($D347+AA$5),PERMANENT_FIELD_LABOR_HOURS)*PERMANENT_HOURLY_RATE-MAX(0,($D347+AA$5)-PERMANENT_FIELD_LABOR_HOURS)*TEMP_HOURLY_RATE-FIXED_SEASON_COST)</f>
        <v/>
      </c>
      <c r="AB347" s="53" t="str">
        <f aca="false">IF(OR($A347&gt;TOMATO_BED_CAP,$B347&gt;CARROT_BED_CAP,AB$4&gt;MESCLUN_BED_CAP,$A347+$B347+AB$4&gt;TOTAL_BEDS_AVAILABLE,($D347+AB$5)&gt;TOTAL_LABOR_HOURS_CAP,MAX(0,($D347+AB$5)-PERMANENT_FIELD_LABOR_HOURS)&gt;TEMP_HOURS_CAP),"",$C347+AB$6-MIN(($D347+AB$5),PERMANENT_FIELD_LABOR_HOURS)*PERMANENT_HOURLY_RATE-MAX(0,($D347+AB$5)-PERMANENT_FIELD_LABOR_HOURS)*TEMP_HOURLY_RATE-FIXED_SEASON_COST)</f>
        <v/>
      </c>
      <c r="AC347" s="53" t="str">
        <f aca="false">IF(OR($A347&gt;TOMATO_BED_CAP,$B347&gt;CARROT_BED_CAP,AC$4&gt;MESCLUN_BED_CAP,$A347+$B347+AC$4&gt;TOTAL_BEDS_AVAILABLE,($D347+AC$5)&gt;TOTAL_LABOR_HOURS_CAP,MAX(0,($D347+AC$5)-PERMANENT_FIELD_LABOR_HOURS)&gt;TEMP_HOURS_CAP),"",$C347+AC$6-MIN(($D347+AC$5),PERMANENT_FIELD_LABOR_HOURS)*PERMANENT_HOURLY_RATE-MAX(0,($D347+AC$5)-PERMANENT_FIELD_LABOR_HOURS)*TEMP_HOURLY_RATE-FIXED_SEASON_COST)</f>
        <v/>
      </c>
      <c r="AD347" s="53" t="str">
        <f aca="false">IF(OR($A347&gt;TOMATO_BED_CAP,$B347&gt;CARROT_BED_CAP,AD$4&gt;MESCLUN_BED_CAP,$A347+$B347+AD$4&gt;TOTAL_BEDS_AVAILABLE,($D347+AD$5)&gt;TOTAL_LABOR_HOURS_CAP,MAX(0,($D347+AD$5)-PERMANENT_FIELD_LABOR_HOURS)&gt;TEMP_HOURS_CAP),"",$C347+AD$6-MIN(($D347+AD$5),PERMANENT_FIELD_LABOR_HOURS)*PERMANENT_HOURLY_RATE-MAX(0,($D347+AD$5)-PERMANENT_FIELD_LABOR_HOURS)*TEMP_HOURLY_RATE-FIXED_SEASON_COST)</f>
        <v/>
      </c>
      <c r="AE347" s="53" t="str">
        <f aca="false">IF(OR($A347&gt;TOMATO_BED_CAP,$B347&gt;CARROT_BED_CAP,AE$4&gt;MESCLUN_BED_CAP,$A347+$B347+AE$4&gt;TOTAL_BEDS_AVAILABLE,($D347+AE$5)&gt;TOTAL_LABOR_HOURS_CAP,MAX(0,($D347+AE$5)-PERMANENT_FIELD_LABOR_HOURS)&gt;TEMP_HOURS_CAP),"",$C347+AE$6-MIN(($D347+AE$5),PERMANENT_FIELD_LABOR_HOURS)*PERMANENT_HOURLY_RATE-MAX(0,($D347+AE$5)-PERMANENT_FIELD_LABOR_HOURS)*TEMP_HOURLY_RATE-FIXED_SEASON_COST)</f>
        <v/>
      </c>
      <c r="AF347" s="53" t="str">
        <f aca="false">IF(OR($A347&gt;TOMATO_BED_CAP,$B347&gt;CARROT_BED_CAP,AF$4&gt;MESCLUN_BED_CAP,$A347+$B347+AF$4&gt;TOTAL_BEDS_AVAILABLE,($D347+AF$5)&gt;TOTAL_LABOR_HOURS_CAP,MAX(0,($D347+AF$5)-PERMANENT_FIELD_LABOR_HOURS)&gt;TEMP_HOURS_CAP),"",$C347+AF$6-MIN(($D347+AF$5),PERMANENT_FIELD_LABOR_HOURS)*PERMANENT_HOURLY_RATE-MAX(0,($D347+AF$5)-PERMANENT_FIELD_LABOR_HOURS)*TEMP_HOURLY_RATE-FIXED_SEASON_COST)</f>
        <v/>
      </c>
      <c r="AG347" s="53" t="str">
        <f aca="false">IF(OR($A347&gt;TOMATO_BED_CAP,$B347&gt;CARROT_BED_CAP,AG$4&gt;MESCLUN_BED_CAP,$A347+$B347+AG$4&gt;TOTAL_BEDS_AVAILABLE,($D347+AG$5)&gt;TOTAL_LABOR_HOURS_CAP,MAX(0,($D347+AG$5)-PERMANENT_FIELD_LABOR_HOURS)&gt;TEMP_HOURS_CAP),"",$C347+AG$6-MIN(($D347+AG$5),PERMANENT_FIELD_LABOR_HOURS)*PERMANENT_HOURLY_RATE-MAX(0,($D347+AG$5)-PERMANENT_FIELD_LABOR_HOURS)*TEMP_HOURLY_RATE-FIXED_SEASON_COST)</f>
        <v/>
      </c>
      <c r="AH347" s="53" t="str">
        <f aca="false">IF(OR($A347&gt;TOMATO_BED_CAP,$B347&gt;CARROT_BED_CAP,AH$4&gt;MESCLUN_BED_CAP,$A347+$B347+AH$4&gt;TOTAL_BEDS_AVAILABLE,($D347+AH$5)&gt;TOTAL_LABOR_HOURS_CAP,MAX(0,($D347+AH$5)-PERMANENT_FIELD_LABOR_HOURS)&gt;TEMP_HOURS_CAP),"",$C347+AH$6-MIN(($D347+AH$5),PERMANENT_FIELD_LABOR_HOURS)*PERMANENT_HOURLY_RATE-MAX(0,($D347+AH$5)-PERMANENT_FIELD_LABOR_HOURS)*TEMP_HOURLY_RATE-FIXED_SEASON_COST)</f>
        <v/>
      </c>
      <c r="AI347" s="53" t="str">
        <f aca="false">IF(OR($A347&gt;TOMATO_BED_CAP,$B347&gt;CARROT_BED_CAP,AI$4&gt;MESCLUN_BED_CAP,$A347+$B347+AI$4&gt;TOTAL_BEDS_AVAILABLE,($D347+AI$5)&gt;TOTAL_LABOR_HOURS_CAP,MAX(0,($D347+AI$5)-PERMANENT_FIELD_LABOR_HOURS)&gt;TEMP_HOURS_CAP),"",$C347+AI$6-MIN(($D347+AI$5),PERMANENT_FIELD_LABOR_HOURS)*PERMANENT_HOURLY_RATE-MAX(0,($D347+AI$5)-PERMANENT_FIELD_LABOR_HOURS)*TEMP_HOURLY_RATE-FIXED_SEASON_COST)</f>
        <v/>
      </c>
      <c r="AJ347" s="53" t="str">
        <f aca="false">IF(OR($A347&gt;TOMATO_BED_CAP,$B347&gt;CARROT_BED_CAP,AJ$4&gt;MESCLUN_BED_CAP,$A347+$B347+AJ$4&gt;TOTAL_BEDS_AVAILABLE,($D347+AJ$5)&gt;TOTAL_LABOR_HOURS_CAP,MAX(0,($D347+AJ$5)-PERMANENT_FIELD_LABOR_HOURS)&gt;TEMP_HOURS_CAP),"",$C347+AJ$6-MIN(($D347+AJ$5),PERMANENT_FIELD_LABOR_HOURS)*PERMANENT_HOURLY_RATE-MAX(0,($D347+AJ$5)-PERMANENT_FIELD_LABOR_HOURS)*TEMP_HOURLY_RATE-FIXED_SEASON_COST)</f>
        <v/>
      </c>
    </row>
    <row r="348" customFormat="false" ht="15" hidden="false" customHeight="false" outlineLevel="0" collapsed="false">
      <c r="A348" s="21" t="n">
        <f aca="false">INT((ROW()-ROW($A$8))/(20+1))</f>
        <v>16</v>
      </c>
      <c r="B348" s="21" t="n">
        <f aca="false">MOD(ROW()-ROW($A$8),20+1)</f>
        <v>4</v>
      </c>
      <c r="C348" s="13" t="n">
        <f aca="false">A348*(TOMATO_REVENUE_PER_BED-TOMATO_FERTILIZER_PER_BED)+B348*(CARROT_REVENUE_PER_BED-CARROT_FERTILIZER_PER_BED)</f>
        <v>133336</v>
      </c>
      <c r="D348" s="14" t="n">
        <f aca="false">INDEX(TOMATO_SCHED_LABOR_HRS,A348+1)+INDEX(CARROT_SCHED_LABOR_HRS,B348+1)</f>
        <v>6749.16566421065</v>
      </c>
      <c r="E348" s="13" t="str">
        <f aca="false">IF(COUNT(F348:AJ348)=0,"",MAX(F348:AJ348))</f>
        <v/>
      </c>
      <c r="F348" s="53" t="str">
        <f aca="false">IF(OR($A348&gt;TOMATO_BED_CAP,$B348&gt;CARROT_BED_CAP,F$4&gt;MESCLUN_BED_CAP,$A348+$B348+F$4&gt;TOTAL_BEDS_AVAILABLE,($D348+F$5)&gt;TOTAL_LABOR_HOURS_CAP,MAX(0,($D348+F$5)-PERMANENT_FIELD_LABOR_HOURS)&gt;TEMP_HOURS_CAP),"",$C348+F$6-MIN(($D348+F$5),PERMANENT_FIELD_LABOR_HOURS)*PERMANENT_HOURLY_RATE-MAX(0,($D348+F$5)-PERMANENT_FIELD_LABOR_HOURS)*TEMP_HOURLY_RATE-FIXED_SEASON_COST)</f>
        <v/>
      </c>
      <c r="G348" s="53" t="str">
        <f aca="false">IF(OR($A348&gt;TOMATO_BED_CAP,$B348&gt;CARROT_BED_CAP,G$4&gt;MESCLUN_BED_CAP,$A348+$B348+G$4&gt;TOTAL_BEDS_AVAILABLE,($D348+G$5)&gt;TOTAL_LABOR_HOURS_CAP,MAX(0,($D348+G$5)-PERMANENT_FIELD_LABOR_HOURS)&gt;TEMP_HOURS_CAP),"",$C348+G$6-MIN(($D348+G$5),PERMANENT_FIELD_LABOR_HOURS)*PERMANENT_HOURLY_RATE-MAX(0,($D348+G$5)-PERMANENT_FIELD_LABOR_HOURS)*TEMP_HOURLY_RATE-FIXED_SEASON_COST)</f>
        <v/>
      </c>
      <c r="H348" s="53" t="str">
        <f aca="false">IF(OR($A348&gt;TOMATO_BED_CAP,$B348&gt;CARROT_BED_CAP,H$4&gt;MESCLUN_BED_CAP,$A348+$B348+H$4&gt;TOTAL_BEDS_AVAILABLE,($D348+H$5)&gt;TOTAL_LABOR_HOURS_CAP,MAX(0,($D348+H$5)-PERMANENT_FIELD_LABOR_HOURS)&gt;TEMP_HOURS_CAP),"",$C348+H$6-MIN(($D348+H$5),PERMANENT_FIELD_LABOR_HOURS)*PERMANENT_HOURLY_RATE-MAX(0,($D348+H$5)-PERMANENT_FIELD_LABOR_HOURS)*TEMP_HOURLY_RATE-FIXED_SEASON_COST)</f>
        <v/>
      </c>
      <c r="I348" s="53" t="str">
        <f aca="false">IF(OR($A348&gt;TOMATO_BED_CAP,$B348&gt;CARROT_BED_CAP,I$4&gt;MESCLUN_BED_CAP,$A348+$B348+I$4&gt;TOTAL_BEDS_AVAILABLE,($D348+I$5)&gt;TOTAL_LABOR_HOURS_CAP,MAX(0,($D348+I$5)-PERMANENT_FIELD_LABOR_HOURS)&gt;TEMP_HOURS_CAP),"",$C348+I$6-MIN(($D348+I$5),PERMANENT_FIELD_LABOR_HOURS)*PERMANENT_HOURLY_RATE-MAX(0,($D348+I$5)-PERMANENT_FIELD_LABOR_HOURS)*TEMP_HOURLY_RATE-FIXED_SEASON_COST)</f>
        <v/>
      </c>
      <c r="J348" s="53" t="str">
        <f aca="false">IF(OR($A348&gt;TOMATO_BED_CAP,$B348&gt;CARROT_BED_CAP,J$4&gt;MESCLUN_BED_CAP,$A348+$B348+J$4&gt;TOTAL_BEDS_AVAILABLE,($D348+J$5)&gt;TOTAL_LABOR_HOURS_CAP,MAX(0,($D348+J$5)-PERMANENT_FIELD_LABOR_HOURS)&gt;TEMP_HOURS_CAP),"",$C348+J$6-MIN(($D348+J$5),PERMANENT_FIELD_LABOR_HOURS)*PERMANENT_HOURLY_RATE-MAX(0,($D348+J$5)-PERMANENT_FIELD_LABOR_HOURS)*TEMP_HOURLY_RATE-FIXED_SEASON_COST)</f>
        <v/>
      </c>
      <c r="K348" s="53" t="str">
        <f aca="false">IF(OR($A348&gt;TOMATO_BED_CAP,$B348&gt;CARROT_BED_CAP,K$4&gt;MESCLUN_BED_CAP,$A348+$B348+K$4&gt;TOTAL_BEDS_AVAILABLE,($D348+K$5)&gt;TOTAL_LABOR_HOURS_CAP,MAX(0,($D348+K$5)-PERMANENT_FIELD_LABOR_HOURS)&gt;TEMP_HOURS_CAP),"",$C348+K$6-MIN(($D348+K$5),PERMANENT_FIELD_LABOR_HOURS)*PERMANENT_HOURLY_RATE-MAX(0,($D348+K$5)-PERMANENT_FIELD_LABOR_HOURS)*TEMP_HOURLY_RATE-FIXED_SEASON_COST)</f>
        <v/>
      </c>
      <c r="L348" s="53" t="str">
        <f aca="false">IF(OR($A348&gt;TOMATO_BED_CAP,$B348&gt;CARROT_BED_CAP,L$4&gt;MESCLUN_BED_CAP,$A348+$B348+L$4&gt;TOTAL_BEDS_AVAILABLE,($D348+L$5)&gt;TOTAL_LABOR_HOURS_CAP,MAX(0,($D348+L$5)-PERMANENT_FIELD_LABOR_HOURS)&gt;TEMP_HOURS_CAP),"",$C348+L$6-MIN(($D348+L$5),PERMANENT_FIELD_LABOR_HOURS)*PERMANENT_HOURLY_RATE-MAX(0,($D348+L$5)-PERMANENT_FIELD_LABOR_HOURS)*TEMP_HOURLY_RATE-FIXED_SEASON_COST)</f>
        <v/>
      </c>
      <c r="M348" s="53" t="str">
        <f aca="false">IF(OR($A348&gt;TOMATO_BED_CAP,$B348&gt;CARROT_BED_CAP,M$4&gt;MESCLUN_BED_CAP,$A348+$B348+M$4&gt;TOTAL_BEDS_AVAILABLE,($D348+M$5)&gt;TOTAL_LABOR_HOURS_CAP,MAX(0,($D348+M$5)-PERMANENT_FIELD_LABOR_HOURS)&gt;TEMP_HOURS_CAP),"",$C348+M$6-MIN(($D348+M$5),PERMANENT_FIELD_LABOR_HOURS)*PERMANENT_HOURLY_RATE-MAX(0,($D348+M$5)-PERMANENT_FIELD_LABOR_HOURS)*TEMP_HOURLY_RATE-FIXED_SEASON_COST)</f>
        <v/>
      </c>
      <c r="N348" s="53" t="str">
        <f aca="false">IF(OR($A348&gt;TOMATO_BED_CAP,$B348&gt;CARROT_BED_CAP,N$4&gt;MESCLUN_BED_CAP,$A348+$B348+N$4&gt;TOTAL_BEDS_AVAILABLE,($D348+N$5)&gt;TOTAL_LABOR_HOURS_CAP,MAX(0,($D348+N$5)-PERMANENT_FIELD_LABOR_HOURS)&gt;TEMP_HOURS_CAP),"",$C348+N$6-MIN(($D348+N$5),PERMANENT_FIELD_LABOR_HOURS)*PERMANENT_HOURLY_RATE-MAX(0,($D348+N$5)-PERMANENT_FIELD_LABOR_HOURS)*TEMP_HOURLY_RATE-FIXED_SEASON_COST)</f>
        <v/>
      </c>
      <c r="O348" s="53" t="str">
        <f aca="false">IF(OR($A348&gt;TOMATO_BED_CAP,$B348&gt;CARROT_BED_CAP,O$4&gt;MESCLUN_BED_CAP,$A348+$B348+O$4&gt;TOTAL_BEDS_AVAILABLE,($D348+O$5)&gt;TOTAL_LABOR_HOURS_CAP,MAX(0,($D348+O$5)-PERMANENT_FIELD_LABOR_HOURS)&gt;TEMP_HOURS_CAP),"",$C348+O$6-MIN(($D348+O$5),PERMANENT_FIELD_LABOR_HOURS)*PERMANENT_HOURLY_RATE-MAX(0,($D348+O$5)-PERMANENT_FIELD_LABOR_HOURS)*TEMP_HOURLY_RATE-FIXED_SEASON_COST)</f>
        <v/>
      </c>
      <c r="P348" s="53" t="str">
        <f aca="false">IF(OR($A348&gt;TOMATO_BED_CAP,$B348&gt;CARROT_BED_CAP,P$4&gt;MESCLUN_BED_CAP,$A348+$B348+P$4&gt;TOTAL_BEDS_AVAILABLE,($D348+P$5)&gt;TOTAL_LABOR_HOURS_CAP,MAX(0,($D348+P$5)-PERMANENT_FIELD_LABOR_HOURS)&gt;TEMP_HOURS_CAP),"",$C348+P$6-MIN(($D348+P$5),PERMANENT_FIELD_LABOR_HOURS)*PERMANENT_HOURLY_RATE-MAX(0,($D348+P$5)-PERMANENT_FIELD_LABOR_HOURS)*TEMP_HOURLY_RATE-FIXED_SEASON_COST)</f>
        <v/>
      </c>
      <c r="Q348" s="53" t="str">
        <f aca="false">IF(OR($A348&gt;TOMATO_BED_CAP,$B348&gt;CARROT_BED_CAP,Q$4&gt;MESCLUN_BED_CAP,$A348+$B348+Q$4&gt;TOTAL_BEDS_AVAILABLE,($D348+Q$5)&gt;TOTAL_LABOR_HOURS_CAP,MAX(0,($D348+Q$5)-PERMANENT_FIELD_LABOR_HOURS)&gt;TEMP_HOURS_CAP),"",$C348+Q$6-MIN(($D348+Q$5),PERMANENT_FIELD_LABOR_HOURS)*PERMANENT_HOURLY_RATE-MAX(0,($D348+Q$5)-PERMANENT_FIELD_LABOR_HOURS)*TEMP_HOURLY_RATE-FIXED_SEASON_COST)</f>
        <v/>
      </c>
      <c r="R348" s="53" t="str">
        <f aca="false">IF(OR($A348&gt;TOMATO_BED_CAP,$B348&gt;CARROT_BED_CAP,R$4&gt;MESCLUN_BED_CAP,$A348+$B348+R$4&gt;TOTAL_BEDS_AVAILABLE,($D348+R$5)&gt;TOTAL_LABOR_HOURS_CAP,MAX(0,($D348+R$5)-PERMANENT_FIELD_LABOR_HOURS)&gt;TEMP_HOURS_CAP),"",$C348+R$6-MIN(($D348+R$5),PERMANENT_FIELD_LABOR_HOURS)*PERMANENT_HOURLY_RATE-MAX(0,($D348+R$5)-PERMANENT_FIELD_LABOR_HOURS)*TEMP_HOURLY_RATE-FIXED_SEASON_COST)</f>
        <v/>
      </c>
      <c r="S348" s="53" t="str">
        <f aca="false">IF(OR($A348&gt;TOMATO_BED_CAP,$B348&gt;CARROT_BED_CAP,S$4&gt;MESCLUN_BED_CAP,$A348+$B348+S$4&gt;TOTAL_BEDS_AVAILABLE,($D348+S$5)&gt;TOTAL_LABOR_HOURS_CAP,MAX(0,($D348+S$5)-PERMANENT_FIELD_LABOR_HOURS)&gt;TEMP_HOURS_CAP),"",$C348+S$6-MIN(($D348+S$5),PERMANENT_FIELD_LABOR_HOURS)*PERMANENT_HOURLY_RATE-MAX(0,($D348+S$5)-PERMANENT_FIELD_LABOR_HOURS)*TEMP_HOURLY_RATE-FIXED_SEASON_COST)</f>
        <v/>
      </c>
      <c r="T348" s="53" t="str">
        <f aca="false">IF(OR($A348&gt;TOMATO_BED_CAP,$B348&gt;CARROT_BED_CAP,T$4&gt;MESCLUN_BED_CAP,$A348+$B348+T$4&gt;TOTAL_BEDS_AVAILABLE,($D348+T$5)&gt;TOTAL_LABOR_HOURS_CAP,MAX(0,($D348+T$5)-PERMANENT_FIELD_LABOR_HOURS)&gt;TEMP_HOURS_CAP),"",$C348+T$6-MIN(($D348+T$5),PERMANENT_FIELD_LABOR_HOURS)*PERMANENT_HOURLY_RATE-MAX(0,($D348+T$5)-PERMANENT_FIELD_LABOR_HOURS)*TEMP_HOURLY_RATE-FIXED_SEASON_COST)</f>
        <v/>
      </c>
      <c r="U348" s="53" t="str">
        <f aca="false">IF(OR($A348&gt;TOMATO_BED_CAP,$B348&gt;CARROT_BED_CAP,U$4&gt;MESCLUN_BED_CAP,$A348+$B348+U$4&gt;TOTAL_BEDS_AVAILABLE,($D348+U$5)&gt;TOTAL_LABOR_HOURS_CAP,MAX(0,($D348+U$5)-PERMANENT_FIELD_LABOR_HOURS)&gt;TEMP_HOURS_CAP),"",$C348+U$6-MIN(($D348+U$5),PERMANENT_FIELD_LABOR_HOURS)*PERMANENT_HOURLY_RATE-MAX(0,($D348+U$5)-PERMANENT_FIELD_LABOR_HOURS)*TEMP_HOURLY_RATE-FIXED_SEASON_COST)</f>
        <v/>
      </c>
      <c r="V348" s="53" t="str">
        <f aca="false">IF(OR($A348&gt;TOMATO_BED_CAP,$B348&gt;CARROT_BED_CAP,V$4&gt;MESCLUN_BED_CAP,$A348+$B348+V$4&gt;TOTAL_BEDS_AVAILABLE,($D348+V$5)&gt;TOTAL_LABOR_HOURS_CAP,MAX(0,($D348+V$5)-PERMANENT_FIELD_LABOR_HOURS)&gt;TEMP_HOURS_CAP),"",$C348+V$6-MIN(($D348+V$5),PERMANENT_FIELD_LABOR_HOURS)*PERMANENT_HOURLY_RATE-MAX(0,($D348+V$5)-PERMANENT_FIELD_LABOR_HOURS)*TEMP_HOURLY_RATE-FIXED_SEASON_COST)</f>
        <v/>
      </c>
      <c r="W348" s="53" t="str">
        <f aca="false">IF(OR($A348&gt;TOMATO_BED_CAP,$B348&gt;CARROT_BED_CAP,W$4&gt;MESCLUN_BED_CAP,$A348+$B348+W$4&gt;TOTAL_BEDS_AVAILABLE,($D348+W$5)&gt;TOTAL_LABOR_HOURS_CAP,MAX(0,($D348+W$5)-PERMANENT_FIELD_LABOR_HOURS)&gt;TEMP_HOURS_CAP),"",$C348+W$6-MIN(($D348+W$5),PERMANENT_FIELD_LABOR_HOURS)*PERMANENT_HOURLY_RATE-MAX(0,($D348+W$5)-PERMANENT_FIELD_LABOR_HOURS)*TEMP_HOURLY_RATE-FIXED_SEASON_COST)</f>
        <v/>
      </c>
      <c r="X348" s="53" t="str">
        <f aca="false">IF(OR($A348&gt;TOMATO_BED_CAP,$B348&gt;CARROT_BED_CAP,X$4&gt;MESCLUN_BED_CAP,$A348+$B348+X$4&gt;TOTAL_BEDS_AVAILABLE,($D348+X$5)&gt;TOTAL_LABOR_HOURS_CAP,MAX(0,($D348+X$5)-PERMANENT_FIELD_LABOR_HOURS)&gt;TEMP_HOURS_CAP),"",$C348+X$6-MIN(($D348+X$5),PERMANENT_FIELD_LABOR_HOURS)*PERMANENT_HOURLY_RATE-MAX(0,($D348+X$5)-PERMANENT_FIELD_LABOR_HOURS)*TEMP_HOURLY_RATE-FIXED_SEASON_COST)</f>
        <v/>
      </c>
      <c r="Y348" s="53" t="str">
        <f aca="false">IF(OR($A348&gt;TOMATO_BED_CAP,$B348&gt;CARROT_BED_CAP,Y$4&gt;MESCLUN_BED_CAP,$A348+$B348+Y$4&gt;TOTAL_BEDS_AVAILABLE,($D348+Y$5)&gt;TOTAL_LABOR_HOURS_CAP,MAX(0,($D348+Y$5)-PERMANENT_FIELD_LABOR_HOURS)&gt;TEMP_HOURS_CAP),"",$C348+Y$6-MIN(($D348+Y$5),PERMANENT_FIELD_LABOR_HOURS)*PERMANENT_HOURLY_RATE-MAX(0,($D348+Y$5)-PERMANENT_FIELD_LABOR_HOURS)*TEMP_HOURLY_RATE-FIXED_SEASON_COST)</f>
        <v/>
      </c>
      <c r="Z348" s="53" t="str">
        <f aca="false">IF(OR($A348&gt;TOMATO_BED_CAP,$B348&gt;CARROT_BED_CAP,Z$4&gt;MESCLUN_BED_CAP,$A348+$B348+Z$4&gt;TOTAL_BEDS_AVAILABLE,($D348+Z$5)&gt;TOTAL_LABOR_HOURS_CAP,MAX(0,($D348+Z$5)-PERMANENT_FIELD_LABOR_HOURS)&gt;TEMP_HOURS_CAP),"",$C348+Z$6-MIN(($D348+Z$5),PERMANENT_FIELD_LABOR_HOURS)*PERMANENT_HOURLY_RATE-MAX(0,($D348+Z$5)-PERMANENT_FIELD_LABOR_HOURS)*TEMP_HOURLY_RATE-FIXED_SEASON_COST)</f>
        <v/>
      </c>
      <c r="AA348" s="53" t="str">
        <f aca="false">IF(OR($A348&gt;TOMATO_BED_CAP,$B348&gt;CARROT_BED_CAP,AA$4&gt;MESCLUN_BED_CAP,$A348+$B348+AA$4&gt;TOTAL_BEDS_AVAILABLE,($D348+AA$5)&gt;TOTAL_LABOR_HOURS_CAP,MAX(0,($D348+AA$5)-PERMANENT_FIELD_LABOR_HOURS)&gt;TEMP_HOURS_CAP),"",$C348+AA$6-MIN(($D348+AA$5),PERMANENT_FIELD_LABOR_HOURS)*PERMANENT_HOURLY_RATE-MAX(0,($D348+AA$5)-PERMANENT_FIELD_LABOR_HOURS)*TEMP_HOURLY_RATE-FIXED_SEASON_COST)</f>
        <v/>
      </c>
      <c r="AB348" s="53" t="str">
        <f aca="false">IF(OR($A348&gt;TOMATO_BED_CAP,$B348&gt;CARROT_BED_CAP,AB$4&gt;MESCLUN_BED_CAP,$A348+$B348+AB$4&gt;TOTAL_BEDS_AVAILABLE,($D348+AB$5)&gt;TOTAL_LABOR_HOURS_CAP,MAX(0,($D348+AB$5)-PERMANENT_FIELD_LABOR_HOURS)&gt;TEMP_HOURS_CAP),"",$C348+AB$6-MIN(($D348+AB$5),PERMANENT_FIELD_LABOR_HOURS)*PERMANENT_HOURLY_RATE-MAX(0,($D348+AB$5)-PERMANENT_FIELD_LABOR_HOURS)*TEMP_HOURLY_RATE-FIXED_SEASON_COST)</f>
        <v/>
      </c>
      <c r="AC348" s="53" t="str">
        <f aca="false">IF(OR($A348&gt;TOMATO_BED_CAP,$B348&gt;CARROT_BED_CAP,AC$4&gt;MESCLUN_BED_CAP,$A348+$B348+AC$4&gt;TOTAL_BEDS_AVAILABLE,($D348+AC$5)&gt;TOTAL_LABOR_HOURS_CAP,MAX(0,($D348+AC$5)-PERMANENT_FIELD_LABOR_HOURS)&gt;TEMP_HOURS_CAP),"",$C348+AC$6-MIN(($D348+AC$5),PERMANENT_FIELD_LABOR_HOURS)*PERMANENT_HOURLY_RATE-MAX(0,($D348+AC$5)-PERMANENT_FIELD_LABOR_HOURS)*TEMP_HOURLY_RATE-FIXED_SEASON_COST)</f>
        <v/>
      </c>
      <c r="AD348" s="53" t="str">
        <f aca="false">IF(OR($A348&gt;TOMATO_BED_CAP,$B348&gt;CARROT_BED_CAP,AD$4&gt;MESCLUN_BED_CAP,$A348+$B348+AD$4&gt;TOTAL_BEDS_AVAILABLE,($D348+AD$5)&gt;TOTAL_LABOR_HOURS_CAP,MAX(0,($D348+AD$5)-PERMANENT_FIELD_LABOR_HOURS)&gt;TEMP_HOURS_CAP),"",$C348+AD$6-MIN(($D348+AD$5),PERMANENT_FIELD_LABOR_HOURS)*PERMANENT_HOURLY_RATE-MAX(0,($D348+AD$5)-PERMANENT_FIELD_LABOR_HOURS)*TEMP_HOURLY_RATE-FIXED_SEASON_COST)</f>
        <v/>
      </c>
      <c r="AE348" s="53" t="str">
        <f aca="false">IF(OR($A348&gt;TOMATO_BED_CAP,$B348&gt;CARROT_BED_CAP,AE$4&gt;MESCLUN_BED_CAP,$A348+$B348+AE$4&gt;TOTAL_BEDS_AVAILABLE,($D348+AE$5)&gt;TOTAL_LABOR_HOURS_CAP,MAX(0,($D348+AE$5)-PERMANENT_FIELD_LABOR_HOURS)&gt;TEMP_HOURS_CAP),"",$C348+AE$6-MIN(($D348+AE$5),PERMANENT_FIELD_LABOR_HOURS)*PERMANENT_HOURLY_RATE-MAX(0,($D348+AE$5)-PERMANENT_FIELD_LABOR_HOURS)*TEMP_HOURLY_RATE-FIXED_SEASON_COST)</f>
        <v/>
      </c>
      <c r="AF348" s="53" t="str">
        <f aca="false">IF(OR($A348&gt;TOMATO_BED_CAP,$B348&gt;CARROT_BED_CAP,AF$4&gt;MESCLUN_BED_CAP,$A348+$B348+AF$4&gt;TOTAL_BEDS_AVAILABLE,($D348+AF$5)&gt;TOTAL_LABOR_HOURS_CAP,MAX(0,($D348+AF$5)-PERMANENT_FIELD_LABOR_HOURS)&gt;TEMP_HOURS_CAP),"",$C348+AF$6-MIN(($D348+AF$5),PERMANENT_FIELD_LABOR_HOURS)*PERMANENT_HOURLY_RATE-MAX(0,($D348+AF$5)-PERMANENT_FIELD_LABOR_HOURS)*TEMP_HOURLY_RATE-FIXED_SEASON_COST)</f>
        <v/>
      </c>
      <c r="AG348" s="53" t="str">
        <f aca="false">IF(OR($A348&gt;TOMATO_BED_CAP,$B348&gt;CARROT_BED_CAP,AG$4&gt;MESCLUN_BED_CAP,$A348+$B348+AG$4&gt;TOTAL_BEDS_AVAILABLE,($D348+AG$5)&gt;TOTAL_LABOR_HOURS_CAP,MAX(0,($D348+AG$5)-PERMANENT_FIELD_LABOR_HOURS)&gt;TEMP_HOURS_CAP),"",$C348+AG$6-MIN(($D348+AG$5),PERMANENT_FIELD_LABOR_HOURS)*PERMANENT_HOURLY_RATE-MAX(0,($D348+AG$5)-PERMANENT_FIELD_LABOR_HOURS)*TEMP_HOURLY_RATE-FIXED_SEASON_COST)</f>
        <v/>
      </c>
      <c r="AH348" s="53" t="str">
        <f aca="false">IF(OR($A348&gt;TOMATO_BED_CAP,$B348&gt;CARROT_BED_CAP,AH$4&gt;MESCLUN_BED_CAP,$A348+$B348+AH$4&gt;TOTAL_BEDS_AVAILABLE,($D348+AH$5)&gt;TOTAL_LABOR_HOURS_CAP,MAX(0,($D348+AH$5)-PERMANENT_FIELD_LABOR_HOURS)&gt;TEMP_HOURS_CAP),"",$C348+AH$6-MIN(($D348+AH$5),PERMANENT_FIELD_LABOR_HOURS)*PERMANENT_HOURLY_RATE-MAX(0,($D348+AH$5)-PERMANENT_FIELD_LABOR_HOURS)*TEMP_HOURLY_RATE-FIXED_SEASON_COST)</f>
        <v/>
      </c>
      <c r="AI348" s="53" t="str">
        <f aca="false">IF(OR($A348&gt;TOMATO_BED_CAP,$B348&gt;CARROT_BED_CAP,AI$4&gt;MESCLUN_BED_CAP,$A348+$B348+AI$4&gt;TOTAL_BEDS_AVAILABLE,($D348+AI$5)&gt;TOTAL_LABOR_HOURS_CAP,MAX(0,($D348+AI$5)-PERMANENT_FIELD_LABOR_HOURS)&gt;TEMP_HOURS_CAP),"",$C348+AI$6-MIN(($D348+AI$5),PERMANENT_FIELD_LABOR_HOURS)*PERMANENT_HOURLY_RATE-MAX(0,($D348+AI$5)-PERMANENT_FIELD_LABOR_HOURS)*TEMP_HOURLY_RATE-FIXED_SEASON_COST)</f>
        <v/>
      </c>
      <c r="AJ348" s="53" t="str">
        <f aca="false">IF(OR($A348&gt;TOMATO_BED_CAP,$B348&gt;CARROT_BED_CAP,AJ$4&gt;MESCLUN_BED_CAP,$A348+$B348+AJ$4&gt;TOTAL_BEDS_AVAILABLE,($D348+AJ$5)&gt;TOTAL_LABOR_HOURS_CAP,MAX(0,($D348+AJ$5)-PERMANENT_FIELD_LABOR_HOURS)&gt;TEMP_HOURS_CAP),"",$C348+AJ$6-MIN(($D348+AJ$5),PERMANENT_FIELD_LABOR_HOURS)*PERMANENT_HOURLY_RATE-MAX(0,($D348+AJ$5)-PERMANENT_FIELD_LABOR_HOURS)*TEMP_HOURLY_RATE-FIXED_SEASON_COST)</f>
        <v/>
      </c>
    </row>
    <row r="349" customFormat="false" ht="15" hidden="false" customHeight="false" outlineLevel="0" collapsed="false">
      <c r="A349" s="21" t="n">
        <f aca="false">INT((ROW()-ROW($A$8))/(20+1))</f>
        <v>16</v>
      </c>
      <c r="B349" s="21" t="n">
        <f aca="false">MOD(ROW()-ROW($A$8),20+1)</f>
        <v>5</v>
      </c>
      <c r="C349" s="13" t="n">
        <f aca="false">A349*(TOMATO_REVENUE_PER_BED-TOMATO_FERTILIZER_PER_BED)+B349*(CARROT_REVENUE_PER_BED-CARROT_FERTILIZER_PER_BED)</f>
        <v>134990</v>
      </c>
      <c r="D349" s="14" t="n">
        <f aca="false">INDEX(TOMATO_SCHED_LABOR_HRS,A349+1)+INDEX(CARROT_SCHED_LABOR_HRS,B349+1)</f>
        <v>6786.40444779522</v>
      </c>
      <c r="E349" s="13" t="str">
        <f aca="false">IF(COUNT(F349:AJ349)=0,"",MAX(F349:AJ349))</f>
        <v/>
      </c>
      <c r="F349" s="53" t="str">
        <f aca="false">IF(OR($A349&gt;TOMATO_BED_CAP,$B349&gt;CARROT_BED_CAP,F$4&gt;MESCLUN_BED_CAP,$A349+$B349+F$4&gt;TOTAL_BEDS_AVAILABLE,($D349+F$5)&gt;TOTAL_LABOR_HOURS_CAP,MAX(0,($D349+F$5)-PERMANENT_FIELD_LABOR_HOURS)&gt;TEMP_HOURS_CAP),"",$C349+F$6-MIN(($D349+F$5),PERMANENT_FIELD_LABOR_HOURS)*PERMANENT_HOURLY_RATE-MAX(0,($D349+F$5)-PERMANENT_FIELD_LABOR_HOURS)*TEMP_HOURLY_RATE-FIXED_SEASON_COST)</f>
        <v/>
      </c>
      <c r="G349" s="53" t="str">
        <f aca="false">IF(OR($A349&gt;TOMATO_BED_CAP,$B349&gt;CARROT_BED_CAP,G$4&gt;MESCLUN_BED_CAP,$A349+$B349+G$4&gt;TOTAL_BEDS_AVAILABLE,($D349+G$5)&gt;TOTAL_LABOR_HOURS_CAP,MAX(0,($D349+G$5)-PERMANENT_FIELD_LABOR_HOURS)&gt;TEMP_HOURS_CAP),"",$C349+G$6-MIN(($D349+G$5),PERMANENT_FIELD_LABOR_HOURS)*PERMANENT_HOURLY_RATE-MAX(0,($D349+G$5)-PERMANENT_FIELD_LABOR_HOURS)*TEMP_HOURLY_RATE-FIXED_SEASON_COST)</f>
        <v/>
      </c>
      <c r="H349" s="53" t="str">
        <f aca="false">IF(OR($A349&gt;TOMATO_BED_CAP,$B349&gt;CARROT_BED_CAP,H$4&gt;MESCLUN_BED_CAP,$A349+$B349+H$4&gt;TOTAL_BEDS_AVAILABLE,($D349+H$5)&gt;TOTAL_LABOR_HOURS_CAP,MAX(0,($D349+H$5)-PERMANENT_FIELD_LABOR_HOURS)&gt;TEMP_HOURS_CAP),"",$C349+H$6-MIN(($D349+H$5),PERMANENT_FIELD_LABOR_HOURS)*PERMANENT_HOURLY_RATE-MAX(0,($D349+H$5)-PERMANENT_FIELD_LABOR_HOURS)*TEMP_HOURLY_RATE-FIXED_SEASON_COST)</f>
        <v/>
      </c>
      <c r="I349" s="53" t="str">
        <f aca="false">IF(OR($A349&gt;TOMATO_BED_CAP,$B349&gt;CARROT_BED_CAP,I$4&gt;MESCLUN_BED_CAP,$A349+$B349+I$4&gt;TOTAL_BEDS_AVAILABLE,($D349+I$5)&gt;TOTAL_LABOR_HOURS_CAP,MAX(0,($D349+I$5)-PERMANENT_FIELD_LABOR_HOURS)&gt;TEMP_HOURS_CAP),"",$C349+I$6-MIN(($D349+I$5),PERMANENT_FIELD_LABOR_HOURS)*PERMANENT_HOURLY_RATE-MAX(0,($D349+I$5)-PERMANENT_FIELD_LABOR_HOURS)*TEMP_HOURLY_RATE-FIXED_SEASON_COST)</f>
        <v/>
      </c>
      <c r="J349" s="53" t="str">
        <f aca="false">IF(OR($A349&gt;TOMATO_BED_CAP,$B349&gt;CARROT_BED_CAP,J$4&gt;MESCLUN_BED_CAP,$A349+$B349+J$4&gt;TOTAL_BEDS_AVAILABLE,($D349+J$5)&gt;TOTAL_LABOR_HOURS_CAP,MAX(0,($D349+J$5)-PERMANENT_FIELD_LABOR_HOURS)&gt;TEMP_HOURS_CAP),"",$C349+J$6-MIN(($D349+J$5),PERMANENT_FIELD_LABOR_HOURS)*PERMANENT_HOURLY_RATE-MAX(0,($D349+J$5)-PERMANENT_FIELD_LABOR_HOURS)*TEMP_HOURLY_RATE-FIXED_SEASON_COST)</f>
        <v/>
      </c>
      <c r="K349" s="53" t="str">
        <f aca="false">IF(OR($A349&gt;TOMATO_BED_CAP,$B349&gt;CARROT_BED_CAP,K$4&gt;MESCLUN_BED_CAP,$A349+$B349+K$4&gt;TOTAL_BEDS_AVAILABLE,($D349+K$5)&gt;TOTAL_LABOR_HOURS_CAP,MAX(0,($D349+K$5)-PERMANENT_FIELD_LABOR_HOURS)&gt;TEMP_HOURS_CAP),"",$C349+K$6-MIN(($D349+K$5),PERMANENT_FIELD_LABOR_HOURS)*PERMANENT_HOURLY_RATE-MAX(0,($D349+K$5)-PERMANENT_FIELD_LABOR_HOURS)*TEMP_HOURLY_RATE-FIXED_SEASON_COST)</f>
        <v/>
      </c>
      <c r="L349" s="53" t="str">
        <f aca="false">IF(OR($A349&gt;TOMATO_BED_CAP,$B349&gt;CARROT_BED_CAP,L$4&gt;MESCLUN_BED_CAP,$A349+$B349+L$4&gt;TOTAL_BEDS_AVAILABLE,($D349+L$5)&gt;TOTAL_LABOR_HOURS_CAP,MAX(0,($D349+L$5)-PERMANENT_FIELD_LABOR_HOURS)&gt;TEMP_HOURS_CAP),"",$C349+L$6-MIN(($D349+L$5),PERMANENT_FIELD_LABOR_HOURS)*PERMANENT_HOURLY_RATE-MAX(0,($D349+L$5)-PERMANENT_FIELD_LABOR_HOURS)*TEMP_HOURLY_RATE-FIXED_SEASON_COST)</f>
        <v/>
      </c>
      <c r="M349" s="53" t="str">
        <f aca="false">IF(OR($A349&gt;TOMATO_BED_CAP,$B349&gt;CARROT_BED_CAP,M$4&gt;MESCLUN_BED_CAP,$A349+$B349+M$4&gt;TOTAL_BEDS_AVAILABLE,($D349+M$5)&gt;TOTAL_LABOR_HOURS_CAP,MAX(0,($D349+M$5)-PERMANENT_FIELD_LABOR_HOURS)&gt;TEMP_HOURS_CAP),"",$C349+M$6-MIN(($D349+M$5),PERMANENT_FIELD_LABOR_HOURS)*PERMANENT_HOURLY_RATE-MAX(0,($D349+M$5)-PERMANENT_FIELD_LABOR_HOURS)*TEMP_HOURLY_RATE-FIXED_SEASON_COST)</f>
        <v/>
      </c>
      <c r="N349" s="53" t="str">
        <f aca="false">IF(OR($A349&gt;TOMATO_BED_CAP,$B349&gt;CARROT_BED_CAP,N$4&gt;MESCLUN_BED_CAP,$A349+$B349+N$4&gt;TOTAL_BEDS_AVAILABLE,($D349+N$5)&gt;TOTAL_LABOR_HOURS_CAP,MAX(0,($D349+N$5)-PERMANENT_FIELD_LABOR_HOURS)&gt;TEMP_HOURS_CAP),"",$C349+N$6-MIN(($D349+N$5),PERMANENT_FIELD_LABOR_HOURS)*PERMANENT_HOURLY_RATE-MAX(0,($D349+N$5)-PERMANENT_FIELD_LABOR_HOURS)*TEMP_HOURLY_RATE-FIXED_SEASON_COST)</f>
        <v/>
      </c>
      <c r="O349" s="53" t="str">
        <f aca="false">IF(OR($A349&gt;TOMATO_BED_CAP,$B349&gt;CARROT_BED_CAP,O$4&gt;MESCLUN_BED_CAP,$A349+$B349+O$4&gt;TOTAL_BEDS_AVAILABLE,($D349+O$5)&gt;TOTAL_LABOR_HOURS_CAP,MAX(0,($D349+O$5)-PERMANENT_FIELD_LABOR_HOURS)&gt;TEMP_HOURS_CAP),"",$C349+O$6-MIN(($D349+O$5),PERMANENT_FIELD_LABOR_HOURS)*PERMANENT_HOURLY_RATE-MAX(0,($D349+O$5)-PERMANENT_FIELD_LABOR_HOURS)*TEMP_HOURLY_RATE-FIXED_SEASON_COST)</f>
        <v/>
      </c>
      <c r="P349" s="53" t="str">
        <f aca="false">IF(OR($A349&gt;TOMATO_BED_CAP,$B349&gt;CARROT_BED_CAP,P$4&gt;MESCLUN_BED_CAP,$A349+$B349+P$4&gt;TOTAL_BEDS_AVAILABLE,($D349+P$5)&gt;TOTAL_LABOR_HOURS_CAP,MAX(0,($D349+P$5)-PERMANENT_FIELD_LABOR_HOURS)&gt;TEMP_HOURS_CAP),"",$C349+P$6-MIN(($D349+P$5),PERMANENT_FIELD_LABOR_HOURS)*PERMANENT_HOURLY_RATE-MAX(0,($D349+P$5)-PERMANENT_FIELD_LABOR_HOURS)*TEMP_HOURLY_RATE-FIXED_SEASON_COST)</f>
        <v/>
      </c>
      <c r="Q349" s="53" t="str">
        <f aca="false">IF(OR($A349&gt;TOMATO_BED_CAP,$B349&gt;CARROT_BED_CAP,Q$4&gt;MESCLUN_BED_CAP,$A349+$B349+Q$4&gt;TOTAL_BEDS_AVAILABLE,($D349+Q$5)&gt;TOTAL_LABOR_HOURS_CAP,MAX(0,($D349+Q$5)-PERMANENT_FIELD_LABOR_HOURS)&gt;TEMP_HOURS_CAP),"",$C349+Q$6-MIN(($D349+Q$5),PERMANENT_FIELD_LABOR_HOURS)*PERMANENT_HOURLY_RATE-MAX(0,($D349+Q$5)-PERMANENT_FIELD_LABOR_HOURS)*TEMP_HOURLY_RATE-FIXED_SEASON_COST)</f>
        <v/>
      </c>
      <c r="R349" s="53" t="str">
        <f aca="false">IF(OR($A349&gt;TOMATO_BED_CAP,$B349&gt;CARROT_BED_CAP,R$4&gt;MESCLUN_BED_CAP,$A349+$B349+R$4&gt;TOTAL_BEDS_AVAILABLE,($D349+R$5)&gt;TOTAL_LABOR_HOURS_CAP,MAX(0,($D349+R$5)-PERMANENT_FIELD_LABOR_HOURS)&gt;TEMP_HOURS_CAP),"",$C349+R$6-MIN(($D349+R$5),PERMANENT_FIELD_LABOR_HOURS)*PERMANENT_HOURLY_RATE-MAX(0,($D349+R$5)-PERMANENT_FIELD_LABOR_HOURS)*TEMP_HOURLY_RATE-FIXED_SEASON_COST)</f>
        <v/>
      </c>
      <c r="S349" s="53" t="str">
        <f aca="false">IF(OR($A349&gt;TOMATO_BED_CAP,$B349&gt;CARROT_BED_CAP,S$4&gt;MESCLUN_BED_CAP,$A349+$B349+S$4&gt;TOTAL_BEDS_AVAILABLE,($D349+S$5)&gt;TOTAL_LABOR_HOURS_CAP,MAX(0,($D349+S$5)-PERMANENT_FIELD_LABOR_HOURS)&gt;TEMP_HOURS_CAP),"",$C349+S$6-MIN(($D349+S$5),PERMANENT_FIELD_LABOR_HOURS)*PERMANENT_HOURLY_RATE-MAX(0,($D349+S$5)-PERMANENT_FIELD_LABOR_HOURS)*TEMP_HOURLY_RATE-FIXED_SEASON_COST)</f>
        <v/>
      </c>
      <c r="T349" s="53" t="str">
        <f aca="false">IF(OR($A349&gt;TOMATO_BED_CAP,$B349&gt;CARROT_BED_CAP,T$4&gt;MESCLUN_BED_CAP,$A349+$B349+T$4&gt;TOTAL_BEDS_AVAILABLE,($D349+T$5)&gt;TOTAL_LABOR_HOURS_CAP,MAX(0,($D349+T$5)-PERMANENT_FIELD_LABOR_HOURS)&gt;TEMP_HOURS_CAP),"",$C349+T$6-MIN(($D349+T$5),PERMANENT_FIELD_LABOR_HOURS)*PERMANENT_HOURLY_RATE-MAX(0,($D349+T$5)-PERMANENT_FIELD_LABOR_HOURS)*TEMP_HOURLY_RATE-FIXED_SEASON_COST)</f>
        <v/>
      </c>
      <c r="U349" s="53" t="str">
        <f aca="false">IF(OR($A349&gt;TOMATO_BED_CAP,$B349&gt;CARROT_BED_CAP,U$4&gt;MESCLUN_BED_CAP,$A349+$B349+U$4&gt;TOTAL_BEDS_AVAILABLE,($D349+U$5)&gt;TOTAL_LABOR_HOURS_CAP,MAX(0,($D349+U$5)-PERMANENT_FIELD_LABOR_HOURS)&gt;TEMP_HOURS_CAP),"",$C349+U$6-MIN(($D349+U$5),PERMANENT_FIELD_LABOR_HOURS)*PERMANENT_HOURLY_RATE-MAX(0,($D349+U$5)-PERMANENT_FIELD_LABOR_HOURS)*TEMP_HOURLY_RATE-FIXED_SEASON_COST)</f>
        <v/>
      </c>
      <c r="V349" s="53" t="str">
        <f aca="false">IF(OR($A349&gt;TOMATO_BED_CAP,$B349&gt;CARROT_BED_CAP,V$4&gt;MESCLUN_BED_CAP,$A349+$B349+V$4&gt;TOTAL_BEDS_AVAILABLE,($D349+V$5)&gt;TOTAL_LABOR_HOURS_CAP,MAX(0,($D349+V$5)-PERMANENT_FIELD_LABOR_HOURS)&gt;TEMP_HOURS_CAP),"",$C349+V$6-MIN(($D349+V$5),PERMANENT_FIELD_LABOR_HOURS)*PERMANENT_HOURLY_RATE-MAX(0,($D349+V$5)-PERMANENT_FIELD_LABOR_HOURS)*TEMP_HOURLY_RATE-FIXED_SEASON_COST)</f>
        <v/>
      </c>
      <c r="W349" s="53" t="str">
        <f aca="false">IF(OR($A349&gt;TOMATO_BED_CAP,$B349&gt;CARROT_BED_CAP,W$4&gt;MESCLUN_BED_CAP,$A349+$B349+W$4&gt;TOTAL_BEDS_AVAILABLE,($D349+W$5)&gt;TOTAL_LABOR_HOURS_CAP,MAX(0,($D349+W$5)-PERMANENT_FIELD_LABOR_HOURS)&gt;TEMP_HOURS_CAP),"",$C349+W$6-MIN(($D349+W$5),PERMANENT_FIELD_LABOR_HOURS)*PERMANENT_HOURLY_RATE-MAX(0,($D349+W$5)-PERMANENT_FIELD_LABOR_HOURS)*TEMP_HOURLY_RATE-FIXED_SEASON_COST)</f>
        <v/>
      </c>
      <c r="X349" s="53" t="str">
        <f aca="false">IF(OR($A349&gt;TOMATO_BED_CAP,$B349&gt;CARROT_BED_CAP,X$4&gt;MESCLUN_BED_CAP,$A349+$B349+X$4&gt;TOTAL_BEDS_AVAILABLE,($D349+X$5)&gt;TOTAL_LABOR_HOURS_CAP,MAX(0,($D349+X$5)-PERMANENT_FIELD_LABOR_HOURS)&gt;TEMP_HOURS_CAP),"",$C349+X$6-MIN(($D349+X$5),PERMANENT_FIELD_LABOR_HOURS)*PERMANENT_HOURLY_RATE-MAX(0,($D349+X$5)-PERMANENT_FIELD_LABOR_HOURS)*TEMP_HOURLY_RATE-FIXED_SEASON_COST)</f>
        <v/>
      </c>
      <c r="Y349" s="53" t="str">
        <f aca="false">IF(OR($A349&gt;TOMATO_BED_CAP,$B349&gt;CARROT_BED_CAP,Y$4&gt;MESCLUN_BED_CAP,$A349+$B349+Y$4&gt;TOTAL_BEDS_AVAILABLE,($D349+Y$5)&gt;TOTAL_LABOR_HOURS_CAP,MAX(0,($D349+Y$5)-PERMANENT_FIELD_LABOR_HOURS)&gt;TEMP_HOURS_CAP),"",$C349+Y$6-MIN(($D349+Y$5),PERMANENT_FIELD_LABOR_HOURS)*PERMANENT_HOURLY_RATE-MAX(0,($D349+Y$5)-PERMANENT_FIELD_LABOR_HOURS)*TEMP_HOURLY_RATE-FIXED_SEASON_COST)</f>
        <v/>
      </c>
      <c r="Z349" s="53" t="str">
        <f aca="false">IF(OR($A349&gt;TOMATO_BED_CAP,$B349&gt;CARROT_BED_CAP,Z$4&gt;MESCLUN_BED_CAP,$A349+$B349+Z$4&gt;TOTAL_BEDS_AVAILABLE,($D349+Z$5)&gt;TOTAL_LABOR_HOURS_CAP,MAX(0,($D349+Z$5)-PERMANENT_FIELD_LABOR_HOURS)&gt;TEMP_HOURS_CAP),"",$C349+Z$6-MIN(($D349+Z$5),PERMANENT_FIELD_LABOR_HOURS)*PERMANENT_HOURLY_RATE-MAX(0,($D349+Z$5)-PERMANENT_FIELD_LABOR_HOURS)*TEMP_HOURLY_RATE-FIXED_SEASON_COST)</f>
        <v/>
      </c>
      <c r="AA349" s="53" t="str">
        <f aca="false">IF(OR($A349&gt;TOMATO_BED_CAP,$B349&gt;CARROT_BED_CAP,AA$4&gt;MESCLUN_BED_CAP,$A349+$B349+AA$4&gt;TOTAL_BEDS_AVAILABLE,($D349+AA$5)&gt;TOTAL_LABOR_HOURS_CAP,MAX(0,($D349+AA$5)-PERMANENT_FIELD_LABOR_HOURS)&gt;TEMP_HOURS_CAP),"",$C349+AA$6-MIN(($D349+AA$5),PERMANENT_FIELD_LABOR_HOURS)*PERMANENT_HOURLY_RATE-MAX(0,($D349+AA$5)-PERMANENT_FIELD_LABOR_HOURS)*TEMP_HOURLY_RATE-FIXED_SEASON_COST)</f>
        <v/>
      </c>
      <c r="AB349" s="53" t="str">
        <f aca="false">IF(OR($A349&gt;TOMATO_BED_CAP,$B349&gt;CARROT_BED_CAP,AB$4&gt;MESCLUN_BED_CAP,$A349+$B349+AB$4&gt;TOTAL_BEDS_AVAILABLE,($D349+AB$5)&gt;TOTAL_LABOR_HOURS_CAP,MAX(0,($D349+AB$5)-PERMANENT_FIELD_LABOR_HOURS)&gt;TEMP_HOURS_CAP),"",$C349+AB$6-MIN(($D349+AB$5),PERMANENT_FIELD_LABOR_HOURS)*PERMANENT_HOURLY_RATE-MAX(0,($D349+AB$5)-PERMANENT_FIELD_LABOR_HOURS)*TEMP_HOURLY_RATE-FIXED_SEASON_COST)</f>
        <v/>
      </c>
      <c r="AC349" s="53" t="str">
        <f aca="false">IF(OR($A349&gt;TOMATO_BED_CAP,$B349&gt;CARROT_BED_CAP,AC$4&gt;MESCLUN_BED_CAP,$A349+$B349+AC$4&gt;TOTAL_BEDS_AVAILABLE,($D349+AC$5)&gt;TOTAL_LABOR_HOURS_CAP,MAX(0,($D349+AC$5)-PERMANENT_FIELD_LABOR_HOURS)&gt;TEMP_HOURS_CAP),"",$C349+AC$6-MIN(($D349+AC$5),PERMANENT_FIELD_LABOR_HOURS)*PERMANENT_HOURLY_RATE-MAX(0,($D349+AC$5)-PERMANENT_FIELD_LABOR_HOURS)*TEMP_HOURLY_RATE-FIXED_SEASON_COST)</f>
        <v/>
      </c>
      <c r="AD349" s="53" t="str">
        <f aca="false">IF(OR($A349&gt;TOMATO_BED_CAP,$B349&gt;CARROT_BED_CAP,AD$4&gt;MESCLUN_BED_CAP,$A349+$B349+AD$4&gt;TOTAL_BEDS_AVAILABLE,($D349+AD$5)&gt;TOTAL_LABOR_HOURS_CAP,MAX(0,($D349+AD$5)-PERMANENT_FIELD_LABOR_HOURS)&gt;TEMP_HOURS_CAP),"",$C349+AD$6-MIN(($D349+AD$5),PERMANENT_FIELD_LABOR_HOURS)*PERMANENT_HOURLY_RATE-MAX(0,($D349+AD$5)-PERMANENT_FIELD_LABOR_HOURS)*TEMP_HOURLY_RATE-FIXED_SEASON_COST)</f>
        <v/>
      </c>
      <c r="AE349" s="53" t="str">
        <f aca="false">IF(OR($A349&gt;TOMATO_BED_CAP,$B349&gt;CARROT_BED_CAP,AE$4&gt;MESCLUN_BED_CAP,$A349+$B349+AE$4&gt;TOTAL_BEDS_AVAILABLE,($D349+AE$5)&gt;TOTAL_LABOR_HOURS_CAP,MAX(0,($D349+AE$5)-PERMANENT_FIELD_LABOR_HOURS)&gt;TEMP_HOURS_CAP),"",$C349+AE$6-MIN(($D349+AE$5),PERMANENT_FIELD_LABOR_HOURS)*PERMANENT_HOURLY_RATE-MAX(0,($D349+AE$5)-PERMANENT_FIELD_LABOR_HOURS)*TEMP_HOURLY_RATE-FIXED_SEASON_COST)</f>
        <v/>
      </c>
      <c r="AF349" s="53" t="str">
        <f aca="false">IF(OR($A349&gt;TOMATO_BED_CAP,$B349&gt;CARROT_BED_CAP,AF$4&gt;MESCLUN_BED_CAP,$A349+$B349+AF$4&gt;TOTAL_BEDS_AVAILABLE,($D349+AF$5)&gt;TOTAL_LABOR_HOURS_CAP,MAX(0,($D349+AF$5)-PERMANENT_FIELD_LABOR_HOURS)&gt;TEMP_HOURS_CAP),"",$C349+AF$6-MIN(($D349+AF$5),PERMANENT_FIELD_LABOR_HOURS)*PERMANENT_HOURLY_RATE-MAX(0,($D349+AF$5)-PERMANENT_FIELD_LABOR_HOURS)*TEMP_HOURLY_RATE-FIXED_SEASON_COST)</f>
        <v/>
      </c>
      <c r="AG349" s="53" t="str">
        <f aca="false">IF(OR($A349&gt;TOMATO_BED_CAP,$B349&gt;CARROT_BED_CAP,AG$4&gt;MESCLUN_BED_CAP,$A349+$B349+AG$4&gt;TOTAL_BEDS_AVAILABLE,($D349+AG$5)&gt;TOTAL_LABOR_HOURS_CAP,MAX(0,($D349+AG$5)-PERMANENT_FIELD_LABOR_HOURS)&gt;TEMP_HOURS_CAP),"",$C349+AG$6-MIN(($D349+AG$5),PERMANENT_FIELD_LABOR_HOURS)*PERMANENT_HOURLY_RATE-MAX(0,($D349+AG$5)-PERMANENT_FIELD_LABOR_HOURS)*TEMP_HOURLY_RATE-FIXED_SEASON_COST)</f>
        <v/>
      </c>
      <c r="AH349" s="53" t="str">
        <f aca="false">IF(OR($A349&gt;TOMATO_BED_CAP,$B349&gt;CARROT_BED_CAP,AH$4&gt;MESCLUN_BED_CAP,$A349+$B349+AH$4&gt;TOTAL_BEDS_AVAILABLE,($D349+AH$5)&gt;TOTAL_LABOR_HOURS_CAP,MAX(0,($D349+AH$5)-PERMANENT_FIELD_LABOR_HOURS)&gt;TEMP_HOURS_CAP),"",$C349+AH$6-MIN(($D349+AH$5),PERMANENT_FIELD_LABOR_HOURS)*PERMANENT_HOURLY_RATE-MAX(0,($D349+AH$5)-PERMANENT_FIELD_LABOR_HOURS)*TEMP_HOURLY_RATE-FIXED_SEASON_COST)</f>
        <v/>
      </c>
      <c r="AI349" s="53" t="str">
        <f aca="false">IF(OR($A349&gt;TOMATO_BED_CAP,$B349&gt;CARROT_BED_CAP,AI$4&gt;MESCLUN_BED_CAP,$A349+$B349+AI$4&gt;TOTAL_BEDS_AVAILABLE,($D349+AI$5)&gt;TOTAL_LABOR_HOURS_CAP,MAX(0,($D349+AI$5)-PERMANENT_FIELD_LABOR_HOURS)&gt;TEMP_HOURS_CAP),"",$C349+AI$6-MIN(($D349+AI$5),PERMANENT_FIELD_LABOR_HOURS)*PERMANENT_HOURLY_RATE-MAX(0,($D349+AI$5)-PERMANENT_FIELD_LABOR_HOURS)*TEMP_HOURLY_RATE-FIXED_SEASON_COST)</f>
        <v/>
      </c>
      <c r="AJ349" s="53" t="str">
        <f aca="false">IF(OR($A349&gt;TOMATO_BED_CAP,$B349&gt;CARROT_BED_CAP,AJ$4&gt;MESCLUN_BED_CAP,$A349+$B349+AJ$4&gt;TOTAL_BEDS_AVAILABLE,($D349+AJ$5)&gt;TOTAL_LABOR_HOURS_CAP,MAX(0,($D349+AJ$5)-PERMANENT_FIELD_LABOR_HOURS)&gt;TEMP_HOURS_CAP),"",$C349+AJ$6-MIN(($D349+AJ$5),PERMANENT_FIELD_LABOR_HOURS)*PERMANENT_HOURLY_RATE-MAX(0,($D349+AJ$5)-PERMANENT_FIELD_LABOR_HOURS)*TEMP_HOURLY_RATE-FIXED_SEASON_COST)</f>
        <v/>
      </c>
    </row>
    <row r="350" customFormat="false" ht="15" hidden="false" customHeight="false" outlineLevel="0" collapsed="false">
      <c r="A350" s="21" t="n">
        <f aca="false">INT((ROW()-ROW($A$8))/(20+1))</f>
        <v>16</v>
      </c>
      <c r="B350" s="21" t="n">
        <f aca="false">MOD(ROW()-ROW($A$8),20+1)</f>
        <v>6</v>
      </c>
      <c r="C350" s="13" t="n">
        <f aca="false">A350*(TOMATO_REVENUE_PER_BED-TOMATO_FERTILIZER_PER_BED)+B350*(CARROT_REVENUE_PER_BED-CARROT_FERTILIZER_PER_BED)</f>
        <v>136644</v>
      </c>
      <c r="D350" s="14" t="n">
        <f aca="false">INDEX(TOMATO_SCHED_LABOR_HRS,A350+1)+INDEX(CARROT_SCHED_LABOR_HRS,B350+1)</f>
        <v>6825.42241770661</v>
      </c>
      <c r="E350" s="13" t="str">
        <f aca="false">IF(COUNT(F350:AJ350)=0,"",MAX(F350:AJ350))</f>
        <v/>
      </c>
      <c r="F350" s="53" t="str">
        <f aca="false">IF(OR($A350&gt;TOMATO_BED_CAP,$B350&gt;CARROT_BED_CAP,F$4&gt;MESCLUN_BED_CAP,$A350+$B350+F$4&gt;TOTAL_BEDS_AVAILABLE,($D350+F$5)&gt;TOTAL_LABOR_HOURS_CAP,MAX(0,($D350+F$5)-PERMANENT_FIELD_LABOR_HOURS)&gt;TEMP_HOURS_CAP),"",$C350+F$6-MIN(($D350+F$5),PERMANENT_FIELD_LABOR_HOURS)*PERMANENT_HOURLY_RATE-MAX(0,($D350+F$5)-PERMANENT_FIELD_LABOR_HOURS)*TEMP_HOURLY_RATE-FIXED_SEASON_COST)</f>
        <v/>
      </c>
      <c r="G350" s="53" t="str">
        <f aca="false">IF(OR($A350&gt;TOMATO_BED_CAP,$B350&gt;CARROT_BED_CAP,G$4&gt;MESCLUN_BED_CAP,$A350+$B350+G$4&gt;TOTAL_BEDS_AVAILABLE,($D350+G$5)&gt;TOTAL_LABOR_HOURS_CAP,MAX(0,($D350+G$5)-PERMANENT_FIELD_LABOR_HOURS)&gt;TEMP_HOURS_CAP),"",$C350+G$6-MIN(($D350+G$5),PERMANENT_FIELD_LABOR_HOURS)*PERMANENT_HOURLY_RATE-MAX(0,($D350+G$5)-PERMANENT_FIELD_LABOR_HOURS)*TEMP_HOURLY_RATE-FIXED_SEASON_COST)</f>
        <v/>
      </c>
      <c r="H350" s="53" t="str">
        <f aca="false">IF(OR($A350&gt;TOMATO_BED_CAP,$B350&gt;CARROT_BED_CAP,H$4&gt;MESCLUN_BED_CAP,$A350+$B350+H$4&gt;TOTAL_BEDS_AVAILABLE,($D350+H$5)&gt;TOTAL_LABOR_HOURS_CAP,MAX(0,($D350+H$5)-PERMANENT_FIELD_LABOR_HOURS)&gt;TEMP_HOURS_CAP),"",$C350+H$6-MIN(($D350+H$5),PERMANENT_FIELD_LABOR_HOURS)*PERMANENT_HOURLY_RATE-MAX(0,($D350+H$5)-PERMANENT_FIELD_LABOR_HOURS)*TEMP_HOURLY_RATE-FIXED_SEASON_COST)</f>
        <v/>
      </c>
      <c r="I350" s="53" t="str">
        <f aca="false">IF(OR($A350&gt;TOMATO_BED_CAP,$B350&gt;CARROT_BED_CAP,I$4&gt;MESCLUN_BED_CAP,$A350+$B350+I$4&gt;TOTAL_BEDS_AVAILABLE,($D350+I$5)&gt;TOTAL_LABOR_HOURS_CAP,MAX(0,($D350+I$5)-PERMANENT_FIELD_LABOR_HOURS)&gt;TEMP_HOURS_CAP),"",$C350+I$6-MIN(($D350+I$5),PERMANENT_FIELD_LABOR_HOURS)*PERMANENT_HOURLY_RATE-MAX(0,($D350+I$5)-PERMANENT_FIELD_LABOR_HOURS)*TEMP_HOURLY_RATE-FIXED_SEASON_COST)</f>
        <v/>
      </c>
      <c r="J350" s="53" t="str">
        <f aca="false">IF(OR($A350&gt;TOMATO_BED_CAP,$B350&gt;CARROT_BED_CAP,J$4&gt;MESCLUN_BED_CAP,$A350+$B350+J$4&gt;TOTAL_BEDS_AVAILABLE,($D350+J$5)&gt;TOTAL_LABOR_HOURS_CAP,MAX(0,($D350+J$5)-PERMANENT_FIELD_LABOR_HOURS)&gt;TEMP_HOURS_CAP),"",$C350+J$6-MIN(($D350+J$5),PERMANENT_FIELD_LABOR_HOURS)*PERMANENT_HOURLY_RATE-MAX(0,($D350+J$5)-PERMANENT_FIELD_LABOR_HOURS)*TEMP_HOURLY_RATE-FIXED_SEASON_COST)</f>
        <v/>
      </c>
      <c r="K350" s="53" t="str">
        <f aca="false">IF(OR($A350&gt;TOMATO_BED_CAP,$B350&gt;CARROT_BED_CAP,K$4&gt;MESCLUN_BED_CAP,$A350+$B350+K$4&gt;TOTAL_BEDS_AVAILABLE,($D350+K$5)&gt;TOTAL_LABOR_HOURS_CAP,MAX(0,($D350+K$5)-PERMANENT_FIELD_LABOR_HOURS)&gt;TEMP_HOURS_CAP),"",$C350+K$6-MIN(($D350+K$5),PERMANENT_FIELD_LABOR_HOURS)*PERMANENT_HOURLY_RATE-MAX(0,($D350+K$5)-PERMANENT_FIELD_LABOR_HOURS)*TEMP_HOURLY_RATE-FIXED_SEASON_COST)</f>
        <v/>
      </c>
      <c r="L350" s="53" t="str">
        <f aca="false">IF(OR($A350&gt;TOMATO_BED_CAP,$B350&gt;CARROT_BED_CAP,L$4&gt;MESCLUN_BED_CAP,$A350+$B350+L$4&gt;TOTAL_BEDS_AVAILABLE,($D350+L$5)&gt;TOTAL_LABOR_HOURS_CAP,MAX(0,($D350+L$5)-PERMANENT_FIELD_LABOR_HOURS)&gt;TEMP_HOURS_CAP),"",$C350+L$6-MIN(($D350+L$5),PERMANENT_FIELD_LABOR_HOURS)*PERMANENT_HOURLY_RATE-MAX(0,($D350+L$5)-PERMANENT_FIELD_LABOR_HOURS)*TEMP_HOURLY_RATE-FIXED_SEASON_COST)</f>
        <v/>
      </c>
      <c r="M350" s="53" t="str">
        <f aca="false">IF(OR($A350&gt;TOMATO_BED_CAP,$B350&gt;CARROT_BED_CAP,M$4&gt;MESCLUN_BED_CAP,$A350+$B350+M$4&gt;TOTAL_BEDS_AVAILABLE,($D350+M$5)&gt;TOTAL_LABOR_HOURS_CAP,MAX(0,($D350+M$5)-PERMANENT_FIELD_LABOR_HOURS)&gt;TEMP_HOURS_CAP),"",$C350+M$6-MIN(($D350+M$5),PERMANENT_FIELD_LABOR_HOURS)*PERMANENT_HOURLY_RATE-MAX(0,($D350+M$5)-PERMANENT_FIELD_LABOR_HOURS)*TEMP_HOURLY_RATE-FIXED_SEASON_COST)</f>
        <v/>
      </c>
      <c r="N350" s="53" t="str">
        <f aca="false">IF(OR($A350&gt;TOMATO_BED_CAP,$B350&gt;CARROT_BED_CAP,N$4&gt;MESCLUN_BED_CAP,$A350+$B350+N$4&gt;TOTAL_BEDS_AVAILABLE,($D350+N$5)&gt;TOTAL_LABOR_HOURS_CAP,MAX(0,($D350+N$5)-PERMANENT_FIELD_LABOR_HOURS)&gt;TEMP_HOURS_CAP),"",$C350+N$6-MIN(($D350+N$5),PERMANENT_FIELD_LABOR_HOURS)*PERMANENT_HOURLY_RATE-MAX(0,($D350+N$5)-PERMANENT_FIELD_LABOR_HOURS)*TEMP_HOURLY_RATE-FIXED_SEASON_COST)</f>
        <v/>
      </c>
      <c r="O350" s="53" t="str">
        <f aca="false">IF(OR($A350&gt;TOMATO_BED_CAP,$B350&gt;CARROT_BED_CAP,O$4&gt;MESCLUN_BED_CAP,$A350+$B350+O$4&gt;TOTAL_BEDS_AVAILABLE,($D350+O$5)&gt;TOTAL_LABOR_HOURS_CAP,MAX(0,($D350+O$5)-PERMANENT_FIELD_LABOR_HOURS)&gt;TEMP_HOURS_CAP),"",$C350+O$6-MIN(($D350+O$5),PERMANENT_FIELD_LABOR_HOURS)*PERMANENT_HOURLY_RATE-MAX(0,($D350+O$5)-PERMANENT_FIELD_LABOR_HOURS)*TEMP_HOURLY_RATE-FIXED_SEASON_COST)</f>
        <v/>
      </c>
      <c r="P350" s="53" t="str">
        <f aca="false">IF(OR($A350&gt;TOMATO_BED_CAP,$B350&gt;CARROT_BED_CAP,P$4&gt;MESCLUN_BED_CAP,$A350+$B350+P$4&gt;TOTAL_BEDS_AVAILABLE,($D350+P$5)&gt;TOTAL_LABOR_HOURS_CAP,MAX(0,($D350+P$5)-PERMANENT_FIELD_LABOR_HOURS)&gt;TEMP_HOURS_CAP),"",$C350+P$6-MIN(($D350+P$5),PERMANENT_FIELD_LABOR_HOURS)*PERMANENT_HOURLY_RATE-MAX(0,($D350+P$5)-PERMANENT_FIELD_LABOR_HOURS)*TEMP_HOURLY_RATE-FIXED_SEASON_COST)</f>
        <v/>
      </c>
      <c r="Q350" s="53" t="str">
        <f aca="false">IF(OR($A350&gt;TOMATO_BED_CAP,$B350&gt;CARROT_BED_CAP,Q$4&gt;MESCLUN_BED_CAP,$A350+$B350+Q$4&gt;TOTAL_BEDS_AVAILABLE,($D350+Q$5)&gt;TOTAL_LABOR_HOURS_CAP,MAX(0,($D350+Q$5)-PERMANENT_FIELD_LABOR_HOURS)&gt;TEMP_HOURS_CAP),"",$C350+Q$6-MIN(($D350+Q$5),PERMANENT_FIELD_LABOR_HOURS)*PERMANENT_HOURLY_RATE-MAX(0,($D350+Q$5)-PERMANENT_FIELD_LABOR_HOURS)*TEMP_HOURLY_RATE-FIXED_SEASON_COST)</f>
        <v/>
      </c>
      <c r="R350" s="53" t="str">
        <f aca="false">IF(OR($A350&gt;TOMATO_BED_CAP,$B350&gt;CARROT_BED_CAP,R$4&gt;MESCLUN_BED_CAP,$A350+$B350+R$4&gt;TOTAL_BEDS_AVAILABLE,($D350+R$5)&gt;TOTAL_LABOR_HOURS_CAP,MAX(0,($D350+R$5)-PERMANENT_FIELD_LABOR_HOURS)&gt;TEMP_HOURS_CAP),"",$C350+R$6-MIN(($D350+R$5),PERMANENT_FIELD_LABOR_HOURS)*PERMANENT_HOURLY_RATE-MAX(0,($D350+R$5)-PERMANENT_FIELD_LABOR_HOURS)*TEMP_HOURLY_RATE-FIXED_SEASON_COST)</f>
        <v/>
      </c>
      <c r="S350" s="53" t="str">
        <f aca="false">IF(OR($A350&gt;TOMATO_BED_CAP,$B350&gt;CARROT_BED_CAP,S$4&gt;MESCLUN_BED_CAP,$A350+$B350+S$4&gt;TOTAL_BEDS_AVAILABLE,($D350+S$5)&gt;TOTAL_LABOR_HOURS_CAP,MAX(0,($D350+S$5)-PERMANENT_FIELD_LABOR_HOURS)&gt;TEMP_HOURS_CAP),"",$C350+S$6-MIN(($D350+S$5),PERMANENT_FIELD_LABOR_HOURS)*PERMANENT_HOURLY_RATE-MAX(0,($D350+S$5)-PERMANENT_FIELD_LABOR_HOURS)*TEMP_HOURLY_RATE-FIXED_SEASON_COST)</f>
        <v/>
      </c>
      <c r="T350" s="53" t="str">
        <f aca="false">IF(OR($A350&gt;TOMATO_BED_CAP,$B350&gt;CARROT_BED_CAP,T$4&gt;MESCLUN_BED_CAP,$A350+$B350+T$4&gt;TOTAL_BEDS_AVAILABLE,($D350+T$5)&gt;TOTAL_LABOR_HOURS_CAP,MAX(0,($D350+T$5)-PERMANENT_FIELD_LABOR_HOURS)&gt;TEMP_HOURS_CAP),"",$C350+T$6-MIN(($D350+T$5),PERMANENT_FIELD_LABOR_HOURS)*PERMANENT_HOURLY_RATE-MAX(0,($D350+T$5)-PERMANENT_FIELD_LABOR_HOURS)*TEMP_HOURLY_RATE-FIXED_SEASON_COST)</f>
        <v/>
      </c>
      <c r="U350" s="53" t="str">
        <f aca="false">IF(OR($A350&gt;TOMATO_BED_CAP,$B350&gt;CARROT_BED_CAP,U$4&gt;MESCLUN_BED_CAP,$A350+$B350+U$4&gt;TOTAL_BEDS_AVAILABLE,($D350+U$5)&gt;TOTAL_LABOR_HOURS_CAP,MAX(0,($D350+U$5)-PERMANENT_FIELD_LABOR_HOURS)&gt;TEMP_HOURS_CAP),"",$C350+U$6-MIN(($D350+U$5),PERMANENT_FIELD_LABOR_HOURS)*PERMANENT_HOURLY_RATE-MAX(0,($D350+U$5)-PERMANENT_FIELD_LABOR_HOURS)*TEMP_HOURLY_RATE-FIXED_SEASON_COST)</f>
        <v/>
      </c>
      <c r="V350" s="53" t="str">
        <f aca="false">IF(OR($A350&gt;TOMATO_BED_CAP,$B350&gt;CARROT_BED_CAP,V$4&gt;MESCLUN_BED_CAP,$A350+$B350+V$4&gt;TOTAL_BEDS_AVAILABLE,($D350+V$5)&gt;TOTAL_LABOR_HOURS_CAP,MAX(0,($D350+V$5)-PERMANENT_FIELD_LABOR_HOURS)&gt;TEMP_HOURS_CAP),"",$C350+V$6-MIN(($D350+V$5),PERMANENT_FIELD_LABOR_HOURS)*PERMANENT_HOURLY_RATE-MAX(0,($D350+V$5)-PERMANENT_FIELD_LABOR_HOURS)*TEMP_HOURLY_RATE-FIXED_SEASON_COST)</f>
        <v/>
      </c>
      <c r="W350" s="53" t="str">
        <f aca="false">IF(OR($A350&gt;TOMATO_BED_CAP,$B350&gt;CARROT_BED_CAP,W$4&gt;MESCLUN_BED_CAP,$A350+$B350+W$4&gt;TOTAL_BEDS_AVAILABLE,($D350+W$5)&gt;TOTAL_LABOR_HOURS_CAP,MAX(0,($D350+W$5)-PERMANENT_FIELD_LABOR_HOURS)&gt;TEMP_HOURS_CAP),"",$C350+W$6-MIN(($D350+W$5),PERMANENT_FIELD_LABOR_HOURS)*PERMANENT_HOURLY_RATE-MAX(0,($D350+W$5)-PERMANENT_FIELD_LABOR_HOURS)*TEMP_HOURLY_RATE-FIXED_SEASON_COST)</f>
        <v/>
      </c>
      <c r="X350" s="53" t="str">
        <f aca="false">IF(OR($A350&gt;TOMATO_BED_CAP,$B350&gt;CARROT_BED_CAP,X$4&gt;MESCLUN_BED_CAP,$A350+$B350+X$4&gt;TOTAL_BEDS_AVAILABLE,($D350+X$5)&gt;TOTAL_LABOR_HOURS_CAP,MAX(0,($D350+X$5)-PERMANENT_FIELD_LABOR_HOURS)&gt;TEMP_HOURS_CAP),"",$C350+X$6-MIN(($D350+X$5),PERMANENT_FIELD_LABOR_HOURS)*PERMANENT_HOURLY_RATE-MAX(0,($D350+X$5)-PERMANENT_FIELD_LABOR_HOURS)*TEMP_HOURLY_RATE-FIXED_SEASON_COST)</f>
        <v/>
      </c>
      <c r="Y350" s="53" t="str">
        <f aca="false">IF(OR($A350&gt;TOMATO_BED_CAP,$B350&gt;CARROT_BED_CAP,Y$4&gt;MESCLUN_BED_CAP,$A350+$B350+Y$4&gt;TOTAL_BEDS_AVAILABLE,($D350+Y$5)&gt;TOTAL_LABOR_HOURS_CAP,MAX(0,($D350+Y$5)-PERMANENT_FIELD_LABOR_HOURS)&gt;TEMP_HOURS_CAP),"",$C350+Y$6-MIN(($D350+Y$5),PERMANENT_FIELD_LABOR_HOURS)*PERMANENT_HOURLY_RATE-MAX(0,($D350+Y$5)-PERMANENT_FIELD_LABOR_HOURS)*TEMP_HOURLY_RATE-FIXED_SEASON_COST)</f>
        <v/>
      </c>
      <c r="Z350" s="53" t="str">
        <f aca="false">IF(OR($A350&gt;TOMATO_BED_CAP,$B350&gt;CARROT_BED_CAP,Z$4&gt;MESCLUN_BED_CAP,$A350+$B350+Z$4&gt;TOTAL_BEDS_AVAILABLE,($D350+Z$5)&gt;TOTAL_LABOR_HOURS_CAP,MAX(0,($D350+Z$5)-PERMANENT_FIELD_LABOR_HOURS)&gt;TEMP_HOURS_CAP),"",$C350+Z$6-MIN(($D350+Z$5),PERMANENT_FIELD_LABOR_HOURS)*PERMANENT_HOURLY_RATE-MAX(0,($D350+Z$5)-PERMANENT_FIELD_LABOR_HOURS)*TEMP_HOURLY_RATE-FIXED_SEASON_COST)</f>
        <v/>
      </c>
      <c r="AA350" s="53" t="str">
        <f aca="false">IF(OR($A350&gt;TOMATO_BED_CAP,$B350&gt;CARROT_BED_CAP,AA$4&gt;MESCLUN_BED_CAP,$A350+$B350+AA$4&gt;TOTAL_BEDS_AVAILABLE,($D350+AA$5)&gt;TOTAL_LABOR_HOURS_CAP,MAX(0,($D350+AA$5)-PERMANENT_FIELD_LABOR_HOURS)&gt;TEMP_HOURS_CAP),"",$C350+AA$6-MIN(($D350+AA$5),PERMANENT_FIELD_LABOR_HOURS)*PERMANENT_HOURLY_RATE-MAX(0,($D350+AA$5)-PERMANENT_FIELD_LABOR_HOURS)*TEMP_HOURLY_RATE-FIXED_SEASON_COST)</f>
        <v/>
      </c>
      <c r="AB350" s="53" t="str">
        <f aca="false">IF(OR($A350&gt;TOMATO_BED_CAP,$B350&gt;CARROT_BED_CAP,AB$4&gt;MESCLUN_BED_CAP,$A350+$B350+AB$4&gt;TOTAL_BEDS_AVAILABLE,($D350+AB$5)&gt;TOTAL_LABOR_HOURS_CAP,MAX(0,($D350+AB$5)-PERMANENT_FIELD_LABOR_HOURS)&gt;TEMP_HOURS_CAP),"",$C350+AB$6-MIN(($D350+AB$5),PERMANENT_FIELD_LABOR_HOURS)*PERMANENT_HOURLY_RATE-MAX(0,($D350+AB$5)-PERMANENT_FIELD_LABOR_HOURS)*TEMP_HOURLY_RATE-FIXED_SEASON_COST)</f>
        <v/>
      </c>
      <c r="AC350" s="53" t="str">
        <f aca="false">IF(OR($A350&gt;TOMATO_BED_CAP,$B350&gt;CARROT_BED_CAP,AC$4&gt;MESCLUN_BED_CAP,$A350+$B350+AC$4&gt;TOTAL_BEDS_AVAILABLE,($D350+AC$5)&gt;TOTAL_LABOR_HOURS_CAP,MAX(0,($D350+AC$5)-PERMANENT_FIELD_LABOR_HOURS)&gt;TEMP_HOURS_CAP),"",$C350+AC$6-MIN(($D350+AC$5),PERMANENT_FIELD_LABOR_HOURS)*PERMANENT_HOURLY_RATE-MAX(0,($D350+AC$5)-PERMANENT_FIELD_LABOR_HOURS)*TEMP_HOURLY_RATE-FIXED_SEASON_COST)</f>
        <v/>
      </c>
      <c r="AD350" s="53" t="str">
        <f aca="false">IF(OR($A350&gt;TOMATO_BED_CAP,$B350&gt;CARROT_BED_CAP,AD$4&gt;MESCLUN_BED_CAP,$A350+$B350+AD$4&gt;TOTAL_BEDS_AVAILABLE,($D350+AD$5)&gt;TOTAL_LABOR_HOURS_CAP,MAX(0,($D350+AD$5)-PERMANENT_FIELD_LABOR_HOURS)&gt;TEMP_HOURS_CAP),"",$C350+AD$6-MIN(($D350+AD$5),PERMANENT_FIELD_LABOR_HOURS)*PERMANENT_HOURLY_RATE-MAX(0,($D350+AD$5)-PERMANENT_FIELD_LABOR_HOURS)*TEMP_HOURLY_RATE-FIXED_SEASON_COST)</f>
        <v/>
      </c>
      <c r="AE350" s="53" t="str">
        <f aca="false">IF(OR($A350&gt;TOMATO_BED_CAP,$B350&gt;CARROT_BED_CAP,AE$4&gt;MESCLUN_BED_CAP,$A350+$B350+AE$4&gt;TOTAL_BEDS_AVAILABLE,($D350+AE$5)&gt;TOTAL_LABOR_HOURS_CAP,MAX(0,($D350+AE$5)-PERMANENT_FIELD_LABOR_HOURS)&gt;TEMP_HOURS_CAP),"",$C350+AE$6-MIN(($D350+AE$5),PERMANENT_FIELD_LABOR_HOURS)*PERMANENT_HOURLY_RATE-MAX(0,($D350+AE$5)-PERMANENT_FIELD_LABOR_HOURS)*TEMP_HOURLY_RATE-FIXED_SEASON_COST)</f>
        <v/>
      </c>
      <c r="AF350" s="53" t="str">
        <f aca="false">IF(OR($A350&gt;TOMATO_BED_CAP,$B350&gt;CARROT_BED_CAP,AF$4&gt;MESCLUN_BED_CAP,$A350+$B350+AF$4&gt;TOTAL_BEDS_AVAILABLE,($D350+AF$5)&gt;TOTAL_LABOR_HOURS_CAP,MAX(0,($D350+AF$5)-PERMANENT_FIELD_LABOR_HOURS)&gt;TEMP_HOURS_CAP),"",$C350+AF$6-MIN(($D350+AF$5),PERMANENT_FIELD_LABOR_HOURS)*PERMANENT_HOURLY_RATE-MAX(0,($D350+AF$5)-PERMANENT_FIELD_LABOR_HOURS)*TEMP_HOURLY_RATE-FIXED_SEASON_COST)</f>
        <v/>
      </c>
      <c r="AG350" s="53" t="str">
        <f aca="false">IF(OR($A350&gt;TOMATO_BED_CAP,$B350&gt;CARROT_BED_CAP,AG$4&gt;MESCLUN_BED_CAP,$A350+$B350+AG$4&gt;TOTAL_BEDS_AVAILABLE,($D350+AG$5)&gt;TOTAL_LABOR_HOURS_CAP,MAX(0,($D350+AG$5)-PERMANENT_FIELD_LABOR_HOURS)&gt;TEMP_HOURS_CAP),"",$C350+AG$6-MIN(($D350+AG$5),PERMANENT_FIELD_LABOR_HOURS)*PERMANENT_HOURLY_RATE-MAX(0,($D350+AG$5)-PERMANENT_FIELD_LABOR_HOURS)*TEMP_HOURLY_RATE-FIXED_SEASON_COST)</f>
        <v/>
      </c>
      <c r="AH350" s="53" t="str">
        <f aca="false">IF(OR($A350&gt;TOMATO_BED_CAP,$B350&gt;CARROT_BED_CAP,AH$4&gt;MESCLUN_BED_CAP,$A350+$B350+AH$4&gt;TOTAL_BEDS_AVAILABLE,($D350+AH$5)&gt;TOTAL_LABOR_HOURS_CAP,MAX(0,($D350+AH$5)-PERMANENT_FIELD_LABOR_HOURS)&gt;TEMP_HOURS_CAP),"",$C350+AH$6-MIN(($D350+AH$5),PERMANENT_FIELD_LABOR_HOURS)*PERMANENT_HOURLY_RATE-MAX(0,($D350+AH$5)-PERMANENT_FIELD_LABOR_HOURS)*TEMP_HOURLY_RATE-FIXED_SEASON_COST)</f>
        <v/>
      </c>
      <c r="AI350" s="53" t="str">
        <f aca="false">IF(OR($A350&gt;TOMATO_BED_CAP,$B350&gt;CARROT_BED_CAP,AI$4&gt;MESCLUN_BED_CAP,$A350+$B350+AI$4&gt;TOTAL_BEDS_AVAILABLE,($D350+AI$5)&gt;TOTAL_LABOR_HOURS_CAP,MAX(0,($D350+AI$5)-PERMANENT_FIELD_LABOR_HOURS)&gt;TEMP_HOURS_CAP),"",$C350+AI$6-MIN(($D350+AI$5),PERMANENT_FIELD_LABOR_HOURS)*PERMANENT_HOURLY_RATE-MAX(0,($D350+AI$5)-PERMANENT_FIELD_LABOR_HOURS)*TEMP_HOURLY_RATE-FIXED_SEASON_COST)</f>
        <v/>
      </c>
      <c r="AJ350" s="53" t="str">
        <f aca="false">IF(OR($A350&gt;TOMATO_BED_CAP,$B350&gt;CARROT_BED_CAP,AJ$4&gt;MESCLUN_BED_CAP,$A350+$B350+AJ$4&gt;TOTAL_BEDS_AVAILABLE,($D350+AJ$5)&gt;TOTAL_LABOR_HOURS_CAP,MAX(0,($D350+AJ$5)-PERMANENT_FIELD_LABOR_HOURS)&gt;TEMP_HOURS_CAP),"",$C350+AJ$6-MIN(($D350+AJ$5),PERMANENT_FIELD_LABOR_HOURS)*PERMANENT_HOURLY_RATE-MAX(0,($D350+AJ$5)-PERMANENT_FIELD_LABOR_HOURS)*TEMP_HOURLY_RATE-FIXED_SEASON_COST)</f>
        <v/>
      </c>
    </row>
    <row r="351" customFormat="false" ht="15" hidden="false" customHeight="false" outlineLevel="0" collapsed="false">
      <c r="A351" s="21" t="n">
        <f aca="false">INT((ROW()-ROW($A$8))/(20+1))</f>
        <v>16</v>
      </c>
      <c r="B351" s="21" t="n">
        <f aca="false">MOD(ROW()-ROW($A$8),20+1)</f>
        <v>7</v>
      </c>
      <c r="C351" s="13" t="n">
        <f aca="false">A351*(TOMATO_REVENUE_PER_BED-TOMATO_FERTILIZER_PER_BED)+B351*(CARROT_REVENUE_PER_BED-CARROT_FERTILIZER_PER_BED)</f>
        <v>138298</v>
      </c>
      <c r="D351" s="14" t="n">
        <f aca="false">INDEX(TOMATO_SCHED_LABOR_HRS,A351+1)+INDEX(CARROT_SCHED_LABOR_HRS,B351+1)</f>
        <v>6866.28525902142</v>
      </c>
      <c r="E351" s="13" t="str">
        <f aca="false">IF(COUNT(F351:AJ351)=0,"",MAX(F351:AJ351))</f>
        <v/>
      </c>
      <c r="F351" s="53" t="str">
        <f aca="false">IF(OR($A351&gt;TOMATO_BED_CAP,$B351&gt;CARROT_BED_CAP,F$4&gt;MESCLUN_BED_CAP,$A351+$B351+F$4&gt;TOTAL_BEDS_AVAILABLE,($D351+F$5)&gt;TOTAL_LABOR_HOURS_CAP,MAX(0,($D351+F$5)-PERMANENT_FIELD_LABOR_HOURS)&gt;TEMP_HOURS_CAP),"",$C351+F$6-MIN(($D351+F$5),PERMANENT_FIELD_LABOR_HOURS)*PERMANENT_HOURLY_RATE-MAX(0,($D351+F$5)-PERMANENT_FIELD_LABOR_HOURS)*TEMP_HOURLY_RATE-FIXED_SEASON_COST)</f>
        <v/>
      </c>
      <c r="G351" s="53" t="str">
        <f aca="false">IF(OR($A351&gt;TOMATO_BED_CAP,$B351&gt;CARROT_BED_CAP,G$4&gt;MESCLUN_BED_CAP,$A351+$B351+G$4&gt;TOTAL_BEDS_AVAILABLE,($D351+G$5)&gt;TOTAL_LABOR_HOURS_CAP,MAX(0,($D351+G$5)-PERMANENT_FIELD_LABOR_HOURS)&gt;TEMP_HOURS_CAP),"",$C351+G$6-MIN(($D351+G$5),PERMANENT_FIELD_LABOR_HOURS)*PERMANENT_HOURLY_RATE-MAX(0,($D351+G$5)-PERMANENT_FIELD_LABOR_HOURS)*TEMP_HOURLY_RATE-FIXED_SEASON_COST)</f>
        <v/>
      </c>
      <c r="H351" s="53" t="str">
        <f aca="false">IF(OR($A351&gt;TOMATO_BED_CAP,$B351&gt;CARROT_BED_CAP,H$4&gt;MESCLUN_BED_CAP,$A351+$B351+H$4&gt;TOTAL_BEDS_AVAILABLE,($D351+H$5)&gt;TOTAL_LABOR_HOURS_CAP,MAX(0,($D351+H$5)-PERMANENT_FIELD_LABOR_HOURS)&gt;TEMP_HOURS_CAP),"",$C351+H$6-MIN(($D351+H$5),PERMANENT_FIELD_LABOR_HOURS)*PERMANENT_HOURLY_RATE-MAX(0,($D351+H$5)-PERMANENT_FIELD_LABOR_HOURS)*TEMP_HOURLY_RATE-FIXED_SEASON_COST)</f>
        <v/>
      </c>
      <c r="I351" s="53" t="str">
        <f aca="false">IF(OR($A351&gt;TOMATO_BED_CAP,$B351&gt;CARROT_BED_CAP,I$4&gt;MESCLUN_BED_CAP,$A351+$B351+I$4&gt;TOTAL_BEDS_AVAILABLE,($D351+I$5)&gt;TOTAL_LABOR_HOURS_CAP,MAX(0,($D351+I$5)-PERMANENT_FIELD_LABOR_HOURS)&gt;TEMP_HOURS_CAP),"",$C351+I$6-MIN(($D351+I$5),PERMANENT_FIELD_LABOR_HOURS)*PERMANENT_HOURLY_RATE-MAX(0,($D351+I$5)-PERMANENT_FIELD_LABOR_HOURS)*TEMP_HOURLY_RATE-FIXED_SEASON_COST)</f>
        <v/>
      </c>
      <c r="J351" s="53" t="str">
        <f aca="false">IF(OR($A351&gt;TOMATO_BED_CAP,$B351&gt;CARROT_BED_CAP,J$4&gt;MESCLUN_BED_CAP,$A351+$B351+J$4&gt;TOTAL_BEDS_AVAILABLE,($D351+J$5)&gt;TOTAL_LABOR_HOURS_CAP,MAX(0,($D351+J$5)-PERMANENT_FIELD_LABOR_HOURS)&gt;TEMP_HOURS_CAP),"",$C351+J$6-MIN(($D351+J$5),PERMANENT_FIELD_LABOR_HOURS)*PERMANENT_HOURLY_RATE-MAX(0,($D351+J$5)-PERMANENT_FIELD_LABOR_HOURS)*TEMP_HOURLY_RATE-FIXED_SEASON_COST)</f>
        <v/>
      </c>
      <c r="K351" s="53" t="str">
        <f aca="false">IF(OR($A351&gt;TOMATO_BED_CAP,$B351&gt;CARROT_BED_CAP,K$4&gt;MESCLUN_BED_CAP,$A351+$B351+K$4&gt;TOTAL_BEDS_AVAILABLE,($D351+K$5)&gt;TOTAL_LABOR_HOURS_CAP,MAX(0,($D351+K$5)-PERMANENT_FIELD_LABOR_HOURS)&gt;TEMP_HOURS_CAP),"",$C351+K$6-MIN(($D351+K$5),PERMANENT_FIELD_LABOR_HOURS)*PERMANENT_HOURLY_RATE-MAX(0,($D351+K$5)-PERMANENT_FIELD_LABOR_HOURS)*TEMP_HOURLY_RATE-FIXED_SEASON_COST)</f>
        <v/>
      </c>
      <c r="L351" s="53" t="str">
        <f aca="false">IF(OR($A351&gt;TOMATO_BED_CAP,$B351&gt;CARROT_BED_CAP,L$4&gt;MESCLUN_BED_CAP,$A351+$B351+L$4&gt;TOTAL_BEDS_AVAILABLE,($D351+L$5)&gt;TOTAL_LABOR_HOURS_CAP,MAX(0,($D351+L$5)-PERMANENT_FIELD_LABOR_HOURS)&gt;TEMP_HOURS_CAP),"",$C351+L$6-MIN(($D351+L$5),PERMANENT_FIELD_LABOR_HOURS)*PERMANENT_HOURLY_RATE-MAX(0,($D351+L$5)-PERMANENT_FIELD_LABOR_HOURS)*TEMP_HOURLY_RATE-FIXED_SEASON_COST)</f>
        <v/>
      </c>
      <c r="M351" s="53" t="str">
        <f aca="false">IF(OR($A351&gt;TOMATO_BED_CAP,$B351&gt;CARROT_BED_CAP,M$4&gt;MESCLUN_BED_CAP,$A351+$B351+M$4&gt;TOTAL_BEDS_AVAILABLE,($D351+M$5)&gt;TOTAL_LABOR_HOURS_CAP,MAX(0,($D351+M$5)-PERMANENT_FIELD_LABOR_HOURS)&gt;TEMP_HOURS_CAP),"",$C351+M$6-MIN(($D351+M$5),PERMANENT_FIELD_LABOR_HOURS)*PERMANENT_HOURLY_RATE-MAX(0,($D351+M$5)-PERMANENT_FIELD_LABOR_HOURS)*TEMP_HOURLY_RATE-FIXED_SEASON_COST)</f>
        <v/>
      </c>
      <c r="N351" s="53" t="str">
        <f aca="false">IF(OR($A351&gt;TOMATO_BED_CAP,$B351&gt;CARROT_BED_CAP,N$4&gt;MESCLUN_BED_CAP,$A351+$B351+N$4&gt;TOTAL_BEDS_AVAILABLE,($D351+N$5)&gt;TOTAL_LABOR_HOURS_CAP,MAX(0,($D351+N$5)-PERMANENT_FIELD_LABOR_HOURS)&gt;TEMP_HOURS_CAP),"",$C351+N$6-MIN(($D351+N$5),PERMANENT_FIELD_LABOR_HOURS)*PERMANENT_HOURLY_RATE-MAX(0,($D351+N$5)-PERMANENT_FIELD_LABOR_HOURS)*TEMP_HOURLY_RATE-FIXED_SEASON_COST)</f>
        <v/>
      </c>
      <c r="O351" s="53" t="str">
        <f aca="false">IF(OR($A351&gt;TOMATO_BED_CAP,$B351&gt;CARROT_BED_CAP,O$4&gt;MESCLUN_BED_CAP,$A351+$B351+O$4&gt;TOTAL_BEDS_AVAILABLE,($D351+O$5)&gt;TOTAL_LABOR_HOURS_CAP,MAX(0,($D351+O$5)-PERMANENT_FIELD_LABOR_HOURS)&gt;TEMP_HOURS_CAP),"",$C351+O$6-MIN(($D351+O$5),PERMANENT_FIELD_LABOR_HOURS)*PERMANENT_HOURLY_RATE-MAX(0,($D351+O$5)-PERMANENT_FIELD_LABOR_HOURS)*TEMP_HOURLY_RATE-FIXED_SEASON_COST)</f>
        <v/>
      </c>
      <c r="P351" s="53" t="str">
        <f aca="false">IF(OR($A351&gt;TOMATO_BED_CAP,$B351&gt;CARROT_BED_CAP,P$4&gt;MESCLUN_BED_CAP,$A351+$B351+P$4&gt;TOTAL_BEDS_AVAILABLE,($D351+P$5)&gt;TOTAL_LABOR_HOURS_CAP,MAX(0,($D351+P$5)-PERMANENT_FIELD_LABOR_HOURS)&gt;TEMP_HOURS_CAP),"",$C351+P$6-MIN(($D351+P$5),PERMANENT_FIELD_LABOR_HOURS)*PERMANENT_HOURLY_RATE-MAX(0,($D351+P$5)-PERMANENT_FIELD_LABOR_HOURS)*TEMP_HOURLY_RATE-FIXED_SEASON_COST)</f>
        <v/>
      </c>
      <c r="Q351" s="53" t="str">
        <f aca="false">IF(OR($A351&gt;TOMATO_BED_CAP,$B351&gt;CARROT_BED_CAP,Q$4&gt;MESCLUN_BED_CAP,$A351+$B351+Q$4&gt;TOTAL_BEDS_AVAILABLE,($D351+Q$5)&gt;TOTAL_LABOR_HOURS_CAP,MAX(0,($D351+Q$5)-PERMANENT_FIELD_LABOR_HOURS)&gt;TEMP_HOURS_CAP),"",$C351+Q$6-MIN(($D351+Q$5),PERMANENT_FIELD_LABOR_HOURS)*PERMANENT_HOURLY_RATE-MAX(0,($D351+Q$5)-PERMANENT_FIELD_LABOR_HOURS)*TEMP_HOURLY_RATE-FIXED_SEASON_COST)</f>
        <v/>
      </c>
      <c r="R351" s="53" t="str">
        <f aca="false">IF(OR($A351&gt;TOMATO_BED_CAP,$B351&gt;CARROT_BED_CAP,R$4&gt;MESCLUN_BED_CAP,$A351+$B351+R$4&gt;TOTAL_BEDS_AVAILABLE,($D351+R$5)&gt;TOTAL_LABOR_HOURS_CAP,MAX(0,($D351+R$5)-PERMANENT_FIELD_LABOR_HOURS)&gt;TEMP_HOURS_CAP),"",$C351+R$6-MIN(($D351+R$5),PERMANENT_FIELD_LABOR_HOURS)*PERMANENT_HOURLY_RATE-MAX(0,($D351+R$5)-PERMANENT_FIELD_LABOR_HOURS)*TEMP_HOURLY_RATE-FIXED_SEASON_COST)</f>
        <v/>
      </c>
      <c r="S351" s="53" t="str">
        <f aca="false">IF(OR($A351&gt;TOMATO_BED_CAP,$B351&gt;CARROT_BED_CAP,S$4&gt;MESCLUN_BED_CAP,$A351+$B351+S$4&gt;TOTAL_BEDS_AVAILABLE,($D351+S$5)&gt;TOTAL_LABOR_HOURS_CAP,MAX(0,($D351+S$5)-PERMANENT_FIELD_LABOR_HOURS)&gt;TEMP_HOURS_CAP),"",$C351+S$6-MIN(($D351+S$5),PERMANENT_FIELD_LABOR_HOURS)*PERMANENT_HOURLY_RATE-MAX(0,($D351+S$5)-PERMANENT_FIELD_LABOR_HOURS)*TEMP_HOURLY_RATE-FIXED_SEASON_COST)</f>
        <v/>
      </c>
      <c r="T351" s="53" t="str">
        <f aca="false">IF(OR($A351&gt;TOMATO_BED_CAP,$B351&gt;CARROT_BED_CAP,T$4&gt;MESCLUN_BED_CAP,$A351+$B351+T$4&gt;TOTAL_BEDS_AVAILABLE,($D351+T$5)&gt;TOTAL_LABOR_HOURS_CAP,MAX(0,($D351+T$5)-PERMANENT_FIELD_LABOR_HOURS)&gt;TEMP_HOURS_CAP),"",$C351+T$6-MIN(($D351+T$5),PERMANENT_FIELD_LABOR_HOURS)*PERMANENT_HOURLY_RATE-MAX(0,($D351+T$5)-PERMANENT_FIELD_LABOR_HOURS)*TEMP_HOURLY_RATE-FIXED_SEASON_COST)</f>
        <v/>
      </c>
      <c r="U351" s="53" t="str">
        <f aca="false">IF(OR($A351&gt;TOMATO_BED_CAP,$B351&gt;CARROT_BED_CAP,U$4&gt;MESCLUN_BED_CAP,$A351+$B351+U$4&gt;TOTAL_BEDS_AVAILABLE,($D351+U$5)&gt;TOTAL_LABOR_HOURS_CAP,MAX(0,($D351+U$5)-PERMANENT_FIELD_LABOR_HOURS)&gt;TEMP_HOURS_CAP),"",$C351+U$6-MIN(($D351+U$5),PERMANENT_FIELD_LABOR_HOURS)*PERMANENT_HOURLY_RATE-MAX(0,($D351+U$5)-PERMANENT_FIELD_LABOR_HOURS)*TEMP_HOURLY_RATE-FIXED_SEASON_COST)</f>
        <v/>
      </c>
      <c r="V351" s="53" t="str">
        <f aca="false">IF(OR($A351&gt;TOMATO_BED_CAP,$B351&gt;CARROT_BED_CAP,V$4&gt;MESCLUN_BED_CAP,$A351+$B351+V$4&gt;TOTAL_BEDS_AVAILABLE,($D351+V$5)&gt;TOTAL_LABOR_HOURS_CAP,MAX(0,($D351+V$5)-PERMANENT_FIELD_LABOR_HOURS)&gt;TEMP_HOURS_CAP),"",$C351+V$6-MIN(($D351+V$5),PERMANENT_FIELD_LABOR_HOURS)*PERMANENT_HOURLY_RATE-MAX(0,($D351+V$5)-PERMANENT_FIELD_LABOR_HOURS)*TEMP_HOURLY_RATE-FIXED_SEASON_COST)</f>
        <v/>
      </c>
      <c r="W351" s="53" t="str">
        <f aca="false">IF(OR($A351&gt;TOMATO_BED_CAP,$B351&gt;CARROT_BED_CAP,W$4&gt;MESCLUN_BED_CAP,$A351+$B351+W$4&gt;TOTAL_BEDS_AVAILABLE,($D351+W$5)&gt;TOTAL_LABOR_HOURS_CAP,MAX(0,($D351+W$5)-PERMANENT_FIELD_LABOR_HOURS)&gt;TEMP_HOURS_CAP),"",$C351+W$6-MIN(($D351+W$5),PERMANENT_FIELD_LABOR_HOURS)*PERMANENT_HOURLY_RATE-MAX(0,($D351+W$5)-PERMANENT_FIELD_LABOR_HOURS)*TEMP_HOURLY_RATE-FIXED_SEASON_COST)</f>
        <v/>
      </c>
      <c r="X351" s="53" t="str">
        <f aca="false">IF(OR($A351&gt;TOMATO_BED_CAP,$B351&gt;CARROT_BED_CAP,X$4&gt;MESCLUN_BED_CAP,$A351+$B351+X$4&gt;TOTAL_BEDS_AVAILABLE,($D351+X$5)&gt;TOTAL_LABOR_HOURS_CAP,MAX(0,($D351+X$5)-PERMANENT_FIELD_LABOR_HOURS)&gt;TEMP_HOURS_CAP),"",$C351+X$6-MIN(($D351+X$5),PERMANENT_FIELD_LABOR_HOURS)*PERMANENT_HOURLY_RATE-MAX(0,($D351+X$5)-PERMANENT_FIELD_LABOR_HOURS)*TEMP_HOURLY_RATE-FIXED_SEASON_COST)</f>
        <v/>
      </c>
      <c r="Y351" s="53" t="str">
        <f aca="false">IF(OR($A351&gt;TOMATO_BED_CAP,$B351&gt;CARROT_BED_CAP,Y$4&gt;MESCLUN_BED_CAP,$A351+$B351+Y$4&gt;TOTAL_BEDS_AVAILABLE,($D351+Y$5)&gt;TOTAL_LABOR_HOURS_CAP,MAX(0,($D351+Y$5)-PERMANENT_FIELD_LABOR_HOURS)&gt;TEMP_HOURS_CAP),"",$C351+Y$6-MIN(($D351+Y$5),PERMANENT_FIELD_LABOR_HOURS)*PERMANENT_HOURLY_RATE-MAX(0,($D351+Y$5)-PERMANENT_FIELD_LABOR_HOURS)*TEMP_HOURLY_RATE-FIXED_SEASON_COST)</f>
        <v/>
      </c>
      <c r="Z351" s="53" t="str">
        <f aca="false">IF(OR($A351&gt;TOMATO_BED_CAP,$B351&gt;CARROT_BED_CAP,Z$4&gt;MESCLUN_BED_CAP,$A351+$B351+Z$4&gt;TOTAL_BEDS_AVAILABLE,($D351+Z$5)&gt;TOTAL_LABOR_HOURS_CAP,MAX(0,($D351+Z$5)-PERMANENT_FIELD_LABOR_HOURS)&gt;TEMP_HOURS_CAP),"",$C351+Z$6-MIN(($D351+Z$5),PERMANENT_FIELD_LABOR_HOURS)*PERMANENT_HOURLY_RATE-MAX(0,($D351+Z$5)-PERMANENT_FIELD_LABOR_HOURS)*TEMP_HOURLY_RATE-FIXED_SEASON_COST)</f>
        <v/>
      </c>
      <c r="AA351" s="53" t="str">
        <f aca="false">IF(OR($A351&gt;TOMATO_BED_CAP,$B351&gt;CARROT_BED_CAP,AA$4&gt;MESCLUN_BED_CAP,$A351+$B351+AA$4&gt;TOTAL_BEDS_AVAILABLE,($D351+AA$5)&gt;TOTAL_LABOR_HOURS_CAP,MAX(0,($D351+AA$5)-PERMANENT_FIELD_LABOR_HOURS)&gt;TEMP_HOURS_CAP),"",$C351+AA$6-MIN(($D351+AA$5),PERMANENT_FIELD_LABOR_HOURS)*PERMANENT_HOURLY_RATE-MAX(0,($D351+AA$5)-PERMANENT_FIELD_LABOR_HOURS)*TEMP_HOURLY_RATE-FIXED_SEASON_COST)</f>
        <v/>
      </c>
      <c r="AB351" s="53" t="str">
        <f aca="false">IF(OR($A351&gt;TOMATO_BED_CAP,$B351&gt;CARROT_BED_CAP,AB$4&gt;MESCLUN_BED_CAP,$A351+$B351+AB$4&gt;TOTAL_BEDS_AVAILABLE,($D351+AB$5)&gt;TOTAL_LABOR_HOURS_CAP,MAX(0,($D351+AB$5)-PERMANENT_FIELD_LABOR_HOURS)&gt;TEMP_HOURS_CAP),"",$C351+AB$6-MIN(($D351+AB$5),PERMANENT_FIELD_LABOR_HOURS)*PERMANENT_HOURLY_RATE-MAX(0,($D351+AB$5)-PERMANENT_FIELD_LABOR_HOURS)*TEMP_HOURLY_RATE-FIXED_SEASON_COST)</f>
        <v/>
      </c>
      <c r="AC351" s="53" t="str">
        <f aca="false">IF(OR($A351&gt;TOMATO_BED_CAP,$B351&gt;CARROT_BED_CAP,AC$4&gt;MESCLUN_BED_CAP,$A351+$B351+AC$4&gt;TOTAL_BEDS_AVAILABLE,($D351+AC$5)&gt;TOTAL_LABOR_HOURS_CAP,MAX(0,($D351+AC$5)-PERMANENT_FIELD_LABOR_HOURS)&gt;TEMP_HOURS_CAP),"",$C351+AC$6-MIN(($D351+AC$5),PERMANENT_FIELD_LABOR_HOURS)*PERMANENT_HOURLY_RATE-MAX(0,($D351+AC$5)-PERMANENT_FIELD_LABOR_HOURS)*TEMP_HOURLY_RATE-FIXED_SEASON_COST)</f>
        <v/>
      </c>
      <c r="AD351" s="53" t="str">
        <f aca="false">IF(OR($A351&gt;TOMATO_BED_CAP,$B351&gt;CARROT_BED_CAP,AD$4&gt;MESCLUN_BED_CAP,$A351+$B351+AD$4&gt;TOTAL_BEDS_AVAILABLE,($D351+AD$5)&gt;TOTAL_LABOR_HOURS_CAP,MAX(0,($D351+AD$5)-PERMANENT_FIELD_LABOR_HOURS)&gt;TEMP_HOURS_CAP),"",$C351+AD$6-MIN(($D351+AD$5),PERMANENT_FIELD_LABOR_HOURS)*PERMANENT_HOURLY_RATE-MAX(0,($D351+AD$5)-PERMANENT_FIELD_LABOR_HOURS)*TEMP_HOURLY_RATE-FIXED_SEASON_COST)</f>
        <v/>
      </c>
      <c r="AE351" s="53" t="str">
        <f aca="false">IF(OR($A351&gt;TOMATO_BED_CAP,$B351&gt;CARROT_BED_CAP,AE$4&gt;MESCLUN_BED_CAP,$A351+$B351+AE$4&gt;TOTAL_BEDS_AVAILABLE,($D351+AE$5)&gt;TOTAL_LABOR_HOURS_CAP,MAX(0,($D351+AE$5)-PERMANENT_FIELD_LABOR_HOURS)&gt;TEMP_HOURS_CAP),"",$C351+AE$6-MIN(($D351+AE$5),PERMANENT_FIELD_LABOR_HOURS)*PERMANENT_HOURLY_RATE-MAX(0,($D351+AE$5)-PERMANENT_FIELD_LABOR_HOURS)*TEMP_HOURLY_RATE-FIXED_SEASON_COST)</f>
        <v/>
      </c>
      <c r="AF351" s="53" t="str">
        <f aca="false">IF(OR($A351&gt;TOMATO_BED_CAP,$B351&gt;CARROT_BED_CAP,AF$4&gt;MESCLUN_BED_CAP,$A351+$B351+AF$4&gt;TOTAL_BEDS_AVAILABLE,($D351+AF$5)&gt;TOTAL_LABOR_HOURS_CAP,MAX(0,($D351+AF$5)-PERMANENT_FIELD_LABOR_HOURS)&gt;TEMP_HOURS_CAP),"",$C351+AF$6-MIN(($D351+AF$5),PERMANENT_FIELD_LABOR_HOURS)*PERMANENT_HOURLY_RATE-MAX(0,($D351+AF$5)-PERMANENT_FIELD_LABOR_HOURS)*TEMP_HOURLY_RATE-FIXED_SEASON_COST)</f>
        <v/>
      </c>
      <c r="AG351" s="53" t="str">
        <f aca="false">IF(OR($A351&gt;TOMATO_BED_CAP,$B351&gt;CARROT_BED_CAP,AG$4&gt;MESCLUN_BED_CAP,$A351+$B351+AG$4&gt;TOTAL_BEDS_AVAILABLE,($D351+AG$5)&gt;TOTAL_LABOR_HOURS_CAP,MAX(0,($D351+AG$5)-PERMANENT_FIELD_LABOR_HOURS)&gt;TEMP_HOURS_CAP),"",$C351+AG$6-MIN(($D351+AG$5),PERMANENT_FIELD_LABOR_HOURS)*PERMANENT_HOURLY_RATE-MAX(0,($D351+AG$5)-PERMANENT_FIELD_LABOR_HOURS)*TEMP_HOURLY_RATE-FIXED_SEASON_COST)</f>
        <v/>
      </c>
      <c r="AH351" s="53" t="str">
        <f aca="false">IF(OR($A351&gt;TOMATO_BED_CAP,$B351&gt;CARROT_BED_CAP,AH$4&gt;MESCLUN_BED_CAP,$A351+$B351+AH$4&gt;TOTAL_BEDS_AVAILABLE,($D351+AH$5)&gt;TOTAL_LABOR_HOURS_CAP,MAX(0,($D351+AH$5)-PERMANENT_FIELD_LABOR_HOURS)&gt;TEMP_HOURS_CAP),"",$C351+AH$6-MIN(($D351+AH$5),PERMANENT_FIELD_LABOR_HOURS)*PERMANENT_HOURLY_RATE-MAX(0,($D351+AH$5)-PERMANENT_FIELD_LABOR_HOURS)*TEMP_HOURLY_RATE-FIXED_SEASON_COST)</f>
        <v/>
      </c>
      <c r="AI351" s="53" t="str">
        <f aca="false">IF(OR($A351&gt;TOMATO_BED_CAP,$B351&gt;CARROT_BED_CAP,AI$4&gt;MESCLUN_BED_CAP,$A351+$B351+AI$4&gt;TOTAL_BEDS_AVAILABLE,($D351+AI$5)&gt;TOTAL_LABOR_HOURS_CAP,MAX(0,($D351+AI$5)-PERMANENT_FIELD_LABOR_HOURS)&gt;TEMP_HOURS_CAP),"",$C351+AI$6-MIN(($D351+AI$5),PERMANENT_FIELD_LABOR_HOURS)*PERMANENT_HOURLY_RATE-MAX(0,($D351+AI$5)-PERMANENT_FIELD_LABOR_HOURS)*TEMP_HOURLY_RATE-FIXED_SEASON_COST)</f>
        <v/>
      </c>
      <c r="AJ351" s="53" t="str">
        <f aca="false">IF(OR($A351&gt;TOMATO_BED_CAP,$B351&gt;CARROT_BED_CAP,AJ$4&gt;MESCLUN_BED_CAP,$A351+$B351+AJ$4&gt;TOTAL_BEDS_AVAILABLE,($D351+AJ$5)&gt;TOTAL_LABOR_HOURS_CAP,MAX(0,($D351+AJ$5)-PERMANENT_FIELD_LABOR_HOURS)&gt;TEMP_HOURS_CAP),"",$C351+AJ$6-MIN(($D351+AJ$5),PERMANENT_FIELD_LABOR_HOURS)*PERMANENT_HOURLY_RATE-MAX(0,($D351+AJ$5)-PERMANENT_FIELD_LABOR_HOURS)*TEMP_HOURLY_RATE-FIXED_SEASON_COST)</f>
        <v/>
      </c>
    </row>
    <row r="352" customFormat="false" ht="15" hidden="false" customHeight="false" outlineLevel="0" collapsed="false">
      <c r="A352" s="21" t="n">
        <f aca="false">INT((ROW()-ROW($A$8))/(20+1))</f>
        <v>16</v>
      </c>
      <c r="B352" s="21" t="n">
        <f aca="false">MOD(ROW()-ROW($A$8),20+1)</f>
        <v>8</v>
      </c>
      <c r="C352" s="13" t="n">
        <f aca="false">A352*(TOMATO_REVENUE_PER_BED-TOMATO_FERTILIZER_PER_BED)+B352*(CARROT_REVENUE_PER_BED-CARROT_FERTILIZER_PER_BED)</f>
        <v>139952</v>
      </c>
      <c r="D352" s="14" t="n">
        <f aca="false">INDEX(TOMATO_SCHED_LABOR_HRS,A352+1)+INDEX(CARROT_SCHED_LABOR_HRS,B352+1)</f>
        <v>6909.06082907862</v>
      </c>
      <c r="E352" s="13" t="str">
        <f aca="false">IF(COUNT(F352:AJ352)=0,"",MAX(F352:AJ352))</f>
        <v/>
      </c>
      <c r="F352" s="53" t="str">
        <f aca="false">IF(OR($A352&gt;TOMATO_BED_CAP,$B352&gt;CARROT_BED_CAP,F$4&gt;MESCLUN_BED_CAP,$A352+$B352+F$4&gt;TOTAL_BEDS_AVAILABLE,($D352+F$5)&gt;TOTAL_LABOR_HOURS_CAP,MAX(0,($D352+F$5)-PERMANENT_FIELD_LABOR_HOURS)&gt;TEMP_HOURS_CAP),"",$C352+F$6-MIN(($D352+F$5),PERMANENT_FIELD_LABOR_HOURS)*PERMANENT_HOURLY_RATE-MAX(0,($D352+F$5)-PERMANENT_FIELD_LABOR_HOURS)*TEMP_HOURLY_RATE-FIXED_SEASON_COST)</f>
        <v/>
      </c>
      <c r="G352" s="53" t="str">
        <f aca="false">IF(OR($A352&gt;TOMATO_BED_CAP,$B352&gt;CARROT_BED_CAP,G$4&gt;MESCLUN_BED_CAP,$A352+$B352+G$4&gt;TOTAL_BEDS_AVAILABLE,($D352+G$5)&gt;TOTAL_LABOR_HOURS_CAP,MAX(0,($D352+G$5)-PERMANENT_FIELD_LABOR_HOURS)&gt;TEMP_HOURS_CAP),"",$C352+G$6-MIN(($D352+G$5),PERMANENT_FIELD_LABOR_HOURS)*PERMANENT_HOURLY_RATE-MAX(0,($D352+G$5)-PERMANENT_FIELD_LABOR_HOURS)*TEMP_HOURLY_RATE-FIXED_SEASON_COST)</f>
        <v/>
      </c>
      <c r="H352" s="53" t="str">
        <f aca="false">IF(OR($A352&gt;TOMATO_BED_CAP,$B352&gt;CARROT_BED_CAP,H$4&gt;MESCLUN_BED_CAP,$A352+$B352+H$4&gt;TOTAL_BEDS_AVAILABLE,($D352+H$5)&gt;TOTAL_LABOR_HOURS_CAP,MAX(0,($D352+H$5)-PERMANENT_FIELD_LABOR_HOURS)&gt;TEMP_HOURS_CAP),"",$C352+H$6-MIN(($D352+H$5),PERMANENT_FIELD_LABOR_HOURS)*PERMANENT_HOURLY_RATE-MAX(0,($D352+H$5)-PERMANENT_FIELD_LABOR_HOURS)*TEMP_HOURLY_RATE-FIXED_SEASON_COST)</f>
        <v/>
      </c>
      <c r="I352" s="53" t="str">
        <f aca="false">IF(OR($A352&gt;TOMATO_BED_CAP,$B352&gt;CARROT_BED_CAP,I$4&gt;MESCLUN_BED_CAP,$A352+$B352+I$4&gt;TOTAL_BEDS_AVAILABLE,($D352+I$5)&gt;TOTAL_LABOR_HOURS_CAP,MAX(0,($D352+I$5)-PERMANENT_FIELD_LABOR_HOURS)&gt;TEMP_HOURS_CAP),"",$C352+I$6-MIN(($D352+I$5),PERMANENT_FIELD_LABOR_HOURS)*PERMANENT_HOURLY_RATE-MAX(0,($D352+I$5)-PERMANENT_FIELD_LABOR_HOURS)*TEMP_HOURLY_RATE-FIXED_SEASON_COST)</f>
        <v/>
      </c>
      <c r="J352" s="53" t="str">
        <f aca="false">IF(OR($A352&gt;TOMATO_BED_CAP,$B352&gt;CARROT_BED_CAP,J$4&gt;MESCLUN_BED_CAP,$A352+$B352+J$4&gt;TOTAL_BEDS_AVAILABLE,($D352+J$5)&gt;TOTAL_LABOR_HOURS_CAP,MAX(0,($D352+J$5)-PERMANENT_FIELD_LABOR_HOURS)&gt;TEMP_HOURS_CAP),"",$C352+J$6-MIN(($D352+J$5),PERMANENT_FIELD_LABOR_HOURS)*PERMANENT_HOURLY_RATE-MAX(0,($D352+J$5)-PERMANENT_FIELD_LABOR_HOURS)*TEMP_HOURLY_RATE-FIXED_SEASON_COST)</f>
        <v/>
      </c>
      <c r="K352" s="53" t="str">
        <f aca="false">IF(OR($A352&gt;TOMATO_BED_CAP,$B352&gt;CARROT_BED_CAP,K$4&gt;MESCLUN_BED_CAP,$A352+$B352+K$4&gt;TOTAL_BEDS_AVAILABLE,($D352+K$5)&gt;TOTAL_LABOR_HOURS_CAP,MAX(0,($D352+K$5)-PERMANENT_FIELD_LABOR_HOURS)&gt;TEMP_HOURS_CAP),"",$C352+K$6-MIN(($D352+K$5),PERMANENT_FIELD_LABOR_HOURS)*PERMANENT_HOURLY_RATE-MAX(0,($D352+K$5)-PERMANENT_FIELD_LABOR_HOURS)*TEMP_HOURLY_RATE-FIXED_SEASON_COST)</f>
        <v/>
      </c>
      <c r="L352" s="53" t="str">
        <f aca="false">IF(OR($A352&gt;TOMATO_BED_CAP,$B352&gt;CARROT_BED_CAP,L$4&gt;MESCLUN_BED_CAP,$A352+$B352+L$4&gt;TOTAL_BEDS_AVAILABLE,($D352+L$5)&gt;TOTAL_LABOR_HOURS_CAP,MAX(0,($D352+L$5)-PERMANENT_FIELD_LABOR_HOURS)&gt;TEMP_HOURS_CAP),"",$C352+L$6-MIN(($D352+L$5),PERMANENT_FIELD_LABOR_HOURS)*PERMANENT_HOURLY_RATE-MAX(0,($D352+L$5)-PERMANENT_FIELD_LABOR_HOURS)*TEMP_HOURLY_RATE-FIXED_SEASON_COST)</f>
        <v/>
      </c>
      <c r="M352" s="53" t="str">
        <f aca="false">IF(OR($A352&gt;TOMATO_BED_CAP,$B352&gt;CARROT_BED_CAP,M$4&gt;MESCLUN_BED_CAP,$A352+$B352+M$4&gt;TOTAL_BEDS_AVAILABLE,($D352+M$5)&gt;TOTAL_LABOR_HOURS_CAP,MAX(0,($D352+M$5)-PERMANENT_FIELD_LABOR_HOURS)&gt;TEMP_HOURS_CAP),"",$C352+M$6-MIN(($D352+M$5),PERMANENT_FIELD_LABOR_HOURS)*PERMANENT_HOURLY_RATE-MAX(0,($D352+M$5)-PERMANENT_FIELD_LABOR_HOURS)*TEMP_HOURLY_RATE-FIXED_SEASON_COST)</f>
        <v/>
      </c>
      <c r="N352" s="53" t="str">
        <f aca="false">IF(OR($A352&gt;TOMATO_BED_CAP,$B352&gt;CARROT_BED_CAP,N$4&gt;MESCLUN_BED_CAP,$A352+$B352+N$4&gt;TOTAL_BEDS_AVAILABLE,($D352+N$5)&gt;TOTAL_LABOR_HOURS_CAP,MAX(0,($D352+N$5)-PERMANENT_FIELD_LABOR_HOURS)&gt;TEMP_HOURS_CAP),"",$C352+N$6-MIN(($D352+N$5),PERMANENT_FIELD_LABOR_HOURS)*PERMANENT_HOURLY_RATE-MAX(0,($D352+N$5)-PERMANENT_FIELD_LABOR_HOURS)*TEMP_HOURLY_RATE-FIXED_SEASON_COST)</f>
        <v/>
      </c>
      <c r="O352" s="53" t="str">
        <f aca="false">IF(OR($A352&gt;TOMATO_BED_CAP,$B352&gt;CARROT_BED_CAP,O$4&gt;MESCLUN_BED_CAP,$A352+$B352+O$4&gt;TOTAL_BEDS_AVAILABLE,($D352+O$5)&gt;TOTAL_LABOR_HOURS_CAP,MAX(0,($D352+O$5)-PERMANENT_FIELD_LABOR_HOURS)&gt;TEMP_HOURS_CAP),"",$C352+O$6-MIN(($D352+O$5),PERMANENT_FIELD_LABOR_HOURS)*PERMANENT_HOURLY_RATE-MAX(0,($D352+O$5)-PERMANENT_FIELD_LABOR_HOURS)*TEMP_HOURLY_RATE-FIXED_SEASON_COST)</f>
        <v/>
      </c>
      <c r="P352" s="53" t="str">
        <f aca="false">IF(OR($A352&gt;TOMATO_BED_CAP,$B352&gt;CARROT_BED_CAP,P$4&gt;MESCLUN_BED_CAP,$A352+$B352+P$4&gt;TOTAL_BEDS_AVAILABLE,($D352+P$5)&gt;TOTAL_LABOR_HOURS_CAP,MAX(0,($D352+P$5)-PERMANENT_FIELD_LABOR_HOURS)&gt;TEMP_HOURS_CAP),"",$C352+P$6-MIN(($D352+P$5),PERMANENT_FIELD_LABOR_HOURS)*PERMANENT_HOURLY_RATE-MAX(0,($D352+P$5)-PERMANENT_FIELD_LABOR_HOURS)*TEMP_HOURLY_RATE-FIXED_SEASON_COST)</f>
        <v/>
      </c>
      <c r="Q352" s="53" t="str">
        <f aca="false">IF(OR($A352&gt;TOMATO_BED_CAP,$B352&gt;CARROT_BED_CAP,Q$4&gt;MESCLUN_BED_CAP,$A352+$B352+Q$4&gt;TOTAL_BEDS_AVAILABLE,($D352+Q$5)&gt;TOTAL_LABOR_HOURS_CAP,MAX(0,($D352+Q$5)-PERMANENT_FIELD_LABOR_HOURS)&gt;TEMP_HOURS_CAP),"",$C352+Q$6-MIN(($D352+Q$5),PERMANENT_FIELD_LABOR_HOURS)*PERMANENT_HOURLY_RATE-MAX(0,($D352+Q$5)-PERMANENT_FIELD_LABOR_HOURS)*TEMP_HOURLY_RATE-FIXED_SEASON_COST)</f>
        <v/>
      </c>
      <c r="R352" s="53" t="str">
        <f aca="false">IF(OR($A352&gt;TOMATO_BED_CAP,$B352&gt;CARROT_BED_CAP,R$4&gt;MESCLUN_BED_CAP,$A352+$B352+R$4&gt;TOTAL_BEDS_AVAILABLE,($D352+R$5)&gt;TOTAL_LABOR_HOURS_CAP,MAX(0,($D352+R$5)-PERMANENT_FIELD_LABOR_HOURS)&gt;TEMP_HOURS_CAP),"",$C352+R$6-MIN(($D352+R$5),PERMANENT_FIELD_LABOR_HOURS)*PERMANENT_HOURLY_RATE-MAX(0,($D352+R$5)-PERMANENT_FIELD_LABOR_HOURS)*TEMP_HOURLY_RATE-FIXED_SEASON_COST)</f>
        <v/>
      </c>
      <c r="S352" s="53" t="str">
        <f aca="false">IF(OR($A352&gt;TOMATO_BED_CAP,$B352&gt;CARROT_BED_CAP,S$4&gt;MESCLUN_BED_CAP,$A352+$B352+S$4&gt;TOTAL_BEDS_AVAILABLE,($D352+S$5)&gt;TOTAL_LABOR_HOURS_CAP,MAX(0,($D352+S$5)-PERMANENT_FIELD_LABOR_HOURS)&gt;TEMP_HOURS_CAP),"",$C352+S$6-MIN(($D352+S$5),PERMANENT_FIELD_LABOR_HOURS)*PERMANENT_HOURLY_RATE-MAX(0,($D352+S$5)-PERMANENT_FIELD_LABOR_HOURS)*TEMP_HOURLY_RATE-FIXED_SEASON_COST)</f>
        <v/>
      </c>
      <c r="T352" s="53" t="str">
        <f aca="false">IF(OR($A352&gt;TOMATO_BED_CAP,$B352&gt;CARROT_BED_CAP,T$4&gt;MESCLUN_BED_CAP,$A352+$B352+T$4&gt;TOTAL_BEDS_AVAILABLE,($D352+T$5)&gt;TOTAL_LABOR_HOURS_CAP,MAX(0,($D352+T$5)-PERMANENT_FIELD_LABOR_HOURS)&gt;TEMP_HOURS_CAP),"",$C352+T$6-MIN(($D352+T$5),PERMANENT_FIELD_LABOR_HOURS)*PERMANENT_HOURLY_RATE-MAX(0,($D352+T$5)-PERMANENT_FIELD_LABOR_HOURS)*TEMP_HOURLY_RATE-FIXED_SEASON_COST)</f>
        <v/>
      </c>
      <c r="U352" s="53" t="str">
        <f aca="false">IF(OR($A352&gt;TOMATO_BED_CAP,$B352&gt;CARROT_BED_CAP,U$4&gt;MESCLUN_BED_CAP,$A352+$B352+U$4&gt;TOTAL_BEDS_AVAILABLE,($D352+U$5)&gt;TOTAL_LABOR_HOURS_CAP,MAX(0,($D352+U$5)-PERMANENT_FIELD_LABOR_HOURS)&gt;TEMP_HOURS_CAP),"",$C352+U$6-MIN(($D352+U$5),PERMANENT_FIELD_LABOR_HOURS)*PERMANENT_HOURLY_RATE-MAX(0,($D352+U$5)-PERMANENT_FIELD_LABOR_HOURS)*TEMP_HOURLY_RATE-FIXED_SEASON_COST)</f>
        <v/>
      </c>
      <c r="V352" s="53" t="str">
        <f aca="false">IF(OR($A352&gt;TOMATO_BED_CAP,$B352&gt;CARROT_BED_CAP,V$4&gt;MESCLUN_BED_CAP,$A352+$B352+V$4&gt;TOTAL_BEDS_AVAILABLE,($D352+V$5)&gt;TOTAL_LABOR_HOURS_CAP,MAX(0,($D352+V$5)-PERMANENT_FIELD_LABOR_HOURS)&gt;TEMP_HOURS_CAP),"",$C352+V$6-MIN(($D352+V$5),PERMANENT_FIELD_LABOR_HOURS)*PERMANENT_HOURLY_RATE-MAX(0,($D352+V$5)-PERMANENT_FIELD_LABOR_HOURS)*TEMP_HOURLY_RATE-FIXED_SEASON_COST)</f>
        <v/>
      </c>
      <c r="W352" s="53" t="str">
        <f aca="false">IF(OR($A352&gt;TOMATO_BED_CAP,$B352&gt;CARROT_BED_CAP,W$4&gt;MESCLUN_BED_CAP,$A352+$B352+W$4&gt;TOTAL_BEDS_AVAILABLE,($D352+W$5)&gt;TOTAL_LABOR_HOURS_CAP,MAX(0,($D352+W$5)-PERMANENT_FIELD_LABOR_HOURS)&gt;TEMP_HOURS_CAP),"",$C352+W$6-MIN(($D352+W$5),PERMANENT_FIELD_LABOR_HOURS)*PERMANENT_HOURLY_RATE-MAX(0,($D352+W$5)-PERMANENT_FIELD_LABOR_HOURS)*TEMP_HOURLY_RATE-FIXED_SEASON_COST)</f>
        <v/>
      </c>
      <c r="X352" s="53" t="str">
        <f aca="false">IF(OR($A352&gt;TOMATO_BED_CAP,$B352&gt;CARROT_BED_CAP,X$4&gt;MESCLUN_BED_CAP,$A352+$B352+X$4&gt;TOTAL_BEDS_AVAILABLE,($D352+X$5)&gt;TOTAL_LABOR_HOURS_CAP,MAX(0,($D352+X$5)-PERMANENT_FIELD_LABOR_HOURS)&gt;TEMP_HOURS_CAP),"",$C352+X$6-MIN(($D352+X$5),PERMANENT_FIELD_LABOR_HOURS)*PERMANENT_HOURLY_RATE-MAX(0,($D352+X$5)-PERMANENT_FIELD_LABOR_HOURS)*TEMP_HOURLY_RATE-FIXED_SEASON_COST)</f>
        <v/>
      </c>
      <c r="Y352" s="53" t="str">
        <f aca="false">IF(OR($A352&gt;TOMATO_BED_CAP,$B352&gt;CARROT_BED_CAP,Y$4&gt;MESCLUN_BED_CAP,$A352+$B352+Y$4&gt;TOTAL_BEDS_AVAILABLE,($D352+Y$5)&gt;TOTAL_LABOR_HOURS_CAP,MAX(0,($D352+Y$5)-PERMANENT_FIELD_LABOR_HOURS)&gt;TEMP_HOURS_CAP),"",$C352+Y$6-MIN(($D352+Y$5),PERMANENT_FIELD_LABOR_HOURS)*PERMANENT_HOURLY_RATE-MAX(0,($D352+Y$5)-PERMANENT_FIELD_LABOR_HOURS)*TEMP_HOURLY_RATE-FIXED_SEASON_COST)</f>
        <v/>
      </c>
      <c r="Z352" s="53" t="str">
        <f aca="false">IF(OR($A352&gt;TOMATO_BED_CAP,$B352&gt;CARROT_BED_CAP,Z$4&gt;MESCLUN_BED_CAP,$A352+$B352+Z$4&gt;TOTAL_BEDS_AVAILABLE,($D352+Z$5)&gt;TOTAL_LABOR_HOURS_CAP,MAX(0,($D352+Z$5)-PERMANENT_FIELD_LABOR_HOURS)&gt;TEMP_HOURS_CAP),"",$C352+Z$6-MIN(($D352+Z$5),PERMANENT_FIELD_LABOR_HOURS)*PERMANENT_HOURLY_RATE-MAX(0,($D352+Z$5)-PERMANENT_FIELD_LABOR_HOURS)*TEMP_HOURLY_RATE-FIXED_SEASON_COST)</f>
        <v/>
      </c>
      <c r="AA352" s="53" t="str">
        <f aca="false">IF(OR($A352&gt;TOMATO_BED_CAP,$B352&gt;CARROT_BED_CAP,AA$4&gt;MESCLUN_BED_CAP,$A352+$B352+AA$4&gt;TOTAL_BEDS_AVAILABLE,($D352+AA$5)&gt;TOTAL_LABOR_HOURS_CAP,MAX(0,($D352+AA$5)-PERMANENT_FIELD_LABOR_HOURS)&gt;TEMP_HOURS_CAP),"",$C352+AA$6-MIN(($D352+AA$5),PERMANENT_FIELD_LABOR_HOURS)*PERMANENT_HOURLY_RATE-MAX(0,($D352+AA$5)-PERMANENT_FIELD_LABOR_HOURS)*TEMP_HOURLY_RATE-FIXED_SEASON_COST)</f>
        <v/>
      </c>
      <c r="AB352" s="53" t="str">
        <f aca="false">IF(OR($A352&gt;TOMATO_BED_CAP,$B352&gt;CARROT_BED_CAP,AB$4&gt;MESCLUN_BED_CAP,$A352+$B352+AB$4&gt;TOTAL_BEDS_AVAILABLE,($D352+AB$5)&gt;TOTAL_LABOR_HOURS_CAP,MAX(0,($D352+AB$5)-PERMANENT_FIELD_LABOR_HOURS)&gt;TEMP_HOURS_CAP),"",$C352+AB$6-MIN(($D352+AB$5),PERMANENT_FIELD_LABOR_HOURS)*PERMANENT_HOURLY_RATE-MAX(0,($D352+AB$5)-PERMANENT_FIELD_LABOR_HOURS)*TEMP_HOURLY_RATE-FIXED_SEASON_COST)</f>
        <v/>
      </c>
      <c r="AC352" s="53" t="str">
        <f aca="false">IF(OR($A352&gt;TOMATO_BED_CAP,$B352&gt;CARROT_BED_CAP,AC$4&gt;MESCLUN_BED_CAP,$A352+$B352+AC$4&gt;TOTAL_BEDS_AVAILABLE,($D352+AC$5)&gt;TOTAL_LABOR_HOURS_CAP,MAX(0,($D352+AC$5)-PERMANENT_FIELD_LABOR_HOURS)&gt;TEMP_HOURS_CAP),"",$C352+AC$6-MIN(($D352+AC$5),PERMANENT_FIELD_LABOR_HOURS)*PERMANENT_HOURLY_RATE-MAX(0,($D352+AC$5)-PERMANENT_FIELD_LABOR_HOURS)*TEMP_HOURLY_RATE-FIXED_SEASON_COST)</f>
        <v/>
      </c>
      <c r="AD352" s="53" t="str">
        <f aca="false">IF(OR($A352&gt;TOMATO_BED_CAP,$B352&gt;CARROT_BED_CAP,AD$4&gt;MESCLUN_BED_CAP,$A352+$B352+AD$4&gt;TOTAL_BEDS_AVAILABLE,($D352+AD$5)&gt;TOTAL_LABOR_HOURS_CAP,MAX(0,($D352+AD$5)-PERMANENT_FIELD_LABOR_HOURS)&gt;TEMP_HOURS_CAP),"",$C352+AD$6-MIN(($D352+AD$5),PERMANENT_FIELD_LABOR_HOURS)*PERMANENT_HOURLY_RATE-MAX(0,($D352+AD$5)-PERMANENT_FIELD_LABOR_HOURS)*TEMP_HOURLY_RATE-FIXED_SEASON_COST)</f>
        <v/>
      </c>
      <c r="AE352" s="53" t="str">
        <f aca="false">IF(OR($A352&gt;TOMATO_BED_CAP,$B352&gt;CARROT_BED_CAP,AE$4&gt;MESCLUN_BED_CAP,$A352+$B352+AE$4&gt;TOTAL_BEDS_AVAILABLE,($D352+AE$5)&gt;TOTAL_LABOR_HOURS_CAP,MAX(0,($D352+AE$5)-PERMANENT_FIELD_LABOR_HOURS)&gt;TEMP_HOURS_CAP),"",$C352+AE$6-MIN(($D352+AE$5),PERMANENT_FIELD_LABOR_HOURS)*PERMANENT_HOURLY_RATE-MAX(0,($D352+AE$5)-PERMANENT_FIELD_LABOR_HOURS)*TEMP_HOURLY_RATE-FIXED_SEASON_COST)</f>
        <v/>
      </c>
      <c r="AF352" s="53" t="str">
        <f aca="false">IF(OR($A352&gt;TOMATO_BED_CAP,$B352&gt;CARROT_BED_CAP,AF$4&gt;MESCLUN_BED_CAP,$A352+$B352+AF$4&gt;TOTAL_BEDS_AVAILABLE,($D352+AF$5)&gt;TOTAL_LABOR_HOURS_CAP,MAX(0,($D352+AF$5)-PERMANENT_FIELD_LABOR_HOURS)&gt;TEMP_HOURS_CAP),"",$C352+AF$6-MIN(($D352+AF$5),PERMANENT_FIELD_LABOR_HOURS)*PERMANENT_HOURLY_RATE-MAX(0,($D352+AF$5)-PERMANENT_FIELD_LABOR_HOURS)*TEMP_HOURLY_RATE-FIXED_SEASON_COST)</f>
        <v/>
      </c>
      <c r="AG352" s="53" t="str">
        <f aca="false">IF(OR($A352&gt;TOMATO_BED_CAP,$B352&gt;CARROT_BED_CAP,AG$4&gt;MESCLUN_BED_CAP,$A352+$B352+AG$4&gt;TOTAL_BEDS_AVAILABLE,($D352+AG$5)&gt;TOTAL_LABOR_HOURS_CAP,MAX(0,($D352+AG$5)-PERMANENT_FIELD_LABOR_HOURS)&gt;TEMP_HOURS_CAP),"",$C352+AG$6-MIN(($D352+AG$5),PERMANENT_FIELD_LABOR_HOURS)*PERMANENT_HOURLY_RATE-MAX(0,($D352+AG$5)-PERMANENT_FIELD_LABOR_HOURS)*TEMP_HOURLY_RATE-FIXED_SEASON_COST)</f>
        <v/>
      </c>
      <c r="AH352" s="53" t="str">
        <f aca="false">IF(OR($A352&gt;TOMATO_BED_CAP,$B352&gt;CARROT_BED_CAP,AH$4&gt;MESCLUN_BED_CAP,$A352+$B352+AH$4&gt;TOTAL_BEDS_AVAILABLE,($D352+AH$5)&gt;TOTAL_LABOR_HOURS_CAP,MAX(0,($D352+AH$5)-PERMANENT_FIELD_LABOR_HOURS)&gt;TEMP_HOURS_CAP),"",$C352+AH$6-MIN(($D352+AH$5),PERMANENT_FIELD_LABOR_HOURS)*PERMANENT_HOURLY_RATE-MAX(0,($D352+AH$5)-PERMANENT_FIELD_LABOR_HOURS)*TEMP_HOURLY_RATE-FIXED_SEASON_COST)</f>
        <v/>
      </c>
      <c r="AI352" s="53" t="str">
        <f aca="false">IF(OR($A352&gt;TOMATO_BED_CAP,$B352&gt;CARROT_BED_CAP,AI$4&gt;MESCLUN_BED_CAP,$A352+$B352+AI$4&gt;TOTAL_BEDS_AVAILABLE,($D352+AI$5)&gt;TOTAL_LABOR_HOURS_CAP,MAX(0,($D352+AI$5)-PERMANENT_FIELD_LABOR_HOURS)&gt;TEMP_HOURS_CAP),"",$C352+AI$6-MIN(($D352+AI$5),PERMANENT_FIELD_LABOR_HOURS)*PERMANENT_HOURLY_RATE-MAX(0,($D352+AI$5)-PERMANENT_FIELD_LABOR_HOURS)*TEMP_HOURLY_RATE-FIXED_SEASON_COST)</f>
        <v/>
      </c>
      <c r="AJ352" s="53" t="str">
        <f aca="false">IF(OR($A352&gt;TOMATO_BED_CAP,$B352&gt;CARROT_BED_CAP,AJ$4&gt;MESCLUN_BED_CAP,$A352+$B352+AJ$4&gt;TOTAL_BEDS_AVAILABLE,($D352+AJ$5)&gt;TOTAL_LABOR_HOURS_CAP,MAX(0,($D352+AJ$5)-PERMANENT_FIELD_LABOR_HOURS)&gt;TEMP_HOURS_CAP),"",$C352+AJ$6-MIN(($D352+AJ$5),PERMANENT_FIELD_LABOR_HOURS)*PERMANENT_HOURLY_RATE-MAX(0,($D352+AJ$5)-PERMANENT_FIELD_LABOR_HOURS)*TEMP_HOURLY_RATE-FIXED_SEASON_COST)</f>
        <v/>
      </c>
    </row>
    <row r="353" customFormat="false" ht="15" hidden="false" customHeight="false" outlineLevel="0" collapsed="false">
      <c r="A353" s="21" t="n">
        <f aca="false">INT((ROW()-ROW($A$8))/(20+1))</f>
        <v>16</v>
      </c>
      <c r="B353" s="21" t="n">
        <f aca="false">MOD(ROW()-ROW($A$8),20+1)</f>
        <v>9</v>
      </c>
      <c r="C353" s="13" t="n">
        <f aca="false">A353*(TOMATO_REVENUE_PER_BED-TOMATO_FERTILIZER_PER_BED)+B353*(CARROT_REVENUE_PER_BED-CARROT_FERTILIZER_PER_BED)</f>
        <v>141606</v>
      </c>
      <c r="D353" s="14" t="n">
        <f aca="false">INDEX(TOMATO_SCHED_LABOR_HRS,A353+1)+INDEX(CARROT_SCHED_LABOR_HRS,B353+1)</f>
        <v>6953.81922503952</v>
      </c>
      <c r="E353" s="13" t="str">
        <f aca="false">IF(COUNT(F353:AJ353)=0,"",MAX(F353:AJ353))</f>
        <v/>
      </c>
      <c r="F353" s="53" t="str">
        <f aca="false">IF(OR($A353&gt;TOMATO_BED_CAP,$B353&gt;CARROT_BED_CAP,F$4&gt;MESCLUN_BED_CAP,$A353+$B353+F$4&gt;TOTAL_BEDS_AVAILABLE,($D353+F$5)&gt;TOTAL_LABOR_HOURS_CAP,MAX(0,($D353+F$5)-PERMANENT_FIELD_LABOR_HOURS)&gt;TEMP_HOURS_CAP),"",$C353+F$6-MIN(($D353+F$5),PERMANENT_FIELD_LABOR_HOURS)*PERMANENT_HOURLY_RATE-MAX(0,($D353+F$5)-PERMANENT_FIELD_LABOR_HOURS)*TEMP_HOURLY_RATE-FIXED_SEASON_COST)</f>
        <v/>
      </c>
      <c r="G353" s="53" t="str">
        <f aca="false">IF(OR($A353&gt;TOMATO_BED_CAP,$B353&gt;CARROT_BED_CAP,G$4&gt;MESCLUN_BED_CAP,$A353+$B353+G$4&gt;TOTAL_BEDS_AVAILABLE,($D353+G$5)&gt;TOTAL_LABOR_HOURS_CAP,MAX(0,($D353+G$5)-PERMANENT_FIELD_LABOR_HOURS)&gt;TEMP_HOURS_CAP),"",$C353+G$6-MIN(($D353+G$5),PERMANENT_FIELD_LABOR_HOURS)*PERMANENT_HOURLY_RATE-MAX(0,($D353+G$5)-PERMANENT_FIELD_LABOR_HOURS)*TEMP_HOURLY_RATE-FIXED_SEASON_COST)</f>
        <v/>
      </c>
      <c r="H353" s="53" t="str">
        <f aca="false">IF(OR($A353&gt;TOMATO_BED_CAP,$B353&gt;CARROT_BED_CAP,H$4&gt;MESCLUN_BED_CAP,$A353+$B353+H$4&gt;TOTAL_BEDS_AVAILABLE,($D353+H$5)&gt;TOTAL_LABOR_HOURS_CAP,MAX(0,($D353+H$5)-PERMANENT_FIELD_LABOR_HOURS)&gt;TEMP_HOURS_CAP),"",$C353+H$6-MIN(($D353+H$5),PERMANENT_FIELD_LABOR_HOURS)*PERMANENT_HOURLY_RATE-MAX(0,($D353+H$5)-PERMANENT_FIELD_LABOR_HOURS)*TEMP_HOURLY_RATE-FIXED_SEASON_COST)</f>
        <v/>
      </c>
      <c r="I353" s="53" t="str">
        <f aca="false">IF(OR($A353&gt;TOMATO_BED_CAP,$B353&gt;CARROT_BED_CAP,I$4&gt;MESCLUN_BED_CAP,$A353+$B353+I$4&gt;TOTAL_BEDS_AVAILABLE,($D353+I$5)&gt;TOTAL_LABOR_HOURS_CAP,MAX(0,($D353+I$5)-PERMANENT_FIELD_LABOR_HOURS)&gt;TEMP_HOURS_CAP),"",$C353+I$6-MIN(($D353+I$5),PERMANENT_FIELD_LABOR_HOURS)*PERMANENT_HOURLY_RATE-MAX(0,($D353+I$5)-PERMANENT_FIELD_LABOR_HOURS)*TEMP_HOURLY_RATE-FIXED_SEASON_COST)</f>
        <v/>
      </c>
      <c r="J353" s="53" t="str">
        <f aca="false">IF(OR($A353&gt;TOMATO_BED_CAP,$B353&gt;CARROT_BED_CAP,J$4&gt;MESCLUN_BED_CAP,$A353+$B353+J$4&gt;TOTAL_BEDS_AVAILABLE,($D353+J$5)&gt;TOTAL_LABOR_HOURS_CAP,MAX(0,($D353+J$5)-PERMANENT_FIELD_LABOR_HOURS)&gt;TEMP_HOURS_CAP),"",$C353+J$6-MIN(($D353+J$5),PERMANENT_FIELD_LABOR_HOURS)*PERMANENT_HOURLY_RATE-MAX(0,($D353+J$5)-PERMANENT_FIELD_LABOR_HOURS)*TEMP_HOURLY_RATE-FIXED_SEASON_COST)</f>
        <v/>
      </c>
      <c r="K353" s="53" t="str">
        <f aca="false">IF(OR($A353&gt;TOMATO_BED_CAP,$B353&gt;CARROT_BED_CAP,K$4&gt;MESCLUN_BED_CAP,$A353+$B353+K$4&gt;TOTAL_BEDS_AVAILABLE,($D353+K$5)&gt;TOTAL_LABOR_HOURS_CAP,MAX(0,($D353+K$5)-PERMANENT_FIELD_LABOR_HOURS)&gt;TEMP_HOURS_CAP),"",$C353+K$6-MIN(($D353+K$5),PERMANENT_FIELD_LABOR_HOURS)*PERMANENT_HOURLY_RATE-MAX(0,($D353+K$5)-PERMANENT_FIELD_LABOR_HOURS)*TEMP_HOURLY_RATE-FIXED_SEASON_COST)</f>
        <v/>
      </c>
      <c r="L353" s="53" t="str">
        <f aca="false">IF(OR($A353&gt;TOMATO_BED_CAP,$B353&gt;CARROT_BED_CAP,L$4&gt;MESCLUN_BED_CAP,$A353+$B353+L$4&gt;TOTAL_BEDS_AVAILABLE,($D353+L$5)&gt;TOTAL_LABOR_HOURS_CAP,MAX(0,($D353+L$5)-PERMANENT_FIELD_LABOR_HOURS)&gt;TEMP_HOURS_CAP),"",$C353+L$6-MIN(($D353+L$5),PERMANENT_FIELD_LABOR_HOURS)*PERMANENT_HOURLY_RATE-MAX(0,($D353+L$5)-PERMANENT_FIELD_LABOR_HOURS)*TEMP_HOURLY_RATE-FIXED_SEASON_COST)</f>
        <v/>
      </c>
      <c r="M353" s="53" t="str">
        <f aca="false">IF(OR($A353&gt;TOMATO_BED_CAP,$B353&gt;CARROT_BED_CAP,M$4&gt;MESCLUN_BED_CAP,$A353+$B353+M$4&gt;TOTAL_BEDS_AVAILABLE,($D353+M$5)&gt;TOTAL_LABOR_HOURS_CAP,MAX(0,($D353+M$5)-PERMANENT_FIELD_LABOR_HOURS)&gt;TEMP_HOURS_CAP),"",$C353+M$6-MIN(($D353+M$5),PERMANENT_FIELD_LABOR_HOURS)*PERMANENT_HOURLY_RATE-MAX(0,($D353+M$5)-PERMANENT_FIELD_LABOR_HOURS)*TEMP_HOURLY_RATE-FIXED_SEASON_COST)</f>
        <v/>
      </c>
      <c r="N353" s="53" t="str">
        <f aca="false">IF(OR($A353&gt;TOMATO_BED_CAP,$B353&gt;CARROT_BED_CAP,N$4&gt;MESCLUN_BED_CAP,$A353+$B353+N$4&gt;TOTAL_BEDS_AVAILABLE,($D353+N$5)&gt;TOTAL_LABOR_HOURS_CAP,MAX(0,($D353+N$5)-PERMANENT_FIELD_LABOR_HOURS)&gt;TEMP_HOURS_CAP),"",$C353+N$6-MIN(($D353+N$5),PERMANENT_FIELD_LABOR_HOURS)*PERMANENT_HOURLY_RATE-MAX(0,($D353+N$5)-PERMANENT_FIELD_LABOR_HOURS)*TEMP_HOURLY_RATE-FIXED_SEASON_COST)</f>
        <v/>
      </c>
      <c r="O353" s="53" t="str">
        <f aca="false">IF(OR($A353&gt;TOMATO_BED_CAP,$B353&gt;CARROT_BED_CAP,O$4&gt;MESCLUN_BED_CAP,$A353+$B353+O$4&gt;TOTAL_BEDS_AVAILABLE,($D353+O$5)&gt;TOTAL_LABOR_HOURS_CAP,MAX(0,($D353+O$5)-PERMANENT_FIELD_LABOR_HOURS)&gt;TEMP_HOURS_CAP),"",$C353+O$6-MIN(($D353+O$5),PERMANENT_FIELD_LABOR_HOURS)*PERMANENT_HOURLY_RATE-MAX(0,($D353+O$5)-PERMANENT_FIELD_LABOR_HOURS)*TEMP_HOURLY_RATE-FIXED_SEASON_COST)</f>
        <v/>
      </c>
      <c r="P353" s="53" t="str">
        <f aca="false">IF(OR($A353&gt;TOMATO_BED_CAP,$B353&gt;CARROT_BED_CAP,P$4&gt;MESCLUN_BED_CAP,$A353+$B353+P$4&gt;TOTAL_BEDS_AVAILABLE,($D353+P$5)&gt;TOTAL_LABOR_HOURS_CAP,MAX(0,($D353+P$5)-PERMANENT_FIELD_LABOR_HOURS)&gt;TEMP_HOURS_CAP),"",$C353+P$6-MIN(($D353+P$5),PERMANENT_FIELD_LABOR_HOURS)*PERMANENT_HOURLY_RATE-MAX(0,($D353+P$5)-PERMANENT_FIELD_LABOR_HOURS)*TEMP_HOURLY_RATE-FIXED_SEASON_COST)</f>
        <v/>
      </c>
      <c r="Q353" s="53" t="str">
        <f aca="false">IF(OR($A353&gt;TOMATO_BED_CAP,$B353&gt;CARROT_BED_CAP,Q$4&gt;MESCLUN_BED_CAP,$A353+$B353+Q$4&gt;TOTAL_BEDS_AVAILABLE,($D353+Q$5)&gt;TOTAL_LABOR_HOURS_CAP,MAX(0,($D353+Q$5)-PERMANENT_FIELD_LABOR_HOURS)&gt;TEMP_HOURS_CAP),"",$C353+Q$6-MIN(($D353+Q$5),PERMANENT_FIELD_LABOR_HOURS)*PERMANENT_HOURLY_RATE-MAX(0,($D353+Q$5)-PERMANENT_FIELD_LABOR_HOURS)*TEMP_HOURLY_RATE-FIXED_SEASON_COST)</f>
        <v/>
      </c>
      <c r="R353" s="53" t="str">
        <f aca="false">IF(OR($A353&gt;TOMATO_BED_CAP,$B353&gt;CARROT_BED_CAP,R$4&gt;MESCLUN_BED_CAP,$A353+$B353+R$4&gt;TOTAL_BEDS_AVAILABLE,($D353+R$5)&gt;TOTAL_LABOR_HOURS_CAP,MAX(0,($D353+R$5)-PERMANENT_FIELD_LABOR_HOURS)&gt;TEMP_HOURS_CAP),"",$C353+R$6-MIN(($D353+R$5),PERMANENT_FIELD_LABOR_HOURS)*PERMANENT_HOURLY_RATE-MAX(0,($D353+R$5)-PERMANENT_FIELD_LABOR_HOURS)*TEMP_HOURLY_RATE-FIXED_SEASON_COST)</f>
        <v/>
      </c>
      <c r="S353" s="53" t="str">
        <f aca="false">IF(OR($A353&gt;TOMATO_BED_CAP,$B353&gt;CARROT_BED_CAP,S$4&gt;MESCLUN_BED_CAP,$A353+$B353+S$4&gt;TOTAL_BEDS_AVAILABLE,($D353+S$5)&gt;TOTAL_LABOR_HOURS_CAP,MAX(0,($D353+S$5)-PERMANENT_FIELD_LABOR_HOURS)&gt;TEMP_HOURS_CAP),"",$C353+S$6-MIN(($D353+S$5),PERMANENT_FIELD_LABOR_HOURS)*PERMANENT_HOURLY_RATE-MAX(0,($D353+S$5)-PERMANENT_FIELD_LABOR_HOURS)*TEMP_HOURLY_RATE-FIXED_SEASON_COST)</f>
        <v/>
      </c>
      <c r="T353" s="53" t="str">
        <f aca="false">IF(OR($A353&gt;TOMATO_BED_CAP,$B353&gt;CARROT_BED_CAP,T$4&gt;MESCLUN_BED_CAP,$A353+$B353+T$4&gt;TOTAL_BEDS_AVAILABLE,($D353+T$5)&gt;TOTAL_LABOR_HOURS_CAP,MAX(0,($D353+T$5)-PERMANENT_FIELD_LABOR_HOURS)&gt;TEMP_HOURS_CAP),"",$C353+T$6-MIN(($D353+T$5),PERMANENT_FIELD_LABOR_HOURS)*PERMANENT_HOURLY_RATE-MAX(0,($D353+T$5)-PERMANENT_FIELD_LABOR_HOURS)*TEMP_HOURLY_RATE-FIXED_SEASON_COST)</f>
        <v/>
      </c>
      <c r="U353" s="53" t="str">
        <f aca="false">IF(OR($A353&gt;TOMATO_BED_CAP,$B353&gt;CARROT_BED_CAP,U$4&gt;MESCLUN_BED_CAP,$A353+$B353+U$4&gt;TOTAL_BEDS_AVAILABLE,($D353+U$5)&gt;TOTAL_LABOR_HOURS_CAP,MAX(0,($D353+U$5)-PERMANENT_FIELD_LABOR_HOURS)&gt;TEMP_HOURS_CAP),"",$C353+U$6-MIN(($D353+U$5),PERMANENT_FIELD_LABOR_HOURS)*PERMANENT_HOURLY_RATE-MAX(0,($D353+U$5)-PERMANENT_FIELD_LABOR_HOURS)*TEMP_HOURLY_RATE-FIXED_SEASON_COST)</f>
        <v/>
      </c>
      <c r="V353" s="53" t="str">
        <f aca="false">IF(OR($A353&gt;TOMATO_BED_CAP,$B353&gt;CARROT_BED_CAP,V$4&gt;MESCLUN_BED_CAP,$A353+$B353+V$4&gt;TOTAL_BEDS_AVAILABLE,($D353+V$5)&gt;TOTAL_LABOR_HOURS_CAP,MAX(0,($D353+V$5)-PERMANENT_FIELD_LABOR_HOURS)&gt;TEMP_HOURS_CAP),"",$C353+V$6-MIN(($D353+V$5),PERMANENT_FIELD_LABOR_HOURS)*PERMANENT_HOURLY_RATE-MAX(0,($D353+V$5)-PERMANENT_FIELD_LABOR_HOURS)*TEMP_HOURLY_RATE-FIXED_SEASON_COST)</f>
        <v/>
      </c>
      <c r="W353" s="53" t="str">
        <f aca="false">IF(OR($A353&gt;TOMATO_BED_CAP,$B353&gt;CARROT_BED_CAP,W$4&gt;MESCLUN_BED_CAP,$A353+$B353+W$4&gt;TOTAL_BEDS_AVAILABLE,($D353+W$5)&gt;TOTAL_LABOR_HOURS_CAP,MAX(0,($D353+W$5)-PERMANENT_FIELD_LABOR_HOURS)&gt;TEMP_HOURS_CAP),"",$C353+W$6-MIN(($D353+W$5),PERMANENT_FIELD_LABOR_HOURS)*PERMANENT_HOURLY_RATE-MAX(0,($D353+W$5)-PERMANENT_FIELD_LABOR_HOURS)*TEMP_HOURLY_RATE-FIXED_SEASON_COST)</f>
        <v/>
      </c>
      <c r="X353" s="53" t="str">
        <f aca="false">IF(OR($A353&gt;TOMATO_BED_CAP,$B353&gt;CARROT_BED_CAP,X$4&gt;MESCLUN_BED_CAP,$A353+$B353+X$4&gt;TOTAL_BEDS_AVAILABLE,($D353+X$5)&gt;TOTAL_LABOR_HOURS_CAP,MAX(0,($D353+X$5)-PERMANENT_FIELD_LABOR_HOURS)&gt;TEMP_HOURS_CAP),"",$C353+X$6-MIN(($D353+X$5),PERMANENT_FIELD_LABOR_HOURS)*PERMANENT_HOURLY_RATE-MAX(0,($D353+X$5)-PERMANENT_FIELD_LABOR_HOURS)*TEMP_HOURLY_RATE-FIXED_SEASON_COST)</f>
        <v/>
      </c>
      <c r="Y353" s="53" t="str">
        <f aca="false">IF(OR($A353&gt;TOMATO_BED_CAP,$B353&gt;CARROT_BED_CAP,Y$4&gt;MESCLUN_BED_CAP,$A353+$B353+Y$4&gt;TOTAL_BEDS_AVAILABLE,($D353+Y$5)&gt;TOTAL_LABOR_HOURS_CAP,MAX(0,($D353+Y$5)-PERMANENT_FIELD_LABOR_HOURS)&gt;TEMP_HOURS_CAP),"",$C353+Y$6-MIN(($D353+Y$5),PERMANENT_FIELD_LABOR_HOURS)*PERMANENT_HOURLY_RATE-MAX(0,($D353+Y$5)-PERMANENT_FIELD_LABOR_HOURS)*TEMP_HOURLY_RATE-FIXED_SEASON_COST)</f>
        <v/>
      </c>
      <c r="Z353" s="53" t="str">
        <f aca="false">IF(OR($A353&gt;TOMATO_BED_CAP,$B353&gt;CARROT_BED_CAP,Z$4&gt;MESCLUN_BED_CAP,$A353+$B353+Z$4&gt;TOTAL_BEDS_AVAILABLE,($D353+Z$5)&gt;TOTAL_LABOR_HOURS_CAP,MAX(0,($D353+Z$5)-PERMANENT_FIELD_LABOR_HOURS)&gt;TEMP_HOURS_CAP),"",$C353+Z$6-MIN(($D353+Z$5),PERMANENT_FIELD_LABOR_HOURS)*PERMANENT_HOURLY_RATE-MAX(0,($D353+Z$5)-PERMANENT_FIELD_LABOR_HOURS)*TEMP_HOURLY_RATE-FIXED_SEASON_COST)</f>
        <v/>
      </c>
      <c r="AA353" s="53" t="str">
        <f aca="false">IF(OR($A353&gt;TOMATO_BED_CAP,$B353&gt;CARROT_BED_CAP,AA$4&gt;MESCLUN_BED_CAP,$A353+$B353+AA$4&gt;TOTAL_BEDS_AVAILABLE,($D353+AA$5)&gt;TOTAL_LABOR_HOURS_CAP,MAX(0,($D353+AA$5)-PERMANENT_FIELD_LABOR_HOURS)&gt;TEMP_HOURS_CAP),"",$C353+AA$6-MIN(($D353+AA$5),PERMANENT_FIELD_LABOR_HOURS)*PERMANENT_HOURLY_RATE-MAX(0,($D353+AA$5)-PERMANENT_FIELD_LABOR_HOURS)*TEMP_HOURLY_RATE-FIXED_SEASON_COST)</f>
        <v/>
      </c>
      <c r="AB353" s="53" t="str">
        <f aca="false">IF(OR($A353&gt;TOMATO_BED_CAP,$B353&gt;CARROT_BED_CAP,AB$4&gt;MESCLUN_BED_CAP,$A353+$B353+AB$4&gt;TOTAL_BEDS_AVAILABLE,($D353+AB$5)&gt;TOTAL_LABOR_HOURS_CAP,MAX(0,($D353+AB$5)-PERMANENT_FIELD_LABOR_HOURS)&gt;TEMP_HOURS_CAP),"",$C353+AB$6-MIN(($D353+AB$5),PERMANENT_FIELD_LABOR_HOURS)*PERMANENT_HOURLY_RATE-MAX(0,($D353+AB$5)-PERMANENT_FIELD_LABOR_HOURS)*TEMP_HOURLY_RATE-FIXED_SEASON_COST)</f>
        <v/>
      </c>
      <c r="AC353" s="53" t="str">
        <f aca="false">IF(OR($A353&gt;TOMATO_BED_CAP,$B353&gt;CARROT_BED_CAP,AC$4&gt;MESCLUN_BED_CAP,$A353+$B353+AC$4&gt;TOTAL_BEDS_AVAILABLE,($D353+AC$5)&gt;TOTAL_LABOR_HOURS_CAP,MAX(0,($D353+AC$5)-PERMANENT_FIELD_LABOR_HOURS)&gt;TEMP_HOURS_CAP),"",$C353+AC$6-MIN(($D353+AC$5),PERMANENT_FIELD_LABOR_HOURS)*PERMANENT_HOURLY_RATE-MAX(0,($D353+AC$5)-PERMANENT_FIELD_LABOR_HOURS)*TEMP_HOURLY_RATE-FIXED_SEASON_COST)</f>
        <v/>
      </c>
      <c r="AD353" s="53" t="str">
        <f aca="false">IF(OR($A353&gt;TOMATO_BED_CAP,$B353&gt;CARROT_BED_CAP,AD$4&gt;MESCLUN_BED_CAP,$A353+$B353+AD$4&gt;TOTAL_BEDS_AVAILABLE,($D353+AD$5)&gt;TOTAL_LABOR_HOURS_CAP,MAX(0,($D353+AD$5)-PERMANENT_FIELD_LABOR_HOURS)&gt;TEMP_HOURS_CAP),"",$C353+AD$6-MIN(($D353+AD$5),PERMANENT_FIELD_LABOR_HOURS)*PERMANENT_HOURLY_RATE-MAX(0,($D353+AD$5)-PERMANENT_FIELD_LABOR_HOURS)*TEMP_HOURLY_RATE-FIXED_SEASON_COST)</f>
        <v/>
      </c>
      <c r="AE353" s="53" t="str">
        <f aca="false">IF(OR($A353&gt;TOMATO_BED_CAP,$B353&gt;CARROT_BED_CAP,AE$4&gt;MESCLUN_BED_CAP,$A353+$B353+AE$4&gt;TOTAL_BEDS_AVAILABLE,($D353+AE$5)&gt;TOTAL_LABOR_HOURS_CAP,MAX(0,($D353+AE$5)-PERMANENT_FIELD_LABOR_HOURS)&gt;TEMP_HOURS_CAP),"",$C353+AE$6-MIN(($D353+AE$5),PERMANENT_FIELD_LABOR_HOURS)*PERMANENT_HOURLY_RATE-MAX(0,($D353+AE$5)-PERMANENT_FIELD_LABOR_HOURS)*TEMP_HOURLY_RATE-FIXED_SEASON_COST)</f>
        <v/>
      </c>
      <c r="AF353" s="53" t="str">
        <f aca="false">IF(OR($A353&gt;TOMATO_BED_CAP,$B353&gt;CARROT_BED_CAP,AF$4&gt;MESCLUN_BED_CAP,$A353+$B353+AF$4&gt;TOTAL_BEDS_AVAILABLE,($D353+AF$5)&gt;TOTAL_LABOR_HOURS_CAP,MAX(0,($D353+AF$5)-PERMANENT_FIELD_LABOR_HOURS)&gt;TEMP_HOURS_CAP),"",$C353+AF$6-MIN(($D353+AF$5),PERMANENT_FIELD_LABOR_HOURS)*PERMANENT_HOURLY_RATE-MAX(0,($D353+AF$5)-PERMANENT_FIELD_LABOR_HOURS)*TEMP_HOURLY_RATE-FIXED_SEASON_COST)</f>
        <v/>
      </c>
      <c r="AG353" s="53" t="str">
        <f aca="false">IF(OR($A353&gt;TOMATO_BED_CAP,$B353&gt;CARROT_BED_CAP,AG$4&gt;MESCLUN_BED_CAP,$A353+$B353+AG$4&gt;TOTAL_BEDS_AVAILABLE,($D353+AG$5)&gt;TOTAL_LABOR_HOURS_CAP,MAX(0,($D353+AG$5)-PERMANENT_FIELD_LABOR_HOURS)&gt;TEMP_HOURS_CAP),"",$C353+AG$6-MIN(($D353+AG$5),PERMANENT_FIELD_LABOR_HOURS)*PERMANENT_HOURLY_RATE-MAX(0,($D353+AG$5)-PERMANENT_FIELD_LABOR_HOURS)*TEMP_HOURLY_RATE-FIXED_SEASON_COST)</f>
        <v/>
      </c>
      <c r="AH353" s="53" t="str">
        <f aca="false">IF(OR($A353&gt;TOMATO_BED_CAP,$B353&gt;CARROT_BED_CAP,AH$4&gt;MESCLUN_BED_CAP,$A353+$B353+AH$4&gt;TOTAL_BEDS_AVAILABLE,($D353+AH$5)&gt;TOTAL_LABOR_HOURS_CAP,MAX(0,($D353+AH$5)-PERMANENT_FIELD_LABOR_HOURS)&gt;TEMP_HOURS_CAP),"",$C353+AH$6-MIN(($D353+AH$5),PERMANENT_FIELD_LABOR_HOURS)*PERMANENT_HOURLY_RATE-MAX(0,($D353+AH$5)-PERMANENT_FIELD_LABOR_HOURS)*TEMP_HOURLY_RATE-FIXED_SEASON_COST)</f>
        <v/>
      </c>
      <c r="AI353" s="53" t="str">
        <f aca="false">IF(OR($A353&gt;TOMATO_BED_CAP,$B353&gt;CARROT_BED_CAP,AI$4&gt;MESCLUN_BED_CAP,$A353+$B353+AI$4&gt;TOTAL_BEDS_AVAILABLE,($D353+AI$5)&gt;TOTAL_LABOR_HOURS_CAP,MAX(0,($D353+AI$5)-PERMANENT_FIELD_LABOR_HOURS)&gt;TEMP_HOURS_CAP),"",$C353+AI$6-MIN(($D353+AI$5),PERMANENT_FIELD_LABOR_HOURS)*PERMANENT_HOURLY_RATE-MAX(0,($D353+AI$5)-PERMANENT_FIELD_LABOR_HOURS)*TEMP_HOURLY_RATE-FIXED_SEASON_COST)</f>
        <v/>
      </c>
      <c r="AJ353" s="53" t="str">
        <f aca="false">IF(OR($A353&gt;TOMATO_BED_CAP,$B353&gt;CARROT_BED_CAP,AJ$4&gt;MESCLUN_BED_CAP,$A353+$B353+AJ$4&gt;TOTAL_BEDS_AVAILABLE,($D353+AJ$5)&gt;TOTAL_LABOR_HOURS_CAP,MAX(0,($D353+AJ$5)-PERMANENT_FIELD_LABOR_HOURS)&gt;TEMP_HOURS_CAP),"",$C353+AJ$6-MIN(($D353+AJ$5),PERMANENT_FIELD_LABOR_HOURS)*PERMANENT_HOURLY_RATE-MAX(0,($D353+AJ$5)-PERMANENT_FIELD_LABOR_HOURS)*TEMP_HOURLY_RATE-FIXED_SEASON_COST)</f>
        <v/>
      </c>
    </row>
    <row r="354" customFormat="false" ht="15" hidden="false" customHeight="false" outlineLevel="0" collapsed="false">
      <c r="A354" s="21" t="n">
        <f aca="false">INT((ROW()-ROW($A$8))/(20+1))</f>
        <v>16</v>
      </c>
      <c r="B354" s="21" t="n">
        <f aca="false">MOD(ROW()-ROW($A$8),20+1)</f>
        <v>10</v>
      </c>
      <c r="C354" s="13" t="n">
        <f aca="false">A354*(TOMATO_REVENUE_PER_BED-TOMATO_FERTILIZER_PER_BED)+B354*(CARROT_REVENUE_PER_BED-CARROT_FERTILIZER_PER_BED)</f>
        <v>143260</v>
      </c>
      <c r="D354" s="14" t="n">
        <f aca="false">INDEX(TOMATO_SCHED_LABOR_HRS,A354+1)+INDEX(CARROT_SCHED_LABOR_HRS,B354+1)</f>
        <v>7000.632853468</v>
      </c>
      <c r="E354" s="13" t="str">
        <f aca="false">IF(COUNT(F354:AJ354)=0,"",MAX(F354:AJ354))</f>
        <v/>
      </c>
      <c r="F354" s="53" t="str">
        <f aca="false">IF(OR($A354&gt;TOMATO_BED_CAP,$B354&gt;CARROT_BED_CAP,F$4&gt;MESCLUN_BED_CAP,$A354+$B354+F$4&gt;TOTAL_BEDS_AVAILABLE,($D354+F$5)&gt;TOTAL_LABOR_HOURS_CAP,MAX(0,($D354+F$5)-PERMANENT_FIELD_LABOR_HOURS)&gt;TEMP_HOURS_CAP),"",$C354+F$6-MIN(($D354+F$5),PERMANENT_FIELD_LABOR_HOURS)*PERMANENT_HOURLY_RATE-MAX(0,($D354+F$5)-PERMANENT_FIELD_LABOR_HOURS)*TEMP_HOURLY_RATE-FIXED_SEASON_COST)</f>
        <v/>
      </c>
      <c r="G354" s="53" t="str">
        <f aca="false">IF(OR($A354&gt;TOMATO_BED_CAP,$B354&gt;CARROT_BED_CAP,G$4&gt;MESCLUN_BED_CAP,$A354+$B354+G$4&gt;TOTAL_BEDS_AVAILABLE,($D354+G$5)&gt;TOTAL_LABOR_HOURS_CAP,MAX(0,($D354+G$5)-PERMANENT_FIELD_LABOR_HOURS)&gt;TEMP_HOURS_CAP),"",$C354+G$6-MIN(($D354+G$5),PERMANENT_FIELD_LABOR_HOURS)*PERMANENT_HOURLY_RATE-MAX(0,($D354+G$5)-PERMANENT_FIELD_LABOR_HOURS)*TEMP_HOURLY_RATE-FIXED_SEASON_COST)</f>
        <v/>
      </c>
      <c r="H354" s="53" t="str">
        <f aca="false">IF(OR($A354&gt;TOMATO_BED_CAP,$B354&gt;CARROT_BED_CAP,H$4&gt;MESCLUN_BED_CAP,$A354+$B354+H$4&gt;TOTAL_BEDS_AVAILABLE,($D354+H$5)&gt;TOTAL_LABOR_HOURS_CAP,MAX(0,($D354+H$5)-PERMANENT_FIELD_LABOR_HOURS)&gt;TEMP_HOURS_CAP),"",$C354+H$6-MIN(($D354+H$5),PERMANENT_FIELD_LABOR_HOURS)*PERMANENT_HOURLY_RATE-MAX(0,($D354+H$5)-PERMANENT_FIELD_LABOR_HOURS)*TEMP_HOURLY_RATE-FIXED_SEASON_COST)</f>
        <v/>
      </c>
      <c r="I354" s="53" t="str">
        <f aca="false">IF(OR($A354&gt;TOMATO_BED_CAP,$B354&gt;CARROT_BED_CAP,I$4&gt;MESCLUN_BED_CAP,$A354+$B354+I$4&gt;TOTAL_BEDS_AVAILABLE,($D354+I$5)&gt;TOTAL_LABOR_HOURS_CAP,MAX(0,($D354+I$5)-PERMANENT_FIELD_LABOR_HOURS)&gt;TEMP_HOURS_CAP),"",$C354+I$6-MIN(($D354+I$5),PERMANENT_FIELD_LABOR_HOURS)*PERMANENT_HOURLY_RATE-MAX(0,($D354+I$5)-PERMANENT_FIELD_LABOR_HOURS)*TEMP_HOURLY_RATE-FIXED_SEASON_COST)</f>
        <v/>
      </c>
      <c r="J354" s="53" t="str">
        <f aca="false">IF(OR($A354&gt;TOMATO_BED_CAP,$B354&gt;CARROT_BED_CAP,J$4&gt;MESCLUN_BED_CAP,$A354+$B354+J$4&gt;TOTAL_BEDS_AVAILABLE,($D354+J$5)&gt;TOTAL_LABOR_HOURS_CAP,MAX(0,($D354+J$5)-PERMANENT_FIELD_LABOR_HOURS)&gt;TEMP_HOURS_CAP),"",$C354+J$6-MIN(($D354+J$5),PERMANENT_FIELD_LABOR_HOURS)*PERMANENT_HOURLY_RATE-MAX(0,($D354+J$5)-PERMANENT_FIELD_LABOR_HOURS)*TEMP_HOURLY_RATE-FIXED_SEASON_COST)</f>
        <v/>
      </c>
      <c r="K354" s="53" t="str">
        <f aca="false">IF(OR($A354&gt;TOMATO_BED_CAP,$B354&gt;CARROT_BED_CAP,K$4&gt;MESCLUN_BED_CAP,$A354+$B354+K$4&gt;TOTAL_BEDS_AVAILABLE,($D354+K$5)&gt;TOTAL_LABOR_HOURS_CAP,MAX(0,($D354+K$5)-PERMANENT_FIELD_LABOR_HOURS)&gt;TEMP_HOURS_CAP),"",$C354+K$6-MIN(($D354+K$5),PERMANENT_FIELD_LABOR_HOURS)*PERMANENT_HOURLY_RATE-MAX(0,($D354+K$5)-PERMANENT_FIELD_LABOR_HOURS)*TEMP_HOURLY_RATE-FIXED_SEASON_COST)</f>
        <v/>
      </c>
      <c r="L354" s="53" t="str">
        <f aca="false">IF(OR($A354&gt;TOMATO_BED_CAP,$B354&gt;CARROT_BED_CAP,L$4&gt;MESCLUN_BED_CAP,$A354+$B354+L$4&gt;TOTAL_BEDS_AVAILABLE,($D354+L$5)&gt;TOTAL_LABOR_HOURS_CAP,MAX(0,($D354+L$5)-PERMANENT_FIELD_LABOR_HOURS)&gt;TEMP_HOURS_CAP),"",$C354+L$6-MIN(($D354+L$5),PERMANENT_FIELD_LABOR_HOURS)*PERMANENT_HOURLY_RATE-MAX(0,($D354+L$5)-PERMANENT_FIELD_LABOR_HOURS)*TEMP_HOURLY_RATE-FIXED_SEASON_COST)</f>
        <v/>
      </c>
      <c r="M354" s="53" t="str">
        <f aca="false">IF(OR($A354&gt;TOMATO_BED_CAP,$B354&gt;CARROT_BED_CAP,M$4&gt;MESCLUN_BED_CAP,$A354+$B354+M$4&gt;TOTAL_BEDS_AVAILABLE,($D354+M$5)&gt;TOTAL_LABOR_HOURS_CAP,MAX(0,($D354+M$5)-PERMANENT_FIELD_LABOR_HOURS)&gt;TEMP_HOURS_CAP),"",$C354+M$6-MIN(($D354+M$5),PERMANENT_FIELD_LABOR_HOURS)*PERMANENT_HOURLY_RATE-MAX(0,($D354+M$5)-PERMANENT_FIELD_LABOR_HOURS)*TEMP_HOURLY_RATE-FIXED_SEASON_COST)</f>
        <v/>
      </c>
      <c r="N354" s="53" t="str">
        <f aca="false">IF(OR($A354&gt;TOMATO_BED_CAP,$B354&gt;CARROT_BED_CAP,N$4&gt;MESCLUN_BED_CAP,$A354+$B354+N$4&gt;TOTAL_BEDS_AVAILABLE,($D354+N$5)&gt;TOTAL_LABOR_HOURS_CAP,MAX(0,($D354+N$5)-PERMANENT_FIELD_LABOR_HOURS)&gt;TEMP_HOURS_CAP),"",$C354+N$6-MIN(($D354+N$5),PERMANENT_FIELD_LABOR_HOURS)*PERMANENT_HOURLY_RATE-MAX(0,($D354+N$5)-PERMANENT_FIELD_LABOR_HOURS)*TEMP_HOURLY_RATE-FIXED_SEASON_COST)</f>
        <v/>
      </c>
      <c r="O354" s="53" t="str">
        <f aca="false">IF(OR($A354&gt;TOMATO_BED_CAP,$B354&gt;CARROT_BED_CAP,O$4&gt;MESCLUN_BED_CAP,$A354+$B354+O$4&gt;TOTAL_BEDS_AVAILABLE,($D354+O$5)&gt;TOTAL_LABOR_HOURS_CAP,MAX(0,($D354+O$5)-PERMANENT_FIELD_LABOR_HOURS)&gt;TEMP_HOURS_CAP),"",$C354+O$6-MIN(($D354+O$5),PERMANENT_FIELD_LABOR_HOURS)*PERMANENT_HOURLY_RATE-MAX(0,($D354+O$5)-PERMANENT_FIELD_LABOR_HOURS)*TEMP_HOURLY_RATE-FIXED_SEASON_COST)</f>
        <v/>
      </c>
      <c r="P354" s="53" t="str">
        <f aca="false">IF(OR($A354&gt;TOMATO_BED_CAP,$B354&gt;CARROT_BED_CAP,P$4&gt;MESCLUN_BED_CAP,$A354+$B354+P$4&gt;TOTAL_BEDS_AVAILABLE,($D354+P$5)&gt;TOTAL_LABOR_HOURS_CAP,MAX(0,($D354+P$5)-PERMANENT_FIELD_LABOR_HOURS)&gt;TEMP_HOURS_CAP),"",$C354+P$6-MIN(($D354+P$5),PERMANENT_FIELD_LABOR_HOURS)*PERMANENT_HOURLY_RATE-MAX(0,($D354+P$5)-PERMANENT_FIELD_LABOR_HOURS)*TEMP_HOURLY_RATE-FIXED_SEASON_COST)</f>
        <v/>
      </c>
      <c r="Q354" s="53" t="str">
        <f aca="false">IF(OR($A354&gt;TOMATO_BED_CAP,$B354&gt;CARROT_BED_CAP,Q$4&gt;MESCLUN_BED_CAP,$A354+$B354+Q$4&gt;TOTAL_BEDS_AVAILABLE,($D354+Q$5)&gt;TOTAL_LABOR_HOURS_CAP,MAX(0,($D354+Q$5)-PERMANENT_FIELD_LABOR_HOURS)&gt;TEMP_HOURS_CAP),"",$C354+Q$6-MIN(($D354+Q$5),PERMANENT_FIELD_LABOR_HOURS)*PERMANENT_HOURLY_RATE-MAX(0,($D354+Q$5)-PERMANENT_FIELD_LABOR_HOURS)*TEMP_HOURLY_RATE-FIXED_SEASON_COST)</f>
        <v/>
      </c>
      <c r="R354" s="53" t="str">
        <f aca="false">IF(OR($A354&gt;TOMATO_BED_CAP,$B354&gt;CARROT_BED_CAP,R$4&gt;MESCLUN_BED_CAP,$A354+$B354+R$4&gt;TOTAL_BEDS_AVAILABLE,($D354+R$5)&gt;TOTAL_LABOR_HOURS_CAP,MAX(0,($D354+R$5)-PERMANENT_FIELD_LABOR_HOURS)&gt;TEMP_HOURS_CAP),"",$C354+R$6-MIN(($D354+R$5),PERMANENT_FIELD_LABOR_HOURS)*PERMANENT_HOURLY_RATE-MAX(0,($D354+R$5)-PERMANENT_FIELD_LABOR_HOURS)*TEMP_HOURLY_RATE-FIXED_SEASON_COST)</f>
        <v/>
      </c>
      <c r="S354" s="53" t="str">
        <f aca="false">IF(OR($A354&gt;TOMATO_BED_CAP,$B354&gt;CARROT_BED_CAP,S$4&gt;MESCLUN_BED_CAP,$A354+$B354+S$4&gt;TOTAL_BEDS_AVAILABLE,($D354+S$5)&gt;TOTAL_LABOR_HOURS_CAP,MAX(0,($D354+S$5)-PERMANENT_FIELD_LABOR_HOURS)&gt;TEMP_HOURS_CAP),"",$C354+S$6-MIN(($D354+S$5),PERMANENT_FIELD_LABOR_HOURS)*PERMANENT_HOURLY_RATE-MAX(0,($D354+S$5)-PERMANENT_FIELD_LABOR_HOURS)*TEMP_HOURLY_RATE-FIXED_SEASON_COST)</f>
        <v/>
      </c>
      <c r="T354" s="53" t="str">
        <f aca="false">IF(OR($A354&gt;TOMATO_BED_CAP,$B354&gt;CARROT_BED_CAP,T$4&gt;MESCLUN_BED_CAP,$A354+$B354+T$4&gt;TOTAL_BEDS_AVAILABLE,($D354+T$5)&gt;TOTAL_LABOR_HOURS_CAP,MAX(0,($D354+T$5)-PERMANENT_FIELD_LABOR_HOURS)&gt;TEMP_HOURS_CAP),"",$C354+T$6-MIN(($D354+T$5),PERMANENT_FIELD_LABOR_HOURS)*PERMANENT_HOURLY_RATE-MAX(0,($D354+T$5)-PERMANENT_FIELD_LABOR_HOURS)*TEMP_HOURLY_RATE-FIXED_SEASON_COST)</f>
        <v/>
      </c>
      <c r="U354" s="53" t="str">
        <f aca="false">IF(OR($A354&gt;TOMATO_BED_CAP,$B354&gt;CARROT_BED_CAP,U$4&gt;MESCLUN_BED_CAP,$A354+$B354+U$4&gt;TOTAL_BEDS_AVAILABLE,($D354+U$5)&gt;TOTAL_LABOR_HOURS_CAP,MAX(0,($D354+U$5)-PERMANENT_FIELD_LABOR_HOURS)&gt;TEMP_HOURS_CAP),"",$C354+U$6-MIN(($D354+U$5),PERMANENT_FIELD_LABOR_HOURS)*PERMANENT_HOURLY_RATE-MAX(0,($D354+U$5)-PERMANENT_FIELD_LABOR_HOURS)*TEMP_HOURLY_RATE-FIXED_SEASON_COST)</f>
        <v/>
      </c>
      <c r="V354" s="53" t="str">
        <f aca="false">IF(OR($A354&gt;TOMATO_BED_CAP,$B354&gt;CARROT_BED_CAP,V$4&gt;MESCLUN_BED_CAP,$A354+$B354+V$4&gt;TOTAL_BEDS_AVAILABLE,($D354+V$5)&gt;TOTAL_LABOR_HOURS_CAP,MAX(0,($D354+V$5)-PERMANENT_FIELD_LABOR_HOURS)&gt;TEMP_HOURS_CAP),"",$C354+V$6-MIN(($D354+V$5),PERMANENT_FIELD_LABOR_HOURS)*PERMANENT_HOURLY_RATE-MAX(0,($D354+V$5)-PERMANENT_FIELD_LABOR_HOURS)*TEMP_HOURLY_RATE-FIXED_SEASON_COST)</f>
        <v/>
      </c>
      <c r="W354" s="53" t="str">
        <f aca="false">IF(OR($A354&gt;TOMATO_BED_CAP,$B354&gt;CARROT_BED_CAP,W$4&gt;MESCLUN_BED_CAP,$A354+$B354+W$4&gt;TOTAL_BEDS_AVAILABLE,($D354+W$5)&gt;TOTAL_LABOR_HOURS_CAP,MAX(0,($D354+W$5)-PERMANENT_FIELD_LABOR_HOURS)&gt;TEMP_HOURS_CAP),"",$C354+W$6-MIN(($D354+W$5),PERMANENT_FIELD_LABOR_HOURS)*PERMANENT_HOURLY_RATE-MAX(0,($D354+W$5)-PERMANENT_FIELD_LABOR_HOURS)*TEMP_HOURLY_RATE-FIXED_SEASON_COST)</f>
        <v/>
      </c>
      <c r="X354" s="53" t="str">
        <f aca="false">IF(OR($A354&gt;TOMATO_BED_CAP,$B354&gt;CARROT_BED_CAP,X$4&gt;MESCLUN_BED_CAP,$A354+$B354+X$4&gt;TOTAL_BEDS_AVAILABLE,($D354+X$5)&gt;TOTAL_LABOR_HOURS_CAP,MAX(0,($D354+X$5)-PERMANENT_FIELD_LABOR_HOURS)&gt;TEMP_HOURS_CAP),"",$C354+X$6-MIN(($D354+X$5),PERMANENT_FIELD_LABOR_HOURS)*PERMANENT_HOURLY_RATE-MAX(0,($D354+X$5)-PERMANENT_FIELD_LABOR_HOURS)*TEMP_HOURLY_RATE-FIXED_SEASON_COST)</f>
        <v/>
      </c>
      <c r="Y354" s="53" t="str">
        <f aca="false">IF(OR($A354&gt;TOMATO_BED_CAP,$B354&gt;CARROT_BED_CAP,Y$4&gt;MESCLUN_BED_CAP,$A354+$B354+Y$4&gt;TOTAL_BEDS_AVAILABLE,($D354+Y$5)&gt;TOTAL_LABOR_HOURS_CAP,MAX(0,($D354+Y$5)-PERMANENT_FIELD_LABOR_HOURS)&gt;TEMP_HOURS_CAP),"",$C354+Y$6-MIN(($D354+Y$5),PERMANENT_FIELD_LABOR_HOURS)*PERMANENT_HOURLY_RATE-MAX(0,($D354+Y$5)-PERMANENT_FIELD_LABOR_HOURS)*TEMP_HOURLY_RATE-FIXED_SEASON_COST)</f>
        <v/>
      </c>
      <c r="Z354" s="53" t="str">
        <f aca="false">IF(OR($A354&gt;TOMATO_BED_CAP,$B354&gt;CARROT_BED_CAP,Z$4&gt;MESCLUN_BED_CAP,$A354+$B354+Z$4&gt;TOTAL_BEDS_AVAILABLE,($D354+Z$5)&gt;TOTAL_LABOR_HOURS_CAP,MAX(0,($D354+Z$5)-PERMANENT_FIELD_LABOR_HOURS)&gt;TEMP_HOURS_CAP),"",$C354+Z$6-MIN(($D354+Z$5),PERMANENT_FIELD_LABOR_HOURS)*PERMANENT_HOURLY_RATE-MAX(0,($D354+Z$5)-PERMANENT_FIELD_LABOR_HOURS)*TEMP_HOURLY_RATE-FIXED_SEASON_COST)</f>
        <v/>
      </c>
      <c r="AA354" s="53" t="str">
        <f aca="false">IF(OR($A354&gt;TOMATO_BED_CAP,$B354&gt;CARROT_BED_CAP,AA$4&gt;MESCLUN_BED_CAP,$A354+$B354+AA$4&gt;TOTAL_BEDS_AVAILABLE,($D354+AA$5)&gt;TOTAL_LABOR_HOURS_CAP,MAX(0,($D354+AA$5)-PERMANENT_FIELD_LABOR_HOURS)&gt;TEMP_HOURS_CAP),"",$C354+AA$6-MIN(($D354+AA$5),PERMANENT_FIELD_LABOR_HOURS)*PERMANENT_HOURLY_RATE-MAX(0,($D354+AA$5)-PERMANENT_FIELD_LABOR_HOURS)*TEMP_HOURLY_RATE-FIXED_SEASON_COST)</f>
        <v/>
      </c>
      <c r="AB354" s="53" t="str">
        <f aca="false">IF(OR($A354&gt;TOMATO_BED_CAP,$B354&gt;CARROT_BED_CAP,AB$4&gt;MESCLUN_BED_CAP,$A354+$B354+AB$4&gt;TOTAL_BEDS_AVAILABLE,($D354+AB$5)&gt;TOTAL_LABOR_HOURS_CAP,MAX(0,($D354+AB$5)-PERMANENT_FIELD_LABOR_HOURS)&gt;TEMP_HOURS_CAP),"",$C354+AB$6-MIN(($D354+AB$5),PERMANENT_FIELD_LABOR_HOURS)*PERMANENT_HOURLY_RATE-MAX(0,($D354+AB$5)-PERMANENT_FIELD_LABOR_HOURS)*TEMP_HOURLY_RATE-FIXED_SEASON_COST)</f>
        <v/>
      </c>
      <c r="AC354" s="53" t="str">
        <f aca="false">IF(OR($A354&gt;TOMATO_BED_CAP,$B354&gt;CARROT_BED_CAP,AC$4&gt;MESCLUN_BED_CAP,$A354+$B354+AC$4&gt;TOTAL_BEDS_AVAILABLE,($D354+AC$5)&gt;TOTAL_LABOR_HOURS_CAP,MAX(0,($D354+AC$5)-PERMANENT_FIELD_LABOR_HOURS)&gt;TEMP_HOURS_CAP),"",$C354+AC$6-MIN(($D354+AC$5),PERMANENT_FIELD_LABOR_HOURS)*PERMANENT_HOURLY_RATE-MAX(0,($D354+AC$5)-PERMANENT_FIELD_LABOR_HOURS)*TEMP_HOURLY_RATE-FIXED_SEASON_COST)</f>
        <v/>
      </c>
      <c r="AD354" s="53" t="str">
        <f aca="false">IF(OR($A354&gt;TOMATO_BED_CAP,$B354&gt;CARROT_BED_CAP,AD$4&gt;MESCLUN_BED_CAP,$A354+$B354+AD$4&gt;TOTAL_BEDS_AVAILABLE,($D354+AD$5)&gt;TOTAL_LABOR_HOURS_CAP,MAX(0,($D354+AD$5)-PERMANENT_FIELD_LABOR_HOURS)&gt;TEMP_HOURS_CAP),"",$C354+AD$6-MIN(($D354+AD$5),PERMANENT_FIELD_LABOR_HOURS)*PERMANENT_HOURLY_RATE-MAX(0,($D354+AD$5)-PERMANENT_FIELD_LABOR_HOURS)*TEMP_HOURLY_RATE-FIXED_SEASON_COST)</f>
        <v/>
      </c>
      <c r="AE354" s="53" t="str">
        <f aca="false">IF(OR($A354&gt;TOMATO_BED_CAP,$B354&gt;CARROT_BED_CAP,AE$4&gt;MESCLUN_BED_CAP,$A354+$B354+AE$4&gt;TOTAL_BEDS_AVAILABLE,($D354+AE$5)&gt;TOTAL_LABOR_HOURS_CAP,MAX(0,($D354+AE$5)-PERMANENT_FIELD_LABOR_HOURS)&gt;TEMP_HOURS_CAP),"",$C354+AE$6-MIN(($D354+AE$5),PERMANENT_FIELD_LABOR_HOURS)*PERMANENT_HOURLY_RATE-MAX(0,($D354+AE$5)-PERMANENT_FIELD_LABOR_HOURS)*TEMP_HOURLY_RATE-FIXED_SEASON_COST)</f>
        <v/>
      </c>
      <c r="AF354" s="53" t="str">
        <f aca="false">IF(OR($A354&gt;TOMATO_BED_CAP,$B354&gt;CARROT_BED_CAP,AF$4&gt;MESCLUN_BED_CAP,$A354+$B354+AF$4&gt;TOTAL_BEDS_AVAILABLE,($D354+AF$5)&gt;TOTAL_LABOR_HOURS_CAP,MAX(0,($D354+AF$5)-PERMANENT_FIELD_LABOR_HOURS)&gt;TEMP_HOURS_CAP),"",$C354+AF$6-MIN(($D354+AF$5),PERMANENT_FIELD_LABOR_HOURS)*PERMANENT_HOURLY_RATE-MAX(0,($D354+AF$5)-PERMANENT_FIELD_LABOR_HOURS)*TEMP_HOURLY_RATE-FIXED_SEASON_COST)</f>
        <v/>
      </c>
      <c r="AG354" s="53" t="str">
        <f aca="false">IF(OR($A354&gt;TOMATO_BED_CAP,$B354&gt;CARROT_BED_CAP,AG$4&gt;MESCLUN_BED_CAP,$A354+$B354+AG$4&gt;TOTAL_BEDS_AVAILABLE,($D354+AG$5)&gt;TOTAL_LABOR_HOURS_CAP,MAX(0,($D354+AG$5)-PERMANENT_FIELD_LABOR_HOURS)&gt;TEMP_HOURS_CAP),"",$C354+AG$6-MIN(($D354+AG$5),PERMANENT_FIELD_LABOR_HOURS)*PERMANENT_HOURLY_RATE-MAX(0,($D354+AG$5)-PERMANENT_FIELD_LABOR_HOURS)*TEMP_HOURLY_RATE-FIXED_SEASON_COST)</f>
        <v/>
      </c>
      <c r="AH354" s="53" t="str">
        <f aca="false">IF(OR($A354&gt;TOMATO_BED_CAP,$B354&gt;CARROT_BED_CAP,AH$4&gt;MESCLUN_BED_CAP,$A354+$B354+AH$4&gt;TOTAL_BEDS_AVAILABLE,($D354+AH$5)&gt;TOTAL_LABOR_HOURS_CAP,MAX(0,($D354+AH$5)-PERMANENT_FIELD_LABOR_HOURS)&gt;TEMP_HOURS_CAP),"",$C354+AH$6-MIN(($D354+AH$5),PERMANENT_FIELD_LABOR_HOURS)*PERMANENT_HOURLY_RATE-MAX(0,($D354+AH$5)-PERMANENT_FIELD_LABOR_HOURS)*TEMP_HOURLY_RATE-FIXED_SEASON_COST)</f>
        <v/>
      </c>
      <c r="AI354" s="53" t="str">
        <f aca="false">IF(OR($A354&gt;TOMATO_BED_CAP,$B354&gt;CARROT_BED_CAP,AI$4&gt;MESCLUN_BED_CAP,$A354+$B354+AI$4&gt;TOTAL_BEDS_AVAILABLE,($D354+AI$5)&gt;TOTAL_LABOR_HOURS_CAP,MAX(0,($D354+AI$5)-PERMANENT_FIELD_LABOR_HOURS)&gt;TEMP_HOURS_CAP),"",$C354+AI$6-MIN(($D354+AI$5),PERMANENT_FIELD_LABOR_HOURS)*PERMANENT_HOURLY_RATE-MAX(0,($D354+AI$5)-PERMANENT_FIELD_LABOR_HOURS)*TEMP_HOURLY_RATE-FIXED_SEASON_COST)</f>
        <v/>
      </c>
      <c r="AJ354" s="53" t="str">
        <f aca="false">IF(OR($A354&gt;TOMATO_BED_CAP,$B354&gt;CARROT_BED_CAP,AJ$4&gt;MESCLUN_BED_CAP,$A354+$B354+AJ$4&gt;TOTAL_BEDS_AVAILABLE,($D354+AJ$5)&gt;TOTAL_LABOR_HOURS_CAP,MAX(0,($D354+AJ$5)-PERMANENT_FIELD_LABOR_HOURS)&gt;TEMP_HOURS_CAP),"",$C354+AJ$6-MIN(($D354+AJ$5),PERMANENT_FIELD_LABOR_HOURS)*PERMANENT_HOURLY_RATE-MAX(0,($D354+AJ$5)-PERMANENT_FIELD_LABOR_HOURS)*TEMP_HOURLY_RATE-FIXED_SEASON_COST)</f>
        <v/>
      </c>
    </row>
    <row r="355" customFormat="false" ht="15" hidden="false" customHeight="false" outlineLevel="0" collapsed="false">
      <c r="A355" s="21" t="n">
        <f aca="false">INT((ROW()-ROW($A$8))/(20+1))</f>
        <v>16</v>
      </c>
      <c r="B355" s="21" t="n">
        <f aca="false">MOD(ROW()-ROW($A$8),20+1)</f>
        <v>11</v>
      </c>
      <c r="C355" s="13" t="n">
        <f aca="false">A355*(TOMATO_REVENUE_PER_BED-TOMATO_FERTILIZER_PER_BED)+B355*(CARROT_REVENUE_PER_BED-CARROT_FERTILIZER_PER_BED)</f>
        <v>144914</v>
      </c>
      <c r="D355" s="14" t="n">
        <f aca="false">INDEX(TOMATO_SCHED_LABOR_HRS,A355+1)+INDEX(CARROT_SCHED_LABOR_HRS,B355+1)</f>
        <v>7049.57650198999</v>
      </c>
      <c r="E355" s="13" t="str">
        <f aca="false">IF(COUNT(F355:AJ355)=0,"",MAX(F355:AJ355))</f>
        <v/>
      </c>
      <c r="F355" s="53" t="str">
        <f aca="false">IF(OR($A355&gt;TOMATO_BED_CAP,$B355&gt;CARROT_BED_CAP,F$4&gt;MESCLUN_BED_CAP,$A355+$B355+F$4&gt;TOTAL_BEDS_AVAILABLE,($D355+F$5)&gt;TOTAL_LABOR_HOURS_CAP,MAX(0,($D355+F$5)-PERMANENT_FIELD_LABOR_HOURS)&gt;TEMP_HOURS_CAP),"",$C355+F$6-MIN(($D355+F$5),PERMANENT_FIELD_LABOR_HOURS)*PERMANENT_HOURLY_RATE-MAX(0,($D355+F$5)-PERMANENT_FIELD_LABOR_HOURS)*TEMP_HOURLY_RATE-FIXED_SEASON_COST)</f>
        <v/>
      </c>
      <c r="G355" s="53" t="str">
        <f aca="false">IF(OR($A355&gt;TOMATO_BED_CAP,$B355&gt;CARROT_BED_CAP,G$4&gt;MESCLUN_BED_CAP,$A355+$B355+G$4&gt;TOTAL_BEDS_AVAILABLE,($D355+G$5)&gt;TOTAL_LABOR_HOURS_CAP,MAX(0,($D355+G$5)-PERMANENT_FIELD_LABOR_HOURS)&gt;TEMP_HOURS_CAP),"",$C355+G$6-MIN(($D355+G$5),PERMANENT_FIELD_LABOR_HOURS)*PERMANENT_HOURLY_RATE-MAX(0,($D355+G$5)-PERMANENT_FIELD_LABOR_HOURS)*TEMP_HOURLY_RATE-FIXED_SEASON_COST)</f>
        <v/>
      </c>
      <c r="H355" s="53" t="str">
        <f aca="false">IF(OR($A355&gt;TOMATO_BED_CAP,$B355&gt;CARROT_BED_CAP,H$4&gt;MESCLUN_BED_CAP,$A355+$B355+H$4&gt;TOTAL_BEDS_AVAILABLE,($D355+H$5)&gt;TOTAL_LABOR_HOURS_CAP,MAX(0,($D355+H$5)-PERMANENT_FIELD_LABOR_HOURS)&gt;TEMP_HOURS_CAP),"",$C355+H$6-MIN(($D355+H$5),PERMANENT_FIELD_LABOR_HOURS)*PERMANENT_HOURLY_RATE-MAX(0,($D355+H$5)-PERMANENT_FIELD_LABOR_HOURS)*TEMP_HOURLY_RATE-FIXED_SEASON_COST)</f>
        <v/>
      </c>
      <c r="I355" s="53" t="str">
        <f aca="false">IF(OR($A355&gt;TOMATO_BED_CAP,$B355&gt;CARROT_BED_CAP,I$4&gt;MESCLUN_BED_CAP,$A355+$B355+I$4&gt;TOTAL_BEDS_AVAILABLE,($D355+I$5)&gt;TOTAL_LABOR_HOURS_CAP,MAX(0,($D355+I$5)-PERMANENT_FIELD_LABOR_HOURS)&gt;TEMP_HOURS_CAP),"",$C355+I$6-MIN(($D355+I$5),PERMANENT_FIELD_LABOR_HOURS)*PERMANENT_HOURLY_RATE-MAX(0,($D355+I$5)-PERMANENT_FIELD_LABOR_HOURS)*TEMP_HOURLY_RATE-FIXED_SEASON_COST)</f>
        <v/>
      </c>
      <c r="J355" s="53" t="str">
        <f aca="false">IF(OR($A355&gt;TOMATO_BED_CAP,$B355&gt;CARROT_BED_CAP,J$4&gt;MESCLUN_BED_CAP,$A355+$B355+J$4&gt;TOTAL_BEDS_AVAILABLE,($D355+J$5)&gt;TOTAL_LABOR_HOURS_CAP,MAX(0,($D355+J$5)-PERMANENT_FIELD_LABOR_HOURS)&gt;TEMP_HOURS_CAP),"",$C355+J$6-MIN(($D355+J$5),PERMANENT_FIELD_LABOR_HOURS)*PERMANENT_HOURLY_RATE-MAX(0,($D355+J$5)-PERMANENT_FIELD_LABOR_HOURS)*TEMP_HOURLY_RATE-FIXED_SEASON_COST)</f>
        <v/>
      </c>
      <c r="K355" s="53" t="str">
        <f aca="false">IF(OR($A355&gt;TOMATO_BED_CAP,$B355&gt;CARROT_BED_CAP,K$4&gt;MESCLUN_BED_CAP,$A355+$B355+K$4&gt;TOTAL_BEDS_AVAILABLE,($D355+K$5)&gt;TOTAL_LABOR_HOURS_CAP,MAX(0,($D355+K$5)-PERMANENT_FIELD_LABOR_HOURS)&gt;TEMP_HOURS_CAP),"",$C355+K$6-MIN(($D355+K$5),PERMANENT_FIELD_LABOR_HOURS)*PERMANENT_HOURLY_RATE-MAX(0,($D355+K$5)-PERMANENT_FIELD_LABOR_HOURS)*TEMP_HOURLY_RATE-FIXED_SEASON_COST)</f>
        <v/>
      </c>
      <c r="L355" s="53" t="str">
        <f aca="false">IF(OR($A355&gt;TOMATO_BED_CAP,$B355&gt;CARROT_BED_CAP,L$4&gt;MESCLUN_BED_CAP,$A355+$B355+L$4&gt;TOTAL_BEDS_AVAILABLE,($D355+L$5)&gt;TOTAL_LABOR_HOURS_CAP,MAX(0,($D355+L$5)-PERMANENT_FIELD_LABOR_HOURS)&gt;TEMP_HOURS_CAP),"",$C355+L$6-MIN(($D355+L$5),PERMANENT_FIELD_LABOR_HOURS)*PERMANENT_HOURLY_RATE-MAX(0,($D355+L$5)-PERMANENT_FIELD_LABOR_HOURS)*TEMP_HOURLY_RATE-FIXED_SEASON_COST)</f>
        <v/>
      </c>
      <c r="M355" s="53" t="str">
        <f aca="false">IF(OR($A355&gt;TOMATO_BED_CAP,$B355&gt;CARROT_BED_CAP,M$4&gt;MESCLUN_BED_CAP,$A355+$B355+M$4&gt;TOTAL_BEDS_AVAILABLE,($D355+M$5)&gt;TOTAL_LABOR_HOURS_CAP,MAX(0,($D355+M$5)-PERMANENT_FIELD_LABOR_HOURS)&gt;TEMP_HOURS_CAP),"",$C355+M$6-MIN(($D355+M$5),PERMANENT_FIELD_LABOR_HOURS)*PERMANENT_HOURLY_RATE-MAX(0,($D355+M$5)-PERMANENT_FIELD_LABOR_HOURS)*TEMP_HOURLY_RATE-FIXED_SEASON_COST)</f>
        <v/>
      </c>
      <c r="N355" s="53" t="str">
        <f aca="false">IF(OR($A355&gt;TOMATO_BED_CAP,$B355&gt;CARROT_BED_CAP,N$4&gt;MESCLUN_BED_CAP,$A355+$B355+N$4&gt;TOTAL_BEDS_AVAILABLE,($D355+N$5)&gt;TOTAL_LABOR_HOURS_CAP,MAX(0,($D355+N$5)-PERMANENT_FIELD_LABOR_HOURS)&gt;TEMP_HOURS_CAP),"",$C355+N$6-MIN(($D355+N$5),PERMANENT_FIELD_LABOR_HOURS)*PERMANENT_HOURLY_RATE-MAX(0,($D355+N$5)-PERMANENT_FIELD_LABOR_HOURS)*TEMP_HOURLY_RATE-FIXED_SEASON_COST)</f>
        <v/>
      </c>
      <c r="O355" s="53" t="str">
        <f aca="false">IF(OR($A355&gt;TOMATO_BED_CAP,$B355&gt;CARROT_BED_CAP,O$4&gt;MESCLUN_BED_CAP,$A355+$B355+O$4&gt;TOTAL_BEDS_AVAILABLE,($D355+O$5)&gt;TOTAL_LABOR_HOURS_CAP,MAX(0,($D355+O$5)-PERMANENT_FIELD_LABOR_HOURS)&gt;TEMP_HOURS_CAP),"",$C355+O$6-MIN(($D355+O$5),PERMANENT_FIELD_LABOR_HOURS)*PERMANENT_HOURLY_RATE-MAX(0,($D355+O$5)-PERMANENT_FIELD_LABOR_HOURS)*TEMP_HOURLY_RATE-FIXED_SEASON_COST)</f>
        <v/>
      </c>
      <c r="P355" s="53" t="str">
        <f aca="false">IF(OR($A355&gt;TOMATO_BED_CAP,$B355&gt;CARROT_BED_CAP,P$4&gt;MESCLUN_BED_CAP,$A355+$B355+P$4&gt;TOTAL_BEDS_AVAILABLE,($D355+P$5)&gt;TOTAL_LABOR_HOURS_CAP,MAX(0,($D355+P$5)-PERMANENT_FIELD_LABOR_HOURS)&gt;TEMP_HOURS_CAP),"",$C355+P$6-MIN(($D355+P$5),PERMANENT_FIELD_LABOR_HOURS)*PERMANENT_HOURLY_RATE-MAX(0,($D355+P$5)-PERMANENT_FIELD_LABOR_HOURS)*TEMP_HOURLY_RATE-FIXED_SEASON_COST)</f>
        <v/>
      </c>
      <c r="Q355" s="53" t="str">
        <f aca="false">IF(OR($A355&gt;TOMATO_BED_CAP,$B355&gt;CARROT_BED_CAP,Q$4&gt;MESCLUN_BED_CAP,$A355+$B355+Q$4&gt;TOTAL_BEDS_AVAILABLE,($D355+Q$5)&gt;TOTAL_LABOR_HOURS_CAP,MAX(0,($D355+Q$5)-PERMANENT_FIELD_LABOR_HOURS)&gt;TEMP_HOURS_CAP),"",$C355+Q$6-MIN(($D355+Q$5),PERMANENT_FIELD_LABOR_HOURS)*PERMANENT_HOURLY_RATE-MAX(0,($D355+Q$5)-PERMANENT_FIELD_LABOR_HOURS)*TEMP_HOURLY_RATE-FIXED_SEASON_COST)</f>
        <v/>
      </c>
      <c r="R355" s="53" t="str">
        <f aca="false">IF(OR($A355&gt;TOMATO_BED_CAP,$B355&gt;CARROT_BED_CAP,R$4&gt;MESCLUN_BED_CAP,$A355+$B355+R$4&gt;TOTAL_BEDS_AVAILABLE,($D355+R$5)&gt;TOTAL_LABOR_HOURS_CAP,MAX(0,($D355+R$5)-PERMANENT_FIELD_LABOR_HOURS)&gt;TEMP_HOURS_CAP),"",$C355+R$6-MIN(($D355+R$5),PERMANENT_FIELD_LABOR_HOURS)*PERMANENT_HOURLY_RATE-MAX(0,($D355+R$5)-PERMANENT_FIELD_LABOR_HOURS)*TEMP_HOURLY_RATE-FIXED_SEASON_COST)</f>
        <v/>
      </c>
      <c r="S355" s="53" t="str">
        <f aca="false">IF(OR($A355&gt;TOMATO_BED_CAP,$B355&gt;CARROT_BED_CAP,S$4&gt;MESCLUN_BED_CAP,$A355+$B355+S$4&gt;TOTAL_BEDS_AVAILABLE,($D355+S$5)&gt;TOTAL_LABOR_HOURS_CAP,MAX(0,($D355+S$5)-PERMANENT_FIELD_LABOR_HOURS)&gt;TEMP_HOURS_CAP),"",$C355+S$6-MIN(($D355+S$5),PERMANENT_FIELD_LABOR_HOURS)*PERMANENT_HOURLY_RATE-MAX(0,($D355+S$5)-PERMANENT_FIELD_LABOR_HOURS)*TEMP_HOURLY_RATE-FIXED_SEASON_COST)</f>
        <v/>
      </c>
      <c r="T355" s="53" t="str">
        <f aca="false">IF(OR($A355&gt;TOMATO_BED_CAP,$B355&gt;CARROT_BED_CAP,T$4&gt;MESCLUN_BED_CAP,$A355+$B355+T$4&gt;TOTAL_BEDS_AVAILABLE,($D355+T$5)&gt;TOTAL_LABOR_HOURS_CAP,MAX(0,($D355+T$5)-PERMANENT_FIELD_LABOR_HOURS)&gt;TEMP_HOURS_CAP),"",$C355+T$6-MIN(($D355+T$5),PERMANENT_FIELD_LABOR_HOURS)*PERMANENT_HOURLY_RATE-MAX(0,($D355+T$5)-PERMANENT_FIELD_LABOR_HOURS)*TEMP_HOURLY_RATE-FIXED_SEASON_COST)</f>
        <v/>
      </c>
      <c r="U355" s="53" t="str">
        <f aca="false">IF(OR($A355&gt;TOMATO_BED_CAP,$B355&gt;CARROT_BED_CAP,U$4&gt;MESCLUN_BED_CAP,$A355+$B355+U$4&gt;TOTAL_BEDS_AVAILABLE,($D355+U$5)&gt;TOTAL_LABOR_HOURS_CAP,MAX(0,($D355+U$5)-PERMANENT_FIELD_LABOR_HOURS)&gt;TEMP_HOURS_CAP),"",$C355+U$6-MIN(($D355+U$5),PERMANENT_FIELD_LABOR_HOURS)*PERMANENT_HOURLY_RATE-MAX(0,($D355+U$5)-PERMANENT_FIELD_LABOR_HOURS)*TEMP_HOURLY_RATE-FIXED_SEASON_COST)</f>
        <v/>
      </c>
      <c r="V355" s="53" t="str">
        <f aca="false">IF(OR($A355&gt;TOMATO_BED_CAP,$B355&gt;CARROT_BED_CAP,V$4&gt;MESCLUN_BED_CAP,$A355+$B355+V$4&gt;TOTAL_BEDS_AVAILABLE,($D355+V$5)&gt;TOTAL_LABOR_HOURS_CAP,MAX(0,($D355+V$5)-PERMANENT_FIELD_LABOR_HOURS)&gt;TEMP_HOURS_CAP),"",$C355+V$6-MIN(($D355+V$5),PERMANENT_FIELD_LABOR_HOURS)*PERMANENT_HOURLY_RATE-MAX(0,($D355+V$5)-PERMANENT_FIELD_LABOR_HOURS)*TEMP_HOURLY_RATE-FIXED_SEASON_COST)</f>
        <v/>
      </c>
      <c r="W355" s="53" t="str">
        <f aca="false">IF(OR($A355&gt;TOMATO_BED_CAP,$B355&gt;CARROT_BED_CAP,W$4&gt;MESCLUN_BED_CAP,$A355+$B355+W$4&gt;TOTAL_BEDS_AVAILABLE,($D355+W$5)&gt;TOTAL_LABOR_HOURS_CAP,MAX(0,($D355+W$5)-PERMANENT_FIELD_LABOR_HOURS)&gt;TEMP_HOURS_CAP),"",$C355+W$6-MIN(($D355+W$5),PERMANENT_FIELD_LABOR_HOURS)*PERMANENT_HOURLY_RATE-MAX(0,($D355+W$5)-PERMANENT_FIELD_LABOR_HOURS)*TEMP_HOURLY_RATE-FIXED_SEASON_COST)</f>
        <v/>
      </c>
      <c r="X355" s="53" t="str">
        <f aca="false">IF(OR($A355&gt;TOMATO_BED_CAP,$B355&gt;CARROT_BED_CAP,X$4&gt;MESCLUN_BED_CAP,$A355+$B355+X$4&gt;TOTAL_BEDS_AVAILABLE,($D355+X$5)&gt;TOTAL_LABOR_HOURS_CAP,MAX(0,($D355+X$5)-PERMANENT_FIELD_LABOR_HOURS)&gt;TEMP_HOURS_CAP),"",$C355+X$6-MIN(($D355+X$5),PERMANENT_FIELD_LABOR_HOURS)*PERMANENT_HOURLY_RATE-MAX(0,($D355+X$5)-PERMANENT_FIELD_LABOR_HOURS)*TEMP_HOURLY_RATE-FIXED_SEASON_COST)</f>
        <v/>
      </c>
      <c r="Y355" s="53" t="str">
        <f aca="false">IF(OR($A355&gt;TOMATO_BED_CAP,$B355&gt;CARROT_BED_CAP,Y$4&gt;MESCLUN_BED_CAP,$A355+$B355+Y$4&gt;TOTAL_BEDS_AVAILABLE,($D355+Y$5)&gt;TOTAL_LABOR_HOURS_CAP,MAX(0,($D355+Y$5)-PERMANENT_FIELD_LABOR_HOURS)&gt;TEMP_HOURS_CAP),"",$C355+Y$6-MIN(($D355+Y$5),PERMANENT_FIELD_LABOR_HOURS)*PERMANENT_HOURLY_RATE-MAX(0,($D355+Y$5)-PERMANENT_FIELD_LABOR_HOURS)*TEMP_HOURLY_RATE-FIXED_SEASON_COST)</f>
        <v/>
      </c>
      <c r="Z355" s="53" t="str">
        <f aca="false">IF(OR($A355&gt;TOMATO_BED_CAP,$B355&gt;CARROT_BED_CAP,Z$4&gt;MESCLUN_BED_CAP,$A355+$B355+Z$4&gt;TOTAL_BEDS_AVAILABLE,($D355+Z$5)&gt;TOTAL_LABOR_HOURS_CAP,MAX(0,($D355+Z$5)-PERMANENT_FIELD_LABOR_HOURS)&gt;TEMP_HOURS_CAP),"",$C355+Z$6-MIN(($D355+Z$5),PERMANENT_FIELD_LABOR_HOURS)*PERMANENT_HOURLY_RATE-MAX(0,($D355+Z$5)-PERMANENT_FIELD_LABOR_HOURS)*TEMP_HOURLY_RATE-FIXED_SEASON_COST)</f>
        <v/>
      </c>
      <c r="AA355" s="53" t="str">
        <f aca="false">IF(OR($A355&gt;TOMATO_BED_CAP,$B355&gt;CARROT_BED_CAP,AA$4&gt;MESCLUN_BED_CAP,$A355+$B355+AA$4&gt;TOTAL_BEDS_AVAILABLE,($D355+AA$5)&gt;TOTAL_LABOR_HOURS_CAP,MAX(0,($D355+AA$5)-PERMANENT_FIELD_LABOR_HOURS)&gt;TEMP_HOURS_CAP),"",$C355+AA$6-MIN(($D355+AA$5),PERMANENT_FIELD_LABOR_HOURS)*PERMANENT_HOURLY_RATE-MAX(0,($D355+AA$5)-PERMANENT_FIELD_LABOR_HOURS)*TEMP_HOURLY_RATE-FIXED_SEASON_COST)</f>
        <v/>
      </c>
      <c r="AB355" s="53" t="str">
        <f aca="false">IF(OR($A355&gt;TOMATO_BED_CAP,$B355&gt;CARROT_BED_CAP,AB$4&gt;MESCLUN_BED_CAP,$A355+$B355+AB$4&gt;TOTAL_BEDS_AVAILABLE,($D355+AB$5)&gt;TOTAL_LABOR_HOURS_CAP,MAX(0,($D355+AB$5)-PERMANENT_FIELD_LABOR_HOURS)&gt;TEMP_HOURS_CAP),"",$C355+AB$6-MIN(($D355+AB$5),PERMANENT_FIELD_LABOR_HOURS)*PERMANENT_HOURLY_RATE-MAX(0,($D355+AB$5)-PERMANENT_FIELD_LABOR_HOURS)*TEMP_HOURLY_RATE-FIXED_SEASON_COST)</f>
        <v/>
      </c>
      <c r="AC355" s="53" t="str">
        <f aca="false">IF(OR($A355&gt;TOMATO_BED_CAP,$B355&gt;CARROT_BED_CAP,AC$4&gt;MESCLUN_BED_CAP,$A355+$B355+AC$4&gt;TOTAL_BEDS_AVAILABLE,($D355+AC$5)&gt;TOTAL_LABOR_HOURS_CAP,MAX(0,($D355+AC$5)-PERMANENT_FIELD_LABOR_HOURS)&gt;TEMP_HOURS_CAP),"",$C355+AC$6-MIN(($D355+AC$5),PERMANENT_FIELD_LABOR_HOURS)*PERMANENT_HOURLY_RATE-MAX(0,($D355+AC$5)-PERMANENT_FIELD_LABOR_HOURS)*TEMP_HOURLY_RATE-FIXED_SEASON_COST)</f>
        <v/>
      </c>
      <c r="AD355" s="53" t="str">
        <f aca="false">IF(OR($A355&gt;TOMATO_BED_CAP,$B355&gt;CARROT_BED_CAP,AD$4&gt;MESCLUN_BED_CAP,$A355+$B355+AD$4&gt;TOTAL_BEDS_AVAILABLE,($D355+AD$5)&gt;TOTAL_LABOR_HOURS_CAP,MAX(0,($D355+AD$5)-PERMANENT_FIELD_LABOR_HOURS)&gt;TEMP_HOURS_CAP),"",$C355+AD$6-MIN(($D355+AD$5),PERMANENT_FIELD_LABOR_HOURS)*PERMANENT_HOURLY_RATE-MAX(0,($D355+AD$5)-PERMANENT_FIELD_LABOR_HOURS)*TEMP_HOURLY_RATE-FIXED_SEASON_COST)</f>
        <v/>
      </c>
      <c r="AE355" s="53" t="str">
        <f aca="false">IF(OR($A355&gt;TOMATO_BED_CAP,$B355&gt;CARROT_BED_CAP,AE$4&gt;MESCLUN_BED_CAP,$A355+$B355+AE$4&gt;TOTAL_BEDS_AVAILABLE,($D355+AE$5)&gt;TOTAL_LABOR_HOURS_CAP,MAX(0,($D355+AE$5)-PERMANENT_FIELD_LABOR_HOURS)&gt;TEMP_HOURS_CAP),"",$C355+AE$6-MIN(($D355+AE$5),PERMANENT_FIELD_LABOR_HOURS)*PERMANENT_HOURLY_RATE-MAX(0,($D355+AE$5)-PERMANENT_FIELD_LABOR_HOURS)*TEMP_HOURLY_RATE-FIXED_SEASON_COST)</f>
        <v/>
      </c>
      <c r="AF355" s="53" t="str">
        <f aca="false">IF(OR($A355&gt;TOMATO_BED_CAP,$B355&gt;CARROT_BED_CAP,AF$4&gt;MESCLUN_BED_CAP,$A355+$B355+AF$4&gt;TOTAL_BEDS_AVAILABLE,($D355+AF$5)&gt;TOTAL_LABOR_HOURS_CAP,MAX(0,($D355+AF$5)-PERMANENT_FIELD_LABOR_HOURS)&gt;TEMP_HOURS_CAP),"",$C355+AF$6-MIN(($D355+AF$5),PERMANENT_FIELD_LABOR_HOURS)*PERMANENT_HOURLY_RATE-MAX(0,($D355+AF$5)-PERMANENT_FIELD_LABOR_HOURS)*TEMP_HOURLY_RATE-FIXED_SEASON_COST)</f>
        <v/>
      </c>
      <c r="AG355" s="53" t="str">
        <f aca="false">IF(OR($A355&gt;TOMATO_BED_CAP,$B355&gt;CARROT_BED_CAP,AG$4&gt;MESCLUN_BED_CAP,$A355+$B355+AG$4&gt;TOTAL_BEDS_AVAILABLE,($D355+AG$5)&gt;TOTAL_LABOR_HOURS_CAP,MAX(0,($D355+AG$5)-PERMANENT_FIELD_LABOR_HOURS)&gt;TEMP_HOURS_CAP),"",$C355+AG$6-MIN(($D355+AG$5),PERMANENT_FIELD_LABOR_HOURS)*PERMANENT_HOURLY_RATE-MAX(0,($D355+AG$5)-PERMANENT_FIELD_LABOR_HOURS)*TEMP_HOURLY_RATE-FIXED_SEASON_COST)</f>
        <v/>
      </c>
      <c r="AH355" s="53" t="str">
        <f aca="false">IF(OR($A355&gt;TOMATO_BED_CAP,$B355&gt;CARROT_BED_CAP,AH$4&gt;MESCLUN_BED_CAP,$A355+$B355+AH$4&gt;TOTAL_BEDS_AVAILABLE,($D355+AH$5)&gt;TOTAL_LABOR_HOURS_CAP,MAX(0,($D355+AH$5)-PERMANENT_FIELD_LABOR_HOURS)&gt;TEMP_HOURS_CAP),"",$C355+AH$6-MIN(($D355+AH$5),PERMANENT_FIELD_LABOR_HOURS)*PERMANENT_HOURLY_RATE-MAX(0,($D355+AH$5)-PERMANENT_FIELD_LABOR_HOURS)*TEMP_HOURLY_RATE-FIXED_SEASON_COST)</f>
        <v/>
      </c>
      <c r="AI355" s="53" t="str">
        <f aca="false">IF(OR($A355&gt;TOMATO_BED_CAP,$B355&gt;CARROT_BED_CAP,AI$4&gt;MESCLUN_BED_CAP,$A355+$B355+AI$4&gt;TOTAL_BEDS_AVAILABLE,($D355+AI$5)&gt;TOTAL_LABOR_HOURS_CAP,MAX(0,($D355+AI$5)-PERMANENT_FIELD_LABOR_HOURS)&gt;TEMP_HOURS_CAP),"",$C355+AI$6-MIN(($D355+AI$5),PERMANENT_FIELD_LABOR_HOURS)*PERMANENT_HOURLY_RATE-MAX(0,($D355+AI$5)-PERMANENT_FIELD_LABOR_HOURS)*TEMP_HOURLY_RATE-FIXED_SEASON_COST)</f>
        <v/>
      </c>
      <c r="AJ355" s="53" t="str">
        <f aca="false">IF(OR($A355&gt;TOMATO_BED_CAP,$B355&gt;CARROT_BED_CAP,AJ$4&gt;MESCLUN_BED_CAP,$A355+$B355+AJ$4&gt;TOTAL_BEDS_AVAILABLE,($D355+AJ$5)&gt;TOTAL_LABOR_HOURS_CAP,MAX(0,($D355+AJ$5)-PERMANENT_FIELD_LABOR_HOURS)&gt;TEMP_HOURS_CAP),"",$C355+AJ$6-MIN(($D355+AJ$5),PERMANENT_FIELD_LABOR_HOURS)*PERMANENT_HOURLY_RATE-MAX(0,($D355+AJ$5)-PERMANENT_FIELD_LABOR_HOURS)*TEMP_HOURLY_RATE-FIXED_SEASON_COST)</f>
        <v/>
      </c>
    </row>
    <row r="356" customFormat="false" ht="15" hidden="false" customHeight="false" outlineLevel="0" collapsed="false">
      <c r="A356" s="21" t="n">
        <f aca="false">INT((ROW()-ROW($A$8))/(20+1))</f>
        <v>16</v>
      </c>
      <c r="B356" s="21" t="n">
        <f aca="false">MOD(ROW()-ROW($A$8),20+1)</f>
        <v>12</v>
      </c>
      <c r="C356" s="13" t="n">
        <f aca="false">A356*(TOMATO_REVENUE_PER_BED-TOMATO_FERTILIZER_PER_BED)+B356*(CARROT_REVENUE_PER_BED-CARROT_FERTILIZER_PER_BED)</f>
        <v>146568</v>
      </c>
      <c r="D356" s="14" t="n">
        <f aca="false">INDEX(TOMATO_SCHED_LABOR_HRS,A356+1)+INDEX(CARROT_SCHED_LABOR_HRS,B356+1)</f>
        <v>7100.72741309238</v>
      </c>
      <c r="E356" s="13" t="str">
        <f aca="false">IF(COUNT(F356:AJ356)=0,"",MAX(F356:AJ356))</f>
        <v/>
      </c>
      <c r="F356" s="53" t="str">
        <f aca="false">IF(OR($A356&gt;TOMATO_BED_CAP,$B356&gt;CARROT_BED_CAP,F$4&gt;MESCLUN_BED_CAP,$A356+$B356+F$4&gt;TOTAL_BEDS_AVAILABLE,($D356+F$5)&gt;TOTAL_LABOR_HOURS_CAP,MAX(0,($D356+F$5)-PERMANENT_FIELD_LABOR_HOURS)&gt;TEMP_HOURS_CAP),"",$C356+F$6-MIN(($D356+F$5),PERMANENT_FIELD_LABOR_HOURS)*PERMANENT_HOURLY_RATE-MAX(0,($D356+F$5)-PERMANENT_FIELD_LABOR_HOURS)*TEMP_HOURLY_RATE-FIXED_SEASON_COST)</f>
        <v/>
      </c>
      <c r="G356" s="53" t="str">
        <f aca="false">IF(OR($A356&gt;TOMATO_BED_CAP,$B356&gt;CARROT_BED_CAP,G$4&gt;MESCLUN_BED_CAP,$A356+$B356+G$4&gt;TOTAL_BEDS_AVAILABLE,($D356+G$5)&gt;TOTAL_LABOR_HOURS_CAP,MAX(0,($D356+G$5)-PERMANENT_FIELD_LABOR_HOURS)&gt;TEMP_HOURS_CAP),"",$C356+G$6-MIN(($D356+G$5),PERMANENT_FIELD_LABOR_HOURS)*PERMANENT_HOURLY_RATE-MAX(0,($D356+G$5)-PERMANENT_FIELD_LABOR_HOURS)*TEMP_HOURLY_RATE-FIXED_SEASON_COST)</f>
        <v/>
      </c>
      <c r="H356" s="53" t="str">
        <f aca="false">IF(OR($A356&gt;TOMATO_BED_CAP,$B356&gt;CARROT_BED_CAP,H$4&gt;MESCLUN_BED_CAP,$A356+$B356+H$4&gt;TOTAL_BEDS_AVAILABLE,($D356+H$5)&gt;TOTAL_LABOR_HOURS_CAP,MAX(0,($D356+H$5)-PERMANENT_FIELD_LABOR_HOURS)&gt;TEMP_HOURS_CAP),"",$C356+H$6-MIN(($D356+H$5),PERMANENT_FIELD_LABOR_HOURS)*PERMANENT_HOURLY_RATE-MAX(0,($D356+H$5)-PERMANENT_FIELD_LABOR_HOURS)*TEMP_HOURLY_RATE-FIXED_SEASON_COST)</f>
        <v/>
      </c>
      <c r="I356" s="53" t="str">
        <f aca="false">IF(OR($A356&gt;TOMATO_BED_CAP,$B356&gt;CARROT_BED_CAP,I$4&gt;MESCLUN_BED_CAP,$A356+$B356+I$4&gt;TOTAL_BEDS_AVAILABLE,($D356+I$5)&gt;TOTAL_LABOR_HOURS_CAP,MAX(0,($D356+I$5)-PERMANENT_FIELD_LABOR_HOURS)&gt;TEMP_HOURS_CAP),"",$C356+I$6-MIN(($D356+I$5),PERMANENT_FIELD_LABOR_HOURS)*PERMANENT_HOURLY_RATE-MAX(0,($D356+I$5)-PERMANENT_FIELD_LABOR_HOURS)*TEMP_HOURLY_RATE-FIXED_SEASON_COST)</f>
        <v/>
      </c>
      <c r="J356" s="53" t="str">
        <f aca="false">IF(OR($A356&gt;TOMATO_BED_CAP,$B356&gt;CARROT_BED_CAP,J$4&gt;MESCLUN_BED_CAP,$A356+$B356+J$4&gt;TOTAL_BEDS_AVAILABLE,($D356+J$5)&gt;TOTAL_LABOR_HOURS_CAP,MAX(0,($D356+J$5)-PERMANENT_FIELD_LABOR_HOURS)&gt;TEMP_HOURS_CAP),"",$C356+J$6-MIN(($D356+J$5),PERMANENT_FIELD_LABOR_HOURS)*PERMANENT_HOURLY_RATE-MAX(0,($D356+J$5)-PERMANENT_FIELD_LABOR_HOURS)*TEMP_HOURLY_RATE-FIXED_SEASON_COST)</f>
        <v/>
      </c>
      <c r="K356" s="53" t="str">
        <f aca="false">IF(OR($A356&gt;TOMATO_BED_CAP,$B356&gt;CARROT_BED_CAP,K$4&gt;MESCLUN_BED_CAP,$A356+$B356+K$4&gt;TOTAL_BEDS_AVAILABLE,($D356+K$5)&gt;TOTAL_LABOR_HOURS_CAP,MAX(0,($D356+K$5)-PERMANENT_FIELD_LABOR_HOURS)&gt;TEMP_HOURS_CAP),"",$C356+K$6-MIN(($D356+K$5),PERMANENT_FIELD_LABOR_HOURS)*PERMANENT_HOURLY_RATE-MAX(0,($D356+K$5)-PERMANENT_FIELD_LABOR_HOURS)*TEMP_HOURLY_RATE-FIXED_SEASON_COST)</f>
        <v/>
      </c>
      <c r="L356" s="53" t="str">
        <f aca="false">IF(OR($A356&gt;TOMATO_BED_CAP,$B356&gt;CARROT_BED_CAP,L$4&gt;MESCLUN_BED_CAP,$A356+$B356+L$4&gt;TOTAL_BEDS_AVAILABLE,($D356+L$5)&gt;TOTAL_LABOR_HOURS_CAP,MAX(0,($D356+L$5)-PERMANENT_FIELD_LABOR_HOURS)&gt;TEMP_HOURS_CAP),"",$C356+L$6-MIN(($D356+L$5),PERMANENT_FIELD_LABOR_HOURS)*PERMANENT_HOURLY_RATE-MAX(0,($D356+L$5)-PERMANENT_FIELD_LABOR_HOURS)*TEMP_HOURLY_RATE-FIXED_SEASON_COST)</f>
        <v/>
      </c>
      <c r="M356" s="53" t="str">
        <f aca="false">IF(OR($A356&gt;TOMATO_BED_CAP,$B356&gt;CARROT_BED_CAP,M$4&gt;MESCLUN_BED_CAP,$A356+$B356+M$4&gt;TOTAL_BEDS_AVAILABLE,($D356+M$5)&gt;TOTAL_LABOR_HOURS_CAP,MAX(0,($D356+M$5)-PERMANENT_FIELD_LABOR_HOURS)&gt;TEMP_HOURS_CAP),"",$C356+M$6-MIN(($D356+M$5),PERMANENT_FIELD_LABOR_HOURS)*PERMANENT_HOURLY_RATE-MAX(0,($D356+M$5)-PERMANENT_FIELD_LABOR_HOURS)*TEMP_HOURLY_RATE-FIXED_SEASON_COST)</f>
        <v/>
      </c>
      <c r="N356" s="53" t="str">
        <f aca="false">IF(OR($A356&gt;TOMATO_BED_CAP,$B356&gt;CARROT_BED_CAP,N$4&gt;MESCLUN_BED_CAP,$A356+$B356+N$4&gt;TOTAL_BEDS_AVAILABLE,($D356+N$5)&gt;TOTAL_LABOR_HOURS_CAP,MAX(0,($D356+N$5)-PERMANENT_FIELD_LABOR_HOURS)&gt;TEMP_HOURS_CAP),"",$C356+N$6-MIN(($D356+N$5),PERMANENT_FIELD_LABOR_HOURS)*PERMANENT_HOURLY_RATE-MAX(0,($D356+N$5)-PERMANENT_FIELD_LABOR_HOURS)*TEMP_HOURLY_RATE-FIXED_SEASON_COST)</f>
        <v/>
      </c>
      <c r="O356" s="53" t="str">
        <f aca="false">IF(OR($A356&gt;TOMATO_BED_CAP,$B356&gt;CARROT_BED_CAP,O$4&gt;MESCLUN_BED_CAP,$A356+$B356+O$4&gt;TOTAL_BEDS_AVAILABLE,($D356+O$5)&gt;TOTAL_LABOR_HOURS_CAP,MAX(0,($D356+O$5)-PERMANENT_FIELD_LABOR_HOURS)&gt;TEMP_HOURS_CAP),"",$C356+O$6-MIN(($D356+O$5),PERMANENT_FIELD_LABOR_HOURS)*PERMANENT_HOURLY_RATE-MAX(0,($D356+O$5)-PERMANENT_FIELD_LABOR_HOURS)*TEMP_HOURLY_RATE-FIXED_SEASON_COST)</f>
        <v/>
      </c>
      <c r="P356" s="53" t="str">
        <f aca="false">IF(OR($A356&gt;TOMATO_BED_CAP,$B356&gt;CARROT_BED_CAP,P$4&gt;MESCLUN_BED_CAP,$A356+$B356+P$4&gt;TOTAL_BEDS_AVAILABLE,($D356+P$5)&gt;TOTAL_LABOR_HOURS_CAP,MAX(0,($D356+P$5)-PERMANENT_FIELD_LABOR_HOURS)&gt;TEMP_HOURS_CAP),"",$C356+P$6-MIN(($D356+P$5),PERMANENT_FIELD_LABOR_HOURS)*PERMANENT_HOURLY_RATE-MAX(0,($D356+P$5)-PERMANENT_FIELD_LABOR_HOURS)*TEMP_HOURLY_RATE-FIXED_SEASON_COST)</f>
        <v/>
      </c>
      <c r="Q356" s="53" t="str">
        <f aca="false">IF(OR($A356&gt;TOMATO_BED_CAP,$B356&gt;CARROT_BED_CAP,Q$4&gt;MESCLUN_BED_CAP,$A356+$B356+Q$4&gt;TOTAL_BEDS_AVAILABLE,($D356+Q$5)&gt;TOTAL_LABOR_HOURS_CAP,MAX(0,($D356+Q$5)-PERMANENT_FIELD_LABOR_HOURS)&gt;TEMP_HOURS_CAP),"",$C356+Q$6-MIN(($D356+Q$5),PERMANENT_FIELD_LABOR_HOURS)*PERMANENT_HOURLY_RATE-MAX(0,($D356+Q$5)-PERMANENT_FIELD_LABOR_HOURS)*TEMP_HOURLY_RATE-FIXED_SEASON_COST)</f>
        <v/>
      </c>
      <c r="R356" s="53" t="str">
        <f aca="false">IF(OR($A356&gt;TOMATO_BED_CAP,$B356&gt;CARROT_BED_CAP,R$4&gt;MESCLUN_BED_CAP,$A356+$B356+R$4&gt;TOTAL_BEDS_AVAILABLE,($D356+R$5)&gt;TOTAL_LABOR_HOURS_CAP,MAX(0,($D356+R$5)-PERMANENT_FIELD_LABOR_HOURS)&gt;TEMP_HOURS_CAP),"",$C356+R$6-MIN(($D356+R$5),PERMANENT_FIELD_LABOR_HOURS)*PERMANENT_HOURLY_RATE-MAX(0,($D356+R$5)-PERMANENT_FIELD_LABOR_HOURS)*TEMP_HOURLY_RATE-FIXED_SEASON_COST)</f>
        <v/>
      </c>
      <c r="S356" s="53" t="str">
        <f aca="false">IF(OR($A356&gt;TOMATO_BED_CAP,$B356&gt;CARROT_BED_CAP,S$4&gt;MESCLUN_BED_CAP,$A356+$B356+S$4&gt;TOTAL_BEDS_AVAILABLE,($D356+S$5)&gt;TOTAL_LABOR_HOURS_CAP,MAX(0,($D356+S$5)-PERMANENT_FIELD_LABOR_HOURS)&gt;TEMP_HOURS_CAP),"",$C356+S$6-MIN(($D356+S$5),PERMANENT_FIELD_LABOR_HOURS)*PERMANENT_HOURLY_RATE-MAX(0,($D356+S$5)-PERMANENT_FIELD_LABOR_HOURS)*TEMP_HOURLY_RATE-FIXED_SEASON_COST)</f>
        <v/>
      </c>
      <c r="T356" s="53" t="str">
        <f aca="false">IF(OR($A356&gt;TOMATO_BED_CAP,$B356&gt;CARROT_BED_CAP,T$4&gt;MESCLUN_BED_CAP,$A356+$B356+T$4&gt;TOTAL_BEDS_AVAILABLE,($D356+T$5)&gt;TOTAL_LABOR_HOURS_CAP,MAX(0,($D356+T$5)-PERMANENT_FIELD_LABOR_HOURS)&gt;TEMP_HOURS_CAP),"",$C356+T$6-MIN(($D356+T$5),PERMANENT_FIELD_LABOR_HOURS)*PERMANENT_HOURLY_RATE-MAX(0,($D356+T$5)-PERMANENT_FIELD_LABOR_HOURS)*TEMP_HOURLY_RATE-FIXED_SEASON_COST)</f>
        <v/>
      </c>
      <c r="U356" s="53" t="str">
        <f aca="false">IF(OR($A356&gt;TOMATO_BED_CAP,$B356&gt;CARROT_BED_CAP,U$4&gt;MESCLUN_BED_CAP,$A356+$B356+U$4&gt;TOTAL_BEDS_AVAILABLE,($D356+U$5)&gt;TOTAL_LABOR_HOURS_CAP,MAX(0,($D356+U$5)-PERMANENT_FIELD_LABOR_HOURS)&gt;TEMP_HOURS_CAP),"",$C356+U$6-MIN(($D356+U$5),PERMANENT_FIELD_LABOR_HOURS)*PERMANENT_HOURLY_RATE-MAX(0,($D356+U$5)-PERMANENT_FIELD_LABOR_HOURS)*TEMP_HOURLY_RATE-FIXED_SEASON_COST)</f>
        <v/>
      </c>
      <c r="V356" s="53" t="str">
        <f aca="false">IF(OR($A356&gt;TOMATO_BED_CAP,$B356&gt;CARROT_BED_CAP,V$4&gt;MESCLUN_BED_CAP,$A356+$B356+V$4&gt;TOTAL_BEDS_AVAILABLE,($D356+V$5)&gt;TOTAL_LABOR_HOURS_CAP,MAX(0,($D356+V$5)-PERMANENT_FIELD_LABOR_HOURS)&gt;TEMP_HOURS_CAP),"",$C356+V$6-MIN(($D356+V$5),PERMANENT_FIELD_LABOR_HOURS)*PERMANENT_HOURLY_RATE-MAX(0,($D356+V$5)-PERMANENT_FIELD_LABOR_HOURS)*TEMP_HOURLY_RATE-FIXED_SEASON_COST)</f>
        <v/>
      </c>
      <c r="W356" s="53" t="str">
        <f aca="false">IF(OR($A356&gt;TOMATO_BED_CAP,$B356&gt;CARROT_BED_CAP,W$4&gt;MESCLUN_BED_CAP,$A356+$B356+W$4&gt;TOTAL_BEDS_AVAILABLE,($D356+W$5)&gt;TOTAL_LABOR_HOURS_CAP,MAX(0,($D356+W$5)-PERMANENT_FIELD_LABOR_HOURS)&gt;TEMP_HOURS_CAP),"",$C356+W$6-MIN(($D356+W$5),PERMANENT_FIELD_LABOR_HOURS)*PERMANENT_HOURLY_RATE-MAX(0,($D356+W$5)-PERMANENT_FIELD_LABOR_HOURS)*TEMP_HOURLY_RATE-FIXED_SEASON_COST)</f>
        <v/>
      </c>
      <c r="X356" s="53" t="str">
        <f aca="false">IF(OR($A356&gt;TOMATO_BED_CAP,$B356&gt;CARROT_BED_CAP,X$4&gt;MESCLUN_BED_CAP,$A356+$B356+X$4&gt;TOTAL_BEDS_AVAILABLE,($D356+X$5)&gt;TOTAL_LABOR_HOURS_CAP,MAX(0,($D356+X$5)-PERMANENT_FIELD_LABOR_HOURS)&gt;TEMP_HOURS_CAP),"",$C356+X$6-MIN(($D356+X$5),PERMANENT_FIELD_LABOR_HOURS)*PERMANENT_HOURLY_RATE-MAX(0,($D356+X$5)-PERMANENT_FIELD_LABOR_HOURS)*TEMP_HOURLY_RATE-FIXED_SEASON_COST)</f>
        <v/>
      </c>
      <c r="Y356" s="53" t="str">
        <f aca="false">IF(OR($A356&gt;TOMATO_BED_CAP,$B356&gt;CARROT_BED_CAP,Y$4&gt;MESCLUN_BED_CAP,$A356+$B356+Y$4&gt;TOTAL_BEDS_AVAILABLE,($D356+Y$5)&gt;TOTAL_LABOR_HOURS_CAP,MAX(0,($D356+Y$5)-PERMANENT_FIELD_LABOR_HOURS)&gt;TEMP_HOURS_CAP),"",$C356+Y$6-MIN(($D356+Y$5),PERMANENT_FIELD_LABOR_HOURS)*PERMANENT_HOURLY_RATE-MAX(0,($D356+Y$5)-PERMANENT_FIELD_LABOR_HOURS)*TEMP_HOURLY_RATE-FIXED_SEASON_COST)</f>
        <v/>
      </c>
      <c r="Z356" s="53" t="str">
        <f aca="false">IF(OR($A356&gt;TOMATO_BED_CAP,$B356&gt;CARROT_BED_CAP,Z$4&gt;MESCLUN_BED_CAP,$A356+$B356+Z$4&gt;TOTAL_BEDS_AVAILABLE,($D356+Z$5)&gt;TOTAL_LABOR_HOURS_CAP,MAX(0,($D356+Z$5)-PERMANENT_FIELD_LABOR_HOURS)&gt;TEMP_HOURS_CAP),"",$C356+Z$6-MIN(($D356+Z$5),PERMANENT_FIELD_LABOR_HOURS)*PERMANENT_HOURLY_RATE-MAX(0,($D356+Z$5)-PERMANENT_FIELD_LABOR_HOURS)*TEMP_HOURLY_RATE-FIXED_SEASON_COST)</f>
        <v/>
      </c>
      <c r="AA356" s="53" t="str">
        <f aca="false">IF(OR($A356&gt;TOMATO_BED_CAP,$B356&gt;CARROT_BED_CAP,AA$4&gt;MESCLUN_BED_CAP,$A356+$B356+AA$4&gt;TOTAL_BEDS_AVAILABLE,($D356+AA$5)&gt;TOTAL_LABOR_HOURS_CAP,MAX(0,($D356+AA$5)-PERMANENT_FIELD_LABOR_HOURS)&gt;TEMP_HOURS_CAP),"",$C356+AA$6-MIN(($D356+AA$5),PERMANENT_FIELD_LABOR_HOURS)*PERMANENT_HOURLY_RATE-MAX(0,($D356+AA$5)-PERMANENT_FIELD_LABOR_HOURS)*TEMP_HOURLY_RATE-FIXED_SEASON_COST)</f>
        <v/>
      </c>
      <c r="AB356" s="53" t="str">
        <f aca="false">IF(OR($A356&gt;TOMATO_BED_CAP,$B356&gt;CARROT_BED_CAP,AB$4&gt;MESCLUN_BED_CAP,$A356+$B356+AB$4&gt;TOTAL_BEDS_AVAILABLE,($D356+AB$5)&gt;TOTAL_LABOR_HOURS_CAP,MAX(0,($D356+AB$5)-PERMANENT_FIELD_LABOR_HOURS)&gt;TEMP_HOURS_CAP),"",$C356+AB$6-MIN(($D356+AB$5),PERMANENT_FIELD_LABOR_HOURS)*PERMANENT_HOURLY_RATE-MAX(0,($D356+AB$5)-PERMANENT_FIELD_LABOR_HOURS)*TEMP_HOURLY_RATE-FIXED_SEASON_COST)</f>
        <v/>
      </c>
      <c r="AC356" s="53" t="str">
        <f aca="false">IF(OR($A356&gt;TOMATO_BED_CAP,$B356&gt;CARROT_BED_CAP,AC$4&gt;MESCLUN_BED_CAP,$A356+$B356+AC$4&gt;TOTAL_BEDS_AVAILABLE,($D356+AC$5)&gt;TOTAL_LABOR_HOURS_CAP,MAX(0,($D356+AC$5)-PERMANENT_FIELD_LABOR_HOURS)&gt;TEMP_HOURS_CAP),"",$C356+AC$6-MIN(($D356+AC$5),PERMANENT_FIELD_LABOR_HOURS)*PERMANENT_HOURLY_RATE-MAX(0,($D356+AC$5)-PERMANENT_FIELD_LABOR_HOURS)*TEMP_HOURLY_RATE-FIXED_SEASON_COST)</f>
        <v/>
      </c>
      <c r="AD356" s="53" t="str">
        <f aca="false">IF(OR($A356&gt;TOMATO_BED_CAP,$B356&gt;CARROT_BED_CAP,AD$4&gt;MESCLUN_BED_CAP,$A356+$B356+AD$4&gt;TOTAL_BEDS_AVAILABLE,($D356+AD$5)&gt;TOTAL_LABOR_HOURS_CAP,MAX(0,($D356+AD$5)-PERMANENT_FIELD_LABOR_HOURS)&gt;TEMP_HOURS_CAP),"",$C356+AD$6-MIN(($D356+AD$5),PERMANENT_FIELD_LABOR_HOURS)*PERMANENT_HOURLY_RATE-MAX(0,($D356+AD$5)-PERMANENT_FIELD_LABOR_HOURS)*TEMP_HOURLY_RATE-FIXED_SEASON_COST)</f>
        <v/>
      </c>
      <c r="AE356" s="53" t="str">
        <f aca="false">IF(OR($A356&gt;TOMATO_BED_CAP,$B356&gt;CARROT_BED_CAP,AE$4&gt;MESCLUN_BED_CAP,$A356+$B356+AE$4&gt;TOTAL_BEDS_AVAILABLE,($D356+AE$5)&gt;TOTAL_LABOR_HOURS_CAP,MAX(0,($D356+AE$5)-PERMANENT_FIELD_LABOR_HOURS)&gt;TEMP_HOURS_CAP),"",$C356+AE$6-MIN(($D356+AE$5),PERMANENT_FIELD_LABOR_HOURS)*PERMANENT_HOURLY_RATE-MAX(0,($D356+AE$5)-PERMANENT_FIELD_LABOR_HOURS)*TEMP_HOURLY_RATE-FIXED_SEASON_COST)</f>
        <v/>
      </c>
      <c r="AF356" s="53" t="str">
        <f aca="false">IF(OR($A356&gt;TOMATO_BED_CAP,$B356&gt;CARROT_BED_CAP,AF$4&gt;MESCLUN_BED_CAP,$A356+$B356+AF$4&gt;TOTAL_BEDS_AVAILABLE,($D356+AF$5)&gt;TOTAL_LABOR_HOURS_CAP,MAX(0,($D356+AF$5)-PERMANENT_FIELD_LABOR_HOURS)&gt;TEMP_HOURS_CAP),"",$C356+AF$6-MIN(($D356+AF$5),PERMANENT_FIELD_LABOR_HOURS)*PERMANENT_HOURLY_RATE-MAX(0,($D356+AF$5)-PERMANENT_FIELD_LABOR_HOURS)*TEMP_HOURLY_RATE-FIXED_SEASON_COST)</f>
        <v/>
      </c>
      <c r="AG356" s="53" t="str">
        <f aca="false">IF(OR($A356&gt;TOMATO_BED_CAP,$B356&gt;CARROT_BED_CAP,AG$4&gt;MESCLUN_BED_CAP,$A356+$B356+AG$4&gt;TOTAL_BEDS_AVAILABLE,($D356+AG$5)&gt;TOTAL_LABOR_HOURS_CAP,MAX(0,($D356+AG$5)-PERMANENT_FIELD_LABOR_HOURS)&gt;TEMP_HOURS_CAP),"",$C356+AG$6-MIN(($D356+AG$5),PERMANENT_FIELD_LABOR_HOURS)*PERMANENT_HOURLY_RATE-MAX(0,($D356+AG$5)-PERMANENT_FIELD_LABOR_HOURS)*TEMP_HOURLY_RATE-FIXED_SEASON_COST)</f>
        <v/>
      </c>
      <c r="AH356" s="53" t="str">
        <f aca="false">IF(OR($A356&gt;TOMATO_BED_CAP,$B356&gt;CARROT_BED_CAP,AH$4&gt;MESCLUN_BED_CAP,$A356+$B356+AH$4&gt;TOTAL_BEDS_AVAILABLE,($D356+AH$5)&gt;TOTAL_LABOR_HOURS_CAP,MAX(0,($D356+AH$5)-PERMANENT_FIELD_LABOR_HOURS)&gt;TEMP_HOURS_CAP),"",$C356+AH$6-MIN(($D356+AH$5),PERMANENT_FIELD_LABOR_HOURS)*PERMANENT_HOURLY_RATE-MAX(0,($D356+AH$5)-PERMANENT_FIELD_LABOR_HOURS)*TEMP_HOURLY_RATE-FIXED_SEASON_COST)</f>
        <v/>
      </c>
      <c r="AI356" s="53" t="str">
        <f aca="false">IF(OR($A356&gt;TOMATO_BED_CAP,$B356&gt;CARROT_BED_CAP,AI$4&gt;MESCLUN_BED_CAP,$A356+$B356+AI$4&gt;TOTAL_BEDS_AVAILABLE,($D356+AI$5)&gt;TOTAL_LABOR_HOURS_CAP,MAX(0,($D356+AI$5)-PERMANENT_FIELD_LABOR_HOURS)&gt;TEMP_HOURS_CAP),"",$C356+AI$6-MIN(($D356+AI$5),PERMANENT_FIELD_LABOR_HOURS)*PERMANENT_HOURLY_RATE-MAX(0,($D356+AI$5)-PERMANENT_FIELD_LABOR_HOURS)*TEMP_HOURLY_RATE-FIXED_SEASON_COST)</f>
        <v/>
      </c>
      <c r="AJ356" s="53" t="str">
        <f aca="false">IF(OR($A356&gt;TOMATO_BED_CAP,$B356&gt;CARROT_BED_CAP,AJ$4&gt;MESCLUN_BED_CAP,$A356+$B356+AJ$4&gt;TOTAL_BEDS_AVAILABLE,($D356+AJ$5)&gt;TOTAL_LABOR_HOURS_CAP,MAX(0,($D356+AJ$5)-PERMANENT_FIELD_LABOR_HOURS)&gt;TEMP_HOURS_CAP),"",$C356+AJ$6-MIN(($D356+AJ$5),PERMANENT_FIELD_LABOR_HOURS)*PERMANENT_HOURLY_RATE-MAX(0,($D356+AJ$5)-PERMANENT_FIELD_LABOR_HOURS)*TEMP_HOURLY_RATE-FIXED_SEASON_COST)</f>
        <v/>
      </c>
    </row>
    <row r="357" customFormat="false" ht="15" hidden="false" customHeight="false" outlineLevel="0" collapsed="false">
      <c r="A357" s="21" t="n">
        <f aca="false">INT((ROW()-ROW($A$8))/(20+1))</f>
        <v>16</v>
      </c>
      <c r="B357" s="21" t="n">
        <f aca="false">MOD(ROW()-ROW($A$8),20+1)</f>
        <v>13</v>
      </c>
      <c r="C357" s="13" t="n">
        <f aca="false">A357*(TOMATO_REVENUE_PER_BED-TOMATO_FERTILIZER_PER_BED)+B357*(CARROT_REVENUE_PER_BED-CARROT_FERTILIZER_PER_BED)</f>
        <v>148222</v>
      </c>
      <c r="D357" s="14" t="n">
        <f aca="false">INDEX(TOMATO_SCHED_LABOR_HRS,A357+1)+INDEX(CARROT_SCHED_LABOR_HRS,B357+1)</f>
        <v>7154.16536012386</v>
      </c>
      <c r="E357" s="13" t="str">
        <f aca="false">IF(COUNT(F357:AJ357)=0,"",MAX(F357:AJ357))</f>
        <v/>
      </c>
      <c r="F357" s="53" t="str">
        <f aca="false">IF(OR($A357&gt;TOMATO_BED_CAP,$B357&gt;CARROT_BED_CAP,F$4&gt;MESCLUN_BED_CAP,$A357+$B357+F$4&gt;TOTAL_BEDS_AVAILABLE,($D357+F$5)&gt;TOTAL_LABOR_HOURS_CAP,MAX(0,($D357+F$5)-PERMANENT_FIELD_LABOR_HOURS)&gt;TEMP_HOURS_CAP),"",$C357+F$6-MIN(($D357+F$5),PERMANENT_FIELD_LABOR_HOURS)*PERMANENT_HOURLY_RATE-MAX(0,($D357+F$5)-PERMANENT_FIELD_LABOR_HOURS)*TEMP_HOURLY_RATE-FIXED_SEASON_COST)</f>
        <v/>
      </c>
      <c r="G357" s="53" t="str">
        <f aca="false">IF(OR($A357&gt;TOMATO_BED_CAP,$B357&gt;CARROT_BED_CAP,G$4&gt;MESCLUN_BED_CAP,$A357+$B357+G$4&gt;TOTAL_BEDS_AVAILABLE,($D357+G$5)&gt;TOTAL_LABOR_HOURS_CAP,MAX(0,($D357+G$5)-PERMANENT_FIELD_LABOR_HOURS)&gt;TEMP_HOURS_CAP),"",$C357+G$6-MIN(($D357+G$5),PERMANENT_FIELD_LABOR_HOURS)*PERMANENT_HOURLY_RATE-MAX(0,($D357+G$5)-PERMANENT_FIELD_LABOR_HOURS)*TEMP_HOURLY_RATE-FIXED_SEASON_COST)</f>
        <v/>
      </c>
      <c r="H357" s="53" t="str">
        <f aca="false">IF(OR($A357&gt;TOMATO_BED_CAP,$B357&gt;CARROT_BED_CAP,H$4&gt;MESCLUN_BED_CAP,$A357+$B357+H$4&gt;TOTAL_BEDS_AVAILABLE,($D357+H$5)&gt;TOTAL_LABOR_HOURS_CAP,MAX(0,($D357+H$5)-PERMANENT_FIELD_LABOR_HOURS)&gt;TEMP_HOURS_CAP),"",$C357+H$6-MIN(($D357+H$5),PERMANENT_FIELD_LABOR_HOURS)*PERMANENT_HOURLY_RATE-MAX(0,($D357+H$5)-PERMANENT_FIELD_LABOR_HOURS)*TEMP_HOURLY_RATE-FIXED_SEASON_COST)</f>
        <v/>
      </c>
      <c r="I357" s="53" t="str">
        <f aca="false">IF(OR($A357&gt;TOMATO_BED_CAP,$B357&gt;CARROT_BED_CAP,I$4&gt;MESCLUN_BED_CAP,$A357+$B357+I$4&gt;TOTAL_BEDS_AVAILABLE,($D357+I$5)&gt;TOTAL_LABOR_HOURS_CAP,MAX(0,($D357+I$5)-PERMANENT_FIELD_LABOR_HOURS)&gt;TEMP_HOURS_CAP),"",$C357+I$6-MIN(($D357+I$5),PERMANENT_FIELD_LABOR_HOURS)*PERMANENT_HOURLY_RATE-MAX(0,($D357+I$5)-PERMANENT_FIELD_LABOR_HOURS)*TEMP_HOURLY_RATE-FIXED_SEASON_COST)</f>
        <v/>
      </c>
      <c r="J357" s="53" t="str">
        <f aca="false">IF(OR($A357&gt;TOMATO_BED_CAP,$B357&gt;CARROT_BED_CAP,J$4&gt;MESCLUN_BED_CAP,$A357+$B357+J$4&gt;TOTAL_BEDS_AVAILABLE,($D357+J$5)&gt;TOTAL_LABOR_HOURS_CAP,MAX(0,($D357+J$5)-PERMANENT_FIELD_LABOR_HOURS)&gt;TEMP_HOURS_CAP),"",$C357+J$6-MIN(($D357+J$5),PERMANENT_FIELD_LABOR_HOURS)*PERMANENT_HOURLY_RATE-MAX(0,($D357+J$5)-PERMANENT_FIELD_LABOR_HOURS)*TEMP_HOURLY_RATE-FIXED_SEASON_COST)</f>
        <v/>
      </c>
      <c r="K357" s="53" t="str">
        <f aca="false">IF(OR($A357&gt;TOMATO_BED_CAP,$B357&gt;CARROT_BED_CAP,K$4&gt;MESCLUN_BED_CAP,$A357+$B357+K$4&gt;TOTAL_BEDS_AVAILABLE,($D357+K$5)&gt;TOTAL_LABOR_HOURS_CAP,MAX(0,($D357+K$5)-PERMANENT_FIELD_LABOR_HOURS)&gt;TEMP_HOURS_CAP),"",$C357+K$6-MIN(($D357+K$5),PERMANENT_FIELD_LABOR_HOURS)*PERMANENT_HOURLY_RATE-MAX(0,($D357+K$5)-PERMANENT_FIELD_LABOR_HOURS)*TEMP_HOURLY_RATE-FIXED_SEASON_COST)</f>
        <v/>
      </c>
      <c r="L357" s="53" t="str">
        <f aca="false">IF(OR($A357&gt;TOMATO_BED_CAP,$B357&gt;CARROT_BED_CAP,L$4&gt;MESCLUN_BED_CAP,$A357+$B357+L$4&gt;TOTAL_BEDS_AVAILABLE,($D357+L$5)&gt;TOTAL_LABOR_HOURS_CAP,MAX(0,($D357+L$5)-PERMANENT_FIELD_LABOR_HOURS)&gt;TEMP_HOURS_CAP),"",$C357+L$6-MIN(($D357+L$5),PERMANENT_FIELD_LABOR_HOURS)*PERMANENT_HOURLY_RATE-MAX(0,($D357+L$5)-PERMANENT_FIELD_LABOR_HOURS)*TEMP_HOURLY_RATE-FIXED_SEASON_COST)</f>
        <v/>
      </c>
      <c r="M357" s="53" t="str">
        <f aca="false">IF(OR($A357&gt;TOMATO_BED_CAP,$B357&gt;CARROT_BED_CAP,M$4&gt;MESCLUN_BED_CAP,$A357+$B357+M$4&gt;TOTAL_BEDS_AVAILABLE,($D357+M$5)&gt;TOTAL_LABOR_HOURS_CAP,MAX(0,($D357+M$5)-PERMANENT_FIELD_LABOR_HOURS)&gt;TEMP_HOURS_CAP),"",$C357+M$6-MIN(($D357+M$5),PERMANENT_FIELD_LABOR_HOURS)*PERMANENT_HOURLY_RATE-MAX(0,($D357+M$5)-PERMANENT_FIELD_LABOR_HOURS)*TEMP_HOURLY_RATE-FIXED_SEASON_COST)</f>
        <v/>
      </c>
      <c r="N357" s="53" t="str">
        <f aca="false">IF(OR($A357&gt;TOMATO_BED_CAP,$B357&gt;CARROT_BED_CAP,N$4&gt;MESCLUN_BED_CAP,$A357+$B357+N$4&gt;TOTAL_BEDS_AVAILABLE,($D357+N$5)&gt;TOTAL_LABOR_HOURS_CAP,MAX(0,($D357+N$5)-PERMANENT_FIELD_LABOR_HOURS)&gt;TEMP_HOURS_CAP),"",$C357+N$6-MIN(($D357+N$5),PERMANENT_FIELD_LABOR_HOURS)*PERMANENT_HOURLY_RATE-MAX(0,($D357+N$5)-PERMANENT_FIELD_LABOR_HOURS)*TEMP_HOURLY_RATE-FIXED_SEASON_COST)</f>
        <v/>
      </c>
      <c r="O357" s="53" t="str">
        <f aca="false">IF(OR($A357&gt;TOMATO_BED_CAP,$B357&gt;CARROT_BED_CAP,O$4&gt;MESCLUN_BED_CAP,$A357+$B357+O$4&gt;TOTAL_BEDS_AVAILABLE,($D357+O$5)&gt;TOTAL_LABOR_HOURS_CAP,MAX(0,($D357+O$5)-PERMANENT_FIELD_LABOR_HOURS)&gt;TEMP_HOURS_CAP),"",$C357+O$6-MIN(($D357+O$5),PERMANENT_FIELD_LABOR_HOURS)*PERMANENT_HOURLY_RATE-MAX(0,($D357+O$5)-PERMANENT_FIELD_LABOR_HOURS)*TEMP_HOURLY_RATE-FIXED_SEASON_COST)</f>
        <v/>
      </c>
      <c r="P357" s="53" t="str">
        <f aca="false">IF(OR($A357&gt;TOMATO_BED_CAP,$B357&gt;CARROT_BED_CAP,P$4&gt;MESCLUN_BED_CAP,$A357+$B357+P$4&gt;TOTAL_BEDS_AVAILABLE,($D357+P$5)&gt;TOTAL_LABOR_HOURS_CAP,MAX(0,($D357+P$5)-PERMANENT_FIELD_LABOR_HOURS)&gt;TEMP_HOURS_CAP),"",$C357+P$6-MIN(($D357+P$5),PERMANENT_FIELD_LABOR_HOURS)*PERMANENT_HOURLY_RATE-MAX(0,($D357+P$5)-PERMANENT_FIELD_LABOR_HOURS)*TEMP_HOURLY_RATE-FIXED_SEASON_COST)</f>
        <v/>
      </c>
      <c r="Q357" s="53" t="str">
        <f aca="false">IF(OR($A357&gt;TOMATO_BED_CAP,$B357&gt;CARROT_BED_CAP,Q$4&gt;MESCLUN_BED_CAP,$A357+$B357+Q$4&gt;TOTAL_BEDS_AVAILABLE,($D357+Q$5)&gt;TOTAL_LABOR_HOURS_CAP,MAX(0,($D357+Q$5)-PERMANENT_FIELD_LABOR_HOURS)&gt;TEMP_HOURS_CAP),"",$C357+Q$6-MIN(($D357+Q$5),PERMANENT_FIELD_LABOR_HOURS)*PERMANENT_HOURLY_RATE-MAX(0,($D357+Q$5)-PERMANENT_FIELD_LABOR_HOURS)*TEMP_HOURLY_RATE-FIXED_SEASON_COST)</f>
        <v/>
      </c>
      <c r="R357" s="53" t="str">
        <f aca="false">IF(OR($A357&gt;TOMATO_BED_CAP,$B357&gt;CARROT_BED_CAP,R$4&gt;MESCLUN_BED_CAP,$A357+$B357+R$4&gt;TOTAL_BEDS_AVAILABLE,($D357+R$5)&gt;TOTAL_LABOR_HOURS_CAP,MAX(0,($D357+R$5)-PERMANENT_FIELD_LABOR_HOURS)&gt;TEMP_HOURS_CAP),"",$C357+R$6-MIN(($D357+R$5),PERMANENT_FIELD_LABOR_HOURS)*PERMANENT_HOURLY_RATE-MAX(0,($D357+R$5)-PERMANENT_FIELD_LABOR_HOURS)*TEMP_HOURLY_RATE-FIXED_SEASON_COST)</f>
        <v/>
      </c>
      <c r="S357" s="53" t="str">
        <f aca="false">IF(OR($A357&gt;TOMATO_BED_CAP,$B357&gt;CARROT_BED_CAP,S$4&gt;MESCLUN_BED_CAP,$A357+$B357+S$4&gt;TOTAL_BEDS_AVAILABLE,($D357+S$5)&gt;TOTAL_LABOR_HOURS_CAP,MAX(0,($D357+S$5)-PERMANENT_FIELD_LABOR_HOURS)&gt;TEMP_HOURS_CAP),"",$C357+S$6-MIN(($D357+S$5),PERMANENT_FIELD_LABOR_HOURS)*PERMANENT_HOURLY_RATE-MAX(0,($D357+S$5)-PERMANENT_FIELD_LABOR_HOURS)*TEMP_HOURLY_RATE-FIXED_SEASON_COST)</f>
        <v/>
      </c>
      <c r="T357" s="53" t="str">
        <f aca="false">IF(OR($A357&gt;TOMATO_BED_CAP,$B357&gt;CARROT_BED_CAP,T$4&gt;MESCLUN_BED_CAP,$A357+$B357+T$4&gt;TOTAL_BEDS_AVAILABLE,($D357+T$5)&gt;TOTAL_LABOR_HOURS_CAP,MAX(0,($D357+T$5)-PERMANENT_FIELD_LABOR_HOURS)&gt;TEMP_HOURS_CAP),"",$C357+T$6-MIN(($D357+T$5),PERMANENT_FIELD_LABOR_HOURS)*PERMANENT_HOURLY_RATE-MAX(0,($D357+T$5)-PERMANENT_FIELD_LABOR_HOURS)*TEMP_HOURLY_RATE-FIXED_SEASON_COST)</f>
        <v/>
      </c>
      <c r="U357" s="53" t="str">
        <f aca="false">IF(OR($A357&gt;TOMATO_BED_CAP,$B357&gt;CARROT_BED_CAP,U$4&gt;MESCLUN_BED_CAP,$A357+$B357+U$4&gt;TOTAL_BEDS_AVAILABLE,($D357+U$5)&gt;TOTAL_LABOR_HOURS_CAP,MAX(0,($D357+U$5)-PERMANENT_FIELD_LABOR_HOURS)&gt;TEMP_HOURS_CAP),"",$C357+U$6-MIN(($D357+U$5),PERMANENT_FIELD_LABOR_HOURS)*PERMANENT_HOURLY_RATE-MAX(0,($D357+U$5)-PERMANENT_FIELD_LABOR_HOURS)*TEMP_HOURLY_RATE-FIXED_SEASON_COST)</f>
        <v/>
      </c>
      <c r="V357" s="53" t="str">
        <f aca="false">IF(OR($A357&gt;TOMATO_BED_CAP,$B357&gt;CARROT_BED_CAP,V$4&gt;MESCLUN_BED_CAP,$A357+$B357+V$4&gt;TOTAL_BEDS_AVAILABLE,($D357+V$5)&gt;TOTAL_LABOR_HOURS_CAP,MAX(0,($D357+V$5)-PERMANENT_FIELD_LABOR_HOURS)&gt;TEMP_HOURS_CAP),"",$C357+V$6-MIN(($D357+V$5),PERMANENT_FIELD_LABOR_HOURS)*PERMANENT_HOURLY_RATE-MAX(0,($D357+V$5)-PERMANENT_FIELD_LABOR_HOURS)*TEMP_HOURLY_RATE-FIXED_SEASON_COST)</f>
        <v/>
      </c>
      <c r="W357" s="53" t="str">
        <f aca="false">IF(OR($A357&gt;TOMATO_BED_CAP,$B357&gt;CARROT_BED_CAP,W$4&gt;MESCLUN_BED_CAP,$A357+$B357+W$4&gt;TOTAL_BEDS_AVAILABLE,($D357+W$5)&gt;TOTAL_LABOR_HOURS_CAP,MAX(0,($D357+W$5)-PERMANENT_FIELD_LABOR_HOURS)&gt;TEMP_HOURS_CAP),"",$C357+W$6-MIN(($D357+W$5),PERMANENT_FIELD_LABOR_HOURS)*PERMANENT_HOURLY_RATE-MAX(0,($D357+W$5)-PERMANENT_FIELD_LABOR_HOURS)*TEMP_HOURLY_RATE-FIXED_SEASON_COST)</f>
        <v/>
      </c>
      <c r="X357" s="53" t="str">
        <f aca="false">IF(OR($A357&gt;TOMATO_BED_CAP,$B357&gt;CARROT_BED_CAP,X$4&gt;MESCLUN_BED_CAP,$A357+$B357+X$4&gt;TOTAL_BEDS_AVAILABLE,($D357+X$5)&gt;TOTAL_LABOR_HOURS_CAP,MAX(0,($D357+X$5)-PERMANENT_FIELD_LABOR_HOURS)&gt;TEMP_HOURS_CAP),"",$C357+X$6-MIN(($D357+X$5),PERMANENT_FIELD_LABOR_HOURS)*PERMANENT_HOURLY_RATE-MAX(0,($D357+X$5)-PERMANENT_FIELD_LABOR_HOURS)*TEMP_HOURLY_RATE-FIXED_SEASON_COST)</f>
        <v/>
      </c>
      <c r="Y357" s="53" t="str">
        <f aca="false">IF(OR($A357&gt;TOMATO_BED_CAP,$B357&gt;CARROT_BED_CAP,Y$4&gt;MESCLUN_BED_CAP,$A357+$B357+Y$4&gt;TOTAL_BEDS_AVAILABLE,($D357+Y$5)&gt;TOTAL_LABOR_HOURS_CAP,MAX(0,($D357+Y$5)-PERMANENT_FIELD_LABOR_HOURS)&gt;TEMP_HOURS_CAP),"",$C357+Y$6-MIN(($D357+Y$5),PERMANENT_FIELD_LABOR_HOURS)*PERMANENT_HOURLY_RATE-MAX(0,($D357+Y$5)-PERMANENT_FIELD_LABOR_HOURS)*TEMP_HOURLY_RATE-FIXED_SEASON_COST)</f>
        <v/>
      </c>
      <c r="Z357" s="53" t="str">
        <f aca="false">IF(OR($A357&gt;TOMATO_BED_CAP,$B357&gt;CARROT_BED_CAP,Z$4&gt;MESCLUN_BED_CAP,$A357+$B357+Z$4&gt;TOTAL_BEDS_AVAILABLE,($D357+Z$5)&gt;TOTAL_LABOR_HOURS_CAP,MAX(0,($D357+Z$5)-PERMANENT_FIELD_LABOR_HOURS)&gt;TEMP_HOURS_CAP),"",$C357+Z$6-MIN(($D357+Z$5),PERMANENT_FIELD_LABOR_HOURS)*PERMANENT_HOURLY_RATE-MAX(0,($D357+Z$5)-PERMANENT_FIELD_LABOR_HOURS)*TEMP_HOURLY_RATE-FIXED_SEASON_COST)</f>
        <v/>
      </c>
      <c r="AA357" s="53" t="str">
        <f aca="false">IF(OR($A357&gt;TOMATO_BED_CAP,$B357&gt;CARROT_BED_CAP,AA$4&gt;MESCLUN_BED_CAP,$A357+$B357+AA$4&gt;TOTAL_BEDS_AVAILABLE,($D357+AA$5)&gt;TOTAL_LABOR_HOURS_CAP,MAX(0,($D357+AA$5)-PERMANENT_FIELD_LABOR_HOURS)&gt;TEMP_HOURS_CAP),"",$C357+AA$6-MIN(($D357+AA$5),PERMANENT_FIELD_LABOR_HOURS)*PERMANENT_HOURLY_RATE-MAX(0,($D357+AA$5)-PERMANENT_FIELD_LABOR_HOURS)*TEMP_HOURLY_RATE-FIXED_SEASON_COST)</f>
        <v/>
      </c>
      <c r="AB357" s="53" t="str">
        <f aca="false">IF(OR($A357&gt;TOMATO_BED_CAP,$B357&gt;CARROT_BED_CAP,AB$4&gt;MESCLUN_BED_CAP,$A357+$B357+AB$4&gt;TOTAL_BEDS_AVAILABLE,($D357+AB$5)&gt;TOTAL_LABOR_HOURS_CAP,MAX(0,($D357+AB$5)-PERMANENT_FIELD_LABOR_HOURS)&gt;TEMP_HOURS_CAP),"",$C357+AB$6-MIN(($D357+AB$5),PERMANENT_FIELD_LABOR_HOURS)*PERMANENT_HOURLY_RATE-MAX(0,($D357+AB$5)-PERMANENT_FIELD_LABOR_HOURS)*TEMP_HOURLY_RATE-FIXED_SEASON_COST)</f>
        <v/>
      </c>
      <c r="AC357" s="53" t="str">
        <f aca="false">IF(OR($A357&gt;TOMATO_BED_CAP,$B357&gt;CARROT_BED_CAP,AC$4&gt;MESCLUN_BED_CAP,$A357+$B357+AC$4&gt;TOTAL_BEDS_AVAILABLE,($D357+AC$5)&gt;TOTAL_LABOR_HOURS_CAP,MAX(0,($D357+AC$5)-PERMANENT_FIELD_LABOR_HOURS)&gt;TEMP_HOURS_CAP),"",$C357+AC$6-MIN(($D357+AC$5),PERMANENT_FIELD_LABOR_HOURS)*PERMANENT_HOURLY_RATE-MAX(0,($D357+AC$5)-PERMANENT_FIELD_LABOR_HOURS)*TEMP_HOURLY_RATE-FIXED_SEASON_COST)</f>
        <v/>
      </c>
      <c r="AD357" s="53" t="str">
        <f aca="false">IF(OR($A357&gt;TOMATO_BED_CAP,$B357&gt;CARROT_BED_CAP,AD$4&gt;MESCLUN_BED_CAP,$A357+$B357+AD$4&gt;TOTAL_BEDS_AVAILABLE,($D357+AD$5)&gt;TOTAL_LABOR_HOURS_CAP,MAX(0,($D357+AD$5)-PERMANENT_FIELD_LABOR_HOURS)&gt;TEMP_HOURS_CAP),"",$C357+AD$6-MIN(($D357+AD$5),PERMANENT_FIELD_LABOR_HOURS)*PERMANENT_HOURLY_RATE-MAX(0,($D357+AD$5)-PERMANENT_FIELD_LABOR_HOURS)*TEMP_HOURLY_RATE-FIXED_SEASON_COST)</f>
        <v/>
      </c>
      <c r="AE357" s="53" t="str">
        <f aca="false">IF(OR($A357&gt;TOMATO_BED_CAP,$B357&gt;CARROT_BED_CAP,AE$4&gt;MESCLUN_BED_CAP,$A357+$B357+AE$4&gt;TOTAL_BEDS_AVAILABLE,($D357+AE$5)&gt;TOTAL_LABOR_HOURS_CAP,MAX(0,($D357+AE$5)-PERMANENT_FIELD_LABOR_HOURS)&gt;TEMP_HOURS_CAP),"",$C357+AE$6-MIN(($D357+AE$5),PERMANENT_FIELD_LABOR_HOURS)*PERMANENT_HOURLY_RATE-MAX(0,($D357+AE$5)-PERMANENT_FIELD_LABOR_HOURS)*TEMP_HOURLY_RATE-FIXED_SEASON_COST)</f>
        <v/>
      </c>
      <c r="AF357" s="53" t="str">
        <f aca="false">IF(OR($A357&gt;TOMATO_BED_CAP,$B357&gt;CARROT_BED_CAP,AF$4&gt;MESCLUN_BED_CAP,$A357+$B357+AF$4&gt;TOTAL_BEDS_AVAILABLE,($D357+AF$5)&gt;TOTAL_LABOR_HOURS_CAP,MAX(0,($D357+AF$5)-PERMANENT_FIELD_LABOR_HOURS)&gt;TEMP_HOURS_CAP),"",$C357+AF$6-MIN(($D357+AF$5),PERMANENT_FIELD_LABOR_HOURS)*PERMANENT_HOURLY_RATE-MAX(0,($D357+AF$5)-PERMANENT_FIELD_LABOR_HOURS)*TEMP_HOURLY_RATE-FIXED_SEASON_COST)</f>
        <v/>
      </c>
      <c r="AG357" s="53" t="str">
        <f aca="false">IF(OR($A357&gt;TOMATO_BED_CAP,$B357&gt;CARROT_BED_CAP,AG$4&gt;MESCLUN_BED_CAP,$A357+$B357+AG$4&gt;TOTAL_BEDS_AVAILABLE,($D357+AG$5)&gt;TOTAL_LABOR_HOURS_CAP,MAX(0,($D357+AG$5)-PERMANENT_FIELD_LABOR_HOURS)&gt;TEMP_HOURS_CAP),"",$C357+AG$6-MIN(($D357+AG$5),PERMANENT_FIELD_LABOR_HOURS)*PERMANENT_HOURLY_RATE-MAX(0,($D357+AG$5)-PERMANENT_FIELD_LABOR_HOURS)*TEMP_HOURLY_RATE-FIXED_SEASON_COST)</f>
        <v/>
      </c>
      <c r="AH357" s="53" t="str">
        <f aca="false">IF(OR($A357&gt;TOMATO_BED_CAP,$B357&gt;CARROT_BED_CAP,AH$4&gt;MESCLUN_BED_CAP,$A357+$B357+AH$4&gt;TOTAL_BEDS_AVAILABLE,($D357+AH$5)&gt;TOTAL_LABOR_HOURS_CAP,MAX(0,($D357+AH$5)-PERMANENT_FIELD_LABOR_HOURS)&gt;TEMP_HOURS_CAP),"",$C357+AH$6-MIN(($D357+AH$5),PERMANENT_FIELD_LABOR_HOURS)*PERMANENT_HOURLY_RATE-MAX(0,($D357+AH$5)-PERMANENT_FIELD_LABOR_HOURS)*TEMP_HOURLY_RATE-FIXED_SEASON_COST)</f>
        <v/>
      </c>
      <c r="AI357" s="53" t="str">
        <f aca="false">IF(OR($A357&gt;TOMATO_BED_CAP,$B357&gt;CARROT_BED_CAP,AI$4&gt;MESCLUN_BED_CAP,$A357+$B357+AI$4&gt;TOTAL_BEDS_AVAILABLE,($D357+AI$5)&gt;TOTAL_LABOR_HOURS_CAP,MAX(0,($D357+AI$5)-PERMANENT_FIELD_LABOR_HOURS)&gt;TEMP_HOURS_CAP),"",$C357+AI$6-MIN(($D357+AI$5),PERMANENT_FIELD_LABOR_HOURS)*PERMANENT_HOURLY_RATE-MAX(0,($D357+AI$5)-PERMANENT_FIELD_LABOR_HOURS)*TEMP_HOURLY_RATE-FIXED_SEASON_COST)</f>
        <v/>
      </c>
      <c r="AJ357" s="53" t="str">
        <f aca="false">IF(OR($A357&gt;TOMATO_BED_CAP,$B357&gt;CARROT_BED_CAP,AJ$4&gt;MESCLUN_BED_CAP,$A357+$B357+AJ$4&gt;TOTAL_BEDS_AVAILABLE,($D357+AJ$5)&gt;TOTAL_LABOR_HOURS_CAP,MAX(0,($D357+AJ$5)-PERMANENT_FIELD_LABOR_HOURS)&gt;TEMP_HOURS_CAP),"",$C357+AJ$6-MIN(($D357+AJ$5),PERMANENT_FIELD_LABOR_HOURS)*PERMANENT_HOURLY_RATE-MAX(0,($D357+AJ$5)-PERMANENT_FIELD_LABOR_HOURS)*TEMP_HOURLY_RATE-FIXED_SEASON_COST)</f>
        <v/>
      </c>
    </row>
    <row r="358" customFormat="false" ht="15" hidden="false" customHeight="false" outlineLevel="0" collapsed="false">
      <c r="A358" s="21" t="n">
        <f aca="false">INT((ROW()-ROW($A$8))/(20+1))</f>
        <v>16</v>
      </c>
      <c r="B358" s="21" t="n">
        <f aca="false">MOD(ROW()-ROW($A$8),20+1)</f>
        <v>14</v>
      </c>
      <c r="C358" s="13" t="n">
        <f aca="false">A358*(TOMATO_REVENUE_PER_BED-TOMATO_FERTILIZER_PER_BED)+B358*(CARROT_REVENUE_PER_BED-CARROT_FERTILIZER_PER_BED)</f>
        <v>149876</v>
      </c>
      <c r="D358" s="14" t="n">
        <f aca="false">INDEX(TOMATO_SCHED_LABOR_HRS,A358+1)+INDEX(CARROT_SCHED_LABOR_HRS,B358+1)</f>
        <v>7209.97272556146</v>
      </c>
      <c r="E358" s="13" t="str">
        <f aca="false">IF(COUNT(F358:AJ358)=0,"",MAX(F358:AJ358))</f>
        <v/>
      </c>
      <c r="F358" s="53" t="str">
        <f aca="false">IF(OR($A358&gt;TOMATO_BED_CAP,$B358&gt;CARROT_BED_CAP,F$4&gt;MESCLUN_BED_CAP,$A358+$B358+F$4&gt;TOTAL_BEDS_AVAILABLE,($D358+F$5)&gt;TOTAL_LABOR_HOURS_CAP,MAX(0,($D358+F$5)-PERMANENT_FIELD_LABOR_HOURS)&gt;TEMP_HOURS_CAP),"",$C358+F$6-MIN(($D358+F$5),PERMANENT_FIELD_LABOR_HOURS)*PERMANENT_HOURLY_RATE-MAX(0,($D358+F$5)-PERMANENT_FIELD_LABOR_HOURS)*TEMP_HOURLY_RATE-FIXED_SEASON_COST)</f>
        <v/>
      </c>
      <c r="G358" s="53" t="str">
        <f aca="false">IF(OR($A358&gt;TOMATO_BED_CAP,$B358&gt;CARROT_BED_CAP,G$4&gt;MESCLUN_BED_CAP,$A358+$B358+G$4&gt;TOTAL_BEDS_AVAILABLE,($D358+G$5)&gt;TOTAL_LABOR_HOURS_CAP,MAX(0,($D358+G$5)-PERMANENT_FIELD_LABOR_HOURS)&gt;TEMP_HOURS_CAP),"",$C358+G$6-MIN(($D358+G$5),PERMANENT_FIELD_LABOR_HOURS)*PERMANENT_HOURLY_RATE-MAX(0,($D358+G$5)-PERMANENT_FIELD_LABOR_HOURS)*TEMP_HOURLY_RATE-FIXED_SEASON_COST)</f>
        <v/>
      </c>
      <c r="H358" s="53" t="str">
        <f aca="false">IF(OR($A358&gt;TOMATO_BED_CAP,$B358&gt;CARROT_BED_CAP,H$4&gt;MESCLUN_BED_CAP,$A358+$B358+H$4&gt;TOTAL_BEDS_AVAILABLE,($D358+H$5)&gt;TOTAL_LABOR_HOURS_CAP,MAX(0,($D358+H$5)-PERMANENT_FIELD_LABOR_HOURS)&gt;TEMP_HOURS_CAP),"",$C358+H$6-MIN(($D358+H$5),PERMANENT_FIELD_LABOR_HOURS)*PERMANENT_HOURLY_RATE-MAX(0,($D358+H$5)-PERMANENT_FIELD_LABOR_HOURS)*TEMP_HOURLY_RATE-FIXED_SEASON_COST)</f>
        <v/>
      </c>
      <c r="I358" s="53" t="str">
        <f aca="false">IF(OR($A358&gt;TOMATO_BED_CAP,$B358&gt;CARROT_BED_CAP,I$4&gt;MESCLUN_BED_CAP,$A358+$B358+I$4&gt;TOTAL_BEDS_AVAILABLE,($D358+I$5)&gt;TOTAL_LABOR_HOURS_CAP,MAX(0,($D358+I$5)-PERMANENT_FIELD_LABOR_HOURS)&gt;TEMP_HOURS_CAP),"",$C358+I$6-MIN(($D358+I$5),PERMANENT_FIELD_LABOR_HOURS)*PERMANENT_HOURLY_RATE-MAX(0,($D358+I$5)-PERMANENT_FIELD_LABOR_HOURS)*TEMP_HOURLY_RATE-FIXED_SEASON_COST)</f>
        <v/>
      </c>
      <c r="J358" s="53" t="str">
        <f aca="false">IF(OR($A358&gt;TOMATO_BED_CAP,$B358&gt;CARROT_BED_CAP,J$4&gt;MESCLUN_BED_CAP,$A358+$B358+J$4&gt;TOTAL_BEDS_AVAILABLE,($D358+J$5)&gt;TOTAL_LABOR_HOURS_CAP,MAX(0,($D358+J$5)-PERMANENT_FIELD_LABOR_HOURS)&gt;TEMP_HOURS_CAP),"",$C358+J$6-MIN(($D358+J$5),PERMANENT_FIELD_LABOR_HOURS)*PERMANENT_HOURLY_RATE-MAX(0,($D358+J$5)-PERMANENT_FIELD_LABOR_HOURS)*TEMP_HOURLY_RATE-FIXED_SEASON_COST)</f>
        <v/>
      </c>
      <c r="K358" s="53" t="str">
        <f aca="false">IF(OR($A358&gt;TOMATO_BED_CAP,$B358&gt;CARROT_BED_CAP,K$4&gt;MESCLUN_BED_CAP,$A358+$B358+K$4&gt;TOTAL_BEDS_AVAILABLE,($D358+K$5)&gt;TOTAL_LABOR_HOURS_CAP,MAX(0,($D358+K$5)-PERMANENT_FIELD_LABOR_HOURS)&gt;TEMP_HOURS_CAP),"",$C358+K$6-MIN(($D358+K$5),PERMANENT_FIELD_LABOR_HOURS)*PERMANENT_HOURLY_RATE-MAX(0,($D358+K$5)-PERMANENT_FIELD_LABOR_HOURS)*TEMP_HOURLY_RATE-FIXED_SEASON_COST)</f>
        <v/>
      </c>
      <c r="L358" s="53" t="str">
        <f aca="false">IF(OR($A358&gt;TOMATO_BED_CAP,$B358&gt;CARROT_BED_CAP,L$4&gt;MESCLUN_BED_CAP,$A358+$B358+L$4&gt;TOTAL_BEDS_AVAILABLE,($D358+L$5)&gt;TOTAL_LABOR_HOURS_CAP,MAX(0,($D358+L$5)-PERMANENT_FIELD_LABOR_HOURS)&gt;TEMP_HOURS_CAP),"",$C358+L$6-MIN(($D358+L$5),PERMANENT_FIELD_LABOR_HOURS)*PERMANENT_HOURLY_RATE-MAX(0,($D358+L$5)-PERMANENT_FIELD_LABOR_HOURS)*TEMP_HOURLY_RATE-FIXED_SEASON_COST)</f>
        <v/>
      </c>
      <c r="M358" s="53" t="str">
        <f aca="false">IF(OR($A358&gt;TOMATO_BED_CAP,$B358&gt;CARROT_BED_CAP,M$4&gt;MESCLUN_BED_CAP,$A358+$B358+M$4&gt;TOTAL_BEDS_AVAILABLE,($D358+M$5)&gt;TOTAL_LABOR_HOURS_CAP,MAX(0,($D358+M$5)-PERMANENT_FIELD_LABOR_HOURS)&gt;TEMP_HOURS_CAP),"",$C358+M$6-MIN(($D358+M$5),PERMANENT_FIELD_LABOR_HOURS)*PERMANENT_HOURLY_RATE-MAX(0,($D358+M$5)-PERMANENT_FIELD_LABOR_HOURS)*TEMP_HOURLY_RATE-FIXED_SEASON_COST)</f>
        <v/>
      </c>
      <c r="N358" s="53" t="str">
        <f aca="false">IF(OR($A358&gt;TOMATO_BED_CAP,$B358&gt;CARROT_BED_CAP,N$4&gt;MESCLUN_BED_CAP,$A358+$B358+N$4&gt;TOTAL_BEDS_AVAILABLE,($D358+N$5)&gt;TOTAL_LABOR_HOURS_CAP,MAX(0,($D358+N$5)-PERMANENT_FIELD_LABOR_HOURS)&gt;TEMP_HOURS_CAP),"",$C358+N$6-MIN(($D358+N$5),PERMANENT_FIELD_LABOR_HOURS)*PERMANENT_HOURLY_RATE-MAX(0,($D358+N$5)-PERMANENT_FIELD_LABOR_HOURS)*TEMP_HOURLY_RATE-FIXED_SEASON_COST)</f>
        <v/>
      </c>
      <c r="O358" s="53" t="str">
        <f aca="false">IF(OR($A358&gt;TOMATO_BED_CAP,$B358&gt;CARROT_BED_CAP,O$4&gt;MESCLUN_BED_CAP,$A358+$B358+O$4&gt;TOTAL_BEDS_AVAILABLE,($D358+O$5)&gt;TOTAL_LABOR_HOURS_CAP,MAX(0,($D358+O$5)-PERMANENT_FIELD_LABOR_HOURS)&gt;TEMP_HOURS_CAP),"",$C358+O$6-MIN(($D358+O$5),PERMANENT_FIELD_LABOR_HOURS)*PERMANENT_HOURLY_RATE-MAX(0,($D358+O$5)-PERMANENT_FIELD_LABOR_HOURS)*TEMP_HOURLY_RATE-FIXED_SEASON_COST)</f>
        <v/>
      </c>
      <c r="P358" s="53" t="str">
        <f aca="false">IF(OR($A358&gt;TOMATO_BED_CAP,$B358&gt;CARROT_BED_CAP,P$4&gt;MESCLUN_BED_CAP,$A358+$B358+P$4&gt;TOTAL_BEDS_AVAILABLE,($D358+P$5)&gt;TOTAL_LABOR_HOURS_CAP,MAX(0,($D358+P$5)-PERMANENT_FIELD_LABOR_HOURS)&gt;TEMP_HOURS_CAP),"",$C358+P$6-MIN(($D358+P$5),PERMANENT_FIELD_LABOR_HOURS)*PERMANENT_HOURLY_RATE-MAX(0,($D358+P$5)-PERMANENT_FIELD_LABOR_HOURS)*TEMP_HOURLY_RATE-FIXED_SEASON_COST)</f>
        <v/>
      </c>
      <c r="Q358" s="53" t="str">
        <f aca="false">IF(OR($A358&gt;TOMATO_BED_CAP,$B358&gt;CARROT_BED_CAP,Q$4&gt;MESCLUN_BED_CAP,$A358+$B358+Q$4&gt;TOTAL_BEDS_AVAILABLE,($D358+Q$5)&gt;TOTAL_LABOR_HOURS_CAP,MAX(0,($D358+Q$5)-PERMANENT_FIELD_LABOR_HOURS)&gt;TEMP_HOURS_CAP),"",$C358+Q$6-MIN(($D358+Q$5),PERMANENT_FIELD_LABOR_HOURS)*PERMANENT_HOURLY_RATE-MAX(0,($D358+Q$5)-PERMANENT_FIELD_LABOR_HOURS)*TEMP_HOURLY_RATE-FIXED_SEASON_COST)</f>
        <v/>
      </c>
      <c r="R358" s="53" t="str">
        <f aca="false">IF(OR($A358&gt;TOMATO_BED_CAP,$B358&gt;CARROT_BED_CAP,R$4&gt;MESCLUN_BED_CAP,$A358+$B358+R$4&gt;TOTAL_BEDS_AVAILABLE,($D358+R$5)&gt;TOTAL_LABOR_HOURS_CAP,MAX(0,($D358+R$5)-PERMANENT_FIELD_LABOR_HOURS)&gt;TEMP_HOURS_CAP),"",$C358+R$6-MIN(($D358+R$5),PERMANENT_FIELD_LABOR_HOURS)*PERMANENT_HOURLY_RATE-MAX(0,($D358+R$5)-PERMANENT_FIELD_LABOR_HOURS)*TEMP_HOURLY_RATE-FIXED_SEASON_COST)</f>
        <v/>
      </c>
      <c r="S358" s="53" t="str">
        <f aca="false">IF(OR($A358&gt;TOMATO_BED_CAP,$B358&gt;CARROT_BED_CAP,S$4&gt;MESCLUN_BED_CAP,$A358+$B358+S$4&gt;TOTAL_BEDS_AVAILABLE,($D358+S$5)&gt;TOTAL_LABOR_HOURS_CAP,MAX(0,($D358+S$5)-PERMANENT_FIELD_LABOR_HOURS)&gt;TEMP_HOURS_CAP),"",$C358+S$6-MIN(($D358+S$5),PERMANENT_FIELD_LABOR_HOURS)*PERMANENT_HOURLY_RATE-MAX(0,($D358+S$5)-PERMANENT_FIELD_LABOR_HOURS)*TEMP_HOURLY_RATE-FIXED_SEASON_COST)</f>
        <v/>
      </c>
      <c r="T358" s="53" t="str">
        <f aca="false">IF(OR($A358&gt;TOMATO_BED_CAP,$B358&gt;CARROT_BED_CAP,T$4&gt;MESCLUN_BED_CAP,$A358+$B358+T$4&gt;TOTAL_BEDS_AVAILABLE,($D358+T$5)&gt;TOTAL_LABOR_HOURS_CAP,MAX(0,($D358+T$5)-PERMANENT_FIELD_LABOR_HOURS)&gt;TEMP_HOURS_CAP),"",$C358+T$6-MIN(($D358+T$5),PERMANENT_FIELD_LABOR_HOURS)*PERMANENT_HOURLY_RATE-MAX(0,($D358+T$5)-PERMANENT_FIELD_LABOR_HOURS)*TEMP_HOURLY_RATE-FIXED_SEASON_COST)</f>
        <v/>
      </c>
      <c r="U358" s="53" t="str">
        <f aca="false">IF(OR($A358&gt;TOMATO_BED_CAP,$B358&gt;CARROT_BED_CAP,U$4&gt;MESCLUN_BED_CAP,$A358+$B358+U$4&gt;TOTAL_BEDS_AVAILABLE,($D358+U$5)&gt;TOTAL_LABOR_HOURS_CAP,MAX(0,($D358+U$5)-PERMANENT_FIELD_LABOR_HOURS)&gt;TEMP_HOURS_CAP),"",$C358+U$6-MIN(($D358+U$5),PERMANENT_FIELD_LABOR_HOURS)*PERMANENT_HOURLY_RATE-MAX(0,($D358+U$5)-PERMANENT_FIELD_LABOR_HOURS)*TEMP_HOURLY_RATE-FIXED_SEASON_COST)</f>
        <v/>
      </c>
      <c r="V358" s="53" t="str">
        <f aca="false">IF(OR($A358&gt;TOMATO_BED_CAP,$B358&gt;CARROT_BED_CAP,V$4&gt;MESCLUN_BED_CAP,$A358+$B358+V$4&gt;TOTAL_BEDS_AVAILABLE,($D358+V$5)&gt;TOTAL_LABOR_HOURS_CAP,MAX(0,($D358+V$5)-PERMANENT_FIELD_LABOR_HOURS)&gt;TEMP_HOURS_CAP),"",$C358+V$6-MIN(($D358+V$5),PERMANENT_FIELD_LABOR_HOURS)*PERMANENT_HOURLY_RATE-MAX(0,($D358+V$5)-PERMANENT_FIELD_LABOR_HOURS)*TEMP_HOURLY_RATE-FIXED_SEASON_COST)</f>
        <v/>
      </c>
      <c r="W358" s="53" t="str">
        <f aca="false">IF(OR($A358&gt;TOMATO_BED_CAP,$B358&gt;CARROT_BED_CAP,W$4&gt;MESCLUN_BED_CAP,$A358+$B358+W$4&gt;TOTAL_BEDS_AVAILABLE,($D358+W$5)&gt;TOTAL_LABOR_HOURS_CAP,MAX(0,($D358+W$5)-PERMANENT_FIELD_LABOR_HOURS)&gt;TEMP_HOURS_CAP),"",$C358+W$6-MIN(($D358+W$5),PERMANENT_FIELD_LABOR_HOURS)*PERMANENT_HOURLY_RATE-MAX(0,($D358+W$5)-PERMANENT_FIELD_LABOR_HOURS)*TEMP_HOURLY_RATE-FIXED_SEASON_COST)</f>
        <v/>
      </c>
      <c r="X358" s="53" t="str">
        <f aca="false">IF(OR($A358&gt;TOMATO_BED_CAP,$B358&gt;CARROT_BED_CAP,X$4&gt;MESCLUN_BED_CAP,$A358+$B358+X$4&gt;TOTAL_BEDS_AVAILABLE,($D358+X$5)&gt;TOTAL_LABOR_HOURS_CAP,MAX(0,($D358+X$5)-PERMANENT_FIELD_LABOR_HOURS)&gt;TEMP_HOURS_CAP),"",$C358+X$6-MIN(($D358+X$5),PERMANENT_FIELD_LABOR_HOURS)*PERMANENT_HOURLY_RATE-MAX(0,($D358+X$5)-PERMANENT_FIELD_LABOR_HOURS)*TEMP_HOURLY_RATE-FIXED_SEASON_COST)</f>
        <v/>
      </c>
      <c r="Y358" s="53" t="str">
        <f aca="false">IF(OR($A358&gt;TOMATO_BED_CAP,$B358&gt;CARROT_BED_CAP,Y$4&gt;MESCLUN_BED_CAP,$A358+$B358+Y$4&gt;TOTAL_BEDS_AVAILABLE,($D358+Y$5)&gt;TOTAL_LABOR_HOURS_CAP,MAX(0,($D358+Y$5)-PERMANENT_FIELD_LABOR_HOURS)&gt;TEMP_HOURS_CAP),"",$C358+Y$6-MIN(($D358+Y$5),PERMANENT_FIELD_LABOR_HOURS)*PERMANENT_HOURLY_RATE-MAX(0,($D358+Y$5)-PERMANENT_FIELD_LABOR_HOURS)*TEMP_HOURLY_RATE-FIXED_SEASON_COST)</f>
        <v/>
      </c>
      <c r="Z358" s="53" t="str">
        <f aca="false">IF(OR($A358&gt;TOMATO_BED_CAP,$B358&gt;CARROT_BED_CAP,Z$4&gt;MESCLUN_BED_CAP,$A358+$B358+Z$4&gt;TOTAL_BEDS_AVAILABLE,($D358+Z$5)&gt;TOTAL_LABOR_HOURS_CAP,MAX(0,($D358+Z$5)-PERMANENT_FIELD_LABOR_HOURS)&gt;TEMP_HOURS_CAP),"",$C358+Z$6-MIN(($D358+Z$5),PERMANENT_FIELD_LABOR_HOURS)*PERMANENT_HOURLY_RATE-MAX(0,($D358+Z$5)-PERMANENT_FIELD_LABOR_HOURS)*TEMP_HOURLY_RATE-FIXED_SEASON_COST)</f>
        <v/>
      </c>
      <c r="AA358" s="53" t="str">
        <f aca="false">IF(OR($A358&gt;TOMATO_BED_CAP,$B358&gt;CARROT_BED_CAP,AA$4&gt;MESCLUN_BED_CAP,$A358+$B358+AA$4&gt;TOTAL_BEDS_AVAILABLE,($D358+AA$5)&gt;TOTAL_LABOR_HOURS_CAP,MAX(0,($D358+AA$5)-PERMANENT_FIELD_LABOR_HOURS)&gt;TEMP_HOURS_CAP),"",$C358+AA$6-MIN(($D358+AA$5),PERMANENT_FIELD_LABOR_HOURS)*PERMANENT_HOURLY_RATE-MAX(0,($D358+AA$5)-PERMANENT_FIELD_LABOR_HOURS)*TEMP_HOURLY_RATE-FIXED_SEASON_COST)</f>
        <v/>
      </c>
      <c r="AB358" s="53" t="str">
        <f aca="false">IF(OR($A358&gt;TOMATO_BED_CAP,$B358&gt;CARROT_BED_CAP,AB$4&gt;MESCLUN_BED_CAP,$A358+$B358+AB$4&gt;TOTAL_BEDS_AVAILABLE,($D358+AB$5)&gt;TOTAL_LABOR_HOURS_CAP,MAX(0,($D358+AB$5)-PERMANENT_FIELD_LABOR_HOURS)&gt;TEMP_HOURS_CAP),"",$C358+AB$6-MIN(($D358+AB$5),PERMANENT_FIELD_LABOR_HOURS)*PERMANENT_HOURLY_RATE-MAX(0,($D358+AB$5)-PERMANENT_FIELD_LABOR_HOURS)*TEMP_HOURLY_RATE-FIXED_SEASON_COST)</f>
        <v/>
      </c>
      <c r="AC358" s="53" t="str">
        <f aca="false">IF(OR($A358&gt;TOMATO_BED_CAP,$B358&gt;CARROT_BED_CAP,AC$4&gt;MESCLUN_BED_CAP,$A358+$B358+AC$4&gt;TOTAL_BEDS_AVAILABLE,($D358+AC$5)&gt;TOTAL_LABOR_HOURS_CAP,MAX(0,($D358+AC$5)-PERMANENT_FIELD_LABOR_HOURS)&gt;TEMP_HOURS_CAP),"",$C358+AC$6-MIN(($D358+AC$5),PERMANENT_FIELD_LABOR_HOURS)*PERMANENT_HOURLY_RATE-MAX(0,($D358+AC$5)-PERMANENT_FIELD_LABOR_HOURS)*TEMP_HOURLY_RATE-FIXED_SEASON_COST)</f>
        <v/>
      </c>
      <c r="AD358" s="53" t="str">
        <f aca="false">IF(OR($A358&gt;TOMATO_BED_CAP,$B358&gt;CARROT_BED_CAP,AD$4&gt;MESCLUN_BED_CAP,$A358+$B358+AD$4&gt;TOTAL_BEDS_AVAILABLE,($D358+AD$5)&gt;TOTAL_LABOR_HOURS_CAP,MAX(0,($D358+AD$5)-PERMANENT_FIELD_LABOR_HOURS)&gt;TEMP_HOURS_CAP),"",$C358+AD$6-MIN(($D358+AD$5),PERMANENT_FIELD_LABOR_HOURS)*PERMANENT_HOURLY_RATE-MAX(0,($D358+AD$5)-PERMANENT_FIELD_LABOR_HOURS)*TEMP_HOURLY_RATE-FIXED_SEASON_COST)</f>
        <v/>
      </c>
      <c r="AE358" s="53" t="str">
        <f aca="false">IF(OR($A358&gt;TOMATO_BED_CAP,$B358&gt;CARROT_BED_CAP,AE$4&gt;MESCLUN_BED_CAP,$A358+$B358+AE$4&gt;TOTAL_BEDS_AVAILABLE,($D358+AE$5)&gt;TOTAL_LABOR_HOURS_CAP,MAX(0,($D358+AE$5)-PERMANENT_FIELD_LABOR_HOURS)&gt;TEMP_HOURS_CAP),"",$C358+AE$6-MIN(($D358+AE$5),PERMANENT_FIELD_LABOR_HOURS)*PERMANENT_HOURLY_RATE-MAX(0,($D358+AE$5)-PERMANENT_FIELD_LABOR_HOURS)*TEMP_HOURLY_RATE-FIXED_SEASON_COST)</f>
        <v/>
      </c>
      <c r="AF358" s="53" t="str">
        <f aca="false">IF(OR($A358&gt;TOMATO_BED_CAP,$B358&gt;CARROT_BED_CAP,AF$4&gt;MESCLUN_BED_CAP,$A358+$B358+AF$4&gt;TOTAL_BEDS_AVAILABLE,($D358+AF$5)&gt;TOTAL_LABOR_HOURS_CAP,MAX(0,($D358+AF$5)-PERMANENT_FIELD_LABOR_HOURS)&gt;TEMP_HOURS_CAP),"",$C358+AF$6-MIN(($D358+AF$5),PERMANENT_FIELD_LABOR_HOURS)*PERMANENT_HOURLY_RATE-MAX(0,($D358+AF$5)-PERMANENT_FIELD_LABOR_HOURS)*TEMP_HOURLY_RATE-FIXED_SEASON_COST)</f>
        <v/>
      </c>
      <c r="AG358" s="53" t="str">
        <f aca="false">IF(OR($A358&gt;TOMATO_BED_CAP,$B358&gt;CARROT_BED_CAP,AG$4&gt;MESCLUN_BED_CAP,$A358+$B358+AG$4&gt;TOTAL_BEDS_AVAILABLE,($D358+AG$5)&gt;TOTAL_LABOR_HOURS_CAP,MAX(0,($D358+AG$5)-PERMANENT_FIELD_LABOR_HOURS)&gt;TEMP_HOURS_CAP),"",$C358+AG$6-MIN(($D358+AG$5),PERMANENT_FIELD_LABOR_HOURS)*PERMANENT_HOURLY_RATE-MAX(0,($D358+AG$5)-PERMANENT_FIELD_LABOR_HOURS)*TEMP_HOURLY_RATE-FIXED_SEASON_COST)</f>
        <v/>
      </c>
      <c r="AH358" s="53" t="str">
        <f aca="false">IF(OR($A358&gt;TOMATO_BED_CAP,$B358&gt;CARROT_BED_CAP,AH$4&gt;MESCLUN_BED_CAP,$A358+$B358+AH$4&gt;TOTAL_BEDS_AVAILABLE,($D358+AH$5)&gt;TOTAL_LABOR_HOURS_CAP,MAX(0,($D358+AH$5)-PERMANENT_FIELD_LABOR_HOURS)&gt;TEMP_HOURS_CAP),"",$C358+AH$6-MIN(($D358+AH$5),PERMANENT_FIELD_LABOR_HOURS)*PERMANENT_HOURLY_RATE-MAX(0,($D358+AH$5)-PERMANENT_FIELD_LABOR_HOURS)*TEMP_HOURLY_RATE-FIXED_SEASON_COST)</f>
        <v/>
      </c>
      <c r="AI358" s="53" t="str">
        <f aca="false">IF(OR($A358&gt;TOMATO_BED_CAP,$B358&gt;CARROT_BED_CAP,AI$4&gt;MESCLUN_BED_CAP,$A358+$B358+AI$4&gt;TOTAL_BEDS_AVAILABLE,($D358+AI$5)&gt;TOTAL_LABOR_HOURS_CAP,MAX(0,($D358+AI$5)-PERMANENT_FIELD_LABOR_HOURS)&gt;TEMP_HOURS_CAP),"",$C358+AI$6-MIN(($D358+AI$5),PERMANENT_FIELD_LABOR_HOURS)*PERMANENT_HOURLY_RATE-MAX(0,($D358+AI$5)-PERMANENT_FIELD_LABOR_HOURS)*TEMP_HOURLY_RATE-FIXED_SEASON_COST)</f>
        <v/>
      </c>
      <c r="AJ358" s="53" t="str">
        <f aca="false">IF(OR($A358&gt;TOMATO_BED_CAP,$B358&gt;CARROT_BED_CAP,AJ$4&gt;MESCLUN_BED_CAP,$A358+$B358+AJ$4&gt;TOTAL_BEDS_AVAILABLE,($D358+AJ$5)&gt;TOTAL_LABOR_HOURS_CAP,MAX(0,($D358+AJ$5)-PERMANENT_FIELD_LABOR_HOURS)&gt;TEMP_HOURS_CAP),"",$C358+AJ$6-MIN(($D358+AJ$5),PERMANENT_FIELD_LABOR_HOURS)*PERMANENT_HOURLY_RATE-MAX(0,($D358+AJ$5)-PERMANENT_FIELD_LABOR_HOURS)*TEMP_HOURLY_RATE-FIXED_SEASON_COST)</f>
        <v/>
      </c>
    </row>
    <row r="359" customFormat="false" ht="15" hidden="false" customHeight="false" outlineLevel="0" collapsed="false">
      <c r="A359" s="21" t="n">
        <f aca="false">INT((ROW()-ROW($A$8))/(20+1))</f>
        <v>16</v>
      </c>
      <c r="B359" s="21" t="n">
        <f aca="false">MOD(ROW()-ROW($A$8),20+1)</f>
        <v>15</v>
      </c>
      <c r="C359" s="13" t="n">
        <f aca="false">A359*(TOMATO_REVENUE_PER_BED-TOMATO_FERTILIZER_PER_BED)+B359*(CARROT_REVENUE_PER_BED-CARROT_FERTILIZER_PER_BED)</f>
        <v>151530</v>
      </c>
      <c r="D359" s="14" t="n">
        <f aca="false">INDEX(TOMATO_SCHED_LABOR_HRS,A359+1)+INDEX(CARROT_SCHED_LABOR_HRS,B359+1)</f>
        <v>7268.23458160858</v>
      </c>
      <c r="E359" s="13" t="str">
        <f aca="false">IF(COUNT(F359:AJ359)=0,"",MAX(F359:AJ359))</f>
        <v/>
      </c>
      <c r="F359" s="53" t="str">
        <f aca="false">IF(OR($A359&gt;TOMATO_BED_CAP,$B359&gt;CARROT_BED_CAP,F$4&gt;MESCLUN_BED_CAP,$A359+$B359+F$4&gt;TOTAL_BEDS_AVAILABLE,($D359+F$5)&gt;TOTAL_LABOR_HOURS_CAP,MAX(0,($D359+F$5)-PERMANENT_FIELD_LABOR_HOURS)&gt;TEMP_HOURS_CAP),"",$C359+F$6-MIN(($D359+F$5),PERMANENT_FIELD_LABOR_HOURS)*PERMANENT_HOURLY_RATE-MAX(0,($D359+F$5)-PERMANENT_FIELD_LABOR_HOURS)*TEMP_HOURLY_RATE-FIXED_SEASON_COST)</f>
        <v/>
      </c>
      <c r="G359" s="53" t="str">
        <f aca="false">IF(OR($A359&gt;TOMATO_BED_CAP,$B359&gt;CARROT_BED_CAP,G$4&gt;MESCLUN_BED_CAP,$A359+$B359+G$4&gt;TOTAL_BEDS_AVAILABLE,($D359+G$5)&gt;TOTAL_LABOR_HOURS_CAP,MAX(0,($D359+G$5)-PERMANENT_FIELD_LABOR_HOURS)&gt;TEMP_HOURS_CAP),"",$C359+G$6-MIN(($D359+G$5),PERMANENT_FIELD_LABOR_HOURS)*PERMANENT_HOURLY_RATE-MAX(0,($D359+G$5)-PERMANENT_FIELD_LABOR_HOURS)*TEMP_HOURLY_RATE-FIXED_SEASON_COST)</f>
        <v/>
      </c>
      <c r="H359" s="53" t="str">
        <f aca="false">IF(OR($A359&gt;TOMATO_BED_CAP,$B359&gt;CARROT_BED_CAP,H$4&gt;MESCLUN_BED_CAP,$A359+$B359+H$4&gt;TOTAL_BEDS_AVAILABLE,($D359+H$5)&gt;TOTAL_LABOR_HOURS_CAP,MAX(0,($D359+H$5)-PERMANENT_FIELD_LABOR_HOURS)&gt;TEMP_HOURS_CAP),"",$C359+H$6-MIN(($D359+H$5),PERMANENT_FIELD_LABOR_HOURS)*PERMANENT_HOURLY_RATE-MAX(0,($D359+H$5)-PERMANENT_FIELD_LABOR_HOURS)*TEMP_HOURLY_RATE-FIXED_SEASON_COST)</f>
        <v/>
      </c>
      <c r="I359" s="53" t="str">
        <f aca="false">IF(OR($A359&gt;TOMATO_BED_CAP,$B359&gt;CARROT_BED_CAP,I$4&gt;MESCLUN_BED_CAP,$A359+$B359+I$4&gt;TOTAL_BEDS_AVAILABLE,($D359+I$5)&gt;TOTAL_LABOR_HOURS_CAP,MAX(0,($D359+I$5)-PERMANENT_FIELD_LABOR_HOURS)&gt;TEMP_HOURS_CAP),"",$C359+I$6-MIN(($D359+I$5),PERMANENT_FIELD_LABOR_HOURS)*PERMANENT_HOURLY_RATE-MAX(0,($D359+I$5)-PERMANENT_FIELD_LABOR_HOURS)*TEMP_HOURLY_RATE-FIXED_SEASON_COST)</f>
        <v/>
      </c>
      <c r="J359" s="53" t="str">
        <f aca="false">IF(OR($A359&gt;TOMATO_BED_CAP,$B359&gt;CARROT_BED_CAP,J$4&gt;MESCLUN_BED_CAP,$A359+$B359+J$4&gt;TOTAL_BEDS_AVAILABLE,($D359+J$5)&gt;TOTAL_LABOR_HOURS_CAP,MAX(0,($D359+J$5)-PERMANENT_FIELD_LABOR_HOURS)&gt;TEMP_HOURS_CAP),"",$C359+J$6-MIN(($D359+J$5),PERMANENT_FIELD_LABOR_HOURS)*PERMANENT_HOURLY_RATE-MAX(0,($D359+J$5)-PERMANENT_FIELD_LABOR_HOURS)*TEMP_HOURLY_RATE-FIXED_SEASON_COST)</f>
        <v/>
      </c>
      <c r="K359" s="53" t="str">
        <f aca="false">IF(OR($A359&gt;TOMATO_BED_CAP,$B359&gt;CARROT_BED_CAP,K$4&gt;MESCLUN_BED_CAP,$A359+$B359+K$4&gt;TOTAL_BEDS_AVAILABLE,($D359+K$5)&gt;TOTAL_LABOR_HOURS_CAP,MAX(0,($D359+K$5)-PERMANENT_FIELD_LABOR_HOURS)&gt;TEMP_HOURS_CAP),"",$C359+K$6-MIN(($D359+K$5),PERMANENT_FIELD_LABOR_HOURS)*PERMANENT_HOURLY_RATE-MAX(0,($D359+K$5)-PERMANENT_FIELD_LABOR_HOURS)*TEMP_HOURLY_RATE-FIXED_SEASON_COST)</f>
        <v/>
      </c>
      <c r="L359" s="53" t="str">
        <f aca="false">IF(OR($A359&gt;TOMATO_BED_CAP,$B359&gt;CARROT_BED_CAP,L$4&gt;MESCLUN_BED_CAP,$A359+$B359+L$4&gt;TOTAL_BEDS_AVAILABLE,($D359+L$5)&gt;TOTAL_LABOR_HOURS_CAP,MAX(0,($D359+L$5)-PERMANENT_FIELD_LABOR_HOURS)&gt;TEMP_HOURS_CAP),"",$C359+L$6-MIN(($D359+L$5),PERMANENT_FIELD_LABOR_HOURS)*PERMANENT_HOURLY_RATE-MAX(0,($D359+L$5)-PERMANENT_FIELD_LABOR_HOURS)*TEMP_HOURLY_RATE-FIXED_SEASON_COST)</f>
        <v/>
      </c>
      <c r="M359" s="53" t="str">
        <f aca="false">IF(OR($A359&gt;TOMATO_BED_CAP,$B359&gt;CARROT_BED_CAP,M$4&gt;MESCLUN_BED_CAP,$A359+$B359+M$4&gt;TOTAL_BEDS_AVAILABLE,($D359+M$5)&gt;TOTAL_LABOR_HOURS_CAP,MAX(0,($D359+M$5)-PERMANENT_FIELD_LABOR_HOURS)&gt;TEMP_HOURS_CAP),"",$C359+M$6-MIN(($D359+M$5),PERMANENT_FIELD_LABOR_HOURS)*PERMANENT_HOURLY_RATE-MAX(0,($D359+M$5)-PERMANENT_FIELD_LABOR_HOURS)*TEMP_HOURLY_RATE-FIXED_SEASON_COST)</f>
        <v/>
      </c>
      <c r="N359" s="53" t="str">
        <f aca="false">IF(OR($A359&gt;TOMATO_BED_CAP,$B359&gt;CARROT_BED_CAP,N$4&gt;MESCLUN_BED_CAP,$A359+$B359+N$4&gt;TOTAL_BEDS_AVAILABLE,($D359+N$5)&gt;TOTAL_LABOR_HOURS_CAP,MAX(0,($D359+N$5)-PERMANENT_FIELD_LABOR_HOURS)&gt;TEMP_HOURS_CAP),"",$C359+N$6-MIN(($D359+N$5),PERMANENT_FIELD_LABOR_HOURS)*PERMANENT_HOURLY_RATE-MAX(0,($D359+N$5)-PERMANENT_FIELD_LABOR_HOURS)*TEMP_HOURLY_RATE-FIXED_SEASON_COST)</f>
        <v/>
      </c>
      <c r="O359" s="53" t="str">
        <f aca="false">IF(OR($A359&gt;TOMATO_BED_CAP,$B359&gt;CARROT_BED_CAP,O$4&gt;MESCLUN_BED_CAP,$A359+$B359+O$4&gt;TOTAL_BEDS_AVAILABLE,($D359+O$5)&gt;TOTAL_LABOR_HOURS_CAP,MAX(0,($D359+O$5)-PERMANENT_FIELD_LABOR_HOURS)&gt;TEMP_HOURS_CAP),"",$C359+O$6-MIN(($D359+O$5),PERMANENT_FIELD_LABOR_HOURS)*PERMANENT_HOURLY_RATE-MAX(0,($D359+O$5)-PERMANENT_FIELD_LABOR_HOURS)*TEMP_HOURLY_RATE-FIXED_SEASON_COST)</f>
        <v/>
      </c>
      <c r="P359" s="53" t="str">
        <f aca="false">IF(OR($A359&gt;TOMATO_BED_CAP,$B359&gt;CARROT_BED_CAP,P$4&gt;MESCLUN_BED_CAP,$A359+$B359+P$4&gt;TOTAL_BEDS_AVAILABLE,($D359+P$5)&gt;TOTAL_LABOR_HOURS_CAP,MAX(0,($D359+P$5)-PERMANENT_FIELD_LABOR_HOURS)&gt;TEMP_HOURS_CAP),"",$C359+P$6-MIN(($D359+P$5),PERMANENT_FIELD_LABOR_HOURS)*PERMANENT_HOURLY_RATE-MAX(0,($D359+P$5)-PERMANENT_FIELD_LABOR_HOURS)*TEMP_HOURLY_RATE-FIXED_SEASON_COST)</f>
        <v/>
      </c>
      <c r="Q359" s="53" t="str">
        <f aca="false">IF(OR($A359&gt;TOMATO_BED_CAP,$B359&gt;CARROT_BED_CAP,Q$4&gt;MESCLUN_BED_CAP,$A359+$B359+Q$4&gt;TOTAL_BEDS_AVAILABLE,($D359+Q$5)&gt;TOTAL_LABOR_HOURS_CAP,MAX(0,($D359+Q$5)-PERMANENT_FIELD_LABOR_HOURS)&gt;TEMP_HOURS_CAP),"",$C359+Q$6-MIN(($D359+Q$5),PERMANENT_FIELD_LABOR_HOURS)*PERMANENT_HOURLY_RATE-MAX(0,($D359+Q$5)-PERMANENT_FIELD_LABOR_HOURS)*TEMP_HOURLY_RATE-FIXED_SEASON_COST)</f>
        <v/>
      </c>
      <c r="R359" s="53" t="str">
        <f aca="false">IF(OR($A359&gt;TOMATO_BED_CAP,$B359&gt;CARROT_BED_CAP,R$4&gt;MESCLUN_BED_CAP,$A359+$B359+R$4&gt;TOTAL_BEDS_AVAILABLE,($D359+R$5)&gt;TOTAL_LABOR_HOURS_CAP,MAX(0,($D359+R$5)-PERMANENT_FIELD_LABOR_HOURS)&gt;TEMP_HOURS_CAP),"",$C359+R$6-MIN(($D359+R$5),PERMANENT_FIELD_LABOR_HOURS)*PERMANENT_HOURLY_RATE-MAX(0,($D359+R$5)-PERMANENT_FIELD_LABOR_HOURS)*TEMP_HOURLY_RATE-FIXED_SEASON_COST)</f>
        <v/>
      </c>
      <c r="S359" s="53" t="str">
        <f aca="false">IF(OR($A359&gt;TOMATO_BED_CAP,$B359&gt;CARROT_BED_CAP,S$4&gt;MESCLUN_BED_CAP,$A359+$B359+S$4&gt;TOTAL_BEDS_AVAILABLE,($D359+S$5)&gt;TOTAL_LABOR_HOURS_CAP,MAX(0,($D359+S$5)-PERMANENT_FIELD_LABOR_HOURS)&gt;TEMP_HOURS_CAP),"",$C359+S$6-MIN(($D359+S$5),PERMANENT_FIELD_LABOR_HOURS)*PERMANENT_HOURLY_RATE-MAX(0,($D359+S$5)-PERMANENT_FIELD_LABOR_HOURS)*TEMP_HOURLY_RATE-FIXED_SEASON_COST)</f>
        <v/>
      </c>
      <c r="T359" s="53" t="str">
        <f aca="false">IF(OR($A359&gt;TOMATO_BED_CAP,$B359&gt;CARROT_BED_CAP,T$4&gt;MESCLUN_BED_CAP,$A359+$B359+T$4&gt;TOTAL_BEDS_AVAILABLE,($D359+T$5)&gt;TOTAL_LABOR_HOURS_CAP,MAX(0,($D359+T$5)-PERMANENT_FIELD_LABOR_HOURS)&gt;TEMP_HOURS_CAP),"",$C359+T$6-MIN(($D359+T$5),PERMANENT_FIELD_LABOR_HOURS)*PERMANENT_HOURLY_RATE-MAX(0,($D359+T$5)-PERMANENT_FIELD_LABOR_HOURS)*TEMP_HOURLY_RATE-FIXED_SEASON_COST)</f>
        <v/>
      </c>
      <c r="U359" s="53" t="str">
        <f aca="false">IF(OR($A359&gt;TOMATO_BED_CAP,$B359&gt;CARROT_BED_CAP,U$4&gt;MESCLUN_BED_CAP,$A359+$B359+U$4&gt;TOTAL_BEDS_AVAILABLE,($D359+U$5)&gt;TOTAL_LABOR_HOURS_CAP,MAX(0,($D359+U$5)-PERMANENT_FIELD_LABOR_HOURS)&gt;TEMP_HOURS_CAP),"",$C359+U$6-MIN(($D359+U$5),PERMANENT_FIELD_LABOR_HOURS)*PERMANENT_HOURLY_RATE-MAX(0,($D359+U$5)-PERMANENT_FIELD_LABOR_HOURS)*TEMP_HOURLY_RATE-FIXED_SEASON_COST)</f>
        <v/>
      </c>
      <c r="V359" s="53" t="str">
        <f aca="false">IF(OR($A359&gt;TOMATO_BED_CAP,$B359&gt;CARROT_BED_CAP,V$4&gt;MESCLUN_BED_CAP,$A359+$B359+V$4&gt;TOTAL_BEDS_AVAILABLE,($D359+V$5)&gt;TOTAL_LABOR_HOURS_CAP,MAX(0,($D359+V$5)-PERMANENT_FIELD_LABOR_HOURS)&gt;TEMP_HOURS_CAP),"",$C359+V$6-MIN(($D359+V$5),PERMANENT_FIELD_LABOR_HOURS)*PERMANENT_HOURLY_RATE-MAX(0,($D359+V$5)-PERMANENT_FIELD_LABOR_HOURS)*TEMP_HOURLY_RATE-FIXED_SEASON_COST)</f>
        <v/>
      </c>
      <c r="W359" s="53" t="str">
        <f aca="false">IF(OR($A359&gt;TOMATO_BED_CAP,$B359&gt;CARROT_BED_CAP,W$4&gt;MESCLUN_BED_CAP,$A359+$B359+W$4&gt;TOTAL_BEDS_AVAILABLE,($D359+W$5)&gt;TOTAL_LABOR_HOURS_CAP,MAX(0,($D359+W$5)-PERMANENT_FIELD_LABOR_HOURS)&gt;TEMP_HOURS_CAP),"",$C359+W$6-MIN(($D359+W$5),PERMANENT_FIELD_LABOR_HOURS)*PERMANENT_HOURLY_RATE-MAX(0,($D359+W$5)-PERMANENT_FIELD_LABOR_HOURS)*TEMP_HOURLY_RATE-FIXED_SEASON_COST)</f>
        <v/>
      </c>
      <c r="X359" s="53" t="str">
        <f aca="false">IF(OR($A359&gt;TOMATO_BED_CAP,$B359&gt;CARROT_BED_CAP,X$4&gt;MESCLUN_BED_CAP,$A359+$B359+X$4&gt;TOTAL_BEDS_AVAILABLE,($D359+X$5)&gt;TOTAL_LABOR_HOURS_CAP,MAX(0,($D359+X$5)-PERMANENT_FIELD_LABOR_HOURS)&gt;TEMP_HOURS_CAP),"",$C359+X$6-MIN(($D359+X$5),PERMANENT_FIELD_LABOR_HOURS)*PERMANENT_HOURLY_RATE-MAX(0,($D359+X$5)-PERMANENT_FIELD_LABOR_HOURS)*TEMP_HOURLY_RATE-FIXED_SEASON_COST)</f>
        <v/>
      </c>
      <c r="Y359" s="53" t="str">
        <f aca="false">IF(OR($A359&gt;TOMATO_BED_CAP,$B359&gt;CARROT_BED_CAP,Y$4&gt;MESCLUN_BED_CAP,$A359+$B359+Y$4&gt;TOTAL_BEDS_AVAILABLE,($D359+Y$5)&gt;TOTAL_LABOR_HOURS_CAP,MAX(0,($D359+Y$5)-PERMANENT_FIELD_LABOR_HOURS)&gt;TEMP_HOURS_CAP),"",$C359+Y$6-MIN(($D359+Y$5),PERMANENT_FIELD_LABOR_HOURS)*PERMANENT_HOURLY_RATE-MAX(0,($D359+Y$5)-PERMANENT_FIELD_LABOR_HOURS)*TEMP_HOURLY_RATE-FIXED_SEASON_COST)</f>
        <v/>
      </c>
      <c r="Z359" s="53" t="str">
        <f aca="false">IF(OR($A359&gt;TOMATO_BED_CAP,$B359&gt;CARROT_BED_CAP,Z$4&gt;MESCLUN_BED_CAP,$A359+$B359+Z$4&gt;TOTAL_BEDS_AVAILABLE,($D359+Z$5)&gt;TOTAL_LABOR_HOURS_CAP,MAX(0,($D359+Z$5)-PERMANENT_FIELD_LABOR_HOURS)&gt;TEMP_HOURS_CAP),"",$C359+Z$6-MIN(($D359+Z$5),PERMANENT_FIELD_LABOR_HOURS)*PERMANENT_HOURLY_RATE-MAX(0,($D359+Z$5)-PERMANENT_FIELD_LABOR_HOURS)*TEMP_HOURLY_RATE-FIXED_SEASON_COST)</f>
        <v/>
      </c>
      <c r="AA359" s="53" t="str">
        <f aca="false">IF(OR($A359&gt;TOMATO_BED_CAP,$B359&gt;CARROT_BED_CAP,AA$4&gt;MESCLUN_BED_CAP,$A359+$B359+AA$4&gt;TOTAL_BEDS_AVAILABLE,($D359+AA$5)&gt;TOTAL_LABOR_HOURS_CAP,MAX(0,($D359+AA$5)-PERMANENT_FIELD_LABOR_HOURS)&gt;TEMP_HOURS_CAP),"",$C359+AA$6-MIN(($D359+AA$5),PERMANENT_FIELD_LABOR_HOURS)*PERMANENT_HOURLY_RATE-MAX(0,($D359+AA$5)-PERMANENT_FIELD_LABOR_HOURS)*TEMP_HOURLY_RATE-FIXED_SEASON_COST)</f>
        <v/>
      </c>
      <c r="AB359" s="53" t="str">
        <f aca="false">IF(OR($A359&gt;TOMATO_BED_CAP,$B359&gt;CARROT_BED_CAP,AB$4&gt;MESCLUN_BED_CAP,$A359+$B359+AB$4&gt;TOTAL_BEDS_AVAILABLE,($D359+AB$5)&gt;TOTAL_LABOR_HOURS_CAP,MAX(0,($D359+AB$5)-PERMANENT_FIELD_LABOR_HOURS)&gt;TEMP_HOURS_CAP),"",$C359+AB$6-MIN(($D359+AB$5),PERMANENT_FIELD_LABOR_HOURS)*PERMANENT_HOURLY_RATE-MAX(0,($D359+AB$5)-PERMANENT_FIELD_LABOR_HOURS)*TEMP_HOURLY_RATE-FIXED_SEASON_COST)</f>
        <v/>
      </c>
      <c r="AC359" s="53" t="str">
        <f aca="false">IF(OR($A359&gt;TOMATO_BED_CAP,$B359&gt;CARROT_BED_CAP,AC$4&gt;MESCLUN_BED_CAP,$A359+$B359+AC$4&gt;TOTAL_BEDS_AVAILABLE,($D359+AC$5)&gt;TOTAL_LABOR_HOURS_CAP,MAX(0,($D359+AC$5)-PERMANENT_FIELD_LABOR_HOURS)&gt;TEMP_HOURS_CAP),"",$C359+AC$6-MIN(($D359+AC$5),PERMANENT_FIELD_LABOR_HOURS)*PERMANENT_HOURLY_RATE-MAX(0,($D359+AC$5)-PERMANENT_FIELD_LABOR_HOURS)*TEMP_HOURLY_RATE-FIXED_SEASON_COST)</f>
        <v/>
      </c>
      <c r="AD359" s="53" t="str">
        <f aca="false">IF(OR($A359&gt;TOMATO_BED_CAP,$B359&gt;CARROT_BED_CAP,AD$4&gt;MESCLUN_BED_CAP,$A359+$B359+AD$4&gt;TOTAL_BEDS_AVAILABLE,($D359+AD$5)&gt;TOTAL_LABOR_HOURS_CAP,MAX(0,($D359+AD$5)-PERMANENT_FIELD_LABOR_HOURS)&gt;TEMP_HOURS_CAP),"",$C359+AD$6-MIN(($D359+AD$5),PERMANENT_FIELD_LABOR_HOURS)*PERMANENT_HOURLY_RATE-MAX(0,($D359+AD$5)-PERMANENT_FIELD_LABOR_HOURS)*TEMP_HOURLY_RATE-FIXED_SEASON_COST)</f>
        <v/>
      </c>
      <c r="AE359" s="53" t="str">
        <f aca="false">IF(OR($A359&gt;TOMATO_BED_CAP,$B359&gt;CARROT_BED_CAP,AE$4&gt;MESCLUN_BED_CAP,$A359+$B359+AE$4&gt;TOTAL_BEDS_AVAILABLE,($D359+AE$5)&gt;TOTAL_LABOR_HOURS_CAP,MAX(0,($D359+AE$5)-PERMANENT_FIELD_LABOR_HOURS)&gt;TEMP_HOURS_CAP),"",$C359+AE$6-MIN(($D359+AE$5),PERMANENT_FIELD_LABOR_HOURS)*PERMANENT_HOURLY_RATE-MAX(0,($D359+AE$5)-PERMANENT_FIELD_LABOR_HOURS)*TEMP_HOURLY_RATE-FIXED_SEASON_COST)</f>
        <v/>
      </c>
      <c r="AF359" s="53" t="str">
        <f aca="false">IF(OR($A359&gt;TOMATO_BED_CAP,$B359&gt;CARROT_BED_CAP,AF$4&gt;MESCLUN_BED_CAP,$A359+$B359+AF$4&gt;TOTAL_BEDS_AVAILABLE,($D359+AF$5)&gt;TOTAL_LABOR_HOURS_CAP,MAX(0,($D359+AF$5)-PERMANENT_FIELD_LABOR_HOURS)&gt;TEMP_HOURS_CAP),"",$C359+AF$6-MIN(($D359+AF$5),PERMANENT_FIELD_LABOR_HOURS)*PERMANENT_HOURLY_RATE-MAX(0,($D359+AF$5)-PERMANENT_FIELD_LABOR_HOURS)*TEMP_HOURLY_RATE-FIXED_SEASON_COST)</f>
        <v/>
      </c>
      <c r="AG359" s="53" t="str">
        <f aca="false">IF(OR($A359&gt;TOMATO_BED_CAP,$B359&gt;CARROT_BED_CAP,AG$4&gt;MESCLUN_BED_CAP,$A359+$B359+AG$4&gt;TOTAL_BEDS_AVAILABLE,($D359+AG$5)&gt;TOTAL_LABOR_HOURS_CAP,MAX(0,($D359+AG$5)-PERMANENT_FIELD_LABOR_HOURS)&gt;TEMP_HOURS_CAP),"",$C359+AG$6-MIN(($D359+AG$5),PERMANENT_FIELD_LABOR_HOURS)*PERMANENT_HOURLY_RATE-MAX(0,($D359+AG$5)-PERMANENT_FIELD_LABOR_HOURS)*TEMP_HOURLY_RATE-FIXED_SEASON_COST)</f>
        <v/>
      </c>
      <c r="AH359" s="53" t="str">
        <f aca="false">IF(OR($A359&gt;TOMATO_BED_CAP,$B359&gt;CARROT_BED_CAP,AH$4&gt;MESCLUN_BED_CAP,$A359+$B359+AH$4&gt;TOTAL_BEDS_AVAILABLE,($D359+AH$5)&gt;TOTAL_LABOR_HOURS_CAP,MAX(0,($D359+AH$5)-PERMANENT_FIELD_LABOR_HOURS)&gt;TEMP_HOURS_CAP),"",$C359+AH$6-MIN(($D359+AH$5),PERMANENT_FIELD_LABOR_HOURS)*PERMANENT_HOURLY_RATE-MAX(0,($D359+AH$5)-PERMANENT_FIELD_LABOR_HOURS)*TEMP_HOURLY_RATE-FIXED_SEASON_COST)</f>
        <v/>
      </c>
      <c r="AI359" s="53" t="str">
        <f aca="false">IF(OR($A359&gt;TOMATO_BED_CAP,$B359&gt;CARROT_BED_CAP,AI$4&gt;MESCLUN_BED_CAP,$A359+$B359+AI$4&gt;TOTAL_BEDS_AVAILABLE,($D359+AI$5)&gt;TOTAL_LABOR_HOURS_CAP,MAX(0,($D359+AI$5)-PERMANENT_FIELD_LABOR_HOURS)&gt;TEMP_HOURS_CAP),"",$C359+AI$6-MIN(($D359+AI$5),PERMANENT_FIELD_LABOR_HOURS)*PERMANENT_HOURLY_RATE-MAX(0,($D359+AI$5)-PERMANENT_FIELD_LABOR_HOURS)*TEMP_HOURLY_RATE-FIXED_SEASON_COST)</f>
        <v/>
      </c>
      <c r="AJ359" s="53" t="str">
        <f aca="false">IF(OR($A359&gt;TOMATO_BED_CAP,$B359&gt;CARROT_BED_CAP,AJ$4&gt;MESCLUN_BED_CAP,$A359+$B359+AJ$4&gt;TOTAL_BEDS_AVAILABLE,($D359+AJ$5)&gt;TOTAL_LABOR_HOURS_CAP,MAX(0,($D359+AJ$5)-PERMANENT_FIELD_LABOR_HOURS)&gt;TEMP_HOURS_CAP),"",$C359+AJ$6-MIN(($D359+AJ$5),PERMANENT_FIELD_LABOR_HOURS)*PERMANENT_HOURLY_RATE-MAX(0,($D359+AJ$5)-PERMANENT_FIELD_LABOR_HOURS)*TEMP_HOURLY_RATE-FIXED_SEASON_COST)</f>
        <v/>
      </c>
    </row>
    <row r="360" customFormat="false" ht="15" hidden="false" customHeight="false" outlineLevel="0" collapsed="false">
      <c r="A360" s="21" t="n">
        <f aca="false">INT((ROW()-ROW($A$8))/(20+1))</f>
        <v>16</v>
      </c>
      <c r="B360" s="21" t="n">
        <f aca="false">MOD(ROW()-ROW($A$8),20+1)</f>
        <v>16</v>
      </c>
      <c r="C360" s="13" t="n">
        <f aca="false">A360*(TOMATO_REVENUE_PER_BED-TOMATO_FERTILIZER_PER_BED)+B360*(CARROT_REVENUE_PER_BED-CARROT_FERTILIZER_PER_BED)</f>
        <v>153184</v>
      </c>
      <c r="D360" s="14" t="n">
        <f aca="false">INDEX(TOMATO_SCHED_LABOR_HRS,A360+1)+INDEX(CARROT_SCHED_LABOR_HRS,B360+1)</f>
        <v>7329.0387731923</v>
      </c>
      <c r="E360" s="13" t="str">
        <f aca="false">IF(COUNT(F360:AJ360)=0,"",MAX(F360:AJ360))</f>
        <v/>
      </c>
      <c r="F360" s="53" t="str">
        <f aca="false">IF(OR($A360&gt;TOMATO_BED_CAP,$B360&gt;CARROT_BED_CAP,F$4&gt;MESCLUN_BED_CAP,$A360+$B360+F$4&gt;TOTAL_BEDS_AVAILABLE,($D360+F$5)&gt;TOTAL_LABOR_HOURS_CAP,MAX(0,($D360+F$5)-PERMANENT_FIELD_LABOR_HOURS)&gt;TEMP_HOURS_CAP),"",$C360+F$6-MIN(($D360+F$5),PERMANENT_FIELD_LABOR_HOURS)*PERMANENT_HOURLY_RATE-MAX(0,($D360+F$5)-PERMANENT_FIELD_LABOR_HOURS)*TEMP_HOURLY_RATE-FIXED_SEASON_COST)</f>
        <v/>
      </c>
      <c r="G360" s="53" t="str">
        <f aca="false">IF(OR($A360&gt;TOMATO_BED_CAP,$B360&gt;CARROT_BED_CAP,G$4&gt;MESCLUN_BED_CAP,$A360+$B360+G$4&gt;TOTAL_BEDS_AVAILABLE,($D360+G$5)&gt;TOTAL_LABOR_HOURS_CAP,MAX(0,($D360+G$5)-PERMANENT_FIELD_LABOR_HOURS)&gt;TEMP_HOURS_CAP),"",$C360+G$6-MIN(($D360+G$5),PERMANENT_FIELD_LABOR_HOURS)*PERMANENT_HOURLY_RATE-MAX(0,($D360+G$5)-PERMANENT_FIELD_LABOR_HOURS)*TEMP_HOURLY_RATE-FIXED_SEASON_COST)</f>
        <v/>
      </c>
      <c r="H360" s="53" t="str">
        <f aca="false">IF(OR($A360&gt;TOMATO_BED_CAP,$B360&gt;CARROT_BED_CAP,H$4&gt;MESCLUN_BED_CAP,$A360+$B360+H$4&gt;TOTAL_BEDS_AVAILABLE,($D360+H$5)&gt;TOTAL_LABOR_HOURS_CAP,MAX(0,($D360+H$5)-PERMANENT_FIELD_LABOR_HOURS)&gt;TEMP_HOURS_CAP),"",$C360+H$6-MIN(($D360+H$5),PERMANENT_FIELD_LABOR_HOURS)*PERMANENT_HOURLY_RATE-MAX(0,($D360+H$5)-PERMANENT_FIELD_LABOR_HOURS)*TEMP_HOURLY_RATE-FIXED_SEASON_COST)</f>
        <v/>
      </c>
      <c r="I360" s="53" t="str">
        <f aca="false">IF(OR($A360&gt;TOMATO_BED_CAP,$B360&gt;CARROT_BED_CAP,I$4&gt;MESCLUN_BED_CAP,$A360+$B360+I$4&gt;TOTAL_BEDS_AVAILABLE,($D360+I$5)&gt;TOTAL_LABOR_HOURS_CAP,MAX(0,($D360+I$5)-PERMANENT_FIELD_LABOR_HOURS)&gt;TEMP_HOURS_CAP),"",$C360+I$6-MIN(($D360+I$5),PERMANENT_FIELD_LABOR_HOURS)*PERMANENT_HOURLY_RATE-MAX(0,($D360+I$5)-PERMANENT_FIELD_LABOR_HOURS)*TEMP_HOURLY_RATE-FIXED_SEASON_COST)</f>
        <v/>
      </c>
      <c r="J360" s="53" t="str">
        <f aca="false">IF(OR($A360&gt;TOMATO_BED_CAP,$B360&gt;CARROT_BED_CAP,J$4&gt;MESCLUN_BED_CAP,$A360+$B360+J$4&gt;TOTAL_BEDS_AVAILABLE,($D360+J$5)&gt;TOTAL_LABOR_HOURS_CAP,MAX(0,($D360+J$5)-PERMANENT_FIELD_LABOR_HOURS)&gt;TEMP_HOURS_CAP),"",$C360+J$6-MIN(($D360+J$5),PERMANENT_FIELD_LABOR_HOURS)*PERMANENT_HOURLY_RATE-MAX(0,($D360+J$5)-PERMANENT_FIELD_LABOR_HOURS)*TEMP_HOURLY_RATE-FIXED_SEASON_COST)</f>
        <v/>
      </c>
      <c r="K360" s="53" t="str">
        <f aca="false">IF(OR($A360&gt;TOMATO_BED_CAP,$B360&gt;CARROT_BED_CAP,K$4&gt;MESCLUN_BED_CAP,$A360+$B360+K$4&gt;TOTAL_BEDS_AVAILABLE,($D360+K$5)&gt;TOTAL_LABOR_HOURS_CAP,MAX(0,($D360+K$5)-PERMANENT_FIELD_LABOR_HOURS)&gt;TEMP_HOURS_CAP),"",$C360+K$6-MIN(($D360+K$5),PERMANENT_FIELD_LABOR_HOURS)*PERMANENT_HOURLY_RATE-MAX(0,($D360+K$5)-PERMANENT_FIELD_LABOR_HOURS)*TEMP_HOURLY_RATE-FIXED_SEASON_COST)</f>
        <v/>
      </c>
      <c r="L360" s="53" t="str">
        <f aca="false">IF(OR($A360&gt;TOMATO_BED_CAP,$B360&gt;CARROT_BED_CAP,L$4&gt;MESCLUN_BED_CAP,$A360+$B360+L$4&gt;TOTAL_BEDS_AVAILABLE,($D360+L$5)&gt;TOTAL_LABOR_HOURS_CAP,MAX(0,($D360+L$5)-PERMANENT_FIELD_LABOR_HOURS)&gt;TEMP_HOURS_CAP),"",$C360+L$6-MIN(($D360+L$5),PERMANENT_FIELD_LABOR_HOURS)*PERMANENT_HOURLY_RATE-MAX(0,($D360+L$5)-PERMANENT_FIELD_LABOR_HOURS)*TEMP_HOURLY_RATE-FIXED_SEASON_COST)</f>
        <v/>
      </c>
      <c r="M360" s="53" t="str">
        <f aca="false">IF(OR($A360&gt;TOMATO_BED_CAP,$B360&gt;CARROT_BED_CAP,M$4&gt;MESCLUN_BED_CAP,$A360+$B360+M$4&gt;TOTAL_BEDS_AVAILABLE,($D360+M$5)&gt;TOTAL_LABOR_HOURS_CAP,MAX(0,($D360+M$5)-PERMANENT_FIELD_LABOR_HOURS)&gt;TEMP_HOURS_CAP),"",$C360+M$6-MIN(($D360+M$5),PERMANENT_FIELD_LABOR_HOURS)*PERMANENT_HOURLY_RATE-MAX(0,($D360+M$5)-PERMANENT_FIELD_LABOR_HOURS)*TEMP_HOURLY_RATE-FIXED_SEASON_COST)</f>
        <v/>
      </c>
      <c r="N360" s="53" t="str">
        <f aca="false">IF(OR($A360&gt;TOMATO_BED_CAP,$B360&gt;CARROT_BED_CAP,N$4&gt;MESCLUN_BED_CAP,$A360+$B360+N$4&gt;TOTAL_BEDS_AVAILABLE,($D360+N$5)&gt;TOTAL_LABOR_HOURS_CAP,MAX(0,($D360+N$5)-PERMANENT_FIELD_LABOR_HOURS)&gt;TEMP_HOURS_CAP),"",$C360+N$6-MIN(($D360+N$5),PERMANENT_FIELD_LABOR_HOURS)*PERMANENT_HOURLY_RATE-MAX(0,($D360+N$5)-PERMANENT_FIELD_LABOR_HOURS)*TEMP_HOURLY_RATE-FIXED_SEASON_COST)</f>
        <v/>
      </c>
      <c r="O360" s="53" t="str">
        <f aca="false">IF(OR($A360&gt;TOMATO_BED_CAP,$B360&gt;CARROT_BED_CAP,O$4&gt;MESCLUN_BED_CAP,$A360+$B360+O$4&gt;TOTAL_BEDS_AVAILABLE,($D360+O$5)&gt;TOTAL_LABOR_HOURS_CAP,MAX(0,($D360+O$5)-PERMANENT_FIELD_LABOR_HOURS)&gt;TEMP_HOURS_CAP),"",$C360+O$6-MIN(($D360+O$5),PERMANENT_FIELD_LABOR_HOURS)*PERMANENT_HOURLY_RATE-MAX(0,($D360+O$5)-PERMANENT_FIELD_LABOR_HOURS)*TEMP_HOURLY_RATE-FIXED_SEASON_COST)</f>
        <v/>
      </c>
      <c r="P360" s="53" t="str">
        <f aca="false">IF(OR($A360&gt;TOMATO_BED_CAP,$B360&gt;CARROT_BED_CAP,P$4&gt;MESCLUN_BED_CAP,$A360+$B360+P$4&gt;TOTAL_BEDS_AVAILABLE,($D360+P$5)&gt;TOTAL_LABOR_HOURS_CAP,MAX(0,($D360+P$5)-PERMANENT_FIELD_LABOR_HOURS)&gt;TEMP_HOURS_CAP),"",$C360+P$6-MIN(($D360+P$5),PERMANENT_FIELD_LABOR_HOURS)*PERMANENT_HOURLY_RATE-MAX(0,($D360+P$5)-PERMANENT_FIELD_LABOR_HOURS)*TEMP_HOURLY_RATE-FIXED_SEASON_COST)</f>
        <v/>
      </c>
      <c r="Q360" s="53" t="str">
        <f aca="false">IF(OR($A360&gt;TOMATO_BED_CAP,$B360&gt;CARROT_BED_CAP,Q$4&gt;MESCLUN_BED_CAP,$A360+$B360+Q$4&gt;TOTAL_BEDS_AVAILABLE,($D360+Q$5)&gt;TOTAL_LABOR_HOURS_CAP,MAX(0,($D360+Q$5)-PERMANENT_FIELD_LABOR_HOURS)&gt;TEMP_HOURS_CAP),"",$C360+Q$6-MIN(($D360+Q$5),PERMANENT_FIELD_LABOR_HOURS)*PERMANENT_HOURLY_RATE-MAX(0,($D360+Q$5)-PERMANENT_FIELD_LABOR_HOURS)*TEMP_HOURLY_RATE-FIXED_SEASON_COST)</f>
        <v/>
      </c>
      <c r="R360" s="53" t="str">
        <f aca="false">IF(OR($A360&gt;TOMATO_BED_CAP,$B360&gt;CARROT_BED_CAP,R$4&gt;MESCLUN_BED_CAP,$A360+$B360+R$4&gt;TOTAL_BEDS_AVAILABLE,($D360+R$5)&gt;TOTAL_LABOR_HOURS_CAP,MAX(0,($D360+R$5)-PERMANENT_FIELD_LABOR_HOURS)&gt;TEMP_HOURS_CAP),"",$C360+R$6-MIN(($D360+R$5),PERMANENT_FIELD_LABOR_HOURS)*PERMANENT_HOURLY_RATE-MAX(0,($D360+R$5)-PERMANENT_FIELD_LABOR_HOURS)*TEMP_HOURLY_RATE-FIXED_SEASON_COST)</f>
        <v/>
      </c>
      <c r="S360" s="53" t="str">
        <f aca="false">IF(OR($A360&gt;TOMATO_BED_CAP,$B360&gt;CARROT_BED_CAP,S$4&gt;MESCLUN_BED_CAP,$A360+$B360+S$4&gt;TOTAL_BEDS_AVAILABLE,($D360+S$5)&gt;TOTAL_LABOR_HOURS_CAP,MAX(0,($D360+S$5)-PERMANENT_FIELD_LABOR_HOURS)&gt;TEMP_HOURS_CAP),"",$C360+S$6-MIN(($D360+S$5),PERMANENT_FIELD_LABOR_HOURS)*PERMANENT_HOURLY_RATE-MAX(0,($D360+S$5)-PERMANENT_FIELD_LABOR_HOURS)*TEMP_HOURLY_RATE-FIXED_SEASON_COST)</f>
        <v/>
      </c>
      <c r="T360" s="53" t="str">
        <f aca="false">IF(OR($A360&gt;TOMATO_BED_CAP,$B360&gt;CARROT_BED_CAP,T$4&gt;MESCLUN_BED_CAP,$A360+$B360+T$4&gt;TOTAL_BEDS_AVAILABLE,($D360+T$5)&gt;TOTAL_LABOR_HOURS_CAP,MAX(0,($D360+T$5)-PERMANENT_FIELD_LABOR_HOURS)&gt;TEMP_HOURS_CAP),"",$C360+T$6-MIN(($D360+T$5),PERMANENT_FIELD_LABOR_HOURS)*PERMANENT_HOURLY_RATE-MAX(0,($D360+T$5)-PERMANENT_FIELD_LABOR_HOURS)*TEMP_HOURLY_RATE-FIXED_SEASON_COST)</f>
        <v/>
      </c>
      <c r="U360" s="53" t="str">
        <f aca="false">IF(OR($A360&gt;TOMATO_BED_CAP,$B360&gt;CARROT_BED_CAP,U$4&gt;MESCLUN_BED_CAP,$A360+$B360+U$4&gt;TOTAL_BEDS_AVAILABLE,($D360+U$5)&gt;TOTAL_LABOR_HOURS_CAP,MAX(0,($D360+U$5)-PERMANENT_FIELD_LABOR_HOURS)&gt;TEMP_HOURS_CAP),"",$C360+U$6-MIN(($D360+U$5),PERMANENT_FIELD_LABOR_HOURS)*PERMANENT_HOURLY_RATE-MAX(0,($D360+U$5)-PERMANENT_FIELD_LABOR_HOURS)*TEMP_HOURLY_RATE-FIXED_SEASON_COST)</f>
        <v/>
      </c>
      <c r="V360" s="53" t="str">
        <f aca="false">IF(OR($A360&gt;TOMATO_BED_CAP,$B360&gt;CARROT_BED_CAP,V$4&gt;MESCLUN_BED_CAP,$A360+$B360+V$4&gt;TOTAL_BEDS_AVAILABLE,($D360+V$5)&gt;TOTAL_LABOR_HOURS_CAP,MAX(0,($D360+V$5)-PERMANENT_FIELD_LABOR_HOURS)&gt;TEMP_HOURS_CAP),"",$C360+V$6-MIN(($D360+V$5),PERMANENT_FIELD_LABOR_HOURS)*PERMANENT_HOURLY_RATE-MAX(0,($D360+V$5)-PERMANENT_FIELD_LABOR_HOURS)*TEMP_HOURLY_RATE-FIXED_SEASON_COST)</f>
        <v/>
      </c>
      <c r="W360" s="53" t="str">
        <f aca="false">IF(OR($A360&gt;TOMATO_BED_CAP,$B360&gt;CARROT_BED_CAP,W$4&gt;MESCLUN_BED_CAP,$A360+$B360+W$4&gt;TOTAL_BEDS_AVAILABLE,($D360+W$5)&gt;TOTAL_LABOR_HOURS_CAP,MAX(0,($D360+W$5)-PERMANENT_FIELD_LABOR_HOURS)&gt;TEMP_HOURS_CAP),"",$C360+W$6-MIN(($D360+W$5),PERMANENT_FIELD_LABOR_HOURS)*PERMANENT_HOURLY_RATE-MAX(0,($D360+W$5)-PERMANENT_FIELD_LABOR_HOURS)*TEMP_HOURLY_RATE-FIXED_SEASON_COST)</f>
        <v/>
      </c>
      <c r="X360" s="53" t="str">
        <f aca="false">IF(OR($A360&gt;TOMATO_BED_CAP,$B360&gt;CARROT_BED_CAP,X$4&gt;MESCLUN_BED_CAP,$A360+$B360+X$4&gt;TOTAL_BEDS_AVAILABLE,($D360+X$5)&gt;TOTAL_LABOR_HOURS_CAP,MAX(0,($D360+X$5)-PERMANENT_FIELD_LABOR_HOURS)&gt;TEMP_HOURS_CAP),"",$C360+X$6-MIN(($D360+X$5),PERMANENT_FIELD_LABOR_HOURS)*PERMANENT_HOURLY_RATE-MAX(0,($D360+X$5)-PERMANENT_FIELD_LABOR_HOURS)*TEMP_HOURLY_RATE-FIXED_SEASON_COST)</f>
        <v/>
      </c>
      <c r="Y360" s="53" t="str">
        <f aca="false">IF(OR($A360&gt;TOMATO_BED_CAP,$B360&gt;CARROT_BED_CAP,Y$4&gt;MESCLUN_BED_CAP,$A360+$B360+Y$4&gt;TOTAL_BEDS_AVAILABLE,($D360+Y$5)&gt;TOTAL_LABOR_HOURS_CAP,MAX(0,($D360+Y$5)-PERMANENT_FIELD_LABOR_HOURS)&gt;TEMP_HOURS_CAP),"",$C360+Y$6-MIN(($D360+Y$5),PERMANENT_FIELD_LABOR_HOURS)*PERMANENT_HOURLY_RATE-MAX(0,($D360+Y$5)-PERMANENT_FIELD_LABOR_HOURS)*TEMP_HOURLY_RATE-FIXED_SEASON_COST)</f>
        <v/>
      </c>
      <c r="Z360" s="53" t="str">
        <f aca="false">IF(OR($A360&gt;TOMATO_BED_CAP,$B360&gt;CARROT_BED_CAP,Z$4&gt;MESCLUN_BED_CAP,$A360+$B360+Z$4&gt;TOTAL_BEDS_AVAILABLE,($D360+Z$5)&gt;TOTAL_LABOR_HOURS_CAP,MAX(0,($D360+Z$5)-PERMANENT_FIELD_LABOR_HOURS)&gt;TEMP_HOURS_CAP),"",$C360+Z$6-MIN(($D360+Z$5),PERMANENT_FIELD_LABOR_HOURS)*PERMANENT_HOURLY_RATE-MAX(0,($D360+Z$5)-PERMANENT_FIELD_LABOR_HOURS)*TEMP_HOURLY_RATE-FIXED_SEASON_COST)</f>
        <v/>
      </c>
      <c r="AA360" s="53" t="str">
        <f aca="false">IF(OR($A360&gt;TOMATO_BED_CAP,$B360&gt;CARROT_BED_CAP,AA$4&gt;MESCLUN_BED_CAP,$A360+$B360+AA$4&gt;TOTAL_BEDS_AVAILABLE,($D360+AA$5)&gt;TOTAL_LABOR_HOURS_CAP,MAX(0,($D360+AA$5)-PERMANENT_FIELD_LABOR_HOURS)&gt;TEMP_HOURS_CAP),"",$C360+AA$6-MIN(($D360+AA$5),PERMANENT_FIELD_LABOR_HOURS)*PERMANENT_HOURLY_RATE-MAX(0,($D360+AA$5)-PERMANENT_FIELD_LABOR_HOURS)*TEMP_HOURLY_RATE-FIXED_SEASON_COST)</f>
        <v/>
      </c>
      <c r="AB360" s="53" t="str">
        <f aca="false">IF(OR($A360&gt;TOMATO_BED_CAP,$B360&gt;CARROT_BED_CAP,AB$4&gt;MESCLUN_BED_CAP,$A360+$B360+AB$4&gt;TOTAL_BEDS_AVAILABLE,($D360+AB$5)&gt;TOTAL_LABOR_HOURS_CAP,MAX(0,($D360+AB$5)-PERMANENT_FIELD_LABOR_HOURS)&gt;TEMP_HOURS_CAP),"",$C360+AB$6-MIN(($D360+AB$5),PERMANENT_FIELD_LABOR_HOURS)*PERMANENT_HOURLY_RATE-MAX(0,($D360+AB$5)-PERMANENT_FIELD_LABOR_HOURS)*TEMP_HOURLY_RATE-FIXED_SEASON_COST)</f>
        <v/>
      </c>
      <c r="AC360" s="53" t="str">
        <f aca="false">IF(OR($A360&gt;TOMATO_BED_CAP,$B360&gt;CARROT_BED_CAP,AC$4&gt;MESCLUN_BED_CAP,$A360+$B360+AC$4&gt;TOTAL_BEDS_AVAILABLE,($D360+AC$5)&gt;TOTAL_LABOR_HOURS_CAP,MAX(0,($D360+AC$5)-PERMANENT_FIELD_LABOR_HOURS)&gt;TEMP_HOURS_CAP),"",$C360+AC$6-MIN(($D360+AC$5),PERMANENT_FIELD_LABOR_HOURS)*PERMANENT_HOURLY_RATE-MAX(0,($D360+AC$5)-PERMANENT_FIELD_LABOR_HOURS)*TEMP_HOURLY_RATE-FIXED_SEASON_COST)</f>
        <v/>
      </c>
      <c r="AD360" s="53" t="str">
        <f aca="false">IF(OR($A360&gt;TOMATO_BED_CAP,$B360&gt;CARROT_BED_CAP,AD$4&gt;MESCLUN_BED_CAP,$A360+$B360+AD$4&gt;TOTAL_BEDS_AVAILABLE,($D360+AD$5)&gt;TOTAL_LABOR_HOURS_CAP,MAX(0,($D360+AD$5)-PERMANENT_FIELD_LABOR_HOURS)&gt;TEMP_HOURS_CAP),"",$C360+AD$6-MIN(($D360+AD$5),PERMANENT_FIELD_LABOR_HOURS)*PERMANENT_HOURLY_RATE-MAX(0,($D360+AD$5)-PERMANENT_FIELD_LABOR_HOURS)*TEMP_HOURLY_RATE-FIXED_SEASON_COST)</f>
        <v/>
      </c>
      <c r="AE360" s="53" t="str">
        <f aca="false">IF(OR($A360&gt;TOMATO_BED_CAP,$B360&gt;CARROT_BED_CAP,AE$4&gt;MESCLUN_BED_CAP,$A360+$B360+AE$4&gt;TOTAL_BEDS_AVAILABLE,($D360+AE$5)&gt;TOTAL_LABOR_HOURS_CAP,MAX(0,($D360+AE$5)-PERMANENT_FIELD_LABOR_HOURS)&gt;TEMP_HOURS_CAP),"",$C360+AE$6-MIN(($D360+AE$5),PERMANENT_FIELD_LABOR_HOURS)*PERMANENT_HOURLY_RATE-MAX(0,($D360+AE$5)-PERMANENT_FIELD_LABOR_HOURS)*TEMP_HOURLY_RATE-FIXED_SEASON_COST)</f>
        <v/>
      </c>
      <c r="AF360" s="53" t="str">
        <f aca="false">IF(OR($A360&gt;TOMATO_BED_CAP,$B360&gt;CARROT_BED_CAP,AF$4&gt;MESCLUN_BED_CAP,$A360+$B360+AF$4&gt;TOTAL_BEDS_AVAILABLE,($D360+AF$5)&gt;TOTAL_LABOR_HOURS_CAP,MAX(0,($D360+AF$5)-PERMANENT_FIELD_LABOR_HOURS)&gt;TEMP_HOURS_CAP),"",$C360+AF$6-MIN(($D360+AF$5),PERMANENT_FIELD_LABOR_HOURS)*PERMANENT_HOURLY_RATE-MAX(0,($D360+AF$5)-PERMANENT_FIELD_LABOR_HOURS)*TEMP_HOURLY_RATE-FIXED_SEASON_COST)</f>
        <v/>
      </c>
      <c r="AG360" s="53" t="str">
        <f aca="false">IF(OR($A360&gt;TOMATO_BED_CAP,$B360&gt;CARROT_BED_CAP,AG$4&gt;MESCLUN_BED_CAP,$A360+$B360+AG$4&gt;TOTAL_BEDS_AVAILABLE,($D360+AG$5)&gt;TOTAL_LABOR_HOURS_CAP,MAX(0,($D360+AG$5)-PERMANENT_FIELD_LABOR_HOURS)&gt;TEMP_HOURS_CAP),"",$C360+AG$6-MIN(($D360+AG$5),PERMANENT_FIELD_LABOR_HOURS)*PERMANENT_HOURLY_RATE-MAX(0,($D360+AG$5)-PERMANENT_FIELD_LABOR_HOURS)*TEMP_HOURLY_RATE-FIXED_SEASON_COST)</f>
        <v/>
      </c>
      <c r="AH360" s="53" t="str">
        <f aca="false">IF(OR($A360&gt;TOMATO_BED_CAP,$B360&gt;CARROT_BED_CAP,AH$4&gt;MESCLUN_BED_CAP,$A360+$B360+AH$4&gt;TOTAL_BEDS_AVAILABLE,($D360+AH$5)&gt;TOTAL_LABOR_HOURS_CAP,MAX(0,($D360+AH$5)-PERMANENT_FIELD_LABOR_HOURS)&gt;TEMP_HOURS_CAP),"",$C360+AH$6-MIN(($D360+AH$5),PERMANENT_FIELD_LABOR_HOURS)*PERMANENT_HOURLY_RATE-MAX(0,($D360+AH$5)-PERMANENT_FIELD_LABOR_HOURS)*TEMP_HOURLY_RATE-FIXED_SEASON_COST)</f>
        <v/>
      </c>
      <c r="AI360" s="53" t="str">
        <f aca="false">IF(OR($A360&gt;TOMATO_BED_CAP,$B360&gt;CARROT_BED_CAP,AI$4&gt;MESCLUN_BED_CAP,$A360+$B360+AI$4&gt;TOTAL_BEDS_AVAILABLE,($D360+AI$5)&gt;TOTAL_LABOR_HOURS_CAP,MAX(0,($D360+AI$5)-PERMANENT_FIELD_LABOR_HOURS)&gt;TEMP_HOURS_CAP),"",$C360+AI$6-MIN(($D360+AI$5),PERMANENT_FIELD_LABOR_HOURS)*PERMANENT_HOURLY_RATE-MAX(0,($D360+AI$5)-PERMANENT_FIELD_LABOR_HOURS)*TEMP_HOURLY_RATE-FIXED_SEASON_COST)</f>
        <v/>
      </c>
      <c r="AJ360" s="53" t="str">
        <f aca="false">IF(OR($A360&gt;TOMATO_BED_CAP,$B360&gt;CARROT_BED_CAP,AJ$4&gt;MESCLUN_BED_CAP,$A360+$B360+AJ$4&gt;TOTAL_BEDS_AVAILABLE,($D360+AJ$5)&gt;TOTAL_LABOR_HOURS_CAP,MAX(0,($D360+AJ$5)-PERMANENT_FIELD_LABOR_HOURS)&gt;TEMP_HOURS_CAP),"",$C360+AJ$6-MIN(($D360+AJ$5),PERMANENT_FIELD_LABOR_HOURS)*PERMANENT_HOURLY_RATE-MAX(0,($D360+AJ$5)-PERMANENT_FIELD_LABOR_HOURS)*TEMP_HOURLY_RATE-FIXED_SEASON_COST)</f>
        <v/>
      </c>
    </row>
    <row r="361" customFormat="false" ht="15" hidden="false" customHeight="false" outlineLevel="0" collapsed="false">
      <c r="A361" s="21" t="n">
        <f aca="false">INT((ROW()-ROW($A$8))/(20+1))</f>
        <v>16</v>
      </c>
      <c r="B361" s="21" t="n">
        <f aca="false">MOD(ROW()-ROW($A$8),20+1)</f>
        <v>17</v>
      </c>
      <c r="C361" s="13" t="n">
        <f aca="false">A361*(TOMATO_REVENUE_PER_BED-TOMATO_FERTILIZER_PER_BED)+B361*(CARROT_REVENUE_PER_BED-CARROT_FERTILIZER_PER_BED)</f>
        <v>154838</v>
      </c>
      <c r="D361" s="14" t="n">
        <f aca="false">INDEX(TOMATO_SCHED_LABOR_HRS,A361+1)+INDEX(CARROT_SCHED_LABOR_HRS,B361+1)</f>
        <v>7392.47600342943</v>
      </c>
      <c r="E361" s="13" t="str">
        <f aca="false">IF(COUNT(F361:AJ361)=0,"",MAX(F361:AJ361))</f>
        <v/>
      </c>
      <c r="F361" s="53" t="str">
        <f aca="false">IF(OR($A361&gt;TOMATO_BED_CAP,$B361&gt;CARROT_BED_CAP,F$4&gt;MESCLUN_BED_CAP,$A361+$B361+F$4&gt;TOTAL_BEDS_AVAILABLE,($D361+F$5)&gt;TOTAL_LABOR_HOURS_CAP,MAX(0,($D361+F$5)-PERMANENT_FIELD_LABOR_HOURS)&gt;TEMP_HOURS_CAP),"",$C361+F$6-MIN(($D361+F$5),PERMANENT_FIELD_LABOR_HOURS)*PERMANENT_HOURLY_RATE-MAX(0,($D361+F$5)-PERMANENT_FIELD_LABOR_HOURS)*TEMP_HOURLY_RATE-FIXED_SEASON_COST)</f>
        <v/>
      </c>
      <c r="G361" s="53" t="str">
        <f aca="false">IF(OR($A361&gt;TOMATO_BED_CAP,$B361&gt;CARROT_BED_CAP,G$4&gt;MESCLUN_BED_CAP,$A361+$B361+G$4&gt;TOTAL_BEDS_AVAILABLE,($D361+G$5)&gt;TOTAL_LABOR_HOURS_CAP,MAX(0,($D361+G$5)-PERMANENT_FIELD_LABOR_HOURS)&gt;TEMP_HOURS_CAP),"",$C361+G$6-MIN(($D361+G$5),PERMANENT_FIELD_LABOR_HOURS)*PERMANENT_HOURLY_RATE-MAX(0,($D361+G$5)-PERMANENT_FIELD_LABOR_HOURS)*TEMP_HOURLY_RATE-FIXED_SEASON_COST)</f>
        <v/>
      </c>
      <c r="H361" s="53" t="str">
        <f aca="false">IF(OR($A361&gt;TOMATO_BED_CAP,$B361&gt;CARROT_BED_CAP,H$4&gt;MESCLUN_BED_CAP,$A361+$B361+H$4&gt;TOTAL_BEDS_AVAILABLE,($D361+H$5)&gt;TOTAL_LABOR_HOURS_CAP,MAX(0,($D361+H$5)-PERMANENT_FIELD_LABOR_HOURS)&gt;TEMP_HOURS_CAP),"",$C361+H$6-MIN(($D361+H$5),PERMANENT_FIELD_LABOR_HOURS)*PERMANENT_HOURLY_RATE-MAX(0,($D361+H$5)-PERMANENT_FIELD_LABOR_HOURS)*TEMP_HOURLY_RATE-FIXED_SEASON_COST)</f>
        <v/>
      </c>
      <c r="I361" s="53" t="str">
        <f aca="false">IF(OR($A361&gt;TOMATO_BED_CAP,$B361&gt;CARROT_BED_CAP,I$4&gt;MESCLUN_BED_CAP,$A361+$B361+I$4&gt;TOTAL_BEDS_AVAILABLE,($D361+I$5)&gt;TOTAL_LABOR_HOURS_CAP,MAX(0,($D361+I$5)-PERMANENT_FIELD_LABOR_HOURS)&gt;TEMP_HOURS_CAP),"",$C361+I$6-MIN(($D361+I$5),PERMANENT_FIELD_LABOR_HOURS)*PERMANENT_HOURLY_RATE-MAX(0,($D361+I$5)-PERMANENT_FIELD_LABOR_HOURS)*TEMP_HOURLY_RATE-FIXED_SEASON_COST)</f>
        <v/>
      </c>
      <c r="J361" s="53" t="str">
        <f aca="false">IF(OR($A361&gt;TOMATO_BED_CAP,$B361&gt;CARROT_BED_CAP,J$4&gt;MESCLUN_BED_CAP,$A361+$B361+J$4&gt;TOTAL_BEDS_AVAILABLE,($D361+J$5)&gt;TOTAL_LABOR_HOURS_CAP,MAX(0,($D361+J$5)-PERMANENT_FIELD_LABOR_HOURS)&gt;TEMP_HOURS_CAP),"",$C361+J$6-MIN(($D361+J$5),PERMANENT_FIELD_LABOR_HOURS)*PERMANENT_HOURLY_RATE-MAX(0,($D361+J$5)-PERMANENT_FIELD_LABOR_HOURS)*TEMP_HOURLY_RATE-FIXED_SEASON_COST)</f>
        <v/>
      </c>
      <c r="K361" s="53" t="str">
        <f aca="false">IF(OR($A361&gt;TOMATO_BED_CAP,$B361&gt;CARROT_BED_CAP,K$4&gt;MESCLUN_BED_CAP,$A361+$B361+K$4&gt;TOTAL_BEDS_AVAILABLE,($D361+K$5)&gt;TOTAL_LABOR_HOURS_CAP,MAX(0,($D361+K$5)-PERMANENT_FIELD_LABOR_HOURS)&gt;TEMP_HOURS_CAP),"",$C361+K$6-MIN(($D361+K$5),PERMANENT_FIELD_LABOR_HOURS)*PERMANENT_HOURLY_RATE-MAX(0,($D361+K$5)-PERMANENT_FIELD_LABOR_HOURS)*TEMP_HOURLY_RATE-FIXED_SEASON_COST)</f>
        <v/>
      </c>
      <c r="L361" s="53" t="str">
        <f aca="false">IF(OR($A361&gt;TOMATO_BED_CAP,$B361&gt;CARROT_BED_CAP,L$4&gt;MESCLUN_BED_CAP,$A361+$B361+L$4&gt;TOTAL_BEDS_AVAILABLE,($D361+L$5)&gt;TOTAL_LABOR_HOURS_CAP,MAX(0,($D361+L$5)-PERMANENT_FIELD_LABOR_HOURS)&gt;TEMP_HOURS_CAP),"",$C361+L$6-MIN(($D361+L$5),PERMANENT_FIELD_LABOR_HOURS)*PERMANENT_HOURLY_RATE-MAX(0,($D361+L$5)-PERMANENT_FIELD_LABOR_HOURS)*TEMP_HOURLY_RATE-FIXED_SEASON_COST)</f>
        <v/>
      </c>
      <c r="M361" s="53" t="str">
        <f aca="false">IF(OR($A361&gt;TOMATO_BED_CAP,$B361&gt;CARROT_BED_CAP,M$4&gt;MESCLUN_BED_CAP,$A361+$B361+M$4&gt;TOTAL_BEDS_AVAILABLE,($D361+M$5)&gt;TOTAL_LABOR_HOURS_CAP,MAX(0,($D361+M$5)-PERMANENT_FIELD_LABOR_HOURS)&gt;TEMP_HOURS_CAP),"",$C361+M$6-MIN(($D361+M$5),PERMANENT_FIELD_LABOR_HOURS)*PERMANENT_HOURLY_RATE-MAX(0,($D361+M$5)-PERMANENT_FIELD_LABOR_HOURS)*TEMP_HOURLY_RATE-FIXED_SEASON_COST)</f>
        <v/>
      </c>
      <c r="N361" s="53" t="str">
        <f aca="false">IF(OR($A361&gt;TOMATO_BED_CAP,$B361&gt;CARROT_BED_CAP,N$4&gt;MESCLUN_BED_CAP,$A361+$B361+N$4&gt;TOTAL_BEDS_AVAILABLE,($D361+N$5)&gt;TOTAL_LABOR_HOURS_CAP,MAX(0,($D361+N$5)-PERMANENT_FIELD_LABOR_HOURS)&gt;TEMP_HOURS_CAP),"",$C361+N$6-MIN(($D361+N$5),PERMANENT_FIELD_LABOR_HOURS)*PERMANENT_HOURLY_RATE-MAX(0,($D361+N$5)-PERMANENT_FIELD_LABOR_HOURS)*TEMP_HOURLY_RATE-FIXED_SEASON_COST)</f>
        <v/>
      </c>
      <c r="O361" s="53" t="str">
        <f aca="false">IF(OR($A361&gt;TOMATO_BED_CAP,$B361&gt;CARROT_BED_CAP,O$4&gt;MESCLUN_BED_CAP,$A361+$B361+O$4&gt;TOTAL_BEDS_AVAILABLE,($D361+O$5)&gt;TOTAL_LABOR_HOURS_CAP,MAX(0,($D361+O$5)-PERMANENT_FIELD_LABOR_HOURS)&gt;TEMP_HOURS_CAP),"",$C361+O$6-MIN(($D361+O$5),PERMANENT_FIELD_LABOR_HOURS)*PERMANENT_HOURLY_RATE-MAX(0,($D361+O$5)-PERMANENT_FIELD_LABOR_HOURS)*TEMP_HOURLY_RATE-FIXED_SEASON_COST)</f>
        <v/>
      </c>
      <c r="P361" s="53" t="str">
        <f aca="false">IF(OR($A361&gt;TOMATO_BED_CAP,$B361&gt;CARROT_BED_CAP,P$4&gt;MESCLUN_BED_CAP,$A361+$B361+P$4&gt;TOTAL_BEDS_AVAILABLE,($D361+P$5)&gt;TOTAL_LABOR_HOURS_CAP,MAX(0,($D361+P$5)-PERMANENT_FIELD_LABOR_HOURS)&gt;TEMP_HOURS_CAP),"",$C361+P$6-MIN(($D361+P$5),PERMANENT_FIELD_LABOR_HOURS)*PERMANENT_HOURLY_RATE-MAX(0,($D361+P$5)-PERMANENT_FIELD_LABOR_HOURS)*TEMP_HOURLY_RATE-FIXED_SEASON_COST)</f>
        <v/>
      </c>
      <c r="Q361" s="53" t="str">
        <f aca="false">IF(OR($A361&gt;TOMATO_BED_CAP,$B361&gt;CARROT_BED_CAP,Q$4&gt;MESCLUN_BED_CAP,$A361+$B361+Q$4&gt;TOTAL_BEDS_AVAILABLE,($D361+Q$5)&gt;TOTAL_LABOR_HOURS_CAP,MAX(0,($D361+Q$5)-PERMANENT_FIELD_LABOR_HOURS)&gt;TEMP_HOURS_CAP),"",$C361+Q$6-MIN(($D361+Q$5),PERMANENT_FIELD_LABOR_HOURS)*PERMANENT_HOURLY_RATE-MAX(0,($D361+Q$5)-PERMANENT_FIELD_LABOR_HOURS)*TEMP_HOURLY_RATE-FIXED_SEASON_COST)</f>
        <v/>
      </c>
      <c r="R361" s="53" t="str">
        <f aca="false">IF(OR($A361&gt;TOMATO_BED_CAP,$B361&gt;CARROT_BED_CAP,R$4&gt;MESCLUN_BED_CAP,$A361+$B361+R$4&gt;TOTAL_BEDS_AVAILABLE,($D361+R$5)&gt;TOTAL_LABOR_HOURS_CAP,MAX(0,($D361+R$5)-PERMANENT_FIELD_LABOR_HOURS)&gt;TEMP_HOURS_CAP),"",$C361+R$6-MIN(($D361+R$5),PERMANENT_FIELD_LABOR_HOURS)*PERMANENT_HOURLY_RATE-MAX(0,($D361+R$5)-PERMANENT_FIELD_LABOR_HOURS)*TEMP_HOURLY_RATE-FIXED_SEASON_COST)</f>
        <v/>
      </c>
      <c r="S361" s="53" t="str">
        <f aca="false">IF(OR($A361&gt;TOMATO_BED_CAP,$B361&gt;CARROT_BED_CAP,S$4&gt;MESCLUN_BED_CAP,$A361+$B361+S$4&gt;TOTAL_BEDS_AVAILABLE,($D361+S$5)&gt;TOTAL_LABOR_HOURS_CAP,MAX(0,($D361+S$5)-PERMANENT_FIELD_LABOR_HOURS)&gt;TEMP_HOURS_CAP),"",$C361+S$6-MIN(($D361+S$5),PERMANENT_FIELD_LABOR_HOURS)*PERMANENT_HOURLY_RATE-MAX(0,($D361+S$5)-PERMANENT_FIELD_LABOR_HOURS)*TEMP_HOURLY_RATE-FIXED_SEASON_COST)</f>
        <v/>
      </c>
      <c r="T361" s="53" t="str">
        <f aca="false">IF(OR($A361&gt;TOMATO_BED_CAP,$B361&gt;CARROT_BED_CAP,T$4&gt;MESCLUN_BED_CAP,$A361+$B361+T$4&gt;TOTAL_BEDS_AVAILABLE,($D361+T$5)&gt;TOTAL_LABOR_HOURS_CAP,MAX(0,($D361+T$5)-PERMANENT_FIELD_LABOR_HOURS)&gt;TEMP_HOURS_CAP),"",$C361+T$6-MIN(($D361+T$5),PERMANENT_FIELD_LABOR_HOURS)*PERMANENT_HOURLY_RATE-MAX(0,($D361+T$5)-PERMANENT_FIELD_LABOR_HOURS)*TEMP_HOURLY_RATE-FIXED_SEASON_COST)</f>
        <v/>
      </c>
      <c r="U361" s="53" t="str">
        <f aca="false">IF(OR($A361&gt;TOMATO_BED_CAP,$B361&gt;CARROT_BED_CAP,U$4&gt;MESCLUN_BED_CAP,$A361+$B361+U$4&gt;TOTAL_BEDS_AVAILABLE,($D361+U$5)&gt;TOTAL_LABOR_HOURS_CAP,MAX(0,($D361+U$5)-PERMANENT_FIELD_LABOR_HOURS)&gt;TEMP_HOURS_CAP),"",$C361+U$6-MIN(($D361+U$5),PERMANENT_FIELD_LABOR_HOURS)*PERMANENT_HOURLY_RATE-MAX(0,($D361+U$5)-PERMANENT_FIELD_LABOR_HOURS)*TEMP_HOURLY_RATE-FIXED_SEASON_COST)</f>
        <v/>
      </c>
      <c r="V361" s="53" t="str">
        <f aca="false">IF(OR($A361&gt;TOMATO_BED_CAP,$B361&gt;CARROT_BED_CAP,V$4&gt;MESCLUN_BED_CAP,$A361+$B361+V$4&gt;TOTAL_BEDS_AVAILABLE,($D361+V$5)&gt;TOTAL_LABOR_HOURS_CAP,MAX(0,($D361+V$5)-PERMANENT_FIELD_LABOR_HOURS)&gt;TEMP_HOURS_CAP),"",$C361+V$6-MIN(($D361+V$5),PERMANENT_FIELD_LABOR_HOURS)*PERMANENT_HOURLY_RATE-MAX(0,($D361+V$5)-PERMANENT_FIELD_LABOR_HOURS)*TEMP_HOURLY_RATE-FIXED_SEASON_COST)</f>
        <v/>
      </c>
      <c r="W361" s="53" t="str">
        <f aca="false">IF(OR($A361&gt;TOMATO_BED_CAP,$B361&gt;CARROT_BED_CAP,W$4&gt;MESCLUN_BED_CAP,$A361+$B361+W$4&gt;TOTAL_BEDS_AVAILABLE,($D361+W$5)&gt;TOTAL_LABOR_HOURS_CAP,MAX(0,($D361+W$5)-PERMANENT_FIELD_LABOR_HOURS)&gt;TEMP_HOURS_CAP),"",$C361+W$6-MIN(($D361+W$5),PERMANENT_FIELD_LABOR_HOURS)*PERMANENT_HOURLY_RATE-MAX(0,($D361+W$5)-PERMANENT_FIELD_LABOR_HOURS)*TEMP_HOURLY_RATE-FIXED_SEASON_COST)</f>
        <v/>
      </c>
      <c r="X361" s="53" t="str">
        <f aca="false">IF(OR($A361&gt;TOMATO_BED_CAP,$B361&gt;CARROT_BED_CAP,X$4&gt;MESCLUN_BED_CAP,$A361+$B361+X$4&gt;TOTAL_BEDS_AVAILABLE,($D361+X$5)&gt;TOTAL_LABOR_HOURS_CAP,MAX(0,($D361+X$5)-PERMANENT_FIELD_LABOR_HOURS)&gt;TEMP_HOURS_CAP),"",$C361+X$6-MIN(($D361+X$5),PERMANENT_FIELD_LABOR_HOURS)*PERMANENT_HOURLY_RATE-MAX(0,($D361+X$5)-PERMANENT_FIELD_LABOR_HOURS)*TEMP_HOURLY_RATE-FIXED_SEASON_COST)</f>
        <v/>
      </c>
      <c r="Y361" s="53" t="str">
        <f aca="false">IF(OR($A361&gt;TOMATO_BED_CAP,$B361&gt;CARROT_BED_CAP,Y$4&gt;MESCLUN_BED_CAP,$A361+$B361+Y$4&gt;TOTAL_BEDS_AVAILABLE,($D361+Y$5)&gt;TOTAL_LABOR_HOURS_CAP,MAX(0,($D361+Y$5)-PERMANENT_FIELD_LABOR_HOURS)&gt;TEMP_HOURS_CAP),"",$C361+Y$6-MIN(($D361+Y$5),PERMANENT_FIELD_LABOR_HOURS)*PERMANENT_HOURLY_RATE-MAX(0,($D361+Y$5)-PERMANENT_FIELD_LABOR_HOURS)*TEMP_HOURLY_RATE-FIXED_SEASON_COST)</f>
        <v/>
      </c>
      <c r="Z361" s="53" t="str">
        <f aca="false">IF(OR($A361&gt;TOMATO_BED_CAP,$B361&gt;CARROT_BED_CAP,Z$4&gt;MESCLUN_BED_CAP,$A361+$B361+Z$4&gt;TOTAL_BEDS_AVAILABLE,($D361+Z$5)&gt;TOTAL_LABOR_HOURS_CAP,MAX(0,($D361+Z$5)-PERMANENT_FIELD_LABOR_HOURS)&gt;TEMP_HOURS_CAP),"",$C361+Z$6-MIN(($D361+Z$5),PERMANENT_FIELD_LABOR_HOURS)*PERMANENT_HOURLY_RATE-MAX(0,($D361+Z$5)-PERMANENT_FIELD_LABOR_HOURS)*TEMP_HOURLY_RATE-FIXED_SEASON_COST)</f>
        <v/>
      </c>
      <c r="AA361" s="53" t="str">
        <f aca="false">IF(OR($A361&gt;TOMATO_BED_CAP,$B361&gt;CARROT_BED_CAP,AA$4&gt;MESCLUN_BED_CAP,$A361+$B361+AA$4&gt;TOTAL_BEDS_AVAILABLE,($D361+AA$5)&gt;TOTAL_LABOR_HOURS_CAP,MAX(0,($D361+AA$5)-PERMANENT_FIELD_LABOR_HOURS)&gt;TEMP_HOURS_CAP),"",$C361+AA$6-MIN(($D361+AA$5),PERMANENT_FIELD_LABOR_HOURS)*PERMANENT_HOURLY_RATE-MAX(0,($D361+AA$5)-PERMANENT_FIELD_LABOR_HOURS)*TEMP_HOURLY_RATE-FIXED_SEASON_COST)</f>
        <v/>
      </c>
      <c r="AB361" s="53" t="str">
        <f aca="false">IF(OR($A361&gt;TOMATO_BED_CAP,$B361&gt;CARROT_BED_CAP,AB$4&gt;MESCLUN_BED_CAP,$A361+$B361+AB$4&gt;TOTAL_BEDS_AVAILABLE,($D361+AB$5)&gt;TOTAL_LABOR_HOURS_CAP,MAX(0,($D361+AB$5)-PERMANENT_FIELD_LABOR_HOURS)&gt;TEMP_HOURS_CAP),"",$C361+AB$6-MIN(($D361+AB$5),PERMANENT_FIELD_LABOR_HOURS)*PERMANENT_HOURLY_RATE-MAX(0,($D361+AB$5)-PERMANENT_FIELD_LABOR_HOURS)*TEMP_HOURLY_RATE-FIXED_SEASON_COST)</f>
        <v/>
      </c>
      <c r="AC361" s="53" t="str">
        <f aca="false">IF(OR($A361&gt;TOMATO_BED_CAP,$B361&gt;CARROT_BED_CAP,AC$4&gt;MESCLUN_BED_CAP,$A361+$B361+AC$4&gt;TOTAL_BEDS_AVAILABLE,($D361+AC$5)&gt;TOTAL_LABOR_HOURS_CAP,MAX(0,($D361+AC$5)-PERMANENT_FIELD_LABOR_HOURS)&gt;TEMP_HOURS_CAP),"",$C361+AC$6-MIN(($D361+AC$5),PERMANENT_FIELD_LABOR_HOURS)*PERMANENT_HOURLY_RATE-MAX(0,($D361+AC$5)-PERMANENT_FIELD_LABOR_HOURS)*TEMP_HOURLY_RATE-FIXED_SEASON_COST)</f>
        <v/>
      </c>
      <c r="AD361" s="53" t="str">
        <f aca="false">IF(OR($A361&gt;TOMATO_BED_CAP,$B361&gt;CARROT_BED_CAP,AD$4&gt;MESCLUN_BED_CAP,$A361+$B361+AD$4&gt;TOTAL_BEDS_AVAILABLE,($D361+AD$5)&gt;TOTAL_LABOR_HOURS_CAP,MAX(0,($D361+AD$5)-PERMANENT_FIELD_LABOR_HOURS)&gt;TEMP_HOURS_CAP),"",$C361+AD$6-MIN(($D361+AD$5),PERMANENT_FIELD_LABOR_HOURS)*PERMANENT_HOURLY_RATE-MAX(0,($D361+AD$5)-PERMANENT_FIELD_LABOR_HOURS)*TEMP_HOURLY_RATE-FIXED_SEASON_COST)</f>
        <v/>
      </c>
      <c r="AE361" s="53" t="str">
        <f aca="false">IF(OR($A361&gt;TOMATO_BED_CAP,$B361&gt;CARROT_BED_CAP,AE$4&gt;MESCLUN_BED_CAP,$A361+$B361+AE$4&gt;TOTAL_BEDS_AVAILABLE,($D361+AE$5)&gt;TOTAL_LABOR_HOURS_CAP,MAX(0,($D361+AE$5)-PERMANENT_FIELD_LABOR_HOURS)&gt;TEMP_HOURS_CAP),"",$C361+AE$6-MIN(($D361+AE$5),PERMANENT_FIELD_LABOR_HOURS)*PERMANENT_HOURLY_RATE-MAX(0,($D361+AE$5)-PERMANENT_FIELD_LABOR_HOURS)*TEMP_HOURLY_RATE-FIXED_SEASON_COST)</f>
        <v/>
      </c>
      <c r="AF361" s="53" t="str">
        <f aca="false">IF(OR($A361&gt;TOMATO_BED_CAP,$B361&gt;CARROT_BED_CAP,AF$4&gt;MESCLUN_BED_CAP,$A361+$B361+AF$4&gt;TOTAL_BEDS_AVAILABLE,($D361+AF$5)&gt;TOTAL_LABOR_HOURS_CAP,MAX(0,($D361+AF$5)-PERMANENT_FIELD_LABOR_HOURS)&gt;TEMP_HOURS_CAP),"",$C361+AF$6-MIN(($D361+AF$5),PERMANENT_FIELD_LABOR_HOURS)*PERMANENT_HOURLY_RATE-MAX(0,($D361+AF$5)-PERMANENT_FIELD_LABOR_HOURS)*TEMP_HOURLY_RATE-FIXED_SEASON_COST)</f>
        <v/>
      </c>
      <c r="AG361" s="53" t="str">
        <f aca="false">IF(OR($A361&gt;TOMATO_BED_CAP,$B361&gt;CARROT_BED_CAP,AG$4&gt;MESCLUN_BED_CAP,$A361+$B361+AG$4&gt;TOTAL_BEDS_AVAILABLE,($D361+AG$5)&gt;TOTAL_LABOR_HOURS_CAP,MAX(0,($D361+AG$5)-PERMANENT_FIELD_LABOR_HOURS)&gt;TEMP_HOURS_CAP),"",$C361+AG$6-MIN(($D361+AG$5),PERMANENT_FIELD_LABOR_HOURS)*PERMANENT_HOURLY_RATE-MAX(0,($D361+AG$5)-PERMANENT_FIELD_LABOR_HOURS)*TEMP_HOURLY_RATE-FIXED_SEASON_COST)</f>
        <v/>
      </c>
      <c r="AH361" s="53" t="str">
        <f aca="false">IF(OR($A361&gt;TOMATO_BED_CAP,$B361&gt;CARROT_BED_CAP,AH$4&gt;MESCLUN_BED_CAP,$A361+$B361+AH$4&gt;TOTAL_BEDS_AVAILABLE,($D361+AH$5)&gt;TOTAL_LABOR_HOURS_CAP,MAX(0,($D361+AH$5)-PERMANENT_FIELD_LABOR_HOURS)&gt;TEMP_HOURS_CAP),"",$C361+AH$6-MIN(($D361+AH$5),PERMANENT_FIELD_LABOR_HOURS)*PERMANENT_HOURLY_RATE-MAX(0,($D361+AH$5)-PERMANENT_FIELD_LABOR_HOURS)*TEMP_HOURLY_RATE-FIXED_SEASON_COST)</f>
        <v/>
      </c>
      <c r="AI361" s="53" t="str">
        <f aca="false">IF(OR($A361&gt;TOMATO_BED_CAP,$B361&gt;CARROT_BED_CAP,AI$4&gt;MESCLUN_BED_CAP,$A361+$B361+AI$4&gt;TOTAL_BEDS_AVAILABLE,($D361+AI$5)&gt;TOTAL_LABOR_HOURS_CAP,MAX(0,($D361+AI$5)-PERMANENT_FIELD_LABOR_HOURS)&gt;TEMP_HOURS_CAP),"",$C361+AI$6-MIN(($D361+AI$5),PERMANENT_FIELD_LABOR_HOURS)*PERMANENT_HOURLY_RATE-MAX(0,($D361+AI$5)-PERMANENT_FIELD_LABOR_HOURS)*TEMP_HOURLY_RATE-FIXED_SEASON_COST)</f>
        <v/>
      </c>
      <c r="AJ361" s="53" t="str">
        <f aca="false">IF(OR($A361&gt;TOMATO_BED_CAP,$B361&gt;CARROT_BED_CAP,AJ$4&gt;MESCLUN_BED_CAP,$A361+$B361+AJ$4&gt;TOTAL_BEDS_AVAILABLE,($D361+AJ$5)&gt;TOTAL_LABOR_HOURS_CAP,MAX(0,($D361+AJ$5)-PERMANENT_FIELD_LABOR_HOURS)&gt;TEMP_HOURS_CAP),"",$C361+AJ$6-MIN(($D361+AJ$5),PERMANENT_FIELD_LABOR_HOURS)*PERMANENT_HOURLY_RATE-MAX(0,($D361+AJ$5)-PERMANENT_FIELD_LABOR_HOURS)*TEMP_HOURLY_RATE-FIXED_SEASON_COST)</f>
        <v/>
      </c>
    </row>
    <row r="362" customFormat="false" ht="15" hidden="false" customHeight="false" outlineLevel="0" collapsed="false">
      <c r="A362" s="21" t="n">
        <f aca="false">INT((ROW()-ROW($A$8))/(20+1))</f>
        <v>16</v>
      </c>
      <c r="B362" s="21" t="n">
        <f aca="false">MOD(ROW()-ROW($A$8),20+1)</f>
        <v>18</v>
      </c>
      <c r="C362" s="13" t="n">
        <f aca="false">A362*(TOMATO_REVENUE_PER_BED-TOMATO_FERTILIZER_PER_BED)+B362*(CARROT_REVENUE_PER_BED-CARROT_FERTILIZER_PER_BED)</f>
        <v>156492</v>
      </c>
      <c r="D362" s="14" t="n">
        <f aca="false">INDEX(TOMATO_SCHED_LABOR_HRS,A362+1)+INDEX(CARROT_SCHED_LABOR_HRS,B362+1)</f>
        <v>7458.63992163289</v>
      </c>
      <c r="E362" s="13" t="str">
        <f aca="false">IF(COUNT(F362:AJ362)=0,"",MAX(F362:AJ362))</f>
        <v/>
      </c>
      <c r="F362" s="53" t="str">
        <f aca="false">IF(OR($A362&gt;TOMATO_BED_CAP,$B362&gt;CARROT_BED_CAP,F$4&gt;MESCLUN_BED_CAP,$A362+$B362+F$4&gt;TOTAL_BEDS_AVAILABLE,($D362+F$5)&gt;TOTAL_LABOR_HOURS_CAP,MAX(0,($D362+F$5)-PERMANENT_FIELD_LABOR_HOURS)&gt;TEMP_HOURS_CAP),"",$C362+F$6-MIN(($D362+F$5),PERMANENT_FIELD_LABOR_HOURS)*PERMANENT_HOURLY_RATE-MAX(0,($D362+F$5)-PERMANENT_FIELD_LABOR_HOURS)*TEMP_HOURLY_RATE-FIXED_SEASON_COST)</f>
        <v/>
      </c>
      <c r="G362" s="53" t="str">
        <f aca="false">IF(OR($A362&gt;TOMATO_BED_CAP,$B362&gt;CARROT_BED_CAP,G$4&gt;MESCLUN_BED_CAP,$A362+$B362+G$4&gt;TOTAL_BEDS_AVAILABLE,($D362+G$5)&gt;TOTAL_LABOR_HOURS_CAP,MAX(0,($D362+G$5)-PERMANENT_FIELD_LABOR_HOURS)&gt;TEMP_HOURS_CAP),"",$C362+G$6-MIN(($D362+G$5),PERMANENT_FIELD_LABOR_HOURS)*PERMANENT_HOURLY_RATE-MAX(0,($D362+G$5)-PERMANENT_FIELD_LABOR_HOURS)*TEMP_HOURLY_RATE-FIXED_SEASON_COST)</f>
        <v/>
      </c>
      <c r="H362" s="53" t="str">
        <f aca="false">IF(OR($A362&gt;TOMATO_BED_CAP,$B362&gt;CARROT_BED_CAP,H$4&gt;MESCLUN_BED_CAP,$A362+$B362+H$4&gt;TOTAL_BEDS_AVAILABLE,($D362+H$5)&gt;TOTAL_LABOR_HOURS_CAP,MAX(0,($D362+H$5)-PERMANENT_FIELD_LABOR_HOURS)&gt;TEMP_HOURS_CAP),"",$C362+H$6-MIN(($D362+H$5),PERMANENT_FIELD_LABOR_HOURS)*PERMANENT_HOURLY_RATE-MAX(0,($D362+H$5)-PERMANENT_FIELD_LABOR_HOURS)*TEMP_HOURLY_RATE-FIXED_SEASON_COST)</f>
        <v/>
      </c>
      <c r="I362" s="53" t="str">
        <f aca="false">IF(OR($A362&gt;TOMATO_BED_CAP,$B362&gt;CARROT_BED_CAP,I$4&gt;MESCLUN_BED_CAP,$A362+$B362+I$4&gt;TOTAL_BEDS_AVAILABLE,($D362+I$5)&gt;TOTAL_LABOR_HOURS_CAP,MAX(0,($D362+I$5)-PERMANENT_FIELD_LABOR_HOURS)&gt;TEMP_HOURS_CAP),"",$C362+I$6-MIN(($D362+I$5),PERMANENT_FIELD_LABOR_HOURS)*PERMANENT_HOURLY_RATE-MAX(0,($D362+I$5)-PERMANENT_FIELD_LABOR_HOURS)*TEMP_HOURLY_RATE-FIXED_SEASON_COST)</f>
        <v/>
      </c>
      <c r="J362" s="53" t="str">
        <f aca="false">IF(OR($A362&gt;TOMATO_BED_CAP,$B362&gt;CARROT_BED_CAP,J$4&gt;MESCLUN_BED_CAP,$A362+$B362+J$4&gt;TOTAL_BEDS_AVAILABLE,($D362+J$5)&gt;TOTAL_LABOR_HOURS_CAP,MAX(0,($D362+J$5)-PERMANENT_FIELD_LABOR_HOURS)&gt;TEMP_HOURS_CAP),"",$C362+J$6-MIN(($D362+J$5),PERMANENT_FIELD_LABOR_HOURS)*PERMANENT_HOURLY_RATE-MAX(0,($D362+J$5)-PERMANENT_FIELD_LABOR_HOURS)*TEMP_HOURLY_RATE-FIXED_SEASON_COST)</f>
        <v/>
      </c>
      <c r="K362" s="53" t="str">
        <f aca="false">IF(OR($A362&gt;TOMATO_BED_CAP,$B362&gt;CARROT_BED_CAP,K$4&gt;MESCLUN_BED_CAP,$A362+$B362+K$4&gt;TOTAL_BEDS_AVAILABLE,($D362+K$5)&gt;TOTAL_LABOR_HOURS_CAP,MAX(0,($D362+K$5)-PERMANENT_FIELD_LABOR_HOURS)&gt;TEMP_HOURS_CAP),"",$C362+K$6-MIN(($D362+K$5),PERMANENT_FIELD_LABOR_HOURS)*PERMANENT_HOURLY_RATE-MAX(0,($D362+K$5)-PERMANENT_FIELD_LABOR_HOURS)*TEMP_HOURLY_RATE-FIXED_SEASON_COST)</f>
        <v/>
      </c>
      <c r="L362" s="53" t="str">
        <f aca="false">IF(OR($A362&gt;TOMATO_BED_CAP,$B362&gt;CARROT_BED_CAP,L$4&gt;MESCLUN_BED_CAP,$A362+$B362+L$4&gt;TOTAL_BEDS_AVAILABLE,($D362+L$5)&gt;TOTAL_LABOR_HOURS_CAP,MAX(0,($D362+L$5)-PERMANENT_FIELD_LABOR_HOURS)&gt;TEMP_HOURS_CAP),"",$C362+L$6-MIN(($D362+L$5),PERMANENT_FIELD_LABOR_HOURS)*PERMANENT_HOURLY_RATE-MAX(0,($D362+L$5)-PERMANENT_FIELD_LABOR_HOURS)*TEMP_HOURLY_RATE-FIXED_SEASON_COST)</f>
        <v/>
      </c>
      <c r="M362" s="53" t="str">
        <f aca="false">IF(OR($A362&gt;TOMATO_BED_CAP,$B362&gt;CARROT_BED_CAP,M$4&gt;MESCLUN_BED_CAP,$A362+$B362+M$4&gt;TOTAL_BEDS_AVAILABLE,($D362+M$5)&gt;TOTAL_LABOR_HOURS_CAP,MAX(0,($D362+M$5)-PERMANENT_FIELD_LABOR_HOURS)&gt;TEMP_HOURS_CAP),"",$C362+M$6-MIN(($D362+M$5),PERMANENT_FIELD_LABOR_HOURS)*PERMANENT_HOURLY_RATE-MAX(0,($D362+M$5)-PERMANENT_FIELD_LABOR_HOURS)*TEMP_HOURLY_RATE-FIXED_SEASON_COST)</f>
        <v/>
      </c>
      <c r="N362" s="53" t="str">
        <f aca="false">IF(OR($A362&gt;TOMATO_BED_CAP,$B362&gt;CARROT_BED_CAP,N$4&gt;MESCLUN_BED_CAP,$A362+$B362+N$4&gt;TOTAL_BEDS_AVAILABLE,($D362+N$5)&gt;TOTAL_LABOR_HOURS_CAP,MAX(0,($D362+N$5)-PERMANENT_FIELD_LABOR_HOURS)&gt;TEMP_HOURS_CAP),"",$C362+N$6-MIN(($D362+N$5),PERMANENT_FIELD_LABOR_HOURS)*PERMANENT_HOURLY_RATE-MAX(0,($D362+N$5)-PERMANENT_FIELD_LABOR_HOURS)*TEMP_HOURLY_RATE-FIXED_SEASON_COST)</f>
        <v/>
      </c>
      <c r="O362" s="53" t="str">
        <f aca="false">IF(OR($A362&gt;TOMATO_BED_CAP,$B362&gt;CARROT_BED_CAP,O$4&gt;MESCLUN_BED_CAP,$A362+$B362+O$4&gt;TOTAL_BEDS_AVAILABLE,($D362+O$5)&gt;TOTAL_LABOR_HOURS_CAP,MAX(0,($D362+O$5)-PERMANENT_FIELD_LABOR_HOURS)&gt;TEMP_HOURS_CAP),"",$C362+O$6-MIN(($D362+O$5),PERMANENT_FIELD_LABOR_HOURS)*PERMANENT_HOURLY_RATE-MAX(0,($D362+O$5)-PERMANENT_FIELD_LABOR_HOURS)*TEMP_HOURLY_RATE-FIXED_SEASON_COST)</f>
        <v/>
      </c>
      <c r="P362" s="53" t="str">
        <f aca="false">IF(OR($A362&gt;TOMATO_BED_CAP,$B362&gt;CARROT_BED_CAP,P$4&gt;MESCLUN_BED_CAP,$A362+$B362+P$4&gt;TOTAL_BEDS_AVAILABLE,($D362+P$5)&gt;TOTAL_LABOR_HOURS_CAP,MAX(0,($D362+P$5)-PERMANENT_FIELD_LABOR_HOURS)&gt;TEMP_HOURS_CAP),"",$C362+P$6-MIN(($D362+P$5),PERMANENT_FIELD_LABOR_HOURS)*PERMANENT_HOURLY_RATE-MAX(0,($D362+P$5)-PERMANENT_FIELD_LABOR_HOURS)*TEMP_HOURLY_RATE-FIXED_SEASON_COST)</f>
        <v/>
      </c>
      <c r="Q362" s="53" t="str">
        <f aca="false">IF(OR($A362&gt;TOMATO_BED_CAP,$B362&gt;CARROT_BED_CAP,Q$4&gt;MESCLUN_BED_CAP,$A362+$B362+Q$4&gt;TOTAL_BEDS_AVAILABLE,($D362+Q$5)&gt;TOTAL_LABOR_HOURS_CAP,MAX(0,($D362+Q$5)-PERMANENT_FIELD_LABOR_HOURS)&gt;TEMP_HOURS_CAP),"",$C362+Q$6-MIN(($D362+Q$5),PERMANENT_FIELD_LABOR_HOURS)*PERMANENT_HOURLY_RATE-MAX(0,($D362+Q$5)-PERMANENT_FIELD_LABOR_HOURS)*TEMP_HOURLY_RATE-FIXED_SEASON_COST)</f>
        <v/>
      </c>
      <c r="R362" s="53" t="str">
        <f aca="false">IF(OR($A362&gt;TOMATO_BED_CAP,$B362&gt;CARROT_BED_CAP,R$4&gt;MESCLUN_BED_CAP,$A362+$B362+R$4&gt;TOTAL_BEDS_AVAILABLE,($D362+R$5)&gt;TOTAL_LABOR_HOURS_CAP,MAX(0,($D362+R$5)-PERMANENT_FIELD_LABOR_HOURS)&gt;TEMP_HOURS_CAP),"",$C362+R$6-MIN(($D362+R$5),PERMANENT_FIELD_LABOR_HOURS)*PERMANENT_HOURLY_RATE-MAX(0,($D362+R$5)-PERMANENT_FIELD_LABOR_HOURS)*TEMP_HOURLY_RATE-FIXED_SEASON_COST)</f>
        <v/>
      </c>
      <c r="S362" s="53" t="str">
        <f aca="false">IF(OR($A362&gt;TOMATO_BED_CAP,$B362&gt;CARROT_BED_CAP,S$4&gt;MESCLUN_BED_CAP,$A362+$B362+S$4&gt;TOTAL_BEDS_AVAILABLE,($D362+S$5)&gt;TOTAL_LABOR_HOURS_CAP,MAX(0,($D362+S$5)-PERMANENT_FIELD_LABOR_HOURS)&gt;TEMP_HOURS_CAP),"",$C362+S$6-MIN(($D362+S$5),PERMANENT_FIELD_LABOR_HOURS)*PERMANENT_HOURLY_RATE-MAX(0,($D362+S$5)-PERMANENT_FIELD_LABOR_HOURS)*TEMP_HOURLY_RATE-FIXED_SEASON_COST)</f>
        <v/>
      </c>
      <c r="T362" s="53" t="str">
        <f aca="false">IF(OR($A362&gt;TOMATO_BED_CAP,$B362&gt;CARROT_BED_CAP,T$4&gt;MESCLUN_BED_CAP,$A362+$B362+T$4&gt;TOTAL_BEDS_AVAILABLE,($D362+T$5)&gt;TOTAL_LABOR_HOURS_CAP,MAX(0,($D362+T$5)-PERMANENT_FIELD_LABOR_HOURS)&gt;TEMP_HOURS_CAP),"",$C362+T$6-MIN(($D362+T$5),PERMANENT_FIELD_LABOR_HOURS)*PERMANENT_HOURLY_RATE-MAX(0,($D362+T$5)-PERMANENT_FIELD_LABOR_HOURS)*TEMP_HOURLY_RATE-FIXED_SEASON_COST)</f>
        <v/>
      </c>
      <c r="U362" s="53" t="str">
        <f aca="false">IF(OR($A362&gt;TOMATO_BED_CAP,$B362&gt;CARROT_BED_CAP,U$4&gt;MESCLUN_BED_CAP,$A362+$B362+U$4&gt;TOTAL_BEDS_AVAILABLE,($D362+U$5)&gt;TOTAL_LABOR_HOURS_CAP,MAX(0,($D362+U$5)-PERMANENT_FIELD_LABOR_HOURS)&gt;TEMP_HOURS_CAP),"",$C362+U$6-MIN(($D362+U$5),PERMANENT_FIELD_LABOR_HOURS)*PERMANENT_HOURLY_RATE-MAX(0,($D362+U$5)-PERMANENT_FIELD_LABOR_HOURS)*TEMP_HOURLY_RATE-FIXED_SEASON_COST)</f>
        <v/>
      </c>
      <c r="V362" s="53" t="str">
        <f aca="false">IF(OR($A362&gt;TOMATO_BED_CAP,$B362&gt;CARROT_BED_CAP,V$4&gt;MESCLUN_BED_CAP,$A362+$B362+V$4&gt;TOTAL_BEDS_AVAILABLE,($D362+V$5)&gt;TOTAL_LABOR_HOURS_CAP,MAX(0,($D362+V$5)-PERMANENT_FIELD_LABOR_HOURS)&gt;TEMP_HOURS_CAP),"",$C362+V$6-MIN(($D362+V$5),PERMANENT_FIELD_LABOR_HOURS)*PERMANENT_HOURLY_RATE-MAX(0,($D362+V$5)-PERMANENT_FIELD_LABOR_HOURS)*TEMP_HOURLY_RATE-FIXED_SEASON_COST)</f>
        <v/>
      </c>
      <c r="W362" s="53" t="str">
        <f aca="false">IF(OR($A362&gt;TOMATO_BED_CAP,$B362&gt;CARROT_BED_CAP,W$4&gt;MESCLUN_BED_CAP,$A362+$B362+W$4&gt;TOTAL_BEDS_AVAILABLE,($D362+W$5)&gt;TOTAL_LABOR_HOURS_CAP,MAX(0,($D362+W$5)-PERMANENT_FIELD_LABOR_HOURS)&gt;TEMP_HOURS_CAP),"",$C362+W$6-MIN(($D362+W$5),PERMANENT_FIELD_LABOR_HOURS)*PERMANENT_HOURLY_RATE-MAX(0,($D362+W$5)-PERMANENT_FIELD_LABOR_HOURS)*TEMP_HOURLY_RATE-FIXED_SEASON_COST)</f>
        <v/>
      </c>
      <c r="X362" s="53" t="str">
        <f aca="false">IF(OR($A362&gt;TOMATO_BED_CAP,$B362&gt;CARROT_BED_CAP,X$4&gt;MESCLUN_BED_CAP,$A362+$B362+X$4&gt;TOTAL_BEDS_AVAILABLE,($D362+X$5)&gt;TOTAL_LABOR_HOURS_CAP,MAX(0,($D362+X$5)-PERMANENT_FIELD_LABOR_HOURS)&gt;TEMP_HOURS_CAP),"",$C362+X$6-MIN(($D362+X$5),PERMANENT_FIELD_LABOR_HOURS)*PERMANENT_HOURLY_RATE-MAX(0,($D362+X$5)-PERMANENT_FIELD_LABOR_HOURS)*TEMP_HOURLY_RATE-FIXED_SEASON_COST)</f>
        <v/>
      </c>
      <c r="Y362" s="53" t="str">
        <f aca="false">IF(OR($A362&gt;TOMATO_BED_CAP,$B362&gt;CARROT_BED_CAP,Y$4&gt;MESCLUN_BED_CAP,$A362+$B362+Y$4&gt;TOTAL_BEDS_AVAILABLE,($D362+Y$5)&gt;TOTAL_LABOR_HOURS_CAP,MAX(0,($D362+Y$5)-PERMANENT_FIELD_LABOR_HOURS)&gt;TEMP_HOURS_CAP),"",$C362+Y$6-MIN(($D362+Y$5),PERMANENT_FIELD_LABOR_HOURS)*PERMANENT_HOURLY_RATE-MAX(0,($D362+Y$5)-PERMANENT_FIELD_LABOR_HOURS)*TEMP_HOURLY_RATE-FIXED_SEASON_COST)</f>
        <v/>
      </c>
      <c r="Z362" s="53" t="str">
        <f aca="false">IF(OR($A362&gt;TOMATO_BED_CAP,$B362&gt;CARROT_BED_CAP,Z$4&gt;MESCLUN_BED_CAP,$A362+$B362+Z$4&gt;TOTAL_BEDS_AVAILABLE,($D362+Z$5)&gt;TOTAL_LABOR_HOURS_CAP,MAX(0,($D362+Z$5)-PERMANENT_FIELD_LABOR_HOURS)&gt;TEMP_HOURS_CAP),"",$C362+Z$6-MIN(($D362+Z$5),PERMANENT_FIELD_LABOR_HOURS)*PERMANENT_HOURLY_RATE-MAX(0,($D362+Z$5)-PERMANENT_FIELD_LABOR_HOURS)*TEMP_HOURLY_RATE-FIXED_SEASON_COST)</f>
        <v/>
      </c>
      <c r="AA362" s="53" t="str">
        <f aca="false">IF(OR($A362&gt;TOMATO_BED_CAP,$B362&gt;CARROT_BED_CAP,AA$4&gt;MESCLUN_BED_CAP,$A362+$B362+AA$4&gt;TOTAL_BEDS_AVAILABLE,($D362+AA$5)&gt;TOTAL_LABOR_HOURS_CAP,MAX(0,($D362+AA$5)-PERMANENT_FIELD_LABOR_HOURS)&gt;TEMP_HOURS_CAP),"",$C362+AA$6-MIN(($D362+AA$5),PERMANENT_FIELD_LABOR_HOURS)*PERMANENT_HOURLY_RATE-MAX(0,($D362+AA$5)-PERMANENT_FIELD_LABOR_HOURS)*TEMP_HOURLY_RATE-FIXED_SEASON_COST)</f>
        <v/>
      </c>
      <c r="AB362" s="53" t="str">
        <f aca="false">IF(OR($A362&gt;TOMATO_BED_CAP,$B362&gt;CARROT_BED_CAP,AB$4&gt;MESCLUN_BED_CAP,$A362+$B362+AB$4&gt;TOTAL_BEDS_AVAILABLE,($D362+AB$5)&gt;TOTAL_LABOR_HOURS_CAP,MAX(0,($D362+AB$5)-PERMANENT_FIELD_LABOR_HOURS)&gt;TEMP_HOURS_CAP),"",$C362+AB$6-MIN(($D362+AB$5),PERMANENT_FIELD_LABOR_HOURS)*PERMANENT_HOURLY_RATE-MAX(0,($D362+AB$5)-PERMANENT_FIELD_LABOR_HOURS)*TEMP_HOURLY_RATE-FIXED_SEASON_COST)</f>
        <v/>
      </c>
      <c r="AC362" s="53" t="str">
        <f aca="false">IF(OR($A362&gt;TOMATO_BED_CAP,$B362&gt;CARROT_BED_CAP,AC$4&gt;MESCLUN_BED_CAP,$A362+$B362+AC$4&gt;TOTAL_BEDS_AVAILABLE,($D362+AC$5)&gt;TOTAL_LABOR_HOURS_CAP,MAX(0,($D362+AC$5)-PERMANENT_FIELD_LABOR_HOURS)&gt;TEMP_HOURS_CAP),"",$C362+AC$6-MIN(($D362+AC$5),PERMANENT_FIELD_LABOR_HOURS)*PERMANENT_HOURLY_RATE-MAX(0,($D362+AC$5)-PERMANENT_FIELD_LABOR_HOURS)*TEMP_HOURLY_RATE-FIXED_SEASON_COST)</f>
        <v/>
      </c>
      <c r="AD362" s="53" t="str">
        <f aca="false">IF(OR($A362&gt;TOMATO_BED_CAP,$B362&gt;CARROT_BED_CAP,AD$4&gt;MESCLUN_BED_CAP,$A362+$B362+AD$4&gt;TOTAL_BEDS_AVAILABLE,($D362+AD$5)&gt;TOTAL_LABOR_HOURS_CAP,MAX(0,($D362+AD$5)-PERMANENT_FIELD_LABOR_HOURS)&gt;TEMP_HOURS_CAP),"",$C362+AD$6-MIN(($D362+AD$5),PERMANENT_FIELD_LABOR_HOURS)*PERMANENT_HOURLY_RATE-MAX(0,($D362+AD$5)-PERMANENT_FIELD_LABOR_HOURS)*TEMP_HOURLY_RATE-FIXED_SEASON_COST)</f>
        <v/>
      </c>
      <c r="AE362" s="53" t="str">
        <f aca="false">IF(OR($A362&gt;TOMATO_BED_CAP,$B362&gt;CARROT_BED_CAP,AE$4&gt;MESCLUN_BED_CAP,$A362+$B362+AE$4&gt;TOTAL_BEDS_AVAILABLE,($D362+AE$5)&gt;TOTAL_LABOR_HOURS_CAP,MAX(0,($D362+AE$5)-PERMANENT_FIELD_LABOR_HOURS)&gt;TEMP_HOURS_CAP),"",$C362+AE$6-MIN(($D362+AE$5),PERMANENT_FIELD_LABOR_HOURS)*PERMANENT_HOURLY_RATE-MAX(0,($D362+AE$5)-PERMANENT_FIELD_LABOR_HOURS)*TEMP_HOURLY_RATE-FIXED_SEASON_COST)</f>
        <v/>
      </c>
      <c r="AF362" s="53" t="str">
        <f aca="false">IF(OR($A362&gt;TOMATO_BED_CAP,$B362&gt;CARROT_BED_CAP,AF$4&gt;MESCLUN_BED_CAP,$A362+$B362+AF$4&gt;TOTAL_BEDS_AVAILABLE,($D362+AF$5)&gt;TOTAL_LABOR_HOURS_CAP,MAX(0,($D362+AF$5)-PERMANENT_FIELD_LABOR_HOURS)&gt;TEMP_HOURS_CAP),"",$C362+AF$6-MIN(($D362+AF$5),PERMANENT_FIELD_LABOR_HOURS)*PERMANENT_HOURLY_RATE-MAX(0,($D362+AF$5)-PERMANENT_FIELD_LABOR_HOURS)*TEMP_HOURLY_RATE-FIXED_SEASON_COST)</f>
        <v/>
      </c>
      <c r="AG362" s="53" t="str">
        <f aca="false">IF(OR($A362&gt;TOMATO_BED_CAP,$B362&gt;CARROT_BED_CAP,AG$4&gt;MESCLUN_BED_CAP,$A362+$B362+AG$4&gt;TOTAL_BEDS_AVAILABLE,($D362+AG$5)&gt;TOTAL_LABOR_HOURS_CAP,MAX(0,($D362+AG$5)-PERMANENT_FIELD_LABOR_HOURS)&gt;TEMP_HOURS_CAP),"",$C362+AG$6-MIN(($D362+AG$5),PERMANENT_FIELD_LABOR_HOURS)*PERMANENT_HOURLY_RATE-MAX(0,($D362+AG$5)-PERMANENT_FIELD_LABOR_HOURS)*TEMP_HOURLY_RATE-FIXED_SEASON_COST)</f>
        <v/>
      </c>
      <c r="AH362" s="53" t="str">
        <f aca="false">IF(OR($A362&gt;TOMATO_BED_CAP,$B362&gt;CARROT_BED_CAP,AH$4&gt;MESCLUN_BED_CAP,$A362+$B362+AH$4&gt;TOTAL_BEDS_AVAILABLE,($D362+AH$5)&gt;TOTAL_LABOR_HOURS_CAP,MAX(0,($D362+AH$5)-PERMANENT_FIELD_LABOR_HOURS)&gt;TEMP_HOURS_CAP),"",$C362+AH$6-MIN(($D362+AH$5),PERMANENT_FIELD_LABOR_HOURS)*PERMANENT_HOURLY_RATE-MAX(0,($D362+AH$5)-PERMANENT_FIELD_LABOR_HOURS)*TEMP_HOURLY_RATE-FIXED_SEASON_COST)</f>
        <v/>
      </c>
      <c r="AI362" s="53" t="str">
        <f aca="false">IF(OR($A362&gt;TOMATO_BED_CAP,$B362&gt;CARROT_BED_CAP,AI$4&gt;MESCLUN_BED_CAP,$A362+$B362+AI$4&gt;TOTAL_BEDS_AVAILABLE,($D362+AI$5)&gt;TOTAL_LABOR_HOURS_CAP,MAX(0,($D362+AI$5)-PERMANENT_FIELD_LABOR_HOURS)&gt;TEMP_HOURS_CAP),"",$C362+AI$6-MIN(($D362+AI$5),PERMANENT_FIELD_LABOR_HOURS)*PERMANENT_HOURLY_RATE-MAX(0,($D362+AI$5)-PERMANENT_FIELD_LABOR_HOURS)*TEMP_HOURLY_RATE-FIXED_SEASON_COST)</f>
        <v/>
      </c>
      <c r="AJ362" s="53" t="str">
        <f aca="false">IF(OR($A362&gt;TOMATO_BED_CAP,$B362&gt;CARROT_BED_CAP,AJ$4&gt;MESCLUN_BED_CAP,$A362+$B362+AJ$4&gt;TOTAL_BEDS_AVAILABLE,($D362+AJ$5)&gt;TOTAL_LABOR_HOURS_CAP,MAX(0,($D362+AJ$5)-PERMANENT_FIELD_LABOR_HOURS)&gt;TEMP_HOURS_CAP),"",$C362+AJ$6-MIN(($D362+AJ$5),PERMANENT_FIELD_LABOR_HOURS)*PERMANENT_HOURLY_RATE-MAX(0,($D362+AJ$5)-PERMANENT_FIELD_LABOR_HOURS)*TEMP_HOURLY_RATE-FIXED_SEASON_COST)</f>
        <v/>
      </c>
    </row>
    <row r="363" customFormat="false" ht="15" hidden="false" customHeight="false" outlineLevel="0" collapsed="false">
      <c r="A363" s="21" t="n">
        <f aca="false">INT((ROW()-ROW($A$8))/(20+1))</f>
        <v>16</v>
      </c>
      <c r="B363" s="21" t="n">
        <f aca="false">MOD(ROW()-ROW($A$8),20+1)</f>
        <v>19</v>
      </c>
      <c r="C363" s="13" t="n">
        <f aca="false">A363*(TOMATO_REVENUE_PER_BED-TOMATO_FERTILIZER_PER_BED)+B363*(CARROT_REVENUE_PER_BED-CARROT_FERTILIZER_PER_BED)</f>
        <v>158146</v>
      </c>
      <c r="D363" s="14" t="n">
        <f aca="false">INDEX(TOMATO_SCHED_LABOR_HRS,A363+1)+INDEX(CARROT_SCHED_LABOR_HRS,B363+1)</f>
        <v>7527.6272139321</v>
      </c>
      <c r="E363" s="13" t="str">
        <f aca="false">IF(COUNT(F363:AJ363)=0,"",MAX(F363:AJ363))</f>
        <v/>
      </c>
      <c r="F363" s="53" t="str">
        <f aca="false">IF(OR($A363&gt;TOMATO_BED_CAP,$B363&gt;CARROT_BED_CAP,F$4&gt;MESCLUN_BED_CAP,$A363+$B363+F$4&gt;TOTAL_BEDS_AVAILABLE,($D363+F$5)&gt;TOTAL_LABOR_HOURS_CAP,MAX(0,($D363+F$5)-PERMANENT_FIELD_LABOR_HOURS)&gt;TEMP_HOURS_CAP),"",$C363+F$6-MIN(($D363+F$5),PERMANENT_FIELD_LABOR_HOURS)*PERMANENT_HOURLY_RATE-MAX(0,($D363+F$5)-PERMANENT_FIELD_LABOR_HOURS)*TEMP_HOURLY_RATE-FIXED_SEASON_COST)</f>
        <v/>
      </c>
      <c r="G363" s="53" t="str">
        <f aca="false">IF(OR($A363&gt;TOMATO_BED_CAP,$B363&gt;CARROT_BED_CAP,G$4&gt;MESCLUN_BED_CAP,$A363+$B363+G$4&gt;TOTAL_BEDS_AVAILABLE,($D363+G$5)&gt;TOTAL_LABOR_HOURS_CAP,MAX(0,($D363+G$5)-PERMANENT_FIELD_LABOR_HOURS)&gt;TEMP_HOURS_CAP),"",$C363+G$6-MIN(($D363+G$5),PERMANENT_FIELD_LABOR_HOURS)*PERMANENT_HOURLY_RATE-MAX(0,($D363+G$5)-PERMANENT_FIELD_LABOR_HOURS)*TEMP_HOURLY_RATE-FIXED_SEASON_COST)</f>
        <v/>
      </c>
      <c r="H363" s="53" t="str">
        <f aca="false">IF(OR($A363&gt;TOMATO_BED_CAP,$B363&gt;CARROT_BED_CAP,H$4&gt;MESCLUN_BED_CAP,$A363+$B363+H$4&gt;TOTAL_BEDS_AVAILABLE,($D363+H$5)&gt;TOTAL_LABOR_HOURS_CAP,MAX(0,($D363+H$5)-PERMANENT_FIELD_LABOR_HOURS)&gt;TEMP_HOURS_CAP),"",$C363+H$6-MIN(($D363+H$5),PERMANENT_FIELD_LABOR_HOURS)*PERMANENT_HOURLY_RATE-MAX(0,($D363+H$5)-PERMANENT_FIELD_LABOR_HOURS)*TEMP_HOURLY_RATE-FIXED_SEASON_COST)</f>
        <v/>
      </c>
      <c r="I363" s="53" t="str">
        <f aca="false">IF(OR($A363&gt;TOMATO_BED_CAP,$B363&gt;CARROT_BED_CAP,I$4&gt;MESCLUN_BED_CAP,$A363+$B363+I$4&gt;TOTAL_BEDS_AVAILABLE,($D363+I$5)&gt;TOTAL_LABOR_HOURS_CAP,MAX(0,($D363+I$5)-PERMANENT_FIELD_LABOR_HOURS)&gt;TEMP_HOURS_CAP),"",$C363+I$6-MIN(($D363+I$5),PERMANENT_FIELD_LABOR_HOURS)*PERMANENT_HOURLY_RATE-MAX(0,($D363+I$5)-PERMANENT_FIELD_LABOR_HOURS)*TEMP_HOURLY_RATE-FIXED_SEASON_COST)</f>
        <v/>
      </c>
      <c r="J363" s="53" t="str">
        <f aca="false">IF(OR($A363&gt;TOMATO_BED_CAP,$B363&gt;CARROT_BED_CAP,J$4&gt;MESCLUN_BED_CAP,$A363+$B363+J$4&gt;TOTAL_BEDS_AVAILABLE,($D363+J$5)&gt;TOTAL_LABOR_HOURS_CAP,MAX(0,($D363+J$5)-PERMANENT_FIELD_LABOR_HOURS)&gt;TEMP_HOURS_CAP),"",$C363+J$6-MIN(($D363+J$5),PERMANENT_FIELD_LABOR_HOURS)*PERMANENT_HOURLY_RATE-MAX(0,($D363+J$5)-PERMANENT_FIELD_LABOR_HOURS)*TEMP_HOURLY_RATE-FIXED_SEASON_COST)</f>
        <v/>
      </c>
      <c r="K363" s="53" t="str">
        <f aca="false">IF(OR($A363&gt;TOMATO_BED_CAP,$B363&gt;CARROT_BED_CAP,K$4&gt;MESCLUN_BED_CAP,$A363+$B363+K$4&gt;TOTAL_BEDS_AVAILABLE,($D363+K$5)&gt;TOTAL_LABOR_HOURS_CAP,MAX(0,($D363+K$5)-PERMANENT_FIELD_LABOR_HOURS)&gt;TEMP_HOURS_CAP),"",$C363+K$6-MIN(($D363+K$5),PERMANENT_FIELD_LABOR_HOURS)*PERMANENT_HOURLY_RATE-MAX(0,($D363+K$5)-PERMANENT_FIELD_LABOR_HOURS)*TEMP_HOURLY_RATE-FIXED_SEASON_COST)</f>
        <v/>
      </c>
      <c r="L363" s="53" t="str">
        <f aca="false">IF(OR($A363&gt;TOMATO_BED_CAP,$B363&gt;CARROT_BED_CAP,L$4&gt;MESCLUN_BED_CAP,$A363+$B363+L$4&gt;TOTAL_BEDS_AVAILABLE,($D363+L$5)&gt;TOTAL_LABOR_HOURS_CAP,MAX(0,($D363+L$5)-PERMANENT_FIELD_LABOR_HOURS)&gt;TEMP_HOURS_CAP),"",$C363+L$6-MIN(($D363+L$5),PERMANENT_FIELD_LABOR_HOURS)*PERMANENT_HOURLY_RATE-MAX(0,($D363+L$5)-PERMANENT_FIELD_LABOR_HOURS)*TEMP_HOURLY_RATE-FIXED_SEASON_COST)</f>
        <v/>
      </c>
      <c r="M363" s="53" t="str">
        <f aca="false">IF(OR($A363&gt;TOMATO_BED_CAP,$B363&gt;CARROT_BED_CAP,M$4&gt;MESCLUN_BED_CAP,$A363+$B363+M$4&gt;TOTAL_BEDS_AVAILABLE,($D363+M$5)&gt;TOTAL_LABOR_HOURS_CAP,MAX(0,($D363+M$5)-PERMANENT_FIELD_LABOR_HOURS)&gt;TEMP_HOURS_CAP),"",$C363+M$6-MIN(($D363+M$5),PERMANENT_FIELD_LABOR_HOURS)*PERMANENT_HOURLY_RATE-MAX(0,($D363+M$5)-PERMANENT_FIELD_LABOR_HOURS)*TEMP_HOURLY_RATE-FIXED_SEASON_COST)</f>
        <v/>
      </c>
      <c r="N363" s="53" t="str">
        <f aca="false">IF(OR($A363&gt;TOMATO_BED_CAP,$B363&gt;CARROT_BED_CAP,N$4&gt;MESCLUN_BED_CAP,$A363+$B363+N$4&gt;TOTAL_BEDS_AVAILABLE,($D363+N$5)&gt;TOTAL_LABOR_HOURS_CAP,MAX(0,($D363+N$5)-PERMANENT_FIELD_LABOR_HOURS)&gt;TEMP_HOURS_CAP),"",$C363+N$6-MIN(($D363+N$5),PERMANENT_FIELD_LABOR_HOURS)*PERMANENT_HOURLY_RATE-MAX(0,($D363+N$5)-PERMANENT_FIELD_LABOR_HOURS)*TEMP_HOURLY_RATE-FIXED_SEASON_COST)</f>
        <v/>
      </c>
      <c r="O363" s="53" t="str">
        <f aca="false">IF(OR($A363&gt;TOMATO_BED_CAP,$B363&gt;CARROT_BED_CAP,O$4&gt;MESCLUN_BED_CAP,$A363+$B363+O$4&gt;TOTAL_BEDS_AVAILABLE,($D363+O$5)&gt;TOTAL_LABOR_HOURS_CAP,MAX(0,($D363+O$5)-PERMANENT_FIELD_LABOR_HOURS)&gt;TEMP_HOURS_CAP),"",$C363+O$6-MIN(($D363+O$5),PERMANENT_FIELD_LABOR_HOURS)*PERMANENT_HOURLY_RATE-MAX(0,($D363+O$5)-PERMANENT_FIELD_LABOR_HOURS)*TEMP_HOURLY_RATE-FIXED_SEASON_COST)</f>
        <v/>
      </c>
      <c r="P363" s="53" t="str">
        <f aca="false">IF(OR($A363&gt;TOMATO_BED_CAP,$B363&gt;CARROT_BED_CAP,P$4&gt;MESCLUN_BED_CAP,$A363+$B363+P$4&gt;TOTAL_BEDS_AVAILABLE,($D363+P$5)&gt;TOTAL_LABOR_HOURS_CAP,MAX(0,($D363+P$5)-PERMANENT_FIELD_LABOR_HOURS)&gt;TEMP_HOURS_CAP),"",$C363+P$6-MIN(($D363+P$5),PERMANENT_FIELD_LABOR_HOURS)*PERMANENT_HOURLY_RATE-MAX(0,($D363+P$5)-PERMANENT_FIELD_LABOR_HOURS)*TEMP_HOURLY_RATE-FIXED_SEASON_COST)</f>
        <v/>
      </c>
      <c r="Q363" s="53" t="str">
        <f aca="false">IF(OR($A363&gt;TOMATO_BED_CAP,$B363&gt;CARROT_BED_CAP,Q$4&gt;MESCLUN_BED_CAP,$A363+$B363+Q$4&gt;TOTAL_BEDS_AVAILABLE,($D363+Q$5)&gt;TOTAL_LABOR_HOURS_CAP,MAX(0,($D363+Q$5)-PERMANENT_FIELD_LABOR_HOURS)&gt;TEMP_HOURS_CAP),"",$C363+Q$6-MIN(($D363+Q$5),PERMANENT_FIELD_LABOR_HOURS)*PERMANENT_HOURLY_RATE-MAX(0,($D363+Q$5)-PERMANENT_FIELD_LABOR_HOURS)*TEMP_HOURLY_RATE-FIXED_SEASON_COST)</f>
        <v/>
      </c>
      <c r="R363" s="53" t="str">
        <f aca="false">IF(OR($A363&gt;TOMATO_BED_CAP,$B363&gt;CARROT_BED_CAP,R$4&gt;MESCLUN_BED_CAP,$A363+$B363+R$4&gt;TOTAL_BEDS_AVAILABLE,($D363+R$5)&gt;TOTAL_LABOR_HOURS_CAP,MAX(0,($D363+R$5)-PERMANENT_FIELD_LABOR_HOURS)&gt;TEMP_HOURS_CAP),"",$C363+R$6-MIN(($D363+R$5),PERMANENT_FIELD_LABOR_HOURS)*PERMANENT_HOURLY_RATE-MAX(0,($D363+R$5)-PERMANENT_FIELD_LABOR_HOURS)*TEMP_HOURLY_RATE-FIXED_SEASON_COST)</f>
        <v/>
      </c>
      <c r="S363" s="53" t="str">
        <f aca="false">IF(OR($A363&gt;TOMATO_BED_CAP,$B363&gt;CARROT_BED_CAP,S$4&gt;MESCLUN_BED_CAP,$A363+$B363+S$4&gt;TOTAL_BEDS_AVAILABLE,($D363+S$5)&gt;TOTAL_LABOR_HOURS_CAP,MAX(0,($D363+S$5)-PERMANENT_FIELD_LABOR_HOURS)&gt;TEMP_HOURS_CAP),"",$C363+S$6-MIN(($D363+S$5),PERMANENT_FIELD_LABOR_HOURS)*PERMANENT_HOURLY_RATE-MAX(0,($D363+S$5)-PERMANENT_FIELD_LABOR_HOURS)*TEMP_HOURLY_RATE-FIXED_SEASON_COST)</f>
        <v/>
      </c>
      <c r="T363" s="53" t="str">
        <f aca="false">IF(OR($A363&gt;TOMATO_BED_CAP,$B363&gt;CARROT_BED_CAP,T$4&gt;MESCLUN_BED_CAP,$A363+$B363+T$4&gt;TOTAL_BEDS_AVAILABLE,($D363+T$5)&gt;TOTAL_LABOR_HOURS_CAP,MAX(0,($D363+T$5)-PERMANENT_FIELD_LABOR_HOURS)&gt;TEMP_HOURS_CAP),"",$C363+T$6-MIN(($D363+T$5),PERMANENT_FIELD_LABOR_HOURS)*PERMANENT_HOURLY_RATE-MAX(0,($D363+T$5)-PERMANENT_FIELD_LABOR_HOURS)*TEMP_HOURLY_RATE-FIXED_SEASON_COST)</f>
        <v/>
      </c>
      <c r="U363" s="53" t="str">
        <f aca="false">IF(OR($A363&gt;TOMATO_BED_CAP,$B363&gt;CARROT_BED_CAP,U$4&gt;MESCLUN_BED_CAP,$A363+$B363+U$4&gt;TOTAL_BEDS_AVAILABLE,($D363+U$5)&gt;TOTAL_LABOR_HOURS_CAP,MAX(0,($D363+U$5)-PERMANENT_FIELD_LABOR_HOURS)&gt;TEMP_HOURS_CAP),"",$C363+U$6-MIN(($D363+U$5),PERMANENT_FIELD_LABOR_HOURS)*PERMANENT_HOURLY_RATE-MAX(0,($D363+U$5)-PERMANENT_FIELD_LABOR_HOURS)*TEMP_HOURLY_RATE-FIXED_SEASON_COST)</f>
        <v/>
      </c>
      <c r="V363" s="53" t="str">
        <f aca="false">IF(OR($A363&gt;TOMATO_BED_CAP,$B363&gt;CARROT_BED_CAP,V$4&gt;MESCLUN_BED_CAP,$A363+$B363+V$4&gt;TOTAL_BEDS_AVAILABLE,($D363+V$5)&gt;TOTAL_LABOR_HOURS_CAP,MAX(0,($D363+V$5)-PERMANENT_FIELD_LABOR_HOURS)&gt;TEMP_HOURS_CAP),"",$C363+V$6-MIN(($D363+V$5),PERMANENT_FIELD_LABOR_HOURS)*PERMANENT_HOURLY_RATE-MAX(0,($D363+V$5)-PERMANENT_FIELD_LABOR_HOURS)*TEMP_HOURLY_RATE-FIXED_SEASON_COST)</f>
        <v/>
      </c>
      <c r="W363" s="53" t="str">
        <f aca="false">IF(OR($A363&gt;TOMATO_BED_CAP,$B363&gt;CARROT_BED_CAP,W$4&gt;MESCLUN_BED_CAP,$A363+$B363+W$4&gt;TOTAL_BEDS_AVAILABLE,($D363+W$5)&gt;TOTAL_LABOR_HOURS_CAP,MAX(0,($D363+W$5)-PERMANENT_FIELD_LABOR_HOURS)&gt;TEMP_HOURS_CAP),"",$C363+W$6-MIN(($D363+W$5),PERMANENT_FIELD_LABOR_HOURS)*PERMANENT_HOURLY_RATE-MAX(0,($D363+W$5)-PERMANENT_FIELD_LABOR_HOURS)*TEMP_HOURLY_RATE-FIXED_SEASON_COST)</f>
        <v/>
      </c>
      <c r="X363" s="53" t="str">
        <f aca="false">IF(OR($A363&gt;TOMATO_BED_CAP,$B363&gt;CARROT_BED_CAP,X$4&gt;MESCLUN_BED_CAP,$A363+$B363+X$4&gt;TOTAL_BEDS_AVAILABLE,($D363+X$5)&gt;TOTAL_LABOR_HOURS_CAP,MAX(0,($D363+X$5)-PERMANENT_FIELD_LABOR_HOURS)&gt;TEMP_HOURS_CAP),"",$C363+X$6-MIN(($D363+X$5),PERMANENT_FIELD_LABOR_HOURS)*PERMANENT_HOURLY_RATE-MAX(0,($D363+X$5)-PERMANENT_FIELD_LABOR_HOURS)*TEMP_HOURLY_RATE-FIXED_SEASON_COST)</f>
        <v/>
      </c>
      <c r="Y363" s="53" t="str">
        <f aca="false">IF(OR($A363&gt;TOMATO_BED_CAP,$B363&gt;CARROT_BED_CAP,Y$4&gt;MESCLUN_BED_CAP,$A363+$B363+Y$4&gt;TOTAL_BEDS_AVAILABLE,($D363+Y$5)&gt;TOTAL_LABOR_HOURS_CAP,MAX(0,($D363+Y$5)-PERMANENT_FIELD_LABOR_HOURS)&gt;TEMP_HOURS_CAP),"",$C363+Y$6-MIN(($D363+Y$5),PERMANENT_FIELD_LABOR_HOURS)*PERMANENT_HOURLY_RATE-MAX(0,($D363+Y$5)-PERMANENT_FIELD_LABOR_HOURS)*TEMP_HOURLY_RATE-FIXED_SEASON_COST)</f>
        <v/>
      </c>
      <c r="Z363" s="53" t="str">
        <f aca="false">IF(OR($A363&gt;TOMATO_BED_CAP,$B363&gt;CARROT_BED_CAP,Z$4&gt;MESCLUN_BED_CAP,$A363+$B363+Z$4&gt;TOTAL_BEDS_AVAILABLE,($D363+Z$5)&gt;TOTAL_LABOR_HOURS_CAP,MAX(0,($D363+Z$5)-PERMANENT_FIELD_LABOR_HOURS)&gt;TEMP_HOURS_CAP),"",$C363+Z$6-MIN(($D363+Z$5),PERMANENT_FIELD_LABOR_HOURS)*PERMANENT_HOURLY_RATE-MAX(0,($D363+Z$5)-PERMANENT_FIELD_LABOR_HOURS)*TEMP_HOURLY_RATE-FIXED_SEASON_COST)</f>
        <v/>
      </c>
      <c r="AA363" s="53" t="str">
        <f aca="false">IF(OR($A363&gt;TOMATO_BED_CAP,$B363&gt;CARROT_BED_CAP,AA$4&gt;MESCLUN_BED_CAP,$A363+$B363+AA$4&gt;TOTAL_BEDS_AVAILABLE,($D363+AA$5)&gt;TOTAL_LABOR_HOURS_CAP,MAX(0,($D363+AA$5)-PERMANENT_FIELD_LABOR_HOURS)&gt;TEMP_HOURS_CAP),"",$C363+AA$6-MIN(($D363+AA$5),PERMANENT_FIELD_LABOR_HOURS)*PERMANENT_HOURLY_RATE-MAX(0,($D363+AA$5)-PERMANENT_FIELD_LABOR_HOURS)*TEMP_HOURLY_RATE-FIXED_SEASON_COST)</f>
        <v/>
      </c>
      <c r="AB363" s="53" t="str">
        <f aca="false">IF(OR($A363&gt;TOMATO_BED_CAP,$B363&gt;CARROT_BED_CAP,AB$4&gt;MESCLUN_BED_CAP,$A363+$B363+AB$4&gt;TOTAL_BEDS_AVAILABLE,($D363+AB$5)&gt;TOTAL_LABOR_HOURS_CAP,MAX(0,($D363+AB$5)-PERMANENT_FIELD_LABOR_HOURS)&gt;TEMP_HOURS_CAP),"",$C363+AB$6-MIN(($D363+AB$5),PERMANENT_FIELD_LABOR_HOURS)*PERMANENT_HOURLY_RATE-MAX(0,($D363+AB$5)-PERMANENT_FIELD_LABOR_HOURS)*TEMP_HOURLY_RATE-FIXED_SEASON_COST)</f>
        <v/>
      </c>
      <c r="AC363" s="53" t="str">
        <f aca="false">IF(OR($A363&gt;TOMATO_BED_CAP,$B363&gt;CARROT_BED_CAP,AC$4&gt;MESCLUN_BED_CAP,$A363+$B363+AC$4&gt;TOTAL_BEDS_AVAILABLE,($D363+AC$5)&gt;TOTAL_LABOR_HOURS_CAP,MAX(0,($D363+AC$5)-PERMANENT_FIELD_LABOR_HOURS)&gt;TEMP_HOURS_CAP),"",$C363+AC$6-MIN(($D363+AC$5),PERMANENT_FIELD_LABOR_HOURS)*PERMANENT_HOURLY_RATE-MAX(0,($D363+AC$5)-PERMANENT_FIELD_LABOR_HOURS)*TEMP_HOURLY_RATE-FIXED_SEASON_COST)</f>
        <v/>
      </c>
      <c r="AD363" s="53" t="str">
        <f aca="false">IF(OR($A363&gt;TOMATO_BED_CAP,$B363&gt;CARROT_BED_CAP,AD$4&gt;MESCLUN_BED_CAP,$A363+$B363+AD$4&gt;TOTAL_BEDS_AVAILABLE,($D363+AD$5)&gt;TOTAL_LABOR_HOURS_CAP,MAX(0,($D363+AD$5)-PERMANENT_FIELD_LABOR_HOURS)&gt;TEMP_HOURS_CAP),"",$C363+AD$6-MIN(($D363+AD$5),PERMANENT_FIELD_LABOR_HOURS)*PERMANENT_HOURLY_RATE-MAX(0,($D363+AD$5)-PERMANENT_FIELD_LABOR_HOURS)*TEMP_HOURLY_RATE-FIXED_SEASON_COST)</f>
        <v/>
      </c>
      <c r="AE363" s="53" t="str">
        <f aca="false">IF(OR($A363&gt;TOMATO_BED_CAP,$B363&gt;CARROT_BED_CAP,AE$4&gt;MESCLUN_BED_CAP,$A363+$B363+AE$4&gt;TOTAL_BEDS_AVAILABLE,($D363+AE$5)&gt;TOTAL_LABOR_HOURS_CAP,MAX(0,($D363+AE$5)-PERMANENT_FIELD_LABOR_HOURS)&gt;TEMP_HOURS_CAP),"",$C363+AE$6-MIN(($D363+AE$5),PERMANENT_FIELD_LABOR_HOURS)*PERMANENT_HOURLY_RATE-MAX(0,($D363+AE$5)-PERMANENT_FIELD_LABOR_HOURS)*TEMP_HOURLY_RATE-FIXED_SEASON_COST)</f>
        <v/>
      </c>
      <c r="AF363" s="53" t="str">
        <f aca="false">IF(OR($A363&gt;TOMATO_BED_CAP,$B363&gt;CARROT_BED_CAP,AF$4&gt;MESCLUN_BED_CAP,$A363+$B363+AF$4&gt;TOTAL_BEDS_AVAILABLE,($D363+AF$5)&gt;TOTAL_LABOR_HOURS_CAP,MAX(0,($D363+AF$5)-PERMANENT_FIELD_LABOR_HOURS)&gt;TEMP_HOURS_CAP),"",$C363+AF$6-MIN(($D363+AF$5),PERMANENT_FIELD_LABOR_HOURS)*PERMANENT_HOURLY_RATE-MAX(0,($D363+AF$5)-PERMANENT_FIELD_LABOR_HOURS)*TEMP_HOURLY_RATE-FIXED_SEASON_COST)</f>
        <v/>
      </c>
      <c r="AG363" s="53" t="str">
        <f aca="false">IF(OR($A363&gt;TOMATO_BED_CAP,$B363&gt;CARROT_BED_CAP,AG$4&gt;MESCLUN_BED_CAP,$A363+$B363+AG$4&gt;TOTAL_BEDS_AVAILABLE,($D363+AG$5)&gt;TOTAL_LABOR_HOURS_CAP,MAX(0,($D363+AG$5)-PERMANENT_FIELD_LABOR_HOURS)&gt;TEMP_HOURS_CAP),"",$C363+AG$6-MIN(($D363+AG$5),PERMANENT_FIELD_LABOR_HOURS)*PERMANENT_HOURLY_RATE-MAX(0,($D363+AG$5)-PERMANENT_FIELD_LABOR_HOURS)*TEMP_HOURLY_RATE-FIXED_SEASON_COST)</f>
        <v/>
      </c>
      <c r="AH363" s="53" t="str">
        <f aca="false">IF(OR($A363&gt;TOMATO_BED_CAP,$B363&gt;CARROT_BED_CAP,AH$4&gt;MESCLUN_BED_CAP,$A363+$B363+AH$4&gt;TOTAL_BEDS_AVAILABLE,($D363+AH$5)&gt;TOTAL_LABOR_HOURS_CAP,MAX(0,($D363+AH$5)-PERMANENT_FIELD_LABOR_HOURS)&gt;TEMP_HOURS_CAP),"",$C363+AH$6-MIN(($D363+AH$5),PERMANENT_FIELD_LABOR_HOURS)*PERMANENT_HOURLY_RATE-MAX(0,($D363+AH$5)-PERMANENT_FIELD_LABOR_HOURS)*TEMP_HOURLY_RATE-FIXED_SEASON_COST)</f>
        <v/>
      </c>
      <c r="AI363" s="53" t="str">
        <f aca="false">IF(OR($A363&gt;TOMATO_BED_CAP,$B363&gt;CARROT_BED_CAP,AI$4&gt;MESCLUN_BED_CAP,$A363+$B363+AI$4&gt;TOTAL_BEDS_AVAILABLE,($D363+AI$5)&gt;TOTAL_LABOR_HOURS_CAP,MAX(0,($D363+AI$5)-PERMANENT_FIELD_LABOR_HOURS)&gt;TEMP_HOURS_CAP),"",$C363+AI$6-MIN(($D363+AI$5),PERMANENT_FIELD_LABOR_HOURS)*PERMANENT_HOURLY_RATE-MAX(0,($D363+AI$5)-PERMANENT_FIELD_LABOR_HOURS)*TEMP_HOURLY_RATE-FIXED_SEASON_COST)</f>
        <v/>
      </c>
      <c r="AJ363" s="53" t="str">
        <f aca="false">IF(OR($A363&gt;TOMATO_BED_CAP,$B363&gt;CARROT_BED_CAP,AJ$4&gt;MESCLUN_BED_CAP,$A363+$B363+AJ$4&gt;TOTAL_BEDS_AVAILABLE,($D363+AJ$5)&gt;TOTAL_LABOR_HOURS_CAP,MAX(0,($D363+AJ$5)-PERMANENT_FIELD_LABOR_HOURS)&gt;TEMP_HOURS_CAP),"",$C363+AJ$6-MIN(($D363+AJ$5),PERMANENT_FIELD_LABOR_HOURS)*PERMANENT_HOURLY_RATE-MAX(0,($D363+AJ$5)-PERMANENT_FIELD_LABOR_HOURS)*TEMP_HOURLY_RATE-FIXED_SEASON_COST)</f>
        <v/>
      </c>
    </row>
    <row r="364" customFormat="false" ht="15" hidden="false" customHeight="false" outlineLevel="0" collapsed="false">
      <c r="A364" s="21" t="n">
        <f aca="false">INT((ROW()-ROW($A$8))/(20+1))</f>
        <v>16</v>
      </c>
      <c r="B364" s="21" t="n">
        <f aca="false">MOD(ROW()-ROW($A$8),20+1)</f>
        <v>20</v>
      </c>
      <c r="C364" s="13" t="n">
        <f aca="false">A364*(TOMATO_REVENUE_PER_BED-TOMATO_FERTILIZER_PER_BED)+B364*(CARROT_REVENUE_PER_BED-CARROT_FERTILIZER_PER_BED)</f>
        <v>159800</v>
      </c>
      <c r="D364" s="14" t="n">
        <f aca="false">INDEX(TOMATO_SCHED_LABOR_HRS,A364+1)+INDEX(CARROT_SCHED_LABOR_HRS,B364+1)</f>
        <v>7599.53769658297</v>
      </c>
      <c r="E364" s="13" t="str">
        <f aca="false">IF(COUNT(F364:AJ364)=0,"",MAX(F364:AJ364))</f>
        <v/>
      </c>
      <c r="F364" s="53" t="str">
        <f aca="false">IF(OR($A364&gt;TOMATO_BED_CAP,$B364&gt;CARROT_BED_CAP,F$4&gt;MESCLUN_BED_CAP,$A364+$B364+F$4&gt;TOTAL_BEDS_AVAILABLE,($D364+F$5)&gt;TOTAL_LABOR_HOURS_CAP,MAX(0,($D364+F$5)-PERMANENT_FIELD_LABOR_HOURS)&gt;TEMP_HOURS_CAP),"",$C364+F$6-MIN(($D364+F$5),PERMANENT_FIELD_LABOR_HOURS)*PERMANENT_HOURLY_RATE-MAX(0,($D364+F$5)-PERMANENT_FIELD_LABOR_HOURS)*TEMP_HOURLY_RATE-FIXED_SEASON_COST)</f>
        <v/>
      </c>
      <c r="G364" s="53" t="str">
        <f aca="false">IF(OR($A364&gt;TOMATO_BED_CAP,$B364&gt;CARROT_BED_CAP,G$4&gt;MESCLUN_BED_CAP,$A364+$B364+G$4&gt;TOTAL_BEDS_AVAILABLE,($D364+G$5)&gt;TOTAL_LABOR_HOURS_CAP,MAX(0,($D364+G$5)-PERMANENT_FIELD_LABOR_HOURS)&gt;TEMP_HOURS_CAP),"",$C364+G$6-MIN(($D364+G$5),PERMANENT_FIELD_LABOR_HOURS)*PERMANENT_HOURLY_RATE-MAX(0,($D364+G$5)-PERMANENT_FIELD_LABOR_HOURS)*TEMP_HOURLY_RATE-FIXED_SEASON_COST)</f>
        <v/>
      </c>
      <c r="H364" s="53" t="str">
        <f aca="false">IF(OR($A364&gt;TOMATO_BED_CAP,$B364&gt;CARROT_BED_CAP,H$4&gt;MESCLUN_BED_CAP,$A364+$B364+H$4&gt;TOTAL_BEDS_AVAILABLE,($D364+H$5)&gt;TOTAL_LABOR_HOURS_CAP,MAX(0,($D364+H$5)-PERMANENT_FIELD_LABOR_HOURS)&gt;TEMP_HOURS_CAP),"",$C364+H$6-MIN(($D364+H$5),PERMANENT_FIELD_LABOR_HOURS)*PERMANENT_HOURLY_RATE-MAX(0,($D364+H$5)-PERMANENT_FIELD_LABOR_HOURS)*TEMP_HOURLY_RATE-FIXED_SEASON_COST)</f>
        <v/>
      </c>
      <c r="I364" s="53" t="str">
        <f aca="false">IF(OR($A364&gt;TOMATO_BED_CAP,$B364&gt;CARROT_BED_CAP,I$4&gt;MESCLUN_BED_CAP,$A364+$B364+I$4&gt;TOTAL_BEDS_AVAILABLE,($D364+I$5)&gt;TOTAL_LABOR_HOURS_CAP,MAX(0,($D364+I$5)-PERMANENT_FIELD_LABOR_HOURS)&gt;TEMP_HOURS_CAP),"",$C364+I$6-MIN(($D364+I$5),PERMANENT_FIELD_LABOR_HOURS)*PERMANENT_HOURLY_RATE-MAX(0,($D364+I$5)-PERMANENT_FIELD_LABOR_HOURS)*TEMP_HOURLY_RATE-FIXED_SEASON_COST)</f>
        <v/>
      </c>
      <c r="J364" s="53" t="str">
        <f aca="false">IF(OR($A364&gt;TOMATO_BED_CAP,$B364&gt;CARROT_BED_CAP,J$4&gt;MESCLUN_BED_CAP,$A364+$B364+J$4&gt;TOTAL_BEDS_AVAILABLE,($D364+J$5)&gt;TOTAL_LABOR_HOURS_CAP,MAX(0,($D364+J$5)-PERMANENT_FIELD_LABOR_HOURS)&gt;TEMP_HOURS_CAP),"",$C364+J$6-MIN(($D364+J$5),PERMANENT_FIELD_LABOR_HOURS)*PERMANENT_HOURLY_RATE-MAX(0,($D364+J$5)-PERMANENT_FIELD_LABOR_HOURS)*TEMP_HOURLY_RATE-FIXED_SEASON_COST)</f>
        <v/>
      </c>
      <c r="K364" s="53" t="str">
        <f aca="false">IF(OR($A364&gt;TOMATO_BED_CAP,$B364&gt;CARROT_BED_CAP,K$4&gt;MESCLUN_BED_CAP,$A364+$B364+K$4&gt;TOTAL_BEDS_AVAILABLE,($D364+K$5)&gt;TOTAL_LABOR_HOURS_CAP,MAX(0,($D364+K$5)-PERMANENT_FIELD_LABOR_HOURS)&gt;TEMP_HOURS_CAP),"",$C364+K$6-MIN(($D364+K$5),PERMANENT_FIELD_LABOR_HOURS)*PERMANENT_HOURLY_RATE-MAX(0,($D364+K$5)-PERMANENT_FIELD_LABOR_HOURS)*TEMP_HOURLY_RATE-FIXED_SEASON_COST)</f>
        <v/>
      </c>
      <c r="L364" s="53" t="str">
        <f aca="false">IF(OR($A364&gt;TOMATO_BED_CAP,$B364&gt;CARROT_BED_CAP,L$4&gt;MESCLUN_BED_CAP,$A364+$B364+L$4&gt;TOTAL_BEDS_AVAILABLE,($D364+L$5)&gt;TOTAL_LABOR_HOURS_CAP,MAX(0,($D364+L$5)-PERMANENT_FIELD_LABOR_HOURS)&gt;TEMP_HOURS_CAP),"",$C364+L$6-MIN(($D364+L$5),PERMANENT_FIELD_LABOR_HOURS)*PERMANENT_HOURLY_RATE-MAX(0,($D364+L$5)-PERMANENT_FIELD_LABOR_HOURS)*TEMP_HOURLY_RATE-FIXED_SEASON_COST)</f>
        <v/>
      </c>
      <c r="M364" s="53" t="str">
        <f aca="false">IF(OR($A364&gt;TOMATO_BED_CAP,$B364&gt;CARROT_BED_CAP,M$4&gt;MESCLUN_BED_CAP,$A364+$B364+M$4&gt;TOTAL_BEDS_AVAILABLE,($D364+M$5)&gt;TOTAL_LABOR_HOURS_CAP,MAX(0,($D364+M$5)-PERMANENT_FIELD_LABOR_HOURS)&gt;TEMP_HOURS_CAP),"",$C364+M$6-MIN(($D364+M$5),PERMANENT_FIELD_LABOR_HOURS)*PERMANENT_HOURLY_RATE-MAX(0,($D364+M$5)-PERMANENT_FIELD_LABOR_HOURS)*TEMP_HOURLY_RATE-FIXED_SEASON_COST)</f>
        <v/>
      </c>
      <c r="N364" s="53" t="str">
        <f aca="false">IF(OR($A364&gt;TOMATO_BED_CAP,$B364&gt;CARROT_BED_CAP,N$4&gt;MESCLUN_BED_CAP,$A364+$B364+N$4&gt;TOTAL_BEDS_AVAILABLE,($D364+N$5)&gt;TOTAL_LABOR_HOURS_CAP,MAX(0,($D364+N$5)-PERMANENT_FIELD_LABOR_HOURS)&gt;TEMP_HOURS_CAP),"",$C364+N$6-MIN(($D364+N$5),PERMANENT_FIELD_LABOR_HOURS)*PERMANENT_HOURLY_RATE-MAX(0,($D364+N$5)-PERMANENT_FIELD_LABOR_HOURS)*TEMP_HOURLY_RATE-FIXED_SEASON_COST)</f>
        <v/>
      </c>
      <c r="O364" s="53" t="str">
        <f aca="false">IF(OR($A364&gt;TOMATO_BED_CAP,$B364&gt;CARROT_BED_CAP,O$4&gt;MESCLUN_BED_CAP,$A364+$B364+O$4&gt;TOTAL_BEDS_AVAILABLE,($D364+O$5)&gt;TOTAL_LABOR_HOURS_CAP,MAX(0,($D364+O$5)-PERMANENT_FIELD_LABOR_HOURS)&gt;TEMP_HOURS_CAP),"",$C364+O$6-MIN(($D364+O$5),PERMANENT_FIELD_LABOR_HOURS)*PERMANENT_HOURLY_RATE-MAX(0,($D364+O$5)-PERMANENT_FIELD_LABOR_HOURS)*TEMP_HOURLY_RATE-FIXED_SEASON_COST)</f>
        <v/>
      </c>
      <c r="P364" s="53" t="str">
        <f aca="false">IF(OR($A364&gt;TOMATO_BED_CAP,$B364&gt;CARROT_BED_CAP,P$4&gt;MESCLUN_BED_CAP,$A364+$B364+P$4&gt;TOTAL_BEDS_AVAILABLE,($D364+P$5)&gt;TOTAL_LABOR_HOURS_CAP,MAX(0,($D364+P$5)-PERMANENT_FIELD_LABOR_HOURS)&gt;TEMP_HOURS_CAP),"",$C364+P$6-MIN(($D364+P$5),PERMANENT_FIELD_LABOR_HOURS)*PERMANENT_HOURLY_RATE-MAX(0,($D364+P$5)-PERMANENT_FIELD_LABOR_HOURS)*TEMP_HOURLY_RATE-FIXED_SEASON_COST)</f>
        <v/>
      </c>
      <c r="Q364" s="53" t="str">
        <f aca="false">IF(OR($A364&gt;TOMATO_BED_CAP,$B364&gt;CARROT_BED_CAP,Q$4&gt;MESCLUN_BED_CAP,$A364+$B364+Q$4&gt;TOTAL_BEDS_AVAILABLE,($D364+Q$5)&gt;TOTAL_LABOR_HOURS_CAP,MAX(0,($D364+Q$5)-PERMANENT_FIELD_LABOR_HOURS)&gt;TEMP_HOURS_CAP),"",$C364+Q$6-MIN(($D364+Q$5),PERMANENT_FIELD_LABOR_HOURS)*PERMANENT_HOURLY_RATE-MAX(0,($D364+Q$5)-PERMANENT_FIELD_LABOR_HOURS)*TEMP_HOURLY_RATE-FIXED_SEASON_COST)</f>
        <v/>
      </c>
      <c r="R364" s="53" t="str">
        <f aca="false">IF(OR($A364&gt;TOMATO_BED_CAP,$B364&gt;CARROT_BED_CAP,R$4&gt;MESCLUN_BED_CAP,$A364+$B364+R$4&gt;TOTAL_BEDS_AVAILABLE,($D364+R$5)&gt;TOTAL_LABOR_HOURS_CAP,MAX(0,($D364+R$5)-PERMANENT_FIELD_LABOR_HOURS)&gt;TEMP_HOURS_CAP),"",$C364+R$6-MIN(($D364+R$5),PERMANENT_FIELD_LABOR_HOURS)*PERMANENT_HOURLY_RATE-MAX(0,($D364+R$5)-PERMANENT_FIELD_LABOR_HOURS)*TEMP_HOURLY_RATE-FIXED_SEASON_COST)</f>
        <v/>
      </c>
      <c r="S364" s="53" t="str">
        <f aca="false">IF(OR($A364&gt;TOMATO_BED_CAP,$B364&gt;CARROT_BED_CAP,S$4&gt;MESCLUN_BED_CAP,$A364+$B364+S$4&gt;TOTAL_BEDS_AVAILABLE,($D364+S$5)&gt;TOTAL_LABOR_HOURS_CAP,MAX(0,($D364+S$5)-PERMANENT_FIELD_LABOR_HOURS)&gt;TEMP_HOURS_CAP),"",$C364+S$6-MIN(($D364+S$5),PERMANENT_FIELD_LABOR_HOURS)*PERMANENT_HOURLY_RATE-MAX(0,($D364+S$5)-PERMANENT_FIELD_LABOR_HOURS)*TEMP_HOURLY_RATE-FIXED_SEASON_COST)</f>
        <v/>
      </c>
      <c r="T364" s="53" t="str">
        <f aca="false">IF(OR($A364&gt;TOMATO_BED_CAP,$B364&gt;CARROT_BED_CAP,T$4&gt;MESCLUN_BED_CAP,$A364+$B364+T$4&gt;TOTAL_BEDS_AVAILABLE,($D364+T$5)&gt;TOTAL_LABOR_HOURS_CAP,MAX(0,($D364+T$5)-PERMANENT_FIELD_LABOR_HOURS)&gt;TEMP_HOURS_CAP),"",$C364+T$6-MIN(($D364+T$5),PERMANENT_FIELD_LABOR_HOURS)*PERMANENT_HOURLY_RATE-MAX(0,($D364+T$5)-PERMANENT_FIELD_LABOR_HOURS)*TEMP_HOURLY_RATE-FIXED_SEASON_COST)</f>
        <v/>
      </c>
      <c r="U364" s="53" t="str">
        <f aca="false">IF(OR($A364&gt;TOMATO_BED_CAP,$B364&gt;CARROT_BED_CAP,U$4&gt;MESCLUN_BED_CAP,$A364+$B364+U$4&gt;TOTAL_BEDS_AVAILABLE,($D364+U$5)&gt;TOTAL_LABOR_HOURS_CAP,MAX(0,($D364+U$5)-PERMANENT_FIELD_LABOR_HOURS)&gt;TEMP_HOURS_CAP),"",$C364+U$6-MIN(($D364+U$5),PERMANENT_FIELD_LABOR_HOURS)*PERMANENT_HOURLY_RATE-MAX(0,($D364+U$5)-PERMANENT_FIELD_LABOR_HOURS)*TEMP_HOURLY_RATE-FIXED_SEASON_COST)</f>
        <v/>
      </c>
      <c r="V364" s="53" t="str">
        <f aca="false">IF(OR($A364&gt;TOMATO_BED_CAP,$B364&gt;CARROT_BED_CAP,V$4&gt;MESCLUN_BED_CAP,$A364+$B364+V$4&gt;TOTAL_BEDS_AVAILABLE,($D364+V$5)&gt;TOTAL_LABOR_HOURS_CAP,MAX(0,($D364+V$5)-PERMANENT_FIELD_LABOR_HOURS)&gt;TEMP_HOURS_CAP),"",$C364+V$6-MIN(($D364+V$5),PERMANENT_FIELD_LABOR_HOURS)*PERMANENT_HOURLY_RATE-MAX(0,($D364+V$5)-PERMANENT_FIELD_LABOR_HOURS)*TEMP_HOURLY_RATE-FIXED_SEASON_COST)</f>
        <v/>
      </c>
      <c r="W364" s="53" t="str">
        <f aca="false">IF(OR($A364&gt;TOMATO_BED_CAP,$B364&gt;CARROT_BED_CAP,W$4&gt;MESCLUN_BED_CAP,$A364+$B364+W$4&gt;TOTAL_BEDS_AVAILABLE,($D364+W$5)&gt;TOTAL_LABOR_HOURS_CAP,MAX(0,($D364+W$5)-PERMANENT_FIELD_LABOR_HOURS)&gt;TEMP_HOURS_CAP),"",$C364+W$6-MIN(($D364+W$5),PERMANENT_FIELD_LABOR_HOURS)*PERMANENT_HOURLY_RATE-MAX(0,($D364+W$5)-PERMANENT_FIELD_LABOR_HOURS)*TEMP_HOURLY_RATE-FIXED_SEASON_COST)</f>
        <v/>
      </c>
      <c r="X364" s="53" t="str">
        <f aca="false">IF(OR($A364&gt;TOMATO_BED_CAP,$B364&gt;CARROT_BED_CAP,X$4&gt;MESCLUN_BED_CAP,$A364+$B364+X$4&gt;TOTAL_BEDS_AVAILABLE,($D364+X$5)&gt;TOTAL_LABOR_HOURS_CAP,MAX(0,($D364+X$5)-PERMANENT_FIELD_LABOR_HOURS)&gt;TEMP_HOURS_CAP),"",$C364+X$6-MIN(($D364+X$5),PERMANENT_FIELD_LABOR_HOURS)*PERMANENT_HOURLY_RATE-MAX(0,($D364+X$5)-PERMANENT_FIELD_LABOR_HOURS)*TEMP_HOURLY_RATE-FIXED_SEASON_COST)</f>
        <v/>
      </c>
      <c r="Y364" s="53" t="str">
        <f aca="false">IF(OR($A364&gt;TOMATO_BED_CAP,$B364&gt;CARROT_BED_CAP,Y$4&gt;MESCLUN_BED_CAP,$A364+$B364+Y$4&gt;TOTAL_BEDS_AVAILABLE,($D364+Y$5)&gt;TOTAL_LABOR_HOURS_CAP,MAX(0,($D364+Y$5)-PERMANENT_FIELD_LABOR_HOURS)&gt;TEMP_HOURS_CAP),"",$C364+Y$6-MIN(($D364+Y$5),PERMANENT_FIELD_LABOR_HOURS)*PERMANENT_HOURLY_RATE-MAX(0,($D364+Y$5)-PERMANENT_FIELD_LABOR_HOURS)*TEMP_HOURLY_RATE-FIXED_SEASON_COST)</f>
        <v/>
      </c>
      <c r="Z364" s="53" t="str">
        <f aca="false">IF(OR($A364&gt;TOMATO_BED_CAP,$B364&gt;CARROT_BED_CAP,Z$4&gt;MESCLUN_BED_CAP,$A364+$B364+Z$4&gt;TOTAL_BEDS_AVAILABLE,($D364+Z$5)&gt;TOTAL_LABOR_HOURS_CAP,MAX(0,($D364+Z$5)-PERMANENT_FIELD_LABOR_HOURS)&gt;TEMP_HOURS_CAP),"",$C364+Z$6-MIN(($D364+Z$5),PERMANENT_FIELD_LABOR_HOURS)*PERMANENT_HOURLY_RATE-MAX(0,($D364+Z$5)-PERMANENT_FIELD_LABOR_HOURS)*TEMP_HOURLY_RATE-FIXED_SEASON_COST)</f>
        <v/>
      </c>
      <c r="AA364" s="53" t="str">
        <f aca="false">IF(OR($A364&gt;TOMATO_BED_CAP,$B364&gt;CARROT_BED_CAP,AA$4&gt;MESCLUN_BED_CAP,$A364+$B364+AA$4&gt;TOTAL_BEDS_AVAILABLE,($D364+AA$5)&gt;TOTAL_LABOR_HOURS_CAP,MAX(0,($D364+AA$5)-PERMANENT_FIELD_LABOR_HOURS)&gt;TEMP_HOURS_CAP),"",$C364+AA$6-MIN(($D364+AA$5),PERMANENT_FIELD_LABOR_HOURS)*PERMANENT_HOURLY_RATE-MAX(0,($D364+AA$5)-PERMANENT_FIELD_LABOR_HOURS)*TEMP_HOURLY_RATE-FIXED_SEASON_COST)</f>
        <v/>
      </c>
      <c r="AB364" s="53" t="str">
        <f aca="false">IF(OR($A364&gt;TOMATO_BED_CAP,$B364&gt;CARROT_BED_CAP,AB$4&gt;MESCLUN_BED_CAP,$A364+$B364+AB$4&gt;TOTAL_BEDS_AVAILABLE,($D364+AB$5)&gt;TOTAL_LABOR_HOURS_CAP,MAX(0,($D364+AB$5)-PERMANENT_FIELD_LABOR_HOURS)&gt;TEMP_HOURS_CAP),"",$C364+AB$6-MIN(($D364+AB$5),PERMANENT_FIELD_LABOR_HOURS)*PERMANENT_HOURLY_RATE-MAX(0,($D364+AB$5)-PERMANENT_FIELD_LABOR_HOURS)*TEMP_HOURLY_RATE-FIXED_SEASON_COST)</f>
        <v/>
      </c>
      <c r="AC364" s="53" t="str">
        <f aca="false">IF(OR($A364&gt;TOMATO_BED_CAP,$B364&gt;CARROT_BED_CAP,AC$4&gt;MESCLUN_BED_CAP,$A364+$B364+AC$4&gt;TOTAL_BEDS_AVAILABLE,($D364+AC$5)&gt;TOTAL_LABOR_HOURS_CAP,MAX(0,($D364+AC$5)-PERMANENT_FIELD_LABOR_HOURS)&gt;TEMP_HOURS_CAP),"",$C364+AC$6-MIN(($D364+AC$5),PERMANENT_FIELD_LABOR_HOURS)*PERMANENT_HOURLY_RATE-MAX(0,($D364+AC$5)-PERMANENT_FIELD_LABOR_HOURS)*TEMP_HOURLY_RATE-FIXED_SEASON_COST)</f>
        <v/>
      </c>
      <c r="AD364" s="53" t="str">
        <f aca="false">IF(OR($A364&gt;TOMATO_BED_CAP,$B364&gt;CARROT_BED_CAP,AD$4&gt;MESCLUN_BED_CAP,$A364+$B364+AD$4&gt;TOTAL_BEDS_AVAILABLE,($D364+AD$5)&gt;TOTAL_LABOR_HOURS_CAP,MAX(0,($D364+AD$5)-PERMANENT_FIELD_LABOR_HOURS)&gt;TEMP_HOURS_CAP),"",$C364+AD$6-MIN(($D364+AD$5),PERMANENT_FIELD_LABOR_HOURS)*PERMANENT_HOURLY_RATE-MAX(0,($D364+AD$5)-PERMANENT_FIELD_LABOR_HOURS)*TEMP_HOURLY_RATE-FIXED_SEASON_COST)</f>
        <v/>
      </c>
      <c r="AE364" s="53" t="str">
        <f aca="false">IF(OR($A364&gt;TOMATO_BED_CAP,$B364&gt;CARROT_BED_CAP,AE$4&gt;MESCLUN_BED_CAP,$A364+$B364+AE$4&gt;TOTAL_BEDS_AVAILABLE,($D364+AE$5)&gt;TOTAL_LABOR_HOURS_CAP,MAX(0,($D364+AE$5)-PERMANENT_FIELD_LABOR_HOURS)&gt;TEMP_HOURS_CAP),"",$C364+AE$6-MIN(($D364+AE$5),PERMANENT_FIELD_LABOR_HOURS)*PERMANENT_HOURLY_RATE-MAX(0,($D364+AE$5)-PERMANENT_FIELD_LABOR_HOURS)*TEMP_HOURLY_RATE-FIXED_SEASON_COST)</f>
        <v/>
      </c>
      <c r="AF364" s="53" t="str">
        <f aca="false">IF(OR($A364&gt;TOMATO_BED_CAP,$B364&gt;CARROT_BED_CAP,AF$4&gt;MESCLUN_BED_CAP,$A364+$B364+AF$4&gt;TOTAL_BEDS_AVAILABLE,($D364+AF$5)&gt;TOTAL_LABOR_HOURS_CAP,MAX(0,($D364+AF$5)-PERMANENT_FIELD_LABOR_HOURS)&gt;TEMP_HOURS_CAP),"",$C364+AF$6-MIN(($D364+AF$5),PERMANENT_FIELD_LABOR_HOURS)*PERMANENT_HOURLY_RATE-MAX(0,($D364+AF$5)-PERMANENT_FIELD_LABOR_HOURS)*TEMP_HOURLY_RATE-FIXED_SEASON_COST)</f>
        <v/>
      </c>
      <c r="AG364" s="53" t="str">
        <f aca="false">IF(OR($A364&gt;TOMATO_BED_CAP,$B364&gt;CARROT_BED_CAP,AG$4&gt;MESCLUN_BED_CAP,$A364+$B364+AG$4&gt;TOTAL_BEDS_AVAILABLE,($D364+AG$5)&gt;TOTAL_LABOR_HOURS_CAP,MAX(0,($D364+AG$5)-PERMANENT_FIELD_LABOR_HOURS)&gt;TEMP_HOURS_CAP),"",$C364+AG$6-MIN(($D364+AG$5),PERMANENT_FIELD_LABOR_HOURS)*PERMANENT_HOURLY_RATE-MAX(0,($D364+AG$5)-PERMANENT_FIELD_LABOR_HOURS)*TEMP_HOURLY_RATE-FIXED_SEASON_COST)</f>
        <v/>
      </c>
      <c r="AH364" s="53" t="str">
        <f aca="false">IF(OR($A364&gt;TOMATO_BED_CAP,$B364&gt;CARROT_BED_CAP,AH$4&gt;MESCLUN_BED_CAP,$A364+$B364+AH$4&gt;TOTAL_BEDS_AVAILABLE,($D364+AH$5)&gt;TOTAL_LABOR_HOURS_CAP,MAX(0,($D364+AH$5)-PERMANENT_FIELD_LABOR_HOURS)&gt;TEMP_HOURS_CAP),"",$C364+AH$6-MIN(($D364+AH$5),PERMANENT_FIELD_LABOR_HOURS)*PERMANENT_HOURLY_RATE-MAX(0,($D364+AH$5)-PERMANENT_FIELD_LABOR_HOURS)*TEMP_HOURLY_RATE-FIXED_SEASON_COST)</f>
        <v/>
      </c>
      <c r="AI364" s="53" t="str">
        <f aca="false">IF(OR($A364&gt;TOMATO_BED_CAP,$B364&gt;CARROT_BED_CAP,AI$4&gt;MESCLUN_BED_CAP,$A364+$B364+AI$4&gt;TOTAL_BEDS_AVAILABLE,($D364+AI$5)&gt;TOTAL_LABOR_HOURS_CAP,MAX(0,($D364+AI$5)-PERMANENT_FIELD_LABOR_HOURS)&gt;TEMP_HOURS_CAP),"",$C364+AI$6-MIN(($D364+AI$5),PERMANENT_FIELD_LABOR_HOURS)*PERMANENT_HOURLY_RATE-MAX(0,($D364+AI$5)-PERMANENT_FIELD_LABOR_HOURS)*TEMP_HOURLY_RATE-FIXED_SEASON_COST)</f>
        <v/>
      </c>
      <c r="AJ364" s="53" t="str">
        <f aca="false">IF(OR($A364&gt;TOMATO_BED_CAP,$B364&gt;CARROT_BED_CAP,AJ$4&gt;MESCLUN_BED_CAP,$A364+$B364+AJ$4&gt;TOTAL_BEDS_AVAILABLE,($D364+AJ$5)&gt;TOTAL_LABOR_HOURS_CAP,MAX(0,($D364+AJ$5)-PERMANENT_FIELD_LABOR_HOURS)&gt;TEMP_HOURS_CAP),"",$C364+AJ$6-MIN(($D364+AJ$5),PERMANENT_FIELD_LABOR_HOURS)*PERMANENT_HOURLY_RATE-MAX(0,($D364+AJ$5)-PERMANENT_FIELD_LABOR_HOURS)*TEMP_HOURLY_RATE-FIXED_SEASON_COST)</f>
        <v/>
      </c>
    </row>
    <row r="365" customFormat="false" ht="15" hidden="false" customHeight="false" outlineLevel="0" collapsed="false">
      <c r="A365" s="21" t="n">
        <f aca="false">INT((ROW()-ROW($A$8))/(20+1))</f>
        <v>17</v>
      </c>
      <c r="B365" s="21" t="n">
        <f aca="false">MOD(ROW()-ROW($A$8),20+1)</f>
        <v>0</v>
      </c>
      <c r="C365" s="13" t="n">
        <f aca="false">A365*(TOMATO_REVENUE_PER_BED-TOMATO_FERTILIZER_PER_BED)+B365*(CARROT_REVENUE_PER_BED-CARROT_FERTILIZER_PER_BED)</f>
        <v>134640</v>
      </c>
      <c r="D365" s="14" t="n">
        <f aca="false">INDEX(TOMATO_SCHED_LABOR_HRS,A365+1)+INDEX(CARROT_SCHED_LABOR_HRS,B365+1)</f>
        <v>7733.33953603921</v>
      </c>
      <c r="E365" s="13" t="str">
        <f aca="false">IF(COUNT(F365:AJ365)=0,"",MAX(F365:AJ365))</f>
        <v/>
      </c>
      <c r="F365" s="53" t="str">
        <f aca="false">IF(OR($A365&gt;TOMATO_BED_CAP,$B365&gt;CARROT_BED_CAP,F$4&gt;MESCLUN_BED_CAP,$A365+$B365+F$4&gt;TOTAL_BEDS_AVAILABLE,($D365+F$5)&gt;TOTAL_LABOR_HOURS_CAP,MAX(0,($D365+F$5)-PERMANENT_FIELD_LABOR_HOURS)&gt;TEMP_HOURS_CAP),"",$C365+F$6-MIN(($D365+F$5),PERMANENT_FIELD_LABOR_HOURS)*PERMANENT_HOURLY_RATE-MAX(0,($D365+F$5)-PERMANENT_FIELD_LABOR_HOURS)*TEMP_HOURLY_RATE-FIXED_SEASON_COST)</f>
        <v/>
      </c>
      <c r="G365" s="53" t="str">
        <f aca="false">IF(OR($A365&gt;TOMATO_BED_CAP,$B365&gt;CARROT_BED_CAP,G$4&gt;MESCLUN_BED_CAP,$A365+$B365+G$4&gt;TOTAL_BEDS_AVAILABLE,($D365+G$5)&gt;TOTAL_LABOR_HOURS_CAP,MAX(0,($D365+G$5)-PERMANENT_FIELD_LABOR_HOURS)&gt;TEMP_HOURS_CAP),"",$C365+G$6-MIN(($D365+G$5),PERMANENT_FIELD_LABOR_HOURS)*PERMANENT_HOURLY_RATE-MAX(0,($D365+G$5)-PERMANENT_FIELD_LABOR_HOURS)*TEMP_HOURLY_RATE-FIXED_SEASON_COST)</f>
        <v/>
      </c>
      <c r="H365" s="53" t="str">
        <f aca="false">IF(OR($A365&gt;TOMATO_BED_CAP,$B365&gt;CARROT_BED_CAP,H$4&gt;MESCLUN_BED_CAP,$A365+$B365+H$4&gt;TOTAL_BEDS_AVAILABLE,($D365+H$5)&gt;TOTAL_LABOR_HOURS_CAP,MAX(0,($D365+H$5)-PERMANENT_FIELD_LABOR_HOURS)&gt;TEMP_HOURS_CAP),"",$C365+H$6-MIN(($D365+H$5),PERMANENT_FIELD_LABOR_HOURS)*PERMANENT_HOURLY_RATE-MAX(0,($D365+H$5)-PERMANENT_FIELD_LABOR_HOURS)*TEMP_HOURLY_RATE-FIXED_SEASON_COST)</f>
        <v/>
      </c>
      <c r="I365" s="53" t="str">
        <f aca="false">IF(OR($A365&gt;TOMATO_BED_CAP,$B365&gt;CARROT_BED_CAP,I$4&gt;MESCLUN_BED_CAP,$A365+$B365+I$4&gt;TOTAL_BEDS_AVAILABLE,($D365+I$5)&gt;TOTAL_LABOR_HOURS_CAP,MAX(0,($D365+I$5)-PERMANENT_FIELD_LABOR_HOURS)&gt;TEMP_HOURS_CAP),"",$C365+I$6-MIN(($D365+I$5),PERMANENT_FIELD_LABOR_HOURS)*PERMANENT_HOURLY_RATE-MAX(0,($D365+I$5)-PERMANENT_FIELD_LABOR_HOURS)*TEMP_HOURLY_RATE-FIXED_SEASON_COST)</f>
        <v/>
      </c>
      <c r="J365" s="53" t="str">
        <f aca="false">IF(OR($A365&gt;TOMATO_BED_CAP,$B365&gt;CARROT_BED_CAP,J$4&gt;MESCLUN_BED_CAP,$A365+$B365+J$4&gt;TOTAL_BEDS_AVAILABLE,($D365+J$5)&gt;TOTAL_LABOR_HOURS_CAP,MAX(0,($D365+J$5)-PERMANENT_FIELD_LABOR_HOURS)&gt;TEMP_HOURS_CAP),"",$C365+J$6-MIN(($D365+J$5),PERMANENT_FIELD_LABOR_HOURS)*PERMANENT_HOURLY_RATE-MAX(0,($D365+J$5)-PERMANENT_FIELD_LABOR_HOURS)*TEMP_HOURLY_RATE-FIXED_SEASON_COST)</f>
        <v/>
      </c>
      <c r="K365" s="53" t="str">
        <f aca="false">IF(OR($A365&gt;TOMATO_BED_CAP,$B365&gt;CARROT_BED_CAP,K$4&gt;MESCLUN_BED_CAP,$A365+$B365+K$4&gt;TOTAL_BEDS_AVAILABLE,($D365+K$5)&gt;TOTAL_LABOR_HOURS_CAP,MAX(0,($D365+K$5)-PERMANENT_FIELD_LABOR_HOURS)&gt;TEMP_HOURS_CAP),"",$C365+K$6-MIN(($D365+K$5),PERMANENT_FIELD_LABOR_HOURS)*PERMANENT_HOURLY_RATE-MAX(0,($D365+K$5)-PERMANENT_FIELD_LABOR_HOURS)*TEMP_HOURLY_RATE-FIXED_SEASON_COST)</f>
        <v/>
      </c>
      <c r="L365" s="53" t="str">
        <f aca="false">IF(OR($A365&gt;TOMATO_BED_CAP,$B365&gt;CARROT_BED_CAP,L$4&gt;MESCLUN_BED_CAP,$A365+$B365+L$4&gt;TOTAL_BEDS_AVAILABLE,($D365+L$5)&gt;TOTAL_LABOR_HOURS_CAP,MAX(0,($D365+L$5)-PERMANENT_FIELD_LABOR_HOURS)&gt;TEMP_HOURS_CAP),"",$C365+L$6-MIN(($D365+L$5),PERMANENT_FIELD_LABOR_HOURS)*PERMANENT_HOURLY_RATE-MAX(0,($D365+L$5)-PERMANENT_FIELD_LABOR_HOURS)*TEMP_HOURLY_RATE-FIXED_SEASON_COST)</f>
        <v/>
      </c>
      <c r="M365" s="53" t="str">
        <f aca="false">IF(OR($A365&gt;TOMATO_BED_CAP,$B365&gt;CARROT_BED_CAP,M$4&gt;MESCLUN_BED_CAP,$A365+$B365+M$4&gt;TOTAL_BEDS_AVAILABLE,($D365+M$5)&gt;TOTAL_LABOR_HOURS_CAP,MAX(0,($D365+M$5)-PERMANENT_FIELD_LABOR_HOURS)&gt;TEMP_HOURS_CAP),"",$C365+M$6-MIN(($D365+M$5),PERMANENT_FIELD_LABOR_HOURS)*PERMANENT_HOURLY_RATE-MAX(0,($D365+M$5)-PERMANENT_FIELD_LABOR_HOURS)*TEMP_HOURLY_RATE-FIXED_SEASON_COST)</f>
        <v/>
      </c>
      <c r="N365" s="53" t="str">
        <f aca="false">IF(OR($A365&gt;TOMATO_BED_CAP,$B365&gt;CARROT_BED_CAP,N$4&gt;MESCLUN_BED_CAP,$A365+$B365+N$4&gt;TOTAL_BEDS_AVAILABLE,($D365+N$5)&gt;TOTAL_LABOR_HOURS_CAP,MAX(0,($D365+N$5)-PERMANENT_FIELD_LABOR_HOURS)&gt;TEMP_HOURS_CAP),"",$C365+N$6-MIN(($D365+N$5),PERMANENT_FIELD_LABOR_HOURS)*PERMANENT_HOURLY_RATE-MAX(0,($D365+N$5)-PERMANENT_FIELD_LABOR_HOURS)*TEMP_HOURLY_RATE-FIXED_SEASON_COST)</f>
        <v/>
      </c>
      <c r="O365" s="53" t="str">
        <f aca="false">IF(OR($A365&gt;TOMATO_BED_CAP,$B365&gt;CARROT_BED_CAP,O$4&gt;MESCLUN_BED_CAP,$A365+$B365+O$4&gt;TOTAL_BEDS_AVAILABLE,($D365+O$5)&gt;TOTAL_LABOR_HOURS_CAP,MAX(0,($D365+O$5)-PERMANENT_FIELD_LABOR_HOURS)&gt;TEMP_HOURS_CAP),"",$C365+O$6-MIN(($D365+O$5),PERMANENT_FIELD_LABOR_HOURS)*PERMANENT_HOURLY_RATE-MAX(0,($D365+O$5)-PERMANENT_FIELD_LABOR_HOURS)*TEMP_HOURLY_RATE-FIXED_SEASON_COST)</f>
        <v/>
      </c>
      <c r="P365" s="53" t="str">
        <f aca="false">IF(OR($A365&gt;TOMATO_BED_CAP,$B365&gt;CARROT_BED_CAP,P$4&gt;MESCLUN_BED_CAP,$A365+$B365+P$4&gt;TOTAL_BEDS_AVAILABLE,($D365+P$5)&gt;TOTAL_LABOR_HOURS_CAP,MAX(0,($D365+P$5)-PERMANENT_FIELD_LABOR_HOURS)&gt;TEMP_HOURS_CAP),"",$C365+P$6-MIN(($D365+P$5),PERMANENT_FIELD_LABOR_HOURS)*PERMANENT_HOURLY_RATE-MAX(0,($D365+P$5)-PERMANENT_FIELD_LABOR_HOURS)*TEMP_HOURLY_RATE-FIXED_SEASON_COST)</f>
        <v/>
      </c>
      <c r="Q365" s="53" t="str">
        <f aca="false">IF(OR($A365&gt;TOMATO_BED_CAP,$B365&gt;CARROT_BED_CAP,Q$4&gt;MESCLUN_BED_CAP,$A365+$B365+Q$4&gt;TOTAL_BEDS_AVAILABLE,($D365+Q$5)&gt;TOTAL_LABOR_HOURS_CAP,MAX(0,($D365+Q$5)-PERMANENT_FIELD_LABOR_HOURS)&gt;TEMP_HOURS_CAP),"",$C365+Q$6-MIN(($D365+Q$5),PERMANENT_FIELD_LABOR_HOURS)*PERMANENT_HOURLY_RATE-MAX(0,($D365+Q$5)-PERMANENT_FIELD_LABOR_HOURS)*TEMP_HOURLY_RATE-FIXED_SEASON_COST)</f>
        <v/>
      </c>
      <c r="R365" s="53" t="str">
        <f aca="false">IF(OR($A365&gt;TOMATO_BED_CAP,$B365&gt;CARROT_BED_CAP,R$4&gt;MESCLUN_BED_CAP,$A365+$B365+R$4&gt;TOTAL_BEDS_AVAILABLE,($D365+R$5)&gt;TOTAL_LABOR_HOURS_CAP,MAX(0,($D365+R$5)-PERMANENT_FIELD_LABOR_HOURS)&gt;TEMP_HOURS_CAP),"",$C365+R$6-MIN(($D365+R$5),PERMANENT_FIELD_LABOR_HOURS)*PERMANENT_HOURLY_RATE-MAX(0,($D365+R$5)-PERMANENT_FIELD_LABOR_HOURS)*TEMP_HOURLY_RATE-FIXED_SEASON_COST)</f>
        <v/>
      </c>
      <c r="S365" s="53" t="str">
        <f aca="false">IF(OR($A365&gt;TOMATO_BED_CAP,$B365&gt;CARROT_BED_CAP,S$4&gt;MESCLUN_BED_CAP,$A365+$B365+S$4&gt;TOTAL_BEDS_AVAILABLE,($D365+S$5)&gt;TOTAL_LABOR_HOURS_CAP,MAX(0,($D365+S$5)-PERMANENT_FIELD_LABOR_HOURS)&gt;TEMP_HOURS_CAP),"",$C365+S$6-MIN(($D365+S$5),PERMANENT_FIELD_LABOR_HOURS)*PERMANENT_HOURLY_RATE-MAX(0,($D365+S$5)-PERMANENT_FIELD_LABOR_HOURS)*TEMP_HOURLY_RATE-FIXED_SEASON_COST)</f>
        <v/>
      </c>
      <c r="T365" s="53" t="str">
        <f aca="false">IF(OR($A365&gt;TOMATO_BED_CAP,$B365&gt;CARROT_BED_CAP,T$4&gt;MESCLUN_BED_CAP,$A365+$B365+T$4&gt;TOTAL_BEDS_AVAILABLE,($D365+T$5)&gt;TOTAL_LABOR_HOURS_CAP,MAX(0,($D365+T$5)-PERMANENT_FIELD_LABOR_HOURS)&gt;TEMP_HOURS_CAP),"",$C365+T$6-MIN(($D365+T$5),PERMANENT_FIELD_LABOR_HOURS)*PERMANENT_HOURLY_RATE-MAX(0,($D365+T$5)-PERMANENT_FIELD_LABOR_HOURS)*TEMP_HOURLY_RATE-FIXED_SEASON_COST)</f>
        <v/>
      </c>
      <c r="U365" s="53" t="str">
        <f aca="false">IF(OR($A365&gt;TOMATO_BED_CAP,$B365&gt;CARROT_BED_CAP,U$4&gt;MESCLUN_BED_CAP,$A365+$B365+U$4&gt;TOTAL_BEDS_AVAILABLE,($D365+U$5)&gt;TOTAL_LABOR_HOURS_CAP,MAX(0,($D365+U$5)-PERMANENT_FIELD_LABOR_HOURS)&gt;TEMP_HOURS_CAP),"",$C365+U$6-MIN(($D365+U$5),PERMANENT_FIELD_LABOR_HOURS)*PERMANENT_HOURLY_RATE-MAX(0,($D365+U$5)-PERMANENT_FIELD_LABOR_HOURS)*TEMP_HOURLY_RATE-FIXED_SEASON_COST)</f>
        <v/>
      </c>
      <c r="V365" s="53" t="str">
        <f aca="false">IF(OR($A365&gt;TOMATO_BED_CAP,$B365&gt;CARROT_BED_CAP,V$4&gt;MESCLUN_BED_CAP,$A365+$B365+V$4&gt;TOTAL_BEDS_AVAILABLE,($D365+V$5)&gt;TOTAL_LABOR_HOURS_CAP,MAX(0,($D365+V$5)-PERMANENT_FIELD_LABOR_HOURS)&gt;TEMP_HOURS_CAP),"",$C365+V$6-MIN(($D365+V$5),PERMANENT_FIELD_LABOR_HOURS)*PERMANENT_HOURLY_RATE-MAX(0,($D365+V$5)-PERMANENT_FIELD_LABOR_HOURS)*TEMP_HOURLY_RATE-FIXED_SEASON_COST)</f>
        <v/>
      </c>
      <c r="W365" s="53" t="str">
        <f aca="false">IF(OR($A365&gt;TOMATO_BED_CAP,$B365&gt;CARROT_BED_CAP,W$4&gt;MESCLUN_BED_CAP,$A365+$B365+W$4&gt;TOTAL_BEDS_AVAILABLE,($D365+W$5)&gt;TOTAL_LABOR_HOURS_CAP,MAX(0,($D365+W$5)-PERMANENT_FIELD_LABOR_HOURS)&gt;TEMP_HOURS_CAP),"",$C365+W$6-MIN(($D365+W$5),PERMANENT_FIELD_LABOR_HOURS)*PERMANENT_HOURLY_RATE-MAX(0,($D365+W$5)-PERMANENT_FIELD_LABOR_HOURS)*TEMP_HOURLY_RATE-FIXED_SEASON_COST)</f>
        <v/>
      </c>
      <c r="X365" s="53" t="str">
        <f aca="false">IF(OR($A365&gt;TOMATO_BED_CAP,$B365&gt;CARROT_BED_CAP,X$4&gt;MESCLUN_BED_CAP,$A365+$B365+X$4&gt;TOTAL_BEDS_AVAILABLE,($D365+X$5)&gt;TOTAL_LABOR_HOURS_CAP,MAX(0,($D365+X$5)-PERMANENT_FIELD_LABOR_HOURS)&gt;TEMP_HOURS_CAP),"",$C365+X$6-MIN(($D365+X$5),PERMANENT_FIELD_LABOR_HOURS)*PERMANENT_HOURLY_RATE-MAX(0,($D365+X$5)-PERMANENT_FIELD_LABOR_HOURS)*TEMP_HOURLY_RATE-FIXED_SEASON_COST)</f>
        <v/>
      </c>
      <c r="Y365" s="53" t="str">
        <f aca="false">IF(OR($A365&gt;TOMATO_BED_CAP,$B365&gt;CARROT_BED_CAP,Y$4&gt;MESCLUN_BED_CAP,$A365+$B365+Y$4&gt;TOTAL_BEDS_AVAILABLE,($D365+Y$5)&gt;TOTAL_LABOR_HOURS_CAP,MAX(0,($D365+Y$5)-PERMANENT_FIELD_LABOR_HOURS)&gt;TEMP_HOURS_CAP),"",$C365+Y$6-MIN(($D365+Y$5),PERMANENT_FIELD_LABOR_HOURS)*PERMANENT_HOURLY_RATE-MAX(0,($D365+Y$5)-PERMANENT_FIELD_LABOR_HOURS)*TEMP_HOURLY_RATE-FIXED_SEASON_COST)</f>
        <v/>
      </c>
      <c r="Z365" s="53" t="str">
        <f aca="false">IF(OR($A365&gt;TOMATO_BED_CAP,$B365&gt;CARROT_BED_CAP,Z$4&gt;MESCLUN_BED_CAP,$A365+$B365+Z$4&gt;TOTAL_BEDS_AVAILABLE,($D365+Z$5)&gt;TOTAL_LABOR_HOURS_CAP,MAX(0,($D365+Z$5)-PERMANENT_FIELD_LABOR_HOURS)&gt;TEMP_HOURS_CAP),"",$C365+Z$6-MIN(($D365+Z$5),PERMANENT_FIELD_LABOR_HOURS)*PERMANENT_HOURLY_RATE-MAX(0,($D365+Z$5)-PERMANENT_FIELD_LABOR_HOURS)*TEMP_HOURLY_RATE-FIXED_SEASON_COST)</f>
        <v/>
      </c>
      <c r="AA365" s="53" t="str">
        <f aca="false">IF(OR($A365&gt;TOMATO_BED_CAP,$B365&gt;CARROT_BED_CAP,AA$4&gt;MESCLUN_BED_CAP,$A365+$B365+AA$4&gt;TOTAL_BEDS_AVAILABLE,($D365+AA$5)&gt;TOTAL_LABOR_HOURS_CAP,MAX(0,($D365+AA$5)-PERMANENT_FIELD_LABOR_HOURS)&gt;TEMP_HOURS_CAP),"",$C365+AA$6-MIN(($D365+AA$5),PERMANENT_FIELD_LABOR_HOURS)*PERMANENT_HOURLY_RATE-MAX(0,($D365+AA$5)-PERMANENT_FIELD_LABOR_HOURS)*TEMP_HOURLY_RATE-FIXED_SEASON_COST)</f>
        <v/>
      </c>
      <c r="AB365" s="53" t="str">
        <f aca="false">IF(OR($A365&gt;TOMATO_BED_CAP,$B365&gt;CARROT_BED_CAP,AB$4&gt;MESCLUN_BED_CAP,$A365+$B365+AB$4&gt;TOTAL_BEDS_AVAILABLE,($D365+AB$5)&gt;TOTAL_LABOR_HOURS_CAP,MAX(0,($D365+AB$5)-PERMANENT_FIELD_LABOR_HOURS)&gt;TEMP_HOURS_CAP),"",$C365+AB$6-MIN(($D365+AB$5),PERMANENT_FIELD_LABOR_HOURS)*PERMANENT_HOURLY_RATE-MAX(0,($D365+AB$5)-PERMANENT_FIELD_LABOR_HOURS)*TEMP_HOURLY_RATE-FIXED_SEASON_COST)</f>
        <v/>
      </c>
      <c r="AC365" s="53" t="str">
        <f aca="false">IF(OR($A365&gt;TOMATO_BED_CAP,$B365&gt;CARROT_BED_CAP,AC$4&gt;MESCLUN_BED_CAP,$A365+$B365+AC$4&gt;TOTAL_BEDS_AVAILABLE,($D365+AC$5)&gt;TOTAL_LABOR_HOURS_CAP,MAX(0,($D365+AC$5)-PERMANENT_FIELD_LABOR_HOURS)&gt;TEMP_HOURS_CAP),"",$C365+AC$6-MIN(($D365+AC$5),PERMANENT_FIELD_LABOR_HOURS)*PERMANENT_HOURLY_RATE-MAX(0,($D365+AC$5)-PERMANENT_FIELD_LABOR_HOURS)*TEMP_HOURLY_RATE-FIXED_SEASON_COST)</f>
        <v/>
      </c>
      <c r="AD365" s="53" t="str">
        <f aca="false">IF(OR($A365&gt;TOMATO_BED_CAP,$B365&gt;CARROT_BED_CAP,AD$4&gt;MESCLUN_BED_CAP,$A365+$B365+AD$4&gt;TOTAL_BEDS_AVAILABLE,($D365+AD$5)&gt;TOTAL_LABOR_HOURS_CAP,MAX(0,($D365+AD$5)-PERMANENT_FIELD_LABOR_HOURS)&gt;TEMP_HOURS_CAP),"",$C365+AD$6-MIN(($D365+AD$5),PERMANENT_FIELD_LABOR_HOURS)*PERMANENT_HOURLY_RATE-MAX(0,($D365+AD$5)-PERMANENT_FIELD_LABOR_HOURS)*TEMP_HOURLY_RATE-FIXED_SEASON_COST)</f>
        <v/>
      </c>
      <c r="AE365" s="53" t="str">
        <f aca="false">IF(OR($A365&gt;TOMATO_BED_CAP,$B365&gt;CARROT_BED_CAP,AE$4&gt;MESCLUN_BED_CAP,$A365+$B365+AE$4&gt;TOTAL_BEDS_AVAILABLE,($D365+AE$5)&gt;TOTAL_LABOR_HOURS_CAP,MAX(0,($D365+AE$5)-PERMANENT_FIELD_LABOR_HOURS)&gt;TEMP_HOURS_CAP),"",$C365+AE$6-MIN(($D365+AE$5),PERMANENT_FIELD_LABOR_HOURS)*PERMANENT_HOURLY_RATE-MAX(0,($D365+AE$5)-PERMANENT_FIELD_LABOR_HOURS)*TEMP_HOURLY_RATE-FIXED_SEASON_COST)</f>
        <v/>
      </c>
      <c r="AF365" s="53" t="str">
        <f aca="false">IF(OR($A365&gt;TOMATO_BED_CAP,$B365&gt;CARROT_BED_CAP,AF$4&gt;MESCLUN_BED_CAP,$A365+$B365+AF$4&gt;TOTAL_BEDS_AVAILABLE,($D365+AF$5)&gt;TOTAL_LABOR_HOURS_CAP,MAX(0,($D365+AF$5)-PERMANENT_FIELD_LABOR_HOURS)&gt;TEMP_HOURS_CAP),"",$C365+AF$6-MIN(($D365+AF$5),PERMANENT_FIELD_LABOR_HOURS)*PERMANENT_HOURLY_RATE-MAX(0,($D365+AF$5)-PERMANENT_FIELD_LABOR_HOURS)*TEMP_HOURLY_RATE-FIXED_SEASON_COST)</f>
        <v/>
      </c>
      <c r="AG365" s="53" t="str">
        <f aca="false">IF(OR($A365&gt;TOMATO_BED_CAP,$B365&gt;CARROT_BED_CAP,AG$4&gt;MESCLUN_BED_CAP,$A365+$B365+AG$4&gt;TOTAL_BEDS_AVAILABLE,($D365+AG$5)&gt;TOTAL_LABOR_HOURS_CAP,MAX(0,($D365+AG$5)-PERMANENT_FIELD_LABOR_HOURS)&gt;TEMP_HOURS_CAP),"",$C365+AG$6-MIN(($D365+AG$5),PERMANENT_FIELD_LABOR_HOURS)*PERMANENT_HOURLY_RATE-MAX(0,($D365+AG$5)-PERMANENT_FIELD_LABOR_HOURS)*TEMP_HOURLY_RATE-FIXED_SEASON_COST)</f>
        <v/>
      </c>
      <c r="AH365" s="53" t="str">
        <f aca="false">IF(OR($A365&gt;TOMATO_BED_CAP,$B365&gt;CARROT_BED_CAP,AH$4&gt;MESCLUN_BED_CAP,$A365+$B365+AH$4&gt;TOTAL_BEDS_AVAILABLE,($D365+AH$5)&gt;TOTAL_LABOR_HOURS_CAP,MAX(0,($D365+AH$5)-PERMANENT_FIELD_LABOR_HOURS)&gt;TEMP_HOURS_CAP),"",$C365+AH$6-MIN(($D365+AH$5),PERMANENT_FIELD_LABOR_HOURS)*PERMANENT_HOURLY_RATE-MAX(0,($D365+AH$5)-PERMANENT_FIELD_LABOR_HOURS)*TEMP_HOURLY_RATE-FIXED_SEASON_COST)</f>
        <v/>
      </c>
      <c r="AI365" s="53" t="str">
        <f aca="false">IF(OR($A365&gt;TOMATO_BED_CAP,$B365&gt;CARROT_BED_CAP,AI$4&gt;MESCLUN_BED_CAP,$A365+$B365+AI$4&gt;TOTAL_BEDS_AVAILABLE,($D365+AI$5)&gt;TOTAL_LABOR_HOURS_CAP,MAX(0,($D365+AI$5)-PERMANENT_FIELD_LABOR_HOURS)&gt;TEMP_HOURS_CAP),"",$C365+AI$6-MIN(($D365+AI$5),PERMANENT_FIELD_LABOR_HOURS)*PERMANENT_HOURLY_RATE-MAX(0,($D365+AI$5)-PERMANENT_FIELD_LABOR_HOURS)*TEMP_HOURLY_RATE-FIXED_SEASON_COST)</f>
        <v/>
      </c>
      <c r="AJ365" s="53" t="str">
        <f aca="false">IF(OR($A365&gt;TOMATO_BED_CAP,$B365&gt;CARROT_BED_CAP,AJ$4&gt;MESCLUN_BED_CAP,$A365+$B365+AJ$4&gt;TOTAL_BEDS_AVAILABLE,($D365+AJ$5)&gt;TOTAL_LABOR_HOURS_CAP,MAX(0,($D365+AJ$5)-PERMANENT_FIELD_LABOR_HOURS)&gt;TEMP_HOURS_CAP),"",$C365+AJ$6-MIN(($D365+AJ$5),PERMANENT_FIELD_LABOR_HOURS)*PERMANENT_HOURLY_RATE-MAX(0,($D365+AJ$5)-PERMANENT_FIELD_LABOR_HOURS)*TEMP_HOURLY_RATE-FIXED_SEASON_COST)</f>
        <v/>
      </c>
    </row>
    <row r="366" customFormat="false" ht="15" hidden="false" customHeight="false" outlineLevel="0" collapsed="false">
      <c r="A366" s="21" t="n">
        <f aca="false">INT((ROW()-ROW($A$8))/(20+1))</f>
        <v>17</v>
      </c>
      <c r="B366" s="21" t="n">
        <f aca="false">MOD(ROW()-ROW($A$8),20+1)</f>
        <v>1</v>
      </c>
      <c r="C366" s="13" t="n">
        <f aca="false">A366*(TOMATO_REVENUE_PER_BED-TOMATO_FERTILIZER_PER_BED)+B366*(CARROT_REVENUE_PER_BED-CARROT_FERTILIZER_PER_BED)</f>
        <v>136294</v>
      </c>
      <c r="D366" s="14" t="n">
        <f aca="false">INDEX(TOMATO_SCHED_LABOR_HRS,A366+1)+INDEX(CARROT_SCHED_LABOR_HRS,B366+1)</f>
        <v>7764.07723603921</v>
      </c>
      <c r="E366" s="13" t="str">
        <f aca="false">IF(COUNT(F366:AJ366)=0,"",MAX(F366:AJ366))</f>
        <v/>
      </c>
      <c r="F366" s="53" t="str">
        <f aca="false">IF(OR($A366&gt;TOMATO_BED_CAP,$B366&gt;CARROT_BED_CAP,F$4&gt;MESCLUN_BED_CAP,$A366+$B366+F$4&gt;TOTAL_BEDS_AVAILABLE,($D366+F$5)&gt;TOTAL_LABOR_HOURS_CAP,MAX(0,($D366+F$5)-PERMANENT_FIELD_LABOR_HOURS)&gt;TEMP_HOURS_CAP),"",$C366+F$6-MIN(($D366+F$5),PERMANENT_FIELD_LABOR_HOURS)*PERMANENT_HOURLY_RATE-MAX(0,($D366+F$5)-PERMANENT_FIELD_LABOR_HOURS)*TEMP_HOURLY_RATE-FIXED_SEASON_COST)</f>
        <v/>
      </c>
      <c r="G366" s="53" t="str">
        <f aca="false">IF(OR($A366&gt;TOMATO_BED_CAP,$B366&gt;CARROT_BED_CAP,G$4&gt;MESCLUN_BED_CAP,$A366+$B366+G$4&gt;TOTAL_BEDS_AVAILABLE,($D366+G$5)&gt;TOTAL_LABOR_HOURS_CAP,MAX(0,($D366+G$5)-PERMANENT_FIELD_LABOR_HOURS)&gt;TEMP_HOURS_CAP),"",$C366+G$6-MIN(($D366+G$5),PERMANENT_FIELD_LABOR_HOURS)*PERMANENT_HOURLY_RATE-MAX(0,($D366+G$5)-PERMANENT_FIELD_LABOR_HOURS)*TEMP_HOURLY_RATE-FIXED_SEASON_COST)</f>
        <v/>
      </c>
      <c r="H366" s="53" t="str">
        <f aca="false">IF(OR($A366&gt;TOMATO_BED_CAP,$B366&gt;CARROT_BED_CAP,H$4&gt;MESCLUN_BED_CAP,$A366+$B366+H$4&gt;TOTAL_BEDS_AVAILABLE,($D366+H$5)&gt;TOTAL_LABOR_HOURS_CAP,MAX(0,($D366+H$5)-PERMANENT_FIELD_LABOR_HOURS)&gt;TEMP_HOURS_CAP),"",$C366+H$6-MIN(($D366+H$5),PERMANENT_FIELD_LABOR_HOURS)*PERMANENT_HOURLY_RATE-MAX(0,($D366+H$5)-PERMANENT_FIELD_LABOR_HOURS)*TEMP_HOURLY_RATE-FIXED_SEASON_COST)</f>
        <v/>
      </c>
      <c r="I366" s="53" t="str">
        <f aca="false">IF(OR($A366&gt;TOMATO_BED_CAP,$B366&gt;CARROT_BED_CAP,I$4&gt;MESCLUN_BED_CAP,$A366+$B366+I$4&gt;TOTAL_BEDS_AVAILABLE,($D366+I$5)&gt;TOTAL_LABOR_HOURS_CAP,MAX(0,($D366+I$5)-PERMANENT_FIELD_LABOR_HOURS)&gt;TEMP_HOURS_CAP),"",$C366+I$6-MIN(($D366+I$5),PERMANENT_FIELD_LABOR_HOURS)*PERMANENT_HOURLY_RATE-MAX(0,($D366+I$5)-PERMANENT_FIELD_LABOR_HOURS)*TEMP_HOURLY_RATE-FIXED_SEASON_COST)</f>
        <v/>
      </c>
      <c r="J366" s="53" t="str">
        <f aca="false">IF(OR($A366&gt;TOMATO_BED_CAP,$B366&gt;CARROT_BED_CAP,J$4&gt;MESCLUN_BED_CAP,$A366+$B366+J$4&gt;TOTAL_BEDS_AVAILABLE,($D366+J$5)&gt;TOTAL_LABOR_HOURS_CAP,MAX(0,($D366+J$5)-PERMANENT_FIELD_LABOR_HOURS)&gt;TEMP_HOURS_CAP),"",$C366+J$6-MIN(($D366+J$5),PERMANENT_FIELD_LABOR_HOURS)*PERMANENT_HOURLY_RATE-MAX(0,($D366+J$5)-PERMANENT_FIELD_LABOR_HOURS)*TEMP_HOURLY_RATE-FIXED_SEASON_COST)</f>
        <v/>
      </c>
      <c r="K366" s="53" t="str">
        <f aca="false">IF(OR($A366&gt;TOMATO_BED_CAP,$B366&gt;CARROT_BED_CAP,K$4&gt;MESCLUN_BED_CAP,$A366+$B366+K$4&gt;TOTAL_BEDS_AVAILABLE,($D366+K$5)&gt;TOTAL_LABOR_HOURS_CAP,MAX(0,($D366+K$5)-PERMANENT_FIELD_LABOR_HOURS)&gt;TEMP_HOURS_CAP),"",$C366+K$6-MIN(($D366+K$5),PERMANENT_FIELD_LABOR_HOURS)*PERMANENT_HOURLY_RATE-MAX(0,($D366+K$5)-PERMANENT_FIELD_LABOR_HOURS)*TEMP_HOURLY_RATE-FIXED_SEASON_COST)</f>
        <v/>
      </c>
      <c r="L366" s="53" t="str">
        <f aca="false">IF(OR($A366&gt;TOMATO_BED_CAP,$B366&gt;CARROT_BED_CAP,L$4&gt;MESCLUN_BED_CAP,$A366+$B366+L$4&gt;TOTAL_BEDS_AVAILABLE,($D366+L$5)&gt;TOTAL_LABOR_HOURS_CAP,MAX(0,($D366+L$5)-PERMANENT_FIELD_LABOR_HOURS)&gt;TEMP_HOURS_CAP),"",$C366+L$6-MIN(($D366+L$5),PERMANENT_FIELD_LABOR_HOURS)*PERMANENT_HOURLY_RATE-MAX(0,($D366+L$5)-PERMANENT_FIELD_LABOR_HOURS)*TEMP_HOURLY_RATE-FIXED_SEASON_COST)</f>
        <v/>
      </c>
      <c r="M366" s="53" t="str">
        <f aca="false">IF(OR($A366&gt;TOMATO_BED_CAP,$B366&gt;CARROT_BED_CAP,M$4&gt;MESCLUN_BED_CAP,$A366+$B366+M$4&gt;TOTAL_BEDS_AVAILABLE,($D366+M$5)&gt;TOTAL_LABOR_HOURS_CAP,MAX(0,($D366+M$5)-PERMANENT_FIELD_LABOR_HOURS)&gt;TEMP_HOURS_CAP),"",$C366+M$6-MIN(($D366+M$5),PERMANENT_FIELD_LABOR_HOURS)*PERMANENT_HOURLY_RATE-MAX(0,($D366+M$5)-PERMANENT_FIELD_LABOR_HOURS)*TEMP_HOURLY_RATE-FIXED_SEASON_COST)</f>
        <v/>
      </c>
      <c r="N366" s="53" t="str">
        <f aca="false">IF(OR($A366&gt;TOMATO_BED_CAP,$B366&gt;CARROT_BED_CAP,N$4&gt;MESCLUN_BED_CAP,$A366+$B366+N$4&gt;TOTAL_BEDS_AVAILABLE,($D366+N$5)&gt;TOTAL_LABOR_HOURS_CAP,MAX(0,($D366+N$5)-PERMANENT_FIELD_LABOR_HOURS)&gt;TEMP_HOURS_CAP),"",$C366+N$6-MIN(($D366+N$5),PERMANENT_FIELD_LABOR_HOURS)*PERMANENT_HOURLY_RATE-MAX(0,($D366+N$5)-PERMANENT_FIELD_LABOR_HOURS)*TEMP_HOURLY_RATE-FIXED_SEASON_COST)</f>
        <v/>
      </c>
      <c r="O366" s="53" t="str">
        <f aca="false">IF(OR($A366&gt;TOMATO_BED_CAP,$B366&gt;CARROT_BED_CAP,O$4&gt;MESCLUN_BED_CAP,$A366+$B366+O$4&gt;TOTAL_BEDS_AVAILABLE,($D366+O$5)&gt;TOTAL_LABOR_HOURS_CAP,MAX(0,($D366+O$5)-PERMANENT_FIELD_LABOR_HOURS)&gt;TEMP_HOURS_CAP),"",$C366+O$6-MIN(($D366+O$5),PERMANENT_FIELD_LABOR_HOURS)*PERMANENT_HOURLY_RATE-MAX(0,($D366+O$5)-PERMANENT_FIELD_LABOR_HOURS)*TEMP_HOURLY_RATE-FIXED_SEASON_COST)</f>
        <v/>
      </c>
      <c r="P366" s="53" t="str">
        <f aca="false">IF(OR($A366&gt;TOMATO_BED_CAP,$B366&gt;CARROT_BED_CAP,P$4&gt;MESCLUN_BED_CAP,$A366+$B366+P$4&gt;TOTAL_BEDS_AVAILABLE,($D366+P$5)&gt;TOTAL_LABOR_HOURS_CAP,MAX(0,($D366+P$5)-PERMANENT_FIELD_LABOR_HOURS)&gt;TEMP_HOURS_CAP),"",$C366+P$6-MIN(($D366+P$5),PERMANENT_FIELD_LABOR_HOURS)*PERMANENT_HOURLY_RATE-MAX(0,($D366+P$5)-PERMANENT_FIELD_LABOR_HOURS)*TEMP_HOURLY_RATE-FIXED_SEASON_COST)</f>
        <v/>
      </c>
      <c r="Q366" s="53" t="str">
        <f aca="false">IF(OR($A366&gt;TOMATO_BED_CAP,$B366&gt;CARROT_BED_CAP,Q$4&gt;MESCLUN_BED_CAP,$A366+$B366+Q$4&gt;TOTAL_BEDS_AVAILABLE,($D366+Q$5)&gt;TOTAL_LABOR_HOURS_CAP,MAX(0,($D366+Q$5)-PERMANENT_FIELD_LABOR_HOURS)&gt;TEMP_HOURS_CAP),"",$C366+Q$6-MIN(($D366+Q$5),PERMANENT_FIELD_LABOR_HOURS)*PERMANENT_HOURLY_RATE-MAX(0,($D366+Q$5)-PERMANENT_FIELD_LABOR_HOURS)*TEMP_HOURLY_RATE-FIXED_SEASON_COST)</f>
        <v/>
      </c>
      <c r="R366" s="53" t="str">
        <f aca="false">IF(OR($A366&gt;TOMATO_BED_CAP,$B366&gt;CARROT_BED_CAP,R$4&gt;MESCLUN_BED_CAP,$A366+$B366+R$4&gt;TOTAL_BEDS_AVAILABLE,($D366+R$5)&gt;TOTAL_LABOR_HOURS_CAP,MAX(0,($D366+R$5)-PERMANENT_FIELD_LABOR_HOURS)&gt;TEMP_HOURS_CAP),"",$C366+R$6-MIN(($D366+R$5),PERMANENT_FIELD_LABOR_HOURS)*PERMANENT_HOURLY_RATE-MAX(0,($D366+R$5)-PERMANENT_FIELD_LABOR_HOURS)*TEMP_HOURLY_RATE-FIXED_SEASON_COST)</f>
        <v/>
      </c>
      <c r="S366" s="53" t="str">
        <f aca="false">IF(OR($A366&gt;TOMATO_BED_CAP,$B366&gt;CARROT_BED_CAP,S$4&gt;MESCLUN_BED_CAP,$A366+$B366+S$4&gt;TOTAL_BEDS_AVAILABLE,($D366+S$5)&gt;TOTAL_LABOR_HOURS_CAP,MAX(0,($D366+S$5)-PERMANENT_FIELD_LABOR_HOURS)&gt;TEMP_HOURS_CAP),"",$C366+S$6-MIN(($D366+S$5),PERMANENT_FIELD_LABOR_HOURS)*PERMANENT_HOURLY_RATE-MAX(0,($D366+S$5)-PERMANENT_FIELD_LABOR_HOURS)*TEMP_HOURLY_RATE-FIXED_SEASON_COST)</f>
        <v/>
      </c>
      <c r="T366" s="53" t="str">
        <f aca="false">IF(OR($A366&gt;TOMATO_BED_CAP,$B366&gt;CARROT_BED_CAP,T$4&gt;MESCLUN_BED_CAP,$A366+$B366+T$4&gt;TOTAL_BEDS_AVAILABLE,($D366+T$5)&gt;TOTAL_LABOR_HOURS_CAP,MAX(0,($D366+T$5)-PERMANENT_FIELD_LABOR_HOURS)&gt;TEMP_HOURS_CAP),"",$C366+T$6-MIN(($D366+T$5),PERMANENT_FIELD_LABOR_HOURS)*PERMANENT_HOURLY_RATE-MAX(0,($D366+T$5)-PERMANENT_FIELD_LABOR_HOURS)*TEMP_HOURLY_RATE-FIXED_SEASON_COST)</f>
        <v/>
      </c>
      <c r="U366" s="53" t="str">
        <f aca="false">IF(OR($A366&gt;TOMATO_BED_CAP,$B366&gt;CARROT_BED_CAP,U$4&gt;MESCLUN_BED_CAP,$A366+$B366+U$4&gt;TOTAL_BEDS_AVAILABLE,($D366+U$5)&gt;TOTAL_LABOR_HOURS_CAP,MAX(0,($D366+U$5)-PERMANENT_FIELD_LABOR_HOURS)&gt;TEMP_HOURS_CAP),"",$C366+U$6-MIN(($D366+U$5),PERMANENT_FIELD_LABOR_HOURS)*PERMANENT_HOURLY_RATE-MAX(0,($D366+U$5)-PERMANENT_FIELD_LABOR_HOURS)*TEMP_HOURLY_RATE-FIXED_SEASON_COST)</f>
        <v/>
      </c>
      <c r="V366" s="53" t="str">
        <f aca="false">IF(OR($A366&gt;TOMATO_BED_CAP,$B366&gt;CARROT_BED_CAP,V$4&gt;MESCLUN_BED_CAP,$A366+$B366+V$4&gt;TOTAL_BEDS_AVAILABLE,($D366+V$5)&gt;TOTAL_LABOR_HOURS_CAP,MAX(0,($D366+V$5)-PERMANENT_FIELD_LABOR_HOURS)&gt;TEMP_HOURS_CAP),"",$C366+V$6-MIN(($D366+V$5),PERMANENT_FIELD_LABOR_HOURS)*PERMANENT_HOURLY_RATE-MAX(0,($D366+V$5)-PERMANENT_FIELD_LABOR_HOURS)*TEMP_HOURLY_RATE-FIXED_SEASON_COST)</f>
        <v/>
      </c>
      <c r="W366" s="53" t="str">
        <f aca="false">IF(OR($A366&gt;TOMATO_BED_CAP,$B366&gt;CARROT_BED_CAP,W$4&gt;MESCLUN_BED_CAP,$A366+$B366+W$4&gt;TOTAL_BEDS_AVAILABLE,($D366+W$5)&gt;TOTAL_LABOR_HOURS_CAP,MAX(0,($D366+W$5)-PERMANENT_FIELD_LABOR_HOURS)&gt;TEMP_HOURS_CAP),"",$C366+W$6-MIN(($D366+W$5),PERMANENT_FIELD_LABOR_HOURS)*PERMANENT_HOURLY_RATE-MAX(0,($D366+W$5)-PERMANENT_FIELD_LABOR_HOURS)*TEMP_HOURLY_RATE-FIXED_SEASON_COST)</f>
        <v/>
      </c>
      <c r="X366" s="53" t="str">
        <f aca="false">IF(OR($A366&gt;TOMATO_BED_CAP,$B366&gt;CARROT_BED_CAP,X$4&gt;MESCLUN_BED_CAP,$A366+$B366+X$4&gt;TOTAL_BEDS_AVAILABLE,($D366+X$5)&gt;TOTAL_LABOR_HOURS_CAP,MAX(0,($D366+X$5)-PERMANENT_FIELD_LABOR_HOURS)&gt;TEMP_HOURS_CAP),"",$C366+X$6-MIN(($D366+X$5),PERMANENT_FIELD_LABOR_HOURS)*PERMANENT_HOURLY_RATE-MAX(0,($D366+X$5)-PERMANENT_FIELD_LABOR_HOURS)*TEMP_HOURLY_RATE-FIXED_SEASON_COST)</f>
        <v/>
      </c>
      <c r="Y366" s="53" t="str">
        <f aca="false">IF(OR($A366&gt;TOMATO_BED_CAP,$B366&gt;CARROT_BED_CAP,Y$4&gt;MESCLUN_BED_CAP,$A366+$B366+Y$4&gt;TOTAL_BEDS_AVAILABLE,($D366+Y$5)&gt;TOTAL_LABOR_HOURS_CAP,MAX(0,($D366+Y$5)-PERMANENT_FIELD_LABOR_HOURS)&gt;TEMP_HOURS_CAP),"",$C366+Y$6-MIN(($D366+Y$5),PERMANENT_FIELD_LABOR_HOURS)*PERMANENT_HOURLY_RATE-MAX(0,($D366+Y$5)-PERMANENT_FIELD_LABOR_HOURS)*TEMP_HOURLY_RATE-FIXED_SEASON_COST)</f>
        <v/>
      </c>
      <c r="Z366" s="53" t="str">
        <f aca="false">IF(OR($A366&gt;TOMATO_BED_CAP,$B366&gt;CARROT_BED_CAP,Z$4&gt;MESCLUN_BED_CAP,$A366+$B366+Z$4&gt;TOTAL_BEDS_AVAILABLE,($D366+Z$5)&gt;TOTAL_LABOR_HOURS_CAP,MAX(0,($D366+Z$5)-PERMANENT_FIELD_LABOR_HOURS)&gt;TEMP_HOURS_CAP),"",$C366+Z$6-MIN(($D366+Z$5),PERMANENT_FIELD_LABOR_HOURS)*PERMANENT_HOURLY_RATE-MAX(0,($D366+Z$5)-PERMANENT_FIELD_LABOR_HOURS)*TEMP_HOURLY_RATE-FIXED_SEASON_COST)</f>
        <v/>
      </c>
      <c r="AA366" s="53" t="str">
        <f aca="false">IF(OR($A366&gt;TOMATO_BED_CAP,$B366&gt;CARROT_BED_CAP,AA$4&gt;MESCLUN_BED_CAP,$A366+$B366+AA$4&gt;TOTAL_BEDS_AVAILABLE,($D366+AA$5)&gt;TOTAL_LABOR_HOURS_CAP,MAX(0,($D366+AA$5)-PERMANENT_FIELD_LABOR_HOURS)&gt;TEMP_HOURS_CAP),"",$C366+AA$6-MIN(($D366+AA$5),PERMANENT_FIELD_LABOR_HOURS)*PERMANENT_HOURLY_RATE-MAX(0,($D366+AA$5)-PERMANENT_FIELD_LABOR_HOURS)*TEMP_HOURLY_RATE-FIXED_SEASON_COST)</f>
        <v/>
      </c>
      <c r="AB366" s="53" t="str">
        <f aca="false">IF(OR($A366&gt;TOMATO_BED_CAP,$B366&gt;CARROT_BED_CAP,AB$4&gt;MESCLUN_BED_CAP,$A366+$B366+AB$4&gt;TOTAL_BEDS_AVAILABLE,($D366+AB$5)&gt;TOTAL_LABOR_HOURS_CAP,MAX(0,($D366+AB$5)-PERMANENT_FIELD_LABOR_HOURS)&gt;TEMP_HOURS_CAP),"",$C366+AB$6-MIN(($D366+AB$5),PERMANENT_FIELD_LABOR_HOURS)*PERMANENT_HOURLY_RATE-MAX(0,($D366+AB$5)-PERMANENT_FIELD_LABOR_HOURS)*TEMP_HOURLY_RATE-FIXED_SEASON_COST)</f>
        <v/>
      </c>
      <c r="AC366" s="53" t="str">
        <f aca="false">IF(OR($A366&gt;TOMATO_BED_CAP,$B366&gt;CARROT_BED_CAP,AC$4&gt;MESCLUN_BED_CAP,$A366+$B366+AC$4&gt;TOTAL_BEDS_AVAILABLE,($D366+AC$5)&gt;TOTAL_LABOR_HOURS_CAP,MAX(0,($D366+AC$5)-PERMANENT_FIELD_LABOR_HOURS)&gt;TEMP_HOURS_CAP),"",$C366+AC$6-MIN(($D366+AC$5),PERMANENT_FIELD_LABOR_HOURS)*PERMANENT_HOURLY_RATE-MAX(0,($D366+AC$5)-PERMANENT_FIELD_LABOR_HOURS)*TEMP_HOURLY_RATE-FIXED_SEASON_COST)</f>
        <v/>
      </c>
      <c r="AD366" s="53" t="str">
        <f aca="false">IF(OR($A366&gt;TOMATO_BED_CAP,$B366&gt;CARROT_BED_CAP,AD$4&gt;MESCLUN_BED_CAP,$A366+$B366+AD$4&gt;TOTAL_BEDS_AVAILABLE,($D366+AD$5)&gt;TOTAL_LABOR_HOURS_CAP,MAX(0,($D366+AD$5)-PERMANENT_FIELD_LABOR_HOURS)&gt;TEMP_HOURS_CAP),"",$C366+AD$6-MIN(($D366+AD$5),PERMANENT_FIELD_LABOR_HOURS)*PERMANENT_HOURLY_RATE-MAX(0,($D366+AD$5)-PERMANENT_FIELD_LABOR_HOURS)*TEMP_HOURLY_RATE-FIXED_SEASON_COST)</f>
        <v/>
      </c>
      <c r="AE366" s="53" t="str">
        <f aca="false">IF(OR($A366&gt;TOMATO_BED_CAP,$B366&gt;CARROT_BED_CAP,AE$4&gt;MESCLUN_BED_CAP,$A366+$B366+AE$4&gt;TOTAL_BEDS_AVAILABLE,($D366+AE$5)&gt;TOTAL_LABOR_HOURS_CAP,MAX(0,($D366+AE$5)-PERMANENT_FIELD_LABOR_HOURS)&gt;TEMP_HOURS_CAP),"",$C366+AE$6-MIN(($D366+AE$5),PERMANENT_FIELD_LABOR_HOURS)*PERMANENT_HOURLY_RATE-MAX(0,($D366+AE$5)-PERMANENT_FIELD_LABOR_HOURS)*TEMP_HOURLY_RATE-FIXED_SEASON_COST)</f>
        <v/>
      </c>
      <c r="AF366" s="53" t="str">
        <f aca="false">IF(OR($A366&gt;TOMATO_BED_CAP,$B366&gt;CARROT_BED_CAP,AF$4&gt;MESCLUN_BED_CAP,$A366+$B366+AF$4&gt;TOTAL_BEDS_AVAILABLE,($D366+AF$5)&gt;TOTAL_LABOR_HOURS_CAP,MAX(0,($D366+AF$5)-PERMANENT_FIELD_LABOR_HOURS)&gt;TEMP_HOURS_CAP),"",$C366+AF$6-MIN(($D366+AF$5),PERMANENT_FIELD_LABOR_HOURS)*PERMANENT_HOURLY_RATE-MAX(0,($D366+AF$5)-PERMANENT_FIELD_LABOR_HOURS)*TEMP_HOURLY_RATE-FIXED_SEASON_COST)</f>
        <v/>
      </c>
      <c r="AG366" s="53" t="str">
        <f aca="false">IF(OR($A366&gt;TOMATO_BED_CAP,$B366&gt;CARROT_BED_CAP,AG$4&gt;MESCLUN_BED_CAP,$A366+$B366+AG$4&gt;TOTAL_BEDS_AVAILABLE,($D366+AG$5)&gt;TOTAL_LABOR_HOURS_CAP,MAX(0,($D366+AG$5)-PERMANENT_FIELD_LABOR_HOURS)&gt;TEMP_HOURS_CAP),"",$C366+AG$6-MIN(($D366+AG$5),PERMANENT_FIELD_LABOR_HOURS)*PERMANENT_HOURLY_RATE-MAX(0,($D366+AG$5)-PERMANENT_FIELD_LABOR_HOURS)*TEMP_HOURLY_RATE-FIXED_SEASON_COST)</f>
        <v/>
      </c>
      <c r="AH366" s="53" t="str">
        <f aca="false">IF(OR($A366&gt;TOMATO_BED_CAP,$B366&gt;CARROT_BED_CAP,AH$4&gt;MESCLUN_BED_CAP,$A366+$B366+AH$4&gt;TOTAL_BEDS_AVAILABLE,($D366+AH$5)&gt;TOTAL_LABOR_HOURS_CAP,MAX(0,($D366+AH$5)-PERMANENT_FIELD_LABOR_HOURS)&gt;TEMP_HOURS_CAP),"",$C366+AH$6-MIN(($D366+AH$5),PERMANENT_FIELD_LABOR_HOURS)*PERMANENT_HOURLY_RATE-MAX(0,($D366+AH$5)-PERMANENT_FIELD_LABOR_HOURS)*TEMP_HOURLY_RATE-FIXED_SEASON_COST)</f>
        <v/>
      </c>
      <c r="AI366" s="53" t="str">
        <f aca="false">IF(OR($A366&gt;TOMATO_BED_CAP,$B366&gt;CARROT_BED_CAP,AI$4&gt;MESCLUN_BED_CAP,$A366+$B366+AI$4&gt;TOTAL_BEDS_AVAILABLE,($D366+AI$5)&gt;TOTAL_LABOR_HOURS_CAP,MAX(0,($D366+AI$5)-PERMANENT_FIELD_LABOR_HOURS)&gt;TEMP_HOURS_CAP),"",$C366+AI$6-MIN(($D366+AI$5),PERMANENT_FIELD_LABOR_HOURS)*PERMANENT_HOURLY_RATE-MAX(0,($D366+AI$5)-PERMANENT_FIELD_LABOR_HOURS)*TEMP_HOURLY_RATE-FIXED_SEASON_COST)</f>
        <v/>
      </c>
      <c r="AJ366" s="53" t="str">
        <f aca="false">IF(OR($A366&gt;TOMATO_BED_CAP,$B366&gt;CARROT_BED_CAP,AJ$4&gt;MESCLUN_BED_CAP,$A366+$B366+AJ$4&gt;TOTAL_BEDS_AVAILABLE,($D366+AJ$5)&gt;TOTAL_LABOR_HOURS_CAP,MAX(0,($D366+AJ$5)-PERMANENT_FIELD_LABOR_HOURS)&gt;TEMP_HOURS_CAP),"",$C366+AJ$6-MIN(($D366+AJ$5),PERMANENT_FIELD_LABOR_HOURS)*PERMANENT_HOURLY_RATE-MAX(0,($D366+AJ$5)-PERMANENT_FIELD_LABOR_HOURS)*TEMP_HOURLY_RATE-FIXED_SEASON_COST)</f>
        <v/>
      </c>
    </row>
    <row r="367" customFormat="false" ht="15" hidden="false" customHeight="false" outlineLevel="0" collapsed="false">
      <c r="A367" s="21" t="n">
        <f aca="false">INT((ROW()-ROW($A$8))/(20+1))</f>
        <v>17</v>
      </c>
      <c r="B367" s="21" t="n">
        <f aca="false">MOD(ROW()-ROW($A$8),20+1)</f>
        <v>2</v>
      </c>
      <c r="C367" s="13" t="n">
        <f aca="false">A367*(TOMATO_REVENUE_PER_BED-TOMATO_FERTILIZER_PER_BED)+B367*(CARROT_REVENUE_PER_BED-CARROT_FERTILIZER_PER_BED)</f>
        <v>137948</v>
      </c>
      <c r="D367" s="14" t="n">
        <f aca="false">INDEX(TOMATO_SCHED_LABOR_HRS,A367+1)+INDEX(CARROT_SCHED_LABOR_HRS,B367+1)</f>
        <v>7796.35182103921</v>
      </c>
      <c r="E367" s="13" t="str">
        <f aca="false">IF(COUNT(F367:AJ367)=0,"",MAX(F367:AJ367))</f>
        <v/>
      </c>
      <c r="F367" s="53" t="str">
        <f aca="false">IF(OR($A367&gt;TOMATO_BED_CAP,$B367&gt;CARROT_BED_CAP,F$4&gt;MESCLUN_BED_CAP,$A367+$B367+F$4&gt;TOTAL_BEDS_AVAILABLE,($D367+F$5)&gt;TOTAL_LABOR_HOURS_CAP,MAX(0,($D367+F$5)-PERMANENT_FIELD_LABOR_HOURS)&gt;TEMP_HOURS_CAP),"",$C367+F$6-MIN(($D367+F$5),PERMANENT_FIELD_LABOR_HOURS)*PERMANENT_HOURLY_RATE-MAX(0,($D367+F$5)-PERMANENT_FIELD_LABOR_HOURS)*TEMP_HOURLY_RATE-FIXED_SEASON_COST)</f>
        <v/>
      </c>
      <c r="G367" s="53" t="str">
        <f aca="false">IF(OR($A367&gt;TOMATO_BED_CAP,$B367&gt;CARROT_BED_CAP,G$4&gt;MESCLUN_BED_CAP,$A367+$B367+G$4&gt;TOTAL_BEDS_AVAILABLE,($D367+G$5)&gt;TOTAL_LABOR_HOURS_CAP,MAX(0,($D367+G$5)-PERMANENT_FIELD_LABOR_HOURS)&gt;TEMP_HOURS_CAP),"",$C367+G$6-MIN(($D367+G$5),PERMANENT_FIELD_LABOR_HOURS)*PERMANENT_HOURLY_RATE-MAX(0,($D367+G$5)-PERMANENT_FIELD_LABOR_HOURS)*TEMP_HOURLY_RATE-FIXED_SEASON_COST)</f>
        <v/>
      </c>
      <c r="H367" s="53" t="str">
        <f aca="false">IF(OR($A367&gt;TOMATO_BED_CAP,$B367&gt;CARROT_BED_CAP,H$4&gt;MESCLUN_BED_CAP,$A367+$B367+H$4&gt;TOTAL_BEDS_AVAILABLE,($D367+H$5)&gt;TOTAL_LABOR_HOURS_CAP,MAX(0,($D367+H$5)-PERMANENT_FIELD_LABOR_HOURS)&gt;TEMP_HOURS_CAP),"",$C367+H$6-MIN(($D367+H$5),PERMANENT_FIELD_LABOR_HOURS)*PERMANENT_HOURLY_RATE-MAX(0,($D367+H$5)-PERMANENT_FIELD_LABOR_HOURS)*TEMP_HOURLY_RATE-FIXED_SEASON_COST)</f>
        <v/>
      </c>
      <c r="I367" s="53" t="str">
        <f aca="false">IF(OR($A367&gt;TOMATO_BED_CAP,$B367&gt;CARROT_BED_CAP,I$4&gt;MESCLUN_BED_CAP,$A367+$B367+I$4&gt;TOTAL_BEDS_AVAILABLE,($D367+I$5)&gt;TOTAL_LABOR_HOURS_CAP,MAX(0,($D367+I$5)-PERMANENT_FIELD_LABOR_HOURS)&gt;TEMP_HOURS_CAP),"",$C367+I$6-MIN(($D367+I$5),PERMANENT_FIELD_LABOR_HOURS)*PERMANENT_HOURLY_RATE-MAX(0,($D367+I$5)-PERMANENT_FIELD_LABOR_HOURS)*TEMP_HOURLY_RATE-FIXED_SEASON_COST)</f>
        <v/>
      </c>
      <c r="J367" s="53" t="str">
        <f aca="false">IF(OR($A367&gt;TOMATO_BED_CAP,$B367&gt;CARROT_BED_CAP,J$4&gt;MESCLUN_BED_CAP,$A367+$B367+J$4&gt;TOTAL_BEDS_AVAILABLE,($D367+J$5)&gt;TOTAL_LABOR_HOURS_CAP,MAX(0,($D367+J$5)-PERMANENT_FIELD_LABOR_HOURS)&gt;TEMP_HOURS_CAP),"",$C367+J$6-MIN(($D367+J$5),PERMANENT_FIELD_LABOR_HOURS)*PERMANENT_HOURLY_RATE-MAX(0,($D367+J$5)-PERMANENT_FIELD_LABOR_HOURS)*TEMP_HOURLY_RATE-FIXED_SEASON_COST)</f>
        <v/>
      </c>
      <c r="K367" s="53" t="str">
        <f aca="false">IF(OR($A367&gt;TOMATO_BED_CAP,$B367&gt;CARROT_BED_CAP,K$4&gt;MESCLUN_BED_CAP,$A367+$B367+K$4&gt;TOTAL_BEDS_AVAILABLE,($D367+K$5)&gt;TOTAL_LABOR_HOURS_CAP,MAX(0,($D367+K$5)-PERMANENT_FIELD_LABOR_HOURS)&gt;TEMP_HOURS_CAP),"",$C367+K$6-MIN(($D367+K$5),PERMANENT_FIELD_LABOR_HOURS)*PERMANENT_HOURLY_RATE-MAX(0,($D367+K$5)-PERMANENT_FIELD_LABOR_HOURS)*TEMP_HOURLY_RATE-FIXED_SEASON_COST)</f>
        <v/>
      </c>
      <c r="L367" s="53" t="str">
        <f aca="false">IF(OR($A367&gt;TOMATO_BED_CAP,$B367&gt;CARROT_BED_CAP,L$4&gt;MESCLUN_BED_CAP,$A367+$B367+L$4&gt;TOTAL_BEDS_AVAILABLE,($D367+L$5)&gt;TOTAL_LABOR_HOURS_CAP,MAX(0,($D367+L$5)-PERMANENT_FIELD_LABOR_HOURS)&gt;TEMP_HOURS_CAP),"",$C367+L$6-MIN(($D367+L$5),PERMANENT_FIELD_LABOR_HOURS)*PERMANENT_HOURLY_RATE-MAX(0,($D367+L$5)-PERMANENT_FIELD_LABOR_HOURS)*TEMP_HOURLY_RATE-FIXED_SEASON_COST)</f>
        <v/>
      </c>
      <c r="M367" s="53" t="str">
        <f aca="false">IF(OR($A367&gt;TOMATO_BED_CAP,$B367&gt;CARROT_BED_CAP,M$4&gt;MESCLUN_BED_CAP,$A367+$B367+M$4&gt;TOTAL_BEDS_AVAILABLE,($D367+M$5)&gt;TOTAL_LABOR_HOURS_CAP,MAX(0,($D367+M$5)-PERMANENT_FIELD_LABOR_HOURS)&gt;TEMP_HOURS_CAP),"",$C367+M$6-MIN(($D367+M$5),PERMANENT_FIELD_LABOR_HOURS)*PERMANENT_HOURLY_RATE-MAX(0,($D367+M$5)-PERMANENT_FIELD_LABOR_HOURS)*TEMP_HOURLY_RATE-FIXED_SEASON_COST)</f>
        <v/>
      </c>
      <c r="N367" s="53" t="str">
        <f aca="false">IF(OR($A367&gt;TOMATO_BED_CAP,$B367&gt;CARROT_BED_CAP,N$4&gt;MESCLUN_BED_CAP,$A367+$B367+N$4&gt;TOTAL_BEDS_AVAILABLE,($D367+N$5)&gt;TOTAL_LABOR_HOURS_CAP,MAX(0,($D367+N$5)-PERMANENT_FIELD_LABOR_HOURS)&gt;TEMP_HOURS_CAP),"",$C367+N$6-MIN(($D367+N$5),PERMANENT_FIELD_LABOR_HOURS)*PERMANENT_HOURLY_RATE-MAX(0,($D367+N$5)-PERMANENT_FIELD_LABOR_HOURS)*TEMP_HOURLY_RATE-FIXED_SEASON_COST)</f>
        <v/>
      </c>
      <c r="O367" s="53" t="str">
        <f aca="false">IF(OR($A367&gt;TOMATO_BED_CAP,$B367&gt;CARROT_BED_CAP,O$4&gt;MESCLUN_BED_CAP,$A367+$B367+O$4&gt;TOTAL_BEDS_AVAILABLE,($D367+O$5)&gt;TOTAL_LABOR_HOURS_CAP,MAX(0,($D367+O$5)-PERMANENT_FIELD_LABOR_HOURS)&gt;TEMP_HOURS_CAP),"",$C367+O$6-MIN(($D367+O$5),PERMANENT_FIELD_LABOR_HOURS)*PERMANENT_HOURLY_RATE-MAX(0,($D367+O$5)-PERMANENT_FIELD_LABOR_HOURS)*TEMP_HOURLY_RATE-FIXED_SEASON_COST)</f>
        <v/>
      </c>
      <c r="P367" s="53" t="str">
        <f aca="false">IF(OR($A367&gt;TOMATO_BED_CAP,$B367&gt;CARROT_BED_CAP,P$4&gt;MESCLUN_BED_CAP,$A367+$B367+P$4&gt;TOTAL_BEDS_AVAILABLE,($D367+P$5)&gt;TOTAL_LABOR_HOURS_CAP,MAX(0,($D367+P$5)-PERMANENT_FIELD_LABOR_HOURS)&gt;TEMP_HOURS_CAP),"",$C367+P$6-MIN(($D367+P$5),PERMANENT_FIELD_LABOR_HOURS)*PERMANENT_HOURLY_RATE-MAX(0,($D367+P$5)-PERMANENT_FIELD_LABOR_HOURS)*TEMP_HOURLY_RATE-FIXED_SEASON_COST)</f>
        <v/>
      </c>
      <c r="Q367" s="53" t="str">
        <f aca="false">IF(OR($A367&gt;TOMATO_BED_CAP,$B367&gt;CARROT_BED_CAP,Q$4&gt;MESCLUN_BED_CAP,$A367+$B367+Q$4&gt;TOTAL_BEDS_AVAILABLE,($D367+Q$5)&gt;TOTAL_LABOR_HOURS_CAP,MAX(0,($D367+Q$5)-PERMANENT_FIELD_LABOR_HOURS)&gt;TEMP_HOURS_CAP),"",$C367+Q$6-MIN(($D367+Q$5),PERMANENT_FIELD_LABOR_HOURS)*PERMANENT_HOURLY_RATE-MAX(0,($D367+Q$5)-PERMANENT_FIELD_LABOR_HOURS)*TEMP_HOURLY_RATE-FIXED_SEASON_COST)</f>
        <v/>
      </c>
      <c r="R367" s="53" t="str">
        <f aca="false">IF(OR($A367&gt;TOMATO_BED_CAP,$B367&gt;CARROT_BED_CAP,R$4&gt;MESCLUN_BED_CAP,$A367+$B367+R$4&gt;TOTAL_BEDS_AVAILABLE,($D367+R$5)&gt;TOTAL_LABOR_HOURS_CAP,MAX(0,($D367+R$5)-PERMANENT_FIELD_LABOR_HOURS)&gt;TEMP_HOURS_CAP),"",$C367+R$6-MIN(($D367+R$5),PERMANENT_FIELD_LABOR_HOURS)*PERMANENT_HOURLY_RATE-MAX(0,($D367+R$5)-PERMANENT_FIELD_LABOR_HOURS)*TEMP_HOURLY_RATE-FIXED_SEASON_COST)</f>
        <v/>
      </c>
      <c r="S367" s="53" t="str">
        <f aca="false">IF(OR($A367&gt;TOMATO_BED_CAP,$B367&gt;CARROT_BED_CAP,S$4&gt;MESCLUN_BED_CAP,$A367+$B367+S$4&gt;TOTAL_BEDS_AVAILABLE,($D367+S$5)&gt;TOTAL_LABOR_HOURS_CAP,MAX(0,($D367+S$5)-PERMANENT_FIELD_LABOR_HOURS)&gt;TEMP_HOURS_CAP),"",$C367+S$6-MIN(($D367+S$5),PERMANENT_FIELD_LABOR_HOURS)*PERMANENT_HOURLY_RATE-MAX(0,($D367+S$5)-PERMANENT_FIELD_LABOR_HOURS)*TEMP_HOURLY_RATE-FIXED_SEASON_COST)</f>
        <v/>
      </c>
      <c r="T367" s="53" t="str">
        <f aca="false">IF(OR($A367&gt;TOMATO_BED_CAP,$B367&gt;CARROT_BED_CAP,T$4&gt;MESCLUN_BED_CAP,$A367+$B367+T$4&gt;TOTAL_BEDS_AVAILABLE,($D367+T$5)&gt;TOTAL_LABOR_HOURS_CAP,MAX(0,($D367+T$5)-PERMANENT_FIELD_LABOR_HOURS)&gt;TEMP_HOURS_CAP),"",$C367+T$6-MIN(($D367+T$5),PERMANENT_FIELD_LABOR_HOURS)*PERMANENT_HOURLY_RATE-MAX(0,($D367+T$5)-PERMANENT_FIELD_LABOR_HOURS)*TEMP_HOURLY_RATE-FIXED_SEASON_COST)</f>
        <v/>
      </c>
      <c r="U367" s="53" t="str">
        <f aca="false">IF(OR($A367&gt;TOMATO_BED_CAP,$B367&gt;CARROT_BED_CAP,U$4&gt;MESCLUN_BED_CAP,$A367+$B367+U$4&gt;TOTAL_BEDS_AVAILABLE,($D367+U$5)&gt;TOTAL_LABOR_HOURS_CAP,MAX(0,($D367+U$5)-PERMANENT_FIELD_LABOR_HOURS)&gt;TEMP_HOURS_CAP),"",$C367+U$6-MIN(($D367+U$5),PERMANENT_FIELD_LABOR_HOURS)*PERMANENT_HOURLY_RATE-MAX(0,($D367+U$5)-PERMANENT_FIELD_LABOR_HOURS)*TEMP_HOURLY_RATE-FIXED_SEASON_COST)</f>
        <v/>
      </c>
      <c r="V367" s="53" t="str">
        <f aca="false">IF(OR($A367&gt;TOMATO_BED_CAP,$B367&gt;CARROT_BED_CAP,V$4&gt;MESCLUN_BED_CAP,$A367+$B367+V$4&gt;TOTAL_BEDS_AVAILABLE,($D367+V$5)&gt;TOTAL_LABOR_HOURS_CAP,MAX(0,($D367+V$5)-PERMANENT_FIELD_LABOR_HOURS)&gt;TEMP_HOURS_CAP),"",$C367+V$6-MIN(($D367+V$5),PERMANENT_FIELD_LABOR_HOURS)*PERMANENT_HOURLY_RATE-MAX(0,($D367+V$5)-PERMANENT_FIELD_LABOR_HOURS)*TEMP_HOURLY_RATE-FIXED_SEASON_COST)</f>
        <v/>
      </c>
      <c r="W367" s="53" t="str">
        <f aca="false">IF(OR($A367&gt;TOMATO_BED_CAP,$B367&gt;CARROT_BED_CAP,W$4&gt;MESCLUN_BED_CAP,$A367+$B367+W$4&gt;TOTAL_BEDS_AVAILABLE,($D367+W$5)&gt;TOTAL_LABOR_HOURS_CAP,MAX(0,($D367+W$5)-PERMANENT_FIELD_LABOR_HOURS)&gt;TEMP_HOURS_CAP),"",$C367+W$6-MIN(($D367+W$5),PERMANENT_FIELD_LABOR_HOURS)*PERMANENT_HOURLY_RATE-MAX(0,($D367+W$5)-PERMANENT_FIELD_LABOR_HOURS)*TEMP_HOURLY_RATE-FIXED_SEASON_COST)</f>
        <v/>
      </c>
      <c r="X367" s="53" t="str">
        <f aca="false">IF(OR($A367&gt;TOMATO_BED_CAP,$B367&gt;CARROT_BED_CAP,X$4&gt;MESCLUN_BED_CAP,$A367+$B367+X$4&gt;TOTAL_BEDS_AVAILABLE,($D367+X$5)&gt;TOTAL_LABOR_HOURS_CAP,MAX(0,($D367+X$5)-PERMANENT_FIELD_LABOR_HOURS)&gt;TEMP_HOURS_CAP),"",$C367+X$6-MIN(($D367+X$5),PERMANENT_FIELD_LABOR_HOURS)*PERMANENT_HOURLY_RATE-MAX(0,($D367+X$5)-PERMANENT_FIELD_LABOR_HOURS)*TEMP_HOURLY_RATE-FIXED_SEASON_COST)</f>
        <v/>
      </c>
      <c r="Y367" s="53" t="str">
        <f aca="false">IF(OR($A367&gt;TOMATO_BED_CAP,$B367&gt;CARROT_BED_CAP,Y$4&gt;MESCLUN_BED_CAP,$A367+$B367+Y$4&gt;TOTAL_BEDS_AVAILABLE,($D367+Y$5)&gt;TOTAL_LABOR_HOURS_CAP,MAX(0,($D367+Y$5)-PERMANENT_FIELD_LABOR_HOURS)&gt;TEMP_HOURS_CAP),"",$C367+Y$6-MIN(($D367+Y$5),PERMANENT_FIELD_LABOR_HOURS)*PERMANENT_HOURLY_RATE-MAX(0,($D367+Y$5)-PERMANENT_FIELD_LABOR_HOURS)*TEMP_HOURLY_RATE-FIXED_SEASON_COST)</f>
        <v/>
      </c>
      <c r="Z367" s="53" t="str">
        <f aca="false">IF(OR($A367&gt;TOMATO_BED_CAP,$B367&gt;CARROT_BED_CAP,Z$4&gt;MESCLUN_BED_CAP,$A367+$B367+Z$4&gt;TOTAL_BEDS_AVAILABLE,($D367+Z$5)&gt;TOTAL_LABOR_HOURS_CAP,MAX(0,($D367+Z$5)-PERMANENT_FIELD_LABOR_HOURS)&gt;TEMP_HOURS_CAP),"",$C367+Z$6-MIN(($D367+Z$5),PERMANENT_FIELD_LABOR_HOURS)*PERMANENT_HOURLY_RATE-MAX(0,($D367+Z$5)-PERMANENT_FIELD_LABOR_HOURS)*TEMP_HOURLY_RATE-FIXED_SEASON_COST)</f>
        <v/>
      </c>
      <c r="AA367" s="53" t="str">
        <f aca="false">IF(OR($A367&gt;TOMATO_BED_CAP,$B367&gt;CARROT_BED_CAP,AA$4&gt;MESCLUN_BED_CAP,$A367+$B367+AA$4&gt;TOTAL_BEDS_AVAILABLE,($D367+AA$5)&gt;TOTAL_LABOR_HOURS_CAP,MAX(0,($D367+AA$5)-PERMANENT_FIELD_LABOR_HOURS)&gt;TEMP_HOURS_CAP),"",$C367+AA$6-MIN(($D367+AA$5),PERMANENT_FIELD_LABOR_HOURS)*PERMANENT_HOURLY_RATE-MAX(0,($D367+AA$5)-PERMANENT_FIELD_LABOR_HOURS)*TEMP_HOURLY_RATE-FIXED_SEASON_COST)</f>
        <v/>
      </c>
      <c r="AB367" s="53" t="str">
        <f aca="false">IF(OR($A367&gt;TOMATO_BED_CAP,$B367&gt;CARROT_BED_CAP,AB$4&gt;MESCLUN_BED_CAP,$A367+$B367+AB$4&gt;TOTAL_BEDS_AVAILABLE,($D367+AB$5)&gt;TOTAL_LABOR_HOURS_CAP,MAX(0,($D367+AB$5)-PERMANENT_FIELD_LABOR_HOURS)&gt;TEMP_HOURS_CAP),"",$C367+AB$6-MIN(($D367+AB$5),PERMANENT_FIELD_LABOR_HOURS)*PERMANENT_HOURLY_RATE-MAX(0,($D367+AB$5)-PERMANENT_FIELD_LABOR_HOURS)*TEMP_HOURLY_RATE-FIXED_SEASON_COST)</f>
        <v/>
      </c>
      <c r="AC367" s="53" t="str">
        <f aca="false">IF(OR($A367&gt;TOMATO_BED_CAP,$B367&gt;CARROT_BED_CAP,AC$4&gt;MESCLUN_BED_CAP,$A367+$B367+AC$4&gt;TOTAL_BEDS_AVAILABLE,($D367+AC$5)&gt;TOTAL_LABOR_HOURS_CAP,MAX(0,($D367+AC$5)-PERMANENT_FIELD_LABOR_HOURS)&gt;TEMP_HOURS_CAP),"",$C367+AC$6-MIN(($D367+AC$5),PERMANENT_FIELD_LABOR_HOURS)*PERMANENT_HOURLY_RATE-MAX(0,($D367+AC$5)-PERMANENT_FIELD_LABOR_HOURS)*TEMP_HOURLY_RATE-FIXED_SEASON_COST)</f>
        <v/>
      </c>
      <c r="AD367" s="53" t="str">
        <f aca="false">IF(OR($A367&gt;TOMATO_BED_CAP,$B367&gt;CARROT_BED_CAP,AD$4&gt;MESCLUN_BED_CAP,$A367+$B367+AD$4&gt;TOTAL_BEDS_AVAILABLE,($D367+AD$5)&gt;TOTAL_LABOR_HOURS_CAP,MAX(0,($D367+AD$5)-PERMANENT_FIELD_LABOR_HOURS)&gt;TEMP_HOURS_CAP),"",$C367+AD$6-MIN(($D367+AD$5),PERMANENT_FIELD_LABOR_HOURS)*PERMANENT_HOURLY_RATE-MAX(0,($D367+AD$5)-PERMANENT_FIELD_LABOR_HOURS)*TEMP_HOURLY_RATE-FIXED_SEASON_COST)</f>
        <v/>
      </c>
      <c r="AE367" s="53" t="str">
        <f aca="false">IF(OR($A367&gt;TOMATO_BED_CAP,$B367&gt;CARROT_BED_CAP,AE$4&gt;MESCLUN_BED_CAP,$A367+$B367+AE$4&gt;TOTAL_BEDS_AVAILABLE,($D367+AE$5)&gt;TOTAL_LABOR_HOURS_CAP,MAX(0,($D367+AE$5)-PERMANENT_FIELD_LABOR_HOURS)&gt;TEMP_HOURS_CAP),"",$C367+AE$6-MIN(($D367+AE$5),PERMANENT_FIELD_LABOR_HOURS)*PERMANENT_HOURLY_RATE-MAX(0,($D367+AE$5)-PERMANENT_FIELD_LABOR_HOURS)*TEMP_HOURLY_RATE-FIXED_SEASON_COST)</f>
        <v/>
      </c>
      <c r="AF367" s="53" t="str">
        <f aca="false">IF(OR($A367&gt;TOMATO_BED_CAP,$B367&gt;CARROT_BED_CAP,AF$4&gt;MESCLUN_BED_CAP,$A367+$B367+AF$4&gt;TOTAL_BEDS_AVAILABLE,($D367+AF$5)&gt;TOTAL_LABOR_HOURS_CAP,MAX(0,($D367+AF$5)-PERMANENT_FIELD_LABOR_HOURS)&gt;TEMP_HOURS_CAP),"",$C367+AF$6-MIN(($D367+AF$5),PERMANENT_FIELD_LABOR_HOURS)*PERMANENT_HOURLY_RATE-MAX(0,($D367+AF$5)-PERMANENT_FIELD_LABOR_HOURS)*TEMP_HOURLY_RATE-FIXED_SEASON_COST)</f>
        <v/>
      </c>
      <c r="AG367" s="53" t="str">
        <f aca="false">IF(OR($A367&gt;TOMATO_BED_CAP,$B367&gt;CARROT_BED_CAP,AG$4&gt;MESCLUN_BED_CAP,$A367+$B367+AG$4&gt;TOTAL_BEDS_AVAILABLE,($D367+AG$5)&gt;TOTAL_LABOR_HOURS_CAP,MAX(0,($D367+AG$5)-PERMANENT_FIELD_LABOR_HOURS)&gt;TEMP_HOURS_CAP),"",$C367+AG$6-MIN(($D367+AG$5),PERMANENT_FIELD_LABOR_HOURS)*PERMANENT_HOURLY_RATE-MAX(0,($D367+AG$5)-PERMANENT_FIELD_LABOR_HOURS)*TEMP_HOURLY_RATE-FIXED_SEASON_COST)</f>
        <v/>
      </c>
      <c r="AH367" s="53" t="str">
        <f aca="false">IF(OR($A367&gt;TOMATO_BED_CAP,$B367&gt;CARROT_BED_CAP,AH$4&gt;MESCLUN_BED_CAP,$A367+$B367+AH$4&gt;TOTAL_BEDS_AVAILABLE,($D367+AH$5)&gt;TOTAL_LABOR_HOURS_CAP,MAX(0,($D367+AH$5)-PERMANENT_FIELD_LABOR_HOURS)&gt;TEMP_HOURS_CAP),"",$C367+AH$6-MIN(($D367+AH$5),PERMANENT_FIELD_LABOR_HOURS)*PERMANENT_HOURLY_RATE-MAX(0,($D367+AH$5)-PERMANENT_FIELD_LABOR_HOURS)*TEMP_HOURLY_RATE-FIXED_SEASON_COST)</f>
        <v/>
      </c>
      <c r="AI367" s="53" t="str">
        <f aca="false">IF(OR($A367&gt;TOMATO_BED_CAP,$B367&gt;CARROT_BED_CAP,AI$4&gt;MESCLUN_BED_CAP,$A367+$B367+AI$4&gt;TOTAL_BEDS_AVAILABLE,($D367+AI$5)&gt;TOTAL_LABOR_HOURS_CAP,MAX(0,($D367+AI$5)-PERMANENT_FIELD_LABOR_HOURS)&gt;TEMP_HOURS_CAP),"",$C367+AI$6-MIN(($D367+AI$5),PERMANENT_FIELD_LABOR_HOURS)*PERMANENT_HOURLY_RATE-MAX(0,($D367+AI$5)-PERMANENT_FIELD_LABOR_HOURS)*TEMP_HOURLY_RATE-FIXED_SEASON_COST)</f>
        <v/>
      </c>
      <c r="AJ367" s="53" t="str">
        <f aca="false">IF(OR($A367&gt;TOMATO_BED_CAP,$B367&gt;CARROT_BED_CAP,AJ$4&gt;MESCLUN_BED_CAP,$A367+$B367+AJ$4&gt;TOTAL_BEDS_AVAILABLE,($D367+AJ$5)&gt;TOTAL_LABOR_HOURS_CAP,MAX(0,($D367+AJ$5)-PERMANENT_FIELD_LABOR_HOURS)&gt;TEMP_HOURS_CAP),"",$C367+AJ$6-MIN(($D367+AJ$5),PERMANENT_FIELD_LABOR_HOURS)*PERMANENT_HOURLY_RATE-MAX(0,($D367+AJ$5)-PERMANENT_FIELD_LABOR_HOURS)*TEMP_HOURLY_RATE-FIXED_SEASON_COST)</f>
        <v/>
      </c>
    </row>
    <row r="368" customFormat="false" ht="15" hidden="false" customHeight="false" outlineLevel="0" collapsed="false">
      <c r="A368" s="21" t="n">
        <f aca="false">INT((ROW()-ROW($A$8))/(20+1))</f>
        <v>17</v>
      </c>
      <c r="B368" s="21" t="n">
        <f aca="false">MOD(ROW()-ROW($A$8),20+1)</f>
        <v>3</v>
      </c>
      <c r="C368" s="13" t="n">
        <f aca="false">A368*(TOMATO_REVENUE_PER_BED-TOMATO_FERTILIZER_PER_BED)+B368*(CARROT_REVENUE_PER_BED-CARROT_FERTILIZER_PER_BED)</f>
        <v>139602</v>
      </c>
      <c r="D368" s="14" t="n">
        <f aca="false">INDEX(TOMATO_SCHED_LABOR_HRS,A368+1)+INDEX(CARROT_SCHED_LABOR_HRS,B368+1)</f>
        <v>7830.22092422671</v>
      </c>
      <c r="E368" s="13" t="str">
        <f aca="false">IF(COUNT(F368:AJ368)=0,"",MAX(F368:AJ368))</f>
        <v/>
      </c>
      <c r="F368" s="53" t="str">
        <f aca="false">IF(OR($A368&gt;TOMATO_BED_CAP,$B368&gt;CARROT_BED_CAP,F$4&gt;MESCLUN_BED_CAP,$A368+$B368+F$4&gt;TOTAL_BEDS_AVAILABLE,($D368+F$5)&gt;TOTAL_LABOR_HOURS_CAP,MAX(0,($D368+F$5)-PERMANENT_FIELD_LABOR_HOURS)&gt;TEMP_HOURS_CAP),"",$C368+F$6-MIN(($D368+F$5),PERMANENT_FIELD_LABOR_HOURS)*PERMANENT_HOURLY_RATE-MAX(0,($D368+F$5)-PERMANENT_FIELD_LABOR_HOURS)*TEMP_HOURLY_RATE-FIXED_SEASON_COST)</f>
        <v/>
      </c>
      <c r="G368" s="53" t="str">
        <f aca="false">IF(OR($A368&gt;TOMATO_BED_CAP,$B368&gt;CARROT_BED_CAP,G$4&gt;MESCLUN_BED_CAP,$A368+$B368+G$4&gt;TOTAL_BEDS_AVAILABLE,($D368+G$5)&gt;TOTAL_LABOR_HOURS_CAP,MAX(0,($D368+G$5)-PERMANENT_FIELD_LABOR_HOURS)&gt;TEMP_HOURS_CAP),"",$C368+G$6-MIN(($D368+G$5),PERMANENT_FIELD_LABOR_HOURS)*PERMANENT_HOURLY_RATE-MAX(0,($D368+G$5)-PERMANENT_FIELD_LABOR_HOURS)*TEMP_HOURLY_RATE-FIXED_SEASON_COST)</f>
        <v/>
      </c>
      <c r="H368" s="53" t="str">
        <f aca="false">IF(OR($A368&gt;TOMATO_BED_CAP,$B368&gt;CARROT_BED_CAP,H$4&gt;MESCLUN_BED_CAP,$A368+$B368+H$4&gt;TOTAL_BEDS_AVAILABLE,($D368+H$5)&gt;TOTAL_LABOR_HOURS_CAP,MAX(0,($D368+H$5)-PERMANENT_FIELD_LABOR_HOURS)&gt;TEMP_HOURS_CAP),"",$C368+H$6-MIN(($D368+H$5),PERMANENT_FIELD_LABOR_HOURS)*PERMANENT_HOURLY_RATE-MAX(0,($D368+H$5)-PERMANENT_FIELD_LABOR_HOURS)*TEMP_HOURLY_RATE-FIXED_SEASON_COST)</f>
        <v/>
      </c>
      <c r="I368" s="53" t="str">
        <f aca="false">IF(OR($A368&gt;TOMATO_BED_CAP,$B368&gt;CARROT_BED_CAP,I$4&gt;MESCLUN_BED_CAP,$A368+$B368+I$4&gt;TOTAL_BEDS_AVAILABLE,($D368+I$5)&gt;TOTAL_LABOR_HOURS_CAP,MAX(0,($D368+I$5)-PERMANENT_FIELD_LABOR_HOURS)&gt;TEMP_HOURS_CAP),"",$C368+I$6-MIN(($D368+I$5),PERMANENT_FIELD_LABOR_HOURS)*PERMANENT_HOURLY_RATE-MAX(0,($D368+I$5)-PERMANENT_FIELD_LABOR_HOURS)*TEMP_HOURLY_RATE-FIXED_SEASON_COST)</f>
        <v/>
      </c>
      <c r="J368" s="53" t="str">
        <f aca="false">IF(OR($A368&gt;TOMATO_BED_CAP,$B368&gt;CARROT_BED_CAP,J$4&gt;MESCLUN_BED_CAP,$A368+$B368+J$4&gt;TOTAL_BEDS_AVAILABLE,($D368+J$5)&gt;TOTAL_LABOR_HOURS_CAP,MAX(0,($D368+J$5)-PERMANENT_FIELD_LABOR_HOURS)&gt;TEMP_HOURS_CAP),"",$C368+J$6-MIN(($D368+J$5),PERMANENT_FIELD_LABOR_HOURS)*PERMANENT_HOURLY_RATE-MAX(0,($D368+J$5)-PERMANENT_FIELD_LABOR_HOURS)*TEMP_HOURLY_RATE-FIXED_SEASON_COST)</f>
        <v/>
      </c>
      <c r="K368" s="53" t="str">
        <f aca="false">IF(OR($A368&gt;TOMATO_BED_CAP,$B368&gt;CARROT_BED_CAP,K$4&gt;MESCLUN_BED_CAP,$A368+$B368+K$4&gt;TOTAL_BEDS_AVAILABLE,($D368+K$5)&gt;TOTAL_LABOR_HOURS_CAP,MAX(0,($D368+K$5)-PERMANENT_FIELD_LABOR_HOURS)&gt;TEMP_HOURS_CAP),"",$C368+K$6-MIN(($D368+K$5),PERMANENT_FIELD_LABOR_HOURS)*PERMANENT_HOURLY_RATE-MAX(0,($D368+K$5)-PERMANENT_FIELD_LABOR_HOURS)*TEMP_HOURLY_RATE-FIXED_SEASON_COST)</f>
        <v/>
      </c>
      <c r="L368" s="53" t="str">
        <f aca="false">IF(OR($A368&gt;TOMATO_BED_CAP,$B368&gt;CARROT_BED_CAP,L$4&gt;MESCLUN_BED_CAP,$A368+$B368+L$4&gt;TOTAL_BEDS_AVAILABLE,($D368+L$5)&gt;TOTAL_LABOR_HOURS_CAP,MAX(0,($D368+L$5)-PERMANENT_FIELD_LABOR_HOURS)&gt;TEMP_HOURS_CAP),"",$C368+L$6-MIN(($D368+L$5),PERMANENT_FIELD_LABOR_HOURS)*PERMANENT_HOURLY_RATE-MAX(0,($D368+L$5)-PERMANENT_FIELD_LABOR_HOURS)*TEMP_HOURLY_RATE-FIXED_SEASON_COST)</f>
        <v/>
      </c>
      <c r="M368" s="53" t="str">
        <f aca="false">IF(OR($A368&gt;TOMATO_BED_CAP,$B368&gt;CARROT_BED_CAP,M$4&gt;MESCLUN_BED_CAP,$A368+$B368+M$4&gt;TOTAL_BEDS_AVAILABLE,($D368+M$5)&gt;TOTAL_LABOR_HOURS_CAP,MAX(0,($D368+M$5)-PERMANENT_FIELD_LABOR_HOURS)&gt;TEMP_HOURS_CAP),"",$C368+M$6-MIN(($D368+M$5),PERMANENT_FIELD_LABOR_HOURS)*PERMANENT_HOURLY_RATE-MAX(0,($D368+M$5)-PERMANENT_FIELD_LABOR_HOURS)*TEMP_HOURLY_RATE-FIXED_SEASON_COST)</f>
        <v/>
      </c>
      <c r="N368" s="53" t="str">
        <f aca="false">IF(OR($A368&gt;TOMATO_BED_CAP,$B368&gt;CARROT_BED_CAP,N$4&gt;MESCLUN_BED_CAP,$A368+$B368+N$4&gt;TOTAL_BEDS_AVAILABLE,($D368+N$5)&gt;TOTAL_LABOR_HOURS_CAP,MAX(0,($D368+N$5)-PERMANENT_FIELD_LABOR_HOURS)&gt;TEMP_HOURS_CAP),"",$C368+N$6-MIN(($D368+N$5),PERMANENT_FIELD_LABOR_HOURS)*PERMANENT_HOURLY_RATE-MAX(0,($D368+N$5)-PERMANENT_FIELD_LABOR_HOURS)*TEMP_HOURLY_RATE-FIXED_SEASON_COST)</f>
        <v/>
      </c>
      <c r="O368" s="53" t="str">
        <f aca="false">IF(OR($A368&gt;TOMATO_BED_CAP,$B368&gt;CARROT_BED_CAP,O$4&gt;MESCLUN_BED_CAP,$A368+$B368+O$4&gt;TOTAL_BEDS_AVAILABLE,($D368+O$5)&gt;TOTAL_LABOR_HOURS_CAP,MAX(0,($D368+O$5)-PERMANENT_FIELD_LABOR_HOURS)&gt;TEMP_HOURS_CAP),"",$C368+O$6-MIN(($D368+O$5),PERMANENT_FIELD_LABOR_HOURS)*PERMANENT_HOURLY_RATE-MAX(0,($D368+O$5)-PERMANENT_FIELD_LABOR_HOURS)*TEMP_HOURLY_RATE-FIXED_SEASON_COST)</f>
        <v/>
      </c>
      <c r="P368" s="53" t="str">
        <f aca="false">IF(OR($A368&gt;TOMATO_BED_CAP,$B368&gt;CARROT_BED_CAP,P$4&gt;MESCLUN_BED_CAP,$A368+$B368+P$4&gt;TOTAL_BEDS_AVAILABLE,($D368+P$5)&gt;TOTAL_LABOR_HOURS_CAP,MAX(0,($D368+P$5)-PERMANENT_FIELD_LABOR_HOURS)&gt;TEMP_HOURS_CAP),"",$C368+P$6-MIN(($D368+P$5),PERMANENT_FIELD_LABOR_HOURS)*PERMANENT_HOURLY_RATE-MAX(0,($D368+P$5)-PERMANENT_FIELD_LABOR_HOURS)*TEMP_HOURLY_RATE-FIXED_SEASON_COST)</f>
        <v/>
      </c>
      <c r="Q368" s="53" t="str">
        <f aca="false">IF(OR($A368&gt;TOMATO_BED_CAP,$B368&gt;CARROT_BED_CAP,Q$4&gt;MESCLUN_BED_CAP,$A368+$B368+Q$4&gt;TOTAL_BEDS_AVAILABLE,($D368+Q$5)&gt;TOTAL_LABOR_HOURS_CAP,MAX(0,($D368+Q$5)-PERMANENT_FIELD_LABOR_HOURS)&gt;TEMP_HOURS_CAP),"",$C368+Q$6-MIN(($D368+Q$5),PERMANENT_FIELD_LABOR_HOURS)*PERMANENT_HOURLY_RATE-MAX(0,($D368+Q$5)-PERMANENT_FIELD_LABOR_HOURS)*TEMP_HOURLY_RATE-FIXED_SEASON_COST)</f>
        <v/>
      </c>
      <c r="R368" s="53" t="str">
        <f aca="false">IF(OR($A368&gt;TOMATO_BED_CAP,$B368&gt;CARROT_BED_CAP,R$4&gt;MESCLUN_BED_CAP,$A368+$B368+R$4&gt;TOTAL_BEDS_AVAILABLE,($D368+R$5)&gt;TOTAL_LABOR_HOURS_CAP,MAX(0,($D368+R$5)-PERMANENT_FIELD_LABOR_HOURS)&gt;TEMP_HOURS_CAP),"",$C368+R$6-MIN(($D368+R$5),PERMANENT_FIELD_LABOR_HOURS)*PERMANENT_HOURLY_RATE-MAX(0,($D368+R$5)-PERMANENT_FIELD_LABOR_HOURS)*TEMP_HOURLY_RATE-FIXED_SEASON_COST)</f>
        <v/>
      </c>
      <c r="S368" s="53" t="str">
        <f aca="false">IF(OR($A368&gt;TOMATO_BED_CAP,$B368&gt;CARROT_BED_CAP,S$4&gt;MESCLUN_BED_CAP,$A368+$B368+S$4&gt;TOTAL_BEDS_AVAILABLE,($D368+S$5)&gt;TOTAL_LABOR_HOURS_CAP,MAX(0,($D368+S$5)-PERMANENT_FIELD_LABOR_HOURS)&gt;TEMP_HOURS_CAP),"",$C368+S$6-MIN(($D368+S$5),PERMANENT_FIELD_LABOR_HOURS)*PERMANENT_HOURLY_RATE-MAX(0,($D368+S$5)-PERMANENT_FIELD_LABOR_HOURS)*TEMP_HOURLY_RATE-FIXED_SEASON_COST)</f>
        <v/>
      </c>
      <c r="T368" s="53" t="str">
        <f aca="false">IF(OR($A368&gt;TOMATO_BED_CAP,$B368&gt;CARROT_BED_CAP,T$4&gt;MESCLUN_BED_CAP,$A368+$B368+T$4&gt;TOTAL_BEDS_AVAILABLE,($D368+T$5)&gt;TOTAL_LABOR_HOURS_CAP,MAX(0,($D368+T$5)-PERMANENT_FIELD_LABOR_HOURS)&gt;TEMP_HOURS_CAP),"",$C368+T$6-MIN(($D368+T$5),PERMANENT_FIELD_LABOR_HOURS)*PERMANENT_HOURLY_RATE-MAX(0,($D368+T$5)-PERMANENT_FIELD_LABOR_HOURS)*TEMP_HOURLY_RATE-FIXED_SEASON_COST)</f>
        <v/>
      </c>
      <c r="U368" s="53" t="str">
        <f aca="false">IF(OR($A368&gt;TOMATO_BED_CAP,$B368&gt;CARROT_BED_CAP,U$4&gt;MESCLUN_BED_CAP,$A368+$B368+U$4&gt;TOTAL_BEDS_AVAILABLE,($D368+U$5)&gt;TOTAL_LABOR_HOURS_CAP,MAX(0,($D368+U$5)-PERMANENT_FIELD_LABOR_HOURS)&gt;TEMP_HOURS_CAP),"",$C368+U$6-MIN(($D368+U$5),PERMANENT_FIELD_LABOR_HOURS)*PERMANENT_HOURLY_RATE-MAX(0,($D368+U$5)-PERMANENT_FIELD_LABOR_HOURS)*TEMP_HOURLY_RATE-FIXED_SEASON_COST)</f>
        <v/>
      </c>
      <c r="V368" s="53" t="str">
        <f aca="false">IF(OR($A368&gt;TOMATO_BED_CAP,$B368&gt;CARROT_BED_CAP,V$4&gt;MESCLUN_BED_CAP,$A368+$B368+V$4&gt;TOTAL_BEDS_AVAILABLE,($D368+V$5)&gt;TOTAL_LABOR_HOURS_CAP,MAX(0,($D368+V$5)-PERMANENT_FIELD_LABOR_HOURS)&gt;TEMP_HOURS_CAP),"",$C368+V$6-MIN(($D368+V$5),PERMANENT_FIELD_LABOR_HOURS)*PERMANENT_HOURLY_RATE-MAX(0,($D368+V$5)-PERMANENT_FIELD_LABOR_HOURS)*TEMP_HOURLY_RATE-FIXED_SEASON_COST)</f>
        <v/>
      </c>
      <c r="W368" s="53" t="str">
        <f aca="false">IF(OR($A368&gt;TOMATO_BED_CAP,$B368&gt;CARROT_BED_CAP,W$4&gt;MESCLUN_BED_CAP,$A368+$B368+W$4&gt;TOTAL_BEDS_AVAILABLE,($D368+W$5)&gt;TOTAL_LABOR_HOURS_CAP,MAX(0,($D368+W$5)-PERMANENT_FIELD_LABOR_HOURS)&gt;TEMP_HOURS_CAP),"",$C368+W$6-MIN(($D368+W$5),PERMANENT_FIELD_LABOR_HOURS)*PERMANENT_HOURLY_RATE-MAX(0,($D368+W$5)-PERMANENT_FIELD_LABOR_HOURS)*TEMP_HOURLY_RATE-FIXED_SEASON_COST)</f>
        <v/>
      </c>
      <c r="X368" s="53" t="str">
        <f aca="false">IF(OR($A368&gt;TOMATO_BED_CAP,$B368&gt;CARROT_BED_CAP,X$4&gt;MESCLUN_BED_CAP,$A368+$B368+X$4&gt;TOTAL_BEDS_AVAILABLE,($D368+X$5)&gt;TOTAL_LABOR_HOURS_CAP,MAX(0,($D368+X$5)-PERMANENT_FIELD_LABOR_HOURS)&gt;TEMP_HOURS_CAP),"",$C368+X$6-MIN(($D368+X$5),PERMANENT_FIELD_LABOR_HOURS)*PERMANENT_HOURLY_RATE-MAX(0,($D368+X$5)-PERMANENT_FIELD_LABOR_HOURS)*TEMP_HOURLY_RATE-FIXED_SEASON_COST)</f>
        <v/>
      </c>
      <c r="Y368" s="53" t="str">
        <f aca="false">IF(OR($A368&gt;TOMATO_BED_CAP,$B368&gt;CARROT_BED_CAP,Y$4&gt;MESCLUN_BED_CAP,$A368+$B368+Y$4&gt;TOTAL_BEDS_AVAILABLE,($D368+Y$5)&gt;TOTAL_LABOR_HOURS_CAP,MAX(0,($D368+Y$5)-PERMANENT_FIELD_LABOR_HOURS)&gt;TEMP_HOURS_CAP),"",$C368+Y$6-MIN(($D368+Y$5),PERMANENT_FIELD_LABOR_HOURS)*PERMANENT_HOURLY_RATE-MAX(0,($D368+Y$5)-PERMANENT_FIELD_LABOR_HOURS)*TEMP_HOURLY_RATE-FIXED_SEASON_COST)</f>
        <v/>
      </c>
      <c r="Z368" s="53" t="str">
        <f aca="false">IF(OR($A368&gt;TOMATO_BED_CAP,$B368&gt;CARROT_BED_CAP,Z$4&gt;MESCLUN_BED_CAP,$A368+$B368+Z$4&gt;TOTAL_BEDS_AVAILABLE,($D368+Z$5)&gt;TOTAL_LABOR_HOURS_CAP,MAX(0,($D368+Z$5)-PERMANENT_FIELD_LABOR_HOURS)&gt;TEMP_HOURS_CAP),"",$C368+Z$6-MIN(($D368+Z$5),PERMANENT_FIELD_LABOR_HOURS)*PERMANENT_HOURLY_RATE-MAX(0,($D368+Z$5)-PERMANENT_FIELD_LABOR_HOURS)*TEMP_HOURLY_RATE-FIXED_SEASON_COST)</f>
        <v/>
      </c>
      <c r="AA368" s="53" t="str">
        <f aca="false">IF(OR($A368&gt;TOMATO_BED_CAP,$B368&gt;CARROT_BED_CAP,AA$4&gt;MESCLUN_BED_CAP,$A368+$B368+AA$4&gt;TOTAL_BEDS_AVAILABLE,($D368+AA$5)&gt;TOTAL_LABOR_HOURS_CAP,MAX(0,($D368+AA$5)-PERMANENT_FIELD_LABOR_HOURS)&gt;TEMP_HOURS_CAP),"",$C368+AA$6-MIN(($D368+AA$5),PERMANENT_FIELD_LABOR_HOURS)*PERMANENT_HOURLY_RATE-MAX(0,($D368+AA$5)-PERMANENT_FIELD_LABOR_HOURS)*TEMP_HOURLY_RATE-FIXED_SEASON_COST)</f>
        <v/>
      </c>
      <c r="AB368" s="53" t="str">
        <f aca="false">IF(OR($A368&gt;TOMATO_BED_CAP,$B368&gt;CARROT_BED_CAP,AB$4&gt;MESCLUN_BED_CAP,$A368+$B368+AB$4&gt;TOTAL_BEDS_AVAILABLE,($D368+AB$5)&gt;TOTAL_LABOR_HOURS_CAP,MAX(0,($D368+AB$5)-PERMANENT_FIELD_LABOR_HOURS)&gt;TEMP_HOURS_CAP),"",$C368+AB$6-MIN(($D368+AB$5),PERMANENT_FIELD_LABOR_HOURS)*PERMANENT_HOURLY_RATE-MAX(0,($D368+AB$5)-PERMANENT_FIELD_LABOR_HOURS)*TEMP_HOURLY_RATE-FIXED_SEASON_COST)</f>
        <v/>
      </c>
      <c r="AC368" s="53" t="str">
        <f aca="false">IF(OR($A368&gt;TOMATO_BED_CAP,$B368&gt;CARROT_BED_CAP,AC$4&gt;MESCLUN_BED_CAP,$A368+$B368+AC$4&gt;TOTAL_BEDS_AVAILABLE,($D368+AC$5)&gt;TOTAL_LABOR_HOURS_CAP,MAX(0,($D368+AC$5)-PERMANENT_FIELD_LABOR_HOURS)&gt;TEMP_HOURS_CAP),"",$C368+AC$6-MIN(($D368+AC$5),PERMANENT_FIELD_LABOR_HOURS)*PERMANENT_HOURLY_RATE-MAX(0,($D368+AC$5)-PERMANENT_FIELD_LABOR_HOURS)*TEMP_HOURLY_RATE-FIXED_SEASON_COST)</f>
        <v/>
      </c>
      <c r="AD368" s="53" t="str">
        <f aca="false">IF(OR($A368&gt;TOMATO_BED_CAP,$B368&gt;CARROT_BED_CAP,AD$4&gt;MESCLUN_BED_CAP,$A368+$B368+AD$4&gt;TOTAL_BEDS_AVAILABLE,($D368+AD$5)&gt;TOTAL_LABOR_HOURS_CAP,MAX(0,($D368+AD$5)-PERMANENT_FIELD_LABOR_HOURS)&gt;TEMP_HOURS_CAP),"",$C368+AD$6-MIN(($D368+AD$5),PERMANENT_FIELD_LABOR_HOURS)*PERMANENT_HOURLY_RATE-MAX(0,($D368+AD$5)-PERMANENT_FIELD_LABOR_HOURS)*TEMP_HOURLY_RATE-FIXED_SEASON_COST)</f>
        <v/>
      </c>
      <c r="AE368" s="53" t="str">
        <f aca="false">IF(OR($A368&gt;TOMATO_BED_CAP,$B368&gt;CARROT_BED_CAP,AE$4&gt;MESCLUN_BED_CAP,$A368+$B368+AE$4&gt;TOTAL_BEDS_AVAILABLE,($D368+AE$5)&gt;TOTAL_LABOR_HOURS_CAP,MAX(0,($D368+AE$5)-PERMANENT_FIELD_LABOR_HOURS)&gt;TEMP_HOURS_CAP),"",$C368+AE$6-MIN(($D368+AE$5),PERMANENT_FIELD_LABOR_HOURS)*PERMANENT_HOURLY_RATE-MAX(0,($D368+AE$5)-PERMANENT_FIELD_LABOR_HOURS)*TEMP_HOURLY_RATE-FIXED_SEASON_COST)</f>
        <v/>
      </c>
      <c r="AF368" s="53" t="str">
        <f aca="false">IF(OR($A368&gt;TOMATO_BED_CAP,$B368&gt;CARROT_BED_CAP,AF$4&gt;MESCLUN_BED_CAP,$A368+$B368+AF$4&gt;TOTAL_BEDS_AVAILABLE,($D368+AF$5)&gt;TOTAL_LABOR_HOURS_CAP,MAX(0,($D368+AF$5)-PERMANENT_FIELD_LABOR_HOURS)&gt;TEMP_HOURS_CAP),"",$C368+AF$6-MIN(($D368+AF$5),PERMANENT_FIELD_LABOR_HOURS)*PERMANENT_HOURLY_RATE-MAX(0,($D368+AF$5)-PERMANENT_FIELD_LABOR_HOURS)*TEMP_HOURLY_RATE-FIXED_SEASON_COST)</f>
        <v/>
      </c>
      <c r="AG368" s="53" t="str">
        <f aca="false">IF(OR($A368&gt;TOMATO_BED_CAP,$B368&gt;CARROT_BED_CAP,AG$4&gt;MESCLUN_BED_CAP,$A368+$B368+AG$4&gt;TOTAL_BEDS_AVAILABLE,($D368+AG$5)&gt;TOTAL_LABOR_HOURS_CAP,MAX(0,($D368+AG$5)-PERMANENT_FIELD_LABOR_HOURS)&gt;TEMP_HOURS_CAP),"",$C368+AG$6-MIN(($D368+AG$5),PERMANENT_FIELD_LABOR_HOURS)*PERMANENT_HOURLY_RATE-MAX(0,($D368+AG$5)-PERMANENT_FIELD_LABOR_HOURS)*TEMP_HOURLY_RATE-FIXED_SEASON_COST)</f>
        <v/>
      </c>
      <c r="AH368" s="53" t="str">
        <f aca="false">IF(OR($A368&gt;TOMATO_BED_CAP,$B368&gt;CARROT_BED_CAP,AH$4&gt;MESCLUN_BED_CAP,$A368+$B368+AH$4&gt;TOTAL_BEDS_AVAILABLE,($D368+AH$5)&gt;TOTAL_LABOR_HOURS_CAP,MAX(0,($D368+AH$5)-PERMANENT_FIELD_LABOR_HOURS)&gt;TEMP_HOURS_CAP),"",$C368+AH$6-MIN(($D368+AH$5),PERMANENT_FIELD_LABOR_HOURS)*PERMANENT_HOURLY_RATE-MAX(0,($D368+AH$5)-PERMANENT_FIELD_LABOR_HOURS)*TEMP_HOURLY_RATE-FIXED_SEASON_COST)</f>
        <v/>
      </c>
      <c r="AI368" s="53" t="str">
        <f aca="false">IF(OR($A368&gt;TOMATO_BED_CAP,$B368&gt;CARROT_BED_CAP,AI$4&gt;MESCLUN_BED_CAP,$A368+$B368+AI$4&gt;TOTAL_BEDS_AVAILABLE,($D368+AI$5)&gt;TOTAL_LABOR_HOURS_CAP,MAX(0,($D368+AI$5)-PERMANENT_FIELD_LABOR_HOURS)&gt;TEMP_HOURS_CAP),"",$C368+AI$6-MIN(($D368+AI$5),PERMANENT_FIELD_LABOR_HOURS)*PERMANENT_HOURLY_RATE-MAX(0,($D368+AI$5)-PERMANENT_FIELD_LABOR_HOURS)*TEMP_HOURLY_RATE-FIXED_SEASON_COST)</f>
        <v/>
      </c>
      <c r="AJ368" s="53" t="str">
        <f aca="false">IF(OR($A368&gt;TOMATO_BED_CAP,$B368&gt;CARROT_BED_CAP,AJ$4&gt;MESCLUN_BED_CAP,$A368+$B368+AJ$4&gt;TOTAL_BEDS_AVAILABLE,($D368+AJ$5)&gt;TOTAL_LABOR_HOURS_CAP,MAX(0,($D368+AJ$5)-PERMANENT_FIELD_LABOR_HOURS)&gt;TEMP_HOURS_CAP),"",$C368+AJ$6-MIN(($D368+AJ$5),PERMANENT_FIELD_LABOR_HOURS)*PERMANENT_HOURLY_RATE-MAX(0,($D368+AJ$5)-PERMANENT_FIELD_LABOR_HOURS)*TEMP_HOURLY_RATE-FIXED_SEASON_COST)</f>
        <v/>
      </c>
    </row>
    <row r="369" customFormat="false" ht="15" hidden="false" customHeight="false" outlineLevel="0" collapsed="false">
      <c r="A369" s="21" t="n">
        <f aca="false">INT((ROW()-ROW($A$8))/(20+1))</f>
        <v>17</v>
      </c>
      <c r="B369" s="21" t="n">
        <f aca="false">MOD(ROW()-ROW($A$8),20+1)</f>
        <v>4</v>
      </c>
      <c r="C369" s="13" t="n">
        <f aca="false">A369*(TOMATO_REVENUE_PER_BED-TOMATO_FERTILIZER_PER_BED)+B369*(CARROT_REVENUE_PER_BED-CARROT_FERTILIZER_PER_BED)</f>
        <v>141256</v>
      </c>
      <c r="D369" s="14" t="n">
        <f aca="false">INDEX(TOMATO_SCHED_LABOR_HRS,A369+1)+INDEX(CARROT_SCHED_LABOR_HRS,B369+1)</f>
        <v>7865.74409989546</v>
      </c>
      <c r="E369" s="13" t="str">
        <f aca="false">IF(COUNT(F369:AJ369)=0,"",MAX(F369:AJ369))</f>
        <v/>
      </c>
      <c r="F369" s="53" t="str">
        <f aca="false">IF(OR($A369&gt;TOMATO_BED_CAP,$B369&gt;CARROT_BED_CAP,F$4&gt;MESCLUN_BED_CAP,$A369+$B369+F$4&gt;TOTAL_BEDS_AVAILABLE,($D369+F$5)&gt;TOTAL_LABOR_HOURS_CAP,MAX(0,($D369+F$5)-PERMANENT_FIELD_LABOR_HOURS)&gt;TEMP_HOURS_CAP),"",$C369+F$6-MIN(($D369+F$5),PERMANENT_FIELD_LABOR_HOURS)*PERMANENT_HOURLY_RATE-MAX(0,($D369+F$5)-PERMANENT_FIELD_LABOR_HOURS)*TEMP_HOURLY_RATE-FIXED_SEASON_COST)</f>
        <v/>
      </c>
      <c r="G369" s="53" t="str">
        <f aca="false">IF(OR($A369&gt;TOMATO_BED_CAP,$B369&gt;CARROT_BED_CAP,G$4&gt;MESCLUN_BED_CAP,$A369+$B369+G$4&gt;TOTAL_BEDS_AVAILABLE,($D369+G$5)&gt;TOTAL_LABOR_HOURS_CAP,MAX(0,($D369+G$5)-PERMANENT_FIELD_LABOR_HOURS)&gt;TEMP_HOURS_CAP),"",$C369+G$6-MIN(($D369+G$5),PERMANENT_FIELD_LABOR_HOURS)*PERMANENT_HOURLY_RATE-MAX(0,($D369+G$5)-PERMANENT_FIELD_LABOR_HOURS)*TEMP_HOURLY_RATE-FIXED_SEASON_COST)</f>
        <v/>
      </c>
      <c r="H369" s="53" t="str">
        <f aca="false">IF(OR($A369&gt;TOMATO_BED_CAP,$B369&gt;CARROT_BED_CAP,H$4&gt;MESCLUN_BED_CAP,$A369+$B369+H$4&gt;TOTAL_BEDS_AVAILABLE,($D369+H$5)&gt;TOTAL_LABOR_HOURS_CAP,MAX(0,($D369+H$5)-PERMANENT_FIELD_LABOR_HOURS)&gt;TEMP_HOURS_CAP),"",$C369+H$6-MIN(($D369+H$5),PERMANENT_FIELD_LABOR_HOURS)*PERMANENT_HOURLY_RATE-MAX(0,($D369+H$5)-PERMANENT_FIELD_LABOR_HOURS)*TEMP_HOURLY_RATE-FIXED_SEASON_COST)</f>
        <v/>
      </c>
      <c r="I369" s="53" t="str">
        <f aca="false">IF(OR($A369&gt;TOMATO_BED_CAP,$B369&gt;CARROT_BED_CAP,I$4&gt;MESCLUN_BED_CAP,$A369+$B369+I$4&gt;TOTAL_BEDS_AVAILABLE,($D369+I$5)&gt;TOTAL_LABOR_HOURS_CAP,MAX(0,($D369+I$5)-PERMANENT_FIELD_LABOR_HOURS)&gt;TEMP_HOURS_CAP),"",$C369+I$6-MIN(($D369+I$5),PERMANENT_FIELD_LABOR_HOURS)*PERMANENT_HOURLY_RATE-MAX(0,($D369+I$5)-PERMANENT_FIELD_LABOR_HOURS)*TEMP_HOURLY_RATE-FIXED_SEASON_COST)</f>
        <v/>
      </c>
      <c r="J369" s="53" t="str">
        <f aca="false">IF(OR($A369&gt;TOMATO_BED_CAP,$B369&gt;CARROT_BED_CAP,J$4&gt;MESCLUN_BED_CAP,$A369+$B369+J$4&gt;TOTAL_BEDS_AVAILABLE,($D369+J$5)&gt;TOTAL_LABOR_HOURS_CAP,MAX(0,($D369+J$5)-PERMANENT_FIELD_LABOR_HOURS)&gt;TEMP_HOURS_CAP),"",$C369+J$6-MIN(($D369+J$5),PERMANENT_FIELD_LABOR_HOURS)*PERMANENT_HOURLY_RATE-MAX(0,($D369+J$5)-PERMANENT_FIELD_LABOR_HOURS)*TEMP_HOURLY_RATE-FIXED_SEASON_COST)</f>
        <v/>
      </c>
      <c r="K369" s="53" t="str">
        <f aca="false">IF(OR($A369&gt;TOMATO_BED_CAP,$B369&gt;CARROT_BED_CAP,K$4&gt;MESCLUN_BED_CAP,$A369+$B369+K$4&gt;TOTAL_BEDS_AVAILABLE,($D369+K$5)&gt;TOTAL_LABOR_HOURS_CAP,MAX(0,($D369+K$5)-PERMANENT_FIELD_LABOR_HOURS)&gt;TEMP_HOURS_CAP),"",$C369+K$6-MIN(($D369+K$5),PERMANENT_FIELD_LABOR_HOURS)*PERMANENT_HOURLY_RATE-MAX(0,($D369+K$5)-PERMANENT_FIELD_LABOR_HOURS)*TEMP_HOURLY_RATE-FIXED_SEASON_COST)</f>
        <v/>
      </c>
      <c r="L369" s="53" t="str">
        <f aca="false">IF(OR($A369&gt;TOMATO_BED_CAP,$B369&gt;CARROT_BED_CAP,L$4&gt;MESCLUN_BED_CAP,$A369+$B369+L$4&gt;TOTAL_BEDS_AVAILABLE,($D369+L$5)&gt;TOTAL_LABOR_HOURS_CAP,MAX(0,($D369+L$5)-PERMANENT_FIELD_LABOR_HOURS)&gt;TEMP_HOURS_CAP),"",$C369+L$6-MIN(($D369+L$5),PERMANENT_FIELD_LABOR_HOURS)*PERMANENT_HOURLY_RATE-MAX(0,($D369+L$5)-PERMANENT_FIELD_LABOR_HOURS)*TEMP_HOURLY_RATE-FIXED_SEASON_COST)</f>
        <v/>
      </c>
      <c r="M369" s="53" t="str">
        <f aca="false">IF(OR($A369&gt;TOMATO_BED_CAP,$B369&gt;CARROT_BED_CAP,M$4&gt;MESCLUN_BED_CAP,$A369+$B369+M$4&gt;TOTAL_BEDS_AVAILABLE,($D369+M$5)&gt;TOTAL_LABOR_HOURS_CAP,MAX(0,($D369+M$5)-PERMANENT_FIELD_LABOR_HOURS)&gt;TEMP_HOURS_CAP),"",$C369+M$6-MIN(($D369+M$5),PERMANENT_FIELD_LABOR_HOURS)*PERMANENT_HOURLY_RATE-MAX(0,($D369+M$5)-PERMANENT_FIELD_LABOR_HOURS)*TEMP_HOURLY_RATE-FIXED_SEASON_COST)</f>
        <v/>
      </c>
      <c r="N369" s="53" t="str">
        <f aca="false">IF(OR($A369&gt;TOMATO_BED_CAP,$B369&gt;CARROT_BED_CAP,N$4&gt;MESCLUN_BED_CAP,$A369+$B369+N$4&gt;TOTAL_BEDS_AVAILABLE,($D369+N$5)&gt;TOTAL_LABOR_HOURS_CAP,MAX(0,($D369+N$5)-PERMANENT_FIELD_LABOR_HOURS)&gt;TEMP_HOURS_CAP),"",$C369+N$6-MIN(($D369+N$5),PERMANENT_FIELD_LABOR_HOURS)*PERMANENT_HOURLY_RATE-MAX(0,($D369+N$5)-PERMANENT_FIELD_LABOR_HOURS)*TEMP_HOURLY_RATE-FIXED_SEASON_COST)</f>
        <v/>
      </c>
      <c r="O369" s="53" t="str">
        <f aca="false">IF(OR($A369&gt;TOMATO_BED_CAP,$B369&gt;CARROT_BED_CAP,O$4&gt;MESCLUN_BED_CAP,$A369+$B369+O$4&gt;TOTAL_BEDS_AVAILABLE,($D369+O$5)&gt;TOTAL_LABOR_HOURS_CAP,MAX(0,($D369+O$5)-PERMANENT_FIELD_LABOR_HOURS)&gt;TEMP_HOURS_CAP),"",$C369+O$6-MIN(($D369+O$5),PERMANENT_FIELD_LABOR_HOURS)*PERMANENT_HOURLY_RATE-MAX(0,($D369+O$5)-PERMANENT_FIELD_LABOR_HOURS)*TEMP_HOURLY_RATE-FIXED_SEASON_COST)</f>
        <v/>
      </c>
      <c r="P369" s="53" t="str">
        <f aca="false">IF(OR($A369&gt;TOMATO_BED_CAP,$B369&gt;CARROT_BED_CAP,P$4&gt;MESCLUN_BED_CAP,$A369+$B369+P$4&gt;TOTAL_BEDS_AVAILABLE,($D369+P$5)&gt;TOTAL_LABOR_HOURS_CAP,MAX(0,($D369+P$5)-PERMANENT_FIELD_LABOR_HOURS)&gt;TEMP_HOURS_CAP),"",$C369+P$6-MIN(($D369+P$5),PERMANENT_FIELD_LABOR_HOURS)*PERMANENT_HOURLY_RATE-MAX(0,($D369+P$5)-PERMANENT_FIELD_LABOR_HOURS)*TEMP_HOURLY_RATE-FIXED_SEASON_COST)</f>
        <v/>
      </c>
      <c r="Q369" s="53" t="str">
        <f aca="false">IF(OR($A369&gt;TOMATO_BED_CAP,$B369&gt;CARROT_BED_CAP,Q$4&gt;MESCLUN_BED_CAP,$A369+$B369+Q$4&gt;TOTAL_BEDS_AVAILABLE,($D369+Q$5)&gt;TOTAL_LABOR_HOURS_CAP,MAX(0,($D369+Q$5)-PERMANENT_FIELD_LABOR_HOURS)&gt;TEMP_HOURS_CAP),"",$C369+Q$6-MIN(($D369+Q$5),PERMANENT_FIELD_LABOR_HOURS)*PERMANENT_HOURLY_RATE-MAX(0,($D369+Q$5)-PERMANENT_FIELD_LABOR_HOURS)*TEMP_HOURLY_RATE-FIXED_SEASON_COST)</f>
        <v/>
      </c>
      <c r="R369" s="53" t="str">
        <f aca="false">IF(OR($A369&gt;TOMATO_BED_CAP,$B369&gt;CARROT_BED_CAP,R$4&gt;MESCLUN_BED_CAP,$A369+$B369+R$4&gt;TOTAL_BEDS_AVAILABLE,($D369+R$5)&gt;TOTAL_LABOR_HOURS_CAP,MAX(0,($D369+R$5)-PERMANENT_FIELD_LABOR_HOURS)&gt;TEMP_HOURS_CAP),"",$C369+R$6-MIN(($D369+R$5),PERMANENT_FIELD_LABOR_HOURS)*PERMANENT_HOURLY_RATE-MAX(0,($D369+R$5)-PERMANENT_FIELD_LABOR_HOURS)*TEMP_HOURLY_RATE-FIXED_SEASON_COST)</f>
        <v/>
      </c>
      <c r="S369" s="53" t="str">
        <f aca="false">IF(OR($A369&gt;TOMATO_BED_CAP,$B369&gt;CARROT_BED_CAP,S$4&gt;MESCLUN_BED_CAP,$A369+$B369+S$4&gt;TOTAL_BEDS_AVAILABLE,($D369+S$5)&gt;TOTAL_LABOR_HOURS_CAP,MAX(0,($D369+S$5)-PERMANENT_FIELD_LABOR_HOURS)&gt;TEMP_HOURS_CAP),"",$C369+S$6-MIN(($D369+S$5),PERMANENT_FIELD_LABOR_HOURS)*PERMANENT_HOURLY_RATE-MAX(0,($D369+S$5)-PERMANENT_FIELD_LABOR_HOURS)*TEMP_HOURLY_RATE-FIXED_SEASON_COST)</f>
        <v/>
      </c>
      <c r="T369" s="53" t="str">
        <f aca="false">IF(OR($A369&gt;TOMATO_BED_CAP,$B369&gt;CARROT_BED_CAP,T$4&gt;MESCLUN_BED_CAP,$A369+$B369+T$4&gt;TOTAL_BEDS_AVAILABLE,($D369+T$5)&gt;TOTAL_LABOR_HOURS_CAP,MAX(0,($D369+T$5)-PERMANENT_FIELD_LABOR_HOURS)&gt;TEMP_HOURS_CAP),"",$C369+T$6-MIN(($D369+T$5),PERMANENT_FIELD_LABOR_HOURS)*PERMANENT_HOURLY_RATE-MAX(0,($D369+T$5)-PERMANENT_FIELD_LABOR_HOURS)*TEMP_HOURLY_RATE-FIXED_SEASON_COST)</f>
        <v/>
      </c>
      <c r="U369" s="53" t="str">
        <f aca="false">IF(OR($A369&gt;TOMATO_BED_CAP,$B369&gt;CARROT_BED_CAP,U$4&gt;MESCLUN_BED_CAP,$A369+$B369+U$4&gt;TOTAL_BEDS_AVAILABLE,($D369+U$5)&gt;TOTAL_LABOR_HOURS_CAP,MAX(0,($D369+U$5)-PERMANENT_FIELD_LABOR_HOURS)&gt;TEMP_HOURS_CAP),"",$C369+U$6-MIN(($D369+U$5),PERMANENT_FIELD_LABOR_HOURS)*PERMANENT_HOURLY_RATE-MAX(0,($D369+U$5)-PERMANENT_FIELD_LABOR_HOURS)*TEMP_HOURLY_RATE-FIXED_SEASON_COST)</f>
        <v/>
      </c>
      <c r="V369" s="53" t="str">
        <f aca="false">IF(OR($A369&gt;TOMATO_BED_CAP,$B369&gt;CARROT_BED_CAP,V$4&gt;MESCLUN_BED_CAP,$A369+$B369+V$4&gt;TOTAL_BEDS_AVAILABLE,($D369+V$5)&gt;TOTAL_LABOR_HOURS_CAP,MAX(0,($D369+V$5)-PERMANENT_FIELD_LABOR_HOURS)&gt;TEMP_HOURS_CAP),"",$C369+V$6-MIN(($D369+V$5),PERMANENT_FIELD_LABOR_HOURS)*PERMANENT_HOURLY_RATE-MAX(0,($D369+V$5)-PERMANENT_FIELD_LABOR_HOURS)*TEMP_HOURLY_RATE-FIXED_SEASON_COST)</f>
        <v/>
      </c>
      <c r="W369" s="53" t="str">
        <f aca="false">IF(OR($A369&gt;TOMATO_BED_CAP,$B369&gt;CARROT_BED_CAP,W$4&gt;MESCLUN_BED_CAP,$A369+$B369+W$4&gt;TOTAL_BEDS_AVAILABLE,($D369+W$5)&gt;TOTAL_LABOR_HOURS_CAP,MAX(0,($D369+W$5)-PERMANENT_FIELD_LABOR_HOURS)&gt;TEMP_HOURS_CAP),"",$C369+W$6-MIN(($D369+W$5),PERMANENT_FIELD_LABOR_HOURS)*PERMANENT_HOURLY_RATE-MAX(0,($D369+W$5)-PERMANENT_FIELD_LABOR_HOURS)*TEMP_HOURLY_RATE-FIXED_SEASON_COST)</f>
        <v/>
      </c>
      <c r="X369" s="53" t="str">
        <f aca="false">IF(OR($A369&gt;TOMATO_BED_CAP,$B369&gt;CARROT_BED_CAP,X$4&gt;MESCLUN_BED_CAP,$A369+$B369+X$4&gt;TOTAL_BEDS_AVAILABLE,($D369+X$5)&gt;TOTAL_LABOR_HOURS_CAP,MAX(0,($D369+X$5)-PERMANENT_FIELD_LABOR_HOURS)&gt;TEMP_HOURS_CAP),"",$C369+X$6-MIN(($D369+X$5),PERMANENT_FIELD_LABOR_HOURS)*PERMANENT_HOURLY_RATE-MAX(0,($D369+X$5)-PERMANENT_FIELD_LABOR_HOURS)*TEMP_HOURLY_RATE-FIXED_SEASON_COST)</f>
        <v/>
      </c>
      <c r="Y369" s="53" t="str">
        <f aca="false">IF(OR($A369&gt;TOMATO_BED_CAP,$B369&gt;CARROT_BED_CAP,Y$4&gt;MESCLUN_BED_CAP,$A369+$B369+Y$4&gt;TOTAL_BEDS_AVAILABLE,($D369+Y$5)&gt;TOTAL_LABOR_HOURS_CAP,MAX(0,($D369+Y$5)-PERMANENT_FIELD_LABOR_HOURS)&gt;TEMP_HOURS_CAP),"",$C369+Y$6-MIN(($D369+Y$5),PERMANENT_FIELD_LABOR_HOURS)*PERMANENT_HOURLY_RATE-MAX(0,($D369+Y$5)-PERMANENT_FIELD_LABOR_HOURS)*TEMP_HOURLY_RATE-FIXED_SEASON_COST)</f>
        <v/>
      </c>
      <c r="Z369" s="53" t="str">
        <f aca="false">IF(OR($A369&gt;TOMATO_BED_CAP,$B369&gt;CARROT_BED_CAP,Z$4&gt;MESCLUN_BED_CAP,$A369+$B369+Z$4&gt;TOTAL_BEDS_AVAILABLE,($D369+Z$5)&gt;TOTAL_LABOR_HOURS_CAP,MAX(0,($D369+Z$5)-PERMANENT_FIELD_LABOR_HOURS)&gt;TEMP_HOURS_CAP),"",$C369+Z$6-MIN(($D369+Z$5),PERMANENT_FIELD_LABOR_HOURS)*PERMANENT_HOURLY_RATE-MAX(0,($D369+Z$5)-PERMANENT_FIELD_LABOR_HOURS)*TEMP_HOURLY_RATE-FIXED_SEASON_COST)</f>
        <v/>
      </c>
      <c r="AA369" s="53" t="str">
        <f aca="false">IF(OR($A369&gt;TOMATO_BED_CAP,$B369&gt;CARROT_BED_CAP,AA$4&gt;MESCLUN_BED_CAP,$A369+$B369+AA$4&gt;TOTAL_BEDS_AVAILABLE,($D369+AA$5)&gt;TOTAL_LABOR_HOURS_CAP,MAX(0,($D369+AA$5)-PERMANENT_FIELD_LABOR_HOURS)&gt;TEMP_HOURS_CAP),"",$C369+AA$6-MIN(($D369+AA$5),PERMANENT_FIELD_LABOR_HOURS)*PERMANENT_HOURLY_RATE-MAX(0,($D369+AA$5)-PERMANENT_FIELD_LABOR_HOURS)*TEMP_HOURLY_RATE-FIXED_SEASON_COST)</f>
        <v/>
      </c>
      <c r="AB369" s="53" t="str">
        <f aca="false">IF(OR($A369&gt;TOMATO_BED_CAP,$B369&gt;CARROT_BED_CAP,AB$4&gt;MESCLUN_BED_CAP,$A369+$B369+AB$4&gt;TOTAL_BEDS_AVAILABLE,($D369+AB$5)&gt;TOTAL_LABOR_HOURS_CAP,MAX(0,($D369+AB$5)-PERMANENT_FIELD_LABOR_HOURS)&gt;TEMP_HOURS_CAP),"",$C369+AB$6-MIN(($D369+AB$5),PERMANENT_FIELD_LABOR_HOURS)*PERMANENT_HOURLY_RATE-MAX(0,($D369+AB$5)-PERMANENT_FIELD_LABOR_HOURS)*TEMP_HOURLY_RATE-FIXED_SEASON_COST)</f>
        <v/>
      </c>
      <c r="AC369" s="53" t="str">
        <f aca="false">IF(OR($A369&gt;TOMATO_BED_CAP,$B369&gt;CARROT_BED_CAP,AC$4&gt;MESCLUN_BED_CAP,$A369+$B369+AC$4&gt;TOTAL_BEDS_AVAILABLE,($D369+AC$5)&gt;TOTAL_LABOR_HOURS_CAP,MAX(0,($D369+AC$5)-PERMANENT_FIELD_LABOR_HOURS)&gt;TEMP_HOURS_CAP),"",$C369+AC$6-MIN(($D369+AC$5),PERMANENT_FIELD_LABOR_HOURS)*PERMANENT_HOURLY_RATE-MAX(0,($D369+AC$5)-PERMANENT_FIELD_LABOR_HOURS)*TEMP_HOURLY_RATE-FIXED_SEASON_COST)</f>
        <v/>
      </c>
      <c r="AD369" s="53" t="str">
        <f aca="false">IF(OR($A369&gt;TOMATO_BED_CAP,$B369&gt;CARROT_BED_CAP,AD$4&gt;MESCLUN_BED_CAP,$A369+$B369+AD$4&gt;TOTAL_BEDS_AVAILABLE,($D369+AD$5)&gt;TOTAL_LABOR_HOURS_CAP,MAX(0,($D369+AD$5)-PERMANENT_FIELD_LABOR_HOURS)&gt;TEMP_HOURS_CAP),"",$C369+AD$6-MIN(($D369+AD$5),PERMANENT_FIELD_LABOR_HOURS)*PERMANENT_HOURLY_RATE-MAX(0,($D369+AD$5)-PERMANENT_FIELD_LABOR_HOURS)*TEMP_HOURLY_RATE-FIXED_SEASON_COST)</f>
        <v/>
      </c>
      <c r="AE369" s="53" t="str">
        <f aca="false">IF(OR($A369&gt;TOMATO_BED_CAP,$B369&gt;CARROT_BED_CAP,AE$4&gt;MESCLUN_BED_CAP,$A369+$B369+AE$4&gt;TOTAL_BEDS_AVAILABLE,($D369+AE$5)&gt;TOTAL_LABOR_HOURS_CAP,MAX(0,($D369+AE$5)-PERMANENT_FIELD_LABOR_HOURS)&gt;TEMP_HOURS_CAP),"",$C369+AE$6-MIN(($D369+AE$5),PERMANENT_FIELD_LABOR_HOURS)*PERMANENT_HOURLY_RATE-MAX(0,($D369+AE$5)-PERMANENT_FIELD_LABOR_HOURS)*TEMP_HOURLY_RATE-FIXED_SEASON_COST)</f>
        <v/>
      </c>
      <c r="AF369" s="53" t="str">
        <f aca="false">IF(OR($A369&gt;TOMATO_BED_CAP,$B369&gt;CARROT_BED_CAP,AF$4&gt;MESCLUN_BED_CAP,$A369+$B369+AF$4&gt;TOTAL_BEDS_AVAILABLE,($D369+AF$5)&gt;TOTAL_LABOR_HOURS_CAP,MAX(0,($D369+AF$5)-PERMANENT_FIELD_LABOR_HOURS)&gt;TEMP_HOURS_CAP),"",$C369+AF$6-MIN(($D369+AF$5),PERMANENT_FIELD_LABOR_HOURS)*PERMANENT_HOURLY_RATE-MAX(0,($D369+AF$5)-PERMANENT_FIELD_LABOR_HOURS)*TEMP_HOURLY_RATE-FIXED_SEASON_COST)</f>
        <v/>
      </c>
      <c r="AG369" s="53" t="str">
        <f aca="false">IF(OR($A369&gt;TOMATO_BED_CAP,$B369&gt;CARROT_BED_CAP,AG$4&gt;MESCLUN_BED_CAP,$A369+$B369+AG$4&gt;TOTAL_BEDS_AVAILABLE,($D369+AG$5)&gt;TOTAL_LABOR_HOURS_CAP,MAX(0,($D369+AG$5)-PERMANENT_FIELD_LABOR_HOURS)&gt;TEMP_HOURS_CAP),"",$C369+AG$6-MIN(($D369+AG$5),PERMANENT_FIELD_LABOR_HOURS)*PERMANENT_HOURLY_RATE-MAX(0,($D369+AG$5)-PERMANENT_FIELD_LABOR_HOURS)*TEMP_HOURLY_RATE-FIXED_SEASON_COST)</f>
        <v/>
      </c>
      <c r="AH369" s="53" t="str">
        <f aca="false">IF(OR($A369&gt;TOMATO_BED_CAP,$B369&gt;CARROT_BED_CAP,AH$4&gt;MESCLUN_BED_CAP,$A369+$B369+AH$4&gt;TOTAL_BEDS_AVAILABLE,($D369+AH$5)&gt;TOTAL_LABOR_HOURS_CAP,MAX(0,($D369+AH$5)-PERMANENT_FIELD_LABOR_HOURS)&gt;TEMP_HOURS_CAP),"",$C369+AH$6-MIN(($D369+AH$5),PERMANENT_FIELD_LABOR_HOURS)*PERMANENT_HOURLY_RATE-MAX(0,($D369+AH$5)-PERMANENT_FIELD_LABOR_HOURS)*TEMP_HOURLY_RATE-FIXED_SEASON_COST)</f>
        <v/>
      </c>
      <c r="AI369" s="53" t="str">
        <f aca="false">IF(OR($A369&gt;TOMATO_BED_CAP,$B369&gt;CARROT_BED_CAP,AI$4&gt;MESCLUN_BED_CAP,$A369+$B369+AI$4&gt;TOTAL_BEDS_AVAILABLE,($D369+AI$5)&gt;TOTAL_LABOR_HOURS_CAP,MAX(0,($D369+AI$5)-PERMANENT_FIELD_LABOR_HOURS)&gt;TEMP_HOURS_CAP),"",$C369+AI$6-MIN(($D369+AI$5),PERMANENT_FIELD_LABOR_HOURS)*PERMANENT_HOURLY_RATE-MAX(0,($D369+AI$5)-PERMANENT_FIELD_LABOR_HOURS)*TEMP_HOURLY_RATE-FIXED_SEASON_COST)</f>
        <v/>
      </c>
      <c r="AJ369" s="53" t="str">
        <f aca="false">IF(OR($A369&gt;TOMATO_BED_CAP,$B369&gt;CARROT_BED_CAP,AJ$4&gt;MESCLUN_BED_CAP,$A369+$B369+AJ$4&gt;TOTAL_BEDS_AVAILABLE,($D369+AJ$5)&gt;TOTAL_LABOR_HOURS_CAP,MAX(0,($D369+AJ$5)-PERMANENT_FIELD_LABOR_HOURS)&gt;TEMP_HOURS_CAP),"",$C369+AJ$6-MIN(($D369+AJ$5),PERMANENT_FIELD_LABOR_HOURS)*PERMANENT_HOURLY_RATE-MAX(0,($D369+AJ$5)-PERMANENT_FIELD_LABOR_HOURS)*TEMP_HOURLY_RATE-FIXED_SEASON_COST)</f>
        <v/>
      </c>
    </row>
    <row r="370" customFormat="false" ht="15" hidden="false" customHeight="false" outlineLevel="0" collapsed="false">
      <c r="A370" s="21" t="n">
        <f aca="false">INT((ROW()-ROW($A$8))/(20+1))</f>
        <v>17</v>
      </c>
      <c r="B370" s="21" t="n">
        <f aca="false">MOD(ROW()-ROW($A$8),20+1)</f>
        <v>5</v>
      </c>
      <c r="C370" s="13" t="n">
        <f aca="false">A370*(TOMATO_REVENUE_PER_BED-TOMATO_FERTILIZER_PER_BED)+B370*(CARROT_REVENUE_PER_BED-CARROT_FERTILIZER_PER_BED)</f>
        <v>142910</v>
      </c>
      <c r="D370" s="14" t="n">
        <f aca="false">INDEX(TOMATO_SCHED_LABOR_HRS,A370+1)+INDEX(CARROT_SCHED_LABOR_HRS,B370+1)</f>
        <v>7902.98288348003</v>
      </c>
      <c r="E370" s="13" t="str">
        <f aca="false">IF(COUNT(F370:AJ370)=0,"",MAX(F370:AJ370))</f>
        <v/>
      </c>
      <c r="F370" s="53" t="str">
        <f aca="false">IF(OR($A370&gt;TOMATO_BED_CAP,$B370&gt;CARROT_BED_CAP,F$4&gt;MESCLUN_BED_CAP,$A370+$B370+F$4&gt;TOTAL_BEDS_AVAILABLE,($D370+F$5)&gt;TOTAL_LABOR_HOURS_CAP,MAX(0,($D370+F$5)-PERMANENT_FIELD_LABOR_HOURS)&gt;TEMP_HOURS_CAP),"",$C370+F$6-MIN(($D370+F$5),PERMANENT_FIELD_LABOR_HOURS)*PERMANENT_HOURLY_RATE-MAX(0,($D370+F$5)-PERMANENT_FIELD_LABOR_HOURS)*TEMP_HOURLY_RATE-FIXED_SEASON_COST)</f>
        <v/>
      </c>
      <c r="G370" s="53" t="str">
        <f aca="false">IF(OR($A370&gt;TOMATO_BED_CAP,$B370&gt;CARROT_BED_CAP,G$4&gt;MESCLUN_BED_CAP,$A370+$B370+G$4&gt;TOTAL_BEDS_AVAILABLE,($D370+G$5)&gt;TOTAL_LABOR_HOURS_CAP,MAX(0,($D370+G$5)-PERMANENT_FIELD_LABOR_HOURS)&gt;TEMP_HOURS_CAP),"",$C370+G$6-MIN(($D370+G$5),PERMANENT_FIELD_LABOR_HOURS)*PERMANENT_HOURLY_RATE-MAX(0,($D370+G$5)-PERMANENT_FIELD_LABOR_HOURS)*TEMP_HOURLY_RATE-FIXED_SEASON_COST)</f>
        <v/>
      </c>
      <c r="H370" s="53" t="str">
        <f aca="false">IF(OR($A370&gt;TOMATO_BED_CAP,$B370&gt;CARROT_BED_CAP,H$4&gt;MESCLUN_BED_CAP,$A370+$B370+H$4&gt;TOTAL_BEDS_AVAILABLE,($D370+H$5)&gt;TOTAL_LABOR_HOURS_CAP,MAX(0,($D370+H$5)-PERMANENT_FIELD_LABOR_HOURS)&gt;TEMP_HOURS_CAP),"",$C370+H$6-MIN(($D370+H$5),PERMANENT_FIELD_LABOR_HOURS)*PERMANENT_HOURLY_RATE-MAX(0,($D370+H$5)-PERMANENT_FIELD_LABOR_HOURS)*TEMP_HOURLY_RATE-FIXED_SEASON_COST)</f>
        <v/>
      </c>
      <c r="I370" s="53" t="str">
        <f aca="false">IF(OR($A370&gt;TOMATO_BED_CAP,$B370&gt;CARROT_BED_CAP,I$4&gt;MESCLUN_BED_CAP,$A370+$B370+I$4&gt;TOTAL_BEDS_AVAILABLE,($D370+I$5)&gt;TOTAL_LABOR_HOURS_CAP,MAX(0,($D370+I$5)-PERMANENT_FIELD_LABOR_HOURS)&gt;TEMP_HOURS_CAP),"",$C370+I$6-MIN(($D370+I$5),PERMANENT_FIELD_LABOR_HOURS)*PERMANENT_HOURLY_RATE-MAX(0,($D370+I$5)-PERMANENT_FIELD_LABOR_HOURS)*TEMP_HOURLY_RATE-FIXED_SEASON_COST)</f>
        <v/>
      </c>
      <c r="J370" s="53" t="str">
        <f aca="false">IF(OR($A370&gt;TOMATO_BED_CAP,$B370&gt;CARROT_BED_CAP,J$4&gt;MESCLUN_BED_CAP,$A370+$B370+J$4&gt;TOTAL_BEDS_AVAILABLE,($D370+J$5)&gt;TOTAL_LABOR_HOURS_CAP,MAX(0,($D370+J$5)-PERMANENT_FIELD_LABOR_HOURS)&gt;TEMP_HOURS_CAP),"",$C370+J$6-MIN(($D370+J$5),PERMANENT_FIELD_LABOR_HOURS)*PERMANENT_HOURLY_RATE-MAX(0,($D370+J$5)-PERMANENT_FIELD_LABOR_HOURS)*TEMP_HOURLY_RATE-FIXED_SEASON_COST)</f>
        <v/>
      </c>
      <c r="K370" s="53" t="str">
        <f aca="false">IF(OR($A370&gt;TOMATO_BED_CAP,$B370&gt;CARROT_BED_CAP,K$4&gt;MESCLUN_BED_CAP,$A370+$B370+K$4&gt;TOTAL_BEDS_AVAILABLE,($D370+K$5)&gt;TOTAL_LABOR_HOURS_CAP,MAX(0,($D370+K$5)-PERMANENT_FIELD_LABOR_HOURS)&gt;TEMP_HOURS_CAP),"",$C370+K$6-MIN(($D370+K$5),PERMANENT_FIELD_LABOR_HOURS)*PERMANENT_HOURLY_RATE-MAX(0,($D370+K$5)-PERMANENT_FIELD_LABOR_HOURS)*TEMP_HOURLY_RATE-FIXED_SEASON_COST)</f>
        <v/>
      </c>
      <c r="L370" s="53" t="str">
        <f aca="false">IF(OR($A370&gt;TOMATO_BED_CAP,$B370&gt;CARROT_BED_CAP,L$4&gt;MESCLUN_BED_CAP,$A370+$B370+L$4&gt;TOTAL_BEDS_AVAILABLE,($D370+L$5)&gt;TOTAL_LABOR_HOURS_CAP,MAX(0,($D370+L$5)-PERMANENT_FIELD_LABOR_HOURS)&gt;TEMP_HOURS_CAP),"",$C370+L$6-MIN(($D370+L$5),PERMANENT_FIELD_LABOR_HOURS)*PERMANENT_HOURLY_RATE-MAX(0,($D370+L$5)-PERMANENT_FIELD_LABOR_HOURS)*TEMP_HOURLY_RATE-FIXED_SEASON_COST)</f>
        <v/>
      </c>
      <c r="M370" s="53" t="str">
        <f aca="false">IF(OR($A370&gt;TOMATO_BED_CAP,$B370&gt;CARROT_BED_CAP,M$4&gt;MESCLUN_BED_CAP,$A370+$B370+M$4&gt;TOTAL_BEDS_AVAILABLE,($D370+M$5)&gt;TOTAL_LABOR_HOURS_CAP,MAX(0,($D370+M$5)-PERMANENT_FIELD_LABOR_HOURS)&gt;TEMP_HOURS_CAP),"",$C370+M$6-MIN(($D370+M$5),PERMANENT_FIELD_LABOR_HOURS)*PERMANENT_HOURLY_RATE-MAX(0,($D370+M$5)-PERMANENT_FIELD_LABOR_HOURS)*TEMP_HOURLY_RATE-FIXED_SEASON_COST)</f>
        <v/>
      </c>
      <c r="N370" s="53" t="str">
        <f aca="false">IF(OR($A370&gt;TOMATO_BED_CAP,$B370&gt;CARROT_BED_CAP,N$4&gt;MESCLUN_BED_CAP,$A370+$B370+N$4&gt;TOTAL_BEDS_AVAILABLE,($D370+N$5)&gt;TOTAL_LABOR_HOURS_CAP,MAX(0,($D370+N$5)-PERMANENT_FIELD_LABOR_HOURS)&gt;TEMP_HOURS_CAP),"",$C370+N$6-MIN(($D370+N$5),PERMANENT_FIELD_LABOR_HOURS)*PERMANENT_HOURLY_RATE-MAX(0,($D370+N$5)-PERMANENT_FIELD_LABOR_HOURS)*TEMP_HOURLY_RATE-FIXED_SEASON_COST)</f>
        <v/>
      </c>
      <c r="O370" s="53" t="str">
        <f aca="false">IF(OR($A370&gt;TOMATO_BED_CAP,$B370&gt;CARROT_BED_CAP,O$4&gt;MESCLUN_BED_CAP,$A370+$B370+O$4&gt;TOTAL_BEDS_AVAILABLE,($D370+O$5)&gt;TOTAL_LABOR_HOURS_CAP,MAX(0,($D370+O$5)-PERMANENT_FIELD_LABOR_HOURS)&gt;TEMP_HOURS_CAP),"",$C370+O$6-MIN(($D370+O$5),PERMANENT_FIELD_LABOR_HOURS)*PERMANENT_HOURLY_RATE-MAX(0,($D370+O$5)-PERMANENT_FIELD_LABOR_HOURS)*TEMP_HOURLY_RATE-FIXED_SEASON_COST)</f>
        <v/>
      </c>
      <c r="P370" s="53" t="str">
        <f aca="false">IF(OR($A370&gt;TOMATO_BED_CAP,$B370&gt;CARROT_BED_CAP,P$4&gt;MESCLUN_BED_CAP,$A370+$B370+P$4&gt;TOTAL_BEDS_AVAILABLE,($D370+P$5)&gt;TOTAL_LABOR_HOURS_CAP,MAX(0,($D370+P$5)-PERMANENT_FIELD_LABOR_HOURS)&gt;TEMP_HOURS_CAP),"",$C370+P$6-MIN(($D370+P$5),PERMANENT_FIELD_LABOR_HOURS)*PERMANENT_HOURLY_RATE-MAX(0,($D370+P$5)-PERMANENT_FIELD_LABOR_HOURS)*TEMP_HOURLY_RATE-FIXED_SEASON_COST)</f>
        <v/>
      </c>
      <c r="Q370" s="53" t="str">
        <f aca="false">IF(OR($A370&gt;TOMATO_BED_CAP,$B370&gt;CARROT_BED_CAP,Q$4&gt;MESCLUN_BED_CAP,$A370+$B370+Q$4&gt;TOTAL_BEDS_AVAILABLE,($D370+Q$5)&gt;TOTAL_LABOR_HOURS_CAP,MAX(0,($D370+Q$5)-PERMANENT_FIELD_LABOR_HOURS)&gt;TEMP_HOURS_CAP),"",$C370+Q$6-MIN(($D370+Q$5),PERMANENT_FIELD_LABOR_HOURS)*PERMANENT_HOURLY_RATE-MAX(0,($D370+Q$5)-PERMANENT_FIELD_LABOR_HOURS)*TEMP_HOURLY_RATE-FIXED_SEASON_COST)</f>
        <v/>
      </c>
      <c r="R370" s="53" t="str">
        <f aca="false">IF(OR($A370&gt;TOMATO_BED_CAP,$B370&gt;CARROT_BED_CAP,R$4&gt;MESCLUN_BED_CAP,$A370+$B370+R$4&gt;TOTAL_BEDS_AVAILABLE,($D370+R$5)&gt;TOTAL_LABOR_HOURS_CAP,MAX(0,($D370+R$5)-PERMANENT_FIELD_LABOR_HOURS)&gt;TEMP_HOURS_CAP),"",$C370+R$6-MIN(($D370+R$5),PERMANENT_FIELD_LABOR_HOURS)*PERMANENT_HOURLY_RATE-MAX(0,($D370+R$5)-PERMANENT_FIELD_LABOR_HOURS)*TEMP_HOURLY_RATE-FIXED_SEASON_COST)</f>
        <v/>
      </c>
      <c r="S370" s="53" t="str">
        <f aca="false">IF(OR($A370&gt;TOMATO_BED_CAP,$B370&gt;CARROT_BED_CAP,S$4&gt;MESCLUN_BED_CAP,$A370+$B370+S$4&gt;TOTAL_BEDS_AVAILABLE,($D370+S$5)&gt;TOTAL_LABOR_HOURS_CAP,MAX(0,($D370+S$5)-PERMANENT_FIELD_LABOR_HOURS)&gt;TEMP_HOURS_CAP),"",$C370+S$6-MIN(($D370+S$5),PERMANENT_FIELD_LABOR_HOURS)*PERMANENT_HOURLY_RATE-MAX(0,($D370+S$5)-PERMANENT_FIELD_LABOR_HOURS)*TEMP_HOURLY_RATE-FIXED_SEASON_COST)</f>
        <v/>
      </c>
      <c r="T370" s="53" t="str">
        <f aca="false">IF(OR($A370&gt;TOMATO_BED_CAP,$B370&gt;CARROT_BED_CAP,T$4&gt;MESCLUN_BED_CAP,$A370+$B370+T$4&gt;TOTAL_BEDS_AVAILABLE,($D370+T$5)&gt;TOTAL_LABOR_HOURS_CAP,MAX(0,($D370+T$5)-PERMANENT_FIELD_LABOR_HOURS)&gt;TEMP_HOURS_CAP),"",$C370+T$6-MIN(($D370+T$5),PERMANENT_FIELD_LABOR_HOURS)*PERMANENT_HOURLY_RATE-MAX(0,($D370+T$5)-PERMANENT_FIELD_LABOR_HOURS)*TEMP_HOURLY_RATE-FIXED_SEASON_COST)</f>
        <v/>
      </c>
      <c r="U370" s="53" t="str">
        <f aca="false">IF(OR($A370&gt;TOMATO_BED_CAP,$B370&gt;CARROT_BED_CAP,U$4&gt;MESCLUN_BED_CAP,$A370+$B370+U$4&gt;TOTAL_BEDS_AVAILABLE,($D370+U$5)&gt;TOTAL_LABOR_HOURS_CAP,MAX(0,($D370+U$5)-PERMANENT_FIELD_LABOR_HOURS)&gt;TEMP_HOURS_CAP),"",$C370+U$6-MIN(($D370+U$5),PERMANENT_FIELD_LABOR_HOURS)*PERMANENT_HOURLY_RATE-MAX(0,($D370+U$5)-PERMANENT_FIELD_LABOR_HOURS)*TEMP_HOURLY_RATE-FIXED_SEASON_COST)</f>
        <v/>
      </c>
      <c r="V370" s="53" t="str">
        <f aca="false">IF(OR($A370&gt;TOMATO_BED_CAP,$B370&gt;CARROT_BED_CAP,V$4&gt;MESCLUN_BED_CAP,$A370+$B370+V$4&gt;TOTAL_BEDS_AVAILABLE,($D370+V$5)&gt;TOTAL_LABOR_HOURS_CAP,MAX(0,($D370+V$5)-PERMANENT_FIELD_LABOR_HOURS)&gt;TEMP_HOURS_CAP),"",$C370+V$6-MIN(($D370+V$5),PERMANENT_FIELD_LABOR_HOURS)*PERMANENT_HOURLY_RATE-MAX(0,($D370+V$5)-PERMANENT_FIELD_LABOR_HOURS)*TEMP_HOURLY_RATE-FIXED_SEASON_COST)</f>
        <v/>
      </c>
      <c r="W370" s="53" t="str">
        <f aca="false">IF(OR($A370&gt;TOMATO_BED_CAP,$B370&gt;CARROT_BED_CAP,W$4&gt;MESCLUN_BED_CAP,$A370+$B370+W$4&gt;TOTAL_BEDS_AVAILABLE,($D370+W$5)&gt;TOTAL_LABOR_HOURS_CAP,MAX(0,($D370+W$5)-PERMANENT_FIELD_LABOR_HOURS)&gt;TEMP_HOURS_CAP),"",$C370+W$6-MIN(($D370+W$5),PERMANENT_FIELD_LABOR_HOURS)*PERMANENT_HOURLY_RATE-MAX(0,($D370+W$5)-PERMANENT_FIELD_LABOR_HOURS)*TEMP_HOURLY_RATE-FIXED_SEASON_COST)</f>
        <v/>
      </c>
      <c r="X370" s="53" t="str">
        <f aca="false">IF(OR($A370&gt;TOMATO_BED_CAP,$B370&gt;CARROT_BED_CAP,X$4&gt;MESCLUN_BED_CAP,$A370+$B370+X$4&gt;TOTAL_BEDS_AVAILABLE,($D370+X$5)&gt;TOTAL_LABOR_HOURS_CAP,MAX(0,($D370+X$5)-PERMANENT_FIELD_LABOR_HOURS)&gt;TEMP_HOURS_CAP),"",$C370+X$6-MIN(($D370+X$5),PERMANENT_FIELD_LABOR_HOURS)*PERMANENT_HOURLY_RATE-MAX(0,($D370+X$5)-PERMANENT_FIELD_LABOR_HOURS)*TEMP_HOURLY_RATE-FIXED_SEASON_COST)</f>
        <v/>
      </c>
      <c r="Y370" s="53" t="str">
        <f aca="false">IF(OR($A370&gt;TOMATO_BED_CAP,$B370&gt;CARROT_BED_CAP,Y$4&gt;MESCLUN_BED_CAP,$A370+$B370+Y$4&gt;TOTAL_BEDS_AVAILABLE,($D370+Y$5)&gt;TOTAL_LABOR_HOURS_CAP,MAX(0,($D370+Y$5)-PERMANENT_FIELD_LABOR_HOURS)&gt;TEMP_HOURS_CAP),"",$C370+Y$6-MIN(($D370+Y$5),PERMANENT_FIELD_LABOR_HOURS)*PERMANENT_HOURLY_RATE-MAX(0,($D370+Y$5)-PERMANENT_FIELD_LABOR_HOURS)*TEMP_HOURLY_RATE-FIXED_SEASON_COST)</f>
        <v/>
      </c>
      <c r="Z370" s="53" t="str">
        <f aca="false">IF(OR($A370&gt;TOMATO_BED_CAP,$B370&gt;CARROT_BED_CAP,Z$4&gt;MESCLUN_BED_CAP,$A370+$B370+Z$4&gt;TOTAL_BEDS_AVAILABLE,($D370+Z$5)&gt;TOTAL_LABOR_HOURS_CAP,MAX(0,($D370+Z$5)-PERMANENT_FIELD_LABOR_HOURS)&gt;TEMP_HOURS_CAP),"",$C370+Z$6-MIN(($D370+Z$5),PERMANENT_FIELD_LABOR_HOURS)*PERMANENT_HOURLY_RATE-MAX(0,($D370+Z$5)-PERMANENT_FIELD_LABOR_HOURS)*TEMP_HOURLY_RATE-FIXED_SEASON_COST)</f>
        <v/>
      </c>
      <c r="AA370" s="53" t="str">
        <f aca="false">IF(OR($A370&gt;TOMATO_BED_CAP,$B370&gt;CARROT_BED_CAP,AA$4&gt;MESCLUN_BED_CAP,$A370+$B370+AA$4&gt;TOTAL_BEDS_AVAILABLE,($D370+AA$5)&gt;TOTAL_LABOR_HOURS_CAP,MAX(0,($D370+AA$5)-PERMANENT_FIELD_LABOR_HOURS)&gt;TEMP_HOURS_CAP),"",$C370+AA$6-MIN(($D370+AA$5),PERMANENT_FIELD_LABOR_HOURS)*PERMANENT_HOURLY_RATE-MAX(0,($D370+AA$5)-PERMANENT_FIELD_LABOR_HOURS)*TEMP_HOURLY_RATE-FIXED_SEASON_COST)</f>
        <v/>
      </c>
      <c r="AB370" s="53" t="str">
        <f aca="false">IF(OR($A370&gt;TOMATO_BED_CAP,$B370&gt;CARROT_BED_CAP,AB$4&gt;MESCLUN_BED_CAP,$A370+$B370+AB$4&gt;TOTAL_BEDS_AVAILABLE,($D370+AB$5)&gt;TOTAL_LABOR_HOURS_CAP,MAX(0,($D370+AB$5)-PERMANENT_FIELD_LABOR_HOURS)&gt;TEMP_HOURS_CAP),"",$C370+AB$6-MIN(($D370+AB$5),PERMANENT_FIELD_LABOR_HOURS)*PERMANENT_HOURLY_RATE-MAX(0,($D370+AB$5)-PERMANENT_FIELD_LABOR_HOURS)*TEMP_HOURLY_RATE-FIXED_SEASON_COST)</f>
        <v/>
      </c>
      <c r="AC370" s="53" t="str">
        <f aca="false">IF(OR($A370&gt;TOMATO_BED_CAP,$B370&gt;CARROT_BED_CAP,AC$4&gt;MESCLUN_BED_CAP,$A370+$B370+AC$4&gt;TOTAL_BEDS_AVAILABLE,($D370+AC$5)&gt;TOTAL_LABOR_HOURS_CAP,MAX(0,($D370+AC$5)-PERMANENT_FIELD_LABOR_HOURS)&gt;TEMP_HOURS_CAP),"",$C370+AC$6-MIN(($D370+AC$5),PERMANENT_FIELD_LABOR_HOURS)*PERMANENT_HOURLY_RATE-MAX(0,($D370+AC$5)-PERMANENT_FIELD_LABOR_HOURS)*TEMP_HOURLY_RATE-FIXED_SEASON_COST)</f>
        <v/>
      </c>
      <c r="AD370" s="53" t="str">
        <f aca="false">IF(OR($A370&gt;TOMATO_BED_CAP,$B370&gt;CARROT_BED_CAP,AD$4&gt;MESCLUN_BED_CAP,$A370+$B370+AD$4&gt;TOTAL_BEDS_AVAILABLE,($D370+AD$5)&gt;TOTAL_LABOR_HOURS_CAP,MAX(0,($D370+AD$5)-PERMANENT_FIELD_LABOR_HOURS)&gt;TEMP_HOURS_CAP),"",$C370+AD$6-MIN(($D370+AD$5),PERMANENT_FIELD_LABOR_HOURS)*PERMANENT_HOURLY_RATE-MAX(0,($D370+AD$5)-PERMANENT_FIELD_LABOR_HOURS)*TEMP_HOURLY_RATE-FIXED_SEASON_COST)</f>
        <v/>
      </c>
      <c r="AE370" s="53" t="str">
        <f aca="false">IF(OR($A370&gt;TOMATO_BED_CAP,$B370&gt;CARROT_BED_CAP,AE$4&gt;MESCLUN_BED_CAP,$A370+$B370+AE$4&gt;TOTAL_BEDS_AVAILABLE,($D370+AE$5)&gt;TOTAL_LABOR_HOURS_CAP,MAX(0,($D370+AE$5)-PERMANENT_FIELD_LABOR_HOURS)&gt;TEMP_HOURS_CAP),"",$C370+AE$6-MIN(($D370+AE$5),PERMANENT_FIELD_LABOR_HOURS)*PERMANENT_HOURLY_RATE-MAX(0,($D370+AE$5)-PERMANENT_FIELD_LABOR_HOURS)*TEMP_HOURLY_RATE-FIXED_SEASON_COST)</f>
        <v/>
      </c>
      <c r="AF370" s="53" t="str">
        <f aca="false">IF(OR($A370&gt;TOMATO_BED_CAP,$B370&gt;CARROT_BED_CAP,AF$4&gt;MESCLUN_BED_CAP,$A370+$B370+AF$4&gt;TOTAL_BEDS_AVAILABLE,($D370+AF$5)&gt;TOTAL_LABOR_HOURS_CAP,MAX(0,($D370+AF$5)-PERMANENT_FIELD_LABOR_HOURS)&gt;TEMP_HOURS_CAP),"",$C370+AF$6-MIN(($D370+AF$5),PERMANENT_FIELD_LABOR_HOURS)*PERMANENT_HOURLY_RATE-MAX(0,($D370+AF$5)-PERMANENT_FIELD_LABOR_HOURS)*TEMP_HOURLY_RATE-FIXED_SEASON_COST)</f>
        <v/>
      </c>
      <c r="AG370" s="53" t="str">
        <f aca="false">IF(OR($A370&gt;TOMATO_BED_CAP,$B370&gt;CARROT_BED_CAP,AG$4&gt;MESCLUN_BED_CAP,$A370+$B370+AG$4&gt;TOTAL_BEDS_AVAILABLE,($D370+AG$5)&gt;TOTAL_LABOR_HOURS_CAP,MAX(0,($D370+AG$5)-PERMANENT_FIELD_LABOR_HOURS)&gt;TEMP_HOURS_CAP),"",$C370+AG$6-MIN(($D370+AG$5),PERMANENT_FIELD_LABOR_HOURS)*PERMANENT_HOURLY_RATE-MAX(0,($D370+AG$5)-PERMANENT_FIELD_LABOR_HOURS)*TEMP_HOURLY_RATE-FIXED_SEASON_COST)</f>
        <v/>
      </c>
      <c r="AH370" s="53" t="str">
        <f aca="false">IF(OR($A370&gt;TOMATO_BED_CAP,$B370&gt;CARROT_BED_CAP,AH$4&gt;MESCLUN_BED_CAP,$A370+$B370+AH$4&gt;TOTAL_BEDS_AVAILABLE,($D370+AH$5)&gt;TOTAL_LABOR_HOURS_CAP,MAX(0,($D370+AH$5)-PERMANENT_FIELD_LABOR_HOURS)&gt;TEMP_HOURS_CAP),"",$C370+AH$6-MIN(($D370+AH$5),PERMANENT_FIELD_LABOR_HOURS)*PERMANENT_HOURLY_RATE-MAX(0,($D370+AH$5)-PERMANENT_FIELD_LABOR_HOURS)*TEMP_HOURLY_RATE-FIXED_SEASON_COST)</f>
        <v/>
      </c>
      <c r="AI370" s="53" t="str">
        <f aca="false">IF(OR($A370&gt;TOMATO_BED_CAP,$B370&gt;CARROT_BED_CAP,AI$4&gt;MESCLUN_BED_CAP,$A370+$B370+AI$4&gt;TOTAL_BEDS_AVAILABLE,($D370+AI$5)&gt;TOTAL_LABOR_HOURS_CAP,MAX(0,($D370+AI$5)-PERMANENT_FIELD_LABOR_HOURS)&gt;TEMP_HOURS_CAP),"",$C370+AI$6-MIN(($D370+AI$5),PERMANENT_FIELD_LABOR_HOURS)*PERMANENT_HOURLY_RATE-MAX(0,($D370+AI$5)-PERMANENT_FIELD_LABOR_HOURS)*TEMP_HOURLY_RATE-FIXED_SEASON_COST)</f>
        <v/>
      </c>
      <c r="AJ370" s="53" t="str">
        <f aca="false">IF(OR($A370&gt;TOMATO_BED_CAP,$B370&gt;CARROT_BED_CAP,AJ$4&gt;MESCLUN_BED_CAP,$A370+$B370+AJ$4&gt;TOTAL_BEDS_AVAILABLE,($D370+AJ$5)&gt;TOTAL_LABOR_HOURS_CAP,MAX(0,($D370+AJ$5)-PERMANENT_FIELD_LABOR_HOURS)&gt;TEMP_HOURS_CAP),"",$C370+AJ$6-MIN(($D370+AJ$5),PERMANENT_FIELD_LABOR_HOURS)*PERMANENT_HOURLY_RATE-MAX(0,($D370+AJ$5)-PERMANENT_FIELD_LABOR_HOURS)*TEMP_HOURLY_RATE-FIXED_SEASON_COST)</f>
        <v/>
      </c>
    </row>
    <row r="371" customFormat="false" ht="15" hidden="false" customHeight="false" outlineLevel="0" collapsed="false">
      <c r="A371" s="21" t="n">
        <f aca="false">INT((ROW()-ROW($A$8))/(20+1))</f>
        <v>17</v>
      </c>
      <c r="B371" s="21" t="n">
        <f aca="false">MOD(ROW()-ROW($A$8),20+1)</f>
        <v>6</v>
      </c>
      <c r="C371" s="13" t="n">
        <f aca="false">A371*(TOMATO_REVENUE_PER_BED-TOMATO_FERTILIZER_PER_BED)+B371*(CARROT_REVENUE_PER_BED-CARROT_FERTILIZER_PER_BED)</f>
        <v>144564</v>
      </c>
      <c r="D371" s="14" t="n">
        <f aca="false">INDEX(TOMATO_SCHED_LABOR_HRS,A371+1)+INDEX(CARROT_SCHED_LABOR_HRS,B371+1)</f>
        <v>7942.00085339142</v>
      </c>
      <c r="E371" s="13" t="str">
        <f aca="false">IF(COUNT(F371:AJ371)=0,"",MAX(F371:AJ371))</f>
        <v/>
      </c>
      <c r="F371" s="53" t="str">
        <f aca="false">IF(OR($A371&gt;TOMATO_BED_CAP,$B371&gt;CARROT_BED_CAP,F$4&gt;MESCLUN_BED_CAP,$A371+$B371+F$4&gt;TOTAL_BEDS_AVAILABLE,($D371+F$5)&gt;TOTAL_LABOR_HOURS_CAP,MAX(0,($D371+F$5)-PERMANENT_FIELD_LABOR_HOURS)&gt;TEMP_HOURS_CAP),"",$C371+F$6-MIN(($D371+F$5),PERMANENT_FIELD_LABOR_HOURS)*PERMANENT_HOURLY_RATE-MAX(0,($D371+F$5)-PERMANENT_FIELD_LABOR_HOURS)*TEMP_HOURLY_RATE-FIXED_SEASON_COST)</f>
        <v/>
      </c>
      <c r="G371" s="53" t="str">
        <f aca="false">IF(OR($A371&gt;TOMATO_BED_CAP,$B371&gt;CARROT_BED_CAP,G$4&gt;MESCLUN_BED_CAP,$A371+$B371+G$4&gt;TOTAL_BEDS_AVAILABLE,($D371+G$5)&gt;TOTAL_LABOR_HOURS_CAP,MAX(0,($D371+G$5)-PERMANENT_FIELD_LABOR_HOURS)&gt;TEMP_HOURS_CAP),"",$C371+G$6-MIN(($D371+G$5),PERMANENT_FIELD_LABOR_HOURS)*PERMANENT_HOURLY_RATE-MAX(0,($D371+G$5)-PERMANENT_FIELD_LABOR_HOURS)*TEMP_HOURLY_RATE-FIXED_SEASON_COST)</f>
        <v/>
      </c>
      <c r="H371" s="53" t="str">
        <f aca="false">IF(OR($A371&gt;TOMATO_BED_CAP,$B371&gt;CARROT_BED_CAP,H$4&gt;MESCLUN_BED_CAP,$A371+$B371+H$4&gt;TOTAL_BEDS_AVAILABLE,($D371+H$5)&gt;TOTAL_LABOR_HOURS_CAP,MAX(0,($D371+H$5)-PERMANENT_FIELD_LABOR_HOURS)&gt;TEMP_HOURS_CAP),"",$C371+H$6-MIN(($D371+H$5),PERMANENT_FIELD_LABOR_HOURS)*PERMANENT_HOURLY_RATE-MAX(0,($D371+H$5)-PERMANENT_FIELD_LABOR_HOURS)*TEMP_HOURLY_RATE-FIXED_SEASON_COST)</f>
        <v/>
      </c>
      <c r="I371" s="53" t="str">
        <f aca="false">IF(OR($A371&gt;TOMATO_BED_CAP,$B371&gt;CARROT_BED_CAP,I$4&gt;MESCLUN_BED_CAP,$A371+$B371+I$4&gt;TOTAL_BEDS_AVAILABLE,($D371+I$5)&gt;TOTAL_LABOR_HOURS_CAP,MAX(0,($D371+I$5)-PERMANENT_FIELD_LABOR_HOURS)&gt;TEMP_HOURS_CAP),"",$C371+I$6-MIN(($D371+I$5),PERMANENT_FIELD_LABOR_HOURS)*PERMANENT_HOURLY_RATE-MAX(0,($D371+I$5)-PERMANENT_FIELD_LABOR_HOURS)*TEMP_HOURLY_RATE-FIXED_SEASON_COST)</f>
        <v/>
      </c>
      <c r="J371" s="53" t="str">
        <f aca="false">IF(OR($A371&gt;TOMATO_BED_CAP,$B371&gt;CARROT_BED_CAP,J$4&gt;MESCLUN_BED_CAP,$A371+$B371+J$4&gt;TOTAL_BEDS_AVAILABLE,($D371+J$5)&gt;TOTAL_LABOR_HOURS_CAP,MAX(0,($D371+J$5)-PERMANENT_FIELD_LABOR_HOURS)&gt;TEMP_HOURS_CAP),"",$C371+J$6-MIN(($D371+J$5),PERMANENT_FIELD_LABOR_HOURS)*PERMANENT_HOURLY_RATE-MAX(0,($D371+J$5)-PERMANENT_FIELD_LABOR_HOURS)*TEMP_HOURLY_RATE-FIXED_SEASON_COST)</f>
        <v/>
      </c>
      <c r="K371" s="53" t="str">
        <f aca="false">IF(OR($A371&gt;TOMATO_BED_CAP,$B371&gt;CARROT_BED_CAP,K$4&gt;MESCLUN_BED_CAP,$A371+$B371+K$4&gt;TOTAL_BEDS_AVAILABLE,($D371+K$5)&gt;TOTAL_LABOR_HOURS_CAP,MAX(0,($D371+K$5)-PERMANENT_FIELD_LABOR_HOURS)&gt;TEMP_HOURS_CAP),"",$C371+K$6-MIN(($D371+K$5),PERMANENT_FIELD_LABOR_HOURS)*PERMANENT_HOURLY_RATE-MAX(0,($D371+K$5)-PERMANENT_FIELD_LABOR_HOURS)*TEMP_HOURLY_RATE-FIXED_SEASON_COST)</f>
        <v/>
      </c>
      <c r="L371" s="53" t="str">
        <f aca="false">IF(OR($A371&gt;TOMATO_BED_CAP,$B371&gt;CARROT_BED_CAP,L$4&gt;MESCLUN_BED_CAP,$A371+$B371+L$4&gt;TOTAL_BEDS_AVAILABLE,($D371+L$5)&gt;TOTAL_LABOR_HOURS_CAP,MAX(0,($D371+L$5)-PERMANENT_FIELD_LABOR_HOURS)&gt;TEMP_HOURS_CAP),"",$C371+L$6-MIN(($D371+L$5),PERMANENT_FIELD_LABOR_HOURS)*PERMANENT_HOURLY_RATE-MAX(0,($D371+L$5)-PERMANENT_FIELD_LABOR_HOURS)*TEMP_HOURLY_RATE-FIXED_SEASON_COST)</f>
        <v/>
      </c>
      <c r="M371" s="53" t="str">
        <f aca="false">IF(OR($A371&gt;TOMATO_BED_CAP,$B371&gt;CARROT_BED_CAP,M$4&gt;MESCLUN_BED_CAP,$A371+$B371+M$4&gt;TOTAL_BEDS_AVAILABLE,($D371+M$5)&gt;TOTAL_LABOR_HOURS_CAP,MAX(0,($D371+M$5)-PERMANENT_FIELD_LABOR_HOURS)&gt;TEMP_HOURS_CAP),"",$C371+M$6-MIN(($D371+M$5),PERMANENT_FIELD_LABOR_HOURS)*PERMANENT_HOURLY_RATE-MAX(0,($D371+M$5)-PERMANENT_FIELD_LABOR_HOURS)*TEMP_HOURLY_RATE-FIXED_SEASON_COST)</f>
        <v/>
      </c>
      <c r="N371" s="53" t="str">
        <f aca="false">IF(OR($A371&gt;TOMATO_BED_CAP,$B371&gt;CARROT_BED_CAP,N$4&gt;MESCLUN_BED_CAP,$A371+$B371+N$4&gt;TOTAL_BEDS_AVAILABLE,($D371+N$5)&gt;TOTAL_LABOR_HOURS_CAP,MAX(0,($D371+N$5)-PERMANENT_FIELD_LABOR_HOURS)&gt;TEMP_HOURS_CAP),"",$C371+N$6-MIN(($D371+N$5),PERMANENT_FIELD_LABOR_HOURS)*PERMANENT_HOURLY_RATE-MAX(0,($D371+N$5)-PERMANENT_FIELD_LABOR_HOURS)*TEMP_HOURLY_RATE-FIXED_SEASON_COST)</f>
        <v/>
      </c>
      <c r="O371" s="53" t="str">
        <f aca="false">IF(OR($A371&gt;TOMATO_BED_CAP,$B371&gt;CARROT_BED_CAP,O$4&gt;MESCLUN_BED_CAP,$A371+$B371+O$4&gt;TOTAL_BEDS_AVAILABLE,($D371+O$5)&gt;TOTAL_LABOR_HOURS_CAP,MAX(0,($D371+O$5)-PERMANENT_FIELD_LABOR_HOURS)&gt;TEMP_HOURS_CAP),"",$C371+O$6-MIN(($D371+O$5),PERMANENT_FIELD_LABOR_HOURS)*PERMANENT_HOURLY_RATE-MAX(0,($D371+O$5)-PERMANENT_FIELD_LABOR_HOURS)*TEMP_HOURLY_RATE-FIXED_SEASON_COST)</f>
        <v/>
      </c>
      <c r="P371" s="53" t="str">
        <f aca="false">IF(OR($A371&gt;TOMATO_BED_CAP,$B371&gt;CARROT_BED_CAP,P$4&gt;MESCLUN_BED_CAP,$A371+$B371+P$4&gt;TOTAL_BEDS_AVAILABLE,($D371+P$5)&gt;TOTAL_LABOR_HOURS_CAP,MAX(0,($D371+P$5)-PERMANENT_FIELD_LABOR_HOURS)&gt;TEMP_HOURS_CAP),"",$C371+P$6-MIN(($D371+P$5),PERMANENT_FIELD_LABOR_HOURS)*PERMANENT_HOURLY_RATE-MAX(0,($D371+P$5)-PERMANENT_FIELD_LABOR_HOURS)*TEMP_HOURLY_RATE-FIXED_SEASON_COST)</f>
        <v/>
      </c>
      <c r="Q371" s="53" t="str">
        <f aca="false">IF(OR($A371&gt;TOMATO_BED_CAP,$B371&gt;CARROT_BED_CAP,Q$4&gt;MESCLUN_BED_CAP,$A371+$B371+Q$4&gt;TOTAL_BEDS_AVAILABLE,($D371+Q$5)&gt;TOTAL_LABOR_HOURS_CAP,MAX(0,($D371+Q$5)-PERMANENT_FIELD_LABOR_HOURS)&gt;TEMP_HOURS_CAP),"",$C371+Q$6-MIN(($D371+Q$5),PERMANENT_FIELD_LABOR_HOURS)*PERMANENT_HOURLY_RATE-MAX(0,($D371+Q$5)-PERMANENT_FIELD_LABOR_HOURS)*TEMP_HOURLY_RATE-FIXED_SEASON_COST)</f>
        <v/>
      </c>
      <c r="R371" s="53" t="str">
        <f aca="false">IF(OR($A371&gt;TOMATO_BED_CAP,$B371&gt;CARROT_BED_CAP,R$4&gt;MESCLUN_BED_CAP,$A371+$B371+R$4&gt;TOTAL_BEDS_AVAILABLE,($D371+R$5)&gt;TOTAL_LABOR_HOURS_CAP,MAX(0,($D371+R$5)-PERMANENT_FIELD_LABOR_HOURS)&gt;TEMP_HOURS_CAP),"",$C371+R$6-MIN(($D371+R$5),PERMANENT_FIELD_LABOR_HOURS)*PERMANENT_HOURLY_RATE-MAX(0,($D371+R$5)-PERMANENT_FIELD_LABOR_HOURS)*TEMP_HOURLY_RATE-FIXED_SEASON_COST)</f>
        <v/>
      </c>
      <c r="S371" s="53" t="str">
        <f aca="false">IF(OR($A371&gt;TOMATO_BED_CAP,$B371&gt;CARROT_BED_CAP,S$4&gt;MESCLUN_BED_CAP,$A371+$B371+S$4&gt;TOTAL_BEDS_AVAILABLE,($D371+S$5)&gt;TOTAL_LABOR_HOURS_CAP,MAX(0,($D371+S$5)-PERMANENT_FIELD_LABOR_HOURS)&gt;TEMP_HOURS_CAP),"",$C371+S$6-MIN(($D371+S$5),PERMANENT_FIELD_LABOR_HOURS)*PERMANENT_HOURLY_RATE-MAX(0,($D371+S$5)-PERMANENT_FIELD_LABOR_HOURS)*TEMP_HOURLY_RATE-FIXED_SEASON_COST)</f>
        <v/>
      </c>
      <c r="T371" s="53" t="str">
        <f aca="false">IF(OR($A371&gt;TOMATO_BED_CAP,$B371&gt;CARROT_BED_CAP,T$4&gt;MESCLUN_BED_CAP,$A371+$B371+T$4&gt;TOTAL_BEDS_AVAILABLE,($D371+T$5)&gt;TOTAL_LABOR_HOURS_CAP,MAX(0,($D371+T$5)-PERMANENT_FIELD_LABOR_HOURS)&gt;TEMP_HOURS_CAP),"",$C371+T$6-MIN(($D371+T$5),PERMANENT_FIELD_LABOR_HOURS)*PERMANENT_HOURLY_RATE-MAX(0,($D371+T$5)-PERMANENT_FIELD_LABOR_HOURS)*TEMP_HOURLY_RATE-FIXED_SEASON_COST)</f>
        <v/>
      </c>
      <c r="U371" s="53" t="str">
        <f aca="false">IF(OR($A371&gt;TOMATO_BED_CAP,$B371&gt;CARROT_BED_CAP,U$4&gt;MESCLUN_BED_CAP,$A371+$B371+U$4&gt;TOTAL_BEDS_AVAILABLE,($D371+U$5)&gt;TOTAL_LABOR_HOURS_CAP,MAX(0,($D371+U$5)-PERMANENT_FIELD_LABOR_HOURS)&gt;TEMP_HOURS_CAP),"",$C371+U$6-MIN(($D371+U$5),PERMANENT_FIELD_LABOR_HOURS)*PERMANENT_HOURLY_RATE-MAX(0,($D371+U$5)-PERMANENT_FIELD_LABOR_HOURS)*TEMP_HOURLY_RATE-FIXED_SEASON_COST)</f>
        <v/>
      </c>
      <c r="V371" s="53" t="str">
        <f aca="false">IF(OR($A371&gt;TOMATO_BED_CAP,$B371&gt;CARROT_BED_CAP,V$4&gt;MESCLUN_BED_CAP,$A371+$B371+V$4&gt;TOTAL_BEDS_AVAILABLE,($D371+V$5)&gt;TOTAL_LABOR_HOURS_CAP,MAX(0,($D371+V$5)-PERMANENT_FIELD_LABOR_HOURS)&gt;TEMP_HOURS_CAP),"",$C371+V$6-MIN(($D371+V$5),PERMANENT_FIELD_LABOR_HOURS)*PERMANENT_HOURLY_RATE-MAX(0,($D371+V$5)-PERMANENT_FIELD_LABOR_HOURS)*TEMP_HOURLY_RATE-FIXED_SEASON_COST)</f>
        <v/>
      </c>
      <c r="W371" s="53" t="str">
        <f aca="false">IF(OR($A371&gt;TOMATO_BED_CAP,$B371&gt;CARROT_BED_CAP,W$4&gt;MESCLUN_BED_CAP,$A371+$B371+W$4&gt;TOTAL_BEDS_AVAILABLE,($D371+W$5)&gt;TOTAL_LABOR_HOURS_CAP,MAX(0,($D371+W$5)-PERMANENT_FIELD_LABOR_HOURS)&gt;TEMP_HOURS_CAP),"",$C371+W$6-MIN(($D371+W$5),PERMANENT_FIELD_LABOR_HOURS)*PERMANENT_HOURLY_RATE-MAX(0,($D371+W$5)-PERMANENT_FIELD_LABOR_HOURS)*TEMP_HOURLY_RATE-FIXED_SEASON_COST)</f>
        <v/>
      </c>
      <c r="X371" s="53" t="str">
        <f aca="false">IF(OR($A371&gt;TOMATO_BED_CAP,$B371&gt;CARROT_BED_CAP,X$4&gt;MESCLUN_BED_CAP,$A371+$B371+X$4&gt;TOTAL_BEDS_AVAILABLE,($D371+X$5)&gt;TOTAL_LABOR_HOURS_CAP,MAX(0,($D371+X$5)-PERMANENT_FIELD_LABOR_HOURS)&gt;TEMP_HOURS_CAP),"",$C371+X$6-MIN(($D371+X$5),PERMANENT_FIELD_LABOR_HOURS)*PERMANENT_HOURLY_RATE-MAX(0,($D371+X$5)-PERMANENT_FIELD_LABOR_HOURS)*TEMP_HOURLY_RATE-FIXED_SEASON_COST)</f>
        <v/>
      </c>
      <c r="Y371" s="53" t="str">
        <f aca="false">IF(OR($A371&gt;TOMATO_BED_CAP,$B371&gt;CARROT_BED_CAP,Y$4&gt;MESCLUN_BED_CAP,$A371+$B371+Y$4&gt;TOTAL_BEDS_AVAILABLE,($D371+Y$5)&gt;TOTAL_LABOR_HOURS_CAP,MAX(0,($D371+Y$5)-PERMANENT_FIELD_LABOR_HOURS)&gt;TEMP_HOURS_CAP),"",$C371+Y$6-MIN(($D371+Y$5),PERMANENT_FIELD_LABOR_HOURS)*PERMANENT_HOURLY_RATE-MAX(0,($D371+Y$5)-PERMANENT_FIELD_LABOR_HOURS)*TEMP_HOURLY_RATE-FIXED_SEASON_COST)</f>
        <v/>
      </c>
      <c r="Z371" s="53" t="str">
        <f aca="false">IF(OR($A371&gt;TOMATO_BED_CAP,$B371&gt;CARROT_BED_CAP,Z$4&gt;MESCLUN_BED_CAP,$A371+$B371+Z$4&gt;TOTAL_BEDS_AVAILABLE,($D371+Z$5)&gt;TOTAL_LABOR_HOURS_CAP,MAX(0,($D371+Z$5)-PERMANENT_FIELD_LABOR_HOURS)&gt;TEMP_HOURS_CAP),"",$C371+Z$6-MIN(($D371+Z$5),PERMANENT_FIELD_LABOR_HOURS)*PERMANENT_HOURLY_RATE-MAX(0,($D371+Z$5)-PERMANENT_FIELD_LABOR_HOURS)*TEMP_HOURLY_RATE-FIXED_SEASON_COST)</f>
        <v/>
      </c>
      <c r="AA371" s="53" t="str">
        <f aca="false">IF(OR($A371&gt;TOMATO_BED_CAP,$B371&gt;CARROT_BED_CAP,AA$4&gt;MESCLUN_BED_CAP,$A371+$B371+AA$4&gt;TOTAL_BEDS_AVAILABLE,($D371+AA$5)&gt;TOTAL_LABOR_HOURS_CAP,MAX(0,($D371+AA$5)-PERMANENT_FIELD_LABOR_HOURS)&gt;TEMP_HOURS_CAP),"",$C371+AA$6-MIN(($D371+AA$5),PERMANENT_FIELD_LABOR_HOURS)*PERMANENT_HOURLY_RATE-MAX(0,($D371+AA$5)-PERMANENT_FIELD_LABOR_HOURS)*TEMP_HOURLY_RATE-FIXED_SEASON_COST)</f>
        <v/>
      </c>
      <c r="AB371" s="53" t="str">
        <f aca="false">IF(OR($A371&gt;TOMATO_BED_CAP,$B371&gt;CARROT_BED_CAP,AB$4&gt;MESCLUN_BED_CAP,$A371+$B371+AB$4&gt;TOTAL_BEDS_AVAILABLE,($D371+AB$5)&gt;TOTAL_LABOR_HOURS_CAP,MAX(0,($D371+AB$5)-PERMANENT_FIELD_LABOR_HOURS)&gt;TEMP_HOURS_CAP),"",$C371+AB$6-MIN(($D371+AB$5),PERMANENT_FIELD_LABOR_HOURS)*PERMANENT_HOURLY_RATE-MAX(0,($D371+AB$5)-PERMANENT_FIELD_LABOR_HOURS)*TEMP_HOURLY_RATE-FIXED_SEASON_COST)</f>
        <v/>
      </c>
      <c r="AC371" s="53" t="str">
        <f aca="false">IF(OR($A371&gt;TOMATO_BED_CAP,$B371&gt;CARROT_BED_CAP,AC$4&gt;MESCLUN_BED_CAP,$A371+$B371+AC$4&gt;TOTAL_BEDS_AVAILABLE,($D371+AC$5)&gt;TOTAL_LABOR_HOURS_CAP,MAX(0,($D371+AC$5)-PERMANENT_FIELD_LABOR_HOURS)&gt;TEMP_HOURS_CAP),"",$C371+AC$6-MIN(($D371+AC$5),PERMANENT_FIELD_LABOR_HOURS)*PERMANENT_HOURLY_RATE-MAX(0,($D371+AC$5)-PERMANENT_FIELD_LABOR_HOURS)*TEMP_HOURLY_RATE-FIXED_SEASON_COST)</f>
        <v/>
      </c>
      <c r="AD371" s="53" t="str">
        <f aca="false">IF(OR($A371&gt;TOMATO_BED_CAP,$B371&gt;CARROT_BED_CAP,AD$4&gt;MESCLUN_BED_CAP,$A371+$B371+AD$4&gt;TOTAL_BEDS_AVAILABLE,($D371+AD$5)&gt;TOTAL_LABOR_HOURS_CAP,MAX(0,($D371+AD$5)-PERMANENT_FIELD_LABOR_HOURS)&gt;TEMP_HOURS_CAP),"",$C371+AD$6-MIN(($D371+AD$5),PERMANENT_FIELD_LABOR_HOURS)*PERMANENT_HOURLY_RATE-MAX(0,($D371+AD$5)-PERMANENT_FIELD_LABOR_HOURS)*TEMP_HOURLY_RATE-FIXED_SEASON_COST)</f>
        <v/>
      </c>
      <c r="AE371" s="53" t="str">
        <f aca="false">IF(OR($A371&gt;TOMATO_BED_CAP,$B371&gt;CARROT_BED_CAP,AE$4&gt;MESCLUN_BED_CAP,$A371+$B371+AE$4&gt;TOTAL_BEDS_AVAILABLE,($D371+AE$5)&gt;TOTAL_LABOR_HOURS_CAP,MAX(0,($D371+AE$5)-PERMANENT_FIELD_LABOR_HOURS)&gt;TEMP_HOURS_CAP),"",$C371+AE$6-MIN(($D371+AE$5),PERMANENT_FIELD_LABOR_HOURS)*PERMANENT_HOURLY_RATE-MAX(0,($D371+AE$5)-PERMANENT_FIELD_LABOR_HOURS)*TEMP_HOURLY_RATE-FIXED_SEASON_COST)</f>
        <v/>
      </c>
      <c r="AF371" s="53" t="str">
        <f aca="false">IF(OR($A371&gt;TOMATO_BED_CAP,$B371&gt;CARROT_BED_CAP,AF$4&gt;MESCLUN_BED_CAP,$A371+$B371+AF$4&gt;TOTAL_BEDS_AVAILABLE,($D371+AF$5)&gt;TOTAL_LABOR_HOURS_CAP,MAX(0,($D371+AF$5)-PERMANENT_FIELD_LABOR_HOURS)&gt;TEMP_HOURS_CAP),"",$C371+AF$6-MIN(($D371+AF$5),PERMANENT_FIELD_LABOR_HOURS)*PERMANENT_HOURLY_RATE-MAX(0,($D371+AF$5)-PERMANENT_FIELD_LABOR_HOURS)*TEMP_HOURLY_RATE-FIXED_SEASON_COST)</f>
        <v/>
      </c>
      <c r="AG371" s="53" t="str">
        <f aca="false">IF(OR($A371&gt;TOMATO_BED_CAP,$B371&gt;CARROT_BED_CAP,AG$4&gt;MESCLUN_BED_CAP,$A371+$B371+AG$4&gt;TOTAL_BEDS_AVAILABLE,($D371+AG$5)&gt;TOTAL_LABOR_HOURS_CAP,MAX(0,($D371+AG$5)-PERMANENT_FIELD_LABOR_HOURS)&gt;TEMP_HOURS_CAP),"",$C371+AG$6-MIN(($D371+AG$5),PERMANENT_FIELD_LABOR_HOURS)*PERMANENT_HOURLY_RATE-MAX(0,($D371+AG$5)-PERMANENT_FIELD_LABOR_HOURS)*TEMP_HOURLY_RATE-FIXED_SEASON_COST)</f>
        <v/>
      </c>
      <c r="AH371" s="53" t="str">
        <f aca="false">IF(OR($A371&gt;TOMATO_BED_CAP,$B371&gt;CARROT_BED_CAP,AH$4&gt;MESCLUN_BED_CAP,$A371+$B371+AH$4&gt;TOTAL_BEDS_AVAILABLE,($D371+AH$5)&gt;TOTAL_LABOR_HOURS_CAP,MAX(0,($D371+AH$5)-PERMANENT_FIELD_LABOR_HOURS)&gt;TEMP_HOURS_CAP),"",$C371+AH$6-MIN(($D371+AH$5),PERMANENT_FIELD_LABOR_HOURS)*PERMANENT_HOURLY_RATE-MAX(0,($D371+AH$5)-PERMANENT_FIELD_LABOR_HOURS)*TEMP_HOURLY_RATE-FIXED_SEASON_COST)</f>
        <v/>
      </c>
      <c r="AI371" s="53" t="str">
        <f aca="false">IF(OR($A371&gt;TOMATO_BED_CAP,$B371&gt;CARROT_BED_CAP,AI$4&gt;MESCLUN_BED_CAP,$A371+$B371+AI$4&gt;TOTAL_BEDS_AVAILABLE,($D371+AI$5)&gt;TOTAL_LABOR_HOURS_CAP,MAX(0,($D371+AI$5)-PERMANENT_FIELD_LABOR_HOURS)&gt;TEMP_HOURS_CAP),"",$C371+AI$6-MIN(($D371+AI$5),PERMANENT_FIELD_LABOR_HOURS)*PERMANENT_HOURLY_RATE-MAX(0,($D371+AI$5)-PERMANENT_FIELD_LABOR_HOURS)*TEMP_HOURLY_RATE-FIXED_SEASON_COST)</f>
        <v/>
      </c>
      <c r="AJ371" s="53" t="str">
        <f aca="false">IF(OR($A371&gt;TOMATO_BED_CAP,$B371&gt;CARROT_BED_CAP,AJ$4&gt;MESCLUN_BED_CAP,$A371+$B371+AJ$4&gt;TOTAL_BEDS_AVAILABLE,($D371+AJ$5)&gt;TOTAL_LABOR_HOURS_CAP,MAX(0,($D371+AJ$5)-PERMANENT_FIELD_LABOR_HOURS)&gt;TEMP_HOURS_CAP),"",$C371+AJ$6-MIN(($D371+AJ$5),PERMANENT_FIELD_LABOR_HOURS)*PERMANENT_HOURLY_RATE-MAX(0,($D371+AJ$5)-PERMANENT_FIELD_LABOR_HOURS)*TEMP_HOURLY_RATE-FIXED_SEASON_COST)</f>
        <v/>
      </c>
    </row>
    <row r="372" customFormat="false" ht="15" hidden="false" customHeight="false" outlineLevel="0" collapsed="false">
      <c r="A372" s="21" t="n">
        <f aca="false">INT((ROW()-ROW($A$8))/(20+1))</f>
        <v>17</v>
      </c>
      <c r="B372" s="21" t="n">
        <f aca="false">MOD(ROW()-ROW($A$8),20+1)</f>
        <v>7</v>
      </c>
      <c r="C372" s="13" t="n">
        <f aca="false">A372*(TOMATO_REVENUE_PER_BED-TOMATO_FERTILIZER_PER_BED)+B372*(CARROT_REVENUE_PER_BED-CARROT_FERTILIZER_PER_BED)</f>
        <v>146218</v>
      </c>
      <c r="D372" s="14" t="n">
        <f aca="false">INDEX(TOMATO_SCHED_LABOR_HRS,A372+1)+INDEX(CARROT_SCHED_LABOR_HRS,B372+1)</f>
        <v>7982.86369470622</v>
      </c>
      <c r="E372" s="13" t="str">
        <f aca="false">IF(COUNT(F372:AJ372)=0,"",MAX(F372:AJ372))</f>
        <v/>
      </c>
      <c r="F372" s="53" t="str">
        <f aca="false">IF(OR($A372&gt;TOMATO_BED_CAP,$B372&gt;CARROT_BED_CAP,F$4&gt;MESCLUN_BED_CAP,$A372+$B372+F$4&gt;TOTAL_BEDS_AVAILABLE,($D372+F$5)&gt;TOTAL_LABOR_HOURS_CAP,MAX(0,($D372+F$5)-PERMANENT_FIELD_LABOR_HOURS)&gt;TEMP_HOURS_CAP),"",$C372+F$6-MIN(($D372+F$5),PERMANENT_FIELD_LABOR_HOURS)*PERMANENT_HOURLY_RATE-MAX(0,($D372+F$5)-PERMANENT_FIELD_LABOR_HOURS)*TEMP_HOURLY_RATE-FIXED_SEASON_COST)</f>
        <v/>
      </c>
      <c r="G372" s="53" t="str">
        <f aca="false">IF(OR($A372&gt;TOMATO_BED_CAP,$B372&gt;CARROT_BED_CAP,G$4&gt;MESCLUN_BED_CAP,$A372+$B372+G$4&gt;TOTAL_BEDS_AVAILABLE,($D372+G$5)&gt;TOTAL_LABOR_HOURS_CAP,MAX(0,($D372+G$5)-PERMANENT_FIELD_LABOR_HOURS)&gt;TEMP_HOURS_CAP),"",$C372+G$6-MIN(($D372+G$5),PERMANENT_FIELD_LABOR_HOURS)*PERMANENT_HOURLY_RATE-MAX(0,($D372+G$5)-PERMANENT_FIELD_LABOR_HOURS)*TEMP_HOURLY_RATE-FIXED_SEASON_COST)</f>
        <v/>
      </c>
      <c r="H372" s="53" t="str">
        <f aca="false">IF(OR($A372&gt;TOMATO_BED_CAP,$B372&gt;CARROT_BED_CAP,H$4&gt;MESCLUN_BED_CAP,$A372+$B372+H$4&gt;TOTAL_BEDS_AVAILABLE,($D372+H$5)&gt;TOTAL_LABOR_HOURS_CAP,MAX(0,($D372+H$5)-PERMANENT_FIELD_LABOR_HOURS)&gt;TEMP_HOURS_CAP),"",$C372+H$6-MIN(($D372+H$5),PERMANENT_FIELD_LABOR_HOURS)*PERMANENT_HOURLY_RATE-MAX(0,($D372+H$5)-PERMANENT_FIELD_LABOR_HOURS)*TEMP_HOURLY_RATE-FIXED_SEASON_COST)</f>
        <v/>
      </c>
      <c r="I372" s="53" t="str">
        <f aca="false">IF(OR($A372&gt;TOMATO_BED_CAP,$B372&gt;CARROT_BED_CAP,I$4&gt;MESCLUN_BED_CAP,$A372+$B372+I$4&gt;TOTAL_BEDS_AVAILABLE,($D372+I$5)&gt;TOTAL_LABOR_HOURS_CAP,MAX(0,($D372+I$5)-PERMANENT_FIELD_LABOR_HOURS)&gt;TEMP_HOURS_CAP),"",$C372+I$6-MIN(($D372+I$5),PERMANENT_FIELD_LABOR_HOURS)*PERMANENT_HOURLY_RATE-MAX(0,($D372+I$5)-PERMANENT_FIELD_LABOR_HOURS)*TEMP_HOURLY_RATE-FIXED_SEASON_COST)</f>
        <v/>
      </c>
      <c r="J372" s="53" t="str">
        <f aca="false">IF(OR($A372&gt;TOMATO_BED_CAP,$B372&gt;CARROT_BED_CAP,J$4&gt;MESCLUN_BED_CAP,$A372+$B372+J$4&gt;TOTAL_BEDS_AVAILABLE,($D372+J$5)&gt;TOTAL_LABOR_HOURS_CAP,MAX(0,($D372+J$5)-PERMANENT_FIELD_LABOR_HOURS)&gt;TEMP_HOURS_CAP),"",$C372+J$6-MIN(($D372+J$5),PERMANENT_FIELD_LABOR_HOURS)*PERMANENT_HOURLY_RATE-MAX(0,($D372+J$5)-PERMANENT_FIELD_LABOR_HOURS)*TEMP_HOURLY_RATE-FIXED_SEASON_COST)</f>
        <v/>
      </c>
      <c r="K372" s="53" t="str">
        <f aca="false">IF(OR($A372&gt;TOMATO_BED_CAP,$B372&gt;CARROT_BED_CAP,K$4&gt;MESCLUN_BED_CAP,$A372+$B372+K$4&gt;TOTAL_BEDS_AVAILABLE,($D372+K$5)&gt;TOTAL_LABOR_HOURS_CAP,MAX(0,($D372+K$5)-PERMANENT_FIELD_LABOR_HOURS)&gt;TEMP_HOURS_CAP),"",$C372+K$6-MIN(($D372+K$5),PERMANENT_FIELD_LABOR_HOURS)*PERMANENT_HOURLY_RATE-MAX(0,($D372+K$5)-PERMANENT_FIELD_LABOR_HOURS)*TEMP_HOURLY_RATE-FIXED_SEASON_COST)</f>
        <v/>
      </c>
      <c r="L372" s="53" t="str">
        <f aca="false">IF(OR($A372&gt;TOMATO_BED_CAP,$B372&gt;CARROT_BED_CAP,L$4&gt;MESCLUN_BED_CAP,$A372+$B372+L$4&gt;TOTAL_BEDS_AVAILABLE,($D372+L$5)&gt;TOTAL_LABOR_HOURS_CAP,MAX(0,($D372+L$5)-PERMANENT_FIELD_LABOR_HOURS)&gt;TEMP_HOURS_CAP),"",$C372+L$6-MIN(($D372+L$5),PERMANENT_FIELD_LABOR_HOURS)*PERMANENT_HOURLY_RATE-MAX(0,($D372+L$5)-PERMANENT_FIELD_LABOR_HOURS)*TEMP_HOURLY_RATE-FIXED_SEASON_COST)</f>
        <v/>
      </c>
      <c r="M372" s="53" t="str">
        <f aca="false">IF(OR($A372&gt;TOMATO_BED_CAP,$B372&gt;CARROT_BED_CAP,M$4&gt;MESCLUN_BED_CAP,$A372+$B372+M$4&gt;TOTAL_BEDS_AVAILABLE,($D372+M$5)&gt;TOTAL_LABOR_HOURS_CAP,MAX(0,($D372+M$5)-PERMANENT_FIELD_LABOR_HOURS)&gt;TEMP_HOURS_CAP),"",$C372+M$6-MIN(($D372+M$5),PERMANENT_FIELD_LABOR_HOURS)*PERMANENT_HOURLY_RATE-MAX(0,($D372+M$5)-PERMANENT_FIELD_LABOR_HOURS)*TEMP_HOURLY_RATE-FIXED_SEASON_COST)</f>
        <v/>
      </c>
      <c r="N372" s="53" t="str">
        <f aca="false">IF(OR($A372&gt;TOMATO_BED_CAP,$B372&gt;CARROT_BED_CAP,N$4&gt;MESCLUN_BED_CAP,$A372+$B372+N$4&gt;TOTAL_BEDS_AVAILABLE,($D372+N$5)&gt;TOTAL_LABOR_HOURS_CAP,MAX(0,($D372+N$5)-PERMANENT_FIELD_LABOR_HOURS)&gt;TEMP_HOURS_CAP),"",$C372+N$6-MIN(($D372+N$5),PERMANENT_FIELD_LABOR_HOURS)*PERMANENT_HOURLY_RATE-MAX(0,($D372+N$5)-PERMANENT_FIELD_LABOR_HOURS)*TEMP_HOURLY_RATE-FIXED_SEASON_COST)</f>
        <v/>
      </c>
      <c r="O372" s="53" t="str">
        <f aca="false">IF(OR($A372&gt;TOMATO_BED_CAP,$B372&gt;CARROT_BED_CAP,O$4&gt;MESCLUN_BED_CAP,$A372+$B372+O$4&gt;TOTAL_BEDS_AVAILABLE,($D372+O$5)&gt;TOTAL_LABOR_HOURS_CAP,MAX(0,($D372+O$5)-PERMANENT_FIELD_LABOR_HOURS)&gt;TEMP_HOURS_CAP),"",$C372+O$6-MIN(($D372+O$5),PERMANENT_FIELD_LABOR_HOURS)*PERMANENT_HOURLY_RATE-MAX(0,($D372+O$5)-PERMANENT_FIELD_LABOR_HOURS)*TEMP_HOURLY_RATE-FIXED_SEASON_COST)</f>
        <v/>
      </c>
      <c r="P372" s="53" t="str">
        <f aca="false">IF(OR($A372&gt;TOMATO_BED_CAP,$B372&gt;CARROT_BED_CAP,P$4&gt;MESCLUN_BED_CAP,$A372+$B372+P$4&gt;TOTAL_BEDS_AVAILABLE,($D372+P$5)&gt;TOTAL_LABOR_HOURS_CAP,MAX(0,($D372+P$5)-PERMANENT_FIELD_LABOR_HOURS)&gt;TEMP_HOURS_CAP),"",$C372+P$6-MIN(($D372+P$5),PERMANENT_FIELD_LABOR_HOURS)*PERMANENT_HOURLY_RATE-MAX(0,($D372+P$5)-PERMANENT_FIELD_LABOR_HOURS)*TEMP_HOURLY_RATE-FIXED_SEASON_COST)</f>
        <v/>
      </c>
      <c r="Q372" s="53" t="str">
        <f aca="false">IF(OR($A372&gt;TOMATO_BED_CAP,$B372&gt;CARROT_BED_CAP,Q$4&gt;MESCLUN_BED_CAP,$A372+$B372+Q$4&gt;TOTAL_BEDS_AVAILABLE,($D372+Q$5)&gt;TOTAL_LABOR_HOURS_CAP,MAX(0,($D372+Q$5)-PERMANENT_FIELD_LABOR_HOURS)&gt;TEMP_HOURS_CAP),"",$C372+Q$6-MIN(($D372+Q$5),PERMANENT_FIELD_LABOR_HOURS)*PERMANENT_HOURLY_RATE-MAX(0,($D372+Q$5)-PERMANENT_FIELD_LABOR_HOURS)*TEMP_HOURLY_RATE-FIXED_SEASON_COST)</f>
        <v/>
      </c>
      <c r="R372" s="53" t="str">
        <f aca="false">IF(OR($A372&gt;TOMATO_BED_CAP,$B372&gt;CARROT_BED_CAP,R$4&gt;MESCLUN_BED_CAP,$A372+$B372+R$4&gt;TOTAL_BEDS_AVAILABLE,($D372+R$5)&gt;TOTAL_LABOR_HOURS_CAP,MAX(0,($D372+R$5)-PERMANENT_FIELD_LABOR_HOURS)&gt;TEMP_HOURS_CAP),"",$C372+R$6-MIN(($D372+R$5),PERMANENT_FIELD_LABOR_HOURS)*PERMANENT_HOURLY_RATE-MAX(0,($D372+R$5)-PERMANENT_FIELD_LABOR_HOURS)*TEMP_HOURLY_RATE-FIXED_SEASON_COST)</f>
        <v/>
      </c>
      <c r="S372" s="53" t="str">
        <f aca="false">IF(OR($A372&gt;TOMATO_BED_CAP,$B372&gt;CARROT_BED_CAP,S$4&gt;MESCLUN_BED_CAP,$A372+$B372+S$4&gt;TOTAL_BEDS_AVAILABLE,($D372+S$5)&gt;TOTAL_LABOR_HOURS_CAP,MAX(0,($D372+S$5)-PERMANENT_FIELD_LABOR_HOURS)&gt;TEMP_HOURS_CAP),"",$C372+S$6-MIN(($D372+S$5),PERMANENT_FIELD_LABOR_HOURS)*PERMANENT_HOURLY_RATE-MAX(0,($D372+S$5)-PERMANENT_FIELD_LABOR_HOURS)*TEMP_HOURLY_RATE-FIXED_SEASON_COST)</f>
        <v/>
      </c>
      <c r="T372" s="53" t="str">
        <f aca="false">IF(OR($A372&gt;TOMATO_BED_CAP,$B372&gt;CARROT_BED_CAP,T$4&gt;MESCLUN_BED_CAP,$A372+$B372+T$4&gt;TOTAL_BEDS_AVAILABLE,($D372+T$5)&gt;TOTAL_LABOR_HOURS_CAP,MAX(0,($D372+T$5)-PERMANENT_FIELD_LABOR_HOURS)&gt;TEMP_HOURS_CAP),"",$C372+T$6-MIN(($D372+T$5),PERMANENT_FIELD_LABOR_HOURS)*PERMANENT_HOURLY_RATE-MAX(0,($D372+T$5)-PERMANENT_FIELD_LABOR_HOURS)*TEMP_HOURLY_RATE-FIXED_SEASON_COST)</f>
        <v/>
      </c>
      <c r="U372" s="53" t="str">
        <f aca="false">IF(OR($A372&gt;TOMATO_BED_CAP,$B372&gt;CARROT_BED_CAP,U$4&gt;MESCLUN_BED_CAP,$A372+$B372+U$4&gt;TOTAL_BEDS_AVAILABLE,($D372+U$5)&gt;TOTAL_LABOR_HOURS_CAP,MAX(0,($D372+U$5)-PERMANENT_FIELD_LABOR_HOURS)&gt;TEMP_HOURS_CAP),"",$C372+U$6-MIN(($D372+U$5),PERMANENT_FIELD_LABOR_HOURS)*PERMANENT_HOURLY_RATE-MAX(0,($D372+U$5)-PERMANENT_FIELD_LABOR_HOURS)*TEMP_HOURLY_RATE-FIXED_SEASON_COST)</f>
        <v/>
      </c>
      <c r="V372" s="53" t="str">
        <f aca="false">IF(OR($A372&gt;TOMATO_BED_CAP,$B372&gt;CARROT_BED_CAP,V$4&gt;MESCLUN_BED_CAP,$A372+$B372+V$4&gt;TOTAL_BEDS_AVAILABLE,($D372+V$5)&gt;TOTAL_LABOR_HOURS_CAP,MAX(0,($D372+V$5)-PERMANENT_FIELD_LABOR_HOURS)&gt;TEMP_HOURS_CAP),"",$C372+V$6-MIN(($D372+V$5),PERMANENT_FIELD_LABOR_HOURS)*PERMANENT_HOURLY_RATE-MAX(0,($D372+V$5)-PERMANENT_FIELD_LABOR_HOURS)*TEMP_HOURLY_RATE-FIXED_SEASON_COST)</f>
        <v/>
      </c>
      <c r="W372" s="53" t="str">
        <f aca="false">IF(OR($A372&gt;TOMATO_BED_CAP,$B372&gt;CARROT_BED_CAP,W$4&gt;MESCLUN_BED_CAP,$A372+$B372+W$4&gt;TOTAL_BEDS_AVAILABLE,($D372+W$5)&gt;TOTAL_LABOR_HOURS_CAP,MAX(0,($D372+W$5)-PERMANENT_FIELD_LABOR_HOURS)&gt;TEMP_HOURS_CAP),"",$C372+W$6-MIN(($D372+W$5),PERMANENT_FIELD_LABOR_HOURS)*PERMANENT_HOURLY_RATE-MAX(0,($D372+W$5)-PERMANENT_FIELD_LABOR_HOURS)*TEMP_HOURLY_RATE-FIXED_SEASON_COST)</f>
        <v/>
      </c>
      <c r="X372" s="53" t="str">
        <f aca="false">IF(OR($A372&gt;TOMATO_BED_CAP,$B372&gt;CARROT_BED_CAP,X$4&gt;MESCLUN_BED_CAP,$A372+$B372+X$4&gt;TOTAL_BEDS_AVAILABLE,($D372+X$5)&gt;TOTAL_LABOR_HOURS_CAP,MAX(0,($D372+X$5)-PERMANENT_FIELD_LABOR_HOURS)&gt;TEMP_HOURS_CAP),"",$C372+X$6-MIN(($D372+X$5),PERMANENT_FIELD_LABOR_HOURS)*PERMANENT_HOURLY_RATE-MAX(0,($D372+X$5)-PERMANENT_FIELD_LABOR_HOURS)*TEMP_HOURLY_RATE-FIXED_SEASON_COST)</f>
        <v/>
      </c>
      <c r="Y372" s="53" t="str">
        <f aca="false">IF(OR($A372&gt;TOMATO_BED_CAP,$B372&gt;CARROT_BED_CAP,Y$4&gt;MESCLUN_BED_CAP,$A372+$B372+Y$4&gt;TOTAL_BEDS_AVAILABLE,($D372+Y$5)&gt;TOTAL_LABOR_HOURS_CAP,MAX(0,($D372+Y$5)-PERMANENT_FIELD_LABOR_HOURS)&gt;TEMP_HOURS_CAP),"",$C372+Y$6-MIN(($D372+Y$5),PERMANENT_FIELD_LABOR_HOURS)*PERMANENT_HOURLY_RATE-MAX(0,($D372+Y$5)-PERMANENT_FIELD_LABOR_HOURS)*TEMP_HOURLY_RATE-FIXED_SEASON_COST)</f>
        <v/>
      </c>
      <c r="Z372" s="53" t="str">
        <f aca="false">IF(OR($A372&gt;TOMATO_BED_CAP,$B372&gt;CARROT_BED_CAP,Z$4&gt;MESCLUN_BED_CAP,$A372+$B372+Z$4&gt;TOTAL_BEDS_AVAILABLE,($D372+Z$5)&gt;TOTAL_LABOR_HOURS_CAP,MAX(0,($D372+Z$5)-PERMANENT_FIELD_LABOR_HOURS)&gt;TEMP_HOURS_CAP),"",$C372+Z$6-MIN(($D372+Z$5),PERMANENT_FIELD_LABOR_HOURS)*PERMANENT_HOURLY_RATE-MAX(0,($D372+Z$5)-PERMANENT_FIELD_LABOR_HOURS)*TEMP_HOURLY_RATE-FIXED_SEASON_COST)</f>
        <v/>
      </c>
      <c r="AA372" s="53" t="str">
        <f aca="false">IF(OR($A372&gt;TOMATO_BED_CAP,$B372&gt;CARROT_BED_CAP,AA$4&gt;MESCLUN_BED_CAP,$A372+$B372+AA$4&gt;TOTAL_BEDS_AVAILABLE,($D372+AA$5)&gt;TOTAL_LABOR_HOURS_CAP,MAX(0,($D372+AA$5)-PERMANENT_FIELD_LABOR_HOURS)&gt;TEMP_HOURS_CAP),"",$C372+AA$6-MIN(($D372+AA$5),PERMANENT_FIELD_LABOR_HOURS)*PERMANENT_HOURLY_RATE-MAX(0,($D372+AA$5)-PERMANENT_FIELD_LABOR_HOURS)*TEMP_HOURLY_RATE-FIXED_SEASON_COST)</f>
        <v/>
      </c>
      <c r="AB372" s="53" t="str">
        <f aca="false">IF(OR($A372&gt;TOMATO_BED_CAP,$B372&gt;CARROT_BED_CAP,AB$4&gt;MESCLUN_BED_CAP,$A372+$B372+AB$4&gt;TOTAL_BEDS_AVAILABLE,($D372+AB$5)&gt;TOTAL_LABOR_HOURS_CAP,MAX(0,($D372+AB$5)-PERMANENT_FIELD_LABOR_HOURS)&gt;TEMP_HOURS_CAP),"",$C372+AB$6-MIN(($D372+AB$5),PERMANENT_FIELD_LABOR_HOURS)*PERMANENT_HOURLY_RATE-MAX(0,($D372+AB$5)-PERMANENT_FIELD_LABOR_HOURS)*TEMP_HOURLY_RATE-FIXED_SEASON_COST)</f>
        <v/>
      </c>
      <c r="AC372" s="53" t="str">
        <f aca="false">IF(OR($A372&gt;TOMATO_BED_CAP,$B372&gt;CARROT_BED_CAP,AC$4&gt;MESCLUN_BED_CAP,$A372+$B372+AC$4&gt;TOTAL_BEDS_AVAILABLE,($D372+AC$5)&gt;TOTAL_LABOR_HOURS_CAP,MAX(0,($D372+AC$5)-PERMANENT_FIELD_LABOR_HOURS)&gt;TEMP_HOURS_CAP),"",$C372+AC$6-MIN(($D372+AC$5),PERMANENT_FIELD_LABOR_HOURS)*PERMANENT_HOURLY_RATE-MAX(0,($D372+AC$5)-PERMANENT_FIELD_LABOR_HOURS)*TEMP_HOURLY_RATE-FIXED_SEASON_COST)</f>
        <v/>
      </c>
      <c r="AD372" s="53" t="str">
        <f aca="false">IF(OR($A372&gt;TOMATO_BED_CAP,$B372&gt;CARROT_BED_CAP,AD$4&gt;MESCLUN_BED_CAP,$A372+$B372+AD$4&gt;TOTAL_BEDS_AVAILABLE,($D372+AD$5)&gt;TOTAL_LABOR_HOURS_CAP,MAX(0,($D372+AD$5)-PERMANENT_FIELD_LABOR_HOURS)&gt;TEMP_HOURS_CAP),"",$C372+AD$6-MIN(($D372+AD$5),PERMANENT_FIELD_LABOR_HOURS)*PERMANENT_HOURLY_RATE-MAX(0,($D372+AD$5)-PERMANENT_FIELD_LABOR_HOURS)*TEMP_HOURLY_RATE-FIXED_SEASON_COST)</f>
        <v/>
      </c>
      <c r="AE372" s="53" t="str">
        <f aca="false">IF(OR($A372&gt;TOMATO_BED_CAP,$B372&gt;CARROT_BED_CAP,AE$4&gt;MESCLUN_BED_CAP,$A372+$B372+AE$4&gt;TOTAL_BEDS_AVAILABLE,($D372+AE$5)&gt;TOTAL_LABOR_HOURS_CAP,MAX(0,($D372+AE$5)-PERMANENT_FIELD_LABOR_HOURS)&gt;TEMP_HOURS_CAP),"",$C372+AE$6-MIN(($D372+AE$5),PERMANENT_FIELD_LABOR_HOURS)*PERMANENT_HOURLY_RATE-MAX(0,($D372+AE$5)-PERMANENT_FIELD_LABOR_HOURS)*TEMP_HOURLY_RATE-FIXED_SEASON_COST)</f>
        <v/>
      </c>
      <c r="AF372" s="53" t="str">
        <f aca="false">IF(OR($A372&gt;TOMATO_BED_CAP,$B372&gt;CARROT_BED_CAP,AF$4&gt;MESCLUN_BED_CAP,$A372+$B372+AF$4&gt;TOTAL_BEDS_AVAILABLE,($D372+AF$5)&gt;TOTAL_LABOR_HOURS_CAP,MAX(0,($D372+AF$5)-PERMANENT_FIELD_LABOR_HOURS)&gt;TEMP_HOURS_CAP),"",$C372+AF$6-MIN(($D372+AF$5),PERMANENT_FIELD_LABOR_HOURS)*PERMANENT_HOURLY_RATE-MAX(0,($D372+AF$5)-PERMANENT_FIELD_LABOR_HOURS)*TEMP_HOURLY_RATE-FIXED_SEASON_COST)</f>
        <v/>
      </c>
      <c r="AG372" s="53" t="str">
        <f aca="false">IF(OR($A372&gt;TOMATO_BED_CAP,$B372&gt;CARROT_BED_CAP,AG$4&gt;MESCLUN_BED_CAP,$A372+$B372+AG$4&gt;TOTAL_BEDS_AVAILABLE,($D372+AG$5)&gt;TOTAL_LABOR_HOURS_CAP,MAX(0,($D372+AG$5)-PERMANENT_FIELD_LABOR_HOURS)&gt;TEMP_HOURS_CAP),"",$C372+AG$6-MIN(($D372+AG$5),PERMANENT_FIELD_LABOR_HOURS)*PERMANENT_HOURLY_RATE-MAX(0,($D372+AG$5)-PERMANENT_FIELD_LABOR_HOURS)*TEMP_HOURLY_RATE-FIXED_SEASON_COST)</f>
        <v/>
      </c>
      <c r="AH372" s="53" t="str">
        <f aca="false">IF(OR($A372&gt;TOMATO_BED_CAP,$B372&gt;CARROT_BED_CAP,AH$4&gt;MESCLUN_BED_CAP,$A372+$B372+AH$4&gt;TOTAL_BEDS_AVAILABLE,($D372+AH$5)&gt;TOTAL_LABOR_HOURS_CAP,MAX(0,($D372+AH$5)-PERMANENT_FIELD_LABOR_HOURS)&gt;TEMP_HOURS_CAP),"",$C372+AH$6-MIN(($D372+AH$5),PERMANENT_FIELD_LABOR_HOURS)*PERMANENT_HOURLY_RATE-MAX(0,($D372+AH$5)-PERMANENT_FIELD_LABOR_HOURS)*TEMP_HOURLY_RATE-FIXED_SEASON_COST)</f>
        <v/>
      </c>
      <c r="AI372" s="53" t="str">
        <f aca="false">IF(OR($A372&gt;TOMATO_BED_CAP,$B372&gt;CARROT_BED_CAP,AI$4&gt;MESCLUN_BED_CAP,$A372+$B372+AI$4&gt;TOTAL_BEDS_AVAILABLE,($D372+AI$5)&gt;TOTAL_LABOR_HOURS_CAP,MAX(0,($D372+AI$5)-PERMANENT_FIELD_LABOR_HOURS)&gt;TEMP_HOURS_CAP),"",$C372+AI$6-MIN(($D372+AI$5),PERMANENT_FIELD_LABOR_HOURS)*PERMANENT_HOURLY_RATE-MAX(0,($D372+AI$5)-PERMANENT_FIELD_LABOR_HOURS)*TEMP_HOURLY_RATE-FIXED_SEASON_COST)</f>
        <v/>
      </c>
      <c r="AJ372" s="53" t="str">
        <f aca="false">IF(OR($A372&gt;TOMATO_BED_CAP,$B372&gt;CARROT_BED_CAP,AJ$4&gt;MESCLUN_BED_CAP,$A372+$B372+AJ$4&gt;TOTAL_BEDS_AVAILABLE,($D372+AJ$5)&gt;TOTAL_LABOR_HOURS_CAP,MAX(0,($D372+AJ$5)-PERMANENT_FIELD_LABOR_HOURS)&gt;TEMP_HOURS_CAP),"",$C372+AJ$6-MIN(($D372+AJ$5),PERMANENT_FIELD_LABOR_HOURS)*PERMANENT_HOURLY_RATE-MAX(0,($D372+AJ$5)-PERMANENT_FIELD_LABOR_HOURS)*TEMP_HOURLY_RATE-FIXED_SEASON_COST)</f>
        <v/>
      </c>
    </row>
    <row r="373" customFormat="false" ht="15" hidden="false" customHeight="false" outlineLevel="0" collapsed="false">
      <c r="A373" s="21" t="n">
        <f aca="false">INT((ROW()-ROW($A$8))/(20+1))</f>
        <v>17</v>
      </c>
      <c r="B373" s="21" t="n">
        <f aca="false">MOD(ROW()-ROW($A$8),20+1)</f>
        <v>8</v>
      </c>
      <c r="C373" s="13" t="n">
        <f aca="false">A373*(TOMATO_REVENUE_PER_BED-TOMATO_FERTILIZER_PER_BED)+B373*(CARROT_REVENUE_PER_BED-CARROT_FERTILIZER_PER_BED)</f>
        <v>147872</v>
      </c>
      <c r="D373" s="14" t="n">
        <f aca="false">INDEX(TOMATO_SCHED_LABOR_HRS,A373+1)+INDEX(CARROT_SCHED_LABOR_HRS,B373+1)</f>
        <v>8025.63926476343</v>
      </c>
      <c r="E373" s="13" t="str">
        <f aca="false">IF(COUNT(F373:AJ373)=0,"",MAX(F373:AJ373))</f>
        <v/>
      </c>
      <c r="F373" s="53" t="str">
        <f aca="false">IF(OR($A373&gt;TOMATO_BED_CAP,$B373&gt;CARROT_BED_CAP,F$4&gt;MESCLUN_BED_CAP,$A373+$B373+F$4&gt;TOTAL_BEDS_AVAILABLE,($D373+F$5)&gt;TOTAL_LABOR_HOURS_CAP,MAX(0,($D373+F$5)-PERMANENT_FIELD_LABOR_HOURS)&gt;TEMP_HOURS_CAP),"",$C373+F$6-MIN(($D373+F$5),PERMANENT_FIELD_LABOR_HOURS)*PERMANENT_HOURLY_RATE-MAX(0,($D373+F$5)-PERMANENT_FIELD_LABOR_HOURS)*TEMP_HOURLY_RATE-FIXED_SEASON_COST)</f>
        <v/>
      </c>
      <c r="G373" s="53" t="str">
        <f aca="false">IF(OR($A373&gt;TOMATO_BED_CAP,$B373&gt;CARROT_BED_CAP,G$4&gt;MESCLUN_BED_CAP,$A373+$B373+G$4&gt;TOTAL_BEDS_AVAILABLE,($D373+G$5)&gt;TOTAL_LABOR_HOURS_CAP,MAX(0,($D373+G$5)-PERMANENT_FIELD_LABOR_HOURS)&gt;TEMP_HOURS_CAP),"",$C373+G$6-MIN(($D373+G$5),PERMANENT_FIELD_LABOR_HOURS)*PERMANENT_HOURLY_RATE-MAX(0,($D373+G$5)-PERMANENT_FIELD_LABOR_HOURS)*TEMP_HOURLY_RATE-FIXED_SEASON_COST)</f>
        <v/>
      </c>
      <c r="H373" s="53" t="str">
        <f aca="false">IF(OR($A373&gt;TOMATO_BED_CAP,$B373&gt;CARROT_BED_CAP,H$4&gt;MESCLUN_BED_CAP,$A373+$B373+H$4&gt;TOTAL_BEDS_AVAILABLE,($D373+H$5)&gt;TOTAL_LABOR_HOURS_CAP,MAX(0,($D373+H$5)-PERMANENT_FIELD_LABOR_HOURS)&gt;TEMP_HOURS_CAP),"",$C373+H$6-MIN(($D373+H$5),PERMANENT_FIELD_LABOR_HOURS)*PERMANENT_HOURLY_RATE-MAX(0,($D373+H$5)-PERMANENT_FIELD_LABOR_HOURS)*TEMP_HOURLY_RATE-FIXED_SEASON_COST)</f>
        <v/>
      </c>
      <c r="I373" s="53" t="str">
        <f aca="false">IF(OR($A373&gt;TOMATO_BED_CAP,$B373&gt;CARROT_BED_CAP,I$4&gt;MESCLUN_BED_CAP,$A373+$B373+I$4&gt;TOTAL_BEDS_AVAILABLE,($D373+I$5)&gt;TOTAL_LABOR_HOURS_CAP,MAX(0,($D373+I$5)-PERMANENT_FIELD_LABOR_HOURS)&gt;TEMP_HOURS_CAP),"",$C373+I$6-MIN(($D373+I$5),PERMANENT_FIELD_LABOR_HOURS)*PERMANENT_HOURLY_RATE-MAX(0,($D373+I$5)-PERMANENT_FIELD_LABOR_HOURS)*TEMP_HOURLY_RATE-FIXED_SEASON_COST)</f>
        <v/>
      </c>
      <c r="J373" s="53" t="str">
        <f aca="false">IF(OR($A373&gt;TOMATO_BED_CAP,$B373&gt;CARROT_BED_CAP,J$4&gt;MESCLUN_BED_CAP,$A373+$B373+J$4&gt;TOTAL_BEDS_AVAILABLE,($D373+J$5)&gt;TOTAL_LABOR_HOURS_CAP,MAX(0,($D373+J$5)-PERMANENT_FIELD_LABOR_HOURS)&gt;TEMP_HOURS_CAP),"",$C373+J$6-MIN(($D373+J$5),PERMANENT_FIELD_LABOR_HOURS)*PERMANENT_HOURLY_RATE-MAX(0,($D373+J$5)-PERMANENT_FIELD_LABOR_HOURS)*TEMP_HOURLY_RATE-FIXED_SEASON_COST)</f>
        <v/>
      </c>
      <c r="K373" s="53" t="str">
        <f aca="false">IF(OR($A373&gt;TOMATO_BED_CAP,$B373&gt;CARROT_BED_CAP,K$4&gt;MESCLUN_BED_CAP,$A373+$B373+K$4&gt;TOTAL_BEDS_AVAILABLE,($D373+K$5)&gt;TOTAL_LABOR_HOURS_CAP,MAX(0,($D373+K$5)-PERMANENT_FIELD_LABOR_HOURS)&gt;TEMP_HOURS_CAP),"",$C373+K$6-MIN(($D373+K$5),PERMANENT_FIELD_LABOR_HOURS)*PERMANENT_HOURLY_RATE-MAX(0,($D373+K$5)-PERMANENT_FIELD_LABOR_HOURS)*TEMP_HOURLY_RATE-FIXED_SEASON_COST)</f>
        <v/>
      </c>
      <c r="L373" s="53" t="str">
        <f aca="false">IF(OR($A373&gt;TOMATO_BED_CAP,$B373&gt;CARROT_BED_CAP,L$4&gt;MESCLUN_BED_CAP,$A373+$B373+L$4&gt;TOTAL_BEDS_AVAILABLE,($D373+L$5)&gt;TOTAL_LABOR_HOURS_CAP,MAX(0,($D373+L$5)-PERMANENT_FIELD_LABOR_HOURS)&gt;TEMP_HOURS_CAP),"",$C373+L$6-MIN(($D373+L$5),PERMANENT_FIELD_LABOR_HOURS)*PERMANENT_HOURLY_RATE-MAX(0,($D373+L$5)-PERMANENT_FIELD_LABOR_HOURS)*TEMP_HOURLY_RATE-FIXED_SEASON_COST)</f>
        <v/>
      </c>
      <c r="M373" s="53" t="str">
        <f aca="false">IF(OR($A373&gt;TOMATO_BED_CAP,$B373&gt;CARROT_BED_CAP,M$4&gt;MESCLUN_BED_CAP,$A373+$B373+M$4&gt;TOTAL_BEDS_AVAILABLE,($D373+M$5)&gt;TOTAL_LABOR_HOURS_CAP,MAX(0,($D373+M$5)-PERMANENT_FIELD_LABOR_HOURS)&gt;TEMP_HOURS_CAP),"",$C373+M$6-MIN(($D373+M$5),PERMANENT_FIELD_LABOR_HOURS)*PERMANENT_HOURLY_RATE-MAX(0,($D373+M$5)-PERMANENT_FIELD_LABOR_HOURS)*TEMP_HOURLY_RATE-FIXED_SEASON_COST)</f>
        <v/>
      </c>
      <c r="N373" s="53" t="str">
        <f aca="false">IF(OR($A373&gt;TOMATO_BED_CAP,$B373&gt;CARROT_BED_CAP,N$4&gt;MESCLUN_BED_CAP,$A373+$B373+N$4&gt;TOTAL_BEDS_AVAILABLE,($D373+N$5)&gt;TOTAL_LABOR_HOURS_CAP,MAX(0,($D373+N$5)-PERMANENT_FIELD_LABOR_HOURS)&gt;TEMP_HOURS_CAP),"",$C373+N$6-MIN(($D373+N$5),PERMANENT_FIELD_LABOR_HOURS)*PERMANENT_HOURLY_RATE-MAX(0,($D373+N$5)-PERMANENT_FIELD_LABOR_HOURS)*TEMP_HOURLY_RATE-FIXED_SEASON_COST)</f>
        <v/>
      </c>
      <c r="O373" s="53" t="str">
        <f aca="false">IF(OR($A373&gt;TOMATO_BED_CAP,$B373&gt;CARROT_BED_CAP,O$4&gt;MESCLUN_BED_CAP,$A373+$B373+O$4&gt;TOTAL_BEDS_AVAILABLE,($D373+O$5)&gt;TOTAL_LABOR_HOURS_CAP,MAX(0,($D373+O$5)-PERMANENT_FIELD_LABOR_HOURS)&gt;TEMP_HOURS_CAP),"",$C373+O$6-MIN(($D373+O$5),PERMANENT_FIELD_LABOR_HOURS)*PERMANENT_HOURLY_RATE-MAX(0,($D373+O$5)-PERMANENT_FIELD_LABOR_HOURS)*TEMP_HOURLY_RATE-FIXED_SEASON_COST)</f>
        <v/>
      </c>
      <c r="P373" s="53" t="str">
        <f aca="false">IF(OR($A373&gt;TOMATO_BED_CAP,$B373&gt;CARROT_BED_CAP,P$4&gt;MESCLUN_BED_CAP,$A373+$B373+P$4&gt;TOTAL_BEDS_AVAILABLE,($D373+P$5)&gt;TOTAL_LABOR_HOURS_CAP,MAX(0,($D373+P$5)-PERMANENT_FIELD_LABOR_HOURS)&gt;TEMP_HOURS_CAP),"",$C373+P$6-MIN(($D373+P$5),PERMANENT_FIELD_LABOR_HOURS)*PERMANENT_HOURLY_RATE-MAX(0,($D373+P$5)-PERMANENT_FIELD_LABOR_HOURS)*TEMP_HOURLY_RATE-FIXED_SEASON_COST)</f>
        <v/>
      </c>
      <c r="Q373" s="53" t="str">
        <f aca="false">IF(OR($A373&gt;TOMATO_BED_CAP,$B373&gt;CARROT_BED_CAP,Q$4&gt;MESCLUN_BED_CAP,$A373+$B373+Q$4&gt;TOTAL_BEDS_AVAILABLE,($D373+Q$5)&gt;TOTAL_LABOR_HOURS_CAP,MAX(0,($D373+Q$5)-PERMANENT_FIELD_LABOR_HOURS)&gt;TEMP_HOURS_CAP),"",$C373+Q$6-MIN(($D373+Q$5),PERMANENT_FIELD_LABOR_HOURS)*PERMANENT_HOURLY_RATE-MAX(0,($D373+Q$5)-PERMANENT_FIELD_LABOR_HOURS)*TEMP_HOURLY_RATE-FIXED_SEASON_COST)</f>
        <v/>
      </c>
      <c r="R373" s="53" t="str">
        <f aca="false">IF(OR($A373&gt;TOMATO_BED_CAP,$B373&gt;CARROT_BED_CAP,R$4&gt;MESCLUN_BED_CAP,$A373+$B373+R$4&gt;TOTAL_BEDS_AVAILABLE,($D373+R$5)&gt;TOTAL_LABOR_HOURS_CAP,MAX(0,($D373+R$5)-PERMANENT_FIELD_LABOR_HOURS)&gt;TEMP_HOURS_CAP),"",$C373+R$6-MIN(($D373+R$5),PERMANENT_FIELD_LABOR_HOURS)*PERMANENT_HOURLY_RATE-MAX(0,($D373+R$5)-PERMANENT_FIELD_LABOR_HOURS)*TEMP_HOURLY_RATE-FIXED_SEASON_COST)</f>
        <v/>
      </c>
      <c r="S373" s="53" t="str">
        <f aca="false">IF(OR($A373&gt;TOMATO_BED_CAP,$B373&gt;CARROT_BED_CAP,S$4&gt;MESCLUN_BED_CAP,$A373+$B373+S$4&gt;TOTAL_BEDS_AVAILABLE,($D373+S$5)&gt;TOTAL_LABOR_HOURS_CAP,MAX(0,($D373+S$5)-PERMANENT_FIELD_LABOR_HOURS)&gt;TEMP_HOURS_CAP),"",$C373+S$6-MIN(($D373+S$5),PERMANENT_FIELD_LABOR_HOURS)*PERMANENT_HOURLY_RATE-MAX(0,($D373+S$5)-PERMANENT_FIELD_LABOR_HOURS)*TEMP_HOURLY_RATE-FIXED_SEASON_COST)</f>
        <v/>
      </c>
      <c r="T373" s="53" t="str">
        <f aca="false">IF(OR($A373&gt;TOMATO_BED_CAP,$B373&gt;CARROT_BED_CAP,T$4&gt;MESCLUN_BED_CAP,$A373+$B373+T$4&gt;TOTAL_BEDS_AVAILABLE,($D373+T$5)&gt;TOTAL_LABOR_HOURS_CAP,MAX(0,($D373+T$5)-PERMANENT_FIELD_LABOR_HOURS)&gt;TEMP_HOURS_CAP),"",$C373+T$6-MIN(($D373+T$5),PERMANENT_FIELD_LABOR_HOURS)*PERMANENT_HOURLY_RATE-MAX(0,($D373+T$5)-PERMANENT_FIELD_LABOR_HOURS)*TEMP_HOURLY_RATE-FIXED_SEASON_COST)</f>
        <v/>
      </c>
      <c r="U373" s="53" t="str">
        <f aca="false">IF(OR($A373&gt;TOMATO_BED_CAP,$B373&gt;CARROT_BED_CAP,U$4&gt;MESCLUN_BED_CAP,$A373+$B373+U$4&gt;TOTAL_BEDS_AVAILABLE,($D373+U$5)&gt;TOTAL_LABOR_HOURS_CAP,MAX(0,($D373+U$5)-PERMANENT_FIELD_LABOR_HOURS)&gt;TEMP_HOURS_CAP),"",$C373+U$6-MIN(($D373+U$5),PERMANENT_FIELD_LABOR_HOURS)*PERMANENT_HOURLY_RATE-MAX(0,($D373+U$5)-PERMANENT_FIELD_LABOR_HOURS)*TEMP_HOURLY_RATE-FIXED_SEASON_COST)</f>
        <v/>
      </c>
      <c r="V373" s="53" t="str">
        <f aca="false">IF(OR($A373&gt;TOMATO_BED_CAP,$B373&gt;CARROT_BED_CAP,V$4&gt;MESCLUN_BED_CAP,$A373+$B373+V$4&gt;TOTAL_BEDS_AVAILABLE,($D373+V$5)&gt;TOTAL_LABOR_HOURS_CAP,MAX(0,($D373+V$5)-PERMANENT_FIELD_LABOR_HOURS)&gt;TEMP_HOURS_CAP),"",$C373+V$6-MIN(($D373+V$5),PERMANENT_FIELD_LABOR_HOURS)*PERMANENT_HOURLY_RATE-MAX(0,($D373+V$5)-PERMANENT_FIELD_LABOR_HOURS)*TEMP_HOURLY_RATE-FIXED_SEASON_COST)</f>
        <v/>
      </c>
      <c r="W373" s="53" t="str">
        <f aca="false">IF(OR($A373&gt;TOMATO_BED_CAP,$B373&gt;CARROT_BED_CAP,W$4&gt;MESCLUN_BED_CAP,$A373+$B373+W$4&gt;TOTAL_BEDS_AVAILABLE,($D373+W$5)&gt;TOTAL_LABOR_HOURS_CAP,MAX(0,($D373+W$5)-PERMANENT_FIELD_LABOR_HOURS)&gt;TEMP_HOURS_CAP),"",$C373+W$6-MIN(($D373+W$5),PERMANENT_FIELD_LABOR_HOURS)*PERMANENT_HOURLY_RATE-MAX(0,($D373+W$5)-PERMANENT_FIELD_LABOR_HOURS)*TEMP_HOURLY_RATE-FIXED_SEASON_COST)</f>
        <v/>
      </c>
      <c r="X373" s="53" t="str">
        <f aca="false">IF(OR($A373&gt;TOMATO_BED_CAP,$B373&gt;CARROT_BED_CAP,X$4&gt;MESCLUN_BED_CAP,$A373+$B373+X$4&gt;TOTAL_BEDS_AVAILABLE,($D373+X$5)&gt;TOTAL_LABOR_HOURS_CAP,MAX(0,($D373+X$5)-PERMANENT_FIELD_LABOR_HOURS)&gt;TEMP_HOURS_CAP),"",$C373+X$6-MIN(($D373+X$5),PERMANENT_FIELD_LABOR_HOURS)*PERMANENT_HOURLY_RATE-MAX(0,($D373+X$5)-PERMANENT_FIELD_LABOR_HOURS)*TEMP_HOURLY_RATE-FIXED_SEASON_COST)</f>
        <v/>
      </c>
      <c r="Y373" s="53" t="str">
        <f aca="false">IF(OR($A373&gt;TOMATO_BED_CAP,$B373&gt;CARROT_BED_CAP,Y$4&gt;MESCLUN_BED_CAP,$A373+$B373+Y$4&gt;TOTAL_BEDS_AVAILABLE,($D373+Y$5)&gt;TOTAL_LABOR_HOURS_CAP,MAX(0,($D373+Y$5)-PERMANENT_FIELD_LABOR_HOURS)&gt;TEMP_HOURS_CAP),"",$C373+Y$6-MIN(($D373+Y$5),PERMANENT_FIELD_LABOR_HOURS)*PERMANENT_HOURLY_RATE-MAX(0,($D373+Y$5)-PERMANENT_FIELD_LABOR_HOURS)*TEMP_HOURLY_RATE-FIXED_SEASON_COST)</f>
        <v/>
      </c>
      <c r="Z373" s="53" t="str">
        <f aca="false">IF(OR($A373&gt;TOMATO_BED_CAP,$B373&gt;CARROT_BED_CAP,Z$4&gt;MESCLUN_BED_CAP,$A373+$B373+Z$4&gt;TOTAL_BEDS_AVAILABLE,($D373+Z$5)&gt;TOTAL_LABOR_HOURS_CAP,MAX(0,($D373+Z$5)-PERMANENT_FIELD_LABOR_HOURS)&gt;TEMP_HOURS_CAP),"",$C373+Z$6-MIN(($D373+Z$5),PERMANENT_FIELD_LABOR_HOURS)*PERMANENT_HOURLY_RATE-MAX(0,($D373+Z$5)-PERMANENT_FIELD_LABOR_HOURS)*TEMP_HOURLY_RATE-FIXED_SEASON_COST)</f>
        <v/>
      </c>
      <c r="AA373" s="53" t="str">
        <f aca="false">IF(OR($A373&gt;TOMATO_BED_CAP,$B373&gt;CARROT_BED_CAP,AA$4&gt;MESCLUN_BED_CAP,$A373+$B373+AA$4&gt;TOTAL_BEDS_AVAILABLE,($D373+AA$5)&gt;TOTAL_LABOR_HOURS_CAP,MAX(0,($D373+AA$5)-PERMANENT_FIELD_LABOR_HOURS)&gt;TEMP_HOURS_CAP),"",$C373+AA$6-MIN(($D373+AA$5),PERMANENT_FIELD_LABOR_HOURS)*PERMANENT_HOURLY_RATE-MAX(0,($D373+AA$5)-PERMANENT_FIELD_LABOR_HOURS)*TEMP_HOURLY_RATE-FIXED_SEASON_COST)</f>
        <v/>
      </c>
      <c r="AB373" s="53" t="str">
        <f aca="false">IF(OR($A373&gt;TOMATO_BED_CAP,$B373&gt;CARROT_BED_CAP,AB$4&gt;MESCLUN_BED_CAP,$A373+$B373+AB$4&gt;TOTAL_BEDS_AVAILABLE,($D373+AB$5)&gt;TOTAL_LABOR_HOURS_CAP,MAX(0,($D373+AB$5)-PERMANENT_FIELD_LABOR_HOURS)&gt;TEMP_HOURS_CAP),"",$C373+AB$6-MIN(($D373+AB$5),PERMANENT_FIELD_LABOR_HOURS)*PERMANENT_HOURLY_RATE-MAX(0,($D373+AB$5)-PERMANENT_FIELD_LABOR_HOURS)*TEMP_HOURLY_RATE-FIXED_SEASON_COST)</f>
        <v/>
      </c>
      <c r="AC373" s="53" t="str">
        <f aca="false">IF(OR($A373&gt;TOMATO_BED_CAP,$B373&gt;CARROT_BED_CAP,AC$4&gt;MESCLUN_BED_CAP,$A373+$B373+AC$4&gt;TOTAL_BEDS_AVAILABLE,($D373+AC$5)&gt;TOTAL_LABOR_HOURS_CAP,MAX(0,($D373+AC$5)-PERMANENT_FIELD_LABOR_HOURS)&gt;TEMP_HOURS_CAP),"",$C373+AC$6-MIN(($D373+AC$5),PERMANENT_FIELD_LABOR_HOURS)*PERMANENT_HOURLY_RATE-MAX(0,($D373+AC$5)-PERMANENT_FIELD_LABOR_HOURS)*TEMP_HOURLY_RATE-FIXED_SEASON_COST)</f>
        <v/>
      </c>
      <c r="AD373" s="53" t="str">
        <f aca="false">IF(OR($A373&gt;TOMATO_BED_CAP,$B373&gt;CARROT_BED_CAP,AD$4&gt;MESCLUN_BED_CAP,$A373+$B373+AD$4&gt;TOTAL_BEDS_AVAILABLE,($D373+AD$5)&gt;TOTAL_LABOR_HOURS_CAP,MAX(0,($D373+AD$5)-PERMANENT_FIELD_LABOR_HOURS)&gt;TEMP_HOURS_CAP),"",$C373+AD$6-MIN(($D373+AD$5),PERMANENT_FIELD_LABOR_HOURS)*PERMANENT_HOURLY_RATE-MAX(0,($D373+AD$5)-PERMANENT_FIELD_LABOR_HOURS)*TEMP_HOURLY_RATE-FIXED_SEASON_COST)</f>
        <v/>
      </c>
      <c r="AE373" s="53" t="str">
        <f aca="false">IF(OR($A373&gt;TOMATO_BED_CAP,$B373&gt;CARROT_BED_CAP,AE$4&gt;MESCLUN_BED_CAP,$A373+$B373+AE$4&gt;TOTAL_BEDS_AVAILABLE,($D373+AE$5)&gt;TOTAL_LABOR_HOURS_CAP,MAX(0,($D373+AE$5)-PERMANENT_FIELD_LABOR_HOURS)&gt;TEMP_HOURS_CAP),"",$C373+AE$6-MIN(($D373+AE$5),PERMANENT_FIELD_LABOR_HOURS)*PERMANENT_HOURLY_RATE-MAX(0,($D373+AE$5)-PERMANENT_FIELD_LABOR_HOURS)*TEMP_HOURLY_RATE-FIXED_SEASON_COST)</f>
        <v/>
      </c>
      <c r="AF373" s="53" t="str">
        <f aca="false">IF(OR($A373&gt;TOMATO_BED_CAP,$B373&gt;CARROT_BED_CAP,AF$4&gt;MESCLUN_BED_CAP,$A373+$B373+AF$4&gt;TOTAL_BEDS_AVAILABLE,($D373+AF$5)&gt;TOTAL_LABOR_HOURS_CAP,MAX(0,($D373+AF$5)-PERMANENT_FIELD_LABOR_HOURS)&gt;TEMP_HOURS_CAP),"",$C373+AF$6-MIN(($D373+AF$5),PERMANENT_FIELD_LABOR_HOURS)*PERMANENT_HOURLY_RATE-MAX(0,($D373+AF$5)-PERMANENT_FIELD_LABOR_HOURS)*TEMP_HOURLY_RATE-FIXED_SEASON_COST)</f>
        <v/>
      </c>
      <c r="AG373" s="53" t="str">
        <f aca="false">IF(OR($A373&gt;TOMATO_BED_CAP,$B373&gt;CARROT_BED_CAP,AG$4&gt;MESCLUN_BED_CAP,$A373+$B373+AG$4&gt;TOTAL_BEDS_AVAILABLE,($D373+AG$5)&gt;TOTAL_LABOR_HOURS_CAP,MAX(0,($D373+AG$5)-PERMANENT_FIELD_LABOR_HOURS)&gt;TEMP_HOURS_CAP),"",$C373+AG$6-MIN(($D373+AG$5),PERMANENT_FIELD_LABOR_HOURS)*PERMANENT_HOURLY_RATE-MAX(0,($D373+AG$5)-PERMANENT_FIELD_LABOR_HOURS)*TEMP_HOURLY_RATE-FIXED_SEASON_COST)</f>
        <v/>
      </c>
      <c r="AH373" s="53" t="str">
        <f aca="false">IF(OR($A373&gt;TOMATO_BED_CAP,$B373&gt;CARROT_BED_CAP,AH$4&gt;MESCLUN_BED_CAP,$A373+$B373+AH$4&gt;TOTAL_BEDS_AVAILABLE,($D373+AH$5)&gt;TOTAL_LABOR_HOURS_CAP,MAX(0,($D373+AH$5)-PERMANENT_FIELD_LABOR_HOURS)&gt;TEMP_HOURS_CAP),"",$C373+AH$6-MIN(($D373+AH$5),PERMANENT_FIELD_LABOR_HOURS)*PERMANENT_HOURLY_RATE-MAX(0,($D373+AH$5)-PERMANENT_FIELD_LABOR_HOURS)*TEMP_HOURLY_RATE-FIXED_SEASON_COST)</f>
        <v/>
      </c>
      <c r="AI373" s="53" t="str">
        <f aca="false">IF(OR($A373&gt;TOMATO_BED_CAP,$B373&gt;CARROT_BED_CAP,AI$4&gt;MESCLUN_BED_CAP,$A373+$B373+AI$4&gt;TOTAL_BEDS_AVAILABLE,($D373+AI$5)&gt;TOTAL_LABOR_HOURS_CAP,MAX(0,($D373+AI$5)-PERMANENT_FIELD_LABOR_HOURS)&gt;TEMP_HOURS_CAP),"",$C373+AI$6-MIN(($D373+AI$5),PERMANENT_FIELD_LABOR_HOURS)*PERMANENT_HOURLY_RATE-MAX(0,($D373+AI$5)-PERMANENT_FIELD_LABOR_HOURS)*TEMP_HOURLY_RATE-FIXED_SEASON_COST)</f>
        <v/>
      </c>
      <c r="AJ373" s="53" t="str">
        <f aca="false">IF(OR($A373&gt;TOMATO_BED_CAP,$B373&gt;CARROT_BED_CAP,AJ$4&gt;MESCLUN_BED_CAP,$A373+$B373+AJ$4&gt;TOTAL_BEDS_AVAILABLE,($D373+AJ$5)&gt;TOTAL_LABOR_HOURS_CAP,MAX(0,($D373+AJ$5)-PERMANENT_FIELD_LABOR_HOURS)&gt;TEMP_HOURS_CAP),"",$C373+AJ$6-MIN(($D373+AJ$5),PERMANENT_FIELD_LABOR_HOURS)*PERMANENT_HOURLY_RATE-MAX(0,($D373+AJ$5)-PERMANENT_FIELD_LABOR_HOURS)*TEMP_HOURLY_RATE-FIXED_SEASON_COST)</f>
        <v/>
      </c>
    </row>
    <row r="374" customFormat="false" ht="15" hidden="false" customHeight="false" outlineLevel="0" collapsed="false">
      <c r="A374" s="21" t="n">
        <f aca="false">INT((ROW()-ROW($A$8))/(20+1))</f>
        <v>17</v>
      </c>
      <c r="B374" s="21" t="n">
        <f aca="false">MOD(ROW()-ROW($A$8),20+1)</f>
        <v>9</v>
      </c>
      <c r="C374" s="13" t="n">
        <f aca="false">A374*(TOMATO_REVENUE_PER_BED-TOMATO_FERTILIZER_PER_BED)+B374*(CARROT_REVENUE_PER_BED-CARROT_FERTILIZER_PER_BED)</f>
        <v>149526</v>
      </c>
      <c r="D374" s="14" t="n">
        <f aca="false">INDEX(TOMATO_SCHED_LABOR_HRS,A374+1)+INDEX(CARROT_SCHED_LABOR_HRS,B374+1)</f>
        <v>8070.39766072432</v>
      </c>
      <c r="E374" s="13" t="str">
        <f aca="false">IF(COUNT(F374:AJ374)=0,"",MAX(F374:AJ374))</f>
        <v/>
      </c>
      <c r="F374" s="53" t="str">
        <f aca="false">IF(OR($A374&gt;TOMATO_BED_CAP,$B374&gt;CARROT_BED_CAP,F$4&gt;MESCLUN_BED_CAP,$A374+$B374+F$4&gt;TOTAL_BEDS_AVAILABLE,($D374+F$5)&gt;TOTAL_LABOR_HOURS_CAP,MAX(0,($D374+F$5)-PERMANENT_FIELD_LABOR_HOURS)&gt;TEMP_HOURS_CAP),"",$C374+F$6-MIN(($D374+F$5),PERMANENT_FIELD_LABOR_HOURS)*PERMANENT_HOURLY_RATE-MAX(0,($D374+F$5)-PERMANENT_FIELD_LABOR_HOURS)*TEMP_HOURLY_RATE-FIXED_SEASON_COST)</f>
        <v/>
      </c>
      <c r="G374" s="53" t="str">
        <f aca="false">IF(OR($A374&gt;TOMATO_BED_CAP,$B374&gt;CARROT_BED_CAP,G$4&gt;MESCLUN_BED_CAP,$A374+$B374+G$4&gt;TOTAL_BEDS_AVAILABLE,($D374+G$5)&gt;TOTAL_LABOR_HOURS_CAP,MAX(0,($D374+G$5)-PERMANENT_FIELD_LABOR_HOURS)&gt;TEMP_HOURS_CAP),"",$C374+G$6-MIN(($D374+G$5),PERMANENT_FIELD_LABOR_HOURS)*PERMANENT_HOURLY_RATE-MAX(0,($D374+G$5)-PERMANENT_FIELD_LABOR_HOURS)*TEMP_HOURLY_RATE-FIXED_SEASON_COST)</f>
        <v/>
      </c>
      <c r="H374" s="53" t="str">
        <f aca="false">IF(OR($A374&gt;TOMATO_BED_CAP,$B374&gt;CARROT_BED_CAP,H$4&gt;MESCLUN_BED_CAP,$A374+$B374+H$4&gt;TOTAL_BEDS_AVAILABLE,($D374+H$5)&gt;TOTAL_LABOR_HOURS_CAP,MAX(0,($D374+H$5)-PERMANENT_FIELD_LABOR_HOURS)&gt;TEMP_HOURS_CAP),"",$C374+H$6-MIN(($D374+H$5),PERMANENT_FIELD_LABOR_HOURS)*PERMANENT_HOURLY_RATE-MAX(0,($D374+H$5)-PERMANENT_FIELD_LABOR_HOURS)*TEMP_HOURLY_RATE-FIXED_SEASON_COST)</f>
        <v/>
      </c>
      <c r="I374" s="53" t="str">
        <f aca="false">IF(OR($A374&gt;TOMATO_BED_CAP,$B374&gt;CARROT_BED_CAP,I$4&gt;MESCLUN_BED_CAP,$A374+$B374+I$4&gt;TOTAL_BEDS_AVAILABLE,($D374+I$5)&gt;TOTAL_LABOR_HOURS_CAP,MAX(0,($D374+I$5)-PERMANENT_FIELD_LABOR_HOURS)&gt;TEMP_HOURS_CAP),"",$C374+I$6-MIN(($D374+I$5),PERMANENT_FIELD_LABOR_HOURS)*PERMANENT_HOURLY_RATE-MAX(0,($D374+I$5)-PERMANENT_FIELD_LABOR_HOURS)*TEMP_HOURLY_RATE-FIXED_SEASON_COST)</f>
        <v/>
      </c>
      <c r="J374" s="53" t="str">
        <f aca="false">IF(OR($A374&gt;TOMATO_BED_CAP,$B374&gt;CARROT_BED_CAP,J$4&gt;MESCLUN_BED_CAP,$A374+$B374+J$4&gt;TOTAL_BEDS_AVAILABLE,($D374+J$5)&gt;TOTAL_LABOR_HOURS_CAP,MAX(0,($D374+J$5)-PERMANENT_FIELD_LABOR_HOURS)&gt;TEMP_HOURS_CAP),"",$C374+J$6-MIN(($D374+J$5),PERMANENT_FIELD_LABOR_HOURS)*PERMANENT_HOURLY_RATE-MAX(0,($D374+J$5)-PERMANENT_FIELD_LABOR_HOURS)*TEMP_HOURLY_RATE-FIXED_SEASON_COST)</f>
        <v/>
      </c>
      <c r="K374" s="53" t="str">
        <f aca="false">IF(OR($A374&gt;TOMATO_BED_CAP,$B374&gt;CARROT_BED_CAP,K$4&gt;MESCLUN_BED_CAP,$A374+$B374+K$4&gt;TOTAL_BEDS_AVAILABLE,($D374+K$5)&gt;TOTAL_LABOR_HOURS_CAP,MAX(0,($D374+K$5)-PERMANENT_FIELD_LABOR_HOURS)&gt;TEMP_HOURS_CAP),"",$C374+K$6-MIN(($D374+K$5),PERMANENT_FIELD_LABOR_HOURS)*PERMANENT_HOURLY_RATE-MAX(0,($D374+K$5)-PERMANENT_FIELD_LABOR_HOURS)*TEMP_HOURLY_RATE-FIXED_SEASON_COST)</f>
        <v/>
      </c>
      <c r="L374" s="53" t="str">
        <f aca="false">IF(OR($A374&gt;TOMATO_BED_CAP,$B374&gt;CARROT_BED_CAP,L$4&gt;MESCLUN_BED_CAP,$A374+$B374+L$4&gt;TOTAL_BEDS_AVAILABLE,($D374+L$5)&gt;TOTAL_LABOR_HOURS_CAP,MAX(0,($D374+L$5)-PERMANENT_FIELD_LABOR_HOURS)&gt;TEMP_HOURS_CAP),"",$C374+L$6-MIN(($D374+L$5),PERMANENT_FIELD_LABOR_HOURS)*PERMANENT_HOURLY_RATE-MAX(0,($D374+L$5)-PERMANENT_FIELD_LABOR_HOURS)*TEMP_HOURLY_RATE-FIXED_SEASON_COST)</f>
        <v/>
      </c>
      <c r="M374" s="53" t="str">
        <f aca="false">IF(OR($A374&gt;TOMATO_BED_CAP,$B374&gt;CARROT_BED_CAP,M$4&gt;MESCLUN_BED_CAP,$A374+$B374+M$4&gt;TOTAL_BEDS_AVAILABLE,($D374+M$5)&gt;TOTAL_LABOR_HOURS_CAP,MAX(0,($D374+M$5)-PERMANENT_FIELD_LABOR_HOURS)&gt;TEMP_HOURS_CAP),"",$C374+M$6-MIN(($D374+M$5),PERMANENT_FIELD_LABOR_HOURS)*PERMANENT_HOURLY_RATE-MAX(0,($D374+M$5)-PERMANENT_FIELD_LABOR_HOURS)*TEMP_HOURLY_RATE-FIXED_SEASON_COST)</f>
        <v/>
      </c>
      <c r="N374" s="53" t="str">
        <f aca="false">IF(OR($A374&gt;TOMATO_BED_CAP,$B374&gt;CARROT_BED_CAP,N$4&gt;MESCLUN_BED_CAP,$A374+$B374+N$4&gt;TOTAL_BEDS_AVAILABLE,($D374+N$5)&gt;TOTAL_LABOR_HOURS_CAP,MAX(0,($D374+N$5)-PERMANENT_FIELD_LABOR_HOURS)&gt;TEMP_HOURS_CAP),"",$C374+N$6-MIN(($D374+N$5),PERMANENT_FIELD_LABOR_HOURS)*PERMANENT_HOURLY_RATE-MAX(0,($D374+N$5)-PERMANENT_FIELD_LABOR_HOURS)*TEMP_HOURLY_RATE-FIXED_SEASON_COST)</f>
        <v/>
      </c>
      <c r="O374" s="53" t="str">
        <f aca="false">IF(OR($A374&gt;TOMATO_BED_CAP,$B374&gt;CARROT_BED_CAP,O$4&gt;MESCLUN_BED_CAP,$A374+$B374+O$4&gt;TOTAL_BEDS_AVAILABLE,($D374+O$5)&gt;TOTAL_LABOR_HOURS_CAP,MAX(0,($D374+O$5)-PERMANENT_FIELD_LABOR_HOURS)&gt;TEMP_HOURS_CAP),"",$C374+O$6-MIN(($D374+O$5),PERMANENT_FIELD_LABOR_HOURS)*PERMANENT_HOURLY_RATE-MAX(0,($D374+O$5)-PERMANENT_FIELD_LABOR_HOURS)*TEMP_HOURLY_RATE-FIXED_SEASON_COST)</f>
        <v/>
      </c>
      <c r="P374" s="53" t="str">
        <f aca="false">IF(OR($A374&gt;TOMATO_BED_CAP,$B374&gt;CARROT_BED_CAP,P$4&gt;MESCLUN_BED_CAP,$A374+$B374+P$4&gt;TOTAL_BEDS_AVAILABLE,($D374+P$5)&gt;TOTAL_LABOR_HOURS_CAP,MAX(0,($D374+P$5)-PERMANENT_FIELD_LABOR_HOURS)&gt;TEMP_HOURS_CAP),"",$C374+P$6-MIN(($D374+P$5),PERMANENT_FIELD_LABOR_HOURS)*PERMANENT_HOURLY_RATE-MAX(0,($D374+P$5)-PERMANENT_FIELD_LABOR_HOURS)*TEMP_HOURLY_RATE-FIXED_SEASON_COST)</f>
        <v/>
      </c>
      <c r="Q374" s="53" t="str">
        <f aca="false">IF(OR($A374&gt;TOMATO_BED_CAP,$B374&gt;CARROT_BED_CAP,Q$4&gt;MESCLUN_BED_CAP,$A374+$B374+Q$4&gt;TOTAL_BEDS_AVAILABLE,($D374+Q$5)&gt;TOTAL_LABOR_HOURS_CAP,MAX(0,($D374+Q$5)-PERMANENT_FIELD_LABOR_HOURS)&gt;TEMP_HOURS_CAP),"",$C374+Q$6-MIN(($D374+Q$5),PERMANENT_FIELD_LABOR_HOURS)*PERMANENT_HOURLY_RATE-MAX(0,($D374+Q$5)-PERMANENT_FIELD_LABOR_HOURS)*TEMP_HOURLY_RATE-FIXED_SEASON_COST)</f>
        <v/>
      </c>
      <c r="R374" s="53" t="str">
        <f aca="false">IF(OR($A374&gt;TOMATO_BED_CAP,$B374&gt;CARROT_BED_CAP,R$4&gt;MESCLUN_BED_CAP,$A374+$B374+R$4&gt;TOTAL_BEDS_AVAILABLE,($D374+R$5)&gt;TOTAL_LABOR_HOURS_CAP,MAX(0,($D374+R$5)-PERMANENT_FIELD_LABOR_HOURS)&gt;TEMP_HOURS_CAP),"",$C374+R$6-MIN(($D374+R$5),PERMANENT_FIELD_LABOR_HOURS)*PERMANENT_HOURLY_RATE-MAX(0,($D374+R$5)-PERMANENT_FIELD_LABOR_HOURS)*TEMP_HOURLY_RATE-FIXED_SEASON_COST)</f>
        <v/>
      </c>
      <c r="S374" s="53" t="str">
        <f aca="false">IF(OR($A374&gt;TOMATO_BED_CAP,$B374&gt;CARROT_BED_CAP,S$4&gt;MESCLUN_BED_CAP,$A374+$B374+S$4&gt;TOTAL_BEDS_AVAILABLE,($D374+S$5)&gt;TOTAL_LABOR_HOURS_CAP,MAX(0,($D374+S$5)-PERMANENT_FIELD_LABOR_HOURS)&gt;TEMP_HOURS_CAP),"",$C374+S$6-MIN(($D374+S$5),PERMANENT_FIELD_LABOR_HOURS)*PERMANENT_HOURLY_RATE-MAX(0,($D374+S$5)-PERMANENT_FIELD_LABOR_HOURS)*TEMP_HOURLY_RATE-FIXED_SEASON_COST)</f>
        <v/>
      </c>
      <c r="T374" s="53" t="str">
        <f aca="false">IF(OR($A374&gt;TOMATO_BED_CAP,$B374&gt;CARROT_BED_CAP,T$4&gt;MESCLUN_BED_CAP,$A374+$B374+T$4&gt;TOTAL_BEDS_AVAILABLE,($D374+T$5)&gt;TOTAL_LABOR_HOURS_CAP,MAX(0,($D374+T$5)-PERMANENT_FIELD_LABOR_HOURS)&gt;TEMP_HOURS_CAP),"",$C374+T$6-MIN(($D374+T$5),PERMANENT_FIELD_LABOR_HOURS)*PERMANENT_HOURLY_RATE-MAX(0,($D374+T$5)-PERMANENT_FIELD_LABOR_HOURS)*TEMP_HOURLY_RATE-FIXED_SEASON_COST)</f>
        <v/>
      </c>
      <c r="U374" s="53" t="str">
        <f aca="false">IF(OR($A374&gt;TOMATO_BED_CAP,$B374&gt;CARROT_BED_CAP,U$4&gt;MESCLUN_BED_CAP,$A374+$B374+U$4&gt;TOTAL_BEDS_AVAILABLE,($D374+U$5)&gt;TOTAL_LABOR_HOURS_CAP,MAX(0,($D374+U$5)-PERMANENT_FIELD_LABOR_HOURS)&gt;TEMP_HOURS_CAP),"",$C374+U$6-MIN(($D374+U$5),PERMANENT_FIELD_LABOR_HOURS)*PERMANENT_HOURLY_RATE-MAX(0,($D374+U$5)-PERMANENT_FIELD_LABOR_HOURS)*TEMP_HOURLY_RATE-FIXED_SEASON_COST)</f>
        <v/>
      </c>
      <c r="V374" s="53" t="str">
        <f aca="false">IF(OR($A374&gt;TOMATO_BED_CAP,$B374&gt;CARROT_BED_CAP,V$4&gt;MESCLUN_BED_CAP,$A374+$B374+V$4&gt;TOTAL_BEDS_AVAILABLE,($D374+V$5)&gt;TOTAL_LABOR_HOURS_CAP,MAX(0,($D374+V$5)-PERMANENT_FIELD_LABOR_HOURS)&gt;TEMP_HOURS_CAP),"",$C374+V$6-MIN(($D374+V$5),PERMANENT_FIELD_LABOR_HOURS)*PERMANENT_HOURLY_RATE-MAX(0,($D374+V$5)-PERMANENT_FIELD_LABOR_HOURS)*TEMP_HOURLY_RATE-FIXED_SEASON_COST)</f>
        <v/>
      </c>
      <c r="W374" s="53" t="str">
        <f aca="false">IF(OR($A374&gt;TOMATO_BED_CAP,$B374&gt;CARROT_BED_CAP,W$4&gt;MESCLUN_BED_CAP,$A374+$B374+W$4&gt;TOTAL_BEDS_AVAILABLE,($D374+W$5)&gt;TOTAL_LABOR_HOURS_CAP,MAX(0,($D374+W$5)-PERMANENT_FIELD_LABOR_HOURS)&gt;TEMP_HOURS_CAP),"",$C374+W$6-MIN(($D374+W$5),PERMANENT_FIELD_LABOR_HOURS)*PERMANENT_HOURLY_RATE-MAX(0,($D374+W$5)-PERMANENT_FIELD_LABOR_HOURS)*TEMP_HOURLY_RATE-FIXED_SEASON_COST)</f>
        <v/>
      </c>
      <c r="X374" s="53" t="str">
        <f aca="false">IF(OR($A374&gt;TOMATO_BED_CAP,$B374&gt;CARROT_BED_CAP,X$4&gt;MESCLUN_BED_CAP,$A374+$B374+X$4&gt;TOTAL_BEDS_AVAILABLE,($D374+X$5)&gt;TOTAL_LABOR_HOURS_CAP,MAX(0,($D374+X$5)-PERMANENT_FIELD_LABOR_HOURS)&gt;TEMP_HOURS_CAP),"",$C374+X$6-MIN(($D374+X$5),PERMANENT_FIELD_LABOR_HOURS)*PERMANENT_HOURLY_RATE-MAX(0,($D374+X$5)-PERMANENT_FIELD_LABOR_HOURS)*TEMP_HOURLY_RATE-FIXED_SEASON_COST)</f>
        <v/>
      </c>
      <c r="Y374" s="53" t="str">
        <f aca="false">IF(OR($A374&gt;TOMATO_BED_CAP,$B374&gt;CARROT_BED_CAP,Y$4&gt;MESCLUN_BED_CAP,$A374+$B374+Y$4&gt;TOTAL_BEDS_AVAILABLE,($D374+Y$5)&gt;TOTAL_LABOR_HOURS_CAP,MAX(0,($D374+Y$5)-PERMANENT_FIELD_LABOR_HOURS)&gt;TEMP_HOURS_CAP),"",$C374+Y$6-MIN(($D374+Y$5),PERMANENT_FIELD_LABOR_HOURS)*PERMANENT_HOURLY_RATE-MAX(0,($D374+Y$5)-PERMANENT_FIELD_LABOR_HOURS)*TEMP_HOURLY_RATE-FIXED_SEASON_COST)</f>
        <v/>
      </c>
      <c r="Z374" s="53" t="str">
        <f aca="false">IF(OR($A374&gt;TOMATO_BED_CAP,$B374&gt;CARROT_BED_CAP,Z$4&gt;MESCLUN_BED_CAP,$A374+$B374+Z$4&gt;TOTAL_BEDS_AVAILABLE,($D374+Z$5)&gt;TOTAL_LABOR_HOURS_CAP,MAX(0,($D374+Z$5)-PERMANENT_FIELD_LABOR_HOURS)&gt;TEMP_HOURS_CAP),"",$C374+Z$6-MIN(($D374+Z$5),PERMANENT_FIELD_LABOR_HOURS)*PERMANENT_HOURLY_RATE-MAX(0,($D374+Z$5)-PERMANENT_FIELD_LABOR_HOURS)*TEMP_HOURLY_RATE-FIXED_SEASON_COST)</f>
        <v/>
      </c>
      <c r="AA374" s="53" t="str">
        <f aca="false">IF(OR($A374&gt;TOMATO_BED_CAP,$B374&gt;CARROT_BED_CAP,AA$4&gt;MESCLUN_BED_CAP,$A374+$B374+AA$4&gt;TOTAL_BEDS_AVAILABLE,($D374+AA$5)&gt;TOTAL_LABOR_HOURS_CAP,MAX(0,($D374+AA$5)-PERMANENT_FIELD_LABOR_HOURS)&gt;TEMP_HOURS_CAP),"",$C374+AA$6-MIN(($D374+AA$5),PERMANENT_FIELD_LABOR_HOURS)*PERMANENT_HOURLY_RATE-MAX(0,($D374+AA$5)-PERMANENT_FIELD_LABOR_HOURS)*TEMP_HOURLY_RATE-FIXED_SEASON_COST)</f>
        <v/>
      </c>
      <c r="AB374" s="53" t="str">
        <f aca="false">IF(OR($A374&gt;TOMATO_BED_CAP,$B374&gt;CARROT_BED_CAP,AB$4&gt;MESCLUN_BED_CAP,$A374+$B374+AB$4&gt;TOTAL_BEDS_AVAILABLE,($D374+AB$5)&gt;TOTAL_LABOR_HOURS_CAP,MAX(0,($D374+AB$5)-PERMANENT_FIELD_LABOR_HOURS)&gt;TEMP_HOURS_CAP),"",$C374+AB$6-MIN(($D374+AB$5),PERMANENT_FIELD_LABOR_HOURS)*PERMANENT_HOURLY_RATE-MAX(0,($D374+AB$5)-PERMANENT_FIELD_LABOR_HOURS)*TEMP_HOURLY_RATE-FIXED_SEASON_COST)</f>
        <v/>
      </c>
      <c r="AC374" s="53" t="str">
        <f aca="false">IF(OR($A374&gt;TOMATO_BED_CAP,$B374&gt;CARROT_BED_CAP,AC$4&gt;MESCLUN_BED_CAP,$A374+$B374+AC$4&gt;TOTAL_BEDS_AVAILABLE,($D374+AC$5)&gt;TOTAL_LABOR_HOURS_CAP,MAX(0,($D374+AC$5)-PERMANENT_FIELD_LABOR_HOURS)&gt;TEMP_HOURS_CAP),"",$C374+AC$6-MIN(($D374+AC$5),PERMANENT_FIELD_LABOR_HOURS)*PERMANENT_HOURLY_RATE-MAX(0,($D374+AC$5)-PERMANENT_FIELD_LABOR_HOURS)*TEMP_HOURLY_RATE-FIXED_SEASON_COST)</f>
        <v/>
      </c>
      <c r="AD374" s="53" t="str">
        <f aca="false">IF(OR($A374&gt;TOMATO_BED_CAP,$B374&gt;CARROT_BED_CAP,AD$4&gt;MESCLUN_BED_CAP,$A374+$B374+AD$4&gt;TOTAL_BEDS_AVAILABLE,($D374+AD$5)&gt;TOTAL_LABOR_HOURS_CAP,MAX(0,($D374+AD$5)-PERMANENT_FIELD_LABOR_HOURS)&gt;TEMP_HOURS_CAP),"",$C374+AD$6-MIN(($D374+AD$5),PERMANENT_FIELD_LABOR_HOURS)*PERMANENT_HOURLY_RATE-MAX(0,($D374+AD$5)-PERMANENT_FIELD_LABOR_HOURS)*TEMP_HOURLY_RATE-FIXED_SEASON_COST)</f>
        <v/>
      </c>
      <c r="AE374" s="53" t="str">
        <f aca="false">IF(OR($A374&gt;TOMATO_BED_CAP,$B374&gt;CARROT_BED_CAP,AE$4&gt;MESCLUN_BED_CAP,$A374+$B374+AE$4&gt;TOTAL_BEDS_AVAILABLE,($D374+AE$5)&gt;TOTAL_LABOR_HOURS_CAP,MAX(0,($D374+AE$5)-PERMANENT_FIELD_LABOR_HOURS)&gt;TEMP_HOURS_CAP),"",$C374+AE$6-MIN(($D374+AE$5),PERMANENT_FIELD_LABOR_HOURS)*PERMANENT_HOURLY_RATE-MAX(0,($D374+AE$5)-PERMANENT_FIELD_LABOR_HOURS)*TEMP_HOURLY_RATE-FIXED_SEASON_COST)</f>
        <v/>
      </c>
      <c r="AF374" s="53" t="str">
        <f aca="false">IF(OR($A374&gt;TOMATO_BED_CAP,$B374&gt;CARROT_BED_CAP,AF$4&gt;MESCLUN_BED_CAP,$A374+$B374+AF$4&gt;TOTAL_BEDS_AVAILABLE,($D374+AF$5)&gt;TOTAL_LABOR_HOURS_CAP,MAX(0,($D374+AF$5)-PERMANENT_FIELD_LABOR_HOURS)&gt;TEMP_HOURS_CAP),"",$C374+AF$6-MIN(($D374+AF$5),PERMANENT_FIELD_LABOR_HOURS)*PERMANENT_HOURLY_RATE-MAX(0,($D374+AF$5)-PERMANENT_FIELD_LABOR_HOURS)*TEMP_HOURLY_RATE-FIXED_SEASON_COST)</f>
        <v/>
      </c>
      <c r="AG374" s="53" t="str">
        <f aca="false">IF(OR($A374&gt;TOMATO_BED_CAP,$B374&gt;CARROT_BED_CAP,AG$4&gt;MESCLUN_BED_CAP,$A374+$B374+AG$4&gt;TOTAL_BEDS_AVAILABLE,($D374+AG$5)&gt;TOTAL_LABOR_HOURS_CAP,MAX(0,($D374+AG$5)-PERMANENT_FIELD_LABOR_HOURS)&gt;TEMP_HOURS_CAP),"",$C374+AG$6-MIN(($D374+AG$5),PERMANENT_FIELD_LABOR_HOURS)*PERMANENT_HOURLY_RATE-MAX(0,($D374+AG$5)-PERMANENT_FIELD_LABOR_HOURS)*TEMP_HOURLY_RATE-FIXED_SEASON_COST)</f>
        <v/>
      </c>
      <c r="AH374" s="53" t="str">
        <f aca="false">IF(OR($A374&gt;TOMATO_BED_CAP,$B374&gt;CARROT_BED_CAP,AH$4&gt;MESCLUN_BED_CAP,$A374+$B374+AH$4&gt;TOTAL_BEDS_AVAILABLE,($D374+AH$5)&gt;TOTAL_LABOR_HOURS_CAP,MAX(0,($D374+AH$5)-PERMANENT_FIELD_LABOR_HOURS)&gt;TEMP_HOURS_CAP),"",$C374+AH$6-MIN(($D374+AH$5),PERMANENT_FIELD_LABOR_HOURS)*PERMANENT_HOURLY_RATE-MAX(0,($D374+AH$5)-PERMANENT_FIELD_LABOR_HOURS)*TEMP_HOURLY_RATE-FIXED_SEASON_COST)</f>
        <v/>
      </c>
      <c r="AI374" s="53" t="str">
        <f aca="false">IF(OR($A374&gt;TOMATO_BED_CAP,$B374&gt;CARROT_BED_CAP,AI$4&gt;MESCLUN_BED_CAP,$A374+$B374+AI$4&gt;TOTAL_BEDS_AVAILABLE,($D374+AI$5)&gt;TOTAL_LABOR_HOURS_CAP,MAX(0,($D374+AI$5)-PERMANENT_FIELD_LABOR_HOURS)&gt;TEMP_HOURS_CAP),"",$C374+AI$6-MIN(($D374+AI$5),PERMANENT_FIELD_LABOR_HOURS)*PERMANENT_HOURLY_RATE-MAX(0,($D374+AI$5)-PERMANENT_FIELD_LABOR_HOURS)*TEMP_HOURLY_RATE-FIXED_SEASON_COST)</f>
        <v/>
      </c>
      <c r="AJ374" s="53" t="str">
        <f aca="false">IF(OR($A374&gt;TOMATO_BED_CAP,$B374&gt;CARROT_BED_CAP,AJ$4&gt;MESCLUN_BED_CAP,$A374+$B374+AJ$4&gt;TOTAL_BEDS_AVAILABLE,($D374+AJ$5)&gt;TOTAL_LABOR_HOURS_CAP,MAX(0,($D374+AJ$5)-PERMANENT_FIELD_LABOR_HOURS)&gt;TEMP_HOURS_CAP),"",$C374+AJ$6-MIN(($D374+AJ$5),PERMANENT_FIELD_LABOR_HOURS)*PERMANENT_HOURLY_RATE-MAX(0,($D374+AJ$5)-PERMANENT_FIELD_LABOR_HOURS)*TEMP_HOURLY_RATE-FIXED_SEASON_COST)</f>
        <v/>
      </c>
    </row>
    <row r="375" customFormat="false" ht="15" hidden="false" customHeight="false" outlineLevel="0" collapsed="false">
      <c r="A375" s="21" t="n">
        <f aca="false">INT((ROW()-ROW($A$8))/(20+1))</f>
        <v>17</v>
      </c>
      <c r="B375" s="21" t="n">
        <f aca="false">MOD(ROW()-ROW($A$8),20+1)</f>
        <v>10</v>
      </c>
      <c r="C375" s="13" t="n">
        <f aca="false">A375*(TOMATO_REVENUE_PER_BED-TOMATO_FERTILIZER_PER_BED)+B375*(CARROT_REVENUE_PER_BED-CARROT_FERTILIZER_PER_BED)</f>
        <v>151180</v>
      </c>
      <c r="D375" s="14" t="n">
        <f aca="false">INDEX(TOMATO_SCHED_LABOR_HRS,A375+1)+INDEX(CARROT_SCHED_LABOR_HRS,B375+1)</f>
        <v>8117.21128915281</v>
      </c>
      <c r="E375" s="13" t="str">
        <f aca="false">IF(COUNT(F375:AJ375)=0,"",MAX(F375:AJ375))</f>
        <v/>
      </c>
      <c r="F375" s="53" t="str">
        <f aca="false">IF(OR($A375&gt;TOMATO_BED_CAP,$B375&gt;CARROT_BED_CAP,F$4&gt;MESCLUN_BED_CAP,$A375+$B375+F$4&gt;TOTAL_BEDS_AVAILABLE,($D375+F$5)&gt;TOTAL_LABOR_HOURS_CAP,MAX(0,($D375+F$5)-PERMANENT_FIELD_LABOR_HOURS)&gt;TEMP_HOURS_CAP),"",$C375+F$6-MIN(($D375+F$5),PERMANENT_FIELD_LABOR_HOURS)*PERMANENT_HOURLY_RATE-MAX(0,($D375+F$5)-PERMANENT_FIELD_LABOR_HOURS)*TEMP_HOURLY_RATE-FIXED_SEASON_COST)</f>
        <v/>
      </c>
      <c r="G375" s="53" t="str">
        <f aca="false">IF(OR($A375&gt;TOMATO_BED_CAP,$B375&gt;CARROT_BED_CAP,G$4&gt;MESCLUN_BED_CAP,$A375+$B375+G$4&gt;TOTAL_BEDS_AVAILABLE,($D375+G$5)&gt;TOTAL_LABOR_HOURS_CAP,MAX(0,($D375+G$5)-PERMANENT_FIELD_LABOR_HOURS)&gt;TEMP_HOURS_CAP),"",$C375+G$6-MIN(($D375+G$5),PERMANENT_FIELD_LABOR_HOURS)*PERMANENT_HOURLY_RATE-MAX(0,($D375+G$5)-PERMANENT_FIELD_LABOR_HOURS)*TEMP_HOURLY_RATE-FIXED_SEASON_COST)</f>
        <v/>
      </c>
      <c r="H375" s="53" t="str">
        <f aca="false">IF(OR($A375&gt;TOMATO_BED_CAP,$B375&gt;CARROT_BED_CAP,H$4&gt;MESCLUN_BED_CAP,$A375+$B375+H$4&gt;TOTAL_BEDS_AVAILABLE,($D375+H$5)&gt;TOTAL_LABOR_HOURS_CAP,MAX(0,($D375+H$5)-PERMANENT_FIELD_LABOR_HOURS)&gt;TEMP_HOURS_CAP),"",$C375+H$6-MIN(($D375+H$5),PERMANENT_FIELD_LABOR_HOURS)*PERMANENT_HOURLY_RATE-MAX(0,($D375+H$5)-PERMANENT_FIELD_LABOR_HOURS)*TEMP_HOURLY_RATE-FIXED_SEASON_COST)</f>
        <v/>
      </c>
      <c r="I375" s="53" t="str">
        <f aca="false">IF(OR($A375&gt;TOMATO_BED_CAP,$B375&gt;CARROT_BED_CAP,I$4&gt;MESCLUN_BED_CAP,$A375+$B375+I$4&gt;TOTAL_BEDS_AVAILABLE,($D375+I$5)&gt;TOTAL_LABOR_HOURS_CAP,MAX(0,($D375+I$5)-PERMANENT_FIELD_LABOR_HOURS)&gt;TEMP_HOURS_CAP),"",$C375+I$6-MIN(($D375+I$5),PERMANENT_FIELD_LABOR_HOURS)*PERMANENT_HOURLY_RATE-MAX(0,($D375+I$5)-PERMANENT_FIELD_LABOR_HOURS)*TEMP_HOURLY_RATE-FIXED_SEASON_COST)</f>
        <v/>
      </c>
      <c r="J375" s="53" t="str">
        <f aca="false">IF(OR($A375&gt;TOMATO_BED_CAP,$B375&gt;CARROT_BED_CAP,J$4&gt;MESCLUN_BED_CAP,$A375+$B375+J$4&gt;TOTAL_BEDS_AVAILABLE,($D375+J$5)&gt;TOTAL_LABOR_HOURS_CAP,MAX(0,($D375+J$5)-PERMANENT_FIELD_LABOR_HOURS)&gt;TEMP_HOURS_CAP),"",$C375+J$6-MIN(($D375+J$5),PERMANENT_FIELD_LABOR_HOURS)*PERMANENT_HOURLY_RATE-MAX(0,($D375+J$5)-PERMANENT_FIELD_LABOR_HOURS)*TEMP_HOURLY_RATE-FIXED_SEASON_COST)</f>
        <v/>
      </c>
      <c r="K375" s="53" t="str">
        <f aca="false">IF(OR($A375&gt;TOMATO_BED_CAP,$B375&gt;CARROT_BED_CAP,K$4&gt;MESCLUN_BED_CAP,$A375+$B375+K$4&gt;TOTAL_BEDS_AVAILABLE,($D375+K$5)&gt;TOTAL_LABOR_HOURS_CAP,MAX(0,($D375+K$5)-PERMANENT_FIELD_LABOR_HOURS)&gt;TEMP_HOURS_CAP),"",$C375+K$6-MIN(($D375+K$5),PERMANENT_FIELD_LABOR_HOURS)*PERMANENT_HOURLY_RATE-MAX(0,($D375+K$5)-PERMANENT_FIELD_LABOR_HOURS)*TEMP_HOURLY_RATE-FIXED_SEASON_COST)</f>
        <v/>
      </c>
      <c r="L375" s="53" t="str">
        <f aca="false">IF(OR($A375&gt;TOMATO_BED_CAP,$B375&gt;CARROT_BED_CAP,L$4&gt;MESCLUN_BED_CAP,$A375+$B375+L$4&gt;TOTAL_BEDS_AVAILABLE,($D375+L$5)&gt;TOTAL_LABOR_HOURS_CAP,MAX(0,($D375+L$5)-PERMANENT_FIELD_LABOR_HOURS)&gt;TEMP_HOURS_CAP),"",$C375+L$6-MIN(($D375+L$5),PERMANENT_FIELD_LABOR_HOURS)*PERMANENT_HOURLY_RATE-MAX(0,($D375+L$5)-PERMANENT_FIELD_LABOR_HOURS)*TEMP_HOURLY_RATE-FIXED_SEASON_COST)</f>
        <v/>
      </c>
      <c r="M375" s="53" t="str">
        <f aca="false">IF(OR($A375&gt;TOMATO_BED_CAP,$B375&gt;CARROT_BED_CAP,M$4&gt;MESCLUN_BED_CAP,$A375+$B375+M$4&gt;TOTAL_BEDS_AVAILABLE,($D375+M$5)&gt;TOTAL_LABOR_HOURS_CAP,MAX(0,($D375+M$5)-PERMANENT_FIELD_LABOR_HOURS)&gt;TEMP_HOURS_CAP),"",$C375+M$6-MIN(($D375+M$5),PERMANENT_FIELD_LABOR_HOURS)*PERMANENT_HOURLY_RATE-MAX(0,($D375+M$5)-PERMANENT_FIELD_LABOR_HOURS)*TEMP_HOURLY_RATE-FIXED_SEASON_COST)</f>
        <v/>
      </c>
      <c r="N375" s="53" t="str">
        <f aca="false">IF(OR($A375&gt;TOMATO_BED_CAP,$B375&gt;CARROT_BED_CAP,N$4&gt;MESCLUN_BED_CAP,$A375+$B375+N$4&gt;TOTAL_BEDS_AVAILABLE,($D375+N$5)&gt;TOTAL_LABOR_HOURS_CAP,MAX(0,($D375+N$5)-PERMANENT_FIELD_LABOR_HOURS)&gt;TEMP_HOURS_CAP),"",$C375+N$6-MIN(($D375+N$5),PERMANENT_FIELD_LABOR_HOURS)*PERMANENT_HOURLY_RATE-MAX(0,($D375+N$5)-PERMANENT_FIELD_LABOR_HOURS)*TEMP_HOURLY_RATE-FIXED_SEASON_COST)</f>
        <v/>
      </c>
      <c r="O375" s="53" t="str">
        <f aca="false">IF(OR($A375&gt;TOMATO_BED_CAP,$B375&gt;CARROT_BED_CAP,O$4&gt;MESCLUN_BED_CAP,$A375+$B375+O$4&gt;TOTAL_BEDS_AVAILABLE,($D375+O$5)&gt;TOTAL_LABOR_HOURS_CAP,MAX(0,($D375+O$5)-PERMANENT_FIELD_LABOR_HOURS)&gt;TEMP_HOURS_CAP),"",$C375+O$6-MIN(($D375+O$5),PERMANENT_FIELD_LABOR_HOURS)*PERMANENT_HOURLY_RATE-MAX(0,($D375+O$5)-PERMANENT_FIELD_LABOR_HOURS)*TEMP_HOURLY_RATE-FIXED_SEASON_COST)</f>
        <v/>
      </c>
      <c r="P375" s="53" t="str">
        <f aca="false">IF(OR($A375&gt;TOMATO_BED_CAP,$B375&gt;CARROT_BED_CAP,P$4&gt;MESCLUN_BED_CAP,$A375+$B375+P$4&gt;TOTAL_BEDS_AVAILABLE,($D375+P$5)&gt;TOTAL_LABOR_HOURS_CAP,MAX(0,($D375+P$5)-PERMANENT_FIELD_LABOR_HOURS)&gt;TEMP_HOURS_CAP),"",$C375+P$6-MIN(($D375+P$5),PERMANENT_FIELD_LABOR_HOURS)*PERMANENT_HOURLY_RATE-MAX(0,($D375+P$5)-PERMANENT_FIELD_LABOR_HOURS)*TEMP_HOURLY_RATE-FIXED_SEASON_COST)</f>
        <v/>
      </c>
      <c r="Q375" s="53" t="str">
        <f aca="false">IF(OR($A375&gt;TOMATO_BED_CAP,$B375&gt;CARROT_BED_CAP,Q$4&gt;MESCLUN_BED_CAP,$A375+$B375+Q$4&gt;TOTAL_BEDS_AVAILABLE,($D375+Q$5)&gt;TOTAL_LABOR_HOURS_CAP,MAX(0,($D375+Q$5)-PERMANENT_FIELD_LABOR_HOURS)&gt;TEMP_HOURS_CAP),"",$C375+Q$6-MIN(($D375+Q$5),PERMANENT_FIELD_LABOR_HOURS)*PERMANENT_HOURLY_RATE-MAX(0,($D375+Q$5)-PERMANENT_FIELD_LABOR_HOURS)*TEMP_HOURLY_RATE-FIXED_SEASON_COST)</f>
        <v/>
      </c>
      <c r="R375" s="53" t="str">
        <f aca="false">IF(OR($A375&gt;TOMATO_BED_CAP,$B375&gt;CARROT_BED_CAP,R$4&gt;MESCLUN_BED_CAP,$A375+$B375+R$4&gt;TOTAL_BEDS_AVAILABLE,($D375+R$5)&gt;TOTAL_LABOR_HOURS_CAP,MAX(0,($D375+R$5)-PERMANENT_FIELD_LABOR_HOURS)&gt;TEMP_HOURS_CAP),"",$C375+R$6-MIN(($D375+R$5),PERMANENT_FIELD_LABOR_HOURS)*PERMANENT_HOURLY_RATE-MAX(0,($D375+R$5)-PERMANENT_FIELD_LABOR_HOURS)*TEMP_HOURLY_RATE-FIXED_SEASON_COST)</f>
        <v/>
      </c>
      <c r="S375" s="53" t="str">
        <f aca="false">IF(OR($A375&gt;TOMATO_BED_CAP,$B375&gt;CARROT_BED_CAP,S$4&gt;MESCLUN_BED_CAP,$A375+$B375+S$4&gt;TOTAL_BEDS_AVAILABLE,($D375+S$5)&gt;TOTAL_LABOR_HOURS_CAP,MAX(0,($D375+S$5)-PERMANENT_FIELD_LABOR_HOURS)&gt;TEMP_HOURS_CAP),"",$C375+S$6-MIN(($D375+S$5),PERMANENT_FIELD_LABOR_HOURS)*PERMANENT_HOURLY_RATE-MAX(0,($D375+S$5)-PERMANENT_FIELD_LABOR_HOURS)*TEMP_HOURLY_RATE-FIXED_SEASON_COST)</f>
        <v/>
      </c>
      <c r="T375" s="53" t="str">
        <f aca="false">IF(OR($A375&gt;TOMATO_BED_CAP,$B375&gt;CARROT_BED_CAP,T$4&gt;MESCLUN_BED_CAP,$A375+$B375+T$4&gt;TOTAL_BEDS_AVAILABLE,($D375+T$5)&gt;TOTAL_LABOR_HOURS_CAP,MAX(0,($D375+T$5)-PERMANENT_FIELD_LABOR_HOURS)&gt;TEMP_HOURS_CAP),"",$C375+T$6-MIN(($D375+T$5),PERMANENT_FIELD_LABOR_HOURS)*PERMANENT_HOURLY_RATE-MAX(0,($D375+T$5)-PERMANENT_FIELD_LABOR_HOURS)*TEMP_HOURLY_RATE-FIXED_SEASON_COST)</f>
        <v/>
      </c>
      <c r="U375" s="53" t="str">
        <f aca="false">IF(OR($A375&gt;TOMATO_BED_CAP,$B375&gt;CARROT_BED_CAP,U$4&gt;MESCLUN_BED_CAP,$A375+$B375+U$4&gt;TOTAL_BEDS_AVAILABLE,($D375+U$5)&gt;TOTAL_LABOR_HOURS_CAP,MAX(0,($D375+U$5)-PERMANENT_FIELD_LABOR_HOURS)&gt;TEMP_HOURS_CAP),"",$C375+U$6-MIN(($D375+U$5),PERMANENT_FIELD_LABOR_HOURS)*PERMANENT_HOURLY_RATE-MAX(0,($D375+U$5)-PERMANENT_FIELD_LABOR_HOURS)*TEMP_HOURLY_RATE-FIXED_SEASON_COST)</f>
        <v/>
      </c>
      <c r="V375" s="53" t="str">
        <f aca="false">IF(OR($A375&gt;TOMATO_BED_CAP,$B375&gt;CARROT_BED_CAP,V$4&gt;MESCLUN_BED_CAP,$A375+$B375+V$4&gt;TOTAL_BEDS_AVAILABLE,($D375+V$5)&gt;TOTAL_LABOR_HOURS_CAP,MAX(0,($D375+V$5)-PERMANENT_FIELD_LABOR_HOURS)&gt;TEMP_HOURS_CAP),"",$C375+V$6-MIN(($D375+V$5),PERMANENT_FIELD_LABOR_HOURS)*PERMANENT_HOURLY_RATE-MAX(0,($D375+V$5)-PERMANENT_FIELD_LABOR_HOURS)*TEMP_HOURLY_RATE-FIXED_SEASON_COST)</f>
        <v/>
      </c>
      <c r="W375" s="53" t="str">
        <f aca="false">IF(OR($A375&gt;TOMATO_BED_CAP,$B375&gt;CARROT_BED_CAP,W$4&gt;MESCLUN_BED_CAP,$A375+$B375+W$4&gt;TOTAL_BEDS_AVAILABLE,($D375+W$5)&gt;TOTAL_LABOR_HOURS_CAP,MAX(0,($D375+W$5)-PERMANENT_FIELD_LABOR_HOURS)&gt;TEMP_HOURS_CAP),"",$C375+W$6-MIN(($D375+W$5),PERMANENT_FIELD_LABOR_HOURS)*PERMANENT_HOURLY_RATE-MAX(0,($D375+W$5)-PERMANENT_FIELD_LABOR_HOURS)*TEMP_HOURLY_RATE-FIXED_SEASON_COST)</f>
        <v/>
      </c>
      <c r="X375" s="53" t="str">
        <f aca="false">IF(OR($A375&gt;TOMATO_BED_CAP,$B375&gt;CARROT_BED_CAP,X$4&gt;MESCLUN_BED_CAP,$A375+$B375+X$4&gt;TOTAL_BEDS_AVAILABLE,($D375+X$5)&gt;TOTAL_LABOR_HOURS_CAP,MAX(0,($D375+X$5)-PERMANENT_FIELD_LABOR_HOURS)&gt;TEMP_HOURS_CAP),"",$C375+X$6-MIN(($D375+X$5),PERMANENT_FIELD_LABOR_HOURS)*PERMANENT_HOURLY_RATE-MAX(0,($D375+X$5)-PERMANENT_FIELD_LABOR_HOURS)*TEMP_HOURLY_RATE-FIXED_SEASON_COST)</f>
        <v/>
      </c>
      <c r="Y375" s="53" t="str">
        <f aca="false">IF(OR($A375&gt;TOMATO_BED_CAP,$B375&gt;CARROT_BED_CAP,Y$4&gt;MESCLUN_BED_CAP,$A375+$B375+Y$4&gt;TOTAL_BEDS_AVAILABLE,($D375+Y$5)&gt;TOTAL_LABOR_HOURS_CAP,MAX(0,($D375+Y$5)-PERMANENT_FIELD_LABOR_HOURS)&gt;TEMP_HOURS_CAP),"",$C375+Y$6-MIN(($D375+Y$5),PERMANENT_FIELD_LABOR_HOURS)*PERMANENT_HOURLY_RATE-MAX(0,($D375+Y$5)-PERMANENT_FIELD_LABOR_HOURS)*TEMP_HOURLY_RATE-FIXED_SEASON_COST)</f>
        <v/>
      </c>
      <c r="Z375" s="53" t="str">
        <f aca="false">IF(OR($A375&gt;TOMATO_BED_CAP,$B375&gt;CARROT_BED_CAP,Z$4&gt;MESCLUN_BED_CAP,$A375+$B375+Z$4&gt;TOTAL_BEDS_AVAILABLE,($D375+Z$5)&gt;TOTAL_LABOR_HOURS_CAP,MAX(0,($D375+Z$5)-PERMANENT_FIELD_LABOR_HOURS)&gt;TEMP_HOURS_CAP),"",$C375+Z$6-MIN(($D375+Z$5),PERMANENT_FIELD_LABOR_HOURS)*PERMANENT_HOURLY_RATE-MAX(0,($D375+Z$5)-PERMANENT_FIELD_LABOR_HOURS)*TEMP_HOURLY_RATE-FIXED_SEASON_COST)</f>
        <v/>
      </c>
      <c r="AA375" s="53" t="str">
        <f aca="false">IF(OR($A375&gt;TOMATO_BED_CAP,$B375&gt;CARROT_BED_CAP,AA$4&gt;MESCLUN_BED_CAP,$A375+$B375+AA$4&gt;TOTAL_BEDS_AVAILABLE,($D375+AA$5)&gt;TOTAL_LABOR_HOURS_CAP,MAX(0,($D375+AA$5)-PERMANENT_FIELD_LABOR_HOURS)&gt;TEMP_HOURS_CAP),"",$C375+AA$6-MIN(($D375+AA$5),PERMANENT_FIELD_LABOR_HOURS)*PERMANENT_HOURLY_RATE-MAX(0,($D375+AA$5)-PERMANENT_FIELD_LABOR_HOURS)*TEMP_HOURLY_RATE-FIXED_SEASON_COST)</f>
        <v/>
      </c>
      <c r="AB375" s="53" t="str">
        <f aca="false">IF(OR($A375&gt;TOMATO_BED_CAP,$B375&gt;CARROT_BED_CAP,AB$4&gt;MESCLUN_BED_CAP,$A375+$B375+AB$4&gt;TOTAL_BEDS_AVAILABLE,($D375+AB$5)&gt;TOTAL_LABOR_HOURS_CAP,MAX(0,($D375+AB$5)-PERMANENT_FIELD_LABOR_HOURS)&gt;TEMP_HOURS_CAP),"",$C375+AB$6-MIN(($D375+AB$5),PERMANENT_FIELD_LABOR_HOURS)*PERMANENT_HOURLY_RATE-MAX(0,($D375+AB$5)-PERMANENT_FIELD_LABOR_HOURS)*TEMP_HOURLY_RATE-FIXED_SEASON_COST)</f>
        <v/>
      </c>
      <c r="AC375" s="53" t="str">
        <f aca="false">IF(OR($A375&gt;TOMATO_BED_CAP,$B375&gt;CARROT_BED_CAP,AC$4&gt;MESCLUN_BED_CAP,$A375+$B375+AC$4&gt;TOTAL_BEDS_AVAILABLE,($D375+AC$5)&gt;TOTAL_LABOR_HOURS_CAP,MAX(0,($D375+AC$5)-PERMANENT_FIELD_LABOR_HOURS)&gt;TEMP_HOURS_CAP),"",$C375+AC$6-MIN(($D375+AC$5),PERMANENT_FIELD_LABOR_HOURS)*PERMANENT_HOURLY_RATE-MAX(0,($D375+AC$5)-PERMANENT_FIELD_LABOR_HOURS)*TEMP_HOURLY_RATE-FIXED_SEASON_COST)</f>
        <v/>
      </c>
      <c r="AD375" s="53" t="str">
        <f aca="false">IF(OR($A375&gt;TOMATO_BED_CAP,$B375&gt;CARROT_BED_CAP,AD$4&gt;MESCLUN_BED_CAP,$A375+$B375+AD$4&gt;TOTAL_BEDS_AVAILABLE,($D375+AD$5)&gt;TOTAL_LABOR_HOURS_CAP,MAX(0,($D375+AD$5)-PERMANENT_FIELD_LABOR_HOURS)&gt;TEMP_HOURS_CAP),"",$C375+AD$6-MIN(($D375+AD$5),PERMANENT_FIELD_LABOR_HOURS)*PERMANENT_HOURLY_RATE-MAX(0,($D375+AD$5)-PERMANENT_FIELD_LABOR_HOURS)*TEMP_HOURLY_RATE-FIXED_SEASON_COST)</f>
        <v/>
      </c>
      <c r="AE375" s="53" t="str">
        <f aca="false">IF(OR($A375&gt;TOMATO_BED_CAP,$B375&gt;CARROT_BED_CAP,AE$4&gt;MESCLUN_BED_CAP,$A375+$B375+AE$4&gt;TOTAL_BEDS_AVAILABLE,($D375+AE$5)&gt;TOTAL_LABOR_HOURS_CAP,MAX(0,($D375+AE$5)-PERMANENT_FIELD_LABOR_HOURS)&gt;TEMP_HOURS_CAP),"",$C375+AE$6-MIN(($D375+AE$5),PERMANENT_FIELD_LABOR_HOURS)*PERMANENT_HOURLY_RATE-MAX(0,($D375+AE$5)-PERMANENT_FIELD_LABOR_HOURS)*TEMP_HOURLY_RATE-FIXED_SEASON_COST)</f>
        <v/>
      </c>
      <c r="AF375" s="53" t="str">
        <f aca="false">IF(OR($A375&gt;TOMATO_BED_CAP,$B375&gt;CARROT_BED_CAP,AF$4&gt;MESCLUN_BED_CAP,$A375+$B375+AF$4&gt;TOTAL_BEDS_AVAILABLE,($D375+AF$5)&gt;TOTAL_LABOR_HOURS_CAP,MAX(0,($D375+AF$5)-PERMANENT_FIELD_LABOR_HOURS)&gt;TEMP_HOURS_CAP),"",$C375+AF$6-MIN(($D375+AF$5),PERMANENT_FIELD_LABOR_HOURS)*PERMANENT_HOURLY_RATE-MAX(0,($D375+AF$5)-PERMANENT_FIELD_LABOR_HOURS)*TEMP_HOURLY_RATE-FIXED_SEASON_COST)</f>
        <v/>
      </c>
      <c r="AG375" s="53" t="str">
        <f aca="false">IF(OR($A375&gt;TOMATO_BED_CAP,$B375&gt;CARROT_BED_CAP,AG$4&gt;MESCLUN_BED_CAP,$A375+$B375+AG$4&gt;TOTAL_BEDS_AVAILABLE,($D375+AG$5)&gt;TOTAL_LABOR_HOURS_CAP,MAX(0,($D375+AG$5)-PERMANENT_FIELD_LABOR_HOURS)&gt;TEMP_HOURS_CAP),"",$C375+AG$6-MIN(($D375+AG$5),PERMANENT_FIELD_LABOR_HOURS)*PERMANENT_HOURLY_RATE-MAX(0,($D375+AG$5)-PERMANENT_FIELD_LABOR_HOURS)*TEMP_HOURLY_RATE-FIXED_SEASON_COST)</f>
        <v/>
      </c>
      <c r="AH375" s="53" t="str">
        <f aca="false">IF(OR($A375&gt;TOMATO_BED_CAP,$B375&gt;CARROT_BED_CAP,AH$4&gt;MESCLUN_BED_CAP,$A375+$B375+AH$4&gt;TOTAL_BEDS_AVAILABLE,($D375+AH$5)&gt;TOTAL_LABOR_HOURS_CAP,MAX(0,($D375+AH$5)-PERMANENT_FIELD_LABOR_HOURS)&gt;TEMP_HOURS_CAP),"",$C375+AH$6-MIN(($D375+AH$5),PERMANENT_FIELD_LABOR_HOURS)*PERMANENT_HOURLY_RATE-MAX(0,($D375+AH$5)-PERMANENT_FIELD_LABOR_HOURS)*TEMP_HOURLY_RATE-FIXED_SEASON_COST)</f>
        <v/>
      </c>
      <c r="AI375" s="53" t="str">
        <f aca="false">IF(OR($A375&gt;TOMATO_BED_CAP,$B375&gt;CARROT_BED_CAP,AI$4&gt;MESCLUN_BED_CAP,$A375+$B375+AI$4&gt;TOTAL_BEDS_AVAILABLE,($D375+AI$5)&gt;TOTAL_LABOR_HOURS_CAP,MAX(0,($D375+AI$5)-PERMANENT_FIELD_LABOR_HOURS)&gt;TEMP_HOURS_CAP),"",$C375+AI$6-MIN(($D375+AI$5),PERMANENT_FIELD_LABOR_HOURS)*PERMANENT_HOURLY_RATE-MAX(0,($D375+AI$5)-PERMANENT_FIELD_LABOR_HOURS)*TEMP_HOURLY_RATE-FIXED_SEASON_COST)</f>
        <v/>
      </c>
      <c r="AJ375" s="53" t="str">
        <f aca="false">IF(OR($A375&gt;TOMATO_BED_CAP,$B375&gt;CARROT_BED_CAP,AJ$4&gt;MESCLUN_BED_CAP,$A375+$B375+AJ$4&gt;TOTAL_BEDS_AVAILABLE,($D375+AJ$5)&gt;TOTAL_LABOR_HOURS_CAP,MAX(0,($D375+AJ$5)-PERMANENT_FIELD_LABOR_HOURS)&gt;TEMP_HOURS_CAP),"",$C375+AJ$6-MIN(($D375+AJ$5),PERMANENT_FIELD_LABOR_HOURS)*PERMANENT_HOURLY_RATE-MAX(0,($D375+AJ$5)-PERMANENT_FIELD_LABOR_HOURS)*TEMP_HOURLY_RATE-FIXED_SEASON_COST)</f>
        <v/>
      </c>
    </row>
    <row r="376" customFormat="false" ht="15" hidden="false" customHeight="false" outlineLevel="0" collapsed="false">
      <c r="A376" s="21" t="n">
        <f aca="false">INT((ROW()-ROW($A$8))/(20+1))</f>
        <v>17</v>
      </c>
      <c r="B376" s="21" t="n">
        <f aca="false">MOD(ROW()-ROW($A$8),20+1)</f>
        <v>11</v>
      </c>
      <c r="C376" s="13" t="n">
        <f aca="false">A376*(TOMATO_REVENUE_PER_BED-TOMATO_FERTILIZER_PER_BED)+B376*(CARROT_REVENUE_PER_BED-CARROT_FERTILIZER_PER_BED)</f>
        <v>152834</v>
      </c>
      <c r="D376" s="14" t="n">
        <f aca="false">INDEX(TOMATO_SCHED_LABOR_HRS,A376+1)+INDEX(CARROT_SCHED_LABOR_HRS,B376+1)</f>
        <v>8166.15493767479</v>
      </c>
      <c r="E376" s="13" t="str">
        <f aca="false">IF(COUNT(F376:AJ376)=0,"",MAX(F376:AJ376))</f>
        <v/>
      </c>
      <c r="F376" s="53" t="str">
        <f aca="false">IF(OR($A376&gt;TOMATO_BED_CAP,$B376&gt;CARROT_BED_CAP,F$4&gt;MESCLUN_BED_CAP,$A376+$B376+F$4&gt;TOTAL_BEDS_AVAILABLE,($D376+F$5)&gt;TOTAL_LABOR_HOURS_CAP,MAX(0,($D376+F$5)-PERMANENT_FIELD_LABOR_HOURS)&gt;TEMP_HOURS_CAP),"",$C376+F$6-MIN(($D376+F$5),PERMANENT_FIELD_LABOR_HOURS)*PERMANENT_HOURLY_RATE-MAX(0,($D376+F$5)-PERMANENT_FIELD_LABOR_HOURS)*TEMP_HOURLY_RATE-FIXED_SEASON_COST)</f>
        <v/>
      </c>
      <c r="G376" s="53" t="str">
        <f aca="false">IF(OR($A376&gt;TOMATO_BED_CAP,$B376&gt;CARROT_BED_CAP,G$4&gt;MESCLUN_BED_CAP,$A376+$B376+G$4&gt;TOTAL_BEDS_AVAILABLE,($D376+G$5)&gt;TOTAL_LABOR_HOURS_CAP,MAX(0,($D376+G$5)-PERMANENT_FIELD_LABOR_HOURS)&gt;TEMP_HOURS_CAP),"",$C376+G$6-MIN(($D376+G$5),PERMANENT_FIELD_LABOR_HOURS)*PERMANENT_HOURLY_RATE-MAX(0,($D376+G$5)-PERMANENT_FIELD_LABOR_HOURS)*TEMP_HOURLY_RATE-FIXED_SEASON_COST)</f>
        <v/>
      </c>
      <c r="H376" s="53" t="str">
        <f aca="false">IF(OR($A376&gt;TOMATO_BED_CAP,$B376&gt;CARROT_BED_CAP,H$4&gt;MESCLUN_BED_CAP,$A376+$B376+H$4&gt;TOTAL_BEDS_AVAILABLE,($D376+H$5)&gt;TOTAL_LABOR_HOURS_CAP,MAX(0,($D376+H$5)-PERMANENT_FIELD_LABOR_HOURS)&gt;TEMP_HOURS_CAP),"",$C376+H$6-MIN(($D376+H$5),PERMANENT_FIELD_LABOR_HOURS)*PERMANENT_HOURLY_RATE-MAX(0,($D376+H$5)-PERMANENT_FIELD_LABOR_HOURS)*TEMP_HOURLY_RATE-FIXED_SEASON_COST)</f>
        <v/>
      </c>
      <c r="I376" s="53" t="str">
        <f aca="false">IF(OR($A376&gt;TOMATO_BED_CAP,$B376&gt;CARROT_BED_CAP,I$4&gt;MESCLUN_BED_CAP,$A376+$B376+I$4&gt;TOTAL_BEDS_AVAILABLE,($D376+I$5)&gt;TOTAL_LABOR_HOURS_CAP,MAX(0,($D376+I$5)-PERMANENT_FIELD_LABOR_HOURS)&gt;TEMP_HOURS_CAP),"",$C376+I$6-MIN(($D376+I$5),PERMANENT_FIELD_LABOR_HOURS)*PERMANENT_HOURLY_RATE-MAX(0,($D376+I$5)-PERMANENT_FIELD_LABOR_HOURS)*TEMP_HOURLY_RATE-FIXED_SEASON_COST)</f>
        <v/>
      </c>
      <c r="J376" s="53" t="str">
        <f aca="false">IF(OR($A376&gt;TOMATO_BED_CAP,$B376&gt;CARROT_BED_CAP,J$4&gt;MESCLUN_BED_CAP,$A376+$B376+J$4&gt;TOTAL_BEDS_AVAILABLE,($D376+J$5)&gt;TOTAL_LABOR_HOURS_CAP,MAX(0,($D376+J$5)-PERMANENT_FIELD_LABOR_HOURS)&gt;TEMP_HOURS_CAP),"",$C376+J$6-MIN(($D376+J$5),PERMANENT_FIELD_LABOR_HOURS)*PERMANENT_HOURLY_RATE-MAX(0,($D376+J$5)-PERMANENT_FIELD_LABOR_HOURS)*TEMP_HOURLY_RATE-FIXED_SEASON_COST)</f>
        <v/>
      </c>
      <c r="K376" s="53" t="str">
        <f aca="false">IF(OR($A376&gt;TOMATO_BED_CAP,$B376&gt;CARROT_BED_CAP,K$4&gt;MESCLUN_BED_CAP,$A376+$B376+K$4&gt;TOTAL_BEDS_AVAILABLE,($D376+K$5)&gt;TOTAL_LABOR_HOURS_CAP,MAX(0,($D376+K$5)-PERMANENT_FIELD_LABOR_HOURS)&gt;TEMP_HOURS_CAP),"",$C376+K$6-MIN(($D376+K$5),PERMANENT_FIELD_LABOR_HOURS)*PERMANENT_HOURLY_RATE-MAX(0,($D376+K$5)-PERMANENT_FIELD_LABOR_HOURS)*TEMP_HOURLY_RATE-FIXED_SEASON_COST)</f>
        <v/>
      </c>
      <c r="L376" s="53" t="str">
        <f aca="false">IF(OR($A376&gt;TOMATO_BED_CAP,$B376&gt;CARROT_BED_CAP,L$4&gt;MESCLUN_BED_CAP,$A376+$B376+L$4&gt;TOTAL_BEDS_AVAILABLE,($D376+L$5)&gt;TOTAL_LABOR_HOURS_CAP,MAX(0,($D376+L$5)-PERMANENT_FIELD_LABOR_HOURS)&gt;TEMP_HOURS_CAP),"",$C376+L$6-MIN(($D376+L$5),PERMANENT_FIELD_LABOR_HOURS)*PERMANENT_HOURLY_RATE-MAX(0,($D376+L$5)-PERMANENT_FIELD_LABOR_HOURS)*TEMP_HOURLY_RATE-FIXED_SEASON_COST)</f>
        <v/>
      </c>
      <c r="M376" s="53" t="str">
        <f aca="false">IF(OR($A376&gt;TOMATO_BED_CAP,$B376&gt;CARROT_BED_CAP,M$4&gt;MESCLUN_BED_CAP,$A376+$B376+M$4&gt;TOTAL_BEDS_AVAILABLE,($D376+M$5)&gt;TOTAL_LABOR_HOURS_CAP,MAX(0,($D376+M$5)-PERMANENT_FIELD_LABOR_HOURS)&gt;TEMP_HOURS_CAP),"",$C376+M$6-MIN(($D376+M$5),PERMANENT_FIELD_LABOR_HOURS)*PERMANENT_HOURLY_RATE-MAX(0,($D376+M$5)-PERMANENT_FIELD_LABOR_HOURS)*TEMP_HOURLY_RATE-FIXED_SEASON_COST)</f>
        <v/>
      </c>
      <c r="N376" s="53" t="str">
        <f aca="false">IF(OR($A376&gt;TOMATO_BED_CAP,$B376&gt;CARROT_BED_CAP,N$4&gt;MESCLUN_BED_CAP,$A376+$B376+N$4&gt;TOTAL_BEDS_AVAILABLE,($D376+N$5)&gt;TOTAL_LABOR_HOURS_CAP,MAX(0,($D376+N$5)-PERMANENT_FIELD_LABOR_HOURS)&gt;TEMP_HOURS_CAP),"",$C376+N$6-MIN(($D376+N$5),PERMANENT_FIELD_LABOR_HOURS)*PERMANENT_HOURLY_RATE-MAX(0,($D376+N$5)-PERMANENT_FIELD_LABOR_HOURS)*TEMP_HOURLY_RATE-FIXED_SEASON_COST)</f>
        <v/>
      </c>
      <c r="O376" s="53" t="str">
        <f aca="false">IF(OR($A376&gt;TOMATO_BED_CAP,$B376&gt;CARROT_BED_CAP,O$4&gt;MESCLUN_BED_CAP,$A376+$B376+O$4&gt;TOTAL_BEDS_AVAILABLE,($D376+O$5)&gt;TOTAL_LABOR_HOURS_CAP,MAX(0,($D376+O$5)-PERMANENT_FIELD_LABOR_HOURS)&gt;TEMP_HOURS_CAP),"",$C376+O$6-MIN(($D376+O$5),PERMANENT_FIELD_LABOR_HOURS)*PERMANENT_HOURLY_RATE-MAX(0,($D376+O$5)-PERMANENT_FIELD_LABOR_HOURS)*TEMP_HOURLY_RATE-FIXED_SEASON_COST)</f>
        <v/>
      </c>
      <c r="P376" s="53" t="str">
        <f aca="false">IF(OR($A376&gt;TOMATO_BED_CAP,$B376&gt;CARROT_BED_CAP,P$4&gt;MESCLUN_BED_CAP,$A376+$B376+P$4&gt;TOTAL_BEDS_AVAILABLE,($D376+P$5)&gt;TOTAL_LABOR_HOURS_CAP,MAX(0,($D376+P$5)-PERMANENT_FIELD_LABOR_HOURS)&gt;TEMP_HOURS_CAP),"",$C376+P$6-MIN(($D376+P$5),PERMANENT_FIELD_LABOR_HOURS)*PERMANENT_HOURLY_RATE-MAX(0,($D376+P$5)-PERMANENT_FIELD_LABOR_HOURS)*TEMP_HOURLY_RATE-FIXED_SEASON_COST)</f>
        <v/>
      </c>
      <c r="Q376" s="53" t="str">
        <f aca="false">IF(OR($A376&gt;TOMATO_BED_CAP,$B376&gt;CARROT_BED_CAP,Q$4&gt;MESCLUN_BED_CAP,$A376+$B376+Q$4&gt;TOTAL_BEDS_AVAILABLE,($D376+Q$5)&gt;TOTAL_LABOR_HOURS_CAP,MAX(0,($D376+Q$5)-PERMANENT_FIELD_LABOR_HOURS)&gt;TEMP_HOURS_CAP),"",$C376+Q$6-MIN(($D376+Q$5),PERMANENT_FIELD_LABOR_HOURS)*PERMANENT_HOURLY_RATE-MAX(0,($D376+Q$5)-PERMANENT_FIELD_LABOR_HOURS)*TEMP_HOURLY_RATE-FIXED_SEASON_COST)</f>
        <v/>
      </c>
      <c r="R376" s="53" t="str">
        <f aca="false">IF(OR($A376&gt;TOMATO_BED_CAP,$B376&gt;CARROT_BED_CAP,R$4&gt;MESCLUN_BED_CAP,$A376+$B376+R$4&gt;TOTAL_BEDS_AVAILABLE,($D376+R$5)&gt;TOTAL_LABOR_HOURS_CAP,MAX(0,($D376+R$5)-PERMANENT_FIELD_LABOR_HOURS)&gt;TEMP_HOURS_CAP),"",$C376+R$6-MIN(($D376+R$5),PERMANENT_FIELD_LABOR_HOURS)*PERMANENT_HOURLY_RATE-MAX(0,($D376+R$5)-PERMANENT_FIELD_LABOR_HOURS)*TEMP_HOURLY_RATE-FIXED_SEASON_COST)</f>
        <v/>
      </c>
      <c r="S376" s="53" t="str">
        <f aca="false">IF(OR($A376&gt;TOMATO_BED_CAP,$B376&gt;CARROT_BED_CAP,S$4&gt;MESCLUN_BED_CAP,$A376+$B376+S$4&gt;TOTAL_BEDS_AVAILABLE,($D376+S$5)&gt;TOTAL_LABOR_HOURS_CAP,MAX(0,($D376+S$5)-PERMANENT_FIELD_LABOR_HOURS)&gt;TEMP_HOURS_CAP),"",$C376+S$6-MIN(($D376+S$5),PERMANENT_FIELD_LABOR_HOURS)*PERMANENT_HOURLY_RATE-MAX(0,($D376+S$5)-PERMANENT_FIELD_LABOR_HOURS)*TEMP_HOURLY_RATE-FIXED_SEASON_COST)</f>
        <v/>
      </c>
      <c r="T376" s="53" t="str">
        <f aca="false">IF(OR($A376&gt;TOMATO_BED_CAP,$B376&gt;CARROT_BED_CAP,T$4&gt;MESCLUN_BED_CAP,$A376+$B376+T$4&gt;TOTAL_BEDS_AVAILABLE,($D376+T$5)&gt;TOTAL_LABOR_HOURS_CAP,MAX(0,($D376+T$5)-PERMANENT_FIELD_LABOR_HOURS)&gt;TEMP_HOURS_CAP),"",$C376+T$6-MIN(($D376+T$5),PERMANENT_FIELD_LABOR_HOURS)*PERMANENT_HOURLY_RATE-MAX(0,($D376+T$5)-PERMANENT_FIELD_LABOR_HOURS)*TEMP_HOURLY_RATE-FIXED_SEASON_COST)</f>
        <v/>
      </c>
      <c r="U376" s="53" t="str">
        <f aca="false">IF(OR($A376&gt;TOMATO_BED_CAP,$B376&gt;CARROT_BED_CAP,U$4&gt;MESCLUN_BED_CAP,$A376+$B376+U$4&gt;TOTAL_BEDS_AVAILABLE,($D376+U$5)&gt;TOTAL_LABOR_HOURS_CAP,MAX(0,($D376+U$5)-PERMANENT_FIELD_LABOR_HOURS)&gt;TEMP_HOURS_CAP),"",$C376+U$6-MIN(($D376+U$5),PERMANENT_FIELD_LABOR_HOURS)*PERMANENT_HOURLY_RATE-MAX(0,($D376+U$5)-PERMANENT_FIELD_LABOR_HOURS)*TEMP_HOURLY_RATE-FIXED_SEASON_COST)</f>
        <v/>
      </c>
      <c r="V376" s="53" t="str">
        <f aca="false">IF(OR($A376&gt;TOMATO_BED_CAP,$B376&gt;CARROT_BED_CAP,V$4&gt;MESCLUN_BED_CAP,$A376+$B376+V$4&gt;TOTAL_BEDS_AVAILABLE,($D376+V$5)&gt;TOTAL_LABOR_HOURS_CAP,MAX(0,($D376+V$5)-PERMANENT_FIELD_LABOR_HOURS)&gt;TEMP_HOURS_CAP),"",$C376+V$6-MIN(($D376+V$5),PERMANENT_FIELD_LABOR_HOURS)*PERMANENT_HOURLY_RATE-MAX(0,($D376+V$5)-PERMANENT_FIELD_LABOR_HOURS)*TEMP_HOURLY_RATE-FIXED_SEASON_COST)</f>
        <v/>
      </c>
      <c r="W376" s="53" t="str">
        <f aca="false">IF(OR($A376&gt;TOMATO_BED_CAP,$B376&gt;CARROT_BED_CAP,W$4&gt;MESCLUN_BED_CAP,$A376+$B376+W$4&gt;TOTAL_BEDS_AVAILABLE,($D376+W$5)&gt;TOTAL_LABOR_HOURS_CAP,MAX(0,($D376+W$5)-PERMANENT_FIELD_LABOR_HOURS)&gt;TEMP_HOURS_CAP),"",$C376+W$6-MIN(($D376+W$5),PERMANENT_FIELD_LABOR_HOURS)*PERMANENT_HOURLY_RATE-MAX(0,($D376+W$5)-PERMANENT_FIELD_LABOR_HOURS)*TEMP_HOURLY_RATE-FIXED_SEASON_COST)</f>
        <v/>
      </c>
      <c r="X376" s="53" t="str">
        <f aca="false">IF(OR($A376&gt;TOMATO_BED_CAP,$B376&gt;CARROT_BED_CAP,X$4&gt;MESCLUN_BED_CAP,$A376+$B376+X$4&gt;TOTAL_BEDS_AVAILABLE,($D376+X$5)&gt;TOTAL_LABOR_HOURS_CAP,MAX(0,($D376+X$5)-PERMANENT_FIELD_LABOR_HOURS)&gt;TEMP_HOURS_CAP),"",$C376+X$6-MIN(($D376+X$5),PERMANENT_FIELD_LABOR_HOURS)*PERMANENT_HOURLY_RATE-MAX(0,($D376+X$5)-PERMANENT_FIELD_LABOR_HOURS)*TEMP_HOURLY_RATE-FIXED_SEASON_COST)</f>
        <v/>
      </c>
      <c r="Y376" s="53" t="str">
        <f aca="false">IF(OR($A376&gt;TOMATO_BED_CAP,$B376&gt;CARROT_BED_CAP,Y$4&gt;MESCLUN_BED_CAP,$A376+$B376+Y$4&gt;TOTAL_BEDS_AVAILABLE,($D376+Y$5)&gt;TOTAL_LABOR_HOURS_CAP,MAX(0,($D376+Y$5)-PERMANENT_FIELD_LABOR_HOURS)&gt;TEMP_HOURS_CAP),"",$C376+Y$6-MIN(($D376+Y$5),PERMANENT_FIELD_LABOR_HOURS)*PERMANENT_HOURLY_RATE-MAX(0,($D376+Y$5)-PERMANENT_FIELD_LABOR_HOURS)*TEMP_HOURLY_RATE-FIXED_SEASON_COST)</f>
        <v/>
      </c>
      <c r="Z376" s="53" t="str">
        <f aca="false">IF(OR($A376&gt;TOMATO_BED_CAP,$B376&gt;CARROT_BED_CAP,Z$4&gt;MESCLUN_BED_CAP,$A376+$B376+Z$4&gt;TOTAL_BEDS_AVAILABLE,($D376+Z$5)&gt;TOTAL_LABOR_HOURS_CAP,MAX(0,($D376+Z$5)-PERMANENT_FIELD_LABOR_HOURS)&gt;TEMP_HOURS_CAP),"",$C376+Z$6-MIN(($D376+Z$5),PERMANENT_FIELD_LABOR_HOURS)*PERMANENT_HOURLY_RATE-MAX(0,($D376+Z$5)-PERMANENT_FIELD_LABOR_HOURS)*TEMP_HOURLY_RATE-FIXED_SEASON_COST)</f>
        <v/>
      </c>
      <c r="AA376" s="53" t="str">
        <f aca="false">IF(OR($A376&gt;TOMATO_BED_CAP,$B376&gt;CARROT_BED_CAP,AA$4&gt;MESCLUN_BED_CAP,$A376+$B376+AA$4&gt;TOTAL_BEDS_AVAILABLE,($D376+AA$5)&gt;TOTAL_LABOR_HOURS_CAP,MAX(0,($D376+AA$5)-PERMANENT_FIELD_LABOR_HOURS)&gt;TEMP_HOURS_CAP),"",$C376+AA$6-MIN(($D376+AA$5),PERMANENT_FIELD_LABOR_HOURS)*PERMANENT_HOURLY_RATE-MAX(0,($D376+AA$5)-PERMANENT_FIELD_LABOR_HOURS)*TEMP_HOURLY_RATE-FIXED_SEASON_COST)</f>
        <v/>
      </c>
      <c r="AB376" s="53" t="str">
        <f aca="false">IF(OR($A376&gt;TOMATO_BED_CAP,$B376&gt;CARROT_BED_CAP,AB$4&gt;MESCLUN_BED_CAP,$A376+$B376+AB$4&gt;TOTAL_BEDS_AVAILABLE,($D376+AB$5)&gt;TOTAL_LABOR_HOURS_CAP,MAX(0,($D376+AB$5)-PERMANENT_FIELD_LABOR_HOURS)&gt;TEMP_HOURS_CAP),"",$C376+AB$6-MIN(($D376+AB$5),PERMANENT_FIELD_LABOR_HOURS)*PERMANENT_HOURLY_RATE-MAX(0,($D376+AB$5)-PERMANENT_FIELD_LABOR_HOURS)*TEMP_HOURLY_RATE-FIXED_SEASON_COST)</f>
        <v/>
      </c>
      <c r="AC376" s="53" t="str">
        <f aca="false">IF(OR($A376&gt;TOMATO_BED_CAP,$B376&gt;CARROT_BED_CAP,AC$4&gt;MESCLUN_BED_CAP,$A376+$B376+AC$4&gt;TOTAL_BEDS_AVAILABLE,($D376+AC$5)&gt;TOTAL_LABOR_HOURS_CAP,MAX(0,($D376+AC$5)-PERMANENT_FIELD_LABOR_HOURS)&gt;TEMP_HOURS_CAP),"",$C376+AC$6-MIN(($D376+AC$5),PERMANENT_FIELD_LABOR_HOURS)*PERMANENT_HOURLY_RATE-MAX(0,($D376+AC$5)-PERMANENT_FIELD_LABOR_HOURS)*TEMP_HOURLY_RATE-FIXED_SEASON_COST)</f>
        <v/>
      </c>
      <c r="AD376" s="53" t="str">
        <f aca="false">IF(OR($A376&gt;TOMATO_BED_CAP,$B376&gt;CARROT_BED_CAP,AD$4&gt;MESCLUN_BED_CAP,$A376+$B376+AD$4&gt;TOTAL_BEDS_AVAILABLE,($D376+AD$5)&gt;TOTAL_LABOR_HOURS_CAP,MAX(0,($D376+AD$5)-PERMANENT_FIELD_LABOR_HOURS)&gt;TEMP_HOURS_CAP),"",$C376+AD$6-MIN(($D376+AD$5),PERMANENT_FIELD_LABOR_HOURS)*PERMANENT_HOURLY_RATE-MAX(0,($D376+AD$5)-PERMANENT_FIELD_LABOR_HOURS)*TEMP_HOURLY_RATE-FIXED_SEASON_COST)</f>
        <v/>
      </c>
      <c r="AE376" s="53" t="str">
        <f aca="false">IF(OR($A376&gt;TOMATO_BED_CAP,$B376&gt;CARROT_BED_CAP,AE$4&gt;MESCLUN_BED_CAP,$A376+$B376+AE$4&gt;TOTAL_BEDS_AVAILABLE,($D376+AE$5)&gt;TOTAL_LABOR_HOURS_CAP,MAX(0,($D376+AE$5)-PERMANENT_FIELD_LABOR_HOURS)&gt;TEMP_HOURS_CAP),"",$C376+AE$6-MIN(($D376+AE$5),PERMANENT_FIELD_LABOR_HOURS)*PERMANENT_HOURLY_RATE-MAX(0,($D376+AE$5)-PERMANENT_FIELD_LABOR_HOURS)*TEMP_HOURLY_RATE-FIXED_SEASON_COST)</f>
        <v/>
      </c>
      <c r="AF376" s="53" t="str">
        <f aca="false">IF(OR($A376&gt;TOMATO_BED_CAP,$B376&gt;CARROT_BED_CAP,AF$4&gt;MESCLUN_BED_CAP,$A376+$B376+AF$4&gt;TOTAL_BEDS_AVAILABLE,($D376+AF$5)&gt;TOTAL_LABOR_HOURS_CAP,MAX(0,($D376+AF$5)-PERMANENT_FIELD_LABOR_HOURS)&gt;TEMP_HOURS_CAP),"",$C376+AF$6-MIN(($D376+AF$5),PERMANENT_FIELD_LABOR_HOURS)*PERMANENT_HOURLY_RATE-MAX(0,($D376+AF$5)-PERMANENT_FIELD_LABOR_HOURS)*TEMP_HOURLY_RATE-FIXED_SEASON_COST)</f>
        <v/>
      </c>
      <c r="AG376" s="53" t="str">
        <f aca="false">IF(OR($A376&gt;TOMATO_BED_CAP,$B376&gt;CARROT_BED_CAP,AG$4&gt;MESCLUN_BED_CAP,$A376+$B376+AG$4&gt;TOTAL_BEDS_AVAILABLE,($D376+AG$5)&gt;TOTAL_LABOR_HOURS_CAP,MAX(0,($D376+AG$5)-PERMANENT_FIELD_LABOR_HOURS)&gt;TEMP_HOURS_CAP),"",$C376+AG$6-MIN(($D376+AG$5),PERMANENT_FIELD_LABOR_HOURS)*PERMANENT_HOURLY_RATE-MAX(0,($D376+AG$5)-PERMANENT_FIELD_LABOR_HOURS)*TEMP_HOURLY_RATE-FIXED_SEASON_COST)</f>
        <v/>
      </c>
      <c r="AH376" s="53" t="str">
        <f aca="false">IF(OR($A376&gt;TOMATO_BED_CAP,$B376&gt;CARROT_BED_CAP,AH$4&gt;MESCLUN_BED_CAP,$A376+$B376+AH$4&gt;TOTAL_BEDS_AVAILABLE,($D376+AH$5)&gt;TOTAL_LABOR_HOURS_CAP,MAX(0,($D376+AH$5)-PERMANENT_FIELD_LABOR_HOURS)&gt;TEMP_HOURS_CAP),"",$C376+AH$6-MIN(($D376+AH$5),PERMANENT_FIELD_LABOR_HOURS)*PERMANENT_HOURLY_RATE-MAX(0,($D376+AH$5)-PERMANENT_FIELD_LABOR_HOURS)*TEMP_HOURLY_RATE-FIXED_SEASON_COST)</f>
        <v/>
      </c>
      <c r="AI376" s="53" t="str">
        <f aca="false">IF(OR($A376&gt;TOMATO_BED_CAP,$B376&gt;CARROT_BED_CAP,AI$4&gt;MESCLUN_BED_CAP,$A376+$B376+AI$4&gt;TOTAL_BEDS_AVAILABLE,($D376+AI$5)&gt;TOTAL_LABOR_HOURS_CAP,MAX(0,($D376+AI$5)-PERMANENT_FIELD_LABOR_HOURS)&gt;TEMP_HOURS_CAP),"",$C376+AI$6-MIN(($D376+AI$5),PERMANENT_FIELD_LABOR_HOURS)*PERMANENT_HOURLY_RATE-MAX(0,($D376+AI$5)-PERMANENT_FIELD_LABOR_HOURS)*TEMP_HOURLY_RATE-FIXED_SEASON_COST)</f>
        <v/>
      </c>
      <c r="AJ376" s="53" t="str">
        <f aca="false">IF(OR($A376&gt;TOMATO_BED_CAP,$B376&gt;CARROT_BED_CAP,AJ$4&gt;MESCLUN_BED_CAP,$A376+$B376+AJ$4&gt;TOTAL_BEDS_AVAILABLE,($D376+AJ$5)&gt;TOTAL_LABOR_HOURS_CAP,MAX(0,($D376+AJ$5)-PERMANENT_FIELD_LABOR_HOURS)&gt;TEMP_HOURS_CAP),"",$C376+AJ$6-MIN(($D376+AJ$5),PERMANENT_FIELD_LABOR_HOURS)*PERMANENT_HOURLY_RATE-MAX(0,($D376+AJ$5)-PERMANENT_FIELD_LABOR_HOURS)*TEMP_HOURLY_RATE-FIXED_SEASON_COST)</f>
        <v/>
      </c>
    </row>
    <row r="377" customFormat="false" ht="15" hidden="false" customHeight="false" outlineLevel="0" collapsed="false">
      <c r="A377" s="21" t="n">
        <f aca="false">INT((ROW()-ROW($A$8))/(20+1))</f>
        <v>17</v>
      </c>
      <c r="B377" s="21" t="n">
        <f aca="false">MOD(ROW()-ROW($A$8),20+1)</f>
        <v>12</v>
      </c>
      <c r="C377" s="13" t="n">
        <f aca="false">A377*(TOMATO_REVENUE_PER_BED-TOMATO_FERTILIZER_PER_BED)+B377*(CARROT_REVENUE_PER_BED-CARROT_FERTILIZER_PER_BED)</f>
        <v>154488</v>
      </c>
      <c r="D377" s="14" t="n">
        <f aca="false">INDEX(TOMATO_SCHED_LABOR_HRS,A377+1)+INDEX(CARROT_SCHED_LABOR_HRS,B377+1)</f>
        <v>8217.30584877718</v>
      </c>
      <c r="E377" s="13" t="str">
        <f aca="false">IF(COUNT(F377:AJ377)=0,"",MAX(F377:AJ377))</f>
        <v/>
      </c>
      <c r="F377" s="53" t="str">
        <f aca="false">IF(OR($A377&gt;TOMATO_BED_CAP,$B377&gt;CARROT_BED_CAP,F$4&gt;MESCLUN_BED_CAP,$A377+$B377+F$4&gt;TOTAL_BEDS_AVAILABLE,($D377+F$5)&gt;TOTAL_LABOR_HOURS_CAP,MAX(0,($D377+F$5)-PERMANENT_FIELD_LABOR_HOURS)&gt;TEMP_HOURS_CAP),"",$C377+F$6-MIN(($D377+F$5),PERMANENT_FIELD_LABOR_HOURS)*PERMANENT_HOURLY_RATE-MAX(0,($D377+F$5)-PERMANENT_FIELD_LABOR_HOURS)*TEMP_HOURLY_RATE-FIXED_SEASON_COST)</f>
        <v/>
      </c>
      <c r="G377" s="53" t="str">
        <f aca="false">IF(OR($A377&gt;TOMATO_BED_CAP,$B377&gt;CARROT_BED_CAP,G$4&gt;MESCLUN_BED_CAP,$A377+$B377+G$4&gt;TOTAL_BEDS_AVAILABLE,($D377+G$5)&gt;TOTAL_LABOR_HOURS_CAP,MAX(0,($D377+G$5)-PERMANENT_FIELD_LABOR_HOURS)&gt;TEMP_HOURS_CAP),"",$C377+G$6-MIN(($D377+G$5),PERMANENT_FIELD_LABOR_HOURS)*PERMANENT_HOURLY_RATE-MAX(0,($D377+G$5)-PERMANENT_FIELD_LABOR_HOURS)*TEMP_HOURLY_RATE-FIXED_SEASON_COST)</f>
        <v/>
      </c>
      <c r="H377" s="53" t="str">
        <f aca="false">IF(OR($A377&gt;TOMATO_BED_CAP,$B377&gt;CARROT_BED_CAP,H$4&gt;MESCLUN_BED_CAP,$A377+$B377+H$4&gt;TOTAL_BEDS_AVAILABLE,($D377+H$5)&gt;TOTAL_LABOR_HOURS_CAP,MAX(0,($D377+H$5)-PERMANENT_FIELD_LABOR_HOURS)&gt;TEMP_HOURS_CAP),"",$C377+H$6-MIN(($D377+H$5),PERMANENT_FIELD_LABOR_HOURS)*PERMANENT_HOURLY_RATE-MAX(0,($D377+H$5)-PERMANENT_FIELD_LABOR_HOURS)*TEMP_HOURLY_RATE-FIXED_SEASON_COST)</f>
        <v/>
      </c>
      <c r="I377" s="53" t="str">
        <f aca="false">IF(OR($A377&gt;TOMATO_BED_CAP,$B377&gt;CARROT_BED_CAP,I$4&gt;MESCLUN_BED_CAP,$A377+$B377+I$4&gt;TOTAL_BEDS_AVAILABLE,($D377+I$5)&gt;TOTAL_LABOR_HOURS_CAP,MAX(0,($D377+I$5)-PERMANENT_FIELD_LABOR_HOURS)&gt;TEMP_HOURS_CAP),"",$C377+I$6-MIN(($D377+I$5),PERMANENT_FIELD_LABOR_HOURS)*PERMANENT_HOURLY_RATE-MAX(0,($D377+I$5)-PERMANENT_FIELD_LABOR_HOURS)*TEMP_HOURLY_RATE-FIXED_SEASON_COST)</f>
        <v/>
      </c>
      <c r="J377" s="53" t="str">
        <f aca="false">IF(OR($A377&gt;TOMATO_BED_CAP,$B377&gt;CARROT_BED_CAP,J$4&gt;MESCLUN_BED_CAP,$A377+$B377+J$4&gt;TOTAL_BEDS_AVAILABLE,($D377+J$5)&gt;TOTAL_LABOR_HOURS_CAP,MAX(0,($D377+J$5)-PERMANENT_FIELD_LABOR_HOURS)&gt;TEMP_HOURS_CAP),"",$C377+J$6-MIN(($D377+J$5),PERMANENT_FIELD_LABOR_HOURS)*PERMANENT_HOURLY_RATE-MAX(0,($D377+J$5)-PERMANENT_FIELD_LABOR_HOURS)*TEMP_HOURLY_RATE-FIXED_SEASON_COST)</f>
        <v/>
      </c>
      <c r="K377" s="53" t="str">
        <f aca="false">IF(OR($A377&gt;TOMATO_BED_CAP,$B377&gt;CARROT_BED_CAP,K$4&gt;MESCLUN_BED_CAP,$A377+$B377+K$4&gt;TOTAL_BEDS_AVAILABLE,($D377+K$5)&gt;TOTAL_LABOR_HOURS_CAP,MAX(0,($D377+K$5)-PERMANENT_FIELD_LABOR_HOURS)&gt;TEMP_HOURS_CAP),"",$C377+K$6-MIN(($D377+K$5),PERMANENT_FIELD_LABOR_HOURS)*PERMANENT_HOURLY_RATE-MAX(0,($D377+K$5)-PERMANENT_FIELD_LABOR_HOURS)*TEMP_HOURLY_RATE-FIXED_SEASON_COST)</f>
        <v/>
      </c>
      <c r="L377" s="53" t="str">
        <f aca="false">IF(OR($A377&gt;TOMATO_BED_CAP,$B377&gt;CARROT_BED_CAP,L$4&gt;MESCLUN_BED_CAP,$A377+$B377+L$4&gt;TOTAL_BEDS_AVAILABLE,($D377+L$5)&gt;TOTAL_LABOR_HOURS_CAP,MAX(0,($D377+L$5)-PERMANENT_FIELD_LABOR_HOURS)&gt;TEMP_HOURS_CAP),"",$C377+L$6-MIN(($D377+L$5),PERMANENT_FIELD_LABOR_HOURS)*PERMANENT_HOURLY_RATE-MAX(0,($D377+L$5)-PERMANENT_FIELD_LABOR_HOURS)*TEMP_HOURLY_RATE-FIXED_SEASON_COST)</f>
        <v/>
      </c>
      <c r="M377" s="53" t="str">
        <f aca="false">IF(OR($A377&gt;TOMATO_BED_CAP,$B377&gt;CARROT_BED_CAP,M$4&gt;MESCLUN_BED_CAP,$A377+$B377+M$4&gt;TOTAL_BEDS_AVAILABLE,($D377+M$5)&gt;TOTAL_LABOR_HOURS_CAP,MAX(0,($D377+M$5)-PERMANENT_FIELD_LABOR_HOURS)&gt;TEMP_HOURS_CAP),"",$C377+M$6-MIN(($D377+M$5),PERMANENT_FIELD_LABOR_HOURS)*PERMANENT_HOURLY_RATE-MAX(0,($D377+M$5)-PERMANENT_FIELD_LABOR_HOURS)*TEMP_HOURLY_RATE-FIXED_SEASON_COST)</f>
        <v/>
      </c>
      <c r="N377" s="53" t="str">
        <f aca="false">IF(OR($A377&gt;TOMATO_BED_CAP,$B377&gt;CARROT_BED_CAP,N$4&gt;MESCLUN_BED_CAP,$A377+$B377+N$4&gt;TOTAL_BEDS_AVAILABLE,($D377+N$5)&gt;TOTAL_LABOR_HOURS_CAP,MAX(0,($D377+N$5)-PERMANENT_FIELD_LABOR_HOURS)&gt;TEMP_HOURS_CAP),"",$C377+N$6-MIN(($D377+N$5),PERMANENT_FIELD_LABOR_HOURS)*PERMANENT_HOURLY_RATE-MAX(0,($D377+N$5)-PERMANENT_FIELD_LABOR_HOURS)*TEMP_HOURLY_RATE-FIXED_SEASON_COST)</f>
        <v/>
      </c>
      <c r="O377" s="53" t="str">
        <f aca="false">IF(OR($A377&gt;TOMATO_BED_CAP,$B377&gt;CARROT_BED_CAP,O$4&gt;MESCLUN_BED_CAP,$A377+$B377+O$4&gt;TOTAL_BEDS_AVAILABLE,($D377+O$5)&gt;TOTAL_LABOR_HOURS_CAP,MAX(0,($D377+O$5)-PERMANENT_FIELD_LABOR_HOURS)&gt;TEMP_HOURS_CAP),"",$C377+O$6-MIN(($D377+O$5),PERMANENT_FIELD_LABOR_HOURS)*PERMANENT_HOURLY_RATE-MAX(0,($D377+O$5)-PERMANENT_FIELD_LABOR_HOURS)*TEMP_HOURLY_RATE-FIXED_SEASON_COST)</f>
        <v/>
      </c>
      <c r="P377" s="53" t="str">
        <f aca="false">IF(OR($A377&gt;TOMATO_BED_CAP,$B377&gt;CARROT_BED_CAP,P$4&gt;MESCLUN_BED_CAP,$A377+$B377+P$4&gt;TOTAL_BEDS_AVAILABLE,($D377+P$5)&gt;TOTAL_LABOR_HOURS_CAP,MAX(0,($D377+P$5)-PERMANENT_FIELD_LABOR_HOURS)&gt;TEMP_HOURS_CAP),"",$C377+P$6-MIN(($D377+P$5),PERMANENT_FIELD_LABOR_HOURS)*PERMANENT_HOURLY_RATE-MAX(0,($D377+P$5)-PERMANENT_FIELD_LABOR_HOURS)*TEMP_HOURLY_RATE-FIXED_SEASON_COST)</f>
        <v/>
      </c>
      <c r="Q377" s="53" t="str">
        <f aca="false">IF(OR($A377&gt;TOMATO_BED_CAP,$B377&gt;CARROT_BED_CAP,Q$4&gt;MESCLUN_BED_CAP,$A377+$B377+Q$4&gt;TOTAL_BEDS_AVAILABLE,($D377+Q$5)&gt;TOTAL_LABOR_HOURS_CAP,MAX(0,($D377+Q$5)-PERMANENT_FIELD_LABOR_HOURS)&gt;TEMP_HOURS_CAP),"",$C377+Q$6-MIN(($D377+Q$5),PERMANENT_FIELD_LABOR_HOURS)*PERMANENT_HOURLY_RATE-MAX(0,($D377+Q$5)-PERMANENT_FIELD_LABOR_HOURS)*TEMP_HOURLY_RATE-FIXED_SEASON_COST)</f>
        <v/>
      </c>
      <c r="R377" s="53" t="str">
        <f aca="false">IF(OR($A377&gt;TOMATO_BED_CAP,$B377&gt;CARROT_BED_CAP,R$4&gt;MESCLUN_BED_CAP,$A377+$B377+R$4&gt;TOTAL_BEDS_AVAILABLE,($D377+R$5)&gt;TOTAL_LABOR_HOURS_CAP,MAX(0,($D377+R$5)-PERMANENT_FIELD_LABOR_HOURS)&gt;TEMP_HOURS_CAP),"",$C377+R$6-MIN(($D377+R$5),PERMANENT_FIELD_LABOR_HOURS)*PERMANENT_HOURLY_RATE-MAX(0,($D377+R$5)-PERMANENT_FIELD_LABOR_HOURS)*TEMP_HOURLY_RATE-FIXED_SEASON_COST)</f>
        <v/>
      </c>
      <c r="S377" s="53" t="str">
        <f aca="false">IF(OR($A377&gt;TOMATO_BED_CAP,$B377&gt;CARROT_BED_CAP,S$4&gt;MESCLUN_BED_CAP,$A377+$B377+S$4&gt;TOTAL_BEDS_AVAILABLE,($D377+S$5)&gt;TOTAL_LABOR_HOURS_CAP,MAX(0,($D377+S$5)-PERMANENT_FIELD_LABOR_HOURS)&gt;TEMP_HOURS_CAP),"",$C377+S$6-MIN(($D377+S$5),PERMANENT_FIELD_LABOR_HOURS)*PERMANENT_HOURLY_RATE-MAX(0,($D377+S$5)-PERMANENT_FIELD_LABOR_HOURS)*TEMP_HOURLY_RATE-FIXED_SEASON_COST)</f>
        <v/>
      </c>
      <c r="T377" s="53" t="str">
        <f aca="false">IF(OR($A377&gt;TOMATO_BED_CAP,$B377&gt;CARROT_BED_CAP,T$4&gt;MESCLUN_BED_CAP,$A377+$B377+T$4&gt;TOTAL_BEDS_AVAILABLE,($D377+T$5)&gt;TOTAL_LABOR_HOURS_CAP,MAX(0,($D377+T$5)-PERMANENT_FIELD_LABOR_HOURS)&gt;TEMP_HOURS_CAP),"",$C377+T$6-MIN(($D377+T$5),PERMANENT_FIELD_LABOR_HOURS)*PERMANENT_HOURLY_RATE-MAX(0,($D377+T$5)-PERMANENT_FIELD_LABOR_HOURS)*TEMP_HOURLY_RATE-FIXED_SEASON_COST)</f>
        <v/>
      </c>
      <c r="U377" s="53" t="str">
        <f aca="false">IF(OR($A377&gt;TOMATO_BED_CAP,$B377&gt;CARROT_BED_CAP,U$4&gt;MESCLUN_BED_CAP,$A377+$B377+U$4&gt;TOTAL_BEDS_AVAILABLE,($D377+U$5)&gt;TOTAL_LABOR_HOURS_CAP,MAX(0,($D377+U$5)-PERMANENT_FIELD_LABOR_HOURS)&gt;TEMP_HOURS_CAP),"",$C377+U$6-MIN(($D377+U$5),PERMANENT_FIELD_LABOR_HOURS)*PERMANENT_HOURLY_RATE-MAX(0,($D377+U$5)-PERMANENT_FIELD_LABOR_HOURS)*TEMP_HOURLY_RATE-FIXED_SEASON_COST)</f>
        <v/>
      </c>
      <c r="V377" s="53" t="str">
        <f aca="false">IF(OR($A377&gt;TOMATO_BED_CAP,$B377&gt;CARROT_BED_CAP,V$4&gt;MESCLUN_BED_CAP,$A377+$B377+V$4&gt;TOTAL_BEDS_AVAILABLE,($D377+V$5)&gt;TOTAL_LABOR_HOURS_CAP,MAX(0,($D377+V$5)-PERMANENT_FIELD_LABOR_HOURS)&gt;TEMP_HOURS_CAP),"",$C377+V$6-MIN(($D377+V$5),PERMANENT_FIELD_LABOR_HOURS)*PERMANENT_HOURLY_RATE-MAX(0,($D377+V$5)-PERMANENT_FIELD_LABOR_HOURS)*TEMP_HOURLY_RATE-FIXED_SEASON_COST)</f>
        <v/>
      </c>
      <c r="W377" s="53" t="str">
        <f aca="false">IF(OR($A377&gt;TOMATO_BED_CAP,$B377&gt;CARROT_BED_CAP,W$4&gt;MESCLUN_BED_CAP,$A377+$B377+W$4&gt;TOTAL_BEDS_AVAILABLE,($D377+W$5)&gt;TOTAL_LABOR_HOURS_CAP,MAX(0,($D377+W$5)-PERMANENT_FIELD_LABOR_HOURS)&gt;TEMP_HOURS_CAP),"",$C377+W$6-MIN(($D377+W$5),PERMANENT_FIELD_LABOR_HOURS)*PERMANENT_HOURLY_RATE-MAX(0,($D377+W$5)-PERMANENT_FIELD_LABOR_HOURS)*TEMP_HOURLY_RATE-FIXED_SEASON_COST)</f>
        <v/>
      </c>
      <c r="X377" s="53" t="str">
        <f aca="false">IF(OR($A377&gt;TOMATO_BED_CAP,$B377&gt;CARROT_BED_CAP,X$4&gt;MESCLUN_BED_CAP,$A377+$B377+X$4&gt;TOTAL_BEDS_AVAILABLE,($D377+X$5)&gt;TOTAL_LABOR_HOURS_CAP,MAX(0,($D377+X$5)-PERMANENT_FIELD_LABOR_HOURS)&gt;TEMP_HOURS_CAP),"",$C377+X$6-MIN(($D377+X$5),PERMANENT_FIELD_LABOR_HOURS)*PERMANENT_HOURLY_RATE-MAX(0,($D377+X$5)-PERMANENT_FIELD_LABOR_HOURS)*TEMP_HOURLY_RATE-FIXED_SEASON_COST)</f>
        <v/>
      </c>
      <c r="Y377" s="53" t="str">
        <f aca="false">IF(OR($A377&gt;TOMATO_BED_CAP,$B377&gt;CARROT_BED_CAP,Y$4&gt;MESCLUN_BED_CAP,$A377+$B377+Y$4&gt;TOTAL_BEDS_AVAILABLE,($D377+Y$5)&gt;TOTAL_LABOR_HOURS_CAP,MAX(0,($D377+Y$5)-PERMANENT_FIELD_LABOR_HOURS)&gt;TEMP_HOURS_CAP),"",$C377+Y$6-MIN(($D377+Y$5),PERMANENT_FIELD_LABOR_HOURS)*PERMANENT_HOURLY_RATE-MAX(0,($D377+Y$5)-PERMANENT_FIELD_LABOR_HOURS)*TEMP_HOURLY_RATE-FIXED_SEASON_COST)</f>
        <v/>
      </c>
      <c r="Z377" s="53" t="str">
        <f aca="false">IF(OR($A377&gt;TOMATO_BED_CAP,$B377&gt;CARROT_BED_CAP,Z$4&gt;MESCLUN_BED_CAP,$A377+$B377+Z$4&gt;TOTAL_BEDS_AVAILABLE,($D377+Z$5)&gt;TOTAL_LABOR_HOURS_CAP,MAX(0,($D377+Z$5)-PERMANENT_FIELD_LABOR_HOURS)&gt;TEMP_HOURS_CAP),"",$C377+Z$6-MIN(($D377+Z$5),PERMANENT_FIELD_LABOR_HOURS)*PERMANENT_HOURLY_RATE-MAX(0,($D377+Z$5)-PERMANENT_FIELD_LABOR_HOURS)*TEMP_HOURLY_RATE-FIXED_SEASON_COST)</f>
        <v/>
      </c>
      <c r="AA377" s="53" t="str">
        <f aca="false">IF(OR($A377&gt;TOMATO_BED_CAP,$B377&gt;CARROT_BED_CAP,AA$4&gt;MESCLUN_BED_CAP,$A377+$B377+AA$4&gt;TOTAL_BEDS_AVAILABLE,($D377+AA$5)&gt;TOTAL_LABOR_HOURS_CAP,MAX(0,($D377+AA$5)-PERMANENT_FIELD_LABOR_HOURS)&gt;TEMP_HOURS_CAP),"",$C377+AA$6-MIN(($D377+AA$5),PERMANENT_FIELD_LABOR_HOURS)*PERMANENT_HOURLY_RATE-MAX(0,($D377+AA$5)-PERMANENT_FIELD_LABOR_HOURS)*TEMP_HOURLY_RATE-FIXED_SEASON_COST)</f>
        <v/>
      </c>
      <c r="AB377" s="53" t="str">
        <f aca="false">IF(OR($A377&gt;TOMATO_BED_CAP,$B377&gt;CARROT_BED_CAP,AB$4&gt;MESCLUN_BED_CAP,$A377+$B377+AB$4&gt;TOTAL_BEDS_AVAILABLE,($D377+AB$5)&gt;TOTAL_LABOR_HOURS_CAP,MAX(0,($D377+AB$5)-PERMANENT_FIELD_LABOR_HOURS)&gt;TEMP_HOURS_CAP),"",$C377+AB$6-MIN(($D377+AB$5),PERMANENT_FIELD_LABOR_HOURS)*PERMANENT_HOURLY_RATE-MAX(0,($D377+AB$5)-PERMANENT_FIELD_LABOR_HOURS)*TEMP_HOURLY_RATE-FIXED_SEASON_COST)</f>
        <v/>
      </c>
      <c r="AC377" s="53" t="str">
        <f aca="false">IF(OR($A377&gt;TOMATO_BED_CAP,$B377&gt;CARROT_BED_CAP,AC$4&gt;MESCLUN_BED_CAP,$A377+$B377+AC$4&gt;TOTAL_BEDS_AVAILABLE,($D377+AC$5)&gt;TOTAL_LABOR_HOURS_CAP,MAX(0,($D377+AC$5)-PERMANENT_FIELD_LABOR_HOURS)&gt;TEMP_HOURS_CAP),"",$C377+AC$6-MIN(($D377+AC$5),PERMANENT_FIELD_LABOR_HOURS)*PERMANENT_HOURLY_RATE-MAX(0,($D377+AC$5)-PERMANENT_FIELD_LABOR_HOURS)*TEMP_HOURLY_RATE-FIXED_SEASON_COST)</f>
        <v/>
      </c>
      <c r="AD377" s="53" t="str">
        <f aca="false">IF(OR($A377&gt;TOMATO_BED_CAP,$B377&gt;CARROT_BED_CAP,AD$4&gt;MESCLUN_BED_CAP,$A377+$B377+AD$4&gt;TOTAL_BEDS_AVAILABLE,($D377+AD$5)&gt;TOTAL_LABOR_HOURS_CAP,MAX(0,($D377+AD$5)-PERMANENT_FIELD_LABOR_HOURS)&gt;TEMP_HOURS_CAP),"",$C377+AD$6-MIN(($D377+AD$5),PERMANENT_FIELD_LABOR_HOURS)*PERMANENT_HOURLY_RATE-MAX(0,($D377+AD$5)-PERMANENT_FIELD_LABOR_HOURS)*TEMP_HOURLY_RATE-FIXED_SEASON_COST)</f>
        <v/>
      </c>
      <c r="AE377" s="53" t="str">
        <f aca="false">IF(OR($A377&gt;TOMATO_BED_CAP,$B377&gt;CARROT_BED_CAP,AE$4&gt;MESCLUN_BED_CAP,$A377+$B377+AE$4&gt;TOTAL_BEDS_AVAILABLE,($D377+AE$5)&gt;TOTAL_LABOR_HOURS_CAP,MAX(0,($D377+AE$5)-PERMANENT_FIELD_LABOR_HOURS)&gt;TEMP_HOURS_CAP),"",$C377+AE$6-MIN(($D377+AE$5),PERMANENT_FIELD_LABOR_HOURS)*PERMANENT_HOURLY_RATE-MAX(0,($D377+AE$5)-PERMANENT_FIELD_LABOR_HOURS)*TEMP_HOURLY_RATE-FIXED_SEASON_COST)</f>
        <v/>
      </c>
      <c r="AF377" s="53" t="str">
        <f aca="false">IF(OR($A377&gt;TOMATO_BED_CAP,$B377&gt;CARROT_BED_CAP,AF$4&gt;MESCLUN_BED_CAP,$A377+$B377+AF$4&gt;TOTAL_BEDS_AVAILABLE,($D377+AF$5)&gt;TOTAL_LABOR_HOURS_CAP,MAX(0,($D377+AF$5)-PERMANENT_FIELD_LABOR_HOURS)&gt;TEMP_HOURS_CAP),"",$C377+AF$6-MIN(($D377+AF$5),PERMANENT_FIELD_LABOR_HOURS)*PERMANENT_HOURLY_RATE-MAX(0,($D377+AF$5)-PERMANENT_FIELD_LABOR_HOURS)*TEMP_HOURLY_RATE-FIXED_SEASON_COST)</f>
        <v/>
      </c>
      <c r="AG377" s="53" t="str">
        <f aca="false">IF(OR($A377&gt;TOMATO_BED_CAP,$B377&gt;CARROT_BED_CAP,AG$4&gt;MESCLUN_BED_CAP,$A377+$B377+AG$4&gt;TOTAL_BEDS_AVAILABLE,($D377+AG$5)&gt;TOTAL_LABOR_HOURS_CAP,MAX(0,($D377+AG$5)-PERMANENT_FIELD_LABOR_HOURS)&gt;TEMP_HOURS_CAP),"",$C377+AG$6-MIN(($D377+AG$5),PERMANENT_FIELD_LABOR_HOURS)*PERMANENT_HOURLY_RATE-MAX(0,($D377+AG$5)-PERMANENT_FIELD_LABOR_HOURS)*TEMP_HOURLY_RATE-FIXED_SEASON_COST)</f>
        <v/>
      </c>
      <c r="AH377" s="53" t="str">
        <f aca="false">IF(OR($A377&gt;TOMATO_BED_CAP,$B377&gt;CARROT_BED_CAP,AH$4&gt;MESCLUN_BED_CAP,$A377+$B377+AH$4&gt;TOTAL_BEDS_AVAILABLE,($D377+AH$5)&gt;TOTAL_LABOR_HOURS_CAP,MAX(0,($D377+AH$5)-PERMANENT_FIELD_LABOR_HOURS)&gt;TEMP_HOURS_CAP),"",$C377+AH$6-MIN(($D377+AH$5),PERMANENT_FIELD_LABOR_HOURS)*PERMANENT_HOURLY_RATE-MAX(0,($D377+AH$5)-PERMANENT_FIELD_LABOR_HOURS)*TEMP_HOURLY_RATE-FIXED_SEASON_COST)</f>
        <v/>
      </c>
      <c r="AI377" s="53" t="str">
        <f aca="false">IF(OR($A377&gt;TOMATO_BED_CAP,$B377&gt;CARROT_BED_CAP,AI$4&gt;MESCLUN_BED_CAP,$A377+$B377+AI$4&gt;TOTAL_BEDS_AVAILABLE,($D377+AI$5)&gt;TOTAL_LABOR_HOURS_CAP,MAX(0,($D377+AI$5)-PERMANENT_FIELD_LABOR_HOURS)&gt;TEMP_HOURS_CAP),"",$C377+AI$6-MIN(($D377+AI$5),PERMANENT_FIELD_LABOR_HOURS)*PERMANENT_HOURLY_RATE-MAX(0,($D377+AI$5)-PERMANENT_FIELD_LABOR_HOURS)*TEMP_HOURLY_RATE-FIXED_SEASON_COST)</f>
        <v/>
      </c>
      <c r="AJ377" s="53" t="str">
        <f aca="false">IF(OR($A377&gt;TOMATO_BED_CAP,$B377&gt;CARROT_BED_CAP,AJ$4&gt;MESCLUN_BED_CAP,$A377+$B377+AJ$4&gt;TOTAL_BEDS_AVAILABLE,($D377+AJ$5)&gt;TOTAL_LABOR_HOURS_CAP,MAX(0,($D377+AJ$5)-PERMANENT_FIELD_LABOR_HOURS)&gt;TEMP_HOURS_CAP),"",$C377+AJ$6-MIN(($D377+AJ$5),PERMANENT_FIELD_LABOR_HOURS)*PERMANENT_HOURLY_RATE-MAX(0,($D377+AJ$5)-PERMANENT_FIELD_LABOR_HOURS)*TEMP_HOURLY_RATE-FIXED_SEASON_COST)</f>
        <v/>
      </c>
    </row>
    <row r="378" customFormat="false" ht="15" hidden="false" customHeight="false" outlineLevel="0" collapsed="false">
      <c r="A378" s="21" t="n">
        <f aca="false">INT((ROW()-ROW($A$8))/(20+1))</f>
        <v>17</v>
      </c>
      <c r="B378" s="21" t="n">
        <f aca="false">MOD(ROW()-ROW($A$8),20+1)</f>
        <v>13</v>
      </c>
      <c r="C378" s="13" t="n">
        <f aca="false">A378*(TOMATO_REVENUE_PER_BED-TOMATO_FERTILIZER_PER_BED)+B378*(CARROT_REVENUE_PER_BED-CARROT_FERTILIZER_PER_BED)</f>
        <v>156142</v>
      </c>
      <c r="D378" s="14" t="n">
        <f aca="false">INDEX(TOMATO_SCHED_LABOR_HRS,A378+1)+INDEX(CARROT_SCHED_LABOR_HRS,B378+1)</f>
        <v>8270.74379580867</v>
      </c>
      <c r="E378" s="13" t="str">
        <f aca="false">IF(COUNT(F378:AJ378)=0,"",MAX(F378:AJ378))</f>
        <v/>
      </c>
      <c r="F378" s="53" t="str">
        <f aca="false">IF(OR($A378&gt;TOMATO_BED_CAP,$B378&gt;CARROT_BED_CAP,F$4&gt;MESCLUN_BED_CAP,$A378+$B378+F$4&gt;TOTAL_BEDS_AVAILABLE,($D378+F$5)&gt;TOTAL_LABOR_HOURS_CAP,MAX(0,($D378+F$5)-PERMANENT_FIELD_LABOR_HOURS)&gt;TEMP_HOURS_CAP),"",$C378+F$6-MIN(($D378+F$5),PERMANENT_FIELD_LABOR_HOURS)*PERMANENT_HOURLY_RATE-MAX(0,($D378+F$5)-PERMANENT_FIELD_LABOR_HOURS)*TEMP_HOURLY_RATE-FIXED_SEASON_COST)</f>
        <v/>
      </c>
      <c r="G378" s="53" t="str">
        <f aca="false">IF(OR($A378&gt;TOMATO_BED_CAP,$B378&gt;CARROT_BED_CAP,G$4&gt;MESCLUN_BED_CAP,$A378+$B378+G$4&gt;TOTAL_BEDS_AVAILABLE,($D378+G$5)&gt;TOTAL_LABOR_HOURS_CAP,MAX(0,($D378+G$5)-PERMANENT_FIELD_LABOR_HOURS)&gt;TEMP_HOURS_CAP),"",$C378+G$6-MIN(($D378+G$5),PERMANENT_FIELD_LABOR_HOURS)*PERMANENT_HOURLY_RATE-MAX(0,($D378+G$5)-PERMANENT_FIELD_LABOR_HOURS)*TEMP_HOURLY_RATE-FIXED_SEASON_COST)</f>
        <v/>
      </c>
      <c r="H378" s="53" t="str">
        <f aca="false">IF(OR($A378&gt;TOMATO_BED_CAP,$B378&gt;CARROT_BED_CAP,H$4&gt;MESCLUN_BED_CAP,$A378+$B378+H$4&gt;TOTAL_BEDS_AVAILABLE,($D378+H$5)&gt;TOTAL_LABOR_HOURS_CAP,MAX(0,($D378+H$5)-PERMANENT_FIELD_LABOR_HOURS)&gt;TEMP_HOURS_CAP),"",$C378+H$6-MIN(($D378+H$5),PERMANENT_FIELD_LABOR_HOURS)*PERMANENT_HOURLY_RATE-MAX(0,($D378+H$5)-PERMANENT_FIELD_LABOR_HOURS)*TEMP_HOURLY_RATE-FIXED_SEASON_COST)</f>
        <v/>
      </c>
      <c r="I378" s="53" t="str">
        <f aca="false">IF(OR($A378&gt;TOMATO_BED_CAP,$B378&gt;CARROT_BED_CAP,I$4&gt;MESCLUN_BED_CAP,$A378+$B378+I$4&gt;TOTAL_BEDS_AVAILABLE,($D378+I$5)&gt;TOTAL_LABOR_HOURS_CAP,MAX(0,($D378+I$5)-PERMANENT_FIELD_LABOR_HOURS)&gt;TEMP_HOURS_CAP),"",$C378+I$6-MIN(($D378+I$5),PERMANENT_FIELD_LABOR_HOURS)*PERMANENT_HOURLY_RATE-MAX(0,($D378+I$5)-PERMANENT_FIELD_LABOR_HOURS)*TEMP_HOURLY_RATE-FIXED_SEASON_COST)</f>
        <v/>
      </c>
      <c r="J378" s="53" t="str">
        <f aca="false">IF(OR($A378&gt;TOMATO_BED_CAP,$B378&gt;CARROT_BED_CAP,J$4&gt;MESCLUN_BED_CAP,$A378+$B378+J$4&gt;TOTAL_BEDS_AVAILABLE,($D378+J$5)&gt;TOTAL_LABOR_HOURS_CAP,MAX(0,($D378+J$5)-PERMANENT_FIELD_LABOR_HOURS)&gt;TEMP_HOURS_CAP),"",$C378+J$6-MIN(($D378+J$5),PERMANENT_FIELD_LABOR_HOURS)*PERMANENT_HOURLY_RATE-MAX(0,($D378+J$5)-PERMANENT_FIELD_LABOR_HOURS)*TEMP_HOURLY_RATE-FIXED_SEASON_COST)</f>
        <v/>
      </c>
      <c r="K378" s="53" t="str">
        <f aca="false">IF(OR($A378&gt;TOMATO_BED_CAP,$B378&gt;CARROT_BED_CAP,K$4&gt;MESCLUN_BED_CAP,$A378+$B378+K$4&gt;TOTAL_BEDS_AVAILABLE,($D378+K$5)&gt;TOTAL_LABOR_HOURS_CAP,MAX(0,($D378+K$5)-PERMANENT_FIELD_LABOR_HOURS)&gt;TEMP_HOURS_CAP),"",$C378+K$6-MIN(($D378+K$5),PERMANENT_FIELD_LABOR_HOURS)*PERMANENT_HOURLY_RATE-MAX(0,($D378+K$5)-PERMANENT_FIELD_LABOR_HOURS)*TEMP_HOURLY_RATE-FIXED_SEASON_COST)</f>
        <v/>
      </c>
      <c r="L378" s="53" t="str">
        <f aca="false">IF(OR($A378&gt;TOMATO_BED_CAP,$B378&gt;CARROT_BED_CAP,L$4&gt;MESCLUN_BED_CAP,$A378+$B378+L$4&gt;TOTAL_BEDS_AVAILABLE,($D378+L$5)&gt;TOTAL_LABOR_HOURS_CAP,MAX(0,($D378+L$5)-PERMANENT_FIELD_LABOR_HOURS)&gt;TEMP_HOURS_CAP),"",$C378+L$6-MIN(($D378+L$5),PERMANENT_FIELD_LABOR_HOURS)*PERMANENT_HOURLY_RATE-MAX(0,($D378+L$5)-PERMANENT_FIELD_LABOR_HOURS)*TEMP_HOURLY_RATE-FIXED_SEASON_COST)</f>
        <v/>
      </c>
      <c r="M378" s="53" t="str">
        <f aca="false">IF(OR($A378&gt;TOMATO_BED_CAP,$B378&gt;CARROT_BED_CAP,M$4&gt;MESCLUN_BED_CAP,$A378+$B378+M$4&gt;TOTAL_BEDS_AVAILABLE,($D378+M$5)&gt;TOTAL_LABOR_HOURS_CAP,MAX(0,($D378+M$5)-PERMANENT_FIELD_LABOR_HOURS)&gt;TEMP_HOURS_CAP),"",$C378+M$6-MIN(($D378+M$5),PERMANENT_FIELD_LABOR_HOURS)*PERMANENT_HOURLY_RATE-MAX(0,($D378+M$5)-PERMANENT_FIELD_LABOR_HOURS)*TEMP_HOURLY_RATE-FIXED_SEASON_COST)</f>
        <v/>
      </c>
      <c r="N378" s="53" t="str">
        <f aca="false">IF(OR($A378&gt;TOMATO_BED_CAP,$B378&gt;CARROT_BED_CAP,N$4&gt;MESCLUN_BED_CAP,$A378+$B378+N$4&gt;TOTAL_BEDS_AVAILABLE,($D378+N$5)&gt;TOTAL_LABOR_HOURS_CAP,MAX(0,($D378+N$5)-PERMANENT_FIELD_LABOR_HOURS)&gt;TEMP_HOURS_CAP),"",$C378+N$6-MIN(($D378+N$5),PERMANENT_FIELD_LABOR_HOURS)*PERMANENT_HOURLY_RATE-MAX(0,($D378+N$5)-PERMANENT_FIELD_LABOR_HOURS)*TEMP_HOURLY_RATE-FIXED_SEASON_COST)</f>
        <v/>
      </c>
      <c r="O378" s="53" t="str">
        <f aca="false">IF(OR($A378&gt;TOMATO_BED_CAP,$B378&gt;CARROT_BED_CAP,O$4&gt;MESCLUN_BED_CAP,$A378+$B378+O$4&gt;TOTAL_BEDS_AVAILABLE,($D378+O$5)&gt;TOTAL_LABOR_HOURS_CAP,MAX(0,($D378+O$5)-PERMANENT_FIELD_LABOR_HOURS)&gt;TEMP_HOURS_CAP),"",$C378+O$6-MIN(($D378+O$5),PERMANENT_FIELD_LABOR_HOURS)*PERMANENT_HOURLY_RATE-MAX(0,($D378+O$5)-PERMANENT_FIELD_LABOR_HOURS)*TEMP_HOURLY_RATE-FIXED_SEASON_COST)</f>
        <v/>
      </c>
      <c r="P378" s="53" t="str">
        <f aca="false">IF(OR($A378&gt;TOMATO_BED_CAP,$B378&gt;CARROT_BED_CAP,P$4&gt;MESCLUN_BED_CAP,$A378+$B378+P$4&gt;TOTAL_BEDS_AVAILABLE,($D378+P$5)&gt;TOTAL_LABOR_HOURS_CAP,MAX(0,($D378+P$5)-PERMANENT_FIELD_LABOR_HOURS)&gt;TEMP_HOURS_CAP),"",$C378+P$6-MIN(($D378+P$5),PERMANENT_FIELD_LABOR_HOURS)*PERMANENT_HOURLY_RATE-MAX(0,($D378+P$5)-PERMANENT_FIELD_LABOR_HOURS)*TEMP_HOURLY_RATE-FIXED_SEASON_COST)</f>
        <v/>
      </c>
      <c r="Q378" s="53" t="str">
        <f aca="false">IF(OR($A378&gt;TOMATO_BED_CAP,$B378&gt;CARROT_BED_CAP,Q$4&gt;MESCLUN_BED_CAP,$A378+$B378+Q$4&gt;TOTAL_BEDS_AVAILABLE,($D378+Q$5)&gt;TOTAL_LABOR_HOURS_CAP,MAX(0,($D378+Q$5)-PERMANENT_FIELD_LABOR_HOURS)&gt;TEMP_HOURS_CAP),"",$C378+Q$6-MIN(($D378+Q$5),PERMANENT_FIELD_LABOR_HOURS)*PERMANENT_HOURLY_RATE-MAX(0,($D378+Q$5)-PERMANENT_FIELD_LABOR_HOURS)*TEMP_HOURLY_RATE-FIXED_SEASON_COST)</f>
        <v/>
      </c>
      <c r="R378" s="53" t="str">
        <f aca="false">IF(OR($A378&gt;TOMATO_BED_CAP,$B378&gt;CARROT_BED_CAP,R$4&gt;MESCLUN_BED_CAP,$A378+$B378+R$4&gt;TOTAL_BEDS_AVAILABLE,($D378+R$5)&gt;TOTAL_LABOR_HOURS_CAP,MAX(0,($D378+R$5)-PERMANENT_FIELD_LABOR_HOURS)&gt;TEMP_HOURS_CAP),"",$C378+R$6-MIN(($D378+R$5),PERMANENT_FIELD_LABOR_HOURS)*PERMANENT_HOURLY_RATE-MAX(0,($D378+R$5)-PERMANENT_FIELD_LABOR_HOURS)*TEMP_HOURLY_RATE-FIXED_SEASON_COST)</f>
        <v/>
      </c>
      <c r="S378" s="53" t="str">
        <f aca="false">IF(OR($A378&gt;TOMATO_BED_CAP,$B378&gt;CARROT_BED_CAP,S$4&gt;MESCLUN_BED_CAP,$A378+$B378+S$4&gt;TOTAL_BEDS_AVAILABLE,($D378+S$5)&gt;TOTAL_LABOR_HOURS_CAP,MAX(0,($D378+S$5)-PERMANENT_FIELD_LABOR_HOURS)&gt;TEMP_HOURS_CAP),"",$C378+S$6-MIN(($D378+S$5),PERMANENT_FIELD_LABOR_HOURS)*PERMANENT_HOURLY_RATE-MAX(0,($D378+S$5)-PERMANENT_FIELD_LABOR_HOURS)*TEMP_HOURLY_RATE-FIXED_SEASON_COST)</f>
        <v/>
      </c>
      <c r="T378" s="53" t="str">
        <f aca="false">IF(OR($A378&gt;TOMATO_BED_CAP,$B378&gt;CARROT_BED_CAP,T$4&gt;MESCLUN_BED_CAP,$A378+$B378+T$4&gt;TOTAL_BEDS_AVAILABLE,($D378+T$5)&gt;TOTAL_LABOR_HOURS_CAP,MAX(0,($D378+T$5)-PERMANENT_FIELD_LABOR_HOURS)&gt;TEMP_HOURS_CAP),"",$C378+T$6-MIN(($D378+T$5),PERMANENT_FIELD_LABOR_HOURS)*PERMANENT_HOURLY_RATE-MAX(0,($D378+T$5)-PERMANENT_FIELD_LABOR_HOURS)*TEMP_HOURLY_RATE-FIXED_SEASON_COST)</f>
        <v/>
      </c>
      <c r="U378" s="53" t="str">
        <f aca="false">IF(OR($A378&gt;TOMATO_BED_CAP,$B378&gt;CARROT_BED_CAP,U$4&gt;MESCLUN_BED_CAP,$A378+$B378+U$4&gt;TOTAL_BEDS_AVAILABLE,($D378+U$5)&gt;TOTAL_LABOR_HOURS_CAP,MAX(0,($D378+U$5)-PERMANENT_FIELD_LABOR_HOURS)&gt;TEMP_HOURS_CAP),"",$C378+U$6-MIN(($D378+U$5),PERMANENT_FIELD_LABOR_HOURS)*PERMANENT_HOURLY_RATE-MAX(0,($D378+U$5)-PERMANENT_FIELD_LABOR_HOURS)*TEMP_HOURLY_RATE-FIXED_SEASON_COST)</f>
        <v/>
      </c>
      <c r="V378" s="53" t="str">
        <f aca="false">IF(OR($A378&gt;TOMATO_BED_CAP,$B378&gt;CARROT_BED_CAP,V$4&gt;MESCLUN_BED_CAP,$A378+$B378+V$4&gt;TOTAL_BEDS_AVAILABLE,($D378+V$5)&gt;TOTAL_LABOR_HOURS_CAP,MAX(0,($D378+V$5)-PERMANENT_FIELD_LABOR_HOURS)&gt;TEMP_HOURS_CAP),"",$C378+V$6-MIN(($D378+V$5),PERMANENT_FIELD_LABOR_HOURS)*PERMANENT_HOURLY_RATE-MAX(0,($D378+V$5)-PERMANENT_FIELD_LABOR_HOURS)*TEMP_HOURLY_RATE-FIXED_SEASON_COST)</f>
        <v/>
      </c>
      <c r="W378" s="53" t="str">
        <f aca="false">IF(OR($A378&gt;TOMATO_BED_CAP,$B378&gt;CARROT_BED_CAP,W$4&gt;MESCLUN_BED_CAP,$A378+$B378+W$4&gt;TOTAL_BEDS_AVAILABLE,($D378+W$5)&gt;TOTAL_LABOR_HOURS_CAP,MAX(0,($D378+W$5)-PERMANENT_FIELD_LABOR_HOURS)&gt;TEMP_HOURS_CAP),"",$C378+W$6-MIN(($D378+W$5),PERMANENT_FIELD_LABOR_HOURS)*PERMANENT_HOURLY_RATE-MAX(0,($D378+W$5)-PERMANENT_FIELD_LABOR_HOURS)*TEMP_HOURLY_RATE-FIXED_SEASON_COST)</f>
        <v/>
      </c>
      <c r="X378" s="53" t="str">
        <f aca="false">IF(OR($A378&gt;TOMATO_BED_CAP,$B378&gt;CARROT_BED_CAP,X$4&gt;MESCLUN_BED_CAP,$A378+$B378+X$4&gt;TOTAL_BEDS_AVAILABLE,($D378+X$5)&gt;TOTAL_LABOR_HOURS_CAP,MAX(0,($D378+X$5)-PERMANENT_FIELD_LABOR_HOURS)&gt;TEMP_HOURS_CAP),"",$C378+X$6-MIN(($D378+X$5),PERMANENT_FIELD_LABOR_HOURS)*PERMANENT_HOURLY_RATE-MAX(0,($D378+X$5)-PERMANENT_FIELD_LABOR_HOURS)*TEMP_HOURLY_RATE-FIXED_SEASON_COST)</f>
        <v/>
      </c>
      <c r="Y378" s="53" t="str">
        <f aca="false">IF(OR($A378&gt;TOMATO_BED_CAP,$B378&gt;CARROT_BED_CAP,Y$4&gt;MESCLUN_BED_CAP,$A378+$B378+Y$4&gt;TOTAL_BEDS_AVAILABLE,($D378+Y$5)&gt;TOTAL_LABOR_HOURS_CAP,MAX(0,($D378+Y$5)-PERMANENT_FIELD_LABOR_HOURS)&gt;TEMP_HOURS_CAP),"",$C378+Y$6-MIN(($D378+Y$5),PERMANENT_FIELD_LABOR_HOURS)*PERMANENT_HOURLY_RATE-MAX(0,($D378+Y$5)-PERMANENT_FIELD_LABOR_HOURS)*TEMP_HOURLY_RATE-FIXED_SEASON_COST)</f>
        <v/>
      </c>
      <c r="Z378" s="53" t="str">
        <f aca="false">IF(OR($A378&gt;TOMATO_BED_CAP,$B378&gt;CARROT_BED_CAP,Z$4&gt;MESCLUN_BED_CAP,$A378+$B378+Z$4&gt;TOTAL_BEDS_AVAILABLE,($D378+Z$5)&gt;TOTAL_LABOR_HOURS_CAP,MAX(0,($D378+Z$5)-PERMANENT_FIELD_LABOR_HOURS)&gt;TEMP_HOURS_CAP),"",$C378+Z$6-MIN(($D378+Z$5),PERMANENT_FIELD_LABOR_HOURS)*PERMANENT_HOURLY_RATE-MAX(0,($D378+Z$5)-PERMANENT_FIELD_LABOR_HOURS)*TEMP_HOURLY_RATE-FIXED_SEASON_COST)</f>
        <v/>
      </c>
      <c r="AA378" s="53" t="str">
        <f aca="false">IF(OR($A378&gt;TOMATO_BED_CAP,$B378&gt;CARROT_BED_CAP,AA$4&gt;MESCLUN_BED_CAP,$A378+$B378+AA$4&gt;TOTAL_BEDS_AVAILABLE,($D378+AA$5)&gt;TOTAL_LABOR_HOURS_CAP,MAX(0,($D378+AA$5)-PERMANENT_FIELD_LABOR_HOURS)&gt;TEMP_HOURS_CAP),"",$C378+AA$6-MIN(($D378+AA$5),PERMANENT_FIELD_LABOR_HOURS)*PERMANENT_HOURLY_RATE-MAX(0,($D378+AA$5)-PERMANENT_FIELD_LABOR_HOURS)*TEMP_HOURLY_RATE-FIXED_SEASON_COST)</f>
        <v/>
      </c>
      <c r="AB378" s="53" t="str">
        <f aca="false">IF(OR($A378&gt;TOMATO_BED_CAP,$B378&gt;CARROT_BED_CAP,AB$4&gt;MESCLUN_BED_CAP,$A378+$B378+AB$4&gt;TOTAL_BEDS_AVAILABLE,($D378+AB$5)&gt;TOTAL_LABOR_HOURS_CAP,MAX(0,($D378+AB$5)-PERMANENT_FIELD_LABOR_HOURS)&gt;TEMP_HOURS_CAP),"",$C378+AB$6-MIN(($D378+AB$5),PERMANENT_FIELD_LABOR_HOURS)*PERMANENT_HOURLY_RATE-MAX(0,($D378+AB$5)-PERMANENT_FIELD_LABOR_HOURS)*TEMP_HOURLY_RATE-FIXED_SEASON_COST)</f>
        <v/>
      </c>
      <c r="AC378" s="53" t="str">
        <f aca="false">IF(OR($A378&gt;TOMATO_BED_CAP,$B378&gt;CARROT_BED_CAP,AC$4&gt;MESCLUN_BED_CAP,$A378+$B378+AC$4&gt;TOTAL_BEDS_AVAILABLE,($D378+AC$5)&gt;TOTAL_LABOR_HOURS_CAP,MAX(0,($D378+AC$5)-PERMANENT_FIELD_LABOR_HOURS)&gt;TEMP_HOURS_CAP),"",$C378+AC$6-MIN(($D378+AC$5),PERMANENT_FIELD_LABOR_HOURS)*PERMANENT_HOURLY_RATE-MAX(0,($D378+AC$5)-PERMANENT_FIELD_LABOR_HOURS)*TEMP_HOURLY_RATE-FIXED_SEASON_COST)</f>
        <v/>
      </c>
      <c r="AD378" s="53" t="str">
        <f aca="false">IF(OR($A378&gt;TOMATO_BED_CAP,$B378&gt;CARROT_BED_CAP,AD$4&gt;MESCLUN_BED_CAP,$A378+$B378+AD$4&gt;TOTAL_BEDS_AVAILABLE,($D378+AD$5)&gt;TOTAL_LABOR_HOURS_CAP,MAX(0,($D378+AD$5)-PERMANENT_FIELD_LABOR_HOURS)&gt;TEMP_HOURS_CAP),"",$C378+AD$6-MIN(($D378+AD$5),PERMANENT_FIELD_LABOR_HOURS)*PERMANENT_HOURLY_RATE-MAX(0,($D378+AD$5)-PERMANENT_FIELD_LABOR_HOURS)*TEMP_HOURLY_RATE-FIXED_SEASON_COST)</f>
        <v/>
      </c>
      <c r="AE378" s="53" t="str">
        <f aca="false">IF(OR($A378&gt;TOMATO_BED_CAP,$B378&gt;CARROT_BED_CAP,AE$4&gt;MESCLUN_BED_CAP,$A378+$B378+AE$4&gt;TOTAL_BEDS_AVAILABLE,($D378+AE$5)&gt;TOTAL_LABOR_HOURS_CAP,MAX(0,($D378+AE$5)-PERMANENT_FIELD_LABOR_HOURS)&gt;TEMP_HOURS_CAP),"",$C378+AE$6-MIN(($D378+AE$5),PERMANENT_FIELD_LABOR_HOURS)*PERMANENT_HOURLY_RATE-MAX(0,($D378+AE$5)-PERMANENT_FIELD_LABOR_HOURS)*TEMP_HOURLY_RATE-FIXED_SEASON_COST)</f>
        <v/>
      </c>
      <c r="AF378" s="53" t="str">
        <f aca="false">IF(OR($A378&gt;TOMATO_BED_CAP,$B378&gt;CARROT_BED_CAP,AF$4&gt;MESCLUN_BED_CAP,$A378+$B378+AF$4&gt;TOTAL_BEDS_AVAILABLE,($D378+AF$5)&gt;TOTAL_LABOR_HOURS_CAP,MAX(0,($D378+AF$5)-PERMANENT_FIELD_LABOR_HOURS)&gt;TEMP_HOURS_CAP),"",$C378+AF$6-MIN(($D378+AF$5),PERMANENT_FIELD_LABOR_HOURS)*PERMANENT_HOURLY_RATE-MAX(0,($D378+AF$5)-PERMANENT_FIELD_LABOR_HOURS)*TEMP_HOURLY_RATE-FIXED_SEASON_COST)</f>
        <v/>
      </c>
      <c r="AG378" s="53" t="str">
        <f aca="false">IF(OR($A378&gt;TOMATO_BED_CAP,$B378&gt;CARROT_BED_CAP,AG$4&gt;MESCLUN_BED_CAP,$A378+$B378+AG$4&gt;TOTAL_BEDS_AVAILABLE,($D378+AG$5)&gt;TOTAL_LABOR_HOURS_CAP,MAX(0,($D378+AG$5)-PERMANENT_FIELD_LABOR_HOURS)&gt;TEMP_HOURS_CAP),"",$C378+AG$6-MIN(($D378+AG$5),PERMANENT_FIELD_LABOR_HOURS)*PERMANENT_HOURLY_RATE-MAX(0,($D378+AG$5)-PERMANENT_FIELD_LABOR_HOURS)*TEMP_HOURLY_RATE-FIXED_SEASON_COST)</f>
        <v/>
      </c>
      <c r="AH378" s="53" t="str">
        <f aca="false">IF(OR($A378&gt;TOMATO_BED_CAP,$B378&gt;CARROT_BED_CAP,AH$4&gt;MESCLUN_BED_CAP,$A378+$B378+AH$4&gt;TOTAL_BEDS_AVAILABLE,($D378+AH$5)&gt;TOTAL_LABOR_HOURS_CAP,MAX(0,($D378+AH$5)-PERMANENT_FIELD_LABOR_HOURS)&gt;TEMP_HOURS_CAP),"",$C378+AH$6-MIN(($D378+AH$5),PERMANENT_FIELD_LABOR_HOURS)*PERMANENT_HOURLY_RATE-MAX(0,($D378+AH$5)-PERMANENT_FIELD_LABOR_HOURS)*TEMP_HOURLY_RATE-FIXED_SEASON_COST)</f>
        <v/>
      </c>
      <c r="AI378" s="53" t="str">
        <f aca="false">IF(OR($A378&gt;TOMATO_BED_CAP,$B378&gt;CARROT_BED_CAP,AI$4&gt;MESCLUN_BED_CAP,$A378+$B378+AI$4&gt;TOTAL_BEDS_AVAILABLE,($D378+AI$5)&gt;TOTAL_LABOR_HOURS_CAP,MAX(0,($D378+AI$5)-PERMANENT_FIELD_LABOR_HOURS)&gt;TEMP_HOURS_CAP),"",$C378+AI$6-MIN(($D378+AI$5),PERMANENT_FIELD_LABOR_HOURS)*PERMANENT_HOURLY_RATE-MAX(0,($D378+AI$5)-PERMANENT_FIELD_LABOR_HOURS)*TEMP_HOURLY_RATE-FIXED_SEASON_COST)</f>
        <v/>
      </c>
      <c r="AJ378" s="53" t="str">
        <f aca="false">IF(OR($A378&gt;TOMATO_BED_CAP,$B378&gt;CARROT_BED_CAP,AJ$4&gt;MESCLUN_BED_CAP,$A378+$B378+AJ$4&gt;TOTAL_BEDS_AVAILABLE,($D378+AJ$5)&gt;TOTAL_LABOR_HOURS_CAP,MAX(0,($D378+AJ$5)-PERMANENT_FIELD_LABOR_HOURS)&gt;TEMP_HOURS_CAP),"",$C378+AJ$6-MIN(($D378+AJ$5),PERMANENT_FIELD_LABOR_HOURS)*PERMANENT_HOURLY_RATE-MAX(0,($D378+AJ$5)-PERMANENT_FIELD_LABOR_HOURS)*TEMP_HOURLY_RATE-FIXED_SEASON_COST)</f>
        <v/>
      </c>
    </row>
    <row r="379" customFormat="false" ht="15" hidden="false" customHeight="false" outlineLevel="0" collapsed="false">
      <c r="A379" s="21" t="n">
        <f aca="false">INT((ROW()-ROW($A$8))/(20+1))</f>
        <v>17</v>
      </c>
      <c r="B379" s="21" t="n">
        <f aca="false">MOD(ROW()-ROW($A$8),20+1)</f>
        <v>14</v>
      </c>
      <c r="C379" s="13" t="n">
        <f aca="false">A379*(TOMATO_REVENUE_PER_BED-TOMATO_FERTILIZER_PER_BED)+B379*(CARROT_REVENUE_PER_BED-CARROT_FERTILIZER_PER_BED)</f>
        <v>157796</v>
      </c>
      <c r="D379" s="14" t="n">
        <f aca="false">INDEX(TOMATO_SCHED_LABOR_HRS,A379+1)+INDEX(CARROT_SCHED_LABOR_HRS,B379+1)</f>
        <v>8326.55116124626</v>
      </c>
      <c r="E379" s="13" t="str">
        <f aca="false">IF(COUNT(F379:AJ379)=0,"",MAX(F379:AJ379))</f>
        <v/>
      </c>
      <c r="F379" s="53" t="str">
        <f aca="false">IF(OR($A379&gt;TOMATO_BED_CAP,$B379&gt;CARROT_BED_CAP,F$4&gt;MESCLUN_BED_CAP,$A379+$B379+F$4&gt;TOTAL_BEDS_AVAILABLE,($D379+F$5)&gt;TOTAL_LABOR_HOURS_CAP,MAX(0,($D379+F$5)-PERMANENT_FIELD_LABOR_HOURS)&gt;TEMP_HOURS_CAP),"",$C379+F$6-MIN(($D379+F$5),PERMANENT_FIELD_LABOR_HOURS)*PERMANENT_HOURLY_RATE-MAX(0,($D379+F$5)-PERMANENT_FIELD_LABOR_HOURS)*TEMP_HOURLY_RATE-FIXED_SEASON_COST)</f>
        <v/>
      </c>
      <c r="G379" s="53" t="str">
        <f aca="false">IF(OR($A379&gt;TOMATO_BED_CAP,$B379&gt;CARROT_BED_CAP,G$4&gt;MESCLUN_BED_CAP,$A379+$B379+G$4&gt;TOTAL_BEDS_AVAILABLE,($D379+G$5)&gt;TOTAL_LABOR_HOURS_CAP,MAX(0,($D379+G$5)-PERMANENT_FIELD_LABOR_HOURS)&gt;TEMP_HOURS_CAP),"",$C379+G$6-MIN(($D379+G$5),PERMANENT_FIELD_LABOR_HOURS)*PERMANENT_HOURLY_RATE-MAX(0,($D379+G$5)-PERMANENT_FIELD_LABOR_HOURS)*TEMP_HOURLY_RATE-FIXED_SEASON_COST)</f>
        <v/>
      </c>
      <c r="H379" s="53" t="str">
        <f aca="false">IF(OR($A379&gt;TOMATO_BED_CAP,$B379&gt;CARROT_BED_CAP,H$4&gt;MESCLUN_BED_CAP,$A379+$B379+H$4&gt;TOTAL_BEDS_AVAILABLE,($D379+H$5)&gt;TOTAL_LABOR_HOURS_CAP,MAX(0,($D379+H$5)-PERMANENT_FIELD_LABOR_HOURS)&gt;TEMP_HOURS_CAP),"",$C379+H$6-MIN(($D379+H$5),PERMANENT_FIELD_LABOR_HOURS)*PERMANENT_HOURLY_RATE-MAX(0,($D379+H$5)-PERMANENT_FIELD_LABOR_HOURS)*TEMP_HOURLY_RATE-FIXED_SEASON_COST)</f>
        <v/>
      </c>
      <c r="I379" s="53" t="str">
        <f aca="false">IF(OR($A379&gt;TOMATO_BED_CAP,$B379&gt;CARROT_BED_CAP,I$4&gt;MESCLUN_BED_CAP,$A379+$B379+I$4&gt;TOTAL_BEDS_AVAILABLE,($D379+I$5)&gt;TOTAL_LABOR_HOURS_CAP,MAX(0,($D379+I$5)-PERMANENT_FIELD_LABOR_HOURS)&gt;TEMP_HOURS_CAP),"",$C379+I$6-MIN(($D379+I$5),PERMANENT_FIELD_LABOR_HOURS)*PERMANENT_HOURLY_RATE-MAX(0,($D379+I$5)-PERMANENT_FIELD_LABOR_HOURS)*TEMP_HOURLY_RATE-FIXED_SEASON_COST)</f>
        <v/>
      </c>
      <c r="J379" s="53" t="str">
        <f aca="false">IF(OR($A379&gt;TOMATO_BED_CAP,$B379&gt;CARROT_BED_CAP,J$4&gt;MESCLUN_BED_CAP,$A379+$B379+J$4&gt;TOTAL_BEDS_AVAILABLE,($D379+J$5)&gt;TOTAL_LABOR_HOURS_CAP,MAX(0,($D379+J$5)-PERMANENT_FIELD_LABOR_HOURS)&gt;TEMP_HOURS_CAP),"",$C379+J$6-MIN(($D379+J$5),PERMANENT_FIELD_LABOR_HOURS)*PERMANENT_HOURLY_RATE-MAX(0,($D379+J$5)-PERMANENT_FIELD_LABOR_HOURS)*TEMP_HOURLY_RATE-FIXED_SEASON_COST)</f>
        <v/>
      </c>
      <c r="K379" s="53" t="str">
        <f aca="false">IF(OR($A379&gt;TOMATO_BED_CAP,$B379&gt;CARROT_BED_CAP,K$4&gt;MESCLUN_BED_CAP,$A379+$B379+K$4&gt;TOTAL_BEDS_AVAILABLE,($D379+K$5)&gt;TOTAL_LABOR_HOURS_CAP,MAX(0,($D379+K$5)-PERMANENT_FIELD_LABOR_HOURS)&gt;TEMP_HOURS_CAP),"",$C379+K$6-MIN(($D379+K$5),PERMANENT_FIELD_LABOR_HOURS)*PERMANENT_HOURLY_RATE-MAX(0,($D379+K$5)-PERMANENT_FIELD_LABOR_HOURS)*TEMP_HOURLY_RATE-FIXED_SEASON_COST)</f>
        <v/>
      </c>
      <c r="L379" s="53" t="str">
        <f aca="false">IF(OR($A379&gt;TOMATO_BED_CAP,$B379&gt;CARROT_BED_CAP,L$4&gt;MESCLUN_BED_CAP,$A379+$B379+L$4&gt;TOTAL_BEDS_AVAILABLE,($D379+L$5)&gt;TOTAL_LABOR_HOURS_CAP,MAX(0,($D379+L$5)-PERMANENT_FIELD_LABOR_HOURS)&gt;TEMP_HOURS_CAP),"",$C379+L$6-MIN(($D379+L$5),PERMANENT_FIELD_LABOR_HOURS)*PERMANENT_HOURLY_RATE-MAX(0,($D379+L$5)-PERMANENT_FIELD_LABOR_HOURS)*TEMP_HOURLY_RATE-FIXED_SEASON_COST)</f>
        <v/>
      </c>
      <c r="M379" s="53" t="str">
        <f aca="false">IF(OR($A379&gt;TOMATO_BED_CAP,$B379&gt;CARROT_BED_CAP,M$4&gt;MESCLUN_BED_CAP,$A379+$B379+M$4&gt;TOTAL_BEDS_AVAILABLE,($D379+M$5)&gt;TOTAL_LABOR_HOURS_CAP,MAX(0,($D379+M$5)-PERMANENT_FIELD_LABOR_HOURS)&gt;TEMP_HOURS_CAP),"",$C379+M$6-MIN(($D379+M$5),PERMANENT_FIELD_LABOR_HOURS)*PERMANENT_HOURLY_RATE-MAX(0,($D379+M$5)-PERMANENT_FIELD_LABOR_HOURS)*TEMP_HOURLY_RATE-FIXED_SEASON_COST)</f>
        <v/>
      </c>
      <c r="N379" s="53" t="str">
        <f aca="false">IF(OR($A379&gt;TOMATO_BED_CAP,$B379&gt;CARROT_BED_CAP,N$4&gt;MESCLUN_BED_CAP,$A379+$B379+N$4&gt;TOTAL_BEDS_AVAILABLE,($D379+N$5)&gt;TOTAL_LABOR_HOURS_CAP,MAX(0,($D379+N$5)-PERMANENT_FIELD_LABOR_HOURS)&gt;TEMP_HOURS_CAP),"",$C379+N$6-MIN(($D379+N$5),PERMANENT_FIELD_LABOR_HOURS)*PERMANENT_HOURLY_RATE-MAX(0,($D379+N$5)-PERMANENT_FIELD_LABOR_HOURS)*TEMP_HOURLY_RATE-FIXED_SEASON_COST)</f>
        <v/>
      </c>
      <c r="O379" s="53" t="str">
        <f aca="false">IF(OR($A379&gt;TOMATO_BED_CAP,$B379&gt;CARROT_BED_CAP,O$4&gt;MESCLUN_BED_CAP,$A379+$B379+O$4&gt;TOTAL_BEDS_AVAILABLE,($D379+O$5)&gt;TOTAL_LABOR_HOURS_CAP,MAX(0,($D379+O$5)-PERMANENT_FIELD_LABOR_HOURS)&gt;TEMP_HOURS_CAP),"",$C379+O$6-MIN(($D379+O$5),PERMANENT_FIELD_LABOR_HOURS)*PERMANENT_HOURLY_RATE-MAX(0,($D379+O$5)-PERMANENT_FIELD_LABOR_HOURS)*TEMP_HOURLY_RATE-FIXED_SEASON_COST)</f>
        <v/>
      </c>
      <c r="P379" s="53" t="str">
        <f aca="false">IF(OR($A379&gt;TOMATO_BED_CAP,$B379&gt;CARROT_BED_CAP,P$4&gt;MESCLUN_BED_CAP,$A379+$B379+P$4&gt;TOTAL_BEDS_AVAILABLE,($D379+P$5)&gt;TOTAL_LABOR_HOURS_CAP,MAX(0,($D379+P$5)-PERMANENT_FIELD_LABOR_HOURS)&gt;TEMP_HOURS_CAP),"",$C379+P$6-MIN(($D379+P$5),PERMANENT_FIELD_LABOR_HOURS)*PERMANENT_HOURLY_RATE-MAX(0,($D379+P$5)-PERMANENT_FIELD_LABOR_HOURS)*TEMP_HOURLY_RATE-FIXED_SEASON_COST)</f>
        <v/>
      </c>
      <c r="Q379" s="53" t="str">
        <f aca="false">IF(OR($A379&gt;TOMATO_BED_CAP,$B379&gt;CARROT_BED_CAP,Q$4&gt;MESCLUN_BED_CAP,$A379+$B379+Q$4&gt;TOTAL_BEDS_AVAILABLE,($D379+Q$5)&gt;TOTAL_LABOR_HOURS_CAP,MAX(0,($D379+Q$5)-PERMANENT_FIELD_LABOR_HOURS)&gt;TEMP_HOURS_CAP),"",$C379+Q$6-MIN(($D379+Q$5),PERMANENT_FIELD_LABOR_HOURS)*PERMANENT_HOURLY_RATE-MAX(0,($D379+Q$5)-PERMANENT_FIELD_LABOR_HOURS)*TEMP_HOURLY_RATE-FIXED_SEASON_COST)</f>
        <v/>
      </c>
      <c r="R379" s="53" t="str">
        <f aca="false">IF(OR($A379&gt;TOMATO_BED_CAP,$B379&gt;CARROT_BED_CAP,R$4&gt;MESCLUN_BED_CAP,$A379+$B379+R$4&gt;TOTAL_BEDS_AVAILABLE,($D379+R$5)&gt;TOTAL_LABOR_HOURS_CAP,MAX(0,($D379+R$5)-PERMANENT_FIELD_LABOR_HOURS)&gt;TEMP_HOURS_CAP),"",$C379+R$6-MIN(($D379+R$5),PERMANENT_FIELD_LABOR_HOURS)*PERMANENT_HOURLY_RATE-MAX(0,($D379+R$5)-PERMANENT_FIELD_LABOR_HOURS)*TEMP_HOURLY_RATE-FIXED_SEASON_COST)</f>
        <v/>
      </c>
      <c r="S379" s="53" t="str">
        <f aca="false">IF(OR($A379&gt;TOMATO_BED_CAP,$B379&gt;CARROT_BED_CAP,S$4&gt;MESCLUN_BED_CAP,$A379+$B379+S$4&gt;TOTAL_BEDS_AVAILABLE,($D379+S$5)&gt;TOTAL_LABOR_HOURS_CAP,MAX(0,($D379+S$5)-PERMANENT_FIELD_LABOR_HOURS)&gt;TEMP_HOURS_CAP),"",$C379+S$6-MIN(($D379+S$5),PERMANENT_FIELD_LABOR_HOURS)*PERMANENT_HOURLY_RATE-MAX(0,($D379+S$5)-PERMANENT_FIELD_LABOR_HOURS)*TEMP_HOURLY_RATE-FIXED_SEASON_COST)</f>
        <v/>
      </c>
      <c r="T379" s="53" t="str">
        <f aca="false">IF(OR($A379&gt;TOMATO_BED_CAP,$B379&gt;CARROT_BED_CAP,T$4&gt;MESCLUN_BED_CAP,$A379+$B379+T$4&gt;TOTAL_BEDS_AVAILABLE,($D379+T$5)&gt;TOTAL_LABOR_HOURS_CAP,MAX(0,($D379+T$5)-PERMANENT_FIELD_LABOR_HOURS)&gt;TEMP_HOURS_CAP),"",$C379+T$6-MIN(($D379+T$5),PERMANENT_FIELD_LABOR_HOURS)*PERMANENT_HOURLY_RATE-MAX(0,($D379+T$5)-PERMANENT_FIELD_LABOR_HOURS)*TEMP_HOURLY_RATE-FIXED_SEASON_COST)</f>
        <v/>
      </c>
      <c r="U379" s="53" t="str">
        <f aca="false">IF(OR($A379&gt;TOMATO_BED_CAP,$B379&gt;CARROT_BED_CAP,U$4&gt;MESCLUN_BED_CAP,$A379+$B379+U$4&gt;TOTAL_BEDS_AVAILABLE,($D379+U$5)&gt;TOTAL_LABOR_HOURS_CAP,MAX(0,($D379+U$5)-PERMANENT_FIELD_LABOR_HOURS)&gt;TEMP_HOURS_CAP),"",$C379+U$6-MIN(($D379+U$5),PERMANENT_FIELD_LABOR_HOURS)*PERMANENT_HOURLY_RATE-MAX(0,($D379+U$5)-PERMANENT_FIELD_LABOR_HOURS)*TEMP_HOURLY_RATE-FIXED_SEASON_COST)</f>
        <v/>
      </c>
      <c r="V379" s="53" t="str">
        <f aca="false">IF(OR($A379&gt;TOMATO_BED_CAP,$B379&gt;CARROT_BED_CAP,V$4&gt;MESCLUN_BED_CAP,$A379+$B379+V$4&gt;TOTAL_BEDS_AVAILABLE,($D379+V$5)&gt;TOTAL_LABOR_HOURS_CAP,MAX(0,($D379+V$5)-PERMANENT_FIELD_LABOR_HOURS)&gt;TEMP_HOURS_CAP),"",$C379+V$6-MIN(($D379+V$5),PERMANENT_FIELD_LABOR_HOURS)*PERMANENT_HOURLY_RATE-MAX(0,($D379+V$5)-PERMANENT_FIELD_LABOR_HOURS)*TEMP_HOURLY_RATE-FIXED_SEASON_COST)</f>
        <v/>
      </c>
      <c r="W379" s="53" t="str">
        <f aca="false">IF(OR($A379&gt;TOMATO_BED_CAP,$B379&gt;CARROT_BED_CAP,W$4&gt;MESCLUN_BED_CAP,$A379+$B379+W$4&gt;TOTAL_BEDS_AVAILABLE,($D379+W$5)&gt;TOTAL_LABOR_HOURS_CAP,MAX(0,($D379+W$5)-PERMANENT_FIELD_LABOR_HOURS)&gt;TEMP_HOURS_CAP),"",$C379+W$6-MIN(($D379+W$5),PERMANENT_FIELD_LABOR_HOURS)*PERMANENT_HOURLY_RATE-MAX(0,($D379+W$5)-PERMANENT_FIELD_LABOR_HOURS)*TEMP_HOURLY_RATE-FIXED_SEASON_COST)</f>
        <v/>
      </c>
      <c r="X379" s="53" t="str">
        <f aca="false">IF(OR($A379&gt;TOMATO_BED_CAP,$B379&gt;CARROT_BED_CAP,X$4&gt;MESCLUN_BED_CAP,$A379+$B379+X$4&gt;TOTAL_BEDS_AVAILABLE,($D379+X$5)&gt;TOTAL_LABOR_HOURS_CAP,MAX(0,($D379+X$5)-PERMANENT_FIELD_LABOR_HOURS)&gt;TEMP_HOURS_CAP),"",$C379+X$6-MIN(($D379+X$5),PERMANENT_FIELD_LABOR_HOURS)*PERMANENT_HOURLY_RATE-MAX(0,($D379+X$5)-PERMANENT_FIELD_LABOR_HOURS)*TEMP_HOURLY_RATE-FIXED_SEASON_COST)</f>
        <v/>
      </c>
      <c r="Y379" s="53" t="str">
        <f aca="false">IF(OR($A379&gt;TOMATO_BED_CAP,$B379&gt;CARROT_BED_CAP,Y$4&gt;MESCLUN_BED_CAP,$A379+$B379+Y$4&gt;TOTAL_BEDS_AVAILABLE,($D379+Y$5)&gt;TOTAL_LABOR_HOURS_CAP,MAX(0,($D379+Y$5)-PERMANENT_FIELD_LABOR_HOURS)&gt;TEMP_HOURS_CAP),"",$C379+Y$6-MIN(($D379+Y$5),PERMANENT_FIELD_LABOR_HOURS)*PERMANENT_HOURLY_RATE-MAX(0,($D379+Y$5)-PERMANENT_FIELD_LABOR_HOURS)*TEMP_HOURLY_RATE-FIXED_SEASON_COST)</f>
        <v/>
      </c>
      <c r="Z379" s="53" t="str">
        <f aca="false">IF(OR($A379&gt;TOMATO_BED_CAP,$B379&gt;CARROT_BED_CAP,Z$4&gt;MESCLUN_BED_CAP,$A379+$B379+Z$4&gt;TOTAL_BEDS_AVAILABLE,($D379+Z$5)&gt;TOTAL_LABOR_HOURS_CAP,MAX(0,($D379+Z$5)-PERMANENT_FIELD_LABOR_HOURS)&gt;TEMP_HOURS_CAP),"",$C379+Z$6-MIN(($D379+Z$5),PERMANENT_FIELD_LABOR_HOURS)*PERMANENT_HOURLY_RATE-MAX(0,($D379+Z$5)-PERMANENT_FIELD_LABOR_HOURS)*TEMP_HOURLY_RATE-FIXED_SEASON_COST)</f>
        <v/>
      </c>
      <c r="AA379" s="53" t="str">
        <f aca="false">IF(OR($A379&gt;TOMATO_BED_CAP,$B379&gt;CARROT_BED_CAP,AA$4&gt;MESCLUN_BED_CAP,$A379+$B379+AA$4&gt;TOTAL_BEDS_AVAILABLE,($D379+AA$5)&gt;TOTAL_LABOR_HOURS_CAP,MAX(0,($D379+AA$5)-PERMANENT_FIELD_LABOR_HOURS)&gt;TEMP_HOURS_CAP),"",$C379+AA$6-MIN(($D379+AA$5),PERMANENT_FIELD_LABOR_HOURS)*PERMANENT_HOURLY_RATE-MAX(0,($D379+AA$5)-PERMANENT_FIELD_LABOR_HOURS)*TEMP_HOURLY_RATE-FIXED_SEASON_COST)</f>
        <v/>
      </c>
      <c r="AB379" s="53" t="str">
        <f aca="false">IF(OR($A379&gt;TOMATO_BED_CAP,$B379&gt;CARROT_BED_CAP,AB$4&gt;MESCLUN_BED_CAP,$A379+$B379+AB$4&gt;TOTAL_BEDS_AVAILABLE,($D379+AB$5)&gt;TOTAL_LABOR_HOURS_CAP,MAX(0,($D379+AB$5)-PERMANENT_FIELD_LABOR_HOURS)&gt;TEMP_HOURS_CAP),"",$C379+AB$6-MIN(($D379+AB$5),PERMANENT_FIELD_LABOR_HOURS)*PERMANENT_HOURLY_RATE-MAX(0,($D379+AB$5)-PERMANENT_FIELD_LABOR_HOURS)*TEMP_HOURLY_RATE-FIXED_SEASON_COST)</f>
        <v/>
      </c>
      <c r="AC379" s="53" t="str">
        <f aca="false">IF(OR($A379&gt;TOMATO_BED_CAP,$B379&gt;CARROT_BED_CAP,AC$4&gt;MESCLUN_BED_CAP,$A379+$B379+AC$4&gt;TOTAL_BEDS_AVAILABLE,($D379+AC$5)&gt;TOTAL_LABOR_HOURS_CAP,MAX(0,($D379+AC$5)-PERMANENT_FIELD_LABOR_HOURS)&gt;TEMP_HOURS_CAP),"",$C379+AC$6-MIN(($D379+AC$5),PERMANENT_FIELD_LABOR_HOURS)*PERMANENT_HOURLY_RATE-MAX(0,($D379+AC$5)-PERMANENT_FIELD_LABOR_HOURS)*TEMP_HOURLY_RATE-FIXED_SEASON_COST)</f>
        <v/>
      </c>
      <c r="AD379" s="53" t="str">
        <f aca="false">IF(OR($A379&gt;TOMATO_BED_CAP,$B379&gt;CARROT_BED_CAP,AD$4&gt;MESCLUN_BED_CAP,$A379+$B379+AD$4&gt;TOTAL_BEDS_AVAILABLE,($D379+AD$5)&gt;TOTAL_LABOR_HOURS_CAP,MAX(0,($D379+AD$5)-PERMANENT_FIELD_LABOR_HOURS)&gt;TEMP_HOURS_CAP),"",$C379+AD$6-MIN(($D379+AD$5),PERMANENT_FIELD_LABOR_HOURS)*PERMANENT_HOURLY_RATE-MAX(0,($D379+AD$5)-PERMANENT_FIELD_LABOR_HOURS)*TEMP_HOURLY_RATE-FIXED_SEASON_COST)</f>
        <v/>
      </c>
      <c r="AE379" s="53" t="str">
        <f aca="false">IF(OR($A379&gt;TOMATO_BED_CAP,$B379&gt;CARROT_BED_CAP,AE$4&gt;MESCLUN_BED_CAP,$A379+$B379+AE$4&gt;TOTAL_BEDS_AVAILABLE,($D379+AE$5)&gt;TOTAL_LABOR_HOURS_CAP,MAX(0,($D379+AE$5)-PERMANENT_FIELD_LABOR_HOURS)&gt;TEMP_HOURS_CAP),"",$C379+AE$6-MIN(($D379+AE$5),PERMANENT_FIELD_LABOR_HOURS)*PERMANENT_HOURLY_RATE-MAX(0,($D379+AE$5)-PERMANENT_FIELD_LABOR_HOURS)*TEMP_HOURLY_RATE-FIXED_SEASON_COST)</f>
        <v/>
      </c>
      <c r="AF379" s="53" t="str">
        <f aca="false">IF(OR($A379&gt;TOMATO_BED_CAP,$B379&gt;CARROT_BED_CAP,AF$4&gt;MESCLUN_BED_CAP,$A379+$B379+AF$4&gt;TOTAL_BEDS_AVAILABLE,($D379+AF$5)&gt;TOTAL_LABOR_HOURS_CAP,MAX(0,($D379+AF$5)-PERMANENT_FIELD_LABOR_HOURS)&gt;TEMP_HOURS_CAP),"",$C379+AF$6-MIN(($D379+AF$5),PERMANENT_FIELD_LABOR_HOURS)*PERMANENT_HOURLY_RATE-MAX(0,($D379+AF$5)-PERMANENT_FIELD_LABOR_HOURS)*TEMP_HOURLY_RATE-FIXED_SEASON_COST)</f>
        <v/>
      </c>
      <c r="AG379" s="53" t="str">
        <f aca="false">IF(OR($A379&gt;TOMATO_BED_CAP,$B379&gt;CARROT_BED_CAP,AG$4&gt;MESCLUN_BED_CAP,$A379+$B379+AG$4&gt;TOTAL_BEDS_AVAILABLE,($D379+AG$5)&gt;TOTAL_LABOR_HOURS_CAP,MAX(0,($D379+AG$5)-PERMANENT_FIELD_LABOR_HOURS)&gt;TEMP_HOURS_CAP),"",$C379+AG$6-MIN(($D379+AG$5),PERMANENT_FIELD_LABOR_HOURS)*PERMANENT_HOURLY_RATE-MAX(0,($D379+AG$5)-PERMANENT_FIELD_LABOR_HOURS)*TEMP_HOURLY_RATE-FIXED_SEASON_COST)</f>
        <v/>
      </c>
      <c r="AH379" s="53" t="str">
        <f aca="false">IF(OR($A379&gt;TOMATO_BED_CAP,$B379&gt;CARROT_BED_CAP,AH$4&gt;MESCLUN_BED_CAP,$A379+$B379+AH$4&gt;TOTAL_BEDS_AVAILABLE,($D379+AH$5)&gt;TOTAL_LABOR_HOURS_CAP,MAX(0,($D379+AH$5)-PERMANENT_FIELD_LABOR_HOURS)&gt;TEMP_HOURS_CAP),"",$C379+AH$6-MIN(($D379+AH$5),PERMANENT_FIELD_LABOR_HOURS)*PERMANENT_HOURLY_RATE-MAX(0,($D379+AH$5)-PERMANENT_FIELD_LABOR_HOURS)*TEMP_HOURLY_RATE-FIXED_SEASON_COST)</f>
        <v/>
      </c>
      <c r="AI379" s="53" t="str">
        <f aca="false">IF(OR($A379&gt;TOMATO_BED_CAP,$B379&gt;CARROT_BED_CAP,AI$4&gt;MESCLUN_BED_CAP,$A379+$B379+AI$4&gt;TOTAL_BEDS_AVAILABLE,($D379+AI$5)&gt;TOTAL_LABOR_HOURS_CAP,MAX(0,($D379+AI$5)-PERMANENT_FIELD_LABOR_HOURS)&gt;TEMP_HOURS_CAP),"",$C379+AI$6-MIN(($D379+AI$5),PERMANENT_FIELD_LABOR_HOURS)*PERMANENT_HOURLY_RATE-MAX(0,($D379+AI$5)-PERMANENT_FIELD_LABOR_HOURS)*TEMP_HOURLY_RATE-FIXED_SEASON_COST)</f>
        <v/>
      </c>
      <c r="AJ379" s="53" t="str">
        <f aca="false">IF(OR($A379&gt;TOMATO_BED_CAP,$B379&gt;CARROT_BED_CAP,AJ$4&gt;MESCLUN_BED_CAP,$A379+$B379+AJ$4&gt;TOTAL_BEDS_AVAILABLE,($D379+AJ$5)&gt;TOTAL_LABOR_HOURS_CAP,MAX(0,($D379+AJ$5)-PERMANENT_FIELD_LABOR_HOURS)&gt;TEMP_HOURS_CAP),"",$C379+AJ$6-MIN(($D379+AJ$5),PERMANENT_FIELD_LABOR_HOURS)*PERMANENT_HOURLY_RATE-MAX(0,($D379+AJ$5)-PERMANENT_FIELD_LABOR_HOURS)*TEMP_HOURLY_RATE-FIXED_SEASON_COST)</f>
        <v/>
      </c>
    </row>
    <row r="380" customFormat="false" ht="15" hidden="false" customHeight="false" outlineLevel="0" collapsed="false">
      <c r="A380" s="21" t="n">
        <f aca="false">INT((ROW()-ROW($A$8))/(20+1))</f>
        <v>17</v>
      </c>
      <c r="B380" s="21" t="n">
        <f aca="false">MOD(ROW()-ROW($A$8),20+1)</f>
        <v>15</v>
      </c>
      <c r="C380" s="13" t="n">
        <f aca="false">A380*(TOMATO_REVENUE_PER_BED-TOMATO_FERTILIZER_PER_BED)+B380*(CARROT_REVENUE_PER_BED-CARROT_FERTILIZER_PER_BED)</f>
        <v>159450</v>
      </c>
      <c r="D380" s="14" t="n">
        <f aca="false">INDEX(TOMATO_SCHED_LABOR_HRS,A380+1)+INDEX(CARROT_SCHED_LABOR_HRS,B380+1)</f>
        <v>8384.81301729339</v>
      </c>
      <c r="E380" s="13" t="str">
        <f aca="false">IF(COUNT(F380:AJ380)=0,"",MAX(F380:AJ380))</f>
        <v/>
      </c>
      <c r="F380" s="53" t="str">
        <f aca="false">IF(OR($A380&gt;TOMATO_BED_CAP,$B380&gt;CARROT_BED_CAP,F$4&gt;MESCLUN_BED_CAP,$A380+$B380+F$4&gt;TOTAL_BEDS_AVAILABLE,($D380+F$5)&gt;TOTAL_LABOR_HOURS_CAP,MAX(0,($D380+F$5)-PERMANENT_FIELD_LABOR_HOURS)&gt;TEMP_HOURS_CAP),"",$C380+F$6-MIN(($D380+F$5),PERMANENT_FIELD_LABOR_HOURS)*PERMANENT_HOURLY_RATE-MAX(0,($D380+F$5)-PERMANENT_FIELD_LABOR_HOURS)*TEMP_HOURLY_RATE-FIXED_SEASON_COST)</f>
        <v/>
      </c>
      <c r="G380" s="53" t="str">
        <f aca="false">IF(OR($A380&gt;TOMATO_BED_CAP,$B380&gt;CARROT_BED_CAP,G$4&gt;MESCLUN_BED_CAP,$A380+$B380+G$4&gt;TOTAL_BEDS_AVAILABLE,($D380+G$5)&gt;TOTAL_LABOR_HOURS_CAP,MAX(0,($D380+G$5)-PERMANENT_FIELD_LABOR_HOURS)&gt;TEMP_HOURS_CAP),"",$C380+G$6-MIN(($D380+G$5),PERMANENT_FIELD_LABOR_HOURS)*PERMANENT_HOURLY_RATE-MAX(0,($D380+G$5)-PERMANENT_FIELD_LABOR_HOURS)*TEMP_HOURLY_RATE-FIXED_SEASON_COST)</f>
        <v/>
      </c>
      <c r="H380" s="53" t="str">
        <f aca="false">IF(OR($A380&gt;TOMATO_BED_CAP,$B380&gt;CARROT_BED_CAP,H$4&gt;MESCLUN_BED_CAP,$A380+$B380+H$4&gt;TOTAL_BEDS_AVAILABLE,($D380+H$5)&gt;TOTAL_LABOR_HOURS_CAP,MAX(0,($D380+H$5)-PERMANENT_FIELD_LABOR_HOURS)&gt;TEMP_HOURS_CAP),"",$C380+H$6-MIN(($D380+H$5),PERMANENT_FIELD_LABOR_HOURS)*PERMANENT_HOURLY_RATE-MAX(0,($D380+H$5)-PERMANENT_FIELD_LABOR_HOURS)*TEMP_HOURLY_RATE-FIXED_SEASON_COST)</f>
        <v/>
      </c>
      <c r="I380" s="53" t="str">
        <f aca="false">IF(OR($A380&gt;TOMATO_BED_CAP,$B380&gt;CARROT_BED_CAP,I$4&gt;MESCLUN_BED_CAP,$A380+$B380+I$4&gt;TOTAL_BEDS_AVAILABLE,($D380+I$5)&gt;TOTAL_LABOR_HOURS_CAP,MAX(0,($D380+I$5)-PERMANENT_FIELD_LABOR_HOURS)&gt;TEMP_HOURS_CAP),"",$C380+I$6-MIN(($D380+I$5),PERMANENT_FIELD_LABOR_HOURS)*PERMANENT_HOURLY_RATE-MAX(0,($D380+I$5)-PERMANENT_FIELD_LABOR_HOURS)*TEMP_HOURLY_RATE-FIXED_SEASON_COST)</f>
        <v/>
      </c>
      <c r="J380" s="53" t="str">
        <f aca="false">IF(OR($A380&gt;TOMATO_BED_CAP,$B380&gt;CARROT_BED_CAP,J$4&gt;MESCLUN_BED_CAP,$A380+$B380+J$4&gt;TOTAL_BEDS_AVAILABLE,($D380+J$5)&gt;TOTAL_LABOR_HOURS_CAP,MAX(0,($D380+J$5)-PERMANENT_FIELD_LABOR_HOURS)&gt;TEMP_HOURS_CAP),"",$C380+J$6-MIN(($D380+J$5),PERMANENT_FIELD_LABOR_HOURS)*PERMANENT_HOURLY_RATE-MAX(0,($D380+J$5)-PERMANENT_FIELD_LABOR_HOURS)*TEMP_HOURLY_RATE-FIXED_SEASON_COST)</f>
        <v/>
      </c>
      <c r="K380" s="53" t="str">
        <f aca="false">IF(OR($A380&gt;TOMATO_BED_CAP,$B380&gt;CARROT_BED_CAP,K$4&gt;MESCLUN_BED_CAP,$A380+$B380+K$4&gt;TOTAL_BEDS_AVAILABLE,($D380+K$5)&gt;TOTAL_LABOR_HOURS_CAP,MAX(0,($D380+K$5)-PERMANENT_FIELD_LABOR_HOURS)&gt;TEMP_HOURS_CAP),"",$C380+K$6-MIN(($D380+K$5),PERMANENT_FIELD_LABOR_HOURS)*PERMANENT_HOURLY_RATE-MAX(0,($D380+K$5)-PERMANENT_FIELD_LABOR_HOURS)*TEMP_HOURLY_RATE-FIXED_SEASON_COST)</f>
        <v/>
      </c>
      <c r="L380" s="53" t="str">
        <f aca="false">IF(OR($A380&gt;TOMATO_BED_CAP,$B380&gt;CARROT_BED_CAP,L$4&gt;MESCLUN_BED_CAP,$A380+$B380+L$4&gt;TOTAL_BEDS_AVAILABLE,($D380+L$5)&gt;TOTAL_LABOR_HOURS_CAP,MAX(0,($D380+L$5)-PERMANENT_FIELD_LABOR_HOURS)&gt;TEMP_HOURS_CAP),"",$C380+L$6-MIN(($D380+L$5),PERMANENT_FIELD_LABOR_HOURS)*PERMANENT_HOURLY_RATE-MAX(0,($D380+L$5)-PERMANENT_FIELD_LABOR_HOURS)*TEMP_HOURLY_RATE-FIXED_SEASON_COST)</f>
        <v/>
      </c>
      <c r="M380" s="53" t="str">
        <f aca="false">IF(OR($A380&gt;TOMATO_BED_CAP,$B380&gt;CARROT_BED_CAP,M$4&gt;MESCLUN_BED_CAP,$A380+$B380+M$4&gt;TOTAL_BEDS_AVAILABLE,($D380+M$5)&gt;TOTAL_LABOR_HOURS_CAP,MAX(0,($D380+M$5)-PERMANENT_FIELD_LABOR_HOURS)&gt;TEMP_HOURS_CAP),"",$C380+M$6-MIN(($D380+M$5),PERMANENT_FIELD_LABOR_HOURS)*PERMANENT_HOURLY_RATE-MAX(0,($D380+M$5)-PERMANENT_FIELD_LABOR_HOURS)*TEMP_HOURLY_RATE-FIXED_SEASON_COST)</f>
        <v/>
      </c>
      <c r="N380" s="53" t="str">
        <f aca="false">IF(OR($A380&gt;TOMATO_BED_CAP,$B380&gt;CARROT_BED_CAP,N$4&gt;MESCLUN_BED_CAP,$A380+$B380+N$4&gt;TOTAL_BEDS_AVAILABLE,($D380+N$5)&gt;TOTAL_LABOR_HOURS_CAP,MAX(0,($D380+N$5)-PERMANENT_FIELD_LABOR_HOURS)&gt;TEMP_HOURS_CAP),"",$C380+N$6-MIN(($D380+N$5),PERMANENT_FIELD_LABOR_HOURS)*PERMANENT_HOURLY_RATE-MAX(0,($D380+N$5)-PERMANENT_FIELD_LABOR_HOURS)*TEMP_HOURLY_RATE-FIXED_SEASON_COST)</f>
        <v/>
      </c>
      <c r="O380" s="53" t="str">
        <f aca="false">IF(OR($A380&gt;TOMATO_BED_CAP,$B380&gt;CARROT_BED_CAP,O$4&gt;MESCLUN_BED_CAP,$A380+$B380+O$4&gt;TOTAL_BEDS_AVAILABLE,($D380+O$5)&gt;TOTAL_LABOR_HOURS_CAP,MAX(0,($D380+O$5)-PERMANENT_FIELD_LABOR_HOURS)&gt;TEMP_HOURS_CAP),"",$C380+O$6-MIN(($D380+O$5),PERMANENT_FIELD_LABOR_HOURS)*PERMANENT_HOURLY_RATE-MAX(0,($D380+O$5)-PERMANENT_FIELD_LABOR_HOURS)*TEMP_HOURLY_RATE-FIXED_SEASON_COST)</f>
        <v/>
      </c>
      <c r="P380" s="53" t="str">
        <f aca="false">IF(OR($A380&gt;TOMATO_BED_CAP,$B380&gt;CARROT_BED_CAP,P$4&gt;MESCLUN_BED_CAP,$A380+$B380+P$4&gt;TOTAL_BEDS_AVAILABLE,($D380+P$5)&gt;TOTAL_LABOR_HOURS_CAP,MAX(0,($D380+P$5)-PERMANENT_FIELD_LABOR_HOURS)&gt;TEMP_HOURS_CAP),"",$C380+P$6-MIN(($D380+P$5),PERMANENT_FIELD_LABOR_HOURS)*PERMANENT_HOURLY_RATE-MAX(0,($D380+P$5)-PERMANENT_FIELD_LABOR_HOURS)*TEMP_HOURLY_RATE-FIXED_SEASON_COST)</f>
        <v/>
      </c>
      <c r="Q380" s="53" t="str">
        <f aca="false">IF(OR($A380&gt;TOMATO_BED_CAP,$B380&gt;CARROT_BED_CAP,Q$4&gt;MESCLUN_BED_CAP,$A380+$B380+Q$4&gt;TOTAL_BEDS_AVAILABLE,($D380+Q$5)&gt;TOTAL_LABOR_HOURS_CAP,MAX(0,($D380+Q$5)-PERMANENT_FIELD_LABOR_HOURS)&gt;TEMP_HOURS_CAP),"",$C380+Q$6-MIN(($D380+Q$5),PERMANENT_FIELD_LABOR_HOURS)*PERMANENT_HOURLY_RATE-MAX(0,($D380+Q$5)-PERMANENT_FIELD_LABOR_HOURS)*TEMP_HOURLY_RATE-FIXED_SEASON_COST)</f>
        <v/>
      </c>
      <c r="R380" s="53" t="str">
        <f aca="false">IF(OR($A380&gt;TOMATO_BED_CAP,$B380&gt;CARROT_BED_CAP,R$4&gt;MESCLUN_BED_CAP,$A380+$B380+R$4&gt;TOTAL_BEDS_AVAILABLE,($D380+R$5)&gt;TOTAL_LABOR_HOURS_CAP,MAX(0,($D380+R$5)-PERMANENT_FIELD_LABOR_HOURS)&gt;TEMP_HOURS_CAP),"",$C380+R$6-MIN(($D380+R$5),PERMANENT_FIELD_LABOR_HOURS)*PERMANENT_HOURLY_RATE-MAX(0,($D380+R$5)-PERMANENT_FIELD_LABOR_HOURS)*TEMP_HOURLY_RATE-FIXED_SEASON_COST)</f>
        <v/>
      </c>
      <c r="S380" s="53" t="str">
        <f aca="false">IF(OR($A380&gt;TOMATO_BED_CAP,$B380&gt;CARROT_BED_CAP,S$4&gt;MESCLUN_BED_CAP,$A380+$B380+S$4&gt;TOTAL_BEDS_AVAILABLE,($D380+S$5)&gt;TOTAL_LABOR_HOURS_CAP,MAX(0,($D380+S$5)-PERMANENT_FIELD_LABOR_HOURS)&gt;TEMP_HOURS_CAP),"",$C380+S$6-MIN(($D380+S$5),PERMANENT_FIELD_LABOR_HOURS)*PERMANENT_HOURLY_RATE-MAX(0,($D380+S$5)-PERMANENT_FIELD_LABOR_HOURS)*TEMP_HOURLY_RATE-FIXED_SEASON_COST)</f>
        <v/>
      </c>
      <c r="T380" s="53" t="str">
        <f aca="false">IF(OR($A380&gt;TOMATO_BED_CAP,$B380&gt;CARROT_BED_CAP,T$4&gt;MESCLUN_BED_CAP,$A380+$B380+T$4&gt;TOTAL_BEDS_AVAILABLE,($D380+T$5)&gt;TOTAL_LABOR_HOURS_CAP,MAX(0,($D380+T$5)-PERMANENT_FIELD_LABOR_HOURS)&gt;TEMP_HOURS_CAP),"",$C380+T$6-MIN(($D380+T$5),PERMANENT_FIELD_LABOR_HOURS)*PERMANENT_HOURLY_RATE-MAX(0,($D380+T$5)-PERMANENT_FIELD_LABOR_HOURS)*TEMP_HOURLY_RATE-FIXED_SEASON_COST)</f>
        <v/>
      </c>
      <c r="U380" s="53" t="str">
        <f aca="false">IF(OR($A380&gt;TOMATO_BED_CAP,$B380&gt;CARROT_BED_CAP,U$4&gt;MESCLUN_BED_CAP,$A380+$B380+U$4&gt;TOTAL_BEDS_AVAILABLE,($D380+U$5)&gt;TOTAL_LABOR_HOURS_CAP,MAX(0,($D380+U$5)-PERMANENT_FIELD_LABOR_HOURS)&gt;TEMP_HOURS_CAP),"",$C380+U$6-MIN(($D380+U$5),PERMANENT_FIELD_LABOR_HOURS)*PERMANENT_HOURLY_RATE-MAX(0,($D380+U$5)-PERMANENT_FIELD_LABOR_HOURS)*TEMP_HOURLY_RATE-FIXED_SEASON_COST)</f>
        <v/>
      </c>
      <c r="V380" s="53" t="str">
        <f aca="false">IF(OR($A380&gt;TOMATO_BED_CAP,$B380&gt;CARROT_BED_CAP,V$4&gt;MESCLUN_BED_CAP,$A380+$B380+V$4&gt;TOTAL_BEDS_AVAILABLE,($D380+V$5)&gt;TOTAL_LABOR_HOURS_CAP,MAX(0,($D380+V$5)-PERMANENT_FIELD_LABOR_HOURS)&gt;TEMP_HOURS_CAP),"",$C380+V$6-MIN(($D380+V$5),PERMANENT_FIELD_LABOR_HOURS)*PERMANENT_HOURLY_RATE-MAX(0,($D380+V$5)-PERMANENT_FIELD_LABOR_HOURS)*TEMP_HOURLY_RATE-FIXED_SEASON_COST)</f>
        <v/>
      </c>
      <c r="W380" s="53" t="str">
        <f aca="false">IF(OR($A380&gt;TOMATO_BED_CAP,$B380&gt;CARROT_BED_CAP,W$4&gt;MESCLUN_BED_CAP,$A380+$B380+W$4&gt;TOTAL_BEDS_AVAILABLE,($D380+W$5)&gt;TOTAL_LABOR_HOURS_CAP,MAX(0,($D380+W$5)-PERMANENT_FIELD_LABOR_HOURS)&gt;TEMP_HOURS_CAP),"",$C380+W$6-MIN(($D380+W$5),PERMANENT_FIELD_LABOR_HOURS)*PERMANENT_HOURLY_RATE-MAX(0,($D380+W$5)-PERMANENT_FIELD_LABOR_HOURS)*TEMP_HOURLY_RATE-FIXED_SEASON_COST)</f>
        <v/>
      </c>
      <c r="X380" s="53" t="str">
        <f aca="false">IF(OR($A380&gt;TOMATO_BED_CAP,$B380&gt;CARROT_BED_CAP,X$4&gt;MESCLUN_BED_CAP,$A380+$B380+X$4&gt;TOTAL_BEDS_AVAILABLE,($D380+X$5)&gt;TOTAL_LABOR_HOURS_CAP,MAX(0,($D380+X$5)-PERMANENT_FIELD_LABOR_HOURS)&gt;TEMP_HOURS_CAP),"",$C380+X$6-MIN(($D380+X$5),PERMANENT_FIELD_LABOR_HOURS)*PERMANENT_HOURLY_RATE-MAX(0,($D380+X$5)-PERMANENT_FIELD_LABOR_HOURS)*TEMP_HOURLY_RATE-FIXED_SEASON_COST)</f>
        <v/>
      </c>
      <c r="Y380" s="53" t="str">
        <f aca="false">IF(OR($A380&gt;TOMATO_BED_CAP,$B380&gt;CARROT_BED_CAP,Y$4&gt;MESCLUN_BED_CAP,$A380+$B380+Y$4&gt;TOTAL_BEDS_AVAILABLE,($D380+Y$5)&gt;TOTAL_LABOR_HOURS_CAP,MAX(0,($D380+Y$5)-PERMANENT_FIELD_LABOR_HOURS)&gt;TEMP_HOURS_CAP),"",$C380+Y$6-MIN(($D380+Y$5),PERMANENT_FIELD_LABOR_HOURS)*PERMANENT_HOURLY_RATE-MAX(0,($D380+Y$5)-PERMANENT_FIELD_LABOR_HOURS)*TEMP_HOURLY_RATE-FIXED_SEASON_COST)</f>
        <v/>
      </c>
      <c r="Z380" s="53" t="str">
        <f aca="false">IF(OR($A380&gt;TOMATO_BED_CAP,$B380&gt;CARROT_BED_CAP,Z$4&gt;MESCLUN_BED_CAP,$A380+$B380+Z$4&gt;TOTAL_BEDS_AVAILABLE,($D380+Z$5)&gt;TOTAL_LABOR_HOURS_CAP,MAX(0,($D380+Z$5)-PERMANENT_FIELD_LABOR_HOURS)&gt;TEMP_HOURS_CAP),"",$C380+Z$6-MIN(($D380+Z$5),PERMANENT_FIELD_LABOR_HOURS)*PERMANENT_HOURLY_RATE-MAX(0,($D380+Z$5)-PERMANENT_FIELD_LABOR_HOURS)*TEMP_HOURLY_RATE-FIXED_SEASON_COST)</f>
        <v/>
      </c>
      <c r="AA380" s="53" t="str">
        <f aca="false">IF(OR($A380&gt;TOMATO_BED_CAP,$B380&gt;CARROT_BED_CAP,AA$4&gt;MESCLUN_BED_CAP,$A380+$B380+AA$4&gt;TOTAL_BEDS_AVAILABLE,($D380+AA$5)&gt;TOTAL_LABOR_HOURS_CAP,MAX(0,($D380+AA$5)-PERMANENT_FIELD_LABOR_HOURS)&gt;TEMP_HOURS_CAP),"",$C380+AA$6-MIN(($D380+AA$5),PERMANENT_FIELD_LABOR_HOURS)*PERMANENT_HOURLY_RATE-MAX(0,($D380+AA$5)-PERMANENT_FIELD_LABOR_HOURS)*TEMP_HOURLY_RATE-FIXED_SEASON_COST)</f>
        <v/>
      </c>
      <c r="AB380" s="53" t="str">
        <f aca="false">IF(OR($A380&gt;TOMATO_BED_CAP,$B380&gt;CARROT_BED_CAP,AB$4&gt;MESCLUN_BED_CAP,$A380+$B380+AB$4&gt;TOTAL_BEDS_AVAILABLE,($D380+AB$5)&gt;TOTAL_LABOR_HOURS_CAP,MAX(0,($D380+AB$5)-PERMANENT_FIELD_LABOR_HOURS)&gt;TEMP_HOURS_CAP),"",$C380+AB$6-MIN(($D380+AB$5),PERMANENT_FIELD_LABOR_HOURS)*PERMANENT_HOURLY_RATE-MAX(0,($D380+AB$5)-PERMANENT_FIELD_LABOR_HOURS)*TEMP_HOURLY_RATE-FIXED_SEASON_COST)</f>
        <v/>
      </c>
      <c r="AC380" s="53" t="str">
        <f aca="false">IF(OR($A380&gt;TOMATO_BED_CAP,$B380&gt;CARROT_BED_CAP,AC$4&gt;MESCLUN_BED_CAP,$A380+$B380+AC$4&gt;TOTAL_BEDS_AVAILABLE,($D380+AC$5)&gt;TOTAL_LABOR_HOURS_CAP,MAX(0,($D380+AC$5)-PERMANENT_FIELD_LABOR_HOURS)&gt;TEMP_HOURS_CAP),"",$C380+AC$6-MIN(($D380+AC$5),PERMANENT_FIELD_LABOR_HOURS)*PERMANENT_HOURLY_RATE-MAX(0,($D380+AC$5)-PERMANENT_FIELD_LABOR_HOURS)*TEMP_HOURLY_RATE-FIXED_SEASON_COST)</f>
        <v/>
      </c>
      <c r="AD380" s="53" t="str">
        <f aca="false">IF(OR($A380&gt;TOMATO_BED_CAP,$B380&gt;CARROT_BED_CAP,AD$4&gt;MESCLUN_BED_CAP,$A380+$B380+AD$4&gt;TOTAL_BEDS_AVAILABLE,($D380+AD$5)&gt;TOTAL_LABOR_HOURS_CAP,MAX(0,($D380+AD$5)-PERMANENT_FIELD_LABOR_HOURS)&gt;TEMP_HOURS_CAP),"",$C380+AD$6-MIN(($D380+AD$5),PERMANENT_FIELD_LABOR_HOURS)*PERMANENT_HOURLY_RATE-MAX(0,($D380+AD$5)-PERMANENT_FIELD_LABOR_HOURS)*TEMP_HOURLY_RATE-FIXED_SEASON_COST)</f>
        <v/>
      </c>
      <c r="AE380" s="53" t="str">
        <f aca="false">IF(OR($A380&gt;TOMATO_BED_CAP,$B380&gt;CARROT_BED_CAP,AE$4&gt;MESCLUN_BED_CAP,$A380+$B380+AE$4&gt;TOTAL_BEDS_AVAILABLE,($D380+AE$5)&gt;TOTAL_LABOR_HOURS_CAP,MAX(0,($D380+AE$5)-PERMANENT_FIELD_LABOR_HOURS)&gt;TEMP_HOURS_CAP),"",$C380+AE$6-MIN(($D380+AE$5),PERMANENT_FIELD_LABOR_HOURS)*PERMANENT_HOURLY_RATE-MAX(0,($D380+AE$5)-PERMANENT_FIELD_LABOR_HOURS)*TEMP_HOURLY_RATE-FIXED_SEASON_COST)</f>
        <v/>
      </c>
      <c r="AF380" s="53" t="str">
        <f aca="false">IF(OR($A380&gt;TOMATO_BED_CAP,$B380&gt;CARROT_BED_CAP,AF$4&gt;MESCLUN_BED_CAP,$A380+$B380+AF$4&gt;TOTAL_BEDS_AVAILABLE,($D380+AF$5)&gt;TOTAL_LABOR_HOURS_CAP,MAX(0,($D380+AF$5)-PERMANENT_FIELD_LABOR_HOURS)&gt;TEMP_HOURS_CAP),"",$C380+AF$6-MIN(($D380+AF$5),PERMANENT_FIELD_LABOR_HOURS)*PERMANENT_HOURLY_RATE-MAX(0,($D380+AF$5)-PERMANENT_FIELD_LABOR_HOURS)*TEMP_HOURLY_RATE-FIXED_SEASON_COST)</f>
        <v/>
      </c>
      <c r="AG380" s="53" t="str">
        <f aca="false">IF(OR($A380&gt;TOMATO_BED_CAP,$B380&gt;CARROT_BED_CAP,AG$4&gt;MESCLUN_BED_CAP,$A380+$B380+AG$4&gt;TOTAL_BEDS_AVAILABLE,($D380+AG$5)&gt;TOTAL_LABOR_HOURS_CAP,MAX(0,($D380+AG$5)-PERMANENT_FIELD_LABOR_HOURS)&gt;TEMP_HOURS_CAP),"",$C380+AG$6-MIN(($D380+AG$5),PERMANENT_FIELD_LABOR_HOURS)*PERMANENT_HOURLY_RATE-MAX(0,($D380+AG$5)-PERMANENT_FIELD_LABOR_HOURS)*TEMP_HOURLY_RATE-FIXED_SEASON_COST)</f>
        <v/>
      </c>
      <c r="AH380" s="53" t="str">
        <f aca="false">IF(OR($A380&gt;TOMATO_BED_CAP,$B380&gt;CARROT_BED_CAP,AH$4&gt;MESCLUN_BED_CAP,$A380+$B380+AH$4&gt;TOTAL_BEDS_AVAILABLE,($D380+AH$5)&gt;TOTAL_LABOR_HOURS_CAP,MAX(0,($D380+AH$5)-PERMANENT_FIELD_LABOR_HOURS)&gt;TEMP_HOURS_CAP),"",$C380+AH$6-MIN(($D380+AH$5),PERMANENT_FIELD_LABOR_HOURS)*PERMANENT_HOURLY_RATE-MAX(0,($D380+AH$5)-PERMANENT_FIELD_LABOR_HOURS)*TEMP_HOURLY_RATE-FIXED_SEASON_COST)</f>
        <v/>
      </c>
      <c r="AI380" s="53" t="str">
        <f aca="false">IF(OR($A380&gt;TOMATO_BED_CAP,$B380&gt;CARROT_BED_CAP,AI$4&gt;MESCLUN_BED_CAP,$A380+$B380+AI$4&gt;TOTAL_BEDS_AVAILABLE,($D380+AI$5)&gt;TOTAL_LABOR_HOURS_CAP,MAX(0,($D380+AI$5)-PERMANENT_FIELD_LABOR_HOURS)&gt;TEMP_HOURS_CAP),"",$C380+AI$6-MIN(($D380+AI$5),PERMANENT_FIELD_LABOR_HOURS)*PERMANENT_HOURLY_RATE-MAX(0,($D380+AI$5)-PERMANENT_FIELD_LABOR_HOURS)*TEMP_HOURLY_RATE-FIXED_SEASON_COST)</f>
        <v/>
      </c>
      <c r="AJ380" s="53" t="str">
        <f aca="false">IF(OR($A380&gt;TOMATO_BED_CAP,$B380&gt;CARROT_BED_CAP,AJ$4&gt;MESCLUN_BED_CAP,$A380+$B380+AJ$4&gt;TOTAL_BEDS_AVAILABLE,($D380+AJ$5)&gt;TOTAL_LABOR_HOURS_CAP,MAX(0,($D380+AJ$5)-PERMANENT_FIELD_LABOR_HOURS)&gt;TEMP_HOURS_CAP),"",$C380+AJ$6-MIN(($D380+AJ$5),PERMANENT_FIELD_LABOR_HOURS)*PERMANENT_HOURLY_RATE-MAX(0,($D380+AJ$5)-PERMANENT_FIELD_LABOR_HOURS)*TEMP_HOURLY_RATE-FIXED_SEASON_COST)</f>
        <v/>
      </c>
    </row>
    <row r="381" customFormat="false" ht="15" hidden="false" customHeight="false" outlineLevel="0" collapsed="false">
      <c r="A381" s="21" t="n">
        <f aca="false">INT((ROW()-ROW($A$8))/(20+1))</f>
        <v>17</v>
      </c>
      <c r="B381" s="21" t="n">
        <f aca="false">MOD(ROW()-ROW($A$8),20+1)</f>
        <v>16</v>
      </c>
      <c r="C381" s="13" t="n">
        <f aca="false">A381*(TOMATO_REVENUE_PER_BED-TOMATO_FERTILIZER_PER_BED)+B381*(CARROT_REVENUE_PER_BED-CARROT_FERTILIZER_PER_BED)</f>
        <v>161104</v>
      </c>
      <c r="D381" s="14" t="n">
        <f aca="false">INDEX(TOMATO_SCHED_LABOR_HRS,A381+1)+INDEX(CARROT_SCHED_LABOR_HRS,B381+1)</f>
        <v>8445.61720887711</v>
      </c>
      <c r="E381" s="13" t="str">
        <f aca="false">IF(COUNT(F381:AJ381)=0,"",MAX(F381:AJ381))</f>
        <v/>
      </c>
      <c r="F381" s="53" t="str">
        <f aca="false">IF(OR($A381&gt;TOMATO_BED_CAP,$B381&gt;CARROT_BED_CAP,F$4&gt;MESCLUN_BED_CAP,$A381+$B381+F$4&gt;TOTAL_BEDS_AVAILABLE,($D381+F$5)&gt;TOTAL_LABOR_HOURS_CAP,MAX(0,($D381+F$5)-PERMANENT_FIELD_LABOR_HOURS)&gt;TEMP_HOURS_CAP),"",$C381+F$6-MIN(($D381+F$5),PERMANENT_FIELD_LABOR_HOURS)*PERMANENT_HOURLY_RATE-MAX(0,($D381+F$5)-PERMANENT_FIELD_LABOR_HOURS)*TEMP_HOURLY_RATE-FIXED_SEASON_COST)</f>
        <v/>
      </c>
      <c r="G381" s="53" t="str">
        <f aca="false">IF(OR($A381&gt;TOMATO_BED_CAP,$B381&gt;CARROT_BED_CAP,G$4&gt;MESCLUN_BED_CAP,$A381+$B381+G$4&gt;TOTAL_BEDS_AVAILABLE,($D381+G$5)&gt;TOTAL_LABOR_HOURS_CAP,MAX(0,($D381+G$5)-PERMANENT_FIELD_LABOR_HOURS)&gt;TEMP_HOURS_CAP),"",$C381+G$6-MIN(($D381+G$5),PERMANENT_FIELD_LABOR_HOURS)*PERMANENT_HOURLY_RATE-MAX(0,($D381+G$5)-PERMANENT_FIELD_LABOR_HOURS)*TEMP_HOURLY_RATE-FIXED_SEASON_COST)</f>
        <v/>
      </c>
      <c r="H381" s="53" t="str">
        <f aca="false">IF(OR($A381&gt;TOMATO_BED_CAP,$B381&gt;CARROT_BED_CAP,H$4&gt;MESCLUN_BED_CAP,$A381+$B381+H$4&gt;TOTAL_BEDS_AVAILABLE,($D381+H$5)&gt;TOTAL_LABOR_HOURS_CAP,MAX(0,($D381+H$5)-PERMANENT_FIELD_LABOR_HOURS)&gt;TEMP_HOURS_CAP),"",$C381+H$6-MIN(($D381+H$5),PERMANENT_FIELD_LABOR_HOURS)*PERMANENT_HOURLY_RATE-MAX(0,($D381+H$5)-PERMANENT_FIELD_LABOR_HOURS)*TEMP_HOURLY_RATE-FIXED_SEASON_COST)</f>
        <v/>
      </c>
      <c r="I381" s="53" t="str">
        <f aca="false">IF(OR($A381&gt;TOMATO_BED_CAP,$B381&gt;CARROT_BED_CAP,I$4&gt;MESCLUN_BED_CAP,$A381+$B381+I$4&gt;TOTAL_BEDS_AVAILABLE,($D381+I$5)&gt;TOTAL_LABOR_HOURS_CAP,MAX(0,($D381+I$5)-PERMANENT_FIELD_LABOR_HOURS)&gt;TEMP_HOURS_CAP),"",$C381+I$6-MIN(($D381+I$5),PERMANENT_FIELD_LABOR_HOURS)*PERMANENT_HOURLY_RATE-MAX(0,($D381+I$5)-PERMANENT_FIELD_LABOR_HOURS)*TEMP_HOURLY_RATE-FIXED_SEASON_COST)</f>
        <v/>
      </c>
      <c r="J381" s="53" t="str">
        <f aca="false">IF(OR($A381&gt;TOMATO_BED_CAP,$B381&gt;CARROT_BED_CAP,J$4&gt;MESCLUN_BED_CAP,$A381+$B381+J$4&gt;TOTAL_BEDS_AVAILABLE,($D381+J$5)&gt;TOTAL_LABOR_HOURS_CAP,MAX(0,($D381+J$5)-PERMANENT_FIELD_LABOR_HOURS)&gt;TEMP_HOURS_CAP),"",$C381+J$6-MIN(($D381+J$5),PERMANENT_FIELD_LABOR_HOURS)*PERMANENT_HOURLY_RATE-MAX(0,($D381+J$5)-PERMANENT_FIELD_LABOR_HOURS)*TEMP_HOURLY_RATE-FIXED_SEASON_COST)</f>
        <v/>
      </c>
      <c r="K381" s="53" t="str">
        <f aca="false">IF(OR($A381&gt;TOMATO_BED_CAP,$B381&gt;CARROT_BED_CAP,K$4&gt;MESCLUN_BED_CAP,$A381+$B381+K$4&gt;TOTAL_BEDS_AVAILABLE,($D381+K$5)&gt;TOTAL_LABOR_HOURS_CAP,MAX(0,($D381+K$5)-PERMANENT_FIELD_LABOR_HOURS)&gt;TEMP_HOURS_CAP),"",$C381+K$6-MIN(($D381+K$5),PERMANENT_FIELD_LABOR_HOURS)*PERMANENT_HOURLY_RATE-MAX(0,($D381+K$5)-PERMANENT_FIELD_LABOR_HOURS)*TEMP_HOURLY_RATE-FIXED_SEASON_COST)</f>
        <v/>
      </c>
      <c r="L381" s="53" t="str">
        <f aca="false">IF(OR($A381&gt;TOMATO_BED_CAP,$B381&gt;CARROT_BED_CAP,L$4&gt;MESCLUN_BED_CAP,$A381+$B381+L$4&gt;TOTAL_BEDS_AVAILABLE,($D381+L$5)&gt;TOTAL_LABOR_HOURS_CAP,MAX(0,($D381+L$5)-PERMANENT_FIELD_LABOR_HOURS)&gt;TEMP_HOURS_CAP),"",$C381+L$6-MIN(($D381+L$5),PERMANENT_FIELD_LABOR_HOURS)*PERMANENT_HOURLY_RATE-MAX(0,($D381+L$5)-PERMANENT_FIELD_LABOR_HOURS)*TEMP_HOURLY_RATE-FIXED_SEASON_COST)</f>
        <v/>
      </c>
      <c r="M381" s="53" t="str">
        <f aca="false">IF(OR($A381&gt;TOMATO_BED_CAP,$B381&gt;CARROT_BED_CAP,M$4&gt;MESCLUN_BED_CAP,$A381+$B381+M$4&gt;TOTAL_BEDS_AVAILABLE,($D381+M$5)&gt;TOTAL_LABOR_HOURS_CAP,MAX(0,($D381+M$5)-PERMANENT_FIELD_LABOR_HOURS)&gt;TEMP_HOURS_CAP),"",$C381+M$6-MIN(($D381+M$5),PERMANENT_FIELD_LABOR_HOURS)*PERMANENT_HOURLY_RATE-MAX(0,($D381+M$5)-PERMANENT_FIELD_LABOR_HOURS)*TEMP_HOURLY_RATE-FIXED_SEASON_COST)</f>
        <v/>
      </c>
      <c r="N381" s="53" t="str">
        <f aca="false">IF(OR($A381&gt;TOMATO_BED_CAP,$B381&gt;CARROT_BED_CAP,N$4&gt;MESCLUN_BED_CAP,$A381+$B381+N$4&gt;TOTAL_BEDS_AVAILABLE,($D381+N$5)&gt;TOTAL_LABOR_HOURS_CAP,MAX(0,($D381+N$5)-PERMANENT_FIELD_LABOR_HOURS)&gt;TEMP_HOURS_CAP),"",$C381+N$6-MIN(($D381+N$5),PERMANENT_FIELD_LABOR_HOURS)*PERMANENT_HOURLY_RATE-MAX(0,($D381+N$5)-PERMANENT_FIELD_LABOR_HOURS)*TEMP_HOURLY_RATE-FIXED_SEASON_COST)</f>
        <v/>
      </c>
      <c r="O381" s="53" t="str">
        <f aca="false">IF(OR($A381&gt;TOMATO_BED_CAP,$B381&gt;CARROT_BED_CAP,O$4&gt;MESCLUN_BED_CAP,$A381+$B381+O$4&gt;TOTAL_BEDS_AVAILABLE,($D381+O$5)&gt;TOTAL_LABOR_HOURS_CAP,MAX(0,($D381+O$5)-PERMANENT_FIELD_LABOR_HOURS)&gt;TEMP_HOURS_CAP),"",$C381+O$6-MIN(($D381+O$5),PERMANENT_FIELD_LABOR_HOURS)*PERMANENT_HOURLY_RATE-MAX(0,($D381+O$5)-PERMANENT_FIELD_LABOR_HOURS)*TEMP_HOURLY_RATE-FIXED_SEASON_COST)</f>
        <v/>
      </c>
      <c r="P381" s="53" t="str">
        <f aca="false">IF(OR($A381&gt;TOMATO_BED_CAP,$B381&gt;CARROT_BED_CAP,P$4&gt;MESCLUN_BED_CAP,$A381+$B381+P$4&gt;TOTAL_BEDS_AVAILABLE,($D381+P$5)&gt;TOTAL_LABOR_HOURS_CAP,MAX(0,($D381+P$5)-PERMANENT_FIELD_LABOR_HOURS)&gt;TEMP_HOURS_CAP),"",$C381+P$6-MIN(($D381+P$5),PERMANENT_FIELD_LABOR_HOURS)*PERMANENT_HOURLY_RATE-MAX(0,($D381+P$5)-PERMANENT_FIELD_LABOR_HOURS)*TEMP_HOURLY_RATE-FIXED_SEASON_COST)</f>
        <v/>
      </c>
      <c r="Q381" s="53" t="str">
        <f aca="false">IF(OR($A381&gt;TOMATO_BED_CAP,$B381&gt;CARROT_BED_CAP,Q$4&gt;MESCLUN_BED_CAP,$A381+$B381+Q$4&gt;TOTAL_BEDS_AVAILABLE,($D381+Q$5)&gt;TOTAL_LABOR_HOURS_CAP,MAX(0,($D381+Q$5)-PERMANENT_FIELD_LABOR_HOURS)&gt;TEMP_HOURS_CAP),"",$C381+Q$6-MIN(($D381+Q$5),PERMANENT_FIELD_LABOR_HOURS)*PERMANENT_HOURLY_RATE-MAX(0,($D381+Q$5)-PERMANENT_FIELD_LABOR_HOURS)*TEMP_HOURLY_RATE-FIXED_SEASON_COST)</f>
        <v/>
      </c>
      <c r="R381" s="53" t="str">
        <f aca="false">IF(OR($A381&gt;TOMATO_BED_CAP,$B381&gt;CARROT_BED_CAP,R$4&gt;MESCLUN_BED_CAP,$A381+$B381+R$4&gt;TOTAL_BEDS_AVAILABLE,($D381+R$5)&gt;TOTAL_LABOR_HOURS_CAP,MAX(0,($D381+R$5)-PERMANENT_FIELD_LABOR_HOURS)&gt;TEMP_HOURS_CAP),"",$C381+R$6-MIN(($D381+R$5),PERMANENT_FIELD_LABOR_HOURS)*PERMANENT_HOURLY_RATE-MAX(0,($D381+R$5)-PERMANENT_FIELD_LABOR_HOURS)*TEMP_HOURLY_RATE-FIXED_SEASON_COST)</f>
        <v/>
      </c>
      <c r="S381" s="53" t="str">
        <f aca="false">IF(OR($A381&gt;TOMATO_BED_CAP,$B381&gt;CARROT_BED_CAP,S$4&gt;MESCLUN_BED_CAP,$A381+$B381+S$4&gt;TOTAL_BEDS_AVAILABLE,($D381+S$5)&gt;TOTAL_LABOR_HOURS_CAP,MAX(0,($D381+S$5)-PERMANENT_FIELD_LABOR_HOURS)&gt;TEMP_HOURS_CAP),"",$C381+S$6-MIN(($D381+S$5),PERMANENT_FIELD_LABOR_HOURS)*PERMANENT_HOURLY_RATE-MAX(0,($D381+S$5)-PERMANENT_FIELD_LABOR_HOURS)*TEMP_HOURLY_RATE-FIXED_SEASON_COST)</f>
        <v/>
      </c>
      <c r="T381" s="53" t="str">
        <f aca="false">IF(OR($A381&gt;TOMATO_BED_CAP,$B381&gt;CARROT_BED_CAP,T$4&gt;MESCLUN_BED_CAP,$A381+$B381+T$4&gt;TOTAL_BEDS_AVAILABLE,($D381+T$5)&gt;TOTAL_LABOR_HOURS_CAP,MAX(0,($D381+T$5)-PERMANENT_FIELD_LABOR_HOURS)&gt;TEMP_HOURS_CAP),"",$C381+T$6-MIN(($D381+T$5),PERMANENT_FIELD_LABOR_HOURS)*PERMANENT_HOURLY_RATE-MAX(0,($D381+T$5)-PERMANENT_FIELD_LABOR_HOURS)*TEMP_HOURLY_RATE-FIXED_SEASON_COST)</f>
        <v/>
      </c>
      <c r="U381" s="53" t="str">
        <f aca="false">IF(OR($A381&gt;TOMATO_BED_CAP,$B381&gt;CARROT_BED_CAP,U$4&gt;MESCLUN_BED_CAP,$A381+$B381+U$4&gt;TOTAL_BEDS_AVAILABLE,($D381+U$5)&gt;TOTAL_LABOR_HOURS_CAP,MAX(0,($D381+U$5)-PERMANENT_FIELD_LABOR_HOURS)&gt;TEMP_HOURS_CAP),"",$C381+U$6-MIN(($D381+U$5),PERMANENT_FIELD_LABOR_HOURS)*PERMANENT_HOURLY_RATE-MAX(0,($D381+U$5)-PERMANENT_FIELD_LABOR_HOURS)*TEMP_HOURLY_RATE-FIXED_SEASON_COST)</f>
        <v/>
      </c>
      <c r="V381" s="53" t="str">
        <f aca="false">IF(OR($A381&gt;TOMATO_BED_CAP,$B381&gt;CARROT_BED_CAP,V$4&gt;MESCLUN_BED_CAP,$A381+$B381+V$4&gt;TOTAL_BEDS_AVAILABLE,($D381+V$5)&gt;TOTAL_LABOR_HOURS_CAP,MAX(0,($D381+V$5)-PERMANENT_FIELD_LABOR_HOURS)&gt;TEMP_HOURS_CAP),"",$C381+V$6-MIN(($D381+V$5),PERMANENT_FIELD_LABOR_HOURS)*PERMANENT_HOURLY_RATE-MAX(0,($D381+V$5)-PERMANENT_FIELD_LABOR_HOURS)*TEMP_HOURLY_RATE-FIXED_SEASON_COST)</f>
        <v/>
      </c>
      <c r="W381" s="53" t="str">
        <f aca="false">IF(OR($A381&gt;TOMATO_BED_CAP,$B381&gt;CARROT_BED_CAP,W$4&gt;MESCLUN_BED_CAP,$A381+$B381+W$4&gt;TOTAL_BEDS_AVAILABLE,($D381+W$5)&gt;TOTAL_LABOR_HOURS_CAP,MAX(0,($D381+W$5)-PERMANENT_FIELD_LABOR_HOURS)&gt;TEMP_HOURS_CAP),"",$C381+W$6-MIN(($D381+W$5),PERMANENT_FIELD_LABOR_HOURS)*PERMANENT_HOURLY_RATE-MAX(0,($D381+W$5)-PERMANENT_FIELD_LABOR_HOURS)*TEMP_HOURLY_RATE-FIXED_SEASON_COST)</f>
        <v/>
      </c>
      <c r="X381" s="53" t="str">
        <f aca="false">IF(OR($A381&gt;TOMATO_BED_CAP,$B381&gt;CARROT_BED_CAP,X$4&gt;MESCLUN_BED_CAP,$A381+$B381+X$4&gt;TOTAL_BEDS_AVAILABLE,($D381+X$5)&gt;TOTAL_LABOR_HOURS_CAP,MAX(0,($D381+X$5)-PERMANENT_FIELD_LABOR_HOURS)&gt;TEMP_HOURS_CAP),"",$C381+X$6-MIN(($D381+X$5),PERMANENT_FIELD_LABOR_HOURS)*PERMANENT_HOURLY_RATE-MAX(0,($D381+X$5)-PERMANENT_FIELD_LABOR_HOURS)*TEMP_HOURLY_RATE-FIXED_SEASON_COST)</f>
        <v/>
      </c>
      <c r="Y381" s="53" t="str">
        <f aca="false">IF(OR($A381&gt;TOMATO_BED_CAP,$B381&gt;CARROT_BED_CAP,Y$4&gt;MESCLUN_BED_CAP,$A381+$B381+Y$4&gt;TOTAL_BEDS_AVAILABLE,($D381+Y$5)&gt;TOTAL_LABOR_HOURS_CAP,MAX(0,($D381+Y$5)-PERMANENT_FIELD_LABOR_HOURS)&gt;TEMP_HOURS_CAP),"",$C381+Y$6-MIN(($D381+Y$5),PERMANENT_FIELD_LABOR_HOURS)*PERMANENT_HOURLY_RATE-MAX(0,($D381+Y$5)-PERMANENT_FIELD_LABOR_HOURS)*TEMP_HOURLY_RATE-FIXED_SEASON_COST)</f>
        <v/>
      </c>
      <c r="Z381" s="53" t="str">
        <f aca="false">IF(OR($A381&gt;TOMATO_BED_CAP,$B381&gt;CARROT_BED_CAP,Z$4&gt;MESCLUN_BED_CAP,$A381+$B381+Z$4&gt;TOTAL_BEDS_AVAILABLE,($D381+Z$5)&gt;TOTAL_LABOR_HOURS_CAP,MAX(0,($D381+Z$5)-PERMANENT_FIELD_LABOR_HOURS)&gt;TEMP_HOURS_CAP),"",$C381+Z$6-MIN(($D381+Z$5),PERMANENT_FIELD_LABOR_HOURS)*PERMANENT_HOURLY_RATE-MAX(0,($D381+Z$5)-PERMANENT_FIELD_LABOR_HOURS)*TEMP_HOURLY_RATE-FIXED_SEASON_COST)</f>
        <v/>
      </c>
      <c r="AA381" s="53" t="str">
        <f aca="false">IF(OR($A381&gt;TOMATO_BED_CAP,$B381&gt;CARROT_BED_CAP,AA$4&gt;MESCLUN_BED_CAP,$A381+$B381+AA$4&gt;TOTAL_BEDS_AVAILABLE,($D381+AA$5)&gt;TOTAL_LABOR_HOURS_CAP,MAX(0,($D381+AA$5)-PERMANENT_FIELD_LABOR_HOURS)&gt;TEMP_HOURS_CAP),"",$C381+AA$6-MIN(($D381+AA$5),PERMANENT_FIELD_LABOR_HOURS)*PERMANENT_HOURLY_RATE-MAX(0,($D381+AA$5)-PERMANENT_FIELD_LABOR_HOURS)*TEMP_HOURLY_RATE-FIXED_SEASON_COST)</f>
        <v/>
      </c>
      <c r="AB381" s="53" t="str">
        <f aca="false">IF(OR($A381&gt;TOMATO_BED_CAP,$B381&gt;CARROT_BED_CAP,AB$4&gt;MESCLUN_BED_CAP,$A381+$B381+AB$4&gt;TOTAL_BEDS_AVAILABLE,($D381+AB$5)&gt;TOTAL_LABOR_HOURS_CAP,MAX(0,($D381+AB$5)-PERMANENT_FIELD_LABOR_HOURS)&gt;TEMP_HOURS_CAP),"",$C381+AB$6-MIN(($D381+AB$5),PERMANENT_FIELD_LABOR_HOURS)*PERMANENT_HOURLY_RATE-MAX(0,($D381+AB$5)-PERMANENT_FIELD_LABOR_HOURS)*TEMP_HOURLY_RATE-FIXED_SEASON_COST)</f>
        <v/>
      </c>
      <c r="AC381" s="53" t="str">
        <f aca="false">IF(OR($A381&gt;TOMATO_BED_CAP,$B381&gt;CARROT_BED_CAP,AC$4&gt;MESCLUN_BED_CAP,$A381+$B381+AC$4&gt;TOTAL_BEDS_AVAILABLE,($D381+AC$5)&gt;TOTAL_LABOR_HOURS_CAP,MAX(0,($D381+AC$5)-PERMANENT_FIELD_LABOR_HOURS)&gt;TEMP_HOURS_CAP),"",$C381+AC$6-MIN(($D381+AC$5),PERMANENT_FIELD_LABOR_HOURS)*PERMANENT_HOURLY_RATE-MAX(0,($D381+AC$5)-PERMANENT_FIELD_LABOR_HOURS)*TEMP_HOURLY_RATE-FIXED_SEASON_COST)</f>
        <v/>
      </c>
      <c r="AD381" s="53" t="str">
        <f aca="false">IF(OR($A381&gt;TOMATO_BED_CAP,$B381&gt;CARROT_BED_CAP,AD$4&gt;MESCLUN_BED_CAP,$A381+$B381+AD$4&gt;TOTAL_BEDS_AVAILABLE,($D381+AD$5)&gt;TOTAL_LABOR_HOURS_CAP,MAX(0,($D381+AD$5)-PERMANENT_FIELD_LABOR_HOURS)&gt;TEMP_HOURS_CAP),"",$C381+AD$6-MIN(($D381+AD$5),PERMANENT_FIELD_LABOR_HOURS)*PERMANENT_HOURLY_RATE-MAX(0,($D381+AD$5)-PERMANENT_FIELD_LABOR_HOURS)*TEMP_HOURLY_RATE-FIXED_SEASON_COST)</f>
        <v/>
      </c>
      <c r="AE381" s="53" t="str">
        <f aca="false">IF(OR($A381&gt;TOMATO_BED_CAP,$B381&gt;CARROT_BED_CAP,AE$4&gt;MESCLUN_BED_CAP,$A381+$B381+AE$4&gt;TOTAL_BEDS_AVAILABLE,($D381+AE$5)&gt;TOTAL_LABOR_HOURS_CAP,MAX(0,($D381+AE$5)-PERMANENT_FIELD_LABOR_HOURS)&gt;TEMP_HOURS_CAP),"",$C381+AE$6-MIN(($D381+AE$5),PERMANENT_FIELD_LABOR_HOURS)*PERMANENT_HOURLY_RATE-MAX(0,($D381+AE$5)-PERMANENT_FIELD_LABOR_HOURS)*TEMP_HOURLY_RATE-FIXED_SEASON_COST)</f>
        <v/>
      </c>
      <c r="AF381" s="53" t="str">
        <f aca="false">IF(OR($A381&gt;TOMATO_BED_CAP,$B381&gt;CARROT_BED_CAP,AF$4&gt;MESCLUN_BED_CAP,$A381+$B381+AF$4&gt;TOTAL_BEDS_AVAILABLE,($D381+AF$5)&gt;TOTAL_LABOR_HOURS_CAP,MAX(0,($D381+AF$5)-PERMANENT_FIELD_LABOR_HOURS)&gt;TEMP_HOURS_CAP),"",$C381+AF$6-MIN(($D381+AF$5),PERMANENT_FIELD_LABOR_HOURS)*PERMANENT_HOURLY_RATE-MAX(0,($D381+AF$5)-PERMANENT_FIELD_LABOR_HOURS)*TEMP_HOURLY_RATE-FIXED_SEASON_COST)</f>
        <v/>
      </c>
      <c r="AG381" s="53" t="str">
        <f aca="false">IF(OR($A381&gt;TOMATO_BED_CAP,$B381&gt;CARROT_BED_CAP,AG$4&gt;MESCLUN_BED_CAP,$A381+$B381+AG$4&gt;TOTAL_BEDS_AVAILABLE,($D381+AG$5)&gt;TOTAL_LABOR_HOURS_CAP,MAX(0,($D381+AG$5)-PERMANENT_FIELD_LABOR_HOURS)&gt;TEMP_HOURS_CAP),"",$C381+AG$6-MIN(($D381+AG$5),PERMANENT_FIELD_LABOR_HOURS)*PERMANENT_HOURLY_RATE-MAX(0,($D381+AG$5)-PERMANENT_FIELD_LABOR_HOURS)*TEMP_HOURLY_RATE-FIXED_SEASON_COST)</f>
        <v/>
      </c>
      <c r="AH381" s="53" t="str">
        <f aca="false">IF(OR($A381&gt;TOMATO_BED_CAP,$B381&gt;CARROT_BED_CAP,AH$4&gt;MESCLUN_BED_CAP,$A381+$B381+AH$4&gt;TOTAL_BEDS_AVAILABLE,($D381+AH$5)&gt;TOTAL_LABOR_HOURS_CAP,MAX(0,($D381+AH$5)-PERMANENT_FIELD_LABOR_HOURS)&gt;TEMP_HOURS_CAP),"",$C381+AH$6-MIN(($D381+AH$5),PERMANENT_FIELD_LABOR_HOURS)*PERMANENT_HOURLY_RATE-MAX(0,($D381+AH$5)-PERMANENT_FIELD_LABOR_HOURS)*TEMP_HOURLY_RATE-FIXED_SEASON_COST)</f>
        <v/>
      </c>
      <c r="AI381" s="53" t="str">
        <f aca="false">IF(OR($A381&gt;TOMATO_BED_CAP,$B381&gt;CARROT_BED_CAP,AI$4&gt;MESCLUN_BED_CAP,$A381+$B381+AI$4&gt;TOTAL_BEDS_AVAILABLE,($D381+AI$5)&gt;TOTAL_LABOR_HOURS_CAP,MAX(0,($D381+AI$5)-PERMANENT_FIELD_LABOR_HOURS)&gt;TEMP_HOURS_CAP),"",$C381+AI$6-MIN(($D381+AI$5),PERMANENT_FIELD_LABOR_HOURS)*PERMANENT_HOURLY_RATE-MAX(0,($D381+AI$5)-PERMANENT_FIELD_LABOR_HOURS)*TEMP_HOURLY_RATE-FIXED_SEASON_COST)</f>
        <v/>
      </c>
      <c r="AJ381" s="53" t="str">
        <f aca="false">IF(OR($A381&gt;TOMATO_BED_CAP,$B381&gt;CARROT_BED_CAP,AJ$4&gt;MESCLUN_BED_CAP,$A381+$B381+AJ$4&gt;TOTAL_BEDS_AVAILABLE,($D381+AJ$5)&gt;TOTAL_LABOR_HOURS_CAP,MAX(0,($D381+AJ$5)-PERMANENT_FIELD_LABOR_HOURS)&gt;TEMP_HOURS_CAP),"",$C381+AJ$6-MIN(($D381+AJ$5),PERMANENT_FIELD_LABOR_HOURS)*PERMANENT_HOURLY_RATE-MAX(0,($D381+AJ$5)-PERMANENT_FIELD_LABOR_HOURS)*TEMP_HOURLY_RATE-FIXED_SEASON_COST)</f>
        <v/>
      </c>
    </row>
    <row r="382" customFormat="false" ht="15" hidden="false" customHeight="false" outlineLevel="0" collapsed="false">
      <c r="A382" s="21" t="n">
        <f aca="false">INT((ROW()-ROW($A$8))/(20+1))</f>
        <v>17</v>
      </c>
      <c r="B382" s="21" t="n">
        <f aca="false">MOD(ROW()-ROW($A$8),20+1)</f>
        <v>17</v>
      </c>
      <c r="C382" s="13" t="n">
        <f aca="false">A382*(TOMATO_REVENUE_PER_BED-TOMATO_FERTILIZER_PER_BED)+B382*(CARROT_REVENUE_PER_BED-CARROT_FERTILIZER_PER_BED)</f>
        <v>162758</v>
      </c>
      <c r="D382" s="14" t="n">
        <f aca="false">INDEX(TOMATO_SCHED_LABOR_HRS,A382+1)+INDEX(CARROT_SCHED_LABOR_HRS,B382+1)</f>
        <v>8509.05443911423</v>
      </c>
      <c r="E382" s="13" t="str">
        <f aca="false">IF(COUNT(F382:AJ382)=0,"",MAX(F382:AJ382))</f>
        <v/>
      </c>
      <c r="F382" s="53" t="str">
        <f aca="false">IF(OR($A382&gt;TOMATO_BED_CAP,$B382&gt;CARROT_BED_CAP,F$4&gt;MESCLUN_BED_CAP,$A382+$B382+F$4&gt;TOTAL_BEDS_AVAILABLE,($D382+F$5)&gt;TOTAL_LABOR_HOURS_CAP,MAX(0,($D382+F$5)-PERMANENT_FIELD_LABOR_HOURS)&gt;TEMP_HOURS_CAP),"",$C382+F$6-MIN(($D382+F$5),PERMANENT_FIELD_LABOR_HOURS)*PERMANENT_HOURLY_RATE-MAX(0,($D382+F$5)-PERMANENT_FIELD_LABOR_HOURS)*TEMP_HOURLY_RATE-FIXED_SEASON_COST)</f>
        <v/>
      </c>
      <c r="G382" s="53" t="str">
        <f aca="false">IF(OR($A382&gt;TOMATO_BED_CAP,$B382&gt;CARROT_BED_CAP,G$4&gt;MESCLUN_BED_CAP,$A382+$B382+G$4&gt;TOTAL_BEDS_AVAILABLE,($D382+G$5)&gt;TOTAL_LABOR_HOURS_CAP,MAX(0,($D382+G$5)-PERMANENT_FIELD_LABOR_HOURS)&gt;TEMP_HOURS_CAP),"",$C382+G$6-MIN(($D382+G$5),PERMANENT_FIELD_LABOR_HOURS)*PERMANENT_HOURLY_RATE-MAX(0,($D382+G$5)-PERMANENT_FIELD_LABOR_HOURS)*TEMP_HOURLY_RATE-FIXED_SEASON_COST)</f>
        <v/>
      </c>
      <c r="H382" s="53" t="str">
        <f aca="false">IF(OR($A382&gt;TOMATO_BED_CAP,$B382&gt;CARROT_BED_CAP,H$4&gt;MESCLUN_BED_CAP,$A382+$B382+H$4&gt;TOTAL_BEDS_AVAILABLE,($D382+H$5)&gt;TOTAL_LABOR_HOURS_CAP,MAX(0,($D382+H$5)-PERMANENT_FIELD_LABOR_HOURS)&gt;TEMP_HOURS_CAP),"",$C382+H$6-MIN(($D382+H$5),PERMANENT_FIELD_LABOR_HOURS)*PERMANENT_HOURLY_RATE-MAX(0,($D382+H$5)-PERMANENT_FIELD_LABOR_HOURS)*TEMP_HOURLY_RATE-FIXED_SEASON_COST)</f>
        <v/>
      </c>
      <c r="I382" s="53" t="str">
        <f aca="false">IF(OR($A382&gt;TOMATO_BED_CAP,$B382&gt;CARROT_BED_CAP,I$4&gt;MESCLUN_BED_CAP,$A382+$B382+I$4&gt;TOTAL_BEDS_AVAILABLE,($D382+I$5)&gt;TOTAL_LABOR_HOURS_CAP,MAX(0,($D382+I$5)-PERMANENT_FIELD_LABOR_HOURS)&gt;TEMP_HOURS_CAP),"",$C382+I$6-MIN(($D382+I$5),PERMANENT_FIELD_LABOR_HOURS)*PERMANENT_HOURLY_RATE-MAX(0,($D382+I$5)-PERMANENT_FIELD_LABOR_HOURS)*TEMP_HOURLY_RATE-FIXED_SEASON_COST)</f>
        <v/>
      </c>
      <c r="J382" s="53" t="str">
        <f aca="false">IF(OR($A382&gt;TOMATO_BED_CAP,$B382&gt;CARROT_BED_CAP,J$4&gt;MESCLUN_BED_CAP,$A382+$B382+J$4&gt;TOTAL_BEDS_AVAILABLE,($D382+J$5)&gt;TOTAL_LABOR_HOURS_CAP,MAX(0,($D382+J$5)-PERMANENT_FIELD_LABOR_HOURS)&gt;TEMP_HOURS_CAP),"",$C382+J$6-MIN(($D382+J$5),PERMANENT_FIELD_LABOR_HOURS)*PERMANENT_HOURLY_RATE-MAX(0,($D382+J$5)-PERMANENT_FIELD_LABOR_HOURS)*TEMP_HOURLY_RATE-FIXED_SEASON_COST)</f>
        <v/>
      </c>
      <c r="K382" s="53" t="str">
        <f aca="false">IF(OR($A382&gt;TOMATO_BED_CAP,$B382&gt;CARROT_BED_CAP,K$4&gt;MESCLUN_BED_CAP,$A382+$B382+K$4&gt;TOTAL_BEDS_AVAILABLE,($D382+K$5)&gt;TOTAL_LABOR_HOURS_CAP,MAX(0,($D382+K$5)-PERMANENT_FIELD_LABOR_HOURS)&gt;TEMP_HOURS_CAP),"",$C382+K$6-MIN(($D382+K$5),PERMANENT_FIELD_LABOR_HOURS)*PERMANENT_HOURLY_RATE-MAX(0,($D382+K$5)-PERMANENT_FIELD_LABOR_HOURS)*TEMP_HOURLY_RATE-FIXED_SEASON_COST)</f>
        <v/>
      </c>
      <c r="L382" s="53" t="str">
        <f aca="false">IF(OR($A382&gt;TOMATO_BED_CAP,$B382&gt;CARROT_BED_CAP,L$4&gt;MESCLUN_BED_CAP,$A382+$B382+L$4&gt;TOTAL_BEDS_AVAILABLE,($D382+L$5)&gt;TOTAL_LABOR_HOURS_CAP,MAX(0,($D382+L$5)-PERMANENT_FIELD_LABOR_HOURS)&gt;TEMP_HOURS_CAP),"",$C382+L$6-MIN(($D382+L$5),PERMANENT_FIELD_LABOR_HOURS)*PERMANENT_HOURLY_RATE-MAX(0,($D382+L$5)-PERMANENT_FIELD_LABOR_HOURS)*TEMP_HOURLY_RATE-FIXED_SEASON_COST)</f>
        <v/>
      </c>
      <c r="M382" s="53" t="str">
        <f aca="false">IF(OR($A382&gt;TOMATO_BED_CAP,$B382&gt;CARROT_BED_CAP,M$4&gt;MESCLUN_BED_CAP,$A382+$B382+M$4&gt;TOTAL_BEDS_AVAILABLE,($D382+M$5)&gt;TOTAL_LABOR_HOURS_CAP,MAX(0,($D382+M$5)-PERMANENT_FIELD_LABOR_HOURS)&gt;TEMP_HOURS_CAP),"",$C382+M$6-MIN(($D382+M$5),PERMANENT_FIELD_LABOR_HOURS)*PERMANENT_HOURLY_RATE-MAX(0,($D382+M$5)-PERMANENT_FIELD_LABOR_HOURS)*TEMP_HOURLY_RATE-FIXED_SEASON_COST)</f>
        <v/>
      </c>
      <c r="N382" s="53" t="str">
        <f aca="false">IF(OR($A382&gt;TOMATO_BED_CAP,$B382&gt;CARROT_BED_CAP,N$4&gt;MESCLUN_BED_CAP,$A382+$B382+N$4&gt;TOTAL_BEDS_AVAILABLE,($D382+N$5)&gt;TOTAL_LABOR_HOURS_CAP,MAX(0,($D382+N$5)-PERMANENT_FIELD_LABOR_HOURS)&gt;TEMP_HOURS_CAP),"",$C382+N$6-MIN(($D382+N$5),PERMANENT_FIELD_LABOR_HOURS)*PERMANENT_HOURLY_RATE-MAX(0,($D382+N$5)-PERMANENT_FIELD_LABOR_HOURS)*TEMP_HOURLY_RATE-FIXED_SEASON_COST)</f>
        <v/>
      </c>
      <c r="O382" s="53" t="str">
        <f aca="false">IF(OR($A382&gt;TOMATO_BED_CAP,$B382&gt;CARROT_BED_CAP,O$4&gt;MESCLUN_BED_CAP,$A382+$B382+O$4&gt;TOTAL_BEDS_AVAILABLE,($D382+O$5)&gt;TOTAL_LABOR_HOURS_CAP,MAX(0,($D382+O$5)-PERMANENT_FIELD_LABOR_HOURS)&gt;TEMP_HOURS_CAP),"",$C382+O$6-MIN(($D382+O$5),PERMANENT_FIELD_LABOR_HOURS)*PERMANENT_HOURLY_RATE-MAX(0,($D382+O$5)-PERMANENT_FIELD_LABOR_HOURS)*TEMP_HOURLY_RATE-FIXED_SEASON_COST)</f>
        <v/>
      </c>
      <c r="P382" s="53" t="str">
        <f aca="false">IF(OR($A382&gt;TOMATO_BED_CAP,$B382&gt;CARROT_BED_CAP,P$4&gt;MESCLUN_BED_CAP,$A382+$B382+P$4&gt;TOTAL_BEDS_AVAILABLE,($D382+P$5)&gt;TOTAL_LABOR_HOURS_CAP,MAX(0,($D382+P$5)-PERMANENT_FIELD_LABOR_HOURS)&gt;TEMP_HOURS_CAP),"",$C382+P$6-MIN(($D382+P$5),PERMANENT_FIELD_LABOR_HOURS)*PERMANENT_HOURLY_RATE-MAX(0,($D382+P$5)-PERMANENT_FIELD_LABOR_HOURS)*TEMP_HOURLY_RATE-FIXED_SEASON_COST)</f>
        <v/>
      </c>
      <c r="Q382" s="53" t="str">
        <f aca="false">IF(OR($A382&gt;TOMATO_BED_CAP,$B382&gt;CARROT_BED_CAP,Q$4&gt;MESCLUN_BED_CAP,$A382+$B382+Q$4&gt;TOTAL_BEDS_AVAILABLE,($D382+Q$5)&gt;TOTAL_LABOR_HOURS_CAP,MAX(0,($D382+Q$5)-PERMANENT_FIELD_LABOR_HOURS)&gt;TEMP_HOURS_CAP),"",$C382+Q$6-MIN(($D382+Q$5),PERMANENT_FIELD_LABOR_HOURS)*PERMANENT_HOURLY_RATE-MAX(0,($D382+Q$5)-PERMANENT_FIELD_LABOR_HOURS)*TEMP_HOURLY_RATE-FIXED_SEASON_COST)</f>
        <v/>
      </c>
      <c r="R382" s="53" t="str">
        <f aca="false">IF(OR($A382&gt;TOMATO_BED_CAP,$B382&gt;CARROT_BED_CAP,R$4&gt;MESCLUN_BED_CAP,$A382+$B382+R$4&gt;TOTAL_BEDS_AVAILABLE,($D382+R$5)&gt;TOTAL_LABOR_HOURS_CAP,MAX(0,($D382+R$5)-PERMANENT_FIELD_LABOR_HOURS)&gt;TEMP_HOURS_CAP),"",$C382+R$6-MIN(($D382+R$5),PERMANENT_FIELD_LABOR_HOURS)*PERMANENT_HOURLY_RATE-MAX(0,($D382+R$5)-PERMANENT_FIELD_LABOR_HOURS)*TEMP_HOURLY_RATE-FIXED_SEASON_COST)</f>
        <v/>
      </c>
      <c r="S382" s="53" t="str">
        <f aca="false">IF(OR($A382&gt;TOMATO_BED_CAP,$B382&gt;CARROT_BED_CAP,S$4&gt;MESCLUN_BED_CAP,$A382+$B382+S$4&gt;TOTAL_BEDS_AVAILABLE,($D382+S$5)&gt;TOTAL_LABOR_HOURS_CAP,MAX(0,($D382+S$5)-PERMANENT_FIELD_LABOR_HOURS)&gt;TEMP_HOURS_CAP),"",$C382+S$6-MIN(($D382+S$5),PERMANENT_FIELD_LABOR_HOURS)*PERMANENT_HOURLY_RATE-MAX(0,($D382+S$5)-PERMANENT_FIELD_LABOR_HOURS)*TEMP_HOURLY_RATE-FIXED_SEASON_COST)</f>
        <v/>
      </c>
      <c r="T382" s="53" t="str">
        <f aca="false">IF(OR($A382&gt;TOMATO_BED_CAP,$B382&gt;CARROT_BED_CAP,T$4&gt;MESCLUN_BED_CAP,$A382+$B382+T$4&gt;TOTAL_BEDS_AVAILABLE,($D382+T$5)&gt;TOTAL_LABOR_HOURS_CAP,MAX(0,($D382+T$5)-PERMANENT_FIELD_LABOR_HOURS)&gt;TEMP_HOURS_CAP),"",$C382+T$6-MIN(($D382+T$5),PERMANENT_FIELD_LABOR_HOURS)*PERMANENT_HOURLY_RATE-MAX(0,($D382+T$5)-PERMANENT_FIELD_LABOR_HOURS)*TEMP_HOURLY_RATE-FIXED_SEASON_COST)</f>
        <v/>
      </c>
      <c r="U382" s="53" t="str">
        <f aca="false">IF(OR($A382&gt;TOMATO_BED_CAP,$B382&gt;CARROT_BED_CAP,U$4&gt;MESCLUN_BED_CAP,$A382+$B382+U$4&gt;TOTAL_BEDS_AVAILABLE,($D382+U$5)&gt;TOTAL_LABOR_HOURS_CAP,MAX(0,($D382+U$5)-PERMANENT_FIELD_LABOR_HOURS)&gt;TEMP_HOURS_CAP),"",$C382+U$6-MIN(($D382+U$5),PERMANENT_FIELD_LABOR_HOURS)*PERMANENT_HOURLY_RATE-MAX(0,($D382+U$5)-PERMANENT_FIELD_LABOR_HOURS)*TEMP_HOURLY_RATE-FIXED_SEASON_COST)</f>
        <v/>
      </c>
      <c r="V382" s="53" t="str">
        <f aca="false">IF(OR($A382&gt;TOMATO_BED_CAP,$B382&gt;CARROT_BED_CAP,V$4&gt;MESCLUN_BED_CAP,$A382+$B382+V$4&gt;TOTAL_BEDS_AVAILABLE,($D382+V$5)&gt;TOTAL_LABOR_HOURS_CAP,MAX(0,($D382+V$5)-PERMANENT_FIELD_LABOR_HOURS)&gt;TEMP_HOURS_CAP),"",$C382+V$6-MIN(($D382+V$5),PERMANENT_FIELD_LABOR_HOURS)*PERMANENT_HOURLY_RATE-MAX(0,($D382+V$5)-PERMANENT_FIELD_LABOR_HOURS)*TEMP_HOURLY_RATE-FIXED_SEASON_COST)</f>
        <v/>
      </c>
      <c r="W382" s="53" t="str">
        <f aca="false">IF(OR($A382&gt;TOMATO_BED_CAP,$B382&gt;CARROT_BED_CAP,W$4&gt;MESCLUN_BED_CAP,$A382+$B382+W$4&gt;TOTAL_BEDS_AVAILABLE,($D382+W$5)&gt;TOTAL_LABOR_HOURS_CAP,MAX(0,($D382+W$5)-PERMANENT_FIELD_LABOR_HOURS)&gt;TEMP_HOURS_CAP),"",$C382+W$6-MIN(($D382+W$5),PERMANENT_FIELD_LABOR_HOURS)*PERMANENT_HOURLY_RATE-MAX(0,($D382+W$5)-PERMANENT_FIELD_LABOR_HOURS)*TEMP_HOURLY_RATE-FIXED_SEASON_COST)</f>
        <v/>
      </c>
      <c r="X382" s="53" t="str">
        <f aca="false">IF(OR($A382&gt;TOMATO_BED_CAP,$B382&gt;CARROT_BED_CAP,X$4&gt;MESCLUN_BED_CAP,$A382+$B382+X$4&gt;TOTAL_BEDS_AVAILABLE,($D382+X$5)&gt;TOTAL_LABOR_HOURS_CAP,MAX(0,($D382+X$5)-PERMANENT_FIELD_LABOR_HOURS)&gt;TEMP_HOURS_CAP),"",$C382+X$6-MIN(($D382+X$5),PERMANENT_FIELD_LABOR_HOURS)*PERMANENT_HOURLY_RATE-MAX(0,($D382+X$5)-PERMANENT_FIELD_LABOR_HOURS)*TEMP_HOURLY_RATE-FIXED_SEASON_COST)</f>
        <v/>
      </c>
      <c r="Y382" s="53" t="str">
        <f aca="false">IF(OR($A382&gt;TOMATO_BED_CAP,$B382&gt;CARROT_BED_CAP,Y$4&gt;MESCLUN_BED_CAP,$A382+$B382+Y$4&gt;TOTAL_BEDS_AVAILABLE,($D382+Y$5)&gt;TOTAL_LABOR_HOURS_CAP,MAX(0,($D382+Y$5)-PERMANENT_FIELD_LABOR_HOURS)&gt;TEMP_HOURS_CAP),"",$C382+Y$6-MIN(($D382+Y$5),PERMANENT_FIELD_LABOR_HOURS)*PERMANENT_HOURLY_RATE-MAX(0,($D382+Y$5)-PERMANENT_FIELD_LABOR_HOURS)*TEMP_HOURLY_RATE-FIXED_SEASON_COST)</f>
        <v/>
      </c>
      <c r="Z382" s="53" t="str">
        <f aca="false">IF(OR($A382&gt;TOMATO_BED_CAP,$B382&gt;CARROT_BED_CAP,Z$4&gt;MESCLUN_BED_CAP,$A382+$B382+Z$4&gt;TOTAL_BEDS_AVAILABLE,($D382+Z$5)&gt;TOTAL_LABOR_HOURS_CAP,MAX(0,($D382+Z$5)-PERMANENT_FIELD_LABOR_HOURS)&gt;TEMP_HOURS_CAP),"",$C382+Z$6-MIN(($D382+Z$5),PERMANENT_FIELD_LABOR_HOURS)*PERMANENT_HOURLY_RATE-MAX(0,($D382+Z$5)-PERMANENT_FIELD_LABOR_HOURS)*TEMP_HOURLY_RATE-FIXED_SEASON_COST)</f>
        <v/>
      </c>
      <c r="AA382" s="53" t="str">
        <f aca="false">IF(OR($A382&gt;TOMATO_BED_CAP,$B382&gt;CARROT_BED_CAP,AA$4&gt;MESCLUN_BED_CAP,$A382+$B382+AA$4&gt;TOTAL_BEDS_AVAILABLE,($D382+AA$5)&gt;TOTAL_LABOR_HOURS_CAP,MAX(0,($D382+AA$5)-PERMANENT_FIELD_LABOR_HOURS)&gt;TEMP_HOURS_CAP),"",$C382+AA$6-MIN(($D382+AA$5),PERMANENT_FIELD_LABOR_HOURS)*PERMANENT_HOURLY_RATE-MAX(0,($D382+AA$5)-PERMANENT_FIELD_LABOR_HOURS)*TEMP_HOURLY_RATE-FIXED_SEASON_COST)</f>
        <v/>
      </c>
      <c r="AB382" s="53" t="str">
        <f aca="false">IF(OR($A382&gt;TOMATO_BED_CAP,$B382&gt;CARROT_BED_CAP,AB$4&gt;MESCLUN_BED_CAP,$A382+$B382+AB$4&gt;TOTAL_BEDS_AVAILABLE,($D382+AB$5)&gt;TOTAL_LABOR_HOURS_CAP,MAX(0,($D382+AB$5)-PERMANENT_FIELD_LABOR_HOURS)&gt;TEMP_HOURS_CAP),"",$C382+AB$6-MIN(($D382+AB$5),PERMANENT_FIELD_LABOR_HOURS)*PERMANENT_HOURLY_RATE-MAX(0,($D382+AB$5)-PERMANENT_FIELD_LABOR_HOURS)*TEMP_HOURLY_RATE-FIXED_SEASON_COST)</f>
        <v/>
      </c>
      <c r="AC382" s="53" t="str">
        <f aca="false">IF(OR($A382&gt;TOMATO_BED_CAP,$B382&gt;CARROT_BED_CAP,AC$4&gt;MESCLUN_BED_CAP,$A382+$B382+AC$4&gt;TOTAL_BEDS_AVAILABLE,($D382+AC$5)&gt;TOTAL_LABOR_HOURS_CAP,MAX(0,($D382+AC$5)-PERMANENT_FIELD_LABOR_HOURS)&gt;TEMP_HOURS_CAP),"",$C382+AC$6-MIN(($D382+AC$5),PERMANENT_FIELD_LABOR_HOURS)*PERMANENT_HOURLY_RATE-MAX(0,($D382+AC$5)-PERMANENT_FIELD_LABOR_HOURS)*TEMP_HOURLY_RATE-FIXED_SEASON_COST)</f>
        <v/>
      </c>
      <c r="AD382" s="53" t="str">
        <f aca="false">IF(OR($A382&gt;TOMATO_BED_CAP,$B382&gt;CARROT_BED_CAP,AD$4&gt;MESCLUN_BED_CAP,$A382+$B382+AD$4&gt;TOTAL_BEDS_AVAILABLE,($D382+AD$5)&gt;TOTAL_LABOR_HOURS_CAP,MAX(0,($D382+AD$5)-PERMANENT_FIELD_LABOR_HOURS)&gt;TEMP_HOURS_CAP),"",$C382+AD$6-MIN(($D382+AD$5),PERMANENT_FIELD_LABOR_HOURS)*PERMANENT_HOURLY_RATE-MAX(0,($D382+AD$5)-PERMANENT_FIELD_LABOR_HOURS)*TEMP_HOURLY_RATE-FIXED_SEASON_COST)</f>
        <v/>
      </c>
      <c r="AE382" s="53" t="str">
        <f aca="false">IF(OR($A382&gt;TOMATO_BED_CAP,$B382&gt;CARROT_BED_CAP,AE$4&gt;MESCLUN_BED_CAP,$A382+$B382+AE$4&gt;TOTAL_BEDS_AVAILABLE,($D382+AE$5)&gt;TOTAL_LABOR_HOURS_CAP,MAX(0,($D382+AE$5)-PERMANENT_FIELD_LABOR_HOURS)&gt;TEMP_HOURS_CAP),"",$C382+AE$6-MIN(($D382+AE$5),PERMANENT_FIELD_LABOR_HOURS)*PERMANENT_HOURLY_RATE-MAX(0,($D382+AE$5)-PERMANENT_FIELD_LABOR_HOURS)*TEMP_HOURLY_RATE-FIXED_SEASON_COST)</f>
        <v/>
      </c>
      <c r="AF382" s="53" t="str">
        <f aca="false">IF(OR($A382&gt;TOMATO_BED_CAP,$B382&gt;CARROT_BED_CAP,AF$4&gt;MESCLUN_BED_CAP,$A382+$B382+AF$4&gt;TOTAL_BEDS_AVAILABLE,($D382+AF$5)&gt;TOTAL_LABOR_HOURS_CAP,MAX(0,($D382+AF$5)-PERMANENT_FIELD_LABOR_HOURS)&gt;TEMP_HOURS_CAP),"",$C382+AF$6-MIN(($D382+AF$5),PERMANENT_FIELD_LABOR_HOURS)*PERMANENT_HOURLY_RATE-MAX(0,($D382+AF$5)-PERMANENT_FIELD_LABOR_HOURS)*TEMP_HOURLY_RATE-FIXED_SEASON_COST)</f>
        <v/>
      </c>
      <c r="AG382" s="53" t="str">
        <f aca="false">IF(OR($A382&gt;TOMATO_BED_CAP,$B382&gt;CARROT_BED_CAP,AG$4&gt;MESCLUN_BED_CAP,$A382+$B382+AG$4&gt;TOTAL_BEDS_AVAILABLE,($D382+AG$5)&gt;TOTAL_LABOR_HOURS_CAP,MAX(0,($D382+AG$5)-PERMANENT_FIELD_LABOR_HOURS)&gt;TEMP_HOURS_CAP),"",$C382+AG$6-MIN(($D382+AG$5),PERMANENT_FIELD_LABOR_HOURS)*PERMANENT_HOURLY_RATE-MAX(0,($D382+AG$5)-PERMANENT_FIELD_LABOR_HOURS)*TEMP_HOURLY_RATE-FIXED_SEASON_COST)</f>
        <v/>
      </c>
      <c r="AH382" s="53" t="str">
        <f aca="false">IF(OR($A382&gt;TOMATO_BED_CAP,$B382&gt;CARROT_BED_CAP,AH$4&gt;MESCLUN_BED_CAP,$A382+$B382+AH$4&gt;TOTAL_BEDS_AVAILABLE,($D382+AH$5)&gt;TOTAL_LABOR_HOURS_CAP,MAX(0,($D382+AH$5)-PERMANENT_FIELD_LABOR_HOURS)&gt;TEMP_HOURS_CAP),"",$C382+AH$6-MIN(($D382+AH$5),PERMANENT_FIELD_LABOR_HOURS)*PERMANENT_HOURLY_RATE-MAX(0,($D382+AH$5)-PERMANENT_FIELD_LABOR_HOURS)*TEMP_HOURLY_RATE-FIXED_SEASON_COST)</f>
        <v/>
      </c>
      <c r="AI382" s="53" t="str">
        <f aca="false">IF(OR($A382&gt;TOMATO_BED_CAP,$B382&gt;CARROT_BED_CAP,AI$4&gt;MESCLUN_BED_CAP,$A382+$B382+AI$4&gt;TOTAL_BEDS_AVAILABLE,($D382+AI$5)&gt;TOTAL_LABOR_HOURS_CAP,MAX(0,($D382+AI$5)-PERMANENT_FIELD_LABOR_HOURS)&gt;TEMP_HOURS_CAP),"",$C382+AI$6-MIN(($D382+AI$5),PERMANENT_FIELD_LABOR_HOURS)*PERMANENT_HOURLY_RATE-MAX(0,($D382+AI$5)-PERMANENT_FIELD_LABOR_HOURS)*TEMP_HOURLY_RATE-FIXED_SEASON_COST)</f>
        <v/>
      </c>
      <c r="AJ382" s="53" t="str">
        <f aca="false">IF(OR($A382&gt;TOMATO_BED_CAP,$B382&gt;CARROT_BED_CAP,AJ$4&gt;MESCLUN_BED_CAP,$A382+$B382+AJ$4&gt;TOTAL_BEDS_AVAILABLE,($D382+AJ$5)&gt;TOTAL_LABOR_HOURS_CAP,MAX(0,($D382+AJ$5)-PERMANENT_FIELD_LABOR_HOURS)&gt;TEMP_HOURS_CAP),"",$C382+AJ$6-MIN(($D382+AJ$5),PERMANENT_FIELD_LABOR_HOURS)*PERMANENT_HOURLY_RATE-MAX(0,($D382+AJ$5)-PERMANENT_FIELD_LABOR_HOURS)*TEMP_HOURLY_RATE-FIXED_SEASON_COST)</f>
        <v/>
      </c>
    </row>
    <row r="383" customFormat="false" ht="15" hidden="false" customHeight="false" outlineLevel="0" collapsed="false">
      <c r="A383" s="21" t="n">
        <f aca="false">INT((ROW()-ROW($A$8))/(20+1))</f>
        <v>17</v>
      </c>
      <c r="B383" s="21" t="n">
        <f aca="false">MOD(ROW()-ROW($A$8),20+1)</f>
        <v>18</v>
      </c>
      <c r="C383" s="13" t="n">
        <f aca="false">A383*(TOMATO_REVENUE_PER_BED-TOMATO_FERTILIZER_PER_BED)+B383*(CARROT_REVENUE_PER_BED-CARROT_FERTILIZER_PER_BED)</f>
        <v>164412</v>
      </c>
      <c r="D383" s="14" t="n">
        <f aca="false">INDEX(TOMATO_SCHED_LABOR_HRS,A383+1)+INDEX(CARROT_SCHED_LABOR_HRS,B383+1)</f>
        <v>8575.21835731769</v>
      </c>
      <c r="E383" s="13" t="str">
        <f aca="false">IF(COUNT(F383:AJ383)=0,"",MAX(F383:AJ383))</f>
        <v/>
      </c>
      <c r="F383" s="53" t="str">
        <f aca="false">IF(OR($A383&gt;TOMATO_BED_CAP,$B383&gt;CARROT_BED_CAP,F$4&gt;MESCLUN_BED_CAP,$A383+$B383+F$4&gt;TOTAL_BEDS_AVAILABLE,($D383+F$5)&gt;TOTAL_LABOR_HOURS_CAP,MAX(0,($D383+F$5)-PERMANENT_FIELD_LABOR_HOURS)&gt;TEMP_HOURS_CAP),"",$C383+F$6-MIN(($D383+F$5),PERMANENT_FIELD_LABOR_HOURS)*PERMANENT_HOURLY_RATE-MAX(0,($D383+F$5)-PERMANENT_FIELD_LABOR_HOURS)*TEMP_HOURLY_RATE-FIXED_SEASON_COST)</f>
        <v/>
      </c>
      <c r="G383" s="53" t="str">
        <f aca="false">IF(OR($A383&gt;TOMATO_BED_CAP,$B383&gt;CARROT_BED_CAP,G$4&gt;MESCLUN_BED_CAP,$A383+$B383+G$4&gt;TOTAL_BEDS_AVAILABLE,($D383+G$5)&gt;TOTAL_LABOR_HOURS_CAP,MAX(0,($D383+G$5)-PERMANENT_FIELD_LABOR_HOURS)&gt;TEMP_HOURS_CAP),"",$C383+G$6-MIN(($D383+G$5),PERMANENT_FIELD_LABOR_HOURS)*PERMANENT_HOURLY_RATE-MAX(0,($D383+G$5)-PERMANENT_FIELD_LABOR_HOURS)*TEMP_HOURLY_RATE-FIXED_SEASON_COST)</f>
        <v/>
      </c>
      <c r="H383" s="53" t="str">
        <f aca="false">IF(OR($A383&gt;TOMATO_BED_CAP,$B383&gt;CARROT_BED_CAP,H$4&gt;MESCLUN_BED_CAP,$A383+$B383+H$4&gt;TOTAL_BEDS_AVAILABLE,($D383+H$5)&gt;TOTAL_LABOR_HOURS_CAP,MAX(0,($D383+H$5)-PERMANENT_FIELD_LABOR_HOURS)&gt;TEMP_HOURS_CAP),"",$C383+H$6-MIN(($D383+H$5),PERMANENT_FIELD_LABOR_HOURS)*PERMANENT_HOURLY_RATE-MAX(0,($D383+H$5)-PERMANENT_FIELD_LABOR_HOURS)*TEMP_HOURLY_RATE-FIXED_SEASON_COST)</f>
        <v/>
      </c>
      <c r="I383" s="53" t="str">
        <f aca="false">IF(OR($A383&gt;TOMATO_BED_CAP,$B383&gt;CARROT_BED_CAP,I$4&gt;MESCLUN_BED_CAP,$A383+$B383+I$4&gt;TOTAL_BEDS_AVAILABLE,($D383+I$5)&gt;TOTAL_LABOR_HOURS_CAP,MAX(0,($D383+I$5)-PERMANENT_FIELD_LABOR_HOURS)&gt;TEMP_HOURS_CAP),"",$C383+I$6-MIN(($D383+I$5),PERMANENT_FIELD_LABOR_HOURS)*PERMANENT_HOURLY_RATE-MAX(0,($D383+I$5)-PERMANENT_FIELD_LABOR_HOURS)*TEMP_HOURLY_RATE-FIXED_SEASON_COST)</f>
        <v/>
      </c>
      <c r="J383" s="53" t="str">
        <f aca="false">IF(OR($A383&gt;TOMATO_BED_CAP,$B383&gt;CARROT_BED_CAP,J$4&gt;MESCLUN_BED_CAP,$A383+$B383+J$4&gt;TOTAL_BEDS_AVAILABLE,($D383+J$5)&gt;TOTAL_LABOR_HOURS_CAP,MAX(0,($D383+J$5)-PERMANENT_FIELD_LABOR_HOURS)&gt;TEMP_HOURS_CAP),"",$C383+J$6-MIN(($D383+J$5),PERMANENT_FIELD_LABOR_HOURS)*PERMANENT_HOURLY_RATE-MAX(0,($D383+J$5)-PERMANENT_FIELD_LABOR_HOURS)*TEMP_HOURLY_RATE-FIXED_SEASON_COST)</f>
        <v/>
      </c>
      <c r="K383" s="53" t="str">
        <f aca="false">IF(OR($A383&gt;TOMATO_BED_CAP,$B383&gt;CARROT_BED_CAP,K$4&gt;MESCLUN_BED_CAP,$A383+$B383+K$4&gt;TOTAL_BEDS_AVAILABLE,($D383+K$5)&gt;TOTAL_LABOR_HOURS_CAP,MAX(0,($D383+K$5)-PERMANENT_FIELD_LABOR_HOURS)&gt;TEMP_HOURS_CAP),"",$C383+K$6-MIN(($D383+K$5),PERMANENT_FIELD_LABOR_HOURS)*PERMANENT_HOURLY_RATE-MAX(0,($D383+K$5)-PERMANENT_FIELD_LABOR_HOURS)*TEMP_HOURLY_RATE-FIXED_SEASON_COST)</f>
        <v/>
      </c>
      <c r="L383" s="53" t="str">
        <f aca="false">IF(OR($A383&gt;TOMATO_BED_CAP,$B383&gt;CARROT_BED_CAP,L$4&gt;MESCLUN_BED_CAP,$A383+$B383+L$4&gt;TOTAL_BEDS_AVAILABLE,($D383+L$5)&gt;TOTAL_LABOR_HOURS_CAP,MAX(0,($D383+L$5)-PERMANENT_FIELD_LABOR_HOURS)&gt;TEMP_HOURS_CAP),"",$C383+L$6-MIN(($D383+L$5),PERMANENT_FIELD_LABOR_HOURS)*PERMANENT_HOURLY_RATE-MAX(0,($D383+L$5)-PERMANENT_FIELD_LABOR_HOURS)*TEMP_HOURLY_RATE-FIXED_SEASON_COST)</f>
        <v/>
      </c>
      <c r="M383" s="53" t="str">
        <f aca="false">IF(OR($A383&gt;TOMATO_BED_CAP,$B383&gt;CARROT_BED_CAP,M$4&gt;MESCLUN_BED_CAP,$A383+$B383+M$4&gt;TOTAL_BEDS_AVAILABLE,($D383+M$5)&gt;TOTAL_LABOR_HOURS_CAP,MAX(0,($D383+M$5)-PERMANENT_FIELD_LABOR_HOURS)&gt;TEMP_HOURS_CAP),"",$C383+M$6-MIN(($D383+M$5),PERMANENT_FIELD_LABOR_HOURS)*PERMANENT_HOURLY_RATE-MAX(0,($D383+M$5)-PERMANENT_FIELD_LABOR_HOURS)*TEMP_HOURLY_RATE-FIXED_SEASON_COST)</f>
        <v/>
      </c>
      <c r="N383" s="53" t="str">
        <f aca="false">IF(OR($A383&gt;TOMATO_BED_CAP,$B383&gt;CARROT_BED_CAP,N$4&gt;MESCLUN_BED_CAP,$A383+$B383+N$4&gt;TOTAL_BEDS_AVAILABLE,($D383+N$5)&gt;TOTAL_LABOR_HOURS_CAP,MAX(0,($D383+N$5)-PERMANENT_FIELD_LABOR_HOURS)&gt;TEMP_HOURS_CAP),"",$C383+N$6-MIN(($D383+N$5),PERMANENT_FIELD_LABOR_HOURS)*PERMANENT_HOURLY_RATE-MAX(0,($D383+N$5)-PERMANENT_FIELD_LABOR_HOURS)*TEMP_HOURLY_RATE-FIXED_SEASON_COST)</f>
        <v/>
      </c>
      <c r="O383" s="53" t="str">
        <f aca="false">IF(OR($A383&gt;TOMATO_BED_CAP,$B383&gt;CARROT_BED_CAP,O$4&gt;MESCLUN_BED_CAP,$A383+$B383+O$4&gt;TOTAL_BEDS_AVAILABLE,($D383+O$5)&gt;TOTAL_LABOR_HOURS_CAP,MAX(0,($D383+O$5)-PERMANENT_FIELD_LABOR_HOURS)&gt;TEMP_HOURS_CAP),"",$C383+O$6-MIN(($D383+O$5),PERMANENT_FIELD_LABOR_HOURS)*PERMANENT_HOURLY_RATE-MAX(0,($D383+O$5)-PERMANENT_FIELD_LABOR_HOURS)*TEMP_HOURLY_RATE-FIXED_SEASON_COST)</f>
        <v/>
      </c>
      <c r="P383" s="53" t="str">
        <f aca="false">IF(OR($A383&gt;TOMATO_BED_CAP,$B383&gt;CARROT_BED_CAP,P$4&gt;MESCLUN_BED_CAP,$A383+$B383+P$4&gt;TOTAL_BEDS_AVAILABLE,($D383+P$5)&gt;TOTAL_LABOR_HOURS_CAP,MAX(0,($D383+P$5)-PERMANENT_FIELD_LABOR_HOURS)&gt;TEMP_HOURS_CAP),"",$C383+P$6-MIN(($D383+P$5),PERMANENT_FIELD_LABOR_HOURS)*PERMANENT_HOURLY_RATE-MAX(0,($D383+P$5)-PERMANENT_FIELD_LABOR_HOURS)*TEMP_HOURLY_RATE-FIXED_SEASON_COST)</f>
        <v/>
      </c>
      <c r="Q383" s="53" t="str">
        <f aca="false">IF(OR($A383&gt;TOMATO_BED_CAP,$B383&gt;CARROT_BED_CAP,Q$4&gt;MESCLUN_BED_CAP,$A383+$B383+Q$4&gt;TOTAL_BEDS_AVAILABLE,($D383+Q$5)&gt;TOTAL_LABOR_HOURS_CAP,MAX(0,($D383+Q$5)-PERMANENT_FIELD_LABOR_HOURS)&gt;TEMP_HOURS_CAP),"",$C383+Q$6-MIN(($D383+Q$5),PERMANENT_FIELD_LABOR_HOURS)*PERMANENT_HOURLY_RATE-MAX(0,($D383+Q$5)-PERMANENT_FIELD_LABOR_HOURS)*TEMP_HOURLY_RATE-FIXED_SEASON_COST)</f>
        <v/>
      </c>
      <c r="R383" s="53" t="str">
        <f aca="false">IF(OR($A383&gt;TOMATO_BED_CAP,$B383&gt;CARROT_BED_CAP,R$4&gt;MESCLUN_BED_CAP,$A383+$B383+R$4&gt;TOTAL_BEDS_AVAILABLE,($D383+R$5)&gt;TOTAL_LABOR_HOURS_CAP,MAX(0,($D383+R$5)-PERMANENT_FIELD_LABOR_HOURS)&gt;TEMP_HOURS_CAP),"",$C383+R$6-MIN(($D383+R$5),PERMANENT_FIELD_LABOR_HOURS)*PERMANENT_HOURLY_RATE-MAX(0,($D383+R$5)-PERMANENT_FIELD_LABOR_HOURS)*TEMP_HOURLY_RATE-FIXED_SEASON_COST)</f>
        <v/>
      </c>
      <c r="S383" s="53" t="str">
        <f aca="false">IF(OR($A383&gt;TOMATO_BED_CAP,$B383&gt;CARROT_BED_CAP,S$4&gt;MESCLUN_BED_CAP,$A383+$B383+S$4&gt;TOTAL_BEDS_AVAILABLE,($D383+S$5)&gt;TOTAL_LABOR_HOURS_CAP,MAX(0,($D383+S$5)-PERMANENT_FIELD_LABOR_HOURS)&gt;TEMP_HOURS_CAP),"",$C383+S$6-MIN(($D383+S$5),PERMANENT_FIELD_LABOR_HOURS)*PERMANENT_HOURLY_RATE-MAX(0,($D383+S$5)-PERMANENT_FIELD_LABOR_HOURS)*TEMP_HOURLY_RATE-FIXED_SEASON_COST)</f>
        <v/>
      </c>
      <c r="T383" s="53" t="str">
        <f aca="false">IF(OR($A383&gt;TOMATO_BED_CAP,$B383&gt;CARROT_BED_CAP,T$4&gt;MESCLUN_BED_CAP,$A383+$B383+T$4&gt;TOTAL_BEDS_AVAILABLE,($D383+T$5)&gt;TOTAL_LABOR_HOURS_CAP,MAX(0,($D383+T$5)-PERMANENT_FIELD_LABOR_HOURS)&gt;TEMP_HOURS_CAP),"",$C383+T$6-MIN(($D383+T$5),PERMANENT_FIELD_LABOR_HOURS)*PERMANENT_HOURLY_RATE-MAX(0,($D383+T$5)-PERMANENT_FIELD_LABOR_HOURS)*TEMP_HOURLY_RATE-FIXED_SEASON_COST)</f>
        <v/>
      </c>
      <c r="U383" s="53" t="str">
        <f aca="false">IF(OR($A383&gt;TOMATO_BED_CAP,$B383&gt;CARROT_BED_CAP,U$4&gt;MESCLUN_BED_CAP,$A383+$B383+U$4&gt;TOTAL_BEDS_AVAILABLE,($D383+U$5)&gt;TOTAL_LABOR_HOURS_CAP,MAX(0,($D383+U$5)-PERMANENT_FIELD_LABOR_HOURS)&gt;TEMP_HOURS_CAP),"",$C383+U$6-MIN(($D383+U$5),PERMANENT_FIELD_LABOR_HOURS)*PERMANENT_HOURLY_RATE-MAX(0,($D383+U$5)-PERMANENT_FIELD_LABOR_HOURS)*TEMP_HOURLY_RATE-FIXED_SEASON_COST)</f>
        <v/>
      </c>
      <c r="V383" s="53" t="str">
        <f aca="false">IF(OR($A383&gt;TOMATO_BED_CAP,$B383&gt;CARROT_BED_CAP,V$4&gt;MESCLUN_BED_CAP,$A383+$B383+V$4&gt;TOTAL_BEDS_AVAILABLE,($D383+V$5)&gt;TOTAL_LABOR_HOURS_CAP,MAX(0,($D383+V$5)-PERMANENT_FIELD_LABOR_HOURS)&gt;TEMP_HOURS_CAP),"",$C383+V$6-MIN(($D383+V$5),PERMANENT_FIELD_LABOR_HOURS)*PERMANENT_HOURLY_RATE-MAX(0,($D383+V$5)-PERMANENT_FIELD_LABOR_HOURS)*TEMP_HOURLY_RATE-FIXED_SEASON_COST)</f>
        <v/>
      </c>
      <c r="W383" s="53" t="str">
        <f aca="false">IF(OR($A383&gt;TOMATO_BED_CAP,$B383&gt;CARROT_BED_CAP,W$4&gt;MESCLUN_BED_CAP,$A383+$B383+W$4&gt;TOTAL_BEDS_AVAILABLE,($D383+W$5)&gt;TOTAL_LABOR_HOURS_CAP,MAX(0,($D383+W$5)-PERMANENT_FIELD_LABOR_HOURS)&gt;TEMP_HOURS_CAP),"",$C383+W$6-MIN(($D383+W$5),PERMANENT_FIELD_LABOR_HOURS)*PERMANENT_HOURLY_RATE-MAX(0,($D383+W$5)-PERMANENT_FIELD_LABOR_HOURS)*TEMP_HOURLY_RATE-FIXED_SEASON_COST)</f>
        <v/>
      </c>
      <c r="X383" s="53" t="str">
        <f aca="false">IF(OR($A383&gt;TOMATO_BED_CAP,$B383&gt;CARROT_BED_CAP,X$4&gt;MESCLUN_BED_CAP,$A383+$B383+X$4&gt;TOTAL_BEDS_AVAILABLE,($D383+X$5)&gt;TOTAL_LABOR_HOURS_CAP,MAX(0,($D383+X$5)-PERMANENT_FIELD_LABOR_HOURS)&gt;TEMP_HOURS_CAP),"",$C383+X$6-MIN(($D383+X$5),PERMANENT_FIELD_LABOR_HOURS)*PERMANENT_HOURLY_RATE-MAX(0,($D383+X$5)-PERMANENT_FIELD_LABOR_HOURS)*TEMP_HOURLY_RATE-FIXED_SEASON_COST)</f>
        <v/>
      </c>
      <c r="Y383" s="53" t="str">
        <f aca="false">IF(OR($A383&gt;TOMATO_BED_CAP,$B383&gt;CARROT_BED_CAP,Y$4&gt;MESCLUN_BED_CAP,$A383+$B383+Y$4&gt;TOTAL_BEDS_AVAILABLE,($D383+Y$5)&gt;TOTAL_LABOR_HOURS_CAP,MAX(0,($D383+Y$5)-PERMANENT_FIELD_LABOR_HOURS)&gt;TEMP_HOURS_CAP),"",$C383+Y$6-MIN(($D383+Y$5),PERMANENT_FIELD_LABOR_HOURS)*PERMANENT_HOURLY_RATE-MAX(0,($D383+Y$5)-PERMANENT_FIELD_LABOR_HOURS)*TEMP_HOURLY_RATE-FIXED_SEASON_COST)</f>
        <v/>
      </c>
      <c r="Z383" s="53" t="str">
        <f aca="false">IF(OR($A383&gt;TOMATO_BED_CAP,$B383&gt;CARROT_BED_CAP,Z$4&gt;MESCLUN_BED_CAP,$A383+$B383+Z$4&gt;TOTAL_BEDS_AVAILABLE,($D383+Z$5)&gt;TOTAL_LABOR_HOURS_CAP,MAX(0,($D383+Z$5)-PERMANENT_FIELD_LABOR_HOURS)&gt;TEMP_HOURS_CAP),"",$C383+Z$6-MIN(($D383+Z$5),PERMANENT_FIELD_LABOR_HOURS)*PERMANENT_HOURLY_RATE-MAX(0,($D383+Z$5)-PERMANENT_FIELD_LABOR_HOURS)*TEMP_HOURLY_RATE-FIXED_SEASON_COST)</f>
        <v/>
      </c>
      <c r="AA383" s="53" t="str">
        <f aca="false">IF(OR($A383&gt;TOMATO_BED_CAP,$B383&gt;CARROT_BED_CAP,AA$4&gt;MESCLUN_BED_CAP,$A383+$B383+AA$4&gt;TOTAL_BEDS_AVAILABLE,($D383+AA$5)&gt;TOTAL_LABOR_HOURS_CAP,MAX(0,($D383+AA$5)-PERMANENT_FIELD_LABOR_HOURS)&gt;TEMP_HOURS_CAP),"",$C383+AA$6-MIN(($D383+AA$5),PERMANENT_FIELD_LABOR_HOURS)*PERMANENT_HOURLY_RATE-MAX(0,($D383+AA$5)-PERMANENT_FIELD_LABOR_HOURS)*TEMP_HOURLY_RATE-FIXED_SEASON_COST)</f>
        <v/>
      </c>
      <c r="AB383" s="53" t="str">
        <f aca="false">IF(OR($A383&gt;TOMATO_BED_CAP,$B383&gt;CARROT_BED_CAP,AB$4&gt;MESCLUN_BED_CAP,$A383+$B383+AB$4&gt;TOTAL_BEDS_AVAILABLE,($D383+AB$5)&gt;TOTAL_LABOR_HOURS_CAP,MAX(0,($D383+AB$5)-PERMANENT_FIELD_LABOR_HOURS)&gt;TEMP_HOURS_CAP),"",$C383+AB$6-MIN(($D383+AB$5),PERMANENT_FIELD_LABOR_HOURS)*PERMANENT_HOURLY_RATE-MAX(0,($D383+AB$5)-PERMANENT_FIELD_LABOR_HOURS)*TEMP_HOURLY_RATE-FIXED_SEASON_COST)</f>
        <v/>
      </c>
      <c r="AC383" s="53" t="str">
        <f aca="false">IF(OR($A383&gt;TOMATO_BED_CAP,$B383&gt;CARROT_BED_CAP,AC$4&gt;MESCLUN_BED_CAP,$A383+$B383+AC$4&gt;TOTAL_BEDS_AVAILABLE,($D383+AC$5)&gt;TOTAL_LABOR_HOURS_CAP,MAX(0,($D383+AC$5)-PERMANENT_FIELD_LABOR_HOURS)&gt;TEMP_HOURS_CAP),"",$C383+AC$6-MIN(($D383+AC$5),PERMANENT_FIELD_LABOR_HOURS)*PERMANENT_HOURLY_RATE-MAX(0,($D383+AC$5)-PERMANENT_FIELD_LABOR_HOURS)*TEMP_HOURLY_RATE-FIXED_SEASON_COST)</f>
        <v/>
      </c>
      <c r="AD383" s="53" t="str">
        <f aca="false">IF(OR($A383&gt;TOMATO_BED_CAP,$B383&gt;CARROT_BED_CAP,AD$4&gt;MESCLUN_BED_CAP,$A383+$B383+AD$4&gt;TOTAL_BEDS_AVAILABLE,($D383+AD$5)&gt;TOTAL_LABOR_HOURS_CAP,MAX(0,($D383+AD$5)-PERMANENT_FIELD_LABOR_HOURS)&gt;TEMP_HOURS_CAP),"",$C383+AD$6-MIN(($D383+AD$5),PERMANENT_FIELD_LABOR_HOURS)*PERMANENT_HOURLY_RATE-MAX(0,($D383+AD$5)-PERMANENT_FIELD_LABOR_HOURS)*TEMP_HOURLY_RATE-FIXED_SEASON_COST)</f>
        <v/>
      </c>
      <c r="AE383" s="53" t="str">
        <f aca="false">IF(OR($A383&gt;TOMATO_BED_CAP,$B383&gt;CARROT_BED_CAP,AE$4&gt;MESCLUN_BED_CAP,$A383+$B383+AE$4&gt;TOTAL_BEDS_AVAILABLE,($D383+AE$5)&gt;TOTAL_LABOR_HOURS_CAP,MAX(0,($D383+AE$5)-PERMANENT_FIELD_LABOR_HOURS)&gt;TEMP_HOURS_CAP),"",$C383+AE$6-MIN(($D383+AE$5),PERMANENT_FIELD_LABOR_HOURS)*PERMANENT_HOURLY_RATE-MAX(0,($D383+AE$5)-PERMANENT_FIELD_LABOR_HOURS)*TEMP_HOURLY_RATE-FIXED_SEASON_COST)</f>
        <v/>
      </c>
      <c r="AF383" s="53" t="str">
        <f aca="false">IF(OR($A383&gt;TOMATO_BED_CAP,$B383&gt;CARROT_BED_CAP,AF$4&gt;MESCLUN_BED_CAP,$A383+$B383+AF$4&gt;TOTAL_BEDS_AVAILABLE,($D383+AF$5)&gt;TOTAL_LABOR_HOURS_CAP,MAX(0,($D383+AF$5)-PERMANENT_FIELD_LABOR_HOURS)&gt;TEMP_HOURS_CAP),"",$C383+AF$6-MIN(($D383+AF$5),PERMANENT_FIELD_LABOR_HOURS)*PERMANENT_HOURLY_RATE-MAX(0,($D383+AF$5)-PERMANENT_FIELD_LABOR_HOURS)*TEMP_HOURLY_RATE-FIXED_SEASON_COST)</f>
        <v/>
      </c>
      <c r="AG383" s="53" t="str">
        <f aca="false">IF(OR($A383&gt;TOMATO_BED_CAP,$B383&gt;CARROT_BED_CAP,AG$4&gt;MESCLUN_BED_CAP,$A383+$B383+AG$4&gt;TOTAL_BEDS_AVAILABLE,($D383+AG$5)&gt;TOTAL_LABOR_HOURS_CAP,MAX(0,($D383+AG$5)-PERMANENT_FIELD_LABOR_HOURS)&gt;TEMP_HOURS_CAP),"",$C383+AG$6-MIN(($D383+AG$5),PERMANENT_FIELD_LABOR_HOURS)*PERMANENT_HOURLY_RATE-MAX(0,($D383+AG$5)-PERMANENT_FIELD_LABOR_HOURS)*TEMP_HOURLY_RATE-FIXED_SEASON_COST)</f>
        <v/>
      </c>
      <c r="AH383" s="53" t="str">
        <f aca="false">IF(OR($A383&gt;TOMATO_BED_CAP,$B383&gt;CARROT_BED_CAP,AH$4&gt;MESCLUN_BED_CAP,$A383+$B383+AH$4&gt;TOTAL_BEDS_AVAILABLE,($D383+AH$5)&gt;TOTAL_LABOR_HOURS_CAP,MAX(0,($D383+AH$5)-PERMANENT_FIELD_LABOR_HOURS)&gt;TEMP_HOURS_CAP),"",$C383+AH$6-MIN(($D383+AH$5),PERMANENT_FIELD_LABOR_HOURS)*PERMANENT_HOURLY_RATE-MAX(0,($D383+AH$5)-PERMANENT_FIELD_LABOR_HOURS)*TEMP_HOURLY_RATE-FIXED_SEASON_COST)</f>
        <v/>
      </c>
      <c r="AI383" s="53" t="str">
        <f aca="false">IF(OR($A383&gt;TOMATO_BED_CAP,$B383&gt;CARROT_BED_CAP,AI$4&gt;MESCLUN_BED_CAP,$A383+$B383+AI$4&gt;TOTAL_BEDS_AVAILABLE,($D383+AI$5)&gt;TOTAL_LABOR_HOURS_CAP,MAX(0,($D383+AI$5)-PERMANENT_FIELD_LABOR_HOURS)&gt;TEMP_HOURS_CAP),"",$C383+AI$6-MIN(($D383+AI$5),PERMANENT_FIELD_LABOR_HOURS)*PERMANENT_HOURLY_RATE-MAX(0,($D383+AI$5)-PERMANENT_FIELD_LABOR_HOURS)*TEMP_HOURLY_RATE-FIXED_SEASON_COST)</f>
        <v/>
      </c>
      <c r="AJ383" s="53" t="str">
        <f aca="false">IF(OR($A383&gt;TOMATO_BED_CAP,$B383&gt;CARROT_BED_CAP,AJ$4&gt;MESCLUN_BED_CAP,$A383+$B383+AJ$4&gt;TOTAL_BEDS_AVAILABLE,($D383+AJ$5)&gt;TOTAL_LABOR_HOURS_CAP,MAX(0,($D383+AJ$5)-PERMANENT_FIELD_LABOR_HOURS)&gt;TEMP_HOURS_CAP),"",$C383+AJ$6-MIN(($D383+AJ$5),PERMANENT_FIELD_LABOR_HOURS)*PERMANENT_HOURLY_RATE-MAX(0,($D383+AJ$5)-PERMANENT_FIELD_LABOR_HOURS)*TEMP_HOURLY_RATE-FIXED_SEASON_COST)</f>
        <v/>
      </c>
    </row>
    <row r="384" customFormat="false" ht="15" hidden="false" customHeight="false" outlineLevel="0" collapsed="false">
      <c r="A384" s="21" t="n">
        <f aca="false">INT((ROW()-ROW($A$8))/(20+1))</f>
        <v>17</v>
      </c>
      <c r="B384" s="21" t="n">
        <f aca="false">MOD(ROW()-ROW($A$8),20+1)</f>
        <v>19</v>
      </c>
      <c r="C384" s="13" t="n">
        <f aca="false">A384*(TOMATO_REVENUE_PER_BED-TOMATO_FERTILIZER_PER_BED)+B384*(CARROT_REVENUE_PER_BED-CARROT_FERTILIZER_PER_BED)</f>
        <v>166066</v>
      </c>
      <c r="D384" s="14" t="n">
        <f aca="false">INDEX(TOMATO_SCHED_LABOR_HRS,A384+1)+INDEX(CARROT_SCHED_LABOR_HRS,B384+1)</f>
        <v>8644.2056496169</v>
      </c>
      <c r="E384" s="13" t="str">
        <f aca="false">IF(COUNT(F384:AJ384)=0,"",MAX(F384:AJ384))</f>
        <v/>
      </c>
      <c r="F384" s="53" t="str">
        <f aca="false">IF(OR($A384&gt;TOMATO_BED_CAP,$B384&gt;CARROT_BED_CAP,F$4&gt;MESCLUN_BED_CAP,$A384+$B384+F$4&gt;TOTAL_BEDS_AVAILABLE,($D384+F$5)&gt;TOTAL_LABOR_HOURS_CAP,MAX(0,($D384+F$5)-PERMANENT_FIELD_LABOR_HOURS)&gt;TEMP_HOURS_CAP),"",$C384+F$6-MIN(($D384+F$5),PERMANENT_FIELD_LABOR_HOURS)*PERMANENT_HOURLY_RATE-MAX(0,($D384+F$5)-PERMANENT_FIELD_LABOR_HOURS)*TEMP_HOURLY_RATE-FIXED_SEASON_COST)</f>
        <v/>
      </c>
      <c r="G384" s="53" t="str">
        <f aca="false">IF(OR($A384&gt;TOMATO_BED_CAP,$B384&gt;CARROT_BED_CAP,G$4&gt;MESCLUN_BED_CAP,$A384+$B384+G$4&gt;TOTAL_BEDS_AVAILABLE,($D384+G$5)&gt;TOTAL_LABOR_HOURS_CAP,MAX(0,($D384+G$5)-PERMANENT_FIELD_LABOR_HOURS)&gt;TEMP_HOURS_CAP),"",$C384+G$6-MIN(($D384+G$5),PERMANENT_FIELD_LABOR_HOURS)*PERMANENT_HOURLY_RATE-MAX(0,($D384+G$5)-PERMANENT_FIELD_LABOR_HOURS)*TEMP_HOURLY_RATE-FIXED_SEASON_COST)</f>
        <v/>
      </c>
      <c r="H384" s="53" t="str">
        <f aca="false">IF(OR($A384&gt;TOMATO_BED_CAP,$B384&gt;CARROT_BED_CAP,H$4&gt;MESCLUN_BED_CAP,$A384+$B384+H$4&gt;TOTAL_BEDS_AVAILABLE,($D384+H$5)&gt;TOTAL_LABOR_HOURS_CAP,MAX(0,($D384+H$5)-PERMANENT_FIELD_LABOR_HOURS)&gt;TEMP_HOURS_CAP),"",$C384+H$6-MIN(($D384+H$5),PERMANENT_FIELD_LABOR_HOURS)*PERMANENT_HOURLY_RATE-MAX(0,($D384+H$5)-PERMANENT_FIELD_LABOR_HOURS)*TEMP_HOURLY_RATE-FIXED_SEASON_COST)</f>
        <v/>
      </c>
      <c r="I384" s="53" t="str">
        <f aca="false">IF(OR($A384&gt;TOMATO_BED_CAP,$B384&gt;CARROT_BED_CAP,I$4&gt;MESCLUN_BED_CAP,$A384+$B384+I$4&gt;TOTAL_BEDS_AVAILABLE,($D384+I$5)&gt;TOTAL_LABOR_HOURS_CAP,MAX(0,($D384+I$5)-PERMANENT_FIELD_LABOR_HOURS)&gt;TEMP_HOURS_CAP),"",$C384+I$6-MIN(($D384+I$5),PERMANENT_FIELD_LABOR_HOURS)*PERMANENT_HOURLY_RATE-MAX(0,($D384+I$5)-PERMANENT_FIELD_LABOR_HOURS)*TEMP_HOURLY_RATE-FIXED_SEASON_COST)</f>
        <v/>
      </c>
      <c r="J384" s="53" t="str">
        <f aca="false">IF(OR($A384&gt;TOMATO_BED_CAP,$B384&gt;CARROT_BED_CAP,J$4&gt;MESCLUN_BED_CAP,$A384+$B384+J$4&gt;TOTAL_BEDS_AVAILABLE,($D384+J$5)&gt;TOTAL_LABOR_HOURS_CAP,MAX(0,($D384+J$5)-PERMANENT_FIELD_LABOR_HOURS)&gt;TEMP_HOURS_CAP),"",$C384+J$6-MIN(($D384+J$5),PERMANENT_FIELD_LABOR_HOURS)*PERMANENT_HOURLY_RATE-MAX(0,($D384+J$5)-PERMANENT_FIELD_LABOR_HOURS)*TEMP_HOURLY_RATE-FIXED_SEASON_COST)</f>
        <v/>
      </c>
      <c r="K384" s="53" t="str">
        <f aca="false">IF(OR($A384&gt;TOMATO_BED_CAP,$B384&gt;CARROT_BED_CAP,K$4&gt;MESCLUN_BED_CAP,$A384+$B384+K$4&gt;TOTAL_BEDS_AVAILABLE,($D384+K$5)&gt;TOTAL_LABOR_HOURS_CAP,MAX(0,($D384+K$5)-PERMANENT_FIELD_LABOR_HOURS)&gt;TEMP_HOURS_CAP),"",$C384+K$6-MIN(($D384+K$5),PERMANENT_FIELD_LABOR_HOURS)*PERMANENT_HOURLY_RATE-MAX(0,($D384+K$5)-PERMANENT_FIELD_LABOR_HOURS)*TEMP_HOURLY_RATE-FIXED_SEASON_COST)</f>
        <v/>
      </c>
      <c r="L384" s="53" t="str">
        <f aca="false">IF(OR($A384&gt;TOMATO_BED_CAP,$B384&gt;CARROT_BED_CAP,L$4&gt;MESCLUN_BED_CAP,$A384+$B384+L$4&gt;TOTAL_BEDS_AVAILABLE,($D384+L$5)&gt;TOTAL_LABOR_HOURS_CAP,MAX(0,($D384+L$5)-PERMANENT_FIELD_LABOR_HOURS)&gt;TEMP_HOURS_CAP),"",$C384+L$6-MIN(($D384+L$5),PERMANENT_FIELD_LABOR_HOURS)*PERMANENT_HOURLY_RATE-MAX(0,($D384+L$5)-PERMANENT_FIELD_LABOR_HOURS)*TEMP_HOURLY_RATE-FIXED_SEASON_COST)</f>
        <v/>
      </c>
      <c r="M384" s="53" t="str">
        <f aca="false">IF(OR($A384&gt;TOMATO_BED_CAP,$B384&gt;CARROT_BED_CAP,M$4&gt;MESCLUN_BED_CAP,$A384+$B384+M$4&gt;TOTAL_BEDS_AVAILABLE,($D384+M$5)&gt;TOTAL_LABOR_HOURS_CAP,MAX(0,($D384+M$5)-PERMANENT_FIELD_LABOR_HOURS)&gt;TEMP_HOURS_CAP),"",$C384+M$6-MIN(($D384+M$5),PERMANENT_FIELD_LABOR_HOURS)*PERMANENT_HOURLY_RATE-MAX(0,($D384+M$5)-PERMANENT_FIELD_LABOR_HOURS)*TEMP_HOURLY_RATE-FIXED_SEASON_COST)</f>
        <v/>
      </c>
      <c r="N384" s="53" t="str">
        <f aca="false">IF(OR($A384&gt;TOMATO_BED_CAP,$B384&gt;CARROT_BED_CAP,N$4&gt;MESCLUN_BED_CAP,$A384+$B384+N$4&gt;TOTAL_BEDS_AVAILABLE,($D384+N$5)&gt;TOTAL_LABOR_HOURS_CAP,MAX(0,($D384+N$5)-PERMANENT_FIELD_LABOR_HOURS)&gt;TEMP_HOURS_CAP),"",$C384+N$6-MIN(($D384+N$5),PERMANENT_FIELD_LABOR_HOURS)*PERMANENT_HOURLY_RATE-MAX(0,($D384+N$5)-PERMANENT_FIELD_LABOR_HOURS)*TEMP_HOURLY_RATE-FIXED_SEASON_COST)</f>
        <v/>
      </c>
      <c r="O384" s="53" t="str">
        <f aca="false">IF(OR($A384&gt;TOMATO_BED_CAP,$B384&gt;CARROT_BED_CAP,O$4&gt;MESCLUN_BED_CAP,$A384+$B384+O$4&gt;TOTAL_BEDS_AVAILABLE,($D384+O$5)&gt;TOTAL_LABOR_HOURS_CAP,MAX(0,($D384+O$5)-PERMANENT_FIELD_LABOR_HOURS)&gt;TEMP_HOURS_CAP),"",$C384+O$6-MIN(($D384+O$5),PERMANENT_FIELD_LABOR_HOURS)*PERMANENT_HOURLY_RATE-MAX(0,($D384+O$5)-PERMANENT_FIELD_LABOR_HOURS)*TEMP_HOURLY_RATE-FIXED_SEASON_COST)</f>
        <v/>
      </c>
      <c r="P384" s="53" t="str">
        <f aca="false">IF(OR($A384&gt;TOMATO_BED_CAP,$B384&gt;CARROT_BED_CAP,P$4&gt;MESCLUN_BED_CAP,$A384+$B384+P$4&gt;TOTAL_BEDS_AVAILABLE,($D384+P$5)&gt;TOTAL_LABOR_HOURS_CAP,MAX(0,($D384+P$5)-PERMANENT_FIELD_LABOR_HOURS)&gt;TEMP_HOURS_CAP),"",$C384+P$6-MIN(($D384+P$5),PERMANENT_FIELD_LABOR_HOURS)*PERMANENT_HOURLY_RATE-MAX(0,($D384+P$5)-PERMANENT_FIELD_LABOR_HOURS)*TEMP_HOURLY_RATE-FIXED_SEASON_COST)</f>
        <v/>
      </c>
      <c r="Q384" s="53" t="str">
        <f aca="false">IF(OR($A384&gt;TOMATO_BED_CAP,$B384&gt;CARROT_BED_CAP,Q$4&gt;MESCLUN_BED_CAP,$A384+$B384+Q$4&gt;TOTAL_BEDS_AVAILABLE,($D384+Q$5)&gt;TOTAL_LABOR_HOURS_CAP,MAX(0,($D384+Q$5)-PERMANENT_FIELD_LABOR_HOURS)&gt;TEMP_HOURS_CAP),"",$C384+Q$6-MIN(($D384+Q$5),PERMANENT_FIELD_LABOR_HOURS)*PERMANENT_HOURLY_RATE-MAX(0,($D384+Q$5)-PERMANENT_FIELD_LABOR_HOURS)*TEMP_HOURLY_RATE-FIXED_SEASON_COST)</f>
        <v/>
      </c>
      <c r="R384" s="53" t="str">
        <f aca="false">IF(OR($A384&gt;TOMATO_BED_CAP,$B384&gt;CARROT_BED_CAP,R$4&gt;MESCLUN_BED_CAP,$A384+$B384+R$4&gt;TOTAL_BEDS_AVAILABLE,($D384+R$5)&gt;TOTAL_LABOR_HOURS_CAP,MAX(0,($D384+R$5)-PERMANENT_FIELD_LABOR_HOURS)&gt;TEMP_HOURS_CAP),"",$C384+R$6-MIN(($D384+R$5),PERMANENT_FIELD_LABOR_HOURS)*PERMANENT_HOURLY_RATE-MAX(0,($D384+R$5)-PERMANENT_FIELD_LABOR_HOURS)*TEMP_HOURLY_RATE-FIXED_SEASON_COST)</f>
        <v/>
      </c>
      <c r="S384" s="53" t="str">
        <f aca="false">IF(OR($A384&gt;TOMATO_BED_CAP,$B384&gt;CARROT_BED_CAP,S$4&gt;MESCLUN_BED_CAP,$A384+$B384+S$4&gt;TOTAL_BEDS_AVAILABLE,($D384+S$5)&gt;TOTAL_LABOR_HOURS_CAP,MAX(0,($D384+S$5)-PERMANENT_FIELD_LABOR_HOURS)&gt;TEMP_HOURS_CAP),"",$C384+S$6-MIN(($D384+S$5),PERMANENT_FIELD_LABOR_HOURS)*PERMANENT_HOURLY_RATE-MAX(0,($D384+S$5)-PERMANENT_FIELD_LABOR_HOURS)*TEMP_HOURLY_RATE-FIXED_SEASON_COST)</f>
        <v/>
      </c>
      <c r="T384" s="53" t="str">
        <f aca="false">IF(OR($A384&gt;TOMATO_BED_CAP,$B384&gt;CARROT_BED_CAP,T$4&gt;MESCLUN_BED_CAP,$A384+$B384+T$4&gt;TOTAL_BEDS_AVAILABLE,($D384+T$5)&gt;TOTAL_LABOR_HOURS_CAP,MAX(0,($D384+T$5)-PERMANENT_FIELD_LABOR_HOURS)&gt;TEMP_HOURS_CAP),"",$C384+T$6-MIN(($D384+T$5),PERMANENT_FIELD_LABOR_HOURS)*PERMANENT_HOURLY_RATE-MAX(0,($D384+T$5)-PERMANENT_FIELD_LABOR_HOURS)*TEMP_HOURLY_RATE-FIXED_SEASON_COST)</f>
        <v/>
      </c>
      <c r="U384" s="53" t="str">
        <f aca="false">IF(OR($A384&gt;TOMATO_BED_CAP,$B384&gt;CARROT_BED_CAP,U$4&gt;MESCLUN_BED_CAP,$A384+$B384+U$4&gt;TOTAL_BEDS_AVAILABLE,($D384+U$5)&gt;TOTAL_LABOR_HOURS_CAP,MAX(0,($D384+U$5)-PERMANENT_FIELD_LABOR_HOURS)&gt;TEMP_HOURS_CAP),"",$C384+U$6-MIN(($D384+U$5),PERMANENT_FIELD_LABOR_HOURS)*PERMANENT_HOURLY_RATE-MAX(0,($D384+U$5)-PERMANENT_FIELD_LABOR_HOURS)*TEMP_HOURLY_RATE-FIXED_SEASON_COST)</f>
        <v/>
      </c>
      <c r="V384" s="53" t="str">
        <f aca="false">IF(OR($A384&gt;TOMATO_BED_CAP,$B384&gt;CARROT_BED_CAP,V$4&gt;MESCLUN_BED_CAP,$A384+$B384+V$4&gt;TOTAL_BEDS_AVAILABLE,($D384+V$5)&gt;TOTAL_LABOR_HOURS_CAP,MAX(0,($D384+V$5)-PERMANENT_FIELD_LABOR_HOURS)&gt;TEMP_HOURS_CAP),"",$C384+V$6-MIN(($D384+V$5),PERMANENT_FIELD_LABOR_HOURS)*PERMANENT_HOURLY_RATE-MAX(0,($D384+V$5)-PERMANENT_FIELD_LABOR_HOURS)*TEMP_HOURLY_RATE-FIXED_SEASON_COST)</f>
        <v/>
      </c>
      <c r="W384" s="53" t="str">
        <f aca="false">IF(OR($A384&gt;TOMATO_BED_CAP,$B384&gt;CARROT_BED_CAP,W$4&gt;MESCLUN_BED_CAP,$A384+$B384+W$4&gt;TOTAL_BEDS_AVAILABLE,($D384+W$5)&gt;TOTAL_LABOR_HOURS_CAP,MAX(0,($D384+W$5)-PERMANENT_FIELD_LABOR_HOURS)&gt;TEMP_HOURS_CAP),"",$C384+W$6-MIN(($D384+W$5),PERMANENT_FIELD_LABOR_HOURS)*PERMANENT_HOURLY_RATE-MAX(0,($D384+W$5)-PERMANENT_FIELD_LABOR_HOURS)*TEMP_HOURLY_RATE-FIXED_SEASON_COST)</f>
        <v/>
      </c>
      <c r="X384" s="53" t="str">
        <f aca="false">IF(OR($A384&gt;TOMATO_BED_CAP,$B384&gt;CARROT_BED_CAP,X$4&gt;MESCLUN_BED_CAP,$A384+$B384+X$4&gt;TOTAL_BEDS_AVAILABLE,($D384+X$5)&gt;TOTAL_LABOR_HOURS_CAP,MAX(0,($D384+X$5)-PERMANENT_FIELD_LABOR_HOURS)&gt;TEMP_HOURS_CAP),"",$C384+X$6-MIN(($D384+X$5),PERMANENT_FIELD_LABOR_HOURS)*PERMANENT_HOURLY_RATE-MAX(0,($D384+X$5)-PERMANENT_FIELD_LABOR_HOURS)*TEMP_HOURLY_RATE-FIXED_SEASON_COST)</f>
        <v/>
      </c>
      <c r="Y384" s="53" t="str">
        <f aca="false">IF(OR($A384&gt;TOMATO_BED_CAP,$B384&gt;CARROT_BED_CAP,Y$4&gt;MESCLUN_BED_CAP,$A384+$B384+Y$4&gt;TOTAL_BEDS_AVAILABLE,($D384+Y$5)&gt;TOTAL_LABOR_HOURS_CAP,MAX(0,($D384+Y$5)-PERMANENT_FIELD_LABOR_HOURS)&gt;TEMP_HOURS_CAP),"",$C384+Y$6-MIN(($D384+Y$5),PERMANENT_FIELD_LABOR_HOURS)*PERMANENT_HOURLY_RATE-MAX(0,($D384+Y$5)-PERMANENT_FIELD_LABOR_HOURS)*TEMP_HOURLY_RATE-FIXED_SEASON_COST)</f>
        <v/>
      </c>
      <c r="Z384" s="53" t="str">
        <f aca="false">IF(OR($A384&gt;TOMATO_BED_CAP,$B384&gt;CARROT_BED_CAP,Z$4&gt;MESCLUN_BED_CAP,$A384+$B384+Z$4&gt;TOTAL_BEDS_AVAILABLE,($D384+Z$5)&gt;TOTAL_LABOR_HOURS_CAP,MAX(0,($D384+Z$5)-PERMANENT_FIELD_LABOR_HOURS)&gt;TEMP_HOURS_CAP),"",$C384+Z$6-MIN(($D384+Z$5),PERMANENT_FIELD_LABOR_HOURS)*PERMANENT_HOURLY_RATE-MAX(0,($D384+Z$5)-PERMANENT_FIELD_LABOR_HOURS)*TEMP_HOURLY_RATE-FIXED_SEASON_COST)</f>
        <v/>
      </c>
      <c r="AA384" s="53" t="str">
        <f aca="false">IF(OR($A384&gt;TOMATO_BED_CAP,$B384&gt;CARROT_BED_CAP,AA$4&gt;MESCLUN_BED_CAP,$A384+$B384+AA$4&gt;TOTAL_BEDS_AVAILABLE,($D384+AA$5)&gt;TOTAL_LABOR_HOURS_CAP,MAX(0,($D384+AA$5)-PERMANENT_FIELD_LABOR_HOURS)&gt;TEMP_HOURS_CAP),"",$C384+AA$6-MIN(($D384+AA$5),PERMANENT_FIELD_LABOR_HOURS)*PERMANENT_HOURLY_RATE-MAX(0,($D384+AA$5)-PERMANENT_FIELD_LABOR_HOURS)*TEMP_HOURLY_RATE-FIXED_SEASON_COST)</f>
        <v/>
      </c>
      <c r="AB384" s="53" t="str">
        <f aca="false">IF(OR($A384&gt;TOMATO_BED_CAP,$B384&gt;CARROT_BED_CAP,AB$4&gt;MESCLUN_BED_CAP,$A384+$B384+AB$4&gt;TOTAL_BEDS_AVAILABLE,($D384+AB$5)&gt;TOTAL_LABOR_HOURS_CAP,MAX(0,($D384+AB$5)-PERMANENT_FIELD_LABOR_HOURS)&gt;TEMP_HOURS_CAP),"",$C384+AB$6-MIN(($D384+AB$5),PERMANENT_FIELD_LABOR_HOURS)*PERMANENT_HOURLY_RATE-MAX(0,($D384+AB$5)-PERMANENT_FIELD_LABOR_HOURS)*TEMP_HOURLY_RATE-FIXED_SEASON_COST)</f>
        <v/>
      </c>
      <c r="AC384" s="53" t="str">
        <f aca="false">IF(OR($A384&gt;TOMATO_BED_CAP,$B384&gt;CARROT_BED_CAP,AC$4&gt;MESCLUN_BED_CAP,$A384+$B384+AC$4&gt;TOTAL_BEDS_AVAILABLE,($D384+AC$5)&gt;TOTAL_LABOR_HOURS_CAP,MAX(0,($D384+AC$5)-PERMANENT_FIELD_LABOR_HOURS)&gt;TEMP_HOURS_CAP),"",$C384+AC$6-MIN(($D384+AC$5),PERMANENT_FIELD_LABOR_HOURS)*PERMANENT_HOURLY_RATE-MAX(0,($D384+AC$5)-PERMANENT_FIELD_LABOR_HOURS)*TEMP_HOURLY_RATE-FIXED_SEASON_COST)</f>
        <v/>
      </c>
      <c r="AD384" s="53" t="str">
        <f aca="false">IF(OR($A384&gt;TOMATO_BED_CAP,$B384&gt;CARROT_BED_CAP,AD$4&gt;MESCLUN_BED_CAP,$A384+$B384+AD$4&gt;TOTAL_BEDS_AVAILABLE,($D384+AD$5)&gt;TOTAL_LABOR_HOURS_CAP,MAX(0,($D384+AD$5)-PERMANENT_FIELD_LABOR_HOURS)&gt;TEMP_HOURS_CAP),"",$C384+AD$6-MIN(($D384+AD$5),PERMANENT_FIELD_LABOR_HOURS)*PERMANENT_HOURLY_RATE-MAX(0,($D384+AD$5)-PERMANENT_FIELD_LABOR_HOURS)*TEMP_HOURLY_RATE-FIXED_SEASON_COST)</f>
        <v/>
      </c>
      <c r="AE384" s="53" t="str">
        <f aca="false">IF(OR($A384&gt;TOMATO_BED_CAP,$B384&gt;CARROT_BED_CAP,AE$4&gt;MESCLUN_BED_CAP,$A384+$B384+AE$4&gt;TOTAL_BEDS_AVAILABLE,($D384+AE$5)&gt;TOTAL_LABOR_HOURS_CAP,MAX(0,($D384+AE$5)-PERMANENT_FIELD_LABOR_HOURS)&gt;TEMP_HOURS_CAP),"",$C384+AE$6-MIN(($D384+AE$5),PERMANENT_FIELD_LABOR_HOURS)*PERMANENT_HOURLY_RATE-MAX(0,($D384+AE$5)-PERMANENT_FIELD_LABOR_HOURS)*TEMP_HOURLY_RATE-FIXED_SEASON_COST)</f>
        <v/>
      </c>
      <c r="AF384" s="53" t="str">
        <f aca="false">IF(OR($A384&gt;TOMATO_BED_CAP,$B384&gt;CARROT_BED_CAP,AF$4&gt;MESCLUN_BED_CAP,$A384+$B384+AF$4&gt;TOTAL_BEDS_AVAILABLE,($D384+AF$5)&gt;TOTAL_LABOR_HOURS_CAP,MAX(0,($D384+AF$5)-PERMANENT_FIELD_LABOR_HOURS)&gt;TEMP_HOURS_CAP),"",$C384+AF$6-MIN(($D384+AF$5),PERMANENT_FIELD_LABOR_HOURS)*PERMANENT_HOURLY_RATE-MAX(0,($D384+AF$5)-PERMANENT_FIELD_LABOR_HOURS)*TEMP_HOURLY_RATE-FIXED_SEASON_COST)</f>
        <v/>
      </c>
      <c r="AG384" s="53" t="str">
        <f aca="false">IF(OR($A384&gt;TOMATO_BED_CAP,$B384&gt;CARROT_BED_CAP,AG$4&gt;MESCLUN_BED_CAP,$A384+$B384+AG$4&gt;TOTAL_BEDS_AVAILABLE,($D384+AG$5)&gt;TOTAL_LABOR_HOURS_CAP,MAX(0,($D384+AG$5)-PERMANENT_FIELD_LABOR_HOURS)&gt;TEMP_HOURS_CAP),"",$C384+AG$6-MIN(($D384+AG$5),PERMANENT_FIELD_LABOR_HOURS)*PERMANENT_HOURLY_RATE-MAX(0,($D384+AG$5)-PERMANENT_FIELD_LABOR_HOURS)*TEMP_HOURLY_RATE-FIXED_SEASON_COST)</f>
        <v/>
      </c>
      <c r="AH384" s="53" t="str">
        <f aca="false">IF(OR($A384&gt;TOMATO_BED_CAP,$B384&gt;CARROT_BED_CAP,AH$4&gt;MESCLUN_BED_CAP,$A384+$B384+AH$4&gt;TOTAL_BEDS_AVAILABLE,($D384+AH$5)&gt;TOTAL_LABOR_HOURS_CAP,MAX(0,($D384+AH$5)-PERMANENT_FIELD_LABOR_HOURS)&gt;TEMP_HOURS_CAP),"",$C384+AH$6-MIN(($D384+AH$5),PERMANENT_FIELD_LABOR_HOURS)*PERMANENT_HOURLY_RATE-MAX(0,($D384+AH$5)-PERMANENT_FIELD_LABOR_HOURS)*TEMP_HOURLY_RATE-FIXED_SEASON_COST)</f>
        <v/>
      </c>
      <c r="AI384" s="53" t="str">
        <f aca="false">IF(OR($A384&gt;TOMATO_BED_CAP,$B384&gt;CARROT_BED_CAP,AI$4&gt;MESCLUN_BED_CAP,$A384+$B384+AI$4&gt;TOTAL_BEDS_AVAILABLE,($D384+AI$5)&gt;TOTAL_LABOR_HOURS_CAP,MAX(0,($D384+AI$5)-PERMANENT_FIELD_LABOR_HOURS)&gt;TEMP_HOURS_CAP),"",$C384+AI$6-MIN(($D384+AI$5),PERMANENT_FIELD_LABOR_HOURS)*PERMANENT_HOURLY_RATE-MAX(0,($D384+AI$5)-PERMANENT_FIELD_LABOR_HOURS)*TEMP_HOURLY_RATE-FIXED_SEASON_COST)</f>
        <v/>
      </c>
      <c r="AJ384" s="53" t="str">
        <f aca="false">IF(OR($A384&gt;TOMATO_BED_CAP,$B384&gt;CARROT_BED_CAP,AJ$4&gt;MESCLUN_BED_CAP,$A384+$B384+AJ$4&gt;TOTAL_BEDS_AVAILABLE,($D384+AJ$5)&gt;TOTAL_LABOR_HOURS_CAP,MAX(0,($D384+AJ$5)-PERMANENT_FIELD_LABOR_HOURS)&gt;TEMP_HOURS_CAP),"",$C384+AJ$6-MIN(($D384+AJ$5),PERMANENT_FIELD_LABOR_HOURS)*PERMANENT_HOURLY_RATE-MAX(0,($D384+AJ$5)-PERMANENT_FIELD_LABOR_HOURS)*TEMP_HOURLY_RATE-FIXED_SEASON_COST)</f>
        <v/>
      </c>
    </row>
    <row r="385" customFormat="false" ht="15" hidden="false" customHeight="false" outlineLevel="0" collapsed="false">
      <c r="A385" s="21" t="n">
        <f aca="false">INT((ROW()-ROW($A$8))/(20+1))</f>
        <v>17</v>
      </c>
      <c r="B385" s="21" t="n">
        <f aca="false">MOD(ROW()-ROW($A$8),20+1)</f>
        <v>20</v>
      </c>
      <c r="C385" s="13" t="n">
        <f aca="false">A385*(TOMATO_REVENUE_PER_BED-TOMATO_FERTILIZER_PER_BED)+B385*(CARROT_REVENUE_PER_BED-CARROT_FERTILIZER_PER_BED)</f>
        <v>167720</v>
      </c>
      <c r="D385" s="14" t="n">
        <f aca="false">INDEX(TOMATO_SCHED_LABOR_HRS,A385+1)+INDEX(CARROT_SCHED_LABOR_HRS,B385+1)</f>
        <v>8716.11613226777</v>
      </c>
      <c r="E385" s="13" t="str">
        <f aca="false">IF(COUNT(F385:AJ385)=0,"",MAX(F385:AJ385))</f>
        <v/>
      </c>
      <c r="F385" s="53" t="str">
        <f aca="false">IF(OR($A385&gt;TOMATO_BED_CAP,$B385&gt;CARROT_BED_CAP,F$4&gt;MESCLUN_BED_CAP,$A385+$B385+F$4&gt;TOTAL_BEDS_AVAILABLE,($D385+F$5)&gt;TOTAL_LABOR_HOURS_CAP,MAX(0,($D385+F$5)-PERMANENT_FIELD_LABOR_HOURS)&gt;TEMP_HOURS_CAP),"",$C385+F$6-MIN(($D385+F$5),PERMANENT_FIELD_LABOR_HOURS)*PERMANENT_HOURLY_RATE-MAX(0,($D385+F$5)-PERMANENT_FIELD_LABOR_HOURS)*TEMP_HOURLY_RATE-FIXED_SEASON_COST)</f>
        <v/>
      </c>
      <c r="G385" s="53" t="str">
        <f aca="false">IF(OR($A385&gt;TOMATO_BED_CAP,$B385&gt;CARROT_BED_CAP,G$4&gt;MESCLUN_BED_CAP,$A385+$B385+G$4&gt;TOTAL_BEDS_AVAILABLE,($D385+G$5)&gt;TOTAL_LABOR_HOURS_CAP,MAX(0,($D385+G$5)-PERMANENT_FIELD_LABOR_HOURS)&gt;TEMP_HOURS_CAP),"",$C385+G$6-MIN(($D385+G$5),PERMANENT_FIELD_LABOR_HOURS)*PERMANENT_HOURLY_RATE-MAX(0,($D385+G$5)-PERMANENT_FIELD_LABOR_HOURS)*TEMP_HOURLY_RATE-FIXED_SEASON_COST)</f>
        <v/>
      </c>
      <c r="H385" s="53" t="str">
        <f aca="false">IF(OR($A385&gt;TOMATO_BED_CAP,$B385&gt;CARROT_BED_CAP,H$4&gt;MESCLUN_BED_CAP,$A385+$B385+H$4&gt;TOTAL_BEDS_AVAILABLE,($D385+H$5)&gt;TOTAL_LABOR_HOURS_CAP,MAX(0,($D385+H$5)-PERMANENT_FIELD_LABOR_HOURS)&gt;TEMP_HOURS_CAP),"",$C385+H$6-MIN(($D385+H$5),PERMANENT_FIELD_LABOR_HOURS)*PERMANENT_HOURLY_RATE-MAX(0,($D385+H$5)-PERMANENT_FIELD_LABOR_HOURS)*TEMP_HOURLY_RATE-FIXED_SEASON_COST)</f>
        <v/>
      </c>
      <c r="I385" s="53" t="str">
        <f aca="false">IF(OR($A385&gt;TOMATO_BED_CAP,$B385&gt;CARROT_BED_CAP,I$4&gt;MESCLUN_BED_CAP,$A385+$B385+I$4&gt;TOTAL_BEDS_AVAILABLE,($D385+I$5)&gt;TOTAL_LABOR_HOURS_CAP,MAX(0,($D385+I$5)-PERMANENT_FIELD_LABOR_HOURS)&gt;TEMP_HOURS_CAP),"",$C385+I$6-MIN(($D385+I$5),PERMANENT_FIELD_LABOR_HOURS)*PERMANENT_HOURLY_RATE-MAX(0,($D385+I$5)-PERMANENT_FIELD_LABOR_HOURS)*TEMP_HOURLY_RATE-FIXED_SEASON_COST)</f>
        <v/>
      </c>
      <c r="J385" s="53" t="str">
        <f aca="false">IF(OR($A385&gt;TOMATO_BED_CAP,$B385&gt;CARROT_BED_CAP,J$4&gt;MESCLUN_BED_CAP,$A385+$B385+J$4&gt;TOTAL_BEDS_AVAILABLE,($D385+J$5)&gt;TOTAL_LABOR_HOURS_CAP,MAX(0,($D385+J$5)-PERMANENT_FIELD_LABOR_HOURS)&gt;TEMP_HOURS_CAP),"",$C385+J$6-MIN(($D385+J$5),PERMANENT_FIELD_LABOR_HOURS)*PERMANENT_HOURLY_RATE-MAX(0,($D385+J$5)-PERMANENT_FIELD_LABOR_HOURS)*TEMP_HOURLY_RATE-FIXED_SEASON_COST)</f>
        <v/>
      </c>
      <c r="K385" s="53" t="str">
        <f aca="false">IF(OR($A385&gt;TOMATO_BED_CAP,$B385&gt;CARROT_BED_CAP,K$4&gt;MESCLUN_BED_CAP,$A385+$B385+K$4&gt;TOTAL_BEDS_AVAILABLE,($D385+K$5)&gt;TOTAL_LABOR_HOURS_CAP,MAX(0,($D385+K$5)-PERMANENT_FIELD_LABOR_HOURS)&gt;TEMP_HOURS_CAP),"",$C385+K$6-MIN(($D385+K$5),PERMANENT_FIELD_LABOR_HOURS)*PERMANENT_HOURLY_RATE-MAX(0,($D385+K$5)-PERMANENT_FIELD_LABOR_HOURS)*TEMP_HOURLY_RATE-FIXED_SEASON_COST)</f>
        <v/>
      </c>
      <c r="L385" s="53" t="str">
        <f aca="false">IF(OR($A385&gt;TOMATO_BED_CAP,$B385&gt;CARROT_BED_CAP,L$4&gt;MESCLUN_BED_CAP,$A385+$B385+L$4&gt;TOTAL_BEDS_AVAILABLE,($D385+L$5)&gt;TOTAL_LABOR_HOURS_CAP,MAX(0,($D385+L$5)-PERMANENT_FIELD_LABOR_HOURS)&gt;TEMP_HOURS_CAP),"",$C385+L$6-MIN(($D385+L$5),PERMANENT_FIELD_LABOR_HOURS)*PERMANENT_HOURLY_RATE-MAX(0,($D385+L$5)-PERMANENT_FIELD_LABOR_HOURS)*TEMP_HOURLY_RATE-FIXED_SEASON_COST)</f>
        <v/>
      </c>
      <c r="M385" s="53" t="str">
        <f aca="false">IF(OR($A385&gt;TOMATO_BED_CAP,$B385&gt;CARROT_BED_CAP,M$4&gt;MESCLUN_BED_CAP,$A385+$B385+M$4&gt;TOTAL_BEDS_AVAILABLE,($D385+M$5)&gt;TOTAL_LABOR_HOURS_CAP,MAX(0,($D385+M$5)-PERMANENT_FIELD_LABOR_HOURS)&gt;TEMP_HOURS_CAP),"",$C385+M$6-MIN(($D385+M$5),PERMANENT_FIELD_LABOR_HOURS)*PERMANENT_HOURLY_RATE-MAX(0,($D385+M$5)-PERMANENT_FIELD_LABOR_HOURS)*TEMP_HOURLY_RATE-FIXED_SEASON_COST)</f>
        <v/>
      </c>
      <c r="N385" s="53" t="str">
        <f aca="false">IF(OR($A385&gt;TOMATO_BED_CAP,$B385&gt;CARROT_BED_CAP,N$4&gt;MESCLUN_BED_CAP,$A385+$B385+N$4&gt;TOTAL_BEDS_AVAILABLE,($D385+N$5)&gt;TOTAL_LABOR_HOURS_CAP,MAX(0,($D385+N$5)-PERMANENT_FIELD_LABOR_HOURS)&gt;TEMP_HOURS_CAP),"",$C385+N$6-MIN(($D385+N$5),PERMANENT_FIELD_LABOR_HOURS)*PERMANENT_HOURLY_RATE-MAX(0,($D385+N$5)-PERMANENT_FIELD_LABOR_HOURS)*TEMP_HOURLY_RATE-FIXED_SEASON_COST)</f>
        <v/>
      </c>
      <c r="O385" s="53" t="str">
        <f aca="false">IF(OR($A385&gt;TOMATO_BED_CAP,$B385&gt;CARROT_BED_CAP,O$4&gt;MESCLUN_BED_CAP,$A385+$B385+O$4&gt;TOTAL_BEDS_AVAILABLE,($D385+O$5)&gt;TOTAL_LABOR_HOURS_CAP,MAX(0,($D385+O$5)-PERMANENT_FIELD_LABOR_HOURS)&gt;TEMP_HOURS_CAP),"",$C385+O$6-MIN(($D385+O$5),PERMANENT_FIELD_LABOR_HOURS)*PERMANENT_HOURLY_RATE-MAX(0,($D385+O$5)-PERMANENT_FIELD_LABOR_HOURS)*TEMP_HOURLY_RATE-FIXED_SEASON_COST)</f>
        <v/>
      </c>
      <c r="P385" s="53" t="str">
        <f aca="false">IF(OR($A385&gt;TOMATO_BED_CAP,$B385&gt;CARROT_BED_CAP,P$4&gt;MESCLUN_BED_CAP,$A385+$B385+P$4&gt;TOTAL_BEDS_AVAILABLE,($D385+P$5)&gt;TOTAL_LABOR_HOURS_CAP,MAX(0,($D385+P$5)-PERMANENT_FIELD_LABOR_HOURS)&gt;TEMP_HOURS_CAP),"",$C385+P$6-MIN(($D385+P$5),PERMANENT_FIELD_LABOR_HOURS)*PERMANENT_HOURLY_RATE-MAX(0,($D385+P$5)-PERMANENT_FIELD_LABOR_HOURS)*TEMP_HOURLY_RATE-FIXED_SEASON_COST)</f>
        <v/>
      </c>
      <c r="Q385" s="53" t="str">
        <f aca="false">IF(OR($A385&gt;TOMATO_BED_CAP,$B385&gt;CARROT_BED_CAP,Q$4&gt;MESCLUN_BED_CAP,$A385+$B385+Q$4&gt;TOTAL_BEDS_AVAILABLE,($D385+Q$5)&gt;TOTAL_LABOR_HOURS_CAP,MAX(0,($D385+Q$5)-PERMANENT_FIELD_LABOR_HOURS)&gt;TEMP_HOURS_CAP),"",$C385+Q$6-MIN(($D385+Q$5),PERMANENT_FIELD_LABOR_HOURS)*PERMANENT_HOURLY_RATE-MAX(0,($D385+Q$5)-PERMANENT_FIELD_LABOR_HOURS)*TEMP_HOURLY_RATE-FIXED_SEASON_COST)</f>
        <v/>
      </c>
      <c r="R385" s="53" t="str">
        <f aca="false">IF(OR($A385&gt;TOMATO_BED_CAP,$B385&gt;CARROT_BED_CAP,R$4&gt;MESCLUN_BED_CAP,$A385+$B385+R$4&gt;TOTAL_BEDS_AVAILABLE,($D385+R$5)&gt;TOTAL_LABOR_HOURS_CAP,MAX(0,($D385+R$5)-PERMANENT_FIELD_LABOR_HOURS)&gt;TEMP_HOURS_CAP),"",$C385+R$6-MIN(($D385+R$5),PERMANENT_FIELD_LABOR_HOURS)*PERMANENT_HOURLY_RATE-MAX(0,($D385+R$5)-PERMANENT_FIELD_LABOR_HOURS)*TEMP_HOURLY_RATE-FIXED_SEASON_COST)</f>
        <v/>
      </c>
      <c r="S385" s="53" t="str">
        <f aca="false">IF(OR($A385&gt;TOMATO_BED_CAP,$B385&gt;CARROT_BED_CAP,S$4&gt;MESCLUN_BED_CAP,$A385+$B385+S$4&gt;TOTAL_BEDS_AVAILABLE,($D385+S$5)&gt;TOTAL_LABOR_HOURS_CAP,MAX(0,($D385+S$5)-PERMANENT_FIELD_LABOR_HOURS)&gt;TEMP_HOURS_CAP),"",$C385+S$6-MIN(($D385+S$5),PERMANENT_FIELD_LABOR_HOURS)*PERMANENT_HOURLY_RATE-MAX(0,($D385+S$5)-PERMANENT_FIELD_LABOR_HOURS)*TEMP_HOURLY_RATE-FIXED_SEASON_COST)</f>
        <v/>
      </c>
      <c r="T385" s="53" t="str">
        <f aca="false">IF(OR($A385&gt;TOMATO_BED_CAP,$B385&gt;CARROT_BED_CAP,T$4&gt;MESCLUN_BED_CAP,$A385+$B385+T$4&gt;TOTAL_BEDS_AVAILABLE,($D385+T$5)&gt;TOTAL_LABOR_HOURS_CAP,MAX(0,($D385+T$5)-PERMANENT_FIELD_LABOR_HOURS)&gt;TEMP_HOURS_CAP),"",$C385+T$6-MIN(($D385+T$5),PERMANENT_FIELD_LABOR_HOURS)*PERMANENT_HOURLY_RATE-MAX(0,($D385+T$5)-PERMANENT_FIELD_LABOR_HOURS)*TEMP_HOURLY_RATE-FIXED_SEASON_COST)</f>
        <v/>
      </c>
      <c r="U385" s="53" t="str">
        <f aca="false">IF(OR($A385&gt;TOMATO_BED_CAP,$B385&gt;CARROT_BED_CAP,U$4&gt;MESCLUN_BED_CAP,$A385+$B385+U$4&gt;TOTAL_BEDS_AVAILABLE,($D385+U$5)&gt;TOTAL_LABOR_HOURS_CAP,MAX(0,($D385+U$5)-PERMANENT_FIELD_LABOR_HOURS)&gt;TEMP_HOURS_CAP),"",$C385+U$6-MIN(($D385+U$5),PERMANENT_FIELD_LABOR_HOURS)*PERMANENT_HOURLY_RATE-MAX(0,($D385+U$5)-PERMANENT_FIELD_LABOR_HOURS)*TEMP_HOURLY_RATE-FIXED_SEASON_COST)</f>
        <v/>
      </c>
      <c r="V385" s="53" t="str">
        <f aca="false">IF(OR($A385&gt;TOMATO_BED_CAP,$B385&gt;CARROT_BED_CAP,V$4&gt;MESCLUN_BED_CAP,$A385+$B385+V$4&gt;TOTAL_BEDS_AVAILABLE,($D385+V$5)&gt;TOTAL_LABOR_HOURS_CAP,MAX(0,($D385+V$5)-PERMANENT_FIELD_LABOR_HOURS)&gt;TEMP_HOURS_CAP),"",$C385+V$6-MIN(($D385+V$5),PERMANENT_FIELD_LABOR_HOURS)*PERMANENT_HOURLY_RATE-MAX(0,($D385+V$5)-PERMANENT_FIELD_LABOR_HOURS)*TEMP_HOURLY_RATE-FIXED_SEASON_COST)</f>
        <v/>
      </c>
      <c r="W385" s="53" t="str">
        <f aca="false">IF(OR($A385&gt;TOMATO_BED_CAP,$B385&gt;CARROT_BED_CAP,W$4&gt;MESCLUN_BED_CAP,$A385+$B385+W$4&gt;TOTAL_BEDS_AVAILABLE,($D385+W$5)&gt;TOTAL_LABOR_HOURS_CAP,MAX(0,($D385+W$5)-PERMANENT_FIELD_LABOR_HOURS)&gt;TEMP_HOURS_CAP),"",$C385+W$6-MIN(($D385+W$5),PERMANENT_FIELD_LABOR_HOURS)*PERMANENT_HOURLY_RATE-MAX(0,($D385+W$5)-PERMANENT_FIELD_LABOR_HOURS)*TEMP_HOURLY_RATE-FIXED_SEASON_COST)</f>
        <v/>
      </c>
      <c r="X385" s="53" t="str">
        <f aca="false">IF(OR($A385&gt;TOMATO_BED_CAP,$B385&gt;CARROT_BED_CAP,X$4&gt;MESCLUN_BED_CAP,$A385+$B385+X$4&gt;TOTAL_BEDS_AVAILABLE,($D385+X$5)&gt;TOTAL_LABOR_HOURS_CAP,MAX(0,($D385+X$5)-PERMANENT_FIELD_LABOR_HOURS)&gt;TEMP_HOURS_CAP),"",$C385+X$6-MIN(($D385+X$5),PERMANENT_FIELD_LABOR_HOURS)*PERMANENT_HOURLY_RATE-MAX(0,($D385+X$5)-PERMANENT_FIELD_LABOR_HOURS)*TEMP_HOURLY_RATE-FIXED_SEASON_COST)</f>
        <v/>
      </c>
      <c r="Y385" s="53" t="str">
        <f aca="false">IF(OR($A385&gt;TOMATO_BED_CAP,$B385&gt;CARROT_BED_CAP,Y$4&gt;MESCLUN_BED_CAP,$A385+$B385+Y$4&gt;TOTAL_BEDS_AVAILABLE,($D385+Y$5)&gt;TOTAL_LABOR_HOURS_CAP,MAX(0,($D385+Y$5)-PERMANENT_FIELD_LABOR_HOURS)&gt;TEMP_HOURS_CAP),"",$C385+Y$6-MIN(($D385+Y$5),PERMANENT_FIELD_LABOR_HOURS)*PERMANENT_HOURLY_RATE-MAX(0,($D385+Y$5)-PERMANENT_FIELD_LABOR_HOURS)*TEMP_HOURLY_RATE-FIXED_SEASON_COST)</f>
        <v/>
      </c>
      <c r="Z385" s="53" t="str">
        <f aca="false">IF(OR($A385&gt;TOMATO_BED_CAP,$B385&gt;CARROT_BED_CAP,Z$4&gt;MESCLUN_BED_CAP,$A385+$B385+Z$4&gt;TOTAL_BEDS_AVAILABLE,($D385+Z$5)&gt;TOTAL_LABOR_HOURS_CAP,MAX(0,($D385+Z$5)-PERMANENT_FIELD_LABOR_HOURS)&gt;TEMP_HOURS_CAP),"",$C385+Z$6-MIN(($D385+Z$5),PERMANENT_FIELD_LABOR_HOURS)*PERMANENT_HOURLY_RATE-MAX(0,($D385+Z$5)-PERMANENT_FIELD_LABOR_HOURS)*TEMP_HOURLY_RATE-FIXED_SEASON_COST)</f>
        <v/>
      </c>
      <c r="AA385" s="53" t="str">
        <f aca="false">IF(OR($A385&gt;TOMATO_BED_CAP,$B385&gt;CARROT_BED_CAP,AA$4&gt;MESCLUN_BED_CAP,$A385+$B385+AA$4&gt;TOTAL_BEDS_AVAILABLE,($D385+AA$5)&gt;TOTAL_LABOR_HOURS_CAP,MAX(0,($D385+AA$5)-PERMANENT_FIELD_LABOR_HOURS)&gt;TEMP_HOURS_CAP),"",$C385+AA$6-MIN(($D385+AA$5),PERMANENT_FIELD_LABOR_HOURS)*PERMANENT_HOURLY_RATE-MAX(0,($D385+AA$5)-PERMANENT_FIELD_LABOR_HOURS)*TEMP_HOURLY_RATE-FIXED_SEASON_COST)</f>
        <v/>
      </c>
      <c r="AB385" s="53" t="str">
        <f aca="false">IF(OR($A385&gt;TOMATO_BED_CAP,$B385&gt;CARROT_BED_CAP,AB$4&gt;MESCLUN_BED_CAP,$A385+$B385+AB$4&gt;TOTAL_BEDS_AVAILABLE,($D385+AB$5)&gt;TOTAL_LABOR_HOURS_CAP,MAX(0,($D385+AB$5)-PERMANENT_FIELD_LABOR_HOURS)&gt;TEMP_HOURS_CAP),"",$C385+AB$6-MIN(($D385+AB$5),PERMANENT_FIELD_LABOR_HOURS)*PERMANENT_HOURLY_RATE-MAX(0,($D385+AB$5)-PERMANENT_FIELD_LABOR_HOURS)*TEMP_HOURLY_RATE-FIXED_SEASON_COST)</f>
        <v/>
      </c>
      <c r="AC385" s="53" t="str">
        <f aca="false">IF(OR($A385&gt;TOMATO_BED_CAP,$B385&gt;CARROT_BED_CAP,AC$4&gt;MESCLUN_BED_CAP,$A385+$B385+AC$4&gt;TOTAL_BEDS_AVAILABLE,($D385+AC$5)&gt;TOTAL_LABOR_HOURS_CAP,MAX(0,($D385+AC$5)-PERMANENT_FIELD_LABOR_HOURS)&gt;TEMP_HOURS_CAP),"",$C385+AC$6-MIN(($D385+AC$5),PERMANENT_FIELD_LABOR_HOURS)*PERMANENT_HOURLY_RATE-MAX(0,($D385+AC$5)-PERMANENT_FIELD_LABOR_HOURS)*TEMP_HOURLY_RATE-FIXED_SEASON_COST)</f>
        <v/>
      </c>
      <c r="AD385" s="53" t="str">
        <f aca="false">IF(OR($A385&gt;TOMATO_BED_CAP,$B385&gt;CARROT_BED_CAP,AD$4&gt;MESCLUN_BED_CAP,$A385+$B385+AD$4&gt;TOTAL_BEDS_AVAILABLE,($D385+AD$5)&gt;TOTAL_LABOR_HOURS_CAP,MAX(0,($D385+AD$5)-PERMANENT_FIELD_LABOR_HOURS)&gt;TEMP_HOURS_CAP),"",$C385+AD$6-MIN(($D385+AD$5),PERMANENT_FIELD_LABOR_HOURS)*PERMANENT_HOURLY_RATE-MAX(0,($D385+AD$5)-PERMANENT_FIELD_LABOR_HOURS)*TEMP_HOURLY_RATE-FIXED_SEASON_COST)</f>
        <v/>
      </c>
      <c r="AE385" s="53" t="str">
        <f aca="false">IF(OR($A385&gt;TOMATO_BED_CAP,$B385&gt;CARROT_BED_CAP,AE$4&gt;MESCLUN_BED_CAP,$A385+$B385+AE$4&gt;TOTAL_BEDS_AVAILABLE,($D385+AE$5)&gt;TOTAL_LABOR_HOURS_CAP,MAX(0,($D385+AE$5)-PERMANENT_FIELD_LABOR_HOURS)&gt;TEMP_HOURS_CAP),"",$C385+AE$6-MIN(($D385+AE$5),PERMANENT_FIELD_LABOR_HOURS)*PERMANENT_HOURLY_RATE-MAX(0,($D385+AE$5)-PERMANENT_FIELD_LABOR_HOURS)*TEMP_HOURLY_RATE-FIXED_SEASON_COST)</f>
        <v/>
      </c>
      <c r="AF385" s="53" t="str">
        <f aca="false">IF(OR($A385&gt;TOMATO_BED_CAP,$B385&gt;CARROT_BED_CAP,AF$4&gt;MESCLUN_BED_CAP,$A385+$B385+AF$4&gt;TOTAL_BEDS_AVAILABLE,($D385+AF$5)&gt;TOTAL_LABOR_HOURS_CAP,MAX(0,($D385+AF$5)-PERMANENT_FIELD_LABOR_HOURS)&gt;TEMP_HOURS_CAP),"",$C385+AF$6-MIN(($D385+AF$5),PERMANENT_FIELD_LABOR_HOURS)*PERMANENT_HOURLY_RATE-MAX(0,($D385+AF$5)-PERMANENT_FIELD_LABOR_HOURS)*TEMP_HOURLY_RATE-FIXED_SEASON_COST)</f>
        <v/>
      </c>
      <c r="AG385" s="53" t="str">
        <f aca="false">IF(OR($A385&gt;TOMATO_BED_CAP,$B385&gt;CARROT_BED_CAP,AG$4&gt;MESCLUN_BED_CAP,$A385+$B385+AG$4&gt;TOTAL_BEDS_AVAILABLE,($D385+AG$5)&gt;TOTAL_LABOR_HOURS_CAP,MAX(0,($D385+AG$5)-PERMANENT_FIELD_LABOR_HOURS)&gt;TEMP_HOURS_CAP),"",$C385+AG$6-MIN(($D385+AG$5),PERMANENT_FIELD_LABOR_HOURS)*PERMANENT_HOURLY_RATE-MAX(0,($D385+AG$5)-PERMANENT_FIELD_LABOR_HOURS)*TEMP_HOURLY_RATE-FIXED_SEASON_COST)</f>
        <v/>
      </c>
      <c r="AH385" s="53" t="str">
        <f aca="false">IF(OR($A385&gt;TOMATO_BED_CAP,$B385&gt;CARROT_BED_CAP,AH$4&gt;MESCLUN_BED_CAP,$A385+$B385+AH$4&gt;TOTAL_BEDS_AVAILABLE,($D385+AH$5)&gt;TOTAL_LABOR_HOURS_CAP,MAX(0,($D385+AH$5)-PERMANENT_FIELD_LABOR_HOURS)&gt;TEMP_HOURS_CAP),"",$C385+AH$6-MIN(($D385+AH$5),PERMANENT_FIELD_LABOR_HOURS)*PERMANENT_HOURLY_RATE-MAX(0,($D385+AH$5)-PERMANENT_FIELD_LABOR_HOURS)*TEMP_HOURLY_RATE-FIXED_SEASON_COST)</f>
        <v/>
      </c>
      <c r="AI385" s="53" t="str">
        <f aca="false">IF(OR($A385&gt;TOMATO_BED_CAP,$B385&gt;CARROT_BED_CAP,AI$4&gt;MESCLUN_BED_CAP,$A385+$B385+AI$4&gt;TOTAL_BEDS_AVAILABLE,($D385+AI$5)&gt;TOTAL_LABOR_HOURS_CAP,MAX(0,($D385+AI$5)-PERMANENT_FIELD_LABOR_HOURS)&gt;TEMP_HOURS_CAP),"",$C385+AI$6-MIN(($D385+AI$5),PERMANENT_FIELD_LABOR_HOURS)*PERMANENT_HOURLY_RATE-MAX(0,($D385+AI$5)-PERMANENT_FIELD_LABOR_HOURS)*TEMP_HOURLY_RATE-FIXED_SEASON_COST)</f>
        <v/>
      </c>
      <c r="AJ385" s="53" t="str">
        <f aca="false">IF(OR($A385&gt;TOMATO_BED_CAP,$B385&gt;CARROT_BED_CAP,AJ$4&gt;MESCLUN_BED_CAP,$A385+$B385+AJ$4&gt;TOTAL_BEDS_AVAILABLE,($D385+AJ$5)&gt;TOTAL_LABOR_HOURS_CAP,MAX(0,($D385+AJ$5)-PERMANENT_FIELD_LABOR_HOURS)&gt;TEMP_HOURS_CAP),"",$C385+AJ$6-MIN(($D385+AJ$5),PERMANENT_FIELD_LABOR_HOURS)*PERMANENT_HOURLY_RATE-MAX(0,($D385+AJ$5)-PERMANENT_FIELD_LABOR_HOURS)*TEMP_HOURLY_RATE-FIXED_SEASON_COST)</f>
        <v/>
      </c>
    </row>
    <row r="386" customFormat="false" ht="15" hidden="false" customHeight="false" outlineLevel="0" collapsed="false">
      <c r="A386" s="21" t="n">
        <f aca="false">INT((ROW()-ROW($A$8))/(20+1))</f>
        <v>18</v>
      </c>
      <c r="B386" s="21" t="n">
        <f aca="false">MOD(ROW()-ROW($A$8),20+1)</f>
        <v>0</v>
      </c>
      <c r="C386" s="13" t="n">
        <f aca="false">A386*(TOMATO_REVENUE_PER_BED-TOMATO_FERTILIZER_PER_BED)+B386*(CARROT_REVENUE_PER_BED-CARROT_FERTILIZER_PER_BED)</f>
        <v>142560</v>
      </c>
      <c r="D386" s="14" t="n">
        <f aca="false">INDEX(TOMATO_SCHED_LABOR_HRS,A386+1)+INDEX(CARROT_SCHED_LABOR_HRS,B386+1)</f>
        <v>9007.06604785743</v>
      </c>
      <c r="E386" s="13" t="str">
        <f aca="false">IF(COUNT(F386:AJ386)=0,"",MAX(F386:AJ386))</f>
        <v/>
      </c>
      <c r="F386" s="53" t="str">
        <f aca="false">IF(OR($A386&gt;TOMATO_BED_CAP,$B386&gt;CARROT_BED_CAP,F$4&gt;MESCLUN_BED_CAP,$A386+$B386+F$4&gt;TOTAL_BEDS_AVAILABLE,($D386+F$5)&gt;TOTAL_LABOR_HOURS_CAP,MAX(0,($D386+F$5)-PERMANENT_FIELD_LABOR_HOURS)&gt;TEMP_HOURS_CAP),"",$C386+F$6-MIN(($D386+F$5),PERMANENT_FIELD_LABOR_HOURS)*PERMANENT_HOURLY_RATE-MAX(0,($D386+F$5)-PERMANENT_FIELD_LABOR_HOURS)*TEMP_HOURLY_RATE-FIXED_SEASON_COST)</f>
        <v/>
      </c>
      <c r="G386" s="53" t="str">
        <f aca="false">IF(OR($A386&gt;TOMATO_BED_CAP,$B386&gt;CARROT_BED_CAP,G$4&gt;MESCLUN_BED_CAP,$A386+$B386+G$4&gt;TOTAL_BEDS_AVAILABLE,($D386+G$5)&gt;TOTAL_LABOR_HOURS_CAP,MAX(0,($D386+G$5)-PERMANENT_FIELD_LABOR_HOURS)&gt;TEMP_HOURS_CAP),"",$C386+G$6-MIN(($D386+G$5),PERMANENT_FIELD_LABOR_HOURS)*PERMANENT_HOURLY_RATE-MAX(0,($D386+G$5)-PERMANENT_FIELD_LABOR_HOURS)*TEMP_HOURLY_RATE-FIXED_SEASON_COST)</f>
        <v/>
      </c>
      <c r="H386" s="53" t="str">
        <f aca="false">IF(OR($A386&gt;TOMATO_BED_CAP,$B386&gt;CARROT_BED_CAP,H$4&gt;MESCLUN_BED_CAP,$A386+$B386+H$4&gt;TOTAL_BEDS_AVAILABLE,($D386+H$5)&gt;TOTAL_LABOR_HOURS_CAP,MAX(0,($D386+H$5)-PERMANENT_FIELD_LABOR_HOURS)&gt;TEMP_HOURS_CAP),"",$C386+H$6-MIN(($D386+H$5),PERMANENT_FIELD_LABOR_HOURS)*PERMANENT_HOURLY_RATE-MAX(0,($D386+H$5)-PERMANENT_FIELD_LABOR_HOURS)*TEMP_HOURLY_RATE-FIXED_SEASON_COST)</f>
        <v/>
      </c>
      <c r="I386" s="53" t="str">
        <f aca="false">IF(OR($A386&gt;TOMATO_BED_CAP,$B386&gt;CARROT_BED_CAP,I$4&gt;MESCLUN_BED_CAP,$A386+$B386+I$4&gt;TOTAL_BEDS_AVAILABLE,($D386+I$5)&gt;TOTAL_LABOR_HOURS_CAP,MAX(0,($D386+I$5)-PERMANENT_FIELD_LABOR_HOURS)&gt;TEMP_HOURS_CAP),"",$C386+I$6-MIN(($D386+I$5),PERMANENT_FIELD_LABOR_HOURS)*PERMANENT_HOURLY_RATE-MAX(0,($D386+I$5)-PERMANENT_FIELD_LABOR_HOURS)*TEMP_HOURLY_RATE-FIXED_SEASON_COST)</f>
        <v/>
      </c>
      <c r="J386" s="53" t="str">
        <f aca="false">IF(OR($A386&gt;TOMATO_BED_CAP,$B386&gt;CARROT_BED_CAP,J$4&gt;MESCLUN_BED_CAP,$A386+$B386+J$4&gt;TOTAL_BEDS_AVAILABLE,($D386+J$5)&gt;TOTAL_LABOR_HOURS_CAP,MAX(0,($D386+J$5)-PERMANENT_FIELD_LABOR_HOURS)&gt;TEMP_HOURS_CAP),"",$C386+J$6-MIN(($D386+J$5),PERMANENT_FIELD_LABOR_HOURS)*PERMANENT_HOURLY_RATE-MAX(0,($D386+J$5)-PERMANENT_FIELD_LABOR_HOURS)*TEMP_HOURLY_RATE-FIXED_SEASON_COST)</f>
        <v/>
      </c>
      <c r="K386" s="53" t="str">
        <f aca="false">IF(OR($A386&gt;TOMATO_BED_CAP,$B386&gt;CARROT_BED_CAP,K$4&gt;MESCLUN_BED_CAP,$A386+$B386+K$4&gt;TOTAL_BEDS_AVAILABLE,($D386+K$5)&gt;TOTAL_LABOR_HOURS_CAP,MAX(0,($D386+K$5)-PERMANENT_FIELD_LABOR_HOURS)&gt;TEMP_HOURS_CAP),"",$C386+K$6-MIN(($D386+K$5),PERMANENT_FIELD_LABOR_HOURS)*PERMANENT_HOURLY_RATE-MAX(0,($D386+K$5)-PERMANENT_FIELD_LABOR_HOURS)*TEMP_HOURLY_RATE-FIXED_SEASON_COST)</f>
        <v/>
      </c>
      <c r="L386" s="53" t="str">
        <f aca="false">IF(OR($A386&gt;TOMATO_BED_CAP,$B386&gt;CARROT_BED_CAP,L$4&gt;MESCLUN_BED_CAP,$A386+$B386+L$4&gt;TOTAL_BEDS_AVAILABLE,($D386+L$5)&gt;TOTAL_LABOR_HOURS_CAP,MAX(0,($D386+L$5)-PERMANENT_FIELD_LABOR_HOURS)&gt;TEMP_HOURS_CAP),"",$C386+L$6-MIN(($D386+L$5),PERMANENT_FIELD_LABOR_HOURS)*PERMANENT_HOURLY_RATE-MAX(0,($D386+L$5)-PERMANENT_FIELD_LABOR_HOURS)*TEMP_HOURLY_RATE-FIXED_SEASON_COST)</f>
        <v/>
      </c>
      <c r="M386" s="53" t="str">
        <f aca="false">IF(OR($A386&gt;TOMATO_BED_CAP,$B386&gt;CARROT_BED_CAP,M$4&gt;MESCLUN_BED_CAP,$A386+$B386+M$4&gt;TOTAL_BEDS_AVAILABLE,($D386+M$5)&gt;TOTAL_LABOR_HOURS_CAP,MAX(0,($D386+M$5)-PERMANENT_FIELD_LABOR_HOURS)&gt;TEMP_HOURS_CAP),"",$C386+M$6-MIN(($D386+M$5),PERMANENT_FIELD_LABOR_HOURS)*PERMANENT_HOURLY_RATE-MAX(0,($D386+M$5)-PERMANENT_FIELD_LABOR_HOURS)*TEMP_HOURLY_RATE-FIXED_SEASON_COST)</f>
        <v/>
      </c>
      <c r="N386" s="53" t="str">
        <f aca="false">IF(OR($A386&gt;TOMATO_BED_CAP,$B386&gt;CARROT_BED_CAP,N$4&gt;MESCLUN_BED_CAP,$A386+$B386+N$4&gt;TOTAL_BEDS_AVAILABLE,($D386+N$5)&gt;TOTAL_LABOR_HOURS_CAP,MAX(0,($D386+N$5)-PERMANENT_FIELD_LABOR_HOURS)&gt;TEMP_HOURS_CAP),"",$C386+N$6-MIN(($D386+N$5),PERMANENT_FIELD_LABOR_HOURS)*PERMANENT_HOURLY_RATE-MAX(0,($D386+N$5)-PERMANENT_FIELD_LABOR_HOURS)*TEMP_HOURLY_RATE-FIXED_SEASON_COST)</f>
        <v/>
      </c>
      <c r="O386" s="53" t="str">
        <f aca="false">IF(OR($A386&gt;TOMATO_BED_CAP,$B386&gt;CARROT_BED_CAP,O$4&gt;MESCLUN_BED_CAP,$A386+$B386+O$4&gt;TOTAL_BEDS_AVAILABLE,($D386+O$5)&gt;TOTAL_LABOR_HOURS_CAP,MAX(0,($D386+O$5)-PERMANENT_FIELD_LABOR_HOURS)&gt;TEMP_HOURS_CAP),"",$C386+O$6-MIN(($D386+O$5),PERMANENT_FIELD_LABOR_HOURS)*PERMANENT_HOURLY_RATE-MAX(0,($D386+O$5)-PERMANENT_FIELD_LABOR_HOURS)*TEMP_HOURLY_RATE-FIXED_SEASON_COST)</f>
        <v/>
      </c>
      <c r="P386" s="53" t="str">
        <f aca="false">IF(OR($A386&gt;TOMATO_BED_CAP,$B386&gt;CARROT_BED_CAP,P$4&gt;MESCLUN_BED_CAP,$A386+$B386+P$4&gt;TOTAL_BEDS_AVAILABLE,($D386+P$5)&gt;TOTAL_LABOR_HOURS_CAP,MAX(0,($D386+P$5)-PERMANENT_FIELD_LABOR_HOURS)&gt;TEMP_HOURS_CAP),"",$C386+P$6-MIN(($D386+P$5),PERMANENT_FIELD_LABOR_HOURS)*PERMANENT_HOURLY_RATE-MAX(0,($D386+P$5)-PERMANENT_FIELD_LABOR_HOURS)*TEMP_HOURLY_RATE-FIXED_SEASON_COST)</f>
        <v/>
      </c>
      <c r="Q386" s="53" t="str">
        <f aca="false">IF(OR($A386&gt;TOMATO_BED_CAP,$B386&gt;CARROT_BED_CAP,Q$4&gt;MESCLUN_BED_CAP,$A386+$B386+Q$4&gt;TOTAL_BEDS_AVAILABLE,($D386+Q$5)&gt;TOTAL_LABOR_HOURS_CAP,MAX(0,($D386+Q$5)-PERMANENT_FIELD_LABOR_HOURS)&gt;TEMP_HOURS_CAP),"",$C386+Q$6-MIN(($D386+Q$5),PERMANENT_FIELD_LABOR_HOURS)*PERMANENT_HOURLY_RATE-MAX(0,($D386+Q$5)-PERMANENT_FIELD_LABOR_HOURS)*TEMP_HOURLY_RATE-FIXED_SEASON_COST)</f>
        <v/>
      </c>
      <c r="R386" s="53" t="str">
        <f aca="false">IF(OR($A386&gt;TOMATO_BED_CAP,$B386&gt;CARROT_BED_CAP,R$4&gt;MESCLUN_BED_CAP,$A386+$B386+R$4&gt;TOTAL_BEDS_AVAILABLE,($D386+R$5)&gt;TOTAL_LABOR_HOURS_CAP,MAX(0,($D386+R$5)-PERMANENT_FIELD_LABOR_HOURS)&gt;TEMP_HOURS_CAP),"",$C386+R$6-MIN(($D386+R$5),PERMANENT_FIELD_LABOR_HOURS)*PERMANENT_HOURLY_RATE-MAX(0,($D386+R$5)-PERMANENT_FIELD_LABOR_HOURS)*TEMP_HOURLY_RATE-FIXED_SEASON_COST)</f>
        <v/>
      </c>
      <c r="S386" s="53" t="str">
        <f aca="false">IF(OR($A386&gt;TOMATO_BED_CAP,$B386&gt;CARROT_BED_CAP,S$4&gt;MESCLUN_BED_CAP,$A386+$B386+S$4&gt;TOTAL_BEDS_AVAILABLE,($D386+S$5)&gt;TOTAL_LABOR_HOURS_CAP,MAX(0,($D386+S$5)-PERMANENT_FIELD_LABOR_HOURS)&gt;TEMP_HOURS_CAP),"",$C386+S$6-MIN(($D386+S$5),PERMANENT_FIELD_LABOR_HOURS)*PERMANENT_HOURLY_RATE-MAX(0,($D386+S$5)-PERMANENT_FIELD_LABOR_HOURS)*TEMP_HOURLY_RATE-FIXED_SEASON_COST)</f>
        <v/>
      </c>
      <c r="T386" s="53" t="str">
        <f aca="false">IF(OR($A386&gt;TOMATO_BED_CAP,$B386&gt;CARROT_BED_CAP,T$4&gt;MESCLUN_BED_CAP,$A386+$B386+T$4&gt;TOTAL_BEDS_AVAILABLE,($D386+T$5)&gt;TOTAL_LABOR_HOURS_CAP,MAX(0,($D386+T$5)-PERMANENT_FIELD_LABOR_HOURS)&gt;TEMP_HOURS_CAP),"",$C386+T$6-MIN(($D386+T$5),PERMANENT_FIELD_LABOR_HOURS)*PERMANENT_HOURLY_RATE-MAX(0,($D386+T$5)-PERMANENT_FIELD_LABOR_HOURS)*TEMP_HOURLY_RATE-FIXED_SEASON_COST)</f>
        <v/>
      </c>
      <c r="U386" s="53" t="str">
        <f aca="false">IF(OR($A386&gt;TOMATO_BED_CAP,$B386&gt;CARROT_BED_CAP,U$4&gt;MESCLUN_BED_CAP,$A386+$B386+U$4&gt;TOTAL_BEDS_AVAILABLE,($D386+U$5)&gt;TOTAL_LABOR_HOURS_CAP,MAX(0,($D386+U$5)-PERMANENT_FIELD_LABOR_HOURS)&gt;TEMP_HOURS_CAP),"",$C386+U$6-MIN(($D386+U$5),PERMANENT_FIELD_LABOR_HOURS)*PERMANENT_HOURLY_RATE-MAX(0,($D386+U$5)-PERMANENT_FIELD_LABOR_HOURS)*TEMP_HOURLY_RATE-FIXED_SEASON_COST)</f>
        <v/>
      </c>
      <c r="V386" s="53" t="str">
        <f aca="false">IF(OR($A386&gt;TOMATO_BED_CAP,$B386&gt;CARROT_BED_CAP,V$4&gt;MESCLUN_BED_CAP,$A386+$B386+V$4&gt;TOTAL_BEDS_AVAILABLE,($D386+V$5)&gt;TOTAL_LABOR_HOURS_CAP,MAX(0,($D386+V$5)-PERMANENT_FIELD_LABOR_HOURS)&gt;TEMP_HOURS_CAP),"",$C386+V$6-MIN(($D386+V$5),PERMANENT_FIELD_LABOR_HOURS)*PERMANENT_HOURLY_RATE-MAX(0,($D386+V$5)-PERMANENT_FIELD_LABOR_HOURS)*TEMP_HOURLY_RATE-FIXED_SEASON_COST)</f>
        <v/>
      </c>
      <c r="W386" s="53" t="str">
        <f aca="false">IF(OR($A386&gt;TOMATO_BED_CAP,$B386&gt;CARROT_BED_CAP,W$4&gt;MESCLUN_BED_CAP,$A386+$B386+W$4&gt;TOTAL_BEDS_AVAILABLE,($D386+W$5)&gt;TOTAL_LABOR_HOURS_CAP,MAX(0,($D386+W$5)-PERMANENT_FIELD_LABOR_HOURS)&gt;TEMP_HOURS_CAP),"",$C386+W$6-MIN(($D386+W$5),PERMANENT_FIELD_LABOR_HOURS)*PERMANENT_HOURLY_RATE-MAX(0,($D386+W$5)-PERMANENT_FIELD_LABOR_HOURS)*TEMP_HOURLY_RATE-FIXED_SEASON_COST)</f>
        <v/>
      </c>
      <c r="X386" s="53" t="str">
        <f aca="false">IF(OR($A386&gt;TOMATO_BED_CAP,$B386&gt;CARROT_BED_CAP,X$4&gt;MESCLUN_BED_CAP,$A386+$B386+X$4&gt;TOTAL_BEDS_AVAILABLE,($D386+X$5)&gt;TOTAL_LABOR_HOURS_CAP,MAX(0,($D386+X$5)-PERMANENT_FIELD_LABOR_HOURS)&gt;TEMP_HOURS_CAP),"",$C386+X$6-MIN(($D386+X$5),PERMANENT_FIELD_LABOR_HOURS)*PERMANENT_HOURLY_RATE-MAX(0,($D386+X$5)-PERMANENT_FIELD_LABOR_HOURS)*TEMP_HOURLY_RATE-FIXED_SEASON_COST)</f>
        <v/>
      </c>
      <c r="Y386" s="53" t="str">
        <f aca="false">IF(OR($A386&gt;TOMATO_BED_CAP,$B386&gt;CARROT_BED_CAP,Y$4&gt;MESCLUN_BED_CAP,$A386+$B386+Y$4&gt;TOTAL_BEDS_AVAILABLE,($D386+Y$5)&gt;TOTAL_LABOR_HOURS_CAP,MAX(0,($D386+Y$5)-PERMANENT_FIELD_LABOR_HOURS)&gt;TEMP_HOURS_CAP),"",$C386+Y$6-MIN(($D386+Y$5),PERMANENT_FIELD_LABOR_HOURS)*PERMANENT_HOURLY_RATE-MAX(0,($D386+Y$5)-PERMANENT_FIELD_LABOR_HOURS)*TEMP_HOURLY_RATE-FIXED_SEASON_COST)</f>
        <v/>
      </c>
      <c r="Z386" s="53" t="str">
        <f aca="false">IF(OR($A386&gt;TOMATO_BED_CAP,$B386&gt;CARROT_BED_CAP,Z$4&gt;MESCLUN_BED_CAP,$A386+$B386+Z$4&gt;TOTAL_BEDS_AVAILABLE,($D386+Z$5)&gt;TOTAL_LABOR_HOURS_CAP,MAX(0,($D386+Z$5)-PERMANENT_FIELD_LABOR_HOURS)&gt;TEMP_HOURS_CAP),"",$C386+Z$6-MIN(($D386+Z$5),PERMANENT_FIELD_LABOR_HOURS)*PERMANENT_HOURLY_RATE-MAX(0,($D386+Z$5)-PERMANENT_FIELD_LABOR_HOURS)*TEMP_HOURLY_RATE-FIXED_SEASON_COST)</f>
        <v/>
      </c>
      <c r="AA386" s="53" t="str">
        <f aca="false">IF(OR($A386&gt;TOMATO_BED_CAP,$B386&gt;CARROT_BED_CAP,AA$4&gt;MESCLUN_BED_CAP,$A386+$B386+AA$4&gt;TOTAL_BEDS_AVAILABLE,($D386+AA$5)&gt;TOTAL_LABOR_HOURS_CAP,MAX(0,($D386+AA$5)-PERMANENT_FIELD_LABOR_HOURS)&gt;TEMP_HOURS_CAP),"",$C386+AA$6-MIN(($D386+AA$5),PERMANENT_FIELD_LABOR_HOURS)*PERMANENT_HOURLY_RATE-MAX(0,($D386+AA$5)-PERMANENT_FIELD_LABOR_HOURS)*TEMP_HOURLY_RATE-FIXED_SEASON_COST)</f>
        <v/>
      </c>
      <c r="AB386" s="53" t="str">
        <f aca="false">IF(OR($A386&gt;TOMATO_BED_CAP,$B386&gt;CARROT_BED_CAP,AB$4&gt;MESCLUN_BED_CAP,$A386+$B386+AB$4&gt;TOTAL_BEDS_AVAILABLE,($D386+AB$5)&gt;TOTAL_LABOR_HOURS_CAP,MAX(0,($D386+AB$5)-PERMANENT_FIELD_LABOR_HOURS)&gt;TEMP_HOURS_CAP),"",$C386+AB$6-MIN(($D386+AB$5),PERMANENT_FIELD_LABOR_HOURS)*PERMANENT_HOURLY_RATE-MAX(0,($D386+AB$5)-PERMANENT_FIELD_LABOR_HOURS)*TEMP_HOURLY_RATE-FIXED_SEASON_COST)</f>
        <v/>
      </c>
      <c r="AC386" s="53" t="str">
        <f aca="false">IF(OR($A386&gt;TOMATO_BED_CAP,$B386&gt;CARROT_BED_CAP,AC$4&gt;MESCLUN_BED_CAP,$A386+$B386+AC$4&gt;TOTAL_BEDS_AVAILABLE,($D386+AC$5)&gt;TOTAL_LABOR_HOURS_CAP,MAX(0,($D386+AC$5)-PERMANENT_FIELD_LABOR_HOURS)&gt;TEMP_HOURS_CAP),"",$C386+AC$6-MIN(($D386+AC$5),PERMANENT_FIELD_LABOR_HOURS)*PERMANENT_HOURLY_RATE-MAX(0,($D386+AC$5)-PERMANENT_FIELD_LABOR_HOURS)*TEMP_HOURLY_RATE-FIXED_SEASON_COST)</f>
        <v/>
      </c>
      <c r="AD386" s="53" t="str">
        <f aca="false">IF(OR($A386&gt;TOMATO_BED_CAP,$B386&gt;CARROT_BED_CAP,AD$4&gt;MESCLUN_BED_CAP,$A386+$B386+AD$4&gt;TOTAL_BEDS_AVAILABLE,($D386+AD$5)&gt;TOTAL_LABOR_HOURS_CAP,MAX(0,($D386+AD$5)-PERMANENT_FIELD_LABOR_HOURS)&gt;TEMP_HOURS_CAP),"",$C386+AD$6-MIN(($D386+AD$5),PERMANENT_FIELD_LABOR_HOURS)*PERMANENT_HOURLY_RATE-MAX(0,($D386+AD$5)-PERMANENT_FIELD_LABOR_HOURS)*TEMP_HOURLY_RATE-FIXED_SEASON_COST)</f>
        <v/>
      </c>
      <c r="AE386" s="53" t="str">
        <f aca="false">IF(OR($A386&gt;TOMATO_BED_CAP,$B386&gt;CARROT_BED_CAP,AE$4&gt;MESCLUN_BED_CAP,$A386+$B386+AE$4&gt;TOTAL_BEDS_AVAILABLE,($D386+AE$5)&gt;TOTAL_LABOR_HOURS_CAP,MAX(0,($D386+AE$5)-PERMANENT_FIELD_LABOR_HOURS)&gt;TEMP_HOURS_CAP),"",$C386+AE$6-MIN(($D386+AE$5),PERMANENT_FIELD_LABOR_HOURS)*PERMANENT_HOURLY_RATE-MAX(0,($D386+AE$5)-PERMANENT_FIELD_LABOR_HOURS)*TEMP_HOURLY_RATE-FIXED_SEASON_COST)</f>
        <v/>
      </c>
      <c r="AF386" s="53" t="str">
        <f aca="false">IF(OR($A386&gt;TOMATO_BED_CAP,$B386&gt;CARROT_BED_CAP,AF$4&gt;MESCLUN_BED_CAP,$A386+$B386+AF$4&gt;TOTAL_BEDS_AVAILABLE,($D386+AF$5)&gt;TOTAL_LABOR_HOURS_CAP,MAX(0,($D386+AF$5)-PERMANENT_FIELD_LABOR_HOURS)&gt;TEMP_HOURS_CAP),"",$C386+AF$6-MIN(($D386+AF$5),PERMANENT_FIELD_LABOR_HOURS)*PERMANENT_HOURLY_RATE-MAX(0,($D386+AF$5)-PERMANENT_FIELD_LABOR_HOURS)*TEMP_HOURLY_RATE-FIXED_SEASON_COST)</f>
        <v/>
      </c>
      <c r="AG386" s="53" t="str">
        <f aca="false">IF(OR($A386&gt;TOMATO_BED_CAP,$B386&gt;CARROT_BED_CAP,AG$4&gt;MESCLUN_BED_CAP,$A386+$B386+AG$4&gt;TOTAL_BEDS_AVAILABLE,($D386+AG$5)&gt;TOTAL_LABOR_HOURS_CAP,MAX(0,($D386+AG$5)-PERMANENT_FIELD_LABOR_HOURS)&gt;TEMP_HOURS_CAP),"",$C386+AG$6-MIN(($D386+AG$5),PERMANENT_FIELD_LABOR_HOURS)*PERMANENT_HOURLY_RATE-MAX(0,($D386+AG$5)-PERMANENT_FIELD_LABOR_HOURS)*TEMP_HOURLY_RATE-FIXED_SEASON_COST)</f>
        <v/>
      </c>
      <c r="AH386" s="53" t="str">
        <f aca="false">IF(OR($A386&gt;TOMATO_BED_CAP,$B386&gt;CARROT_BED_CAP,AH$4&gt;MESCLUN_BED_CAP,$A386+$B386+AH$4&gt;TOTAL_BEDS_AVAILABLE,($D386+AH$5)&gt;TOTAL_LABOR_HOURS_CAP,MAX(0,($D386+AH$5)-PERMANENT_FIELD_LABOR_HOURS)&gt;TEMP_HOURS_CAP),"",$C386+AH$6-MIN(($D386+AH$5),PERMANENT_FIELD_LABOR_HOURS)*PERMANENT_HOURLY_RATE-MAX(0,($D386+AH$5)-PERMANENT_FIELD_LABOR_HOURS)*TEMP_HOURLY_RATE-FIXED_SEASON_COST)</f>
        <v/>
      </c>
      <c r="AI386" s="53" t="str">
        <f aca="false">IF(OR($A386&gt;TOMATO_BED_CAP,$B386&gt;CARROT_BED_CAP,AI$4&gt;MESCLUN_BED_CAP,$A386+$B386+AI$4&gt;TOTAL_BEDS_AVAILABLE,($D386+AI$5)&gt;TOTAL_LABOR_HOURS_CAP,MAX(0,($D386+AI$5)-PERMANENT_FIELD_LABOR_HOURS)&gt;TEMP_HOURS_CAP),"",$C386+AI$6-MIN(($D386+AI$5),PERMANENT_FIELD_LABOR_HOURS)*PERMANENT_HOURLY_RATE-MAX(0,($D386+AI$5)-PERMANENT_FIELD_LABOR_HOURS)*TEMP_HOURLY_RATE-FIXED_SEASON_COST)</f>
        <v/>
      </c>
      <c r="AJ386" s="53" t="str">
        <f aca="false">IF(OR($A386&gt;TOMATO_BED_CAP,$B386&gt;CARROT_BED_CAP,AJ$4&gt;MESCLUN_BED_CAP,$A386+$B386+AJ$4&gt;TOTAL_BEDS_AVAILABLE,($D386+AJ$5)&gt;TOTAL_LABOR_HOURS_CAP,MAX(0,($D386+AJ$5)-PERMANENT_FIELD_LABOR_HOURS)&gt;TEMP_HOURS_CAP),"",$C386+AJ$6-MIN(($D386+AJ$5),PERMANENT_FIELD_LABOR_HOURS)*PERMANENT_HOURLY_RATE-MAX(0,($D386+AJ$5)-PERMANENT_FIELD_LABOR_HOURS)*TEMP_HOURLY_RATE-FIXED_SEASON_COST)</f>
        <v/>
      </c>
    </row>
    <row r="387" customFormat="false" ht="15" hidden="false" customHeight="false" outlineLevel="0" collapsed="false">
      <c r="A387" s="21" t="n">
        <f aca="false">INT((ROW()-ROW($A$8))/(20+1))</f>
        <v>18</v>
      </c>
      <c r="B387" s="21" t="n">
        <f aca="false">MOD(ROW()-ROW($A$8),20+1)</f>
        <v>1</v>
      </c>
      <c r="C387" s="13" t="n">
        <f aca="false">A387*(TOMATO_REVENUE_PER_BED-TOMATO_FERTILIZER_PER_BED)+B387*(CARROT_REVENUE_PER_BED-CARROT_FERTILIZER_PER_BED)</f>
        <v>144214</v>
      </c>
      <c r="D387" s="14" t="n">
        <f aca="false">INDEX(TOMATO_SCHED_LABOR_HRS,A387+1)+INDEX(CARROT_SCHED_LABOR_HRS,B387+1)</f>
        <v>9037.80374785743</v>
      </c>
      <c r="E387" s="13" t="str">
        <f aca="false">IF(COUNT(F387:AJ387)=0,"",MAX(F387:AJ387))</f>
        <v/>
      </c>
      <c r="F387" s="53" t="str">
        <f aca="false">IF(OR($A387&gt;TOMATO_BED_CAP,$B387&gt;CARROT_BED_CAP,F$4&gt;MESCLUN_BED_CAP,$A387+$B387+F$4&gt;TOTAL_BEDS_AVAILABLE,($D387+F$5)&gt;TOTAL_LABOR_HOURS_CAP,MAX(0,($D387+F$5)-PERMANENT_FIELD_LABOR_HOURS)&gt;TEMP_HOURS_CAP),"",$C387+F$6-MIN(($D387+F$5),PERMANENT_FIELD_LABOR_HOURS)*PERMANENT_HOURLY_RATE-MAX(0,($D387+F$5)-PERMANENT_FIELD_LABOR_HOURS)*TEMP_HOURLY_RATE-FIXED_SEASON_COST)</f>
        <v/>
      </c>
      <c r="G387" s="53" t="str">
        <f aca="false">IF(OR($A387&gt;TOMATO_BED_CAP,$B387&gt;CARROT_BED_CAP,G$4&gt;MESCLUN_BED_CAP,$A387+$B387+G$4&gt;TOTAL_BEDS_AVAILABLE,($D387+G$5)&gt;TOTAL_LABOR_HOURS_CAP,MAX(0,($D387+G$5)-PERMANENT_FIELD_LABOR_HOURS)&gt;TEMP_HOURS_CAP),"",$C387+G$6-MIN(($D387+G$5),PERMANENT_FIELD_LABOR_HOURS)*PERMANENT_HOURLY_RATE-MAX(0,($D387+G$5)-PERMANENT_FIELD_LABOR_HOURS)*TEMP_HOURLY_RATE-FIXED_SEASON_COST)</f>
        <v/>
      </c>
      <c r="H387" s="53" t="str">
        <f aca="false">IF(OR($A387&gt;TOMATO_BED_CAP,$B387&gt;CARROT_BED_CAP,H$4&gt;MESCLUN_BED_CAP,$A387+$B387+H$4&gt;TOTAL_BEDS_AVAILABLE,($D387+H$5)&gt;TOTAL_LABOR_HOURS_CAP,MAX(0,($D387+H$5)-PERMANENT_FIELD_LABOR_HOURS)&gt;TEMP_HOURS_CAP),"",$C387+H$6-MIN(($D387+H$5),PERMANENT_FIELD_LABOR_HOURS)*PERMANENT_HOURLY_RATE-MAX(0,($D387+H$5)-PERMANENT_FIELD_LABOR_HOURS)*TEMP_HOURLY_RATE-FIXED_SEASON_COST)</f>
        <v/>
      </c>
      <c r="I387" s="53" t="str">
        <f aca="false">IF(OR($A387&gt;TOMATO_BED_CAP,$B387&gt;CARROT_BED_CAP,I$4&gt;MESCLUN_BED_CAP,$A387+$B387+I$4&gt;TOTAL_BEDS_AVAILABLE,($D387+I$5)&gt;TOTAL_LABOR_HOURS_CAP,MAX(0,($D387+I$5)-PERMANENT_FIELD_LABOR_HOURS)&gt;TEMP_HOURS_CAP),"",$C387+I$6-MIN(($D387+I$5),PERMANENT_FIELD_LABOR_HOURS)*PERMANENT_HOURLY_RATE-MAX(0,($D387+I$5)-PERMANENT_FIELD_LABOR_HOURS)*TEMP_HOURLY_RATE-FIXED_SEASON_COST)</f>
        <v/>
      </c>
      <c r="J387" s="53" t="str">
        <f aca="false">IF(OR($A387&gt;TOMATO_BED_CAP,$B387&gt;CARROT_BED_CAP,J$4&gt;MESCLUN_BED_CAP,$A387+$B387+J$4&gt;TOTAL_BEDS_AVAILABLE,($D387+J$5)&gt;TOTAL_LABOR_HOURS_CAP,MAX(0,($D387+J$5)-PERMANENT_FIELD_LABOR_HOURS)&gt;TEMP_HOURS_CAP),"",$C387+J$6-MIN(($D387+J$5),PERMANENT_FIELD_LABOR_HOURS)*PERMANENT_HOURLY_RATE-MAX(0,($D387+J$5)-PERMANENT_FIELD_LABOR_HOURS)*TEMP_HOURLY_RATE-FIXED_SEASON_COST)</f>
        <v/>
      </c>
      <c r="K387" s="53" t="str">
        <f aca="false">IF(OR($A387&gt;TOMATO_BED_CAP,$B387&gt;CARROT_BED_CAP,K$4&gt;MESCLUN_BED_CAP,$A387+$B387+K$4&gt;TOTAL_BEDS_AVAILABLE,($D387+K$5)&gt;TOTAL_LABOR_HOURS_CAP,MAX(0,($D387+K$5)-PERMANENT_FIELD_LABOR_HOURS)&gt;TEMP_HOURS_CAP),"",$C387+K$6-MIN(($D387+K$5),PERMANENT_FIELD_LABOR_HOURS)*PERMANENT_HOURLY_RATE-MAX(0,($D387+K$5)-PERMANENT_FIELD_LABOR_HOURS)*TEMP_HOURLY_RATE-FIXED_SEASON_COST)</f>
        <v/>
      </c>
      <c r="L387" s="53" t="str">
        <f aca="false">IF(OR($A387&gt;TOMATO_BED_CAP,$B387&gt;CARROT_BED_CAP,L$4&gt;MESCLUN_BED_CAP,$A387+$B387+L$4&gt;TOTAL_BEDS_AVAILABLE,($D387+L$5)&gt;TOTAL_LABOR_HOURS_CAP,MAX(0,($D387+L$5)-PERMANENT_FIELD_LABOR_HOURS)&gt;TEMP_HOURS_CAP),"",$C387+L$6-MIN(($D387+L$5),PERMANENT_FIELD_LABOR_HOURS)*PERMANENT_HOURLY_RATE-MAX(0,($D387+L$5)-PERMANENT_FIELD_LABOR_HOURS)*TEMP_HOURLY_RATE-FIXED_SEASON_COST)</f>
        <v/>
      </c>
      <c r="M387" s="53" t="str">
        <f aca="false">IF(OR($A387&gt;TOMATO_BED_CAP,$B387&gt;CARROT_BED_CAP,M$4&gt;MESCLUN_BED_CAP,$A387+$B387+M$4&gt;TOTAL_BEDS_AVAILABLE,($D387+M$5)&gt;TOTAL_LABOR_HOURS_CAP,MAX(0,($D387+M$5)-PERMANENT_FIELD_LABOR_HOURS)&gt;TEMP_HOURS_CAP),"",$C387+M$6-MIN(($D387+M$5),PERMANENT_FIELD_LABOR_HOURS)*PERMANENT_HOURLY_RATE-MAX(0,($D387+M$5)-PERMANENT_FIELD_LABOR_HOURS)*TEMP_HOURLY_RATE-FIXED_SEASON_COST)</f>
        <v/>
      </c>
      <c r="N387" s="53" t="str">
        <f aca="false">IF(OR($A387&gt;TOMATO_BED_CAP,$B387&gt;CARROT_BED_CAP,N$4&gt;MESCLUN_BED_CAP,$A387+$B387+N$4&gt;TOTAL_BEDS_AVAILABLE,($D387+N$5)&gt;TOTAL_LABOR_HOURS_CAP,MAX(0,($D387+N$5)-PERMANENT_FIELD_LABOR_HOURS)&gt;TEMP_HOURS_CAP),"",$C387+N$6-MIN(($D387+N$5),PERMANENT_FIELD_LABOR_HOURS)*PERMANENT_HOURLY_RATE-MAX(0,($D387+N$5)-PERMANENT_FIELD_LABOR_HOURS)*TEMP_HOURLY_RATE-FIXED_SEASON_COST)</f>
        <v/>
      </c>
      <c r="O387" s="53" t="str">
        <f aca="false">IF(OR($A387&gt;TOMATO_BED_CAP,$B387&gt;CARROT_BED_CAP,O$4&gt;MESCLUN_BED_CAP,$A387+$B387+O$4&gt;TOTAL_BEDS_AVAILABLE,($D387+O$5)&gt;TOTAL_LABOR_HOURS_CAP,MAX(0,($D387+O$5)-PERMANENT_FIELD_LABOR_HOURS)&gt;TEMP_HOURS_CAP),"",$C387+O$6-MIN(($D387+O$5),PERMANENT_FIELD_LABOR_HOURS)*PERMANENT_HOURLY_RATE-MAX(0,($D387+O$5)-PERMANENT_FIELD_LABOR_HOURS)*TEMP_HOURLY_RATE-FIXED_SEASON_COST)</f>
        <v/>
      </c>
      <c r="P387" s="53" t="str">
        <f aca="false">IF(OR($A387&gt;TOMATO_BED_CAP,$B387&gt;CARROT_BED_CAP,P$4&gt;MESCLUN_BED_CAP,$A387+$B387+P$4&gt;TOTAL_BEDS_AVAILABLE,($D387+P$5)&gt;TOTAL_LABOR_HOURS_CAP,MAX(0,($D387+P$5)-PERMANENT_FIELD_LABOR_HOURS)&gt;TEMP_HOURS_CAP),"",$C387+P$6-MIN(($D387+P$5),PERMANENT_FIELD_LABOR_HOURS)*PERMANENT_HOURLY_RATE-MAX(0,($D387+P$5)-PERMANENT_FIELD_LABOR_HOURS)*TEMP_HOURLY_RATE-FIXED_SEASON_COST)</f>
        <v/>
      </c>
      <c r="Q387" s="53" t="str">
        <f aca="false">IF(OR($A387&gt;TOMATO_BED_CAP,$B387&gt;CARROT_BED_CAP,Q$4&gt;MESCLUN_BED_CAP,$A387+$B387+Q$4&gt;TOTAL_BEDS_AVAILABLE,($D387+Q$5)&gt;TOTAL_LABOR_HOURS_CAP,MAX(0,($D387+Q$5)-PERMANENT_FIELD_LABOR_HOURS)&gt;TEMP_HOURS_CAP),"",$C387+Q$6-MIN(($D387+Q$5),PERMANENT_FIELD_LABOR_HOURS)*PERMANENT_HOURLY_RATE-MAX(0,($D387+Q$5)-PERMANENT_FIELD_LABOR_HOURS)*TEMP_HOURLY_RATE-FIXED_SEASON_COST)</f>
        <v/>
      </c>
      <c r="R387" s="53" t="str">
        <f aca="false">IF(OR($A387&gt;TOMATO_BED_CAP,$B387&gt;CARROT_BED_CAP,R$4&gt;MESCLUN_BED_CAP,$A387+$B387+R$4&gt;TOTAL_BEDS_AVAILABLE,($D387+R$5)&gt;TOTAL_LABOR_HOURS_CAP,MAX(0,($D387+R$5)-PERMANENT_FIELD_LABOR_HOURS)&gt;TEMP_HOURS_CAP),"",$C387+R$6-MIN(($D387+R$5),PERMANENT_FIELD_LABOR_HOURS)*PERMANENT_HOURLY_RATE-MAX(0,($D387+R$5)-PERMANENT_FIELD_LABOR_HOURS)*TEMP_HOURLY_RATE-FIXED_SEASON_COST)</f>
        <v/>
      </c>
      <c r="S387" s="53" t="str">
        <f aca="false">IF(OR($A387&gt;TOMATO_BED_CAP,$B387&gt;CARROT_BED_CAP,S$4&gt;MESCLUN_BED_CAP,$A387+$B387+S$4&gt;TOTAL_BEDS_AVAILABLE,($D387+S$5)&gt;TOTAL_LABOR_HOURS_CAP,MAX(0,($D387+S$5)-PERMANENT_FIELD_LABOR_HOURS)&gt;TEMP_HOURS_CAP),"",$C387+S$6-MIN(($D387+S$5),PERMANENT_FIELD_LABOR_HOURS)*PERMANENT_HOURLY_RATE-MAX(0,($D387+S$5)-PERMANENT_FIELD_LABOR_HOURS)*TEMP_HOURLY_RATE-FIXED_SEASON_COST)</f>
        <v/>
      </c>
      <c r="T387" s="53" t="str">
        <f aca="false">IF(OR($A387&gt;TOMATO_BED_CAP,$B387&gt;CARROT_BED_CAP,T$4&gt;MESCLUN_BED_CAP,$A387+$B387+T$4&gt;TOTAL_BEDS_AVAILABLE,($D387+T$5)&gt;TOTAL_LABOR_HOURS_CAP,MAX(0,($D387+T$5)-PERMANENT_FIELD_LABOR_HOURS)&gt;TEMP_HOURS_CAP),"",$C387+T$6-MIN(($D387+T$5),PERMANENT_FIELD_LABOR_HOURS)*PERMANENT_HOURLY_RATE-MAX(0,($D387+T$5)-PERMANENT_FIELD_LABOR_HOURS)*TEMP_HOURLY_RATE-FIXED_SEASON_COST)</f>
        <v/>
      </c>
      <c r="U387" s="53" t="str">
        <f aca="false">IF(OR($A387&gt;TOMATO_BED_CAP,$B387&gt;CARROT_BED_CAP,U$4&gt;MESCLUN_BED_CAP,$A387+$B387+U$4&gt;TOTAL_BEDS_AVAILABLE,($D387+U$5)&gt;TOTAL_LABOR_HOURS_CAP,MAX(0,($D387+U$5)-PERMANENT_FIELD_LABOR_HOURS)&gt;TEMP_HOURS_CAP),"",$C387+U$6-MIN(($D387+U$5),PERMANENT_FIELD_LABOR_HOURS)*PERMANENT_HOURLY_RATE-MAX(0,($D387+U$5)-PERMANENT_FIELD_LABOR_HOURS)*TEMP_HOURLY_RATE-FIXED_SEASON_COST)</f>
        <v/>
      </c>
      <c r="V387" s="53" t="str">
        <f aca="false">IF(OR($A387&gt;TOMATO_BED_CAP,$B387&gt;CARROT_BED_CAP,V$4&gt;MESCLUN_BED_CAP,$A387+$B387+V$4&gt;TOTAL_BEDS_AVAILABLE,($D387+V$5)&gt;TOTAL_LABOR_HOURS_CAP,MAX(0,($D387+V$5)-PERMANENT_FIELD_LABOR_HOURS)&gt;TEMP_HOURS_CAP),"",$C387+V$6-MIN(($D387+V$5),PERMANENT_FIELD_LABOR_HOURS)*PERMANENT_HOURLY_RATE-MAX(0,($D387+V$5)-PERMANENT_FIELD_LABOR_HOURS)*TEMP_HOURLY_RATE-FIXED_SEASON_COST)</f>
        <v/>
      </c>
      <c r="W387" s="53" t="str">
        <f aca="false">IF(OR($A387&gt;TOMATO_BED_CAP,$B387&gt;CARROT_BED_CAP,W$4&gt;MESCLUN_BED_CAP,$A387+$B387+W$4&gt;TOTAL_BEDS_AVAILABLE,($D387+W$5)&gt;TOTAL_LABOR_HOURS_CAP,MAX(0,($D387+W$5)-PERMANENT_FIELD_LABOR_HOURS)&gt;TEMP_HOURS_CAP),"",$C387+W$6-MIN(($D387+W$5),PERMANENT_FIELD_LABOR_HOURS)*PERMANENT_HOURLY_RATE-MAX(0,($D387+W$5)-PERMANENT_FIELD_LABOR_HOURS)*TEMP_HOURLY_RATE-FIXED_SEASON_COST)</f>
        <v/>
      </c>
      <c r="X387" s="53" t="str">
        <f aca="false">IF(OR($A387&gt;TOMATO_BED_CAP,$B387&gt;CARROT_BED_CAP,X$4&gt;MESCLUN_BED_CAP,$A387+$B387+X$4&gt;TOTAL_BEDS_AVAILABLE,($D387+X$5)&gt;TOTAL_LABOR_HOURS_CAP,MAX(0,($D387+X$5)-PERMANENT_FIELD_LABOR_HOURS)&gt;TEMP_HOURS_CAP),"",$C387+X$6-MIN(($D387+X$5),PERMANENT_FIELD_LABOR_HOURS)*PERMANENT_HOURLY_RATE-MAX(0,($D387+X$5)-PERMANENT_FIELD_LABOR_HOURS)*TEMP_HOURLY_RATE-FIXED_SEASON_COST)</f>
        <v/>
      </c>
      <c r="Y387" s="53" t="str">
        <f aca="false">IF(OR($A387&gt;TOMATO_BED_CAP,$B387&gt;CARROT_BED_CAP,Y$4&gt;MESCLUN_BED_CAP,$A387+$B387+Y$4&gt;TOTAL_BEDS_AVAILABLE,($D387+Y$5)&gt;TOTAL_LABOR_HOURS_CAP,MAX(0,($D387+Y$5)-PERMANENT_FIELD_LABOR_HOURS)&gt;TEMP_HOURS_CAP),"",$C387+Y$6-MIN(($D387+Y$5),PERMANENT_FIELD_LABOR_HOURS)*PERMANENT_HOURLY_RATE-MAX(0,($D387+Y$5)-PERMANENT_FIELD_LABOR_HOURS)*TEMP_HOURLY_RATE-FIXED_SEASON_COST)</f>
        <v/>
      </c>
      <c r="Z387" s="53" t="str">
        <f aca="false">IF(OR($A387&gt;TOMATO_BED_CAP,$B387&gt;CARROT_BED_CAP,Z$4&gt;MESCLUN_BED_CAP,$A387+$B387+Z$4&gt;TOTAL_BEDS_AVAILABLE,($D387+Z$5)&gt;TOTAL_LABOR_HOURS_CAP,MAX(0,($D387+Z$5)-PERMANENT_FIELD_LABOR_HOURS)&gt;TEMP_HOURS_CAP),"",$C387+Z$6-MIN(($D387+Z$5),PERMANENT_FIELD_LABOR_HOURS)*PERMANENT_HOURLY_RATE-MAX(0,($D387+Z$5)-PERMANENT_FIELD_LABOR_HOURS)*TEMP_HOURLY_RATE-FIXED_SEASON_COST)</f>
        <v/>
      </c>
      <c r="AA387" s="53" t="str">
        <f aca="false">IF(OR($A387&gt;TOMATO_BED_CAP,$B387&gt;CARROT_BED_CAP,AA$4&gt;MESCLUN_BED_CAP,$A387+$B387+AA$4&gt;TOTAL_BEDS_AVAILABLE,($D387+AA$5)&gt;TOTAL_LABOR_HOURS_CAP,MAX(0,($D387+AA$5)-PERMANENT_FIELD_LABOR_HOURS)&gt;TEMP_HOURS_CAP),"",$C387+AA$6-MIN(($D387+AA$5),PERMANENT_FIELD_LABOR_HOURS)*PERMANENT_HOURLY_RATE-MAX(0,($D387+AA$5)-PERMANENT_FIELD_LABOR_HOURS)*TEMP_HOURLY_RATE-FIXED_SEASON_COST)</f>
        <v/>
      </c>
      <c r="AB387" s="53" t="str">
        <f aca="false">IF(OR($A387&gt;TOMATO_BED_CAP,$B387&gt;CARROT_BED_CAP,AB$4&gt;MESCLUN_BED_CAP,$A387+$B387+AB$4&gt;TOTAL_BEDS_AVAILABLE,($D387+AB$5)&gt;TOTAL_LABOR_HOURS_CAP,MAX(0,($D387+AB$5)-PERMANENT_FIELD_LABOR_HOURS)&gt;TEMP_HOURS_CAP),"",$C387+AB$6-MIN(($D387+AB$5),PERMANENT_FIELD_LABOR_HOURS)*PERMANENT_HOURLY_RATE-MAX(0,($D387+AB$5)-PERMANENT_FIELD_LABOR_HOURS)*TEMP_HOURLY_RATE-FIXED_SEASON_COST)</f>
        <v/>
      </c>
      <c r="AC387" s="53" t="str">
        <f aca="false">IF(OR($A387&gt;TOMATO_BED_CAP,$B387&gt;CARROT_BED_CAP,AC$4&gt;MESCLUN_BED_CAP,$A387+$B387+AC$4&gt;TOTAL_BEDS_AVAILABLE,($D387+AC$5)&gt;TOTAL_LABOR_HOURS_CAP,MAX(0,($D387+AC$5)-PERMANENT_FIELD_LABOR_HOURS)&gt;TEMP_HOURS_CAP),"",$C387+AC$6-MIN(($D387+AC$5),PERMANENT_FIELD_LABOR_HOURS)*PERMANENT_HOURLY_RATE-MAX(0,($D387+AC$5)-PERMANENT_FIELD_LABOR_HOURS)*TEMP_HOURLY_RATE-FIXED_SEASON_COST)</f>
        <v/>
      </c>
      <c r="AD387" s="53" t="str">
        <f aca="false">IF(OR($A387&gt;TOMATO_BED_CAP,$B387&gt;CARROT_BED_CAP,AD$4&gt;MESCLUN_BED_CAP,$A387+$B387+AD$4&gt;TOTAL_BEDS_AVAILABLE,($D387+AD$5)&gt;TOTAL_LABOR_HOURS_CAP,MAX(0,($D387+AD$5)-PERMANENT_FIELD_LABOR_HOURS)&gt;TEMP_HOURS_CAP),"",$C387+AD$6-MIN(($D387+AD$5),PERMANENT_FIELD_LABOR_HOURS)*PERMANENT_HOURLY_RATE-MAX(0,($D387+AD$5)-PERMANENT_FIELD_LABOR_HOURS)*TEMP_HOURLY_RATE-FIXED_SEASON_COST)</f>
        <v/>
      </c>
      <c r="AE387" s="53" t="str">
        <f aca="false">IF(OR($A387&gt;TOMATO_BED_CAP,$B387&gt;CARROT_BED_CAP,AE$4&gt;MESCLUN_BED_CAP,$A387+$B387+AE$4&gt;TOTAL_BEDS_AVAILABLE,($D387+AE$5)&gt;TOTAL_LABOR_HOURS_CAP,MAX(0,($D387+AE$5)-PERMANENT_FIELD_LABOR_HOURS)&gt;TEMP_HOURS_CAP),"",$C387+AE$6-MIN(($D387+AE$5),PERMANENT_FIELD_LABOR_HOURS)*PERMANENT_HOURLY_RATE-MAX(0,($D387+AE$5)-PERMANENT_FIELD_LABOR_HOURS)*TEMP_HOURLY_RATE-FIXED_SEASON_COST)</f>
        <v/>
      </c>
      <c r="AF387" s="53" t="str">
        <f aca="false">IF(OR($A387&gt;TOMATO_BED_CAP,$B387&gt;CARROT_BED_CAP,AF$4&gt;MESCLUN_BED_CAP,$A387+$B387+AF$4&gt;TOTAL_BEDS_AVAILABLE,($D387+AF$5)&gt;TOTAL_LABOR_HOURS_CAP,MAX(0,($D387+AF$5)-PERMANENT_FIELD_LABOR_HOURS)&gt;TEMP_HOURS_CAP),"",$C387+AF$6-MIN(($D387+AF$5),PERMANENT_FIELD_LABOR_HOURS)*PERMANENT_HOURLY_RATE-MAX(0,($D387+AF$5)-PERMANENT_FIELD_LABOR_HOURS)*TEMP_HOURLY_RATE-FIXED_SEASON_COST)</f>
        <v/>
      </c>
      <c r="AG387" s="53" t="str">
        <f aca="false">IF(OR($A387&gt;TOMATO_BED_CAP,$B387&gt;CARROT_BED_CAP,AG$4&gt;MESCLUN_BED_CAP,$A387+$B387+AG$4&gt;TOTAL_BEDS_AVAILABLE,($D387+AG$5)&gt;TOTAL_LABOR_HOURS_CAP,MAX(0,($D387+AG$5)-PERMANENT_FIELD_LABOR_HOURS)&gt;TEMP_HOURS_CAP),"",$C387+AG$6-MIN(($D387+AG$5),PERMANENT_FIELD_LABOR_HOURS)*PERMANENT_HOURLY_RATE-MAX(0,($D387+AG$5)-PERMANENT_FIELD_LABOR_HOURS)*TEMP_HOURLY_RATE-FIXED_SEASON_COST)</f>
        <v/>
      </c>
      <c r="AH387" s="53" t="str">
        <f aca="false">IF(OR($A387&gt;TOMATO_BED_CAP,$B387&gt;CARROT_BED_CAP,AH$4&gt;MESCLUN_BED_CAP,$A387+$B387+AH$4&gt;TOTAL_BEDS_AVAILABLE,($D387+AH$5)&gt;TOTAL_LABOR_HOURS_CAP,MAX(0,($D387+AH$5)-PERMANENT_FIELD_LABOR_HOURS)&gt;TEMP_HOURS_CAP),"",$C387+AH$6-MIN(($D387+AH$5),PERMANENT_FIELD_LABOR_HOURS)*PERMANENT_HOURLY_RATE-MAX(0,($D387+AH$5)-PERMANENT_FIELD_LABOR_HOURS)*TEMP_HOURLY_RATE-FIXED_SEASON_COST)</f>
        <v/>
      </c>
      <c r="AI387" s="53" t="str">
        <f aca="false">IF(OR($A387&gt;TOMATO_BED_CAP,$B387&gt;CARROT_BED_CAP,AI$4&gt;MESCLUN_BED_CAP,$A387+$B387+AI$4&gt;TOTAL_BEDS_AVAILABLE,($D387+AI$5)&gt;TOTAL_LABOR_HOURS_CAP,MAX(0,($D387+AI$5)-PERMANENT_FIELD_LABOR_HOURS)&gt;TEMP_HOURS_CAP),"",$C387+AI$6-MIN(($D387+AI$5),PERMANENT_FIELD_LABOR_HOURS)*PERMANENT_HOURLY_RATE-MAX(0,($D387+AI$5)-PERMANENT_FIELD_LABOR_HOURS)*TEMP_HOURLY_RATE-FIXED_SEASON_COST)</f>
        <v/>
      </c>
      <c r="AJ387" s="53" t="str">
        <f aca="false">IF(OR($A387&gt;TOMATO_BED_CAP,$B387&gt;CARROT_BED_CAP,AJ$4&gt;MESCLUN_BED_CAP,$A387+$B387+AJ$4&gt;TOTAL_BEDS_AVAILABLE,($D387+AJ$5)&gt;TOTAL_LABOR_HOURS_CAP,MAX(0,($D387+AJ$5)-PERMANENT_FIELD_LABOR_HOURS)&gt;TEMP_HOURS_CAP),"",$C387+AJ$6-MIN(($D387+AJ$5),PERMANENT_FIELD_LABOR_HOURS)*PERMANENT_HOURLY_RATE-MAX(0,($D387+AJ$5)-PERMANENT_FIELD_LABOR_HOURS)*TEMP_HOURLY_RATE-FIXED_SEASON_COST)</f>
        <v/>
      </c>
    </row>
    <row r="388" customFormat="false" ht="15" hidden="false" customHeight="false" outlineLevel="0" collapsed="false">
      <c r="A388" s="21" t="n">
        <f aca="false">INT((ROW()-ROW($A$8))/(20+1))</f>
        <v>18</v>
      </c>
      <c r="B388" s="21" t="n">
        <f aca="false">MOD(ROW()-ROW($A$8),20+1)</f>
        <v>2</v>
      </c>
      <c r="C388" s="13" t="n">
        <f aca="false">A388*(TOMATO_REVENUE_PER_BED-TOMATO_FERTILIZER_PER_BED)+B388*(CARROT_REVENUE_PER_BED-CARROT_FERTILIZER_PER_BED)</f>
        <v>145868</v>
      </c>
      <c r="D388" s="14" t="n">
        <f aca="false">INDEX(TOMATO_SCHED_LABOR_HRS,A388+1)+INDEX(CARROT_SCHED_LABOR_HRS,B388+1)</f>
        <v>9070.07833285743</v>
      </c>
      <c r="E388" s="13" t="str">
        <f aca="false">IF(COUNT(F388:AJ388)=0,"",MAX(F388:AJ388))</f>
        <v/>
      </c>
      <c r="F388" s="53" t="str">
        <f aca="false">IF(OR($A388&gt;TOMATO_BED_CAP,$B388&gt;CARROT_BED_CAP,F$4&gt;MESCLUN_BED_CAP,$A388+$B388+F$4&gt;TOTAL_BEDS_AVAILABLE,($D388+F$5)&gt;TOTAL_LABOR_HOURS_CAP,MAX(0,($D388+F$5)-PERMANENT_FIELD_LABOR_HOURS)&gt;TEMP_HOURS_CAP),"",$C388+F$6-MIN(($D388+F$5),PERMANENT_FIELD_LABOR_HOURS)*PERMANENT_HOURLY_RATE-MAX(0,($D388+F$5)-PERMANENT_FIELD_LABOR_HOURS)*TEMP_HOURLY_RATE-FIXED_SEASON_COST)</f>
        <v/>
      </c>
      <c r="G388" s="53" t="str">
        <f aca="false">IF(OR($A388&gt;TOMATO_BED_CAP,$B388&gt;CARROT_BED_CAP,G$4&gt;MESCLUN_BED_CAP,$A388+$B388+G$4&gt;TOTAL_BEDS_AVAILABLE,($D388+G$5)&gt;TOTAL_LABOR_HOURS_CAP,MAX(0,($D388+G$5)-PERMANENT_FIELD_LABOR_HOURS)&gt;TEMP_HOURS_CAP),"",$C388+G$6-MIN(($D388+G$5),PERMANENT_FIELD_LABOR_HOURS)*PERMANENT_HOURLY_RATE-MAX(0,($D388+G$5)-PERMANENT_FIELD_LABOR_HOURS)*TEMP_HOURLY_RATE-FIXED_SEASON_COST)</f>
        <v/>
      </c>
      <c r="H388" s="53" t="str">
        <f aca="false">IF(OR($A388&gt;TOMATO_BED_CAP,$B388&gt;CARROT_BED_CAP,H$4&gt;MESCLUN_BED_CAP,$A388+$B388+H$4&gt;TOTAL_BEDS_AVAILABLE,($D388+H$5)&gt;TOTAL_LABOR_HOURS_CAP,MAX(0,($D388+H$5)-PERMANENT_FIELD_LABOR_HOURS)&gt;TEMP_HOURS_CAP),"",$C388+H$6-MIN(($D388+H$5),PERMANENT_FIELD_LABOR_HOURS)*PERMANENT_HOURLY_RATE-MAX(0,($D388+H$5)-PERMANENT_FIELD_LABOR_HOURS)*TEMP_HOURLY_RATE-FIXED_SEASON_COST)</f>
        <v/>
      </c>
      <c r="I388" s="53" t="str">
        <f aca="false">IF(OR($A388&gt;TOMATO_BED_CAP,$B388&gt;CARROT_BED_CAP,I$4&gt;MESCLUN_BED_CAP,$A388+$B388+I$4&gt;TOTAL_BEDS_AVAILABLE,($D388+I$5)&gt;TOTAL_LABOR_HOURS_CAP,MAX(0,($D388+I$5)-PERMANENT_FIELD_LABOR_HOURS)&gt;TEMP_HOURS_CAP),"",$C388+I$6-MIN(($D388+I$5),PERMANENT_FIELD_LABOR_HOURS)*PERMANENT_HOURLY_RATE-MAX(0,($D388+I$5)-PERMANENT_FIELD_LABOR_HOURS)*TEMP_HOURLY_RATE-FIXED_SEASON_COST)</f>
        <v/>
      </c>
      <c r="J388" s="53" t="str">
        <f aca="false">IF(OR($A388&gt;TOMATO_BED_CAP,$B388&gt;CARROT_BED_CAP,J$4&gt;MESCLUN_BED_CAP,$A388+$B388+J$4&gt;TOTAL_BEDS_AVAILABLE,($D388+J$5)&gt;TOTAL_LABOR_HOURS_CAP,MAX(0,($D388+J$5)-PERMANENT_FIELD_LABOR_HOURS)&gt;TEMP_HOURS_CAP),"",$C388+J$6-MIN(($D388+J$5),PERMANENT_FIELD_LABOR_HOURS)*PERMANENT_HOURLY_RATE-MAX(0,($D388+J$5)-PERMANENT_FIELD_LABOR_HOURS)*TEMP_HOURLY_RATE-FIXED_SEASON_COST)</f>
        <v/>
      </c>
      <c r="K388" s="53" t="str">
        <f aca="false">IF(OR($A388&gt;TOMATO_BED_CAP,$B388&gt;CARROT_BED_CAP,K$4&gt;MESCLUN_BED_CAP,$A388+$B388+K$4&gt;TOTAL_BEDS_AVAILABLE,($D388+K$5)&gt;TOTAL_LABOR_HOURS_CAP,MAX(0,($D388+K$5)-PERMANENT_FIELD_LABOR_HOURS)&gt;TEMP_HOURS_CAP),"",$C388+K$6-MIN(($D388+K$5),PERMANENT_FIELD_LABOR_HOURS)*PERMANENT_HOURLY_RATE-MAX(0,($D388+K$5)-PERMANENT_FIELD_LABOR_HOURS)*TEMP_HOURLY_RATE-FIXED_SEASON_COST)</f>
        <v/>
      </c>
      <c r="L388" s="53" t="str">
        <f aca="false">IF(OR($A388&gt;TOMATO_BED_CAP,$B388&gt;CARROT_BED_CAP,L$4&gt;MESCLUN_BED_CAP,$A388+$B388+L$4&gt;TOTAL_BEDS_AVAILABLE,($D388+L$5)&gt;TOTAL_LABOR_HOURS_CAP,MAX(0,($D388+L$5)-PERMANENT_FIELD_LABOR_HOURS)&gt;TEMP_HOURS_CAP),"",$C388+L$6-MIN(($D388+L$5),PERMANENT_FIELD_LABOR_HOURS)*PERMANENT_HOURLY_RATE-MAX(0,($D388+L$5)-PERMANENT_FIELD_LABOR_HOURS)*TEMP_HOURLY_RATE-FIXED_SEASON_COST)</f>
        <v/>
      </c>
      <c r="M388" s="53" t="str">
        <f aca="false">IF(OR($A388&gt;TOMATO_BED_CAP,$B388&gt;CARROT_BED_CAP,M$4&gt;MESCLUN_BED_CAP,$A388+$B388+M$4&gt;TOTAL_BEDS_AVAILABLE,($D388+M$5)&gt;TOTAL_LABOR_HOURS_CAP,MAX(0,($D388+M$5)-PERMANENT_FIELD_LABOR_HOURS)&gt;TEMP_HOURS_CAP),"",$C388+M$6-MIN(($D388+M$5),PERMANENT_FIELD_LABOR_HOURS)*PERMANENT_HOURLY_RATE-MAX(0,($D388+M$5)-PERMANENT_FIELD_LABOR_HOURS)*TEMP_HOURLY_RATE-FIXED_SEASON_COST)</f>
        <v/>
      </c>
      <c r="N388" s="53" t="str">
        <f aca="false">IF(OR($A388&gt;TOMATO_BED_CAP,$B388&gt;CARROT_BED_CAP,N$4&gt;MESCLUN_BED_CAP,$A388+$B388+N$4&gt;TOTAL_BEDS_AVAILABLE,($D388+N$5)&gt;TOTAL_LABOR_HOURS_CAP,MAX(0,($D388+N$5)-PERMANENT_FIELD_LABOR_HOURS)&gt;TEMP_HOURS_CAP),"",$C388+N$6-MIN(($D388+N$5),PERMANENT_FIELD_LABOR_HOURS)*PERMANENT_HOURLY_RATE-MAX(0,($D388+N$5)-PERMANENT_FIELD_LABOR_HOURS)*TEMP_HOURLY_RATE-FIXED_SEASON_COST)</f>
        <v/>
      </c>
      <c r="O388" s="53" t="str">
        <f aca="false">IF(OR($A388&gt;TOMATO_BED_CAP,$B388&gt;CARROT_BED_CAP,O$4&gt;MESCLUN_BED_CAP,$A388+$B388+O$4&gt;TOTAL_BEDS_AVAILABLE,($D388+O$5)&gt;TOTAL_LABOR_HOURS_CAP,MAX(0,($D388+O$5)-PERMANENT_FIELD_LABOR_HOURS)&gt;TEMP_HOURS_CAP),"",$C388+O$6-MIN(($D388+O$5),PERMANENT_FIELD_LABOR_HOURS)*PERMANENT_HOURLY_RATE-MAX(0,($D388+O$5)-PERMANENT_FIELD_LABOR_HOURS)*TEMP_HOURLY_RATE-FIXED_SEASON_COST)</f>
        <v/>
      </c>
      <c r="P388" s="53" t="str">
        <f aca="false">IF(OR($A388&gt;TOMATO_BED_CAP,$B388&gt;CARROT_BED_CAP,P$4&gt;MESCLUN_BED_CAP,$A388+$B388+P$4&gt;TOTAL_BEDS_AVAILABLE,($D388+P$5)&gt;TOTAL_LABOR_HOURS_CAP,MAX(0,($D388+P$5)-PERMANENT_FIELD_LABOR_HOURS)&gt;TEMP_HOURS_CAP),"",$C388+P$6-MIN(($D388+P$5),PERMANENT_FIELD_LABOR_HOURS)*PERMANENT_HOURLY_RATE-MAX(0,($D388+P$5)-PERMANENT_FIELD_LABOR_HOURS)*TEMP_HOURLY_RATE-FIXED_SEASON_COST)</f>
        <v/>
      </c>
      <c r="Q388" s="53" t="str">
        <f aca="false">IF(OR($A388&gt;TOMATO_BED_CAP,$B388&gt;CARROT_BED_CAP,Q$4&gt;MESCLUN_BED_CAP,$A388+$B388+Q$4&gt;TOTAL_BEDS_AVAILABLE,($D388+Q$5)&gt;TOTAL_LABOR_HOURS_CAP,MAX(0,($D388+Q$5)-PERMANENT_FIELD_LABOR_HOURS)&gt;TEMP_HOURS_CAP),"",$C388+Q$6-MIN(($D388+Q$5),PERMANENT_FIELD_LABOR_HOURS)*PERMANENT_HOURLY_RATE-MAX(0,($D388+Q$5)-PERMANENT_FIELD_LABOR_HOURS)*TEMP_HOURLY_RATE-FIXED_SEASON_COST)</f>
        <v/>
      </c>
      <c r="R388" s="53" t="str">
        <f aca="false">IF(OR($A388&gt;TOMATO_BED_CAP,$B388&gt;CARROT_BED_CAP,R$4&gt;MESCLUN_BED_CAP,$A388+$B388+R$4&gt;TOTAL_BEDS_AVAILABLE,($D388+R$5)&gt;TOTAL_LABOR_HOURS_CAP,MAX(0,($D388+R$5)-PERMANENT_FIELD_LABOR_HOURS)&gt;TEMP_HOURS_CAP),"",$C388+R$6-MIN(($D388+R$5),PERMANENT_FIELD_LABOR_HOURS)*PERMANENT_HOURLY_RATE-MAX(0,($D388+R$5)-PERMANENT_FIELD_LABOR_HOURS)*TEMP_HOURLY_RATE-FIXED_SEASON_COST)</f>
        <v/>
      </c>
      <c r="S388" s="53" t="str">
        <f aca="false">IF(OR($A388&gt;TOMATO_BED_CAP,$B388&gt;CARROT_BED_CAP,S$4&gt;MESCLUN_BED_CAP,$A388+$B388+S$4&gt;TOTAL_BEDS_AVAILABLE,($D388+S$5)&gt;TOTAL_LABOR_HOURS_CAP,MAX(0,($D388+S$5)-PERMANENT_FIELD_LABOR_HOURS)&gt;TEMP_HOURS_CAP),"",$C388+S$6-MIN(($D388+S$5),PERMANENT_FIELD_LABOR_HOURS)*PERMANENT_HOURLY_RATE-MAX(0,($D388+S$5)-PERMANENT_FIELD_LABOR_HOURS)*TEMP_HOURLY_RATE-FIXED_SEASON_COST)</f>
        <v/>
      </c>
      <c r="T388" s="53" t="str">
        <f aca="false">IF(OR($A388&gt;TOMATO_BED_CAP,$B388&gt;CARROT_BED_CAP,T$4&gt;MESCLUN_BED_CAP,$A388+$B388+T$4&gt;TOTAL_BEDS_AVAILABLE,($D388+T$5)&gt;TOTAL_LABOR_HOURS_CAP,MAX(0,($D388+T$5)-PERMANENT_FIELD_LABOR_HOURS)&gt;TEMP_HOURS_CAP),"",$C388+T$6-MIN(($D388+T$5),PERMANENT_FIELD_LABOR_HOURS)*PERMANENT_HOURLY_RATE-MAX(0,($D388+T$5)-PERMANENT_FIELD_LABOR_HOURS)*TEMP_HOURLY_RATE-FIXED_SEASON_COST)</f>
        <v/>
      </c>
      <c r="U388" s="53" t="str">
        <f aca="false">IF(OR($A388&gt;TOMATO_BED_CAP,$B388&gt;CARROT_BED_CAP,U$4&gt;MESCLUN_BED_CAP,$A388+$B388+U$4&gt;TOTAL_BEDS_AVAILABLE,($D388+U$5)&gt;TOTAL_LABOR_HOURS_CAP,MAX(0,($D388+U$5)-PERMANENT_FIELD_LABOR_HOURS)&gt;TEMP_HOURS_CAP),"",$C388+U$6-MIN(($D388+U$5),PERMANENT_FIELD_LABOR_HOURS)*PERMANENT_HOURLY_RATE-MAX(0,($D388+U$5)-PERMANENT_FIELD_LABOR_HOURS)*TEMP_HOURLY_RATE-FIXED_SEASON_COST)</f>
        <v/>
      </c>
      <c r="V388" s="53" t="str">
        <f aca="false">IF(OR($A388&gt;TOMATO_BED_CAP,$B388&gt;CARROT_BED_CAP,V$4&gt;MESCLUN_BED_CAP,$A388+$B388+V$4&gt;TOTAL_BEDS_AVAILABLE,($D388+V$5)&gt;TOTAL_LABOR_HOURS_CAP,MAX(0,($D388+V$5)-PERMANENT_FIELD_LABOR_HOURS)&gt;TEMP_HOURS_CAP),"",$C388+V$6-MIN(($D388+V$5),PERMANENT_FIELD_LABOR_HOURS)*PERMANENT_HOURLY_RATE-MAX(0,($D388+V$5)-PERMANENT_FIELD_LABOR_HOURS)*TEMP_HOURLY_RATE-FIXED_SEASON_COST)</f>
        <v/>
      </c>
      <c r="W388" s="53" t="str">
        <f aca="false">IF(OR($A388&gt;TOMATO_BED_CAP,$B388&gt;CARROT_BED_CAP,W$4&gt;MESCLUN_BED_CAP,$A388+$B388+W$4&gt;TOTAL_BEDS_AVAILABLE,($D388+W$5)&gt;TOTAL_LABOR_HOURS_CAP,MAX(0,($D388+W$5)-PERMANENT_FIELD_LABOR_HOURS)&gt;TEMP_HOURS_CAP),"",$C388+W$6-MIN(($D388+W$5),PERMANENT_FIELD_LABOR_HOURS)*PERMANENT_HOURLY_RATE-MAX(0,($D388+W$5)-PERMANENT_FIELD_LABOR_HOURS)*TEMP_HOURLY_RATE-FIXED_SEASON_COST)</f>
        <v/>
      </c>
      <c r="X388" s="53" t="str">
        <f aca="false">IF(OR($A388&gt;TOMATO_BED_CAP,$B388&gt;CARROT_BED_CAP,X$4&gt;MESCLUN_BED_CAP,$A388+$B388+X$4&gt;TOTAL_BEDS_AVAILABLE,($D388+X$5)&gt;TOTAL_LABOR_HOURS_CAP,MAX(0,($D388+X$5)-PERMANENT_FIELD_LABOR_HOURS)&gt;TEMP_HOURS_CAP),"",$C388+X$6-MIN(($D388+X$5),PERMANENT_FIELD_LABOR_HOURS)*PERMANENT_HOURLY_RATE-MAX(0,($D388+X$5)-PERMANENT_FIELD_LABOR_HOURS)*TEMP_HOURLY_RATE-FIXED_SEASON_COST)</f>
        <v/>
      </c>
      <c r="Y388" s="53" t="str">
        <f aca="false">IF(OR($A388&gt;TOMATO_BED_CAP,$B388&gt;CARROT_BED_CAP,Y$4&gt;MESCLUN_BED_CAP,$A388+$B388+Y$4&gt;TOTAL_BEDS_AVAILABLE,($D388+Y$5)&gt;TOTAL_LABOR_HOURS_CAP,MAX(0,($D388+Y$5)-PERMANENT_FIELD_LABOR_HOURS)&gt;TEMP_HOURS_CAP),"",$C388+Y$6-MIN(($D388+Y$5),PERMANENT_FIELD_LABOR_HOURS)*PERMANENT_HOURLY_RATE-MAX(0,($D388+Y$5)-PERMANENT_FIELD_LABOR_HOURS)*TEMP_HOURLY_RATE-FIXED_SEASON_COST)</f>
        <v/>
      </c>
      <c r="Z388" s="53" t="str">
        <f aca="false">IF(OR($A388&gt;TOMATO_BED_CAP,$B388&gt;CARROT_BED_CAP,Z$4&gt;MESCLUN_BED_CAP,$A388+$B388+Z$4&gt;TOTAL_BEDS_AVAILABLE,($D388+Z$5)&gt;TOTAL_LABOR_HOURS_CAP,MAX(0,($D388+Z$5)-PERMANENT_FIELD_LABOR_HOURS)&gt;TEMP_HOURS_CAP),"",$C388+Z$6-MIN(($D388+Z$5),PERMANENT_FIELD_LABOR_HOURS)*PERMANENT_HOURLY_RATE-MAX(0,($D388+Z$5)-PERMANENT_FIELD_LABOR_HOURS)*TEMP_HOURLY_RATE-FIXED_SEASON_COST)</f>
        <v/>
      </c>
      <c r="AA388" s="53" t="str">
        <f aca="false">IF(OR($A388&gt;TOMATO_BED_CAP,$B388&gt;CARROT_BED_CAP,AA$4&gt;MESCLUN_BED_CAP,$A388+$B388+AA$4&gt;TOTAL_BEDS_AVAILABLE,($D388+AA$5)&gt;TOTAL_LABOR_HOURS_CAP,MAX(0,($D388+AA$5)-PERMANENT_FIELD_LABOR_HOURS)&gt;TEMP_HOURS_CAP),"",$C388+AA$6-MIN(($D388+AA$5),PERMANENT_FIELD_LABOR_HOURS)*PERMANENT_HOURLY_RATE-MAX(0,($D388+AA$5)-PERMANENT_FIELD_LABOR_HOURS)*TEMP_HOURLY_RATE-FIXED_SEASON_COST)</f>
        <v/>
      </c>
      <c r="AB388" s="53" t="str">
        <f aca="false">IF(OR($A388&gt;TOMATO_BED_CAP,$B388&gt;CARROT_BED_CAP,AB$4&gt;MESCLUN_BED_CAP,$A388+$B388+AB$4&gt;TOTAL_BEDS_AVAILABLE,($D388+AB$5)&gt;TOTAL_LABOR_HOURS_CAP,MAX(0,($D388+AB$5)-PERMANENT_FIELD_LABOR_HOURS)&gt;TEMP_HOURS_CAP),"",$C388+AB$6-MIN(($D388+AB$5),PERMANENT_FIELD_LABOR_HOURS)*PERMANENT_HOURLY_RATE-MAX(0,($D388+AB$5)-PERMANENT_FIELD_LABOR_HOURS)*TEMP_HOURLY_RATE-FIXED_SEASON_COST)</f>
        <v/>
      </c>
      <c r="AC388" s="53" t="str">
        <f aca="false">IF(OR($A388&gt;TOMATO_BED_CAP,$B388&gt;CARROT_BED_CAP,AC$4&gt;MESCLUN_BED_CAP,$A388+$B388+AC$4&gt;TOTAL_BEDS_AVAILABLE,($D388+AC$5)&gt;TOTAL_LABOR_HOURS_CAP,MAX(0,($D388+AC$5)-PERMANENT_FIELD_LABOR_HOURS)&gt;TEMP_HOURS_CAP),"",$C388+AC$6-MIN(($D388+AC$5),PERMANENT_FIELD_LABOR_HOURS)*PERMANENT_HOURLY_RATE-MAX(0,($D388+AC$5)-PERMANENT_FIELD_LABOR_HOURS)*TEMP_HOURLY_RATE-FIXED_SEASON_COST)</f>
        <v/>
      </c>
      <c r="AD388" s="53" t="str">
        <f aca="false">IF(OR($A388&gt;TOMATO_BED_CAP,$B388&gt;CARROT_BED_CAP,AD$4&gt;MESCLUN_BED_CAP,$A388+$B388+AD$4&gt;TOTAL_BEDS_AVAILABLE,($D388+AD$5)&gt;TOTAL_LABOR_HOURS_CAP,MAX(0,($D388+AD$5)-PERMANENT_FIELD_LABOR_HOURS)&gt;TEMP_HOURS_CAP),"",$C388+AD$6-MIN(($D388+AD$5),PERMANENT_FIELD_LABOR_HOURS)*PERMANENT_HOURLY_RATE-MAX(0,($D388+AD$5)-PERMANENT_FIELD_LABOR_HOURS)*TEMP_HOURLY_RATE-FIXED_SEASON_COST)</f>
        <v/>
      </c>
      <c r="AE388" s="53" t="str">
        <f aca="false">IF(OR($A388&gt;TOMATO_BED_CAP,$B388&gt;CARROT_BED_CAP,AE$4&gt;MESCLUN_BED_CAP,$A388+$B388+AE$4&gt;TOTAL_BEDS_AVAILABLE,($D388+AE$5)&gt;TOTAL_LABOR_HOURS_CAP,MAX(0,($D388+AE$5)-PERMANENT_FIELD_LABOR_HOURS)&gt;TEMP_HOURS_CAP),"",$C388+AE$6-MIN(($D388+AE$5),PERMANENT_FIELD_LABOR_HOURS)*PERMANENT_HOURLY_RATE-MAX(0,($D388+AE$5)-PERMANENT_FIELD_LABOR_HOURS)*TEMP_HOURLY_RATE-FIXED_SEASON_COST)</f>
        <v/>
      </c>
      <c r="AF388" s="53" t="str">
        <f aca="false">IF(OR($A388&gt;TOMATO_BED_CAP,$B388&gt;CARROT_BED_CAP,AF$4&gt;MESCLUN_BED_CAP,$A388+$B388+AF$4&gt;TOTAL_BEDS_AVAILABLE,($D388+AF$5)&gt;TOTAL_LABOR_HOURS_CAP,MAX(0,($D388+AF$5)-PERMANENT_FIELD_LABOR_HOURS)&gt;TEMP_HOURS_CAP),"",$C388+AF$6-MIN(($D388+AF$5),PERMANENT_FIELD_LABOR_HOURS)*PERMANENT_HOURLY_RATE-MAX(0,($D388+AF$5)-PERMANENT_FIELD_LABOR_HOURS)*TEMP_HOURLY_RATE-FIXED_SEASON_COST)</f>
        <v/>
      </c>
      <c r="AG388" s="53" t="str">
        <f aca="false">IF(OR($A388&gt;TOMATO_BED_CAP,$B388&gt;CARROT_BED_CAP,AG$4&gt;MESCLUN_BED_CAP,$A388+$B388+AG$4&gt;TOTAL_BEDS_AVAILABLE,($D388+AG$5)&gt;TOTAL_LABOR_HOURS_CAP,MAX(0,($D388+AG$5)-PERMANENT_FIELD_LABOR_HOURS)&gt;TEMP_HOURS_CAP),"",$C388+AG$6-MIN(($D388+AG$5),PERMANENT_FIELD_LABOR_HOURS)*PERMANENT_HOURLY_RATE-MAX(0,($D388+AG$5)-PERMANENT_FIELD_LABOR_HOURS)*TEMP_HOURLY_RATE-FIXED_SEASON_COST)</f>
        <v/>
      </c>
      <c r="AH388" s="53" t="str">
        <f aca="false">IF(OR($A388&gt;TOMATO_BED_CAP,$B388&gt;CARROT_BED_CAP,AH$4&gt;MESCLUN_BED_CAP,$A388+$B388+AH$4&gt;TOTAL_BEDS_AVAILABLE,($D388+AH$5)&gt;TOTAL_LABOR_HOURS_CAP,MAX(0,($D388+AH$5)-PERMANENT_FIELD_LABOR_HOURS)&gt;TEMP_HOURS_CAP),"",$C388+AH$6-MIN(($D388+AH$5),PERMANENT_FIELD_LABOR_HOURS)*PERMANENT_HOURLY_RATE-MAX(0,($D388+AH$5)-PERMANENT_FIELD_LABOR_HOURS)*TEMP_HOURLY_RATE-FIXED_SEASON_COST)</f>
        <v/>
      </c>
      <c r="AI388" s="53" t="str">
        <f aca="false">IF(OR($A388&gt;TOMATO_BED_CAP,$B388&gt;CARROT_BED_CAP,AI$4&gt;MESCLUN_BED_CAP,$A388+$B388+AI$4&gt;TOTAL_BEDS_AVAILABLE,($D388+AI$5)&gt;TOTAL_LABOR_HOURS_CAP,MAX(0,($D388+AI$5)-PERMANENT_FIELD_LABOR_HOURS)&gt;TEMP_HOURS_CAP),"",$C388+AI$6-MIN(($D388+AI$5),PERMANENT_FIELD_LABOR_HOURS)*PERMANENT_HOURLY_RATE-MAX(0,($D388+AI$5)-PERMANENT_FIELD_LABOR_HOURS)*TEMP_HOURLY_RATE-FIXED_SEASON_COST)</f>
        <v/>
      </c>
      <c r="AJ388" s="53" t="str">
        <f aca="false">IF(OR($A388&gt;TOMATO_BED_CAP,$B388&gt;CARROT_BED_CAP,AJ$4&gt;MESCLUN_BED_CAP,$A388+$B388+AJ$4&gt;TOTAL_BEDS_AVAILABLE,($D388+AJ$5)&gt;TOTAL_LABOR_HOURS_CAP,MAX(0,($D388+AJ$5)-PERMANENT_FIELD_LABOR_HOURS)&gt;TEMP_HOURS_CAP),"",$C388+AJ$6-MIN(($D388+AJ$5),PERMANENT_FIELD_LABOR_HOURS)*PERMANENT_HOURLY_RATE-MAX(0,($D388+AJ$5)-PERMANENT_FIELD_LABOR_HOURS)*TEMP_HOURLY_RATE-FIXED_SEASON_COST)</f>
        <v/>
      </c>
    </row>
    <row r="389" customFormat="false" ht="15" hidden="false" customHeight="false" outlineLevel="0" collapsed="false">
      <c r="A389" s="21" t="n">
        <f aca="false">INT((ROW()-ROW($A$8))/(20+1))</f>
        <v>18</v>
      </c>
      <c r="B389" s="21" t="n">
        <f aca="false">MOD(ROW()-ROW($A$8),20+1)</f>
        <v>3</v>
      </c>
      <c r="C389" s="13" t="n">
        <f aca="false">A389*(TOMATO_REVENUE_PER_BED-TOMATO_FERTILIZER_PER_BED)+B389*(CARROT_REVENUE_PER_BED-CARROT_FERTILIZER_PER_BED)</f>
        <v>147522</v>
      </c>
      <c r="D389" s="14" t="n">
        <f aca="false">INDEX(TOMATO_SCHED_LABOR_HRS,A389+1)+INDEX(CARROT_SCHED_LABOR_HRS,B389+1)</f>
        <v>9103.94743604493</v>
      </c>
      <c r="E389" s="13" t="str">
        <f aca="false">IF(COUNT(F389:AJ389)=0,"",MAX(F389:AJ389))</f>
        <v/>
      </c>
      <c r="F389" s="53" t="str">
        <f aca="false">IF(OR($A389&gt;TOMATO_BED_CAP,$B389&gt;CARROT_BED_CAP,F$4&gt;MESCLUN_BED_CAP,$A389+$B389+F$4&gt;TOTAL_BEDS_AVAILABLE,($D389+F$5)&gt;TOTAL_LABOR_HOURS_CAP,MAX(0,($D389+F$5)-PERMANENT_FIELD_LABOR_HOURS)&gt;TEMP_HOURS_CAP),"",$C389+F$6-MIN(($D389+F$5),PERMANENT_FIELD_LABOR_HOURS)*PERMANENT_HOURLY_RATE-MAX(0,($D389+F$5)-PERMANENT_FIELD_LABOR_HOURS)*TEMP_HOURLY_RATE-FIXED_SEASON_COST)</f>
        <v/>
      </c>
      <c r="G389" s="53" t="str">
        <f aca="false">IF(OR($A389&gt;TOMATO_BED_CAP,$B389&gt;CARROT_BED_CAP,G$4&gt;MESCLUN_BED_CAP,$A389+$B389+G$4&gt;TOTAL_BEDS_AVAILABLE,($D389+G$5)&gt;TOTAL_LABOR_HOURS_CAP,MAX(0,($D389+G$5)-PERMANENT_FIELD_LABOR_HOURS)&gt;TEMP_HOURS_CAP),"",$C389+G$6-MIN(($D389+G$5),PERMANENT_FIELD_LABOR_HOURS)*PERMANENT_HOURLY_RATE-MAX(0,($D389+G$5)-PERMANENT_FIELD_LABOR_HOURS)*TEMP_HOURLY_RATE-FIXED_SEASON_COST)</f>
        <v/>
      </c>
      <c r="H389" s="53" t="str">
        <f aca="false">IF(OR($A389&gt;TOMATO_BED_CAP,$B389&gt;CARROT_BED_CAP,H$4&gt;MESCLUN_BED_CAP,$A389+$B389+H$4&gt;TOTAL_BEDS_AVAILABLE,($D389+H$5)&gt;TOTAL_LABOR_HOURS_CAP,MAX(0,($D389+H$5)-PERMANENT_FIELD_LABOR_HOURS)&gt;TEMP_HOURS_CAP),"",$C389+H$6-MIN(($D389+H$5),PERMANENT_FIELD_LABOR_HOURS)*PERMANENT_HOURLY_RATE-MAX(0,($D389+H$5)-PERMANENT_FIELD_LABOR_HOURS)*TEMP_HOURLY_RATE-FIXED_SEASON_COST)</f>
        <v/>
      </c>
      <c r="I389" s="53" t="str">
        <f aca="false">IF(OR($A389&gt;TOMATO_BED_CAP,$B389&gt;CARROT_BED_CAP,I$4&gt;MESCLUN_BED_CAP,$A389+$B389+I$4&gt;TOTAL_BEDS_AVAILABLE,($D389+I$5)&gt;TOTAL_LABOR_HOURS_CAP,MAX(0,($D389+I$5)-PERMANENT_FIELD_LABOR_HOURS)&gt;TEMP_HOURS_CAP),"",$C389+I$6-MIN(($D389+I$5),PERMANENT_FIELD_LABOR_HOURS)*PERMANENT_HOURLY_RATE-MAX(0,($D389+I$5)-PERMANENT_FIELD_LABOR_HOURS)*TEMP_HOURLY_RATE-FIXED_SEASON_COST)</f>
        <v/>
      </c>
      <c r="J389" s="53" t="str">
        <f aca="false">IF(OR($A389&gt;TOMATO_BED_CAP,$B389&gt;CARROT_BED_CAP,J$4&gt;MESCLUN_BED_CAP,$A389+$B389+J$4&gt;TOTAL_BEDS_AVAILABLE,($D389+J$5)&gt;TOTAL_LABOR_HOURS_CAP,MAX(0,($D389+J$5)-PERMANENT_FIELD_LABOR_HOURS)&gt;TEMP_HOURS_CAP),"",$C389+J$6-MIN(($D389+J$5),PERMANENT_FIELD_LABOR_HOURS)*PERMANENT_HOURLY_RATE-MAX(0,($D389+J$5)-PERMANENT_FIELD_LABOR_HOURS)*TEMP_HOURLY_RATE-FIXED_SEASON_COST)</f>
        <v/>
      </c>
      <c r="K389" s="53" t="str">
        <f aca="false">IF(OR($A389&gt;TOMATO_BED_CAP,$B389&gt;CARROT_BED_CAP,K$4&gt;MESCLUN_BED_CAP,$A389+$B389+K$4&gt;TOTAL_BEDS_AVAILABLE,($D389+K$5)&gt;TOTAL_LABOR_HOURS_CAP,MAX(0,($D389+K$5)-PERMANENT_FIELD_LABOR_HOURS)&gt;TEMP_HOURS_CAP),"",$C389+K$6-MIN(($D389+K$5),PERMANENT_FIELD_LABOR_HOURS)*PERMANENT_HOURLY_RATE-MAX(0,($D389+K$5)-PERMANENT_FIELD_LABOR_HOURS)*TEMP_HOURLY_RATE-FIXED_SEASON_COST)</f>
        <v/>
      </c>
      <c r="L389" s="53" t="str">
        <f aca="false">IF(OR($A389&gt;TOMATO_BED_CAP,$B389&gt;CARROT_BED_CAP,L$4&gt;MESCLUN_BED_CAP,$A389+$B389+L$4&gt;TOTAL_BEDS_AVAILABLE,($D389+L$5)&gt;TOTAL_LABOR_HOURS_CAP,MAX(0,($D389+L$5)-PERMANENT_FIELD_LABOR_HOURS)&gt;TEMP_HOURS_CAP),"",$C389+L$6-MIN(($D389+L$5),PERMANENT_FIELD_LABOR_HOURS)*PERMANENT_HOURLY_RATE-MAX(0,($D389+L$5)-PERMANENT_FIELD_LABOR_HOURS)*TEMP_HOURLY_RATE-FIXED_SEASON_COST)</f>
        <v/>
      </c>
      <c r="M389" s="53" t="str">
        <f aca="false">IF(OR($A389&gt;TOMATO_BED_CAP,$B389&gt;CARROT_BED_CAP,M$4&gt;MESCLUN_BED_CAP,$A389+$B389+M$4&gt;TOTAL_BEDS_AVAILABLE,($D389+M$5)&gt;TOTAL_LABOR_HOURS_CAP,MAX(0,($D389+M$5)-PERMANENT_FIELD_LABOR_HOURS)&gt;TEMP_HOURS_CAP),"",$C389+M$6-MIN(($D389+M$5),PERMANENT_FIELD_LABOR_HOURS)*PERMANENT_HOURLY_RATE-MAX(0,($D389+M$5)-PERMANENT_FIELD_LABOR_HOURS)*TEMP_HOURLY_RATE-FIXED_SEASON_COST)</f>
        <v/>
      </c>
      <c r="N389" s="53" t="str">
        <f aca="false">IF(OR($A389&gt;TOMATO_BED_CAP,$B389&gt;CARROT_BED_CAP,N$4&gt;MESCLUN_BED_CAP,$A389+$B389+N$4&gt;TOTAL_BEDS_AVAILABLE,($D389+N$5)&gt;TOTAL_LABOR_HOURS_CAP,MAX(0,($D389+N$5)-PERMANENT_FIELD_LABOR_HOURS)&gt;TEMP_HOURS_CAP),"",$C389+N$6-MIN(($D389+N$5),PERMANENT_FIELD_LABOR_HOURS)*PERMANENT_HOURLY_RATE-MAX(0,($D389+N$5)-PERMANENT_FIELD_LABOR_HOURS)*TEMP_HOURLY_RATE-FIXED_SEASON_COST)</f>
        <v/>
      </c>
      <c r="O389" s="53" t="str">
        <f aca="false">IF(OR($A389&gt;TOMATO_BED_CAP,$B389&gt;CARROT_BED_CAP,O$4&gt;MESCLUN_BED_CAP,$A389+$B389+O$4&gt;TOTAL_BEDS_AVAILABLE,($D389+O$5)&gt;TOTAL_LABOR_HOURS_CAP,MAX(0,($D389+O$5)-PERMANENT_FIELD_LABOR_HOURS)&gt;TEMP_HOURS_CAP),"",$C389+O$6-MIN(($D389+O$5),PERMANENT_FIELD_LABOR_HOURS)*PERMANENT_HOURLY_RATE-MAX(0,($D389+O$5)-PERMANENT_FIELD_LABOR_HOURS)*TEMP_HOURLY_RATE-FIXED_SEASON_COST)</f>
        <v/>
      </c>
      <c r="P389" s="53" t="str">
        <f aca="false">IF(OR($A389&gt;TOMATO_BED_CAP,$B389&gt;CARROT_BED_CAP,P$4&gt;MESCLUN_BED_CAP,$A389+$B389+P$4&gt;TOTAL_BEDS_AVAILABLE,($D389+P$5)&gt;TOTAL_LABOR_HOURS_CAP,MAX(0,($D389+P$5)-PERMANENT_FIELD_LABOR_HOURS)&gt;TEMP_HOURS_CAP),"",$C389+P$6-MIN(($D389+P$5),PERMANENT_FIELD_LABOR_HOURS)*PERMANENT_HOURLY_RATE-MAX(0,($D389+P$5)-PERMANENT_FIELD_LABOR_HOURS)*TEMP_HOURLY_RATE-FIXED_SEASON_COST)</f>
        <v/>
      </c>
      <c r="Q389" s="53" t="str">
        <f aca="false">IF(OR($A389&gt;TOMATO_BED_CAP,$B389&gt;CARROT_BED_CAP,Q$4&gt;MESCLUN_BED_CAP,$A389+$B389+Q$4&gt;TOTAL_BEDS_AVAILABLE,($D389+Q$5)&gt;TOTAL_LABOR_HOURS_CAP,MAX(0,($D389+Q$5)-PERMANENT_FIELD_LABOR_HOURS)&gt;TEMP_HOURS_CAP),"",$C389+Q$6-MIN(($D389+Q$5),PERMANENT_FIELD_LABOR_HOURS)*PERMANENT_HOURLY_RATE-MAX(0,($D389+Q$5)-PERMANENT_FIELD_LABOR_HOURS)*TEMP_HOURLY_RATE-FIXED_SEASON_COST)</f>
        <v/>
      </c>
      <c r="R389" s="53" t="str">
        <f aca="false">IF(OR($A389&gt;TOMATO_BED_CAP,$B389&gt;CARROT_BED_CAP,R$4&gt;MESCLUN_BED_CAP,$A389+$B389+R$4&gt;TOTAL_BEDS_AVAILABLE,($D389+R$5)&gt;TOTAL_LABOR_HOURS_CAP,MAX(0,($D389+R$5)-PERMANENT_FIELD_LABOR_HOURS)&gt;TEMP_HOURS_CAP),"",$C389+R$6-MIN(($D389+R$5),PERMANENT_FIELD_LABOR_HOURS)*PERMANENT_HOURLY_RATE-MAX(0,($D389+R$5)-PERMANENT_FIELD_LABOR_HOURS)*TEMP_HOURLY_RATE-FIXED_SEASON_COST)</f>
        <v/>
      </c>
      <c r="S389" s="53" t="str">
        <f aca="false">IF(OR($A389&gt;TOMATO_BED_CAP,$B389&gt;CARROT_BED_CAP,S$4&gt;MESCLUN_BED_CAP,$A389+$B389+S$4&gt;TOTAL_BEDS_AVAILABLE,($D389+S$5)&gt;TOTAL_LABOR_HOURS_CAP,MAX(0,($D389+S$5)-PERMANENT_FIELD_LABOR_HOURS)&gt;TEMP_HOURS_CAP),"",$C389+S$6-MIN(($D389+S$5),PERMANENT_FIELD_LABOR_HOURS)*PERMANENT_HOURLY_RATE-MAX(0,($D389+S$5)-PERMANENT_FIELD_LABOR_HOURS)*TEMP_HOURLY_RATE-FIXED_SEASON_COST)</f>
        <v/>
      </c>
      <c r="T389" s="53" t="str">
        <f aca="false">IF(OR($A389&gt;TOMATO_BED_CAP,$B389&gt;CARROT_BED_CAP,T$4&gt;MESCLUN_BED_CAP,$A389+$B389+T$4&gt;TOTAL_BEDS_AVAILABLE,($D389+T$5)&gt;TOTAL_LABOR_HOURS_CAP,MAX(0,($D389+T$5)-PERMANENT_FIELD_LABOR_HOURS)&gt;TEMP_HOURS_CAP),"",$C389+T$6-MIN(($D389+T$5),PERMANENT_FIELD_LABOR_HOURS)*PERMANENT_HOURLY_RATE-MAX(0,($D389+T$5)-PERMANENT_FIELD_LABOR_HOURS)*TEMP_HOURLY_RATE-FIXED_SEASON_COST)</f>
        <v/>
      </c>
      <c r="U389" s="53" t="str">
        <f aca="false">IF(OR($A389&gt;TOMATO_BED_CAP,$B389&gt;CARROT_BED_CAP,U$4&gt;MESCLUN_BED_CAP,$A389+$B389+U$4&gt;TOTAL_BEDS_AVAILABLE,($D389+U$5)&gt;TOTAL_LABOR_HOURS_CAP,MAX(0,($D389+U$5)-PERMANENT_FIELD_LABOR_HOURS)&gt;TEMP_HOURS_CAP),"",$C389+U$6-MIN(($D389+U$5),PERMANENT_FIELD_LABOR_HOURS)*PERMANENT_HOURLY_RATE-MAX(0,($D389+U$5)-PERMANENT_FIELD_LABOR_HOURS)*TEMP_HOURLY_RATE-FIXED_SEASON_COST)</f>
        <v/>
      </c>
      <c r="V389" s="53" t="str">
        <f aca="false">IF(OR($A389&gt;TOMATO_BED_CAP,$B389&gt;CARROT_BED_CAP,V$4&gt;MESCLUN_BED_CAP,$A389+$B389+V$4&gt;TOTAL_BEDS_AVAILABLE,($D389+V$5)&gt;TOTAL_LABOR_HOURS_CAP,MAX(0,($D389+V$5)-PERMANENT_FIELD_LABOR_HOURS)&gt;TEMP_HOURS_CAP),"",$C389+V$6-MIN(($D389+V$5),PERMANENT_FIELD_LABOR_HOURS)*PERMANENT_HOURLY_RATE-MAX(0,($D389+V$5)-PERMANENT_FIELD_LABOR_HOURS)*TEMP_HOURLY_RATE-FIXED_SEASON_COST)</f>
        <v/>
      </c>
      <c r="W389" s="53" t="str">
        <f aca="false">IF(OR($A389&gt;TOMATO_BED_CAP,$B389&gt;CARROT_BED_CAP,W$4&gt;MESCLUN_BED_CAP,$A389+$B389+W$4&gt;TOTAL_BEDS_AVAILABLE,($D389+W$5)&gt;TOTAL_LABOR_HOURS_CAP,MAX(0,($D389+W$5)-PERMANENT_FIELD_LABOR_HOURS)&gt;TEMP_HOURS_CAP),"",$C389+W$6-MIN(($D389+W$5),PERMANENT_FIELD_LABOR_HOURS)*PERMANENT_HOURLY_RATE-MAX(0,($D389+W$5)-PERMANENT_FIELD_LABOR_HOURS)*TEMP_HOURLY_RATE-FIXED_SEASON_COST)</f>
        <v/>
      </c>
      <c r="X389" s="53" t="str">
        <f aca="false">IF(OR($A389&gt;TOMATO_BED_CAP,$B389&gt;CARROT_BED_CAP,X$4&gt;MESCLUN_BED_CAP,$A389+$B389+X$4&gt;TOTAL_BEDS_AVAILABLE,($D389+X$5)&gt;TOTAL_LABOR_HOURS_CAP,MAX(0,($D389+X$5)-PERMANENT_FIELD_LABOR_HOURS)&gt;TEMP_HOURS_CAP),"",$C389+X$6-MIN(($D389+X$5),PERMANENT_FIELD_LABOR_HOURS)*PERMANENT_HOURLY_RATE-MAX(0,($D389+X$5)-PERMANENT_FIELD_LABOR_HOURS)*TEMP_HOURLY_RATE-FIXED_SEASON_COST)</f>
        <v/>
      </c>
      <c r="Y389" s="53" t="str">
        <f aca="false">IF(OR($A389&gt;TOMATO_BED_CAP,$B389&gt;CARROT_BED_CAP,Y$4&gt;MESCLUN_BED_CAP,$A389+$B389+Y$4&gt;TOTAL_BEDS_AVAILABLE,($D389+Y$5)&gt;TOTAL_LABOR_HOURS_CAP,MAX(0,($D389+Y$5)-PERMANENT_FIELD_LABOR_HOURS)&gt;TEMP_HOURS_CAP),"",$C389+Y$6-MIN(($D389+Y$5),PERMANENT_FIELD_LABOR_HOURS)*PERMANENT_HOURLY_RATE-MAX(0,($D389+Y$5)-PERMANENT_FIELD_LABOR_HOURS)*TEMP_HOURLY_RATE-FIXED_SEASON_COST)</f>
        <v/>
      </c>
      <c r="Z389" s="53" t="str">
        <f aca="false">IF(OR($A389&gt;TOMATO_BED_CAP,$B389&gt;CARROT_BED_CAP,Z$4&gt;MESCLUN_BED_CAP,$A389+$B389+Z$4&gt;TOTAL_BEDS_AVAILABLE,($D389+Z$5)&gt;TOTAL_LABOR_HOURS_CAP,MAX(0,($D389+Z$5)-PERMANENT_FIELD_LABOR_HOURS)&gt;TEMP_HOURS_CAP),"",$C389+Z$6-MIN(($D389+Z$5),PERMANENT_FIELD_LABOR_HOURS)*PERMANENT_HOURLY_RATE-MAX(0,($D389+Z$5)-PERMANENT_FIELD_LABOR_HOURS)*TEMP_HOURLY_RATE-FIXED_SEASON_COST)</f>
        <v/>
      </c>
      <c r="AA389" s="53" t="str">
        <f aca="false">IF(OR($A389&gt;TOMATO_BED_CAP,$B389&gt;CARROT_BED_CAP,AA$4&gt;MESCLUN_BED_CAP,$A389+$B389+AA$4&gt;TOTAL_BEDS_AVAILABLE,($D389+AA$5)&gt;TOTAL_LABOR_HOURS_CAP,MAX(0,($D389+AA$5)-PERMANENT_FIELD_LABOR_HOURS)&gt;TEMP_HOURS_CAP),"",$C389+AA$6-MIN(($D389+AA$5),PERMANENT_FIELD_LABOR_HOURS)*PERMANENT_HOURLY_RATE-MAX(0,($D389+AA$5)-PERMANENT_FIELD_LABOR_HOURS)*TEMP_HOURLY_RATE-FIXED_SEASON_COST)</f>
        <v/>
      </c>
      <c r="AB389" s="53" t="str">
        <f aca="false">IF(OR($A389&gt;TOMATO_BED_CAP,$B389&gt;CARROT_BED_CAP,AB$4&gt;MESCLUN_BED_CAP,$A389+$B389+AB$4&gt;TOTAL_BEDS_AVAILABLE,($D389+AB$5)&gt;TOTAL_LABOR_HOURS_CAP,MAX(0,($D389+AB$5)-PERMANENT_FIELD_LABOR_HOURS)&gt;TEMP_HOURS_CAP),"",$C389+AB$6-MIN(($D389+AB$5),PERMANENT_FIELD_LABOR_HOURS)*PERMANENT_HOURLY_RATE-MAX(0,($D389+AB$5)-PERMANENT_FIELD_LABOR_HOURS)*TEMP_HOURLY_RATE-FIXED_SEASON_COST)</f>
        <v/>
      </c>
      <c r="AC389" s="53" t="str">
        <f aca="false">IF(OR($A389&gt;TOMATO_BED_CAP,$B389&gt;CARROT_BED_CAP,AC$4&gt;MESCLUN_BED_CAP,$A389+$B389+AC$4&gt;TOTAL_BEDS_AVAILABLE,($D389+AC$5)&gt;TOTAL_LABOR_HOURS_CAP,MAX(0,($D389+AC$5)-PERMANENT_FIELD_LABOR_HOURS)&gt;TEMP_HOURS_CAP),"",$C389+AC$6-MIN(($D389+AC$5),PERMANENT_FIELD_LABOR_HOURS)*PERMANENT_HOURLY_RATE-MAX(0,($D389+AC$5)-PERMANENT_FIELD_LABOR_HOURS)*TEMP_HOURLY_RATE-FIXED_SEASON_COST)</f>
        <v/>
      </c>
      <c r="AD389" s="53" t="str">
        <f aca="false">IF(OR($A389&gt;TOMATO_BED_CAP,$B389&gt;CARROT_BED_CAP,AD$4&gt;MESCLUN_BED_CAP,$A389+$B389+AD$4&gt;TOTAL_BEDS_AVAILABLE,($D389+AD$5)&gt;TOTAL_LABOR_HOURS_CAP,MAX(0,($D389+AD$5)-PERMANENT_FIELD_LABOR_HOURS)&gt;TEMP_HOURS_CAP),"",$C389+AD$6-MIN(($D389+AD$5),PERMANENT_FIELD_LABOR_HOURS)*PERMANENT_HOURLY_RATE-MAX(0,($D389+AD$5)-PERMANENT_FIELD_LABOR_HOURS)*TEMP_HOURLY_RATE-FIXED_SEASON_COST)</f>
        <v/>
      </c>
      <c r="AE389" s="53" t="str">
        <f aca="false">IF(OR($A389&gt;TOMATO_BED_CAP,$B389&gt;CARROT_BED_CAP,AE$4&gt;MESCLUN_BED_CAP,$A389+$B389+AE$4&gt;TOTAL_BEDS_AVAILABLE,($D389+AE$5)&gt;TOTAL_LABOR_HOURS_CAP,MAX(0,($D389+AE$5)-PERMANENT_FIELD_LABOR_HOURS)&gt;TEMP_HOURS_CAP),"",$C389+AE$6-MIN(($D389+AE$5),PERMANENT_FIELD_LABOR_HOURS)*PERMANENT_HOURLY_RATE-MAX(0,($D389+AE$5)-PERMANENT_FIELD_LABOR_HOURS)*TEMP_HOURLY_RATE-FIXED_SEASON_COST)</f>
        <v/>
      </c>
      <c r="AF389" s="53" t="str">
        <f aca="false">IF(OR($A389&gt;TOMATO_BED_CAP,$B389&gt;CARROT_BED_CAP,AF$4&gt;MESCLUN_BED_CAP,$A389+$B389+AF$4&gt;TOTAL_BEDS_AVAILABLE,($D389+AF$5)&gt;TOTAL_LABOR_HOURS_CAP,MAX(0,($D389+AF$5)-PERMANENT_FIELD_LABOR_HOURS)&gt;TEMP_HOURS_CAP),"",$C389+AF$6-MIN(($D389+AF$5),PERMANENT_FIELD_LABOR_HOURS)*PERMANENT_HOURLY_RATE-MAX(0,($D389+AF$5)-PERMANENT_FIELD_LABOR_HOURS)*TEMP_HOURLY_RATE-FIXED_SEASON_COST)</f>
        <v/>
      </c>
      <c r="AG389" s="53" t="str">
        <f aca="false">IF(OR($A389&gt;TOMATO_BED_CAP,$B389&gt;CARROT_BED_CAP,AG$4&gt;MESCLUN_BED_CAP,$A389+$B389+AG$4&gt;TOTAL_BEDS_AVAILABLE,($D389+AG$5)&gt;TOTAL_LABOR_HOURS_CAP,MAX(0,($D389+AG$5)-PERMANENT_FIELD_LABOR_HOURS)&gt;TEMP_HOURS_CAP),"",$C389+AG$6-MIN(($D389+AG$5),PERMANENT_FIELD_LABOR_HOURS)*PERMANENT_HOURLY_RATE-MAX(0,($D389+AG$5)-PERMANENT_FIELD_LABOR_HOURS)*TEMP_HOURLY_RATE-FIXED_SEASON_COST)</f>
        <v/>
      </c>
      <c r="AH389" s="53" t="str">
        <f aca="false">IF(OR($A389&gt;TOMATO_BED_CAP,$B389&gt;CARROT_BED_CAP,AH$4&gt;MESCLUN_BED_CAP,$A389+$B389+AH$4&gt;TOTAL_BEDS_AVAILABLE,($D389+AH$5)&gt;TOTAL_LABOR_HOURS_CAP,MAX(0,($D389+AH$5)-PERMANENT_FIELD_LABOR_HOURS)&gt;TEMP_HOURS_CAP),"",$C389+AH$6-MIN(($D389+AH$5),PERMANENT_FIELD_LABOR_HOURS)*PERMANENT_HOURLY_RATE-MAX(0,($D389+AH$5)-PERMANENT_FIELD_LABOR_HOURS)*TEMP_HOURLY_RATE-FIXED_SEASON_COST)</f>
        <v/>
      </c>
      <c r="AI389" s="53" t="str">
        <f aca="false">IF(OR($A389&gt;TOMATO_BED_CAP,$B389&gt;CARROT_BED_CAP,AI$4&gt;MESCLUN_BED_CAP,$A389+$B389+AI$4&gt;TOTAL_BEDS_AVAILABLE,($D389+AI$5)&gt;TOTAL_LABOR_HOURS_CAP,MAX(0,($D389+AI$5)-PERMANENT_FIELD_LABOR_HOURS)&gt;TEMP_HOURS_CAP),"",$C389+AI$6-MIN(($D389+AI$5),PERMANENT_FIELD_LABOR_HOURS)*PERMANENT_HOURLY_RATE-MAX(0,($D389+AI$5)-PERMANENT_FIELD_LABOR_HOURS)*TEMP_HOURLY_RATE-FIXED_SEASON_COST)</f>
        <v/>
      </c>
      <c r="AJ389" s="53" t="str">
        <f aca="false">IF(OR($A389&gt;TOMATO_BED_CAP,$B389&gt;CARROT_BED_CAP,AJ$4&gt;MESCLUN_BED_CAP,$A389+$B389+AJ$4&gt;TOTAL_BEDS_AVAILABLE,($D389+AJ$5)&gt;TOTAL_LABOR_HOURS_CAP,MAX(0,($D389+AJ$5)-PERMANENT_FIELD_LABOR_HOURS)&gt;TEMP_HOURS_CAP),"",$C389+AJ$6-MIN(($D389+AJ$5),PERMANENT_FIELD_LABOR_HOURS)*PERMANENT_HOURLY_RATE-MAX(0,($D389+AJ$5)-PERMANENT_FIELD_LABOR_HOURS)*TEMP_HOURLY_RATE-FIXED_SEASON_COST)</f>
        <v/>
      </c>
    </row>
    <row r="390" customFormat="false" ht="15" hidden="false" customHeight="false" outlineLevel="0" collapsed="false">
      <c r="A390" s="21" t="n">
        <f aca="false">INT((ROW()-ROW($A$8))/(20+1))</f>
        <v>18</v>
      </c>
      <c r="B390" s="21" t="n">
        <f aca="false">MOD(ROW()-ROW($A$8),20+1)</f>
        <v>4</v>
      </c>
      <c r="C390" s="13" t="n">
        <f aca="false">A390*(TOMATO_REVENUE_PER_BED-TOMATO_FERTILIZER_PER_BED)+B390*(CARROT_REVENUE_PER_BED-CARROT_FERTILIZER_PER_BED)</f>
        <v>149176</v>
      </c>
      <c r="D390" s="14" t="n">
        <f aca="false">INDEX(TOMATO_SCHED_LABOR_HRS,A390+1)+INDEX(CARROT_SCHED_LABOR_HRS,B390+1)</f>
        <v>9139.47061171368</v>
      </c>
      <c r="E390" s="13" t="str">
        <f aca="false">IF(COUNT(F390:AJ390)=0,"",MAX(F390:AJ390))</f>
        <v/>
      </c>
      <c r="F390" s="53" t="str">
        <f aca="false">IF(OR($A390&gt;TOMATO_BED_CAP,$B390&gt;CARROT_BED_CAP,F$4&gt;MESCLUN_BED_CAP,$A390+$B390+F$4&gt;TOTAL_BEDS_AVAILABLE,($D390+F$5)&gt;TOTAL_LABOR_HOURS_CAP,MAX(0,($D390+F$5)-PERMANENT_FIELD_LABOR_HOURS)&gt;TEMP_HOURS_CAP),"",$C390+F$6-MIN(($D390+F$5),PERMANENT_FIELD_LABOR_HOURS)*PERMANENT_HOURLY_RATE-MAX(0,($D390+F$5)-PERMANENT_FIELD_LABOR_HOURS)*TEMP_HOURLY_RATE-FIXED_SEASON_COST)</f>
        <v/>
      </c>
      <c r="G390" s="53" t="str">
        <f aca="false">IF(OR($A390&gt;TOMATO_BED_CAP,$B390&gt;CARROT_BED_CAP,G$4&gt;MESCLUN_BED_CAP,$A390+$B390+G$4&gt;TOTAL_BEDS_AVAILABLE,($D390+G$5)&gt;TOTAL_LABOR_HOURS_CAP,MAX(0,($D390+G$5)-PERMANENT_FIELD_LABOR_HOURS)&gt;TEMP_HOURS_CAP),"",$C390+G$6-MIN(($D390+G$5),PERMANENT_FIELD_LABOR_HOURS)*PERMANENT_HOURLY_RATE-MAX(0,($D390+G$5)-PERMANENT_FIELD_LABOR_HOURS)*TEMP_HOURLY_RATE-FIXED_SEASON_COST)</f>
        <v/>
      </c>
      <c r="H390" s="53" t="str">
        <f aca="false">IF(OR($A390&gt;TOMATO_BED_CAP,$B390&gt;CARROT_BED_CAP,H$4&gt;MESCLUN_BED_CAP,$A390+$B390+H$4&gt;TOTAL_BEDS_AVAILABLE,($D390+H$5)&gt;TOTAL_LABOR_HOURS_CAP,MAX(0,($D390+H$5)-PERMANENT_FIELD_LABOR_HOURS)&gt;TEMP_HOURS_CAP),"",$C390+H$6-MIN(($D390+H$5),PERMANENT_FIELD_LABOR_HOURS)*PERMANENT_HOURLY_RATE-MAX(0,($D390+H$5)-PERMANENT_FIELD_LABOR_HOURS)*TEMP_HOURLY_RATE-FIXED_SEASON_COST)</f>
        <v/>
      </c>
      <c r="I390" s="53" t="str">
        <f aca="false">IF(OR($A390&gt;TOMATO_BED_CAP,$B390&gt;CARROT_BED_CAP,I$4&gt;MESCLUN_BED_CAP,$A390+$B390+I$4&gt;TOTAL_BEDS_AVAILABLE,($D390+I$5)&gt;TOTAL_LABOR_HOURS_CAP,MAX(0,($D390+I$5)-PERMANENT_FIELD_LABOR_HOURS)&gt;TEMP_HOURS_CAP),"",$C390+I$6-MIN(($D390+I$5),PERMANENT_FIELD_LABOR_HOURS)*PERMANENT_HOURLY_RATE-MAX(0,($D390+I$5)-PERMANENT_FIELD_LABOR_HOURS)*TEMP_HOURLY_RATE-FIXED_SEASON_COST)</f>
        <v/>
      </c>
      <c r="J390" s="53" t="str">
        <f aca="false">IF(OR($A390&gt;TOMATO_BED_CAP,$B390&gt;CARROT_BED_CAP,J$4&gt;MESCLUN_BED_CAP,$A390+$B390+J$4&gt;TOTAL_BEDS_AVAILABLE,($D390+J$5)&gt;TOTAL_LABOR_HOURS_CAP,MAX(0,($D390+J$5)-PERMANENT_FIELD_LABOR_HOURS)&gt;TEMP_HOURS_CAP),"",$C390+J$6-MIN(($D390+J$5),PERMANENT_FIELD_LABOR_HOURS)*PERMANENT_HOURLY_RATE-MAX(0,($D390+J$5)-PERMANENT_FIELD_LABOR_HOURS)*TEMP_HOURLY_RATE-FIXED_SEASON_COST)</f>
        <v/>
      </c>
      <c r="K390" s="53" t="str">
        <f aca="false">IF(OR($A390&gt;TOMATO_BED_CAP,$B390&gt;CARROT_BED_CAP,K$4&gt;MESCLUN_BED_CAP,$A390+$B390+K$4&gt;TOTAL_BEDS_AVAILABLE,($D390+K$5)&gt;TOTAL_LABOR_HOURS_CAP,MAX(0,($D390+K$5)-PERMANENT_FIELD_LABOR_HOURS)&gt;TEMP_HOURS_CAP),"",$C390+K$6-MIN(($D390+K$5),PERMANENT_FIELD_LABOR_HOURS)*PERMANENT_HOURLY_RATE-MAX(0,($D390+K$5)-PERMANENT_FIELD_LABOR_HOURS)*TEMP_HOURLY_RATE-FIXED_SEASON_COST)</f>
        <v/>
      </c>
      <c r="L390" s="53" t="str">
        <f aca="false">IF(OR($A390&gt;TOMATO_BED_CAP,$B390&gt;CARROT_BED_CAP,L$4&gt;MESCLUN_BED_CAP,$A390+$B390+L$4&gt;TOTAL_BEDS_AVAILABLE,($D390+L$5)&gt;TOTAL_LABOR_HOURS_CAP,MAX(0,($D390+L$5)-PERMANENT_FIELD_LABOR_HOURS)&gt;TEMP_HOURS_CAP),"",$C390+L$6-MIN(($D390+L$5),PERMANENT_FIELD_LABOR_HOURS)*PERMANENT_HOURLY_RATE-MAX(0,($D390+L$5)-PERMANENT_FIELD_LABOR_HOURS)*TEMP_HOURLY_RATE-FIXED_SEASON_COST)</f>
        <v/>
      </c>
      <c r="M390" s="53" t="str">
        <f aca="false">IF(OR($A390&gt;TOMATO_BED_CAP,$B390&gt;CARROT_BED_CAP,M$4&gt;MESCLUN_BED_CAP,$A390+$B390+M$4&gt;TOTAL_BEDS_AVAILABLE,($D390+M$5)&gt;TOTAL_LABOR_HOURS_CAP,MAX(0,($D390+M$5)-PERMANENT_FIELD_LABOR_HOURS)&gt;TEMP_HOURS_CAP),"",$C390+M$6-MIN(($D390+M$5),PERMANENT_FIELD_LABOR_HOURS)*PERMANENT_HOURLY_RATE-MAX(0,($D390+M$5)-PERMANENT_FIELD_LABOR_HOURS)*TEMP_HOURLY_RATE-FIXED_SEASON_COST)</f>
        <v/>
      </c>
      <c r="N390" s="53" t="str">
        <f aca="false">IF(OR($A390&gt;TOMATO_BED_CAP,$B390&gt;CARROT_BED_CAP,N$4&gt;MESCLUN_BED_CAP,$A390+$B390+N$4&gt;TOTAL_BEDS_AVAILABLE,($D390+N$5)&gt;TOTAL_LABOR_HOURS_CAP,MAX(0,($D390+N$5)-PERMANENT_FIELD_LABOR_HOURS)&gt;TEMP_HOURS_CAP),"",$C390+N$6-MIN(($D390+N$5),PERMANENT_FIELD_LABOR_HOURS)*PERMANENT_HOURLY_RATE-MAX(0,($D390+N$5)-PERMANENT_FIELD_LABOR_HOURS)*TEMP_HOURLY_RATE-FIXED_SEASON_COST)</f>
        <v/>
      </c>
      <c r="O390" s="53" t="str">
        <f aca="false">IF(OR($A390&gt;TOMATO_BED_CAP,$B390&gt;CARROT_BED_CAP,O$4&gt;MESCLUN_BED_CAP,$A390+$B390+O$4&gt;TOTAL_BEDS_AVAILABLE,($D390+O$5)&gt;TOTAL_LABOR_HOURS_CAP,MAX(0,($D390+O$5)-PERMANENT_FIELD_LABOR_HOURS)&gt;TEMP_HOURS_CAP),"",$C390+O$6-MIN(($D390+O$5),PERMANENT_FIELD_LABOR_HOURS)*PERMANENT_HOURLY_RATE-MAX(0,($D390+O$5)-PERMANENT_FIELD_LABOR_HOURS)*TEMP_HOURLY_RATE-FIXED_SEASON_COST)</f>
        <v/>
      </c>
      <c r="P390" s="53" t="str">
        <f aca="false">IF(OR($A390&gt;TOMATO_BED_CAP,$B390&gt;CARROT_BED_CAP,P$4&gt;MESCLUN_BED_CAP,$A390+$B390+P$4&gt;TOTAL_BEDS_AVAILABLE,($D390+P$5)&gt;TOTAL_LABOR_HOURS_CAP,MAX(0,($D390+P$5)-PERMANENT_FIELD_LABOR_HOURS)&gt;TEMP_HOURS_CAP),"",$C390+P$6-MIN(($D390+P$5),PERMANENT_FIELD_LABOR_HOURS)*PERMANENT_HOURLY_RATE-MAX(0,($D390+P$5)-PERMANENT_FIELD_LABOR_HOURS)*TEMP_HOURLY_RATE-FIXED_SEASON_COST)</f>
        <v/>
      </c>
      <c r="Q390" s="53" t="str">
        <f aca="false">IF(OR($A390&gt;TOMATO_BED_CAP,$B390&gt;CARROT_BED_CAP,Q$4&gt;MESCLUN_BED_CAP,$A390+$B390+Q$4&gt;TOTAL_BEDS_AVAILABLE,($D390+Q$5)&gt;TOTAL_LABOR_HOURS_CAP,MAX(0,($D390+Q$5)-PERMANENT_FIELD_LABOR_HOURS)&gt;TEMP_HOURS_CAP),"",$C390+Q$6-MIN(($D390+Q$5),PERMANENT_FIELD_LABOR_HOURS)*PERMANENT_HOURLY_RATE-MAX(0,($D390+Q$5)-PERMANENT_FIELD_LABOR_HOURS)*TEMP_HOURLY_RATE-FIXED_SEASON_COST)</f>
        <v/>
      </c>
      <c r="R390" s="53" t="str">
        <f aca="false">IF(OR($A390&gt;TOMATO_BED_CAP,$B390&gt;CARROT_BED_CAP,R$4&gt;MESCLUN_BED_CAP,$A390+$B390+R$4&gt;TOTAL_BEDS_AVAILABLE,($D390+R$5)&gt;TOTAL_LABOR_HOURS_CAP,MAX(0,($D390+R$5)-PERMANENT_FIELD_LABOR_HOURS)&gt;TEMP_HOURS_CAP),"",$C390+R$6-MIN(($D390+R$5),PERMANENT_FIELD_LABOR_HOURS)*PERMANENT_HOURLY_RATE-MAX(0,($D390+R$5)-PERMANENT_FIELD_LABOR_HOURS)*TEMP_HOURLY_RATE-FIXED_SEASON_COST)</f>
        <v/>
      </c>
      <c r="S390" s="53" t="str">
        <f aca="false">IF(OR($A390&gt;TOMATO_BED_CAP,$B390&gt;CARROT_BED_CAP,S$4&gt;MESCLUN_BED_CAP,$A390+$B390+S$4&gt;TOTAL_BEDS_AVAILABLE,($D390+S$5)&gt;TOTAL_LABOR_HOURS_CAP,MAX(0,($D390+S$5)-PERMANENT_FIELD_LABOR_HOURS)&gt;TEMP_HOURS_CAP),"",$C390+S$6-MIN(($D390+S$5),PERMANENT_FIELD_LABOR_HOURS)*PERMANENT_HOURLY_RATE-MAX(0,($D390+S$5)-PERMANENT_FIELD_LABOR_HOURS)*TEMP_HOURLY_RATE-FIXED_SEASON_COST)</f>
        <v/>
      </c>
      <c r="T390" s="53" t="str">
        <f aca="false">IF(OR($A390&gt;TOMATO_BED_CAP,$B390&gt;CARROT_BED_CAP,T$4&gt;MESCLUN_BED_CAP,$A390+$B390+T$4&gt;TOTAL_BEDS_AVAILABLE,($D390+T$5)&gt;TOTAL_LABOR_HOURS_CAP,MAX(0,($D390+T$5)-PERMANENT_FIELD_LABOR_HOURS)&gt;TEMP_HOURS_CAP),"",$C390+T$6-MIN(($D390+T$5),PERMANENT_FIELD_LABOR_HOURS)*PERMANENT_HOURLY_RATE-MAX(0,($D390+T$5)-PERMANENT_FIELD_LABOR_HOURS)*TEMP_HOURLY_RATE-FIXED_SEASON_COST)</f>
        <v/>
      </c>
      <c r="U390" s="53" t="str">
        <f aca="false">IF(OR($A390&gt;TOMATO_BED_CAP,$B390&gt;CARROT_BED_CAP,U$4&gt;MESCLUN_BED_CAP,$A390+$B390+U$4&gt;TOTAL_BEDS_AVAILABLE,($D390+U$5)&gt;TOTAL_LABOR_HOURS_CAP,MAX(0,($D390+U$5)-PERMANENT_FIELD_LABOR_HOURS)&gt;TEMP_HOURS_CAP),"",$C390+U$6-MIN(($D390+U$5),PERMANENT_FIELD_LABOR_HOURS)*PERMANENT_HOURLY_RATE-MAX(0,($D390+U$5)-PERMANENT_FIELD_LABOR_HOURS)*TEMP_HOURLY_RATE-FIXED_SEASON_COST)</f>
        <v/>
      </c>
      <c r="V390" s="53" t="str">
        <f aca="false">IF(OR($A390&gt;TOMATO_BED_CAP,$B390&gt;CARROT_BED_CAP,V$4&gt;MESCLUN_BED_CAP,$A390+$B390+V$4&gt;TOTAL_BEDS_AVAILABLE,($D390+V$5)&gt;TOTAL_LABOR_HOURS_CAP,MAX(0,($D390+V$5)-PERMANENT_FIELD_LABOR_HOURS)&gt;TEMP_HOURS_CAP),"",$C390+V$6-MIN(($D390+V$5),PERMANENT_FIELD_LABOR_HOURS)*PERMANENT_HOURLY_RATE-MAX(0,($D390+V$5)-PERMANENT_FIELD_LABOR_HOURS)*TEMP_HOURLY_RATE-FIXED_SEASON_COST)</f>
        <v/>
      </c>
      <c r="W390" s="53" t="str">
        <f aca="false">IF(OR($A390&gt;TOMATO_BED_CAP,$B390&gt;CARROT_BED_CAP,W$4&gt;MESCLUN_BED_CAP,$A390+$B390+W$4&gt;TOTAL_BEDS_AVAILABLE,($D390+W$5)&gt;TOTAL_LABOR_HOURS_CAP,MAX(0,($D390+W$5)-PERMANENT_FIELD_LABOR_HOURS)&gt;TEMP_HOURS_CAP),"",$C390+W$6-MIN(($D390+W$5),PERMANENT_FIELD_LABOR_HOURS)*PERMANENT_HOURLY_RATE-MAX(0,($D390+W$5)-PERMANENT_FIELD_LABOR_HOURS)*TEMP_HOURLY_RATE-FIXED_SEASON_COST)</f>
        <v/>
      </c>
      <c r="X390" s="53" t="str">
        <f aca="false">IF(OR($A390&gt;TOMATO_BED_CAP,$B390&gt;CARROT_BED_CAP,X$4&gt;MESCLUN_BED_CAP,$A390+$B390+X$4&gt;TOTAL_BEDS_AVAILABLE,($D390+X$5)&gt;TOTAL_LABOR_HOURS_CAP,MAX(0,($D390+X$5)-PERMANENT_FIELD_LABOR_HOURS)&gt;TEMP_HOURS_CAP),"",$C390+X$6-MIN(($D390+X$5),PERMANENT_FIELD_LABOR_HOURS)*PERMANENT_HOURLY_RATE-MAX(0,($D390+X$5)-PERMANENT_FIELD_LABOR_HOURS)*TEMP_HOURLY_RATE-FIXED_SEASON_COST)</f>
        <v/>
      </c>
      <c r="Y390" s="53" t="str">
        <f aca="false">IF(OR($A390&gt;TOMATO_BED_CAP,$B390&gt;CARROT_BED_CAP,Y$4&gt;MESCLUN_BED_CAP,$A390+$B390+Y$4&gt;TOTAL_BEDS_AVAILABLE,($D390+Y$5)&gt;TOTAL_LABOR_HOURS_CAP,MAX(0,($D390+Y$5)-PERMANENT_FIELD_LABOR_HOURS)&gt;TEMP_HOURS_CAP),"",$C390+Y$6-MIN(($D390+Y$5),PERMANENT_FIELD_LABOR_HOURS)*PERMANENT_HOURLY_RATE-MAX(0,($D390+Y$5)-PERMANENT_FIELD_LABOR_HOURS)*TEMP_HOURLY_RATE-FIXED_SEASON_COST)</f>
        <v/>
      </c>
      <c r="Z390" s="53" t="str">
        <f aca="false">IF(OR($A390&gt;TOMATO_BED_CAP,$B390&gt;CARROT_BED_CAP,Z$4&gt;MESCLUN_BED_CAP,$A390+$B390+Z$4&gt;TOTAL_BEDS_AVAILABLE,($D390+Z$5)&gt;TOTAL_LABOR_HOURS_CAP,MAX(0,($D390+Z$5)-PERMANENT_FIELD_LABOR_HOURS)&gt;TEMP_HOURS_CAP),"",$C390+Z$6-MIN(($D390+Z$5),PERMANENT_FIELD_LABOR_HOURS)*PERMANENT_HOURLY_RATE-MAX(0,($D390+Z$5)-PERMANENT_FIELD_LABOR_HOURS)*TEMP_HOURLY_RATE-FIXED_SEASON_COST)</f>
        <v/>
      </c>
      <c r="AA390" s="53" t="str">
        <f aca="false">IF(OR($A390&gt;TOMATO_BED_CAP,$B390&gt;CARROT_BED_CAP,AA$4&gt;MESCLUN_BED_CAP,$A390+$B390+AA$4&gt;TOTAL_BEDS_AVAILABLE,($D390+AA$5)&gt;TOTAL_LABOR_HOURS_CAP,MAX(0,($D390+AA$5)-PERMANENT_FIELD_LABOR_HOURS)&gt;TEMP_HOURS_CAP),"",$C390+AA$6-MIN(($D390+AA$5),PERMANENT_FIELD_LABOR_HOURS)*PERMANENT_HOURLY_RATE-MAX(0,($D390+AA$5)-PERMANENT_FIELD_LABOR_HOURS)*TEMP_HOURLY_RATE-FIXED_SEASON_COST)</f>
        <v/>
      </c>
      <c r="AB390" s="53" t="str">
        <f aca="false">IF(OR($A390&gt;TOMATO_BED_CAP,$B390&gt;CARROT_BED_CAP,AB$4&gt;MESCLUN_BED_CAP,$A390+$B390+AB$4&gt;TOTAL_BEDS_AVAILABLE,($D390+AB$5)&gt;TOTAL_LABOR_HOURS_CAP,MAX(0,($D390+AB$5)-PERMANENT_FIELD_LABOR_HOURS)&gt;TEMP_HOURS_CAP),"",$C390+AB$6-MIN(($D390+AB$5),PERMANENT_FIELD_LABOR_HOURS)*PERMANENT_HOURLY_RATE-MAX(0,($D390+AB$5)-PERMANENT_FIELD_LABOR_HOURS)*TEMP_HOURLY_RATE-FIXED_SEASON_COST)</f>
        <v/>
      </c>
      <c r="AC390" s="53" t="str">
        <f aca="false">IF(OR($A390&gt;TOMATO_BED_CAP,$B390&gt;CARROT_BED_CAP,AC$4&gt;MESCLUN_BED_CAP,$A390+$B390+AC$4&gt;TOTAL_BEDS_AVAILABLE,($D390+AC$5)&gt;TOTAL_LABOR_HOURS_CAP,MAX(0,($D390+AC$5)-PERMANENT_FIELD_LABOR_HOURS)&gt;TEMP_HOURS_CAP),"",$C390+AC$6-MIN(($D390+AC$5),PERMANENT_FIELD_LABOR_HOURS)*PERMANENT_HOURLY_RATE-MAX(0,($D390+AC$5)-PERMANENT_FIELD_LABOR_HOURS)*TEMP_HOURLY_RATE-FIXED_SEASON_COST)</f>
        <v/>
      </c>
      <c r="AD390" s="53" t="str">
        <f aca="false">IF(OR($A390&gt;TOMATO_BED_CAP,$B390&gt;CARROT_BED_CAP,AD$4&gt;MESCLUN_BED_CAP,$A390+$B390+AD$4&gt;TOTAL_BEDS_AVAILABLE,($D390+AD$5)&gt;TOTAL_LABOR_HOURS_CAP,MAX(0,($D390+AD$5)-PERMANENT_FIELD_LABOR_HOURS)&gt;TEMP_HOURS_CAP),"",$C390+AD$6-MIN(($D390+AD$5),PERMANENT_FIELD_LABOR_HOURS)*PERMANENT_HOURLY_RATE-MAX(0,($D390+AD$5)-PERMANENT_FIELD_LABOR_HOURS)*TEMP_HOURLY_RATE-FIXED_SEASON_COST)</f>
        <v/>
      </c>
      <c r="AE390" s="53" t="str">
        <f aca="false">IF(OR($A390&gt;TOMATO_BED_CAP,$B390&gt;CARROT_BED_CAP,AE$4&gt;MESCLUN_BED_CAP,$A390+$B390+AE$4&gt;TOTAL_BEDS_AVAILABLE,($D390+AE$5)&gt;TOTAL_LABOR_HOURS_CAP,MAX(0,($D390+AE$5)-PERMANENT_FIELD_LABOR_HOURS)&gt;TEMP_HOURS_CAP),"",$C390+AE$6-MIN(($D390+AE$5),PERMANENT_FIELD_LABOR_HOURS)*PERMANENT_HOURLY_RATE-MAX(0,($D390+AE$5)-PERMANENT_FIELD_LABOR_HOURS)*TEMP_HOURLY_RATE-FIXED_SEASON_COST)</f>
        <v/>
      </c>
      <c r="AF390" s="53" t="str">
        <f aca="false">IF(OR($A390&gt;TOMATO_BED_CAP,$B390&gt;CARROT_BED_CAP,AF$4&gt;MESCLUN_BED_CAP,$A390+$B390+AF$4&gt;TOTAL_BEDS_AVAILABLE,($D390+AF$5)&gt;TOTAL_LABOR_HOURS_CAP,MAX(0,($D390+AF$5)-PERMANENT_FIELD_LABOR_HOURS)&gt;TEMP_HOURS_CAP),"",$C390+AF$6-MIN(($D390+AF$5),PERMANENT_FIELD_LABOR_HOURS)*PERMANENT_HOURLY_RATE-MAX(0,($D390+AF$5)-PERMANENT_FIELD_LABOR_HOURS)*TEMP_HOURLY_RATE-FIXED_SEASON_COST)</f>
        <v/>
      </c>
      <c r="AG390" s="53" t="str">
        <f aca="false">IF(OR($A390&gt;TOMATO_BED_CAP,$B390&gt;CARROT_BED_CAP,AG$4&gt;MESCLUN_BED_CAP,$A390+$B390+AG$4&gt;TOTAL_BEDS_AVAILABLE,($D390+AG$5)&gt;TOTAL_LABOR_HOURS_CAP,MAX(0,($D390+AG$5)-PERMANENT_FIELD_LABOR_HOURS)&gt;TEMP_HOURS_CAP),"",$C390+AG$6-MIN(($D390+AG$5),PERMANENT_FIELD_LABOR_HOURS)*PERMANENT_HOURLY_RATE-MAX(0,($D390+AG$5)-PERMANENT_FIELD_LABOR_HOURS)*TEMP_HOURLY_RATE-FIXED_SEASON_COST)</f>
        <v/>
      </c>
      <c r="AH390" s="53" t="str">
        <f aca="false">IF(OR($A390&gt;TOMATO_BED_CAP,$B390&gt;CARROT_BED_CAP,AH$4&gt;MESCLUN_BED_CAP,$A390+$B390+AH$4&gt;TOTAL_BEDS_AVAILABLE,($D390+AH$5)&gt;TOTAL_LABOR_HOURS_CAP,MAX(0,($D390+AH$5)-PERMANENT_FIELD_LABOR_HOURS)&gt;TEMP_HOURS_CAP),"",$C390+AH$6-MIN(($D390+AH$5),PERMANENT_FIELD_LABOR_HOURS)*PERMANENT_HOURLY_RATE-MAX(0,($D390+AH$5)-PERMANENT_FIELD_LABOR_HOURS)*TEMP_HOURLY_RATE-FIXED_SEASON_COST)</f>
        <v/>
      </c>
      <c r="AI390" s="53" t="str">
        <f aca="false">IF(OR($A390&gt;TOMATO_BED_CAP,$B390&gt;CARROT_BED_CAP,AI$4&gt;MESCLUN_BED_CAP,$A390+$B390+AI$4&gt;TOTAL_BEDS_AVAILABLE,($D390+AI$5)&gt;TOTAL_LABOR_HOURS_CAP,MAX(0,($D390+AI$5)-PERMANENT_FIELD_LABOR_HOURS)&gt;TEMP_HOURS_CAP),"",$C390+AI$6-MIN(($D390+AI$5),PERMANENT_FIELD_LABOR_HOURS)*PERMANENT_HOURLY_RATE-MAX(0,($D390+AI$5)-PERMANENT_FIELD_LABOR_HOURS)*TEMP_HOURLY_RATE-FIXED_SEASON_COST)</f>
        <v/>
      </c>
      <c r="AJ390" s="53" t="str">
        <f aca="false">IF(OR($A390&gt;TOMATO_BED_CAP,$B390&gt;CARROT_BED_CAP,AJ$4&gt;MESCLUN_BED_CAP,$A390+$B390+AJ$4&gt;TOTAL_BEDS_AVAILABLE,($D390+AJ$5)&gt;TOTAL_LABOR_HOURS_CAP,MAX(0,($D390+AJ$5)-PERMANENT_FIELD_LABOR_HOURS)&gt;TEMP_HOURS_CAP),"",$C390+AJ$6-MIN(($D390+AJ$5),PERMANENT_FIELD_LABOR_HOURS)*PERMANENT_HOURLY_RATE-MAX(0,($D390+AJ$5)-PERMANENT_FIELD_LABOR_HOURS)*TEMP_HOURLY_RATE-FIXED_SEASON_COST)</f>
        <v/>
      </c>
    </row>
    <row r="391" customFormat="false" ht="15" hidden="false" customHeight="false" outlineLevel="0" collapsed="false">
      <c r="A391" s="21" t="n">
        <f aca="false">INT((ROW()-ROW($A$8))/(20+1))</f>
        <v>18</v>
      </c>
      <c r="B391" s="21" t="n">
        <f aca="false">MOD(ROW()-ROW($A$8),20+1)</f>
        <v>5</v>
      </c>
      <c r="C391" s="13" t="n">
        <f aca="false">A391*(TOMATO_REVENUE_PER_BED-TOMATO_FERTILIZER_PER_BED)+B391*(CARROT_REVENUE_PER_BED-CARROT_FERTILIZER_PER_BED)</f>
        <v>150830</v>
      </c>
      <c r="D391" s="14" t="n">
        <f aca="false">INDEX(TOMATO_SCHED_LABOR_HRS,A391+1)+INDEX(CARROT_SCHED_LABOR_HRS,B391+1)</f>
        <v>9176.70939529825</v>
      </c>
      <c r="E391" s="13" t="str">
        <f aca="false">IF(COUNT(F391:AJ391)=0,"",MAX(F391:AJ391))</f>
        <v/>
      </c>
      <c r="F391" s="53" t="str">
        <f aca="false">IF(OR($A391&gt;TOMATO_BED_CAP,$B391&gt;CARROT_BED_CAP,F$4&gt;MESCLUN_BED_CAP,$A391+$B391+F$4&gt;TOTAL_BEDS_AVAILABLE,($D391+F$5)&gt;TOTAL_LABOR_HOURS_CAP,MAX(0,($D391+F$5)-PERMANENT_FIELD_LABOR_HOURS)&gt;TEMP_HOURS_CAP),"",$C391+F$6-MIN(($D391+F$5),PERMANENT_FIELD_LABOR_HOURS)*PERMANENT_HOURLY_RATE-MAX(0,($D391+F$5)-PERMANENT_FIELD_LABOR_HOURS)*TEMP_HOURLY_RATE-FIXED_SEASON_COST)</f>
        <v/>
      </c>
      <c r="G391" s="53" t="str">
        <f aca="false">IF(OR($A391&gt;TOMATO_BED_CAP,$B391&gt;CARROT_BED_CAP,G$4&gt;MESCLUN_BED_CAP,$A391+$B391+G$4&gt;TOTAL_BEDS_AVAILABLE,($D391+G$5)&gt;TOTAL_LABOR_HOURS_CAP,MAX(0,($D391+G$5)-PERMANENT_FIELD_LABOR_HOURS)&gt;TEMP_HOURS_CAP),"",$C391+G$6-MIN(($D391+G$5),PERMANENT_FIELD_LABOR_HOURS)*PERMANENT_HOURLY_RATE-MAX(0,($D391+G$5)-PERMANENT_FIELD_LABOR_HOURS)*TEMP_HOURLY_RATE-FIXED_SEASON_COST)</f>
        <v/>
      </c>
      <c r="H391" s="53" t="str">
        <f aca="false">IF(OR($A391&gt;TOMATO_BED_CAP,$B391&gt;CARROT_BED_CAP,H$4&gt;MESCLUN_BED_CAP,$A391+$B391+H$4&gt;TOTAL_BEDS_AVAILABLE,($D391+H$5)&gt;TOTAL_LABOR_HOURS_CAP,MAX(0,($D391+H$5)-PERMANENT_FIELD_LABOR_HOURS)&gt;TEMP_HOURS_CAP),"",$C391+H$6-MIN(($D391+H$5),PERMANENT_FIELD_LABOR_HOURS)*PERMANENT_HOURLY_RATE-MAX(0,($D391+H$5)-PERMANENT_FIELD_LABOR_HOURS)*TEMP_HOURLY_RATE-FIXED_SEASON_COST)</f>
        <v/>
      </c>
      <c r="I391" s="53" t="str">
        <f aca="false">IF(OR($A391&gt;TOMATO_BED_CAP,$B391&gt;CARROT_BED_CAP,I$4&gt;MESCLUN_BED_CAP,$A391+$B391+I$4&gt;TOTAL_BEDS_AVAILABLE,($D391+I$5)&gt;TOTAL_LABOR_HOURS_CAP,MAX(0,($D391+I$5)-PERMANENT_FIELD_LABOR_HOURS)&gt;TEMP_HOURS_CAP),"",$C391+I$6-MIN(($D391+I$5),PERMANENT_FIELD_LABOR_HOURS)*PERMANENT_HOURLY_RATE-MAX(0,($D391+I$5)-PERMANENT_FIELD_LABOR_HOURS)*TEMP_HOURLY_RATE-FIXED_SEASON_COST)</f>
        <v/>
      </c>
      <c r="J391" s="53" t="str">
        <f aca="false">IF(OR($A391&gt;TOMATO_BED_CAP,$B391&gt;CARROT_BED_CAP,J$4&gt;MESCLUN_BED_CAP,$A391+$B391+J$4&gt;TOTAL_BEDS_AVAILABLE,($D391+J$5)&gt;TOTAL_LABOR_HOURS_CAP,MAX(0,($D391+J$5)-PERMANENT_FIELD_LABOR_HOURS)&gt;TEMP_HOURS_CAP),"",$C391+J$6-MIN(($D391+J$5),PERMANENT_FIELD_LABOR_HOURS)*PERMANENT_HOURLY_RATE-MAX(0,($D391+J$5)-PERMANENT_FIELD_LABOR_HOURS)*TEMP_HOURLY_RATE-FIXED_SEASON_COST)</f>
        <v/>
      </c>
      <c r="K391" s="53" t="str">
        <f aca="false">IF(OR($A391&gt;TOMATO_BED_CAP,$B391&gt;CARROT_BED_CAP,K$4&gt;MESCLUN_BED_CAP,$A391+$B391+K$4&gt;TOTAL_BEDS_AVAILABLE,($D391+K$5)&gt;TOTAL_LABOR_HOURS_CAP,MAX(0,($D391+K$5)-PERMANENT_FIELD_LABOR_HOURS)&gt;TEMP_HOURS_CAP),"",$C391+K$6-MIN(($D391+K$5),PERMANENT_FIELD_LABOR_HOURS)*PERMANENT_HOURLY_RATE-MAX(0,($D391+K$5)-PERMANENT_FIELD_LABOR_HOURS)*TEMP_HOURLY_RATE-FIXED_SEASON_COST)</f>
        <v/>
      </c>
      <c r="L391" s="53" t="str">
        <f aca="false">IF(OR($A391&gt;TOMATO_BED_CAP,$B391&gt;CARROT_BED_CAP,L$4&gt;MESCLUN_BED_CAP,$A391+$B391+L$4&gt;TOTAL_BEDS_AVAILABLE,($D391+L$5)&gt;TOTAL_LABOR_HOURS_CAP,MAX(0,($D391+L$5)-PERMANENT_FIELD_LABOR_HOURS)&gt;TEMP_HOURS_CAP),"",$C391+L$6-MIN(($D391+L$5),PERMANENT_FIELD_LABOR_HOURS)*PERMANENT_HOURLY_RATE-MAX(0,($D391+L$5)-PERMANENT_FIELD_LABOR_HOURS)*TEMP_HOURLY_RATE-FIXED_SEASON_COST)</f>
        <v/>
      </c>
      <c r="M391" s="53" t="str">
        <f aca="false">IF(OR($A391&gt;TOMATO_BED_CAP,$B391&gt;CARROT_BED_CAP,M$4&gt;MESCLUN_BED_CAP,$A391+$B391+M$4&gt;TOTAL_BEDS_AVAILABLE,($D391+M$5)&gt;TOTAL_LABOR_HOURS_CAP,MAX(0,($D391+M$5)-PERMANENT_FIELD_LABOR_HOURS)&gt;TEMP_HOURS_CAP),"",$C391+M$6-MIN(($D391+M$5),PERMANENT_FIELD_LABOR_HOURS)*PERMANENT_HOURLY_RATE-MAX(0,($D391+M$5)-PERMANENT_FIELD_LABOR_HOURS)*TEMP_HOURLY_RATE-FIXED_SEASON_COST)</f>
        <v/>
      </c>
      <c r="N391" s="53" t="str">
        <f aca="false">IF(OR($A391&gt;TOMATO_BED_CAP,$B391&gt;CARROT_BED_CAP,N$4&gt;MESCLUN_BED_CAP,$A391+$B391+N$4&gt;TOTAL_BEDS_AVAILABLE,($D391+N$5)&gt;TOTAL_LABOR_HOURS_CAP,MAX(0,($D391+N$5)-PERMANENT_FIELD_LABOR_HOURS)&gt;TEMP_HOURS_CAP),"",$C391+N$6-MIN(($D391+N$5),PERMANENT_FIELD_LABOR_HOURS)*PERMANENT_HOURLY_RATE-MAX(0,($D391+N$5)-PERMANENT_FIELD_LABOR_HOURS)*TEMP_HOURLY_RATE-FIXED_SEASON_COST)</f>
        <v/>
      </c>
      <c r="O391" s="53" t="str">
        <f aca="false">IF(OR($A391&gt;TOMATO_BED_CAP,$B391&gt;CARROT_BED_CAP,O$4&gt;MESCLUN_BED_CAP,$A391+$B391+O$4&gt;TOTAL_BEDS_AVAILABLE,($D391+O$5)&gt;TOTAL_LABOR_HOURS_CAP,MAX(0,($D391+O$5)-PERMANENT_FIELD_LABOR_HOURS)&gt;TEMP_HOURS_CAP),"",$C391+O$6-MIN(($D391+O$5),PERMANENT_FIELD_LABOR_HOURS)*PERMANENT_HOURLY_RATE-MAX(0,($D391+O$5)-PERMANENT_FIELD_LABOR_HOURS)*TEMP_HOURLY_RATE-FIXED_SEASON_COST)</f>
        <v/>
      </c>
      <c r="P391" s="53" t="str">
        <f aca="false">IF(OR($A391&gt;TOMATO_BED_CAP,$B391&gt;CARROT_BED_CAP,P$4&gt;MESCLUN_BED_CAP,$A391+$B391+P$4&gt;TOTAL_BEDS_AVAILABLE,($D391+P$5)&gt;TOTAL_LABOR_HOURS_CAP,MAX(0,($D391+P$5)-PERMANENT_FIELD_LABOR_HOURS)&gt;TEMP_HOURS_CAP),"",$C391+P$6-MIN(($D391+P$5),PERMANENT_FIELD_LABOR_HOURS)*PERMANENT_HOURLY_RATE-MAX(0,($D391+P$5)-PERMANENT_FIELD_LABOR_HOURS)*TEMP_HOURLY_RATE-FIXED_SEASON_COST)</f>
        <v/>
      </c>
      <c r="Q391" s="53" t="str">
        <f aca="false">IF(OR($A391&gt;TOMATO_BED_CAP,$B391&gt;CARROT_BED_CAP,Q$4&gt;MESCLUN_BED_CAP,$A391+$B391+Q$4&gt;TOTAL_BEDS_AVAILABLE,($D391+Q$5)&gt;TOTAL_LABOR_HOURS_CAP,MAX(0,($D391+Q$5)-PERMANENT_FIELD_LABOR_HOURS)&gt;TEMP_HOURS_CAP),"",$C391+Q$6-MIN(($D391+Q$5),PERMANENT_FIELD_LABOR_HOURS)*PERMANENT_HOURLY_RATE-MAX(0,($D391+Q$5)-PERMANENT_FIELD_LABOR_HOURS)*TEMP_HOURLY_RATE-FIXED_SEASON_COST)</f>
        <v/>
      </c>
      <c r="R391" s="53" t="str">
        <f aca="false">IF(OR($A391&gt;TOMATO_BED_CAP,$B391&gt;CARROT_BED_CAP,R$4&gt;MESCLUN_BED_CAP,$A391+$B391+R$4&gt;TOTAL_BEDS_AVAILABLE,($D391+R$5)&gt;TOTAL_LABOR_HOURS_CAP,MAX(0,($D391+R$5)-PERMANENT_FIELD_LABOR_HOURS)&gt;TEMP_HOURS_CAP),"",$C391+R$6-MIN(($D391+R$5),PERMANENT_FIELD_LABOR_HOURS)*PERMANENT_HOURLY_RATE-MAX(0,($D391+R$5)-PERMANENT_FIELD_LABOR_HOURS)*TEMP_HOURLY_RATE-FIXED_SEASON_COST)</f>
        <v/>
      </c>
      <c r="S391" s="53" t="str">
        <f aca="false">IF(OR($A391&gt;TOMATO_BED_CAP,$B391&gt;CARROT_BED_CAP,S$4&gt;MESCLUN_BED_CAP,$A391+$B391+S$4&gt;TOTAL_BEDS_AVAILABLE,($D391+S$5)&gt;TOTAL_LABOR_HOURS_CAP,MAX(0,($D391+S$5)-PERMANENT_FIELD_LABOR_HOURS)&gt;TEMP_HOURS_CAP),"",$C391+S$6-MIN(($D391+S$5),PERMANENT_FIELD_LABOR_HOURS)*PERMANENT_HOURLY_RATE-MAX(0,($D391+S$5)-PERMANENT_FIELD_LABOR_HOURS)*TEMP_HOURLY_RATE-FIXED_SEASON_COST)</f>
        <v/>
      </c>
      <c r="T391" s="53" t="str">
        <f aca="false">IF(OR($A391&gt;TOMATO_BED_CAP,$B391&gt;CARROT_BED_CAP,T$4&gt;MESCLUN_BED_CAP,$A391+$B391+T$4&gt;TOTAL_BEDS_AVAILABLE,($D391+T$5)&gt;TOTAL_LABOR_HOURS_CAP,MAX(0,($D391+T$5)-PERMANENT_FIELD_LABOR_HOURS)&gt;TEMP_HOURS_CAP),"",$C391+T$6-MIN(($D391+T$5),PERMANENT_FIELD_LABOR_HOURS)*PERMANENT_HOURLY_RATE-MAX(0,($D391+T$5)-PERMANENT_FIELD_LABOR_HOURS)*TEMP_HOURLY_RATE-FIXED_SEASON_COST)</f>
        <v/>
      </c>
      <c r="U391" s="53" t="str">
        <f aca="false">IF(OR($A391&gt;TOMATO_BED_CAP,$B391&gt;CARROT_BED_CAP,U$4&gt;MESCLUN_BED_CAP,$A391+$B391+U$4&gt;TOTAL_BEDS_AVAILABLE,($D391+U$5)&gt;TOTAL_LABOR_HOURS_CAP,MAX(0,($D391+U$5)-PERMANENT_FIELD_LABOR_HOURS)&gt;TEMP_HOURS_CAP),"",$C391+U$6-MIN(($D391+U$5),PERMANENT_FIELD_LABOR_HOURS)*PERMANENT_HOURLY_RATE-MAX(0,($D391+U$5)-PERMANENT_FIELD_LABOR_HOURS)*TEMP_HOURLY_RATE-FIXED_SEASON_COST)</f>
        <v/>
      </c>
      <c r="V391" s="53" t="str">
        <f aca="false">IF(OR($A391&gt;TOMATO_BED_CAP,$B391&gt;CARROT_BED_CAP,V$4&gt;MESCLUN_BED_CAP,$A391+$B391+V$4&gt;TOTAL_BEDS_AVAILABLE,($D391+V$5)&gt;TOTAL_LABOR_HOURS_CAP,MAX(0,($D391+V$5)-PERMANENT_FIELD_LABOR_HOURS)&gt;TEMP_HOURS_CAP),"",$C391+V$6-MIN(($D391+V$5),PERMANENT_FIELD_LABOR_HOURS)*PERMANENT_HOURLY_RATE-MAX(0,($D391+V$5)-PERMANENT_FIELD_LABOR_HOURS)*TEMP_HOURLY_RATE-FIXED_SEASON_COST)</f>
        <v/>
      </c>
      <c r="W391" s="53" t="str">
        <f aca="false">IF(OR($A391&gt;TOMATO_BED_CAP,$B391&gt;CARROT_BED_CAP,W$4&gt;MESCLUN_BED_CAP,$A391+$B391+W$4&gt;TOTAL_BEDS_AVAILABLE,($D391+W$5)&gt;TOTAL_LABOR_HOURS_CAP,MAX(0,($D391+W$5)-PERMANENT_FIELD_LABOR_HOURS)&gt;TEMP_HOURS_CAP),"",$C391+W$6-MIN(($D391+W$5),PERMANENT_FIELD_LABOR_HOURS)*PERMANENT_HOURLY_RATE-MAX(0,($D391+W$5)-PERMANENT_FIELD_LABOR_HOURS)*TEMP_HOURLY_RATE-FIXED_SEASON_COST)</f>
        <v/>
      </c>
      <c r="X391" s="53" t="str">
        <f aca="false">IF(OR($A391&gt;TOMATO_BED_CAP,$B391&gt;CARROT_BED_CAP,X$4&gt;MESCLUN_BED_CAP,$A391+$B391+X$4&gt;TOTAL_BEDS_AVAILABLE,($D391+X$5)&gt;TOTAL_LABOR_HOURS_CAP,MAX(0,($D391+X$5)-PERMANENT_FIELD_LABOR_HOURS)&gt;TEMP_HOURS_CAP),"",$C391+X$6-MIN(($D391+X$5),PERMANENT_FIELD_LABOR_HOURS)*PERMANENT_HOURLY_RATE-MAX(0,($D391+X$5)-PERMANENT_FIELD_LABOR_HOURS)*TEMP_HOURLY_RATE-FIXED_SEASON_COST)</f>
        <v/>
      </c>
      <c r="Y391" s="53" t="str">
        <f aca="false">IF(OR($A391&gt;TOMATO_BED_CAP,$B391&gt;CARROT_BED_CAP,Y$4&gt;MESCLUN_BED_CAP,$A391+$B391+Y$4&gt;TOTAL_BEDS_AVAILABLE,($D391+Y$5)&gt;TOTAL_LABOR_HOURS_CAP,MAX(0,($D391+Y$5)-PERMANENT_FIELD_LABOR_HOURS)&gt;TEMP_HOURS_CAP),"",$C391+Y$6-MIN(($D391+Y$5),PERMANENT_FIELD_LABOR_HOURS)*PERMANENT_HOURLY_RATE-MAX(0,($D391+Y$5)-PERMANENT_FIELD_LABOR_HOURS)*TEMP_HOURLY_RATE-FIXED_SEASON_COST)</f>
        <v/>
      </c>
      <c r="Z391" s="53" t="str">
        <f aca="false">IF(OR($A391&gt;TOMATO_BED_CAP,$B391&gt;CARROT_BED_CAP,Z$4&gt;MESCLUN_BED_CAP,$A391+$B391+Z$4&gt;TOTAL_BEDS_AVAILABLE,($D391+Z$5)&gt;TOTAL_LABOR_HOURS_CAP,MAX(0,($D391+Z$5)-PERMANENT_FIELD_LABOR_HOURS)&gt;TEMP_HOURS_CAP),"",$C391+Z$6-MIN(($D391+Z$5),PERMANENT_FIELD_LABOR_HOURS)*PERMANENT_HOURLY_RATE-MAX(0,($D391+Z$5)-PERMANENT_FIELD_LABOR_HOURS)*TEMP_HOURLY_RATE-FIXED_SEASON_COST)</f>
        <v/>
      </c>
      <c r="AA391" s="53" t="str">
        <f aca="false">IF(OR($A391&gt;TOMATO_BED_CAP,$B391&gt;CARROT_BED_CAP,AA$4&gt;MESCLUN_BED_CAP,$A391+$B391+AA$4&gt;TOTAL_BEDS_AVAILABLE,($D391+AA$5)&gt;TOTAL_LABOR_HOURS_CAP,MAX(0,($D391+AA$5)-PERMANENT_FIELD_LABOR_HOURS)&gt;TEMP_HOURS_CAP),"",$C391+AA$6-MIN(($D391+AA$5),PERMANENT_FIELD_LABOR_HOURS)*PERMANENT_HOURLY_RATE-MAX(0,($D391+AA$5)-PERMANENT_FIELD_LABOR_HOURS)*TEMP_HOURLY_RATE-FIXED_SEASON_COST)</f>
        <v/>
      </c>
      <c r="AB391" s="53" t="str">
        <f aca="false">IF(OR($A391&gt;TOMATO_BED_CAP,$B391&gt;CARROT_BED_CAP,AB$4&gt;MESCLUN_BED_CAP,$A391+$B391+AB$4&gt;TOTAL_BEDS_AVAILABLE,($D391+AB$5)&gt;TOTAL_LABOR_HOURS_CAP,MAX(0,($D391+AB$5)-PERMANENT_FIELD_LABOR_HOURS)&gt;TEMP_HOURS_CAP),"",$C391+AB$6-MIN(($D391+AB$5),PERMANENT_FIELD_LABOR_HOURS)*PERMANENT_HOURLY_RATE-MAX(0,($D391+AB$5)-PERMANENT_FIELD_LABOR_HOURS)*TEMP_HOURLY_RATE-FIXED_SEASON_COST)</f>
        <v/>
      </c>
      <c r="AC391" s="53" t="str">
        <f aca="false">IF(OR($A391&gt;TOMATO_BED_CAP,$B391&gt;CARROT_BED_CAP,AC$4&gt;MESCLUN_BED_CAP,$A391+$B391+AC$4&gt;TOTAL_BEDS_AVAILABLE,($D391+AC$5)&gt;TOTAL_LABOR_HOURS_CAP,MAX(0,($D391+AC$5)-PERMANENT_FIELD_LABOR_HOURS)&gt;TEMP_HOURS_CAP),"",$C391+AC$6-MIN(($D391+AC$5),PERMANENT_FIELD_LABOR_HOURS)*PERMANENT_HOURLY_RATE-MAX(0,($D391+AC$5)-PERMANENT_FIELD_LABOR_HOURS)*TEMP_HOURLY_RATE-FIXED_SEASON_COST)</f>
        <v/>
      </c>
      <c r="AD391" s="53" t="str">
        <f aca="false">IF(OR($A391&gt;TOMATO_BED_CAP,$B391&gt;CARROT_BED_CAP,AD$4&gt;MESCLUN_BED_CAP,$A391+$B391+AD$4&gt;TOTAL_BEDS_AVAILABLE,($D391+AD$5)&gt;TOTAL_LABOR_HOURS_CAP,MAX(0,($D391+AD$5)-PERMANENT_FIELD_LABOR_HOURS)&gt;TEMP_HOURS_CAP),"",$C391+AD$6-MIN(($D391+AD$5),PERMANENT_FIELD_LABOR_HOURS)*PERMANENT_HOURLY_RATE-MAX(0,($D391+AD$5)-PERMANENT_FIELD_LABOR_HOURS)*TEMP_HOURLY_RATE-FIXED_SEASON_COST)</f>
        <v/>
      </c>
      <c r="AE391" s="53" t="str">
        <f aca="false">IF(OR($A391&gt;TOMATO_BED_CAP,$B391&gt;CARROT_BED_CAP,AE$4&gt;MESCLUN_BED_CAP,$A391+$B391+AE$4&gt;TOTAL_BEDS_AVAILABLE,($D391+AE$5)&gt;TOTAL_LABOR_HOURS_CAP,MAX(0,($D391+AE$5)-PERMANENT_FIELD_LABOR_HOURS)&gt;TEMP_HOURS_CAP),"",$C391+AE$6-MIN(($D391+AE$5),PERMANENT_FIELD_LABOR_HOURS)*PERMANENT_HOURLY_RATE-MAX(0,($D391+AE$5)-PERMANENT_FIELD_LABOR_HOURS)*TEMP_HOURLY_RATE-FIXED_SEASON_COST)</f>
        <v/>
      </c>
      <c r="AF391" s="53" t="str">
        <f aca="false">IF(OR($A391&gt;TOMATO_BED_CAP,$B391&gt;CARROT_BED_CAP,AF$4&gt;MESCLUN_BED_CAP,$A391+$B391+AF$4&gt;TOTAL_BEDS_AVAILABLE,($D391+AF$5)&gt;TOTAL_LABOR_HOURS_CAP,MAX(0,($D391+AF$5)-PERMANENT_FIELD_LABOR_HOURS)&gt;TEMP_HOURS_CAP),"",$C391+AF$6-MIN(($D391+AF$5),PERMANENT_FIELD_LABOR_HOURS)*PERMANENT_HOURLY_RATE-MAX(0,($D391+AF$5)-PERMANENT_FIELD_LABOR_HOURS)*TEMP_HOURLY_RATE-FIXED_SEASON_COST)</f>
        <v/>
      </c>
      <c r="AG391" s="53" t="str">
        <f aca="false">IF(OR($A391&gt;TOMATO_BED_CAP,$B391&gt;CARROT_BED_CAP,AG$4&gt;MESCLUN_BED_CAP,$A391+$B391+AG$4&gt;TOTAL_BEDS_AVAILABLE,($D391+AG$5)&gt;TOTAL_LABOR_HOURS_CAP,MAX(0,($D391+AG$5)-PERMANENT_FIELD_LABOR_HOURS)&gt;TEMP_HOURS_CAP),"",$C391+AG$6-MIN(($D391+AG$5),PERMANENT_FIELD_LABOR_HOURS)*PERMANENT_HOURLY_RATE-MAX(0,($D391+AG$5)-PERMANENT_FIELD_LABOR_HOURS)*TEMP_HOURLY_RATE-FIXED_SEASON_COST)</f>
        <v/>
      </c>
      <c r="AH391" s="53" t="str">
        <f aca="false">IF(OR($A391&gt;TOMATO_BED_CAP,$B391&gt;CARROT_BED_CAP,AH$4&gt;MESCLUN_BED_CAP,$A391+$B391+AH$4&gt;TOTAL_BEDS_AVAILABLE,($D391+AH$5)&gt;TOTAL_LABOR_HOURS_CAP,MAX(0,($D391+AH$5)-PERMANENT_FIELD_LABOR_HOURS)&gt;TEMP_HOURS_CAP),"",$C391+AH$6-MIN(($D391+AH$5),PERMANENT_FIELD_LABOR_HOURS)*PERMANENT_HOURLY_RATE-MAX(0,($D391+AH$5)-PERMANENT_FIELD_LABOR_HOURS)*TEMP_HOURLY_RATE-FIXED_SEASON_COST)</f>
        <v/>
      </c>
      <c r="AI391" s="53" t="str">
        <f aca="false">IF(OR($A391&gt;TOMATO_BED_CAP,$B391&gt;CARROT_BED_CAP,AI$4&gt;MESCLUN_BED_CAP,$A391+$B391+AI$4&gt;TOTAL_BEDS_AVAILABLE,($D391+AI$5)&gt;TOTAL_LABOR_HOURS_CAP,MAX(0,($D391+AI$5)-PERMANENT_FIELD_LABOR_HOURS)&gt;TEMP_HOURS_CAP),"",$C391+AI$6-MIN(($D391+AI$5),PERMANENT_FIELD_LABOR_HOURS)*PERMANENT_HOURLY_RATE-MAX(0,($D391+AI$5)-PERMANENT_FIELD_LABOR_HOURS)*TEMP_HOURLY_RATE-FIXED_SEASON_COST)</f>
        <v/>
      </c>
      <c r="AJ391" s="53" t="str">
        <f aca="false">IF(OR($A391&gt;TOMATO_BED_CAP,$B391&gt;CARROT_BED_CAP,AJ$4&gt;MESCLUN_BED_CAP,$A391+$B391+AJ$4&gt;TOTAL_BEDS_AVAILABLE,($D391+AJ$5)&gt;TOTAL_LABOR_HOURS_CAP,MAX(0,($D391+AJ$5)-PERMANENT_FIELD_LABOR_HOURS)&gt;TEMP_HOURS_CAP),"",$C391+AJ$6-MIN(($D391+AJ$5),PERMANENT_FIELD_LABOR_HOURS)*PERMANENT_HOURLY_RATE-MAX(0,($D391+AJ$5)-PERMANENT_FIELD_LABOR_HOURS)*TEMP_HOURLY_RATE-FIXED_SEASON_COST)</f>
        <v/>
      </c>
    </row>
    <row r="392" customFormat="false" ht="15" hidden="false" customHeight="false" outlineLevel="0" collapsed="false">
      <c r="A392" s="21" t="n">
        <f aca="false">INT((ROW()-ROW($A$8))/(20+1))</f>
        <v>18</v>
      </c>
      <c r="B392" s="21" t="n">
        <f aca="false">MOD(ROW()-ROW($A$8),20+1)</f>
        <v>6</v>
      </c>
      <c r="C392" s="13" t="n">
        <f aca="false">A392*(TOMATO_REVENUE_PER_BED-TOMATO_FERTILIZER_PER_BED)+B392*(CARROT_REVENUE_PER_BED-CARROT_FERTILIZER_PER_BED)</f>
        <v>152484</v>
      </c>
      <c r="D392" s="14" t="n">
        <f aca="false">INDEX(TOMATO_SCHED_LABOR_HRS,A392+1)+INDEX(CARROT_SCHED_LABOR_HRS,B392+1)</f>
        <v>9215.72736520964</v>
      </c>
      <c r="E392" s="13" t="str">
        <f aca="false">IF(COUNT(F392:AJ392)=0,"",MAX(F392:AJ392))</f>
        <v/>
      </c>
      <c r="F392" s="53" t="str">
        <f aca="false">IF(OR($A392&gt;TOMATO_BED_CAP,$B392&gt;CARROT_BED_CAP,F$4&gt;MESCLUN_BED_CAP,$A392+$B392+F$4&gt;TOTAL_BEDS_AVAILABLE,($D392+F$5)&gt;TOTAL_LABOR_HOURS_CAP,MAX(0,($D392+F$5)-PERMANENT_FIELD_LABOR_HOURS)&gt;TEMP_HOURS_CAP),"",$C392+F$6-MIN(($D392+F$5),PERMANENT_FIELD_LABOR_HOURS)*PERMANENT_HOURLY_RATE-MAX(0,($D392+F$5)-PERMANENT_FIELD_LABOR_HOURS)*TEMP_HOURLY_RATE-FIXED_SEASON_COST)</f>
        <v/>
      </c>
      <c r="G392" s="53" t="str">
        <f aca="false">IF(OR($A392&gt;TOMATO_BED_CAP,$B392&gt;CARROT_BED_CAP,G$4&gt;MESCLUN_BED_CAP,$A392+$B392+G$4&gt;TOTAL_BEDS_AVAILABLE,($D392+G$5)&gt;TOTAL_LABOR_HOURS_CAP,MAX(0,($D392+G$5)-PERMANENT_FIELD_LABOR_HOURS)&gt;TEMP_HOURS_CAP),"",$C392+G$6-MIN(($D392+G$5),PERMANENT_FIELD_LABOR_HOURS)*PERMANENT_HOURLY_RATE-MAX(0,($D392+G$5)-PERMANENT_FIELD_LABOR_HOURS)*TEMP_HOURLY_RATE-FIXED_SEASON_COST)</f>
        <v/>
      </c>
      <c r="H392" s="53" t="str">
        <f aca="false">IF(OR($A392&gt;TOMATO_BED_CAP,$B392&gt;CARROT_BED_CAP,H$4&gt;MESCLUN_BED_CAP,$A392+$B392+H$4&gt;TOTAL_BEDS_AVAILABLE,($D392+H$5)&gt;TOTAL_LABOR_HOURS_CAP,MAX(0,($D392+H$5)-PERMANENT_FIELD_LABOR_HOURS)&gt;TEMP_HOURS_CAP),"",$C392+H$6-MIN(($D392+H$5),PERMANENT_FIELD_LABOR_HOURS)*PERMANENT_HOURLY_RATE-MAX(0,($D392+H$5)-PERMANENT_FIELD_LABOR_HOURS)*TEMP_HOURLY_RATE-FIXED_SEASON_COST)</f>
        <v/>
      </c>
      <c r="I392" s="53" t="str">
        <f aca="false">IF(OR($A392&gt;TOMATO_BED_CAP,$B392&gt;CARROT_BED_CAP,I$4&gt;MESCLUN_BED_CAP,$A392+$B392+I$4&gt;TOTAL_BEDS_AVAILABLE,($D392+I$5)&gt;TOTAL_LABOR_HOURS_CAP,MAX(0,($D392+I$5)-PERMANENT_FIELD_LABOR_HOURS)&gt;TEMP_HOURS_CAP),"",$C392+I$6-MIN(($D392+I$5),PERMANENT_FIELD_LABOR_HOURS)*PERMANENT_HOURLY_RATE-MAX(0,($D392+I$5)-PERMANENT_FIELD_LABOR_HOURS)*TEMP_HOURLY_RATE-FIXED_SEASON_COST)</f>
        <v/>
      </c>
      <c r="J392" s="53" t="str">
        <f aca="false">IF(OR($A392&gt;TOMATO_BED_CAP,$B392&gt;CARROT_BED_CAP,J$4&gt;MESCLUN_BED_CAP,$A392+$B392+J$4&gt;TOTAL_BEDS_AVAILABLE,($D392+J$5)&gt;TOTAL_LABOR_HOURS_CAP,MAX(0,($D392+J$5)-PERMANENT_FIELD_LABOR_HOURS)&gt;TEMP_HOURS_CAP),"",$C392+J$6-MIN(($D392+J$5),PERMANENT_FIELD_LABOR_HOURS)*PERMANENT_HOURLY_RATE-MAX(0,($D392+J$5)-PERMANENT_FIELD_LABOR_HOURS)*TEMP_HOURLY_RATE-FIXED_SEASON_COST)</f>
        <v/>
      </c>
      <c r="K392" s="53" t="str">
        <f aca="false">IF(OR($A392&gt;TOMATO_BED_CAP,$B392&gt;CARROT_BED_CAP,K$4&gt;MESCLUN_BED_CAP,$A392+$B392+K$4&gt;TOTAL_BEDS_AVAILABLE,($D392+K$5)&gt;TOTAL_LABOR_HOURS_CAP,MAX(0,($D392+K$5)-PERMANENT_FIELD_LABOR_HOURS)&gt;TEMP_HOURS_CAP),"",$C392+K$6-MIN(($D392+K$5),PERMANENT_FIELD_LABOR_HOURS)*PERMANENT_HOURLY_RATE-MAX(0,($D392+K$5)-PERMANENT_FIELD_LABOR_HOURS)*TEMP_HOURLY_RATE-FIXED_SEASON_COST)</f>
        <v/>
      </c>
      <c r="L392" s="53" t="str">
        <f aca="false">IF(OR($A392&gt;TOMATO_BED_CAP,$B392&gt;CARROT_BED_CAP,L$4&gt;MESCLUN_BED_CAP,$A392+$B392+L$4&gt;TOTAL_BEDS_AVAILABLE,($D392+L$5)&gt;TOTAL_LABOR_HOURS_CAP,MAX(0,($D392+L$5)-PERMANENT_FIELD_LABOR_HOURS)&gt;TEMP_HOURS_CAP),"",$C392+L$6-MIN(($D392+L$5),PERMANENT_FIELD_LABOR_HOURS)*PERMANENT_HOURLY_RATE-MAX(0,($D392+L$5)-PERMANENT_FIELD_LABOR_HOURS)*TEMP_HOURLY_RATE-FIXED_SEASON_COST)</f>
        <v/>
      </c>
      <c r="M392" s="53" t="str">
        <f aca="false">IF(OR($A392&gt;TOMATO_BED_CAP,$B392&gt;CARROT_BED_CAP,M$4&gt;MESCLUN_BED_CAP,$A392+$B392+M$4&gt;TOTAL_BEDS_AVAILABLE,($D392+M$5)&gt;TOTAL_LABOR_HOURS_CAP,MAX(0,($D392+M$5)-PERMANENT_FIELD_LABOR_HOURS)&gt;TEMP_HOURS_CAP),"",$C392+M$6-MIN(($D392+M$5),PERMANENT_FIELD_LABOR_HOURS)*PERMANENT_HOURLY_RATE-MAX(0,($D392+M$5)-PERMANENT_FIELD_LABOR_HOURS)*TEMP_HOURLY_RATE-FIXED_SEASON_COST)</f>
        <v/>
      </c>
      <c r="N392" s="53" t="str">
        <f aca="false">IF(OR($A392&gt;TOMATO_BED_CAP,$B392&gt;CARROT_BED_CAP,N$4&gt;MESCLUN_BED_CAP,$A392+$B392+N$4&gt;TOTAL_BEDS_AVAILABLE,($D392+N$5)&gt;TOTAL_LABOR_HOURS_CAP,MAX(0,($D392+N$5)-PERMANENT_FIELD_LABOR_HOURS)&gt;TEMP_HOURS_CAP),"",$C392+N$6-MIN(($D392+N$5),PERMANENT_FIELD_LABOR_HOURS)*PERMANENT_HOURLY_RATE-MAX(0,($D392+N$5)-PERMANENT_FIELD_LABOR_HOURS)*TEMP_HOURLY_RATE-FIXED_SEASON_COST)</f>
        <v/>
      </c>
      <c r="O392" s="53" t="str">
        <f aca="false">IF(OR($A392&gt;TOMATO_BED_CAP,$B392&gt;CARROT_BED_CAP,O$4&gt;MESCLUN_BED_CAP,$A392+$B392+O$4&gt;TOTAL_BEDS_AVAILABLE,($D392+O$5)&gt;TOTAL_LABOR_HOURS_CAP,MAX(0,($D392+O$5)-PERMANENT_FIELD_LABOR_HOURS)&gt;TEMP_HOURS_CAP),"",$C392+O$6-MIN(($D392+O$5),PERMANENT_FIELD_LABOR_HOURS)*PERMANENT_HOURLY_RATE-MAX(0,($D392+O$5)-PERMANENT_FIELD_LABOR_HOURS)*TEMP_HOURLY_RATE-FIXED_SEASON_COST)</f>
        <v/>
      </c>
      <c r="P392" s="53" t="str">
        <f aca="false">IF(OR($A392&gt;TOMATO_BED_CAP,$B392&gt;CARROT_BED_CAP,P$4&gt;MESCLUN_BED_CAP,$A392+$B392+P$4&gt;TOTAL_BEDS_AVAILABLE,($D392+P$5)&gt;TOTAL_LABOR_HOURS_CAP,MAX(0,($D392+P$5)-PERMANENT_FIELD_LABOR_HOURS)&gt;TEMP_HOURS_CAP),"",$C392+P$6-MIN(($D392+P$5),PERMANENT_FIELD_LABOR_HOURS)*PERMANENT_HOURLY_RATE-MAX(0,($D392+P$5)-PERMANENT_FIELD_LABOR_HOURS)*TEMP_HOURLY_RATE-FIXED_SEASON_COST)</f>
        <v/>
      </c>
      <c r="Q392" s="53" t="str">
        <f aca="false">IF(OR($A392&gt;TOMATO_BED_CAP,$B392&gt;CARROT_BED_CAP,Q$4&gt;MESCLUN_BED_CAP,$A392+$B392+Q$4&gt;TOTAL_BEDS_AVAILABLE,($D392+Q$5)&gt;TOTAL_LABOR_HOURS_CAP,MAX(0,($D392+Q$5)-PERMANENT_FIELD_LABOR_HOURS)&gt;TEMP_HOURS_CAP),"",$C392+Q$6-MIN(($D392+Q$5),PERMANENT_FIELD_LABOR_HOURS)*PERMANENT_HOURLY_RATE-MAX(0,($D392+Q$5)-PERMANENT_FIELD_LABOR_HOURS)*TEMP_HOURLY_RATE-FIXED_SEASON_COST)</f>
        <v/>
      </c>
      <c r="R392" s="53" t="str">
        <f aca="false">IF(OR($A392&gt;TOMATO_BED_CAP,$B392&gt;CARROT_BED_CAP,R$4&gt;MESCLUN_BED_CAP,$A392+$B392+R$4&gt;TOTAL_BEDS_AVAILABLE,($D392+R$5)&gt;TOTAL_LABOR_HOURS_CAP,MAX(0,($D392+R$5)-PERMANENT_FIELD_LABOR_HOURS)&gt;TEMP_HOURS_CAP),"",$C392+R$6-MIN(($D392+R$5),PERMANENT_FIELD_LABOR_HOURS)*PERMANENT_HOURLY_RATE-MAX(0,($D392+R$5)-PERMANENT_FIELD_LABOR_HOURS)*TEMP_HOURLY_RATE-FIXED_SEASON_COST)</f>
        <v/>
      </c>
      <c r="S392" s="53" t="str">
        <f aca="false">IF(OR($A392&gt;TOMATO_BED_CAP,$B392&gt;CARROT_BED_CAP,S$4&gt;MESCLUN_BED_CAP,$A392+$B392+S$4&gt;TOTAL_BEDS_AVAILABLE,($D392+S$5)&gt;TOTAL_LABOR_HOURS_CAP,MAX(0,($D392+S$5)-PERMANENT_FIELD_LABOR_HOURS)&gt;TEMP_HOURS_CAP),"",$C392+S$6-MIN(($D392+S$5),PERMANENT_FIELD_LABOR_HOURS)*PERMANENT_HOURLY_RATE-MAX(0,($D392+S$5)-PERMANENT_FIELD_LABOR_HOURS)*TEMP_HOURLY_RATE-FIXED_SEASON_COST)</f>
        <v/>
      </c>
      <c r="T392" s="53" t="str">
        <f aca="false">IF(OR($A392&gt;TOMATO_BED_CAP,$B392&gt;CARROT_BED_CAP,T$4&gt;MESCLUN_BED_CAP,$A392+$B392+T$4&gt;TOTAL_BEDS_AVAILABLE,($D392+T$5)&gt;TOTAL_LABOR_HOURS_CAP,MAX(0,($D392+T$5)-PERMANENT_FIELD_LABOR_HOURS)&gt;TEMP_HOURS_CAP),"",$C392+T$6-MIN(($D392+T$5),PERMANENT_FIELD_LABOR_HOURS)*PERMANENT_HOURLY_RATE-MAX(0,($D392+T$5)-PERMANENT_FIELD_LABOR_HOURS)*TEMP_HOURLY_RATE-FIXED_SEASON_COST)</f>
        <v/>
      </c>
      <c r="U392" s="53" t="str">
        <f aca="false">IF(OR($A392&gt;TOMATO_BED_CAP,$B392&gt;CARROT_BED_CAP,U$4&gt;MESCLUN_BED_CAP,$A392+$B392+U$4&gt;TOTAL_BEDS_AVAILABLE,($D392+U$5)&gt;TOTAL_LABOR_HOURS_CAP,MAX(0,($D392+U$5)-PERMANENT_FIELD_LABOR_HOURS)&gt;TEMP_HOURS_CAP),"",$C392+U$6-MIN(($D392+U$5),PERMANENT_FIELD_LABOR_HOURS)*PERMANENT_HOURLY_RATE-MAX(0,($D392+U$5)-PERMANENT_FIELD_LABOR_HOURS)*TEMP_HOURLY_RATE-FIXED_SEASON_COST)</f>
        <v/>
      </c>
      <c r="V392" s="53" t="str">
        <f aca="false">IF(OR($A392&gt;TOMATO_BED_CAP,$B392&gt;CARROT_BED_CAP,V$4&gt;MESCLUN_BED_CAP,$A392+$B392+V$4&gt;TOTAL_BEDS_AVAILABLE,($D392+V$5)&gt;TOTAL_LABOR_HOURS_CAP,MAX(0,($D392+V$5)-PERMANENT_FIELD_LABOR_HOURS)&gt;TEMP_HOURS_CAP),"",$C392+V$6-MIN(($D392+V$5),PERMANENT_FIELD_LABOR_HOURS)*PERMANENT_HOURLY_RATE-MAX(0,($D392+V$5)-PERMANENT_FIELD_LABOR_HOURS)*TEMP_HOURLY_RATE-FIXED_SEASON_COST)</f>
        <v/>
      </c>
      <c r="W392" s="53" t="str">
        <f aca="false">IF(OR($A392&gt;TOMATO_BED_CAP,$B392&gt;CARROT_BED_CAP,W$4&gt;MESCLUN_BED_CAP,$A392+$B392+W$4&gt;TOTAL_BEDS_AVAILABLE,($D392+W$5)&gt;TOTAL_LABOR_HOURS_CAP,MAX(0,($D392+W$5)-PERMANENT_FIELD_LABOR_HOURS)&gt;TEMP_HOURS_CAP),"",$C392+W$6-MIN(($D392+W$5),PERMANENT_FIELD_LABOR_HOURS)*PERMANENT_HOURLY_RATE-MAX(0,($D392+W$5)-PERMANENT_FIELD_LABOR_HOURS)*TEMP_HOURLY_RATE-FIXED_SEASON_COST)</f>
        <v/>
      </c>
      <c r="X392" s="53" t="str">
        <f aca="false">IF(OR($A392&gt;TOMATO_BED_CAP,$B392&gt;CARROT_BED_CAP,X$4&gt;MESCLUN_BED_CAP,$A392+$B392+X$4&gt;TOTAL_BEDS_AVAILABLE,($D392+X$5)&gt;TOTAL_LABOR_HOURS_CAP,MAX(0,($D392+X$5)-PERMANENT_FIELD_LABOR_HOURS)&gt;TEMP_HOURS_CAP),"",$C392+X$6-MIN(($D392+X$5),PERMANENT_FIELD_LABOR_HOURS)*PERMANENT_HOURLY_RATE-MAX(0,($D392+X$5)-PERMANENT_FIELD_LABOR_HOURS)*TEMP_HOURLY_RATE-FIXED_SEASON_COST)</f>
        <v/>
      </c>
      <c r="Y392" s="53" t="str">
        <f aca="false">IF(OR($A392&gt;TOMATO_BED_CAP,$B392&gt;CARROT_BED_CAP,Y$4&gt;MESCLUN_BED_CAP,$A392+$B392+Y$4&gt;TOTAL_BEDS_AVAILABLE,($D392+Y$5)&gt;TOTAL_LABOR_HOURS_CAP,MAX(0,($D392+Y$5)-PERMANENT_FIELD_LABOR_HOURS)&gt;TEMP_HOURS_CAP),"",$C392+Y$6-MIN(($D392+Y$5),PERMANENT_FIELD_LABOR_HOURS)*PERMANENT_HOURLY_RATE-MAX(0,($D392+Y$5)-PERMANENT_FIELD_LABOR_HOURS)*TEMP_HOURLY_RATE-FIXED_SEASON_COST)</f>
        <v/>
      </c>
      <c r="Z392" s="53" t="str">
        <f aca="false">IF(OR($A392&gt;TOMATO_BED_CAP,$B392&gt;CARROT_BED_CAP,Z$4&gt;MESCLUN_BED_CAP,$A392+$B392+Z$4&gt;TOTAL_BEDS_AVAILABLE,($D392+Z$5)&gt;TOTAL_LABOR_HOURS_CAP,MAX(0,($D392+Z$5)-PERMANENT_FIELD_LABOR_HOURS)&gt;TEMP_HOURS_CAP),"",$C392+Z$6-MIN(($D392+Z$5),PERMANENT_FIELD_LABOR_HOURS)*PERMANENT_HOURLY_RATE-MAX(0,($D392+Z$5)-PERMANENT_FIELD_LABOR_HOURS)*TEMP_HOURLY_RATE-FIXED_SEASON_COST)</f>
        <v/>
      </c>
      <c r="AA392" s="53" t="str">
        <f aca="false">IF(OR($A392&gt;TOMATO_BED_CAP,$B392&gt;CARROT_BED_CAP,AA$4&gt;MESCLUN_BED_CAP,$A392+$B392+AA$4&gt;TOTAL_BEDS_AVAILABLE,($D392+AA$5)&gt;TOTAL_LABOR_HOURS_CAP,MAX(0,($D392+AA$5)-PERMANENT_FIELD_LABOR_HOURS)&gt;TEMP_HOURS_CAP),"",$C392+AA$6-MIN(($D392+AA$5),PERMANENT_FIELD_LABOR_HOURS)*PERMANENT_HOURLY_RATE-MAX(0,($D392+AA$5)-PERMANENT_FIELD_LABOR_HOURS)*TEMP_HOURLY_RATE-FIXED_SEASON_COST)</f>
        <v/>
      </c>
      <c r="AB392" s="53" t="str">
        <f aca="false">IF(OR($A392&gt;TOMATO_BED_CAP,$B392&gt;CARROT_BED_CAP,AB$4&gt;MESCLUN_BED_CAP,$A392+$B392+AB$4&gt;TOTAL_BEDS_AVAILABLE,($D392+AB$5)&gt;TOTAL_LABOR_HOURS_CAP,MAX(0,($D392+AB$5)-PERMANENT_FIELD_LABOR_HOURS)&gt;TEMP_HOURS_CAP),"",$C392+AB$6-MIN(($D392+AB$5),PERMANENT_FIELD_LABOR_HOURS)*PERMANENT_HOURLY_RATE-MAX(0,($D392+AB$5)-PERMANENT_FIELD_LABOR_HOURS)*TEMP_HOURLY_RATE-FIXED_SEASON_COST)</f>
        <v/>
      </c>
      <c r="AC392" s="53" t="str">
        <f aca="false">IF(OR($A392&gt;TOMATO_BED_CAP,$B392&gt;CARROT_BED_CAP,AC$4&gt;MESCLUN_BED_CAP,$A392+$B392+AC$4&gt;TOTAL_BEDS_AVAILABLE,($D392+AC$5)&gt;TOTAL_LABOR_HOURS_CAP,MAX(0,($D392+AC$5)-PERMANENT_FIELD_LABOR_HOURS)&gt;TEMP_HOURS_CAP),"",$C392+AC$6-MIN(($D392+AC$5),PERMANENT_FIELD_LABOR_HOURS)*PERMANENT_HOURLY_RATE-MAX(0,($D392+AC$5)-PERMANENT_FIELD_LABOR_HOURS)*TEMP_HOURLY_RATE-FIXED_SEASON_COST)</f>
        <v/>
      </c>
      <c r="AD392" s="53" t="str">
        <f aca="false">IF(OR($A392&gt;TOMATO_BED_CAP,$B392&gt;CARROT_BED_CAP,AD$4&gt;MESCLUN_BED_CAP,$A392+$B392+AD$4&gt;TOTAL_BEDS_AVAILABLE,($D392+AD$5)&gt;TOTAL_LABOR_HOURS_CAP,MAX(0,($D392+AD$5)-PERMANENT_FIELD_LABOR_HOURS)&gt;TEMP_HOURS_CAP),"",$C392+AD$6-MIN(($D392+AD$5),PERMANENT_FIELD_LABOR_HOURS)*PERMANENT_HOURLY_RATE-MAX(0,($D392+AD$5)-PERMANENT_FIELD_LABOR_HOURS)*TEMP_HOURLY_RATE-FIXED_SEASON_COST)</f>
        <v/>
      </c>
      <c r="AE392" s="53" t="str">
        <f aca="false">IF(OR($A392&gt;TOMATO_BED_CAP,$B392&gt;CARROT_BED_CAP,AE$4&gt;MESCLUN_BED_CAP,$A392+$B392+AE$4&gt;TOTAL_BEDS_AVAILABLE,($D392+AE$5)&gt;TOTAL_LABOR_HOURS_CAP,MAX(0,($D392+AE$5)-PERMANENT_FIELD_LABOR_HOURS)&gt;TEMP_HOURS_CAP),"",$C392+AE$6-MIN(($D392+AE$5),PERMANENT_FIELD_LABOR_HOURS)*PERMANENT_HOURLY_RATE-MAX(0,($D392+AE$5)-PERMANENT_FIELD_LABOR_HOURS)*TEMP_HOURLY_RATE-FIXED_SEASON_COST)</f>
        <v/>
      </c>
      <c r="AF392" s="53" t="str">
        <f aca="false">IF(OR($A392&gt;TOMATO_BED_CAP,$B392&gt;CARROT_BED_CAP,AF$4&gt;MESCLUN_BED_CAP,$A392+$B392+AF$4&gt;TOTAL_BEDS_AVAILABLE,($D392+AF$5)&gt;TOTAL_LABOR_HOURS_CAP,MAX(0,($D392+AF$5)-PERMANENT_FIELD_LABOR_HOURS)&gt;TEMP_HOURS_CAP),"",$C392+AF$6-MIN(($D392+AF$5),PERMANENT_FIELD_LABOR_HOURS)*PERMANENT_HOURLY_RATE-MAX(0,($D392+AF$5)-PERMANENT_FIELD_LABOR_HOURS)*TEMP_HOURLY_RATE-FIXED_SEASON_COST)</f>
        <v/>
      </c>
      <c r="AG392" s="53" t="str">
        <f aca="false">IF(OR($A392&gt;TOMATO_BED_CAP,$B392&gt;CARROT_BED_CAP,AG$4&gt;MESCLUN_BED_CAP,$A392+$B392+AG$4&gt;TOTAL_BEDS_AVAILABLE,($D392+AG$5)&gt;TOTAL_LABOR_HOURS_CAP,MAX(0,($D392+AG$5)-PERMANENT_FIELD_LABOR_HOURS)&gt;TEMP_HOURS_CAP),"",$C392+AG$6-MIN(($D392+AG$5),PERMANENT_FIELD_LABOR_HOURS)*PERMANENT_HOURLY_RATE-MAX(0,($D392+AG$5)-PERMANENT_FIELD_LABOR_HOURS)*TEMP_HOURLY_RATE-FIXED_SEASON_COST)</f>
        <v/>
      </c>
      <c r="AH392" s="53" t="str">
        <f aca="false">IF(OR($A392&gt;TOMATO_BED_CAP,$B392&gt;CARROT_BED_CAP,AH$4&gt;MESCLUN_BED_CAP,$A392+$B392+AH$4&gt;TOTAL_BEDS_AVAILABLE,($D392+AH$5)&gt;TOTAL_LABOR_HOURS_CAP,MAX(0,($D392+AH$5)-PERMANENT_FIELD_LABOR_HOURS)&gt;TEMP_HOURS_CAP),"",$C392+AH$6-MIN(($D392+AH$5),PERMANENT_FIELD_LABOR_HOURS)*PERMANENT_HOURLY_RATE-MAX(0,($D392+AH$5)-PERMANENT_FIELD_LABOR_HOURS)*TEMP_HOURLY_RATE-FIXED_SEASON_COST)</f>
        <v/>
      </c>
      <c r="AI392" s="53" t="str">
        <f aca="false">IF(OR($A392&gt;TOMATO_BED_CAP,$B392&gt;CARROT_BED_CAP,AI$4&gt;MESCLUN_BED_CAP,$A392+$B392+AI$4&gt;TOTAL_BEDS_AVAILABLE,($D392+AI$5)&gt;TOTAL_LABOR_HOURS_CAP,MAX(0,($D392+AI$5)-PERMANENT_FIELD_LABOR_HOURS)&gt;TEMP_HOURS_CAP),"",$C392+AI$6-MIN(($D392+AI$5),PERMANENT_FIELD_LABOR_HOURS)*PERMANENT_HOURLY_RATE-MAX(0,($D392+AI$5)-PERMANENT_FIELD_LABOR_HOURS)*TEMP_HOURLY_RATE-FIXED_SEASON_COST)</f>
        <v/>
      </c>
      <c r="AJ392" s="53" t="str">
        <f aca="false">IF(OR($A392&gt;TOMATO_BED_CAP,$B392&gt;CARROT_BED_CAP,AJ$4&gt;MESCLUN_BED_CAP,$A392+$B392+AJ$4&gt;TOTAL_BEDS_AVAILABLE,($D392+AJ$5)&gt;TOTAL_LABOR_HOURS_CAP,MAX(0,($D392+AJ$5)-PERMANENT_FIELD_LABOR_HOURS)&gt;TEMP_HOURS_CAP),"",$C392+AJ$6-MIN(($D392+AJ$5),PERMANENT_FIELD_LABOR_HOURS)*PERMANENT_HOURLY_RATE-MAX(0,($D392+AJ$5)-PERMANENT_FIELD_LABOR_HOURS)*TEMP_HOURLY_RATE-FIXED_SEASON_COST)</f>
        <v/>
      </c>
    </row>
    <row r="393" customFormat="false" ht="15" hidden="false" customHeight="false" outlineLevel="0" collapsed="false">
      <c r="A393" s="21" t="n">
        <f aca="false">INT((ROW()-ROW($A$8))/(20+1))</f>
        <v>18</v>
      </c>
      <c r="B393" s="21" t="n">
        <f aca="false">MOD(ROW()-ROW($A$8),20+1)</f>
        <v>7</v>
      </c>
      <c r="C393" s="13" t="n">
        <f aca="false">A393*(TOMATO_REVENUE_PER_BED-TOMATO_FERTILIZER_PER_BED)+B393*(CARROT_REVENUE_PER_BED-CARROT_FERTILIZER_PER_BED)</f>
        <v>154138</v>
      </c>
      <c r="D393" s="14" t="n">
        <f aca="false">INDEX(TOMATO_SCHED_LABOR_HRS,A393+1)+INDEX(CARROT_SCHED_LABOR_HRS,B393+1)</f>
        <v>9256.59020652445</v>
      </c>
      <c r="E393" s="13" t="str">
        <f aca="false">IF(COUNT(F393:AJ393)=0,"",MAX(F393:AJ393))</f>
        <v/>
      </c>
      <c r="F393" s="53" t="str">
        <f aca="false">IF(OR($A393&gt;TOMATO_BED_CAP,$B393&gt;CARROT_BED_CAP,F$4&gt;MESCLUN_BED_CAP,$A393+$B393+F$4&gt;TOTAL_BEDS_AVAILABLE,($D393+F$5)&gt;TOTAL_LABOR_HOURS_CAP,MAX(0,($D393+F$5)-PERMANENT_FIELD_LABOR_HOURS)&gt;TEMP_HOURS_CAP),"",$C393+F$6-MIN(($D393+F$5),PERMANENT_FIELD_LABOR_HOURS)*PERMANENT_HOURLY_RATE-MAX(0,($D393+F$5)-PERMANENT_FIELD_LABOR_HOURS)*TEMP_HOURLY_RATE-FIXED_SEASON_COST)</f>
        <v/>
      </c>
      <c r="G393" s="53" t="str">
        <f aca="false">IF(OR($A393&gt;TOMATO_BED_CAP,$B393&gt;CARROT_BED_CAP,G$4&gt;MESCLUN_BED_CAP,$A393+$B393+G$4&gt;TOTAL_BEDS_AVAILABLE,($D393+G$5)&gt;TOTAL_LABOR_HOURS_CAP,MAX(0,($D393+G$5)-PERMANENT_FIELD_LABOR_HOURS)&gt;TEMP_HOURS_CAP),"",$C393+G$6-MIN(($D393+G$5),PERMANENT_FIELD_LABOR_HOURS)*PERMANENT_HOURLY_RATE-MAX(0,($D393+G$5)-PERMANENT_FIELD_LABOR_HOURS)*TEMP_HOURLY_RATE-FIXED_SEASON_COST)</f>
        <v/>
      </c>
      <c r="H393" s="53" t="str">
        <f aca="false">IF(OR($A393&gt;TOMATO_BED_CAP,$B393&gt;CARROT_BED_CAP,H$4&gt;MESCLUN_BED_CAP,$A393+$B393+H$4&gt;TOTAL_BEDS_AVAILABLE,($D393+H$5)&gt;TOTAL_LABOR_HOURS_CAP,MAX(0,($D393+H$5)-PERMANENT_FIELD_LABOR_HOURS)&gt;TEMP_HOURS_CAP),"",$C393+H$6-MIN(($D393+H$5),PERMANENT_FIELD_LABOR_HOURS)*PERMANENT_HOURLY_RATE-MAX(0,($D393+H$5)-PERMANENT_FIELD_LABOR_HOURS)*TEMP_HOURLY_RATE-FIXED_SEASON_COST)</f>
        <v/>
      </c>
      <c r="I393" s="53" t="str">
        <f aca="false">IF(OR($A393&gt;TOMATO_BED_CAP,$B393&gt;CARROT_BED_CAP,I$4&gt;MESCLUN_BED_CAP,$A393+$B393+I$4&gt;TOTAL_BEDS_AVAILABLE,($D393+I$5)&gt;TOTAL_LABOR_HOURS_CAP,MAX(0,($D393+I$5)-PERMANENT_FIELD_LABOR_HOURS)&gt;TEMP_HOURS_CAP),"",$C393+I$6-MIN(($D393+I$5),PERMANENT_FIELD_LABOR_HOURS)*PERMANENT_HOURLY_RATE-MAX(0,($D393+I$5)-PERMANENT_FIELD_LABOR_HOURS)*TEMP_HOURLY_RATE-FIXED_SEASON_COST)</f>
        <v/>
      </c>
      <c r="J393" s="53" t="str">
        <f aca="false">IF(OR($A393&gt;TOMATO_BED_CAP,$B393&gt;CARROT_BED_CAP,J$4&gt;MESCLUN_BED_CAP,$A393+$B393+J$4&gt;TOTAL_BEDS_AVAILABLE,($D393+J$5)&gt;TOTAL_LABOR_HOURS_CAP,MAX(0,($D393+J$5)-PERMANENT_FIELD_LABOR_HOURS)&gt;TEMP_HOURS_CAP),"",$C393+J$6-MIN(($D393+J$5),PERMANENT_FIELD_LABOR_HOURS)*PERMANENT_HOURLY_RATE-MAX(0,($D393+J$5)-PERMANENT_FIELD_LABOR_HOURS)*TEMP_HOURLY_RATE-FIXED_SEASON_COST)</f>
        <v/>
      </c>
      <c r="K393" s="53" t="str">
        <f aca="false">IF(OR($A393&gt;TOMATO_BED_CAP,$B393&gt;CARROT_BED_CAP,K$4&gt;MESCLUN_BED_CAP,$A393+$B393+K$4&gt;TOTAL_BEDS_AVAILABLE,($D393+K$5)&gt;TOTAL_LABOR_HOURS_CAP,MAX(0,($D393+K$5)-PERMANENT_FIELD_LABOR_HOURS)&gt;TEMP_HOURS_CAP),"",$C393+K$6-MIN(($D393+K$5),PERMANENT_FIELD_LABOR_HOURS)*PERMANENT_HOURLY_RATE-MAX(0,($D393+K$5)-PERMANENT_FIELD_LABOR_HOURS)*TEMP_HOURLY_RATE-FIXED_SEASON_COST)</f>
        <v/>
      </c>
      <c r="L393" s="53" t="str">
        <f aca="false">IF(OR($A393&gt;TOMATO_BED_CAP,$B393&gt;CARROT_BED_CAP,L$4&gt;MESCLUN_BED_CAP,$A393+$B393+L$4&gt;TOTAL_BEDS_AVAILABLE,($D393+L$5)&gt;TOTAL_LABOR_HOURS_CAP,MAX(0,($D393+L$5)-PERMANENT_FIELD_LABOR_HOURS)&gt;TEMP_HOURS_CAP),"",$C393+L$6-MIN(($D393+L$5),PERMANENT_FIELD_LABOR_HOURS)*PERMANENT_HOURLY_RATE-MAX(0,($D393+L$5)-PERMANENT_FIELD_LABOR_HOURS)*TEMP_HOURLY_RATE-FIXED_SEASON_COST)</f>
        <v/>
      </c>
      <c r="M393" s="53" t="str">
        <f aca="false">IF(OR($A393&gt;TOMATO_BED_CAP,$B393&gt;CARROT_BED_CAP,M$4&gt;MESCLUN_BED_CAP,$A393+$B393+M$4&gt;TOTAL_BEDS_AVAILABLE,($D393+M$5)&gt;TOTAL_LABOR_HOURS_CAP,MAX(0,($D393+M$5)-PERMANENT_FIELD_LABOR_HOURS)&gt;TEMP_HOURS_CAP),"",$C393+M$6-MIN(($D393+M$5),PERMANENT_FIELD_LABOR_HOURS)*PERMANENT_HOURLY_RATE-MAX(0,($D393+M$5)-PERMANENT_FIELD_LABOR_HOURS)*TEMP_HOURLY_RATE-FIXED_SEASON_COST)</f>
        <v/>
      </c>
      <c r="N393" s="53" t="str">
        <f aca="false">IF(OR($A393&gt;TOMATO_BED_CAP,$B393&gt;CARROT_BED_CAP,N$4&gt;MESCLUN_BED_CAP,$A393+$B393+N$4&gt;TOTAL_BEDS_AVAILABLE,($D393+N$5)&gt;TOTAL_LABOR_HOURS_CAP,MAX(0,($D393+N$5)-PERMANENT_FIELD_LABOR_HOURS)&gt;TEMP_HOURS_CAP),"",$C393+N$6-MIN(($D393+N$5),PERMANENT_FIELD_LABOR_HOURS)*PERMANENT_HOURLY_RATE-MAX(0,($D393+N$5)-PERMANENT_FIELD_LABOR_HOURS)*TEMP_HOURLY_RATE-FIXED_SEASON_COST)</f>
        <v/>
      </c>
      <c r="O393" s="53" t="str">
        <f aca="false">IF(OR($A393&gt;TOMATO_BED_CAP,$B393&gt;CARROT_BED_CAP,O$4&gt;MESCLUN_BED_CAP,$A393+$B393+O$4&gt;TOTAL_BEDS_AVAILABLE,($D393+O$5)&gt;TOTAL_LABOR_HOURS_CAP,MAX(0,($D393+O$5)-PERMANENT_FIELD_LABOR_HOURS)&gt;TEMP_HOURS_CAP),"",$C393+O$6-MIN(($D393+O$5),PERMANENT_FIELD_LABOR_HOURS)*PERMANENT_HOURLY_RATE-MAX(0,($D393+O$5)-PERMANENT_FIELD_LABOR_HOURS)*TEMP_HOURLY_RATE-FIXED_SEASON_COST)</f>
        <v/>
      </c>
      <c r="P393" s="53" t="str">
        <f aca="false">IF(OR($A393&gt;TOMATO_BED_CAP,$B393&gt;CARROT_BED_CAP,P$4&gt;MESCLUN_BED_CAP,$A393+$B393+P$4&gt;TOTAL_BEDS_AVAILABLE,($D393+P$5)&gt;TOTAL_LABOR_HOURS_CAP,MAX(0,($D393+P$5)-PERMANENT_FIELD_LABOR_HOURS)&gt;TEMP_HOURS_CAP),"",$C393+P$6-MIN(($D393+P$5),PERMANENT_FIELD_LABOR_HOURS)*PERMANENT_HOURLY_RATE-MAX(0,($D393+P$5)-PERMANENT_FIELD_LABOR_HOURS)*TEMP_HOURLY_RATE-FIXED_SEASON_COST)</f>
        <v/>
      </c>
      <c r="Q393" s="53" t="str">
        <f aca="false">IF(OR($A393&gt;TOMATO_BED_CAP,$B393&gt;CARROT_BED_CAP,Q$4&gt;MESCLUN_BED_CAP,$A393+$B393+Q$4&gt;TOTAL_BEDS_AVAILABLE,($D393+Q$5)&gt;TOTAL_LABOR_HOURS_CAP,MAX(0,($D393+Q$5)-PERMANENT_FIELD_LABOR_HOURS)&gt;TEMP_HOURS_CAP),"",$C393+Q$6-MIN(($D393+Q$5),PERMANENT_FIELD_LABOR_HOURS)*PERMANENT_HOURLY_RATE-MAX(0,($D393+Q$5)-PERMANENT_FIELD_LABOR_HOURS)*TEMP_HOURLY_RATE-FIXED_SEASON_COST)</f>
        <v/>
      </c>
      <c r="R393" s="53" t="str">
        <f aca="false">IF(OR($A393&gt;TOMATO_BED_CAP,$B393&gt;CARROT_BED_CAP,R$4&gt;MESCLUN_BED_CAP,$A393+$B393+R$4&gt;TOTAL_BEDS_AVAILABLE,($D393+R$5)&gt;TOTAL_LABOR_HOURS_CAP,MAX(0,($D393+R$5)-PERMANENT_FIELD_LABOR_HOURS)&gt;TEMP_HOURS_CAP),"",$C393+R$6-MIN(($D393+R$5),PERMANENT_FIELD_LABOR_HOURS)*PERMANENT_HOURLY_RATE-MAX(0,($D393+R$5)-PERMANENT_FIELD_LABOR_HOURS)*TEMP_HOURLY_RATE-FIXED_SEASON_COST)</f>
        <v/>
      </c>
      <c r="S393" s="53" t="str">
        <f aca="false">IF(OR($A393&gt;TOMATO_BED_CAP,$B393&gt;CARROT_BED_CAP,S$4&gt;MESCLUN_BED_CAP,$A393+$B393+S$4&gt;TOTAL_BEDS_AVAILABLE,($D393+S$5)&gt;TOTAL_LABOR_HOURS_CAP,MAX(0,($D393+S$5)-PERMANENT_FIELD_LABOR_HOURS)&gt;TEMP_HOURS_CAP),"",$C393+S$6-MIN(($D393+S$5),PERMANENT_FIELD_LABOR_HOURS)*PERMANENT_HOURLY_RATE-MAX(0,($D393+S$5)-PERMANENT_FIELD_LABOR_HOURS)*TEMP_HOURLY_RATE-FIXED_SEASON_COST)</f>
        <v/>
      </c>
      <c r="T393" s="53" t="str">
        <f aca="false">IF(OR($A393&gt;TOMATO_BED_CAP,$B393&gt;CARROT_BED_CAP,T$4&gt;MESCLUN_BED_CAP,$A393+$B393+T$4&gt;TOTAL_BEDS_AVAILABLE,($D393+T$5)&gt;TOTAL_LABOR_HOURS_CAP,MAX(0,($D393+T$5)-PERMANENT_FIELD_LABOR_HOURS)&gt;TEMP_HOURS_CAP),"",$C393+T$6-MIN(($D393+T$5),PERMANENT_FIELD_LABOR_HOURS)*PERMANENT_HOURLY_RATE-MAX(0,($D393+T$5)-PERMANENT_FIELD_LABOR_HOURS)*TEMP_HOURLY_RATE-FIXED_SEASON_COST)</f>
        <v/>
      </c>
      <c r="U393" s="53" t="str">
        <f aca="false">IF(OR($A393&gt;TOMATO_BED_CAP,$B393&gt;CARROT_BED_CAP,U$4&gt;MESCLUN_BED_CAP,$A393+$B393+U$4&gt;TOTAL_BEDS_AVAILABLE,($D393+U$5)&gt;TOTAL_LABOR_HOURS_CAP,MAX(0,($D393+U$5)-PERMANENT_FIELD_LABOR_HOURS)&gt;TEMP_HOURS_CAP),"",$C393+U$6-MIN(($D393+U$5),PERMANENT_FIELD_LABOR_HOURS)*PERMANENT_HOURLY_RATE-MAX(0,($D393+U$5)-PERMANENT_FIELD_LABOR_HOURS)*TEMP_HOURLY_RATE-FIXED_SEASON_COST)</f>
        <v/>
      </c>
      <c r="V393" s="53" t="str">
        <f aca="false">IF(OR($A393&gt;TOMATO_BED_CAP,$B393&gt;CARROT_BED_CAP,V$4&gt;MESCLUN_BED_CAP,$A393+$B393+V$4&gt;TOTAL_BEDS_AVAILABLE,($D393+V$5)&gt;TOTAL_LABOR_HOURS_CAP,MAX(0,($D393+V$5)-PERMANENT_FIELD_LABOR_HOURS)&gt;TEMP_HOURS_CAP),"",$C393+V$6-MIN(($D393+V$5),PERMANENT_FIELD_LABOR_HOURS)*PERMANENT_HOURLY_RATE-MAX(0,($D393+V$5)-PERMANENT_FIELD_LABOR_HOURS)*TEMP_HOURLY_RATE-FIXED_SEASON_COST)</f>
        <v/>
      </c>
      <c r="W393" s="53" t="str">
        <f aca="false">IF(OR($A393&gt;TOMATO_BED_CAP,$B393&gt;CARROT_BED_CAP,W$4&gt;MESCLUN_BED_CAP,$A393+$B393+W$4&gt;TOTAL_BEDS_AVAILABLE,($D393+W$5)&gt;TOTAL_LABOR_HOURS_CAP,MAX(0,($D393+W$5)-PERMANENT_FIELD_LABOR_HOURS)&gt;TEMP_HOURS_CAP),"",$C393+W$6-MIN(($D393+W$5),PERMANENT_FIELD_LABOR_HOURS)*PERMANENT_HOURLY_RATE-MAX(0,($D393+W$5)-PERMANENT_FIELD_LABOR_HOURS)*TEMP_HOURLY_RATE-FIXED_SEASON_COST)</f>
        <v/>
      </c>
      <c r="X393" s="53" t="str">
        <f aca="false">IF(OR($A393&gt;TOMATO_BED_CAP,$B393&gt;CARROT_BED_CAP,X$4&gt;MESCLUN_BED_CAP,$A393+$B393+X$4&gt;TOTAL_BEDS_AVAILABLE,($D393+X$5)&gt;TOTAL_LABOR_HOURS_CAP,MAX(0,($D393+X$5)-PERMANENT_FIELD_LABOR_HOURS)&gt;TEMP_HOURS_CAP),"",$C393+X$6-MIN(($D393+X$5),PERMANENT_FIELD_LABOR_HOURS)*PERMANENT_HOURLY_RATE-MAX(0,($D393+X$5)-PERMANENT_FIELD_LABOR_HOURS)*TEMP_HOURLY_RATE-FIXED_SEASON_COST)</f>
        <v/>
      </c>
      <c r="Y393" s="53" t="str">
        <f aca="false">IF(OR($A393&gt;TOMATO_BED_CAP,$B393&gt;CARROT_BED_CAP,Y$4&gt;MESCLUN_BED_CAP,$A393+$B393+Y$4&gt;TOTAL_BEDS_AVAILABLE,($D393+Y$5)&gt;TOTAL_LABOR_HOURS_CAP,MAX(0,($D393+Y$5)-PERMANENT_FIELD_LABOR_HOURS)&gt;TEMP_HOURS_CAP),"",$C393+Y$6-MIN(($D393+Y$5),PERMANENT_FIELD_LABOR_HOURS)*PERMANENT_HOURLY_RATE-MAX(0,($D393+Y$5)-PERMANENT_FIELD_LABOR_HOURS)*TEMP_HOURLY_RATE-FIXED_SEASON_COST)</f>
        <v/>
      </c>
      <c r="Z393" s="53" t="str">
        <f aca="false">IF(OR($A393&gt;TOMATO_BED_CAP,$B393&gt;CARROT_BED_CAP,Z$4&gt;MESCLUN_BED_CAP,$A393+$B393+Z$4&gt;TOTAL_BEDS_AVAILABLE,($D393+Z$5)&gt;TOTAL_LABOR_HOURS_CAP,MAX(0,($D393+Z$5)-PERMANENT_FIELD_LABOR_HOURS)&gt;TEMP_HOURS_CAP),"",$C393+Z$6-MIN(($D393+Z$5),PERMANENT_FIELD_LABOR_HOURS)*PERMANENT_HOURLY_RATE-MAX(0,($D393+Z$5)-PERMANENT_FIELD_LABOR_HOURS)*TEMP_HOURLY_RATE-FIXED_SEASON_COST)</f>
        <v/>
      </c>
      <c r="AA393" s="53" t="str">
        <f aca="false">IF(OR($A393&gt;TOMATO_BED_CAP,$B393&gt;CARROT_BED_CAP,AA$4&gt;MESCLUN_BED_CAP,$A393+$B393+AA$4&gt;TOTAL_BEDS_AVAILABLE,($D393+AA$5)&gt;TOTAL_LABOR_HOURS_CAP,MAX(0,($D393+AA$5)-PERMANENT_FIELD_LABOR_HOURS)&gt;TEMP_HOURS_CAP),"",$C393+AA$6-MIN(($D393+AA$5),PERMANENT_FIELD_LABOR_HOURS)*PERMANENT_HOURLY_RATE-MAX(0,($D393+AA$5)-PERMANENT_FIELD_LABOR_HOURS)*TEMP_HOURLY_RATE-FIXED_SEASON_COST)</f>
        <v/>
      </c>
      <c r="AB393" s="53" t="str">
        <f aca="false">IF(OR($A393&gt;TOMATO_BED_CAP,$B393&gt;CARROT_BED_CAP,AB$4&gt;MESCLUN_BED_CAP,$A393+$B393+AB$4&gt;TOTAL_BEDS_AVAILABLE,($D393+AB$5)&gt;TOTAL_LABOR_HOURS_CAP,MAX(0,($D393+AB$5)-PERMANENT_FIELD_LABOR_HOURS)&gt;TEMP_HOURS_CAP),"",$C393+AB$6-MIN(($D393+AB$5),PERMANENT_FIELD_LABOR_HOURS)*PERMANENT_HOURLY_RATE-MAX(0,($D393+AB$5)-PERMANENT_FIELD_LABOR_HOURS)*TEMP_HOURLY_RATE-FIXED_SEASON_COST)</f>
        <v/>
      </c>
      <c r="AC393" s="53" t="str">
        <f aca="false">IF(OR($A393&gt;TOMATO_BED_CAP,$B393&gt;CARROT_BED_CAP,AC$4&gt;MESCLUN_BED_CAP,$A393+$B393+AC$4&gt;TOTAL_BEDS_AVAILABLE,($D393+AC$5)&gt;TOTAL_LABOR_HOURS_CAP,MAX(0,($D393+AC$5)-PERMANENT_FIELD_LABOR_HOURS)&gt;TEMP_HOURS_CAP),"",$C393+AC$6-MIN(($D393+AC$5),PERMANENT_FIELD_LABOR_HOURS)*PERMANENT_HOURLY_RATE-MAX(0,($D393+AC$5)-PERMANENT_FIELD_LABOR_HOURS)*TEMP_HOURLY_RATE-FIXED_SEASON_COST)</f>
        <v/>
      </c>
      <c r="AD393" s="53" t="str">
        <f aca="false">IF(OR($A393&gt;TOMATO_BED_CAP,$B393&gt;CARROT_BED_CAP,AD$4&gt;MESCLUN_BED_CAP,$A393+$B393+AD$4&gt;TOTAL_BEDS_AVAILABLE,($D393+AD$5)&gt;TOTAL_LABOR_HOURS_CAP,MAX(0,($D393+AD$5)-PERMANENT_FIELD_LABOR_HOURS)&gt;TEMP_HOURS_CAP),"",$C393+AD$6-MIN(($D393+AD$5),PERMANENT_FIELD_LABOR_HOURS)*PERMANENT_HOURLY_RATE-MAX(0,($D393+AD$5)-PERMANENT_FIELD_LABOR_HOURS)*TEMP_HOURLY_RATE-FIXED_SEASON_COST)</f>
        <v/>
      </c>
      <c r="AE393" s="53" t="str">
        <f aca="false">IF(OR($A393&gt;TOMATO_BED_CAP,$B393&gt;CARROT_BED_CAP,AE$4&gt;MESCLUN_BED_CAP,$A393+$B393+AE$4&gt;TOTAL_BEDS_AVAILABLE,($D393+AE$5)&gt;TOTAL_LABOR_HOURS_CAP,MAX(0,($D393+AE$5)-PERMANENT_FIELD_LABOR_HOURS)&gt;TEMP_HOURS_CAP),"",$C393+AE$6-MIN(($D393+AE$5),PERMANENT_FIELD_LABOR_HOURS)*PERMANENT_HOURLY_RATE-MAX(0,($D393+AE$5)-PERMANENT_FIELD_LABOR_HOURS)*TEMP_HOURLY_RATE-FIXED_SEASON_COST)</f>
        <v/>
      </c>
      <c r="AF393" s="53" t="str">
        <f aca="false">IF(OR($A393&gt;TOMATO_BED_CAP,$B393&gt;CARROT_BED_CAP,AF$4&gt;MESCLUN_BED_CAP,$A393+$B393+AF$4&gt;TOTAL_BEDS_AVAILABLE,($D393+AF$5)&gt;TOTAL_LABOR_HOURS_CAP,MAX(0,($D393+AF$5)-PERMANENT_FIELD_LABOR_HOURS)&gt;TEMP_HOURS_CAP),"",$C393+AF$6-MIN(($D393+AF$5),PERMANENT_FIELD_LABOR_HOURS)*PERMANENT_HOURLY_RATE-MAX(0,($D393+AF$5)-PERMANENT_FIELD_LABOR_HOURS)*TEMP_HOURLY_RATE-FIXED_SEASON_COST)</f>
        <v/>
      </c>
      <c r="AG393" s="53" t="str">
        <f aca="false">IF(OR($A393&gt;TOMATO_BED_CAP,$B393&gt;CARROT_BED_CAP,AG$4&gt;MESCLUN_BED_CAP,$A393+$B393+AG$4&gt;TOTAL_BEDS_AVAILABLE,($D393+AG$5)&gt;TOTAL_LABOR_HOURS_CAP,MAX(0,($D393+AG$5)-PERMANENT_FIELD_LABOR_HOURS)&gt;TEMP_HOURS_CAP),"",$C393+AG$6-MIN(($D393+AG$5),PERMANENT_FIELD_LABOR_HOURS)*PERMANENT_HOURLY_RATE-MAX(0,($D393+AG$5)-PERMANENT_FIELD_LABOR_HOURS)*TEMP_HOURLY_RATE-FIXED_SEASON_COST)</f>
        <v/>
      </c>
      <c r="AH393" s="53" t="str">
        <f aca="false">IF(OR($A393&gt;TOMATO_BED_CAP,$B393&gt;CARROT_BED_CAP,AH$4&gt;MESCLUN_BED_CAP,$A393+$B393+AH$4&gt;TOTAL_BEDS_AVAILABLE,($D393+AH$5)&gt;TOTAL_LABOR_HOURS_CAP,MAX(0,($D393+AH$5)-PERMANENT_FIELD_LABOR_HOURS)&gt;TEMP_HOURS_CAP),"",$C393+AH$6-MIN(($D393+AH$5),PERMANENT_FIELD_LABOR_HOURS)*PERMANENT_HOURLY_RATE-MAX(0,($D393+AH$5)-PERMANENT_FIELD_LABOR_HOURS)*TEMP_HOURLY_RATE-FIXED_SEASON_COST)</f>
        <v/>
      </c>
      <c r="AI393" s="53" t="str">
        <f aca="false">IF(OR($A393&gt;TOMATO_BED_CAP,$B393&gt;CARROT_BED_CAP,AI$4&gt;MESCLUN_BED_CAP,$A393+$B393+AI$4&gt;TOTAL_BEDS_AVAILABLE,($D393+AI$5)&gt;TOTAL_LABOR_HOURS_CAP,MAX(0,($D393+AI$5)-PERMANENT_FIELD_LABOR_HOURS)&gt;TEMP_HOURS_CAP),"",$C393+AI$6-MIN(($D393+AI$5),PERMANENT_FIELD_LABOR_HOURS)*PERMANENT_HOURLY_RATE-MAX(0,($D393+AI$5)-PERMANENT_FIELD_LABOR_HOURS)*TEMP_HOURLY_RATE-FIXED_SEASON_COST)</f>
        <v/>
      </c>
      <c r="AJ393" s="53" t="str">
        <f aca="false">IF(OR($A393&gt;TOMATO_BED_CAP,$B393&gt;CARROT_BED_CAP,AJ$4&gt;MESCLUN_BED_CAP,$A393+$B393+AJ$4&gt;TOTAL_BEDS_AVAILABLE,($D393+AJ$5)&gt;TOTAL_LABOR_HOURS_CAP,MAX(0,($D393+AJ$5)-PERMANENT_FIELD_LABOR_HOURS)&gt;TEMP_HOURS_CAP),"",$C393+AJ$6-MIN(($D393+AJ$5),PERMANENT_FIELD_LABOR_HOURS)*PERMANENT_HOURLY_RATE-MAX(0,($D393+AJ$5)-PERMANENT_FIELD_LABOR_HOURS)*TEMP_HOURLY_RATE-FIXED_SEASON_COST)</f>
        <v/>
      </c>
    </row>
    <row r="394" customFormat="false" ht="15" hidden="false" customHeight="false" outlineLevel="0" collapsed="false">
      <c r="A394" s="21" t="n">
        <f aca="false">INT((ROW()-ROW($A$8))/(20+1))</f>
        <v>18</v>
      </c>
      <c r="B394" s="21" t="n">
        <f aca="false">MOD(ROW()-ROW($A$8),20+1)</f>
        <v>8</v>
      </c>
      <c r="C394" s="13" t="n">
        <f aca="false">A394*(TOMATO_REVENUE_PER_BED-TOMATO_FERTILIZER_PER_BED)+B394*(CARROT_REVENUE_PER_BED-CARROT_FERTILIZER_PER_BED)</f>
        <v>155792</v>
      </c>
      <c r="D394" s="14" t="n">
        <f aca="false">INDEX(TOMATO_SCHED_LABOR_HRS,A394+1)+INDEX(CARROT_SCHED_LABOR_HRS,B394+1)</f>
        <v>9299.36577658165</v>
      </c>
      <c r="E394" s="13" t="str">
        <f aca="false">IF(COUNT(F394:AJ394)=0,"",MAX(F394:AJ394))</f>
        <v/>
      </c>
      <c r="F394" s="53" t="str">
        <f aca="false">IF(OR($A394&gt;TOMATO_BED_CAP,$B394&gt;CARROT_BED_CAP,F$4&gt;MESCLUN_BED_CAP,$A394+$B394+F$4&gt;TOTAL_BEDS_AVAILABLE,($D394+F$5)&gt;TOTAL_LABOR_HOURS_CAP,MAX(0,($D394+F$5)-PERMANENT_FIELD_LABOR_HOURS)&gt;TEMP_HOURS_CAP),"",$C394+F$6-MIN(($D394+F$5),PERMANENT_FIELD_LABOR_HOURS)*PERMANENT_HOURLY_RATE-MAX(0,($D394+F$5)-PERMANENT_FIELD_LABOR_HOURS)*TEMP_HOURLY_RATE-FIXED_SEASON_COST)</f>
        <v/>
      </c>
      <c r="G394" s="53" t="str">
        <f aca="false">IF(OR($A394&gt;TOMATO_BED_CAP,$B394&gt;CARROT_BED_CAP,G$4&gt;MESCLUN_BED_CAP,$A394+$B394+G$4&gt;TOTAL_BEDS_AVAILABLE,($D394+G$5)&gt;TOTAL_LABOR_HOURS_CAP,MAX(0,($D394+G$5)-PERMANENT_FIELD_LABOR_HOURS)&gt;TEMP_HOURS_CAP),"",$C394+G$6-MIN(($D394+G$5),PERMANENT_FIELD_LABOR_HOURS)*PERMANENT_HOURLY_RATE-MAX(0,($D394+G$5)-PERMANENT_FIELD_LABOR_HOURS)*TEMP_HOURLY_RATE-FIXED_SEASON_COST)</f>
        <v/>
      </c>
      <c r="H394" s="53" t="str">
        <f aca="false">IF(OR($A394&gt;TOMATO_BED_CAP,$B394&gt;CARROT_BED_CAP,H$4&gt;MESCLUN_BED_CAP,$A394+$B394+H$4&gt;TOTAL_BEDS_AVAILABLE,($D394+H$5)&gt;TOTAL_LABOR_HOURS_CAP,MAX(0,($D394+H$5)-PERMANENT_FIELD_LABOR_HOURS)&gt;TEMP_HOURS_CAP),"",$C394+H$6-MIN(($D394+H$5),PERMANENT_FIELD_LABOR_HOURS)*PERMANENT_HOURLY_RATE-MAX(0,($D394+H$5)-PERMANENT_FIELD_LABOR_HOURS)*TEMP_HOURLY_RATE-FIXED_SEASON_COST)</f>
        <v/>
      </c>
      <c r="I394" s="53" t="str">
        <f aca="false">IF(OR($A394&gt;TOMATO_BED_CAP,$B394&gt;CARROT_BED_CAP,I$4&gt;MESCLUN_BED_CAP,$A394+$B394+I$4&gt;TOTAL_BEDS_AVAILABLE,($D394+I$5)&gt;TOTAL_LABOR_HOURS_CAP,MAX(0,($D394+I$5)-PERMANENT_FIELD_LABOR_HOURS)&gt;TEMP_HOURS_CAP),"",$C394+I$6-MIN(($D394+I$5),PERMANENT_FIELD_LABOR_HOURS)*PERMANENT_HOURLY_RATE-MAX(0,($D394+I$5)-PERMANENT_FIELD_LABOR_HOURS)*TEMP_HOURLY_RATE-FIXED_SEASON_COST)</f>
        <v/>
      </c>
      <c r="J394" s="53" t="str">
        <f aca="false">IF(OR($A394&gt;TOMATO_BED_CAP,$B394&gt;CARROT_BED_CAP,J$4&gt;MESCLUN_BED_CAP,$A394+$B394+J$4&gt;TOTAL_BEDS_AVAILABLE,($D394+J$5)&gt;TOTAL_LABOR_HOURS_CAP,MAX(0,($D394+J$5)-PERMANENT_FIELD_LABOR_HOURS)&gt;TEMP_HOURS_CAP),"",$C394+J$6-MIN(($D394+J$5),PERMANENT_FIELD_LABOR_HOURS)*PERMANENT_HOURLY_RATE-MAX(0,($D394+J$5)-PERMANENT_FIELD_LABOR_HOURS)*TEMP_HOURLY_RATE-FIXED_SEASON_COST)</f>
        <v/>
      </c>
      <c r="K394" s="53" t="str">
        <f aca="false">IF(OR($A394&gt;TOMATO_BED_CAP,$B394&gt;CARROT_BED_CAP,K$4&gt;MESCLUN_BED_CAP,$A394+$B394+K$4&gt;TOTAL_BEDS_AVAILABLE,($D394+K$5)&gt;TOTAL_LABOR_HOURS_CAP,MAX(0,($D394+K$5)-PERMANENT_FIELD_LABOR_HOURS)&gt;TEMP_HOURS_CAP),"",$C394+K$6-MIN(($D394+K$5),PERMANENT_FIELD_LABOR_HOURS)*PERMANENT_HOURLY_RATE-MAX(0,($D394+K$5)-PERMANENT_FIELD_LABOR_HOURS)*TEMP_HOURLY_RATE-FIXED_SEASON_COST)</f>
        <v/>
      </c>
      <c r="L394" s="53" t="str">
        <f aca="false">IF(OR($A394&gt;TOMATO_BED_CAP,$B394&gt;CARROT_BED_CAP,L$4&gt;MESCLUN_BED_CAP,$A394+$B394+L$4&gt;TOTAL_BEDS_AVAILABLE,($D394+L$5)&gt;TOTAL_LABOR_HOURS_CAP,MAX(0,($D394+L$5)-PERMANENT_FIELD_LABOR_HOURS)&gt;TEMP_HOURS_CAP),"",$C394+L$6-MIN(($D394+L$5),PERMANENT_FIELD_LABOR_HOURS)*PERMANENT_HOURLY_RATE-MAX(0,($D394+L$5)-PERMANENT_FIELD_LABOR_HOURS)*TEMP_HOURLY_RATE-FIXED_SEASON_COST)</f>
        <v/>
      </c>
      <c r="M394" s="53" t="str">
        <f aca="false">IF(OR($A394&gt;TOMATO_BED_CAP,$B394&gt;CARROT_BED_CAP,M$4&gt;MESCLUN_BED_CAP,$A394+$B394+M$4&gt;TOTAL_BEDS_AVAILABLE,($D394+M$5)&gt;TOTAL_LABOR_HOURS_CAP,MAX(0,($D394+M$5)-PERMANENT_FIELD_LABOR_HOURS)&gt;TEMP_HOURS_CAP),"",$C394+M$6-MIN(($D394+M$5),PERMANENT_FIELD_LABOR_HOURS)*PERMANENT_HOURLY_RATE-MAX(0,($D394+M$5)-PERMANENT_FIELD_LABOR_HOURS)*TEMP_HOURLY_RATE-FIXED_SEASON_COST)</f>
        <v/>
      </c>
      <c r="N394" s="53" t="str">
        <f aca="false">IF(OR($A394&gt;TOMATO_BED_CAP,$B394&gt;CARROT_BED_CAP,N$4&gt;MESCLUN_BED_CAP,$A394+$B394+N$4&gt;TOTAL_BEDS_AVAILABLE,($D394+N$5)&gt;TOTAL_LABOR_HOURS_CAP,MAX(0,($D394+N$5)-PERMANENT_FIELD_LABOR_HOURS)&gt;TEMP_HOURS_CAP),"",$C394+N$6-MIN(($D394+N$5),PERMANENT_FIELD_LABOR_HOURS)*PERMANENT_HOURLY_RATE-MAX(0,($D394+N$5)-PERMANENT_FIELD_LABOR_HOURS)*TEMP_HOURLY_RATE-FIXED_SEASON_COST)</f>
        <v/>
      </c>
      <c r="O394" s="53" t="str">
        <f aca="false">IF(OR($A394&gt;TOMATO_BED_CAP,$B394&gt;CARROT_BED_CAP,O$4&gt;MESCLUN_BED_CAP,$A394+$B394+O$4&gt;TOTAL_BEDS_AVAILABLE,($D394+O$5)&gt;TOTAL_LABOR_HOURS_CAP,MAX(0,($D394+O$5)-PERMANENT_FIELD_LABOR_HOURS)&gt;TEMP_HOURS_CAP),"",$C394+O$6-MIN(($D394+O$5),PERMANENT_FIELD_LABOR_HOURS)*PERMANENT_HOURLY_RATE-MAX(0,($D394+O$5)-PERMANENT_FIELD_LABOR_HOURS)*TEMP_HOURLY_RATE-FIXED_SEASON_COST)</f>
        <v/>
      </c>
      <c r="P394" s="53" t="str">
        <f aca="false">IF(OR($A394&gt;TOMATO_BED_CAP,$B394&gt;CARROT_BED_CAP,P$4&gt;MESCLUN_BED_CAP,$A394+$B394+P$4&gt;TOTAL_BEDS_AVAILABLE,($D394+P$5)&gt;TOTAL_LABOR_HOURS_CAP,MAX(0,($D394+P$5)-PERMANENT_FIELD_LABOR_HOURS)&gt;TEMP_HOURS_CAP),"",$C394+P$6-MIN(($D394+P$5),PERMANENT_FIELD_LABOR_HOURS)*PERMANENT_HOURLY_RATE-MAX(0,($D394+P$5)-PERMANENT_FIELD_LABOR_HOURS)*TEMP_HOURLY_RATE-FIXED_SEASON_COST)</f>
        <v/>
      </c>
      <c r="Q394" s="53" t="str">
        <f aca="false">IF(OR($A394&gt;TOMATO_BED_CAP,$B394&gt;CARROT_BED_CAP,Q$4&gt;MESCLUN_BED_CAP,$A394+$B394+Q$4&gt;TOTAL_BEDS_AVAILABLE,($D394+Q$5)&gt;TOTAL_LABOR_HOURS_CAP,MAX(0,($D394+Q$5)-PERMANENT_FIELD_LABOR_HOURS)&gt;TEMP_HOURS_CAP),"",$C394+Q$6-MIN(($D394+Q$5),PERMANENT_FIELD_LABOR_HOURS)*PERMANENT_HOURLY_RATE-MAX(0,($D394+Q$5)-PERMANENT_FIELD_LABOR_HOURS)*TEMP_HOURLY_RATE-FIXED_SEASON_COST)</f>
        <v/>
      </c>
      <c r="R394" s="53" t="str">
        <f aca="false">IF(OR($A394&gt;TOMATO_BED_CAP,$B394&gt;CARROT_BED_CAP,R$4&gt;MESCLUN_BED_CAP,$A394+$B394+R$4&gt;TOTAL_BEDS_AVAILABLE,($D394+R$5)&gt;TOTAL_LABOR_HOURS_CAP,MAX(0,($D394+R$5)-PERMANENT_FIELD_LABOR_HOURS)&gt;TEMP_HOURS_CAP),"",$C394+R$6-MIN(($D394+R$5),PERMANENT_FIELD_LABOR_HOURS)*PERMANENT_HOURLY_RATE-MAX(0,($D394+R$5)-PERMANENT_FIELD_LABOR_HOURS)*TEMP_HOURLY_RATE-FIXED_SEASON_COST)</f>
        <v/>
      </c>
      <c r="S394" s="53" t="str">
        <f aca="false">IF(OR($A394&gt;TOMATO_BED_CAP,$B394&gt;CARROT_BED_CAP,S$4&gt;MESCLUN_BED_CAP,$A394+$B394+S$4&gt;TOTAL_BEDS_AVAILABLE,($D394+S$5)&gt;TOTAL_LABOR_HOURS_CAP,MAX(0,($D394+S$5)-PERMANENT_FIELD_LABOR_HOURS)&gt;TEMP_HOURS_CAP),"",$C394+S$6-MIN(($D394+S$5),PERMANENT_FIELD_LABOR_HOURS)*PERMANENT_HOURLY_RATE-MAX(0,($D394+S$5)-PERMANENT_FIELD_LABOR_HOURS)*TEMP_HOURLY_RATE-FIXED_SEASON_COST)</f>
        <v/>
      </c>
      <c r="T394" s="53" t="str">
        <f aca="false">IF(OR($A394&gt;TOMATO_BED_CAP,$B394&gt;CARROT_BED_CAP,T$4&gt;MESCLUN_BED_CAP,$A394+$B394+T$4&gt;TOTAL_BEDS_AVAILABLE,($D394+T$5)&gt;TOTAL_LABOR_HOURS_CAP,MAX(0,($D394+T$5)-PERMANENT_FIELD_LABOR_HOURS)&gt;TEMP_HOURS_CAP),"",$C394+T$6-MIN(($D394+T$5),PERMANENT_FIELD_LABOR_HOURS)*PERMANENT_HOURLY_RATE-MAX(0,($D394+T$5)-PERMANENT_FIELD_LABOR_HOURS)*TEMP_HOURLY_RATE-FIXED_SEASON_COST)</f>
        <v/>
      </c>
      <c r="U394" s="53" t="str">
        <f aca="false">IF(OR($A394&gt;TOMATO_BED_CAP,$B394&gt;CARROT_BED_CAP,U$4&gt;MESCLUN_BED_CAP,$A394+$B394+U$4&gt;TOTAL_BEDS_AVAILABLE,($D394+U$5)&gt;TOTAL_LABOR_HOURS_CAP,MAX(0,($D394+U$5)-PERMANENT_FIELD_LABOR_HOURS)&gt;TEMP_HOURS_CAP),"",$C394+U$6-MIN(($D394+U$5),PERMANENT_FIELD_LABOR_HOURS)*PERMANENT_HOURLY_RATE-MAX(0,($D394+U$5)-PERMANENT_FIELD_LABOR_HOURS)*TEMP_HOURLY_RATE-FIXED_SEASON_COST)</f>
        <v/>
      </c>
      <c r="V394" s="53" t="str">
        <f aca="false">IF(OR($A394&gt;TOMATO_BED_CAP,$B394&gt;CARROT_BED_CAP,V$4&gt;MESCLUN_BED_CAP,$A394+$B394+V$4&gt;TOTAL_BEDS_AVAILABLE,($D394+V$5)&gt;TOTAL_LABOR_HOURS_CAP,MAX(0,($D394+V$5)-PERMANENT_FIELD_LABOR_HOURS)&gt;TEMP_HOURS_CAP),"",$C394+V$6-MIN(($D394+V$5),PERMANENT_FIELD_LABOR_HOURS)*PERMANENT_HOURLY_RATE-MAX(0,($D394+V$5)-PERMANENT_FIELD_LABOR_HOURS)*TEMP_HOURLY_RATE-FIXED_SEASON_COST)</f>
        <v/>
      </c>
      <c r="W394" s="53" t="str">
        <f aca="false">IF(OR($A394&gt;TOMATO_BED_CAP,$B394&gt;CARROT_BED_CAP,W$4&gt;MESCLUN_BED_CAP,$A394+$B394+W$4&gt;TOTAL_BEDS_AVAILABLE,($D394+W$5)&gt;TOTAL_LABOR_HOURS_CAP,MAX(0,($D394+W$5)-PERMANENT_FIELD_LABOR_HOURS)&gt;TEMP_HOURS_CAP),"",$C394+W$6-MIN(($D394+W$5),PERMANENT_FIELD_LABOR_HOURS)*PERMANENT_HOURLY_RATE-MAX(0,($D394+W$5)-PERMANENT_FIELD_LABOR_HOURS)*TEMP_HOURLY_RATE-FIXED_SEASON_COST)</f>
        <v/>
      </c>
      <c r="X394" s="53" t="str">
        <f aca="false">IF(OR($A394&gt;TOMATO_BED_CAP,$B394&gt;CARROT_BED_CAP,X$4&gt;MESCLUN_BED_CAP,$A394+$B394+X$4&gt;TOTAL_BEDS_AVAILABLE,($D394+X$5)&gt;TOTAL_LABOR_HOURS_CAP,MAX(0,($D394+X$5)-PERMANENT_FIELD_LABOR_HOURS)&gt;TEMP_HOURS_CAP),"",$C394+X$6-MIN(($D394+X$5),PERMANENT_FIELD_LABOR_HOURS)*PERMANENT_HOURLY_RATE-MAX(0,($D394+X$5)-PERMANENT_FIELD_LABOR_HOURS)*TEMP_HOURLY_RATE-FIXED_SEASON_COST)</f>
        <v/>
      </c>
      <c r="Y394" s="53" t="str">
        <f aca="false">IF(OR($A394&gt;TOMATO_BED_CAP,$B394&gt;CARROT_BED_CAP,Y$4&gt;MESCLUN_BED_CAP,$A394+$B394+Y$4&gt;TOTAL_BEDS_AVAILABLE,($D394+Y$5)&gt;TOTAL_LABOR_HOURS_CAP,MAX(0,($D394+Y$5)-PERMANENT_FIELD_LABOR_HOURS)&gt;TEMP_HOURS_CAP),"",$C394+Y$6-MIN(($D394+Y$5),PERMANENT_FIELD_LABOR_HOURS)*PERMANENT_HOURLY_RATE-MAX(0,($D394+Y$5)-PERMANENT_FIELD_LABOR_HOURS)*TEMP_HOURLY_RATE-FIXED_SEASON_COST)</f>
        <v/>
      </c>
      <c r="Z394" s="53" t="str">
        <f aca="false">IF(OR($A394&gt;TOMATO_BED_CAP,$B394&gt;CARROT_BED_CAP,Z$4&gt;MESCLUN_BED_CAP,$A394+$B394+Z$4&gt;TOTAL_BEDS_AVAILABLE,($D394+Z$5)&gt;TOTAL_LABOR_HOURS_CAP,MAX(0,($D394+Z$5)-PERMANENT_FIELD_LABOR_HOURS)&gt;TEMP_HOURS_CAP),"",$C394+Z$6-MIN(($D394+Z$5),PERMANENT_FIELD_LABOR_HOURS)*PERMANENT_HOURLY_RATE-MAX(0,($D394+Z$5)-PERMANENT_FIELD_LABOR_HOURS)*TEMP_HOURLY_RATE-FIXED_SEASON_COST)</f>
        <v/>
      </c>
      <c r="AA394" s="53" t="str">
        <f aca="false">IF(OR($A394&gt;TOMATO_BED_CAP,$B394&gt;CARROT_BED_CAP,AA$4&gt;MESCLUN_BED_CAP,$A394+$B394+AA$4&gt;TOTAL_BEDS_AVAILABLE,($D394+AA$5)&gt;TOTAL_LABOR_HOURS_CAP,MAX(0,($D394+AA$5)-PERMANENT_FIELD_LABOR_HOURS)&gt;TEMP_HOURS_CAP),"",$C394+AA$6-MIN(($D394+AA$5),PERMANENT_FIELD_LABOR_HOURS)*PERMANENT_HOURLY_RATE-MAX(0,($D394+AA$5)-PERMANENT_FIELD_LABOR_HOURS)*TEMP_HOURLY_RATE-FIXED_SEASON_COST)</f>
        <v/>
      </c>
      <c r="AB394" s="53" t="str">
        <f aca="false">IF(OR($A394&gt;TOMATO_BED_CAP,$B394&gt;CARROT_BED_CAP,AB$4&gt;MESCLUN_BED_CAP,$A394+$B394+AB$4&gt;TOTAL_BEDS_AVAILABLE,($D394+AB$5)&gt;TOTAL_LABOR_HOURS_CAP,MAX(0,($D394+AB$5)-PERMANENT_FIELD_LABOR_HOURS)&gt;TEMP_HOURS_CAP),"",$C394+AB$6-MIN(($D394+AB$5),PERMANENT_FIELD_LABOR_HOURS)*PERMANENT_HOURLY_RATE-MAX(0,($D394+AB$5)-PERMANENT_FIELD_LABOR_HOURS)*TEMP_HOURLY_RATE-FIXED_SEASON_COST)</f>
        <v/>
      </c>
      <c r="AC394" s="53" t="str">
        <f aca="false">IF(OR($A394&gt;TOMATO_BED_CAP,$B394&gt;CARROT_BED_CAP,AC$4&gt;MESCLUN_BED_CAP,$A394+$B394+AC$4&gt;TOTAL_BEDS_AVAILABLE,($D394+AC$5)&gt;TOTAL_LABOR_HOURS_CAP,MAX(0,($D394+AC$5)-PERMANENT_FIELD_LABOR_HOURS)&gt;TEMP_HOURS_CAP),"",$C394+AC$6-MIN(($D394+AC$5),PERMANENT_FIELD_LABOR_HOURS)*PERMANENT_HOURLY_RATE-MAX(0,($D394+AC$5)-PERMANENT_FIELD_LABOR_HOURS)*TEMP_HOURLY_RATE-FIXED_SEASON_COST)</f>
        <v/>
      </c>
      <c r="AD394" s="53" t="str">
        <f aca="false">IF(OR($A394&gt;TOMATO_BED_CAP,$B394&gt;CARROT_BED_CAP,AD$4&gt;MESCLUN_BED_CAP,$A394+$B394+AD$4&gt;TOTAL_BEDS_AVAILABLE,($D394+AD$5)&gt;TOTAL_LABOR_HOURS_CAP,MAX(0,($D394+AD$5)-PERMANENT_FIELD_LABOR_HOURS)&gt;TEMP_HOURS_CAP),"",$C394+AD$6-MIN(($D394+AD$5),PERMANENT_FIELD_LABOR_HOURS)*PERMANENT_HOURLY_RATE-MAX(0,($D394+AD$5)-PERMANENT_FIELD_LABOR_HOURS)*TEMP_HOURLY_RATE-FIXED_SEASON_COST)</f>
        <v/>
      </c>
      <c r="AE394" s="53" t="str">
        <f aca="false">IF(OR($A394&gt;TOMATO_BED_CAP,$B394&gt;CARROT_BED_CAP,AE$4&gt;MESCLUN_BED_CAP,$A394+$B394+AE$4&gt;TOTAL_BEDS_AVAILABLE,($D394+AE$5)&gt;TOTAL_LABOR_HOURS_CAP,MAX(0,($D394+AE$5)-PERMANENT_FIELD_LABOR_HOURS)&gt;TEMP_HOURS_CAP),"",$C394+AE$6-MIN(($D394+AE$5),PERMANENT_FIELD_LABOR_HOURS)*PERMANENT_HOURLY_RATE-MAX(0,($D394+AE$5)-PERMANENT_FIELD_LABOR_HOURS)*TEMP_HOURLY_RATE-FIXED_SEASON_COST)</f>
        <v/>
      </c>
      <c r="AF394" s="53" t="str">
        <f aca="false">IF(OR($A394&gt;TOMATO_BED_CAP,$B394&gt;CARROT_BED_CAP,AF$4&gt;MESCLUN_BED_CAP,$A394+$B394+AF$4&gt;TOTAL_BEDS_AVAILABLE,($D394+AF$5)&gt;TOTAL_LABOR_HOURS_CAP,MAX(0,($D394+AF$5)-PERMANENT_FIELD_LABOR_HOURS)&gt;TEMP_HOURS_CAP),"",$C394+AF$6-MIN(($D394+AF$5),PERMANENT_FIELD_LABOR_HOURS)*PERMANENT_HOURLY_RATE-MAX(0,($D394+AF$5)-PERMANENT_FIELD_LABOR_HOURS)*TEMP_HOURLY_RATE-FIXED_SEASON_COST)</f>
        <v/>
      </c>
      <c r="AG394" s="53" t="str">
        <f aca="false">IF(OR($A394&gt;TOMATO_BED_CAP,$B394&gt;CARROT_BED_CAP,AG$4&gt;MESCLUN_BED_CAP,$A394+$B394+AG$4&gt;TOTAL_BEDS_AVAILABLE,($D394+AG$5)&gt;TOTAL_LABOR_HOURS_CAP,MAX(0,($D394+AG$5)-PERMANENT_FIELD_LABOR_HOURS)&gt;TEMP_HOURS_CAP),"",$C394+AG$6-MIN(($D394+AG$5),PERMANENT_FIELD_LABOR_HOURS)*PERMANENT_HOURLY_RATE-MAX(0,($D394+AG$5)-PERMANENT_FIELD_LABOR_HOURS)*TEMP_HOURLY_RATE-FIXED_SEASON_COST)</f>
        <v/>
      </c>
      <c r="AH394" s="53" t="str">
        <f aca="false">IF(OR($A394&gt;TOMATO_BED_CAP,$B394&gt;CARROT_BED_CAP,AH$4&gt;MESCLUN_BED_CAP,$A394+$B394+AH$4&gt;TOTAL_BEDS_AVAILABLE,($D394+AH$5)&gt;TOTAL_LABOR_HOURS_CAP,MAX(0,($D394+AH$5)-PERMANENT_FIELD_LABOR_HOURS)&gt;TEMP_HOURS_CAP),"",$C394+AH$6-MIN(($D394+AH$5),PERMANENT_FIELD_LABOR_HOURS)*PERMANENT_HOURLY_RATE-MAX(0,($D394+AH$5)-PERMANENT_FIELD_LABOR_HOURS)*TEMP_HOURLY_RATE-FIXED_SEASON_COST)</f>
        <v/>
      </c>
      <c r="AI394" s="53" t="str">
        <f aca="false">IF(OR($A394&gt;TOMATO_BED_CAP,$B394&gt;CARROT_BED_CAP,AI$4&gt;MESCLUN_BED_CAP,$A394+$B394+AI$4&gt;TOTAL_BEDS_AVAILABLE,($D394+AI$5)&gt;TOTAL_LABOR_HOURS_CAP,MAX(0,($D394+AI$5)-PERMANENT_FIELD_LABOR_HOURS)&gt;TEMP_HOURS_CAP),"",$C394+AI$6-MIN(($D394+AI$5),PERMANENT_FIELD_LABOR_HOURS)*PERMANENT_HOURLY_RATE-MAX(0,($D394+AI$5)-PERMANENT_FIELD_LABOR_HOURS)*TEMP_HOURLY_RATE-FIXED_SEASON_COST)</f>
        <v/>
      </c>
      <c r="AJ394" s="53" t="str">
        <f aca="false">IF(OR($A394&gt;TOMATO_BED_CAP,$B394&gt;CARROT_BED_CAP,AJ$4&gt;MESCLUN_BED_CAP,$A394+$B394+AJ$4&gt;TOTAL_BEDS_AVAILABLE,($D394+AJ$5)&gt;TOTAL_LABOR_HOURS_CAP,MAX(0,($D394+AJ$5)-PERMANENT_FIELD_LABOR_HOURS)&gt;TEMP_HOURS_CAP),"",$C394+AJ$6-MIN(($D394+AJ$5),PERMANENT_FIELD_LABOR_HOURS)*PERMANENT_HOURLY_RATE-MAX(0,($D394+AJ$5)-PERMANENT_FIELD_LABOR_HOURS)*TEMP_HOURLY_RATE-FIXED_SEASON_COST)</f>
        <v/>
      </c>
    </row>
    <row r="395" customFormat="false" ht="15" hidden="false" customHeight="false" outlineLevel="0" collapsed="false">
      <c r="A395" s="21" t="n">
        <f aca="false">INT((ROW()-ROW($A$8))/(20+1))</f>
        <v>18</v>
      </c>
      <c r="B395" s="21" t="n">
        <f aca="false">MOD(ROW()-ROW($A$8),20+1)</f>
        <v>9</v>
      </c>
      <c r="C395" s="13" t="n">
        <f aca="false">A395*(TOMATO_REVENUE_PER_BED-TOMATO_FERTILIZER_PER_BED)+B395*(CARROT_REVENUE_PER_BED-CARROT_FERTILIZER_PER_BED)</f>
        <v>157446</v>
      </c>
      <c r="D395" s="14" t="n">
        <f aca="false">INDEX(TOMATO_SCHED_LABOR_HRS,A395+1)+INDEX(CARROT_SCHED_LABOR_HRS,B395+1)</f>
        <v>9344.12417254254</v>
      </c>
      <c r="E395" s="13" t="str">
        <f aca="false">IF(COUNT(F395:AJ395)=0,"",MAX(F395:AJ395))</f>
        <v/>
      </c>
      <c r="F395" s="53" t="str">
        <f aca="false">IF(OR($A395&gt;TOMATO_BED_CAP,$B395&gt;CARROT_BED_CAP,F$4&gt;MESCLUN_BED_CAP,$A395+$B395+F$4&gt;TOTAL_BEDS_AVAILABLE,($D395+F$5)&gt;TOTAL_LABOR_HOURS_CAP,MAX(0,($D395+F$5)-PERMANENT_FIELD_LABOR_HOURS)&gt;TEMP_HOURS_CAP),"",$C395+F$6-MIN(($D395+F$5),PERMANENT_FIELD_LABOR_HOURS)*PERMANENT_HOURLY_RATE-MAX(0,($D395+F$5)-PERMANENT_FIELD_LABOR_HOURS)*TEMP_HOURLY_RATE-FIXED_SEASON_COST)</f>
        <v/>
      </c>
      <c r="G395" s="53" t="str">
        <f aca="false">IF(OR($A395&gt;TOMATO_BED_CAP,$B395&gt;CARROT_BED_CAP,G$4&gt;MESCLUN_BED_CAP,$A395+$B395+G$4&gt;TOTAL_BEDS_AVAILABLE,($D395+G$5)&gt;TOTAL_LABOR_HOURS_CAP,MAX(0,($D395+G$5)-PERMANENT_FIELD_LABOR_HOURS)&gt;TEMP_HOURS_CAP),"",$C395+G$6-MIN(($D395+G$5),PERMANENT_FIELD_LABOR_HOURS)*PERMANENT_HOURLY_RATE-MAX(0,($D395+G$5)-PERMANENT_FIELD_LABOR_HOURS)*TEMP_HOURLY_RATE-FIXED_SEASON_COST)</f>
        <v/>
      </c>
      <c r="H395" s="53" t="str">
        <f aca="false">IF(OR($A395&gt;TOMATO_BED_CAP,$B395&gt;CARROT_BED_CAP,H$4&gt;MESCLUN_BED_CAP,$A395+$B395+H$4&gt;TOTAL_BEDS_AVAILABLE,($D395+H$5)&gt;TOTAL_LABOR_HOURS_CAP,MAX(0,($D395+H$5)-PERMANENT_FIELD_LABOR_HOURS)&gt;TEMP_HOURS_CAP),"",$C395+H$6-MIN(($D395+H$5),PERMANENT_FIELD_LABOR_HOURS)*PERMANENT_HOURLY_RATE-MAX(0,($D395+H$5)-PERMANENT_FIELD_LABOR_HOURS)*TEMP_HOURLY_RATE-FIXED_SEASON_COST)</f>
        <v/>
      </c>
      <c r="I395" s="53" t="str">
        <f aca="false">IF(OR($A395&gt;TOMATO_BED_CAP,$B395&gt;CARROT_BED_CAP,I$4&gt;MESCLUN_BED_CAP,$A395+$B395+I$4&gt;TOTAL_BEDS_AVAILABLE,($D395+I$5)&gt;TOTAL_LABOR_HOURS_CAP,MAX(0,($D395+I$5)-PERMANENT_FIELD_LABOR_HOURS)&gt;TEMP_HOURS_CAP),"",$C395+I$6-MIN(($D395+I$5),PERMANENT_FIELD_LABOR_HOURS)*PERMANENT_HOURLY_RATE-MAX(0,($D395+I$5)-PERMANENT_FIELD_LABOR_HOURS)*TEMP_HOURLY_RATE-FIXED_SEASON_COST)</f>
        <v/>
      </c>
      <c r="J395" s="53" t="str">
        <f aca="false">IF(OR($A395&gt;TOMATO_BED_CAP,$B395&gt;CARROT_BED_CAP,J$4&gt;MESCLUN_BED_CAP,$A395+$B395+J$4&gt;TOTAL_BEDS_AVAILABLE,($D395+J$5)&gt;TOTAL_LABOR_HOURS_CAP,MAX(0,($D395+J$5)-PERMANENT_FIELD_LABOR_HOURS)&gt;TEMP_HOURS_CAP),"",$C395+J$6-MIN(($D395+J$5),PERMANENT_FIELD_LABOR_HOURS)*PERMANENT_HOURLY_RATE-MAX(0,($D395+J$5)-PERMANENT_FIELD_LABOR_HOURS)*TEMP_HOURLY_RATE-FIXED_SEASON_COST)</f>
        <v/>
      </c>
      <c r="K395" s="53" t="str">
        <f aca="false">IF(OR($A395&gt;TOMATO_BED_CAP,$B395&gt;CARROT_BED_CAP,K$4&gt;MESCLUN_BED_CAP,$A395+$B395+K$4&gt;TOTAL_BEDS_AVAILABLE,($D395+K$5)&gt;TOTAL_LABOR_HOURS_CAP,MAX(0,($D395+K$5)-PERMANENT_FIELD_LABOR_HOURS)&gt;TEMP_HOURS_CAP),"",$C395+K$6-MIN(($D395+K$5),PERMANENT_FIELD_LABOR_HOURS)*PERMANENT_HOURLY_RATE-MAX(0,($D395+K$5)-PERMANENT_FIELD_LABOR_HOURS)*TEMP_HOURLY_RATE-FIXED_SEASON_COST)</f>
        <v/>
      </c>
      <c r="L395" s="53" t="str">
        <f aca="false">IF(OR($A395&gt;TOMATO_BED_CAP,$B395&gt;CARROT_BED_CAP,L$4&gt;MESCLUN_BED_CAP,$A395+$B395+L$4&gt;TOTAL_BEDS_AVAILABLE,($D395+L$5)&gt;TOTAL_LABOR_HOURS_CAP,MAX(0,($D395+L$5)-PERMANENT_FIELD_LABOR_HOURS)&gt;TEMP_HOURS_CAP),"",$C395+L$6-MIN(($D395+L$5),PERMANENT_FIELD_LABOR_HOURS)*PERMANENT_HOURLY_RATE-MAX(0,($D395+L$5)-PERMANENT_FIELD_LABOR_HOURS)*TEMP_HOURLY_RATE-FIXED_SEASON_COST)</f>
        <v/>
      </c>
      <c r="M395" s="53" t="str">
        <f aca="false">IF(OR($A395&gt;TOMATO_BED_CAP,$B395&gt;CARROT_BED_CAP,M$4&gt;MESCLUN_BED_CAP,$A395+$B395+M$4&gt;TOTAL_BEDS_AVAILABLE,($D395+M$5)&gt;TOTAL_LABOR_HOURS_CAP,MAX(0,($D395+M$5)-PERMANENT_FIELD_LABOR_HOURS)&gt;TEMP_HOURS_CAP),"",$C395+M$6-MIN(($D395+M$5),PERMANENT_FIELD_LABOR_HOURS)*PERMANENT_HOURLY_RATE-MAX(0,($D395+M$5)-PERMANENT_FIELD_LABOR_HOURS)*TEMP_HOURLY_RATE-FIXED_SEASON_COST)</f>
        <v/>
      </c>
      <c r="N395" s="53" t="str">
        <f aca="false">IF(OR($A395&gt;TOMATO_BED_CAP,$B395&gt;CARROT_BED_CAP,N$4&gt;MESCLUN_BED_CAP,$A395+$B395+N$4&gt;TOTAL_BEDS_AVAILABLE,($D395+N$5)&gt;TOTAL_LABOR_HOURS_CAP,MAX(0,($D395+N$5)-PERMANENT_FIELD_LABOR_HOURS)&gt;TEMP_HOURS_CAP),"",$C395+N$6-MIN(($D395+N$5),PERMANENT_FIELD_LABOR_HOURS)*PERMANENT_HOURLY_RATE-MAX(0,($D395+N$5)-PERMANENT_FIELD_LABOR_HOURS)*TEMP_HOURLY_RATE-FIXED_SEASON_COST)</f>
        <v/>
      </c>
      <c r="O395" s="53" t="str">
        <f aca="false">IF(OR($A395&gt;TOMATO_BED_CAP,$B395&gt;CARROT_BED_CAP,O$4&gt;MESCLUN_BED_CAP,$A395+$B395+O$4&gt;TOTAL_BEDS_AVAILABLE,($D395+O$5)&gt;TOTAL_LABOR_HOURS_CAP,MAX(0,($D395+O$5)-PERMANENT_FIELD_LABOR_HOURS)&gt;TEMP_HOURS_CAP),"",$C395+O$6-MIN(($D395+O$5),PERMANENT_FIELD_LABOR_HOURS)*PERMANENT_HOURLY_RATE-MAX(0,($D395+O$5)-PERMANENT_FIELD_LABOR_HOURS)*TEMP_HOURLY_RATE-FIXED_SEASON_COST)</f>
        <v/>
      </c>
      <c r="P395" s="53" t="str">
        <f aca="false">IF(OR($A395&gt;TOMATO_BED_CAP,$B395&gt;CARROT_BED_CAP,P$4&gt;MESCLUN_BED_CAP,$A395+$B395+P$4&gt;TOTAL_BEDS_AVAILABLE,($D395+P$5)&gt;TOTAL_LABOR_HOURS_CAP,MAX(0,($D395+P$5)-PERMANENT_FIELD_LABOR_HOURS)&gt;TEMP_HOURS_CAP),"",$C395+P$6-MIN(($D395+P$5),PERMANENT_FIELD_LABOR_HOURS)*PERMANENT_HOURLY_RATE-MAX(0,($D395+P$5)-PERMANENT_FIELD_LABOR_HOURS)*TEMP_HOURLY_RATE-FIXED_SEASON_COST)</f>
        <v/>
      </c>
      <c r="Q395" s="53" t="str">
        <f aca="false">IF(OR($A395&gt;TOMATO_BED_CAP,$B395&gt;CARROT_BED_CAP,Q$4&gt;MESCLUN_BED_CAP,$A395+$B395+Q$4&gt;TOTAL_BEDS_AVAILABLE,($D395+Q$5)&gt;TOTAL_LABOR_HOURS_CAP,MAX(0,($D395+Q$5)-PERMANENT_FIELD_LABOR_HOURS)&gt;TEMP_HOURS_CAP),"",$C395+Q$6-MIN(($D395+Q$5),PERMANENT_FIELD_LABOR_HOURS)*PERMANENT_HOURLY_RATE-MAX(0,($D395+Q$5)-PERMANENT_FIELD_LABOR_HOURS)*TEMP_HOURLY_RATE-FIXED_SEASON_COST)</f>
        <v/>
      </c>
      <c r="R395" s="53" t="str">
        <f aca="false">IF(OR($A395&gt;TOMATO_BED_CAP,$B395&gt;CARROT_BED_CAP,R$4&gt;MESCLUN_BED_CAP,$A395+$B395+R$4&gt;TOTAL_BEDS_AVAILABLE,($D395+R$5)&gt;TOTAL_LABOR_HOURS_CAP,MAX(0,($D395+R$5)-PERMANENT_FIELD_LABOR_HOURS)&gt;TEMP_HOURS_CAP),"",$C395+R$6-MIN(($D395+R$5),PERMANENT_FIELD_LABOR_HOURS)*PERMANENT_HOURLY_RATE-MAX(0,($D395+R$5)-PERMANENT_FIELD_LABOR_HOURS)*TEMP_HOURLY_RATE-FIXED_SEASON_COST)</f>
        <v/>
      </c>
      <c r="S395" s="53" t="str">
        <f aca="false">IF(OR($A395&gt;TOMATO_BED_CAP,$B395&gt;CARROT_BED_CAP,S$4&gt;MESCLUN_BED_CAP,$A395+$B395+S$4&gt;TOTAL_BEDS_AVAILABLE,($D395+S$5)&gt;TOTAL_LABOR_HOURS_CAP,MAX(0,($D395+S$5)-PERMANENT_FIELD_LABOR_HOURS)&gt;TEMP_HOURS_CAP),"",$C395+S$6-MIN(($D395+S$5),PERMANENT_FIELD_LABOR_HOURS)*PERMANENT_HOURLY_RATE-MAX(0,($D395+S$5)-PERMANENT_FIELD_LABOR_HOURS)*TEMP_HOURLY_RATE-FIXED_SEASON_COST)</f>
        <v/>
      </c>
      <c r="T395" s="53" t="str">
        <f aca="false">IF(OR($A395&gt;TOMATO_BED_CAP,$B395&gt;CARROT_BED_CAP,T$4&gt;MESCLUN_BED_CAP,$A395+$B395+T$4&gt;TOTAL_BEDS_AVAILABLE,($D395+T$5)&gt;TOTAL_LABOR_HOURS_CAP,MAX(0,($D395+T$5)-PERMANENT_FIELD_LABOR_HOURS)&gt;TEMP_HOURS_CAP),"",$C395+T$6-MIN(($D395+T$5),PERMANENT_FIELD_LABOR_HOURS)*PERMANENT_HOURLY_RATE-MAX(0,($D395+T$5)-PERMANENT_FIELD_LABOR_HOURS)*TEMP_HOURLY_RATE-FIXED_SEASON_COST)</f>
        <v/>
      </c>
      <c r="U395" s="53" t="str">
        <f aca="false">IF(OR($A395&gt;TOMATO_BED_CAP,$B395&gt;CARROT_BED_CAP,U$4&gt;MESCLUN_BED_CAP,$A395+$B395+U$4&gt;TOTAL_BEDS_AVAILABLE,($D395+U$5)&gt;TOTAL_LABOR_HOURS_CAP,MAX(0,($D395+U$5)-PERMANENT_FIELD_LABOR_HOURS)&gt;TEMP_HOURS_CAP),"",$C395+U$6-MIN(($D395+U$5),PERMANENT_FIELD_LABOR_HOURS)*PERMANENT_HOURLY_RATE-MAX(0,($D395+U$5)-PERMANENT_FIELD_LABOR_HOURS)*TEMP_HOURLY_RATE-FIXED_SEASON_COST)</f>
        <v/>
      </c>
      <c r="V395" s="53" t="str">
        <f aca="false">IF(OR($A395&gt;TOMATO_BED_CAP,$B395&gt;CARROT_BED_CAP,V$4&gt;MESCLUN_BED_CAP,$A395+$B395+V$4&gt;TOTAL_BEDS_AVAILABLE,($D395+V$5)&gt;TOTAL_LABOR_HOURS_CAP,MAX(0,($D395+V$5)-PERMANENT_FIELD_LABOR_HOURS)&gt;TEMP_HOURS_CAP),"",$C395+V$6-MIN(($D395+V$5),PERMANENT_FIELD_LABOR_HOURS)*PERMANENT_HOURLY_RATE-MAX(0,($D395+V$5)-PERMANENT_FIELD_LABOR_HOURS)*TEMP_HOURLY_RATE-FIXED_SEASON_COST)</f>
        <v/>
      </c>
      <c r="W395" s="53" t="str">
        <f aca="false">IF(OR($A395&gt;TOMATO_BED_CAP,$B395&gt;CARROT_BED_CAP,W$4&gt;MESCLUN_BED_CAP,$A395+$B395+W$4&gt;TOTAL_BEDS_AVAILABLE,($D395+W$5)&gt;TOTAL_LABOR_HOURS_CAP,MAX(0,($D395+W$5)-PERMANENT_FIELD_LABOR_HOURS)&gt;TEMP_HOURS_CAP),"",$C395+W$6-MIN(($D395+W$5),PERMANENT_FIELD_LABOR_HOURS)*PERMANENT_HOURLY_RATE-MAX(0,($D395+W$5)-PERMANENT_FIELD_LABOR_HOURS)*TEMP_HOURLY_RATE-FIXED_SEASON_COST)</f>
        <v/>
      </c>
      <c r="X395" s="53" t="str">
        <f aca="false">IF(OR($A395&gt;TOMATO_BED_CAP,$B395&gt;CARROT_BED_CAP,X$4&gt;MESCLUN_BED_CAP,$A395+$B395+X$4&gt;TOTAL_BEDS_AVAILABLE,($D395+X$5)&gt;TOTAL_LABOR_HOURS_CAP,MAX(0,($D395+X$5)-PERMANENT_FIELD_LABOR_HOURS)&gt;TEMP_HOURS_CAP),"",$C395+X$6-MIN(($D395+X$5),PERMANENT_FIELD_LABOR_HOURS)*PERMANENT_HOURLY_RATE-MAX(0,($D395+X$5)-PERMANENT_FIELD_LABOR_HOURS)*TEMP_HOURLY_RATE-FIXED_SEASON_COST)</f>
        <v/>
      </c>
      <c r="Y395" s="53" t="str">
        <f aca="false">IF(OR($A395&gt;TOMATO_BED_CAP,$B395&gt;CARROT_BED_CAP,Y$4&gt;MESCLUN_BED_CAP,$A395+$B395+Y$4&gt;TOTAL_BEDS_AVAILABLE,($D395+Y$5)&gt;TOTAL_LABOR_HOURS_CAP,MAX(0,($D395+Y$5)-PERMANENT_FIELD_LABOR_HOURS)&gt;TEMP_HOURS_CAP),"",$C395+Y$6-MIN(($D395+Y$5),PERMANENT_FIELD_LABOR_HOURS)*PERMANENT_HOURLY_RATE-MAX(0,($D395+Y$5)-PERMANENT_FIELD_LABOR_HOURS)*TEMP_HOURLY_RATE-FIXED_SEASON_COST)</f>
        <v/>
      </c>
      <c r="Z395" s="53" t="str">
        <f aca="false">IF(OR($A395&gt;TOMATO_BED_CAP,$B395&gt;CARROT_BED_CAP,Z$4&gt;MESCLUN_BED_CAP,$A395+$B395+Z$4&gt;TOTAL_BEDS_AVAILABLE,($D395+Z$5)&gt;TOTAL_LABOR_HOURS_CAP,MAX(0,($D395+Z$5)-PERMANENT_FIELD_LABOR_HOURS)&gt;TEMP_HOURS_CAP),"",$C395+Z$6-MIN(($D395+Z$5),PERMANENT_FIELD_LABOR_HOURS)*PERMANENT_HOURLY_RATE-MAX(0,($D395+Z$5)-PERMANENT_FIELD_LABOR_HOURS)*TEMP_HOURLY_RATE-FIXED_SEASON_COST)</f>
        <v/>
      </c>
      <c r="AA395" s="53" t="str">
        <f aca="false">IF(OR($A395&gt;TOMATO_BED_CAP,$B395&gt;CARROT_BED_CAP,AA$4&gt;MESCLUN_BED_CAP,$A395+$B395+AA$4&gt;TOTAL_BEDS_AVAILABLE,($D395+AA$5)&gt;TOTAL_LABOR_HOURS_CAP,MAX(0,($D395+AA$5)-PERMANENT_FIELD_LABOR_HOURS)&gt;TEMP_HOURS_CAP),"",$C395+AA$6-MIN(($D395+AA$5),PERMANENT_FIELD_LABOR_HOURS)*PERMANENT_HOURLY_RATE-MAX(0,($D395+AA$5)-PERMANENT_FIELD_LABOR_HOURS)*TEMP_HOURLY_RATE-FIXED_SEASON_COST)</f>
        <v/>
      </c>
      <c r="AB395" s="53" t="str">
        <f aca="false">IF(OR($A395&gt;TOMATO_BED_CAP,$B395&gt;CARROT_BED_CAP,AB$4&gt;MESCLUN_BED_CAP,$A395+$B395+AB$4&gt;TOTAL_BEDS_AVAILABLE,($D395+AB$5)&gt;TOTAL_LABOR_HOURS_CAP,MAX(0,($D395+AB$5)-PERMANENT_FIELD_LABOR_HOURS)&gt;TEMP_HOURS_CAP),"",$C395+AB$6-MIN(($D395+AB$5),PERMANENT_FIELD_LABOR_HOURS)*PERMANENT_HOURLY_RATE-MAX(0,($D395+AB$5)-PERMANENT_FIELD_LABOR_HOURS)*TEMP_HOURLY_RATE-FIXED_SEASON_COST)</f>
        <v/>
      </c>
      <c r="AC395" s="53" t="str">
        <f aca="false">IF(OR($A395&gt;TOMATO_BED_CAP,$B395&gt;CARROT_BED_CAP,AC$4&gt;MESCLUN_BED_CAP,$A395+$B395+AC$4&gt;TOTAL_BEDS_AVAILABLE,($D395+AC$5)&gt;TOTAL_LABOR_HOURS_CAP,MAX(0,($D395+AC$5)-PERMANENT_FIELD_LABOR_HOURS)&gt;TEMP_HOURS_CAP),"",$C395+AC$6-MIN(($D395+AC$5),PERMANENT_FIELD_LABOR_HOURS)*PERMANENT_HOURLY_RATE-MAX(0,($D395+AC$5)-PERMANENT_FIELD_LABOR_HOURS)*TEMP_HOURLY_RATE-FIXED_SEASON_COST)</f>
        <v/>
      </c>
      <c r="AD395" s="53" t="str">
        <f aca="false">IF(OR($A395&gt;TOMATO_BED_CAP,$B395&gt;CARROT_BED_CAP,AD$4&gt;MESCLUN_BED_CAP,$A395+$B395+AD$4&gt;TOTAL_BEDS_AVAILABLE,($D395+AD$5)&gt;TOTAL_LABOR_HOURS_CAP,MAX(0,($D395+AD$5)-PERMANENT_FIELD_LABOR_HOURS)&gt;TEMP_HOURS_CAP),"",$C395+AD$6-MIN(($D395+AD$5),PERMANENT_FIELD_LABOR_HOURS)*PERMANENT_HOURLY_RATE-MAX(0,($D395+AD$5)-PERMANENT_FIELD_LABOR_HOURS)*TEMP_HOURLY_RATE-FIXED_SEASON_COST)</f>
        <v/>
      </c>
      <c r="AE395" s="53" t="str">
        <f aca="false">IF(OR($A395&gt;TOMATO_BED_CAP,$B395&gt;CARROT_BED_CAP,AE$4&gt;MESCLUN_BED_CAP,$A395+$B395+AE$4&gt;TOTAL_BEDS_AVAILABLE,($D395+AE$5)&gt;TOTAL_LABOR_HOURS_CAP,MAX(0,($D395+AE$5)-PERMANENT_FIELD_LABOR_HOURS)&gt;TEMP_HOURS_CAP),"",$C395+AE$6-MIN(($D395+AE$5),PERMANENT_FIELD_LABOR_HOURS)*PERMANENT_HOURLY_RATE-MAX(0,($D395+AE$5)-PERMANENT_FIELD_LABOR_HOURS)*TEMP_HOURLY_RATE-FIXED_SEASON_COST)</f>
        <v/>
      </c>
      <c r="AF395" s="53" t="str">
        <f aca="false">IF(OR($A395&gt;TOMATO_BED_CAP,$B395&gt;CARROT_BED_CAP,AF$4&gt;MESCLUN_BED_CAP,$A395+$B395+AF$4&gt;TOTAL_BEDS_AVAILABLE,($D395+AF$5)&gt;TOTAL_LABOR_HOURS_CAP,MAX(0,($D395+AF$5)-PERMANENT_FIELD_LABOR_HOURS)&gt;TEMP_HOURS_CAP),"",$C395+AF$6-MIN(($D395+AF$5),PERMANENT_FIELD_LABOR_HOURS)*PERMANENT_HOURLY_RATE-MAX(0,($D395+AF$5)-PERMANENT_FIELD_LABOR_HOURS)*TEMP_HOURLY_RATE-FIXED_SEASON_COST)</f>
        <v/>
      </c>
      <c r="AG395" s="53" t="str">
        <f aca="false">IF(OR($A395&gt;TOMATO_BED_CAP,$B395&gt;CARROT_BED_CAP,AG$4&gt;MESCLUN_BED_CAP,$A395+$B395+AG$4&gt;TOTAL_BEDS_AVAILABLE,($D395+AG$5)&gt;TOTAL_LABOR_HOURS_CAP,MAX(0,($D395+AG$5)-PERMANENT_FIELD_LABOR_HOURS)&gt;TEMP_HOURS_CAP),"",$C395+AG$6-MIN(($D395+AG$5),PERMANENT_FIELD_LABOR_HOURS)*PERMANENT_HOURLY_RATE-MAX(0,($D395+AG$5)-PERMANENT_FIELD_LABOR_HOURS)*TEMP_HOURLY_RATE-FIXED_SEASON_COST)</f>
        <v/>
      </c>
      <c r="AH395" s="53" t="str">
        <f aca="false">IF(OR($A395&gt;TOMATO_BED_CAP,$B395&gt;CARROT_BED_CAP,AH$4&gt;MESCLUN_BED_CAP,$A395+$B395+AH$4&gt;TOTAL_BEDS_AVAILABLE,($D395+AH$5)&gt;TOTAL_LABOR_HOURS_CAP,MAX(0,($D395+AH$5)-PERMANENT_FIELD_LABOR_HOURS)&gt;TEMP_HOURS_CAP),"",$C395+AH$6-MIN(($D395+AH$5),PERMANENT_FIELD_LABOR_HOURS)*PERMANENT_HOURLY_RATE-MAX(0,($D395+AH$5)-PERMANENT_FIELD_LABOR_HOURS)*TEMP_HOURLY_RATE-FIXED_SEASON_COST)</f>
        <v/>
      </c>
      <c r="AI395" s="53" t="str">
        <f aca="false">IF(OR($A395&gt;TOMATO_BED_CAP,$B395&gt;CARROT_BED_CAP,AI$4&gt;MESCLUN_BED_CAP,$A395+$B395+AI$4&gt;TOTAL_BEDS_AVAILABLE,($D395+AI$5)&gt;TOTAL_LABOR_HOURS_CAP,MAX(0,($D395+AI$5)-PERMANENT_FIELD_LABOR_HOURS)&gt;TEMP_HOURS_CAP),"",$C395+AI$6-MIN(($D395+AI$5),PERMANENT_FIELD_LABOR_HOURS)*PERMANENT_HOURLY_RATE-MAX(0,($D395+AI$5)-PERMANENT_FIELD_LABOR_HOURS)*TEMP_HOURLY_RATE-FIXED_SEASON_COST)</f>
        <v/>
      </c>
      <c r="AJ395" s="53" t="str">
        <f aca="false">IF(OR($A395&gt;TOMATO_BED_CAP,$B395&gt;CARROT_BED_CAP,AJ$4&gt;MESCLUN_BED_CAP,$A395+$B395+AJ$4&gt;TOTAL_BEDS_AVAILABLE,($D395+AJ$5)&gt;TOTAL_LABOR_HOURS_CAP,MAX(0,($D395+AJ$5)-PERMANENT_FIELD_LABOR_HOURS)&gt;TEMP_HOURS_CAP),"",$C395+AJ$6-MIN(($D395+AJ$5),PERMANENT_FIELD_LABOR_HOURS)*PERMANENT_HOURLY_RATE-MAX(0,($D395+AJ$5)-PERMANENT_FIELD_LABOR_HOURS)*TEMP_HOURLY_RATE-FIXED_SEASON_COST)</f>
        <v/>
      </c>
    </row>
    <row r="396" customFormat="false" ht="15" hidden="false" customHeight="false" outlineLevel="0" collapsed="false">
      <c r="A396" s="21" t="n">
        <f aca="false">INT((ROW()-ROW($A$8))/(20+1))</f>
        <v>18</v>
      </c>
      <c r="B396" s="21" t="n">
        <f aca="false">MOD(ROW()-ROW($A$8),20+1)</f>
        <v>10</v>
      </c>
      <c r="C396" s="13" t="n">
        <f aca="false">A396*(TOMATO_REVENUE_PER_BED-TOMATO_FERTILIZER_PER_BED)+B396*(CARROT_REVENUE_PER_BED-CARROT_FERTILIZER_PER_BED)</f>
        <v>159100</v>
      </c>
      <c r="D396" s="14" t="n">
        <f aca="false">INDEX(TOMATO_SCHED_LABOR_HRS,A396+1)+INDEX(CARROT_SCHED_LABOR_HRS,B396+1)</f>
        <v>9390.93780097103</v>
      </c>
      <c r="E396" s="13" t="str">
        <f aca="false">IF(COUNT(F396:AJ396)=0,"",MAX(F396:AJ396))</f>
        <v/>
      </c>
      <c r="F396" s="53" t="str">
        <f aca="false">IF(OR($A396&gt;TOMATO_BED_CAP,$B396&gt;CARROT_BED_CAP,F$4&gt;MESCLUN_BED_CAP,$A396+$B396+F$4&gt;TOTAL_BEDS_AVAILABLE,($D396+F$5)&gt;TOTAL_LABOR_HOURS_CAP,MAX(0,($D396+F$5)-PERMANENT_FIELD_LABOR_HOURS)&gt;TEMP_HOURS_CAP),"",$C396+F$6-MIN(($D396+F$5),PERMANENT_FIELD_LABOR_HOURS)*PERMANENT_HOURLY_RATE-MAX(0,($D396+F$5)-PERMANENT_FIELD_LABOR_HOURS)*TEMP_HOURLY_RATE-FIXED_SEASON_COST)</f>
        <v/>
      </c>
      <c r="G396" s="53" t="str">
        <f aca="false">IF(OR($A396&gt;TOMATO_BED_CAP,$B396&gt;CARROT_BED_CAP,G$4&gt;MESCLUN_BED_CAP,$A396+$B396+G$4&gt;TOTAL_BEDS_AVAILABLE,($D396+G$5)&gt;TOTAL_LABOR_HOURS_CAP,MAX(0,($D396+G$5)-PERMANENT_FIELD_LABOR_HOURS)&gt;TEMP_HOURS_CAP),"",$C396+G$6-MIN(($D396+G$5),PERMANENT_FIELD_LABOR_HOURS)*PERMANENT_HOURLY_RATE-MAX(0,($D396+G$5)-PERMANENT_FIELD_LABOR_HOURS)*TEMP_HOURLY_RATE-FIXED_SEASON_COST)</f>
        <v/>
      </c>
      <c r="H396" s="53" t="str">
        <f aca="false">IF(OR($A396&gt;TOMATO_BED_CAP,$B396&gt;CARROT_BED_CAP,H$4&gt;MESCLUN_BED_CAP,$A396+$B396+H$4&gt;TOTAL_BEDS_AVAILABLE,($D396+H$5)&gt;TOTAL_LABOR_HOURS_CAP,MAX(0,($D396+H$5)-PERMANENT_FIELD_LABOR_HOURS)&gt;TEMP_HOURS_CAP),"",$C396+H$6-MIN(($D396+H$5),PERMANENT_FIELD_LABOR_HOURS)*PERMANENT_HOURLY_RATE-MAX(0,($D396+H$5)-PERMANENT_FIELD_LABOR_HOURS)*TEMP_HOURLY_RATE-FIXED_SEASON_COST)</f>
        <v/>
      </c>
      <c r="I396" s="53" t="str">
        <f aca="false">IF(OR($A396&gt;TOMATO_BED_CAP,$B396&gt;CARROT_BED_CAP,I$4&gt;MESCLUN_BED_CAP,$A396+$B396+I$4&gt;TOTAL_BEDS_AVAILABLE,($D396+I$5)&gt;TOTAL_LABOR_HOURS_CAP,MAX(0,($D396+I$5)-PERMANENT_FIELD_LABOR_HOURS)&gt;TEMP_HOURS_CAP),"",$C396+I$6-MIN(($D396+I$5),PERMANENT_FIELD_LABOR_HOURS)*PERMANENT_HOURLY_RATE-MAX(0,($D396+I$5)-PERMANENT_FIELD_LABOR_HOURS)*TEMP_HOURLY_RATE-FIXED_SEASON_COST)</f>
        <v/>
      </c>
      <c r="J396" s="53" t="str">
        <f aca="false">IF(OR($A396&gt;TOMATO_BED_CAP,$B396&gt;CARROT_BED_CAP,J$4&gt;MESCLUN_BED_CAP,$A396+$B396+J$4&gt;TOTAL_BEDS_AVAILABLE,($D396+J$5)&gt;TOTAL_LABOR_HOURS_CAP,MAX(0,($D396+J$5)-PERMANENT_FIELD_LABOR_HOURS)&gt;TEMP_HOURS_CAP),"",$C396+J$6-MIN(($D396+J$5),PERMANENT_FIELD_LABOR_HOURS)*PERMANENT_HOURLY_RATE-MAX(0,($D396+J$5)-PERMANENT_FIELD_LABOR_HOURS)*TEMP_HOURLY_RATE-FIXED_SEASON_COST)</f>
        <v/>
      </c>
      <c r="K396" s="53" t="str">
        <f aca="false">IF(OR($A396&gt;TOMATO_BED_CAP,$B396&gt;CARROT_BED_CAP,K$4&gt;MESCLUN_BED_CAP,$A396+$B396+K$4&gt;TOTAL_BEDS_AVAILABLE,($D396+K$5)&gt;TOTAL_LABOR_HOURS_CAP,MAX(0,($D396+K$5)-PERMANENT_FIELD_LABOR_HOURS)&gt;TEMP_HOURS_CAP),"",$C396+K$6-MIN(($D396+K$5),PERMANENT_FIELD_LABOR_HOURS)*PERMANENT_HOURLY_RATE-MAX(0,($D396+K$5)-PERMANENT_FIELD_LABOR_HOURS)*TEMP_HOURLY_RATE-FIXED_SEASON_COST)</f>
        <v/>
      </c>
      <c r="L396" s="53" t="str">
        <f aca="false">IF(OR($A396&gt;TOMATO_BED_CAP,$B396&gt;CARROT_BED_CAP,L$4&gt;MESCLUN_BED_CAP,$A396+$B396+L$4&gt;TOTAL_BEDS_AVAILABLE,($D396+L$5)&gt;TOTAL_LABOR_HOURS_CAP,MAX(0,($D396+L$5)-PERMANENT_FIELD_LABOR_HOURS)&gt;TEMP_HOURS_CAP),"",$C396+L$6-MIN(($D396+L$5),PERMANENT_FIELD_LABOR_HOURS)*PERMANENT_HOURLY_RATE-MAX(0,($D396+L$5)-PERMANENT_FIELD_LABOR_HOURS)*TEMP_HOURLY_RATE-FIXED_SEASON_COST)</f>
        <v/>
      </c>
      <c r="M396" s="53" t="str">
        <f aca="false">IF(OR($A396&gt;TOMATO_BED_CAP,$B396&gt;CARROT_BED_CAP,M$4&gt;MESCLUN_BED_CAP,$A396+$B396+M$4&gt;TOTAL_BEDS_AVAILABLE,($D396+M$5)&gt;TOTAL_LABOR_HOURS_CAP,MAX(0,($D396+M$5)-PERMANENT_FIELD_LABOR_HOURS)&gt;TEMP_HOURS_CAP),"",$C396+M$6-MIN(($D396+M$5),PERMANENT_FIELD_LABOR_HOURS)*PERMANENT_HOURLY_RATE-MAX(0,($D396+M$5)-PERMANENT_FIELD_LABOR_HOURS)*TEMP_HOURLY_RATE-FIXED_SEASON_COST)</f>
        <v/>
      </c>
      <c r="N396" s="53" t="str">
        <f aca="false">IF(OR($A396&gt;TOMATO_BED_CAP,$B396&gt;CARROT_BED_CAP,N$4&gt;MESCLUN_BED_CAP,$A396+$B396+N$4&gt;TOTAL_BEDS_AVAILABLE,($D396+N$5)&gt;TOTAL_LABOR_HOURS_CAP,MAX(0,($D396+N$5)-PERMANENT_FIELD_LABOR_HOURS)&gt;TEMP_HOURS_CAP),"",$C396+N$6-MIN(($D396+N$5),PERMANENT_FIELD_LABOR_HOURS)*PERMANENT_HOURLY_RATE-MAX(0,($D396+N$5)-PERMANENT_FIELD_LABOR_HOURS)*TEMP_HOURLY_RATE-FIXED_SEASON_COST)</f>
        <v/>
      </c>
      <c r="O396" s="53" t="str">
        <f aca="false">IF(OR($A396&gt;TOMATO_BED_CAP,$B396&gt;CARROT_BED_CAP,O$4&gt;MESCLUN_BED_CAP,$A396+$B396+O$4&gt;TOTAL_BEDS_AVAILABLE,($D396+O$5)&gt;TOTAL_LABOR_HOURS_CAP,MAX(0,($D396+O$5)-PERMANENT_FIELD_LABOR_HOURS)&gt;TEMP_HOURS_CAP),"",$C396+O$6-MIN(($D396+O$5),PERMANENT_FIELD_LABOR_HOURS)*PERMANENT_HOURLY_RATE-MAX(0,($D396+O$5)-PERMANENT_FIELD_LABOR_HOURS)*TEMP_HOURLY_RATE-FIXED_SEASON_COST)</f>
        <v/>
      </c>
      <c r="P396" s="53" t="str">
        <f aca="false">IF(OR($A396&gt;TOMATO_BED_CAP,$B396&gt;CARROT_BED_CAP,P$4&gt;MESCLUN_BED_CAP,$A396+$B396+P$4&gt;TOTAL_BEDS_AVAILABLE,($D396+P$5)&gt;TOTAL_LABOR_HOURS_CAP,MAX(0,($D396+P$5)-PERMANENT_FIELD_LABOR_HOURS)&gt;TEMP_HOURS_CAP),"",$C396+P$6-MIN(($D396+P$5),PERMANENT_FIELD_LABOR_HOURS)*PERMANENT_HOURLY_RATE-MAX(0,($D396+P$5)-PERMANENT_FIELD_LABOR_HOURS)*TEMP_HOURLY_RATE-FIXED_SEASON_COST)</f>
        <v/>
      </c>
      <c r="Q396" s="53" t="str">
        <f aca="false">IF(OR($A396&gt;TOMATO_BED_CAP,$B396&gt;CARROT_BED_CAP,Q$4&gt;MESCLUN_BED_CAP,$A396+$B396+Q$4&gt;TOTAL_BEDS_AVAILABLE,($D396+Q$5)&gt;TOTAL_LABOR_HOURS_CAP,MAX(0,($D396+Q$5)-PERMANENT_FIELD_LABOR_HOURS)&gt;TEMP_HOURS_CAP),"",$C396+Q$6-MIN(($D396+Q$5),PERMANENT_FIELD_LABOR_HOURS)*PERMANENT_HOURLY_RATE-MAX(0,($D396+Q$5)-PERMANENT_FIELD_LABOR_HOURS)*TEMP_HOURLY_RATE-FIXED_SEASON_COST)</f>
        <v/>
      </c>
      <c r="R396" s="53" t="str">
        <f aca="false">IF(OR($A396&gt;TOMATO_BED_CAP,$B396&gt;CARROT_BED_CAP,R$4&gt;MESCLUN_BED_CAP,$A396+$B396+R$4&gt;TOTAL_BEDS_AVAILABLE,($D396+R$5)&gt;TOTAL_LABOR_HOURS_CAP,MAX(0,($D396+R$5)-PERMANENT_FIELD_LABOR_HOURS)&gt;TEMP_HOURS_CAP),"",$C396+R$6-MIN(($D396+R$5),PERMANENT_FIELD_LABOR_HOURS)*PERMANENT_HOURLY_RATE-MAX(0,($D396+R$5)-PERMANENT_FIELD_LABOR_HOURS)*TEMP_HOURLY_RATE-FIXED_SEASON_COST)</f>
        <v/>
      </c>
      <c r="S396" s="53" t="str">
        <f aca="false">IF(OR($A396&gt;TOMATO_BED_CAP,$B396&gt;CARROT_BED_CAP,S$4&gt;MESCLUN_BED_CAP,$A396+$B396+S$4&gt;TOTAL_BEDS_AVAILABLE,($D396+S$5)&gt;TOTAL_LABOR_HOURS_CAP,MAX(0,($D396+S$5)-PERMANENT_FIELD_LABOR_HOURS)&gt;TEMP_HOURS_CAP),"",$C396+S$6-MIN(($D396+S$5),PERMANENT_FIELD_LABOR_HOURS)*PERMANENT_HOURLY_RATE-MAX(0,($D396+S$5)-PERMANENT_FIELD_LABOR_HOURS)*TEMP_HOURLY_RATE-FIXED_SEASON_COST)</f>
        <v/>
      </c>
      <c r="T396" s="53" t="str">
        <f aca="false">IF(OR($A396&gt;TOMATO_BED_CAP,$B396&gt;CARROT_BED_CAP,T$4&gt;MESCLUN_BED_CAP,$A396+$B396+T$4&gt;TOTAL_BEDS_AVAILABLE,($D396+T$5)&gt;TOTAL_LABOR_HOURS_CAP,MAX(0,($D396+T$5)-PERMANENT_FIELD_LABOR_HOURS)&gt;TEMP_HOURS_CAP),"",$C396+T$6-MIN(($D396+T$5),PERMANENT_FIELD_LABOR_HOURS)*PERMANENT_HOURLY_RATE-MAX(0,($D396+T$5)-PERMANENT_FIELD_LABOR_HOURS)*TEMP_HOURLY_RATE-FIXED_SEASON_COST)</f>
        <v/>
      </c>
      <c r="U396" s="53" t="str">
        <f aca="false">IF(OR($A396&gt;TOMATO_BED_CAP,$B396&gt;CARROT_BED_CAP,U$4&gt;MESCLUN_BED_CAP,$A396+$B396+U$4&gt;TOTAL_BEDS_AVAILABLE,($D396+U$5)&gt;TOTAL_LABOR_HOURS_CAP,MAX(0,($D396+U$5)-PERMANENT_FIELD_LABOR_HOURS)&gt;TEMP_HOURS_CAP),"",$C396+U$6-MIN(($D396+U$5),PERMANENT_FIELD_LABOR_HOURS)*PERMANENT_HOURLY_RATE-MAX(0,($D396+U$5)-PERMANENT_FIELD_LABOR_HOURS)*TEMP_HOURLY_RATE-FIXED_SEASON_COST)</f>
        <v/>
      </c>
      <c r="V396" s="53" t="str">
        <f aca="false">IF(OR($A396&gt;TOMATO_BED_CAP,$B396&gt;CARROT_BED_CAP,V$4&gt;MESCLUN_BED_CAP,$A396+$B396+V$4&gt;TOTAL_BEDS_AVAILABLE,($D396+V$5)&gt;TOTAL_LABOR_HOURS_CAP,MAX(0,($D396+V$5)-PERMANENT_FIELD_LABOR_HOURS)&gt;TEMP_HOURS_CAP),"",$C396+V$6-MIN(($D396+V$5),PERMANENT_FIELD_LABOR_HOURS)*PERMANENT_HOURLY_RATE-MAX(0,($D396+V$5)-PERMANENT_FIELD_LABOR_HOURS)*TEMP_HOURLY_RATE-FIXED_SEASON_COST)</f>
        <v/>
      </c>
      <c r="W396" s="53" t="str">
        <f aca="false">IF(OR($A396&gt;TOMATO_BED_CAP,$B396&gt;CARROT_BED_CAP,W$4&gt;MESCLUN_BED_CAP,$A396+$B396+W$4&gt;TOTAL_BEDS_AVAILABLE,($D396+W$5)&gt;TOTAL_LABOR_HOURS_CAP,MAX(0,($D396+W$5)-PERMANENT_FIELD_LABOR_HOURS)&gt;TEMP_HOURS_CAP),"",$C396+W$6-MIN(($D396+W$5),PERMANENT_FIELD_LABOR_HOURS)*PERMANENT_HOURLY_RATE-MAX(0,($D396+W$5)-PERMANENT_FIELD_LABOR_HOURS)*TEMP_HOURLY_RATE-FIXED_SEASON_COST)</f>
        <v/>
      </c>
      <c r="X396" s="53" t="str">
        <f aca="false">IF(OR($A396&gt;TOMATO_BED_CAP,$B396&gt;CARROT_BED_CAP,X$4&gt;MESCLUN_BED_CAP,$A396+$B396+X$4&gt;TOTAL_BEDS_AVAILABLE,($D396+X$5)&gt;TOTAL_LABOR_HOURS_CAP,MAX(0,($D396+X$5)-PERMANENT_FIELD_LABOR_HOURS)&gt;TEMP_HOURS_CAP),"",$C396+X$6-MIN(($D396+X$5),PERMANENT_FIELD_LABOR_HOURS)*PERMANENT_HOURLY_RATE-MAX(0,($D396+X$5)-PERMANENT_FIELD_LABOR_HOURS)*TEMP_HOURLY_RATE-FIXED_SEASON_COST)</f>
        <v/>
      </c>
      <c r="Y396" s="53" t="str">
        <f aca="false">IF(OR($A396&gt;TOMATO_BED_CAP,$B396&gt;CARROT_BED_CAP,Y$4&gt;MESCLUN_BED_CAP,$A396+$B396+Y$4&gt;TOTAL_BEDS_AVAILABLE,($D396+Y$5)&gt;TOTAL_LABOR_HOURS_CAP,MAX(0,($D396+Y$5)-PERMANENT_FIELD_LABOR_HOURS)&gt;TEMP_HOURS_CAP),"",$C396+Y$6-MIN(($D396+Y$5),PERMANENT_FIELD_LABOR_HOURS)*PERMANENT_HOURLY_RATE-MAX(0,($D396+Y$5)-PERMANENT_FIELD_LABOR_HOURS)*TEMP_HOURLY_RATE-FIXED_SEASON_COST)</f>
        <v/>
      </c>
      <c r="Z396" s="53" t="str">
        <f aca="false">IF(OR($A396&gt;TOMATO_BED_CAP,$B396&gt;CARROT_BED_CAP,Z$4&gt;MESCLUN_BED_CAP,$A396+$B396+Z$4&gt;TOTAL_BEDS_AVAILABLE,($D396+Z$5)&gt;TOTAL_LABOR_HOURS_CAP,MAX(0,($D396+Z$5)-PERMANENT_FIELD_LABOR_HOURS)&gt;TEMP_HOURS_CAP),"",$C396+Z$6-MIN(($D396+Z$5),PERMANENT_FIELD_LABOR_HOURS)*PERMANENT_HOURLY_RATE-MAX(0,($D396+Z$5)-PERMANENT_FIELD_LABOR_HOURS)*TEMP_HOURLY_RATE-FIXED_SEASON_COST)</f>
        <v/>
      </c>
      <c r="AA396" s="53" t="str">
        <f aca="false">IF(OR($A396&gt;TOMATO_BED_CAP,$B396&gt;CARROT_BED_CAP,AA$4&gt;MESCLUN_BED_CAP,$A396+$B396+AA$4&gt;TOTAL_BEDS_AVAILABLE,($D396+AA$5)&gt;TOTAL_LABOR_HOURS_CAP,MAX(0,($D396+AA$5)-PERMANENT_FIELD_LABOR_HOURS)&gt;TEMP_HOURS_CAP),"",$C396+AA$6-MIN(($D396+AA$5),PERMANENT_FIELD_LABOR_HOURS)*PERMANENT_HOURLY_RATE-MAX(0,($D396+AA$5)-PERMANENT_FIELD_LABOR_HOURS)*TEMP_HOURLY_RATE-FIXED_SEASON_COST)</f>
        <v/>
      </c>
      <c r="AB396" s="53" t="str">
        <f aca="false">IF(OR($A396&gt;TOMATO_BED_CAP,$B396&gt;CARROT_BED_CAP,AB$4&gt;MESCLUN_BED_CAP,$A396+$B396+AB$4&gt;TOTAL_BEDS_AVAILABLE,($D396+AB$5)&gt;TOTAL_LABOR_HOURS_CAP,MAX(0,($D396+AB$5)-PERMANENT_FIELD_LABOR_HOURS)&gt;TEMP_HOURS_CAP),"",$C396+AB$6-MIN(($D396+AB$5),PERMANENT_FIELD_LABOR_HOURS)*PERMANENT_HOURLY_RATE-MAX(0,($D396+AB$5)-PERMANENT_FIELD_LABOR_HOURS)*TEMP_HOURLY_RATE-FIXED_SEASON_COST)</f>
        <v/>
      </c>
      <c r="AC396" s="53" t="str">
        <f aca="false">IF(OR($A396&gt;TOMATO_BED_CAP,$B396&gt;CARROT_BED_CAP,AC$4&gt;MESCLUN_BED_CAP,$A396+$B396+AC$4&gt;TOTAL_BEDS_AVAILABLE,($D396+AC$5)&gt;TOTAL_LABOR_HOURS_CAP,MAX(0,($D396+AC$5)-PERMANENT_FIELD_LABOR_HOURS)&gt;TEMP_HOURS_CAP),"",$C396+AC$6-MIN(($D396+AC$5),PERMANENT_FIELD_LABOR_HOURS)*PERMANENT_HOURLY_RATE-MAX(0,($D396+AC$5)-PERMANENT_FIELD_LABOR_HOURS)*TEMP_HOURLY_RATE-FIXED_SEASON_COST)</f>
        <v/>
      </c>
      <c r="AD396" s="53" t="str">
        <f aca="false">IF(OR($A396&gt;TOMATO_BED_CAP,$B396&gt;CARROT_BED_CAP,AD$4&gt;MESCLUN_BED_CAP,$A396+$B396+AD$4&gt;TOTAL_BEDS_AVAILABLE,($D396+AD$5)&gt;TOTAL_LABOR_HOURS_CAP,MAX(0,($D396+AD$5)-PERMANENT_FIELD_LABOR_HOURS)&gt;TEMP_HOURS_CAP),"",$C396+AD$6-MIN(($D396+AD$5),PERMANENT_FIELD_LABOR_HOURS)*PERMANENT_HOURLY_RATE-MAX(0,($D396+AD$5)-PERMANENT_FIELD_LABOR_HOURS)*TEMP_HOURLY_RATE-FIXED_SEASON_COST)</f>
        <v/>
      </c>
      <c r="AE396" s="53" t="str">
        <f aca="false">IF(OR($A396&gt;TOMATO_BED_CAP,$B396&gt;CARROT_BED_CAP,AE$4&gt;MESCLUN_BED_CAP,$A396+$B396+AE$4&gt;TOTAL_BEDS_AVAILABLE,($D396+AE$5)&gt;TOTAL_LABOR_HOURS_CAP,MAX(0,($D396+AE$5)-PERMANENT_FIELD_LABOR_HOURS)&gt;TEMP_HOURS_CAP),"",$C396+AE$6-MIN(($D396+AE$5),PERMANENT_FIELD_LABOR_HOURS)*PERMANENT_HOURLY_RATE-MAX(0,($D396+AE$5)-PERMANENT_FIELD_LABOR_HOURS)*TEMP_HOURLY_RATE-FIXED_SEASON_COST)</f>
        <v/>
      </c>
      <c r="AF396" s="53" t="str">
        <f aca="false">IF(OR($A396&gt;TOMATO_BED_CAP,$B396&gt;CARROT_BED_CAP,AF$4&gt;MESCLUN_BED_CAP,$A396+$B396+AF$4&gt;TOTAL_BEDS_AVAILABLE,($D396+AF$5)&gt;TOTAL_LABOR_HOURS_CAP,MAX(0,($D396+AF$5)-PERMANENT_FIELD_LABOR_HOURS)&gt;TEMP_HOURS_CAP),"",$C396+AF$6-MIN(($D396+AF$5),PERMANENT_FIELD_LABOR_HOURS)*PERMANENT_HOURLY_RATE-MAX(0,($D396+AF$5)-PERMANENT_FIELD_LABOR_HOURS)*TEMP_HOURLY_RATE-FIXED_SEASON_COST)</f>
        <v/>
      </c>
      <c r="AG396" s="53" t="str">
        <f aca="false">IF(OR($A396&gt;TOMATO_BED_CAP,$B396&gt;CARROT_BED_CAP,AG$4&gt;MESCLUN_BED_CAP,$A396+$B396+AG$4&gt;TOTAL_BEDS_AVAILABLE,($D396+AG$5)&gt;TOTAL_LABOR_HOURS_CAP,MAX(0,($D396+AG$5)-PERMANENT_FIELD_LABOR_HOURS)&gt;TEMP_HOURS_CAP),"",$C396+AG$6-MIN(($D396+AG$5),PERMANENT_FIELD_LABOR_HOURS)*PERMANENT_HOURLY_RATE-MAX(0,($D396+AG$5)-PERMANENT_FIELD_LABOR_HOURS)*TEMP_HOURLY_RATE-FIXED_SEASON_COST)</f>
        <v/>
      </c>
      <c r="AH396" s="53" t="str">
        <f aca="false">IF(OR($A396&gt;TOMATO_BED_CAP,$B396&gt;CARROT_BED_CAP,AH$4&gt;MESCLUN_BED_CAP,$A396+$B396+AH$4&gt;TOTAL_BEDS_AVAILABLE,($D396+AH$5)&gt;TOTAL_LABOR_HOURS_CAP,MAX(0,($D396+AH$5)-PERMANENT_FIELD_LABOR_HOURS)&gt;TEMP_HOURS_CAP),"",$C396+AH$6-MIN(($D396+AH$5),PERMANENT_FIELD_LABOR_HOURS)*PERMANENT_HOURLY_RATE-MAX(0,($D396+AH$5)-PERMANENT_FIELD_LABOR_HOURS)*TEMP_HOURLY_RATE-FIXED_SEASON_COST)</f>
        <v/>
      </c>
      <c r="AI396" s="53" t="str">
        <f aca="false">IF(OR($A396&gt;TOMATO_BED_CAP,$B396&gt;CARROT_BED_CAP,AI$4&gt;MESCLUN_BED_CAP,$A396+$B396+AI$4&gt;TOTAL_BEDS_AVAILABLE,($D396+AI$5)&gt;TOTAL_LABOR_HOURS_CAP,MAX(0,($D396+AI$5)-PERMANENT_FIELD_LABOR_HOURS)&gt;TEMP_HOURS_CAP),"",$C396+AI$6-MIN(($D396+AI$5),PERMANENT_FIELD_LABOR_HOURS)*PERMANENT_HOURLY_RATE-MAX(0,($D396+AI$5)-PERMANENT_FIELD_LABOR_HOURS)*TEMP_HOURLY_RATE-FIXED_SEASON_COST)</f>
        <v/>
      </c>
      <c r="AJ396" s="53" t="str">
        <f aca="false">IF(OR($A396&gt;TOMATO_BED_CAP,$B396&gt;CARROT_BED_CAP,AJ$4&gt;MESCLUN_BED_CAP,$A396+$B396+AJ$4&gt;TOTAL_BEDS_AVAILABLE,($D396+AJ$5)&gt;TOTAL_LABOR_HOURS_CAP,MAX(0,($D396+AJ$5)-PERMANENT_FIELD_LABOR_HOURS)&gt;TEMP_HOURS_CAP),"",$C396+AJ$6-MIN(($D396+AJ$5),PERMANENT_FIELD_LABOR_HOURS)*PERMANENT_HOURLY_RATE-MAX(0,($D396+AJ$5)-PERMANENT_FIELD_LABOR_HOURS)*TEMP_HOURLY_RATE-FIXED_SEASON_COST)</f>
        <v/>
      </c>
    </row>
    <row r="397" customFormat="false" ht="15" hidden="false" customHeight="false" outlineLevel="0" collapsed="false">
      <c r="A397" s="21" t="n">
        <f aca="false">INT((ROW()-ROW($A$8))/(20+1))</f>
        <v>18</v>
      </c>
      <c r="B397" s="21" t="n">
        <f aca="false">MOD(ROW()-ROW($A$8),20+1)</f>
        <v>11</v>
      </c>
      <c r="C397" s="13" t="n">
        <f aca="false">A397*(TOMATO_REVENUE_PER_BED-TOMATO_FERTILIZER_PER_BED)+B397*(CARROT_REVENUE_PER_BED-CARROT_FERTILIZER_PER_BED)</f>
        <v>160754</v>
      </c>
      <c r="D397" s="14" t="n">
        <f aca="false">INDEX(TOMATO_SCHED_LABOR_HRS,A397+1)+INDEX(CARROT_SCHED_LABOR_HRS,B397+1)</f>
        <v>9439.88144949302</v>
      </c>
      <c r="E397" s="13" t="str">
        <f aca="false">IF(COUNT(F397:AJ397)=0,"",MAX(F397:AJ397))</f>
        <v/>
      </c>
      <c r="F397" s="53" t="str">
        <f aca="false">IF(OR($A397&gt;TOMATO_BED_CAP,$B397&gt;CARROT_BED_CAP,F$4&gt;MESCLUN_BED_CAP,$A397+$B397+F$4&gt;TOTAL_BEDS_AVAILABLE,($D397+F$5)&gt;TOTAL_LABOR_HOURS_CAP,MAX(0,($D397+F$5)-PERMANENT_FIELD_LABOR_HOURS)&gt;TEMP_HOURS_CAP),"",$C397+F$6-MIN(($D397+F$5),PERMANENT_FIELD_LABOR_HOURS)*PERMANENT_HOURLY_RATE-MAX(0,($D397+F$5)-PERMANENT_FIELD_LABOR_HOURS)*TEMP_HOURLY_RATE-FIXED_SEASON_COST)</f>
        <v/>
      </c>
      <c r="G397" s="53" t="str">
        <f aca="false">IF(OR($A397&gt;TOMATO_BED_CAP,$B397&gt;CARROT_BED_CAP,G$4&gt;MESCLUN_BED_CAP,$A397+$B397+G$4&gt;TOTAL_BEDS_AVAILABLE,($D397+G$5)&gt;TOTAL_LABOR_HOURS_CAP,MAX(0,($D397+G$5)-PERMANENT_FIELD_LABOR_HOURS)&gt;TEMP_HOURS_CAP),"",$C397+G$6-MIN(($D397+G$5),PERMANENT_FIELD_LABOR_HOURS)*PERMANENT_HOURLY_RATE-MAX(0,($D397+G$5)-PERMANENT_FIELD_LABOR_HOURS)*TEMP_HOURLY_RATE-FIXED_SEASON_COST)</f>
        <v/>
      </c>
      <c r="H397" s="53" t="str">
        <f aca="false">IF(OR($A397&gt;TOMATO_BED_CAP,$B397&gt;CARROT_BED_CAP,H$4&gt;MESCLUN_BED_CAP,$A397+$B397+H$4&gt;TOTAL_BEDS_AVAILABLE,($D397+H$5)&gt;TOTAL_LABOR_HOURS_CAP,MAX(0,($D397+H$5)-PERMANENT_FIELD_LABOR_HOURS)&gt;TEMP_HOURS_CAP),"",$C397+H$6-MIN(($D397+H$5),PERMANENT_FIELD_LABOR_HOURS)*PERMANENT_HOURLY_RATE-MAX(0,($D397+H$5)-PERMANENT_FIELD_LABOR_HOURS)*TEMP_HOURLY_RATE-FIXED_SEASON_COST)</f>
        <v/>
      </c>
      <c r="I397" s="53" t="str">
        <f aca="false">IF(OR($A397&gt;TOMATO_BED_CAP,$B397&gt;CARROT_BED_CAP,I$4&gt;MESCLUN_BED_CAP,$A397+$B397+I$4&gt;TOTAL_BEDS_AVAILABLE,($D397+I$5)&gt;TOTAL_LABOR_HOURS_CAP,MAX(0,($D397+I$5)-PERMANENT_FIELD_LABOR_HOURS)&gt;TEMP_HOURS_CAP),"",$C397+I$6-MIN(($D397+I$5),PERMANENT_FIELD_LABOR_HOURS)*PERMANENT_HOURLY_RATE-MAX(0,($D397+I$5)-PERMANENT_FIELD_LABOR_HOURS)*TEMP_HOURLY_RATE-FIXED_SEASON_COST)</f>
        <v/>
      </c>
      <c r="J397" s="53" t="str">
        <f aca="false">IF(OR($A397&gt;TOMATO_BED_CAP,$B397&gt;CARROT_BED_CAP,J$4&gt;MESCLUN_BED_CAP,$A397+$B397+J$4&gt;TOTAL_BEDS_AVAILABLE,($D397+J$5)&gt;TOTAL_LABOR_HOURS_CAP,MAX(0,($D397+J$5)-PERMANENT_FIELD_LABOR_HOURS)&gt;TEMP_HOURS_CAP),"",$C397+J$6-MIN(($D397+J$5),PERMANENT_FIELD_LABOR_HOURS)*PERMANENT_HOURLY_RATE-MAX(0,($D397+J$5)-PERMANENT_FIELD_LABOR_HOURS)*TEMP_HOURLY_RATE-FIXED_SEASON_COST)</f>
        <v/>
      </c>
      <c r="K397" s="53" t="str">
        <f aca="false">IF(OR($A397&gt;TOMATO_BED_CAP,$B397&gt;CARROT_BED_CAP,K$4&gt;MESCLUN_BED_CAP,$A397+$B397+K$4&gt;TOTAL_BEDS_AVAILABLE,($D397+K$5)&gt;TOTAL_LABOR_HOURS_CAP,MAX(0,($D397+K$5)-PERMANENT_FIELD_LABOR_HOURS)&gt;TEMP_HOURS_CAP),"",$C397+K$6-MIN(($D397+K$5),PERMANENT_FIELD_LABOR_HOURS)*PERMANENT_HOURLY_RATE-MAX(0,($D397+K$5)-PERMANENT_FIELD_LABOR_HOURS)*TEMP_HOURLY_RATE-FIXED_SEASON_COST)</f>
        <v/>
      </c>
      <c r="L397" s="53" t="str">
        <f aca="false">IF(OR($A397&gt;TOMATO_BED_CAP,$B397&gt;CARROT_BED_CAP,L$4&gt;MESCLUN_BED_CAP,$A397+$B397+L$4&gt;TOTAL_BEDS_AVAILABLE,($D397+L$5)&gt;TOTAL_LABOR_HOURS_CAP,MAX(0,($D397+L$5)-PERMANENT_FIELD_LABOR_HOURS)&gt;TEMP_HOURS_CAP),"",$C397+L$6-MIN(($D397+L$5),PERMANENT_FIELD_LABOR_HOURS)*PERMANENT_HOURLY_RATE-MAX(0,($D397+L$5)-PERMANENT_FIELD_LABOR_HOURS)*TEMP_HOURLY_RATE-FIXED_SEASON_COST)</f>
        <v/>
      </c>
      <c r="M397" s="53" t="str">
        <f aca="false">IF(OR($A397&gt;TOMATO_BED_CAP,$B397&gt;CARROT_BED_CAP,M$4&gt;MESCLUN_BED_CAP,$A397+$B397+M$4&gt;TOTAL_BEDS_AVAILABLE,($D397+M$5)&gt;TOTAL_LABOR_HOURS_CAP,MAX(0,($D397+M$5)-PERMANENT_FIELD_LABOR_HOURS)&gt;TEMP_HOURS_CAP),"",$C397+M$6-MIN(($D397+M$5),PERMANENT_FIELD_LABOR_HOURS)*PERMANENT_HOURLY_RATE-MAX(0,($D397+M$5)-PERMANENT_FIELD_LABOR_HOURS)*TEMP_HOURLY_RATE-FIXED_SEASON_COST)</f>
        <v/>
      </c>
      <c r="N397" s="53" t="str">
        <f aca="false">IF(OR($A397&gt;TOMATO_BED_CAP,$B397&gt;CARROT_BED_CAP,N$4&gt;MESCLUN_BED_CAP,$A397+$B397+N$4&gt;TOTAL_BEDS_AVAILABLE,($D397+N$5)&gt;TOTAL_LABOR_HOURS_CAP,MAX(0,($D397+N$5)-PERMANENT_FIELD_LABOR_HOURS)&gt;TEMP_HOURS_CAP),"",$C397+N$6-MIN(($D397+N$5),PERMANENT_FIELD_LABOR_HOURS)*PERMANENT_HOURLY_RATE-MAX(0,($D397+N$5)-PERMANENT_FIELD_LABOR_HOURS)*TEMP_HOURLY_RATE-FIXED_SEASON_COST)</f>
        <v/>
      </c>
      <c r="O397" s="53" t="str">
        <f aca="false">IF(OR($A397&gt;TOMATO_BED_CAP,$B397&gt;CARROT_BED_CAP,O$4&gt;MESCLUN_BED_CAP,$A397+$B397+O$4&gt;TOTAL_BEDS_AVAILABLE,($D397+O$5)&gt;TOTAL_LABOR_HOURS_CAP,MAX(0,($D397+O$5)-PERMANENT_FIELD_LABOR_HOURS)&gt;TEMP_HOURS_CAP),"",$C397+O$6-MIN(($D397+O$5),PERMANENT_FIELD_LABOR_HOURS)*PERMANENT_HOURLY_RATE-MAX(0,($D397+O$5)-PERMANENT_FIELD_LABOR_HOURS)*TEMP_HOURLY_RATE-FIXED_SEASON_COST)</f>
        <v/>
      </c>
      <c r="P397" s="53" t="str">
        <f aca="false">IF(OR($A397&gt;TOMATO_BED_CAP,$B397&gt;CARROT_BED_CAP,P$4&gt;MESCLUN_BED_CAP,$A397+$B397+P$4&gt;TOTAL_BEDS_AVAILABLE,($D397+P$5)&gt;TOTAL_LABOR_HOURS_CAP,MAX(0,($D397+P$5)-PERMANENT_FIELD_LABOR_HOURS)&gt;TEMP_HOURS_CAP),"",$C397+P$6-MIN(($D397+P$5),PERMANENT_FIELD_LABOR_HOURS)*PERMANENT_HOURLY_RATE-MAX(0,($D397+P$5)-PERMANENT_FIELD_LABOR_HOURS)*TEMP_HOURLY_RATE-FIXED_SEASON_COST)</f>
        <v/>
      </c>
      <c r="Q397" s="53" t="str">
        <f aca="false">IF(OR($A397&gt;TOMATO_BED_CAP,$B397&gt;CARROT_BED_CAP,Q$4&gt;MESCLUN_BED_CAP,$A397+$B397+Q$4&gt;TOTAL_BEDS_AVAILABLE,($D397+Q$5)&gt;TOTAL_LABOR_HOURS_CAP,MAX(0,($D397+Q$5)-PERMANENT_FIELD_LABOR_HOURS)&gt;TEMP_HOURS_CAP),"",$C397+Q$6-MIN(($D397+Q$5),PERMANENT_FIELD_LABOR_HOURS)*PERMANENT_HOURLY_RATE-MAX(0,($D397+Q$5)-PERMANENT_FIELD_LABOR_HOURS)*TEMP_HOURLY_RATE-FIXED_SEASON_COST)</f>
        <v/>
      </c>
      <c r="R397" s="53" t="str">
        <f aca="false">IF(OR($A397&gt;TOMATO_BED_CAP,$B397&gt;CARROT_BED_CAP,R$4&gt;MESCLUN_BED_CAP,$A397+$B397+R$4&gt;TOTAL_BEDS_AVAILABLE,($D397+R$5)&gt;TOTAL_LABOR_HOURS_CAP,MAX(0,($D397+R$5)-PERMANENT_FIELD_LABOR_HOURS)&gt;TEMP_HOURS_CAP),"",$C397+R$6-MIN(($D397+R$5),PERMANENT_FIELD_LABOR_HOURS)*PERMANENT_HOURLY_RATE-MAX(0,($D397+R$5)-PERMANENT_FIELD_LABOR_HOURS)*TEMP_HOURLY_RATE-FIXED_SEASON_COST)</f>
        <v/>
      </c>
      <c r="S397" s="53" t="str">
        <f aca="false">IF(OR($A397&gt;TOMATO_BED_CAP,$B397&gt;CARROT_BED_CAP,S$4&gt;MESCLUN_BED_CAP,$A397+$B397+S$4&gt;TOTAL_BEDS_AVAILABLE,($D397+S$5)&gt;TOTAL_LABOR_HOURS_CAP,MAX(0,($D397+S$5)-PERMANENT_FIELD_LABOR_HOURS)&gt;TEMP_HOURS_CAP),"",$C397+S$6-MIN(($D397+S$5),PERMANENT_FIELD_LABOR_HOURS)*PERMANENT_HOURLY_RATE-MAX(0,($D397+S$5)-PERMANENT_FIELD_LABOR_HOURS)*TEMP_HOURLY_RATE-FIXED_SEASON_COST)</f>
        <v/>
      </c>
      <c r="T397" s="53" t="str">
        <f aca="false">IF(OR($A397&gt;TOMATO_BED_CAP,$B397&gt;CARROT_BED_CAP,T$4&gt;MESCLUN_BED_CAP,$A397+$B397+T$4&gt;TOTAL_BEDS_AVAILABLE,($D397+T$5)&gt;TOTAL_LABOR_HOURS_CAP,MAX(0,($D397+T$5)-PERMANENT_FIELD_LABOR_HOURS)&gt;TEMP_HOURS_CAP),"",$C397+T$6-MIN(($D397+T$5),PERMANENT_FIELD_LABOR_HOURS)*PERMANENT_HOURLY_RATE-MAX(0,($D397+T$5)-PERMANENT_FIELD_LABOR_HOURS)*TEMP_HOURLY_RATE-FIXED_SEASON_COST)</f>
        <v/>
      </c>
      <c r="U397" s="53" t="str">
        <f aca="false">IF(OR($A397&gt;TOMATO_BED_CAP,$B397&gt;CARROT_BED_CAP,U$4&gt;MESCLUN_BED_CAP,$A397+$B397+U$4&gt;TOTAL_BEDS_AVAILABLE,($D397+U$5)&gt;TOTAL_LABOR_HOURS_CAP,MAX(0,($D397+U$5)-PERMANENT_FIELD_LABOR_HOURS)&gt;TEMP_HOURS_CAP),"",$C397+U$6-MIN(($D397+U$5),PERMANENT_FIELD_LABOR_HOURS)*PERMANENT_HOURLY_RATE-MAX(0,($D397+U$5)-PERMANENT_FIELD_LABOR_HOURS)*TEMP_HOURLY_RATE-FIXED_SEASON_COST)</f>
        <v/>
      </c>
      <c r="V397" s="53" t="str">
        <f aca="false">IF(OR($A397&gt;TOMATO_BED_CAP,$B397&gt;CARROT_BED_CAP,V$4&gt;MESCLUN_BED_CAP,$A397+$B397+V$4&gt;TOTAL_BEDS_AVAILABLE,($D397+V$5)&gt;TOTAL_LABOR_HOURS_CAP,MAX(0,($D397+V$5)-PERMANENT_FIELD_LABOR_HOURS)&gt;TEMP_HOURS_CAP),"",$C397+V$6-MIN(($D397+V$5),PERMANENT_FIELD_LABOR_HOURS)*PERMANENT_HOURLY_RATE-MAX(0,($D397+V$5)-PERMANENT_FIELD_LABOR_HOURS)*TEMP_HOURLY_RATE-FIXED_SEASON_COST)</f>
        <v/>
      </c>
      <c r="W397" s="53" t="str">
        <f aca="false">IF(OR($A397&gt;TOMATO_BED_CAP,$B397&gt;CARROT_BED_CAP,W$4&gt;MESCLUN_BED_CAP,$A397+$B397+W$4&gt;TOTAL_BEDS_AVAILABLE,($D397+W$5)&gt;TOTAL_LABOR_HOURS_CAP,MAX(0,($D397+W$5)-PERMANENT_FIELD_LABOR_HOURS)&gt;TEMP_HOURS_CAP),"",$C397+W$6-MIN(($D397+W$5),PERMANENT_FIELD_LABOR_HOURS)*PERMANENT_HOURLY_RATE-MAX(0,($D397+W$5)-PERMANENT_FIELD_LABOR_HOURS)*TEMP_HOURLY_RATE-FIXED_SEASON_COST)</f>
        <v/>
      </c>
      <c r="X397" s="53" t="str">
        <f aca="false">IF(OR($A397&gt;TOMATO_BED_CAP,$B397&gt;CARROT_BED_CAP,X$4&gt;MESCLUN_BED_CAP,$A397+$B397+X$4&gt;TOTAL_BEDS_AVAILABLE,($D397+X$5)&gt;TOTAL_LABOR_HOURS_CAP,MAX(0,($D397+X$5)-PERMANENT_FIELD_LABOR_HOURS)&gt;TEMP_HOURS_CAP),"",$C397+X$6-MIN(($D397+X$5),PERMANENT_FIELD_LABOR_HOURS)*PERMANENT_HOURLY_RATE-MAX(0,($D397+X$5)-PERMANENT_FIELD_LABOR_HOURS)*TEMP_HOURLY_RATE-FIXED_SEASON_COST)</f>
        <v/>
      </c>
      <c r="Y397" s="53" t="str">
        <f aca="false">IF(OR($A397&gt;TOMATO_BED_CAP,$B397&gt;CARROT_BED_CAP,Y$4&gt;MESCLUN_BED_CAP,$A397+$B397+Y$4&gt;TOTAL_BEDS_AVAILABLE,($D397+Y$5)&gt;TOTAL_LABOR_HOURS_CAP,MAX(0,($D397+Y$5)-PERMANENT_FIELD_LABOR_HOURS)&gt;TEMP_HOURS_CAP),"",$C397+Y$6-MIN(($D397+Y$5),PERMANENT_FIELD_LABOR_HOURS)*PERMANENT_HOURLY_RATE-MAX(0,($D397+Y$5)-PERMANENT_FIELD_LABOR_HOURS)*TEMP_HOURLY_RATE-FIXED_SEASON_COST)</f>
        <v/>
      </c>
      <c r="Z397" s="53" t="str">
        <f aca="false">IF(OR($A397&gt;TOMATO_BED_CAP,$B397&gt;CARROT_BED_CAP,Z$4&gt;MESCLUN_BED_CAP,$A397+$B397+Z$4&gt;TOTAL_BEDS_AVAILABLE,($D397+Z$5)&gt;TOTAL_LABOR_HOURS_CAP,MAX(0,($D397+Z$5)-PERMANENT_FIELD_LABOR_HOURS)&gt;TEMP_HOURS_CAP),"",$C397+Z$6-MIN(($D397+Z$5),PERMANENT_FIELD_LABOR_HOURS)*PERMANENT_HOURLY_RATE-MAX(0,($D397+Z$5)-PERMANENT_FIELD_LABOR_HOURS)*TEMP_HOURLY_RATE-FIXED_SEASON_COST)</f>
        <v/>
      </c>
      <c r="AA397" s="53" t="str">
        <f aca="false">IF(OR($A397&gt;TOMATO_BED_CAP,$B397&gt;CARROT_BED_CAP,AA$4&gt;MESCLUN_BED_CAP,$A397+$B397+AA$4&gt;TOTAL_BEDS_AVAILABLE,($D397+AA$5)&gt;TOTAL_LABOR_HOURS_CAP,MAX(0,($D397+AA$5)-PERMANENT_FIELD_LABOR_HOURS)&gt;TEMP_HOURS_CAP),"",$C397+AA$6-MIN(($D397+AA$5),PERMANENT_FIELD_LABOR_HOURS)*PERMANENT_HOURLY_RATE-MAX(0,($D397+AA$5)-PERMANENT_FIELD_LABOR_HOURS)*TEMP_HOURLY_RATE-FIXED_SEASON_COST)</f>
        <v/>
      </c>
      <c r="AB397" s="53" t="str">
        <f aca="false">IF(OR($A397&gt;TOMATO_BED_CAP,$B397&gt;CARROT_BED_CAP,AB$4&gt;MESCLUN_BED_CAP,$A397+$B397+AB$4&gt;TOTAL_BEDS_AVAILABLE,($D397+AB$5)&gt;TOTAL_LABOR_HOURS_CAP,MAX(0,($D397+AB$5)-PERMANENT_FIELD_LABOR_HOURS)&gt;TEMP_HOURS_CAP),"",$C397+AB$6-MIN(($D397+AB$5),PERMANENT_FIELD_LABOR_HOURS)*PERMANENT_HOURLY_RATE-MAX(0,($D397+AB$5)-PERMANENT_FIELD_LABOR_HOURS)*TEMP_HOURLY_RATE-FIXED_SEASON_COST)</f>
        <v/>
      </c>
      <c r="AC397" s="53" t="str">
        <f aca="false">IF(OR($A397&gt;TOMATO_BED_CAP,$B397&gt;CARROT_BED_CAP,AC$4&gt;MESCLUN_BED_CAP,$A397+$B397+AC$4&gt;TOTAL_BEDS_AVAILABLE,($D397+AC$5)&gt;TOTAL_LABOR_HOURS_CAP,MAX(0,($D397+AC$5)-PERMANENT_FIELD_LABOR_HOURS)&gt;TEMP_HOURS_CAP),"",$C397+AC$6-MIN(($D397+AC$5),PERMANENT_FIELD_LABOR_HOURS)*PERMANENT_HOURLY_RATE-MAX(0,($D397+AC$5)-PERMANENT_FIELD_LABOR_HOURS)*TEMP_HOURLY_RATE-FIXED_SEASON_COST)</f>
        <v/>
      </c>
      <c r="AD397" s="53" t="str">
        <f aca="false">IF(OR($A397&gt;TOMATO_BED_CAP,$B397&gt;CARROT_BED_CAP,AD$4&gt;MESCLUN_BED_CAP,$A397+$B397+AD$4&gt;TOTAL_BEDS_AVAILABLE,($D397+AD$5)&gt;TOTAL_LABOR_HOURS_CAP,MAX(0,($D397+AD$5)-PERMANENT_FIELD_LABOR_HOURS)&gt;TEMP_HOURS_CAP),"",$C397+AD$6-MIN(($D397+AD$5),PERMANENT_FIELD_LABOR_HOURS)*PERMANENT_HOURLY_RATE-MAX(0,($D397+AD$5)-PERMANENT_FIELD_LABOR_HOURS)*TEMP_HOURLY_RATE-FIXED_SEASON_COST)</f>
        <v/>
      </c>
      <c r="AE397" s="53" t="str">
        <f aca="false">IF(OR($A397&gt;TOMATO_BED_CAP,$B397&gt;CARROT_BED_CAP,AE$4&gt;MESCLUN_BED_CAP,$A397+$B397+AE$4&gt;TOTAL_BEDS_AVAILABLE,($D397+AE$5)&gt;TOTAL_LABOR_HOURS_CAP,MAX(0,($D397+AE$5)-PERMANENT_FIELD_LABOR_HOURS)&gt;TEMP_HOURS_CAP),"",$C397+AE$6-MIN(($D397+AE$5),PERMANENT_FIELD_LABOR_HOURS)*PERMANENT_HOURLY_RATE-MAX(0,($D397+AE$5)-PERMANENT_FIELD_LABOR_HOURS)*TEMP_HOURLY_RATE-FIXED_SEASON_COST)</f>
        <v/>
      </c>
      <c r="AF397" s="53" t="str">
        <f aca="false">IF(OR($A397&gt;TOMATO_BED_CAP,$B397&gt;CARROT_BED_CAP,AF$4&gt;MESCLUN_BED_CAP,$A397+$B397+AF$4&gt;TOTAL_BEDS_AVAILABLE,($D397+AF$5)&gt;TOTAL_LABOR_HOURS_CAP,MAX(0,($D397+AF$5)-PERMANENT_FIELD_LABOR_HOURS)&gt;TEMP_HOURS_CAP),"",$C397+AF$6-MIN(($D397+AF$5),PERMANENT_FIELD_LABOR_HOURS)*PERMANENT_HOURLY_RATE-MAX(0,($D397+AF$5)-PERMANENT_FIELD_LABOR_HOURS)*TEMP_HOURLY_RATE-FIXED_SEASON_COST)</f>
        <v/>
      </c>
      <c r="AG397" s="53" t="str">
        <f aca="false">IF(OR($A397&gt;TOMATO_BED_CAP,$B397&gt;CARROT_BED_CAP,AG$4&gt;MESCLUN_BED_CAP,$A397+$B397+AG$4&gt;TOTAL_BEDS_AVAILABLE,($D397+AG$5)&gt;TOTAL_LABOR_HOURS_CAP,MAX(0,($D397+AG$5)-PERMANENT_FIELD_LABOR_HOURS)&gt;TEMP_HOURS_CAP),"",$C397+AG$6-MIN(($D397+AG$5),PERMANENT_FIELD_LABOR_HOURS)*PERMANENT_HOURLY_RATE-MAX(0,($D397+AG$5)-PERMANENT_FIELD_LABOR_HOURS)*TEMP_HOURLY_RATE-FIXED_SEASON_COST)</f>
        <v/>
      </c>
      <c r="AH397" s="53" t="str">
        <f aca="false">IF(OR($A397&gt;TOMATO_BED_CAP,$B397&gt;CARROT_BED_CAP,AH$4&gt;MESCLUN_BED_CAP,$A397+$B397+AH$4&gt;TOTAL_BEDS_AVAILABLE,($D397+AH$5)&gt;TOTAL_LABOR_HOURS_CAP,MAX(0,($D397+AH$5)-PERMANENT_FIELD_LABOR_HOURS)&gt;TEMP_HOURS_CAP),"",$C397+AH$6-MIN(($D397+AH$5),PERMANENT_FIELD_LABOR_HOURS)*PERMANENT_HOURLY_RATE-MAX(0,($D397+AH$5)-PERMANENT_FIELD_LABOR_HOURS)*TEMP_HOURLY_RATE-FIXED_SEASON_COST)</f>
        <v/>
      </c>
      <c r="AI397" s="53" t="str">
        <f aca="false">IF(OR($A397&gt;TOMATO_BED_CAP,$B397&gt;CARROT_BED_CAP,AI$4&gt;MESCLUN_BED_CAP,$A397+$B397+AI$4&gt;TOTAL_BEDS_AVAILABLE,($D397+AI$5)&gt;TOTAL_LABOR_HOURS_CAP,MAX(0,($D397+AI$5)-PERMANENT_FIELD_LABOR_HOURS)&gt;TEMP_HOURS_CAP),"",$C397+AI$6-MIN(($D397+AI$5),PERMANENT_FIELD_LABOR_HOURS)*PERMANENT_HOURLY_RATE-MAX(0,($D397+AI$5)-PERMANENT_FIELD_LABOR_HOURS)*TEMP_HOURLY_RATE-FIXED_SEASON_COST)</f>
        <v/>
      </c>
      <c r="AJ397" s="53" t="str">
        <f aca="false">IF(OR($A397&gt;TOMATO_BED_CAP,$B397&gt;CARROT_BED_CAP,AJ$4&gt;MESCLUN_BED_CAP,$A397+$B397+AJ$4&gt;TOTAL_BEDS_AVAILABLE,($D397+AJ$5)&gt;TOTAL_LABOR_HOURS_CAP,MAX(0,($D397+AJ$5)-PERMANENT_FIELD_LABOR_HOURS)&gt;TEMP_HOURS_CAP),"",$C397+AJ$6-MIN(($D397+AJ$5),PERMANENT_FIELD_LABOR_HOURS)*PERMANENT_HOURLY_RATE-MAX(0,($D397+AJ$5)-PERMANENT_FIELD_LABOR_HOURS)*TEMP_HOURLY_RATE-FIXED_SEASON_COST)</f>
        <v/>
      </c>
    </row>
    <row r="398" customFormat="false" ht="15" hidden="false" customHeight="false" outlineLevel="0" collapsed="false">
      <c r="A398" s="21" t="n">
        <f aca="false">INT((ROW()-ROW($A$8))/(20+1))</f>
        <v>18</v>
      </c>
      <c r="B398" s="21" t="n">
        <f aca="false">MOD(ROW()-ROW($A$8),20+1)</f>
        <v>12</v>
      </c>
      <c r="C398" s="13" t="n">
        <f aca="false">A398*(TOMATO_REVENUE_PER_BED-TOMATO_FERTILIZER_PER_BED)+B398*(CARROT_REVENUE_PER_BED-CARROT_FERTILIZER_PER_BED)</f>
        <v>162408</v>
      </c>
      <c r="D398" s="14" t="n">
        <f aca="false">INDEX(TOMATO_SCHED_LABOR_HRS,A398+1)+INDEX(CARROT_SCHED_LABOR_HRS,B398+1)</f>
        <v>9491.0323605954</v>
      </c>
      <c r="E398" s="13" t="str">
        <f aca="false">IF(COUNT(F398:AJ398)=0,"",MAX(F398:AJ398))</f>
        <v/>
      </c>
      <c r="F398" s="53" t="str">
        <f aca="false">IF(OR($A398&gt;TOMATO_BED_CAP,$B398&gt;CARROT_BED_CAP,F$4&gt;MESCLUN_BED_CAP,$A398+$B398+F$4&gt;TOTAL_BEDS_AVAILABLE,($D398+F$5)&gt;TOTAL_LABOR_HOURS_CAP,MAX(0,($D398+F$5)-PERMANENT_FIELD_LABOR_HOURS)&gt;TEMP_HOURS_CAP),"",$C398+F$6-MIN(($D398+F$5),PERMANENT_FIELD_LABOR_HOURS)*PERMANENT_HOURLY_RATE-MAX(0,($D398+F$5)-PERMANENT_FIELD_LABOR_HOURS)*TEMP_HOURLY_RATE-FIXED_SEASON_COST)</f>
        <v/>
      </c>
      <c r="G398" s="53" t="str">
        <f aca="false">IF(OR($A398&gt;TOMATO_BED_CAP,$B398&gt;CARROT_BED_CAP,G$4&gt;MESCLUN_BED_CAP,$A398+$B398+G$4&gt;TOTAL_BEDS_AVAILABLE,($D398+G$5)&gt;TOTAL_LABOR_HOURS_CAP,MAX(0,($D398+G$5)-PERMANENT_FIELD_LABOR_HOURS)&gt;TEMP_HOURS_CAP),"",$C398+G$6-MIN(($D398+G$5),PERMANENT_FIELD_LABOR_HOURS)*PERMANENT_HOURLY_RATE-MAX(0,($D398+G$5)-PERMANENT_FIELD_LABOR_HOURS)*TEMP_HOURLY_RATE-FIXED_SEASON_COST)</f>
        <v/>
      </c>
      <c r="H398" s="53" t="str">
        <f aca="false">IF(OR($A398&gt;TOMATO_BED_CAP,$B398&gt;CARROT_BED_CAP,H$4&gt;MESCLUN_BED_CAP,$A398+$B398+H$4&gt;TOTAL_BEDS_AVAILABLE,($D398+H$5)&gt;TOTAL_LABOR_HOURS_CAP,MAX(0,($D398+H$5)-PERMANENT_FIELD_LABOR_HOURS)&gt;TEMP_HOURS_CAP),"",$C398+H$6-MIN(($D398+H$5),PERMANENT_FIELD_LABOR_HOURS)*PERMANENT_HOURLY_RATE-MAX(0,($D398+H$5)-PERMANENT_FIELD_LABOR_HOURS)*TEMP_HOURLY_RATE-FIXED_SEASON_COST)</f>
        <v/>
      </c>
      <c r="I398" s="53" t="str">
        <f aca="false">IF(OR($A398&gt;TOMATO_BED_CAP,$B398&gt;CARROT_BED_CAP,I$4&gt;MESCLUN_BED_CAP,$A398+$B398+I$4&gt;TOTAL_BEDS_AVAILABLE,($D398+I$5)&gt;TOTAL_LABOR_HOURS_CAP,MAX(0,($D398+I$5)-PERMANENT_FIELD_LABOR_HOURS)&gt;TEMP_HOURS_CAP),"",$C398+I$6-MIN(($D398+I$5),PERMANENT_FIELD_LABOR_HOURS)*PERMANENT_HOURLY_RATE-MAX(0,($D398+I$5)-PERMANENT_FIELD_LABOR_HOURS)*TEMP_HOURLY_RATE-FIXED_SEASON_COST)</f>
        <v/>
      </c>
      <c r="J398" s="53" t="str">
        <f aca="false">IF(OR($A398&gt;TOMATO_BED_CAP,$B398&gt;CARROT_BED_CAP,J$4&gt;MESCLUN_BED_CAP,$A398+$B398+J$4&gt;TOTAL_BEDS_AVAILABLE,($D398+J$5)&gt;TOTAL_LABOR_HOURS_CAP,MAX(0,($D398+J$5)-PERMANENT_FIELD_LABOR_HOURS)&gt;TEMP_HOURS_CAP),"",$C398+J$6-MIN(($D398+J$5),PERMANENT_FIELD_LABOR_HOURS)*PERMANENT_HOURLY_RATE-MAX(0,($D398+J$5)-PERMANENT_FIELD_LABOR_HOURS)*TEMP_HOURLY_RATE-FIXED_SEASON_COST)</f>
        <v/>
      </c>
      <c r="K398" s="53" t="str">
        <f aca="false">IF(OR($A398&gt;TOMATO_BED_CAP,$B398&gt;CARROT_BED_CAP,K$4&gt;MESCLUN_BED_CAP,$A398+$B398+K$4&gt;TOTAL_BEDS_AVAILABLE,($D398+K$5)&gt;TOTAL_LABOR_HOURS_CAP,MAX(0,($D398+K$5)-PERMANENT_FIELD_LABOR_HOURS)&gt;TEMP_HOURS_CAP),"",$C398+K$6-MIN(($D398+K$5),PERMANENT_FIELD_LABOR_HOURS)*PERMANENT_HOURLY_RATE-MAX(0,($D398+K$5)-PERMANENT_FIELD_LABOR_HOURS)*TEMP_HOURLY_RATE-FIXED_SEASON_COST)</f>
        <v/>
      </c>
      <c r="L398" s="53" t="str">
        <f aca="false">IF(OR($A398&gt;TOMATO_BED_CAP,$B398&gt;CARROT_BED_CAP,L$4&gt;MESCLUN_BED_CAP,$A398+$B398+L$4&gt;TOTAL_BEDS_AVAILABLE,($D398+L$5)&gt;TOTAL_LABOR_HOURS_CAP,MAX(0,($D398+L$5)-PERMANENT_FIELD_LABOR_HOURS)&gt;TEMP_HOURS_CAP),"",$C398+L$6-MIN(($D398+L$5),PERMANENT_FIELD_LABOR_HOURS)*PERMANENT_HOURLY_RATE-MAX(0,($D398+L$5)-PERMANENT_FIELD_LABOR_HOURS)*TEMP_HOURLY_RATE-FIXED_SEASON_COST)</f>
        <v/>
      </c>
      <c r="M398" s="53" t="str">
        <f aca="false">IF(OR($A398&gt;TOMATO_BED_CAP,$B398&gt;CARROT_BED_CAP,M$4&gt;MESCLUN_BED_CAP,$A398+$B398+M$4&gt;TOTAL_BEDS_AVAILABLE,($D398+M$5)&gt;TOTAL_LABOR_HOURS_CAP,MAX(0,($D398+M$5)-PERMANENT_FIELD_LABOR_HOURS)&gt;TEMP_HOURS_CAP),"",$C398+M$6-MIN(($D398+M$5),PERMANENT_FIELD_LABOR_HOURS)*PERMANENT_HOURLY_RATE-MAX(0,($D398+M$5)-PERMANENT_FIELD_LABOR_HOURS)*TEMP_HOURLY_RATE-FIXED_SEASON_COST)</f>
        <v/>
      </c>
      <c r="N398" s="53" t="str">
        <f aca="false">IF(OR($A398&gt;TOMATO_BED_CAP,$B398&gt;CARROT_BED_CAP,N$4&gt;MESCLUN_BED_CAP,$A398+$B398+N$4&gt;TOTAL_BEDS_AVAILABLE,($D398+N$5)&gt;TOTAL_LABOR_HOURS_CAP,MAX(0,($D398+N$5)-PERMANENT_FIELD_LABOR_HOURS)&gt;TEMP_HOURS_CAP),"",$C398+N$6-MIN(($D398+N$5),PERMANENT_FIELD_LABOR_HOURS)*PERMANENT_HOURLY_RATE-MAX(0,($D398+N$5)-PERMANENT_FIELD_LABOR_HOURS)*TEMP_HOURLY_RATE-FIXED_SEASON_COST)</f>
        <v/>
      </c>
      <c r="O398" s="53" t="str">
        <f aca="false">IF(OR($A398&gt;TOMATO_BED_CAP,$B398&gt;CARROT_BED_CAP,O$4&gt;MESCLUN_BED_CAP,$A398+$B398+O$4&gt;TOTAL_BEDS_AVAILABLE,($D398+O$5)&gt;TOTAL_LABOR_HOURS_CAP,MAX(0,($D398+O$5)-PERMANENT_FIELD_LABOR_HOURS)&gt;TEMP_HOURS_CAP),"",$C398+O$6-MIN(($D398+O$5),PERMANENT_FIELD_LABOR_HOURS)*PERMANENT_HOURLY_RATE-MAX(0,($D398+O$5)-PERMANENT_FIELD_LABOR_HOURS)*TEMP_HOURLY_RATE-FIXED_SEASON_COST)</f>
        <v/>
      </c>
      <c r="P398" s="53" t="str">
        <f aca="false">IF(OR($A398&gt;TOMATO_BED_CAP,$B398&gt;CARROT_BED_CAP,P$4&gt;MESCLUN_BED_CAP,$A398+$B398+P$4&gt;TOTAL_BEDS_AVAILABLE,($D398+P$5)&gt;TOTAL_LABOR_HOURS_CAP,MAX(0,($D398+P$5)-PERMANENT_FIELD_LABOR_HOURS)&gt;TEMP_HOURS_CAP),"",$C398+P$6-MIN(($D398+P$5),PERMANENT_FIELD_LABOR_HOURS)*PERMANENT_HOURLY_RATE-MAX(0,($D398+P$5)-PERMANENT_FIELD_LABOR_HOURS)*TEMP_HOURLY_RATE-FIXED_SEASON_COST)</f>
        <v/>
      </c>
      <c r="Q398" s="53" t="str">
        <f aca="false">IF(OR($A398&gt;TOMATO_BED_CAP,$B398&gt;CARROT_BED_CAP,Q$4&gt;MESCLUN_BED_CAP,$A398+$B398+Q$4&gt;TOTAL_BEDS_AVAILABLE,($D398+Q$5)&gt;TOTAL_LABOR_HOURS_CAP,MAX(0,($D398+Q$5)-PERMANENT_FIELD_LABOR_HOURS)&gt;TEMP_HOURS_CAP),"",$C398+Q$6-MIN(($D398+Q$5),PERMANENT_FIELD_LABOR_HOURS)*PERMANENT_HOURLY_RATE-MAX(0,($D398+Q$5)-PERMANENT_FIELD_LABOR_HOURS)*TEMP_HOURLY_RATE-FIXED_SEASON_COST)</f>
        <v/>
      </c>
      <c r="R398" s="53" t="str">
        <f aca="false">IF(OR($A398&gt;TOMATO_BED_CAP,$B398&gt;CARROT_BED_CAP,R$4&gt;MESCLUN_BED_CAP,$A398+$B398+R$4&gt;TOTAL_BEDS_AVAILABLE,($D398+R$5)&gt;TOTAL_LABOR_HOURS_CAP,MAX(0,($D398+R$5)-PERMANENT_FIELD_LABOR_HOURS)&gt;TEMP_HOURS_CAP),"",$C398+R$6-MIN(($D398+R$5),PERMANENT_FIELD_LABOR_HOURS)*PERMANENT_HOURLY_RATE-MAX(0,($D398+R$5)-PERMANENT_FIELD_LABOR_HOURS)*TEMP_HOURLY_RATE-FIXED_SEASON_COST)</f>
        <v/>
      </c>
      <c r="S398" s="53" t="str">
        <f aca="false">IF(OR($A398&gt;TOMATO_BED_CAP,$B398&gt;CARROT_BED_CAP,S$4&gt;MESCLUN_BED_CAP,$A398+$B398+S$4&gt;TOTAL_BEDS_AVAILABLE,($D398+S$5)&gt;TOTAL_LABOR_HOURS_CAP,MAX(0,($D398+S$5)-PERMANENT_FIELD_LABOR_HOURS)&gt;TEMP_HOURS_CAP),"",$C398+S$6-MIN(($D398+S$5),PERMANENT_FIELD_LABOR_HOURS)*PERMANENT_HOURLY_RATE-MAX(0,($D398+S$5)-PERMANENT_FIELD_LABOR_HOURS)*TEMP_HOURLY_RATE-FIXED_SEASON_COST)</f>
        <v/>
      </c>
      <c r="T398" s="53" t="str">
        <f aca="false">IF(OR($A398&gt;TOMATO_BED_CAP,$B398&gt;CARROT_BED_CAP,T$4&gt;MESCLUN_BED_CAP,$A398+$B398+T$4&gt;TOTAL_BEDS_AVAILABLE,($D398+T$5)&gt;TOTAL_LABOR_HOURS_CAP,MAX(0,($D398+T$5)-PERMANENT_FIELD_LABOR_HOURS)&gt;TEMP_HOURS_CAP),"",$C398+T$6-MIN(($D398+T$5),PERMANENT_FIELD_LABOR_HOURS)*PERMANENT_HOURLY_RATE-MAX(0,($D398+T$5)-PERMANENT_FIELD_LABOR_HOURS)*TEMP_HOURLY_RATE-FIXED_SEASON_COST)</f>
        <v/>
      </c>
      <c r="U398" s="53" t="str">
        <f aca="false">IF(OR($A398&gt;TOMATO_BED_CAP,$B398&gt;CARROT_BED_CAP,U$4&gt;MESCLUN_BED_CAP,$A398+$B398+U$4&gt;TOTAL_BEDS_AVAILABLE,($D398+U$5)&gt;TOTAL_LABOR_HOURS_CAP,MAX(0,($D398+U$5)-PERMANENT_FIELD_LABOR_HOURS)&gt;TEMP_HOURS_CAP),"",$C398+U$6-MIN(($D398+U$5),PERMANENT_FIELD_LABOR_HOURS)*PERMANENT_HOURLY_RATE-MAX(0,($D398+U$5)-PERMANENT_FIELD_LABOR_HOURS)*TEMP_HOURLY_RATE-FIXED_SEASON_COST)</f>
        <v/>
      </c>
      <c r="V398" s="53" t="str">
        <f aca="false">IF(OR($A398&gt;TOMATO_BED_CAP,$B398&gt;CARROT_BED_CAP,V$4&gt;MESCLUN_BED_CAP,$A398+$B398+V$4&gt;TOTAL_BEDS_AVAILABLE,($D398+V$5)&gt;TOTAL_LABOR_HOURS_CAP,MAX(0,($D398+V$5)-PERMANENT_FIELD_LABOR_HOURS)&gt;TEMP_HOURS_CAP),"",$C398+V$6-MIN(($D398+V$5),PERMANENT_FIELD_LABOR_HOURS)*PERMANENT_HOURLY_RATE-MAX(0,($D398+V$5)-PERMANENT_FIELD_LABOR_HOURS)*TEMP_HOURLY_RATE-FIXED_SEASON_COST)</f>
        <v/>
      </c>
      <c r="W398" s="53" t="str">
        <f aca="false">IF(OR($A398&gt;TOMATO_BED_CAP,$B398&gt;CARROT_BED_CAP,W$4&gt;MESCLUN_BED_CAP,$A398+$B398+W$4&gt;TOTAL_BEDS_AVAILABLE,($D398+W$5)&gt;TOTAL_LABOR_HOURS_CAP,MAX(0,($D398+W$5)-PERMANENT_FIELD_LABOR_HOURS)&gt;TEMP_HOURS_CAP),"",$C398+W$6-MIN(($D398+W$5),PERMANENT_FIELD_LABOR_HOURS)*PERMANENT_HOURLY_RATE-MAX(0,($D398+W$5)-PERMANENT_FIELD_LABOR_HOURS)*TEMP_HOURLY_RATE-FIXED_SEASON_COST)</f>
        <v/>
      </c>
      <c r="X398" s="53" t="str">
        <f aca="false">IF(OR($A398&gt;TOMATO_BED_CAP,$B398&gt;CARROT_BED_CAP,X$4&gt;MESCLUN_BED_CAP,$A398+$B398+X$4&gt;TOTAL_BEDS_AVAILABLE,($D398+X$5)&gt;TOTAL_LABOR_HOURS_CAP,MAX(0,($D398+X$5)-PERMANENT_FIELD_LABOR_HOURS)&gt;TEMP_HOURS_CAP),"",$C398+X$6-MIN(($D398+X$5),PERMANENT_FIELD_LABOR_HOURS)*PERMANENT_HOURLY_RATE-MAX(0,($D398+X$5)-PERMANENT_FIELD_LABOR_HOURS)*TEMP_HOURLY_RATE-FIXED_SEASON_COST)</f>
        <v/>
      </c>
      <c r="Y398" s="53" t="str">
        <f aca="false">IF(OR($A398&gt;TOMATO_BED_CAP,$B398&gt;CARROT_BED_CAP,Y$4&gt;MESCLUN_BED_CAP,$A398+$B398+Y$4&gt;TOTAL_BEDS_AVAILABLE,($D398+Y$5)&gt;TOTAL_LABOR_HOURS_CAP,MAX(0,($D398+Y$5)-PERMANENT_FIELD_LABOR_HOURS)&gt;TEMP_HOURS_CAP),"",$C398+Y$6-MIN(($D398+Y$5),PERMANENT_FIELD_LABOR_HOURS)*PERMANENT_HOURLY_RATE-MAX(0,($D398+Y$5)-PERMANENT_FIELD_LABOR_HOURS)*TEMP_HOURLY_RATE-FIXED_SEASON_COST)</f>
        <v/>
      </c>
      <c r="Z398" s="53" t="str">
        <f aca="false">IF(OR($A398&gt;TOMATO_BED_CAP,$B398&gt;CARROT_BED_CAP,Z$4&gt;MESCLUN_BED_CAP,$A398+$B398+Z$4&gt;TOTAL_BEDS_AVAILABLE,($D398+Z$5)&gt;TOTAL_LABOR_HOURS_CAP,MAX(0,($D398+Z$5)-PERMANENT_FIELD_LABOR_HOURS)&gt;TEMP_HOURS_CAP),"",$C398+Z$6-MIN(($D398+Z$5),PERMANENT_FIELD_LABOR_HOURS)*PERMANENT_HOURLY_RATE-MAX(0,($D398+Z$5)-PERMANENT_FIELD_LABOR_HOURS)*TEMP_HOURLY_RATE-FIXED_SEASON_COST)</f>
        <v/>
      </c>
      <c r="AA398" s="53" t="str">
        <f aca="false">IF(OR($A398&gt;TOMATO_BED_CAP,$B398&gt;CARROT_BED_CAP,AA$4&gt;MESCLUN_BED_CAP,$A398+$B398+AA$4&gt;TOTAL_BEDS_AVAILABLE,($D398+AA$5)&gt;TOTAL_LABOR_HOURS_CAP,MAX(0,($D398+AA$5)-PERMANENT_FIELD_LABOR_HOURS)&gt;TEMP_HOURS_CAP),"",$C398+AA$6-MIN(($D398+AA$5),PERMANENT_FIELD_LABOR_HOURS)*PERMANENT_HOURLY_RATE-MAX(0,($D398+AA$5)-PERMANENT_FIELD_LABOR_HOURS)*TEMP_HOURLY_RATE-FIXED_SEASON_COST)</f>
        <v/>
      </c>
      <c r="AB398" s="53" t="str">
        <f aca="false">IF(OR($A398&gt;TOMATO_BED_CAP,$B398&gt;CARROT_BED_CAP,AB$4&gt;MESCLUN_BED_CAP,$A398+$B398+AB$4&gt;TOTAL_BEDS_AVAILABLE,($D398+AB$5)&gt;TOTAL_LABOR_HOURS_CAP,MAX(0,($D398+AB$5)-PERMANENT_FIELD_LABOR_HOURS)&gt;TEMP_HOURS_CAP),"",$C398+AB$6-MIN(($D398+AB$5),PERMANENT_FIELD_LABOR_HOURS)*PERMANENT_HOURLY_RATE-MAX(0,($D398+AB$5)-PERMANENT_FIELD_LABOR_HOURS)*TEMP_HOURLY_RATE-FIXED_SEASON_COST)</f>
        <v/>
      </c>
      <c r="AC398" s="53" t="str">
        <f aca="false">IF(OR($A398&gt;TOMATO_BED_CAP,$B398&gt;CARROT_BED_CAP,AC$4&gt;MESCLUN_BED_CAP,$A398+$B398+AC$4&gt;TOTAL_BEDS_AVAILABLE,($D398+AC$5)&gt;TOTAL_LABOR_HOURS_CAP,MAX(0,($D398+AC$5)-PERMANENT_FIELD_LABOR_HOURS)&gt;TEMP_HOURS_CAP),"",$C398+AC$6-MIN(($D398+AC$5),PERMANENT_FIELD_LABOR_HOURS)*PERMANENT_HOURLY_RATE-MAX(0,($D398+AC$5)-PERMANENT_FIELD_LABOR_HOURS)*TEMP_HOURLY_RATE-FIXED_SEASON_COST)</f>
        <v/>
      </c>
      <c r="AD398" s="53" t="str">
        <f aca="false">IF(OR($A398&gt;TOMATO_BED_CAP,$B398&gt;CARROT_BED_CAP,AD$4&gt;MESCLUN_BED_CAP,$A398+$B398+AD$4&gt;TOTAL_BEDS_AVAILABLE,($D398+AD$5)&gt;TOTAL_LABOR_HOURS_CAP,MAX(0,($D398+AD$5)-PERMANENT_FIELD_LABOR_HOURS)&gt;TEMP_HOURS_CAP),"",$C398+AD$6-MIN(($D398+AD$5),PERMANENT_FIELD_LABOR_HOURS)*PERMANENT_HOURLY_RATE-MAX(0,($D398+AD$5)-PERMANENT_FIELD_LABOR_HOURS)*TEMP_HOURLY_RATE-FIXED_SEASON_COST)</f>
        <v/>
      </c>
      <c r="AE398" s="53" t="str">
        <f aca="false">IF(OR($A398&gt;TOMATO_BED_CAP,$B398&gt;CARROT_BED_CAP,AE$4&gt;MESCLUN_BED_CAP,$A398+$B398+AE$4&gt;TOTAL_BEDS_AVAILABLE,($D398+AE$5)&gt;TOTAL_LABOR_HOURS_CAP,MAX(0,($D398+AE$5)-PERMANENT_FIELD_LABOR_HOURS)&gt;TEMP_HOURS_CAP),"",$C398+AE$6-MIN(($D398+AE$5),PERMANENT_FIELD_LABOR_HOURS)*PERMANENT_HOURLY_RATE-MAX(0,($D398+AE$5)-PERMANENT_FIELD_LABOR_HOURS)*TEMP_HOURLY_RATE-FIXED_SEASON_COST)</f>
        <v/>
      </c>
      <c r="AF398" s="53" t="str">
        <f aca="false">IF(OR($A398&gt;TOMATO_BED_CAP,$B398&gt;CARROT_BED_CAP,AF$4&gt;MESCLUN_BED_CAP,$A398+$B398+AF$4&gt;TOTAL_BEDS_AVAILABLE,($D398+AF$5)&gt;TOTAL_LABOR_HOURS_CAP,MAX(0,($D398+AF$5)-PERMANENT_FIELD_LABOR_HOURS)&gt;TEMP_HOURS_CAP),"",$C398+AF$6-MIN(($D398+AF$5),PERMANENT_FIELD_LABOR_HOURS)*PERMANENT_HOURLY_RATE-MAX(0,($D398+AF$5)-PERMANENT_FIELD_LABOR_HOURS)*TEMP_HOURLY_RATE-FIXED_SEASON_COST)</f>
        <v/>
      </c>
      <c r="AG398" s="53" t="str">
        <f aca="false">IF(OR($A398&gt;TOMATO_BED_CAP,$B398&gt;CARROT_BED_CAP,AG$4&gt;MESCLUN_BED_CAP,$A398+$B398+AG$4&gt;TOTAL_BEDS_AVAILABLE,($D398+AG$5)&gt;TOTAL_LABOR_HOURS_CAP,MAX(0,($D398+AG$5)-PERMANENT_FIELD_LABOR_HOURS)&gt;TEMP_HOURS_CAP),"",$C398+AG$6-MIN(($D398+AG$5),PERMANENT_FIELD_LABOR_HOURS)*PERMANENT_HOURLY_RATE-MAX(0,($D398+AG$5)-PERMANENT_FIELD_LABOR_HOURS)*TEMP_HOURLY_RATE-FIXED_SEASON_COST)</f>
        <v/>
      </c>
      <c r="AH398" s="53" t="str">
        <f aca="false">IF(OR($A398&gt;TOMATO_BED_CAP,$B398&gt;CARROT_BED_CAP,AH$4&gt;MESCLUN_BED_CAP,$A398+$B398+AH$4&gt;TOTAL_BEDS_AVAILABLE,($D398+AH$5)&gt;TOTAL_LABOR_HOURS_CAP,MAX(0,($D398+AH$5)-PERMANENT_FIELD_LABOR_HOURS)&gt;TEMP_HOURS_CAP),"",$C398+AH$6-MIN(($D398+AH$5),PERMANENT_FIELD_LABOR_HOURS)*PERMANENT_HOURLY_RATE-MAX(0,($D398+AH$5)-PERMANENT_FIELD_LABOR_HOURS)*TEMP_HOURLY_RATE-FIXED_SEASON_COST)</f>
        <v/>
      </c>
      <c r="AI398" s="53" t="str">
        <f aca="false">IF(OR($A398&gt;TOMATO_BED_CAP,$B398&gt;CARROT_BED_CAP,AI$4&gt;MESCLUN_BED_CAP,$A398+$B398+AI$4&gt;TOTAL_BEDS_AVAILABLE,($D398+AI$5)&gt;TOTAL_LABOR_HOURS_CAP,MAX(0,($D398+AI$5)-PERMANENT_FIELD_LABOR_HOURS)&gt;TEMP_HOURS_CAP),"",$C398+AI$6-MIN(($D398+AI$5),PERMANENT_FIELD_LABOR_HOURS)*PERMANENT_HOURLY_RATE-MAX(0,($D398+AI$5)-PERMANENT_FIELD_LABOR_HOURS)*TEMP_HOURLY_RATE-FIXED_SEASON_COST)</f>
        <v/>
      </c>
      <c r="AJ398" s="53" t="str">
        <f aca="false">IF(OR($A398&gt;TOMATO_BED_CAP,$B398&gt;CARROT_BED_CAP,AJ$4&gt;MESCLUN_BED_CAP,$A398+$B398+AJ$4&gt;TOTAL_BEDS_AVAILABLE,($D398+AJ$5)&gt;TOTAL_LABOR_HOURS_CAP,MAX(0,($D398+AJ$5)-PERMANENT_FIELD_LABOR_HOURS)&gt;TEMP_HOURS_CAP),"",$C398+AJ$6-MIN(($D398+AJ$5),PERMANENT_FIELD_LABOR_HOURS)*PERMANENT_HOURLY_RATE-MAX(0,($D398+AJ$5)-PERMANENT_FIELD_LABOR_HOURS)*TEMP_HOURLY_RATE-FIXED_SEASON_COST)</f>
        <v/>
      </c>
    </row>
    <row r="399" customFormat="false" ht="15" hidden="false" customHeight="false" outlineLevel="0" collapsed="false">
      <c r="A399" s="21" t="n">
        <f aca="false">INT((ROW()-ROW($A$8))/(20+1))</f>
        <v>18</v>
      </c>
      <c r="B399" s="21" t="n">
        <f aca="false">MOD(ROW()-ROW($A$8),20+1)</f>
        <v>13</v>
      </c>
      <c r="C399" s="13" t="n">
        <f aca="false">A399*(TOMATO_REVENUE_PER_BED-TOMATO_FERTILIZER_PER_BED)+B399*(CARROT_REVENUE_PER_BED-CARROT_FERTILIZER_PER_BED)</f>
        <v>164062</v>
      </c>
      <c r="D399" s="14" t="n">
        <f aca="false">INDEX(TOMATO_SCHED_LABOR_HRS,A399+1)+INDEX(CARROT_SCHED_LABOR_HRS,B399+1)</f>
        <v>9544.47030762689</v>
      </c>
      <c r="E399" s="13" t="str">
        <f aca="false">IF(COUNT(F399:AJ399)=0,"",MAX(F399:AJ399))</f>
        <v/>
      </c>
      <c r="F399" s="53" t="str">
        <f aca="false">IF(OR($A399&gt;TOMATO_BED_CAP,$B399&gt;CARROT_BED_CAP,F$4&gt;MESCLUN_BED_CAP,$A399+$B399+F$4&gt;TOTAL_BEDS_AVAILABLE,($D399+F$5)&gt;TOTAL_LABOR_HOURS_CAP,MAX(0,($D399+F$5)-PERMANENT_FIELD_LABOR_HOURS)&gt;TEMP_HOURS_CAP),"",$C399+F$6-MIN(($D399+F$5),PERMANENT_FIELD_LABOR_HOURS)*PERMANENT_HOURLY_RATE-MAX(0,($D399+F$5)-PERMANENT_FIELD_LABOR_HOURS)*TEMP_HOURLY_RATE-FIXED_SEASON_COST)</f>
        <v/>
      </c>
      <c r="G399" s="53" t="str">
        <f aca="false">IF(OR($A399&gt;TOMATO_BED_CAP,$B399&gt;CARROT_BED_CAP,G$4&gt;MESCLUN_BED_CAP,$A399+$B399+G$4&gt;TOTAL_BEDS_AVAILABLE,($D399+G$5)&gt;TOTAL_LABOR_HOURS_CAP,MAX(0,($D399+G$5)-PERMANENT_FIELD_LABOR_HOURS)&gt;TEMP_HOURS_CAP),"",$C399+G$6-MIN(($D399+G$5),PERMANENT_FIELD_LABOR_HOURS)*PERMANENT_HOURLY_RATE-MAX(0,($D399+G$5)-PERMANENT_FIELD_LABOR_HOURS)*TEMP_HOURLY_RATE-FIXED_SEASON_COST)</f>
        <v/>
      </c>
      <c r="H399" s="53" t="str">
        <f aca="false">IF(OR($A399&gt;TOMATO_BED_CAP,$B399&gt;CARROT_BED_CAP,H$4&gt;MESCLUN_BED_CAP,$A399+$B399+H$4&gt;TOTAL_BEDS_AVAILABLE,($D399+H$5)&gt;TOTAL_LABOR_HOURS_CAP,MAX(0,($D399+H$5)-PERMANENT_FIELD_LABOR_HOURS)&gt;TEMP_HOURS_CAP),"",$C399+H$6-MIN(($D399+H$5),PERMANENT_FIELD_LABOR_HOURS)*PERMANENT_HOURLY_RATE-MAX(0,($D399+H$5)-PERMANENT_FIELD_LABOR_HOURS)*TEMP_HOURLY_RATE-FIXED_SEASON_COST)</f>
        <v/>
      </c>
      <c r="I399" s="53" t="str">
        <f aca="false">IF(OR($A399&gt;TOMATO_BED_CAP,$B399&gt;CARROT_BED_CAP,I$4&gt;MESCLUN_BED_CAP,$A399+$B399+I$4&gt;TOTAL_BEDS_AVAILABLE,($D399+I$5)&gt;TOTAL_LABOR_HOURS_CAP,MAX(0,($D399+I$5)-PERMANENT_FIELD_LABOR_HOURS)&gt;TEMP_HOURS_CAP),"",$C399+I$6-MIN(($D399+I$5),PERMANENT_FIELD_LABOR_HOURS)*PERMANENT_HOURLY_RATE-MAX(0,($D399+I$5)-PERMANENT_FIELD_LABOR_HOURS)*TEMP_HOURLY_RATE-FIXED_SEASON_COST)</f>
        <v/>
      </c>
      <c r="J399" s="53" t="str">
        <f aca="false">IF(OR($A399&gt;TOMATO_BED_CAP,$B399&gt;CARROT_BED_CAP,J$4&gt;MESCLUN_BED_CAP,$A399+$B399+J$4&gt;TOTAL_BEDS_AVAILABLE,($D399+J$5)&gt;TOTAL_LABOR_HOURS_CAP,MAX(0,($D399+J$5)-PERMANENT_FIELD_LABOR_HOURS)&gt;TEMP_HOURS_CAP),"",$C399+J$6-MIN(($D399+J$5),PERMANENT_FIELD_LABOR_HOURS)*PERMANENT_HOURLY_RATE-MAX(0,($D399+J$5)-PERMANENT_FIELD_LABOR_HOURS)*TEMP_HOURLY_RATE-FIXED_SEASON_COST)</f>
        <v/>
      </c>
      <c r="K399" s="53" t="str">
        <f aca="false">IF(OR($A399&gt;TOMATO_BED_CAP,$B399&gt;CARROT_BED_CAP,K$4&gt;MESCLUN_BED_CAP,$A399+$B399+K$4&gt;TOTAL_BEDS_AVAILABLE,($D399+K$5)&gt;TOTAL_LABOR_HOURS_CAP,MAX(0,($D399+K$5)-PERMANENT_FIELD_LABOR_HOURS)&gt;TEMP_HOURS_CAP),"",$C399+K$6-MIN(($D399+K$5),PERMANENT_FIELD_LABOR_HOURS)*PERMANENT_HOURLY_RATE-MAX(0,($D399+K$5)-PERMANENT_FIELD_LABOR_HOURS)*TEMP_HOURLY_RATE-FIXED_SEASON_COST)</f>
        <v/>
      </c>
      <c r="L399" s="53" t="str">
        <f aca="false">IF(OR($A399&gt;TOMATO_BED_CAP,$B399&gt;CARROT_BED_CAP,L$4&gt;MESCLUN_BED_CAP,$A399+$B399+L$4&gt;TOTAL_BEDS_AVAILABLE,($D399+L$5)&gt;TOTAL_LABOR_HOURS_CAP,MAX(0,($D399+L$5)-PERMANENT_FIELD_LABOR_HOURS)&gt;TEMP_HOURS_CAP),"",$C399+L$6-MIN(($D399+L$5),PERMANENT_FIELD_LABOR_HOURS)*PERMANENT_HOURLY_RATE-MAX(0,($D399+L$5)-PERMANENT_FIELD_LABOR_HOURS)*TEMP_HOURLY_RATE-FIXED_SEASON_COST)</f>
        <v/>
      </c>
      <c r="M399" s="53" t="str">
        <f aca="false">IF(OR($A399&gt;TOMATO_BED_CAP,$B399&gt;CARROT_BED_CAP,M$4&gt;MESCLUN_BED_CAP,$A399+$B399+M$4&gt;TOTAL_BEDS_AVAILABLE,($D399+M$5)&gt;TOTAL_LABOR_HOURS_CAP,MAX(0,($D399+M$5)-PERMANENT_FIELD_LABOR_HOURS)&gt;TEMP_HOURS_CAP),"",$C399+M$6-MIN(($D399+M$5),PERMANENT_FIELD_LABOR_HOURS)*PERMANENT_HOURLY_RATE-MAX(0,($D399+M$5)-PERMANENT_FIELD_LABOR_HOURS)*TEMP_HOURLY_RATE-FIXED_SEASON_COST)</f>
        <v/>
      </c>
      <c r="N399" s="53" t="str">
        <f aca="false">IF(OR($A399&gt;TOMATO_BED_CAP,$B399&gt;CARROT_BED_CAP,N$4&gt;MESCLUN_BED_CAP,$A399+$B399+N$4&gt;TOTAL_BEDS_AVAILABLE,($D399+N$5)&gt;TOTAL_LABOR_HOURS_CAP,MAX(0,($D399+N$5)-PERMANENT_FIELD_LABOR_HOURS)&gt;TEMP_HOURS_CAP),"",$C399+N$6-MIN(($D399+N$5),PERMANENT_FIELD_LABOR_HOURS)*PERMANENT_HOURLY_RATE-MAX(0,($D399+N$5)-PERMANENT_FIELD_LABOR_HOURS)*TEMP_HOURLY_RATE-FIXED_SEASON_COST)</f>
        <v/>
      </c>
      <c r="O399" s="53" t="str">
        <f aca="false">IF(OR($A399&gt;TOMATO_BED_CAP,$B399&gt;CARROT_BED_CAP,O$4&gt;MESCLUN_BED_CAP,$A399+$B399+O$4&gt;TOTAL_BEDS_AVAILABLE,($D399+O$5)&gt;TOTAL_LABOR_HOURS_CAP,MAX(0,($D399+O$5)-PERMANENT_FIELD_LABOR_HOURS)&gt;TEMP_HOURS_CAP),"",$C399+O$6-MIN(($D399+O$5),PERMANENT_FIELD_LABOR_HOURS)*PERMANENT_HOURLY_RATE-MAX(0,($D399+O$5)-PERMANENT_FIELD_LABOR_HOURS)*TEMP_HOURLY_RATE-FIXED_SEASON_COST)</f>
        <v/>
      </c>
      <c r="P399" s="53" t="str">
        <f aca="false">IF(OR($A399&gt;TOMATO_BED_CAP,$B399&gt;CARROT_BED_CAP,P$4&gt;MESCLUN_BED_CAP,$A399+$B399+P$4&gt;TOTAL_BEDS_AVAILABLE,($D399+P$5)&gt;TOTAL_LABOR_HOURS_CAP,MAX(0,($D399+P$5)-PERMANENT_FIELD_LABOR_HOURS)&gt;TEMP_HOURS_CAP),"",$C399+P$6-MIN(($D399+P$5),PERMANENT_FIELD_LABOR_HOURS)*PERMANENT_HOURLY_RATE-MAX(0,($D399+P$5)-PERMANENT_FIELD_LABOR_HOURS)*TEMP_HOURLY_RATE-FIXED_SEASON_COST)</f>
        <v/>
      </c>
      <c r="Q399" s="53" t="str">
        <f aca="false">IF(OR($A399&gt;TOMATO_BED_CAP,$B399&gt;CARROT_BED_CAP,Q$4&gt;MESCLUN_BED_CAP,$A399+$B399+Q$4&gt;TOTAL_BEDS_AVAILABLE,($D399+Q$5)&gt;TOTAL_LABOR_HOURS_CAP,MAX(0,($D399+Q$5)-PERMANENT_FIELD_LABOR_HOURS)&gt;TEMP_HOURS_CAP),"",$C399+Q$6-MIN(($D399+Q$5),PERMANENT_FIELD_LABOR_HOURS)*PERMANENT_HOURLY_RATE-MAX(0,($D399+Q$5)-PERMANENT_FIELD_LABOR_HOURS)*TEMP_HOURLY_RATE-FIXED_SEASON_COST)</f>
        <v/>
      </c>
      <c r="R399" s="53" t="str">
        <f aca="false">IF(OR($A399&gt;TOMATO_BED_CAP,$B399&gt;CARROT_BED_CAP,R$4&gt;MESCLUN_BED_CAP,$A399+$B399+R$4&gt;TOTAL_BEDS_AVAILABLE,($D399+R$5)&gt;TOTAL_LABOR_HOURS_CAP,MAX(0,($D399+R$5)-PERMANENT_FIELD_LABOR_HOURS)&gt;TEMP_HOURS_CAP),"",$C399+R$6-MIN(($D399+R$5),PERMANENT_FIELD_LABOR_HOURS)*PERMANENT_HOURLY_RATE-MAX(0,($D399+R$5)-PERMANENT_FIELD_LABOR_HOURS)*TEMP_HOURLY_RATE-FIXED_SEASON_COST)</f>
        <v/>
      </c>
      <c r="S399" s="53" t="str">
        <f aca="false">IF(OR($A399&gt;TOMATO_BED_CAP,$B399&gt;CARROT_BED_CAP,S$4&gt;MESCLUN_BED_CAP,$A399+$B399+S$4&gt;TOTAL_BEDS_AVAILABLE,($D399+S$5)&gt;TOTAL_LABOR_HOURS_CAP,MAX(0,($D399+S$5)-PERMANENT_FIELD_LABOR_HOURS)&gt;TEMP_HOURS_CAP),"",$C399+S$6-MIN(($D399+S$5),PERMANENT_FIELD_LABOR_HOURS)*PERMANENT_HOURLY_RATE-MAX(0,($D399+S$5)-PERMANENT_FIELD_LABOR_HOURS)*TEMP_HOURLY_RATE-FIXED_SEASON_COST)</f>
        <v/>
      </c>
      <c r="T399" s="53" t="str">
        <f aca="false">IF(OR($A399&gt;TOMATO_BED_CAP,$B399&gt;CARROT_BED_CAP,T$4&gt;MESCLUN_BED_CAP,$A399+$B399+T$4&gt;TOTAL_BEDS_AVAILABLE,($D399+T$5)&gt;TOTAL_LABOR_HOURS_CAP,MAX(0,($D399+T$5)-PERMANENT_FIELD_LABOR_HOURS)&gt;TEMP_HOURS_CAP),"",$C399+T$6-MIN(($D399+T$5),PERMANENT_FIELD_LABOR_HOURS)*PERMANENT_HOURLY_RATE-MAX(0,($D399+T$5)-PERMANENT_FIELD_LABOR_HOURS)*TEMP_HOURLY_RATE-FIXED_SEASON_COST)</f>
        <v/>
      </c>
      <c r="U399" s="53" t="str">
        <f aca="false">IF(OR($A399&gt;TOMATO_BED_CAP,$B399&gt;CARROT_BED_CAP,U$4&gt;MESCLUN_BED_CAP,$A399+$B399+U$4&gt;TOTAL_BEDS_AVAILABLE,($D399+U$5)&gt;TOTAL_LABOR_HOURS_CAP,MAX(0,($D399+U$5)-PERMANENT_FIELD_LABOR_HOURS)&gt;TEMP_HOURS_CAP),"",$C399+U$6-MIN(($D399+U$5),PERMANENT_FIELD_LABOR_HOURS)*PERMANENT_HOURLY_RATE-MAX(0,($D399+U$5)-PERMANENT_FIELD_LABOR_HOURS)*TEMP_HOURLY_RATE-FIXED_SEASON_COST)</f>
        <v/>
      </c>
      <c r="V399" s="53" t="str">
        <f aca="false">IF(OR($A399&gt;TOMATO_BED_CAP,$B399&gt;CARROT_BED_CAP,V$4&gt;MESCLUN_BED_CAP,$A399+$B399+V$4&gt;TOTAL_BEDS_AVAILABLE,($D399+V$5)&gt;TOTAL_LABOR_HOURS_CAP,MAX(0,($D399+V$5)-PERMANENT_FIELD_LABOR_HOURS)&gt;TEMP_HOURS_CAP),"",$C399+V$6-MIN(($D399+V$5),PERMANENT_FIELD_LABOR_HOURS)*PERMANENT_HOURLY_RATE-MAX(0,($D399+V$5)-PERMANENT_FIELD_LABOR_HOURS)*TEMP_HOURLY_RATE-FIXED_SEASON_COST)</f>
        <v/>
      </c>
      <c r="W399" s="53" t="str">
        <f aca="false">IF(OR($A399&gt;TOMATO_BED_CAP,$B399&gt;CARROT_BED_CAP,W$4&gt;MESCLUN_BED_CAP,$A399+$B399+W$4&gt;TOTAL_BEDS_AVAILABLE,($D399+W$5)&gt;TOTAL_LABOR_HOURS_CAP,MAX(0,($D399+W$5)-PERMANENT_FIELD_LABOR_HOURS)&gt;TEMP_HOURS_CAP),"",$C399+W$6-MIN(($D399+W$5),PERMANENT_FIELD_LABOR_HOURS)*PERMANENT_HOURLY_RATE-MAX(0,($D399+W$5)-PERMANENT_FIELD_LABOR_HOURS)*TEMP_HOURLY_RATE-FIXED_SEASON_COST)</f>
        <v/>
      </c>
      <c r="X399" s="53" t="str">
        <f aca="false">IF(OR($A399&gt;TOMATO_BED_CAP,$B399&gt;CARROT_BED_CAP,X$4&gt;MESCLUN_BED_CAP,$A399+$B399+X$4&gt;TOTAL_BEDS_AVAILABLE,($D399+X$5)&gt;TOTAL_LABOR_HOURS_CAP,MAX(0,($D399+X$5)-PERMANENT_FIELD_LABOR_HOURS)&gt;TEMP_HOURS_CAP),"",$C399+X$6-MIN(($D399+X$5),PERMANENT_FIELD_LABOR_HOURS)*PERMANENT_HOURLY_RATE-MAX(0,($D399+X$5)-PERMANENT_FIELD_LABOR_HOURS)*TEMP_HOURLY_RATE-FIXED_SEASON_COST)</f>
        <v/>
      </c>
      <c r="Y399" s="53" t="str">
        <f aca="false">IF(OR($A399&gt;TOMATO_BED_CAP,$B399&gt;CARROT_BED_CAP,Y$4&gt;MESCLUN_BED_CAP,$A399+$B399+Y$4&gt;TOTAL_BEDS_AVAILABLE,($D399+Y$5)&gt;TOTAL_LABOR_HOURS_CAP,MAX(0,($D399+Y$5)-PERMANENT_FIELD_LABOR_HOURS)&gt;TEMP_HOURS_CAP),"",$C399+Y$6-MIN(($D399+Y$5),PERMANENT_FIELD_LABOR_HOURS)*PERMANENT_HOURLY_RATE-MAX(0,($D399+Y$5)-PERMANENT_FIELD_LABOR_HOURS)*TEMP_HOURLY_RATE-FIXED_SEASON_COST)</f>
        <v/>
      </c>
      <c r="Z399" s="53" t="str">
        <f aca="false">IF(OR($A399&gt;TOMATO_BED_CAP,$B399&gt;CARROT_BED_CAP,Z$4&gt;MESCLUN_BED_CAP,$A399+$B399+Z$4&gt;TOTAL_BEDS_AVAILABLE,($D399+Z$5)&gt;TOTAL_LABOR_HOURS_CAP,MAX(0,($D399+Z$5)-PERMANENT_FIELD_LABOR_HOURS)&gt;TEMP_HOURS_CAP),"",$C399+Z$6-MIN(($D399+Z$5),PERMANENT_FIELD_LABOR_HOURS)*PERMANENT_HOURLY_RATE-MAX(0,($D399+Z$5)-PERMANENT_FIELD_LABOR_HOURS)*TEMP_HOURLY_RATE-FIXED_SEASON_COST)</f>
        <v/>
      </c>
      <c r="AA399" s="53" t="str">
        <f aca="false">IF(OR($A399&gt;TOMATO_BED_CAP,$B399&gt;CARROT_BED_CAP,AA$4&gt;MESCLUN_BED_CAP,$A399+$B399+AA$4&gt;TOTAL_BEDS_AVAILABLE,($D399+AA$5)&gt;TOTAL_LABOR_HOURS_CAP,MAX(0,($D399+AA$5)-PERMANENT_FIELD_LABOR_HOURS)&gt;TEMP_HOURS_CAP),"",$C399+AA$6-MIN(($D399+AA$5),PERMANENT_FIELD_LABOR_HOURS)*PERMANENT_HOURLY_RATE-MAX(0,($D399+AA$5)-PERMANENT_FIELD_LABOR_HOURS)*TEMP_HOURLY_RATE-FIXED_SEASON_COST)</f>
        <v/>
      </c>
      <c r="AB399" s="53" t="str">
        <f aca="false">IF(OR($A399&gt;TOMATO_BED_CAP,$B399&gt;CARROT_BED_CAP,AB$4&gt;MESCLUN_BED_CAP,$A399+$B399+AB$4&gt;TOTAL_BEDS_AVAILABLE,($D399+AB$5)&gt;TOTAL_LABOR_HOURS_CAP,MAX(0,($D399+AB$5)-PERMANENT_FIELD_LABOR_HOURS)&gt;TEMP_HOURS_CAP),"",$C399+AB$6-MIN(($D399+AB$5),PERMANENT_FIELD_LABOR_HOURS)*PERMANENT_HOURLY_RATE-MAX(0,($D399+AB$5)-PERMANENT_FIELD_LABOR_HOURS)*TEMP_HOURLY_RATE-FIXED_SEASON_COST)</f>
        <v/>
      </c>
      <c r="AC399" s="53" t="str">
        <f aca="false">IF(OR($A399&gt;TOMATO_BED_CAP,$B399&gt;CARROT_BED_CAP,AC$4&gt;MESCLUN_BED_CAP,$A399+$B399+AC$4&gt;TOTAL_BEDS_AVAILABLE,($D399+AC$5)&gt;TOTAL_LABOR_HOURS_CAP,MAX(0,($D399+AC$5)-PERMANENT_FIELD_LABOR_HOURS)&gt;TEMP_HOURS_CAP),"",$C399+AC$6-MIN(($D399+AC$5),PERMANENT_FIELD_LABOR_HOURS)*PERMANENT_HOURLY_RATE-MAX(0,($D399+AC$5)-PERMANENT_FIELD_LABOR_HOURS)*TEMP_HOURLY_RATE-FIXED_SEASON_COST)</f>
        <v/>
      </c>
      <c r="AD399" s="53" t="str">
        <f aca="false">IF(OR($A399&gt;TOMATO_BED_CAP,$B399&gt;CARROT_BED_CAP,AD$4&gt;MESCLUN_BED_CAP,$A399+$B399+AD$4&gt;TOTAL_BEDS_AVAILABLE,($D399+AD$5)&gt;TOTAL_LABOR_HOURS_CAP,MAX(0,($D399+AD$5)-PERMANENT_FIELD_LABOR_HOURS)&gt;TEMP_HOURS_CAP),"",$C399+AD$6-MIN(($D399+AD$5),PERMANENT_FIELD_LABOR_HOURS)*PERMANENT_HOURLY_RATE-MAX(0,($D399+AD$5)-PERMANENT_FIELD_LABOR_HOURS)*TEMP_HOURLY_RATE-FIXED_SEASON_COST)</f>
        <v/>
      </c>
      <c r="AE399" s="53" t="str">
        <f aca="false">IF(OR($A399&gt;TOMATO_BED_CAP,$B399&gt;CARROT_BED_CAP,AE$4&gt;MESCLUN_BED_CAP,$A399+$B399+AE$4&gt;TOTAL_BEDS_AVAILABLE,($D399+AE$5)&gt;TOTAL_LABOR_HOURS_CAP,MAX(0,($D399+AE$5)-PERMANENT_FIELD_LABOR_HOURS)&gt;TEMP_HOURS_CAP),"",$C399+AE$6-MIN(($D399+AE$5),PERMANENT_FIELD_LABOR_HOURS)*PERMANENT_HOURLY_RATE-MAX(0,($D399+AE$5)-PERMANENT_FIELD_LABOR_HOURS)*TEMP_HOURLY_RATE-FIXED_SEASON_COST)</f>
        <v/>
      </c>
      <c r="AF399" s="53" t="str">
        <f aca="false">IF(OR($A399&gt;TOMATO_BED_CAP,$B399&gt;CARROT_BED_CAP,AF$4&gt;MESCLUN_BED_CAP,$A399+$B399+AF$4&gt;TOTAL_BEDS_AVAILABLE,($D399+AF$5)&gt;TOTAL_LABOR_HOURS_CAP,MAX(0,($D399+AF$5)-PERMANENT_FIELD_LABOR_HOURS)&gt;TEMP_HOURS_CAP),"",$C399+AF$6-MIN(($D399+AF$5),PERMANENT_FIELD_LABOR_HOURS)*PERMANENT_HOURLY_RATE-MAX(0,($D399+AF$5)-PERMANENT_FIELD_LABOR_HOURS)*TEMP_HOURLY_RATE-FIXED_SEASON_COST)</f>
        <v/>
      </c>
      <c r="AG399" s="53" t="str">
        <f aca="false">IF(OR($A399&gt;TOMATO_BED_CAP,$B399&gt;CARROT_BED_CAP,AG$4&gt;MESCLUN_BED_CAP,$A399+$B399+AG$4&gt;TOTAL_BEDS_AVAILABLE,($D399+AG$5)&gt;TOTAL_LABOR_HOURS_CAP,MAX(0,($D399+AG$5)-PERMANENT_FIELD_LABOR_HOURS)&gt;TEMP_HOURS_CAP),"",$C399+AG$6-MIN(($D399+AG$5),PERMANENT_FIELD_LABOR_HOURS)*PERMANENT_HOURLY_RATE-MAX(0,($D399+AG$5)-PERMANENT_FIELD_LABOR_HOURS)*TEMP_HOURLY_RATE-FIXED_SEASON_COST)</f>
        <v/>
      </c>
      <c r="AH399" s="53" t="str">
        <f aca="false">IF(OR($A399&gt;TOMATO_BED_CAP,$B399&gt;CARROT_BED_CAP,AH$4&gt;MESCLUN_BED_CAP,$A399+$B399+AH$4&gt;TOTAL_BEDS_AVAILABLE,($D399+AH$5)&gt;TOTAL_LABOR_HOURS_CAP,MAX(0,($D399+AH$5)-PERMANENT_FIELD_LABOR_HOURS)&gt;TEMP_HOURS_CAP),"",$C399+AH$6-MIN(($D399+AH$5),PERMANENT_FIELD_LABOR_HOURS)*PERMANENT_HOURLY_RATE-MAX(0,($D399+AH$5)-PERMANENT_FIELD_LABOR_HOURS)*TEMP_HOURLY_RATE-FIXED_SEASON_COST)</f>
        <v/>
      </c>
      <c r="AI399" s="53" t="str">
        <f aca="false">IF(OR($A399&gt;TOMATO_BED_CAP,$B399&gt;CARROT_BED_CAP,AI$4&gt;MESCLUN_BED_CAP,$A399+$B399+AI$4&gt;TOTAL_BEDS_AVAILABLE,($D399+AI$5)&gt;TOTAL_LABOR_HOURS_CAP,MAX(0,($D399+AI$5)-PERMANENT_FIELD_LABOR_HOURS)&gt;TEMP_HOURS_CAP),"",$C399+AI$6-MIN(($D399+AI$5),PERMANENT_FIELD_LABOR_HOURS)*PERMANENT_HOURLY_RATE-MAX(0,($D399+AI$5)-PERMANENT_FIELD_LABOR_HOURS)*TEMP_HOURLY_RATE-FIXED_SEASON_COST)</f>
        <v/>
      </c>
      <c r="AJ399" s="53" t="str">
        <f aca="false">IF(OR($A399&gt;TOMATO_BED_CAP,$B399&gt;CARROT_BED_CAP,AJ$4&gt;MESCLUN_BED_CAP,$A399+$B399+AJ$4&gt;TOTAL_BEDS_AVAILABLE,($D399+AJ$5)&gt;TOTAL_LABOR_HOURS_CAP,MAX(0,($D399+AJ$5)-PERMANENT_FIELD_LABOR_HOURS)&gt;TEMP_HOURS_CAP),"",$C399+AJ$6-MIN(($D399+AJ$5),PERMANENT_FIELD_LABOR_HOURS)*PERMANENT_HOURLY_RATE-MAX(0,($D399+AJ$5)-PERMANENT_FIELD_LABOR_HOURS)*TEMP_HOURLY_RATE-FIXED_SEASON_COST)</f>
        <v/>
      </c>
    </row>
    <row r="400" customFormat="false" ht="15" hidden="false" customHeight="false" outlineLevel="0" collapsed="false">
      <c r="A400" s="21" t="n">
        <f aca="false">INT((ROW()-ROW($A$8))/(20+1))</f>
        <v>18</v>
      </c>
      <c r="B400" s="21" t="n">
        <f aca="false">MOD(ROW()-ROW($A$8),20+1)</f>
        <v>14</v>
      </c>
      <c r="C400" s="13" t="n">
        <f aca="false">A400*(TOMATO_REVENUE_PER_BED-TOMATO_FERTILIZER_PER_BED)+B400*(CARROT_REVENUE_PER_BED-CARROT_FERTILIZER_PER_BED)</f>
        <v>165716</v>
      </c>
      <c r="D400" s="14" t="n">
        <f aca="false">INDEX(TOMATO_SCHED_LABOR_HRS,A400+1)+INDEX(CARROT_SCHED_LABOR_HRS,B400+1)</f>
        <v>9600.27767306449</v>
      </c>
      <c r="E400" s="13" t="str">
        <f aca="false">IF(COUNT(F400:AJ400)=0,"",MAX(F400:AJ400))</f>
        <v/>
      </c>
      <c r="F400" s="53" t="str">
        <f aca="false">IF(OR($A400&gt;TOMATO_BED_CAP,$B400&gt;CARROT_BED_CAP,F$4&gt;MESCLUN_BED_CAP,$A400+$B400+F$4&gt;TOTAL_BEDS_AVAILABLE,($D400+F$5)&gt;TOTAL_LABOR_HOURS_CAP,MAX(0,($D400+F$5)-PERMANENT_FIELD_LABOR_HOURS)&gt;TEMP_HOURS_CAP),"",$C400+F$6-MIN(($D400+F$5),PERMANENT_FIELD_LABOR_HOURS)*PERMANENT_HOURLY_RATE-MAX(0,($D400+F$5)-PERMANENT_FIELD_LABOR_HOURS)*TEMP_HOURLY_RATE-FIXED_SEASON_COST)</f>
        <v/>
      </c>
      <c r="G400" s="53" t="str">
        <f aca="false">IF(OR($A400&gt;TOMATO_BED_CAP,$B400&gt;CARROT_BED_CAP,G$4&gt;MESCLUN_BED_CAP,$A400+$B400+G$4&gt;TOTAL_BEDS_AVAILABLE,($D400+G$5)&gt;TOTAL_LABOR_HOURS_CAP,MAX(0,($D400+G$5)-PERMANENT_FIELD_LABOR_HOURS)&gt;TEMP_HOURS_CAP),"",$C400+G$6-MIN(($D400+G$5),PERMANENT_FIELD_LABOR_HOURS)*PERMANENT_HOURLY_RATE-MAX(0,($D400+G$5)-PERMANENT_FIELD_LABOR_HOURS)*TEMP_HOURLY_RATE-FIXED_SEASON_COST)</f>
        <v/>
      </c>
      <c r="H400" s="53" t="str">
        <f aca="false">IF(OR($A400&gt;TOMATO_BED_CAP,$B400&gt;CARROT_BED_CAP,H$4&gt;MESCLUN_BED_CAP,$A400+$B400+H$4&gt;TOTAL_BEDS_AVAILABLE,($D400+H$5)&gt;TOTAL_LABOR_HOURS_CAP,MAX(0,($D400+H$5)-PERMANENT_FIELD_LABOR_HOURS)&gt;TEMP_HOURS_CAP),"",$C400+H$6-MIN(($D400+H$5),PERMANENT_FIELD_LABOR_HOURS)*PERMANENT_HOURLY_RATE-MAX(0,($D400+H$5)-PERMANENT_FIELD_LABOR_HOURS)*TEMP_HOURLY_RATE-FIXED_SEASON_COST)</f>
        <v/>
      </c>
      <c r="I400" s="53" t="str">
        <f aca="false">IF(OR($A400&gt;TOMATO_BED_CAP,$B400&gt;CARROT_BED_CAP,I$4&gt;MESCLUN_BED_CAP,$A400+$B400+I$4&gt;TOTAL_BEDS_AVAILABLE,($D400+I$5)&gt;TOTAL_LABOR_HOURS_CAP,MAX(0,($D400+I$5)-PERMANENT_FIELD_LABOR_HOURS)&gt;TEMP_HOURS_CAP),"",$C400+I$6-MIN(($D400+I$5),PERMANENT_FIELD_LABOR_HOURS)*PERMANENT_HOURLY_RATE-MAX(0,($D400+I$5)-PERMANENT_FIELD_LABOR_HOURS)*TEMP_HOURLY_RATE-FIXED_SEASON_COST)</f>
        <v/>
      </c>
      <c r="J400" s="53" t="str">
        <f aca="false">IF(OR($A400&gt;TOMATO_BED_CAP,$B400&gt;CARROT_BED_CAP,J$4&gt;MESCLUN_BED_CAP,$A400+$B400+J$4&gt;TOTAL_BEDS_AVAILABLE,($D400+J$5)&gt;TOTAL_LABOR_HOURS_CAP,MAX(0,($D400+J$5)-PERMANENT_FIELD_LABOR_HOURS)&gt;TEMP_HOURS_CAP),"",$C400+J$6-MIN(($D400+J$5),PERMANENT_FIELD_LABOR_HOURS)*PERMANENT_HOURLY_RATE-MAX(0,($D400+J$5)-PERMANENT_FIELD_LABOR_HOURS)*TEMP_HOURLY_RATE-FIXED_SEASON_COST)</f>
        <v/>
      </c>
      <c r="K400" s="53" t="str">
        <f aca="false">IF(OR($A400&gt;TOMATO_BED_CAP,$B400&gt;CARROT_BED_CAP,K$4&gt;MESCLUN_BED_CAP,$A400+$B400+K$4&gt;TOTAL_BEDS_AVAILABLE,($D400+K$5)&gt;TOTAL_LABOR_HOURS_CAP,MAX(0,($D400+K$5)-PERMANENT_FIELD_LABOR_HOURS)&gt;TEMP_HOURS_CAP),"",$C400+K$6-MIN(($D400+K$5),PERMANENT_FIELD_LABOR_HOURS)*PERMANENT_HOURLY_RATE-MAX(0,($D400+K$5)-PERMANENT_FIELD_LABOR_HOURS)*TEMP_HOURLY_RATE-FIXED_SEASON_COST)</f>
        <v/>
      </c>
      <c r="L400" s="53" t="str">
        <f aca="false">IF(OR($A400&gt;TOMATO_BED_CAP,$B400&gt;CARROT_BED_CAP,L$4&gt;MESCLUN_BED_CAP,$A400+$B400+L$4&gt;TOTAL_BEDS_AVAILABLE,($D400+L$5)&gt;TOTAL_LABOR_HOURS_CAP,MAX(0,($D400+L$5)-PERMANENT_FIELD_LABOR_HOURS)&gt;TEMP_HOURS_CAP),"",$C400+L$6-MIN(($D400+L$5),PERMANENT_FIELD_LABOR_HOURS)*PERMANENT_HOURLY_RATE-MAX(0,($D400+L$5)-PERMANENT_FIELD_LABOR_HOURS)*TEMP_HOURLY_RATE-FIXED_SEASON_COST)</f>
        <v/>
      </c>
      <c r="M400" s="53" t="str">
        <f aca="false">IF(OR($A400&gt;TOMATO_BED_CAP,$B400&gt;CARROT_BED_CAP,M$4&gt;MESCLUN_BED_CAP,$A400+$B400+M$4&gt;TOTAL_BEDS_AVAILABLE,($D400+M$5)&gt;TOTAL_LABOR_HOURS_CAP,MAX(0,($D400+M$5)-PERMANENT_FIELD_LABOR_HOURS)&gt;TEMP_HOURS_CAP),"",$C400+M$6-MIN(($D400+M$5),PERMANENT_FIELD_LABOR_HOURS)*PERMANENT_HOURLY_RATE-MAX(0,($D400+M$5)-PERMANENT_FIELD_LABOR_HOURS)*TEMP_HOURLY_RATE-FIXED_SEASON_COST)</f>
        <v/>
      </c>
      <c r="N400" s="53" t="str">
        <f aca="false">IF(OR($A400&gt;TOMATO_BED_CAP,$B400&gt;CARROT_BED_CAP,N$4&gt;MESCLUN_BED_CAP,$A400+$B400+N$4&gt;TOTAL_BEDS_AVAILABLE,($D400+N$5)&gt;TOTAL_LABOR_HOURS_CAP,MAX(0,($D400+N$5)-PERMANENT_FIELD_LABOR_HOURS)&gt;TEMP_HOURS_CAP),"",$C400+N$6-MIN(($D400+N$5),PERMANENT_FIELD_LABOR_HOURS)*PERMANENT_HOURLY_RATE-MAX(0,($D400+N$5)-PERMANENT_FIELD_LABOR_HOURS)*TEMP_HOURLY_RATE-FIXED_SEASON_COST)</f>
        <v/>
      </c>
      <c r="O400" s="53" t="str">
        <f aca="false">IF(OR($A400&gt;TOMATO_BED_CAP,$B400&gt;CARROT_BED_CAP,O$4&gt;MESCLUN_BED_CAP,$A400+$B400+O$4&gt;TOTAL_BEDS_AVAILABLE,($D400+O$5)&gt;TOTAL_LABOR_HOURS_CAP,MAX(0,($D400+O$5)-PERMANENT_FIELD_LABOR_HOURS)&gt;TEMP_HOURS_CAP),"",$C400+O$6-MIN(($D400+O$5),PERMANENT_FIELD_LABOR_HOURS)*PERMANENT_HOURLY_RATE-MAX(0,($D400+O$5)-PERMANENT_FIELD_LABOR_HOURS)*TEMP_HOURLY_RATE-FIXED_SEASON_COST)</f>
        <v/>
      </c>
      <c r="P400" s="53" t="str">
        <f aca="false">IF(OR($A400&gt;TOMATO_BED_CAP,$B400&gt;CARROT_BED_CAP,P$4&gt;MESCLUN_BED_CAP,$A400+$B400+P$4&gt;TOTAL_BEDS_AVAILABLE,($D400+P$5)&gt;TOTAL_LABOR_HOURS_CAP,MAX(0,($D400+P$5)-PERMANENT_FIELD_LABOR_HOURS)&gt;TEMP_HOURS_CAP),"",$C400+P$6-MIN(($D400+P$5),PERMANENT_FIELD_LABOR_HOURS)*PERMANENT_HOURLY_RATE-MAX(0,($D400+P$5)-PERMANENT_FIELD_LABOR_HOURS)*TEMP_HOURLY_RATE-FIXED_SEASON_COST)</f>
        <v/>
      </c>
      <c r="Q400" s="53" t="str">
        <f aca="false">IF(OR($A400&gt;TOMATO_BED_CAP,$B400&gt;CARROT_BED_CAP,Q$4&gt;MESCLUN_BED_CAP,$A400+$B400+Q$4&gt;TOTAL_BEDS_AVAILABLE,($D400+Q$5)&gt;TOTAL_LABOR_HOURS_CAP,MAX(0,($D400+Q$5)-PERMANENT_FIELD_LABOR_HOURS)&gt;TEMP_HOURS_CAP),"",$C400+Q$6-MIN(($D400+Q$5),PERMANENT_FIELD_LABOR_HOURS)*PERMANENT_HOURLY_RATE-MAX(0,($D400+Q$5)-PERMANENT_FIELD_LABOR_HOURS)*TEMP_HOURLY_RATE-FIXED_SEASON_COST)</f>
        <v/>
      </c>
      <c r="R400" s="53" t="str">
        <f aca="false">IF(OR($A400&gt;TOMATO_BED_CAP,$B400&gt;CARROT_BED_CAP,R$4&gt;MESCLUN_BED_CAP,$A400+$B400+R$4&gt;TOTAL_BEDS_AVAILABLE,($D400+R$5)&gt;TOTAL_LABOR_HOURS_CAP,MAX(0,($D400+R$5)-PERMANENT_FIELD_LABOR_HOURS)&gt;TEMP_HOURS_CAP),"",$C400+R$6-MIN(($D400+R$5),PERMANENT_FIELD_LABOR_HOURS)*PERMANENT_HOURLY_RATE-MAX(0,($D400+R$5)-PERMANENT_FIELD_LABOR_HOURS)*TEMP_HOURLY_RATE-FIXED_SEASON_COST)</f>
        <v/>
      </c>
      <c r="S400" s="53" t="str">
        <f aca="false">IF(OR($A400&gt;TOMATO_BED_CAP,$B400&gt;CARROT_BED_CAP,S$4&gt;MESCLUN_BED_CAP,$A400+$B400+S$4&gt;TOTAL_BEDS_AVAILABLE,($D400+S$5)&gt;TOTAL_LABOR_HOURS_CAP,MAX(0,($D400+S$5)-PERMANENT_FIELD_LABOR_HOURS)&gt;TEMP_HOURS_CAP),"",$C400+S$6-MIN(($D400+S$5),PERMANENT_FIELD_LABOR_HOURS)*PERMANENT_HOURLY_RATE-MAX(0,($D400+S$5)-PERMANENT_FIELD_LABOR_HOURS)*TEMP_HOURLY_RATE-FIXED_SEASON_COST)</f>
        <v/>
      </c>
      <c r="T400" s="53" t="str">
        <f aca="false">IF(OR($A400&gt;TOMATO_BED_CAP,$B400&gt;CARROT_BED_CAP,T$4&gt;MESCLUN_BED_CAP,$A400+$B400+T$4&gt;TOTAL_BEDS_AVAILABLE,($D400+T$5)&gt;TOTAL_LABOR_HOURS_CAP,MAX(0,($D400+T$5)-PERMANENT_FIELD_LABOR_HOURS)&gt;TEMP_HOURS_CAP),"",$C400+T$6-MIN(($D400+T$5),PERMANENT_FIELD_LABOR_HOURS)*PERMANENT_HOURLY_RATE-MAX(0,($D400+T$5)-PERMANENT_FIELD_LABOR_HOURS)*TEMP_HOURLY_RATE-FIXED_SEASON_COST)</f>
        <v/>
      </c>
      <c r="U400" s="53" t="str">
        <f aca="false">IF(OR($A400&gt;TOMATO_BED_CAP,$B400&gt;CARROT_BED_CAP,U$4&gt;MESCLUN_BED_CAP,$A400+$B400+U$4&gt;TOTAL_BEDS_AVAILABLE,($D400+U$5)&gt;TOTAL_LABOR_HOURS_CAP,MAX(0,($D400+U$5)-PERMANENT_FIELD_LABOR_HOURS)&gt;TEMP_HOURS_CAP),"",$C400+U$6-MIN(($D400+U$5),PERMANENT_FIELD_LABOR_HOURS)*PERMANENT_HOURLY_RATE-MAX(0,($D400+U$5)-PERMANENT_FIELD_LABOR_HOURS)*TEMP_HOURLY_RATE-FIXED_SEASON_COST)</f>
        <v/>
      </c>
      <c r="V400" s="53" t="str">
        <f aca="false">IF(OR($A400&gt;TOMATO_BED_CAP,$B400&gt;CARROT_BED_CAP,V$4&gt;MESCLUN_BED_CAP,$A400+$B400+V$4&gt;TOTAL_BEDS_AVAILABLE,($D400+V$5)&gt;TOTAL_LABOR_HOURS_CAP,MAX(0,($D400+V$5)-PERMANENT_FIELD_LABOR_HOURS)&gt;TEMP_HOURS_CAP),"",$C400+V$6-MIN(($D400+V$5),PERMANENT_FIELD_LABOR_HOURS)*PERMANENT_HOURLY_RATE-MAX(0,($D400+V$5)-PERMANENT_FIELD_LABOR_HOURS)*TEMP_HOURLY_RATE-FIXED_SEASON_COST)</f>
        <v/>
      </c>
      <c r="W400" s="53" t="str">
        <f aca="false">IF(OR($A400&gt;TOMATO_BED_CAP,$B400&gt;CARROT_BED_CAP,W$4&gt;MESCLUN_BED_CAP,$A400+$B400+W$4&gt;TOTAL_BEDS_AVAILABLE,($D400+W$5)&gt;TOTAL_LABOR_HOURS_CAP,MAX(0,($D400+W$5)-PERMANENT_FIELD_LABOR_HOURS)&gt;TEMP_HOURS_CAP),"",$C400+W$6-MIN(($D400+W$5),PERMANENT_FIELD_LABOR_HOURS)*PERMANENT_HOURLY_RATE-MAX(0,($D400+W$5)-PERMANENT_FIELD_LABOR_HOURS)*TEMP_HOURLY_RATE-FIXED_SEASON_COST)</f>
        <v/>
      </c>
      <c r="X400" s="53" t="str">
        <f aca="false">IF(OR($A400&gt;TOMATO_BED_CAP,$B400&gt;CARROT_BED_CAP,X$4&gt;MESCLUN_BED_CAP,$A400+$B400+X$4&gt;TOTAL_BEDS_AVAILABLE,($D400+X$5)&gt;TOTAL_LABOR_HOURS_CAP,MAX(0,($D400+X$5)-PERMANENT_FIELD_LABOR_HOURS)&gt;TEMP_HOURS_CAP),"",$C400+X$6-MIN(($D400+X$5),PERMANENT_FIELD_LABOR_HOURS)*PERMANENT_HOURLY_RATE-MAX(0,($D400+X$5)-PERMANENT_FIELD_LABOR_HOURS)*TEMP_HOURLY_RATE-FIXED_SEASON_COST)</f>
        <v/>
      </c>
      <c r="Y400" s="53" t="str">
        <f aca="false">IF(OR($A400&gt;TOMATO_BED_CAP,$B400&gt;CARROT_BED_CAP,Y$4&gt;MESCLUN_BED_CAP,$A400+$B400+Y$4&gt;TOTAL_BEDS_AVAILABLE,($D400+Y$5)&gt;TOTAL_LABOR_HOURS_CAP,MAX(0,($D400+Y$5)-PERMANENT_FIELD_LABOR_HOURS)&gt;TEMP_HOURS_CAP),"",$C400+Y$6-MIN(($D400+Y$5),PERMANENT_FIELD_LABOR_HOURS)*PERMANENT_HOURLY_RATE-MAX(0,($D400+Y$5)-PERMANENT_FIELD_LABOR_HOURS)*TEMP_HOURLY_RATE-FIXED_SEASON_COST)</f>
        <v/>
      </c>
      <c r="Z400" s="53" t="str">
        <f aca="false">IF(OR($A400&gt;TOMATO_BED_CAP,$B400&gt;CARROT_BED_CAP,Z$4&gt;MESCLUN_BED_CAP,$A400+$B400+Z$4&gt;TOTAL_BEDS_AVAILABLE,($D400+Z$5)&gt;TOTAL_LABOR_HOURS_CAP,MAX(0,($D400+Z$5)-PERMANENT_FIELD_LABOR_HOURS)&gt;TEMP_HOURS_CAP),"",$C400+Z$6-MIN(($D400+Z$5),PERMANENT_FIELD_LABOR_HOURS)*PERMANENT_HOURLY_RATE-MAX(0,($D400+Z$5)-PERMANENT_FIELD_LABOR_HOURS)*TEMP_HOURLY_RATE-FIXED_SEASON_COST)</f>
        <v/>
      </c>
      <c r="AA400" s="53" t="str">
        <f aca="false">IF(OR($A400&gt;TOMATO_BED_CAP,$B400&gt;CARROT_BED_CAP,AA$4&gt;MESCLUN_BED_CAP,$A400+$B400+AA$4&gt;TOTAL_BEDS_AVAILABLE,($D400+AA$5)&gt;TOTAL_LABOR_HOURS_CAP,MAX(0,($D400+AA$5)-PERMANENT_FIELD_LABOR_HOURS)&gt;TEMP_HOURS_CAP),"",$C400+AA$6-MIN(($D400+AA$5),PERMANENT_FIELD_LABOR_HOURS)*PERMANENT_HOURLY_RATE-MAX(0,($D400+AA$5)-PERMANENT_FIELD_LABOR_HOURS)*TEMP_HOURLY_RATE-FIXED_SEASON_COST)</f>
        <v/>
      </c>
      <c r="AB400" s="53" t="str">
        <f aca="false">IF(OR($A400&gt;TOMATO_BED_CAP,$B400&gt;CARROT_BED_CAP,AB$4&gt;MESCLUN_BED_CAP,$A400+$B400+AB$4&gt;TOTAL_BEDS_AVAILABLE,($D400+AB$5)&gt;TOTAL_LABOR_HOURS_CAP,MAX(0,($D400+AB$5)-PERMANENT_FIELD_LABOR_HOURS)&gt;TEMP_HOURS_CAP),"",$C400+AB$6-MIN(($D400+AB$5),PERMANENT_FIELD_LABOR_HOURS)*PERMANENT_HOURLY_RATE-MAX(0,($D400+AB$5)-PERMANENT_FIELD_LABOR_HOURS)*TEMP_HOURLY_RATE-FIXED_SEASON_COST)</f>
        <v/>
      </c>
      <c r="AC400" s="53" t="str">
        <f aca="false">IF(OR($A400&gt;TOMATO_BED_CAP,$B400&gt;CARROT_BED_CAP,AC$4&gt;MESCLUN_BED_CAP,$A400+$B400+AC$4&gt;TOTAL_BEDS_AVAILABLE,($D400+AC$5)&gt;TOTAL_LABOR_HOURS_CAP,MAX(0,($D400+AC$5)-PERMANENT_FIELD_LABOR_HOURS)&gt;TEMP_HOURS_CAP),"",$C400+AC$6-MIN(($D400+AC$5),PERMANENT_FIELD_LABOR_HOURS)*PERMANENT_HOURLY_RATE-MAX(0,($D400+AC$5)-PERMANENT_FIELD_LABOR_HOURS)*TEMP_HOURLY_RATE-FIXED_SEASON_COST)</f>
        <v/>
      </c>
      <c r="AD400" s="53" t="str">
        <f aca="false">IF(OR($A400&gt;TOMATO_BED_CAP,$B400&gt;CARROT_BED_CAP,AD$4&gt;MESCLUN_BED_CAP,$A400+$B400+AD$4&gt;TOTAL_BEDS_AVAILABLE,($D400+AD$5)&gt;TOTAL_LABOR_HOURS_CAP,MAX(0,($D400+AD$5)-PERMANENT_FIELD_LABOR_HOURS)&gt;TEMP_HOURS_CAP),"",$C400+AD$6-MIN(($D400+AD$5),PERMANENT_FIELD_LABOR_HOURS)*PERMANENT_HOURLY_RATE-MAX(0,($D400+AD$5)-PERMANENT_FIELD_LABOR_HOURS)*TEMP_HOURLY_RATE-FIXED_SEASON_COST)</f>
        <v/>
      </c>
      <c r="AE400" s="53" t="str">
        <f aca="false">IF(OR($A400&gt;TOMATO_BED_CAP,$B400&gt;CARROT_BED_CAP,AE$4&gt;MESCLUN_BED_CAP,$A400+$B400+AE$4&gt;TOTAL_BEDS_AVAILABLE,($D400+AE$5)&gt;TOTAL_LABOR_HOURS_CAP,MAX(0,($D400+AE$5)-PERMANENT_FIELD_LABOR_HOURS)&gt;TEMP_HOURS_CAP),"",$C400+AE$6-MIN(($D400+AE$5),PERMANENT_FIELD_LABOR_HOURS)*PERMANENT_HOURLY_RATE-MAX(0,($D400+AE$5)-PERMANENT_FIELD_LABOR_HOURS)*TEMP_HOURLY_RATE-FIXED_SEASON_COST)</f>
        <v/>
      </c>
      <c r="AF400" s="53" t="str">
        <f aca="false">IF(OR($A400&gt;TOMATO_BED_CAP,$B400&gt;CARROT_BED_CAP,AF$4&gt;MESCLUN_BED_CAP,$A400+$B400+AF$4&gt;TOTAL_BEDS_AVAILABLE,($D400+AF$5)&gt;TOTAL_LABOR_HOURS_CAP,MAX(0,($D400+AF$5)-PERMANENT_FIELD_LABOR_HOURS)&gt;TEMP_HOURS_CAP),"",$C400+AF$6-MIN(($D400+AF$5),PERMANENT_FIELD_LABOR_HOURS)*PERMANENT_HOURLY_RATE-MAX(0,($D400+AF$5)-PERMANENT_FIELD_LABOR_HOURS)*TEMP_HOURLY_RATE-FIXED_SEASON_COST)</f>
        <v/>
      </c>
      <c r="AG400" s="53" t="str">
        <f aca="false">IF(OR($A400&gt;TOMATO_BED_CAP,$B400&gt;CARROT_BED_CAP,AG$4&gt;MESCLUN_BED_CAP,$A400+$B400+AG$4&gt;TOTAL_BEDS_AVAILABLE,($D400+AG$5)&gt;TOTAL_LABOR_HOURS_CAP,MAX(0,($D400+AG$5)-PERMANENT_FIELD_LABOR_HOURS)&gt;TEMP_HOURS_CAP),"",$C400+AG$6-MIN(($D400+AG$5),PERMANENT_FIELD_LABOR_HOURS)*PERMANENT_HOURLY_RATE-MAX(0,($D400+AG$5)-PERMANENT_FIELD_LABOR_HOURS)*TEMP_HOURLY_RATE-FIXED_SEASON_COST)</f>
        <v/>
      </c>
      <c r="AH400" s="53" t="str">
        <f aca="false">IF(OR($A400&gt;TOMATO_BED_CAP,$B400&gt;CARROT_BED_CAP,AH$4&gt;MESCLUN_BED_CAP,$A400+$B400+AH$4&gt;TOTAL_BEDS_AVAILABLE,($D400+AH$5)&gt;TOTAL_LABOR_HOURS_CAP,MAX(0,($D400+AH$5)-PERMANENT_FIELD_LABOR_HOURS)&gt;TEMP_HOURS_CAP),"",$C400+AH$6-MIN(($D400+AH$5),PERMANENT_FIELD_LABOR_HOURS)*PERMANENT_HOURLY_RATE-MAX(0,($D400+AH$5)-PERMANENT_FIELD_LABOR_HOURS)*TEMP_HOURLY_RATE-FIXED_SEASON_COST)</f>
        <v/>
      </c>
      <c r="AI400" s="53" t="str">
        <f aca="false">IF(OR($A400&gt;TOMATO_BED_CAP,$B400&gt;CARROT_BED_CAP,AI$4&gt;MESCLUN_BED_CAP,$A400+$B400+AI$4&gt;TOTAL_BEDS_AVAILABLE,($D400+AI$5)&gt;TOTAL_LABOR_HOURS_CAP,MAX(0,($D400+AI$5)-PERMANENT_FIELD_LABOR_HOURS)&gt;TEMP_HOURS_CAP),"",$C400+AI$6-MIN(($D400+AI$5),PERMANENT_FIELD_LABOR_HOURS)*PERMANENT_HOURLY_RATE-MAX(0,($D400+AI$5)-PERMANENT_FIELD_LABOR_HOURS)*TEMP_HOURLY_RATE-FIXED_SEASON_COST)</f>
        <v/>
      </c>
      <c r="AJ400" s="53" t="str">
        <f aca="false">IF(OR($A400&gt;TOMATO_BED_CAP,$B400&gt;CARROT_BED_CAP,AJ$4&gt;MESCLUN_BED_CAP,$A400+$B400+AJ$4&gt;TOTAL_BEDS_AVAILABLE,($D400+AJ$5)&gt;TOTAL_LABOR_HOURS_CAP,MAX(0,($D400+AJ$5)-PERMANENT_FIELD_LABOR_HOURS)&gt;TEMP_HOURS_CAP),"",$C400+AJ$6-MIN(($D400+AJ$5),PERMANENT_FIELD_LABOR_HOURS)*PERMANENT_HOURLY_RATE-MAX(0,($D400+AJ$5)-PERMANENT_FIELD_LABOR_HOURS)*TEMP_HOURLY_RATE-FIXED_SEASON_COST)</f>
        <v/>
      </c>
    </row>
    <row r="401" customFormat="false" ht="15" hidden="false" customHeight="false" outlineLevel="0" collapsed="false">
      <c r="A401" s="21" t="n">
        <f aca="false">INT((ROW()-ROW($A$8))/(20+1))</f>
        <v>18</v>
      </c>
      <c r="B401" s="21" t="n">
        <f aca="false">MOD(ROW()-ROW($A$8),20+1)</f>
        <v>15</v>
      </c>
      <c r="C401" s="13" t="n">
        <f aca="false">A401*(TOMATO_REVENUE_PER_BED-TOMATO_FERTILIZER_PER_BED)+B401*(CARROT_REVENUE_PER_BED-CARROT_FERTILIZER_PER_BED)</f>
        <v>167370</v>
      </c>
      <c r="D401" s="14" t="n">
        <f aca="false">INDEX(TOMATO_SCHED_LABOR_HRS,A401+1)+INDEX(CARROT_SCHED_LABOR_HRS,B401+1)</f>
        <v>9658.53952911161</v>
      </c>
      <c r="E401" s="13" t="str">
        <f aca="false">IF(COUNT(F401:AJ401)=0,"",MAX(F401:AJ401))</f>
        <v/>
      </c>
      <c r="F401" s="53" t="str">
        <f aca="false">IF(OR($A401&gt;TOMATO_BED_CAP,$B401&gt;CARROT_BED_CAP,F$4&gt;MESCLUN_BED_CAP,$A401+$B401+F$4&gt;TOTAL_BEDS_AVAILABLE,($D401+F$5)&gt;TOTAL_LABOR_HOURS_CAP,MAX(0,($D401+F$5)-PERMANENT_FIELD_LABOR_HOURS)&gt;TEMP_HOURS_CAP),"",$C401+F$6-MIN(($D401+F$5),PERMANENT_FIELD_LABOR_HOURS)*PERMANENT_HOURLY_RATE-MAX(0,($D401+F$5)-PERMANENT_FIELD_LABOR_HOURS)*TEMP_HOURLY_RATE-FIXED_SEASON_COST)</f>
        <v/>
      </c>
      <c r="G401" s="53" t="str">
        <f aca="false">IF(OR($A401&gt;TOMATO_BED_CAP,$B401&gt;CARROT_BED_CAP,G$4&gt;MESCLUN_BED_CAP,$A401+$B401+G$4&gt;TOTAL_BEDS_AVAILABLE,($D401+G$5)&gt;TOTAL_LABOR_HOURS_CAP,MAX(0,($D401+G$5)-PERMANENT_FIELD_LABOR_HOURS)&gt;TEMP_HOURS_CAP),"",$C401+G$6-MIN(($D401+G$5),PERMANENT_FIELD_LABOR_HOURS)*PERMANENT_HOURLY_RATE-MAX(0,($D401+G$5)-PERMANENT_FIELD_LABOR_HOURS)*TEMP_HOURLY_RATE-FIXED_SEASON_COST)</f>
        <v/>
      </c>
      <c r="H401" s="53" t="str">
        <f aca="false">IF(OR($A401&gt;TOMATO_BED_CAP,$B401&gt;CARROT_BED_CAP,H$4&gt;MESCLUN_BED_CAP,$A401+$B401+H$4&gt;TOTAL_BEDS_AVAILABLE,($D401+H$5)&gt;TOTAL_LABOR_HOURS_CAP,MAX(0,($D401+H$5)-PERMANENT_FIELD_LABOR_HOURS)&gt;TEMP_HOURS_CAP),"",$C401+H$6-MIN(($D401+H$5),PERMANENT_FIELD_LABOR_HOURS)*PERMANENT_HOURLY_RATE-MAX(0,($D401+H$5)-PERMANENT_FIELD_LABOR_HOURS)*TEMP_HOURLY_RATE-FIXED_SEASON_COST)</f>
        <v/>
      </c>
      <c r="I401" s="53" t="str">
        <f aca="false">IF(OR($A401&gt;TOMATO_BED_CAP,$B401&gt;CARROT_BED_CAP,I$4&gt;MESCLUN_BED_CAP,$A401+$B401+I$4&gt;TOTAL_BEDS_AVAILABLE,($D401+I$5)&gt;TOTAL_LABOR_HOURS_CAP,MAX(0,($D401+I$5)-PERMANENT_FIELD_LABOR_HOURS)&gt;TEMP_HOURS_CAP),"",$C401+I$6-MIN(($D401+I$5),PERMANENT_FIELD_LABOR_HOURS)*PERMANENT_HOURLY_RATE-MAX(0,($D401+I$5)-PERMANENT_FIELD_LABOR_HOURS)*TEMP_HOURLY_RATE-FIXED_SEASON_COST)</f>
        <v/>
      </c>
      <c r="J401" s="53" t="str">
        <f aca="false">IF(OR($A401&gt;TOMATO_BED_CAP,$B401&gt;CARROT_BED_CAP,J$4&gt;MESCLUN_BED_CAP,$A401+$B401+J$4&gt;TOTAL_BEDS_AVAILABLE,($D401+J$5)&gt;TOTAL_LABOR_HOURS_CAP,MAX(0,($D401+J$5)-PERMANENT_FIELD_LABOR_HOURS)&gt;TEMP_HOURS_CAP),"",$C401+J$6-MIN(($D401+J$5),PERMANENT_FIELD_LABOR_HOURS)*PERMANENT_HOURLY_RATE-MAX(0,($D401+J$5)-PERMANENT_FIELD_LABOR_HOURS)*TEMP_HOURLY_RATE-FIXED_SEASON_COST)</f>
        <v/>
      </c>
      <c r="K401" s="53" t="str">
        <f aca="false">IF(OR($A401&gt;TOMATO_BED_CAP,$B401&gt;CARROT_BED_CAP,K$4&gt;MESCLUN_BED_CAP,$A401+$B401+K$4&gt;TOTAL_BEDS_AVAILABLE,($D401+K$5)&gt;TOTAL_LABOR_HOURS_CAP,MAX(0,($D401+K$5)-PERMANENT_FIELD_LABOR_HOURS)&gt;TEMP_HOURS_CAP),"",$C401+K$6-MIN(($D401+K$5),PERMANENT_FIELD_LABOR_HOURS)*PERMANENT_HOURLY_RATE-MAX(0,($D401+K$5)-PERMANENT_FIELD_LABOR_HOURS)*TEMP_HOURLY_RATE-FIXED_SEASON_COST)</f>
        <v/>
      </c>
      <c r="L401" s="53" t="str">
        <f aca="false">IF(OR($A401&gt;TOMATO_BED_CAP,$B401&gt;CARROT_BED_CAP,L$4&gt;MESCLUN_BED_CAP,$A401+$B401+L$4&gt;TOTAL_BEDS_AVAILABLE,($D401+L$5)&gt;TOTAL_LABOR_HOURS_CAP,MAX(0,($D401+L$5)-PERMANENT_FIELD_LABOR_HOURS)&gt;TEMP_HOURS_CAP),"",$C401+L$6-MIN(($D401+L$5),PERMANENT_FIELD_LABOR_HOURS)*PERMANENT_HOURLY_RATE-MAX(0,($D401+L$5)-PERMANENT_FIELD_LABOR_HOURS)*TEMP_HOURLY_RATE-FIXED_SEASON_COST)</f>
        <v/>
      </c>
      <c r="M401" s="53" t="str">
        <f aca="false">IF(OR($A401&gt;TOMATO_BED_CAP,$B401&gt;CARROT_BED_CAP,M$4&gt;MESCLUN_BED_CAP,$A401+$B401+M$4&gt;TOTAL_BEDS_AVAILABLE,($D401+M$5)&gt;TOTAL_LABOR_HOURS_CAP,MAX(0,($D401+M$5)-PERMANENT_FIELD_LABOR_HOURS)&gt;TEMP_HOURS_CAP),"",$C401+M$6-MIN(($D401+M$5),PERMANENT_FIELD_LABOR_HOURS)*PERMANENT_HOURLY_RATE-MAX(0,($D401+M$5)-PERMANENT_FIELD_LABOR_HOURS)*TEMP_HOURLY_RATE-FIXED_SEASON_COST)</f>
        <v/>
      </c>
      <c r="N401" s="53" t="str">
        <f aca="false">IF(OR($A401&gt;TOMATO_BED_CAP,$B401&gt;CARROT_BED_CAP,N$4&gt;MESCLUN_BED_CAP,$A401+$B401+N$4&gt;TOTAL_BEDS_AVAILABLE,($D401+N$5)&gt;TOTAL_LABOR_HOURS_CAP,MAX(0,($D401+N$5)-PERMANENT_FIELD_LABOR_HOURS)&gt;TEMP_HOURS_CAP),"",$C401+N$6-MIN(($D401+N$5),PERMANENT_FIELD_LABOR_HOURS)*PERMANENT_HOURLY_RATE-MAX(0,($D401+N$5)-PERMANENT_FIELD_LABOR_HOURS)*TEMP_HOURLY_RATE-FIXED_SEASON_COST)</f>
        <v/>
      </c>
      <c r="O401" s="53" t="str">
        <f aca="false">IF(OR($A401&gt;TOMATO_BED_CAP,$B401&gt;CARROT_BED_CAP,O$4&gt;MESCLUN_BED_CAP,$A401+$B401+O$4&gt;TOTAL_BEDS_AVAILABLE,($D401+O$5)&gt;TOTAL_LABOR_HOURS_CAP,MAX(0,($D401+O$5)-PERMANENT_FIELD_LABOR_HOURS)&gt;TEMP_HOURS_CAP),"",$C401+O$6-MIN(($D401+O$5),PERMANENT_FIELD_LABOR_HOURS)*PERMANENT_HOURLY_RATE-MAX(0,($D401+O$5)-PERMANENT_FIELD_LABOR_HOURS)*TEMP_HOURLY_RATE-FIXED_SEASON_COST)</f>
        <v/>
      </c>
      <c r="P401" s="53" t="str">
        <f aca="false">IF(OR($A401&gt;TOMATO_BED_CAP,$B401&gt;CARROT_BED_CAP,P$4&gt;MESCLUN_BED_CAP,$A401+$B401+P$4&gt;TOTAL_BEDS_AVAILABLE,($D401+P$5)&gt;TOTAL_LABOR_HOURS_CAP,MAX(0,($D401+P$5)-PERMANENT_FIELD_LABOR_HOURS)&gt;TEMP_HOURS_CAP),"",$C401+P$6-MIN(($D401+P$5),PERMANENT_FIELD_LABOR_HOURS)*PERMANENT_HOURLY_RATE-MAX(0,($D401+P$5)-PERMANENT_FIELD_LABOR_HOURS)*TEMP_HOURLY_RATE-FIXED_SEASON_COST)</f>
        <v/>
      </c>
      <c r="Q401" s="53" t="str">
        <f aca="false">IF(OR($A401&gt;TOMATO_BED_CAP,$B401&gt;CARROT_BED_CAP,Q$4&gt;MESCLUN_BED_CAP,$A401+$B401+Q$4&gt;TOTAL_BEDS_AVAILABLE,($D401+Q$5)&gt;TOTAL_LABOR_HOURS_CAP,MAX(0,($D401+Q$5)-PERMANENT_FIELD_LABOR_HOURS)&gt;TEMP_HOURS_CAP),"",$C401+Q$6-MIN(($D401+Q$5),PERMANENT_FIELD_LABOR_HOURS)*PERMANENT_HOURLY_RATE-MAX(0,($D401+Q$5)-PERMANENT_FIELD_LABOR_HOURS)*TEMP_HOURLY_RATE-FIXED_SEASON_COST)</f>
        <v/>
      </c>
      <c r="R401" s="53" t="str">
        <f aca="false">IF(OR($A401&gt;TOMATO_BED_CAP,$B401&gt;CARROT_BED_CAP,R$4&gt;MESCLUN_BED_CAP,$A401+$B401+R$4&gt;TOTAL_BEDS_AVAILABLE,($D401+R$5)&gt;TOTAL_LABOR_HOURS_CAP,MAX(0,($D401+R$5)-PERMANENT_FIELD_LABOR_HOURS)&gt;TEMP_HOURS_CAP),"",$C401+R$6-MIN(($D401+R$5),PERMANENT_FIELD_LABOR_HOURS)*PERMANENT_HOURLY_RATE-MAX(0,($D401+R$5)-PERMANENT_FIELD_LABOR_HOURS)*TEMP_HOURLY_RATE-FIXED_SEASON_COST)</f>
        <v/>
      </c>
      <c r="S401" s="53" t="str">
        <f aca="false">IF(OR($A401&gt;TOMATO_BED_CAP,$B401&gt;CARROT_BED_CAP,S$4&gt;MESCLUN_BED_CAP,$A401+$B401+S$4&gt;TOTAL_BEDS_AVAILABLE,($D401+S$5)&gt;TOTAL_LABOR_HOURS_CAP,MAX(0,($D401+S$5)-PERMANENT_FIELD_LABOR_HOURS)&gt;TEMP_HOURS_CAP),"",$C401+S$6-MIN(($D401+S$5),PERMANENT_FIELD_LABOR_HOURS)*PERMANENT_HOURLY_RATE-MAX(0,($D401+S$5)-PERMANENT_FIELD_LABOR_HOURS)*TEMP_HOURLY_RATE-FIXED_SEASON_COST)</f>
        <v/>
      </c>
      <c r="T401" s="53" t="str">
        <f aca="false">IF(OR($A401&gt;TOMATO_BED_CAP,$B401&gt;CARROT_BED_CAP,T$4&gt;MESCLUN_BED_CAP,$A401+$B401+T$4&gt;TOTAL_BEDS_AVAILABLE,($D401+T$5)&gt;TOTAL_LABOR_HOURS_CAP,MAX(0,($D401+T$5)-PERMANENT_FIELD_LABOR_HOURS)&gt;TEMP_HOURS_CAP),"",$C401+T$6-MIN(($D401+T$5),PERMANENT_FIELD_LABOR_HOURS)*PERMANENT_HOURLY_RATE-MAX(0,($D401+T$5)-PERMANENT_FIELD_LABOR_HOURS)*TEMP_HOURLY_RATE-FIXED_SEASON_COST)</f>
        <v/>
      </c>
      <c r="U401" s="53" t="str">
        <f aca="false">IF(OR($A401&gt;TOMATO_BED_CAP,$B401&gt;CARROT_BED_CAP,U$4&gt;MESCLUN_BED_CAP,$A401+$B401+U$4&gt;TOTAL_BEDS_AVAILABLE,($D401+U$5)&gt;TOTAL_LABOR_HOURS_CAP,MAX(0,($D401+U$5)-PERMANENT_FIELD_LABOR_HOURS)&gt;TEMP_HOURS_CAP),"",$C401+U$6-MIN(($D401+U$5),PERMANENT_FIELD_LABOR_HOURS)*PERMANENT_HOURLY_RATE-MAX(0,($D401+U$5)-PERMANENT_FIELD_LABOR_HOURS)*TEMP_HOURLY_RATE-FIXED_SEASON_COST)</f>
        <v/>
      </c>
      <c r="V401" s="53" t="str">
        <f aca="false">IF(OR($A401&gt;TOMATO_BED_CAP,$B401&gt;CARROT_BED_CAP,V$4&gt;MESCLUN_BED_CAP,$A401+$B401+V$4&gt;TOTAL_BEDS_AVAILABLE,($D401+V$5)&gt;TOTAL_LABOR_HOURS_CAP,MAX(0,($D401+V$5)-PERMANENT_FIELD_LABOR_HOURS)&gt;TEMP_HOURS_CAP),"",$C401+V$6-MIN(($D401+V$5),PERMANENT_FIELD_LABOR_HOURS)*PERMANENT_HOURLY_RATE-MAX(0,($D401+V$5)-PERMANENT_FIELD_LABOR_HOURS)*TEMP_HOURLY_RATE-FIXED_SEASON_COST)</f>
        <v/>
      </c>
      <c r="W401" s="53" t="str">
        <f aca="false">IF(OR($A401&gt;TOMATO_BED_CAP,$B401&gt;CARROT_BED_CAP,W$4&gt;MESCLUN_BED_CAP,$A401+$B401+W$4&gt;TOTAL_BEDS_AVAILABLE,($D401+W$5)&gt;TOTAL_LABOR_HOURS_CAP,MAX(0,($D401+W$5)-PERMANENT_FIELD_LABOR_HOURS)&gt;TEMP_HOURS_CAP),"",$C401+W$6-MIN(($D401+W$5),PERMANENT_FIELD_LABOR_HOURS)*PERMANENT_HOURLY_RATE-MAX(0,($D401+W$5)-PERMANENT_FIELD_LABOR_HOURS)*TEMP_HOURLY_RATE-FIXED_SEASON_COST)</f>
        <v/>
      </c>
      <c r="X401" s="53" t="str">
        <f aca="false">IF(OR($A401&gt;TOMATO_BED_CAP,$B401&gt;CARROT_BED_CAP,X$4&gt;MESCLUN_BED_CAP,$A401+$B401+X$4&gt;TOTAL_BEDS_AVAILABLE,($D401+X$5)&gt;TOTAL_LABOR_HOURS_CAP,MAX(0,($D401+X$5)-PERMANENT_FIELD_LABOR_HOURS)&gt;TEMP_HOURS_CAP),"",$C401+X$6-MIN(($D401+X$5),PERMANENT_FIELD_LABOR_HOURS)*PERMANENT_HOURLY_RATE-MAX(0,($D401+X$5)-PERMANENT_FIELD_LABOR_HOURS)*TEMP_HOURLY_RATE-FIXED_SEASON_COST)</f>
        <v/>
      </c>
      <c r="Y401" s="53" t="str">
        <f aca="false">IF(OR($A401&gt;TOMATO_BED_CAP,$B401&gt;CARROT_BED_CAP,Y$4&gt;MESCLUN_BED_CAP,$A401+$B401+Y$4&gt;TOTAL_BEDS_AVAILABLE,($D401+Y$5)&gt;TOTAL_LABOR_HOURS_CAP,MAX(0,($D401+Y$5)-PERMANENT_FIELD_LABOR_HOURS)&gt;TEMP_HOURS_CAP),"",$C401+Y$6-MIN(($D401+Y$5),PERMANENT_FIELD_LABOR_HOURS)*PERMANENT_HOURLY_RATE-MAX(0,($D401+Y$5)-PERMANENT_FIELD_LABOR_HOURS)*TEMP_HOURLY_RATE-FIXED_SEASON_COST)</f>
        <v/>
      </c>
      <c r="Z401" s="53" t="str">
        <f aca="false">IF(OR($A401&gt;TOMATO_BED_CAP,$B401&gt;CARROT_BED_CAP,Z$4&gt;MESCLUN_BED_CAP,$A401+$B401+Z$4&gt;TOTAL_BEDS_AVAILABLE,($D401+Z$5)&gt;TOTAL_LABOR_HOURS_CAP,MAX(0,($D401+Z$5)-PERMANENT_FIELD_LABOR_HOURS)&gt;TEMP_HOURS_CAP),"",$C401+Z$6-MIN(($D401+Z$5),PERMANENT_FIELD_LABOR_HOURS)*PERMANENT_HOURLY_RATE-MAX(0,($D401+Z$5)-PERMANENT_FIELD_LABOR_HOURS)*TEMP_HOURLY_RATE-FIXED_SEASON_COST)</f>
        <v/>
      </c>
      <c r="AA401" s="53" t="str">
        <f aca="false">IF(OR($A401&gt;TOMATO_BED_CAP,$B401&gt;CARROT_BED_CAP,AA$4&gt;MESCLUN_BED_CAP,$A401+$B401+AA$4&gt;TOTAL_BEDS_AVAILABLE,($D401+AA$5)&gt;TOTAL_LABOR_HOURS_CAP,MAX(0,($D401+AA$5)-PERMANENT_FIELD_LABOR_HOURS)&gt;TEMP_HOURS_CAP),"",$C401+AA$6-MIN(($D401+AA$5),PERMANENT_FIELD_LABOR_HOURS)*PERMANENT_HOURLY_RATE-MAX(0,($D401+AA$5)-PERMANENT_FIELD_LABOR_HOURS)*TEMP_HOURLY_RATE-FIXED_SEASON_COST)</f>
        <v/>
      </c>
      <c r="AB401" s="53" t="str">
        <f aca="false">IF(OR($A401&gt;TOMATO_BED_CAP,$B401&gt;CARROT_BED_CAP,AB$4&gt;MESCLUN_BED_CAP,$A401+$B401+AB$4&gt;TOTAL_BEDS_AVAILABLE,($D401+AB$5)&gt;TOTAL_LABOR_HOURS_CAP,MAX(0,($D401+AB$5)-PERMANENT_FIELD_LABOR_HOURS)&gt;TEMP_HOURS_CAP),"",$C401+AB$6-MIN(($D401+AB$5),PERMANENT_FIELD_LABOR_HOURS)*PERMANENT_HOURLY_RATE-MAX(0,($D401+AB$5)-PERMANENT_FIELD_LABOR_HOURS)*TEMP_HOURLY_RATE-FIXED_SEASON_COST)</f>
        <v/>
      </c>
      <c r="AC401" s="53" t="str">
        <f aca="false">IF(OR($A401&gt;TOMATO_BED_CAP,$B401&gt;CARROT_BED_CAP,AC$4&gt;MESCLUN_BED_CAP,$A401+$B401+AC$4&gt;TOTAL_BEDS_AVAILABLE,($D401+AC$5)&gt;TOTAL_LABOR_HOURS_CAP,MAX(0,($D401+AC$5)-PERMANENT_FIELD_LABOR_HOURS)&gt;TEMP_HOURS_CAP),"",$C401+AC$6-MIN(($D401+AC$5),PERMANENT_FIELD_LABOR_HOURS)*PERMANENT_HOURLY_RATE-MAX(0,($D401+AC$5)-PERMANENT_FIELD_LABOR_HOURS)*TEMP_HOURLY_RATE-FIXED_SEASON_COST)</f>
        <v/>
      </c>
      <c r="AD401" s="53" t="str">
        <f aca="false">IF(OR($A401&gt;TOMATO_BED_CAP,$B401&gt;CARROT_BED_CAP,AD$4&gt;MESCLUN_BED_CAP,$A401+$B401+AD$4&gt;TOTAL_BEDS_AVAILABLE,($D401+AD$5)&gt;TOTAL_LABOR_HOURS_CAP,MAX(0,($D401+AD$5)-PERMANENT_FIELD_LABOR_HOURS)&gt;TEMP_HOURS_CAP),"",$C401+AD$6-MIN(($D401+AD$5),PERMANENT_FIELD_LABOR_HOURS)*PERMANENT_HOURLY_RATE-MAX(0,($D401+AD$5)-PERMANENT_FIELD_LABOR_HOURS)*TEMP_HOURLY_RATE-FIXED_SEASON_COST)</f>
        <v/>
      </c>
      <c r="AE401" s="53" t="str">
        <f aca="false">IF(OR($A401&gt;TOMATO_BED_CAP,$B401&gt;CARROT_BED_CAP,AE$4&gt;MESCLUN_BED_CAP,$A401+$B401+AE$4&gt;TOTAL_BEDS_AVAILABLE,($D401+AE$5)&gt;TOTAL_LABOR_HOURS_CAP,MAX(0,($D401+AE$5)-PERMANENT_FIELD_LABOR_HOURS)&gt;TEMP_HOURS_CAP),"",$C401+AE$6-MIN(($D401+AE$5),PERMANENT_FIELD_LABOR_HOURS)*PERMANENT_HOURLY_RATE-MAX(0,($D401+AE$5)-PERMANENT_FIELD_LABOR_HOURS)*TEMP_HOURLY_RATE-FIXED_SEASON_COST)</f>
        <v/>
      </c>
      <c r="AF401" s="53" t="str">
        <f aca="false">IF(OR($A401&gt;TOMATO_BED_CAP,$B401&gt;CARROT_BED_CAP,AF$4&gt;MESCLUN_BED_CAP,$A401+$B401+AF$4&gt;TOTAL_BEDS_AVAILABLE,($D401+AF$5)&gt;TOTAL_LABOR_HOURS_CAP,MAX(0,($D401+AF$5)-PERMANENT_FIELD_LABOR_HOURS)&gt;TEMP_HOURS_CAP),"",$C401+AF$6-MIN(($D401+AF$5),PERMANENT_FIELD_LABOR_HOURS)*PERMANENT_HOURLY_RATE-MAX(0,($D401+AF$5)-PERMANENT_FIELD_LABOR_HOURS)*TEMP_HOURLY_RATE-FIXED_SEASON_COST)</f>
        <v/>
      </c>
      <c r="AG401" s="53" t="str">
        <f aca="false">IF(OR($A401&gt;TOMATO_BED_CAP,$B401&gt;CARROT_BED_CAP,AG$4&gt;MESCLUN_BED_CAP,$A401+$B401+AG$4&gt;TOTAL_BEDS_AVAILABLE,($D401+AG$5)&gt;TOTAL_LABOR_HOURS_CAP,MAX(0,($D401+AG$5)-PERMANENT_FIELD_LABOR_HOURS)&gt;TEMP_HOURS_CAP),"",$C401+AG$6-MIN(($D401+AG$5),PERMANENT_FIELD_LABOR_HOURS)*PERMANENT_HOURLY_RATE-MAX(0,($D401+AG$5)-PERMANENT_FIELD_LABOR_HOURS)*TEMP_HOURLY_RATE-FIXED_SEASON_COST)</f>
        <v/>
      </c>
      <c r="AH401" s="53" t="str">
        <f aca="false">IF(OR($A401&gt;TOMATO_BED_CAP,$B401&gt;CARROT_BED_CAP,AH$4&gt;MESCLUN_BED_CAP,$A401+$B401+AH$4&gt;TOTAL_BEDS_AVAILABLE,($D401+AH$5)&gt;TOTAL_LABOR_HOURS_CAP,MAX(0,($D401+AH$5)-PERMANENT_FIELD_LABOR_HOURS)&gt;TEMP_HOURS_CAP),"",$C401+AH$6-MIN(($D401+AH$5),PERMANENT_FIELD_LABOR_HOURS)*PERMANENT_HOURLY_RATE-MAX(0,($D401+AH$5)-PERMANENT_FIELD_LABOR_HOURS)*TEMP_HOURLY_RATE-FIXED_SEASON_COST)</f>
        <v/>
      </c>
      <c r="AI401" s="53" t="str">
        <f aca="false">IF(OR($A401&gt;TOMATO_BED_CAP,$B401&gt;CARROT_BED_CAP,AI$4&gt;MESCLUN_BED_CAP,$A401+$B401+AI$4&gt;TOTAL_BEDS_AVAILABLE,($D401+AI$5)&gt;TOTAL_LABOR_HOURS_CAP,MAX(0,($D401+AI$5)-PERMANENT_FIELD_LABOR_HOURS)&gt;TEMP_HOURS_CAP),"",$C401+AI$6-MIN(($D401+AI$5),PERMANENT_FIELD_LABOR_HOURS)*PERMANENT_HOURLY_RATE-MAX(0,($D401+AI$5)-PERMANENT_FIELD_LABOR_HOURS)*TEMP_HOURLY_RATE-FIXED_SEASON_COST)</f>
        <v/>
      </c>
      <c r="AJ401" s="53" t="str">
        <f aca="false">IF(OR($A401&gt;TOMATO_BED_CAP,$B401&gt;CARROT_BED_CAP,AJ$4&gt;MESCLUN_BED_CAP,$A401+$B401+AJ$4&gt;TOTAL_BEDS_AVAILABLE,($D401+AJ$5)&gt;TOTAL_LABOR_HOURS_CAP,MAX(0,($D401+AJ$5)-PERMANENT_FIELD_LABOR_HOURS)&gt;TEMP_HOURS_CAP),"",$C401+AJ$6-MIN(($D401+AJ$5),PERMANENT_FIELD_LABOR_HOURS)*PERMANENT_HOURLY_RATE-MAX(0,($D401+AJ$5)-PERMANENT_FIELD_LABOR_HOURS)*TEMP_HOURLY_RATE-FIXED_SEASON_COST)</f>
        <v/>
      </c>
    </row>
    <row r="402" customFormat="false" ht="15" hidden="false" customHeight="false" outlineLevel="0" collapsed="false">
      <c r="A402" s="21" t="n">
        <f aca="false">INT((ROW()-ROW($A$8))/(20+1))</f>
        <v>18</v>
      </c>
      <c r="B402" s="21" t="n">
        <f aca="false">MOD(ROW()-ROW($A$8),20+1)</f>
        <v>16</v>
      </c>
      <c r="C402" s="13" t="n">
        <f aca="false">A402*(TOMATO_REVENUE_PER_BED-TOMATO_FERTILIZER_PER_BED)+B402*(CARROT_REVENUE_PER_BED-CARROT_FERTILIZER_PER_BED)</f>
        <v>169024</v>
      </c>
      <c r="D402" s="14" t="n">
        <f aca="false">INDEX(TOMATO_SCHED_LABOR_HRS,A402+1)+INDEX(CARROT_SCHED_LABOR_HRS,B402+1)</f>
        <v>9719.34372069533</v>
      </c>
      <c r="E402" s="13" t="str">
        <f aca="false">IF(COUNT(F402:AJ402)=0,"",MAX(F402:AJ402))</f>
        <v/>
      </c>
      <c r="F402" s="53" t="str">
        <f aca="false">IF(OR($A402&gt;TOMATO_BED_CAP,$B402&gt;CARROT_BED_CAP,F$4&gt;MESCLUN_BED_CAP,$A402+$B402+F$4&gt;TOTAL_BEDS_AVAILABLE,($D402+F$5)&gt;TOTAL_LABOR_HOURS_CAP,MAX(0,($D402+F$5)-PERMANENT_FIELD_LABOR_HOURS)&gt;TEMP_HOURS_CAP),"",$C402+F$6-MIN(($D402+F$5),PERMANENT_FIELD_LABOR_HOURS)*PERMANENT_HOURLY_RATE-MAX(0,($D402+F$5)-PERMANENT_FIELD_LABOR_HOURS)*TEMP_HOURLY_RATE-FIXED_SEASON_COST)</f>
        <v/>
      </c>
      <c r="G402" s="53" t="str">
        <f aca="false">IF(OR($A402&gt;TOMATO_BED_CAP,$B402&gt;CARROT_BED_CAP,G$4&gt;MESCLUN_BED_CAP,$A402+$B402+G$4&gt;TOTAL_BEDS_AVAILABLE,($D402+G$5)&gt;TOTAL_LABOR_HOURS_CAP,MAX(0,($D402+G$5)-PERMANENT_FIELD_LABOR_HOURS)&gt;TEMP_HOURS_CAP),"",$C402+G$6-MIN(($D402+G$5),PERMANENT_FIELD_LABOR_HOURS)*PERMANENT_HOURLY_RATE-MAX(0,($D402+G$5)-PERMANENT_FIELD_LABOR_HOURS)*TEMP_HOURLY_RATE-FIXED_SEASON_COST)</f>
        <v/>
      </c>
      <c r="H402" s="53" t="str">
        <f aca="false">IF(OR($A402&gt;TOMATO_BED_CAP,$B402&gt;CARROT_BED_CAP,H$4&gt;MESCLUN_BED_CAP,$A402+$B402+H$4&gt;TOTAL_BEDS_AVAILABLE,($D402+H$5)&gt;TOTAL_LABOR_HOURS_CAP,MAX(0,($D402+H$5)-PERMANENT_FIELD_LABOR_HOURS)&gt;TEMP_HOURS_CAP),"",$C402+H$6-MIN(($D402+H$5),PERMANENT_FIELD_LABOR_HOURS)*PERMANENT_HOURLY_RATE-MAX(0,($D402+H$5)-PERMANENT_FIELD_LABOR_HOURS)*TEMP_HOURLY_RATE-FIXED_SEASON_COST)</f>
        <v/>
      </c>
      <c r="I402" s="53" t="str">
        <f aca="false">IF(OR($A402&gt;TOMATO_BED_CAP,$B402&gt;CARROT_BED_CAP,I$4&gt;MESCLUN_BED_CAP,$A402+$B402+I$4&gt;TOTAL_BEDS_AVAILABLE,($D402+I$5)&gt;TOTAL_LABOR_HOURS_CAP,MAX(0,($D402+I$5)-PERMANENT_FIELD_LABOR_HOURS)&gt;TEMP_HOURS_CAP),"",$C402+I$6-MIN(($D402+I$5),PERMANENT_FIELD_LABOR_HOURS)*PERMANENT_HOURLY_RATE-MAX(0,($D402+I$5)-PERMANENT_FIELD_LABOR_HOURS)*TEMP_HOURLY_RATE-FIXED_SEASON_COST)</f>
        <v/>
      </c>
      <c r="J402" s="53" t="str">
        <f aca="false">IF(OR($A402&gt;TOMATO_BED_CAP,$B402&gt;CARROT_BED_CAP,J$4&gt;MESCLUN_BED_CAP,$A402+$B402+J$4&gt;TOTAL_BEDS_AVAILABLE,($D402+J$5)&gt;TOTAL_LABOR_HOURS_CAP,MAX(0,($D402+J$5)-PERMANENT_FIELD_LABOR_HOURS)&gt;TEMP_HOURS_CAP),"",$C402+J$6-MIN(($D402+J$5),PERMANENT_FIELD_LABOR_HOURS)*PERMANENT_HOURLY_RATE-MAX(0,($D402+J$5)-PERMANENT_FIELD_LABOR_HOURS)*TEMP_HOURLY_RATE-FIXED_SEASON_COST)</f>
        <v/>
      </c>
      <c r="K402" s="53" t="str">
        <f aca="false">IF(OR($A402&gt;TOMATO_BED_CAP,$B402&gt;CARROT_BED_CAP,K$4&gt;MESCLUN_BED_CAP,$A402+$B402+K$4&gt;TOTAL_BEDS_AVAILABLE,($D402+K$5)&gt;TOTAL_LABOR_HOURS_CAP,MAX(0,($D402+K$5)-PERMANENT_FIELD_LABOR_HOURS)&gt;TEMP_HOURS_CAP),"",$C402+K$6-MIN(($D402+K$5),PERMANENT_FIELD_LABOR_HOURS)*PERMANENT_HOURLY_RATE-MAX(0,($D402+K$5)-PERMANENT_FIELD_LABOR_HOURS)*TEMP_HOURLY_RATE-FIXED_SEASON_COST)</f>
        <v/>
      </c>
      <c r="L402" s="53" t="str">
        <f aca="false">IF(OR($A402&gt;TOMATO_BED_CAP,$B402&gt;CARROT_BED_CAP,L$4&gt;MESCLUN_BED_CAP,$A402+$B402+L$4&gt;TOTAL_BEDS_AVAILABLE,($D402+L$5)&gt;TOTAL_LABOR_HOURS_CAP,MAX(0,($D402+L$5)-PERMANENT_FIELD_LABOR_HOURS)&gt;TEMP_HOURS_CAP),"",$C402+L$6-MIN(($D402+L$5),PERMANENT_FIELD_LABOR_HOURS)*PERMANENT_HOURLY_RATE-MAX(0,($D402+L$5)-PERMANENT_FIELD_LABOR_HOURS)*TEMP_HOURLY_RATE-FIXED_SEASON_COST)</f>
        <v/>
      </c>
      <c r="M402" s="53" t="str">
        <f aca="false">IF(OR($A402&gt;TOMATO_BED_CAP,$B402&gt;CARROT_BED_CAP,M$4&gt;MESCLUN_BED_CAP,$A402+$B402+M$4&gt;TOTAL_BEDS_AVAILABLE,($D402+M$5)&gt;TOTAL_LABOR_HOURS_CAP,MAX(0,($D402+M$5)-PERMANENT_FIELD_LABOR_HOURS)&gt;TEMP_HOURS_CAP),"",$C402+M$6-MIN(($D402+M$5),PERMANENT_FIELD_LABOR_HOURS)*PERMANENT_HOURLY_RATE-MAX(0,($D402+M$5)-PERMANENT_FIELD_LABOR_HOURS)*TEMP_HOURLY_RATE-FIXED_SEASON_COST)</f>
        <v/>
      </c>
      <c r="N402" s="53" t="str">
        <f aca="false">IF(OR($A402&gt;TOMATO_BED_CAP,$B402&gt;CARROT_BED_CAP,N$4&gt;MESCLUN_BED_CAP,$A402+$B402+N$4&gt;TOTAL_BEDS_AVAILABLE,($D402+N$5)&gt;TOTAL_LABOR_HOURS_CAP,MAX(0,($D402+N$5)-PERMANENT_FIELD_LABOR_HOURS)&gt;TEMP_HOURS_CAP),"",$C402+N$6-MIN(($D402+N$5),PERMANENT_FIELD_LABOR_HOURS)*PERMANENT_HOURLY_RATE-MAX(0,($D402+N$5)-PERMANENT_FIELD_LABOR_HOURS)*TEMP_HOURLY_RATE-FIXED_SEASON_COST)</f>
        <v/>
      </c>
      <c r="O402" s="53" t="str">
        <f aca="false">IF(OR($A402&gt;TOMATO_BED_CAP,$B402&gt;CARROT_BED_CAP,O$4&gt;MESCLUN_BED_CAP,$A402+$B402+O$4&gt;TOTAL_BEDS_AVAILABLE,($D402+O$5)&gt;TOTAL_LABOR_HOURS_CAP,MAX(0,($D402+O$5)-PERMANENT_FIELD_LABOR_HOURS)&gt;TEMP_HOURS_CAP),"",$C402+O$6-MIN(($D402+O$5),PERMANENT_FIELD_LABOR_HOURS)*PERMANENT_HOURLY_RATE-MAX(0,($D402+O$5)-PERMANENT_FIELD_LABOR_HOURS)*TEMP_HOURLY_RATE-FIXED_SEASON_COST)</f>
        <v/>
      </c>
      <c r="P402" s="53" t="str">
        <f aca="false">IF(OR($A402&gt;TOMATO_BED_CAP,$B402&gt;CARROT_BED_CAP,P$4&gt;MESCLUN_BED_CAP,$A402+$B402+P$4&gt;TOTAL_BEDS_AVAILABLE,($D402+P$5)&gt;TOTAL_LABOR_HOURS_CAP,MAX(0,($D402+P$5)-PERMANENT_FIELD_LABOR_HOURS)&gt;TEMP_HOURS_CAP),"",$C402+P$6-MIN(($D402+P$5),PERMANENT_FIELD_LABOR_HOURS)*PERMANENT_HOURLY_RATE-MAX(0,($D402+P$5)-PERMANENT_FIELD_LABOR_HOURS)*TEMP_HOURLY_RATE-FIXED_SEASON_COST)</f>
        <v/>
      </c>
      <c r="Q402" s="53" t="str">
        <f aca="false">IF(OR($A402&gt;TOMATO_BED_CAP,$B402&gt;CARROT_BED_CAP,Q$4&gt;MESCLUN_BED_CAP,$A402+$B402+Q$4&gt;TOTAL_BEDS_AVAILABLE,($D402+Q$5)&gt;TOTAL_LABOR_HOURS_CAP,MAX(0,($D402+Q$5)-PERMANENT_FIELD_LABOR_HOURS)&gt;TEMP_HOURS_CAP),"",$C402+Q$6-MIN(($D402+Q$5),PERMANENT_FIELD_LABOR_HOURS)*PERMANENT_HOURLY_RATE-MAX(0,($D402+Q$5)-PERMANENT_FIELD_LABOR_HOURS)*TEMP_HOURLY_RATE-FIXED_SEASON_COST)</f>
        <v/>
      </c>
      <c r="R402" s="53" t="str">
        <f aca="false">IF(OR($A402&gt;TOMATO_BED_CAP,$B402&gt;CARROT_BED_CAP,R$4&gt;MESCLUN_BED_CAP,$A402+$B402+R$4&gt;TOTAL_BEDS_AVAILABLE,($D402+R$5)&gt;TOTAL_LABOR_HOURS_CAP,MAX(0,($D402+R$5)-PERMANENT_FIELD_LABOR_HOURS)&gt;TEMP_HOURS_CAP),"",$C402+R$6-MIN(($D402+R$5),PERMANENT_FIELD_LABOR_HOURS)*PERMANENT_HOURLY_RATE-MAX(0,($D402+R$5)-PERMANENT_FIELD_LABOR_HOURS)*TEMP_HOURLY_RATE-FIXED_SEASON_COST)</f>
        <v/>
      </c>
      <c r="S402" s="53" t="str">
        <f aca="false">IF(OR($A402&gt;TOMATO_BED_CAP,$B402&gt;CARROT_BED_CAP,S$4&gt;MESCLUN_BED_CAP,$A402+$B402+S$4&gt;TOTAL_BEDS_AVAILABLE,($D402+S$5)&gt;TOTAL_LABOR_HOURS_CAP,MAX(0,($D402+S$5)-PERMANENT_FIELD_LABOR_HOURS)&gt;TEMP_HOURS_CAP),"",$C402+S$6-MIN(($D402+S$5),PERMANENT_FIELD_LABOR_HOURS)*PERMANENT_HOURLY_RATE-MAX(0,($D402+S$5)-PERMANENT_FIELD_LABOR_HOURS)*TEMP_HOURLY_RATE-FIXED_SEASON_COST)</f>
        <v/>
      </c>
      <c r="T402" s="53" t="str">
        <f aca="false">IF(OR($A402&gt;TOMATO_BED_CAP,$B402&gt;CARROT_BED_CAP,T$4&gt;MESCLUN_BED_CAP,$A402+$B402+T$4&gt;TOTAL_BEDS_AVAILABLE,($D402+T$5)&gt;TOTAL_LABOR_HOURS_CAP,MAX(0,($D402+T$5)-PERMANENT_FIELD_LABOR_HOURS)&gt;TEMP_HOURS_CAP),"",$C402+T$6-MIN(($D402+T$5),PERMANENT_FIELD_LABOR_HOURS)*PERMANENT_HOURLY_RATE-MAX(0,($D402+T$5)-PERMANENT_FIELD_LABOR_HOURS)*TEMP_HOURLY_RATE-FIXED_SEASON_COST)</f>
        <v/>
      </c>
      <c r="U402" s="53" t="str">
        <f aca="false">IF(OR($A402&gt;TOMATO_BED_CAP,$B402&gt;CARROT_BED_CAP,U$4&gt;MESCLUN_BED_CAP,$A402+$B402+U$4&gt;TOTAL_BEDS_AVAILABLE,($D402+U$5)&gt;TOTAL_LABOR_HOURS_CAP,MAX(0,($D402+U$5)-PERMANENT_FIELD_LABOR_HOURS)&gt;TEMP_HOURS_CAP),"",$C402+U$6-MIN(($D402+U$5),PERMANENT_FIELD_LABOR_HOURS)*PERMANENT_HOURLY_RATE-MAX(0,($D402+U$5)-PERMANENT_FIELD_LABOR_HOURS)*TEMP_HOURLY_RATE-FIXED_SEASON_COST)</f>
        <v/>
      </c>
      <c r="V402" s="53" t="str">
        <f aca="false">IF(OR($A402&gt;TOMATO_BED_CAP,$B402&gt;CARROT_BED_CAP,V$4&gt;MESCLUN_BED_CAP,$A402+$B402+V$4&gt;TOTAL_BEDS_AVAILABLE,($D402+V$5)&gt;TOTAL_LABOR_HOURS_CAP,MAX(0,($D402+V$5)-PERMANENT_FIELD_LABOR_HOURS)&gt;TEMP_HOURS_CAP),"",$C402+V$6-MIN(($D402+V$5),PERMANENT_FIELD_LABOR_HOURS)*PERMANENT_HOURLY_RATE-MAX(0,($D402+V$5)-PERMANENT_FIELD_LABOR_HOURS)*TEMP_HOURLY_RATE-FIXED_SEASON_COST)</f>
        <v/>
      </c>
      <c r="W402" s="53" t="str">
        <f aca="false">IF(OR($A402&gt;TOMATO_BED_CAP,$B402&gt;CARROT_BED_CAP,W$4&gt;MESCLUN_BED_CAP,$A402+$B402+W$4&gt;TOTAL_BEDS_AVAILABLE,($D402+W$5)&gt;TOTAL_LABOR_HOURS_CAP,MAX(0,($D402+W$5)-PERMANENT_FIELD_LABOR_HOURS)&gt;TEMP_HOURS_CAP),"",$C402+W$6-MIN(($D402+W$5),PERMANENT_FIELD_LABOR_HOURS)*PERMANENT_HOURLY_RATE-MAX(0,($D402+W$5)-PERMANENT_FIELD_LABOR_HOURS)*TEMP_HOURLY_RATE-FIXED_SEASON_COST)</f>
        <v/>
      </c>
      <c r="X402" s="53" t="str">
        <f aca="false">IF(OR($A402&gt;TOMATO_BED_CAP,$B402&gt;CARROT_BED_CAP,X$4&gt;MESCLUN_BED_CAP,$A402+$B402+X$4&gt;TOTAL_BEDS_AVAILABLE,($D402+X$5)&gt;TOTAL_LABOR_HOURS_CAP,MAX(0,($D402+X$5)-PERMANENT_FIELD_LABOR_HOURS)&gt;TEMP_HOURS_CAP),"",$C402+X$6-MIN(($D402+X$5),PERMANENT_FIELD_LABOR_HOURS)*PERMANENT_HOURLY_RATE-MAX(0,($D402+X$5)-PERMANENT_FIELD_LABOR_HOURS)*TEMP_HOURLY_RATE-FIXED_SEASON_COST)</f>
        <v/>
      </c>
      <c r="Y402" s="53" t="str">
        <f aca="false">IF(OR($A402&gt;TOMATO_BED_CAP,$B402&gt;CARROT_BED_CAP,Y$4&gt;MESCLUN_BED_CAP,$A402+$B402+Y$4&gt;TOTAL_BEDS_AVAILABLE,($D402+Y$5)&gt;TOTAL_LABOR_HOURS_CAP,MAX(0,($D402+Y$5)-PERMANENT_FIELD_LABOR_HOURS)&gt;TEMP_HOURS_CAP),"",$C402+Y$6-MIN(($D402+Y$5),PERMANENT_FIELD_LABOR_HOURS)*PERMANENT_HOURLY_RATE-MAX(0,($D402+Y$5)-PERMANENT_FIELD_LABOR_HOURS)*TEMP_HOURLY_RATE-FIXED_SEASON_COST)</f>
        <v/>
      </c>
      <c r="Z402" s="53" t="str">
        <f aca="false">IF(OR($A402&gt;TOMATO_BED_CAP,$B402&gt;CARROT_BED_CAP,Z$4&gt;MESCLUN_BED_CAP,$A402+$B402+Z$4&gt;TOTAL_BEDS_AVAILABLE,($D402+Z$5)&gt;TOTAL_LABOR_HOURS_CAP,MAX(0,($D402+Z$5)-PERMANENT_FIELD_LABOR_HOURS)&gt;TEMP_HOURS_CAP),"",$C402+Z$6-MIN(($D402+Z$5),PERMANENT_FIELD_LABOR_HOURS)*PERMANENT_HOURLY_RATE-MAX(0,($D402+Z$5)-PERMANENT_FIELD_LABOR_HOURS)*TEMP_HOURLY_RATE-FIXED_SEASON_COST)</f>
        <v/>
      </c>
      <c r="AA402" s="53" t="str">
        <f aca="false">IF(OR($A402&gt;TOMATO_BED_CAP,$B402&gt;CARROT_BED_CAP,AA$4&gt;MESCLUN_BED_CAP,$A402+$B402+AA$4&gt;TOTAL_BEDS_AVAILABLE,($D402+AA$5)&gt;TOTAL_LABOR_HOURS_CAP,MAX(0,($D402+AA$5)-PERMANENT_FIELD_LABOR_HOURS)&gt;TEMP_HOURS_CAP),"",$C402+AA$6-MIN(($D402+AA$5),PERMANENT_FIELD_LABOR_HOURS)*PERMANENT_HOURLY_RATE-MAX(0,($D402+AA$5)-PERMANENT_FIELD_LABOR_HOURS)*TEMP_HOURLY_RATE-FIXED_SEASON_COST)</f>
        <v/>
      </c>
      <c r="AB402" s="53" t="str">
        <f aca="false">IF(OR($A402&gt;TOMATO_BED_CAP,$B402&gt;CARROT_BED_CAP,AB$4&gt;MESCLUN_BED_CAP,$A402+$B402+AB$4&gt;TOTAL_BEDS_AVAILABLE,($D402+AB$5)&gt;TOTAL_LABOR_HOURS_CAP,MAX(0,($D402+AB$5)-PERMANENT_FIELD_LABOR_HOURS)&gt;TEMP_HOURS_CAP),"",$C402+AB$6-MIN(($D402+AB$5),PERMANENT_FIELD_LABOR_HOURS)*PERMANENT_HOURLY_RATE-MAX(0,($D402+AB$5)-PERMANENT_FIELD_LABOR_HOURS)*TEMP_HOURLY_RATE-FIXED_SEASON_COST)</f>
        <v/>
      </c>
      <c r="AC402" s="53" t="str">
        <f aca="false">IF(OR($A402&gt;TOMATO_BED_CAP,$B402&gt;CARROT_BED_CAP,AC$4&gt;MESCLUN_BED_CAP,$A402+$B402+AC$4&gt;TOTAL_BEDS_AVAILABLE,($D402+AC$5)&gt;TOTAL_LABOR_HOURS_CAP,MAX(0,($D402+AC$5)-PERMANENT_FIELD_LABOR_HOURS)&gt;TEMP_HOURS_CAP),"",$C402+AC$6-MIN(($D402+AC$5),PERMANENT_FIELD_LABOR_HOURS)*PERMANENT_HOURLY_RATE-MAX(0,($D402+AC$5)-PERMANENT_FIELD_LABOR_HOURS)*TEMP_HOURLY_RATE-FIXED_SEASON_COST)</f>
        <v/>
      </c>
      <c r="AD402" s="53" t="str">
        <f aca="false">IF(OR($A402&gt;TOMATO_BED_CAP,$B402&gt;CARROT_BED_CAP,AD$4&gt;MESCLUN_BED_CAP,$A402+$B402+AD$4&gt;TOTAL_BEDS_AVAILABLE,($D402+AD$5)&gt;TOTAL_LABOR_HOURS_CAP,MAX(0,($D402+AD$5)-PERMANENT_FIELD_LABOR_HOURS)&gt;TEMP_HOURS_CAP),"",$C402+AD$6-MIN(($D402+AD$5),PERMANENT_FIELD_LABOR_HOURS)*PERMANENT_HOURLY_RATE-MAX(0,($D402+AD$5)-PERMANENT_FIELD_LABOR_HOURS)*TEMP_HOURLY_RATE-FIXED_SEASON_COST)</f>
        <v/>
      </c>
      <c r="AE402" s="53" t="str">
        <f aca="false">IF(OR($A402&gt;TOMATO_BED_CAP,$B402&gt;CARROT_BED_CAP,AE$4&gt;MESCLUN_BED_CAP,$A402+$B402+AE$4&gt;TOTAL_BEDS_AVAILABLE,($D402+AE$5)&gt;TOTAL_LABOR_HOURS_CAP,MAX(0,($D402+AE$5)-PERMANENT_FIELD_LABOR_HOURS)&gt;TEMP_HOURS_CAP),"",$C402+AE$6-MIN(($D402+AE$5),PERMANENT_FIELD_LABOR_HOURS)*PERMANENT_HOURLY_RATE-MAX(0,($D402+AE$5)-PERMANENT_FIELD_LABOR_HOURS)*TEMP_HOURLY_RATE-FIXED_SEASON_COST)</f>
        <v/>
      </c>
      <c r="AF402" s="53" t="str">
        <f aca="false">IF(OR($A402&gt;TOMATO_BED_CAP,$B402&gt;CARROT_BED_CAP,AF$4&gt;MESCLUN_BED_CAP,$A402+$B402+AF$4&gt;TOTAL_BEDS_AVAILABLE,($D402+AF$5)&gt;TOTAL_LABOR_HOURS_CAP,MAX(0,($D402+AF$5)-PERMANENT_FIELD_LABOR_HOURS)&gt;TEMP_HOURS_CAP),"",$C402+AF$6-MIN(($D402+AF$5),PERMANENT_FIELD_LABOR_HOURS)*PERMANENT_HOURLY_RATE-MAX(0,($D402+AF$5)-PERMANENT_FIELD_LABOR_HOURS)*TEMP_HOURLY_RATE-FIXED_SEASON_COST)</f>
        <v/>
      </c>
      <c r="AG402" s="53" t="str">
        <f aca="false">IF(OR($A402&gt;TOMATO_BED_CAP,$B402&gt;CARROT_BED_CAP,AG$4&gt;MESCLUN_BED_CAP,$A402+$B402+AG$4&gt;TOTAL_BEDS_AVAILABLE,($D402+AG$5)&gt;TOTAL_LABOR_HOURS_CAP,MAX(0,($D402+AG$5)-PERMANENT_FIELD_LABOR_HOURS)&gt;TEMP_HOURS_CAP),"",$C402+AG$6-MIN(($D402+AG$5),PERMANENT_FIELD_LABOR_HOURS)*PERMANENT_HOURLY_RATE-MAX(0,($D402+AG$5)-PERMANENT_FIELD_LABOR_HOURS)*TEMP_HOURLY_RATE-FIXED_SEASON_COST)</f>
        <v/>
      </c>
      <c r="AH402" s="53" t="str">
        <f aca="false">IF(OR($A402&gt;TOMATO_BED_CAP,$B402&gt;CARROT_BED_CAP,AH$4&gt;MESCLUN_BED_CAP,$A402+$B402+AH$4&gt;TOTAL_BEDS_AVAILABLE,($D402+AH$5)&gt;TOTAL_LABOR_HOURS_CAP,MAX(0,($D402+AH$5)-PERMANENT_FIELD_LABOR_HOURS)&gt;TEMP_HOURS_CAP),"",$C402+AH$6-MIN(($D402+AH$5),PERMANENT_FIELD_LABOR_HOURS)*PERMANENT_HOURLY_RATE-MAX(0,($D402+AH$5)-PERMANENT_FIELD_LABOR_HOURS)*TEMP_HOURLY_RATE-FIXED_SEASON_COST)</f>
        <v/>
      </c>
      <c r="AI402" s="53" t="str">
        <f aca="false">IF(OR($A402&gt;TOMATO_BED_CAP,$B402&gt;CARROT_BED_CAP,AI$4&gt;MESCLUN_BED_CAP,$A402+$B402+AI$4&gt;TOTAL_BEDS_AVAILABLE,($D402+AI$5)&gt;TOTAL_LABOR_HOURS_CAP,MAX(0,($D402+AI$5)-PERMANENT_FIELD_LABOR_HOURS)&gt;TEMP_HOURS_CAP),"",$C402+AI$6-MIN(($D402+AI$5),PERMANENT_FIELD_LABOR_HOURS)*PERMANENT_HOURLY_RATE-MAX(0,($D402+AI$5)-PERMANENT_FIELD_LABOR_HOURS)*TEMP_HOURLY_RATE-FIXED_SEASON_COST)</f>
        <v/>
      </c>
      <c r="AJ402" s="53" t="str">
        <f aca="false">IF(OR($A402&gt;TOMATO_BED_CAP,$B402&gt;CARROT_BED_CAP,AJ$4&gt;MESCLUN_BED_CAP,$A402+$B402+AJ$4&gt;TOTAL_BEDS_AVAILABLE,($D402+AJ$5)&gt;TOTAL_LABOR_HOURS_CAP,MAX(0,($D402+AJ$5)-PERMANENT_FIELD_LABOR_HOURS)&gt;TEMP_HOURS_CAP),"",$C402+AJ$6-MIN(($D402+AJ$5),PERMANENT_FIELD_LABOR_HOURS)*PERMANENT_HOURLY_RATE-MAX(0,($D402+AJ$5)-PERMANENT_FIELD_LABOR_HOURS)*TEMP_HOURLY_RATE-FIXED_SEASON_COST)</f>
        <v/>
      </c>
    </row>
    <row r="403" customFormat="false" ht="15" hidden="false" customHeight="false" outlineLevel="0" collapsed="false">
      <c r="A403" s="21" t="n">
        <f aca="false">INT((ROW()-ROW($A$8))/(20+1))</f>
        <v>18</v>
      </c>
      <c r="B403" s="21" t="n">
        <f aca="false">MOD(ROW()-ROW($A$8),20+1)</f>
        <v>17</v>
      </c>
      <c r="C403" s="13" t="n">
        <f aca="false">A403*(TOMATO_REVENUE_PER_BED-TOMATO_FERTILIZER_PER_BED)+B403*(CARROT_REVENUE_PER_BED-CARROT_FERTILIZER_PER_BED)</f>
        <v>170678</v>
      </c>
      <c r="D403" s="14" t="n">
        <f aca="false">INDEX(TOMATO_SCHED_LABOR_HRS,A403+1)+INDEX(CARROT_SCHED_LABOR_HRS,B403+1)</f>
        <v>9782.78095093246</v>
      </c>
      <c r="E403" s="13" t="str">
        <f aca="false">IF(COUNT(F403:AJ403)=0,"",MAX(F403:AJ403))</f>
        <v/>
      </c>
      <c r="F403" s="53" t="str">
        <f aca="false">IF(OR($A403&gt;TOMATO_BED_CAP,$B403&gt;CARROT_BED_CAP,F$4&gt;MESCLUN_BED_CAP,$A403+$B403+F$4&gt;TOTAL_BEDS_AVAILABLE,($D403+F$5)&gt;TOTAL_LABOR_HOURS_CAP,MAX(0,($D403+F$5)-PERMANENT_FIELD_LABOR_HOURS)&gt;TEMP_HOURS_CAP),"",$C403+F$6-MIN(($D403+F$5),PERMANENT_FIELD_LABOR_HOURS)*PERMANENT_HOURLY_RATE-MAX(0,($D403+F$5)-PERMANENT_FIELD_LABOR_HOURS)*TEMP_HOURLY_RATE-FIXED_SEASON_COST)</f>
        <v/>
      </c>
      <c r="G403" s="53" t="str">
        <f aca="false">IF(OR($A403&gt;TOMATO_BED_CAP,$B403&gt;CARROT_BED_CAP,G$4&gt;MESCLUN_BED_CAP,$A403+$B403+G$4&gt;TOTAL_BEDS_AVAILABLE,($D403+G$5)&gt;TOTAL_LABOR_HOURS_CAP,MAX(0,($D403+G$5)-PERMANENT_FIELD_LABOR_HOURS)&gt;TEMP_HOURS_CAP),"",$C403+G$6-MIN(($D403+G$5),PERMANENT_FIELD_LABOR_HOURS)*PERMANENT_HOURLY_RATE-MAX(0,($D403+G$5)-PERMANENT_FIELD_LABOR_HOURS)*TEMP_HOURLY_RATE-FIXED_SEASON_COST)</f>
        <v/>
      </c>
      <c r="H403" s="53" t="str">
        <f aca="false">IF(OR($A403&gt;TOMATO_BED_CAP,$B403&gt;CARROT_BED_CAP,H$4&gt;MESCLUN_BED_CAP,$A403+$B403+H$4&gt;TOTAL_BEDS_AVAILABLE,($D403+H$5)&gt;TOTAL_LABOR_HOURS_CAP,MAX(0,($D403+H$5)-PERMANENT_FIELD_LABOR_HOURS)&gt;TEMP_HOURS_CAP),"",$C403+H$6-MIN(($D403+H$5),PERMANENT_FIELD_LABOR_HOURS)*PERMANENT_HOURLY_RATE-MAX(0,($D403+H$5)-PERMANENT_FIELD_LABOR_HOURS)*TEMP_HOURLY_RATE-FIXED_SEASON_COST)</f>
        <v/>
      </c>
      <c r="I403" s="53" t="str">
        <f aca="false">IF(OR($A403&gt;TOMATO_BED_CAP,$B403&gt;CARROT_BED_CAP,I$4&gt;MESCLUN_BED_CAP,$A403+$B403+I$4&gt;TOTAL_BEDS_AVAILABLE,($D403+I$5)&gt;TOTAL_LABOR_HOURS_CAP,MAX(0,($D403+I$5)-PERMANENT_FIELD_LABOR_HOURS)&gt;TEMP_HOURS_CAP),"",$C403+I$6-MIN(($D403+I$5),PERMANENT_FIELD_LABOR_HOURS)*PERMANENT_HOURLY_RATE-MAX(0,($D403+I$5)-PERMANENT_FIELD_LABOR_HOURS)*TEMP_HOURLY_RATE-FIXED_SEASON_COST)</f>
        <v/>
      </c>
      <c r="J403" s="53" t="str">
        <f aca="false">IF(OR($A403&gt;TOMATO_BED_CAP,$B403&gt;CARROT_BED_CAP,J$4&gt;MESCLUN_BED_CAP,$A403+$B403+J$4&gt;TOTAL_BEDS_AVAILABLE,($D403+J$5)&gt;TOTAL_LABOR_HOURS_CAP,MAX(0,($D403+J$5)-PERMANENT_FIELD_LABOR_HOURS)&gt;TEMP_HOURS_CAP),"",$C403+J$6-MIN(($D403+J$5),PERMANENT_FIELD_LABOR_HOURS)*PERMANENT_HOURLY_RATE-MAX(0,($D403+J$5)-PERMANENT_FIELD_LABOR_HOURS)*TEMP_HOURLY_RATE-FIXED_SEASON_COST)</f>
        <v/>
      </c>
      <c r="K403" s="53" t="str">
        <f aca="false">IF(OR($A403&gt;TOMATO_BED_CAP,$B403&gt;CARROT_BED_CAP,K$4&gt;MESCLUN_BED_CAP,$A403+$B403+K$4&gt;TOTAL_BEDS_AVAILABLE,($D403+K$5)&gt;TOTAL_LABOR_HOURS_CAP,MAX(0,($D403+K$5)-PERMANENT_FIELD_LABOR_HOURS)&gt;TEMP_HOURS_CAP),"",$C403+K$6-MIN(($D403+K$5),PERMANENT_FIELD_LABOR_HOURS)*PERMANENT_HOURLY_RATE-MAX(0,($D403+K$5)-PERMANENT_FIELD_LABOR_HOURS)*TEMP_HOURLY_RATE-FIXED_SEASON_COST)</f>
        <v/>
      </c>
      <c r="L403" s="53" t="str">
        <f aca="false">IF(OR($A403&gt;TOMATO_BED_CAP,$B403&gt;CARROT_BED_CAP,L$4&gt;MESCLUN_BED_CAP,$A403+$B403+L$4&gt;TOTAL_BEDS_AVAILABLE,($D403+L$5)&gt;TOTAL_LABOR_HOURS_CAP,MAX(0,($D403+L$5)-PERMANENT_FIELD_LABOR_HOURS)&gt;TEMP_HOURS_CAP),"",$C403+L$6-MIN(($D403+L$5),PERMANENT_FIELD_LABOR_HOURS)*PERMANENT_HOURLY_RATE-MAX(0,($D403+L$5)-PERMANENT_FIELD_LABOR_HOURS)*TEMP_HOURLY_RATE-FIXED_SEASON_COST)</f>
        <v/>
      </c>
      <c r="M403" s="53" t="str">
        <f aca="false">IF(OR($A403&gt;TOMATO_BED_CAP,$B403&gt;CARROT_BED_CAP,M$4&gt;MESCLUN_BED_CAP,$A403+$B403+M$4&gt;TOTAL_BEDS_AVAILABLE,($D403+M$5)&gt;TOTAL_LABOR_HOURS_CAP,MAX(0,($D403+M$5)-PERMANENT_FIELD_LABOR_HOURS)&gt;TEMP_HOURS_CAP),"",$C403+M$6-MIN(($D403+M$5),PERMANENT_FIELD_LABOR_HOURS)*PERMANENT_HOURLY_RATE-MAX(0,($D403+M$5)-PERMANENT_FIELD_LABOR_HOURS)*TEMP_HOURLY_RATE-FIXED_SEASON_COST)</f>
        <v/>
      </c>
      <c r="N403" s="53" t="str">
        <f aca="false">IF(OR($A403&gt;TOMATO_BED_CAP,$B403&gt;CARROT_BED_CAP,N$4&gt;MESCLUN_BED_CAP,$A403+$B403+N$4&gt;TOTAL_BEDS_AVAILABLE,($D403+N$5)&gt;TOTAL_LABOR_HOURS_CAP,MAX(0,($D403+N$5)-PERMANENT_FIELD_LABOR_HOURS)&gt;TEMP_HOURS_CAP),"",$C403+N$6-MIN(($D403+N$5),PERMANENT_FIELD_LABOR_HOURS)*PERMANENT_HOURLY_RATE-MAX(0,($D403+N$5)-PERMANENT_FIELD_LABOR_HOURS)*TEMP_HOURLY_RATE-FIXED_SEASON_COST)</f>
        <v/>
      </c>
      <c r="O403" s="53" t="str">
        <f aca="false">IF(OR($A403&gt;TOMATO_BED_CAP,$B403&gt;CARROT_BED_CAP,O$4&gt;MESCLUN_BED_CAP,$A403+$B403+O$4&gt;TOTAL_BEDS_AVAILABLE,($D403+O$5)&gt;TOTAL_LABOR_HOURS_CAP,MAX(0,($D403+O$5)-PERMANENT_FIELD_LABOR_HOURS)&gt;TEMP_HOURS_CAP),"",$C403+O$6-MIN(($D403+O$5),PERMANENT_FIELD_LABOR_HOURS)*PERMANENT_HOURLY_RATE-MAX(0,($D403+O$5)-PERMANENT_FIELD_LABOR_HOURS)*TEMP_HOURLY_RATE-FIXED_SEASON_COST)</f>
        <v/>
      </c>
      <c r="P403" s="53" t="str">
        <f aca="false">IF(OR($A403&gt;TOMATO_BED_CAP,$B403&gt;CARROT_BED_CAP,P$4&gt;MESCLUN_BED_CAP,$A403+$B403+P$4&gt;TOTAL_BEDS_AVAILABLE,($D403+P$5)&gt;TOTAL_LABOR_HOURS_CAP,MAX(0,($D403+P$5)-PERMANENT_FIELD_LABOR_HOURS)&gt;TEMP_HOURS_CAP),"",$C403+P$6-MIN(($D403+P$5),PERMANENT_FIELD_LABOR_HOURS)*PERMANENT_HOURLY_RATE-MAX(0,($D403+P$5)-PERMANENT_FIELD_LABOR_HOURS)*TEMP_HOURLY_RATE-FIXED_SEASON_COST)</f>
        <v/>
      </c>
      <c r="Q403" s="53" t="str">
        <f aca="false">IF(OR($A403&gt;TOMATO_BED_CAP,$B403&gt;CARROT_BED_CAP,Q$4&gt;MESCLUN_BED_CAP,$A403+$B403+Q$4&gt;TOTAL_BEDS_AVAILABLE,($D403+Q$5)&gt;TOTAL_LABOR_HOURS_CAP,MAX(0,($D403+Q$5)-PERMANENT_FIELD_LABOR_HOURS)&gt;TEMP_HOURS_CAP),"",$C403+Q$6-MIN(($D403+Q$5),PERMANENT_FIELD_LABOR_HOURS)*PERMANENT_HOURLY_RATE-MAX(0,($D403+Q$5)-PERMANENT_FIELD_LABOR_HOURS)*TEMP_HOURLY_RATE-FIXED_SEASON_COST)</f>
        <v/>
      </c>
      <c r="R403" s="53" t="str">
        <f aca="false">IF(OR($A403&gt;TOMATO_BED_CAP,$B403&gt;CARROT_BED_CAP,R$4&gt;MESCLUN_BED_CAP,$A403+$B403+R$4&gt;TOTAL_BEDS_AVAILABLE,($D403+R$5)&gt;TOTAL_LABOR_HOURS_CAP,MAX(0,($D403+R$5)-PERMANENT_FIELD_LABOR_HOURS)&gt;TEMP_HOURS_CAP),"",$C403+R$6-MIN(($D403+R$5),PERMANENT_FIELD_LABOR_HOURS)*PERMANENT_HOURLY_RATE-MAX(0,($D403+R$5)-PERMANENT_FIELD_LABOR_HOURS)*TEMP_HOURLY_RATE-FIXED_SEASON_COST)</f>
        <v/>
      </c>
      <c r="S403" s="53" t="str">
        <f aca="false">IF(OR($A403&gt;TOMATO_BED_CAP,$B403&gt;CARROT_BED_CAP,S$4&gt;MESCLUN_BED_CAP,$A403+$B403+S$4&gt;TOTAL_BEDS_AVAILABLE,($D403+S$5)&gt;TOTAL_LABOR_HOURS_CAP,MAX(0,($D403+S$5)-PERMANENT_FIELD_LABOR_HOURS)&gt;TEMP_HOURS_CAP),"",$C403+S$6-MIN(($D403+S$5),PERMANENT_FIELD_LABOR_HOURS)*PERMANENT_HOURLY_RATE-MAX(0,($D403+S$5)-PERMANENT_FIELD_LABOR_HOURS)*TEMP_HOURLY_RATE-FIXED_SEASON_COST)</f>
        <v/>
      </c>
      <c r="T403" s="53" t="str">
        <f aca="false">IF(OR($A403&gt;TOMATO_BED_CAP,$B403&gt;CARROT_BED_CAP,T$4&gt;MESCLUN_BED_CAP,$A403+$B403+T$4&gt;TOTAL_BEDS_AVAILABLE,($D403+T$5)&gt;TOTAL_LABOR_HOURS_CAP,MAX(0,($D403+T$5)-PERMANENT_FIELD_LABOR_HOURS)&gt;TEMP_HOURS_CAP),"",$C403+T$6-MIN(($D403+T$5),PERMANENT_FIELD_LABOR_HOURS)*PERMANENT_HOURLY_RATE-MAX(0,($D403+T$5)-PERMANENT_FIELD_LABOR_HOURS)*TEMP_HOURLY_RATE-FIXED_SEASON_COST)</f>
        <v/>
      </c>
      <c r="U403" s="53" t="str">
        <f aca="false">IF(OR($A403&gt;TOMATO_BED_CAP,$B403&gt;CARROT_BED_CAP,U$4&gt;MESCLUN_BED_CAP,$A403+$B403+U$4&gt;TOTAL_BEDS_AVAILABLE,($D403+U$5)&gt;TOTAL_LABOR_HOURS_CAP,MAX(0,($D403+U$5)-PERMANENT_FIELD_LABOR_HOURS)&gt;TEMP_HOURS_CAP),"",$C403+U$6-MIN(($D403+U$5),PERMANENT_FIELD_LABOR_HOURS)*PERMANENT_HOURLY_RATE-MAX(0,($D403+U$5)-PERMANENT_FIELD_LABOR_HOURS)*TEMP_HOURLY_RATE-FIXED_SEASON_COST)</f>
        <v/>
      </c>
      <c r="V403" s="53" t="str">
        <f aca="false">IF(OR($A403&gt;TOMATO_BED_CAP,$B403&gt;CARROT_BED_CAP,V$4&gt;MESCLUN_BED_CAP,$A403+$B403+V$4&gt;TOTAL_BEDS_AVAILABLE,($D403+V$5)&gt;TOTAL_LABOR_HOURS_CAP,MAX(0,($D403+V$5)-PERMANENT_FIELD_LABOR_HOURS)&gt;TEMP_HOURS_CAP),"",$C403+V$6-MIN(($D403+V$5),PERMANENT_FIELD_LABOR_HOURS)*PERMANENT_HOURLY_RATE-MAX(0,($D403+V$5)-PERMANENT_FIELD_LABOR_HOURS)*TEMP_HOURLY_RATE-FIXED_SEASON_COST)</f>
        <v/>
      </c>
      <c r="W403" s="53" t="str">
        <f aca="false">IF(OR($A403&gt;TOMATO_BED_CAP,$B403&gt;CARROT_BED_CAP,W$4&gt;MESCLUN_BED_CAP,$A403+$B403+W$4&gt;TOTAL_BEDS_AVAILABLE,($D403+W$5)&gt;TOTAL_LABOR_HOURS_CAP,MAX(0,($D403+W$5)-PERMANENT_FIELD_LABOR_HOURS)&gt;TEMP_HOURS_CAP),"",$C403+W$6-MIN(($D403+W$5),PERMANENT_FIELD_LABOR_HOURS)*PERMANENT_HOURLY_RATE-MAX(0,($D403+W$5)-PERMANENT_FIELD_LABOR_HOURS)*TEMP_HOURLY_RATE-FIXED_SEASON_COST)</f>
        <v/>
      </c>
      <c r="X403" s="53" t="str">
        <f aca="false">IF(OR($A403&gt;TOMATO_BED_CAP,$B403&gt;CARROT_BED_CAP,X$4&gt;MESCLUN_BED_CAP,$A403+$B403+X$4&gt;TOTAL_BEDS_AVAILABLE,($D403+X$5)&gt;TOTAL_LABOR_HOURS_CAP,MAX(0,($D403+X$5)-PERMANENT_FIELD_LABOR_HOURS)&gt;TEMP_HOURS_CAP),"",$C403+X$6-MIN(($D403+X$5),PERMANENT_FIELD_LABOR_HOURS)*PERMANENT_HOURLY_RATE-MAX(0,($D403+X$5)-PERMANENT_FIELD_LABOR_HOURS)*TEMP_HOURLY_RATE-FIXED_SEASON_COST)</f>
        <v/>
      </c>
      <c r="Y403" s="53" t="str">
        <f aca="false">IF(OR($A403&gt;TOMATO_BED_CAP,$B403&gt;CARROT_BED_CAP,Y$4&gt;MESCLUN_BED_CAP,$A403+$B403+Y$4&gt;TOTAL_BEDS_AVAILABLE,($D403+Y$5)&gt;TOTAL_LABOR_HOURS_CAP,MAX(0,($D403+Y$5)-PERMANENT_FIELD_LABOR_HOURS)&gt;TEMP_HOURS_CAP),"",$C403+Y$6-MIN(($D403+Y$5),PERMANENT_FIELD_LABOR_HOURS)*PERMANENT_HOURLY_RATE-MAX(0,($D403+Y$5)-PERMANENT_FIELD_LABOR_HOURS)*TEMP_HOURLY_RATE-FIXED_SEASON_COST)</f>
        <v/>
      </c>
      <c r="Z403" s="53" t="str">
        <f aca="false">IF(OR($A403&gt;TOMATO_BED_CAP,$B403&gt;CARROT_BED_CAP,Z$4&gt;MESCLUN_BED_CAP,$A403+$B403+Z$4&gt;TOTAL_BEDS_AVAILABLE,($D403+Z$5)&gt;TOTAL_LABOR_HOURS_CAP,MAX(0,($D403+Z$5)-PERMANENT_FIELD_LABOR_HOURS)&gt;TEMP_HOURS_CAP),"",$C403+Z$6-MIN(($D403+Z$5),PERMANENT_FIELD_LABOR_HOURS)*PERMANENT_HOURLY_RATE-MAX(0,($D403+Z$5)-PERMANENT_FIELD_LABOR_HOURS)*TEMP_HOURLY_RATE-FIXED_SEASON_COST)</f>
        <v/>
      </c>
      <c r="AA403" s="53" t="str">
        <f aca="false">IF(OR($A403&gt;TOMATO_BED_CAP,$B403&gt;CARROT_BED_CAP,AA$4&gt;MESCLUN_BED_CAP,$A403+$B403+AA$4&gt;TOTAL_BEDS_AVAILABLE,($D403+AA$5)&gt;TOTAL_LABOR_HOURS_CAP,MAX(0,($D403+AA$5)-PERMANENT_FIELD_LABOR_HOURS)&gt;TEMP_HOURS_CAP),"",$C403+AA$6-MIN(($D403+AA$5),PERMANENT_FIELD_LABOR_HOURS)*PERMANENT_HOURLY_RATE-MAX(0,($D403+AA$5)-PERMANENT_FIELD_LABOR_HOURS)*TEMP_HOURLY_RATE-FIXED_SEASON_COST)</f>
        <v/>
      </c>
      <c r="AB403" s="53" t="str">
        <f aca="false">IF(OR($A403&gt;TOMATO_BED_CAP,$B403&gt;CARROT_BED_CAP,AB$4&gt;MESCLUN_BED_CAP,$A403+$B403+AB$4&gt;TOTAL_BEDS_AVAILABLE,($D403+AB$5)&gt;TOTAL_LABOR_HOURS_CAP,MAX(0,($D403+AB$5)-PERMANENT_FIELD_LABOR_HOURS)&gt;TEMP_HOURS_CAP),"",$C403+AB$6-MIN(($D403+AB$5),PERMANENT_FIELD_LABOR_HOURS)*PERMANENT_HOURLY_RATE-MAX(0,($D403+AB$5)-PERMANENT_FIELD_LABOR_HOURS)*TEMP_HOURLY_RATE-FIXED_SEASON_COST)</f>
        <v/>
      </c>
      <c r="AC403" s="53" t="str">
        <f aca="false">IF(OR($A403&gt;TOMATO_BED_CAP,$B403&gt;CARROT_BED_CAP,AC$4&gt;MESCLUN_BED_CAP,$A403+$B403+AC$4&gt;TOTAL_BEDS_AVAILABLE,($D403+AC$5)&gt;TOTAL_LABOR_HOURS_CAP,MAX(0,($D403+AC$5)-PERMANENT_FIELD_LABOR_HOURS)&gt;TEMP_HOURS_CAP),"",$C403+AC$6-MIN(($D403+AC$5),PERMANENT_FIELD_LABOR_HOURS)*PERMANENT_HOURLY_RATE-MAX(0,($D403+AC$5)-PERMANENT_FIELD_LABOR_HOURS)*TEMP_HOURLY_RATE-FIXED_SEASON_COST)</f>
        <v/>
      </c>
      <c r="AD403" s="53" t="str">
        <f aca="false">IF(OR($A403&gt;TOMATO_BED_CAP,$B403&gt;CARROT_BED_CAP,AD$4&gt;MESCLUN_BED_CAP,$A403+$B403+AD$4&gt;TOTAL_BEDS_AVAILABLE,($D403+AD$5)&gt;TOTAL_LABOR_HOURS_CAP,MAX(0,($D403+AD$5)-PERMANENT_FIELD_LABOR_HOURS)&gt;TEMP_HOURS_CAP),"",$C403+AD$6-MIN(($D403+AD$5),PERMANENT_FIELD_LABOR_HOURS)*PERMANENT_HOURLY_RATE-MAX(0,($D403+AD$5)-PERMANENT_FIELD_LABOR_HOURS)*TEMP_HOURLY_RATE-FIXED_SEASON_COST)</f>
        <v/>
      </c>
      <c r="AE403" s="53" t="str">
        <f aca="false">IF(OR($A403&gt;TOMATO_BED_CAP,$B403&gt;CARROT_BED_CAP,AE$4&gt;MESCLUN_BED_CAP,$A403+$B403+AE$4&gt;TOTAL_BEDS_AVAILABLE,($D403+AE$5)&gt;TOTAL_LABOR_HOURS_CAP,MAX(0,($D403+AE$5)-PERMANENT_FIELD_LABOR_HOURS)&gt;TEMP_HOURS_CAP),"",$C403+AE$6-MIN(($D403+AE$5),PERMANENT_FIELD_LABOR_HOURS)*PERMANENT_HOURLY_RATE-MAX(0,($D403+AE$5)-PERMANENT_FIELD_LABOR_HOURS)*TEMP_HOURLY_RATE-FIXED_SEASON_COST)</f>
        <v/>
      </c>
      <c r="AF403" s="53" t="str">
        <f aca="false">IF(OR($A403&gt;TOMATO_BED_CAP,$B403&gt;CARROT_BED_CAP,AF$4&gt;MESCLUN_BED_CAP,$A403+$B403+AF$4&gt;TOTAL_BEDS_AVAILABLE,($D403+AF$5)&gt;TOTAL_LABOR_HOURS_CAP,MAX(0,($D403+AF$5)-PERMANENT_FIELD_LABOR_HOURS)&gt;TEMP_HOURS_CAP),"",$C403+AF$6-MIN(($D403+AF$5),PERMANENT_FIELD_LABOR_HOURS)*PERMANENT_HOURLY_RATE-MAX(0,($D403+AF$5)-PERMANENT_FIELD_LABOR_HOURS)*TEMP_HOURLY_RATE-FIXED_SEASON_COST)</f>
        <v/>
      </c>
      <c r="AG403" s="53" t="str">
        <f aca="false">IF(OR($A403&gt;TOMATO_BED_CAP,$B403&gt;CARROT_BED_CAP,AG$4&gt;MESCLUN_BED_CAP,$A403+$B403+AG$4&gt;TOTAL_BEDS_AVAILABLE,($D403+AG$5)&gt;TOTAL_LABOR_HOURS_CAP,MAX(0,($D403+AG$5)-PERMANENT_FIELD_LABOR_HOURS)&gt;TEMP_HOURS_CAP),"",$C403+AG$6-MIN(($D403+AG$5),PERMANENT_FIELD_LABOR_HOURS)*PERMANENT_HOURLY_RATE-MAX(0,($D403+AG$5)-PERMANENT_FIELD_LABOR_HOURS)*TEMP_HOURLY_RATE-FIXED_SEASON_COST)</f>
        <v/>
      </c>
      <c r="AH403" s="53" t="str">
        <f aca="false">IF(OR($A403&gt;TOMATO_BED_CAP,$B403&gt;CARROT_BED_CAP,AH$4&gt;MESCLUN_BED_CAP,$A403+$B403+AH$4&gt;TOTAL_BEDS_AVAILABLE,($D403+AH$5)&gt;TOTAL_LABOR_HOURS_CAP,MAX(0,($D403+AH$5)-PERMANENT_FIELD_LABOR_HOURS)&gt;TEMP_HOURS_CAP),"",$C403+AH$6-MIN(($D403+AH$5),PERMANENT_FIELD_LABOR_HOURS)*PERMANENT_HOURLY_RATE-MAX(0,($D403+AH$5)-PERMANENT_FIELD_LABOR_HOURS)*TEMP_HOURLY_RATE-FIXED_SEASON_COST)</f>
        <v/>
      </c>
      <c r="AI403" s="53" t="str">
        <f aca="false">IF(OR($A403&gt;TOMATO_BED_CAP,$B403&gt;CARROT_BED_CAP,AI$4&gt;MESCLUN_BED_CAP,$A403+$B403+AI$4&gt;TOTAL_BEDS_AVAILABLE,($D403+AI$5)&gt;TOTAL_LABOR_HOURS_CAP,MAX(0,($D403+AI$5)-PERMANENT_FIELD_LABOR_HOURS)&gt;TEMP_HOURS_CAP),"",$C403+AI$6-MIN(($D403+AI$5),PERMANENT_FIELD_LABOR_HOURS)*PERMANENT_HOURLY_RATE-MAX(0,($D403+AI$5)-PERMANENT_FIELD_LABOR_HOURS)*TEMP_HOURLY_RATE-FIXED_SEASON_COST)</f>
        <v/>
      </c>
      <c r="AJ403" s="53" t="str">
        <f aca="false">IF(OR($A403&gt;TOMATO_BED_CAP,$B403&gt;CARROT_BED_CAP,AJ$4&gt;MESCLUN_BED_CAP,$A403+$B403+AJ$4&gt;TOTAL_BEDS_AVAILABLE,($D403+AJ$5)&gt;TOTAL_LABOR_HOURS_CAP,MAX(0,($D403+AJ$5)-PERMANENT_FIELD_LABOR_HOURS)&gt;TEMP_HOURS_CAP),"",$C403+AJ$6-MIN(($D403+AJ$5),PERMANENT_FIELD_LABOR_HOURS)*PERMANENT_HOURLY_RATE-MAX(0,($D403+AJ$5)-PERMANENT_FIELD_LABOR_HOURS)*TEMP_HOURLY_RATE-FIXED_SEASON_COST)</f>
        <v/>
      </c>
    </row>
    <row r="404" customFormat="false" ht="15" hidden="false" customHeight="false" outlineLevel="0" collapsed="false">
      <c r="A404" s="21" t="n">
        <f aca="false">INT((ROW()-ROW($A$8))/(20+1))</f>
        <v>18</v>
      </c>
      <c r="B404" s="21" t="n">
        <f aca="false">MOD(ROW()-ROW($A$8),20+1)</f>
        <v>18</v>
      </c>
      <c r="C404" s="13" t="n">
        <f aca="false">A404*(TOMATO_REVENUE_PER_BED-TOMATO_FERTILIZER_PER_BED)+B404*(CARROT_REVENUE_PER_BED-CARROT_FERTILIZER_PER_BED)</f>
        <v>172332</v>
      </c>
      <c r="D404" s="14" t="n">
        <f aca="false">INDEX(TOMATO_SCHED_LABOR_HRS,A404+1)+INDEX(CARROT_SCHED_LABOR_HRS,B404+1)</f>
        <v>9848.94486913592</v>
      </c>
      <c r="E404" s="13" t="str">
        <f aca="false">IF(COUNT(F404:AJ404)=0,"",MAX(F404:AJ404))</f>
        <v/>
      </c>
      <c r="F404" s="53" t="str">
        <f aca="false">IF(OR($A404&gt;TOMATO_BED_CAP,$B404&gt;CARROT_BED_CAP,F$4&gt;MESCLUN_BED_CAP,$A404+$B404+F$4&gt;TOTAL_BEDS_AVAILABLE,($D404+F$5)&gt;TOTAL_LABOR_HOURS_CAP,MAX(0,($D404+F$5)-PERMANENT_FIELD_LABOR_HOURS)&gt;TEMP_HOURS_CAP),"",$C404+F$6-MIN(($D404+F$5),PERMANENT_FIELD_LABOR_HOURS)*PERMANENT_HOURLY_RATE-MAX(0,($D404+F$5)-PERMANENT_FIELD_LABOR_HOURS)*TEMP_HOURLY_RATE-FIXED_SEASON_COST)</f>
        <v/>
      </c>
      <c r="G404" s="53" t="str">
        <f aca="false">IF(OR($A404&gt;TOMATO_BED_CAP,$B404&gt;CARROT_BED_CAP,G$4&gt;MESCLUN_BED_CAP,$A404+$B404+G$4&gt;TOTAL_BEDS_AVAILABLE,($D404+G$5)&gt;TOTAL_LABOR_HOURS_CAP,MAX(0,($D404+G$5)-PERMANENT_FIELD_LABOR_HOURS)&gt;TEMP_HOURS_CAP),"",$C404+G$6-MIN(($D404+G$5),PERMANENT_FIELD_LABOR_HOURS)*PERMANENT_HOURLY_RATE-MAX(0,($D404+G$5)-PERMANENT_FIELD_LABOR_HOURS)*TEMP_HOURLY_RATE-FIXED_SEASON_COST)</f>
        <v/>
      </c>
      <c r="H404" s="53" t="str">
        <f aca="false">IF(OR($A404&gt;TOMATO_BED_CAP,$B404&gt;CARROT_BED_CAP,H$4&gt;MESCLUN_BED_CAP,$A404+$B404+H$4&gt;TOTAL_BEDS_AVAILABLE,($D404+H$5)&gt;TOTAL_LABOR_HOURS_CAP,MAX(0,($D404+H$5)-PERMANENT_FIELD_LABOR_HOURS)&gt;TEMP_HOURS_CAP),"",$C404+H$6-MIN(($D404+H$5),PERMANENT_FIELD_LABOR_HOURS)*PERMANENT_HOURLY_RATE-MAX(0,($D404+H$5)-PERMANENT_FIELD_LABOR_HOURS)*TEMP_HOURLY_RATE-FIXED_SEASON_COST)</f>
        <v/>
      </c>
      <c r="I404" s="53" t="str">
        <f aca="false">IF(OR($A404&gt;TOMATO_BED_CAP,$B404&gt;CARROT_BED_CAP,I$4&gt;MESCLUN_BED_CAP,$A404+$B404+I$4&gt;TOTAL_BEDS_AVAILABLE,($D404+I$5)&gt;TOTAL_LABOR_HOURS_CAP,MAX(0,($D404+I$5)-PERMANENT_FIELD_LABOR_HOURS)&gt;TEMP_HOURS_CAP),"",$C404+I$6-MIN(($D404+I$5),PERMANENT_FIELD_LABOR_HOURS)*PERMANENT_HOURLY_RATE-MAX(0,($D404+I$5)-PERMANENT_FIELD_LABOR_HOURS)*TEMP_HOURLY_RATE-FIXED_SEASON_COST)</f>
        <v/>
      </c>
      <c r="J404" s="53" t="str">
        <f aca="false">IF(OR($A404&gt;TOMATO_BED_CAP,$B404&gt;CARROT_BED_CAP,J$4&gt;MESCLUN_BED_CAP,$A404+$B404+J$4&gt;TOTAL_BEDS_AVAILABLE,($D404+J$5)&gt;TOTAL_LABOR_HOURS_CAP,MAX(0,($D404+J$5)-PERMANENT_FIELD_LABOR_HOURS)&gt;TEMP_HOURS_CAP),"",$C404+J$6-MIN(($D404+J$5),PERMANENT_FIELD_LABOR_HOURS)*PERMANENT_HOURLY_RATE-MAX(0,($D404+J$5)-PERMANENT_FIELD_LABOR_HOURS)*TEMP_HOURLY_RATE-FIXED_SEASON_COST)</f>
        <v/>
      </c>
      <c r="K404" s="53" t="str">
        <f aca="false">IF(OR($A404&gt;TOMATO_BED_CAP,$B404&gt;CARROT_BED_CAP,K$4&gt;MESCLUN_BED_CAP,$A404+$B404+K$4&gt;TOTAL_BEDS_AVAILABLE,($D404+K$5)&gt;TOTAL_LABOR_HOURS_CAP,MAX(0,($D404+K$5)-PERMANENT_FIELD_LABOR_HOURS)&gt;TEMP_HOURS_CAP),"",$C404+K$6-MIN(($D404+K$5),PERMANENT_FIELD_LABOR_HOURS)*PERMANENT_HOURLY_RATE-MAX(0,($D404+K$5)-PERMANENT_FIELD_LABOR_HOURS)*TEMP_HOURLY_RATE-FIXED_SEASON_COST)</f>
        <v/>
      </c>
      <c r="L404" s="53" t="str">
        <f aca="false">IF(OR($A404&gt;TOMATO_BED_CAP,$B404&gt;CARROT_BED_CAP,L$4&gt;MESCLUN_BED_CAP,$A404+$B404+L$4&gt;TOTAL_BEDS_AVAILABLE,($D404+L$5)&gt;TOTAL_LABOR_HOURS_CAP,MAX(0,($D404+L$5)-PERMANENT_FIELD_LABOR_HOURS)&gt;TEMP_HOURS_CAP),"",$C404+L$6-MIN(($D404+L$5),PERMANENT_FIELD_LABOR_HOURS)*PERMANENT_HOURLY_RATE-MAX(0,($D404+L$5)-PERMANENT_FIELD_LABOR_HOURS)*TEMP_HOURLY_RATE-FIXED_SEASON_COST)</f>
        <v/>
      </c>
      <c r="M404" s="53" t="str">
        <f aca="false">IF(OR($A404&gt;TOMATO_BED_CAP,$B404&gt;CARROT_BED_CAP,M$4&gt;MESCLUN_BED_CAP,$A404+$B404+M$4&gt;TOTAL_BEDS_AVAILABLE,($D404+M$5)&gt;TOTAL_LABOR_HOURS_CAP,MAX(0,($D404+M$5)-PERMANENT_FIELD_LABOR_HOURS)&gt;TEMP_HOURS_CAP),"",$C404+M$6-MIN(($D404+M$5),PERMANENT_FIELD_LABOR_HOURS)*PERMANENT_HOURLY_RATE-MAX(0,($D404+M$5)-PERMANENT_FIELD_LABOR_HOURS)*TEMP_HOURLY_RATE-FIXED_SEASON_COST)</f>
        <v/>
      </c>
      <c r="N404" s="53" t="str">
        <f aca="false">IF(OR($A404&gt;TOMATO_BED_CAP,$B404&gt;CARROT_BED_CAP,N$4&gt;MESCLUN_BED_CAP,$A404+$B404+N$4&gt;TOTAL_BEDS_AVAILABLE,($D404+N$5)&gt;TOTAL_LABOR_HOURS_CAP,MAX(0,($D404+N$5)-PERMANENT_FIELD_LABOR_HOURS)&gt;TEMP_HOURS_CAP),"",$C404+N$6-MIN(($D404+N$5),PERMANENT_FIELD_LABOR_HOURS)*PERMANENT_HOURLY_RATE-MAX(0,($D404+N$5)-PERMANENT_FIELD_LABOR_HOURS)*TEMP_HOURLY_RATE-FIXED_SEASON_COST)</f>
        <v/>
      </c>
      <c r="O404" s="53" t="str">
        <f aca="false">IF(OR($A404&gt;TOMATO_BED_CAP,$B404&gt;CARROT_BED_CAP,O$4&gt;MESCLUN_BED_CAP,$A404+$B404+O$4&gt;TOTAL_BEDS_AVAILABLE,($D404+O$5)&gt;TOTAL_LABOR_HOURS_CAP,MAX(0,($D404+O$5)-PERMANENT_FIELD_LABOR_HOURS)&gt;TEMP_HOURS_CAP),"",$C404+O$6-MIN(($D404+O$5),PERMANENT_FIELD_LABOR_HOURS)*PERMANENT_HOURLY_RATE-MAX(0,($D404+O$5)-PERMANENT_FIELD_LABOR_HOURS)*TEMP_HOURLY_RATE-FIXED_SEASON_COST)</f>
        <v/>
      </c>
      <c r="P404" s="53" t="str">
        <f aca="false">IF(OR($A404&gt;TOMATO_BED_CAP,$B404&gt;CARROT_BED_CAP,P$4&gt;MESCLUN_BED_CAP,$A404+$B404+P$4&gt;TOTAL_BEDS_AVAILABLE,($D404+P$5)&gt;TOTAL_LABOR_HOURS_CAP,MAX(0,($D404+P$5)-PERMANENT_FIELD_LABOR_HOURS)&gt;TEMP_HOURS_CAP),"",$C404+P$6-MIN(($D404+P$5),PERMANENT_FIELD_LABOR_HOURS)*PERMANENT_HOURLY_RATE-MAX(0,($D404+P$5)-PERMANENT_FIELD_LABOR_HOURS)*TEMP_HOURLY_RATE-FIXED_SEASON_COST)</f>
        <v/>
      </c>
      <c r="Q404" s="53" t="str">
        <f aca="false">IF(OR($A404&gt;TOMATO_BED_CAP,$B404&gt;CARROT_BED_CAP,Q$4&gt;MESCLUN_BED_CAP,$A404+$B404+Q$4&gt;TOTAL_BEDS_AVAILABLE,($D404+Q$5)&gt;TOTAL_LABOR_HOURS_CAP,MAX(0,($D404+Q$5)-PERMANENT_FIELD_LABOR_HOURS)&gt;TEMP_HOURS_CAP),"",$C404+Q$6-MIN(($D404+Q$5),PERMANENT_FIELD_LABOR_HOURS)*PERMANENT_HOURLY_RATE-MAX(0,($D404+Q$5)-PERMANENT_FIELD_LABOR_HOURS)*TEMP_HOURLY_RATE-FIXED_SEASON_COST)</f>
        <v/>
      </c>
      <c r="R404" s="53" t="str">
        <f aca="false">IF(OR($A404&gt;TOMATO_BED_CAP,$B404&gt;CARROT_BED_CAP,R$4&gt;MESCLUN_BED_CAP,$A404+$B404+R$4&gt;TOTAL_BEDS_AVAILABLE,($D404+R$5)&gt;TOTAL_LABOR_HOURS_CAP,MAX(0,($D404+R$5)-PERMANENT_FIELD_LABOR_HOURS)&gt;TEMP_HOURS_CAP),"",$C404+R$6-MIN(($D404+R$5),PERMANENT_FIELD_LABOR_HOURS)*PERMANENT_HOURLY_RATE-MAX(0,($D404+R$5)-PERMANENT_FIELD_LABOR_HOURS)*TEMP_HOURLY_RATE-FIXED_SEASON_COST)</f>
        <v/>
      </c>
      <c r="S404" s="53" t="str">
        <f aca="false">IF(OR($A404&gt;TOMATO_BED_CAP,$B404&gt;CARROT_BED_CAP,S$4&gt;MESCLUN_BED_CAP,$A404+$B404+S$4&gt;TOTAL_BEDS_AVAILABLE,($D404+S$5)&gt;TOTAL_LABOR_HOURS_CAP,MAX(0,($D404+S$5)-PERMANENT_FIELD_LABOR_HOURS)&gt;TEMP_HOURS_CAP),"",$C404+S$6-MIN(($D404+S$5),PERMANENT_FIELD_LABOR_HOURS)*PERMANENT_HOURLY_RATE-MAX(0,($D404+S$5)-PERMANENT_FIELD_LABOR_HOURS)*TEMP_HOURLY_RATE-FIXED_SEASON_COST)</f>
        <v/>
      </c>
      <c r="T404" s="53" t="str">
        <f aca="false">IF(OR($A404&gt;TOMATO_BED_CAP,$B404&gt;CARROT_BED_CAP,T$4&gt;MESCLUN_BED_CAP,$A404+$B404+T$4&gt;TOTAL_BEDS_AVAILABLE,($D404+T$5)&gt;TOTAL_LABOR_HOURS_CAP,MAX(0,($D404+T$5)-PERMANENT_FIELD_LABOR_HOURS)&gt;TEMP_HOURS_CAP),"",$C404+T$6-MIN(($D404+T$5),PERMANENT_FIELD_LABOR_HOURS)*PERMANENT_HOURLY_RATE-MAX(0,($D404+T$5)-PERMANENT_FIELD_LABOR_HOURS)*TEMP_HOURLY_RATE-FIXED_SEASON_COST)</f>
        <v/>
      </c>
      <c r="U404" s="53" t="str">
        <f aca="false">IF(OR($A404&gt;TOMATO_BED_CAP,$B404&gt;CARROT_BED_CAP,U$4&gt;MESCLUN_BED_CAP,$A404+$B404+U$4&gt;TOTAL_BEDS_AVAILABLE,($D404+U$5)&gt;TOTAL_LABOR_HOURS_CAP,MAX(0,($D404+U$5)-PERMANENT_FIELD_LABOR_HOURS)&gt;TEMP_HOURS_CAP),"",$C404+U$6-MIN(($D404+U$5),PERMANENT_FIELD_LABOR_HOURS)*PERMANENT_HOURLY_RATE-MAX(0,($D404+U$5)-PERMANENT_FIELD_LABOR_HOURS)*TEMP_HOURLY_RATE-FIXED_SEASON_COST)</f>
        <v/>
      </c>
      <c r="V404" s="53" t="str">
        <f aca="false">IF(OR($A404&gt;TOMATO_BED_CAP,$B404&gt;CARROT_BED_CAP,V$4&gt;MESCLUN_BED_CAP,$A404+$B404+V$4&gt;TOTAL_BEDS_AVAILABLE,($D404+V$5)&gt;TOTAL_LABOR_HOURS_CAP,MAX(0,($D404+V$5)-PERMANENT_FIELD_LABOR_HOURS)&gt;TEMP_HOURS_CAP),"",$C404+V$6-MIN(($D404+V$5),PERMANENT_FIELD_LABOR_HOURS)*PERMANENT_HOURLY_RATE-MAX(0,($D404+V$5)-PERMANENT_FIELD_LABOR_HOURS)*TEMP_HOURLY_RATE-FIXED_SEASON_COST)</f>
        <v/>
      </c>
      <c r="W404" s="53" t="str">
        <f aca="false">IF(OR($A404&gt;TOMATO_BED_CAP,$B404&gt;CARROT_BED_CAP,W$4&gt;MESCLUN_BED_CAP,$A404+$B404+W$4&gt;TOTAL_BEDS_AVAILABLE,($D404+W$5)&gt;TOTAL_LABOR_HOURS_CAP,MAX(0,($D404+W$5)-PERMANENT_FIELD_LABOR_HOURS)&gt;TEMP_HOURS_CAP),"",$C404+W$6-MIN(($D404+W$5),PERMANENT_FIELD_LABOR_HOURS)*PERMANENT_HOURLY_RATE-MAX(0,($D404+W$5)-PERMANENT_FIELD_LABOR_HOURS)*TEMP_HOURLY_RATE-FIXED_SEASON_COST)</f>
        <v/>
      </c>
      <c r="X404" s="53" t="str">
        <f aca="false">IF(OR($A404&gt;TOMATO_BED_CAP,$B404&gt;CARROT_BED_CAP,X$4&gt;MESCLUN_BED_CAP,$A404+$B404+X$4&gt;TOTAL_BEDS_AVAILABLE,($D404+X$5)&gt;TOTAL_LABOR_HOURS_CAP,MAX(0,($D404+X$5)-PERMANENT_FIELD_LABOR_HOURS)&gt;TEMP_HOURS_CAP),"",$C404+X$6-MIN(($D404+X$5),PERMANENT_FIELD_LABOR_HOURS)*PERMANENT_HOURLY_RATE-MAX(0,($D404+X$5)-PERMANENT_FIELD_LABOR_HOURS)*TEMP_HOURLY_RATE-FIXED_SEASON_COST)</f>
        <v/>
      </c>
      <c r="Y404" s="53" t="str">
        <f aca="false">IF(OR($A404&gt;TOMATO_BED_CAP,$B404&gt;CARROT_BED_CAP,Y$4&gt;MESCLUN_BED_CAP,$A404+$B404+Y$4&gt;TOTAL_BEDS_AVAILABLE,($D404+Y$5)&gt;TOTAL_LABOR_HOURS_CAP,MAX(0,($D404+Y$5)-PERMANENT_FIELD_LABOR_HOURS)&gt;TEMP_HOURS_CAP),"",$C404+Y$6-MIN(($D404+Y$5),PERMANENT_FIELD_LABOR_HOURS)*PERMANENT_HOURLY_RATE-MAX(0,($D404+Y$5)-PERMANENT_FIELD_LABOR_HOURS)*TEMP_HOURLY_RATE-FIXED_SEASON_COST)</f>
        <v/>
      </c>
      <c r="Z404" s="53" t="str">
        <f aca="false">IF(OR($A404&gt;TOMATO_BED_CAP,$B404&gt;CARROT_BED_CAP,Z$4&gt;MESCLUN_BED_CAP,$A404+$B404+Z$4&gt;TOTAL_BEDS_AVAILABLE,($D404+Z$5)&gt;TOTAL_LABOR_HOURS_CAP,MAX(0,($D404+Z$5)-PERMANENT_FIELD_LABOR_HOURS)&gt;TEMP_HOURS_CAP),"",$C404+Z$6-MIN(($D404+Z$5),PERMANENT_FIELD_LABOR_HOURS)*PERMANENT_HOURLY_RATE-MAX(0,($D404+Z$5)-PERMANENT_FIELD_LABOR_HOURS)*TEMP_HOURLY_RATE-FIXED_SEASON_COST)</f>
        <v/>
      </c>
      <c r="AA404" s="53" t="str">
        <f aca="false">IF(OR($A404&gt;TOMATO_BED_CAP,$B404&gt;CARROT_BED_CAP,AA$4&gt;MESCLUN_BED_CAP,$A404+$B404+AA$4&gt;TOTAL_BEDS_AVAILABLE,($D404+AA$5)&gt;TOTAL_LABOR_HOURS_CAP,MAX(0,($D404+AA$5)-PERMANENT_FIELD_LABOR_HOURS)&gt;TEMP_HOURS_CAP),"",$C404+AA$6-MIN(($D404+AA$5),PERMANENT_FIELD_LABOR_HOURS)*PERMANENT_HOURLY_RATE-MAX(0,($D404+AA$5)-PERMANENT_FIELD_LABOR_HOURS)*TEMP_HOURLY_RATE-FIXED_SEASON_COST)</f>
        <v/>
      </c>
      <c r="AB404" s="53" t="str">
        <f aca="false">IF(OR($A404&gt;TOMATO_BED_CAP,$B404&gt;CARROT_BED_CAP,AB$4&gt;MESCLUN_BED_CAP,$A404+$B404+AB$4&gt;TOTAL_BEDS_AVAILABLE,($D404+AB$5)&gt;TOTAL_LABOR_HOURS_CAP,MAX(0,($D404+AB$5)-PERMANENT_FIELD_LABOR_HOURS)&gt;TEMP_HOURS_CAP),"",$C404+AB$6-MIN(($D404+AB$5),PERMANENT_FIELD_LABOR_HOURS)*PERMANENT_HOURLY_RATE-MAX(0,($D404+AB$5)-PERMANENT_FIELD_LABOR_HOURS)*TEMP_HOURLY_RATE-FIXED_SEASON_COST)</f>
        <v/>
      </c>
      <c r="AC404" s="53" t="str">
        <f aca="false">IF(OR($A404&gt;TOMATO_BED_CAP,$B404&gt;CARROT_BED_CAP,AC$4&gt;MESCLUN_BED_CAP,$A404+$B404+AC$4&gt;TOTAL_BEDS_AVAILABLE,($D404+AC$5)&gt;TOTAL_LABOR_HOURS_CAP,MAX(0,($D404+AC$5)-PERMANENT_FIELD_LABOR_HOURS)&gt;TEMP_HOURS_CAP),"",$C404+AC$6-MIN(($D404+AC$5),PERMANENT_FIELD_LABOR_HOURS)*PERMANENT_HOURLY_RATE-MAX(0,($D404+AC$5)-PERMANENT_FIELD_LABOR_HOURS)*TEMP_HOURLY_RATE-FIXED_SEASON_COST)</f>
        <v/>
      </c>
      <c r="AD404" s="53" t="str">
        <f aca="false">IF(OR($A404&gt;TOMATO_BED_CAP,$B404&gt;CARROT_BED_CAP,AD$4&gt;MESCLUN_BED_CAP,$A404+$B404+AD$4&gt;TOTAL_BEDS_AVAILABLE,($D404+AD$5)&gt;TOTAL_LABOR_HOURS_CAP,MAX(0,($D404+AD$5)-PERMANENT_FIELD_LABOR_HOURS)&gt;TEMP_HOURS_CAP),"",$C404+AD$6-MIN(($D404+AD$5),PERMANENT_FIELD_LABOR_HOURS)*PERMANENT_HOURLY_RATE-MAX(0,($D404+AD$5)-PERMANENT_FIELD_LABOR_HOURS)*TEMP_HOURLY_RATE-FIXED_SEASON_COST)</f>
        <v/>
      </c>
      <c r="AE404" s="53" t="str">
        <f aca="false">IF(OR($A404&gt;TOMATO_BED_CAP,$B404&gt;CARROT_BED_CAP,AE$4&gt;MESCLUN_BED_CAP,$A404+$B404+AE$4&gt;TOTAL_BEDS_AVAILABLE,($D404+AE$5)&gt;TOTAL_LABOR_HOURS_CAP,MAX(0,($D404+AE$5)-PERMANENT_FIELD_LABOR_HOURS)&gt;TEMP_HOURS_CAP),"",$C404+AE$6-MIN(($D404+AE$5),PERMANENT_FIELD_LABOR_HOURS)*PERMANENT_HOURLY_RATE-MAX(0,($D404+AE$5)-PERMANENT_FIELD_LABOR_HOURS)*TEMP_HOURLY_RATE-FIXED_SEASON_COST)</f>
        <v/>
      </c>
      <c r="AF404" s="53" t="str">
        <f aca="false">IF(OR($A404&gt;TOMATO_BED_CAP,$B404&gt;CARROT_BED_CAP,AF$4&gt;MESCLUN_BED_CAP,$A404+$B404+AF$4&gt;TOTAL_BEDS_AVAILABLE,($D404+AF$5)&gt;TOTAL_LABOR_HOURS_CAP,MAX(0,($D404+AF$5)-PERMANENT_FIELD_LABOR_HOURS)&gt;TEMP_HOURS_CAP),"",$C404+AF$6-MIN(($D404+AF$5),PERMANENT_FIELD_LABOR_HOURS)*PERMANENT_HOURLY_RATE-MAX(0,($D404+AF$5)-PERMANENT_FIELD_LABOR_HOURS)*TEMP_HOURLY_RATE-FIXED_SEASON_COST)</f>
        <v/>
      </c>
      <c r="AG404" s="53" t="str">
        <f aca="false">IF(OR($A404&gt;TOMATO_BED_CAP,$B404&gt;CARROT_BED_CAP,AG$4&gt;MESCLUN_BED_CAP,$A404+$B404+AG$4&gt;TOTAL_BEDS_AVAILABLE,($D404+AG$5)&gt;TOTAL_LABOR_HOURS_CAP,MAX(0,($D404+AG$5)-PERMANENT_FIELD_LABOR_HOURS)&gt;TEMP_HOURS_CAP),"",$C404+AG$6-MIN(($D404+AG$5),PERMANENT_FIELD_LABOR_HOURS)*PERMANENT_HOURLY_RATE-MAX(0,($D404+AG$5)-PERMANENT_FIELD_LABOR_HOURS)*TEMP_HOURLY_RATE-FIXED_SEASON_COST)</f>
        <v/>
      </c>
      <c r="AH404" s="53" t="str">
        <f aca="false">IF(OR($A404&gt;TOMATO_BED_CAP,$B404&gt;CARROT_BED_CAP,AH$4&gt;MESCLUN_BED_CAP,$A404+$B404+AH$4&gt;TOTAL_BEDS_AVAILABLE,($D404+AH$5)&gt;TOTAL_LABOR_HOURS_CAP,MAX(0,($D404+AH$5)-PERMANENT_FIELD_LABOR_HOURS)&gt;TEMP_HOURS_CAP),"",$C404+AH$6-MIN(($D404+AH$5),PERMANENT_FIELD_LABOR_HOURS)*PERMANENT_HOURLY_RATE-MAX(0,($D404+AH$5)-PERMANENT_FIELD_LABOR_HOURS)*TEMP_HOURLY_RATE-FIXED_SEASON_COST)</f>
        <v/>
      </c>
      <c r="AI404" s="53" t="str">
        <f aca="false">IF(OR($A404&gt;TOMATO_BED_CAP,$B404&gt;CARROT_BED_CAP,AI$4&gt;MESCLUN_BED_CAP,$A404+$B404+AI$4&gt;TOTAL_BEDS_AVAILABLE,($D404+AI$5)&gt;TOTAL_LABOR_HOURS_CAP,MAX(0,($D404+AI$5)-PERMANENT_FIELD_LABOR_HOURS)&gt;TEMP_HOURS_CAP),"",$C404+AI$6-MIN(($D404+AI$5),PERMANENT_FIELD_LABOR_HOURS)*PERMANENT_HOURLY_RATE-MAX(0,($D404+AI$5)-PERMANENT_FIELD_LABOR_HOURS)*TEMP_HOURLY_RATE-FIXED_SEASON_COST)</f>
        <v/>
      </c>
      <c r="AJ404" s="53" t="str">
        <f aca="false">IF(OR($A404&gt;TOMATO_BED_CAP,$B404&gt;CARROT_BED_CAP,AJ$4&gt;MESCLUN_BED_CAP,$A404+$B404+AJ$4&gt;TOTAL_BEDS_AVAILABLE,($D404+AJ$5)&gt;TOTAL_LABOR_HOURS_CAP,MAX(0,($D404+AJ$5)-PERMANENT_FIELD_LABOR_HOURS)&gt;TEMP_HOURS_CAP),"",$C404+AJ$6-MIN(($D404+AJ$5),PERMANENT_FIELD_LABOR_HOURS)*PERMANENT_HOURLY_RATE-MAX(0,($D404+AJ$5)-PERMANENT_FIELD_LABOR_HOURS)*TEMP_HOURLY_RATE-FIXED_SEASON_COST)</f>
        <v/>
      </c>
    </row>
    <row r="405" customFormat="false" ht="15" hidden="false" customHeight="false" outlineLevel="0" collapsed="false">
      <c r="A405" s="21" t="n">
        <f aca="false">INT((ROW()-ROW($A$8))/(20+1))</f>
        <v>18</v>
      </c>
      <c r="B405" s="21" t="n">
        <f aca="false">MOD(ROW()-ROW($A$8),20+1)</f>
        <v>19</v>
      </c>
      <c r="C405" s="13" t="n">
        <f aca="false">A405*(TOMATO_REVENUE_PER_BED-TOMATO_FERTILIZER_PER_BED)+B405*(CARROT_REVENUE_PER_BED-CARROT_FERTILIZER_PER_BED)</f>
        <v>173986</v>
      </c>
      <c r="D405" s="14" t="n">
        <f aca="false">INDEX(TOMATO_SCHED_LABOR_HRS,A405+1)+INDEX(CARROT_SCHED_LABOR_HRS,B405+1)</f>
        <v>9917.93216143513</v>
      </c>
      <c r="E405" s="13" t="str">
        <f aca="false">IF(COUNT(F405:AJ405)=0,"",MAX(F405:AJ405))</f>
        <v/>
      </c>
      <c r="F405" s="53" t="str">
        <f aca="false">IF(OR($A405&gt;TOMATO_BED_CAP,$B405&gt;CARROT_BED_CAP,F$4&gt;MESCLUN_BED_CAP,$A405+$B405+F$4&gt;TOTAL_BEDS_AVAILABLE,($D405+F$5)&gt;TOTAL_LABOR_HOURS_CAP,MAX(0,($D405+F$5)-PERMANENT_FIELD_LABOR_HOURS)&gt;TEMP_HOURS_CAP),"",$C405+F$6-MIN(($D405+F$5),PERMANENT_FIELD_LABOR_HOURS)*PERMANENT_HOURLY_RATE-MAX(0,($D405+F$5)-PERMANENT_FIELD_LABOR_HOURS)*TEMP_HOURLY_RATE-FIXED_SEASON_COST)</f>
        <v/>
      </c>
      <c r="G405" s="53" t="str">
        <f aca="false">IF(OR($A405&gt;TOMATO_BED_CAP,$B405&gt;CARROT_BED_CAP,G$4&gt;MESCLUN_BED_CAP,$A405+$B405+G$4&gt;TOTAL_BEDS_AVAILABLE,($D405+G$5)&gt;TOTAL_LABOR_HOURS_CAP,MAX(0,($D405+G$5)-PERMANENT_FIELD_LABOR_HOURS)&gt;TEMP_HOURS_CAP),"",$C405+G$6-MIN(($D405+G$5),PERMANENT_FIELD_LABOR_HOURS)*PERMANENT_HOURLY_RATE-MAX(0,($D405+G$5)-PERMANENT_FIELD_LABOR_HOURS)*TEMP_HOURLY_RATE-FIXED_SEASON_COST)</f>
        <v/>
      </c>
      <c r="H405" s="53" t="str">
        <f aca="false">IF(OR($A405&gt;TOMATO_BED_CAP,$B405&gt;CARROT_BED_CAP,H$4&gt;MESCLUN_BED_CAP,$A405+$B405+H$4&gt;TOTAL_BEDS_AVAILABLE,($D405+H$5)&gt;TOTAL_LABOR_HOURS_CAP,MAX(0,($D405+H$5)-PERMANENT_FIELD_LABOR_HOURS)&gt;TEMP_HOURS_CAP),"",$C405+H$6-MIN(($D405+H$5),PERMANENT_FIELD_LABOR_HOURS)*PERMANENT_HOURLY_RATE-MAX(0,($D405+H$5)-PERMANENT_FIELD_LABOR_HOURS)*TEMP_HOURLY_RATE-FIXED_SEASON_COST)</f>
        <v/>
      </c>
      <c r="I405" s="53" t="str">
        <f aca="false">IF(OR($A405&gt;TOMATO_BED_CAP,$B405&gt;CARROT_BED_CAP,I$4&gt;MESCLUN_BED_CAP,$A405+$B405+I$4&gt;TOTAL_BEDS_AVAILABLE,($D405+I$5)&gt;TOTAL_LABOR_HOURS_CAP,MAX(0,($D405+I$5)-PERMANENT_FIELD_LABOR_HOURS)&gt;TEMP_HOURS_CAP),"",$C405+I$6-MIN(($D405+I$5),PERMANENT_FIELD_LABOR_HOURS)*PERMANENT_HOURLY_RATE-MAX(0,($D405+I$5)-PERMANENT_FIELD_LABOR_HOURS)*TEMP_HOURLY_RATE-FIXED_SEASON_COST)</f>
        <v/>
      </c>
      <c r="J405" s="53" t="str">
        <f aca="false">IF(OR($A405&gt;TOMATO_BED_CAP,$B405&gt;CARROT_BED_CAP,J$4&gt;MESCLUN_BED_CAP,$A405+$B405+J$4&gt;TOTAL_BEDS_AVAILABLE,($D405+J$5)&gt;TOTAL_LABOR_HOURS_CAP,MAX(0,($D405+J$5)-PERMANENT_FIELD_LABOR_HOURS)&gt;TEMP_HOURS_CAP),"",$C405+J$6-MIN(($D405+J$5),PERMANENT_FIELD_LABOR_HOURS)*PERMANENT_HOURLY_RATE-MAX(0,($D405+J$5)-PERMANENT_FIELD_LABOR_HOURS)*TEMP_HOURLY_RATE-FIXED_SEASON_COST)</f>
        <v/>
      </c>
      <c r="K405" s="53" t="str">
        <f aca="false">IF(OR($A405&gt;TOMATO_BED_CAP,$B405&gt;CARROT_BED_CAP,K$4&gt;MESCLUN_BED_CAP,$A405+$B405+K$4&gt;TOTAL_BEDS_AVAILABLE,($D405+K$5)&gt;TOTAL_LABOR_HOURS_CAP,MAX(0,($D405+K$5)-PERMANENT_FIELD_LABOR_HOURS)&gt;TEMP_HOURS_CAP),"",$C405+K$6-MIN(($D405+K$5),PERMANENT_FIELD_LABOR_HOURS)*PERMANENT_HOURLY_RATE-MAX(0,($D405+K$5)-PERMANENT_FIELD_LABOR_HOURS)*TEMP_HOURLY_RATE-FIXED_SEASON_COST)</f>
        <v/>
      </c>
      <c r="L405" s="53" t="str">
        <f aca="false">IF(OR($A405&gt;TOMATO_BED_CAP,$B405&gt;CARROT_BED_CAP,L$4&gt;MESCLUN_BED_CAP,$A405+$B405+L$4&gt;TOTAL_BEDS_AVAILABLE,($D405+L$5)&gt;TOTAL_LABOR_HOURS_CAP,MAX(0,($D405+L$5)-PERMANENT_FIELD_LABOR_HOURS)&gt;TEMP_HOURS_CAP),"",$C405+L$6-MIN(($D405+L$5),PERMANENT_FIELD_LABOR_HOURS)*PERMANENT_HOURLY_RATE-MAX(0,($D405+L$5)-PERMANENT_FIELD_LABOR_HOURS)*TEMP_HOURLY_RATE-FIXED_SEASON_COST)</f>
        <v/>
      </c>
      <c r="M405" s="53" t="str">
        <f aca="false">IF(OR($A405&gt;TOMATO_BED_CAP,$B405&gt;CARROT_BED_CAP,M$4&gt;MESCLUN_BED_CAP,$A405+$B405+M$4&gt;TOTAL_BEDS_AVAILABLE,($D405+M$5)&gt;TOTAL_LABOR_HOURS_CAP,MAX(0,($D405+M$5)-PERMANENT_FIELD_LABOR_HOURS)&gt;TEMP_HOURS_CAP),"",$C405+M$6-MIN(($D405+M$5),PERMANENT_FIELD_LABOR_HOURS)*PERMANENT_HOURLY_RATE-MAX(0,($D405+M$5)-PERMANENT_FIELD_LABOR_HOURS)*TEMP_HOURLY_RATE-FIXED_SEASON_COST)</f>
        <v/>
      </c>
      <c r="N405" s="53" t="str">
        <f aca="false">IF(OR($A405&gt;TOMATO_BED_CAP,$B405&gt;CARROT_BED_CAP,N$4&gt;MESCLUN_BED_CAP,$A405+$B405+N$4&gt;TOTAL_BEDS_AVAILABLE,($D405+N$5)&gt;TOTAL_LABOR_HOURS_CAP,MAX(0,($D405+N$5)-PERMANENT_FIELD_LABOR_HOURS)&gt;TEMP_HOURS_CAP),"",$C405+N$6-MIN(($D405+N$5),PERMANENT_FIELD_LABOR_HOURS)*PERMANENT_HOURLY_RATE-MAX(0,($D405+N$5)-PERMANENT_FIELD_LABOR_HOURS)*TEMP_HOURLY_RATE-FIXED_SEASON_COST)</f>
        <v/>
      </c>
      <c r="O405" s="53" t="str">
        <f aca="false">IF(OR($A405&gt;TOMATO_BED_CAP,$B405&gt;CARROT_BED_CAP,O$4&gt;MESCLUN_BED_CAP,$A405+$B405+O$4&gt;TOTAL_BEDS_AVAILABLE,($D405+O$5)&gt;TOTAL_LABOR_HOURS_CAP,MAX(0,($D405+O$5)-PERMANENT_FIELD_LABOR_HOURS)&gt;TEMP_HOURS_CAP),"",$C405+O$6-MIN(($D405+O$5),PERMANENT_FIELD_LABOR_HOURS)*PERMANENT_HOURLY_RATE-MAX(0,($D405+O$5)-PERMANENT_FIELD_LABOR_HOURS)*TEMP_HOURLY_RATE-FIXED_SEASON_COST)</f>
        <v/>
      </c>
      <c r="P405" s="53" t="str">
        <f aca="false">IF(OR($A405&gt;TOMATO_BED_CAP,$B405&gt;CARROT_BED_CAP,P$4&gt;MESCLUN_BED_CAP,$A405+$B405+P$4&gt;TOTAL_BEDS_AVAILABLE,($D405+P$5)&gt;TOTAL_LABOR_HOURS_CAP,MAX(0,($D405+P$5)-PERMANENT_FIELD_LABOR_HOURS)&gt;TEMP_HOURS_CAP),"",$C405+P$6-MIN(($D405+P$5),PERMANENT_FIELD_LABOR_HOURS)*PERMANENT_HOURLY_RATE-MAX(0,($D405+P$5)-PERMANENT_FIELD_LABOR_HOURS)*TEMP_HOURLY_RATE-FIXED_SEASON_COST)</f>
        <v/>
      </c>
      <c r="Q405" s="53" t="str">
        <f aca="false">IF(OR($A405&gt;TOMATO_BED_CAP,$B405&gt;CARROT_BED_CAP,Q$4&gt;MESCLUN_BED_CAP,$A405+$B405+Q$4&gt;TOTAL_BEDS_AVAILABLE,($D405+Q$5)&gt;TOTAL_LABOR_HOURS_CAP,MAX(0,($D405+Q$5)-PERMANENT_FIELD_LABOR_HOURS)&gt;TEMP_HOURS_CAP),"",$C405+Q$6-MIN(($D405+Q$5),PERMANENT_FIELD_LABOR_HOURS)*PERMANENT_HOURLY_RATE-MAX(0,($D405+Q$5)-PERMANENT_FIELD_LABOR_HOURS)*TEMP_HOURLY_RATE-FIXED_SEASON_COST)</f>
        <v/>
      </c>
      <c r="R405" s="53" t="str">
        <f aca="false">IF(OR($A405&gt;TOMATO_BED_CAP,$B405&gt;CARROT_BED_CAP,R$4&gt;MESCLUN_BED_CAP,$A405+$B405+R$4&gt;TOTAL_BEDS_AVAILABLE,($D405+R$5)&gt;TOTAL_LABOR_HOURS_CAP,MAX(0,($D405+R$5)-PERMANENT_FIELD_LABOR_HOURS)&gt;TEMP_HOURS_CAP),"",$C405+R$6-MIN(($D405+R$5),PERMANENT_FIELD_LABOR_HOURS)*PERMANENT_HOURLY_RATE-MAX(0,($D405+R$5)-PERMANENT_FIELD_LABOR_HOURS)*TEMP_HOURLY_RATE-FIXED_SEASON_COST)</f>
        <v/>
      </c>
      <c r="S405" s="53" t="str">
        <f aca="false">IF(OR($A405&gt;TOMATO_BED_CAP,$B405&gt;CARROT_BED_CAP,S$4&gt;MESCLUN_BED_CAP,$A405+$B405+S$4&gt;TOTAL_BEDS_AVAILABLE,($D405+S$5)&gt;TOTAL_LABOR_HOURS_CAP,MAX(0,($D405+S$5)-PERMANENT_FIELD_LABOR_HOURS)&gt;TEMP_HOURS_CAP),"",$C405+S$6-MIN(($D405+S$5),PERMANENT_FIELD_LABOR_HOURS)*PERMANENT_HOURLY_RATE-MAX(0,($D405+S$5)-PERMANENT_FIELD_LABOR_HOURS)*TEMP_HOURLY_RATE-FIXED_SEASON_COST)</f>
        <v/>
      </c>
      <c r="T405" s="53" t="str">
        <f aca="false">IF(OR($A405&gt;TOMATO_BED_CAP,$B405&gt;CARROT_BED_CAP,T$4&gt;MESCLUN_BED_CAP,$A405+$B405+T$4&gt;TOTAL_BEDS_AVAILABLE,($D405+T$5)&gt;TOTAL_LABOR_HOURS_CAP,MAX(0,($D405+T$5)-PERMANENT_FIELD_LABOR_HOURS)&gt;TEMP_HOURS_CAP),"",$C405+T$6-MIN(($D405+T$5),PERMANENT_FIELD_LABOR_HOURS)*PERMANENT_HOURLY_RATE-MAX(0,($D405+T$5)-PERMANENT_FIELD_LABOR_HOURS)*TEMP_HOURLY_RATE-FIXED_SEASON_COST)</f>
        <v/>
      </c>
      <c r="U405" s="53" t="str">
        <f aca="false">IF(OR($A405&gt;TOMATO_BED_CAP,$B405&gt;CARROT_BED_CAP,U$4&gt;MESCLUN_BED_CAP,$A405+$B405+U$4&gt;TOTAL_BEDS_AVAILABLE,($D405+U$5)&gt;TOTAL_LABOR_HOURS_CAP,MAX(0,($D405+U$5)-PERMANENT_FIELD_LABOR_HOURS)&gt;TEMP_HOURS_CAP),"",$C405+U$6-MIN(($D405+U$5),PERMANENT_FIELD_LABOR_HOURS)*PERMANENT_HOURLY_RATE-MAX(0,($D405+U$5)-PERMANENT_FIELD_LABOR_HOURS)*TEMP_HOURLY_RATE-FIXED_SEASON_COST)</f>
        <v/>
      </c>
      <c r="V405" s="53" t="str">
        <f aca="false">IF(OR($A405&gt;TOMATO_BED_CAP,$B405&gt;CARROT_BED_CAP,V$4&gt;MESCLUN_BED_CAP,$A405+$B405+V$4&gt;TOTAL_BEDS_AVAILABLE,($D405+V$5)&gt;TOTAL_LABOR_HOURS_CAP,MAX(0,($D405+V$5)-PERMANENT_FIELD_LABOR_HOURS)&gt;TEMP_HOURS_CAP),"",$C405+V$6-MIN(($D405+V$5),PERMANENT_FIELD_LABOR_HOURS)*PERMANENT_HOURLY_RATE-MAX(0,($D405+V$5)-PERMANENT_FIELD_LABOR_HOURS)*TEMP_HOURLY_RATE-FIXED_SEASON_COST)</f>
        <v/>
      </c>
      <c r="W405" s="53" t="str">
        <f aca="false">IF(OR($A405&gt;TOMATO_BED_CAP,$B405&gt;CARROT_BED_CAP,W$4&gt;MESCLUN_BED_CAP,$A405+$B405+W$4&gt;TOTAL_BEDS_AVAILABLE,($D405+W$5)&gt;TOTAL_LABOR_HOURS_CAP,MAX(0,($D405+W$5)-PERMANENT_FIELD_LABOR_HOURS)&gt;TEMP_HOURS_CAP),"",$C405+W$6-MIN(($D405+W$5),PERMANENT_FIELD_LABOR_HOURS)*PERMANENT_HOURLY_RATE-MAX(0,($D405+W$5)-PERMANENT_FIELD_LABOR_HOURS)*TEMP_HOURLY_RATE-FIXED_SEASON_COST)</f>
        <v/>
      </c>
      <c r="X405" s="53" t="str">
        <f aca="false">IF(OR($A405&gt;TOMATO_BED_CAP,$B405&gt;CARROT_BED_CAP,X$4&gt;MESCLUN_BED_CAP,$A405+$B405+X$4&gt;TOTAL_BEDS_AVAILABLE,($D405+X$5)&gt;TOTAL_LABOR_HOURS_CAP,MAX(0,($D405+X$5)-PERMANENT_FIELD_LABOR_HOURS)&gt;TEMP_HOURS_CAP),"",$C405+X$6-MIN(($D405+X$5),PERMANENT_FIELD_LABOR_HOURS)*PERMANENT_HOURLY_RATE-MAX(0,($D405+X$5)-PERMANENT_FIELD_LABOR_HOURS)*TEMP_HOURLY_RATE-FIXED_SEASON_COST)</f>
        <v/>
      </c>
      <c r="Y405" s="53" t="str">
        <f aca="false">IF(OR($A405&gt;TOMATO_BED_CAP,$B405&gt;CARROT_BED_CAP,Y$4&gt;MESCLUN_BED_CAP,$A405+$B405+Y$4&gt;TOTAL_BEDS_AVAILABLE,($D405+Y$5)&gt;TOTAL_LABOR_HOURS_CAP,MAX(0,($D405+Y$5)-PERMANENT_FIELD_LABOR_HOURS)&gt;TEMP_HOURS_CAP),"",$C405+Y$6-MIN(($D405+Y$5),PERMANENT_FIELD_LABOR_HOURS)*PERMANENT_HOURLY_RATE-MAX(0,($D405+Y$5)-PERMANENT_FIELD_LABOR_HOURS)*TEMP_HOURLY_RATE-FIXED_SEASON_COST)</f>
        <v/>
      </c>
      <c r="Z405" s="53" t="str">
        <f aca="false">IF(OR($A405&gt;TOMATO_BED_CAP,$B405&gt;CARROT_BED_CAP,Z$4&gt;MESCLUN_BED_CAP,$A405+$B405+Z$4&gt;TOTAL_BEDS_AVAILABLE,($D405+Z$5)&gt;TOTAL_LABOR_HOURS_CAP,MAX(0,($D405+Z$5)-PERMANENT_FIELD_LABOR_HOURS)&gt;TEMP_HOURS_CAP),"",$C405+Z$6-MIN(($D405+Z$5),PERMANENT_FIELD_LABOR_HOURS)*PERMANENT_HOURLY_RATE-MAX(0,($D405+Z$5)-PERMANENT_FIELD_LABOR_HOURS)*TEMP_HOURLY_RATE-FIXED_SEASON_COST)</f>
        <v/>
      </c>
      <c r="AA405" s="53" t="str">
        <f aca="false">IF(OR($A405&gt;TOMATO_BED_CAP,$B405&gt;CARROT_BED_CAP,AA$4&gt;MESCLUN_BED_CAP,$A405+$B405+AA$4&gt;TOTAL_BEDS_AVAILABLE,($D405+AA$5)&gt;TOTAL_LABOR_HOURS_CAP,MAX(0,($D405+AA$5)-PERMANENT_FIELD_LABOR_HOURS)&gt;TEMP_HOURS_CAP),"",$C405+AA$6-MIN(($D405+AA$5),PERMANENT_FIELD_LABOR_HOURS)*PERMANENT_HOURLY_RATE-MAX(0,($D405+AA$5)-PERMANENT_FIELD_LABOR_HOURS)*TEMP_HOURLY_RATE-FIXED_SEASON_COST)</f>
        <v/>
      </c>
      <c r="AB405" s="53" t="str">
        <f aca="false">IF(OR($A405&gt;TOMATO_BED_CAP,$B405&gt;CARROT_BED_CAP,AB$4&gt;MESCLUN_BED_CAP,$A405+$B405+AB$4&gt;TOTAL_BEDS_AVAILABLE,($D405+AB$5)&gt;TOTAL_LABOR_HOURS_CAP,MAX(0,($D405+AB$5)-PERMANENT_FIELD_LABOR_HOURS)&gt;TEMP_HOURS_CAP),"",$C405+AB$6-MIN(($D405+AB$5),PERMANENT_FIELD_LABOR_HOURS)*PERMANENT_HOURLY_RATE-MAX(0,($D405+AB$5)-PERMANENT_FIELD_LABOR_HOURS)*TEMP_HOURLY_RATE-FIXED_SEASON_COST)</f>
        <v/>
      </c>
      <c r="AC405" s="53" t="str">
        <f aca="false">IF(OR($A405&gt;TOMATO_BED_CAP,$B405&gt;CARROT_BED_CAP,AC$4&gt;MESCLUN_BED_CAP,$A405+$B405+AC$4&gt;TOTAL_BEDS_AVAILABLE,($D405+AC$5)&gt;TOTAL_LABOR_HOURS_CAP,MAX(0,($D405+AC$5)-PERMANENT_FIELD_LABOR_HOURS)&gt;TEMP_HOURS_CAP),"",$C405+AC$6-MIN(($D405+AC$5),PERMANENT_FIELD_LABOR_HOURS)*PERMANENT_HOURLY_RATE-MAX(0,($D405+AC$5)-PERMANENT_FIELD_LABOR_HOURS)*TEMP_HOURLY_RATE-FIXED_SEASON_COST)</f>
        <v/>
      </c>
      <c r="AD405" s="53" t="str">
        <f aca="false">IF(OR($A405&gt;TOMATO_BED_CAP,$B405&gt;CARROT_BED_CAP,AD$4&gt;MESCLUN_BED_CAP,$A405+$B405+AD$4&gt;TOTAL_BEDS_AVAILABLE,($D405+AD$5)&gt;TOTAL_LABOR_HOURS_CAP,MAX(0,($D405+AD$5)-PERMANENT_FIELD_LABOR_HOURS)&gt;TEMP_HOURS_CAP),"",$C405+AD$6-MIN(($D405+AD$5),PERMANENT_FIELD_LABOR_HOURS)*PERMANENT_HOURLY_RATE-MAX(0,($D405+AD$5)-PERMANENT_FIELD_LABOR_HOURS)*TEMP_HOURLY_RATE-FIXED_SEASON_COST)</f>
        <v/>
      </c>
      <c r="AE405" s="53" t="str">
        <f aca="false">IF(OR($A405&gt;TOMATO_BED_CAP,$B405&gt;CARROT_BED_CAP,AE$4&gt;MESCLUN_BED_CAP,$A405+$B405+AE$4&gt;TOTAL_BEDS_AVAILABLE,($D405+AE$5)&gt;TOTAL_LABOR_HOURS_CAP,MAX(0,($D405+AE$5)-PERMANENT_FIELD_LABOR_HOURS)&gt;TEMP_HOURS_CAP),"",$C405+AE$6-MIN(($D405+AE$5),PERMANENT_FIELD_LABOR_HOURS)*PERMANENT_HOURLY_RATE-MAX(0,($D405+AE$5)-PERMANENT_FIELD_LABOR_HOURS)*TEMP_HOURLY_RATE-FIXED_SEASON_COST)</f>
        <v/>
      </c>
      <c r="AF405" s="53" t="str">
        <f aca="false">IF(OR($A405&gt;TOMATO_BED_CAP,$B405&gt;CARROT_BED_CAP,AF$4&gt;MESCLUN_BED_CAP,$A405+$B405+AF$4&gt;TOTAL_BEDS_AVAILABLE,($D405+AF$5)&gt;TOTAL_LABOR_HOURS_CAP,MAX(0,($D405+AF$5)-PERMANENT_FIELD_LABOR_HOURS)&gt;TEMP_HOURS_CAP),"",$C405+AF$6-MIN(($D405+AF$5),PERMANENT_FIELD_LABOR_HOURS)*PERMANENT_HOURLY_RATE-MAX(0,($D405+AF$5)-PERMANENT_FIELD_LABOR_HOURS)*TEMP_HOURLY_RATE-FIXED_SEASON_COST)</f>
        <v/>
      </c>
      <c r="AG405" s="53" t="str">
        <f aca="false">IF(OR($A405&gt;TOMATO_BED_CAP,$B405&gt;CARROT_BED_CAP,AG$4&gt;MESCLUN_BED_CAP,$A405+$B405+AG$4&gt;TOTAL_BEDS_AVAILABLE,($D405+AG$5)&gt;TOTAL_LABOR_HOURS_CAP,MAX(0,($D405+AG$5)-PERMANENT_FIELD_LABOR_HOURS)&gt;TEMP_HOURS_CAP),"",$C405+AG$6-MIN(($D405+AG$5),PERMANENT_FIELD_LABOR_HOURS)*PERMANENT_HOURLY_RATE-MAX(0,($D405+AG$5)-PERMANENT_FIELD_LABOR_HOURS)*TEMP_HOURLY_RATE-FIXED_SEASON_COST)</f>
        <v/>
      </c>
      <c r="AH405" s="53" t="str">
        <f aca="false">IF(OR($A405&gt;TOMATO_BED_CAP,$B405&gt;CARROT_BED_CAP,AH$4&gt;MESCLUN_BED_CAP,$A405+$B405+AH$4&gt;TOTAL_BEDS_AVAILABLE,($D405+AH$5)&gt;TOTAL_LABOR_HOURS_CAP,MAX(0,($D405+AH$5)-PERMANENT_FIELD_LABOR_HOURS)&gt;TEMP_HOURS_CAP),"",$C405+AH$6-MIN(($D405+AH$5),PERMANENT_FIELD_LABOR_HOURS)*PERMANENT_HOURLY_RATE-MAX(0,($D405+AH$5)-PERMANENT_FIELD_LABOR_HOURS)*TEMP_HOURLY_RATE-FIXED_SEASON_COST)</f>
        <v/>
      </c>
      <c r="AI405" s="53" t="str">
        <f aca="false">IF(OR($A405&gt;TOMATO_BED_CAP,$B405&gt;CARROT_BED_CAP,AI$4&gt;MESCLUN_BED_CAP,$A405+$B405+AI$4&gt;TOTAL_BEDS_AVAILABLE,($D405+AI$5)&gt;TOTAL_LABOR_HOURS_CAP,MAX(0,($D405+AI$5)-PERMANENT_FIELD_LABOR_HOURS)&gt;TEMP_HOURS_CAP),"",$C405+AI$6-MIN(($D405+AI$5),PERMANENT_FIELD_LABOR_HOURS)*PERMANENT_HOURLY_RATE-MAX(0,($D405+AI$5)-PERMANENT_FIELD_LABOR_HOURS)*TEMP_HOURLY_RATE-FIXED_SEASON_COST)</f>
        <v/>
      </c>
      <c r="AJ405" s="53" t="str">
        <f aca="false">IF(OR($A405&gt;TOMATO_BED_CAP,$B405&gt;CARROT_BED_CAP,AJ$4&gt;MESCLUN_BED_CAP,$A405+$B405+AJ$4&gt;TOTAL_BEDS_AVAILABLE,($D405+AJ$5)&gt;TOTAL_LABOR_HOURS_CAP,MAX(0,($D405+AJ$5)-PERMANENT_FIELD_LABOR_HOURS)&gt;TEMP_HOURS_CAP),"",$C405+AJ$6-MIN(($D405+AJ$5),PERMANENT_FIELD_LABOR_HOURS)*PERMANENT_HOURLY_RATE-MAX(0,($D405+AJ$5)-PERMANENT_FIELD_LABOR_HOURS)*TEMP_HOURLY_RATE-FIXED_SEASON_COST)</f>
        <v/>
      </c>
    </row>
    <row r="406" customFormat="false" ht="15" hidden="false" customHeight="false" outlineLevel="0" collapsed="false">
      <c r="A406" s="21" t="n">
        <f aca="false">INT((ROW()-ROW($A$8))/(20+1))</f>
        <v>18</v>
      </c>
      <c r="B406" s="21" t="n">
        <f aca="false">MOD(ROW()-ROW($A$8),20+1)</f>
        <v>20</v>
      </c>
      <c r="C406" s="13" t="n">
        <f aca="false">A406*(TOMATO_REVENUE_PER_BED-TOMATO_FERTILIZER_PER_BED)+B406*(CARROT_REVENUE_PER_BED-CARROT_FERTILIZER_PER_BED)</f>
        <v>175640</v>
      </c>
      <c r="D406" s="14" t="n">
        <f aca="false">INDEX(TOMATO_SCHED_LABOR_HRS,A406+1)+INDEX(CARROT_SCHED_LABOR_HRS,B406+1)</f>
        <v>9989.842644086</v>
      </c>
      <c r="E406" s="13" t="str">
        <f aca="false">IF(COUNT(F406:AJ406)=0,"",MAX(F406:AJ406))</f>
        <v/>
      </c>
      <c r="F406" s="53" t="str">
        <f aca="false">IF(OR($A406&gt;TOMATO_BED_CAP,$B406&gt;CARROT_BED_CAP,F$4&gt;MESCLUN_BED_CAP,$A406+$B406+F$4&gt;TOTAL_BEDS_AVAILABLE,($D406+F$5)&gt;TOTAL_LABOR_HOURS_CAP,MAX(0,($D406+F$5)-PERMANENT_FIELD_LABOR_HOURS)&gt;TEMP_HOURS_CAP),"",$C406+F$6-MIN(($D406+F$5),PERMANENT_FIELD_LABOR_HOURS)*PERMANENT_HOURLY_RATE-MAX(0,($D406+F$5)-PERMANENT_FIELD_LABOR_HOURS)*TEMP_HOURLY_RATE-FIXED_SEASON_COST)</f>
        <v/>
      </c>
      <c r="G406" s="53" t="str">
        <f aca="false">IF(OR($A406&gt;TOMATO_BED_CAP,$B406&gt;CARROT_BED_CAP,G$4&gt;MESCLUN_BED_CAP,$A406+$B406+G$4&gt;TOTAL_BEDS_AVAILABLE,($D406+G$5)&gt;TOTAL_LABOR_HOURS_CAP,MAX(0,($D406+G$5)-PERMANENT_FIELD_LABOR_HOURS)&gt;TEMP_HOURS_CAP),"",$C406+G$6-MIN(($D406+G$5),PERMANENT_FIELD_LABOR_HOURS)*PERMANENT_HOURLY_RATE-MAX(0,($D406+G$5)-PERMANENT_FIELD_LABOR_HOURS)*TEMP_HOURLY_RATE-FIXED_SEASON_COST)</f>
        <v/>
      </c>
      <c r="H406" s="53" t="str">
        <f aca="false">IF(OR($A406&gt;TOMATO_BED_CAP,$B406&gt;CARROT_BED_CAP,H$4&gt;MESCLUN_BED_CAP,$A406+$B406+H$4&gt;TOTAL_BEDS_AVAILABLE,($D406+H$5)&gt;TOTAL_LABOR_HOURS_CAP,MAX(0,($D406+H$5)-PERMANENT_FIELD_LABOR_HOURS)&gt;TEMP_HOURS_CAP),"",$C406+H$6-MIN(($D406+H$5),PERMANENT_FIELD_LABOR_HOURS)*PERMANENT_HOURLY_RATE-MAX(0,($D406+H$5)-PERMANENT_FIELD_LABOR_HOURS)*TEMP_HOURLY_RATE-FIXED_SEASON_COST)</f>
        <v/>
      </c>
      <c r="I406" s="53" t="str">
        <f aca="false">IF(OR($A406&gt;TOMATO_BED_CAP,$B406&gt;CARROT_BED_CAP,I$4&gt;MESCLUN_BED_CAP,$A406+$B406+I$4&gt;TOTAL_BEDS_AVAILABLE,($D406+I$5)&gt;TOTAL_LABOR_HOURS_CAP,MAX(0,($D406+I$5)-PERMANENT_FIELD_LABOR_HOURS)&gt;TEMP_HOURS_CAP),"",$C406+I$6-MIN(($D406+I$5),PERMANENT_FIELD_LABOR_HOURS)*PERMANENT_HOURLY_RATE-MAX(0,($D406+I$5)-PERMANENT_FIELD_LABOR_HOURS)*TEMP_HOURLY_RATE-FIXED_SEASON_COST)</f>
        <v/>
      </c>
      <c r="J406" s="53" t="str">
        <f aca="false">IF(OR($A406&gt;TOMATO_BED_CAP,$B406&gt;CARROT_BED_CAP,J$4&gt;MESCLUN_BED_CAP,$A406+$B406+J$4&gt;TOTAL_BEDS_AVAILABLE,($D406+J$5)&gt;TOTAL_LABOR_HOURS_CAP,MAX(0,($D406+J$5)-PERMANENT_FIELD_LABOR_HOURS)&gt;TEMP_HOURS_CAP),"",$C406+J$6-MIN(($D406+J$5),PERMANENT_FIELD_LABOR_HOURS)*PERMANENT_HOURLY_RATE-MAX(0,($D406+J$5)-PERMANENT_FIELD_LABOR_HOURS)*TEMP_HOURLY_RATE-FIXED_SEASON_COST)</f>
        <v/>
      </c>
      <c r="K406" s="53" t="str">
        <f aca="false">IF(OR($A406&gt;TOMATO_BED_CAP,$B406&gt;CARROT_BED_CAP,K$4&gt;MESCLUN_BED_CAP,$A406+$B406+K$4&gt;TOTAL_BEDS_AVAILABLE,($D406+K$5)&gt;TOTAL_LABOR_HOURS_CAP,MAX(0,($D406+K$5)-PERMANENT_FIELD_LABOR_HOURS)&gt;TEMP_HOURS_CAP),"",$C406+K$6-MIN(($D406+K$5),PERMANENT_FIELD_LABOR_HOURS)*PERMANENT_HOURLY_RATE-MAX(0,($D406+K$5)-PERMANENT_FIELD_LABOR_HOURS)*TEMP_HOURLY_RATE-FIXED_SEASON_COST)</f>
        <v/>
      </c>
      <c r="L406" s="53" t="str">
        <f aca="false">IF(OR($A406&gt;TOMATO_BED_CAP,$B406&gt;CARROT_BED_CAP,L$4&gt;MESCLUN_BED_CAP,$A406+$B406+L$4&gt;TOTAL_BEDS_AVAILABLE,($D406+L$5)&gt;TOTAL_LABOR_HOURS_CAP,MAX(0,($D406+L$5)-PERMANENT_FIELD_LABOR_HOURS)&gt;TEMP_HOURS_CAP),"",$C406+L$6-MIN(($D406+L$5),PERMANENT_FIELD_LABOR_HOURS)*PERMANENT_HOURLY_RATE-MAX(0,($D406+L$5)-PERMANENT_FIELD_LABOR_HOURS)*TEMP_HOURLY_RATE-FIXED_SEASON_COST)</f>
        <v/>
      </c>
      <c r="M406" s="53" t="str">
        <f aca="false">IF(OR($A406&gt;TOMATO_BED_CAP,$B406&gt;CARROT_BED_CAP,M$4&gt;MESCLUN_BED_CAP,$A406+$B406+M$4&gt;TOTAL_BEDS_AVAILABLE,($D406+M$5)&gt;TOTAL_LABOR_HOURS_CAP,MAX(0,($D406+M$5)-PERMANENT_FIELD_LABOR_HOURS)&gt;TEMP_HOURS_CAP),"",$C406+M$6-MIN(($D406+M$5),PERMANENT_FIELD_LABOR_HOURS)*PERMANENT_HOURLY_RATE-MAX(0,($D406+M$5)-PERMANENT_FIELD_LABOR_HOURS)*TEMP_HOURLY_RATE-FIXED_SEASON_COST)</f>
        <v/>
      </c>
      <c r="N406" s="53" t="str">
        <f aca="false">IF(OR($A406&gt;TOMATO_BED_CAP,$B406&gt;CARROT_BED_CAP,N$4&gt;MESCLUN_BED_CAP,$A406+$B406+N$4&gt;TOTAL_BEDS_AVAILABLE,($D406+N$5)&gt;TOTAL_LABOR_HOURS_CAP,MAX(0,($D406+N$5)-PERMANENT_FIELD_LABOR_HOURS)&gt;TEMP_HOURS_CAP),"",$C406+N$6-MIN(($D406+N$5),PERMANENT_FIELD_LABOR_HOURS)*PERMANENT_HOURLY_RATE-MAX(0,($D406+N$5)-PERMANENT_FIELD_LABOR_HOURS)*TEMP_HOURLY_RATE-FIXED_SEASON_COST)</f>
        <v/>
      </c>
      <c r="O406" s="53" t="str">
        <f aca="false">IF(OR($A406&gt;TOMATO_BED_CAP,$B406&gt;CARROT_BED_CAP,O$4&gt;MESCLUN_BED_CAP,$A406+$B406+O$4&gt;TOTAL_BEDS_AVAILABLE,($D406+O$5)&gt;TOTAL_LABOR_HOURS_CAP,MAX(0,($D406+O$5)-PERMANENT_FIELD_LABOR_HOURS)&gt;TEMP_HOURS_CAP),"",$C406+O$6-MIN(($D406+O$5),PERMANENT_FIELD_LABOR_HOURS)*PERMANENT_HOURLY_RATE-MAX(0,($D406+O$5)-PERMANENT_FIELD_LABOR_HOURS)*TEMP_HOURLY_RATE-FIXED_SEASON_COST)</f>
        <v/>
      </c>
      <c r="P406" s="53" t="str">
        <f aca="false">IF(OR($A406&gt;TOMATO_BED_CAP,$B406&gt;CARROT_BED_CAP,P$4&gt;MESCLUN_BED_CAP,$A406+$B406+P$4&gt;TOTAL_BEDS_AVAILABLE,($D406+P$5)&gt;TOTAL_LABOR_HOURS_CAP,MAX(0,($D406+P$5)-PERMANENT_FIELD_LABOR_HOURS)&gt;TEMP_HOURS_CAP),"",$C406+P$6-MIN(($D406+P$5),PERMANENT_FIELD_LABOR_HOURS)*PERMANENT_HOURLY_RATE-MAX(0,($D406+P$5)-PERMANENT_FIELD_LABOR_HOURS)*TEMP_HOURLY_RATE-FIXED_SEASON_COST)</f>
        <v/>
      </c>
      <c r="Q406" s="53" t="str">
        <f aca="false">IF(OR($A406&gt;TOMATO_BED_CAP,$B406&gt;CARROT_BED_CAP,Q$4&gt;MESCLUN_BED_CAP,$A406+$B406+Q$4&gt;TOTAL_BEDS_AVAILABLE,($D406+Q$5)&gt;TOTAL_LABOR_HOURS_CAP,MAX(0,($D406+Q$5)-PERMANENT_FIELD_LABOR_HOURS)&gt;TEMP_HOURS_CAP),"",$C406+Q$6-MIN(($D406+Q$5),PERMANENT_FIELD_LABOR_HOURS)*PERMANENT_HOURLY_RATE-MAX(0,($D406+Q$5)-PERMANENT_FIELD_LABOR_HOURS)*TEMP_HOURLY_RATE-FIXED_SEASON_COST)</f>
        <v/>
      </c>
      <c r="R406" s="53" t="str">
        <f aca="false">IF(OR($A406&gt;TOMATO_BED_CAP,$B406&gt;CARROT_BED_CAP,R$4&gt;MESCLUN_BED_CAP,$A406+$B406+R$4&gt;TOTAL_BEDS_AVAILABLE,($D406+R$5)&gt;TOTAL_LABOR_HOURS_CAP,MAX(0,($D406+R$5)-PERMANENT_FIELD_LABOR_HOURS)&gt;TEMP_HOURS_CAP),"",$C406+R$6-MIN(($D406+R$5),PERMANENT_FIELD_LABOR_HOURS)*PERMANENT_HOURLY_RATE-MAX(0,($D406+R$5)-PERMANENT_FIELD_LABOR_HOURS)*TEMP_HOURLY_RATE-FIXED_SEASON_COST)</f>
        <v/>
      </c>
      <c r="S406" s="53" t="str">
        <f aca="false">IF(OR($A406&gt;TOMATO_BED_CAP,$B406&gt;CARROT_BED_CAP,S$4&gt;MESCLUN_BED_CAP,$A406+$B406+S$4&gt;TOTAL_BEDS_AVAILABLE,($D406+S$5)&gt;TOTAL_LABOR_HOURS_CAP,MAX(0,($D406+S$5)-PERMANENT_FIELD_LABOR_HOURS)&gt;TEMP_HOURS_CAP),"",$C406+S$6-MIN(($D406+S$5),PERMANENT_FIELD_LABOR_HOURS)*PERMANENT_HOURLY_RATE-MAX(0,($D406+S$5)-PERMANENT_FIELD_LABOR_HOURS)*TEMP_HOURLY_RATE-FIXED_SEASON_COST)</f>
        <v/>
      </c>
      <c r="T406" s="53" t="str">
        <f aca="false">IF(OR($A406&gt;TOMATO_BED_CAP,$B406&gt;CARROT_BED_CAP,T$4&gt;MESCLUN_BED_CAP,$A406+$B406+T$4&gt;TOTAL_BEDS_AVAILABLE,($D406+T$5)&gt;TOTAL_LABOR_HOURS_CAP,MAX(0,($D406+T$5)-PERMANENT_FIELD_LABOR_HOURS)&gt;TEMP_HOURS_CAP),"",$C406+T$6-MIN(($D406+T$5),PERMANENT_FIELD_LABOR_HOURS)*PERMANENT_HOURLY_RATE-MAX(0,($D406+T$5)-PERMANENT_FIELD_LABOR_HOURS)*TEMP_HOURLY_RATE-FIXED_SEASON_COST)</f>
        <v/>
      </c>
      <c r="U406" s="53" t="str">
        <f aca="false">IF(OR($A406&gt;TOMATO_BED_CAP,$B406&gt;CARROT_BED_CAP,U$4&gt;MESCLUN_BED_CAP,$A406+$B406+U$4&gt;TOTAL_BEDS_AVAILABLE,($D406+U$5)&gt;TOTAL_LABOR_HOURS_CAP,MAX(0,($D406+U$5)-PERMANENT_FIELD_LABOR_HOURS)&gt;TEMP_HOURS_CAP),"",$C406+U$6-MIN(($D406+U$5),PERMANENT_FIELD_LABOR_HOURS)*PERMANENT_HOURLY_RATE-MAX(0,($D406+U$5)-PERMANENT_FIELD_LABOR_HOURS)*TEMP_HOURLY_RATE-FIXED_SEASON_COST)</f>
        <v/>
      </c>
      <c r="V406" s="53" t="str">
        <f aca="false">IF(OR($A406&gt;TOMATO_BED_CAP,$B406&gt;CARROT_BED_CAP,V$4&gt;MESCLUN_BED_CAP,$A406+$B406+V$4&gt;TOTAL_BEDS_AVAILABLE,($D406+V$5)&gt;TOTAL_LABOR_HOURS_CAP,MAX(0,($D406+V$5)-PERMANENT_FIELD_LABOR_HOURS)&gt;TEMP_HOURS_CAP),"",$C406+V$6-MIN(($D406+V$5),PERMANENT_FIELD_LABOR_HOURS)*PERMANENT_HOURLY_RATE-MAX(0,($D406+V$5)-PERMANENT_FIELD_LABOR_HOURS)*TEMP_HOURLY_RATE-FIXED_SEASON_COST)</f>
        <v/>
      </c>
      <c r="W406" s="53" t="str">
        <f aca="false">IF(OR($A406&gt;TOMATO_BED_CAP,$B406&gt;CARROT_BED_CAP,W$4&gt;MESCLUN_BED_CAP,$A406+$B406+W$4&gt;TOTAL_BEDS_AVAILABLE,($D406+W$5)&gt;TOTAL_LABOR_HOURS_CAP,MAX(0,($D406+W$5)-PERMANENT_FIELD_LABOR_HOURS)&gt;TEMP_HOURS_CAP),"",$C406+W$6-MIN(($D406+W$5),PERMANENT_FIELD_LABOR_HOURS)*PERMANENT_HOURLY_RATE-MAX(0,($D406+W$5)-PERMANENT_FIELD_LABOR_HOURS)*TEMP_HOURLY_RATE-FIXED_SEASON_COST)</f>
        <v/>
      </c>
      <c r="X406" s="53" t="str">
        <f aca="false">IF(OR($A406&gt;TOMATO_BED_CAP,$B406&gt;CARROT_BED_CAP,X$4&gt;MESCLUN_BED_CAP,$A406+$B406+X$4&gt;TOTAL_BEDS_AVAILABLE,($D406+X$5)&gt;TOTAL_LABOR_HOURS_CAP,MAX(0,($D406+X$5)-PERMANENT_FIELD_LABOR_HOURS)&gt;TEMP_HOURS_CAP),"",$C406+X$6-MIN(($D406+X$5),PERMANENT_FIELD_LABOR_HOURS)*PERMANENT_HOURLY_RATE-MAX(0,($D406+X$5)-PERMANENT_FIELD_LABOR_HOURS)*TEMP_HOURLY_RATE-FIXED_SEASON_COST)</f>
        <v/>
      </c>
      <c r="Y406" s="53" t="str">
        <f aca="false">IF(OR($A406&gt;TOMATO_BED_CAP,$B406&gt;CARROT_BED_CAP,Y$4&gt;MESCLUN_BED_CAP,$A406+$B406+Y$4&gt;TOTAL_BEDS_AVAILABLE,($D406+Y$5)&gt;TOTAL_LABOR_HOURS_CAP,MAX(0,($D406+Y$5)-PERMANENT_FIELD_LABOR_HOURS)&gt;TEMP_HOURS_CAP),"",$C406+Y$6-MIN(($D406+Y$5),PERMANENT_FIELD_LABOR_HOURS)*PERMANENT_HOURLY_RATE-MAX(0,($D406+Y$5)-PERMANENT_FIELD_LABOR_HOURS)*TEMP_HOURLY_RATE-FIXED_SEASON_COST)</f>
        <v/>
      </c>
      <c r="Z406" s="53" t="str">
        <f aca="false">IF(OR($A406&gt;TOMATO_BED_CAP,$B406&gt;CARROT_BED_CAP,Z$4&gt;MESCLUN_BED_CAP,$A406+$B406+Z$4&gt;TOTAL_BEDS_AVAILABLE,($D406+Z$5)&gt;TOTAL_LABOR_HOURS_CAP,MAX(0,($D406+Z$5)-PERMANENT_FIELD_LABOR_HOURS)&gt;TEMP_HOURS_CAP),"",$C406+Z$6-MIN(($D406+Z$5),PERMANENT_FIELD_LABOR_HOURS)*PERMANENT_HOURLY_RATE-MAX(0,($D406+Z$5)-PERMANENT_FIELD_LABOR_HOURS)*TEMP_HOURLY_RATE-FIXED_SEASON_COST)</f>
        <v/>
      </c>
      <c r="AA406" s="53" t="str">
        <f aca="false">IF(OR($A406&gt;TOMATO_BED_CAP,$B406&gt;CARROT_BED_CAP,AA$4&gt;MESCLUN_BED_CAP,$A406+$B406+AA$4&gt;TOTAL_BEDS_AVAILABLE,($D406+AA$5)&gt;TOTAL_LABOR_HOURS_CAP,MAX(0,($D406+AA$5)-PERMANENT_FIELD_LABOR_HOURS)&gt;TEMP_HOURS_CAP),"",$C406+AA$6-MIN(($D406+AA$5),PERMANENT_FIELD_LABOR_HOURS)*PERMANENT_HOURLY_RATE-MAX(0,($D406+AA$5)-PERMANENT_FIELD_LABOR_HOURS)*TEMP_HOURLY_RATE-FIXED_SEASON_COST)</f>
        <v/>
      </c>
      <c r="AB406" s="53" t="str">
        <f aca="false">IF(OR($A406&gt;TOMATO_BED_CAP,$B406&gt;CARROT_BED_CAP,AB$4&gt;MESCLUN_BED_CAP,$A406+$B406+AB$4&gt;TOTAL_BEDS_AVAILABLE,($D406+AB$5)&gt;TOTAL_LABOR_HOURS_CAP,MAX(0,($D406+AB$5)-PERMANENT_FIELD_LABOR_HOURS)&gt;TEMP_HOURS_CAP),"",$C406+AB$6-MIN(($D406+AB$5),PERMANENT_FIELD_LABOR_HOURS)*PERMANENT_HOURLY_RATE-MAX(0,($D406+AB$5)-PERMANENT_FIELD_LABOR_HOURS)*TEMP_HOURLY_RATE-FIXED_SEASON_COST)</f>
        <v/>
      </c>
      <c r="AC406" s="53" t="str">
        <f aca="false">IF(OR($A406&gt;TOMATO_BED_CAP,$B406&gt;CARROT_BED_CAP,AC$4&gt;MESCLUN_BED_CAP,$A406+$B406+AC$4&gt;TOTAL_BEDS_AVAILABLE,($D406+AC$5)&gt;TOTAL_LABOR_HOURS_CAP,MAX(0,($D406+AC$5)-PERMANENT_FIELD_LABOR_HOURS)&gt;TEMP_HOURS_CAP),"",$C406+AC$6-MIN(($D406+AC$5),PERMANENT_FIELD_LABOR_HOURS)*PERMANENT_HOURLY_RATE-MAX(0,($D406+AC$5)-PERMANENT_FIELD_LABOR_HOURS)*TEMP_HOURLY_RATE-FIXED_SEASON_COST)</f>
        <v/>
      </c>
      <c r="AD406" s="53" t="str">
        <f aca="false">IF(OR($A406&gt;TOMATO_BED_CAP,$B406&gt;CARROT_BED_CAP,AD$4&gt;MESCLUN_BED_CAP,$A406+$B406+AD$4&gt;TOTAL_BEDS_AVAILABLE,($D406+AD$5)&gt;TOTAL_LABOR_HOURS_CAP,MAX(0,($D406+AD$5)-PERMANENT_FIELD_LABOR_HOURS)&gt;TEMP_HOURS_CAP),"",$C406+AD$6-MIN(($D406+AD$5),PERMANENT_FIELD_LABOR_HOURS)*PERMANENT_HOURLY_RATE-MAX(0,($D406+AD$5)-PERMANENT_FIELD_LABOR_HOURS)*TEMP_HOURLY_RATE-FIXED_SEASON_COST)</f>
        <v/>
      </c>
      <c r="AE406" s="53" t="str">
        <f aca="false">IF(OR($A406&gt;TOMATO_BED_CAP,$B406&gt;CARROT_BED_CAP,AE$4&gt;MESCLUN_BED_CAP,$A406+$B406+AE$4&gt;TOTAL_BEDS_AVAILABLE,($D406+AE$5)&gt;TOTAL_LABOR_HOURS_CAP,MAX(0,($D406+AE$5)-PERMANENT_FIELD_LABOR_HOURS)&gt;TEMP_HOURS_CAP),"",$C406+AE$6-MIN(($D406+AE$5),PERMANENT_FIELD_LABOR_HOURS)*PERMANENT_HOURLY_RATE-MAX(0,($D406+AE$5)-PERMANENT_FIELD_LABOR_HOURS)*TEMP_HOURLY_RATE-FIXED_SEASON_COST)</f>
        <v/>
      </c>
      <c r="AF406" s="53" t="str">
        <f aca="false">IF(OR($A406&gt;TOMATO_BED_CAP,$B406&gt;CARROT_BED_CAP,AF$4&gt;MESCLUN_BED_CAP,$A406+$B406+AF$4&gt;TOTAL_BEDS_AVAILABLE,($D406+AF$5)&gt;TOTAL_LABOR_HOURS_CAP,MAX(0,($D406+AF$5)-PERMANENT_FIELD_LABOR_HOURS)&gt;TEMP_HOURS_CAP),"",$C406+AF$6-MIN(($D406+AF$5),PERMANENT_FIELD_LABOR_HOURS)*PERMANENT_HOURLY_RATE-MAX(0,($D406+AF$5)-PERMANENT_FIELD_LABOR_HOURS)*TEMP_HOURLY_RATE-FIXED_SEASON_COST)</f>
        <v/>
      </c>
      <c r="AG406" s="53" t="str">
        <f aca="false">IF(OR($A406&gt;TOMATO_BED_CAP,$B406&gt;CARROT_BED_CAP,AG$4&gt;MESCLUN_BED_CAP,$A406+$B406+AG$4&gt;TOTAL_BEDS_AVAILABLE,($D406+AG$5)&gt;TOTAL_LABOR_HOURS_CAP,MAX(0,($D406+AG$5)-PERMANENT_FIELD_LABOR_HOURS)&gt;TEMP_HOURS_CAP),"",$C406+AG$6-MIN(($D406+AG$5),PERMANENT_FIELD_LABOR_HOURS)*PERMANENT_HOURLY_RATE-MAX(0,($D406+AG$5)-PERMANENT_FIELD_LABOR_HOURS)*TEMP_HOURLY_RATE-FIXED_SEASON_COST)</f>
        <v/>
      </c>
      <c r="AH406" s="53" t="str">
        <f aca="false">IF(OR($A406&gt;TOMATO_BED_CAP,$B406&gt;CARROT_BED_CAP,AH$4&gt;MESCLUN_BED_CAP,$A406+$B406+AH$4&gt;TOTAL_BEDS_AVAILABLE,($D406+AH$5)&gt;TOTAL_LABOR_HOURS_CAP,MAX(0,($D406+AH$5)-PERMANENT_FIELD_LABOR_HOURS)&gt;TEMP_HOURS_CAP),"",$C406+AH$6-MIN(($D406+AH$5),PERMANENT_FIELD_LABOR_HOURS)*PERMANENT_HOURLY_RATE-MAX(0,($D406+AH$5)-PERMANENT_FIELD_LABOR_HOURS)*TEMP_HOURLY_RATE-FIXED_SEASON_COST)</f>
        <v/>
      </c>
      <c r="AI406" s="53" t="str">
        <f aca="false">IF(OR($A406&gt;TOMATO_BED_CAP,$B406&gt;CARROT_BED_CAP,AI$4&gt;MESCLUN_BED_CAP,$A406+$B406+AI$4&gt;TOTAL_BEDS_AVAILABLE,($D406+AI$5)&gt;TOTAL_LABOR_HOURS_CAP,MAX(0,($D406+AI$5)-PERMANENT_FIELD_LABOR_HOURS)&gt;TEMP_HOURS_CAP),"",$C406+AI$6-MIN(($D406+AI$5),PERMANENT_FIELD_LABOR_HOURS)*PERMANENT_HOURLY_RATE-MAX(0,($D406+AI$5)-PERMANENT_FIELD_LABOR_HOURS)*TEMP_HOURLY_RATE-FIXED_SEASON_COST)</f>
        <v/>
      </c>
      <c r="AJ406" s="53" t="str">
        <f aca="false">IF(OR($A406&gt;TOMATO_BED_CAP,$B406&gt;CARROT_BED_CAP,AJ$4&gt;MESCLUN_BED_CAP,$A406+$B406+AJ$4&gt;TOTAL_BEDS_AVAILABLE,($D406+AJ$5)&gt;TOTAL_LABOR_HOURS_CAP,MAX(0,($D406+AJ$5)-PERMANENT_FIELD_LABOR_HOURS)&gt;TEMP_HOURS_CAP),"",$C406+AJ$6-MIN(($D406+AJ$5),PERMANENT_FIELD_LABOR_HOURS)*PERMANENT_HOURLY_RATE-MAX(0,($D406+AJ$5)-PERMANENT_FIELD_LABOR_HOURS)*TEMP_HOURLY_RATE-FIXED_SEASON_COST)</f>
        <v/>
      </c>
    </row>
    <row r="407" customFormat="false" ht="15" hidden="false" customHeight="false" outlineLevel="0" collapsed="false">
      <c r="A407" s="21" t="n">
        <f aca="false">INT((ROW()-ROW($A$8))/(20+1))</f>
        <v>19</v>
      </c>
      <c r="B407" s="21" t="n">
        <f aca="false">MOD(ROW()-ROW($A$8),20+1)</f>
        <v>0</v>
      </c>
      <c r="C407" s="13" t="n">
        <f aca="false">A407*(TOMATO_REVENUE_PER_BED-TOMATO_FERTILIZER_PER_BED)+B407*(CARROT_REVENUE_PER_BED-CARROT_FERTILIZER_PER_BED)</f>
        <v>150480</v>
      </c>
      <c r="D407" s="14" t="n">
        <f aca="false">INDEX(TOMATO_SCHED_LABOR_HRS,A407+1)+INDEX(CARROT_SCHED_LABOR_HRS,B407+1)</f>
        <v>10458.2044666789</v>
      </c>
      <c r="E407" s="13" t="str">
        <f aca="false">IF(COUNT(F407:AJ407)=0,"",MAX(F407:AJ407))</f>
        <v/>
      </c>
      <c r="F407" s="53" t="str">
        <f aca="false">IF(OR($A407&gt;TOMATO_BED_CAP,$B407&gt;CARROT_BED_CAP,F$4&gt;MESCLUN_BED_CAP,$A407+$B407+F$4&gt;TOTAL_BEDS_AVAILABLE,($D407+F$5)&gt;TOTAL_LABOR_HOURS_CAP,MAX(0,($D407+F$5)-PERMANENT_FIELD_LABOR_HOURS)&gt;TEMP_HOURS_CAP),"",$C407+F$6-MIN(($D407+F$5),PERMANENT_FIELD_LABOR_HOURS)*PERMANENT_HOURLY_RATE-MAX(0,($D407+F$5)-PERMANENT_FIELD_LABOR_HOURS)*TEMP_HOURLY_RATE-FIXED_SEASON_COST)</f>
        <v/>
      </c>
      <c r="G407" s="53" t="str">
        <f aca="false">IF(OR($A407&gt;TOMATO_BED_CAP,$B407&gt;CARROT_BED_CAP,G$4&gt;MESCLUN_BED_CAP,$A407+$B407+G$4&gt;TOTAL_BEDS_AVAILABLE,($D407+G$5)&gt;TOTAL_LABOR_HOURS_CAP,MAX(0,($D407+G$5)-PERMANENT_FIELD_LABOR_HOURS)&gt;TEMP_HOURS_CAP),"",$C407+G$6-MIN(($D407+G$5),PERMANENT_FIELD_LABOR_HOURS)*PERMANENT_HOURLY_RATE-MAX(0,($D407+G$5)-PERMANENT_FIELD_LABOR_HOURS)*TEMP_HOURLY_RATE-FIXED_SEASON_COST)</f>
        <v/>
      </c>
      <c r="H407" s="53" t="str">
        <f aca="false">IF(OR($A407&gt;TOMATO_BED_CAP,$B407&gt;CARROT_BED_CAP,H$4&gt;MESCLUN_BED_CAP,$A407+$B407+H$4&gt;TOTAL_BEDS_AVAILABLE,($D407+H$5)&gt;TOTAL_LABOR_HOURS_CAP,MAX(0,($D407+H$5)-PERMANENT_FIELD_LABOR_HOURS)&gt;TEMP_HOURS_CAP),"",$C407+H$6-MIN(($D407+H$5),PERMANENT_FIELD_LABOR_HOURS)*PERMANENT_HOURLY_RATE-MAX(0,($D407+H$5)-PERMANENT_FIELD_LABOR_HOURS)*TEMP_HOURLY_RATE-FIXED_SEASON_COST)</f>
        <v/>
      </c>
      <c r="I407" s="53" t="str">
        <f aca="false">IF(OR($A407&gt;TOMATO_BED_CAP,$B407&gt;CARROT_BED_CAP,I$4&gt;MESCLUN_BED_CAP,$A407+$B407+I$4&gt;TOTAL_BEDS_AVAILABLE,($D407+I$5)&gt;TOTAL_LABOR_HOURS_CAP,MAX(0,($D407+I$5)-PERMANENT_FIELD_LABOR_HOURS)&gt;TEMP_HOURS_CAP),"",$C407+I$6-MIN(($D407+I$5),PERMANENT_FIELD_LABOR_HOURS)*PERMANENT_HOURLY_RATE-MAX(0,($D407+I$5)-PERMANENT_FIELD_LABOR_HOURS)*TEMP_HOURLY_RATE-FIXED_SEASON_COST)</f>
        <v/>
      </c>
      <c r="J407" s="53" t="str">
        <f aca="false">IF(OR($A407&gt;TOMATO_BED_CAP,$B407&gt;CARROT_BED_CAP,J$4&gt;MESCLUN_BED_CAP,$A407+$B407+J$4&gt;TOTAL_BEDS_AVAILABLE,($D407+J$5)&gt;TOTAL_LABOR_HOURS_CAP,MAX(0,($D407+J$5)-PERMANENT_FIELD_LABOR_HOURS)&gt;TEMP_HOURS_CAP),"",$C407+J$6-MIN(($D407+J$5),PERMANENT_FIELD_LABOR_HOURS)*PERMANENT_HOURLY_RATE-MAX(0,($D407+J$5)-PERMANENT_FIELD_LABOR_HOURS)*TEMP_HOURLY_RATE-FIXED_SEASON_COST)</f>
        <v/>
      </c>
      <c r="K407" s="53" t="str">
        <f aca="false">IF(OR($A407&gt;TOMATO_BED_CAP,$B407&gt;CARROT_BED_CAP,K$4&gt;MESCLUN_BED_CAP,$A407+$B407+K$4&gt;TOTAL_BEDS_AVAILABLE,($D407+K$5)&gt;TOTAL_LABOR_HOURS_CAP,MAX(0,($D407+K$5)-PERMANENT_FIELD_LABOR_HOURS)&gt;TEMP_HOURS_CAP),"",$C407+K$6-MIN(($D407+K$5),PERMANENT_FIELD_LABOR_HOURS)*PERMANENT_HOURLY_RATE-MAX(0,($D407+K$5)-PERMANENT_FIELD_LABOR_HOURS)*TEMP_HOURLY_RATE-FIXED_SEASON_COST)</f>
        <v/>
      </c>
      <c r="L407" s="53" t="str">
        <f aca="false">IF(OR($A407&gt;TOMATO_BED_CAP,$B407&gt;CARROT_BED_CAP,L$4&gt;MESCLUN_BED_CAP,$A407+$B407+L$4&gt;TOTAL_BEDS_AVAILABLE,($D407+L$5)&gt;TOTAL_LABOR_HOURS_CAP,MAX(0,($D407+L$5)-PERMANENT_FIELD_LABOR_HOURS)&gt;TEMP_HOURS_CAP),"",$C407+L$6-MIN(($D407+L$5),PERMANENT_FIELD_LABOR_HOURS)*PERMANENT_HOURLY_RATE-MAX(0,($D407+L$5)-PERMANENT_FIELD_LABOR_HOURS)*TEMP_HOURLY_RATE-FIXED_SEASON_COST)</f>
        <v/>
      </c>
      <c r="M407" s="53" t="str">
        <f aca="false">IF(OR($A407&gt;TOMATO_BED_CAP,$B407&gt;CARROT_BED_CAP,M$4&gt;MESCLUN_BED_CAP,$A407+$B407+M$4&gt;TOTAL_BEDS_AVAILABLE,($D407+M$5)&gt;TOTAL_LABOR_HOURS_CAP,MAX(0,($D407+M$5)-PERMANENT_FIELD_LABOR_HOURS)&gt;TEMP_HOURS_CAP),"",$C407+M$6-MIN(($D407+M$5),PERMANENT_FIELD_LABOR_HOURS)*PERMANENT_HOURLY_RATE-MAX(0,($D407+M$5)-PERMANENT_FIELD_LABOR_HOURS)*TEMP_HOURLY_RATE-FIXED_SEASON_COST)</f>
        <v/>
      </c>
      <c r="N407" s="53" t="str">
        <f aca="false">IF(OR($A407&gt;TOMATO_BED_CAP,$B407&gt;CARROT_BED_CAP,N$4&gt;MESCLUN_BED_CAP,$A407+$B407+N$4&gt;TOTAL_BEDS_AVAILABLE,($D407+N$5)&gt;TOTAL_LABOR_HOURS_CAP,MAX(0,($D407+N$5)-PERMANENT_FIELD_LABOR_HOURS)&gt;TEMP_HOURS_CAP),"",$C407+N$6-MIN(($D407+N$5),PERMANENT_FIELD_LABOR_HOURS)*PERMANENT_HOURLY_RATE-MAX(0,($D407+N$5)-PERMANENT_FIELD_LABOR_HOURS)*TEMP_HOURLY_RATE-FIXED_SEASON_COST)</f>
        <v/>
      </c>
      <c r="O407" s="53" t="str">
        <f aca="false">IF(OR($A407&gt;TOMATO_BED_CAP,$B407&gt;CARROT_BED_CAP,O$4&gt;MESCLUN_BED_CAP,$A407+$B407+O$4&gt;TOTAL_BEDS_AVAILABLE,($D407+O$5)&gt;TOTAL_LABOR_HOURS_CAP,MAX(0,($D407+O$5)-PERMANENT_FIELD_LABOR_HOURS)&gt;TEMP_HOURS_CAP),"",$C407+O$6-MIN(($D407+O$5),PERMANENT_FIELD_LABOR_HOURS)*PERMANENT_HOURLY_RATE-MAX(0,($D407+O$5)-PERMANENT_FIELD_LABOR_HOURS)*TEMP_HOURLY_RATE-FIXED_SEASON_COST)</f>
        <v/>
      </c>
      <c r="P407" s="53" t="str">
        <f aca="false">IF(OR($A407&gt;TOMATO_BED_CAP,$B407&gt;CARROT_BED_CAP,P$4&gt;MESCLUN_BED_CAP,$A407+$B407+P$4&gt;TOTAL_BEDS_AVAILABLE,($D407+P$5)&gt;TOTAL_LABOR_HOURS_CAP,MAX(0,($D407+P$5)-PERMANENT_FIELD_LABOR_HOURS)&gt;TEMP_HOURS_CAP),"",$C407+P$6-MIN(($D407+P$5),PERMANENT_FIELD_LABOR_HOURS)*PERMANENT_HOURLY_RATE-MAX(0,($D407+P$5)-PERMANENT_FIELD_LABOR_HOURS)*TEMP_HOURLY_RATE-FIXED_SEASON_COST)</f>
        <v/>
      </c>
      <c r="Q407" s="53" t="str">
        <f aca="false">IF(OR($A407&gt;TOMATO_BED_CAP,$B407&gt;CARROT_BED_CAP,Q$4&gt;MESCLUN_BED_CAP,$A407+$B407+Q$4&gt;TOTAL_BEDS_AVAILABLE,($D407+Q$5)&gt;TOTAL_LABOR_HOURS_CAP,MAX(0,($D407+Q$5)-PERMANENT_FIELD_LABOR_HOURS)&gt;TEMP_HOURS_CAP),"",$C407+Q$6-MIN(($D407+Q$5),PERMANENT_FIELD_LABOR_HOURS)*PERMANENT_HOURLY_RATE-MAX(0,($D407+Q$5)-PERMANENT_FIELD_LABOR_HOURS)*TEMP_HOURLY_RATE-FIXED_SEASON_COST)</f>
        <v/>
      </c>
      <c r="R407" s="53" t="str">
        <f aca="false">IF(OR($A407&gt;TOMATO_BED_CAP,$B407&gt;CARROT_BED_CAP,R$4&gt;MESCLUN_BED_CAP,$A407+$B407+R$4&gt;TOTAL_BEDS_AVAILABLE,($D407+R$5)&gt;TOTAL_LABOR_HOURS_CAP,MAX(0,($D407+R$5)-PERMANENT_FIELD_LABOR_HOURS)&gt;TEMP_HOURS_CAP),"",$C407+R$6-MIN(($D407+R$5),PERMANENT_FIELD_LABOR_HOURS)*PERMANENT_HOURLY_RATE-MAX(0,($D407+R$5)-PERMANENT_FIELD_LABOR_HOURS)*TEMP_HOURLY_RATE-FIXED_SEASON_COST)</f>
        <v/>
      </c>
      <c r="S407" s="53" t="str">
        <f aca="false">IF(OR($A407&gt;TOMATO_BED_CAP,$B407&gt;CARROT_BED_CAP,S$4&gt;MESCLUN_BED_CAP,$A407+$B407+S$4&gt;TOTAL_BEDS_AVAILABLE,($D407+S$5)&gt;TOTAL_LABOR_HOURS_CAP,MAX(0,($D407+S$5)-PERMANENT_FIELD_LABOR_HOURS)&gt;TEMP_HOURS_CAP),"",$C407+S$6-MIN(($D407+S$5),PERMANENT_FIELD_LABOR_HOURS)*PERMANENT_HOURLY_RATE-MAX(0,($D407+S$5)-PERMANENT_FIELD_LABOR_HOURS)*TEMP_HOURLY_RATE-FIXED_SEASON_COST)</f>
        <v/>
      </c>
      <c r="T407" s="53" t="str">
        <f aca="false">IF(OR($A407&gt;TOMATO_BED_CAP,$B407&gt;CARROT_BED_CAP,T$4&gt;MESCLUN_BED_CAP,$A407+$B407+T$4&gt;TOTAL_BEDS_AVAILABLE,($D407+T$5)&gt;TOTAL_LABOR_HOURS_CAP,MAX(0,($D407+T$5)-PERMANENT_FIELD_LABOR_HOURS)&gt;TEMP_HOURS_CAP),"",$C407+T$6-MIN(($D407+T$5),PERMANENT_FIELD_LABOR_HOURS)*PERMANENT_HOURLY_RATE-MAX(0,($D407+T$5)-PERMANENT_FIELD_LABOR_HOURS)*TEMP_HOURLY_RATE-FIXED_SEASON_COST)</f>
        <v/>
      </c>
      <c r="U407" s="53" t="str">
        <f aca="false">IF(OR($A407&gt;TOMATO_BED_CAP,$B407&gt;CARROT_BED_CAP,U$4&gt;MESCLUN_BED_CAP,$A407+$B407+U$4&gt;TOTAL_BEDS_AVAILABLE,($D407+U$5)&gt;TOTAL_LABOR_HOURS_CAP,MAX(0,($D407+U$5)-PERMANENT_FIELD_LABOR_HOURS)&gt;TEMP_HOURS_CAP),"",$C407+U$6-MIN(($D407+U$5),PERMANENT_FIELD_LABOR_HOURS)*PERMANENT_HOURLY_RATE-MAX(0,($D407+U$5)-PERMANENT_FIELD_LABOR_HOURS)*TEMP_HOURLY_RATE-FIXED_SEASON_COST)</f>
        <v/>
      </c>
      <c r="V407" s="53" t="str">
        <f aca="false">IF(OR($A407&gt;TOMATO_BED_CAP,$B407&gt;CARROT_BED_CAP,V$4&gt;MESCLUN_BED_CAP,$A407+$B407+V$4&gt;TOTAL_BEDS_AVAILABLE,($D407+V$5)&gt;TOTAL_LABOR_HOURS_CAP,MAX(0,($D407+V$5)-PERMANENT_FIELD_LABOR_HOURS)&gt;TEMP_HOURS_CAP),"",$C407+V$6-MIN(($D407+V$5),PERMANENT_FIELD_LABOR_HOURS)*PERMANENT_HOURLY_RATE-MAX(0,($D407+V$5)-PERMANENT_FIELD_LABOR_HOURS)*TEMP_HOURLY_RATE-FIXED_SEASON_COST)</f>
        <v/>
      </c>
      <c r="W407" s="53" t="str">
        <f aca="false">IF(OR($A407&gt;TOMATO_BED_CAP,$B407&gt;CARROT_BED_CAP,W$4&gt;MESCLUN_BED_CAP,$A407+$B407+W$4&gt;TOTAL_BEDS_AVAILABLE,($D407+W$5)&gt;TOTAL_LABOR_HOURS_CAP,MAX(0,($D407+W$5)-PERMANENT_FIELD_LABOR_HOURS)&gt;TEMP_HOURS_CAP),"",$C407+W$6-MIN(($D407+W$5),PERMANENT_FIELD_LABOR_HOURS)*PERMANENT_HOURLY_RATE-MAX(0,($D407+W$5)-PERMANENT_FIELD_LABOR_HOURS)*TEMP_HOURLY_RATE-FIXED_SEASON_COST)</f>
        <v/>
      </c>
      <c r="X407" s="53" t="str">
        <f aca="false">IF(OR($A407&gt;TOMATO_BED_CAP,$B407&gt;CARROT_BED_CAP,X$4&gt;MESCLUN_BED_CAP,$A407+$B407+X$4&gt;TOTAL_BEDS_AVAILABLE,($D407+X$5)&gt;TOTAL_LABOR_HOURS_CAP,MAX(0,($D407+X$5)-PERMANENT_FIELD_LABOR_HOURS)&gt;TEMP_HOURS_CAP),"",$C407+X$6-MIN(($D407+X$5),PERMANENT_FIELD_LABOR_HOURS)*PERMANENT_HOURLY_RATE-MAX(0,($D407+X$5)-PERMANENT_FIELD_LABOR_HOURS)*TEMP_HOURLY_RATE-FIXED_SEASON_COST)</f>
        <v/>
      </c>
      <c r="Y407" s="53" t="str">
        <f aca="false">IF(OR($A407&gt;TOMATO_BED_CAP,$B407&gt;CARROT_BED_CAP,Y$4&gt;MESCLUN_BED_CAP,$A407+$B407+Y$4&gt;TOTAL_BEDS_AVAILABLE,($D407+Y$5)&gt;TOTAL_LABOR_HOURS_CAP,MAX(0,($D407+Y$5)-PERMANENT_FIELD_LABOR_HOURS)&gt;TEMP_HOURS_CAP),"",$C407+Y$6-MIN(($D407+Y$5),PERMANENT_FIELD_LABOR_HOURS)*PERMANENT_HOURLY_RATE-MAX(0,($D407+Y$5)-PERMANENT_FIELD_LABOR_HOURS)*TEMP_HOURLY_RATE-FIXED_SEASON_COST)</f>
        <v/>
      </c>
      <c r="Z407" s="53" t="str">
        <f aca="false">IF(OR($A407&gt;TOMATO_BED_CAP,$B407&gt;CARROT_BED_CAP,Z$4&gt;MESCLUN_BED_CAP,$A407+$B407+Z$4&gt;TOTAL_BEDS_AVAILABLE,($D407+Z$5)&gt;TOTAL_LABOR_HOURS_CAP,MAX(0,($D407+Z$5)-PERMANENT_FIELD_LABOR_HOURS)&gt;TEMP_HOURS_CAP),"",$C407+Z$6-MIN(($D407+Z$5),PERMANENT_FIELD_LABOR_HOURS)*PERMANENT_HOURLY_RATE-MAX(0,($D407+Z$5)-PERMANENT_FIELD_LABOR_HOURS)*TEMP_HOURLY_RATE-FIXED_SEASON_COST)</f>
        <v/>
      </c>
      <c r="AA407" s="53" t="str">
        <f aca="false">IF(OR($A407&gt;TOMATO_BED_CAP,$B407&gt;CARROT_BED_CAP,AA$4&gt;MESCLUN_BED_CAP,$A407+$B407+AA$4&gt;TOTAL_BEDS_AVAILABLE,($D407+AA$5)&gt;TOTAL_LABOR_HOURS_CAP,MAX(0,($D407+AA$5)-PERMANENT_FIELD_LABOR_HOURS)&gt;TEMP_HOURS_CAP),"",$C407+AA$6-MIN(($D407+AA$5),PERMANENT_FIELD_LABOR_HOURS)*PERMANENT_HOURLY_RATE-MAX(0,($D407+AA$5)-PERMANENT_FIELD_LABOR_HOURS)*TEMP_HOURLY_RATE-FIXED_SEASON_COST)</f>
        <v/>
      </c>
      <c r="AB407" s="53" t="str">
        <f aca="false">IF(OR($A407&gt;TOMATO_BED_CAP,$B407&gt;CARROT_BED_CAP,AB$4&gt;MESCLUN_BED_CAP,$A407+$B407+AB$4&gt;TOTAL_BEDS_AVAILABLE,($D407+AB$5)&gt;TOTAL_LABOR_HOURS_CAP,MAX(0,($D407+AB$5)-PERMANENT_FIELD_LABOR_HOURS)&gt;TEMP_HOURS_CAP),"",$C407+AB$6-MIN(($D407+AB$5),PERMANENT_FIELD_LABOR_HOURS)*PERMANENT_HOURLY_RATE-MAX(0,($D407+AB$5)-PERMANENT_FIELD_LABOR_HOURS)*TEMP_HOURLY_RATE-FIXED_SEASON_COST)</f>
        <v/>
      </c>
      <c r="AC407" s="53" t="str">
        <f aca="false">IF(OR($A407&gt;TOMATO_BED_CAP,$B407&gt;CARROT_BED_CAP,AC$4&gt;MESCLUN_BED_CAP,$A407+$B407+AC$4&gt;TOTAL_BEDS_AVAILABLE,($D407+AC$5)&gt;TOTAL_LABOR_HOURS_CAP,MAX(0,($D407+AC$5)-PERMANENT_FIELD_LABOR_HOURS)&gt;TEMP_HOURS_CAP),"",$C407+AC$6-MIN(($D407+AC$5),PERMANENT_FIELD_LABOR_HOURS)*PERMANENT_HOURLY_RATE-MAX(0,($D407+AC$5)-PERMANENT_FIELD_LABOR_HOURS)*TEMP_HOURLY_RATE-FIXED_SEASON_COST)</f>
        <v/>
      </c>
      <c r="AD407" s="53" t="str">
        <f aca="false">IF(OR($A407&gt;TOMATO_BED_CAP,$B407&gt;CARROT_BED_CAP,AD$4&gt;MESCLUN_BED_CAP,$A407+$B407+AD$4&gt;TOTAL_BEDS_AVAILABLE,($D407+AD$5)&gt;TOTAL_LABOR_HOURS_CAP,MAX(0,($D407+AD$5)-PERMANENT_FIELD_LABOR_HOURS)&gt;TEMP_HOURS_CAP),"",$C407+AD$6-MIN(($D407+AD$5),PERMANENT_FIELD_LABOR_HOURS)*PERMANENT_HOURLY_RATE-MAX(0,($D407+AD$5)-PERMANENT_FIELD_LABOR_HOURS)*TEMP_HOURLY_RATE-FIXED_SEASON_COST)</f>
        <v/>
      </c>
      <c r="AE407" s="53" t="str">
        <f aca="false">IF(OR($A407&gt;TOMATO_BED_CAP,$B407&gt;CARROT_BED_CAP,AE$4&gt;MESCLUN_BED_CAP,$A407+$B407+AE$4&gt;TOTAL_BEDS_AVAILABLE,($D407+AE$5)&gt;TOTAL_LABOR_HOURS_CAP,MAX(0,($D407+AE$5)-PERMANENT_FIELD_LABOR_HOURS)&gt;TEMP_HOURS_CAP),"",$C407+AE$6-MIN(($D407+AE$5),PERMANENT_FIELD_LABOR_HOURS)*PERMANENT_HOURLY_RATE-MAX(0,($D407+AE$5)-PERMANENT_FIELD_LABOR_HOURS)*TEMP_HOURLY_RATE-FIXED_SEASON_COST)</f>
        <v/>
      </c>
      <c r="AF407" s="53" t="str">
        <f aca="false">IF(OR($A407&gt;TOMATO_BED_CAP,$B407&gt;CARROT_BED_CAP,AF$4&gt;MESCLUN_BED_CAP,$A407+$B407+AF$4&gt;TOTAL_BEDS_AVAILABLE,($D407+AF$5)&gt;TOTAL_LABOR_HOURS_CAP,MAX(0,($D407+AF$5)-PERMANENT_FIELD_LABOR_HOURS)&gt;TEMP_HOURS_CAP),"",$C407+AF$6-MIN(($D407+AF$5),PERMANENT_FIELD_LABOR_HOURS)*PERMANENT_HOURLY_RATE-MAX(0,($D407+AF$5)-PERMANENT_FIELD_LABOR_HOURS)*TEMP_HOURLY_RATE-FIXED_SEASON_COST)</f>
        <v/>
      </c>
      <c r="AG407" s="53" t="str">
        <f aca="false">IF(OR($A407&gt;TOMATO_BED_CAP,$B407&gt;CARROT_BED_CAP,AG$4&gt;MESCLUN_BED_CAP,$A407+$B407+AG$4&gt;TOTAL_BEDS_AVAILABLE,($D407+AG$5)&gt;TOTAL_LABOR_HOURS_CAP,MAX(0,($D407+AG$5)-PERMANENT_FIELD_LABOR_HOURS)&gt;TEMP_HOURS_CAP),"",$C407+AG$6-MIN(($D407+AG$5),PERMANENT_FIELD_LABOR_HOURS)*PERMANENT_HOURLY_RATE-MAX(0,($D407+AG$5)-PERMANENT_FIELD_LABOR_HOURS)*TEMP_HOURLY_RATE-FIXED_SEASON_COST)</f>
        <v/>
      </c>
      <c r="AH407" s="53" t="str">
        <f aca="false">IF(OR($A407&gt;TOMATO_BED_CAP,$B407&gt;CARROT_BED_CAP,AH$4&gt;MESCLUN_BED_CAP,$A407+$B407+AH$4&gt;TOTAL_BEDS_AVAILABLE,($D407+AH$5)&gt;TOTAL_LABOR_HOURS_CAP,MAX(0,($D407+AH$5)-PERMANENT_FIELD_LABOR_HOURS)&gt;TEMP_HOURS_CAP),"",$C407+AH$6-MIN(($D407+AH$5),PERMANENT_FIELD_LABOR_HOURS)*PERMANENT_HOURLY_RATE-MAX(0,($D407+AH$5)-PERMANENT_FIELD_LABOR_HOURS)*TEMP_HOURLY_RATE-FIXED_SEASON_COST)</f>
        <v/>
      </c>
      <c r="AI407" s="53" t="str">
        <f aca="false">IF(OR($A407&gt;TOMATO_BED_CAP,$B407&gt;CARROT_BED_CAP,AI$4&gt;MESCLUN_BED_CAP,$A407+$B407+AI$4&gt;TOTAL_BEDS_AVAILABLE,($D407+AI$5)&gt;TOTAL_LABOR_HOURS_CAP,MAX(0,($D407+AI$5)-PERMANENT_FIELD_LABOR_HOURS)&gt;TEMP_HOURS_CAP),"",$C407+AI$6-MIN(($D407+AI$5),PERMANENT_FIELD_LABOR_HOURS)*PERMANENT_HOURLY_RATE-MAX(0,($D407+AI$5)-PERMANENT_FIELD_LABOR_HOURS)*TEMP_HOURLY_RATE-FIXED_SEASON_COST)</f>
        <v/>
      </c>
      <c r="AJ407" s="53" t="str">
        <f aca="false">IF(OR($A407&gt;TOMATO_BED_CAP,$B407&gt;CARROT_BED_CAP,AJ$4&gt;MESCLUN_BED_CAP,$A407+$B407+AJ$4&gt;TOTAL_BEDS_AVAILABLE,($D407+AJ$5)&gt;TOTAL_LABOR_HOURS_CAP,MAX(0,($D407+AJ$5)-PERMANENT_FIELD_LABOR_HOURS)&gt;TEMP_HOURS_CAP),"",$C407+AJ$6-MIN(($D407+AJ$5),PERMANENT_FIELD_LABOR_HOURS)*PERMANENT_HOURLY_RATE-MAX(0,($D407+AJ$5)-PERMANENT_FIELD_LABOR_HOURS)*TEMP_HOURLY_RATE-FIXED_SEASON_COST)</f>
        <v/>
      </c>
    </row>
    <row r="408" customFormat="false" ht="15" hidden="false" customHeight="false" outlineLevel="0" collapsed="false">
      <c r="A408" s="21" t="n">
        <f aca="false">INT((ROW()-ROW($A$8))/(20+1))</f>
        <v>19</v>
      </c>
      <c r="B408" s="21" t="n">
        <f aca="false">MOD(ROW()-ROW($A$8),20+1)</f>
        <v>1</v>
      </c>
      <c r="C408" s="13" t="n">
        <f aca="false">A408*(TOMATO_REVENUE_PER_BED-TOMATO_FERTILIZER_PER_BED)+B408*(CARROT_REVENUE_PER_BED-CARROT_FERTILIZER_PER_BED)</f>
        <v>152134</v>
      </c>
      <c r="D408" s="14" t="n">
        <f aca="false">INDEX(TOMATO_SCHED_LABOR_HRS,A408+1)+INDEX(CARROT_SCHED_LABOR_HRS,B408+1)</f>
        <v>10488.9421666789</v>
      </c>
      <c r="E408" s="13" t="str">
        <f aca="false">IF(COUNT(F408:AJ408)=0,"",MAX(F408:AJ408))</f>
        <v/>
      </c>
      <c r="F408" s="53" t="str">
        <f aca="false">IF(OR($A408&gt;TOMATO_BED_CAP,$B408&gt;CARROT_BED_CAP,F$4&gt;MESCLUN_BED_CAP,$A408+$B408+F$4&gt;TOTAL_BEDS_AVAILABLE,($D408+F$5)&gt;TOTAL_LABOR_HOURS_CAP,MAX(0,($D408+F$5)-PERMANENT_FIELD_LABOR_HOURS)&gt;TEMP_HOURS_CAP),"",$C408+F$6-MIN(($D408+F$5),PERMANENT_FIELD_LABOR_HOURS)*PERMANENT_HOURLY_RATE-MAX(0,($D408+F$5)-PERMANENT_FIELD_LABOR_HOURS)*TEMP_HOURLY_RATE-FIXED_SEASON_COST)</f>
        <v/>
      </c>
      <c r="G408" s="53" t="str">
        <f aca="false">IF(OR($A408&gt;TOMATO_BED_CAP,$B408&gt;CARROT_BED_CAP,G$4&gt;MESCLUN_BED_CAP,$A408+$B408+G$4&gt;TOTAL_BEDS_AVAILABLE,($D408+G$5)&gt;TOTAL_LABOR_HOURS_CAP,MAX(0,($D408+G$5)-PERMANENT_FIELD_LABOR_HOURS)&gt;TEMP_HOURS_CAP),"",$C408+G$6-MIN(($D408+G$5),PERMANENT_FIELD_LABOR_HOURS)*PERMANENT_HOURLY_RATE-MAX(0,($D408+G$5)-PERMANENT_FIELD_LABOR_HOURS)*TEMP_HOURLY_RATE-FIXED_SEASON_COST)</f>
        <v/>
      </c>
      <c r="H408" s="53" t="str">
        <f aca="false">IF(OR($A408&gt;TOMATO_BED_CAP,$B408&gt;CARROT_BED_CAP,H$4&gt;MESCLUN_BED_CAP,$A408+$B408+H$4&gt;TOTAL_BEDS_AVAILABLE,($D408+H$5)&gt;TOTAL_LABOR_HOURS_CAP,MAX(0,($D408+H$5)-PERMANENT_FIELD_LABOR_HOURS)&gt;TEMP_HOURS_CAP),"",$C408+H$6-MIN(($D408+H$5),PERMANENT_FIELD_LABOR_HOURS)*PERMANENT_HOURLY_RATE-MAX(0,($D408+H$5)-PERMANENT_FIELD_LABOR_HOURS)*TEMP_HOURLY_RATE-FIXED_SEASON_COST)</f>
        <v/>
      </c>
      <c r="I408" s="53" t="str">
        <f aca="false">IF(OR($A408&gt;TOMATO_BED_CAP,$B408&gt;CARROT_BED_CAP,I$4&gt;MESCLUN_BED_CAP,$A408+$B408+I$4&gt;TOTAL_BEDS_AVAILABLE,($D408+I$5)&gt;TOTAL_LABOR_HOURS_CAP,MAX(0,($D408+I$5)-PERMANENT_FIELD_LABOR_HOURS)&gt;TEMP_HOURS_CAP),"",$C408+I$6-MIN(($D408+I$5),PERMANENT_FIELD_LABOR_HOURS)*PERMANENT_HOURLY_RATE-MAX(0,($D408+I$5)-PERMANENT_FIELD_LABOR_HOURS)*TEMP_HOURLY_RATE-FIXED_SEASON_COST)</f>
        <v/>
      </c>
      <c r="J408" s="53" t="str">
        <f aca="false">IF(OR($A408&gt;TOMATO_BED_CAP,$B408&gt;CARROT_BED_CAP,J$4&gt;MESCLUN_BED_CAP,$A408+$B408+J$4&gt;TOTAL_BEDS_AVAILABLE,($D408+J$5)&gt;TOTAL_LABOR_HOURS_CAP,MAX(0,($D408+J$5)-PERMANENT_FIELD_LABOR_HOURS)&gt;TEMP_HOURS_CAP),"",$C408+J$6-MIN(($D408+J$5),PERMANENT_FIELD_LABOR_HOURS)*PERMANENT_HOURLY_RATE-MAX(0,($D408+J$5)-PERMANENT_FIELD_LABOR_HOURS)*TEMP_HOURLY_RATE-FIXED_SEASON_COST)</f>
        <v/>
      </c>
      <c r="K408" s="53" t="str">
        <f aca="false">IF(OR($A408&gt;TOMATO_BED_CAP,$B408&gt;CARROT_BED_CAP,K$4&gt;MESCLUN_BED_CAP,$A408+$B408+K$4&gt;TOTAL_BEDS_AVAILABLE,($D408+K$5)&gt;TOTAL_LABOR_HOURS_CAP,MAX(0,($D408+K$5)-PERMANENT_FIELD_LABOR_HOURS)&gt;TEMP_HOURS_CAP),"",$C408+K$6-MIN(($D408+K$5),PERMANENT_FIELD_LABOR_HOURS)*PERMANENT_HOURLY_RATE-MAX(0,($D408+K$5)-PERMANENT_FIELD_LABOR_HOURS)*TEMP_HOURLY_RATE-FIXED_SEASON_COST)</f>
        <v/>
      </c>
      <c r="L408" s="53" t="str">
        <f aca="false">IF(OR($A408&gt;TOMATO_BED_CAP,$B408&gt;CARROT_BED_CAP,L$4&gt;MESCLUN_BED_CAP,$A408+$B408+L$4&gt;TOTAL_BEDS_AVAILABLE,($D408+L$5)&gt;TOTAL_LABOR_HOURS_CAP,MAX(0,($D408+L$5)-PERMANENT_FIELD_LABOR_HOURS)&gt;TEMP_HOURS_CAP),"",$C408+L$6-MIN(($D408+L$5),PERMANENT_FIELD_LABOR_HOURS)*PERMANENT_HOURLY_RATE-MAX(0,($D408+L$5)-PERMANENT_FIELD_LABOR_HOURS)*TEMP_HOURLY_RATE-FIXED_SEASON_COST)</f>
        <v/>
      </c>
      <c r="M408" s="53" t="str">
        <f aca="false">IF(OR($A408&gt;TOMATO_BED_CAP,$B408&gt;CARROT_BED_CAP,M$4&gt;MESCLUN_BED_CAP,$A408+$B408+M$4&gt;TOTAL_BEDS_AVAILABLE,($D408+M$5)&gt;TOTAL_LABOR_HOURS_CAP,MAX(0,($D408+M$5)-PERMANENT_FIELD_LABOR_HOURS)&gt;TEMP_HOURS_CAP),"",$C408+M$6-MIN(($D408+M$5),PERMANENT_FIELD_LABOR_HOURS)*PERMANENT_HOURLY_RATE-MAX(0,($D408+M$5)-PERMANENT_FIELD_LABOR_HOURS)*TEMP_HOURLY_RATE-FIXED_SEASON_COST)</f>
        <v/>
      </c>
      <c r="N408" s="53" t="str">
        <f aca="false">IF(OR($A408&gt;TOMATO_BED_CAP,$B408&gt;CARROT_BED_CAP,N$4&gt;MESCLUN_BED_CAP,$A408+$B408+N$4&gt;TOTAL_BEDS_AVAILABLE,($D408+N$5)&gt;TOTAL_LABOR_HOURS_CAP,MAX(0,($D408+N$5)-PERMANENT_FIELD_LABOR_HOURS)&gt;TEMP_HOURS_CAP),"",$C408+N$6-MIN(($D408+N$5),PERMANENT_FIELD_LABOR_HOURS)*PERMANENT_HOURLY_RATE-MAX(0,($D408+N$5)-PERMANENT_FIELD_LABOR_HOURS)*TEMP_HOURLY_RATE-FIXED_SEASON_COST)</f>
        <v/>
      </c>
      <c r="O408" s="53" t="str">
        <f aca="false">IF(OR($A408&gt;TOMATO_BED_CAP,$B408&gt;CARROT_BED_CAP,O$4&gt;MESCLUN_BED_CAP,$A408+$B408+O$4&gt;TOTAL_BEDS_AVAILABLE,($D408+O$5)&gt;TOTAL_LABOR_HOURS_CAP,MAX(0,($D408+O$5)-PERMANENT_FIELD_LABOR_HOURS)&gt;TEMP_HOURS_CAP),"",$C408+O$6-MIN(($D408+O$5),PERMANENT_FIELD_LABOR_HOURS)*PERMANENT_HOURLY_RATE-MAX(0,($D408+O$5)-PERMANENT_FIELD_LABOR_HOURS)*TEMP_HOURLY_RATE-FIXED_SEASON_COST)</f>
        <v/>
      </c>
      <c r="P408" s="53" t="str">
        <f aca="false">IF(OR($A408&gt;TOMATO_BED_CAP,$B408&gt;CARROT_BED_CAP,P$4&gt;MESCLUN_BED_CAP,$A408+$B408+P$4&gt;TOTAL_BEDS_AVAILABLE,($D408+P$5)&gt;TOTAL_LABOR_HOURS_CAP,MAX(0,($D408+P$5)-PERMANENT_FIELD_LABOR_HOURS)&gt;TEMP_HOURS_CAP),"",$C408+P$6-MIN(($D408+P$5),PERMANENT_FIELD_LABOR_HOURS)*PERMANENT_HOURLY_RATE-MAX(0,($D408+P$5)-PERMANENT_FIELD_LABOR_HOURS)*TEMP_HOURLY_RATE-FIXED_SEASON_COST)</f>
        <v/>
      </c>
      <c r="Q408" s="53" t="str">
        <f aca="false">IF(OR($A408&gt;TOMATO_BED_CAP,$B408&gt;CARROT_BED_CAP,Q$4&gt;MESCLUN_BED_CAP,$A408+$B408+Q$4&gt;TOTAL_BEDS_AVAILABLE,($D408+Q$5)&gt;TOTAL_LABOR_HOURS_CAP,MAX(0,($D408+Q$5)-PERMANENT_FIELD_LABOR_HOURS)&gt;TEMP_HOURS_CAP),"",$C408+Q$6-MIN(($D408+Q$5),PERMANENT_FIELD_LABOR_HOURS)*PERMANENT_HOURLY_RATE-MAX(0,($D408+Q$5)-PERMANENT_FIELD_LABOR_HOURS)*TEMP_HOURLY_RATE-FIXED_SEASON_COST)</f>
        <v/>
      </c>
      <c r="R408" s="53" t="str">
        <f aca="false">IF(OR($A408&gt;TOMATO_BED_CAP,$B408&gt;CARROT_BED_CAP,R$4&gt;MESCLUN_BED_CAP,$A408+$B408+R$4&gt;TOTAL_BEDS_AVAILABLE,($D408+R$5)&gt;TOTAL_LABOR_HOURS_CAP,MAX(0,($D408+R$5)-PERMANENT_FIELD_LABOR_HOURS)&gt;TEMP_HOURS_CAP),"",$C408+R$6-MIN(($D408+R$5),PERMANENT_FIELD_LABOR_HOURS)*PERMANENT_HOURLY_RATE-MAX(0,($D408+R$5)-PERMANENT_FIELD_LABOR_HOURS)*TEMP_HOURLY_RATE-FIXED_SEASON_COST)</f>
        <v/>
      </c>
      <c r="S408" s="53" t="str">
        <f aca="false">IF(OR($A408&gt;TOMATO_BED_CAP,$B408&gt;CARROT_BED_CAP,S$4&gt;MESCLUN_BED_CAP,$A408+$B408+S$4&gt;TOTAL_BEDS_AVAILABLE,($D408+S$5)&gt;TOTAL_LABOR_HOURS_CAP,MAX(0,($D408+S$5)-PERMANENT_FIELD_LABOR_HOURS)&gt;TEMP_HOURS_CAP),"",$C408+S$6-MIN(($D408+S$5),PERMANENT_FIELD_LABOR_HOURS)*PERMANENT_HOURLY_RATE-MAX(0,($D408+S$5)-PERMANENT_FIELD_LABOR_HOURS)*TEMP_HOURLY_RATE-FIXED_SEASON_COST)</f>
        <v/>
      </c>
      <c r="T408" s="53" t="str">
        <f aca="false">IF(OR($A408&gt;TOMATO_BED_CAP,$B408&gt;CARROT_BED_CAP,T$4&gt;MESCLUN_BED_CAP,$A408+$B408+T$4&gt;TOTAL_BEDS_AVAILABLE,($D408+T$5)&gt;TOTAL_LABOR_HOURS_CAP,MAX(0,($D408+T$5)-PERMANENT_FIELD_LABOR_HOURS)&gt;TEMP_HOURS_CAP),"",$C408+T$6-MIN(($D408+T$5),PERMANENT_FIELD_LABOR_HOURS)*PERMANENT_HOURLY_RATE-MAX(0,($D408+T$5)-PERMANENT_FIELD_LABOR_HOURS)*TEMP_HOURLY_RATE-FIXED_SEASON_COST)</f>
        <v/>
      </c>
      <c r="U408" s="53" t="str">
        <f aca="false">IF(OR($A408&gt;TOMATO_BED_CAP,$B408&gt;CARROT_BED_CAP,U$4&gt;MESCLUN_BED_CAP,$A408+$B408+U$4&gt;TOTAL_BEDS_AVAILABLE,($D408+U$5)&gt;TOTAL_LABOR_HOURS_CAP,MAX(0,($D408+U$5)-PERMANENT_FIELD_LABOR_HOURS)&gt;TEMP_HOURS_CAP),"",$C408+U$6-MIN(($D408+U$5),PERMANENT_FIELD_LABOR_HOURS)*PERMANENT_HOURLY_RATE-MAX(0,($D408+U$5)-PERMANENT_FIELD_LABOR_HOURS)*TEMP_HOURLY_RATE-FIXED_SEASON_COST)</f>
        <v/>
      </c>
      <c r="V408" s="53" t="str">
        <f aca="false">IF(OR($A408&gt;TOMATO_BED_CAP,$B408&gt;CARROT_BED_CAP,V$4&gt;MESCLUN_BED_CAP,$A408+$B408+V$4&gt;TOTAL_BEDS_AVAILABLE,($D408+V$5)&gt;TOTAL_LABOR_HOURS_CAP,MAX(0,($D408+V$5)-PERMANENT_FIELD_LABOR_HOURS)&gt;TEMP_HOURS_CAP),"",$C408+V$6-MIN(($D408+V$5),PERMANENT_FIELD_LABOR_HOURS)*PERMANENT_HOURLY_RATE-MAX(0,($D408+V$5)-PERMANENT_FIELD_LABOR_HOURS)*TEMP_HOURLY_RATE-FIXED_SEASON_COST)</f>
        <v/>
      </c>
      <c r="W408" s="53" t="str">
        <f aca="false">IF(OR($A408&gt;TOMATO_BED_CAP,$B408&gt;CARROT_BED_CAP,W$4&gt;MESCLUN_BED_CAP,$A408+$B408+W$4&gt;TOTAL_BEDS_AVAILABLE,($D408+W$5)&gt;TOTAL_LABOR_HOURS_CAP,MAX(0,($D408+W$5)-PERMANENT_FIELD_LABOR_HOURS)&gt;TEMP_HOURS_CAP),"",$C408+W$6-MIN(($D408+W$5),PERMANENT_FIELD_LABOR_HOURS)*PERMANENT_HOURLY_RATE-MAX(0,($D408+W$5)-PERMANENT_FIELD_LABOR_HOURS)*TEMP_HOURLY_RATE-FIXED_SEASON_COST)</f>
        <v/>
      </c>
      <c r="X408" s="53" t="str">
        <f aca="false">IF(OR($A408&gt;TOMATO_BED_CAP,$B408&gt;CARROT_BED_CAP,X$4&gt;MESCLUN_BED_CAP,$A408+$B408+X$4&gt;TOTAL_BEDS_AVAILABLE,($D408+X$5)&gt;TOTAL_LABOR_HOURS_CAP,MAX(0,($D408+X$5)-PERMANENT_FIELD_LABOR_HOURS)&gt;TEMP_HOURS_CAP),"",$C408+X$6-MIN(($D408+X$5),PERMANENT_FIELD_LABOR_HOURS)*PERMANENT_HOURLY_RATE-MAX(0,($D408+X$5)-PERMANENT_FIELD_LABOR_HOURS)*TEMP_HOURLY_RATE-FIXED_SEASON_COST)</f>
        <v/>
      </c>
      <c r="Y408" s="53" t="str">
        <f aca="false">IF(OR($A408&gt;TOMATO_BED_CAP,$B408&gt;CARROT_BED_CAP,Y$4&gt;MESCLUN_BED_CAP,$A408+$B408+Y$4&gt;TOTAL_BEDS_AVAILABLE,($D408+Y$5)&gt;TOTAL_LABOR_HOURS_CAP,MAX(0,($D408+Y$5)-PERMANENT_FIELD_LABOR_HOURS)&gt;TEMP_HOURS_CAP),"",$C408+Y$6-MIN(($D408+Y$5),PERMANENT_FIELD_LABOR_HOURS)*PERMANENT_HOURLY_RATE-MAX(0,($D408+Y$5)-PERMANENT_FIELD_LABOR_HOURS)*TEMP_HOURLY_RATE-FIXED_SEASON_COST)</f>
        <v/>
      </c>
      <c r="Z408" s="53" t="str">
        <f aca="false">IF(OR($A408&gt;TOMATO_BED_CAP,$B408&gt;CARROT_BED_CAP,Z$4&gt;MESCLUN_BED_CAP,$A408+$B408+Z$4&gt;TOTAL_BEDS_AVAILABLE,($D408+Z$5)&gt;TOTAL_LABOR_HOURS_CAP,MAX(0,($D408+Z$5)-PERMANENT_FIELD_LABOR_HOURS)&gt;TEMP_HOURS_CAP),"",$C408+Z$6-MIN(($D408+Z$5),PERMANENT_FIELD_LABOR_HOURS)*PERMANENT_HOURLY_RATE-MAX(0,($D408+Z$5)-PERMANENT_FIELD_LABOR_HOURS)*TEMP_HOURLY_RATE-FIXED_SEASON_COST)</f>
        <v/>
      </c>
      <c r="AA408" s="53" t="str">
        <f aca="false">IF(OR($A408&gt;TOMATO_BED_CAP,$B408&gt;CARROT_BED_CAP,AA$4&gt;MESCLUN_BED_CAP,$A408+$B408+AA$4&gt;TOTAL_BEDS_AVAILABLE,($D408+AA$5)&gt;TOTAL_LABOR_HOURS_CAP,MAX(0,($D408+AA$5)-PERMANENT_FIELD_LABOR_HOURS)&gt;TEMP_HOURS_CAP),"",$C408+AA$6-MIN(($D408+AA$5),PERMANENT_FIELD_LABOR_HOURS)*PERMANENT_HOURLY_RATE-MAX(0,($D408+AA$5)-PERMANENT_FIELD_LABOR_HOURS)*TEMP_HOURLY_RATE-FIXED_SEASON_COST)</f>
        <v/>
      </c>
      <c r="AB408" s="53" t="str">
        <f aca="false">IF(OR($A408&gt;TOMATO_BED_CAP,$B408&gt;CARROT_BED_CAP,AB$4&gt;MESCLUN_BED_CAP,$A408+$B408+AB$4&gt;TOTAL_BEDS_AVAILABLE,($D408+AB$5)&gt;TOTAL_LABOR_HOURS_CAP,MAX(0,($D408+AB$5)-PERMANENT_FIELD_LABOR_HOURS)&gt;TEMP_HOURS_CAP),"",$C408+AB$6-MIN(($D408+AB$5),PERMANENT_FIELD_LABOR_HOURS)*PERMANENT_HOURLY_RATE-MAX(0,($D408+AB$5)-PERMANENT_FIELD_LABOR_HOURS)*TEMP_HOURLY_RATE-FIXED_SEASON_COST)</f>
        <v/>
      </c>
      <c r="AC408" s="53" t="str">
        <f aca="false">IF(OR($A408&gt;TOMATO_BED_CAP,$B408&gt;CARROT_BED_CAP,AC$4&gt;MESCLUN_BED_CAP,$A408+$B408+AC$4&gt;TOTAL_BEDS_AVAILABLE,($D408+AC$5)&gt;TOTAL_LABOR_HOURS_CAP,MAX(0,($D408+AC$5)-PERMANENT_FIELD_LABOR_HOURS)&gt;TEMP_HOURS_CAP),"",$C408+AC$6-MIN(($D408+AC$5),PERMANENT_FIELD_LABOR_HOURS)*PERMANENT_HOURLY_RATE-MAX(0,($D408+AC$5)-PERMANENT_FIELD_LABOR_HOURS)*TEMP_HOURLY_RATE-FIXED_SEASON_COST)</f>
        <v/>
      </c>
      <c r="AD408" s="53" t="str">
        <f aca="false">IF(OR($A408&gt;TOMATO_BED_CAP,$B408&gt;CARROT_BED_CAP,AD$4&gt;MESCLUN_BED_CAP,$A408+$B408+AD$4&gt;TOTAL_BEDS_AVAILABLE,($D408+AD$5)&gt;TOTAL_LABOR_HOURS_CAP,MAX(0,($D408+AD$5)-PERMANENT_FIELD_LABOR_HOURS)&gt;TEMP_HOURS_CAP),"",$C408+AD$6-MIN(($D408+AD$5),PERMANENT_FIELD_LABOR_HOURS)*PERMANENT_HOURLY_RATE-MAX(0,($D408+AD$5)-PERMANENT_FIELD_LABOR_HOURS)*TEMP_HOURLY_RATE-FIXED_SEASON_COST)</f>
        <v/>
      </c>
      <c r="AE408" s="53" t="str">
        <f aca="false">IF(OR($A408&gt;TOMATO_BED_CAP,$B408&gt;CARROT_BED_CAP,AE$4&gt;MESCLUN_BED_CAP,$A408+$B408+AE$4&gt;TOTAL_BEDS_AVAILABLE,($D408+AE$5)&gt;TOTAL_LABOR_HOURS_CAP,MAX(0,($D408+AE$5)-PERMANENT_FIELD_LABOR_HOURS)&gt;TEMP_HOURS_CAP),"",$C408+AE$6-MIN(($D408+AE$5),PERMANENT_FIELD_LABOR_HOURS)*PERMANENT_HOURLY_RATE-MAX(0,($D408+AE$5)-PERMANENT_FIELD_LABOR_HOURS)*TEMP_HOURLY_RATE-FIXED_SEASON_COST)</f>
        <v/>
      </c>
      <c r="AF408" s="53" t="str">
        <f aca="false">IF(OR($A408&gt;TOMATO_BED_CAP,$B408&gt;CARROT_BED_CAP,AF$4&gt;MESCLUN_BED_CAP,$A408+$B408+AF$4&gt;TOTAL_BEDS_AVAILABLE,($D408+AF$5)&gt;TOTAL_LABOR_HOURS_CAP,MAX(0,($D408+AF$5)-PERMANENT_FIELD_LABOR_HOURS)&gt;TEMP_HOURS_CAP),"",$C408+AF$6-MIN(($D408+AF$5),PERMANENT_FIELD_LABOR_HOURS)*PERMANENT_HOURLY_RATE-MAX(0,($D408+AF$5)-PERMANENT_FIELD_LABOR_HOURS)*TEMP_HOURLY_RATE-FIXED_SEASON_COST)</f>
        <v/>
      </c>
      <c r="AG408" s="53" t="str">
        <f aca="false">IF(OR($A408&gt;TOMATO_BED_CAP,$B408&gt;CARROT_BED_CAP,AG$4&gt;MESCLUN_BED_CAP,$A408+$B408+AG$4&gt;TOTAL_BEDS_AVAILABLE,($D408+AG$5)&gt;TOTAL_LABOR_HOURS_CAP,MAX(0,($D408+AG$5)-PERMANENT_FIELD_LABOR_HOURS)&gt;TEMP_HOURS_CAP),"",$C408+AG$6-MIN(($D408+AG$5),PERMANENT_FIELD_LABOR_HOURS)*PERMANENT_HOURLY_RATE-MAX(0,($D408+AG$5)-PERMANENT_FIELD_LABOR_HOURS)*TEMP_HOURLY_RATE-FIXED_SEASON_COST)</f>
        <v/>
      </c>
      <c r="AH408" s="53" t="str">
        <f aca="false">IF(OR($A408&gt;TOMATO_BED_CAP,$B408&gt;CARROT_BED_CAP,AH$4&gt;MESCLUN_BED_CAP,$A408+$B408+AH$4&gt;TOTAL_BEDS_AVAILABLE,($D408+AH$5)&gt;TOTAL_LABOR_HOURS_CAP,MAX(0,($D408+AH$5)-PERMANENT_FIELD_LABOR_HOURS)&gt;TEMP_HOURS_CAP),"",$C408+AH$6-MIN(($D408+AH$5),PERMANENT_FIELD_LABOR_HOURS)*PERMANENT_HOURLY_RATE-MAX(0,($D408+AH$5)-PERMANENT_FIELD_LABOR_HOURS)*TEMP_HOURLY_RATE-FIXED_SEASON_COST)</f>
        <v/>
      </c>
      <c r="AI408" s="53" t="str">
        <f aca="false">IF(OR($A408&gt;TOMATO_BED_CAP,$B408&gt;CARROT_BED_CAP,AI$4&gt;MESCLUN_BED_CAP,$A408+$B408+AI$4&gt;TOTAL_BEDS_AVAILABLE,($D408+AI$5)&gt;TOTAL_LABOR_HOURS_CAP,MAX(0,($D408+AI$5)-PERMANENT_FIELD_LABOR_HOURS)&gt;TEMP_HOURS_CAP),"",$C408+AI$6-MIN(($D408+AI$5),PERMANENT_FIELD_LABOR_HOURS)*PERMANENT_HOURLY_RATE-MAX(0,($D408+AI$5)-PERMANENT_FIELD_LABOR_HOURS)*TEMP_HOURLY_RATE-FIXED_SEASON_COST)</f>
        <v/>
      </c>
      <c r="AJ408" s="53" t="str">
        <f aca="false">IF(OR($A408&gt;TOMATO_BED_CAP,$B408&gt;CARROT_BED_CAP,AJ$4&gt;MESCLUN_BED_CAP,$A408+$B408+AJ$4&gt;TOTAL_BEDS_AVAILABLE,($D408+AJ$5)&gt;TOTAL_LABOR_HOURS_CAP,MAX(0,($D408+AJ$5)-PERMANENT_FIELD_LABOR_HOURS)&gt;TEMP_HOURS_CAP),"",$C408+AJ$6-MIN(($D408+AJ$5),PERMANENT_FIELD_LABOR_HOURS)*PERMANENT_HOURLY_RATE-MAX(0,($D408+AJ$5)-PERMANENT_FIELD_LABOR_HOURS)*TEMP_HOURLY_RATE-FIXED_SEASON_COST)</f>
        <v/>
      </c>
    </row>
    <row r="409" customFormat="false" ht="15" hidden="false" customHeight="false" outlineLevel="0" collapsed="false">
      <c r="A409" s="21" t="n">
        <f aca="false">INT((ROW()-ROW($A$8))/(20+1))</f>
        <v>19</v>
      </c>
      <c r="B409" s="21" t="n">
        <f aca="false">MOD(ROW()-ROW($A$8),20+1)</f>
        <v>2</v>
      </c>
      <c r="C409" s="13" t="n">
        <f aca="false">A409*(TOMATO_REVENUE_PER_BED-TOMATO_FERTILIZER_PER_BED)+B409*(CARROT_REVENUE_PER_BED-CARROT_FERTILIZER_PER_BED)</f>
        <v>153788</v>
      </c>
      <c r="D409" s="14" t="n">
        <f aca="false">INDEX(TOMATO_SCHED_LABOR_HRS,A409+1)+INDEX(CARROT_SCHED_LABOR_HRS,B409+1)</f>
        <v>10521.2167516789</v>
      </c>
      <c r="E409" s="13" t="str">
        <f aca="false">IF(COUNT(F409:AJ409)=0,"",MAX(F409:AJ409))</f>
        <v/>
      </c>
      <c r="F409" s="53" t="str">
        <f aca="false">IF(OR($A409&gt;TOMATO_BED_CAP,$B409&gt;CARROT_BED_CAP,F$4&gt;MESCLUN_BED_CAP,$A409+$B409+F$4&gt;TOTAL_BEDS_AVAILABLE,($D409+F$5)&gt;TOTAL_LABOR_HOURS_CAP,MAX(0,($D409+F$5)-PERMANENT_FIELD_LABOR_HOURS)&gt;TEMP_HOURS_CAP),"",$C409+F$6-MIN(($D409+F$5),PERMANENT_FIELD_LABOR_HOURS)*PERMANENT_HOURLY_RATE-MAX(0,($D409+F$5)-PERMANENT_FIELD_LABOR_HOURS)*TEMP_HOURLY_RATE-FIXED_SEASON_COST)</f>
        <v/>
      </c>
      <c r="G409" s="53" t="str">
        <f aca="false">IF(OR($A409&gt;TOMATO_BED_CAP,$B409&gt;CARROT_BED_CAP,G$4&gt;MESCLUN_BED_CAP,$A409+$B409+G$4&gt;TOTAL_BEDS_AVAILABLE,($D409+G$5)&gt;TOTAL_LABOR_HOURS_CAP,MAX(0,($D409+G$5)-PERMANENT_FIELD_LABOR_HOURS)&gt;TEMP_HOURS_CAP),"",$C409+G$6-MIN(($D409+G$5),PERMANENT_FIELD_LABOR_HOURS)*PERMANENT_HOURLY_RATE-MAX(0,($D409+G$5)-PERMANENT_FIELD_LABOR_HOURS)*TEMP_HOURLY_RATE-FIXED_SEASON_COST)</f>
        <v/>
      </c>
      <c r="H409" s="53" t="str">
        <f aca="false">IF(OR($A409&gt;TOMATO_BED_CAP,$B409&gt;CARROT_BED_CAP,H$4&gt;MESCLUN_BED_CAP,$A409+$B409+H$4&gt;TOTAL_BEDS_AVAILABLE,($D409+H$5)&gt;TOTAL_LABOR_HOURS_CAP,MAX(0,($D409+H$5)-PERMANENT_FIELD_LABOR_HOURS)&gt;TEMP_HOURS_CAP),"",$C409+H$6-MIN(($D409+H$5),PERMANENT_FIELD_LABOR_HOURS)*PERMANENT_HOURLY_RATE-MAX(0,($D409+H$5)-PERMANENT_FIELD_LABOR_HOURS)*TEMP_HOURLY_RATE-FIXED_SEASON_COST)</f>
        <v/>
      </c>
      <c r="I409" s="53" t="str">
        <f aca="false">IF(OR($A409&gt;TOMATO_BED_CAP,$B409&gt;CARROT_BED_CAP,I$4&gt;MESCLUN_BED_CAP,$A409+$B409+I$4&gt;TOTAL_BEDS_AVAILABLE,($D409+I$5)&gt;TOTAL_LABOR_HOURS_CAP,MAX(0,($D409+I$5)-PERMANENT_FIELD_LABOR_HOURS)&gt;TEMP_HOURS_CAP),"",$C409+I$6-MIN(($D409+I$5),PERMANENT_FIELD_LABOR_HOURS)*PERMANENT_HOURLY_RATE-MAX(0,($D409+I$5)-PERMANENT_FIELD_LABOR_HOURS)*TEMP_HOURLY_RATE-FIXED_SEASON_COST)</f>
        <v/>
      </c>
      <c r="J409" s="53" t="str">
        <f aca="false">IF(OR($A409&gt;TOMATO_BED_CAP,$B409&gt;CARROT_BED_CAP,J$4&gt;MESCLUN_BED_CAP,$A409+$B409+J$4&gt;TOTAL_BEDS_AVAILABLE,($D409+J$5)&gt;TOTAL_LABOR_HOURS_CAP,MAX(0,($D409+J$5)-PERMANENT_FIELD_LABOR_HOURS)&gt;TEMP_HOURS_CAP),"",$C409+J$6-MIN(($D409+J$5),PERMANENT_FIELD_LABOR_HOURS)*PERMANENT_HOURLY_RATE-MAX(0,($D409+J$5)-PERMANENT_FIELD_LABOR_HOURS)*TEMP_HOURLY_RATE-FIXED_SEASON_COST)</f>
        <v/>
      </c>
      <c r="K409" s="53" t="str">
        <f aca="false">IF(OR($A409&gt;TOMATO_BED_CAP,$B409&gt;CARROT_BED_CAP,K$4&gt;MESCLUN_BED_CAP,$A409+$B409+K$4&gt;TOTAL_BEDS_AVAILABLE,($D409+K$5)&gt;TOTAL_LABOR_HOURS_CAP,MAX(0,($D409+K$5)-PERMANENT_FIELD_LABOR_HOURS)&gt;TEMP_HOURS_CAP),"",$C409+K$6-MIN(($D409+K$5),PERMANENT_FIELD_LABOR_HOURS)*PERMANENT_HOURLY_RATE-MAX(0,($D409+K$5)-PERMANENT_FIELD_LABOR_HOURS)*TEMP_HOURLY_RATE-FIXED_SEASON_COST)</f>
        <v/>
      </c>
      <c r="L409" s="53" t="str">
        <f aca="false">IF(OR($A409&gt;TOMATO_BED_CAP,$B409&gt;CARROT_BED_CAP,L$4&gt;MESCLUN_BED_CAP,$A409+$B409+L$4&gt;TOTAL_BEDS_AVAILABLE,($D409+L$5)&gt;TOTAL_LABOR_HOURS_CAP,MAX(0,($D409+L$5)-PERMANENT_FIELD_LABOR_HOURS)&gt;TEMP_HOURS_CAP),"",$C409+L$6-MIN(($D409+L$5),PERMANENT_FIELD_LABOR_HOURS)*PERMANENT_HOURLY_RATE-MAX(0,($D409+L$5)-PERMANENT_FIELD_LABOR_HOURS)*TEMP_HOURLY_RATE-FIXED_SEASON_COST)</f>
        <v/>
      </c>
      <c r="M409" s="53" t="str">
        <f aca="false">IF(OR($A409&gt;TOMATO_BED_CAP,$B409&gt;CARROT_BED_CAP,M$4&gt;MESCLUN_BED_CAP,$A409+$B409+M$4&gt;TOTAL_BEDS_AVAILABLE,($D409+M$5)&gt;TOTAL_LABOR_HOURS_CAP,MAX(0,($D409+M$5)-PERMANENT_FIELD_LABOR_HOURS)&gt;TEMP_HOURS_CAP),"",$C409+M$6-MIN(($D409+M$5),PERMANENT_FIELD_LABOR_HOURS)*PERMANENT_HOURLY_RATE-MAX(0,($D409+M$5)-PERMANENT_FIELD_LABOR_HOURS)*TEMP_HOURLY_RATE-FIXED_SEASON_COST)</f>
        <v/>
      </c>
      <c r="N409" s="53" t="str">
        <f aca="false">IF(OR($A409&gt;TOMATO_BED_CAP,$B409&gt;CARROT_BED_CAP,N$4&gt;MESCLUN_BED_CAP,$A409+$B409+N$4&gt;TOTAL_BEDS_AVAILABLE,($D409+N$5)&gt;TOTAL_LABOR_HOURS_CAP,MAX(0,($D409+N$5)-PERMANENT_FIELD_LABOR_HOURS)&gt;TEMP_HOURS_CAP),"",$C409+N$6-MIN(($D409+N$5),PERMANENT_FIELD_LABOR_HOURS)*PERMANENT_HOURLY_RATE-MAX(0,($D409+N$5)-PERMANENT_FIELD_LABOR_HOURS)*TEMP_HOURLY_RATE-FIXED_SEASON_COST)</f>
        <v/>
      </c>
      <c r="O409" s="53" t="str">
        <f aca="false">IF(OR($A409&gt;TOMATO_BED_CAP,$B409&gt;CARROT_BED_CAP,O$4&gt;MESCLUN_BED_CAP,$A409+$B409+O$4&gt;TOTAL_BEDS_AVAILABLE,($D409+O$5)&gt;TOTAL_LABOR_HOURS_CAP,MAX(0,($D409+O$5)-PERMANENT_FIELD_LABOR_HOURS)&gt;TEMP_HOURS_CAP),"",$C409+O$6-MIN(($D409+O$5),PERMANENT_FIELD_LABOR_HOURS)*PERMANENT_HOURLY_RATE-MAX(0,($D409+O$5)-PERMANENT_FIELD_LABOR_HOURS)*TEMP_HOURLY_RATE-FIXED_SEASON_COST)</f>
        <v/>
      </c>
      <c r="P409" s="53" t="str">
        <f aca="false">IF(OR($A409&gt;TOMATO_BED_CAP,$B409&gt;CARROT_BED_CAP,P$4&gt;MESCLUN_BED_CAP,$A409+$B409+P$4&gt;TOTAL_BEDS_AVAILABLE,($D409+P$5)&gt;TOTAL_LABOR_HOURS_CAP,MAX(0,($D409+P$5)-PERMANENT_FIELD_LABOR_HOURS)&gt;TEMP_HOURS_CAP),"",$C409+P$6-MIN(($D409+P$5),PERMANENT_FIELD_LABOR_HOURS)*PERMANENT_HOURLY_RATE-MAX(0,($D409+P$5)-PERMANENT_FIELD_LABOR_HOURS)*TEMP_HOURLY_RATE-FIXED_SEASON_COST)</f>
        <v/>
      </c>
      <c r="Q409" s="53" t="str">
        <f aca="false">IF(OR($A409&gt;TOMATO_BED_CAP,$B409&gt;CARROT_BED_CAP,Q$4&gt;MESCLUN_BED_CAP,$A409+$B409+Q$4&gt;TOTAL_BEDS_AVAILABLE,($D409+Q$5)&gt;TOTAL_LABOR_HOURS_CAP,MAX(0,($D409+Q$5)-PERMANENT_FIELD_LABOR_HOURS)&gt;TEMP_HOURS_CAP),"",$C409+Q$6-MIN(($D409+Q$5),PERMANENT_FIELD_LABOR_HOURS)*PERMANENT_HOURLY_RATE-MAX(0,($D409+Q$5)-PERMANENT_FIELD_LABOR_HOURS)*TEMP_HOURLY_RATE-FIXED_SEASON_COST)</f>
        <v/>
      </c>
      <c r="R409" s="53" t="str">
        <f aca="false">IF(OR($A409&gt;TOMATO_BED_CAP,$B409&gt;CARROT_BED_CAP,R$4&gt;MESCLUN_BED_CAP,$A409+$B409+R$4&gt;TOTAL_BEDS_AVAILABLE,($D409+R$5)&gt;TOTAL_LABOR_HOURS_CAP,MAX(0,($D409+R$5)-PERMANENT_FIELD_LABOR_HOURS)&gt;TEMP_HOURS_CAP),"",$C409+R$6-MIN(($D409+R$5),PERMANENT_FIELD_LABOR_HOURS)*PERMANENT_HOURLY_RATE-MAX(0,($D409+R$5)-PERMANENT_FIELD_LABOR_HOURS)*TEMP_HOURLY_RATE-FIXED_SEASON_COST)</f>
        <v/>
      </c>
      <c r="S409" s="53" t="str">
        <f aca="false">IF(OR($A409&gt;TOMATO_BED_CAP,$B409&gt;CARROT_BED_CAP,S$4&gt;MESCLUN_BED_CAP,$A409+$B409+S$4&gt;TOTAL_BEDS_AVAILABLE,($D409+S$5)&gt;TOTAL_LABOR_HOURS_CAP,MAX(0,($D409+S$5)-PERMANENT_FIELD_LABOR_HOURS)&gt;TEMP_HOURS_CAP),"",$C409+S$6-MIN(($D409+S$5),PERMANENT_FIELD_LABOR_HOURS)*PERMANENT_HOURLY_RATE-MAX(0,($D409+S$5)-PERMANENT_FIELD_LABOR_HOURS)*TEMP_HOURLY_RATE-FIXED_SEASON_COST)</f>
        <v/>
      </c>
      <c r="T409" s="53" t="str">
        <f aca="false">IF(OR($A409&gt;TOMATO_BED_CAP,$B409&gt;CARROT_BED_CAP,T$4&gt;MESCLUN_BED_CAP,$A409+$B409+T$4&gt;TOTAL_BEDS_AVAILABLE,($D409+T$5)&gt;TOTAL_LABOR_HOURS_CAP,MAX(0,($D409+T$5)-PERMANENT_FIELD_LABOR_HOURS)&gt;TEMP_HOURS_CAP),"",$C409+T$6-MIN(($D409+T$5),PERMANENT_FIELD_LABOR_HOURS)*PERMANENT_HOURLY_RATE-MAX(0,($D409+T$5)-PERMANENT_FIELD_LABOR_HOURS)*TEMP_HOURLY_RATE-FIXED_SEASON_COST)</f>
        <v/>
      </c>
      <c r="U409" s="53" t="str">
        <f aca="false">IF(OR($A409&gt;TOMATO_BED_CAP,$B409&gt;CARROT_BED_CAP,U$4&gt;MESCLUN_BED_CAP,$A409+$B409+U$4&gt;TOTAL_BEDS_AVAILABLE,($D409+U$5)&gt;TOTAL_LABOR_HOURS_CAP,MAX(0,($D409+U$5)-PERMANENT_FIELD_LABOR_HOURS)&gt;TEMP_HOURS_CAP),"",$C409+U$6-MIN(($D409+U$5),PERMANENT_FIELD_LABOR_HOURS)*PERMANENT_HOURLY_RATE-MAX(0,($D409+U$5)-PERMANENT_FIELD_LABOR_HOURS)*TEMP_HOURLY_RATE-FIXED_SEASON_COST)</f>
        <v/>
      </c>
      <c r="V409" s="53" t="str">
        <f aca="false">IF(OR($A409&gt;TOMATO_BED_CAP,$B409&gt;CARROT_BED_CAP,V$4&gt;MESCLUN_BED_CAP,$A409+$B409+V$4&gt;TOTAL_BEDS_AVAILABLE,($D409+V$5)&gt;TOTAL_LABOR_HOURS_CAP,MAX(0,($D409+V$5)-PERMANENT_FIELD_LABOR_HOURS)&gt;TEMP_HOURS_CAP),"",$C409+V$6-MIN(($D409+V$5),PERMANENT_FIELD_LABOR_HOURS)*PERMANENT_HOURLY_RATE-MAX(0,($D409+V$5)-PERMANENT_FIELD_LABOR_HOURS)*TEMP_HOURLY_RATE-FIXED_SEASON_COST)</f>
        <v/>
      </c>
      <c r="W409" s="53" t="str">
        <f aca="false">IF(OR($A409&gt;TOMATO_BED_CAP,$B409&gt;CARROT_BED_CAP,W$4&gt;MESCLUN_BED_CAP,$A409+$B409+W$4&gt;TOTAL_BEDS_AVAILABLE,($D409+W$5)&gt;TOTAL_LABOR_HOURS_CAP,MAX(0,($D409+W$5)-PERMANENT_FIELD_LABOR_HOURS)&gt;TEMP_HOURS_CAP),"",$C409+W$6-MIN(($D409+W$5),PERMANENT_FIELD_LABOR_HOURS)*PERMANENT_HOURLY_RATE-MAX(0,($D409+W$5)-PERMANENT_FIELD_LABOR_HOURS)*TEMP_HOURLY_RATE-FIXED_SEASON_COST)</f>
        <v/>
      </c>
      <c r="X409" s="53" t="str">
        <f aca="false">IF(OR($A409&gt;TOMATO_BED_CAP,$B409&gt;CARROT_BED_CAP,X$4&gt;MESCLUN_BED_CAP,$A409+$B409+X$4&gt;TOTAL_BEDS_AVAILABLE,($D409+X$5)&gt;TOTAL_LABOR_HOURS_CAP,MAX(0,($D409+X$5)-PERMANENT_FIELD_LABOR_HOURS)&gt;TEMP_HOURS_CAP),"",$C409+X$6-MIN(($D409+X$5),PERMANENT_FIELD_LABOR_HOURS)*PERMANENT_HOURLY_RATE-MAX(0,($D409+X$5)-PERMANENT_FIELD_LABOR_HOURS)*TEMP_HOURLY_RATE-FIXED_SEASON_COST)</f>
        <v/>
      </c>
      <c r="Y409" s="53" t="str">
        <f aca="false">IF(OR($A409&gt;TOMATO_BED_CAP,$B409&gt;CARROT_BED_CAP,Y$4&gt;MESCLUN_BED_CAP,$A409+$B409+Y$4&gt;TOTAL_BEDS_AVAILABLE,($D409+Y$5)&gt;TOTAL_LABOR_HOURS_CAP,MAX(0,($D409+Y$5)-PERMANENT_FIELD_LABOR_HOURS)&gt;TEMP_HOURS_CAP),"",$C409+Y$6-MIN(($D409+Y$5),PERMANENT_FIELD_LABOR_HOURS)*PERMANENT_HOURLY_RATE-MAX(0,($D409+Y$5)-PERMANENT_FIELD_LABOR_HOURS)*TEMP_HOURLY_RATE-FIXED_SEASON_COST)</f>
        <v/>
      </c>
      <c r="Z409" s="53" t="str">
        <f aca="false">IF(OR($A409&gt;TOMATO_BED_CAP,$B409&gt;CARROT_BED_CAP,Z$4&gt;MESCLUN_BED_CAP,$A409+$B409+Z$4&gt;TOTAL_BEDS_AVAILABLE,($D409+Z$5)&gt;TOTAL_LABOR_HOURS_CAP,MAX(0,($D409+Z$5)-PERMANENT_FIELD_LABOR_HOURS)&gt;TEMP_HOURS_CAP),"",$C409+Z$6-MIN(($D409+Z$5),PERMANENT_FIELD_LABOR_HOURS)*PERMANENT_HOURLY_RATE-MAX(0,($D409+Z$5)-PERMANENT_FIELD_LABOR_HOURS)*TEMP_HOURLY_RATE-FIXED_SEASON_COST)</f>
        <v/>
      </c>
      <c r="AA409" s="53" t="str">
        <f aca="false">IF(OR($A409&gt;TOMATO_BED_CAP,$B409&gt;CARROT_BED_CAP,AA$4&gt;MESCLUN_BED_CAP,$A409+$B409+AA$4&gt;TOTAL_BEDS_AVAILABLE,($D409+AA$5)&gt;TOTAL_LABOR_HOURS_CAP,MAX(0,($D409+AA$5)-PERMANENT_FIELD_LABOR_HOURS)&gt;TEMP_HOURS_CAP),"",$C409+AA$6-MIN(($D409+AA$5),PERMANENT_FIELD_LABOR_HOURS)*PERMANENT_HOURLY_RATE-MAX(0,($D409+AA$5)-PERMANENT_FIELD_LABOR_HOURS)*TEMP_HOURLY_RATE-FIXED_SEASON_COST)</f>
        <v/>
      </c>
      <c r="AB409" s="53" t="str">
        <f aca="false">IF(OR($A409&gt;TOMATO_BED_CAP,$B409&gt;CARROT_BED_CAP,AB$4&gt;MESCLUN_BED_CAP,$A409+$B409+AB$4&gt;TOTAL_BEDS_AVAILABLE,($D409+AB$5)&gt;TOTAL_LABOR_HOURS_CAP,MAX(0,($D409+AB$5)-PERMANENT_FIELD_LABOR_HOURS)&gt;TEMP_HOURS_CAP),"",$C409+AB$6-MIN(($D409+AB$5),PERMANENT_FIELD_LABOR_HOURS)*PERMANENT_HOURLY_RATE-MAX(0,($D409+AB$5)-PERMANENT_FIELD_LABOR_HOURS)*TEMP_HOURLY_RATE-FIXED_SEASON_COST)</f>
        <v/>
      </c>
      <c r="AC409" s="53" t="str">
        <f aca="false">IF(OR($A409&gt;TOMATO_BED_CAP,$B409&gt;CARROT_BED_CAP,AC$4&gt;MESCLUN_BED_CAP,$A409+$B409+AC$4&gt;TOTAL_BEDS_AVAILABLE,($D409+AC$5)&gt;TOTAL_LABOR_HOURS_CAP,MAX(0,($D409+AC$5)-PERMANENT_FIELD_LABOR_HOURS)&gt;TEMP_HOURS_CAP),"",$C409+AC$6-MIN(($D409+AC$5),PERMANENT_FIELD_LABOR_HOURS)*PERMANENT_HOURLY_RATE-MAX(0,($D409+AC$5)-PERMANENT_FIELD_LABOR_HOURS)*TEMP_HOURLY_RATE-FIXED_SEASON_COST)</f>
        <v/>
      </c>
      <c r="AD409" s="53" t="str">
        <f aca="false">IF(OR($A409&gt;TOMATO_BED_CAP,$B409&gt;CARROT_BED_CAP,AD$4&gt;MESCLUN_BED_CAP,$A409+$B409+AD$4&gt;TOTAL_BEDS_AVAILABLE,($D409+AD$5)&gt;TOTAL_LABOR_HOURS_CAP,MAX(0,($D409+AD$5)-PERMANENT_FIELD_LABOR_HOURS)&gt;TEMP_HOURS_CAP),"",$C409+AD$6-MIN(($D409+AD$5),PERMANENT_FIELD_LABOR_HOURS)*PERMANENT_HOURLY_RATE-MAX(0,($D409+AD$5)-PERMANENT_FIELD_LABOR_HOURS)*TEMP_HOURLY_RATE-FIXED_SEASON_COST)</f>
        <v/>
      </c>
      <c r="AE409" s="53" t="str">
        <f aca="false">IF(OR($A409&gt;TOMATO_BED_CAP,$B409&gt;CARROT_BED_CAP,AE$4&gt;MESCLUN_BED_CAP,$A409+$B409+AE$4&gt;TOTAL_BEDS_AVAILABLE,($D409+AE$5)&gt;TOTAL_LABOR_HOURS_CAP,MAX(0,($D409+AE$5)-PERMANENT_FIELD_LABOR_HOURS)&gt;TEMP_HOURS_CAP),"",$C409+AE$6-MIN(($D409+AE$5),PERMANENT_FIELD_LABOR_HOURS)*PERMANENT_HOURLY_RATE-MAX(0,($D409+AE$5)-PERMANENT_FIELD_LABOR_HOURS)*TEMP_HOURLY_RATE-FIXED_SEASON_COST)</f>
        <v/>
      </c>
      <c r="AF409" s="53" t="str">
        <f aca="false">IF(OR($A409&gt;TOMATO_BED_CAP,$B409&gt;CARROT_BED_CAP,AF$4&gt;MESCLUN_BED_CAP,$A409+$B409+AF$4&gt;TOTAL_BEDS_AVAILABLE,($D409+AF$5)&gt;TOTAL_LABOR_HOURS_CAP,MAX(0,($D409+AF$5)-PERMANENT_FIELD_LABOR_HOURS)&gt;TEMP_HOURS_CAP),"",$C409+AF$6-MIN(($D409+AF$5),PERMANENT_FIELD_LABOR_HOURS)*PERMANENT_HOURLY_RATE-MAX(0,($D409+AF$5)-PERMANENT_FIELD_LABOR_HOURS)*TEMP_HOURLY_RATE-FIXED_SEASON_COST)</f>
        <v/>
      </c>
      <c r="AG409" s="53" t="str">
        <f aca="false">IF(OR($A409&gt;TOMATO_BED_CAP,$B409&gt;CARROT_BED_CAP,AG$4&gt;MESCLUN_BED_CAP,$A409+$B409+AG$4&gt;TOTAL_BEDS_AVAILABLE,($D409+AG$5)&gt;TOTAL_LABOR_HOURS_CAP,MAX(0,($D409+AG$5)-PERMANENT_FIELD_LABOR_HOURS)&gt;TEMP_HOURS_CAP),"",$C409+AG$6-MIN(($D409+AG$5),PERMANENT_FIELD_LABOR_HOURS)*PERMANENT_HOURLY_RATE-MAX(0,($D409+AG$5)-PERMANENT_FIELD_LABOR_HOURS)*TEMP_HOURLY_RATE-FIXED_SEASON_COST)</f>
        <v/>
      </c>
      <c r="AH409" s="53" t="str">
        <f aca="false">IF(OR($A409&gt;TOMATO_BED_CAP,$B409&gt;CARROT_BED_CAP,AH$4&gt;MESCLUN_BED_CAP,$A409+$B409+AH$4&gt;TOTAL_BEDS_AVAILABLE,($D409+AH$5)&gt;TOTAL_LABOR_HOURS_CAP,MAX(0,($D409+AH$5)-PERMANENT_FIELD_LABOR_HOURS)&gt;TEMP_HOURS_CAP),"",$C409+AH$6-MIN(($D409+AH$5),PERMANENT_FIELD_LABOR_HOURS)*PERMANENT_HOURLY_RATE-MAX(0,($D409+AH$5)-PERMANENT_FIELD_LABOR_HOURS)*TEMP_HOURLY_RATE-FIXED_SEASON_COST)</f>
        <v/>
      </c>
      <c r="AI409" s="53" t="str">
        <f aca="false">IF(OR($A409&gt;TOMATO_BED_CAP,$B409&gt;CARROT_BED_CAP,AI$4&gt;MESCLUN_BED_CAP,$A409+$B409+AI$4&gt;TOTAL_BEDS_AVAILABLE,($D409+AI$5)&gt;TOTAL_LABOR_HOURS_CAP,MAX(0,($D409+AI$5)-PERMANENT_FIELD_LABOR_HOURS)&gt;TEMP_HOURS_CAP),"",$C409+AI$6-MIN(($D409+AI$5),PERMANENT_FIELD_LABOR_HOURS)*PERMANENT_HOURLY_RATE-MAX(0,($D409+AI$5)-PERMANENT_FIELD_LABOR_HOURS)*TEMP_HOURLY_RATE-FIXED_SEASON_COST)</f>
        <v/>
      </c>
      <c r="AJ409" s="53" t="str">
        <f aca="false">IF(OR($A409&gt;TOMATO_BED_CAP,$B409&gt;CARROT_BED_CAP,AJ$4&gt;MESCLUN_BED_CAP,$A409+$B409+AJ$4&gt;TOTAL_BEDS_AVAILABLE,($D409+AJ$5)&gt;TOTAL_LABOR_HOURS_CAP,MAX(0,($D409+AJ$5)-PERMANENT_FIELD_LABOR_HOURS)&gt;TEMP_HOURS_CAP),"",$C409+AJ$6-MIN(($D409+AJ$5),PERMANENT_FIELD_LABOR_HOURS)*PERMANENT_HOURLY_RATE-MAX(0,($D409+AJ$5)-PERMANENT_FIELD_LABOR_HOURS)*TEMP_HOURLY_RATE-FIXED_SEASON_COST)</f>
        <v/>
      </c>
    </row>
    <row r="410" customFormat="false" ht="15" hidden="false" customHeight="false" outlineLevel="0" collapsed="false">
      <c r="A410" s="21" t="n">
        <f aca="false">INT((ROW()-ROW($A$8))/(20+1))</f>
        <v>19</v>
      </c>
      <c r="B410" s="21" t="n">
        <f aca="false">MOD(ROW()-ROW($A$8),20+1)</f>
        <v>3</v>
      </c>
      <c r="C410" s="13" t="n">
        <f aca="false">A410*(TOMATO_REVENUE_PER_BED-TOMATO_FERTILIZER_PER_BED)+B410*(CARROT_REVENUE_PER_BED-CARROT_FERTILIZER_PER_BED)</f>
        <v>155442</v>
      </c>
      <c r="D410" s="14" t="n">
        <f aca="false">INDEX(TOMATO_SCHED_LABOR_HRS,A410+1)+INDEX(CARROT_SCHED_LABOR_HRS,B410+1)</f>
        <v>10555.0858548664</v>
      </c>
      <c r="E410" s="13" t="str">
        <f aca="false">IF(COUNT(F410:AJ410)=0,"",MAX(F410:AJ410))</f>
        <v/>
      </c>
      <c r="F410" s="53" t="str">
        <f aca="false">IF(OR($A410&gt;TOMATO_BED_CAP,$B410&gt;CARROT_BED_CAP,F$4&gt;MESCLUN_BED_CAP,$A410+$B410+F$4&gt;TOTAL_BEDS_AVAILABLE,($D410+F$5)&gt;TOTAL_LABOR_HOURS_CAP,MAX(0,($D410+F$5)-PERMANENT_FIELD_LABOR_HOURS)&gt;TEMP_HOURS_CAP),"",$C410+F$6-MIN(($D410+F$5),PERMANENT_FIELD_LABOR_HOURS)*PERMANENT_HOURLY_RATE-MAX(0,($D410+F$5)-PERMANENT_FIELD_LABOR_HOURS)*TEMP_HOURLY_RATE-FIXED_SEASON_COST)</f>
        <v/>
      </c>
      <c r="G410" s="53" t="str">
        <f aca="false">IF(OR($A410&gt;TOMATO_BED_CAP,$B410&gt;CARROT_BED_CAP,G$4&gt;MESCLUN_BED_CAP,$A410+$B410+G$4&gt;TOTAL_BEDS_AVAILABLE,($D410+G$5)&gt;TOTAL_LABOR_HOURS_CAP,MAX(0,($D410+G$5)-PERMANENT_FIELD_LABOR_HOURS)&gt;TEMP_HOURS_CAP),"",$C410+G$6-MIN(($D410+G$5),PERMANENT_FIELD_LABOR_HOURS)*PERMANENT_HOURLY_RATE-MAX(0,($D410+G$5)-PERMANENT_FIELD_LABOR_HOURS)*TEMP_HOURLY_RATE-FIXED_SEASON_COST)</f>
        <v/>
      </c>
      <c r="H410" s="53" t="str">
        <f aca="false">IF(OR($A410&gt;TOMATO_BED_CAP,$B410&gt;CARROT_BED_CAP,H$4&gt;MESCLUN_BED_CAP,$A410+$B410+H$4&gt;TOTAL_BEDS_AVAILABLE,($D410+H$5)&gt;TOTAL_LABOR_HOURS_CAP,MAX(0,($D410+H$5)-PERMANENT_FIELD_LABOR_HOURS)&gt;TEMP_HOURS_CAP),"",$C410+H$6-MIN(($D410+H$5),PERMANENT_FIELD_LABOR_HOURS)*PERMANENT_HOURLY_RATE-MAX(0,($D410+H$5)-PERMANENT_FIELD_LABOR_HOURS)*TEMP_HOURLY_RATE-FIXED_SEASON_COST)</f>
        <v/>
      </c>
      <c r="I410" s="53" t="str">
        <f aca="false">IF(OR($A410&gt;TOMATO_BED_CAP,$B410&gt;CARROT_BED_CAP,I$4&gt;MESCLUN_BED_CAP,$A410+$B410+I$4&gt;TOTAL_BEDS_AVAILABLE,($D410+I$5)&gt;TOTAL_LABOR_HOURS_CAP,MAX(0,($D410+I$5)-PERMANENT_FIELD_LABOR_HOURS)&gt;TEMP_HOURS_CAP),"",$C410+I$6-MIN(($D410+I$5),PERMANENT_FIELD_LABOR_HOURS)*PERMANENT_HOURLY_RATE-MAX(0,($D410+I$5)-PERMANENT_FIELD_LABOR_HOURS)*TEMP_HOURLY_RATE-FIXED_SEASON_COST)</f>
        <v/>
      </c>
      <c r="J410" s="53" t="str">
        <f aca="false">IF(OR($A410&gt;TOMATO_BED_CAP,$B410&gt;CARROT_BED_CAP,J$4&gt;MESCLUN_BED_CAP,$A410+$B410+J$4&gt;TOTAL_BEDS_AVAILABLE,($D410+J$5)&gt;TOTAL_LABOR_HOURS_CAP,MAX(0,($D410+J$5)-PERMANENT_FIELD_LABOR_HOURS)&gt;TEMP_HOURS_CAP),"",$C410+J$6-MIN(($D410+J$5),PERMANENT_FIELD_LABOR_HOURS)*PERMANENT_HOURLY_RATE-MAX(0,($D410+J$5)-PERMANENT_FIELD_LABOR_HOURS)*TEMP_HOURLY_RATE-FIXED_SEASON_COST)</f>
        <v/>
      </c>
      <c r="K410" s="53" t="str">
        <f aca="false">IF(OR($A410&gt;TOMATO_BED_CAP,$B410&gt;CARROT_BED_CAP,K$4&gt;MESCLUN_BED_CAP,$A410+$B410+K$4&gt;TOTAL_BEDS_AVAILABLE,($D410+K$5)&gt;TOTAL_LABOR_HOURS_CAP,MAX(0,($D410+K$5)-PERMANENT_FIELD_LABOR_HOURS)&gt;TEMP_HOURS_CAP),"",$C410+K$6-MIN(($D410+K$5),PERMANENT_FIELD_LABOR_HOURS)*PERMANENT_HOURLY_RATE-MAX(0,($D410+K$5)-PERMANENT_FIELD_LABOR_HOURS)*TEMP_HOURLY_RATE-FIXED_SEASON_COST)</f>
        <v/>
      </c>
      <c r="L410" s="53" t="str">
        <f aca="false">IF(OR($A410&gt;TOMATO_BED_CAP,$B410&gt;CARROT_BED_CAP,L$4&gt;MESCLUN_BED_CAP,$A410+$B410+L$4&gt;TOTAL_BEDS_AVAILABLE,($D410+L$5)&gt;TOTAL_LABOR_HOURS_CAP,MAX(0,($D410+L$5)-PERMANENT_FIELD_LABOR_HOURS)&gt;TEMP_HOURS_CAP),"",$C410+L$6-MIN(($D410+L$5),PERMANENT_FIELD_LABOR_HOURS)*PERMANENT_HOURLY_RATE-MAX(0,($D410+L$5)-PERMANENT_FIELD_LABOR_HOURS)*TEMP_HOURLY_RATE-FIXED_SEASON_COST)</f>
        <v/>
      </c>
      <c r="M410" s="53" t="str">
        <f aca="false">IF(OR($A410&gt;TOMATO_BED_CAP,$B410&gt;CARROT_BED_CAP,M$4&gt;MESCLUN_BED_CAP,$A410+$B410+M$4&gt;TOTAL_BEDS_AVAILABLE,($D410+M$5)&gt;TOTAL_LABOR_HOURS_CAP,MAX(0,($D410+M$5)-PERMANENT_FIELD_LABOR_HOURS)&gt;TEMP_HOURS_CAP),"",$C410+M$6-MIN(($D410+M$5),PERMANENT_FIELD_LABOR_HOURS)*PERMANENT_HOURLY_RATE-MAX(0,($D410+M$5)-PERMANENT_FIELD_LABOR_HOURS)*TEMP_HOURLY_RATE-FIXED_SEASON_COST)</f>
        <v/>
      </c>
      <c r="N410" s="53" t="str">
        <f aca="false">IF(OR($A410&gt;TOMATO_BED_CAP,$B410&gt;CARROT_BED_CAP,N$4&gt;MESCLUN_BED_CAP,$A410+$B410+N$4&gt;TOTAL_BEDS_AVAILABLE,($D410+N$5)&gt;TOTAL_LABOR_HOURS_CAP,MAX(0,($D410+N$5)-PERMANENT_FIELD_LABOR_HOURS)&gt;TEMP_HOURS_CAP),"",$C410+N$6-MIN(($D410+N$5),PERMANENT_FIELD_LABOR_HOURS)*PERMANENT_HOURLY_RATE-MAX(0,($D410+N$5)-PERMANENT_FIELD_LABOR_HOURS)*TEMP_HOURLY_RATE-FIXED_SEASON_COST)</f>
        <v/>
      </c>
      <c r="O410" s="53" t="str">
        <f aca="false">IF(OR($A410&gt;TOMATO_BED_CAP,$B410&gt;CARROT_BED_CAP,O$4&gt;MESCLUN_BED_CAP,$A410+$B410+O$4&gt;TOTAL_BEDS_AVAILABLE,($D410+O$5)&gt;TOTAL_LABOR_HOURS_CAP,MAX(0,($D410+O$5)-PERMANENT_FIELD_LABOR_HOURS)&gt;TEMP_HOURS_CAP),"",$C410+O$6-MIN(($D410+O$5),PERMANENT_FIELD_LABOR_HOURS)*PERMANENT_HOURLY_RATE-MAX(0,($D410+O$5)-PERMANENT_FIELD_LABOR_HOURS)*TEMP_HOURLY_RATE-FIXED_SEASON_COST)</f>
        <v/>
      </c>
      <c r="P410" s="53" t="str">
        <f aca="false">IF(OR($A410&gt;TOMATO_BED_CAP,$B410&gt;CARROT_BED_CAP,P$4&gt;MESCLUN_BED_CAP,$A410+$B410+P$4&gt;TOTAL_BEDS_AVAILABLE,($D410+P$5)&gt;TOTAL_LABOR_HOURS_CAP,MAX(0,($D410+P$5)-PERMANENT_FIELD_LABOR_HOURS)&gt;TEMP_HOURS_CAP),"",$C410+P$6-MIN(($D410+P$5),PERMANENT_FIELD_LABOR_HOURS)*PERMANENT_HOURLY_RATE-MAX(0,($D410+P$5)-PERMANENT_FIELD_LABOR_HOURS)*TEMP_HOURLY_RATE-FIXED_SEASON_COST)</f>
        <v/>
      </c>
      <c r="Q410" s="53" t="str">
        <f aca="false">IF(OR($A410&gt;TOMATO_BED_CAP,$B410&gt;CARROT_BED_CAP,Q$4&gt;MESCLUN_BED_CAP,$A410+$B410+Q$4&gt;TOTAL_BEDS_AVAILABLE,($D410+Q$5)&gt;TOTAL_LABOR_HOURS_CAP,MAX(0,($D410+Q$5)-PERMANENT_FIELD_LABOR_HOURS)&gt;TEMP_HOURS_CAP),"",$C410+Q$6-MIN(($D410+Q$5),PERMANENT_FIELD_LABOR_HOURS)*PERMANENT_HOURLY_RATE-MAX(0,($D410+Q$5)-PERMANENT_FIELD_LABOR_HOURS)*TEMP_HOURLY_RATE-FIXED_SEASON_COST)</f>
        <v/>
      </c>
      <c r="R410" s="53" t="str">
        <f aca="false">IF(OR($A410&gt;TOMATO_BED_CAP,$B410&gt;CARROT_BED_CAP,R$4&gt;MESCLUN_BED_CAP,$A410+$B410+R$4&gt;TOTAL_BEDS_AVAILABLE,($D410+R$5)&gt;TOTAL_LABOR_HOURS_CAP,MAX(0,($D410+R$5)-PERMANENT_FIELD_LABOR_HOURS)&gt;TEMP_HOURS_CAP),"",$C410+R$6-MIN(($D410+R$5),PERMANENT_FIELD_LABOR_HOURS)*PERMANENT_HOURLY_RATE-MAX(0,($D410+R$5)-PERMANENT_FIELD_LABOR_HOURS)*TEMP_HOURLY_RATE-FIXED_SEASON_COST)</f>
        <v/>
      </c>
      <c r="S410" s="53" t="str">
        <f aca="false">IF(OR($A410&gt;TOMATO_BED_CAP,$B410&gt;CARROT_BED_CAP,S$4&gt;MESCLUN_BED_CAP,$A410+$B410+S$4&gt;TOTAL_BEDS_AVAILABLE,($D410+S$5)&gt;TOTAL_LABOR_HOURS_CAP,MAX(0,($D410+S$5)-PERMANENT_FIELD_LABOR_HOURS)&gt;TEMP_HOURS_CAP),"",$C410+S$6-MIN(($D410+S$5),PERMANENT_FIELD_LABOR_HOURS)*PERMANENT_HOURLY_RATE-MAX(0,($D410+S$5)-PERMANENT_FIELD_LABOR_HOURS)*TEMP_HOURLY_RATE-FIXED_SEASON_COST)</f>
        <v/>
      </c>
      <c r="T410" s="53" t="str">
        <f aca="false">IF(OR($A410&gt;TOMATO_BED_CAP,$B410&gt;CARROT_BED_CAP,T$4&gt;MESCLUN_BED_CAP,$A410+$B410+T$4&gt;TOTAL_BEDS_AVAILABLE,($D410+T$5)&gt;TOTAL_LABOR_HOURS_CAP,MAX(0,($D410+T$5)-PERMANENT_FIELD_LABOR_HOURS)&gt;TEMP_HOURS_CAP),"",$C410+T$6-MIN(($D410+T$5),PERMANENT_FIELD_LABOR_HOURS)*PERMANENT_HOURLY_RATE-MAX(0,($D410+T$5)-PERMANENT_FIELD_LABOR_HOURS)*TEMP_HOURLY_RATE-FIXED_SEASON_COST)</f>
        <v/>
      </c>
      <c r="U410" s="53" t="str">
        <f aca="false">IF(OR($A410&gt;TOMATO_BED_CAP,$B410&gt;CARROT_BED_CAP,U$4&gt;MESCLUN_BED_CAP,$A410+$B410+U$4&gt;TOTAL_BEDS_AVAILABLE,($D410+U$5)&gt;TOTAL_LABOR_HOURS_CAP,MAX(0,($D410+U$5)-PERMANENT_FIELD_LABOR_HOURS)&gt;TEMP_HOURS_CAP),"",$C410+U$6-MIN(($D410+U$5),PERMANENT_FIELD_LABOR_HOURS)*PERMANENT_HOURLY_RATE-MAX(0,($D410+U$5)-PERMANENT_FIELD_LABOR_HOURS)*TEMP_HOURLY_RATE-FIXED_SEASON_COST)</f>
        <v/>
      </c>
      <c r="V410" s="53" t="str">
        <f aca="false">IF(OR($A410&gt;TOMATO_BED_CAP,$B410&gt;CARROT_BED_CAP,V$4&gt;MESCLUN_BED_CAP,$A410+$B410+V$4&gt;TOTAL_BEDS_AVAILABLE,($D410+V$5)&gt;TOTAL_LABOR_HOURS_CAP,MAX(0,($D410+V$5)-PERMANENT_FIELD_LABOR_HOURS)&gt;TEMP_HOURS_CAP),"",$C410+V$6-MIN(($D410+V$5),PERMANENT_FIELD_LABOR_HOURS)*PERMANENT_HOURLY_RATE-MAX(0,($D410+V$5)-PERMANENT_FIELD_LABOR_HOURS)*TEMP_HOURLY_RATE-FIXED_SEASON_COST)</f>
        <v/>
      </c>
      <c r="W410" s="53" t="str">
        <f aca="false">IF(OR($A410&gt;TOMATO_BED_CAP,$B410&gt;CARROT_BED_CAP,W$4&gt;MESCLUN_BED_CAP,$A410+$B410+W$4&gt;TOTAL_BEDS_AVAILABLE,($D410+W$5)&gt;TOTAL_LABOR_HOURS_CAP,MAX(0,($D410+W$5)-PERMANENT_FIELD_LABOR_HOURS)&gt;TEMP_HOURS_CAP),"",$C410+W$6-MIN(($D410+W$5),PERMANENT_FIELD_LABOR_HOURS)*PERMANENT_HOURLY_RATE-MAX(0,($D410+W$5)-PERMANENT_FIELD_LABOR_HOURS)*TEMP_HOURLY_RATE-FIXED_SEASON_COST)</f>
        <v/>
      </c>
      <c r="X410" s="53" t="str">
        <f aca="false">IF(OR($A410&gt;TOMATO_BED_CAP,$B410&gt;CARROT_BED_CAP,X$4&gt;MESCLUN_BED_CAP,$A410+$B410+X$4&gt;TOTAL_BEDS_AVAILABLE,($D410+X$5)&gt;TOTAL_LABOR_HOURS_CAP,MAX(0,($D410+X$5)-PERMANENT_FIELD_LABOR_HOURS)&gt;TEMP_HOURS_CAP),"",$C410+X$6-MIN(($D410+X$5),PERMANENT_FIELD_LABOR_HOURS)*PERMANENT_HOURLY_RATE-MAX(0,($D410+X$5)-PERMANENT_FIELD_LABOR_HOURS)*TEMP_HOURLY_RATE-FIXED_SEASON_COST)</f>
        <v/>
      </c>
      <c r="Y410" s="53" t="str">
        <f aca="false">IF(OR($A410&gt;TOMATO_BED_CAP,$B410&gt;CARROT_BED_CAP,Y$4&gt;MESCLUN_BED_CAP,$A410+$B410+Y$4&gt;TOTAL_BEDS_AVAILABLE,($D410+Y$5)&gt;TOTAL_LABOR_HOURS_CAP,MAX(0,($D410+Y$5)-PERMANENT_FIELD_LABOR_HOURS)&gt;TEMP_HOURS_CAP),"",$C410+Y$6-MIN(($D410+Y$5),PERMANENT_FIELD_LABOR_HOURS)*PERMANENT_HOURLY_RATE-MAX(0,($D410+Y$5)-PERMANENT_FIELD_LABOR_HOURS)*TEMP_HOURLY_RATE-FIXED_SEASON_COST)</f>
        <v/>
      </c>
      <c r="Z410" s="53" t="str">
        <f aca="false">IF(OR($A410&gt;TOMATO_BED_CAP,$B410&gt;CARROT_BED_CAP,Z$4&gt;MESCLUN_BED_CAP,$A410+$B410+Z$4&gt;TOTAL_BEDS_AVAILABLE,($D410+Z$5)&gt;TOTAL_LABOR_HOURS_CAP,MAX(0,($D410+Z$5)-PERMANENT_FIELD_LABOR_HOURS)&gt;TEMP_HOURS_CAP),"",$C410+Z$6-MIN(($D410+Z$5),PERMANENT_FIELD_LABOR_HOURS)*PERMANENT_HOURLY_RATE-MAX(0,($D410+Z$5)-PERMANENT_FIELD_LABOR_HOURS)*TEMP_HOURLY_RATE-FIXED_SEASON_COST)</f>
        <v/>
      </c>
      <c r="AA410" s="53" t="str">
        <f aca="false">IF(OR($A410&gt;TOMATO_BED_CAP,$B410&gt;CARROT_BED_CAP,AA$4&gt;MESCLUN_BED_CAP,$A410+$B410+AA$4&gt;TOTAL_BEDS_AVAILABLE,($D410+AA$5)&gt;TOTAL_LABOR_HOURS_CAP,MAX(0,($D410+AA$5)-PERMANENT_FIELD_LABOR_HOURS)&gt;TEMP_HOURS_CAP),"",$C410+AA$6-MIN(($D410+AA$5),PERMANENT_FIELD_LABOR_HOURS)*PERMANENT_HOURLY_RATE-MAX(0,($D410+AA$5)-PERMANENT_FIELD_LABOR_HOURS)*TEMP_HOURLY_RATE-FIXED_SEASON_COST)</f>
        <v/>
      </c>
      <c r="AB410" s="53" t="str">
        <f aca="false">IF(OR($A410&gt;TOMATO_BED_CAP,$B410&gt;CARROT_BED_CAP,AB$4&gt;MESCLUN_BED_CAP,$A410+$B410+AB$4&gt;TOTAL_BEDS_AVAILABLE,($D410+AB$5)&gt;TOTAL_LABOR_HOURS_CAP,MAX(0,($D410+AB$5)-PERMANENT_FIELD_LABOR_HOURS)&gt;TEMP_HOURS_CAP),"",$C410+AB$6-MIN(($D410+AB$5),PERMANENT_FIELD_LABOR_HOURS)*PERMANENT_HOURLY_RATE-MAX(0,($D410+AB$5)-PERMANENT_FIELD_LABOR_HOURS)*TEMP_HOURLY_RATE-FIXED_SEASON_COST)</f>
        <v/>
      </c>
      <c r="AC410" s="53" t="str">
        <f aca="false">IF(OR($A410&gt;TOMATO_BED_CAP,$B410&gt;CARROT_BED_CAP,AC$4&gt;MESCLUN_BED_CAP,$A410+$B410+AC$4&gt;TOTAL_BEDS_AVAILABLE,($D410+AC$5)&gt;TOTAL_LABOR_HOURS_CAP,MAX(0,($D410+AC$5)-PERMANENT_FIELD_LABOR_HOURS)&gt;TEMP_HOURS_CAP),"",$C410+AC$6-MIN(($D410+AC$5),PERMANENT_FIELD_LABOR_HOURS)*PERMANENT_HOURLY_RATE-MAX(0,($D410+AC$5)-PERMANENT_FIELD_LABOR_HOURS)*TEMP_HOURLY_RATE-FIXED_SEASON_COST)</f>
        <v/>
      </c>
      <c r="AD410" s="53" t="str">
        <f aca="false">IF(OR($A410&gt;TOMATO_BED_CAP,$B410&gt;CARROT_BED_CAP,AD$4&gt;MESCLUN_BED_CAP,$A410+$B410+AD$4&gt;TOTAL_BEDS_AVAILABLE,($D410+AD$5)&gt;TOTAL_LABOR_HOURS_CAP,MAX(0,($D410+AD$5)-PERMANENT_FIELD_LABOR_HOURS)&gt;TEMP_HOURS_CAP),"",$C410+AD$6-MIN(($D410+AD$5),PERMANENT_FIELD_LABOR_HOURS)*PERMANENT_HOURLY_RATE-MAX(0,($D410+AD$5)-PERMANENT_FIELD_LABOR_HOURS)*TEMP_HOURLY_RATE-FIXED_SEASON_COST)</f>
        <v/>
      </c>
      <c r="AE410" s="53" t="str">
        <f aca="false">IF(OR($A410&gt;TOMATO_BED_CAP,$B410&gt;CARROT_BED_CAP,AE$4&gt;MESCLUN_BED_CAP,$A410+$B410+AE$4&gt;TOTAL_BEDS_AVAILABLE,($D410+AE$5)&gt;TOTAL_LABOR_HOURS_CAP,MAX(0,($D410+AE$5)-PERMANENT_FIELD_LABOR_HOURS)&gt;TEMP_HOURS_CAP),"",$C410+AE$6-MIN(($D410+AE$5),PERMANENT_FIELD_LABOR_HOURS)*PERMANENT_HOURLY_RATE-MAX(0,($D410+AE$5)-PERMANENT_FIELD_LABOR_HOURS)*TEMP_HOURLY_RATE-FIXED_SEASON_COST)</f>
        <v/>
      </c>
      <c r="AF410" s="53" t="str">
        <f aca="false">IF(OR($A410&gt;TOMATO_BED_CAP,$B410&gt;CARROT_BED_CAP,AF$4&gt;MESCLUN_BED_CAP,$A410+$B410+AF$4&gt;TOTAL_BEDS_AVAILABLE,($D410+AF$5)&gt;TOTAL_LABOR_HOURS_CAP,MAX(0,($D410+AF$5)-PERMANENT_FIELD_LABOR_HOURS)&gt;TEMP_HOURS_CAP),"",$C410+AF$6-MIN(($D410+AF$5),PERMANENT_FIELD_LABOR_HOURS)*PERMANENT_HOURLY_RATE-MAX(0,($D410+AF$5)-PERMANENT_FIELD_LABOR_HOURS)*TEMP_HOURLY_RATE-FIXED_SEASON_COST)</f>
        <v/>
      </c>
      <c r="AG410" s="53" t="str">
        <f aca="false">IF(OR($A410&gt;TOMATO_BED_CAP,$B410&gt;CARROT_BED_CAP,AG$4&gt;MESCLUN_BED_CAP,$A410+$B410+AG$4&gt;TOTAL_BEDS_AVAILABLE,($D410+AG$5)&gt;TOTAL_LABOR_HOURS_CAP,MAX(0,($D410+AG$5)-PERMANENT_FIELD_LABOR_HOURS)&gt;TEMP_HOURS_CAP),"",$C410+AG$6-MIN(($D410+AG$5),PERMANENT_FIELD_LABOR_HOURS)*PERMANENT_HOURLY_RATE-MAX(0,($D410+AG$5)-PERMANENT_FIELD_LABOR_HOURS)*TEMP_HOURLY_RATE-FIXED_SEASON_COST)</f>
        <v/>
      </c>
      <c r="AH410" s="53" t="str">
        <f aca="false">IF(OR($A410&gt;TOMATO_BED_CAP,$B410&gt;CARROT_BED_CAP,AH$4&gt;MESCLUN_BED_CAP,$A410+$B410+AH$4&gt;TOTAL_BEDS_AVAILABLE,($D410+AH$5)&gt;TOTAL_LABOR_HOURS_CAP,MAX(0,($D410+AH$5)-PERMANENT_FIELD_LABOR_HOURS)&gt;TEMP_HOURS_CAP),"",$C410+AH$6-MIN(($D410+AH$5),PERMANENT_FIELD_LABOR_HOURS)*PERMANENT_HOURLY_RATE-MAX(0,($D410+AH$5)-PERMANENT_FIELD_LABOR_HOURS)*TEMP_HOURLY_RATE-FIXED_SEASON_COST)</f>
        <v/>
      </c>
      <c r="AI410" s="53" t="str">
        <f aca="false">IF(OR($A410&gt;TOMATO_BED_CAP,$B410&gt;CARROT_BED_CAP,AI$4&gt;MESCLUN_BED_CAP,$A410+$B410+AI$4&gt;TOTAL_BEDS_AVAILABLE,($D410+AI$5)&gt;TOTAL_LABOR_HOURS_CAP,MAX(0,($D410+AI$5)-PERMANENT_FIELD_LABOR_HOURS)&gt;TEMP_HOURS_CAP),"",$C410+AI$6-MIN(($D410+AI$5),PERMANENT_FIELD_LABOR_HOURS)*PERMANENT_HOURLY_RATE-MAX(0,($D410+AI$5)-PERMANENT_FIELD_LABOR_HOURS)*TEMP_HOURLY_RATE-FIXED_SEASON_COST)</f>
        <v/>
      </c>
      <c r="AJ410" s="53" t="str">
        <f aca="false">IF(OR($A410&gt;TOMATO_BED_CAP,$B410&gt;CARROT_BED_CAP,AJ$4&gt;MESCLUN_BED_CAP,$A410+$B410+AJ$4&gt;TOTAL_BEDS_AVAILABLE,($D410+AJ$5)&gt;TOTAL_LABOR_HOURS_CAP,MAX(0,($D410+AJ$5)-PERMANENT_FIELD_LABOR_HOURS)&gt;TEMP_HOURS_CAP),"",$C410+AJ$6-MIN(($D410+AJ$5),PERMANENT_FIELD_LABOR_HOURS)*PERMANENT_HOURLY_RATE-MAX(0,($D410+AJ$5)-PERMANENT_FIELD_LABOR_HOURS)*TEMP_HOURLY_RATE-FIXED_SEASON_COST)</f>
        <v/>
      </c>
    </row>
    <row r="411" customFormat="false" ht="15" hidden="false" customHeight="false" outlineLevel="0" collapsed="false">
      <c r="A411" s="21" t="n">
        <f aca="false">INT((ROW()-ROW($A$8))/(20+1))</f>
        <v>19</v>
      </c>
      <c r="B411" s="21" t="n">
        <f aca="false">MOD(ROW()-ROW($A$8),20+1)</f>
        <v>4</v>
      </c>
      <c r="C411" s="13" t="n">
        <f aca="false">A411*(TOMATO_REVENUE_PER_BED-TOMATO_FERTILIZER_PER_BED)+B411*(CARROT_REVENUE_PER_BED-CARROT_FERTILIZER_PER_BED)</f>
        <v>157096</v>
      </c>
      <c r="D411" s="14" t="n">
        <f aca="false">INDEX(TOMATO_SCHED_LABOR_HRS,A411+1)+INDEX(CARROT_SCHED_LABOR_HRS,B411+1)</f>
        <v>10590.6090305352</v>
      </c>
      <c r="E411" s="13" t="str">
        <f aca="false">IF(COUNT(F411:AJ411)=0,"",MAX(F411:AJ411))</f>
        <v/>
      </c>
      <c r="F411" s="53" t="str">
        <f aca="false">IF(OR($A411&gt;TOMATO_BED_CAP,$B411&gt;CARROT_BED_CAP,F$4&gt;MESCLUN_BED_CAP,$A411+$B411+F$4&gt;TOTAL_BEDS_AVAILABLE,($D411+F$5)&gt;TOTAL_LABOR_HOURS_CAP,MAX(0,($D411+F$5)-PERMANENT_FIELD_LABOR_HOURS)&gt;TEMP_HOURS_CAP),"",$C411+F$6-MIN(($D411+F$5),PERMANENT_FIELD_LABOR_HOURS)*PERMANENT_HOURLY_RATE-MAX(0,($D411+F$5)-PERMANENT_FIELD_LABOR_HOURS)*TEMP_HOURLY_RATE-FIXED_SEASON_COST)</f>
        <v/>
      </c>
      <c r="G411" s="53" t="str">
        <f aca="false">IF(OR($A411&gt;TOMATO_BED_CAP,$B411&gt;CARROT_BED_CAP,G$4&gt;MESCLUN_BED_CAP,$A411+$B411+G$4&gt;TOTAL_BEDS_AVAILABLE,($D411+G$5)&gt;TOTAL_LABOR_HOURS_CAP,MAX(0,($D411+G$5)-PERMANENT_FIELD_LABOR_HOURS)&gt;TEMP_HOURS_CAP),"",$C411+G$6-MIN(($D411+G$5),PERMANENT_FIELD_LABOR_HOURS)*PERMANENT_HOURLY_RATE-MAX(0,($D411+G$5)-PERMANENT_FIELD_LABOR_HOURS)*TEMP_HOURLY_RATE-FIXED_SEASON_COST)</f>
        <v/>
      </c>
      <c r="H411" s="53" t="str">
        <f aca="false">IF(OR($A411&gt;TOMATO_BED_CAP,$B411&gt;CARROT_BED_CAP,H$4&gt;MESCLUN_BED_CAP,$A411+$B411+H$4&gt;TOTAL_BEDS_AVAILABLE,($D411+H$5)&gt;TOTAL_LABOR_HOURS_CAP,MAX(0,($D411+H$5)-PERMANENT_FIELD_LABOR_HOURS)&gt;TEMP_HOURS_CAP),"",$C411+H$6-MIN(($D411+H$5),PERMANENT_FIELD_LABOR_HOURS)*PERMANENT_HOURLY_RATE-MAX(0,($D411+H$5)-PERMANENT_FIELD_LABOR_HOURS)*TEMP_HOURLY_RATE-FIXED_SEASON_COST)</f>
        <v/>
      </c>
      <c r="I411" s="53" t="str">
        <f aca="false">IF(OR($A411&gt;TOMATO_BED_CAP,$B411&gt;CARROT_BED_CAP,I$4&gt;MESCLUN_BED_CAP,$A411+$B411+I$4&gt;TOTAL_BEDS_AVAILABLE,($D411+I$5)&gt;TOTAL_LABOR_HOURS_CAP,MAX(0,($D411+I$5)-PERMANENT_FIELD_LABOR_HOURS)&gt;TEMP_HOURS_CAP),"",$C411+I$6-MIN(($D411+I$5),PERMANENT_FIELD_LABOR_HOURS)*PERMANENT_HOURLY_RATE-MAX(0,($D411+I$5)-PERMANENT_FIELD_LABOR_HOURS)*TEMP_HOURLY_RATE-FIXED_SEASON_COST)</f>
        <v/>
      </c>
      <c r="J411" s="53" t="str">
        <f aca="false">IF(OR($A411&gt;TOMATO_BED_CAP,$B411&gt;CARROT_BED_CAP,J$4&gt;MESCLUN_BED_CAP,$A411+$B411+J$4&gt;TOTAL_BEDS_AVAILABLE,($D411+J$5)&gt;TOTAL_LABOR_HOURS_CAP,MAX(0,($D411+J$5)-PERMANENT_FIELD_LABOR_HOURS)&gt;TEMP_HOURS_CAP),"",$C411+J$6-MIN(($D411+J$5),PERMANENT_FIELD_LABOR_HOURS)*PERMANENT_HOURLY_RATE-MAX(0,($D411+J$5)-PERMANENT_FIELD_LABOR_HOURS)*TEMP_HOURLY_RATE-FIXED_SEASON_COST)</f>
        <v/>
      </c>
      <c r="K411" s="53" t="str">
        <f aca="false">IF(OR($A411&gt;TOMATO_BED_CAP,$B411&gt;CARROT_BED_CAP,K$4&gt;MESCLUN_BED_CAP,$A411+$B411+K$4&gt;TOTAL_BEDS_AVAILABLE,($D411+K$5)&gt;TOTAL_LABOR_HOURS_CAP,MAX(0,($D411+K$5)-PERMANENT_FIELD_LABOR_HOURS)&gt;TEMP_HOURS_CAP),"",$C411+K$6-MIN(($D411+K$5),PERMANENT_FIELD_LABOR_HOURS)*PERMANENT_HOURLY_RATE-MAX(0,($D411+K$5)-PERMANENT_FIELD_LABOR_HOURS)*TEMP_HOURLY_RATE-FIXED_SEASON_COST)</f>
        <v/>
      </c>
      <c r="L411" s="53" t="str">
        <f aca="false">IF(OR($A411&gt;TOMATO_BED_CAP,$B411&gt;CARROT_BED_CAP,L$4&gt;MESCLUN_BED_CAP,$A411+$B411+L$4&gt;TOTAL_BEDS_AVAILABLE,($D411+L$5)&gt;TOTAL_LABOR_HOURS_CAP,MAX(0,($D411+L$5)-PERMANENT_FIELD_LABOR_HOURS)&gt;TEMP_HOURS_CAP),"",$C411+L$6-MIN(($D411+L$5),PERMANENT_FIELD_LABOR_HOURS)*PERMANENT_HOURLY_RATE-MAX(0,($D411+L$5)-PERMANENT_FIELD_LABOR_HOURS)*TEMP_HOURLY_RATE-FIXED_SEASON_COST)</f>
        <v/>
      </c>
      <c r="M411" s="53" t="str">
        <f aca="false">IF(OR($A411&gt;TOMATO_BED_CAP,$B411&gt;CARROT_BED_CAP,M$4&gt;MESCLUN_BED_CAP,$A411+$B411+M$4&gt;TOTAL_BEDS_AVAILABLE,($D411+M$5)&gt;TOTAL_LABOR_HOURS_CAP,MAX(0,($D411+M$5)-PERMANENT_FIELD_LABOR_HOURS)&gt;TEMP_HOURS_CAP),"",$C411+M$6-MIN(($D411+M$5),PERMANENT_FIELD_LABOR_HOURS)*PERMANENT_HOURLY_RATE-MAX(0,($D411+M$5)-PERMANENT_FIELD_LABOR_HOURS)*TEMP_HOURLY_RATE-FIXED_SEASON_COST)</f>
        <v/>
      </c>
      <c r="N411" s="53" t="str">
        <f aca="false">IF(OR($A411&gt;TOMATO_BED_CAP,$B411&gt;CARROT_BED_CAP,N$4&gt;MESCLUN_BED_CAP,$A411+$B411+N$4&gt;TOTAL_BEDS_AVAILABLE,($D411+N$5)&gt;TOTAL_LABOR_HOURS_CAP,MAX(0,($D411+N$5)-PERMANENT_FIELD_LABOR_HOURS)&gt;TEMP_HOURS_CAP),"",$C411+N$6-MIN(($D411+N$5),PERMANENT_FIELD_LABOR_HOURS)*PERMANENT_HOURLY_RATE-MAX(0,($D411+N$5)-PERMANENT_FIELD_LABOR_HOURS)*TEMP_HOURLY_RATE-FIXED_SEASON_COST)</f>
        <v/>
      </c>
      <c r="O411" s="53" t="str">
        <f aca="false">IF(OR($A411&gt;TOMATO_BED_CAP,$B411&gt;CARROT_BED_CAP,O$4&gt;MESCLUN_BED_CAP,$A411+$B411+O$4&gt;TOTAL_BEDS_AVAILABLE,($D411+O$5)&gt;TOTAL_LABOR_HOURS_CAP,MAX(0,($D411+O$5)-PERMANENT_FIELD_LABOR_HOURS)&gt;TEMP_HOURS_CAP),"",$C411+O$6-MIN(($D411+O$5),PERMANENT_FIELD_LABOR_HOURS)*PERMANENT_HOURLY_RATE-MAX(0,($D411+O$5)-PERMANENT_FIELD_LABOR_HOURS)*TEMP_HOURLY_RATE-FIXED_SEASON_COST)</f>
        <v/>
      </c>
      <c r="P411" s="53" t="str">
        <f aca="false">IF(OR($A411&gt;TOMATO_BED_CAP,$B411&gt;CARROT_BED_CAP,P$4&gt;MESCLUN_BED_CAP,$A411+$B411+P$4&gt;TOTAL_BEDS_AVAILABLE,($D411+P$5)&gt;TOTAL_LABOR_HOURS_CAP,MAX(0,($D411+P$5)-PERMANENT_FIELD_LABOR_HOURS)&gt;TEMP_HOURS_CAP),"",$C411+P$6-MIN(($D411+P$5),PERMANENT_FIELD_LABOR_HOURS)*PERMANENT_HOURLY_RATE-MAX(0,($D411+P$5)-PERMANENT_FIELD_LABOR_HOURS)*TEMP_HOURLY_RATE-FIXED_SEASON_COST)</f>
        <v/>
      </c>
      <c r="Q411" s="53" t="str">
        <f aca="false">IF(OR($A411&gt;TOMATO_BED_CAP,$B411&gt;CARROT_BED_CAP,Q$4&gt;MESCLUN_BED_CAP,$A411+$B411+Q$4&gt;TOTAL_BEDS_AVAILABLE,($D411+Q$5)&gt;TOTAL_LABOR_HOURS_CAP,MAX(0,($D411+Q$5)-PERMANENT_FIELD_LABOR_HOURS)&gt;TEMP_HOURS_CAP),"",$C411+Q$6-MIN(($D411+Q$5),PERMANENT_FIELD_LABOR_HOURS)*PERMANENT_HOURLY_RATE-MAX(0,($D411+Q$5)-PERMANENT_FIELD_LABOR_HOURS)*TEMP_HOURLY_RATE-FIXED_SEASON_COST)</f>
        <v/>
      </c>
      <c r="R411" s="53" t="str">
        <f aca="false">IF(OR($A411&gt;TOMATO_BED_CAP,$B411&gt;CARROT_BED_CAP,R$4&gt;MESCLUN_BED_CAP,$A411+$B411+R$4&gt;TOTAL_BEDS_AVAILABLE,($D411+R$5)&gt;TOTAL_LABOR_HOURS_CAP,MAX(0,($D411+R$5)-PERMANENT_FIELD_LABOR_HOURS)&gt;TEMP_HOURS_CAP),"",$C411+R$6-MIN(($D411+R$5),PERMANENT_FIELD_LABOR_HOURS)*PERMANENT_HOURLY_RATE-MAX(0,($D411+R$5)-PERMANENT_FIELD_LABOR_HOURS)*TEMP_HOURLY_RATE-FIXED_SEASON_COST)</f>
        <v/>
      </c>
      <c r="S411" s="53" t="str">
        <f aca="false">IF(OR($A411&gt;TOMATO_BED_CAP,$B411&gt;CARROT_BED_CAP,S$4&gt;MESCLUN_BED_CAP,$A411+$B411+S$4&gt;TOTAL_BEDS_AVAILABLE,($D411+S$5)&gt;TOTAL_LABOR_HOURS_CAP,MAX(0,($D411+S$5)-PERMANENT_FIELD_LABOR_HOURS)&gt;TEMP_HOURS_CAP),"",$C411+S$6-MIN(($D411+S$5),PERMANENT_FIELD_LABOR_HOURS)*PERMANENT_HOURLY_RATE-MAX(0,($D411+S$5)-PERMANENT_FIELD_LABOR_HOURS)*TEMP_HOURLY_RATE-FIXED_SEASON_COST)</f>
        <v/>
      </c>
      <c r="T411" s="53" t="str">
        <f aca="false">IF(OR($A411&gt;TOMATO_BED_CAP,$B411&gt;CARROT_BED_CAP,T$4&gt;MESCLUN_BED_CAP,$A411+$B411+T$4&gt;TOTAL_BEDS_AVAILABLE,($D411+T$5)&gt;TOTAL_LABOR_HOURS_CAP,MAX(0,($D411+T$5)-PERMANENT_FIELD_LABOR_HOURS)&gt;TEMP_HOURS_CAP),"",$C411+T$6-MIN(($D411+T$5),PERMANENT_FIELD_LABOR_HOURS)*PERMANENT_HOURLY_RATE-MAX(0,($D411+T$5)-PERMANENT_FIELD_LABOR_HOURS)*TEMP_HOURLY_RATE-FIXED_SEASON_COST)</f>
        <v/>
      </c>
      <c r="U411" s="53" t="str">
        <f aca="false">IF(OR($A411&gt;TOMATO_BED_CAP,$B411&gt;CARROT_BED_CAP,U$4&gt;MESCLUN_BED_CAP,$A411+$B411+U$4&gt;TOTAL_BEDS_AVAILABLE,($D411+U$5)&gt;TOTAL_LABOR_HOURS_CAP,MAX(0,($D411+U$5)-PERMANENT_FIELD_LABOR_HOURS)&gt;TEMP_HOURS_CAP),"",$C411+U$6-MIN(($D411+U$5),PERMANENT_FIELD_LABOR_HOURS)*PERMANENT_HOURLY_RATE-MAX(0,($D411+U$5)-PERMANENT_FIELD_LABOR_HOURS)*TEMP_HOURLY_RATE-FIXED_SEASON_COST)</f>
        <v/>
      </c>
      <c r="V411" s="53" t="str">
        <f aca="false">IF(OR($A411&gt;TOMATO_BED_CAP,$B411&gt;CARROT_BED_CAP,V$4&gt;MESCLUN_BED_CAP,$A411+$B411+V$4&gt;TOTAL_BEDS_AVAILABLE,($D411+V$5)&gt;TOTAL_LABOR_HOURS_CAP,MAX(0,($D411+V$5)-PERMANENT_FIELD_LABOR_HOURS)&gt;TEMP_HOURS_CAP),"",$C411+V$6-MIN(($D411+V$5),PERMANENT_FIELD_LABOR_HOURS)*PERMANENT_HOURLY_RATE-MAX(0,($D411+V$5)-PERMANENT_FIELD_LABOR_HOURS)*TEMP_HOURLY_RATE-FIXED_SEASON_COST)</f>
        <v/>
      </c>
      <c r="W411" s="53" t="str">
        <f aca="false">IF(OR($A411&gt;TOMATO_BED_CAP,$B411&gt;CARROT_BED_CAP,W$4&gt;MESCLUN_BED_CAP,$A411+$B411+W$4&gt;TOTAL_BEDS_AVAILABLE,($D411+W$5)&gt;TOTAL_LABOR_HOURS_CAP,MAX(0,($D411+W$5)-PERMANENT_FIELD_LABOR_HOURS)&gt;TEMP_HOURS_CAP),"",$C411+W$6-MIN(($D411+W$5),PERMANENT_FIELD_LABOR_HOURS)*PERMANENT_HOURLY_RATE-MAX(0,($D411+W$5)-PERMANENT_FIELD_LABOR_HOURS)*TEMP_HOURLY_RATE-FIXED_SEASON_COST)</f>
        <v/>
      </c>
      <c r="X411" s="53" t="str">
        <f aca="false">IF(OR($A411&gt;TOMATO_BED_CAP,$B411&gt;CARROT_BED_CAP,X$4&gt;MESCLUN_BED_CAP,$A411+$B411+X$4&gt;TOTAL_BEDS_AVAILABLE,($D411+X$5)&gt;TOTAL_LABOR_HOURS_CAP,MAX(0,($D411+X$5)-PERMANENT_FIELD_LABOR_HOURS)&gt;TEMP_HOURS_CAP),"",$C411+X$6-MIN(($D411+X$5),PERMANENT_FIELD_LABOR_HOURS)*PERMANENT_HOURLY_RATE-MAX(0,($D411+X$5)-PERMANENT_FIELD_LABOR_HOURS)*TEMP_HOURLY_RATE-FIXED_SEASON_COST)</f>
        <v/>
      </c>
      <c r="Y411" s="53" t="str">
        <f aca="false">IF(OR($A411&gt;TOMATO_BED_CAP,$B411&gt;CARROT_BED_CAP,Y$4&gt;MESCLUN_BED_CAP,$A411+$B411+Y$4&gt;TOTAL_BEDS_AVAILABLE,($D411+Y$5)&gt;TOTAL_LABOR_HOURS_CAP,MAX(0,($D411+Y$5)-PERMANENT_FIELD_LABOR_HOURS)&gt;TEMP_HOURS_CAP),"",$C411+Y$6-MIN(($D411+Y$5),PERMANENT_FIELD_LABOR_HOURS)*PERMANENT_HOURLY_RATE-MAX(0,($D411+Y$5)-PERMANENT_FIELD_LABOR_HOURS)*TEMP_HOURLY_RATE-FIXED_SEASON_COST)</f>
        <v/>
      </c>
      <c r="Z411" s="53" t="str">
        <f aca="false">IF(OR($A411&gt;TOMATO_BED_CAP,$B411&gt;CARROT_BED_CAP,Z$4&gt;MESCLUN_BED_CAP,$A411+$B411+Z$4&gt;TOTAL_BEDS_AVAILABLE,($D411+Z$5)&gt;TOTAL_LABOR_HOURS_CAP,MAX(0,($D411+Z$5)-PERMANENT_FIELD_LABOR_HOURS)&gt;TEMP_HOURS_CAP),"",$C411+Z$6-MIN(($D411+Z$5),PERMANENT_FIELD_LABOR_HOURS)*PERMANENT_HOURLY_RATE-MAX(0,($D411+Z$5)-PERMANENT_FIELD_LABOR_HOURS)*TEMP_HOURLY_RATE-FIXED_SEASON_COST)</f>
        <v/>
      </c>
      <c r="AA411" s="53" t="str">
        <f aca="false">IF(OR($A411&gt;TOMATO_BED_CAP,$B411&gt;CARROT_BED_CAP,AA$4&gt;MESCLUN_BED_CAP,$A411+$B411+AA$4&gt;TOTAL_BEDS_AVAILABLE,($D411+AA$5)&gt;TOTAL_LABOR_HOURS_CAP,MAX(0,($D411+AA$5)-PERMANENT_FIELD_LABOR_HOURS)&gt;TEMP_HOURS_CAP),"",$C411+AA$6-MIN(($D411+AA$5),PERMANENT_FIELD_LABOR_HOURS)*PERMANENT_HOURLY_RATE-MAX(0,($D411+AA$5)-PERMANENT_FIELD_LABOR_HOURS)*TEMP_HOURLY_RATE-FIXED_SEASON_COST)</f>
        <v/>
      </c>
      <c r="AB411" s="53" t="str">
        <f aca="false">IF(OR($A411&gt;TOMATO_BED_CAP,$B411&gt;CARROT_BED_CAP,AB$4&gt;MESCLUN_BED_CAP,$A411+$B411+AB$4&gt;TOTAL_BEDS_AVAILABLE,($D411+AB$5)&gt;TOTAL_LABOR_HOURS_CAP,MAX(0,($D411+AB$5)-PERMANENT_FIELD_LABOR_HOURS)&gt;TEMP_HOURS_CAP),"",$C411+AB$6-MIN(($D411+AB$5),PERMANENT_FIELD_LABOR_HOURS)*PERMANENT_HOURLY_RATE-MAX(0,($D411+AB$5)-PERMANENT_FIELD_LABOR_HOURS)*TEMP_HOURLY_RATE-FIXED_SEASON_COST)</f>
        <v/>
      </c>
      <c r="AC411" s="53" t="str">
        <f aca="false">IF(OR($A411&gt;TOMATO_BED_CAP,$B411&gt;CARROT_BED_CAP,AC$4&gt;MESCLUN_BED_CAP,$A411+$B411+AC$4&gt;TOTAL_BEDS_AVAILABLE,($D411+AC$5)&gt;TOTAL_LABOR_HOURS_CAP,MAX(0,($D411+AC$5)-PERMANENT_FIELD_LABOR_HOURS)&gt;TEMP_HOURS_CAP),"",$C411+AC$6-MIN(($D411+AC$5),PERMANENT_FIELD_LABOR_HOURS)*PERMANENT_HOURLY_RATE-MAX(0,($D411+AC$5)-PERMANENT_FIELD_LABOR_HOURS)*TEMP_HOURLY_RATE-FIXED_SEASON_COST)</f>
        <v/>
      </c>
      <c r="AD411" s="53" t="str">
        <f aca="false">IF(OR($A411&gt;TOMATO_BED_CAP,$B411&gt;CARROT_BED_CAP,AD$4&gt;MESCLUN_BED_CAP,$A411+$B411+AD$4&gt;TOTAL_BEDS_AVAILABLE,($D411+AD$5)&gt;TOTAL_LABOR_HOURS_CAP,MAX(0,($D411+AD$5)-PERMANENT_FIELD_LABOR_HOURS)&gt;TEMP_HOURS_CAP),"",$C411+AD$6-MIN(($D411+AD$5),PERMANENT_FIELD_LABOR_HOURS)*PERMANENT_HOURLY_RATE-MAX(0,($D411+AD$5)-PERMANENT_FIELD_LABOR_HOURS)*TEMP_HOURLY_RATE-FIXED_SEASON_COST)</f>
        <v/>
      </c>
      <c r="AE411" s="53" t="str">
        <f aca="false">IF(OR($A411&gt;TOMATO_BED_CAP,$B411&gt;CARROT_BED_CAP,AE$4&gt;MESCLUN_BED_CAP,$A411+$B411+AE$4&gt;TOTAL_BEDS_AVAILABLE,($D411+AE$5)&gt;TOTAL_LABOR_HOURS_CAP,MAX(0,($D411+AE$5)-PERMANENT_FIELD_LABOR_HOURS)&gt;TEMP_HOURS_CAP),"",$C411+AE$6-MIN(($D411+AE$5),PERMANENT_FIELD_LABOR_HOURS)*PERMANENT_HOURLY_RATE-MAX(0,($D411+AE$5)-PERMANENT_FIELD_LABOR_HOURS)*TEMP_HOURLY_RATE-FIXED_SEASON_COST)</f>
        <v/>
      </c>
      <c r="AF411" s="53" t="str">
        <f aca="false">IF(OR($A411&gt;TOMATO_BED_CAP,$B411&gt;CARROT_BED_CAP,AF$4&gt;MESCLUN_BED_CAP,$A411+$B411+AF$4&gt;TOTAL_BEDS_AVAILABLE,($D411+AF$5)&gt;TOTAL_LABOR_HOURS_CAP,MAX(0,($D411+AF$5)-PERMANENT_FIELD_LABOR_HOURS)&gt;TEMP_HOURS_CAP),"",$C411+AF$6-MIN(($D411+AF$5),PERMANENT_FIELD_LABOR_HOURS)*PERMANENT_HOURLY_RATE-MAX(0,($D411+AF$5)-PERMANENT_FIELD_LABOR_HOURS)*TEMP_HOURLY_RATE-FIXED_SEASON_COST)</f>
        <v/>
      </c>
      <c r="AG411" s="53" t="str">
        <f aca="false">IF(OR($A411&gt;TOMATO_BED_CAP,$B411&gt;CARROT_BED_CAP,AG$4&gt;MESCLUN_BED_CAP,$A411+$B411+AG$4&gt;TOTAL_BEDS_AVAILABLE,($D411+AG$5)&gt;TOTAL_LABOR_HOURS_CAP,MAX(0,($D411+AG$5)-PERMANENT_FIELD_LABOR_HOURS)&gt;TEMP_HOURS_CAP),"",$C411+AG$6-MIN(($D411+AG$5),PERMANENT_FIELD_LABOR_HOURS)*PERMANENT_HOURLY_RATE-MAX(0,($D411+AG$5)-PERMANENT_FIELD_LABOR_HOURS)*TEMP_HOURLY_RATE-FIXED_SEASON_COST)</f>
        <v/>
      </c>
      <c r="AH411" s="53" t="str">
        <f aca="false">IF(OR($A411&gt;TOMATO_BED_CAP,$B411&gt;CARROT_BED_CAP,AH$4&gt;MESCLUN_BED_CAP,$A411+$B411+AH$4&gt;TOTAL_BEDS_AVAILABLE,($D411+AH$5)&gt;TOTAL_LABOR_HOURS_CAP,MAX(0,($D411+AH$5)-PERMANENT_FIELD_LABOR_HOURS)&gt;TEMP_HOURS_CAP),"",$C411+AH$6-MIN(($D411+AH$5),PERMANENT_FIELD_LABOR_HOURS)*PERMANENT_HOURLY_RATE-MAX(0,($D411+AH$5)-PERMANENT_FIELD_LABOR_HOURS)*TEMP_HOURLY_RATE-FIXED_SEASON_COST)</f>
        <v/>
      </c>
      <c r="AI411" s="53" t="str">
        <f aca="false">IF(OR($A411&gt;TOMATO_BED_CAP,$B411&gt;CARROT_BED_CAP,AI$4&gt;MESCLUN_BED_CAP,$A411+$B411+AI$4&gt;TOTAL_BEDS_AVAILABLE,($D411+AI$5)&gt;TOTAL_LABOR_HOURS_CAP,MAX(0,($D411+AI$5)-PERMANENT_FIELD_LABOR_HOURS)&gt;TEMP_HOURS_CAP),"",$C411+AI$6-MIN(($D411+AI$5),PERMANENT_FIELD_LABOR_HOURS)*PERMANENT_HOURLY_RATE-MAX(0,($D411+AI$5)-PERMANENT_FIELD_LABOR_HOURS)*TEMP_HOURLY_RATE-FIXED_SEASON_COST)</f>
        <v/>
      </c>
      <c r="AJ411" s="53" t="str">
        <f aca="false">IF(OR($A411&gt;TOMATO_BED_CAP,$B411&gt;CARROT_BED_CAP,AJ$4&gt;MESCLUN_BED_CAP,$A411+$B411+AJ$4&gt;TOTAL_BEDS_AVAILABLE,($D411+AJ$5)&gt;TOTAL_LABOR_HOURS_CAP,MAX(0,($D411+AJ$5)-PERMANENT_FIELD_LABOR_HOURS)&gt;TEMP_HOURS_CAP),"",$C411+AJ$6-MIN(($D411+AJ$5),PERMANENT_FIELD_LABOR_HOURS)*PERMANENT_HOURLY_RATE-MAX(0,($D411+AJ$5)-PERMANENT_FIELD_LABOR_HOURS)*TEMP_HOURLY_RATE-FIXED_SEASON_COST)</f>
        <v/>
      </c>
    </row>
    <row r="412" customFormat="false" ht="15" hidden="false" customHeight="false" outlineLevel="0" collapsed="false">
      <c r="A412" s="21" t="n">
        <f aca="false">INT((ROW()-ROW($A$8))/(20+1))</f>
        <v>19</v>
      </c>
      <c r="B412" s="21" t="n">
        <f aca="false">MOD(ROW()-ROW($A$8),20+1)</f>
        <v>5</v>
      </c>
      <c r="C412" s="13" t="n">
        <f aca="false">A412*(TOMATO_REVENUE_PER_BED-TOMATO_FERTILIZER_PER_BED)+B412*(CARROT_REVENUE_PER_BED-CARROT_FERTILIZER_PER_BED)</f>
        <v>158750</v>
      </c>
      <c r="D412" s="14" t="n">
        <f aca="false">INDEX(TOMATO_SCHED_LABOR_HRS,A412+1)+INDEX(CARROT_SCHED_LABOR_HRS,B412+1)</f>
        <v>10627.8478141197</v>
      </c>
      <c r="E412" s="13" t="str">
        <f aca="false">IF(COUNT(F412:AJ412)=0,"",MAX(F412:AJ412))</f>
        <v/>
      </c>
      <c r="F412" s="53" t="str">
        <f aca="false">IF(OR($A412&gt;TOMATO_BED_CAP,$B412&gt;CARROT_BED_CAP,F$4&gt;MESCLUN_BED_CAP,$A412+$B412+F$4&gt;TOTAL_BEDS_AVAILABLE,($D412+F$5)&gt;TOTAL_LABOR_HOURS_CAP,MAX(0,($D412+F$5)-PERMANENT_FIELD_LABOR_HOURS)&gt;TEMP_HOURS_CAP),"",$C412+F$6-MIN(($D412+F$5),PERMANENT_FIELD_LABOR_HOURS)*PERMANENT_HOURLY_RATE-MAX(0,($D412+F$5)-PERMANENT_FIELD_LABOR_HOURS)*TEMP_HOURLY_RATE-FIXED_SEASON_COST)</f>
        <v/>
      </c>
      <c r="G412" s="53" t="str">
        <f aca="false">IF(OR($A412&gt;TOMATO_BED_CAP,$B412&gt;CARROT_BED_CAP,G$4&gt;MESCLUN_BED_CAP,$A412+$B412+G$4&gt;TOTAL_BEDS_AVAILABLE,($D412+G$5)&gt;TOTAL_LABOR_HOURS_CAP,MAX(0,($D412+G$5)-PERMANENT_FIELD_LABOR_HOURS)&gt;TEMP_HOURS_CAP),"",$C412+G$6-MIN(($D412+G$5),PERMANENT_FIELD_LABOR_HOURS)*PERMANENT_HOURLY_RATE-MAX(0,($D412+G$5)-PERMANENT_FIELD_LABOR_HOURS)*TEMP_HOURLY_RATE-FIXED_SEASON_COST)</f>
        <v/>
      </c>
      <c r="H412" s="53" t="str">
        <f aca="false">IF(OR($A412&gt;TOMATO_BED_CAP,$B412&gt;CARROT_BED_CAP,H$4&gt;MESCLUN_BED_CAP,$A412+$B412+H$4&gt;TOTAL_BEDS_AVAILABLE,($D412+H$5)&gt;TOTAL_LABOR_HOURS_CAP,MAX(0,($D412+H$5)-PERMANENT_FIELD_LABOR_HOURS)&gt;TEMP_HOURS_CAP),"",$C412+H$6-MIN(($D412+H$5),PERMANENT_FIELD_LABOR_HOURS)*PERMANENT_HOURLY_RATE-MAX(0,($D412+H$5)-PERMANENT_FIELD_LABOR_HOURS)*TEMP_HOURLY_RATE-FIXED_SEASON_COST)</f>
        <v/>
      </c>
      <c r="I412" s="53" t="str">
        <f aca="false">IF(OR($A412&gt;TOMATO_BED_CAP,$B412&gt;CARROT_BED_CAP,I$4&gt;MESCLUN_BED_CAP,$A412+$B412+I$4&gt;TOTAL_BEDS_AVAILABLE,($D412+I$5)&gt;TOTAL_LABOR_HOURS_CAP,MAX(0,($D412+I$5)-PERMANENT_FIELD_LABOR_HOURS)&gt;TEMP_HOURS_CAP),"",$C412+I$6-MIN(($D412+I$5),PERMANENT_FIELD_LABOR_HOURS)*PERMANENT_HOURLY_RATE-MAX(0,($D412+I$5)-PERMANENT_FIELD_LABOR_HOURS)*TEMP_HOURLY_RATE-FIXED_SEASON_COST)</f>
        <v/>
      </c>
      <c r="J412" s="53" t="str">
        <f aca="false">IF(OR($A412&gt;TOMATO_BED_CAP,$B412&gt;CARROT_BED_CAP,J$4&gt;MESCLUN_BED_CAP,$A412+$B412+J$4&gt;TOTAL_BEDS_AVAILABLE,($D412+J$5)&gt;TOTAL_LABOR_HOURS_CAP,MAX(0,($D412+J$5)-PERMANENT_FIELD_LABOR_HOURS)&gt;TEMP_HOURS_CAP),"",$C412+J$6-MIN(($D412+J$5),PERMANENT_FIELD_LABOR_HOURS)*PERMANENT_HOURLY_RATE-MAX(0,($D412+J$5)-PERMANENT_FIELD_LABOR_HOURS)*TEMP_HOURLY_RATE-FIXED_SEASON_COST)</f>
        <v/>
      </c>
      <c r="K412" s="53" t="str">
        <f aca="false">IF(OR($A412&gt;TOMATO_BED_CAP,$B412&gt;CARROT_BED_CAP,K$4&gt;MESCLUN_BED_CAP,$A412+$B412+K$4&gt;TOTAL_BEDS_AVAILABLE,($D412+K$5)&gt;TOTAL_LABOR_HOURS_CAP,MAX(0,($D412+K$5)-PERMANENT_FIELD_LABOR_HOURS)&gt;TEMP_HOURS_CAP),"",$C412+K$6-MIN(($D412+K$5),PERMANENT_FIELD_LABOR_HOURS)*PERMANENT_HOURLY_RATE-MAX(0,($D412+K$5)-PERMANENT_FIELD_LABOR_HOURS)*TEMP_HOURLY_RATE-FIXED_SEASON_COST)</f>
        <v/>
      </c>
      <c r="L412" s="53" t="str">
        <f aca="false">IF(OR($A412&gt;TOMATO_BED_CAP,$B412&gt;CARROT_BED_CAP,L$4&gt;MESCLUN_BED_CAP,$A412+$B412+L$4&gt;TOTAL_BEDS_AVAILABLE,($D412+L$5)&gt;TOTAL_LABOR_HOURS_CAP,MAX(0,($D412+L$5)-PERMANENT_FIELD_LABOR_HOURS)&gt;TEMP_HOURS_CAP),"",$C412+L$6-MIN(($D412+L$5),PERMANENT_FIELD_LABOR_HOURS)*PERMANENT_HOURLY_RATE-MAX(0,($D412+L$5)-PERMANENT_FIELD_LABOR_HOURS)*TEMP_HOURLY_RATE-FIXED_SEASON_COST)</f>
        <v/>
      </c>
      <c r="M412" s="53" t="str">
        <f aca="false">IF(OR($A412&gt;TOMATO_BED_CAP,$B412&gt;CARROT_BED_CAP,M$4&gt;MESCLUN_BED_CAP,$A412+$B412+M$4&gt;TOTAL_BEDS_AVAILABLE,($D412+M$5)&gt;TOTAL_LABOR_HOURS_CAP,MAX(0,($D412+M$5)-PERMANENT_FIELD_LABOR_HOURS)&gt;TEMP_HOURS_CAP),"",$C412+M$6-MIN(($D412+M$5),PERMANENT_FIELD_LABOR_HOURS)*PERMANENT_HOURLY_RATE-MAX(0,($D412+M$5)-PERMANENT_FIELD_LABOR_HOURS)*TEMP_HOURLY_RATE-FIXED_SEASON_COST)</f>
        <v/>
      </c>
      <c r="N412" s="53" t="str">
        <f aca="false">IF(OR($A412&gt;TOMATO_BED_CAP,$B412&gt;CARROT_BED_CAP,N$4&gt;MESCLUN_BED_CAP,$A412+$B412+N$4&gt;TOTAL_BEDS_AVAILABLE,($D412+N$5)&gt;TOTAL_LABOR_HOURS_CAP,MAX(0,($D412+N$5)-PERMANENT_FIELD_LABOR_HOURS)&gt;TEMP_HOURS_CAP),"",$C412+N$6-MIN(($D412+N$5),PERMANENT_FIELD_LABOR_HOURS)*PERMANENT_HOURLY_RATE-MAX(0,($D412+N$5)-PERMANENT_FIELD_LABOR_HOURS)*TEMP_HOURLY_RATE-FIXED_SEASON_COST)</f>
        <v/>
      </c>
      <c r="O412" s="53" t="str">
        <f aca="false">IF(OR($A412&gt;TOMATO_BED_CAP,$B412&gt;CARROT_BED_CAP,O$4&gt;MESCLUN_BED_CAP,$A412+$B412+O$4&gt;TOTAL_BEDS_AVAILABLE,($D412+O$5)&gt;TOTAL_LABOR_HOURS_CAP,MAX(0,($D412+O$5)-PERMANENT_FIELD_LABOR_HOURS)&gt;TEMP_HOURS_CAP),"",$C412+O$6-MIN(($D412+O$5),PERMANENT_FIELD_LABOR_HOURS)*PERMANENT_HOURLY_RATE-MAX(0,($D412+O$5)-PERMANENT_FIELD_LABOR_HOURS)*TEMP_HOURLY_RATE-FIXED_SEASON_COST)</f>
        <v/>
      </c>
      <c r="P412" s="53" t="str">
        <f aca="false">IF(OR($A412&gt;TOMATO_BED_CAP,$B412&gt;CARROT_BED_CAP,P$4&gt;MESCLUN_BED_CAP,$A412+$B412+P$4&gt;TOTAL_BEDS_AVAILABLE,($D412+P$5)&gt;TOTAL_LABOR_HOURS_CAP,MAX(0,($D412+P$5)-PERMANENT_FIELD_LABOR_HOURS)&gt;TEMP_HOURS_CAP),"",$C412+P$6-MIN(($D412+P$5),PERMANENT_FIELD_LABOR_HOURS)*PERMANENT_HOURLY_RATE-MAX(0,($D412+P$5)-PERMANENT_FIELD_LABOR_HOURS)*TEMP_HOURLY_RATE-FIXED_SEASON_COST)</f>
        <v/>
      </c>
      <c r="Q412" s="53" t="str">
        <f aca="false">IF(OR($A412&gt;TOMATO_BED_CAP,$B412&gt;CARROT_BED_CAP,Q$4&gt;MESCLUN_BED_CAP,$A412+$B412+Q$4&gt;TOTAL_BEDS_AVAILABLE,($D412+Q$5)&gt;TOTAL_LABOR_HOURS_CAP,MAX(0,($D412+Q$5)-PERMANENT_FIELD_LABOR_HOURS)&gt;TEMP_HOURS_CAP),"",$C412+Q$6-MIN(($D412+Q$5),PERMANENT_FIELD_LABOR_HOURS)*PERMANENT_HOURLY_RATE-MAX(0,($D412+Q$5)-PERMANENT_FIELD_LABOR_HOURS)*TEMP_HOURLY_RATE-FIXED_SEASON_COST)</f>
        <v/>
      </c>
      <c r="R412" s="53" t="str">
        <f aca="false">IF(OR($A412&gt;TOMATO_BED_CAP,$B412&gt;CARROT_BED_CAP,R$4&gt;MESCLUN_BED_CAP,$A412+$B412+R$4&gt;TOTAL_BEDS_AVAILABLE,($D412+R$5)&gt;TOTAL_LABOR_HOURS_CAP,MAX(0,($D412+R$5)-PERMANENT_FIELD_LABOR_HOURS)&gt;TEMP_HOURS_CAP),"",$C412+R$6-MIN(($D412+R$5),PERMANENT_FIELD_LABOR_HOURS)*PERMANENT_HOURLY_RATE-MAX(0,($D412+R$5)-PERMANENT_FIELD_LABOR_HOURS)*TEMP_HOURLY_RATE-FIXED_SEASON_COST)</f>
        <v/>
      </c>
      <c r="S412" s="53" t="str">
        <f aca="false">IF(OR($A412&gt;TOMATO_BED_CAP,$B412&gt;CARROT_BED_CAP,S$4&gt;MESCLUN_BED_CAP,$A412+$B412+S$4&gt;TOTAL_BEDS_AVAILABLE,($D412+S$5)&gt;TOTAL_LABOR_HOURS_CAP,MAX(0,($D412+S$5)-PERMANENT_FIELD_LABOR_HOURS)&gt;TEMP_HOURS_CAP),"",$C412+S$6-MIN(($D412+S$5),PERMANENT_FIELD_LABOR_HOURS)*PERMANENT_HOURLY_RATE-MAX(0,($D412+S$5)-PERMANENT_FIELD_LABOR_HOURS)*TEMP_HOURLY_RATE-FIXED_SEASON_COST)</f>
        <v/>
      </c>
      <c r="T412" s="53" t="str">
        <f aca="false">IF(OR($A412&gt;TOMATO_BED_CAP,$B412&gt;CARROT_BED_CAP,T$4&gt;MESCLUN_BED_CAP,$A412+$B412+T$4&gt;TOTAL_BEDS_AVAILABLE,($D412+T$5)&gt;TOTAL_LABOR_HOURS_CAP,MAX(0,($D412+T$5)-PERMANENT_FIELD_LABOR_HOURS)&gt;TEMP_HOURS_CAP),"",$C412+T$6-MIN(($D412+T$5),PERMANENT_FIELD_LABOR_HOURS)*PERMANENT_HOURLY_RATE-MAX(0,($D412+T$5)-PERMANENT_FIELD_LABOR_HOURS)*TEMP_HOURLY_RATE-FIXED_SEASON_COST)</f>
        <v/>
      </c>
      <c r="U412" s="53" t="str">
        <f aca="false">IF(OR($A412&gt;TOMATO_BED_CAP,$B412&gt;CARROT_BED_CAP,U$4&gt;MESCLUN_BED_CAP,$A412+$B412+U$4&gt;TOTAL_BEDS_AVAILABLE,($D412+U$5)&gt;TOTAL_LABOR_HOURS_CAP,MAX(0,($D412+U$5)-PERMANENT_FIELD_LABOR_HOURS)&gt;TEMP_HOURS_CAP),"",$C412+U$6-MIN(($D412+U$5),PERMANENT_FIELD_LABOR_HOURS)*PERMANENT_HOURLY_RATE-MAX(0,($D412+U$5)-PERMANENT_FIELD_LABOR_HOURS)*TEMP_HOURLY_RATE-FIXED_SEASON_COST)</f>
        <v/>
      </c>
      <c r="V412" s="53" t="str">
        <f aca="false">IF(OR($A412&gt;TOMATO_BED_CAP,$B412&gt;CARROT_BED_CAP,V$4&gt;MESCLUN_BED_CAP,$A412+$B412+V$4&gt;TOTAL_BEDS_AVAILABLE,($D412+V$5)&gt;TOTAL_LABOR_HOURS_CAP,MAX(0,($D412+V$5)-PERMANENT_FIELD_LABOR_HOURS)&gt;TEMP_HOURS_CAP),"",$C412+V$6-MIN(($D412+V$5),PERMANENT_FIELD_LABOR_HOURS)*PERMANENT_HOURLY_RATE-MAX(0,($D412+V$5)-PERMANENT_FIELD_LABOR_HOURS)*TEMP_HOURLY_RATE-FIXED_SEASON_COST)</f>
        <v/>
      </c>
      <c r="W412" s="53" t="str">
        <f aca="false">IF(OR($A412&gt;TOMATO_BED_CAP,$B412&gt;CARROT_BED_CAP,W$4&gt;MESCLUN_BED_CAP,$A412+$B412+W$4&gt;TOTAL_BEDS_AVAILABLE,($D412+W$5)&gt;TOTAL_LABOR_HOURS_CAP,MAX(0,($D412+W$5)-PERMANENT_FIELD_LABOR_HOURS)&gt;TEMP_HOURS_CAP),"",$C412+W$6-MIN(($D412+W$5),PERMANENT_FIELD_LABOR_HOURS)*PERMANENT_HOURLY_RATE-MAX(0,($D412+W$5)-PERMANENT_FIELD_LABOR_HOURS)*TEMP_HOURLY_RATE-FIXED_SEASON_COST)</f>
        <v/>
      </c>
      <c r="X412" s="53" t="str">
        <f aca="false">IF(OR($A412&gt;TOMATO_BED_CAP,$B412&gt;CARROT_BED_CAP,X$4&gt;MESCLUN_BED_CAP,$A412+$B412+X$4&gt;TOTAL_BEDS_AVAILABLE,($D412+X$5)&gt;TOTAL_LABOR_HOURS_CAP,MAX(0,($D412+X$5)-PERMANENT_FIELD_LABOR_HOURS)&gt;TEMP_HOURS_CAP),"",$C412+X$6-MIN(($D412+X$5),PERMANENT_FIELD_LABOR_HOURS)*PERMANENT_HOURLY_RATE-MAX(0,($D412+X$5)-PERMANENT_FIELD_LABOR_HOURS)*TEMP_HOURLY_RATE-FIXED_SEASON_COST)</f>
        <v/>
      </c>
      <c r="Y412" s="53" t="str">
        <f aca="false">IF(OR($A412&gt;TOMATO_BED_CAP,$B412&gt;CARROT_BED_CAP,Y$4&gt;MESCLUN_BED_CAP,$A412+$B412+Y$4&gt;TOTAL_BEDS_AVAILABLE,($D412+Y$5)&gt;TOTAL_LABOR_HOURS_CAP,MAX(0,($D412+Y$5)-PERMANENT_FIELD_LABOR_HOURS)&gt;TEMP_HOURS_CAP),"",$C412+Y$6-MIN(($D412+Y$5),PERMANENT_FIELD_LABOR_HOURS)*PERMANENT_HOURLY_RATE-MAX(0,($D412+Y$5)-PERMANENT_FIELD_LABOR_HOURS)*TEMP_HOURLY_RATE-FIXED_SEASON_COST)</f>
        <v/>
      </c>
      <c r="Z412" s="53" t="str">
        <f aca="false">IF(OR($A412&gt;TOMATO_BED_CAP,$B412&gt;CARROT_BED_CAP,Z$4&gt;MESCLUN_BED_CAP,$A412+$B412+Z$4&gt;TOTAL_BEDS_AVAILABLE,($D412+Z$5)&gt;TOTAL_LABOR_HOURS_CAP,MAX(0,($D412+Z$5)-PERMANENT_FIELD_LABOR_HOURS)&gt;TEMP_HOURS_CAP),"",$C412+Z$6-MIN(($D412+Z$5),PERMANENT_FIELD_LABOR_HOURS)*PERMANENT_HOURLY_RATE-MAX(0,($D412+Z$5)-PERMANENT_FIELD_LABOR_HOURS)*TEMP_HOURLY_RATE-FIXED_SEASON_COST)</f>
        <v/>
      </c>
      <c r="AA412" s="53" t="str">
        <f aca="false">IF(OR($A412&gt;TOMATO_BED_CAP,$B412&gt;CARROT_BED_CAP,AA$4&gt;MESCLUN_BED_CAP,$A412+$B412+AA$4&gt;TOTAL_BEDS_AVAILABLE,($D412+AA$5)&gt;TOTAL_LABOR_HOURS_CAP,MAX(0,($D412+AA$5)-PERMANENT_FIELD_LABOR_HOURS)&gt;TEMP_HOURS_CAP),"",$C412+AA$6-MIN(($D412+AA$5),PERMANENT_FIELD_LABOR_HOURS)*PERMANENT_HOURLY_RATE-MAX(0,($D412+AA$5)-PERMANENT_FIELD_LABOR_HOURS)*TEMP_HOURLY_RATE-FIXED_SEASON_COST)</f>
        <v/>
      </c>
      <c r="AB412" s="53" t="str">
        <f aca="false">IF(OR($A412&gt;TOMATO_BED_CAP,$B412&gt;CARROT_BED_CAP,AB$4&gt;MESCLUN_BED_CAP,$A412+$B412+AB$4&gt;TOTAL_BEDS_AVAILABLE,($D412+AB$5)&gt;TOTAL_LABOR_HOURS_CAP,MAX(0,($D412+AB$5)-PERMANENT_FIELD_LABOR_HOURS)&gt;TEMP_HOURS_CAP),"",$C412+AB$6-MIN(($D412+AB$5),PERMANENT_FIELD_LABOR_HOURS)*PERMANENT_HOURLY_RATE-MAX(0,($D412+AB$5)-PERMANENT_FIELD_LABOR_HOURS)*TEMP_HOURLY_RATE-FIXED_SEASON_COST)</f>
        <v/>
      </c>
      <c r="AC412" s="53" t="str">
        <f aca="false">IF(OR($A412&gt;TOMATO_BED_CAP,$B412&gt;CARROT_BED_CAP,AC$4&gt;MESCLUN_BED_CAP,$A412+$B412+AC$4&gt;TOTAL_BEDS_AVAILABLE,($D412+AC$5)&gt;TOTAL_LABOR_HOURS_CAP,MAX(0,($D412+AC$5)-PERMANENT_FIELD_LABOR_HOURS)&gt;TEMP_HOURS_CAP),"",$C412+AC$6-MIN(($D412+AC$5),PERMANENT_FIELD_LABOR_HOURS)*PERMANENT_HOURLY_RATE-MAX(0,($D412+AC$5)-PERMANENT_FIELD_LABOR_HOURS)*TEMP_HOURLY_RATE-FIXED_SEASON_COST)</f>
        <v/>
      </c>
      <c r="AD412" s="53" t="str">
        <f aca="false">IF(OR($A412&gt;TOMATO_BED_CAP,$B412&gt;CARROT_BED_CAP,AD$4&gt;MESCLUN_BED_CAP,$A412+$B412+AD$4&gt;TOTAL_BEDS_AVAILABLE,($D412+AD$5)&gt;TOTAL_LABOR_HOURS_CAP,MAX(0,($D412+AD$5)-PERMANENT_FIELD_LABOR_HOURS)&gt;TEMP_HOURS_CAP),"",$C412+AD$6-MIN(($D412+AD$5),PERMANENT_FIELD_LABOR_HOURS)*PERMANENT_HOURLY_RATE-MAX(0,($D412+AD$5)-PERMANENT_FIELD_LABOR_HOURS)*TEMP_HOURLY_RATE-FIXED_SEASON_COST)</f>
        <v/>
      </c>
      <c r="AE412" s="53" t="str">
        <f aca="false">IF(OR($A412&gt;TOMATO_BED_CAP,$B412&gt;CARROT_BED_CAP,AE$4&gt;MESCLUN_BED_CAP,$A412+$B412+AE$4&gt;TOTAL_BEDS_AVAILABLE,($D412+AE$5)&gt;TOTAL_LABOR_HOURS_CAP,MAX(0,($D412+AE$5)-PERMANENT_FIELD_LABOR_HOURS)&gt;TEMP_HOURS_CAP),"",$C412+AE$6-MIN(($D412+AE$5),PERMANENT_FIELD_LABOR_HOURS)*PERMANENT_HOURLY_RATE-MAX(0,($D412+AE$5)-PERMANENT_FIELD_LABOR_HOURS)*TEMP_HOURLY_RATE-FIXED_SEASON_COST)</f>
        <v/>
      </c>
      <c r="AF412" s="53" t="str">
        <f aca="false">IF(OR($A412&gt;TOMATO_BED_CAP,$B412&gt;CARROT_BED_CAP,AF$4&gt;MESCLUN_BED_CAP,$A412+$B412+AF$4&gt;TOTAL_BEDS_AVAILABLE,($D412+AF$5)&gt;TOTAL_LABOR_HOURS_CAP,MAX(0,($D412+AF$5)-PERMANENT_FIELD_LABOR_HOURS)&gt;TEMP_HOURS_CAP),"",$C412+AF$6-MIN(($D412+AF$5),PERMANENT_FIELD_LABOR_HOURS)*PERMANENT_HOURLY_RATE-MAX(0,($D412+AF$5)-PERMANENT_FIELD_LABOR_HOURS)*TEMP_HOURLY_RATE-FIXED_SEASON_COST)</f>
        <v/>
      </c>
      <c r="AG412" s="53" t="str">
        <f aca="false">IF(OR($A412&gt;TOMATO_BED_CAP,$B412&gt;CARROT_BED_CAP,AG$4&gt;MESCLUN_BED_CAP,$A412+$B412+AG$4&gt;TOTAL_BEDS_AVAILABLE,($D412+AG$5)&gt;TOTAL_LABOR_HOURS_CAP,MAX(0,($D412+AG$5)-PERMANENT_FIELD_LABOR_HOURS)&gt;TEMP_HOURS_CAP),"",$C412+AG$6-MIN(($D412+AG$5),PERMANENT_FIELD_LABOR_HOURS)*PERMANENT_HOURLY_RATE-MAX(0,($D412+AG$5)-PERMANENT_FIELD_LABOR_HOURS)*TEMP_HOURLY_RATE-FIXED_SEASON_COST)</f>
        <v/>
      </c>
      <c r="AH412" s="53" t="str">
        <f aca="false">IF(OR($A412&gt;TOMATO_BED_CAP,$B412&gt;CARROT_BED_CAP,AH$4&gt;MESCLUN_BED_CAP,$A412+$B412+AH$4&gt;TOTAL_BEDS_AVAILABLE,($D412+AH$5)&gt;TOTAL_LABOR_HOURS_CAP,MAX(0,($D412+AH$5)-PERMANENT_FIELD_LABOR_HOURS)&gt;TEMP_HOURS_CAP),"",$C412+AH$6-MIN(($D412+AH$5),PERMANENT_FIELD_LABOR_HOURS)*PERMANENT_HOURLY_RATE-MAX(0,($D412+AH$5)-PERMANENT_FIELD_LABOR_HOURS)*TEMP_HOURLY_RATE-FIXED_SEASON_COST)</f>
        <v/>
      </c>
      <c r="AI412" s="53" t="str">
        <f aca="false">IF(OR($A412&gt;TOMATO_BED_CAP,$B412&gt;CARROT_BED_CAP,AI$4&gt;MESCLUN_BED_CAP,$A412+$B412+AI$4&gt;TOTAL_BEDS_AVAILABLE,($D412+AI$5)&gt;TOTAL_LABOR_HOURS_CAP,MAX(0,($D412+AI$5)-PERMANENT_FIELD_LABOR_HOURS)&gt;TEMP_HOURS_CAP),"",$C412+AI$6-MIN(($D412+AI$5),PERMANENT_FIELD_LABOR_HOURS)*PERMANENT_HOURLY_RATE-MAX(0,($D412+AI$5)-PERMANENT_FIELD_LABOR_HOURS)*TEMP_HOURLY_RATE-FIXED_SEASON_COST)</f>
        <v/>
      </c>
      <c r="AJ412" s="53" t="str">
        <f aca="false">IF(OR($A412&gt;TOMATO_BED_CAP,$B412&gt;CARROT_BED_CAP,AJ$4&gt;MESCLUN_BED_CAP,$A412+$B412+AJ$4&gt;TOTAL_BEDS_AVAILABLE,($D412+AJ$5)&gt;TOTAL_LABOR_HOURS_CAP,MAX(0,($D412+AJ$5)-PERMANENT_FIELD_LABOR_HOURS)&gt;TEMP_HOURS_CAP),"",$C412+AJ$6-MIN(($D412+AJ$5),PERMANENT_FIELD_LABOR_HOURS)*PERMANENT_HOURLY_RATE-MAX(0,($D412+AJ$5)-PERMANENT_FIELD_LABOR_HOURS)*TEMP_HOURLY_RATE-FIXED_SEASON_COST)</f>
        <v/>
      </c>
    </row>
    <row r="413" customFormat="false" ht="15" hidden="false" customHeight="false" outlineLevel="0" collapsed="false">
      <c r="A413" s="21" t="n">
        <f aca="false">INT((ROW()-ROW($A$8))/(20+1))</f>
        <v>19</v>
      </c>
      <c r="B413" s="21" t="n">
        <f aca="false">MOD(ROW()-ROW($A$8),20+1)</f>
        <v>6</v>
      </c>
      <c r="C413" s="13" t="n">
        <f aca="false">A413*(TOMATO_REVENUE_PER_BED-TOMATO_FERTILIZER_PER_BED)+B413*(CARROT_REVENUE_PER_BED-CARROT_FERTILIZER_PER_BED)</f>
        <v>160404</v>
      </c>
      <c r="D413" s="14" t="n">
        <f aca="false">INDEX(TOMATO_SCHED_LABOR_HRS,A413+1)+INDEX(CARROT_SCHED_LABOR_HRS,B413+1)</f>
        <v>10666.8657840311</v>
      </c>
      <c r="E413" s="13" t="str">
        <f aca="false">IF(COUNT(F413:AJ413)=0,"",MAX(F413:AJ413))</f>
        <v/>
      </c>
      <c r="F413" s="53" t="str">
        <f aca="false">IF(OR($A413&gt;TOMATO_BED_CAP,$B413&gt;CARROT_BED_CAP,F$4&gt;MESCLUN_BED_CAP,$A413+$B413+F$4&gt;TOTAL_BEDS_AVAILABLE,($D413+F$5)&gt;TOTAL_LABOR_HOURS_CAP,MAX(0,($D413+F$5)-PERMANENT_FIELD_LABOR_HOURS)&gt;TEMP_HOURS_CAP),"",$C413+F$6-MIN(($D413+F$5),PERMANENT_FIELD_LABOR_HOURS)*PERMANENT_HOURLY_RATE-MAX(0,($D413+F$5)-PERMANENT_FIELD_LABOR_HOURS)*TEMP_HOURLY_RATE-FIXED_SEASON_COST)</f>
        <v/>
      </c>
      <c r="G413" s="53" t="str">
        <f aca="false">IF(OR($A413&gt;TOMATO_BED_CAP,$B413&gt;CARROT_BED_CAP,G$4&gt;MESCLUN_BED_CAP,$A413+$B413+G$4&gt;TOTAL_BEDS_AVAILABLE,($D413+G$5)&gt;TOTAL_LABOR_HOURS_CAP,MAX(0,($D413+G$5)-PERMANENT_FIELD_LABOR_HOURS)&gt;TEMP_HOURS_CAP),"",$C413+G$6-MIN(($D413+G$5),PERMANENT_FIELD_LABOR_HOURS)*PERMANENT_HOURLY_RATE-MAX(0,($D413+G$5)-PERMANENT_FIELD_LABOR_HOURS)*TEMP_HOURLY_RATE-FIXED_SEASON_COST)</f>
        <v/>
      </c>
      <c r="H413" s="53" t="str">
        <f aca="false">IF(OR($A413&gt;TOMATO_BED_CAP,$B413&gt;CARROT_BED_CAP,H$4&gt;MESCLUN_BED_CAP,$A413+$B413+H$4&gt;TOTAL_BEDS_AVAILABLE,($D413+H$5)&gt;TOTAL_LABOR_HOURS_CAP,MAX(0,($D413+H$5)-PERMANENT_FIELD_LABOR_HOURS)&gt;TEMP_HOURS_CAP),"",$C413+H$6-MIN(($D413+H$5),PERMANENT_FIELD_LABOR_HOURS)*PERMANENT_HOURLY_RATE-MAX(0,($D413+H$5)-PERMANENT_FIELD_LABOR_HOURS)*TEMP_HOURLY_RATE-FIXED_SEASON_COST)</f>
        <v/>
      </c>
      <c r="I413" s="53" t="str">
        <f aca="false">IF(OR($A413&gt;TOMATO_BED_CAP,$B413&gt;CARROT_BED_CAP,I$4&gt;MESCLUN_BED_CAP,$A413+$B413+I$4&gt;TOTAL_BEDS_AVAILABLE,($D413+I$5)&gt;TOTAL_LABOR_HOURS_CAP,MAX(0,($D413+I$5)-PERMANENT_FIELD_LABOR_HOURS)&gt;TEMP_HOURS_CAP),"",$C413+I$6-MIN(($D413+I$5),PERMANENT_FIELD_LABOR_HOURS)*PERMANENT_HOURLY_RATE-MAX(0,($D413+I$5)-PERMANENT_FIELD_LABOR_HOURS)*TEMP_HOURLY_RATE-FIXED_SEASON_COST)</f>
        <v/>
      </c>
      <c r="J413" s="53" t="str">
        <f aca="false">IF(OR($A413&gt;TOMATO_BED_CAP,$B413&gt;CARROT_BED_CAP,J$4&gt;MESCLUN_BED_CAP,$A413+$B413+J$4&gt;TOTAL_BEDS_AVAILABLE,($D413+J$5)&gt;TOTAL_LABOR_HOURS_CAP,MAX(0,($D413+J$5)-PERMANENT_FIELD_LABOR_HOURS)&gt;TEMP_HOURS_CAP),"",$C413+J$6-MIN(($D413+J$5),PERMANENT_FIELD_LABOR_HOURS)*PERMANENT_HOURLY_RATE-MAX(0,($D413+J$5)-PERMANENT_FIELD_LABOR_HOURS)*TEMP_HOURLY_RATE-FIXED_SEASON_COST)</f>
        <v/>
      </c>
      <c r="K413" s="53" t="str">
        <f aca="false">IF(OR($A413&gt;TOMATO_BED_CAP,$B413&gt;CARROT_BED_CAP,K$4&gt;MESCLUN_BED_CAP,$A413+$B413+K$4&gt;TOTAL_BEDS_AVAILABLE,($D413+K$5)&gt;TOTAL_LABOR_HOURS_CAP,MAX(0,($D413+K$5)-PERMANENT_FIELD_LABOR_HOURS)&gt;TEMP_HOURS_CAP),"",$C413+K$6-MIN(($D413+K$5),PERMANENT_FIELD_LABOR_HOURS)*PERMANENT_HOURLY_RATE-MAX(0,($D413+K$5)-PERMANENT_FIELD_LABOR_HOURS)*TEMP_HOURLY_RATE-FIXED_SEASON_COST)</f>
        <v/>
      </c>
      <c r="L413" s="53" t="str">
        <f aca="false">IF(OR($A413&gt;TOMATO_BED_CAP,$B413&gt;CARROT_BED_CAP,L$4&gt;MESCLUN_BED_CAP,$A413+$B413+L$4&gt;TOTAL_BEDS_AVAILABLE,($D413+L$5)&gt;TOTAL_LABOR_HOURS_CAP,MAX(0,($D413+L$5)-PERMANENT_FIELD_LABOR_HOURS)&gt;TEMP_HOURS_CAP),"",$C413+L$6-MIN(($D413+L$5),PERMANENT_FIELD_LABOR_HOURS)*PERMANENT_HOURLY_RATE-MAX(0,($D413+L$5)-PERMANENT_FIELD_LABOR_HOURS)*TEMP_HOURLY_RATE-FIXED_SEASON_COST)</f>
        <v/>
      </c>
      <c r="M413" s="53" t="str">
        <f aca="false">IF(OR($A413&gt;TOMATO_BED_CAP,$B413&gt;CARROT_BED_CAP,M$4&gt;MESCLUN_BED_CAP,$A413+$B413+M$4&gt;TOTAL_BEDS_AVAILABLE,($D413+M$5)&gt;TOTAL_LABOR_HOURS_CAP,MAX(0,($D413+M$5)-PERMANENT_FIELD_LABOR_HOURS)&gt;TEMP_HOURS_CAP),"",$C413+M$6-MIN(($D413+M$5),PERMANENT_FIELD_LABOR_HOURS)*PERMANENT_HOURLY_RATE-MAX(0,($D413+M$5)-PERMANENT_FIELD_LABOR_HOURS)*TEMP_HOURLY_RATE-FIXED_SEASON_COST)</f>
        <v/>
      </c>
      <c r="N413" s="53" t="str">
        <f aca="false">IF(OR($A413&gt;TOMATO_BED_CAP,$B413&gt;CARROT_BED_CAP,N$4&gt;MESCLUN_BED_CAP,$A413+$B413+N$4&gt;TOTAL_BEDS_AVAILABLE,($D413+N$5)&gt;TOTAL_LABOR_HOURS_CAP,MAX(0,($D413+N$5)-PERMANENT_FIELD_LABOR_HOURS)&gt;TEMP_HOURS_CAP),"",$C413+N$6-MIN(($D413+N$5),PERMANENT_FIELD_LABOR_HOURS)*PERMANENT_HOURLY_RATE-MAX(0,($D413+N$5)-PERMANENT_FIELD_LABOR_HOURS)*TEMP_HOURLY_RATE-FIXED_SEASON_COST)</f>
        <v/>
      </c>
      <c r="O413" s="53" t="str">
        <f aca="false">IF(OR($A413&gt;TOMATO_BED_CAP,$B413&gt;CARROT_BED_CAP,O$4&gt;MESCLUN_BED_CAP,$A413+$B413+O$4&gt;TOTAL_BEDS_AVAILABLE,($D413+O$5)&gt;TOTAL_LABOR_HOURS_CAP,MAX(0,($D413+O$5)-PERMANENT_FIELD_LABOR_HOURS)&gt;TEMP_HOURS_CAP),"",$C413+O$6-MIN(($D413+O$5),PERMANENT_FIELD_LABOR_HOURS)*PERMANENT_HOURLY_RATE-MAX(0,($D413+O$5)-PERMANENT_FIELD_LABOR_HOURS)*TEMP_HOURLY_RATE-FIXED_SEASON_COST)</f>
        <v/>
      </c>
      <c r="P413" s="53" t="str">
        <f aca="false">IF(OR($A413&gt;TOMATO_BED_CAP,$B413&gt;CARROT_BED_CAP,P$4&gt;MESCLUN_BED_CAP,$A413+$B413+P$4&gt;TOTAL_BEDS_AVAILABLE,($D413+P$5)&gt;TOTAL_LABOR_HOURS_CAP,MAX(0,($D413+P$5)-PERMANENT_FIELD_LABOR_HOURS)&gt;TEMP_HOURS_CAP),"",$C413+P$6-MIN(($D413+P$5),PERMANENT_FIELD_LABOR_HOURS)*PERMANENT_HOURLY_RATE-MAX(0,($D413+P$5)-PERMANENT_FIELD_LABOR_HOURS)*TEMP_HOURLY_RATE-FIXED_SEASON_COST)</f>
        <v/>
      </c>
      <c r="Q413" s="53" t="str">
        <f aca="false">IF(OR($A413&gt;TOMATO_BED_CAP,$B413&gt;CARROT_BED_CAP,Q$4&gt;MESCLUN_BED_CAP,$A413+$B413+Q$4&gt;TOTAL_BEDS_AVAILABLE,($D413+Q$5)&gt;TOTAL_LABOR_HOURS_CAP,MAX(0,($D413+Q$5)-PERMANENT_FIELD_LABOR_HOURS)&gt;TEMP_HOURS_CAP),"",$C413+Q$6-MIN(($D413+Q$5),PERMANENT_FIELD_LABOR_HOURS)*PERMANENT_HOURLY_RATE-MAX(0,($D413+Q$5)-PERMANENT_FIELD_LABOR_HOURS)*TEMP_HOURLY_RATE-FIXED_SEASON_COST)</f>
        <v/>
      </c>
      <c r="R413" s="53" t="str">
        <f aca="false">IF(OR($A413&gt;TOMATO_BED_CAP,$B413&gt;CARROT_BED_CAP,R$4&gt;MESCLUN_BED_CAP,$A413+$B413+R$4&gt;TOTAL_BEDS_AVAILABLE,($D413+R$5)&gt;TOTAL_LABOR_HOURS_CAP,MAX(0,($D413+R$5)-PERMANENT_FIELD_LABOR_HOURS)&gt;TEMP_HOURS_CAP),"",$C413+R$6-MIN(($D413+R$5),PERMANENT_FIELD_LABOR_HOURS)*PERMANENT_HOURLY_RATE-MAX(0,($D413+R$5)-PERMANENT_FIELD_LABOR_HOURS)*TEMP_HOURLY_RATE-FIXED_SEASON_COST)</f>
        <v/>
      </c>
      <c r="S413" s="53" t="str">
        <f aca="false">IF(OR($A413&gt;TOMATO_BED_CAP,$B413&gt;CARROT_BED_CAP,S$4&gt;MESCLUN_BED_CAP,$A413+$B413+S$4&gt;TOTAL_BEDS_AVAILABLE,($D413+S$5)&gt;TOTAL_LABOR_HOURS_CAP,MAX(0,($D413+S$5)-PERMANENT_FIELD_LABOR_HOURS)&gt;TEMP_HOURS_CAP),"",$C413+S$6-MIN(($D413+S$5),PERMANENT_FIELD_LABOR_HOURS)*PERMANENT_HOURLY_RATE-MAX(0,($D413+S$5)-PERMANENT_FIELD_LABOR_HOURS)*TEMP_HOURLY_RATE-FIXED_SEASON_COST)</f>
        <v/>
      </c>
      <c r="T413" s="53" t="str">
        <f aca="false">IF(OR($A413&gt;TOMATO_BED_CAP,$B413&gt;CARROT_BED_CAP,T$4&gt;MESCLUN_BED_CAP,$A413+$B413+T$4&gt;TOTAL_BEDS_AVAILABLE,($D413+T$5)&gt;TOTAL_LABOR_HOURS_CAP,MAX(0,($D413+T$5)-PERMANENT_FIELD_LABOR_HOURS)&gt;TEMP_HOURS_CAP),"",$C413+T$6-MIN(($D413+T$5),PERMANENT_FIELD_LABOR_HOURS)*PERMANENT_HOURLY_RATE-MAX(0,($D413+T$5)-PERMANENT_FIELD_LABOR_HOURS)*TEMP_HOURLY_RATE-FIXED_SEASON_COST)</f>
        <v/>
      </c>
      <c r="U413" s="53" t="str">
        <f aca="false">IF(OR($A413&gt;TOMATO_BED_CAP,$B413&gt;CARROT_BED_CAP,U$4&gt;MESCLUN_BED_CAP,$A413+$B413+U$4&gt;TOTAL_BEDS_AVAILABLE,($D413+U$5)&gt;TOTAL_LABOR_HOURS_CAP,MAX(0,($D413+U$5)-PERMANENT_FIELD_LABOR_HOURS)&gt;TEMP_HOURS_CAP),"",$C413+U$6-MIN(($D413+U$5),PERMANENT_FIELD_LABOR_HOURS)*PERMANENT_HOURLY_RATE-MAX(0,($D413+U$5)-PERMANENT_FIELD_LABOR_HOURS)*TEMP_HOURLY_RATE-FIXED_SEASON_COST)</f>
        <v/>
      </c>
      <c r="V413" s="53" t="str">
        <f aca="false">IF(OR($A413&gt;TOMATO_BED_CAP,$B413&gt;CARROT_BED_CAP,V$4&gt;MESCLUN_BED_CAP,$A413+$B413+V$4&gt;TOTAL_BEDS_AVAILABLE,($D413+V$5)&gt;TOTAL_LABOR_HOURS_CAP,MAX(0,($D413+V$5)-PERMANENT_FIELD_LABOR_HOURS)&gt;TEMP_HOURS_CAP),"",$C413+V$6-MIN(($D413+V$5),PERMANENT_FIELD_LABOR_HOURS)*PERMANENT_HOURLY_RATE-MAX(0,($D413+V$5)-PERMANENT_FIELD_LABOR_HOURS)*TEMP_HOURLY_RATE-FIXED_SEASON_COST)</f>
        <v/>
      </c>
      <c r="W413" s="53" t="str">
        <f aca="false">IF(OR($A413&gt;TOMATO_BED_CAP,$B413&gt;CARROT_BED_CAP,W$4&gt;MESCLUN_BED_CAP,$A413+$B413+W$4&gt;TOTAL_BEDS_AVAILABLE,($D413+W$5)&gt;TOTAL_LABOR_HOURS_CAP,MAX(0,($D413+W$5)-PERMANENT_FIELD_LABOR_HOURS)&gt;TEMP_HOURS_CAP),"",$C413+W$6-MIN(($D413+W$5),PERMANENT_FIELD_LABOR_HOURS)*PERMANENT_HOURLY_RATE-MAX(0,($D413+W$5)-PERMANENT_FIELD_LABOR_HOURS)*TEMP_HOURLY_RATE-FIXED_SEASON_COST)</f>
        <v/>
      </c>
      <c r="X413" s="53" t="str">
        <f aca="false">IF(OR($A413&gt;TOMATO_BED_CAP,$B413&gt;CARROT_BED_CAP,X$4&gt;MESCLUN_BED_CAP,$A413+$B413+X$4&gt;TOTAL_BEDS_AVAILABLE,($D413+X$5)&gt;TOTAL_LABOR_HOURS_CAP,MAX(0,($D413+X$5)-PERMANENT_FIELD_LABOR_HOURS)&gt;TEMP_HOURS_CAP),"",$C413+X$6-MIN(($D413+X$5),PERMANENT_FIELD_LABOR_HOURS)*PERMANENT_HOURLY_RATE-MAX(0,($D413+X$5)-PERMANENT_FIELD_LABOR_HOURS)*TEMP_HOURLY_RATE-FIXED_SEASON_COST)</f>
        <v/>
      </c>
      <c r="Y413" s="53" t="str">
        <f aca="false">IF(OR($A413&gt;TOMATO_BED_CAP,$B413&gt;CARROT_BED_CAP,Y$4&gt;MESCLUN_BED_CAP,$A413+$B413+Y$4&gt;TOTAL_BEDS_AVAILABLE,($D413+Y$5)&gt;TOTAL_LABOR_HOURS_CAP,MAX(0,($D413+Y$5)-PERMANENT_FIELD_LABOR_HOURS)&gt;TEMP_HOURS_CAP),"",$C413+Y$6-MIN(($D413+Y$5),PERMANENT_FIELD_LABOR_HOURS)*PERMANENT_HOURLY_RATE-MAX(0,($D413+Y$5)-PERMANENT_FIELD_LABOR_HOURS)*TEMP_HOURLY_RATE-FIXED_SEASON_COST)</f>
        <v/>
      </c>
      <c r="Z413" s="53" t="str">
        <f aca="false">IF(OR($A413&gt;TOMATO_BED_CAP,$B413&gt;CARROT_BED_CAP,Z$4&gt;MESCLUN_BED_CAP,$A413+$B413+Z$4&gt;TOTAL_BEDS_AVAILABLE,($D413+Z$5)&gt;TOTAL_LABOR_HOURS_CAP,MAX(0,($D413+Z$5)-PERMANENT_FIELD_LABOR_HOURS)&gt;TEMP_HOURS_CAP),"",$C413+Z$6-MIN(($D413+Z$5),PERMANENT_FIELD_LABOR_HOURS)*PERMANENT_HOURLY_RATE-MAX(0,($D413+Z$5)-PERMANENT_FIELD_LABOR_HOURS)*TEMP_HOURLY_RATE-FIXED_SEASON_COST)</f>
        <v/>
      </c>
      <c r="AA413" s="53" t="str">
        <f aca="false">IF(OR($A413&gt;TOMATO_BED_CAP,$B413&gt;CARROT_BED_CAP,AA$4&gt;MESCLUN_BED_CAP,$A413+$B413+AA$4&gt;TOTAL_BEDS_AVAILABLE,($D413+AA$5)&gt;TOTAL_LABOR_HOURS_CAP,MAX(0,($D413+AA$5)-PERMANENT_FIELD_LABOR_HOURS)&gt;TEMP_HOURS_CAP),"",$C413+AA$6-MIN(($D413+AA$5),PERMANENT_FIELD_LABOR_HOURS)*PERMANENT_HOURLY_RATE-MAX(0,($D413+AA$5)-PERMANENT_FIELD_LABOR_HOURS)*TEMP_HOURLY_RATE-FIXED_SEASON_COST)</f>
        <v/>
      </c>
      <c r="AB413" s="53" t="str">
        <f aca="false">IF(OR($A413&gt;TOMATO_BED_CAP,$B413&gt;CARROT_BED_CAP,AB$4&gt;MESCLUN_BED_CAP,$A413+$B413+AB$4&gt;TOTAL_BEDS_AVAILABLE,($D413+AB$5)&gt;TOTAL_LABOR_HOURS_CAP,MAX(0,($D413+AB$5)-PERMANENT_FIELD_LABOR_HOURS)&gt;TEMP_HOURS_CAP),"",$C413+AB$6-MIN(($D413+AB$5),PERMANENT_FIELD_LABOR_HOURS)*PERMANENT_HOURLY_RATE-MAX(0,($D413+AB$5)-PERMANENT_FIELD_LABOR_HOURS)*TEMP_HOURLY_RATE-FIXED_SEASON_COST)</f>
        <v/>
      </c>
      <c r="AC413" s="53" t="str">
        <f aca="false">IF(OR($A413&gt;TOMATO_BED_CAP,$B413&gt;CARROT_BED_CAP,AC$4&gt;MESCLUN_BED_CAP,$A413+$B413+AC$4&gt;TOTAL_BEDS_AVAILABLE,($D413+AC$5)&gt;TOTAL_LABOR_HOURS_CAP,MAX(0,($D413+AC$5)-PERMANENT_FIELD_LABOR_HOURS)&gt;TEMP_HOURS_CAP),"",$C413+AC$6-MIN(($D413+AC$5),PERMANENT_FIELD_LABOR_HOURS)*PERMANENT_HOURLY_RATE-MAX(0,($D413+AC$5)-PERMANENT_FIELD_LABOR_HOURS)*TEMP_HOURLY_RATE-FIXED_SEASON_COST)</f>
        <v/>
      </c>
      <c r="AD413" s="53" t="str">
        <f aca="false">IF(OR($A413&gt;TOMATO_BED_CAP,$B413&gt;CARROT_BED_CAP,AD$4&gt;MESCLUN_BED_CAP,$A413+$B413+AD$4&gt;TOTAL_BEDS_AVAILABLE,($D413+AD$5)&gt;TOTAL_LABOR_HOURS_CAP,MAX(0,($D413+AD$5)-PERMANENT_FIELD_LABOR_HOURS)&gt;TEMP_HOURS_CAP),"",$C413+AD$6-MIN(($D413+AD$5),PERMANENT_FIELD_LABOR_HOURS)*PERMANENT_HOURLY_RATE-MAX(0,($D413+AD$5)-PERMANENT_FIELD_LABOR_HOURS)*TEMP_HOURLY_RATE-FIXED_SEASON_COST)</f>
        <v/>
      </c>
      <c r="AE413" s="53" t="str">
        <f aca="false">IF(OR($A413&gt;TOMATO_BED_CAP,$B413&gt;CARROT_BED_CAP,AE$4&gt;MESCLUN_BED_CAP,$A413+$B413+AE$4&gt;TOTAL_BEDS_AVAILABLE,($D413+AE$5)&gt;TOTAL_LABOR_HOURS_CAP,MAX(0,($D413+AE$5)-PERMANENT_FIELD_LABOR_HOURS)&gt;TEMP_HOURS_CAP),"",$C413+AE$6-MIN(($D413+AE$5),PERMANENT_FIELD_LABOR_HOURS)*PERMANENT_HOURLY_RATE-MAX(0,($D413+AE$5)-PERMANENT_FIELD_LABOR_HOURS)*TEMP_HOURLY_RATE-FIXED_SEASON_COST)</f>
        <v/>
      </c>
      <c r="AF413" s="53" t="str">
        <f aca="false">IF(OR($A413&gt;TOMATO_BED_CAP,$B413&gt;CARROT_BED_CAP,AF$4&gt;MESCLUN_BED_CAP,$A413+$B413+AF$4&gt;TOTAL_BEDS_AVAILABLE,($D413+AF$5)&gt;TOTAL_LABOR_HOURS_CAP,MAX(0,($D413+AF$5)-PERMANENT_FIELD_LABOR_HOURS)&gt;TEMP_HOURS_CAP),"",$C413+AF$6-MIN(($D413+AF$5),PERMANENT_FIELD_LABOR_HOURS)*PERMANENT_HOURLY_RATE-MAX(0,($D413+AF$5)-PERMANENT_FIELD_LABOR_HOURS)*TEMP_HOURLY_RATE-FIXED_SEASON_COST)</f>
        <v/>
      </c>
      <c r="AG413" s="53" t="str">
        <f aca="false">IF(OR($A413&gt;TOMATO_BED_CAP,$B413&gt;CARROT_BED_CAP,AG$4&gt;MESCLUN_BED_CAP,$A413+$B413+AG$4&gt;TOTAL_BEDS_AVAILABLE,($D413+AG$5)&gt;TOTAL_LABOR_HOURS_CAP,MAX(0,($D413+AG$5)-PERMANENT_FIELD_LABOR_HOURS)&gt;TEMP_HOURS_CAP),"",$C413+AG$6-MIN(($D413+AG$5),PERMANENT_FIELD_LABOR_HOURS)*PERMANENT_HOURLY_RATE-MAX(0,($D413+AG$5)-PERMANENT_FIELD_LABOR_HOURS)*TEMP_HOURLY_RATE-FIXED_SEASON_COST)</f>
        <v/>
      </c>
      <c r="AH413" s="53" t="str">
        <f aca="false">IF(OR($A413&gt;TOMATO_BED_CAP,$B413&gt;CARROT_BED_CAP,AH$4&gt;MESCLUN_BED_CAP,$A413+$B413+AH$4&gt;TOTAL_BEDS_AVAILABLE,($D413+AH$5)&gt;TOTAL_LABOR_HOURS_CAP,MAX(0,($D413+AH$5)-PERMANENT_FIELD_LABOR_HOURS)&gt;TEMP_HOURS_CAP),"",$C413+AH$6-MIN(($D413+AH$5),PERMANENT_FIELD_LABOR_HOURS)*PERMANENT_HOURLY_RATE-MAX(0,($D413+AH$5)-PERMANENT_FIELD_LABOR_HOURS)*TEMP_HOURLY_RATE-FIXED_SEASON_COST)</f>
        <v/>
      </c>
      <c r="AI413" s="53" t="str">
        <f aca="false">IF(OR($A413&gt;TOMATO_BED_CAP,$B413&gt;CARROT_BED_CAP,AI$4&gt;MESCLUN_BED_CAP,$A413+$B413+AI$4&gt;TOTAL_BEDS_AVAILABLE,($D413+AI$5)&gt;TOTAL_LABOR_HOURS_CAP,MAX(0,($D413+AI$5)-PERMANENT_FIELD_LABOR_HOURS)&gt;TEMP_HOURS_CAP),"",$C413+AI$6-MIN(($D413+AI$5),PERMANENT_FIELD_LABOR_HOURS)*PERMANENT_HOURLY_RATE-MAX(0,($D413+AI$5)-PERMANENT_FIELD_LABOR_HOURS)*TEMP_HOURLY_RATE-FIXED_SEASON_COST)</f>
        <v/>
      </c>
      <c r="AJ413" s="53" t="str">
        <f aca="false">IF(OR($A413&gt;TOMATO_BED_CAP,$B413&gt;CARROT_BED_CAP,AJ$4&gt;MESCLUN_BED_CAP,$A413+$B413+AJ$4&gt;TOTAL_BEDS_AVAILABLE,($D413+AJ$5)&gt;TOTAL_LABOR_HOURS_CAP,MAX(0,($D413+AJ$5)-PERMANENT_FIELD_LABOR_HOURS)&gt;TEMP_HOURS_CAP),"",$C413+AJ$6-MIN(($D413+AJ$5),PERMANENT_FIELD_LABOR_HOURS)*PERMANENT_HOURLY_RATE-MAX(0,($D413+AJ$5)-PERMANENT_FIELD_LABOR_HOURS)*TEMP_HOURLY_RATE-FIXED_SEASON_COST)</f>
        <v/>
      </c>
    </row>
    <row r="414" customFormat="false" ht="15" hidden="false" customHeight="false" outlineLevel="0" collapsed="false">
      <c r="A414" s="21" t="n">
        <f aca="false">INT((ROW()-ROW($A$8))/(20+1))</f>
        <v>19</v>
      </c>
      <c r="B414" s="21" t="n">
        <f aca="false">MOD(ROW()-ROW($A$8),20+1)</f>
        <v>7</v>
      </c>
      <c r="C414" s="13" t="n">
        <f aca="false">A414*(TOMATO_REVENUE_PER_BED-TOMATO_FERTILIZER_PER_BED)+B414*(CARROT_REVENUE_PER_BED-CARROT_FERTILIZER_PER_BED)</f>
        <v>162058</v>
      </c>
      <c r="D414" s="14" t="n">
        <f aca="false">INDEX(TOMATO_SCHED_LABOR_HRS,A414+1)+INDEX(CARROT_SCHED_LABOR_HRS,B414+1)</f>
        <v>10707.7286253459</v>
      </c>
      <c r="E414" s="13" t="str">
        <f aca="false">IF(COUNT(F414:AJ414)=0,"",MAX(F414:AJ414))</f>
        <v/>
      </c>
      <c r="F414" s="53" t="str">
        <f aca="false">IF(OR($A414&gt;TOMATO_BED_CAP,$B414&gt;CARROT_BED_CAP,F$4&gt;MESCLUN_BED_CAP,$A414+$B414+F$4&gt;TOTAL_BEDS_AVAILABLE,($D414+F$5)&gt;TOTAL_LABOR_HOURS_CAP,MAX(0,($D414+F$5)-PERMANENT_FIELD_LABOR_HOURS)&gt;TEMP_HOURS_CAP),"",$C414+F$6-MIN(($D414+F$5),PERMANENT_FIELD_LABOR_HOURS)*PERMANENT_HOURLY_RATE-MAX(0,($D414+F$5)-PERMANENT_FIELD_LABOR_HOURS)*TEMP_HOURLY_RATE-FIXED_SEASON_COST)</f>
        <v/>
      </c>
      <c r="G414" s="53" t="str">
        <f aca="false">IF(OR($A414&gt;TOMATO_BED_CAP,$B414&gt;CARROT_BED_CAP,G$4&gt;MESCLUN_BED_CAP,$A414+$B414+G$4&gt;TOTAL_BEDS_AVAILABLE,($D414+G$5)&gt;TOTAL_LABOR_HOURS_CAP,MAX(0,($D414+G$5)-PERMANENT_FIELD_LABOR_HOURS)&gt;TEMP_HOURS_CAP),"",$C414+G$6-MIN(($D414+G$5),PERMANENT_FIELD_LABOR_HOURS)*PERMANENT_HOURLY_RATE-MAX(0,($D414+G$5)-PERMANENT_FIELD_LABOR_HOURS)*TEMP_HOURLY_RATE-FIXED_SEASON_COST)</f>
        <v/>
      </c>
      <c r="H414" s="53" t="str">
        <f aca="false">IF(OR($A414&gt;TOMATO_BED_CAP,$B414&gt;CARROT_BED_CAP,H$4&gt;MESCLUN_BED_CAP,$A414+$B414+H$4&gt;TOTAL_BEDS_AVAILABLE,($D414+H$5)&gt;TOTAL_LABOR_HOURS_CAP,MAX(0,($D414+H$5)-PERMANENT_FIELD_LABOR_HOURS)&gt;TEMP_HOURS_CAP),"",$C414+H$6-MIN(($D414+H$5),PERMANENT_FIELD_LABOR_HOURS)*PERMANENT_HOURLY_RATE-MAX(0,($D414+H$5)-PERMANENT_FIELD_LABOR_HOURS)*TEMP_HOURLY_RATE-FIXED_SEASON_COST)</f>
        <v/>
      </c>
      <c r="I414" s="53" t="str">
        <f aca="false">IF(OR($A414&gt;TOMATO_BED_CAP,$B414&gt;CARROT_BED_CAP,I$4&gt;MESCLUN_BED_CAP,$A414+$B414+I$4&gt;TOTAL_BEDS_AVAILABLE,($D414+I$5)&gt;TOTAL_LABOR_HOURS_CAP,MAX(0,($D414+I$5)-PERMANENT_FIELD_LABOR_HOURS)&gt;TEMP_HOURS_CAP),"",$C414+I$6-MIN(($D414+I$5),PERMANENT_FIELD_LABOR_HOURS)*PERMANENT_HOURLY_RATE-MAX(0,($D414+I$5)-PERMANENT_FIELD_LABOR_HOURS)*TEMP_HOURLY_RATE-FIXED_SEASON_COST)</f>
        <v/>
      </c>
      <c r="J414" s="53" t="str">
        <f aca="false">IF(OR($A414&gt;TOMATO_BED_CAP,$B414&gt;CARROT_BED_CAP,J$4&gt;MESCLUN_BED_CAP,$A414+$B414+J$4&gt;TOTAL_BEDS_AVAILABLE,($D414+J$5)&gt;TOTAL_LABOR_HOURS_CAP,MAX(0,($D414+J$5)-PERMANENT_FIELD_LABOR_HOURS)&gt;TEMP_HOURS_CAP),"",$C414+J$6-MIN(($D414+J$5),PERMANENT_FIELD_LABOR_HOURS)*PERMANENT_HOURLY_RATE-MAX(0,($D414+J$5)-PERMANENT_FIELD_LABOR_HOURS)*TEMP_HOURLY_RATE-FIXED_SEASON_COST)</f>
        <v/>
      </c>
      <c r="K414" s="53" t="str">
        <f aca="false">IF(OR($A414&gt;TOMATO_BED_CAP,$B414&gt;CARROT_BED_CAP,K$4&gt;MESCLUN_BED_CAP,$A414+$B414+K$4&gt;TOTAL_BEDS_AVAILABLE,($D414+K$5)&gt;TOTAL_LABOR_HOURS_CAP,MAX(0,($D414+K$5)-PERMANENT_FIELD_LABOR_HOURS)&gt;TEMP_HOURS_CAP),"",$C414+K$6-MIN(($D414+K$5),PERMANENT_FIELD_LABOR_HOURS)*PERMANENT_HOURLY_RATE-MAX(0,($D414+K$5)-PERMANENT_FIELD_LABOR_HOURS)*TEMP_HOURLY_RATE-FIXED_SEASON_COST)</f>
        <v/>
      </c>
      <c r="L414" s="53" t="str">
        <f aca="false">IF(OR($A414&gt;TOMATO_BED_CAP,$B414&gt;CARROT_BED_CAP,L$4&gt;MESCLUN_BED_CAP,$A414+$B414+L$4&gt;TOTAL_BEDS_AVAILABLE,($D414+L$5)&gt;TOTAL_LABOR_HOURS_CAP,MAX(0,($D414+L$5)-PERMANENT_FIELD_LABOR_HOURS)&gt;TEMP_HOURS_CAP),"",$C414+L$6-MIN(($D414+L$5),PERMANENT_FIELD_LABOR_HOURS)*PERMANENT_HOURLY_RATE-MAX(0,($D414+L$5)-PERMANENT_FIELD_LABOR_HOURS)*TEMP_HOURLY_RATE-FIXED_SEASON_COST)</f>
        <v/>
      </c>
      <c r="M414" s="53" t="str">
        <f aca="false">IF(OR($A414&gt;TOMATO_BED_CAP,$B414&gt;CARROT_BED_CAP,M$4&gt;MESCLUN_BED_CAP,$A414+$B414+M$4&gt;TOTAL_BEDS_AVAILABLE,($D414+M$5)&gt;TOTAL_LABOR_HOURS_CAP,MAX(0,($D414+M$5)-PERMANENT_FIELD_LABOR_HOURS)&gt;TEMP_HOURS_CAP),"",$C414+M$6-MIN(($D414+M$5),PERMANENT_FIELD_LABOR_HOURS)*PERMANENT_HOURLY_RATE-MAX(0,($D414+M$5)-PERMANENT_FIELD_LABOR_HOURS)*TEMP_HOURLY_RATE-FIXED_SEASON_COST)</f>
        <v/>
      </c>
      <c r="N414" s="53" t="str">
        <f aca="false">IF(OR($A414&gt;TOMATO_BED_CAP,$B414&gt;CARROT_BED_CAP,N$4&gt;MESCLUN_BED_CAP,$A414+$B414+N$4&gt;TOTAL_BEDS_AVAILABLE,($D414+N$5)&gt;TOTAL_LABOR_HOURS_CAP,MAX(0,($D414+N$5)-PERMANENT_FIELD_LABOR_HOURS)&gt;TEMP_HOURS_CAP),"",$C414+N$6-MIN(($D414+N$5),PERMANENT_FIELD_LABOR_HOURS)*PERMANENT_HOURLY_RATE-MAX(0,($D414+N$5)-PERMANENT_FIELD_LABOR_HOURS)*TEMP_HOURLY_RATE-FIXED_SEASON_COST)</f>
        <v/>
      </c>
      <c r="O414" s="53" t="str">
        <f aca="false">IF(OR($A414&gt;TOMATO_BED_CAP,$B414&gt;CARROT_BED_CAP,O$4&gt;MESCLUN_BED_CAP,$A414+$B414+O$4&gt;TOTAL_BEDS_AVAILABLE,($D414+O$5)&gt;TOTAL_LABOR_HOURS_CAP,MAX(0,($D414+O$5)-PERMANENT_FIELD_LABOR_HOURS)&gt;TEMP_HOURS_CAP),"",$C414+O$6-MIN(($D414+O$5),PERMANENT_FIELD_LABOR_HOURS)*PERMANENT_HOURLY_RATE-MAX(0,($D414+O$5)-PERMANENT_FIELD_LABOR_HOURS)*TEMP_HOURLY_RATE-FIXED_SEASON_COST)</f>
        <v/>
      </c>
      <c r="P414" s="53" t="str">
        <f aca="false">IF(OR($A414&gt;TOMATO_BED_CAP,$B414&gt;CARROT_BED_CAP,P$4&gt;MESCLUN_BED_CAP,$A414+$B414+P$4&gt;TOTAL_BEDS_AVAILABLE,($D414+P$5)&gt;TOTAL_LABOR_HOURS_CAP,MAX(0,($D414+P$5)-PERMANENT_FIELD_LABOR_HOURS)&gt;TEMP_HOURS_CAP),"",$C414+P$6-MIN(($D414+P$5),PERMANENT_FIELD_LABOR_HOURS)*PERMANENT_HOURLY_RATE-MAX(0,($D414+P$5)-PERMANENT_FIELD_LABOR_HOURS)*TEMP_HOURLY_RATE-FIXED_SEASON_COST)</f>
        <v/>
      </c>
      <c r="Q414" s="53" t="str">
        <f aca="false">IF(OR($A414&gt;TOMATO_BED_CAP,$B414&gt;CARROT_BED_CAP,Q$4&gt;MESCLUN_BED_CAP,$A414+$B414+Q$4&gt;TOTAL_BEDS_AVAILABLE,($D414+Q$5)&gt;TOTAL_LABOR_HOURS_CAP,MAX(0,($D414+Q$5)-PERMANENT_FIELD_LABOR_HOURS)&gt;TEMP_HOURS_CAP),"",$C414+Q$6-MIN(($D414+Q$5),PERMANENT_FIELD_LABOR_HOURS)*PERMANENT_HOURLY_RATE-MAX(0,($D414+Q$5)-PERMANENT_FIELD_LABOR_HOURS)*TEMP_HOURLY_RATE-FIXED_SEASON_COST)</f>
        <v/>
      </c>
      <c r="R414" s="53" t="str">
        <f aca="false">IF(OR($A414&gt;TOMATO_BED_CAP,$B414&gt;CARROT_BED_CAP,R$4&gt;MESCLUN_BED_CAP,$A414+$B414+R$4&gt;TOTAL_BEDS_AVAILABLE,($D414+R$5)&gt;TOTAL_LABOR_HOURS_CAP,MAX(0,($D414+R$5)-PERMANENT_FIELD_LABOR_HOURS)&gt;TEMP_HOURS_CAP),"",$C414+R$6-MIN(($D414+R$5),PERMANENT_FIELD_LABOR_HOURS)*PERMANENT_HOURLY_RATE-MAX(0,($D414+R$5)-PERMANENT_FIELD_LABOR_HOURS)*TEMP_HOURLY_RATE-FIXED_SEASON_COST)</f>
        <v/>
      </c>
      <c r="S414" s="53" t="str">
        <f aca="false">IF(OR($A414&gt;TOMATO_BED_CAP,$B414&gt;CARROT_BED_CAP,S$4&gt;MESCLUN_BED_CAP,$A414+$B414+S$4&gt;TOTAL_BEDS_AVAILABLE,($D414+S$5)&gt;TOTAL_LABOR_HOURS_CAP,MAX(0,($D414+S$5)-PERMANENT_FIELD_LABOR_HOURS)&gt;TEMP_HOURS_CAP),"",$C414+S$6-MIN(($D414+S$5),PERMANENT_FIELD_LABOR_HOURS)*PERMANENT_HOURLY_RATE-MAX(0,($D414+S$5)-PERMANENT_FIELD_LABOR_HOURS)*TEMP_HOURLY_RATE-FIXED_SEASON_COST)</f>
        <v/>
      </c>
      <c r="T414" s="53" t="str">
        <f aca="false">IF(OR($A414&gt;TOMATO_BED_CAP,$B414&gt;CARROT_BED_CAP,T$4&gt;MESCLUN_BED_CAP,$A414+$B414+T$4&gt;TOTAL_BEDS_AVAILABLE,($D414+T$5)&gt;TOTAL_LABOR_HOURS_CAP,MAX(0,($D414+T$5)-PERMANENT_FIELD_LABOR_HOURS)&gt;TEMP_HOURS_CAP),"",$C414+T$6-MIN(($D414+T$5),PERMANENT_FIELD_LABOR_HOURS)*PERMANENT_HOURLY_RATE-MAX(0,($D414+T$5)-PERMANENT_FIELD_LABOR_HOURS)*TEMP_HOURLY_RATE-FIXED_SEASON_COST)</f>
        <v/>
      </c>
      <c r="U414" s="53" t="str">
        <f aca="false">IF(OR($A414&gt;TOMATO_BED_CAP,$B414&gt;CARROT_BED_CAP,U$4&gt;MESCLUN_BED_CAP,$A414+$B414+U$4&gt;TOTAL_BEDS_AVAILABLE,($D414+U$5)&gt;TOTAL_LABOR_HOURS_CAP,MAX(0,($D414+U$5)-PERMANENT_FIELD_LABOR_HOURS)&gt;TEMP_HOURS_CAP),"",$C414+U$6-MIN(($D414+U$5),PERMANENT_FIELD_LABOR_HOURS)*PERMANENT_HOURLY_RATE-MAX(0,($D414+U$5)-PERMANENT_FIELD_LABOR_HOURS)*TEMP_HOURLY_RATE-FIXED_SEASON_COST)</f>
        <v/>
      </c>
      <c r="V414" s="53" t="str">
        <f aca="false">IF(OR($A414&gt;TOMATO_BED_CAP,$B414&gt;CARROT_BED_CAP,V$4&gt;MESCLUN_BED_CAP,$A414+$B414+V$4&gt;TOTAL_BEDS_AVAILABLE,($D414+V$5)&gt;TOTAL_LABOR_HOURS_CAP,MAX(0,($D414+V$5)-PERMANENT_FIELD_LABOR_HOURS)&gt;TEMP_HOURS_CAP),"",$C414+V$6-MIN(($D414+V$5),PERMANENT_FIELD_LABOR_HOURS)*PERMANENT_HOURLY_RATE-MAX(0,($D414+V$5)-PERMANENT_FIELD_LABOR_HOURS)*TEMP_HOURLY_RATE-FIXED_SEASON_COST)</f>
        <v/>
      </c>
      <c r="W414" s="53" t="str">
        <f aca="false">IF(OR($A414&gt;TOMATO_BED_CAP,$B414&gt;CARROT_BED_CAP,W$4&gt;MESCLUN_BED_CAP,$A414+$B414+W$4&gt;TOTAL_BEDS_AVAILABLE,($D414+W$5)&gt;TOTAL_LABOR_HOURS_CAP,MAX(0,($D414+W$5)-PERMANENT_FIELD_LABOR_HOURS)&gt;TEMP_HOURS_CAP),"",$C414+W$6-MIN(($D414+W$5),PERMANENT_FIELD_LABOR_HOURS)*PERMANENT_HOURLY_RATE-MAX(0,($D414+W$5)-PERMANENT_FIELD_LABOR_HOURS)*TEMP_HOURLY_RATE-FIXED_SEASON_COST)</f>
        <v/>
      </c>
      <c r="X414" s="53" t="str">
        <f aca="false">IF(OR($A414&gt;TOMATO_BED_CAP,$B414&gt;CARROT_BED_CAP,X$4&gt;MESCLUN_BED_CAP,$A414+$B414+X$4&gt;TOTAL_BEDS_AVAILABLE,($D414+X$5)&gt;TOTAL_LABOR_HOURS_CAP,MAX(0,($D414+X$5)-PERMANENT_FIELD_LABOR_HOURS)&gt;TEMP_HOURS_CAP),"",$C414+X$6-MIN(($D414+X$5),PERMANENT_FIELD_LABOR_HOURS)*PERMANENT_HOURLY_RATE-MAX(0,($D414+X$5)-PERMANENT_FIELD_LABOR_HOURS)*TEMP_HOURLY_RATE-FIXED_SEASON_COST)</f>
        <v/>
      </c>
      <c r="Y414" s="53" t="str">
        <f aca="false">IF(OR($A414&gt;TOMATO_BED_CAP,$B414&gt;CARROT_BED_CAP,Y$4&gt;MESCLUN_BED_CAP,$A414+$B414+Y$4&gt;TOTAL_BEDS_AVAILABLE,($D414+Y$5)&gt;TOTAL_LABOR_HOURS_CAP,MAX(0,($D414+Y$5)-PERMANENT_FIELD_LABOR_HOURS)&gt;TEMP_HOURS_CAP),"",$C414+Y$6-MIN(($D414+Y$5),PERMANENT_FIELD_LABOR_HOURS)*PERMANENT_HOURLY_RATE-MAX(0,($D414+Y$5)-PERMANENT_FIELD_LABOR_HOURS)*TEMP_HOURLY_RATE-FIXED_SEASON_COST)</f>
        <v/>
      </c>
      <c r="Z414" s="53" t="str">
        <f aca="false">IF(OR($A414&gt;TOMATO_BED_CAP,$B414&gt;CARROT_BED_CAP,Z$4&gt;MESCLUN_BED_CAP,$A414+$B414+Z$4&gt;TOTAL_BEDS_AVAILABLE,($D414+Z$5)&gt;TOTAL_LABOR_HOURS_CAP,MAX(0,($D414+Z$5)-PERMANENT_FIELD_LABOR_HOURS)&gt;TEMP_HOURS_CAP),"",$C414+Z$6-MIN(($D414+Z$5),PERMANENT_FIELD_LABOR_HOURS)*PERMANENT_HOURLY_RATE-MAX(0,($D414+Z$5)-PERMANENT_FIELD_LABOR_HOURS)*TEMP_HOURLY_RATE-FIXED_SEASON_COST)</f>
        <v/>
      </c>
      <c r="AA414" s="53" t="str">
        <f aca="false">IF(OR($A414&gt;TOMATO_BED_CAP,$B414&gt;CARROT_BED_CAP,AA$4&gt;MESCLUN_BED_CAP,$A414+$B414+AA$4&gt;TOTAL_BEDS_AVAILABLE,($D414+AA$5)&gt;TOTAL_LABOR_HOURS_CAP,MAX(0,($D414+AA$5)-PERMANENT_FIELD_LABOR_HOURS)&gt;TEMP_HOURS_CAP),"",$C414+AA$6-MIN(($D414+AA$5),PERMANENT_FIELD_LABOR_HOURS)*PERMANENT_HOURLY_RATE-MAX(0,($D414+AA$5)-PERMANENT_FIELD_LABOR_HOURS)*TEMP_HOURLY_RATE-FIXED_SEASON_COST)</f>
        <v/>
      </c>
      <c r="AB414" s="53" t="str">
        <f aca="false">IF(OR($A414&gt;TOMATO_BED_CAP,$B414&gt;CARROT_BED_CAP,AB$4&gt;MESCLUN_BED_CAP,$A414+$B414+AB$4&gt;TOTAL_BEDS_AVAILABLE,($D414+AB$5)&gt;TOTAL_LABOR_HOURS_CAP,MAX(0,($D414+AB$5)-PERMANENT_FIELD_LABOR_HOURS)&gt;TEMP_HOURS_CAP),"",$C414+AB$6-MIN(($D414+AB$5),PERMANENT_FIELD_LABOR_HOURS)*PERMANENT_HOURLY_RATE-MAX(0,($D414+AB$5)-PERMANENT_FIELD_LABOR_HOURS)*TEMP_HOURLY_RATE-FIXED_SEASON_COST)</f>
        <v/>
      </c>
      <c r="AC414" s="53" t="str">
        <f aca="false">IF(OR($A414&gt;TOMATO_BED_CAP,$B414&gt;CARROT_BED_CAP,AC$4&gt;MESCLUN_BED_CAP,$A414+$B414+AC$4&gt;TOTAL_BEDS_AVAILABLE,($D414+AC$5)&gt;TOTAL_LABOR_HOURS_CAP,MAX(0,($D414+AC$5)-PERMANENT_FIELD_LABOR_HOURS)&gt;TEMP_HOURS_CAP),"",$C414+AC$6-MIN(($D414+AC$5),PERMANENT_FIELD_LABOR_HOURS)*PERMANENT_HOURLY_RATE-MAX(0,($D414+AC$5)-PERMANENT_FIELD_LABOR_HOURS)*TEMP_HOURLY_RATE-FIXED_SEASON_COST)</f>
        <v/>
      </c>
      <c r="AD414" s="53" t="str">
        <f aca="false">IF(OR($A414&gt;TOMATO_BED_CAP,$B414&gt;CARROT_BED_CAP,AD$4&gt;MESCLUN_BED_CAP,$A414+$B414+AD$4&gt;TOTAL_BEDS_AVAILABLE,($D414+AD$5)&gt;TOTAL_LABOR_HOURS_CAP,MAX(0,($D414+AD$5)-PERMANENT_FIELD_LABOR_HOURS)&gt;TEMP_HOURS_CAP),"",$C414+AD$6-MIN(($D414+AD$5),PERMANENT_FIELD_LABOR_HOURS)*PERMANENT_HOURLY_RATE-MAX(0,($D414+AD$5)-PERMANENT_FIELD_LABOR_HOURS)*TEMP_HOURLY_RATE-FIXED_SEASON_COST)</f>
        <v/>
      </c>
      <c r="AE414" s="53" t="str">
        <f aca="false">IF(OR($A414&gt;TOMATO_BED_CAP,$B414&gt;CARROT_BED_CAP,AE$4&gt;MESCLUN_BED_CAP,$A414+$B414+AE$4&gt;TOTAL_BEDS_AVAILABLE,($D414+AE$5)&gt;TOTAL_LABOR_HOURS_CAP,MAX(0,($D414+AE$5)-PERMANENT_FIELD_LABOR_HOURS)&gt;TEMP_HOURS_CAP),"",$C414+AE$6-MIN(($D414+AE$5),PERMANENT_FIELD_LABOR_HOURS)*PERMANENT_HOURLY_RATE-MAX(0,($D414+AE$5)-PERMANENT_FIELD_LABOR_HOURS)*TEMP_HOURLY_RATE-FIXED_SEASON_COST)</f>
        <v/>
      </c>
      <c r="AF414" s="53" t="str">
        <f aca="false">IF(OR($A414&gt;TOMATO_BED_CAP,$B414&gt;CARROT_BED_CAP,AF$4&gt;MESCLUN_BED_CAP,$A414+$B414+AF$4&gt;TOTAL_BEDS_AVAILABLE,($D414+AF$5)&gt;TOTAL_LABOR_HOURS_CAP,MAX(0,($D414+AF$5)-PERMANENT_FIELD_LABOR_HOURS)&gt;TEMP_HOURS_CAP),"",$C414+AF$6-MIN(($D414+AF$5),PERMANENT_FIELD_LABOR_HOURS)*PERMANENT_HOURLY_RATE-MAX(0,($D414+AF$5)-PERMANENT_FIELD_LABOR_HOURS)*TEMP_HOURLY_RATE-FIXED_SEASON_COST)</f>
        <v/>
      </c>
      <c r="AG414" s="53" t="str">
        <f aca="false">IF(OR($A414&gt;TOMATO_BED_CAP,$B414&gt;CARROT_BED_CAP,AG$4&gt;MESCLUN_BED_CAP,$A414+$B414+AG$4&gt;TOTAL_BEDS_AVAILABLE,($D414+AG$5)&gt;TOTAL_LABOR_HOURS_CAP,MAX(0,($D414+AG$5)-PERMANENT_FIELD_LABOR_HOURS)&gt;TEMP_HOURS_CAP),"",$C414+AG$6-MIN(($D414+AG$5),PERMANENT_FIELD_LABOR_HOURS)*PERMANENT_HOURLY_RATE-MAX(0,($D414+AG$5)-PERMANENT_FIELD_LABOR_HOURS)*TEMP_HOURLY_RATE-FIXED_SEASON_COST)</f>
        <v/>
      </c>
      <c r="AH414" s="53" t="str">
        <f aca="false">IF(OR($A414&gt;TOMATO_BED_CAP,$B414&gt;CARROT_BED_CAP,AH$4&gt;MESCLUN_BED_CAP,$A414+$B414+AH$4&gt;TOTAL_BEDS_AVAILABLE,($D414+AH$5)&gt;TOTAL_LABOR_HOURS_CAP,MAX(0,($D414+AH$5)-PERMANENT_FIELD_LABOR_HOURS)&gt;TEMP_HOURS_CAP),"",$C414+AH$6-MIN(($D414+AH$5),PERMANENT_FIELD_LABOR_HOURS)*PERMANENT_HOURLY_RATE-MAX(0,($D414+AH$5)-PERMANENT_FIELD_LABOR_HOURS)*TEMP_HOURLY_RATE-FIXED_SEASON_COST)</f>
        <v/>
      </c>
      <c r="AI414" s="53" t="str">
        <f aca="false">IF(OR($A414&gt;TOMATO_BED_CAP,$B414&gt;CARROT_BED_CAP,AI$4&gt;MESCLUN_BED_CAP,$A414+$B414+AI$4&gt;TOTAL_BEDS_AVAILABLE,($D414+AI$5)&gt;TOTAL_LABOR_HOURS_CAP,MAX(0,($D414+AI$5)-PERMANENT_FIELD_LABOR_HOURS)&gt;TEMP_HOURS_CAP),"",$C414+AI$6-MIN(($D414+AI$5),PERMANENT_FIELD_LABOR_HOURS)*PERMANENT_HOURLY_RATE-MAX(0,($D414+AI$5)-PERMANENT_FIELD_LABOR_HOURS)*TEMP_HOURLY_RATE-FIXED_SEASON_COST)</f>
        <v/>
      </c>
      <c r="AJ414" s="53" t="str">
        <f aca="false">IF(OR($A414&gt;TOMATO_BED_CAP,$B414&gt;CARROT_BED_CAP,AJ$4&gt;MESCLUN_BED_CAP,$A414+$B414+AJ$4&gt;TOTAL_BEDS_AVAILABLE,($D414+AJ$5)&gt;TOTAL_LABOR_HOURS_CAP,MAX(0,($D414+AJ$5)-PERMANENT_FIELD_LABOR_HOURS)&gt;TEMP_HOURS_CAP),"",$C414+AJ$6-MIN(($D414+AJ$5),PERMANENT_FIELD_LABOR_HOURS)*PERMANENT_HOURLY_RATE-MAX(0,($D414+AJ$5)-PERMANENT_FIELD_LABOR_HOURS)*TEMP_HOURLY_RATE-FIXED_SEASON_COST)</f>
        <v/>
      </c>
    </row>
    <row r="415" customFormat="false" ht="15" hidden="false" customHeight="false" outlineLevel="0" collapsed="false">
      <c r="A415" s="21" t="n">
        <f aca="false">INT((ROW()-ROW($A$8))/(20+1))</f>
        <v>19</v>
      </c>
      <c r="B415" s="21" t="n">
        <f aca="false">MOD(ROW()-ROW($A$8),20+1)</f>
        <v>8</v>
      </c>
      <c r="C415" s="13" t="n">
        <f aca="false">A415*(TOMATO_REVENUE_PER_BED-TOMATO_FERTILIZER_PER_BED)+B415*(CARROT_REVENUE_PER_BED-CARROT_FERTILIZER_PER_BED)</f>
        <v>163712</v>
      </c>
      <c r="D415" s="14" t="n">
        <f aca="false">INDEX(TOMATO_SCHED_LABOR_HRS,A415+1)+INDEX(CARROT_SCHED_LABOR_HRS,B415+1)</f>
        <v>10750.5041954031</v>
      </c>
      <c r="E415" s="13" t="str">
        <f aca="false">IF(COUNT(F415:AJ415)=0,"",MAX(F415:AJ415))</f>
        <v/>
      </c>
      <c r="F415" s="53" t="str">
        <f aca="false">IF(OR($A415&gt;TOMATO_BED_CAP,$B415&gt;CARROT_BED_CAP,F$4&gt;MESCLUN_BED_CAP,$A415+$B415+F$4&gt;TOTAL_BEDS_AVAILABLE,($D415+F$5)&gt;TOTAL_LABOR_HOURS_CAP,MAX(0,($D415+F$5)-PERMANENT_FIELD_LABOR_HOURS)&gt;TEMP_HOURS_CAP),"",$C415+F$6-MIN(($D415+F$5),PERMANENT_FIELD_LABOR_HOURS)*PERMANENT_HOURLY_RATE-MAX(0,($D415+F$5)-PERMANENT_FIELD_LABOR_HOURS)*TEMP_HOURLY_RATE-FIXED_SEASON_COST)</f>
        <v/>
      </c>
      <c r="G415" s="53" t="str">
        <f aca="false">IF(OR($A415&gt;TOMATO_BED_CAP,$B415&gt;CARROT_BED_CAP,G$4&gt;MESCLUN_BED_CAP,$A415+$B415+G$4&gt;TOTAL_BEDS_AVAILABLE,($D415+G$5)&gt;TOTAL_LABOR_HOURS_CAP,MAX(0,($D415+G$5)-PERMANENT_FIELD_LABOR_HOURS)&gt;TEMP_HOURS_CAP),"",$C415+G$6-MIN(($D415+G$5),PERMANENT_FIELD_LABOR_HOURS)*PERMANENT_HOURLY_RATE-MAX(0,($D415+G$5)-PERMANENT_FIELD_LABOR_HOURS)*TEMP_HOURLY_RATE-FIXED_SEASON_COST)</f>
        <v/>
      </c>
      <c r="H415" s="53" t="str">
        <f aca="false">IF(OR($A415&gt;TOMATO_BED_CAP,$B415&gt;CARROT_BED_CAP,H$4&gt;MESCLUN_BED_CAP,$A415+$B415+H$4&gt;TOTAL_BEDS_AVAILABLE,($D415+H$5)&gt;TOTAL_LABOR_HOURS_CAP,MAX(0,($D415+H$5)-PERMANENT_FIELD_LABOR_HOURS)&gt;TEMP_HOURS_CAP),"",$C415+H$6-MIN(($D415+H$5),PERMANENT_FIELD_LABOR_HOURS)*PERMANENT_HOURLY_RATE-MAX(0,($D415+H$5)-PERMANENT_FIELD_LABOR_HOURS)*TEMP_HOURLY_RATE-FIXED_SEASON_COST)</f>
        <v/>
      </c>
      <c r="I415" s="53" t="str">
        <f aca="false">IF(OR($A415&gt;TOMATO_BED_CAP,$B415&gt;CARROT_BED_CAP,I$4&gt;MESCLUN_BED_CAP,$A415+$B415+I$4&gt;TOTAL_BEDS_AVAILABLE,($D415+I$5)&gt;TOTAL_LABOR_HOURS_CAP,MAX(0,($D415+I$5)-PERMANENT_FIELD_LABOR_HOURS)&gt;TEMP_HOURS_CAP),"",$C415+I$6-MIN(($D415+I$5),PERMANENT_FIELD_LABOR_HOURS)*PERMANENT_HOURLY_RATE-MAX(0,($D415+I$5)-PERMANENT_FIELD_LABOR_HOURS)*TEMP_HOURLY_RATE-FIXED_SEASON_COST)</f>
        <v/>
      </c>
      <c r="J415" s="53" t="str">
        <f aca="false">IF(OR($A415&gt;TOMATO_BED_CAP,$B415&gt;CARROT_BED_CAP,J$4&gt;MESCLUN_BED_CAP,$A415+$B415+J$4&gt;TOTAL_BEDS_AVAILABLE,($D415+J$5)&gt;TOTAL_LABOR_HOURS_CAP,MAX(0,($D415+J$5)-PERMANENT_FIELD_LABOR_HOURS)&gt;TEMP_HOURS_CAP),"",$C415+J$6-MIN(($D415+J$5),PERMANENT_FIELD_LABOR_HOURS)*PERMANENT_HOURLY_RATE-MAX(0,($D415+J$5)-PERMANENT_FIELD_LABOR_HOURS)*TEMP_HOURLY_RATE-FIXED_SEASON_COST)</f>
        <v/>
      </c>
      <c r="K415" s="53" t="str">
        <f aca="false">IF(OR($A415&gt;TOMATO_BED_CAP,$B415&gt;CARROT_BED_CAP,K$4&gt;MESCLUN_BED_CAP,$A415+$B415+K$4&gt;TOTAL_BEDS_AVAILABLE,($D415+K$5)&gt;TOTAL_LABOR_HOURS_CAP,MAX(0,($D415+K$5)-PERMANENT_FIELD_LABOR_HOURS)&gt;TEMP_HOURS_CAP),"",$C415+K$6-MIN(($D415+K$5),PERMANENT_FIELD_LABOR_HOURS)*PERMANENT_HOURLY_RATE-MAX(0,($D415+K$5)-PERMANENT_FIELD_LABOR_HOURS)*TEMP_HOURLY_RATE-FIXED_SEASON_COST)</f>
        <v/>
      </c>
      <c r="L415" s="53" t="str">
        <f aca="false">IF(OR($A415&gt;TOMATO_BED_CAP,$B415&gt;CARROT_BED_CAP,L$4&gt;MESCLUN_BED_CAP,$A415+$B415+L$4&gt;TOTAL_BEDS_AVAILABLE,($D415+L$5)&gt;TOTAL_LABOR_HOURS_CAP,MAX(0,($D415+L$5)-PERMANENT_FIELD_LABOR_HOURS)&gt;TEMP_HOURS_CAP),"",$C415+L$6-MIN(($D415+L$5),PERMANENT_FIELD_LABOR_HOURS)*PERMANENT_HOURLY_RATE-MAX(0,($D415+L$5)-PERMANENT_FIELD_LABOR_HOURS)*TEMP_HOURLY_RATE-FIXED_SEASON_COST)</f>
        <v/>
      </c>
      <c r="M415" s="53" t="str">
        <f aca="false">IF(OR($A415&gt;TOMATO_BED_CAP,$B415&gt;CARROT_BED_CAP,M$4&gt;MESCLUN_BED_CAP,$A415+$B415+M$4&gt;TOTAL_BEDS_AVAILABLE,($D415+M$5)&gt;TOTAL_LABOR_HOURS_CAP,MAX(0,($D415+M$5)-PERMANENT_FIELD_LABOR_HOURS)&gt;TEMP_HOURS_CAP),"",$C415+M$6-MIN(($D415+M$5),PERMANENT_FIELD_LABOR_HOURS)*PERMANENT_HOURLY_RATE-MAX(0,($D415+M$5)-PERMANENT_FIELD_LABOR_HOURS)*TEMP_HOURLY_RATE-FIXED_SEASON_COST)</f>
        <v/>
      </c>
      <c r="N415" s="53" t="str">
        <f aca="false">IF(OR($A415&gt;TOMATO_BED_CAP,$B415&gt;CARROT_BED_CAP,N$4&gt;MESCLUN_BED_CAP,$A415+$B415+N$4&gt;TOTAL_BEDS_AVAILABLE,($D415+N$5)&gt;TOTAL_LABOR_HOURS_CAP,MAX(0,($D415+N$5)-PERMANENT_FIELD_LABOR_HOURS)&gt;TEMP_HOURS_CAP),"",$C415+N$6-MIN(($D415+N$5),PERMANENT_FIELD_LABOR_HOURS)*PERMANENT_HOURLY_RATE-MAX(0,($D415+N$5)-PERMANENT_FIELD_LABOR_HOURS)*TEMP_HOURLY_RATE-FIXED_SEASON_COST)</f>
        <v/>
      </c>
      <c r="O415" s="53" t="str">
        <f aca="false">IF(OR($A415&gt;TOMATO_BED_CAP,$B415&gt;CARROT_BED_CAP,O$4&gt;MESCLUN_BED_CAP,$A415+$B415+O$4&gt;TOTAL_BEDS_AVAILABLE,($D415+O$5)&gt;TOTAL_LABOR_HOURS_CAP,MAX(0,($D415+O$5)-PERMANENT_FIELD_LABOR_HOURS)&gt;TEMP_HOURS_CAP),"",$C415+O$6-MIN(($D415+O$5),PERMANENT_FIELD_LABOR_HOURS)*PERMANENT_HOURLY_RATE-MAX(0,($D415+O$5)-PERMANENT_FIELD_LABOR_HOURS)*TEMP_HOURLY_RATE-FIXED_SEASON_COST)</f>
        <v/>
      </c>
      <c r="P415" s="53" t="str">
        <f aca="false">IF(OR($A415&gt;TOMATO_BED_CAP,$B415&gt;CARROT_BED_CAP,P$4&gt;MESCLUN_BED_CAP,$A415+$B415+P$4&gt;TOTAL_BEDS_AVAILABLE,($D415+P$5)&gt;TOTAL_LABOR_HOURS_CAP,MAX(0,($D415+P$5)-PERMANENT_FIELD_LABOR_HOURS)&gt;TEMP_HOURS_CAP),"",$C415+P$6-MIN(($D415+P$5),PERMANENT_FIELD_LABOR_HOURS)*PERMANENT_HOURLY_RATE-MAX(0,($D415+P$5)-PERMANENT_FIELD_LABOR_HOURS)*TEMP_HOURLY_RATE-FIXED_SEASON_COST)</f>
        <v/>
      </c>
      <c r="Q415" s="53" t="str">
        <f aca="false">IF(OR($A415&gt;TOMATO_BED_CAP,$B415&gt;CARROT_BED_CAP,Q$4&gt;MESCLUN_BED_CAP,$A415+$B415+Q$4&gt;TOTAL_BEDS_AVAILABLE,($D415+Q$5)&gt;TOTAL_LABOR_HOURS_CAP,MAX(0,($D415+Q$5)-PERMANENT_FIELD_LABOR_HOURS)&gt;TEMP_HOURS_CAP),"",$C415+Q$6-MIN(($D415+Q$5),PERMANENT_FIELD_LABOR_HOURS)*PERMANENT_HOURLY_RATE-MAX(0,($D415+Q$5)-PERMANENT_FIELD_LABOR_HOURS)*TEMP_HOURLY_RATE-FIXED_SEASON_COST)</f>
        <v/>
      </c>
      <c r="R415" s="53" t="str">
        <f aca="false">IF(OR($A415&gt;TOMATO_BED_CAP,$B415&gt;CARROT_BED_CAP,R$4&gt;MESCLUN_BED_CAP,$A415+$B415+R$4&gt;TOTAL_BEDS_AVAILABLE,($D415+R$5)&gt;TOTAL_LABOR_HOURS_CAP,MAX(0,($D415+R$5)-PERMANENT_FIELD_LABOR_HOURS)&gt;TEMP_HOURS_CAP),"",$C415+R$6-MIN(($D415+R$5),PERMANENT_FIELD_LABOR_HOURS)*PERMANENT_HOURLY_RATE-MAX(0,($D415+R$5)-PERMANENT_FIELD_LABOR_HOURS)*TEMP_HOURLY_RATE-FIXED_SEASON_COST)</f>
        <v/>
      </c>
      <c r="S415" s="53" t="str">
        <f aca="false">IF(OR($A415&gt;TOMATO_BED_CAP,$B415&gt;CARROT_BED_CAP,S$4&gt;MESCLUN_BED_CAP,$A415+$B415+S$4&gt;TOTAL_BEDS_AVAILABLE,($D415+S$5)&gt;TOTAL_LABOR_HOURS_CAP,MAX(0,($D415+S$5)-PERMANENT_FIELD_LABOR_HOURS)&gt;TEMP_HOURS_CAP),"",$C415+S$6-MIN(($D415+S$5),PERMANENT_FIELD_LABOR_HOURS)*PERMANENT_HOURLY_RATE-MAX(0,($D415+S$5)-PERMANENT_FIELD_LABOR_HOURS)*TEMP_HOURLY_RATE-FIXED_SEASON_COST)</f>
        <v/>
      </c>
      <c r="T415" s="53" t="str">
        <f aca="false">IF(OR($A415&gt;TOMATO_BED_CAP,$B415&gt;CARROT_BED_CAP,T$4&gt;MESCLUN_BED_CAP,$A415+$B415+T$4&gt;TOTAL_BEDS_AVAILABLE,($D415+T$5)&gt;TOTAL_LABOR_HOURS_CAP,MAX(0,($D415+T$5)-PERMANENT_FIELD_LABOR_HOURS)&gt;TEMP_HOURS_CAP),"",$C415+T$6-MIN(($D415+T$5),PERMANENT_FIELD_LABOR_HOURS)*PERMANENT_HOURLY_RATE-MAX(0,($D415+T$5)-PERMANENT_FIELD_LABOR_HOURS)*TEMP_HOURLY_RATE-FIXED_SEASON_COST)</f>
        <v/>
      </c>
      <c r="U415" s="53" t="str">
        <f aca="false">IF(OR($A415&gt;TOMATO_BED_CAP,$B415&gt;CARROT_BED_CAP,U$4&gt;MESCLUN_BED_CAP,$A415+$B415+U$4&gt;TOTAL_BEDS_AVAILABLE,($D415+U$5)&gt;TOTAL_LABOR_HOURS_CAP,MAX(0,($D415+U$5)-PERMANENT_FIELD_LABOR_HOURS)&gt;TEMP_HOURS_CAP),"",$C415+U$6-MIN(($D415+U$5),PERMANENT_FIELD_LABOR_HOURS)*PERMANENT_HOURLY_RATE-MAX(0,($D415+U$5)-PERMANENT_FIELD_LABOR_HOURS)*TEMP_HOURLY_RATE-FIXED_SEASON_COST)</f>
        <v/>
      </c>
      <c r="V415" s="53" t="str">
        <f aca="false">IF(OR($A415&gt;TOMATO_BED_CAP,$B415&gt;CARROT_BED_CAP,V$4&gt;MESCLUN_BED_CAP,$A415+$B415+V$4&gt;TOTAL_BEDS_AVAILABLE,($D415+V$5)&gt;TOTAL_LABOR_HOURS_CAP,MAX(0,($D415+V$5)-PERMANENT_FIELD_LABOR_HOURS)&gt;TEMP_HOURS_CAP),"",$C415+V$6-MIN(($D415+V$5),PERMANENT_FIELD_LABOR_HOURS)*PERMANENT_HOURLY_RATE-MAX(0,($D415+V$5)-PERMANENT_FIELD_LABOR_HOURS)*TEMP_HOURLY_RATE-FIXED_SEASON_COST)</f>
        <v/>
      </c>
      <c r="W415" s="53" t="str">
        <f aca="false">IF(OR($A415&gt;TOMATO_BED_CAP,$B415&gt;CARROT_BED_CAP,W$4&gt;MESCLUN_BED_CAP,$A415+$B415+W$4&gt;TOTAL_BEDS_AVAILABLE,($D415+W$5)&gt;TOTAL_LABOR_HOURS_CAP,MAX(0,($D415+W$5)-PERMANENT_FIELD_LABOR_HOURS)&gt;TEMP_HOURS_CAP),"",$C415+W$6-MIN(($D415+W$5),PERMANENT_FIELD_LABOR_HOURS)*PERMANENT_HOURLY_RATE-MAX(0,($D415+W$5)-PERMANENT_FIELD_LABOR_HOURS)*TEMP_HOURLY_RATE-FIXED_SEASON_COST)</f>
        <v/>
      </c>
      <c r="X415" s="53" t="str">
        <f aca="false">IF(OR($A415&gt;TOMATO_BED_CAP,$B415&gt;CARROT_BED_CAP,X$4&gt;MESCLUN_BED_CAP,$A415+$B415+X$4&gt;TOTAL_BEDS_AVAILABLE,($D415+X$5)&gt;TOTAL_LABOR_HOURS_CAP,MAX(0,($D415+X$5)-PERMANENT_FIELD_LABOR_HOURS)&gt;TEMP_HOURS_CAP),"",$C415+X$6-MIN(($D415+X$5),PERMANENT_FIELD_LABOR_HOURS)*PERMANENT_HOURLY_RATE-MAX(0,($D415+X$5)-PERMANENT_FIELD_LABOR_HOURS)*TEMP_HOURLY_RATE-FIXED_SEASON_COST)</f>
        <v/>
      </c>
      <c r="Y415" s="53" t="str">
        <f aca="false">IF(OR($A415&gt;TOMATO_BED_CAP,$B415&gt;CARROT_BED_CAP,Y$4&gt;MESCLUN_BED_CAP,$A415+$B415+Y$4&gt;TOTAL_BEDS_AVAILABLE,($D415+Y$5)&gt;TOTAL_LABOR_HOURS_CAP,MAX(0,($D415+Y$5)-PERMANENT_FIELD_LABOR_HOURS)&gt;TEMP_HOURS_CAP),"",$C415+Y$6-MIN(($D415+Y$5),PERMANENT_FIELD_LABOR_HOURS)*PERMANENT_HOURLY_RATE-MAX(0,($D415+Y$5)-PERMANENT_FIELD_LABOR_HOURS)*TEMP_HOURLY_RATE-FIXED_SEASON_COST)</f>
        <v/>
      </c>
      <c r="Z415" s="53" t="str">
        <f aca="false">IF(OR($A415&gt;TOMATO_BED_CAP,$B415&gt;CARROT_BED_CAP,Z$4&gt;MESCLUN_BED_CAP,$A415+$B415+Z$4&gt;TOTAL_BEDS_AVAILABLE,($D415+Z$5)&gt;TOTAL_LABOR_HOURS_CAP,MAX(0,($D415+Z$5)-PERMANENT_FIELD_LABOR_HOURS)&gt;TEMP_HOURS_CAP),"",$C415+Z$6-MIN(($D415+Z$5),PERMANENT_FIELD_LABOR_HOURS)*PERMANENT_HOURLY_RATE-MAX(0,($D415+Z$5)-PERMANENT_FIELD_LABOR_HOURS)*TEMP_HOURLY_RATE-FIXED_SEASON_COST)</f>
        <v/>
      </c>
      <c r="AA415" s="53" t="str">
        <f aca="false">IF(OR($A415&gt;TOMATO_BED_CAP,$B415&gt;CARROT_BED_CAP,AA$4&gt;MESCLUN_BED_CAP,$A415+$B415+AA$4&gt;TOTAL_BEDS_AVAILABLE,($D415+AA$5)&gt;TOTAL_LABOR_HOURS_CAP,MAX(0,($D415+AA$5)-PERMANENT_FIELD_LABOR_HOURS)&gt;TEMP_HOURS_CAP),"",$C415+AA$6-MIN(($D415+AA$5),PERMANENT_FIELD_LABOR_HOURS)*PERMANENT_HOURLY_RATE-MAX(0,($D415+AA$5)-PERMANENT_FIELD_LABOR_HOURS)*TEMP_HOURLY_RATE-FIXED_SEASON_COST)</f>
        <v/>
      </c>
      <c r="AB415" s="53" t="str">
        <f aca="false">IF(OR($A415&gt;TOMATO_BED_CAP,$B415&gt;CARROT_BED_CAP,AB$4&gt;MESCLUN_BED_CAP,$A415+$B415+AB$4&gt;TOTAL_BEDS_AVAILABLE,($D415+AB$5)&gt;TOTAL_LABOR_HOURS_CAP,MAX(0,($D415+AB$5)-PERMANENT_FIELD_LABOR_HOURS)&gt;TEMP_HOURS_CAP),"",$C415+AB$6-MIN(($D415+AB$5),PERMANENT_FIELD_LABOR_HOURS)*PERMANENT_HOURLY_RATE-MAX(0,($D415+AB$5)-PERMANENT_FIELD_LABOR_HOURS)*TEMP_HOURLY_RATE-FIXED_SEASON_COST)</f>
        <v/>
      </c>
      <c r="AC415" s="53" t="str">
        <f aca="false">IF(OR($A415&gt;TOMATO_BED_CAP,$B415&gt;CARROT_BED_CAP,AC$4&gt;MESCLUN_BED_CAP,$A415+$B415+AC$4&gt;TOTAL_BEDS_AVAILABLE,($D415+AC$5)&gt;TOTAL_LABOR_HOURS_CAP,MAX(0,($D415+AC$5)-PERMANENT_FIELD_LABOR_HOURS)&gt;TEMP_HOURS_CAP),"",$C415+AC$6-MIN(($D415+AC$5),PERMANENT_FIELD_LABOR_HOURS)*PERMANENT_HOURLY_RATE-MAX(0,($D415+AC$5)-PERMANENT_FIELD_LABOR_HOURS)*TEMP_HOURLY_RATE-FIXED_SEASON_COST)</f>
        <v/>
      </c>
      <c r="AD415" s="53" t="str">
        <f aca="false">IF(OR($A415&gt;TOMATO_BED_CAP,$B415&gt;CARROT_BED_CAP,AD$4&gt;MESCLUN_BED_CAP,$A415+$B415+AD$4&gt;TOTAL_BEDS_AVAILABLE,($D415+AD$5)&gt;TOTAL_LABOR_HOURS_CAP,MAX(0,($D415+AD$5)-PERMANENT_FIELD_LABOR_HOURS)&gt;TEMP_HOURS_CAP),"",$C415+AD$6-MIN(($D415+AD$5),PERMANENT_FIELD_LABOR_HOURS)*PERMANENT_HOURLY_RATE-MAX(0,($D415+AD$5)-PERMANENT_FIELD_LABOR_HOURS)*TEMP_HOURLY_RATE-FIXED_SEASON_COST)</f>
        <v/>
      </c>
      <c r="AE415" s="53" t="str">
        <f aca="false">IF(OR($A415&gt;TOMATO_BED_CAP,$B415&gt;CARROT_BED_CAP,AE$4&gt;MESCLUN_BED_CAP,$A415+$B415+AE$4&gt;TOTAL_BEDS_AVAILABLE,($D415+AE$5)&gt;TOTAL_LABOR_HOURS_CAP,MAX(0,($D415+AE$5)-PERMANENT_FIELD_LABOR_HOURS)&gt;TEMP_HOURS_CAP),"",$C415+AE$6-MIN(($D415+AE$5),PERMANENT_FIELD_LABOR_HOURS)*PERMANENT_HOURLY_RATE-MAX(0,($D415+AE$5)-PERMANENT_FIELD_LABOR_HOURS)*TEMP_HOURLY_RATE-FIXED_SEASON_COST)</f>
        <v/>
      </c>
      <c r="AF415" s="53" t="str">
        <f aca="false">IF(OR($A415&gt;TOMATO_BED_CAP,$B415&gt;CARROT_BED_CAP,AF$4&gt;MESCLUN_BED_CAP,$A415+$B415+AF$4&gt;TOTAL_BEDS_AVAILABLE,($D415+AF$5)&gt;TOTAL_LABOR_HOURS_CAP,MAX(0,($D415+AF$5)-PERMANENT_FIELD_LABOR_HOURS)&gt;TEMP_HOURS_CAP),"",$C415+AF$6-MIN(($D415+AF$5),PERMANENT_FIELD_LABOR_HOURS)*PERMANENT_HOURLY_RATE-MAX(0,($D415+AF$5)-PERMANENT_FIELD_LABOR_HOURS)*TEMP_HOURLY_RATE-FIXED_SEASON_COST)</f>
        <v/>
      </c>
      <c r="AG415" s="53" t="str">
        <f aca="false">IF(OR($A415&gt;TOMATO_BED_CAP,$B415&gt;CARROT_BED_CAP,AG$4&gt;MESCLUN_BED_CAP,$A415+$B415+AG$4&gt;TOTAL_BEDS_AVAILABLE,($D415+AG$5)&gt;TOTAL_LABOR_HOURS_CAP,MAX(0,($D415+AG$5)-PERMANENT_FIELD_LABOR_HOURS)&gt;TEMP_HOURS_CAP),"",$C415+AG$6-MIN(($D415+AG$5),PERMANENT_FIELD_LABOR_HOURS)*PERMANENT_HOURLY_RATE-MAX(0,($D415+AG$5)-PERMANENT_FIELD_LABOR_HOURS)*TEMP_HOURLY_RATE-FIXED_SEASON_COST)</f>
        <v/>
      </c>
      <c r="AH415" s="53" t="str">
        <f aca="false">IF(OR($A415&gt;TOMATO_BED_CAP,$B415&gt;CARROT_BED_CAP,AH$4&gt;MESCLUN_BED_CAP,$A415+$B415+AH$4&gt;TOTAL_BEDS_AVAILABLE,($D415+AH$5)&gt;TOTAL_LABOR_HOURS_CAP,MAX(0,($D415+AH$5)-PERMANENT_FIELD_LABOR_HOURS)&gt;TEMP_HOURS_CAP),"",$C415+AH$6-MIN(($D415+AH$5),PERMANENT_FIELD_LABOR_HOURS)*PERMANENT_HOURLY_RATE-MAX(0,($D415+AH$5)-PERMANENT_FIELD_LABOR_HOURS)*TEMP_HOURLY_RATE-FIXED_SEASON_COST)</f>
        <v/>
      </c>
      <c r="AI415" s="53" t="str">
        <f aca="false">IF(OR($A415&gt;TOMATO_BED_CAP,$B415&gt;CARROT_BED_CAP,AI$4&gt;MESCLUN_BED_CAP,$A415+$B415+AI$4&gt;TOTAL_BEDS_AVAILABLE,($D415+AI$5)&gt;TOTAL_LABOR_HOURS_CAP,MAX(0,($D415+AI$5)-PERMANENT_FIELD_LABOR_HOURS)&gt;TEMP_HOURS_CAP),"",$C415+AI$6-MIN(($D415+AI$5),PERMANENT_FIELD_LABOR_HOURS)*PERMANENT_HOURLY_RATE-MAX(0,($D415+AI$5)-PERMANENT_FIELD_LABOR_HOURS)*TEMP_HOURLY_RATE-FIXED_SEASON_COST)</f>
        <v/>
      </c>
      <c r="AJ415" s="53" t="str">
        <f aca="false">IF(OR($A415&gt;TOMATO_BED_CAP,$B415&gt;CARROT_BED_CAP,AJ$4&gt;MESCLUN_BED_CAP,$A415+$B415+AJ$4&gt;TOTAL_BEDS_AVAILABLE,($D415+AJ$5)&gt;TOTAL_LABOR_HOURS_CAP,MAX(0,($D415+AJ$5)-PERMANENT_FIELD_LABOR_HOURS)&gt;TEMP_HOURS_CAP),"",$C415+AJ$6-MIN(($D415+AJ$5),PERMANENT_FIELD_LABOR_HOURS)*PERMANENT_HOURLY_RATE-MAX(0,($D415+AJ$5)-PERMANENT_FIELD_LABOR_HOURS)*TEMP_HOURLY_RATE-FIXED_SEASON_COST)</f>
        <v/>
      </c>
    </row>
    <row r="416" customFormat="false" ht="15" hidden="false" customHeight="false" outlineLevel="0" collapsed="false">
      <c r="A416" s="21" t="n">
        <f aca="false">INT((ROW()-ROW($A$8))/(20+1))</f>
        <v>19</v>
      </c>
      <c r="B416" s="21" t="n">
        <f aca="false">MOD(ROW()-ROW($A$8),20+1)</f>
        <v>9</v>
      </c>
      <c r="C416" s="13" t="n">
        <f aca="false">A416*(TOMATO_REVENUE_PER_BED-TOMATO_FERTILIZER_PER_BED)+B416*(CARROT_REVENUE_PER_BED-CARROT_FERTILIZER_PER_BED)</f>
        <v>165366</v>
      </c>
      <c r="D416" s="14" t="n">
        <f aca="false">INDEX(TOMATO_SCHED_LABOR_HRS,A416+1)+INDEX(CARROT_SCHED_LABOR_HRS,B416+1)</f>
        <v>10795.262591364</v>
      </c>
      <c r="E416" s="13" t="str">
        <f aca="false">IF(COUNT(F416:AJ416)=0,"",MAX(F416:AJ416))</f>
        <v/>
      </c>
      <c r="F416" s="53" t="str">
        <f aca="false">IF(OR($A416&gt;TOMATO_BED_CAP,$B416&gt;CARROT_BED_CAP,F$4&gt;MESCLUN_BED_CAP,$A416+$B416+F$4&gt;TOTAL_BEDS_AVAILABLE,($D416+F$5)&gt;TOTAL_LABOR_HOURS_CAP,MAX(0,($D416+F$5)-PERMANENT_FIELD_LABOR_HOURS)&gt;TEMP_HOURS_CAP),"",$C416+F$6-MIN(($D416+F$5),PERMANENT_FIELD_LABOR_HOURS)*PERMANENT_HOURLY_RATE-MAX(0,($D416+F$5)-PERMANENT_FIELD_LABOR_HOURS)*TEMP_HOURLY_RATE-FIXED_SEASON_COST)</f>
        <v/>
      </c>
      <c r="G416" s="53" t="str">
        <f aca="false">IF(OR($A416&gt;TOMATO_BED_CAP,$B416&gt;CARROT_BED_CAP,G$4&gt;MESCLUN_BED_CAP,$A416+$B416+G$4&gt;TOTAL_BEDS_AVAILABLE,($D416+G$5)&gt;TOTAL_LABOR_HOURS_CAP,MAX(0,($D416+G$5)-PERMANENT_FIELD_LABOR_HOURS)&gt;TEMP_HOURS_CAP),"",$C416+G$6-MIN(($D416+G$5),PERMANENT_FIELD_LABOR_HOURS)*PERMANENT_HOURLY_RATE-MAX(0,($D416+G$5)-PERMANENT_FIELD_LABOR_HOURS)*TEMP_HOURLY_RATE-FIXED_SEASON_COST)</f>
        <v/>
      </c>
      <c r="H416" s="53" t="str">
        <f aca="false">IF(OR($A416&gt;TOMATO_BED_CAP,$B416&gt;CARROT_BED_CAP,H$4&gt;MESCLUN_BED_CAP,$A416+$B416+H$4&gt;TOTAL_BEDS_AVAILABLE,($D416+H$5)&gt;TOTAL_LABOR_HOURS_CAP,MAX(0,($D416+H$5)-PERMANENT_FIELD_LABOR_HOURS)&gt;TEMP_HOURS_CAP),"",$C416+H$6-MIN(($D416+H$5),PERMANENT_FIELD_LABOR_HOURS)*PERMANENT_HOURLY_RATE-MAX(0,($D416+H$5)-PERMANENT_FIELD_LABOR_HOURS)*TEMP_HOURLY_RATE-FIXED_SEASON_COST)</f>
        <v/>
      </c>
      <c r="I416" s="53" t="str">
        <f aca="false">IF(OR($A416&gt;TOMATO_BED_CAP,$B416&gt;CARROT_BED_CAP,I$4&gt;MESCLUN_BED_CAP,$A416+$B416+I$4&gt;TOTAL_BEDS_AVAILABLE,($D416+I$5)&gt;TOTAL_LABOR_HOURS_CAP,MAX(0,($D416+I$5)-PERMANENT_FIELD_LABOR_HOURS)&gt;TEMP_HOURS_CAP),"",$C416+I$6-MIN(($D416+I$5),PERMANENT_FIELD_LABOR_HOURS)*PERMANENT_HOURLY_RATE-MAX(0,($D416+I$5)-PERMANENT_FIELD_LABOR_HOURS)*TEMP_HOURLY_RATE-FIXED_SEASON_COST)</f>
        <v/>
      </c>
      <c r="J416" s="53" t="str">
        <f aca="false">IF(OR($A416&gt;TOMATO_BED_CAP,$B416&gt;CARROT_BED_CAP,J$4&gt;MESCLUN_BED_CAP,$A416+$B416+J$4&gt;TOTAL_BEDS_AVAILABLE,($D416+J$5)&gt;TOTAL_LABOR_HOURS_CAP,MAX(0,($D416+J$5)-PERMANENT_FIELD_LABOR_HOURS)&gt;TEMP_HOURS_CAP),"",$C416+J$6-MIN(($D416+J$5),PERMANENT_FIELD_LABOR_HOURS)*PERMANENT_HOURLY_RATE-MAX(0,($D416+J$5)-PERMANENT_FIELD_LABOR_HOURS)*TEMP_HOURLY_RATE-FIXED_SEASON_COST)</f>
        <v/>
      </c>
      <c r="K416" s="53" t="str">
        <f aca="false">IF(OR($A416&gt;TOMATO_BED_CAP,$B416&gt;CARROT_BED_CAP,K$4&gt;MESCLUN_BED_CAP,$A416+$B416+K$4&gt;TOTAL_BEDS_AVAILABLE,($D416+K$5)&gt;TOTAL_LABOR_HOURS_CAP,MAX(0,($D416+K$5)-PERMANENT_FIELD_LABOR_HOURS)&gt;TEMP_HOURS_CAP),"",$C416+K$6-MIN(($D416+K$5),PERMANENT_FIELD_LABOR_HOURS)*PERMANENT_HOURLY_RATE-MAX(0,($D416+K$5)-PERMANENT_FIELD_LABOR_HOURS)*TEMP_HOURLY_RATE-FIXED_SEASON_COST)</f>
        <v/>
      </c>
      <c r="L416" s="53" t="str">
        <f aca="false">IF(OR($A416&gt;TOMATO_BED_CAP,$B416&gt;CARROT_BED_CAP,L$4&gt;MESCLUN_BED_CAP,$A416+$B416+L$4&gt;TOTAL_BEDS_AVAILABLE,($D416+L$5)&gt;TOTAL_LABOR_HOURS_CAP,MAX(0,($D416+L$5)-PERMANENT_FIELD_LABOR_HOURS)&gt;TEMP_HOURS_CAP),"",$C416+L$6-MIN(($D416+L$5),PERMANENT_FIELD_LABOR_HOURS)*PERMANENT_HOURLY_RATE-MAX(0,($D416+L$5)-PERMANENT_FIELD_LABOR_HOURS)*TEMP_HOURLY_RATE-FIXED_SEASON_COST)</f>
        <v/>
      </c>
      <c r="M416" s="53" t="str">
        <f aca="false">IF(OR($A416&gt;TOMATO_BED_CAP,$B416&gt;CARROT_BED_CAP,M$4&gt;MESCLUN_BED_CAP,$A416+$B416+M$4&gt;TOTAL_BEDS_AVAILABLE,($D416+M$5)&gt;TOTAL_LABOR_HOURS_CAP,MAX(0,($D416+M$5)-PERMANENT_FIELD_LABOR_HOURS)&gt;TEMP_HOURS_CAP),"",$C416+M$6-MIN(($D416+M$5),PERMANENT_FIELD_LABOR_HOURS)*PERMANENT_HOURLY_RATE-MAX(0,($D416+M$5)-PERMANENT_FIELD_LABOR_HOURS)*TEMP_HOURLY_RATE-FIXED_SEASON_COST)</f>
        <v/>
      </c>
      <c r="N416" s="53" t="str">
        <f aca="false">IF(OR($A416&gt;TOMATO_BED_CAP,$B416&gt;CARROT_BED_CAP,N$4&gt;MESCLUN_BED_CAP,$A416+$B416+N$4&gt;TOTAL_BEDS_AVAILABLE,($D416+N$5)&gt;TOTAL_LABOR_HOURS_CAP,MAX(0,($D416+N$5)-PERMANENT_FIELD_LABOR_HOURS)&gt;TEMP_HOURS_CAP),"",$C416+N$6-MIN(($D416+N$5),PERMANENT_FIELD_LABOR_HOURS)*PERMANENT_HOURLY_RATE-MAX(0,($D416+N$5)-PERMANENT_FIELD_LABOR_HOURS)*TEMP_HOURLY_RATE-FIXED_SEASON_COST)</f>
        <v/>
      </c>
      <c r="O416" s="53" t="str">
        <f aca="false">IF(OR($A416&gt;TOMATO_BED_CAP,$B416&gt;CARROT_BED_CAP,O$4&gt;MESCLUN_BED_CAP,$A416+$B416+O$4&gt;TOTAL_BEDS_AVAILABLE,($D416+O$5)&gt;TOTAL_LABOR_HOURS_CAP,MAX(0,($D416+O$5)-PERMANENT_FIELD_LABOR_HOURS)&gt;TEMP_HOURS_CAP),"",$C416+O$6-MIN(($D416+O$5),PERMANENT_FIELD_LABOR_HOURS)*PERMANENT_HOURLY_RATE-MAX(0,($D416+O$5)-PERMANENT_FIELD_LABOR_HOURS)*TEMP_HOURLY_RATE-FIXED_SEASON_COST)</f>
        <v/>
      </c>
      <c r="P416" s="53" t="str">
        <f aca="false">IF(OR($A416&gt;TOMATO_BED_CAP,$B416&gt;CARROT_BED_CAP,P$4&gt;MESCLUN_BED_CAP,$A416+$B416+P$4&gt;TOTAL_BEDS_AVAILABLE,($D416+P$5)&gt;TOTAL_LABOR_HOURS_CAP,MAX(0,($D416+P$5)-PERMANENT_FIELD_LABOR_HOURS)&gt;TEMP_HOURS_CAP),"",$C416+P$6-MIN(($D416+P$5),PERMANENT_FIELD_LABOR_HOURS)*PERMANENT_HOURLY_RATE-MAX(0,($D416+P$5)-PERMANENT_FIELD_LABOR_HOURS)*TEMP_HOURLY_RATE-FIXED_SEASON_COST)</f>
        <v/>
      </c>
      <c r="Q416" s="53" t="str">
        <f aca="false">IF(OR($A416&gt;TOMATO_BED_CAP,$B416&gt;CARROT_BED_CAP,Q$4&gt;MESCLUN_BED_CAP,$A416+$B416+Q$4&gt;TOTAL_BEDS_AVAILABLE,($D416+Q$5)&gt;TOTAL_LABOR_HOURS_CAP,MAX(0,($D416+Q$5)-PERMANENT_FIELD_LABOR_HOURS)&gt;TEMP_HOURS_CAP),"",$C416+Q$6-MIN(($D416+Q$5),PERMANENT_FIELD_LABOR_HOURS)*PERMANENT_HOURLY_RATE-MAX(0,($D416+Q$5)-PERMANENT_FIELD_LABOR_HOURS)*TEMP_HOURLY_RATE-FIXED_SEASON_COST)</f>
        <v/>
      </c>
      <c r="R416" s="53" t="str">
        <f aca="false">IF(OR($A416&gt;TOMATO_BED_CAP,$B416&gt;CARROT_BED_CAP,R$4&gt;MESCLUN_BED_CAP,$A416+$B416+R$4&gt;TOTAL_BEDS_AVAILABLE,($D416+R$5)&gt;TOTAL_LABOR_HOURS_CAP,MAX(0,($D416+R$5)-PERMANENT_FIELD_LABOR_HOURS)&gt;TEMP_HOURS_CAP),"",$C416+R$6-MIN(($D416+R$5),PERMANENT_FIELD_LABOR_HOURS)*PERMANENT_HOURLY_RATE-MAX(0,($D416+R$5)-PERMANENT_FIELD_LABOR_HOURS)*TEMP_HOURLY_RATE-FIXED_SEASON_COST)</f>
        <v/>
      </c>
      <c r="S416" s="53" t="str">
        <f aca="false">IF(OR($A416&gt;TOMATO_BED_CAP,$B416&gt;CARROT_BED_CAP,S$4&gt;MESCLUN_BED_CAP,$A416+$B416+S$4&gt;TOTAL_BEDS_AVAILABLE,($D416+S$5)&gt;TOTAL_LABOR_HOURS_CAP,MAX(0,($D416+S$5)-PERMANENT_FIELD_LABOR_HOURS)&gt;TEMP_HOURS_CAP),"",$C416+S$6-MIN(($D416+S$5),PERMANENT_FIELD_LABOR_HOURS)*PERMANENT_HOURLY_RATE-MAX(0,($D416+S$5)-PERMANENT_FIELD_LABOR_HOURS)*TEMP_HOURLY_RATE-FIXED_SEASON_COST)</f>
        <v/>
      </c>
      <c r="T416" s="53" t="str">
        <f aca="false">IF(OR($A416&gt;TOMATO_BED_CAP,$B416&gt;CARROT_BED_CAP,T$4&gt;MESCLUN_BED_CAP,$A416+$B416+T$4&gt;TOTAL_BEDS_AVAILABLE,($D416+T$5)&gt;TOTAL_LABOR_HOURS_CAP,MAX(0,($D416+T$5)-PERMANENT_FIELD_LABOR_HOURS)&gt;TEMP_HOURS_CAP),"",$C416+T$6-MIN(($D416+T$5),PERMANENT_FIELD_LABOR_HOURS)*PERMANENT_HOURLY_RATE-MAX(0,($D416+T$5)-PERMANENT_FIELD_LABOR_HOURS)*TEMP_HOURLY_RATE-FIXED_SEASON_COST)</f>
        <v/>
      </c>
      <c r="U416" s="53" t="str">
        <f aca="false">IF(OR($A416&gt;TOMATO_BED_CAP,$B416&gt;CARROT_BED_CAP,U$4&gt;MESCLUN_BED_CAP,$A416+$B416+U$4&gt;TOTAL_BEDS_AVAILABLE,($D416+U$5)&gt;TOTAL_LABOR_HOURS_CAP,MAX(0,($D416+U$5)-PERMANENT_FIELD_LABOR_HOURS)&gt;TEMP_HOURS_CAP),"",$C416+U$6-MIN(($D416+U$5),PERMANENT_FIELD_LABOR_HOURS)*PERMANENT_HOURLY_RATE-MAX(0,($D416+U$5)-PERMANENT_FIELD_LABOR_HOURS)*TEMP_HOURLY_RATE-FIXED_SEASON_COST)</f>
        <v/>
      </c>
      <c r="V416" s="53" t="str">
        <f aca="false">IF(OR($A416&gt;TOMATO_BED_CAP,$B416&gt;CARROT_BED_CAP,V$4&gt;MESCLUN_BED_CAP,$A416+$B416+V$4&gt;TOTAL_BEDS_AVAILABLE,($D416+V$5)&gt;TOTAL_LABOR_HOURS_CAP,MAX(0,($D416+V$5)-PERMANENT_FIELD_LABOR_HOURS)&gt;TEMP_HOURS_CAP),"",$C416+V$6-MIN(($D416+V$5),PERMANENT_FIELD_LABOR_HOURS)*PERMANENT_HOURLY_RATE-MAX(0,($D416+V$5)-PERMANENT_FIELD_LABOR_HOURS)*TEMP_HOURLY_RATE-FIXED_SEASON_COST)</f>
        <v/>
      </c>
      <c r="W416" s="53" t="str">
        <f aca="false">IF(OR($A416&gt;TOMATO_BED_CAP,$B416&gt;CARROT_BED_CAP,W$4&gt;MESCLUN_BED_CAP,$A416+$B416+W$4&gt;TOTAL_BEDS_AVAILABLE,($D416+W$5)&gt;TOTAL_LABOR_HOURS_CAP,MAX(0,($D416+W$5)-PERMANENT_FIELD_LABOR_HOURS)&gt;TEMP_HOURS_CAP),"",$C416+W$6-MIN(($D416+W$5),PERMANENT_FIELD_LABOR_HOURS)*PERMANENT_HOURLY_RATE-MAX(0,($D416+W$5)-PERMANENT_FIELD_LABOR_HOURS)*TEMP_HOURLY_RATE-FIXED_SEASON_COST)</f>
        <v/>
      </c>
      <c r="X416" s="53" t="str">
        <f aca="false">IF(OR($A416&gt;TOMATO_BED_CAP,$B416&gt;CARROT_BED_CAP,X$4&gt;MESCLUN_BED_CAP,$A416+$B416+X$4&gt;TOTAL_BEDS_AVAILABLE,($D416+X$5)&gt;TOTAL_LABOR_HOURS_CAP,MAX(0,($D416+X$5)-PERMANENT_FIELD_LABOR_HOURS)&gt;TEMP_HOURS_CAP),"",$C416+X$6-MIN(($D416+X$5),PERMANENT_FIELD_LABOR_HOURS)*PERMANENT_HOURLY_RATE-MAX(0,($D416+X$5)-PERMANENT_FIELD_LABOR_HOURS)*TEMP_HOURLY_RATE-FIXED_SEASON_COST)</f>
        <v/>
      </c>
      <c r="Y416" s="53" t="str">
        <f aca="false">IF(OR($A416&gt;TOMATO_BED_CAP,$B416&gt;CARROT_BED_CAP,Y$4&gt;MESCLUN_BED_CAP,$A416+$B416+Y$4&gt;TOTAL_BEDS_AVAILABLE,($D416+Y$5)&gt;TOTAL_LABOR_HOURS_CAP,MAX(0,($D416+Y$5)-PERMANENT_FIELD_LABOR_HOURS)&gt;TEMP_HOURS_CAP),"",$C416+Y$6-MIN(($D416+Y$5),PERMANENT_FIELD_LABOR_HOURS)*PERMANENT_HOURLY_RATE-MAX(0,($D416+Y$5)-PERMANENT_FIELD_LABOR_HOURS)*TEMP_HOURLY_RATE-FIXED_SEASON_COST)</f>
        <v/>
      </c>
      <c r="Z416" s="53" t="str">
        <f aca="false">IF(OR($A416&gt;TOMATO_BED_CAP,$B416&gt;CARROT_BED_CAP,Z$4&gt;MESCLUN_BED_CAP,$A416+$B416+Z$4&gt;TOTAL_BEDS_AVAILABLE,($D416+Z$5)&gt;TOTAL_LABOR_HOURS_CAP,MAX(0,($D416+Z$5)-PERMANENT_FIELD_LABOR_HOURS)&gt;TEMP_HOURS_CAP),"",$C416+Z$6-MIN(($D416+Z$5),PERMANENT_FIELD_LABOR_HOURS)*PERMANENT_HOURLY_RATE-MAX(0,($D416+Z$5)-PERMANENT_FIELD_LABOR_HOURS)*TEMP_HOURLY_RATE-FIXED_SEASON_COST)</f>
        <v/>
      </c>
      <c r="AA416" s="53" t="str">
        <f aca="false">IF(OR($A416&gt;TOMATO_BED_CAP,$B416&gt;CARROT_BED_CAP,AA$4&gt;MESCLUN_BED_CAP,$A416+$B416+AA$4&gt;TOTAL_BEDS_AVAILABLE,($D416+AA$5)&gt;TOTAL_LABOR_HOURS_CAP,MAX(0,($D416+AA$5)-PERMANENT_FIELD_LABOR_HOURS)&gt;TEMP_HOURS_CAP),"",$C416+AA$6-MIN(($D416+AA$5),PERMANENT_FIELD_LABOR_HOURS)*PERMANENT_HOURLY_RATE-MAX(0,($D416+AA$5)-PERMANENT_FIELD_LABOR_HOURS)*TEMP_HOURLY_RATE-FIXED_SEASON_COST)</f>
        <v/>
      </c>
      <c r="AB416" s="53" t="str">
        <f aca="false">IF(OR($A416&gt;TOMATO_BED_CAP,$B416&gt;CARROT_BED_CAP,AB$4&gt;MESCLUN_BED_CAP,$A416+$B416+AB$4&gt;TOTAL_BEDS_AVAILABLE,($D416+AB$5)&gt;TOTAL_LABOR_HOURS_CAP,MAX(0,($D416+AB$5)-PERMANENT_FIELD_LABOR_HOURS)&gt;TEMP_HOURS_CAP),"",$C416+AB$6-MIN(($D416+AB$5),PERMANENT_FIELD_LABOR_HOURS)*PERMANENT_HOURLY_RATE-MAX(0,($D416+AB$5)-PERMANENT_FIELD_LABOR_HOURS)*TEMP_HOURLY_RATE-FIXED_SEASON_COST)</f>
        <v/>
      </c>
      <c r="AC416" s="53" t="str">
        <f aca="false">IF(OR($A416&gt;TOMATO_BED_CAP,$B416&gt;CARROT_BED_CAP,AC$4&gt;MESCLUN_BED_CAP,$A416+$B416+AC$4&gt;TOTAL_BEDS_AVAILABLE,($D416+AC$5)&gt;TOTAL_LABOR_HOURS_CAP,MAX(0,($D416+AC$5)-PERMANENT_FIELD_LABOR_HOURS)&gt;TEMP_HOURS_CAP),"",$C416+AC$6-MIN(($D416+AC$5),PERMANENT_FIELD_LABOR_HOURS)*PERMANENT_HOURLY_RATE-MAX(0,($D416+AC$5)-PERMANENT_FIELD_LABOR_HOURS)*TEMP_HOURLY_RATE-FIXED_SEASON_COST)</f>
        <v/>
      </c>
      <c r="AD416" s="53" t="str">
        <f aca="false">IF(OR($A416&gt;TOMATO_BED_CAP,$B416&gt;CARROT_BED_CAP,AD$4&gt;MESCLUN_BED_CAP,$A416+$B416+AD$4&gt;TOTAL_BEDS_AVAILABLE,($D416+AD$5)&gt;TOTAL_LABOR_HOURS_CAP,MAX(0,($D416+AD$5)-PERMANENT_FIELD_LABOR_HOURS)&gt;TEMP_HOURS_CAP),"",$C416+AD$6-MIN(($D416+AD$5),PERMANENT_FIELD_LABOR_HOURS)*PERMANENT_HOURLY_RATE-MAX(0,($D416+AD$5)-PERMANENT_FIELD_LABOR_HOURS)*TEMP_HOURLY_RATE-FIXED_SEASON_COST)</f>
        <v/>
      </c>
      <c r="AE416" s="53" t="str">
        <f aca="false">IF(OR($A416&gt;TOMATO_BED_CAP,$B416&gt;CARROT_BED_CAP,AE$4&gt;MESCLUN_BED_CAP,$A416+$B416+AE$4&gt;TOTAL_BEDS_AVAILABLE,($D416+AE$5)&gt;TOTAL_LABOR_HOURS_CAP,MAX(0,($D416+AE$5)-PERMANENT_FIELD_LABOR_HOURS)&gt;TEMP_HOURS_CAP),"",$C416+AE$6-MIN(($D416+AE$5),PERMANENT_FIELD_LABOR_HOURS)*PERMANENT_HOURLY_RATE-MAX(0,($D416+AE$5)-PERMANENT_FIELD_LABOR_HOURS)*TEMP_HOURLY_RATE-FIXED_SEASON_COST)</f>
        <v/>
      </c>
      <c r="AF416" s="53" t="str">
        <f aca="false">IF(OR($A416&gt;TOMATO_BED_CAP,$B416&gt;CARROT_BED_CAP,AF$4&gt;MESCLUN_BED_CAP,$A416+$B416+AF$4&gt;TOTAL_BEDS_AVAILABLE,($D416+AF$5)&gt;TOTAL_LABOR_HOURS_CAP,MAX(0,($D416+AF$5)-PERMANENT_FIELD_LABOR_HOURS)&gt;TEMP_HOURS_CAP),"",$C416+AF$6-MIN(($D416+AF$5),PERMANENT_FIELD_LABOR_HOURS)*PERMANENT_HOURLY_RATE-MAX(0,($D416+AF$5)-PERMANENT_FIELD_LABOR_HOURS)*TEMP_HOURLY_RATE-FIXED_SEASON_COST)</f>
        <v/>
      </c>
      <c r="AG416" s="53" t="str">
        <f aca="false">IF(OR($A416&gt;TOMATO_BED_CAP,$B416&gt;CARROT_BED_CAP,AG$4&gt;MESCLUN_BED_CAP,$A416+$B416+AG$4&gt;TOTAL_BEDS_AVAILABLE,($D416+AG$5)&gt;TOTAL_LABOR_HOURS_CAP,MAX(0,($D416+AG$5)-PERMANENT_FIELD_LABOR_HOURS)&gt;TEMP_HOURS_CAP),"",$C416+AG$6-MIN(($D416+AG$5),PERMANENT_FIELD_LABOR_HOURS)*PERMANENT_HOURLY_RATE-MAX(0,($D416+AG$5)-PERMANENT_FIELD_LABOR_HOURS)*TEMP_HOURLY_RATE-FIXED_SEASON_COST)</f>
        <v/>
      </c>
      <c r="AH416" s="53" t="str">
        <f aca="false">IF(OR($A416&gt;TOMATO_BED_CAP,$B416&gt;CARROT_BED_CAP,AH$4&gt;MESCLUN_BED_CAP,$A416+$B416+AH$4&gt;TOTAL_BEDS_AVAILABLE,($D416+AH$5)&gt;TOTAL_LABOR_HOURS_CAP,MAX(0,($D416+AH$5)-PERMANENT_FIELD_LABOR_HOURS)&gt;TEMP_HOURS_CAP),"",$C416+AH$6-MIN(($D416+AH$5),PERMANENT_FIELD_LABOR_HOURS)*PERMANENT_HOURLY_RATE-MAX(0,($D416+AH$5)-PERMANENT_FIELD_LABOR_HOURS)*TEMP_HOURLY_RATE-FIXED_SEASON_COST)</f>
        <v/>
      </c>
      <c r="AI416" s="53" t="str">
        <f aca="false">IF(OR($A416&gt;TOMATO_BED_CAP,$B416&gt;CARROT_BED_CAP,AI$4&gt;MESCLUN_BED_CAP,$A416+$B416+AI$4&gt;TOTAL_BEDS_AVAILABLE,($D416+AI$5)&gt;TOTAL_LABOR_HOURS_CAP,MAX(0,($D416+AI$5)-PERMANENT_FIELD_LABOR_HOURS)&gt;TEMP_HOURS_CAP),"",$C416+AI$6-MIN(($D416+AI$5),PERMANENT_FIELD_LABOR_HOURS)*PERMANENT_HOURLY_RATE-MAX(0,($D416+AI$5)-PERMANENT_FIELD_LABOR_HOURS)*TEMP_HOURLY_RATE-FIXED_SEASON_COST)</f>
        <v/>
      </c>
      <c r="AJ416" s="53" t="str">
        <f aca="false">IF(OR($A416&gt;TOMATO_BED_CAP,$B416&gt;CARROT_BED_CAP,AJ$4&gt;MESCLUN_BED_CAP,$A416+$B416+AJ$4&gt;TOTAL_BEDS_AVAILABLE,($D416+AJ$5)&gt;TOTAL_LABOR_HOURS_CAP,MAX(0,($D416+AJ$5)-PERMANENT_FIELD_LABOR_HOURS)&gt;TEMP_HOURS_CAP),"",$C416+AJ$6-MIN(($D416+AJ$5),PERMANENT_FIELD_LABOR_HOURS)*PERMANENT_HOURLY_RATE-MAX(0,($D416+AJ$5)-PERMANENT_FIELD_LABOR_HOURS)*TEMP_HOURLY_RATE-FIXED_SEASON_COST)</f>
        <v/>
      </c>
    </row>
    <row r="417" customFormat="false" ht="15" hidden="false" customHeight="false" outlineLevel="0" collapsed="false">
      <c r="A417" s="21" t="n">
        <f aca="false">INT((ROW()-ROW($A$8))/(20+1))</f>
        <v>19</v>
      </c>
      <c r="B417" s="21" t="n">
        <f aca="false">MOD(ROW()-ROW($A$8),20+1)</f>
        <v>10</v>
      </c>
      <c r="C417" s="13" t="n">
        <f aca="false">A417*(TOMATO_REVENUE_PER_BED-TOMATO_FERTILIZER_PER_BED)+B417*(CARROT_REVENUE_PER_BED-CARROT_FERTILIZER_PER_BED)</f>
        <v>167020</v>
      </c>
      <c r="D417" s="14" t="n">
        <f aca="false">INDEX(TOMATO_SCHED_LABOR_HRS,A417+1)+INDEX(CARROT_SCHED_LABOR_HRS,B417+1)</f>
        <v>10842.0762197925</v>
      </c>
      <c r="E417" s="13" t="str">
        <f aca="false">IF(COUNT(F417:AJ417)=0,"",MAX(F417:AJ417))</f>
        <v/>
      </c>
      <c r="F417" s="53" t="str">
        <f aca="false">IF(OR($A417&gt;TOMATO_BED_CAP,$B417&gt;CARROT_BED_CAP,F$4&gt;MESCLUN_BED_CAP,$A417+$B417+F$4&gt;TOTAL_BEDS_AVAILABLE,($D417+F$5)&gt;TOTAL_LABOR_HOURS_CAP,MAX(0,($D417+F$5)-PERMANENT_FIELD_LABOR_HOURS)&gt;TEMP_HOURS_CAP),"",$C417+F$6-MIN(($D417+F$5),PERMANENT_FIELD_LABOR_HOURS)*PERMANENT_HOURLY_RATE-MAX(0,($D417+F$5)-PERMANENT_FIELD_LABOR_HOURS)*TEMP_HOURLY_RATE-FIXED_SEASON_COST)</f>
        <v/>
      </c>
      <c r="G417" s="53" t="str">
        <f aca="false">IF(OR($A417&gt;TOMATO_BED_CAP,$B417&gt;CARROT_BED_CAP,G$4&gt;MESCLUN_BED_CAP,$A417+$B417+G$4&gt;TOTAL_BEDS_AVAILABLE,($D417+G$5)&gt;TOTAL_LABOR_HOURS_CAP,MAX(0,($D417+G$5)-PERMANENT_FIELD_LABOR_HOURS)&gt;TEMP_HOURS_CAP),"",$C417+G$6-MIN(($D417+G$5),PERMANENT_FIELD_LABOR_HOURS)*PERMANENT_HOURLY_RATE-MAX(0,($D417+G$5)-PERMANENT_FIELD_LABOR_HOURS)*TEMP_HOURLY_RATE-FIXED_SEASON_COST)</f>
        <v/>
      </c>
      <c r="H417" s="53" t="str">
        <f aca="false">IF(OR($A417&gt;TOMATO_BED_CAP,$B417&gt;CARROT_BED_CAP,H$4&gt;MESCLUN_BED_CAP,$A417+$B417+H$4&gt;TOTAL_BEDS_AVAILABLE,($D417+H$5)&gt;TOTAL_LABOR_HOURS_CAP,MAX(0,($D417+H$5)-PERMANENT_FIELD_LABOR_HOURS)&gt;TEMP_HOURS_CAP),"",$C417+H$6-MIN(($D417+H$5),PERMANENT_FIELD_LABOR_HOURS)*PERMANENT_HOURLY_RATE-MAX(0,($D417+H$5)-PERMANENT_FIELD_LABOR_HOURS)*TEMP_HOURLY_RATE-FIXED_SEASON_COST)</f>
        <v/>
      </c>
      <c r="I417" s="53" t="str">
        <f aca="false">IF(OR($A417&gt;TOMATO_BED_CAP,$B417&gt;CARROT_BED_CAP,I$4&gt;MESCLUN_BED_CAP,$A417+$B417+I$4&gt;TOTAL_BEDS_AVAILABLE,($D417+I$5)&gt;TOTAL_LABOR_HOURS_CAP,MAX(0,($D417+I$5)-PERMANENT_FIELD_LABOR_HOURS)&gt;TEMP_HOURS_CAP),"",$C417+I$6-MIN(($D417+I$5),PERMANENT_FIELD_LABOR_HOURS)*PERMANENT_HOURLY_RATE-MAX(0,($D417+I$5)-PERMANENT_FIELD_LABOR_HOURS)*TEMP_HOURLY_RATE-FIXED_SEASON_COST)</f>
        <v/>
      </c>
      <c r="J417" s="53" t="str">
        <f aca="false">IF(OR($A417&gt;TOMATO_BED_CAP,$B417&gt;CARROT_BED_CAP,J$4&gt;MESCLUN_BED_CAP,$A417+$B417+J$4&gt;TOTAL_BEDS_AVAILABLE,($D417+J$5)&gt;TOTAL_LABOR_HOURS_CAP,MAX(0,($D417+J$5)-PERMANENT_FIELD_LABOR_HOURS)&gt;TEMP_HOURS_CAP),"",$C417+J$6-MIN(($D417+J$5),PERMANENT_FIELD_LABOR_HOURS)*PERMANENT_HOURLY_RATE-MAX(0,($D417+J$5)-PERMANENT_FIELD_LABOR_HOURS)*TEMP_HOURLY_RATE-FIXED_SEASON_COST)</f>
        <v/>
      </c>
      <c r="K417" s="53" t="str">
        <f aca="false">IF(OR($A417&gt;TOMATO_BED_CAP,$B417&gt;CARROT_BED_CAP,K$4&gt;MESCLUN_BED_CAP,$A417+$B417+K$4&gt;TOTAL_BEDS_AVAILABLE,($D417+K$5)&gt;TOTAL_LABOR_HOURS_CAP,MAX(0,($D417+K$5)-PERMANENT_FIELD_LABOR_HOURS)&gt;TEMP_HOURS_CAP),"",$C417+K$6-MIN(($D417+K$5),PERMANENT_FIELD_LABOR_HOURS)*PERMANENT_HOURLY_RATE-MAX(0,($D417+K$5)-PERMANENT_FIELD_LABOR_HOURS)*TEMP_HOURLY_RATE-FIXED_SEASON_COST)</f>
        <v/>
      </c>
      <c r="L417" s="53" t="str">
        <f aca="false">IF(OR($A417&gt;TOMATO_BED_CAP,$B417&gt;CARROT_BED_CAP,L$4&gt;MESCLUN_BED_CAP,$A417+$B417+L$4&gt;TOTAL_BEDS_AVAILABLE,($D417+L$5)&gt;TOTAL_LABOR_HOURS_CAP,MAX(0,($D417+L$5)-PERMANENT_FIELD_LABOR_HOURS)&gt;TEMP_HOURS_CAP),"",$C417+L$6-MIN(($D417+L$5),PERMANENT_FIELD_LABOR_HOURS)*PERMANENT_HOURLY_RATE-MAX(0,($D417+L$5)-PERMANENT_FIELD_LABOR_HOURS)*TEMP_HOURLY_RATE-FIXED_SEASON_COST)</f>
        <v/>
      </c>
      <c r="M417" s="53" t="str">
        <f aca="false">IF(OR($A417&gt;TOMATO_BED_CAP,$B417&gt;CARROT_BED_CAP,M$4&gt;MESCLUN_BED_CAP,$A417+$B417+M$4&gt;TOTAL_BEDS_AVAILABLE,($D417+M$5)&gt;TOTAL_LABOR_HOURS_CAP,MAX(0,($D417+M$5)-PERMANENT_FIELD_LABOR_HOURS)&gt;TEMP_HOURS_CAP),"",$C417+M$6-MIN(($D417+M$5),PERMANENT_FIELD_LABOR_HOURS)*PERMANENT_HOURLY_RATE-MAX(0,($D417+M$5)-PERMANENT_FIELD_LABOR_HOURS)*TEMP_HOURLY_RATE-FIXED_SEASON_COST)</f>
        <v/>
      </c>
      <c r="N417" s="53" t="str">
        <f aca="false">IF(OR($A417&gt;TOMATO_BED_CAP,$B417&gt;CARROT_BED_CAP,N$4&gt;MESCLUN_BED_CAP,$A417+$B417+N$4&gt;TOTAL_BEDS_AVAILABLE,($D417+N$5)&gt;TOTAL_LABOR_HOURS_CAP,MAX(0,($D417+N$5)-PERMANENT_FIELD_LABOR_HOURS)&gt;TEMP_HOURS_CAP),"",$C417+N$6-MIN(($D417+N$5),PERMANENT_FIELD_LABOR_HOURS)*PERMANENT_HOURLY_RATE-MAX(0,($D417+N$5)-PERMANENT_FIELD_LABOR_HOURS)*TEMP_HOURLY_RATE-FIXED_SEASON_COST)</f>
        <v/>
      </c>
      <c r="O417" s="53" t="str">
        <f aca="false">IF(OR($A417&gt;TOMATO_BED_CAP,$B417&gt;CARROT_BED_CAP,O$4&gt;MESCLUN_BED_CAP,$A417+$B417+O$4&gt;TOTAL_BEDS_AVAILABLE,($D417+O$5)&gt;TOTAL_LABOR_HOURS_CAP,MAX(0,($D417+O$5)-PERMANENT_FIELD_LABOR_HOURS)&gt;TEMP_HOURS_CAP),"",$C417+O$6-MIN(($D417+O$5),PERMANENT_FIELD_LABOR_HOURS)*PERMANENT_HOURLY_RATE-MAX(0,($D417+O$5)-PERMANENT_FIELD_LABOR_HOURS)*TEMP_HOURLY_RATE-FIXED_SEASON_COST)</f>
        <v/>
      </c>
      <c r="P417" s="53" t="str">
        <f aca="false">IF(OR($A417&gt;TOMATO_BED_CAP,$B417&gt;CARROT_BED_CAP,P$4&gt;MESCLUN_BED_CAP,$A417+$B417+P$4&gt;TOTAL_BEDS_AVAILABLE,($D417+P$5)&gt;TOTAL_LABOR_HOURS_CAP,MAX(0,($D417+P$5)-PERMANENT_FIELD_LABOR_HOURS)&gt;TEMP_HOURS_CAP),"",$C417+P$6-MIN(($D417+P$5),PERMANENT_FIELD_LABOR_HOURS)*PERMANENT_HOURLY_RATE-MAX(0,($D417+P$5)-PERMANENT_FIELD_LABOR_HOURS)*TEMP_HOURLY_RATE-FIXED_SEASON_COST)</f>
        <v/>
      </c>
      <c r="Q417" s="53" t="str">
        <f aca="false">IF(OR($A417&gt;TOMATO_BED_CAP,$B417&gt;CARROT_BED_CAP,Q$4&gt;MESCLUN_BED_CAP,$A417+$B417+Q$4&gt;TOTAL_BEDS_AVAILABLE,($D417+Q$5)&gt;TOTAL_LABOR_HOURS_CAP,MAX(0,($D417+Q$5)-PERMANENT_FIELD_LABOR_HOURS)&gt;TEMP_HOURS_CAP),"",$C417+Q$6-MIN(($D417+Q$5),PERMANENT_FIELD_LABOR_HOURS)*PERMANENT_HOURLY_RATE-MAX(0,($D417+Q$5)-PERMANENT_FIELD_LABOR_HOURS)*TEMP_HOURLY_RATE-FIXED_SEASON_COST)</f>
        <v/>
      </c>
      <c r="R417" s="53" t="str">
        <f aca="false">IF(OR($A417&gt;TOMATO_BED_CAP,$B417&gt;CARROT_BED_CAP,R$4&gt;MESCLUN_BED_CAP,$A417+$B417+R$4&gt;TOTAL_BEDS_AVAILABLE,($D417+R$5)&gt;TOTAL_LABOR_HOURS_CAP,MAX(0,($D417+R$5)-PERMANENT_FIELD_LABOR_HOURS)&gt;TEMP_HOURS_CAP),"",$C417+R$6-MIN(($D417+R$5),PERMANENT_FIELD_LABOR_HOURS)*PERMANENT_HOURLY_RATE-MAX(0,($D417+R$5)-PERMANENT_FIELD_LABOR_HOURS)*TEMP_HOURLY_RATE-FIXED_SEASON_COST)</f>
        <v/>
      </c>
      <c r="S417" s="53" t="str">
        <f aca="false">IF(OR($A417&gt;TOMATO_BED_CAP,$B417&gt;CARROT_BED_CAP,S$4&gt;MESCLUN_BED_CAP,$A417+$B417+S$4&gt;TOTAL_BEDS_AVAILABLE,($D417+S$5)&gt;TOTAL_LABOR_HOURS_CAP,MAX(0,($D417+S$5)-PERMANENT_FIELD_LABOR_HOURS)&gt;TEMP_HOURS_CAP),"",$C417+S$6-MIN(($D417+S$5),PERMANENT_FIELD_LABOR_HOURS)*PERMANENT_HOURLY_RATE-MAX(0,($D417+S$5)-PERMANENT_FIELD_LABOR_HOURS)*TEMP_HOURLY_RATE-FIXED_SEASON_COST)</f>
        <v/>
      </c>
      <c r="T417" s="53" t="str">
        <f aca="false">IF(OR($A417&gt;TOMATO_BED_CAP,$B417&gt;CARROT_BED_CAP,T$4&gt;MESCLUN_BED_CAP,$A417+$B417+T$4&gt;TOTAL_BEDS_AVAILABLE,($D417+T$5)&gt;TOTAL_LABOR_HOURS_CAP,MAX(0,($D417+T$5)-PERMANENT_FIELD_LABOR_HOURS)&gt;TEMP_HOURS_CAP),"",$C417+T$6-MIN(($D417+T$5),PERMANENT_FIELD_LABOR_HOURS)*PERMANENT_HOURLY_RATE-MAX(0,($D417+T$5)-PERMANENT_FIELD_LABOR_HOURS)*TEMP_HOURLY_RATE-FIXED_SEASON_COST)</f>
        <v/>
      </c>
      <c r="U417" s="53" t="str">
        <f aca="false">IF(OR($A417&gt;TOMATO_BED_CAP,$B417&gt;CARROT_BED_CAP,U$4&gt;MESCLUN_BED_CAP,$A417+$B417+U$4&gt;TOTAL_BEDS_AVAILABLE,($D417+U$5)&gt;TOTAL_LABOR_HOURS_CAP,MAX(0,($D417+U$5)-PERMANENT_FIELD_LABOR_HOURS)&gt;TEMP_HOURS_CAP),"",$C417+U$6-MIN(($D417+U$5),PERMANENT_FIELD_LABOR_HOURS)*PERMANENT_HOURLY_RATE-MAX(0,($D417+U$5)-PERMANENT_FIELD_LABOR_HOURS)*TEMP_HOURLY_RATE-FIXED_SEASON_COST)</f>
        <v/>
      </c>
      <c r="V417" s="53" t="str">
        <f aca="false">IF(OR($A417&gt;TOMATO_BED_CAP,$B417&gt;CARROT_BED_CAP,V$4&gt;MESCLUN_BED_CAP,$A417+$B417+V$4&gt;TOTAL_BEDS_AVAILABLE,($D417+V$5)&gt;TOTAL_LABOR_HOURS_CAP,MAX(0,($D417+V$5)-PERMANENT_FIELD_LABOR_HOURS)&gt;TEMP_HOURS_CAP),"",$C417+V$6-MIN(($D417+V$5),PERMANENT_FIELD_LABOR_HOURS)*PERMANENT_HOURLY_RATE-MAX(0,($D417+V$5)-PERMANENT_FIELD_LABOR_HOURS)*TEMP_HOURLY_RATE-FIXED_SEASON_COST)</f>
        <v/>
      </c>
      <c r="W417" s="53" t="str">
        <f aca="false">IF(OR($A417&gt;TOMATO_BED_CAP,$B417&gt;CARROT_BED_CAP,W$4&gt;MESCLUN_BED_CAP,$A417+$B417+W$4&gt;TOTAL_BEDS_AVAILABLE,($D417+W$5)&gt;TOTAL_LABOR_HOURS_CAP,MAX(0,($D417+W$5)-PERMANENT_FIELD_LABOR_HOURS)&gt;TEMP_HOURS_CAP),"",$C417+W$6-MIN(($D417+W$5),PERMANENT_FIELD_LABOR_HOURS)*PERMANENT_HOURLY_RATE-MAX(0,($D417+W$5)-PERMANENT_FIELD_LABOR_HOURS)*TEMP_HOURLY_RATE-FIXED_SEASON_COST)</f>
        <v/>
      </c>
      <c r="X417" s="53" t="str">
        <f aca="false">IF(OR($A417&gt;TOMATO_BED_CAP,$B417&gt;CARROT_BED_CAP,X$4&gt;MESCLUN_BED_CAP,$A417+$B417+X$4&gt;TOTAL_BEDS_AVAILABLE,($D417+X$5)&gt;TOTAL_LABOR_HOURS_CAP,MAX(0,($D417+X$5)-PERMANENT_FIELD_LABOR_HOURS)&gt;TEMP_HOURS_CAP),"",$C417+X$6-MIN(($D417+X$5),PERMANENT_FIELD_LABOR_HOURS)*PERMANENT_HOURLY_RATE-MAX(0,($D417+X$5)-PERMANENT_FIELD_LABOR_HOURS)*TEMP_HOURLY_RATE-FIXED_SEASON_COST)</f>
        <v/>
      </c>
      <c r="Y417" s="53" t="str">
        <f aca="false">IF(OR($A417&gt;TOMATO_BED_CAP,$B417&gt;CARROT_BED_CAP,Y$4&gt;MESCLUN_BED_CAP,$A417+$B417+Y$4&gt;TOTAL_BEDS_AVAILABLE,($D417+Y$5)&gt;TOTAL_LABOR_HOURS_CAP,MAX(0,($D417+Y$5)-PERMANENT_FIELD_LABOR_HOURS)&gt;TEMP_HOURS_CAP),"",$C417+Y$6-MIN(($D417+Y$5),PERMANENT_FIELD_LABOR_HOURS)*PERMANENT_HOURLY_RATE-MAX(0,($D417+Y$5)-PERMANENT_FIELD_LABOR_HOURS)*TEMP_HOURLY_RATE-FIXED_SEASON_COST)</f>
        <v/>
      </c>
      <c r="Z417" s="53" t="str">
        <f aca="false">IF(OR($A417&gt;TOMATO_BED_CAP,$B417&gt;CARROT_BED_CAP,Z$4&gt;MESCLUN_BED_CAP,$A417+$B417+Z$4&gt;TOTAL_BEDS_AVAILABLE,($D417+Z$5)&gt;TOTAL_LABOR_HOURS_CAP,MAX(0,($D417+Z$5)-PERMANENT_FIELD_LABOR_HOURS)&gt;TEMP_HOURS_CAP),"",$C417+Z$6-MIN(($D417+Z$5),PERMANENT_FIELD_LABOR_HOURS)*PERMANENT_HOURLY_RATE-MAX(0,($D417+Z$5)-PERMANENT_FIELD_LABOR_HOURS)*TEMP_HOURLY_RATE-FIXED_SEASON_COST)</f>
        <v/>
      </c>
      <c r="AA417" s="53" t="str">
        <f aca="false">IF(OR($A417&gt;TOMATO_BED_CAP,$B417&gt;CARROT_BED_CAP,AA$4&gt;MESCLUN_BED_CAP,$A417+$B417+AA$4&gt;TOTAL_BEDS_AVAILABLE,($D417+AA$5)&gt;TOTAL_LABOR_HOURS_CAP,MAX(0,($D417+AA$5)-PERMANENT_FIELD_LABOR_HOURS)&gt;TEMP_HOURS_CAP),"",$C417+AA$6-MIN(($D417+AA$5),PERMANENT_FIELD_LABOR_HOURS)*PERMANENT_HOURLY_RATE-MAX(0,($D417+AA$5)-PERMANENT_FIELD_LABOR_HOURS)*TEMP_HOURLY_RATE-FIXED_SEASON_COST)</f>
        <v/>
      </c>
      <c r="AB417" s="53" t="str">
        <f aca="false">IF(OR($A417&gt;TOMATO_BED_CAP,$B417&gt;CARROT_BED_CAP,AB$4&gt;MESCLUN_BED_CAP,$A417+$B417+AB$4&gt;TOTAL_BEDS_AVAILABLE,($D417+AB$5)&gt;TOTAL_LABOR_HOURS_CAP,MAX(0,($D417+AB$5)-PERMANENT_FIELD_LABOR_HOURS)&gt;TEMP_HOURS_CAP),"",$C417+AB$6-MIN(($D417+AB$5),PERMANENT_FIELD_LABOR_HOURS)*PERMANENT_HOURLY_RATE-MAX(0,($D417+AB$5)-PERMANENT_FIELD_LABOR_HOURS)*TEMP_HOURLY_RATE-FIXED_SEASON_COST)</f>
        <v/>
      </c>
      <c r="AC417" s="53" t="str">
        <f aca="false">IF(OR($A417&gt;TOMATO_BED_CAP,$B417&gt;CARROT_BED_CAP,AC$4&gt;MESCLUN_BED_CAP,$A417+$B417+AC$4&gt;TOTAL_BEDS_AVAILABLE,($D417+AC$5)&gt;TOTAL_LABOR_HOURS_CAP,MAX(0,($D417+AC$5)-PERMANENT_FIELD_LABOR_HOURS)&gt;TEMP_HOURS_CAP),"",$C417+AC$6-MIN(($D417+AC$5),PERMANENT_FIELD_LABOR_HOURS)*PERMANENT_HOURLY_RATE-MAX(0,($D417+AC$5)-PERMANENT_FIELD_LABOR_HOURS)*TEMP_HOURLY_RATE-FIXED_SEASON_COST)</f>
        <v/>
      </c>
      <c r="AD417" s="53" t="str">
        <f aca="false">IF(OR($A417&gt;TOMATO_BED_CAP,$B417&gt;CARROT_BED_CAP,AD$4&gt;MESCLUN_BED_CAP,$A417+$B417+AD$4&gt;TOTAL_BEDS_AVAILABLE,($D417+AD$5)&gt;TOTAL_LABOR_HOURS_CAP,MAX(0,($D417+AD$5)-PERMANENT_FIELD_LABOR_HOURS)&gt;TEMP_HOURS_CAP),"",$C417+AD$6-MIN(($D417+AD$5),PERMANENT_FIELD_LABOR_HOURS)*PERMANENT_HOURLY_RATE-MAX(0,($D417+AD$5)-PERMANENT_FIELD_LABOR_HOURS)*TEMP_HOURLY_RATE-FIXED_SEASON_COST)</f>
        <v/>
      </c>
      <c r="AE417" s="53" t="str">
        <f aca="false">IF(OR($A417&gt;TOMATO_BED_CAP,$B417&gt;CARROT_BED_CAP,AE$4&gt;MESCLUN_BED_CAP,$A417+$B417+AE$4&gt;TOTAL_BEDS_AVAILABLE,($D417+AE$5)&gt;TOTAL_LABOR_HOURS_CAP,MAX(0,($D417+AE$5)-PERMANENT_FIELD_LABOR_HOURS)&gt;TEMP_HOURS_CAP),"",$C417+AE$6-MIN(($D417+AE$5),PERMANENT_FIELD_LABOR_HOURS)*PERMANENT_HOURLY_RATE-MAX(0,($D417+AE$5)-PERMANENT_FIELD_LABOR_HOURS)*TEMP_HOURLY_RATE-FIXED_SEASON_COST)</f>
        <v/>
      </c>
      <c r="AF417" s="53" t="str">
        <f aca="false">IF(OR($A417&gt;TOMATO_BED_CAP,$B417&gt;CARROT_BED_CAP,AF$4&gt;MESCLUN_BED_CAP,$A417+$B417+AF$4&gt;TOTAL_BEDS_AVAILABLE,($D417+AF$5)&gt;TOTAL_LABOR_HOURS_CAP,MAX(0,($D417+AF$5)-PERMANENT_FIELD_LABOR_HOURS)&gt;TEMP_HOURS_CAP),"",$C417+AF$6-MIN(($D417+AF$5),PERMANENT_FIELD_LABOR_HOURS)*PERMANENT_HOURLY_RATE-MAX(0,($D417+AF$5)-PERMANENT_FIELD_LABOR_HOURS)*TEMP_HOURLY_RATE-FIXED_SEASON_COST)</f>
        <v/>
      </c>
      <c r="AG417" s="53" t="str">
        <f aca="false">IF(OR($A417&gt;TOMATO_BED_CAP,$B417&gt;CARROT_BED_CAP,AG$4&gt;MESCLUN_BED_CAP,$A417+$B417+AG$4&gt;TOTAL_BEDS_AVAILABLE,($D417+AG$5)&gt;TOTAL_LABOR_HOURS_CAP,MAX(0,($D417+AG$5)-PERMANENT_FIELD_LABOR_HOURS)&gt;TEMP_HOURS_CAP),"",$C417+AG$6-MIN(($D417+AG$5),PERMANENT_FIELD_LABOR_HOURS)*PERMANENT_HOURLY_RATE-MAX(0,($D417+AG$5)-PERMANENT_FIELD_LABOR_HOURS)*TEMP_HOURLY_RATE-FIXED_SEASON_COST)</f>
        <v/>
      </c>
      <c r="AH417" s="53" t="str">
        <f aca="false">IF(OR($A417&gt;TOMATO_BED_CAP,$B417&gt;CARROT_BED_CAP,AH$4&gt;MESCLUN_BED_CAP,$A417+$B417+AH$4&gt;TOTAL_BEDS_AVAILABLE,($D417+AH$5)&gt;TOTAL_LABOR_HOURS_CAP,MAX(0,($D417+AH$5)-PERMANENT_FIELD_LABOR_HOURS)&gt;TEMP_HOURS_CAP),"",$C417+AH$6-MIN(($D417+AH$5),PERMANENT_FIELD_LABOR_HOURS)*PERMANENT_HOURLY_RATE-MAX(0,($D417+AH$5)-PERMANENT_FIELD_LABOR_HOURS)*TEMP_HOURLY_RATE-FIXED_SEASON_COST)</f>
        <v/>
      </c>
      <c r="AI417" s="53" t="str">
        <f aca="false">IF(OR($A417&gt;TOMATO_BED_CAP,$B417&gt;CARROT_BED_CAP,AI$4&gt;MESCLUN_BED_CAP,$A417+$B417+AI$4&gt;TOTAL_BEDS_AVAILABLE,($D417+AI$5)&gt;TOTAL_LABOR_HOURS_CAP,MAX(0,($D417+AI$5)-PERMANENT_FIELD_LABOR_HOURS)&gt;TEMP_HOURS_CAP),"",$C417+AI$6-MIN(($D417+AI$5),PERMANENT_FIELD_LABOR_HOURS)*PERMANENT_HOURLY_RATE-MAX(0,($D417+AI$5)-PERMANENT_FIELD_LABOR_HOURS)*TEMP_HOURLY_RATE-FIXED_SEASON_COST)</f>
        <v/>
      </c>
      <c r="AJ417" s="53" t="str">
        <f aca="false">IF(OR($A417&gt;TOMATO_BED_CAP,$B417&gt;CARROT_BED_CAP,AJ$4&gt;MESCLUN_BED_CAP,$A417+$B417+AJ$4&gt;TOTAL_BEDS_AVAILABLE,($D417+AJ$5)&gt;TOTAL_LABOR_HOURS_CAP,MAX(0,($D417+AJ$5)-PERMANENT_FIELD_LABOR_HOURS)&gt;TEMP_HOURS_CAP),"",$C417+AJ$6-MIN(($D417+AJ$5),PERMANENT_FIELD_LABOR_HOURS)*PERMANENT_HOURLY_RATE-MAX(0,($D417+AJ$5)-PERMANENT_FIELD_LABOR_HOURS)*TEMP_HOURLY_RATE-FIXED_SEASON_COST)</f>
        <v/>
      </c>
    </row>
    <row r="418" customFormat="false" ht="15" hidden="false" customHeight="false" outlineLevel="0" collapsed="false">
      <c r="A418" s="21" t="n">
        <f aca="false">INT((ROW()-ROW($A$8))/(20+1))</f>
        <v>19</v>
      </c>
      <c r="B418" s="21" t="n">
        <f aca="false">MOD(ROW()-ROW($A$8),20+1)</f>
        <v>11</v>
      </c>
      <c r="C418" s="13" t="n">
        <f aca="false">A418*(TOMATO_REVENUE_PER_BED-TOMATO_FERTILIZER_PER_BED)+B418*(CARROT_REVENUE_PER_BED-CARROT_FERTILIZER_PER_BED)</f>
        <v>168674</v>
      </c>
      <c r="D418" s="14" t="n">
        <f aca="false">INDEX(TOMATO_SCHED_LABOR_HRS,A418+1)+INDEX(CARROT_SCHED_LABOR_HRS,B418+1)</f>
        <v>10891.0198683145</v>
      </c>
      <c r="E418" s="13" t="str">
        <f aca="false">IF(COUNT(F418:AJ418)=0,"",MAX(F418:AJ418))</f>
        <v/>
      </c>
      <c r="F418" s="53" t="str">
        <f aca="false">IF(OR($A418&gt;TOMATO_BED_CAP,$B418&gt;CARROT_BED_CAP,F$4&gt;MESCLUN_BED_CAP,$A418+$B418+F$4&gt;TOTAL_BEDS_AVAILABLE,($D418+F$5)&gt;TOTAL_LABOR_HOURS_CAP,MAX(0,($D418+F$5)-PERMANENT_FIELD_LABOR_HOURS)&gt;TEMP_HOURS_CAP),"",$C418+F$6-MIN(($D418+F$5),PERMANENT_FIELD_LABOR_HOURS)*PERMANENT_HOURLY_RATE-MAX(0,($D418+F$5)-PERMANENT_FIELD_LABOR_HOURS)*TEMP_HOURLY_RATE-FIXED_SEASON_COST)</f>
        <v/>
      </c>
      <c r="G418" s="53" t="str">
        <f aca="false">IF(OR($A418&gt;TOMATO_BED_CAP,$B418&gt;CARROT_BED_CAP,G$4&gt;MESCLUN_BED_CAP,$A418+$B418+G$4&gt;TOTAL_BEDS_AVAILABLE,($D418+G$5)&gt;TOTAL_LABOR_HOURS_CAP,MAX(0,($D418+G$5)-PERMANENT_FIELD_LABOR_HOURS)&gt;TEMP_HOURS_CAP),"",$C418+G$6-MIN(($D418+G$5),PERMANENT_FIELD_LABOR_HOURS)*PERMANENT_HOURLY_RATE-MAX(0,($D418+G$5)-PERMANENT_FIELD_LABOR_HOURS)*TEMP_HOURLY_RATE-FIXED_SEASON_COST)</f>
        <v/>
      </c>
      <c r="H418" s="53" t="str">
        <f aca="false">IF(OR($A418&gt;TOMATO_BED_CAP,$B418&gt;CARROT_BED_CAP,H$4&gt;MESCLUN_BED_CAP,$A418+$B418+H$4&gt;TOTAL_BEDS_AVAILABLE,($D418+H$5)&gt;TOTAL_LABOR_HOURS_CAP,MAX(0,($D418+H$5)-PERMANENT_FIELD_LABOR_HOURS)&gt;TEMP_HOURS_CAP),"",$C418+H$6-MIN(($D418+H$5),PERMANENT_FIELD_LABOR_HOURS)*PERMANENT_HOURLY_RATE-MAX(0,($D418+H$5)-PERMANENT_FIELD_LABOR_HOURS)*TEMP_HOURLY_RATE-FIXED_SEASON_COST)</f>
        <v/>
      </c>
      <c r="I418" s="53" t="str">
        <f aca="false">IF(OR($A418&gt;TOMATO_BED_CAP,$B418&gt;CARROT_BED_CAP,I$4&gt;MESCLUN_BED_CAP,$A418+$B418+I$4&gt;TOTAL_BEDS_AVAILABLE,($D418+I$5)&gt;TOTAL_LABOR_HOURS_CAP,MAX(0,($D418+I$5)-PERMANENT_FIELD_LABOR_HOURS)&gt;TEMP_HOURS_CAP),"",$C418+I$6-MIN(($D418+I$5),PERMANENT_FIELD_LABOR_HOURS)*PERMANENT_HOURLY_RATE-MAX(0,($D418+I$5)-PERMANENT_FIELD_LABOR_HOURS)*TEMP_HOURLY_RATE-FIXED_SEASON_COST)</f>
        <v/>
      </c>
      <c r="J418" s="53" t="str">
        <f aca="false">IF(OR($A418&gt;TOMATO_BED_CAP,$B418&gt;CARROT_BED_CAP,J$4&gt;MESCLUN_BED_CAP,$A418+$B418+J$4&gt;TOTAL_BEDS_AVAILABLE,($D418+J$5)&gt;TOTAL_LABOR_HOURS_CAP,MAX(0,($D418+J$5)-PERMANENT_FIELD_LABOR_HOURS)&gt;TEMP_HOURS_CAP),"",$C418+J$6-MIN(($D418+J$5),PERMANENT_FIELD_LABOR_HOURS)*PERMANENT_HOURLY_RATE-MAX(0,($D418+J$5)-PERMANENT_FIELD_LABOR_HOURS)*TEMP_HOURLY_RATE-FIXED_SEASON_COST)</f>
        <v/>
      </c>
      <c r="K418" s="53" t="str">
        <f aca="false">IF(OR($A418&gt;TOMATO_BED_CAP,$B418&gt;CARROT_BED_CAP,K$4&gt;MESCLUN_BED_CAP,$A418+$B418+K$4&gt;TOTAL_BEDS_AVAILABLE,($D418+K$5)&gt;TOTAL_LABOR_HOURS_CAP,MAX(0,($D418+K$5)-PERMANENT_FIELD_LABOR_HOURS)&gt;TEMP_HOURS_CAP),"",$C418+K$6-MIN(($D418+K$5),PERMANENT_FIELD_LABOR_HOURS)*PERMANENT_HOURLY_RATE-MAX(0,($D418+K$5)-PERMANENT_FIELD_LABOR_HOURS)*TEMP_HOURLY_RATE-FIXED_SEASON_COST)</f>
        <v/>
      </c>
      <c r="L418" s="53" t="str">
        <f aca="false">IF(OR($A418&gt;TOMATO_BED_CAP,$B418&gt;CARROT_BED_CAP,L$4&gt;MESCLUN_BED_CAP,$A418+$B418+L$4&gt;TOTAL_BEDS_AVAILABLE,($D418+L$5)&gt;TOTAL_LABOR_HOURS_CAP,MAX(0,($D418+L$5)-PERMANENT_FIELD_LABOR_HOURS)&gt;TEMP_HOURS_CAP),"",$C418+L$6-MIN(($D418+L$5),PERMANENT_FIELD_LABOR_HOURS)*PERMANENT_HOURLY_RATE-MAX(0,($D418+L$5)-PERMANENT_FIELD_LABOR_HOURS)*TEMP_HOURLY_RATE-FIXED_SEASON_COST)</f>
        <v/>
      </c>
      <c r="M418" s="53" t="str">
        <f aca="false">IF(OR($A418&gt;TOMATO_BED_CAP,$B418&gt;CARROT_BED_CAP,M$4&gt;MESCLUN_BED_CAP,$A418+$B418+M$4&gt;TOTAL_BEDS_AVAILABLE,($D418+M$5)&gt;TOTAL_LABOR_HOURS_CAP,MAX(0,($D418+M$5)-PERMANENT_FIELD_LABOR_HOURS)&gt;TEMP_HOURS_CAP),"",$C418+M$6-MIN(($D418+M$5),PERMANENT_FIELD_LABOR_HOURS)*PERMANENT_HOURLY_RATE-MAX(0,($D418+M$5)-PERMANENT_FIELD_LABOR_HOURS)*TEMP_HOURLY_RATE-FIXED_SEASON_COST)</f>
        <v/>
      </c>
      <c r="N418" s="53" t="str">
        <f aca="false">IF(OR($A418&gt;TOMATO_BED_CAP,$B418&gt;CARROT_BED_CAP,N$4&gt;MESCLUN_BED_CAP,$A418+$B418+N$4&gt;TOTAL_BEDS_AVAILABLE,($D418+N$5)&gt;TOTAL_LABOR_HOURS_CAP,MAX(0,($D418+N$5)-PERMANENT_FIELD_LABOR_HOURS)&gt;TEMP_HOURS_CAP),"",$C418+N$6-MIN(($D418+N$5),PERMANENT_FIELD_LABOR_HOURS)*PERMANENT_HOURLY_RATE-MAX(0,($D418+N$5)-PERMANENT_FIELD_LABOR_HOURS)*TEMP_HOURLY_RATE-FIXED_SEASON_COST)</f>
        <v/>
      </c>
      <c r="O418" s="53" t="str">
        <f aca="false">IF(OR($A418&gt;TOMATO_BED_CAP,$B418&gt;CARROT_BED_CAP,O$4&gt;MESCLUN_BED_CAP,$A418+$B418+O$4&gt;TOTAL_BEDS_AVAILABLE,($D418+O$5)&gt;TOTAL_LABOR_HOURS_CAP,MAX(0,($D418+O$5)-PERMANENT_FIELD_LABOR_HOURS)&gt;TEMP_HOURS_CAP),"",$C418+O$6-MIN(($D418+O$5),PERMANENT_FIELD_LABOR_HOURS)*PERMANENT_HOURLY_RATE-MAX(0,($D418+O$5)-PERMANENT_FIELD_LABOR_HOURS)*TEMP_HOURLY_RATE-FIXED_SEASON_COST)</f>
        <v/>
      </c>
      <c r="P418" s="53" t="str">
        <f aca="false">IF(OR($A418&gt;TOMATO_BED_CAP,$B418&gt;CARROT_BED_CAP,P$4&gt;MESCLUN_BED_CAP,$A418+$B418+P$4&gt;TOTAL_BEDS_AVAILABLE,($D418+P$5)&gt;TOTAL_LABOR_HOURS_CAP,MAX(0,($D418+P$5)-PERMANENT_FIELD_LABOR_HOURS)&gt;TEMP_HOURS_CAP),"",$C418+P$6-MIN(($D418+P$5),PERMANENT_FIELD_LABOR_HOURS)*PERMANENT_HOURLY_RATE-MAX(0,($D418+P$5)-PERMANENT_FIELD_LABOR_HOURS)*TEMP_HOURLY_RATE-FIXED_SEASON_COST)</f>
        <v/>
      </c>
      <c r="Q418" s="53" t="str">
        <f aca="false">IF(OR($A418&gt;TOMATO_BED_CAP,$B418&gt;CARROT_BED_CAP,Q$4&gt;MESCLUN_BED_CAP,$A418+$B418+Q$4&gt;TOTAL_BEDS_AVAILABLE,($D418+Q$5)&gt;TOTAL_LABOR_HOURS_CAP,MAX(0,($D418+Q$5)-PERMANENT_FIELD_LABOR_HOURS)&gt;TEMP_HOURS_CAP),"",$C418+Q$6-MIN(($D418+Q$5),PERMANENT_FIELD_LABOR_HOURS)*PERMANENT_HOURLY_RATE-MAX(0,($D418+Q$5)-PERMANENT_FIELD_LABOR_HOURS)*TEMP_HOURLY_RATE-FIXED_SEASON_COST)</f>
        <v/>
      </c>
      <c r="R418" s="53" t="str">
        <f aca="false">IF(OR($A418&gt;TOMATO_BED_CAP,$B418&gt;CARROT_BED_CAP,R$4&gt;MESCLUN_BED_CAP,$A418+$B418+R$4&gt;TOTAL_BEDS_AVAILABLE,($D418+R$5)&gt;TOTAL_LABOR_HOURS_CAP,MAX(0,($D418+R$5)-PERMANENT_FIELD_LABOR_HOURS)&gt;TEMP_HOURS_CAP),"",$C418+R$6-MIN(($D418+R$5),PERMANENT_FIELD_LABOR_HOURS)*PERMANENT_HOURLY_RATE-MAX(0,($D418+R$5)-PERMANENT_FIELD_LABOR_HOURS)*TEMP_HOURLY_RATE-FIXED_SEASON_COST)</f>
        <v/>
      </c>
      <c r="S418" s="53" t="str">
        <f aca="false">IF(OR($A418&gt;TOMATO_BED_CAP,$B418&gt;CARROT_BED_CAP,S$4&gt;MESCLUN_BED_CAP,$A418+$B418+S$4&gt;TOTAL_BEDS_AVAILABLE,($D418+S$5)&gt;TOTAL_LABOR_HOURS_CAP,MAX(0,($D418+S$5)-PERMANENT_FIELD_LABOR_HOURS)&gt;TEMP_HOURS_CAP),"",$C418+S$6-MIN(($D418+S$5),PERMANENT_FIELD_LABOR_HOURS)*PERMANENT_HOURLY_RATE-MAX(0,($D418+S$5)-PERMANENT_FIELD_LABOR_HOURS)*TEMP_HOURLY_RATE-FIXED_SEASON_COST)</f>
        <v/>
      </c>
      <c r="T418" s="53" t="str">
        <f aca="false">IF(OR($A418&gt;TOMATO_BED_CAP,$B418&gt;CARROT_BED_CAP,T$4&gt;MESCLUN_BED_CAP,$A418+$B418+T$4&gt;TOTAL_BEDS_AVAILABLE,($D418+T$5)&gt;TOTAL_LABOR_HOURS_CAP,MAX(0,($D418+T$5)-PERMANENT_FIELD_LABOR_HOURS)&gt;TEMP_HOURS_CAP),"",$C418+T$6-MIN(($D418+T$5),PERMANENT_FIELD_LABOR_HOURS)*PERMANENT_HOURLY_RATE-MAX(0,($D418+T$5)-PERMANENT_FIELD_LABOR_HOURS)*TEMP_HOURLY_RATE-FIXED_SEASON_COST)</f>
        <v/>
      </c>
      <c r="U418" s="53" t="str">
        <f aca="false">IF(OR($A418&gt;TOMATO_BED_CAP,$B418&gt;CARROT_BED_CAP,U$4&gt;MESCLUN_BED_CAP,$A418+$B418+U$4&gt;TOTAL_BEDS_AVAILABLE,($D418+U$5)&gt;TOTAL_LABOR_HOURS_CAP,MAX(0,($D418+U$5)-PERMANENT_FIELD_LABOR_HOURS)&gt;TEMP_HOURS_CAP),"",$C418+U$6-MIN(($D418+U$5),PERMANENT_FIELD_LABOR_HOURS)*PERMANENT_HOURLY_RATE-MAX(0,($D418+U$5)-PERMANENT_FIELD_LABOR_HOURS)*TEMP_HOURLY_RATE-FIXED_SEASON_COST)</f>
        <v/>
      </c>
      <c r="V418" s="53" t="str">
        <f aca="false">IF(OR($A418&gt;TOMATO_BED_CAP,$B418&gt;CARROT_BED_CAP,V$4&gt;MESCLUN_BED_CAP,$A418+$B418+V$4&gt;TOTAL_BEDS_AVAILABLE,($D418+V$5)&gt;TOTAL_LABOR_HOURS_CAP,MAX(0,($D418+V$5)-PERMANENT_FIELD_LABOR_HOURS)&gt;TEMP_HOURS_CAP),"",$C418+V$6-MIN(($D418+V$5),PERMANENT_FIELD_LABOR_HOURS)*PERMANENT_HOURLY_RATE-MAX(0,($D418+V$5)-PERMANENT_FIELD_LABOR_HOURS)*TEMP_HOURLY_RATE-FIXED_SEASON_COST)</f>
        <v/>
      </c>
      <c r="W418" s="53" t="str">
        <f aca="false">IF(OR($A418&gt;TOMATO_BED_CAP,$B418&gt;CARROT_BED_CAP,W$4&gt;MESCLUN_BED_CAP,$A418+$B418+W$4&gt;TOTAL_BEDS_AVAILABLE,($D418+W$5)&gt;TOTAL_LABOR_HOURS_CAP,MAX(0,($D418+W$5)-PERMANENT_FIELD_LABOR_HOURS)&gt;TEMP_HOURS_CAP),"",$C418+W$6-MIN(($D418+W$5),PERMANENT_FIELD_LABOR_HOURS)*PERMANENT_HOURLY_RATE-MAX(0,($D418+W$5)-PERMANENT_FIELD_LABOR_HOURS)*TEMP_HOURLY_RATE-FIXED_SEASON_COST)</f>
        <v/>
      </c>
      <c r="X418" s="53" t="str">
        <f aca="false">IF(OR($A418&gt;TOMATO_BED_CAP,$B418&gt;CARROT_BED_CAP,X$4&gt;MESCLUN_BED_CAP,$A418+$B418+X$4&gt;TOTAL_BEDS_AVAILABLE,($D418+X$5)&gt;TOTAL_LABOR_HOURS_CAP,MAX(0,($D418+X$5)-PERMANENT_FIELD_LABOR_HOURS)&gt;TEMP_HOURS_CAP),"",$C418+X$6-MIN(($D418+X$5),PERMANENT_FIELD_LABOR_HOURS)*PERMANENT_HOURLY_RATE-MAX(0,($D418+X$5)-PERMANENT_FIELD_LABOR_HOURS)*TEMP_HOURLY_RATE-FIXED_SEASON_COST)</f>
        <v/>
      </c>
      <c r="Y418" s="53" t="str">
        <f aca="false">IF(OR($A418&gt;TOMATO_BED_CAP,$B418&gt;CARROT_BED_CAP,Y$4&gt;MESCLUN_BED_CAP,$A418+$B418+Y$4&gt;TOTAL_BEDS_AVAILABLE,($D418+Y$5)&gt;TOTAL_LABOR_HOURS_CAP,MAX(0,($D418+Y$5)-PERMANENT_FIELD_LABOR_HOURS)&gt;TEMP_HOURS_CAP),"",$C418+Y$6-MIN(($D418+Y$5),PERMANENT_FIELD_LABOR_HOURS)*PERMANENT_HOURLY_RATE-MAX(0,($D418+Y$5)-PERMANENT_FIELD_LABOR_HOURS)*TEMP_HOURLY_RATE-FIXED_SEASON_COST)</f>
        <v/>
      </c>
      <c r="Z418" s="53" t="str">
        <f aca="false">IF(OR($A418&gt;TOMATO_BED_CAP,$B418&gt;CARROT_BED_CAP,Z$4&gt;MESCLUN_BED_CAP,$A418+$B418+Z$4&gt;TOTAL_BEDS_AVAILABLE,($D418+Z$5)&gt;TOTAL_LABOR_HOURS_CAP,MAX(0,($D418+Z$5)-PERMANENT_FIELD_LABOR_HOURS)&gt;TEMP_HOURS_CAP),"",$C418+Z$6-MIN(($D418+Z$5),PERMANENT_FIELD_LABOR_HOURS)*PERMANENT_HOURLY_RATE-MAX(0,($D418+Z$5)-PERMANENT_FIELD_LABOR_HOURS)*TEMP_HOURLY_RATE-FIXED_SEASON_COST)</f>
        <v/>
      </c>
      <c r="AA418" s="53" t="str">
        <f aca="false">IF(OR($A418&gt;TOMATO_BED_CAP,$B418&gt;CARROT_BED_CAP,AA$4&gt;MESCLUN_BED_CAP,$A418+$B418+AA$4&gt;TOTAL_BEDS_AVAILABLE,($D418+AA$5)&gt;TOTAL_LABOR_HOURS_CAP,MAX(0,($D418+AA$5)-PERMANENT_FIELD_LABOR_HOURS)&gt;TEMP_HOURS_CAP),"",$C418+AA$6-MIN(($D418+AA$5),PERMANENT_FIELD_LABOR_HOURS)*PERMANENT_HOURLY_RATE-MAX(0,($D418+AA$5)-PERMANENT_FIELD_LABOR_HOURS)*TEMP_HOURLY_RATE-FIXED_SEASON_COST)</f>
        <v/>
      </c>
      <c r="AB418" s="53" t="str">
        <f aca="false">IF(OR($A418&gt;TOMATO_BED_CAP,$B418&gt;CARROT_BED_CAP,AB$4&gt;MESCLUN_BED_CAP,$A418+$B418+AB$4&gt;TOTAL_BEDS_AVAILABLE,($D418+AB$5)&gt;TOTAL_LABOR_HOURS_CAP,MAX(0,($D418+AB$5)-PERMANENT_FIELD_LABOR_HOURS)&gt;TEMP_HOURS_CAP),"",$C418+AB$6-MIN(($D418+AB$5),PERMANENT_FIELD_LABOR_HOURS)*PERMANENT_HOURLY_RATE-MAX(0,($D418+AB$5)-PERMANENT_FIELD_LABOR_HOURS)*TEMP_HOURLY_RATE-FIXED_SEASON_COST)</f>
        <v/>
      </c>
      <c r="AC418" s="53" t="str">
        <f aca="false">IF(OR($A418&gt;TOMATO_BED_CAP,$B418&gt;CARROT_BED_CAP,AC$4&gt;MESCLUN_BED_CAP,$A418+$B418+AC$4&gt;TOTAL_BEDS_AVAILABLE,($D418+AC$5)&gt;TOTAL_LABOR_HOURS_CAP,MAX(0,($D418+AC$5)-PERMANENT_FIELD_LABOR_HOURS)&gt;TEMP_HOURS_CAP),"",$C418+AC$6-MIN(($D418+AC$5),PERMANENT_FIELD_LABOR_HOURS)*PERMANENT_HOURLY_RATE-MAX(0,($D418+AC$5)-PERMANENT_FIELD_LABOR_HOURS)*TEMP_HOURLY_RATE-FIXED_SEASON_COST)</f>
        <v/>
      </c>
      <c r="AD418" s="53" t="str">
        <f aca="false">IF(OR($A418&gt;TOMATO_BED_CAP,$B418&gt;CARROT_BED_CAP,AD$4&gt;MESCLUN_BED_CAP,$A418+$B418+AD$4&gt;TOTAL_BEDS_AVAILABLE,($D418+AD$5)&gt;TOTAL_LABOR_HOURS_CAP,MAX(0,($D418+AD$5)-PERMANENT_FIELD_LABOR_HOURS)&gt;TEMP_HOURS_CAP),"",$C418+AD$6-MIN(($D418+AD$5),PERMANENT_FIELD_LABOR_HOURS)*PERMANENT_HOURLY_RATE-MAX(0,($D418+AD$5)-PERMANENT_FIELD_LABOR_HOURS)*TEMP_HOURLY_RATE-FIXED_SEASON_COST)</f>
        <v/>
      </c>
      <c r="AE418" s="53" t="str">
        <f aca="false">IF(OR($A418&gt;TOMATO_BED_CAP,$B418&gt;CARROT_BED_CAP,AE$4&gt;MESCLUN_BED_CAP,$A418+$B418+AE$4&gt;TOTAL_BEDS_AVAILABLE,($D418+AE$5)&gt;TOTAL_LABOR_HOURS_CAP,MAX(0,($D418+AE$5)-PERMANENT_FIELD_LABOR_HOURS)&gt;TEMP_HOURS_CAP),"",$C418+AE$6-MIN(($D418+AE$5),PERMANENT_FIELD_LABOR_HOURS)*PERMANENT_HOURLY_RATE-MAX(0,($D418+AE$5)-PERMANENT_FIELD_LABOR_HOURS)*TEMP_HOURLY_RATE-FIXED_SEASON_COST)</f>
        <v/>
      </c>
      <c r="AF418" s="53" t="str">
        <f aca="false">IF(OR($A418&gt;TOMATO_BED_CAP,$B418&gt;CARROT_BED_CAP,AF$4&gt;MESCLUN_BED_CAP,$A418+$B418+AF$4&gt;TOTAL_BEDS_AVAILABLE,($D418+AF$5)&gt;TOTAL_LABOR_HOURS_CAP,MAX(0,($D418+AF$5)-PERMANENT_FIELD_LABOR_HOURS)&gt;TEMP_HOURS_CAP),"",$C418+AF$6-MIN(($D418+AF$5),PERMANENT_FIELD_LABOR_HOURS)*PERMANENT_HOURLY_RATE-MAX(0,($D418+AF$5)-PERMANENT_FIELD_LABOR_HOURS)*TEMP_HOURLY_RATE-FIXED_SEASON_COST)</f>
        <v/>
      </c>
      <c r="AG418" s="53" t="str">
        <f aca="false">IF(OR($A418&gt;TOMATO_BED_CAP,$B418&gt;CARROT_BED_CAP,AG$4&gt;MESCLUN_BED_CAP,$A418+$B418+AG$4&gt;TOTAL_BEDS_AVAILABLE,($D418+AG$5)&gt;TOTAL_LABOR_HOURS_CAP,MAX(0,($D418+AG$5)-PERMANENT_FIELD_LABOR_HOURS)&gt;TEMP_HOURS_CAP),"",$C418+AG$6-MIN(($D418+AG$5),PERMANENT_FIELD_LABOR_HOURS)*PERMANENT_HOURLY_RATE-MAX(0,($D418+AG$5)-PERMANENT_FIELD_LABOR_HOURS)*TEMP_HOURLY_RATE-FIXED_SEASON_COST)</f>
        <v/>
      </c>
      <c r="AH418" s="53" t="str">
        <f aca="false">IF(OR($A418&gt;TOMATO_BED_CAP,$B418&gt;CARROT_BED_CAP,AH$4&gt;MESCLUN_BED_CAP,$A418+$B418+AH$4&gt;TOTAL_BEDS_AVAILABLE,($D418+AH$5)&gt;TOTAL_LABOR_HOURS_CAP,MAX(0,($D418+AH$5)-PERMANENT_FIELD_LABOR_HOURS)&gt;TEMP_HOURS_CAP),"",$C418+AH$6-MIN(($D418+AH$5),PERMANENT_FIELD_LABOR_HOURS)*PERMANENT_HOURLY_RATE-MAX(0,($D418+AH$5)-PERMANENT_FIELD_LABOR_HOURS)*TEMP_HOURLY_RATE-FIXED_SEASON_COST)</f>
        <v/>
      </c>
      <c r="AI418" s="53" t="str">
        <f aca="false">IF(OR($A418&gt;TOMATO_BED_CAP,$B418&gt;CARROT_BED_CAP,AI$4&gt;MESCLUN_BED_CAP,$A418+$B418+AI$4&gt;TOTAL_BEDS_AVAILABLE,($D418+AI$5)&gt;TOTAL_LABOR_HOURS_CAP,MAX(0,($D418+AI$5)-PERMANENT_FIELD_LABOR_HOURS)&gt;TEMP_HOURS_CAP),"",$C418+AI$6-MIN(($D418+AI$5),PERMANENT_FIELD_LABOR_HOURS)*PERMANENT_HOURLY_RATE-MAX(0,($D418+AI$5)-PERMANENT_FIELD_LABOR_HOURS)*TEMP_HOURLY_RATE-FIXED_SEASON_COST)</f>
        <v/>
      </c>
      <c r="AJ418" s="53" t="str">
        <f aca="false">IF(OR($A418&gt;TOMATO_BED_CAP,$B418&gt;CARROT_BED_CAP,AJ$4&gt;MESCLUN_BED_CAP,$A418+$B418+AJ$4&gt;TOTAL_BEDS_AVAILABLE,($D418+AJ$5)&gt;TOTAL_LABOR_HOURS_CAP,MAX(0,($D418+AJ$5)-PERMANENT_FIELD_LABOR_HOURS)&gt;TEMP_HOURS_CAP),"",$C418+AJ$6-MIN(($D418+AJ$5),PERMANENT_FIELD_LABOR_HOURS)*PERMANENT_HOURLY_RATE-MAX(0,($D418+AJ$5)-PERMANENT_FIELD_LABOR_HOURS)*TEMP_HOURLY_RATE-FIXED_SEASON_COST)</f>
        <v/>
      </c>
    </row>
    <row r="419" customFormat="false" ht="15" hidden="false" customHeight="false" outlineLevel="0" collapsed="false">
      <c r="A419" s="21" t="n">
        <f aca="false">INT((ROW()-ROW($A$8))/(20+1))</f>
        <v>19</v>
      </c>
      <c r="B419" s="21" t="n">
        <f aca="false">MOD(ROW()-ROW($A$8),20+1)</f>
        <v>12</v>
      </c>
      <c r="C419" s="13" t="n">
        <f aca="false">A419*(TOMATO_REVENUE_PER_BED-TOMATO_FERTILIZER_PER_BED)+B419*(CARROT_REVENUE_PER_BED-CARROT_FERTILIZER_PER_BED)</f>
        <v>170328</v>
      </c>
      <c r="D419" s="14" t="n">
        <f aca="false">INDEX(TOMATO_SCHED_LABOR_HRS,A419+1)+INDEX(CARROT_SCHED_LABOR_HRS,B419+1)</f>
        <v>10942.1707794169</v>
      </c>
      <c r="E419" s="13" t="str">
        <f aca="false">IF(COUNT(F419:AJ419)=0,"",MAX(F419:AJ419))</f>
        <v/>
      </c>
      <c r="F419" s="53" t="str">
        <f aca="false">IF(OR($A419&gt;TOMATO_BED_CAP,$B419&gt;CARROT_BED_CAP,F$4&gt;MESCLUN_BED_CAP,$A419+$B419+F$4&gt;TOTAL_BEDS_AVAILABLE,($D419+F$5)&gt;TOTAL_LABOR_HOURS_CAP,MAX(0,($D419+F$5)-PERMANENT_FIELD_LABOR_HOURS)&gt;TEMP_HOURS_CAP),"",$C419+F$6-MIN(($D419+F$5),PERMANENT_FIELD_LABOR_HOURS)*PERMANENT_HOURLY_RATE-MAX(0,($D419+F$5)-PERMANENT_FIELD_LABOR_HOURS)*TEMP_HOURLY_RATE-FIXED_SEASON_COST)</f>
        <v/>
      </c>
      <c r="G419" s="53" t="str">
        <f aca="false">IF(OR($A419&gt;TOMATO_BED_CAP,$B419&gt;CARROT_BED_CAP,G$4&gt;MESCLUN_BED_CAP,$A419+$B419+G$4&gt;TOTAL_BEDS_AVAILABLE,($D419+G$5)&gt;TOTAL_LABOR_HOURS_CAP,MAX(0,($D419+G$5)-PERMANENT_FIELD_LABOR_HOURS)&gt;TEMP_HOURS_CAP),"",$C419+G$6-MIN(($D419+G$5),PERMANENT_FIELD_LABOR_HOURS)*PERMANENT_HOURLY_RATE-MAX(0,($D419+G$5)-PERMANENT_FIELD_LABOR_HOURS)*TEMP_HOURLY_RATE-FIXED_SEASON_COST)</f>
        <v/>
      </c>
      <c r="H419" s="53" t="str">
        <f aca="false">IF(OR($A419&gt;TOMATO_BED_CAP,$B419&gt;CARROT_BED_CAP,H$4&gt;MESCLUN_BED_CAP,$A419+$B419+H$4&gt;TOTAL_BEDS_AVAILABLE,($D419+H$5)&gt;TOTAL_LABOR_HOURS_CAP,MAX(0,($D419+H$5)-PERMANENT_FIELD_LABOR_HOURS)&gt;TEMP_HOURS_CAP),"",$C419+H$6-MIN(($D419+H$5),PERMANENT_FIELD_LABOR_HOURS)*PERMANENT_HOURLY_RATE-MAX(0,($D419+H$5)-PERMANENT_FIELD_LABOR_HOURS)*TEMP_HOURLY_RATE-FIXED_SEASON_COST)</f>
        <v/>
      </c>
      <c r="I419" s="53" t="str">
        <f aca="false">IF(OR($A419&gt;TOMATO_BED_CAP,$B419&gt;CARROT_BED_CAP,I$4&gt;MESCLUN_BED_CAP,$A419+$B419+I$4&gt;TOTAL_BEDS_AVAILABLE,($D419+I$5)&gt;TOTAL_LABOR_HOURS_CAP,MAX(0,($D419+I$5)-PERMANENT_FIELD_LABOR_HOURS)&gt;TEMP_HOURS_CAP),"",$C419+I$6-MIN(($D419+I$5),PERMANENT_FIELD_LABOR_HOURS)*PERMANENT_HOURLY_RATE-MAX(0,($D419+I$5)-PERMANENT_FIELD_LABOR_HOURS)*TEMP_HOURLY_RATE-FIXED_SEASON_COST)</f>
        <v/>
      </c>
      <c r="J419" s="53" t="str">
        <f aca="false">IF(OR($A419&gt;TOMATO_BED_CAP,$B419&gt;CARROT_BED_CAP,J$4&gt;MESCLUN_BED_CAP,$A419+$B419+J$4&gt;TOTAL_BEDS_AVAILABLE,($D419+J$5)&gt;TOTAL_LABOR_HOURS_CAP,MAX(0,($D419+J$5)-PERMANENT_FIELD_LABOR_HOURS)&gt;TEMP_HOURS_CAP),"",$C419+J$6-MIN(($D419+J$5),PERMANENT_FIELD_LABOR_HOURS)*PERMANENT_HOURLY_RATE-MAX(0,($D419+J$5)-PERMANENT_FIELD_LABOR_HOURS)*TEMP_HOURLY_RATE-FIXED_SEASON_COST)</f>
        <v/>
      </c>
      <c r="K419" s="53" t="str">
        <f aca="false">IF(OR($A419&gt;TOMATO_BED_CAP,$B419&gt;CARROT_BED_CAP,K$4&gt;MESCLUN_BED_CAP,$A419+$B419+K$4&gt;TOTAL_BEDS_AVAILABLE,($D419+K$5)&gt;TOTAL_LABOR_HOURS_CAP,MAX(0,($D419+K$5)-PERMANENT_FIELD_LABOR_HOURS)&gt;TEMP_HOURS_CAP),"",$C419+K$6-MIN(($D419+K$5),PERMANENT_FIELD_LABOR_HOURS)*PERMANENT_HOURLY_RATE-MAX(0,($D419+K$5)-PERMANENT_FIELD_LABOR_HOURS)*TEMP_HOURLY_RATE-FIXED_SEASON_COST)</f>
        <v/>
      </c>
      <c r="L419" s="53" t="str">
        <f aca="false">IF(OR($A419&gt;TOMATO_BED_CAP,$B419&gt;CARROT_BED_CAP,L$4&gt;MESCLUN_BED_CAP,$A419+$B419+L$4&gt;TOTAL_BEDS_AVAILABLE,($D419+L$5)&gt;TOTAL_LABOR_HOURS_CAP,MAX(0,($D419+L$5)-PERMANENT_FIELD_LABOR_HOURS)&gt;TEMP_HOURS_CAP),"",$C419+L$6-MIN(($D419+L$5),PERMANENT_FIELD_LABOR_HOURS)*PERMANENT_HOURLY_RATE-MAX(0,($D419+L$5)-PERMANENT_FIELD_LABOR_HOURS)*TEMP_HOURLY_RATE-FIXED_SEASON_COST)</f>
        <v/>
      </c>
      <c r="M419" s="53" t="str">
        <f aca="false">IF(OR($A419&gt;TOMATO_BED_CAP,$B419&gt;CARROT_BED_CAP,M$4&gt;MESCLUN_BED_CAP,$A419+$B419+M$4&gt;TOTAL_BEDS_AVAILABLE,($D419+M$5)&gt;TOTAL_LABOR_HOURS_CAP,MAX(0,($D419+M$5)-PERMANENT_FIELD_LABOR_HOURS)&gt;TEMP_HOURS_CAP),"",$C419+M$6-MIN(($D419+M$5),PERMANENT_FIELD_LABOR_HOURS)*PERMANENT_HOURLY_RATE-MAX(0,($D419+M$5)-PERMANENT_FIELD_LABOR_HOURS)*TEMP_HOURLY_RATE-FIXED_SEASON_COST)</f>
        <v/>
      </c>
      <c r="N419" s="53" t="str">
        <f aca="false">IF(OR($A419&gt;TOMATO_BED_CAP,$B419&gt;CARROT_BED_CAP,N$4&gt;MESCLUN_BED_CAP,$A419+$B419+N$4&gt;TOTAL_BEDS_AVAILABLE,($D419+N$5)&gt;TOTAL_LABOR_HOURS_CAP,MAX(0,($D419+N$5)-PERMANENT_FIELD_LABOR_HOURS)&gt;TEMP_HOURS_CAP),"",$C419+N$6-MIN(($D419+N$5),PERMANENT_FIELD_LABOR_HOURS)*PERMANENT_HOURLY_RATE-MAX(0,($D419+N$5)-PERMANENT_FIELD_LABOR_HOURS)*TEMP_HOURLY_RATE-FIXED_SEASON_COST)</f>
        <v/>
      </c>
      <c r="O419" s="53" t="str">
        <f aca="false">IF(OR($A419&gt;TOMATO_BED_CAP,$B419&gt;CARROT_BED_CAP,O$4&gt;MESCLUN_BED_CAP,$A419+$B419+O$4&gt;TOTAL_BEDS_AVAILABLE,($D419+O$5)&gt;TOTAL_LABOR_HOURS_CAP,MAX(0,($D419+O$5)-PERMANENT_FIELD_LABOR_HOURS)&gt;TEMP_HOURS_CAP),"",$C419+O$6-MIN(($D419+O$5),PERMANENT_FIELD_LABOR_HOURS)*PERMANENT_HOURLY_RATE-MAX(0,($D419+O$5)-PERMANENT_FIELD_LABOR_HOURS)*TEMP_HOURLY_RATE-FIXED_SEASON_COST)</f>
        <v/>
      </c>
      <c r="P419" s="53" t="str">
        <f aca="false">IF(OR($A419&gt;TOMATO_BED_CAP,$B419&gt;CARROT_BED_CAP,P$4&gt;MESCLUN_BED_CAP,$A419+$B419+P$4&gt;TOTAL_BEDS_AVAILABLE,($D419+P$5)&gt;TOTAL_LABOR_HOURS_CAP,MAX(0,($D419+P$5)-PERMANENT_FIELD_LABOR_HOURS)&gt;TEMP_HOURS_CAP),"",$C419+P$6-MIN(($D419+P$5),PERMANENT_FIELD_LABOR_HOURS)*PERMANENT_HOURLY_RATE-MAX(0,($D419+P$5)-PERMANENT_FIELD_LABOR_HOURS)*TEMP_HOURLY_RATE-FIXED_SEASON_COST)</f>
        <v/>
      </c>
      <c r="Q419" s="53" t="str">
        <f aca="false">IF(OR($A419&gt;TOMATO_BED_CAP,$B419&gt;CARROT_BED_CAP,Q$4&gt;MESCLUN_BED_CAP,$A419+$B419+Q$4&gt;TOTAL_BEDS_AVAILABLE,($D419+Q$5)&gt;TOTAL_LABOR_HOURS_CAP,MAX(0,($D419+Q$5)-PERMANENT_FIELD_LABOR_HOURS)&gt;TEMP_HOURS_CAP),"",$C419+Q$6-MIN(($D419+Q$5),PERMANENT_FIELD_LABOR_HOURS)*PERMANENT_HOURLY_RATE-MAX(0,($D419+Q$5)-PERMANENT_FIELD_LABOR_HOURS)*TEMP_HOURLY_RATE-FIXED_SEASON_COST)</f>
        <v/>
      </c>
      <c r="R419" s="53" t="str">
        <f aca="false">IF(OR($A419&gt;TOMATO_BED_CAP,$B419&gt;CARROT_BED_CAP,R$4&gt;MESCLUN_BED_CAP,$A419+$B419+R$4&gt;TOTAL_BEDS_AVAILABLE,($D419+R$5)&gt;TOTAL_LABOR_HOURS_CAP,MAX(0,($D419+R$5)-PERMANENT_FIELD_LABOR_HOURS)&gt;TEMP_HOURS_CAP),"",$C419+R$6-MIN(($D419+R$5),PERMANENT_FIELD_LABOR_HOURS)*PERMANENT_HOURLY_RATE-MAX(0,($D419+R$5)-PERMANENT_FIELD_LABOR_HOURS)*TEMP_HOURLY_RATE-FIXED_SEASON_COST)</f>
        <v/>
      </c>
      <c r="S419" s="53" t="str">
        <f aca="false">IF(OR($A419&gt;TOMATO_BED_CAP,$B419&gt;CARROT_BED_CAP,S$4&gt;MESCLUN_BED_CAP,$A419+$B419+S$4&gt;TOTAL_BEDS_AVAILABLE,($D419+S$5)&gt;TOTAL_LABOR_HOURS_CAP,MAX(0,($D419+S$5)-PERMANENT_FIELD_LABOR_HOURS)&gt;TEMP_HOURS_CAP),"",$C419+S$6-MIN(($D419+S$5),PERMANENT_FIELD_LABOR_HOURS)*PERMANENT_HOURLY_RATE-MAX(0,($D419+S$5)-PERMANENT_FIELD_LABOR_HOURS)*TEMP_HOURLY_RATE-FIXED_SEASON_COST)</f>
        <v/>
      </c>
      <c r="T419" s="53" t="str">
        <f aca="false">IF(OR($A419&gt;TOMATO_BED_CAP,$B419&gt;CARROT_BED_CAP,T$4&gt;MESCLUN_BED_CAP,$A419+$B419+T$4&gt;TOTAL_BEDS_AVAILABLE,($D419+T$5)&gt;TOTAL_LABOR_HOURS_CAP,MAX(0,($D419+T$5)-PERMANENT_FIELD_LABOR_HOURS)&gt;TEMP_HOURS_CAP),"",$C419+T$6-MIN(($D419+T$5),PERMANENT_FIELD_LABOR_HOURS)*PERMANENT_HOURLY_RATE-MAX(0,($D419+T$5)-PERMANENT_FIELD_LABOR_HOURS)*TEMP_HOURLY_RATE-FIXED_SEASON_COST)</f>
        <v/>
      </c>
      <c r="U419" s="53" t="str">
        <f aca="false">IF(OR($A419&gt;TOMATO_BED_CAP,$B419&gt;CARROT_BED_CAP,U$4&gt;MESCLUN_BED_CAP,$A419+$B419+U$4&gt;TOTAL_BEDS_AVAILABLE,($D419+U$5)&gt;TOTAL_LABOR_HOURS_CAP,MAX(0,($D419+U$5)-PERMANENT_FIELD_LABOR_HOURS)&gt;TEMP_HOURS_CAP),"",$C419+U$6-MIN(($D419+U$5),PERMANENT_FIELD_LABOR_HOURS)*PERMANENT_HOURLY_RATE-MAX(0,($D419+U$5)-PERMANENT_FIELD_LABOR_HOURS)*TEMP_HOURLY_RATE-FIXED_SEASON_COST)</f>
        <v/>
      </c>
      <c r="V419" s="53" t="str">
        <f aca="false">IF(OR($A419&gt;TOMATO_BED_CAP,$B419&gt;CARROT_BED_CAP,V$4&gt;MESCLUN_BED_CAP,$A419+$B419+V$4&gt;TOTAL_BEDS_AVAILABLE,($D419+V$5)&gt;TOTAL_LABOR_HOURS_CAP,MAX(0,($D419+V$5)-PERMANENT_FIELD_LABOR_HOURS)&gt;TEMP_HOURS_CAP),"",$C419+V$6-MIN(($D419+V$5),PERMANENT_FIELD_LABOR_HOURS)*PERMANENT_HOURLY_RATE-MAX(0,($D419+V$5)-PERMANENT_FIELD_LABOR_HOURS)*TEMP_HOURLY_RATE-FIXED_SEASON_COST)</f>
        <v/>
      </c>
      <c r="W419" s="53" t="str">
        <f aca="false">IF(OR($A419&gt;TOMATO_BED_CAP,$B419&gt;CARROT_BED_CAP,W$4&gt;MESCLUN_BED_CAP,$A419+$B419+W$4&gt;TOTAL_BEDS_AVAILABLE,($D419+W$5)&gt;TOTAL_LABOR_HOURS_CAP,MAX(0,($D419+W$5)-PERMANENT_FIELD_LABOR_HOURS)&gt;TEMP_HOURS_CAP),"",$C419+W$6-MIN(($D419+W$5),PERMANENT_FIELD_LABOR_HOURS)*PERMANENT_HOURLY_RATE-MAX(0,($D419+W$5)-PERMANENT_FIELD_LABOR_HOURS)*TEMP_HOURLY_RATE-FIXED_SEASON_COST)</f>
        <v/>
      </c>
      <c r="X419" s="53" t="str">
        <f aca="false">IF(OR($A419&gt;TOMATO_BED_CAP,$B419&gt;CARROT_BED_CAP,X$4&gt;MESCLUN_BED_CAP,$A419+$B419+X$4&gt;TOTAL_BEDS_AVAILABLE,($D419+X$5)&gt;TOTAL_LABOR_HOURS_CAP,MAX(0,($D419+X$5)-PERMANENT_FIELD_LABOR_HOURS)&gt;TEMP_HOURS_CAP),"",$C419+X$6-MIN(($D419+X$5),PERMANENT_FIELD_LABOR_HOURS)*PERMANENT_HOURLY_RATE-MAX(0,($D419+X$5)-PERMANENT_FIELD_LABOR_HOURS)*TEMP_HOURLY_RATE-FIXED_SEASON_COST)</f>
        <v/>
      </c>
      <c r="Y419" s="53" t="str">
        <f aca="false">IF(OR($A419&gt;TOMATO_BED_CAP,$B419&gt;CARROT_BED_CAP,Y$4&gt;MESCLUN_BED_CAP,$A419+$B419+Y$4&gt;TOTAL_BEDS_AVAILABLE,($D419+Y$5)&gt;TOTAL_LABOR_HOURS_CAP,MAX(0,($D419+Y$5)-PERMANENT_FIELD_LABOR_HOURS)&gt;TEMP_HOURS_CAP),"",$C419+Y$6-MIN(($D419+Y$5),PERMANENT_FIELD_LABOR_HOURS)*PERMANENT_HOURLY_RATE-MAX(0,($D419+Y$5)-PERMANENT_FIELD_LABOR_HOURS)*TEMP_HOURLY_RATE-FIXED_SEASON_COST)</f>
        <v/>
      </c>
      <c r="Z419" s="53" t="str">
        <f aca="false">IF(OR($A419&gt;TOMATO_BED_CAP,$B419&gt;CARROT_BED_CAP,Z$4&gt;MESCLUN_BED_CAP,$A419+$B419+Z$4&gt;TOTAL_BEDS_AVAILABLE,($D419+Z$5)&gt;TOTAL_LABOR_HOURS_CAP,MAX(0,($D419+Z$5)-PERMANENT_FIELD_LABOR_HOURS)&gt;TEMP_HOURS_CAP),"",$C419+Z$6-MIN(($D419+Z$5),PERMANENT_FIELD_LABOR_HOURS)*PERMANENT_HOURLY_RATE-MAX(0,($D419+Z$5)-PERMANENT_FIELD_LABOR_HOURS)*TEMP_HOURLY_RATE-FIXED_SEASON_COST)</f>
        <v/>
      </c>
      <c r="AA419" s="53" t="str">
        <f aca="false">IF(OR($A419&gt;TOMATO_BED_CAP,$B419&gt;CARROT_BED_CAP,AA$4&gt;MESCLUN_BED_CAP,$A419+$B419+AA$4&gt;TOTAL_BEDS_AVAILABLE,($D419+AA$5)&gt;TOTAL_LABOR_HOURS_CAP,MAX(0,($D419+AA$5)-PERMANENT_FIELD_LABOR_HOURS)&gt;TEMP_HOURS_CAP),"",$C419+AA$6-MIN(($D419+AA$5),PERMANENT_FIELD_LABOR_HOURS)*PERMANENT_HOURLY_RATE-MAX(0,($D419+AA$5)-PERMANENT_FIELD_LABOR_HOURS)*TEMP_HOURLY_RATE-FIXED_SEASON_COST)</f>
        <v/>
      </c>
      <c r="AB419" s="53" t="str">
        <f aca="false">IF(OR($A419&gt;TOMATO_BED_CAP,$B419&gt;CARROT_BED_CAP,AB$4&gt;MESCLUN_BED_CAP,$A419+$B419+AB$4&gt;TOTAL_BEDS_AVAILABLE,($D419+AB$5)&gt;TOTAL_LABOR_HOURS_CAP,MAX(0,($D419+AB$5)-PERMANENT_FIELD_LABOR_HOURS)&gt;TEMP_HOURS_CAP),"",$C419+AB$6-MIN(($D419+AB$5),PERMANENT_FIELD_LABOR_HOURS)*PERMANENT_HOURLY_RATE-MAX(0,($D419+AB$5)-PERMANENT_FIELD_LABOR_HOURS)*TEMP_HOURLY_RATE-FIXED_SEASON_COST)</f>
        <v/>
      </c>
      <c r="AC419" s="53" t="str">
        <f aca="false">IF(OR($A419&gt;TOMATO_BED_CAP,$B419&gt;CARROT_BED_CAP,AC$4&gt;MESCLUN_BED_CAP,$A419+$B419+AC$4&gt;TOTAL_BEDS_AVAILABLE,($D419+AC$5)&gt;TOTAL_LABOR_HOURS_CAP,MAX(0,($D419+AC$5)-PERMANENT_FIELD_LABOR_HOURS)&gt;TEMP_HOURS_CAP),"",$C419+AC$6-MIN(($D419+AC$5),PERMANENT_FIELD_LABOR_HOURS)*PERMANENT_HOURLY_RATE-MAX(0,($D419+AC$5)-PERMANENT_FIELD_LABOR_HOURS)*TEMP_HOURLY_RATE-FIXED_SEASON_COST)</f>
        <v/>
      </c>
      <c r="AD419" s="53" t="str">
        <f aca="false">IF(OR($A419&gt;TOMATO_BED_CAP,$B419&gt;CARROT_BED_CAP,AD$4&gt;MESCLUN_BED_CAP,$A419+$B419+AD$4&gt;TOTAL_BEDS_AVAILABLE,($D419+AD$5)&gt;TOTAL_LABOR_HOURS_CAP,MAX(0,($D419+AD$5)-PERMANENT_FIELD_LABOR_HOURS)&gt;TEMP_HOURS_CAP),"",$C419+AD$6-MIN(($D419+AD$5),PERMANENT_FIELD_LABOR_HOURS)*PERMANENT_HOURLY_RATE-MAX(0,($D419+AD$5)-PERMANENT_FIELD_LABOR_HOURS)*TEMP_HOURLY_RATE-FIXED_SEASON_COST)</f>
        <v/>
      </c>
      <c r="AE419" s="53" t="str">
        <f aca="false">IF(OR($A419&gt;TOMATO_BED_CAP,$B419&gt;CARROT_BED_CAP,AE$4&gt;MESCLUN_BED_CAP,$A419+$B419+AE$4&gt;TOTAL_BEDS_AVAILABLE,($D419+AE$5)&gt;TOTAL_LABOR_HOURS_CAP,MAX(0,($D419+AE$5)-PERMANENT_FIELD_LABOR_HOURS)&gt;TEMP_HOURS_CAP),"",$C419+AE$6-MIN(($D419+AE$5),PERMANENT_FIELD_LABOR_HOURS)*PERMANENT_HOURLY_RATE-MAX(0,($D419+AE$5)-PERMANENT_FIELD_LABOR_HOURS)*TEMP_HOURLY_RATE-FIXED_SEASON_COST)</f>
        <v/>
      </c>
      <c r="AF419" s="53" t="str">
        <f aca="false">IF(OR($A419&gt;TOMATO_BED_CAP,$B419&gt;CARROT_BED_CAP,AF$4&gt;MESCLUN_BED_CAP,$A419+$B419+AF$4&gt;TOTAL_BEDS_AVAILABLE,($D419+AF$5)&gt;TOTAL_LABOR_HOURS_CAP,MAX(0,($D419+AF$5)-PERMANENT_FIELD_LABOR_HOURS)&gt;TEMP_HOURS_CAP),"",$C419+AF$6-MIN(($D419+AF$5),PERMANENT_FIELD_LABOR_HOURS)*PERMANENT_HOURLY_RATE-MAX(0,($D419+AF$5)-PERMANENT_FIELD_LABOR_HOURS)*TEMP_HOURLY_RATE-FIXED_SEASON_COST)</f>
        <v/>
      </c>
      <c r="AG419" s="53" t="str">
        <f aca="false">IF(OR($A419&gt;TOMATO_BED_CAP,$B419&gt;CARROT_BED_CAP,AG$4&gt;MESCLUN_BED_CAP,$A419+$B419+AG$4&gt;TOTAL_BEDS_AVAILABLE,($D419+AG$5)&gt;TOTAL_LABOR_HOURS_CAP,MAX(0,($D419+AG$5)-PERMANENT_FIELD_LABOR_HOURS)&gt;TEMP_HOURS_CAP),"",$C419+AG$6-MIN(($D419+AG$5),PERMANENT_FIELD_LABOR_HOURS)*PERMANENT_HOURLY_RATE-MAX(0,($D419+AG$5)-PERMANENT_FIELD_LABOR_HOURS)*TEMP_HOURLY_RATE-FIXED_SEASON_COST)</f>
        <v/>
      </c>
      <c r="AH419" s="53" t="str">
        <f aca="false">IF(OR($A419&gt;TOMATO_BED_CAP,$B419&gt;CARROT_BED_CAP,AH$4&gt;MESCLUN_BED_CAP,$A419+$B419+AH$4&gt;TOTAL_BEDS_AVAILABLE,($D419+AH$5)&gt;TOTAL_LABOR_HOURS_CAP,MAX(0,($D419+AH$5)-PERMANENT_FIELD_LABOR_HOURS)&gt;TEMP_HOURS_CAP),"",$C419+AH$6-MIN(($D419+AH$5),PERMANENT_FIELD_LABOR_HOURS)*PERMANENT_HOURLY_RATE-MAX(0,($D419+AH$5)-PERMANENT_FIELD_LABOR_HOURS)*TEMP_HOURLY_RATE-FIXED_SEASON_COST)</f>
        <v/>
      </c>
      <c r="AI419" s="53" t="str">
        <f aca="false">IF(OR($A419&gt;TOMATO_BED_CAP,$B419&gt;CARROT_BED_CAP,AI$4&gt;MESCLUN_BED_CAP,$A419+$B419+AI$4&gt;TOTAL_BEDS_AVAILABLE,($D419+AI$5)&gt;TOTAL_LABOR_HOURS_CAP,MAX(0,($D419+AI$5)-PERMANENT_FIELD_LABOR_HOURS)&gt;TEMP_HOURS_CAP),"",$C419+AI$6-MIN(($D419+AI$5),PERMANENT_FIELD_LABOR_HOURS)*PERMANENT_HOURLY_RATE-MAX(0,($D419+AI$5)-PERMANENT_FIELD_LABOR_HOURS)*TEMP_HOURLY_RATE-FIXED_SEASON_COST)</f>
        <v/>
      </c>
      <c r="AJ419" s="53" t="str">
        <f aca="false">IF(OR($A419&gt;TOMATO_BED_CAP,$B419&gt;CARROT_BED_CAP,AJ$4&gt;MESCLUN_BED_CAP,$A419+$B419+AJ$4&gt;TOTAL_BEDS_AVAILABLE,($D419+AJ$5)&gt;TOTAL_LABOR_HOURS_CAP,MAX(0,($D419+AJ$5)-PERMANENT_FIELD_LABOR_HOURS)&gt;TEMP_HOURS_CAP),"",$C419+AJ$6-MIN(($D419+AJ$5),PERMANENT_FIELD_LABOR_HOURS)*PERMANENT_HOURLY_RATE-MAX(0,($D419+AJ$5)-PERMANENT_FIELD_LABOR_HOURS)*TEMP_HOURLY_RATE-FIXED_SEASON_COST)</f>
        <v/>
      </c>
    </row>
    <row r="420" customFormat="false" ht="15" hidden="false" customHeight="false" outlineLevel="0" collapsed="false">
      <c r="A420" s="21" t="n">
        <f aca="false">INT((ROW()-ROW($A$8))/(20+1))</f>
        <v>19</v>
      </c>
      <c r="B420" s="21" t="n">
        <f aca="false">MOD(ROW()-ROW($A$8),20+1)</f>
        <v>13</v>
      </c>
      <c r="C420" s="13" t="n">
        <f aca="false">A420*(TOMATO_REVENUE_PER_BED-TOMATO_FERTILIZER_PER_BED)+B420*(CARROT_REVENUE_PER_BED-CARROT_FERTILIZER_PER_BED)</f>
        <v>171982</v>
      </c>
      <c r="D420" s="14" t="n">
        <f aca="false">INDEX(TOMATO_SCHED_LABOR_HRS,A420+1)+INDEX(CARROT_SCHED_LABOR_HRS,B420+1)</f>
        <v>10995.6087264484</v>
      </c>
      <c r="E420" s="13" t="str">
        <f aca="false">IF(COUNT(F420:AJ420)=0,"",MAX(F420:AJ420))</f>
        <v/>
      </c>
      <c r="F420" s="53" t="str">
        <f aca="false">IF(OR($A420&gt;TOMATO_BED_CAP,$B420&gt;CARROT_BED_CAP,F$4&gt;MESCLUN_BED_CAP,$A420+$B420+F$4&gt;TOTAL_BEDS_AVAILABLE,($D420+F$5)&gt;TOTAL_LABOR_HOURS_CAP,MAX(0,($D420+F$5)-PERMANENT_FIELD_LABOR_HOURS)&gt;TEMP_HOURS_CAP),"",$C420+F$6-MIN(($D420+F$5),PERMANENT_FIELD_LABOR_HOURS)*PERMANENT_HOURLY_RATE-MAX(0,($D420+F$5)-PERMANENT_FIELD_LABOR_HOURS)*TEMP_HOURLY_RATE-FIXED_SEASON_COST)</f>
        <v/>
      </c>
      <c r="G420" s="53" t="str">
        <f aca="false">IF(OR($A420&gt;TOMATO_BED_CAP,$B420&gt;CARROT_BED_CAP,G$4&gt;MESCLUN_BED_CAP,$A420+$B420+G$4&gt;TOTAL_BEDS_AVAILABLE,($D420+G$5)&gt;TOTAL_LABOR_HOURS_CAP,MAX(0,($D420+G$5)-PERMANENT_FIELD_LABOR_HOURS)&gt;TEMP_HOURS_CAP),"",$C420+G$6-MIN(($D420+G$5),PERMANENT_FIELD_LABOR_HOURS)*PERMANENT_HOURLY_RATE-MAX(0,($D420+G$5)-PERMANENT_FIELD_LABOR_HOURS)*TEMP_HOURLY_RATE-FIXED_SEASON_COST)</f>
        <v/>
      </c>
      <c r="H420" s="53" t="str">
        <f aca="false">IF(OR($A420&gt;TOMATO_BED_CAP,$B420&gt;CARROT_BED_CAP,H$4&gt;MESCLUN_BED_CAP,$A420+$B420+H$4&gt;TOTAL_BEDS_AVAILABLE,($D420+H$5)&gt;TOTAL_LABOR_HOURS_CAP,MAX(0,($D420+H$5)-PERMANENT_FIELD_LABOR_HOURS)&gt;TEMP_HOURS_CAP),"",$C420+H$6-MIN(($D420+H$5),PERMANENT_FIELD_LABOR_HOURS)*PERMANENT_HOURLY_RATE-MAX(0,($D420+H$5)-PERMANENT_FIELD_LABOR_HOURS)*TEMP_HOURLY_RATE-FIXED_SEASON_COST)</f>
        <v/>
      </c>
      <c r="I420" s="53" t="str">
        <f aca="false">IF(OR($A420&gt;TOMATO_BED_CAP,$B420&gt;CARROT_BED_CAP,I$4&gt;MESCLUN_BED_CAP,$A420+$B420+I$4&gt;TOTAL_BEDS_AVAILABLE,($D420+I$5)&gt;TOTAL_LABOR_HOURS_CAP,MAX(0,($D420+I$5)-PERMANENT_FIELD_LABOR_HOURS)&gt;TEMP_HOURS_CAP),"",$C420+I$6-MIN(($D420+I$5),PERMANENT_FIELD_LABOR_HOURS)*PERMANENT_HOURLY_RATE-MAX(0,($D420+I$5)-PERMANENT_FIELD_LABOR_HOURS)*TEMP_HOURLY_RATE-FIXED_SEASON_COST)</f>
        <v/>
      </c>
      <c r="J420" s="53" t="str">
        <f aca="false">IF(OR($A420&gt;TOMATO_BED_CAP,$B420&gt;CARROT_BED_CAP,J$4&gt;MESCLUN_BED_CAP,$A420+$B420+J$4&gt;TOTAL_BEDS_AVAILABLE,($D420+J$5)&gt;TOTAL_LABOR_HOURS_CAP,MAX(0,($D420+J$5)-PERMANENT_FIELD_LABOR_HOURS)&gt;TEMP_HOURS_CAP),"",$C420+J$6-MIN(($D420+J$5),PERMANENT_FIELD_LABOR_HOURS)*PERMANENT_HOURLY_RATE-MAX(0,($D420+J$5)-PERMANENT_FIELD_LABOR_HOURS)*TEMP_HOURLY_RATE-FIXED_SEASON_COST)</f>
        <v/>
      </c>
      <c r="K420" s="53" t="str">
        <f aca="false">IF(OR($A420&gt;TOMATO_BED_CAP,$B420&gt;CARROT_BED_CAP,K$4&gt;MESCLUN_BED_CAP,$A420+$B420+K$4&gt;TOTAL_BEDS_AVAILABLE,($D420+K$5)&gt;TOTAL_LABOR_HOURS_CAP,MAX(0,($D420+K$5)-PERMANENT_FIELD_LABOR_HOURS)&gt;TEMP_HOURS_CAP),"",$C420+K$6-MIN(($D420+K$5),PERMANENT_FIELD_LABOR_HOURS)*PERMANENT_HOURLY_RATE-MAX(0,($D420+K$5)-PERMANENT_FIELD_LABOR_HOURS)*TEMP_HOURLY_RATE-FIXED_SEASON_COST)</f>
        <v/>
      </c>
      <c r="L420" s="53" t="str">
        <f aca="false">IF(OR($A420&gt;TOMATO_BED_CAP,$B420&gt;CARROT_BED_CAP,L$4&gt;MESCLUN_BED_CAP,$A420+$B420+L$4&gt;TOTAL_BEDS_AVAILABLE,($D420+L$5)&gt;TOTAL_LABOR_HOURS_CAP,MAX(0,($D420+L$5)-PERMANENT_FIELD_LABOR_HOURS)&gt;TEMP_HOURS_CAP),"",$C420+L$6-MIN(($D420+L$5),PERMANENT_FIELD_LABOR_HOURS)*PERMANENT_HOURLY_RATE-MAX(0,($D420+L$5)-PERMANENT_FIELD_LABOR_HOURS)*TEMP_HOURLY_RATE-FIXED_SEASON_COST)</f>
        <v/>
      </c>
      <c r="M420" s="53" t="str">
        <f aca="false">IF(OR($A420&gt;TOMATO_BED_CAP,$B420&gt;CARROT_BED_CAP,M$4&gt;MESCLUN_BED_CAP,$A420+$B420+M$4&gt;TOTAL_BEDS_AVAILABLE,($D420+M$5)&gt;TOTAL_LABOR_HOURS_CAP,MAX(0,($D420+M$5)-PERMANENT_FIELD_LABOR_HOURS)&gt;TEMP_HOURS_CAP),"",$C420+M$6-MIN(($D420+M$5),PERMANENT_FIELD_LABOR_HOURS)*PERMANENT_HOURLY_RATE-MAX(0,($D420+M$5)-PERMANENT_FIELD_LABOR_HOURS)*TEMP_HOURLY_RATE-FIXED_SEASON_COST)</f>
        <v/>
      </c>
      <c r="N420" s="53" t="str">
        <f aca="false">IF(OR($A420&gt;TOMATO_BED_CAP,$B420&gt;CARROT_BED_CAP,N$4&gt;MESCLUN_BED_CAP,$A420+$B420+N$4&gt;TOTAL_BEDS_AVAILABLE,($D420+N$5)&gt;TOTAL_LABOR_HOURS_CAP,MAX(0,($D420+N$5)-PERMANENT_FIELD_LABOR_HOURS)&gt;TEMP_HOURS_CAP),"",$C420+N$6-MIN(($D420+N$5),PERMANENT_FIELD_LABOR_HOURS)*PERMANENT_HOURLY_RATE-MAX(0,($D420+N$5)-PERMANENT_FIELD_LABOR_HOURS)*TEMP_HOURLY_RATE-FIXED_SEASON_COST)</f>
        <v/>
      </c>
      <c r="O420" s="53" t="str">
        <f aca="false">IF(OR($A420&gt;TOMATO_BED_CAP,$B420&gt;CARROT_BED_CAP,O$4&gt;MESCLUN_BED_CAP,$A420+$B420+O$4&gt;TOTAL_BEDS_AVAILABLE,($D420+O$5)&gt;TOTAL_LABOR_HOURS_CAP,MAX(0,($D420+O$5)-PERMANENT_FIELD_LABOR_HOURS)&gt;TEMP_HOURS_CAP),"",$C420+O$6-MIN(($D420+O$5),PERMANENT_FIELD_LABOR_HOURS)*PERMANENT_HOURLY_RATE-MAX(0,($D420+O$5)-PERMANENT_FIELD_LABOR_HOURS)*TEMP_HOURLY_RATE-FIXED_SEASON_COST)</f>
        <v/>
      </c>
      <c r="P420" s="53" t="str">
        <f aca="false">IF(OR($A420&gt;TOMATO_BED_CAP,$B420&gt;CARROT_BED_CAP,P$4&gt;MESCLUN_BED_CAP,$A420+$B420+P$4&gt;TOTAL_BEDS_AVAILABLE,($D420+P$5)&gt;TOTAL_LABOR_HOURS_CAP,MAX(0,($D420+P$5)-PERMANENT_FIELD_LABOR_HOURS)&gt;TEMP_HOURS_CAP),"",$C420+P$6-MIN(($D420+P$5),PERMANENT_FIELD_LABOR_HOURS)*PERMANENT_HOURLY_RATE-MAX(0,($D420+P$5)-PERMANENT_FIELD_LABOR_HOURS)*TEMP_HOURLY_RATE-FIXED_SEASON_COST)</f>
        <v/>
      </c>
      <c r="Q420" s="53" t="str">
        <f aca="false">IF(OR($A420&gt;TOMATO_BED_CAP,$B420&gt;CARROT_BED_CAP,Q$4&gt;MESCLUN_BED_CAP,$A420+$B420+Q$4&gt;TOTAL_BEDS_AVAILABLE,($D420+Q$5)&gt;TOTAL_LABOR_HOURS_CAP,MAX(0,($D420+Q$5)-PERMANENT_FIELD_LABOR_HOURS)&gt;TEMP_HOURS_CAP),"",$C420+Q$6-MIN(($D420+Q$5),PERMANENT_FIELD_LABOR_HOURS)*PERMANENT_HOURLY_RATE-MAX(0,($D420+Q$5)-PERMANENT_FIELD_LABOR_HOURS)*TEMP_HOURLY_RATE-FIXED_SEASON_COST)</f>
        <v/>
      </c>
      <c r="R420" s="53" t="str">
        <f aca="false">IF(OR($A420&gt;TOMATO_BED_CAP,$B420&gt;CARROT_BED_CAP,R$4&gt;MESCLUN_BED_CAP,$A420+$B420+R$4&gt;TOTAL_BEDS_AVAILABLE,($D420+R$5)&gt;TOTAL_LABOR_HOURS_CAP,MAX(0,($D420+R$5)-PERMANENT_FIELD_LABOR_HOURS)&gt;TEMP_HOURS_CAP),"",$C420+R$6-MIN(($D420+R$5),PERMANENT_FIELD_LABOR_HOURS)*PERMANENT_HOURLY_RATE-MAX(0,($D420+R$5)-PERMANENT_FIELD_LABOR_HOURS)*TEMP_HOURLY_RATE-FIXED_SEASON_COST)</f>
        <v/>
      </c>
      <c r="S420" s="53" t="str">
        <f aca="false">IF(OR($A420&gt;TOMATO_BED_CAP,$B420&gt;CARROT_BED_CAP,S$4&gt;MESCLUN_BED_CAP,$A420+$B420+S$4&gt;TOTAL_BEDS_AVAILABLE,($D420+S$5)&gt;TOTAL_LABOR_HOURS_CAP,MAX(0,($D420+S$5)-PERMANENT_FIELD_LABOR_HOURS)&gt;TEMP_HOURS_CAP),"",$C420+S$6-MIN(($D420+S$5),PERMANENT_FIELD_LABOR_HOURS)*PERMANENT_HOURLY_RATE-MAX(0,($D420+S$5)-PERMANENT_FIELD_LABOR_HOURS)*TEMP_HOURLY_RATE-FIXED_SEASON_COST)</f>
        <v/>
      </c>
      <c r="T420" s="53" t="str">
        <f aca="false">IF(OR($A420&gt;TOMATO_BED_CAP,$B420&gt;CARROT_BED_CAP,T$4&gt;MESCLUN_BED_CAP,$A420+$B420+T$4&gt;TOTAL_BEDS_AVAILABLE,($D420+T$5)&gt;TOTAL_LABOR_HOURS_CAP,MAX(0,($D420+T$5)-PERMANENT_FIELD_LABOR_HOURS)&gt;TEMP_HOURS_CAP),"",$C420+T$6-MIN(($D420+T$5),PERMANENT_FIELD_LABOR_HOURS)*PERMANENT_HOURLY_RATE-MAX(0,($D420+T$5)-PERMANENT_FIELD_LABOR_HOURS)*TEMP_HOURLY_RATE-FIXED_SEASON_COST)</f>
        <v/>
      </c>
      <c r="U420" s="53" t="str">
        <f aca="false">IF(OR($A420&gt;TOMATO_BED_CAP,$B420&gt;CARROT_BED_CAP,U$4&gt;MESCLUN_BED_CAP,$A420+$B420+U$4&gt;TOTAL_BEDS_AVAILABLE,($D420+U$5)&gt;TOTAL_LABOR_HOURS_CAP,MAX(0,($D420+U$5)-PERMANENT_FIELD_LABOR_HOURS)&gt;TEMP_HOURS_CAP),"",$C420+U$6-MIN(($D420+U$5),PERMANENT_FIELD_LABOR_HOURS)*PERMANENT_HOURLY_RATE-MAX(0,($D420+U$5)-PERMANENT_FIELD_LABOR_HOURS)*TEMP_HOURLY_RATE-FIXED_SEASON_COST)</f>
        <v/>
      </c>
      <c r="V420" s="53" t="str">
        <f aca="false">IF(OR($A420&gt;TOMATO_BED_CAP,$B420&gt;CARROT_BED_CAP,V$4&gt;MESCLUN_BED_CAP,$A420+$B420+V$4&gt;TOTAL_BEDS_AVAILABLE,($D420+V$5)&gt;TOTAL_LABOR_HOURS_CAP,MAX(0,($D420+V$5)-PERMANENT_FIELD_LABOR_HOURS)&gt;TEMP_HOURS_CAP),"",$C420+V$6-MIN(($D420+V$5),PERMANENT_FIELD_LABOR_HOURS)*PERMANENT_HOURLY_RATE-MAX(0,($D420+V$5)-PERMANENT_FIELD_LABOR_HOURS)*TEMP_HOURLY_RATE-FIXED_SEASON_COST)</f>
        <v/>
      </c>
      <c r="W420" s="53" t="str">
        <f aca="false">IF(OR($A420&gt;TOMATO_BED_CAP,$B420&gt;CARROT_BED_CAP,W$4&gt;MESCLUN_BED_CAP,$A420+$B420+W$4&gt;TOTAL_BEDS_AVAILABLE,($D420+W$5)&gt;TOTAL_LABOR_HOURS_CAP,MAX(0,($D420+W$5)-PERMANENT_FIELD_LABOR_HOURS)&gt;TEMP_HOURS_CAP),"",$C420+W$6-MIN(($D420+W$5),PERMANENT_FIELD_LABOR_HOURS)*PERMANENT_HOURLY_RATE-MAX(0,($D420+W$5)-PERMANENT_FIELD_LABOR_HOURS)*TEMP_HOURLY_RATE-FIXED_SEASON_COST)</f>
        <v/>
      </c>
      <c r="X420" s="53" t="str">
        <f aca="false">IF(OR($A420&gt;TOMATO_BED_CAP,$B420&gt;CARROT_BED_CAP,X$4&gt;MESCLUN_BED_CAP,$A420+$B420+X$4&gt;TOTAL_BEDS_AVAILABLE,($D420+X$5)&gt;TOTAL_LABOR_HOURS_CAP,MAX(0,($D420+X$5)-PERMANENT_FIELD_LABOR_HOURS)&gt;TEMP_HOURS_CAP),"",$C420+X$6-MIN(($D420+X$5),PERMANENT_FIELD_LABOR_HOURS)*PERMANENT_HOURLY_RATE-MAX(0,($D420+X$5)-PERMANENT_FIELD_LABOR_HOURS)*TEMP_HOURLY_RATE-FIXED_SEASON_COST)</f>
        <v/>
      </c>
      <c r="Y420" s="53" t="str">
        <f aca="false">IF(OR($A420&gt;TOMATO_BED_CAP,$B420&gt;CARROT_BED_CAP,Y$4&gt;MESCLUN_BED_CAP,$A420+$B420+Y$4&gt;TOTAL_BEDS_AVAILABLE,($D420+Y$5)&gt;TOTAL_LABOR_HOURS_CAP,MAX(0,($D420+Y$5)-PERMANENT_FIELD_LABOR_HOURS)&gt;TEMP_HOURS_CAP),"",$C420+Y$6-MIN(($D420+Y$5),PERMANENT_FIELD_LABOR_HOURS)*PERMANENT_HOURLY_RATE-MAX(0,($D420+Y$5)-PERMANENT_FIELD_LABOR_HOURS)*TEMP_HOURLY_RATE-FIXED_SEASON_COST)</f>
        <v/>
      </c>
      <c r="Z420" s="53" t="str">
        <f aca="false">IF(OR($A420&gt;TOMATO_BED_CAP,$B420&gt;CARROT_BED_CAP,Z$4&gt;MESCLUN_BED_CAP,$A420+$B420+Z$4&gt;TOTAL_BEDS_AVAILABLE,($D420+Z$5)&gt;TOTAL_LABOR_HOURS_CAP,MAX(0,($D420+Z$5)-PERMANENT_FIELD_LABOR_HOURS)&gt;TEMP_HOURS_CAP),"",$C420+Z$6-MIN(($D420+Z$5),PERMANENT_FIELD_LABOR_HOURS)*PERMANENT_HOURLY_RATE-MAX(0,($D420+Z$5)-PERMANENT_FIELD_LABOR_HOURS)*TEMP_HOURLY_RATE-FIXED_SEASON_COST)</f>
        <v/>
      </c>
      <c r="AA420" s="53" t="str">
        <f aca="false">IF(OR($A420&gt;TOMATO_BED_CAP,$B420&gt;CARROT_BED_CAP,AA$4&gt;MESCLUN_BED_CAP,$A420+$B420+AA$4&gt;TOTAL_BEDS_AVAILABLE,($D420+AA$5)&gt;TOTAL_LABOR_HOURS_CAP,MAX(0,($D420+AA$5)-PERMANENT_FIELD_LABOR_HOURS)&gt;TEMP_HOURS_CAP),"",$C420+AA$6-MIN(($D420+AA$5),PERMANENT_FIELD_LABOR_HOURS)*PERMANENT_HOURLY_RATE-MAX(0,($D420+AA$5)-PERMANENT_FIELD_LABOR_HOURS)*TEMP_HOURLY_RATE-FIXED_SEASON_COST)</f>
        <v/>
      </c>
      <c r="AB420" s="53" t="str">
        <f aca="false">IF(OR($A420&gt;TOMATO_BED_CAP,$B420&gt;CARROT_BED_CAP,AB$4&gt;MESCLUN_BED_CAP,$A420+$B420+AB$4&gt;TOTAL_BEDS_AVAILABLE,($D420+AB$5)&gt;TOTAL_LABOR_HOURS_CAP,MAX(0,($D420+AB$5)-PERMANENT_FIELD_LABOR_HOURS)&gt;TEMP_HOURS_CAP),"",$C420+AB$6-MIN(($D420+AB$5),PERMANENT_FIELD_LABOR_HOURS)*PERMANENT_HOURLY_RATE-MAX(0,($D420+AB$5)-PERMANENT_FIELD_LABOR_HOURS)*TEMP_HOURLY_RATE-FIXED_SEASON_COST)</f>
        <v/>
      </c>
      <c r="AC420" s="53" t="str">
        <f aca="false">IF(OR($A420&gt;TOMATO_BED_CAP,$B420&gt;CARROT_BED_CAP,AC$4&gt;MESCLUN_BED_CAP,$A420+$B420+AC$4&gt;TOTAL_BEDS_AVAILABLE,($D420+AC$5)&gt;TOTAL_LABOR_HOURS_CAP,MAX(0,($D420+AC$5)-PERMANENT_FIELD_LABOR_HOURS)&gt;TEMP_HOURS_CAP),"",$C420+AC$6-MIN(($D420+AC$5),PERMANENT_FIELD_LABOR_HOURS)*PERMANENT_HOURLY_RATE-MAX(0,($D420+AC$5)-PERMANENT_FIELD_LABOR_HOURS)*TEMP_HOURLY_RATE-FIXED_SEASON_COST)</f>
        <v/>
      </c>
      <c r="AD420" s="53" t="str">
        <f aca="false">IF(OR($A420&gt;TOMATO_BED_CAP,$B420&gt;CARROT_BED_CAP,AD$4&gt;MESCLUN_BED_CAP,$A420+$B420+AD$4&gt;TOTAL_BEDS_AVAILABLE,($D420+AD$5)&gt;TOTAL_LABOR_HOURS_CAP,MAX(0,($D420+AD$5)-PERMANENT_FIELD_LABOR_HOURS)&gt;TEMP_HOURS_CAP),"",$C420+AD$6-MIN(($D420+AD$5),PERMANENT_FIELD_LABOR_HOURS)*PERMANENT_HOURLY_RATE-MAX(0,($D420+AD$5)-PERMANENT_FIELD_LABOR_HOURS)*TEMP_HOURLY_RATE-FIXED_SEASON_COST)</f>
        <v/>
      </c>
      <c r="AE420" s="53" t="str">
        <f aca="false">IF(OR($A420&gt;TOMATO_BED_CAP,$B420&gt;CARROT_BED_CAP,AE$4&gt;MESCLUN_BED_CAP,$A420+$B420+AE$4&gt;TOTAL_BEDS_AVAILABLE,($D420+AE$5)&gt;TOTAL_LABOR_HOURS_CAP,MAX(0,($D420+AE$5)-PERMANENT_FIELD_LABOR_HOURS)&gt;TEMP_HOURS_CAP),"",$C420+AE$6-MIN(($D420+AE$5),PERMANENT_FIELD_LABOR_HOURS)*PERMANENT_HOURLY_RATE-MAX(0,($D420+AE$5)-PERMANENT_FIELD_LABOR_HOURS)*TEMP_HOURLY_RATE-FIXED_SEASON_COST)</f>
        <v/>
      </c>
      <c r="AF420" s="53" t="str">
        <f aca="false">IF(OR($A420&gt;TOMATO_BED_CAP,$B420&gt;CARROT_BED_CAP,AF$4&gt;MESCLUN_BED_CAP,$A420+$B420+AF$4&gt;TOTAL_BEDS_AVAILABLE,($D420+AF$5)&gt;TOTAL_LABOR_HOURS_CAP,MAX(0,($D420+AF$5)-PERMANENT_FIELD_LABOR_HOURS)&gt;TEMP_HOURS_CAP),"",$C420+AF$6-MIN(($D420+AF$5),PERMANENT_FIELD_LABOR_HOURS)*PERMANENT_HOURLY_RATE-MAX(0,($D420+AF$5)-PERMANENT_FIELD_LABOR_HOURS)*TEMP_HOURLY_RATE-FIXED_SEASON_COST)</f>
        <v/>
      </c>
      <c r="AG420" s="53" t="str">
        <f aca="false">IF(OR($A420&gt;TOMATO_BED_CAP,$B420&gt;CARROT_BED_CAP,AG$4&gt;MESCLUN_BED_CAP,$A420+$B420+AG$4&gt;TOTAL_BEDS_AVAILABLE,($D420+AG$5)&gt;TOTAL_LABOR_HOURS_CAP,MAX(0,($D420+AG$5)-PERMANENT_FIELD_LABOR_HOURS)&gt;TEMP_HOURS_CAP),"",$C420+AG$6-MIN(($D420+AG$5),PERMANENT_FIELD_LABOR_HOURS)*PERMANENT_HOURLY_RATE-MAX(0,($D420+AG$5)-PERMANENT_FIELD_LABOR_HOURS)*TEMP_HOURLY_RATE-FIXED_SEASON_COST)</f>
        <v/>
      </c>
      <c r="AH420" s="53" t="str">
        <f aca="false">IF(OR($A420&gt;TOMATO_BED_CAP,$B420&gt;CARROT_BED_CAP,AH$4&gt;MESCLUN_BED_CAP,$A420+$B420+AH$4&gt;TOTAL_BEDS_AVAILABLE,($D420+AH$5)&gt;TOTAL_LABOR_HOURS_CAP,MAX(0,($D420+AH$5)-PERMANENT_FIELD_LABOR_HOURS)&gt;TEMP_HOURS_CAP),"",$C420+AH$6-MIN(($D420+AH$5),PERMANENT_FIELD_LABOR_HOURS)*PERMANENT_HOURLY_RATE-MAX(0,($D420+AH$5)-PERMANENT_FIELD_LABOR_HOURS)*TEMP_HOURLY_RATE-FIXED_SEASON_COST)</f>
        <v/>
      </c>
      <c r="AI420" s="53" t="str">
        <f aca="false">IF(OR($A420&gt;TOMATO_BED_CAP,$B420&gt;CARROT_BED_CAP,AI$4&gt;MESCLUN_BED_CAP,$A420+$B420+AI$4&gt;TOTAL_BEDS_AVAILABLE,($D420+AI$5)&gt;TOTAL_LABOR_HOURS_CAP,MAX(0,($D420+AI$5)-PERMANENT_FIELD_LABOR_HOURS)&gt;TEMP_HOURS_CAP),"",$C420+AI$6-MIN(($D420+AI$5),PERMANENT_FIELD_LABOR_HOURS)*PERMANENT_HOURLY_RATE-MAX(0,($D420+AI$5)-PERMANENT_FIELD_LABOR_HOURS)*TEMP_HOURLY_RATE-FIXED_SEASON_COST)</f>
        <v/>
      </c>
      <c r="AJ420" s="53" t="str">
        <f aca="false">IF(OR($A420&gt;TOMATO_BED_CAP,$B420&gt;CARROT_BED_CAP,AJ$4&gt;MESCLUN_BED_CAP,$A420+$B420+AJ$4&gt;TOTAL_BEDS_AVAILABLE,($D420+AJ$5)&gt;TOTAL_LABOR_HOURS_CAP,MAX(0,($D420+AJ$5)-PERMANENT_FIELD_LABOR_HOURS)&gt;TEMP_HOURS_CAP),"",$C420+AJ$6-MIN(($D420+AJ$5),PERMANENT_FIELD_LABOR_HOURS)*PERMANENT_HOURLY_RATE-MAX(0,($D420+AJ$5)-PERMANENT_FIELD_LABOR_HOURS)*TEMP_HOURLY_RATE-FIXED_SEASON_COST)</f>
        <v/>
      </c>
    </row>
    <row r="421" customFormat="false" ht="15" hidden="false" customHeight="false" outlineLevel="0" collapsed="false">
      <c r="A421" s="21" t="n">
        <f aca="false">INT((ROW()-ROW($A$8))/(20+1))</f>
        <v>19</v>
      </c>
      <c r="B421" s="21" t="n">
        <f aca="false">MOD(ROW()-ROW($A$8),20+1)</f>
        <v>14</v>
      </c>
      <c r="C421" s="13" t="n">
        <f aca="false">A421*(TOMATO_REVENUE_PER_BED-TOMATO_FERTILIZER_PER_BED)+B421*(CARROT_REVENUE_PER_BED-CARROT_FERTILIZER_PER_BED)</f>
        <v>173636</v>
      </c>
      <c r="D421" s="14" t="n">
        <f aca="false">INDEX(TOMATO_SCHED_LABOR_HRS,A421+1)+INDEX(CARROT_SCHED_LABOR_HRS,B421+1)</f>
        <v>11051.416091886</v>
      </c>
      <c r="E421" s="13" t="str">
        <f aca="false">IF(COUNT(F421:AJ421)=0,"",MAX(F421:AJ421))</f>
        <v/>
      </c>
      <c r="F421" s="53" t="str">
        <f aca="false">IF(OR($A421&gt;TOMATO_BED_CAP,$B421&gt;CARROT_BED_CAP,F$4&gt;MESCLUN_BED_CAP,$A421+$B421+F$4&gt;TOTAL_BEDS_AVAILABLE,($D421+F$5)&gt;TOTAL_LABOR_HOURS_CAP,MAX(0,($D421+F$5)-PERMANENT_FIELD_LABOR_HOURS)&gt;TEMP_HOURS_CAP),"",$C421+F$6-MIN(($D421+F$5),PERMANENT_FIELD_LABOR_HOURS)*PERMANENT_HOURLY_RATE-MAX(0,($D421+F$5)-PERMANENT_FIELD_LABOR_HOURS)*TEMP_HOURLY_RATE-FIXED_SEASON_COST)</f>
        <v/>
      </c>
      <c r="G421" s="53" t="str">
        <f aca="false">IF(OR($A421&gt;TOMATO_BED_CAP,$B421&gt;CARROT_BED_CAP,G$4&gt;MESCLUN_BED_CAP,$A421+$B421+G$4&gt;TOTAL_BEDS_AVAILABLE,($D421+G$5)&gt;TOTAL_LABOR_HOURS_CAP,MAX(0,($D421+G$5)-PERMANENT_FIELD_LABOR_HOURS)&gt;TEMP_HOURS_CAP),"",$C421+G$6-MIN(($D421+G$5),PERMANENT_FIELD_LABOR_HOURS)*PERMANENT_HOURLY_RATE-MAX(0,($D421+G$5)-PERMANENT_FIELD_LABOR_HOURS)*TEMP_HOURLY_RATE-FIXED_SEASON_COST)</f>
        <v/>
      </c>
      <c r="H421" s="53" t="str">
        <f aca="false">IF(OR($A421&gt;TOMATO_BED_CAP,$B421&gt;CARROT_BED_CAP,H$4&gt;MESCLUN_BED_CAP,$A421+$B421+H$4&gt;TOTAL_BEDS_AVAILABLE,($D421+H$5)&gt;TOTAL_LABOR_HOURS_CAP,MAX(0,($D421+H$5)-PERMANENT_FIELD_LABOR_HOURS)&gt;TEMP_HOURS_CAP),"",$C421+H$6-MIN(($D421+H$5),PERMANENT_FIELD_LABOR_HOURS)*PERMANENT_HOURLY_RATE-MAX(0,($D421+H$5)-PERMANENT_FIELD_LABOR_HOURS)*TEMP_HOURLY_RATE-FIXED_SEASON_COST)</f>
        <v/>
      </c>
      <c r="I421" s="53" t="str">
        <f aca="false">IF(OR($A421&gt;TOMATO_BED_CAP,$B421&gt;CARROT_BED_CAP,I$4&gt;MESCLUN_BED_CAP,$A421+$B421+I$4&gt;TOTAL_BEDS_AVAILABLE,($D421+I$5)&gt;TOTAL_LABOR_HOURS_CAP,MAX(0,($D421+I$5)-PERMANENT_FIELD_LABOR_HOURS)&gt;TEMP_HOURS_CAP),"",$C421+I$6-MIN(($D421+I$5),PERMANENT_FIELD_LABOR_HOURS)*PERMANENT_HOURLY_RATE-MAX(0,($D421+I$5)-PERMANENT_FIELD_LABOR_HOURS)*TEMP_HOURLY_RATE-FIXED_SEASON_COST)</f>
        <v/>
      </c>
      <c r="J421" s="53" t="str">
        <f aca="false">IF(OR($A421&gt;TOMATO_BED_CAP,$B421&gt;CARROT_BED_CAP,J$4&gt;MESCLUN_BED_CAP,$A421+$B421+J$4&gt;TOTAL_BEDS_AVAILABLE,($D421+J$5)&gt;TOTAL_LABOR_HOURS_CAP,MAX(0,($D421+J$5)-PERMANENT_FIELD_LABOR_HOURS)&gt;TEMP_HOURS_CAP),"",$C421+J$6-MIN(($D421+J$5),PERMANENT_FIELD_LABOR_HOURS)*PERMANENT_HOURLY_RATE-MAX(0,($D421+J$5)-PERMANENT_FIELD_LABOR_HOURS)*TEMP_HOURLY_RATE-FIXED_SEASON_COST)</f>
        <v/>
      </c>
      <c r="K421" s="53" t="str">
        <f aca="false">IF(OR($A421&gt;TOMATO_BED_CAP,$B421&gt;CARROT_BED_CAP,K$4&gt;MESCLUN_BED_CAP,$A421+$B421+K$4&gt;TOTAL_BEDS_AVAILABLE,($D421+K$5)&gt;TOTAL_LABOR_HOURS_CAP,MAX(0,($D421+K$5)-PERMANENT_FIELD_LABOR_HOURS)&gt;TEMP_HOURS_CAP),"",$C421+K$6-MIN(($D421+K$5),PERMANENT_FIELD_LABOR_HOURS)*PERMANENT_HOURLY_RATE-MAX(0,($D421+K$5)-PERMANENT_FIELD_LABOR_HOURS)*TEMP_HOURLY_RATE-FIXED_SEASON_COST)</f>
        <v/>
      </c>
      <c r="L421" s="53" t="str">
        <f aca="false">IF(OR($A421&gt;TOMATO_BED_CAP,$B421&gt;CARROT_BED_CAP,L$4&gt;MESCLUN_BED_CAP,$A421+$B421+L$4&gt;TOTAL_BEDS_AVAILABLE,($D421+L$5)&gt;TOTAL_LABOR_HOURS_CAP,MAX(0,($D421+L$5)-PERMANENT_FIELD_LABOR_HOURS)&gt;TEMP_HOURS_CAP),"",$C421+L$6-MIN(($D421+L$5),PERMANENT_FIELD_LABOR_HOURS)*PERMANENT_HOURLY_RATE-MAX(0,($D421+L$5)-PERMANENT_FIELD_LABOR_HOURS)*TEMP_HOURLY_RATE-FIXED_SEASON_COST)</f>
        <v/>
      </c>
      <c r="M421" s="53" t="str">
        <f aca="false">IF(OR($A421&gt;TOMATO_BED_CAP,$B421&gt;CARROT_BED_CAP,M$4&gt;MESCLUN_BED_CAP,$A421+$B421+M$4&gt;TOTAL_BEDS_AVAILABLE,($D421+M$5)&gt;TOTAL_LABOR_HOURS_CAP,MAX(0,($D421+M$5)-PERMANENT_FIELD_LABOR_HOURS)&gt;TEMP_HOURS_CAP),"",$C421+M$6-MIN(($D421+M$5),PERMANENT_FIELD_LABOR_HOURS)*PERMANENT_HOURLY_RATE-MAX(0,($D421+M$5)-PERMANENT_FIELD_LABOR_HOURS)*TEMP_HOURLY_RATE-FIXED_SEASON_COST)</f>
        <v/>
      </c>
      <c r="N421" s="53" t="str">
        <f aca="false">IF(OR($A421&gt;TOMATO_BED_CAP,$B421&gt;CARROT_BED_CAP,N$4&gt;MESCLUN_BED_CAP,$A421+$B421+N$4&gt;TOTAL_BEDS_AVAILABLE,($D421+N$5)&gt;TOTAL_LABOR_HOURS_CAP,MAX(0,($D421+N$5)-PERMANENT_FIELD_LABOR_HOURS)&gt;TEMP_HOURS_CAP),"",$C421+N$6-MIN(($D421+N$5),PERMANENT_FIELD_LABOR_HOURS)*PERMANENT_HOURLY_RATE-MAX(0,($D421+N$5)-PERMANENT_FIELD_LABOR_HOURS)*TEMP_HOURLY_RATE-FIXED_SEASON_COST)</f>
        <v/>
      </c>
      <c r="O421" s="53" t="str">
        <f aca="false">IF(OR($A421&gt;TOMATO_BED_CAP,$B421&gt;CARROT_BED_CAP,O$4&gt;MESCLUN_BED_CAP,$A421+$B421+O$4&gt;TOTAL_BEDS_AVAILABLE,($D421+O$5)&gt;TOTAL_LABOR_HOURS_CAP,MAX(0,($D421+O$5)-PERMANENT_FIELD_LABOR_HOURS)&gt;TEMP_HOURS_CAP),"",$C421+O$6-MIN(($D421+O$5),PERMANENT_FIELD_LABOR_HOURS)*PERMANENT_HOURLY_RATE-MAX(0,($D421+O$5)-PERMANENT_FIELD_LABOR_HOURS)*TEMP_HOURLY_RATE-FIXED_SEASON_COST)</f>
        <v/>
      </c>
      <c r="P421" s="53" t="str">
        <f aca="false">IF(OR($A421&gt;TOMATO_BED_CAP,$B421&gt;CARROT_BED_CAP,P$4&gt;MESCLUN_BED_CAP,$A421+$B421+P$4&gt;TOTAL_BEDS_AVAILABLE,($D421+P$5)&gt;TOTAL_LABOR_HOURS_CAP,MAX(0,($D421+P$5)-PERMANENT_FIELD_LABOR_HOURS)&gt;TEMP_HOURS_CAP),"",$C421+P$6-MIN(($D421+P$5),PERMANENT_FIELD_LABOR_HOURS)*PERMANENT_HOURLY_RATE-MAX(0,($D421+P$5)-PERMANENT_FIELD_LABOR_HOURS)*TEMP_HOURLY_RATE-FIXED_SEASON_COST)</f>
        <v/>
      </c>
      <c r="Q421" s="53" t="str">
        <f aca="false">IF(OR($A421&gt;TOMATO_BED_CAP,$B421&gt;CARROT_BED_CAP,Q$4&gt;MESCLUN_BED_CAP,$A421+$B421+Q$4&gt;TOTAL_BEDS_AVAILABLE,($D421+Q$5)&gt;TOTAL_LABOR_HOURS_CAP,MAX(0,($D421+Q$5)-PERMANENT_FIELD_LABOR_HOURS)&gt;TEMP_HOURS_CAP),"",$C421+Q$6-MIN(($D421+Q$5),PERMANENT_FIELD_LABOR_HOURS)*PERMANENT_HOURLY_RATE-MAX(0,($D421+Q$5)-PERMANENT_FIELD_LABOR_HOURS)*TEMP_HOURLY_RATE-FIXED_SEASON_COST)</f>
        <v/>
      </c>
      <c r="R421" s="53" t="str">
        <f aca="false">IF(OR($A421&gt;TOMATO_BED_CAP,$B421&gt;CARROT_BED_CAP,R$4&gt;MESCLUN_BED_CAP,$A421+$B421+R$4&gt;TOTAL_BEDS_AVAILABLE,($D421+R$5)&gt;TOTAL_LABOR_HOURS_CAP,MAX(0,($D421+R$5)-PERMANENT_FIELD_LABOR_HOURS)&gt;TEMP_HOURS_CAP),"",$C421+R$6-MIN(($D421+R$5),PERMANENT_FIELD_LABOR_HOURS)*PERMANENT_HOURLY_RATE-MAX(0,($D421+R$5)-PERMANENT_FIELD_LABOR_HOURS)*TEMP_HOURLY_RATE-FIXED_SEASON_COST)</f>
        <v/>
      </c>
      <c r="S421" s="53" t="str">
        <f aca="false">IF(OR($A421&gt;TOMATO_BED_CAP,$B421&gt;CARROT_BED_CAP,S$4&gt;MESCLUN_BED_CAP,$A421+$B421+S$4&gt;TOTAL_BEDS_AVAILABLE,($D421+S$5)&gt;TOTAL_LABOR_HOURS_CAP,MAX(0,($D421+S$5)-PERMANENT_FIELD_LABOR_HOURS)&gt;TEMP_HOURS_CAP),"",$C421+S$6-MIN(($D421+S$5),PERMANENT_FIELD_LABOR_HOURS)*PERMANENT_HOURLY_RATE-MAX(0,($D421+S$5)-PERMANENT_FIELD_LABOR_HOURS)*TEMP_HOURLY_RATE-FIXED_SEASON_COST)</f>
        <v/>
      </c>
      <c r="T421" s="53" t="str">
        <f aca="false">IF(OR($A421&gt;TOMATO_BED_CAP,$B421&gt;CARROT_BED_CAP,T$4&gt;MESCLUN_BED_CAP,$A421+$B421+T$4&gt;TOTAL_BEDS_AVAILABLE,($D421+T$5)&gt;TOTAL_LABOR_HOURS_CAP,MAX(0,($D421+T$5)-PERMANENT_FIELD_LABOR_HOURS)&gt;TEMP_HOURS_CAP),"",$C421+T$6-MIN(($D421+T$5),PERMANENT_FIELD_LABOR_HOURS)*PERMANENT_HOURLY_RATE-MAX(0,($D421+T$5)-PERMANENT_FIELD_LABOR_HOURS)*TEMP_HOURLY_RATE-FIXED_SEASON_COST)</f>
        <v/>
      </c>
      <c r="U421" s="53" t="str">
        <f aca="false">IF(OR($A421&gt;TOMATO_BED_CAP,$B421&gt;CARROT_BED_CAP,U$4&gt;MESCLUN_BED_CAP,$A421+$B421+U$4&gt;TOTAL_BEDS_AVAILABLE,($D421+U$5)&gt;TOTAL_LABOR_HOURS_CAP,MAX(0,($D421+U$5)-PERMANENT_FIELD_LABOR_HOURS)&gt;TEMP_HOURS_CAP),"",$C421+U$6-MIN(($D421+U$5),PERMANENT_FIELD_LABOR_HOURS)*PERMANENT_HOURLY_RATE-MAX(0,($D421+U$5)-PERMANENT_FIELD_LABOR_HOURS)*TEMP_HOURLY_RATE-FIXED_SEASON_COST)</f>
        <v/>
      </c>
      <c r="V421" s="53" t="str">
        <f aca="false">IF(OR($A421&gt;TOMATO_BED_CAP,$B421&gt;CARROT_BED_CAP,V$4&gt;MESCLUN_BED_CAP,$A421+$B421+V$4&gt;TOTAL_BEDS_AVAILABLE,($D421+V$5)&gt;TOTAL_LABOR_HOURS_CAP,MAX(0,($D421+V$5)-PERMANENT_FIELD_LABOR_HOURS)&gt;TEMP_HOURS_CAP),"",$C421+V$6-MIN(($D421+V$5),PERMANENT_FIELD_LABOR_HOURS)*PERMANENT_HOURLY_RATE-MAX(0,($D421+V$5)-PERMANENT_FIELD_LABOR_HOURS)*TEMP_HOURLY_RATE-FIXED_SEASON_COST)</f>
        <v/>
      </c>
      <c r="W421" s="53" t="str">
        <f aca="false">IF(OR($A421&gt;TOMATO_BED_CAP,$B421&gt;CARROT_BED_CAP,W$4&gt;MESCLUN_BED_CAP,$A421+$B421+W$4&gt;TOTAL_BEDS_AVAILABLE,($D421+W$5)&gt;TOTAL_LABOR_HOURS_CAP,MAX(0,($D421+W$5)-PERMANENT_FIELD_LABOR_HOURS)&gt;TEMP_HOURS_CAP),"",$C421+W$6-MIN(($D421+W$5),PERMANENT_FIELD_LABOR_HOURS)*PERMANENT_HOURLY_RATE-MAX(0,($D421+W$5)-PERMANENT_FIELD_LABOR_HOURS)*TEMP_HOURLY_RATE-FIXED_SEASON_COST)</f>
        <v/>
      </c>
      <c r="X421" s="53" t="str">
        <f aca="false">IF(OR($A421&gt;TOMATO_BED_CAP,$B421&gt;CARROT_BED_CAP,X$4&gt;MESCLUN_BED_CAP,$A421+$B421+X$4&gt;TOTAL_BEDS_AVAILABLE,($D421+X$5)&gt;TOTAL_LABOR_HOURS_CAP,MAX(0,($D421+X$5)-PERMANENT_FIELD_LABOR_HOURS)&gt;TEMP_HOURS_CAP),"",$C421+X$6-MIN(($D421+X$5),PERMANENT_FIELD_LABOR_HOURS)*PERMANENT_HOURLY_RATE-MAX(0,($D421+X$5)-PERMANENT_FIELD_LABOR_HOURS)*TEMP_HOURLY_RATE-FIXED_SEASON_COST)</f>
        <v/>
      </c>
      <c r="Y421" s="53" t="str">
        <f aca="false">IF(OR($A421&gt;TOMATO_BED_CAP,$B421&gt;CARROT_BED_CAP,Y$4&gt;MESCLUN_BED_CAP,$A421+$B421+Y$4&gt;TOTAL_BEDS_AVAILABLE,($D421+Y$5)&gt;TOTAL_LABOR_HOURS_CAP,MAX(0,($D421+Y$5)-PERMANENT_FIELD_LABOR_HOURS)&gt;TEMP_HOURS_CAP),"",$C421+Y$6-MIN(($D421+Y$5),PERMANENT_FIELD_LABOR_HOURS)*PERMANENT_HOURLY_RATE-MAX(0,($D421+Y$5)-PERMANENT_FIELD_LABOR_HOURS)*TEMP_HOURLY_RATE-FIXED_SEASON_COST)</f>
        <v/>
      </c>
      <c r="Z421" s="53" t="str">
        <f aca="false">IF(OR($A421&gt;TOMATO_BED_CAP,$B421&gt;CARROT_BED_CAP,Z$4&gt;MESCLUN_BED_CAP,$A421+$B421+Z$4&gt;TOTAL_BEDS_AVAILABLE,($D421+Z$5)&gt;TOTAL_LABOR_HOURS_CAP,MAX(0,($D421+Z$5)-PERMANENT_FIELD_LABOR_HOURS)&gt;TEMP_HOURS_CAP),"",$C421+Z$6-MIN(($D421+Z$5),PERMANENT_FIELD_LABOR_HOURS)*PERMANENT_HOURLY_RATE-MAX(0,($D421+Z$5)-PERMANENT_FIELD_LABOR_HOURS)*TEMP_HOURLY_RATE-FIXED_SEASON_COST)</f>
        <v/>
      </c>
      <c r="AA421" s="53" t="str">
        <f aca="false">IF(OR($A421&gt;TOMATO_BED_CAP,$B421&gt;CARROT_BED_CAP,AA$4&gt;MESCLUN_BED_CAP,$A421+$B421+AA$4&gt;TOTAL_BEDS_AVAILABLE,($D421+AA$5)&gt;TOTAL_LABOR_HOURS_CAP,MAX(0,($D421+AA$5)-PERMANENT_FIELD_LABOR_HOURS)&gt;TEMP_HOURS_CAP),"",$C421+AA$6-MIN(($D421+AA$5),PERMANENT_FIELD_LABOR_HOURS)*PERMANENT_HOURLY_RATE-MAX(0,($D421+AA$5)-PERMANENT_FIELD_LABOR_HOURS)*TEMP_HOURLY_RATE-FIXED_SEASON_COST)</f>
        <v/>
      </c>
      <c r="AB421" s="53" t="str">
        <f aca="false">IF(OR($A421&gt;TOMATO_BED_CAP,$B421&gt;CARROT_BED_CAP,AB$4&gt;MESCLUN_BED_CAP,$A421+$B421+AB$4&gt;TOTAL_BEDS_AVAILABLE,($D421+AB$5)&gt;TOTAL_LABOR_HOURS_CAP,MAX(0,($D421+AB$5)-PERMANENT_FIELD_LABOR_HOURS)&gt;TEMP_HOURS_CAP),"",$C421+AB$6-MIN(($D421+AB$5),PERMANENT_FIELD_LABOR_HOURS)*PERMANENT_HOURLY_RATE-MAX(0,($D421+AB$5)-PERMANENT_FIELD_LABOR_HOURS)*TEMP_HOURLY_RATE-FIXED_SEASON_COST)</f>
        <v/>
      </c>
      <c r="AC421" s="53" t="str">
        <f aca="false">IF(OR($A421&gt;TOMATO_BED_CAP,$B421&gt;CARROT_BED_CAP,AC$4&gt;MESCLUN_BED_CAP,$A421+$B421+AC$4&gt;TOTAL_BEDS_AVAILABLE,($D421+AC$5)&gt;TOTAL_LABOR_HOURS_CAP,MAX(0,($D421+AC$5)-PERMANENT_FIELD_LABOR_HOURS)&gt;TEMP_HOURS_CAP),"",$C421+AC$6-MIN(($D421+AC$5),PERMANENT_FIELD_LABOR_HOURS)*PERMANENT_HOURLY_RATE-MAX(0,($D421+AC$5)-PERMANENT_FIELD_LABOR_HOURS)*TEMP_HOURLY_RATE-FIXED_SEASON_COST)</f>
        <v/>
      </c>
      <c r="AD421" s="53" t="str">
        <f aca="false">IF(OR($A421&gt;TOMATO_BED_CAP,$B421&gt;CARROT_BED_CAP,AD$4&gt;MESCLUN_BED_CAP,$A421+$B421+AD$4&gt;TOTAL_BEDS_AVAILABLE,($D421+AD$5)&gt;TOTAL_LABOR_HOURS_CAP,MAX(0,($D421+AD$5)-PERMANENT_FIELD_LABOR_HOURS)&gt;TEMP_HOURS_CAP),"",$C421+AD$6-MIN(($D421+AD$5),PERMANENT_FIELD_LABOR_HOURS)*PERMANENT_HOURLY_RATE-MAX(0,($D421+AD$5)-PERMANENT_FIELD_LABOR_HOURS)*TEMP_HOURLY_RATE-FIXED_SEASON_COST)</f>
        <v/>
      </c>
      <c r="AE421" s="53" t="str">
        <f aca="false">IF(OR($A421&gt;TOMATO_BED_CAP,$B421&gt;CARROT_BED_CAP,AE$4&gt;MESCLUN_BED_CAP,$A421+$B421+AE$4&gt;TOTAL_BEDS_AVAILABLE,($D421+AE$5)&gt;TOTAL_LABOR_HOURS_CAP,MAX(0,($D421+AE$5)-PERMANENT_FIELD_LABOR_HOURS)&gt;TEMP_HOURS_CAP),"",$C421+AE$6-MIN(($D421+AE$5),PERMANENT_FIELD_LABOR_HOURS)*PERMANENT_HOURLY_RATE-MAX(0,($D421+AE$5)-PERMANENT_FIELD_LABOR_HOURS)*TEMP_HOURLY_RATE-FIXED_SEASON_COST)</f>
        <v/>
      </c>
      <c r="AF421" s="53" t="str">
        <f aca="false">IF(OR($A421&gt;TOMATO_BED_CAP,$B421&gt;CARROT_BED_CAP,AF$4&gt;MESCLUN_BED_CAP,$A421+$B421+AF$4&gt;TOTAL_BEDS_AVAILABLE,($D421+AF$5)&gt;TOTAL_LABOR_HOURS_CAP,MAX(0,($D421+AF$5)-PERMANENT_FIELD_LABOR_HOURS)&gt;TEMP_HOURS_CAP),"",$C421+AF$6-MIN(($D421+AF$5),PERMANENT_FIELD_LABOR_HOURS)*PERMANENT_HOURLY_RATE-MAX(0,($D421+AF$5)-PERMANENT_FIELD_LABOR_HOURS)*TEMP_HOURLY_RATE-FIXED_SEASON_COST)</f>
        <v/>
      </c>
      <c r="AG421" s="53" t="str">
        <f aca="false">IF(OR($A421&gt;TOMATO_BED_CAP,$B421&gt;CARROT_BED_CAP,AG$4&gt;MESCLUN_BED_CAP,$A421+$B421+AG$4&gt;TOTAL_BEDS_AVAILABLE,($D421+AG$5)&gt;TOTAL_LABOR_HOURS_CAP,MAX(0,($D421+AG$5)-PERMANENT_FIELD_LABOR_HOURS)&gt;TEMP_HOURS_CAP),"",$C421+AG$6-MIN(($D421+AG$5),PERMANENT_FIELD_LABOR_HOURS)*PERMANENT_HOURLY_RATE-MAX(0,($D421+AG$5)-PERMANENT_FIELD_LABOR_HOURS)*TEMP_HOURLY_RATE-FIXED_SEASON_COST)</f>
        <v/>
      </c>
      <c r="AH421" s="53" t="str">
        <f aca="false">IF(OR($A421&gt;TOMATO_BED_CAP,$B421&gt;CARROT_BED_CAP,AH$4&gt;MESCLUN_BED_CAP,$A421+$B421+AH$4&gt;TOTAL_BEDS_AVAILABLE,($D421+AH$5)&gt;TOTAL_LABOR_HOURS_CAP,MAX(0,($D421+AH$5)-PERMANENT_FIELD_LABOR_HOURS)&gt;TEMP_HOURS_CAP),"",$C421+AH$6-MIN(($D421+AH$5),PERMANENT_FIELD_LABOR_HOURS)*PERMANENT_HOURLY_RATE-MAX(0,($D421+AH$5)-PERMANENT_FIELD_LABOR_HOURS)*TEMP_HOURLY_RATE-FIXED_SEASON_COST)</f>
        <v/>
      </c>
      <c r="AI421" s="53" t="str">
        <f aca="false">IF(OR($A421&gt;TOMATO_BED_CAP,$B421&gt;CARROT_BED_CAP,AI$4&gt;MESCLUN_BED_CAP,$A421+$B421+AI$4&gt;TOTAL_BEDS_AVAILABLE,($D421+AI$5)&gt;TOTAL_LABOR_HOURS_CAP,MAX(0,($D421+AI$5)-PERMANENT_FIELD_LABOR_HOURS)&gt;TEMP_HOURS_CAP),"",$C421+AI$6-MIN(($D421+AI$5),PERMANENT_FIELD_LABOR_HOURS)*PERMANENT_HOURLY_RATE-MAX(0,($D421+AI$5)-PERMANENT_FIELD_LABOR_HOURS)*TEMP_HOURLY_RATE-FIXED_SEASON_COST)</f>
        <v/>
      </c>
      <c r="AJ421" s="53" t="str">
        <f aca="false">IF(OR($A421&gt;TOMATO_BED_CAP,$B421&gt;CARROT_BED_CAP,AJ$4&gt;MESCLUN_BED_CAP,$A421+$B421+AJ$4&gt;TOTAL_BEDS_AVAILABLE,($D421+AJ$5)&gt;TOTAL_LABOR_HOURS_CAP,MAX(0,($D421+AJ$5)-PERMANENT_FIELD_LABOR_HOURS)&gt;TEMP_HOURS_CAP),"",$C421+AJ$6-MIN(($D421+AJ$5),PERMANENT_FIELD_LABOR_HOURS)*PERMANENT_HOURLY_RATE-MAX(0,($D421+AJ$5)-PERMANENT_FIELD_LABOR_HOURS)*TEMP_HOURLY_RATE-FIXED_SEASON_COST)</f>
        <v/>
      </c>
    </row>
    <row r="422" customFormat="false" ht="15" hidden="false" customHeight="false" outlineLevel="0" collapsed="false">
      <c r="A422" s="21" t="n">
        <f aca="false">INT((ROW()-ROW($A$8))/(20+1))</f>
        <v>19</v>
      </c>
      <c r="B422" s="21" t="n">
        <f aca="false">MOD(ROW()-ROW($A$8),20+1)</f>
        <v>15</v>
      </c>
      <c r="C422" s="13" t="n">
        <f aca="false">A422*(TOMATO_REVENUE_PER_BED-TOMATO_FERTILIZER_PER_BED)+B422*(CARROT_REVENUE_PER_BED-CARROT_FERTILIZER_PER_BED)</f>
        <v>175290</v>
      </c>
      <c r="D422" s="14" t="n">
        <f aca="false">INDEX(TOMATO_SCHED_LABOR_HRS,A422+1)+INDEX(CARROT_SCHED_LABOR_HRS,B422+1)</f>
        <v>11109.6779479331</v>
      </c>
      <c r="E422" s="13" t="str">
        <f aca="false">IF(COUNT(F422:AJ422)=0,"",MAX(F422:AJ422))</f>
        <v/>
      </c>
      <c r="F422" s="53" t="str">
        <f aca="false">IF(OR($A422&gt;TOMATO_BED_CAP,$B422&gt;CARROT_BED_CAP,F$4&gt;MESCLUN_BED_CAP,$A422+$B422+F$4&gt;TOTAL_BEDS_AVAILABLE,($D422+F$5)&gt;TOTAL_LABOR_HOURS_CAP,MAX(0,($D422+F$5)-PERMANENT_FIELD_LABOR_HOURS)&gt;TEMP_HOURS_CAP),"",$C422+F$6-MIN(($D422+F$5),PERMANENT_FIELD_LABOR_HOURS)*PERMANENT_HOURLY_RATE-MAX(0,($D422+F$5)-PERMANENT_FIELD_LABOR_HOURS)*TEMP_HOURLY_RATE-FIXED_SEASON_COST)</f>
        <v/>
      </c>
      <c r="G422" s="53" t="str">
        <f aca="false">IF(OR($A422&gt;TOMATO_BED_CAP,$B422&gt;CARROT_BED_CAP,G$4&gt;MESCLUN_BED_CAP,$A422+$B422+G$4&gt;TOTAL_BEDS_AVAILABLE,($D422+G$5)&gt;TOTAL_LABOR_HOURS_CAP,MAX(0,($D422+G$5)-PERMANENT_FIELD_LABOR_HOURS)&gt;TEMP_HOURS_CAP),"",$C422+G$6-MIN(($D422+G$5),PERMANENT_FIELD_LABOR_HOURS)*PERMANENT_HOURLY_RATE-MAX(0,($D422+G$5)-PERMANENT_FIELD_LABOR_HOURS)*TEMP_HOURLY_RATE-FIXED_SEASON_COST)</f>
        <v/>
      </c>
      <c r="H422" s="53" t="str">
        <f aca="false">IF(OR($A422&gt;TOMATO_BED_CAP,$B422&gt;CARROT_BED_CAP,H$4&gt;MESCLUN_BED_CAP,$A422+$B422+H$4&gt;TOTAL_BEDS_AVAILABLE,($D422+H$5)&gt;TOTAL_LABOR_HOURS_CAP,MAX(0,($D422+H$5)-PERMANENT_FIELD_LABOR_HOURS)&gt;TEMP_HOURS_CAP),"",$C422+H$6-MIN(($D422+H$5),PERMANENT_FIELD_LABOR_HOURS)*PERMANENT_HOURLY_RATE-MAX(0,($D422+H$5)-PERMANENT_FIELD_LABOR_HOURS)*TEMP_HOURLY_RATE-FIXED_SEASON_COST)</f>
        <v/>
      </c>
      <c r="I422" s="53" t="str">
        <f aca="false">IF(OR($A422&gt;TOMATO_BED_CAP,$B422&gt;CARROT_BED_CAP,I$4&gt;MESCLUN_BED_CAP,$A422+$B422+I$4&gt;TOTAL_BEDS_AVAILABLE,($D422+I$5)&gt;TOTAL_LABOR_HOURS_CAP,MAX(0,($D422+I$5)-PERMANENT_FIELD_LABOR_HOURS)&gt;TEMP_HOURS_CAP),"",$C422+I$6-MIN(($D422+I$5),PERMANENT_FIELD_LABOR_HOURS)*PERMANENT_HOURLY_RATE-MAX(0,($D422+I$5)-PERMANENT_FIELD_LABOR_HOURS)*TEMP_HOURLY_RATE-FIXED_SEASON_COST)</f>
        <v/>
      </c>
      <c r="J422" s="53" t="str">
        <f aca="false">IF(OR($A422&gt;TOMATO_BED_CAP,$B422&gt;CARROT_BED_CAP,J$4&gt;MESCLUN_BED_CAP,$A422+$B422+J$4&gt;TOTAL_BEDS_AVAILABLE,($D422+J$5)&gt;TOTAL_LABOR_HOURS_CAP,MAX(0,($D422+J$5)-PERMANENT_FIELD_LABOR_HOURS)&gt;TEMP_HOURS_CAP),"",$C422+J$6-MIN(($D422+J$5),PERMANENT_FIELD_LABOR_HOURS)*PERMANENT_HOURLY_RATE-MAX(0,($D422+J$5)-PERMANENT_FIELD_LABOR_HOURS)*TEMP_HOURLY_RATE-FIXED_SEASON_COST)</f>
        <v/>
      </c>
      <c r="K422" s="53" t="str">
        <f aca="false">IF(OR($A422&gt;TOMATO_BED_CAP,$B422&gt;CARROT_BED_CAP,K$4&gt;MESCLUN_BED_CAP,$A422+$B422+K$4&gt;TOTAL_BEDS_AVAILABLE,($D422+K$5)&gt;TOTAL_LABOR_HOURS_CAP,MAX(0,($D422+K$5)-PERMANENT_FIELD_LABOR_HOURS)&gt;TEMP_HOURS_CAP),"",$C422+K$6-MIN(($D422+K$5),PERMANENT_FIELD_LABOR_HOURS)*PERMANENT_HOURLY_RATE-MAX(0,($D422+K$5)-PERMANENT_FIELD_LABOR_HOURS)*TEMP_HOURLY_RATE-FIXED_SEASON_COST)</f>
        <v/>
      </c>
      <c r="L422" s="53" t="str">
        <f aca="false">IF(OR($A422&gt;TOMATO_BED_CAP,$B422&gt;CARROT_BED_CAP,L$4&gt;MESCLUN_BED_CAP,$A422+$B422+L$4&gt;TOTAL_BEDS_AVAILABLE,($D422+L$5)&gt;TOTAL_LABOR_HOURS_CAP,MAX(0,($D422+L$5)-PERMANENT_FIELD_LABOR_HOURS)&gt;TEMP_HOURS_CAP),"",$C422+L$6-MIN(($D422+L$5),PERMANENT_FIELD_LABOR_HOURS)*PERMANENT_HOURLY_RATE-MAX(0,($D422+L$5)-PERMANENT_FIELD_LABOR_HOURS)*TEMP_HOURLY_RATE-FIXED_SEASON_COST)</f>
        <v/>
      </c>
      <c r="M422" s="53" t="str">
        <f aca="false">IF(OR($A422&gt;TOMATO_BED_CAP,$B422&gt;CARROT_BED_CAP,M$4&gt;MESCLUN_BED_CAP,$A422+$B422+M$4&gt;TOTAL_BEDS_AVAILABLE,($D422+M$5)&gt;TOTAL_LABOR_HOURS_CAP,MAX(0,($D422+M$5)-PERMANENT_FIELD_LABOR_HOURS)&gt;TEMP_HOURS_CAP),"",$C422+M$6-MIN(($D422+M$5),PERMANENT_FIELD_LABOR_HOURS)*PERMANENT_HOURLY_RATE-MAX(0,($D422+M$5)-PERMANENT_FIELD_LABOR_HOURS)*TEMP_HOURLY_RATE-FIXED_SEASON_COST)</f>
        <v/>
      </c>
      <c r="N422" s="53" t="str">
        <f aca="false">IF(OR($A422&gt;TOMATO_BED_CAP,$B422&gt;CARROT_BED_CAP,N$4&gt;MESCLUN_BED_CAP,$A422+$B422+N$4&gt;TOTAL_BEDS_AVAILABLE,($D422+N$5)&gt;TOTAL_LABOR_HOURS_CAP,MAX(0,($D422+N$5)-PERMANENT_FIELD_LABOR_HOURS)&gt;TEMP_HOURS_CAP),"",$C422+N$6-MIN(($D422+N$5),PERMANENT_FIELD_LABOR_HOURS)*PERMANENT_HOURLY_RATE-MAX(0,($D422+N$5)-PERMANENT_FIELD_LABOR_HOURS)*TEMP_HOURLY_RATE-FIXED_SEASON_COST)</f>
        <v/>
      </c>
      <c r="O422" s="53" t="str">
        <f aca="false">IF(OR($A422&gt;TOMATO_BED_CAP,$B422&gt;CARROT_BED_CAP,O$4&gt;MESCLUN_BED_CAP,$A422+$B422+O$4&gt;TOTAL_BEDS_AVAILABLE,($D422+O$5)&gt;TOTAL_LABOR_HOURS_CAP,MAX(0,($D422+O$5)-PERMANENT_FIELD_LABOR_HOURS)&gt;TEMP_HOURS_CAP),"",$C422+O$6-MIN(($D422+O$5),PERMANENT_FIELD_LABOR_HOURS)*PERMANENT_HOURLY_RATE-MAX(0,($D422+O$5)-PERMANENT_FIELD_LABOR_HOURS)*TEMP_HOURLY_RATE-FIXED_SEASON_COST)</f>
        <v/>
      </c>
      <c r="P422" s="53" t="str">
        <f aca="false">IF(OR($A422&gt;TOMATO_BED_CAP,$B422&gt;CARROT_BED_CAP,P$4&gt;MESCLUN_BED_CAP,$A422+$B422+P$4&gt;TOTAL_BEDS_AVAILABLE,($D422+P$5)&gt;TOTAL_LABOR_HOURS_CAP,MAX(0,($D422+P$5)-PERMANENT_FIELD_LABOR_HOURS)&gt;TEMP_HOURS_CAP),"",$C422+P$6-MIN(($D422+P$5),PERMANENT_FIELD_LABOR_HOURS)*PERMANENT_HOURLY_RATE-MAX(0,($D422+P$5)-PERMANENT_FIELD_LABOR_HOURS)*TEMP_HOURLY_RATE-FIXED_SEASON_COST)</f>
        <v/>
      </c>
      <c r="Q422" s="53" t="str">
        <f aca="false">IF(OR($A422&gt;TOMATO_BED_CAP,$B422&gt;CARROT_BED_CAP,Q$4&gt;MESCLUN_BED_CAP,$A422+$B422+Q$4&gt;TOTAL_BEDS_AVAILABLE,($D422+Q$5)&gt;TOTAL_LABOR_HOURS_CAP,MAX(0,($D422+Q$5)-PERMANENT_FIELD_LABOR_HOURS)&gt;TEMP_HOURS_CAP),"",$C422+Q$6-MIN(($D422+Q$5),PERMANENT_FIELD_LABOR_HOURS)*PERMANENT_HOURLY_RATE-MAX(0,($D422+Q$5)-PERMANENT_FIELD_LABOR_HOURS)*TEMP_HOURLY_RATE-FIXED_SEASON_COST)</f>
        <v/>
      </c>
      <c r="R422" s="53" t="str">
        <f aca="false">IF(OR($A422&gt;TOMATO_BED_CAP,$B422&gt;CARROT_BED_CAP,R$4&gt;MESCLUN_BED_CAP,$A422+$B422+R$4&gt;TOTAL_BEDS_AVAILABLE,($D422+R$5)&gt;TOTAL_LABOR_HOURS_CAP,MAX(0,($D422+R$5)-PERMANENT_FIELD_LABOR_HOURS)&gt;TEMP_HOURS_CAP),"",$C422+R$6-MIN(($D422+R$5),PERMANENT_FIELD_LABOR_HOURS)*PERMANENT_HOURLY_RATE-MAX(0,($D422+R$5)-PERMANENT_FIELD_LABOR_HOURS)*TEMP_HOURLY_RATE-FIXED_SEASON_COST)</f>
        <v/>
      </c>
      <c r="S422" s="53" t="str">
        <f aca="false">IF(OR($A422&gt;TOMATO_BED_CAP,$B422&gt;CARROT_BED_CAP,S$4&gt;MESCLUN_BED_CAP,$A422+$B422+S$4&gt;TOTAL_BEDS_AVAILABLE,($D422+S$5)&gt;TOTAL_LABOR_HOURS_CAP,MAX(0,($D422+S$5)-PERMANENT_FIELD_LABOR_HOURS)&gt;TEMP_HOURS_CAP),"",$C422+S$6-MIN(($D422+S$5),PERMANENT_FIELD_LABOR_HOURS)*PERMANENT_HOURLY_RATE-MAX(0,($D422+S$5)-PERMANENT_FIELD_LABOR_HOURS)*TEMP_HOURLY_RATE-FIXED_SEASON_COST)</f>
        <v/>
      </c>
      <c r="T422" s="53" t="str">
        <f aca="false">IF(OR($A422&gt;TOMATO_BED_CAP,$B422&gt;CARROT_BED_CAP,T$4&gt;MESCLUN_BED_CAP,$A422+$B422+T$4&gt;TOTAL_BEDS_AVAILABLE,($D422+T$5)&gt;TOTAL_LABOR_HOURS_CAP,MAX(0,($D422+T$5)-PERMANENT_FIELD_LABOR_HOURS)&gt;TEMP_HOURS_CAP),"",$C422+T$6-MIN(($D422+T$5),PERMANENT_FIELD_LABOR_HOURS)*PERMANENT_HOURLY_RATE-MAX(0,($D422+T$5)-PERMANENT_FIELD_LABOR_HOURS)*TEMP_HOURLY_RATE-FIXED_SEASON_COST)</f>
        <v/>
      </c>
      <c r="U422" s="53" t="str">
        <f aca="false">IF(OR($A422&gt;TOMATO_BED_CAP,$B422&gt;CARROT_BED_CAP,U$4&gt;MESCLUN_BED_CAP,$A422+$B422+U$4&gt;TOTAL_BEDS_AVAILABLE,($D422+U$5)&gt;TOTAL_LABOR_HOURS_CAP,MAX(0,($D422+U$5)-PERMANENT_FIELD_LABOR_HOURS)&gt;TEMP_HOURS_CAP),"",$C422+U$6-MIN(($D422+U$5),PERMANENT_FIELD_LABOR_HOURS)*PERMANENT_HOURLY_RATE-MAX(0,($D422+U$5)-PERMANENT_FIELD_LABOR_HOURS)*TEMP_HOURLY_RATE-FIXED_SEASON_COST)</f>
        <v/>
      </c>
      <c r="V422" s="53" t="str">
        <f aca="false">IF(OR($A422&gt;TOMATO_BED_CAP,$B422&gt;CARROT_BED_CAP,V$4&gt;MESCLUN_BED_CAP,$A422+$B422+V$4&gt;TOTAL_BEDS_AVAILABLE,($D422+V$5)&gt;TOTAL_LABOR_HOURS_CAP,MAX(0,($D422+V$5)-PERMANENT_FIELD_LABOR_HOURS)&gt;TEMP_HOURS_CAP),"",$C422+V$6-MIN(($D422+V$5),PERMANENT_FIELD_LABOR_HOURS)*PERMANENT_HOURLY_RATE-MAX(0,($D422+V$5)-PERMANENT_FIELD_LABOR_HOURS)*TEMP_HOURLY_RATE-FIXED_SEASON_COST)</f>
        <v/>
      </c>
      <c r="W422" s="53" t="str">
        <f aca="false">IF(OR($A422&gt;TOMATO_BED_CAP,$B422&gt;CARROT_BED_CAP,W$4&gt;MESCLUN_BED_CAP,$A422+$B422+W$4&gt;TOTAL_BEDS_AVAILABLE,($D422+W$5)&gt;TOTAL_LABOR_HOURS_CAP,MAX(0,($D422+W$5)-PERMANENT_FIELD_LABOR_HOURS)&gt;TEMP_HOURS_CAP),"",$C422+W$6-MIN(($D422+W$5),PERMANENT_FIELD_LABOR_HOURS)*PERMANENT_HOURLY_RATE-MAX(0,($D422+W$5)-PERMANENT_FIELD_LABOR_HOURS)*TEMP_HOURLY_RATE-FIXED_SEASON_COST)</f>
        <v/>
      </c>
      <c r="X422" s="53" t="str">
        <f aca="false">IF(OR($A422&gt;TOMATO_BED_CAP,$B422&gt;CARROT_BED_CAP,X$4&gt;MESCLUN_BED_CAP,$A422+$B422+X$4&gt;TOTAL_BEDS_AVAILABLE,($D422+X$5)&gt;TOTAL_LABOR_HOURS_CAP,MAX(0,($D422+X$5)-PERMANENT_FIELD_LABOR_HOURS)&gt;TEMP_HOURS_CAP),"",$C422+X$6-MIN(($D422+X$5),PERMANENT_FIELD_LABOR_HOURS)*PERMANENT_HOURLY_RATE-MAX(0,($D422+X$5)-PERMANENT_FIELD_LABOR_HOURS)*TEMP_HOURLY_RATE-FIXED_SEASON_COST)</f>
        <v/>
      </c>
      <c r="Y422" s="53" t="str">
        <f aca="false">IF(OR($A422&gt;TOMATO_BED_CAP,$B422&gt;CARROT_BED_CAP,Y$4&gt;MESCLUN_BED_CAP,$A422+$B422+Y$4&gt;TOTAL_BEDS_AVAILABLE,($D422+Y$5)&gt;TOTAL_LABOR_HOURS_CAP,MAX(0,($D422+Y$5)-PERMANENT_FIELD_LABOR_HOURS)&gt;TEMP_HOURS_CAP),"",$C422+Y$6-MIN(($D422+Y$5),PERMANENT_FIELD_LABOR_HOURS)*PERMANENT_HOURLY_RATE-MAX(0,($D422+Y$5)-PERMANENT_FIELD_LABOR_HOURS)*TEMP_HOURLY_RATE-FIXED_SEASON_COST)</f>
        <v/>
      </c>
      <c r="Z422" s="53" t="str">
        <f aca="false">IF(OR($A422&gt;TOMATO_BED_CAP,$B422&gt;CARROT_BED_CAP,Z$4&gt;MESCLUN_BED_CAP,$A422+$B422+Z$4&gt;TOTAL_BEDS_AVAILABLE,($D422+Z$5)&gt;TOTAL_LABOR_HOURS_CAP,MAX(0,($D422+Z$5)-PERMANENT_FIELD_LABOR_HOURS)&gt;TEMP_HOURS_CAP),"",$C422+Z$6-MIN(($D422+Z$5),PERMANENT_FIELD_LABOR_HOURS)*PERMANENT_HOURLY_RATE-MAX(0,($D422+Z$5)-PERMANENT_FIELD_LABOR_HOURS)*TEMP_HOURLY_RATE-FIXED_SEASON_COST)</f>
        <v/>
      </c>
      <c r="AA422" s="53" t="str">
        <f aca="false">IF(OR($A422&gt;TOMATO_BED_CAP,$B422&gt;CARROT_BED_CAP,AA$4&gt;MESCLUN_BED_CAP,$A422+$B422+AA$4&gt;TOTAL_BEDS_AVAILABLE,($D422+AA$5)&gt;TOTAL_LABOR_HOURS_CAP,MAX(0,($D422+AA$5)-PERMANENT_FIELD_LABOR_HOURS)&gt;TEMP_HOURS_CAP),"",$C422+AA$6-MIN(($D422+AA$5),PERMANENT_FIELD_LABOR_HOURS)*PERMANENT_HOURLY_RATE-MAX(0,($D422+AA$5)-PERMANENT_FIELD_LABOR_HOURS)*TEMP_HOURLY_RATE-FIXED_SEASON_COST)</f>
        <v/>
      </c>
      <c r="AB422" s="53" t="str">
        <f aca="false">IF(OR($A422&gt;TOMATO_BED_CAP,$B422&gt;CARROT_BED_CAP,AB$4&gt;MESCLUN_BED_CAP,$A422+$B422+AB$4&gt;TOTAL_BEDS_AVAILABLE,($D422+AB$5)&gt;TOTAL_LABOR_HOURS_CAP,MAX(0,($D422+AB$5)-PERMANENT_FIELD_LABOR_HOURS)&gt;TEMP_HOURS_CAP),"",$C422+AB$6-MIN(($D422+AB$5),PERMANENT_FIELD_LABOR_HOURS)*PERMANENT_HOURLY_RATE-MAX(0,($D422+AB$5)-PERMANENT_FIELD_LABOR_HOURS)*TEMP_HOURLY_RATE-FIXED_SEASON_COST)</f>
        <v/>
      </c>
      <c r="AC422" s="53" t="str">
        <f aca="false">IF(OR($A422&gt;TOMATO_BED_CAP,$B422&gt;CARROT_BED_CAP,AC$4&gt;MESCLUN_BED_CAP,$A422+$B422+AC$4&gt;TOTAL_BEDS_AVAILABLE,($D422+AC$5)&gt;TOTAL_LABOR_HOURS_CAP,MAX(0,($D422+AC$5)-PERMANENT_FIELD_LABOR_HOURS)&gt;TEMP_HOURS_CAP),"",$C422+AC$6-MIN(($D422+AC$5),PERMANENT_FIELD_LABOR_HOURS)*PERMANENT_HOURLY_RATE-MAX(0,($D422+AC$5)-PERMANENT_FIELD_LABOR_HOURS)*TEMP_HOURLY_RATE-FIXED_SEASON_COST)</f>
        <v/>
      </c>
      <c r="AD422" s="53" t="str">
        <f aca="false">IF(OR($A422&gt;TOMATO_BED_CAP,$B422&gt;CARROT_BED_CAP,AD$4&gt;MESCLUN_BED_CAP,$A422+$B422+AD$4&gt;TOTAL_BEDS_AVAILABLE,($D422+AD$5)&gt;TOTAL_LABOR_HOURS_CAP,MAX(0,($D422+AD$5)-PERMANENT_FIELD_LABOR_HOURS)&gt;TEMP_HOURS_CAP),"",$C422+AD$6-MIN(($D422+AD$5),PERMANENT_FIELD_LABOR_HOURS)*PERMANENT_HOURLY_RATE-MAX(0,($D422+AD$5)-PERMANENT_FIELD_LABOR_HOURS)*TEMP_HOURLY_RATE-FIXED_SEASON_COST)</f>
        <v/>
      </c>
      <c r="AE422" s="53" t="str">
        <f aca="false">IF(OR($A422&gt;TOMATO_BED_CAP,$B422&gt;CARROT_BED_CAP,AE$4&gt;MESCLUN_BED_CAP,$A422+$B422+AE$4&gt;TOTAL_BEDS_AVAILABLE,($D422+AE$5)&gt;TOTAL_LABOR_HOURS_CAP,MAX(0,($D422+AE$5)-PERMANENT_FIELD_LABOR_HOURS)&gt;TEMP_HOURS_CAP),"",$C422+AE$6-MIN(($D422+AE$5),PERMANENT_FIELD_LABOR_HOURS)*PERMANENT_HOURLY_RATE-MAX(0,($D422+AE$5)-PERMANENT_FIELD_LABOR_HOURS)*TEMP_HOURLY_RATE-FIXED_SEASON_COST)</f>
        <v/>
      </c>
      <c r="AF422" s="53" t="str">
        <f aca="false">IF(OR($A422&gt;TOMATO_BED_CAP,$B422&gt;CARROT_BED_CAP,AF$4&gt;MESCLUN_BED_CAP,$A422+$B422+AF$4&gt;TOTAL_BEDS_AVAILABLE,($D422+AF$5)&gt;TOTAL_LABOR_HOURS_CAP,MAX(0,($D422+AF$5)-PERMANENT_FIELD_LABOR_HOURS)&gt;TEMP_HOURS_CAP),"",$C422+AF$6-MIN(($D422+AF$5),PERMANENT_FIELD_LABOR_HOURS)*PERMANENT_HOURLY_RATE-MAX(0,($D422+AF$5)-PERMANENT_FIELD_LABOR_HOURS)*TEMP_HOURLY_RATE-FIXED_SEASON_COST)</f>
        <v/>
      </c>
      <c r="AG422" s="53" t="str">
        <f aca="false">IF(OR($A422&gt;TOMATO_BED_CAP,$B422&gt;CARROT_BED_CAP,AG$4&gt;MESCLUN_BED_CAP,$A422+$B422+AG$4&gt;TOTAL_BEDS_AVAILABLE,($D422+AG$5)&gt;TOTAL_LABOR_HOURS_CAP,MAX(0,($D422+AG$5)-PERMANENT_FIELD_LABOR_HOURS)&gt;TEMP_HOURS_CAP),"",$C422+AG$6-MIN(($D422+AG$5),PERMANENT_FIELD_LABOR_HOURS)*PERMANENT_HOURLY_RATE-MAX(0,($D422+AG$5)-PERMANENT_FIELD_LABOR_HOURS)*TEMP_HOURLY_RATE-FIXED_SEASON_COST)</f>
        <v/>
      </c>
      <c r="AH422" s="53" t="str">
        <f aca="false">IF(OR($A422&gt;TOMATO_BED_CAP,$B422&gt;CARROT_BED_CAP,AH$4&gt;MESCLUN_BED_CAP,$A422+$B422+AH$4&gt;TOTAL_BEDS_AVAILABLE,($D422+AH$5)&gt;TOTAL_LABOR_HOURS_CAP,MAX(0,($D422+AH$5)-PERMANENT_FIELD_LABOR_HOURS)&gt;TEMP_HOURS_CAP),"",$C422+AH$6-MIN(($D422+AH$5),PERMANENT_FIELD_LABOR_HOURS)*PERMANENT_HOURLY_RATE-MAX(0,($D422+AH$5)-PERMANENT_FIELD_LABOR_HOURS)*TEMP_HOURLY_RATE-FIXED_SEASON_COST)</f>
        <v/>
      </c>
      <c r="AI422" s="53" t="str">
        <f aca="false">IF(OR($A422&gt;TOMATO_BED_CAP,$B422&gt;CARROT_BED_CAP,AI$4&gt;MESCLUN_BED_CAP,$A422+$B422+AI$4&gt;TOTAL_BEDS_AVAILABLE,($D422+AI$5)&gt;TOTAL_LABOR_HOURS_CAP,MAX(0,($D422+AI$5)-PERMANENT_FIELD_LABOR_HOURS)&gt;TEMP_HOURS_CAP),"",$C422+AI$6-MIN(($D422+AI$5),PERMANENT_FIELD_LABOR_HOURS)*PERMANENT_HOURLY_RATE-MAX(0,($D422+AI$5)-PERMANENT_FIELD_LABOR_HOURS)*TEMP_HOURLY_RATE-FIXED_SEASON_COST)</f>
        <v/>
      </c>
      <c r="AJ422" s="53" t="str">
        <f aca="false">IF(OR($A422&gt;TOMATO_BED_CAP,$B422&gt;CARROT_BED_CAP,AJ$4&gt;MESCLUN_BED_CAP,$A422+$B422+AJ$4&gt;TOTAL_BEDS_AVAILABLE,($D422+AJ$5)&gt;TOTAL_LABOR_HOURS_CAP,MAX(0,($D422+AJ$5)-PERMANENT_FIELD_LABOR_HOURS)&gt;TEMP_HOURS_CAP),"",$C422+AJ$6-MIN(($D422+AJ$5),PERMANENT_FIELD_LABOR_HOURS)*PERMANENT_HOURLY_RATE-MAX(0,($D422+AJ$5)-PERMANENT_FIELD_LABOR_HOURS)*TEMP_HOURLY_RATE-FIXED_SEASON_COST)</f>
        <v/>
      </c>
    </row>
    <row r="423" customFormat="false" ht="15" hidden="false" customHeight="false" outlineLevel="0" collapsed="false">
      <c r="A423" s="21" t="n">
        <f aca="false">INT((ROW()-ROW($A$8))/(20+1))</f>
        <v>19</v>
      </c>
      <c r="B423" s="21" t="n">
        <f aca="false">MOD(ROW()-ROW($A$8),20+1)</f>
        <v>16</v>
      </c>
      <c r="C423" s="13" t="n">
        <f aca="false">A423*(TOMATO_REVENUE_PER_BED-TOMATO_FERTILIZER_PER_BED)+B423*(CARROT_REVENUE_PER_BED-CARROT_FERTILIZER_PER_BED)</f>
        <v>176944</v>
      </c>
      <c r="D423" s="14" t="n">
        <f aca="false">INDEX(TOMATO_SCHED_LABOR_HRS,A423+1)+INDEX(CARROT_SCHED_LABOR_HRS,B423+1)</f>
        <v>11170.4821395168</v>
      </c>
      <c r="E423" s="13" t="str">
        <f aca="false">IF(COUNT(F423:AJ423)=0,"",MAX(F423:AJ423))</f>
        <v/>
      </c>
      <c r="F423" s="53" t="str">
        <f aca="false">IF(OR($A423&gt;TOMATO_BED_CAP,$B423&gt;CARROT_BED_CAP,F$4&gt;MESCLUN_BED_CAP,$A423+$B423+F$4&gt;TOTAL_BEDS_AVAILABLE,($D423+F$5)&gt;TOTAL_LABOR_HOURS_CAP,MAX(0,($D423+F$5)-PERMANENT_FIELD_LABOR_HOURS)&gt;TEMP_HOURS_CAP),"",$C423+F$6-MIN(($D423+F$5),PERMANENT_FIELD_LABOR_HOURS)*PERMANENT_HOURLY_RATE-MAX(0,($D423+F$5)-PERMANENT_FIELD_LABOR_HOURS)*TEMP_HOURLY_RATE-FIXED_SEASON_COST)</f>
        <v/>
      </c>
      <c r="G423" s="53" t="str">
        <f aca="false">IF(OR($A423&gt;TOMATO_BED_CAP,$B423&gt;CARROT_BED_CAP,G$4&gt;MESCLUN_BED_CAP,$A423+$B423+G$4&gt;TOTAL_BEDS_AVAILABLE,($D423+G$5)&gt;TOTAL_LABOR_HOURS_CAP,MAX(0,($D423+G$5)-PERMANENT_FIELD_LABOR_HOURS)&gt;TEMP_HOURS_CAP),"",$C423+G$6-MIN(($D423+G$5),PERMANENT_FIELD_LABOR_HOURS)*PERMANENT_HOURLY_RATE-MAX(0,($D423+G$5)-PERMANENT_FIELD_LABOR_HOURS)*TEMP_HOURLY_RATE-FIXED_SEASON_COST)</f>
        <v/>
      </c>
      <c r="H423" s="53" t="str">
        <f aca="false">IF(OR($A423&gt;TOMATO_BED_CAP,$B423&gt;CARROT_BED_CAP,H$4&gt;MESCLUN_BED_CAP,$A423+$B423+H$4&gt;TOTAL_BEDS_AVAILABLE,($D423+H$5)&gt;TOTAL_LABOR_HOURS_CAP,MAX(0,($D423+H$5)-PERMANENT_FIELD_LABOR_HOURS)&gt;TEMP_HOURS_CAP),"",$C423+H$6-MIN(($D423+H$5),PERMANENT_FIELD_LABOR_HOURS)*PERMANENT_HOURLY_RATE-MAX(0,($D423+H$5)-PERMANENT_FIELD_LABOR_HOURS)*TEMP_HOURLY_RATE-FIXED_SEASON_COST)</f>
        <v/>
      </c>
      <c r="I423" s="53" t="str">
        <f aca="false">IF(OR($A423&gt;TOMATO_BED_CAP,$B423&gt;CARROT_BED_CAP,I$4&gt;MESCLUN_BED_CAP,$A423+$B423+I$4&gt;TOTAL_BEDS_AVAILABLE,($D423+I$5)&gt;TOTAL_LABOR_HOURS_CAP,MAX(0,($D423+I$5)-PERMANENT_FIELD_LABOR_HOURS)&gt;TEMP_HOURS_CAP),"",$C423+I$6-MIN(($D423+I$5),PERMANENT_FIELD_LABOR_HOURS)*PERMANENT_HOURLY_RATE-MAX(0,($D423+I$5)-PERMANENT_FIELD_LABOR_HOURS)*TEMP_HOURLY_RATE-FIXED_SEASON_COST)</f>
        <v/>
      </c>
      <c r="J423" s="53" t="str">
        <f aca="false">IF(OR($A423&gt;TOMATO_BED_CAP,$B423&gt;CARROT_BED_CAP,J$4&gt;MESCLUN_BED_CAP,$A423+$B423+J$4&gt;TOTAL_BEDS_AVAILABLE,($D423+J$5)&gt;TOTAL_LABOR_HOURS_CAP,MAX(0,($D423+J$5)-PERMANENT_FIELD_LABOR_HOURS)&gt;TEMP_HOURS_CAP),"",$C423+J$6-MIN(($D423+J$5),PERMANENT_FIELD_LABOR_HOURS)*PERMANENT_HOURLY_RATE-MAX(0,($D423+J$5)-PERMANENT_FIELD_LABOR_HOURS)*TEMP_HOURLY_RATE-FIXED_SEASON_COST)</f>
        <v/>
      </c>
      <c r="K423" s="53" t="str">
        <f aca="false">IF(OR($A423&gt;TOMATO_BED_CAP,$B423&gt;CARROT_BED_CAP,K$4&gt;MESCLUN_BED_CAP,$A423+$B423+K$4&gt;TOTAL_BEDS_AVAILABLE,($D423+K$5)&gt;TOTAL_LABOR_HOURS_CAP,MAX(0,($D423+K$5)-PERMANENT_FIELD_LABOR_HOURS)&gt;TEMP_HOURS_CAP),"",$C423+K$6-MIN(($D423+K$5),PERMANENT_FIELD_LABOR_HOURS)*PERMANENT_HOURLY_RATE-MAX(0,($D423+K$5)-PERMANENT_FIELD_LABOR_HOURS)*TEMP_HOURLY_RATE-FIXED_SEASON_COST)</f>
        <v/>
      </c>
      <c r="L423" s="53" t="str">
        <f aca="false">IF(OR($A423&gt;TOMATO_BED_CAP,$B423&gt;CARROT_BED_CAP,L$4&gt;MESCLUN_BED_CAP,$A423+$B423+L$4&gt;TOTAL_BEDS_AVAILABLE,($D423+L$5)&gt;TOTAL_LABOR_HOURS_CAP,MAX(0,($D423+L$5)-PERMANENT_FIELD_LABOR_HOURS)&gt;TEMP_HOURS_CAP),"",$C423+L$6-MIN(($D423+L$5),PERMANENT_FIELD_LABOR_HOURS)*PERMANENT_HOURLY_RATE-MAX(0,($D423+L$5)-PERMANENT_FIELD_LABOR_HOURS)*TEMP_HOURLY_RATE-FIXED_SEASON_COST)</f>
        <v/>
      </c>
      <c r="M423" s="53" t="str">
        <f aca="false">IF(OR($A423&gt;TOMATO_BED_CAP,$B423&gt;CARROT_BED_CAP,M$4&gt;MESCLUN_BED_CAP,$A423+$B423+M$4&gt;TOTAL_BEDS_AVAILABLE,($D423+M$5)&gt;TOTAL_LABOR_HOURS_CAP,MAX(0,($D423+M$5)-PERMANENT_FIELD_LABOR_HOURS)&gt;TEMP_HOURS_CAP),"",$C423+M$6-MIN(($D423+M$5),PERMANENT_FIELD_LABOR_HOURS)*PERMANENT_HOURLY_RATE-MAX(0,($D423+M$5)-PERMANENT_FIELD_LABOR_HOURS)*TEMP_HOURLY_RATE-FIXED_SEASON_COST)</f>
        <v/>
      </c>
      <c r="N423" s="53" t="str">
        <f aca="false">IF(OR($A423&gt;TOMATO_BED_CAP,$B423&gt;CARROT_BED_CAP,N$4&gt;MESCLUN_BED_CAP,$A423+$B423+N$4&gt;TOTAL_BEDS_AVAILABLE,($D423+N$5)&gt;TOTAL_LABOR_HOURS_CAP,MAX(0,($D423+N$5)-PERMANENT_FIELD_LABOR_HOURS)&gt;TEMP_HOURS_CAP),"",$C423+N$6-MIN(($D423+N$5),PERMANENT_FIELD_LABOR_HOURS)*PERMANENT_HOURLY_RATE-MAX(0,($D423+N$5)-PERMANENT_FIELD_LABOR_HOURS)*TEMP_HOURLY_RATE-FIXED_SEASON_COST)</f>
        <v/>
      </c>
      <c r="O423" s="53" t="str">
        <f aca="false">IF(OR($A423&gt;TOMATO_BED_CAP,$B423&gt;CARROT_BED_CAP,O$4&gt;MESCLUN_BED_CAP,$A423+$B423+O$4&gt;TOTAL_BEDS_AVAILABLE,($D423+O$5)&gt;TOTAL_LABOR_HOURS_CAP,MAX(0,($D423+O$5)-PERMANENT_FIELD_LABOR_HOURS)&gt;TEMP_HOURS_CAP),"",$C423+O$6-MIN(($D423+O$5),PERMANENT_FIELD_LABOR_HOURS)*PERMANENT_HOURLY_RATE-MAX(0,($D423+O$5)-PERMANENT_FIELD_LABOR_HOURS)*TEMP_HOURLY_RATE-FIXED_SEASON_COST)</f>
        <v/>
      </c>
      <c r="P423" s="53" t="str">
        <f aca="false">IF(OR($A423&gt;TOMATO_BED_CAP,$B423&gt;CARROT_BED_CAP,P$4&gt;MESCLUN_BED_CAP,$A423+$B423+P$4&gt;TOTAL_BEDS_AVAILABLE,($D423+P$5)&gt;TOTAL_LABOR_HOURS_CAP,MAX(0,($D423+P$5)-PERMANENT_FIELD_LABOR_HOURS)&gt;TEMP_HOURS_CAP),"",$C423+P$6-MIN(($D423+P$5),PERMANENT_FIELD_LABOR_HOURS)*PERMANENT_HOURLY_RATE-MAX(0,($D423+P$5)-PERMANENT_FIELD_LABOR_HOURS)*TEMP_HOURLY_RATE-FIXED_SEASON_COST)</f>
        <v/>
      </c>
      <c r="Q423" s="53" t="str">
        <f aca="false">IF(OR($A423&gt;TOMATO_BED_CAP,$B423&gt;CARROT_BED_CAP,Q$4&gt;MESCLUN_BED_CAP,$A423+$B423+Q$4&gt;TOTAL_BEDS_AVAILABLE,($D423+Q$5)&gt;TOTAL_LABOR_HOURS_CAP,MAX(0,($D423+Q$5)-PERMANENT_FIELD_LABOR_HOURS)&gt;TEMP_HOURS_CAP),"",$C423+Q$6-MIN(($D423+Q$5),PERMANENT_FIELD_LABOR_HOURS)*PERMANENT_HOURLY_RATE-MAX(0,($D423+Q$5)-PERMANENT_FIELD_LABOR_HOURS)*TEMP_HOURLY_RATE-FIXED_SEASON_COST)</f>
        <v/>
      </c>
      <c r="R423" s="53" t="str">
        <f aca="false">IF(OR($A423&gt;TOMATO_BED_CAP,$B423&gt;CARROT_BED_CAP,R$4&gt;MESCLUN_BED_CAP,$A423+$B423+R$4&gt;TOTAL_BEDS_AVAILABLE,($D423+R$5)&gt;TOTAL_LABOR_HOURS_CAP,MAX(0,($D423+R$5)-PERMANENT_FIELD_LABOR_HOURS)&gt;TEMP_HOURS_CAP),"",$C423+R$6-MIN(($D423+R$5),PERMANENT_FIELD_LABOR_HOURS)*PERMANENT_HOURLY_RATE-MAX(0,($D423+R$5)-PERMANENT_FIELD_LABOR_HOURS)*TEMP_HOURLY_RATE-FIXED_SEASON_COST)</f>
        <v/>
      </c>
      <c r="S423" s="53" t="str">
        <f aca="false">IF(OR($A423&gt;TOMATO_BED_CAP,$B423&gt;CARROT_BED_CAP,S$4&gt;MESCLUN_BED_CAP,$A423+$B423+S$4&gt;TOTAL_BEDS_AVAILABLE,($D423+S$5)&gt;TOTAL_LABOR_HOURS_CAP,MAX(0,($D423+S$5)-PERMANENT_FIELD_LABOR_HOURS)&gt;TEMP_HOURS_CAP),"",$C423+S$6-MIN(($D423+S$5),PERMANENT_FIELD_LABOR_HOURS)*PERMANENT_HOURLY_RATE-MAX(0,($D423+S$5)-PERMANENT_FIELD_LABOR_HOURS)*TEMP_HOURLY_RATE-FIXED_SEASON_COST)</f>
        <v/>
      </c>
      <c r="T423" s="53" t="str">
        <f aca="false">IF(OR($A423&gt;TOMATO_BED_CAP,$B423&gt;CARROT_BED_CAP,T$4&gt;MESCLUN_BED_CAP,$A423+$B423+T$4&gt;TOTAL_BEDS_AVAILABLE,($D423+T$5)&gt;TOTAL_LABOR_HOURS_CAP,MAX(0,($D423+T$5)-PERMANENT_FIELD_LABOR_HOURS)&gt;TEMP_HOURS_CAP),"",$C423+T$6-MIN(($D423+T$5),PERMANENT_FIELD_LABOR_HOURS)*PERMANENT_HOURLY_RATE-MAX(0,($D423+T$5)-PERMANENT_FIELD_LABOR_HOURS)*TEMP_HOURLY_RATE-FIXED_SEASON_COST)</f>
        <v/>
      </c>
      <c r="U423" s="53" t="str">
        <f aca="false">IF(OR($A423&gt;TOMATO_BED_CAP,$B423&gt;CARROT_BED_CAP,U$4&gt;MESCLUN_BED_CAP,$A423+$B423+U$4&gt;TOTAL_BEDS_AVAILABLE,($D423+U$5)&gt;TOTAL_LABOR_HOURS_CAP,MAX(0,($D423+U$5)-PERMANENT_FIELD_LABOR_HOURS)&gt;TEMP_HOURS_CAP),"",$C423+U$6-MIN(($D423+U$5),PERMANENT_FIELD_LABOR_HOURS)*PERMANENT_HOURLY_RATE-MAX(0,($D423+U$5)-PERMANENT_FIELD_LABOR_HOURS)*TEMP_HOURLY_RATE-FIXED_SEASON_COST)</f>
        <v/>
      </c>
      <c r="V423" s="53" t="str">
        <f aca="false">IF(OR($A423&gt;TOMATO_BED_CAP,$B423&gt;CARROT_BED_CAP,V$4&gt;MESCLUN_BED_CAP,$A423+$B423+V$4&gt;TOTAL_BEDS_AVAILABLE,($D423+V$5)&gt;TOTAL_LABOR_HOURS_CAP,MAX(0,($D423+V$5)-PERMANENT_FIELD_LABOR_HOURS)&gt;TEMP_HOURS_CAP),"",$C423+V$6-MIN(($D423+V$5),PERMANENT_FIELD_LABOR_HOURS)*PERMANENT_HOURLY_RATE-MAX(0,($D423+V$5)-PERMANENT_FIELD_LABOR_HOURS)*TEMP_HOURLY_RATE-FIXED_SEASON_COST)</f>
        <v/>
      </c>
      <c r="W423" s="53" t="str">
        <f aca="false">IF(OR($A423&gt;TOMATO_BED_CAP,$B423&gt;CARROT_BED_CAP,W$4&gt;MESCLUN_BED_CAP,$A423+$B423+W$4&gt;TOTAL_BEDS_AVAILABLE,($D423+W$5)&gt;TOTAL_LABOR_HOURS_CAP,MAX(0,($D423+W$5)-PERMANENT_FIELD_LABOR_HOURS)&gt;TEMP_HOURS_CAP),"",$C423+W$6-MIN(($D423+W$5),PERMANENT_FIELD_LABOR_HOURS)*PERMANENT_HOURLY_RATE-MAX(0,($D423+W$5)-PERMANENT_FIELD_LABOR_HOURS)*TEMP_HOURLY_RATE-FIXED_SEASON_COST)</f>
        <v/>
      </c>
      <c r="X423" s="53" t="str">
        <f aca="false">IF(OR($A423&gt;TOMATO_BED_CAP,$B423&gt;CARROT_BED_CAP,X$4&gt;MESCLUN_BED_CAP,$A423+$B423+X$4&gt;TOTAL_BEDS_AVAILABLE,($D423+X$5)&gt;TOTAL_LABOR_HOURS_CAP,MAX(0,($D423+X$5)-PERMANENT_FIELD_LABOR_HOURS)&gt;TEMP_HOURS_CAP),"",$C423+X$6-MIN(($D423+X$5),PERMANENT_FIELD_LABOR_HOURS)*PERMANENT_HOURLY_RATE-MAX(0,($D423+X$5)-PERMANENT_FIELD_LABOR_HOURS)*TEMP_HOURLY_RATE-FIXED_SEASON_COST)</f>
        <v/>
      </c>
      <c r="Y423" s="53" t="str">
        <f aca="false">IF(OR($A423&gt;TOMATO_BED_CAP,$B423&gt;CARROT_BED_CAP,Y$4&gt;MESCLUN_BED_CAP,$A423+$B423+Y$4&gt;TOTAL_BEDS_AVAILABLE,($D423+Y$5)&gt;TOTAL_LABOR_HOURS_CAP,MAX(0,($D423+Y$5)-PERMANENT_FIELD_LABOR_HOURS)&gt;TEMP_HOURS_CAP),"",$C423+Y$6-MIN(($D423+Y$5),PERMANENT_FIELD_LABOR_HOURS)*PERMANENT_HOURLY_RATE-MAX(0,($D423+Y$5)-PERMANENT_FIELD_LABOR_HOURS)*TEMP_HOURLY_RATE-FIXED_SEASON_COST)</f>
        <v/>
      </c>
      <c r="Z423" s="53" t="str">
        <f aca="false">IF(OR($A423&gt;TOMATO_BED_CAP,$B423&gt;CARROT_BED_CAP,Z$4&gt;MESCLUN_BED_CAP,$A423+$B423+Z$4&gt;TOTAL_BEDS_AVAILABLE,($D423+Z$5)&gt;TOTAL_LABOR_HOURS_CAP,MAX(0,($D423+Z$5)-PERMANENT_FIELD_LABOR_HOURS)&gt;TEMP_HOURS_CAP),"",$C423+Z$6-MIN(($D423+Z$5),PERMANENT_FIELD_LABOR_HOURS)*PERMANENT_HOURLY_RATE-MAX(0,($D423+Z$5)-PERMANENT_FIELD_LABOR_HOURS)*TEMP_HOURLY_RATE-FIXED_SEASON_COST)</f>
        <v/>
      </c>
      <c r="AA423" s="53" t="str">
        <f aca="false">IF(OR($A423&gt;TOMATO_BED_CAP,$B423&gt;CARROT_BED_CAP,AA$4&gt;MESCLUN_BED_CAP,$A423+$B423+AA$4&gt;TOTAL_BEDS_AVAILABLE,($D423+AA$5)&gt;TOTAL_LABOR_HOURS_CAP,MAX(0,($D423+AA$5)-PERMANENT_FIELD_LABOR_HOURS)&gt;TEMP_HOURS_CAP),"",$C423+AA$6-MIN(($D423+AA$5),PERMANENT_FIELD_LABOR_HOURS)*PERMANENT_HOURLY_RATE-MAX(0,($D423+AA$5)-PERMANENT_FIELD_LABOR_HOURS)*TEMP_HOURLY_RATE-FIXED_SEASON_COST)</f>
        <v/>
      </c>
      <c r="AB423" s="53" t="str">
        <f aca="false">IF(OR($A423&gt;TOMATO_BED_CAP,$B423&gt;CARROT_BED_CAP,AB$4&gt;MESCLUN_BED_CAP,$A423+$B423+AB$4&gt;TOTAL_BEDS_AVAILABLE,($D423+AB$5)&gt;TOTAL_LABOR_HOURS_CAP,MAX(0,($D423+AB$5)-PERMANENT_FIELD_LABOR_HOURS)&gt;TEMP_HOURS_CAP),"",$C423+AB$6-MIN(($D423+AB$5),PERMANENT_FIELD_LABOR_HOURS)*PERMANENT_HOURLY_RATE-MAX(0,($D423+AB$5)-PERMANENT_FIELD_LABOR_HOURS)*TEMP_HOURLY_RATE-FIXED_SEASON_COST)</f>
        <v/>
      </c>
      <c r="AC423" s="53" t="str">
        <f aca="false">IF(OR($A423&gt;TOMATO_BED_CAP,$B423&gt;CARROT_BED_CAP,AC$4&gt;MESCLUN_BED_CAP,$A423+$B423+AC$4&gt;TOTAL_BEDS_AVAILABLE,($D423+AC$5)&gt;TOTAL_LABOR_HOURS_CAP,MAX(0,($D423+AC$5)-PERMANENT_FIELD_LABOR_HOURS)&gt;TEMP_HOURS_CAP),"",$C423+AC$6-MIN(($D423+AC$5),PERMANENT_FIELD_LABOR_HOURS)*PERMANENT_HOURLY_RATE-MAX(0,($D423+AC$5)-PERMANENT_FIELD_LABOR_HOURS)*TEMP_HOURLY_RATE-FIXED_SEASON_COST)</f>
        <v/>
      </c>
      <c r="AD423" s="53" t="str">
        <f aca="false">IF(OR($A423&gt;TOMATO_BED_CAP,$B423&gt;CARROT_BED_CAP,AD$4&gt;MESCLUN_BED_CAP,$A423+$B423+AD$4&gt;TOTAL_BEDS_AVAILABLE,($D423+AD$5)&gt;TOTAL_LABOR_HOURS_CAP,MAX(0,($D423+AD$5)-PERMANENT_FIELD_LABOR_HOURS)&gt;TEMP_HOURS_CAP),"",$C423+AD$6-MIN(($D423+AD$5),PERMANENT_FIELD_LABOR_HOURS)*PERMANENT_HOURLY_RATE-MAX(0,($D423+AD$5)-PERMANENT_FIELD_LABOR_HOURS)*TEMP_HOURLY_RATE-FIXED_SEASON_COST)</f>
        <v/>
      </c>
      <c r="AE423" s="53" t="str">
        <f aca="false">IF(OR($A423&gt;TOMATO_BED_CAP,$B423&gt;CARROT_BED_CAP,AE$4&gt;MESCLUN_BED_CAP,$A423+$B423+AE$4&gt;TOTAL_BEDS_AVAILABLE,($D423+AE$5)&gt;TOTAL_LABOR_HOURS_CAP,MAX(0,($D423+AE$5)-PERMANENT_FIELD_LABOR_HOURS)&gt;TEMP_HOURS_CAP),"",$C423+AE$6-MIN(($D423+AE$5),PERMANENT_FIELD_LABOR_HOURS)*PERMANENT_HOURLY_RATE-MAX(0,($D423+AE$5)-PERMANENT_FIELD_LABOR_HOURS)*TEMP_HOURLY_RATE-FIXED_SEASON_COST)</f>
        <v/>
      </c>
      <c r="AF423" s="53" t="str">
        <f aca="false">IF(OR($A423&gt;TOMATO_BED_CAP,$B423&gt;CARROT_BED_CAP,AF$4&gt;MESCLUN_BED_CAP,$A423+$B423+AF$4&gt;TOTAL_BEDS_AVAILABLE,($D423+AF$5)&gt;TOTAL_LABOR_HOURS_CAP,MAX(0,($D423+AF$5)-PERMANENT_FIELD_LABOR_HOURS)&gt;TEMP_HOURS_CAP),"",$C423+AF$6-MIN(($D423+AF$5),PERMANENT_FIELD_LABOR_HOURS)*PERMANENT_HOURLY_RATE-MAX(0,($D423+AF$5)-PERMANENT_FIELD_LABOR_HOURS)*TEMP_HOURLY_RATE-FIXED_SEASON_COST)</f>
        <v/>
      </c>
      <c r="AG423" s="53" t="str">
        <f aca="false">IF(OR($A423&gt;TOMATO_BED_CAP,$B423&gt;CARROT_BED_CAP,AG$4&gt;MESCLUN_BED_CAP,$A423+$B423+AG$4&gt;TOTAL_BEDS_AVAILABLE,($D423+AG$5)&gt;TOTAL_LABOR_HOURS_CAP,MAX(0,($D423+AG$5)-PERMANENT_FIELD_LABOR_HOURS)&gt;TEMP_HOURS_CAP),"",$C423+AG$6-MIN(($D423+AG$5),PERMANENT_FIELD_LABOR_HOURS)*PERMANENT_HOURLY_RATE-MAX(0,($D423+AG$5)-PERMANENT_FIELD_LABOR_HOURS)*TEMP_HOURLY_RATE-FIXED_SEASON_COST)</f>
        <v/>
      </c>
      <c r="AH423" s="53" t="str">
        <f aca="false">IF(OR($A423&gt;TOMATO_BED_CAP,$B423&gt;CARROT_BED_CAP,AH$4&gt;MESCLUN_BED_CAP,$A423+$B423+AH$4&gt;TOTAL_BEDS_AVAILABLE,($D423+AH$5)&gt;TOTAL_LABOR_HOURS_CAP,MAX(0,($D423+AH$5)-PERMANENT_FIELD_LABOR_HOURS)&gt;TEMP_HOURS_CAP),"",$C423+AH$6-MIN(($D423+AH$5),PERMANENT_FIELD_LABOR_HOURS)*PERMANENT_HOURLY_RATE-MAX(0,($D423+AH$5)-PERMANENT_FIELD_LABOR_HOURS)*TEMP_HOURLY_RATE-FIXED_SEASON_COST)</f>
        <v/>
      </c>
      <c r="AI423" s="53" t="str">
        <f aca="false">IF(OR($A423&gt;TOMATO_BED_CAP,$B423&gt;CARROT_BED_CAP,AI$4&gt;MESCLUN_BED_CAP,$A423+$B423+AI$4&gt;TOTAL_BEDS_AVAILABLE,($D423+AI$5)&gt;TOTAL_LABOR_HOURS_CAP,MAX(0,($D423+AI$5)-PERMANENT_FIELD_LABOR_HOURS)&gt;TEMP_HOURS_CAP),"",$C423+AI$6-MIN(($D423+AI$5),PERMANENT_FIELD_LABOR_HOURS)*PERMANENT_HOURLY_RATE-MAX(0,($D423+AI$5)-PERMANENT_FIELD_LABOR_HOURS)*TEMP_HOURLY_RATE-FIXED_SEASON_COST)</f>
        <v/>
      </c>
      <c r="AJ423" s="53" t="str">
        <f aca="false">IF(OR($A423&gt;TOMATO_BED_CAP,$B423&gt;CARROT_BED_CAP,AJ$4&gt;MESCLUN_BED_CAP,$A423+$B423+AJ$4&gt;TOTAL_BEDS_AVAILABLE,($D423+AJ$5)&gt;TOTAL_LABOR_HOURS_CAP,MAX(0,($D423+AJ$5)-PERMANENT_FIELD_LABOR_HOURS)&gt;TEMP_HOURS_CAP),"",$C423+AJ$6-MIN(($D423+AJ$5),PERMANENT_FIELD_LABOR_HOURS)*PERMANENT_HOURLY_RATE-MAX(0,($D423+AJ$5)-PERMANENT_FIELD_LABOR_HOURS)*TEMP_HOURLY_RATE-FIXED_SEASON_COST)</f>
        <v/>
      </c>
    </row>
    <row r="424" customFormat="false" ht="15" hidden="false" customHeight="false" outlineLevel="0" collapsed="false">
      <c r="A424" s="21" t="n">
        <f aca="false">INT((ROW()-ROW($A$8))/(20+1))</f>
        <v>19</v>
      </c>
      <c r="B424" s="21" t="n">
        <f aca="false">MOD(ROW()-ROW($A$8),20+1)</f>
        <v>17</v>
      </c>
      <c r="C424" s="13" t="n">
        <f aca="false">A424*(TOMATO_REVENUE_PER_BED-TOMATO_FERTILIZER_PER_BED)+B424*(CARROT_REVENUE_PER_BED-CARROT_FERTILIZER_PER_BED)</f>
        <v>178598</v>
      </c>
      <c r="D424" s="14" t="n">
        <f aca="false">INDEX(TOMATO_SCHED_LABOR_HRS,A424+1)+INDEX(CARROT_SCHED_LABOR_HRS,B424+1)</f>
        <v>11233.9193697539</v>
      </c>
      <c r="E424" s="13" t="str">
        <f aca="false">IF(COUNT(F424:AJ424)=0,"",MAX(F424:AJ424))</f>
        <v/>
      </c>
      <c r="F424" s="53" t="str">
        <f aca="false">IF(OR($A424&gt;TOMATO_BED_CAP,$B424&gt;CARROT_BED_CAP,F$4&gt;MESCLUN_BED_CAP,$A424+$B424+F$4&gt;TOTAL_BEDS_AVAILABLE,($D424+F$5)&gt;TOTAL_LABOR_HOURS_CAP,MAX(0,($D424+F$5)-PERMANENT_FIELD_LABOR_HOURS)&gt;TEMP_HOURS_CAP),"",$C424+F$6-MIN(($D424+F$5),PERMANENT_FIELD_LABOR_HOURS)*PERMANENT_HOURLY_RATE-MAX(0,($D424+F$5)-PERMANENT_FIELD_LABOR_HOURS)*TEMP_HOURLY_RATE-FIXED_SEASON_COST)</f>
        <v/>
      </c>
      <c r="G424" s="53" t="str">
        <f aca="false">IF(OR($A424&gt;TOMATO_BED_CAP,$B424&gt;CARROT_BED_CAP,G$4&gt;MESCLUN_BED_CAP,$A424+$B424+G$4&gt;TOTAL_BEDS_AVAILABLE,($D424+G$5)&gt;TOTAL_LABOR_HOURS_CAP,MAX(0,($D424+G$5)-PERMANENT_FIELD_LABOR_HOURS)&gt;TEMP_HOURS_CAP),"",$C424+G$6-MIN(($D424+G$5),PERMANENT_FIELD_LABOR_HOURS)*PERMANENT_HOURLY_RATE-MAX(0,($D424+G$5)-PERMANENT_FIELD_LABOR_HOURS)*TEMP_HOURLY_RATE-FIXED_SEASON_COST)</f>
        <v/>
      </c>
      <c r="H424" s="53" t="str">
        <f aca="false">IF(OR($A424&gt;TOMATO_BED_CAP,$B424&gt;CARROT_BED_CAP,H$4&gt;MESCLUN_BED_CAP,$A424+$B424+H$4&gt;TOTAL_BEDS_AVAILABLE,($D424+H$5)&gt;TOTAL_LABOR_HOURS_CAP,MAX(0,($D424+H$5)-PERMANENT_FIELD_LABOR_HOURS)&gt;TEMP_HOURS_CAP),"",$C424+H$6-MIN(($D424+H$5),PERMANENT_FIELD_LABOR_HOURS)*PERMANENT_HOURLY_RATE-MAX(0,($D424+H$5)-PERMANENT_FIELD_LABOR_HOURS)*TEMP_HOURLY_RATE-FIXED_SEASON_COST)</f>
        <v/>
      </c>
      <c r="I424" s="53" t="str">
        <f aca="false">IF(OR($A424&gt;TOMATO_BED_CAP,$B424&gt;CARROT_BED_CAP,I$4&gt;MESCLUN_BED_CAP,$A424+$B424+I$4&gt;TOTAL_BEDS_AVAILABLE,($D424+I$5)&gt;TOTAL_LABOR_HOURS_CAP,MAX(0,($D424+I$5)-PERMANENT_FIELD_LABOR_HOURS)&gt;TEMP_HOURS_CAP),"",$C424+I$6-MIN(($D424+I$5),PERMANENT_FIELD_LABOR_HOURS)*PERMANENT_HOURLY_RATE-MAX(0,($D424+I$5)-PERMANENT_FIELD_LABOR_HOURS)*TEMP_HOURLY_RATE-FIXED_SEASON_COST)</f>
        <v/>
      </c>
      <c r="J424" s="53" t="str">
        <f aca="false">IF(OR($A424&gt;TOMATO_BED_CAP,$B424&gt;CARROT_BED_CAP,J$4&gt;MESCLUN_BED_CAP,$A424+$B424+J$4&gt;TOTAL_BEDS_AVAILABLE,($D424+J$5)&gt;TOTAL_LABOR_HOURS_CAP,MAX(0,($D424+J$5)-PERMANENT_FIELD_LABOR_HOURS)&gt;TEMP_HOURS_CAP),"",$C424+J$6-MIN(($D424+J$5),PERMANENT_FIELD_LABOR_HOURS)*PERMANENT_HOURLY_RATE-MAX(0,($D424+J$5)-PERMANENT_FIELD_LABOR_HOURS)*TEMP_HOURLY_RATE-FIXED_SEASON_COST)</f>
        <v/>
      </c>
      <c r="K424" s="53" t="str">
        <f aca="false">IF(OR($A424&gt;TOMATO_BED_CAP,$B424&gt;CARROT_BED_CAP,K$4&gt;MESCLUN_BED_CAP,$A424+$B424+K$4&gt;TOTAL_BEDS_AVAILABLE,($D424+K$5)&gt;TOTAL_LABOR_HOURS_CAP,MAX(0,($D424+K$5)-PERMANENT_FIELD_LABOR_HOURS)&gt;TEMP_HOURS_CAP),"",$C424+K$6-MIN(($D424+K$5),PERMANENT_FIELD_LABOR_HOURS)*PERMANENT_HOURLY_RATE-MAX(0,($D424+K$5)-PERMANENT_FIELD_LABOR_HOURS)*TEMP_HOURLY_RATE-FIXED_SEASON_COST)</f>
        <v/>
      </c>
      <c r="L424" s="53" t="str">
        <f aca="false">IF(OR($A424&gt;TOMATO_BED_CAP,$B424&gt;CARROT_BED_CAP,L$4&gt;MESCLUN_BED_CAP,$A424+$B424+L$4&gt;TOTAL_BEDS_AVAILABLE,($D424+L$5)&gt;TOTAL_LABOR_HOURS_CAP,MAX(0,($D424+L$5)-PERMANENT_FIELD_LABOR_HOURS)&gt;TEMP_HOURS_CAP),"",$C424+L$6-MIN(($D424+L$5),PERMANENT_FIELD_LABOR_HOURS)*PERMANENT_HOURLY_RATE-MAX(0,($D424+L$5)-PERMANENT_FIELD_LABOR_HOURS)*TEMP_HOURLY_RATE-FIXED_SEASON_COST)</f>
        <v/>
      </c>
      <c r="M424" s="53" t="str">
        <f aca="false">IF(OR($A424&gt;TOMATO_BED_CAP,$B424&gt;CARROT_BED_CAP,M$4&gt;MESCLUN_BED_CAP,$A424+$B424+M$4&gt;TOTAL_BEDS_AVAILABLE,($D424+M$5)&gt;TOTAL_LABOR_HOURS_CAP,MAX(0,($D424+M$5)-PERMANENT_FIELD_LABOR_HOURS)&gt;TEMP_HOURS_CAP),"",$C424+M$6-MIN(($D424+M$5),PERMANENT_FIELD_LABOR_HOURS)*PERMANENT_HOURLY_RATE-MAX(0,($D424+M$5)-PERMANENT_FIELD_LABOR_HOURS)*TEMP_HOURLY_RATE-FIXED_SEASON_COST)</f>
        <v/>
      </c>
      <c r="N424" s="53" t="str">
        <f aca="false">IF(OR($A424&gt;TOMATO_BED_CAP,$B424&gt;CARROT_BED_CAP,N$4&gt;MESCLUN_BED_CAP,$A424+$B424+N$4&gt;TOTAL_BEDS_AVAILABLE,($D424+N$5)&gt;TOTAL_LABOR_HOURS_CAP,MAX(0,($D424+N$5)-PERMANENT_FIELD_LABOR_HOURS)&gt;TEMP_HOURS_CAP),"",$C424+N$6-MIN(($D424+N$5),PERMANENT_FIELD_LABOR_HOURS)*PERMANENT_HOURLY_RATE-MAX(0,($D424+N$5)-PERMANENT_FIELD_LABOR_HOURS)*TEMP_HOURLY_RATE-FIXED_SEASON_COST)</f>
        <v/>
      </c>
      <c r="O424" s="53" t="str">
        <f aca="false">IF(OR($A424&gt;TOMATO_BED_CAP,$B424&gt;CARROT_BED_CAP,O$4&gt;MESCLUN_BED_CAP,$A424+$B424+O$4&gt;TOTAL_BEDS_AVAILABLE,($D424+O$5)&gt;TOTAL_LABOR_HOURS_CAP,MAX(0,($D424+O$5)-PERMANENT_FIELD_LABOR_HOURS)&gt;TEMP_HOURS_CAP),"",$C424+O$6-MIN(($D424+O$5),PERMANENT_FIELD_LABOR_HOURS)*PERMANENT_HOURLY_RATE-MAX(0,($D424+O$5)-PERMANENT_FIELD_LABOR_HOURS)*TEMP_HOURLY_RATE-FIXED_SEASON_COST)</f>
        <v/>
      </c>
      <c r="P424" s="53" t="str">
        <f aca="false">IF(OR($A424&gt;TOMATO_BED_CAP,$B424&gt;CARROT_BED_CAP,P$4&gt;MESCLUN_BED_CAP,$A424+$B424+P$4&gt;TOTAL_BEDS_AVAILABLE,($D424+P$5)&gt;TOTAL_LABOR_HOURS_CAP,MAX(0,($D424+P$5)-PERMANENT_FIELD_LABOR_HOURS)&gt;TEMP_HOURS_CAP),"",$C424+P$6-MIN(($D424+P$5),PERMANENT_FIELD_LABOR_HOURS)*PERMANENT_HOURLY_RATE-MAX(0,($D424+P$5)-PERMANENT_FIELD_LABOR_HOURS)*TEMP_HOURLY_RATE-FIXED_SEASON_COST)</f>
        <v/>
      </c>
      <c r="Q424" s="53" t="str">
        <f aca="false">IF(OR($A424&gt;TOMATO_BED_CAP,$B424&gt;CARROT_BED_CAP,Q$4&gt;MESCLUN_BED_CAP,$A424+$B424+Q$4&gt;TOTAL_BEDS_AVAILABLE,($D424+Q$5)&gt;TOTAL_LABOR_HOURS_CAP,MAX(0,($D424+Q$5)-PERMANENT_FIELD_LABOR_HOURS)&gt;TEMP_HOURS_CAP),"",$C424+Q$6-MIN(($D424+Q$5),PERMANENT_FIELD_LABOR_HOURS)*PERMANENT_HOURLY_RATE-MAX(0,($D424+Q$5)-PERMANENT_FIELD_LABOR_HOURS)*TEMP_HOURLY_RATE-FIXED_SEASON_COST)</f>
        <v/>
      </c>
      <c r="R424" s="53" t="str">
        <f aca="false">IF(OR($A424&gt;TOMATO_BED_CAP,$B424&gt;CARROT_BED_CAP,R$4&gt;MESCLUN_BED_CAP,$A424+$B424+R$4&gt;TOTAL_BEDS_AVAILABLE,($D424+R$5)&gt;TOTAL_LABOR_HOURS_CAP,MAX(0,($D424+R$5)-PERMANENT_FIELD_LABOR_HOURS)&gt;TEMP_HOURS_CAP),"",$C424+R$6-MIN(($D424+R$5),PERMANENT_FIELD_LABOR_HOURS)*PERMANENT_HOURLY_RATE-MAX(0,($D424+R$5)-PERMANENT_FIELD_LABOR_HOURS)*TEMP_HOURLY_RATE-FIXED_SEASON_COST)</f>
        <v/>
      </c>
      <c r="S424" s="53" t="str">
        <f aca="false">IF(OR($A424&gt;TOMATO_BED_CAP,$B424&gt;CARROT_BED_CAP,S$4&gt;MESCLUN_BED_CAP,$A424+$B424+S$4&gt;TOTAL_BEDS_AVAILABLE,($D424+S$5)&gt;TOTAL_LABOR_HOURS_CAP,MAX(0,($D424+S$5)-PERMANENT_FIELD_LABOR_HOURS)&gt;TEMP_HOURS_CAP),"",$C424+S$6-MIN(($D424+S$5),PERMANENT_FIELD_LABOR_HOURS)*PERMANENT_HOURLY_RATE-MAX(0,($D424+S$5)-PERMANENT_FIELD_LABOR_HOURS)*TEMP_HOURLY_RATE-FIXED_SEASON_COST)</f>
        <v/>
      </c>
      <c r="T424" s="53" t="str">
        <f aca="false">IF(OR($A424&gt;TOMATO_BED_CAP,$B424&gt;CARROT_BED_CAP,T$4&gt;MESCLUN_BED_CAP,$A424+$B424+T$4&gt;TOTAL_BEDS_AVAILABLE,($D424+T$5)&gt;TOTAL_LABOR_HOURS_CAP,MAX(0,($D424+T$5)-PERMANENT_FIELD_LABOR_HOURS)&gt;TEMP_HOURS_CAP),"",$C424+T$6-MIN(($D424+T$5),PERMANENT_FIELD_LABOR_HOURS)*PERMANENT_HOURLY_RATE-MAX(0,($D424+T$5)-PERMANENT_FIELD_LABOR_HOURS)*TEMP_HOURLY_RATE-FIXED_SEASON_COST)</f>
        <v/>
      </c>
      <c r="U424" s="53" t="str">
        <f aca="false">IF(OR($A424&gt;TOMATO_BED_CAP,$B424&gt;CARROT_BED_CAP,U$4&gt;MESCLUN_BED_CAP,$A424+$B424+U$4&gt;TOTAL_BEDS_AVAILABLE,($D424+U$5)&gt;TOTAL_LABOR_HOURS_CAP,MAX(0,($D424+U$5)-PERMANENT_FIELD_LABOR_HOURS)&gt;TEMP_HOURS_CAP),"",$C424+U$6-MIN(($D424+U$5),PERMANENT_FIELD_LABOR_HOURS)*PERMANENT_HOURLY_RATE-MAX(0,($D424+U$5)-PERMANENT_FIELD_LABOR_HOURS)*TEMP_HOURLY_RATE-FIXED_SEASON_COST)</f>
        <v/>
      </c>
      <c r="V424" s="53" t="str">
        <f aca="false">IF(OR($A424&gt;TOMATO_BED_CAP,$B424&gt;CARROT_BED_CAP,V$4&gt;MESCLUN_BED_CAP,$A424+$B424+V$4&gt;TOTAL_BEDS_AVAILABLE,($D424+V$5)&gt;TOTAL_LABOR_HOURS_CAP,MAX(0,($D424+V$5)-PERMANENT_FIELD_LABOR_HOURS)&gt;TEMP_HOURS_CAP),"",$C424+V$6-MIN(($D424+V$5),PERMANENT_FIELD_LABOR_HOURS)*PERMANENT_HOURLY_RATE-MAX(0,($D424+V$5)-PERMANENT_FIELD_LABOR_HOURS)*TEMP_HOURLY_RATE-FIXED_SEASON_COST)</f>
        <v/>
      </c>
      <c r="W424" s="53" t="str">
        <f aca="false">IF(OR($A424&gt;TOMATO_BED_CAP,$B424&gt;CARROT_BED_CAP,W$4&gt;MESCLUN_BED_CAP,$A424+$B424+W$4&gt;TOTAL_BEDS_AVAILABLE,($D424+W$5)&gt;TOTAL_LABOR_HOURS_CAP,MAX(0,($D424+W$5)-PERMANENT_FIELD_LABOR_HOURS)&gt;TEMP_HOURS_CAP),"",$C424+W$6-MIN(($D424+W$5),PERMANENT_FIELD_LABOR_HOURS)*PERMANENT_HOURLY_RATE-MAX(0,($D424+W$5)-PERMANENT_FIELD_LABOR_HOURS)*TEMP_HOURLY_RATE-FIXED_SEASON_COST)</f>
        <v/>
      </c>
      <c r="X424" s="53" t="str">
        <f aca="false">IF(OR($A424&gt;TOMATO_BED_CAP,$B424&gt;CARROT_BED_CAP,X$4&gt;MESCLUN_BED_CAP,$A424+$B424+X$4&gt;TOTAL_BEDS_AVAILABLE,($D424+X$5)&gt;TOTAL_LABOR_HOURS_CAP,MAX(0,($D424+X$5)-PERMANENT_FIELD_LABOR_HOURS)&gt;TEMP_HOURS_CAP),"",$C424+X$6-MIN(($D424+X$5),PERMANENT_FIELD_LABOR_HOURS)*PERMANENT_HOURLY_RATE-MAX(0,($D424+X$5)-PERMANENT_FIELD_LABOR_HOURS)*TEMP_HOURLY_RATE-FIXED_SEASON_COST)</f>
        <v/>
      </c>
      <c r="Y424" s="53" t="str">
        <f aca="false">IF(OR($A424&gt;TOMATO_BED_CAP,$B424&gt;CARROT_BED_CAP,Y$4&gt;MESCLUN_BED_CAP,$A424+$B424+Y$4&gt;TOTAL_BEDS_AVAILABLE,($D424+Y$5)&gt;TOTAL_LABOR_HOURS_CAP,MAX(0,($D424+Y$5)-PERMANENT_FIELD_LABOR_HOURS)&gt;TEMP_HOURS_CAP),"",$C424+Y$6-MIN(($D424+Y$5),PERMANENT_FIELD_LABOR_HOURS)*PERMANENT_HOURLY_RATE-MAX(0,($D424+Y$5)-PERMANENT_FIELD_LABOR_HOURS)*TEMP_HOURLY_RATE-FIXED_SEASON_COST)</f>
        <v/>
      </c>
      <c r="Z424" s="53" t="str">
        <f aca="false">IF(OR($A424&gt;TOMATO_BED_CAP,$B424&gt;CARROT_BED_CAP,Z$4&gt;MESCLUN_BED_CAP,$A424+$B424+Z$4&gt;TOTAL_BEDS_AVAILABLE,($D424+Z$5)&gt;TOTAL_LABOR_HOURS_CAP,MAX(0,($D424+Z$5)-PERMANENT_FIELD_LABOR_HOURS)&gt;TEMP_HOURS_CAP),"",$C424+Z$6-MIN(($D424+Z$5),PERMANENT_FIELD_LABOR_HOURS)*PERMANENT_HOURLY_RATE-MAX(0,($D424+Z$5)-PERMANENT_FIELD_LABOR_HOURS)*TEMP_HOURLY_RATE-FIXED_SEASON_COST)</f>
        <v/>
      </c>
      <c r="AA424" s="53" t="str">
        <f aca="false">IF(OR($A424&gt;TOMATO_BED_CAP,$B424&gt;CARROT_BED_CAP,AA$4&gt;MESCLUN_BED_CAP,$A424+$B424+AA$4&gt;TOTAL_BEDS_AVAILABLE,($D424+AA$5)&gt;TOTAL_LABOR_HOURS_CAP,MAX(0,($D424+AA$5)-PERMANENT_FIELD_LABOR_HOURS)&gt;TEMP_HOURS_CAP),"",$C424+AA$6-MIN(($D424+AA$5),PERMANENT_FIELD_LABOR_HOURS)*PERMANENT_HOURLY_RATE-MAX(0,($D424+AA$5)-PERMANENT_FIELD_LABOR_HOURS)*TEMP_HOURLY_RATE-FIXED_SEASON_COST)</f>
        <v/>
      </c>
      <c r="AB424" s="53" t="str">
        <f aca="false">IF(OR($A424&gt;TOMATO_BED_CAP,$B424&gt;CARROT_BED_CAP,AB$4&gt;MESCLUN_BED_CAP,$A424+$B424+AB$4&gt;TOTAL_BEDS_AVAILABLE,($D424+AB$5)&gt;TOTAL_LABOR_HOURS_CAP,MAX(0,($D424+AB$5)-PERMANENT_FIELD_LABOR_HOURS)&gt;TEMP_HOURS_CAP),"",$C424+AB$6-MIN(($D424+AB$5),PERMANENT_FIELD_LABOR_HOURS)*PERMANENT_HOURLY_RATE-MAX(0,($D424+AB$5)-PERMANENT_FIELD_LABOR_HOURS)*TEMP_HOURLY_RATE-FIXED_SEASON_COST)</f>
        <v/>
      </c>
      <c r="AC424" s="53" t="str">
        <f aca="false">IF(OR($A424&gt;TOMATO_BED_CAP,$B424&gt;CARROT_BED_CAP,AC$4&gt;MESCLUN_BED_CAP,$A424+$B424+AC$4&gt;TOTAL_BEDS_AVAILABLE,($D424+AC$5)&gt;TOTAL_LABOR_HOURS_CAP,MAX(0,($D424+AC$5)-PERMANENT_FIELD_LABOR_HOURS)&gt;TEMP_HOURS_CAP),"",$C424+AC$6-MIN(($D424+AC$5),PERMANENT_FIELD_LABOR_HOURS)*PERMANENT_HOURLY_RATE-MAX(0,($D424+AC$5)-PERMANENT_FIELD_LABOR_HOURS)*TEMP_HOURLY_RATE-FIXED_SEASON_COST)</f>
        <v/>
      </c>
      <c r="AD424" s="53" t="str">
        <f aca="false">IF(OR($A424&gt;TOMATO_BED_CAP,$B424&gt;CARROT_BED_CAP,AD$4&gt;MESCLUN_BED_CAP,$A424+$B424+AD$4&gt;TOTAL_BEDS_AVAILABLE,($D424+AD$5)&gt;TOTAL_LABOR_HOURS_CAP,MAX(0,($D424+AD$5)-PERMANENT_FIELD_LABOR_HOURS)&gt;TEMP_HOURS_CAP),"",$C424+AD$6-MIN(($D424+AD$5),PERMANENT_FIELD_LABOR_HOURS)*PERMANENT_HOURLY_RATE-MAX(0,($D424+AD$5)-PERMANENT_FIELD_LABOR_HOURS)*TEMP_HOURLY_RATE-FIXED_SEASON_COST)</f>
        <v/>
      </c>
      <c r="AE424" s="53" t="str">
        <f aca="false">IF(OR($A424&gt;TOMATO_BED_CAP,$B424&gt;CARROT_BED_CAP,AE$4&gt;MESCLUN_BED_CAP,$A424+$B424+AE$4&gt;TOTAL_BEDS_AVAILABLE,($D424+AE$5)&gt;TOTAL_LABOR_HOURS_CAP,MAX(0,($D424+AE$5)-PERMANENT_FIELD_LABOR_HOURS)&gt;TEMP_HOURS_CAP),"",$C424+AE$6-MIN(($D424+AE$5),PERMANENT_FIELD_LABOR_HOURS)*PERMANENT_HOURLY_RATE-MAX(0,($D424+AE$5)-PERMANENT_FIELD_LABOR_HOURS)*TEMP_HOURLY_RATE-FIXED_SEASON_COST)</f>
        <v/>
      </c>
      <c r="AF424" s="53" t="str">
        <f aca="false">IF(OR($A424&gt;TOMATO_BED_CAP,$B424&gt;CARROT_BED_CAP,AF$4&gt;MESCLUN_BED_CAP,$A424+$B424+AF$4&gt;TOTAL_BEDS_AVAILABLE,($D424+AF$5)&gt;TOTAL_LABOR_HOURS_CAP,MAX(0,($D424+AF$5)-PERMANENT_FIELD_LABOR_HOURS)&gt;TEMP_HOURS_CAP),"",$C424+AF$6-MIN(($D424+AF$5),PERMANENT_FIELD_LABOR_HOURS)*PERMANENT_HOURLY_RATE-MAX(0,($D424+AF$5)-PERMANENT_FIELD_LABOR_HOURS)*TEMP_HOURLY_RATE-FIXED_SEASON_COST)</f>
        <v/>
      </c>
      <c r="AG424" s="53" t="str">
        <f aca="false">IF(OR($A424&gt;TOMATO_BED_CAP,$B424&gt;CARROT_BED_CAP,AG$4&gt;MESCLUN_BED_CAP,$A424+$B424+AG$4&gt;TOTAL_BEDS_AVAILABLE,($D424+AG$5)&gt;TOTAL_LABOR_HOURS_CAP,MAX(0,($D424+AG$5)-PERMANENT_FIELD_LABOR_HOURS)&gt;TEMP_HOURS_CAP),"",$C424+AG$6-MIN(($D424+AG$5),PERMANENT_FIELD_LABOR_HOURS)*PERMANENT_HOURLY_RATE-MAX(0,($D424+AG$5)-PERMANENT_FIELD_LABOR_HOURS)*TEMP_HOURLY_RATE-FIXED_SEASON_COST)</f>
        <v/>
      </c>
      <c r="AH424" s="53" t="str">
        <f aca="false">IF(OR($A424&gt;TOMATO_BED_CAP,$B424&gt;CARROT_BED_CAP,AH$4&gt;MESCLUN_BED_CAP,$A424+$B424+AH$4&gt;TOTAL_BEDS_AVAILABLE,($D424+AH$5)&gt;TOTAL_LABOR_HOURS_CAP,MAX(0,($D424+AH$5)-PERMANENT_FIELD_LABOR_HOURS)&gt;TEMP_HOURS_CAP),"",$C424+AH$6-MIN(($D424+AH$5),PERMANENT_FIELD_LABOR_HOURS)*PERMANENT_HOURLY_RATE-MAX(0,($D424+AH$5)-PERMANENT_FIELD_LABOR_HOURS)*TEMP_HOURLY_RATE-FIXED_SEASON_COST)</f>
        <v/>
      </c>
      <c r="AI424" s="53" t="str">
        <f aca="false">IF(OR($A424&gt;TOMATO_BED_CAP,$B424&gt;CARROT_BED_CAP,AI$4&gt;MESCLUN_BED_CAP,$A424+$B424+AI$4&gt;TOTAL_BEDS_AVAILABLE,($D424+AI$5)&gt;TOTAL_LABOR_HOURS_CAP,MAX(0,($D424+AI$5)-PERMANENT_FIELD_LABOR_HOURS)&gt;TEMP_HOURS_CAP),"",$C424+AI$6-MIN(($D424+AI$5),PERMANENT_FIELD_LABOR_HOURS)*PERMANENT_HOURLY_RATE-MAX(0,($D424+AI$5)-PERMANENT_FIELD_LABOR_HOURS)*TEMP_HOURLY_RATE-FIXED_SEASON_COST)</f>
        <v/>
      </c>
      <c r="AJ424" s="53" t="str">
        <f aca="false">IF(OR($A424&gt;TOMATO_BED_CAP,$B424&gt;CARROT_BED_CAP,AJ$4&gt;MESCLUN_BED_CAP,$A424+$B424+AJ$4&gt;TOTAL_BEDS_AVAILABLE,($D424+AJ$5)&gt;TOTAL_LABOR_HOURS_CAP,MAX(0,($D424+AJ$5)-PERMANENT_FIELD_LABOR_HOURS)&gt;TEMP_HOURS_CAP),"",$C424+AJ$6-MIN(($D424+AJ$5),PERMANENT_FIELD_LABOR_HOURS)*PERMANENT_HOURLY_RATE-MAX(0,($D424+AJ$5)-PERMANENT_FIELD_LABOR_HOURS)*TEMP_HOURLY_RATE-FIXED_SEASON_COST)</f>
        <v/>
      </c>
    </row>
    <row r="425" customFormat="false" ht="15" hidden="false" customHeight="false" outlineLevel="0" collapsed="false">
      <c r="A425" s="21" t="n">
        <f aca="false">INT((ROW()-ROW($A$8))/(20+1))</f>
        <v>19</v>
      </c>
      <c r="B425" s="21" t="n">
        <f aca="false">MOD(ROW()-ROW($A$8),20+1)</f>
        <v>18</v>
      </c>
      <c r="C425" s="13" t="n">
        <f aca="false">A425*(TOMATO_REVENUE_PER_BED-TOMATO_FERTILIZER_PER_BED)+B425*(CARROT_REVENUE_PER_BED-CARROT_FERTILIZER_PER_BED)</f>
        <v>180252</v>
      </c>
      <c r="D425" s="14" t="n">
        <f aca="false">INDEX(TOMATO_SCHED_LABOR_HRS,A425+1)+INDEX(CARROT_SCHED_LABOR_HRS,B425+1)</f>
        <v>11300.0832879574</v>
      </c>
      <c r="E425" s="13" t="str">
        <f aca="false">IF(COUNT(F425:AJ425)=0,"",MAX(F425:AJ425))</f>
        <v/>
      </c>
      <c r="F425" s="53" t="str">
        <f aca="false">IF(OR($A425&gt;TOMATO_BED_CAP,$B425&gt;CARROT_BED_CAP,F$4&gt;MESCLUN_BED_CAP,$A425+$B425+F$4&gt;TOTAL_BEDS_AVAILABLE,($D425+F$5)&gt;TOTAL_LABOR_HOURS_CAP,MAX(0,($D425+F$5)-PERMANENT_FIELD_LABOR_HOURS)&gt;TEMP_HOURS_CAP),"",$C425+F$6-MIN(($D425+F$5),PERMANENT_FIELD_LABOR_HOURS)*PERMANENT_HOURLY_RATE-MAX(0,($D425+F$5)-PERMANENT_FIELD_LABOR_HOURS)*TEMP_HOURLY_RATE-FIXED_SEASON_COST)</f>
        <v/>
      </c>
      <c r="G425" s="53" t="str">
        <f aca="false">IF(OR($A425&gt;TOMATO_BED_CAP,$B425&gt;CARROT_BED_CAP,G$4&gt;MESCLUN_BED_CAP,$A425+$B425+G$4&gt;TOTAL_BEDS_AVAILABLE,($D425+G$5)&gt;TOTAL_LABOR_HOURS_CAP,MAX(0,($D425+G$5)-PERMANENT_FIELD_LABOR_HOURS)&gt;TEMP_HOURS_CAP),"",$C425+G$6-MIN(($D425+G$5),PERMANENT_FIELD_LABOR_HOURS)*PERMANENT_HOURLY_RATE-MAX(0,($D425+G$5)-PERMANENT_FIELD_LABOR_HOURS)*TEMP_HOURLY_RATE-FIXED_SEASON_COST)</f>
        <v/>
      </c>
      <c r="H425" s="53" t="str">
        <f aca="false">IF(OR($A425&gt;TOMATO_BED_CAP,$B425&gt;CARROT_BED_CAP,H$4&gt;MESCLUN_BED_CAP,$A425+$B425+H$4&gt;TOTAL_BEDS_AVAILABLE,($D425+H$5)&gt;TOTAL_LABOR_HOURS_CAP,MAX(0,($D425+H$5)-PERMANENT_FIELD_LABOR_HOURS)&gt;TEMP_HOURS_CAP),"",$C425+H$6-MIN(($D425+H$5),PERMANENT_FIELD_LABOR_HOURS)*PERMANENT_HOURLY_RATE-MAX(0,($D425+H$5)-PERMANENT_FIELD_LABOR_HOURS)*TEMP_HOURLY_RATE-FIXED_SEASON_COST)</f>
        <v/>
      </c>
      <c r="I425" s="53" t="str">
        <f aca="false">IF(OR($A425&gt;TOMATO_BED_CAP,$B425&gt;CARROT_BED_CAP,I$4&gt;MESCLUN_BED_CAP,$A425+$B425+I$4&gt;TOTAL_BEDS_AVAILABLE,($D425+I$5)&gt;TOTAL_LABOR_HOURS_CAP,MAX(0,($D425+I$5)-PERMANENT_FIELD_LABOR_HOURS)&gt;TEMP_HOURS_CAP),"",$C425+I$6-MIN(($D425+I$5),PERMANENT_FIELD_LABOR_HOURS)*PERMANENT_HOURLY_RATE-MAX(0,($D425+I$5)-PERMANENT_FIELD_LABOR_HOURS)*TEMP_HOURLY_RATE-FIXED_SEASON_COST)</f>
        <v/>
      </c>
      <c r="J425" s="53" t="str">
        <f aca="false">IF(OR($A425&gt;TOMATO_BED_CAP,$B425&gt;CARROT_BED_CAP,J$4&gt;MESCLUN_BED_CAP,$A425+$B425+J$4&gt;TOTAL_BEDS_AVAILABLE,($D425+J$5)&gt;TOTAL_LABOR_HOURS_CAP,MAX(0,($D425+J$5)-PERMANENT_FIELD_LABOR_HOURS)&gt;TEMP_HOURS_CAP),"",$C425+J$6-MIN(($D425+J$5),PERMANENT_FIELD_LABOR_HOURS)*PERMANENT_HOURLY_RATE-MAX(0,($D425+J$5)-PERMANENT_FIELD_LABOR_HOURS)*TEMP_HOURLY_RATE-FIXED_SEASON_COST)</f>
        <v/>
      </c>
      <c r="K425" s="53" t="str">
        <f aca="false">IF(OR($A425&gt;TOMATO_BED_CAP,$B425&gt;CARROT_BED_CAP,K$4&gt;MESCLUN_BED_CAP,$A425+$B425+K$4&gt;TOTAL_BEDS_AVAILABLE,($D425+K$5)&gt;TOTAL_LABOR_HOURS_CAP,MAX(0,($D425+K$5)-PERMANENT_FIELD_LABOR_HOURS)&gt;TEMP_HOURS_CAP),"",$C425+K$6-MIN(($D425+K$5),PERMANENT_FIELD_LABOR_HOURS)*PERMANENT_HOURLY_RATE-MAX(0,($D425+K$5)-PERMANENT_FIELD_LABOR_HOURS)*TEMP_HOURLY_RATE-FIXED_SEASON_COST)</f>
        <v/>
      </c>
      <c r="L425" s="53" t="str">
        <f aca="false">IF(OR($A425&gt;TOMATO_BED_CAP,$B425&gt;CARROT_BED_CAP,L$4&gt;MESCLUN_BED_CAP,$A425+$B425+L$4&gt;TOTAL_BEDS_AVAILABLE,($D425+L$5)&gt;TOTAL_LABOR_HOURS_CAP,MAX(0,($D425+L$5)-PERMANENT_FIELD_LABOR_HOURS)&gt;TEMP_HOURS_CAP),"",$C425+L$6-MIN(($D425+L$5),PERMANENT_FIELD_LABOR_HOURS)*PERMANENT_HOURLY_RATE-MAX(0,($D425+L$5)-PERMANENT_FIELD_LABOR_HOURS)*TEMP_HOURLY_RATE-FIXED_SEASON_COST)</f>
        <v/>
      </c>
      <c r="M425" s="53" t="str">
        <f aca="false">IF(OR($A425&gt;TOMATO_BED_CAP,$B425&gt;CARROT_BED_CAP,M$4&gt;MESCLUN_BED_CAP,$A425+$B425+M$4&gt;TOTAL_BEDS_AVAILABLE,($D425+M$5)&gt;TOTAL_LABOR_HOURS_CAP,MAX(0,($D425+M$5)-PERMANENT_FIELD_LABOR_HOURS)&gt;TEMP_HOURS_CAP),"",$C425+M$6-MIN(($D425+M$5),PERMANENT_FIELD_LABOR_HOURS)*PERMANENT_HOURLY_RATE-MAX(0,($D425+M$5)-PERMANENT_FIELD_LABOR_HOURS)*TEMP_HOURLY_RATE-FIXED_SEASON_COST)</f>
        <v/>
      </c>
      <c r="N425" s="53" t="str">
        <f aca="false">IF(OR($A425&gt;TOMATO_BED_CAP,$B425&gt;CARROT_BED_CAP,N$4&gt;MESCLUN_BED_CAP,$A425+$B425+N$4&gt;TOTAL_BEDS_AVAILABLE,($D425+N$5)&gt;TOTAL_LABOR_HOURS_CAP,MAX(0,($D425+N$5)-PERMANENT_FIELD_LABOR_HOURS)&gt;TEMP_HOURS_CAP),"",$C425+N$6-MIN(($D425+N$5),PERMANENT_FIELD_LABOR_HOURS)*PERMANENT_HOURLY_RATE-MAX(0,($D425+N$5)-PERMANENT_FIELD_LABOR_HOURS)*TEMP_HOURLY_RATE-FIXED_SEASON_COST)</f>
        <v/>
      </c>
      <c r="O425" s="53" t="str">
        <f aca="false">IF(OR($A425&gt;TOMATO_BED_CAP,$B425&gt;CARROT_BED_CAP,O$4&gt;MESCLUN_BED_CAP,$A425+$B425+O$4&gt;TOTAL_BEDS_AVAILABLE,($D425+O$5)&gt;TOTAL_LABOR_HOURS_CAP,MAX(0,($D425+O$5)-PERMANENT_FIELD_LABOR_HOURS)&gt;TEMP_HOURS_CAP),"",$C425+O$6-MIN(($D425+O$5),PERMANENT_FIELD_LABOR_HOURS)*PERMANENT_HOURLY_RATE-MAX(0,($D425+O$5)-PERMANENT_FIELD_LABOR_HOURS)*TEMP_HOURLY_RATE-FIXED_SEASON_COST)</f>
        <v/>
      </c>
      <c r="P425" s="53" t="str">
        <f aca="false">IF(OR($A425&gt;TOMATO_BED_CAP,$B425&gt;CARROT_BED_CAP,P$4&gt;MESCLUN_BED_CAP,$A425+$B425+P$4&gt;TOTAL_BEDS_AVAILABLE,($D425+P$5)&gt;TOTAL_LABOR_HOURS_CAP,MAX(0,($D425+P$5)-PERMANENT_FIELD_LABOR_HOURS)&gt;TEMP_HOURS_CAP),"",$C425+P$6-MIN(($D425+P$5),PERMANENT_FIELD_LABOR_HOURS)*PERMANENT_HOURLY_RATE-MAX(0,($D425+P$5)-PERMANENT_FIELD_LABOR_HOURS)*TEMP_HOURLY_RATE-FIXED_SEASON_COST)</f>
        <v/>
      </c>
      <c r="Q425" s="53" t="str">
        <f aca="false">IF(OR($A425&gt;TOMATO_BED_CAP,$B425&gt;CARROT_BED_CAP,Q$4&gt;MESCLUN_BED_CAP,$A425+$B425+Q$4&gt;TOTAL_BEDS_AVAILABLE,($D425+Q$5)&gt;TOTAL_LABOR_HOURS_CAP,MAX(0,($D425+Q$5)-PERMANENT_FIELD_LABOR_HOURS)&gt;TEMP_HOURS_CAP),"",$C425+Q$6-MIN(($D425+Q$5),PERMANENT_FIELD_LABOR_HOURS)*PERMANENT_HOURLY_RATE-MAX(0,($D425+Q$5)-PERMANENT_FIELD_LABOR_HOURS)*TEMP_HOURLY_RATE-FIXED_SEASON_COST)</f>
        <v/>
      </c>
      <c r="R425" s="53" t="str">
        <f aca="false">IF(OR($A425&gt;TOMATO_BED_CAP,$B425&gt;CARROT_BED_CAP,R$4&gt;MESCLUN_BED_CAP,$A425+$B425+R$4&gt;TOTAL_BEDS_AVAILABLE,($D425+R$5)&gt;TOTAL_LABOR_HOURS_CAP,MAX(0,($D425+R$5)-PERMANENT_FIELD_LABOR_HOURS)&gt;TEMP_HOURS_CAP),"",$C425+R$6-MIN(($D425+R$5),PERMANENT_FIELD_LABOR_HOURS)*PERMANENT_HOURLY_RATE-MAX(0,($D425+R$5)-PERMANENT_FIELD_LABOR_HOURS)*TEMP_HOURLY_RATE-FIXED_SEASON_COST)</f>
        <v/>
      </c>
      <c r="S425" s="53" t="str">
        <f aca="false">IF(OR($A425&gt;TOMATO_BED_CAP,$B425&gt;CARROT_BED_CAP,S$4&gt;MESCLUN_BED_CAP,$A425+$B425+S$4&gt;TOTAL_BEDS_AVAILABLE,($D425+S$5)&gt;TOTAL_LABOR_HOURS_CAP,MAX(0,($D425+S$5)-PERMANENT_FIELD_LABOR_HOURS)&gt;TEMP_HOURS_CAP),"",$C425+S$6-MIN(($D425+S$5),PERMANENT_FIELD_LABOR_HOURS)*PERMANENT_HOURLY_RATE-MAX(0,($D425+S$5)-PERMANENT_FIELD_LABOR_HOURS)*TEMP_HOURLY_RATE-FIXED_SEASON_COST)</f>
        <v/>
      </c>
      <c r="T425" s="53" t="str">
        <f aca="false">IF(OR($A425&gt;TOMATO_BED_CAP,$B425&gt;CARROT_BED_CAP,T$4&gt;MESCLUN_BED_CAP,$A425+$B425+T$4&gt;TOTAL_BEDS_AVAILABLE,($D425+T$5)&gt;TOTAL_LABOR_HOURS_CAP,MAX(0,($D425+T$5)-PERMANENT_FIELD_LABOR_HOURS)&gt;TEMP_HOURS_CAP),"",$C425+T$6-MIN(($D425+T$5),PERMANENT_FIELD_LABOR_HOURS)*PERMANENT_HOURLY_RATE-MAX(0,($D425+T$5)-PERMANENT_FIELD_LABOR_HOURS)*TEMP_HOURLY_RATE-FIXED_SEASON_COST)</f>
        <v/>
      </c>
      <c r="U425" s="53" t="str">
        <f aca="false">IF(OR($A425&gt;TOMATO_BED_CAP,$B425&gt;CARROT_BED_CAP,U$4&gt;MESCLUN_BED_CAP,$A425+$B425+U$4&gt;TOTAL_BEDS_AVAILABLE,($D425+U$5)&gt;TOTAL_LABOR_HOURS_CAP,MAX(0,($D425+U$5)-PERMANENT_FIELD_LABOR_HOURS)&gt;TEMP_HOURS_CAP),"",$C425+U$6-MIN(($D425+U$5),PERMANENT_FIELD_LABOR_HOURS)*PERMANENT_HOURLY_RATE-MAX(0,($D425+U$5)-PERMANENT_FIELD_LABOR_HOURS)*TEMP_HOURLY_RATE-FIXED_SEASON_COST)</f>
        <v/>
      </c>
      <c r="V425" s="53" t="str">
        <f aca="false">IF(OR($A425&gt;TOMATO_BED_CAP,$B425&gt;CARROT_BED_CAP,V$4&gt;MESCLUN_BED_CAP,$A425+$B425+V$4&gt;TOTAL_BEDS_AVAILABLE,($D425+V$5)&gt;TOTAL_LABOR_HOURS_CAP,MAX(0,($D425+V$5)-PERMANENT_FIELD_LABOR_HOURS)&gt;TEMP_HOURS_CAP),"",$C425+V$6-MIN(($D425+V$5),PERMANENT_FIELD_LABOR_HOURS)*PERMANENT_HOURLY_RATE-MAX(0,($D425+V$5)-PERMANENT_FIELD_LABOR_HOURS)*TEMP_HOURLY_RATE-FIXED_SEASON_COST)</f>
        <v/>
      </c>
      <c r="W425" s="53" t="str">
        <f aca="false">IF(OR($A425&gt;TOMATO_BED_CAP,$B425&gt;CARROT_BED_CAP,W$4&gt;MESCLUN_BED_CAP,$A425+$B425+W$4&gt;TOTAL_BEDS_AVAILABLE,($D425+W$5)&gt;TOTAL_LABOR_HOURS_CAP,MAX(0,($D425+W$5)-PERMANENT_FIELD_LABOR_HOURS)&gt;TEMP_HOURS_CAP),"",$C425+W$6-MIN(($D425+W$5),PERMANENT_FIELD_LABOR_HOURS)*PERMANENT_HOURLY_RATE-MAX(0,($D425+W$5)-PERMANENT_FIELD_LABOR_HOURS)*TEMP_HOURLY_RATE-FIXED_SEASON_COST)</f>
        <v/>
      </c>
      <c r="X425" s="53" t="str">
        <f aca="false">IF(OR($A425&gt;TOMATO_BED_CAP,$B425&gt;CARROT_BED_CAP,X$4&gt;MESCLUN_BED_CAP,$A425+$B425+X$4&gt;TOTAL_BEDS_AVAILABLE,($D425+X$5)&gt;TOTAL_LABOR_HOURS_CAP,MAX(0,($D425+X$5)-PERMANENT_FIELD_LABOR_HOURS)&gt;TEMP_HOURS_CAP),"",$C425+X$6-MIN(($D425+X$5),PERMANENT_FIELD_LABOR_HOURS)*PERMANENT_HOURLY_RATE-MAX(0,($D425+X$5)-PERMANENT_FIELD_LABOR_HOURS)*TEMP_HOURLY_RATE-FIXED_SEASON_COST)</f>
        <v/>
      </c>
      <c r="Y425" s="53" t="str">
        <f aca="false">IF(OR($A425&gt;TOMATO_BED_CAP,$B425&gt;CARROT_BED_CAP,Y$4&gt;MESCLUN_BED_CAP,$A425+$B425+Y$4&gt;TOTAL_BEDS_AVAILABLE,($D425+Y$5)&gt;TOTAL_LABOR_HOURS_CAP,MAX(0,($D425+Y$5)-PERMANENT_FIELD_LABOR_HOURS)&gt;TEMP_HOURS_CAP),"",$C425+Y$6-MIN(($D425+Y$5),PERMANENT_FIELD_LABOR_HOURS)*PERMANENT_HOURLY_RATE-MAX(0,($D425+Y$5)-PERMANENT_FIELD_LABOR_HOURS)*TEMP_HOURLY_RATE-FIXED_SEASON_COST)</f>
        <v/>
      </c>
      <c r="Z425" s="53" t="str">
        <f aca="false">IF(OR($A425&gt;TOMATO_BED_CAP,$B425&gt;CARROT_BED_CAP,Z$4&gt;MESCLUN_BED_CAP,$A425+$B425+Z$4&gt;TOTAL_BEDS_AVAILABLE,($D425+Z$5)&gt;TOTAL_LABOR_HOURS_CAP,MAX(0,($D425+Z$5)-PERMANENT_FIELD_LABOR_HOURS)&gt;TEMP_HOURS_CAP),"",$C425+Z$6-MIN(($D425+Z$5),PERMANENT_FIELD_LABOR_HOURS)*PERMANENT_HOURLY_RATE-MAX(0,($D425+Z$5)-PERMANENT_FIELD_LABOR_HOURS)*TEMP_HOURLY_RATE-FIXED_SEASON_COST)</f>
        <v/>
      </c>
      <c r="AA425" s="53" t="str">
        <f aca="false">IF(OR($A425&gt;TOMATO_BED_CAP,$B425&gt;CARROT_BED_CAP,AA$4&gt;MESCLUN_BED_CAP,$A425+$B425+AA$4&gt;TOTAL_BEDS_AVAILABLE,($D425+AA$5)&gt;TOTAL_LABOR_HOURS_CAP,MAX(0,($D425+AA$5)-PERMANENT_FIELD_LABOR_HOURS)&gt;TEMP_HOURS_CAP),"",$C425+AA$6-MIN(($D425+AA$5),PERMANENT_FIELD_LABOR_HOURS)*PERMANENT_HOURLY_RATE-MAX(0,($D425+AA$5)-PERMANENT_FIELD_LABOR_HOURS)*TEMP_HOURLY_RATE-FIXED_SEASON_COST)</f>
        <v/>
      </c>
      <c r="AB425" s="53" t="str">
        <f aca="false">IF(OR($A425&gt;TOMATO_BED_CAP,$B425&gt;CARROT_BED_CAP,AB$4&gt;MESCLUN_BED_CAP,$A425+$B425+AB$4&gt;TOTAL_BEDS_AVAILABLE,($D425+AB$5)&gt;TOTAL_LABOR_HOURS_CAP,MAX(0,($D425+AB$5)-PERMANENT_FIELD_LABOR_HOURS)&gt;TEMP_HOURS_CAP),"",$C425+AB$6-MIN(($D425+AB$5),PERMANENT_FIELD_LABOR_HOURS)*PERMANENT_HOURLY_RATE-MAX(0,($D425+AB$5)-PERMANENT_FIELD_LABOR_HOURS)*TEMP_HOURLY_RATE-FIXED_SEASON_COST)</f>
        <v/>
      </c>
      <c r="AC425" s="53" t="str">
        <f aca="false">IF(OR($A425&gt;TOMATO_BED_CAP,$B425&gt;CARROT_BED_CAP,AC$4&gt;MESCLUN_BED_CAP,$A425+$B425+AC$4&gt;TOTAL_BEDS_AVAILABLE,($D425+AC$5)&gt;TOTAL_LABOR_HOURS_CAP,MAX(0,($D425+AC$5)-PERMANENT_FIELD_LABOR_HOURS)&gt;TEMP_HOURS_CAP),"",$C425+AC$6-MIN(($D425+AC$5),PERMANENT_FIELD_LABOR_HOURS)*PERMANENT_HOURLY_RATE-MAX(0,($D425+AC$5)-PERMANENT_FIELD_LABOR_HOURS)*TEMP_HOURLY_RATE-FIXED_SEASON_COST)</f>
        <v/>
      </c>
      <c r="AD425" s="53" t="str">
        <f aca="false">IF(OR($A425&gt;TOMATO_BED_CAP,$B425&gt;CARROT_BED_CAP,AD$4&gt;MESCLUN_BED_CAP,$A425+$B425+AD$4&gt;TOTAL_BEDS_AVAILABLE,($D425+AD$5)&gt;TOTAL_LABOR_HOURS_CAP,MAX(0,($D425+AD$5)-PERMANENT_FIELD_LABOR_HOURS)&gt;TEMP_HOURS_CAP),"",$C425+AD$6-MIN(($D425+AD$5),PERMANENT_FIELD_LABOR_HOURS)*PERMANENT_HOURLY_RATE-MAX(0,($D425+AD$5)-PERMANENT_FIELD_LABOR_HOURS)*TEMP_HOURLY_RATE-FIXED_SEASON_COST)</f>
        <v/>
      </c>
      <c r="AE425" s="53" t="str">
        <f aca="false">IF(OR($A425&gt;TOMATO_BED_CAP,$B425&gt;CARROT_BED_CAP,AE$4&gt;MESCLUN_BED_CAP,$A425+$B425+AE$4&gt;TOTAL_BEDS_AVAILABLE,($D425+AE$5)&gt;TOTAL_LABOR_HOURS_CAP,MAX(0,($D425+AE$5)-PERMANENT_FIELD_LABOR_HOURS)&gt;TEMP_HOURS_CAP),"",$C425+AE$6-MIN(($D425+AE$5),PERMANENT_FIELD_LABOR_HOURS)*PERMANENT_HOURLY_RATE-MAX(0,($D425+AE$5)-PERMANENT_FIELD_LABOR_HOURS)*TEMP_HOURLY_RATE-FIXED_SEASON_COST)</f>
        <v/>
      </c>
      <c r="AF425" s="53" t="str">
        <f aca="false">IF(OR($A425&gt;TOMATO_BED_CAP,$B425&gt;CARROT_BED_CAP,AF$4&gt;MESCLUN_BED_CAP,$A425+$B425+AF$4&gt;TOTAL_BEDS_AVAILABLE,($D425+AF$5)&gt;TOTAL_LABOR_HOURS_CAP,MAX(0,($D425+AF$5)-PERMANENT_FIELD_LABOR_HOURS)&gt;TEMP_HOURS_CAP),"",$C425+AF$6-MIN(($D425+AF$5),PERMANENT_FIELD_LABOR_HOURS)*PERMANENT_HOURLY_RATE-MAX(0,($D425+AF$5)-PERMANENT_FIELD_LABOR_HOURS)*TEMP_HOURLY_RATE-FIXED_SEASON_COST)</f>
        <v/>
      </c>
      <c r="AG425" s="53" t="str">
        <f aca="false">IF(OR($A425&gt;TOMATO_BED_CAP,$B425&gt;CARROT_BED_CAP,AG$4&gt;MESCLUN_BED_CAP,$A425+$B425+AG$4&gt;TOTAL_BEDS_AVAILABLE,($D425+AG$5)&gt;TOTAL_LABOR_HOURS_CAP,MAX(0,($D425+AG$5)-PERMANENT_FIELD_LABOR_HOURS)&gt;TEMP_HOURS_CAP),"",$C425+AG$6-MIN(($D425+AG$5),PERMANENT_FIELD_LABOR_HOURS)*PERMANENT_HOURLY_RATE-MAX(0,($D425+AG$5)-PERMANENT_FIELD_LABOR_HOURS)*TEMP_HOURLY_RATE-FIXED_SEASON_COST)</f>
        <v/>
      </c>
      <c r="AH425" s="53" t="str">
        <f aca="false">IF(OR($A425&gt;TOMATO_BED_CAP,$B425&gt;CARROT_BED_CAP,AH$4&gt;MESCLUN_BED_CAP,$A425+$B425+AH$4&gt;TOTAL_BEDS_AVAILABLE,($D425+AH$5)&gt;TOTAL_LABOR_HOURS_CAP,MAX(0,($D425+AH$5)-PERMANENT_FIELD_LABOR_HOURS)&gt;TEMP_HOURS_CAP),"",$C425+AH$6-MIN(($D425+AH$5),PERMANENT_FIELD_LABOR_HOURS)*PERMANENT_HOURLY_RATE-MAX(0,($D425+AH$5)-PERMANENT_FIELD_LABOR_HOURS)*TEMP_HOURLY_RATE-FIXED_SEASON_COST)</f>
        <v/>
      </c>
      <c r="AI425" s="53" t="str">
        <f aca="false">IF(OR($A425&gt;TOMATO_BED_CAP,$B425&gt;CARROT_BED_CAP,AI$4&gt;MESCLUN_BED_CAP,$A425+$B425+AI$4&gt;TOTAL_BEDS_AVAILABLE,($D425+AI$5)&gt;TOTAL_LABOR_HOURS_CAP,MAX(0,($D425+AI$5)-PERMANENT_FIELD_LABOR_HOURS)&gt;TEMP_HOURS_CAP),"",$C425+AI$6-MIN(($D425+AI$5),PERMANENT_FIELD_LABOR_HOURS)*PERMANENT_HOURLY_RATE-MAX(0,($D425+AI$5)-PERMANENT_FIELD_LABOR_HOURS)*TEMP_HOURLY_RATE-FIXED_SEASON_COST)</f>
        <v/>
      </c>
      <c r="AJ425" s="53" t="str">
        <f aca="false">IF(OR($A425&gt;TOMATO_BED_CAP,$B425&gt;CARROT_BED_CAP,AJ$4&gt;MESCLUN_BED_CAP,$A425+$B425+AJ$4&gt;TOTAL_BEDS_AVAILABLE,($D425+AJ$5)&gt;TOTAL_LABOR_HOURS_CAP,MAX(0,($D425+AJ$5)-PERMANENT_FIELD_LABOR_HOURS)&gt;TEMP_HOURS_CAP),"",$C425+AJ$6-MIN(($D425+AJ$5),PERMANENT_FIELD_LABOR_HOURS)*PERMANENT_HOURLY_RATE-MAX(0,($D425+AJ$5)-PERMANENT_FIELD_LABOR_HOURS)*TEMP_HOURLY_RATE-FIXED_SEASON_COST)</f>
        <v/>
      </c>
    </row>
    <row r="426" customFormat="false" ht="15" hidden="false" customHeight="false" outlineLevel="0" collapsed="false">
      <c r="A426" s="21" t="n">
        <f aca="false">INT((ROW()-ROW($A$8))/(20+1))</f>
        <v>19</v>
      </c>
      <c r="B426" s="21" t="n">
        <f aca="false">MOD(ROW()-ROW($A$8),20+1)</f>
        <v>19</v>
      </c>
      <c r="C426" s="13" t="n">
        <f aca="false">A426*(TOMATO_REVENUE_PER_BED-TOMATO_FERTILIZER_PER_BED)+B426*(CARROT_REVENUE_PER_BED-CARROT_FERTILIZER_PER_BED)</f>
        <v>181906</v>
      </c>
      <c r="D426" s="14" t="n">
        <f aca="false">INDEX(TOMATO_SCHED_LABOR_HRS,A426+1)+INDEX(CARROT_SCHED_LABOR_HRS,B426+1)</f>
        <v>11369.0705802566</v>
      </c>
      <c r="E426" s="13" t="str">
        <f aca="false">IF(COUNT(F426:AJ426)=0,"",MAX(F426:AJ426))</f>
        <v/>
      </c>
      <c r="F426" s="53" t="str">
        <f aca="false">IF(OR($A426&gt;TOMATO_BED_CAP,$B426&gt;CARROT_BED_CAP,F$4&gt;MESCLUN_BED_CAP,$A426+$B426+F$4&gt;TOTAL_BEDS_AVAILABLE,($D426+F$5)&gt;TOTAL_LABOR_HOURS_CAP,MAX(0,($D426+F$5)-PERMANENT_FIELD_LABOR_HOURS)&gt;TEMP_HOURS_CAP),"",$C426+F$6-MIN(($D426+F$5),PERMANENT_FIELD_LABOR_HOURS)*PERMANENT_HOURLY_RATE-MAX(0,($D426+F$5)-PERMANENT_FIELD_LABOR_HOURS)*TEMP_HOURLY_RATE-FIXED_SEASON_COST)</f>
        <v/>
      </c>
      <c r="G426" s="53" t="str">
        <f aca="false">IF(OR($A426&gt;TOMATO_BED_CAP,$B426&gt;CARROT_BED_CAP,G$4&gt;MESCLUN_BED_CAP,$A426+$B426+G$4&gt;TOTAL_BEDS_AVAILABLE,($D426+G$5)&gt;TOTAL_LABOR_HOURS_CAP,MAX(0,($D426+G$5)-PERMANENT_FIELD_LABOR_HOURS)&gt;TEMP_HOURS_CAP),"",$C426+G$6-MIN(($D426+G$5),PERMANENT_FIELD_LABOR_HOURS)*PERMANENT_HOURLY_RATE-MAX(0,($D426+G$5)-PERMANENT_FIELD_LABOR_HOURS)*TEMP_HOURLY_RATE-FIXED_SEASON_COST)</f>
        <v/>
      </c>
      <c r="H426" s="53" t="str">
        <f aca="false">IF(OR($A426&gt;TOMATO_BED_CAP,$B426&gt;CARROT_BED_CAP,H$4&gt;MESCLUN_BED_CAP,$A426+$B426+H$4&gt;TOTAL_BEDS_AVAILABLE,($D426+H$5)&gt;TOTAL_LABOR_HOURS_CAP,MAX(0,($D426+H$5)-PERMANENT_FIELD_LABOR_HOURS)&gt;TEMP_HOURS_CAP),"",$C426+H$6-MIN(($D426+H$5),PERMANENT_FIELD_LABOR_HOURS)*PERMANENT_HOURLY_RATE-MAX(0,($D426+H$5)-PERMANENT_FIELD_LABOR_HOURS)*TEMP_HOURLY_RATE-FIXED_SEASON_COST)</f>
        <v/>
      </c>
      <c r="I426" s="53" t="str">
        <f aca="false">IF(OR($A426&gt;TOMATO_BED_CAP,$B426&gt;CARROT_BED_CAP,I$4&gt;MESCLUN_BED_CAP,$A426+$B426+I$4&gt;TOTAL_BEDS_AVAILABLE,($D426+I$5)&gt;TOTAL_LABOR_HOURS_CAP,MAX(0,($D426+I$5)-PERMANENT_FIELD_LABOR_HOURS)&gt;TEMP_HOURS_CAP),"",$C426+I$6-MIN(($D426+I$5),PERMANENT_FIELD_LABOR_HOURS)*PERMANENT_HOURLY_RATE-MAX(0,($D426+I$5)-PERMANENT_FIELD_LABOR_HOURS)*TEMP_HOURLY_RATE-FIXED_SEASON_COST)</f>
        <v/>
      </c>
      <c r="J426" s="53" t="str">
        <f aca="false">IF(OR($A426&gt;TOMATO_BED_CAP,$B426&gt;CARROT_BED_CAP,J$4&gt;MESCLUN_BED_CAP,$A426+$B426+J$4&gt;TOTAL_BEDS_AVAILABLE,($D426+J$5)&gt;TOTAL_LABOR_HOURS_CAP,MAX(0,($D426+J$5)-PERMANENT_FIELD_LABOR_HOURS)&gt;TEMP_HOURS_CAP),"",$C426+J$6-MIN(($D426+J$5),PERMANENT_FIELD_LABOR_HOURS)*PERMANENT_HOURLY_RATE-MAX(0,($D426+J$5)-PERMANENT_FIELD_LABOR_HOURS)*TEMP_HOURLY_RATE-FIXED_SEASON_COST)</f>
        <v/>
      </c>
      <c r="K426" s="53" t="str">
        <f aca="false">IF(OR($A426&gt;TOMATO_BED_CAP,$B426&gt;CARROT_BED_CAP,K$4&gt;MESCLUN_BED_CAP,$A426+$B426+K$4&gt;TOTAL_BEDS_AVAILABLE,($D426+K$5)&gt;TOTAL_LABOR_HOURS_CAP,MAX(0,($D426+K$5)-PERMANENT_FIELD_LABOR_HOURS)&gt;TEMP_HOURS_CAP),"",$C426+K$6-MIN(($D426+K$5),PERMANENT_FIELD_LABOR_HOURS)*PERMANENT_HOURLY_RATE-MAX(0,($D426+K$5)-PERMANENT_FIELD_LABOR_HOURS)*TEMP_HOURLY_RATE-FIXED_SEASON_COST)</f>
        <v/>
      </c>
      <c r="L426" s="53" t="str">
        <f aca="false">IF(OR($A426&gt;TOMATO_BED_CAP,$B426&gt;CARROT_BED_CAP,L$4&gt;MESCLUN_BED_CAP,$A426+$B426+L$4&gt;TOTAL_BEDS_AVAILABLE,($D426+L$5)&gt;TOTAL_LABOR_HOURS_CAP,MAX(0,($D426+L$5)-PERMANENT_FIELD_LABOR_HOURS)&gt;TEMP_HOURS_CAP),"",$C426+L$6-MIN(($D426+L$5),PERMANENT_FIELD_LABOR_HOURS)*PERMANENT_HOURLY_RATE-MAX(0,($D426+L$5)-PERMANENT_FIELD_LABOR_HOURS)*TEMP_HOURLY_RATE-FIXED_SEASON_COST)</f>
        <v/>
      </c>
      <c r="M426" s="53" t="str">
        <f aca="false">IF(OR($A426&gt;TOMATO_BED_CAP,$B426&gt;CARROT_BED_CAP,M$4&gt;MESCLUN_BED_CAP,$A426+$B426+M$4&gt;TOTAL_BEDS_AVAILABLE,($D426+M$5)&gt;TOTAL_LABOR_HOURS_CAP,MAX(0,($D426+M$5)-PERMANENT_FIELD_LABOR_HOURS)&gt;TEMP_HOURS_CAP),"",$C426+M$6-MIN(($D426+M$5),PERMANENT_FIELD_LABOR_HOURS)*PERMANENT_HOURLY_RATE-MAX(0,($D426+M$5)-PERMANENT_FIELD_LABOR_HOURS)*TEMP_HOURLY_RATE-FIXED_SEASON_COST)</f>
        <v/>
      </c>
      <c r="N426" s="53" t="str">
        <f aca="false">IF(OR($A426&gt;TOMATO_BED_CAP,$B426&gt;CARROT_BED_CAP,N$4&gt;MESCLUN_BED_CAP,$A426+$B426+N$4&gt;TOTAL_BEDS_AVAILABLE,($D426+N$5)&gt;TOTAL_LABOR_HOURS_CAP,MAX(0,($D426+N$5)-PERMANENT_FIELD_LABOR_HOURS)&gt;TEMP_HOURS_CAP),"",$C426+N$6-MIN(($D426+N$5),PERMANENT_FIELD_LABOR_HOURS)*PERMANENT_HOURLY_RATE-MAX(0,($D426+N$5)-PERMANENT_FIELD_LABOR_HOURS)*TEMP_HOURLY_RATE-FIXED_SEASON_COST)</f>
        <v/>
      </c>
      <c r="O426" s="53" t="str">
        <f aca="false">IF(OR($A426&gt;TOMATO_BED_CAP,$B426&gt;CARROT_BED_CAP,O$4&gt;MESCLUN_BED_CAP,$A426+$B426+O$4&gt;TOTAL_BEDS_AVAILABLE,($D426+O$5)&gt;TOTAL_LABOR_HOURS_CAP,MAX(0,($D426+O$5)-PERMANENT_FIELD_LABOR_HOURS)&gt;TEMP_HOURS_CAP),"",$C426+O$6-MIN(($D426+O$5),PERMANENT_FIELD_LABOR_HOURS)*PERMANENT_HOURLY_RATE-MAX(0,($D426+O$5)-PERMANENT_FIELD_LABOR_HOURS)*TEMP_HOURLY_RATE-FIXED_SEASON_COST)</f>
        <v/>
      </c>
      <c r="P426" s="53" t="str">
        <f aca="false">IF(OR($A426&gt;TOMATO_BED_CAP,$B426&gt;CARROT_BED_CAP,P$4&gt;MESCLUN_BED_CAP,$A426+$B426+P$4&gt;TOTAL_BEDS_AVAILABLE,($D426+P$5)&gt;TOTAL_LABOR_HOURS_CAP,MAX(0,($D426+P$5)-PERMANENT_FIELD_LABOR_HOURS)&gt;TEMP_HOURS_CAP),"",$C426+P$6-MIN(($D426+P$5),PERMANENT_FIELD_LABOR_HOURS)*PERMANENT_HOURLY_RATE-MAX(0,($D426+P$5)-PERMANENT_FIELD_LABOR_HOURS)*TEMP_HOURLY_RATE-FIXED_SEASON_COST)</f>
        <v/>
      </c>
      <c r="Q426" s="53" t="str">
        <f aca="false">IF(OR($A426&gt;TOMATO_BED_CAP,$B426&gt;CARROT_BED_CAP,Q$4&gt;MESCLUN_BED_CAP,$A426+$B426+Q$4&gt;TOTAL_BEDS_AVAILABLE,($D426+Q$5)&gt;TOTAL_LABOR_HOURS_CAP,MAX(0,($D426+Q$5)-PERMANENT_FIELD_LABOR_HOURS)&gt;TEMP_HOURS_CAP),"",$C426+Q$6-MIN(($D426+Q$5),PERMANENT_FIELD_LABOR_HOURS)*PERMANENT_HOURLY_RATE-MAX(0,($D426+Q$5)-PERMANENT_FIELD_LABOR_HOURS)*TEMP_HOURLY_RATE-FIXED_SEASON_COST)</f>
        <v/>
      </c>
      <c r="R426" s="53" t="str">
        <f aca="false">IF(OR($A426&gt;TOMATO_BED_CAP,$B426&gt;CARROT_BED_CAP,R$4&gt;MESCLUN_BED_CAP,$A426+$B426+R$4&gt;TOTAL_BEDS_AVAILABLE,($D426+R$5)&gt;TOTAL_LABOR_HOURS_CAP,MAX(0,($D426+R$5)-PERMANENT_FIELD_LABOR_HOURS)&gt;TEMP_HOURS_CAP),"",$C426+R$6-MIN(($D426+R$5),PERMANENT_FIELD_LABOR_HOURS)*PERMANENT_HOURLY_RATE-MAX(0,($D426+R$5)-PERMANENT_FIELD_LABOR_HOURS)*TEMP_HOURLY_RATE-FIXED_SEASON_COST)</f>
        <v/>
      </c>
      <c r="S426" s="53" t="str">
        <f aca="false">IF(OR($A426&gt;TOMATO_BED_CAP,$B426&gt;CARROT_BED_CAP,S$4&gt;MESCLUN_BED_CAP,$A426+$B426+S$4&gt;TOTAL_BEDS_AVAILABLE,($D426+S$5)&gt;TOTAL_LABOR_HOURS_CAP,MAX(0,($D426+S$5)-PERMANENT_FIELD_LABOR_HOURS)&gt;TEMP_HOURS_CAP),"",$C426+S$6-MIN(($D426+S$5),PERMANENT_FIELD_LABOR_HOURS)*PERMANENT_HOURLY_RATE-MAX(0,($D426+S$5)-PERMANENT_FIELD_LABOR_HOURS)*TEMP_HOURLY_RATE-FIXED_SEASON_COST)</f>
        <v/>
      </c>
      <c r="T426" s="53" t="str">
        <f aca="false">IF(OR($A426&gt;TOMATO_BED_CAP,$B426&gt;CARROT_BED_CAP,T$4&gt;MESCLUN_BED_CAP,$A426+$B426+T$4&gt;TOTAL_BEDS_AVAILABLE,($D426+T$5)&gt;TOTAL_LABOR_HOURS_CAP,MAX(0,($D426+T$5)-PERMANENT_FIELD_LABOR_HOURS)&gt;TEMP_HOURS_CAP),"",$C426+T$6-MIN(($D426+T$5),PERMANENT_FIELD_LABOR_HOURS)*PERMANENT_HOURLY_RATE-MAX(0,($D426+T$5)-PERMANENT_FIELD_LABOR_HOURS)*TEMP_HOURLY_RATE-FIXED_SEASON_COST)</f>
        <v/>
      </c>
      <c r="U426" s="53" t="str">
        <f aca="false">IF(OR($A426&gt;TOMATO_BED_CAP,$B426&gt;CARROT_BED_CAP,U$4&gt;MESCLUN_BED_CAP,$A426+$B426+U$4&gt;TOTAL_BEDS_AVAILABLE,($D426+U$5)&gt;TOTAL_LABOR_HOURS_CAP,MAX(0,($D426+U$5)-PERMANENT_FIELD_LABOR_HOURS)&gt;TEMP_HOURS_CAP),"",$C426+U$6-MIN(($D426+U$5),PERMANENT_FIELD_LABOR_HOURS)*PERMANENT_HOURLY_RATE-MAX(0,($D426+U$5)-PERMANENT_FIELD_LABOR_HOURS)*TEMP_HOURLY_RATE-FIXED_SEASON_COST)</f>
        <v/>
      </c>
      <c r="V426" s="53" t="str">
        <f aca="false">IF(OR($A426&gt;TOMATO_BED_CAP,$B426&gt;CARROT_BED_CAP,V$4&gt;MESCLUN_BED_CAP,$A426+$B426+V$4&gt;TOTAL_BEDS_AVAILABLE,($D426+V$5)&gt;TOTAL_LABOR_HOURS_CAP,MAX(0,($D426+V$5)-PERMANENT_FIELD_LABOR_HOURS)&gt;TEMP_HOURS_CAP),"",$C426+V$6-MIN(($D426+V$5),PERMANENT_FIELD_LABOR_HOURS)*PERMANENT_HOURLY_RATE-MAX(0,($D426+V$5)-PERMANENT_FIELD_LABOR_HOURS)*TEMP_HOURLY_RATE-FIXED_SEASON_COST)</f>
        <v/>
      </c>
      <c r="W426" s="53" t="str">
        <f aca="false">IF(OR($A426&gt;TOMATO_BED_CAP,$B426&gt;CARROT_BED_CAP,W$4&gt;MESCLUN_BED_CAP,$A426+$B426+W$4&gt;TOTAL_BEDS_AVAILABLE,($D426+W$5)&gt;TOTAL_LABOR_HOURS_CAP,MAX(0,($D426+W$5)-PERMANENT_FIELD_LABOR_HOURS)&gt;TEMP_HOURS_CAP),"",$C426+W$6-MIN(($D426+W$5),PERMANENT_FIELD_LABOR_HOURS)*PERMANENT_HOURLY_RATE-MAX(0,($D426+W$5)-PERMANENT_FIELD_LABOR_HOURS)*TEMP_HOURLY_RATE-FIXED_SEASON_COST)</f>
        <v/>
      </c>
      <c r="X426" s="53" t="str">
        <f aca="false">IF(OR($A426&gt;TOMATO_BED_CAP,$B426&gt;CARROT_BED_CAP,X$4&gt;MESCLUN_BED_CAP,$A426+$B426+X$4&gt;TOTAL_BEDS_AVAILABLE,($D426+X$5)&gt;TOTAL_LABOR_HOURS_CAP,MAX(0,($D426+X$5)-PERMANENT_FIELD_LABOR_HOURS)&gt;TEMP_HOURS_CAP),"",$C426+X$6-MIN(($D426+X$5),PERMANENT_FIELD_LABOR_HOURS)*PERMANENT_HOURLY_RATE-MAX(0,($D426+X$5)-PERMANENT_FIELD_LABOR_HOURS)*TEMP_HOURLY_RATE-FIXED_SEASON_COST)</f>
        <v/>
      </c>
      <c r="Y426" s="53" t="str">
        <f aca="false">IF(OR($A426&gt;TOMATO_BED_CAP,$B426&gt;CARROT_BED_CAP,Y$4&gt;MESCLUN_BED_CAP,$A426+$B426+Y$4&gt;TOTAL_BEDS_AVAILABLE,($D426+Y$5)&gt;TOTAL_LABOR_HOURS_CAP,MAX(0,($D426+Y$5)-PERMANENT_FIELD_LABOR_HOURS)&gt;TEMP_HOURS_CAP),"",$C426+Y$6-MIN(($D426+Y$5),PERMANENT_FIELD_LABOR_HOURS)*PERMANENT_HOURLY_RATE-MAX(0,($D426+Y$5)-PERMANENT_FIELD_LABOR_HOURS)*TEMP_HOURLY_RATE-FIXED_SEASON_COST)</f>
        <v/>
      </c>
      <c r="Z426" s="53" t="str">
        <f aca="false">IF(OR($A426&gt;TOMATO_BED_CAP,$B426&gt;CARROT_BED_CAP,Z$4&gt;MESCLUN_BED_CAP,$A426+$B426+Z$4&gt;TOTAL_BEDS_AVAILABLE,($D426+Z$5)&gt;TOTAL_LABOR_HOURS_CAP,MAX(0,($D426+Z$5)-PERMANENT_FIELD_LABOR_HOURS)&gt;TEMP_HOURS_CAP),"",$C426+Z$6-MIN(($D426+Z$5),PERMANENT_FIELD_LABOR_HOURS)*PERMANENT_HOURLY_RATE-MAX(0,($D426+Z$5)-PERMANENT_FIELD_LABOR_HOURS)*TEMP_HOURLY_RATE-FIXED_SEASON_COST)</f>
        <v/>
      </c>
      <c r="AA426" s="53" t="str">
        <f aca="false">IF(OR($A426&gt;TOMATO_BED_CAP,$B426&gt;CARROT_BED_CAP,AA$4&gt;MESCLUN_BED_CAP,$A426+$B426+AA$4&gt;TOTAL_BEDS_AVAILABLE,($D426+AA$5)&gt;TOTAL_LABOR_HOURS_CAP,MAX(0,($D426+AA$5)-PERMANENT_FIELD_LABOR_HOURS)&gt;TEMP_HOURS_CAP),"",$C426+AA$6-MIN(($D426+AA$5),PERMANENT_FIELD_LABOR_HOURS)*PERMANENT_HOURLY_RATE-MAX(0,($D426+AA$5)-PERMANENT_FIELD_LABOR_HOURS)*TEMP_HOURLY_RATE-FIXED_SEASON_COST)</f>
        <v/>
      </c>
      <c r="AB426" s="53" t="str">
        <f aca="false">IF(OR($A426&gt;TOMATO_BED_CAP,$B426&gt;CARROT_BED_CAP,AB$4&gt;MESCLUN_BED_CAP,$A426+$B426+AB$4&gt;TOTAL_BEDS_AVAILABLE,($D426+AB$5)&gt;TOTAL_LABOR_HOURS_CAP,MAX(0,($D426+AB$5)-PERMANENT_FIELD_LABOR_HOURS)&gt;TEMP_HOURS_CAP),"",$C426+AB$6-MIN(($D426+AB$5),PERMANENT_FIELD_LABOR_HOURS)*PERMANENT_HOURLY_RATE-MAX(0,($D426+AB$5)-PERMANENT_FIELD_LABOR_HOURS)*TEMP_HOURLY_RATE-FIXED_SEASON_COST)</f>
        <v/>
      </c>
      <c r="AC426" s="53" t="str">
        <f aca="false">IF(OR($A426&gt;TOMATO_BED_CAP,$B426&gt;CARROT_BED_CAP,AC$4&gt;MESCLUN_BED_CAP,$A426+$B426+AC$4&gt;TOTAL_BEDS_AVAILABLE,($D426+AC$5)&gt;TOTAL_LABOR_HOURS_CAP,MAX(0,($D426+AC$5)-PERMANENT_FIELD_LABOR_HOURS)&gt;TEMP_HOURS_CAP),"",$C426+AC$6-MIN(($D426+AC$5),PERMANENT_FIELD_LABOR_HOURS)*PERMANENT_HOURLY_RATE-MAX(0,($D426+AC$5)-PERMANENT_FIELD_LABOR_HOURS)*TEMP_HOURLY_RATE-FIXED_SEASON_COST)</f>
        <v/>
      </c>
      <c r="AD426" s="53" t="str">
        <f aca="false">IF(OR($A426&gt;TOMATO_BED_CAP,$B426&gt;CARROT_BED_CAP,AD$4&gt;MESCLUN_BED_CAP,$A426+$B426+AD$4&gt;TOTAL_BEDS_AVAILABLE,($D426+AD$5)&gt;TOTAL_LABOR_HOURS_CAP,MAX(0,($D426+AD$5)-PERMANENT_FIELD_LABOR_HOURS)&gt;TEMP_HOURS_CAP),"",$C426+AD$6-MIN(($D426+AD$5),PERMANENT_FIELD_LABOR_HOURS)*PERMANENT_HOURLY_RATE-MAX(0,($D426+AD$5)-PERMANENT_FIELD_LABOR_HOURS)*TEMP_HOURLY_RATE-FIXED_SEASON_COST)</f>
        <v/>
      </c>
      <c r="AE426" s="53" t="str">
        <f aca="false">IF(OR($A426&gt;TOMATO_BED_CAP,$B426&gt;CARROT_BED_CAP,AE$4&gt;MESCLUN_BED_CAP,$A426+$B426+AE$4&gt;TOTAL_BEDS_AVAILABLE,($D426+AE$5)&gt;TOTAL_LABOR_HOURS_CAP,MAX(0,($D426+AE$5)-PERMANENT_FIELD_LABOR_HOURS)&gt;TEMP_HOURS_CAP),"",$C426+AE$6-MIN(($D426+AE$5),PERMANENT_FIELD_LABOR_HOURS)*PERMANENT_HOURLY_RATE-MAX(0,($D426+AE$5)-PERMANENT_FIELD_LABOR_HOURS)*TEMP_HOURLY_RATE-FIXED_SEASON_COST)</f>
        <v/>
      </c>
      <c r="AF426" s="53" t="str">
        <f aca="false">IF(OR($A426&gt;TOMATO_BED_CAP,$B426&gt;CARROT_BED_CAP,AF$4&gt;MESCLUN_BED_CAP,$A426+$B426+AF$4&gt;TOTAL_BEDS_AVAILABLE,($D426+AF$5)&gt;TOTAL_LABOR_HOURS_CAP,MAX(0,($D426+AF$5)-PERMANENT_FIELD_LABOR_HOURS)&gt;TEMP_HOURS_CAP),"",$C426+AF$6-MIN(($D426+AF$5),PERMANENT_FIELD_LABOR_HOURS)*PERMANENT_HOURLY_RATE-MAX(0,($D426+AF$5)-PERMANENT_FIELD_LABOR_HOURS)*TEMP_HOURLY_RATE-FIXED_SEASON_COST)</f>
        <v/>
      </c>
      <c r="AG426" s="53" t="str">
        <f aca="false">IF(OR($A426&gt;TOMATO_BED_CAP,$B426&gt;CARROT_BED_CAP,AG$4&gt;MESCLUN_BED_CAP,$A426+$B426+AG$4&gt;TOTAL_BEDS_AVAILABLE,($D426+AG$5)&gt;TOTAL_LABOR_HOURS_CAP,MAX(0,($D426+AG$5)-PERMANENT_FIELD_LABOR_HOURS)&gt;TEMP_HOURS_CAP),"",$C426+AG$6-MIN(($D426+AG$5),PERMANENT_FIELD_LABOR_HOURS)*PERMANENT_HOURLY_RATE-MAX(0,($D426+AG$5)-PERMANENT_FIELD_LABOR_HOURS)*TEMP_HOURLY_RATE-FIXED_SEASON_COST)</f>
        <v/>
      </c>
      <c r="AH426" s="53" t="str">
        <f aca="false">IF(OR($A426&gt;TOMATO_BED_CAP,$B426&gt;CARROT_BED_CAP,AH$4&gt;MESCLUN_BED_CAP,$A426+$B426+AH$4&gt;TOTAL_BEDS_AVAILABLE,($D426+AH$5)&gt;TOTAL_LABOR_HOURS_CAP,MAX(0,($D426+AH$5)-PERMANENT_FIELD_LABOR_HOURS)&gt;TEMP_HOURS_CAP),"",$C426+AH$6-MIN(($D426+AH$5),PERMANENT_FIELD_LABOR_HOURS)*PERMANENT_HOURLY_RATE-MAX(0,($D426+AH$5)-PERMANENT_FIELD_LABOR_HOURS)*TEMP_HOURLY_RATE-FIXED_SEASON_COST)</f>
        <v/>
      </c>
      <c r="AI426" s="53" t="str">
        <f aca="false">IF(OR($A426&gt;TOMATO_BED_CAP,$B426&gt;CARROT_BED_CAP,AI$4&gt;MESCLUN_BED_CAP,$A426+$B426+AI$4&gt;TOTAL_BEDS_AVAILABLE,($D426+AI$5)&gt;TOTAL_LABOR_HOURS_CAP,MAX(0,($D426+AI$5)-PERMANENT_FIELD_LABOR_HOURS)&gt;TEMP_HOURS_CAP),"",$C426+AI$6-MIN(($D426+AI$5),PERMANENT_FIELD_LABOR_HOURS)*PERMANENT_HOURLY_RATE-MAX(0,($D426+AI$5)-PERMANENT_FIELD_LABOR_HOURS)*TEMP_HOURLY_RATE-FIXED_SEASON_COST)</f>
        <v/>
      </c>
      <c r="AJ426" s="53" t="str">
        <f aca="false">IF(OR($A426&gt;TOMATO_BED_CAP,$B426&gt;CARROT_BED_CAP,AJ$4&gt;MESCLUN_BED_CAP,$A426+$B426+AJ$4&gt;TOTAL_BEDS_AVAILABLE,($D426+AJ$5)&gt;TOTAL_LABOR_HOURS_CAP,MAX(0,($D426+AJ$5)-PERMANENT_FIELD_LABOR_HOURS)&gt;TEMP_HOURS_CAP),"",$C426+AJ$6-MIN(($D426+AJ$5),PERMANENT_FIELD_LABOR_HOURS)*PERMANENT_HOURLY_RATE-MAX(0,($D426+AJ$5)-PERMANENT_FIELD_LABOR_HOURS)*TEMP_HOURLY_RATE-FIXED_SEASON_COST)</f>
        <v/>
      </c>
    </row>
    <row r="427" customFormat="false" ht="15" hidden="false" customHeight="false" outlineLevel="0" collapsed="false">
      <c r="A427" s="21" t="n">
        <f aca="false">INT((ROW()-ROW($A$8))/(20+1))</f>
        <v>19</v>
      </c>
      <c r="B427" s="21" t="n">
        <f aca="false">MOD(ROW()-ROW($A$8),20+1)</f>
        <v>20</v>
      </c>
      <c r="C427" s="13" t="n">
        <f aca="false">A427*(TOMATO_REVENUE_PER_BED-TOMATO_FERTILIZER_PER_BED)+B427*(CARROT_REVENUE_PER_BED-CARROT_FERTILIZER_PER_BED)</f>
        <v>183560</v>
      </c>
      <c r="D427" s="14" t="n">
        <f aca="false">INDEX(TOMATO_SCHED_LABOR_HRS,A427+1)+INDEX(CARROT_SCHED_LABOR_HRS,B427+1)</f>
        <v>11440.9810629075</v>
      </c>
      <c r="E427" s="13" t="str">
        <f aca="false">IF(COUNT(F427:AJ427)=0,"",MAX(F427:AJ427))</f>
        <v/>
      </c>
      <c r="F427" s="53" t="str">
        <f aca="false">IF(OR($A427&gt;TOMATO_BED_CAP,$B427&gt;CARROT_BED_CAP,F$4&gt;MESCLUN_BED_CAP,$A427+$B427+F$4&gt;TOTAL_BEDS_AVAILABLE,($D427+F$5)&gt;TOTAL_LABOR_HOURS_CAP,MAX(0,($D427+F$5)-PERMANENT_FIELD_LABOR_HOURS)&gt;TEMP_HOURS_CAP),"",$C427+F$6-MIN(($D427+F$5),PERMANENT_FIELD_LABOR_HOURS)*PERMANENT_HOURLY_RATE-MAX(0,($D427+F$5)-PERMANENT_FIELD_LABOR_HOURS)*TEMP_HOURLY_RATE-FIXED_SEASON_COST)</f>
        <v/>
      </c>
      <c r="G427" s="53" t="str">
        <f aca="false">IF(OR($A427&gt;TOMATO_BED_CAP,$B427&gt;CARROT_BED_CAP,G$4&gt;MESCLUN_BED_CAP,$A427+$B427+G$4&gt;TOTAL_BEDS_AVAILABLE,($D427+G$5)&gt;TOTAL_LABOR_HOURS_CAP,MAX(0,($D427+G$5)-PERMANENT_FIELD_LABOR_HOURS)&gt;TEMP_HOURS_CAP),"",$C427+G$6-MIN(($D427+G$5),PERMANENT_FIELD_LABOR_HOURS)*PERMANENT_HOURLY_RATE-MAX(0,($D427+G$5)-PERMANENT_FIELD_LABOR_HOURS)*TEMP_HOURLY_RATE-FIXED_SEASON_COST)</f>
        <v/>
      </c>
      <c r="H427" s="53" t="str">
        <f aca="false">IF(OR($A427&gt;TOMATO_BED_CAP,$B427&gt;CARROT_BED_CAP,H$4&gt;MESCLUN_BED_CAP,$A427+$B427+H$4&gt;TOTAL_BEDS_AVAILABLE,($D427+H$5)&gt;TOTAL_LABOR_HOURS_CAP,MAX(0,($D427+H$5)-PERMANENT_FIELD_LABOR_HOURS)&gt;TEMP_HOURS_CAP),"",$C427+H$6-MIN(($D427+H$5),PERMANENT_FIELD_LABOR_HOURS)*PERMANENT_HOURLY_RATE-MAX(0,($D427+H$5)-PERMANENT_FIELD_LABOR_HOURS)*TEMP_HOURLY_RATE-FIXED_SEASON_COST)</f>
        <v/>
      </c>
      <c r="I427" s="53" t="str">
        <f aca="false">IF(OR($A427&gt;TOMATO_BED_CAP,$B427&gt;CARROT_BED_CAP,I$4&gt;MESCLUN_BED_CAP,$A427+$B427+I$4&gt;TOTAL_BEDS_AVAILABLE,($D427+I$5)&gt;TOTAL_LABOR_HOURS_CAP,MAX(0,($D427+I$5)-PERMANENT_FIELD_LABOR_HOURS)&gt;TEMP_HOURS_CAP),"",$C427+I$6-MIN(($D427+I$5),PERMANENT_FIELD_LABOR_HOURS)*PERMANENT_HOURLY_RATE-MAX(0,($D427+I$5)-PERMANENT_FIELD_LABOR_HOURS)*TEMP_HOURLY_RATE-FIXED_SEASON_COST)</f>
        <v/>
      </c>
      <c r="J427" s="53" t="str">
        <f aca="false">IF(OR($A427&gt;TOMATO_BED_CAP,$B427&gt;CARROT_BED_CAP,J$4&gt;MESCLUN_BED_CAP,$A427+$B427+J$4&gt;TOTAL_BEDS_AVAILABLE,($D427+J$5)&gt;TOTAL_LABOR_HOURS_CAP,MAX(0,($D427+J$5)-PERMANENT_FIELD_LABOR_HOURS)&gt;TEMP_HOURS_CAP),"",$C427+J$6-MIN(($D427+J$5),PERMANENT_FIELD_LABOR_HOURS)*PERMANENT_HOURLY_RATE-MAX(0,($D427+J$5)-PERMANENT_FIELD_LABOR_HOURS)*TEMP_HOURLY_RATE-FIXED_SEASON_COST)</f>
        <v/>
      </c>
      <c r="K427" s="53" t="str">
        <f aca="false">IF(OR($A427&gt;TOMATO_BED_CAP,$B427&gt;CARROT_BED_CAP,K$4&gt;MESCLUN_BED_CAP,$A427+$B427+K$4&gt;TOTAL_BEDS_AVAILABLE,($D427+K$5)&gt;TOTAL_LABOR_HOURS_CAP,MAX(0,($D427+K$5)-PERMANENT_FIELD_LABOR_HOURS)&gt;TEMP_HOURS_CAP),"",$C427+K$6-MIN(($D427+K$5),PERMANENT_FIELD_LABOR_HOURS)*PERMANENT_HOURLY_RATE-MAX(0,($D427+K$5)-PERMANENT_FIELD_LABOR_HOURS)*TEMP_HOURLY_RATE-FIXED_SEASON_COST)</f>
        <v/>
      </c>
      <c r="L427" s="53" t="str">
        <f aca="false">IF(OR($A427&gt;TOMATO_BED_CAP,$B427&gt;CARROT_BED_CAP,L$4&gt;MESCLUN_BED_CAP,$A427+$B427+L$4&gt;TOTAL_BEDS_AVAILABLE,($D427+L$5)&gt;TOTAL_LABOR_HOURS_CAP,MAX(0,($D427+L$5)-PERMANENT_FIELD_LABOR_HOURS)&gt;TEMP_HOURS_CAP),"",$C427+L$6-MIN(($D427+L$5),PERMANENT_FIELD_LABOR_HOURS)*PERMANENT_HOURLY_RATE-MAX(0,($D427+L$5)-PERMANENT_FIELD_LABOR_HOURS)*TEMP_HOURLY_RATE-FIXED_SEASON_COST)</f>
        <v/>
      </c>
      <c r="M427" s="53" t="str">
        <f aca="false">IF(OR($A427&gt;TOMATO_BED_CAP,$B427&gt;CARROT_BED_CAP,M$4&gt;MESCLUN_BED_CAP,$A427+$B427+M$4&gt;TOTAL_BEDS_AVAILABLE,($D427+M$5)&gt;TOTAL_LABOR_HOURS_CAP,MAX(0,($D427+M$5)-PERMANENT_FIELD_LABOR_HOURS)&gt;TEMP_HOURS_CAP),"",$C427+M$6-MIN(($D427+M$5),PERMANENT_FIELD_LABOR_HOURS)*PERMANENT_HOURLY_RATE-MAX(0,($D427+M$5)-PERMANENT_FIELD_LABOR_HOURS)*TEMP_HOURLY_RATE-FIXED_SEASON_COST)</f>
        <v/>
      </c>
      <c r="N427" s="53" t="str">
        <f aca="false">IF(OR($A427&gt;TOMATO_BED_CAP,$B427&gt;CARROT_BED_CAP,N$4&gt;MESCLUN_BED_CAP,$A427+$B427+N$4&gt;TOTAL_BEDS_AVAILABLE,($D427+N$5)&gt;TOTAL_LABOR_HOURS_CAP,MAX(0,($D427+N$5)-PERMANENT_FIELD_LABOR_HOURS)&gt;TEMP_HOURS_CAP),"",$C427+N$6-MIN(($D427+N$5),PERMANENT_FIELD_LABOR_HOURS)*PERMANENT_HOURLY_RATE-MAX(0,($D427+N$5)-PERMANENT_FIELD_LABOR_HOURS)*TEMP_HOURLY_RATE-FIXED_SEASON_COST)</f>
        <v/>
      </c>
      <c r="O427" s="53" t="str">
        <f aca="false">IF(OR($A427&gt;TOMATO_BED_CAP,$B427&gt;CARROT_BED_CAP,O$4&gt;MESCLUN_BED_CAP,$A427+$B427+O$4&gt;TOTAL_BEDS_AVAILABLE,($D427+O$5)&gt;TOTAL_LABOR_HOURS_CAP,MAX(0,($D427+O$5)-PERMANENT_FIELD_LABOR_HOURS)&gt;TEMP_HOURS_CAP),"",$C427+O$6-MIN(($D427+O$5),PERMANENT_FIELD_LABOR_HOURS)*PERMANENT_HOURLY_RATE-MAX(0,($D427+O$5)-PERMANENT_FIELD_LABOR_HOURS)*TEMP_HOURLY_RATE-FIXED_SEASON_COST)</f>
        <v/>
      </c>
      <c r="P427" s="53" t="str">
        <f aca="false">IF(OR($A427&gt;TOMATO_BED_CAP,$B427&gt;CARROT_BED_CAP,P$4&gt;MESCLUN_BED_CAP,$A427+$B427+P$4&gt;TOTAL_BEDS_AVAILABLE,($D427+P$5)&gt;TOTAL_LABOR_HOURS_CAP,MAX(0,($D427+P$5)-PERMANENT_FIELD_LABOR_HOURS)&gt;TEMP_HOURS_CAP),"",$C427+P$6-MIN(($D427+P$5),PERMANENT_FIELD_LABOR_HOURS)*PERMANENT_HOURLY_RATE-MAX(0,($D427+P$5)-PERMANENT_FIELD_LABOR_HOURS)*TEMP_HOURLY_RATE-FIXED_SEASON_COST)</f>
        <v/>
      </c>
      <c r="Q427" s="53" t="str">
        <f aca="false">IF(OR($A427&gt;TOMATO_BED_CAP,$B427&gt;CARROT_BED_CAP,Q$4&gt;MESCLUN_BED_CAP,$A427+$B427+Q$4&gt;TOTAL_BEDS_AVAILABLE,($D427+Q$5)&gt;TOTAL_LABOR_HOURS_CAP,MAX(0,($D427+Q$5)-PERMANENT_FIELD_LABOR_HOURS)&gt;TEMP_HOURS_CAP),"",$C427+Q$6-MIN(($D427+Q$5),PERMANENT_FIELD_LABOR_HOURS)*PERMANENT_HOURLY_RATE-MAX(0,($D427+Q$5)-PERMANENT_FIELD_LABOR_HOURS)*TEMP_HOURLY_RATE-FIXED_SEASON_COST)</f>
        <v/>
      </c>
      <c r="R427" s="53" t="str">
        <f aca="false">IF(OR($A427&gt;TOMATO_BED_CAP,$B427&gt;CARROT_BED_CAP,R$4&gt;MESCLUN_BED_CAP,$A427+$B427+R$4&gt;TOTAL_BEDS_AVAILABLE,($D427+R$5)&gt;TOTAL_LABOR_HOURS_CAP,MAX(0,($D427+R$5)-PERMANENT_FIELD_LABOR_HOURS)&gt;TEMP_HOURS_CAP),"",$C427+R$6-MIN(($D427+R$5),PERMANENT_FIELD_LABOR_HOURS)*PERMANENT_HOURLY_RATE-MAX(0,($D427+R$5)-PERMANENT_FIELD_LABOR_HOURS)*TEMP_HOURLY_RATE-FIXED_SEASON_COST)</f>
        <v/>
      </c>
      <c r="S427" s="53" t="str">
        <f aca="false">IF(OR($A427&gt;TOMATO_BED_CAP,$B427&gt;CARROT_BED_CAP,S$4&gt;MESCLUN_BED_CAP,$A427+$B427+S$4&gt;TOTAL_BEDS_AVAILABLE,($D427+S$5)&gt;TOTAL_LABOR_HOURS_CAP,MAX(0,($D427+S$5)-PERMANENT_FIELD_LABOR_HOURS)&gt;TEMP_HOURS_CAP),"",$C427+S$6-MIN(($D427+S$5),PERMANENT_FIELD_LABOR_HOURS)*PERMANENT_HOURLY_RATE-MAX(0,($D427+S$5)-PERMANENT_FIELD_LABOR_HOURS)*TEMP_HOURLY_RATE-FIXED_SEASON_COST)</f>
        <v/>
      </c>
      <c r="T427" s="53" t="str">
        <f aca="false">IF(OR($A427&gt;TOMATO_BED_CAP,$B427&gt;CARROT_BED_CAP,T$4&gt;MESCLUN_BED_CAP,$A427+$B427+T$4&gt;TOTAL_BEDS_AVAILABLE,($D427+T$5)&gt;TOTAL_LABOR_HOURS_CAP,MAX(0,($D427+T$5)-PERMANENT_FIELD_LABOR_HOURS)&gt;TEMP_HOURS_CAP),"",$C427+T$6-MIN(($D427+T$5),PERMANENT_FIELD_LABOR_HOURS)*PERMANENT_HOURLY_RATE-MAX(0,($D427+T$5)-PERMANENT_FIELD_LABOR_HOURS)*TEMP_HOURLY_RATE-FIXED_SEASON_COST)</f>
        <v/>
      </c>
      <c r="U427" s="53" t="str">
        <f aca="false">IF(OR($A427&gt;TOMATO_BED_CAP,$B427&gt;CARROT_BED_CAP,U$4&gt;MESCLUN_BED_CAP,$A427+$B427+U$4&gt;TOTAL_BEDS_AVAILABLE,($D427+U$5)&gt;TOTAL_LABOR_HOURS_CAP,MAX(0,($D427+U$5)-PERMANENT_FIELD_LABOR_HOURS)&gt;TEMP_HOURS_CAP),"",$C427+U$6-MIN(($D427+U$5),PERMANENT_FIELD_LABOR_HOURS)*PERMANENT_HOURLY_RATE-MAX(0,($D427+U$5)-PERMANENT_FIELD_LABOR_HOURS)*TEMP_HOURLY_RATE-FIXED_SEASON_COST)</f>
        <v/>
      </c>
      <c r="V427" s="53" t="str">
        <f aca="false">IF(OR($A427&gt;TOMATO_BED_CAP,$B427&gt;CARROT_BED_CAP,V$4&gt;MESCLUN_BED_CAP,$A427+$B427+V$4&gt;TOTAL_BEDS_AVAILABLE,($D427+V$5)&gt;TOTAL_LABOR_HOURS_CAP,MAX(0,($D427+V$5)-PERMANENT_FIELD_LABOR_HOURS)&gt;TEMP_HOURS_CAP),"",$C427+V$6-MIN(($D427+V$5),PERMANENT_FIELD_LABOR_HOURS)*PERMANENT_HOURLY_RATE-MAX(0,($D427+V$5)-PERMANENT_FIELD_LABOR_HOURS)*TEMP_HOURLY_RATE-FIXED_SEASON_COST)</f>
        <v/>
      </c>
      <c r="W427" s="53" t="str">
        <f aca="false">IF(OR($A427&gt;TOMATO_BED_CAP,$B427&gt;CARROT_BED_CAP,W$4&gt;MESCLUN_BED_CAP,$A427+$B427+W$4&gt;TOTAL_BEDS_AVAILABLE,($D427+W$5)&gt;TOTAL_LABOR_HOURS_CAP,MAX(0,($D427+W$5)-PERMANENT_FIELD_LABOR_HOURS)&gt;TEMP_HOURS_CAP),"",$C427+W$6-MIN(($D427+W$5),PERMANENT_FIELD_LABOR_HOURS)*PERMANENT_HOURLY_RATE-MAX(0,($D427+W$5)-PERMANENT_FIELD_LABOR_HOURS)*TEMP_HOURLY_RATE-FIXED_SEASON_COST)</f>
        <v/>
      </c>
      <c r="X427" s="53" t="str">
        <f aca="false">IF(OR($A427&gt;TOMATO_BED_CAP,$B427&gt;CARROT_BED_CAP,X$4&gt;MESCLUN_BED_CAP,$A427+$B427+X$4&gt;TOTAL_BEDS_AVAILABLE,($D427+X$5)&gt;TOTAL_LABOR_HOURS_CAP,MAX(0,($D427+X$5)-PERMANENT_FIELD_LABOR_HOURS)&gt;TEMP_HOURS_CAP),"",$C427+X$6-MIN(($D427+X$5),PERMANENT_FIELD_LABOR_HOURS)*PERMANENT_HOURLY_RATE-MAX(0,($D427+X$5)-PERMANENT_FIELD_LABOR_HOURS)*TEMP_HOURLY_RATE-FIXED_SEASON_COST)</f>
        <v/>
      </c>
      <c r="Y427" s="53" t="str">
        <f aca="false">IF(OR($A427&gt;TOMATO_BED_CAP,$B427&gt;CARROT_BED_CAP,Y$4&gt;MESCLUN_BED_CAP,$A427+$B427+Y$4&gt;TOTAL_BEDS_AVAILABLE,($D427+Y$5)&gt;TOTAL_LABOR_HOURS_CAP,MAX(0,($D427+Y$5)-PERMANENT_FIELD_LABOR_HOURS)&gt;TEMP_HOURS_CAP),"",$C427+Y$6-MIN(($D427+Y$5),PERMANENT_FIELD_LABOR_HOURS)*PERMANENT_HOURLY_RATE-MAX(0,($D427+Y$5)-PERMANENT_FIELD_LABOR_HOURS)*TEMP_HOURLY_RATE-FIXED_SEASON_COST)</f>
        <v/>
      </c>
      <c r="Z427" s="53" t="str">
        <f aca="false">IF(OR($A427&gt;TOMATO_BED_CAP,$B427&gt;CARROT_BED_CAP,Z$4&gt;MESCLUN_BED_CAP,$A427+$B427+Z$4&gt;TOTAL_BEDS_AVAILABLE,($D427+Z$5)&gt;TOTAL_LABOR_HOURS_CAP,MAX(0,($D427+Z$5)-PERMANENT_FIELD_LABOR_HOURS)&gt;TEMP_HOURS_CAP),"",$C427+Z$6-MIN(($D427+Z$5),PERMANENT_FIELD_LABOR_HOURS)*PERMANENT_HOURLY_RATE-MAX(0,($D427+Z$5)-PERMANENT_FIELD_LABOR_HOURS)*TEMP_HOURLY_RATE-FIXED_SEASON_COST)</f>
        <v/>
      </c>
      <c r="AA427" s="53" t="str">
        <f aca="false">IF(OR($A427&gt;TOMATO_BED_CAP,$B427&gt;CARROT_BED_CAP,AA$4&gt;MESCLUN_BED_CAP,$A427+$B427+AA$4&gt;TOTAL_BEDS_AVAILABLE,($D427+AA$5)&gt;TOTAL_LABOR_HOURS_CAP,MAX(0,($D427+AA$5)-PERMANENT_FIELD_LABOR_HOURS)&gt;TEMP_HOURS_CAP),"",$C427+AA$6-MIN(($D427+AA$5),PERMANENT_FIELD_LABOR_HOURS)*PERMANENT_HOURLY_RATE-MAX(0,($D427+AA$5)-PERMANENT_FIELD_LABOR_HOURS)*TEMP_HOURLY_RATE-FIXED_SEASON_COST)</f>
        <v/>
      </c>
      <c r="AB427" s="53" t="str">
        <f aca="false">IF(OR($A427&gt;TOMATO_BED_CAP,$B427&gt;CARROT_BED_CAP,AB$4&gt;MESCLUN_BED_CAP,$A427+$B427+AB$4&gt;TOTAL_BEDS_AVAILABLE,($D427+AB$5)&gt;TOTAL_LABOR_HOURS_CAP,MAX(0,($D427+AB$5)-PERMANENT_FIELD_LABOR_HOURS)&gt;TEMP_HOURS_CAP),"",$C427+AB$6-MIN(($D427+AB$5),PERMANENT_FIELD_LABOR_HOURS)*PERMANENT_HOURLY_RATE-MAX(0,($D427+AB$5)-PERMANENT_FIELD_LABOR_HOURS)*TEMP_HOURLY_RATE-FIXED_SEASON_COST)</f>
        <v/>
      </c>
      <c r="AC427" s="53" t="str">
        <f aca="false">IF(OR($A427&gt;TOMATO_BED_CAP,$B427&gt;CARROT_BED_CAP,AC$4&gt;MESCLUN_BED_CAP,$A427+$B427+AC$4&gt;TOTAL_BEDS_AVAILABLE,($D427+AC$5)&gt;TOTAL_LABOR_HOURS_CAP,MAX(0,($D427+AC$5)-PERMANENT_FIELD_LABOR_HOURS)&gt;TEMP_HOURS_CAP),"",$C427+AC$6-MIN(($D427+AC$5),PERMANENT_FIELD_LABOR_HOURS)*PERMANENT_HOURLY_RATE-MAX(0,($D427+AC$5)-PERMANENT_FIELD_LABOR_HOURS)*TEMP_HOURLY_RATE-FIXED_SEASON_COST)</f>
        <v/>
      </c>
      <c r="AD427" s="53" t="str">
        <f aca="false">IF(OR($A427&gt;TOMATO_BED_CAP,$B427&gt;CARROT_BED_CAP,AD$4&gt;MESCLUN_BED_CAP,$A427+$B427+AD$4&gt;TOTAL_BEDS_AVAILABLE,($D427+AD$5)&gt;TOTAL_LABOR_HOURS_CAP,MAX(0,($D427+AD$5)-PERMANENT_FIELD_LABOR_HOURS)&gt;TEMP_HOURS_CAP),"",$C427+AD$6-MIN(($D427+AD$5),PERMANENT_FIELD_LABOR_HOURS)*PERMANENT_HOURLY_RATE-MAX(0,($D427+AD$5)-PERMANENT_FIELD_LABOR_HOURS)*TEMP_HOURLY_RATE-FIXED_SEASON_COST)</f>
        <v/>
      </c>
      <c r="AE427" s="53" t="str">
        <f aca="false">IF(OR($A427&gt;TOMATO_BED_CAP,$B427&gt;CARROT_BED_CAP,AE$4&gt;MESCLUN_BED_CAP,$A427+$B427+AE$4&gt;TOTAL_BEDS_AVAILABLE,($D427+AE$5)&gt;TOTAL_LABOR_HOURS_CAP,MAX(0,($D427+AE$5)-PERMANENT_FIELD_LABOR_HOURS)&gt;TEMP_HOURS_CAP),"",$C427+AE$6-MIN(($D427+AE$5),PERMANENT_FIELD_LABOR_HOURS)*PERMANENT_HOURLY_RATE-MAX(0,($D427+AE$5)-PERMANENT_FIELD_LABOR_HOURS)*TEMP_HOURLY_RATE-FIXED_SEASON_COST)</f>
        <v/>
      </c>
      <c r="AF427" s="53" t="str">
        <f aca="false">IF(OR($A427&gt;TOMATO_BED_CAP,$B427&gt;CARROT_BED_CAP,AF$4&gt;MESCLUN_BED_CAP,$A427+$B427+AF$4&gt;TOTAL_BEDS_AVAILABLE,($D427+AF$5)&gt;TOTAL_LABOR_HOURS_CAP,MAX(0,($D427+AF$5)-PERMANENT_FIELD_LABOR_HOURS)&gt;TEMP_HOURS_CAP),"",$C427+AF$6-MIN(($D427+AF$5),PERMANENT_FIELD_LABOR_HOURS)*PERMANENT_HOURLY_RATE-MAX(0,($D427+AF$5)-PERMANENT_FIELD_LABOR_HOURS)*TEMP_HOURLY_RATE-FIXED_SEASON_COST)</f>
        <v/>
      </c>
      <c r="AG427" s="53" t="str">
        <f aca="false">IF(OR($A427&gt;TOMATO_BED_CAP,$B427&gt;CARROT_BED_CAP,AG$4&gt;MESCLUN_BED_CAP,$A427+$B427+AG$4&gt;TOTAL_BEDS_AVAILABLE,($D427+AG$5)&gt;TOTAL_LABOR_HOURS_CAP,MAX(0,($D427+AG$5)-PERMANENT_FIELD_LABOR_HOURS)&gt;TEMP_HOURS_CAP),"",$C427+AG$6-MIN(($D427+AG$5),PERMANENT_FIELD_LABOR_HOURS)*PERMANENT_HOURLY_RATE-MAX(0,($D427+AG$5)-PERMANENT_FIELD_LABOR_HOURS)*TEMP_HOURLY_RATE-FIXED_SEASON_COST)</f>
        <v/>
      </c>
      <c r="AH427" s="53" t="str">
        <f aca="false">IF(OR($A427&gt;TOMATO_BED_CAP,$B427&gt;CARROT_BED_CAP,AH$4&gt;MESCLUN_BED_CAP,$A427+$B427+AH$4&gt;TOTAL_BEDS_AVAILABLE,($D427+AH$5)&gt;TOTAL_LABOR_HOURS_CAP,MAX(0,($D427+AH$5)-PERMANENT_FIELD_LABOR_HOURS)&gt;TEMP_HOURS_CAP),"",$C427+AH$6-MIN(($D427+AH$5),PERMANENT_FIELD_LABOR_HOURS)*PERMANENT_HOURLY_RATE-MAX(0,($D427+AH$5)-PERMANENT_FIELD_LABOR_HOURS)*TEMP_HOURLY_RATE-FIXED_SEASON_COST)</f>
        <v/>
      </c>
      <c r="AI427" s="53" t="str">
        <f aca="false">IF(OR($A427&gt;TOMATO_BED_CAP,$B427&gt;CARROT_BED_CAP,AI$4&gt;MESCLUN_BED_CAP,$A427+$B427+AI$4&gt;TOTAL_BEDS_AVAILABLE,($D427+AI$5)&gt;TOTAL_LABOR_HOURS_CAP,MAX(0,($D427+AI$5)-PERMANENT_FIELD_LABOR_HOURS)&gt;TEMP_HOURS_CAP),"",$C427+AI$6-MIN(($D427+AI$5),PERMANENT_FIELD_LABOR_HOURS)*PERMANENT_HOURLY_RATE-MAX(0,($D427+AI$5)-PERMANENT_FIELD_LABOR_HOURS)*TEMP_HOURLY_RATE-FIXED_SEASON_COST)</f>
        <v/>
      </c>
      <c r="AJ427" s="53" t="str">
        <f aca="false">IF(OR($A427&gt;TOMATO_BED_CAP,$B427&gt;CARROT_BED_CAP,AJ$4&gt;MESCLUN_BED_CAP,$A427+$B427+AJ$4&gt;TOTAL_BEDS_AVAILABLE,($D427+AJ$5)&gt;TOTAL_LABOR_HOURS_CAP,MAX(0,($D427+AJ$5)-PERMANENT_FIELD_LABOR_HOURS)&gt;TEMP_HOURS_CAP),"",$C427+AJ$6-MIN(($D427+AJ$5),PERMANENT_FIELD_LABOR_HOURS)*PERMANENT_HOURLY_RATE-MAX(0,($D427+AJ$5)-PERMANENT_FIELD_LABOR_HOURS)*TEMP_HOURLY_RATE-FIXED_SEASON_COST)</f>
        <v/>
      </c>
    </row>
    <row r="428" customFormat="false" ht="15" hidden="false" customHeight="false" outlineLevel="0" collapsed="false">
      <c r="A428" s="21" t="n">
        <f aca="false">INT((ROW()-ROW($A$8))/(20+1))</f>
        <v>20</v>
      </c>
      <c r="B428" s="21" t="n">
        <f aca="false">MOD(ROW()-ROW($A$8),20+1)</f>
        <v>0</v>
      </c>
      <c r="C428" s="13" t="n">
        <f aca="false">A428*(TOMATO_REVENUE_PER_BED-TOMATO_FERTILIZER_PER_BED)+B428*(CARROT_REVENUE_PER_BED-CARROT_FERTILIZER_PER_BED)</f>
        <v>158400</v>
      </c>
      <c r="D428" s="14" t="n">
        <f aca="false">INDEX(TOMATO_SCHED_LABOR_HRS,A428+1)+INDEX(CARROT_SCHED_LABOR_HRS,B428+1)</f>
        <v>12109.4999087861</v>
      </c>
      <c r="E428" s="13" t="str">
        <f aca="false">IF(COUNT(F428:AJ428)=0,"",MAX(F428:AJ428))</f>
        <v/>
      </c>
      <c r="F428" s="53" t="str">
        <f aca="false">IF(OR($A428&gt;TOMATO_BED_CAP,$B428&gt;CARROT_BED_CAP,F$4&gt;MESCLUN_BED_CAP,$A428+$B428+F$4&gt;TOTAL_BEDS_AVAILABLE,($D428+F$5)&gt;TOTAL_LABOR_HOURS_CAP,MAX(0,($D428+F$5)-PERMANENT_FIELD_LABOR_HOURS)&gt;TEMP_HOURS_CAP),"",$C428+F$6-MIN(($D428+F$5),PERMANENT_FIELD_LABOR_HOURS)*PERMANENT_HOURLY_RATE-MAX(0,($D428+F$5)-PERMANENT_FIELD_LABOR_HOURS)*TEMP_HOURLY_RATE-FIXED_SEASON_COST)</f>
        <v/>
      </c>
      <c r="G428" s="53" t="str">
        <f aca="false">IF(OR($A428&gt;TOMATO_BED_CAP,$B428&gt;CARROT_BED_CAP,G$4&gt;MESCLUN_BED_CAP,$A428+$B428+G$4&gt;TOTAL_BEDS_AVAILABLE,($D428+G$5)&gt;TOTAL_LABOR_HOURS_CAP,MAX(0,($D428+G$5)-PERMANENT_FIELD_LABOR_HOURS)&gt;TEMP_HOURS_CAP),"",$C428+G$6-MIN(($D428+G$5),PERMANENT_FIELD_LABOR_HOURS)*PERMANENT_HOURLY_RATE-MAX(0,($D428+G$5)-PERMANENT_FIELD_LABOR_HOURS)*TEMP_HOURLY_RATE-FIXED_SEASON_COST)</f>
        <v/>
      </c>
      <c r="H428" s="53" t="str">
        <f aca="false">IF(OR($A428&gt;TOMATO_BED_CAP,$B428&gt;CARROT_BED_CAP,H$4&gt;MESCLUN_BED_CAP,$A428+$B428+H$4&gt;TOTAL_BEDS_AVAILABLE,($D428+H$5)&gt;TOTAL_LABOR_HOURS_CAP,MAX(0,($D428+H$5)-PERMANENT_FIELD_LABOR_HOURS)&gt;TEMP_HOURS_CAP),"",$C428+H$6-MIN(($D428+H$5),PERMANENT_FIELD_LABOR_HOURS)*PERMANENT_HOURLY_RATE-MAX(0,($D428+H$5)-PERMANENT_FIELD_LABOR_HOURS)*TEMP_HOURLY_RATE-FIXED_SEASON_COST)</f>
        <v/>
      </c>
      <c r="I428" s="53" t="str">
        <f aca="false">IF(OR($A428&gt;TOMATO_BED_CAP,$B428&gt;CARROT_BED_CAP,I$4&gt;MESCLUN_BED_CAP,$A428+$B428+I$4&gt;TOTAL_BEDS_AVAILABLE,($D428+I$5)&gt;TOTAL_LABOR_HOURS_CAP,MAX(0,($D428+I$5)-PERMANENT_FIELD_LABOR_HOURS)&gt;TEMP_HOURS_CAP),"",$C428+I$6-MIN(($D428+I$5),PERMANENT_FIELD_LABOR_HOURS)*PERMANENT_HOURLY_RATE-MAX(0,($D428+I$5)-PERMANENT_FIELD_LABOR_HOURS)*TEMP_HOURLY_RATE-FIXED_SEASON_COST)</f>
        <v/>
      </c>
      <c r="J428" s="53" t="str">
        <f aca="false">IF(OR($A428&gt;TOMATO_BED_CAP,$B428&gt;CARROT_BED_CAP,J$4&gt;MESCLUN_BED_CAP,$A428+$B428+J$4&gt;TOTAL_BEDS_AVAILABLE,($D428+J$5)&gt;TOTAL_LABOR_HOURS_CAP,MAX(0,($D428+J$5)-PERMANENT_FIELD_LABOR_HOURS)&gt;TEMP_HOURS_CAP),"",$C428+J$6-MIN(($D428+J$5),PERMANENT_FIELD_LABOR_HOURS)*PERMANENT_HOURLY_RATE-MAX(0,($D428+J$5)-PERMANENT_FIELD_LABOR_HOURS)*TEMP_HOURLY_RATE-FIXED_SEASON_COST)</f>
        <v/>
      </c>
      <c r="K428" s="53" t="str">
        <f aca="false">IF(OR($A428&gt;TOMATO_BED_CAP,$B428&gt;CARROT_BED_CAP,K$4&gt;MESCLUN_BED_CAP,$A428+$B428+K$4&gt;TOTAL_BEDS_AVAILABLE,($D428+K$5)&gt;TOTAL_LABOR_HOURS_CAP,MAX(0,($D428+K$5)-PERMANENT_FIELD_LABOR_HOURS)&gt;TEMP_HOURS_CAP),"",$C428+K$6-MIN(($D428+K$5),PERMANENT_FIELD_LABOR_HOURS)*PERMANENT_HOURLY_RATE-MAX(0,($D428+K$5)-PERMANENT_FIELD_LABOR_HOURS)*TEMP_HOURLY_RATE-FIXED_SEASON_COST)</f>
        <v/>
      </c>
      <c r="L428" s="53" t="str">
        <f aca="false">IF(OR($A428&gt;TOMATO_BED_CAP,$B428&gt;CARROT_BED_CAP,L$4&gt;MESCLUN_BED_CAP,$A428+$B428+L$4&gt;TOTAL_BEDS_AVAILABLE,($D428+L$5)&gt;TOTAL_LABOR_HOURS_CAP,MAX(0,($D428+L$5)-PERMANENT_FIELD_LABOR_HOURS)&gt;TEMP_HOURS_CAP),"",$C428+L$6-MIN(($D428+L$5),PERMANENT_FIELD_LABOR_HOURS)*PERMANENT_HOURLY_RATE-MAX(0,($D428+L$5)-PERMANENT_FIELD_LABOR_HOURS)*TEMP_HOURLY_RATE-FIXED_SEASON_COST)</f>
        <v/>
      </c>
      <c r="M428" s="53" t="str">
        <f aca="false">IF(OR($A428&gt;TOMATO_BED_CAP,$B428&gt;CARROT_BED_CAP,M$4&gt;MESCLUN_BED_CAP,$A428+$B428+M$4&gt;TOTAL_BEDS_AVAILABLE,($D428+M$5)&gt;TOTAL_LABOR_HOURS_CAP,MAX(0,($D428+M$5)-PERMANENT_FIELD_LABOR_HOURS)&gt;TEMP_HOURS_CAP),"",$C428+M$6-MIN(($D428+M$5),PERMANENT_FIELD_LABOR_HOURS)*PERMANENT_HOURLY_RATE-MAX(0,($D428+M$5)-PERMANENT_FIELD_LABOR_HOURS)*TEMP_HOURLY_RATE-FIXED_SEASON_COST)</f>
        <v/>
      </c>
      <c r="N428" s="53" t="str">
        <f aca="false">IF(OR($A428&gt;TOMATO_BED_CAP,$B428&gt;CARROT_BED_CAP,N$4&gt;MESCLUN_BED_CAP,$A428+$B428+N$4&gt;TOTAL_BEDS_AVAILABLE,($D428+N$5)&gt;TOTAL_LABOR_HOURS_CAP,MAX(0,($D428+N$5)-PERMANENT_FIELD_LABOR_HOURS)&gt;TEMP_HOURS_CAP),"",$C428+N$6-MIN(($D428+N$5),PERMANENT_FIELD_LABOR_HOURS)*PERMANENT_HOURLY_RATE-MAX(0,($D428+N$5)-PERMANENT_FIELD_LABOR_HOURS)*TEMP_HOURLY_RATE-FIXED_SEASON_COST)</f>
        <v/>
      </c>
      <c r="O428" s="53" t="str">
        <f aca="false">IF(OR($A428&gt;TOMATO_BED_CAP,$B428&gt;CARROT_BED_CAP,O$4&gt;MESCLUN_BED_CAP,$A428+$B428+O$4&gt;TOTAL_BEDS_AVAILABLE,($D428+O$5)&gt;TOTAL_LABOR_HOURS_CAP,MAX(0,($D428+O$5)-PERMANENT_FIELD_LABOR_HOURS)&gt;TEMP_HOURS_CAP),"",$C428+O$6-MIN(($D428+O$5),PERMANENT_FIELD_LABOR_HOURS)*PERMANENT_HOURLY_RATE-MAX(0,($D428+O$5)-PERMANENT_FIELD_LABOR_HOURS)*TEMP_HOURLY_RATE-FIXED_SEASON_COST)</f>
        <v/>
      </c>
      <c r="P428" s="53" t="str">
        <f aca="false">IF(OR($A428&gt;TOMATO_BED_CAP,$B428&gt;CARROT_BED_CAP,P$4&gt;MESCLUN_BED_CAP,$A428+$B428+P$4&gt;TOTAL_BEDS_AVAILABLE,($D428+P$5)&gt;TOTAL_LABOR_HOURS_CAP,MAX(0,($D428+P$5)-PERMANENT_FIELD_LABOR_HOURS)&gt;TEMP_HOURS_CAP),"",$C428+P$6-MIN(($D428+P$5),PERMANENT_FIELD_LABOR_HOURS)*PERMANENT_HOURLY_RATE-MAX(0,($D428+P$5)-PERMANENT_FIELD_LABOR_HOURS)*TEMP_HOURLY_RATE-FIXED_SEASON_COST)</f>
        <v/>
      </c>
      <c r="Q428" s="53" t="str">
        <f aca="false">IF(OR($A428&gt;TOMATO_BED_CAP,$B428&gt;CARROT_BED_CAP,Q$4&gt;MESCLUN_BED_CAP,$A428+$B428+Q$4&gt;TOTAL_BEDS_AVAILABLE,($D428+Q$5)&gt;TOTAL_LABOR_HOURS_CAP,MAX(0,($D428+Q$5)-PERMANENT_FIELD_LABOR_HOURS)&gt;TEMP_HOURS_CAP),"",$C428+Q$6-MIN(($D428+Q$5),PERMANENT_FIELD_LABOR_HOURS)*PERMANENT_HOURLY_RATE-MAX(0,($D428+Q$5)-PERMANENT_FIELD_LABOR_HOURS)*TEMP_HOURLY_RATE-FIXED_SEASON_COST)</f>
        <v/>
      </c>
      <c r="R428" s="53" t="str">
        <f aca="false">IF(OR($A428&gt;TOMATO_BED_CAP,$B428&gt;CARROT_BED_CAP,R$4&gt;MESCLUN_BED_CAP,$A428+$B428+R$4&gt;TOTAL_BEDS_AVAILABLE,($D428+R$5)&gt;TOTAL_LABOR_HOURS_CAP,MAX(0,($D428+R$5)-PERMANENT_FIELD_LABOR_HOURS)&gt;TEMP_HOURS_CAP),"",$C428+R$6-MIN(($D428+R$5),PERMANENT_FIELD_LABOR_HOURS)*PERMANENT_HOURLY_RATE-MAX(0,($D428+R$5)-PERMANENT_FIELD_LABOR_HOURS)*TEMP_HOURLY_RATE-FIXED_SEASON_COST)</f>
        <v/>
      </c>
      <c r="S428" s="53" t="str">
        <f aca="false">IF(OR($A428&gt;TOMATO_BED_CAP,$B428&gt;CARROT_BED_CAP,S$4&gt;MESCLUN_BED_CAP,$A428+$B428+S$4&gt;TOTAL_BEDS_AVAILABLE,($D428+S$5)&gt;TOTAL_LABOR_HOURS_CAP,MAX(0,($D428+S$5)-PERMANENT_FIELD_LABOR_HOURS)&gt;TEMP_HOURS_CAP),"",$C428+S$6-MIN(($D428+S$5),PERMANENT_FIELD_LABOR_HOURS)*PERMANENT_HOURLY_RATE-MAX(0,($D428+S$5)-PERMANENT_FIELD_LABOR_HOURS)*TEMP_HOURLY_RATE-FIXED_SEASON_COST)</f>
        <v/>
      </c>
      <c r="T428" s="53" t="str">
        <f aca="false">IF(OR($A428&gt;TOMATO_BED_CAP,$B428&gt;CARROT_BED_CAP,T$4&gt;MESCLUN_BED_CAP,$A428+$B428+T$4&gt;TOTAL_BEDS_AVAILABLE,($D428+T$5)&gt;TOTAL_LABOR_HOURS_CAP,MAX(0,($D428+T$5)-PERMANENT_FIELD_LABOR_HOURS)&gt;TEMP_HOURS_CAP),"",$C428+T$6-MIN(($D428+T$5),PERMANENT_FIELD_LABOR_HOURS)*PERMANENT_HOURLY_RATE-MAX(0,($D428+T$5)-PERMANENT_FIELD_LABOR_HOURS)*TEMP_HOURLY_RATE-FIXED_SEASON_COST)</f>
        <v/>
      </c>
      <c r="U428" s="53" t="str">
        <f aca="false">IF(OR($A428&gt;TOMATO_BED_CAP,$B428&gt;CARROT_BED_CAP,U$4&gt;MESCLUN_BED_CAP,$A428+$B428+U$4&gt;TOTAL_BEDS_AVAILABLE,($D428+U$5)&gt;TOTAL_LABOR_HOURS_CAP,MAX(0,($D428+U$5)-PERMANENT_FIELD_LABOR_HOURS)&gt;TEMP_HOURS_CAP),"",$C428+U$6-MIN(($D428+U$5),PERMANENT_FIELD_LABOR_HOURS)*PERMANENT_HOURLY_RATE-MAX(0,($D428+U$5)-PERMANENT_FIELD_LABOR_HOURS)*TEMP_HOURLY_RATE-FIXED_SEASON_COST)</f>
        <v/>
      </c>
      <c r="V428" s="53" t="str">
        <f aca="false">IF(OR($A428&gt;TOMATO_BED_CAP,$B428&gt;CARROT_BED_CAP,V$4&gt;MESCLUN_BED_CAP,$A428+$B428+V$4&gt;TOTAL_BEDS_AVAILABLE,($D428+V$5)&gt;TOTAL_LABOR_HOURS_CAP,MAX(0,($D428+V$5)-PERMANENT_FIELD_LABOR_HOURS)&gt;TEMP_HOURS_CAP),"",$C428+V$6-MIN(($D428+V$5),PERMANENT_FIELD_LABOR_HOURS)*PERMANENT_HOURLY_RATE-MAX(0,($D428+V$5)-PERMANENT_FIELD_LABOR_HOURS)*TEMP_HOURLY_RATE-FIXED_SEASON_COST)</f>
        <v/>
      </c>
      <c r="W428" s="53" t="str">
        <f aca="false">IF(OR($A428&gt;TOMATO_BED_CAP,$B428&gt;CARROT_BED_CAP,W$4&gt;MESCLUN_BED_CAP,$A428+$B428+W$4&gt;TOTAL_BEDS_AVAILABLE,($D428+W$5)&gt;TOTAL_LABOR_HOURS_CAP,MAX(0,($D428+W$5)-PERMANENT_FIELD_LABOR_HOURS)&gt;TEMP_HOURS_CAP),"",$C428+W$6-MIN(($D428+W$5),PERMANENT_FIELD_LABOR_HOURS)*PERMANENT_HOURLY_RATE-MAX(0,($D428+W$5)-PERMANENT_FIELD_LABOR_HOURS)*TEMP_HOURLY_RATE-FIXED_SEASON_COST)</f>
        <v/>
      </c>
      <c r="X428" s="53" t="str">
        <f aca="false">IF(OR($A428&gt;TOMATO_BED_CAP,$B428&gt;CARROT_BED_CAP,X$4&gt;MESCLUN_BED_CAP,$A428+$B428+X$4&gt;TOTAL_BEDS_AVAILABLE,($D428+X$5)&gt;TOTAL_LABOR_HOURS_CAP,MAX(0,($D428+X$5)-PERMANENT_FIELD_LABOR_HOURS)&gt;TEMP_HOURS_CAP),"",$C428+X$6-MIN(($D428+X$5),PERMANENT_FIELD_LABOR_HOURS)*PERMANENT_HOURLY_RATE-MAX(0,($D428+X$5)-PERMANENT_FIELD_LABOR_HOURS)*TEMP_HOURLY_RATE-FIXED_SEASON_COST)</f>
        <v/>
      </c>
      <c r="Y428" s="53" t="str">
        <f aca="false">IF(OR($A428&gt;TOMATO_BED_CAP,$B428&gt;CARROT_BED_CAP,Y$4&gt;MESCLUN_BED_CAP,$A428+$B428+Y$4&gt;TOTAL_BEDS_AVAILABLE,($D428+Y$5)&gt;TOTAL_LABOR_HOURS_CAP,MAX(0,($D428+Y$5)-PERMANENT_FIELD_LABOR_HOURS)&gt;TEMP_HOURS_CAP),"",$C428+Y$6-MIN(($D428+Y$5),PERMANENT_FIELD_LABOR_HOURS)*PERMANENT_HOURLY_RATE-MAX(0,($D428+Y$5)-PERMANENT_FIELD_LABOR_HOURS)*TEMP_HOURLY_RATE-FIXED_SEASON_COST)</f>
        <v/>
      </c>
      <c r="Z428" s="53" t="str">
        <f aca="false">IF(OR($A428&gt;TOMATO_BED_CAP,$B428&gt;CARROT_BED_CAP,Z$4&gt;MESCLUN_BED_CAP,$A428+$B428+Z$4&gt;TOTAL_BEDS_AVAILABLE,($D428+Z$5)&gt;TOTAL_LABOR_HOURS_CAP,MAX(0,($D428+Z$5)-PERMANENT_FIELD_LABOR_HOURS)&gt;TEMP_HOURS_CAP),"",$C428+Z$6-MIN(($D428+Z$5),PERMANENT_FIELD_LABOR_HOURS)*PERMANENT_HOURLY_RATE-MAX(0,($D428+Z$5)-PERMANENT_FIELD_LABOR_HOURS)*TEMP_HOURLY_RATE-FIXED_SEASON_COST)</f>
        <v/>
      </c>
      <c r="AA428" s="53" t="str">
        <f aca="false">IF(OR($A428&gt;TOMATO_BED_CAP,$B428&gt;CARROT_BED_CAP,AA$4&gt;MESCLUN_BED_CAP,$A428+$B428+AA$4&gt;TOTAL_BEDS_AVAILABLE,($D428+AA$5)&gt;TOTAL_LABOR_HOURS_CAP,MAX(0,($D428+AA$5)-PERMANENT_FIELD_LABOR_HOURS)&gt;TEMP_HOURS_CAP),"",$C428+AA$6-MIN(($D428+AA$5),PERMANENT_FIELD_LABOR_HOURS)*PERMANENT_HOURLY_RATE-MAX(0,($D428+AA$5)-PERMANENT_FIELD_LABOR_HOURS)*TEMP_HOURLY_RATE-FIXED_SEASON_COST)</f>
        <v/>
      </c>
      <c r="AB428" s="53" t="str">
        <f aca="false">IF(OR($A428&gt;TOMATO_BED_CAP,$B428&gt;CARROT_BED_CAP,AB$4&gt;MESCLUN_BED_CAP,$A428+$B428+AB$4&gt;TOTAL_BEDS_AVAILABLE,($D428+AB$5)&gt;TOTAL_LABOR_HOURS_CAP,MAX(0,($D428+AB$5)-PERMANENT_FIELD_LABOR_HOURS)&gt;TEMP_HOURS_CAP),"",$C428+AB$6-MIN(($D428+AB$5),PERMANENT_FIELD_LABOR_HOURS)*PERMANENT_HOURLY_RATE-MAX(0,($D428+AB$5)-PERMANENT_FIELD_LABOR_HOURS)*TEMP_HOURLY_RATE-FIXED_SEASON_COST)</f>
        <v/>
      </c>
      <c r="AC428" s="53" t="str">
        <f aca="false">IF(OR($A428&gt;TOMATO_BED_CAP,$B428&gt;CARROT_BED_CAP,AC$4&gt;MESCLUN_BED_CAP,$A428+$B428+AC$4&gt;TOTAL_BEDS_AVAILABLE,($D428+AC$5)&gt;TOTAL_LABOR_HOURS_CAP,MAX(0,($D428+AC$5)-PERMANENT_FIELD_LABOR_HOURS)&gt;TEMP_HOURS_CAP),"",$C428+AC$6-MIN(($D428+AC$5),PERMANENT_FIELD_LABOR_HOURS)*PERMANENT_HOURLY_RATE-MAX(0,($D428+AC$5)-PERMANENT_FIELD_LABOR_HOURS)*TEMP_HOURLY_RATE-FIXED_SEASON_COST)</f>
        <v/>
      </c>
      <c r="AD428" s="53" t="str">
        <f aca="false">IF(OR($A428&gt;TOMATO_BED_CAP,$B428&gt;CARROT_BED_CAP,AD$4&gt;MESCLUN_BED_CAP,$A428+$B428+AD$4&gt;TOTAL_BEDS_AVAILABLE,($D428+AD$5)&gt;TOTAL_LABOR_HOURS_CAP,MAX(0,($D428+AD$5)-PERMANENT_FIELD_LABOR_HOURS)&gt;TEMP_HOURS_CAP),"",$C428+AD$6-MIN(($D428+AD$5),PERMANENT_FIELD_LABOR_HOURS)*PERMANENT_HOURLY_RATE-MAX(0,($D428+AD$5)-PERMANENT_FIELD_LABOR_HOURS)*TEMP_HOURLY_RATE-FIXED_SEASON_COST)</f>
        <v/>
      </c>
      <c r="AE428" s="53" t="str">
        <f aca="false">IF(OR($A428&gt;TOMATO_BED_CAP,$B428&gt;CARROT_BED_CAP,AE$4&gt;MESCLUN_BED_CAP,$A428+$B428+AE$4&gt;TOTAL_BEDS_AVAILABLE,($D428+AE$5)&gt;TOTAL_LABOR_HOURS_CAP,MAX(0,($D428+AE$5)-PERMANENT_FIELD_LABOR_HOURS)&gt;TEMP_HOURS_CAP),"",$C428+AE$6-MIN(($D428+AE$5),PERMANENT_FIELD_LABOR_HOURS)*PERMANENT_HOURLY_RATE-MAX(0,($D428+AE$5)-PERMANENT_FIELD_LABOR_HOURS)*TEMP_HOURLY_RATE-FIXED_SEASON_COST)</f>
        <v/>
      </c>
      <c r="AF428" s="53" t="str">
        <f aca="false">IF(OR($A428&gt;TOMATO_BED_CAP,$B428&gt;CARROT_BED_CAP,AF$4&gt;MESCLUN_BED_CAP,$A428+$B428+AF$4&gt;TOTAL_BEDS_AVAILABLE,($D428+AF$5)&gt;TOTAL_LABOR_HOURS_CAP,MAX(0,($D428+AF$5)-PERMANENT_FIELD_LABOR_HOURS)&gt;TEMP_HOURS_CAP),"",$C428+AF$6-MIN(($D428+AF$5),PERMANENT_FIELD_LABOR_HOURS)*PERMANENT_HOURLY_RATE-MAX(0,($D428+AF$5)-PERMANENT_FIELD_LABOR_HOURS)*TEMP_HOURLY_RATE-FIXED_SEASON_COST)</f>
        <v/>
      </c>
      <c r="AG428" s="53" t="str">
        <f aca="false">IF(OR($A428&gt;TOMATO_BED_CAP,$B428&gt;CARROT_BED_CAP,AG$4&gt;MESCLUN_BED_CAP,$A428+$B428+AG$4&gt;TOTAL_BEDS_AVAILABLE,($D428+AG$5)&gt;TOTAL_LABOR_HOURS_CAP,MAX(0,($D428+AG$5)-PERMANENT_FIELD_LABOR_HOURS)&gt;TEMP_HOURS_CAP),"",$C428+AG$6-MIN(($D428+AG$5),PERMANENT_FIELD_LABOR_HOURS)*PERMANENT_HOURLY_RATE-MAX(0,($D428+AG$5)-PERMANENT_FIELD_LABOR_HOURS)*TEMP_HOURLY_RATE-FIXED_SEASON_COST)</f>
        <v/>
      </c>
      <c r="AH428" s="53" t="str">
        <f aca="false">IF(OR($A428&gt;TOMATO_BED_CAP,$B428&gt;CARROT_BED_CAP,AH$4&gt;MESCLUN_BED_CAP,$A428+$B428+AH$4&gt;TOTAL_BEDS_AVAILABLE,($D428+AH$5)&gt;TOTAL_LABOR_HOURS_CAP,MAX(0,($D428+AH$5)-PERMANENT_FIELD_LABOR_HOURS)&gt;TEMP_HOURS_CAP),"",$C428+AH$6-MIN(($D428+AH$5),PERMANENT_FIELD_LABOR_HOURS)*PERMANENT_HOURLY_RATE-MAX(0,($D428+AH$5)-PERMANENT_FIELD_LABOR_HOURS)*TEMP_HOURLY_RATE-FIXED_SEASON_COST)</f>
        <v/>
      </c>
      <c r="AI428" s="53" t="str">
        <f aca="false">IF(OR($A428&gt;TOMATO_BED_CAP,$B428&gt;CARROT_BED_CAP,AI$4&gt;MESCLUN_BED_CAP,$A428+$B428+AI$4&gt;TOTAL_BEDS_AVAILABLE,($D428+AI$5)&gt;TOTAL_LABOR_HOURS_CAP,MAX(0,($D428+AI$5)-PERMANENT_FIELD_LABOR_HOURS)&gt;TEMP_HOURS_CAP),"",$C428+AI$6-MIN(($D428+AI$5),PERMANENT_FIELD_LABOR_HOURS)*PERMANENT_HOURLY_RATE-MAX(0,($D428+AI$5)-PERMANENT_FIELD_LABOR_HOURS)*TEMP_HOURLY_RATE-FIXED_SEASON_COST)</f>
        <v/>
      </c>
      <c r="AJ428" s="53" t="str">
        <f aca="false">IF(OR($A428&gt;TOMATO_BED_CAP,$B428&gt;CARROT_BED_CAP,AJ$4&gt;MESCLUN_BED_CAP,$A428+$B428+AJ$4&gt;TOTAL_BEDS_AVAILABLE,($D428+AJ$5)&gt;TOTAL_LABOR_HOURS_CAP,MAX(0,($D428+AJ$5)-PERMANENT_FIELD_LABOR_HOURS)&gt;TEMP_HOURS_CAP),"",$C428+AJ$6-MIN(($D428+AJ$5),PERMANENT_FIELD_LABOR_HOURS)*PERMANENT_HOURLY_RATE-MAX(0,($D428+AJ$5)-PERMANENT_FIELD_LABOR_HOURS)*TEMP_HOURLY_RATE-FIXED_SEASON_COST)</f>
        <v/>
      </c>
    </row>
    <row r="429" customFormat="false" ht="15" hidden="false" customHeight="false" outlineLevel="0" collapsed="false">
      <c r="A429" s="21" t="n">
        <f aca="false">INT((ROW()-ROW($A$8))/(20+1))</f>
        <v>20</v>
      </c>
      <c r="B429" s="21" t="n">
        <f aca="false">MOD(ROW()-ROW($A$8),20+1)</f>
        <v>1</v>
      </c>
      <c r="C429" s="13" t="n">
        <f aca="false">A429*(TOMATO_REVENUE_PER_BED-TOMATO_FERTILIZER_PER_BED)+B429*(CARROT_REVENUE_PER_BED-CARROT_FERTILIZER_PER_BED)</f>
        <v>160054</v>
      </c>
      <c r="D429" s="14" t="n">
        <f aca="false">INDEX(TOMATO_SCHED_LABOR_HRS,A429+1)+INDEX(CARROT_SCHED_LABOR_HRS,B429+1)</f>
        <v>12140.2376087861</v>
      </c>
      <c r="E429" s="13" t="str">
        <f aca="false">IF(COUNT(F429:AJ429)=0,"",MAX(F429:AJ429))</f>
        <v/>
      </c>
      <c r="F429" s="53" t="str">
        <f aca="false">IF(OR($A429&gt;TOMATO_BED_CAP,$B429&gt;CARROT_BED_CAP,F$4&gt;MESCLUN_BED_CAP,$A429+$B429+F$4&gt;TOTAL_BEDS_AVAILABLE,($D429+F$5)&gt;TOTAL_LABOR_HOURS_CAP,MAX(0,($D429+F$5)-PERMANENT_FIELD_LABOR_HOURS)&gt;TEMP_HOURS_CAP),"",$C429+F$6-MIN(($D429+F$5),PERMANENT_FIELD_LABOR_HOURS)*PERMANENT_HOURLY_RATE-MAX(0,($D429+F$5)-PERMANENT_FIELD_LABOR_HOURS)*TEMP_HOURLY_RATE-FIXED_SEASON_COST)</f>
        <v/>
      </c>
      <c r="G429" s="53" t="str">
        <f aca="false">IF(OR($A429&gt;TOMATO_BED_CAP,$B429&gt;CARROT_BED_CAP,G$4&gt;MESCLUN_BED_CAP,$A429+$B429+G$4&gt;TOTAL_BEDS_AVAILABLE,($D429+G$5)&gt;TOTAL_LABOR_HOURS_CAP,MAX(0,($D429+G$5)-PERMANENT_FIELD_LABOR_HOURS)&gt;TEMP_HOURS_CAP),"",$C429+G$6-MIN(($D429+G$5),PERMANENT_FIELD_LABOR_HOURS)*PERMANENT_HOURLY_RATE-MAX(0,($D429+G$5)-PERMANENT_FIELD_LABOR_HOURS)*TEMP_HOURLY_RATE-FIXED_SEASON_COST)</f>
        <v/>
      </c>
      <c r="H429" s="53" t="str">
        <f aca="false">IF(OR($A429&gt;TOMATO_BED_CAP,$B429&gt;CARROT_BED_CAP,H$4&gt;MESCLUN_BED_CAP,$A429+$B429+H$4&gt;TOTAL_BEDS_AVAILABLE,($D429+H$5)&gt;TOTAL_LABOR_HOURS_CAP,MAX(0,($D429+H$5)-PERMANENT_FIELD_LABOR_HOURS)&gt;TEMP_HOURS_CAP),"",$C429+H$6-MIN(($D429+H$5),PERMANENT_FIELD_LABOR_HOURS)*PERMANENT_HOURLY_RATE-MAX(0,($D429+H$5)-PERMANENT_FIELD_LABOR_HOURS)*TEMP_HOURLY_RATE-FIXED_SEASON_COST)</f>
        <v/>
      </c>
      <c r="I429" s="53" t="str">
        <f aca="false">IF(OR($A429&gt;TOMATO_BED_CAP,$B429&gt;CARROT_BED_CAP,I$4&gt;MESCLUN_BED_CAP,$A429+$B429+I$4&gt;TOTAL_BEDS_AVAILABLE,($D429+I$5)&gt;TOTAL_LABOR_HOURS_CAP,MAX(0,($D429+I$5)-PERMANENT_FIELD_LABOR_HOURS)&gt;TEMP_HOURS_CAP),"",$C429+I$6-MIN(($D429+I$5),PERMANENT_FIELD_LABOR_HOURS)*PERMANENT_HOURLY_RATE-MAX(0,($D429+I$5)-PERMANENT_FIELD_LABOR_HOURS)*TEMP_HOURLY_RATE-FIXED_SEASON_COST)</f>
        <v/>
      </c>
      <c r="J429" s="53" t="str">
        <f aca="false">IF(OR($A429&gt;TOMATO_BED_CAP,$B429&gt;CARROT_BED_CAP,J$4&gt;MESCLUN_BED_CAP,$A429+$B429+J$4&gt;TOTAL_BEDS_AVAILABLE,($D429+J$5)&gt;TOTAL_LABOR_HOURS_CAP,MAX(0,($D429+J$5)-PERMANENT_FIELD_LABOR_HOURS)&gt;TEMP_HOURS_CAP),"",$C429+J$6-MIN(($D429+J$5),PERMANENT_FIELD_LABOR_HOURS)*PERMANENT_HOURLY_RATE-MAX(0,($D429+J$5)-PERMANENT_FIELD_LABOR_HOURS)*TEMP_HOURLY_RATE-FIXED_SEASON_COST)</f>
        <v/>
      </c>
      <c r="K429" s="53" t="str">
        <f aca="false">IF(OR($A429&gt;TOMATO_BED_CAP,$B429&gt;CARROT_BED_CAP,K$4&gt;MESCLUN_BED_CAP,$A429+$B429+K$4&gt;TOTAL_BEDS_AVAILABLE,($D429+K$5)&gt;TOTAL_LABOR_HOURS_CAP,MAX(0,($D429+K$5)-PERMANENT_FIELD_LABOR_HOURS)&gt;TEMP_HOURS_CAP),"",$C429+K$6-MIN(($D429+K$5),PERMANENT_FIELD_LABOR_HOURS)*PERMANENT_HOURLY_RATE-MAX(0,($D429+K$5)-PERMANENT_FIELD_LABOR_HOURS)*TEMP_HOURLY_RATE-FIXED_SEASON_COST)</f>
        <v/>
      </c>
      <c r="L429" s="53" t="str">
        <f aca="false">IF(OR($A429&gt;TOMATO_BED_CAP,$B429&gt;CARROT_BED_CAP,L$4&gt;MESCLUN_BED_CAP,$A429+$B429+L$4&gt;TOTAL_BEDS_AVAILABLE,($D429+L$5)&gt;TOTAL_LABOR_HOURS_CAP,MAX(0,($D429+L$5)-PERMANENT_FIELD_LABOR_HOURS)&gt;TEMP_HOURS_CAP),"",$C429+L$6-MIN(($D429+L$5),PERMANENT_FIELD_LABOR_HOURS)*PERMANENT_HOURLY_RATE-MAX(0,($D429+L$5)-PERMANENT_FIELD_LABOR_HOURS)*TEMP_HOURLY_RATE-FIXED_SEASON_COST)</f>
        <v/>
      </c>
      <c r="M429" s="53" t="str">
        <f aca="false">IF(OR($A429&gt;TOMATO_BED_CAP,$B429&gt;CARROT_BED_CAP,M$4&gt;MESCLUN_BED_CAP,$A429+$B429+M$4&gt;TOTAL_BEDS_AVAILABLE,($D429+M$5)&gt;TOTAL_LABOR_HOURS_CAP,MAX(0,($D429+M$5)-PERMANENT_FIELD_LABOR_HOURS)&gt;TEMP_HOURS_CAP),"",$C429+M$6-MIN(($D429+M$5),PERMANENT_FIELD_LABOR_HOURS)*PERMANENT_HOURLY_RATE-MAX(0,($D429+M$5)-PERMANENT_FIELD_LABOR_HOURS)*TEMP_HOURLY_RATE-FIXED_SEASON_COST)</f>
        <v/>
      </c>
      <c r="N429" s="53" t="str">
        <f aca="false">IF(OR($A429&gt;TOMATO_BED_CAP,$B429&gt;CARROT_BED_CAP,N$4&gt;MESCLUN_BED_CAP,$A429+$B429+N$4&gt;TOTAL_BEDS_AVAILABLE,($D429+N$5)&gt;TOTAL_LABOR_HOURS_CAP,MAX(0,($D429+N$5)-PERMANENT_FIELD_LABOR_HOURS)&gt;TEMP_HOURS_CAP),"",$C429+N$6-MIN(($D429+N$5),PERMANENT_FIELD_LABOR_HOURS)*PERMANENT_HOURLY_RATE-MAX(0,($D429+N$5)-PERMANENT_FIELD_LABOR_HOURS)*TEMP_HOURLY_RATE-FIXED_SEASON_COST)</f>
        <v/>
      </c>
      <c r="O429" s="53" t="str">
        <f aca="false">IF(OR($A429&gt;TOMATO_BED_CAP,$B429&gt;CARROT_BED_CAP,O$4&gt;MESCLUN_BED_CAP,$A429+$B429+O$4&gt;TOTAL_BEDS_AVAILABLE,($D429+O$5)&gt;TOTAL_LABOR_HOURS_CAP,MAX(0,($D429+O$5)-PERMANENT_FIELD_LABOR_HOURS)&gt;TEMP_HOURS_CAP),"",$C429+O$6-MIN(($D429+O$5),PERMANENT_FIELD_LABOR_HOURS)*PERMANENT_HOURLY_RATE-MAX(0,($D429+O$5)-PERMANENT_FIELD_LABOR_HOURS)*TEMP_HOURLY_RATE-FIXED_SEASON_COST)</f>
        <v/>
      </c>
      <c r="P429" s="53" t="str">
        <f aca="false">IF(OR($A429&gt;TOMATO_BED_CAP,$B429&gt;CARROT_BED_CAP,P$4&gt;MESCLUN_BED_CAP,$A429+$B429+P$4&gt;TOTAL_BEDS_AVAILABLE,($D429+P$5)&gt;TOTAL_LABOR_HOURS_CAP,MAX(0,($D429+P$5)-PERMANENT_FIELD_LABOR_HOURS)&gt;TEMP_HOURS_CAP),"",$C429+P$6-MIN(($D429+P$5),PERMANENT_FIELD_LABOR_HOURS)*PERMANENT_HOURLY_RATE-MAX(0,($D429+P$5)-PERMANENT_FIELD_LABOR_HOURS)*TEMP_HOURLY_RATE-FIXED_SEASON_COST)</f>
        <v/>
      </c>
      <c r="Q429" s="53" t="str">
        <f aca="false">IF(OR($A429&gt;TOMATO_BED_CAP,$B429&gt;CARROT_BED_CAP,Q$4&gt;MESCLUN_BED_CAP,$A429+$B429+Q$4&gt;TOTAL_BEDS_AVAILABLE,($D429+Q$5)&gt;TOTAL_LABOR_HOURS_CAP,MAX(0,($D429+Q$5)-PERMANENT_FIELD_LABOR_HOURS)&gt;TEMP_HOURS_CAP),"",$C429+Q$6-MIN(($D429+Q$5),PERMANENT_FIELD_LABOR_HOURS)*PERMANENT_HOURLY_RATE-MAX(0,($D429+Q$5)-PERMANENT_FIELD_LABOR_HOURS)*TEMP_HOURLY_RATE-FIXED_SEASON_COST)</f>
        <v/>
      </c>
      <c r="R429" s="53" t="str">
        <f aca="false">IF(OR($A429&gt;TOMATO_BED_CAP,$B429&gt;CARROT_BED_CAP,R$4&gt;MESCLUN_BED_CAP,$A429+$B429+R$4&gt;TOTAL_BEDS_AVAILABLE,($D429+R$5)&gt;TOTAL_LABOR_HOURS_CAP,MAX(0,($D429+R$5)-PERMANENT_FIELD_LABOR_HOURS)&gt;TEMP_HOURS_CAP),"",$C429+R$6-MIN(($D429+R$5),PERMANENT_FIELD_LABOR_HOURS)*PERMANENT_HOURLY_RATE-MAX(0,($D429+R$5)-PERMANENT_FIELD_LABOR_HOURS)*TEMP_HOURLY_RATE-FIXED_SEASON_COST)</f>
        <v/>
      </c>
      <c r="S429" s="53" t="str">
        <f aca="false">IF(OR($A429&gt;TOMATO_BED_CAP,$B429&gt;CARROT_BED_CAP,S$4&gt;MESCLUN_BED_CAP,$A429+$B429+S$4&gt;TOTAL_BEDS_AVAILABLE,($D429+S$5)&gt;TOTAL_LABOR_HOURS_CAP,MAX(0,($D429+S$5)-PERMANENT_FIELD_LABOR_HOURS)&gt;TEMP_HOURS_CAP),"",$C429+S$6-MIN(($D429+S$5),PERMANENT_FIELD_LABOR_HOURS)*PERMANENT_HOURLY_RATE-MAX(0,($D429+S$5)-PERMANENT_FIELD_LABOR_HOURS)*TEMP_HOURLY_RATE-FIXED_SEASON_COST)</f>
        <v/>
      </c>
      <c r="T429" s="53" t="str">
        <f aca="false">IF(OR($A429&gt;TOMATO_BED_CAP,$B429&gt;CARROT_BED_CAP,T$4&gt;MESCLUN_BED_CAP,$A429+$B429+T$4&gt;TOTAL_BEDS_AVAILABLE,($D429+T$5)&gt;TOTAL_LABOR_HOURS_CAP,MAX(0,($D429+T$5)-PERMANENT_FIELD_LABOR_HOURS)&gt;TEMP_HOURS_CAP),"",$C429+T$6-MIN(($D429+T$5),PERMANENT_FIELD_LABOR_HOURS)*PERMANENT_HOURLY_RATE-MAX(0,($D429+T$5)-PERMANENT_FIELD_LABOR_HOURS)*TEMP_HOURLY_RATE-FIXED_SEASON_COST)</f>
        <v/>
      </c>
      <c r="U429" s="53" t="str">
        <f aca="false">IF(OR($A429&gt;TOMATO_BED_CAP,$B429&gt;CARROT_BED_CAP,U$4&gt;MESCLUN_BED_CAP,$A429+$B429+U$4&gt;TOTAL_BEDS_AVAILABLE,($D429+U$5)&gt;TOTAL_LABOR_HOURS_CAP,MAX(0,($D429+U$5)-PERMANENT_FIELD_LABOR_HOURS)&gt;TEMP_HOURS_CAP),"",$C429+U$6-MIN(($D429+U$5),PERMANENT_FIELD_LABOR_HOURS)*PERMANENT_HOURLY_RATE-MAX(0,($D429+U$5)-PERMANENT_FIELD_LABOR_HOURS)*TEMP_HOURLY_RATE-FIXED_SEASON_COST)</f>
        <v/>
      </c>
      <c r="V429" s="53" t="str">
        <f aca="false">IF(OR($A429&gt;TOMATO_BED_CAP,$B429&gt;CARROT_BED_CAP,V$4&gt;MESCLUN_BED_CAP,$A429+$B429+V$4&gt;TOTAL_BEDS_AVAILABLE,($D429+V$5)&gt;TOTAL_LABOR_HOURS_CAP,MAX(0,($D429+V$5)-PERMANENT_FIELD_LABOR_HOURS)&gt;TEMP_HOURS_CAP),"",$C429+V$6-MIN(($D429+V$5),PERMANENT_FIELD_LABOR_HOURS)*PERMANENT_HOURLY_RATE-MAX(0,($D429+V$5)-PERMANENT_FIELD_LABOR_HOURS)*TEMP_HOURLY_RATE-FIXED_SEASON_COST)</f>
        <v/>
      </c>
      <c r="W429" s="53" t="str">
        <f aca="false">IF(OR($A429&gt;TOMATO_BED_CAP,$B429&gt;CARROT_BED_CAP,W$4&gt;MESCLUN_BED_CAP,$A429+$B429+W$4&gt;TOTAL_BEDS_AVAILABLE,($D429+W$5)&gt;TOTAL_LABOR_HOURS_CAP,MAX(0,($D429+W$5)-PERMANENT_FIELD_LABOR_HOURS)&gt;TEMP_HOURS_CAP),"",$C429+W$6-MIN(($D429+W$5),PERMANENT_FIELD_LABOR_HOURS)*PERMANENT_HOURLY_RATE-MAX(0,($D429+W$5)-PERMANENT_FIELD_LABOR_HOURS)*TEMP_HOURLY_RATE-FIXED_SEASON_COST)</f>
        <v/>
      </c>
      <c r="X429" s="53" t="str">
        <f aca="false">IF(OR($A429&gt;TOMATO_BED_CAP,$B429&gt;CARROT_BED_CAP,X$4&gt;MESCLUN_BED_CAP,$A429+$B429+X$4&gt;TOTAL_BEDS_AVAILABLE,($D429+X$5)&gt;TOTAL_LABOR_HOURS_CAP,MAX(0,($D429+X$5)-PERMANENT_FIELD_LABOR_HOURS)&gt;TEMP_HOURS_CAP),"",$C429+X$6-MIN(($D429+X$5),PERMANENT_FIELD_LABOR_HOURS)*PERMANENT_HOURLY_RATE-MAX(0,($D429+X$5)-PERMANENT_FIELD_LABOR_HOURS)*TEMP_HOURLY_RATE-FIXED_SEASON_COST)</f>
        <v/>
      </c>
      <c r="Y429" s="53" t="str">
        <f aca="false">IF(OR($A429&gt;TOMATO_BED_CAP,$B429&gt;CARROT_BED_CAP,Y$4&gt;MESCLUN_BED_CAP,$A429+$B429+Y$4&gt;TOTAL_BEDS_AVAILABLE,($D429+Y$5)&gt;TOTAL_LABOR_HOURS_CAP,MAX(0,($D429+Y$5)-PERMANENT_FIELD_LABOR_HOURS)&gt;TEMP_HOURS_CAP),"",$C429+Y$6-MIN(($D429+Y$5),PERMANENT_FIELD_LABOR_HOURS)*PERMANENT_HOURLY_RATE-MAX(0,($D429+Y$5)-PERMANENT_FIELD_LABOR_HOURS)*TEMP_HOURLY_RATE-FIXED_SEASON_COST)</f>
        <v/>
      </c>
      <c r="Z429" s="53" t="str">
        <f aca="false">IF(OR($A429&gt;TOMATO_BED_CAP,$B429&gt;CARROT_BED_CAP,Z$4&gt;MESCLUN_BED_CAP,$A429+$B429+Z$4&gt;TOTAL_BEDS_AVAILABLE,($D429+Z$5)&gt;TOTAL_LABOR_HOURS_CAP,MAX(0,($D429+Z$5)-PERMANENT_FIELD_LABOR_HOURS)&gt;TEMP_HOURS_CAP),"",$C429+Z$6-MIN(($D429+Z$5),PERMANENT_FIELD_LABOR_HOURS)*PERMANENT_HOURLY_RATE-MAX(0,($D429+Z$5)-PERMANENT_FIELD_LABOR_HOURS)*TEMP_HOURLY_RATE-FIXED_SEASON_COST)</f>
        <v/>
      </c>
      <c r="AA429" s="53" t="str">
        <f aca="false">IF(OR($A429&gt;TOMATO_BED_CAP,$B429&gt;CARROT_BED_CAP,AA$4&gt;MESCLUN_BED_CAP,$A429+$B429+AA$4&gt;TOTAL_BEDS_AVAILABLE,($D429+AA$5)&gt;TOTAL_LABOR_HOURS_CAP,MAX(0,($D429+AA$5)-PERMANENT_FIELD_LABOR_HOURS)&gt;TEMP_HOURS_CAP),"",$C429+AA$6-MIN(($D429+AA$5),PERMANENT_FIELD_LABOR_HOURS)*PERMANENT_HOURLY_RATE-MAX(0,($D429+AA$5)-PERMANENT_FIELD_LABOR_HOURS)*TEMP_HOURLY_RATE-FIXED_SEASON_COST)</f>
        <v/>
      </c>
      <c r="AB429" s="53" t="str">
        <f aca="false">IF(OR($A429&gt;TOMATO_BED_CAP,$B429&gt;CARROT_BED_CAP,AB$4&gt;MESCLUN_BED_CAP,$A429+$B429+AB$4&gt;TOTAL_BEDS_AVAILABLE,($D429+AB$5)&gt;TOTAL_LABOR_HOURS_CAP,MAX(0,($D429+AB$5)-PERMANENT_FIELD_LABOR_HOURS)&gt;TEMP_HOURS_CAP),"",$C429+AB$6-MIN(($D429+AB$5),PERMANENT_FIELD_LABOR_HOURS)*PERMANENT_HOURLY_RATE-MAX(0,($D429+AB$5)-PERMANENT_FIELD_LABOR_HOURS)*TEMP_HOURLY_RATE-FIXED_SEASON_COST)</f>
        <v/>
      </c>
      <c r="AC429" s="53" t="str">
        <f aca="false">IF(OR($A429&gt;TOMATO_BED_CAP,$B429&gt;CARROT_BED_CAP,AC$4&gt;MESCLUN_BED_CAP,$A429+$B429+AC$4&gt;TOTAL_BEDS_AVAILABLE,($D429+AC$5)&gt;TOTAL_LABOR_HOURS_CAP,MAX(0,($D429+AC$5)-PERMANENT_FIELD_LABOR_HOURS)&gt;TEMP_HOURS_CAP),"",$C429+AC$6-MIN(($D429+AC$5),PERMANENT_FIELD_LABOR_HOURS)*PERMANENT_HOURLY_RATE-MAX(0,($D429+AC$5)-PERMANENT_FIELD_LABOR_HOURS)*TEMP_HOURLY_RATE-FIXED_SEASON_COST)</f>
        <v/>
      </c>
      <c r="AD429" s="53" t="str">
        <f aca="false">IF(OR($A429&gt;TOMATO_BED_CAP,$B429&gt;CARROT_BED_CAP,AD$4&gt;MESCLUN_BED_CAP,$A429+$B429+AD$4&gt;TOTAL_BEDS_AVAILABLE,($D429+AD$5)&gt;TOTAL_LABOR_HOURS_CAP,MAX(0,($D429+AD$5)-PERMANENT_FIELD_LABOR_HOURS)&gt;TEMP_HOURS_CAP),"",$C429+AD$6-MIN(($D429+AD$5),PERMANENT_FIELD_LABOR_HOURS)*PERMANENT_HOURLY_RATE-MAX(0,($D429+AD$5)-PERMANENT_FIELD_LABOR_HOURS)*TEMP_HOURLY_RATE-FIXED_SEASON_COST)</f>
        <v/>
      </c>
      <c r="AE429" s="53" t="str">
        <f aca="false">IF(OR($A429&gt;TOMATO_BED_CAP,$B429&gt;CARROT_BED_CAP,AE$4&gt;MESCLUN_BED_CAP,$A429+$B429+AE$4&gt;TOTAL_BEDS_AVAILABLE,($D429+AE$5)&gt;TOTAL_LABOR_HOURS_CAP,MAX(0,($D429+AE$5)-PERMANENT_FIELD_LABOR_HOURS)&gt;TEMP_HOURS_CAP),"",$C429+AE$6-MIN(($D429+AE$5),PERMANENT_FIELD_LABOR_HOURS)*PERMANENT_HOURLY_RATE-MAX(0,($D429+AE$5)-PERMANENT_FIELD_LABOR_HOURS)*TEMP_HOURLY_RATE-FIXED_SEASON_COST)</f>
        <v/>
      </c>
      <c r="AF429" s="53" t="str">
        <f aca="false">IF(OR($A429&gt;TOMATO_BED_CAP,$B429&gt;CARROT_BED_CAP,AF$4&gt;MESCLUN_BED_CAP,$A429+$B429+AF$4&gt;TOTAL_BEDS_AVAILABLE,($D429+AF$5)&gt;TOTAL_LABOR_HOURS_CAP,MAX(0,($D429+AF$5)-PERMANENT_FIELD_LABOR_HOURS)&gt;TEMP_HOURS_CAP),"",$C429+AF$6-MIN(($D429+AF$5),PERMANENT_FIELD_LABOR_HOURS)*PERMANENT_HOURLY_RATE-MAX(0,($D429+AF$5)-PERMANENT_FIELD_LABOR_HOURS)*TEMP_HOURLY_RATE-FIXED_SEASON_COST)</f>
        <v/>
      </c>
      <c r="AG429" s="53" t="str">
        <f aca="false">IF(OR($A429&gt;TOMATO_BED_CAP,$B429&gt;CARROT_BED_CAP,AG$4&gt;MESCLUN_BED_CAP,$A429+$B429+AG$4&gt;TOTAL_BEDS_AVAILABLE,($D429+AG$5)&gt;TOTAL_LABOR_HOURS_CAP,MAX(0,($D429+AG$5)-PERMANENT_FIELD_LABOR_HOURS)&gt;TEMP_HOURS_CAP),"",$C429+AG$6-MIN(($D429+AG$5),PERMANENT_FIELD_LABOR_HOURS)*PERMANENT_HOURLY_RATE-MAX(0,($D429+AG$5)-PERMANENT_FIELD_LABOR_HOURS)*TEMP_HOURLY_RATE-FIXED_SEASON_COST)</f>
        <v/>
      </c>
      <c r="AH429" s="53" t="str">
        <f aca="false">IF(OR($A429&gt;TOMATO_BED_CAP,$B429&gt;CARROT_BED_CAP,AH$4&gt;MESCLUN_BED_CAP,$A429+$B429+AH$4&gt;TOTAL_BEDS_AVAILABLE,($D429+AH$5)&gt;TOTAL_LABOR_HOURS_CAP,MAX(0,($D429+AH$5)-PERMANENT_FIELD_LABOR_HOURS)&gt;TEMP_HOURS_CAP),"",$C429+AH$6-MIN(($D429+AH$5),PERMANENT_FIELD_LABOR_HOURS)*PERMANENT_HOURLY_RATE-MAX(0,($D429+AH$5)-PERMANENT_FIELD_LABOR_HOURS)*TEMP_HOURLY_RATE-FIXED_SEASON_COST)</f>
        <v/>
      </c>
      <c r="AI429" s="53" t="str">
        <f aca="false">IF(OR($A429&gt;TOMATO_BED_CAP,$B429&gt;CARROT_BED_CAP,AI$4&gt;MESCLUN_BED_CAP,$A429+$B429+AI$4&gt;TOTAL_BEDS_AVAILABLE,($D429+AI$5)&gt;TOTAL_LABOR_HOURS_CAP,MAX(0,($D429+AI$5)-PERMANENT_FIELD_LABOR_HOURS)&gt;TEMP_HOURS_CAP),"",$C429+AI$6-MIN(($D429+AI$5),PERMANENT_FIELD_LABOR_HOURS)*PERMANENT_HOURLY_RATE-MAX(0,($D429+AI$5)-PERMANENT_FIELD_LABOR_HOURS)*TEMP_HOURLY_RATE-FIXED_SEASON_COST)</f>
        <v/>
      </c>
      <c r="AJ429" s="53" t="str">
        <f aca="false">IF(OR($A429&gt;TOMATO_BED_CAP,$B429&gt;CARROT_BED_CAP,AJ$4&gt;MESCLUN_BED_CAP,$A429+$B429+AJ$4&gt;TOTAL_BEDS_AVAILABLE,($D429+AJ$5)&gt;TOTAL_LABOR_HOURS_CAP,MAX(0,($D429+AJ$5)-PERMANENT_FIELD_LABOR_HOURS)&gt;TEMP_HOURS_CAP),"",$C429+AJ$6-MIN(($D429+AJ$5),PERMANENT_FIELD_LABOR_HOURS)*PERMANENT_HOURLY_RATE-MAX(0,($D429+AJ$5)-PERMANENT_FIELD_LABOR_HOURS)*TEMP_HOURLY_RATE-FIXED_SEASON_COST)</f>
        <v/>
      </c>
    </row>
    <row r="430" customFormat="false" ht="15" hidden="false" customHeight="false" outlineLevel="0" collapsed="false">
      <c r="A430" s="21" t="n">
        <f aca="false">INT((ROW()-ROW($A$8))/(20+1))</f>
        <v>20</v>
      </c>
      <c r="B430" s="21" t="n">
        <f aca="false">MOD(ROW()-ROW($A$8),20+1)</f>
        <v>2</v>
      </c>
      <c r="C430" s="13" t="n">
        <f aca="false">A430*(TOMATO_REVENUE_PER_BED-TOMATO_FERTILIZER_PER_BED)+B430*(CARROT_REVENUE_PER_BED-CARROT_FERTILIZER_PER_BED)</f>
        <v>161708</v>
      </c>
      <c r="D430" s="14" t="n">
        <f aca="false">INDEX(TOMATO_SCHED_LABOR_HRS,A430+1)+INDEX(CARROT_SCHED_LABOR_HRS,B430+1)</f>
        <v>12172.5121937861</v>
      </c>
      <c r="E430" s="13" t="str">
        <f aca="false">IF(COUNT(F430:AJ430)=0,"",MAX(F430:AJ430))</f>
        <v/>
      </c>
      <c r="F430" s="53" t="str">
        <f aca="false">IF(OR($A430&gt;TOMATO_BED_CAP,$B430&gt;CARROT_BED_CAP,F$4&gt;MESCLUN_BED_CAP,$A430+$B430+F$4&gt;TOTAL_BEDS_AVAILABLE,($D430+F$5)&gt;TOTAL_LABOR_HOURS_CAP,MAX(0,($D430+F$5)-PERMANENT_FIELD_LABOR_HOURS)&gt;TEMP_HOURS_CAP),"",$C430+F$6-MIN(($D430+F$5),PERMANENT_FIELD_LABOR_HOURS)*PERMANENT_HOURLY_RATE-MAX(0,($D430+F$5)-PERMANENT_FIELD_LABOR_HOURS)*TEMP_HOURLY_RATE-FIXED_SEASON_COST)</f>
        <v/>
      </c>
      <c r="G430" s="53" t="str">
        <f aca="false">IF(OR($A430&gt;TOMATO_BED_CAP,$B430&gt;CARROT_BED_CAP,G$4&gt;MESCLUN_BED_CAP,$A430+$B430+G$4&gt;TOTAL_BEDS_AVAILABLE,($D430+G$5)&gt;TOTAL_LABOR_HOURS_CAP,MAX(0,($D430+G$5)-PERMANENT_FIELD_LABOR_HOURS)&gt;TEMP_HOURS_CAP),"",$C430+G$6-MIN(($D430+G$5),PERMANENT_FIELD_LABOR_HOURS)*PERMANENT_HOURLY_RATE-MAX(0,($D430+G$5)-PERMANENT_FIELD_LABOR_HOURS)*TEMP_HOURLY_RATE-FIXED_SEASON_COST)</f>
        <v/>
      </c>
      <c r="H430" s="53" t="str">
        <f aca="false">IF(OR($A430&gt;TOMATO_BED_CAP,$B430&gt;CARROT_BED_CAP,H$4&gt;MESCLUN_BED_CAP,$A430+$B430+H$4&gt;TOTAL_BEDS_AVAILABLE,($D430+H$5)&gt;TOTAL_LABOR_HOURS_CAP,MAX(0,($D430+H$5)-PERMANENT_FIELD_LABOR_HOURS)&gt;TEMP_HOURS_CAP),"",$C430+H$6-MIN(($D430+H$5),PERMANENT_FIELD_LABOR_HOURS)*PERMANENT_HOURLY_RATE-MAX(0,($D430+H$5)-PERMANENT_FIELD_LABOR_HOURS)*TEMP_HOURLY_RATE-FIXED_SEASON_COST)</f>
        <v/>
      </c>
      <c r="I430" s="53" t="str">
        <f aca="false">IF(OR($A430&gt;TOMATO_BED_CAP,$B430&gt;CARROT_BED_CAP,I$4&gt;MESCLUN_BED_CAP,$A430+$B430+I$4&gt;TOTAL_BEDS_AVAILABLE,($D430+I$5)&gt;TOTAL_LABOR_HOURS_CAP,MAX(0,($D430+I$5)-PERMANENT_FIELD_LABOR_HOURS)&gt;TEMP_HOURS_CAP),"",$C430+I$6-MIN(($D430+I$5),PERMANENT_FIELD_LABOR_HOURS)*PERMANENT_HOURLY_RATE-MAX(0,($D430+I$5)-PERMANENT_FIELD_LABOR_HOURS)*TEMP_HOURLY_RATE-FIXED_SEASON_COST)</f>
        <v/>
      </c>
      <c r="J430" s="53" t="str">
        <f aca="false">IF(OR($A430&gt;TOMATO_BED_CAP,$B430&gt;CARROT_BED_CAP,J$4&gt;MESCLUN_BED_CAP,$A430+$B430+J$4&gt;TOTAL_BEDS_AVAILABLE,($D430+J$5)&gt;TOTAL_LABOR_HOURS_CAP,MAX(0,($D430+J$5)-PERMANENT_FIELD_LABOR_HOURS)&gt;TEMP_HOURS_CAP),"",$C430+J$6-MIN(($D430+J$5),PERMANENT_FIELD_LABOR_HOURS)*PERMANENT_HOURLY_RATE-MAX(0,($D430+J$5)-PERMANENT_FIELD_LABOR_HOURS)*TEMP_HOURLY_RATE-FIXED_SEASON_COST)</f>
        <v/>
      </c>
      <c r="K430" s="53" t="str">
        <f aca="false">IF(OR($A430&gt;TOMATO_BED_CAP,$B430&gt;CARROT_BED_CAP,K$4&gt;MESCLUN_BED_CAP,$A430+$B430+K$4&gt;TOTAL_BEDS_AVAILABLE,($D430+K$5)&gt;TOTAL_LABOR_HOURS_CAP,MAX(0,($D430+K$5)-PERMANENT_FIELD_LABOR_HOURS)&gt;TEMP_HOURS_CAP),"",$C430+K$6-MIN(($D430+K$5),PERMANENT_FIELD_LABOR_HOURS)*PERMANENT_HOURLY_RATE-MAX(0,($D430+K$5)-PERMANENT_FIELD_LABOR_HOURS)*TEMP_HOURLY_RATE-FIXED_SEASON_COST)</f>
        <v/>
      </c>
      <c r="L430" s="53" t="str">
        <f aca="false">IF(OR($A430&gt;TOMATO_BED_CAP,$B430&gt;CARROT_BED_CAP,L$4&gt;MESCLUN_BED_CAP,$A430+$B430+L$4&gt;TOTAL_BEDS_AVAILABLE,($D430+L$5)&gt;TOTAL_LABOR_HOURS_CAP,MAX(0,($D430+L$5)-PERMANENT_FIELD_LABOR_HOURS)&gt;TEMP_HOURS_CAP),"",$C430+L$6-MIN(($D430+L$5),PERMANENT_FIELD_LABOR_HOURS)*PERMANENT_HOURLY_RATE-MAX(0,($D430+L$5)-PERMANENT_FIELD_LABOR_HOURS)*TEMP_HOURLY_RATE-FIXED_SEASON_COST)</f>
        <v/>
      </c>
      <c r="M430" s="53" t="str">
        <f aca="false">IF(OR($A430&gt;TOMATO_BED_CAP,$B430&gt;CARROT_BED_CAP,M$4&gt;MESCLUN_BED_CAP,$A430+$B430+M$4&gt;TOTAL_BEDS_AVAILABLE,($D430+M$5)&gt;TOTAL_LABOR_HOURS_CAP,MAX(0,($D430+M$5)-PERMANENT_FIELD_LABOR_HOURS)&gt;TEMP_HOURS_CAP),"",$C430+M$6-MIN(($D430+M$5),PERMANENT_FIELD_LABOR_HOURS)*PERMANENT_HOURLY_RATE-MAX(0,($D430+M$5)-PERMANENT_FIELD_LABOR_HOURS)*TEMP_HOURLY_RATE-FIXED_SEASON_COST)</f>
        <v/>
      </c>
      <c r="N430" s="53" t="str">
        <f aca="false">IF(OR($A430&gt;TOMATO_BED_CAP,$B430&gt;CARROT_BED_CAP,N$4&gt;MESCLUN_BED_CAP,$A430+$B430+N$4&gt;TOTAL_BEDS_AVAILABLE,($D430+N$5)&gt;TOTAL_LABOR_HOURS_CAP,MAX(0,($D430+N$5)-PERMANENT_FIELD_LABOR_HOURS)&gt;TEMP_HOURS_CAP),"",$C430+N$6-MIN(($D430+N$5),PERMANENT_FIELD_LABOR_HOURS)*PERMANENT_HOURLY_RATE-MAX(0,($D430+N$5)-PERMANENT_FIELD_LABOR_HOURS)*TEMP_HOURLY_RATE-FIXED_SEASON_COST)</f>
        <v/>
      </c>
      <c r="O430" s="53" t="str">
        <f aca="false">IF(OR($A430&gt;TOMATO_BED_CAP,$B430&gt;CARROT_BED_CAP,O$4&gt;MESCLUN_BED_CAP,$A430+$B430+O$4&gt;TOTAL_BEDS_AVAILABLE,($D430+O$5)&gt;TOTAL_LABOR_HOURS_CAP,MAX(0,($D430+O$5)-PERMANENT_FIELD_LABOR_HOURS)&gt;TEMP_HOURS_CAP),"",$C430+O$6-MIN(($D430+O$5),PERMANENT_FIELD_LABOR_HOURS)*PERMANENT_HOURLY_RATE-MAX(0,($D430+O$5)-PERMANENT_FIELD_LABOR_HOURS)*TEMP_HOURLY_RATE-FIXED_SEASON_COST)</f>
        <v/>
      </c>
      <c r="P430" s="53" t="str">
        <f aca="false">IF(OR($A430&gt;TOMATO_BED_CAP,$B430&gt;CARROT_BED_CAP,P$4&gt;MESCLUN_BED_CAP,$A430+$B430+P$4&gt;TOTAL_BEDS_AVAILABLE,($D430+P$5)&gt;TOTAL_LABOR_HOURS_CAP,MAX(0,($D430+P$5)-PERMANENT_FIELD_LABOR_HOURS)&gt;TEMP_HOURS_CAP),"",$C430+P$6-MIN(($D430+P$5),PERMANENT_FIELD_LABOR_HOURS)*PERMANENT_HOURLY_RATE-MAX(0,($D430+P$5)-PERMANENT_FIELD_LABOR_HOURS)*TEMP_HOURLY_RATE-FIXED_SEASON_COST)</f>
        <v/>
      </c>
      <c r="Q430" s="53" t="str">
        <f aca="false">IF(OR($A430&gt;TOMATO_BED_CAP,$B430&gt;CARROT_BED_CAP,Q$4&gt;MESCLUN_BED_CAP,$A430+$B430+Q$4&gt;TOTAL_BEDS_AVAILABLE,($D430+Q$5)&gt;TOTAL_LABOR_HOURS_CAP,MAX(0,($D430+Q$5)-PERMANENT_FIELD_LABOR_HOURS)&gt;TEMP_HOURS_CAP),"",$C430+Q$6-MIN(($D430+Q$5),PERMANENT_FIELD_LABOR_HOURS)*PERMANENT_HOURLY_RATE-MAX(0,($D430+Q$5)-PERMANENT_FIELD_LABOR_HOURS)*TEMP_HOURLY_RATE-FIXED_SEASON_COST)</f>
        <v/>
      </c>
      <c r="R430" s="53" t="str">
        <f aca="false">IF(OR($A430&gt;TOMATO_BED_CAP,$B430&gt;CARROT_BED_CAP,R$4&gt;MESCLUN_BED_CAP,$A430+$B430+R$4&gt;TOTAL_BEDS_AVAILABLE,($D430+R$5)&gt;TOTAL_LABOR_HOURS_CAP,MAX(0,($D430+R$5)-PERMANENT_FIELD_LABOR_HOURS)&gt;TEMP_HOURS_CAP),"",$C430+R$6-MIN(($D430+R$5),PERMANENT_FIELD_LABOR_HOURS)*PERMANENT_HOURLY_RATE-MAX(0,($D430+R$5)-PERMANENT_FIELD_LABOR_HOURS)*TEMP_HOURLY_RATE-FIXED_SEASON_COST)</f>
        <v/>
      </c>
      <c r="S430" s="53" t="str">
        <f aca="false">IF(OR($A430&gt;TOMATO_BED_CAP,$B430&gt;CARROT_BED_CAP,S$4&gt;MESCLUN_BED_CAP,$A430+$B430+S$4&gt;TOTAL_BEDS_AVAILABLE,($D430+S$5)&gt;TOTAL_LABOR_HOURS_CAP,MAX(0,($D430+S$5)-PERMANENT_FIELD_LABOR_HOURS)&gt;TEMP_HOURS_CAP),"",$C430+S$6-MIN(($D430+S$5),PERMANENT_FIELD_LABOR_HOURS)*PERMANENT_HOURLY_RATE-MAX(0,($D430+S$5)-PERMANENT_FIELD_LABOR_HOURS)*TEMP_HOURLY_RATE-FIXED_SEASON_COST)</f>
        <v/>
      </c>
      <c r="T430" s="53" t="str">
        <f aca="false">IF(OR($A430&gt;TOMATO_BED_CAP,$B430&gt;CARROT_BED_CAP,T$4&gt;MESCLUN_BED_CAP,$A430+$B430+T$4&gt;TOTAL_BEDS_AVAILABLE,($D430+T$5)&gt;TOTAL_LABOR_HOURS_CAP,MAX(0,($D430+T$5)-PERMANENT_FIELD_LABOR_HOURS)&gt;TEMP_HOURS_CAP),"",$C430+T$6-MIN(($D430+T$5),PERMANENT_FIELD_LABOR_HOURS)*PERMANENT_HOURLY_RATE-MAX(0,($D430+T$5)-PERMANENT_FIELD_LABOR_HOURS)*TEMP_HOURLY_RATE-FIXED_SEASON_COST)</f>
        <v/>
      </c>
      <c r="U430" s="53" t="str">
        <f aca="false">IF(OR($A430&gt;TOMATO_BED_CAP,$B430&gt;CARROT_BED_CAP,U$4&gt;MESCLUN_BED_CAP,$A430+$B430+U$4&gt;TOTAL_BEDS_AVAILABLE,($D430+U$5)&gt;TOTAL_LABOR_HOURS_CAP,MAX(0,($D430+U$5)-PERMANENT_FIELD_LABOR_HOURS)&gt;TEMP_HOURS_CAP),"",$C430+U$6-MIN(($D430+U$5),PERMANENT_FIELD_LABOR_HOURS)*PERMANENT_HOURLY_RATE-MAX(0,($D430+U$5)-PERMANENT_FIELD_LABOR_HOURS)*TEMP_HOURLY_RATE-FIXED_SEASON_COST)</f>
        <v/>
      </c>
      <c r="V430" s="53" t="str">
        <f aca="false">IF(OR($A430&gt;TOMATO_BED_CAP,$B430&gt;CARROT_BED_CAP,V$4&gt;MESCLUN_BED_CAP,$A430+$B430+V$4&gt;TOTAL_BEDS_AVAILABLE,($D430+V$5)&gt;TOTAL_LABOR_HOURS_CAP,MAX(0,($D430+V$5)-PERMANENT_FIELD_LABOR_HOURS)&gt;TEMP_HOURS_CAP),"",$C430+V$6-MIN(($D430+V$5),PERMANENT_FIELD_LABOR_HOURS)*PERMANENT_HOURLY_RATE-MAX(0,($D430+V$5)-PERMANENT_FIELD_LABOR_HOURS)*TEMP_HOURLY_RATE-FIXED_SEASON_COST)</f>
        <v/>
      </c>
      <c r="W430" s="53" t="str">
        <f aca="false">IF(OR($A430&gt;TOMATO_BED_CAP,$B430&gt;CARROT_BED_CAP,W$4&gt;MESCLUN_BED_CAP,$A430+$B430+W$4&gt;TOTAL_BEDS_AVAILABLE,($D430+W$5)&gt;TOTAL_LABOR_HOURS_CAP,MAX(0,($D430+W$5)-PERMANENT_FIELD_LABOR_HOURS)&gt;TEMP_HOURS_CAP),"",$C430+W$6-MIN(($D430+W$5),PERMANENT_FIELD_LABOR_HOURS)*PERMANENT_HOURLY_RATE-MAX(0,($D430+W$5)-PERMANENT_FIELD_LABOR_HOURS)*TEMP_HOURLY_RATE-FIXED_SEASON_COST)</f>
        <v/>
      </c>
      <c r="X430" s="53" t="str">
        <f aca="false">IF(OR($A430&gt;TOMATO_BED_CAP,$B430&gt;CARROT_BED_CAP,X$4&gt;MESCLUN_BED_CAP,$A430+$B430+X$4&gt;TOTAL_BEDS_AVAILABLE,($D430+X$5)&gt;TOTAL_LABOR_HOURS_CAP,MAX(0,($D430+X$5)-PERMANENT_FIELD_LABOR_HOURS)&gt;TEMP_HOURS_CAP),"",$C430+X$6-MIN(($D430+X$5),PERMANENT_FIELD_LABOR_HOURS)*PERMANENT_HOURLY_RATE-MAX(0,($D430+X$5)-PERMANENT_FIELD_LABOR_HOURS)*TEMP_HOURLY_RATE-FIXED_SEASON_COST)</f>
        <v/>
      </c>
      <c r="Y430" s="53" t="str">
        <f aca="false">IF(OR($A430&gt;TOMATO_BED_CAP,$B430&gt;CARROT_BED_CAP,Y$4&gt;MESCLUN_BED_CAP,$A430+$B430+Y$4&gt;TOTAL_BEDS_AVAILABLE,($D430+Y$5)&gt;TOTAL_LABOR_HOURS_CAP,MAX(0,($D430+Y$5)-PERMANENT_FIELD_LABOR_HOURS)&gt;TEMP_HOURS_CAP),"",$C430+Y$6-MIN(($D430+Y$5),PERMANENT_FIELD_LABOR_HOURS)*PERMANENT_HOURLY_RATE-MAX(0,($D430+Y$5)-PERMANENT_FIELD_LABOR_HOURS)*TEMP_HOURLY_RATE-FIXED_SEASON_COST)</f>
        <v/>
      </c>
      <c r="Z430" s="53" t="str">
        <f aca="false">IF(OR($A430&gt;TOMATO_BED_CAP,$B430&gt;CARROT_BED_CAP,Z$4&gt;MESCLUN_BED_CAP,$A430+$B430+Z$4&gt;TOTAL_BEDS_AVAILABLE,($D430+Z$5)&gt;TOTAL_LABOR_HOURS_CAP,MAX(0,($D430+Z$5)-PERMANENT_FIELD_LABOR_HOURS)&gt;TEMP_HOURS_CAP),"",$C430+Z$6-MIN(($D430+Z$5),PERMANENT_FIELD_LABOR_HOURS)*PERMANENT_HOURLY_RATE-MAX(0,($D430+Z$5)-PERMANENT_FIELD_LABOR_HOURS)*TEMP_HOURLY_RATE-FIXED_SEASON_COST)</f>
        <v/>
      </c>
      <c r="AA430" s="53" t="str">
        <f aca="false">IF(OR($A430&gt;TOMATO_BED_CAP,$B430&gt;CARROT_BED_CAP,AA$4&gt;MESCLUN_BED_CAP,$A430+$B430+AA$4&gt;TOTAL_BEDS_AVAILABLE,($D430+AA$5)&gt;TOTAL_LABOR_HOURS_CAP,MAX(0,($D430+AA$5)-PERMANENT_FIELD_LABOR_HOURS)&gt;TEMP_HOURS_CAP),"",$C430+AA$6-MIN(($D430+AA$5),PERMANENT_FIELD_LABOR_HOURS)*PERMANENT_HOURLY_RATE-MAX(0,($D430+AA$5)-PERMANENT_FIELD_LABOR_HOURS)*TEMP_HOURLY_RATE-FIXED_SEASON_COST)</f>
        <v/>
      </c>
      <c r="AB430" s="53" t="str">
        <f aca="false">IF(OR($A430&gt;TOMATO_BED_CAP,$B430&gt;CARROT_BED_CAP,AB$4&gt;MESCLUN_BED_CAP,$A430+$B430+AB$4&gt;TOTAL_BEDS_AVAILABLE,($D430+AB$5)&gt;TOTAL_LABOR_HOURS_CAP,MAX(0,($D430+AB$5)-PERMANENT_FIELD_LABOR_HOURS)&gt;TEMP_HOURS_CAP),"",$C430+AB$6-MIN(($D430+AB$5),PERMANENT_FIELD_LABOR_HOURS)*PERMANENT_HOURLY_RATE-MAX(0,($D430+AB$5)-PERMANENT_FIELD_LABOR_HOURS)*TEMP_HOURLY_RATE-FIXED_SEASON_COST)</f>
        <v/>
      </c>
      <c r="AC430" s="53" t="str">
        <f aca="false">IF(OR($A430&gt;TOMATO_BED_CAP,$B430&gt;CARROT_BED_CAP,AC$4&gt;MESCLUN_BED_CAP,$A430+$B430+AC$4&gt;TOTAL_BEDS_AVAILABLE,($D430+AC$5)&gt;TOTAL_LABOR_HOURS_CAP,MAX(0,($D430+AC$5)-PERMANENT_FIELD_LABOR_HOURS)&gt;TEMP_HOURS_CAP),"",$C430+AC$6-MIN(($D430+AC$5),PERMANENT_FIELD_LABOR_HOURS)*PERMANENT_HOURLY_RATE-MAX(0,($D430+AC$5)-PERMANENT_FIELD_LABOR_HOURS)*TEMP_HOURLY_RATE-FIXED_SEASON_COST)</f>
        <v/>
      </c>
      <c r="AD430" s="53" t="str">
        <f aca="false">IF(OR($A430&gt;TOMATO_BED_CAP,$B430&gt;CARROT_BED_CAP,AD$4&gt;MESCLUN_BED_CAP,$A430+$B430+AD$4&gt;TOTAL_BEDS_AVAILABLE,($D430+AD$5)&gt;TOTAL_LABOR_HOURS_CAP,MAX(0,($D430+AD$5)-PERMANENT_FIELD_LABOR_HOURS)&gt;TEMP_HOURS_CAP),"",$C430+AD$6-MIN(($D430+AD$5),PERMANENT_FIELD_LABOR_HOURS)*PERMANENT_HOURLY_RATE-MAX(0,($D430+AD$5)-PERMANENT_FIELD_LABOR_HOURS)*TEMP_HOURLY_RATE-FIXED_SEASON_COST)</f>
        <v/>
      </c>
      <c r="AE430" s="53" t="str">
        <f aca="false">IF(OR($A430&gt;TOMATO_BED_CAP,$B430&gt;CARROT_BED_CAP,AE$4&gt;MESCLUN_BED_CAP,$A430+$B430+AE$4&gt;TOTAL_BEDS_AVAILABLE,($D430+AE$5)&gt;TOTAL_LABOR_HOURS_CAP,MAX(0,($D430+AE$5)-PERMANENT_FIELD_LABOR_HOURS)&gt;TEMP_HOURS_CAP),"",$C430+AE$6-MIN(($D430+AE$5),PERMANENT_FIELD_LABOR_HOURS)*PERMANENT_HOURLY_RATE-MAX(0,($D430+AE$5)-PERMANENT_FIELD_LABOR_HOURS)*TEMP_HOURLY_RATE-FIXED_SEASON_COST)</f>
        <v/>
      </c>
      <c r="AF430" s="53" t="str">
        <f aca="false">IF(OR($A430&gt;TOMATO_BED_CAP,$B430&gt;CARROT_BED_CAP,AF$4&gt;MESCLUN_BED_CAP,$A430+$B430+AF$4&gt;TOTAL_BEDS_AVAILABLE,($D430+AF$5)&gt;TOTAL_LABOR_HOURS_CAP,MAX(0,($D430+AF$5)-PERMANENT_FIELD_LABOR_HOURS)&gt;TEMP_HOURS_CAP),"",$C430+AF$6-MIN(($D430+AF$5),PERMANENT_FIELD_LABOR_HOURS)*PERMANENT_HOURLY_RATE-MAX(0,($D430+AF$5)-PERMANENT_FIELD_LABOR_HOURS)*TEMP_HOURLY_RATE-FIXED_SEASON_COST)</f>
        <v/>
      </c>
      <c r="AG430" s="53" t="str">
        <f aca="false">IF(OR($A430&gt;TOMATO_BED_CAP,$B430&gt;CARROT_BED_CAP,AG$4&gt;MESCLUN_BED_CAP,$A430+$B430+AG$4&gt;TOTAL_BEDS_AVAILABLE,($D430+AG$5)&gt;TOTAL_LABOR_HOURS_CAP,MAX(0,($D430+AG$5)-PERMANENT_FIELD_LABOR_HOURS)&gt;TEMP_HOURS_CAP),"",$C430+AG$6-MIN(($D430+AG$5),PERMANENT_FIELD_LABOR_HOURS)*PERMANENT_HOURLY_RATE-MAX(0,($D430+AG$5)-PERMANENT_FIELD_LABOR_HOURS)*TEMP_HOURLY_RATE-FIXED_SEASON_COST)</f>
        <v/>
      </c>
      <c r="AH430" s="53" t="str">
        <f aca="false">IF(OR($A430&gt;TOMATO_BED_CAP,$B430&gt;CARROT_BED_CAP,AH$4&gt;MESCLUN_BED_CAP,$A430+$B430+AH$4&gt;TOTAL_BEDS_AVAILABLE,($D430+AH$5)&gt;TOTAL_LABOR_HOURS_CAP,MAX(0,($D430+AH$5)-PERMANENT_FIELD_LABOR_HOURS)&gt;TEMP_HOURS_CAP),"",$C430+AH$6-MIN(($D430+AH$5),PERMANENT_FIELD_LABOR_HOURS)*PERMANENT_HOURLY_RATE-MAX(0,($D430+AH$5)-PERMANENT_FIELD_LABOR_HOURS)*TEMP_HOURLY_RATE-FIXED_SEASON_COST)</f>
        <v/>
      </c>
      <c r="AI430" s="53" t="str">
        <f aca="false">IF(OR($A430&gt;TOMATO_BED_CAP,$B430&gt;CARROT_BED_CAP,AI$4&gt;MESCLUN_BED_CAP,$A430+$B430+AI$4&gt;TOTAL_BEDS_AVAILABLE,($D430+AI$5)&gt;TOTAL_LABOR_HOURS_CAP,MAX(0,($D430+AI$5)-PERMANENT_FIELD_LABOR_HOURS)&gt;TEMP_HOURS_CAP),"",$C430+AI$6-MIN(($D430+AI$5),PERMANENT_FIELD_LABOR_HOURS)*PERMANENT_HOURLY_RATE-MAX(0,($D430+AI$5)-PERMANENT_FIELD_LABOR_HOURS)*TEMP_HOURLY_RATE-FIXED_SEASON_COST)</f>
        <v/>
      </c>
      <c r="AJ430" s="53" t="str">
        <f aca="false">IF(OR($A430&gt;TOMATO_BED_CAP,$B430&gt;CARROT_BED_CAP,AJ$4&gt;MESCLUN_BED_CAP,$A430+$B430+AJ$4&gt;TOTAL_BEDS_AVAILABLE,($D430+AJ$5)&gt;TOTAL_LABOR_HOURS_CAP,MAX(0,($D430+AJ$5)-PERMANENT_FIELD_LABOR_HOURS)&gt;TEMP_HOURS_CAP),"",$C430+AJ$6-MIN(($D430+AJ$5),PERMANENT_FIELD_LABOR_HOURS)*PERMANENT_HOURLY_RATE-MAX(0,($D430+AJ$5)-PERMANENT_FIELD_LABOR_HOURS)*TEMP_HOURLY_RATE-FIXED_SEASON_COST)</f>
        <v/>
      </c>
    </row>
    <row r="431" customFormat="false" ht="15" hidden="false" customHeight="false" outlineLevel="0" collapsed="false">
      <c r="A431" s="21" t="n">
        <f aca="false">INT((ROW()-ROW($A$8))/(20+1))</f>
        <v>20</v>
      </c>
      <c r="B431" s="21" t="n">
        <f aca="false">MOD(ROW()-ROW($A$8),20+1)</f>
        <v>3</v>
      </c>
      <c r="C431" s="13" t="n">
        <f aca="false">A431*(TOMATO_REVENUE_PER_BED-TOMATO_FERTILIZER_PER_BED)+B431*(CARROT_REVENUE_PER_BED-CARROT_FERTILIZER_PER_BED)</f>
        <v>163362</v>
      </c>
      <c r="D431" s="14" t="n">
        <f aca="false">INDEX(TOMATO_SCHED_LABOR_HRS,A431+1)+INDEX(CARROT_SCHED_LABOR_HRS,B431+1)</f>
        <v>12206.3812969736</v>
      </c>
      <c r="E431" s="13" t="str">
        <f aca="false">IF(COUNT(F431:AJ431)=0,"",MAX(F431:AJ431))</f>
        <v/>
      </c>
      <c r="F431" s="53" t="str">
        <f aca="false">IF(OR($A431&gt;TOMATO_BED_CAP,$B431&gt;CARROT_BED_CAP,F$4&gt;MESCLUN_BED_CAP,$A431+$B431+F$4&gt;TOTAL_BEDS_AVAILABLE,($D431+F$5)&gt;TOTAL_LABOR_HOURS_CAP,MAX(0,($D431+F$5)-PERMANENT_FIELD_LABOR_HOURS)&gt;TEMP_HOURS_CAP),"",$C431+F$6-MIN(($D431+F$5),PERMANENT_FIELD_LABOR_HOURS)*PERMANENT_HOURLY_RATE-MAX(0,($D431+F$5)-PERMANENT_FIELD_LABOR_HOURS)*TEMP_HOURLY_RATE-FIXED_SEASON_COST)</f>
        <v/>
      </c>
      <c r="G431" s="53" t="str">
        <f aca="false">IF(OR($A431&gt;TOMATO_BED_CAP,$B431&gt;CARROT_BED_CAP,G$4&gt;MESCLUN_BED_CAP,$A431+$B431+G$4&gt;TOTAL_BEDS_AVAILABLE,($D431+G$5)&gt;TOTAL_LABOR_HOURS_CAP,MAX(0,($D431+G$5)-PERMANENT_FIELD_LABOR_HOURS)&gt;TEMP_HOURS_CAP),"",$C431+G$6-MIN(($D431+G$5),PERMANENT_FIELD_LABOR_HOURS)*PERMANENT_HOURLY_RATE-MAX(0,($D431+G$5)-PERMANENT_FIELD_LABOR_HOURS)*TEMP_HOURLY_RATE-FIXED_SEASON_COST)</f>
        <v/>
      </c>
      <c r="H431" s="53" t="str">
        <f aca="false">IF(OR($A431&gt;TOMATO_BED_CAP,$B431&gt;CARROT_BED_CAP,H$4&gt;MESCLUN_BED_CAP,$A431+$B431+H$4&gt;TOTAL_BEDS_AVAILABLE,($D431+H$5)&gt;TOTAL_LABOR_HOURS_CAP,MAX(0,($D431+H$5)-PERMANENT_FIELD_LABOR_HOURS)&gt;TEMP_HOURS_CAP),"",$C431+H$6-MIN(($D431+H$5),PERMANENT_FIELD_LABOR_HOURS)*PERMANENT_HOURLY_RATE-MAX(0,($D431+H$5)-PERMANENT_FIELD_LABOR_HOURS)*TEMP_HOURLY_RATE-FIXED_SEASON_COST)</f>
        <v/>
      </c>
      <c r="I431" s="53" t="str">
        <f aca="false">IF(OR($A431&gt;TOMATO_BED_CAP,$B431&gt;CARROT_BED_CAP,I$4&gt;MESCLUN_BED_CAP,$A431+$B431+I$4&gt;TOTAL_BEDS_AVAILABLE,($D431+I$5)&gt;TOTAL_LABOR_HOURS_CAP,MAX(0,($D431+I$5)-PERMANENT_FIELD_LABOR_HOURS)&gt;TEMP_HOURS_CAP),"",$C431+I$6-MIN(($D431+I$5),PERMANENT_FIELD_LABOR_HOURS)*PERMANENT_HOURLY_RATE-MAX(0,($D431+I$5)-PERMANENT_FIELD_LABOR_HOURS)*TEMP_HOURLY_RATE-FIXED_SEASON_COST)</f>
        <v/>
      </c>
      <c r="J431" s="53" t="str">
        <f aca="false">IF(OR($A431&gt;TOMATO_BED_CAP,$B431&gt;CARROT_BED_CAP,J$4&gt;MESCLUN_BED_CAP,$A431+$B431+J$4&gt;TOTAL_BEDS_AVAILABLE,($D431+J$5)&gt;TOTAL_LABOR_HOURS_CAP,MAX(0,($D431+J$5)-PERMANENT_FIELD_LABOR_HOURS)&gt;TEMP_HOURS_CAP),"",$C431+J$6-MIN(($D431+J$5),PERMANENT_FIELD_LABOR_HOURS)*PERMANENT_HOURLY_RATE-MAX(0,($D431+J$5)-PERMANENT_FIELD_LABOR_HOURS)*TEMP_HOURLY_RATE-FIXED_SEASON_COST)</f>
        <v/>
      </c>
      <c r="K431" s="53" t="str">
        <f aca="false">IF(OR($A431&gt;TOMATO_BED_CAP,$B431&gt;CARROT_BED_CAP,K$4&gt;MESCLUN_BED_CAP,$A431+$B431+K$4&gt;TOTAL_BEDS_AVAILABLE,($D431+K$5)&gt;TOTAL_LABOR_HOURS_CAP,MAX(0,($D431+K$5)-PERMANENT_FIELD_LABOR_HOURS)&gt;TEMP_HOURS_CAP),"",$C431+K$6-MIN(($D431+K$5),PERMANENT_FIELD_LABOR_HOURS)*PERMANENT_HOURLY_RATE-MAX(0,($D431+K$5)-PERMANENT_FIELD_LABOR_HOURS)*TEMP_HOURLY_RATE-FIXED_SEASON_COST)</f>
        <v/>
      </c>
      <c r="L431" s="53" t="str">
        <f aca="false">IF(OR($A431&gt;TOMATO_BED_CAP,$B431&gt;CARROT_BED_CAP,L$4&gt;MESCLUN_BED_CAP,$A431+$B431+L$4&gt;TOTAL_BEDS_AVAILABLE,($D431+L$5)&gt;TOTAL_LABOR_HOURS_CAP,MAX(0,($D431+L$5)-PERMANENT_FIELD_LABOR_HOURS)&gt;TEMP_HOURS_CAP),"",$C431+L$6-MIN(($D431+L$5),PERMANENT_FIELD_LABOR_HOURS)*PERMANENT_HOURLY_RATE-MAX(0,($D431+L$5)-PERMANENT_FIELD_LABOR_HOURS)*TEMP_HOURLY_RATE-FIXED_SEASON_COST)</f>
        <v/>
      </c>
      <c r="M431" s="53" t="str">
        <f aca="false">IF(OR($A431&gt;TOMATO_BED_CAP,$B431&gt;CARROT_BED_CAP,M$4&gt;MESCLUN_BED_CAP,$A431+$B431+M$4&gt;TOTAL_BEDS_AVAILABLE,($D431+M$5)&gt;TOTAL_LABOR_HOURS_CAP,MAX(0,($D431+M$5)-PERMANENT_FIELD_LABOR_HOURS)&gt;TEMP_HOURS_CAP),"",$C431+M$6-MIN(($D431+M$5),PERMANENT_FIELD_LABOR_HOURS)*PERMANENT_HOURLY_RATE-MAX(0,($D431+M$5)-PERMANENT_FIELD_LABOR_HOURS)*TEMP_HOURLY_RATE-FIXED_SEASON_COST)</f>
        <v/>
      </c>
      <c r="N431" s="53" t="str">
        <f aca="false">IF(OR($A431&gt;TOMATO_BED_CAP,$B431&gt;CARROT_BED_CAP,N$4&gt;MESCLUN_BED_CAP,$A431+$B431+N$4&gt;TOTAL_BEDS_AVAILABLE,($D431+N$5)&gt;TOTAL_LABOR_HOURS_CAP,MAX(0,($D431+N$5)-PERMANENT_FIELD_LABOR_HOURS)&gt;TEMP_HOURS_CAP),"",$C431+N$6-MIN(($D431+N$5),PERMANENT_FIELD_LABOR_HOURS)*PERMANENT_HOURLY_RATE-MAX(0,($D431+N$5)-PERMANENT_FIELD_LABOR_HOURS)*TEMP_HOURLY_RATE-FIXED_SEASON_COST)</f>
        <v/>
      </c>
      <c r="O431" s="53" t="str">
        <f aca="false">IF(OR($A431&gt;TOMATO_BED_CAP,$B431&gt;CARROT_BED_CAP,O$4&gt;MESCLUN_BED_CAP,$A431+$B431+O$4&gt;TOTAL_BEDS_AVAILABLE,($D431+O$5)&gt;TOTAL_LABOR_HOURS_CAP,MAX(0,($D431+O$5)-PERMANENT_FIELD_LABOR_HOURS)&gt;TEMP_HOURS_CAP),"",$C431+O$6-MIN(($D431+O$5),PERMANENT_FIELD_LABOR_HOURS)*PERMANENT_HOURLY_RATE-MAX(0,($D431+O$5)-PERMANENT_FIELD_LABOR_HOURS)*TEMP_HOURLY_RATE-FIXED_SEASON_COST)</f>
        <v/>
      </c>
      <c r="P431" s="53" t="str">
        <f aca="false">IF(OR($A431&gt;TOMATO_BED_CAP,$B431&gt;CARROT_BED_CAP,P$4&gt;MESCLUN_BED_CAP,$A431+$B431+P$4&gt;TOTAL_BEDS_AVAILABLE,($D431+P$5)&gt;TOTAL_LABOR_HOURS_CAP,MAX(0,($D431+P$5)-PERMANENT_FIELD_LABOR_HOURS)&gt;TEMP_HOURS_CAP),"",$C431+P$6-MIN(($D431+P$5),PERMANENT_FIELD_LABOR_HOURS)*PERMANENT_HOURLY_RATE-MAX(0,($D431+P$5)-PERMANENT_FIELD_LABOR_HOURS)*TEMP_HOURLY_RATE-FIXED_SEASON_COST)</f>
        <v/>
      </c>
      <c r="Q431" s="53" t="str">
        <f aca="false">IF(OR($A431&gt;TOMATO_BED_CAP,$B431&gt;CARROT_BED_CAP,Q$4&gt;MESCLUN_BED_CAP,$A431+$B431+Q$4&gt;TOTAL_BEDS_AVAILABLE,($D431+Q$5)&gt;TOTAL_LABOR_HOURS_CAP,MAX(0,($D431+Q$5)-PERMANENT_FIELD_LABOR_HOURS)&gt;TEMP_HOURS_CAP),"",$C431+Q$6-MIN(($D431+Q$5),PERMANENT_FIELD_LABOR_HOURS)*PERMANENT_HOURLY_RATE-MAX(0,($D431+Q$5)-PERMANENT_FIELD_LABOR_HOURS)*TEMP_HOURLY_RATE-FIXED_SEASON_COST)</f>
        <v/>
      </c>
      <c r="R431" s="53" t="str">
        <f aca="false">IF(OR($A431&gt;TOMATO_BED_CAP,$B431&gt;CARROT_BED_CAP,R$4&gt;MESCLUN_BED_CAP,$A431+$B431+R$4&gt;TOTAL_BEDS_AVAILABLE,($D431+R$5)&gt;TOTAL_LABOR_HOURS_CAP,MAX(0,($D431+R$5)-PERMANENT_FIELD_LABOR_HOURS)&gt;TEMP_HOURS_CAP),"",$C431+R$6-MIN(($D431+R$5),PERMANENT_FIELD_LABOR_HOURS)*PERMANENT_HOURLY_RATE-MAX(0,($D431+R$5)-PERMANENT_FIELD_LABOR_HOURS)*TEMP_HOURLY_RATE-FIXED_SEASON_COST)</f>
        <v/>
      </c>
      <c r="S431" s="53" t="str">
        <f aca="false">IF(OR($A431&gt;TOMATO_BED_CAP,$B431&gt;CARROT_BED_CAP,S$4&gt;MESCLUN_BED_CAP,$A431+$B431+S$4&gt;TOTAL_BEDS_AVAILABLE,($D431+S$5)&gt;TOTAL_LABOR_HOURS_CAP,MAX(0,($D431+S$5)-PERMANENT_FIELD_LABOR_HOURS)&gt;TEMP_HOURS_CAP),"",$C431+S$6-MIN(($D431+S$5),PERMANENT_FIELD_LABOR_HOURS)*PERMANENT_HOURLY_RATE-MAX(0,($D431+S$5)-PERMANENT_FIELD_LABOR_HOURS)*TEMP_HOURLY_RATE-FIXED_SEASON_COST)</f>
        <v/>
      </c>
      <c r="T431" s="53" t="str">
        <f aca="false">IF(OR($A431&gt;TOMATO_BED_CAP,$B431&gt;CARROT_BED_CAP,T$4&gt;MESCLUN_BED_CAP,$A431+$B431+T$4&gt;TOTAL_BEDS_AVAILABLE,($D431+T$5)&gt;TOTAL_LABOR_HOURS_CAP,MAX(0,($D431+T$5)-PERMANENT_FIELD_LABOR_HOURS)&gt;TEMP_HOURS_CAP),"",$C431+T$6-MIN(($D431+T$5),PERMANENT_FIELD_LABOR_HOURS)*PERMANENT_HOURLY_RATE-MAX(0,($D431+T$5)-PERMANENT_FIELD_LABOR_HOURS)*TEMP_HOURLY_RATE-FIXED_SEASON_COST)</f>
        <v/>
      </c>
      <c r="U431" s="53" t="str">
        <f aca="false">IF(OR($A431&gt;TOMATO_BED_CAP,$B431&gt;CARROT_BED_CAP,U$4&gt;MESCLUN_BED_CAP,$A431+$B431+U$4&gt;TOTAL_BEDS_AVAILABLE,($D431+U$5)&gt;TOTAL_LABOR_HOURS_CAP,MAX(0,($D431+U$5)-PERMANENT_FIELD_LABOR_HOURS)&gt;TEMP_HOURS_CAP),"",$C431+U$6-MIN(($D431+U$5),PERMANENT_FIELD_LABOR_HOURS)*PERMANENT_HOURLY_RATE-MAX(0,($D431+U$5)-PERMANENT_FIELD_LABOR_HOURS)*TEMP_HOURLY_RATE-FIXED_SEASON_COST)</f>
        <v/>
      </c>
      <c r="V431" s="53" t="str">
        <f aca="false">IF(OR($A431&gt;TOMATO_BED_CAP,$B431&gt;CARROT_BED_CAP,V$4&gt;MESCLUN_BED_CAP,$A431+$B431+V$4&gt;TOTAL_BEDS_AVAILABLE,($D431+V$5)&gt;TOTAL_LABOR_HOURS_CAP,MAX(0,($D431+V$5)-PERMANENT_FIELD_LABOR_HOURS)&gt;TEMP_HOURS_CAP),"",$C431+V$6-MIN(($D431+V$5),PERMANENT_FIELD_LABOR_HOURS)*PERMANENT_HOURLY_RATE-MAX(0,($D431+V$5)-PERMANENT_FIELD_LABOR_HOURS)*TEMP_HOURLY_RATE-FIXED_SEASON_COST)</f>
        <v/>
      </c>
      <c r="W431" s="53" t="str">
        <f aca="false">IF(OR($A431&gt;TOMATO_BED_CAP,$B431&gt;CARROT_BED_CAP,W$4&gt;MESCLUN_BED_CAP,$A431+$B431+W$4&gt;TOTAL_BEDS_AVAILABLE,($D431+W$5)&gt;TOTAL_LABOR_HOURS_CAP,MAX(0,($D431+W$5)-PERMANENT_FIELD_LABOR_HOURS)&gt;TEMP_HOURS_CAP),"",$C431+W$6-MIN(($D431+W$5),PERMANENT_FIELD_LABOR_HOURS)*PERMANENT_HOURLY_RATE-MAX(0,($D431+W$5)-PERMANENT_FIELD_LABOR_HOURS)*TEMP_HOURLY_RATE-FIXED_SEASON_COST)</f>
        <v/>
      </c>
      <c r="X431" s="53" t="str">
        <f aca="false">IF(OR($A431&gt;TOMATO_BED_CAP,$B431&gt;CARROT_BED_CAP,X$4&gt;MESCLUN_BED_CAP,$A431+$B431+X$4&gt;TOTAL_BEDS_AVAILABLE,($D431+X$5)&gt;TOTAL_LABOR_HOURS_CAP,MAX(0,($D431+X$5)-PERMANENT_FIELD_LABOR_HOURS)&gt;TEMP_HOURS_CAP),"",$C431+X$6-MIN(($D431+X$5),PERMANENT_FIELD_LABOR_HOURS)*PERMANENT_HOURLY_RATE-MAX(0,($D431+X$5)-PERMANENT_FIELD_LABOR_HOURS)*TEMP_HOURLY_RATE-FIXED_SEASON_COST)</f>
        <v/>
      </c>
      <c r="Y431" s="53" t="str">
        <f aca="false">IF(OR($A431&gt;TOMATO_BED_CAP,$B431&gt;CARROT_BED_CAP,Y$4&gt;MESCLUN_BED_CAP,$A431+$B431+Y$4&gt;TOTAL_BEDS_AVAILABLE,($D431+Y$5)&gt;TOTAL_LABOR_HOURS_CAP,MAX(0,($D431+Y$5)-PERMANENT_FIELD_LABOR_HOURS)&gt;TEMP_HOURS_CAP),"",$C431+Y$6-MIN(($D431+Y$5),PERMANENT_FIELD_LABOR_HOURS)*PERMANENT_HOURLY_RATE-MAX(0,($D431+Y$5)-PERMANENT_FIELD_LABOR_HOURS)*TEMP_HOURLY_RATE-FIXED_SEASON_COST)</f>
        <v/>
      </c>
      <c r="Z431" s="53" t="str">
        <f aca="false">IF(OR($A431&gt;TOMATO_BED_CAP,$B431&gt;CARROT_BED_CAP,Z$4&gt;MESCLUN_BED_CAP,$A431+$B431+Z$4&gt;TOTAL_BEDS_AVAILABLE,($D431+Z$5)&gt;TOTAL_LABOR_HOURS_CAP,MAX(0,($D431+Z$5)-PERMANENT_FIELD_LABOR_HOURS)&gt;TEMP_HOURS_CAP),"",$C431+Z$6-MIN(($D431+Z$5),PERMANENT_FIELD_LABOR_HOURS)*PERMANENT_HOURLY_RATE-MAX(0,($D431+Z$5)-PERMANENT_FIELD_LABOR_HOURS)*TEMP_HOURLY_RATE-FIXED_SEASON_COST)</f>
        <v/>
      </c>
      <c r="AA431" s="53" t="str">
        <f aca="false">IF(OR($A431&gt;TOMATO_BED_CAP,$B431&gt;CARROT_BED_CAP,AA$4&gt;MESCLUN_BED_CAP,$A431+$B431+AA$4&gt;TOTAL_BEDS_AVAILABLE,($D431+AA$5)&gt;TOTAL_LABOR_HOURS_CAP,MAX(0,($D431+AA$5)-PERMANENT_FIELD_LABOR_HOURS)&gt;TEMP_HOURS_CAP),"",$C431+AA$6-MIN(($D431+AA$5),PERMANENT_FIELD_LABOR_HOURS)*PERMANENT_HOURLY_RATE-MAX(0,($D431+AA$5)-PERMANENT_FIELD_LABOR_HOURS)*TEMP_HOURLY_RATE-FIXED_SEASON_COST)</f>
        <v/>
      </c>
      <c r="AB431" s="53" t="str">
        <f aca="false">IF(OR($A431&gt;TOMATO_BED_CAP,$B431&gt;CARROT_BED_CAP,AB$4&gt;MESCLUN_BED_CAP,$A431+$B431+AB$4&gt;TOTAL_BEDS_AVAILABLE,($D431+AB$5)&gt;TOTAL_LABOR_HOURS_CAP,MAX(0,($D431+AB$5)-PERMANENT_FIELD_LABOR_HOURS)&gt;TEMP_HOURS_CAP),"",$C431+AB$6-MIN(($D431+AB$5),PERMANENT_FIELD_LABOR_HOURS)*PERMANENT_HOURLY_RATE-MAX(0,($D431+AB$5)-PERMANENT_FIELD_LABOR_HOURS)*TEMP_HOURLY_RATE-FIXED_SEASON_COST)</f>
        <v/>
      </c>
      <c r="AC431" s="53" t="str">
        <f aca="false">IF(OR($A431&gt;TOMATO_BED_CAP,$B431&gt;CARROT_BED_CAP,AC$4&gt;MESCLUN_BED_CAP,$A431+$B431+AC$4&gt;TOTAL_BEDS_AVAILABLE,($D431+AC$5)&gt;TOTAL_LABOR_HOURS_CAP,MAX(0,($D431+AC$5)-PERMANENT_FIELD_LABOR_HOURS)&gt;TEMP_HOURS_CAP),"",$C431+AC$6-MIN(($D431+AC$5),PERMANENT_FIELD_LABOR_HOURS)*PERMANENT_HOURLY_RATE-MAX(0,($D431+AC$5)-PERMANENT_FIELD_LABOR_HOURS)*TEMP_HOURLY_RATE-FIXED_SEASON_COST)</f>
        <v/>
      </c>
      <c r="AD431" s="53" t="str">
        <f aca="false">IF(OR($A431&gt;TOMATO_BED_CAP,$B431&gt;CARROT_BED_CAP,AD$4&gt;MESCLUN_BED_CAP,$A431+$B431+AD$4&gt;TOTAL_BEDS_AVAILABLE,($D431+AD$5)&gt;TOTAL_LABOR_HOURS_CAP,MAX(0,($D431+AD$5)-PERMANENT_FIELD_LABOR_HOURS)&gt;TEMP_HOURS_CAP),"",$C431+AD$6-MIN(($D431+AD$5),PERMANENT_FIELD_LABOR_HOURS)*PERMANENT_HOURLY_RATE-MAX(0,($D431+AD$5)-PERMANENT_FIELD_LABOR_HOURS)*TEMP_HOURLY_RATE-FIXED_SEASON_COST)</f>
        <v/>
      </c>
      <c r="AE431" s="53" t="str">
        <f aca="false">IF(OR($A431&gt;TOMATO_BED_CAP,$B431&gt;CARROT_BED_CAP,AE$4&gt;MESCLUN_BED_CAP,$A431+$B431+AE$4&gt;TOTAL_BEDS_AVAILABLE,($D431+AE$5)&gt;TOTAL_LABOR_HOURS_CAP,MAX(0,($D431+AE$5)-PERMANENT_FIELD_LABOR_HOURS)&gt;TEMP_HOURS_CAP),"",$C431+AE$6-MIN(($D431+AE$5),PERMANENT_FIELD_LABOR_HOURS)*PERMANENT_HOURLY_RATE-MAX(0,($D431+AE$5)-PERMANENT_FIELD_LABOR_HOURS)*TEMP_HOURLY_RATE-FIXED_SEASON_COST)</f>
        <v/>
      </c>
      <c r="AF431" s="53" t="str">
        <f aca="false">IF(OR($A431&gt;TOMATO_BED_CAP,$B431&gt;CARROT_BED_CAP,AF$4&gt;MESCLUN_BED_CAP,$A431+$B431+AF$4&gt;TOTAL_BEDS_AVAILABLE,($D431+AF$5)&gt;TOTAL_LABOR_HOURS_CAP,MAX(0,($D431+AF$5)-PERMANENT_FIELD_LABOR_HOURS)&gt;TEMP_HOURS_CAP),"",$C431+AF$6-MIN(($D431+AF$5),PERMANENT_FIELD_LABOR_HOURS)*PERMANENT_HOURLY_RATE-MAX(0,($D431+AF$5)-PERMANENT_FIELD_LABOR_HOURS)*TEMP_HOURLY_RATE-FIXED_SEASON_COST)</f>
        <v/>
      </c>
      <c r="AG431" s="53" t="str">
        <f aca="false">IF(OR($A431&gt;TOMATO_BED_CAP,$B431&gt;CARROT_BED_CAP,AG$4&gt;MESCLUN_BED_CAP,$A431+$B431+AG$4&gt;TOTAL_BEDS_AVAILABLE,($D431+AG$5)&gt;TOTAL_LABOR_HOURS_CAP,MAX(0,($D431+AG$5)-PERMANENT_FIELD_LABOR_HOURS)&gt;TEMP_HOURS_CAP),"",$C431+AG$6-MIN(($D431+AG$5),PERMANENT_FIELD_LABOR_HOURS)*PERMANENT_HOURLY_RATE-MAX(0,($D431+AG$5)-PERMANENT_FIELD_LABOR_HOURS)*TEMP_HOURLY_RATE-FIXED_SEASON_COST)</f>
        <v/>
      </c>
      <c r="AH431" s="53" t="str">
        <f aca="false">IF(OR($A431&gt;TOMATO_BED_CAP,$B431&gt;CARROT_BED_CAP,AH$4&gt;MESCLUN_BED_CAP,$A431+$B431+AH$4&gt;TOTAL_BEDS_AVAILABLE,($D431+AH$5)&gt;TOTAL_LABOR_HOURS_CAP,MAX(0,($D431+AH$5)-PERMANENT_FIELD_LABOR_HOURS)&gt;TEMP_HOURS_CAP),"",$C431+AH$6-MIN(($D431+AH$5),PERMANENT_FIELD_LABOR_HOURS)*PERMANENT_HOURLY_RATE-MAX(0,($D431+AH$5)-PERMANENT_FIELD_LABOR_HOURS)*TEMP_HOURLY_RATE-FIXED_SEASON_COST)</f>
        <v/>
      </c>
      <c r="AI431" s="53" t="str">
        <f aca="false">IF(OR($A431&gt;TOMATO_BED_CAP,$B431&gt;CARROT_BED_CAP,AI$4&gt;MESCLUN_BED_CAP,$A431+$B431+AI$4&gt;TOTAL_BEDS_AVAILABLE,($D431+AI$5)&gt;TOTAL_LABOR_HOURS_CAP,MAX(0,($D431+AI$5)-PERMANENT_FIELD_LABOR_HOURS)&gt;TEMP_HOURS_CAP),"",$C431+AI$6-MIN(($D431+AI$5),PERMANENT_FIELD_LABOR_HOURS)*PERMANENT_HOURLY_RATE-MAX(0,($D431+AI$5)-PERMANENT_FIELD_LABOR_HOURS)*TEMP_HOURLY_RATE-FIXED_SEASON_COST)</f>
        <v/>
      </c>
      <c r="AJ431" s="53" t="str">
        <f aca="false">IF(OR($A431&gt;TOMATO_BED_CAP,$B431&gt;CARROT_BED_CAP,AJ$4&gt;MESCLUN_BED_CAP,$A431+$B431+AJ$4&gt;TOTAL_BEDS_AVAILABLE,($D431+AJ$5)&gt;TOTAL_LABOR_HOURS_CAP,MAX(0,($D431+AJ$5)-PERMANENT_FIELD_LABOR_HOURS)&gt;TEMP_HOURS_CAP),"",$C431+AJ$6-MIN(($D431+AJ$5),PERMANENT_FIELD_LABOR_HOURS)*PERMANENT_HOURLY_RATE-MAX(0,($D431+AJ$5)-PERMANENT_FIELD_LABOR_HOURS)*TEMP_HOURLY_RATE-FIXED_SEASON_COST)</f>
        <v/>
      </c>
    </row>
    <row r="432" customFormat="false" ht="15" hidden="false" customHeight="false" outlineLevel="0" collapsed="false">
      <c r="A432" s="21" t="n">
        <f aca="false">INT((ROW()-ROW($A$8))/(20+1))</f>
        <v>20</v>
      </c>
      <c r="B432" s="21" t="n">
        <f aca="false">MOD(ROW()-ROW($A$8),20+1)</f>
        <v>4</v>
      </c>
      <c r="C432" s="13" t="n">
        <f aca="false">A432*(TOMATO_REVENUE_PER_BED-TOMATO_FERTILIZER_PER_BED)+B432*(CARROT_REVENUE_PER_BED-CARROT_FERTILIZER_PER_BED)</f>
        <v>165016</v>
      </c>
      <c r="D432" s="14" t="n">
        <f aca="false">INDEX(TOMATO_SCHED_LABOR_HRS,A432+1)+INDEX(CARROT_SCHED_LABOR_HRS,B432+1)</f>
        <v>12241.9044726423</v>
      </c>
      <c r="E432" s="13" t="str">
        <f aca="false">IF(COUNT(F432:AJ432)=0,"",MAX(F432:AJ432))</f>
        <v/>
      </c>
      <c r="F432" s="53" t="str">
        <f aca="false">IF(OR($A432&gt;TOMATO_BED_CAP,$B432&gt;CARROT_BED_CAP,F$4&gt;MESCLUN_BED_CAP,$A432+$B432+F$4&gt;TOTAL_BEDS_AVAILABLE,($D432+F$5)&gt;TOTAL_LABOR_HOURS_CAP,MAX(0,($D432+F$5)-PERMANENT_FIELD_LABOR_HOURS)&gt;TEMP_HOURS_CAP),"",$C432+F$6-MIN(($D432+F$5),PERMANENT_FIELD_LABOR_HOURS)*PERMANENT_HOURLY_RATE-MAX(0,($D432+F$5)-PERMANENT_FIELD_LABOR_HOURS)*TEMP_HOURLY_RATE-FIXED_SEASON_COST)</f>
        <v/>
      </c>
      <c r="G432" s="53" t="str">
        <f aca="false">IF(OR($A432&gt;TOMATO_BED_CAP,$B432&gt;CARROT_BED_CAP,G$4&gt;MESCLUN_BED_CAP,$A432+$B432+G$4&gt;TOTAL_BEDS_AVAILABLE,($D432+G$5)&gt;TOTAL_LABOR_HOURS_CAP,MAX(0,($D432+G$5)-PERMANENT_FIELD_LABOR_HOURS)&gt;TEMP_HOURS_CAP),"",$C432+G$6-MIN(($D432+G$5),PERMANENT_FIELD_LABOR_HOURS)*PERMANENT_HOURLY_RATE-MAX(0,($D432+G$5)-PERMANENT_FIELD_LABOR_HOURS)*TEMP_HOURLY_RATE-FIXED_SEASON_COST)</f>
        <v/>
      </c>
      <c r="H432" s="53" t="str">
        <f aca="false">IF(OR($A432&gt;TOMATO_BED_CAP,$B432&gt;CARROT_BED_CAP,H$4&gt;MESCLUN_BED_CAP,$A432+$B432+H$4&gt;TOTAL_BEDS_AVAILABLE,($D432+H$5)&gt;TOTAL_LABOR_HOURS_CAP,MAX(0,($D432+H$5)-PERMANENT_FIELD_LABOR_HOURS)&gt;TEMP_HOURS_CAP),"",$C432+H$6-MIN(($D432+H$5),PERMANENT_FIELD_LABOR_HOURS)*PERMANENT_HOURLY_RATE-MAX(0,($D432+H$5)-PERMANENT_FIELD_LABOR_HOURS)*TEMP_HOURLY_RATE-FIXED_SEASON_COST)</f>
        <v/>
      </c>
      <c r="I432" s="53" t="str">
        <f aca="false">IF(OR($A432&gt;TOMATO_BED_CAP,$B432&gt;CARROT_BED_CAP,I$4&gt;MESCLUN_BED_CAP,$A432+$B432+I$4&gt;TOTAL_BEDS_AVAILABLE,($D432+I$5)&gt;TOTAL_LABOR_HOURS_CAP,MAX(0,($D432+I$5)-PERMANENT_FIELD_LABOR_HOURS)&gt;TEMP_HOURS_CAP),"",$C432+I$6-MIN(($D432+I$5),PERMANENT_FIELD_LABOR_HOURS)*PERMANENT_HOURLY_RATE-MAX(0,($D432+I$5)-PERMANENT_FIELD_LABOR_HOURS)*TEMP_HOURLY_RATE-FIXED_SEASON_COST)</f>
        <v/>
      </c>
      <c r="J432" s="53" t="str">
        <f aca="false">IF(OR($A432&gt;TOMATO_BED_CAP,$B432&gt;CARROT_BED_CAP,J$4&gt;MESCLUN_BED_CAP,$A432+$B432+J$4&gt;TOTAL_BEDS_AVAILABLE,($D432+J$5)&gt;TOTAL_LABOR_HOURS_CAP,MAX(0,($D432+J$5)-PERMANENT_FIELD_LABOR_HOURS)&gt;TEMP_HOURS_CAP),"",$C432+J$6-MIN(($D432+J$5),PERMANENT_FIELD_LABOR_HOURS)*PERMANENT_HOURLY_RATE-MAX(0,($D432+J$5)-PERMANENT_FIELD_LABOR_HOURS)*TEMP_HOURLY_RATE-FIXED_SEASON_COST)</f>
        <v/>
      </c>
      <c r="K432" s="53" t="str">
        <f aca="false">IF(OR($A432&gt;TOMATO_BED_CAP,$B432&gt;CARROT_BED_CAP,K$4&gt;MESCLUN_BED_CAP,$A432+$B432+K$4&gt;TOTAL_BEDS_AVAILABLE,($D432+K$5)&gt;TOTAL_LABOR_HOURS_CAP,MAX(0,($D432+K$5)-PERMANENT_FIELD_LABOR_HOURS)&gt;TEMP_HOURS_CAP),"",$C432+K$6-MIN(($D432+K$5),PERMANENT_FIELD_LABOR_HOURS)*PERMANENT_HOURLY_RATE-MAX(0,($D432+K$5)-PERMANENT_FIELD_LABOR_HOURS)*TEMP_HOURLY_RATE-FIXED_SEASON_COST)</f>
        <v/>
      </c>
      <c r="L432" s="53" t="str">
        <f aca="false">IF(OR($A432&gt;TOMATO_BED_CAP,$B432&gt;CARROT_BED_CAP,L$4&gt;MESCLUN_BED_CAP,$A432+$B432+L$4&gt;TOTAL_BEDS_AVAILABLE,($D432+L$5)&gt;TOTAL_LABOR_HOURS_CAP,MAX(0,($D432+L$5)-PERMANENT_FIELD_LABOR_HOURS)&gt;TEMP_HOURS_CAP),"",$C432+L$6-MIN(($D432+L$5),PERMANENT_FIELD_LABOR_HOURS)*PERMANENT_HOURLY_RATE-MAX(0,($D432+L$5)-PERMANENT_FIELD_LABOR_HOURS)*TEMP_HOURLY_RATE-FIXED_SEASON_COST)</f>
        <v/>
      </c>
      <c r="M432" s="53" t="str">
        <f aca="false">IF(OR($A432&gt;TOMATO_BED_CAP,$B432&gt;CARROT_BED_CAP,M$4&gt;MESCLUN_BED_CAP,$A432+$B432+M$4&gt;TOTAL_BEDS_AVAILABLE,($D432+M$5)&gt;TOTAL_LABOR_HOURS_CAP,MAX(0,($D432+M$5)-PERMANENT_FIELD_LABOR_HOURS)&gt;TEMP_HOURS_CAP),"",$C432+M$6-MIN(($D432+M$5),PERMANENT_FIELD_LABOR_HOURS)*PERMANENT_HOURLY_RATE-MAX(0,($D432+M$5)-PERMANENT_FIELD_LABOR_HOURS)*TEMP_HOURLY_RATE-FIXED_SEASON_COST)</f>
        <v/>
      </c>
      <c r="N432" s="53" t="str">
        <f aca="false">IF(OR($A432&gt;TOMATO_BED_CAP,$B432&gt;CARROT_BED_CAP,N$4&gt;MESCLUN_BED_CAP,$A432+$B432+N$4&gt;TOTAL_BEDS_AVAILABLE,($D432+N$5)&gt;TOTAL_LABOR_HOURS_CAP,MAX(0,($D432+N$5)-PERMANENT_FIELD_LABOR_HOURS)&gt;TEMP_HOURS_CAP),"",$C432+N$6-MIN(($D432+N$5),PERMANENT_FIELD_LABOR_HOURS)*PERMANENT_HOURLY_RATE-MAX(0,($D432+N$5)-PERMANENT_FIELD_LABOR_HOURS)*TEMP_HOURLY_RATE-FIXED_SEASON_COST)</f>
        <v/>
      </c>
      <c r="O432" s="53" t="str">
        <f aca="false">IF(OR($A432&gt;TOMATO_BED_CAP,$B432&gt;CARROT_BED_CAP,O$4&gt;MESCLUN_BED_CAP,$A432+$B432+O$4&gt;TOTAL_BEDS_AVAILABLE,($D432+O$5)&gt;TOTAL_LABOR_HOURS_CAP,MAX(0,($D432+O$5)-PERMANENT_FIELD_LABOR_HOURS)&gt;TEMP_HOURS_CAP),"",$C432+O$6-MIN(($D432+O$5),PERMANENT_FIELD_LABOR_HOURS)*PERMANENT_HOURLY_RATE-MAX(0,($D432+O$5)-PERMANENT_FIELD_LABOR_HOURS)*TEMP_HOURLY_RATE-FIXED_SEASON_COST)</f>
        <v/>
      </c>
      <c r="P432" s="53" t="str">
        <f aca="false">IF(OR($A432&gt;TOMATO_BED_CAP,$B432&gt;CARROT_BED_CAP,P$4&gt;MESCLUN_BED_CAP,$A432+$B432+P$4&gt;TOTAL_BEDS_AVAILABLE,($D432+P$5)&gt;TOTAL_LABOR_HOURS_CAP,MAX(0,($D432+P$5)-PERMANENT_FIELD_LABOR_HOURS)&gt;TEMP_HOURS_CAP),"",$C432+P$6-MIN(($D432+P$5),PERMANENT_FIELD_LABOR_HOURS)*PERMANENT_HOURLY_RATE-MAX(0,($D432+P$5)-PERMANENT_FIELD_LABOR_HOURS)*TEMP_HOURLY_RATE-FIXED_SEASON_COST)</f>
        <v/>
      </c>
      <c r="Q432" s="53" t="str">
        <f aca="false">IF(OR($A432&gt;TOMATO_BED_CAP,$B432&gt;CARROT_BED_CAP,Q$4&gt;MESCLUN_BED_CAP,$A432+$B432+Q$4&gt;TOTAL_BEDS_AVAILABLE,($D432+Q$5)&gt;TOTAL_LABOR_HOURS_CAP,MAX(0,($D432+Q$5)-PERMANENT_FIELD_LABOR_HOURS)&gt;TEMP_HOURS_CAP),"",$C432+Q$6-MIN(($D432+Q$5),PERMANENT_FIELD_LABOR_HOURS)*PERMANENT_HOURLY_RATE-MAX(0,($D432+Q$5)-PERMANENT_FIELD_LABOR_HOURS)*TEMP_HOURLY_RATE-FIXED_SEASON_COST)</f>
        <v/>
      </c>
      <c r="R432" s="53" t="str">
        <f aca="false">IF(OR($A432&gt;TOMATO_BED_CAP,$B432&gt;CARROT_BED_CAP,R$4&gt;MESCLUN_BED_CAP,$A432+$B432+R$4&gt;TOTAL_BEDS_AVAILABLE,($D432+R$5)&gt;TOTAL_LABOR_HOURS_CAP,MAX(0,($D432+R$5)-PERMANENT_FIELD_LABOR_HOURS)&gt;TEMP_HOURS_CAP),"",$C432+R$6-MIN(($D432+R$5),PERMANENT_FIELD_LABOR_HOURS)*PERMANENT_HOURLY_RATE-MAX(0,($D432+R$5)-PERMANENT_FIELD_LABOR_HOURS)*TEMP_HOURLY_RATE-FIXED_SEASON_COST)</f>
        <v/>
      </c>
      <c r="S432" s="53" t="str">
        <f aca="false">IF(OR($A432&gt;TOMATO_BED_CAP,$B432&gt;CARROT_BED_CAP,S$4&gt;MESCLUN_BED_CAP,$A432+$B432+S$4&gt;TOTAL_BEDS_AVAILABLE,($D432+S$5)&gt;TOTAL_LABOR_HOURS_CAP,MAX(0,($D432+S$5)-PERMANENT_FIELD_LABOR_HOURS)&gt;TEMP_HOURS_CAP),"",$C432+S$6-MIN(($D432+S$5),PERMANENT_FIELD_LABOR_HOURS)*PERMANENT_HOURLY_RATE-MAX(0,($D432+S$5)-PERMANENT_FIELD_LABOR_HOURS)*TEMP_HOURLY_RATE-FIXED_SEASON_COST)</f>
        <v/>
      </c>
      <c r="T432" s="53" t="str">
        <f aca="false">IF(OR($A432&gt;TOMATO_BED_CAP,$B432&gt;CARROT_BED_CAP,T$4&gt;MESCLUN_BED_CAP,$A432+$B432+T$4&gt;TOTAL_BEDS_AVAILABLE,($D432+T$5)&gt;TOTAL_LABOR_HOURS_CAP,MAX(0,($D432+T$5)-PERMANENT_FIELD_LABOR_HOURS)&gt;TEMP_HOURS_CAP),"",$C432+T$6-MIN(($D432+T$5),PERMANENT_FIELD_LABOR_HOURS)*PERMANENT_HOURLY_RATE-MAX(0,($D432+T$5)-PERMANENT_FIELD_LABOR_HOURS)*TEMP_HOURLY_RATE-FIXED_SEASON_COST)</f>
        <v/>
      </c>
      <c r="U432" s="53" t="str">
        <f aca="false">IF(OR($A432&gt;TOMATO_BED_CAP,$B432&gt;CARROT_BED_CAP,U$4&gt;MESCLUN_BED_CAP,$A432+$B432+U$4&gt;TOTAL_BEDS_AVAILABLE,($D432+U$5)&gt;TOTAL_LABOR_HOURS_CAP,MAX(0,($D432+U$5)-PERMANENT_FIELD_LABOR_HOURS)&gt;TEMP_HOURS_CAP),"",$C432+U$6-MIN(($D432+U$5),PERMANENT_FIELD_LABOR_HOURS)*PERMANENT_HOURLY_RATE-MAX(0,($D432+U$5)-PERMANENT_FIELD_LABOR_HOURS)*TEMP_HOURLY_RATE-FIXED_SEASON_COST)</f>
        <v/>
      </c>
      <c r="V432" s="53" t="str">
        <f aca="false">IF(OR($A432&gt;TOMATO_BED_CAP,$B432&gt;CARROT_BED_CAP,V$4&gt;MESCLUN_BED_CAP,$A432+$B432+V$4&gt;TOTAL_BEDS_AVAILABLE,($D432+V$5)&gt;TOTAL_LABOR_HOURS_CAP,MAX(0,($D432+V$5)-PERMANENT_FIELD_LABOR_HOURS)&gt;TEMP_HOURS_CAP),"",$C432+V$6-MIN(($D432+V$5),PERMANENT_FIELD_LABOR_HOURS)*PERMANENT_HOURLY_RATE-MAX(0,($D432+V$5)-PERMANENT_FIELD_LABOR_HOURS)*TEMP_HOURLY_RATE-FIXED_SEASON_COST)</f>
        <v/>
      </c>
      <c r="W432" s="53" t="str">
        <f aca="false">IF(OR($A432&gt;TOMATO_BED_CAP,$B432&gt;CARROT_BED_CAP,W$4&gt;MESCLUN_BED_CAP,$A432+$B432+W$4&gt;TOTAL_BEDS_AVAILABLE,($D432+W$5)&gt;TOTAL_LABOR_HOURS_CAP,MAX(0,($D432+W$5)-PERMANENT_FIELD_LABOR_HOURS)&gt;TEMP_HOURS_CAP),"",$C432+W$6-MIN(($D432+W$5),PERMANENT_FIELD_LABOR_HOURS)*PERMANENT_HOURLY_RATE-MAX(0,($D432+W$5)-PERMANENT_FIELD_LABOR_HOURS)*TEMP_HOURLY_RATE-FIXED_SEASON_COST)</f>
        <v/>
      </c>
      <c r="X432" s="53" t="str">
        <f aca="false">IF(OR($A432&gt;TOMATO_BED_CAP,$B432&gt;CARROT_BED_CAP,X$4&gt;MESCLUN_BED_CAP,$A432+$B432+X$4&gt;TOTAL_BEDS_AVAILABLE,($D432+X$5)&gt;TOTAL_LABOR_HOURS_CAP,MAX(0,($D432+X$5)-PERMANENT_FIELD_LABOR_HOURS)&gt;TEMP_HOURS_CAP),"",$C432+X$6-MIN(($D432+X$5),PERMANENT_FIELD_LABOR_HOURS)*PERMANENT_HOURLY_RATE-MAX(0,($D432+X$5)-PERMANENT_FIELD_LABOR_HOURS)*TEMP_HOURLY_RATE-FIXED_SEASON_COST)</f>
        <v/>
      </c>
      <c r="Y432" s="53" t="str">
        <f aca="false">IF(OR($A432&gt;TOMATO_BED_CAP,$B432&gt;CARROT_BED_CAP,Y$4&gt;MESCLUN_BED_CAP,$A432+$B432+Y$4&gt;TOTAL_BEDS_AVAILABLE,($D432+Y$5)&gt;TOTAL_LABOR_HOURS_CAP,MAX(0,($D432+Y$5)-PERMANENT_FIELD_LABOR_HOURS)&gt;TEMP_HOURS_CAP),"",$C432+Y$6-MIN(($D432+Y$5),PERMANENT_FIELD_LABOR_HOURS)*PERMANENT_HOURLY_RATE-MAX(0,($D432+Y$5)-PERMANENT_FIELD_LABOR_HOURS)*TEMP_HOURLY_RATE-FIXED_SEASON_COST)</f>
        <v/>
      </c>
      <c r="Z432" s="53" t="str">
        <f aca="false">IF(OR($A432&gt;TOMATO_BED_CAP,$B432&gt;CARROT_BED_CAP,Z$4&gt;MESCLUN_BED_CAP,$A432+$B432+Z$4&gt;TOTAL_BEDS_AVAILABLE,($D432+Z$5)&gt;TOTAL_LABOR_HOURS_CAP,MAX(0,($D432+Z$5)-PERMANENT_FIELD_LABOR_HOURS)&gt;TEMP_HOURS_CAP),"",$C432+Z$6-MIN(($D432+Z$5),PERMANENT_FIELD_LABOR_HOURS)*PERMANENT_HOURLY_RATE-MAX(0,($D432+Z$5)-PERMANENT_FIELD_LABOR_HOURS)*TEMP_HOURLY_RATE-FIXED_SEASON_COST)</f>
        <v/>
      </c>
      <c r="AA432" s="53" t="str">
        <f aca="false">IF(OR($A432&gt;TOMATO_BED_CAP,$B432&gt;CARROT_BED_CAP,AA$4&gt;MESCLUN_BED_CAP,$A432+$B432+AA$4&gt;TOTAL_BEDS_AVAILABLE,($D432+AA$5)&gt;TOTAL_LABOR_HOURS_CAP,MAX(0,($D432+AA$5)-PERMANENT_FIELD_LABOR_HOURS)&gt;TEMP_HOURS_CAP),"",$C432+AA$6-MIN(($D432+AA$5),PERMANENT_FIELD_LABOR_HOURS)*PERMANENT_HOURLY_RATE-MAX(0,($D432+AA$5)-PERMANENT_FIELD_LABOR_HOURS)*TEMP_HOURLY_RATE-FIXED_SEASON_COST)</f>
        <v/>
      </c>
      <c r="AB432" s="53" t="str">
        <f aca="false">IF(OR($A432&gt;TOMATO_BED_CAP,$B432&gt;CARROT_BED_CAP,AB$4&gt;MESCLUN_BED_CAP,$A432+$B432+AB$4&gt;TOTAL_BEDS_AVAILABLE,($D432+AB$5)&gt;TOTAL_LABOR_HOURS_CAP,MAX(0,($D432+AB$5)-PERMANENT_FIELD_LABOR_HOURS)&gt;TEMP_HOURS_CAP),"",$C432+AB$6-MIN(($D432+AB$5),PERMANENT_FIELD_LABOR_HOURS)*PERMANENT_HOURLY_RATE-MAX(0,($D432+AB$5)-PERMANENT_FIELD_LABOR_HOURS)*TEMP_HOURLY_RATE-FIXED_SEASON_COST)</f>
        <v/>
      </c>
      <c r="AC432" s="53" t="str">
        <f aca="false">IF(OR($A432&gt;TOMATO_BED_CAP,$B432&gt;CARROT_BED_CAP,AC$4&gt;MESCLUN_BED_CAP,$A432+$B432+AC$4&gt;TOTAL_BEDS_AVAILABLE,($D432+AC$5)&gt;TOTAL_LABOR_HOURS_CAP,MAX(0,($D432+AC$5)-PERMANENT_FIELD_LABOR_HOURS)&gt;TEMP_HOURS_CAP),"",$C432+AC$6-MIN(($D432+AC$5),PERMANENT_FIELD_LABOR_HOURS)*PERMANENT_HOURLY_RATE-MAX(0,($D432+AC$5)-PERMANENT_FIELD_LABOR_HOURS)*TEMP_HOURLY_RATE-FIXED_SEASON_COST)</f>
        <v/>
      </c>
      <c r="AD432" s="53" t="str">
        <f aca="false">IF(OR($A432&gt;TOMATO_BED_CAP,$B432&gt;CARROT_BED_CAP,AD$4&gt;MESCLUN_BED_CAP,$A432+$B432+AD$4&gt;TOTAL_BEDS_AVAILABLE,($D432+AD$5)&gt;TOTAL_LABOR_HOURS_CAP,MAX(0,($D432+AD$5)-PERMANENT_FIELD_LABOR_HOURS)&gt;TEMP_HOURS_CAP),"",$C432+AD$6-MIN(($D432+AD$5),PERMANENT_FIELD_LABOR_HOURS)*PERMANENT_HOURLY_RATE-MAX(0,($D432+AD$5)-PERMANENT_FIELD_LABOR_HOURS)*TEMP_HOURLY_RATE-FIXED_SEASON_COST)</f>
        <v/>
      </c>
      <c r="AE432" s="53" t="str">
        <f aca="false">IF(OR($A432&gt;TOMATO_BED_CAP,$B432&gt;CARROT_BED_CAP,AE$4&gt;MESCLUN_BED_CAP,$A432+$B432+AE$4&gt;TOTAL_BEDS_AVAILABLE,($D432+AE$5)&gt;TOTAL_LABOR_HOURS_CAP,MAX(0,($D432+AE$5)-PERMANENT_FIELD_LABOR_HOURS)&gt;TEMP_HOURS_CAP),"",$C432+AE$6-MIN(($D432+AE$5),PERMANENT_FIELD_LABOR_HOURS)*PERMANENT_HOURLY_RATE-MAX(0,($D432+AE$5)-PERMANENT_FIELD_LABOR_HOURS)*TEMP_HOURLY_RATE-FIXED_SEASON_COST)</f>
        <v/>
      </c>
      <c r="AF432" s="53" t="str">
        <f aca="false">IF(OR($A432&gt;TOMATO_BED_CAP,$B432&gt;CARROT_BED_CAP,AF$4&gt;MESCLUN_BED_CAP,$A432+$B432+AF$4&gt;TOTAL_BEDS_AVAILABLE,($D432+AF$5)&gt;TOTAL_LABOR_HOURS_CAP,MAX(0,($D432+AF$5)-PERMANENT_FIELD_LABOR_HOURS)&gt;TEMP_HOURS_CAP),"",$C432+AF$6-MIN(($D432+AF$5),PERMANENT_FIELD_LABOR_HOURS)*PERMANENT_HOURLY_RATE-MAX(0,($D432+AF$5)-PERMANENT_FIELD_LABOR_HOURS)*TEMP_HOURLY_RATE-FIXED_SEASON_COST)</f>
        <v/>
      </c>
      <c r="AG432" s="53" t="str">
        <f aca="false">IF(OR($A432&gt;TOMATO_BED_CAP,$B432&gt;CARROT_BED_CAP,AG$4&gt;MESCLUN_BED_CAP,$A432+$B432+AG$4&gt;TOTAL_BEDS_AVAILABLE,($D432+AG$5)&gt;TOTAL_LABOR_HOURS_CAP,MAX(0,($D432+AG$5)-PERMANENT_FIELD_LABOR_HOURS)&gt;TEMP_HOURS_CAP),"",$C432+AG$6-MIN(($D432+AG$5),PERMANENT_FIELD_LABOR_HOURS)*PERMANENT_HOURLY_RATE-MAX(0,($D432+AG$5)-PERMANENT_FIELD_LABOR_HOURS)*TEMP_HOURLY_RATE-FIXED_SEASON_COST)</f>
        <v/>
      </c>
      <c r="AH432" s="53" t="str">
        <f aca="false">IF(OR($A432&gt;TOMATO_BED_CAP,$B432&gt;CARROT_BED_CAP,AH$4&gt;MESCLUN_BED_CAP,$A432+$B432+AH$4&gt;TOTAL_BEDS_AVAILABLE,($D432+AH$5)&gt;TOTAL_LABOR_HOURS_CAP,MAX(0,($D432+AH$5)-PERMANENT_FIELD_LABOR_HOURS)&gt;TEMP_HOURS_CAP),"",$C432+AH$6-MIN(($D432+AH$5),PERMANENT_FIELD_LABOR_HOURS)*PERMANENT_HOURLY_RATE-MAX(0,($D432+AH$5)-PERMANENT_FIELD_LABOR_HOURS)*TEMP_HOURLY_RATE-FIXED_SEASON_COST)</f>
        <v/>
      </c>
      <c r="AI432" s="53" t="str">
        <f aca="false">IF(OR($A432&gt;TOMATO_BED_CAP,$B432&gt;CARROT_BED_CAP,AI$4&gt;MESCLUN_BED_CAP,$A432+$B432+AI$4&gt;TOTAL_BEDS_AVAILABLE,($D432+AI$5)&gt;TOTAL_LABOR_HOURS_CAP,MAX(0,($D432+AI$5)-PERMANENT_FIELD_LABOR_HOURS)&gt;TEMP_HOURS_CAP),"",$C432+AI$6-MIN(($D432+AI$5),PERMANENT_FIELD_LABOR_HOURS)*PERMANENT_HOURLY_RATE-MAX(0,($D432+AI$5)-PERMANENT_FIELD_LABOR_HOURS)*TEMP_HOURLY_RATE-FIXED_SEASON_COST)</f>
        <v/>
      </c>
      <c r="AJ432" s="53" t="str">
        <f aca="false">IF(OR($A432&gt;TOMATO_BED_CAP,$B432&gt;CARROT_BED_CAP,AJ$4&gt;MESCLUN_BED_CAP,$A432+$B432+AJ$4&gt;TOTAL_BEDS_AVAILABLE,($D432+AJ$5)&gt;TOTAL_LABOR_HOURS_CAP,MAX(0,($D432+AJ$5)-PERMANENT_FIELD_LABOR_HOURS)&gt;TEMP_HOURS_CAP),"",$C432+AJ$6-MIN(($D432+AJ$5),PERMANENT_FIELD_LABOR_HOURS)*PERMANENT_HOURLY_RATE-MAX(0,($D432+AJ$5)-PERMANENT_FIELD_LABOR_HOURS)*TEMP_HOURLY_RATE-FIXED_SEASON_COST)</f>
        <v/>
      </c>
    </row>
    <row r="433" customFormat="false" ht="15" hidden="false" customHeight="false" outlineLevel="0" collapsed="false">
      <c r="A433" s="21" t="n">
        <f aca="false">INT((ROW()-ROW($A$8))/(20+1))</f>
        <v>20</v>
      </c>
      <c r="B433" s="21" t="n">
        <f aca="false">MOD(ROW()-ROW($A$8),20+1)</f>
        <v>5</v>
      </c>
      <c r="C433" s="13" t="n">
        <f aca="false">A433*(TOMATO_REVENUE_PER_BED-TOMATO_FERTILIZER_PER_BED)+B433*(CARROT_REVENUE_PER_BED-CARROT_FERTILIZER_PER_BED)</f>
        <v>166670</v>
      </c>
      <c r="D433" s="14" t="n">
        <f aca="false">INDEX(TOMATO_SCHED_LABOR_HRS,A433+1)+INDEX(CARROT_SCHED_LABOR_HRS,B433+1)</f>
        <v>12279.1432562269</v>
      </c>
      <c r="E433" s="13" t="str">
        <f aca="false">IF(COUNT(F433:AJ433)=0,"",MAX(F433:AJ433))</f>
        <v/>
      </c>
      <c r="F433" s="53" t="str">
        <f aca="false">IF(OR($A433&gt;TOMATO_BED_CAP,$B433&gt;CARROT_BED_CAP,F$4&gt;MESCLUN_BED_CAP,$A433+$B433+F$4&gt;TOTAL_BEDS_AVAILABLE,($D433+F$5)&gt;TOTAL_LABOR_HOURS_CAP,MAX(0,($D433+F$5)-PERMANENT_FIELD_LABOR_HOURS)&gt;TEMP_HOURS_CAP),"",$C433+F$6-MIN(($D433+F$5),PERMANENT_FIELD_LABOR_HOURS)*PERMANENT_HOURLY_RATE-MAX(0,($D433+F$5)-PERMANENT_FIELD_LABOR_HOURS)*TEMP_HOURLY_RATE-FIXED_SEASON_COST)</f>
        <v/>
      </c>
      <c r="G433" s="53" t="str">
        <f aca="false">IF(OR($A433&gt;TOMATO_BED_CAP,$B433&gt;CARROT_BED_CAP,G$4&gt;MESCLUN_BED_CAP,$A433+$B433+G$4&gt;TOTAL_BEDS_AVAILABLE,($D433+G$5)&gt;TOTAL_LABOR_HOURS_CAP,MAX(0,($D433+G$5)-PERMANENT_FIELD_LABOR_HOURS)&gt;TEMP_HOURS_CAP),"",$C433+G$6-MIN(($D433+G$5),PERMANENT_FIELD_LABOR_HOURS)*PERMANENT_HOURLY_RATE-MAX(0,($D433+G$5)-PERMANENT_FIELD_LABOR_HOURS)*TEMP_HOURLY_RATE-FIXED_SEASON_COST)</f>
        <v/>
      </c>
      <c r="H433" s="53" t="str">
        <f aca="false">IF(OR($A433&gt;TOMATO_BED_CAP,$B433&gt;CARROT_BED_CAP,H$4&gt;MESCLUN_BED_CAP,$A433+$B433+H$4&gt;TOTAL_BEDS_AVAILABLE,($D433+H$5)&gt;TOTAL_LABOR_HOURS_CAP,MAX(0,($D433+H$5)-PERMANENT_FIELD_LABOR_HOURS)&gt;TEMP_HOURS_CAP),"",$C433+H$6-MIN(($D433+H$5),PERMANENT_FIELD_LABOR_HOURS)*PERMANENT_HOURLY_RATE-MAX(0,($D433+H$5)-PERMANENT_FIELD_LABOR_HOURS)*TEMP_HOURLY_RATE-FIXED_SEASON_COST)</f>
        <v/>
      </c>
      <c r="I433" s="53" t="str">
        <f aca="false">IF(OR($A433&gt;TOMATO_BED_CAP,$B433&gt;CARROT_BED_CAP,I$4&gt;MESCLUN_BED_CAP,$A433+$B433+I$4&gt;TOTAL_BEDS_AVAILABLE,($D433+I$5)&gt;TOTAL_LABOR_HOURS_CAP,MAX(0,($D433+I$5)-PERMANENT_FIELD_LABOR_HOURS)&gt;TEMP_HOURS_CAP),"",$C433+I$6-MIN(($D433+I$5),PERMANENT_FIELD_LABOR_HOURS)*PERMANENT_HOURLY_RATE-MAX(0,($D433+I$5)-PERMANENT_FIELD_LABOR_HOURS)*TEMP_HOURLY_RATE-FIXED_SEASON_COST)</f>
        <v/>
      </c>
      <c r="J433" s="53" t="str">
        <f aca="false">IF(OR($A433&gt;TOMATO_BED_CAP,$B433&gt;CARROT_BED_CAP,J$4&gt;MESCLUN_BED_CAP,$A433+$B433+J$4&gt;TOTAL_BEDS_AVAILABLE,($D433+J$5)&gt;TOTAL_LABOR_HOURS_CAP,MAX(0,($D433+J$5)-PERMANENT_FIELD_LABOR_HOURS)&gt;TEMP_HOURS_CAP),"",$C433+J$6-MIN(($D433+J$5),PERMANENT_FIELD_LABOR_HOURS)*PERMANENT_HOURLY_RATE-MAX(0,($D433+J$5)-PERMANENT_FIELD_LABOR_HOURS)*TEMP_HOURLY_RATE-FIXED_SEASON_COST)</f>
        <v/>
      </c>
      <c r="K433" s="53" t="str">
        <f aca="false">IF(OR($A433&gt;TOMATO_BED_CAP,$B433&gt;CARROT_BED_CAP,K$4&gt;MESCLUN_BED_CAP,$A433+$B433+K$4&gt;TOTAL_BEDS_AVAILABLE,($D433+K$5)&gt;TOTAL_LABOR_HOURS_CAP,MAX(0,($D433+K$5)-PERMANENT_FIELD_LABOR_HOURS)&gt;TEMP_HOURS_CAP),"",$C433+K$6-MIN(($D433+K$5),PERMANENT_FIELD_LABOR_HOURS)*PERMANENT_HOURLY_RATE-MAX(0,($D433+K$5)-PERMANENT_FIELD_LABOR_HOURS)*TEMP_HOURLY_RATE-FIXED_SEASON_COST)</f>
        <v/>
      </c>
      <c r="L433" s="53" t="str">
        <f aca="false">IF(OR($A433&gt;TOMATO_BED_CAP,$B433&gt;CARROT_BED_CAP,L$4&gt;MESCLUN_BED_CAP,$A433+$B433+L$4&gt;TOTAL_BEDS_AVAILABLE,($D433+L$5)&gt;TOTAL_LABOR_HOURS_CAP,MAX(0,($D433+L$5)-PERMANENT_FIELD_LABOR_HOURS)&gt;TEMP_HOURS_CAP),"",$C433+L$6-MIN(($D433+L$5),PERMANENT_FIELD_LABOR_HOURS)*PERMANENT_HOURLY_RATE-MAX(0,($D433+L$5)-PERMANENT_FIELD_LABOR_HOURS)*TEMP_HOURLY_RATE-FIXED_SEASON_COST)</f>
        <v/>
      </c>
      <c r="M433" s="53" t="str">
        <f aca="false">IF(OR($A433&gt;TOMATO_BED_CAP,$B433&gt;CARROT_BED_CAP,M$4&gt;MESCLUN_BED_CAP,$A433+$B433+M$4&gt;TOTAL_BEDS_AVAILABLE,($D433+M$5)&gt;TOTAL_LABOR_HOURS_CAP,MAX(0,($D433+M$5)-PERMANENT_FIELD_LABOR_HOURS)&gt;TEMP_HOURS_CAP),"",$C433+M$6-MIN(($D433+M$5),PERMANENT_FIELD_LABOR_HOURS)*PERMANENT_HOURLY_RATE-MAX(0,($D433+M$5)-PERMANENT_FIELD_LABOR_HOURS)*TEMP_HOURLY_RATE-FIXED_SEASON_COST)</f>
        <v/>
      </c>
      <c r="N433" s="53" t="str">
        <f aca="false">IF(OR($A433&gt;TOMATO_BED_CAP,$B433&gt;CARROT_BED_CAP,N$4&gt;MESCLUN_BED_CAP,$A433+$B433+N$4&gt;TOTAL_BEDS_AVAILABLE,($D433+N$5)&gt;TOTAL_LABOR_HOURS_CAP,MAX(0,($D433+N$5)-PERMANENT_FIELD_LABOR_HOURS)&gt;TEMP_HOURS_CAP),"",$C433+N$6-MIN(($D433+N$5),PERMANENT_FIELD_LABOR_HOURS)*PERMANENT_HOURLY_RATE-MAX(0,($D433+N$5)-PERMANENT_FIELD_LABOR_HOURS)*TEMP_HOURLY_RATE-FIXED_SEASON_COST)</f>
        <v/>
      </c>
      <c r="O433" s="53" t="str">
        <f aca="false">IF(OR($A433&gt;TOMATO_BED_CAP,$B433&gt;CARROT_BED_CAP,O$4&gt;MESCLUN_BED_CAP,$A433+$B433+O$4&gt;TOTAL_BEDS_AVAILABLE,($D433+O$5)&gt;TOTAL_LABOR_HOURS_CAP,MAX(0,($D433+O$5)-PERMANENT_FIELD_LABOR_HOURS)&gt;TEMP_HOURS_CAP),"",$C433+O$6-MIN(($D433+O$5),PERMANENT_FIELD_LABOR_HOURS)*PERMANENT_HOURLY_RATE-MAX(0,($D433+O$5)-PERMANENT_FIELD_LABOR_HOURS)*TEMP_HOURLY_RATE-FIXED_SEASON_COST)</f>
        <v/>
      </c>
      <c r="P433" s="53" t="str">
        <f aca="false">IF(OR($A433&gt;TOMATO_BED_CAP,$B433&gt;CARROT_BED_CAP,P$4&gt;MESCLUN_BED_CAP,$A433+$B433+P$4&gt;TOTAL_BEDS_AVAILABLE,($D433+P$5)&gt;TOTAL_LABOR_HOURS_CAP,MAX(0,($D433+P$5)-PERMANENT_FIELD_LABOR_HOURS)&gt;TEMP_HOURS_CAP),"",$C433+P$6-MIN(($D433+P$5),PERMANENT_FIELD_LABOR_HOURS)*PERMANENT_HOURLY_RATE-MAX(0,($D433+P$5)-PERMANENT_FIELD_LABOR_HOURS)*TEMP_HOURLY_RATE-FIXED_SEASON_COST)</f>
        <v/>
      </c>
      <c r="Q433" s="53" t="str">
        <f aca="false">IF(OR($A433&gt;TOMATO_BED_CAP,$B433&gt;CARROT_BED_CAP,Q$4&gt;MESCLUN_BED_CAP,$A433+$B433+Q$4&gt;TOTAL_BEDS_AVAILABLE,($D433+Q$5)&gt;TOTAL_LABOR_HOURS_CAP,MAX(0,($D433+Q$5)-PERMANENT_FIELD_LABOR_HOURS)&gt;TEMP_HOURS_CAP),"",$C433+Q$6-MIN(($D433+Q$5),PERMANENT_FIELD_LABOR_HOURS)*PERMANENT_HOURLY_RATE-MAX(0,($D433+Q$5)-PERMANENT_FIELD_LABOR_HOURS)*TEMP_HOURLY_RATE-FIXED_SEASON_COST)</f>
        <v/>
      </c>
      <c r="R433" s="53" t="str">
        <f aca="false">IF(OR($A433&gt;TOMATO_BED_CAP,$B433&gt;CARROT_BED_CAP,R$4&gt;MESCLUN_BED_CAP,$A433+$B433+R$4&gt;TOTAL_BEDS_AVAILABLE,($D433+R$5)&gt;TOTAL_LABOR_HOURS_CAP,MAX(0,($D433+R$5)-PERMANENT_FIELD_LABOR_HOURS)&gt;TEMP_HOURS_CAP),"",$C433+R$6-MIN(($D433+R$5),PERMANENT_FIELD_LABOR_HOURS)*PERMANENT_HOURLY_RATE-MAX(0,($D433+R$5)-PERMANENT_FIELD_LABOR_HOURS)*TEMP_HOURLY_RATE-FIXED_SEASON_COST)</f>
        <v/>
      </c>
      <c r="S433" s="53" t="str">
        <f aca="false">IF(OR($A433&gt;TOMATO_BED_CAP,$B433&gt;CARROT_BED_CAP,S$4&gt;MESCLUN_BED_CAP,$A433+$B433+S$4&gt;TOTAL_BEDS_AVAILABLE,($D433+S$5)&gt;TOTAL_LABOR_HOURS_CAP,MAX(0,($D433+S$5)-PERMANENT_FIELD_LABOR_HOURS)&gt;TEMP_HOURS_CAP),"",$C433+S$6-MIN(($D433+S$5),PERMANENT_FIELD_LABOR_HOURS)*PERMANENT_HOURLY_RATE-MAX(0,($D433+S$5)-PERMANENT_FIELD_LABOR_HOURS)*TEMP_HOURLY_RATE-FIXED_SEASON_COST)</f>
        <v/>
      </c>
      <c r="T433" s="53" t="str">
        <f aca="false">IF(OR($A433&gt;TOMATO_BED_CAP,$B433&gt;CARROT_BED_CAP,T$4&gt;MESCLUN_BED_CAP,$A433+$B433+T$4&gt;TOTAL_BEDS_AVAILABLE,($D433+T$5)&gt;TOTAL_LABOR_HOURS_CAP,MAX(0,($D433+T$5)-PERMANENT_FIELD_LABOR_HOURS)&gt;TEMP_HOURS_CAP),"",$C433+T$6-MIN(($D433+T$5),PERMANENT_FIELD_LABOR_HOURS)*PERMANENT_HOURLY_RATE-MAX(0,($D433+T$5)-PERMANENT_FIELD_LABOR_HOURS)*TEMP_HOURLY_RATE-FIXED_SEASON_COST)</f>
        <v/>
      </c>
      <c r="U433" s="53" t="str">
        <f aca="false">IF(OR($A433&gt;TOMATO_BED_CAP,$B433&gt;CARROT_BED_CAP,U$4&gt;MESCLUN_BED_CAP,$A433+$B433+U$4&gt;TOTAL_BEDS_AVAILABLE,($D433+U$5)&gt;TOTAL_LABOR_HOURS_CAP,MAX(0,($D433+U$5)-PERMANENT_FIELD_LABOR_HOURS)&gt;TEMP_HOURS_CAP),"",$C433+U$6-MIN(($D433+U$5),PERMANENT_FIELD_LABOR_HOURS)*PERMANENT_HOURLY_RATE-MAX(0,($D433+U$5)-PERMANENT_FIELD_LABOR_HOURS)*TEMP_HOURLY_RATE-FIXED_SEASON_COST)</f>
        <v/>
      </c>
      <c r="V433" s="53" t="str">
        <f aca="false">IF(OR($A433&gt;TOMATO_BED_CAP,$B433&gt;CARROT_BED_CAP,V$4&gt;MESCLUN_BED_CAP,$A433+$B433+V$4&gt;TOTAL_BEDS_AVAILABLE,($D433+V$5)&gt;TOTAL_LABOR_HOURS_CAP,MAX(0,($D433+V$5)-PERMANENT_FIELD_LABOR_HOURS)&gt;TEMP_HOURS_CAP),"",$C433+V$6-MIN(($D433+V$5),PERMANENT_FIELD_LABOR_HOURS)*PERMANENT_HOURLY_RATE-MAX(0,($D433+V$5)-PERMANENT_FIELD_LABOR_HOURS)*TEMP_HOURLY_RATE-FIXED_SEASON_COST)</f>
        <v/>
      </c>
      <c r="W433" s="53" t="str">
        <f aca="false">IF(OR($A433&gt;TOMATO_BED_CAP,$B433&gt;CARROT_BED_CAP,W$4&gt;MESCLUN_BED_CAP,$A433+$B433+W$4&gt;TOTAL_BEDS_AVAILABLE,($D433+W$5)&gt;TOTAL_LABOR_HOURS_CAP,MAX(0,($D433+W$5)-PERMANENT_FIELD_LABOR_HOURS)&gt;TEMP_HOURS_CAP),"",$C433+W$6-MIN(($D433+W$5),PERMANENT_FIELD_LABOR_HOURS)*PERMANENT_HOURLY_RATE-MAX(0,($D433+W$5)-PERMANENT_FIELD_LABOR_HOURS)*TEMP_HOURLY_RATE-FIXED_SEASON_COST)</f>
        <v/>
      </c>
      <c r="X433" s="53" t="str">
        <f aca="false">IF(OR($A433&gt;TOMATO_BED_CAP,$B433&gt;CARROT_BED_CAP,X$4&gt;MESCLUN_BED_CAP,$A433+$B433+X$4&gt;TOTAL_BEDS_AVAILABLE,($D433+X$5)&gt;TOTAL_LABOR_HOURS_CAP,MAX(0,($D433+X$5)-PERMANENT_FIELD_LABOR_HOURS)&gt;TEMP_HOURS_CAP),"",$C433+X$6-MIN(($D433+X$5),PERMANENT_FIELD_LABOR_HOURS)*PERMANENT_HOURLY_RATE-MAX(0,($D433+X$5)-PERMANENT_FIELD_LABOR_HOURS)*TEMP_HOURLY_RATE-FIXED_SEASON_COST)</f>
        <v/>
      </c>
      <c r="Y433" s="53" t="str">
        <f aca="false">IF(OR($A433&gt;TOMATO_BED_CAP,$B433&gt;CARROT_BED_CAP,Y$4&gt;MESCLUN_BED_CAP,$A433+$B433+Y$4&gt;TOTAL_BEDS_AVAILABLE,($D433+Y$5)&gt;TOTAL_LABOR_HOURS_CAP,MAX(0,($D433+Y$5)-PERMANENT_FIELD_LABOR_HOURS)&gt;TEMP_HOURS_CAP),"",$C433+Y$6-MIN(($D433+Y$5),PERMANENT_FIELD_LABOR_HOURS)*PERMANENT_HOURLY_RATE-MAX(0,($D433+Y$5)-PERMANENT_FIELD_LABOR_HOURS)*TEMP_HOURLY_RATE-FIXED_SEASON_COST)</f>
        <v/>
      </c>
      <c r="Z433" s="53" t="str">
        <f aca="false">IF(OR($A433&gt;TOMATO_BED_CAP,$B433&gt;CARROT_BED_CAP,Z$4&gt;MESCLUN_BED_CAP,$A433+$B433+Z$4&gt;TOTAL_BEDS_AVAILABLE,($D433+Z$5)&gt;TOTAL_LABOR_HOURS_CAP,MAX(0,($D433+Z$5)-PERMANENT_FIELD_LABOR_HOURS)&gt;TEMP_HOURS_CAP),"",$C433+Z$6-MIN(($D433+Z$5),PERMANENT_FIELD_LABOR_HOURS)*PERMANENT_HOURLY_RATE-MAX(0,($D433+Z$5)-PERMANENT_FIELD_LABOR_HOURS)*TEMP_HOURLY_RATE-FIXED_SEASON_COST)</f>
        <v/>
      </c>
      <c r="AA433" s="53" t="str">
        <f aca="false">IF(OR($A433&gt;TOMATO_BED_CAP,$B433&gt;CARROT_BED_CAP,AA$4&gt;MESCLUN_BED_CAP,$A433+$B433+AA$4&gt;TOTAL_BEDS_AVAILABLE,($D433+AA$5)&gt;TOTAL_LABOR_HOURS_CAP,MAX(0,($D433+AA$5)-PERMANENT_FIELD_LABOR_HOURS)&gt;TEMP_HOURS_CAP),"",$C433+AA$6-MIN(($D433+AA$5),PERMANENT_FIELD_LABOR_HOURS)*PERMANENT_HOURLY_RATE-MAX(0,($D433+AA$5)-PERMANENT_FIELD_LABOR_HOURS)*TEMP_HOURLY_RATE-FIXED_SEASON_COST)</f>
        <v/>
      </c>
      <c r="AB433" s="53" t="str">
        <f aca="false">IF(OR($A433&gt;TOMATO_BED_CAP,$B433&gt;CARROT_BED_CAP,AB$4&gt;MESCLUN_BED_CAP,$A433+$B433+AB$4&gt;TOTAL_BEDS_AVAILABLE,($D433+AB$5)&gt;TOTAL_LABOR_HOURS_CAP,MAX(0,($D433+AB$5)-PERMANENT_FIELD_LABOR_HOURS)&gt;TEMP_HOURS_CAP),"",$C433+AB$6-MIN(($D433+AB$5),PERMANENT_FIELD_LABOR_HOURS)*PERMANENT_HOURLY_RATE-MAX(0,($D433+AB$5)-PERMANENT_FIELD_LABOR_HOURS)*TEMP_HOURLY_RATE-FIXED_SEASON_COST)</f>
        <v/>
      </c>
      <c r="AC433" s="53" t="str">
        <f aca="false">IF(OR($A433&gt;TOMATO_BED_CAP,$B433&gt;CARROT_BED_CAP,AC$4&gt;MESCLUN_BED_CAP,$A433+$B433+AC$4&gt;TOTAL_BEDS_AVAILABLE,($D433+AC$5)&gt;TOTAL_LABOR_HOURS_CAP,MAX(0,($D433+AC$5)-PERMANENT_FIELD_LABOR_HOURS)&gt;TEMP_HOURS_CAP),"",$C433+AC$6-MIN(($D433+AC$5),PERMANENT_FIELD_LABOR_HOURS)*PERMANENT_HOURLY_RATE-MAX(0,($D433+AC$5)-PERMANENT_FIELD_LABOR_HOURS)*TEMP_HOURLY_RATE-FIXED_SEASON_COST)</f>
        <v/>
      </c>
      <c r="AD433" s="53" t="str">
        <f aca="false">IF(OR($A433&gt;TOMATO_BED_CAP,$B433&gt;CARROT_BED_CAP,AD$4&gt;MESCLUN_BED_CAP,$A433+$B433+AD$4&gt;TOTAL_BEDS_AVAILABLE,($D433+AD$5)&gt;TOTAL_LABOR_HOURS_CAP,MAX(0,($D433+AD$5)-PERMANENT_FIELD_LABOR_HOURS)&gt;TEMP_HOURS_CAP),"",$C433+AD$6-MIN(($D433+AD$5),PERMANENT_FIELD_LABOR_HOURS)*PERMANENT_HOURLY_RATE-MAX(0,($D433+AD$5)-PERMANENT_FIELD_LABOR_HOURS)*TEMP_HOURLY_RATE-FIXED_SEASON_COST)</f>
        <v/>
      </c>
      <c r="AE433" s="53" t="str">
        <f aca="false">IF(OR($A433&gt;TOMATO_BED_CAP,$B433&gt;CARROT_BED_CAP,AE$4&gt;MESCLUN_BED_CAP,$A433+$B433+AE$4&gt;TOTAL_BEDS_AVAILABLE,($D433+AE$5)&gt;TOTAL_LABOR_HOURS_CAP,MAX(0,($D433+AE$5)-PERMANENT_FIELD_LABOR_HOURS)&gt;TEMP_HOURS_CAP),"",$C433+AE$6-MIN(($D433+AE$5),PERMANENT_FIELD_LABOR_HOURS)*PERMANENT_HOURLY_RATE-MAX(0,($D433+AE$5)-PERMANENT_FIELD_LABOR_HOURS)*TEMP_HOURLY_RATE-FIXED_SEASON_COST)</f>
        <v/>
      </c>
      <c r="AF433" s="53" t="str">
        <f aca="false">IF(OR($A433&gt;TOMATO_BED_CAP,$B433&gt;CARROT_BED_CAP,AF$4&gt;MESCLUN_BED_CAP,$A433+$B433+AF$4&gt;TOTAL_BEDS_AVAILABLE,($D433+AF$5)&gt;TOTAL_LABOR_HOURS_CAP,MAX(0,($D433+AF$5)-PERMANENT_FIELD_LABOR_HOURS)&gt;TEMP_HOURS_CAP),"",$C433+AF$6-MIN(($D433+AF$5),PERMANENT_FIELD_LABOR_HOURS)*PERMANENT_HOURLY_RATE-MAX(0,($D433+AF$5)-PERMANENT_FIELD_LABOR_HOURS)*TEMP_HOURLY_RATE-FIXED_SEASON_COST)</f>
        <v/>
      </c>
      <c r="AG433" s="53" t="str">
        <f aca="false">IF(OR($A433&gt;TOMATO_BED_CAP,$B433&gt;CARROT_BED_CAP,AG$4&gt;MESCLUN_BED_CAP,$A433+$B433+AG$4&gt;TOTAL_BEDS_AVAILABLE,($D433+AG$5)&gt;TOTAL_LABOR_HOURS_CAP,MAX(0,($D433+AG$5)-PERMANENT_FIELD_LABOR_HOURS)&gt;TEMP_HOURS_CAP),"",$C433+AG$6-MIN(($D433+AG$5),PERMANENT_FIELD_LABOR_HOURS)*PERMANENT_HOURLY_RATE-MAX(0,($D433+AG$5)-PERMANENT_FIELD_LABOR_HOURS)*TEMP_HOURLY_RATE-FIXED_SEASON_COST)</f>
        <v/>
      </c>
      <c r="AH433" s="53" t="str">
        <f aca="false">IF(OR($A433&gt;TOMATO_BED_CAP,$B433&gt;CARROT_BED_CAP,AH$4&gt;MESCLUN_BED_CAP,$A433+$B433+AH$4&gt;TOTAL_BEDS_AVAILABLE,($D433+AH$5)&gt;TOTAL_LABOR_HOURS_CAP,MAX(0,($D433+AH$5)-PERMANENT_FIELD_LABOR_HOURS)&gt;TEMP_HOURS_CAP),"",$C433+AH$6-MIN(($D433+AH$5),PERMANENT_FIELD_LABOR_HOURS)*PERMANENT_HOURLY_RATE-MAX(0,($D433+AH$5)-PERMANENT_FIELD_LABOR_HOURS)*TEMP_HOURLY_RATE-FIXED_SEASON_COST)</f>
        <v/>
      </c>
      <c r="AI433" s="53" t="str">
        <f aca="false">IF(OR($A433&gt;TOMATO_BED_CAP,$B433&gt;CARROT_BED_CAP,AI$4&gt;MESCLUN_BED_CAP,$A433+$B433+AI$4&gt;TOTAL_BEDS_AVAILABLE,($D433+AI$5)&gt;TOTAL_LABOR_HOURS_CAP,MAX(0,($D433+AI$5)-PERMANENT_FIELD_LABOR_HOURS)&gt;TEMP_HOURS_CAP),"",$C433+AI$6-MIN(($D433+AI$5),PERMANENT_FIELD_LABOR_HOURS)*PERMANENT_HOURLY_RATE-MAX(0,($D433+AI$5)-PERMANENT_FIELD_LABOR_HOURS)*TEMP_HOURLY_RATE-FIXED_SEASON_COST)</f>
        <v/>
      </c>
      <c r="AJ433" s="53" t="str">
        <f aca="false">IF(OR($A433&gt;TOMATO_BED_CAP,$B433&gt;CARROT_BED_CAP,AJ$4&gt;MESCLUN_BED_CAP,$A433+$B433+AJ$4&gt;TOTAL_BEDS_AVAILABLE,($D433+AJ$5)&gt;TOTAL_LABOR_HOURS_CAP,MAX(0,($D433+AJ$5)-PERMANENT_FIELD_LABOR_HOURS)&gt;TEMP_HOURS_CAP),"",$C433+AJ$6-MIN(($D433+AJ$5),PERMANENT_FIELD_LABOR_HOURS)*PERMANENT_HOURLY_RATE-MAX(0,($D433+AJ$5)-PERMANENT_FIELD_LABOR_HOURS)*TEMP_HOURLY_RATE-FIXED_SEASON_COST)</f>
        <v/>
      </c>
    </row>
    <row r="434" customFormat="false" ht="15" hidden="false" customHeight="false" outlineLevel="0" collapsed="false">
      <c r="A434" s="21" t="n">
        <f aca="false">INT((ROW()-ROW($A$8))/(20+1))</f>
        <v>20</v>
      </c>
      <c r="B434" s="21" t="n">
        <f aca="false">MOD(ROW()-ROW($A$8),20+1)</f>
        <v>6</v>
      </c>
      <c r="C434" s="13" t="n">
        <f aca="false">A434*(TOMATO_REVENUE_PER_BED-TOMATO_FERTILIZER_PER_BED)+B434*(CARROT_REVENUE_PER_BED-CARROT_FERTILIZER_PER_BED)</f>
        <v>168324</v>
      </c>
      <c r="D434" s="14" t="n">
        <f aca="false">INDEX(TOMATO_SCHED_LABOR_HRS,A434+1)+INDEX(CARROT_SCHED_LABOR_HRS,B434+1)</f>
        <v>12318.1612261383</v>
      </c>
      <c r="E434" s="13" t="str">
        <f aca="false">IF(COUNT(F434:AJ434)=0,"",MAX(F434:AJ434))</f>
        <v/>
      </c>
      <c r="F434" s="53" t="str">
        <f aca="false">IF(OR($A434&gt;TOMATO_BED_CAP,$B434&gt;CARROT_BED_CAP,F$4&gt;MESCLUN_BED_CAP,$A434+$B434+F$4&gt;TOTAL_BEDS_AVAILABLE,($D434+F$5)&gt;TOTAL_LABOR_HOURS_CAP,MAX(0,($D434+F$5)-PERMANENT_FIELD_LABOR_HOURS)&gt;TEMP_HOURS_CAP),"",$C434+F$6-MIN(($D434+F$5),PERMANENT_FIELD_LABOR_HOURS)*PERMANENT_HOURLY_RATE-MAX(0,($D434+F$5)-PERMANENT_FIELD_LABOR_HOURS)*TEMP_HOURLY_RATE-FIXED_SEASON_COST)</f>
        <v/>
      </c>
      <c r="G434" s="53" t="str">
        <f aca="false">IF(OR($A434&gt;TOMATO_BED_CAP,$B434&gt;CARROT_BED_CAP,G$4&gt;MESCLUN_BED_CAP,$A434+$B434+G$4&gt;TOTAL_BEDS_AVAILABLE,($D434+G$5)&gt;TOTAL_LABOR_HOURS_CAP,MAX(0,($D434+G$5)-PERMANENT_FIELD_LABOR_HOURS)&gt;TEMP_HOURS_CAP),"",$C434+G$6-MIN(($D434+G$5),PERMANENT_FIELD_LABOR_HOURS)*PERMANENT_HOURLY_RATE-MAX(0,($D434+G$5)-PERMANENT_FIELD_LABOR_HOURS)*TEMP_HOURLY_RATE-FIXED_SEASON_COST)</f>
        <v/>
      </c>
      <c r="H434" s="53" t="str">
        <f aca="false">IF(OR($A434&gt;TOMATO_BED_CAP,$B434&gt;CARROT_BED_CAP,H$4&gt;MESCLUN_BED_CAP,$A434+$B434+H$4&gt;TOTAL_BEDS_AVAILABLE,($D434+H$5)&gt;TOTAL_LABOR_HOURS_CAP,MAX(0,($D434+H$5)-PERMANENT_FIELD_LABOR_HOURS)&gt;TEMP_HOURS_CAP),"",$C434+H$6-MIN(($D434+H$5),PERMANENT_FIELD_LABOR_HOURS)*PERMANENT_HOURLY_RATE-MAX(0,($D434+H$5)-PERMANENT_FIELD_LABOR_HOURS)*TEMP_HOURLY_RATE-FIXED_SEASON_COST)</f>
        <v/>
      </c>
      <c r="I434" s="53" t="str">
        <f aca="false">IF(OR($A434&gt;TOMATO_BED_CAP,$B434&gt;CARROT_BED_CAP,I$4&gt;MESCLUN_BED_CAP,$A434+$B434+I$4&gt;TOTAL_BEDS_AVAILABLE,($D434+I$5)&gt;TOTAL_LABOR_HOURS_CAP,MAX(0,($D434+I$5)-PERMANENT_FIELD_LABOR_HOURS)&gt;TEMP_HOURS_CAP),"",$C434+I$6-MIN(($D434+I$5),PERMANENT_FIELD_LABOR_HOURS)*PERMANENT_HOURLY_RATE-MAX(0,($D434+I$5)-PERMANENT_FIELD_LABOR_HOURS)*TEMP_HOURLY_RATE-FIXED_SEASON_COST)</f>
        <v/>
      </c>
      <c r="J434" s="53" t="str">
        <f aca="false">IF(OR($A434&gt;TOMATO_BED_CAP,$B434&gt;CARROT_BED_CAP,J$4&gt;MESCLUN_BED_CAP,$A434+$B434+J$4&gt;TOTAL_BEDS_AVAILABLE,($D434+J$5)&gt;TOTAL_LABOR_HOURS_CAP,MAX(0,($D434+J$5)-PERMANENT_FIELD_LABOR_HOURS)&gt;TEMP_HOURS_CAP),"",$C434+J$6-MIN(($D434+J$5),PERMANENT_FIELD_LABOR_HOURS)*PERMANENT_HOURLY_RATE-MAX(0,($D434+J$5)-PERMANENT_FIELD_LABOR_HOURS)*TEMP_HOURLY_RATE-FIXED_SEASON_COST)</f>
        <v/>
      </c>
      <c r="K434" s="53" t="str">
        <f aca="false">IF(OR($A434&gt;TOMATO_BED_CAP,$B434&gt;CARROT_BED_CAP,K$4&gt;MESCLUN_BED_CAP,$A434+$B434+K$4&gt;TOTAL_BEDS_AVAILABLE,($D434+K$5)&gt;TOTAL_LABOR_HOURS_CAP,MAX(0,($D434+K$5)-PERMANENT_FIELD_LABOR_HOURS)&gt;TEMP_HOURS_CAP),"",$C434+K$6-MIN(($D434+K$5),PERMANENT_FIELD_LABOR_HOURS)*PERMANENT_HOURLY_RATE-MAX(0,($D434+K$5)-PERMANENT_FIELD_LABOR_HOURS)*TEMP_HOURLY_RATE-FIXED_SEASON_COST)</f>
        <v/>
      </c>
      <c r="L434" s="53" t="str">
        <f aca="false">IF(OR($A434&gt;TOMATO_BED_CAP,$B434&gt;CARROT_BED_CAP,L$4&gt;MESCLUN_BED_CAP,$A434+$B434+L$4&gt;TOTAL_BEDS_AVAILABLE,($D434+L$5)&gt;TOTAL_LABOR_HOURS_CAP,MAX(0,($D434+L$5)-PERMANENT_FIELD_LABOR_HOURS)&gt;TEMP_HOURS_CAP),"",$C434+L$6-MIN(($D434+L$5),PERMANENT_FIELD_LABOR_HOURS)*PERMANENT_HOURLY_RATE-MAX(0,($D434+L$5)-PERMANENT_FIELD_LABOR_HOURS)*TEMP_HOURLY_RATE-FIXED_SEASON_COST)</f>
        <v/>
      </c>
      <c r="M434" s="53" t="str">
        <f aca="false">IF(OR($A434&gt;TOMATO_BED_CAP,$B434&gt;CARROT_BED_CAP,M$4&gt;MESCLUN_BED_CAP,$A434+$B434+M$4&gt;TOTAL_BEDS_AVAILABLE,($D434+M$5)&gt;TOTAL_LABOR_HOURS_CAP,MAX(0,($D434+M$5)-PERMANENT_FIELD_LABOR_HOURS)&gt;TEMP_HOURS_CAP),"",$C434+M$6-MIN(($D434+M$5),PERMANENT_FIELD_LABOR_HOURS)*PERMANENT_HOURLY_RATE-MAX(0,($D434+M$5)-PERMANENT_FIELD_LABOR_HOURS)*TEMP_HOURLY_RATE-FIXED_SEASON_COST)</f>
        <v/>
      </c>
      <c r="N434" s="53" t="str">
        <f aca="false">IF(OR($A434&gt;TOMATO_BED_CAP,$B434&gt;CARROT_BED_CAP,N$4&gt;MESCLUN_BED_CAP,$A434+$B434+N$4&gt;TOTAL_BEDS_AVAILABLE,($D434+N$5)&gt;TOTAL_LABOR_HOURS_CAP,MAX(0,($D434+N$5)-PERMANENT_FIELD_LABOR_HOURS)&gt;TEMP_HOURS_CAP),"",$C434+N$6-MIN(($D434+N$5),PERMANENT_FIELD_LABOR_HOURS)*PERMANENT_HOURLY_RATE-MAX(0,($D434+N$5)-PERMANENT_FIELD_LABOR_HOURS)*TEMP_HOURLY_RATE-FIXED_SEASON_COST)</f>
        <v/>
      </c>
      <c r="O434" s="53" t="str">
        <f aca="false">IF(OR($A434&gt;TOMATO_BED_CAP,$B434&gt;CARROT_BED_CAP,O$4&gt;MESCLUN_BED_CAP,$A434+$B434+O$4&gt;TOTAL_BEDS_AVAILABLE,($D434+O$5)&gt;TOTAL_LABOR_HOURS_CAP,MAX(0,($D434+O$5)-PERMANENT_FIELD_LABOR_HOURS)&gt;TEMP_HOURS_CAP),"",$C434+O$6-MIN(($D434+O$5),PERMANENT_FIELD_LABOR_HOURS)*PERMANENT_HOURLY_RATE-MAX(0,($D434+O$5)-PERMANENT_FIELD_LABOR_HOURS)*TEMP_HOURLY_RATE-FIXED_SEASON_COST)</f>
        <v/>
      </c>
      <c r="P434" s="53" t="str">
        <f aca="false">IF(OR($A434&gt;TOMATO_BED_CAP,$B434&gt;CARROT_BED_CAP,P$4&gt;MESCLUN_BED_CAP,$A434+$B434+P$4&gt;TOTAL_BEDS_AVAILABLE,($D434+P$5)&gt;TOTAL_LABOR_HOURS_CAP,MAX(0,($D434+P$5)-PERMANENT_FIELD_LABOR_HOURS)&gt;TEMP_HOURS_CAP),"",$C434+P$6-MIN(($D434+P$5),PERMANENT_FIELD_LABOR_HOURS)*PERMANENT_HOURLY_RATE-MAX(0,($D434+P$5)-PERMANENT_FIELD_LABOR_HOURS)*TEMP_HOURLY_RATE-FIXED_SEASON_COST)</f>
        <v/>
      </c>
      <c r="Q434" s="53" t="str">
        <f aca="false">IF(OR($A434&gt;TOMATO_BED_CAP,$B434&gt;CARROT_BED_CAP,Q$4&gt;MESCLUN_BED_CAP,$A434+$B434+Q$4&gt;TOTAL_BEDS_AVAILABLE,($D434+Q$5)&gt;TOTAL_LABOR_HOURS_CAP,MAX(0,($D434+Q$5)-PERMANENT_FIELD_LABOR_HOURS)&gt;TEMP_HOURS_CAP),"",$C434+Q$6-MIN(($D434+Q$5),PERMANENT_FIELD_LABOR_HOURS)*PERMANENT_HOURLY_RATE-MAX(0,($D434+Q$5)-PERMANENT_FIELD_LABOR_HOURS)*TEMP_HOURLY_RATE-FIXED_SEASON_COST)</f>
        <v/>
      </c>
      <c r="R434" s="53" t="str">
        <f aca="false">IF(OR($A434&gt;TOMATO_BED_CAP,$B434&gt;CARROT_BED_CAP,R$4&gt;MESCLUN_BED_CAP,$A434+$B434+R$4&gt;TOTAL_BEDS_AVAILABLE,($D434+R$5)&gt;TOTAL_LABOR_HOURS_CAP,MAX(0,($D434+R$5)-PERMANENT_FIELD_LABOR_HOURS)&gt;TEMP_HOURS_CAP),"",$C434+R$6-MIN(($D434+R$5),PERMANENT_FIELD_LABOR_HOURS)*PERMANENT_HOURLY_RATE-MAX(0,($D434+R$5)-PERMANENT_FIELD_LABOR_HOURS)*TEMP_HOURLY_RATE-FIXED_SEASON_COST)</f>
        <v/>
      </c>
      <c r="S434" s="53" t="str">
        <f aca="false">IF(OR($A434&gt;TOMATO_BED_CAP,$B434&gt;CARROT_BED_CAP,S$4&gt;MESCLUN_BED_CAP,$A434+$B434+S$4&gt;TOTAL_BEDS_AVAILABLE,($D434+S$5)&gt;TOTAL_LABOR_HOURS_CAP,MAX(0,($D434+S$5)-PERMANENT_FIELD_LABOR_HOURS)&gt;TEMP_HOURS_CAP),"",$C434+S$6-MIN(($D434+S$5),PERMANENT_FIELD_LABOR_HOURS)*PERMANENT_HOURLY_RATE-MAX(0,($D434+S$5)-PERMANENT_FIELD_LABOR_HOURS)*TEMP_HOURLY_RATE-FIXED_SEASON_COST)</f>
        <v/>
      </c>
      <c r="T434" s="53" t="str">
        <f aca="false">IF(OR($A434&gt;TOMATO_BED_CAP,$B434&gt;CARROT_BED_CAP,T$4&gt;MESCLUN_BED_CAP,$A434+$B434+T$4&gt;TOTAL_BEDS_AVAILABLE,($D434+T$5)&gt;TOTAL_LABOR_HOURS_CAP,MAX(0,($D434+T$5)-PERMANENT_FIELD_LABOR_HOURS)&gt;TEMP_HOURS_CAP),"",$C434+T$6-MIN(($D434+T$5),PERMANENT_FIELD_LABOR_HOURS)*PERMANENT_HOURLY_RATE-MAX(0,($D434+T$5)-PERMANENT_FIELD_LABOR_HOURS)*TEMP_HOURLY_RATE-FIXED_SEASON_COST)</f>
        <v/>
      </c>
      <c r="U434" s="53" t="str">
        <f aca="false">IF(OR($A434&gt;TOMATO_BED_CAP,$B434&gt;CARROT_BED_CAP,U$4&gt;MESCLUN_BED_CAP,$A434+$B434+U$4&gt;TOTAL_BEDS_AVAILABLE,($D434+U$5)&gt;TOTAL_LABOR_HOURS_CAP,MAX(0,($D434+U$5)-PERMANENT_FIELD_LABOR_HOURS)&gt;TEMP_HOURS_CAP),"",$C434+U$6-MIN(($D434+U$5),PERMANENT_FIELD_LABOR_HOURS)*PERMANENT_HOURLY_RATE-MAX(0,($D434+U$5)-PERMANENT_FIELD_LABOR_HOURS)*TEMP_HOURLY_RATE-FIXED_SEASON_COST)</f>
        <v/>
      </c>
      <c r="V434" s="53" t="str">
        <f aca="false">IF(OR($A434&gt;TOMATO_BED_CAP,$B434&gt;CARROT_BED_CAP,V$4&gt;MESCLUN_BED_CAP,$A434+$B434+V$4&gt;TOTAL_BEDS_AVAILABLE,($D434+V$5)&gt;TOTAL_LABOR_HOURS_CAP,MAX(0,($D434+V$5)-PERMANENT_FIELD_LABOR_HOURS)&gt;TEMP_HOURS_CAP),"",$C434+V$6-MIN(($D434+V$5),PERMANENT_FIELD_LABOR_HOURS)*PERMANENT_HOURLY_RATE-MAX(0,($D434+V$5)-PERMANENT_FIELD_LABOR_HOURS)*TEMP_HOURLY_RATE-FIXED_SEASON_COST)</f>
        <v/>
      </c>
      <c r="W434" s="53" t="str">
        <f aca="false">IF(OR($A434&gt;TOMATO_BED_CAP,$B434&gt;CARROT_BED_CAP,W$4&gt;MESCLUN_BED_CAP,$A434+$B434+W$4&gt;TOTAL_BEDS_AVAILABLE,($D434+W$5)&gt;TOTAL_LABOR_HOURS_CAP,MAX(0,($D434+W$5)-PERMANENT_FIELD_LABOR_HOURS)&gt;TEMP_HOURS_CAP),"",$C434+W$6-MIN(($D434+W$5),PERMANENT_FIELD_LABOR_HOURS)*PERMANENT_HOURLY_RATE-MAX(0,($D434+W$5)-PERMANENT_FIELD_LABOR_HOURS)*TEMP_HOURLY_RATE-FIXED_SEASON_COST)</f>
        <v/>
      </c>
      <c r="X434" s="53" t="str">
        <f aca="false">IF(OR($A434&gt;TOMATO_BED_CAP,$B434&gt;CARROT_BED_CAP,X$4&gt;MESCLUN_BED_CAP,$A434+$B434+X$4&gt;TOTAL_BEDS_AVAILABLE,($D434+X$5)&gt;TOTAL_LABOR_HOURS_CAP,MAX(0,($D434+X$5)-PERMANENT_FIELD_LABOR_HOURS)&gt;TEMP_HOURS_CAP),"",$C434+X$6-MIN(($D434+X$5),PERMANENT_FIELD_LABOR_HOURS)*PERMANENT_HOURLY_RATE-MAX(0,($D434+X$5)-PERMANENT_FIELD_LABOR_HOURS)*TEMP_HOURLY_RATE-FIXED_SEASON_COST)</f>
        <v/>
      </c>
      <c r="Y434" s="53" t="str">
        <f aca="false">IF(OR($A434&gt;TOMATO_BED_CAP,$B434&gt;CARROT_BED_CAP,Y$4&gt;MESCLUN_BED_CAP,$A434+$B434+Y$4&gt;TOTAL_BEDS_AVAILABLE,($D434+Y$5)&gt;TOTAL_LABOR_HOURS_CAP,MAX(0,($D434+Y$5)-PERMANENT_FIELD_LABOR_HOURS)&gt;TEMP_HOURS_CAP),"",$C434+Y$6-MIN(($D434+Y$5),PERMANENT_FIELD_LABOR_HOURS)*PERMANENT_HOURLY_RATE-MAX(0,($D434+Y$5)-PERMANENT_FIELD_LABOR_HOURS)*TEMP_HOURLY_RATE-FIXED_SEASON_COST)</f>
        <v/>
      </c>
      <c r="Z434" s="53" t="str">
        <f aca="false">IF(OR($A434&gt;TOMATO_BED_CAP,$B434&gt;CARROT_BED_CAP,Z$4&gt;MESCLUN_BED_CAP,$A434+$B434+Z$4&gt;TOTAL_BEDS_AVAILABLE,($D434+Z$5)&gt;TOTAL_LABOR_HOURS_CAP,MAX(0,($D434+Z$5)-PERMANENT_FIELD_LABOR_HOURS)&gt;TEMP_HOURS_CAP),"",$C434+Z$6-MIN(($D434+Z$5),PERMANENT_FIELD_LABOR_HOURS)*PERMANENT_HOURLY_RATE-MAX(0,($D434+Z$5)-PERMANENT_FIELD_LABOR_HOURS)*TEMP_HOURLY_RATE-FIXED_SEASON_COST)</f>
        <v/>
      </c>
      <c r="AA434" s="53" t="str">
        <f aca="false">IF(OR($A434&gt;TOMATO_BED_CAP,$B434&gt;CARROT_BED_CAP,AA$4&gt;MESCLUN_BED_CAP,$A434+$B434+AA$4&gt;TOTAL_BEDS_AVAILABLE,($D434+AA$5)&gt;TOTAL_LABOR_HOURS_CAP,MAX(0,($D434+AA$5)-PERMANENT_FIELD_LABOR_HOURS)&gt;TEMP_HOURS_CAP),"",$C434+AA$6-MIN(($D434+AA$5),PERMANENT_FIELD_LABOR_HOURS)*PERMANENT_HOURLY_RATE-MAX(0,($D434+AA$5)-PERMANENT_FIELD_LABOR_HOURS)*TEMP_HOURLY_RATE-FIXED_SEASON_COST)</f>
        <v/>
      </c>
      <c r="AB434" s="53" t="str">
        <f aca="false">IF(OR($A434&gt;TOMATO_BED_CAP,$B434&gt;CARROT_BED_CAP,AB$4&gt;MESCLUN_BED_CAP,$A434+$B434+AB$4&gt;TOTAL_BEDS_AVAILABLE,($D434+AB$5)&gt;TOTAL_LABOR_HOURS_CAP,MAX(0,($D434+AB$5)-PERMANENT_FIELD_LABOR_HOURS)&gt;TEMP_HOURS_CAP),"",$C434+AB$6-MIN(($D434+AB$5),PERMANENT_FIELD_LABOR_HOURS)*PERMANENT_HOURLY_RATE-MAX(0,($D434+AB$5)-PERMANENT_FIELD_LABOR_HOURS)*TEMP_HOURLY_RATE-FIXED_SEASON_COST)</f>
        <v/>
      </c>
      <c r="AC434" s="53" t="str">
        <f aca="false">IF(OR($A434&gt;TOMATO_BED_CAP,$B434&gt;CARROT_BED_CAP,AC$4&gt;MESCLUN_BED_CAP,$A434+$B434+AC$4&gt;TOTAL_BEDS_AVAILABLE,($D434+AC$5)&gt;TOTAL_LABOR_HOURS_CAP,MAX(0,($D434+AC$5)-PERMANENT_FIELD_LABOR_HOURS)&gt;TEMP_HOURS_CAP),"",$C434+AC$6-MIN(($D434+AC$5),PERMANENT_FIELD_LABOR_HOURS)*PERMANENT_HOURLY_RATE-MAX(0,($D434+AC$5)-PERMANENT_FIELD_LABOR_HOURS)*TEMP_HOURLY_RATE-FIXED_SEASON_COST)</f>
        <v/>
      </c>
      <c r="AD434" s="53" t="str">
        <f aca="false">IF(OR($A434&gt;TOMATO_BED_CAP,$B434&gt;CARROT_BED_CAP,AD$4&gt;MESCLUN_BED_CAP,$A434+$B434+AD$4&gt;TOTAL_BEDS_AVAILABLE,($D434+AD$5)&gt;TOTAL_LABOR_HOURS_CAP,MAX(0,($D434+AD$5)-PERMANENT_FIELD_LABOR_HOURS)&gt;TEMP_HOURS_CAP),"",$C434+AD$6-MIN(($D434+AD$5),PERMANENT_FIELD_LABOR_HOURS)*PERMANENT_HOURLY_RATE-MAX(0,($D434+AD$5)-PERMANENT_FIELD_LABOR_HOURS)*TEMP_HOURLY_RATE-FIXED_SEASON_COST)</f>
        <v/>
      </c>
      <c r="AE434" s="53" t="str">
        <f aca="false">IF(OR($A434&gt;TOMATO_BED_CAP,$B434&gt;CARROT_BED_CAP,AE$4&gt;MESCLUN_BED_CAP,$A434+$B434+AE$4&gt;TOTAL_BEDS_AVAILABLE,($D434+AE$5)&gt;TOTAL_LABOR_HOURS_CAP,MAX(0,($D434+AE$5)-PERMANENT_FIELD_LABOR_HOURS)&gt;TEMP_HOURS_CAP),"",$C434+AE$6-MIN(($D434+AE$5),PERMANENT_FIELD_LABOR_HOURS)*PERMANENT_HOURLY_RATE-MAX(0,($D434+AE$5)-PERMANENT_FIELD_LABOR_HOURS)*TEMP_HOURLY_RATE-FIXED_SEASON_COST)</f>
        <v/>
      </c>
      <c r="AF434" s="53" t="str">
        <f aca="false">IF(OR($A434&gt;TOMATO_BED_CAP,$B434&gt;CARROT_BED_CAP,AF$4&gt;MESCLUN_BED_CAP,$A434+$B434+AF$4&gt;TOTAL_BEDS_AVAILABLE,($D434+AF$5)&gt;TOTAL_LABOR_HOURS_CAP,MAX(0,($D434+AF$5)-PERMANENT_FIELD_LABOR_HOURS)&gt;TEMP_HOURS_CAP),"",$C434+AF$6-MIN(($D434+AF$5),PERMANENT_FIELD_LABOR_HOURS)*PERMANENT_HOURLY_RATE-MAX(0,($D434+AF$5)-PERMANENT_FIELD_LABOR_HOURS)*TEMP_HOURLY_RATE-FIXED_SEASON_COST)</f>
        <v/>
      </c>
      <c r="AG434" s="53" t="str">
        <f aca="false">IF(OR($A434&gt;TOMATO_BED_CAP,$B434&gt;CARROT_BED_CAP,AG$4&gt;MESCLUN_BED_CAP,$A434+$B434+AG$4&gt;TOTAL_BEDS_AVAILABLE,($D434+AG$5)&gt;TOTAL_LABOR_HOURS_CAP,MAX(0,($D434+AG$5)-PERMANENT_FIELD_LABOR_HOURS)&gt;TEMP_HOURS_CAP),"",$C434+AG$6-MIN(($D434+AG$5),PERMANENT_FIELD_LABOR_HOURS)*PERMANENT_HOURLY_RATE-MAX(0,($D434+AG$5)-PERMANENT_FIELD_LABOR_HOURS)*TEMP_HOURLY_RATE-FIXED_SEASON_COST)</f>
        <v/>
      </c>
      <c r="AH434" s="53" t="str">
        <f aca="false">IF(OR($A434&gt;TOMATO_BED_CAP,$B434&gt;CARROT_BED_CAP,AH$4&gt;MESCLUN_BED_CAP,$A434+$B434+AH$4&gt;TOTAL_BEDS_AVAILABLE,($D434+AH$5)&gt;TOTAL_LABOR_HOURS_CAP,MAX(0,($D434+AH$5)-PERMANENT_FIELD_LABOR_HOURS)&gt;TEMP_HOURS_CAP),"",$C434+AH$6-MIN(($D434+AH$5),PERMANENT_FIELD_LABOR_HOURS)*PERMANENT_HOURLY_RATE-MAX(0,($D434+AH$5)-PERMANENT_FIELD_LABOR_HOURS)*TEMP_HOURLY_RATE-FIXED_SEASON_COST)</f>
        <v/>
      </c>
      <c r="AI434" s="53" t="str">
        <f aca="false">IF(OR($A434&gt;TOMATO_BED_CAP,$B434&gt;CARROT_BED_CAP,AI$4&gt;MESCLUN_BED_CAP,$A434+$B434+AI$4&gt;TOTAL_BEDS_AVAILABLE,($D434+AI$5)&gt;TOTAL_LABOR_HOURS_CAP,MAX(0,($D434+AI$5)-PERMANENT_FIELD_LABOR_HOURS)&gt;TEMP_HOURS_CAP),"",$C434+AI$6-MIN(($D434+AI$5),PERMANENT_FIELD_LABOR_HOURS)*PERMANENT_HOURLY_RATE-MAX(0,($D434+AI$5)-PERMANENT_FIELD_LABOR_HOURS)*TEMP_HOURLY_RATE-FIXED_SEASON_COST)</f>
        <v/>
      </c>
      <c r="AJ434" s="53" t="str">
        <f aca="false">IF(OR($A434&gt;TOMATO_BED_CAP,$B434&gt;CARROT_BED_CAP,AJ$4&gt;MESCLUN_BED_CAP,$A434+$B434+AJ$4&gt;TOTAL_BEDS_AVAILABLE,($D434+AJ$5)&gt;TOTAL_LABOR_HOURS_CAP,MAX(0,($D434+AJ$5)-PERMANENT_FIELD_LABOR_HOURS)&gt;TEMP_HOURS_CAP),"",$C434+AJ$6-MIN(($D434+AJ$5),PERMANENT_FIELD_LABOR_HOURS)*PERMANENT_HOURLY_RATE-MAX(0,($D434+AJ$5)-PERMANENT_FIELD_LABOR_HOURS)*TEMP_HOURLY_RATE-FIXED_SEASON_COST)</f>
        <v/>
      </c>
    </row>
    <row r="435" customFormat="false" ht="15" hidden="false" customHeight="false" outlineLevel="0" collapsed="false">
      <c r="A435" s="21" t="n">
        <f aca="false">INT((ROW()-ROW($A$8))/(20+1))</f>
        <v>20</v>
      </c>
      <c r="B435" s="21" t="n">
        <f aca="false">MOD(ROW()-ROW($A$8),20+1)</f>
        <v>7</v>
      </c>
      <c r="C435" s="13" t="n">
        <f aca="false">A435*(TOMATO_REVENUE_PER_BED-TOMATO_FERTILIZER_PER_BED)+B435*(CARROT_REVENUE_PER_BED-CARROT_FERTILIZER_PER_BED)</f>
        <v>169978</v>
      </c>
      <c r="D435" s="14" t="n">
        <f aca="false">INDEX(TOMATO_SCHED_LABOR_HRS,A435+1)+INDEX(CARROT_SCHED_LABOR_HRS,B435+1)</f>
        <v>12359.0240674531</v>
      </c>
      <c r="E435" s="13" t="str">
        <f aca="false">IF(COUNT(F435:AJ435)=0,"",MAX(F435:AJ435))</f>
        <v/>
      </c>
      <c r="F435" s="53" t="str">
        <f aca="false">IF(OR($A435&gt;TOMATO_BED_CAP,$B435&gt;CARROT_BED_CAP,F$4&gt;MESCLUN_BED_CAP,$A435+$B435+F$4&gt;TOTAL_BEDS_AVAILABLE,($D435+F$5)&gt;TOTAL_LABOR_HOURS_CAP,MAX(0,($D435+F$5)-PERMANENT_FIELD_LABOR_HOURS)&gt;TEMP_HOURS_CAP),"",$C435+F$6-MIN(($D435+F$5),PERMANENT_FIELD_LABOR_HOURS)*PERMANENT_HOURLY_RATE-MAX(0,($D435+F$5)-PERMANENT_FIELD_LABOR_HOURS)*TEMP_HOURLY_RATE-FIXED_SEASON_COST)</f>
        <v/>
      </c>
      <c r="G435" s="53" t="str">
        <f aca="false">IF(OR($A435&gt;TOMATO_BED_CAP,$B435&gt;CARROT_BED_CAP,G$4&gt;MESCLUN_BED_CAP,$A435+$B435+G$4&gt;TOTAL_BEDS_AVAILABLE,($D435+G$5)&gt;TOTAL_LABOR_HOURS_CAP,MAX(0,($D435+G$5)-PERMANENT_FIELD_LABOR_HOURS)&gt;TEMP_HOURS_CAP),"",$C435+G$6-MIN(($D435+G$5),PERMANENT_FIELD_LABOR_HOURS)*PERMANENT_HOURLY_RATE-MAX(0,($D435+G$5)-PERMANENT_FIELD_LABOR_HOURS)*TEMP_HOURLY_RATE-FIXED_SEASON_COST)</f>
        <v/>
      </c>
      <c r="H435" s="53" t="str">
        <f aca="false">IF(OR($A435&gt;TOMATO_BED_CAP,$B435&gt;CARROT_BED_CAP,H$4&gt;MESCLUN_BED_CAP,$A435+$B435+H$4&gt;TOTAL_BEDS_AVAILABLE,($D435+H$5)&gt;TOTAL_LABOR_HOURS_CAP,MAX(0,($D435+H$5)-PERMANENT_FIELD_LABOR_HOURS)&gt;TEMP_HOURS_CAP),"",$C435+H$6-MIN(($D435+H$5),PERMANENT_FIELD_LABOR_HOURS)*PERMANENT_HOURLY_RATE-MAX(0,($D435+H$5)-PERMANENT_FIELD_LABOR_HOURS)*TEMP_HOURLY_RATE-FIXED_SEASON_COST)</f>
        <v/>
      </c>
      <c r="I435" s="53" t="str">
        <f aca="false">IF(OR($A435&gt;TOMATO_BED_CAP,$B435&gt;CARROT_BED_CAP,I$4&gt;MESCLUN_BED_CAP,$A435+$B435+I$4&gt;TOTAL_BEDS_AVAILABLE,($D435+I$5)&gt;TOTAL_LABOR_HOURS_CAP,MAX(0,($D435+I$5)-PERMANENT_FIELD_LABOR_HOURS)&gt;TEMP_HOURS_CAP),"",$C435+I$6-MIN(($D435+I$5),PERMANENT_FIELD_LABOR_HOURS)*PERMANENT_HOURLY_RATE-MAX(0,($D435+I$5)-PERMANENT_FIELD_LABOR_HOURS)*TEMP_HOURLY_RATE-FIXED_SEASON_COST)</f>
        <v/>
      </c>
      <c r="J435" s="53" t="str">
        <f aca="false">IF(OR($A435&gt;TOMATO_BED_CAP,$B435&gt;CARROT_BED_CAP,J$4&gt;MESCLUN_BED_CAP,$A435+$B435+J$4&gt;TOTAL_BEDS_AVAILABLE,($D435+J$5)&gt;TOTAL_LABOR_HOURS_CAP,MAX(0,($D435+J$5)-PERMANENT_FIELD_LABOR_HOURS)&gt;TEMP_HOURS_CAP),"",$C435+J$6-MIN(($D435+J$5),PERMANENT_FIELD_LABOR_HOURS)*PERMANENT_HOURLY_RATE-MAX(0,($D435+J$5)-PERMANENT_FIELD_LABOR_HOURS)*TEMP_HOURLY_RATE-FIXED_SEASON_COST)</f>
        <v/>
      </c>
      <c r="K435" s="53" t="str">
        <f aca="false">IF(OR($A435&gt;TOMATO_BED_CAP,$B435&gt;CARROT_BED_CAP,K$4&gt;MESCLUN_BED_CAP,$A435+$B435+K$4&gt;TOTAL_BEDS_AVAILABLE,($D435+K$5)&gt;TOTAL_LABOR_HOURS_CAP,MAX(0,($D435+K$5)-PERMANENT_FIELD_LABOR_HOURS)&gt;TEMP_HOURS_CAP),"",$C435+K$6-MIN(($D435+K$5),PERMANENT_FIELD_LABOR_HOURS)*PERMANENT_HOURLY_RATE-MAX(0,($D435+K$5)-PERMANENT_FIELD_LABOR_HOURS)*TEMP_HOURLY_RATE-FIXED_SEASON_COST)</f>
        <v/>
      </c>
      <c r="L435" s="53" t="str">
        <f aca="false">IF(OR($A435&gt;TOMATO_BED_CAP,$B435&gt;CARROT_BED_CAP,L$4&gt;MESCLUN_BED_CAP,$A435+$B435+L$4&gt;TOTAL_BEDS_AVAILABLE,($D435+L$5)&gt;TOTAL_LABOR_HOURS_CAP,MAX(0,($D435+L$5)-PERMANENT_FIELD_LABOR_HOURS)&gt;TEMP_HOURS_CAP),"",$C435+L$6-MIN(($D435+L$5),PERMANENT_FIELD_LABOR_HOURS)*PERMANENT_HOURLY_RATE-MAX(0,($D435+L$5)-PERMANENT_FIELD_LABOR_HOURS)*TEMP_HOURLY_RATE-FIXED_SEASON_COST)</f>
        <v/>
      </c>
      <c r="M435" s="53" t="str">
        <f aca="false">IF(OR($A435&gt;TOMATO_BED_CAP,$B435&gt;CARROT_BED_CAP,M$4&gt;MESCLUN_BED_CAP,$A435+$B435+M$4&gt;TOTAL_BEDS_AVAILABLE,($D435+M$5)&gt;TOTAL_LABOR_HOURS_CAP,MAX(0,($D435+M$5)-PERMANENT_FIELD_LABOR_HOURS)&gt;TEMP_HOURS_CAP),"",$C435+M$6-MIN(($D435+M$5),PERMANENT_FIELD_LABOR_HOURS)*PERMANENT_HOURLY_RATE-MAX(0,($D435+M$5)-PERMANENT_FIELD_LABOR_HOURS)*TEMP_HOURLY_RATE-FIXED_SEASON_COST)</f>
        <v/>
      </c>
      <c r="N435" s="53" t="str">
        <f aca="false">IF(OR($A435&gt;TOMATO_BED_CAP,$B435&gt;CARROT_BED_CAP,N$4&gt;MESCLUN_BED_CAP,$A435+$B435+N$4&gt;TOTAL_BEDS_AVAILABLE,($D435+N$5)&gt;TOTAL_LABOR_HOURS_CAP,MAX(0,($D435+N$5)-PERMANENT_FIELD_LABOR_HOURS)&gt;TEMP_HOURS_CAP),"",$C435+N$6-MIN(($D435+N$5),PERMANENT_FIELD_LABOR_HOURS)*PERMANENT_HOURLY_RATE-MAX(0,($D435+N$5)-PERMANENT_FIELD_LABOR_HOURS)*TEMP_HOURLY_RATE-FIXED_SEASON_COST)</f>
        <v/>
      </c>
      <c r="O435" s="53" t="str">
        <f aca="false">IF(OR($A435&gt;TOMATO_BED_CAP,$B435&gt;CARROT_BED_CAP,O$4&gt;MESCLUN_BED_CAP,$A435+$B435+O$4&gt;TOTAL_BEDS_AVAILABLE,($D435+O$5)&gt;TOTAL_LABOR_HOURS_CAP,MAX(0,($D435+O$5)-PERMANENT_FIELD_LABOR_HOURS)&gt;TEMP_HOURS_CAP),"",$C435+O$6-MIN(($D435+O$5),PERMANENT_FIELD_LABOR_HOURS)*PERMANENT_HOURLY_RATE-MAX(0,($D435+O$5)-PERMANENT_FIELD_LABOR_HOURS)*TEMP_HOURLY_RATE-FIXED_SEASON_COST)</f>
        <v/>
      </c>
      <c r="P435" s="53" t="str">
        <f aca="false">IF(OR($A435&gt;TOMATO_BED_CAP,$B435&gt;CARROT_BED_CAP,P$4&gt;MESCLUN_BED_CAP,$A435+$B435+P$4&gt;TOTAL_BEDS_AVAILABLE,($D435+P$5)&gt;TOTAL_LABOR_HOURS_CAP,MAX(0,($D435+P$5)-PERMANENT_FIELD_LABOR_HOURS)&gt;TEMP_HOURS_CAP),"",$C435+P$6-MIN(($D435+P$5),PERMANENT_FIELD_LABOR_HOURS)*PERMANENT_HOURLY_RATE-MAX(0,($D435+P$5)-PERMANENT_FIELD_LABOR_HOURS)*TEMP_HOURLY_RATE-FIXED_SEASON_COST)</f>
        <v/>
      </c>
      <c r="Q435" s="53" t="str">
        <f aca="false">IF(OR($A435&gt;TOMATO_BED_CAP,$B435&gt;CARROT_BED_CAP,Q$4&gt;MESCLUN_BED_CAP,$A435+$B435+Q$4&gt;TOTAL_BEDS_AVAILABLE,($D435+Q$5)&gt;TOTAL_LABOR_HOURS_CAP,MAX(0,($D435+Q$5)-PERMANENT_FIELD_LABOR_HOURS)&gt;TEMP_HOURS_CAP),"",$C435+Q$6-MIN(($D435+Q$5),PERMANENT_FIELD_LABOR_HOURS)*PERMANENT_HOURLY_RATE-MAX(0,($D435+Q$5)-PERMANENT_FIELD_LABOR_HOURS)*TEMP_HOURLY_RATE-FIXED_SEASON_COST)</f>
        <v/>
      </c>
      <c r="R435" s="53" t="str">
        <f aca="false">IF(OR($A435&gt;TOMATO_BED_CAP,$B435&gt;CARROT_BED_CAP,R$4&gt;MESCLUN_BED_CAP,$A435+$B435+R$4&gt;TOTAL_BEDS_AVAILABLE,($D435+R$5)&gt;TOTAL_LABOR_HOURS_CAP,MAX(0,($D435+R$5)-PERMANENT_FIELD_LABOR_HOURS)&gt;TEMP_HOURS_CAP),"",$C435+R$6-MIN(($D435+R$5),PERMANENT_FIELD_LABOR_HOURS)*PERMANENT_HOURLY_RATE-MAX(0,($D435+R$5)-PERMANENT_FIELD_LABOR_HOURS)*TEMP_HOURLY_RATE-FIXED_SEASON_COST)</f>
        <v/>
      </c>
      <c r="S435" s="53" t="str">
        <f aca="false">IF(OR($A435&gt;TOMATO_BED_CAP,$B435&gt;CARROT_BED_CAP,S$4&gt;MESCLUN_BED_CAP,$A435+$B435+S$4&gt;TOTAL_BEDS_AVAILABLE,($D435+S$5)&gt;TOTAL_LABOR_HOURS_CAP,MAX(0,($D435+S$5)-PERMANENT_FIELD_LABOR_HOURS)&gt;TEMP_HOURS_CAP),"",$C435+S$6-MIN(($D435+S$5),PERMANENT_FIELD_LABOR_HOURS)*PERMANENT_HOURLY_RATE-MAX(0,($D435+S$5)-PERMANENT_FIELD_LABOR_HOURS)*TEMP_HOURLY_RATE-FIXED_SEASON_COST)</f>
        <v/>
      </c>
      <c r="T435" s="53" t="str">
        <f aca="false">IF(OR($A435&gt;TOMATO_BED_CAP,$B435&gt;CARROT_BED_CAP,T$4&gt;MESCLUN_BED_CAP,$A435+$B435+T$4&gt;TOTAL_BEDS_AVAILABLE,($D435+T$5)&gt;TOTAL_LABOR_HOURS_CAP,MAX(0,($D435+T$5)-PERMANENT_FIELD_LABOR_HOURS)&gt;TEMP_HOURS_CAP),"",$C435+T$6-MIN(($D435+T$5),PERMANENT_FIELD_LABOR_HOURS)*PERMANENT_HOURLY_RATE-MAX(0,($D435+T$5)-PERMANENT_FIELD_LABOR_HOURS)*TEMP_HOURLY_RATE-FIXED_SEASON_COST)</f>
        <v/>
      </c>
      <c r="U435" s="53" t="str">
        <f aca="false">IF(OR($A435&gt;TOMATO_BED_CAP,$B435&gt;CARROT_BED_CAP,U$4&gt;MESCLUN_BED_CAP,$A435+$B435+U$4&gt;TOTAL_BEDS_AVAILABLE,($D435+U$5)&gt;TOTAL_LABOR_HOURS_CAP,MAX(0,($D435+U$5)-PERMANENT_FIELD_LABOR_HOURS)&gt;TEMP_HOURS_CAP),"",$C435+U$6-MIN(($D435+U$5),PERMANENT_FIELD_LABOR_HOURS)*PERMANENT_HOURLY_RATE-MAX(0,($D435+U$5)-PERMANENT_FIELD_LABOR_HOURS)*TEMP_HOURLY_RATE-FIXED_SEASON_COST)</f>
        <v/>
      </c>
      <c r="V435" s="53" t="str">
        <f aca="false">IF(OR($A435&gt;TOMATO_BED_CAP,$B435&gt;CARROT_BED_CAP,V$4&gt;MESCLUN_BED_CAP,$A435+$B435+V$4&gt;TOTAL_BEDS_AVAILABLE,($D435+V$5)&gt;TOTAL_LABOR_HOURS_CAP,MAX(0,($D435+V$5)-PERMANENT_FIELD_LABOR_HOURS)&gt;TEMP_HOURS_CAP),"",$C435+V$6-MIN(($D435+V$5),PERMANENT_FIELD_LABOR_HOURS)*PERMANENT_HOURLY_RATE-MAX(0,($D435+V$5)-PERMANENT_FIELD_LABOR_HOURS)*TEMP_HOURLY_RATE-FIXED_SEASON_COST)</f>
        <v/>
      </c>
      <c r="W435" s="53" t="str">
        <f aca="false">IF(OR($A435&gt;TOMATO_BED_CAP,$B435&gt;CARROT_BED_CAP,W$4&gt;MESCLUN_BED_CAP,$A435+$B435+W$4&gt;TOTAL_BEDS_AVAILABLE,($D435+W$5)&gt;TOTAL_LABOR_HOURS_CAP,MAX(0,($D435+W$5)-PERMANENT_FIELD_LABOR_HOURS)&gt;TEMP_HOURS_CAP),"",$C435+W$6-MIN(($D435+W$5),PERMANENT_FIELD_LABOR_HOURS)*PERMANENT_HOURLY_RATE-MAX(0,($D435+W$5)-PERMANENT_FIELD_LABOR_HOURS)*TEMP_HOURLY_RATE-FIXED_SEASON_COST)</f>
        <v/>
      </c>
      <c r="X435" s="53" t="str">
        <f aca="false">IF(OR($A435&gt;TOMATO_BED_CAP,$B435&gt;CARROT_BED_CAP,X$4&gt;MESCLUN_BED_CAP,$A435+$B435+X$4&gt;TOTAL_BEDS_AVAILABLE,($D435+X$5)&gt;TOTAL_LABOR_HOURS_CAP,MAX(0,($D435+X$5)-PERMANENT_FIELD_LABOR_HOURS)&gt;TEMP_HOURS_CAP),"",$C435+X$6-MIN(($D435+X$5),PERMANENT_FIELD_LABOR_HOURS)*PERMANENT_HOURLY_RATE-MAX(0,($D435+X$5)-PERMANENT_FIELD_LABOR_HOURS)*TEMP_HOURLY_RATE-FIXED_SEASON_COST)</f>
        <v/>
      </c>
      <c r="Y435" s="53" t="str">
        <f aca="false">IF(OR($A435&gt;TOMATO_BED_CAP,$B435&gt;CARROT_BED_CAP,Y$4&gt;MESCLUN_BED_CAP,$A435+$B435+Y$4&gt;TOTAL_BEDS_AVAILABLE,($D435+Y$5)&gt;TOTAL_LABOR_HOURS_CAP,MAX(0,($D435+Y$5)-PERMANENT_FIELD_LABOR_HOURS)&gt;TEMP_HOURS_CAP),"",$C435+Y$6-MIN(($D435+Y$5),PERMANENT_FIELD_LABOR_HOURS)*PERMANENT_HOURLY_RATE-MAX(0,($D435+Y$5)-PERMANENT_FIELD_LABOR_HOURS)*TEMP_HOURLY_RATE-FIXED_SEASON_COST)</f>
        <v/>
      </c>
      <c r="Z435" s="53" t="str">
        <f aca="false">IF(OR($A435&gt;TOMATO_BED_CAP,$B435&gt;CARROT_BED_CAP,Z$4&gt;MESCLUN_BED_CAP,$A435+$B435+Z$4&gt;TOTAL_BEDS_AVAILABLE,($D435+Z$5)&gt;TOTAL_LABOR_HOURS_CAP,MAX(0,($D435+Z$5)-PERMANENT_FIELD_LABOR_HOURS)&gt;TEMP_HOURS_CAP),"",$C435+Z$6-MIN(($D435+Z$5),PERMANENT_FIELD_LABOR_HOURS)*PERMANENT_HOURLY_RATE-MAX(0,($D435+Z$5)-PERMANENT_FIELD_LABOR_HOURS)*TEMP_HOURLY_RATE-FIXED_SEASON_COST)</f>
        <v/>
      </c>
      <c r="AA435" s="53" t="str">
        <f aca="false">IF(OR($A435&gt;TOMATO_BED_CAP,$B435&gt;CARROT_BED_CAP,AA$4&gt;MESCLUN_BED_CAP,$A435+$B435+AA$4&gt;TOTAL_BEDS_AVAILABLE,($D435+AA$5)&gt;TOTAL_LABOR_HOURS_CAP,MAX(0,($D435+AA$5)-PERMANENT_FIELD_LABOR_HOURS)&gt;TEMP_HOURS_CAP),"",$C435+AA$6-MIN(($D435+AA$5),PERMANENT_FIELD_LABOR_HOURS)*PERMANENT_HOURLY_RATE-MAX(0,($D435+AA$5)-PERMANENT_FIELD_LABOR_HOURS)*TEMP_HOURLY_RATE-FIXED_SEASON_COST)</f>
        <v/>
      </c>
      <c r="AB435" s="53" t="str">
        <f aca="false">IF(OR($A435&gt;TOMATO_BED_CAP,$B435&gt;CARROT_BED_CAP,AB$4&gt;MESCLUN_BED_CAP,$A435+$B435+AB$4&gt;TOTAL_BEDS_AVAILABLE,($D435+AB$5)&gt;TOTAL_LABOR_HOURS_CAP,MAX(0,($D435+AB$5)-PERMANENT_FIELD_LABOR_HOURS)&gt;TEMP_HOURS_CAP),"",$C435+AB$6-MIN(($D435+AB$5),PERMANENT_FIELD_LABOR_HOURS)*PERMANENT_HOURLY_RATE-MAX(0,($D435+AB$5)-PERMANENT_FIELD_LABOR_HOURS)*TEMP_HOURLY_RATE-FIXED_SEASON_COST)</f>
        <v/>
      </c>
      <c r="AC435" s="53" t="str">
        <f aca="false">IF(OR($A435&gt;TOMATO_BED_CAP,$B435&gt;CARROT_BED_CAP,AC$4&gt;MESCLUN_BED_CAP,$A435+$B435+AC$4&gt;TOTAL_BEDS_AVAILABLE,($D435+AC$5)&gt;TOTAL_LABOR_HOURS_CAP,MAX(0,($D435+AC$5)-PERMANENT_FIELD_LABOR_HOURS)&gt;TEMP_HOURS_CAP),"",$C435+AC$6-MIN(($D435+AC$5),PERMANENT_FIELD_LABOR_HOURS)*PERMANENT_HOURLY_RATE-MAX(0,($D435+AC$5)-PERMANENT_FIELD_LABOR_HOURS)*TEMP_HOURLY_RATE-FIXED_SEASON_COST)</f>
        <v/>
      </c>
      <c r="AD435" s="53" t="str">
        <f aca="false">IF(OR($A435&gt;TOMATO_BED_CAP,$B435&gt;CARROT_BED_CAP,AD$4&gt;MESCLUN_BED_CAP,$A435+$B435+AD$4&gt;TOTAL_BEDS_AVAILABLE,($D435+AD$5)&gt;TOTAL_LABOR_HOURS_CAP,MAX(0,($D435+AD$5)-PERMANENT_FIELD_LABOR_HOURS)&gt;TEMP_HOURS_CAP),"",$C435+AD$6-MIN(($D435+AD$5),PERMANENT_FIELD_LABOR_HOURS)*PERMANENT_HOURLY_RATE-MAX(0,($D435+AD$5)-PERMANENT_FIELD_LABOR_HOURS)*TEMP_HOURLY_RATE-FIXED_SEASON_COST)</f>
        <v/>
      </c>
      <c r="AE435" s="53" t="str">
        <f aca="false">IF(OR($A435&gt;TOMATO_BED_CAP,$B435&gt;CARROT_BED_CAP,AE$4&gt;MESCLUN_BED_CAP,$A435+$B435+AE$4&gt;TOTAL_BEDS_AVAILABLE,($D435+AE$5)&gt;TOTAL_LABOR_HOURS_CAP,MAX(0,($D435+AE$5)-PERMANENT_FIELD_LABOR_HOURS)&gt;TEMP_HOURS_CAP),"",$C435+AE$6-MIN(($D435+AE$5),PERMANENT_FIELD_LABOR_HOURS)*PERMANENT_HOURLY_RATE-MAX(0,($D435+AE$5)-PERMANENT_FIELD_LABOR_HOURS)*TEMP_HOURLY_RATE-FIXED_SEASON_COST)</f>
        <v/>
      </c>
      <c r="AF435" s="53" t="str">
        <f aca="false">IF(OR($A435&gt;TOMATO_BED_CAP,$B435&gt;CARROT_BED_CAP,AF$4&gt;MESCLUN_BED_CAP,$A435+$B435+AF$4&gt;TOTAL_BEDS_AVAILABLE,($D435+AF$5)&gt;TOTAL_LABOR_HOURS_CAP,MAX(0,($D435+AF$5)-PERMANENT_FIELD_LABOR_HOURS)&gt;TEMP_HOURS_CAP),"",$C435+AF$6-MIN(($D435+AF$5),PERMANENT_FIELD_LABOR_HOURS)*PERMANENT_HOURLY_RATE-MAX(0,($D435+AF$5)-PERMANENT_FIELD_LABOR_HOURS)*TEMP_HOURLY_RATE-FIXED_SEASON_COST)</f>
        <v/>
      </c>
      <c r="AG435" s="53" t="str">
        <f aca="false">IF(OR($A435&gt;TOMATO_BED_CAP,$B435&gt;CARROT_BED_CAP,AG$4&gt;MESCLUN_BED_CAP,$A435+$B435+AG$4&gt;TOTAL_BEDS_AVAILABLE,($D435+AG$5)&gt;TOTAL_LABOR_HOURS_CAP,MAX(0,($D435+AG$5)-PERMANENT_FIELD_LABOR_HOURS)&gt;TEMP_HOURS_CAP),"",$C435+AG$6-MIN(($D435+AG$5),PERMANENT_FIELD_LABOR_HOURS)*PERMANENT_HOURLY_RATE-MAX(0,($D435+AG$5)-PERMANENT_FIELD_LABOR_HOURS)*TEMP_HOURLY_RATE-FIXED_SEASON_COST)</f>
        <v/>
      </c>
      <c r="AH435" s="53" t="str">
        <f aca="false">IF(OR($A435&gt;TOMATO_BED_CAP,$B435&gt;CARROT_BED_CAP,AH$4&gt;MESCLUN_BED_CAP,$A435+$B435+AH$4&gt;TOTAL_BEDS_AVAILABLE,($D435+AH$5)&gt;TOTAL_LABOR_HOURS_CAP,MAX(0,($D435+AH$5)-PERMANENT_FIELD_LABOR_HOURS)&gt;TEMP_HOURS_CAP),"",$C435+AH$6-MIN(($D435+AH$5),PERMANENT_FIELD_LABOR_HOURS)*PERMANENT_HOURLY_RATE-MAX(0,($D435+AH$5)-PERMANENT_FIELD_LABOR_HOURS)*TEMP_HOURLY_RATE-FIXED_SEASON_COST)</f>
        <v/>
      </c>
      <c r="AI435" s="53" t="str">
        <f aca="false">IF(OR($A435&gt;TOMATO_BED_CAP,$B435&gt;CARROT_BED_CAP,AI$4&gt;MESCLUN_BED_CAP,$A435+$B435+AI$4&gt;TOTAL_BEDS_AVAILABLE,($D435+AI$5)&gt;TOTAL_LABOR_HOURS_CAP,MAX(0,($D435+AI$5)-PERMANENT_FIELD_LABOR_HOURS)&gt;TEMP_HOURS_CAP),"",$C435+AI$6-MIN(($D435+AI$5),PERMANENT_FIELD_LABOR_HOURS)*PERMANENT_HOURLY_RATE-MAX(0,($D435+AI$5)-PERMANENT_FIELD_LABOR_HOURS)*TEMP_HOURLY_RATE-FIXED_SEASON_COST)</f>
        <v/>
      </c>
      <c r="AJ435" s="53" t="str">
        <f aca="false">IF(OR($A435&gt;TOMATO_BED_CAP,$B435&gt;CARROT_BED_CAP,AJ$4&gt;MESCLUN_BED_CAP,$A435+$B435+AJ$4&gt;TOTAL_BEDS_AVAILABLE,($D435+AJ$5)&gt;TOTAL_LABOR_HOURS_CAP,MAX(0,($D435+AJ$5)-PERMANENT_FIELD_LABOR_HOURS)&gt;TEMP_HOURS_CAP),"",$C435+AJ$6-MIN(($D435+AJ$5),PERMANENT_FIELD_LABOR_HOURS)*PERMANENT_HOURLY_RATE-MAX(0,($D435+AJ$5)-PERMANENT_FIELD_LABOR_HOURS)*TEMP_HOURLY_RATE-FIXED_SEASON_COST)</f>
        <v/>
      </c>
    </row>
    <row r="436" customFormat="false" ht="15" hidden="false" customHeight="false" outlineLevel="0" collapsed="false">
      <c r="A436" s="21" t="n">
        <f aca="false">INT((ROW()-ROW($A$8))/(20+1))</f>
        <v>20</v>
      </c>
      <c r="B436" s="21" t="n">
        <f aca="false">MOD(ROW()-ROW($A$8),20+1)</f>
        <v>8</v>
      </c>
      <c r="C436" s="13" t="n">
        <f aca="false">A436*(TOMATO_REVENUE_PER_BED-TOMATO_FERTILIZER_PER_BED)+B436*(CARROT_REVENUE_PER_BED-CARROT_FERTILIZER_PER_BED)</f>
        <v>171632</v>
      </c>
      <c r="D436" s="14" t="n">
        <f aca="false">INDEX(TOMATO_SCHED_LABOR_HRS,A436+1)+INDEX(CARROT_SCHED_LABOR_HRS,B436+1)</f>
        <v>12401.7996375103</v>
      </c>
      <c r="E436" s="13" t="str">
        <f aca="false">IF(COUNT(F436:AJ436)=0,"",MAX(F436:AJ436))</f>
        <v/>
      </c>
      <c r="F436" s="53" t="str">
        <f aca="false">IF(OR($A436&gt;TOMATO_BED_CAP,$B436&gt;CARROT_BED_CAP,F$4&gt;MESCLUN_BED_CAP,$A436+$B436+F$4&gt;TOTAL_BEDS_AVAILABLE,($D436+F$5)&gt;TOTAL_LABOR_HOURS_CAP,MAX(0,($D436+F$5)-PERMANENT_FIELD_LABOR_HOURS)&gt;TEMP_HOURS_CAP),"",$C436+F$6-MIN(($D436+F$5),PERMANENT_FIELD_LABOR_HOURS)*PERMANENT_HOURLY_RATE-MAX(0,($D436+F$5)-PERMANENT_FIELD_LABOR_HOURS)*TEMP_HOURLY_RATE-FIXED_SEASON_COST)</f>
        <v/>
      </c>
      <c r="G436" s="53" t="str">
        <f aca="false">IF(OR($A436&gt;TOMATO_BED_CAP,$B436&gt;CARROT_BED_CAP,G$4&gt;MESCLUN_BED_CAP,$A436+$B436+G$4&gt;TOTAL_BEDS_AVAILABLE,($D436+G$5)&gt;TOTAL_LABOR_HOURS_CAP,MAX(0,($D436+G$5)-PERMANENT_FIELD_LABOR_HOURS)&gt;TEMP_HOURS_CAP),"",$C436+G$6-MIN(($D436+G$5),PERMANENT_FIELD_LABOR_HOURS)*PERMANENT_HOURLY_RATE-MAX(0,($D436+G$5)-PERMANENT_FIELD_LABOR_HOURS)*TEMP_HOURLY_RATE-FIXED_SEASON_COST)</f>
        <v/>
      </c>
      <c r="H436" s="53" t="str">
        <f aca="false">IF(OR($A436&gt;TOMATO_BED_CAP,$B436&gt;CARROT_BED_CAP,H$4&gt;MESCLUN_BED_CAP,$A436+$B436+H$4&gt;TOTAL_BEDS_AVAILABLE,($D436+H$5)&gt;TOTAL_LABOR_HOURS_CAP,MAX(0,($D436+H$5)-PERMANENT_FIELD_LABOR_HOURS)&gt;TEMP_HOURS_CAP),"",$C436+H$6-MIN(($D436+H$5),PERMANENT_FIELD_LABOR_HOURS)*PERMANENT_HOURLY_RATE-MAX(0,($D436+H$5)-PERMANENT_FIELD_LABOR_HOURS)*TEMP_HOURLY_RATE-FIXED_SEASON_COST)</f>
        <v/>
      </c>
      <c r="I436" s="53" t="str">
        <f aca="false">IF(OR($A436&gt;TOMATO_BED_CAP,$B436&gt;CARROT_BED_CAP,I$4&gt;MESCLUN_BED_CAP,$A436+$B436+I$4&gt;TOTAL_BEDS_AVAILABLE,($D436+I$5)&gt;TOTAL_LABOR_HOURS_CAP,MAX(0,($D436+I$5)-PERMANENT_FIELD_LABOR_HOURS)&gt;TEMP_HOURS_CAP),"",$C436+I$6-MIN(($D436+I$5),PERMANENT_FIELD_LABOR_HOURS)*PERMANENT_HOURLY_RATE-MAX(0,($D436+I$5)-PERMANENT_FIELD_LABOR_HOURS)*TEMP_HOURLY_RATE-FIXED_SEASON_COST)</f>
        <v/>
      </c>
      <c r="J436" s="53" t="str">
        <f aca="false">IF(OR($A436&gt;TOMATO_BED_CAP,$B436&gt;CARROT_BED_CAP,J$4&gt;MESCLUN_BED_CAP,$A436+$B436+J$4&gt;TOTAL_BEDS_AVAILABLE,($D436+J$5)&gt;TOTAL_LABOR_HOURS_CAP,MAX(0,($D436+J$5)-PERMANENT_FIELD_LABOR_HOURS)&gt;TEMP_HOURS_CAP),"",$C436+J$6-MIN(($D436+J$5),PERMANENT_FIELD_LABOR_HOURS)*PERMANENT_HOURLY_RATE-MAX(0,($D436+J$5)-PERMANENT_FIELD_LABOR_HOURS)*TEMP_HOURLY_RATE-FIXED_SEASON_COST)</f>
        <v/>
      </c>
      <c r="K436" s="53" t="str">
        <f aca="false">IF(OR($A436&gt;TOMATO_BED_CAP,$B436&gt;CARROT_BED_CAP,K$4&gt;MESCLUN_BED_CAP,$A436+$B436+K$4&gt;TOTAL_BEDS_AVAILABLE,($D436+K$5)&gt;TOTAL_LABOR_HOURS_CAP,MAX(0,($D436+K$5)-PERMANENT_FIELD_LABOR_HOURS)&gt;TEMP_HOURS_CAP),"",$C436+K$6-MIN(($D436+K$5),PERMANENT_FIELD_LABOR_HOURS)*PERMANENT_HOURLY_RATE-MAX(0,($D436+K$5)-PERMANENT_FIELD_LABOR_HOURS)*TEMP_HOURLY_RATE-FIXED_SEASON_COST)</f>
        <v/>
      </c>
      <c r="L436" s="53" t="str">
        <f aca="false">IF(OR($A436&gt;TOMATO_BED_CAP,$B436&gt;CARROT_BED_CAP,L$4&gt;MESCLUN_BED_CAP,$A436+$B436+L$4&gt;TOTAL_BEDS_AVAILABLE,($D436+L$5)&gt;TOTAL_LABOR_HOURS_CAP,MAX(0,($D436+L$5)-PERMANENT_FIELD_LABOR_HOURS)&gt;TEMP_HOURS_CAP),"",$C436+L$6-MIN(($D436+L$5),PERMANENT_FIELD_LABOR_HOURS)*PERMANENT_HOURLY_RATE-MAX(0,($D436+L$5)-PERMANENT_FIELD_LABOR_HOURS)*TEMP_HOURLY_RATE-FIXED_SEASON_COST)</f>
        <v/>
      </c>
      <c r="M436" s="53" t="str">
        <f aca="false">IF(OR($A436&gt;TOMATO_BED_CAP,$B436&gt;CARROT_BED_CAP,M$4&gt;MESCLUN_BED_CAP,$A436+$B436+M$4&gt;TOTAL_BEDS_AVAILABLE,($D436+M$5)&gt;TOTAL_LABOR_HOURS_CAP,MAX(0,($D436+M$5)-PERMANENT_FIELD_LABOR_HOURS)&gt;TEMP_HOURS_CAP),"",$C436+M$6-MIN(($D436+M$5),PERMANENT_FIELD_LABOR_HOURS)*PERMANENT_HOURLY_RATE-MAX(0,($D436+M$5)-PERMANENT_FIELD_LABOR_HOURS)*TEMP_HOURLY_RATE-FIXED_SEASON_COST)</f>
        <v/>
      </c>
      <c r="N436" s="53" t="str">
        <f aca="false">IF(OR($A436&gt;TOMATO_BED_CAP,$B436&gt;CARROT_BED_CAP,N$4&gt;MESCLUN_BED_CAP,$A436+$B436+N$4&gt;TOTAL_BEDS_AVAILABLE,($D436+N$5)&gt;TOTAL_LABOR_HOURS_CAP,MAX(0,($D436+N$5)-PERMANENT_FIELD_LABOR_HOURS)&gt;TEMP_HOURS_CAP),"",$C436+N$6-MIN(($D436+N$5),PERMANENT_FIELD_LABOR_HOURS)*PERMANENT_HOURLY_RATE-MAX(0,($D436+N$5)-PERMANENT_FIELD_LABOR_HOURS)*TEMP_HOURLY_RATE-FIXED_SEASON_COST)</f>
        <v/>
      </c>
      <c r="O436" s="53" t="str">
        <f aca="false">IF(OR($A436&gt;TOMATO_BED_CAP,$B436&gt;CARROT_BED_CAP,O$4&gt;MESCLUN_BED_CAP,$A436+$B436+O$4&gt;TOTAL_BEDS_AVAILABLE,($D436+O$5)&gt;TOTAL_LABOR_HOURS_CAP,MAX(0,($D436+O$5)-PERMANENT_FIELD_LABOR_HOURS)&gt;TEMP_HOURS_CAP),"",$C436+O$6-MIN(($D436+O$5),PERMANENT_FIELD_LABOR_HOURS)*PERMANENT_HOURLY_RATE-MAX(0,($D436+O$5)-PERMANENT_FIELD_LABOR_HOURS)*TEMP_HOURLY_RATE-FIXED_SEASON_COST)</f>
        <v/>
      </c>
      <c r="P436" s="53" t="str">
        <f aca="false">IF(OR($A436&gt;TOMATO_BED_CAP,$B436&gt;CARROT_BED_CAP,P$4&gt;MESCLUN_BED_CAP,$A436+$B436+P$4&gt;TOTAL_BEDS_AVAILABLE,($D436+P$5)&gt;TOTAL_LABOR_HOURS_CAP,MAX(0,($D436+P$5)-PERMANENT_FIELD_LABOR_HOURS)&gt;TEMP_HOURS_CAP),"",$C436+P$6-MIN(($D436+P$5),PERMANENT_FIELD_LABOR_HOURS)*PERMANENT_HOURLY_RATE-MAX(0,($D436+P$5)-PERMANENT_FIELD_LABOR_HOURS)*TEMP_HOURLY_RATE-FIXED_SEASON_COST)</f>
        <v/>
      </c>
      <c r="Q436" s="53" t="str">
        <f aca="false">IF(OR($A436&gt;TOMATO_BED_CAP,$B436&gt;CARROT_BED_CAP,Q$4&gt;MESCLUN_BED_CAP,$A436+$B436+Q$4&gt;TOTAL_BEDS_AVAILABLE,($D436+Q$5)&gt;TOTAL_LABOR_HOURS_CAP,MAX(0,($D436+Q$5)-PERMANENT_FIELD_LABOR_HOURS)&gt;TEMP_HOURS_CAP),"",$C436+Q$6-MIN(($D436+Q$5),PERMANENT_FIELD_LABOR_HOURS)*PERMANENT_HOURLY_RATE-MAX(0,($D436+Q$5)-PERMANENT_FIELD_LABOR_HOURS)*TEMP_HOURLY_RATE-FIXED_SEASON_COST)</f>
        <v/>
      </c>
      <c r="R436" s="53" t="str">
        <f aca="false">IF(OR($A436&gt;TOMATO_BED_CAP,$B436&gt;CARROT_BED_CAP,R$4&gt;MESCLUN_BED_CAP,$A436+$B436+R$4&gt;TOTAL_BEDS_AVAILABLE,($D436+R$5)&gt;TOTAL_LABOR_HOURS_CAP,MAX(0,($D436+R$5)-PERMANENT_FIELD_LABOR_HOURS)&gt;TEMP_HOURS_CAP),"",$C436+R$6-MIN(($D436+R$5),PERMANENT_FIELD_LABOR_HOURS)*PERMANENT_HOURLY_RATE-MAX(0,($D436+R$5)-PERMANENT_FIELD_LABOR_HOURS)*TEMP_HOURLY_RATE-FIXED_SEASON_COST)</f>
        <v/>
      </c>
      <c r="S436" s="53" t="str">
        <f aca="false">IF(OR($A436&gt;TOMATO_BED_CAP,$B436&gt;CARROT_BED_CAP,S$4&gt;MESCLUN_BED_CAP,$A436+$B436+S$4&gt;TOTAL_BEDS_AVAILABLE,($D436+S$5)&gt;TOTAL_LABOR_HOURS_CAP,MAX(0,($D436+S$5)-PERMANENT_FIELD_LABOR_HOURS)&gt;TEMP_HOURS_CAP),"",$C436+S$6-MIN(($D436+S$5),PERMANENT_FIELD_LABOR_HOURS)*PERMANENT_HOURLY_RATE-MAX(0,($D436+S$5)-PERMANENT_FIELD_LABOR_HOURS)*TEMP_HOURLY_RATE-FIXED_SEASON_COST)</f>
        <v/>
      </c>
      <c r="T436" s="53" t="str">
        <f aca="false">IF(OR($A436&gt;TOMATO_BED_CAP,$B436&gt;CARROT_BED_CAP,T$4&gt;MESCLUN_BED_CAP,$A436+$B436+T$4&gt;TOTAL_BEDS_AVAILABLE,($D436+T$5)&gt;TOTAL_LABOR_HOURS_CAP,MAX(0,($D436+T$5)-PERMANENT_FIELD_LABOR_HOURS)&gt;TEMP_HOURS_CAP),"",$C436+T$6-MIN(($D436+T$5),PERMANENT_FIELD_LABOR_HOURS)*PERMANENT_HOURLY_RATE-MAX(0,($D436+T$5)-PERMANENT_FIELD_LABOR_HOURS)*TEMP_HOURLY_RATE-FIXED_SEASON_COST)</f>
        <v/>
      </c>
      <c r="U436" s="53" t="str">
        <f aca="false">IF(OR($A436&gt;TOMATO_BED_CAP,$B436&gt;CARROT_BED_CAP,U$4&gt;MESCLUN_BED_CAP,$A436+$B436+U$4&gt;TOTAL_BEDS_AVAILABLE,($D436+U$5)&gt;TOTAL_LABOR_HOURS_CAP,MAX(0,($D436+U$5)-PERMANENT_FIELD_LABOR_HOURS)&gt;TEMP_HOURS_CAP),"",$C436+U$6-MIN(($D436+U$5),PERMANENT_FIELD_LABOR_HOURS)*PERMANENT_HOURLY_RATE-MAX(0,($D436+U$5)-PERMANENT_FIELD_LABOR_HOURS)*TEMP_HOURLY_RATE-FIXED_SEASON_COST)</f>
        <v/>
      </c>
      <c r="V436" s="53" t="str">
        <f aca="false">IF(OR($A436&gt;TOMATO_BED_CAP,$B436&gt;CARROT_BED_CAP,V$4&gt;MESCLUN_BED_CAP,$A436+$B436+V$4&gt;TOTAL_BEDS_AVAILABLE,($D436+V$5)&gt;TOTAL_LABOR_HOURS_CAP,MAX(0,($D436+V$5)-PERMANENT_FIELD_LABOR_HOURS)&gt;TEMP_HOURS_CAP),"",$C436+V$6-MIN(($D436+V$5),PERMANENT_FIELD_LABOR_HOURS)*PERMANENT_HOURLY_RATE-MAX(0,($D436+V$5)-PERMANENT_FIELD_LABOR_HOURS)*TEMP_HOURLY_RATE-FIXED_SEASON_COST)</f>
        <v/>
      </c>
      <c r="W436" s="53" t="str">
        <f aca="false">IF(OR($A436&gt;TOMATO_BED_CAP,$B436&gt;CARROT_BED_CAP,W$4&gt;MESCLUN_BED_CAP,$A436+$B436+W$4&gt;TOTAL_BEDS_AVAILABLE,($D436+W$5)&gt;TOTAL_LABOR_HOURS_CAP,MAX(0,($D436+W$5)-PERMANENT_FIELD_LABOR_HOURS)&gt;TEMP_HOURS_CAP),"",$C436+W$6-MIN(($D436+W$5),PERMANENT_FIELD_LABOR_HOURS)*PERMANENT_HOURLY_RATE-MAX(0,($D436+W$5)-PERMANENT_FIELD_LABOR_HOURS)*TEMP_HOURLY_RATE-FIXED_SEASON_COST)</f>
        <v/>
      </c>
      <c r="X436" s="53" t="str">
        <f aca="false">IF(OR($A436&gt;TOMATO_BED_CAP,$B436&gt;CARROT_BED_CAP,X$4&gt;MESCLUN_BED_CAP,$A436+$B436+X$4&gt;TOTAL_BEDS_AVAILABLE,($D436+X$5)&gt;TOTAL_LABOR_HOURS_CAP,MAX(0,($D436+X$5)-PERMANENT_FIELD_LABOR_HOURS)&gt;TEMP_HOURS_CAP),"",$C436+X$6-MIN(($D436+X$5),PERMANENT_FIELD_LABOR_HOURS)*PERMANENT_HOURLY_RATE-MAX(0,($D436+X$5)-PERMANENT_FIELD_LABOR_HOURS)*TEMP_HOURLY_RATE-FIXED_SEASON_COST)</f>
        <v/>
      </c>
      <c r="Y436" s="53" t="str">
        <f aca="false">IF(OR($A436&gt;TOMATO_BED_CAP,$B436&gt;CARROT_BED_CAP,Y$4&gt;MESCLUN_BED_CAP,$A436+$B436+Y$4&gt;TOTAL_BEDS_AVAILABLE,($D436+Y$5)&gt;TOTAL_LABOR_HOURS_CAP,MAX(0,($D436+Y$5)-PERMANENT_FIELD_LABOR_HOURS)&gt;TEMP_HOURS_CAP),"",$C436+Y$6-MIN(($D436+Y$5),PERMANENT_FIELD_LABOR_HOURS)*PERMANENT_HOURLY_RATE-MAX(0,($D436+Y$5)-PERMANENT_FIELD_LABOR_HOURS)*TEMP_HOURLY_RATE-FIXED_SEASON_COST)</f>
        <v/>
      </c>
      <c r="Z436" s="53" t="str">
        <f aca="false">IF(OR($A436&gt;TOMATO_BED_CAP,$B436&gt;CARROT_BED_CAP,Z$4&gt;MESCLUN_BED_CAP,$A436+$B436+Z$4&gt;TOTAL_BEDS_AVAILABLE,($D436+Z$5)&gt;TOTAL_LABOR_HOURS_CAP,MAX(0,($D436+Z$5)-PERMANENT_FIELD_LABOR_HOURS)&gt;TEMP_HOURS_CAP),"",$C436+Z$6-MIN(($D436+Z$5),PERMANENT_FIELD_LABOR_HOURS)*PERMANENT_HOURLY_RATE-MAX(0,($D436+Z$5)-PERMANENT_FIELD_LABOR_HOURS)*TEMP_HOURLY_RATE-FIXED_SEASON_COST)</f>
        <v/>
      </c>
      <c r="AA436" s="53" t="str">
        <f aca="false">IF(OR($A436&gt;TOMATO_BED_CAP,$B436&gt;CARROT_BED_CAP,AA$4&gt;MESCLUN_BED_CAP,$A436+$B436+AA$4&gt;TOTAL_BEDS_AVAILABLE,($D436+AA$5)&gt;TOTAL_LABOR_HOURS_CAP,MAX(0,($D436+AA$5)-PERMANENT_FIELD_LABOR_HOURS)&gt;TEMP_HOURS_CAP),"",$C436+AA$6-MIN(($D436+AA$5),PERMANENT_FIELD_LABOR_HOURS)*PERMANENT_HOURLY_RATE-MAX(0,($D436+AA$5)-PERMANENT_FIELD_LABOR_HOURS)*TEMP_HOURLY_RATE-FIXED_SEASON_COST)</f>
        <v/>
      </c>
      <c r="AB436" s="53" t="str">
        <f aca="false">IF(OR($A436&gt;TOMATO_BED_CAP,$B436&gt;CARROT_BED_CAP,AB$4&gt;MESCLUN_BED_CAP,$A436+$B436+AB$4&gt;TOTAL_BEDS_AVAILABLE,($D436+AB$5)&gt;TOTAL_LABOR_HOURS_CAP,MAX(0,($D436+AB$5)-PERMANENT_FIELD_LABOR_HOURS)&gt;TEMP_HOURS_CAP),"",$C436+AB$6-MIN(($D436+AB$5),PERMANENT_FIELD_LABOR_HOURS)*PERMANENT_HOURLY_RATE-MAX(0,($D436+AB$5)-PERMANENT_FIELD_LABOR_HOURS)*TEMP_HOURLY_RATE-FIXED_SEASON_COST)</f>
        <v/>
      </c>
      <c r="AC436" s="53" t="str">
        <f aca="false">IF(OR($A436&gt;TOMATO_BED_CAP,$B436&gt;CARROT_BED_CAP,AC$4&gt;MESCLUN_BED_CAP,$A436+$B436+AC$4&gt;TOTAL_BEDS_AVAILABLE,($D436+AC$5)&gt;TOTAL_LABOR_HOURS_CAP,MAX(0,($D436+AC$5)-PERMANENT_FIELD_LABOR_HOURS)&gt;TEMP_HOURS_CAP),"",$C436+AC$6-MIN(($D436+AC$5),PERMANENT_FIELD_LABOR_HOURS)*PERMANENT_HOURLY_RATE-MAX(0,($D436+AC$5)-PERMANENT_FIELD_LABOR_HOURS)*TEMP_HOURLY_RATE-FIXED_SEASON_COST)</f>
        <v/>
      </c>
      <c r="AD436" s="53" t="str">
        <f aca="false">IF(OR($A436&gt;TOMATO_BED_CAP,$B436&gt;CARROT_BED_CAP,AD$4&gt;MESCLUN_BED_CAP,$A436+$B436+AD$4&gt;TOTAL_BEDS_AVAILABLE,($D436+AD$5)&gt;TOTAL_LABOR_HOURS_CAP,MAX(0,($D436+AD$5)-PERMANENT_FIELD_LABOR_HOURS)&gt;TEMP_HOURS_CAP),"",$C436+AD$6-MIN(($D436+AD$5),PERMANENT_FIELD_LABOR_HOURS)*PERMANENT_HOURLY_RATE-MAX(0,($D436+AD$5)-PERMANENT_FIELD_LABOR_HOURS)*TEMP_HOURLY_RATE-FIXED_SEASON_COST)</f>
        <v/>
      </c>
      <c r="AE436" s="53" t="str">
        <f aca="false">IF(OR($A436&gt;TOMATO_BED_CAP,$B436&gt;CARROT_BED_CAP,AE$4&gt;MESCLUN_BED_CAP,$A436+$B436+AE$4&gt;TOTAL_BEDS_AVAILABLE,($D436+AE$5)&gt;TOTAL_LABOR_HOURS_CAP,MAX(0,($D436+AE$5)-PERMANENT_FIELD_LABOR_HOURS)&gt;TEMP_HOURS_CAP),"",$C436+AE$6-MIN(($D436+AE$5),PERMANENT_FIELD_LABOR_HOURS)*PERMANENT_HOURLY_RATE-MAX(0,($D436+AE$5)-PERMANENT_FIELD_LABOR_HOURS)*TEMP_HOURLY_RATE-FIXED_SEASON_COST)</f>
        <v/>
      </c>
      <c r="AF436" s="53" t="str">
        <f aca="false">IF(OR($A436&gt;TOMATO_BED_CAP,$B436&gt;CARROT_BED_CAP,AF$4&gt;MESCLUN_BED_CAP,$A436+$B436+AF$4&gt;TOTAL_BEDS_AVAILABLE,($D436+AF$5)&gt;TOTAL_LABOR_HOURS_CAP,MAX(0,($D436+AF$5)-PERMANENT_FIELD_LABOR_HOURS)&gt;TEMP_HOURS_CAP),"",$C436+AF$6-MIN(($D436+AF$5),PERMANENT_FIELD_LABOR_HOURS)*PERMANENT_HOURLY_RATE-MAX(0,($D436+AF$5)-PERMANENT_FIELD_LABOR_HOURS)*TEMP_HOURLY_RATE-FIXED_SEASON_COST)</f>
        <v/>
      </c>
      <c r="AG436" s="53" t="str">
        <f aca="false">IF(OR($A436&gt;TOMATO_BED_CAP,$B436&gt;CARROT_BED_CAP,AG$4&gt;MESCLUN_BED_CAP,$A436+$B436+AG$4&gt;TOTAL_BEDS_AVAILABLE,($D436+AG$5)&gt;TOTAL_LABOR_HOURS_CAP,MAX(0,($D436+AG$5)-PERMANENT_FIELD_LABOR_HOURS)&gt;TEMP_HOURS_CAP),"",$C436+AG$6-MIN(($D436+AG$5),PERMANENT_FIELD_LABOR_HOURS)*PERMANENT_HOURLY_RATE-MAX(0,($D436+AG$5)-PERMANENT_FIELD_LABOR_HOURS)*TEMP_HOURLY_RATE-FIXED_SEASON_COST)</f>
        <v/>
      </c>
      <c r="AH436" s="53" t="str">
        <f aca="false">IF(OR($A436&gt;TOMATO_BED_CAP,$B436&gt;CARROT_BED_CAP,AH$4&gt;MESCLUN_BED_CAP,$A436+$B436+AH$4&gt;TOTAL_BEDS_AVAILABLE,($D436+AH$5)&gt;TOTAL_LABOR_HOURS_CAP,MAX(0,($D436+AH$5)-PERMANENT_FIELD_LABOR_HOURS)&gt;TEMP_HOURS_CAP),"",$C436+AH$6-MIN(($D436+AH$5),PERMANENT_FIELD_LABOR_HOURS)*PERMANENT_HOURLY_RATE-MAX(0,($D436+AH$5)-PERMANENT_FIELD_LABOR_HOURS)*TEMP_HOURLY_RATE-FIXED_SEASON_COST)</f>
        <v/>
      </c>
      <c r="AI436" s="53" t="str">
        <f aca="false">IF(OR($A436&gt;TOMATO_BED_CAP,$B436&gt;CARROT_BED_CAP,AI$4&gt;MESCLUN_BED_CAP,$A436+$B436+AI$4&gt;TOTAL_BEDS_AVAILABLE,($D436+AI$5)&gt;TOTAL_LABOR_HOURS_CAP,MAX(0,($D436+AI$5)-PERMANENT_FIELD_LABOR_HOURS)&gt;TEMP_HOURS_CAP),"",$C436+AI$6-MIN(($D436+AI$5),PERMANENT_FIELD_LABOR_HOURS)*PERMANENT_HOURLY_RATE-MAX(0,($D436+AI$5)-PERMANENT_FIELD_LABOR_HOURS)*TEMP_HOURLY_RATE-FIXED_SEASON_COST)</f>
        <v/>
      </c>
      <c r="AJ436" s="53" t="str">
        <f aca="false">IF(OR($A436&gt;TOMATO_BED_CAP,$B436&gt;CARROT_BED_CAP,AJ$4&gt;MESCLUN_BED_CAP,$A436+$B436+AJ$4&gt;TOTAL_BEDS_AVAILABLE,($D436+AJ$5)&gt;TOTAL_LABOR_HOURS_CAP,MAX(0,($D436+AJ$5)-PERMANENT_FIELD_LABOR_HOURS)&gt;TEMP_HOURS_CAP),"",$C436+AJ$6-MIN(($D436+AJ$5),PERMANENT_FIELD_LABOR_HOURS)*PERMANENT_HOURLY_RATE-MAX(0,($D436+AJ$5)-PERMANENT_FIELD_LABOR_HOURS)*TEMP_HOURLY_RATE-FIXED_SEASON_COST)</f>
        <v/>
      </c>
    </row>
    <row r="437" customFormat="false" ht="15" hidden="false" customHeight="false" outlineLevel="0" collapsed="false">
      <c r="A437" s="21" t="n">
        <f aca="false">INT((ROW()-ROW($A$8))/(20+1))</f>
        <v>20</v>
      </c>
      <c r="B437" s="21" t="n">
        <f aca="false">MOD(ROW()-ROW($A$8),20+1)</f>
        <v>9</v>
      </c>
      <c r="C437" s="13" t="n">
        <f aca="false">A437*(TOMATO_REVENUE_PER_BED-TOMATO_FERTILIZER_PER_BED)+B437*(CARROT_REVENUE_PER_BED-CARROT_FERTILIZER_PER_BED)</f>
        <v>173286</v>
      </c>
      <c r="D437" s="14" t="n">
        <f aca="false">INDEX(TOMATO_SCHED_LABOR_HRS,A437+1)+INDEX(CARROT_SCHED_LABOR_HRS,B437+1)</f>
        <v>12446.5580334712</v>
      </c>
      <c r="E437" s="13" t="str">
        <f aca="false">IF(COUNT(F437:AJ437)=0,"",MAX(F437:AJ437))</f>
        <v/>
      </c>
      <c r="F437" s="53" t="str">
        <f aca="false">IF(OR($A437&gt;TOMATO_BED_CAP,$B437&gt;CARROT_BED_CAP,F$4&gt;MESCLUN_BED_CAP,$A437+$B437+F$4&gt;TOTAL_BEDS_AVAILABLE,($D437+F$5)&gt;TOTAL_LABOR_HOURS_CAP,MAX(0,($D437+F$5)-PERMANENT_FIELD_LABOR_HOURS)&gt;TEMP_HOURS_CAP),"",$C437+F$6-MIN(($D437+F$5),PERMANENT_FIELD_LABOR_HOURS)*PERMANENT_HOURLY_RATE-MAX(0,($D437+F$5)-PERMANENT_FIELD_LABOR_HOURS)*TEMP_HOURLY_RATE-FIXED_SEASON_COST)</f>
        <v/>
      </c>
      <c r="G437" s="53" t="str">
        <f aca="false">IF(OR($A437&gt;TOMATO_BED_CAP,$B437&gt;CARROT_BED_CAP,G$4&gt;MESCLUN_BED_CAP,$A437+$B437+G$4&gt;TOTAL_BEDS_AVAILABLE,($D437+G$5)&gt;TOTAL_LABOR_HOURS_CAP,MAX(0,($D437+G$5)-PERMANENT_FIELD_LABOR_HOURS)&gt;TEMP_HOURS_CAP),"",$C437+G$6-MIN(($D437+G$5),PERMANENT_FIELD_LABOR_HOURS)*PERMANENT_HOURLY_RATE-MAX(0,($D437+G$5)-PERMANENT_FIELD_LABOR_HOURS)*TEMP_HOURLY_RATE-FIXED_SEASON_COST)</f>
        <v/>
      </c>
      <c r="H437" s="53" t="str">
        <f aca="false">IF(OR($A437&gt;TOMATO_BED_CAP,$B437&gt;CARROT_BED_CAP,H$4&gt;MESCLUN_BED_CAP,$A437+$B437+H$4&gt;TOTAL_BEDS_AVAILABLE,($D437+H$5)&gt;TOTAL_LABOR_HOURS_CAP,MAX(0,($D437+H$5)-PERMANENT_FIELD_LABOR_HOURS)&gt;TEMP_HOURS_CAP),"",$C437+H$6-MIN(($D437+H$5),PERMANENT_FIELD_LABOR_HOURS)*PERMANENT_HOURLY_RATE-MAX(0,($D437+H$5)-PERMANENT_FIELD_LABOR_HOURS)*TEMP_HOURLY_RATE-FIXED_SEASON_COST)</f>
        <v/>
      </c>
      <c r="I437" s="53" t="str">
        <f aca="false">IF(OR($A437&gt;TOMATO_BED_CAP,$B437&gt;CARROT_BED_CAP,I$4&gt;MESCLUN_BED_CAP,$A437+$B437+I$4&gt;TOTAL_BEDS_AVAILABLE,($D437+I$5)&gt;TOTAL_LABOR_HOURS_CAP,MAX(0,($D437+I$5)-PERMANENT_FIELD_LABOR_HOURS)&gt;TEMP_HOURS_CAP),"",$C437+I$6-MIN(($D437+I$5),PERMANENT_FIELD_LABOR_HOURS)*PERMANENT_HOURLY_RATE-MAX(0,($D437+I$5)-PERMANENT_FIELD_LABOR_HOURS)*TEMP_HOURLY_RATE-FIXED_SEASON_COST)</f>
        <v/>
      </c>
      <c r="J437" s="53" t="str">
        <f aca="false">IF(OR($A437&gt;TOMATO_BED_CAP,$B437&gt;CARROT_BED_CAP,J$4&gt;MESCLUN_BED_CAP,$A437+$B437+J$4&gt;TOTAL_BEDS_AVAILABLE,($D437+J$5)&gt;TOTAL_LABOR_HOURS_CAP,MAX(0,($D437+J$5)-PERMANENT_FIELD_LABOR_HOURS)&gt;TEMP_HOURS_CAP),"",$C437+J$6-MIN(($D437+J$5),PERMANENT_FIELD_LABOR_HOURS)*PERMANENT_HOURLY_RATE-MAX(0,($D437+J$5)-PERMANENT_FIELD_LABOR_HOURS)*TEMP_HOURLY_RATE-FIXED_SEASON_COST)</f>
        <v/>
      </c>
      <c r="K437" s="53" t="str">
        <f aca="false">IF(OR($A437&gt;TOMATO_BED_CAP,$B437&gt;CARROT_BED_CAP,K$4&gt;MESCLUN_BED_CAP,$A437+$B437+K$4&gt;TOTAL_BEDS_AVAILABLE,($D437+K$5)&gt;TOTAL_LABOR_HOURS_CAP,MAX(0,($D437+K$5)-PERMANENT_FIELD_LABOR_HOURS)&gt;TEMP_HOURS_CAP),"",$C437+K$6-MIN(($D437+K$5),PERMANENT_FIELD_LABOR_HOURS)*PERMANENT_HOURLY_RATE-MAX(0,($D437+K$5)-PERMANENT_FIELD_LABOR_HOURS)*TEMP_HOURLY_RATE-FIXED_SEASON_COST)</f>
        <v/>
      </c>
      <c r="L437" s="53" t="str">
        <f aca="false">IF(OR($A437&gt;TOMATO_BED_CAP,$B437&gt;CARROT_BED_CAP,L$4&gt;MESCLUN_BED_CAP,$A437+$B437+L$4&gt;TOTAL_BEDS_AVAILABLE,($D437+L$5)&gt;TOTAL_LABOR_HOURS_CAP,MAX(0,($D437+L$5)-PERMANENT_FIELD_LABOR_HOURS)&gt;TEMP_HOURS_CAP),"",$C437+L$6-MIN(($D437+L$5),PERMANENT_FIELD_LABOR_HOURS)*PERMANENT_HOURLY_RATE-MAX(0,($D437+L$5)-PERMANENT_FIELD_LABOR_HOURS)*TEMP_HOURLY_RATE-FIXED_SEASON_COST)</f>
        <v/>
      </c>
      <c r="M437" s="53" t="str">
        <f aca="false">IF(OR($A437&gt;TOMATO_BED_CAP,$B437&gt;CARROT_BED_CAP,M$4&gt;MESCLUN_BED_CAP,$A437+$B437+M$4&gt;TOTAL_BEDS_AVAILABLE,($D437+M$5)&gt;TOTAL_LABOR_HOURS_CAP,MAX(0,($D437+M$5)-PERMANENT_FIELD_LABOR_HOURS)&gt;TEMP_HOURS_CAP),"",$C437+M$6-MIN(($D437+M$5),PERMANENT_FIELD_LABOR_HOURS)*PERMANENT_HOURLY_RATE-MAX(0,($D437+M$5)-PERMANENT_FIELD_LABOR_HOURS)*TEMP_HOURLY_RATE-FIXED_SEASON_COST)</f>
        <v/>
      </c>
      <c r="N437" s="53" t="str">
        <f aca="false">IF(OR($A437&gt;TOMATO_BED_CAP,$B437&gt;CARROT_BED_CAP,N$4&gt;MESCLUN_BED_CAP,$A437+$B437+N$4&gt;TOTAL_BEDS_AVAILABLE,($D437+N$5)&gt;TOTAL_LABOR_HOURS_CAP,MAX(0,($D437+N$5)-PERMANENT_FIELD_LABOR_HOURS)&gt;TEMP_HOURS_CAP),"",$C437+N$6-MIN(($D437+N$5),PERMANENT_FIELD_LABOR_HOURS)*PERMANENT_HOURLY_RATE-MAX(0,($D437+N$5)-PERMANENT_FIELD_LABOR_HOURS)*TEMP_HOURLY_RATE-FIXED_SEASON_COST)</f>
        <v/>
      </c>
      <c r="O437" s="53" t="str">
        <f aca="false">IF(OR($A437&gt;TOMATO_BED_CAP,$B437&gt;CARROT_BED_CAP,O$4&gt;MESCLUN_BED_CAP,$A437+$B437+O$4&gt;TOTAL_BEDS_AVAILABLE,($D437+O$5)&gt;TOTAL_LABOR_HOURS_CAP,MAX(0,($D437+O$5)-PERMANENT_FIELD_LABOR_HOURS)&gt;TEMP_HOURS_CAP),"",$C437+O$6-MIN(($D437+O$5),PERMANENT_FIELD_LABOR_HOURS)*PERMANENT_HOURLY_RATE-MAX(0,($D437+O$5)-PERMANENT_FIELD_LABOR_HOURS)*TEMP_HOURLY_RATE-FIXED_SEASON_COST)</f>
        <v/>
      </c>
      <c r="P437" s="53" t="str">
        <f aca="false">IF(OR($A437&gt;TOMATO_BED_CAP,$B437&gt;CARROT_BED_CAP,P$4&gt;MESCLUN_BED_CAP,$A437+$B437+P$4&gt;TOTAL_BEDS_AVAILABLE,($D437+P$5)&gt;TOTAL_LABOR_HOURS_CAP,MAX(0,($D437+P$5)-PERMANENT_FIELD_LABOR_HOURS)&gt;TEMP_HOURS_CAP),"",$C437+P$6-MIN(($D437+P$5),PERMANENT_FIELD_LABOR_HOURS)*PERMANENT_HOURLY_RATE-MAX(0,($D437+P$5)-PERMANENT_FIELD_LABOR_HOURS)*TEMP_HOURLY_RATE-FIXED_SEASON_COST)</f>
        <v/>
      </c>
      <c r="Q437" s="53" t="str">
        <f aca="false">IF(OR($A437&gt;TOMATO_BED_CAP,$B437&gt;CARROT_BED_CAP,Q$4&gt;MESCLUN_BED_CAP,$A437+$B437+Q$4&gt;TOTAL_BEDS_AVAILABLE,($D437+Q$5)&gt;TOTAL_LABOR_HOURS_CAP,MAX(0,($D437+Q$5)-PERMANENT_FIELD_LABOR_HOURS)&gt;TEMP_HOURS_CAP),"",$C437+Q$6-MIN(($D437+Q$5),PERMANENT_FIELD_LABOR_HOURS)*PERMANENT_HOURLY_RATE-MAX(0,($D437+Q$5)-PERMANENT_FIELD_LABOR_HOURS)*TEMP_HOURLY_RATE-FIXED_SEASON_COST)</f>
        <v/>
      </c>
      <c r="R437" s="53" t="str">
        <f aca="false">IF(OR($A437&gt;TOMATO_BED_CAP,$B437&gt;CARROT_BED_CAP,R$4&gt;MESCLUN_BED_CAP,$A437+$B437+R$4&gt;TOTAL_BEDS_AVAILABLE,($D437+R$5)&gt;TOTAL_LABOR_HOURS_CAP,MAX(0,($D437+R$5)-PERMANENT_FIELD_LABOR_HOURS)&gt;TEMP_HOURS_CAP),"",$C437+R$6-MIN(($D437+R$5),PERMANENT_FIELD_LABOR_HOURS)*PERMANENT_HOURLY_RATE-MAX(0,($D437+R$5)-PERMANENT_FIELD_LABOR_HOURS)*TEMP_HOURLY_RATE-FIXED_SEASON_COST)</f>
        <v/>
      </c>
      <c r="S437" s="53" t="str">
        <f aca="false">IF(OR($A437&gt;TOMATO_BED_CAP,$B437&gt;CARROT_BED_CAP,S$4&gt;MESCLUN_BED_CAP,$A437+$B437+S$4&gt;TOTAL_BEDS_AVAILABLE,($D437+S$5)&gt;TOTAL_LABOR_HOURS_CAP,MAX(0,($D437+S$5)-PERMANENT_FIELD_LABOR_HOURS)&gt;TEMP_HOURS_CAP),"",$C437+S$6-MIN(($D437+S$5),PERMANENT_FIELD_LABOR_HOURS)*PERMANENT_HOURLY_RATE-MAX(0,($D437+S$5)-PERMANENT_FIELD_LABOR_HOURS)*TEMP_HOURLY_RATE-FIXED_SEASON_COST)</f>
        <v/>
      </c>
      <c r="T437" s="53" t="str">
        <f aca="false">IF(OR($A437&gt;TOMATO_BED_CAP,$B437&gt;CARROT_BED_CAP,T$4&gt;MESCLUN_BED_CAP,$A437+$B437+T$4&gt;TOTAL_BEDS_AVAILABLE,($D437+T$5)&gt;TOTAL_LABOR_HOURS_CAP,MAX(0,($D437+T$5)-PERMANENT_FIELD_LABOR_HOURS)&gt;TEMP_HOURS_CAP),"",$C437+T$6-MIN(($D437+T$5),PERMANENT_FIELD_LABOR_HOURS)*PERMANENT_HOURLY_RATE-MAX(0,($D437+T$5)-PERMANENT_FIELD_LABOR_HOURS)*TEMP_HOURLY_RATE-FIXED_SEASON_COST)</f>
        <v/>
      </c>
      <c r="U437" s="53" t="str">
        <f aca="false">IF(OR($A437&gt;TOMATO_BED_CAP,$B437&gt;CARROT_BED_CAP,U$4&gt;MESCLUN_BED_CAP,$A437+$B437+U$4&gt;TOTAL_BEDS_AVAILABLE,($D437+U$5)&gt;TOTAL_LABOR_HOURS_CAP,MAX(0,($D437+U$5)-PERMANENT_FIELD_LABOR_HOURS)&gt;TEMP_HOURS_CAP),"",$C437+U$6-MIN(($D437+U$5),PERMANENT_FIELD_LABOR_HOURS)*PERMANENT_HOURLY_RATE-MAX(0,($D437+U$5)-PERMANENT_FIELD_LABOR_HOURS)*TEMP_HOURLY_RATE-FIXED_SEASON_COST)</f>
        <v/>
      </c>
      <c r="V437" s="53" t="str">
        <f aca="false">IF(OR($A437&gt;TOMATO_BED_CAP,$B437&gt;CARROT_BED_CAP,V$4&gt;MESCLUN_BED_CAP,$A437+$B437+V$4&gt;TOTAL_BEDS_AVAILABLE,($D437+V$5)&gt;TOTAL_LABOR_HOURS_CAP,MAX(0,($D437+V$5)-PERMANENT_FIELD_LABOR_HOURS)&gt;TEMP_HOURS_CAP),"",$C437+V$6-MIN(($D437+V$5),PERMANENT_FIELD_LABOR_HOURS)*PERMANENT_HOURLY_RATE-MAX(0,($D437+V$5)-PERMANENT_FIELD_LABOR_HOURS)*TEMP_HOURLY_RATE-FIXED_SEASON_COST)</f>
        <v/>
      </c>
      <c r="W437" s="53" t="str">
        <f aca="false">IF(OR($A437&gt;TOMATO_BED_CAP,$B437&gt;CARROT_BED_CAP,W$4&gt;MESCLUN_BED_CAP,$A437+$B437+W$4&gt;TOTAL_BEDS_AVAILABLE,($D437+W$5)&gt;TOTAL_LABOR_HOURS_CAP,MAX(0,($D437+W$5)-PERMANENT_FIELD_LABOR_HOURS)&gt;TEMP_HOURS_CAP),"",$C437+W$6-MIN(($D437+W$5),PERMANENT_FIELD_LABOR_HOURS)*PERMANENT_HOURLY_RATE-MAX(0,($D437+W$5)-PERMANENT_FIELD_LABOR_HOURS)*TEMP_HOURLY_RATE-FIXED_SEASON_COST)</f>
        <v/>
      </c>
      <c r="X437" s="53" t="str">
        <f aca="false">IF(OR($A437&gt;TOMATO_BED_CAP,$B437&gt;CARROT_BED_CAP,X$4&gt;MESCLUN_BED_CAP,$A437+$B437+X$4&gt;TOTAL_BEDS_AVAILABLE,($D437+X$5)&gt;TOTAL_LABOR_HOURS_CAP,MAX(0,($D437+X$5)-PERMANENT_FIELD_LABOR_HOURS)&gt;TEMP_HOURS_CAP),"",$C437+X$6-MIN(($D437+X$5),PERMANENT_FIELD_LABOR_HOURS)*PERMANENT_HOURLY_RATE-MAX(0,($D437+X$5)-PERMANENT_FIELD_LABOR_HOURS)*TEMP_HOURLY_RATE-FIXED_SEASON_COST)</f>
        <v/>
      </c>
      <c r="Y437" s="53" t="str">
        <f aca="false">IF(OR($A437&gt;TOMATO_BED_CAP,$B437&gt;CARROT_BED_CAP,Y$4&gt;MESCLUN_BED_CAP,$A437+$B437+Y$4&gt;TOTAL_BEDS_AVAILABLE,($D437+Y$5)&gt;TOTAL_LABOR_HOURS_CAP,MAX(0,($D437+Y$5)-PERMANENT_FIELD_LABOR_HOURS)&gt;TEMP_HOURS_CAP),"",$C437+Y$6-MIN(($D437+Y$5),PERMANENT_FIELD_LABOR_HOURS)*PERMANENT_HOURLY_RATE-MAX(0,($D437+Y$5)-PERMANENT_FIELD_LABOR_HOURS)*TEMP_HOURLY_RATE-FIXED_SEASON_COST)</f>
        <v/>
      </c>
      <c r="Z437" s="53" t="str">
        <f aca="false">IF(OR($A437&gt;TOMATO_BED_CAP,$B437&gt;CARROT_BED_CAP,Z$4&gt;MESCLUN_BED_CAP,$A437+$B437+Z$4&gt;TOTAL_BEDS_AVAILABLE,($D437+Z$5)&gt;TOTAL_LABOR_HOURS_CAP,MAX(0,($D437+Z$5)-PERMANENT_FIELD_LABOR_HOURS)&gt;TEMP_HOURS_CAP),"",$C437+Z$6-MIN(($D437+Z$5),PERMANENT_FIELD_LABOR_HOURS)*PERMANENT_HOURLY_RATE-MAX(0,($D437+Z$5)-PERMANENT_FIELD_LABOR_HOURS)*TEMP_HOURLY_RATE-FIXED_SEASON_COST)</f>
        <v/>
      </c>
      <c r="AA437" s="53" t="str">
        <f aca="false">IF(OR($A437&gt;TOMATO_BED_CAP,$B437&gt;CARROT_BED_CAP,AA$4&gt;MESCLUN_BED_CAP,$A437+$B437+AA$4&gt;TOTAL_BEDS_AVAILABLE,($D437+AA$5)&gt;TOTAL_LABOR_HOURS_CAP,MAX(0,($D437+AA$5)-PERMANENT_FIELD_LABOR_HOURS)&gt;TEMP_HOURS_CAP),"",$C437+AA$6-MIN(($D437+AA$5),PERMANENT_FIELD_LABOR_HOURS)*PERMANENT_HOURLY_RATE-MAX(0,($D437+AA$5)-PERMANENT_FIELD_LABOR_HOURS)*TEMP_HOURLY_RATE-FIXED_SEASON_COST)</f>
        <v/>
      </c>
      <c r="AB437" s="53" t="str">
        <f aca="false">IF(OR($A437&gt;TOMATO_BED_CAP,$B437&gt;CARROT_BED_CAP,AB$4&gt;MESCLUN_BED_CAP,$A437+$B437+AB$4&gt;TOTAL_BEDS_AVAILABLE,($D437+AB$5)&gt;TOTAL_LABOR_HOURS_CAP,MAX(0,($D437+AB$5)-PERMANENT_FIELD_LABOR_HOURS)&gt;TEMP_HOURS_CAP),"",$C437+AB$6-MIN(($D437+AB$5),PERMANENT_FIELD_LABOR_HOURS)*PERMANENT_HOURLY_RATE-MAX(0,($D437+AB$5)-PERMANENT_FIELD_LABOR_HOURS)*TEMP_HOURLY_RATE-FIXED_SEASON_COST)</f>
        <v/>
      </c>
      <c r="AC437" s="53" t="str">
        <f aca="false">IF(OR($A437&gt;TOMATO_BED_CAP,$B437&gt;CARROT_BED_CAP,AC$4&gt;MESCLUN_BED_CAP,$A437+$B437+AC$4&gt;TOTAL_BEDS_AVAILABLE,($D437+AC$5)&gt;TOTAL_LABOR_HOURS_CAP,MAX(0,($D437+AC$5)-PERMANENT_FIELD_LABOR_HOURS)&gt;TEMP_HOURS_CAP),"",$C437+AC$6-MIN(($D437+AC$5),PERMANENT_FIELD_LABOR_HOURS)*PERMANENT_HOURLY_RATE-MAX(0,($D437+AC$5)-PERMANENT_FIELD_LABOR_HOURS)*TEMP_HOURLY_RATE-FIXED_SEASON_COST)</f>
        <v/>
      </c>
      <c r="AD437" s="53" t="str">
        <f aca="false">IF(OR($A437&gt;TOMATO_BED_CAP,$B437&gt;CARROT_BED_CAP,AD$4&gt;MESCLUN_BED_CAP,$A437+$B437+AD$4&gt;TOTAL_BEDS_AVAILABLE,($D437+AD$5)&gt;TOTAL_LABOR_HOURS_CAP,MAX(0,($D437+AD$5)-PERMANENT_FIELD_LABOR_HOURS)&gt;TEMP_HOURS_CAP),"",$C437+AD$6-MIN(($D437+AD$5),PERMANENT_FIELD_LABOR_HOURS)*PERMANENT_HOURLY_RATE-MAX(0,($D437+AD$5)-PERMANENT_FIELD_LABOR_HOURS)*TEMP_HOURLY_RATE-FIXED_SEASON_COST)</f>
        <v/>
      </c>
      <c r="AE437" s="53" t="str">
        <f aca="false">IF(OR($A437&gt;TOMATO_BED_CAP,$B437&gt;CARROT_BED_CAP,AE$4&gt;MESCLUN_BED_CAP,$A437+$B437+AE$4&gt;TOTAL_BEDS_AVAILABLE,($D437+AE$5)&gt;TOTAL_LABOR_HOURS_CAP,MAX(0,($D437+AE$5)-PERMANENT_FIELD_LABOR_HOURS)&gt;TEMP_HOURS_CAP),"",$C437+AE$6-MIN(($D437+AE$5),PERMANENT_FIELD_LABOR_HOURS)*PERMANENT_HOURLY_RATE-MAX(0,($D437+AE$5)-PERMANENT_FIELD_LABOR_HOURS)*TEMP_HOURLY_RATE-FIXED_SEASON_COST)</f>
        <v/>
      </c>
      <c r="AF437" s="53" t="str">
        <f aca="false">IF(OR($A437&gt;TOMATO_BED_CAP,$B437&gt;CARROT_BED_CAP,AF$4&gt;MESCLUN_BED_CAP,$A437+$B437+AF$4&gt;TOTAL_BEDS_AVAILABLE,($D437+AF$5)&gt;TOTAL_LABOR_HOURS_CAP,MAX(0,($D437+AF$5)-PERMANENT_FIELD_LABOR_HOURS)&gt;TEMP_HOURS_CAP),"",$C437+AF$6-MIN(($D437+AF$5),PERMANENT_FIELD_LABOR_HOURS)*PERMANENT_HOURLY_RATE-MAX(0,($D437+AF$5)-PERMANENT_FIELD_LABOR_HOURS)*TEMP_HOURLY_RATE-FIXED_SEASON_COST)</f>
        <v/>
      </c>
      <c r="AG437" s="53" t="str">
        <f aca="false">IF(OR($A437&gt;TOMATO_BED_CAP,$B437&gt;CARROT_BED_CAP,AG$4&gt;MESCLUN_BED_CAP,$A437+$B437+AG$4&gt;TOTAL_BEDS_AVAILABLE,($D437+AG$5)&gt;TOTAL_LABOR_HOURS_CAP,MAX(0,($D437+AG$5)-PERMANENT_FIELD_LABOR_HOURS)&gt;TEMP_HOURS_CAP),"",$C437+AG$6-MIN(($D437+AG$5),PERMANENT_FIELD_LABOR_HOURS)*PERMANENT_HOURLY_RATE-MAX(0,($D437+AG$5)-PERMANENT_FIELD_LABOR_HOURS)*TEMP_HOURLY_RATE-FIXED_SEASON_COST)</f>
        <v/>
      </c>
      <c r="AH437" s="53" t="str">
        <f aca="false">IF(OR($A437&gt;TOMATO_BED_CAP,$B437&gt;CARROT_BED_CAP,AH$4&gt;MESCLUN_BED_CAP,$A437+$B437+AH$4&gt;TOTAL_BEDS_AVAILABLE,($D437+AH$5)&gt;TOTAL_LABOR_HOURS_CAP,MAX(0,($D437+AH$5)-PERMANENT_FIELD_LABOR_HOURS)&gt;TEMP_HOURS_CAP),"",$C437+AH$6-MIN(($D437+AH$5),PERMANENT_FIELD_LABOR_HOURS)*PERMANENT_HOURLY_RATE-MAX(0,($D437+AH$5)-PERMANENT_FIELD_LABOR_HOURS)*TEMP_HOURLY_RATE-FIXED_SEASON_COST)</f>
        <v/>
      </c>
      <c r="AI437" s="53" t="str">
        <f aca="false">IF(OR($A437&gt;TOMATO_BED_CAP,$B437&gt;CARROT_BED_CAP,AI$4&gt;MESCLUN_BED_CAP,$A437+$B437+AI$4&gt;TOTAL_BEDS_AVAILABLE,($D437+AI$5)&gt;TOTAL_LABOR_HOURS_CAP,MAX(0,($D437+AI$5)-PERMANENT_FIELD_LABOR_HOURS)&gt;TEMP_HOURS_CAP),"",$C437+AI$6-MIN(($D437+AI$5),PERMANENT_FIELD_LABOR_HOURS)*PERMANENT_HOURLY_RATE-MAX(0,($D437+AI$5)-PERMANENT_FIELD_LABOR_HOURS)*TEMP_HOURLY_RATE-FIXED_SEASON_COST)</f>
        <v/>
      </c>
      <c r="AJ437" s="53" t="str">
        <f aca="false">IF(OR($A437&gt;TOMATO_BED_CAP,$B437&gt;CARROT_BED_CAP,AJ$4&gt;MESCLUN_BED_CAP,$A437+$B437+AJ$4&gt;TOTAL_BEDS_AVAILABLE,($D437+AJ$5)&gt;TOTAL_LABOR_HOURS_CAP,MAX(0,($D437+AJ$5)-PERMANENT_FIELD_LABOR_HOURS)&gt;TEMP_HOURS_CAP),"",$C437+AJ$6-MIN(($D437+AJ$5),PERMANENT_FIELD_LABOR_HOURS)*PERMANENT_HOURLY_RATE-MAX(0,($D437+AJ$5)-PERMANENT_FIELD_LABOR_HOURS)*TEMP_HOURLY_RATE-FIXED_SEASON_COST)</f>
        <v/>
      </c>
    </row>
    <row r="438" customFormat="false" ht="15" hidden="false" customHeight="false" outlineLevel="0" collapsed="false">
      <c r="A438" s="21" t="n">
        <f aca="false">INT((ROW()-ROW($A$8))/(20+1))</f>
        <v>20</v>
      </c>
      <c r="B438" s="21" t="n">
        <f aca="false">MOD(ROW()-ROW($A$8),20+1)</f>
        <v>10</v>
      </c>
      <c r="C438" s="13" t="n">
        <f aca="false">A438*(TOMATO_REVENUE_PER_BED-TOMATO_FERTILIZER_PER_BED)+B438*(CARROT_REVENUE_PER_BED-CARROT_FERTILIZER_PER_BED)</f>
        <v>174940</v>
      </c>
      <c r="D438" s="14" t="n">
        <f aca="false">INDEX(TOMATO_SCHED_LABOR_HRS,A438+1)+INDEX(CARROT_SCHED_LABOR_HRS,B438+1)</f>
        <v>12493.3716618997</v>
      </c>
      <c r="E438" s="13" t="str">
        <f aca="false">IF(COUNT(F438:AJ438)=0,"",MAX(F438:AJ438))</f>
        <v/>
      </c>
      <c r="F438" s="53" t="str">
        <f aca="false">IF(OR($A438&gt;TOMATO_BED_CAP,$B438&gt;CARROT_BED_CAP,F$4&gt;MESCLUN_BED_CAP,$A438+$B438+F$4&gt;TOTAL_BEDS_AVAILABLE,($D438+F$5)&gt;TOTAL_LABOR_HOURS_CAP,MAX(0,($D438+F$5)-PERMANENT_FIELD_LABOR_HOURS)&gt;TEMP_HOURS_CAP),"",$C438+F$6-MIN(($D438+F$5),PERMANENT_FIELD_LABOR_HOURS)*PERMANENT_HOURLY_RATE-MAX(0,($D438+F$5)-PERMANENT_FIELD_LABOR_HOURS)*TEMP_HOURLY_RATE-FIXED_SEASON_COST)</f>
        <v/>
      </c>
      <c r="G438" s="53" t="str">
        <f aca="false">IF(OR($A438&gt;TOMATO_BED_CAP,$B438&gt;CARROT_BED_CAP,G$4&gt;MESCLUN_BED_CAP,$A438+$B438+G$4&gt;TOTAL_BEDS_AVAILABLE,($D438+G$5)&gt;TOTAL_LABOR_HOURS_CAP,MAX(0,($D438+G$5)-PERMANENT_FIELD_LABOR_HOURS)&gt;TEMP_HOURS_CAP),"",$C438+G$6-MIN(($D438+G$5),PERMANENT_FIELD_LABOR_HOURS)*PERMANENT_HOURLY_RATE-MAX(0,($D438+G$5)-PERMANENT_FIELD_LABOR_HOURS)*TEMP_HOURLY_RATE-FIXED_SEASON_COST)</f>
        <v/>
      </c>
      <c r="H438" s="53" t="str">
        <f aca="false">IF(OR($A438&gt;TOMATO_BED_CAP,$B438&gt;CARROT_BED_CAP,H$4&gt;MESCLUN_BED_CAP,$A438+$B438+H$4&gt;TOTAL_BEDS_AVAILABLE,($D438+H$5)&gt;TOTAL_LABOR_HOURS_CAP,MAX(0,($D438+H$5)-PERMANENT_FIELD_LABOR_HOURS)&gt;TEMP_HOURS_CAP),"",$C438+H$6-MIN(($D438+H$5),PERMANENT_FIELD_LABOR_HOURS)*PERMANENT_HOURLY_RATE-MAX(0,($D438+H$5)-PERMANENT_FIELD_LABOR_HOURS)*TEMP_HOURLY_RATE-FIXED_SEASON_COST)</f>
        <v/>
      </c>
      <c r="I438" s="53" t="str">
        <f aca="false">IF(OR($A438&gt;TOMATO_BED_CAP,$B438&gt;CARROT_BED_CAP,I$4&gt;MESCLUN_BED_CAP,$A438+$B438+I$4&gt;TOTAL_BEDS_AVAILABLE,($D438+I$5)&gt;TOTAL_LABOR_HOURS_CAP,MAX(0,($D438+I$5)-PERMANENT_FIELD_LABOR_HOURS)&gt;TEMP_HOURS_CAP),"",$C438+I$6-MIN(($D438+I$5),PERMANENT_FIELD_LABOR_HOURS)*PERMANENT_HOURLY_RATE-MAX(0,($D438+I$5)-PERMANENT_FIELD_LABOR_HOURS)*TEMP_HOURLY_RATE-FIXED_SEASON_COST)</f>
        <v/>
      </c>
      <c r="J438" s="53" t="str">
        <f aca="false">IF(OR($A438&gt;TOMATO_BED_CAP,$B438&gt;CARROT_BED_CAP,J$4&gt;MESCLUN_BED_CAP,$A438+$B438+J$4&gt;TOTAL_BEDS_AVAILABLE,($D438+J$5)&gt;TOTAL_LABOR_HOURS_CAP,MAX(0,($D438+J$5)-PERMANENT_FIELD_LABOR_HOURS)&gt;TEMP_HOURS_CAP),"",$C438+J$6-MIN(($D438+J$5),PERMANENT_FIELD_LABOR_HOURS)*PERMANENT_HOURLY_RATE-MAX(0,($D438+J$5)-PERMANENT_FIELD_LABOR_HOURS)*TEMP_HOURLY_RATE-FIXED_SEASON_COST)</f>
        <v/>
      </c>
      <c r="K438" s="53" t="str">
        <f aca="false">IF(OR($A438&gt;TOMATO_BED_CAP,$B438&gt;CARROT_BED_CAP,K$4&gt;MESCLUN_BED_CAP,$A438+$B438+K$4&gt;TOTAL_BEDS_AVAILABLE,($D438+K$5)&gt;TOTAL_LABOR_HOURS_CAP,MAX(0,($D438+K$5)-PERMANENT_FIELD_LABOR_HOURS)&gt;TEMP_HOURS_CAP),"",$C438+K$6-MIN(($D438+K$5),PERMANENT_FIELD_LABOR_HOURS)*PERMANENT_HOURLY_RATE-MAX(0,($D438+K$5)-PERMANENT_FIELD_LABOR_HOURS)*TEMP_HOURLY_RATE-FIXED_SEASON_COST)</f>
        <v/>
      </c>
      <c r="L438" s="53" t="str">
        <f aca="false">IF(OR($A438&gt;TOMATO_BED_CAP,$B438&gt;CARROT_BED_CAP,L$4&gt;MESCLUN_BED_CAP,$A438+$B438+L$4&gt;TOTAL_BEDS_AVAILABLE,($D438+L$5)&gt;TOTAL_LABOR_HOURS_CAP,MAX(0,($D438+L$5)-PERMANENT_FIELD_LABOR_HOURS)&gt;TEMP_HOURS_CAP),"",$C438+L$6-MIN(($D438+L$5),PERMANENT_FIELD_LABOR_HOURS)*PERMANENT_HOURLY_RATE-MAX(0,($D438+L$5)-PERMANENT_FIELD_LABOR_HOURS)*TEMP_HOURLY_RATE-FIXED_SEASON_COST)</f>
        <v/>
      </c>
      <c r="M438" s="53" t="str">
        <f aca="false">IF(OR($A438&gt;TOMATO_BED_CAP,$B438&gt;CARROT_BED_CAP,M$4&gt;MESCLUN_BED_CAP,$A438+$B438+M$4&gt;TOTAL_BEDS_AVAILABLE,($D438+M$5)&gt;TOTAL_LABOR_HOURS_CAP,MAX(0,($D438+M$5)-PERMANENT_FIELD_LABOR_HOURS)&gt;TEMP_HOURS_CAP),"",$C438+M$6-MIN(($D438+M$5),PERMANENT_FIELD_LABOR_HOURS)*PERMANENT_HOURLY_RATE-MAX(0,($D438+M$5)-PERMANENT_FIELD_LABOR_HOURS)*TEMP_HOURLY_RATE-FIXED_SEASON_COST)</f>
        <v/>
      </c>
      <c r="N438" s="53" t="str">
        <f aca="false">IF(OR($A438&gt;TOMATO_BED_CAP,$B438&gt;CARROT_BED_CAP,N$4&gt;MESCLUN_BED_CAP,$A438+$B438+N$4&gt;TOTAL_BEDS_AVAILABLE,($D438+N$5)&gt;TOTAL_LABOR_HOURS_CAP,MAX(0,($D438+N$5)-PERMANENT_FIELD_LABOR_HOURS)&gt;TEMP_HOURS_CAP),"",$C438+N$6-MIN(($D438+N$5),PERMANENT_FIELD_LABOR_HOURS)*PERMANENT_HOURLY_RATE-MAX(0,($D438+N$5)-PERMANENT_FIELD_LABOR_HOURS)*TEMP_HOURLY_RATE-FIXED_SEASON_COST)</f>
        <v/>
      </c>
      <c r="O438" s="53" t="str">
        <f aca="false">IF(OR($A438&gt;TOMATO_BED_CAP,$B438&gt;CARROT_BED_CAP,O$4&gt;MESCLUN_BED_CAP,$A438+$B438+O$4&gt;TOTAL_BEDS_AVAILABLE,($D438+O$5)&gt;TOTAL_LABOR_HOURS_CAP,MAX(0,($D438+O$5)-PERMANENT_FIELD_LABOR_HOURS)&gt;TEMP_HOURS_CAP),"",$C438+O$6-MIN(($D438+O$5),PERMANENT_FIELD_LABOR_HOURS)*PERMANENT_HOURLY_RATE-MAX(0,($D438+O$5)-PERMANENT_FIELD_LABOR_HOURS)*TEMP_HOURLY_RATE-FIXED_SEASON_COST)</f>
        <v/>
      </c>
      <c r="P438" s="53" t="str">
        <f aca="false">IF(OR($A438&gt;TOMATO_BED_CAP,$B438&gt;CARROT_BED_CAP,P$4&gt;MESCLUN_BED_CAP,$A438+$B438+P$4&gt;TOTAL_BEDS_AVAILABLE,($D438+P$5)&gt;TOTAL_LABOR_HOURS_CAP,MAX(0,($D438+P$5)-PERMANENT_FIELD_LABOR_HOURS)&gt;TEMP_HOURS_CAP),"",$C438+P$6-MIN(($D438+P$5),PERMANENT_FIELD_LABOR_HOURS)*PERMANENT_HOURLY_RATE-MAX(0,($D438+P$5)-PERMANENT_FIELD_LABOR_HOURS)*TEMP_HOURLY_RATE-FIXED_SEASON_COST)</f>
        <v/>
      </c>
      <c r="Q438" s="53" t="str">
        <f aca="false">IF(OR($A438&gt;TOMATO_BED_CAP,$B438&gt;CARROT_BED_CAP,Q$4&gt;MESCLUN_BED_CAP,$A438+$B438+Q$4&gt;TOTAL_BEDS_AVAILABLE,($D438+Q$5)&gt;TOTAL_LABOR_HOURS_CAP,MAX(0,($D438+Q$5)-PERMANENT_FIELD_LABOR_HOURS)&gt;TEMP_HOURS_CAP),"",$C438+Q$6-MIN(($D438+Q$5),PERMANENT_FIELD_LABOR_HOURS)*PERMANENT_HOURLY_RATE-MAX(0,($D438+Q$5)-PERMANENT_FIELD_LABOR_HOURS)*TEMP_HOURLY_RATE-FIXED_SEASON_COST)</f>
        <v/>
      </c>
      <c r="R438" s="53" t="str">
        <f aca="false">IF(OR($A438&gt;TOMATO_BED_CAP,$B438&gt;CARROT_BED_CAP,R$4&gt;MESCLUN_BED_CAP,$A438+$B438+R$4&gt;TOTAL_BEDS_AVAILABLE,($D438+R$5)&gt;TOTAL_LABOR_HOURS_CAP,MAX(0,($D438+R$5)-PERMANENT_FIELD_LABOR_HOURS)&gt;TEMP_HOURS_CAP),"",$C438+R$6-MIN(($D438+R$5),PERMANENT_FIELD_LABOR_HOURS)*PERMANENT_HOURLY_RATE-MAX(0,($D438+R$5)-PERMANENT_FIELD_LABOR_HOURS)*TEMP_HOURLY_RATE-FIXED_SEASON_COST)</f>
        <v/>
      </c>
      <c r="S438" s="53" t="str">
        <f aca="false">IF(OR($A438&gt;TOMATO_BED_CAP,$B438&gt;CARROT_BED_CAP,S$4&gt;MESCLUN_BED_CAP,$A438+$B438+S$4&gt;TOTAL_BEDS_AVAILABLE,($D438+S$5)&gt;TOTAL_LABOR_HOURS_CAP,MAX(0,($D438+S$5)-PERMANENT_FIELD_LABOR_HOURS)&gt;TEMP_HOURS_CAP),"",$C438+S$6-MIN(($D438+S$5),PERMANENT_FIELD_LABOR_HOURS)*PERMANENT_HOURLY_RATE-MAX(0,($D438+S$5)-PERMANENT_FIELD_LABOR_HOURS)*TEMP_HOURLY_RATE-FIXED_SEASON_COST)</f>
        <v/>
      </c>
      <c r="T438" s="53" t="str">
        <f aca="false">IF(OR($A438&gt;TOMATO_BED_CAP,$B438&gt;CARROT_BED_CAP,T$4&gt;MESCLUN_BED_CAP,$A438+$B438+T$4&gt;TOTAL_BEDS_AVAILABLE,($D438+T$5)&gt;TOTAL_LABOR_HOURS_CAP,MAX(0,($D438+T$5)-PERMANENT_FIELD_LABOR_HOURS)&gt;TEMP_HOURS_CAP),"",$C438+T$6-MIN(($D438+T$5),PERMANENT_FIELD_LABOR_HOURS)*PERMANENT_HOURLY_RATE-MAX(0,($D438+T$5)-PERMANENT_FIELD_LABOR_HOURS)*TEMP_HOURLY_RATE-FIXED_SEASON_COST)</f>
        <v/>
      </c>
      <c r="U438" s="53" t="str">
        <f aca="false">IF(OR($A438&gt;TOMATO_BED_CAP,$B438&gt;CARROT_BED_CAP,U$4&gt;MESCLUN_BED_CAP,$A438+$B438+U$4&gt;TOTAL_BEDS_AVAILABLE,($D438+U$5)&gt;TOTAL_LABOR_HOURS_CAP,MAX(0,($D438+U$5)-PERMANENT_FIELD_LABOR_HOURS)&gt;TEMP_HOURS_CAP),"",$C438+U$6-MIN(($D438+U$5),PERMANENT_FIELD_LABOR_HOURS)*PERMANENT_HOURLY_RATE-MAX(0,($D438+U$5)-PERMANENT_FIELD_LABOR_HOURS)*TEMP_HOURLY_RATE-FIXED_SEASON_COST)</f>
        <v/>
      </c>
      <c r="V438" s="53" t="str">
        <f aca="false">IF(OR($A438&gt;TOMATO_BED_CAP,$B438&gt;CARROT_BED_CAP,V$4&gt;MESCLUN_BED_CAP,$A438+$B438+V$4&gt;TOTAL_BEDS_AVAILABLE,($D438+V$5)&gt;TOTAL_LABOR_HOURS_CAP,MAX(0,($D438+V$5)-PERMANENT_FIELD_LABOR_HOURS)&gt;TEMP_HOURS_CAP),"",$C438+V$6-MIN(($D438+V$5),PERMANENT_FIELD_LABOR_HOURS)*PERMANENT_HOURLY_RATE-MAX(0,($D438+V$5)-PERMANENT_FIELD_LABOR_HOURS)*TEMP_HOURLY_RATE-FIXED_SEASON_COST)</f>
        <v/>
      </c>
      <c r="W438" s="53" t="str">
        <f aca="false">IF(OR($A438&gt;TOMATO_BED_CAP,$B438&gt;CARROT_BED_CAP,W$4&gt;MESCLUN_BED_CAP,$A438+$B438+W$4&gt;TOTAL_BEDS_AVAILABLE,($D438+W$5)&gt;TOTAL_LABOR_HOURS_CAP,MAX(0,($D438+W$5)-PERMANENT_FIELD_LABOR_HOURS)&gt;TEMP_HOURS_CAP),"",$C438+W$6-MIN(($D438+W$5),PERMANENT_FIELD_LABOR_HOURS)*PERMANENT_HOURLY_RATE-MAX(0,($D438+W$5)-PERMANENT_FIELD_LABOR_HOURS)*TEMP_HOURLY_RATE-FIXED_SEASON_COST)</f>
        <v/>
      </c>
      <c r="X438" s="53" t="str">
        <f aca="false">IF(OR($A438&gt;TOMATO_BED_CAP,$B438&gt;CARROT_BED_CAP,X$4&gt;MESCLUN_BED_CAP,$A438+$B438+X$4&gt;TOTAL_BEDS_AVAILABLE,($D438+X$5)&gt;TOTAL_LABOR_HOURS_CAP,MAX(0,($D438+X$5)-PERMANENT_FIELD_LABOR_HOURS)&gt;TEMP_HOURS_CAP),"",$C438+X$6-MIN(($D438+X$5),PERMANENT_FIELD_LABOR_HOURS)*PERMANENT_HOURLY_RATE-MAX(0,($D438+X$5)-PERMANENT_FIELD_LABOR_HOURS)*TEMP_HOURLY_RATE-FIXED_SEASON_COST)</f>
        <v/>
      </c>
      <c r="Y438" s="53" t="str">
        <f aca="false">IF(OR($A438&gt;TOMATO_BED_CAP,$B438&gt;CARROT_BED_CAP,Y$4&gt;MESCLUN_BED_CAP,$A438+$B438+Y$4&gt;TOTAL_BEDS_AVAILABLE,($D438+Y$5)&gt;TOTAL_LABOR_HOURS_CAP,MAX(0,($D438+Y$5)-PERMANENT_FIELD_LABOR_HOURS)&gt;TEMP_HOURS_CAP),"",$C438+Y$6-MIN(($D438+Y$5),PERMANENT_FIELD_LABOR_HOURS)*PERMANENT_HOURLY_RATE-MAX(0,($D438+Y$5)-PERMANENT_FIELD_LABOR_HOURS)*TEMP_HOURLY_RATE-FIXED_SEASON_COST)</f>
        <v/>
      </c>
      <c r="Z438" s="53" t="str">
        <f aca="false">IF(OR($A438&gt;TOMATO_BED_CAP,$B438&gt;CARROT_BED_CAP,Z$4&gt;MESCLUN_BED_CAP,$A438+$B438+Z$4&gt;TOTAL_BEDS_AVAILABLE,($D438+Z$5)&gt;TOTAL_LABOR_HOURS_CAP,MAX(0,($D438+Z$5)-PERMANENT_FIELD_LABOR_HOURS)&gt;TEMP_HOURS_CAP),"",$C438+Z$6-MIN(($D438+Z$5),PERMANENT_FIELD_LABOR_HOURS)*PERMANENT_HOURLY_RATE-MAX(0,($D438+Z$5)-PERMANENT_FIELD_LABOR_HOURS)*TEMP_HOURLY_RATE-FIXED_SEASON_COST)</f>
        <v/>
      </c>
      <c r="AA438" s="53" t="str">
        <f aca="false">IF(OR($A438&gt;TOMATO_BED_CAP,$B438&gt;CARROT_BED_CAP,AA$4&gt;MESCLUN_BED_CAP,$A438+$B438+AA$4&gt;TOTAL_BEDS_AVAILABLE,($D438+AA$5)&gt;TOTAL_LABOR_HOURS_CAP,MAX(0,($D438+AA$5)-PERMANENT_FIELD_LABOR_HOURS)&gt;TEMP_HOURS_CAP),"",$C438+AA$6-MIN(($D438+AA$5),PERMANENT_FIELD_LABOR_HOURS)*PERMANENT_HOURLY_RATE-MAX(0,($D438+AA$5)-PERMANENT_FIELD_LABOR_HOURS)*TEMP_HOURLY_RATE-FIXED_SEASON_COST)</f>
        <v/>
      </c>
      <c r="AB438" s="53" t="str">
        <f aca="false">IF(OR($A438&gt;TOMATO_BED_CAP,$B438&gt;CARROT_BED_CAP,AB$4&gt;MESCLUN_BED_CAP,$A438+$B438+AB$4&gt;TOTAL_BEDS_AVAILABLE,($D438+AB$5)&gt;TOTAL_LABOR_HOURS_CAP,MAX(0,($D438+AB$5)-PERMANENT_FIELD_LABOR_HOURS)&gt;TEMP_HOURS_CAP),"",$C438+AB$6-MIN(($D438+AB$5),PERMANENT_FIELD_LABOR_HOURS)*PERMANENT_HOURLY_RATE-MAX(0,($D438+AB$5)-PERMANENT_FIELD_LABOR_HOURS)*TEMP_HOURLY_RATE-FIXED_SEASON_COST)</f>
        <v/>
      </c>
      <c r="AC438" s="53" t="str">
        <f aca="false">IF(OR($A438&gt;TOMATO_BED_CAP,$B438&gt;CARROT_BED_CAP,AC$4&gt;MESCLUN_BED_CAP,$A438+$B438+AC$4&gt;TOTAL_BEDS_AVAILABLE,($D438+AC$5)&gt;TOTAL_LABOR_HOURS_CAP,MAX(0,($D438+AC$5)-PERMANENT_FIELD_LABOR_HOURS)&gt;TEMP_HOURS_CAP),"",$C438+AC$6-MIN(($D438+AC$5),PERMANENT_FIELD_LABOR_HOURS)*PERMANENT_HOURLY_RATE-MAX(0,($D438+AC$5)-PERMANENT_FIELD_LABOR_HOURS)*TEMP_HOURLY_RATE-FIXED_SEASON_COST)</f>
        <v/>
      </c>
      <c r="AD438" s="53" t="str">
        <f aca="false">IF(OR($A438&gt;TOMATO_BED_CAP,$B438&gt;CARROT_BED_CAP,AD$4&gt;MESCLUN_BED_CAP,$A438+$B438+AD$4&gt;TOTAL_BEDS_AVAILABLE,($D438+AD$5)&gt;TOTAL_LABOR_HOURS_CAP,MAX(0,($D438+AD$5)-PERMANENT_FIELD_LABOR_HOURS)&gt;TEMP_HOURS_CAP),"",$C438+AD$6-MIN(($D438+AD$5),PERMANENT_FIELD_LABOR_HOURS)*PERMANENT_HOURLY_RATE-MAX(0,($D438+AD$5)-PERMANENT_FIELD_LABOR_HOURS)*TEMP_HOURLY_RATE-FIXED_SEASON_COST)</f>
        <v/>
      </c>
      <c r="AE438" s="53" t="str">
        <f aca="false">IF(OR($A438&gt;TOMATO_BED_CAP,$B438&gt;CARROT_BED_CAP,AE$4&gt;MESCLUN_BED_CAP,$A438+$B438+AE$4&gt;TOTAL_BEDS_AVAILABLE,($D438+AE$5)&gt;TOTAL_LABOR_HOURS_CAP,MAX(0,($D438+AE$5)-PERMANENT_FIELD_LABOR_HOURS)&gt;TEMP_HOURS_CAP),"",$C438+AE$6-MIN(($D438+AE$5),PERMANENT_FIELD_LABOR_HOURS)*PERMANENT_HOURLY_RATE-MAX(0,($D438+AE$5)-PERMANENT_FIELD_LABOR_HOURS)*TEMP_HOURLY_RATE-FIXED_SEASON_COST)</f>
        <v/>
      </c>
      <c r="AF438" s="53" t="str">
        <f aca="false">IF(OR($A438&gt;TOMATO_BED_CAP,$B438&gt;CARROT_BED_CAP,AF$4&gt;MESCLUN_BED_CAP,$A438+$B438+AF$4&gt;TOTAL_BEDS_AVAILABLE,($D438+AF$5)&gt;TOTAL_LABOR_HOURS_CAP,MAX(0,($D438+AF$5)-PERMANENT_FIELD_LABOR_HOURS)&gt;TEMP_HOURS_CAP),"",$C438+AF$6-MIN(($D438+AF$5),PERMANENT_FIELD_LABOR_HOURS)*PERMANENT_HOURLY_RATE-MAX(0,($D438+AF$5)-PERMANENT_FIELD_LABOR_HOURS)*TEMP_HOURLY_RATE-FIXED_SEASON_COST)</f>
        <v/>
      </c>
      <c r="AG438" s="53" t="str">
        <f aca="false">IF(OR($A438&gt;TOMATO_BED_CAP,$B438&gt;CARROT_BED_CAP,AG$4&gt;MESCLUN_BED_CAP,$A438+$B438+AG$4&gt;TOTAL_BEDS_AVAILABLE,($D438+AG$5)&gt;TOTAL_LABOR_HOURS_CAP,MAX(0,($D438+AG$5)-PERMANENT_FIELD_LABOR_HOURS)&gt;TEMP_HOURS_CAP),"",$C438+AG$6-MIN(($D438+AG$5),PERMANENT_FIELD_LABOR_HOURS)*PERMANENT_HOURLY_RATE-MAX(0,($D438+AG$5)-PERMANENT_FIELD_LABOR_HOURS)*TEMP_HOURLY_RATE-FIXED_SEASON_COST)</f>
        <v/>
      </c>
      <c r="AH438" s="53" t="str">
        <f aca="false">IF(OR($A438&gt;TOMATO_BED_CAP,$B438&gt;CARROT_BED_CAP,AH$4&gt;MESCLUN_BED_CAP,$A438+$B438+AH$4&gt;TOTAL_BEDS_AVAILABLE,($D438+AH$5)&gt;TOTAL_LABOR_HOURS_CAP,MAX(0,($D438+AH$5)-PERMANENT_FIELD_LABOR_HOURS)&gt;TEMP_HOURS_CAP),"",$C438+AH$6-MIN(($D438+AH$5),PERMANENT_FIELD_LABOR_HOURS)*PERMANENT_HOURLY_RATE-MAX(0,($D438+AH$5)-PERMANENT_FIELD_LABOR_HOURS)*TEMP_HOURLY_RATE-FIXED_SEASON_COST)</f>
        <v/>
      </c>
      <c r="AI438" s="53" t="str">
        <f aca="false">IF(OR($A438&gt;TOMATO_BED_CAP,$B438&gt;CARROT_BED_CAP,AI$4&gt;MESCLUN_BED_CAP,$A438+$B438+AI$4&gt;TOTAL_BEDS_AVAILABLE,($D438+AI$5)&gt;TOTAL_LABOR_HOURS_CAP,MAX(0,($D438+AI$5)-PERMANENT_FIELD_LABOR_HOURS)&gt;TEMP_HOURS_CAP),"",$C438+AI$6-MIN(($D438+AI$5),PERMANENT_FIELD_LABOR_HOURS)*PERMANENT_HOURLY_RATE-MAX(0,($D438+AI$5)-PERMANENT_FIELD_LABOR_HOURS)*TEMP_HOURLY_RATE-FIXED_SEASON_COST)</f>
        <v/>
      </c>
      <c r="AJ438" s="53" t="str">
        <f aca="false">IF(OR($A438&gt;TOMATO_BED_CAP,$B438&gt;CARROT_BED_CAP,AJ$4&gt;MESCLUN_BED_CAP,$A438+$B438+AJ$4&gt;TOTAL_BEDS_AVAILABLE,($D438+AJ$5)&gt;TOTAL_LABOR_HOURS_CAP,MAX(0,($D438+AJ$5)-PERMANENT_FIELD_LABOR_HOURS)&gt;TEMP_HOURS_CAP),"",$C438+AJ$6-MIN(($D438+AJ$5),PERMANENT_FIELD_LABOR_HOURS)*PERMANENT_HOURLY_RATE-MAX(0,($D438+AJ$5)-PERMANENT_FIELD_LABOR_HOURS)*TEMP_HOURLY_RATE-FIXED_SEASON_COST)</f>
        <v/>
      </c>
    </row>
    <row r="439" customFormat="false" ht="15" hidden="false" customHeight="false" outlineLevel="0" collapsed="false">
      <c r="A439" s="21" t="n">
        <f aca="false">INT((ROW()-ROW($A$8))/(20+1))</f>
        <v>20</v>
      </c>
      <c r="B439" s="21" t="n">
        <f aca="false">MOD(ROW()-ROW($A$8),20+1)</f>
        <v>11</v>
      </c>
      <c r="C439" s="13" t="n">
        <f aca="false">A439*(TOMATO_REVENUE_PER_BED-TOMATO_FERTILIZER_PER_BED)+B439*(CARROT_REVENUE_PER_BED-CARROT_FERTILIZER_PER_BED)</f>
        <v>176594</v>
      </c>
      <c r="D439" s="14" t="n">
        <f aca="false">INDEX(TOMATO_SCHED_LABOR_HRS,A439+1)+INDEX(CARROT_SCHED_LABOR_HRS,B439+1)</f>
        <v>12542.3153104217</v>
      </c>
      <c r="E439" s="13" t="str">
        <f aca="false">IF(COUNT(F439:AJ439)=0,"",MAX(F439:AJ439))</f>
        <v/>
      </c>
      <c r="F439" s="53" t="str">
        <f aca="false">IF(OR($A439&gt;TOMATO_BED_CAP,$B439&gt;CARROT_BED_CAP,F$4&gt;MESCLUN_BED_CAP,$A439+$B439+F$4&gt;TOTAL_BEDS_AVAILABLE,($D439+F$5)&gt;TOTAL_LABOR_HOURS_CAP,MAX(0,($D439+F$5)-PERMANENT_FIELD_LABOR_HOURS)&gt;TEMP_HOURS_CAP),"",$C439+F$6-MIN(($D439+F$5),PERMANENT_FIELD_LABOR_HOURS)*PERMANENT_HOURLY_RATE-MAX(0,($D439+F$5)-PERMANENT_FIELD_LABOR_HOURS)*TEMP_HOURLY_RATE-FIXED_SEASON_COST)</f>
        <v/>
      </c>
      <c r="G439" s="53" t="str">
        <f aca="false">IF(OR($A439&gt;TOMATO_BED_CAP,$B439&gt;CARROT_BED_CAP,G$4&gt;MESCLUN_BED_CAP,$A439+$B439+G$4&gt;TOTAL_BEDS_AVAILABLE,($D439+G$5)&gt;TOTAL_LABOR_HOURS_CAP,MAX(0,($D439+G$5)-PERMANENT_FIELD_LABOR_HOURS)&gt;TEMP_HOURS_CAP),"",$C439+G$6-MIN(($D439+G$5),PERMANENT_FIELD_LABOR_HOURS)*PERMANENT_HOURLY_RATE-MAX(0,($D439+G$5)-PERMANENT_FIELD_LABOR_HOURS)*TEMP_HOURLY_RATE-FIXED_SEASON_COST)</f>
        <v/>
      </c>
      <c r="H439" s="53" t="str">
        <f aca="false">IF(OR($A439&gt;TOMATO_BED_CAP,$B439&gt;CARROT_BED_CAP,H$4&gt;MESCLUN_BED_CAP,$A439+$B439+H$4&gt;TOTAL_BEDS_AVAILABLE,($D439+H$5)&gt;TOTAL_LABOR_HOURS_CAP,MAX(0,($D439+H$5)-PERMANENT_FIELD_LABOR_HOURS)&gt;TEMP_HOURS_CAP),"",$C439+H$6-MIN(($D439+H$5),PERMANENT_FIELD_LABOR_HOURS)*PERMANENT_HOURLY_RATE-MAX(0,($D439+H$5)-PERMANENT_FIELD_LABOR_HOURS)*TEMP_HOURLY_RATE-FIXED_SEASON_COST)</f>
        <v/>
      </c>
      <c r="I439" s="53" t="str">
        <f aca="false">IF(OR($A439&gt;TOMATO_BED_CAP,$B439&gt;CARROT_BED_CAP,I$4&gt;MESCLUN_BED_CAP,$A439+$B439+I$4&gt;TOTAL_BEDS_AVAILABLE,($D439+I$5)&gt;TOTAL_LABOR_HOURS_CAP,MAX(0,($D439+I$5)-PERMANENT_FIELD_LABOR_HOURS)&gt;TEMP_HOURS_CAP),"",$C439+I$6-MIN(($D439+I$5),PERMANENT_FIELD_LABOR_HOURS)*PERMANENT_HOURLY_RATE-MAX(0,($D439+I$5)-PERMANENT_FIELD_LABOR_HOURS)*TEMP_HOURLY_RATE-FIXED_SEASON_COST)</f>
        <v/>
      </c>
      <c r="J439" s="53" t="str">
        <f aca="false">IF(OR($A439&gt;TOMATO_BED_CAP,$B439&gt;CARROT_BED_CAP,J$4&gt;MESCLUN_BED_CAP,$A439+$B439+J$4&gt;TOTAL_BEDS_AVAILABLE,($D439+J$5)&gt;TOTAL_LABOR_HOURS_CAP,MAX(0,($D439+J$5)-PERMANENT_FIELD_LABOR_HOURS)&gt;TEMP_HOURS_CAP),"",$C439+J$6-MIN(($D439+J$5),PERMANENT_FIELD_LABOR_HOURS)*PERMANENT_HOURLY_RATE-MAX(0,($D439+J$5)-PERMANENT_FIELD_LABOR_HOURS)*TEMP_HOURLY_RATE-FIXED_SEASON_COST)</f>
        <v/>
      </c>
      <c r="K439" s="53" t="str">
        <f aca="false">IF(OR($A439&gt;TOMATO_BED_CAP,$B439&gt;CARROT_BED_CAP,K$4&gt;MESCLUN_BED_CAP,$A439+$B439+K$4&gt;TOTAL_BEDS_AVAILABLE,($D439+K$5)&gt;TOTAL_LABOR_HOURS_CAP,MAX(0,($D439+K$5)-PERMANENT_FIELD_LABOR_HOURS)&gt;TEMP_HOURS_CAP),"",$C439+K$6-MIN(($D439+K$5),PERMANENT_FIELD_LABOR_HOURS)*PERMANENT_HOURLY_RATE-MAX(0,($D439+K$5)-PERMANENT_FIELD_LABOR_HOURS)*TEMP_HOURLY_RATE-FIXED_SEASON_COST)</f>
        <v/>
      </c>
      <c r="L439" s="53" t="str">
        <f aca="false">IF(OR($A439&gt;TOMATO_BED_CAP,$B439&gt;CARROT_BED_CAP,L$4&gt;MESCLUN_BED_CAP,$A439+$B439+L$4&gt;TOTAL_BEDS_AVAILABLE,($D439+L$5)&gt;TOTAL_LABOR_HOURS_CAP,MAX(0,($D439+L$5)-PERMANENT_FIELD_LABOR_HOURS)&gt;TEMP_HOURS_CAP),"",$C439+L$6-MIN(($D439+L$5),PERMANENT_FIELD_LABOR_HOURS)*PERMANENT_HOURLY_RATE-MAX(0,($D439+L$5)-PERMANENT_FIELD_LABOR_HOURS)*TEMP_HOURLY_RATE-FIXED_SEASON_COST)</f>
        <v/>
      </c>
      <c r="M439" s="53" t="str">
        <f aca="false">IF(OR($A439&gt;TOMATO_BED_CAP,$B439&gt;CARROT_BED_CAP,M$4&gt;MESCLUN_BED_CAP,$A439+$B439+M$4&gt;TOTAL_BEDS_AVAILABLE,($D439+M$5)&gt;TOTAL_LABOR_HOURS_CAP,MAX(0,($D439+M$5)-PERMANENT_FIELD_LABOR_HOURS)&gt;TEMP_HOURS_CAP),"",$C439+M$6-MIN(($D439+M$5),PERMANENT_FIELD_LABOR_HOURS)*PERMANENT_HOURLY_RATE-MAX(0,($D439+M$5)-PERMANENT_FIELD_LABOR_HOURS)*TEMP_HOURLY_RATE-FIXED_SEASON_COST)</f>
        <v/>
      </c>
      <c r="N439" s="53" t="str">
        <f aca="false">IF(OR($A439&gt;TOMATO_BED_CAP,$B439&gt;CARROT_BED_CAP,N$4&gt;MESCLUN_BED_CAP,$A439+$B439+N$4&gt;TOTAL_BEDS_AVAILABLE,($D439+N$5)&gt;TOTAL_LABOR_HOURS_CAP,MAX(0,($D439+N$5)-PERMANENT_FIELD_LABOR_HOURS)&gt;TEMP_HOURS_CAP),"",$C439+N$6-MIN(($D439+N$5),PERMANENT_FIELD_LABOR_HOURS)*PERMANENT_HOURLY_RATE-MAX(0,($D439+N$5)-PERMANENT_FIELD_LABOR_HOURS)*TEMP_HOURLY_RATE-FIXED_SEASON_COST)</f>
        <v/>
      </c>
      <c r="O439" s="53" t="str">
        <f aca="false">IF(OR($A439&gt;TOMATO_BED_CAP,$B439&gt;CARROT_BED_CAP,O$4&gt;MESCLUN_BED_CAP,$A439+$B439+O$4&gt;TOTAL_BEDS_AVAILABLE,($D439+O$5)&gt;TOTAL_LABOR_HOURS_CAP,MAX(0,($D439+O$5)-PERMANENT_FIELD_LABOR_HOURS)&gt;TEMP_HOURS_CAP),"",$C439+O$6-MIN(($D439+O$5),PERMANENT_FIELD_LABOR_HOURS)*PERMANENT_HOURLY_RATE-MAX(0,($D439+O$5)-PERMANENT_FIELD_LABOR_HOURS)*TEMP_HOURLY_RATE-FIXED_SEASON_COST)</f>
        <v/>
      </c>
      <c r="P439" s="53" t="str">
        <f aca="false">IF(OR($A439&gt;TOMATO_BED_CAP,$B439&gt;CARROT_BED_CAP,P$4&gt;MESCLUN_BED_CAP,$A439+$B439+P$4&gt;TOTAL_BEDS_AVAILABLE,($D439+P$5)&gt;TOTAL_LABOR_HOURS_CAP,MAX(0,($D439+P$5)-PERMANENT_FIELD_LABOR_HOURS)&gt;TEMP_HOURS_CAP),"",$C439+P$6-MIN(($D439+P$5),PERMANENT_FIELD_LABOR_HOURS)*PERMANENT_HOURLY_RATE-MAX(0,($D439+P$5)-PERMANENT_FIELD_LABOR_HOURS)*TEMP_HOURLY_RATE-FIXED_SEASON_COST)</f>
        <v/>
      </c>
      <c r="Q439" s="53" t="str">
        <f aca="false">IF(OR($A439&gt;TOMATO_BED_CAP,$B439&gt;CARROT_BED_CAP,Q$4&gt;MESCLUN_BED_CAP,$A439+$B439+Q$4&gt;TOTAL_BEDS_AVAILABLE,($D439+Q$5)&gt;TOTAL_LABOR_HOURS_CAP,MAX(0,($D439+Q$5)-PERMANENT_FIELD_LABOR_HOURS)&gt;TEMP_HOURS_CAP),"",$C439+Q$6-MIN(($D439+Q$5),PERMANENT_FIELD_LABOR_HOURS)*PERMANENT_HOURLY_RATE-MAX(0,($D439+Q$5)-PERMANENT_FIELD_LABOR_HOURS)*TEMP_HOURLY_RATE-FIXED_SEASON_COST)</f>
        <v/>
      </c>
      <c r="R439" s="53" t="str">
        <f aca="false">IF(OR($A439&gt;TOMATO_BED_CAP,$B439&gt;CARROT_BED_CAP,R$4&gt;MESCLUN_BED_CAP,$A439+$B439+R$4&gt;TOTAL_BEDS_AVAILABLE,($D439+R$5)&gt;TOTAL_LABOR_HOURS_CAP,MAX(0,($D439+R$5)-PERMANENT_FIELD_LABOR_HOURS)&gt;TEMP_HOURS_CAP),"",$C439+R$6-MIN(($D439+R$5),PERMANENT_FIELD_LABOR_HOURS)*PERMANENT_HOURLY_RATE-MAX(0,($D439+R$5)-PERMANENT_FIELD_LABOR_HOURS)*TEMP_HOURLY_RATE-FIXED_SEASON_COST)</f>
        <v/>
      </c>
      <c r="S439" s="53" t="str">
        <f aca="false">IF(OR($A439&gt;TOMATO_BED_CAP,$B439&gt;CARROT_BED_CAP,S$4&gt;MESCLUN_BED_CAP,$A439+$B439+S$4&gt;TOTAL_BEDS_AVAILABLE,($D439+S$5)&gt;TOTAL_LABOR_HOURS_CAP,MAX(0,($D439+S$5)-PERMANENT_FIELD_LABOR_HOURS)&gt;TEMP_HOURS_CAP),"",$C439+S$6-MIN(($D439+S$5),PERMANENT_FIELD_LABOR_HOURS)*PERMANENT_HOURLY_RATE-MAX(0,($D439+S$5)-PERMANENT_FIELD_LABOR_HOURS)*TEMP_HOURLY_RATE-FIXED_SEASON_COST)</f>
        <v/>
      </c>
      <c r="T439" s="53" t="str">
        <f aca="false">IF(OR($A439&gt;TOMATO_BED_CAP,$B439&gt;CARROT_BED_CAP,T$4&gt;MESCLUN_BED_CAP,$A439+$B439+T$4&gt;TOTAL_BEDS_AVAILABLE,($D439+T$5)&gt;TOTAL_LABOR_HOURS_CAP,MAX(0,($D439+T$5)-PERMANENT_FIELD_LABOR_HOURS)&gt;TEMP_HOURS_CAP),"",$C439+T$6-MIN(($D439+T$5),PERMANENT_FIELD_LABOR_HOURS)*PERMANENT_HOURLY_RATE-MAX(0,($D439+T$5)-PERMANENT_FIELD_LABOR_HOURS)*TEMP_HOURLY_RATE-FIXED_SEASON_COST)</f>
        <v/>
      </c>
      <c r="U439" s="53" t="str">
        <f aca="false">IF(OR($A439&gt;TOMATO_BED_CAP,$B439&gt;CARROT_BED_CAP,U$4&gt;MESCLUN_BED_CAP,$A439+$B439+U$4&gt;TOTAL_BEDS_AVAILABLE,($D439+U$5)&gt;TOTAL_LABOR_HOURS_CAP,MAX(0,($D439+U$5)-PERMANENT_FIELD_LABOR_HOURS)&gt;TEMP_HOURS_CAP),"",$C439+U$6-MIN(($D439+U$5),PERMANENT_FIELD_LABOR_HOURS)*PERMANENT_HOURLY_RATE-MAX(0,($D439+U$5)-PERMANENT_FIELD_LABOR_HOURS)*TEMP_HOURLY_RATE-FIXED_SEASON_COST)</f>
        <v/>
      </c>
      <c r="V439" s="53" t="str">
        <f aca="false">IF(OR($A439&gt;TOMATO_BED_CAP,$B439&gt;CARROT_BED_CAP,V$4&gt;MESCLUN_BED_CAP,$A439+$B439+V$4&gt;TOTAL_BEDS_AVAILABLE,($D439+V$5)&gt;TOTAL_LABOR_HOURS_CAP,MAX(0,($D439+V$5)-PERMANENT_FIELD_LABOR_HOURS)&gt;TEMP_HOURS_CAP),"",$C439+V$6-MIN(($D439+V$5),PERMANENT_FIELD_LABOR_HOURS)*PERMANENT_HOURLY_RATE-MAX(0,($D439+V$5)-PERMANENT_FIELD_LABOR_HOURS)*TEMP_HOURLY_RATE-FIXED_SEASON_COST)</f>
        <v/>
      </c>
      <c r="W439" s="53" t="str">
        <f aca="false">IF(OR($A439&gt;TOMATO_BED_CAP,$B439&gt;CARROT_BED_CAP,W$4&gt;MESCLUN_BED_CAP,$A439+$B439+W$4&gt;TOTAL_BEDS_AVAILABLE,($D439+W$5)&gt;TOTAL_LABOR_HOURS_CAP,MAX(0,($D439+W$5)-PERMANENT_FIELD_LABOR_HOURS)&gt;TEMP_HOURS_CAP),"",$C439+W$6-MIN(($D439+W$5),PERMANENT_FIELD_LABOR_HOURS)*PERMANENT_HOURLY_RATE-MAX(0,($D439+W$5)-PERMANENT_FIELD_LABOR_HOURS)*TEMP_HOURLY_RATE-FIXED_SEASON_COST)</f>
        <v/>
      </c>
      <c r="X439" s="53" t="str">
        <f aca="false">IF(OR($A439&gt;TOMATO_BED_CAP,$B439&gt;CARROT_BED_CAP,X$4&gt;MESCLUN_BED_CAP,$A439+$B439+X$4&gt;TOTAL_BEDS_AVAILABLE,($D439+X$5)&gt;TOTAL_LABOR_HOURS_CAP,MAX(0,($D439+X$5)-PERMANENT_FIELD_LABOR_HOURS)&gt;TEMP_HOURS_CAP),"",$C439+X$6-MIN(($D439+X$5),PERMANENT_FIELD_LABOR_HOURS)*PERMANENT_HOURLY_RATE-MAX(0,($D439+X$5)-PERMANENT_FIELD_LABOR_HOURS)*TEMP_HOURLY_RATE-FIXED_SEASON_COST)</f>
        <v/>
      </c>
      <c r="Y439" s="53" t="str">
        <f aca="false">IF(OR($A439&gt;TOMATO_BED_CAP,$B439&gt;CARROT_BED_CAP,Y$4&gt;MESCLUN_BED_CAP,$A439+$B439+Y$4&gt;TOTAL_BEDS_AVAILABLE,($D439+Y$5)&gt;TOTAL_LABOR_HOURS_CAP,MAX(0,($D439+Y$5)-PERMANENT_FIELD_LABOR_HOURS)&gt;TEMP_HOURS_CAP),"",$C439+Y$6-MIN(($D439+Y$5),PERMANENT_FIELD_LABOR_HOURS)*PERMANENT_HOURLY_RATE-MAX(0,($D439+Y$5)-PERMANENT_FIELD_LABOR_HOURS)*TEMP_HOURLY_RATE-FIXED_SEASON_COST)</f>
        <v/>
      </c>
      <c r="Z439" s="53" t="str">
        <f aca="false">IF(OR($A439&gt;TOMATO_BED_CAP,$B439&gt;CARROT_BED_CAP,Z$4&gt;MESCLUN_BED_CAP,$A439+$B439+Z$4&gt;TOTAL_BEDS_AVAILABLE,($D439+Z$5)&gt;TOTAL_LABOR_HOURS_CAP,MAX(0,($D439+Z$5)-PERMANENT_FIELD_LABOR_HOURS)&gt;TEMP_HOURS_CAP),"",$C439+Z$6-MIN(($D439+Z$5),PERMANENT_FIELD_LABOR_HOURS)*PERMANENT_HOURLY_RATE-MAX(0,($D439+Z$5)-PERMANENT_FIELD_LABOR_HOURS)*TEMP_HOURLY_RATE-FIXED_SEASON_COST)</f>
        <v/>
      </c>
      <c r="AA439" s="53" t="str">
        <f aca="false">IF(OR($A439&gt;TOMATO_BED_CAP,$B439&gt;CARROT_BED_CAP,AA$4&gt;MESCLUN_BED_CAP,$A439+$B439+AA$4&gt;TOTAL_BEDS_AVAILABLE,($D439+AA$5)&gt;TOTAL_LABOR_HOURS_CAP,MAX(0,($D439+AA$5)-PERMANENT_FIELD_LABOR_HOURS)&gt;TEMP_HOURS_CAP),"",$C439+AA$6-MIN(($D439+AA$5),PERMANENT_FIELD_LABOR_HOURS)*PERMANENT_HOURLY_RATE-MAX(0,($D439+AA$5)-PERMANENT_FIELD_LABOR_HOURS)*TEMP_HOURLY_RATE-FIXED_SEASON_COST)</f>
        <v/>
      </c>
      <c r="AB439" s="53" t="str">
        <f aca="false">IF(OR($A439&gt;TOMATO_BED_CAP,$B439&gt;CARROT_BED_CAP,AB$4&gt;MESCLUN_BED_CAP,$A439+$B439+AB$4&gt;TOTAL_BEDS_AVAILABLE,($D439+AB$5)&gt;TOTAL_LABOR_HOURS_CAP,MAX(0,($D439+AB$5)-PERMANENT_FIELD_LABOR_HOURS)&gt;TEMP_HOURS_CAP),"",$C439+AB$6-MIN(($D439+AB$5),PERMANENT_FIELD_LABOR_HOURS)*PERMANENT_HOURLY_RATE-MAX(0,($D439+AB$5)-PERMANENT_FIELD_LABOR_HOURS)*TEMP_HOURLY_RATE-FIXED_SEASON_COST)</f>
        <v/>
      </c>
      <c r="AC439" s="53" t="str">
        <f aca="false">IF(OR($A439&gt;TOMATO_BED_CAP,$B439&gt;CARROT_BED_CAP,AC$4&gt;MESCLUN_BED_CAP,$A439+$B439+AC$4&gt;TOTAL_BEDS_AVAILABLE,($D439+AC$5)&gt;TOTAL_LABOR_HOURS_CAP,MAX(0,($D439+AC$5)-PERMANENT_FIELD_LABOR_HOURS)&gt;TEMP_HOURS_CAP),"",$C439+AC$6-MIN(($D439+AC$5),PERMANENT_FIELD_LABOR_HOURS)*PERMANENT_HOURLY_RATE-MAX(0,($D439+AC$5)-PERMANENT_FIELD_LABOR_HOURS)*TEMP_HOURLY_RATE-FIXED_SEASON_COST)</f>
        <v/>
      </c>
      <c r="AD439" s="53" t="str">
        <f aca="false">IF(OR($A439&gt;TOMATO_BED_CAP,$B439&gt;CARROT_BED_CAP,AD$4&gt;MESCLUN_BED_CAP,$A439+$B439+AD$4&gt;TOTAL_BEDS_AVAILABLE,($D439+AD$5)&gt;TOTAL_LABOR_HOURS_CAP,MAX(0,($D439+AD$5)-PERMANENT_FIELD_LABOR_HOURS)&gt;TEMP_HOURS_CAP),"",$C439+AD$6-MIN(($D439+AD$5),PERMANENT_FIELD_LABOR_HOURS)*PERMANENT_HOURLY_RATE-MAX(0,($D439+AD$5)-PERMANENT_FIELD_LABOR_HOURS)*TEMP_HOURLY_RATE-FIXED_SEASON_COST)</f>
        <v/>
      </c>
      <c r="AE439" s="53" t="str">
        <f aca="false">IF(OR($A439&gt;TOMATO_BED_CAP,$B439&gt;CARROT_BED_CAP,AE$4&gt;MESCLUN_BED_CAP,$A439+$B439+AE$4&gt;TOTAL_BEDS_AVAILABLE,($D439+AE$5)&gt;TOTAL_LABOR_HOURS_CAP,MAX(0,($D439+AE$5)-PERMANENT_FIELD_LABOR_HOURS)&gt;TEMP_HOURS_CAP),"",$C439+AE$6-MIN(($D439+AE$5),PERMANENT_FIELD_LABOR_HOURS)*PERMANENT_HOURLY_RATE-MAX(0,($D439+AE$5)-PERMANENT_FIELD_LABOR_HOURS)*TEMP_HOURLY_RATE-FIXED_SEASON_COST)</f>
        <v/>
      </c>
      <c r="AF439" s="53" t="str">
        <f aca="false">IF(OR($A439&gt;TOMATO_BED_CAP,$B439&gt;CARROT_BED_CAP,AF$4&gt;MESCLUN_BED_CAP,$A439+$B439+AF$4&gt;TOTAL_BEDS_AVAILABLE,($D439+AF$5)&gt;TOTAL_LABOR_HOURS_CAP,MAX(0,($D439+AF$5)-PERMANENT_FIELD_LABOR_HOURS)&gt;TEMP_HOURS_CAP),"",$C439+AF$6-MIN(($D439+AF$5),PERMANENT_FIELD_LABOR_HOURS)*PERMANENT_HOURLY_RATE-MAX(0,($D439+AF$5)-PERMANENT_FIELD_LABOR_HOURS)*TEMP_HOURLY_RATE-FIXED_SEASON_COST)</f>
        <v/>
      </c>
      <c r="AG439" s="53" t="str">
        <f aca="false">IF(OR($A439&gt;TOMATO_BED_CAP,$B439&gt;CARROT_BED_CAP,AG$4&gt;MESCLUN_BED_CAP,$A439+$B439+AG$4&gt;TOTAL_BEDS_AVAILABLE,($D439+AG$5)&gt;TOTAL_LABOR_HOURS_CAP,MAX(0,($D439+AG$5)-PERMANENT_FIELD_LABOR_HOURS)&gt;TEMP_HOURS_CAP),"",$C439+AG$6-MIN(($D439+AG$5),PERMANENT_FIELD_LABOR_HOURS)*PERMANENT_HOURLY_RATE-MAX(0,($D439+AG$5)-PERMANENT_FIELD_LABOR_HOURS)*TEMP_HOURLY_RATE-FIXED_SEASON_COST)</f>
        <v/>
      </c>
      <c r="AH439" s="53" t="str">
        <f aca="false">IF(OR($A439&gt;TOMATO_BED_CAP,$B439&gt;CARROT_BED_CAP,AH$4&gt;MESCLUN_BED_CAP,$A439+$B439+AH$4&gt;TOTAL_BEDS_AVAILABLE,($D439+AH$5)&gt;TOTAL_LABOR_HOURS_CAP,MAX(0,($D439+AH$5)-PERMANENT_FIELD_LABOR_HOURS)&gt;TEMP_HOURS_CAP),"",$C439+AH$6-MIN(($D439+AH$5),PERMANENT_FIELD_LABOR_HOURS)*PERMANENT_HOURLY_RATE-MAX(0,($D439+AH$5)-PERMANENT_FIELD_LABOR_HOURS)*TEMP_HOURLY_RATE-FIXED_SEASON_COST)</f>
        <v/>
      </c>
      <c r="AI439" s="53" t="str">
        <f aca="false">IF(OR($A439&gt;TOMATO_BED_CAP,$B439&gt;CARROT_BED_CAP,AI$4&gt;MESCLUN_BED_CAP,$A439+$B439+AI$4&gt;TOTAL_BEDS_AVAILABLE,($D439+AI$5)&gt;TOTAL_LABOR_HOURS_CAP,MAX(0,($D439+AI$5)-PERMANENT_FIELD_LABOR_HOURS)&gt;TEMP_HOURS_CAP),"",$C439+AI$6-MIN(($D439+AI$5),PERMANENT_FIELD_LABOR_HOURS)*PERMANENT_HOURLY_RATE-MAX(0,($D439+AI$5)-PERMANENT_FIELD_LABOR_HOURS)*TEMP_HOURLY_RATE-FIXED_SEASON_COST)</f>
        <v/>
      </c>
      <c r="AJ439" s="53" t="str">
        <f aca="false">IF(OR($A439&gt;TOMATO_BED_CAP,$B439&gt;CARROT_BED_CAP,AJ$4&gt;MESCLUN_BED_CAP,$A439+$B439+AJ$4&gt;TOTAL_BEDS_AVAILABLE,($D439+AJ$5)&gt;TOTAL_LABOR_HOURS_CAP,MAX(0,($D439+AJ$5)-PERMANENT_FIELD_LABOR_HOURS)&gt;TEMP_HOURS_CAP),"",$C439+AJ$6-MIN(($D439+AJ$5),PERMANENT_FIELD_LABOR_HOURS)*PERMANENT_HOURLY_RATE-MAX(0,($D439+AJ$5)-PERMANENT_FIELD_LABOR_HOURS)*TEMP_HOURLY_RATE-FIXED_SEASON_COST)</f>
        <v/>
      </c>
    </row>
    <row r="440" customFormat="false" ht="15" hidden="false" customHeight="false" outlineLevel="0" collapsed="false">
      <c r="A440" s="21" t="n">
        <f aca="false">INT((ROW()-ROW($A$8))/(20+1))</f>
        <v>20</v>
      </c>
      <c r="B440" s="21" t="n">
        <f aca="false">MOD(ROW()-ROW($A$8),20+1)</f>
        <v>12</v>
      </c>
      <c r="C440" s="13" t="n">
        <f aca="false">A440*(TOMATO_REVENUE_PER_BED-TOMATO_FERTILIZER_PER_BED)+B440*(CARROT_REVENUE_PER_BED-CARROT_FERTILIZER_PER_BED)</f>
        <v>178248</v>
      </c>
      <c r="D440" s="14" t="n">
        <f aca="false">INDEX(TOMATO_SCHED_LABOR_HRS,A440+1)+INDEX(CARROT_SCHED_LABOR_HRS,B440+1)</f>
        <v>12593.4662215241</v>
      </c>
      <c r="E440" s="13" t="str">
        <f aca="false">IF(COUNT(F440:AJ440)=0,"",MAX(F440:AJ440))</f>
        <v/>
      </c>
      <c r="F440" s="53" t="str">
        <f aca="false">IF(OR($A440&gt;TOMATO_BED_CAP,$B440&gt;CARROT_BED_CAP,F$4&gt;MESCLUN_BED_CAP,$A440+$B440+F$4&gt;TOTAL_BEDS_AVAILABLE,($D440+F$5)&gt;TOTAL_LABOR_HOURS_CAP,MAX(0,($D440+F$5)-PERMANENT_FIELD_LABOR_HOURS)&gt;TEMP_HOURS_CAP),"",$C440+F$6-MIN(($D440+F$5),PERMANENT_FIELD_LABOR_HOURS)*PERMANENT_HOURLY_RATE-MAX(0,($D440+F$5)-PERMANENT_FIELD_LABOR_HOURS)*TEMP_HOURLY_RATE-FIXED_SEASON_COST)</f>
        <v/>
      </c>
      <c r="G440" s="53" t="str">
        <f aca="false">IF(OR($A440&gt;TOMATO_BED_CAP,$B440&gt;CARROT_BED_CAP,G$4&gt;MESCLUN_BED_CAP,$A440+$B440+G$4&gt;TOTAL_BEDS_AVAILABLE,($D440+G$5)&gt;TOTAL_LABOR_HOURS_CAP,MAX(0,($D440+G$5)-PERMANENT_FIELD_LABOR_HOURS)&gt;TEMP_HOURS_CAP),"",$C440+G$6-MIN(($D440+G$5),PERMANENT_FIELD_LABOR_HOURS)*PERMANENT_HOURLY_RATE-MAX(0,($D440+G$5)-PERMANENT_FIELD_LABOR_HOURS)*TEMP_HOURLY_RATE-FIXED_SEASON_COST)</f>
        <v/>
      </c>
      <c r="H440" s="53" t="str">
        <f aca="false">IF(OR($A440&gt;TOMATO_BED_CAP,$B440&gt;CARROT_BED_CAP,H$4&gt;MESCLUN_BED_CAP,$A440+$B440+H$4&gt;TOTAL_BEDS_AVAILABLE,($D440+H$5)&gt;TOTAL_LABOR_HOURS_CAP,MAX(0,($D440+H$5)-PERMANENT_FIELD_LABOR_HOURS)&gt;TEMP_HOURS_CAP),"",$C440+H$6-MIN(($D440+H$5),PERMANENT_FIELD_LABOR_HOURS)*PERMANENT_HOURLY_RATE-MAX(0,($D440+H$5)-PERMANENT_FIELD_LABOR_HOURS)*TEMP_HOURLY_RATE-FIXED_SEASON_COST)</f>
        <v/>
      </c>
      <c r="I440" s="53" t="str">
        <f aca="false">IF(OR($A440&gt;TOMATO_BED_CAP,$B440&gt;CARROT_BED_CAP,I$4&gt;MESCLUN_BED_CAP,$A440+$B440+I$4&gt;TOTAL_BEDS_AVAILABLE,($D440+I$5)&gt;TOTAL_LABOR_HOURS_CAP,MAX(0,($D440+I$5)-PERMANENT_FIELD_LABOR_HOURS)&gt;TEMP_HOURS_CAP),"",$C440+I$6-MIN(($D440+I$5),PERMANENT_FIELD_LABOR_HOURS)*PERMANENT_HOURLY_RATE-MAX(0,($D440+I$5)-PERMANENT_FIELD_LABOR_HOURS)*TEMP_HOURLY_RATE-FIXED_SEASON_COST)</f>
        <v/>
      </c>
      <c r="J440" s="53" t="str">
        <f aca="false">IF(OR($A440&gt;TOMATO_BED_CAP,$B440&gt;CARROT_BED_CAP,J$4&gt;MESCLUN_BED_CAP,$A440+$B440+J$4&gt;TOTAL_BEDS_AVAILABLE,($D440+J$5)&gt;TOTAL_LABOR_HOURS_CAP,MAX(0,($D440+J$5)-PERMANENT_FIELD_LABOR_HOURS)&gt;TEMP_HOURS_CAP),"",$C440+J$6-MIN(($D440+J$5),PERMANENT_FIELD_LABOR_HOURS)*PERMANENT_HOURLY_RATE-MAX(0,($D440+J$5)-PERMANENT_FIELD_LABOR_HOURS)*TEMP_HOURLY_RATE-FIXED_SEASON_COST)</f>
        <v/>
      </c>
      <c r="K440" s="53" t="str">
        <f aca="false">IF(OR($A440&gt;TOMATO_BED_CAP,$B440&gt;CARROT_BED_CAP,K$4&gt;MESCLUN_BED_CAP,$A440+$B440+K$4&gt;TOTAL_BEDS_AVAILABLE,($D440+K$5)&gt;TOTAL_LABOR_HOURS_CAP,MAX(0,($D440+K$5)-PERMANENT_FIELD_LABOR_HOURS)&gt;TEMP_HOURS_CAP),"",$C440+K$6-MIN(($D440+K$5),PERMANENT_FIELD_LABOR_HOURS)*PERMANENT_HOURLY_RATE-MAX(0,($D440+K$5)-PERMANENT_FIELD_LABOR_HOURS)*TEMP_HOURLY_RATE-FIXED_SEASON_COST)</f>
        <v/>
      </c>
      <c r="L440" s="53" t="str">
        <f aca="false">IF(OR($A440&gt;TOMATO_BED_CAP,$B440&gt;CARROT_BED_CAP,L$4&gt;MESCLUN_BED_CAP,$A440+$B440+L$4&gt;TOTAL_BEDS_AVAILABLE,($D440+L$5)&gt;TOTAL_LABOR_HOURS_CAP,MAX(0,($D440+L$5)-PERMANENT_FIELD_LABOR_HOURS)&gt;TEMP_HOURS_CAP),"",$C440+L$6-MIN(($D440+L$5),PERMANENT_FIELD_LABOR_HOURS)*PERMANENT_HOURLY_RATE-MAX(0,($D440+L$5)-PERMANENT_FIELD_LABOR_HOURS)*TEMP_HOURLY_RATE-FIXED_SEASON_COST)</f>
        <v/>
      </c>
      <c r="M440" s="53" t="str">
        <f aca="false">IF(OR($A440&gt;TOMATO_BED_CAP,$B440&gt;CARROT_BED_CAP,M$4&gt;MESCLUN_BED_CAP,$A440+$B440+M$4&gt;TOTAL_BEDS_AVAILABLE,($D440+M$5)&gt;TOTAL_LABOR_HOURS_CAP,MAX(0,($D440+M$5)-PERMANENT_FIELD_LABOR_HOURS)&gt;TEMP_HOURS_CAP),"",$C440+M$6-MIN(($D440+M$5),PERMANENT_FIELD_LABOR_HOURS)*PERMANENT_HOURLY_RATE-MAX(0,($D440+M$5)-PERMANENT_FIELD_LABOR_HOURS)*TEMP_HOURLY_RATE-FIXED_SEASON_COST)</f>
        <v/>
      </c>
      <c r="N440" s="53" t="str">
        <f aca="false">IF(OR($A440&gt;TOMATO_BED_CAP,$B440&gt;CARROT_BED_CAP,N$4&gt;MESCLUN_BED_CAP,$A440+$B440+N$4&gt;TOTAL_BEDS_AVAILABLE,($D440+N$5)&gt;TOTAL_LABOR_HOURS_CAP,MAX(0,($D440+N$5)-PERMANENT_FIELD_LABOR_HOURS)&gt;TEMP_HOURS_CAP),"",$C440+N$6-MIN(($D440+N$5),PERMANENT_FIELD_LABOR_HOURS)*PERMANENT_HOURLY_RATE-MAX(0,($D440+N$5)-PERMANENT_FIELD_LABOR_HOURS)*TEMP_HOURLY_RATE-FIXED_SEASON_COST)</f>
        <v/>
      </c>
      <c r="O440" s="53" t="str">
        <f aca="false">IF(OR($A440&gt;TOMATO_BED_CAP,$B440&gt;CARROT_BED_CAP,O$4&gt;MESCLUN_BED_CAP,$A440+$B440+O$4&gt;TOTAL_BEDS_AVAILABLE,($D440+O$5)&gt;TOTAL_LABOR_HOURS_CAP,MAX(0,($D440+O$5)-PERMANENT_FIELD_LABOR_HOURS)&gt;TEMP_HOURS_CAP),"",$C440+O$6-MIN(($D440+O$5),PERMANENT_FIELD_LABOR_HOURS)*PERMANENT_HOURLY_RATE-MAX(0,($D440+O$5)-PERMANENT_FIELD_LABOR_HOURS)*TEMP_HOURLY_RATE-FIXED_SEASON_COST)</f>
        <v/>
      </c>
      <c r="P440" s="53" t="str">
        <f aca="false">IF(OR($A440&gt;TOMATO_BED_CAP,$B440&gt;CARROT_BED_CAP,P$4&gt;MESCLUN_BED_CAP,$A440+$B440+P$4&gt;TOTAL_BEDS_AVAILABLE,($D440+P$5)&gt;TOTAL_LABOR_HOURS_CAP,MAX(0,($D440+P$5)-PERMANENT_FIELD_LABOR_HOURS)&gt;TEMP_HOURS_CAP),"",$C440+P$6-MIN(($D440+P$5),PERMANENT_FIELD_LABOR_HOURS)*PERMANENT_HOURLY_RATE-MAX(0,($D440+P$5)-PERMANENT_FIELD_LABOR_HOURS)*TEMP_HOURLY_RATE-FIXED_SEASON_COST)</f>
        <v/>
      </c>
      <c r="Q440" s="53" t="str">
        <f aca="false">IF(OR($A440&gt;TOMATO_BED_CAP,$B440&gt;CARROT_BED_CAP,Q$4&gt;MESCLUN_BED_CAP,$A440+$B440+Q$4&gt;TOTAL_BEDS_AVAILABLE,($D440+Q$5)&gt;TOTAL_LABOR_HOURS_CAP,MAX(0,($D440+Q$5)-PERMANENT_FIELD_LABOR_HOURS)&gt;TEMP_HOURS_CAP),"",$C440+Q$6-MIN(($D440+Q$5),PERMANENT_FIELD_LABOR_HOURS)*PERMANENT_HOURLY_RATE-MAX(0,($D440+Q$5)-PERMANENT_FIELD_LABOR_HOURS)*TEMP_HOURLY_RATE-FIXED_SEASON_COST)</f>
        <v/>
      </c>
      <c r="R440" s="53" t="str">
        <f aca="false">IF(OR($A440&gt;TOMATO_BED_CAP,$B440&gt;CARROT_BED_CAP,R$4&gt;MESCLUN_BED_CAP,$A440+$B440+R$4&gt;TOTAL_BEDS_AVAILABLE,($D440+R$5)&gt;TOTAL_LABOR_HOURS_CAP,MAX(0,($D440+R$5)-PERMANENT_FIELD_LABOR_HOURS)&gt;TEMP_HOURS_CAP),"",$C440+R$6-MIN(($D440+R$5),PERMANENT_FIELD_LABOR_HOURS)*PERMANENT_HOURLY_RATE-MAX(0,($D440+R$5)-PERMANENT_FIELD_LABOR_HOURS)*TEMP_HOURLY_RATE-FIXED_SEASON_COST)</f>
        <v/>
      </c>
      <c r="S440" s="53" t="str">
        <f aca="false">IF(OR($A440&gt;TOMATO_BED_CAP,$B440&gt;CARROT_BED_CAP,S$4&gt;MESCLUN_BED_CAP,$A440+$B440+S$4&gt;TOTAL_BEDS_AVAILABLE,($D440+S$5)&gt;TOTAL_LABOR_HOURS_CAP,MAX(0,($D440+S$5)-PERMANENT_FIELD_LABOR_HOURS)&gt;TEMP_HOURS_CAP),"",$C440+S$6-MIN(($D440+S$5),PERMANENT_FIELD_LABOR_HOURS)*PERMANENT_HOURLY_RATE-MAX(0,($D440+S$5)-PERMANENT_FIELD_LABOR_HOURS)*TEMP_HOURLY_RATE-FIXED_SEASON_COST)</f>
        <v/>
      </c>
      <c r="T440" s="53" t="str">
        <f aca="false">IF(OR($A440&gt;TOMATO_BED_CAP,$B440&gt;CARROT_BED_CAP,T$4&gt;MESCLUN_BED_CAP,$A440+$B440+T$4&gt;TOTAL_BEDS_AVAILABLE,($D440+T$5)&gt;TOTAL_LABOR_HOURS_CAP,MAX(0,($D440+T$5)-PERMANENT_FIELD_LABOR_HOURS)&gt;TEMP_HOURS_CAP),"",$C440+T$6-MIN(($D440+T$5),PERMANENT_FIELD_LABOR_HOURS)*PERMANENT_HOURLY_RATE-MAX(0,($D440+T$5)-PERMANENT_FIELD_LABOR_HOURS)*TEMP_HOURLY_RATE-FIXED_SEASON_COST)</f>
        <v/>
      </c>
      <c r="U440" s="53" t="str">
        <f aca="false">IF(OR($A440&gt;TOMATO_BED_CAP,$B440&gt;CARROT_BED_CAP,U$4&gt;MESCLUN_BED_CAP,$A440+$B440+U$4&gt;TOTAL_BEDS_AVAILABLE,($D440+U$5)&gt;TOTAL_LABOR_HOURS_CAP,MAX(0,($D440+U$5)-PERMANENT_FIELD_LABOR_HOURS)&gt;TEMP_HOURS_CAP),"",$C440+U$6-MIN(($D440+U$5),PERMANENT_FIELD_LABOR_HOURS)*PERMANENT_HOURLY_RATE-MAX(0,($D440+U$5)-PERMANENT_FIELD_LABOR_HOURS)*TEMP_HOURLY_RATE-FIXED_SEASON_COST)</f>
        <v/>
      </c>
      <c r="V440" s="53" t="str">
        <f aca="false">IF(OR($A440&gt;TOMATO_BED_CAP,$B440&gt;CARROT_BED_CAP,V$4&gt;MESCLUN_BED_CAP,$A440+$B440+V$4&gt;TOTAL_BEDS_AVAILABLE,($D440+V$5)&gt;TOTAL_LABOR_HOURS_CAP,MAX(0,($D440+V$5)-PERMANENT_FIELD_LABOR_HOURS)&gt;TEMP_HOURS_CAP),"",$C440+V$6-MIN(($D440+V$5),PERMANENT_FIELD_LABOR_HOURS)*PERMANENT_HOURLY_RATE-MAX(0,($D440+V$5)-PERMANENT_FIELD_LABOR_HOURS)*TEMP_HOURLY_RATE-FIXED_SEASON_COST)</f>
        <v/>
      </c>
      <c r="W440" s="53" t="str">
        <f aca="false">IF(OR($A440&gt;TOMATO_BED_CAP,$B440&gt;CARROT_BED_CAP,W$4&gt;MESCLUN_BED_CAP,$A440+$B440+W$4&gt;TOTAL_BEDS_AVAILABLE,($D440+W$5)&gt;TOTAL_LABOR_HOURS_CAP,MAX(0,($D440+W$5)-PERMANENT_FIELD_LABOR_HOURS)&gt;TEMP_HOURS_CAP),"",$C440+W$6-MIN(($D440+W$5),PERMANENT_FIELD_LABOR_HOURS)*PERMANENT_HOURLY_RATE-MAX(0,($D440+W$5)-PERMANENT_FIELD_LABOR_HOURS)*TEMP_HOURLY_RATE-FIXED_SEASON_COST)</f>
        <v/>
      </c>
      <c r="X440" s="53" t="str">
        <f aca="false">IF(OR($A440&gt;TOMATO_BED_CAP,$B440&gt;CARROT_BED_CAP,X$4&gt;MESCLUN_BED_CAP,$A440+$B440+X$4&gt;TOTAL_BEDS_AVAILABLE,($D440+X$5)&gt;TOTAL_LABOR_HOURS_CAP,MAX(0,($D440+X$5)-PERMANENT_FIELD_LABOR_HOURS)&gt;TEMP_HOURS_CAP),"",$C440+X$6-MIN(($D440+X$5),PERMANENT_FIELD_LABOR_HOURS)*PERMANENT_HOURLY_RATE-MAX(0,($D440+X$5)-PERMANENT_FIELD_LABOR_HOURS)*TEMP_HOURLY_RATE-FIXED_SEASON_COST)</f>
        <v/>
      </c>
      <c r="Y440" s="53" t="str">
        <f aca="false">IF(OR($A440&gt;TOMATO_BED_CAP,$B440&gt;CARROT_BED_CAP,Y$4&gt;MESCLUN_BED_CAP,$A440+$B440+Y$4&gt;TOTAL_BEDS_AVAILABLE,($D440+Y$5)&gt;TOTAL_LABOR_HOURS_CAP,MAX(0,($D440+Y$5)-PERMANENT_FIELD_LABOR_HOURS)&gt;TEMP_HOURS_CAP),"",$C440+Y$6-MIN(($D440+Y$5),PERMANENT_FIELD_LABOR_HOURS)*PERMANENT_HOURLY_RATE-MAX(0,($D440+Y$5)-PERMANENT_FIELD_LABOR_HOURS)*TEMP_HOURLY_RATE-FIXED_SEASON_COST)</f>
        <v/>
      </c>
      <c r="Z440" s="53" t="str">
        <f aca="false">IF(OR($A440&gt;TOMATO_BED_CAP,$B440&gt;CARROT_BED_CAP,Z$4&gt;MESCLUN_BED_CAP,$A440+$B440+Z$4&gt;TOTAL_BEDS_AVAILABLE,($D440+Z$5)&gt;TOTAL_LABOR_HOURS_CAP,MAX(0,($D440+Z$5)-PERMANENT_FIELD_LABOR_HOURS)&gt;TEMP_HOURS_CAP),"",$C440+Z$6-MIN(($D440+Z$5),PERMANENT_FIELD_LABOR_HOURS)*PERMANENT_HOURLY_RATE-MAX(0,($D440+Z$5)-PERMANENT_FIELD_LABOR_HOURS)*TEMP_HOURLY_RATE-FIXED_SEASON_COST)</f>
        <v/>
      </c>
      <c r="AA440" s="53" t="str">
        <f aca="false">IF(OR($A440&gt;TOMATO_BED_CAP,$B440&gt;CARROT_BED_CAP,AA$4&gt;MESCLUN_BED_CAP,$A440+$B440+AA$4&gt;TOTAL_BEDS_AVAILABLE,($D440+AA$5)&gt;TOTAL_LABOR_HOURS_CAP,MAX(0,($D440+AA$5)-PERMANENT_FIELD_LABOR_HOURS)&gt;TEMP_HOURS_CAP),"",$C440+AA$6-MIN(($D440+AA$5),PERMANENT_FIELD_LABOR_HOURS)*PERMANENT_HOURLY_RATE-MAX(0,($D440+AA$5)-PERMANENT_FIELD_LABOR_HOURS)*TEMP_HOURLY_RATE-FIXED_SEASON_COST)</f>
        <v/>
      </c>
      <c r="AB440" s="53" t="str">
        <f aca="false">IF(OR($A440&gt;TOMATO_BED_CAP,$B440&gt;CARROT_BED_CAP,AB$4&gt;MESCLUN_BED_CAP,$A440+$B440+AB$4&gt;TOTAL_BEDS_AVAILABLE,($D440+AB$5)&gt;TOTAL_LABOR_HOURS_CAP,MAX(0,($D440+AB$5)-PERMANENT_FIELD_LABOR_HOURS)&gt;TEMP_HOURS_CAP),"",$C440+AB$6-MIN(($D440+AB$5),PERMANENT_FIELD_LABOR_HOURS)*PERMANENT_HOURLY_RATE-MAX(0,($D440+AB$5)-PERMANENT_FIELD_LABOR_HOURS)*TEMP_HOURLY_RATE-FIXED_SEASON_COST)</f>
        <v/>
      </c>
      <c r="AC440" s="53" t="str">
        <f aca="false">IF(OR($A440&gt;TOMATO_BED_CAP,$B440&gt;CARROT_BED_CAP,AC$4&gt;MESCLUN_BED_CAP,$A440+$B440+AC$4&gt;TOTAL_BEDS_AVAILABLE,($D440+AC$5)&gt;TOTAL_LABOR_HOURS_CAP,MAX(0,($D440+AC$5)-PERMANENT_FIELD_LABOR_HOURS)&gt;TEMP_HOURS_CAP),"",$C440+AC$6-MIN(($D440+AC$5),PERMANENT_FIELD_LABOR_HOURS)*PERMANENT_HOURLY_RATE-MAX(0,($D440+AC$5)-PERMANENT_FIELD_LABOR_HOURS)*TEMP_HOURLY_RATE-FIXED_SEASON_COST)</f>
        <v/>
      </c>
      <c r="AD440" s="53" t="str">
        <f aca="false">IF(OR($A440&gt;TOMATO_BED_CAP,$B440&gt;CARROT_BED_CAP,AD$4&gt;MESCLUN_BED_CAP,$A440+$B440+AD$4&gt;TOTAL_BEDS_AVAILABLE,($D440+AD$5)&gt;TOTAL_LABOR_HOURS_CAP,MAX(0,($D440+AD$5)-PERMANENT_FIELD_LABOR_HOURS)&gt;TEMP_HOURS_CAP),"",$C440+AD$6-MIN(($D440+AD$5),PERMANENT_FIELD_LABOR_HOURS)*PERMANENT_HOURLY_RATE-MAX(0,($D440+AD$5)-PERMANENT_FIELD_LABOR_HOURS)*TEMP_HOURLY_RATE-FIXED_SEASON_COST)</f>
        <v/>
      </c>
      <c r="AE440" s="53" t="str">
        <f aca="false">IF(OR($A440&gt;TOMATO_BED_CAP,$B440&gt;CARROT_BED_CAP,AE$4&gt;MESCLUN_BED_CAP,$A440+$B440+AE$4&gt;TOTAL_BEDS_AVAILABLE,($D440+AE$5)&gt;TOTAL_LABOR_HOURS_CAP,MAX(0,($D440+AE$5)-PERMANENT_FIELD_LABOR_HOURS)&gt;TEMP_HOURS_CAP),"",$C440+AE$6-MIN(($D440+AE$5),PERMANENT_FIELD_LABOR_HOURS)*PERMANENT_HOURLY_RATE-MAX(0,($D440+AE$5)-PERMANENT_FIELD_LABOR_HOURS)*TEMP_HOURLY_RATE-FIXED_SEASON_COST)</f>
        <v/>
      </c>
      <c r="AF440" s="53" t="str">
        <f aca="false">IF(OR($A440&gt;TOMATO_BED_CAP,$B440&gt;CARROT_BED_CAP,AF$4&gt;MESCLUN_BED_CAP,$A440+$B440+AF$4&gt;TOTAL_BEDS_AVAILABLE,($D440+AF$5)&gt;TOTAL_LABOR_HOURS_CAP,MAX(0,($D440+AF$5)-PERMANENT_FIELD_LABOR_HOURS)&gt;TEMP_HOURS_CAP),"",$C440+AF$6-MIN(($D440+AF$5),PERMANENT_FIELD_LABOR_HOURS)*PERMANENT_HOURLY_RATE-MAX(0,($D440+AF$5)-PERMANENT_FIELD_LABOR_HOURS)*TEMP_HOURLY_RATE-FIXED_SEASON_COST)</f>
        <v/>
      </c>
      <c r="AG440" s="53" t="str">
        <f aca="false">IF(OR($A440&gt;TOMATO_BED_CAP,$B440&gt;CARROT_BED_CAP,AG$4&gt;MESCLUN_BED_CAP,$A440+$B440+AG$4&gt;TOTAL_BEDS_AVAILABLE,($D440+AG$5)&gt;TOTAL_LABOR_HOURS_CAP,MAX(0,($D440+AG$5)-PERMANENT_FIELD_LABOR_HOURS)&gt;TEMP_HOURS_CAP),"",$C440+AG$6-MIN(($D440+AG$5),PERMANENT_FIELD_LABOR_HOURS)*PERMANENT_HOURLY_RATE-MAX(0,($D440+AG$5)-PERMANENT_FIELD_LABOR_HOURS)*TEMP_HOURLY_RATE-FIXED_SEASON_COST)</f>
        <v/>
      </c>
      <c r="AH440" s="53" t="str">
        <f aca="false">IF(OR($A440&gt;TOMATO_BED_CAP,$B440&gt;CARROT_BED_CAP,AH$4&gt;MESCLUN_BED_CAP,$A440+$B440+AH$4&gt;TOTAL_BEDS_AVAILABLE,($D440+AH$5)&gt;TOTAL_LABOR_HOURS_CAP,MAX(0,($D440+AH$5)-PERMANENT_FIELD_LABOR_HOURS)&gt;TEMP_HOURS_CAP),"",$C440+AH$6-MIN(($D440+AH$5),PERMANENT_FIELD_LABOR_HOURS)*PERMANENT_HOURLY_RATE-MAX(0,($D440+AH$5)-PERMANENT_FIELD_LABOR_HOURS)*TEMP_HOURLY_RATE-FIXED_SEASON_COST)</f>
        <v/>
      </c>
      <c r="AI440" s="53" t="str">
        <f aca="false">IF(OR($A440&gt;TOMATO_BED_CAP,$B440&gt;CARROT_BED_CAP,AI$4&gt;MESCLUN_BED_CAP,$A440+$B440+AI$4&gt;TOTAL_BEDS_AVAILABLE,($D440+AI$5)&gt;TOTAL_LABOR_HOURS_CAP,MAX(0,($D440+AI$5)-PERMANENT_FIELD_LABOR_HOURS)&gt;TEMP_HOURS_CAP),"",$C440+AI$6-MIN(($D440+AI$5),PERMANENT_FIELD_LABOR_HOURS)*PERMANENT_HOURLY_RATE-MAX(0,($D440+AI$5)-PERMANENT_FIELD_LABOR_HOURS)*TEMP_HOURLY_RATE-FIXED_SEASON_COST)</f>
        <v/>
      </c>
      <c r="AJ440" s="53" t="str">
        <f aca="false">IF(OR($A440&gt;TOMATO_BED_CAP,$B440&gt;CARROT_BED_CAP,AJ$4&gt;MESCLUN_BED_CAP,$A440+$B440+AJ$4&gt;TOTAL_BEDS_AVAILABLE,($D440+AJ$5)&gt;TOTAL_LABOR_HOURS_CAP,MAX(0,($D440+AJ$5)-PERMANENT_FIELD_LABOR_HOURS)&gt;TEMP_HOURS_CAP),"",$C440+AJ$6-MIN(($D440+AJ$5),PERMANENT_FIELD_LABOR_HOURS)*PERMANENT_HOURLY_RATE-MAX(0,($D440+AJ$5)-PERMANENT_FIELD_LABOR_HOURS)*TEMP_HOURLY_RATE-FIXED_SEASON_COST)</f>
        <v/>
      </c>
    </row>
    <row r="441" customFormat="false" ht="15" hidden="false" customHeight="false" outlineLevel="0" collapsed="false">
      <c r="A441" s="21" t="n">
        <f aca="false">INT((ROW()-ROW($A$8))/(20+1))</f>
        <v>20</v>
      </c>
      <c r="B441" s="21" t="n">
        <f aca="false">MOD(ROW()-ROW($A$8),20+1)</f>
        <v>13</v>
      </c>
      <c r="C441" s="13" t="n">
        <f aca="false">A441*(TOMATO_REVENUE_PER_BED-TOMATO_FERTILIZER_PER_BED)+B441*(CARROT_REVENUE_PER_BED-CARROT_FERTILIZER_PER_BED)</f>
        <v>179902</v>
      </c>
      <c r="D441" s="14" t="n">
        <f aca="false">INDEX(TOMATO_SCHED_LABOR_HRS,A441+1)+INDEX(CARROT_SCHED_LABOR_HRS,B441+1)</f>
        <v>12646.9041685556</v>
      </c>
      <c r="E441" s="13" t="str">
        <f aca="false">IF(COUNT(F441:AJ441)=0,"",MAX(F441:AJ441))</f>
        <v/>
      </c>
      <c r="F441" s="53" t="str">
        <f aca="false">IF(OR($A441&gt;TOMATO_BED_CAP,$B441&gt;CARROT_BED_CAP,F$4&gt;MESCLUN_BED_CAP,$A441+$B441+F$4&gt;TOTAL_BEDS_AVAILABLE,($D441+F$5)&gt;TOTAL_LABOR_HOURS_CAP,MAX(0,($D441+F$5)-PERMANENT_FIELD_LABOR_HOURS)&gt;TEMP_HOURS_CAP),"",$C441+F$6-MIN(($D441+F$5),PERMANENT_FIELD_LABOR_HOURS)*PERMANENT_HOURLY_RATE-MAX(0,($D441+F$5)-PERMANENT_FIELD_LABOR_HOURS)*TEMP_HOURLY_RATE-FIXED_SEASON_COST)</f>
        <v/>
      </c>
      <c r="G441" s="53" t="str">
        <f aca="false">IF(OR($A441&gt;TOMATO_BED_CAP,$B441&gt;CARROT_BED_CAP,G$4&gt;MESCLUN_BED_CAP,$A441+$B441+G$4&gt;TOTAL_BEDS_AVAILABLE,($D441+G$5)&gt;TOTAL_LABOR_HOURS_CAP,MAX(0,($D441+G$5)-PERMANENT_FIELD_LABOR_HOURS)&gt;TEMP_HOURS_CAP),"",$C441+G$6-MIN(($D441+G$5),PERMANENT_FIELD_LABOR_HOURS)*PERMANENT_HOURLY_RATE-MAX(0,($D441+G$5)-PERMANENT_FIELD_LABOR_HOURS)*TEMP_HOURLY_RATE-FIXED_SEASON_COST)</f>
        <v/>
      </c>
      <c r="H441" s="53" t="str">
        <f aca="false">IF(OR($A441&gt;TOMATO_BED_CAP,$B441&gt;CARROT_BED_CAP,H$4&gt;MESCLUN_BED_CAP,$A441+$B441+H$4&gt;TOTAL_BEDS_AVAILABLE,($D441+H$5)&gt;TOTAL_LABOR_HOURS_CAP,MAX(0,($D441+H$5)-PERMANENT_FIELD_LABOR_HOURS)&gt;TEMP_HOURS_CAP),"",$C441+H$6-MIN(($D441+H$5),PERMANENT_FIELD_LABOR_HOURS)*PERMANENT_HOURLY_RATE-MAX(0,($D441+H$5)-PERMANENT_FIELD_LABOR_HOURS)*TEMP_HOURLY_RATE-FIXED_SEASON_COST)</f>
        <v/>
      </c>
      <c r="I441" s="53" t="str">
        <f aca="false">IF(OR($A441&gt;TOMATO_BED_CAP,$B441&gt;CARROT_BED_CAP,I$4&gt;MESCLUN_BED_CAP,$A441+$B441+I$4&gt;TOTAL_BEDS_AVAILABLE,($D441+I$5)&gt;TOTAL_LABOR_HOURS_CAP,MAX(0,($D441+I$5)-PERMANENT_FIELD_LABOR_HOURS)&gt;TEMP_HOURS_CAP),"",$C441+I$6-MIN(($D441+I$5),PERMANENT_FIELD_LABOR_HOURS)*PERMANENT_HOURLY_RATE-MAX(0,($D441+I$5)-PERMANENT_FIELD_LABOR_HOURS)*TEMP_HOURLY_RATE-FIXED_SEASON_COST)</f>
        <v/>
      </c>
      <c r="J441" s="53" t="str">
        <f aca="false">IF(OR($A441&gt;TOMATO_BED_CAP,$B441&gt;CARROT_BED_CAP,J$4&gt;MESCLUN_BED_CAP,$A441+$B441+J$4&gt;TOTAL_BEDS_AVAILABLE,($D441+J$5)&gt;TOTAL_LABOR_HOURS_CAP,MAX(0,($D441+J$5)-PERMANENT_FIELD_LABOR_HOURS)&gt;TEMP_HOURS_CAP),"",$C441+J$6-MIN(($D441+J$5),PERMANENT_FIELD_LABOR_HOURS)*PERMANENT_HOURLY_RATE-MAX(0,($D441+J$5)-PERMANENT_FIELD_LABOR_HOURS)*TEMP_HOURLY_RATE-FIXED_SEASON_COST)</f>
        <v/>
      </c>
      <c r="K441" s="53" t="str">
        <f aca="false">IF(OR($A441&gt;TOMATO_BED_CAP,$B441&gt;CARROT_BED_CAP,K$4&gt;MESCLUN_BED_CAP,$A441+$B441+K$4&gt;TOTAL_BEDS_AVAILABLE,($D441+K$5)&gt;TOTAL_LABOR_HOURS_CAP,MAX(0,($D441+K$5)-PERMANENT_FIELD_LABOR_HOURS)&gt;TEMP_HOURS_CAP),"",$C441+K$6-MIN(($D441+K$5),PERMANENT_FIELD_LABOR_HOURS)*PERMANENT_HOURLY_RATE-MAX(0,($D441+K$5)-PERMANENT_FIELD_LABOR_HOURS)*TEMP_HOURLY_RATE-FIXED_SEASON_COST)</f>
        <v/>
      </c>
      <c r="L441" s="53" t="str">
        <f aca="false">IF(OR($A441&gt;TOMATO_BED_CAP,$B441&gt;CARROT_BED_CAP,L$4&gt;MESCLUN_BED_CAP,$A441+$B441+L$4&gt;TOTAL_BEDS_AVAILABLE,($D441+L$5)&gt;TOTAL_LABOR_HOURS_CAP,MAX(0,($D441+L$5)-PERMANENT_FIELD_LABOR_HOURS)&gt;TEMP_HOURS_CAP),"",$C441+L$6-MIN(($D441+L$5),PERMANENT_FIELD_LABOR_HOURS)*PERMANENT_HOURLY_RATE-MAX(0,($D441+L$5)-PERMANENT_FIELD_LABOR_HOURS)*TEMP_HOURLY_RATE-FIXED_SEASON_COST)</f>
        <v/>
      </c>
      <c r="M441" s="53" t="str">
        <f aca="false">IF(OR($A441&gt;TOMATO_BED_CAP,$B441&gt;CARROT_BED_CAP,M$4&gt;MESCLUN_BED_CAP,$A441+$B441+M$4&gt;TOTAL_BEDS_AVAILABLE,($D441+M$5)&gt;TOTAL_LABOR_HOURS_CAP,MAX(0,($D441+M$5)-PERMANENT_FIELD_LABOR_HOURS)&gt;TEMP_HOURS_CAP),"",$C441+M$6-MIN(($D441+M$5),PERMANENT_FIELD_LABOR_HOURS)*PERMANENT_HOURLY_RATE-MAX(0,($D441+M$5)-PERMANENT_FIELD_LABOR_HOURS)*TEMP_HOURLY_RATE-FIXED_SEASON_COST)</f>
        <v/>
      </c>
      <c r="N441" s="53" t="str">
        <f aca="false">IF(OR($A441&gt;TOMATO_BED_CAP,$B441&gt;CARROT_BED_CAP,N$4&gt;MESCLUN_BED_CAP,$A441+$B441+N$4&gt;TOTAL_BEDS_AVAILABLE,($D441+N$5)&gt;TOTAL_LABOR_HOURS_CAP,MAX(0,($D441+N$5)-PERMANENT_FIELD_LABOR_HOURS)&gt;TEMP_HOURS_CAP),"",$C441+N$6-MIN(($D441+N$5),PERMANENT_FIELD_LABOR_HOURS)*PERMANENT_HOURLY_RATE-MAX(0,($D441+N$5)-PERMANENT_FIELD_LABOR_HOURS)*TEMP_HOURLY_RATE-FIXED_SEASON_COST)</f>
        <v/>
      </c>
      <c r="O441" s="53" t="str">
        <f aca="false">IF(OR($A441&gt;TOMATO_BED_CAP,$B441&gt;CARROT_BED_CAP,O$4&gt;MESCLUN_BED_CAP,$A441+$B441+O$4&gt;TOTAL_BEDS_AVAILABLE,($D441+O$5)&gt;TOTAL_LABOR_HOURS_CAP,MAX(0,($D441+O$5)-PERMANENT_FIELD_LABOR_HOURS)&gt;TEMP_HOURS_CAP),"",$C441+O$6-MIN(($D441+O$5),PERMANENT_FIELD_LABOR_HOURS)*PERMANENT_HOURLY_RATE-MAX(0,($D441+O$5)-PERMANENT_FIELD_LABOR_HOURS)*TEMP_HOURLY_RATE-FIXED_SEASON_COST)</f>
        <v/>
      </c>
      <c r="P441" s="53" t="str">
        <f aca="false">IF(OR($A441&gt;TOMATO_BED_CAP,$B441&gt;CARROT_BED_CAP,P$4&gt;MESCLUN_BED_CAP,$A441+$B441+P$4&gt;TOTAL_BEDS_AVAILABLE,($D441+P$5)&gt;TOTAL_LABOR_HOURS_CAP,MAX(0,($D441+P$5)-PERMANENT_FIELD_LABOR_HOURS)&gt;TEMP_HOURS_CAP),"",$C441+P$6-MIN(($D441+P$5),PERMANENT_FIELD_LABOR_HOURS)*PERMANENT_HOURLY_RATE-MAX(0,($D441+P$5)-PERMANENT_FIELD_LABOR_HOURS)*TEMP_HOURLY_RATE-FIXED_SEASON_COST)</f>
        <v/>
      </c>
      <c r="Q441" s="53" t="str">
        <f aca="false">IF(OR($A441&gt;TOMATO_BED_CAP,$B441&gt;CARROT_BED_CAP,Q$4&gt;MESCLUN_BED_CAP,$A441+$B441+Q$4&gt;TOTAL_BEDS_AVAILABLE,($D441+Q$5)&gt;TOTAL_LABOR_HOURS_CAP,MAX(0,($D441+Q$5)-PERMANENT_FIELD_LABOR_HOURS)&gt;TEMP_HOURS_CAP),"",$C441+Q$6-MIN(($D441+Q$5),PERMANENT_FIELD_LABOR_HOURS)*PERMANENT_HOURLY_RATE-MAX(0,($D441+Q$5)-PERMANENT_FIELD_LABOR_HOURS)*TEMP_HOURLY_RATE-FIXED_SEASON_COST)</f>
        <v/>
      </c>
      <c r="R441" s="53" t="str">
        <f aca="false">IF(OR($A441&gt;TOMATO_BED_CAP,$B441&gt;CARROT_BED_CAP,R$4&gt;MESCLUN_BED_CAP,$A441+$B441+R$4&gt;TOTAL_BEDS_AVAILABLE,($D441+R$5)&gt;TOTAL_LABOR_HOURS_CAP,MAX(0,($D441+R$5)-PERMANENT_FIELD_LABOR_HOURS)&gt;TEMP_HOURS_CAP),"",$C441+R$6-MIN(($D441+R$5),PERMANENT_FIELD_LABOR_HOURS)*PERMANENT_HOURLY_RATE-MAX(0,($D441+R$5)-PERMANENT_FIELD_LABOR_HOURS)*TEMP_HOURLY_RATE-FIXED_SEASON_COST)</f>
        <v/>
      </c>
      <c r="S441" s="53" t="str">
        <f aca="false">IF(OR($A441&gt;TOMATO_BED_CAP,$B441&gt;CARROT_BED_CAP,S$4&gt;MESCLUN_BED_CAP,$A441+$B441+S$4&gt;TOTAL_BEDS_AVAILABLE,($D441+S$5)&gt;TOTAL_LABOR_HOURS_CAP,MAX(0,($D441+S$5)-PERMANENT_FIELD_LABOR_HOURS)&gt;TEMP_HOURS_CAP),"",$C441+S$6-MIN(($D441+S$5),PERMANENT_FIELD_LABOR_HOURS)*PERMANENT_HOURLY_RATE-MAX(0,($D441+S$5)-PERMANENT_FIELD_LABOR_HOURS)*TEMP_HOURLY_RATE-FIXED_SEASON_COST)</f>
        <v/>
      </c>
      <c r="T441" s="53" t="str">
        <f aca="false">IF(OR($A441&gt;TOMATO_BED_CAP,$B441&gt;CARROT_BED_CAP,T$4&gt;MESCLUN_BED_CAP,$A441+$B441+T$4&gt;TOTAL_BEDS_AVAILABLE,($D441+T$5)&gt;TOTAL_LABOR_HOURS_CAP,MAX(0,($D441+T$5)-PERMANENT_FIELD_LABOR_HOURS)&gt;TEMP_HOURS_CAP),"",$C441+T$6-MIN(($D441+T$5),PERMANENT_FIELD_LABOR_HOURS)*PERMANENT_HOURLY_RATE-MAX(0,($D441+T$5)-PERMANENT_FIELD_LABOR_HOURS)*TEMP_HOURLY_RATE-FIXED_SEASON_COST)</f>
        <v/>
      </c>
      <c r="U441" s="53" t="str">
        <f aca="false">IF(OR($A441&gt;TOMATO_BED_CAP,$B441&gt;CARROT_BED_CAP,U$4&gt;MESCLUN_BED_CAP,$A441+$B441+U$4&gt;TOTAL_BEDS_AVAILABLE,($D441+U$5)&gt;TOTAL_LABOR_HOURS_CAP,MAX(0,($D441+U$5)-PERMANENT_FIELD_LABOR_HOURS)&gt;TEMP_HOURS_CAP),"",$C441+U$6-MIN(($D441+U$5),PERMANENT_FIELD_LABOR_HOURS)*PERMANENT_HOURLY_RATE-MAX(0,($D441+U$5)-PERMANENT_FIELD_LABOR_HOURS)*TEMP_HOURLY_RATE-FIXED_SEASON_COST)</f>
        <v/>
      </c>
      <c r="V441" s="53" t="str">
        <f aca="false">IF(OR($A441&gt;TOMATO_BED_CAP,$B441&gt;CARROT_BED_CAP,V$4&gt;MESCLUN_BED_CAP,$A441+$B441+V$4&gt;TOTAL_BEDS_AVAILABLE,($D441+V$5)&gt;TOTAL_LABOR_HOURS_CAP,MAX(0,($D441+V$5)-PERMANENT_FIELD_LABOR_HOURS)&gt;TEMP_HOURS_CAP),"",$C441+V$6-MIN(($D441+V$5),PERMANENT_FIELD_LABOR_HOURS)*PERMANENT_HOURLY_RATE-MAX(0,($D441+V$5)-PERMANENT_FIELD_LABOR_HOURS)*TEMP_HOURLY_RATE-FIXED_SEASON_COST)</f>
        <v/>
      </c>
      <c r="W441" s="53" t="str">
        <f aca="false">IF(OR($A441&gt;TOMATO_BED_CAP,$B441&gt;CARROT_BED_CAP,W$4&gt;MESCLUN_BED_CAP,$A441+$B441+W$4&gt;TOTAL_BEDS_AVAILABLE,($D441+W$5)&gt;TOTAL_LABOR_HOURS_CAP,MAX(0,($D441+W$5)-PERMANENT_FIELD_LABOR_HOURS)&gt;TEMP_HOURS_CAP),"",$C441+W$6-MIN(($D441+W$5),PERMANENT_FIELD_LABOR_HOURS)*PERMANENT_HOURLY_RATE-MAX(0,($D441+W$5)-PERMANENT_FIELD_LABOR_HOURS)*TEMP_HOURLY_RATE-FIXED_SEASON_COST)</f>
        <v/>
      </c>
      <c r="X441" s="53" t="str">
        <f aca="false">IF(OR($A441&gt;TOMATO_BED_CAP,$B441&gt;CARROT_BED_CAP,X$4&gt;MESCLUN_BED_CAP,$A441+$B441+X$4&gt;TOTAL_BEDS_AVAILABLE,($D441+X$5)&gt;TOTAL_LABOR_HOURS_CAP,MAX(0,($D441+X$5)-PERMANENT_FIELD_LABOR_HOURS)&gt;TEMP_HOURS_CAP),"",$C441+X$6-MIN(($D441+X$5),PERMANENT_FIELD_LABOR_HOURS)*PERMANENT_HOURLY_RATE-MAX(0,($D441+X$5)-PERMANENT_FIELD_LABOR_HOURS)*TEMP_HOURLY_RATE-FIXED_SEASON_COST)</f>
        <v/>
      </c>
      <c r="Y441" s="53" t="str">
        <f aca="false">IF(OR($A441&gt;TOMATO_BED_CAP,$B441&gt;CARROT_BED_CAP,Y$4&gt;MESCLUN_BED_CAP,$A441+$B441+Y$4&gt;TOTAL_BEDS_AVAILABLE,($D441+Y$5)&gt;TOTAL_LABOR_HOURS_CAP,MAX(0,($D441+Y$5)-PERMANENT_FIELD_LABOR_HOURS)&gt;TEMP_HOURS_CAP),"",$C441+Y$6-MIN(($D441+Y$5),PERMANENT_FIELD_LABOR_HOURS)*PERMANENT_HOURLY_RATE-MAX(0,($D441+Y$5)-PERMANENT_FIELD_LABOR_HOURS)*TEMP_HOURLY_RATE-FIXED_SEASON_COST)</f>
        <v/>
      </c>
      <c r="Z441" s="53" t="str">
        <f aca="false">IF(OR($A441&gt;TOMATO_BED_CAP,$B441&gt;CARROT_BED_CAP,Z$4&gt;MESCLUN_BED_CAP,$A441+$B441+Z$4&gt;TOTAL_BEDS_AVAILABLE,($D441+Z$5)&gt;TOTAL_LABOR_HOURS_CAP,MAX(0,($D441+Z$5)-PERMANENT_FIELD_LABOR_HOURS)&gt;TEMP_HOURS_CAP),"",$C441+Z$6-MIN(($D441+Z$5),PERMANENT_FIELD_LABOR_HOURS)*PERMANENT_HOURLY_RATE-MAX(0,($D441+Z$5)-PERMANENT_FIELD_LABOR_HOURS)*TEMP_HOURLY_RATE-FIXED_SEASON_COST)</f>
        <v/>
      </c>
      <c r="AA441" s="53" t="str">
        <f aca="false">IF(OR($A441&gt;TOMATO_BED_CAP,$B441&gt;CARROT_BED_CAP,AA$4&gt;MESCLUN_BED_CAP,$A441+$B441+AA$4&gt;TOTAL_BEDS_AVAILABLE,($D441+AA$5)&gt;TOTAL_LABOR_HOURS_CAP,MAX(0,($D441+AA$5)-PERMANENT_FIELD_LABOR_HOURS)&gt;TEMP_HOURS_CAP),"",$C441+AA$6-MIN(($D441+AA$5),PERMANENT_FIELD_LABOR_HOURS)*PERMANENT_HOURLY_RATE-MAX(0,($D441+AA$5)-PERMANENT_FIELD_LABOR_HOURS)*TEMP_HOURLY_RATE-FIXED_SEASON_COST)</f>
        <v/>
      </c>
      <c r="AB441" s="53" t="str">
        <f aca="false">IF(OR($A441&gt;TOMATO_BED_CAP,$B441&gt;CARROT_BED_CAP,AB$4&gt;MESCLUN_BED_CAP,$A441+$B441+AB$4&gt;TOTAL_BEDS_AVAILABLE,($D441+AB$5)&gt;TOTAL_LABOR_HOURS_CAP,MAX(0,($D441+AB$5)-PERMANENT_FIELD_LABOR_HOURS)&gt;TEMP_HOURS_CAP),"",$C441+AB$6-MIN(($D441+AB$5),PERMANENT_FIELD_LABOR_HOURS)*PERMANENT_HOURLY_RATE-MAX(0,($D441+AB$5)-PERMANENT_FIELD_LABOR_HOURS)*TEMP_HOURLY_RATE-FIXED_SEASON_COST)</f>
        <v/>
      </c>
      <c r="AC441" s="53" t="str">
        <f aca="false">IF(OR($A441&gt;TOMATO_BED_CAP,$B441&gt;CARROT_BED_CAP,AC$4&gt;MESCLUN_BED_CAP,$A441+$B441+AC$4&gt;TOTAL_BEDS_AVAILABLE,($D441+AC$5)&gt;TOTAL_LABOR_HOURS_CAP,MAX(0,($D441+AC$5)-PERMANENT_FIELD_LABOR_HOURS)&gt;TEMP_HOURS_CAP),"",$C441+AC$6-MIN(($D441+AC$5),PERMANENT_FIELD_LABOR_HOURS)*PERMANENT_HOURLY_RATE-MAX(0,($D441+AC$5)-PERMANENT_FIELD_LABOR_HOURS)*TEMP_HOURLY_RATE-FIXED_SEASON_COST)</f>
        <v/>
      </c>
      <c r="AD441" s="53" t="str">
        <f aca="false">IF(OR($A441&gt;TOMATO_BED_CAP,$B441&gt;CARROT_BED_CAP,AD$4&gt;MESCLUN_BED_CAP,$A441+$B441+AD$4&gt;TOTAL_BEDS_AVAILABLE,($D441+AD$5)&gt;TOTAL_LABOR_HOURS_CAP,MAX(0,($D441+AD$5)-PERMANENT_FIELD_LABOR_HOURS)&gt;TEMP_HOURS_CAP),"",$C441+AD$6-MIN(($D441+AD$5),PERMANENT_FIELD_LABOR_HOURS)*PERMANENT_HOURLY_RATE-MAX(0,($D441+AD$5)-PERMANENT_FIELD_LABOR_HOURS)*TEMP_HOURLY_RATE-FIXED_SEASON_COST)</f>
        <v/>
      </c>
      <c r="AE441" s="53" t="str">
        <f aca="false">IF(OR($A441&gt;TOMATO_BED_CAP,$B441&gt;CARROT_BED_CAP,AE$4&gt;MESCLUN_BED_CAP,$A441+$B441+AE$4&gt;TOTAL_BEDS_AVAILABLE,($D441+AE$5)&gt;TOTAL_LABOR_HOURS_CAP,MAX(0,($D441+AE$5)-PERMANENT_FIELD_LABOR_HOURS)&gt;TEMP_HOURS_CAP),"",$C441+AE$6-MIN(($D441+AE$5),PERMANENT_FIELD_LABOR_HOURS)*PERMANENT_HOURLY_RATE-MAX(0,($D441+AE$5)-PERMANENT_FIELD_LABOR_HOURS)*TEMP_HOURLY_RATE-FIXED_SEASON_COST)</f>
        <v/>
      </c>
      <c r="AF441" s="53" t="str">
        <f aca="false">IF(OR($A441&gt;TOMATO_BED_CAP,$B441&gt;CARROT_BED_CAP,AF$4&gt;MESCLUN_BED_CAP,$A441+$B441+AF$4&gt;TOTAL_BEDS_AVAILABLE,($D441+AF$5)&gt;TOTAL_LABOR_HOURS_CAP,MAX(0,($D441+AF$5)-PERMANENT_FIELD_LABOR_HOURS)&gt;TEMP_HOURS_CAP),"",$C441+AF$6-MIN(($D441+AF$5),PERMANENT_FIELD_LABOR_HOURS)*PERMANENT_HOURLY_RATE-MAX(0,($D441+AF$5)-PERMANENT_FIELD_LABOR_HOURS)*TEMP_HOURLY_RATE-FIXED_SEASON_COST)</f>
        <v/>
      </c>
      <c r="AG441" s="53" t="str">
        <f aca="false">IF(OR($A441&gt;TOMATO_BED_CAP,$B441&gt;CARROT_BED_CAP,AG$4&gt;MESCLUN_BED_CAP,$A441+$B441+AG$4&gt;TOTAL_BEDS_AVAILABLE,($D441+AG$5)&gt;TOTAL_LABOR_HOURS_CAP,MAX(0,($D441+AG$5)-PERMANENT_FIELD_LABOR_HOURS)&gt;TEMP_HOURS_CAP),"",$C441+AG$6-MIN(($D441+AG$5),PERMANENT_FIELD_LABOR_HOURS)*PERMANENT_HOURLY_RATE-MAX(0,($D441+AG$5)-PERMANENT_FIELD_LABOR_HOURS)*TEMP_HOURLY_RATE-FIXED_SEASON_COST)</f>
        <v/>
      </c>
      <c r="AH441" s="53" t="str">
        <f aca="false">IF(OR($A441&gt;TOMATO_BED_CAP,$B441&gt;CARROT_BED_CAP,AH$4&gt;MESCLUN_BED_CAP,$A441+$B441+AH$4&gt;TOTAL_BEDS_AVAILABLE,($D441+AH$5)&gt;TOTAL_LABOR_HOURS_CAP,MAX(0,($D441+AH$5)-PERMANENT_FIELD_LABOR_HOURS)&gt;TEMP_HOURS_CAP),"",$C441+AH$6-MIN(($D441+AH$5),PERMANENT_FIELD_LABOR_HOURS)*PERMANENT_HOURLY_RATE-MAX(0,($D441+AH$5)-PERMANENT_FIELD_LABOR_HOURS)*TEMP_HOURLY_RATE-FIXED_SEASON_COST)</f>
        <v/>
      </c>
      <c r="AI441" s="53" t="str">
        <f aca="false">IF(OR($A441&gt;TOMATO_BED_CAP,$B441&gt;CARROT_BED_CAP,AI$4&gt;MESCLUN_BED_CAP,$A441+$B441+AI$4&gt;TOTAL_BEDS_AVAILABLE,($D441+AI$5)&gt;TOTAL_LABOR_HOURS_CAP,MAX(0,($D441+AI$5)-PERMANENT_FIELD_LABOR_HOURS)&gt;TEMP_HOURS_CAP),"",$C441+AI$6-MIN(($D441+AI$5),PERMANENT_FIELD_LABOR_HOURS)*PERMANENT_HOURLY_RATE-MAX(0,($D441+AI$5)-PERMANENT_FIELD_LABOR_HOURS)*TEMP_HOURLY_RATE-FIXED_SEASON_COST)</f>
        <v/>
      </c>
      <c r="AJ441" s="53" t="str">
        <f aca="false">IF(OR($A441&gt;TOMATO_BED_CAP,$B441&gt;CARROT_BED_CAP,AJ$4&gt;MESCLUN_BED_CAP,$A441+$B441+AJ$4&gt;TOTAL_BEDS_AVAILABLE,($D441+AJ$5)&gt;TOTAL_LABOR_HOURS_CAP,MAX(0,($D441+AJ$5)-PERMANENT_FIELD_LABOR_HOURS)&gt;TEMP_HOURS_CAP),"",$C441+AJ$6-MIN(($D441+AJ$5),PERMANENT_FIELD_LABOR_HOURS)*PERMANENT_HOURLY_RATE-MAX(0,($D441+AJ$5)-PERMANENT_FIELD_LABOR_HOURS)*TEMP_HOURLY_RATE-FIXED_SEASON_COST)</f>
        <v/>
      </c>
    </row>
    <row r="442" customFormat="false" ht="15" hidden="false" customHeight="false" outlineLevel="0" collapsed="false">
      <c r="A442" s="21" t="n">
        <f aca="false">INT((ROW()-ROW($A$8))/(20+1))</f>
        <v>20</v>
      </c>
      <c r="B442" s="21" t="n">
        <f aca="false">MOD(ROW()-ROW($A$8),20+1)</f>
        <v>14</v>
      </c>
      <c r="C442" s="13" t="n">
        <f aca="false">A442*(TOMATO_REVENUE_PER_BED-TOMATO_FERTILIZER_PER_BED)+B442*(CARROT_REVENUE_PER_BED-CARROT_FERTILIZER_PER_BED)</f>
        <v>181556</v>
      </c>
      <c r="D442" s="14" t="n">
        <f aca="false">INDEX(TOMATO_SCHED_LABOR_HRS,A442+1)+INDEX(CARROT_SCHED_LABOR_HRS,B442+1)</f>
        <v>12702.7115339932</v>
      </c>
      <c r="E442" s="13" t="str">
        <f aca="false">IF(COUNT(F442:AJ442)=0,"",MAX(F442:AJ442))</f>
        <v/>
      </c>
      <c r="F442" s="53" t="str">
        <f aca="false">IF(OR($A442&gt;TOMATO_BED_CAP,$B442&gt;CARROT_BED_CAP,F$4&gt;MESCLUN_BED_CAP,$A442+$B442+F$4&gt;TOTAL_BEDS_AVAILABLE,($D442+F$5)&gt;TOTAL_LABOR_HOURS_CAP,MAX(0,($D442+F$5)-PERMANENT_FIELD_LABOR_HOURS)&gt;TEMP_HOURS_CAP),"",$C442+F$6-MIN(($D442+F$5),PERMANENT_FIELD_LABOR_HOURS)*PERMANENT_HOURLY_RATE-MAX(0,($D442+F$5)-PERMANENT_FIELD_LABOR_HOURS)*TEMP_HOURLY_RATE-FIXED_SEASON_COST)</f>
        <v/>
      </c>
      <c r="G442" s="53" t="str">
        <f aca="false">IF(OR($A442&gt;TOMATO_BED_CAP,$B442&gt;CARROT_BED_CAP,G$4&gt;MESCLUN_BED_CAP,$A442+$B442+G$4&gt;TOTAL_BEDS_AVAILABLE,($D442+G$5)&gt;TOTAL_LABOR_HOURS_CAP,MAX(0,($D442+G$5)-PERMANENT_FIELD_LABOR_HOURS)&gt;TEMP_HOURS_CAP),"",$C442+G$6-MIN(($D442+G$5),PERMANENT_FIELD_LABOR_HOURS)*PERMANENT_HOURLY_RATE-MAX(0,($D442+G$5)-PERMANENT_FIELD_LABOR_HOURS)*TEMP_HOURLY_RATE-FIXED_SEASON_COST)</f>
        <v/>
      </c>
      <c r="H442" s="53" t="str">
        <f aca="false">IF(OR($A442&gt;TOMATO_BED_CAP,$B442&gt;CARROT_BED_CAP,H$4&gt;MESCLUN_BED_CAP,$A442+$B442+H$4&gt;TOTAL_BEDS_AVAILABLE,($D442+H$5)&gt;TOTAL_LABOR_HOURS_CAP,MAX(0,($D442+H$5)-PERMANENT_FIELD_LABOR_HOURS)&gt;TEMP_HOURS_CAP),"",$C442+H$6-MIN(($D442+H$5),PERMANENT_FIELD_LABOR_HOURS)*PERMANENT_HOURLY_RATE-MAX(0,($D442+H$5)-PERMANENT_FIELD_LABOR_HOURS)*TEMP_HOURLY_RATE-FIXED_SEASON_COST)</f>
        <v/>
      </c>
      <c r="I442" s="53" t="str">
        <f aca="false">IF(OR($A442&gt;TOMATO_BED_CAP,$B442&gt;CARROT_BED_CAP,I$4&gt;MESCLUN_BED_CAP,$A442+$B442+I$4&gt;TOTAL_BEDS_AVAILABLE,($D442+I$5)&gt;TOTAL_LABOR_HOURS_CAP,MAX(0,($D442+I$5)-PERMANENT_FIELD_LABOR_HOURS)&gt;TEMP_HOURS_CAP),"",$C442+I$6-MIN(($D442+I$5),PERMANENT_FIELD_LABOR_HOURS)*PERMANENT_HOURLY_RATE-MAX(0,($D442+I$5)-PERMANENT_FIELD_LABOR_HOURS)*TEMP_HOURLY_RATE-FIXED_SEASON_COST)</f>
        <v/>
      </c>
      <c r="J442" s="53" t="str">
        <f aca="false">IF(OR($A442&gt;TOMATO_BED_CAP,$B442&gt;CARROT_BED_CAP,J$4&gt;MESCLUN_BED_CAP,$A442+$B442+J$4&gt;TOTAL_BEDS_AVAILABLE,($D442+J$5)&gt;TOTAL_LABOR_HOURS_CAP,MAX(0,($D442+J$5)-PERMANENT_FIELD_LABOR_HOURS)&gt;TEMP_HOURS_CAP),"",$C442+J$6-MIN(($D442+J$5),PERMANENT_FIELD_LABOR_HOURS)*PERMANENT_HOURLY_RATE-MAX(0,($D442+J$5)-PERMANENT_FIELD_LABOR_HOURS)*TEMP_HOURLY_RATE-FIXED_SEASON_COST)</f>
        <v/>
      </c>
      <c r="K442" s="53" t="str">
        <f aca="false">IF(OR($A442&gt;TOMATO_BED_CAP,$B442&gt;CARROT_BED_CAP,K$4&gt;MESCLUN_BED_CAP,$A442+$B442+K$4&gt;TOTAL_BEDS_AVAILABLE,($D442+K$5)&gt;TOTAL_LABOR_HOURS_CAP,MAX(0,($D442+K$5)-PERMANENT_FIELD_LABOR_HOURS)&gt;TEMP_HOURS_CAP),"",$C442+K$6-MIN(($D442+K$5),PERMANENT_FIELD_LABOR_HOURS)*PERMANENT_HOURLY_RATE-MAX(0,($D442+K$5)-PERMANENT_FIELD_LABOR_HOURS)*TEMP_HOURLY_RATE-FIXED_SEASON_COST)</f>
        <v/>
      </c>
      <c r="L442" s="53" t="str">
        <f aca="false">IF(OR($A442&gt;TOMATO_BED_CAP,$B442&gt;CARROT_BED_CAP,L$4&gt;MESCLUN_BED_CAP,$A442+$B442+L$4&gt;TOTAL_BEDS_AVAILABLE,($D442+L$5)&gt;TOTAL_LABOR_HOURS_CAP,MAX(0,($D442+L$5)-PERMANENT_FIELD_LABOR_HOURS)&gt;TEMP_HOURS_CAP),"",$C442+L$6-MIN(($D442+L$5),PERMANENT_FIELD_LABOR_HOURS)*PERMANENT_HOURLY_RATE-MAX(0,($D442+L$5)-PERMANENT_FIELD_LABOR_HOURS)*TEMP_HOURLY_RATE-FIXED_SEASON_COST)</f>
        <v/>
      </c>
      <c r="M442" s="53" t="str">
        <f aca="false">IF(OR($A442&gt;TOMATO_BED_CAP,$B442&gt;CARROT_BED_CAP,M$4&gt;MESCLUN_BED_CAP,$A442+$B442+M$4&gt;TOTAL_BEDS_AVAILABLE,($D442+M$5)&gt;TOTAL_LABOR_HOURS_CAP,MAX(0,($D442+M$5)-PERMANENT_FIELD_LABOR_HOURS)&gt;TEMP_HOURS_CAP),"",$C442+M$6-MIN(($D442+M$5),PERMANENT_FIELD_LABOR_HOURS)*PERMANENT_HOURLY_RATE-MAX(0,($D442+M$5)-PERMANENT_FIELD_LABOR_HOURS)*TEMP_HOURLY_RATE-FIXED_SEASON_COST)</f>
        <v/>
      </c>
      <c r="N442" s="53" t="str">
        <f aca="false">IF(OR($A442&gt;TOMATO_BED_CAP,$B442&gt;CARROT_BED_CAP,N$4&gt;MESCLUN_BED_CAP,$A442+$B442+N$4&gt;TOTAL_BEDS_AVAILABLE,($D442+N$5)&gt;TOTAL_LABOR_HOURS_CAP,MAX(0,($D442+N$5)-PERMANENT_FIELD_LABOR_HOURS)&gt;TEMP_HOURS_CAP),"",$C442+N$6-MIN(($D442+N$5),PERMANENT_FIELD_LABOR_HOURS)*PERMANENT_HOURLY_RATE-MAX(0,($D442+N$5)-PERMANENT_FIELD_LABOR_HOURS)*TEMP_HOURLY_RATE-FIXED_SEASON_COST)</f>
        <v/>
      </c>
      <c r="O442" s="53" t="str">
        <f aca="false">IF(OR($A442&gt;TOMATO_BED_CAP,$B442&gt;CARROT_BED_CAP,O$4&gt;MESCLUN_BED_CAP,$A442+$B442+O$4&gt;TOTAL_BEDS_AVAILABLE,($D442+O$5)&gt;TOTAL_LABOR_HOURS_CAP,MAX(0,($D442+O$5)-PERMANENT_FIELD_LABOR_HOURS)&gt;TEMP_HOURS_CAP),"",$C442+O$6-MIN(($D442+O$5),PERMANENT_FIELD_LABOR_HOURS)*PERMANENT_HOURLY_RATE-MAX(0,($D442+O$5)-PERMANENT_FIELD_LABOR_HOURS)*TEMP_HOURLY_RATE-FIXED_SEASON_COST)</f>
        <v/>
      </c>
      <c r="P442" s="53" t="str">
        <f aca="false">IF(OR($A442&gt;TOMATO_BED_CAP,$B442&gt;CARROT_BED_CAP,P$4&gt;MESCLUN_BED_CAP,$A442+$B442+P$4&gt;TOTAL_BEDS_AVAILABLE,($D442+P$5)&gt;TOTAL_LABOR_HOURS_CAP,MAX(0,($D442+P$5)-PERMANENT_FIELD_LABOR_HOURS)&gt;TEMP_HOURS_CAP),"",$C442+P$6-MIN(($D442+P$5),PERMANENT_FIELD_LABOR_HOURS)*PERMANENT_HOURLY_RATE-MAX(0,($D442+P$5)-PERMANENT_FIELD_LABOR_HOURS)*TEMP_HOURLY_RATE-FIXED_SEASON_COST)</f>
        <v/>
      </c>
      <c r="Q442" s="53" t="str">
        <f aca="false">IF(OR($A442&gt;TOMATO_BED_CAP,$B442&gt;CARROT_BED_CAP,Q$4&gt;MESCLUN_BED_CAP,$A442+$B442+Q$4&gt;TOTAL_BEDS_AVAILABLE,($D442+Q$5)&gt;TOTAL_LABOR_HOURS_CAP,MAX(0,($D442+Q$5)-PERMANENT_FIELD_LABOR_HOURS)&gt;TEMP_HOURS_CAP),"",$C442+Q$6-MIN(($D442+Q$5),PERMANENT_FIELD_LABOR_HOURS)*PERMANENT_HOURLY_RATE-MAX(0,($D442+Q$5)-PERMANENT_FIELD_LABOR_HOURS)*TEMP_HOURLY_RATE-FIXED_SEASON_COST)</f>
        <v/>
      </c>
      <c r="R442" s="53" t="str">
        <f aca="false">IF(OR($A442&gt;TOMATO_BED_CAP,$B442&gt;CARROT_BED_CAP,R$4&gt;MESCLUN_BED_CAP,$A442+$B442+R$4&gt;TOTAL_BEDS_AVAILABLE,($D442+R$5)&gt;TOTAL_LABOR_HOURS_CAP,MAX(0,($D442+R$5)-PERMANENT_FIELD_LABOR_HOURS)&gt;TEMP_HOURS_CAP),"",$C442+R$6-MIN(($D442+R$5),PERMANENT_FIELD_LABOR_HOURS)*PERMANENT_HOURLY_RATE-MAX(0,($D442+R$5)-PERMANENT_FIELD_LABOR_HOURS)*TEMP_HOURLY_RATE-FIXED_SEASON_COST)</f>
        <v/>
      </c>
      <c r="S442" s="53" t="str">
        <f aca="false">IF(OR($A442&gt;TOMATO_BED_CAP,$B442&gt;CARROT_BED_CAP,S$4&gt;MESCLUN_BED_CAP,$A442+$B442+S$4&gt;TOTAL_BEDS_AVAILABLE,($D442+S$5)&gt;TOTAL_LABOR_HOURS_CAP,MAX(0,($D442+S$5)-PERMANENT_FIELD_LABOR_HOURS)&gt;TEMP_HOURS_CAP),"",$C442+S$6-MIN(($D442+S$5),PERMANENT_FIELD_LABOR_HOURS)*PERMANENT_HOURLY_RATE-MAX(0,($D442+S$5)-PERMANENT_FIELD_LABOR_HOURS)*TEMP_HOURLY_RATE-FIXED_SEASON_COST)</f>
        <v/>
      </c>
      <c r="T442" s="53" t="str">
        <f aca="false">IF(OR($A442&gt;TOMATO_BED_CAP,$B442&gt;CARROT_BED_CAP,T$4&gt;MESCLUN_BED_CAP,$A442+$B442+T$4&gt;TOTAL_BEDS_AVAILABLE,($D442+T$5)&gt;TOTAL_LABOR_HOURS_CAP,MAX(0,($D442+T$5)-PERMANENT_FIELD_LABOR_HOURS)&gt;TEMP_HOURS_CAP),"",$C442+T$6-MIN(($D442+T$5),PERMANENT_FIELD_LABOR_HOURS)*PERMANENT_HOURLY_RATE-MAX(0,($D442+T$5)-PERMANENT_FIELD_LABOR_HOURS)*TEMP_HOURLY_RATE-FIXED_SEASON_COST)</f>
        <v/>
      </c>
      <c r="U442" s="53" t="str">
        <f aca="false">IF(OR($A442&gt;TOMATO_BED_CAP,$B442&gt;CARROT_BED_CAP,U$4&gt;MESCLUN_BED_CAP,$A442+$B442+U$4&gt;TOTAL_BEDS_AVAILABLE,($D442+U$5)&gt;TOTAL_LABOR_HOURS_CAP,MAX(0,($D442+U$5)-PERMANENT_FIELD_LABOR_HOURS)&gt;TEMP_HOURS_CAP),"",$C442+U$6-MIN(($D442+U$5),PERMANENT_FIELD_LABOR_HOURS)*PERMANENT_HOURLY_RATE-MAX(0,($D442+U$5)-PERMANENT_FIELD_LABOR_HOURS)*TEMP_HOURLY_RATE-FIXED_SEASON_COST)</f>
        <v/>
      </c>
      <c r="V442" s="53" t="str">
        <f aca="false">IF(OR($A442&gt;TOMATO_BED_CAP,$B442&gt;CARROT_BED_CAP,V$4&gt;MESCLUN_BED_CAP,$A442+$B442+V$4&gt;TOTAL_BEDS_AVAILABLE,($D442+V$5)&gt;TOTAL_LABOR_HOURS_CAP,MAX(0,($D442+V$5)-PERMANENT_FIELD_LABOR_HOURS)&gt;TEMP_HOURS_CAP),"",$C442+V$6-MIN(($D442+V$5),PERMANENT_FIELD_LABOR_HOURS)*PERMANENT_HOURLY_RATE-MAX(0,($D442+V$5)-PERMANENT_FIELD_LABOR_HOURS)*TEMP_HOURLY_RATE-FIXED_SEASON_COST)</f>
        <v/>
      </c>
      <c r="W442" s="53" t="str">
        <f aca="false">IF(OR($A442&gt;TOMATO_BED_CAP,$B442&gt;CARROT_BED_CAP,W$4&gt;MESCLUN_BED_CAP,$A442+$B442+W$4&gt;TOTAL_BEDS_AVAILABLE,($D442+W$5)&gt;TOTAL_LABOR_HOURS_CAP,MAX(0,($D442+W$5)-PERMANENT_FIELD_LABOR_HOURS)&gt;TEMP_HOURS_CAP),"",$C442+W$6-MIN(($D442+W$5),PERMANENT_FIELD_LABOR_HOURS)*PERMANENT_HOURLY_RATE-MAX(0,($D442+W$5)-PERMANENT_FIELD_LABOR_HOURS)*TEMP_HOURLY_RATE-FIXED_SEASON_COST)</f>
        <v/>
      </c>
      <c r="X442" s="53" t="str">
        <f aca="false">IF(OR($A442&gt;TOMATO_BED_CAP,$B442&gt;CARROT_BED_CAP,X$4&gt;MESCLUN_BED_CAP,$A442+$B442+X$4&gt;TOTAL_BEDS_AVAILABLE,($D442+X$5)&gt;TOTAL_LABOR_HOURS_CAP,MAX(0,($D442+X$5)-PERMANENT_FIELD_LABOR_HOURS)&gt;TEMP_HOURS_CAP),"",$C442+X$6-MIN(($D442+X$5),PERMANENT_FIELD_LABOR_HOURS)*PERMANENT_HOURLY_RATE-MAX(0,($D442+X$5)-PERMANENT_FIELD_LABOR_HOURS)*TEMP_HOURLY_RATE-FIXED_SEASON_COST)</f>
        <v/>
      </c>
      <c r="Y442" s="53" t="str">
        <f aca="false">IF(OR($A442&gt;TOMATO_BED_CAP,$B442&gt;CARROT_BED_CAP,Y$4&gt;MESCLUN_BED_CAP,$A442+$B442+Y$4&gt;TOTAL_BEDS_AVAILABLE,($D442+Y$5)&gt;TOTAL_LABOR_HOURS_CAP,MAX(0,($D442+Y$5)-PERMANENT_FIELD_LABOR_HOURS)&gt;TEMP_HOURS_CAP),"",$C442+Y$6-MIN(($D442+Y$5),PERMANENT_FIELD_LABOR_HOURS)*PERMANENT_HOURLY_RATE-MAX(0,($D442+Y$5)-PERMANENT_FIELD_LABOR_HOURS)*TEMP_HOURLY_RATE-FIXED_SEASON_COST)</f>
        <v/>
      </c>
      <c r="Z442" s="53" t="str">
        <f aca="false">IF(OR($A442&gt;TOMATO_BED_CAP,$B442&gt;CARROT_BED_CAP,Z$4&gt;MESCLUN_BED_CAP,$A442+$B442+Z$4&gt;TOTAL_BEDS_AVAILABLE,($D442+Z$5)&gt;TOTAL_LABOR_HOURS_CAP,MAX(0,($D442+Z$5)-PERMANENT_FIELD_LABOR_HOURS)&gt;TEMP_HOURS_CAP),"",$C442+Z$6-MIN(($D442+Z$5),PERMANENT_FIELD_LABOR_HOURS)*PERMANENT_HOURLY_RATE-MAX(0,($D442+Z$5)-PERMANENT_FIELD_LABOR_HOURS)*TEMP_HOURLY_RATE-FIXED_SEASON_COST)</f>
        <v/>
      </c>
      <c r="AA442" s="53" t="str">
        <f aca="false">IF(OR($A442&gt;TOMATO_BED_CAP,$B442&gt;CARROT_BED_CAP,AA$4&gt;MESCLUN_BED_CAP,$A442+$B442+AA$4&gt;TOTAL_BEDS_AVAILABLE,($D442+AA$5)&gt;TOTAL_LABOR_HOURS_CAP,MAX(0,($D442+AA$5)-PERMANENT_FIELD_LABOR_HOURS)&gt;TEMP_HOURS_CAP),"",$C442+AA$6-MIN(($D442+AA$5),PERMANENT_FIELD_LABOR_HOURS)*PERMANENT_HOURLY_RATE-MAX(0,($D442+AA$5)-PERMANENT_FIELD_LABOR_HOURS)*TEMP_HOURLY_RATE-FIXED_SEASON_COST)</f>
        <v/>
      </c>
      <c r="AB442" s="53" t="str">
        <f aca="false">IF(OR($A442&gt;TOMATO_BED_CAP,$B442&gt;CARROT_BED_CAP,AB$4&gt;MESCLUN_BED_CAP,$A442+$B442+AB$4&gt;TOTAL_BEDS_AVAILABLE,($D442+AB$5)&gt;TOTAL_LABOR_HOURS_CAP,MAX(0,($D442+AB$5)-PERMANENT_FIELD_LABOR_HOURS)&gt;TEMP_HOURS_CAP),"",$C442+AB$6-MIN(($D442+AB$5),PERMANENT_FIELD_LABOR_HOURS)*PERMANENT_HOURLY_RATE-MAX(0,($D442+AB$5)-PERMANENT_FIELD_LABOR_HOURS)*TEMP_HOURLY_RATE-FIXED_SEASON_COST)</f>
        <v/>
      </c>
      <c r="AC442" s="53" t="str">
        <f aca="false">IF(OR($A442&gt;TOMATO_BED_CAP,$B442&gt;CARROT_BED_CAP,AC$4&gt;MESCLUN_BED_CAP,$A442+$B442+AC$4&gt;TOTAL_BEDS_AVAILABLE,($D442+AC$5)&gt;TOTAL_LABOR_HOURS_CAP,MAX(0,($D442+AC$5)-PERMANENT_FIELD_LABOR_HOURS)&gt;TEMP_HOURS_CAP),"",$C442+AC$6-MIN(($D442+AC$5),PERMANENT_FIELD_LABOR_HOURS)*PERMANENT_HOURLY_RATE-MAX(0,($D442+AC$5)-PERMANENT_FIELD_LABOR_HOURS)*TEMP_HOURLY_RATE-FIXED_SEASON_COST)</f>
        <v/>
      </c>
      <c r="AD442" s="53" t="str">
        <f aca="false">IF(OR($A442&gt;TOMATO_BED_CAP,$B442&gt;CARROT_BED_CAP,AD$4&gt;MESCLUN_BED_CAP,$A442+$B442+AD$4&gt;TOTAL_BEDS_AVAILABLE,($D442+AD$5)&gt;TOTAL_LABOR_HOURS_CAP,MAX(0,($D442+AD$5)-PERMANENT_FIELD_LABOR_HOURS)&gt;TEMP_HOURS_CAP),"",$C442+AD$6-MIN(($D442+AD$5),PERMANENT_FIELD_LABOR_HOURS)*PERMANENT_HOURLY_RATE-MAX(0,($D442+AD$5)-PERMANENT_FIELD_LABOR_HOURS)*TEMP_HOURLY_RATE-FIXED_SEASON_COST)</f>
        <v/>
      </c>
      <c r="AE442" s="53" t="str">
        <f aca="false">IF(OR($A442&gt;TOMATO_BED_CAP,$B442&gt;CARROT_BED_CAP,AE$4&gt;MESCLUN_BED_CAP,$A442+$B442+AE$4&gt;TOTAL_BEDS_AVAILABLE,($D442+AE$5)&gt;TOTAL_LABOR_HOURS_CAP,MAX(0,($D442+AE$5)-PERMANENT_FIELD_LABOR_HOURS)&gt;TEMP_HOURS_CAP),"",$C442+AE$6-MIN(($D442+AE$5),PERMANENT_FIELD_LABOR_HOURS)*PERMANENT_HOURLY_RATE-MAX(0,($D442+AE$5)-PERMANENT_FIELD_LABOR_HOURS)*TEMP_HOURLY_RATE-FIXED_SEASON_COST)</f>
        <v/>
      </c>
      <c r="AF442" s="53" t="str">
        <f aca="false">IF(OR($A442&gt;TOMATO_BED_CAP,$B442&gt;CARROT_BED_CAP,AF$4&gt;MESCLUN_BED_CAP,$A442+$B442+AF$4&gt;TOTAL_BEDS_AVAILABLE,($D442+AF$5)&gt;TOTAL_LABOR_HOURS_CAP,MAX(0,($D442+AF$5)-PERMANENT_FIELD_LABOR_HOURS)&gt;TEMP_HOURS_CAP),"",$C442+AF$6-MIN(($D442+AF$5),PERMANENT_FIELD_LABOR_HOURS)*PERMANENT_HOURLY_RATE-MAX(0,($D442+AF$5)-PERMANENT_FIELD_LABOR_HOURS)*TEMP_HOURLY_RATE-FIXED_SEASON_COST)</f>
        <v/>
      </c>
      <c r="AG442" s="53" t="str">
        <f aca="false">IF(OR($A442&gt;TOMATO_BED_CAP,$B442&gt;CARROT_BED_CAP,AG$4&gt;MESCLUN_BED_CAP,$A442+$B442+AG$4&gt;TOTAL_BEDS_AVAILABLE,($D442+AG$5)&gt;TOTAL_LABOR_HOURS_CAP,MAX(0,($D442+AG$5)-PERMANENT_FIELD_LABOR_HOURS)&gt;TEMP_HOURS_CAP),"",$C442+AG$6-MIN(($D442+AG$5),PERMANENT_FIELD_LABOR_HOURS)*PERMANENT_HOURLY_RATE-MAX(0,($D442+AG$5)-PERMANENT_FIELD_LABOR_HOURS)*TEMP_HOURLY_RATE-FIXED_SEASON_COST)</f>
        <v/>
      </c>
      <c r="AH442" s="53" t="str">
        <f aca="false">IF(OR($A442&gt;TOMATO_BED_CAP,$B442&gt;CARROT_BED_CAP,AH$4&gt;MESCLUN_BED_CAP,$A442+$B442+AH$4&gt;TOTAL_BEDS_AVAILABLE,($D442+AH$5)&gt;TOTAL_LABOR_HOURS_CAP,MAX(0,($D442+AH$5)-PERMANENT_FIELD_LABOR_HOURS)&gt;TEMP_HOURS_CAP),"",$C442+AH$6-MIN(($D442+AH$5),PERMANENT_FIELD_LABOR_HOURS)*PERMANENT_HOURLY_RATE-MAX(0,($D442+AH$5)-PERMANENT_FIELD_LABOR_HOURS)*TEMP_HOURLY_RATE-FIXED_SEASON_COST)</f>
        <v/>
      </c>
      <c r="AI442" s="53" t="str">
        <f aca="false">IF(OR($A442&gt;TOMATO_BED_CAP,$B442&gt;CARROT_BED_CAP,AI$4&gt;MESCLUN_BED_CAP,$A442+$B442+AI$4&gt;TOTAL_BEDS_AVAILABLE,($D442+AI$5)&gt;TOTAL_LABOR_HOURS_CAP,MAX(0,($D442+AI$5)-PERMANENT_FIELD_LABOR_HOURS)&gt;TEMP_HOURS_CAP),"",$C442+AI$6-MIN(($D442+AI$5),PERMANENT_FIELD_LABOR_HOURS)*PERMANENT_HOURLY_RATE-MAX(0,($D442+AI$5)-PERMANENT_FIELD_LABOR_HOURS)*TEMP_HOURLY_RATE-FIXED_SEASON_COST)</f>
        <v/>
      </c>
      <c r="AJ442" s="53" t="str">
        <f aca="false">IF(OR($A442&gt;TOMATO_BED_CAP,$B442&gt;CARROT_BED_CAP,AJ$4&gt;MESCLUN_BED_CAP,$A442+$B442+AJ$4&gt;TOTAL_BEDS_AVAILABLE,($D442+AJ$5)&gt;TOTAL_LABOR_HOURS_CAP,MAX(0,($D442+AJ$5)-PERMANENT_FIELD_LABOR_HOURS)&gt;TEMP_HOURS_CAP),"",$C442+AJ$6-MIN(($D442+AJ$5),PERMANENT_FIELD_LABOR_HOURS)*PERMANENT_HOURLY_RATE-MAX(0,($D442+AJ$5)-PERMANENT_FIELD_LABOR_HOURS)*TEMP_HOURLY_RATE-FIXED_SEASON_COST)</f>
        <v/>
      </c>
    </row>
    <row r="443" customFormat="false" ht="15" hidden="false" customHeight="false" outlineLevel="0" collapsed="false">
      <c r="A443" s="21" t="n">
        <f aca="false">INT((ROW()-ROW($A$8))/(20+1))</f>
        <v>20</v>
      </c>
      <c r="B443" s="21" t="n">
        <f aca="false">MOD(ROW()-ROW($A$8),20+1)</f>
        <v>15</v>
      </c>
      <c r="C443" s="13" t="n">
        <f aca="false">A443*(TOMATO_REVENUE_PER_BED-TOMATO_FERTILIZER_PER_BED)+B443*(CARROT_REVENUE_PER_BED-CARROT_FERTILIZER_PER_BED)</f>
        <v>183210</v>
      </c>
      <c r="D443" s="14" t="n">
        <f aca="false">INDEX(TOMATO_SCHED_LABOR_HRS,A443+1)+INDEX(CARROT_SCHED_LABOR_HRS,B443+1)</f>
        <v>12760.9733900403</v>
      </c>
      <c r="E443" s="13" t="str">
        <f aca="false">IF(COUNT(F443:AJ443)=0,"",MAX(F443:AJ443))</f>
        <v/>
      </c>
      <c r="F443" s="53" t="str">
        <f aca="false">IF(OR($A443&gt;TOMATO_BED_CAP,$B443&gt;CARROT_BED_CAP,F$4&gt;MESCLUN_BED_CAP,$A443+$B443+F$4&gt;TOTAL_BEDS_AVAILABLE,($D443+F$5)&gt;TOTAL_LABOR_HOURS_CAP,MAX(0,($D443+F$5)-PERMANENT_FIELD_LABOR_HOURS)&gt;TEMP_HOURS_CAP),"",$C443+F$6-MIN(($D443+F$5),PERMANENT_FIELD_LABOR_HOURS)*PERMANENT_HOURLY_RATE-MAX(0,($D443+F$5)-PERMANENT_FIELD_LABOR_HOURS)*TEMP_HOURLY_RATE-FIXED_SEASON_COST)</f>
        <v/>
      </c>
      <c r="G443" s="53" t="str">
        <f aca="false">IF(OR($A443&gt;TOMATO_BED_CAP,$B443&gt;CARROT_BED_CAP,G$4&gt;MESCLUN_BED_CAP,$A443+$B443+G$4&gt;TOTAL_BEDS_AVAILABLE,($D443+G$5)&gt;TOTAL_LABOR_HOURS_CAP,MAX(0,($D443+G$5)-PERMANENT_FIELD_LABOR_HOURS)&gt;TEMP_HOURS_CAP),"",$C443+G$6-MIN(($D443+G$5),PERMANENT_FIELD_LABOR_HOURS)*PERMANENT_HOURLY_RATE-MAX(0,($D443+G$5)-PERMANENT_FIELD_LABOR_HOURS)*TEMP_HOURLY_RATE-FIXED_SEASON_COST)</f>
        <v/>
      </c>
      <c r="H443" s="53" t="str">
        <f aca="false">IF(OR($A443&gt;TOMATO_BED_CAP,$B443&gt;CARROT_BED_CAP,H$4&gt;MESCLUN_BED_CAP,$A443+$B443+H$4&gt;TOTAL_BEDS_AVAILABLE,($D443+H$5)&gt;TOTAL_LABOR_HOURS_CAP,MAX(0,($D443+H$5)-PERMANENT_FIELD_LABOR_HOURS)&gt;TEMP_HOURS_CAP),"",$C443+H$6-MIN(($D443+H$5),PERMANENT_FIELD_LABOR_HOURS)*PERMANENT_HOURLY_RATE-MAX(0,($D443+H$5)-PERMANENT_FIELD_LABOR_HOURS)*TEMP_HOURLY_RATE-FIXED_SEASON_COST)</f>
        <v/>
      </c>
      <c r="I443" s="53" t="str">
        <f aca="false">IF(OR($A443&gt;TOMATO_BED_CAP,$B443&gt;CARROT_BED_CAP,I$4&gt;MESCLUN_BED_CAP,$A443+$B443+I$4&gt;TOTAL_BEDS_AVAILABLE,($D443+I$5)&gt;TOTAL_LABOR_HOURS_CAP,MAX(0,($D443+I$5)-PERMANENT_FIELD_LABOR_HOURS)&gt;TEMP_HOURS_CAP),"",$C443+I$6-MIN(($D443+I$5),PERMANENT_FIELD_LABOR_HOURS)*PERMANENT_HOURLY_RATE-MAX(0,($D443+I$5)-PERMANENT_FIELD_LABOR_HOURS)*TEMP_HOURLY_RATE-FIXED_SEASON_COST)</f>
        <v/>
      </c>
      <c r="J443" s="53" t="str">
        <f aca="false">IF(OR($A443&gt;TOMATO_BED_CAP,$B443&gt;CARROT_BED_CAP,J$4&gt;MESCLUN_BED_CAP,$A443+$B443+J$4&gt;TOTAL_BEDS_AVAILABLE,($D443+J$5)&gt;TOTAL_LABOR_HOURS_CAP,MAX(0,($D443+J$5)-PERMANENT_FIELD_LABOR_HOURS)&gt;TEMP_HOURS_CAP),"",$C443+J$6-MIN(($D443+J$5),PERMANENT_FIELD_LABOR_HOURS)*PERMANENT_HOURLY_RATE-MAX(0,($D443+J$5)-PERMANENT_FIELD_LABOR_HOURS)*TEMP_HOURLY_RATE-FIXED_SEASON_COST)</f>
        <v/>
      </c>
      <c r="K443" s="53" t="str">
        <f aca="false">IF(OR($A443&gt;TOMATO_BED_CAP,$B443&gt;CARROT_BED_CAP,K$4&gt;MESCLUN_BED_CAP,$A443+$B443+K$4&gt;TOTAL_BEDS_AVAILABLE,($D443+K$5)&gt;TOTAL_LABOR_HOURS_CAP,MAX(0,($D443+K$5)-PERMANENT_FIELD_LABOR_HOURS)&gt;TEMP_HOURS_CAP),"",$C443+K$6-MIN(($D443+K$5),PERMANENT_FIELD_LABOR_HOURS)*PERMANENT_HOURLY_RATE-MAX(0,($D443+K$5)-PERMANENT_FIELD_LABOR_HOURS)*TEMP_HOURLY_RATE-FIXED_SEASON_COST)</f>
        <v/>
      </c>
      <c r="L443" s="53" t="str">
        <f aca="false">IF(OR($A443&gt;TOMATO_BED_CAP,$B443&gt;CARROT_BED_CAP,L$4&gt;MESCLUN_BED_CAP,$A443+$B443+L$4&gt;TOTAL_BEDS_AVAILABLE,($D443+L$5)&gt;TOTAL_LABOR_HOURS_CAP,MAX(0,($D443+L$5)-PERMANENT_FIELD_LABOR_HOURS)&gt;TEMP_HOURS_CAP),"",$C443+L$6-MIN(($D443+L$5),PERMANENT_FIELD_LABOR_HOURS)*PERMANENT_HOURLY_RATE-MAX(0,($D443+L$5)-PERMANENT_FIELD_LABOR_HOURS)*TEMP_HOURLY_RATE-FIXED_SEASON_COST)</f>
        <v/>
      </c>
      <c r="M443" s="53" t="str">
        <f aca="false">IF(OR($A443&gt;TOMATO_BED_CAP,$B443&gt;CARROT_BED_CAP,M$4&gt;MESCLUN_BED_CAP,$A443+$B443+M$4&gt;TOTAL_BEDS_AVAILABLE,($D443+M$5)&gt;TOTAL_LABOR_HOURS_CAP,MAX(0,($D443+M$5)-PERMANENT_FIELD_LABOR_HOURS)&gt;TEMP_HOURS_CAP),"",$C443+M$6-MIN(($D443+M$5),PERMANENT_FIELD_LABOR_HOURS)*PERMANENT_HOURLY_RATE-MAX(0,($D443+M$5)-PERMANENT_FIELD_LABOR_HOURS)*TEMP_HOURLY_RATE-FIXED_SEASON_COST)</f>
        <v/>
      </c>
      <c r="N443" s="53" t="str">
        <f aca="false">IF(OR($A443&gt;TOMATO_BED_CAP,$B443&gt;CARROT_BED_CAP,N$4&gt;MESCLUN_BED_CAP,$A443+$B443+N$4&gt;TOTAL_BEDS_AVAILABLE,($D443+N$5)&gt;TOTAL_LABOR_HOURS_CAP,MAX(0,($D443+N$5)-PERMANENT_FIELD_LABOR_HOURS)&gt;TEMP_HOURS_CAP),"",$C443+N$6-MIN(($D443+N$5),PERMANENT_FIELD_LABOR_HOURS)*PERMANENT_HOURLY_RATE-MAX(0,($D443+N$5)-PERMANENT_FIELD_LABOR_HOURS)*TEMP_HOURLY_RATE-FIXED_SEASON_COST)</f>
        <v/>
      </c>
      <c r="O443" s="53" t="str">
        <f aca="false">IF(OR($A443&gt;TOMATO_BED_CAP,$B443&gt;CARROT_BED_CAP,O$4&gt;MESCLUN_BED_CAP,$A443+$B443+O$4&gt;TOTAL_BEDS_AVAILABLE,($D443+O$5)&gt;TOTAL_LABOR_HOURS_CAP,MAX(0,($D443+O$5)-PERMANENT_FIELD_LABOR_HOURS)&gt;TEMP_HOURS_CAP),"",$C443+O$6-MIN(($D443+O$5),PERMANENT_FIELD_LABOR_HOURS)*PERMANENT_HOURLY_RATE-MAX(0,($D443+O$5)-PERMANENT_FIELD_LABOR_HOURS)*TEMP_HOURLY_RATE-FIXED_SEASON_COST)</f>
        <v/>
      </c>
      <c r="P443" s="53" t="str">
        <f aca="false">IF(OR($A443&gt;TOMATO_BED_CAP,$B443&gt;CARROT_BED_CAP,P$4&gt;MESCLUN_BED_CAP,$A443+$B443+P$4&gt;TOTAL_BEDS_AVAILABLE,($D443+P$5)&gt;TOTAL_LABOR_HOURS_CAP,MAX(0,($D443+P$5)-PERMANENT_FIELD_LABOR_HOURS)&gt;TEMP_HOURS_CAP),"",$C443+P$6-MIN(($D443+P$5),PERMANENT_FIELD_LABOR_HOURS)*PERMANENT_HOURLY_RATE-MAX(0,($D443+P$5)-PERMANENT_FIELD_LABOR_HOURS)*TEMP_HOURLY_RATE-FIXED_SEASON_COST)</f>
        <v/>
      </c>
      <c r="Q443" s="53" t="str">
        <f aca="false">IF(OR($A443&gt;TOMATO_BED_CAP,$B443&gt;CARROT_BED_CAP,Q$4&gt;MESCLUN_BED_CAP,$A443+$B443+Q$4&gt;TOTAL_BEDS_AVAILABLE,($D443+Q$5)&gt;TOTAL_LABOR_HOURS_CAP,MAX(0,($D443+Q$5)-PERMANENT_FIELD_LABOR_HOURS)&gt;TEMP_HOURS_CAP),"",$C443+Q$6-MIN(($D443+Q$5),PERMANENT_FIELD_LABOR_HOURS)*PERMANENT_HOURLY_RATE-MAX(0,($D443+Q$5)-PERMANENT_FIELD_LABOR_HOURS)*TEMP_HOURLY_RATE-FIXED_SEASON_COST)</f>
        <v/>
      </c>
      <c r="R443" s="53" t="str">
        <f aca="false">IF(OR($A443&gt;TOMATO_BED_CAP,$B443&gt;CARROT_BED_CAP,R$4&gt;MESCLUN_BED_CAP,$A443+$B443+R$4&gt;TOTAL_BEDS_AVAILABLE,($D443+R$5)&gt;TOTAL_LABOR_HOURS_CAP,MAX(0,($D443+R$5)-PERMANENT_FIELD_LABOR_HOURS)&gt;TEMP_HOURS_CAP),"",$C443+R$6-MIN(($D443+R$5),PERMANENT_FIELD_LABOR_HOURS)*PERMANENT_HOURLY_RATE-MAX(0,($D443+R$5)-PERMANENT_FIELD_LABOR_HOURS)*TEMP_HOURLY_RATE-FIXED_SEASON_COST)</f>
        <v/>
      </c>
      <c r="S443" s="53" t="str">
        <f aca="false">IF(OR($A443&gt;TOMATO_BED_CAP,$B443&gt;CARROT_BED_CAP,S$4&gt;MESCLUN_BED_CAP,$A443+$B443+S$4&gt;TOTAL_BEDS_AVAILABLE,($D443+S$5)&gt;TOTAL_LABOR_HOURS_CAP,MAX(0,($D443+S$5)-PERMANENT_FIELD_LABOR_HOURS)&gt;TEMP_HOURS_CAP),"",$C443+S$6-MIN(($D443+S$5),PERMANENT_FIELD_LABOR_HOURS)*PERMANENT_HOURLY_RATE-MAX(0,($D443+S$5)-PERMANENT_FIELD_LABOR_HOURS)*TEMP_HOURLY_RATE-FIXED_SEASON_COST)</f>
        <v/>
      </c>
      <c r="T443" s="53" t="str">
        <f aca="false">IF(OR($A443&gt;TOMATO_BED_CAP,$B443&gt;CARROT_BED_CAP,T$4&gt;MESCLUN_BED_CAP,$A443+$B443+T$4&gt;TOTAL_BEDS_AVAILABLE,($D443+T$5)&gt;TOTAL_LABOR_HOURS_CAP,MAX(0,($D443+T$5)-PERMANENT_FIELD_LABOR_HOURS)&gt;TEMP_HOURS_CAP),"",$C443+T$6-MIN(($D443+T$5),PERMANENT_FIELD_LABOR_HOURS)*PERMANENT_HOURLY_RATE-MAX(0,($D443+T$5)-PERMANENT_FIELD_LABOR_HOURS)*TEMP_HOURLY_RATE-FIXED_SEASON_COST)</f>
        <v/>
      </c>
      <c r="U443" s="53" t="str">
        <f aca="false">IF(OR($A443&gt;TOMATO_BED_CAP,$B443&gt;CARROT_BED_CAP,U$4&gt;MESCLUN_BED_CAP,$A443+$B443+U$4&gt;TOTAL_BEDS_AVAILABLE,($D443+U$5)&gt;TOTAL_LABOR_HOURS_CAP,MAX(0,($D443+U$5)-PERMANENT_FIELD_LABOR_HOURS)&gt;TEMP_HOURS_CAP),"",$C443+U$6-MIN(($D443+U$5),PERMANENT_FIELD_LABOR_HOURS)*PERMANENT_HOURLY_RATE-MAX(0,($D443+U$5)-PERMANENT_FIELD_LABOR_HOURS)*TEMP_HOURLY_RATE-FIXED_SEASON_COST)</f>
        <v/>
      </c>
      <c r="V443" s="53" t="str">
        <f aca="false">IF(OR($A443&gt;TOMATO_BED_CAP,$B443&gt;CARROT_BED_CAP,V$4&gt;MESCLUN_BED_CAP,$A443+$B443+V$4&gt;TOTAL_BEDS_AVAILABLE,($D443+V$5)&gt;TOTAL_LABOR_HOURS_CAP,MAX(0,($D443+V$5)-PERMANENT_FIELD_LABOR_HOURS)&gt;TEMP_HOURS_CAP),"",$C443+V$6-MIN(($D443+V$5),PERMANENT_FIELD_LABOR_HOURS)*PERMANENT_HOURLY_RATE-MAX(0,($D443+V$5)-PERMANENT_FIELD_LABOR_HOURS)*TEMP_HOURLY_RATE-FIXED_SEASON_COST)</f>
        <v/>
      </c>
      <c r="W443" s="53" t="str">
        <f aca="false">IF(OR($A443&gt;TOMATO_BED_CAP,$B443&gt;CARROT_BED_CAP,W$4&gt;MESCLUN_BED_CAP,$A443+$B443+W$4&gt;TOTAL_BEDS_AVAILABLE,($D443+W$5)&gt;TOTAL_LABOR_HOURS_CAP,MAX(0,($D443+W$5)-PERMANENT_FIELD_LABOR_HOURS)&gt;TEMP_HOURS_CAP),"",$C443+W$6-MIN(($D443+W$5),PERMANENT_FIELD_LABOR_HOURS)*PERMANENT_HOURLY_RATE-MAX(0,($D443+W$5)-PERMANENT_FIELD_LABOR_HOURS)*TEMP_HOURLY_RATE-FIXED_SEASON_COST)</f>
        <v/>
      </c>
      <c r="X443" s="53" t="str">
        <f aca="false">IF(OR($A443&gt;TOMATO_BED_CAP,$B443&gt;CARROT_BED_CAP,X$4&gt;MESCLUN_BED_CAP,$A443+$B443+X$4&gt;TOTAL_BEDS_AVAILABLE,($D443+X$5)&gt;TOTAL_LABOR_HOURS_CAP,MAX(0,($D443+X$5)-PERMANENT_FIELD_LABOR_HOURS)&gt;TEMP_HOURS_CAP),"",$C443+X$6-MIN(($D443+X$5),PERMANENT_FIELD_LABOR_HOURS)*PERMANENT_HOURLY_RATE-MAX(0,($D443+X$5)-PERMANENT_FIELD_LABOR_HOURS)*TEMP_HOURLY_RATE-FIXED_SEASON_COST)</f>
        <v/>
      </c>
      <c r="Y443" s="53" t="str">
        <f aca="false">IF(OR($A443&gt;TOMATO_BED_CAP,$B443&gt;CARROT_BED_CAP,Y$4&gt;MESCLUN_BED_CAP,$A443+$B443+Y$4&gt;TOTAL_BEDS_AVAILABLE,($D443+Y$5)&gt;TOTAL_LABOR_HOURS_CAP,MAX(0,($D443+Y$5)-PERMANENT_FIELD_LABOR_HOURS)&gt;TEMP_HOURS_CAP),"",$C443+Y$6-MIN(($D443+Y$5),PERMANENT_FIELD_LABOR_HOURS)*PERMANENT_HOURLY_RATE-MAX(0,($D443+Y$5)-PERMANENT_FIELD_LABOR_HOURS)*TEMP_HOURLY_RATE-FIXED_SEASON_COST)</f>
        <v/>
      </c>
      <c r="Z443" s="53" t="str">
        <f aca="false">IF(OR($A443&gt;TOMATO_BED_CAP,$B443&gt;CARROT_BED_CAP,Z$4&gt;MESCLUN_BED_CAP,$A443+$B443+Z$4&gt;TOTAL_BEDS_AVAILABLE,($D443+Z$5)&gt;TOTAL_LABOR_HOURS_CAP,MAX(0,($D443+Z$5)-PERMANENT_FIELD_LABOR_HOURS)&gt;TEMP_HOURS_CAP),"",$C443+Z$6-MIN(($D443+Z$5),PERMANENT_FIELD_LABOR_HOURS)*PERMANENT_HOURLY_RATE-MAX(0,($D443+Z$5)-PERMANENT_FIELD_LABOR_HOURS)*TEMP_HOURLY_RATE-FIXED_SEASON_COST)</f>
        <v/>
      </c>
      <c r="AA443" s="53" t="str">
        <f aca="false">IF(OR($A443&gt;TOMATO_BED_CAP,$B443&gt;CARROT_BED_CAP,AA$4&gt;MESCLUN_BED_CAP,$A443+$B443+AA$4&gt;TOTAL_BEDS_AVAILABLE,($D443+AA$5)&gt;TOTAL_LABOR_HOURS_CAP,MAX(0,($D443+AA$5)-PERMANENT_FIELD_LABOR_HOURS)&gt;TEMP_HOURS_CAP),"",$C443+AA$6-MIN(($D443+AA$5),PERMANENT_FIELD_LABOR_HOURS)*PERMANENT_HOURLY_RATE-MAX(0,($D443+AA$5)-PERMANENT_FIELD_LABOR_HOURS)*TEMP_HOURLY_RATE-FIXED_SEASON_COST)</f>
        <v/>
      </c>
      <c r="AB443" s="53" t="str">
        <f aca="false">IF(OR($A443&gt;TOMATO_BED_CAP,$B443&gt;CARROT_BED_CAP,AB$4&gt;MESCLUN_BED_CAP,$A443+$B443+AB$4&gt;TOTAL_BEDS_AVAILABLE,($D443+AB$5)&gt;TOTAL_LABOR_HOURS_CAP,MAX(0,($D443+AB$5)-PERMANENT_FIELD_LABOR_HOURS)&gt;TEMP_HOURS_CAP),"",$C443+AB$6-MIN(($D443+AB$5),PERMANENT_FIELD_LABOR_HOURS)*PERMANENT_HOURLY_RATE-MAX(0,($D443+AB$5)-PERMANENT_FIELD_LABOR_HOURS)*TEMP_HOURLY_RATE-FIXED_SEASON_COST)</f>
        <v/>
      </c>
      <c r="AC443" s="53" t="str">
        <f aca="false">IF(OR($A443&gt;TOMATO_BED_CAP,$B443&gt;CARROT_BED_CAP,AC$4&gt;MESCLUN_BED_CAP,$A443+$B443+AC$4&gt;TOTAL_BEDS_AVAILABLE,($D443+AC$5)&gt;TOTAL_LABOR_HOURS_CAP,MAX(0,($D443+AC$5)-PERMANENT_FIELD_LABOR_HOURS)&gt;TEMP_HOURS_CAP),"",$C443+AC$6-MIN(($D443+AC$5),PERMANENT_FIELD_LABOR_HOURS)*PERMANENT_HOURLY_RATE-MAX(0,($D443+AC$5)-PERMANENT_FIELD_LABOR_HOURS)*TEMP_HOURLY_RATE-FIXED_SEASON_COST)</f>
        <v/>
      </c>
      <c r="AD443" s="53" t="str">
        <f aca="false">IF(OR($A443&gt;TOMATO_BED_CAP,$B443&gt;CARROT_BED_CAP,AD$4&gt;MESCLUN_BED_CAP,$A443+$B443+AD$4&gt;TOTAL_BEDS_AVAILABLE,($D443+AD$5)&gt;TOTAL_LABOR_HOURS_CAP,MAX(0,($D443+AD$5)-PERMANENT_FIELD_LABOR_HOURS)&gt;TEMP_HOURS_CAP),"",$C443+AD$6-MIN(($D443+AD$5),PERMANENT_FIELD_LABOR_HOURS)*PERMANENT_HOURLY_RATE-MAX(0,($D443+AD$5)-PERMANENT_FIELD_LABOR_HOURS)*TEMP_HOURLY_RATE-FIXED_SEASON_COST)</f>
        <v/>
      </c>
      <c r="AE443" s="53" t="str">
        <f aca="false">IF(OR($A443&gt;TOMATO_BED_CAP,$B443&gt;CARROT_BED_CAP,AE$4&gt;MESCLUN_BED_CAP,$A443+$B443+AE$4&gt;TOTAL_BEDS_AVAILABLE,($D443+AE$5)&gt;TOTAL_LABOR_HOURS_CAP,MAX(0,($D443+AE$5)-PERMANENT_FIELD_LABOR_HOURS)&gt;TEMP_HOURS_CAP),"",$C443+AE$6-MIN(($D443+AE$5),PERMANENT_FIELD_LABOR_HOURS)*PERMANENT_HOURLY_RATE-MAX(0,($D443+AE$5)-PERMANENT_FIELD_LABOR_HOURS)*TEMP_HOURLY_RATE-FIXED_SEASON_COST)</f>
        <v/>
      </c>
      <c r="AF443" s="53" t="str">
        <f aca="false">IF(OR($A443&gt;TOMATO_BED_CAP,$B443&gt;CARROT_BED_CAP,AF$4&gt;MESCLUN_BED_CAP,$A443+$B443+AF$4&gt;TOTAL_BEDS_AVAILABLE,($D443+AF$5)&gt;TOTAL_LABOR_HOURS_CAP,MAX(0,($D443+AF$5)-PERMANENT_FIELD_LABOR_HOURS)&gt;TEMP_HOURS_CAP),"",$C443+AF$6-MIN(($D443+AF$5),PERMANENT_FIELD_LABOR_HOURS)*PERMANENT_HOURLY_RATE-MAX(0,($D443+AF$5)-PERMANENT_FIELD_LABOR_HOURS)*TEMP_HOURLY_RATE-FIXED_SEASON_COST)</f>
        <v/>
      </c>
      <c r="AG443" s="53" t="str">
        <f aca="false">IF(OR($A443&gt;TOMATO_BED_CAP,$B443&gt;CARROT_BED_CAP,AG$4&gt;MESCLUN_BED_CAP,$A443+$B443+AG$4&gt;TOTAL_BEDS_AVAILABLE,($D443+AG$5)&gt;TOTAL_LABOR_HOURS_CAP,MAX(0,($D443+AG$5)-PERMANENT_FIELD_LABOR_HOURS)&gt;TEMP_HOURS_CAP),"",$C443+AG$6-MIN(($D443+AG$5),PERMANENT_FIELD_LABOR_HOURS)*PERMANENT_HOURLY_RATE-MAX(0,($D443+AG$5)-PERMANENT_FIELD_LABOR_HOURS)*TEMP_HOURLY_RATE-FIXED_SEASON_COST)</f>
        <v/>
      </c>
      <c r="AH443" s="53" t="str">
        <f aca="false">IF(OR($A443&gt;TOMATO_BED_CAP,$B443&gt;CARROT_BED_CAP,AH$4&gt;MESCLUN_BED_CAP,$A443+$B443+AH$4&gt;TOTAL_BEDS_AVAILABLE,($D443+AH$5)&gt;TOTAL_LABOR_HOURS_CAP,MAX(0,($D443+AH$5)-PERMANENT_FIELD_LABOR_HOURS)&gt;TEMP_HOURS_CAP),"",$C443+AH$6-MIN(($D443+AH$5),PERMANENT_FIELD_LABOR_HOURS)*PERMANENT_HOURLY_RATE-MAX(0,($D443+AH$5)-PERMANENT_FIELD_LABOR_HOURS)*TEMP_HOURLY_RATE-FIXED_SEASON_COST)</f>
        <v/>
      </c>
      <c r="AI443" s="53" t="str">
        <f aca="false">IF(OR($A443&gt;TOMATO_BED_CAP,$B443&gt;CARROT_BED_CAP,AI$4&gt;MESCLUN_BED_CAP,$A443+$B443+AI$4&gt;TOTAL_BEDS_AVAILABLE,($D443+AI$5)&gt;TOTAL_LABOR_HOURS_CAP,MAX(0,($D443+AI$5)-PERMANENT_FIELD_LABOR_HOURS)&gt;TEMP_HOURS_CAP),"",$C443+AI$6-MIN(($D443+AI$5),PERMANENT_FIELD_LABOR_HOURS)*PERMANENT_HOURLY_RATE-MAX(0,($D443+AI$5)-PERMANENT_FIELD_LABOR_HOURS)*TEMP_HOURLY_RATE-FIXED_SEASON_COST)</f>
        <v/>
      </c>
      <c r="AJ443" s="53" t="str">
        <f aca="false">IF(OR($A443&gt;TOMATO_BED_CAP,$B443&gt;CARROT_BED_CAP,AJ$4&gt;MESCLUN_BED_CAP,$A443+$B443+AJ$4&gt;TOTAL_BEDS_AVAILABLE,($D443+AJ$5)&gt;TOTAL_LABOR_HOURS_CAP,MAX(0,($D443+AJ$5)-PERMANENT_FIELD_LABOR_HOURS)&gt;TEMP_HOURS_CAP),"",$C443+AJ$6-MIN(($D443+AJ$5),PERMANENT_FIELD_LABOR_HOURS)*PERMANENT_HOURLY_RATE-MAX(0,($D443+AJ$5)-PERMANENT_FIELD_LABOR_HOURS)*TEMP_HOURLY_RATE-FIXED_SEASON_COST)</f>
        <v/>
      </c>
    </row>
    <row r="444" customFormat="false" ht="15" hidden="false" customHeight="false" outlineLevel="0" collapsed="false">
      <c r="A444" s="21" t="n">
        <f aca="false">INT((ROW()-ROW($A$8))/(20+1))</f>
        <v>20</v>
      </c>
      <c r="B444" s="21" t="n">
        <f aca="false">MOD(ROW()-ROW($A$8),20+1)</f>
        <v>16</v>
      </c>
      <c r="C444" s="13" t="n">
        <f aca="false">A444*(TOMATO_REVENUE_PER_BED-TOMATO_FERTILIZER_PER_BED)+B444*(CARROT_REVENUE_PER_BED-CARROT_FERTILIZER_PER_BED)</f>
        <v>184864</v>
      </c>
      <c r="D444" s="14" t="n">
        <f aca="false">INDEX(TOMATO_SCHED_LABOR_HRS,A444+1)+INDEX(CARROT_SCHED_LABOR_HRS,B444+1)</f>
        <v>12821.777581624</v>
      </c>
      <c r="E444" s="13" t="str">
        <f aca="false">IF(COUNT(F444:AJ444)=0,"",MAX(F444:AJ444))</f>
        <v/>
      </c>
      <c r="F444" s="53" t="str">
        <f aca="false">IF(OR($A444&gt;TOMATO_BED_CAP,$B444&gt;CARROT_BED_CAP,F$4&gt;MESCLUN_BED_CAP,$A444+$B444+F$4&gt;TOTAL_BEDS_AVAILABLE,($D444+F$5)&gt;TOTAL_LABOR_HOURS_CAP,MAX(0,($D444+F$5)-PERMANENT_FIELD_LABOR_HOURS)&gt;TEMP_HOURS_CAP),"",$C444+F$6-MIN(($D444+F$5),PERMANENT_FIELD_LABOR_HOURS)*PERMANENT_HOURLY_RATE-MAX(0,($D444+F$5)-PERMANENT_FIELD_LABOR_HOURS)*TEMP_HOURLY_RATE-FIXED_SEASON_COST)</f>
        <v/>
      </c>
      <c r="G444" s="53" t="str">
        <f aca="false">IF(OR($A444&gt;TOMATO_BED_CAP,$B444&gt;CARROT_BED_CAP,G$4&gt;MESCLUN_BED_CAP,$A444+$B444+G$4&gt;TOTAL_BEDS_AVAILABLE,($D444+G$5)&gt;TOTAL_LABOR_HOURS_CAP,MAX(0,($D444+G$5)-PERMANENT_FIELD_LABOR_HOURS)&gt;TEMP_HOURS_CAP),"",$C444+G$6-MIN(($D444+G$5),PERMANENT_FIELD_LABOR_HOURS)*PERMANENT_HOURLY_RATE-MAX(0,($D444+G$5)-PERMANENT_FIELD_LABOR_HOURS)*TEMP_HOURLY_RATE-FIXED_SEASON_COST)</f>
        <v/>
      </c>
      <c r="H444" s="53" t="str">
        <f aca="false">IF(OR($A444&gt;TOMATO_BED_CAP,$B444&gt;CARROT_BED_CAP,H$4&gt;MESCLUN_BED_CAP,$A444+$B444+H$4&gt;TOTAL_BEDS_AVAILABLE,($D444+H$5)&gt;TOTAL_LABOR_HOURS_CAP,MAX(0,($D444+H$5)-PERMANENT_FIELD_LABOR_HOURS)&gt;TEMP_HOURS_CAP),"",$C444+H$6-MIN(($D444+H$5),PERMANENT_FIELD_LABOR_HOURS)*PERMANENT_HOURLY_RATE-MAX(0,($D444+H$5)-PERMANENT_FIELD_LABOR_HOURS)*TEMP_HOURLY_RATE-FIXED_SEASON_COST)</f>
        <v/>
      </c>
      <c r="I444" s="53" t="str">
        <f aca="false">IF(OR($A444&gt;TOMATO_BED_CAP,$B444&gt;CARROT_BED_CAP,I$4&gt;MESCLUN_BED_CAP,$A444+$B444+I$4&gt;TOTAL_BEDS_AVAILABLE,($D444+I$5)&gt;TOTAL_LABOR_HOURS_CAP,MAX(0,($D444+I$5)-PERMANENT_FIELD_LABOR_HOURS)&gt;TEMP_HOURS_CAP),"",$C444+I$6-MIN(($D444+I$5),PERMANENT_FIELD_LABOR_HOURS)*PERMANENT_HOURLY_RATE-MAX(0,($D444+I$5)-PERMANENT_FIELD_LABOR_HOURS)*TEMP_HOURLY_RATE-FIXED_SEASON_COST)</f>
        <v/>
      </c>
      <c r="J444" s="53" t="str">
        <f aca="false">IF(OR($A444&gt;TOMATO_BED_CAP,$B444&gt;CARROT_BED_CAP,J$4&gt;MESCLUN_BED_CAP,$A444+$B444+J$4&gt;TOTAL_BEDS_AVAILABLE,($D444+J$5)&gt;TOTAL_LABOR_HOURS_CAP,MAX(0,($D444+J$5)-PERMANENT_FIELD_LABOR_HOURS)&gt;TEMP_HOURS_CAP),"",$C444+J$6-MIN(($D444+J$5),PERMANENT_FIELD_LABOR_HOURS)*PERMANENT_HOURLY_RATE-MAX(0,($D444+J$5)-PERMANENT_FIELD_LABOR_HOURS)*TEMP_HOURLY_RATE-FIXED_SEASON_COST)</f>
        <v/>
      </c>
      <c r="K444" s="53" t="str">
        <f aca="false">IF(OR($A444&gt;TOMATO_BED_CAP,$B444&gt;CARROT_BED_CAP,K$4&gt;MESCLUN_BED_CAP,$A444+$B444+K$4&gt;TOTAL_BEDS_AVAILABLE,($D444+K$5)&gt;TOTAL_LABOR_HOURS_CAP,MAX(0,($D444+K$5)-PERMANENT_FIELD_LABOR_HOURS)&gt;TEMP_HOURS_CAP),"",$C444+K$6-MIN(($D444+K$5),PERMANENT_FIELD_LABOR_HOURS)*PERMANENT_HOURLY_RATE-MAX(0,($D444+K$5)-PERMANENT_FIELD_LABOR_HOURS)*TEMP_HOURLY_RATE-FIXED_SEASON_COST)</f>
        <v/>
      </c>
      <c r="L444" s="53" t="str">
        <f aca="false">IF(OR($A444&gt;TOMATO_BED_CAP,$B444&gt;CARROT_BED_CAP,L$4&gt;MESCLUN_BED_CAP,$A444+$B444+L$4&gt;TOTAL_BEDS_AVAILABLE,($D444+L$5)&gt;TOTAL_LABOR_HOURS_CAP,MAX(0,($D444+L$5)-PERMANENT_FIELD_LABOR_HOURS)&gt;TEMP_HOURS_CAP),"",$C444+L$6-MIN(($D444+L$5),PERMANENT_FIELD_LABOR_HOURS)*PERMANENT_HOURLY_RATE-MAX(0,($D444+L$5)-PERMANENT_FIELD_LABOR_HOURS)*TEMP_HOURLY_RATE-FIXED_SEASON_COST)</f>
        <v/>
      </c>
      <c r="M444" s="53" t="str">
        <f aca="false">IF(OR($A444&gt;TOMATO_BED_CAP,$B444&gt;CARROT_BED_CAP,M$4&gt;MESCLUN_BED_CAP,$A444+$B444+M$4&gt;TOTAL_BEDS_AVAILABLE,($D444+M$5)&gt;TOTAL_LABOR_HOURS_CAP,MAX(0,($D444+M$5)-PERMANENT_FIELD_LABOR_HOURS)&gt;TEMP_HOURS_CAP),"",$C444+M$6-MIN(($D444+M$5),PERMANENT_FIELD_LABOR_HOURS)*PERMANENT_HOURLY_RATE-MAX(0,($D444+M$5)-PERMANENT_FIELD_LABOR_HOURS)*TEMP_HOURLY_RATE-FIXED_SEASON_COST)</f>
        <v/>
      </c>
      <c r="N444" s="53" t="str">
        <f aca="false">IF(OR($A444&gt;TOMATO_BED_CAP,$B444&gt;CARROT_BED_CAP,N$4&gt;MESCLUN_BED_CAP,$A444+$B444+N$4&gt;TOTAL_BEDS_AVAILABLE,($D444+N$5)&gt;TOTAL_LABOR_HOURS_CAP,MAX(0,($D444+N$5)-PERMANENT_FIELD_LABOR_HOURS)&gt;TEMP_HOURS_CAP),"",$C444+N$6-MIN(($D444+N$5),PERMANENT_FIELD_LABOR_HOURS)*PERMANENT_HOURLY_RATE-MAX(0,($D444+N$5)-PERMANENT_FIELD_LABOR_HOURS)*TEMP_HOURLY_RATE-FIXED_SEASON_COST)</f>
        <v/>
      </c>
      <c r="O444" s="53" t="str">
        <f aca="false">IF(OR($A444&gt;TOMATO_BED_CAP,$B444&gt;CARROT_BED_CAP,O$4&gt;MESCLUN_BED_CAP,$A444+$B444+O$4&gt;TOTAL_BEDS_AVAILABLE,($D444+O$5)&gt;TOTAL_LABOR_HOURS_CAP,MAX(0,($D444+O$5)-PERMANENT_FIELD_LABOR_HOURS)&gt;TEMP_HOURS_CAP),"",$C444+O$6-MIN(($D444+O$5),PERMANENT_FIELD_LABOR_HOURS)*PERMANENT_HOURLY_RATE-MAX(0,($D444+O$5)-PERMANENT_FIELD_LABOR_HOURS)*TEMP_HOURLY_RATE-FIXED_SEASON_COST)</f>
        <v/>
      </c>
      <c r="P444" s="53" t="str">
        <f aca="false">IF(OR($A444&gt;TOMATO_BED_CAP,$B444&gt;CARROT_BED_CAP,P$4&gt;MESCLUN_BED_CAP,$A444+$B444+P$4&gt;TOTAL_BEDS_AVAILABLE,($D444+P$5)&gt;TOTAL_LABOR_HOURS_CAP,MAX(0,($D444+P$5)-PERMANENT_FIELD_LABOR_HOURS)&gt;TEMP_HOURS_CAP),"",$C444+P$6-MIN(($D444+P$5),PERMANENT_FIELD_LABOR_HOURS)*PERMANENT_HOURLY_RATE-MAX(0,($D444+P$5)-PERMANENT_FIELD_LABOR_HOURS)*TEMP_HOURLY_RATE-FIXED_SEASON_COST)</f>
        <v/>
      </c>
      <c r="Q444" s="53" t="str">
        <f aca="false">IF(OR($A444&gt;TOMATO_BED_CAP,$B444&gt;CARROT_BED_CAP,Q$4&gt;MESCLUN_BED_CAP,$A444+$B444+Q$4&gt;TOTAL_BEDS_AVAILABLE,($D444+Q$5)&gt;TOTAL_LABOR_HOURS_CAP,MAX(0,($D444+Q$5)-PERMANENT_FIELD_LABOR_HOURS)&gt;TEMP_HOURS_CAP),"",$C444+Q$6-MIN(($D444+Q$5),PERMANENT_FIELD_LABOR_HOURS)*PERMANENT_HOURLY_RATE-MAX(0,($D444+Q$5)-PERMANENT_FIELD_LABOR_HOURS)*TEMP_HOURLY_RATE-FIXED_SEASON_COST)</f>
        <v/>
      </c>
      <c r="R444" s="53" t="str">
        <f aca="false">IF(OR($A444&gt;TOMATO_BED_CAP,$B444&gt;CARROT_BED_CAP,R$4&gt;MESCLUN_BED_CAP,$A444+$B444+R$4&gt;TOTAL_BEDS_AVAILABLE,($D444+R$5)&gt;TOTAL_LABOR_HOURS_CAP,MAX(0,($D444+R$5)-PERMANENT_FIELD_LABOR_HOURS)&gt;TEMP_HOURS_CAP),"",$C444+R$6-MIN(($D444+R$5),PERMANENT_FIELD_LABOR_HOURS)*PERMANENT_HOURLY_RATE-MAX(0,($D444+R$5)-PERMANENT_FIELD_LABOR_HOURS)*TEMP_HOURLY_RATE-FIXED_SEASON_COST)</f>
        <v/>
      </c>
      <c r="S444" s="53" t="str">
        <f aca="false">IF(OR($A444&gt;TOMATO_BED_CAP,$B444&gt;CARROT_BED_CAP,S$4&gt;MESCLUN_BED_CAP,$A444+$B444+S$4&gt;TOTAL_BEDS_AVAILABLE,($D444+S$5)&gt;TOTAL_LABOR_HOURS_CAP,MAX(0,($D444+S$5)-PERMANENT_FIELD_LABOR_HOURS)&gt;TEMP_HOURS_CAP),"",$C444+S$6-MIN(($D444+S$5),PERMANENT_FIELD_LABOR_HOURS)*PERMANENT_HOURLY_RATE-MAX(0,($D444+S$5)-PERMANENT_FIELD_LABOR_HOURS)*TEMP_HOURLY_RATE-FIXED_SEASON_COST)</f>
        <v/>
      </c>
      <c r="T444" s="53" t="str">
        <f aca="false">IF(OR($A444&gt;TOMATO_BED_CAP,$B444&gt;CARROT_BED_CAP,T$4&gt;MESCLUN_BED_CAP,$A444+$B444+T$4&gt;TOTAL_BEDS_AVAILABLE,($D444+T$5)&gt;TOTAL_LABOR_HOURS_CAP,MAX(0,($D444+T$5)-PERMANENT_FIELD_LABOR_HOURS)&gt;TEMP_HOURS_CAP),"",$C444+T$6-MIN(($D444+T$5),PERMANENT_FIELD_LABOR_HOURS)*PERMANENT_HOURLY_RATE-MAX(0,($D444+T$5)-PERMANENT_FIELD_LABOR_HOURS)*TEMP_HOURLY_RATE-FIXED_SEASON_COST)</f>
        <v/>
      </c>
      <c r="U444" s="53" t="str">
        <f aca="false">IF(OR($A444&gt;TOMATO_BED_CAP,$B444&gt;CARROT_BED_CAP,U$4&gt;MESCLUN_BED_CAP,$A444+$B444+U$4&gt;TOTAL_BEDS_AVAILABLE,($D444+U$5)&gt;TOTAL_LABOR_HOURS_CAP,MAX(0,($D444+U$5)-PERMANENT_FIELD_LABOR_HOURS)&gt;TEMP_HOURS_CAP),"",$C444+U$6-MIN(($D444+U$5),PERMANENT_FIELD_LABOR_HOURS)*PERMANENT_HOURLY_RATE-MAX(0,($D444+U$5)-PERMANENT_FIELD_LABOR_HOURS)*TEMP_HOURLY_RATE-FIXED_SEASON_COST)</f>
        <v/>
      </c>
      <c r="V444" s="53" t="str">
        <f aca="false">IF(OR($A444&gt;TOMATO_BED_CAP,$B444&gt;CARROT_BED_CAP,V$4&gt;MESCLUN_BED_CAP,$A444+$B444+V$4&gt;TOTAL_BEDS_AVAILABLE,($D444+V$5)&gt;TOTAL_LABOR_HOURS_CAP,MAX(0,($D444+V$5)-PERMANENT_FIELD_LABOR_HOURS)&gt;TEMP_HOURS_CAP),"",$C444+V$6-MIN(($D444+V$5),PERMANENT_FIELD_LABOR_HOURS)*PERMANENT_HOURLY_RATE-MAX(0,($D444+V$5)-PERMANENT_FIELD_LABOR_HOURS)*TEMP_HOURLY_RATE-FIXED_SEASON_COST)</f>
        <v/>
      </c>
      <c r="W444" s="53" t="str">
        <f aca="false">IF(OR($A444&gt;TOMATO_BED_CAP,$B444&gt;CARROT_BED_CAP,W$4&gt;MESCLUN_BED_CAP,$A444+$B444+W$4&gt;TOTAL_BEDS_AVAILABLE,($D444+W$5)&gt;TOTAL_LABOR_HOURS_CAP,MAX(0,($D444+W$5)-PERMANENT_FIELD_LABOR_HOURS)&gt;TEMP_HOURS_CAP),"",$C444+W$6-MIN(($D444+W$5),PERMANENT_FIELD_LABOR_HOURS)*PERMANENT_HOURLY_RATE-MAX(0,($D444+W$5)-PERMANENT_FIELD_LABOR_HOURS)*TEMP_HOURLY_RATE-FIXED_SEASON_COST)</f>
        <v/>
      </c>
      <c r="X444" s="53" t="str">
        <f aca="false">IF(OR($A444&gt;TOMATO_BED_CAP,$B444&gt;CARROT_BED_CAP,X$4&gt;MESCLUN_BED_CAP,$A444+$B444+X$4&gt;TOTAL_BEDS_AVAILABLE,($D444+X$5)&gt;TOTAL_LABOR_HOURS_CAP,MAX(0,($D444+X$5)-PERMANENT_FIELD_LABOR_HOURS)&gt;TEMP_HOURS_CAP),"",$C444+X$6-MIN(($D444+X$5),PERMANENT_FIELD_LABOR_HOURS)*PERMANENT_HOURLY_RATE-MAX(0,($D444+X$5)-PERMANENT_FIELD_LABOR_HOURS)*TEMP_HOURLY_RATE-FIXED_SEASON_COST)</f>
        <v/>
      </c>
      <c r="Y444" s="53" t="str">
        <f aca="false">IF(OR($A444&gt;TOMATO_BED_CAP,$B444&gt;CARROT_BED_CAP,Y$4&gt;MESCLUN_BED_CAP,$A444+$B444+Y$4&gt;TOTAL_BEDS_AVAILABLE,($D444+Y$5)&gt;TOTAL_LABOR_HOURS_CAP,MAX(0,($D444+Y$5)-PERMANENT_FIELD_LABOR_HOURS)&gt;TEMP_HOURS_CAP),"",$C444+Y$6-MIN(($D444+Y$5),PERMANENT_FIELD_LABOR_HOURS)*PERMANENT_HOURLY_RATE-MAX(0,($D444+Y$5)-PERMANENT_FIELD_LABOR_HOURS)*TEMP_HOURLY_RATE-FIXED_SEASON_COST)</f>
        <v/>
      </c>
      <c r="Z444" s="53" t="str">
        <f aca="false">IF(OR($A444&gt;TOMATO_BED_CAP,$B444&gt;CARROT_BED_CAP,Z$4&gt;MESCLUN_BED_CAP,$A444+$B444+Z$4&gt;TOTAL_BEDS_AVAILABLE,($D444+Z$5)&gt;TOTAL_LABOR_HOURS_CAP,MAX(0,($D444+Z$5)-PERMANENT_FIELD_LABOR_HOURS)&gt;TEMP_HOURS_CAP),"",$C444+Z$6-MIN(($D444+Z$5),PERMANENT_FIELD_LABOR_HOURS)*PERMANENT_HOURLY_RATE-MAX(0,($D444+Z$5)-PERMANENT_FIELD_LABOR_HOURS)*TEMP_HOURLY_RATE-FIXED_SEASON_COST)</f>
        <v/>
      </c>
      <c r="AA444" s="53" t="str">
        <f aca="false">IF(OR($A444&gt;TOMATO_BED_CAP,$B444&gt;CARROT_BED_CAP,AA$4&gt;MESCLUN_BED_CAP,$A444+$B444+AA$4&gt;TOTAL_BEDS_AVAILABLE,($D444+AA$5)&gt;TOTAL_LABOR_HOURS_CAP,MAX(0,($D444+AA$5)-PERMANENT_FIELD_LABOR_HOURS)&gt;TEMP_HOURS_CAP),"",$C444+AA$6-MIN(($D444+AA$5),PERMANENT_FIELD_LABOR_HOURS)*PERMANENT_HOURLY_RATE-MAX(0,($D444+AA$5)-PERMANENT_FIELD_LABOR_HOURS)*TEMP_HOURLY_RATE-FIXED_SEASON_COST)</f>
        <v/>
      </c>
      <c r="AB444" s="53" t="str">
        <f aca="false">IF(OR($A444&gt;TOMATO_BED_CAP,$B444&gt;CARROT_BED_CAP,AB$4&gt;MESCLUN_BED_CAP,$A444+$B444+AB$4&gt;TOTAL_BEDS_AVAILABLE,($D444+AB$5)&gt;TOTAL_LABOR_HOURS_CAP,MAX(0,($D444+AB$5)-PERMANENT_FIELD_LABOR_HOURS)&gt;TEMP_HOURS_CAP),"",$C444+AB$6-MIN(($D444+AB$5),PERMANENT_FIELD_LABOR_HOURS)*PERMANENT_HOURLY_RATE-MAX(0,($D444+AB$5)-PERMANENT_FIELD_LABOR_HOURS)*TEMP_HOURLY_RATE-FIXED_SEASON_COST)</f>
        <v/>
      </c>
      <c r="AC444" s="53" t="str">
        <f aca="false">IF(OR($A444&gt;TOMATO_BED_CAP,$B444&gt;CARROT_BED_CAP,AC$4&gt;MESCLUN_BED_CAP,$A444+$B444+AC$4&gt;TOTAL_BEDS_AVAILABLE,($D444+AC$5)&gt;TOTAL_LABOR_HOURS_CAP,MAX(0,($D444+AC$5)-PERMANENT_FIELD_LABOR_HOURS)&gt;TEMP_HOURS_CAP),"",$C444+AC$6-MIN(($D444+AC$5),PERMANENT_FIELD_LABOR_HOURS)*PERMANENT_HOURLY_RATE-MAX(0,($D444+AC$5)-PERMANENT_FIELD_LABOR_HOURS)*TEMP_HOURLY_RATE-FIXED_SEASON_COST)</f>
        <v/>
      </c>
      <c r="AD444" s="53" t="str">
        <f aca="false">IF(OR($A444&gt;TOMATO_BED_CAP,$B444&gt;CARROT_BED_CAP,AD$4&gt;MESCLUN_BED_CAP,$A444+$B444+AD$4&gt;TOTAL_BEDS_AVAILABLE,($D444+AD$5)&gt;TOTAL_LABOR_HOURS_CAP,MAX(0,($D444+AD$5)-PERMANENT_FIELD_LABOR_HOURS)&gt;TEMP_HOURS_CAP),"",$C444+AD$6-MIN(($D444+AD$5),PERMANENT_FIELD_LABOR_HOURS)*PERMANENT_HOURLY_RATE-MAX(0,($D444+AD$5)-PERMANENT_FIELD_LABOR_HOURS)*TEMP_HOURLY_RATE-FIXED_SEASON_COST)</f>
        <v/>
      </c>
      <c r="AE444" s="53" t="str">
        <f aca="false">IF(OR($A444&gt;TOMATO_BED_CAP,$B444&gt;CARROT_BED_CAP,AE$4&gt;MESCLUN_BED_CAP,$A444+$B444+AE$4&gt;TOTAL_BEDS_AVAILABLE,($D444+AE$5)&gt;TOTAL_LABOR_HOURS_CAP,MAX(0,($D444+AE$5)-PERMANENT_FIELD_LABOR_HOURS)&gt;TEMP_HOURS_CAP),"",$C444+AE$6-MIN(($D444+AE$5),PERMANENT_FIELD_LABOR_HOURS)*PERMANENT_HOURLY_RATE-MAX(0,($D444+AE$5)-PERMANENT_FIELD_LABOR_HOURS)*TEMP_HOURLY_RATE-FIXED_SEASON_COST)</f>
        <v/>
      </c>
      <c r="AF444" s="53" t="str">
        <f aca="false">IF(OR($A444&gt;TOMATO_BED_CAP,$B444&gt;CARROT_BED_CAP,AF$4&gt;MESCLUN_BED_CAP,$A444+$B444+AF$4&gt;TOTAL_BEDS_AVAILABLE,($D444+AF$5)&gt;TOTAL_LABOR_HOURS_CAP,MAX(0,($D444+AF$5)-PERMANENT_FIELD_LABOR_HOURS)&gt;TEMP_HOURS_CAP),"",$C444+AF$6-MIN(($D444+AF$5),PERMANENT_FIELD_LABOR_HOURS)*PERMANENT_HOURLY_RATE-MAX(0,($D444+AF$5)-PERMANENT_FIELD_LABOR_HOURS)*TEMP_HOURLY_RATE-FIXED_SEASON_COST)</f>
        <v/>
      </c>
      <c r="AG444" s="53" t="str">
        <f aca="false">IF(OR($A444&gt;TOMATO_BED_CAP,$B444&gt;CARROT_BED_CAP,AG$4&gt;MESCLUN_BED_CAP,$A444+$B444+AG$4&gt;TOTAL_BEDS_AVAILABLE,($D444+AG$5)&gt;TOTAL_LABOR_HOURS_CAP,MAX(0,($D444+AG$5)-PERMANENT_FIELD_LABOR_HOURS)&gt;TEMP_HOURS_CAP),"",$C444+AG$6-MIN(($D444+AG$5),PERMANENT_FIELD_LABOR_HOURS)*PERMANENT_HOURLY_RATE-MAX(0,($D444+AG$5)-PERMANENT_FIELD_LABOR_HOURS)*TEMP_HOURLY_RATE-FIXED_SEASON_COST)</f>
        <v/>
      </c>
      <c r="AH444" s="53" t="str">
        <f aca="false">IF(OR($A444&gt;TOMATO_BED_CAP,$B444&gt;CARROT_BED_CAP,AH$4&gt;MESCLUN_BED_CAP,$A444+$B444+AH$4&gt;TOTAL_BEDS_AVAILABLE,($D444+AH$5)&gt;TOTAL_LABOR_HOURS_CAP,MAX(0,($D444+AH$5)-PERMANENT_FIELD_LABOR_HOURS)&gt;TEMP_HOURS_CAP),"",$C444+AH$6-MIN(($D444+AH$5),PERMANENT_FIELD_LABOR_HOURS)*PERMANENT_HOURLY_RATE-MAX(0,($D444+AH$5)-PERMANENT_FIELD_LABOR_HOURS)*TEMP_HOURLY_RATE-FIXED_SEASON_COST)</f>
        <v/>
      </c>
      <c r="AI444" s="53" t="str">
        <f aca="false">IF(OR($A444&gt;TOMATO_BED_CAP,$B444&gt;CARROT_BED_CAP,AI$4&gt;MESCLUN_BED_CAP,$A444+$B444+AI$4&gt;TOTAL_BEDS_AVAILABLE,($D444+AI$5)&gt;TOTAL_LABOR_HOURS_CAP,MAX(0,($D444+AI$5)-PERMANENT_FIELD_LABOR_HOURS)&gt;TEMP_HOURS_CAP),"",$C444+AI$6-MIN(($D444+AI$5),PERMANENT_FIELD_LABOR_HOURS)*PERMANENT_HOURLY_RATE-MAX(0,($D444+AI$5)-PERMANENT_FIELD_LABOR_HOURS)*TEMP_HOURLY_RATE-FIXED_SEASON_COST)</f>
        <v/>
      </c>
      <c r="AJ444" s="53" t="str">
        <f aca="false">IF(OR($A444&gt;TOMATO_BED_CAP,$B444&gt;CARROT_BED_CAP,AJ$4&gt;MESCLUN_BED_CAP,$A444+$B444+AJ$4&gt;TOTAL_BEDS_AVAILABLE,($D444+AJ$5)&gt;TOTAL_LABOR_HOURS_CAP,MAX(0,($D444+AJ$5)-PERMANENT_FIELD_LABOR_HOURS)&gt;TEMP_HOURS_CAP),"",$C444+AJ$6-MIN(($D444+AJ$5),PERMANENT_FIELD_LABOR_HOURS)*PERMANENT_HOURLY_RATE-MAX(0,($D444+AJ$5)-PERMANENT_FIELD_LABOR_HOURS)*TEMP_HOURLY_RATE-FIXED_SEASON_COST)</f>
        <v/>
      </c>
    </row>
    <row r="445" customFormat="false" ht="15" hidden="false" customHeight="false" outlineLevel="0" collapsed="false">
      <c r="A445" s="21" t="n">
        <f aca="false">INT((ROW()-ROW($A$8))/(20+1))</f>
        <v>20</v>
      </c>
      <c r="B445" s="21" t="n">
        <f aca="false">MOD(ROW()-ROW($A$8),20+1)</f>
        <v>17</v>
      </c>
      <c r="C445" s="13" t="n">
        <f aca="false">A445*(TOMATO_REVENUE_PER_BED-TOMATO_FERTILIZER_PER_BED)+B445*(CARROT_REVENUE_PER_BED-CARROT_FERTILIZER_PER_BED)</f>
        <v>186518</v>
      </c>
      <c r="D445" s="14" t="n">
        <f aca="false">INDEX(TOMATO_SCHED_LABOR_HRS,A445+1)+INDEX(CARROT_SCHED_LABOR_HRS,B445+1)</f>
        <v>12885.2148118611</v>
      </c>
      <c r="E445" s="13" t="str">
        <f aca="false">IF(COUNT(F445:AJ445)=0,"",MAX(F445:AJ445))</f>
        <v/>
      </c>
      <c r="F445" s="53" t="str">
        <f aca="false">IF(OR($A445&gt;TOMATO_BED_CAP,$B445&gt;CARROT_BED_CAP,F$4&gt;MESCLUN_BED_CAP,$A445+$B445+F$4&gt;TOTAL_BEDS_AVAILABLE,($D445+F$5)&gt;TOTAL_LABOR_HOURS_CAP,MAX(0,($D445+F$5)-PERMANENT_FIELD_LABOR_HOURS)&gt;TEMP_HOURS_CAP),"",$C445+F$6-MIN(($D445+F$5),PERMANENT_FIELD_LABOR_HOURS)*PERMANENT_HOURLY_RATE-MAX(0,($D445+F$5)-PERMANENT_FIELD_LABOR_HOURS)*TEMP_HOURLY_RATE-FIXED_SEASON_COST)</f>
        <v/>
      </c>
      <c r="G445" s="53" t="str">
        <f aca="false">IF(OR($A445&gt;TOMATO_BED_CAP,$B445&gt;CARROT_BED_CAP,G$4&gt;MESCLUN_BED_CAP,$A445+$B445+G$4&gt;TOTAL_BEDS_AVAILABLE,($D445+G$5)&gt;TOTAL_LABOR_HOURS_CAP,MAX(0,($D445+G$5)-PERMANENT_FIELD_LABOR_HOURS)&gt;TEMP_HOURS_CAP),"",$C445+G$6-MIN(($D445+G$5),PERMANENT_FIELD_LABOR_HOURS)*PERMANENT_HOURLY_RATE-MAX(0,($D445+G$5)-PERMANENT_FIELD_LABOR_HOURS)*TEMP_HOURLY_RATE-FIXED_SEASON_COST)</f>
        <v/>
      </c>
      <c r="H445" s="53" t="str">
        <f aca="false">IF(OR($A445&gt;TOMATO_BED_CAP,$B445&gt;CARROT_BED_CAP,H$4&gt;MESCLUN_BED_CAP,$A445+$B445+H$4&gt;TOTAL_BEDS_AVAILABLE,($D445+H$5)&gt;TOTAL_LABOR_HOURS_CAP,MAX(0,($D445+H$5)-PERMANENT_FIELD_LABOR_HOURS)&gt;TEMP_HOURS_CAP),"",$C445+H$6-MIN(($D445+H$5),PERMANENT_FIELD_LABOR_HOURS)*PERMANENT_HOURLY_RATE-MAX(0,($D445+H$5)-PERMANENT_FIELD_LABOR_HOURS)*TEMP_HOURLY_RATE-FIXED_SEASON_COST)</f>
        <v/>
      </c>
      <c r="I445" s="53" t="str">
        <f aca="false">IF(OR($A445&gt;TOMATO_BED_CAP,$B445&gt;CARROT_BED_CAP,I$4&gt;MESCLUN_BED_CAP,$A445+$B445+I$4&gt;TOTAL_BEDS_AVAILABLE,($D445+I$5)&gt;TOTAL_LABOR_HOURS_CAP,MAX(0,($D445+I$5)-PERMANENT_FIELD_LABOR_HOURS)&gt;TEMP_HOURS_CAP),"",$C445+I$6-MIN(($D445+I$5),PERMANENT_FIELD_LABOR_HOURS)*PERMANENT_HOURLY_RATE-MAX(0,($D445+I$5)-PERMANENT_FIELD_LABOR_HOURS)*TEMP_HOURLY_RATE-FIXED_SEASON_COST)</f>
        <v/>
      </c>
      <c r="J445" s="53" t="str">
        <f aca="false">IF(OR($A445&gt;TOMATO_BED_CAP,$B445&gt;CARROT_BED_CAP,J$4&gt;MESCLUN_BED_CAP,$A445+$B445+J$4&gt;TOTAL_BEDS_AVAILABLE,($D445+J$5)&gt;TOTAL_LABOR_HOURS_CAP,MAX(0,($D445+J$5)-PERMANENT_FIELD_LABOR_HOURS)&gt;TEMP_HOURS_CAP),"",$C445+J$6-MIN(($D445+J$5),PERMANENT_FIELD_LABOR_HOURS)*PERMANENT_HOURLY_RATE-MAX(0,($D445+J$5)-PERMANENT_FIELD_LABOR_HOURS)*TEMP_HOURLY_RATE-FIXED_SEASON_COST)</f>
        <v/>
      </c>
      <c r="K445" s="53" t="str">
        <f aca="false">IF(OR($A445&gt;TOMATO_BED_CAP,$B445&gt;CARROT_BED_CAP,K$4&gt;MESCLUN_BED_CAP,$A445+$B445+K$4&gt;TOTAL_BEDS_AVAILABLE,($D445+K$5)&gt;TOTAL_LABOR_HOURS_CAP,MAX(0,($D445+K$5)-PERMANENT_FIELD_LABOR_HOURS)&gt;TEMP_HOURS_CAP),"",$C445+K$6-MIN(($D445+K$5),PERMANENT_FIELD_LABOR_HOURS)*PERMANENT_HOURLY_RATE-MAX(0,($D445+K$5)-PERMANENT_FIELD_LABOR_HOURS)*TEMP_HOURLY_RATE-FIXED_SEASON_COST)</f>
        <v/>
      </c>
      <c r="L445" s="53" t="str">
        <f aca="false">IF(OR($A445&gt;TOMATO_BED_CAP,$B445&gt;CARROT_BED_CAP,L$4&gt;MESCLUN_BED_CAP,$A445+$B445+L$4&gt;TOTAL_BEDS_AVAILABLE,($D445+L$5)&gt;TOTAL_LABOR_HOURS_CAP,MAX(0,($D445+L$5)-PERMANENT_FIELD_LABOR_HOURS)&gt;TEMP_HOURS_CAP),"",$C445+L$6-MIN(($D445+L$5),PERMANENT_FIELD_LABOR_HOURS)*PERMANENT_HOURLY_RATE-MAX(0,($D445+L$5)-PERMANENT_FIELD_LABOR_HOURS)*TEMP_HOURLY_RATE-FIXED_SEASON_COST)</f>
        <v/>
      </c>
      <c r="M445" s="53" t="str">
        <f aca="false">IF(OR($A445&gt;TOMATO_BED_CAP,$B445&gt;CARROT_BED_CAP,M$4&gt;MESCLUN_BED_CAP,$A445+$B445+M$4&gt;TOTAL_BEDS_AVAILABLE,($D445+M$5)&gt;TOTAL_LABOR_HOURS_CAP,MAX(0,($D445+M$5)-PERMANENT_FIELD_LABOR_HOURS)&gt;TEMP_HOURS_CAP),"",$C445+M$6-MIN(($D445+M$5),PERMANENT_FIELD_LABOR_HOURS)*PERMANENT_HOURLY_RATE-MAX(0,($D445+M$5)-PERMANENT_FIELD_LABOR_HOURS)*TEMP_HOURLY_RATE-FIXED_SEASON_COST)</f>
        <v/>
      </c>
      <c r="N445" s="53" t="str">
        <f aca="false">IF(OR($A445&gt;TOMATO_BED_CAP,$B445&gt;CARROT_BED_CAP,N$4&gt;MESCLUN_BED_CAP,$A445+$B445+N$4&gt;TOTAL_BEDS_AVAILABLE,($D445+N$5)&gt;TOTAL_LABOR_HOURS_CAP,MAX(0,($D445+N$5)-PERMANENT_FIELD_LABOR_HOURS)&gt;TEMP_HOURS_CAP),"",$C445+N$6-MIN(($D445+N$5),PERMANENT_FIELD_LABOR_HOURS)*PERMANENT_HOURLY_RATE-MAX(0,($D445+N$5)-PERMANENT_FIELD_LABOR_HOURS)*TEMP_HOURLY_RATE-FIXED_SEASON_COST)</f>
        <v/>
      </c>
      <c r="O445" s="53" t="str">
        <f aca="false">IF(OR($A445&gt;TOMATO_BED_CAP,$B445&gt;CARROT_BED_CAP,O$4&gt;MESCLUN_BED_CAP,$A445+$B445+O$4&gt;TOTAL_BEDS_AVAILABLE,($D445+O$5)&gt;TOTAL_LABOR_HOURS_CAP,MAX(0,($D445+O$5)-PERMANENT_FIELD_LABOR_HOURS)&gt;TEMP_HOURS_CAP),"",$C445+O$6-MIN(($D445+O$5),PERMANENT_FIELD_LABOR_HOURS)*PERMANENT_HOURLY_RATE-MAX(0,($D445+O$5)-PERMANENT_FIELD_LABOR_HOURS)*TEMP_HOURLY_RATE-FIXED_SEASON_COST)</f>
        <v/>
      </c>
      <c r="P445" s="53" t="str">
        <f aca="false">IF(OR($A445&gt;TOMATO_BED_CAP,$B445&gt;CARROT_BED_CAP,P$4&gt;MESCLUN_BED_CAP,$A445+$B445+P$4&gt;TOTAL_BEDS_AVAILABLE,($D445+P$5)&gt;TOTAL_LABOR_HOURS_CAP,MAX(0,($D445+P$5)-PERMANENT_FIELD_LABOR_HOURS)&gt;TEMP_HOURS_CAP),"",$C445+P$6-MIN(($D445+P$5),PERMANENT_FIELD_LABOR_HOURS)*PERMANENT_HOURLY_RATE-MAX(0,($D445+P$5)-PERMANENT_FIELD_LABOR_HOURS)*TEMP_HOURLY_RATE-FIXED_SEASON_COST)</f>
        <v/>
      </c>
      <c r="Q445" s="53" t="str">
        <f aca="false">IF(OR($A445&gt;TOMATO_BED_CAP,$B445&gt;CARROT_BED_CAP,Q$4&gt;MESCLUN_BED_CAP,$A445+$B445+Q$4&gt;TOTAL_BEDS_AVAILABLE,($D445+Q$5)&gt;TOTAL_LABOR_HOURS_CAP,MAX(0,($D445+Q$5)-PERMANENT_FIELD_LABOR_HOURS)&gt;TEMP_HOURS_CAP),"",$C445+Q$6-MIN(($D445+Q$5),PERMANENT_FIELD_LABOR_HOURS)*PERMANENT_HOURLY_RATE-MAX(0,($D445+Q$5)-PERMANENT_FIELD_LABOR_HOURS)*TEMP_HOURLY_RATE-FIXED_SEASON_COST)</f>
        <v/>
      </c>
      <c r="R445" s="53" t="str">
        <f aca="false">IF(OR($A445&gt;TOMATO_BED_CAP,$B445&gt;CARROT_BED_CAP,R$4&gt;MESCLUN_BED_CAP,$A445+$B445+R$4&gt;TOTAL_BEDS_AVAILABLE,($D445+R$5)&gt;TOTAL_LABOR_HOURS_CAP,MAX(0,($D445+R$5)-PERMANENT_FIELD_LABOR_HOURS)&gt;TEMP_HOURS_CAP),"",$C445+R$6-MIN(($D445+R$5),PERMANENT_FIELD_LABOR_HOURS)*PERMANENT_HOURLY_RATE-MAX(0,($D445+R$5)-PERMANENT_FIELD_LABOR_HOURS)*TEMP_HOURLY_RATE-FIXED_SEASON_COST)</f>
        <v/>
      </c>
      <c r="S445" s="53" t="str">
        <f aca="false">IF(OR($A445&gt;TOMATO_BED_CAP,$B445&gt;CARROT_BED_CAP,S$4&gt;MESCLUN_BED_CAP,$A445+$B445+S$4&gt;TOTAL_BEDS_AVAILABLE,($D445+S$5)&gt;TOTAL_LABOR_HOURS_CAP,MAX(0,($D445+S$5)-PERMANENT_FIELD_LABOR_HOURS)&gt;TEMP_HOURS_CAP),"",$C445+S$6-MIN(($D445+S$5),PERMANENT_FIELD_LABOR_HOURS)*PERMANENT_HOURLY_RATE-MAX(0,($D445+S$5)-PERMANENT_FIELD_LABOR_HOURS)*TEMP_HOURLY_RATE-FIXED_SEASON_COST)</f>
        <v/>
      </c>
      <c r="T445" s="53" t="str">
        <f aca="false">IF(OR($A445&gt;TOMATO_BED_CAP,$B445&gt;CARROT_BED_CAP,T$4&gt;MESCLUN_BED_CAP,$A445+$B445+T$4&gt;TOTAL_BEDS_AVAILABLE,($D445+T$5)&gt;TOTAL_LABOR_HOURS_CAP,MAX(0,($D445+T$5)-PERMANENT_FIELD_LABOR_HOURS)&gt;TEMP_HOURS_CAP),"",$C445+T$6-MIN(($D445+T$5),PERMANENT_FIELD_LABOR_HOURS)*PERMANENT_HOURLY_RATE-MAX(0,($D445+T$5)-PERMANENT_FIELD_LABOR_HOURS)*TEMP_HOURLY_RATE-FIXED_SEASON_COST)</f>
        <v/>
      </c>
      <c r="U445" s="53" t="str">
        <f aca="false">IF(OR($A445&gt;TOMATO_BED_CAP,$B445&gt;CARROT_BED_CAP,U$4&gt;MESCLUN_BED_CAP,$A445+$B445+U$4&gt;TOTAL_BEDS_AVAILABLE,($D445+U$5)&gt;TOTAL_LABOR_HOURS_CAP,MAX(0,($D445+U$5)-PERMANENT_FIELD_LABOR_HOURS)&gt;TEMP_HOURS_CAP),"",$C445+U$6-MIN(($D445+U$5),PERMANENT_FIELD_LABOR_HOURS)*PERMANENT_HOURLY_RATE-MAX(0,($D445+U$5)-PERMANENT_FIELD_LABOR_HOURS)*TEMP_HOURLY_RATE-FIXED_SEASON_COST)</f>
        <v/>
      </c>
      <c r="V445" s="53" t="str">
        <f aca="false">IF(OR($A445&gt;TOMATO_BED_CAP,$B445&gt;CARROT_BED_CAP,V$4&gt;MESCLUN_BED_CAP,$A445+$B445+V$4&gt;TOTAL_BEDS_AVAILABLE,($D445+V$5)&gt;TOTAL_LABOR_HOURS_CAP,MAX(0,($D445+V$5)-PERMANENT_FIELD_LABOR_HOURS)&gt;TEMP_HOURS_CAP),"",$C445+V$6-MIN(($D445+V$5),PERMANENT_FIELD_LABOR_HOURS)*PERMANENT_HOURLY_RATE-MAX(0,($D445+V$5)-PERMANENT_FIELD_LABOR_HOURS)*TEMP_HOURLY_RATE-FIXED_SEASON_COST)</f>
        <v/>
      </c>
      <c r="W445" s="53" t="str">
        <f aca="false">IF(OR($A445&gt;TOMATO_BED_CAP,$B445&gt;CARROT_BED_CAP,W$4&gt;MESCLUN_BED_CAP,$A445+$B445+W$4&gt;TOTAL_BEDS_AVAILABLE,($D445+W$5)&gt;TOTAL_LABOR_HOURS_CAP,MAX(0,($D445+W$5)-PERMANENT_FIELD_LABOR_HOURS)&gt;TEMP_HOURS_CAP),"",$C445+W$6-MIN(($D445+W$5),PERMANENT_FIELD_LABOR_HOURS)*PERMANENT_HOURLY_RATE-MAX(0,($D445+W$5)-PERMANENT_FIELD_LABOR_HOURS)*TEMP_HOURLY_RATE-FIXED_SEASON_COST)</f>
        <v/>
      </c>
      <c r="X445" s="53" t="str">
        <f aca="false">IF(OR($A445&gt;TOMATO_BED_CAP,$B445&gt;CARROT_BED_CAP,X$4&gt;MESCLUN_BED_CAP,$A445+$B445+X$4&gt;TOTAL_BEDS_AVAILABLE,($D445+X$5)&gt;TOTAL_LABOR_HOURS_CAP,MAX(0,($D445+X$5)-PERMANENT_FIELD_LABOR_HOURS)&gt;TEMP_HOURS_CAP),"",$C445+X$6-MIN(($D445+X$5),PERMANENT_FIELD_LABOR_HOURS)*PERMANENT_HOURLY_RATE-MAX(0,($D445+X$5)-PERMANENT_FIELD_LABOR_HOURS)*TEMP_HOURLY_RATE-FIXED_SEASON_COST)</f>
        <v/>
      </c>
      <c r="Y445" s="53" t="str">
        <f aca="false">IF(OR($A445&gt;TOMATO_BED_CAP,$B445&gt;CARROT_BED_CAP,Y$4&gt;MESCLUN_BED_CAP,$A445+$B445+Y$4&gt;TOTAL_BEDS_AVAILABLE,($D445+Y$5)&gt;TOTAL_LABOR_HOURS_CAP,MAX(0,($D445+Y$5)-PERMANENT_FIELD_LABOR_HOURS)&gt;TEMP_HOURS_CAP),"",$C445+Y$6-MIN(($D445+Y$5),PERMANENT_FIELD_LABOR_HOURS)*PERMANENT_HOURLY_RATE-MAX(0,($D445+Y$5)-PERMANENT_FIELD_LABOR_HOURS)*TEMP_HOURLY_RATE-FIXED_SEASON_COST)</f>
        <v/>
      </c>
      <c r="Z445" s="53" t="str">
        <f aca="false">IF(OR($A445&gt;TOMATO_BED_CAP,$B445&gt;CARROT_BED_CAP,Z$4&gt;MESCLUN_BED_CAP,$A445+$B445+Z$4&gt;TOTAL_BEDS_AVAILABLE,($D445+Z$5)&gt;TOTAL_LABOR_HOURS_CAP,MAX(0,($D445+Z$5)-PERMANENT_FIELD_LABOR_HOURS)&gt;TEMP_HOURS_CAP),"",$C445+Z$6-MIN(($D445+Z$5),PERMANENT_FIELD_LABOR_HOURS)*PERMANENT_HOURLY_RATE-MAX(0,($D445+Z$5)-PERMANENT_FIELD_LABOR_HOURS)*TEMP_HOURLY_RATE-FIXED_SEASON_COST)</f>
        <v/>
      </c>
      <c r="AA445" s="53" t="str">
        <f aca="false">IF(OR($A445&gt;TOMATO_BED_CAP,$B445&gt;CARROT_BED_CAP,AA$4&gt;MESCLUN_BED_CAP,$A445+$B445+AA$4&gt;TOTAL_BEDS_AVAILABLE,($D445+AA$5)&gt;TOTAL_LABOR_HOURS_CAP,MAX(0,($D445+AA$5)-PERMANENT_FIELD_LABOR_HOURS)&gt;TEMP_HOURS_CAP),"",$C445+AA$6-MIN(($D445+AA$5),PERMANENT_FIELD_LABOR_HOURS)*PERMANENT_HOURLY_RATE-MAX(0,($D445+AA$5)-PERMANENT_FIELD_LABOR_HOURS)*TEMP_HOURLY_RATE-FIXED_SEASON_COST)</f>
        <v/>
      </c>
      <c r="AB445" s="53" t="str">
        <f aca="false">IF(OR($A445&gt;TOMATO_BED_CAP,$B445&gt;CARROT_BED_CAP,AB$4&gt;MESCLUN_BED_CAP,$A445+$B445+AB$4&gt;TOTAL_BEDS_AVAILABLE,($D445+AB$5)&gt;TOTAL_LABOR_HOURS_CAP,MAX(0,($D445+AB$5)-PERMANENT_FIELD_LABOR_HOURS)&gt;TEMP_HOURS_CAP),"",$C445+AB$6-MIN(($D445+AB$5),PERMANENT_FIELD_LABOR_HOURS)*PERMANENT_HOURLY_RATE-MAX(0,($D445+AB$5)-PERMANENT_FIELD_LABOR_HOURS)*TEMP_HOURLY_RATE-FIXED_SEASON_COST)</f>
        <v/>
      </c>
      <c r="AC445" s="53" t="str">
        <f aca="false">IF(OR($A445&gt;TOMATO_BED_CAP,$B445&gt;CARROT_BED_CAP,AC$4&gt;MESCLUN_BED_CAP,$A445+$B445+AC$4&gt;TOTAL_BEDS_AVAILABLE,($D445+AC$5)&gt;TOTAL_LABOR_HOURS_CAP,MAX(0,($D445+AC$5)-PERMANENT_FIELD_LABOR_HOURS)&gt;TEMP_HOURS_CAP),"",$C445+AC$6-MIN(($D445+AC$5),PERMANENT_FIELD_LABOR_HOURS)*PERMANENT_HOURLY_RATE-MAX(0,($D445+AC$5)-PERMANENT_FIELD_LABOR_HOURS)*TEMP_HOURLY_RATE-FIXED_SEASON_COST)</f>
        <v/>
      </c>
      <c r="AD445" s="53" t="str">
        <f aca="false">IF(OR($A445&gt;TOMATO_BED_CAP,$B445&gt;CARROT_BED_CAP,AD$4&gt;MESCLUN_BED_CAP,$A445+$B445+AD$4&gt;TOTAL_BEDS_AVAILABLE,($D445+AD$5)&gt;TOTAL_LABOR_HOURS_CAP,MAX(0,($D445+AD$5)-PERMANENT_FIELD_LABOR_HOURS)&gt;TEMP_HOURS_CAP),"",$C445+AD$6-MIN(($D445+AD$5),PERMANENT_FIELD_LABOR_HOURS)*PERMANENT_HOURLY_RATE-MAX(0,($D445+AD$5)-PERMANENT_FIELD_LABOR_HOURS)*TEMP_HOURLY_RATE-FIXED_SEASON_COST)</f>
        <v/>
      </c>
      <c r="AE445" s="53" t="str">
        <f aca="false">IF(OR($A445&gt;TOMATO_BED_CAP,$B445&gt;CARROT_BED_CAP,AE$4&gt;MESCLUN_BED_CAP,$A445+$B445+AE$4&gt;TOTAL_BEDS_AVAILABLE,($D445+AE$5)&gt;TOTAL_LABOR_HOURS_CAP,MAX(0,($D445+AE$5)-PERMANENT_FIELD_LABOR_HOURS)&gt;TEMP_HOURS_CAP),"",$C445+AE$6-MIN(($D445+AE$5),PERMANENT_FIELD_LABOR_HOURS)*PERMANENT_HOURLY_RATE-MAX(0,($D445+AE$5)-PERMANENT_FIELD_LABOR_HOURS)*TEMP_HOURLY_RATE-FIXED_SEASON_COST)</f>
        <v/>
      </c>
      <c r="AF445" s="53" t="str">
        <f aca="false">IF(OR($A445&gt;TOMATO_BED_CAP,$B445&gt;CARROT_BED_CAP,AF$4&gt;MESCLUN_BED_CAP,$A445+$B445+AF$4&gt;TOTAL_BEDS_AVAILABLE,($D445+AF$5)&gt;TOTAL_LABOR_HOURS_CAP,MAX(0,($D445+AF$5)-PERMANENT_FIELD_LABOR_HOURS)&gt;TEMP_HOURS_CAP),"",$C445+AF$6-MIN(($D445+AF$5),PERMANENT_FIELD_LABOR_HOURS)*PERMANENT_HOURLY_RATE-MAX(0,($D445+AF$5)-PERMANENT_FIELD_LABOR_HOURS)*TEMP_HOURLY_RATE-FIXED_SEASON_COST)</f>
        <v/>
      </c>
      <c r="AG445" s="53" t="str">
        <f aca="false">IF(OR($A445&gt;TOMATO_BED_CAP,$B445&gt;CARROT_BED_CAP,AG$4&gt;MESCLUN_BED_CAP,$A445+$B445+AG$4&gt;TOTAL_BEDS_AVAILABLE,($D445+AG$5)&gt;TOTAL_LABOR_HOURS_CAP,MAX(0,($D445+AG$5)-PERMANENT_FIELD_LABOR_HOURS)&gt;TEMP_HOURS_CAP),"",$C445+AG$6-MIN(($D445+AG$5),PERMANENT_FIELD_LABOR_HOURS)*PERMANENT_HOURLY_RATE-MAX(0,($D445+AG$5)-PERMANENT_FIELD_LABOR_HOURS)*TEMP_HOURLY_RATE-FIXED_SEASON_COST)</f>
        <v/>
      </c>
      <c r="AH445" s="53" t="str">
        <f aca="false">IF(OR($A445&gt;TOMATO_BED_CAP,$B445&gt;CARROT_BED_CAP,AH$4&gt;MESCLUN_BED_CAP,$A445+$B445+AH$4&gt;TOTAL_BEDS_AVAILABLE,($D445+AH$5)&gt;TOTAL_LABOR_HOURS_CAP,MAX(0,($D445+AH$5)-PERMANENT_FIELD_LABOR_HOURS)&gt;TEMP_HOURS_CAP),"",$C445+AH$6-MIN(($D445+AH$5),PERMANENT_FIELD_LABOR_HOURS)*PERMANENT_HOURLY_RATE-MAX(0,($D445+AH$5)-PERMANENT_FIELD_LABOR_HOURS)*TEMP_HOURLY_RATE-FIXED_SEASON_COST)</f>
        <v/>
      </c>
      <c r="AI445" s="53" t="str">
        <f aca="false">IF(OR($A445&gt;TOMATO_BED_CAP,$B445&gt;CARROT_BED_CAP,AI$4&gt;MESCLUN_BED_CAP,$A445+$B445+AI$4&gt;TOTAL_BEDS_AVAILABLE,($D445+AI$5)&gt;TOTAL_LABOR_HOURS_CAP,MAX(0,($D445+AI$5)-PERMANENT_FIELD_LABOR_HOURS)&gt;TEMP_HOURS_CAP),"",$C445+AI$6-MIN(($D445+AI$5),PERMANENT_FIELD_LABOR_HOURS)*PERMANENT_HOURLY_RATE-MAX(0,($D445+AI$5)-PERMANENT_FIELD_LABOR_HOURS)*TEMP_HOURLY_RATE-FIXED_SEASON_COST)</f>
        <v/>
      </c>
      <c r="AJ445" s="53" t="str">
        <f aca="false">IF(OR($A445&gt;TOMATO_BED_CAP,$B445&gt;CARROT_BED_CAP,AJ$4&gt;MESCLUN_BED_CAP,$A445+$B445+AJ$4&gt;TOTAL_BEDS_AVAILABLE,($D445+AJ$5)&gt;TOTAL_LABOR_HOURS_CAP,MAX(0,($D445+AJ$5)-PERMANENT_FIELD_LABOR_HOURS)&gt;TEMP_HOURS_CAP),"",$C445+AJ$6-MIN(($D445+AJ$5),PERMANENT_FIELD_LABOR_HOURS)*PERMANENT_HOURLY_RATE-MAX(0,($D445+AJ$5)-PERMANENT_FIELD_LABOR_HOURS)*TEMP_HOURLY_RATE-FIXED_SEASON_COST)</f>
        <v/>
      </c>
    </row>
    <row r="446" customFormat="false" ht="15" hidden="false" customHeight="false" outlineLevel="0" collapsed="false">
      <c r="A446" s="21" t="n">
        <f aca="false">INT((ROW()-ROW($A$8))/(20+1))</f>
        <v>20</v>
      </c>
      <c r="B446" s="21" t="n">
        <f aca="false">MOD(ROW()-ROW($A$8),20+1)</f>
        <v>18</v>
      </c>
      <c r="C446" s="13" t="n">
        <f aca="false">A446*(TOMATO_REVENUE_PER_BED-TOMATO_FERTILIZER_PER_BED)+B446*(CARROT_REVENUE_PER_BED-CARROT_FERTILIZER_PER_BED)</f>
        <v>188172</v>
      </c>
      <c r="D446" s="14" t="n">
        <f aca="false">INDEX(TOMATO_SCHED_LABOR_HRS,A446+1)+INDEX(CARROT_SCHED_LABOR_HRS,B446+1)</f>
        <v>12951.3787300646</v>
      </c>
      <c r="E446" s="13" t="str">
        <f aca="false">IF(COUNT(F446:AJ446)=0,"",MAX(F446:AJ446))</f>
        <v/>
      </c>
      <c r="F446" s="53" t="str">
        <f aca="false">IF(OR($A446&gt;TOMATO_BED_CAP,$B446&gt;CARROT_BED_CAP,F$4&gt;MESCLUN_BED_CAP,$A446+$B446+F$4&gt;TOTAL_BEDS_AVAILABLE,($D446+F$5)&gt;TOTAL_LABOR_HOURS_CAP,MAX(0,($D446+F$5)-PERMANENT_FIELD_LABOR_HOURS)&gt;TEMP_HOURS_CAP),"",$C446+F$6-MIN(($D446+F$5),PERMANENT_FIELD_LABOR_HOURS)*PERMANENT_HOURLY_RATE-MAX(0,($D446+F$5)-PERMANENT_FIELD_LABOR_HOURS)*TEMP_HOURLY_RATE-FIXED_SEASON_COST)</f>
        <v/>
      </c>
      <c r="G446" s="53" t="str">
        <f aca="false">IF(OR($A446&gt;TOMATO_BED_CAP,$B446&gt;CARROT_BED_CAP,G$4&gt;MESCLUN_BED_CAP,$A446+$B446+G$4&gt;TOTAL_BEDS_AVAILABLE,($D446+G$5)&gt;TOTAL_LABOR_HOURS_CAP,MAX(0,($D446+G$5)-PERMANENT_FIELD_LABOR_HOURS)&gt;TEMP_HOURS_CAP),"",$C446+G$6-MIN(($D446+G$5),PERMANENT_FIELD_LABOR_HOURS)*PERMANENT_HOURLY_RATE-MAX(0,($D446+G$5)-PERMANENT_FIELD_LABOR_HOURS)*TEMP_HOURLY_RATE-FIXED_SEASON_COST)</f>
        <v/>
      </c>
      <c r="H446" s="53" t="str">
        <f aca="false">IF(OR($A446&gt;TOMATO_BED_CAP,$B446&gt;CARROT_BED_CAP,H$4&gt;MESCLUN_BED_CAP,$A446+$B446+H$4&gt;TOTAL_BEDS_AVAILABLE,($D446+H$5)&gt;TOTAL_LABOR_HOURS_CAP,MAX(0,($D446+H$5)-PERMANENT_FIELD_LABOR_HOURS)&gt;TEMP_HOURS_CAP),"",$C446+H$6-MIN(($D446+H$5),PERMANENT_FIELD_LABOR_HOURS)*PERMANENT_HOURLY_RATE-MAX(0,($D446+H$5)-PERMANENT_FIELD_LABOR_HOURS)*TEMP_HOURLY_RATE-FIXED_SEASON_COST)</f>
        <v/>
      </c>
      <c r="I446" s="53" t="str">
        <f aca="false">IF(OR($A446&gt;TOMATO_BED_CAP,$B446&gt;CARROT_BED_CAP,I$4&gt;MESCLUN_BED_CAP,$A446+$B446+I$4&gt;TOTAL_BEDS_AVAILABLE,($D446+I$5)&gt;TOTAL_LABOR_HOURS_CAP,MAX(0,($D446+I$5)-PERMANENT_FIELD_LABOR_HOURS)&gt;TEMP_HOURS_CAP),"",$C446+I$6-MIN(($D446+I$5),PERMANENT_FIELD_LABOR_HOURS)*PERMANENT_HOURLY_RATE-MAX(0,($D446+I$5)-PERMANENT_FIELD_LABOR_HOURS)*TEMP_HOURLY_RATE-FIXED_SEASON_COST)</f>
        <v/>
      </c>
      <c r="J446" s="53" t="str">
        <f aca="false">IF(OR($A446&gt;TOMATO_BED_CAP,$B446&gt;CARROT_BED_CAP,J$4&gt;MESCLUN_BED_CAP,$A446+$B446+J$4&gt;TOTAL_BEDS_AVAILABLE,($D446+J$5)&gt;TOTAL_LABOR_HOURS_CAP,MAX(0,($D446+J$5)-PERMANENT_FIELD_LABOR_HOURS)&gt;TEMP_HOURS_CAP),"",$C446+J$6-MIN(($D446+J$5),PERMANENT_FIELD_LABOR_HOURS)*PERMANENT_HOURLY_RATE-MAX(0,($D446+J$5)-PERMANENT_FIELD_LABOR_HOURS)*TEMP_HOURLY_RATE-FIXED_SEASON_COST)</f>
        <v/>
      </c>
      <c r="K446" s="53" t="str">
        <f aca="false">IF(OR($A446&gt;TOMATO_BED_CAP,$B446&gt;CARROT_BED_CAP,K$4&gt;MESCLUN_BED_CAP,$A446+$B446+K$4&gt;TOTAL_BEDS_AVAILABLE,($D446+K$5)&gt;TOTAL_LABOR_HOURS_CAP,MAX(0,($D446+K$5)-PERMANENT_FIELD_LABOR_HOURS)&gt;TEMP_HOURS_CAP),"",$C446+K$6-MIN(($D446+K$5),PERMANENT_FIELD_LABOR_HOURS)*PERMANENT_HOURLY_RATE-MAX(0,($D446+K$5)-PERMANENT_FIELD_LABOR_HOURS)*TEMP_HOURLY_RATE-FIXED_SEASON_COST)</f>
        <v/>
      </c>
      <c r="L446" s="53" t="str">
        <f aca="false">IF(OR($A446&gt;TOMATO_BED_CAP,$B446&gt;CARROT_BED_CAP,L$4&gt;MESCLUN_BED_CAP,$A446+$B446+L$4&gt;TOTAL_BEDS_AVAILABLE,($D446+L$5)&gt;TOTAL_LABOR_HOURS_CAP,MAX(0,($D446+L$5)-PERMANENT_FIELD_LABOR_HOURS)&gt;TEMP_HOURS_CAP),"",$C446+L$6-MIN(($D446+L$5),PERMANENT_FIELD_LABOR_HOURS)*PERMANENT_HOURLY_RATE-MAX(0,($D446+L$5)-PERMANENT_FIELD_LABOR_HOURS)*TEMP_HOURLY_RATE-FIXED_SEASON_COST)</f>
        <v/>
      </c>
      <c r="M446" s="53" t="str">
        <f aca="false">IF(OR($A446&gt;TOMATO_BED_CAP,$B446&gt;CARROT_BED_CAP,M$4&gt;MESCLUN_BED_CAP,$A446+$B446+M$4&gt;TOTAL_BEDS_AVAILABLE,($D446+M$5)&gt;TOTAL_LABOR_HOURS_CAP,MAX(0,($D446+M$5)-PERMANENT_FIELD_LABOR_HOURS)&gt;TEMP_HOURS_CAP),"",$C446+M$6-MIN(($D446+M$5),PERMANENT_FIELD_LABOR_HOURS)*PERMANENT_HOURLY_RATE-MAX(0,($D446+M$5)-PERMANENT_FIELD_LABOR_HOURS)*TEMP_HOURLY_RATE-FIXED_SEASON_COST)</f>
        <v/>
      </c>
      <c r="N446" s="53" t="str">
        <f aca="false">IF(OR($A446&gt;TOMATO_BED_CAP,$B446&gt;CARROT_BED_CAP,N$4&gt;MESCLUN_BED_CAP,$A446+$B446+N$4&gt;TOTAL_BEDS_AVAILABLE,($D446+N$5)&gt;TOTAL_LABOR_HOURS_CAP,MAX(0,($D446+N$5)-PERMANENT_FIELD_LABOR_HOURS)&gt;TEMP_HOURS_CAP),"",$C446+N$6-MIN(($D446+N$5),PERMANENT_FIELD_LABOR_HOURS)*PERMANENT_HOURLY_RATE-MAX(0,($D446+N$5)-PERMANENT_FIELD_LABOR_HOURS)*TEMP_HOURLY_RATE-FIXED_SEASON_COST)</f>
        <v/>
      </c>
      <c r="O446" s="53" t="str">
        <f aca="false">IF(OR($A446&gt;TOMATO_BED_CAP,$B446&gt;CARROT_BED_CAP,O$4&gt;MESCLUN_BED_CAP,$A446+$B446+O$4&gt;TOTAL_BEDS_AVAILABLE,($D446+O$5)&gt;TOTAL_LABOR_HOURS_CAP,MAX(0,($D446+O$5)-PERMANENT_FIELD_LABOR_HOURS)&gt;TEMP_HOURS_CAP),"",$C446+O$6-MIN(($D446+O$5),PERMANENT_FIELD_LABOR_HOURS)*PERMANENT_HOURLY_RATE-MAX(0,($D446+O$5)-PERMANENT_FIELD_LABOR_HOURS)*TEMP_HOURLY_RATE-FIXED_SEASON_COST)</f>
        <v/>
      </c>
      <c r="P446" s="53" t="str">
        <f aca="false">IF(OR($A446&gt;TOMATO_BED_CAP,$B446&gt;CARROT_BED_CAP,P$4&gt;MESCLUN_BED_CAP,$A446+$B446+P$4&gt;TOTAL_BEDS_AVAILABLE,($D446+P$5)&gt;TOTAL_LABOR_HOURS_CAP,MAX(0,($D446+P$5)-PERMANENT_FIELD_LABOR_HOURS)&gt;TEMP_HOURS_CAP),"",$C446+P$6-MIN(($D446+P$5),PERMANENT_FIELD_LABOR_HOURS)*PERMANENT_HOURLY_RATE-MAX(0,($D446+P$5)-PERMANENT_FIELD_LABOR_HOURS)*TEMP_HOURLY_RATE-FIXED_SEASON_COST)</f>
        <v/>
      </c>
      <c r="Q446" s="53" t="str">
        <f aca="false">IF(OR($A446&gt;TOMATO_BED_CAP,$B446&gt;CARROT_BED_CAP,Q$4&gt;MESCLUN_BED_CAP,$A446+$B446+Q$4&gt;TOTAL_BEDS_AVAILABLE,($D446+Q$5)&gt;TOTAL_LABOR_HOURS_CAP,MAX(0,($D446+Q$5)-PERMANENT_FIELD_LABOR_HOURS)&gt;TEMP_HOURS_CAP),"",$C446+Q$6-MIN(($D446+Q$5),PERMANENT_FIELD_LABOR_HOURS)*PERMANENT_HOURLY_RATE-MAX(0,($D446+Q$5)-PERMANENT_FIELD_LABOR_HOURS)*TEMP_HOURLY_RATE-FIXED_SEASON_COST)</f>
        <v/>
      </c>
      <c r="R446" s="53" t="str">
        <f aca="false">IF(OR($A446&gt;TOMATO_BED_CAP,$B446&gt;CARROT_BED_CAP,R$4&gt;MESCLUN_BED_CAP,$A446+$B446+R$4&gt;TOTAL_BEDS_AVAILABLE,($D446+R$5)&gt;TOTAL_LABOR_HOURS_CAP,MAX(0,($D446+R$5)-PERMANENT_FIELD_LABOR_HOURS)&gt;TEMP_HOURS_CAP),"",$C446+R$6-MIN(($D446+R$5),PERMANENT_FIELD_LABOR_HOURS)*PERMANENT_HOURLY_RATE-MAX(0,($D446+R$5)-PERMANENT_FIELD_LABOR_HOURS)*TEMP_HOURLY_RATE-FIXED_SEASON_COST)</f>
        <v/>
      </c>
      <c r="S446" s="53" t="str">
        <f aca="false">IF(OR($A446&gt;TOMATO_BED_CAP,$B446&gt;CARROT_BED_CAP,S$4&gt;MESCLUN_BED_CAP,$A446+$B446+S$4&gt;TOTAL_BEDS_AVAILABLE,($D446+S$5)&gt;TOTAL_LABOR_HOURS_CAP,MAX(0,($D446+S$5)-PERMANENT_FIELD_LABOR_HOURS)&gt;TEMP_HOURS_CAP),"",$C446+S$6-MIN(($D446+S$5),PERMANENT_FIELD_LABOR_HOURS)*PERMANENT_HOURLY_RATE-MAX(0,($D446+S$5)-PERMANENT_FIELD_LABOR_HOURS)*TEMP_HOURLY_RATE-FIXED_SEASON_COST)</f>
        <v/>
      </c>
      <c r="T446" s="53" t="str">
        <f aca="false">IF(OR($A446&gt;TOMATO_BED_CAP,$B446&gt;CARROT_BED_CAP,T$4&gt;MESCLUN_BED_CAP,$A446+$B446+T$4&gt;TOTAL_BEDS_AVAILABLE,($D446+T$5)&gt;TOTAL_LABOR_HOURS_CAP,MAX(0,($D446+T$5)-PERMANENT_FIELD_LABOR_HOURS)&gt;TEMP_HOURS_CAP),"",$C446+T$6-MIN(($D446+T$5),PERMANENT_FIELD_LABOR_HOURS)*PERMANENT_HOURLY_RATE-MAX(0,($D446+T$5)-PERMANENT_FIELD_LABOR_HOURS)*TEMP_HOURLY_RATE-FIXED_SEASON_COST)</f>
        <v/>
      </c>
      <c r="U446" s="53" t="str">
        <f aca="false">IF(OR($A446&gt;TOMATO_BED_CAP,$B446&gt;CARROT_BED_CAP,U$4&gt;MESCLUN_BED_CAP,$A446+$B446+U$4&gt;TOTAL_BEDS_AVAILABLE,($D446+U$5)&gt;TOTAL_LABOR_HOURS_CAP,MAX(0,($D446+U$5)-PERMANENT_FIELD_LABOR_HOURS)&gt;TEMP_HOURS_CAP),"",$C446+U$6-MIN(($D446+U$5),PERMANENT_FIELD_LABOR_HOURS)*PERMANENT_HOURLY_RATE-MAX(0,($D446+U$5)-PERMANENT_FIELD_LABOR_HOURS)*TEMP_HOURLY_RATE-FIXED_SEASON_COST)</f>
        <v/>
      </c>
      <c r="V446" s="53" t="str">
        <f aca="false">IF(OR($A446&gt;TOMATO_BED_CAP,$B446&gt;CARROT_BED_CAP,V$4&gt;MESCLUN_BED_CAP,$A446+$B446+V$4&gt;TOTAL_BEDS_AVAILABLE,($D446+V$5)&gt;TOTAL_LABOR_HOURS_CAP,MAX(0,($D446+V$5)-PERMANENT_FIELD_LABOR_HOURS)&gt;TEMP_HOURS_CAP),"",$C446+V$6-MIN(($D446+V$5),PERMANENT_FIELD_LABOR_HOURS)*PERMANENT_HOURLY_RATE-MAX(0,($D446+V$5)-PERMANENT_FIELD_LABOR_HOURS)*TEMP_HOURLY_RATE-FIXED_SEASON_COST)</f>
        <v/>
      </c>
      <c r="W446" s="53" t="str">
        <f aca="false">IF(OR($A446&gt;TOMATO_BED_CAP,$B446&gt;CARROT_BED_CAP,W$4&gt;MESCLUN_BED_CAP,$A446+$B446+W$4&gt;TOTAL_BEDS_AVAILABLE,($D446+W$5)&gt;TOTAL_LABOR_HOURS_CAP,MAX(0,($D446+W$5)-PERMANENT_FIELD_LABOR_HOURS)&gt;TEMP_HOURS_CAP),"",$C446+W$6-MIN(($D446+W$5),PERMANENT_FIELD_LABOR_HOURS)*PERMANENT_HOURLY_RATE-MAX(0,($D446+W$5)-PERMANENT_FIELD_LABOR_HOURS)*TEMP_HOURLY_RATE-FIXED_SEASON_COST)</f>
        <v/>
      </c>
      <c r="X446" s="53" t="str">
        <f aca="false">IF(OR($A446&gt;TOMATO_BED_CAP,$B446&gt;CARROT_BED_CAP,X$4&gt;MESCLUN_BED_CAP,$A446+$B446+X$4&gt;TOTAL_BEDS_AVAILABLE,($D446+X$5)&gt;TOTAL_LABOR_HOURS_CAP,MAX(0,($D446+X$5)-PERMANENT_FIELD_LABOR_HOURS)&gt;TEMP_HOURS_CAP),"",$C446+X$6-MIN(($D446+X$5),PERMANENT_FIELD_LABOR_HOURS)*PERMANENT_HOURLY_RATE-MAX(0,($D446+X$5)-PERMANENT_FIELD_LABOR_HOURS)*TEMP_HOURLY_RATE-FIXED_SEASON_COST)</f>
        <v/>
      </c>
      <c r="Y446" s="53" t="str">
        <f aca="false">IF(OR($A446&gt;TOMATO_BED_CAP,$B446&gt;CARROT_BED_CAP,Y$4&gt;MESCLUN_BED_CAP,$A446+$B446+Y$4&gt;TOTAL_BEDS_AVAILABLE,($D446+Y$5)&gt;TOTAL_LABOR_HOURS_CAP,MAX(0,($D446+Y$5)-PERMANENT_FIELD_LABOR_HOURS)&gt;TEMP_HOURS_CAP),"",$C446+Y$6-MIN(($D446+Y$5),PERMANENT_FIELD_LABOR_HOURS)*PERMANENT_HOURLY_RATE-MAX(0,($D446+Y$5)-PERMANENT_FIELD_LABOR_HOURS)*TEMP_HOURLY_RATE-FIXED_SEASON_COST)</f>
        <v/>
      </c>
      <c r="Z446" s="53" t="str">
        <f aca="false">IF(OR($A446&gt;TOMATO_BED_CAP,$B446&gt;CARROT_BED_CAP,Z$4&gt;MESCLUN_BED_CAP,$A446+$B446+Z$4&gt;TOTAL_BEDS_AVAILABLE,($D446+Z$5)&gt;TOTAL_LABOR_HOURS_CAP,MAX(0,($D446+Z$5)-PERMANENT_FIELD_LABOR_HOURS)&gt;TEMP_HOURS_CAP),"",$C446+Z$6-MIN(($D446+Z$5),PERMANENT_FIELD_LABOR_HOURS)*PERMANENT_HOURLY_RATE-MAX(0,($D446+Z$5)-PERMANENT_FIELD_LABOR_HOURS)*TEMP_HOURLY_RATE-FIXED_SEASON_COST)</f>
        <v/>
      </c>
      <c r="AA446" s="53" t="str">
        <f aca="false">IF(OR($A446&gt;TOMATO_BED_CAP,$B446&gt;CARROT_BED_CAP,AA$4&gt;MESCLUN_BED_CAP,$A446+$B446+AA$4&gt;TOTAL_BEDS_AVAILABLE,($D446+AA$5)&gt;TOTAL_LABOR_HOURS_CAP,MAX(0,($D446+AA$5)-PERMANENT_FIELD_LABOR_HOURS)&gt;TEMP_HOURS_CAP),"",$C446+AA$6-MIN(($D446+AA$5),PERMANENT_FIELD_LABOR_HOURS)*PERMANENT_HOURLY_RATE-MAX(0,($D446+AA$5)-PERMANENT_FIELD_LABOR_HOURS)*TEMP_HOURLY_RATE-FIXED_SEASON_COST)</f>
        <v/>
      </c>
      <c r="AB446" s="53" t="str">
        <f aca="false">IF(OR($A446&gt;TOMATO_BED_CAP,$B446&gt;CARROT_BED_CAP,AB$4&gt;MESCLUN_BED_CAP,$A446+$B446+AB$4&gt;TOTAL_BEDS_AVAILABLE,($D446+AB$5)&gt;TOTAL_LABOR_HOURS_CAP,MAX(0,($D446+AB$5)-PERMANENT_FIELD_LABOR_HOURS)&gt;TEMP_HOURS_CAP),"",$C446+AB$6-MIN(($D446+AB$5),PERMANENT_FIELD_LABOR_HOURS)*PERMANENT_HOURLY_RATE-MAX(0,($D446+AB$5)-PERMANENT_FIELD_LABOR_HOURS)*TEMP_HOURLY_RATE-FIXED_SEASON_COST)</f>
        <v/>
      </c>
      <c r="AC446" s="53" t="str">
        <f aca="false">IF(OR($A446&gt;TOMATO_BED_CAP,$B446&gt;CARROT_BED_CAP,AC$4&gt;MESCLUN_BED_CAP,$A446+$B446+AC$4&gt;TOTAL_BEDS_AVAILABLE,($D446+AC$5)&gt;TOTAL_LABOR_HOURS_CAP,MAX(0,($D446+AC$5)-PERMANENT_FIELD_LABOR_HOURS)&gt;TEMP_HOURS_CAP),"",$C446+AC$6-MIN(($D446+AC$5),PERMANENT_FIELD_LABOR_HOURS)*PERMANENT_HOURLY_RATE-MAX(0,($D446+AC$5)-PERMANENT_FIELD_LABOR_HOURS)*TEMP_HOURLY_RATE-FIXED_SEASON_COST)</f>
        <v/>
      </c>
      <c r="AD446" s="53" t="str">
        <f aca="false">IF(OR($A446&gt;TOMATO_BED_CAP,$B446&gt;CARROT_BED_CAP,AD$4&gt;MESCLUN_BED_CAP,$A446+$B446+AD$4&gt;TOTAL_BEDS_AVAILABLE,($D446+AD$5)&gt;TOTAL_LABOR_HOURS_CAP,MAX(0,($D446+AD$5)-PERMANENT_FIELD_LABOR_HOURS)&gt;TEMP_HOURS_CAP),"",$C446+AD$6-MIN(($D446+AD$5),PERMANENT_FIELD_LABOR_HOURS)*PERMANENT_HOURLY_RATE-MAX(0,($D446+AD$5)-PERMANENT_FIELD_LABOR_HOURS)*TEMP_HOURLY_RATE-FIXED_SEASON_COST)</f>
        <v/>
      </c>
      <c r="AE446" s="53" t="str">
        <f aca="false">IF(OR($A446&gt;TOMATO_BED_CAP,$B446&gt;CARROT_BED_CAP,AE$4&gt;MESCLUN_BED_CAP,$A446+$B446+AE$4&gt;TOTAL_BEDS_AVAILABLE,($D446+AE$5)&gt;TOTAL_LABOR_HOURS_CAP,MAX(0,($D446+AE$5)-PERMANENT_FIELD_LABOR_HOURS)&gt;TEMP_HOURS_CAP),"",$C446+AE$6-MIN(($D446+AE$5),PERMANENT_FIELD_LABOR_HOURS)*PERMANENT_HOURLY_RATE-MAX(0,($D446+AE$5)-PERMANENT_FIELD_LABOR_HOURS)*TEMP_HOURLY_RATE-FIXED_SEASON_COST)</f>
        <v/>
      </c>
      <c r="AF446" s="53" t="str">
        <f aca="false">IF(OR($A446&gt;TOMATO_BED_CAP,$B446&gt;CARROT_BED_CAP,AF$4&gt;MESCLUN_BED_CAP,$A446+$B446+AF$4&gt;TOTAL_BEDS_AVAILABLE,($D446+AF$5)&gt;TOTAL_LABOR_HOURS_CAP,MAX(0,($D446+AF$5)-PERMANENT_FIELD_LABOR_HOURS)&gt;TEMP_HOURS_CAP),"",$C446+AF$6-MIN(($D446+AF$5),PERMANENT_FIELD_LABOR_HOURS)*PERMANENT_HOURLY_RATE-MAX(0,($D446+AF$5)-PERMANENT_FIELD_LABOR_HOURS)*TEMP_HOURLY_RATE-FIXED_SEASON_COST)</f>
        <v/>
      </c>
      <c r="AG446" s="53" t="str">
        <f aca="false">IF(OR($A446&gt;TOMATO_BED_CAP,$B446&gt;CARROT_BED_CAP,AG$4&gt;MESCLUN_BED_CAP,$A446+$B446+AG$4&gt;TOTAL_BEDS_AVAILABLE,($D446+AG$5)&gt;TOTAL_LABOR_HOURS_CAP,MAX(0,($D446+AG$5)-PERMANENT_FIELD_LABOR_HOURS)&gt;TEMP_HOURS_CAP),"",$C446+AG$6-MIN(($D446+AG$5),PERMANENT_FIELD_LABOR_HOURS)*PERMANENT_HOURLY_RATE-MAX(0,($D446+AG$5)-PERMANENT_FIELD_LABOR_HOURS)*TEMP_HOURLY_RATE-FIXED_SEASON_COST)</f>
        <v/>
      </c>
      <c r="AH446" s="53" t="str">
        <f aca="false">IF(OR($A446&gt;TOMATO_BED_CAP,$B446&gt;CARROT_BED_CAP,AH$4&gt;MESCLUN_BED_CAP,$A446+$B446+AH$4&gt;TOTAL_BEDS_AVAILABLE,($D446+AH$5)&gt;TOTAL_LABOR_HOURS_CAP,MAX(0,($D446+AH$5)-PERMANENT_FIELD_LABOR_HOURS)&gt;TEMP_HOURS_CAP),"",$C446+AH$6-MIN(($D446+AH$5),PERMANENT_FIELD_LABOR_HOURS)*PERMANENT_HOURLY_RATE-MAX(0,($D446+AH$5)-PERMANENT_FIELD_LABOR_HOURS)*TEMP_HOURLY_RATE-FIXED_SEASON_COST)</f>
        <v/>
      </c>
      <c r="AI446" s="53" t="str">
        <f aca="false">IF(OR($A446&gt;TOMATO_BED_CAP,$B446&gt;CARROT_BED_CAP,AI$4&gt;MESCLUN_BED_CAP,$A446+$B446+AI$4&gt;TOTAL_BEDS_AVAILABLE,($D446+AI$5)&gt;TOTAL_LABOR_HOURS_CAP,MAX(0,($D446+AI$5)-PERMANENT_FIELD_LABOR_HOURS)&gt;TEMP_HOURS_CAP),"",$C446+AI$6-MIN(($D446+AI$5),PERMANENT_FIELD_LABOR_HOURS)*PERMANENT_HOURLY_RATE-MAX(0,($D446+AI$5)-PERMANENT_FIELD_LABOR_HOURS)*TEMP_HOURLY_RATE-FIXED_SEASON_COST)</f>
        <v/>
      </c>
      <c r="AJ446" s="53" t="str">
        <f aca="false">IF(OR($A446&gt;TOMATO_BED_CAP,$B446&gt;CARROT_BED_CAP,AJ$4&gt;MESCLUN_BED_CAP,$A446+$B446+AJ$4&gt;TOTAL_BEDS_AVAILABLE,($D446+AJ$5)&gt;TOTAL_LABOR_HOURS_CAP,MAX(0,($D446+AJ$5)-PERMANENT_FIELD_LABOR_HOURS)&gt;TEMP_HOURS_CAP),"",$C446+AJ$6-MIN(($D446+AJ$5),PERMANENT_FIELD_LABOR_HOURS)*PERMANENT_HOURLY_RATE-MAX(0,($D446+AJ$5)-PERMANENT_FIELD_LABOR_HOURS)*TEMP_HOURLY_RATE-FIXED_SEASON_COST)</f>
        <v/>
      </c>
    </row>
    <row r="447" customFormat="false" ht="15" hidden="false" customHeight="false" outlineLevel="0" collapsed="false">
      <c r="A447" s="21" t="n">
        <f aca="false">INT((ROW()-ROW($A$8))/(20+1))</f>
        <v>20</v>
      </c>
      <c r="B447" s="21" t="n">
        <f aca="false">MOD(ROW()-ROW($A$8),20+1)</f>
        <v>19</v>
      </c>
      <c r="C447" s="13" t="n">
        <f aca="false">A447*(TOMATO_REVENUE_PER_BED-TOMATO_FERTILIZER_PER_BED)+B447*(CARROT_REVENUE_PER_BED-CARROT_FERTILIZER_PER_BED)</f>
        <v>189826</v>
      </c>
      <c r="D447" s="14" t="n">
        <f aca="false">INDEX(TOMATO_SCHED_LABOR_HRS,A447+1)+INDEX(CARROT_SCHED_LABOR_HRS,B447+1)</f>
        <v>13020.3660223638</v>
      </c>
      <c r="E447" s="13" t="str">
        <f aca="false">IF(COUNT(F447:AJ447)=0,"",MAX(F447:AJ447))</f>
        <v/>
      </c>
      <c r="F447" s="53" t="str">
        <f aca="false">IF(OR($A447&gt;TOMATO_BED_CAP,$B447&gt;CARROT_BED_CAP,F$4&gt;MESCLUN_BED_CAP,$A447+$B447+F$4&gt;TOTAL_BEDS_AVAILABLE,($D447+F$5)&gt;TOTAL_LABOR_HOURS_CAP,MAX(0,($D447+F$5)-PERMANENT_FIELD_LABOR_HOURS)&gt;TEMP_HOURS_CAP),"",$C447+F$6-MIN(($D447+F$5),PERMANENT_FIELD_LABOR_HOURS)*PERMANENT_HOURLY_RATE-MAX(0,($D447+F$5)-PERMANENT_FIELD_LABOR_HOURS)*TEMP_HOURLY_RATE-FIXED_SEASON_COST)</f>
        <v/>
      </c>
      <c r="G447" s="53" t="str">
        <f aca="false">IF(OR($A447&gt;TOMATO_BED_CAP,$B447&gt;CARROT_BED_CAP,G$4&gt;MESCLUN_BED_CAP,$A447+$B447+G$4&gt;TOTAL_BEDS_AVAILABLE,($D447+G$5)&gt;TOTAL_LABOR_HOURS_CAP,MAX(0,($D447+G$5)-PERMANENT_FIELD_LABOR_HOURS)&gt;TEMP_HOURS_CAP),"",$C447+G$6-MIN(($D447+G$5),PERMANENT_FIELD_LABOR_HOURS)*PERMANENT_HOURLY_RATE-MAX(0,($D447+G$5)-PERMANENT_FIELD_LABOR_HOURS)*TEMP_HOURLY_RATE-FIXED_SEASON_COST)</f>
        <v/>
      </c>
      <c r="H447" s="53" t="str">
        <f aca="false">IF(OR($A447&gt;TOMATO_BED_CAP,$B447&gt;CARROT_BED_CAP,H$4&gt;MESCLUN_BED_CAP,$A447+$B447+H$4&gt;TOTAL_BEDS_AVAILABLE,($D447+H$5)&gt;TOTAL_LABOR_HOURS_CAP,MAX(0,($D447+H$5)-PERMANENT_FIELD_LABOR_HOURS)&gt;TEMP_HOURS_CAP),"",$C447+H$6-MIN(($D447+H$5),PERMANENT_FIELD_LABOR_HOURS)*PERMANENT_HOURLY_RATE-MAX(0,($D447+H$5)-PERMANENT_FIELD_LABOR_HOURS)*TEMP_HOURLY_RATE-FIXED_SEASON_COST)</f>
        <v/>
      </c>
      <c r="I447" s="53" t="str">
        <f aca="false">IF(OR($A447&gt;TOMATO_BED_CAP,$B447&gt;CARROT_BED_CAP,I$4&gt;MESCLUN_BED_CAP,$A447+$B447+I$4&gt;TOTAL_BEDS_AVAILABLE,($D447+I$5)&gt;TOTAL_LABOR_HOURS_CAP,MAX(0,($D447+I$5)-PERMANENT_FIELD_LABOR_HOURS)&gt;TEMP_HOURS_CAP),"",$C447+I$6-MIN(($D447+I$5),PERMANENT_FIELD_LABOR_HOURS)*PERMANENT_HOURLY_RATE-MAX(0,($D447+I$5)-PERMANENT_FIELD_LABOR_HOURS)*TEMP_HOURLY_RATE-FIXED_SEASON_COST)</f>
        <v/>
      </c>
      <c r="J447" s="53" t="str">
        <f aca="false">IF(OR($A447&gt;TOMATO_BED_CAP,$B447&gt;CARROT_BED_CAP,J$4&gt;MESCLUN_BED_CAP,$A447+$B447+J$4&gt;TOTAL_BEDS_AVAILABLE,($D447+J$5)&gt;TOTAL_LABOR_HOURS_CAP,MAX(0,($D447+J$5)-PERMANENT_FIELD_LABOR_HOURS)&gt;TEMP_HOURS_CAP),"",$C447+J$6-MIN(($D447+J$5),PERMANENT_FIELD_LABOR_HOURS)*PERMANENT_HOURLY_RATE-MAX(0,($D447+J$5)-PERMANENT_FIELD_LABOR_HOURS)*TEMP_HOURLY_RATE-FIXED_SEASON_COST)</f>
        <v/>
      </c>
      <c r="K447" s="53" t="str">
        <f aca="false">IF(OR($A447&gt;TOMATO_BED_CAP,$B447&gt;CARROT_BED_CAP,K$4&gt;MESCLUN_BED_CAP,$A447+$B447+K$4&gt;TOTAL_BEDS_AVAILABLE,($D447+K$5)&gt;TOTAL_LABOR_HOURS_CAP,MAX(0,($D447+K$5)-PERMANENT_FIELD_LABOR_HOURS)&gt;TEMP_HOURS_CAP),"",$C447+K$6-MIN(($D447+K$5),PERMANENT_FIELD_LABOR_HOURS)*PERMANENT_HOURLY_RATE-MAX(0,($D447+K$5)-PERMANENT_FIELD_LABOR_HOURS)*TEMP_HOURLY_RATE-FIXED_SEASON_COST)</f>
        <v/>
      </c>
      <c r="L447" s="53" t="str">
        <f aca="false">IF(OR($A447&gt;TOMATO_BED_CAP,$B447&gt;CARROT_BED_CAP,L$4&gt;MESCLUN_BED_CAP,$A447+$B447+L$4&gt;TOTAL_BEDS_AVAILABLE,($D447+L$5)&gt;TOTAL_LABOR_HOURS_CAP,MAX(0,($D447+L$5)-PERMANENT_FIELD_LABOR_HOURS)&gt;TEMP_HOURS_CAP),"",$C447+L$6-MIN(($D447+L$5),PERMANENT_FIELD_LABOR_HOURS)*PERMANENT_HOURLY_RATE-MAX(0,($D447+L$5)-PERMANENT_FIELD_LABOR_HOURS)*TEMP_HOURLY_RATE-FIXED_SEASON_COST)</f>
        <v/>
      </c>
      <c r="M447" s="53" t="str">
        <f aca="false">IF(OR($A447&gt;TOMATO_BED_CAP,$B447&gt;CARROT_BED_CAP,M$4&gt;MESCLUN_BED_CAP,$A447+$B447+M$4&gt;TOTAL_BEDS_AVAILABLE,($D447+M$5)&gt;TOTAL_LABOR_HOURS_CAP,MAX(0,($D447+M$5)-PERMANENT_FIELD_LABOR_HOURS)&gt;TEMP_HOURS_CAP),"",$C447+M$6-MIN(($D447+M$5),PERMANENT_FIELD_LABOR_HOURS)*PERMANENT_HOURLY_RATE-MAX(0,($D447+M$5)-PERMANENT_FIELD_LABOR_HOURS)*TEMP_HOURLY_RATE-FIXED_SEASON_COST)</f>
        <v/>
      </c>
      <c r="N447" s="53" t="str">
        <f aca="false">IF(OR($A447&gt;TOMATO_BED_CAP,$B447&gt;CARROT_BED_CAP,N$4&gt;MESCLUN_BED_CAP,$A447+$B447+N$4&gt;TOTAL_BEDS_AVAILABLE,($D447+N$5)&gt;TOTAL_LABOR_HOURS_CAP,MAX(0,($D447+N$5)-PERMANENT_FIELD_LABOR_HOURS)&gt;TEMP_HOURS_CAP),"",$C447+N$6-MIN(($D447+N$5),PERMANENT_FIELD_LABOR_HOURS)*PERMANENT_HOURLY_RATE-MAX(0,($D447+N$5)-PERMANENT_FIELD_LABOR_HOURS)*TEMP_HOURLY_RATE-FIXED_SEASON_COST)</f>
        <v/>
      </c>
      <c r="O447" s="53" t="str">
        <f aca="false">IF(OR($A447&gt;TOMATO_BED_CAP,$B447&gt;CARROT_BED_CAP,O$4&gt;MESCLUN_BED_CAP,$A447+$B447+O$4&gt;TOTAL_BEDS_AVAILABLE,($D447+O$5)&gt;TOTAL_LABOR_HOURS_CAP,MAX(0,($D447+O$5)-PERMANENT_FIELD_LABOR_HOURS)&gt;TEMP_HOURS_CAP),"",$C447+O$6-MIN(($D447+O$5),PERMANENT_FIELD_LABOR_HOURS)*PERMANENT_HOURLY_RATE-MAX(0,($D447+O$5)-PERMANENT_FIELD_LABOR_HOURS)*TEMP_HOURLY_RATE-FIXED_SEASON_COST)</f>
        <v/>
      </c>
      <c r="P447" s="53" t="str">
        <f aca="false">IF(OR($A447&gt;TOMATO_BED_CAP,$B447&gt;CARROT_BED_CAP,P$4&gt;MESCLUN_BED_CAP,$A447+$B447+P$4&gt;TOTAL_BEDS_AVAILABLE,($D447+P$5)&gt;TOTAL_LABOR_HOURS_CAP,MAX(0,($D447+P$5)-PERMANENT_FIELD_LABOR_HOURS)&gt;TEMP_HOURS_CAP),"",$C447+P$6-MIN(($D447+P$5),PERMANENT_FIELD_LABOR_HOURS)*PERMANENT_HOURLY_RATE-MAX(0,($D447+P$5)-PERMANENT_FIELD_LABOR_HOURS)*TEMP_HOURLY_RATE-FIXED_SEASON_COST)</f>
        <v/>
      </c>
      <c r="Q447" s="53" t="str">
        <f aca="false">IF(OR($A447&gt;TOMATO_BED_CAP,$B447&gt;CARROT_BED_CAP,Q$4&gt;MESCLUN_BED_CAP,$A447+$B447+Q$4&gt;TOTAL_BEDS_AVAILABLE,($D447+Q$5)&gt;TOTAL_LABOR_HOURS_CAP,MAX(0,($D447+Q$5)-PERMANENT_FIELD_LABOR_HOURS)&gt;TEMP_HOURS_CAP),"",$C447+Q$6-MIN(($D447+Q$5),PERMANENT_FIELD_LABOR_HOURS)*PERMANENT_HOURLY_RATE-MAX(0,($D447+Q$5)-PERMANENT_FIELD_LABOR_HOURS)*TEMP_HOURLY_RATE-FIXED_SEASON_COST)</f>
        <v/>
      </c>
      <c r="R447" s="53" t="str">
        <f aca="false">IF(OR($A447&gt;TOMATO_BED_CAP,$B447&gt;CARROT_BED_CAP,R$4&gt;MESCLUN_BED_CAP,$A447+$B447+R$4&gt;TOTAL_BEDS_AVAILABLE,($D447+R$5)&gt;TOTAL_LABOR_HOURS_CAP,MAX(0,($D447+R$5)-PERMANENT_FIELD_LABOR_HOURS)&gt;TEMP_HOURS_CAP),"",$C447+R$6-MIN(($D447+R$5),PERMANENT_FIELD_LABOR_HOURS)*PERMANENT_HOURLY_RATE-MAX(0,($D447+R$5)-PERMANENT_FIELD_LABOR_HOURS)*TEMP_HOURLY_RATE-FIXED_SEASON_COST)</f>
        <v/>
      </c>
      <c r="S447" s="53" t="str">
        <f aca="false">IF(OR($A447&gt;TOMATO_BED_CAP,$B447&gt;CARROT_BED_CAP,S$4&gt;MESCLUN_BED_CAP,$A447+$B447+S$4&gt;TOTAL_BEDS_AVAILABLE,($D447+S$5)&gt;TOTAL_LABOR_HOURS_CAP,MAX(0,($D447+S$5)-PERMANENT_FIELD_LABOR_HOURS)&gt;TEMP_HOURS_CAP),"",$C447+S$6-MIN(($D447+S$5),PERMANENT_FIELD_LABOR_HOURS)*PERMANENT_HOURLY_RATE-MAX(0,($D447+S$5)-PERMANENT_FIELD_LABOR_HOURS)*TEMP_HOURLY_RATE-FIXED_SEASON_COST)</f>
        <v/>
      </c>
      <c r="T447" s="53" t="str">
        <f aca="false">IF(OR($A447&gt;TOMATO_BED_CAP,$B447&gt;CARROT_BED_CAP,T$4&gt;MESCLUN_BED_CAP,$A447+$B447+T$4&gt;TOTAL_BEDS_AVAILABLE,($D447+T$5)&gt;TOTAL_LABOR_HOURS_CAP,MAX(0,($D447+T$5)-PERMANENT_FIELD_LABOR_HOURS)&gt;TEMP_HOURS_CAP),"",$C447+T$6-MIN(($D447+T$5),PERMANENT_FIELD_LABOR_HOURS)*PERMANENT_HOURLY_RATE-MAX(0,($D447+T$5)-PERMANENT_FIELD_LABOR_HOURS)*TEMP_HOURLY_RATE-FIXED_SEASON_COST)</f>
        <v/>
      </c>
      <c r="U447" s="53" t="str">
        <f aca="false">IF(OR($A447&gt;TOMATO_BED_CAP,$B447&gt;CARROT_BED_CAP,U$4&gt;MESCLUN_BED_CAP,$A447+$B447+U$4&gt;TOTAL_BEDS_AVAILABLE,($D447+U$5)&gt;TOTAL_LABOR_HOURS_CAP,MAX(0,($D447+U$5)-PERMANENT_FIELD_LABOR_HOURS)&gt;TEMP_HOURS_CAP),"",$C447+U$6-MIN(($D447+U$5),PERMANENT_FIELD_LABOR_HOURS)*PERMANENT_HOURLY_RATE-MAX(0,($D447+U$5)-PERMANENT_FIELD_LABOR_HOURS)*TEMP_HOURLY_RATE-FIXED_SEASON_COST)</f>
        <v/>
      </c>
      <c r="V447" s="53" t="str">
        <f aca="false">IF(OR($A447&gt;TOMATO_BED_CAP,$B447&gt;CARROT_BED_CAP,V$4&gt;MESCLUN_BED_CAP,$A447+$B447+V$4&gt;TOTAL_BEDS_AVAILABLE,($D447+V$5)&gt;TOTAL_LABOR_HOURS_CAP,MAX(0,($D447+V$5)-PERMANENT_FIELD_LABOR_HOURS)&gt;TEMP_HOURS_CAP),"",$C447+V$6-MIN(($D447+V$5),PERMANENT_FIELD_LABOR_HOURS)*PERMANENT_HOURLY_RATE-MAX(0,($D447+V$5)-PERMANENT_FIELD_LABOR_HOURS)*TEMP_HOURLY_RATE-FIXED_SEASON_COST)</f>
        <v/>
      </c>
      <c r="W447" s="53" t="str">
        <f aca="false">IF(OR($A447&gt;TOMATO_BED_CAP,$B447&gt;CARROT_BED_CAP,W$4&gt;MESCLUN_BED_CAP,$A447+$B447+W$4&gt;TOTAL_BEDS_AVAILABLE,($D447+W$5)&gt;TOTAL_LABOR_HOURS_CAP,MAX(0,($D447+W$5)-PERMANENT_FIELD_LABOR_HOURS)&gt;TEMP_HOURS_CAP),"",$C447+W$6-MIN(($D447+W$5),PERMANENT_FIELD_LABOR_HOURS)*PERMANENT_HOURLY_RATE-MAX(0,($D447+W$5)-PERMANENT_FIELD_LABOR_HOURS)*TEMP_HOURLY_RATE-FIXED_SEASON_COST)</f>
        <v/>
      </c>
      <c r="X447" s="53" t="str">
        <f aca="false">IF(OR($A447&gt;TOMATO_BED_CAP,$B447&gt;CARROT_BED_CAP,X$4&gt;MESCLUN_BED_CAP,$A447+$B447+X$4&gt;TOTAL_BEDS_AVAILABLE,($D447+X$5)&gt;TOTAL_LABOR_HOURS_CAP,MAX(0,($D447+X$5)-PERMANENT_FIELD_LABOR_HOURS)&gt;TEMP_HOURS_CAP),"",$C447+X$6-MIN(($D447+X$5),PERMANENT_FIELD_LABOR_HOURS)*PERMANENT_HOURLY_RATE-MAX(0,($D447+X$5)-PERMANENT_FIELD_LABOR_HOURS)*TEMP_HOURLY_RATE-FIXED_SEASON_COST)</f>
        <v/>
      </c>
      <c r="Y447" s="53" t="str">
        <f aca="false">IF(OR($A447&gt;TOMATO_BED_CAP,$B447&gt;CARROT_BED_CAP,Y$4&gt;MESCLUN_BED_CAP,$A447+$B447+Y$4&gt;TOTAL_BEDS_AVAILABLE,($D447+Y$5)&gt;TOTAL_LABOR_HOURS_CAP,MAX(0,($D447+Y$5)-PERMANENT_FIELD_LABOR_HOURS)&gt;TEMP_HOURS_CAP),"",$C447+Y$6-MIN(($D447+Y$5),PERMANENT_FIELD_LABOR_HOURS)*PERMANENT_HOURLY_RATE-MAX(0,($D447+Y$5)-PERMANENT_FIELD_LABOR_HOURS)*TEMP_HOURLY_RATE-FIXED_SEASON_COST)</f>
        <v/>
      </c>
      <c r="Z447" s="53" t="str">
        <f aca="false">IF(OR($A447&gt;TOMATO_BED_CAP,$B447&gt;CARROT_BED_CAP,Z$4&gt;MESCLUN_BED_CAP,$A447+$B447+Z$4&gt;TOTAL_BEDS_AVAILABLE,($D447+Z$5)&gt;TOTAL_LABOR_HOURS_CAP,MAX(0,($D447+Z$5)-PERMANENT_FIELD_LABOR_HOURS)&gt;TEMP_HOURS_CAP),"",$C447+Z$6-MIN(($D447+Z$5),PERMANENT_FIELD_LABOR_HOURS)*PERMANENT_HOURLY_RATE-MAX(0,($D447+Z$5)-PERMANENT_FIELD_LABOR_HOURS)*TEMP_HOURLY_RATE-FIXED_SEASON_COST)</f>
        <v/>
      </c>
      <c r="AA447" s="53" t="str">
        <f aca="false">IF(OR($A447&gt;TOMATO_BED_CAP,$B447&gt;CARROT_BED_CAP,AA$4&gt;MESCLUN_BED_CAP,$A447+$B447+AA$4&gt;TOTAL_BEDS_AVAILABLE,($D447+AA$5)&gt;TOTAL_LABOR_HOURS_CAP,MAX(0,($D447+AA$5)-PERMANENT_FIELD_LABOR_HOURS)&gt;TEMP_HOURS_CAP),"",$C447+AA$6-MIN(($D447+AA$5),PERMANENT_FIELD_LABOR_HOURS)*PERMANENT_HOURLY_RATE-MAX(0,($D447+AA$5)-PERMANENT_FIELD_LABOR_HOURS)*TEMP_HOURLY_RATE-FIXED_SEASON_COST)</f>
        <v/>
      </c>
      <c r="AB447" s="53" t="str">
        <f aca="false">IF(OR($A447&gt;TOMATO_BED_CAP,$B447&gt;CARROT_BED_CAP,AB$4&gt;MESCLUN_BED_CAP,$A447+$B447+AB$4&gt;TOTAL_BEDS_AVAILABLE,($D447+AB$5)&gt;TOTAL_LABOR_HOURS_CAP,MAX(0,($D447+AB$5)-PERMANENT_FIELD_LABOR_HOURS)&gt;TEMP_HOURS_CAP),"",$C447+AB$6-MIN(($D447+AB$5),PERMANENT_FIELD_LABOR_HOURS)*PERMANENT_HOURLY_RATE-MAX(0,($D447+AB$5)-PERMANENT_FIELD_LABOR_HOURS)*TEMP_HOURLY_RATE-FIXED_SEASON_COST)</f>
        <v/>
      </c>
      <c r="AC447" s="53" t="str">
        <f aca="false">IF(OR($A447&gt;TOMATO_BED_CAP,$B447&gt;CARROT_BED_CAP,AC$4&gt;MESCLUN_BED_CAP,$A447+$B447+AC$4&gt;TOTAL_BEDS_AVAILABLE,($D447+AC$5)&gt;TOTAL_LABOR_HOURS_CAP,MAX(0,($D447+AC$5)-PERMANENT_FIELD_LABOR_HOURS)&gt;TEMP_HOURS_CAP),"",$C447+AC$6-MIN(($D447+AC$5),PERMANENT_FIELD_LABOR_HOURS)*PERMANENT_HOURLY_RATE-MAX(0,($D447+AC$5)-PERMANENT_FIELD_LABOR_HOURS)*TEMP_HOURLY_RATE-FIXED_SEASON_COST)</f>
        <v/>
      </c>
      <c r="AD447" s="53" t="str">
        <f aca="false">IF(OR($A447&gt;TOMATO_BED_CAP,$B447&gt;CARROT_BED_CAP,AD$4&gt;MESCLUN_BED_CAP,$A447+$B447+AD$4&gt;TOTAL_BEDS_AVAILABLE,($D447+AD$5)&gt;TOTAL_LABOR_HOURS_CAP,MAX(0,($D447+AD$5)-PERMANENT_FIELD_LABOR_HOURS)&gt;TEMP_HOURS_CAP),"",$C447+AD$6-MIN(($D447+AD$5),PERMANENT_FIELD_LABOR_HOURS)*PERMANENT_HOURLY_RATE-MAX(0,($D447+AD$5)-PERMANENT_FIELD_LABOR_HOURS)*TEMP_HOURLY_RATE-FIXED_SEASON_COST)</f>
        <v/>
      </c>
      <c r="AE447" s="53" t="str">
        <f aca="false">IF(OR($A447&gt;TOMATO_BED_CAP,$B447&gt;CARROT_BED_CAP,AE$4&gt;MESCLUN_BED_CAP,$A447+$B447+AE$4&gt;TOTAL_BEDS_AVAILABLE,($D447+AE$5)&gt;TOTAL_LABOR_HOURS_CAP,MAX(0,($D447+AE$5)-PERMANENT_FIELD_LABOR_HOURS)&gt;TEMP_HOURS_CAP),"",$C447+AE$6-MIN(($D447+AE$5),PERMANENT_FIELD_LABOR_HOURS)*PERMANENT_HOURLY_RATE-MAX(0,($D447+AE$5)-PERMANENT_FIELD_LABOR_HOURS)*TEMP_HOURLY_RATE-FIXED_SEASON_COST)</f>
        <v/>
      </c>
      <c r="AF447" s="53" t="str">
        <f aca="false">IF(OR($A447&gt;TOMATO_BED_CAP,$B447&gt;CARROT_BED_CAP,AF$4&gt;MESCLUN_BED_CAP,$A447+$B447+AF$4&gt;TOTAL_BEDS_AVAILABLE,($D447+AF$5)&gt;TOTAL_LABOR_HOURS_CAP,MAX(0,($D447+AF$5)-PERMANENT_FIELD_LABOR_HOURS)&gt;TEMP_HOURS_CAP),"",$C447+AF$6-MIN(($D447+AF$5),PERMANENT_FIELD_LABOR_HOURS)*PERMANENT_HOURLY_RATE-MAX(0,($D447+AF$5)-PERMANENT_FIELD_LABOR_HOURS)*TEMP_HOURLY_RATE-FIXED_SEASON_COST)</f>
        <v/>
      </c>
      <c r="AG447" s="53" t="str">
        <f aca="false">IF(OR($A447&gt;TOMATO_BED_CAP,$B447&gt;CARROT_BED_CAP,AG$4&gt;MESCLUN_BED_CAP,$A447+$B447+AG$4&gt;TOTAL_BEDS_AVAILABLE,($D447+AG$5)&gt;TOTAL_LABOR_HOURS_CAP,MAX(0,($D447+AG$5)-PERMANENT_FIELD_LABOR_HOURS)&gt;TEMP_HOURS_CAP),"",$C447+AG$6-MIN(($D447+AG$5),PERMANENT_FIELD_LABOR_HOURS)*PERMANENT_HOURLY_RATE-MAX(0,($D447+AG$5)-PERMANENT_FIELD_LABOR_HOURS)*TEMP_HOURLY_RATE-FIXED_SEASON_COST)</f>
        <v/>
      </c>
      <c r="AH447" s="53" t="str">
        <f aca="false">IF(OR($A447&gt;TOMATO_BED_CAP,$B447&gt;CARROT_BED_CAP,AH$4&gt;MESCLUN_BED_CAP,$A447+$B447+AH$4&gt;TOTAL_BEDS_AVAILABLE,($D447+AH$5)&gt;TOTAL_LABOR_HOURS_CAP,MAX(0,($D447+AH$5)-PERMANENT_FIELD_LABOR_HOURS)&gt;TEMP_HOURS_CAP),"",$C447+AH$6-MIN(($D447+AH$5),PERMANENT_FIELD_LABOR_HOURS)*PERMANENT_HOURLY_RATE-MAX(0,($D447+AH$5)-PERMANENT_FIELD_LABOR_HOURS)*TEMP_HOURLY_RATE-FIXED_SEASON_COST)</f>
        <v/>
      </c>
      <c r="AI447" s="53" t="str">
        <f aca="false">IF(OR($A447&gt;TOMATO_BED_CAP,$B447&gt;CARROT_BED_CAP,AI$4&gt;MESCLUN_BED_CAP,$A447+$B447+AI$4&gt;TOTAL_BEDS_AVAILABLE,($D447+AI$5)&gt;TOTAL_LABOR_HOURS_CAP,MAX(0,($D447+AI$5)-PERMANENT_FIELD_LABOR_HOURS)&gt;TEMP_HOURS_CAP),"",$C447+AI$6-MIN(($D447+AI$5),PERMANENT_FIELD_LABOR_HOURS)*PERMANENT_HOURLY_RATE-MAX(0,($D447+AI$5)-PERMANENT_FIELD_LABOR_HOURS)*TEMP_HOURLY_RATE-FIXED_SEASON_COST)</f>
        <v/>
      </c>
      <c r="AJ447" s="53" t="str">
        <f aca="false">IF(OR($A447&gt;TOMATO_BED_CAP,$B447&gt;CARROT_BED_CAP,AJ$4&gt;MESCLUN_BED_CAP,$A447+$B447+AJ$4&gt;TOTAL_BEDS_AVAILABLE,($D447+AJ$5)&gt;TOTAL_LABOR_HOURS_CAP,MAX(0,($D447+AJ$5)-PERMANENT_FIELD_LABOR_HOURS)&gt;TEMP_HOURS_CAP),"",$C447+AJ$6-MIN(($D447+AJ$5),PERMANENT_FIELD_LABOR_HOURS)*PERMANENT_HOURLY_RATE-MAX(0,($D447+AJ$5)-PERMANENT_FIELD_LABOR_HOURS)*TEMP_HOURLY_RATE-FIXED_SEASON_COST)</f>
        <v/>
      </c>
    </row>
    <row r="448" customFormat="false" ht="15" hidden="false" customHeight="false" outlineLevel="0" collapsed="false">
      <c r="A448" s="21" t="n">
        <f aca="false">INT((ROW()-ROW($A$8))/(20+1))</f>
        <v>20</v>
      </c>
      <c r="B448" s="21" t="n">
        <f aca="false">MOD(ROW()-ROW($A$8),20+1)</f>
        <v>20</v>
      </c>
      <c r="C448" s="13" t="n">
        <f aca="false">A448*(TOMATO_REVENUE_PER_BED-TOMATO_FERTILIZER_PER_BED)+B448*(CARROT_REVENUE_PER_BED-CARROT_FERTILIZER_PER_BED)</f>
        <v>191480</v>
      </c>
      <c r="D448" s="14" t="n">
        <f aca="false">INDEX(TOMATO_SCHED_LABOR_HRS,A448+1)+INDEX(CARROT_SCHED_LABOR_HRS,B448+1)</f>
        <v>13092.2765050147</v>
      </c>
      <c r="E448" s="13" t="str">
        <f aca="false">IF(COUNT(F448:AJ448)=0,"",MAX(F448:AJ448))</f>
        <v/>
      </c>
      <c r="F448" s="53" t="str">
        <f aca="false">IF(OR($A448&gt;TOMATO_BED_CAP,$B448&gt;CARROT_BED_CAP,F$4&gt;MESCLUN_BED_CAP,$A448+$B448+F$4&gt;TOTAL_BEDS_AVAILABLE,($D448+F$5)&gt;TOTAL_LABOR_HOURS_CAP,MAX(0,($D448+F$5)-PERMANENT_FIELD_LABOR_HOURS)&gt;TEMP_HOURS_CAP),"",$C448+F$6-MIN(($D448+F$5),PERMANENT_FIELD_LABOR_HOURS)*PERMANENT_HOURLY_RATE-MAX(0,($D448+F$5)-PERMANENT_FIELD_LABOR_HOURS)*TEMP_HOURLY_RATE-FIXED_SEASON_COST)</f>
        <v/>
      </c>
      <c r="G448" s="53" t="str">
        <f aca="false">IF(OR($A448&gt;TOMATO_BED_CAP,$B448&gt;CARROT_BED_CAP,G$4&gt;MESCLUN_BED_CAP,$A448+$B448+G$4&gt;TOTAL_BEDS_AVAILABLE,($D448+G$5)&gt;TOTAL_LABOR_HOURS_CAP,MAX(0,($D448+G$5)-PERMANENT_FIELD_LABOR_HOURS)&gt;TEMP_HOURS_CAP),"",$C448+G$6-MIN(($D448+G$5),PERMANENT_FIELD_LABOR_HOURS)*PERMANENT_HOURLY_RATE-MAX(0,($D448+G$5)-PERMANENT_FIELD_LABOR_HOURS)*TEMP_HOURLY_RATE-FIXED_SEASON_COST)</f>
        <v/>
      </c>
      <c r="H448" s="53" t="str">
        <f aca="false">IF(OR($A448&gt;TOMATO_BED_CAP,$B448&gt;CARROT_BED_CAP,H$4&gt;MESCLUN_BED_CAP,$A448+$B448+H$4&gt;TOTAL_BEDS_AVAILABLE,($D448+H$5)&gt;TOTAL_LABOR_HOURS_CAP,MAX(0,($D448+H$5)-PERMANENT_FIELD_LABOR_HOURS)&gt;TEMP_HOURS_CAP),"",$C448+H$6-MIN(($D448+H$5),PERMANENT_FIELD_LABOR_HOURS)*PERMANENT_HOURLY_RATE-MAX(0,($D448+H$5)-PERMANENT_FIELD_LABOR_HOURS)*TEMP_HOURLY_RATE-FIXED_SEASON_COST)</f>
        <v/>
      </c>
      <c r="I448" s="53" t="str">
        <f aca="false">IF(OR($A448&gt;TOMATO_BED_CAP,$B448&gt;CARROT_BED_CAP,I$4&gt;MESCLUN_BED_CAP,$A448+$B448+I$4&gt;TOTAL_BEDS_AVAILABLE,($D448+I$5)&gt;TOTAL_LABOR_HOURS_CAP,MAX(0,($D448+I$5)-PERMANENT_FIELD_LABOR_HOURS)&gt;TEMP_HOURS_CAP),"",$C448+I$6-MIN(($D448+I$5),PERMANENT_FIELD_LABOR_HOURS)*PERMANENT_HOURLY_RATE-MAX(0,($D448+I$5)-PERMANENT_FIELD_LABOR_HOURS)*TEMP_HOURLY_RATE-FIXED_SEASON_COST)</f>
        <v/>
      </c>
      <c r="J448" s="53" t="str">
        <f aca="false">IF(OR($A448&gt;TOMATO_BED_CAP,$B448&gt;CARROT_BED_CAP,J$4&gt;MESCLUN_BED_CAP,$A448+$B448+J$4&gt;TOTAL_BEDS_AVAILABLE,($D448+J$5)&gt;TOTAL_LABOR_HOURS_CAP,MAX(0,($D448+J$5)-PERMANENT_FIELD_LABOR_HOURS)&gt;TEMP_HOURS_CAP),"",$C448+J$6-MIN(($D448+J$5),PERMANENT_FIELD_LABOR_HOURS)*PERMANENT_HOURLY_RATE-MAX(0,($D448+J$5)-PERMANENT_FIELD_LABOR_HOURS)*TEMP_HOURLY_RATE-FIXED_SEASON_COST)</f>
        <v/>
      </c>
      <c r="K448" s="53" t="str">
        <f aca="false">IF(OR($A448&gt;TOMATO_BED_CAP,$B448&gt;CARROT_BED_CAP,K$4&gt;MESCLUN_BED_CAP,$A448+$B448+K$4&gt;TOTAL_BEDS_AVAILABLE,($D448+K$5)&gt;TOTAL_LABOR_HOURS_CAP,MAX(0,($D448+K$5)-PERMANENT_FIELD_LABOR_HOURS)&gt;TEMP_HOURS_CAP),"",$C448+K$6-MIN(($D448+K$5),PERMANENT_FIELD_LABOR_HOURS)*PERMANENT_HOURLY_RATE-MAX(0,($D448+K$5)-PERMANENT_FIELD_LABOR_HOURS)*TEMP_HOURLY_RATE-FIXED_SEASON_COST)</f>
        <v/>
      </c>
      <c r="L448" s="53" t="str">
        <f aca="false">IF(OR($A448&gt;TOMATO_BED_CAP,$B448&gt;CARROT_BED_CAP,L$4&gt;MESCLUN_BED_CAP,$A448+$B448+L$4&gt;TOTAL_BEDS_AVAILABLE,($D448+L$5)&gt;TOTAL_LABOR_HOURS_CAP,MAX(0,($D448+L$5)-PERMANENT_FIELD_LABOR_HOURS)&gt;TEMP_HOURS_CAP),"",$C448+L$6-MIN(($D448+L$5),PERMANENT_FIELD_LABOR_HOURS)*PERMANENT_HOURLY_RATE-MAX(0,($D448+L$5)-PERMANENT_FIELD_LABOR_HOURS)*TEMP_HOURLY_RATE-FIXED_SEASON_COST)</f>
        <v/>
      </c>
      <c r="M448" s="53" t="str">
        <f aca="false">IF(OR($A448&gt;TOMATO_BED_CAP,$B448&gt;CARROT_BED_CAP,M$4&gt;MESCLUN_BED_CAP,$A448+$B448+M$4&gt;TOTAL_BEDS_AVAILABLE,($D448+M$5)&gt;TOTAL_LABOR_HOURS_CAP,MAX(0,($D448+M$5)-PERMANENT_FIELD_LABOR_HOURS)&gt;TEMP_HOURS_CAP),"",$C448+M$6-MIN(($D448+M$5),PERMANENT_FIELD_LABOR_HOURS)*PERMANENT_HOURLY_RATE-MAX(0,($D448+M$5)-PERMANENT_FIELD_LABOR_HOURS)*TEMP_HOURLY_RATE-FIXED_SEASON_COST)</f>
        <v/>
      </c>
      <c r="N448" s="53" t="str">
        <f aca="false">IF(OR($A448&gt;TOMATO_BED_CAP,$B448&gt;CARROT_BED_CAP,N$4&gt;MESCLUN_BED_CAP,$A448+$B448+N$4&gt;TOTAL_BEDS_AVAILABLE,($D448+N$5)&gt;TOTAL_LABOR_HOURS_CAP,MAX(0,($D448+N$5)-PERMANENT_FIELD_LABOR_HOURS)&gt;TEMP_HOURS_CAP),"",$C448+N$6-MIN(($D448+N$5),PERMANENT_FIELD_LABOR_HOURS)*PERMANENT_HOURLY_RATE-MAX(0,($D448+N$5)-PERMANENT_FIELD_LABOR_HOURS)*TEMP_HOURLY_RATE-FIXED_SEASON_COST)</f>
        <v/>
      </c>
      <c r="O448" s="53" t="str">
        <f aca="false">IF(OR($A448&gt;TOMATO_BED_CAP,$B448&gt;CARROT_BED_CAP,O$4&gt;MESCLUN_BED_CAP,$A448+$B448+O$4&gt;TOTAL_BEDS_AVAILABLE,($D448+O$5)&gt;TOTAL_LABOR_HOURS_CAP,MAX(0,($D448+O$5)-PERMANENT_FIELD_LABOR_HOURS)&gt;TEMP_HOURS_CAP),"",$C448+O$6-MIN(($D448+O$5),PERMANENT_FIELD_LABOR_HOURS)*PERMANENT_HOURLY_RATE-MAX(0,($D448+O$5)-PERMANENT_FIELD_LABOR_HOURS)*TEMP_HOURLY_RATE-FIXED_SEASON_COST)</f>
        <v/>
      </c>
      <c r="P448" s="53" t="str">
        <f aca="false">IF(OR($A448&gt;TOMATO_BED_CAP,$B448&gt;CARROT_BED_CAP,P$4&gt;MESCLUN_BED_CAP,$A448+$B448+P$4&gt;TOTAL_BEDS_AVAILABLE,($D448+P$5)&gt;TOTAL_LABOR_HOURS_CAP,MAX(0,($D448+P$5)-PERMANENT_FIELD_LABOR_HOURS)&gt;TEMP_HOURS_CAP),"",$C448+P$6-MIN(($D448+P$5),PERMANENT_FIELD_LABOR_HOURS)*PERMANENT_HOURLY_RATE-MAX(0,($D448+P$5)-PERMANENT_FIELD_LABOR_HOURS)*TEMP_HOURLY_RATE-FIXED_SEASON_COST)</f>
        <v/>
      </c>
      <c r="Q448" s="53" t="str">
        <f aca="false">IF(OR($A448&gt;TOMATO_BED_CAP,$B448&gt;CARROT_BED_CAP,Q$4&gt;MESCLUN_BED_CAP,$A448+$B448+Q$4&gt;TOTAL_BEDS_AVAILABLE,($D448+Q$5)&gt;TOTAL_LABOR_HOURS_CAP,MAX(0,($D448+Q$5)-PERMANENT_FIELD_LABOR_HOURS)&gt;TEMP_HOURS_CAP),"",$C448+Q$6-MIN(($D448+Q$5),PERMANENT_FIELD_LABOR_HOURS)*PERMANENT_HOURLY_RATE-MAX(0,($D448+Q$5)-PERMANENT_FIELD_LABOR_HOURS)*TEMP_HOURLY_RATE-FIXED_SEASON_COST)</f>
        <v/>
      </c>
      <c r="R448" s="53" t="str">
        <f aca="false">IF(OR($A448&gt;TOMATO_BED_CAP,$B448&gt;CARROT_BED_CAP,R$4&gt;MESCLUN_BED_CAP,$A448+$B448+R$4&gt;TOTAL_BEDS_AVAILABLE,($D448+R$5)&gt;TOTAL_LABOR_HOURS_CAP,MAX(0,($D448+R$5)-PERMANENT_FIELD_LABOR_HOURS)&gt;TEMP_HOURS_CAP),"",$C448+R$6-MIN(($D448+R$5),PERMANENT_FIELD_LABOR_HOURS)*PERMANENT_HOURLY_RATE-MAX(0,($D448+R$5)-PERMANENT_FIELD_LABOR_HOURS)*TEMP_HOURLY_RATE-FIXED_SEASON_COST)</f>
        <v/>
      </c>
      <c r="S448" s="53" t="str">
        <f aca="false">IF(OR($A448&gt;TOMATO_BED_CAP,$B448&gt;CARROT_BED_CAP,S$4&gt;MESCLUN_BED_CAP,$A448+$B448+S$4&gt;TOTAL_BEDS_AVAILABLE,($D448+S$5)&gt;TOTAL_LABOR_HOURS_CAP,MAX(0,($D448+S$5)-PERMANENT_FIELD_LABOR_HOURS)&gt;TEMP_HOURS_CAP),"",$C448+S$6-MIN(($D448+S$5),PERMANENT_FIELD_LABOR_HOURS)*PERMANENT_HOURLY_RATE-MAX(0,($D448+S$5)-PERMANENT_FIELD_LABOR_HOURS)*TEMP_HOURLY_RATE-FIXED_SEASON_COST)</f>
        <v/>
      </c>
      <c r="T448" s="53" t="str">
        <f aca="false">IF(OR($A448&gt;TOMATO_BED_CAP,$B448&gt;CARROT_BED_CAP,T$4&gt;MESCLUN_BED_CAP,$A448+$B448+T$4&gt;TOTAL_BEDS_AVAILABLE,($D448+T$5)&gt;TOTAL_LABOR_HOURS_CAP,MAX(0,($D448+T$5)-PERMANENT_FIELD_LABOR_HOURS)&gt;TEMP_HOURS_CAP),"",$C448+T$6-MIN(($D448+T$5),PERMANENT_FIELD_LABOR_HOURS)*PERMANENT_HOURLY_RATE-MAX(0,($D448+T$5)-PERMANENT_FIELD_LABOR_HOURS)*TEMP_HOURLY_RATE-FIXED_SEASON_COST)</f>
        <v/>
      </c>
      <c r="U448" s="53" t="str">
        <f aca="false">IF(OR($A448&gt;TOMATO_BED_CAP,$B448&gt;CARROT_BED_CAP,U$4&gt;MESCLUN_BED_CAP,$A448+$B448+U$4&gt;TOTAL_BEDS_AVAILABLE,($D448+U$5)&gt;TOTAL_LABOR_HOURS_CAP,MAX(0,($D448+U$5)-PERMANENT_FIELD_LABOR_HOURS)&gt;TEMP_HOURS_CAP),"",$C448+U$6-MIN(($D448+U$5),PERMANENT_FIELD_LABOR_HOURS)*PERMANENT_HOURLY_RATE-MAX(0,($D448+U$5)-PERMANENT_FIELD_LABOR_HOURS)*TEMP_HOURLY_RATE-FIXED_SEASON_COST)</f>
        <v/>
      </c>
      <c r="V448" s="53" t="str">
        <f aca="false">IF(OR($A448&gt;TOMATO_BED_CAP,$B448&gt;CARROT_BED_CAP,V$4&gt;MESCLUN_BED_CAP,$A448+$B448+V$4&gt;TOTAL_BEDS_AVAILABLE,($D448+V$5)&gt;TOTAL_LABOR_HOURS_CAP,MAX(0,($D448+V$5)-PERMANENT_FIELD_LABOR_HOURS)&gt;TEMP_HOURS_CAP),"",$C448+V$6-MIN(($D448+V$5),PERMANENT_FIELD_LABOR_HOURS)*PERMANENT_HOURLY_RATE-MAX(0,($D448+V$5)-PERMANENT_FIELD_LABOR_HOURS)*TEMP_HOURLY_RATE-FIXED_SEASON_COST)</f>
        <v/>
      </c>
      <c r="W448" s="53" t="str">
        <f aca="false">IF(OR($A448&gt;TOMATO_BED_CAP,$B448&gt;CARROT_BED_CAP,W$4&gt;MESCLUN_BED_CAP,$A448+$B448+W$4&gt;TOTAL_BEDS_AVAILABLE,($D448+W$5)&gt;TOTAL_LABOR_HOURS_CAP,MAX(0,($D448+W$5)-PERMANENT_FIELD_LABOR_HOURS)&gt;TEMP_HOURS_CAP),"",$C448+W$6-MIN(($D448+W$5),PERMANENT_FIELD_LABOR_HOURS)*PERMANENT_HOURLY_RATE-MAX(0,($D448+W$5)-PERMANENT_FIELD_LABOR_HOURS)*TEMP_HOURLY_RATE-FIXED_SEASON_COST)</f>
        <v/>
      </c>
      <c r="X448" s="53" t="str">
        <f aca="false">IF(OR($A448&gt;TOMATO_BED_CAP,$B448&gt;CARROT_BED_CAP,X$4&gt;MESCLUN_BED_CAP,$A448+$B448+X$4&gt;TOTAL_BEDS_AVAILABLE,($D448+X$5)&gt;TOTAL_LABOR_HOURS_CAP,MAX(0,($D448+X$5)-PERMANENT_FIELD_LABOR_HOURS)&gt;TEMP_HOURS_CAP),"",$C448+X$6-MIN(($D448+X$5),PERMANENT_FIELD_LABOR_HOURS)*PERMANENT_HOURLY_RATE-MAX(0,($D448+X$5)-PERMANENT_FIELD_LABOR_HOURS)*TEMP_HOURLY_RATE-FIXED_SEASON_COST)</f>
        <v/>
      </c>
      <c r="Y448" s="53" t="str">
        <f aca="false">IF(OR($A448&gt;TOMATO_BED_CAP,$B448&gt;CARROT_BED_CAP,Y$4&gt;MESCLUN_BED_CAP,$A448+$B448+Y$4&gt;TOTAL_BEDS_AVAILABLE,($D448+Y$5)&gt;TOTAL_LABOR_HOURS_CAP,MAX(0,($D448+Y$5)-PERMANENT_FIELD_LABOR_HOURS)&gt;TEMP_HOURS_CAP),"",$C448+Y$6-MIN(($D448+Y$5),PERMANENT_FIELD_LABOR_HOURS)*PERMANENT_HOURLY_RATE-MAX(0,($D448+Y$5)-PERMANENT_FIELD_LABOR_HOURS)*TEMP_HOURLY_RATE-FIXED_SEASON_COST)</f>
        <v/>
      </c>
      <c r="Z448" s="53" t="str">
        <f aca="false">IF(OR($A448&gt;TOMATO_BED_CAP,$B448&gt;CARROT_BED_CAP,Z$4&gt;MESCLUN_BED_CAP,$A448+$B448+Z$4&gt;TOTAL_BEDS_AVAILABLE,($D448+Z$5)&gt;TOTAL_LABOR_HOURS_CAP,MAX(0,($D448+Z$5)-PERMANENT_FIELD_LABOR_HOURS)&gt;TEMP_HOURS_CAP),"",$C448+Z$6-MIN(($D448+Z$5),PERMANENT_FIELD_LABOR_HOURS)*PERMANENT_HOURLY_RATE-MAX(0,($D448+Z$5)-PERMANENT_FIELD_LABOR_HOURS)*TEMP_HOURLY_RATE-FIXED_SEASON_COST)</f>
        <v/>
      </c>
      <c r="AA448" s="53" t="str">
        <f aca="false">IF(OR($A448&gt;TOMATO_BED_CAP,$B448&gt;CARROT_BED_CAP,AA$4&gt;MESCLUN_BED_CAP,$A448+$B448+AA$4&gt;TOTAL_BEDS_AVAILABLE,($D448+AA$5)&gt;TOTAL_LABOR_HOURS_CAP,MAX(0,($D448+AA$5)-PERMANENT_FIELD_LABOR_HOURS)&gt;TEMP_HOURS_CAP),"",$C448+AA$6-MIN(($D448+AA$5),PERMANENT_FIELD_LABOR_HOURS)*PERMANENT_HOURLY_RATE-MAX(0,($D448+AA$5)-PERMANENT_FIELD_LABOR_HOURS)*TEMP_HOURLY_RATE-FIXED_SEASON_COST)</f>
        <v/>
      </c>
      <c r="AB448" s="53" t="str">
        <f aca="false">IF(OR($A448&gt;TOMATO_BED_CAP,$B448&gt;CARROT_BED_CAP,AB$4&gt;MESCLUN_BED_CAP,$A448+$B448+AB$4&gt;TOTAL_BEDS_AVAILABLE,($D448+AB$5)&gt;TOTAL_LABOR_HOURS_CAP,MAX(0,($D448+AB$5)-PERMANENT_FIELD_LABOR_HOURS)&gt;TEMP_HOURS_CAP),"",$C448+AB$6-MIN(($D448+AB$5),PERMANENT_FIELD_LABOR_HOURS)*PERMANENT_HOURLY_RATE-MAX(0,($D448+AB$5)-PERMANENT_FIELD_LABOR_HOURS)*TEMP_HOURLY_RATE-FIXED_SEASON_COST)</f>
        <v/>
      </c>
      <c r="AC448" s="53" t="str">
        <f aca="false">IF(OR($A448&gt;TOMATO_BED_CAP,$B448&gt;CARROT_BED_CAP,AC$4&gt;MESCLUN_BED_CAP,$A448+$B448+AC$4&gt;TOTAL_BEDS_AVAILABLE,($D448+AC$5)&gt;TOTAL_LABOR_HOURS_CAP,MAX(0,($D448+AC$5)-PERMANENT_FIELD_LABOR_HOURS)&gt;TEMP_HOURS_CAP),"",$C448+AC$6-MIN(($D448+AC$5),PERMANENT_FIELD_LABOR_HOURS)*PERMANENT_HOURLY_RATE-MAX(0,($D448+AC$5)-PERMANENT_FIELD_LABOR_HOURS)*TEMP_HOURLY_RATE-FIXED_SEASON_COST)</f>
        <v/>
      </c>
      <c r="AD448" s="53" t="str">
        <f aca="false">IF(OR($A448&gt;TOMATO_BED_CAP,$B448&gt;CARROT_BED_CAP,AD$4&gt;MESCLUN_BED_CAP,$A448+$B448+AD$4&gt;TOTAL_BEDS_AVAILABLE,($D448+AD$5)&gt;TOTAL_LABOR_HOURS_CAP,MAX(0,($D448+AD$5)-PERMANENT_FIELD_LABOR_HOURS)&gt;TEMP_HOURS_CAP),"",$C448+AD$6-MIN(($D448+AD$5),PERMANENT_FIELD_LABOR_HOURS)*PERMANENT_HOURLY_RATE-MAX(0,($D448+AD$5)-PERMANENT_FIELD_LABOR_HOURS)*TEMP_HOURLY_RATE-FIXED_SEASON_COST)</f>
        <v/>
      </c>
      <c r="AE448" s="53" t="str">
        <f aca="false">IF(OR($A448&gt;TOMATO_BED_CAP,$B448&gt;CARROT_BED_CAP,AE$4&gt;MESCLUN_BED_CAP,$A448+$B448+AE$4&gt;TOTAL_BEDS_AVAILABLE,($D448+AE$5)&gt;TOTAL_LABOR_HOURS_CAP,MAX(0,($D448+AE$5)-PERMANENT_FIELD_LABOR_HOURS)&gt;TEMP_HOURS_CAP),"",$C448+AE$6-MIN(($D448+AE$5),PERMANENT_FIELD_LABOR_HOURS)*PERMANENT_HOURLY_RATE-MAX(0,($D448+AE$5)-PERMANENT_FIELD_LABOR_HOURS)*TEMP_HOURLY_RATE-FIXED_SEASON_COST)</f>
        <v/>
      </c>
      <c r="AF448" s="53" t="str">
        <f aca="false">IF(OR($A448&gt;TOMATO_BED_CAP,$B448&gt;CARROT_BED_CAP,AF$4&gt;MESCLUN_BED_CAP,$A448+$B448+AF$4&gt;TOTAL_BEDS_AVAILABLE,($D448+AF$5)&gt;TOTAL_LABOR_HOURS_CAP,MAX(0,($D448+AF$5)-PERMANENT_FIELD_LABOR_HOURS)&gt;TEMP_HOURS_CAP),"",$C448+AF$6-MIN(($D448+AF$5),PERMANENT_FIELD_LABOR_HOURS)*PERMANENT_HOURLY_RATE-MAX(0,($D448+AF$5)-PERMANENT_FIELD_LABOR_HOURS)*TEMP_HOURLY_RATE-FIXED_SEASON_COST)</f>
        <v/>
      </c>
      <c r="AG448" s="53" t="str">
        <f aca="false">IF(OR($A448&gt;TOMATO_BED_CAP,$B448&gt;CARROT_BED_CAP,AG$4&gt;MESCLUN_BED_CAP,$A448+$B448+AG$4&gt;TOTAL_BEDS_AVAILABLE,($D448+AG$5)&gt;TOTAL_LABOR_HOURS_CAP,MAX(0,($D448+AG$5)-PERMANENT_FIELD_LABOR_HOURS)&gt;TEMP_HOURS_CAP),"",$C448+AG$6-MIN(($D448+AG$5),PERMANENT_FIELD_LABOR_HOURS)*PERMANENT_HOURLY_RATE-MAX(0,($D448+AG$5)-PERMANENT_FIELD_LABOR_HOURS)*TEMP_HOURLY_RATE-FIXED_SEASON_COST)</f>
        <v/>
      </c>
      <c r="AH448" s="53" t="str">
        <f aca="false">IF(OR($A448&gt;TOMATO_BED_CAP,$B448&gt;CARROT_BED_CAP,AH$4&gt;MESCLUN_BED_CAP,$A448+$B448+AH$4&gt;TOTAL_BEDS_AVAILABLE,($D448+AH$5)&gt;TOTAL_LABOR_HOURS_CAP,MAX(0,($D448+AH$5)-PERMANENT_FIELD_LABOR_HOURS)&gt;TEMP_HOURS_CAP),"",$C448+AH$6-MIN(($D448+AH$5),PERMANENT_FIELD_LABOR_HOURS)*PERMANENT_HOURLY_RATE-MAX(0,($D448+AH$5)-PERMANENT_FIELD_LABOR_HOURS)*TEMP_HOURLY_RATE-FIXED_SEASON_COST)</f>
        <v/>
      </c>
      <c r="AI448" s="53" t="str">
        <f aca="false">IF(OR($A448&gt;TOMATO_BED_CAP,$B448&gt;CARROT_BED_CAP,AI$4&gt;MESCLUN_BED_CAP,$A448+$B448+AI$4&gt;TOTAL_BEDS_AVAILABLE,($D448+AI$5)&gt;TOTAL_LABOR_HOURS_CAP,MAX(0,($D448+AI$5)-PERMANENT_FIELD_LABOR_HOURS)&gt;TEMP_HOURS_CAP),"",$C448+AI$6-MIN(($D448+AI$5),PERMANENT_FIELD_LABOR_HOURS)*PERMANENT_HOURLY_RATE-MAX(0,($D448+AI$5)-PERMANENT_FIELD_LABOR_HOURS)*TEMP_HOURLY_RATE-FIXED_SEASON_COST)</f>
        <v/>
      </c>
      <c r="AJ448" s="53" t="str">
        <f aca="false">IF(OR($A448&gt;TOMATO_BED_CAP,$B448&gt;CARROT_BED_CAP,AJ$4&gt;MESCLUN_BED_CAP,$A448+$B448+AJ$4&gt;TOTAL_BEDS_AVAILABLE,($D448+AJ$5)&gt;TOTAL_LABOR_HOURS_CAP,MAX(0,($D448+AJ$5)-PERMANENT_FIELD_LABOR_HOURS)&gt;TEMP_HOURS_CAP),"",$C448+AJ$6-MIN(($D448+AJ$5),PERMANENT_FIELD_LABOR_HOURS)*PERMANENT_HOURLY_RATE-MAX(0,($D448+AJ$5)-PERMANENT_FIELD_LABOR_HOURS)*TEMP_HOURLY_RATE-FIXED_SEASON_COST)</f>
        <v/>
      </c>
    </row>
  </sheetData>
  <conditionalFormatting sqref="A4:AJ448">
    <cfRule type="expression" priority="2" aboveAverage="0" equalAverage="0" bottom="0" percent="0" rank="0" text="" dxfId="2">
      <formula>ISERROR(A4)</formula>
    </cfRule>
  </conditionalFormatting>
  <conditionalFormatting sqref="AM8:AM15">
    <cfRule type="expression" priority="3" aboveAverage="0" equalAverage="0" bottom="0" percent="0" rank="0" text="" dxfId="2">
      <formula>ISERROR(AM8)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58"/>
    <col collapsed="false" customWidth="true" hidden="false" outlineLevel="0" max="5" min="4" style="0" width="26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1" t="s">
        <v>606</v>
      </c>
    </row>
    <row r="2" customFormat="false" ht="15" hidden="false" customHeight="false" outlineLevel="0" collapsed="false">
      <c r="A2" s="2" t="s">
        <v>607</v>
      </c>
    </row>
    <row r="4" customFormat="false" ht="15" hidden="false" customHeight="false" outlineLevel="0" collapsed="false">
      <c r="A4" s="18" t="s">
        <v>608</v>
      </c>
      <c r="B4" s="18" t="str">
        <f aca="false">IF(COUNTIF(H17:H72,"FAIL")&gt;0,"FAILURES: "&amp;COUNTIF(H17:H72,"FAIL"),IF(COUNTIF(H17:H72,"PENDING")&gt;0,"NO FAILURES; "&amp;COUNTIF(H17:H72,"PENDING")&amp;" PENDING (record Solver and Lab results)","ALL CHECKS PASS"))</f>
        <v>ALL CHECKS PASS</v>
      </c>
      <c r="E4" s="0" t="str">
        <f aca="false">COUNTIF(H17:H72,"PASS")&amp;" pass, "&amp;COUNTIF(H17:H72,"FAIL")&amp;" fail, "&amp;COUNTIF(H17:H72,"PENDING")&amp;" pending, "&amp;COUNTIF(H17:H72,"INFO")&amp;" info"</f>
        <v>52 pass, 0 fail, 0 pending, 4 info</v>
      </c>
    </row>
    <row r="6" customFormat="false" ht="15" hidden="false" customHeight="false" outlineLevel="0" collapsed="false">
      <c r="A6" s="18" t="s">
        <v>609</v>
      </c>
    </row>
    <row r="7" customFormat="false" ht="15" hidden="false" customHeight="false" outlineLevel="0" collapsed="false">
      <c r="A7" s="0" t="s">
        <v>610</v>
      </c>
      <c r="B7" s="56" t="n">
        <v>25</v>
      </c>
      <c r="C7" s="21" t="s">
        <v>445</v>
      </c>
    </row>
    <row r="8" customFormat="false" ht="15" hidden="false" customHeight="false" outlineLevel="0" collapsed="false">
      <c r="A8" s="0" t="s">
        <v>611</v>
      </c>
      <c r="B8" s="56" t="n">
        <v>1</v>
      </c>
      <c r="C8" s="21" t="s">
        <v>351</v>
      </c>
    </row>
    <row r="10" customFormat="false" ht="15" hidden="false" customHeight="false" outlineLevel="0" collapsed="false">
      <c r="A10" s="18" t="s">
        <v>612</v>
      </c>
    </row>
    <row r="11" customFormat="false" ht="41.75" hidden="false" customHeight="false" outlineLevel="0" collapsed="false">
      <c r="A11" s="6" t="s">
        <v>613</v>
      </c>
      <c r="B11" s="6" t="s">
        <v>614</v>
      </c>
      <c r="C11" s="6" t="s">
        <v>615</v>
      </c>
      <c r="D11" s="6" t="s">
        <v>616</v>
      </c>
      <c r="E11" s="6" t="s">
        <v>617</v>
      </c>
      <c r="F11" s="6" t="s">
        <v>618</v>
      </c>
      <c r="G11" s="6" t="s">
        <v>619</v>
      </c>
      <c r="H11" s="6" t="s">
        <v>620</v>
      </c>
      <c r="I11" s="6" t="s">
        <v>401</v>
      </c>
    </row>
    <row r="12" customFormat="false" ht="15" hidden="false" customHeight="false" outlineLevel="0" collapsed="false">
      <c r="A12" s="0" t="s">
        <v>621</v>
      </c>
      <c r="B12" s="0" t="s">
        <v>622</v>
      </c>
      <c r="C12" s="0" t="s">
        <v>623</v>
      </c>
      <c r="D12" s="20" t="n">
        <v>10</v>
      </c>
      <c r="E12" s="20" t="n">
        <v>20</v>
      </c>
      <c r="F12" s="20" t="n">
        <v>30</v>
      </c>
      <c r="G12" s="26" t="n">
        <v>42775.16</v>
      </c>
      <c r="H12" s="57" t="n">
        <v>46308</v>
      </c>
      <c r="I12" s="56" t="s">
        <v>624</v>
      </c>
    </row>
    <row r="13" customFormat="false" ht="15" hidden="false" customHeight="false" outlineLevel="0" collapsed="false">
      <c r="A13" s="0" t="s">
        <v>625</v>
      </c>
      <c r="B13" s="0" t="s">
        <v>626</v>
      </c>
      <c r="C13" s="0" t="s">
        <v>627</v>
      </c>
      <c r="D13" s="20" t="n">
        <v>10</v>
      </c>
      <c r="E13" s="20" t="n">
        <v>20</v>
      </c>
      <c r="F13" s="20" t="n">
        <v>30</v>
      </c>
      <c r="G13" s="26" t="n">
        <v>42775.16</v>
      </c>
      <c r="H13" s="57" t="n">
        <v>46308</v>
      </c>
      <c r="I13" s="56" t="s">
        <v>628</v>
      </c>
    </row>
    <row r="14" customFormat="false" ht="15" hidden="false" customHeight="false" outlineLevel="0" collapsed="false">
      <c r="A14" s="0" t="s">
        <v>629</v>
      </c>
      <c r="B14" s="0" t="s">
        <v>630</v>
      </c>
      <c r="C14" s="0" t="s">
        <v>631</v>
      </c>
      <c r="D14" s="0" t="s">
        <v>509</v>
      </c>
      <c r="E14" s="0" t="s">
        <v>509</v>
      </c>
      <c r="F14" s="0" t="s">
        <v>509</v>
      </c>
      <c r="G14" s="26" t="n">
        <v>42762</v>
      </c>
      <c r="H14" s="57" t="n">
        <v>46308</v>
      </c>
      <c r="I14" s="56" t="s">
        <v>632</v>
      </c>
    </row>
    <row r="16" customFormat="false" ht="15" hidden="false" customHeight="false" outlineLevel="0" collapsed="false">
      <c r="A16" s="6" t="s">
        <v>613</v>
      </c>
      <c r="B16" s="6" t="s">
        <v>633</v>
      </c>
      <c r="C16" s="6" t="s">
        <v>526</v>
      </c>
      <c r="D16" s="6" t="s">
        <v>634</v>
      </c>
      <c r="E16" s="6" t="s">
        <v>635</v>
      </c>
      <c r="F16" s="6" t="s">
        <v>636</v>
      </c>
      <c r="G16" s="6" t="s">
        <v>637</v>
      </c>
      <c r="H16" s="6" t="s">
        <v>638</v>
      </c>
      <c r="I16" s="6" t="s">
        <v>639</v>
      </c>
    </row>
    <row r="17" customFormat="false" ht="15" hidden="false" customHeight="false" outlineLevel="0" collapsed="false">
      <c r="A17" s="0" t="s">
        <v>640</v>
      </c>
      <c r="B17" s="0" t="s">
        <v>641</v>
      </c>
      <c r="C17" s="0" t="s">
        <v>642</v>
      </c>
      <c r="D17" s="12" t="n">
        <v>10</v>
      </c>
      <c r="E17" s="12" t="n">
        <f aca="false">TOMATO_BEDS</f>
        <v>10</v>
      </c>
      <c r="F17" s="12" t="n">
        <f aca="false">IF(AND(ISNUMBER(D17),ISNUMBER(E17)),E17-D17,"")</f>
        <v>0</v>
      </c>
      <c r="G17" s="0" t="n">
        <v>0</v>
      </c>
      <c r="H17" s="3" t="str">
        <f aca="false">IF(E17=D17,"PASS","FAIL")</f>
        <v>PASS</v>
      </c>
      <c r="I17" s="4" t="s">
        <v>643</v>
      </c>
    </row>
    <row r="18" customFormat="false" ht="15" hidden="false" customHeight="false" outlineLevel="0" collapsed="false">
      <c r="A18" s="0" t="s">
        <v>640</v>
      </c>
      <c r="B18" s="0" t="s">
        <v>641</v>
      </c>
      <c r="C18" s="0" t="s">
        <v>644</v>
      </c>
      <c r="D18" s="12" t="n">
        <v>20</v>
      </c>
      <c r="E18" s="12" t="n">
        <f aca="false">CARROT_BEDS</f>
        <v>20</v>
      </c>
      <c r="F18" s="12" t="n">
        <f aca="false">IF(AND(ISNUMBER(D18),ISNUMBER(E18)),E18-D18,"")</f>
        <v>0</v>
      </c>
      <c r="G18" s="0" t="n">
        <v>0</v>
      </c>
      <c r="H18" s="3" t="str">
        <f aca="false">IF(E18=D18,"PASS","FAIL")</f>
        <v>PASS</v>
      </c>
      <c r="I18" s="4"/>
    </row>
    <row r="19" customFormat="false" ht="15" hidden="false" customHeight="false" outlineLevel="0" collapsed="false">
      <c r="A19" s="0" t="s">
        <v>640</v>
      </c>
      <c r="B19" s="0" t="s">
        <v>641</v>
      </c>
      <c r="C19" s="0" t="s">
        <v>645</v>
      </c>
      <c r="D19" s="12" t="n">
        <v>30</v>
      </c>
      <c r="E19" s="12" t="n">
        <f aca="false">MESCLUN_BEDS</f>
        <v>30</v>
      </c>
      <c r="F19" s="12" t="n">
        <f aca="false">IF(AND(ISNUMBER(D19),ISNUMBER(E19)),E19-D19,"")</f>
        <v>0</v>
      </c>
      <c r="G19" s="0" t="n">
        <v>0</v>
      </c>
      <c r="H19" s="3" t="str">
        <f aca="false">IF(E19=D19,"PASS","FAIL")</f>
        <v>PASS</v>
      </c>
      <c r="I19" s="4"/>
    </row>
    <row r="20" customFormat="false" ht="28.35" hidden="false" customHeight="false" outlineLevel="0" collapsed="false">
      <c r="A20" s="0" t="s">
        <v>646</v>
      </c>
      <c r="B20" s="0" t="s">
        <v>641</v>
      </c>
      <c r="C20" s="0" t="s">
        <v>647</v>
      </c>
      <c r="D20" s="16" t="n">
        <v>42762</v>
      </c>
      <c r="E20" s="16" t="n">
        <f aca="false">SEASONAL_PROFIT</f>
        <v>42775.1553877422</v>
      </c>
      <c r="F20" s="16" t="n">
        <f aca="false">IF(AND(ISNUMBER(D20),ISNUMBER(E20)),E20-D20,"")</f>
        <v>13.1553877421975</v>
      </c>
      <c r="G20" s="0" t="n">
        <f aca="false">PROFIT_TOLERANCE</f>
        <v>25</v>
      </c>
      <c r="H20" s="3" t="str">
        <f aca="false">IF(ABS(F20)&lt;=G20,"PASS","FAIL")</f>
        <v>PASS</v>
      </c>
      <c r="I20" s="4" t="s">
        <v>648</v>
      </c>
    </row>
    <row r="21" customFormat="false" ht="15" hidden="false" customHeight="false" outlineLevel="0" collapsed="false">
      <c r="A21" s="0" t="s">
        <v>649</v>
      </c>
      <c r="B21" s="0" t="s">
        <v>641</v>
      </c>
      <c r="C21" s="0" t="s">
        <v>650</v>
      </c>
      <c r="D21" s="12" t="n">
        <v>10</v>
      </c>
      <c r="E21" s="12" t="n">
        <f aca="false">TOMATO_PMC_Q</f>
        <v>10</v>
      </c>
      <c r="F21" s="12" t="n">
        <f aca="false">IF(AND(ISNUMBER(D21),ISNUMBER(E21)),E21-D21,"")</f>
        <v>0</v>
      </c>
      <c r="G21" s="0" t="n">
        <f aca="false">BED_TOLERANCE</f>
        <v>1</v>
      </c>
      <c r="H21" s="3" t="str">
        <f aca="false">IF(ABS(F21)&lt;=G21,"PASS","FAIL")</f>
        <v>PASS</v>
      </c>
      <c r="I21" s="4" t="s">
        <v>651</v>
      </c>
    </row>
    <row r="22" customFormat="false" ht="15" hidden="false" customHeight="false" outlineLevel="0" collapsed="false">
      <c r="A22" s="0" t="s">
        <v>649</v>
      </c>
      <c r="B22" s="0" t="s">
        <v>641</v>
      </c>
      <c r="C22" s="0" t="s">
        <v>652</v>
      </c>
      <c r="D22" s="12" t="n">
        <v>10</v>
      </c>
      <c r="E22" s="12" t="n">
        <f aca="false">CARROT_PMC_Q</f>
        <v>10</v>
      </c>
      <c r="F22" s="12" t="n">
        <f aca="false">IF(AND(ISNUMBER(D22),ISNUMBER(E22)),E22-D22,"")</f>
        <v>0</v>
      </c>
      <c r="G22" s="0" t="n">
        <f aca="false">BED_TOLERANCE</f>
        <v>1</v>
      </c>
      <c r="H22" s="3" t="str">
        <f aca="false">IF(ABS(F22)&lt;=G22,"PASS","FAIL")</f>
        <v>PASS</v>
      </c>
      <c r="I22" s="4" t="s">
        <v>651</v>
      </c>
    </row>
    <row r="23" customFormat="false" ht="15" hidden="false" customHeight="false" outlineLevel="0" collapsed="false">
      <c r="A23" s="0" t="s">
        <v>649</v>
      </c>
      <c r="B23" s="0" t="s">
        <v>641</v>
      </c>
      <c r="C23" s="0" t="s">
        <v>653</v>
      </c>
      <c r="D23" s="12" t="n">
        <v>6</v>
      </c>
      <c r="E23" s="12" t="n">
        <f aca="false">MESCLUN_PMC_Q</f>
        <v>6</v>
      </c>
      <c r="F23" s="12" t="n">
        <f aca="false">IF(AND(ISNUMBER(D23),ISNUMBER(E23)),E23-D23,"")</f>
        <v>0</v>
      </c>
      <c r="G23" s="0" t="n">
        <f aca="false">BED_TOLERANCE</f>
        <v>1</v>
      </c>
      <c r="H23" s="3" t="str">
        <f aca="false">IF(ABS(F23)&lt;=G23,"PASS","FAIL")</f>
        <v>PASS</v>
      </c>
      <c r="I23" s="4" t="s">
        <v>651</v>
      </c>
    </row>
    <row r="24" customFormat="false" ht="15" hidden="false" customHeight="false" outlineLevel="0" collapsed="false">
      <c r="A24" s="0" t="s">
        <v>654</v>
      </c>
      <c r="B24" s="0" t="s">
        <v>641</v>
      </c>
      <c r="C24" s="0" t="s">
        <v>655</v>
      </c>
      <c r="D24" s="58" t="n">
        <v>99</v>
      </c>
      <c r="E24" s="59" t="n">
        <f aca="false">INDEX(TOMATO_SCHED_LABOR_HRS,2)</f>
        <v>99</v>
      </c>
      <c r="F24" s="59" t="n">
        <f aca="false">IF(AND(ISNUMBER(D24),ISNUMBER(E24)),E24-D24,"")</f>
        <v>0</v>
      </c>
      <c r="G24" s="0" t="n">
        <v>0.01</v>
      </c>
      <c r="H24" s="3" t="str">
        <f aca="false">IF(ABS(F24)&lt;=G24,"PASS","FAIL")</f>
        <v>PASS</v>
      </c>
      <c r="I24" s="4" t="s">
        <v>656</v>
      </c>
    </row>
    <row r="25" customFormat="false" ht="15" hidden="false" customHeight="false" outlineLevel="0" collapsed="false">
      <c r="A25" s="0" t="s">
        <v>654</v>
      </c>
      <c r="B25" s="0" t="s">
        <v>641</v>
      </c>
      <c r="C25" s="0" t="s">
        <v>657</v>
      </c>
      <c r="D25" s="58" t="n">
        <v>30.74</v>
      </c>
      <c r="E25" s="59" t="n">
        <f aca="false">INDEX(CARROT_SCHED_LABOR_HRS,2)</f>
        <v>30.7377</v>
      </c>
      <c r="F25" s="59" t="n">
        <f aca="false">IF(AND(ISNUMBER(D25),ISNUMBER(E25)),E25-D25,"")</f>
        <v>-0.00230000000000175</v>
      </c>
      <c r="G25" s="0" t="n">
        <v>0.01</v>
      </c>
      <c r="H25" s="3" t="str">
        <f aca="false">IF(ABS(F25)&lt;=G25,"PASS","FAIL")</f>
        <v>PASS</v>
      </c>
      <c r="I25" s="4" t="s">
        <v>656</v>
      </c>
    </row>
    <row r="26" customFormat="false" ht="15" hidden="false" customHeight="false" outlineLevel="0" collapsed="false">
      <c r="A26" s="0" t="s">
        <v>654</v>
      </c>
      <c r="B26" s="0" t="s">
        <v>641</v>
      </c>
      <c r="C26" s="0" t="s">
        <v>658</v>
      </c>
      <c r="D26" s="58" t="n">
        <v>45.56</v>
      </c>
      <c r="E26" s="59" t="n">
        <f aca="false">INDEX(MESCLUN_SCHED_LABOR_HRS,2)</f>
        <v>45.5625</v>
      </c>
      <c r="F26" s="59" t="n">
        <f aca="false">IF(AND(ISNUMBER(D26),ISNUMBER(E26)),E26-D26,"")</f>
        <v>0.00249999999999773</v>
      </c>
      <c r="G26" s="0" t="n">
        <v>0.01</v>
      </c>
      <c r="H26" s="3" t="str">
        <f aca="false">IF(ABS(F26)&lt;=G26,"PASS","FAIL")</f>
        <v>PASS</v>
      </c>
      <c r="I26" s="4" t="s">
        <v>656</v>
      </c>
    </row>
    <row r="27" customFormat="false" ht="28.35" hidden="false" customHeight="false" outlineLevel="0" collapsed="false">
      <c r="A27" s="0" t="s">
        <v>654</v>
      </c>
      <c r="B27" s="0" t="s">
        <v>641</v>
      </c>
      <c r="C27" s="0" t="s">
        <v>659</v>
      </c>
      <c r="D27" s="60" t="n">
        <v>-15517.28</v>
      </c>
      <c r="E27" s="16" t="n">
        <f aca="false">INDEX(ENUM_GRID,1*(20+1)+0+1,0+1)</f>
        <v>-15517.28</v>
      </c>
      <c r="F27" s="16" t="n">
        <f aca="false">IF(AND(ISNUMBER(D27),ISNUMBER(E27)),E27-D27,"")</f>
        <v>0</v>
      </c>
      <c r="G27" s="0" t="n">
        <v>0.01</v>
      </c>
      <c r="H27" s="3" t="str">
        <f aca="false">IF(ABS(F27)&lt;=G27,"PASS","FAIL")</f>
        <v>PASS</v>
      </c>
      <c r="I27" s="4" t="s">
        <v>660</v>
      </c>
    </row>
    <row r="28" customFormat="false" ht="15" hidden="false" customHeight="false" outlineLevel="0" collapsed="false">
      <c r="A28" s="0" t="s">
        <v>661</v>
      </c>
      <c r="B28" s="0" t="s">
        <v>641</v>
      </c>
      <c r="C28" s="0" t="s">
        <v>662</v>
      </c>
      <c r="D28" s="0" t="s">
        <v>663</v>
      </c>
      <c r="E28" s="0" t="str">
        <f aca="false">IF(COUNT(D12:G12)&lt;4,"not yet recorded",D12&amp;" / "&amp;E12&amp;" / "&amp;F12&amp;"; $"&amp;TEXT(G12,"#,##0.00"))</f>
        <v>10 / 20 / 30; $42,775.16</v>
      </c>
      <c r="F28" s="16" t="n">
        <f aca="false">IF(ISNUMBER(G12),G12-42762,"")</f>
        <v>13.1600000000035</v>
      </c>
      <c r="G28" s="0" t="n">
        <f aca="false">PROFIT_TOLERANCE</f>
        <v>25</v>
      </c>
      <c r="H28" s="3" t="str">
        <f aca="false">IF(COUNT(D12:G12)&lt;4,"PENDING",IF(AND(D12=10,E12=20,F12=30,ABS(G12-42762)&lt;=PROFIT_TOLERANCE),"PASS","FAIL"))</f>
        <v>PASS</v>
      </c>
      <c r="I28" s="4" t="s">
        <v>664</v>
      </c>
    </row>
    <row r="29" customFormat="false" ht="15" hidden="false" customHeight="false" outlineLevel="0" collapsed="false">
      <c r="A29" s="0" t="s">
        <v>661</v>
      </c>
      <c r="B29" s="0" t="s">
        <v>641</v>
      </c>
      <c r="C29" s="0" t="s">
        <v>665</v>
      </c>
      <c r="D29" s="0" t="s">
        <v>663</v>
      </c>
      <c r="E29" s="0" t="str">
        <f aca="false">IF(COUNT(D13:G13)&lt;4,"not yet recorded",D13&amp;" / "&amp;E13&amp;" / "&amp;F13&amp;"; $"&amp;TEXT(G13,"#,##0.00"))</f>
        <v>10 / 20 / 30; $42,775.16</v>
      </c>
      <c r="F29" s="16" t="n">
        <f aca="false">IF(ISNUMBER(G13),G13-42762,"")</f>
        <v>13.1600000000035</v>
      </c>
      <c r="G29" s="0" t="n">
        <f aca="false">PROFIT_TOLERANCE</f>
        <v>25</v>
      </c>
      <c r="H29" s="3" t="str">
        <f aca="false">IF(COUNT(D13:G13)&lt;4,"PENDING",IF(AND(D13=10,E13=20,F13=30,ABS(G13-42762)&lt;=PROFIT_TOLERANCE),"PASS","FAIL"))</f>
        <v>PASS</v>
      </c>
      <c r="I29" s="4" t="s">
        <v>666</v>
      </c>
    </row>
    <row r="30" customFormat="false" ht="15" hidden="false" customHeight="false" outlineLevel="0" collapsed="false">
      <c r="A30" s="0" t="s">
        <v>629</v>
      </c>
      <c r="B30" s="0" t="s">
        <v>641</v>
      </c>
      <c r="C30" s="0" t="s">
        <v>667</v>
      </c>
      <c r="D30" s="16" t="n">
        <f aca="false">SEASONAL_PROFIT</f>
        <v>42775.1553877422</v>
      </c>
      <c r="E30" s="16" t="n">
        <f aca="false">IF(ISNUMBER(G14),G14,"not yet recorded")</f>
        <v>42762</v>
      </c>
      <c r="F30" s="16" t="n">
        <f aca="false">IF(ISNUMBER(G14),G14-SEASONAL_PROFIT,"")</f>
        <v>-13.1553877421975</v>
      </c>
      <c r="G30" s="0" t="n">
        <f aca="false">PROFIT_TOLERANCE</f>
        <v>25</v>
      </c>
      <c r="H30" s="3" t="str">
        <f aca="false">IF(ISNUMBER(G14),IF(ABS(G14-SEASONAL_PROFIT)&lt;=PROFIT_TOLERANCE,"PASS","FAIL"),"PENDING")</f>
        <v>PASS</v>
      </c>
      <c r="I30" s="4" t="s">
        <v>668</v>
      </c>
    </row>
    <row r="31" customFormat="false" ht="15" hidden="false" customHeight="false" outlineLevel="0" collapsed="false">
      <c r="A31" s="0" t="s">
        <v>669</v>
      </c>
      <c r="B31" s="0" t="s">
        <v>670</v>
      </c>
      <c r="C31" s="0" t="s">
        <v>671</v>
      </c>
      <c r="D31" s="12" t="n">
        <v>10</v>
      </c>
      <c r="E31" s="12" t="n">
        <f aca="false">ENUM_BEST_TOMATO</f>
        <v>10</v>
      </c>
      <c r="F31" s="12" t="n">
        <f aca="false">IF(AND(ISNUMBER(D31),ISNUMBER(E31)),E31-D31,"")</f>
        <v>0</v>
      </c>
      <c r="G31" s="0" t="n">
        <v>0</v>
      </c>
      <c r="H31" s="3" t="str">
        <f aca="false">IF(E31=D31,"PASS","FAIL")</f>
        <v>PASS</v>
      </c>
      <c r="I31" s="4" t="s">
        <v>672</v>
      </c>
    </row>
    <row r="32" customFormat="false" ht="15" hidden="false" customHeight="false" outlineLevel="0" collapsed="false">
      <c r="A32" s="0" t="s">
        <v>673</v>
      </c>
      <c r="B32" s="0" t="s">
        <v>670</v>
      </c>
      <c r="C32" s="0" t="s">
        <v>674</v>
      </c>
      <c r="D32" s="12" t="n">
        <v>20</v>
      </c>
      <c r="E32" s="12" t="n">
        <f aca="false">ENUM_BEST_CARROT</f>
        <v>20</v>
      </c>
      <c r="F32" s="12" t="n">
        <f aca="false">IF(AND(ISNUMBER(D32),ISNUMBER(E32)),E32-D32,"")</f>
        <v>0</v>
      </c>
      <c r="G32" s="0" t="n">
        <v>0</v>
      </c>
      <c r="H32" s="3" t="str">
        <f aca="false">IF(E32=D32,"PASS","FAIL")</f>
        <v>PASS</v>
      </c>
      <c r="I32" s="4" t="s">
        <v>672</v>
      </c>
    </row>
    <row r="33" customFormat="false" ht="15" hidden="false" customHeight="false" outlineLevel="0" collapsed="false">
      <c r="A33" s="0" t="s">
        <v>675</v>
      </c>
      <c r="B33" s="0" t="s">
        <v>670</v>
      </c>
      <c r="C33" s="0" t="s">
        <v>676</v>
      </c>
      <c r="D33" s="12" t="n">
        <v>30</v>
      </c>
      <c r="E33" s="12" t="n">
        <f aca="false">ENUM_BEST_MESCLUN</f>
        <v>30</v>
      </c>
      <c r="F33" s="12" t="n">
        <f aca="false">IF(AND(ISNUMBER(D33),ISNUMBER(E33)),E33-D33,"")</f>
        <v>0</v>
      </c>
      <c r="G33" s="0" t="n">
        <v>0</v>
      </c>
      <c r="H33" s="3" t="str">
        <f aca="false">IF(E33=D33,"PASS","FAIL")</f>
        <v>PASS</v>
      </c>
      <c r="I33" s="4" t="s">
        <v>672</v>
      </c>
    </row>
    <row r="34" customFormat="false" ht="15" hidden="false" customHeight="false" outlineLevel="0" collapsed="false">
      <c r="A34" s="0" t="s">
        <v>677</v>
      </c>
      <c r="B34" s="0" t="s">
        <v>670</v>
      </c>
      <c r="C34" s="0" t="s">
        <v>678</v>
      </c>
      <c r="D34" s="12" t="n">
        <v>1</v>
      </c>
      <c r="E34" s="12" t="n">
        <f aca="false">ENUM_TIES</f>
        <v>1</v>
      </c>
      <c r="F34" s="12" t="n">
        <f aca="false">IF(AND(ISNUMBER(D34),ISNUMBER(E34)),E34-D34,"")</f>
        <v>0</v>
      </c>
      <c r="G34" s="0" t="n">
        <v>0</v>
      </c>
      <c r="H34" s="3" t="str">
        <f aca="false">IF(E34=D34,"PASS","FAIL")</f>
        <v>PASS</v>
      </c>
      <c r="I34" s="4"/>
    </row>
    <row r="35" customFormat="false" ht="15" hidden="false" customHeight="false" outlineLevel="0" collapsed="false">
      <c r="A35" s="0" t="s">
        <v>679</v>
      </c>
      <c r="B35" s="0" t="s">
        <v>670</v>
      </c>
      <c r="C35" s="0" t="s">
        <v>680</v>
      </c>
      <c r="D35" s="16" t="n">
        <f aca="false">ENUM_BEST_PROFIT</f>
        <v>42775.1553877422</v>
      </c>
      <c r="E35" s="16" t="n">
        <f aca="false">SEASONAL_PROFIT</f>
        <v>42775.1553877422</v>
      </c>
      <c r="F35" s="16" t="n">
        <f aca="false">IF(AND(ISNUMBER(D35),ISNUMBER(E35)),E35-D35,"")</f>
        <v>0</v>
      </c>
      <c r="G35" s="0" t="n">
        <v>0</v>
      </c>
      <c r="H35" s="3" t="str">
        <f aca="false">IF(AND(TOMATO_BEDS=ENUM_BEST_TOMATO,CARROT_BEDS=ENUM_BEST_CARROT,MESCLUN_BEDS=ENUM_BEST_MESCLUN),"PASS","FAIL")</f>
        <v>PASS</v>
      </c>
      <c r="I35" s="4" t="s">
        <v>681</v>
      </c>
    </row>
    <row r="36" customFormat="false" ht="15" hidden="false" customHeight="false" outlineLevel="0" collapsed="false">
      <c r="A36" s="0" t="s">
        <v>682</v>
      </c>
      <c r="B36" s="0" t="s">
        <v>670</v>
      </c>
      <c r="C36" s="0" t="s">
        <v>683</v>
      </c>
      <c r="D36" s="12" t="s">
        <v>684</v>
      </c>
      <c r="E36" s="12" t="n">
        <f aca="false">SUMPRODUCT(--(TOMATO_PLUS1_FEASIBLE*(TOMATO_DPROFIT_PLUS1&gt;0.000000001)))+SUMPRODUCT(--(CARROT_PLUS1_FEASIBLE*(CARROT_DPROFIT_PLUS1&gt;0.000000001)))+SUMPRODUCT(--(MESCLUN_PLUS1_FEASIBLE*(MESCLUN_DPROFIT_PLUS1&gt;0.000000001)))+IF(ISNUMBER(TOMATO_DPROFIT_MINUS1),--(TOMATO_DPROFIT_MINUS1&gt;0.000000001),0)+IF(ISNUMBER(CARROT_DPROFIT_MINUS1),--(CARROT_DPROFIT_MINUS1&gt;0.000000001),0)+IF(ISNUMBER(MESCLUN_DPROFIT_MINUS1),--(MESCLUN_DPROFIT_MINUS1&gt;0.000000001),0)</f>
        <v>0</v>
      </c>
      <c r="F36" s="12"/>
      <c r="H36" s="3" t="str">
        <f aca="false">IF(E36=0,"PASS","FAIL")</f>
        <v>PASS</v>
      </c>
      <c r="I36" s="4"/>
    </row>
    <row r="37" customFormat="false" ht="28.35" hidden="false" customHeight="false" outlineLevel="0" collapsed="false">
      <c r="A37" s="0" t="s">
        <v>685</v>
      </c>
      <c r="B37" s="0" t="s">
        <v>686</v>
      </c>
      <c r="C37" s="0" t="s">
        <v>687</v>
      </c>
      <c r="D37" s="16" t="n">
        <f aca="false">ENUM_BEST_PROFIT</f>
        <v>42775.1553877422</v>
      </c>
      <c r="E37" s="16" t="n">
        <f aca="false">INDEX(ENUM_GRID,12*(20+1)+20+1,30+1)</f>
        <v>40298.0216348779</v>
      </c>
      <c r="F37" s="16" t="n">
        <f aca="false">IF(AND(ISNUMBER(D37),ISNUMBER(E37)),E37-D37,"")</f>
        <v>-2477.13375286432</v>
      </c>
      <c r="H37" s="3" t="str">
        <f aca="false">IF(E37&lt;D37,"INFO","FAIL")</f>
        <v>INFO</v>
      </c>
      <c r="I37" s="4" t="s">
        <v>688</v>
      </c>
    </row>
    <row r="38" customFormat="false" ht="15" hidden="false" customHeight="false" outlineLevel="0" collapsed="false">
      <c r="A38" s="0" t="s">
        <v>689</v>
      </c>
      <c r="B38" s="0" t="s">
        <v>521</v>
      </c>
      <c r="C38" s="0" t="s">
        <v>528</v>
      </c>
      <c r="D38" s="12"/>
      <c r="E38" s="12" t="n">
        <f aca="false">Optimization!B15</f>
        <v>10</v>
      </c>
      <c r="F38" s="12"/>
      <c r="H38" s="3" t="str">
        <f aca="false">IF(Optimization!F15="OK","PASS","FAIL")</f>
        <v>PASS</v>
      </c>
      <c r="I38" s="4" t="str">
        <f aca="false">Optimization!G15</f>
        <v>Not binding</v>
      </c>
    </row>
    <row r="39" customFormat="false" ht="15" hidden="false" customHeight="false" outlineLevel="0" collapsed="false">
      <c r="A39" s="0" t="s">
        <v>690</v>
      </c>
      <c r="B39" s="0" t="s">
        <v>521</v>
      </c>
      <c r="C39" s="0" t="s">
        <v>530</v>
      </c>
      <c r="D39" s="12"/>
      <c r="E39" s="12" t="n">
        <f aca="false">Optimization!B16</f>
        <v>20</v>
      </c>
      <c r="F39" s="12"/>
      <c r="H39" s="3" t="str">
        <f aca="false">IF(Optimization!F16="OK","PASS","FAIL")</f>
        <v>PASS</v>
      </c>
      <c r="I39" s="4" t="str">
        <f aca="false">Optimization!G16</f>
        <v>Binding</v>
      </c>
    </row>
    <row r="40" customFormat="false" ht="15" hidden="false" customHeight="false" outlineLevel="0" collapsed="false">
      <c r="A40" s="0" t="s">
        <v>691</v>
      </c>
      <c r="B40" s="0" t="s">
        <v>521</v>
      </c>
      <c r="C40" s="0" t="s">
        <v>531</v>
      </c>
      <c r="D40" s="12"/>
      <c r="E40" s="12" t="n">
        <f aca="false">Optimization!B17</f>
        <v>30</v>
      </c>
      <c r="F40" s="12"/>
      <c r="H40" s="3" t="str">
        <f aca="false">IF(Optimization!F17="OK","PASS","FAIL")</f>
        <v>PASS</v>
      </c>
      <c r="I40" s="4" t="str">
        <f aca="false">Optimization!G17</f>
        <v>Binding</v>
      </c>
    </row>
    <row r="41" customFormat="false" ht="15" hidden="false" customHeight="false" outlineLevel="0" collapsed="false">
      <c r="A41" s="0" t="s">
        <v>692</v>
      </c>
      <c r="B41" s="0" t="s">
        <v>521</v>
      </c>
      <c r="C41" s="0" t="s">
        <v>532</v>
      </c>
      <c r="D41" s="12"/>
      <c r="E41" s="12" t="n">
        <f aca="false">Optimization!B18</f>
        <v>60</v>
      </c>
      <c r="F41" s="12"/>
      <c r="H41" s="3" t="str">
        <f aca="false">IF(Optimization!F18="OK","PASS","FAIL")</f>
        <v>PASS</v>
      </c>
      <c r="I41" s="4" t="str">
        <f aca="false">Optimization!G18</f>
        <v>Not binding</v>
      </c>
    </row>
    <row r="42" customFormat="false" ht="15" hidden="false" customHeight="false" outlineLevel="0" collapsed="false">
      <c r="A42" s="0" t="s">
        <v>693</v>
      </c>
      <c r="B42" s="0" t="s">
        <v>521</v>
      </c>
      <c r="C42" s="0" t="s">
        <v>533</v>
      </c>
      <c r="D42" s="14"/>
      <c r="E42" s="14" t="n">
        <f aca="false">Optimization!B19</f>
        <v>4556.82284632822</v>
      </c>
      <c r="F42" s="14"/>
      <c r="H42" s="3" t="str">
        <f aca="false">IF(Optimization!F19="OK","PASS","FAIL")</f>
        <v>PASS</v>
      </c>
      <c r="I42" s="4" t="str">
        <f aca="false">Optimization!G19</f>
        <v>Not binding</v>
      </c>
    </row>
    <row r="43" customFormat="false" ht="15" hidden="false" customHeight="false" outlineLevel="0" collapsed="false">
      <c r="A43" s="0" t="s">
        <v>694</v>
      </c>
      <c r="B43" s="0" t="s">
        <v>521</v>
      </c>
      <c r="C43" s="0" t="s">
        <v>534</v>
      </c>
      <c r="D43" s="14"/>
      <c r="E43" s="14" t="n">
        <f aca="false">Optimization!B20</f>
        <v>5276.82284632822</v>
      </c>
      <c r="F43" s="14"/>
      <c r="H43" s="3" t="str">
        <f aca="false">IF(Optimization!F20="OK","PASS","FAIL")</f>
        <v>PASS</v>
      </c>
      <c r="I43" s="4" t="str">
        <f aca="false">Optimization!G20</f>
        <v>Not binding</v>
      </c>
    </row>
    <row r="44" customFormat="false" ht="15" hidden="false" customHeight="false" outlineLevel="0" collapsed="false">
      <c r="A44" s="0" t="s">
        <v>695</v>
      </c>
      <c r="B44" s="0" t="s">
        <v>521</v>
      </c>
      <c r="C44" s="0" t="s">
        <v>696</v>
      </c>
      <c r="D44" s="12" t="n">
        <v>0</v>
      </c>
      <c r="E44" s="12" t="n">
        <f aca="false">SUMPRODUCT(--(Optimization!C6:C8&lt;&gt;INT(Optimization!C6:C8)))</f>
        <v>0</v>
      </c>
      <c r="F44" s="12" t="n">
        <f aca="false">IF(AND(ISNUMBER(D44),ISNUMBER(E44)),E44-D44,"")</f>
        <v>0</v>
      </c>
      <c r="G44" s="0" t="n">
        <v>0</v>
      </c>
      <c r="H44" s="3" t="str">
        <f aca="false">IF(E44=D44,"PASS","FAIL")</f>
        <v>PASS</v>
      </c>
      <c r="I44" s="4"/>
    </row>
    <row r="45" customFormat="false" ht="15" hidden="false" customHeight="false" outlineLevel="0" collapsed="false">
      <c r="A45" s="0" t="s">
        <v>697</v>
      </c>
      <c r="B45" s="0" t="s">
        <v>521</v>
      </c>
      <c r="C45" s="0" t="s">
        <v>698</v>
      </c>
      <c r="D45" s="12" t="n">
        <v>0</v>
      </c>
      <c r="E45" s="12" t="n">
        <f aca="false">COUNTIF(Optimization!C6:C8,"&lt;0")</f>
        <v>0</v>
      </c>
      <c r="F45" s="12" t="n">
        <f aca="false">IF(AND(ISNUMBER(D45),ISNUMBER(E45)),E45-D45,"")</f>
        <v>0</v>
      </c>
      <c r="G45" s="0" t="n">
        <v>0</v>
      </c>
      <c r="H45" s="3" t="str">
        <f aca="false">IF(E45=D45,"PASS","FAIL")</f>
        <v>PASS</v>
      </c>
      <c r="I45" s="4"/>
    </row>
    <row r="46" customFormat="false" ht="15" hidden="false" customHeight="false" outlineLevel="0" collapsed="false">
      <c r="A46" s="0" t="s">
        <v>699</v>
      </c>
      <c r="B46" s="0" t="s">
        <v>521</v>
      </c>
      <c r="C46" s="0" t="s">
        <v>700</v>
      </c>
      <c r="D46" s="12" t="n">
        <v>0</v>
      </c>
      <c r="E46" s="12" t="n">
        <f aca="false">COUNTIF(CONSTRAINT_STATUS,"VIOLATED")</f>
        <v>0</v>
      </c>
      <c r="F46" s="12" t="n">
        <f aca="false">IF(AND(ISNUMBER(D46),ISNUMBER(E46)),E46-D46,"")</f>
        <v>0</v>
      </c>
      <c r="G46" s="0" t="n">
        <v>0</v>
      </c>
      <c r="H46" s="3" t="str">
        <f aca="false">IF(E46=D46,"PASS","FAIL")</f>
        <v>PASS</v>
      </c>
      <c r="I46" s="4"/>
    </row>
    <row r="47" customFormat="false" ht="15" hidden="false" customHeight="false" outlineLevel="0" collapsed="false">
      <c r="A47" s="0" t="s">
        <v>701</v>
      </c>
      <c r="B47" s="0" t="s">
        <v>702</v>
      </c>
      <c r="C47" s="0" t="s">
        <v>703</v>
      </c>
      <c r="D47" s="12" t="n">
        <v>0</v>
      </c>
      <c r="E47" s="12" t="n">
        <f aca="false">SUMPRODUCT(--ISERROR(Inputs!B5:B32))</f>
        <v>0</v>
      </c>
      <c r="F47" s="12" t="n">
        <f aca="false">IF(AND(ISNUMBER(D47),ISNUMBER(E47)),E47-D47,"")</f>
        <v>0</v>
      </c>
      <c r="G47" s="0" t="n">
        <v>0</v>
      </c>
      <c r="H47" s="3" t="str">
        <f aca="false">IF(E47=D47,"PASS","FAIL")</f>
        <v>PASS</v>
      </c>
      <c r="I47" s="4"/>
    </row>
    <row r="48" customFormat="false" ht="15" hidden="false" customHeight="false" outlineLevel="0" collapsed="false">
      <c r="A48" s="0" t="s">
        <v>704</v>
      </c>
      <c r="B48" s="0" t="s">
        <v>702</v>
      </c>
      <c r="C48" s="0" t="s">
        <v>705</v>
      </c>
      <c r="D48" s="12" t="n">
        <v>0</v>
      </c>
      <c r="E48" s="12" t="n">
        <f aca="false">SUMPRODUCT(--ISERROR('Cost Structure'!A4:J41))</f>
        <v>0</v>
      </c>
      <c r="F48" s="12" t="n">
        <f aca="false">IF(AND(ISNUMBER(D48),ISNUMBER(E48)),E48-D48,"")</f>
        <v>0</v>
      </c>
      <c r="G48" s="0" t="n">
        <v>0</v>
      </c>
      <c r="H48" s="3" t="str">
        <f aca="false">IF(E48=D48,"PASS","FAIL")</f>
        <v>PASS</v>
      </c>
      <c r="I48" s="4"/>
    </row>
    <row r="49" customFormat="false" ht="15" hidden="false" customHeight="false" outlineLevel="0" collapsed="false">
      <c r="A49" s="0" t="s">
        <v>706</v>
      </c>
      <c r="B49" s="0" t="s">
        <v>702</v>
      </c>
      <c r="C49" s="0" t="s">
        <v>707</v>
      </c>
      <c r="D49" s="12" t="n">
        <v>0</v>
      </c>
      <c r="E49" s="12" t="n">
        <f aca="false">SUMPRODUCT(--ISERROR('Marginal Cost'!A5:V93))</f>
        <v>0</v>
      </c>
      <c r="F49" s="12" t="n">
        <f aca="false">IF(AND(ISNUMBER(D49),ISNUMBER(E49)),E49-D49,"")</f>
        <v>0</v>
      </c>
      <c r="G49" s="0" t="n">
        <v>0</v>
      </c>
      <c r="H49" s="3" t="str">
        <f aca="false">IF(E49=D49,"PASS","FAIL")</f>
        <v>PASS</v>
      </c>
      <c r="I49" s="4"/>
    </row>
    <row r="50" customFormat="false" ht="15" hidden="false" customHeight="false" outlineLevel="0" collapsed="false">
      <c r="A50" s="0" t="s">
        <v>708</v>
      </c>
      <c r="B50" s="0" t="s">
        <v>702</v>
      </c>
      <c r="C50" s="0" t="s">
        <v>709</v>
      </c>
      <c r="D50" s="12" t="n">
        <v>0</v>
      </c>
      <c r="E50" s="12" t="n">
        <f aca="false">SUMPRODUCT(--ISERROR(Optimization!A5:K48))</f>
        <v>0</v>
      </c>
      <c r="F50" s="12" t="n">
        <f aca="false">IF(AND(ISNUMBER(D50),ISNUMBER(E50)),E50-D50,"")</f>
        <v>0</v>
      </c>
      <c r="G50" s="0" t="n">
        <v>0</v>
      </c>
      <c r="H50" s="3" t="str">
        <f aca="false">IF(E50=D50,"PASS","FAIL")</f>
        <v>PASS</v>
      </c>
      <c r="I50" s="4"/>
    </row>
    <row r="51" customFormat="false" ht="15" hidden="false" customHeight="false" outlineLevel="0" collapsed="false">
      <c r="A51" s="0" t="s">
        <v>710</v>
      </c>
      <c r="B51" s="0" t="s">
        <v>702</v>
      </c>
      <c r="C51" s="0" t="s">
        <v>711</v>
      </c>
      <c r="D51" s="12" t="n">
        <v>0</v>
      </c>
      <c r="E51" s="12" t="n">
        <f aca="false">SUMPRODUCT(--ISERROR(Enumeration!A4:AM448))</f>
        <v>0</v>
      </c>
      <c r="F51" s="12" t="n">
        <f aca="false">IF(AND(ISNUMBER(D51),ISNUMBER(E51)),E51-D51,"")</f>
        <v>0</v>
      </c>
      <c r="G51" s="0" t="n">
        <v>0</v>
      </c>
      <c r="H51" s="3" t="str">
        <f aca="false">IF(E51=D51,"PASS","FAIL")</f>
        <v>PASS</v>
      </c>
      <c r="I51" s="4"/>
    </row>
    <row r="52" customFormat="false" ht="15" hidden="false" customHeight="false" outlineLevel="0" collapsed="false">
      <c r="A52" s="0" t="s">
        <v>712</v>
      </c>
      <c r="B52" s="0" t="s">
        <v>702</v>
      </c>
      <c r="C52" s="0" t="s">
        <v>713</v>
      </c>
      <c r="D52" s="12" t="n">
        <v>0</v>
      </c>
      <c r="E52" s="12" t="n">
        <f aca="false">COUNTIF(Inputs!B5:B27,"&lt;0")+ROWS(Inputs!B5:B27)-COUNT(Inputs!B5:B27)</f>
        <v>0</v>
      </c>
      <c r="F52" s="12" t="n">
        <f aca="false">IF(AND(ISNUMBER(D52),ISNUMBER(E52)),E52-D52,"")</f>
        <v>0</v>
      </c>
      <c r="G52" s="0" t="n">
        <v>0</v>
      </c>
      <c r="H52" s="3" t="str">
        <f aca="false">IF(E52=D52,"PASS","FAIL")</f>
        <v>PASS</v>
      </c>
      <c r="I52" s="4"/>
    </row>
    <row r="53" customFormat="false" ht="15" hidden="false" customHeight="false" outlineLevel="0" collapsed="false">
      <c r="A53" s="0" t="s">
        <v>714</v>
      </c>
      <c r="B53" s="0" t="s">
        <v>702</v>
      </c>
      <c r="C53" s="0" t="s">
        <v>715</v>
      </c>
      <c r="D53" s="12" t="n">
        <v>0</v>
      </c>
      <c r="E53" s="12" t="n">
        <f aca="false">SUMPRODUCT(--(MOD(TOMATO_BED_CAP,1)&lt;&gt;0))+SUMPRODUCT(--(MOD(CARROT_BED_CAP,1)&lt;&gt;0))+SUMPRODUCT(--(MOD(MESCLUN_BED_CAP,1)&lt;&gt;0))+SUMPRODUCT(--(MOD(TOTAL_BEDS_AVAILABLE,1)&lt;&gt;0))+SUMPRODUCT(--(MOD(TEMP_WORKER_CAP,1)&lt;&gt;0))</f>
        <v>0</v>
      </c>
      <c r="F53" s="12" t="n">
        <f aca="false">IF(AND(ISNUMBER(D53),ISNUMBER(E53)),E53-D53,"")</f>
        <v>0</v>
      </c>
      <c r="G53" s="0" t="n">
        <v>0</v>
      </c>
      <c r="H53" s="3" t="str">
        <f aca="false">IF(E53=D53,"PASS","FAIL")</f>
        <v>PASS</v>
      </c>
      <c r="I53" s="4"/>
    </row>
    <row r="54" customFormat="false" ht="15" hidden="false" customHeight="false" outlineLevel="0" collapsed="false">
      <c r="A54" s="0" t="s">
        <v>716</v>
      </c>
      <c r="B54" s="0" t="s">
        <v>702</v>
      </c>
      <c r="C54" s="0" t="s">
        <v>717</v>
      </c>
      <c r="D54" s="14" t="s">
        <v>718</v>
      </c>
      <c r="E54" s="14" t="n">
        <f aca="false">TOTAL_LABOR_HOURS</f>
        <v>5276.82284632822</v>
      </c>
      <c r="F54" s="14"/>
      <c r="H54" s="3" t="str">
        <f aca="false">IF(E54&gt;0,"PASS","FAIL")</f>
        <v>PASS</v>
      </c>
      <c r="I54" s="4" t="s">
        <v>719</v>
      </c>
    </row>
    <row r="55" customFormat="false" ht="15" hidden="false" customHeight="false" outlineLevel="0" collapsed="false">
      <c r="A55" s="0" t="s">
        <v>720</v>
      </c>
      <c r="B55" s="0" t="s">
        <v>702</v>
      </c>
      <c r="C55" s="0" t="s">
        <v>721</v>
      </c>
      <c r="D55" s="14" t="s">
        <v>718</v>
      </c>
      <c r="E55" s="14" t="n">
        <f aca="false">TEMP_HOURS_LABOR_PER_WORKER</f>
        <v>1440</v>
      </c>
      <c r="F55" s="14"/>
      <c r="H55" s="3" t="str">
        <f aca="false">IF(E55&gt;0,"PASS","FAIL")</f>
        <v>PASS</v>
      </c>
      <c r="I55" s="4"/>
    </row>
    <row r="56" customFormat="false" ht="15" hidden="false" customHeight="false" outlineLevel="0" collapsed="false">
      <c r="A56" s="0" t="s">
        <v>722</v>
      </c>
      <c r="B56" s="0" t="s">
        <v>702</v>
      </c>
      <c r="C56" s="0" t="s">
        <v>723</v>
      </c>
      <c r="D56" s="14" t="n">
        <v>0</v>
      </c>
      <c r="E56" s="14" t="n">
        <f aca="false">INDEX(TOMATO_SCHED_LABOR_HRS,1)+INDEX(CARROT_SCHED_LABOR_HRS,1)+INDEX(MESCLUN_SCHED_LABOR_HRS,1)</f>
        <v>0</v>
      </c>
      <c r="F56" s="14" t="n">
        <f aca="false">IF(AND(ISNUMBER(D56),ISNUMBER(E56)),E56-D56,"")</f>
        <v>0</v>
      </c>
      <c r="G56" s="0" t="n">
        <v>0</v>
      </c>
      <c r="H56" s="3" t="str">
        <f aca="false">IF(E56=D56,"PASS","FAIL")</f>
        <v>PASS</v>
      </c>
      <c r="I56" s="4"/>
    </row>
    <row r="57" customFormat="false" ht="28.35" hidden="false" customHeight="false" outlineLevel="0" collapsed="false">
      <c r="A57" s="0" t="s">
        <v>724</v>
      </c>
      <c r="B57" s="0" t="s">
        <v>702</v>
      </c>
      <c r="C57" s="0" t="s">
        <v>725</v>
      </c>
      <c r="D57" s="12" t="n">
        <v>0</v>
      </c>
      <c r="E57" s="12" t="n">
        <f aca="false">SUMPRODUCT(--('Marginal Cost'!J15:J33&lt;'Marginal Cost'!J14:J32))+SUMPRODUCT(--('Marginal Cost'!K15:K33&lt;'Marginal Cost'!K14:K32))+SUMPRODUCT(--('Marginal Cost'!Q15:Q33&lt;'Marginal Cost'!Q14:Q32))</f>
        <v>0</v>
      </c>
      <c r="F57" s="12" t="n">
        <f aca="false">IF(AND(ISNUMBER(D57),ISNUMBER(E57)),E57-D57,"")</f>
        <v>0</v>
      </c>
      <c r="G57" s="0" t="n">
        <v>0</v>
      </c>
      <c r="H57" s="3" t="str">
        <f aca="false">IF(E57=D57,"PASS","FAIL")</f>
        <v>PASS</v>
      </c>
      <c r="I57" s="4" t="s">
        <v>726</v>
      </c>
    </row>
    <row r="58" customFormat="false" ht="28.35" hidden="false" customHeight="false" outlineLevel="0" collapsed="false">
      <c r="A58" s="0" t="s">
        <v>727</v>
      </c>
      <c r="B58" s="0" t="s">
        <v>702</v>
      </c>
      <c r="C58" s="0" t="s">
        <v>728</v>
      </c>
      <c r="D58" s="12" t="n">
        <v>0</v>
      </c>
      <c r="E58" s="12" t="n">
        <f aca="false">SUMPRODUCT(--('Marginal Cost'!J40:J58&lt;'Marginal Cost'!J39:J57))+SUMPRODUCT(--('Marginal Cost'!K40:K58&lt;'Marginal Cost'!K39:K57))+SUMPRODUCT(--('Marginal Cost'!Q40:Q58&lt;'Marginal Cost'!Q39:Q57))</f>
        <v>0</v>
      </c>
      <c r="F58" s="12" t="n">
        <f aca="false">IF(AND(ISNUMBER(D58),ISNUMBER(E58)),E58-D58,"")</f>
        <v>0</v>
      </c>
      <c r="G58" s="0" t="n">
        <v>0</v>
      </c>
      <c r="H58" s="3" t="str">
        <f aca="false">IF(E58=D58,"PASS","FAIL")</f>
        <v>PASS</v>
      </c>
      <c r="I58" s="4" t="s">
        <v>726</v>
      </c>
    </row>
    <row r="59" customFormat="false" ht="28.35" hidden="false" customHeight="false" outlineLevel="0" collapsed="false">
      <c r="A59" s="0" t="s">
        <v>729</v>
      </c>
      <c r="B59" s="0" t="s">
        <v>702</v>
      </c>
      <c r="C59" s="0" t="s">
        <v>730</v>
      </c>
      <c r="D59" s="12" t="n">
        <v>0</v>
      </c>
      <c r="E59" s="12" t="n">
        <f aca="false">SUMPRODUCT(--('Marginal Cost'!J65:J93&lt;'Marginal Cost'!J64:J92))+SUMPRODUCT(--('Marginal Cost'!K65:K93&lt;'Marginal Cost'!K64:K92))+SUMPRODUCT(--('Marginal Cost'!Q65:Q93&lt;'Marginal Cost'!Q64:Q92))</f>
        <v>0</v>
      </c>
      <c r="F59" s="12" t="n">
        <f aca="false">IF(AND(ISNUMBER(D59),ISNUMBER(E59)),E59-D59,"")</f>
        <v>0</v>
      </c>
      <c r="G59" s="0" t="n">
        <v>0</v>
      </c>
      <c r="H59" s="3" t="str">
        <f aca="false">IF(E59=D59,"PASS","FAIL")</f>
        <v>PASS</v>
      </c>
      <c r="I59" s="4" t="s">
        <v>726</v>
      </c>
    </row>
    <row r="60" customFormat="false" ht="28.35" hidden="false" customHeight="false" outlineLevel="0" collapsed="false">
      <c r="A60" s="0" t="s">
        <v>731</v>
      </c>
      <c r="B60" s="0" t="s">
        <v>732</v>
      </c>
      <c r="C60" s="0" t="s">
        <v>733</v>
      </c>
      <c r="D60" s="12" t="n">
        <f aca="false">TOMATO_BED_CAP</f>
        <v>20</v>
      </c>
      <c r="E60" s="12" t="n">
        <f aca="false">ROWS(TOMATO_SCHED_Q)-1</f>
        <v>20</v>
      </c>
      <c r="F60" s="12" t="n">
        <f aca="false">IF(AND(ISNUMBER(D60),ISNUMBER(E60)),E60-D60,"")</f>
        <v>0</v>
      </c>
      <c r="H60" s="3" t="str">
        <f aca="false">IF(E60&gt;=D60,"PASS","FAIL")</f>
        <v>PASS</v>
      </c>
      <c r="I60" s="4" t="s">
        <v>734</v>
      </c>
    </row>
    <row r="61" customFormat="false" ht="28.35" hidden="false" customHeight="false" outlineLevel="0" collapsed="false">
      <c r="A61" s="0" t="s">
        <v>735</v>
      </c>
      <c r="B61" s="0" t="s">
        <v>732</v>
      </c>
      <c r="C61" s="0" t="s">
        <v>736</v>
      </c>
      <c r="D61" s="12" t="n">
        <f aca="false">CARROT_BED_CAP</f>
        <v>20</v>
      </c>
      <c r="E61" s="12" t="n">
        <f aca="false">ROWS(CARROT_SCHED_Q)-1</f>
        <v>20</v>
      </c>
      <c r="F61" s="12" t="n">
        <f aca="false">IF(AND(ISNUMBER(D61),ISNUMBER(E61)),E61-D61,"")</f>
        <v>0</v>
      </c>
      <c r="H61" s="3" t="str">
        <f aca="false">IF(E61&gt;=D61,"PASS","FAIL")</f>
        <v>PASS</v>
      </c>
      <c r="I61" s="4" t="s">
        <v>734</v>
      </c>
    </row>
    <row r="62" customFormat="false" ht="28.35" hidden="false" customHeight="false" outlineLevel="0" collapsed="false">
      <c r="A62" s="0" t="s">
        <v>737</v>
      </c>
      <c r="B62" s="0" t="s">
        <v>732</v>
      </c>
      <c r="C62" s="0" t="s">
        <v>738</v>
      </c>
      <c r="D62" s="12" t="n">
        <f aca="false">MESCLUN_BED_CAP</f>
        <v>30</v>
      </c>
      <c r="E62" s="12" t="n">
        <f aca="false">ROWS(MESCLUN_SCHED_Q)-1</f>
        <v>30</v>
      </c>
      <c r="F62" s="12" t="n">
        <f aca="false">IF(AND(ISNUMBER(D62),ISNUMBER(E62)),E62-D62,"")</f>
        <v>0</v>
      </c>
      <c r="H62" s="3" t="str">
        <f aca="false">IF(E62&gt;=D62,"PASS","FAIL")</f>
        <v>PASS</v>
      </c>
      <c r="I62" s="4" t="s">
        <v>734</v>
      </c>
    </row>
    <row r="63" customFormat="false" ht="15" hidden="false" customHeight="false" outlineLevel="0" collapsed="false">
      <c r="A63" s="0" t="s">
        <v>739</v>
      </c>
      <c r="B63" s="0" t="s">
        <v>740</v>
      </c>
      <c r="C63" s="0" t="s">
        <v>741</v>
      </c>
      <c r="D63" s="16" t="n">
        <f aca="false">TOTAL_LABOR_COST</f>
        <v>104104.844612258</v>
      </c>
      <c r="E63" s="16" t="n">
        <f aca="false">TOMATO_LABOR_COST+CARROT_LABOR_COST+MESCLUN_LABOR_COST</f>
        <v>104104.844612258</v>
      </c>
      <c r="F63" s="16" t="n">
        <f aca="false">IF(AND(ISNUMBER(D63),ISNUMBER(E63)),E63-D63,"")</f>
        <v>0</v>
      </c>
      <c r="G63" s="0" t="n">
        <v>0.01</v>
      </c>
      <c r="H63" s="3" t="str">
        <f aca="false">IF(ABS(F63)&lt;=G63,"PASS","FAIL")</f>
        <v>PASS</v>
      </c>
      <c r="I63" s="4" t="s">
        <v>742</v>
      </c>
    </row>
    <row r="64" customFormat="false" ht="15" hidden="false" customHeight="false" outlineLevel="0" collapsed="false">
      <c r="A64" s="0" t="s">
        <v>743</v>
      </c>
      <c r="B64" s="0" t="s">
        <v>740</v>
      </c>
      <c r="C64" s="0" t="s">
        <v>744</v>
      </c>
      <c r="D64" s="14" t="n">
        <f aca="false">TOTAL_LABOR_HOURS</f>
        <v>5276.82284632822</v>
      </c>
      <c r="E64" s="14" t="n">
        <f aca="false">PERMANENT_HOURS_USED+TEMP_HOURS_USED</f>
        <v>5276.82284632822</v>
      </c>
      <c r="F64" s="14" t="n">
        <f aca="false">IF(AND(ISNUMBER(D64),ISNUMBER(E64)),E64-D64,"")</f>
        <v>0</v>
      </c>
      <c r="G64" s="0" t="n">
        <v>1E-006</v>
      </c>
      <c r="H64" s="3" t="str">
        <f aca="false">IF(ABS(F64)&lt;=G64,"PASS","FAIL")</f>
        <v>PASS</v>
      </c>
      <c r="I64" s="4"/>
    </row>
    <row r="65" customFormat="false" ht="15" hidden="false" customHeight="false" outlineLevel="0" collapsed="false">
      <c r="A65" s="0" t="s">
        <v>745</v>
      </c>
      <c r="B65" s="0" t="s">
        <v>740</v>
      </c>
      <c r="C65" s="0" t="s">
        <v>746</v>
      </c>
      <c r="D65" s="16" t="n">
        <f aca="false">SEASONAL_PROFIT</f>
        <v>42775.1553877422</v>
      </c>
      <c r="E65" s="16" t="n">
        <f aca="false">TOTAL_REVENUE-TOTAL_COSTS</f>
        <v>42775.1553877422</v>
      </c>
      <c r="F65" s="16" t="n">
        <f aca="false">IF(AND(ISNUMBER(D65),ISNUMBER(E65)),E65-D65,"")</f>
        <v>0</v>
      </c>
      <c r="G65" s="0" t="n">
        <v>1E-006</v>
      </c>
      <c r="H65" s="3" t="str">
        <f aca="false">IF(ABS(F65)&lt;=G65,"PASS","FAIL")</f>
        <v>PASS</v>
      </c>
      <c r="I65" s="4"/>
    </row>
    <row r="66" customFormat="false" ht="41.75" hidden="false" customHeight="false" outlineLevel="0" collapsed="false">
      <c r="A66" s="0" t="s">
        <v>747</v>
      </c>
      <c r="B66" s="0" t="s">
        <v>748</v>
      </c>
      <c r="C66" s="0" t="s">
        <v>749</v>
      </c>
      <c r="D66" s="0" t="s">
        <v>750</v>
      </c>
      <c r="E66" s="0" t="str">
        <f aca="false">TOMATO_PMC_Q_OWNER&amp;" beds; MC falls "&amp;TOMATO_MC_FALLS_OWNER&amp;" time(s)"</f>
        <v>10 beds; MC falls 1 time(s)</v>
      </c>
      <c r="F66" s="16"/>
      <c r="H66" s="3" t="str">
        <f aca="false">"INFO"</f>
        <v>INFO</v>
      </c>
      <c r="I66" s="4" t="s">
        <v>751</v>
      </c>
    </row>
    <row r="67" customFormat="false" ht="41.75" hidden="false" customHeight="false" outlineLevel="0" collapsed="false">
      <c r="A67" s="0" t="s">
        <v>752</v>
      </c>
      <c r="B67" s="0" t="s">
        <v>748</v>
      </c>
      <c r="C67" s="0" t="s">
        <v>753</v>
      </c>
      <c r="D67" s="0" t="s">
        <v>750</v>
      </c>
      <c r="E67" s="0" t="str">
        <f aca="false">CARROT_PMC_Q_OWNER&amp;" beds; MC falls "&amp;CARROT_MC_FALLS_OWNER&amp;" time(s)"</f>
        <v>20 beds; MC falls 2 time(s)</v>
      </c>
      <c r="F67" s="16"/>
      <c r="H67" s="3" t="str">
        <f aca="false">"INFO"</f>
        <v>INFO</v>
      </c>
      <c r="I67" s="4" t="s">
        <v>751</v>
      </c>
    </row>
    <row r="68" customFormat="false" ht="41.75" hidden="false" customHeight="false" outlineLevel="0" collapsed="false">
      <c r="A68" s="0" t="s">
        <v>754</v>
      </c>
      <c r="B68" s="0" t="s">
        <v>748</v>
      </c>
      <c r="C68" s="0" t="s">
        <v>755</v>
      </c>
      <c r="D68" s="0" t="s">
        <v>750</v>
      </c>
      <c r="E68" s="0" t="str">
        <f aca="false">MESCLUN_PMC_Q_OWNER&amp;" beds; MC falls "&amp;MESCLUN_MC_FALLS_OWNER&amp;" time(s)"</f>
        <v>30 beds; MC falls 2 time(s)</v>
      </c>
      <c r="F68" s="16"/>
      <c r="H68" s="3" t="str">
        <f aca="false">"INFO"</f>
        <v>INFO</v>
      </c>
      <c r="I68" s="4" t="s">
        <v>751</v>
      </c>
    </row>
    <row r="69" customFormat="false" ht="15" hidden="false" customHeight="false" outlineLevel="0" collapsed="false">
      <c r="A69" s="0" t="s">
        <v>756</v>
      </c>
      <c r="B69" s="0" t="s">
        <v>757</v>
      </c>
      <c r="C69" s="0" t="s">
        <v>758</v>
      </c>
      <c r="D69" s="28" t="n">
        <f aca="false">10*2.5*36*1.1^10</f>
        <v>2334.36821409</v>
      </c>
      <c r="E69" s="28" t="n">
        <f aca="false">TOMATO_LABOR_HRS</f>
        <v>2334.36821409</v>
      </c>
      <c r="F69" s="28" t="n">
        <f aca="false">IF(AND(ISNUMBER(D69),ISNUMBER(E69)),E69-D69,"")</f>
        <v>0</v>
      </c>
      <c r="G69" s="0" t="n">
        <v>0.001</v>
      </c>
      <c r="H69" s="3" t="str">
        <f aca="false">IF(ABS(F69)&lt;=G69,"PASS","FAIL")</f>
        <v>PASS</v>
      </c>
      <c r="I69" s="4" t="s">
        <v>759</v>
      </c>
    </row>
    <row r="70" customFormat="false" ht="15" hidden="false" customHeight="false" outlineLevel="0" collapsed="false">
      <c r="A70" s="0" t="s">
        <v>760</v>
      </c>
      <c r="B70" s="0" t="s">
        <v>757</v>
      </c>
      <c r="C70" s="0" t="s">
        <v>761</v>
      </c>
      <c r="D70" s="28" t="n">
        <f aca="false">20*0.833*36*1.025^20</f>
        <v>982.776596228567</v>
      </c>
      <c r="E70" s="28" t="n">
        <f aca="false">CARROT_LABOR_HRS</f>
        <v>982.776596228567</v>
      </c>
      <c r="F70" s="28" t="n">
        <f aca="false">IF(AND(ISNUMBER(D70),ISNUMBER(E70)),E70-D70,"")</f>
        <v>0</v>
      </c>
      <c r="G70" s="0" t="n">
        <v>0.001</v>
      </c>
      <c r="H70" s="3" t="str">
        <f aca="false">IF(ABS(F70)&lt;=G70,"PASS","FAIL")</f>
        <v>PASS</v>
      </c>
      <c r="I70" s="4" t="s">
        <v>762</v>
      </c>
    </row>
    <row r="71" customFormat="false" ht="15" hidden="false" customHeight="false" outlineLevel="0" collapsed="false">
      <c r="A71" s="0" t="s">
        <v>763</v>
      </c>
      <c r="B71" s="0" t="s">
        <v>757</v>
      </c>
      <c r="C71" s="0" t="s">
        <v>764</v>
      </c>
      <c r="D71" s="28" t="n">
        <f aca="false">30*1.25*36*1.0125^30</f>
        <v>1959.67803600965</v>
      </c>
      <c r="E71" s="28" t="n">
        <f aca="false">MESCLUN_LABOR_HRS</f>
        <v>1959.67803600965</v>
      </c>
      <c r="F71" s="28" t="n">
        <f aca="false">IF(AND(ISNUMBER(D71),ISNUMBER(E71)),E71-D71,"")</f>
        <v>0</v>
      </c>
      <c r="G71" s="0" t="n">
        <v>0.001</v>
      </c>
      <c r="H71" s="3" t="str">
        <f aca="false">IF(ABS(F71)&lt;=G71,"PASS","FAIL")</f>
        <v>PASS</v>
      </c>
      <c r="I71" s="4" t="s">
        <v>762</v>
      </c>
    </row>
    <row r="72" customFormat="false" ht="15" hidden="false" customHeight="false" outlineLevel="0" collapsed="false">
      <c r="A72" s="0" t="s">
        <v>765</v>
      </c>
      <c r="B72" s="0" t="s">
        <v>757</v>
      </c>
      <c r="C72" s="0" t="s">
        <v>766</v>
      </c>
      <c r="D72" s="16" t="n">
        <f aca="false">(10*8800+20*2094+30*2700)-(10*880+20*440+30*880)-(720*34.72+(10*2.5*36*1.1^10+20*0.833*36*1.025^20+30*1.25*36*1.0125^30-720)*17.36)-20000</f>
        <v>42775.1553877422</v>
      </c>
      <c r="E72" s="16" t="n">
        <f aca="false">SEASONAL_PROFIT</f>
        <v>42775.1553877422</v>
      </c>
      <c r="F72" s="16" t="n">
        <f aca="false">IF(AND(ISNUMBER(D72),ISNUMBER(E72)),E72-D72,"")</f>
        <v>0</v>
      </c>
      <c r="G72" s="0" t="n">
        <v>0.01</v>
      </c>
      <c r="H72" s="3" t="str">
        <f aca="false">IF(ABS(F72)&lt;=G72,"PASS","FAIL")</f>
        <v>PASS</v>
      </c>
      <c r="I72" s="4" t="s">
        <v>762</v>
      </c>
    </row>
  </sheetData>
  <conditionalFormatting sqref="H17:H72">
    <cfRule type="cellIs" priority="2" operator="equal" aboveAverage="0" equalAverage="0" bottom="0" percent="0" rank="0" text="" dxfId="2">
      <formula>"FAIL"</formula>
    </cfRule>
    <cfRule type="cellIs" priority="3" operator="equal" aboveAverage="0" equalAverage="0" bottom="0" percent="0" rank="0" text="" dxfId="2">
      <formula>"VIOLATED"</formula>
    </cfRule>
    <cfRule type="cellIs" priority="4" operator="equal" aboveAverage="0" equalAverage="0" bottom="0" percent="0" rank="0" text="" dxfId="1">
      <formula>"PASS"</formula>
    </cfRule>
    <cfRule type="cellIs" priority="5" operator="equal" aboveAverage="0" equalAverage="0" bottom="0" percent="0" rank="0" text="" dxfId="1">
      <formula>"OK"</formula>
    </cfRule>
    <cfRule type="cellIs" priority="6" operator="equal" aboveAverage="0" equalAverage="0" bottom="0" percent="0" rank="0" text="" dxfId="4">
      <formula>"INFO"</formula>
    </cfRule>
    <cfRule type="cellIs" priority="7" operator="equal" aboveAverage="0" equalAverage="0" bottom="0" percent="0" rank="0" text="" dxfId="3">
      <formula>"PENDING"</formula>
    </cfRule>
  </conditionalFormatting>
  <conditionalFormatting sqref="D17:I72">
    <cfRule type="expression" priority="8" aboveAverage="0" equalAverage="0" bottom="0" percent="0" rank="0" text="" dxfId="5">
      <formula>ISERROR(D17)</formula>
    </cfRule>
  </conditionalFormatting>
  <conditionalFormatting sqref="B4">
    <cfRule type="expression" priority="9" aboveAverage="0" equalAverage="0" bottom="0" percent="0" rank="0" text="" dxfId="1">
      <formula>B4="ALL CHECKS PASS"</formula>
    </cfRule>
    <cfRule type="expression" priority="10" aboveAverage="0" equalAverage="0" bottom="0" percent="0" rank="0" text="" dxfId="2">
      <formula>LEFT(B4,8)="FAILURES"</formula>
    </cfRule>
    <cfRule type="expression" priority="11" aboveAverage="0" equalAverage="0" bottom="0" percent="0" rank="0" text="" dxfId="3">
      <formula>LEFT(B4,11)="NO FAILURES"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2026-10-05T22:32:03Z</dcterms:created>
  <dc:creator>openpyxl</dc:creator>
  <dc:description/>
  <dc:language>en-US</dc:language>
  <cp:lastModifiedBy/>
  <dcterms:modified xsi:type="dcterms:W3CDTF">2026-10-13T21:43:25Z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