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 - Tomato" sheetId="1" state="visible" r:id="rId3"/>
    <sheet name="Figure 2 - Mesclun" sheetId="2" state="visible" r:id="rId4"/>
    <sheet name="Sour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<sst xmlns="http://schemas.openxmlformats.org/spreadsheetml/2006/main" count="37" uniqueCount="25">
  <si>
    <t xml:space="preserve">Figure 1: Tomato marginal cost versus price</t>
  </si>
  <si>
    <t xml:space="preserve">Reading the chart</t>
  </si>
  <si>
    <t xml:space="preserve">Price $8,800; MC $8,248.11 at bed 10 and $9,390.17 at bed 11, so the crossing sits between beds 10 and 11.</t>
  </si>
  <si>
    <t xml:space="preserve">The dip from $7,660.43 (bed 5) to $4,906.02 (bed 6) is where the 720 permanent hours run out; from bed 6 on, both MC lines coincide at $17.36/hr.</t>
  </si>
  <si>
    <t xml:space="preserve">Chart shows beds 1–15 so the crossing and the dip are readable; the full schedule (beds 1–20) is in the table.</t>
  </si>
  <si>
    <t xml:space="preserve">Tomato schedule</t>
  </si>
  <si>
    <t xml:space="preserve">Bed q</t>
  </si>
  <si>
    <t xml:space="preserve">Marginal labor hours</t>
  </si>
  <si>
    <t xml:space="preserve">Price P ($/bed)</t>
  </si>
  <si>
    <t xml:space="preserve">MC @ MC_RATE ($17.36/hr) ($)</t>
  </si>
  <si>
    <t xml:space="preserve">MC, permanent hours first ($)</t>
  </si>
  <si>
    <t xml:space="preserve">MC perm-first − P ($)</t>
  </si>
  <si>
    <t xml:space="preserve">Figure 2: Mesclun marginal cost versus price (with carrot comparison)</t>
  </si>
  <si>
    <t xml:space="preserve">At MC_RATE $34.72 the MC line crosses the $2,700 price between bed 6 ($2,667.21) and bed 7 ($2,710.59), the V3 point.</t>
  </si>
  <si>
    <t xml:space="preserve">Priced permanent-first, MC drops to $1,983.89 at bed 15 and is $2,420.00 at bed 30, still $280 under price, so the cap ends production, not marginal cost.</t>
  </si>
  <si>
    <t xml:space="preserve">Carrot comparison (table and chart below): MC $1,688.37 at bed 20, $405.63 under price (matches the Optimization sheet).</t>
  </si>
  <si>
    <t xml:space="preserve">Mesclun schedule</t>
  </si>
  <si>
    <t xml:space="preserve">MC @ MC_RATE ($34.72/hr) ($)</t>
  </si>
  <si>
    <t xml:space="preserve">Carrot schedule</t>
  </si>
  <si>
    <t xml:space="preserve">Source and conventions</t>
  </si>
  <si>
    <t xml:space="preserve">Schedules copied from capabilities/marginal-analysis/model.xlsx, sheet "Marginal Cost" (columns F, L, Q, U), beds 1 to each crop's cap.</t>
  </si>
  <si>
    <t xml:space="preserve">Blue text = values copied from model.xlsx (or the price input). Black text = formulas in this file.</t>
  </si>
  <si>
    <t xml:space="preserve">MC @ MC_RATE: single labor rate per crop (tomato $17.36/hr temporary; carrot and mesclun $34.72/hr permanent), plus fertilizer.</t>
  </si>
  <si>
    <t xml:space="preserve">MC, permanent hours first: labor priced at $34.72/hr until cumulative hours pass 720, then $17.36/hr, plus fertilizer (how SEASONAL_PROFIT is priced).</t>
  </si>
  <si>
    <t xml:space="preserve">Change the price in the first price cell of a table to move the price line and the MC − P column.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</si>
</sst>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$#,##0.00"/>
    <numFmt numFmtId="167" formatCode="\$#,##0.00;[RED]&quot;($&quot;#,##0.00\)"/>
    <numFmt numFmtId="168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Figure 1: Tomato marginal cost versus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'Figure 1 - Tomato'!C8</c:f>
              <c:strCache>
                <c:ptCount val="1"/>
                <c:pt idx="0">
                  <c:v>Price P ($/bed)</c:v>
                </c:pt>
              </c:strCache>
            </c:strRef>
          </c:tx>
          <c:spPr>
            <a:solidFill>
              <a:srgbClr val="000000"/>
            </a:solidFill>
            <a:ln w="223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1 - Tomato'!$A$9:$A$23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'Figure 1 - Tomato'!$C$9:$C$23</c:f>
              <c:numCache>
                <c:formatCode>\$#,##0.00</c:formatCode>
                <c:ptCount val="15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1 - Tomato'!E8</c:f>
              <c:strCache>
                <c:ptCount val="1"/>
                <c:pt idx="0">
                  <c:v>MC, permanent hours first ($)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1 - Tomato'!$A$9:$A$23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'Figure 1 - Tomato'!$E$9:$E$23</c:f>
              <c:numCache>
                <c:formatCode>\$#,##0.00</c:formatCode>
                <c:ptCount val="15"/>
                <c:pt idx="0">
                  <c:v>4317.28</c:v>
                </c:pt>
                <c:pt idx="1">
                  <c:v>5004.736</c:v>
                </c:pt>
                <c:pt idx="2">
                  <c:v>5795.3104</c:v>
                </c:pt>
                <c:pt idx="3">
                  <c:v>6702.7523</c:v>
                </c:pt>
                <c:pt idx="4">
                  <c:v>7660.4254</c:v>
                </c:pt>
                <c:pt idx="5">
                  <c:v>4906.0173</c:v>
                </c:pt>
                <c:pt idx="6">
                  <c:v>5585.4077</c:v>
                </c:pt>
                <c:pt idx="7">
                  <c:v>6360.4161</c:v>
                </c:pt>
                <c:pt idx="8">
                  <c:v>7243.372</c:v>
                </c:pt>
                <c:pt idx="9">
                  <c:v>8248.1149</c:v>
                </c:pt>
                <c:pt idx="10">
                  <c:v>9390.1728</c:v>
                </c:pt>
                <c:pt idx="11">
                  <c:v>10686.961</c:v>
                </c:pt>
                <c:pt idx="12">
                  <c:v>12158.0051</c:v>
                </c:pt>
                <c:pt idx="13">
                  <c:v>13825.1885</c:v>
                </c:pt>
                <c:pt idx="14">
                  <c:v>15713.0285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'Figure 1 - Tomato'!D8</c:f>
              <c:strCache>
                <c:ptCount val="1"/>
                <c:pt idx="0">
                  <c:v>MC @ MC_RATE ($17.36/hr) ($)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1 - Tomato'!$A$9:$A$23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'Figure 1 - Tomato'!$D$9:$D$23</c:f>
              <c:numCache>
                <c:formatCode>\$#,##0.00</c:formatCode>
                <c:ptCount val="15"/>
                <c:pt idx="0">
                  <c:v>2598.64</c:v>
                </c:pt>
                <c:pt idx="1">
                  <c:v>2942.368</c:v>
                </c:pt>
                <c:pt idx="2">
                  <c:v>3337.6552</c:v>
                </c:pt>
                <c:pt idx="3">
                  <c:v>3791.3762</c:v>
                </c:pt>
                <c:pt idx="4">
                  <c:v>4311.2648</c:v>
                </c:pt>
                <c:pt idx="5">
                  <c:v>4906.0173</c:v>
                </c:pt>
                <c:pt idx="6">
                  <c:v>5585.4077</c:v>
                </c:pt>
                <c:pt idx="7">
                  <c:v>6360.4161</c:v>
                </c:pt>
                <c:pt idx="8">
                  <c:v>7243.372</c:v>
                </c:pt>
                <c:pt idx="9">
                  <c:v>8248.1149</c:v>
                </c:pt>
                <c:pt idx="10">
                  <c:v>9390.1728</c:v>
                </c:pt>
                <c:pt idx="11">
                  <c:v>10686.961</c:v>
                </c:pt>
                <c:pt idx="12">
                  <c:v>12158.0051</c:v>
                </c:pt>
                <c:pt idx="13">
                  <c:v>13825.1885</c:v>
                </c:pt>
                <c:pt idx="14">
                  <c:v>15713.0285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254671"/>
        <c:axId val="78734163"/>
      </c:lineChart>
      <c:catAx>
        <c:axId val="38254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Bed number (q)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34163"/>
        <c:crosses val="autoZero"/>
        <c:auto val="1"/>
        <c:lblAlgn val="ctr"/>
        <c:lblOffset val="100"/>
        <c:noMultiLvlLbl val="0"/>
      </c:catAx>
      <c:valAx>
        <c:axId val="78734163"/>
        <c:scaling>
          <c:orientation val="minMax"/>
          <c:max val="16000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Dollars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46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Figure 2: Mesclun marginal cost versus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'Figure 2 - Mesclun'!C8</c:f>
              <c:strCache>
                <c:ptCount val="1"/>
                <c:pt idx="0">
                  <c:v>Price P ($/bed)</c:v>
                </c:pt>
              </c:strCache>
            </c:strRef>
          </c:tx>
          <c:spPr>
            <a:solidFill>
              <a:srgbClr val="000000"/>
            </a:solidFill>
            <a:ln w="223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2 - Mesclun'!$A$9:$A$38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'Figure 2 - Mesclun'!$C$9:$C$38</c:f>
              <c:numCache>
                <c:formatCode>\$#,##0.00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2 - Mesclun'!E8</c:f>
              <c:strCache>
                <c:ptCount val="1"/>
                <c:pt idx="0">
                  <c:v>MC, permanent hours first ($)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2 - Mesclun'!$A$9:$A$38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'Figure 2 - Mesclun'!$E$9:$E$38</c:f>
              <c:numCache>
                <c:formatCode>\$#,##0.00</c:formatCode>
                <c:ptCount val="30"/>
                <c:pt idx="0">
                  <c:v>2461.93</c:v>
                </c:pt>
                <c:pt idx="1">
                  <c:v>2501.4783</c:v>
                </c:pt>
                <c:pt idx="2">
                  <c:v>2541.768</c:v>
                </c:pt>
                <c:pt idx="3">
                  <c:v>2582.8117</c:v>
                </c:pt>
                <c:pt idx="4">
                  <c:v>2624.6218</c:v>
                </c:pt>
                <c:pt idx="5">
                  <c:v>2667.2111</c:v>
                </c:pt>
                <c:pt idx="6">
                  <c:v>2710.5925</c:v>
                </c:pt>
                <c:pt idx="7">
                  <c:v>2754.7793</c:v>
                </c:pt>
                <c:pt idx="8">
                  <c:v>2799.7846</c:v>
                </c:pt>
                <c:pt idx="9">
                  <c:v>2845.6222</c:v>
                </c:pt>
                <c:pt idx="10">
                  <c:v>2892.3057</c:v>
                </c:pt>
                <c:pt idx="11">
                  <c:v>2939.8492</c:v>
                </c:pt>
                <c:pt idx="12">
                  <c:v>2988.2668</c:v>
                </c:pt>
                <c:pt idx="13">
                  <c:v>2522.476</c:v>
                </c:pt>
                <c:pt idx="14">
                  <c:v>1983.8913</c:v>
                </c:pt>
                <c:pt idx="15">
                  <c:v>2009.4551</c:v>
                </c:pt>
                <c:pt idx="16">
                  <c:v>2035.4855</c:v>
                </c:pt>
                <c:pt idx="17">
                  <c:v>2061.9902</c:v>
                </c:pt>
                <c:pt idx="18">
                  <c:v>2088.9769</c:v>
                </c:pt>
                <c:pt idx="19">
                  <c:v>2116.4537</c:v>
                </c:pt>
                <c:pt idx="20">
                  <c:v>2144.4285</c:v>
                </c:pt>
                <c:pt idx="21">
                  <c:v>2172.9094</c:v>
                </c:pt>
                <c:pt idx="22">
                  <c:v>2201.9048</c:v>
                </c:pt>
                <c:pt idx="23">
                  <c:v>2231.423</c:v>
                </c:pt>
                <c:pt idx="24">
                  <c:v>2261.4727</c:v>
                </c:pt>
                <c:pt idx="25">
                  <c:v>2292.0625</c:v>
                </c:pt>
                <c:pt idx="26">
                  <c:v>2323.2011</c:v>
                </c:pt>
                <c:pt idx="27">
                  <c:v>2354.8976</c:v>
                </c:pt>
                <c:pt idx="28">
                  <c:v>2387.161</c:v>
                </c:pt>
                <c:pt idx="29">
                  <c:v>2420.0005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'Figure 2 - Mesclun'!D8</c:f>
              <c:strCache>
                <c:ptCount val="1"/>
                <c:pt idx="0">
                  <c:v>MC @ MC_RATE ($34.72/hr) ($)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2 - Mesclun'!$A$9:$A$38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'Figure 2 - Mesclun'!$D$9:$D$38</c:f>
              <c:numCache>
                <c:formatCode>\$#,##0.00</c:formatCode>
                <c:ptCount val="30"/>
                <c:pt idx="0">
                  <c:v>2461.93</c:v>
                </c:pt>
                <c:pt idx="1">
                  <c:v>2501.4783</c:v>
                </c:pt>
                <c:pt idx="2">
                  <c:v>2541.768</c:v>
                </c:pt>
                <c:pt idx="3">
                  <c:v>2582.8117</c:v>
                </c:pt>
                <c:pt idx="4">
                  <c:v>2624.6218</c:v>
                </c:pt>
                <c:pt idx="5">
                  <c:v>2667.2111</c:v>
                </c:pt>
                <c:pt idx="6">
                  <c:v>2710.5925</c:v>
                </c:pt>
                <c:pt idx="7">
                  <c:v>2754.7793</c:v>
                </c:pt>
                <c:pt idx="8">
                  <c:v>2799.7846</c:v>
                </c:pt>
                <c:pt idx="9">
                  <c:v>2845.6222</c:v>
                </c:pt>
                <c:pt idx="10">
                  <c:v>2892.3057</c:v>
                </c:pt>
                <c:pt idx="11">
                  <c:v>2939.8492</c:v>
                </c:pt>
                <c:pt idx="12">
                  <c:v>2988.2668</c:v>
                </c:pt>
                <c:pt idx="13">
                  <c:v>3037.5731</c:v>
                </c:pt>
                <c:pt idx="14">
                  <c:v>3087.7825</c:v>
                </c:pt>
                <c:pt idx="15">
                  <c:v>3138.9101</c:v>
                </c:pt>
                <c:pt idx="16">
                  <c:v>3190.971</c:v>
                </c:pt>
                <c:pt idx="17">
                  <c:v>3243.9803</c:v>
                </c:pt>
                <c:pt idx="18">
                  <c:v>3297.9539</c:v>
                </c:pt>
                <c:pt idx="19">
                  <c:v>3352.9074</c:v>
                </c:pt>
                <c:pt idx="20">
                  <c:v>3408.8569</c:v>
                </c:pt>
                <c:pt idx="21">
                  <c:v>3465.8188</c:v>
                </c:pt>
                <c:pt idx="22">
                  <c:v>3523.8096</c:v>
                </c:pt>
                <c:pt idx="23">
                  <c:v>3582.8461</c:v>
                </c:pt>
                <c:pt idx="24">
                  <c:v>3642.9454</c:v>
                </c:pt>
                <c:pt idx="25">
                  <c:v>3704.1249</c:v>
                </c:pt>
                <c:pt idx="26">
                  <c:v>3766.4022</c:v>
                </c:pt>
                <c:pt idx="27">
                  <c:v>3829.7952</c:v>
                </c:pt>
                <c:pt idx="28">
                  <c:v>3894.3219</c:v>
                </c:pt>
                <c:pt idx="29">
                  <c:v>3960.001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90826"/>
        <c:axId val="93621645"/>
      </c:lineChart>
      <c:catAx>
        <c:axId val="15908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Bed number (q)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21645"/>
        <c:crosses val="autoZero"/>
        <c:auto val="1"/>
        <c:lblAlgn val="ctr"/>
        <c:lblOffset val="100"/>
        <c:noMultiLvlLbl val="0"/>
      </c:catAx>
      <c:valAx>
        <c:axId val="9362164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Dollars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08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Figure 2 (comparison): Carrot marginal cost versus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'Figure 2 - Mesclun'!C42</c:f>
              <c:strCache>
                <c:ptCount val="1"/>
                <c:pt idx="0">
                  <c:v>Price P ($/bed)</c:v>
                </c:pt>
              </c:strCache>
            </c:strRef>
          </c:tx>
          <c:spPr>
            <a:solidFill>
              <a:srgbClr val="000000"/>
            </a:solidFill>
            <a:ln w="223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2 - Mesclun'!$A$43:$A$62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'Figure 2 - Mesclun'!$C$43:$C$62</c:f>
              <c:numCache>
                <c:formatCode>\$#,##0.00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2 - Mesclun'!E42</c:f>
              <c:strCache>
                <c:ptCount val="1"/>
                <c:pt idx="0">
                  <c:v>MC, permanent hours first ($)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2 - Mesclun'!$A$43:$A$62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'Figure 2 - Mesclun'!$E$43:$E$62</c:f>
              <c:numCache>
                <c:formatCode>\$#,##0.00</c:formatCode>
                <c:ptCount val="20"/>
                <c:pt idx="0">
                  <c:v>1507.2129</c:v>
                </c:pt>
                <c:pt idx="1">
                  <c:v>1560.5736</c:v>
                </c:pt>
                <c:pt idx="2">
                  <c:v>1615.9353</c:v>
                </c:pt>
                <c:pt idx="3">
                  <c:v>1673.3647</c:v>
                </c:pt>
                <c:pt idx="4">
                  <c:v>1732.9306</c:v>
                </c:pt>
                <c:pt idx="5">
                  <c:v>1794.7039</c:v>
                </c:pt>
                <c:pt idx="6">
                  <c:v>1858.7579</c:v>
                </c:pt>
                <c:pt idx="7">
                  <c:v>1925.1678</c:v>
                </c:pt>
                <c:pt idx="8">
                  <c:v>1994.0115</c:v>
                </c:pt>
                <c:pt idx="9">
                  <c:v>2065.3692</c:v>
                </c:pt>
                <c:pt idx="10">
                  <c:v>2139.3235</c:v>
                </c:pt>
                <c:pt idx="11">
                  <c:v>2215.9596</c:v>
                </c:pt>
                <c:pt idx="12">
                  <c:v>2295.3655</c:v>
                </c:pt>
                <c:pt idx="13">
                  <c:v>2377.6317</c:v>
                </c:pt>
                <c:pt idx="14">
                  <c:v>2462.8516</c:v>
                </c:pt>
                <c:pt idx="15">
                  <c:v>2551.1215</c:v>
                </c:pt>
                <c:pt idx="16">
                  <c:v>1675.3299</c:v>
                </c:pt>
                <c:pt idx="17">
                  <c:v>1588.6056</c:v>
                </c:pt>
                <c:pt idx="18">
                  <c:v>1637.6194</c:v>
                </c:pt>
                <c:pt idx="19">
                  <c:v>1688.366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'Figure 2 - Mesclun'!D42</c:f>
              <c:strCache>
                <c:ptCount val="1"/>
                <c:pt idx="0">
                  <c:v>MC @ MC_RATE ($34.72/hr) ($)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2 - Mesclun'!$A$43:$A$62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'Figure 2 - Mesclun'!$D$43:$D$62</c:f>
              <c:numCache>
                <c:formatCode>\$#,##0.00</c:formatCode>
                <c:ptCount val="20"/>
                <c:pt idx="0">
                  <c:v>1507.2129</c:v>
                </c:pt>
                <c:pt idx="1">
                  <c:v>1560.5736</c:v>
                </c:pt>
                <c:pt idx="2">
                  <c:v>1615.9353</c:v>
                </c:pt>
                <c:pt idx="3">
                  <c:v>1673.3647</c:v>
                </c:pt>
                <c:pt idx="4">
                  <c:v>1732.9306</c:v>
                </c:pt>
                <c:pt idx="5">
                  <c:v>1794.7039</c:v>
                </c:pt>
                <c:pt idx="6">
                  <c:v>1858.7579</c:v>
                </c:pt>
                <c:pt idx="7">
                  <c:v>1925.1678</c:v>
                </c:pt>
                <c:pt idx="8">
                  <c:v>1994.0115</c:v>
                </c:pt>
                <c:pt idx="9">
                  <c:v>2065.3692</c:v>
                </c:pt>
                <c:pt idx="10">
                  <c:v>2139.3235</c:v>
                </c:pt>
                <c:pt idx="11">
                  <c:v>2215.9596</c:v>
                </c:pt>
                <c:pt idx="12">
                  <c:v>2295.3655</c:v>
                </c:pt>
                <c:pt idx="13">
                  <c:v>2377.6317</c:v>
                </c:pt>
                <c:pt idx="14">
                  <c:v>2462.8516</c:v>
                </c:pt>
                <c:pt idx="15">
                  <c:v>2551.1215</c:v>
                </c:pt>
                <c:pt idx="16">
                  <c:v>2642.5406</c:v>
                </c:pt>
                <c:pt idx="17">
                  <c:v>2737.2112</c:v>
                </c:pt>
                <c:pt idx="18">
                  <c:v>2835.2388</c:v>
                </c:pt>
                <c:pt idx="19">
                  <c:v>2936.732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168932"/>
        <c:axId val="14729804"/>
      </c:lineChart>
      <c:catAx>
        <c:axId val="10168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Bed number (q)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29804"/>
        <c:crosses val="autoZero"/>
        <c:auto val="1"/>
        <c:lblAlgn val="ctr"/>
        <c:lblOffset val="100"/>
        <c:noMultiLvlLbl val="0"/>
      </c:catAx>
      <c:valAx>
        <c:axId val="1472980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Dollars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689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160560</xdr:rowOff>
    </xdr:from>
    <xdr:to>
      <xdr:col>19</xdr:col>
      <xdr:colOff>581400</xdr:colOff>
      <xdr:row>28</xdr:row>
      <xdr:rowOff>79560</xdr:rowOff>
    </xdr:to>
    <xdr:graphicFrame>
      <xdr:nvGraphicFramePr>
        <xdr:cNvPr id="0" name="Chart 1"/>
        <xdr:cNvGraphicFramePr/>
      </xdr:nvGraphicFramePr>
      <xdr:xfrm>
        <a:off x="6814080" y="1333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160560</xdr:rowOff>
    </xdr:from>
    <xdr:to>
      <xdr:col>19</xdr:col>
      <xdr:colOff>581400</xdr:colOff>
      <xdr:row>28</xdr:row>
      <xdr:rowOff>79560</xdr:rowOff>
    </xdr:to>
    <xdr:graphicFrame>
      <xdr:nvGraphicFramePr>
        <xdr:cNvPr id="1" name="Chart 1"/>
        <xdr:cNvGraphicFramePr/>
      </xdr:nvGraphicFramePr>
      <xdr:xfrm>
        <a:off x="6814080" y="1333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40</xdr:row>
      <xdr:rowOff>160560</xdr:rowOff>
    </xdr:from>
    <xdr:to>
      <xdr:col>19</xdr:col>
      <xdr:colOff>581400</xdr:colOff>
      <xdr:row>62</xdr:row>
      <xdr:rowOff>79920</xdr:rowOff>
    </xdr:to>
    <xdr:graphicFrame>
      <xdr:nvGraphicFramePr>
        <xdr:cNvPr id="2" name="Chart 2"/>
        <xdr:cNvGraphicFramePr/>
      </xdr:nvGraphicFramePr>
      <xdr:xfrm>
        <a:off x="6814080" y="8020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7" customFormat="false" ht="15" hidden="false" customHeight="false" outlineLevel="0" collapsed="false">
      <c r="A7" s="4" t="s">
        <v>5</v>
      </c>
    </row>
    <row r="8" customFormat="false" ht="31.5" hidden="false" customHeight="true" outlineLevel="0" collapsed="false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customFormat="false" ht="15" hidden="false" customHeight="false" outlineLevel="0" collapsed="false">
      <c r="A9" s="6" t="n">
        <v>1</v>
      </c>
      <c r="B9" s="7" t="n">
        <v>99</v>
      </c>
      <c r="C9" s="8" t="n">
        <v>8800</v>
      </c>
      <c r="D9" s="8" t="n">
        <v>2598.64</v>
      </c>
      <c r="E9" s="8" t="n">
        <v>4317.28</v>
      </c>
      <c r="F9" s="9" t="n">
        <f aca="false">E9-C9</f>
        <v>-4482.72</v>
      </c>
    </row>
    <row r="10" customFormat="false" ht="15" hidden="false" customHeight="false" outlineLevel="0" collapsed="false">
      <c r="A10" s="6" t="n">
        <v>2</v>
      </c>
      <c r="B10" s="7" t="n">
        <v>118.8</v>
      </c>
      <c r="C10" s="10" t="n">
        <f aca="false">$C$9</f>
        <v>8800</v>
      </c>
      <c r="D10" s="8" t="n">
        <v>2942.368</v>
      </c>
      <c r="E10" s="8" t="n">
        <v>5004.736</v>
      </c>
      <c r="F10" s="9" t="n">
        <f aca="false">E10-C10</f>
        <v>-3795.264</v>
      </c>
    </row>
    <row r="11" customFormat="false" ht="15" hidden="false" customHeight="false" outlineLevel="0" collapsed="false">
      <c r="A11" s="6" t="n">
        <v>3</v>
      </c>
      <c r="B11" s="7" t="n">
        <v>141.57</v>
      </c>
      <c r="C11" s="10" t="n">
        <f aca="false">$C$9</f>
        <v>8800</v>
      </c>
      <c r="D11" s="8" t="n">
        <v>3337.6552</v>
      </c>
      <c r="E11" s="8" t="n">
        <v>5795.3104</v>
      </c>
      <c r="F11" s="9" t="n">
        <f aca="false">E11-C11</f>
        <v>-3004.6896</v>
      </c>
    </row>
    <row r="12" customFormat="false" ht="15" hidden="false" customHeight="false" outlineLevel="0" collapsed="false">
      <c r="A12" s="6" t="n">
        <v>4</v>
      </c>
      <c r="B12" s="7" t="n">
        <v>167.706</v>
      </c>
      <c r="C12" s="10" t="n">
        <f aca="false">$C$9</f>
        <v>8800</v>
      </c>
      <c r="D12" s="8" t="n">
        <v>3791.3762</v>
      </c>
      <c r="E12" s="8" t="n">
        <v>6702.7523</v>
      </c>
      <c r="F12" s="9" t="n">
        <f aca="false">E12-C12</f>
        <v>-2097.2477</v>
      </c>
    </row>
    <row r="13" customFormat="false" ht="15" hidden="false" customHeight="false" outlineLevel="0" collapsed="false">
      <c r="A13" s="6" t="n">
        <v>5</v>
      </c>
      <c r="B13" s="7" t="n">
        <v>197.6535</v>
      </c>
      <c r="C13" s="10" t="n">
        <f aca="false">$C$9</f>
        <v>8800</v>
      </c>
      <c r="D13" s="8" t="n">
        <v>4311.2648</v>
      </c>
      <c r="E13" s="8" t="n">
        <v>7660.4254</v>
      </c>
      <c r="F13" s="9" t="n">
        <f aca="false">E13-C13</f>
        <v>-1139.5746</v>
      </c>
    </row>
    <row r="14" customFormat="false" ht="15" hidden="false" customHeight="false" outlineLevel="0" collapsed="false">
      <c r="A14" s="6" t="n">
        <v>6</v>
      </c>
      <c r="B14" s="7" t="n">
        <v>231.9134</v>
      </c>
      <c r="C14" s="10" t="n">
        <f aca="false">$C$9</f>
        <v>8800</v>
      </c>
      <c r="D14" s="8" t="n">
        <v>4906.0173</v>
      </c>
      <c r="E14" s="8" t="n">
        <v>4906.0173</v>
      </c>
      <c r="F14" s="9" t="n">
        <f aca="false">E14-C14</f>
        <v>-3893.9827</v>
      </c>
    </row>
    <row r="15" customFormat="false" ht="15" hidden="false" customHeight="false" outlineLevel="0" collapsed="false">
      <c r="A15" s="6" t="n">
        <v>7</v>
      </c>
      <c r="B15" s="7" t="n">
        <v>271.0488</v>
      </c>
      <c r="C15" s="10" t="n">
        <f aca="false">$C$9</f>
        <v>8800</v>
      </c>
      <c r="D15" s="8" t="n">
        <v>5585.4077</v>
      </c>
      <c r="E15" s="8" t="n">
        <v>5585.4077</v>
      </c>
      <c r="F15" s="9" t="n">
        <f aca="false">E15-C15</f>
        <v>-3214.5923</v>
      </c>
    </row>
    <row r="16" customFormat="false" ht="15" hidden="false" customHeight="false" outlineLevel="0" collapsed="false">
      <c r="A16" s="6" t="n">
        <v>8</v>
      </c>
      <c r="B16" s="7" t="n">
        <v>315.6922</v>
      </c>
      <c r="C16" s="10" t="n">
        <f aca="false">$C$9</f>
        <v>8800</v>
      </c>
      <c r="D16" s="8" t="n">
        <v>6360.4161</v>
      </c>
      <c r="E16" s="8" t="n">
        <v>6360.4161</v>
      </c>
      <c r="F16" s="9" t="n">
        <f aca="false">E16-C16</f>
        <v>-2439.5839</v>
      </c>
    </row>
    <row r="17" customFormat="false" ht="15" hidden="false" customHeight="false" outlineLevel="0" collapsed="false">
      <c r="A17" s="6" t="n">
        <v>9</v>
      </c>
      <c r="B17" s="7" t="n">
        <v>366.5537</v>
      </c>
      <c r="C17" s="10" t="n">
        <f aca="false">$C$9</f>
        <v>8800</v>
      </c>
      <c r="D17" s="8" t="n">
        <v>7243.372</v>
      </c>
      <c r="E17" s="8" t="n">
        <v>7243.372</v>
      </c>
      <c r="F17" s="9" t="n">
        <f aca="false">E17-C17</f>
        <v>-1556.628</v>
      </c>
    </row>
    <row r="18" customFormat="false" ht="15" hidden="false" customHeight="false" outlineLevel="0" collapsed="false">
      <c r="A18" s="6" t="n">
        <v>10</v>
      </c>
      <c r="B18" s="7" t="n">
        <v>424.4306</v>
      </c>
      <c r="C18" s="10" t="n">
        <f aca="false">$C$9</f>
        <v>8800</v>
      </c>
      <c r="D18" s="8" t="n">
        <v>8248.1149</v>
      </c>
      <c r="E18" s="8" t="n">
        <v>8248.1149</v>
      </c>
      <c r="F18" s="9" t="n">
        <f aca="false">E18-C18</f>
        <v>-551.8851</v>
      </c>
    </row>
    <row r="19" customFormat="false" ht="15" hidden="false" customHeight="false" outlineLevel="0" collapsed="false">
      <c r="A19" s="6" t="n">
        <v>11</v>
      </c>
      <c r="B19" s="7" t="n">
        <v>490.2173</v>
      </c>
      <c r="C19" s="10" t="n">
        <f aca="false">$C$9</f>
        <v>8800</v>
      </c>
      <c r="D19" s="8" t="n">
        <v>9390.1728</v>
      </c>
      <c r="E19" s="8" t="n">
        <v>9390.1728</v>
      </c>
      <c r="F19" s="9" t="n">
        <f aca="false">E19-C19</f>
        <v>590.1728</v>
      </c>
    </row>
    <row r="20" customFormat="false" ht="15" hidden="false" customHeight="false" outlineLevel="0" collapsed="false">
      <c r="A20" s="6" t="n">
        <v>12</v>
      </c>
      <c r="B20" s="7" t="n">
        <v>564.9171</v>
      </c>
      <c r="C20" s="10" t="n">
        <f aca="false">$C$9</f>
        <v>8800</v>
      </c>
      <c r="D20" s="8" t="n">
        <v>10686.961</v>
      </c>
      <c r="E20" s="8" t="n">
        <v>10686.961</v>
      </c>
      <c r="F20" s="9" t="n">
        <f aca="false">E20-C20</f>
        <v>1886.961</v>
      </c>
    </row>
    <row r="21" customFormat="false" ht="15" hidden="false" customHeight="false" outlineLevel="0" collapsed="false">
      <c r="A21" s="6" t="n">
        <v>13</v>
      </c>
      <c r="B21" s="7" t="n">
        <v>649.6547</v>
      </c>
      <c r="C21" s="10" t="n">
        <f aca="false">$C$9</f>
        <v>8800</v>
      </c>
      <c r="D21" s="8" t="n">
        <v>12158.0051</v>
      </c>
      <c r="E21" s="8" t="n">
        <v>12158.0051</v>
      </c>
      <c r="F21" s="9" t="n">
        <f aca="false">E21-C21</f>
        <v>3358.0051</v>
      </c>
    </row>
    <row r="22" customFormat="false" ht="15" hidden="false" customHeight="false" outlineLevel="0" collapsed="false">
      <c r="A22" s="6" t="n">
        <v>14</v>
      </c>
      <c r="B22" s="7" t="n">
        <v>745.6906</v>
      </c>
      <c r="C22" s="10" t="n">
        <f aca="false">$C$9</f>
        <v>8800</v>
      </c>
      <c r="D22" s="8" t="n">
        <v>13825.1885</v>
      </c>
      <c r="E22" s="8" t="n">
        <v>13825.1885</v>
      </c>
      <c r="F22" s="9" t="n">
        <f aca="false">E22-C22</f>
        <v>5025.1885</v>
      </c>
    </row>
    <row r="23" customFormat="false" ht="15" hidden="false" customHeight="false" outlineLevel="0" collapsed="false">
      <c r="A23" s="6" t="n">
        <v>15</v>
      </c>
      <c r="B23" s="7" t="n">
        <v>854.4371</v>
      </c>
      <c r="C23" s="10" t="n">
        <f aca="false">$C$9</f>
        <v>8800</v>
      </c>
      <c r="D23" s="8" t="n">
        <v>15713.0285</v>
      </c>
      <c r="E23" s="8" t="n">
        <v>15713.0285</v>
      </c>
      <c r="F23" s="9" t="n">
        <f aca="false">E23-C23</f>
        <v>6913.0285</v>
      </c>
    </row>
    <row r="24" customFormat="false" ht="15" hidden="false" customHeight="false" outlineLevel="0" collapsed="false">
      <c r="A24" s="6" t="n">
        <v>16</v>
      </c>
      <c r="B24" s="7" t="n">
        <v>977.4761</v>
      </c>
      <c r="C24" s="10" t="n">
        <f aca="false">$C$9</f>
        <v>8800</v>
      </c>
      <c r="D24" s="8" t="n">
        <v>17848.9846</v>
      </c>
      <c r="E24" s="8" t="n">
        <v>17848.9846</v>
      </c>
      <c r="F24" s="9" t="n">
        <f aca="false">E24-C24</f>
        <v>9048.9846</v>
      </c>
    </row>
    <row r="25" customFormat="false" ht="15" hidden="false" customHeight="false" outlineLevel="0" collapsed="false">
      <c r="A25" s="6" t="n">
        <v>17</v>
      </c>
      <c r="B25" s="7" t="n">
        <v>1116.5784</v>
      </c>
      <c r="C25" s="10" t="n">
        <f aca="false">$C$9</f>
        <v>8800</v>
      </c>
      <c r="D25" s="8" t="n">
        <v>20263.8016</v>
      </c>
      <c r="E25" s="8" t="n">
        <v>20263.8016</v>
      </c>
      <c r="F25" s="9" t="n">
        <f aca="false">E25-C25</f>
        <v>11463.8016</v>
      </c>
    </row>
    <row r="26" customFormat="false" ht="15" hidden="false" customHeight="false" outlineLevel="0" collapsed="false">
      <c r="A26" s="6" t="n">
        <v>18</v>
      </c>
      <c r="B26" s="7" t="n">
        <v>1273.7265</v>
      </c>
      <c r="C26" s="10" t="n">
        <f aca="false">$C$9</f>
        <v>8800</v>
      </c>
      <c r="D26" s="8" t="n">
        <v>22991.8922</v>
      </c>
      <c r="E26" s="8" t="n">
        <v>22991.8922</v>
      </c>
      <c r="F26" s="9" t="n">
        <f aca="false">E26-C26</f>
        <v>14191.8922</v>
      </c>
    </row>
    <row r="27" customFormat="false" ht="15" hidden="false" customHeight="false" outlineLevel="0" collapsed="false">
      <c r="A27" s="6" t="n">
        <v>19</v>
      </c>
      <c r="B27" s="7" t="n">
        <v>1451.1384</v>
      </c>
      <c r="C27" s="10" t="n">
        <f aca="false">$C$9</f>
        <v>8800</v>
      </c>
      <c r="D27" s="8" t="n">
        <v>26071.763</v>
      </c>
      <c r="E27" s="8" t="n">
        <v>26071.763</v>
      </c>
      <c r="F27" s="9" t="n">
        <f aca="false">E27-C27</f>
        <v>17271.763</v>
      </c>
    </row>
    <row r="28" customFormat="false" ht="15" hidden="false" customHeight="false" outlineLevel="0" collapsed="false">
      <c r="A28" s="6" t="n">
        <v>20</v>
      </c>
      <c r="B28" s="7" t="n">
        <v>1651.2954</v>
      </c>
      <c r="C28" s="10" t="n">
        <f aca="false">$C$9</f>
        <v>8800</v>
      </c>
      <c r="D28" s="8" t="n">
        <v>29546.4889</v>
      </c>
      <c r="E28" s="8" t="n">
        <v>29546.4889</v>
      </c>
      <c r="F28" s="9" t="n">
        <f aca="false">E28-C28</f>
        <v>20746.4889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13</v>
      </c>
    </row>
    <row r="4" customFormat="false" ht="15" hidden="false" customHeight="false" outlineLevel="0" collapsed="false">
      <c r="A4" s="3" t="s">
        <v>14</v>
      </c>
    </row>
    <row r="5" customFormat="false" ht="15" hidden="false" customHeight="false" outlineLevel="0" collapsed="false">
      <c r="A5" s="3" t="s">
        <v>15</v>
      </c>
    </row>
    <row r="7" customFormat="false" ht="15" hidden="false" customHeight="false" outlineLevel="0" collapsed="false">
      <c r="A7" s="4" t="s">
        <v>16</v>
      </c>
    </row>
    <row r="8" customFormat="false" ht="31.5" hidden="false" customHeight="true" outlineLevel="0" collapsed="false">
      <c r="A8" s="5" t="s">
        <v>6</v>
      </c>
      <c r="B8" s="5" t="s">
        <v>7</v>
      </c>
      <c r="C8" s="5" t="s">
        <v>8</v>
      </c>
      <c r="D8" s="5" t="s">
        <v>17</v>
      </c>
      <c r="E8" s="5" t="s">
        <v>10</v>
      </c>
      <c r="F8" s="5" t="s">
        <v>11</v>
      </c>
    </row>
    <row r="9" customFormat="false" ht="15" hidden="false" customHeight="false" outlineLevel="0" collapsed="false">
      <c r="A9" s="6" t="n">
        <v>1</v>
      </c>
      <c r="B9" s="7" t="n">
        <v>45.5625</v>
      </c>
      <c r="C9" s="8" t="n">
        <v>2700</v>
      </c>
      <c r="D9" s="8" t="n">
        <v>2461.93</v>
      </c>
      <c r="E9" s="8" t="n">
        <v>2461.93</v>
      </c>
      <c r="F9" s="9" t="n">
        <f aca="false">E9-C9</f>
        <v>-238.07</v>
      </c>
    </row>
    <row r="10" customFormat="false" ht="15" hidden="false" customHeight="false" outlineLevel="0" collapsed="false">
      <c r="A10" s="6" t="n">
        <v>2</v>
      </c>
      <c r="B10" s="7" t="n">
        <v>46.7016</v>
      </c>
      <c r="C10" s="10" t="n">
        <f aca="false">$C$9</f>
        <v>2700</v>
      </c>
      <c r="D10" s="8" t="n">
        <v>2501.4783</v>
      </c>
      <c r="E10" s="8" t="n">
        <v>2501.4783</v>
      </c>
      <c r="F10" s="9" t="n">
        <f aca="false">E10-C10</f>
        <v>-198.5217</v>
      </c>
    </row>
    <row r="11" customFormat="false" ht="15" hidden="false" customHeight="false" outlineLevel="0" collapsed="false">
      <c r="A11" s="6" t="n">
        <v>3</v>
      </c>
      <c r="B11" s="7" t="n">
        <v>47.862</v>
      </c>
      <c r="C11" s="10" t="n">
        <f aca="false">$C$9</f>
        <v>2700</v>
      </c>
      <c r="D11" s="8" t="n">
        <v>2541.768</v>
      </c>
      <c r="E11" s="8" t="n">
        <v>2541.768</v>
      </c>
      <c r="F11" s="9" t="n">
        <f aca="false">E11-C11</f>
        <v>-158.232</v>
      </c>
    </row>
    <row r="12" customFormat="false" ht="15" hidden="false" customHeight="false" outlineLevel="0" collapsed="false">
      <c r="A12" s="6" t="n">
        <v>4</v>
      </c>
      <c r="B12" s="7" t="n">
        <v>49.0441</v>
      </c>
      <c r="C12" s="10" t="n">
        <f aca="false">$C$9</f>
        <v>2700</v>
      </c>
      <c r="D12" s="8" t="n">
        <v>2582.8117</v>
      </c>
      <c r="E12" s="8" t="n">
        <v>2582.8117</v>
      </c>
      <c r="F12" s="9" t="n">
        <f aca="false">E12-C12</f>
        <v>-117.1883</v>
      </c>
    </row>
    <row r="13" customFormat="false" ht="15" hidden="false" customHeight="false" outlineLevel="0" collapsed="false">
      <c r="A13" s="6" t="n">
        <v>5</v>
      </c>
      <c r="B13" s="7" t="n">
        <v>50.2483</v>
      </c>
      <c r="C13" s="10" t="n">
        <f aca="false">$C$9</f>
        <v>2700</v>
      </c>
      <c r="D13" s="8" t="n">
        <v>2624.6218</v>
      </c>
      <c r="E13" s="8" t="n">
        <v>2624.6218</v>
      </c>
      <c r="F13" s="9" t="n">
        <f aca="false">E13-C13</f>
        <v>-75.3782000000001</v>
      </c>
    </row>
    <row r="14" customFormat="false" ht="15" hidden="false" customHeight="false" outlineLevel="0" collapsed="false">
      <c r="A14" s="6" t="n">
        <v>6</v>
      </c>
      <c r="B14" s="7" t="n">
        <v>51.475</v>
      </c>
      <c r="C14" s="10" t="n">
        <f aca="false">$C$9</f>
        <v>2700</v>
      </c>
      <c r="D14" s="8" t="n">
        <v>2667.2111</v>
      </c>
      <c r="E14" s="8" t="n">
        <v>2667.2111</v>
      </c>
      <c r="F14" s="9" t="n">
        <f aca="false">E14-C14</f>
        <v>-32.7889</v>
      </c>
    </row>
    <row r="15" customFormat="false" ht="15" hidden="false" customHeight="false" outlineLevel="0" collapsed="false">
      <c r="A15" s="6" t="n">
        <v>7</v>
      </c>
      <c r="B15" s="7" t="n">
        <v>52.7244</v>
      </c>
      <c r="C15" s="10" t="n">
        <f aca="false">$C$9</f>
        <v>2700</v>
      </c>
      <c r="D15" s="8" t="n">
        <v>2710.5925</v>
      </c>
      <c r="E15" s="8" t="n">
        <v>2710.5925</v>
      </c>
      <c r="F15" s="9" t="n">
        <f aca="false">E15-C15</f>
        <v>10.5925000000002</v>
      </c>
    </row>
    <row r="16" customFormat="false" ht="15" hidden="false" customHeight="false" outlineLevel="0" collapsed="false">
      <c r="A16" s="6" t="n">
        <v>8</v>
      </c>
      <c r="B16" s="7" t="n">
        <v>53.9971</v>
      </c>
      <c r="C16" s="10" t="n">
        <f aca="false">$C$9</f>
        <v>2700</v>
      </c>
      <c r="D16" s="8" t="n">
        <v>2754.7793</v>
      </c>
      <c r="E16" s="8" t="n">
        <v>2754.7793</v>
      </c>
      <c r="F16" s="9" t="n">
        <f aca="false">E16-C16</f>
        <v>54.7793000000002</v>
      </c>
    </row>
    <row r="17" customFormat="false" ht="15" hidden="false" customHeight="false" outlineLevel="0" collapsed="false">
      <c r="A17" s="6" t="n">
        <v>9</v>
      </c>
      <c r="B17" s="7" t="n">
        <v>55.2933</v>
      </c>
      <c r="C17" s="10" t="n">
        <f aca="false">$C$9</f>
        <v>2700</v>
      </c>
      <c r="D17" s="8" t="n">
        <v>2799.7846</v>
      </c>
      <c r="E17" s="8" t="n">
        <v>2799.7846</v>
      </c>
      <c r="F17" s="9" t="n">
        <f aca="false">E17-C17</f>
        <v>99.7846</v>
      </c>
    </row>
    <row r="18" customFormat="false" ht="15" hidden="false" customHeight="false" outlineLevel="0" collapsed="false">
      <c r="A18" s="6" t="n">
        <v>10</v>
      </c>
      <c r="B18" s="7" t="n">
        <v>56.6135</v>
      </c>
      <c r="C18" s="10" t="n">
        <f aca="false">$C$9</f>
        <v>2700</v>
      </c>
      <c r="D18" s="8" t="n">
        <v>2845.6222</v>
      </c>
      <c r="E18" s="8" t="n">
        <v>2845.6222</v>
      </c>
      <c r="F18" s="9" t="n">
        <f aca="false">E18-C18</f>
        <v>145.6222</v>
      </c>
    </row>
    <row r="19" customFormat="false" ht="15" hidden="false" customHeight="false" outlineLevel="0" collapsed="false">
      <c r="A19" s="6" t="n">
        <v>11</v>
      </c>
      <c r="B19" s="7" t="n">
        <v>57.9581</v>
      </c>
      <c r="C19" s="10" t="n">
        <f aca="false">$C$9</f>
        <v>2700</v>
      </c>
      <c r="D19" s="8" t="n">
        <v>2892.3057</v>
      </c>
      <c r="E19" s="8" t="n">
        <v>2892.3057</v>
      </c>
      <c r="F19" s="9" t="n">
        <f aca="false">E19-C19</f>
        <v>192.3057</v>
      </c>
    </row>
    <row r="20" customFormat="false" ht="15" hidden="false" customHeight="false" outlineLevel="0" collapsed="false">
      <c r="A20" s="6" t="n">
        <v>12</v>
      </c>
      <c r="B20" s="7" t="n">
        <v>59.3275</v>
      </c>
      <c r="C20" s="10" t="n">
        <f aca="false">$C$9</f>
        <v>2700</v>
      </c>
      <c r="D20" s="8" t="n">
        <v>2939.8492</v>
      </c>
      <c r="E20" s="8" t="n">
        <v>2939.8492</v>
      </c>
      <c r="F20" s="9" t="n">
        <f aca="false">E20-C20</f>
        <v>239.8492</v>
      </c>
    </row>
    <row r="21" customFormat="false" ht="15" hidden="false" customHeight="false" outlineLevel="0" collapsed="false">
      <c r="A21" s="6" t="n">
        <v>13</v>
      </c>
      <c r="B21" s="7" t="n">
        <v>60.722</v>
      </c>
      <c r="C21" s="10" t="n">
        <f aca="false">$C$9</f>
        <v>2700</v>
      </c>
      <c r="D21" s="8" t="n">
        <v>2988.2668</v>
      </c>
      <c r="E21" s="8" t="n">
        <v>2988.2668</v>
      </c>
      <c r="F21" s="9" t="n">
        <f aca="false">E21-C21</f>
        <v>288.2668</v>
      </c>
    </row>
    <row r="22" customFormat="false" ht="15" hidden="false" customHeight="false" outlineLevel="0" collapsed="false">
      <c r="A22" s="6" t="n">
        <v>14</v>
      </c>
      <c r="B22" s="7" t="n">
        <v>62.1421</v>
      </c>
      <c r="C22" s="10" t="n">
        <f aca="false">$C$9</f>
        <v>2700</v>
      </c>
      <c r="D22" s="8" t="n">
        <v>3037.5731</v>
      </c>
      <c r="E22" s="8" t="n">
        <v>2522.476</v>
      </c>
      <c r="F22" s="9" t="n">
        <f aca="false">E22-C22</f>
        <v>-177.524</v>
      </c>
    </row>
    <row r="23" customFormat="false" ht="15" hidden="false" customHeight="false" outlineLevel="0" collapsed="false">
      <c r="A23" s="6" t="n">
        <v>15</v>
      </c>
      <c r="B23" s="7" t="n">
        <v>63.5882</v>
      </c>
      <c r="C23" s="10" t="n">
        <f aca="false">$C$9</f>
        <v>2700</v>
      </c>
      <c r="D23" s="8" t="n">
        <v>3087.7825</v>
      </c>
      <c r="E23" s="8" t="n">
        <v>1983.8913</v>
      </c>
      <c r="F23" s="9" t="n">
        <f aca="false">E23-C23</f>
        <v>-716.1087</v>
      </c>
    </row>
    <row r="24" customFormat="false" ht="15" hidden="false" customHeight="false" outlineLevel="0" collapsed="false">
      <c r="A24" s="6" t="n">
        <v>16</v>
      </c>
      <c r="B24" s="7" t="n">
        <v>65.0608</v>
      </c>
      <c r="C24" s="10" t="n">
        <f aca="false">$C$9</f>
        <v>2700</v>
      </c>
      <c r="D24" s="8" t="n">
        <v>3138.9101</v>
      </c>
      <c r="E24" s="8" t="n">
        <v>2009.4551</v>
      </c>
      <c r="F24" s="9" t="n">
        <f aca="false">E24-C24</f>
        <v>-690.5449</v>
      </c>
    </row>
    <row r="25" customFormat="false" ht="15" hidden="false" customHeight="false" outlineLevel="0" collapsed="false">
      <c r="A25" s="6" t="n">
        <v>17</v>
      </c>
      <c r="B25" s="7" t="n">
        <v>66.5602</v>
      </c>
      <c r="C25" s="10" t="n">
        <f aca="false">$C$9</f>
        <v>2700</v>
      </c>
      <c r="D25" s="8" t="n">
        <v>3190.971</v>
      </c>
      <c r="E25" s="8" t="n">
        <v>2035.4855</v>
      </c>
      <c r="F25" s="9" t="n">
        <f aca="false">E25-C25</f>
        <v>-664.5145</v>
      </c>
    </row>
    <row r="26" customFormat="false" ht="15" hidden="false" customHeight="false" outlineLevel="0" collapsed="false">
      <c r="A26" s="6" t="n">
        <v>18</v>
      </c>
      <c r="B26" s="7" t="n">
        <v>68.087</v>
      </c>
      <c r="C26" s="10" t="n">
        <f aca="false">$C$9</f>
        <v>2700</v>
      </c>
      <c r="D26" s="8" t="n">
        <v>3243.9803</v>
      </c>
      <c r="E26" s="8" t="n">
        <v>2061.9902</v>
      </c>
      <c r="F26" s="9" t="n">
        <f aca="false">E26-C26</f>
        <v>-638.0098</v>
      </c>
    </row>
    <row r="27" customFormat="false" ht="15" hidden="false" customHeight="false" outlineLevel="0" collapsed="false">
      <c r="A27" s="6" t="n">
        <v>19</v>
      </c>
      <c r="B27" s="7" t="n">
        <v>69.6415</v>
      </c>
      <c r="C27" s="10" t="n">
        <f aca="false">$C$9</f>
        <v>2700</v>
      </c>
      <c r="D27" s="8" t="n">
        <v>3297.9539</v>
      </c>
      <c r="E27" s="8" t="n">
        <v>2088.9769</v>
      </c>
      <c r="F27" s="9" t="n">
        <f aca="false">E27-C27</f>
        <v>-611.0231</v>
      </c>
    </row>
    <row r="28" customFormat="false" ht="15" hidden="false" customHeight="false" outlineLevel="0" collapsed="false">
      <c r="A28" s="6" t="n">
        <v>20</v>
      </c>
      <c r="B28" s="7" t="n">
        <v>71.2243</v>
      </c>
      <c r="C28" s="10" t="n">
        <f aca="false">$C$9</f>
        <v>2700</v>
      </c>
      <c r="D28" s="8" t="n">
        <v>3352.9074</v>
      </c>
      <c r="E28" s="8" t="n">
        <v>2116.4537</v>
      </c>
      <c r="F28" s="9" t="n">
        <f aca="false">E28-C28</f>
        <v>-583.5463</v>
      </c>
    </row>
    <row r="29" customFormat="false" ht="15" hidden="false" customHeight="false" outlineLevel="0" collapsed="false">
      <c r="A29" s="6" t="n">
        <v>21</v>
      </c>
      <c r="B29" s="7" t="n">
        <v>72.8357</v>
      </c>
      <c r="C29" s="10" t="n">
        <f aca="false">$C$9</f>
        <v>2700</v>
      </c>
      <c r="D29" s="8" t="n">
        <v>3408.8569</v>
      </c>
      <c r="E29" s="8" t="n">
        <v>2144.4285</v>
      </c>
      <c r="F29" s="9" t="n">
        <f aca="false">E29-C29</f>
        <v>-555.5715</v>
      </c>
    </row>
    <row r="30" customFormat="false" ht="15" hidden="false" customHeight="false" outlineLevel="0" collapsed="false">
      <c r="A30" s="6" t="n">
        <v>22</v>
      </c>
      <c r="B30" s="7" t="n">
        <v>74.4763</v>
      </c>
      <c r="C30" s="10" t="n">
        <f aca="false">$C$9</f>
        <v>2700</v>
      </c>
      <c r="D30" s="8" t="n">
        <v>3465.8188</v>
      </c>
      <c r="E30" s="8" t="n">
        <v>2172.9094</v>
      </c>
      <c r="F30" s="9" t="n">
        <f aca="false">E30-C30</f>
        <v>-527.0906</v>
      </c>
    </row>
    <row r="31" customFormat="false" ht="15" hidden="false" customHeight="false" outlineLevel="0" collapsed="false">
      <c r="A31" s="6" t="n">
        <v>23</v>
      </c>
      <c r="B31" s="7" t="n">
        <v>76.1466</v>
      </c>
      <c r="C31" s="10" t="n">
        <f aca="false">$C$9</f>
        <v>2700</v>
      </c>
      <c r="D31" s="8" t="n">
        <v>3523.8096</v>
      </c>
      <c r="E31" s="8" t="n">
        <v>2201.9048</v>
      </c>
      <c r="F31" s="9" t="n">
        <f aca="false">E31-C31</f>
        <v>-498.0952</v>
      </c>
    </row>
    <row r="32" customFormat="false" ht="15" hidden="false" customHeight="false" outlineLevel="0" collapsed="false">
      <c r="A32" s="6" t="n">
        <v>24</v>
      </c>
      <c r="B32" s="7" t="n">
        <v>77.8469</v>
      </c>
      <c r="C32" s="10" t="n">
        <f aca="false">$C$9</f>
        <v>2700</v>
      </c>
      <c r="D32" s="8" t="n">
        <v>3582.8461</v>
      </c>
      <c r="E32" s="8" t="n">
        <v>2231.423</v>
      </c>
      <c r="F32" s="9" t="n">
        <f aca="false">E32-C32</f>
        <v>-468.577</v>
      </c>
    </row>
    <row r="33" customFormat="false" ht="15" hidden="false" customHeight="false" outlineLevel="0" collapsed="false">
      <c r="A33" s="6" t="n">
        <v>25</v>
      </c>
      <c r="B33" s="7" t="n">
        <v>79.5779</v>
      </c>
      <c r="C33" s="10" t="n">
        <f aca="false">$C$9</f>
        <v>2700</v>
      </c>
      <c r="D33" s="8" t="n">
        <v>3642.9454</v>
      </c>
      <c r="E33" s="8" t="n">
        <v>2261.4727</v>
      </c>
      <c r="F33" s="9" t="n">
        <f aca="false">E33-C33</f>
        <v>-438.5273</v>
      </c>
    </row>
    <row r="34" customFormat="false" ht="15" hidden="false" customHeight="false" outlineLevel="0" collapsed="false">
      <c r="A34" s="6" t="n">
        <v>26</v>
      </c>
      <c r="B34" s="7" t="n">
        <v>81.34</v>
      </c>
      <c r="C34" s="10" t="n">
        <f aca="false">$C$9</f>
        <v>2700</v>
      </c>
      <c r="D34" s="8" t="n">
        <v>3704.1249</v>
      </c>
      <c r="E34" s="8" t="n">
        <v>2292.0625</v>
      </c>
      <c r="F34" s="9" t="n">
        <f aca="false">E34-C34</f>
        <v>-407.9375</v>
      </c>
    </row>
    <row r="35" customFormat="false" ht="15" hidden="false" customHeight="false" outlineLevel="0" collapsed="false">
      <c r="A35" s="6" t="n">
        <v>27</v>
      </c>
      <c r="B35" s="7" t="n">
        <v>83.1337</v>
      </c>
      <c r="C35" s="10" t="n">
        <f aca="false">$C$9</f>
        <v>2700</v>
      </c>
      <c r="D35" s="8" t="n">
        <v>3766.4022</v>
      </c>
      <c r="E35" s="8" t="n">
        <v>2323.2011</v>
      </c>
      <c r="F35" s="9" t="n">
        <f aca="false">E35-C35</f>
        <v>-376.7989</v>
      </c>
    </row>
    <row r="36" customFormat="false" ht="15" hidden="false" customHeight="false" outlineLevel="0" collapsed="false">
      <c r="A36" s="6" t="n">
        <v>28</v>
      </c>
      <c r="B36" s="7" t="n">
        <v>84.9595</v>
      </c>
      <c r="C36" s="10" t="n">
        <f aca="false">$C$9</f>
        <v>2700</v>
      </c>
      <c r="D36" s="8" t="n">
        <v>3829.7952</v>
      </c>
      <c r="E36" s="8" t="n">
        <v>2354.8976</v>
      </c>
      <c r="F36" s="9" t="n">
        <f aca="false">E36-C36</f>
        <v>-345.1024</v>
      </c>
    </row>
    <row r="37" customFormat="false" ht="15" hidden="false" customHeight="false" outlineLevel="0" collapsed="false">
      <c r="A37" s="6" t="n">
        <v>29</v>
      </c>
      <c r="B37" s="7" t="n">
        <v>86.818</v>
      </c>
      <c r="C37" s="10" t="n">
        <f aca="false">$C$9</f>
        <v>2700</v>
      </c>
      <c r="D37" s="8" t="n">
        <v>3894.3219</v>
      </c>
      <c r="E37" s="8" t="n">
        <v>2387.161</v>
      </c>
      <c r="F37" s="9" t="n">
        <f aca="false">E37-C37</f>
        <v>-312.839</v>
      </c>
    </row>
    <row r="38" customFormat="false" ht="15" hidden="false" customHeight="false" outlineLevel="0" collapsed="false">
      <c r="A38" s="6" t="n">
        <v>30</v>
      </c>
      <c r="B38" s="7" t="n">
        <v>88.7097</v>
      </c>
      <c r="C38" s="10" t="n">
        <f aca="false">$C$9</f>
        <v>2700</v>
      </c>
      <c r="D38" s="8" t="n">
        <v>3960.001</v>
      </c>
      <c r="E38" s="8" t="n">
        <v>2420.0005</v>
      </c>
      <c r="F38" s="9" t="n">
        <f aca="false">E38-C38</f>
        <v>-279.9995</v>
      </c>
    </row>
    <row r="41" customFormat="false" ht="15" hidden="false" customHeight="false" outlineLevel="0" collapsed="false">
      <c r="A41" s="4" t="s">
        <v>18</v>
      </c>
    </row>
    <row r="42" customFormat="false" ht="31.5" hidden="false" customHeight="true" outlineLevel="0" collapsed="false">
      <c r="A42" s="5" t="s">
        <v>6</v>
      </c>
      <c r="B42" s="5" t="s">
        <v>7</v>
      </c>
      <c r="C42" s="5" t="s">
        <v>8</v>
      </c>
      <c r="D42" s="5" t="s">
        <v>17</v>
      </c>
      <c r="E42" s="5" t="s">
        <v>10</v>
      </c>
      <c r="F42" s="5" t="s">
        <v>11</v>
      </c>
    </row>
    <row r="43" customFormat="false" ht="15" hidden="false" customHeight="false" outlineLevel="0" collapsed="false">
      <c r="A43" s="6" t="n">
        <v>1</v>
      </c>
      <c r="B43" s="7" t="n">
        <v>30.7377</v>
      </c>
      <c r="C43" s="8" t="n">
        <v>2094</v>
      </c>
      <c r="D43" s="8" t="n">
        <v>1507.2129</v>
      </c>
      <c r="E43" s="8" t="n">
        <v>1507.2129</v>
      </c>
      <c r="F43" s="9" t="n">
        <f aca="false">E43-C43</f>
        <v>-586.7871</v>
      </c>
    </row>
    <row r="44" customFormat="false" ht="15" hidden="false" customHeight="false" outlineLevel="0" collapsed="false">
      <c r="A44" s="6" t="n">
        <v>2</v>
      </c>
      <c r="B44" s="7" t="n">
        <v>32.2746</v>
      </c>
      <c r="C44" s="10" t="n">
        <f aca="false">$C$43</f>
        <v>2094</v>
      </c>
      <c r="D44" s="8" t="n">
        <v>1560.5736</v>
      </c>
      <c r="E44" s="8" t="n">
        <v>1560.5736</v>
      </c>
      <c r="F44" s="9" t="n">
        <f aca="false">E44-C44</f>
        <v>-533.4264</v>
      </c>
    </row>
    <row r="45" customFormat="false" ht="15" hidden="false" customHeight="false" outlineLevel="0" collapsed="false">
      <c r="A45" s="6" t="n">
        <v>3</v>
      </c>
      <c r="B45" s="7" t="n">
        <v>33.8691</v>
      </c>
      <c r="C45" s="10" t="n">
        <f aca="false">$C$43</f>
        <v>2094</v>
      </c>
      <c r="D45" s="8" t="n">
        <v>1615.9353</v>
      </c>
      <c r="E45" s="8" t="n">
        <v>1615.9353</v>
      </c>
      <c r="F45" s="9" t="n">
        <f aca="false">E45-C45</f>
        <v>-478.0647</v>
      </c>
    </row>
    <row r="46" customFormat="false" ht="15" hidden="false" customHeight="false" outlineLevel="0" collapsed="false">
      <c r="A46" s="6" t="n">
        <v>4</v>
      </c>
      <c r="B46" s="7" t="n">
        <v>35.5232</v>
      </c>
      <c r="C46" s="10" t="n">
        <f aca="false">$C$43</f>
        <v>2094</v>
      </c>
      <c r="D46" s="8" t="n">
        <v>1673.3647</v>
      </c>
      <c r="E46" s="8" t="n">
        <v>1673.3647</v>
      </c>
      <c r="F46" s="9" t="n">
        <f aca="false">E46-C46</f>
        <v>-420.6353</v>
      </c>
    </row>
    <row r="47" customFormat="false" ht="15" hidden="false" customHeight="false" outlineLevel="0" collapsed="false">
      <c r="A47" s="6" t="n">
        <v>5</v>
      </c>
      <c r="B47" s="7" t="n">
        <v>37.2388</v>
      </c>
      <c r="C47" s="10" t="n">
        <f aca="false">$C$43</f>
        <v>2094</v>
      </c>
      <c r="D47" s="8" t="n">
        <v>1732.9306</v>
      </c>
      <c r="E47" s="8" t="n">
        <v>1732.9306</v>
      </c>
      <c r="F47" s="9" t="n">
        <f aca="false">E47-C47</f>
        <v>-361.0694</v>
      </c>
    </row>
    <row r="48" customFormat="false" ht="15" hidden="false" customHeight="false" outlineLevel="0" collapsed="false">
      <c r="A48" s="6" t="n">
        <v>6</v>
      </c>
      <c r="B48" s="7" t="n">
        <v>39.018</v>
      </c>
      <c r="C48" s="10" t="n">
        <f aca="false">$C$43</f>
        <v>2094</v>
      </c>
      <c r="D48" s="8" t="n">
        <v>1794.7039</v>
      </c>
      <c r="E48" s="8" t="n">
        <v>1794.7039</v>
      </c>
      <c r="F48" s="9" t="n">
        <f aca="false">E48-C48</f>
        <v>-299.2961</v>
      </c>
    </row>
    <row r="49" customFormat="false" ht="15" hidden="false" customHeight="false" outlineLevel="0" collapsed="false">
      <c r="A49" s="6" t="n">
        <v>7</v>
      </c>
      <c r="B49" s="7" t="n">
        <v>40.8628</v>
      </c>
      <c r="C49" s="10" t="n">
        <f aca="false">$C$43</f>
        <v>2094</v>
      </c>
      <c r="D49" s="8" t="n">
        <v>1858.7579</v>
      </c>
      <c r="E49" s="8" t="n">
        <v>1858.7579</v>
      </c>
      <c r="F49" s="9" t="n">
        <f aca="false">E49-C49</f>
        <v>-235.2421</v>
      </c>
    </row>
    <row r="50" customFormat="false" ht="15" hidden="false" customHeight="false" outlineLevel="0" collapsed="false">
      <c r="A50" s="6" t="n">
        <v>8</v>
      </c>
      <c r="B50" s="7" t="n">
        <v>42.7756</v>
      </c>
      <c r="C50" s="10" t="n">
        <f aca="false">$C$43</f>
        <v>2094</v>
      </c>
      <c r="D50" s="8" t="n">
        <v>1925.1678</v>
      </c>
      <c r="E50" s="8" t="n">
        <v>1925.1678</v>
      </c>
      <c r="F50" s="9" t="n">
        <f aca="false">E50-C50</f>
        <v>-168.8322</v>
      </c>
    </row>
    <row r="51" customFormat="false" ht="15" hidden="false" customHeight="false" outlineLevel="0" collapsed="false">
      <c r="A51" s="6" t="n">
        <v>9</v>
      </c>
      <c r="B51" s="7" t="n">
        <v>44.7584</v>
      </c>
      <c r="C51" s="10" t="n">
        <f aca="false">$C$43</f>
        <v>2094</v>
      </c>
      <c r="D51" s="8" t="n">
        <v>1994.0115</v>
      </c>
      <c r="E51" s="8" t="n">
        <v>1994.0115</v>
      </c>
      <c r="F51" s="9" t="n">
        <f aca="false">E51-C51</f>
        <v>-99.9884999999999</v>
      </c>
    </row>
    <row r="52" customFormat="false" ht="15" hidden="false" customHeight="false" outlineLevel="0" collapsed="false">
      <c r="A52" s="6" t="n">
        <v>10</v>
      </c>
      <c r="B52" s="7" t="n">
        <v>46.8136</v>
      </c>
      <c r="C52" s="10" t="n">
        <f aca="false">$C$43</f>
        <v>2094</v>
      </c>
      <c r="D52" s="8" t="n">
        <v>2065.3692</v>
      </c>
      <c r="E52" s="8" t="n">
        <v>2065.3692</v>
      </c>
      <c r="F52" s="9" t="n">
        <f aca="false">E52-C52</f>
        <v>-28.6307999999999</v>
      </c>
    </row>
    <row r="53" customFormat="false" ht="15" hidden="false" customHeight="false" outlineLevel="0" collapsed="false">
      <c r="A53" s="6" t="n">
        <v>11</v>
      </c>
      <c r="B53" s="7" t="n">
        <v>48.9436</v>
      </c>
      <c r="C53" s="10" t="n">
        <f aca="false">$C$43</f>
        <v>2094</v>
      </c>
      <c r="D53" s="8" t="n">
        <v>2139.3235</v>
      </c>
      <c r="E53" s="8" t="n">
        <v>2139.3235</v>
      </c>
      <c r="F53" s="9" t="n">
        <f aca="false">E53-C53</f>
        <v>45.3235</v>
      </c>
    </row>
    <row r="54" customFormat="false" ht="15" hidden="false" customHeight="false" outlineLevel="0" collapsed="false">
      <c r="A54" s="6" t="n">
        <v>12</v>
      </c>
      <c r="B54" s="7" t="n">
        <v>51.1509</v>
      </c>
      <c r="C54" s="10" t="n">
        <f aca="false">$C$43</f>
        <v>2094</v>
      </c>
      <c r="D54" s="8" t="n">
        <v>2215.9596</v>
      </c>
      <c r="E54" s="8" t="n">
        <v>2215.9596</v>
      </c>
      <c r="F54" s="9" t="n">
        <f aca="false">E54-C54</f>
        <v>121.9596</v>
      </c>
    </row>
    <row r="55" customFormat="false" ht="15" hidden="false" customHeight="false" outlineLevel="0" collapsed="false">
      <c r="A55" s="6" t="n">
        <v>13</v>
      </c>
      <c r="B55" s="7" t="n">
        <v>53.4379</v>
      </c>
      <c r="C55" s="10" t="n">
        <f aca="false">$C$43</f>
        <v>2094</v>
      </c>
      <c r="D55" s="8" t="n">
        <v>2295.3655</v>
      </c>
      <c r="E55" s="8" t="n">
        <v>2295.3655</v>
      </c>
      <c r="F55" s="9" t="n">
        <f aca="false">E55-C55</f>
        <v>201.3655</v>
      </c>
    </row>
    <row r="56" customFormat="false" ht="15" hidden="false" customHeight="false" outlineLevel="0" collapsed="false">
      <c r="A56" s="6" t="n">
        <v>14</v>
      </c>
      <c r="B56" s="7" t="n">
        <v>55.8074</v>
      </c>
      <c r="C56" s="10" t="n">
        <f aca="false">$C$43</f>
        <v>2094</v>
      </c>
      <c r="D56" s="8" t="n">
        <v>2377.6317</v>
      </c>
      <c r="E56" s="8" t="n">
        <v>2377.6317</v>
      </c>
      <c r="F56" s="9" t="n">
        <f aca="false">E56-C56</f>
        <v>283.6317</v>
      </c>
    </row>
    <row r="57" customFormat="false" ht="15" hidden="false" customHeight="false" outlineLevel="0" collapsed="false">
      <c r="A57" s="6" t="n">
        <v>15</v>
      </c>
      <c r="B57" s="7" t="n">
        <v>58.2619</v>
      </c>
      <c r="C57" s="10" t="n">
        <f aca="false">$C$43</f>
        <v>2094</v>
      </c>
      <c r="D57" s="8" t="n">
        <v>2462.8516</v>
      </c>
      <c r="E57" s="8" t="n">
        <v>2462.8516</v>
      </c>
      <c r="F57" s="9" t="n">
        <f aca="false">E57-C57</f>
        <v>368.8516</v>
      </c>
    </row>
    <row r="58" customFormat="false" ht="15" hidden="false" customHeight="false" outlineLevel="0" collapsed="false">
      <c r="A58" s="6" t="n">
        <v>16</v>
      </c>
      <c r="B58" s="7" t="n">
        <v>60.8042</v>
      </c>
      <c r="C58" s="10" t="n">
        <f aca="false">$C$43</f>
        <v>2094</v>
      </c>
      <c r="D58" s="8" t="n">
        <v>2551.1215</v>
      </c>
      <c r="E58" s="8" t="n">
        <v>2551.1215</v>
      </c>
      <c r="F58" s="9" t="n">
        <f aca="false">E58-C58</f>
        <v>457.1215</v>
      </c>
    </row>
    <row r="59" customFormat="false" ht="15" hidden="false" customHeight="false" outlineLevel="0" collapsed="false">
      <c r="A59" s="6" t="n">
        <v>17</v>
      </c>
      <c r="B59" s="7" t="n">
        <v>63.4372</v>
      </c>
      <c r="C59" s="10" t="n">
        <f aca="false">$C$43</f>
        <v>2094</v>
      </c>
      <c r="D59" s="8" t="n">
        <v>2642.5406</v>
      </c>
      <c r="E59" s="8" t="n">
        <v>1675.3299</v>
      </c>
      <c r="F59" s="9" t="n">
        <f aca="false">E59-C59</f>
        <v>-418.6701</v>
      </c>
    </row>
    <row r="60" customFormat="false" ht="15" hidden="false" customHeight="false" outlineLevel="0" collapsed="false">
      <c r="A60" s="6" t="n">
        <v>18</v>
      </c>
      <c r="B60" s="7" t="n">
        <v>66.1639</v>
      </c>
      <c r="C60" s="10" t="n">
        <f aca="false">$C$43</f>
        <v>2094</v>
      </c>
      <c r="D60" s="8" t="n">
        <v>2737.2112</v>
      </c>
      <c r="E60" s="8" t="n">
        <v>1588.6056</v>
      </c>
      <c r="F60" s="9" t="n">
        <f aca="false">E60-C60</f>
        <v>-505.3944</v>
      </c>
    </row>
    <row r="61" customFormat="false" ht="15" hidden="false" customHeight="false" outlineLevel="0" collapsed="false">
      <c r="A61" s="6" t="n">
        <v>19</v>
      </c>
      <c r="B61" s="7" t="n">
        <v>68.9873</v>
      </c>
      <c r="C61" s="10" t="n">
        <f aca="false">$C$43</f>
        <v>2094</v>
      </c>
      <c r="D61" s="8" t="n">
        <v>2835.2388</v>
      </c>
      <c r="E61" s="8" t="n">
        <v>1637.6194</v>
      </c>
      <c r="F61" s="9" t="n">
        <f aca="false">E61-C61</f>
        <v>-456.3806</v>
      </c>
    </row>
    <row r="62" customFormat="false" ht="15" hidden="false" customHeight="false" outlineLevel="0" collapsed="false">
      <c r="A62" s="6" t="n">
        <v>20</v>
      </c>
      <c r="B62" s="7" t="n">
        <v>71.9105</v>
      </c>
      <c r="C62" s="10" t="n">
        <f aca="false">$C$43</f>
        <v>2094</v>
      </c>
      <c r="D62" s="8" t="n">
        <v>2936.732</v>
      </c>
      <c r="E62" s="8" t="n">
        <v>1688.366</v>
      </c>
      <c r="F62" s="9" t="n">
        <f aca="false">E62-C62</f>
        <v>-405.634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4" t="s">
        <v>19</v>
      </c>
    </row>
    <row r="2" customFormat="false" ht="15" hidden="false" customHeight="false" outlineLevel="0" collapsed="false">
      <c r="A2" s="11" t="s">
        <v>20</v>
      </c>
    </row>
    <row r="3" customFormat="false" ht="15" hidden="false" customHeight="false" outlineLevel="0" collapsed="false">
      <c r="A3" s="11" t="s">
        <v>21</v>
      </c>
    </row>
    <row r="4" customFormat="false" ht="15" hidden="false" customHeight="false" outlineLevel="0" collapsed="false">
      <c r="A4" s="11" t="s">
        <v>22</v>
      </c>
    </row>
    <row r="5" customFormat="false" ht="15" hidden="false" customHeight="false" outlineLevel="0" collapsed="false">
      <c r="A5" s="11" t="s">
        <v>23</v>
      </c>
    </row>
    <row r="6" customFormat="false" ht="15" hidden="false" customHeight="false" outlineLevel="0" collapsed="false">
      <c r="A6" s="1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2026-10-28T00:27:16Z</dcterms:created>
  <dc:creator>openpyxl</dc:creator>
  <dc:description/>
  <dc:language>en-US</dc:language>
  <cp:lastModifiedBy/>
  <dcterms:modified xsi:type="dcterms:W3CDTF">2026-10-28T00:27:22Z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